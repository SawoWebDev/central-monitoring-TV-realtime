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comments3.xml" ContentType="application/vnd.openxmlformats-officedocument.spreadsheetml.comments+xml"/>
  <Override PartName="/xl/drawings/drawing2.xml" ContentType="application/vnd.openxmlformats-officedocument.drawing+xml"/>
  <Override PartName="/xl/comments4.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codeName="ThisWorkbook" defaultThemeVersion="124226"/>
  <mc:AlternateContent xmlns:mc="http://schemas.openxmlformats.org/markup-compatibility/2006">
    <mc:Choice Requires="x15">
      <x15ac:absPath xmlns:x15ac="http://schemas.microsoft.com/office/spreadsheetml/2010/11/ac" url="\\172.16.0.4\WebDeveloper\Rodriguez\Server Rodriguez\Plant 1 Main\Files\"/>
    </mc:Choice>
  </mc:AlternateContent>
  <xr:revisionPtr revIDLastSave="0" documentId="8_{96A49D22-1774-4AD7-ACF0-CF3D57BFAEFA}" xr6:coauthVersionLast="47" xr6:coauthVersionMax="47" xr10:uidLastSave="{00000000-0000-0000-0000-000000000000}"/>
  <bookViews>
    <workbookView xWindow="-120" yWindow="-120" windowWidth="20730" windowHeight="11040" tabRatio="936" activeTab="3" xr2:uid="{00000000-000D-0000-FFFF-FFFF00000000}"/>
  </bookViews>
  <sheets>
    <sheet name="Summary" sheetId="66" r:id="rId1"/>
    <sheet name="Wkly Shipped CBM &amp; LT" sheetId="67" r:id="rId2"/>
    <sheet name="SHIPMENTS" sheetId="1" r:id="rId3"/>
    <sheet name="Prod Load" sheetId="42" r:id="rId4"/>
    <sheet name="T&amp;D" sheetId="29" r:id="rId5"/>
    <sheet name="SP" sheetId="30" r:id="rId6"/>
    <sheet name="MS" sheetId="31" r:id="rId7"/>
    <sheet name="PA" sheetId="32" r:id="rId8"/>
    <sheet name="CUA" sheetId="22" r:id="rId9"/>
    <sheet name="EA" sheetId="24" r:id="rId10"/>
    <sheet name="HAP" sheetId="25" r:id="rId11"/>
    <sheet name="WWP1-AP" sheetId="26" r:id="rId12"/>
    <sheet name="WWP1-PPS" sheetId="50" r:id="rId13"/>
    <sheet name="MP2-DA" sheetId="44" r:id="rId14"/>
    <sheet name="DA" sheetId="27" r:id="rId15"/>
    <sheet name="DA-" sheetId="34" state="hidden" r:id="rId16"/>
    <sheet name="WWP2" sheetId="28" state="hidden" r:id="rId17"/>
    <sheet name="MP2-SFP2" sheetId="37" r:id="rId18"/>
    <sheet name="SFP2" sheetId="40" r:id="rId19"/>
    <sheet name="Manhours" sheetId="4" r:id="rId20"/>
    <sheet name="Wood" sheetId="47" r:id="rId21"/>
    <sheet name="Items" sheetId="19" r:id="rId22"/>
    <sheet name="load" sheetId="15" r:id="rId23"/>
    <sheet name="Items by model" sheetId="48" r:id="rId24"/>
    <sheet name="Leadtime add-on" sheetId="49" r:id="rId25"/>
    <sheet name="LT SR Computation" sheetId="65" r:id="rId26"/>
  </sheets>
  <definedNames>
    <definedName name="_xlnm._FilterDatabase" localSheetId="8" hidden="1">CUA!$A$7:$CE$53</definedName>
    <definedName name="_xlnm._FilterDatabase" localSheetId="14" hidden="1">DA!$A$7:$BG$53</definedName>
    <definedName name="_xlnm._FilterDatabase" localSheetId="15" hidden="1">'DA-'!$A$6:$BH$12</definedName>
    <definedName name="_xlnm._FilterDatabase" localSheetId="9" hidden="1">EA!$A$7:$AV$53</definedName>
    <definedName name="_xlnm._FilterDatabase" localSheetId="10" hidden="1">HAP!$A$7:$CE$53</definedName>
    <definedName name="_xlnm._FilterDatabase" localSheetId="21" hidden="1">Items!$A$4:$J$583</definedName>
    <definedName name="_xlnm._FilterDatabase" localSheetId="23" hidden="1">'Items by model'!$A$2:$C$4296</definedName>
    <definedName name="_xlnm._FilterDatabase" localSheetId="22" hidden="1">load!$A$3:$U$623</definedName>
    <definedName name="_xlnm._FilterDatabase" localSheetId="25" hidden="1">'LT SR Computation'!$A$4:$L$235</definedName>
    <definedName name="_xlnm._FilterDatabase" localSheetId="13" hidden="1">'MP2-DA'!$A$7:$BG$53</definedName>
    <definedName name="_xlnm._FilterDatabase" localSheetId="17" hidden="1">'MP2-SFP2'!$A$7:$BL$53</definedName>
    <definedName name="_xlnm._FilterDatabase" localSheetId="6" hidden="1">MS!$A$7:$BL$53</definedName>
    <definedName name="_xlnm._FilterDatabase" localSheetId="7" hidden="1">PA!$A$7:$BL$53</definedName>
    <definedName name="_xlnm._FilterDatabase" localSheetId="3" hidden="1">'Prod Load'!#REF!</definedName>
    <definedName name="_xlnm._FilterDatabase" localSheetId="18" hidden="1">'SFP2'!$A$7:$BM$53</definedName>
    <definedName name="_xlnm._FilterDatabase" localSheetId="2" hidden="1">SHIPMENTS!$A$6:$AU$59</definedName>
    <definedName name="_xlnm._FilterDatabase" localSheetId="5" hidden="1">SP!$A$7:$BL$53</definedName>
    <definedName name="_xlnm._FilterDatabase" localSheetId="4" hidden="1">'T&amp;D'!$A$7:$BL$53</definedName>
    <definedName name="_xlnm._FilterDatabase" localSheetId="11" hidden="1">'WWP1-AP'!$A$7:$CE$53</definedName>
    <definedName name="_xlnm._FilterDatabase" localSheetId="12" hidden="1">'WWP1-PPS'!$A$7:$CE$53</definedName>
    <definedName name="_xlnm._FilterDatabase" localSheetId="16" hidden="1">'WWP2'!$A$7:$AZ$48</definedName>
    <definedName name="_xlnm.Print_Area" localSheetId="2">SHIPMENTS!$A$1:$O$59</definedName>
    <definedName name="_xlnm.Print_Titles" localSheetId="2">SHIPMENTS!$4:$5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53" i="40" l="1"/>
  <c r="D53" i="40"/>
  <c r="B53" i="40"/>
  <c r="A53" i="40"/>
  <c r="E52" i="40"/>
  <c r="D52" i="40"/>
  <c r="C52" i="40"/>
  <c r="B52" i="40"/>
  <c r="A52" i="40"/>
  <c r="E51" i="40"/>
  <c r="D51" i="40"/>
  <c r="B51" i="40"/>
  <c r="A51" i="40"/>
  <c r="E50" i="40"/>
  <c r="D50" i="40"/>
  <c r="C50" i="40"/>
  <c r="B50" i="40"/>
  <c r="A50" i="40"/>
  <c r="E49" i="40"/>
  <c r="D49" i="40"/>
  <c r="C49" i="40"/>
  <c r="B49" i="40"/>
  <c r="A49" i="40"/>
  <c r="E48" i="40"/>
  <c r="D48" i="40"/>
  <c r="C48" i="40"/>
  <c r="B48" i="40"/>
  <c r="A48" i="40"/>
  <c r="E47" i="40"/>
  <c r="D47" i="40"/>
  <c r="C47" i="40"/>
  <c r="B47" i="40"/>
  <c r="A47" i="40"/>
  <c r="E46" i="40"/>
  <c r="D46" i="40"/>
  <c r="C46" i="40"/>
  <c r="B46" i="40"/>
  <c r="A46" i="40"/>
  <c r="E45" i="40"/>
  <c r="D45" i="40"/>
  <c r="B45" i="40"/>
  <c r="A45" i="40"/>
  <c r="E44" i="40"/>
  <c r="D44" i="40"/>
  <c r="B44" i="40"/>
  <c r="A44" i="40"/>
  <c r="E43" i="40"/>
  <c r="D43" i="40"/>
  <c r="C43" i="40"/>
  <c r="B43" i="40"/>
  <c r="A43" i="40"/>
  <c r="E42" i="40"/>
  <c r="D42" i="40"/>
  <c r="C42" i="40"/>
  <c r="B42" i="40"/>
  <c r="A42" i="40"/>
  <c r="E41" i="40"/>
  <c r="D41" i="40"/>
  <c r="B41" i="40"/>
  <c r="A41" i="40"/>
  <c r="E40" i="40"/>
  <c r="D40" i="40"/>
  <c r="B40" i="40"/>
  <c r="A40" i="40"/>
  <c r="E39" i="40"/>
  <c r="D39" i="40"/>
  <c r="B39" i="40"/>
  <c r="A39" i="40"/>
  <c r="E38" i="40"/>
  <c r="D38" i="40"/>
  <c r="B38" i="40"/>
  <c r="A38" i="40"/>
  <c r="E37" i="40"/>
  <c r="D37" i="40"/>
  <c r="B37" i="40"/>
  <c r="A37" i="40"/>
  <c r="E36" i="40"/>
  <c r="D36" i="40"/>
  <c r="B36" i="40"/>
  <c r="A36" i="40"/>
  <c r="E35" i="40"/>
  <c r="D35" i="40"/>
  <c r="B35" i="40"/>
  <c r="A35" i="40"/>
  <c r="E34" i="40"/>
  <c r="D34" i="40"/>
  <c r="B34" i="40"/>
  <c r="A34" i="40"/>
  <c r="E33" i="40"/>
  <c r="D33" i="40"/>
  <c r="B33" i="40"/>
  <c r="A33" i="40"/>
  <c r="E32" i="40"/>
  <c r="D32" i="40"/>
  <c r="B32" i="40"/>
  <c r="A32" i="40"/>
  <c r="E31" i="40"/>
  <c r="D31" i="40"/>
  <c r="C31" i="40"/>
  <c r="B31" i="40"/>
  <c r="A31" i="40"/>
  <c r="E30" i="40"/>
  <c r="D30" i="40"/>
  <c r="C30" i="40"/>
  <c r="B30" i="40"/>
  <c r="A30" i="40"/>
  <c r="E29" i="40"/>
  <c r="D29" i="40"/>
  <c r="B29" i="40"/>
  <c r="A29" i="40"/>
  <c r="E28" i="40"/>
  <c r="D28" i="40"/>
  <c r="B28" i="40"/>
  <c r="A28" i="40"/>
  <c r="E27" i="40"/>
  <c r="D27" i="40"/>
  <c r="B27" i="40"/>
  <c r="A27" i="40"/>
  <c r="E26" i="40"/>
  <c r="D26" i="40"/>
  <c r="B26" i="40"/>
  <c r="A26" i="40"/>
  <c r="E25" i="40"/>
  <c r="D25" i="40"/>
  <c r="B25" i="40"/>
  <c r="A25" i="40"/>
  <c r="E24" i="40"/>
  <c r="D24" i="40"/>
  <c r="B24" i="40"/>
  <c r="A24" i="40"/>
  <c r="E23" i="40"/>
  <c r="D23" i="40"/>
  <c r="B23" i="40"/>
  <c r="A23" i="40"/>
  <c r="E22" i="40"/>
  <c r="D22" i="40"/>
  <c r="B22" i="40"/>
  <c r="A22" i="40"/>
  <c r="E21" i="40"/>
  <c r="D21" i="40"/>
  <c r="B21" i="40"/>
  <c r="A21" i="40"/>
  <c r="E20" i="40"/>
  <c r="D20" i="40"/>
  <c r="B20" i="40"/>
  <c r="A20" i="40"/>
  <c r="E19" i="40"/>
  <c r="D19" i="40"/>
  <c r="B19" i="40"/>
  <c r="A19" i="40"/>
  <c r="E18" i="40"/>
  <c r="D18" i="40"/>
  <c r="B18" i="40"/>
  <c r="A18" i="40"/>
  <c r="E17" i="40"/>
  <c r="D17" i="40"/>
  <c r="C17" i="40"/>
  <c r="B17" i="40"/>
  <c r="A17" i="40"/>
  <c r="E16" i="40"/>
  <c r="D16" i="40"/>
  <c r="B16" i="40"/>
  <c r="A16" i="40"/>
  <c r="E15" i="40"/>
  <c r="D15" i="40"/>
  <c r="B15" i="40"/>
  <c r="A15" i="40"/>
  <c r="E14" i="40"/>
  <c r="D14" i="40"/>
  <c r="C14" i="40"/>
  <c r="B14" i="40"/>
  <c r="A14" i="40"/>
  <c r="E13" i="40"/>
  <c r="D13" i="40"/>
  <c r="C13" i="40"/>
  <c r="B13" i="40"/>
  <c r="A13" i="40"/>
  <c r="E12" i="40"/>
  <c r="D12" i="40"/>
  <c r="C12" i="40"/>
  <c r="B12" i="40"/>
  <c r="A12" i="40"/>
  <c r="E11" i="40"/>
  <c r="D11" i="40"/>
  <c r="C11" i="40"/>
  <c r="B11" i="40"/>
  <c r="A11" i="40"/>
  <c r="E10" i="40"/>
  <c r="D10" i="40"/>
  <c r="B10" i="40"/>
  <c r="A10" i="40"/>
  <c r="E9" i="40"/>
  <c r="D9" i="40"/>
  <c r="B9" i="40"/>
  <c r="A9" i="40"/>
  <c r="E8" i="40"/>
  <c r="D8" i="40"/>
  <c r="B8" i="40"/>
  <c r="A8" i="40"/>
  <c r="E53" i="37"/>
  <c r="D53" i="37"/>
  <c r="B53" i="37"/>
  <c r="A53" i="37"/>
  <c r="E52" i="37"/>
  <c r="D52" i="37"/>
  <c r="C52" i="37"/>
  <c r="B52" i="37"/>
  <c r="A52" i="37"/>
  <c r="E51" i="37"/>
  <c r="D51" i="37"/>
  <c r="B51" i="37"/>
  <c r="A51" i="37"/>
  <c r="E50" i="37"/>
  <c r="D50" i="37"/>
  <c r="C50" i="37"/>
  <c r="B50" i="37"/>
  <c r="A50" i="37"/>
  <c r="E49" i="37"/>
  <c r="D49" i="37"/>
  <c r="C49" i="37"/>
  <c r="B49" i="37"/>
  <c r="A49" i="37"/>
  <c r="E48" i="37"/>
  <c r="D48" i="37"/>
  <c r="C48" i="37"/>
  <c r="B48" i="37"/>
  <c r="A48" i="37"/>
  <c r="E47" i="37"/>
  <c r="D47" i="37"/>
  <c r="C47" i="37"/>
  <c r="B47" i="37"/>
  <c r="A47" i="37"/>
  <c r="E46" i="37"/>
  <c r="D46" i="37"/>
  <c r="C46" i="37"/>
  <c r="B46" i="37"/>
  <c r="A46" i="37"/>
  <c r="E45" i="37"/>
  <c r="D45" i="37"/>
  <c r="B45" i="37"/>
  <c r="A45" i="37"/>
  <c r="E44" i="37"/>
  <c r="D44" i="37"/>
  <c r="B44" i="37"/>
  <c r="A44" i="37"/>
  <c r="E43" i="37"/>
  <c r="D43" i="37"/>
  <c r="C43" i="37"/>
  <c r="B43" i="37"/>
  <c r="A43" i="37"/>
  <c r="E42" i="37"/>
  <c r="D42" i="37"/>
  <c r="C42" i="37"/>
  <c r="B42" i="37"/>
  <c r="A42" i="37"/>
  <c r="E41" i="37"/>
  <c r="D41" i="37"/>
  <c r="B41" i="37"/>
  <c r="A41" i="37"/>
  <c r="E40" i="37"/>
  <c r="D40" i="37"/>
  <c r="B40" i="37"/>
  <c r="A40" i="37"/>
  <c r="E39" i="37"/>
  <c r="D39" i="37"/>
  <c r="B39" i="37"/>
  <c r="A39" i="37"/>
  <c r="E38" i="37"/>
  <c r="D38" i="37"/>
  <c r="B38" i="37"/>
  <c r="A38" i="37"/>
  <c r="E37" i="37"/>
  <c r="D37" i="37"/>
  <c r="B37" i="37"/>
  <c r="A37" i="37"/>
  <c r="E36" i="37"/>
  <c r="D36" i="37"/>
  <c r="B36" i="37"/>
  <c r="A36" i="37"/>
  <c r="E35" i="37"/>
  <c r="D35" i="37"/>
  <c r="B35" i="37"/>
  <c r="A35" i="37"/>
  <c r="E34" i="37"/>
  <c r="D34" i="37"/>
  <c r="B34" i="37"/>
  <c r="A34" i="37"/>
  <c r="E33" i="37"/>
  <c r="D33" i="37"/>
  <c r="B33" i="37"/>
  <c r="A33" i="37"/>
  <c r="E32" i="37"/>
  <c r="D32" i="37"/>
  <c r="B32" i="37"/>
  <c r="A32" i="37"/>
  <c r="E31" i="37"/>
  <c r="D31" i="37"/>
  <c r="C31" i="37"/>
  <c r="B31" i="37"/>
  <c r="A31" i="37"/>
  <c r="E30" i="37"/>
  <c r="D30" i="37"/>
  <c r="C30" i="37"/>
  <c r="B30" i="37"/>
  <c r="A30" i="37"/>
  <c r="E29" i="37"/>
  <c r="D29" i="37"/>
  <c r="B29" i="37"/>
  <c r="A29" i="37"/>
  <c r="E28" i="37"/>
  <c r="D28" i="37"/>
  <c r="B28" i="37"/>
  <c r="A28" i="37"/>
  <c r="E27" i="37"/>
  <c r="D27" i="37"/>
  <c r="B27" i="37"/>
  <c r="A27" i="37"/>
  <c r="E26" i="37"/>
  <c r="D26" i="37"/>
  <c r="B26" i="37"/>
  <c r="A26" i="37"/>
  <c r="E25" i="37"/>
  <c r="D25" i="37"/>
  <c r="B25" i="37"/>
  <c r="A25" i="37"/>
  <c r="E24" i="37"/>
  <c r="D24" i="37"/>
  <c r="B24" i="37"/>
  <c r="A24" i="37"/>
  <c r="E23" i="37"/>
  <c r="D23" i="37"/>
  <c r="B23" i="37"/>
  <c r="A23" i="37"/>
  <c r="E22" i="37"/>
  <c r="D22" i="37"/>
  <c r="B22" i="37"/>
  <c r="A22" i="37"/>
  <c r="E21" i="37"/>
  <c r="D21" i="37"/>
  <c r="B21" i="37"/>
  <c r="A21" i="37"/>
  <c r="E20" i="37"/>
  <c r="D20" i="37"/>
  <c r="B20" i="37"/>
  <c r="A20" i="37"/>
  <c r="E19" i="37"/>
  <c r="D19" i="37"/>
  <c r="B19" i="37"/>
  <c r="A19" i="37"/>
  <c r="E18" i="37"/>
  <c r="D18" i="37"/>
  <c r="B18" i="37"/>
  <c r="A18" i="37"/>
  <c r="E17" i="37"/>
  <c r="D17" i="37"/>
  <c r="C17" i="37"/>
  <c r="B17" i="37"/>
  <c r="A17" i="37"/>
  <c r="E16" i="37"/>
  <c r="D16" i="37"/>
  <c r="B16" i="37"/>
  <c r="A16" i="37"/>
  <c r="E15" i="37"/>
  <c r="D15" i="37"/>
  <c r="B15" i="37"/>
  <c r="A15" i="37"/>
  <c r="E14" i="37"/>
  <c r="D14" i="37"/>
  <c r="C14" i="37"/>
  <c r="B14" i="37"/>
  <c r="A14" i="37"/>
  <c r="E13" i="37"/>
  <c r="D13" i="37"/>
  <c r="C13" i="37"/>
  <c r="B13" i="37"/>
  <c r="A13" i="37"/>
  <c r="E12" i="37"/>
  <c r="D12" i="37"/>
  <c r="C12" i="37"/>
  <c r="B12" i="37"/>
  <c r="A12" i="37"/>
  <c r="E11" i="37"/>
  <c r="D11" i="37"/>
  <c r="C11" i="37"/>
  <c r="B11" i="37"/>
  <c r="A11" i="37"/>
  <c r="E10" i="37"/>
  <c r="D10" i="37"/>
  <c r="B10" i="37"/>
  <c r="A10" i="37"/>
  <c r="E9" i="37"/>
  <c r="D9" i="37"/>
  <c r="B9" i="37"/>
  <c r="A9" i="37"/>
  <c r="E8" i="37"/>
  <c r="D8" i="37"/>
  <c r="B8" i="37"/>
  <c r="A8" i="37"/>
  <c r="E53" i="27"/>
  <c r="D53" i="27"/>
  <c r="B53" i="27"/>
  <c r="A53" i="27"/>
  <c r="E52" i="27"/>
  <c r="D52" i="27"/>
  <c r="C52" i="27"/>
  <c r="B52" i="27"/>
  <c r="A52" i="27"/>
  <c r="E51" i="27"/>
  <c r="D51" i="27"/>
  <c r="B51" i="27"/>
  <c r="A51" i="27"/>
  <c r="E50" i="27"/>
  <c r="D50" i="27"/>
  <c r="C50" i="27"/>
  <c r="B50" i="27"/>
  <c r="A50" i="27"/>
  <c r="E49" i="27"/>
  <c r="D49" i="27"/>
  <c r="C49" i="27"/>
  <c r="B49" i="27"/>
  <c r="A49" i="27"/>
  <c r="E48" i="27"/>
  <c r="D48" i="27"/>
  <c r="C48" i="27"/>
  <c r="B48" i="27"/>
  <c r="A48" i="27"/>
  <c r="E47" i="27"/>
  <c r="D47" i="27"/>
  <c r="C47" i="27"/>
  <c r="B47" i="27"/>
  <c r="A47" i="27"/>
  <c r="E46" i="27"/>
  <c r="D46" i="27"/>
  <c r="C46" i="27"/>
  <c r="B46" i="27"/>
  <c r="A46" i="27"/>
  <c r="E45" i="27"/>
  <c r="D45" i="27"/>
  <c r="B45" i="27"/>
  <c r="A45" i="27"/>
  <c r="E44" i="27"/>
  <c r="D44" i="27"/>
  <c r="B44" i="27"/>
  <c r="A44" i="27"/>
  <c r="E43" i="27"/>
  <c r="D43" i="27"/>
  <c r="C43" i="27"/>
  <c r="B43" i="27"/>
  <c r="A43" i="27"/>
  <c r="E42" i="27"/>
  <c r="D42" i="27"/>
  <c r="C42" i="27"/>
  <c r="B42" i="27"/>
  <c r="A42" i="27"/>
  <c r="E41" i="27"/>
  <c r="D41" i="27"/>
  <c r="B41" i="27"/>
  <c r="A41" i="27"/>
  <c r="E40" i="27"/>
  <c r="D40" i="27"/>
  <c r="B40" i="27"/>
  <c r="A40" i="27"/>
  <c r="E39" i="27"/>
  <c r="D39" i="27"/>
  <c r="B39" i="27"/>
  <c r="A39" i="27"/>
  <c r="E38" i="27"/>
  <c r="D38" i="27"/>
  <c r="B38" i="27"/>
  <c r="A38" i="27"/>
  <c r="E37" i="27"/>
  <c r="D37" i="27"/>
  <c r="B37" i="27"/>
  <c r="A37" i="27"/>
  <c r="E36" i="27"/>
  <c r="D36" i="27"/>
  <c r="B36" i="27"/>
  <c r="A36" i="27"/>
  <c r="E35" i="27"/>
  <c r="D35" i="27"/>
  <c r="B35" i="27"/>
  <c r="A35" i="27"/>
  <c r="E34" i="27"/>
  <c r="D34" i="27"/>
  <c r="B34" i="27"/>
  <c r="A34" i="27"/>
  <c r="E33" i="27"/>
  <c r="D33" i="27"/>
  <c r="B33" i="27"/>
  <c r="A33" i="27"/>
  <c r="E32" i="27"/>
  <c r="D32" i="27"/>
  <c r="B32" i="27"/>
  <c r="A32" i="27"/>
  <c r="E31" i="27"/>
  <c r="D31" i="27"/>
  <c r="C31" i="27"/>
  <c r="B31" i="27"/>
  <c r="A31" i="27"/>
  <c r="E30" i="27"/>
  <c r="D30" i="27"/>
  <c r="C30" i="27"/>
  <c r="B30" i="27"/>
  <c r="A30" i="27"/>
  <c r="E29" i="27"/>
  <c r="D29" i="27"/>
  <c r="B29" i="27"/>
  <c r="A29" i="27"/>
  <c r="E28" i="27"/>
  <c r="D28" i="27"/>
  <c r="B28" i="27"/>
  <c r="A28" i="27"/>
  <c r="E27" i="27"/>
  <c r="D27" i="27"/>
  <c r="B27" i="27"/>
  <c r="A27" i="27"/>
  <c r="E26" i="27"/>
  <c r="D26" i="27"/>
  <c r="B26" i="27"/>
  <c r="A26" i="27"/>
  <c r="E25" i="27"/>
  <c r="D25" i="27"/>
  <c r="B25" i="27"/>
  <c r="A25" i="27"/>
  <c r="E24" i="27"/>
  <c r="D24" i="27"/>
  <c r="B24" i="27"/>
  <c r="A24" i="27"/>
  <c r="E23" i="27"/>
  <c r="D23" i="27"/>
  <c r="B23" i="27"/>
  <c r="A23" i="27"/>
  <c r="E22" i="27"/>
  <c r="D22" i="27"/>
  <c r="B22" i="27"/>
  <c r="A22" i="27"/>
  <c r="E21" i="27"/>
  <c r="D21" i="27"/>
  <c r="B21" i="27"/>
  <c r="A21" i="27"/>
  <c r="E20" i="27"/>
  <c r="D20" i="27"/>
  <c r="B20" i="27"/>
  <c r="A20" i="27"/>
  <c r="E19" i="27"/>
  <c r="D19" i="27"/>
  <c r="B19" i="27"/>
  <c r="A19" i="27"/>
  <c r="E18" i="27"/>
  <c r="D18" i="27"/>
  <c r="B18" i="27"/>
  <c r="A18" i="27"/>
  <c r="E17" i="27"/>
  <c r="D17" i="27"/>
  <c r="C17" i="27"/>
  <c r="B17" i="27"/>
  <c r="A17" i="27"/>
  <c r="E16" i="27"/>
  <c r="D16" i="27"/>
  <c r="B16" i="27"/>
  <c r="A16" i="27"/>
  <c r="E15" i="27"/>
  <c r="D15" i="27"/>
  <c r="B15" i="27"/>
  <c r="A15" i="27"/>
  <c r="E14" i="27"/>
  <c r="D14" i="27"/>
  <c r="C14" i="27"/>
  <c r="B14" i="27"/>
  <c r="A14" i="27"/>
  <c r="E13" i="27"/>
  <c r="D13" i="27"/>
  <c r="C13" i="27"/>
  <c r="B13" i="27"/>
  <c r="A13" i="27"/>
  <c r="E12" i="27"/>
  <c r="D12" i="27"/>
  <c r="C12" i="27"/>
  <c r="B12" i="27"/>
  <c r="A12" i="27"/>
  <c r="E11" i="27"/>
  <c r="D11" i="27"/>
  <c r="C11" i="27"/>
  <c r="B11" i="27"/>
  <c r="A11" i="27"/>
  <c r="E10" i="27"/>
  <c r="D10" i="27"/>
  <c r="B10" i="27"/>
  <c r="A10" i="27"/>
  <c r="E9" i="27"/>
  <c r="D9" i="27"/>
  <c r="B9" i="27"/>
  <c r="A9" i="27"/>
  <c r="E8" i="27"/>
  <c r="D8" i="27"/>
  <c r="B8" i="27"/>
  <c r="A8" i="27"/>
  <c r="E53" i="44"/>
  <c r="D53" i="44"/>
  <c r="B53" i="44"/>
  <c r="A53" i="44"/>
  <c r="E52" i="44"/>
  <c r="D52" i="44"/>
  <c r="C52" i="44"/>
  <c r="B52" i="44"/>
  <c r="A52" i="44"/>
  <c r="E51" i="44"/>
  <c r="D51" i="44"/>
  <c r="B51" i="44"/>
  <c r="A51" i="44"/>
  <c r="E50" i="44"/>
  <c r="D50" i="44"/>
  <c r="C50" i="44"/>
  <c r="B50" i="44"/>
  <c r="A50" i="44"/>
  <c r="E49" i="44"/>
  <c r="D49" i="44"/>
  <c r="C49" i="44"/>
  <c r="B49" i="44"/>
  <c r="A49" i="44"/>
  <c r="E48" i="44"/>
  <c r="D48" i="44"/>
  <c r="C48" i="44"/>
  <c r="B48" i="44"/>
  <c r="A48" i="44"/>
  <c r="E47" i="44"/>
  <c r="D47" i="44"/>
  <c r="C47" i="44"/>
  <c r="B47" i="44"/>
  <c r="A47" i="44"/>
  <c r="E46" i="44"/>
  <c r="D46" i="44"/>
  <c r="C46" i="44"/>
  <c r="B46" i="44"/>
  <c r="A46" i="44"/>
  <c r="E45" i="44"/>
  <c r="D45" i="44"/>
  <c r="B45" i="44"/>
  <c r="A45" i="44"/>
  <c r="E44" i="44"/>
  <c r="D44" i="44"/>
  <c r="B44" i="44"/>
  <c r="A44" i="44"/>
  <c r="E43" i="44"/>
  <c r="D43" i="44"/>
  <c r="C43" i="44"/>
  <c r="B43" i="44"/>
  <c r="A43" i="44"/>
  <c r="E42" i="44"/>
  <c r="D42" i="44"/>
  <c r="C42" i="44"/>
  <c r="B42" i="44"/>
  <c r="A42" i="44"/>
  <c r="E41" i="44"/>
  <c r="D41" i="44"/>
  <c r="B41" i="44"/>
  <c r="A41" i="44"/>
  <c r="E40" i="44"/>
  <c r="D40" i="44"/>
  <c r="B40" i="44"/>
  <c r="A40" i="44"/>
  <c r="E39" i="44"/>
  <c r="D39" i="44"/>
  <c r="B39" i="44"/>
  <c r="A39" i="44"/>
  <c r="E38" i="44"/>
  <c r="D38" i="44"/>
  <c r="B38" i="44"/>
  <c r="A38" i="44"/>
  <c r="E37" i="44"/>
  <c r="D37" i="44"/>
  <c r="B37" i="44"/>
  <c r="A37" i="44"/>
  <c r="E36" i="44"/>
  <c r="D36" i="44"/>
  <c r="B36" i="44"/>
  <c r="A36" i="44"/>
  <c r="E35" i="44"/>
  <c r="D35" i="44"/>
  <c r="B35" i="44"/>
  <c r="A35" i="44"/>
  <c r="E34" i="44"/>
  <c r="D34" i="44"/>
  <c r="B34" i="44"/>
  <c r="A34" i="44"/>
  <c r="E33" i="44"/>
  <c r="D33" i="44"/>
  <c r="B33" i="44"/>
  <c r="A33" i="44"/>
  <c r="E32" i="44"/>
  <c r="D32" i="44"/>
  <c r="B32" i="44"/>
  <c r="A32" i="44"/>
  <c r="E31" i="44"/>
  <c r="D31" i="44"/>
  <c r="C31" i="44"/>
  <c r="B31" i="44"/>
  <c r="A31" i="44"/>
  <c r="E30" i="44"/>
  <c r="D30" i="44"/>
  <c r="C30" i="44"/>
  <c r="B30" i="44"/>
  <c r="A30" i="44"/>
  <c r="E29" i="44"/>
  <c r="D29" i="44"/>
  <c r="B29" i="44"/>
  <c r="A29" i="44"/>
  <c r="E28" i="44"/>
  <c r="D28" i="44"/>
  <c r="B28" i="44"/>
  <c r="A28" i="44"/>
  <c r="E27" i="44"/>
  <c r="D27" i="44"/>
  <c r="B27" i="44"/>
  <c r="A27" i="44"/>
  <c r="E26" i="44"/>
  <c r="D26" i="44"/>
  <c r="B26" i="44"/>
  <c r="A26" i="44"/>
  <c r="E25" i="44"/>
  <c r="D25" i="44"/>
  <c r="B25" i="44"/>
  <c r="A25" i="44"/>
  <c r="E24" i="44"/>
  <c r="D24" i="44"/>
  <c r="B24" i="44"/>
  <c r="A24" i="44"/>
  <c r="E23" i="44"/>
  <c r="D23" i="44"/>
  <c r="B23" i="44"/>
  <c r="A23" i="44"/>
  <c r="E22" i="44"/>
  <c r="D22" i="44"/>
  <c r="B22" i="44"/>
  <c r="A22" i="44"/>
  <c r="E21" i="44"/>
  <c r="D21" i="44"/>
  <c r="B21" i="44"/>
  <c r="A21" i="44"/>
  <c r="E20" i="44"/>
  <c r="D20" i="44"/>
  <c r="B20" i="44"/>
  <c r="A20" i="44"/>
  <c r="E19" i="44"/>
  <c r="D19" i="44"/>
  <c r="B19" i="44"/>
  <c r="A19" i="44"/>
  <c r="E18" i="44"/>
  <c r="D18" i="44"/>
  <c r="B18" i="44"/>
  <c r="A18" i="44"/>
  <c r="E17" i="44"/>
  <c r="D17" i="44"/>
  <c r="C17" i="44"/>
  <c r="B17" i="44"/>
  <c r="A17" i="44"/>
  <c r="E16" i="44"/>
  <c r="D16" i="44"/>
  <c r="B16" i="44"/>
  <c r="A16" i="44"/>
  <c r="E15" i="44"/>
  <c r="D15" i="44"/>
  <c r="B15" i="44"/>
  <c r="A15" i="44"/>
  <c r="E14" i="44"/>
  <c r="D14" i="44"/>
  <c r="C14" i="44"/>
  <c r="B14" i="44"/>
  <c r="A14" i="44"/>
  <c r="E13" i="44"/>
  <c r="D13" i="44"/>
  <c r="C13" i="44"/>
  <c r="B13" i="44"/>
  <c r="A13" i="44"/>
  <c r="E12" i="44"/>
  <c r="D12" i="44"/>
  <c r="C12" i="44"/>
  <c r="B12" i="44"/>
  <c r="A12" i="44"/>
  <c r="E11" i="44"/>
  <c r="D11" i="44"/>
  <c r="C11" i="44"/>
  <c r="B11" i="44"/>
  <c r="A11" i="44"/>
  <c r="E10" i="44"/>
  <c r="D10" i="44"/>
  <c r="B10" i="44"/>
  <c r="A10" i="44"/>
  <c r="E9" i="44"/>
  <c r="D9" i="44"/>
  <c r="B9" i="44"/>
  <c r="A9" i="44"/>
  <c r="E8" i="44"/>
  <c r="D8" i="44"/>
  <c r="B8" i="44"/>
  <c r="A8" i="44"/>
  <c r="E53" i="50"/>
  <c r="D53" i="50"/>
  <c r="B53" i="50"/>
  <c r="A53" i="50"/>
  <c r="E52" i="50"/>
  <c r="D52" i="50"/>
  <c r="C52" i="50"/>
  <c r="B52" i="50"/>
  <c r="A52" i="50"/>
  <c r="E51" i="50"/>
  <c r="D51" i="50"/>
  <c r="B51" i="50"/>
  <c r="A51" i="50"/>
  <c r="E50" i="50"/>
  <c r="D50" i="50"/>
  <c r="C50" i="50"/>
  <c r="B50" i="50"/>
  <c r="A50" i="50"/>
  <c r="E49" i="50"/>
  <c r="D49" i="50"/>
  <c r="C49" i="50"/>
  <c r="B49" i="50"/>
  <c r="A49" i="50"/>
  <c r="E48" i="50"/>
  <c r="D48" i="50"/>
  <c r="C48" i="50"/>
  <c r="B48" i="50"/>
  <c r="A48" i="50"/>
  <c r="E47" i="50"/>
  <c r="D47" i="50"/>
  <c r="C47" i="50"/>
  <c r="B47" i="50"/>
  <c r="A47" i="50"/>
  <c r="E46" i="50"/>
  <c r="D46" i="50"/>
  <c r="C46" i="50"/>
  <c r="B46" i="50"/>
  <c r="A46" i="50"/>
  <c r="E45" i="50"/>
  <c r="D45" i="50"/>
  <c r="B45" i="50"/>
  <c r="A45" i="50"/>
  <c r="E44" i="50"/>
  <c r="D44" i="50"/>
  <c r="B44" i="50"/>
  <c r="A44" i="50"/>
  <c r="E43" i="50"/>
  <c r="D43" i="50"/>
  <c r="C43" i="50"/>
  <c r="B43" i="50"/>
  <c r="A43" i="50"/>
  <c r="E42" i="50"/>
  <c r="D42" i="50"/>
  <c r="C42" i="50"/>
  <c r="B42" i="50"/>
  <c r="A42" i="50"/>
  <c r="E41" i="50"/>
  <c r="D41" i="50"/>
  <c r="B41" i="50"/>
  <c r="A41" i="50"/>
  <c r="E40" i="50"/>
  <c r="D40" i="50"/>
  <c r="B40" i="50"/>
  <c r="A40" i="50"/>
  <c r="E39" i="50"/>
  <c r="D39" i="50"/>
  <c r="B39" i="50"/>
  <c r="A39" i="50"/>
  <c r="E38" i="50"/>
  <c r="D38" i="50"/>
  <c r="B38" i="50"/>
  <c r="A38" i="50"/>
  <c r="E37" i="50"/>
  <c r="D37" i="50"/>
  <c r="B37" i="50"/>
  <c r="A37" i="50"/>
  <c r="E36" i="50"/>
  <c r="D36" i="50"/>
  <c r="B36" i="50"/>
  <c r="A36" i="50"/>
  <c r="E35" i="50"/>
  <c r="D35" i="50"/>
  <c r="B35" i="50"/>
  <c r="A35" i="50"/>
  <c r="E34" i="50"/>
  <c r="D34" i="50"/>
  <c r="B34" i="50"/>
  <c r="A34" i="50"/>
  <c r="E33" i="50"/>
  <c r="D33" i="50"/>
  <c r="B33" i="50"/>
  <c r="A33" i="50"/>
  <c r="E32" i="50"/>
  <c r="D32" i="50"/>
  <c r="B32" i="50"/>
  <c r="A32" i="50"/>
  <c r="E31" i="50"/>
  <c r="D31" i="50"/>
  <c r="C31" i="50"/>
  <c r="B31" i="50"/>
  <c r="A31" i="50"/>
  <c r="E30" i="50"/>
  <c r="D30" i="50"/>
  <c r="C30" i="50"/>
  <c r="B30" i="50"/>
  <c r="A30" i="50"/>
  <c r="E29" i="50"/>
  <c r="D29" i="50"/>
  <c r="B29" i="50"/>
  <c r="A29" i="50"/>
  <c r="E28" i="50"/>
  <c r="D28" i="50"/>
  <c r="B28" i="50"/>
  <c r="A28" i="50"/>
  <c r="E27" i="50"/>
  <c r="D27" i="50"/>
  <c r="B27" i="50"/>
  <c r="A27" i="50"/>
  <c r="E26" i="50"/>
  <c r="D26" i="50"/>
  <c r="B26" i="50"/>
  <c r="A26" i="50"/>
  <c r="E25" i="50"/>
  <c r="D25" i="50"/>
  <c r="B25" i="50"/>
  <c r="A25" i="50"/>
  <c r="E24" i="50"/>
  <c r="D24" i="50"/>
  <c r="B24" i="50"/>
  <c r="A24" i="50"/>
  <c r="E23" i="50"/>
  <c r="D23" i="50"/>
  <c r="B23" i="50"/>
  <c r="A23" i="50"/>
  <c r="E22" i="50"/>
  <c r="D22" i="50"/>
  <c r="B22" i="50"/>
  <c r="A22" i="50"/>
  <c r="E21" i="50"/>
  <c r="D21" i="50"/>
  <c r="B21" i="50"/>
  <c r="A21" i="50"/>
  <c r="E20" i="50"/>
  <c r="D20" i="50"/>
  <c r="B20" i="50"/>
  <c r="A20" i="50"/>
  <c r="E19" i="50"/>
  <c r="D19" i="50"/>
  <c r="B19" i="50"/>
  <c r="A19" i="50"/>
  <c r="E18" i="50"/>
  <c r="D18" i="50"/>
  <c r="B18" i="50"/>
  <c r="A18" i="50"/>
  <c r="E17" i="50"/>
  <c r="D17" i="50"/>
  <c r="C17" i="50"/>
  <c r="B17" i="50"/>
  <c r="A17" i="50"/>
  <c r="E16" i="50"/>
  <c r="D16" i="50"/>
  <c r="B16" i="50"/>
  <c r="A16" i="50"/>
  <c r="E15" i="50"/>
  <c r="D15" i="50"/>
  <c r="B15" i="50"/>
  <c r="A15" i="50"/>
  <c r="E14" i="50"/>
  <c r="D14" i="50"/>
  <c r="C14" i="50"/>
  <c r="B14" i="50"/>
  <c r="A14" i="50"/>
  <c r="E13" i="50"/>
  <c r="D13" i="50"/>
  <c r="C13" i="50"/>
  <c r="B13" i="50"/>
  <c r="A13" i="50"/>
  <c r="E12" i="50"/>
  <c r="D12" i="50"/>
  <c r="C12" i="50"/>
  <c r="B12" i="50"/>
  <c r="A12" i="50"/>
  <c r="E11" i="50"/>
  <c r="D11" i="50"/>
  <c r="C11" i="50"/>
  <c r="B11" i="50"/>
  <c r="A11" i="50"/>
  <c r="E10" i="50"/>
  <c r="D10" i="50"/>
  <c r="B10" i="50"/>
  <c r="A10" i="50"/>
  <c r="E9" i="50"/>
  <c r="D9" i="50"/>
  <c r="B9" i="50"/>
  <c r="A9" i="50"/>
  <c r="E8" i="50"/>
  <c r="D8" i="50"/>
  <c r="B8" i="50"/>
  <c r="A8" i="50"/>
  <c r="E53" i="26"/>
  <c r="D53" i="26"/>
  <c r="B53" i="26"/>
  <c r="A53" i="26"/>
  <c r="E52" i="26"/>
  <c r="D52" i="26"/>
  <c r="C52" i="26"/>
  <c r="B52" i="26"/>
  <c r="A52" i="26"/>
  <c r="E51" i="26"/>
  <c r="D51" i="26"/>
  <c r="B51" i="26"/>
  <c r="A51" i="26"/>
  <c r="E50" i="26"/>
  <c r="D50" i="26"/>
  <c r="C50" i="26"/>
  <c r="B50" i="26"/>
  <c r="A50" i="26"/>
  <c r="E49" i="26"/>
  <c r="D49" i="26"/>
  <c r="C49" i="26"/>
  <c r="B49" i="26"/>
  <c r="A49" i="26"/>
  <c r="E48" i="26"/>
  <c r="D48" i="26"/>
  <c r="C48" i="26"/>
  <c r="B48" i="26"/>
  <c r="A48" i="26"/>
  <c r="E47" i="26"/>
  <c r="D47" i="26"/>
  <c r="C47" i="26"/>
  <c r="B47" i="26"/>
  <c r="A47" i="26"/>
  <c r="E46" i="26"/>
  <c r="D46" i="26"/>
  <c r="C46" i="26"/>
  <c r="B46" i="26"/>
  <c r="A46" i="26"/>
  <c r="E45" i="26"/>
  <c r="D45" i="26"/>
  <c r="B45" i="26"/>
  <c r="A45" i="26"/>
  <c r="E44" i="26"/>
  <c r="D44" i="26"/>
  <c r="B44" i="26"/>
  <c r="A44" i="26"/>
  <c r="E43" i="26"/>
  <c r="D43" i="26"/>
  <c r="C43" i="26"/>
  <c r="B43" i="26"/>
  <c r="A43" i="26"/>
  <c r="E42" i="26"/>
  <c r="D42" i="26"/>
  <c r="C42" i="26"/>
  <c r="B42" i="26"/>
  <c r="A42" i="26"/>
  <c r="E41" i="26"/>
  <c r="D41" i="26"/>
  <c r="B41" i="26"/>
  <c r="A41" i="26"/>
  <c r="E40" i="26"/>
  <c r="D40" i="26"/>
  <c r="B40" i="26"/>
  <c r="A40" i="26"/>
  <c r="E39" i="26"/>
  <c r="D39" i="26"/>
  <c r="B39" i="26"/>
  <c r="A39" i="26"/>
  <c r="E38" i="26"/>
  <c r="D38" i="26"/>
  <c r="B38" i="26"/>
  <c r="A38" i="26"/>
  <c r="E37" i="26"/>
  <c r="D37" i="26"/>
  <c r="B37" i="26"/>
  <c r="A37" i="26"/>
  <c r="E36" i="26"/>
  <c r="D36" i="26"/>
  <c r="B36" i="26"/>
  <c r="A36" i="26"/>
  <c r="E35" i="26"/>
  <c r="D35" i="26"/>
  <c r="B35" i="26"/>
  <c r="A35" i="26"/>
  <c r="E34" i="26"/>
  <c r="D34" i="26"/>
  <c r="B34" i="26"/>
  <c r="A34" i="26"/>
  <c r="E33" i="26"/>
  <c r="D33" i="26"/>
  <c r="B33" i="26"/>
  <c r="A33" i="26"/>
  <c r="E32" i="26"/>
  <c r="D32" i="26"/>
  <c r="B32" i="26"/>
  <c r="A32" i="26"/>
  <c r="E31" i="26"/>
  <c r="D31" i="26"/>
  <c r="C31" i="26"/>
  <c r="B31" i="26"/>
  <c r="A31" i="26"/>
  <c r="E30" i="26"/>
  <c r="D30" i="26"/>
  <c r="C30" i="26"/>
  <c r="B30" i="26"/>
  <c r="A30" i="26"/>
  <c r="E29" i="26"/>
  <c r="D29" i="26"/>
  <c r="B29" i="26"/>
  <c r="A29" i="26"/>
  <c r="E28" i="26"/>
  <c r="D28" i="26"/>
  <c r="B28" i="26"/>
  <c r="A28" i="26"/>
  <c r="E27" i="26"/>
  <c r="D27" i="26"/>
  <c r="B27" i="26"/>
  <c r="A27" i="26"/>
  <c r="E26" i="26"/>
  <c r="D26" i="26"/>
  <c r="B26" i="26"/>
  <c r="A26" i="26"/>
  <c r="E25" i="26"/>
  <c r="D25" i="26"/>
  <c r="B25" i="26"/>
  <c r="A25" i="26"/>
  <c r="E24" i="26"/>
  <c r="D24" i="26"/>
  <c r="B24" i="26"/>
  <c r="A24" i="26"/>
  <c r="E23" i="26"/>
  <c r="D23" i="26"/>
  <c r="B23" i="26"/>
  <c r="A23" i="26"/>
  <c r="E22" i="26"/>
  <c r="D22" i="26"/>
  <c r="B22" i="26"/>
  <c r="A22" i="26"/>
  <c r="E21" i="26"/>
  <c r="D21" i="26"/>
  <c r="B21" i="26"/>
  <c r="A21" i="26"/>
  <c r="E20" i="26"/>
  <c r="D20" i="26"/>
  <c r="B20" i="26"/>
  <c r="A20" i="26"/>
  <c r="E19" i="26"/>
  <c r="D19" i="26"/>
  <c r="B19" i="26"/>
  <c r="A19" i="26"/>
  <c r="E18" i="26"/>
  <c r="D18" i="26"/>
  <c r="B18" i="26"/>
  <c r="A18" i="26"/>
  <c r="E17" i="26"/>
  <c r="D17" i="26"/>
  <c r="C17" i="26"/>
  <c r="B17" i="26"/>
  <c r="A17" i="26"/>
  <c r="E16" i="26"/>
  <c r="D16" i="26"/>
  <c r="B16" i="26"/>
  <c r="A16" i="26"/>
  <c r="E15" i="26"/>
  <c r="D15" i="26"/>
  <c r="B15" i="26"/>
  <c r="A15" i="26"/>
  <c r="E14" i="26"/>
  <c r="D14" i="26"/>
  <c r="C14" i="26"/>
  <c r="B14" i="26"/>
  <c r="A14" i="26"/>
  <c r="E13" i="26"/>
  <c r="D13" i="26"/>
  <c r="C13" i="26"/>
  <c r="B13" i="26"/>
  <c r="A13" i="26"/>
  <c r="E12" i="26"/>
  <c r="D12" i="26"/>
  <c r="C12" i="26"/>
  <c r="B12" i="26"/>
  <c r="A12" i="26"/>
  <c r="E11" i="26"/>
  <c r="D11" i="26"/>
  <c r="C11" i="26"/>
  <c r="B11" i="26"/>
  <c r="A11" i="26"/>
  <c r="E10" i="26"/>
  <c r="D10" i="26"/>
  <c r="B10" i="26"/>
  <c r="A10" i="26"/>
  <c r="E9" i="26"/>
  <c r="D9" i="26"/>
  <c r="B9" i="26"/>
  <c r="A9" i="26"/>
  <c r="E8" i="26"/>
  <c r="D8" i="26"/>
  <c r="B8" i="26"/>
  <c r="A8" i="26"/>
  <c r="E53" i="25"/>
  <c r="D53" i="25"/>
  <c r="B53" i="25"/>
  <c r="A53" i="25"/>
  <c r="E52" i="25"/>
  <c r="D52" i="25"/>
  <c r="C52" i="25"/>
  <c r="B52" i="25"/>
  <c r="A52" i="25"/>
  <c r="E51" i="25"/>
  <c r="D51" i="25"/>
  <c r="B51" i="25"/>
  <c r="A51" i="25"/>
  <c r="E50" i="25"/>
  <c r="D50" i="25"/>
  <c r="C50" i="25"/>
  <c r="B50" i="25"/>
  <c r="A50" i="25"/>
  <c r="E49" i="25"/>
  <c r="D49" i="25"/>
  <c r="C49" i="25"/>
  <c r="B49" i="25"/>
  <c r="A49" i="25"/>
  <c r="E48" i="25"/>
  <c r="D48" i="25"/>
  <c r="C48" i="25"/>
  <c r="B48" i="25"/>
  <c r="A48" i="25"/>
  <c r="E47" i="25"/>
  <c r="D47" i="25"/>
  <c r="C47" i="25"/>
  <c r="B47" i="25"/>
  <c r="A47" i="25"/>
  <c r="E46" i="25"/>
  <c r="D46" i="25"/>
  <c r="C46" i="25"/>
  <c r="B46" i="25"/>
  <c r="A46" i="25"/>
  <c r="E45" i="25"/>
  <c r="D45" i="25"/>
  <c r="B45" i="25"/>
  <c r="A45" i="25"/>
  <c r="E44" i="25"/>
  <c r="D44" i="25"/>
  <c r="B44" i="25"/>
  <c r="A44" i="25"/>
  <c r="E43" i="25"/>
  <c r="D43" i="25"/>
  <c r="C43" i="25"/>
  <c r="B43" i="25"/>
  <c r="A43" i="25"/>
  <c r="E42" i="25"/>
  <c r="D42" i="25"/>
  <c r="C42" i="25"/>
  <c r="B42" i="25"/>
  <c r="A42" i="25"/>
  <c r="E41" i="25"/>
  <c r="D41" i="25"/>
  <c r="B41" i="25"/>
  <c r="A41" i="25"/>
  <c r="E40" i="25"/>
  <c r="D40" i="25"/>
  <c r="B40" i="25"/>
  <c r="A40" i="25"/>
  <c r="E39" i="25"/>
  <c r="D39" i="25"/>
  <c r="B39" i="25"/>
  <c r="A39" i="25"/>
  <c r="E38" i="25"/>
  <c r="D38" i="25"/>
  <c r="B38" i="25"/>
  <c r="A38" i="25"/>
  <c r="E37" i="25"/>
  <c r="D37" i="25"/>
  <c r="B37" i="25"/>
  <c r="A37" i="25"/>
  <c r="E36" i="25"/>
  <c r="D36" i="25"/>
  <c r="B36" i="25"/>
  <c r="A36" i="25"/>
  <c r="E35" i="25"/>
  <c r="D35" i="25"/>
  <c r="B35" i="25"/>
  <c r="A35" i="25"/>
  <c r="E34" i="25"/>
  <c r="D34" i="25"/>
  <c r="B34" i="25"/>
  <c r="A34" i="25"/>
  <c r="E33" i="25"/>
  <c r="D33" i="25"/>
  <c r="B33" i="25"/>
  <c r="A33" i="25"/>
  <c r="E32" i="25"/>
  <c r="D32" i="25"/>
  <c r="B32" i="25"/>
  <c r="A32" i="25"/>
  <c r="E31" i="25"/>
  <c r="D31" i="25"/>
  <c r="C31" i="25"/>
  <c r="B31" i="25"/>
  <c r="A31" i="25"/>
  <c r="E30" i="25"/>
  <c r="D30" i="25"/>
  <c r="C30" i="25"/>
  <c r="B30" i="25"/>
  <c r="A30" i="25"/>
  <c r="E29" i="25"/>
  <c r="D29" i="25"/>
  <c r="B29" i="25"/>
  <c r="A29" i="25"/>
  <c r="E28" i="25"/>
  <c r="D28" i="25"/>
  <c r="B28" i="25"/>
  <c r="A28" i="25"/>
  <c r="E27" i="25"/>
  <c r="D27" i="25"/>
  <c r="B27" i="25"/>
  <c r="A27" i="25"/>
  <c r="E26" i="25"/>
  <c r="D26" i="25"/>
  <c r="B26" i="25"/>
  <c r="A26" i="25"/>
  <c r="E25" i="25"/>
  <c r="D25" i="25"/>
  <c r="B25" i="25"/>
  <c r="A25" i="25"/>
  <c r="E24" i="25"/>
  <c r="D24" i="25"/>
  <c r="B24" i="25"/>
  <c r="A24" i="25"/>
  <c r="E23" i="25"/>
  <c r="D23" i="25"/>
  <c r="B23" i="25"/>
  <c r="A23" i="25"/>
  <c r="E22" i="25"/>
  <c r="D22" i="25"/>
  <c r="B22" i="25"/>
  <c r="A22" i="25"/>
  <c r="E21" i="25"/>
  <c r="D21" i="25"/>
  <c r="B21" i="25"/>
  <c r="A21" i="25"/>
  <c r="E20" i="25"/>
  <c r="D20" i="25"/>
  <c r="B20" i="25"/>
  <c r="A20" i="25"/>
  <c r="E19" i="25"/>
  <c r="D19" i="25"/>
  <c r="B19" i="25"/>
  <c r="A19" i="25"/>
  <c r="E18" i="25"/>
  <c r="D18" i="25"/>
  <c r="B18" i="25"/>
  <c r="A18" i="25"/>
  <c r="E17" i="25"/>
  <c r="D17" i="25"/>
  <c r="C17" i="25"/>
  <c r="B17" i="25"/>
  <c r="A17" i="25"/>
  <c r="E16" i="25"/>
  <c r="D16" i="25"/>
  <c r="B16" i="25"/>
  <c r="A16" i="25"/>
  <c r="E15" i="25"/>
  <c r="D15" i="25"/>
  <c r="B15" i="25"/>
  <c r="A15" i="25"/>
  <c r="E14" i="25"/>
  <c r="D14" i="25"/>
  <c r="C14" i="25"/>
  <c r="B14" i="25"/>
  <c r="A14" i="25"/>
  <c r="E13" i="25"/>
  <c r="D13" i="25"/>
  <c r="C13" i="25"/>
  <c r="B13" i="25"/>
  <c r="A13" i="25"/>
  <c r="E12" i="25"/>
  <c r="D12" i="25"/>
  <c r="C12" i="25"/>
  <c r="B12" i="25"/>
  <c r="A12" i="25"/>
  <c r="E11" i="25"/>
  <c r="D11" i="25"/>
  <c r="C11" i="25"/>
  <c r="B11" i="25"/>
  <c r="A11" i="25"/>
  <c r="E10" i="25"/>
  <c r="D10" i="25"/>
  <c r="B10" i="25"/>
  <c r="A10" i="25"/>
  <c r="E9" i="25"/>
  <c r="D9" i="25"/>
  <c r="B9" i="25"/>
  <c r="A9" i="25"/>
  <c r="E8" i="25"/>
  <c r="D8" i="25"/>
  <c r="B8" i="25"/>
  <c r="A8" i="25"/>
  <c r="E53" i="24"/>
  <c r="D53" i="24"/>
  <c r="B53" i="24"/>
  <c r="A53" i="24"/>
  <c r="E52" i="24"/>
  <c r="D52" i="24"/>
  <c r="C52" i="24"/>
  <c r="B52" i="24"/>
  <c r="A52" i="24"/>
  <c r="E51" i="24"/>
  <c r="D51" i="24"/>
  <c r="B51" i="24"/>
  <c r="A51" i="24"/>
  <c r="E50" i="24"/>
  <c r="D50" i="24"/>
  <c r="C50" i="24"/>
  <c r="B50" i="24"/>
  <c r="A50" i="24"/>
  <c r="E49" i="24"/>
  <c r="D49" i="24"/>
  <c r="C49" i="24"/>
  <c r="B49" i="24"/>
  <c r="A49" i="24"/>
  <c r="E48" i="24"/>
  <c r="D48" i="24"/>
  <c r="C48" i="24"/>
  <c r="B48" i="24"/>
  <c r="A48" i="24"/>
  <c r="E47" i="24"/>
  <c r="D47" i="24"/>
  <c r="C47" i="24"/>
  <c r="B47" i="24"/>
  <c r="A47" i="24"/>
  <c r="E46" i="24"/>
  <c r="D46" i="24"/>
  <c r="C46" i="24"/>
  <c r="B46" i="24"/>
  <c r="A46" i="24"/>
  <c r="E45" i="24"/>
  <c r="D45" i="24"/>
  <c r="B45" i="24"/>
  <c r="A45" i="24"/>
  <c r="E44" i="24"/>
  <c r="D44" i="24"/>
  <c r="B44" i="24"/>
  <c r="A44" i="24"/>
  <c r="E43" i="24"/>
  <c r="D43" i="24"/>
  <c r="C43" i="24"/>
  <c r="B43" i="24"/>
  <c r="A43" i="24"/>
  <c r="E42" i="24"/>
  <c r="D42" i="24"/>
  <c r="C42" i="24"/>
  <c r="B42" i="24"/>
  <c r="A42" i="24"/>
  <c r="E41" i="24"/>
  <c r="D41" i="24"/>
  <c r="B41" i="24"/>
  <c r="A41" i="24"/>
  <c r="E40" i="24"/>
  <c r="D40" i="24"/>
  <c r="B40" i="24"/>
  <c r="A40" i="24"/>
  <c r="E39" i="24"/>
  <c r="D39" i="24"/>
  <c r="B39" i="24"/>
  <c r="A39" i="24"/>
  <c r="E38" i="24"/>
  <c r="D38" i="24"/>
  <c r="B38" i="24"/>
  <c r="A38" i="24"/>
  <c r="E37" i="24"/>
  <c r="D37" i="24"/>
  <c r="B37" i="24"/>
  <c r="A37" i="24"/>
  <c r="E36" i="24"/>
  <c r="D36" i="24"/>
  <c r="B36" i="24"/>
  <c r="A36" i="24"/>
  <c r="E35" i="24"/>
  <c r="D35" i="24"/>
  <c r="B35" i="24"/>
  <c r="A35" i="24"/>
  <c r="E34" i="24"/>
  <c r="D34" i="24"/>
  <c r="B34" i="24"/>
  <c r="A34" i="24"/>
  <c r="E33" i="24"/>
  <c r="D33" i="24"/>
  <c r="B33" i="24"/>
  <c r="A33" i="24"/>
  <c r="E32" i="24"/>
  <c r="D32" i="24"/>
  <c r="B32" i="24"/>
  <c r="A32" i="24"/>
  <c r="E31" i="24"/>
  <c r="D31" i="24"/>
  <c r="C31" i="24"/>
  <c r="B31" i="24"/>
  <c r="A31" i="24"/>
  <c r="E30" i="24"/>
  <c r="D30" i="24"/>
  <c r="C30" i="24"/>
  <c r="B30" i="24"/>
  <c r="A30" i="24"/>
  <c r="E29" i="24"/>
  <c r="D29" i="24"/>
  <c r="B29" i="24"/>
  <c r="A29" i="24"/>
  <c r="E28" i="24"/>
  <c r="D28" i="24"/>
  <c r="B28" i="24"/>
  <c r="A28" i="24"/>
  <c r="E27" i="24"/>
  <c r="D27" i="24"/>
  <c r="B27" i="24"/>
  <c r="A27" i="24"/>
  <c r="E26" i="24"/>
  <c r="D26" i="24"/>
  <c r="B26" i="24"/>
  <c r="A26" i="24"/>
  <c r="E25" i="24"/>
  <c r="D25" i="24"/>
  <c r="B25" i="24"/>
  <c r="A25" i="24"/>
  <c r="E24" i="24"/>
  <c r="D24" i="24"/>
  <c r="B24" i="24"/>
  <c r="A24" i="24"/>
  <c r="E23" i="24"/>
  <c r="D23" i="24"/>
  <c r="B23" i="24"/>
  <c r="A23" i="24"/>
  <c r="E22" i="24"/>
  <c r="D22" i="24"/>
  <c r="B22" i="24"/>
  <c r="A22" i="24"/>
  <c r="E21" i="24"/>
  <c r="D21" i="24"/>
  <c r="B21" i="24"/>
  <c r="A21" i="24"/>
  <c r="E20" i="24"/>
  <c r="D20" i="24"/>
  <c r="B20" i="24"/>
  <c r="A20" i="24"/>
  <c r="E19" i="24"/>
  <c r="D19" i="24"/>
  <c r="B19" i="24"/>
  <c r="A19" i="24"/>
  <c r="E18" i="24"/>
  <c r="D18" i="24"/>
  <c r="B18" i="24"/>
  <c r="A18" i="24"/>
  <c r="E17" i="24"/>
  <c r="D17" i="24"/>
  <c r="C17" i="24"/>
  <c r="B17" i="24"/>
  <c r="A17" i="24"/>
  <c r="E16" i="24"/>
  <c r="D16" i="24"/>
  <c r="B16" i="24"/>
  <c r="A16" i="24"/>
  <c r="E15" i="24"/>
  <c r="D15" i="24"/>
  <c r="B15" i="24"/>
  <c r="A15" i="24"/>
  <c r="E14" i="24"/>
  <c r="D14" i="24"/>
  <c r="C14" i="24"/>
  <c r="B14" i="24"/>
  <c r="A14" i="24"/>
  <c r="E13" i="24"/>
  <c r="D13" i="24"/>
  <c r="C13" i="24"/>
  <c r="B13" i="24"/>
  <c r="A13" i="24"/>
  <c r="E12" i="24"/>
  <c r="D12" i="24"/>
  <c r="C12" i="24"/>
  <c r="B12" i="24"/>
  <c r="A12" i="24"/>
  <c r="E11" i="24"/>
  <c r="D11" i="24"/>
  <c r="C11" i="24"/>
  <c r="B11" i="24"/>
  <c r="A11" i="24"/>
  <c r="E10" i="24"/>
  <c r="D10" i="24"/>
  <c r="B10" i="24"/>
  <c r="A10" i="24"/>
  <c r="E9" i="24"/>
  <c r="D9" i="24"/>
  <c r="B9" i="24"/>
  <c r="A9" i="24"/>
  <c r="E8" i="24"/>
  <c r="D8" i="24"/>
  <c r="B8" i="24"/>
  <c r="A8" i="24"/>
  <c r="E53" i="22"/>
  <c r="D53" i="22"/>
  <c r="B53" i="22"/>
  <c r="A53" i="22"/>
  <c r="E52" i="22"/>
  <c r="D52" i="22"/>
  <c r="C52" i="22"/>
  <c r="B52" i="22"/>
  <c r="A52" i="22"/>
  <c r="E51" i="22"/>
  <c r="D51" i="22"/>
  <c r="B51" i="22"/>
  <c r="A51" i="22"/>
  <c r="E50" i="22"/>
  <c r="D50" i="22"/>
  <c r="C50" i="22"/>
  <c r="B50" i="22"/>
  <c r="A50" i="22"/>
  <c r="E49" i="22"/>
  <c r="D49" i="22"/>
  <c r="C49" i="22"/>
  <c r="B49" i="22"/>
  <c r="A49" i="22"/>
  <c r="E48" i="22"/>
  <c r="D48" i="22"/>
  <c r="C48" i="22"/>
  <c r="B48" i="22"/>
  <c r="A48" i="22"/>
  <c r="E47" i="22"/>
  <c r="D47" i="22"/>
  <c r="C47" i="22"/>
  <c r="B47" i="22"/>
  <c r="A47" i="22"/>
  <c r="E46" i="22"/>
  <c r="D46" i="22"/>
  <c r="C46" i="22"/>
  <c r="B46" i="22"/>
  <c r="A46" i="22"/>
  <c r="E45" i="22"/>
  <c r="D45" i="22"/>
  <c r="B45" i="22"/>
  <c r="A45" i="22"/>
  <c r="E44" i="22"/>
  <c r="D44" i="22"/>
  <c r="B44" i="22"/>
  <c r="A44" i="22"/>
  <c r="E43" i="22"/>
  <c r="D43" i="22"/>
  <c r="C43" i="22"/>
  <c r="B43" i="22"/>
  <c r="A43" i="22"/>
  <c r="E42" i="22"/>
  <c r="D42" i="22"/>
  <c r="C42" i="22"/>
  <c r="B42" i="22"/>
  <c r="A42" i="22"/>
  <c r="E41" i="22"/>
  <c r="D41" i="22"/>
  <c r="B41" i="22"/>
  <c r="A41" i="22"/>
  <c r="E40" i="22"/>
  <c r="D40" i="22"/>
  <c r="B40" i="22"/>
  <c r="A40" i="22"/>
  <c r="E39" i="22"/>
  <c r="D39" i="22"/>
  <c r="B39" i="22"/>
  <c r="A39" i="22"/>
  <c r="E38" i="22"/>
  <c r="D38" i="22"/>
  <c r="B38" i="22"/>
  <c r="A38" i="22"/>
  <c r="E37" i="22"/>
  <c r="D37" i="22"/>
  <c r="B37" i="22"/>
  <c r="A37" i="22"/>
  <c r="E36" i="22"/>
  <c r="D36" i="22"/>
  <c r="B36" i="22"/>
  <c r="A36" i="22"/>
  <c r="E35" i="22"/>
  <c r="D35" i="22"/>
  <c r="B35" i="22"/>
  <c r="A35" i="22"/>
  <c r="E34" i="22"/>
  <c r="D34" i="22"/>
  <c r="B34" i="22"/>
  <c r="A34" i="22"/>
  <c r="E33" i="22"/>
  <c r="D33" i="22"/>
  <c r="B33" i="22"/>
  <c r="A33" i="22"/>
  <c r="E32" i="22"/>
  <c r="D32" i="22"/>
  <c r="B32" i="22"/>
  <c r="A32" i="22"/>
  <c r="E31" i="22"/>
  <c r="D31" i="22"/>
  <c r="C31" i="22"/>
  <c r="B31" i="22"/>
  <c r="A31" i="22"/>
  <c r="E30" i="22"/>
  <c r="D30" i="22"/>
  <c r="C30" i="22"/>
  <c r="B30" i="22"/>
  <c r="A30" i="22"/>
  <c r="E29" i="22"/>
  <c r="D29" i="22"/>
  <c r="B29" i="22"/>
  <c r="A29" i="22"/>
  <c r="E28" i="22"/>
  <c r="D28" i="22"/>
  <c r="B28" i="22"/>
  <c r="A28" i="22"/>
  <c r="E27" i="22"/>
  <c r="D27" i="22"/>
  <c r="B27" i="22"/>
  <c r="A27" i="22"/>
  <c r="E26" i="22"/>
  <c r="D26" i="22"/>
  <c r="B26" i="22"/>
  <c r="A26" i="22"/>
  <c r="E25" i="22"/>
  <c r="D25" i="22"/>
  <c r="B25" i="22"/>
  <c r="A25" i="22"/>
  <c r="E24" i="22"/>
  <c r="D24" i="22"/>
  <c r="B24" i="22"/>
  <c r="A24" i="22"/>
  <c r="E23" i="22"/>
  <c r="D23" i="22"/>
  <c r="B23" i="22"/>
  <c r="A23" i="22"/>
  <c r="E22" i="22"/>
  <c r="D22" i="22"/>
  <c r="B22" i="22"/>
  <c r="A22" i="22"/>
  <c r="E21" i="22"/>
  <c r="D21" i="22"/>
  <c r="B21" i="22"/>
  <c r="A21" i="22"/>
  <c r="E20" i="22"/>
  <c r="D20" i="22"/>
  <c r="B20" i="22"/>
  <c r="A20" i="22"/>
  <c r="E19" i="22"/>
  <c r="D19" i="22"/>
  <c r="B19" i="22"/>
  <c r="A19" i="22"/>
  <c r="E18" i="22"/>
  <c r="D18" i="22"/>
  <c r="B18" i="22"/>
  <c r="A18" i="22"/>
  <c r="E17" i="22"/>
  <c r="D17" i="22"/>
  <c r="C17" i="22"/>
  <c r="B17" i="22"/>
  <c r="A17" i="22"/>
  <c r="E16" i="22"/>
  <c r="D16" i="22"/>
  <c r="B16" i="22"/>
  <c r="A16" i="22"/>
  <c r="E15" i="22"/>
  <c r="D15" i="22"/>
  <c r="B15" i="22"/>
  <c r="A15" i="22"/>
  <c r="E14" i="22"/>
  <c r="D14" i="22"/>
  <c r="C14" i="22"/>
  <c r="B14" i="22"/>
  <c r="A14" i="22"/>
  <c r="E13" i="22"/>
  <c r="D13" i="22"/>
  <c r="C13" i="22"/>
  <c r="B13" i="22"/>
  <c r="A13" i="22"/>
  <c r="E12" i="22"/>
  <c r="D12" i="22"/>
  <c r="C12" i="22"/>
  <c r="B12" i="22"/>
  <c r="A12" i="22"/>
  <c r="E11" i="22"/>
  <c r="D11" i="22"/>
  <c r="C11" i="22"/>
  <c r="B11" i="22"/>
  <c r="A11" i="22"/>
  <c r="E10" i="22"/>
  <c r="D10" i="22"/>
  <c r="B10" i="22"/>
  <c r="A10" i="22"/>
  <c r="E9" i="22"/>
  <c r="D9" i="22"/>
  <c r="B9" i="22"/>
  <c r="A9" i="22"/>
  <c r="E8" i="22"/>
  <c r="D8" i="22"/>
  <c r="B8" i="22"/>
  <c r="A8" i="22"/>
  <c r="E53" i="32"/>
  <c r="D53" i="32"/>
  <c r="B53" i="32"/>
  <c r="A53" i="32"/>
  <c r="E52" i="32"/>
  <c r="D52" i="32"/>
  <c r="C52" i="32"/>
  <c r="B52" i="32"/>
  <c r="A52" i="32"/>
  <c r="E51" i="32"/>
  <c r="D51" i="32"/>
  <c r="B51" i="32"/>
  <c r="A51" i="32"/>
  <c r="E50" i="32"/>
  <c r="D50" i="32"/>
  <c r="C50" i="32"/>
  <c r="B50" i="32"/>
  <c r="A50" i="32"/>
  <c r="E49" i="32"/>
  <c r="D49" i="32"/>
  <c r="C49" i="32"/>
  <c r="B49" i="32"/>
  <c r="A49" i="32"/>
  <c r="E48" i="32"/>
  <c r="D48" i="32"/>
  <c r="C48" i="32"/>
  <c r="B48" i="32"/>
  <c r="A48" i="32"/>
  <c r="E47" i="32"/>
  <c r="D47" i="32"/>
  <c r="C47" i="32"/>
  <c r="B47" i="32"/>
  <c r="A47" i="32"/>
  <c r="E46" i="32"/>
  <c r="D46" i="32"/>
  <c r="C46" i="32"/>
  <c r="B46" i="32"/>
  <c r="A46" i="32"/>
  <c r="E45" i="32"/>
  <c r="D45" i="32"/>
  <c r="B45" i="32"/>
  <c r="A45" i="32"/>
  <c r="E44" i="32"/>
  <c r="D44" i="32"/>
  <c r="B44" i="32"/>
  <c r="A44" i="32"/>
  <c r="E43" i="32"/>
  <c r="D43" i="32"/>
  <c r="C43" i="32"/>
  <c r="B43" i="32"/>
  <c r="A43" i="32"/>
  <c r="E42" i="32"/>
  <c r="D42" i="32"/>
  <c r="C42" i="32"/>
  <c r="B42" i="32"/>
  <c r="A42" i="32"/>
  <c r="E41" i="32"/>
  <c r="D41" i="32"/>
  <c r="B41" i="32"/>
  <c r="A41" i="32"/>
  <c r="E40" i="32"/>
  <c r="D40" i="32"/>
  <c r="B40" i="32"/>
  <c r="A40" i="32"/>
  <c r="E39" i="32"/>
  <c r="D39" i="32"/>
  <c r="B39" i="32"/>
  <c r="A39" i="32"/>
  <c r="E38" i="32"/>
  <c r="D38" i="32"/>
  <c r="B38" i="32"/>
  <c r="A38" i="32"/>
  <c r="E37" i="32"/>
  <c r="D37" i="32"/>
  <c r="B37" i="32"/>
  <c r="A37" i="32"/>
  <c r="E36" i="32"/>
  <c r="D36" i="32"/>
  <c r="B36" i="32"/>
  <c r="A36" i="32"/>
  <c r="E35" i="32"/>
  <c r="D35" i="32"/>
  <c r="B35" i="32"/>
  <c r="A35" i="32"/>
  <c r="E34" i="32"/>
  <c r="D34" i="32"/>
  <c r="B34" i="32"/>
  <c r="A34" i="32"/>
  <c r="E33" i="32"/>
  <c r="D33" i="32"/>
  <c r="B33" i="32"/>
  <c r="A33" i="32"/>
  <c r="E32" i="32"/>
  <c r="D32" i="32"/>
  <c r="B32" i="32"/>
  <c r="A32" i="32"/>
  <c r="E31" i="32"/>
  <c r="D31" i="32"/>
  <c r="C31" i="32"/>
  <c r="B31" i="32"/>
  <c r="A31" i="32"/>
  <c r="E30" i="32"/>
  <c r="D30" i="32"/>
  <c r="C30" i="32"/>
  <c r="B30" i="32"/>
  <c r="A30" i="32"/>
  <c r="E29" i="32"/>
  <c r="D29" i="32"/>
  <c r="B29" i="32"/>
  <c r="A29" i="32"/>
  <c r="E28" i="32"/>
  <c r="D28" i="32"/>
  <c r="B28" i="32"/>
  <c r="A28" i="32"/>
  <c r="E27" i="32"/>
  <c r="D27" i="32"/>
  <c r="B27" i="32"/>
  <c r="A27" i="32"/>
  <c r="E26" i="32"/>
  <c r="D26" i="32"/>
  <c r="B26" i="32"/>
  <c r="A26" i="32"/>
  <c r="E25" i="32"/>
  <c r="D25" i="32"/>
  <c r="B25" i="32"/>
  <c r="A25" i="32"/>
  <c r="E24" i="32"/>
  <c r="D24" i="32"/>
  <c r="B24" i="32"/>
  <c r="A24" i="32"/>
  <c r="E23" i="32"/>
  <c r="D23" i="32"/>
  <c r="B23" i="32"/>
  <c r="A23" i="32"/>
  <c r="E22" i="32"/>
  <c r="D22" i="32"/>
  <c r="B22" i="32"/>
  <c r="A22" i="32"/>
  <c r="E21" i="32"/>
  <c r="D21" i="32"/>
  <c r="B21" i="32"/>
  <c r="A21" i="32"/>
  <c r="E20" i="32"/>
  <c r="D20" i="32"/>
  <c r="B20" i="32"/>
  <c r="A20" i="32"/>
  <c r="E19" i="32"/>
  <c r="D19" i="32"/>
  <c r="B19" i="32"/>
  <c r="A19" i="32"/>
  <c r="E18" i="32"/>
  <c r="D18" i="32"/>
  <c r="B18" i="32"/>
  <c r="A18" i="32"/>
  <c r="E17" i="32"/>
  <c r="D17" i="32"/>
  <c r="C17" i="32"/>
  <c r="B17" i="32"/>
  <c r="A17" i="32"/>
  <c r="E16" i="32"/>
  <c r="D16" i="32"/>
  <c r="B16" i="32"/>
  <c r="A16" i="32"/>
  <c r="E15" i="32"/>
  <c r="D15" i="32"/>
  <c r="B15" i="32"/>
  <c r="A15" i="32"/>
  <c r="E14" i="32"/>
  <c r="D14" i="32"/>
  <c r="C14" i="32"/>
  <c r="B14" i="32"/>
  <c r="A14" i="32"/>
  <c r="E13" i="32"/>
  <c r="D13" i="32"/>
  <c r="C13" i="32"/>
  <c r="B13" i="32"/>
  <c r="A13" i="32"/>
  <c r="E12" i="32"/>
  <c r="D12" i="32"/>
  <c r="C12" i="32"/>
  <c r="B12" i="32"/>
  <c r="A12" i="32"/>
  <c r="E11" i="32"/>
  <c r="D11" i="32"/>
  <c r="C11" i="32"/>
  <c r="B11" i="32"/>
  <c r="A11" i="32"/>
  <c r="E10" i="32"/>
  <c r="D10" i="32"/>
  <c r="B10" i="32"/>
  <c r="A10" i="32"/>
  <c r="E9" i="32"/>
  <c r="D9" i="32"/>
  <c r="B9" i="32"/>
  <c r="A9" i="32"/>
  <c r="E8" i="32"/>
  <c r="D8" i="32"/>
  <c r="B8" i="32"/>
  <c r="A8" i="32"/>
  <c r="P53" i="40"/>
  <c r="H53" i="40"/>
  <c r="I53" i="40" s="1"/>
  <c r="G53" i="40"/>
  <c r="F53" i="40"/>
  <c r="H53" i="37"/>
  <c r="O53" i="37"/>
  <c r="I53" i="27"/>
  <c r="F53" i="27"/>
  <c r="P53" i="27"/>
  <c r="I53" i="44"/>
  <c r="F53" i="44"/>
  <c r="P53" i="44"/>
  <c r="P53" i="50"/>
  <c r="H53" i="50"/>
  <c r="I53" i="50" s="1"/>
  <c r="G53" i="50"/>
  <c r="F53" i="50"/>
  <c r="H53" i="26"/>
  <c r="I53" i="26" s="1"/>
  <c r="G53" i="26"/>
  <c r="F53" i="26"/>
  <c r="P53" i="25"/>
  <c r="H53" i="25"/>
  <c r="I53" i="25" s="1"/>
  <c r="G53" i="25"/>
  <c r="F53" i="25"/>
  <c r="P53" i="24"/>
  <c r="H53" i="24"/>
  <c r="I53" i="24" s="1"/>
  <c r="G53" i="24"/>
  <c r="J53" i="24" s="1"/>
  <c r="F53" i="24"/>
  <c r="H53" i="22"/>
  <c r="I53" i="22" s="1"/>
  <c r="F53" i="22"/>
  <c r="P53" i="22"/>
  <c r="G53" i="32"/>
  <c r="H53" i="32" s="1"/>
  <c r="F53" i="32"/>
  <c r="O53" i="32"/>
  <c r="G53" i="31"/>
  <c r="H53" i="31" s="1"/>
  <c r="E53" i="31"/>
  <c r="D53" i="31"/>
  <c r="B53" i="31"/>
  <c r="A53" i="31"/>
  <c r="E52" i="31"/>
  <c r="D52" i="31"/>
  <c r="C52" i="31"/>
  <c r="B52" i="31"/>
  <c r="A52" i="31"/>
  <c r="E51" i="31"/>
  <c r="D51" i="31"/>
  <c r="B51" i="31"/>
  <c r="A51" i="31"/>
  <c r="E50" i="31"/>
  <c r="D50" i="31"/>
  <c r="C50" i="31"/>
  <c r="B50" i="31"/>
  <c r="A50" i="31"/>
  <c r="E49" i="31"/>
  <c r="D49" i="31"/>
  <c r="C49" i="31"/>
  <c r="B49" i="31"/>
  <c r="A49" i="31"/>
  <c r="E48" i="31"/>
  <c r="D48" i="31"/>
  <c r="C48" i="31"/>
  <c r="B48" i="31"/>
  <c r="A48" i="31"/>
  <c r="E47" i="31"/>
  <c r="D47" i="31"/>
  <c r="C47" i="31"/>
  <c r="B47" i="31"/>
  <c r="A47" i="31"/>
  <c r="E46" i="31"/>
  <c r="D46" i="31"/>
  <c r="C46" i="31"/>
  <c r="B46" i="31"/>
  <c r="A46" i="31"/>
  <c r="E45" i="31"/>
  <c r="D45" i="31"/>
  <c r="B45" i="31"/>
  <c r="A45" i="31"/>
  <c r="E44" i="31"/>
  <c r="D44" i="31"/>
  <c r="B44" i="31"/>
  <c r="A44" i="31"/>
  <c r="E43" i="31"/>
  <c r="D43" i="31"/>
  <c r="C43" i="31"/>
  <c r="B43" i="31"/>
  <c r="A43" i="31"/>
  <c r="E42" i="31"/>
  <c r="D42" i="31"/>
  <c r="C42" i="31"/>
  <c r="B42" i="31"/>
  <c r="A42" i="31"/>
  <c r="E41" i="31"/>
  <c r="D41" i="31"/>
  <c r="B41" i="31"/>
  <c r="A41" i="31"/>
  <c r="E40" i="31"/>
  <c r="D40" i="31"/>
  <c r="B40" i="31"/>
  <c r="A40" i="31"/>
  <c r="E39" i="31"/>
  <c r="D39" i="31"/>
  <c r="B39" i="31"/>
  <c r="A39" i="31"/>
  <c r="E38" i="31"/>
  <c r="D38" i="31"/>
  <c r="B38" i="31"/>
  <c r="A38" i="31"/>
  <c r="E37" i="31"/>
  <c r="D37" i="31"/>
  <c r="B37" i="31"/>
  <c r="A37" i="31"/>
  <c r="E36" i="31"/>
  <c r="D36" i="31"/>
  <c r="B36" i="31"/>
  <c r="A36" i="31"/>
  <c r="E35" i="31"/>
  <c r="D35" i="31"/>
  <c r="B35" i="31"/>
  <c r="A35" i="31"/>
  <c r="E34" i="31"/>
  <c r="D34" i="31"/>
  <c r="B34" i="31"/>
  <c r="A34" i="31"/>
  <c r="E33" i="31"/>
  <c r="D33" i="31"/>
  <c r="B33" i="31"/>
  <c r="A33" i="31"/>
  <c r="E32" i="31"/>
  <c r="D32" i="31"/>
  <c r="B32" i="31"/>
  <c r="A32" i="31"/>
  <c r="E31" i="31"/>
  <c r="D31" i="31"/>
  <c r="C31" i="31"/>
  <c r="B31" i="31"/>
  <c r="A31" i="31"/>
  <c r="E30" i="31"/>
  <c r="D30" i="31"/>
  <c r="C30" i="31"/>
  <c r="B30" i="31"/>
  <c r="A30" i="31"/>
  <c r="E29" i="31"/>
  <c r="D29" i="31"/>
  <c r="B29" i="31"/>
  <c r="A29" i="31"/>
  <c r="E28" i="31"/>
  <c r="D28" i="31"/>
  <c r="B28" i="31"/>
  <c r="A28" i="31"/>
  <c r="E27" i="31"/>
  <c r="D27" i="31"/>
  <c r="B27" i="31"/>
  <c r="A27" i="31"/>
  <c r="E26" i="31"/>
  <c r="D26" i="31"/>
  <c r="B26" i="31"/>
  <c r="A26" i="31"/>
  <c r="E25" i="31"/>
  <c r="D25" i="31"/>
  <c r="B25" i="31"/>
  <c r="A25" i="31"/>
  <c r="E24" i="31"/>
  <c r="D24" i="31"/>
  <c r="B24" i="31"/>
  <c r="A24" i="31"/>
  <c r="E23" i="31"/>
  <c r="D23" i="31"/>
  <c r="B23" i="31"/>
  <c r="A23" i="31"/>
  <c r="E22" i="31"/>
  <c r="D22" i="31"/>
  <c r="B22" i="31"/>
  <c r="A22" i="31"/>
  <c r="E21" i="31"/>
  <c r="D21" i="31"/>
  <c r="B21" i="31"/>
  <c r="A21" i="31"/>
  <c r="E20" i="31"/>
  <c r="D20" i="31"/>
  <c r="B20" i="31"/>
  <c r="A20" i="31"/>
  <c r="E19" i="31"/>
  <c r="D19" i="31"/>
  <c r="B19" i="31"/>
  <c r="A19" i="31"/>
  <c r="E18" i="31"/>
  <c r="D18" i="31"/>
  <c r="B18" i="31"/>
  <c r="A18" i="31"/>
  <c r="E17" i="31"/>
  <c r="D17" i="31"/>
  <c r="C17" i="31"/>
  <c r="B17" i="31"/>
  <c r="A17" i="31"/>
  <c r="E16" i="31"/>
  <c r="D16" i="31"/>
  <c r="B16" i="31"/>
  <c r="A16" i="31"/>
  <c r="E15" i="31"/>
  <c r="D15" i="31"/>
  <c r="B15" i="31"/>
  <c r="A15" i="31"/>
  <c r="E14" i="31"/>
  <c r="D14" i="31"/>
  <c r="C14" i="31"/>
  <c r="B14" i="31"/>
  <c r="A14" i="31"/>
  <c r="E13" i="31"/>
  <c r="D13" i="31"/>
  <c r="C13" i="31"/>
  <c r="B13" i="31"/>
  <c r="A13" i="31"/>
  <c r="E12" i="31"/>
  <c r="D12" i="31"/>
  <c r="C12" i="31"/>
  <c r="B12" i="31"/>
  <c r="A12" i="31"/>
  <c r="E11" i="31"/>
  <c r="D11" i="31"/>
  <c r="C11" i="31"/>
  <c r="B11" i="31"/>
  <c r="A11" i="31"/>
  <c r="E10" i="31"/>
  <c r="D10" i="31"/>
  <c r="B10" i="31"/>
  <c r="A10" i="31"/>
  <c r="E9" i="31"/>
  <c r="D9" i="31"/>
  <c r="B9" i="31"/>
  <c r="A9" i="31"/>
  <c r="E8" i="31"/>
  <c r="D8" i="31"/>
  <c r="B8" i="31"/>
  <c r="A8" i="31"/>
  <c r="H53" i="30"/>
  <c r="G53" i="30"/>
  <c r="E53" i="30"/>
  <c r="D53" i="30"/>
  <c r="B53" i="30"/>
  <c r="A53" i="30"/>
  <c r="O53" i="30" s="1"/>
  <c r="E52" i="30"/>
  <c r="D52" i="30"/>
  <c r="C52" i="30"/>
  <c r="B52" i="30"/>
  <c r="A52" i="30"/>
  <c r="E51" i="30"/>
  <c r="D51" i="30"/>
  <c r="B51" i="30"/>
  <c r="A51" i="30"/>
  <c r="E50" i="30"/>
  <c r="D50" i="30"/>
  <c r="C50" i="30"/>
  <c r="B50" i="30"/>
  <c r="A50" i="30"/>
  <c r="E49" i="30"/>
  <c r="D49" i="30"/>
  <c r="C49" i="30"/>
  <c r="B49" i="30"/>
  <c r="A49" i="30"/>
  <c r="E48" i="30"/>
  <c r="D48" i="30"/>
  <c r="C48" i="30"/>
  <c r="B48" i="30"/>
  <c r="A48" i="30"/>
  <c r="E47" i="30"/>
  <c r="D47" i="30"/>
  <c r="C47" i="30"/>
  <c r="B47" i="30"/>
  <c r="A47" i="30"/>
  <c r="E46" i="30"/>
  <c r="D46" i="30"/>
  <c r="C46" i="30"/>
  <c r="B46" i="30"/>
  <c r="A46" i="30"/>
  <c r="E45" i="30"/>
  <c r="D45" i="30"/>
  <c r="B45" i="30"/>
  <c r="A45" i="30"/>
  <c r="E44" i="30"/>
  <c r="D44" i="30"/>
  <c r="B44" i="30"/>
  <c r="A44" i="30"/>
  <c r="E43" i="30"/>
  <c r="D43" i="30"/>
  <c r="C43" i="30"/>
  <c r="B43" i="30"/>
  <c r="A43" i="30"/>
  <c r="E42" i="30"/>
  <c r="D42" i="30"/>
  <c r="C42" i="30"/>
  <c r="B42" i="30"/>
  <c r="A42" i="30"/>
  <c r="E41" i="30"/>
  <c r="D41" i="30"/>
  <c r="B41" i="30"/>
  <c r="A41" i="30"/>
  <c r="E40" i="30"/>
  <c r="D40" i="30"/>
  <c r="B40" i="30"/>
  <c r="A40" i="30"/>
  <c r="E39" i="30"/>
  <c r="D39" i="30"/>
  <c r="B39" i="30"/>
  <c r="A39" i="30"/>
  <c r="E38" i="30"/>
  <c r="D38" i="30"/>
  <c r="B38" i="30"/>
  <c r="A38" i="30"/>
  <c r="E37" i="30"/>
  <c r="D37" i="30"/>
  <c r="B37" i="30"/>
  <c r="A37" i="30"/>
  <c r="E36" i="30"/>
  <c r="D36" i="30"/>
  <c r="B36" i="30"/>
  <c r="A36" i="30"/>
  <c r="E35" i="30"/>
  <c r="D35" i="30"/>
  <c r="B35" i="30"/>
  <c r="A35" i="30"/>
  <c r="E34" i="30"/>
  <c r="D34" i="30"/>
  <c r="B34" i="30"/>
  <c r="A34" i="30"/>
  <c r="E33" i="30"/>
  <c r="D33" i="30"/>
  <c r="B33" i="30"/>
  <c r="A33" i="30"/>
  <c r="E32" i="30"/>
  <c r="D32" i="30"/>
  <c r="B32" i="30"/>
  <c r="A32" i="30"/>
  <c r="E31" i="30"/>
  <c r="D31" i="30"/>
  <c r="C31" i="30"/>
  <c r="B31" i="30"/>
  <c r="A31" i="30"/>
  <c r="E30" i="30"/>
  <c r="D30" i="30"/>
  <c r="C30" i="30"/>
  <c r="B30" i="30"/>
  <c r="A30" i="30"/>
  <c r="E29" i="30"/>
  <c r="D29" i="30"/>
  <c r="B29" i="30"/>
  <c r="A29" i="30"/>
  <c r="E28" i="30"/>
  <c r="D28" i="30"/>
  <c r="B28" i="30"/>
  <c r="A28" i="30"/>
  <c r="E27" i="30"/>
  <c r="D27" i="30"/>
  <c r="B27" i="30"/>
  <c r="A27" i="30"/>
  <c r="E26" i="30"/>
  <c r="D26" i="30"/>
  <c r="B26" i="30"/>
  <c r="A26" i="30"/>
  <c r="E25" i="30"/>
  <c r="D25" i="30"/>
  <c r="B25" i="30"/>
  <c r="A25" i="30"/>
  <c r="E24" i="30"/>
  <c r="D24" i="30"/>
  <c r="B24" i="30"/>
  <c r="A24" i="30"/>
  <c r="E23" i="30"/>
  <c r="D23" i="30"/>
  <c r="B23" i="30"/>
  <c r="A23" i="30"/>
  <c r="E22" i="30"/>
  <c r="D22" i="30"/>
  <c r="B22" i="30"/>
  <c r="A22" i="30"/>
  <c r="E21" i="30"/>
  <c r="D21" i="30"/>
  <c r="B21" i="30"/>
  <c r="A21" i="30"/>
  <c r="E20" i="30"/>
  <c r="D20" i="30"/>
  <c r="B20" i="30"/>
  <c r="A20" i="30"/>
  <c r="E19" i="30"/>
  <c r="D19" i="30"/>
  <c r="B19" i="30"/>
  <c r="A19" i="30"/>
  <c r="E18" i="30"/>
  <c r="D18" i="30"/>
  <c r="B18" i="30"/>
  <c r="A18" i="30"/>
  <c r="E17" i="30"/>
  <c r="D17" i="30"/>
  <c r="C17" i="30"/>
  <c r="B17" i="30"/>
  <c r="A17" i="30"/>
  <c r="E16" i="30"/>
  <c r="D16" i="30"/>
  <c r="B16" i="30"/>
  <c r="A16" i="30"/>
  <c r="E15" i="30"/>
  <c r="D15" i="30"/>
  <c r="B15" i="30"/>
  <c r="A15" i="30"/>
  <c r="E14" i="30"/>
  <c r="D14" i="30"/>
  <c r="C14" i="30"/>
  <c r="B14" i="30"/>
  <c r="A14" i="30"/>
  <c r="E13" i="30"/>
  <c r="D13" i="30"/>
  <c r="C13" i="30"/>
  <c r="B13" i="30"/>
  <c r="A13" i="30"/>
  <c r="E12" i="30"/>
  <c r="D12" i="30"/>
  <c r="C12" i="30"/>
  <c r="B12" i="30"/>
  <c r="A12" i="30"/>
  <c r="E11" i="30"/>
  <c r="D11" i="30"/>
  <c r="C11" i="30"/>
  <c r="B11" i="30"/>
  <c r="A11" i="30"/>
  <c r="E10" i="30"/>
  <c r="D10" i="30"/>
  <c r="B10" i="30"/>
  <c r="A10" i="30"/>
  <c r="E9" i="30"/>
  <c r="D9" i="30"/>
  <c r="B9" i="30"/>
  <c r="A9" i="30"/>
  <c r="E8" i="30"/>
  <c r="D8" i="30"/>
  <c r="B8" i="30"/>
  <c r="A8" i="30"/>
  <c r="G53" i="29"/>
  <c r="E53" i="29"/>
  <c r="D53" i="29"/>
  <c r="B53" i="29"/>
  <c r="A53" i="29"/>
  <c r="E52" i="29"/>
  <c r="D52" i="29"/>
  <c r="C52" i="29"/>
  <c r="B52" i="29"/>
  <c r="A52" i="29"/>
  <c r="E51" i="29"/>
  <c r="D51" i="29"/>
  <c r="B51" i="29"/>
  <c r="A51" i="29"/>
  <c r="E50" i="29"/>
  <c r="D50" i="29"/>
  <c r="C50" i="29"/>
  <c r="B50" i="29"/>
  <c r="A50" i="29"/>
  <c r="E49" i="29"/>
  <c r="D49" i="29"/>
  <c r="C49" i="29"/>
  <c r="B49" i="29"/>
  <c r="A49" i="29"/>
  <c r="E48" i="29"/>
  <c r="D48" i="29"/>
  <c r="C48" i="29"/>
  <c r="B48" i="29"/>
  <c r="A48" i="29"/>
  <c r="E47" i="29"/>
  <c r="D47" i="29"/>
  <c r="C47" i="29"/>
  <c r="B47" i="29"/>
  <c r="A47" i="29"/>
  <c r="E46" i="29"/>
  <c r="D46" i="29"/>
  <c r="C46" i="29"/>
  <c r="B46" i="29"/>
  <c r="A46" i="29"/>
  <c r="E45" i="29"/>
  <c r="D45" i="29"/>
  <c r="B45" i="29"/>
  <c r="A45" i="29"/>
  <c r="E44" i="29"/>
  <c r="D44" i="29"/>
  <c r="B44" i="29"/>
  <c r="A44" i="29"/>
  <c r="E43" i="29"/>
  <c r="D43" i="29"/>
  <c r="C43" i="29"/>
  <c r="B43" i="29"/>
  <c r="A43" i="29"/>
  <c r="E42" i="29"/>
  <c r="D42" i="29"/>
  <c r="C42" i="29"/>
  <c r="B42" i="29"/>
  <c r="A42" i="29"/>
  <c r="E41" i="29"/>
  <c r="D41" i="29"/>
  <c r="B41" i="29"/>
  <c r="A41" i="29"/>
  <c r="E40" i="29"/>
  <c r="D40" i="29"/>
  <c r="B40" i="29"/>
  <c r="A40" i="29"/>
  <c r="E39" i="29"/>
  <c r="D39" i="29"/>
  <c r="B39" i="29"/>
  <c r="A39" i="29"/>
  <c r="E38" i="29"/>
  <c r="D38" i="29"/>
  <c r="B38" i="29"/>
  <c r="A38" i="29"/>
  <c r="E37" i="29"/>
  <c r="D37" i="29"/>
  <c r="B37" i="29"/>
  <c r="A37" i="29"/>
  <c r="E36" i="29"/>
  <c r="D36" i="29"/>
  <c r="B36" i="29"/>
  <c r="A36" i="29"/>
  <c r="E35" i="29"/>
  <c r="D35" i="29"/>
  <c r="B35" i="29"/>
  <c r="A35" i="29"/>
  <c r="E34" i="29"/>
  <c r="D34" i="29"/>
  <c r="B34" i="29"/>
  <c r="A34" i="29"/>
  <c r="E33" i="29"/>
  <c r="D33" i="29"/>
  <c r="B33" i="29"/>
  <c r="A33" i="29"/>
  <c r="E32" i="29"/>
  <c r="D32" i="29"/>
  <c r="B32" i="29"/>
  <c r="A32" i="29"/>
  <c r="E31" i="29"/>
  <c r="D31" i="29"/>
  <c r="C31" i="29"/>
  <c r="B31" i="29"/>
  <c r="A31" i="29"/>
  <c r="E30" i="29"/>
  <c r="D30" i="29"/>
  <c r="C30" i="29"/>
  <c r="B30" i="29"/>
  <c r="A30" i="29"/>
  <c r="E29" i="29"/>
  <c r="D29" i="29"/>
  <c r="B29" i="29"/>
  <c r="A29" i="29"/>
  <c r="E28" i="29"/>
  <c r="D28" i="29"/>
  <c r="B28" i="29"/>
  <c r="A28" i="29"/>
  <c r="E27" i="29"/>
  <c r="D27" i="29"/>
  <c r="B27" i="29"/>
  <c r="A27" i="29"/>
  <c r="E26" i="29"/>
  <c r="D26" i="29"/>
  <c r="B26" i="29"/>
  <c r="A26" i="29"/>
  <c r="E25" i="29"/>
  <c r="D25" i="29"/>
  <c r="B25" i="29"/>
  <c r="A25" i="29"/>
  <c r="E24" i="29"/>
  <c r="D24" i="29"/>
  <c r="B24" i="29"/>
  <c r="A24" i="29"/>
  <c r="E23" i="29"/>
  <c r="D23" i="29"/>
  <c r="B23" i="29"/>
  <c r="A23" i="29"/>
  <c r="E22" i="29"/>
  <c r="D22" i="29"/>
  <c r="B22" i="29"/>
  <c r="A22" i="29"/>
  <c r="E21" i="29"/>
  <c r="D21" i="29"/>
  <c r="B21" i="29"/>
  <c r="A21" i="29"/>
  <c r="E20" i="29"/>
  <c r="D20" i="29"/>
  <c r="B20" i="29"/>
  <c r="A20" i="29"/>
  <c r="E19" i="29"/>
  <c r="D19" i="29"/>
  <c r="B19" i="29"/>
  <c r="A19" i="29"/>
  <c r="E18" i="29"/>
  <c r="D18" i="29"/>
  <c r="B18" i="29"/>
  <c r="A18" i="29"/>
  <c r="E17" i="29"/>
  <c r="D17" i="29"/>
  <c r="C17" i="29"/>
  <c r="B17" i="29"/>
  <c r="A17" i="29"/>
  <c r="E16" i="29"/>
  <c r="D16" i="29"/>
  <c r="B16" i="29"/>
  <c r="A16" i="29"/>
  <c r="E15" i="29"/>
  <c r="D15" i="29"/>
  <c r="B15" i="29"/>
  <c r="A15" i="29"/>
  <c r="E14" i="29"/>
  <c r="D14" i="29"/>
  <c r="C14" i="29"/>
  <c r="B14" i="29"/>
  <c r="A14" i="29"/>
  <c r="E13" i="29"/>
  <c r="D13" i="29"/>
  <c r="C13" i="29"/>
  <c r="B13" i="29"/>
  <c r="A13" i="29"/>
  <c r="E12" i="29"/>
  <c r="D12" i="29"/>
  <c r="C12" i="29"/>
  <c r="B12" i="29"/>
  <c r="A12" i="29"/>
  <c r="E11" i="29"/>
  <c r="D11" i="29"/>
  <c r="C11" i="29"/>
  <c r="B11" i="29"/>
  <c r="A11" i="29"/>
  <c r="E10" i="29"/>
  <c r="D10" i="29"/>
  <c r="B10" i="29"/>
  <c r="A10" i="29"/>
  <c r="E9" i="29"/>
  <c r="D9" i="29"/>
  <c r="B9" i="29"/>
  <c r="A9" i="29"/>
  <c r="E8" i="29"/>
  <c r="D8" i="29"/>
  <c r="B8" i="29"/>
  <c r="A8" i="29"/>
  <c r="O53" i="31" l="1"/>
  <c r="F53" i="31"/>
  <c r="I53" i="31" s="1"/>
  <c r="J53" i="40"/>
  <c r="F53" i="37"/>
  <c r="I53" i="37" s="1"/>
  <c r="G53" i="27"/>
  <c r="G53" i="44"/>
  <c r="J53" i="44" s="1"/>
  <c r="J53" i="50"/>
  <c r="J53" i="26"/>
  <c r="P53" i="26"/>
  <c r="J53" i="25"/>
  <c r="L53" i="24"/>
  <c r="K53" i="24"/>
  <c r="M53" i="24" s="1"/>
  <c r="G53" i="22"/>
  <c r="J53" i="22" s="1"/>
  <c r="I53" i="32"/>
  <c r="F53" i="30"/>
  <c r="I53" i="30" s="1"/>
  <c r="O53" i="29"/>
  <c r="F53" i="29"/>
  <c r="K53" i="40" l="1"/>
  <c r="M53" i="40" s="1"/>
  <c r="L53" i="40"/>
  <c r="K53" i="37"/>
  <c r="J53" i="37"/>
  <c r="L53" i="37" s="1"/>
  <c r="J53" i="27"/>
  <c r="K53" i="44"/>
  <c r="M53" i="44" s="1"/>
  <c r="L53" i="44"/>
  <c r="L53" i="50"/>
  <c r="K53" i="50"/>
  <c r="M53" i="50" s="1"/>
  <c r="K53" i="26"/>
  <c r="M53" i="26" s="1"/>
  <c r="L53" i="26"/>
  <c r="L53" i="25"/>
  <c r="K53" i="25"/>
  <c r="M53" i="25" s="1"/>
  <c r="L53" i="22"/>
  <c r="K53" i="22"/>
  <c r="M53" i="22" s="1"/>
  <c r="K53" i="32"/>
  <c r="J53" i="32"/>
  <c r="L53" i="32" s="1"/>
  <c r="J53" i="31"/>
  <c r="L53" i="31" s="1"/>
  <c r="K53" i="31"/>
  <c r="K53" i="30"/>
  <c r="J53" i="30"/>
  <c r="L53" i="30" s="1"/>
  <c r="K53" i="27" l="1"/>
  <c r="M53" i="27" s="1"/>
  <c r="L53" i="27"/>
  <c r="F47" i="1" l="1"/>
  <c r="D54" i="1"/>
  <c r="AU49" i="1"/>
  <c r="AT49" i="1"/>
  <c r="AS49" i="1"/>
  <c r="Y49" i="1"/>
  <c r="X49" i="1"/>
  <c r="W49" i="1"/>
  <c r="V49" i="1"/>
  <c r="U49" i="1"/>
  <c r="T49" i="1"/>
  <c r="S49" i="1"/>
  <c r="R49" i="1"/>
  <c r="E49" i="1"/>
  <c r="AU47" i="1"/>
  <c r="AT47" i="1"/>
  <c r="AS47" i="1"/>
  <c r="AH47" i="1"/>
  <c r="AG47" i="1"/>
  <c r="AF47" i="1"/>
  <c r="AE47" i="1"/>
  <c r="AD47" i="1"/>
  <c r="AC47" i="1"/>
  <c r="AB47" i="1"/>
  <c r="AA47" i="1"/>
  <c r="Y47" i="1"/>
  <c r="X47" i="1"/>
  <c r="W47" i="1"/>
  <c r="V47" i="1"/>
  <c r="U47" i="1"/>
  <c r="T47" i="1"/>
  <c r="S47" i="1"/>
  <c r="R47" i="1"/>
  <c r="E47" i="1"/>
  <c r="B45" i="67"/>
  <c r="C45" i="67" s="1"/>
  <c r="AU44" i="1"/>
  <c r="AT44" i="1"/>
  <c r="AS44" i="1"/>
  <c r="AH44" i="1"/>
  <c r="AG44" i="1"/>
  <c r="AF44" i="1"/>
  <c r="AE44" i="1"/>
  <c r="AD44" i="1"/>
  <c r="AC44" i="1"/>
  <c r="AB44" i="1"/>
  <c r="AA44" i="1"/>
  <c r="Y44" i="1"/>
  <c r="X44" i="1"/>
  <c r="W44" i="1"/>
  <c r="V44" i="1"/>
  <c r="U44" i="1"/>
  <c r="T44" i="1"/>
  <c r="S44" i="1"/>
  <c r="R44" i="1"/>
  <c r="F44" i="1"/>
  <c r="E44" i="1"/>
  <c r="AU21" i="1"/>
  <c r="AT21" i="1"/>
  <c r="AS21" i="1"/>
  <c r="AH21" i="1"/>
  <c r="AG21" i="1"/>
  <c r="AF21" i="1"/>
  <c r="AE21" i="1"/>
  <c r="AD21" i="1"/>
  <c r="AC21" i="1"/>
  <c r="AB21" i="1"/>
  <c r="AA21" i="1"/>
  <c r="Y21" i="1"/>
  <c r="X21" i="1"/>
  <c r="W21" i="1"/>
  <c r="V21" i="1"/>
  <c r="U21" i="1"/>
  <c r="T21" i="1"/>
  <c r="S21" i="1"/>
  <c r="R21" i="1"/>
  <c r="F21" i="1"/>
  <c r="E21" i="1"/>
  <c r="AU15" i="1"/>
  <c r="AT15" i="1"/>
  <c r="AS15" i="1"/>
  <c r="AH15" i="1"/>
  <c r="AG15" i="1"/>
  <c r="AF15" i="1"/>
  <c r="AE15" i="1"/>
  <c r="AD15" i="1"/>
  <c r="AC15" i="1"/>
  <c r="AB15" i="1"/>
  <c r="AA15" i="1"/>
  <c r="Y15" i="1"/>
  <c r="X15" i="1"/>
  <c r="W15" i="1"/>
  <c r="V15" i="1"/>
  <c r="U15" i="1"/>
  <c r="T15" i="1"/>
  <c r="S15" i="1"/>
  <c r="R15" i="1"/>
  <c r="F15" i="1"/>
  <c r="E15" i="1"/>
  <c r="AU36" i="1"/>
  <c r="AT36" i="1"/>
  <c r="AS36" i="1"/>
  <c r="Y36" i="1"/>
  <c r="X36" i="1"/>
  <c r="W36" i="1"/>
  <c r="V36" i="1"/>
  <c r="U36" i="1"/>
  <c r="T36" i="1"/>
  <c r="S36" i="1"/>
  <c r="R36" i="1"/>
  <c r="AU37" i="1"/>
  <c r="AT37" i="1"/>
  <c r="AS37" i="1"/>
  <c r="Y37" i="1"/>
  <c r="X37" i="1"/>
  <c r="W37" i="1"/>
  <c r="V37" i="1"/>
  <c r="U37" i="1"/>
  <c r="T37" i="1"/>
  <c r="S37" i="1"/>
  <c r="R37" i="1"/>
  <c r="AU35" i="1"/>
  <c r="AT35" i="1"/>
  <c r="AS35" i="1"/>
  <c r="AH35" i="1"/>
  <c r="AG35" i="1"/>
  <c r="AF35" i="1"/>
  <c r="AE35" i="1"/>
  <c r="AD35" i="1"/>
  <c r="AC35" i="1"/>
  <c r="AB35" i="1"/>
  <c r="AA35" i="1"/>
  <c r="Y35" i="1"/>
  <c r="X35" i="1"/>
  <c r="W35" i="1"/>
  <c r="V35" i="1"/>
  <c r="U35" i="1"/>
  <c r="T35" i="1"/>
  <c r="S35" i="1"/>
  <c r="R35" i="1"/>
  <c r="F35" i="1"/>
  <c r="E35" i="1"/>
  <c r="AU39" i="1"/>
  <c r="AT39" i="1"/>
  <c r="AS39" i="1"/>
  <c r="AH39" i="1"/>
  <c r="AG39" i="1"/>
  <c r="AF39" i="1"/>
  <c r="AE39" i="1"/>
  <c r="AD39" i="1"/>
  <c r="AC39" i="1"/>
  <c r="AB39" i="1"/>
  <c r="AA39" i="1"/>
  <c r="Y39" i="1"/>
  <c r="X39" i="1"/>
  <c r="W39" i="1"/>
  <c r="V39" i="1"/>
  <c r="U39" i="1"/>
  <c r="T39" i="1"/>
  <c r="S39" i="1"/>
  <c r="R39" i="1"/>
  <c r="F39" i="1"/>
  <c r="E39" i="1"/>
  <c r="AU40" i="1"/>
  <c r="AT40" i="1"/>
  <c r="AS40" i="1"/>
  <c r="AH40" i="1"/>
  <c r="AG40" i="1"/>
  <c r="AF40" i="1"/>
  <c r="AE40" i="1"/>
  <c r="AD40" i="1"/>
  <c r="AC40" i="1"/>
  <c r="AB40" i="1"/>
  <c r="AA40" i="1"/>
  <c r="Y40" i="1"/>
  <c r="X40" i="1"/>
  <c r="W40" i="1"/>
  <c r="V40" i="1"/>
  <c r="U40" i="1"/>
  <c r="T40" i="1"/>
  <c r="S40" i="1"/>
  <c r="R40" i="1"/>
  <c r="F40" i="1"/>
  <c r="E40" i="1"/>
  <c r="AU14" i="1"/>
  <c r="AT14" i="1"/>
  <c r="AS14" i="1"/>
  <c r="AH14" i="1"/>
  <c r="AG14" i="1"/>
  <c r="AF14" i="1"/>
  <c r="AE14" i="1"/>
  <c r="AD14" i="1"/>
  <c r="AC14" i="1"/>
  <c r="AB14" i="1"/>
  <c r="AA14" i="1"/>
  <c r="Y14" i="1"/>
  <c r="X14" i="1"/>
  <c r="W14" i="1"/>
  <c r="V14" i="1"/>
  <c r="U14" i="1"/>
  <c r="T14" i="1"/>
  <c r="S14" i="1"/>
  <c r="R14" i="1"/>
  <c r="F14" i="1"/>
  <c r="E14" i="1"/>
  <c r="AU32" i="1"/>
  <c r="AT32" i="1"/>
  <c r="AS32" i="1"/>
  <c r="AH32" i="1"/>
  <c r="AG32" i="1"/>
  <c r="AF32" i="1"/>
  <c r="AE32" i="1"/>
  <c r="AD32" i="1"/>
  <c r="AC32" i="1"/>
  <c r="AB32" i="1"/>
  <c r="AA32" i="1"/>
  <c r="Y32" i="1"/>
  <c r="X32" i="1"/>
  <c r="W32" i="1"/>
  <c r="V32" i="1"/>
  <c r="U32" i="1"/>
  <c r="T32" i="1"/>
  <c r="S32" i="1"/>
  <c r="R32" i="1"/>
  <c r="F32" i="1"/>
  <c r="E32" i="1"/>
  <c r="AU48" i="1"/>
  <c r="AT48" i="1"/>
  <c r="AS48" i="1"/>
  <c r="AH48" i="1"/>
  <c r="AG48" i="1"/>
  <c r="AF48" i="1"/>
  <c r="AE48" i="1"/>
  <c r="AD48" i="1"/>
  <c r="AC48" i="1"/>
  <c r="AB48" i="1"/>
  <c r="AA48" i="1"/>
  <c r="Y48" i="1"/>
  <c r="X48" i="1"/>
  <c r="W48" i="1"/>
  <c r="V48" i="1"/>
  <c r="U48" i="1"/>
  <c r="T48" i="1"/>
  <c r="S48" i="1"/>
  <c r="R48" i="1"/>
  <c r="E48" i="1"/>
  <c r="AU28" i="1"/>
  <c r="AT28" i="1"/>
  <c r="AS28" i="1"/>
  <c r="AH28" i="1"/>
  <c r="AG28" i="1"/>
  <c r="AF28" i="1"/>
  <c r="AE28" i="1"/>
  <c r="AD28" i="1"/>
  <c r="AC28" i="1"/>
  <c r="AB28" i="1"/>
  <c r="AA28" i="1"/>
  <c r="Y28" i="1"/>
  <c r="X28" i="1"/>
  <c r="W28" i="1"/>
  <c r="V28" i="1"/>
  <c r="U28" i="1"/>
  <c r="T28" i="1"/>
  <c r="S28" i="1"/>
  <c r="R28" i="1"/>
  <c r="F28" i="1"/>
  <c r="E28" i="1"/>
  <c r="AU34" i="1"/>
  <c r="AT34" i="1"/>
  <c r="AS34" i="1"/>
  <c r="AH34" i="1"/>
  <c r="AG34" i="1"/>
  <c r="AF34" i="1"/>
  <c r="AE34" i="1"/>
  <c r="AD34" i="1"/>
  <c r="AC34" i="1"/>
  <c r="AB34" i="1"/>
  <c r="AA34" i="1"/>
  <c r="Y34" i="1"/>
  <c r="X34" i="1"/>
  <c r="W34" i="1"/>
  <c r="V34" i="1"/>
  <c r="U34" i="1"/>
  <c r="T34" i="1"/>
  <c r="S34" i="1"/>
  <c r="R34" i="1"/>
  <c r="F34" i="1"/>
  <c r="E34" i="1"/>
  <c r="AU27" i="1"/>
  <c r="AT27" i="1"/>
  <c r="AS27" i="1"/>
  <c r="AH27" i="1"/>
  <c r="AG27" i="1"/>
  <c r="AF27" i="1"/>
  <c r="AE27" i="1"/>
  <c r="AD27" i="1"/>
  <c r="AC27" i="1"/>
  <c r="AB27" i="1"/>
  <c r="AA27" i="1"/>
  <c r="Y27" i="1"/>
  <c r="X27" i="1"/>
  <c r="W27" i="1"/>
  <c r="V27" i="1"/>
  <c r="U27" i="1"/>
  <c r="T27" i="1"/>
  <c r="S27" i="1"/>
  <c r="R27" i="1"/>
  <c r="F27" i="1"/>
  <c r="E27" i="1"/>
  <c r="C41" i="40" l="1"/>
  <c r="C41" i="32"/>
  <c r="C41" i="26"/>
  <c r="C41" i="29"/>
  <c r="C41" i="24"/>
  <c r="C41" i="37"/>
  <c r="C41" i="31"/>
  <c r="C41" i="25"/>
  <c r="C41" i="27"/>
  <c r="C41" i="44"/>
  <c r="C41" i="22"/>
  <c r="C41" i="50"/>
  <c r="C41" i="30"/>
  <c r="C38" i="40"/>
  <c r="C38" i="24"/>
  <c r="C38" i="26"/>
  <c r="C38" i="22"/>
  <c r="C38" i="25"/>
  <c r="C38" i="32"/>
  <c r="C38" i="50"/>
  <c r="C38" i="31"/>
  <c r="C38" i="37"/>
  <c r="C38" i="29"/>
  <c r="C38" i="27"/>
  <c r="C38" i="30"/>
  <c r="C38" i="44"/>
  <c r="C15" i="27"/>
  <c r="C15" i="44"/>
  <c r="C15" i="25"/>
  <c r="C15" i="50"/>
  <c r="C15" i="31"/>
  <c r="C15" i="30"/>
  <c r="C15" i="40"/>
  <c r="C15" i="26"/>
  <c r="C15" i="37"/>
  <c r="C15" i="32"/>
  <c r="C15" i="29"/>
  <c r="C15" i="24"/>
  <c r="C15" i="22"/>
  <c r="C9" i="40"/>
  <c r="C9" i="22"/>
  <c r="C9" i="37"/>
  <c r="C9" i="32"/>
  <c r="C9" i="31"/>
  <c r="C9" i="29"/>
  <c r="C9" i="30"/>
  <c r="C9" i="24"/>
  <c r="C9" i="26"/>
  <c r="C9" i="27"/>
  <c r="C9" i="25"/>
  <c r="C9" i="44"/>
  <c r="C9" i="50"/>
  <c r="C29" i="40"/>
  <c r="C29" i="31"/>
  <c r="C29" i="29"/>
  <c r="C29" i="27"/>
  <c r="C29" i="50"/>
  <c r="C29" i="25"/>
  <c r="C29" i="26"/>
  <c r="C29" i="44"/>
  <c r="C29" i="22"/>
  <c r="C29" i="37"/>
  <c r="C29" i="30"/>
  <c r="C29" i="24"/>
  <c r="C29" i="32"/>
  <c r="C33" i="40"/>
  <c r="C33" i="31"/>
  <c r="C33" i="26"/>
  <c r="C33" i="32"/>
  <c r="C33" i="44"/>
  <c r="C33" i="25"/>
  <c r="C33" i="22"/>
  <c r="C33" i="27"/>
  <c r="C33" i="37"/>
  <c r="C33" i="24"/>
  <c r="C33" i="50"/>
  <c r="C33" i="29"/>
  <c r="C33" i="30"/>
  <c r="C34" i="44"/>
  <c r="C34" i="22"/>
  <c r="C34" i="32"/>
  <c r="C34" i="50"/>
  <c r="C34" i="24"/>
  <c r="C34" i="29"/>
  <c r="C34" i="30"/>
  <c r="C34" i="27"/>
  <c r="C34" i="25"/>
  <c r="C34" i="40"/>
  <c r="C34" i="31"/>
  <c r="C34" i="37"/>
  <c r="C34" i="26"/>
  <c r="C8" i="26"/>
  <c r="C8" i="30"/>
  <c r="C8" i="25"/>
  <c r="C8" i="32"/>
  <c r="C8" i="29"/>
  <c r="C8" i="40"/>
  <c r="C8" i="37"/>
  <c r="C8" i="50"/>
  <c r="C8" i="27"/>
  <c r="C8" i="24"/>
  <c r="C8" i="22"/>
  <c r="C8" i="44"/>
  <c r="C8" i="31"/>
  <c r="C26" i="31"/>
  <c r="C26" i="26"/>
  <c r="C26" i="22"/>
  <c r="C26" i="27"/>
  <c r="C26" i="29"/>
  <c r="C26" i="30"/>
  <c r="C26" i="25"/>
  <c r="C26" i="32"/>
  <c r="C26" i="37"/>
  <c r="C26" i="24"/>
  <c r="C26" i="44"/>
  <c r="C26" i="40"/>
  <c r="C26" i="50"/>
  <c r="C22" i="24"/>
  <c r="C22" i="50"/>
  <c r="C22" i="27"/>
  <c r="C22" i="37"/>
  <c r="C22" i="44"/>
  <c r="C22" i="40"/>
  <c r="C22" i="31"/>
  <c r="C22" i="29"/>
  <c r="C22" i="22"/>
  <c r="C22" i="32"/>
  <c r="C22" i="30"/>
  <c r="C22" i="25"/>
  <c r="C22" i="26"/>
  <c r="C28" i="26"/>
  <c r="C28" i="44"/>
  <c r="C28" i="40"/>
  <c r="C28" i="31"/>
  <c r="C28" i="37"/>
  <c r="C28" i="32"/>
  <c r="C28" i="25"/>
  <c r="C28" i="22"/>
  <c r="C28" i="50"/>
  <c r="C28" i="24"/>
  <c r="C28" i="30"/>
  <c r="C28" i="27"/>
  <c r="C28" i="29"/>
  <c r="C21" i="27"/>
  <c r="C21" i="40"/>
  <c r="C21" i="37"/>
  <c r="C21" i="29"/>
  <c r="C21" i="31"/>
  <c r="C21" i="22"/>
  <c r="C21" i="44"/>
  <c r="C21" i="32"/>
  <c r="C21" i="24"/>
  <c r="C21" i="26"/>
  <c r="C21" i="25"/>
  <c r="C21" i="50"/>
  <c r="C21" i="30"/>
  <c r="P27" i="22"/>
  <c r="B44" i="67"/>
  <c r="C44" i="67" s="1"/>
  <c r="A44" i="67" l="1"/>
  <c r="F12" i="1" l="1"/>
  <c r="F57" i="1" l="1"/>
  <c r="AU58" i="1"/>
  <c r="AT58" i="1"/>
  <c r="AS58" i="1"/>
  <c r="AH58" i="1"/>
  <c r="AG58" i="1"/>
  <c r="AF58" i="1"/>
  <c r="AE58" i="1"/>
  <c r="AD58" i="1"/>
  <c r="AC58" i="1"/>
  <c r="AB58" i="1"/>
  <c r="AA58" i="1"/>
  <c r="Y58" i="1"/>
  <c r="X58" i="1"/>
  <c r="W58" i="1"/>
  <c r="V58" i="1"/>
  <c r="U58" i="1"/>
  <c r="T58" i="1"/>
  <c r="S58" i="1"/>
  <c r="R58" i="1"/>
  <c r="AU52" i="1"/>
  <c r="AT52" i="1"/>
  <c r="AS52" i="1"/>
  <c r="AH52" i="1"/>
  <c r="AG52" i="1"/>
  <c r="AF52" i="1"/>
  <c r="AE52" i="1"/>
  <c r="AD52" i="1"/>
  <c r="AC52" i="1"/>
  <c r="AB52" i="1"/>
  <c r="AA52" i="1"/>
  <c r="Y52" i="1"/>
  <c r="X52" i="1"/>
  <c r="W52" i="1"/>
  <c r="V52" i="1"/>
  <c r="U52" i="1"/>
  <c r="T52" i="1"/>
  <c r="S52" i="1"/>
  <c r="R52" i="1"/>
  <c r="E52" i="1"/>
  <c r="C51" i="40" l="1"/>
  <c r="C51" i="44"/>
  <c r="C51" i="24"/>
  <c r="C51" i="22"/>
  <c r="C51" i="32"/>
  <c r="C51" i="50"/>
  <c r="C51" i="29"/>
  <c r="C51" i="37"/>
  <c r="C51" i="25"/>
  <c r="C51" i="31"/>
  <c r="C51" i="27"/>
  <c r="C51" i="26"/>
  <c r="C51" i="30"/>
  <c r="AU43" i="1"/>
  <c r="AT43" i="1"/>
  <c r="AS43" i="1"/>
  <c r="AH43" i="1"/>
  <c r="AG43" i="1"/>
  <c r="AF43" i="1"/>
  <c r="AE43" i="1"/>
  <c r="AD43" i="1"/>
  <c r="AC43" i="1"/>
  <c r="AB43" i="1"/>
  <c r="AA43" i="1"/>
  <c r="Y43" i="1"/>
  <c r="X43" i="1"/>
  <c r="W43" i="1"/>
  <c r="V43" i="1"/>
  <c r="U43" i="1"/>
  <c r="T43" i="1"/>
  <c r="S43" i="1"/>
  <c r="R43" i="1"/>
  <c r="F43" i="1"/>
  <c r="E43" i="1"/>
  <c r="AU46" i="1"/>
  <c r="AT46" i="1"/>
  <c r="AS46" i="1"/>
  <c r="AH46" i="1"/>
  <c r="AG46" i="1"/>
  <c r="AF46" i="1"/>
  <c r="AE46" i="1"/>
  <c r="AD46" i="1"/>
  <c r="AC46" i="1"/>
  <c r="AB46" i="1"/>
  <c r="AA46" i="1"/>
  <c r="Y46" i="1"/>
  <c r="X46" i="1"/>
  <c r="W46" i="1"/>
  <c r="V46" i="1"/>
  <c r="U46" i="1"/>
  <c r="T46" i="1"/>
  <c r="S46" i="1"/>
  <c r="R46" i="1"/>
  <c r="F46" i="1"/>
  <c r="E46" i="1"/>
  <c r="C37" i="40" l="1"/>
  <c r="C37" i="27"/>
  <c r="C37" i="44"/>
  <c r="C37" i="50"/>
  <c r="C37" i="26"/>
  <c r="C37" i="22"/>
  <c r="C37" i="29"/>
  <c r="C37" i="24"/>
  <c r="C37" i="37"/>
  <c r="C37" i="30"/>
  <c r="C37" i="25"/>
  <c r="C37" i="32"/>
  <c r="C37" i="31"/>
  <c r="C40" i="40"/>
  <c r="C40" i="27"/>
  <c r="C40" i="32"/>
  <c r="C40" i="44"/>
  <c r="C40" i="25"/>
  <c r="C40" i="31"/>
  <c r="C40" i="37"/>
  <c r="C40" i="26"/>
  <c r="C40" i="24"/>
  <c r="C40" i="29"/>
  <c r="C40" i="50"/>
  <c r="C40" i="22"/>
  <c r="C40" i="30"/>
  <c r="D43" i="67"/>
  <c r="AS59" i="1"/>
  <c r="AS57" i="1"/>
  <c r="AS53" i="1"/>
  <c r="AS51" i="1"/>
  <c r="AS45" i="1"/>
  <c r="AS42" i="1"/>
  <c r="AS41" i="1"/>
  <c r="AS38" i="1"/>
  <c r="AS31" i="1"/>
  <c r="AS30" i="1"/>
  <c r="AS29" i="1"/>
  <c r="AS26" i="1"/>
  <c r="AS33" i="1"/>
  <c r="AS25" i="1"/>
  <c r="AS50" i="1"/>
  <c r="AS24" i="1"/>
  <c r="AS22" i="1"/>
  <c r="AS18" i="1"/>
  <c r="AS17" i="1"/>
  <c r="AS16" i="1"/>
  <c r="AU26" i="1"/>
  <c r="AT26" i="1"/>
  <c r="Y26" i="1"/>
  <c r="X26" i="1"/>
  <c r="W26" i="1"/>
  <c r="V26" i="1"/>
  <c r="U26" i="1"/>
  <c r="T26" i="1"/>
  <c r="S26" i="1"/>
  <c r="R26" i="1"/>
  <c r="F26" i="1"/>
  <c r="E26" i="1"/>
  <c r="F45" i="1"/>
  <c r="AU45" i="1"/>
  <c r="AT45" i="1"/>
  <c r="Y45" i="1"/>
  <c r="X45" i="1"/>
  <c r="W45" i="1"/>
  <c r="V45" i="1"/>
  <c r="U45" i="1"/>
  <c r="T45" i="1"/>
  <c r="S45" i="1"/>
  <c r="R45" i="1"/>
  <c r="E45" i="1"/>
  <c r="F16" i="1"/>
  <c r="AU16" i="1"/>
  <c r="AT16" i="1"/>
  <c r="Y16" i="1"/>
  <c r="X16" i="1"/>
  <c r="W16" i="1"/>
  <c r="V16" i="1"/>
  <c r="U16" i="1"/>
  <c r="T16" i="1"/>
  <c r="S16" i="1"/>
  <c r="R16" i="1"/>
  <c r="E16" i="1"/>
  <c r="AU31" i="1"/>
  <c r="AT31" i="1"/>
  <c r="Y31" i="1"/>
  <c r="X31" i="1"/>
  <c r="W31" i="1"/>
  <c r="V31" i="1"/>
  <c r="U31" i="1"/>
  <c r="T31" i="1"/>
  <c r="S31" i="1"/>
  <c r="R31" i="1"/>
  <c r="F31" i="1"/>
  <c r="E31" i="1"/>
  <c r="C20" i="25" l="1"/>
  <c r="C20" i="37"/>
  <c r="C20" i="40"/>
  <c r="C20" i="31"/>
  <c r="C20" i="27"/>
  <c r="C20" i="44"/>
  <c r="C20" i="32"/>
  <c r="C20" i="26"/>
  <c r="C20" i="24"/>
  <c r="C20" i="22"/>
  <c r="C20" i="50"/>
  <c r="C20" i="30"/>
  <c r="C20" i="29"/>
  <c r="C39" i="30"/>
  <c r="C39" i="40"/>
  <c r="C39" i="25"/>
  <c r="C39" i="32"/>
  <c r="C39" i="31"/>
  <c r="C39" i="29"/>
  <c r="C39" i="37"/>
  <c r="C39" i="22"/>
  <c r="C39" i="27"/>
  <c r="C39" i="44"/>
  <c r="C39" i="50"/>
  <c r="C39" i="26"/>
  <c r="C39" i="24"/>
  <c r="C10" i="40"/>
  <c r="C10" i="22"/>
  <c r="C10" i="31"/>
  <c r="C10" i="30"/>
  <c r="C10" i="29"/>
  <c r="C10" i="37"/>
  <c r="C10" i="50"/>
  <c r="C10" i="44"/>
  <c r="C10" i="26"/>
  <c r="C10" i="27"/>
  <c r="C10" i="25"/>
  <c r="C10" i="24"/>
  <c r="C10" i="32"/>
  <c r="C25" i="27"/>
  <c r="C25" i="32"/>
  <c r="C25" i="37"/>
  <c r="C25" i="40"/>
  <c r="C25" i="26"/>
  <c r="C25" i="22"/>
  <c r="C25" i="50"/>
  <c r="C25" i="24"/>
  <c r="C25" i="29"/>
  <c r="C25" i="30"/>
  <c r="C25" i="44"/>
  <c r="C25" i="25"/>
  <c r="C25" i="31"/>
  <c r="AS4" i="1"/>
  <c r="E3" i="67" l="1"/>
  <c r="D3" i="67"/>
  <c r="B43" i="67"/>
  <c r="A43" i="67" s="1"/>
  <c r="C43" i="67" l="1"/>
  <c r="L4" i="15" l="1"/>
  <c r="L5" i="15"/>
  <c r="L6" i="15"/>
  <c r="L7" i="15"/>
  <c r="L8" i="15"/>
  <c r="L9" i="15"/>
  <c r="L10" i="15"/>
  <c r="L11" i="15"/>
  <c r="L12" i="15"/>
  <c r="L13" i="15"/>
  <c r="L14" i="15"/>
  <c r="L15" i="15"/>
  <c r="L16" i="15"/>
  <c r="L17" i="15"/>
  <c r="L18" i="15"/>
  <c r="L19" i="15"/>
  <c r="L20" i="15"/>
  <c r="L21" i="15"/>
  <c r="L22" i="15"/>
  <c r="L23" i="15"/>
  <c r="L24" i="15"/>
  <c r="L25" i="15"/>
  <c r="L26" i="15"/>
  <c r="L27" i="15"/>
  <c r="L28" i="15"/>
  <c r="L29" i="15"/>
  <c r="L30" i="15"/>
  <c r="L31" i="15"/>
  <c r="L32" i="15"/>
  <c r="L33" i="15"/>
  <c r="L34" i="15"/>
  <c r="L35" i="15"/>
  <c r="L36" i="15"/>
  <c r="L37" i="15"/>
  <c r="L38" i="15"/>
  <c r="L39" i="15"/>
  <c r="L40" i="15"/>
  <c r="L41" i="15"/>
  <c r="L42" i="15"/>
  <c r="L43" i="15"/>
  <c r="L44" i="15"/>
  <c r="L45" i="15"/>
  <c r="L46" i="15"/>
  <c r="L47" i="15"/>
  <c r="L48" i="15"/>
  <c r="L49" i="15"/>
  <c r="L50" i="15"/>
  <c r="L51" i="15"/>
  <c r="L52" i="15"/>
  <c r="L53" i="15"/>
  <c r="L54" i="15"/>
  <c r="L55" i="15"/>
  <c r="L56" i="15"/>
  <c r="L57" i="15"/>
  <c r="L58" i="15"/>
  <c r="L59" i="15"/>
  <c r="L60" i="15"/>
  <c r="L61" i="15"/>
  <c r="L62" i="15"/>
  <c r="L63" i="15"/>
  <c r="L64" i="15"/>
  <c r="L65" i="15"/>
  <c r="L66" i="15"/>
  <c r="L67" i="15"/>
  <c r="L68" i="15"/>
  <c r="L69" i="15"/>
  <c r="L70" i="15"/>
  <c r="L71" i="15"/>
  <c r="L72" i="15"/>
  <c r="L73" i="15"/>
  <c r="L74" i="15"/>
  <c r="L75" i="15"/>
  <c r="L76" i="15"/>
  <c r="L77" i="15"/>
  <c r="L78" i="15"/>
  <c r="L79" i="15"/>
  <c r="L80" i="15"/>
  <c r="L81" i="15"/>
  <c r="L82" i="15"/>
  <c r="L83" i="15"/>
  <c r="L84" i="15"/>
  <c r="L85" i="15"/>
  <c r="L86" i="15"/>
  <c r="L87" i="15"/>
  <c r="L88" i="15"/>
  <c r="L89" i="15"/>
  <c r="L90" i="15"/>
  <c r="L91" i="15"/>
  <c r="L92" i="15"/>
  <c r="L93" i="15"/>
  <c r="L94" i="15"/>
  <c r="L95" i="15"/>
  <c r="L96" i="15"/>
  <c r="L97" i="15"/>
  <c r="L98" i="15"/>
  <c r="L99" i="15"/>
  <c r="L100" i="15"/>
  <c r="L101" i="15"/>
  <c r="L102" i="15"/>
  <c r="L103" i="15"/>
  <c r="L104" i="15"/>
  <c r="L105" i="15"/>
  <c r="L106" i="15"/>
  <c r="L107" i="15"/>
  <c r="L108" i="15"/>
  <c r="L109" i="15"/>
  <c r="L110" i="15"/>
  <c r="L111" i="15"/>
  <c r="L112" i="15"/>
  <c r="L113" i="15"/>
  <c r="L114" i="15"/>
  <c r="L115" i="15"/>
  <c r="L116" i="15"/>
  <c r="L117" i="15"/>
  <c r="L118" i="15"/>
  <c r="L119" i="15"/>
  <c r="L120" i="15"/>
  <c r="L121" i="15"/>
  <c r="L122" i="15"/>
  <c r="L123" i="15"/>
  <c r="L124" i="15"/>
  <c r="L125" i="15"/>
  <c r="L126" i="15"/>
  <c r="L127" i="15"/>
  <c r="L128" i="15"/>
  <c r="L129" i="15"/>
  <c r="L130" i="15"/>
  <c r="L131" i="15"/>
  <c r="L132" i="15"/>
  <c r="L133" i="15"/>
  <c r="L134" i="15"/>
  <c r="L135" i="15"/>
  <c r="L136" i="15"/>
  <c r="L137" i="15"/>
  <c r="L138" i="15"/>
  <c r="L139" i="15"/>
  <c r="L140" i="15"/>
  <c r="L141" i="15"/>
  <c r="L142" i="15"/>
  <c r="L143" i="15"/>
  <c r="L144" i="15"/>
  <c r="L145" i="15"/>
  <c r="L146" i="15"/>
  <c r="L147" i="15"/>
  <c r="L148" i="15"/>
  <c r="L149" i="15"/>
  <c r="L150" i="15"/>
  <c r="L151" i="15"/>
  <c r="L152" i="15"/>
  <c r="L153" i="15"/>
  <c r="L154" i="15"/>
  <c r="L155" i="15"/>
  <c r="L156" i="15"/>
  <c r="L157" i="15"/>
  <c r="L158" i="15"/>
  <c r="L159" i="15"/>
  <c r="L160" i="15"/>
  <c r="L161" i="15"/>
  <c r="L162" i="15"/>
  <c r="L163" i="15"/>
  <c r="L164" i="15"/>
  <c r="L165" i="15"/>
  <c r="L166" i="15"/>
  <c r="L167" i="15"/>
  <c r="L168" i="15"/>
  <c r="L169" i="15"/>
  <c r="L170" i="15"/>
  <c r="L171" i="15"/>
  <c r="L172" i="15"/>
  <c r="L173" i="15"/>
  <c r="L174" i="15"/>
  <c r="L175" i="15"/>
  <c r="L176" i="15"/>
  <c r="L177" i="15"/>
  <c r="L178" i="15"/>
  <c r="L179" i="15"/>
  <c r="L180" i="15"/>
  <c r="L181" i="15"/>
  <c r="L182" i="15"/>
  <c r="L183" i="15"/>
  <c r="L184" i="15"/>
  <c r="L185" i="15"/>
  <c r="L186" i="15"/>
  <c r="L187" i="15"/>
  <c r="L188" i="15"/>
  <c r="L189" i="15"/>
  <c r="L190" i="15"/>
  <c r="L191" i="15"/>
  <c r="L192" i="15"/>
  <c r="L193" i="15"/>
  <c r="L194" i="15"/>
  <c r="L195" i="15"/>
  <c r="L196" i="15"/>
  <c r="L197" i="15"/>
  <c r="L198" i="15"/>
  <c r="L199" i="15"/>
  <c r="L200" i="15"/>
  <c r="L201" i="15"/>
  <c r="L202" i="15"/>
  <c r="L203" i="15"/>
  <c r="L204" i="15"/>
  <c r="L205" i="15"/>
  <c r="L206" i="15"/>
  <c r="L207" i="15"/>
  <c r="L208" i="15"/>
  <c r="L209" i="15"/>
  <c r="L210" i="15"/>
  <c r="L211" i="15"/>
  <c r="L212" i="15"/>
  <c r="L213" i="15"/>
  <c r="L214" i="15"/>
  <c r="L215" i="15"/>
  <c r="L216" i="15"/>
  <c r="L217" i="15"/>
  <c r="L218" i="15"/>
  <c r="L219" i="15"/>
  <c r="L220" i="15"/>
  <c r="L221" i="15"/>
  <c r="L222" i="15"/>
  <c r="L223" i="15"/>
  <c r="L224" i="15"/>
  <c r="L225" i="15"/>
  <c r="L226" i="15"/>
  <c r="L227" i="15"/>
  <c r="L228" i="15"/>
  <c r="L229" i="15"/>
  <c r="L230" i="15"/>
  <c r="L231" i="15"/>
  <c r="L232" i="15"/>
  <c r="L233" i="15"/>
  <c r="L234" i="15"/>
  <c r="L235" i="15"/>
  <c r="L236" i="15"/>
  <c r="L237" i="15"/>
  <c r="L238" i="15"/>
  <c r="L239" i="15"/>
  <c r="L240" i="15"/>
  <c r="L241" i="15"/>
  <c r="L242" i="15"/>
  <c r="L243" i="15"/>
  <c r="L244" i="15"/>
  <c r="L245" i="15"/>
  <c r="L246" i="15"/>
  <c r="L247" i="15"/>
  <c r="L248" i="15"/>
  <c r="L249" i="15"/>
  <c r="L250" i="15"/>
  <c r="L251" i="15"/>
  <c r="L252" i="15"/>
  <c r="L253" i="15"/>
  <c r="L254" i="15"/>
  <c r="L255" i="15"/>
  <c r="L256" i="15"/>
  <c r="L257" i="15"/>
  <c r="L258" i="15"/>
  <c r="L259" i="15"/>
  <c r="L260" i="15"/>
  <c r="L261" i="15"/>
  <c r="L262" i="15"/>
  <c r="L263" i="15"/>
  <c r="L264" i="15"/>
  <c r="L265" i="15"/>
  <c r="L266" i="15"/>
  <c r="L267" i="15"/>
  <c r="L268" i="15"/>
  <c r="L269" i="15"/>
  <c r="L270" i="15"/>
  <c r="L271" i="15"/>
  <c r="L272" i="15"/>
  <c r="L273" i="15"/>
  <c r="L274" i="15"/>
  <c r="L275" i="15"/>
  <c r="L276" i="15"/>
  <c r="L277" i="15"/>
  <c r="L278" i="15"/>
  <c r="L279" i="15"/>
  <c r="L280" i="15"/>
  <c r="L281" i="15"/>
  <c r="L282" i="15"/>
  <c r="L283" i="15"/>
  <c r="L284" i="15"/>
  <c r="L285" i="15"/>
  <c r="L286" i="15"/>
  <c r="L287" i="15"/>
  <c r="L288" i="15"/>
  <c r="L289" i="15"/>
  <c r="L290" i="15"/>
  <c r="L291" i="15"/>
  <c r="L292" i="15"/>
  <c r="L293" i="15"/>
  <c r="L294" i="15"/>
  <c r="L295" i="15"/>
  <c r="L296" i="15"/>
  <c r="L297" i="15"/>
  <c r="L298" i="15"/>
  <c r="L299" i="15"/>
  <c r="L300" i="15"/>
  <c r="L301" i="15"/>
  <c r="L302" i="15"/>
  <c r="L303" i="15"/>
  <c r="L304" i="15"/>
  <c r="L305" i="15"/>
  <c r="L306" i="15"/>
  <c r="L307" i="15"/>
  <c r="L308" i="15"/>
  <c r="L309" i="15"/>
  <c r="L310" i="15"/>
  <c r="L311" i="15"/>
  <c r="L312" i="15"/>
  <c r="L313" i="15"/>
  <c r="L314" i="15"/>
  <c r="L315" i="15"/>
  <c r="L316" i="15"/>
  <c r="L317" i="15"/>
  <c r="L318" i="15"/>
  <c r="L319" i="15"/>
  <c r="L320" i="15"/>
  <c r="L321" i="15"/>
  <c r="L322" i="15"/>
  <c r="L323" i="15"/>
  <c r="L324" i="15"/>
  <c r="L325" i="15"/>
  <c r="L326" i="15"/>
  <c r="L327" i="15"/>
  <c r="L328" i="15"/>
  <c r="L329" i="15"/>
  <c r="L330" i="15"/>
  <c r="L331" i="15"/>
  <c r="L332" i="15"/>
  <c r="L333" i="15"/>
  <c r="L334" i="15"/>
  <c r="L335" i="15"/>
  <c r="L336" i="15"/>
  <c r="L337" i="15"/>
  <c r="L338" i="15"/>
  <c r="L339" i="15"/>
  <c r="L340" i="15"/>
  <c r="L341" i="15"/>
  <c r="L342" i="15"/>
  <c r="L343" i="15"/>
  <c r="L344" i="15"/>
  <c r="L345" i="15"/>
  <c r="L346" i="15"/>
  <c r="L347" i="15"/>
  <c r="L348" i="15"/>
  <c r="L349" i="15"/>
  <c r="L350" i="15"/>
  <c r="L351" i="15"/>
  <c r="L352" i="15"/>
  <c r="L353" i="15"/>
  <c r="L354" i="15"/>
  <c r="L355" i="15"/>
  <c r="L356" i="15"/>
  <c r="L357" i="15"/>
  <c r="L358" i="15"/>
  <c r="L359" i="15"/>
  <c r="L360" i="15"/>
  <c r="L361" i="15"/>
  <c r="L362" i="15"/>
  <c r="L363" i="15"/>
  <c r="L364" i="15"/>
  <c r="L365" i="15"/>
  <c r="L366" i="15"/>
  <c r="L367" i="15"/>
  <c r="L368" i="15"/>
  <c r="L369" i="15"/>
  <c r="L370" i="15"/>
  <c r="L371" i="15"/>
  <c r="L372" i="15"/>
  <c r="L373" i="15"/>
  <c r="L374" i="15"/>
  <c r="L375" i="15"/>
  <c r="L376" i="15"/>
  <c r="L377" i="15"/>
  <c r="L378" i="15"/>
  <c r="L379" i="15"/>
  <c r="L380" i="15"/>
  <c r="L381" i="15"/>
  <c r="L382" i="15"/>
  <c r="L383" i="15"/>
  <c r="L384" i="15"/>
  <c r="L385" i="15"/>
  <c r="L386" i="15"/>
  <c r="L387" i="15"/>
  <c r="L388" i="15"/>
  <c r="L389" i="15"/>
  <c r="L390" i="15"/>
  <c r="L391" i="15"/>
  <c r="L392" i="15"/>
  <c r="L393" i="15"/>
  <c r="L394" i="15"/>
  <c r="L395" i="15"/>
  <c r="L396" i="15"/>
  <c r="L397" i="15"/>
  <c r="L398" i="15"/>
  <c r="L399" i="15"/>
  <c r="L400" i="15"/>
  <c r="L401" i="15"/>
  <c r="L402" i="15"/>
  <c r="L403" i="15"/>
  <c r="L404" i="15"/>
  <c r="L405" i="15"/>
  <c r="L406" i="15"/>
  <c r="L407" i="15"/>
  <c r="L408" i="15"/>
  <c r="L409" i="15"/>
  <c r="L410" i="15"/>
  <c r="L411" i="15"/>
  <c r="L412" i="15"/>
  <c r="L413" i="15"/>
  <c r="L414" i="15"/>
  <c r="L415" i="15"/>
  <c r="L416" i="15"/>
  <c r="L417" i="15"/>
  <c r="L418" i="15"/>
  <c r="L419" i="15"/>
  <c r="L420" i="15"/>
  <c r="L421" i="15"/>
  <c r="L422" i="15"/>
  <c r="L423" i="15"/>
  <c r="L424" i="15"/>
  <c r="L425" i="15"/>
  <c r="L426" i="15"/>
  <c r="L427" i="15"/>
  <c r="L428" i="15"/>
  <c r="L429" i="15"/>
  <c r="L430" i="15"/>
  <c r="L431" i="15"/>
  <c r="L432" i="15"/>
  <c r="L433" i="15"/>
  <c r="L434" i="15"/>
  <c r="L435" i="15"/>
  <c r="L436" i="15"/>
  <c r="L437" i="15"/>
  <c r="L438" i="15"/>
  <c r="L439" i="15"/>
  <c r="L440" i="15"/>
  <c r="L441" i="15"/>
  <c r="L442" i="15"/>
  <c r="L443" i="15"/>
  <c r="L444" i="15"/>
  <c r="L445" i="15"/>
  <c r="L446" i="15"/>
  <c r="L447" i="15"/>
  <c r="L448" i="15"/>
  <c r="L449" i="15"/>
  <c r="L450" i="15"/>
  <c r="L451" i="15"/>
  <c r="L452" i="15"/>
  <c r="L453" i="15"/>
  <c r="L454" i="15"/>
  <c r="L455" i="15"/>
  <c r="L456" i="15"/>
  <c r="L457" i="15"/>
  <c r="L458" i="15"/>
  <c r="L459" i="15"/>
  <c r="L460" i="15"/>
  <c r="L461" i="15"/>
  <c r="L462" i="15"/>
  <c r="L463" i="15"/>
  <c r="L464" i="15"/>
  <c r="L465" i="15"/>
  <c r="L466" i="15"/>
  <c r="L467" i="15"/>
  <c r="L468" i="15"/>
  <c r="L469" i="15"/>
  <c r="L470" i="15"/>
  <c r="L471" i="15"/>
  <c r="L472" i="15"/>
  <c r="L473" i="15"/>
  <c r="L474" i="15"/>
  <c r="L475" i="15"/>
  <c r="L476" i="15"/>
  <c r="L477" i="15"/>
  <c r="L478" i="15"/>
  <c r="L479" i="15"/>
  <c r="L480" i="15"/>
  <c r="L481" i="15"/>
  <c r="L482" i="15"/>
  <c r="L483" i="15"/>
  <c r="L484" i="15"/>
  <c r="L485" i="15"/>
  <c r="L486" i="15"/>
  <c r="L487" i="15"/>
  <c r="L488" i="15"/>
  <c r="L489" i="15"/>
  <c r="L490" i="15"/>
  <c r="L491" i="15"/>
  <c r="L492" i="15"/>
  <c r="L493" i="15"/>
  <c r="L494" i="15"/>
  <c r="L495" i="15"/>
  <c r="L496" i="15"/>
  <c r="L497" i="15"/>
  <c r="L498" i="15"/>
  <c r="L499" i="15"/>
  <c r="L500" i="15"/>
  <c r="L501" i="15"/>
  <c r="L502" i="15"/>
  <c r="L503" i="15"/>
  <c r="L504" i="15"/>
  <c r="L505" i="15"/>
  <c r="L506" i="15"/>
  <c r="L507" i="15"/>
  <c r="L508" i="15"/>
  <c r="L509" i="15"/>
  <c r="L510" i="15"/>
  <c r="L511" i="15"/>
  <c r="L512" i="15"/>
  <c r="L513" i="15"/>
  <c r="L514" i="15"/>
  <c r="L515" i="15"/>
  <c r="L516" i="15"/>
  <c r="L517" i="15"/>
  <c r="L518" i="15"/>
  <c r="L519" i="15"/>
  <c r="L520" i="15"/>
  <c r="L521" i="15"/>
  <c r="L522" i="15"/>
  <c r="L523" i="15"/>
  <c r="L524" i="15"/>
  <c r="L525" i="15"/>
  <c r="L526" i="15"/>
  <c r="L527" i="15"/>
  <c r="L528" i="15"/>
  <c r="L529" i="15"/>
  <c r="L530" i="15"/>
  <c r="L531" i="15"/>
  <c r="L532" i="15"/>
  <c r="L533" i="15"/>
  <c r="L534" i="15"/>
  <c r="L535" i="15"/>
  <c r="L536" i="15"/>
  <c r="L537" i="15"/>
  <c r="L538" i="15"/>
  <c r="L539" i="15"/>
  <c r="L540" i="15"/>
  <c r="L541" i="15"/>
  <c r="L542" i="15"/>
  <c r="L543" i="15"/>
  <c r="L544" i="15"/>
  <c r="L545" i="15"/>
  <c r="L546" i="15"/>
  <c r="L547" i="15"/>
  <c r="L548" i="15"/>
  <c r="L549" i="15"/>
  <c r="L550" i="15"/>
  <c r="L551" i="15"/>
  <c r="L552" i="15"/>
  <c r="L553" i="15"/>
  <c r="L554" i="15"/>
  <c r="L555" i="15"/>
  <c r="L556" i="15"/>
  <c r="L557" i="15"/>
  <c r="L558" i="15"/>
  <c r="L559" i="15"/>
  <c r="L560" i="15"/>
  <c r="L561" i="15"/>
  <c r="L562" i="15"/>
  <c r="L563" i="15"/>
  <c r="L564" i="15"/>
  <c r="L565" i="15"/>
  <c r="L566" i="15"/>
  <c r="L567" i="15"/>
  <c r="L568" i="15"/>
  <c r="L569" i="15"/>
  <c r="L570" i="15"/>
  <c r="L571" i="15"/>
  <c r="L572" i="15"/>
  <c r="L573" i="15"/>
  <c r="L574" i="15"/>
  <c r="L575" i="15"/>
  <c r="L576" i="15"/>
  <c r="L577" i="15"/>
  <c r="L578" i="15"/>
  <c r="L579" i="15"/>
  <c r="L580" i="15"/>
  <c r="L581" i="15"/>
  <c r="L582" i="15"/>
  <c r="L583" i="15"/>
  <c r="L584" i="15"/>
  <c r="L585" i="15"/>
  <c r="L586" i="15"/>
  <c r="L587" i="15"/>
  <c r="L588" i="15"/>
  <c r="L589" i="15"/>
  <c r="L590" i="15"/>
  <c r="L591" i="15"/>
  <c r="L592" i="15"/>
  <c r="L593" i="15"/>
  <c r="L594" i="15"/>
  <c r="L595" i="15"/>
  <c r="L596" i="15"/>
  <c r="L597" i="15"/>
  <c r="L598" i="15"/>
  <c r="L599" i="15"/>
  <c r="L600" i="15"/>
  <c r="L601" i="15"/>
  <c r="L602" i="15"/>
  <c r="L603" i="15"/>
  <c r="L604" i="15"/>
  <c r="L605" i="15"/>
  <c r="L606" i="15"/>
  <c r="L607" i="15"/>
  <c r="L608" i="15"/>
  <c r="L609" i="15"/>
  <c r="L610" i="15"/>
  <c r="L611" i="15"/>
  <c r="L612" i="15"/>
  <c r="L613" i="15"/>
  <c r="L614" i="15"/>
  <c r="L615" i="15"/>
  <c r="L616" i="15"/>
  <c r="L617" i="15"/>
  <c r="L618" i="15"/>
  <c r="L619" i="15"/>
  <c r="L620" i="15"/>
  <c r="L621" i="15"/>
  <c r="L622" i="15"/>
  <c r="L623" i="15"/>
  <c r="L624" i="15"/>
  <c r="L625" i="15"/>
  <c r="L626" i="15"/>
  <c r="L627" i="15"/>
  <c r="L628" i="15"/>
  <c r="L629" i="15"/>
  <c r="L630" i="15"/>
  <c r="L631" i="15"/>
  <c r="L632" i="15"/>
  <c r="L633" i="15"/>
  <c r="L634" i="15"/>
  <c r="L635" i="15"/>
  <c r="L636" i="15"/>
  <c r="L637" i="15"/>
  <c r="L638" i="15"/>
  <c r="L639" i="15"/>
  <c r="L640" i="15"/>
  <c r="L641" i="15"/>
  <c r="L642" i="15"/>
  <c r="L643" i="15"/>
  <c r="L644" i="15"/>
  <c r="L645" i="15"/>
  <c r="L646" i="15"/>
  <c r="L647" i="15"/>
  <c r="L648" i="15"/>
  <c r="L649" i="15"/>
  <c r="L650" i="15"/>
  <c r="L651" i="15"/>
  <c r="L652" i="15"/>
  <c r="L653" i="15"/>
  <c r="L654" i="15"/>
  <c r="L655" i="15"/>
  <c r="L656" i="15"/>
  <c r="L657" i="15"/>
  <c r="L658" i="15"/>
  <c r="L659" i="15"/>
  <c r="L660" i="15"/>
  <c r="L661" i="15"/>
  <c r="L662" i="15"/>
  <c r="L663" i="15"/>
  <c r="L664" i="15"/>
  <c r="L665" i="15"/>
  <c r="L666" i="15"/>
  <c r="L667" i="15"/>
  <c r="L668" i="15"/>
  <c r="L669" i="15"/>
  <c r="L670" i="15"/>
  <c r="L671" i="15"/>
  <c r="L672" i="15"/>
  <c r="L673" i="15"/>
  <c r="L674" i="15"/>
  <c r="L675" i="15"/>
  <c r="L676" i="15"/>
  <c r="L677" i="15"/>
  <c r="L678" i="15"/>
  <c r="L679" i="15"/>
  <c r="L680" i="15"/>
  <c r="L681" i="15"/>
  <c r="L682" i="15"/>
  <c r="L683" i="15"/>
  <c r="L684" i="15"/>
  <c r="L685" i="15"/>
  <c r="L686" i="15"/>
  <c r="L687" i="15"/>
  <c r="L688" i="15"/>
  <c r="L689" i="15"/>
  <c r="L690" i="15"/>
  <c r="L691" i="15"/>
  <c r="L692" i="15"/>
  <c r="L693" i="15"/>
  <c r="L694" i="15"/>
  <c r="L695" i="15"/>
  <c r="AU57" i="1"/>
  <c r="AT57" i="1"/>
  <c r="Y57" i="1"/>
  <c r="X57" i="1"/>
  <c r="W57" i="1"/>
  <c r="V57" i="1"/>
  <c r="U57" i="1"/>
  <c r="T57" i="1"/>
  <c r="S57" i="1"/>
  <c r="R57" i="1"/>
  <c r="E57" i="1"/>
  <c r="AU50" i="1"/>
  <c r="AT50" i="1"/>
  <c r="Y50" i="1"/>
  <c r="X50" i="1"/>
  <c r="W50" i="1"/>
  <c r="V50" i="1"/>
  <c r="U50" i="1"/>
  <c r="T50" i="1"/>
  <c r="S50" i="1"/>
  <c r="R50" i="1"/>
  <c r="F50" i="1"/>
  <c r="E50" i="1"/>
  <c r="AU33" i="1"/>
  <c r="AT33" i="1"/>
  <c r="Y33" i="1"/>
  <c r="X33" i="1"/>
  <c r="W33" i="1"/>
  <c r="V33" i="1"/>
  <c r="U33" i="1"/>
  <c r="T33" i="1"/>
  <c r="S33" i="1"/>
  <c r="R33" i="1"/>
  <c r="F33" i="1"/>
  <c r="E33" i="1"/>
  <c r="F8" i="1"/>
  <c r="AU10" i="1"/>
  <c r="AT10" i="1"/>
  <c r="Y10" i="1"/>
  <c r="X10" i="1"/>
  <c r="W10" i="1"/>
  <c r="V10" i="1"/>
  <c r="U10" i="1"/>
  <c r="T10" i="1"/>
  <c r="S10" i="1"/>
  <c r="R10" i="1"/>
  <c r="E10" i="1"/>
  <c r="AU9" i="1"/>
  <c r="AT9" i="1"/>
  <c r="Y9" i="1"/>
  <c r="X9" i="1"/>
  <c r="W9" i="1"/>
  <c r="V9" i="1"/>
  <c r="U9" i="1"/>
  <c r="T9" i="1"/>
  <c r="S9" i="1"/>
  <c r="R9" i="1"/>
  <c r="E9" i="1"/>
  <c r="AU8" i="1"/>
  <c r="AT8" i="1"/>
  <c r="Y8" i="1"/>
  <c r="X8" i="1"/>
  <c r="W8" i="1"/>
  <c r="V8" i="1"/>
  <c r="U8" i="1"/>
  <c r="T8" i="1"/>
  <c r="S8" i="1"/>
  <c r="R8" i="1"/>
  <c r="E8" i="1"/>
  <c r="C44" i="40" l="1"/>
  <c r="C44" i="27"/>
  <c r="C44" i="50"/>
  <c r="C44" i="24"/>
  <c r="C44" i="29"/>
  <c r="C44" i="25"/>
  <c r="C44" i="22"/>
  <c r="C44" i="32"/>
  <c r="C44" i="37"/>
  <c r="C44" i="31"/>
  <c r="C44" i="30"/>
  <c r="C44" i="44"/>
  <c r="C44" i="26"/>
  <c r="C27" i="40"/>
  <c r="C27" i="27"/>
  <c r="C27" i="44"/>
  <c r="C27" i="25"/>
  <c r="C27" i="22"/>
  <c r="C27" i="32"/>
  <c r="C27" i="31"/>
  <c r="C27" i="30"/>
  <c r="C27" i="29"/>
  <c r="C27" i="26"/>
  <c r="C27" i="37"/>
  <c r="C27" i="50"/>
  <c r="C27" i="24"/>
  <c r="AU38" i="1"/>
  <c r="AT38" i="1"/>
  <c r="Y38" i="1"/>
  <c r="X38" i="1"/>
  <c r="W38" i="1"/>
  <c r="V38" i="1"/>
  <c r="U38" i="1"/>
  <c r="T38" i="1"/>
  <c r="S38" i="1"/>
  <c r="R38" i="1"/>
  <c r="F38" i="1"/>
  <c r="E38" i="1"/>
  <c r="AU25" i="1"/>
  <c r="AT25" i="1"/>
  <c r="Y25" i="1"/>
  <c r="X25" i="1"/>
  <c r="W25" i="1"/>
  <c r="V25" i="1"/>
  <c r="U25" i="1"/>
  <c r="T25" i="1"/>
  <c r="S25" i="1"/>
  <c r="R25" i="1"/>
  <c r="F25" i="1"/>
  <c r="E25" i="1"/>
  <c r="C32" i="40" l="1"/>
  <c r="C32" i="24"/>
  <c r="C32" i="22"/>
  <c r="C32" i="25"/>
  <c r="C32" i="31"/>
  <c r="C32" i="37"/>
  <c r="C32" i="27"/>
  <c r="C32" i="30"/>
  <c r="C32" i="29"/>
  <c r="C32" i="44"/>
  <c r="C32" i="50"/>
  <c r="C32" i="26"/>
  <c r="C32" i="32"/>
  <c r="C19" i="40"/>
  <c r="C19" i="37"/>
  <c r="C19" i="50"/>
  <c r="C19" i="26"/>
  <c r="C19" i="27"/>
  <c r="C19" i="24"/>
  <c r="C19" i="22"/>
  <c r="C19" i="32"/>
  <c r="C19" i="44"/>
  <c r="C19" i="31"/>
  <c r="C19" i="25"/>
  <c r="C19" i="30"/>
  <c r="C19" i="29"/>
  <c r="AU30" i="1"/>
  <c r="AT30" i="1"/>
  <c r="Y30" i="1"/>
  <c r="X30" i="1"/>
  <c r="W30" i="1"/>
  <c r="V30" i="1"/>
  <c r="U30" i="1"/>
  <c r="T30" i="1"/>
  <c r="S30" i="1"/>
  <c r="R30" i="1"/>
  <c r="F30" i="1"/>
  <c r="E30" i="1"/>
  <c r="AU29" i="1"/>
  <c r="AT29" i="1"/>
  <c r="Y29" i="1"/>
  <c r="X29" i="1"/>
  <c r="W29" i="1"/>
  <c r="V29" i="1"/>
  <c r="U29" i="1"/>
  <c r="T29" i="1"/>
  <c r="S29" i="1"/>
  <c r="R29" i="1"/>
  <c r="F29" i="1"/>
  <c r="E29" i="1"/>
  <c r="E24" i="1"/>
  <c r="AU24" i="1"/>
  <c r="AT24" i="1"/>
  <c r="Y24" i="1"/>
  <c r="X24" i="1"/>
  <c r="W24" i="1"/>
  <c r="V24" i="1"/>
  <c r="U24" i="1"/>
  <c r="T24" i="1"/>
  <c r="S24" i="1"/>
  <c r="R24" i="1"/>
  <c r="F24" i="1"/>
  <c r="C24" i="40" l="1"/>
  <c r="C24" i="24"/>
  <c r="C24" i="26"/>
  <c r="C24" i="37"/>
  <c r="C24" i="29"/>
  <c r="C24" i="50"/>
  <c r="C24" i="30"/>
  <c r="C24" i="32"/>
  <c r="C24" i="44"/>
  <c r="C24" i="27"/>
  <c r="C24" i="22"/>
  <c r="C24" i="31"/>
  <c r="C24" i="25"/>
  <c r="C23" i="37"/>
  <c r="C23" i="27"/>
  <c r="C23" i="44"/>
  <c r="C23" i="30"/>
  <c r="C23" i="32"/>
  <c r="C23" i="31"/>
  <c r="C23" i="29"/>
  <c r="C23" i="26"/>
  <c r="C23" i="25"/>
  <c r="C23" i="22"/>
  <c r="C23" i="50"/>
  <c r="C23" i="40"/>
  <c r="C23" i="24"/>
  <c r="C18" i="29"/>
  <c r="C18" i="25"/>
  <c r="C18" i="50"/>
  <c r="C18" i="24"/>
  <c r="C18" i="44"/>
  <c r="C18" i="37"/>
  <c r="C18" i="26"/>
  <c r="C18" i="40"/>
  <c r="C18" i="27"/>
  <c r="C18" i="31"/>
  <c r="C18" i="22"/>
  <c r="C18" i="32"/>
  <c r="C18" i="30"/>
  <c r="AU41" i="1"/>
  <c r="AT41" i="1"/>
  <c r="Y41" i="1"/>
  <c r="X41" i="1"/>
  <c r="W41" i="1"/>
  <c r="V41" i="1"/>
  <c r="U41" i="1"/>
  <c r="T41" i="1"/>
  <c r="S41" i="1"/>
  <c r="R41" i="1"/>
  <c r="F41" i="1"/>
  <c r="E41" i="1"/>
  <c r="C35" i="40" l="1"/>
  <c r="C35" i="37"/>
  <c r="C35" i="44"/>
  <c r="C35" i="26"/>
  <c r="C35" i="25"/>
  <c r="C35" i="24"/>
  <c r="C35" i="22"/>
  <c r="C35" i="31"/>
  <c r="C35" i="27"/>
  <c r="C35" i="50"/>
  <c r="C35" i="29"/>
  <c r="C35" i="32"/>
  <c r="C35" i="30"/>
  <c r="D39" i="67"/>
  <c r="D41" i="67"/>
  <c r="D40" i="67"/>
  <c r="B42" i="67" l="1"/>
  <c r="C42" i="67" s="1"/>
  <c r="N47" i="32"/>
  <c r="A42" i="67" l="1"/>
  <c r="AU20" i="1"/>
  <c r="AT20" i="1"/>
  <c r="Y20" i="1"/>
  <c r="X20" i="1"/>
  <c r="W20" i="1"/>
  <c r="V20" i="1"/>
  <c r="U20" i="1"/>
  <c r="T20" i="1"/>
  <c r="S20" i="1"/>
  <c r="R20" i="1"/>
  <c r="E20" i="1"/>
  <c r="AU19" i="1"/>
  <c r="AT19" i="1"/>
  <c r="Y19" i="1"/>
  <c r="X19" i="1"/>
  <c r="W19" i="1"/>
  <c r="V19" i="1"/>
  <c r="U19" i="1"/>
  <c r="T19" i="1"/>
  <c r="S19" i="1"/>
  <c r="R19" i="1"/>
  <c r="E19" i="1"/>
  <c r="AU18" i="1"/>
  <c r="AT18" i="1"/>
  <c r="Y18" i="1"/>
  <c r="X18" i="1"/>
  <c r="W18" i="1"/>
  <c r="V18" i="1"/>
  <c r="U18" i="1"/>
  <c r="T18" i="1"/>
  <c r="S18" i="1"/>
  <c r="R18" i="1"/>
  <c r="E18" i="1"/>
  <c r="AU17" i="1"/>
  <c r="AT17" i="1"/>
  <c r="Y17" i="1"/>
  <c r="X17" i="1"/>
  <c r="W17" i="1"/>
  <c r="V17" i="1"/>
  <c r="U17" i="1"/>
  <c r="T17" i="1"/>
  <c r="S17" i="1"/>
  <c r="R17" i="1"/>
  <c r="E17" i="1"/>
  <c r="F42" i="1" l="1"/>
  <c r="C36" i="40" l="1"/>
  <c r="C36" i="44"/>
  <c r="C36" i="30"/>
  <c r="C36" i="24"/>
  <c r="C36" i="31"/>
  <c r="C36" i="37"/>
  <c r="C36" i="27"/>
  <c r="C36" i="26"/>
  <c r="C36" i="25"/>
  <c r="C36" i="29"/>
  <c r="C36" i="50"/>
  <c r="C36" i="22"/>
  <c r="C36" i="32"/>
  <c r="AU42" i="1"/>
  <c r="AT42" i="1"/>
  <c r="Y42" i="1"/>
  <c r="X42" i="1"/>
  <c r="W42" i="1"/>
  <c r="V42" i="1"/>
  <c r="U42" i="1"/>
  <c r="T42" i="1"/>
  <c r="S42" i="1"/>
  <c r="R42" i="1"/>
  <c r="E42" i="1"/>
  <c r="F51" i="1"/>
  <c r="AU51" i="1"/>
  <c r="AT51" i="1"/>
  <c r="Y51" i="1"/>
  <c r="X51" i="1"/>
  <c r="W51" i="1"/>
  <c r="V51" i="1"/>
  <c r="U51" i="1"/>
  <c r="T51" i="1"/>
  <c r="S51" i="1"/>
  <c r="R51" i="1"/>
  <c r="E51" i="1"/>
  <c r="C45" i="40" l="1"/>
  <c r="C45" i="37"/>
  <c r="C45" i="27"/>
  <c r="C45" i="32"/>
  <c r="C45" i="30"/>
  <c r="C45" i="24"/>
  <c r="C45" i="22"/>
  <c r="C45" i="31"/>
  <c r="C45" i="44"/>
  <c r="C45" i="26"/>
  <c r="C45" i="29"/>
  <c r="C45" i="50"/>
  <c r="C45" i="25"/>
  <c r="B6" i="67"/>
  <c r="C6" i="67" s="1"/>
  <c r="B5" i="67"/>
  <c r="B40" i="67" s="1"/>
  <c r="A5" i="67"/>
  <c r="H52" i="40"/>
  <c r="F52" i="40"/>
  <c r="H51" i="40"/>
  <c r="H50" i="40"/>
  <c r="H49" i="40"/>
  <c r="H48" i="40"/>
  <c r="P48" i="40"/>
  <c r="H47" i="40"/>
  <c r="H46" i="40"/>
  <c r="P46" i="40"/>
  <c r="O46" i="37"/>
  <c r="F22" i="1"/>
  <c r="C16" i="40" l="1"/>
  <c r="C16" i="37"/>
  <c r="C16" i="25"/>
  <c r="C16" i="24"/>
  <c r="C16" i="50"/>
  <c r="C16" i="22"/>
  <c r="C16" i="31"/>
  <c r="C16" i="29"/>
  <c r="C16" i="44"/>
  <c r="C16" i="30"/>
  <c r="C16" i="27"/>
  <c r="C16" i="26"/>
  <c r="C16" i="32"/>
  <c r="A40" i="67"/>
  <c r="C40" i="67"/>
  <c r="C5" i="67"/>
  <c r="B8" i="67"/>
  <c r="A6" i="67"/>
  <c r="B7" i="67"/>
  <c r="B11" i="67"/>
  <c r="B15" i="67"/>
  <c r="B19" i="67"/>
  <c r="B23" i="67"/>
  <c r="B27" i="67"/>
  <c r="B31" i="67"/>
  <c r="B35" i="67"/>
  <c r="B39" i="67"/>
  <c r="B10" i="67"/>
  <c r="B14" i="67"/>
  <c r="B18" i="67"/>
  <c r="B22" i="67"/>
  <c r="B26" i="67"/>
  <c r="B30" i="67"/>
  <c r="B34" i="67"/>
  <c r="B38" i="67"/>
  <c r="B9" i="67"/>
  <c r="B13" i="67"/>
  <c r="B17" i="67"/>
  <c r="B21" i="67"/>
  <c r="B25" i="67"/>
  <c r="B29" i="67"/>
  <c r="B33" i="67"/>
  <c r="B37" i="67"/>
  <c r="B41" i="67"/>
  <c r="B12" i="67"/>
  <c r="B16" i="67"/>
  <c r="B20" i="67"/>
  <c r="B24" i="67"/>
  <c r="B28" i="67"/>
  <c r="B32" i="67"/>
  <c r="B36" i="67"/>
  <c r="P51" i="40"/>
  <c r="F51" i="40"/>
  <c r="P49" i="40"/>
  <c r="F49" i="40"/>
  <c r="P47" i="40"/>
  <c r="F47" i="40"/>
  <c r="F46" i="40"/>
  <c r="F48" i="40"/>
  <c r="F50" i="40"/>
  <c r="P50" i="40"/>
  <c r="P52" i="40"/>
  <c r="O48" i="37"/>
  <c r="O47" i="37"/>
  <c r="O50" i="37"/>
  <c r="O49" i="37"/>
  <c r="O51" i="37"/>
  <c r="O52" i="37"/>
  <c r="A24" i="67" l="1"/>
  <c r="C24" i="67"/>
  <c r="C41" i="67"/>
  <c r="A41" i="67"/>
  <c r="C25" i="67"/>
  <c r="A25" i="67"/>
  <c r="C9" i="67"/>
  <c r="A9" i="67"/>
  <c r="C26" i="67"/>
  <c r="A26" i="67"/>
  <c r="C10" i="67"/>
  <c r="A10" i="67"/>
  <c r="A27" i="67"/>
  <c r="C27" i="67"/>
  <c r="A11" i="67"/>
  <c r="C11" i="67"/>
  <c r="A36" i="67"/>
  <c r="C36" i="67"/>
  <c r="A20" i="67"/>
  <c r="C20" i="67"/>
  <c r="C37" i="67"/>
  <c r="A37" i="67"/>
  <c r="C21" i="67"/>
  <c r="A21" i="67"/>
  <c r="C38" i="67"/>
  <c r="A38" i="67"/>
  <c r="C22" i="67"/>
  <c r="A22" i="67"/>
  <c r="A39" i="67"/>
  <c r="C39" i="67"/>
  <c r="A23" i="67"/>
  <c r="C23" i="67"/>
  <c r="C7" i="67"/>
  <c r="A7" i="67"/>
  <c r="A8" i="67"/>
  <c r="C8" i="67"/>
  <c r="A32" i="67"/>
  <c r="C32" i="67"/>
  <c r="C33" i="67"/>
  <c r="A33" i="67"/>
  <c r="C34" i="67"/>
  <c r="A34" i="67"/>
  <c r="A19" i="67"/>
  <c r="C19" i="67"/>
  <c r="A16" i="67"/>
  <c r="C16" i="67"/>
  <c r="C17" i="67"/>
  <c r="A17" i="67"/>
  <c r="C18" i="67"/>
  <c r="A18" i="67"/>
  <c r="A35" i="67"/>
  <c r="C35" i="67"/>
  <c r="A28" i="67"/>
  <c r="C28" i="67"/>
  <c r="A12" i="67"/>
  <c r="C12" i="67"/>
  <c r="C29" i="67"/>
  <c r="A29" i="67"/>
  <c r="C13" i="67"/>
  <c r="A13" i="67"/>
  <c r="C30" i="67"/>
  <c r="A30" i="67"/>
  <c r="C14" i="67"/>
  <c r="A14" i="67"/>
  <c r="A31" i="67"/>
  <c r="C31" i="67"/>
  <c r="A15" i="67"/>
  <c r="C15" i="67"/>
  <c r="AU23" i="1" l="1"/>
  <c r="AT23" i="1"/>
  <c r="Y23" i="1"/>
  <c r="X23" i="1"/>
  <c r="W23" i="1"/>
  <c r="V23" i="1"/>
  <c r="U23" i="1"/>
  <c r="T23" i="1"/>
  <c r="S23" i="1"/>
  <c r="R23" i="1"/>
  <c r="E23" i="1"/>
  <c r="AU13" i="1"/>
  <c r="AT13" i="1"/>
  <c r="Y13" i="1"/>
  <c r="X13" i="1"/>
  <c r="W13" i="1"/>
  <c r="V13" i="1"/>
  <c r="U13" i="1"/>
  <c r="T13" i="1"/>
  <c r="S13" i="1"/>
  <c r="R13" i="1"/>
  <c r="F13" i="1"/>
  <c r="E13" i="1"/>
  <c r="K23" i="42"/>
  <c r="J23" i="42"/>
  <c r="I23" i="42"/>
  <c r="H23" i="42"/>
  <c r="G23" i="42"/>
  <c r="F23" i="42"/>
  <c r="E23" i="42"/>
  <c r="D23" i="42"/>
  <c r="C23" i="42"/>
  <c r="B23" i="42"/>
  <c r="P52" i="27" l="1"/>
  <c r="P51" i="27"/>
  <c r="P50" i="27"/>
  <c r="F49" i="27"/>
  <c r="F48" i="27"/>
  <c r="G47" i="27"/>
  <c r="P49" i="44"/>
  <c r="P48" i="44"/>
  <c r="P47" i="44"/>
  <c r="F46" i="44"/>
  <c r="H52" i="50"/>
  <c r="G52" i="50"/>
  <c r="H51" i="50"/>
  <c r="F51" i="50"/>
  <c r="H50" i="50"/>
  <c r="F50" i="50"/>
  <c r="H49" i="50"/>
  <c r="H48" i="50"/>
  <c r="F48" i="50"/>
  <c r="H47" i="50"/>
  <c r="H46" i="50"/>
  <c r="H52" i="26"/>
  <c r="P52" i="26"/>
  <c r="H51" i="26"/>
  <c r="G51" i="26"/>
  <c r="H50" i="26"/>
  <c r="H49" i="26"/>
  <c r="H48" i="26"/>
  <c r="P48" i="26"/>
  <c r="H47" i="26"/>
  <c r="G47" i="26"/>
  <c r="H46" i="26"/>
  <c r="H52" i="25"/>
  <c r="P52" i="25"/>
  <c r="H51" i="25"/>
  <c r="F51" i="25"/>
  <c r="H50" i="25"/>
  <c r="H49" i="25"/>
  <c r="H48" i="25"/>
  <c r="H47" i="25"/>
  <c r="H46" i="25"/>
  <c r="H52" i="24"/>
  <c r="G52" i="24"/>
  <c r="H51" i="24"/>
  <c r="P51" i="24"/>
  <c r="H50" i="24"/>
  <c r="P50" i="24"/>
  <c r="H49" i="24"/>
  <c r="H48" i="24"/>
  <c r="H47" i="24"/>
  <c r="H46" i="24"/>
  <c r="H52" i="22"/>
  <c r="F52" i="22"/>
  <c r="H51" i="22"/>
  <c r="H50" i="22"/>
  <c r="F50" i="22"/>
  <c r="H49" i="22"/>
  <c r="F49" i="22"/>
  <c r="H48" i="22"/>
  <c r="G48" i="22"/>
  <c r="H47" i="22"/>
  <c r="H46" i="22"/>
  <c r="P46" i="22"/>
  <c r="G52" i="32"/>
  <c r="O52" i="32"/>
  <c r="G51" i="32"/>
  <c r="G50" i="32"/>
  <c r="G49" i="32"/>
  <c r="F49" i="32"/>
  <c r="G48" i="32"/>
  <c r="G47" i="32"/>
  <c r="G46" i="32"/>
  <c r="O46" i="32"/>
  <c r="G52" i="31"/>
  <c r="O52" i="31"/>
  <c r="G51" i="31"/>
  <c r="G50" i="31"/>
  <c r="G49" i="31"/>
  <c r="O49" i="31"/>
  <c r="G48" i="31"/>
  <c r="O48" i="31"/>
  <c r="G47" i="31"/>
  <c r="O47" i="31"/>
  <c r="G46" i="31"/>
  <c r="F46" i="31"/>
  <c r="G52" i="30"/>
  <c r="O52" i="30"/>
  <c r="G51" i="30"/>
  <c r="F51" i="30"/>
  <c r="G50" i="30"/>
  <c r="G49" i="30"/>
  <c r="F49" i="30"/>
  <c r="G48" i="30"/>
  <c r="O48" i="30"/>
  <c r="G47" i="30"/>
  <c r="G46" i="30"/>
  <c r="O46" i="30"/>
  <c r="G52" i="29"/>
  <c r="O52" i="29"/>
  <c r="G51" i="29"/>
  <c r="O51" i="29"/>
  <c r="G50" i="29"/>
  <c r="F50" i="29"/>
  <c r="G49" i="29"/>
  <c r="O49" i="29"/>
  <c r="G48" i="29"/>
  <c r="F48" i="29"/>
  <c r="G47" i="29"/>
  <c r="O47" i="29"/>
  <c r="G46" i="29"/>
  <c r="W4" i="15"/>
  <c r="G52" i="27" l="1"/>
  <c r="O46" i="31"/>
  <c r="P47" i="26"/>
  <c r="F52" i="50"/>
  <c r="F48" i="26"/>
  <c r="P47" i="27"/>
  <c r="F51" i="31"/>
  <c r="O51" i="31"/>
  <c r="P51" i="25"/>
  <c r="G51" i="25"/>
  <c r="F50" i="30"/>
  <c r="O50" i="30"/>
  <c r="F50" i="31"/>
  <c r="O50" i="31"/>
  <c r="P46" i="26"/>
  <c r="F46" i="26"/>
  <c r="P46" i="50"/>
  <c r="G46" i="50"/>
  <c r="F46" i="50"/>
  <c r="F50" i="32"/>
  <c r="O50" i="32"/>
  <c r="G51" i="50"/>
  <c r="F47" i="27"/>
  <c r="G49" i="44"/>
  <c r="F52" i="30"/>
  <c r="P51" i="22"/>
  <c r="G51" i="22"/>
  <c r="F51" i="22"/>
  <c r="G47" i="24"/>
  <c r="P47" i="24"/>
  <c r="P48" i="25"/>
  <c r="G48" i="25"/>
  <c r="F48" i="25"/>
  <c r="P50" i="25"/>
  <c r="G50" i="25"/>
  <c r="F50" i="25"/>
  <c r="F46" i="30"/>
  <c r="O50" i="29"/>
  <c r="F52" i="29"/>
  <c r="F48" i="30"/>
  <c r="O49" i="30"/>
  <c r="F52" i="31"/>
  <c r="G47" i="25"/>
  <c r="F47" i="25"/>
  <c r="G52" i="22"/>
  <c r="P46" i="44"/>
  <c r="F49" i="44"/>
  <c r="O51" i="30"/>
  <c r="O47" i="32"/>
  <c r="F47" i="32"/>
  <c r="O48" i="32"/>
  <c r="F48" i="32"/>
  <c r="F51" i="29"/>
  <c r="O48" i="29"/>
  <c r="F47" i="31"/>
  <c r="P47" i="22"/>
  <c r="G47" i="22"/>
  <c r="F47" i="22"/>
  <c r="G46" i="25"/>
  <c r="F46" i="25"/>
  <c r="F47" i="50"/>
  <c r="G47" i="50"/>
  <c r="P46" i="25"/>
  <c r="G49" i="26"/>
  <c r="F49" i="26"/>
  <c r="P49" i="26"/>
  <c r="G49" i="25"/>
  <c r="F49" i="25"/>
  <c r="F47" i="26"/>
  <c r="F49" i="50"/>
  <c r="P49" i="50"/>
  <c r="G49" i="50"/>
  <c r="G46" i="27"/>
  <c r="F46" i="27"/>
  <c r="P46" i="27"/>
  <c r="P50" i="26"/>
  <c r="F50" i="26"/>
  <c r="P51" i="26"/>
  <c r="F51" i="26"/>
  <c r="F47" i="44"/>
  <c r="G47" i="44"/>
  <c r="F47" i="24"/>
  <c r="G48" i="44"/>
  <c r="F48" i="44"/>
  <c r="P51" i="50"/>
  <c r="G46" i="44"/>
  <c r="G50" i="27"/>
  <c r="F50" i="27"/>
  <c r="F51" i="27"/>
  <c r="G51" i="27"/>
  <c r="F52" i="27"/>
  <c r="G49" i="27"/>
  <c r="P48" i="27"/>
  <c r="G48" i="27"/>
  <c r="P49" i="27"/>
  <c r="P50" i="44"/>
  <c r="G50" i="44"/>
  <c r="F50" i="44"/>
  <c r="P51" i="44"/>
  <c r="G51" i="44"/>
  <c r="F51" i="44"/>
  <c r="P52" i="44"/>
  <c r="G52" i="44"/>
  <c r="F52" i="44"/>
  <c r="P47" i="50"/>
  <c r="P48" i="50"/>
  <c r="G48" i="50"/>
  <c r="P50" i="50"/>
  <c r="G50" i="50"/>
  <c r="P52" i="50"/>
  <c r="G46" i="26"/>
  <c r="G48" i="26"/>
  <c r="G50" i="26"/>
  <c r="F52" i="26"/>
  <c r="G52" i="26"/>
  <c r="P47" i="25"/>
  <c r="P49" i="25"/>
  <c r="F52" i="25"/>
  <c r="G52" i="25"/>
  <c r="P46" i="24"/>
  <c r="G46" i="24"/>
  <c r="F46" i="24"/>
  <c r="G48" i="24"/>
  <c r="F48" i="24"/>
  <c r="P48" i="24"/>
  <c r="P52" i="24"/>
  <c r="G51" i="24"/>
  <c r="F52" i="24"/>
  <c r="P49" i="24"/>
  <c r="F49" i="24"/>
  <c r="G49" i="24"/>
  <c r="F50" i="24"/>
  <c r="G50" i="24"/>
  <c r="F51" i="24"/>
  <c r="P48" i="22"/>
  <c r="F46" i="22"/>
  <c r="F48" i="22"/>
  <c r="G50" i="22"/>
  <c r="G46" i="22"/>
  <c r="P49" i="22"/>
  <c r="G49" i="22"/>
  <c r="P50" i="22"/>
  <c r="P52" i="22"/>
  <c r="F46" i="32"/>
  <c r="O51" i="32"/>
  <c r="F51" i="32"/>
  <c r="O49" i="32"/>
  <c r="F52" i="32"/>
  <c r="F48" i="31"/>
  <c r="F49" i="31"/>
  <c r="O47" i="30"/>
  <c r="F47" i="30"/>
  <c r="F47" i="29"/>
  <c r="F49" i="29"/>
  <c r="O46" i="29"/>
  <c r="F46" i="29"/>
  <c r="AU22" i="1" l="1"/>
  <c r="AT22" i="1"/>
  <c r="Y22" i="1"/>
  <c r="X22" i="1"/>
  <c r="W22" i="1"/>
  <c r="V22" i="1"/>
  <c r="U22" i="1"/>
  <c r="T22" i="1"/>
  <c r="S22" i="1"/>
  <c r="R22" i="1"/>
  <c r="E22" i="1"/>
  <c r="AU12" i="1"/>
  <c r="AT12" i="1"/>
  <c r="Y12" i="1"/>
  <c r="X12" i="1"/>
  <c r="W12" i="1"/>
  <c r="V12" i="1"/>
  <c r="U12" i="1"/>
  <c r="T12" i="1"/>
  <c r="S12" i="1"/>
  <c r="R12" i="1"/>
  <c r="E12" i="1"/>
  <c r="H45" i="40" l="1"/>
  <c r="H44" i="40"/>
  <c r="H43" i="40"/>
  <c r="H42" i="40"/>
  <c r="H41" i="40"/>
  <c r="H40" i="40"/>
  <c r="H39" i="40"/>
  <c r="H38" i="40"/>
  <c r="H37" i="40"/>
  <c r="H36" i="40"/>
  <c r="H35" i="40"/>
  <c r="H34" i="40"/>
  <c r="H33" i="40"/>
  <c r="O38" i="37"/>
  <c r="O37" i="37"/>
  <c r="O36" i="37"/>
  <c r="O35" i="37"/>
  <c r="O34" i="37"/>
  <c r="F36" i="27"/>
  <c r="G35" i="27"/>
  <c r="P34" i="27"/>
  <c r="F43" i="44"/>
  <c r="F38" i="44"/>
  <c r="P34" i="44"/>
  <c r="P33" i="44"/>
  <c r="H45" i="50"/>
  <c r="H44" i="50"/>
  <c r="H43" i="50"/>
  <c r="H42" i="50"/>
  <c r="H41" i="50"/>
  <c r="F41" i="50"/>
  <c r="H40" i="50"/>
  <c r="P40" i="50"/>
  <c r="H39" i="50"/>
  <c r="H38" i="50"/>
  <c r="H37" i="50"/>
  <c r="H36" i="50"/>
  <c r="F36" i="50"/>
  <c r="H35" i="50"/>
  <c r="P35" i="50"/>
  <c r="H34" i="50"/>
  <c r="F34" i="50"/>
  <c r="H33" i="50"/>
  <c r="H45" i="26"/>
  <c r="H44" i="26"/>
  <c r="F44" i="26"/>
  <c r="H43" i="26"/>
  <c r="H42" i="26"/>
  <c r="H41" i="26"/>
  <c r="P41" i="26"/>
  <c r="H40" i="26"/>
  <c r="H39" i="26"/>
  <c r="P39" i="26"/>
  <c r="H38" i="26"/>
  <c r="H37" i="26"/>
  <c r="F37" i="26"/>
  <c r="H36" i="26"/>
  <c r="H35" i="26"/>
  <c r="H34" i="26"/>
  <c r="P34" i="26"/>
  <c r="H33" i="26"/>
  <c r="H45" i="25"/>
  <c r="H44" i="25"/>
  <c r="H43" i="25"/>
  <c r="H42" i="25"/>
  <c r="H41" i="25"/>
  <c r="H40" i="25"/>
  <c r="H39" i="25"/>
  <c r="H38" i="25"/>
  <c r="H37" i="25"/>
  <c r="H36" i="25"/>
  <c r="H35" i="25"/>
  <c r="H34" i="25"/>
  <c r="H33" i="25"/>
  <c r="H45" i="24"/>
  <c r="H44" i="24"/>
  <c r="H43" i="24"/>
  <c r="H42" i="24"/>
  <c r="H41" i="24"/>
  <c r="H40" i="24"/>
  <c r="G40" i="24"/>
  <c r="H39" i="24"/>
  <c r="H38" i="24"/>
  <c r="G38" i="24"/>
  <c r="H37" i="24"/>
  <c r="H36" i="24"/>
  <c r="P36" i="24"/>
  <c r="H35" i="24"/>
  <c r="H34" i="24"/>
  <c r="G34" i="24"/>
  <c r="H33" i="24"/>
  <c r="H45" i="22"/>
  <c r="H44" i="22"/>
  <c r="H43" i="22"/>
  <c r="H42" i="22"/>
  <c r="H41" i="22"/>
  <c r="H40" i="22"/>
  <c r="H39" i="22"/>
  <c r="H38" i="22"/>
  <c r="H37" i="22"/>
  <c r="H36" i="22"/>
  <c r="P36" i="22"/>
  <c r="H35" i="22"/>
  <c r="H34" i="22"/>
  <c r="H33" i="22"/>
  <c r="P33" i="22"/>
  <c r="G45" i="32"/>
  <c r="G44" i="32"/>
  <c r="G43" i="32"/>
  <c r="G42" i="32"/>
  <c r="F42" i="32"/>
  <c r="G41" i="32"/>
  <c r="G40" i="32"/>
  <c r="G39" i="32"/>
  <c r="G38" i="32"/>
  <c r="G37" i="32"/>
  <c r="G36" i="32"/>
  <c r="F36" i="32"/>
  <c r="G35" i="32"/>
  <c r="G34" i="32"/>
  <c r="G33" i="32"/>
  <c r="G45" i="31"/>
  <c r="G44" i="31"/>
  <c r="G43" i="31"/>
  <c r="G42" i="31"/>
  <c r="O42" i="31"/>
  <c r="G41" i="31"/>
  <c r="G40" i="31"/>
  <c r="G39" i="31"/>
  <c r="G38" i="31"/>
  <c r="G37" i="31"/>
  <c r="G36" i="31"/>
  <c r="F36" i="31"/>
  <c r="G35" i="31"/>
  <c r="G34" i="31"/>
  <c r="G33" i="31"/>
  <c r="G45" i="30"/>
  <c r="G44" i="30"/>
  <c r="G43" i="30"/>
  <c r="O43" i="30"/>
  <c r="G42" i="30"/>
  <c r="G41" i="30"/>
  <c r="G40" i="30"/>
  <c r="G39" i="30"/>
  <c r="O39" i="30"/>
  <c r="G38" i="30"/>
  <c r="O38" i="30"/>
  <c r="G37" i="30"/>
  <c r="G36" i="30"/>
  <c r="G35" i="30"/>
  <c r="O35" i="30"/>
  <c r="G34" i="30"/>
  <c r="G33" i="30"/>
  <c r="F45" i="29"/>
  <c r="O44" i="29"/>
  <c r="F43" i="29"/>
  <c r="O42" i="29"/>
  <c r="F41" i="29"/>
  <c r="F40" i="29"/>
  <c r="F39" i="29"/>
  <c r="O37" i="29"/>
  <c r="F36" i="29"/>
  <c r="O35" i="29"/>
  <c r="F33" i="29"/>
  <c r="G45" i="29"/>
  <c r="G44" i="29"/>
  <c r="G43" i="29"/>
  <c r="G42" i="29"/>
  <c r="G41" i="29"/>
  <c r="G40" i="29"/>
  <c r="G39" i="29"/>
  <c r="G38" i="29"/>
  <c r="G37" i="29"/>
  <c r="G36" i="29"/>
  <c r="G35" i="29"/>
  <c r="G34" i="29"/>
  <c r="G33" i="29"/>
  <c r="F44" i="29" l="1"/>
  <c r="O39" i="29"/>
  <c r="O40" i="29"/>
  <c r="O36" i="29"/>
  <c r="P42" i="40"/>
  <c r="F41" i="40"/>
  <c r="P41" i="40"/>
  <c r="F40" i="40"/>
  <c r="P39" i="40"/>
  <c r="F39" i="40"/>
  <c r="P37" i="40"/>
  <c r="F37" i="40"/>
  <c r="F36" i="40"/>
  <c r="P34" i="40"/>
  <c r="F34" i="40"/>
  <c r="F33" i="40"/>
  <c r="P45" i="27"/>
  <c r="F45" i="27"/>
  <c r="P44" i="27"/>
  <c r="F44" i="27"/>
  <c r="F43" i="27"/>
  <c r="G43" i="27"/>
  <c r="G42" i="27"/>
  <c r="F42" i="27"/>
  <c r="P42" i="27"/>
  <c r="F41" i="27"/>
  <c r="P41" i="27"/>
  <c r="G41" i="27"/>
  <c r="P40" i="27"/>
  <c r="G40" i="27"/>
  <c r="F40" i="27"/>
  <c r="P39" i="27"/>
  <c r="G39" i="27"/>
  <c r="F39" i="27"/>
  <c r="F38" i="27"/>
  <c r="G38" i="27"/>
  <c r="F37" i="27"/>
  <c r="P37" i="27"/>
  <c r="G33" i="27"/>
  <c r="P33" i="27"/>
  <c r="F33" i="27"/>
  <c r="P45" i="44"/>
  <c r="F45" i="44"/>
  <c r="P44" i="44"/>
  <c r="F44" i="44"/>
  <c r="P42" i="44"/>
  <c r="G42" i="44"/>
  <c r="F42" i="44"/>
  <c r="G40" i="44"/>
  <c r="F40" i="44"/>
  <c r="P40" i="44"/>
  <c r="F36" i="44"/>
  <c r="G36" i="44"/>
  <c r="P36" i="44"/>
  <c r="G35" i="44"/>
  <c r="P35" i="44"/>
  <c r="F35" i="44"/>
  <c r="P45" i="50"/>
  <c r="F45" i="50"/>
  <c r="G45" i="50"/>
  <c r="F44" i="50"/>
  <c r="G44" i="50"/>
  <c r="F42" i="50"/>
  <c r="P42" i="50"/>
  <c r="G42" i="50"/>
  <c r="P39" i="50"/>
  <c r="G39" i="50"/>
  <c r="F39" i="50"/>
  <c r="P37" i="50"/>
  <c r="G37" i="50"/>
  <c r="F37" i="50"/>
  <c r="P33" i="50"/>
  <c r="G33" i="50"/>
  <c r="F45" i="26"/>
  <c r="P45" i="26"/>
  <c r="G45" i="26"/>
  <c r="F43" i="26"/>
  <c r="P43" i="26"/>
  <c r="G43" i="26"/>
  <c r="G42" i="26"/>
  <c r="F42" i="26"/>
  <c r="P40" i="26"/>
  <c r="F40" i="26"/>
  <c r="G40" i="26"/>
  <c r="P38" i="26"/>
  <c r="G38" i="26"/>
  <c r="F33" i="26"/>
  <c r="P33" i="26"/>
  <c r="G33" i="26"/>
  <c r="P45" i="25"/>
  <c r="G45" i="25"/>
  <c r="F45" i="25"/>
  <c r="P43" i="25"/>
  <c r="G43" i="25"/>
  <c r="F43" i="25"/>
  <c r="P41" i="25"/>
  <c r="F41" i="25"/>
  <c r="F40" i="25"/>
  <c r="G40" i="25"/>
  <c r="P39" i="25"/>
  <c r="F39" i="25"/>
  <c r="G39" i="25"/>
  <c r="F38" i="25"/>
  <c r="G38" i="25"/>
  <c r="F36" i="25"/>
  <c r="G36" i="25"/>
  <c r="F34" i="25"/>
  <c r="G34" i="25"/>
  <c r="F45" i="24"/>
  <c r="G45" i="24"/>
  <c r="P45" i="24"/>
  <c r="F43" i="24"/>
  <c r="G43" i="24"/>
  <c r="P43" i="24"/>
  <c r="P41" i="24"/>
  <c r="F41" i="24"/>
  <c r="F3" i="24" s="1"/>
  <c r="G41" i="24"/>
  <c r="P39" i="24"/>
  <c r="G39" i="24"/>
  <c r="F39" i="24"/>
  <c r="F37" i="24"/>
  <c r="G37" i="24"/>
  <c r="P37" i="24"/>
  <c r="P35" i="24"/>
  <c r="G35" i="24"/>
  <c r="F35" i="24"/>
  <c r="F33" i="24"/>
  <c r="G33" i="24"/>
  <c r="P45" i="22"/>
  <c r="F45" i="22"/>
  <c r="F44" i="22"/>
  <c r="G44" i="22"/>
  <c r="G43" i="22"/>
  <c r="P43" i="22"/>
  <c r="F43" i="22"/>
  <c r="F41" i="22"/>
  <c r="G41" i="22"/>
  <c r="P41" i="22"/>
  <c r="F40" i="22"/>
  <c r="G40" i="22"/>
  <c r="P40" i="22"/>
  <c r="F37" i="22"/>
  <c r="G37" i="22"/>
  <c r="P37" i="22"/>
  <c r="G35" i="22"/>
  <c r="F35" i="22"/>
  <c r="O45" i="32"/>
  <c r="F45" i="32"/>
  <c r="F44" i="32"/>
  <c r="O44" i="32"/>
  <c r="O43" i="32"/>
  <c r="F43" i="32"/>
  <c r="F40" i="32"/>
  <c r="O40" i="32"/>
  <c r="F39" i="32"/>
  <c r="O39" i="32"/>
  <c r="F38" i="32"/>
  <c r="O38" i="32"/>
  <c r="O37" i="32"/>
  <c r="F37" i="32"/>
  <c r="O35" i="32"/>
  <c r="F35" i="32"/>
  <c r="F33" i="32"/>
  <c r="O33" i="32"/>
  <c r="O45" i="31"/>
  <c r="F45" i="31"/>
  <c r="F44" i="31"/>
  <c r="O44" i="31"/>
  <c r="F41" i="31"/>
  <c r="O41" i="31"/>
  <c r="F40" i="31"/>
  <c r="O40" i="31"/>
  <c r="O39" i="31"/>
  <c r="F39" i="31"/>
  <c r="F38" i="31"/>
  <c r="O38" i="31"/>
  <c r="O37" i="31"/>
  <c r="F37" i="31"/>
  <c r="O35" i="31"/>
  <c r="F35" i="31"/>
  <c r="O34" i="31"/>
  <c r="F34" i="31"/>
  <c r="O45" i="30"/>
  <c r="F45" i="30"/>
  <c r="F44" i="30"/>
  <c r="O44" i="30"/>
  <c r="F41" i="30"/>
  <c r="O41" i="30"/>
  <c r="F40" i="30"/>
  <c r="O40" i="30"/>
  <c r="O37" i="30"/>
  <c r="F37" i="30"/>
  <c r="F36" i="30"/>
  <c r="O36" i="30"/>
  <c r="O33" i="30"/>
  <c r="F33" i="30"/>
  <c r="F35" i="40"/>
  <c r="P44" i="40"/>
  <c r="F44" i="40"/>
  <c r="F38" i="40"/>
  <c r="F43" i="40"/>
  <c r="P43" i="40"/>
  <c r="F45" i="40"/>
  <c r="P45" i="40"/>
  <c r="P35" i="40"/>
  <c r="P33" i="40"/>
  <c r="P38" i="40"/>
  <c r="P36" i="40"/>
  <c r="P40" i="40"/>
  <c r="F42" i="40"/>
  <c r="O33" i="37"/>
  <c r="O40" i="37"/>
  <c r="O41" i="37"/>
  <c r="O43" i="37"/>
  <c r="O45" i="37"/>
  <c r="O39" i="37"/>
  <c r="O42" i="37"/>
  <c r="O44" i="37"/>
  <c r="G45" i="27"/>
  <c r="F34" i="27"/>
  <c r="F35" i="27"/>
  <c r="P35" i="27"/>
  <c r="G34" i="27"/>
  <c r="G37" i="27"/>
  <c r="P36" i="27"/>
  <c r="G36" i="27"/>
  <c r="P38" i="27"/>
  <c r="P43" i="27"/>
  <c r="G44" i="27"/>
  <c r="G45" i="44"/>
  <c r="F33" i="44"/>
  <c r="P37" i="44"/>
  <c r="G37" i="44"/>
  <c r="G33" i="44"/>
  <c r="F34" i="44"/>
  <c r="F37" i="44"/>
  <c r="G34" i="44"/>
  <c r="F39" i="44"/>
  <c r="P39" i="44"/>
  <c r="G39" i="44"/>
  <c r="F41" i="44"/>
  <c r="G41" i="44"/>
  <c r="P38" i="44"/>
  <c r="G38" i="44"/>
  <c r="P41" i="44"/>
  <c r="G43" i="44"/>
  <c r="P43" i="44"/>
  <c r="G44" i="44"/>
  <c r="F35" i="50"/>
  <c r="G36" i="50"/>
  <c r="P36" i="50"/>
  <c r="P34" i="50"/>
  <c r="G35" i="50"/>
  <c r="G38" i="50"/>
  <c r="F38" i="50"/>
  <c r="F33" i="50"/>
  <c r="G34" i="50"/>
  <c r="P38" i="50"/>
  <c r="G40" i="50"/>
  <c r="F40" i="50"/>
  <c r="P43" i="50"/>
  <c r="G43" i="50"/>
  <c r="F43" i="50"/>
  <c r="P41" i="50"/>
  <c r="G41" i="50"/>
  <c r="P44" i="50"/>
  <c r="F35" i="26"/>
  <c r="P35" i="26"/>
  <c r="G35" i="26"/>
  <c r="P36" i="26"/>
  <c r="G36" i="26"/>
  <c r="F36" i="26"/>
  <c r="P37" i="26"/>
  <c r="F34" i="26"/>
  <c r="G37" i="26"/>
  <c r="G34" i="26"/>
  <c r="F38" i="26"/>
  <c r="G39" i="26"/>
  <c r="F39" i="26"/>
  <c r="G41" i="26"/>
  <c r="F41" i="26"/>
  <c r="P42" i="26"/>
  <c r="P44" i="26"/>
  <c r="G44" i="26"/>
  <c r="P37" i="25"/>
  <c r="G37" i="25"/>
  <c r="F37" i="25"/>
  <c r="P35" i="25"/>
  <c r="G35" i="25"/>
  <c r="F35" i="25"/>
  <c r="P33" i="25"/>
  <c r="G33" i="25"/>
  <c r="F33" i="25"/>
  <c r="G44" i="25"/>
  <c r="F44" i="25"/>
  <c r="P44" i="25"/>
  <c r="P34" i="25"/>
  <c r="P36" i="25"/>
  <c r="P38" i="25"/>
  <c r="P40" i="25"/>
  <c r="G41" i="25"/>
  <c r="G42" i="25"/>
  <c r="F42" i="25"/>
  <c r="P42" i="25"/>
  <c r="G36" i="24"/>
  <c r="F36" i="24"/>
  <c r="P33" i="24"/>
  <c r="F40" i="24"/>
  <c r="P34" i="24"/>
  <c r="P38" i="24"/>
  <c r="P44" i="24"/>
  <c r="G44" i="24"/>
  <c r="F44" i="24"/>
  <c r="P40" i="24"/>
  <c r="F34" i="24"/>
  <c r="F38" i="24"/>
  <c r="P42" i="24"/>
  <c r="G42" i="24"/>
  <c r="F42" i="24"/>
  <c r="P38" i="22"/>
  <c r="G38" i="22"/>
  <c r="F38" i="22"/>
  <c r="G33" i="22"/>
  <c r="F33" i="22"/>
  <c r="P34" i="22"/>
  <c r="G34" i="22"/>
  <c r="F34" i="22"/>
  <c r="F36" i="22"/>
  <c r="G36" i="22"/>
  <c r="G39" i="22"/>
  <c r="F39" i="22"/>
  <c r="P42" i="22"/>
  <c r="F42" i="22"/>
  <c r="G42" i="22"/>
  <c r="P39" i="22"/>
  <c r="P35" i="22"/>
  <c r="P44" i="22"/>
  <c r="G45" i="22"/>
  <c r="F34" i="32"/>
  <c r="O34" i="32"/>
  <c r="O41" i="32"/>
  <c r="F41" i="32"/>
  <c r="O36" i="32"/>
  <c r="O42" i="32"/>
  <c r="O33" i="31"/>
  <c r="F33" i="31"/>
  <c r="O36" i="31"/>
  <c r="O43" i="31"/>
  <c r="F43" i="31"/>
  <c r="F42" i="31"/>
  <c r="F38" i="30"/>
  <c r="F39" i="30"/>
  <c r="O42" i="30"/>
  <c r="F42" i="30"/>
  <c r="F43" i="30"/>
  <c r="O34" i="30"/>
  <c r="F34" i="30"/>
  <c r="F35" i="30"/>
  <c r="O33" i="29"/>
  <c r="O38" i="29"/>
  <c r="F38" i="29"/>
  <c r="O41" i="29"/>
  <c r="O43" i="29"/>
  <c r="F37" i="29"/>
  <c r="O45" i="29"/>
  <c r="F42" i="29"/>
  <c r="O34" i="29"/>
  <c r="F34" i="29"/>
  <c r="F35" i="29"/>
  <c r="F3" i="22" l="1"/>
  <c r="F3" i="25"/>
  <c r="AU56" i="1"/>
  <c r="AT56" i="1"/>
  <c r="Y56" i="1"/>
  <c r="X56" i="1"/>
  <c r="W56" i="1"/>
  <c r="V56" i="1"/>
  <c r="U56" i="1"/>
  <c r="T56" i="1"/>
  <c r="S56" i="1"/>
  <c r="R56" i="1"/>
  <c r="E56" i="1"/>
  <c r="AU55" i="1"/>
  <c r="AT55" i="1"/>
  <c r="Y55" i="1"/>
  <c r="X55" i="1"/>
  <c r="W55" i="1"/>
  <c r="V55" i="1"/>
  <c r="U55" i="1"/>
  <c r="T55" i="1"/>
  <c r="S55" i="1"/>
  <c r="R55" i="1"/>
  <c r="E55" i="1"/>
  <c r="AU54" i="1"/>
  <c r="AT54" i="1"/>
  <c r="Y54" i="1"/>
  <c r="X54" i="1"/>
  <c r="W54" i="1"/>
  <c r="V54" i="1"/>
  <c r="U54" i="1"/>
  <c r="T54" i="1"/>
  <c r="S54" i="1"/>
  <c r="R54" i="1"/>
  <c r="E54" i="1"/>
  <c r="AU53" i="1"/>
  <c r="AT53" i="1"/>
  <c r="Y53" i="1"/>
  <c r="X53" i="1"/>
  <c r="W53" i="1"/>
  <c r="V53" i="1"/>
  <c r="U53" i="1"/>
  <c r="T53" i="1"/>
  <c r="S53" i="1"/>
  <c r="R53" i="1"/>
  <c r="E53" i="1"/>
  <c r="H32" i="26" l="1"/>
  <c r="H31" i="26"/>
  <c r="H30" i="26"/>
  <c r="H29" i="26"/>
  <c r="H28" i="26"/>
  <c r="H27" i="26"/>
  <c r="H26" i="26"/>
  <c r="H25" i="26"/>
  <c r="H24" i="26"/>
  <c r="H23" i="26"/>
  <c r="H22" i="26"/>
  <c r="H21" i="26"/>
  <c r="H20" i="26"/>
  <c r="H19" i="26"/>
  <c r="H18" i="26"/>
  <c r="H17" i="26"/>
  <c r="H16" i="26"/>
  <c r="H15" i="26"/>
  <c r="H14" i="26"/>
  <c r="H13" i="26"/>
  <c r="H12" i="26"/>
  <c r="H11" i="26"/>
  <c r="H10" i="26"/>
  <c r="H9" i="26"/>
  <c r="H8" i="26"/>
  <c r="AU59" i="1" l="1"/>
  <c r="AU11" i="1"/>
  <c r="AU7" i="1"/>
  <c r="A71" i="66"/>
  <c r="A70" i="66"/>
  <c r="A69" i="66"/>
  <c r="A68" i="66"/>
  <c r="A67" i="66"/>
  <c r="A59" i="66"/>
  <c r="A58" i="66"/>
  <c r="A57" i="66"/>
  <c r="A56" i="66"/>
  <c r="A55" i="66"/>
  <c r="C54" i="66"/>
  <c r="A54" i="66"/>
  <c r="C53" i="66"/>
  <c r="A53" i="66"/>
  <c r="A52" i="66"/>
  <c r="C51" i="66"/>
  <c r="A51" i="66"/>
  <c r="C50" i="66"/>
  <c r="A50" i="66"/>
  <c r="D49" i="66"/>
  <c r="C49" i="66"/>
  <c r="B49" i="66"/>
  <c r="A49" i="66"/>
  <c r="D48" i="66"/>
  <c r="C48" i="66"/>
  <c r="B48" i="66"/>
  <c r="A48" i="66"/>
  <c r="C47" i="66"/>
  <c r="A47" i="66"/>
  <c r="C46" i="66"/>
  <c r="A46" i="66"/>
  <c r="B41" i="66"/>
  <c r="B40" i="66"/>
  <c r="B39" i="66"/>
  <c r="B38" i="66"/>
  <c r="B13" i="66" a="1"/>
  <c r="B12" i="66" a="1"/>
  <c r="B11" i="66" a="1"/>
  <c r="B10" i="66"/>
  <c r="B9" i="66"/>
  <c r="B6" i="66"/>
  <c r="A2" i="66"/>
  <c r="P8" i="27"/>
  <c r="D30" i="66" l="1" a="1"/>
  <c r="D24" i="66" a="1"/>
  <c r="C24" i="66" a="1"/>
  <c r="D23" i="66" a="1"/>
  <c r="A23" i="66" a="1"/>
  <c r="C30" i="66" a="1"/>
  <c r="B29" i="66" a="1"/>
  <c r="C28" i="66" a="1"/>
  <c r="C27" i="66" a="1"/>
  <c r="C26" i="66" a="1"/>
  <c r="A26" i="66" a="1"/>
  <c r="B25" i="66" a="1"/>
  <c r="B24" i="66" a="1"/>
  <c r="C23" i="66" a="1"/>
  <c r="B30" i="66" a="1"/>
  <c r="C29" i="66" a="1"/>
  <c r="A29" i="66" a="1"/>
  <c r="B28" i="66" a="1"/>
  <c r="B27" i="66" a="1"/>
  <c r="D26" i="66" a="1"/>
  <c r="D25" i="66" a="1"/>
  <c r="A25" i="66" a="1"/>
  <c r="A24" i="66" a="1"/>
  <c r="B23" i="66" a="1"/>
  <c r="A30" i="66" a="1"/>
  <c r="D29" i="66" a="1"/>
  <c r="D28" i="66" a="1"/>
  <c r="A28" i="66" a="1"/>
  <c r="D27" i="66" a="1"/>
  <c r="A27" i="66" a="1"/>
  <c r="B26" i="66" a="1"/>
  <c r="C25" i="66" a="1"/>
  <c r="D33" i="66" a="1"/>
  <c r="C33" i="66" a="1"/>
  <c r="B33" i="66" a="1"/>
  <c r="A33" i="66" a="1"/>
  <c r="D32" i="66" a="1"/>
  <c r="C32" i="66" a="1"/>
  <c r="B32" i="66" a="1"/>
  <c r="A32" i="66" a="1"/>
  <c r="D31" i="66" a="1"/>
  <c r="C31" i="66" a="1"/>
  <c r="B31" i="66" a="1"/>
  <c r="A31" i="66" a="1"/>
  <c r="B17" i="66"/>
  <c r="B18" i="66"/>
  <c r="B19" i="66"/>
  <c r="B42" i="66"/>
  <c r="G8" i="27"/>
  <c r="F8" i="27"/>
  <c r="F59" i="1"/>
  <c r="AT59" i="1"/>
  <c r="Y59" i="1"/>
  <c r="X59" i="1"/>
  <c r="W59" i="1"/>
  <c r="V59" i="1"/>
  <c r="U59" i="1"/>
  <c r="T59" i="1"/>
  <c r="S59" i="1"/>
  <c r="R59" i="1"/>
  <c r="E59" i="1"/>
  <c r="C53" i="40" l="1"/>
  <c r="C53" i="37"/>
  <c r="C53" i="27"/>
  <c r="C53" i="50"/>
  <c r="C53" i="22"/>
  <c r="C53" i="29"/>
  <c r="C53" i="44"/>
  <c r="C53" i="31"/>
  <c r="C53" i="26"/>
  <c r="C53" i="30"/>
  <c r="C53" i="25"/>
  <c r="C53" i="24"/>
  <c r="C53" i="32"/>
  <c r="AT11" i="1"/>
  <c r="AT7" i="1"/>
  <c r="AT4" i="1" l="1"/>
  <c r="B16" i="66"/>
  <c r="B15" i="66"/>
  <c r="B14" i="66"/>
  <c r="N4" i="50"/>
  <c r="N8" i="50" s="1"/>
  <c r="N8" i="26" s="1"/>
  <c r="E11" i="1" l="1"/>
  <c r="F11" i="1"/>
  <c r="R11" i="1"/>
  <c r="S11" i="1"/>
  <c r="T11" i="1"/>
  <c r="U11" i="1"/>
  <c r="V11" i="1"/>
  <c r="W11" i="1"/>
  <c r="X11" i="1"/>
  <c r="Y11" i="1"/>
  <c r="C41" i="66"/>
  <c r="I4" i="15" l="1"/>
  <c r="I5" i="15"/>
  <c r="I6" i="15"/>
  <c r="I7" i="15"/>
  <c r="I8" i="15"/>
  <c r="I9" i="15"/>
  <c r="I10" i="15"/>
  <c r="I11" i="15"/>
  <c r="I12" i="15"/>
  <c r="I13" i="15"/>
  <c r="I14" i="15"/>
  <c r="I15" i="15"/>
  <c r="I16" i="15"/>
  <c r="I17" i="15"/>
  <c r="I18" i="15"/>
  <c r="I19" i="15"/>
  <c r="I20" i="15"/>
  <c r="I21" i="15"/>
  <c r="I22" i="15"/>
  <c r="I23" i="15"/>
  <c r="I24" i="15"/>
  <c r="I25" i="15"/>
  <c r="I26" i="15"/>
  <c r="I27" i="15"/>
  <c r="I28" i="15"/>
  <c r="I29" i="15"/>
  <c r="I30" i="15"/>
  <c r="I31" i="15"/>
  <c r="I32" i="15"/>
  <c r="I33" i="15"/>
  <c r="I34" i="15"/>
  <c r="I35" i="15"/>
  <c r="I36" i="15"/>
  <c r="I37" i="15"/>
  <c r="I38" i="15"/>
  <c r="I39" i="15"/>
  <c r="I40" i="15"/>
  <c r="I41" i="15"/>
  <c r="I42" i="15"/>
  <c r="I43" i="15"/>
  <c r="I44" i="15"/>
  <c r="I45" i="15"/>
  <c r="I46" i="15"/>
  <c r="I47" i="15"/>
  <c r="I48" i="15"/>
  <c r="I49" i="15"/>
  <c r="I50" i="15"/>
  <c r="I51" i="15"/>
  <c r="I52" i="15"/>
  <c r="I53" i="15"/>
  <c r="I54" i="15"/>
  <c r="I55" i="15"/>
  <c r="I56" i="15"/>
  <c r="I57" i="15"/>
  <c r="I58" i="15"/>
  <c r="I59" i="15"/>
  <c r="I60" i="15"/>
  <c r="I61" i="15"/>
  <c r="I62" i="15"/>
  <c r="I63" i="15"/>
  <c r="I64" i="15"/>
  <c r="I65" i="15"/>
  <c r="I66" i="15"/>
  <c r="I67" i="15"/>
  <c r="I68" i="15"/>
  <c r="I69" i="15"/>
  <c r="I70" i="15"/>
  <c r="I71" i="15"/>
  <c r="I72" i="15"/>
  <c r="I73" i="15"/>
  <c r="I74" i="15"/>
  <c r="I75" i="15"/>
  <c r="I76" i="15"/>
  <c r="I77" i="15"/>
  <c r="I78" i="15"/>
  <c r="I79" i="15"/>
  <c r="I80" i="15"/>
  <c r="I81" i="15"/>
  <c r="I82" i="15"/>
  <c r="I83" i="15"/>
  <c r="I84" i="15"/>
  <c r="I85" i="15"/>
  <c r="I86" i="15"/>
  <c r="I87" i="15"/>
  <c r="I88" i="15"/>
  <c r="I89" i="15"/>
  <c r="I90" i="15"/>
  <c r="I91" i="15"/>
  <c r="I92" i="15"/>
  <c r="I93" i="15"/>
  <c r="I94" i="15"/>
  <c r="I95" i="15"/>
  <c r="I96" i="15"/>
  <c r="I97" i="15"/>
  <c r="I98" i="15"/>
  <c r="I99" i="15"/>
  <c r="I100" i="15"/>
  <c r="I101" i="15"/>
  <c r="I102" i="15"/>
  <c r="I103" i="15"/>
  <c r="I104" i="15"/>
  <c r="I105" i="15"/>
  <c r="I106" i="15"/>
  <c r="I107" i="15"/>
  <c r="I108" i="15"/>
  <c r="I109" i="15"/>
  <c r="I110" i="15"/>
  <c r="I111" i="15"/>
  <c r="I112" i="15"/>
  <c r="I113" i="15"/>
  <c r="I114" i="15"/>
  <c r="I115" i="15"/>
  <c r="I116" i="15"/>
  <c r="I117" i="15"/>
  <c r="I118" i="15"/>
  <c r="I119" i="15"/>
  <c r="I120" i="15"/>
  <c r="I121" i="15"/>
  <c r="I122" i="15"/>
  <c r="I123" i="15"/>
  <c r="I124" i="15"/>
  <c r="I125" i="15"/>
  <c r="I126" i="15"/>
  <c r="I127" i="15"/>
  <c r="I128" i="15"/>
  <c r="I129" i="15"/>
  <c r="I130" i="15"/>
  <c r="I131" i="15"/>
  <c r="I132" i="15"/>
  <c r="I133" i="15"/>
  <c r="I134" i="15"/>
  <c r="I135" i="15"/>
  <c r="I136" i="15"/>
  <c r="I137" i="15"/>
  <c r="I138" i="15"/>
  <c r="I139" i="15"/>
  <c r="I140" i="15"/>
  <c r="I141" i="15"/>
  <c r="I142" i="15"/>
  <c r="I143" i="15"/>
  <c r="I144" i="15"/>
  <c r="I145" i="15"/>
  <c r="I146" i="15"/>
  <c r="I147" i="15"/>
  <c r="I148" i="15"/>
  <c r="I149" i="15"/>
  <c r="I150" i="15"/>
  <c r="I151" i="15"/>
  <c r="I152" i="15"/>
  <c r="I153" i="15"/>
  <c r="I154" i="15"/>
  <c r="I155" i="15"/>
  <c r="I156" i="15"/>
  <c r="I157" i="15"/>
  <c r="I158" i="15"/>
  <c r="I159" i="15"/>
  <c r="I160" i="15"/>
  <c r="I161" i="15"/>
  <c r="I162" i="15"/>
  <c r="I163" i="15"/>
  <c r="I164" i="15"/>
  <c r="I165" i="15"/>
  <c r="I166" i="15"/>
  <c r="I167" i="15"/>
  <c r="I168" i="15"/>
  <c r="I169" i="15"/>
  <c r="I170" i="15"/>
  <c r="I171" i="15"/>
  <c r="I172" i="15"/>
  <c r="I173" i="15"/>
  <c r="I174" i="15"/>
  <c r="I175" i="15"/>
  <c r="I176" i="15"/>
  <c r="I177" i="15"/>
  <c r="I178" i="15"/>
  <c r="I179" i="15"/>
  <c r="I180" i="15"/>
  <c r="I181" i="15"/>
  <c r="I182" i="15"/>
  <c r="I183" i="15"/>
  <c r="I184" i="15"/>
  <c r="I185" i="15"/>
  <c r="I186" i="15"/>
  <c r="I187" i="15"/>
  <c r="I188" i="15"/>
  <c r="I189" i="15"/>
  <c r="I190" i="15"/>
  <c r="I191" i="15"/>
  <c r="I192" i="15"/>
  <c r="I193" i="15"/>
  <c r="I194" i="15"/>
  <c r="I195" i="15"/>
  <c r="I196" i="15"/>
  <c r="I197" i="15"/>
  <c r="I198" i="15"/>
  <c r="I199" i="15"/>
  <c r="I200" i="15"/>
  <c r="I201" i="15"/>
  <c r="I202" i="15"/>
  <c r="I203" i="15"/>
  <c r="I204" i="15"/>
  <c r="I205" i="15"/>
  <c r="I206" i="15"/>
  <c r="I207" i="15"/>
  <c r="I208" i="15"/>
  <c r="I209" i="15"/>
  <c r="I210" i="15"/>
  <c r="I211" i="15"/>
  <c r="I212" i="15"/>
  <c r="I213" i="15"/>
  <c r="I214" i="15"/>
  <c r="I215" i="15"/>
  <c r="I216" i="15"/>
  <c r="I217" i="15"/>
  <c r="I218" i="15"/>
  <c r="I219" i="15"/>
  <c r="I220" i="15"/>
  <c r="I221" i="15"/>
  <c r="I222" i="15"/>
  <c r="I223" i="15"/>
  <c r="I224" i="15"/>
  <c r="I225" i="15"/>
  <c r="I226" i="15"/>
  <c r="I227" i="15"/>
  <c r="I228" i="15"/>
  <c r="I229" i="15"/>
  <c r="I230" i="15"/>
  <c r="I231" i="15"/>
  <c r="I232" i="15"/>
  <c r="I233" i="15"/>
  <c r="I234" i="15"/>
  <c r="I235" i="15"/>
  <c r="I236" i="15"/>
  <c r="I237" i="15"/>
  <c r="I238" i="15"/>
  <c r="I239" i="15"/>
  <c r="I240" i="15"/>
  <c r="I241" i="15"/>
  <c r="I242" i="15"/>
  <c r="I243" i="15"/>
  <c r="I244" i="15"/>
  <c r="I245" i="15"/>
  <c r="I246" i="15"/>
  <c r="I247" i="15"/>
  <c r="I248" i="15"/>
  <c r="I249" i="15"/>
  <c r="I250" i="15"/>
  <c r="I251" i="15"/>
  <c r="I252" i="15"/>
  <c r="I253" i="15"/>
  <c r="I254" i="15"/>
  <c r="I255" i="15"/>
  <c r="I256" i="15"/>
  <c r="I257" i="15"/>
  <c r="I258" i="15"/>
  <c r="I259" i="15"/>
  <c r="I260" i="15"/>
  <c r="I261" i="15"/>
  <c r="I262" i="15"/>
  <c r="I263" i="15"/>
  <c r="I264" i="15"/>
  <c r="I265" i="15"/>
  <c r="I266" i="15"/>
  <c r="I267" i="15"/>
  <c r="I268" i="15"/>
  <c r="I269" i="15"/>
  <c r="I270" i="15"/>
  <c r="I271" i="15"/>
  <c r="I272" i="15"/>
  <c r="I273" i="15"/>
  <c r="I274" i="15"/>
  <c r="I275" i="15"/>
  <c r="I276" i="15"/>
  <c r="I277" i="15"/>
  <c r="I278" i="15"/>
  <c r="I279" i="15"/>
  <c r="I280" i="15"/>
  <c r="I281" i="15"/>
  <c r="I282" i="15"/>
  <c r="I283" i="15"/>
  <c r="I284" i="15"/>
  <c r="I285" i="15"/>
  <c r="I286" i="15"/>
  <c r="I287" i="15"/>
  <c r="I288" i="15"/>
  <c r="I289" i="15"/>
  <c r="I290" i="15"/>
  <c r="I291" i="15"/>
  <c r="I292" i="15"/>
  <c r="I293" i="15"/>
  <c r="I294" i="15"/>
  <c r="I295" i="15"/>
  <c r="I296" i="15"/>
  <c r="I297" i="15"/>
  <c r="I298" i="15"/>
  <c r="I299" i="15"/>
  <c r="I300" i="15"/>
  <c r="I301" i="15"/>
  <c r="I302" i="15"/>
  <c r="I303" i="15"/>
  <c r="I304" i="15"/>
  <c r="I305" i="15"/>
  <c r="I306" i="15"/>
  <c r="I307" i="15"/>
  <c r="I308" i="15"/>
  <c r="I309" i="15"/>
  <c r="I310" i="15"/>
  <c r="I311" i="15"/>
  <c r="I312" i="15"/>
  <c r="I313" i="15"/>
  <c r="I314" i="15"/>
  <c r="I315" i="15"/>
  <c r="I316" i="15"/>
  <c r="I317" i="15"/>
  <c r="I318" i="15"/>
  <c r="I319" i="15"/>
  <c r="I320" i="15"/>
  <c r="I321" i="15"/>
  <c r="I322" i="15"/>
  <c r="I323" i="15"/>
  <c r="I324" i="15"/>
  <c r="I325" i="15"/>
  <c r="I326" i="15"/>
  <c r="I327" i="15"/>
  <c r="I328" i="15"/>
  <c r="I329" i="15"/>
  <c r="I330" i="15"/>
  <c r="I331" i="15"/>
  <c r="I332" i="15"/>
  <c r="I333" i="15"/>
  <c r="I334" i="15"/>
  <c r="I335" i="15"/>
  <c r="I336" i="15"/>
  <c r="I337" i="15"/>
  <c r="I338" i="15"/>
  <c r="I339" i="15"/>
  <c r="I340" i="15"/>
  <c r="I341" i="15"/>
  <c r="I342" i="15"/>
  <c r="I343" i="15"/>
  <c r="I344" i="15"/>
  <c r="I345" i="15"/>
  <c r="I346" i="15"/>
  <c r="I347" i="15"/>
  <c r="I348" i="15"/>
  <c r="I349" i="15"/>
  <c r="I350" i="15"/>
  <c r="I351" i="15"/>
  <c r="I352" i="15"/>
  <c r="I353" i="15"/>
  <c r="I354" i="15"/>
  <c r="I355" i="15"/>
  <c r="I356" i="15"/>
  <c r="I357" i="15"/>
  <c r="I358" i="15"/>
  <c r="I359" i="15"/>
  <c r="I360" i="15"/>
  <c r="I361" i="15"/>
  <c r="I362" i="15"/>
  <c r="I363" i="15"/>
  <c r="I364" i="15"/>
  <c r="I365" i="15"/>
  <c r="I366" i="15"/>
  <c r="I367" i="15"/>
  <c r="I368" i="15"/>
  <c r="I369" i="15"/>
  <c r="I370" i="15"/>
  <c r="I371" i="15"/>
  <c r="I372" i="15"/>
  <c r="I373" i="15"/>
  <c r="I374" i="15"/>
  <c r="I375" i="15"/>
  <c r="I376" i="15"/>
  <c r="I377" i="15"/>
  <c r="I378" i="15"/>
  <c r="I379" i="15"/>
  <c r="I380" i="15"/>
  <c r="I381" i="15"/>
  <c r="I382" i="15"/>
  <c r="I383" i="15"/>
  <c r="I384" i="15"/>
  <c r="I385" i="15"/>
  <c r="I386" i="15"/>
  <c r="I387" i="15"/>
  <c r="I388" i="15"/>
  <c r="I389" i="15"/>
  <c r="I390" i="15"/>
  <c r="I391" i="15"/>
  <c r="I392" i="15"/>
  <c r="I393" i="15"/>
  <c r="I394" i="15"/>
  <c r="I395" i="15"/>
  <c r="I396" i="15"/>
  <c r="I397" i="15"/>
  <c r="I398" i="15"/>
  <c r="I399" i="15"/>
  <c r="I400" i="15"/>
  <c r="I401" i="15"/>
  <c r="I402" i="15"/>
  <c r="I403" i="15"/>
  <c r="I404" i="15"/>
  <c r="I405" i="15"/>
  <c r="I406" i="15"/>
  <c r="I407" i="15"/>
  <c r="I408" i="15"/>
  <c r="I409" i="15"/>
  <c r="I410" i="15"/>
  <c r="I411" i="15"/>
  <c r="I412" i="15"/>
  <c r="I413" i="15"/>
  <c r="I414" i="15"/>
  <c r="I415" i="15"/>
  <c r="I416" i="15"/>
  <c r="I417" i="15"/>
  <c r="I418" i="15"/>
  <c r="I419" i="15"/>
  <c r="I420" i="15"/>
  <c r="I421" i="15"/>
  <c r="I422" i="15"/>
  <c r="I423" i="15"/>
  <c r="I424" i="15"/>
  <c r="I425" i="15"/>
  <c r="I426" i="15"/>
  <c r="I427" i="15"/>
  <c r="I428" i="15"/>
  <c r="I429" i="15"/>
  <c r="I430" i="15"/>
  <c r="I431" i="15"/>
  <c r="I432" i="15"/>
  <c r="I433" i="15"/>
  <c r="I434" i="15"/>
  <c r="I435" i="15"/>
  <c r="I436" i="15"/>
  <c r="I437" i="15"/>
  <c r="I438" i="15"/>
  <c r="I439" i="15"/>
  <c r="I440" i="15"/>
  <c r="I441" i="15"/>
  <c r="I442" i="15"/>
  <c r="I443" i="15"/>
  <c r="I444" i="15"/>
  <c r="I445" i="15"/>
  <c r="I446" i="15"/>
  <c r="I447" i="15"/>
  <c r="I448" i="15"/>
  <c r="I449" i="15"/>
  <c r="I450" i="15"/>
  <c r="I451" i="15"/>
  <c r="I452" i="15"/>
  <c r="I453" i="15"/>
  <c r="I454" i="15"/>
  <c r="I455" i="15"/>
  <c r="I456" i="15"/>
  <c r="I457" i="15"/>
  <c r="I458" i="15"/>
  <c r="I459" i="15"/>
  <c r="I460" i="15"/>
  <c r="I461" i="15"/>
  <c r="I462" i="15"/>
  <c r="I463" i="15"/>
  <c r="I464" i="15"/>
  <c r="I465" i="15"/>
  <c r="I466" i="15"/>
  <c r="I467" i="15"/>
  <c r="I468" i="15"/>
  <c r="I469" i="15"/>
  <c r="I470" i="15"/>
  <c r="I471" i="15"/>
  <c r="I472" i="15"/>
  <c r="I473" i="15"/>
  <c r="I474" i="15"/>
  <c r="I475" i="15"/>
  <c r="I476" i="15"/>
  <c r="I477" i="15"/>
  <c r="I478" i="15"/>
  <c r="I479" i="15"/>
  <c r="I480" i="15"/>
  <c r="I481" i="15"/>
  <c r="I482" i="15"/>
  <c r="I483" i="15"/>
  <c r="I484" i="15"/>
  <c r="I485" i="15"/>
  <c r="I486" i="15"/>
  <c r="I487" i="15"/>
  <c r="I488" i="15"/>
  <c r="I489" i="15"/>
  <c r="I490" i="15"/>
  <c r="I491" i="15"/>
  <c r="I492" i="15"/>
  <c r="I493" i="15"/>
  <c r="I494" i="15"/>
  <c r="I495" i="15"/>
  <c r="I496" i="15"/>
  <c r="I497" i="15"/>
  <c r="I498" i="15"/>
  <c r="I499" i="15"/>
  <c r="I500" i="15"/>
  <c r="I501" i="15"/>
  <c r="I502" i="15"/>
  <c r="I503" i="15"/>
  <c r="I504" i="15"/>
  <c r="I505" i="15"/>
  <c r="I506" i="15"/>
  <c r="I507" i="15"/>
  <c r="I508" i="15"/>
  <c r="I509" i="15"/>
  <c r="I510" i="15"/>
  <c r="I511" i="15"/>
  <c r="I512" i="15"/>
  <c r="I513" i="15"/>
  <c r="I514" i="15"/>
  <c r="I515" i="15"/>
  <c r="I516" i="15"/>
  <c r="I517" i="15"/>
  <c r="I518" i="15"/>
  <c r="I519" i="15"/>
  <c r="I520" i="15"/>
  <c r="I521" i="15"/>
  <c r="I522" i="15"/>
  <c r="I523" i="15"/>
  <c r="I524" i="15"/>
  <c r="I525" i="15"/>
  <c r="I526" i="15"/>
  <c r="I527" i="15"/>
  <c r="I528" i="15"/>
  <c r="I529" i="15"/>
  <c r="I530" i="15"/>
  <c r="I531" i="15"/>
  <c r="I532" i="15"/>
  <c r="I533" i="15"/>
  <c r="I534" i="15"/>
  <c r="I535" i="15"/>
  <c r="I536" i="15"/>
  <c r="I537" i="15"/>
  <c r="I538" i="15"/>
  <c r="I539" i="15"/>
  <c r="I540" i="15"/>
  <c r="I541" i="15"/>
  <c r="I542" i="15"/>
  <c r="C40" i="66" l="1"/>
  <c r="Y7" i="1" l="1"/>
  <c r="X7" i="1"/>
  <c r="W7" i="1"/>
  <c r="V7" i="1"/>
  <c r="U7" i="1"/>
  <c r="T7" i="1"/>
  <c r="S7" i="1"/>
  <c r="R7" i="1"/>
  <c r="E7" i="1"/>
  <c r="C39" i="66" l="1"/>
  <c r="L715" i="15" l="1"/>
  <c r="L714" i="15"/>
  <c r="L713" i="15"/>
  <c r="L712" i="15"/>
  <c r="L711" i="15"/>
  <c r="L710" i="15"/>
  <c r="L709" i="15"/>
  <c r="L708" i="15"/>
  <c r="L707" i="15"/>
  <c r="L706" i="15"/>
  <c r="L705" i="15"/>
  <c r="L704" i="15"/>
  <c r="L703" i="15"/>
  <c r="L702" i="15"/>
  <c r="L701" i="15"/>
  <c r="L700" i="15"/>
  <c r="L699" i="15"/>
  <c r="L698" i="15"/>
  <c r="L697" i="15"/>
  <c r="L696" i="15"/>
  <c r="P32" i="40" l="1"/>
  <c r="P31" i="40"/>
  <c r="P30" i="40"/>
  <c r="P29" i="40"/>
  <c r="P28" i="40"/>
  <c r="P27" i="40"/>
  <c r="P26" i="40"/>
  <c r="P25" i="40"/>
  <c r="P24" i="40"/>
  <c r="P23" i="40"/>
  <c r="P22" i="40"/>
  <c r="P21" i="40"/>
  <c r="P20" i="40"/>
  <c r="P19" i="40"/>
  <c r="P18" i="40"/>
  <c r="P17" i="40"/>
  <c r="P16" i="40"/>
  <c r="P15" i="40"/>
  <c r="P14" i="40"/>
  <c r="P13" i="40"/>
  <c r="P12" i="40"/>
  <c r="P11" i="40"/>
  <c r="P10" i="40"/>
  <c r="P9" i="40"/>
  <c r="P8" i="40"/>
  <c r="O32" i="37"/>
  <c r="O31" i="37"/>
  <c r="O30" i="37"/>
  <c r="O29" i="37"/>
  <c r="O28" i="37"/>
  <c r="O27" i="37"/>
  <c r="O26" i="37"/>
  <c r="O25" i="37"/>
  <c r="O24" i="37"/>
  <c r="O23" i="37"/>
  <c r="O22" i="37"/>
  <c r="O21" i="37"/>
  <c r="O20" i="37"/>
  <c r="O19" i="37"/>
  <c r="O18" i="37"/>
  <c r="O17" i="37"/>
  <c r="O16" i="37"/>
  <c r="O15" i="37"/>
  <c r="O14" i="37"/>
  <c r="O13" i="37"/>
  <c r="O12" i="37"/>
  <c r="O11" i="37"/>
  <c r="O10" i="37"/>
  <c r="O9" i="37"/>
  <c r="O8" i="37"/>
  <c r="P32" i="27"/>
  <c r="P31" i="27"/>
  <c r="P30" i="27"/>
  <c r="P29" i="27"/>
  <c r="P28" i="27"/>
  <c r="P27" i="27"/>
  <c r="P26" i="27"/>
  <c r="P25" i="27"/>
  <c r="P24" i="27"/>
  <c r="P23" i="27"/>
  <c r="P22" i="27"/>
  <c r="P21" i="27"/>
  <c r="P20" i="27"/>
  <c r="P19" i="27"/>
  <c r="P18" i="27"/>
  <c r="P17" i="27"/>
  <c r="P16" i="27"/>
  <c r="P15" i="27"/>
  <c r="P14" i="27"/>
  <c r="P13" i="27"/>
  <c r="P12" i="27"/>
  <c r="P11" i="27"/>
  <c r="P10" i="27"/>
  <c r="P9" i="27"/>
  <c r="P32" i="44"/>
  <c r="P31" i="44"/>
  <c r="P30" i="44"/>
  <c r="P29" i="44"/>
  <c r="P28" i="44"/>
  <c r="P27" i="44"/>
  <c r="P26" i="44"/>
  <c r="P25" i="44"/>
  <c r="P24" i="44"/>
  <c r="P23" i="44"/>
  <c r="P22" i="44"/>
  <c r="P21" i="44"/>
  <c r="P20" i="44"/>
  <c r="P19" i="44"/>
  <c r="P18" i="44"/>
  <c r="P17" i="44"/>
  <c r="P16" i="44"/>
  <c r="P15" i="44"/>
  <c r="P14" i="44"/>
  <c r="P13" i="44"/>
  <c r="P12" i="44"/>
  <c r="P11" i="44"/>
  <c r="P10" i="44"/>
  <c r="P9" i="44"/>
  <c r="P8" i="44"/>
  <c r="P32" i="50"/>
  <c r="P31" i="50"/>
  <c r="P30" i="50"/>
  <c r="P29" i="50"/>
  <c r="P28" i="50"/>
  <c r="P27" i="50"/>
  <c r="P26" i="50"/>
  <c r="P25" i="50"/>
  <c r="P24" i="50"/>
  <c r="P23" i="50"/>
  <c r="P22" i="50"/>
  <c r="P21" i="50"/>
  <c r="P20" i="50"/>
  <c r="P19" i="50"/>
  <c r="P18" i="50"/>
  <c r="P17" i="50"/>
  <c r="P16" i="50"/>
  <c r="P15" i="50"/>
  <c r="P14" i="50"/>
  <c r="P13" i="50"/>
  <c r="P12" i="50"/>
  <c r="P11" i="50"/>
  <c r="P10" i="50"/>
  <c r="P9" i="50"/>
  <c r="P8" i="50"/>
  <c r="P32" i="26"/>
  <c r="P31" i="26"/>
  <c r="P30" i="26"/>
  <c r="P29" i="26"/>
  <c r="P28" i="26"/>
  <c r="P27" i="26"/>
  <c r="P26" i="26"/>
  <c r="P25" i="26"/>
  <c r="P24" i="26"/>
  <c r="P23" i="26"/>
  <c r="P22" i="26"/>
  <c r="P21" i="26"/>
  <c r="P20" i="26"/>
  <c r="P19" i="26"/>
  <c r="P18" i="26"/>
  <c r="P17" i="26"/>
  <c r="P16" i="26"/>
  <c r="P15" i="26"/>
  <c r="P14" i="26"/>
  <c r="P13" i="26"/>
  <c r="P12" i="26"/>
  <c r="P11" i="26"/>
  <c r="P10" i="26"/>
  <c r="P9" i="26"/>
  <c r="P8" i="26"/>
  <c r="P32" i="25"/>
  <c r="P31" i="25"/>
  <c r="P30" i="25"/>
  <c r="P29" i="25"/>
  <c r="P28" i="25"/>
  <c r="P27" i="25"/>
  <c r="P26" i="25"/>
  <c r="P25" i="25"/>
  <c r="P24" i="25"/>
  <c r="P23" i="25"/>
  <c r="P22" i="25"/>
  <c r="P21" i="25"/>
  <c r="P20" i="25"/>
  <c r="P19" i="25"/>
  <c r="P18" i="25"/>
  <c r="P17" i="25"/>
  <c r="P16" i="25"/>
  <c r="P15" i="25"/>
  <c r="P14" i="25"/>
  <c r="P13" i="25"/>
  <c r="P12" i="25"/>
  <c r="P11" i="25"/>
  <c r="P10" i="25"/>
  <c r="P9" i="25"/>
  <c r="P8" i="25"/>
  <c r="P32" i="24"/>
  <c r="P31" i="24"/>
  <c r="P30" i="24"/>
  <c r="P29" i="24"/>
  <c r="P28" i="24"/>
  <c r="P27" i="24"/>
  <c r="P26" i="24"/>
  <c r="P25" i="24"/>
  <c r="P24" i="24"/>
  <c r="P23" i="24"/>
  <c r="P22" i="24"/>
  <c r="P21" i="24"/>
  <c r="P20" i="24"/>
  <c r="P19" i="24"/>
  <c r="P18" i="24"/>
  <c r="P17" i="24"/>
  <c r="P16" i="24"/>
  <c r="P15" i="24"/>
  <c r="P14" i="24"/>
  <c r="P13" i="24"/>
  <c r="P12" i="24"/>
  <c r="P11" i="24"/>
  <c r="P10" i="24"/>
  <c r="P9" i="24"/>
  <c r="P8" i="24"/>
  <c r="P32" i="22"/>
  <c r="P31" i="22"/>
  <c r="P30" i="22"/>
  <c r="P29" i="22"/>
  <c r="P28" i="22"/>
  <c r="P26" i="22"/>
  <c r="P25" i="22"/>
  <c r="P24" i="22"/>
  <c r="P23" i="22"/>
  <c r="P22" i="22"/>
  <c r="P21" i="22"/>
  <c r="P20" i="22"/>
  <c r="P19" i="22"/>
  <c r="P18" i="22"/>
  <c r="P17" i="22"/>
  <c r="P16" i="22"/>
  <c r="P15" i="22"/>
  <c r="P14" i="22"/>
  <c r="P13" i="22"/>
  <c r="P12" i="22"/>
  <c r="P11" i="22"/>
  <c r="P10" i="22"/>
  <c r="P9" i="22"/>
  <c r="P8" i="22"/>
  <c r="O32" i="32"/>
  <c r="O31" i="32"/>
  <c r="O30" i="32"/>
  <c r="O29" i="32"/>
  <c r="O28" i="32"/>
  <c r="O27" i="32"/>
  <c r="O26" i="32"/>
  <c r="O25" i="32"/>
  <c r="O24" i="32"/>
  <c r="O23" i="32"/>
  <c r="O22" i="32"/>
  <c r="O21" i="32"/>
  <c r="O20" i="32"/>
  <c r="O19" i="32"/>
  <c r="O18" i="32"/>
  <c r="O17" i="32"/>
  <c r="O16" i="32"/>
  <c r="O15" i="32"/>
  <c r="O14" i="32"/>
  <c r="O13" i="32"/>
  <c r="O12" i="32"/>
  <c r="O11" i="32"/>
  <c r="O10" i="32"/>
  <c r="O9" i="32"/>
  <c r="O8" i="32"/>
  <c r="O32" i="31"/>
  <c r="O31" i="31"/>
  <c r="O30" i="31"/>
  <c r="O29" i="31"/>
  <c r="O28" i="31"/>
  <c r="O27" i="31"/>
  <c r="O26" i="31"/>
  <c r="O25" i="31"/>
  <c r="O24" i="31"/>
  <c r="O23" i="31"/>
  <c r="O22" i="31"/>
  <c r="O21" i="31"/>
  <c r="O20" i="31"/>
  <c r="O19" i="31"/>
  <c r="O18" i="31"/>
  <c r="O17" i="31"/>
  <c r="O16" i="31"/>
  <c r="O15" i="31"/>
  <c r="O14" i="31"/>
  <c r="O13" i="31"/>
  <c r="O12" i="31"/>
  <c r="O11" i="31"/>
  <c r="O10" i="31"/>
  <c r="O9" i="31"/>
  <c r="O8" i="31"/>
  <c r="O32" i="30"/>
  <c r="O31" i="30"/>
  <c r="O30" i="30"/>
  <c r="O29" i="30"/>
  <c r="O28" i="30"/>
  <c r="O27" i="30"/>
  <c r="O26" i="30"/>
  <c r="O25" i="30"/>
  <c r="O24" i="30"/>
  <c r="O22" i="30"/>
  <c r="O21" i="30"/>
  <c r="O20" i="30"/>
  <c r="O19" i="30"/>
  <c r="O18" i="30"/>
  <c r="O17" i="30"/>
  <c r="O16" i="30"/>
  <c r="O15" i="30"/>
  <c r="O14" i="30"/>
  <c r="O13" i="30"/>
  <c r="O12" i="30"/>
  <c r="O11" i="30"/>
  <c r="O10" i="30"/>
  <c r="O9" i="30"/>
  <c r="O23" i="30"/>
  <c r="O8" i="30"/>
  <c r="O32" i="29"/>
  <c r="O31" i="29"/>
  <c r="O30" i="29"/>
  <c r="O29" i="29"/>
  <c r="O28" i="29"/>
  <c r="O27" i="29"/>
  <c r="O26" i="29"/>
  <c r="O25" i="29"/>
  <c r="O24" i="29"/>
  <c r="O23" i="29"/>
  <c r="O22" i="29"/>
  <c r="O21" i="29"/>
  <c r="O20" i="29"/>
  <c r="O19" i="29"/>
  <c r="O18" i="29"/>
  <c r="O17" i="29"/>
  <c r="O16" i="29"/>
  <c r="O15" i="29"/>
  <c r="O14" i="29"/>
  <c r="O13" i="29"/>
  <c r="O12" i="29"/>
  <c r="O11" i="29"/>
  <c r="O10" i="29"/>
  <c r="O9" i="29"/>
  <c r="O8" i="29"/>
  <c r="F32" i="40" l="1"/>
  <c r="F31" i="40"/>
  <c r="F30" i="40"/>
  <c r="F29" i="40"/>
  <c r="F28" i="40"/>
  <c r="F27" i="40"/>
  <c r="F26" i="40"/>
  <c r="F25" i="40"/>
  <c r="F24" i="40"/>
  <c r="F23" i="40"/>
  <c r="F22" i="40"/>
  <c r="F21" i="40"/>
  <c r="F20" i="40"/>
  <c r="F19" i="40"/>
  <c r="F18" i="40"/>
  <c r="F17" i="40"/>
  <c r="F16" i="40"/>
  <c r="F15" i="40"/>
  <c r="F14" i="40"/>
  <c r="F13" i="40"/>
  <c r="F12" i="40"/>
  <c r="F11" i="40"/>
  <c r="F10" i="40"/>
  <c r="F9" i="40"/>
  <c r="F32" i="27"/>
  <c r="F31" i="27"/>
  <c r="F30" i="27"/>
  <c r="F29" i="27"/>
  <c r="F28" i="27"/>
  <c r="F27" i="27"/>
  <c r="F26" i="27"/>
  <c r="F25" i="27"/>
  <c r="F24" i="27"/>
  <c r="F23" i="27"/>
  <c r="F22" i="27"/>
  <c r="F21" i="27"/>
  <c r="F20" i="27"/>
  <c r="F19" i="27"/>
  <c r="F18" i="27"/>
  <c r="F17" i="27"/>
  <c r="F16" i="27"/>
  <c r="F15" i="27"/>
  <c r="F14" i="27"/>
  <c r="F13" i="27"/>
  <c r="F12" i="27"/>
  <c r="F11" i="27"/>
  <c r="F10" i="27"/>
  <c r="F9" i="27"/>
  <c r="F32" i="44"/>
  <c r="F31" i="44"/>
  <c r="F30" i="44"/>
  <c r="F29" i="44"/>
  <c r="F28" i="44"/>
  <c r="F27" i="44"/>
  <c r="F26" i="44"/>
  <c r="F25" i="44"/>
  <c r="F24" i="44"/>
  <c r="F23" i="44"/>
  <c r="F22" i="44"/>
  <c r="F21" i="44"/>
  <c r="F20" i="44"/>
  <c r="F19" i="44"/>
  <c r="F18" i="44"/>
  <c r="F17" i="44"/>
  <c r="F16" i="44"/>
  <c r="F15" i="44"/>
  <c r="F14" i="44"/>
  <c r="F13" i="44"/>
  <c r="F12" i="44"/>
  <c r="F11" i="44"/>
  <c r="F10" i="44"/>
  <c r="F9" i="44"/>
  <c r="F32" i="50"/>
  <c r="F31" i="50"/>
  <c r="F30" i="50"/>
  <c r="F29" i="50"/>
  <c r="F28" i="50"/>
  <c r="F27" i="50"/>
  <c r="F26" i="50"/>
  <c r="F25" i="50"/>
  <c r="F24" i="50"/>
  <c r="F23" i="50"/>
  <c r="F22" i="50"/>
  <c r="F21" i="50"/>
  <c r="F20" i="50"/>
  <c r="F19" i="50"/>
  <c r="F18" i="50"/>
  <c r="F17" i="50"/>
  <c r="F16" i="50"/>
  <c r="F15" i="50"/>
  <c r="F14" i="50"/>
  <c r="F13" i="50"/>
  <c r="F12" i="50"/>
  <c r="F11" i="50"/>
  <c r="F10" i="50"/>
  <c r="F9" i="50"/>
  <c r="F32" i="26"/>
  <c r="F31" i="26"/>
  <c r="F30" i="26"/>
  <c r="F29" i="26"/>
  <c r="F28" i="26"/>
  <c r="F27" i="26"/>
  <c r="F26" i="26"/>
  <c r="F25" i="26"/>
  <c r="F24" i="26"/>
  <c r="F23" i="26"/>
  <c r="F22" i="26"/>
  <c r="F21" i="26"/>
  <c r="F20" i="26"/>
  <c r="F19" i="26"/>
  <c r="F18" i="26"/>
  <c r="F17" i="26"/>
  <c r="F16" i="26"/>
  <c r="F15" i="26"/>
  <c r="F14" i="26"/>
  <c r="F13" i="26"/>
  <c r="F12" i="26"/>
  <c r="F11" i="26"/>
  <c r="F10" i="26"/>
  <c r="F9" i="26"/>
  <c r="F32" i="25"/>
  <c r="F31" i="25"/>
  <c r="F30" i="25"/>
  <c r="F29" i="25"/>
  <c r="F28" i="25"/>
  <c r="F27" i="25"/>
  <c r="F26" i="25"/>
  <c r="F25" i="25"/>
  <c r="F24" i="25"/>
  <c r="F23" i="25"/>
  <c r="F22" i="25"/>
  <c r="F21" i="25"/>
  <c r="F20" i="25"/>
  <c r="F19" i="25"/>
  <c r="F18" i="25"/>
  <c r="F17" i="25"/>
  <c r="F16" i="25"/>
  <c r="F15" i="25"/>
  <c r="F14" i="25"/>
  <c r="F13" i="25"/>
  <c r="F12" i="25"/>
  <c r="F11" i="25"/>
  <c r="F10" i="25"/>
  <c r="F9" i="25"/>
  <c r="F32" i="24"/>
  <c r="F31" i="24"/>
  <c r="F30" i="24"/>
  <c r="F29" i="24"/>
  <c r="F28" i="24"/>
  <c r="F27" i="24"/>
  <c r="F26" i="24"/>
  <c r="F25" i="24"/>
  <c r="F24" i="24"/>
  <c r="F23" i="24"/>
  <c r="F22" i="24"/>
  <c r="F21" i="24"/>
  <c r="F20" i="24"/>
  <c r="F19" i="24"/>
  <c r="F18" i="24"/>
  <c r="F17" i="24"/>
  <c r="F16" i="24"/>
  <c r="F15" i="24"/>
  <c r="F14" i="24"/>
  <c r="F13" i="24"/>
  <c r="F12" i="24"/>
  <c r="F11" i="24"/>
  <c r="F10" i="24"/>
  <c r="F9" i="24"/>
  <c r="F32" i="22"/>
  <c r="F31" i="22"/>
  <c r="F30" i="22"/>
  <c r="F29" i="22"/>
  <c r="F28" i="22"/>
  <c r="F27" i="22"/>
  <c r="F26" i="22"/>
  <c r="F25" i="22"/>
  <c r="F24" i="22"/>
  <c r="F23" i="22"/>
  <c r="F22" i="22"/>
  <c r="F21" i="22"/>
  <c r="F20" i="22"/>
  <c r="F19" i="22"/>
  <c r="F18" i="22"/>
  <c r="F17" i="22"/>
  <c r="F16" i="22"/>
  <c r="F15" i="22"/>
  <c r="F14" i="22"/>
  <c r="F13" i="22"/>
  <c r="F12" i="22"/>
  <c r="F11" i="22"/>
  <c r="F10" i="22"/>
  <c r="F9" i="22"/>
  <c r="O5" i="1" l="1"/>
  <c r="Y2" i="1" l="1"/>
  <c r="U2" i="1"/>
  <c r="T2" i="1"/>
  <c r="W2" i="1"/>
  <c r="S2" i="1"/>
  <c r="X2" i="1"/>
  <c r="V2" i="1"/>
  <c r="R2" i="1"/>
  <c r="F4784" i="25"/>
  <c r="F4783" i="25"/>
  <c r="F4782" i="25"/>
  <c r="F4781" i="25"/>
  <c r="F4780" i="25"/>
  <c r="F4779" i="25"/>
  <c r="F4778" i="25"/>
  <c r="F4777" i="25"/>
  <c r="F4776" i="25"/>
  <c r="F4775" i="25"/>
  <c r="F4785" i="25"/>
  <c r="V4" i="15"/>
  <c r="V5" i="15"/>
  <c r="V6" i="15"/>
  <c r="V7" i="15"/>
  <c r="V8" i="15"/>
  <c r="V9" i="15"/>
  <c r="V10" i="15"/>
  <c r="V11" i="15"/>
  <c r="V12" i="15"/>
  <c r="V13" i="15"/>
  <c r="V14" i="15"/>
  <c r="V15" i="15"/>
  <c r="V16" i="15"/>
  <c r="V17" i="15"/>
  <c r="V18" i="15"/>
  <c r="V19" i="15"/>
  <c r="V20" i="15"/>
  <c r="V21" i="15"/>
  <c r="V22" i="15"/>
  <c r="V23" i="15"/>
  <c r="V24" i="15"/>
  <c r="V25" i="15"/>
  <c r="V26" i="15"/>
  <c r="V27" i="15"/>
  <c r="V28" i="15"/>
  <c r="V29" i="15"/>
  <c r="V30" i="15"/>
  <c r="V31" i="15"/>
  <c r="V32" i="15"/>
  <c r="V33" i="15"/>
  <c r="V34" i="15"/>
  <c r="V35" i="15"/>
  <c r="V36" i="15"/>
  <c r="V37" i="15"/>
  <c r="V38" i="15"/>
  <c r="V39" i="15"/>
  <c r="V40" i="15"/>
  <c r="V41" i="15"/>
  <c r="V42" i="15"/>
  <c r="V43" i="15"/>
  <c r="V44" i="15"/>
  <c r="V45" i="15"/>
  <c r="V46" i="15"/>
  <c r="V47" i="15"/>
  <c r="V48" i="15"/>
  <c r="V49" i="15"/>
  <c r="V50" i="15"/>
  <c r="V51" i="15"/>
  <c r="V52" i="15"/>
  <c r="V53" i="15"/>
  <c r="V54" i="15"/>
  <c r="V55" i="15"/>
  <c r="V56" i="15"/>
  <c r="V57" i="15"/>
  <c r="V58" i="15"/>
  <c r="V59" i="15"/>
  <c r="V60" i="15"/>
  <c r="V61" i="15"/>
  <c r="V62" i="15"/>
  <c r="V63" i="15"/>
  <c r="V64" i="15"/>
  <c r="V65" i="15"/>
  <c r="V66" i="15"/>
  <c r="V67" i="15"/>
  <c r="V68" i="15"/>
  <c r="V69" i="15"/>
  <c r="V70" i="15"/>
  <c r="V71" i="15"/>
  <c r="V72" i="15"/>
  <c r="V73" i="15"/>
  <c r="V74" i="15"/>
  <c r="V75" i="15"/>
  <c r="V76" i="15"/>
  <c r="V77" i="15"/>
  <c r="V78" i="15"/>
  <c r="V79" i="15"/>
  <c r="V80" i="15"/>
  <c r="V81" i="15"/>
  <c r="V82" i="15"/>
  <c r="V83" i="15"/>
  <c r="V84" i="15"/>
  <c r="V85" i="15"/>
  <c r="V86" i="15"/>
  <c r="V87" i="15"/>
  <c r="V88" i="15"/>
  <c r="V89" i="15"/>
  <c r="V90" i="15"/>
  <c r="V91" i="15"/>
  <c r="V92" i="15"/>
  <c r="V93" i="15"/>
  <c r="V94" i="15"/>
  <c r="V95" i="15"/>
  <c r="V96" i="15"/>
  <c r="V97" i="15"/>
  <c r="V98" i="15"/>
  <c r="V99" i="15"/>
  <c r="V100" i="15"/>
  <c r="V101" i="15"/>
  <c r="V102" i="15"/>
  <c r="V103" i="15"/>
  <c r="V104" i="15"/>
  <c r="V105" i="15"/>
  <c r="V106" i="15"/>
  <c r="V107" i="15"/>
  <c r="V108" i="15"/>
  <c r="V109" i="15"/>
  <c r="V110" i="15"/>
  <c r="V111" i="15"/>
  <c r="V112" i="15"/>
  <c r="V113" i="15"/>
  <c r="V114" i="15"/>
  <c r="V115" i="15"/>
  <c r="V116" i="15"/>
  <c r="V117" i="15"/>
  <c r="V118" i="15"/>
  <c r="V119" i="15"/>
  <c r="V120" i="15"/>
  <c r="V121" i="15"/>
  <c r="V122" i="15"/>
  <c r="V123" i="15"/>
  <c r="V124" i="15"/>
  <c r="V125" i="15"/>
  <c r="V126" i="15"/>
  <c r="V127" i="15"/>
  <c r="V128" i="15"/>
  <c r="V129" i="15"/>
  <c r="V130" i="15"/>
  <c r="V131" i="15"/>
  <c r="V132" i="15"/>
  <c r="V133" i="15"/>
  <c r="V134" i="15"/>
  <c r="V135" i="15"/>
  <c r="V136" i="15"/>
  <c r="V137" i="15"/>
  <c r="V138" i="15"/>
  <c r="V139" i="15"/>
  <c r="V140" i="15"/>
  <c r="V141" i="15"/>
  <c r="V142" i="15"/>
  <c r="V143" i="15"/>
  <c r="V144" i="15"/>
  <c r="V145" i="15"/>
  <c r="V146" i="15"/>
  <c r="V147" i="15"/>
  <c r="V148" i="15"/>
  <c r="V149" i="15"/>
  <c r="V150" i="15"/>
  <c r="V151" i="15"/>
  <c r="V152" i="15"/>
  <c r="V153" i="15"/>
  <c r="V154" i="15"/>
  <c r="V155" i="15"/>
  <c r="V156" i="15"/>
  <c r="V157" i="15"/>
  <c r="V158" i="15"/>
  <c r="V159" i="15"/>
  <c r="V160" i="15"/>
  <c r="V161" i="15"/>
  <c r="V162" i="15"/>
  <c r="V163" i="15"/>
  <c r="V164" i="15"/>
  <c r="V165" i="15"/>
  <c r="V166" i="15"/>
  <c r="V167" i="15"/>
  <c r="V168" i="15"/>
  <c r="V169" i="15"/>
  <c r="V170" i="15"/>
  <c r="V171" i="15"/>
  <c r="V172" i="15"/>
  <c r="V173" i="15"/>
  <c r="V174" i="15"/>
  <c r="V175" i="15"/>
  <c r="V176" i="15"/>
  <c r="V177" i="15"/>
  <c r="V178" i="15"/>
  <c r="V179" i="15"/>
  <c r="V180" i="15"/>
  <c r="V181" i="15"/>
  <c r="V182" i="15"/>
  <c r="V183" i="15"/>
  <c r="V184" i="15"/>
  <c r="V185" i="15"/>
  <c r="V186" i="15"/>
  <c r="V187" i="15"/>
  <c r="V188" i="15"/>
  <c r="V189" i="15"/>
  <c r="V190" i="15"/>
  <c r="V191" i="15"/>
  <c r="V192" i="15"/>
  <c r="V193" i="15"/>
  <c r="V194" i="15"/>
  <c r="V195" i="15"/>
  <c r="V196" i="15"/>
  <c r="V197" i="15"/>
  <c r="V198" i="15"/>
  <c r="V199" i="15"/>
  <c r="V200" i="15"/>
  <c r="V201" i="15"/>
  <c r="V202" i="15"/>
  <c r="V203" i="15"/>
  <c r="V204" i="15"/>
  <c r="V205" i="15"/>
  <c r="V206" i="15"/>
  <c r="V207" i="15"/>
  <c r="V208" i="15"/>
  <c r="V209" i="15"/>
  <c r="V210" i="15"/>
  <c r="V211" i="15"/>
  <c r="V212" i="15"/>
  <c r="V213" i="15"/>
  <c r="V214" i="15"/>
  <c r="V215" i="15"/>
  <c r="V216" i="15"/>
  <c r="V217" i="15"/>
  <c r="V218" i="15"/>
  <c r="V219" i="15"/>
  <c r="V220" i="15"/>
  <c r="V221" i="15"/>
  <c r="V222" i="15"/>
  <c r="V223" i="15"/>
  <c r="V224" i="15"/>
  <c r="V225" i="15"/>
  <c r="V226" i="15"/>
  <c r="V227" i="15"/>
  <c r="V228" i="15"/>
  <c r="V229" i="15"/>
  <c r="V230" i="15"/>
  <c r="V231" i="15"/>
  <c r="V232" i="15"/>
  <c r="V233" i="15"/>
  <c r="V234" i="15"/>
  <c r="V235" i="15"/>
  <c r="V236" i="15"/>
  <c r="V237" i="15"/>
  <c r="V238" i="15"/>
  <c r="V239" i="15"/>
  <c r="V240" i="15"/>
  <c r="V241" i="15"/>
  <c r="V242" i="15"/>
  <c r="V243" i="15"/>
  <c r="V244" i="15"/>
  <c r="V245" i="15"/>
  <c r="V246" i="15"/>
  <c r="V247" i="15"/>
  <c r="V248" i="15"/>
  <c r="V249" i="15"/>
  <c r="V250" i="15"/>
  <c r="V251" i="15"/>
  <c r="V252" i="15"/>
  <c r="V253" i="15"/>
  <c r="V254" i="15"/>
  <c r="V255" i="15"/>
  <c r="V256" i="15"/>
  <c r="V257" i="15"/>
  <c r="V258" i="15"/>
  <c r="V259" i="15"/>
  <c r="V260" i="15"/>
  <c r="V261" i="15"/>
  <c r="V262" i="15"/>
  <c r="V263" i="15"/>
  <c r="V264" i="15"/>
  <c r="V265" i="15"/>
  <c r="V266" i="15"/>
  <c r="V267" i="15"/>
  <c r="V268" i="15"/>
  <c r="V269" i="15"/>
  <c r="V270" i="15"/>
  <c r="V271" i="15"/>
  <c r="V272" i="15"/>
  <c r="V273" i="15"/>
  <c r="V274" i="15"/>
  <c r="V275" i="15"/>
  <c r="V276" i="15"/>
  <c r="V277" i="15"/>
  <c r="V278" i="15"/>
  <c r="V279" i="15"/>
  <c r="V280" i="15"/>
  <c r="V281" i="15"/>
  <c r="V282" i="15"/>
  <c r="V283" i="15"/>
  <c r="V284" i="15"/>
  <c r="V285" i="15"/>
  <c r="V286" i="15"/>
  <c r="V287" i="15"/>
  <c r="V288" i="15"/>
  <c r="V289" i="15"/>
  <c r="V290" i="15"/>
  <c r="V291" i="15"/>
  <c r="V292" i="15"/>
  <c r="V293" i="15"/>
  <c r="V294" i="15"/>
  <c r="V295" i="15"/>
  <c r="V296" i="15"/>
  <c r="V297" i="15"/>
  <c r="V298" i="15"/>
  <c r="V299" i="15"/>
  <c r="V300" i="15"/>
  <c r="V301" i="15"/>
  <c r="V302" i="15"/>
  <c r="V303" i="15"/>
  <c r="V304" i="15"/>
  <c r="V305" i="15"/>
  <c r="V306" i="15"/>
  <c r="V307" i="15"/>
  <c r="V308" i="15"/>
  <c r="V309" i="15"/>
  <c r="V310" i="15"/>
  <c r="V311" i="15"/>
  <c r="V312" i="15"/>
  <c r="V313" i="15"/>
  <c r="V314" i="15"/>
  <c r="V315" i="15"/>
  <c r="V316" i="15"/>
  <c r="V317" i="15"/>
  <c r="V318" i="15"/>
  <c r="V319" i="15"/>
  <c r="V320" i="15"/>
  <c r="V321" i="15"/>
  <c r="V322" i="15"/>
  <c r="V323" i="15"/>
  <c r="V324" i="15"/>
  <c r="V325" i="15"/>
  <c r="V326" i="15"/>
  <c r="V327" i="15"/>
  <c r="V328" i="15"/>
  <c r="V329" i="15"/>
  <c r="V330" i="15"/>
  <c r="V331" i="15"/>
  <c r="V332" i="15"/>
  <c r="V333" i="15"/>
  <c r="V334" i="15"/>
  <c r="V335" i="15"/>
  <c r="V336" i="15"/>
  <c r="V337" i="15"/>
  <c r="V338" i="15"/>
  <c r="V339" i="15"/>
  <c r="V340" i="15"/>
  <c r="V341" i="15"/>
  <c r="V342" i="15"/>
  <c r="V343" i="15"/>
  <c r="V344" i="15"/>
  <c r="V345" i="15"/>
  <c r="V346" i="15"/>
  <c r="V347" i="15"/>
  <c r="V348" i="15"/>
  <c r="V349" i="15"/>
  <c r="V350" i="15"/>
  <c r="V351" i="15"/>
  <c r="V352" i="15"/>
  <c r="V353" i="15"/>
  <c r="V354" i="15"/>
  <c r="V355" i="15"/>
  <c r="V356" i="15"/>
  <c r="V357" i="15"/>
  <c r="V358" i="15"/>
  <c r="V359" i="15"/>
  <c r="V360" i="15"/>
  <c r="V361" i="15"/>
  <c r="V362" i="15"/>
  <c r="V363" i="15"/>
  <c r="V364" i="15"/>
  <c r="V365" i="15"/>
  <c r="V366" i="15"/>
  <c r="V367" i="15"/>
  <c r="V368" i="15"/>
  <c r="V369" i="15"/>
  <c r="V370" i="15"/>
  <c r="V371" i="15"/>
  <c r="V372" i="15"/>
  <c r="V373" i="15"/>
  <c r="V374" i="15"/>
  <c r="V375" i="15"/>
  <c r="V376" i="15"/>
  <c r="V377" i="15"/>
  <c r="V378" i="15"/>
  <c r="V379" i="15"/>
  <c r="V380" i="15"/>
  <c r="V381" i="15"/>
  <c r="V382" i="15"/>
  <c r="V383" i="15"/>
  <c r="V384" i="15"/>
  <c r="V385" i="15"/>
  <c r="V386" i="15"/>
  <c r="V387" i="15"/>
  <c r="V388" i="15"/>
  <c r="V389" i="15"/>
  <c r="V390" i="15"/>
  <c r="V391" i="15"/>
  <c r="V392" i="15"/>
  <c r="V393" i="15"/>
  <c r="V394" i="15"/>
  <c r="V395" i="15"/>
  <c r="V396" i="15"/>
  <c r="V397" i="15"/>
  <c r="V398" i="15"/>
  <c r="W753" i="15" l="1"/>
  <c r="W752" i="15"/>
  <c r="W751" i="15"/>
  <c r="W750" i="15"/>
  <c r="W749" i="15"/>
  <c r="W748" i="15"/>
  <c r="W747" i="15"/>
  <c r="W746" i="15"/>
  <c r="W745" i="15"/>
  <c r="W744" i="15"/>
  <c r="W743" i="15"/>
  <c r="W742" i="15"/>
  <c r="W741" i="15"/>
  <c r="W740" i="15"/>
  <c r="W739" i="15"/>
  <c r="W738" i="15"/>
  <c r="W737" i="15"/>
  <c r="W736" i="15"/>
  <c r="W735" i="15"/>
  <c r="W734" i="15"/>
  <c r="W733" i="15"/>
  <c r="W732" i="15"/>
  <c r="W731" i="15"/>
  <c r="W730" i="15"/>
  <c r="W729" i="15"/>
  <c r="W728" i="15"/>
  <c r="W727" i="15"/>
  <c r="W726" i="15"/>
  <c r="W725" i="15"/>
  <c r="W724" i="15"/>
  <c r="W723" i="15"/>
  <c r="W722" i="15"/>
  <c r="W721" i="15"/>
  <c r="W720" i="15"/>
  <c r="W719" i="15"/>
  <c r="W718" i="15"/>
  <c r="W717" i="15"/>
  <c r="W716" i="15"/>
  <c r="W715" i="15"/>
  <c r="W714" i="15"/>
  <c r="W713" i="15"/>
  <c r="W712" i="15"/>
  <c r="W711" i="15"/>
  <c r="W710" i="15"/>
  <c r="W709" i="15"/>
  <c r="W708" i="15"/>
  <c r="W707" i="15"/>
  <c r="W706" i="15"/>
  <c r="W705" i="15"/>
  <c r="W704" i="15"/>
  <c r="W703" i="15"/>
  <c r="W702" i="15"/>
  <c r="W701" i="15"/>
  <c r="W700" i="15"/>
  <c r="W699" i="15"/>
  <c r="W698" i="15"/>
  <c r="W697" i="15"/>
  <c r="W696" i="15"/>
  <c r="W695" i="15"/>
  <c r="W694" i="15"/>
  <c r="W693" i="15"/>
  <c r="W692" i="15"/>
  <c r="W691" i="15"/>
  <c r="W690" i="15"/>
  <c r="W689" i="15"/>
  <c r="W688" i="15"/>
  <c r="W687" i="15"/>
  <c r="W686" i="15"/>
  <c r="W685" i="15"/>
  <c r="W684" i="15"/>
  <c r="W683" i="15"/>
  <c r="W682" i="15"/>
  <c r="W681" i="15"/>
  <c r="W680" i="15"/>
  <c r="W679" i="15"/>
  <c r="W678" i="15"/>
  <c r="W677" i="15"/>
  <c r="W676" i="15"/>
  <c r="W675" i="15"/>
  <c r="W674" i="15"/>
  <c r="W673" i="15"/>
  <c r="W672" i="15"/>
  <c r="W671" i="15"/>
  <c r="W670" i="15"/>
  <c r="W669" i="15"/>
  <c r="W668" i="15"/>
  <c r="W667" i="15"/>
  <c r="W666" i="15"/>
  <c r="W665" i="15"/>
  <c r="W664" i="15"/>
  <c r="W663" i="15"/>
  <c r="W662" i="15"/>
  <c r="W661" i="15"/>
  <c r="W660" i="15"/>
  <c r="W659" i="15"/>
  <c r="W658" i="15"/>
  <c r="W657" i="15"/>
  <c r="W656" i="15"/>
  <c r="W655" i="15"/>
  <c r="W654" i="15"/>
  <c r="W653" i="15"/>
  <c r="W652" i="15"/>
  <c r="W651" i="15"/>
  <c r="W650" i="15"/>
  <c r="W649" i="15"/>
  <c r="W648" i="15"/>
  <c r="W647" i="15"/>
  <c r="W646" i="15"/>
  <c r="W645" i="15"/>
  <c r="W644" i="15"/>
  <c r="W643" i="15"/>
  <c r="W642" i="15"/>
  <c r="W641" i="15"/>
  <c r="W640" i="15"/>
  <c r="W639" i="15"/>
  <c r="W638" i="15"/>
  <c r="W637" i="15"/>
  <c r="W636" i="15"/>
  <c r="W635" i="15"/>
  <c r="W634" i="15"/>
  <c r="W633" i="15"/>
  <c r="W632" i="15"/>
  <c r="W631" i="15"/>
  <c r="W630" i="15"/>
  <c r="W629" i="15"/>
  <c r="W628" i="15"/>
  <c r="W627" i="15"/>
  <c r="W626" i="15"/>
  <c r="W625" i="15"/>
  <c r="W624" i="15"/>
  <c r="W623" i="15"/>
  <c r="W622" i="15"/>
  <c r="W621" i="15"/>
  <c r="W620" i="15"/>
  <c r="W619" i="15"/>
  <c r="W618" i="15"/>
  <c r="W617" i="15"/>
  <c r="W616" i="15"/>
  <c r="W615" i="15"/>
  <c r="W614" i="15"/>
  <c r="W613" i="15"/>
  <c r="W612" i="15"/>
  <c r="W611" i="15"/>
  <c r="W610" i="15"/>
  <c r="W609" i="15"/>
  <c r="W608" i="15"/>
  <c r="W607" i="15"/>
  <c r="W606" i="15"/>
  <c r="W605" i="15"/>
  <c r="W604" i="15"/>
  <c r="W603" i="15"/>
  <c r="W602" i="15"/>
  <c r="W601" i="15"/>
  <c r="W600" i="15"/>
  <c r="W599" i="15"/>
  <c r="W598" i="15"/>
  <c r="W597" i="15"/>
  <c r="W596" i="15"/>
  <c r="W595" i="15"/>
  <c r="W594" i="15"/>
  <c r="W593" i="15"/>
  <c r="W592" i="15"/>
  <c r="W591" i="15"/>
  <c r="W590" i="15"/>
  <c r="W589" i="15"/>
  <c r="W588" i="15"/>
  <c r="W587" i="15"/>
  <c r="W586" i="15"/>
  <c r="W585" i="15"/>
  <c r="W584" i="15"/>
  <c r="W583" i="15"/>
  <c r="W582" i="15"/>
  <c r="W581" i="15"/>
  <c r="W580" i="15"/>
  <c r="W579" i="15"/>
  <c r="W578" i="15"/>
  <c r="W577" i="15"/>
  <c r="W576" i="15"/>
  <c r="W575" i="15"/>
  <c r="W574" i="15"/>
  <c r="W573" i="15"/>
  <c r="W572" i="15"/>
  <c r="W571" i="15"/>
  <c r="W570" i="15"/>
  <c r="W569" i="15"/>
  <c r="W568" i="15"/>
  <c r="W567" i="15"/>
  <c r="W566" i="15"/>
  <c r="W565" i="15"/>
  <c r="W564" i="15"/>
  <c r="W563" i="15"/>
  <c r="W562" i="15"/>
  <c r="W561" i="15"/>
  <c r="W560" i="15"/>
  <c r="W559" i="15"/>
  <c r="W558" i="15"/>
  <c r="W557" i="15"/>
  <c r="W556" i="15"/>
  <c r="W555" i="15"/>
  <c r="W554" i="15"/>
  <c r="W553" i="15"/>
  <c r="W552" i="15"/>
  <c r="W551" i="15"/>
  <c r="W550" i="15"/>
  <c r="W549" i="15"/>
  <c r="W548" i="15"/>
  <c r="W547" i="15"/>
  <c r="W546" i="15"/>
  <c r="W545" i="15"/>
  <c r="W544" i="15"/>
  <c r="W543" i="15"/>
  <c r="W542" i="15"/>
  <c r="W541" i="15"/>
  <c r="W540" i="15"/>
  <c r="W539" i="15"/>
  <c r="W538" i="15"/>
  <c r="W537" i="15"/>
  <c r="W536" i="15"/>
  <c r="W535" i="15"/>
  <c r="W534" i="15"/>
  <c r="W533" i="15"/>
  <c r="W532" i="15"/>
  <c r="W531" i="15"/>
  <c r="W530" i="15"/>
  <c r="W529" i="15"/>
  <c r="W528" i="15"/>
  <c r="W527" i="15"/>
  <c r="W526" i="15"/>
  <c r="W525" i="15"/>
  <c r="W524" i="15"/>
  <c r="W523" i="15"/>
  <c r="W522" i="15"/>
  <c r="W521" i="15"/>
  <c r="W520" i="15"/>
  <c r="W519" i="15"/>
  <c r="W518" i="15"/>
  <c r="W517" i="15"/>
  <c r="W516" i="15"/>
  <c r="W515" i="15"/>
  <c r="W514" i="15"/>
  <c r="W513" i="15"/>
  <c r="W512" i="15"/>
  <c r="W511" i="15"/>
  <c r="W510" i="15"/>
  <c r="W509" i="15"/>
  <c r="W508" i="15"/>
  <c r="W507" i="15"/>
  <c r="W506" i="15"/>
  <c r="W505" i="15"/>
  <c r="W504" i="15"/>
  <c r="W503" i="15"/>
  <c r="W502" i="15"/>
  <c r="W501" i="15"/>
  <c r="W500" i="15"/>
  <c r="W499" i="15"/>
  <c r="W498" i="15"/>
  <c r="W497" i="15"/>
  <c r="W496" i="15"/>
  <c r="W495" i="15"/>
  <c r="W494" i="15"/>
  <c r="W493" i="15"/>
  <c r="W492" i="15"/>
  <c r="W491" i="15"/>
  <c r="W490" i="15"/>
  <c r="W489" i="15"/>
  <c r="W488" i="15"/>
  <c r="W487" i="15"/>
  <c r="W486" i="15"/>
  <c r="W485" i="15"/>
  <c r="W484" i="15"/>
  <c r="W483" i="15"/>
  <c r="W482" i="15"/>
  <c r="W481" i="15"/>
  <c r="W480" i="15"/>
  <c r="W479" i="15"/>
  <c r="W478" i="15"/>
  <c r="W477" i="15"/>
  <c r="W476" i="15"/>
  <c r="W475" i="15"/>
  <c r="W474" i="15"/>
  <c r="W473" i="15"/>
  <c r="W472" i="15"/>
  <c r="W471" i="15"/>
  <c r="W470" i="15"/>
  <c r="W469" i="15"/>
  <c r="W468" i="15"/>
  <c r="W467" i="15"/>
  <c r="W466" i="15"/>
  <c r="W465" i="15"/>
  <c r="W464" i="15"/>
  <c r="W463" i="15"/>
  <c r="W462" i="15"/>
  <c r="W461" i="15"/>
  <c r="W460" i="15"/>
  <c r="W459" i="15"/>
  <c r="W458" i="15"/>
  <c r="W457" i="15"/>
  <c r="W456" i="15"/>
  <c r="W455" i="15"/>
  <c r="W454" i="15"/>
  <c r="W453" i="15"/>
  <c r="W452" i="15"/>
  <c r="W451" i="15"/>
  <c r="W450" i="15"/>
  <c r="W449" i="15"/>
  <c r="W448" i="15"/>
  <c r="W447" i="15"/>
  <c r="W446" i="15"/>
  <c r="W445" i="15"/>
  <c r="W444" i="15"/>
  <c r="W443" i="15"/>
  <c r="W442" i="15"/>
  <c r="W441" i="15"/>
  <c r="W440" i="15"/>
  <c r="W439" i="15"/>
  <c r="W438" i="15"/>
  <c r="W437" i="15"/>
  <c r="W436" i="15"/>
  <c r="W435" i="15"/>
  <c r="W434" i="15"/>
  <c r="W433" i="15"/>
  <c r="W432" i="15"/>
  <c r="W431" i="15"/>
  <c r="W430" i="15"/>
  <c r="W429" i="15"/>
  <c r="W428" i="15"/>
  <c r="W427" i="15"/>
  <c r="W426" i="15"/>
  <c r="W425" i="15"/>
  <c r="W424" i="15"/>
  <c r="W423" i="15"/>
  <c r="W422" i="15"/>
  <c r="W421" i="15"/>
  <c r="W420" i="15"/>
  <c r="W419" i="15"/>
  <c r="W418" i="15"/>
  <c r="W417" i="15"/>
  <c r="W416" i="15"/>
  <c r="W415" i="15"/>
  <c r="W414" i="15"/>
  <c r="W413" i="15"/>
  <c r="W412" i="15"/>
  <c r="W411" i="15"/>
  <c r="W410" i="15"/>
  <c r="W409" i="15"/>
  <c r="W408" i="15"/>
  <c r="W407" i="15"/>
  <c r="W406" i="15"/>
  <c r="W405" i="15"/>
  <c r="W404" i="15"/>
  <c r="W403" i="15"/>
  <c r="W402" i="15"/>
  <c r="W401" i="15"/>
  <c r="W400" i="15"/>
  <c r="W399" i="15"/>
  <c r="W398" i="15"/>
  <c r="W397" i="15"/>
  <c r="W396" i="15"/>
  <c r="W395" i="15"/>
  <c r="W394" i="15"/>
  <c r="W393" i="15"/>
  <c r="W392" i="15"/>
  <c r="W391" i="15"/>
  <c r="W390" i="15"/>
  <c r="W389" i="15"/>
  <c r="W388" i="15"/>
  <c r="W387" i="15"/>
  <c r="W386" i="15"/>
  <c r="W385" i="15"/>
  <c r="W384" i="15"/>
  <c r="W383" i="15"/>
  <c r="W382" i="15"/>
  <c r="W381" i="15"/>
  <c r="W380" i="15"/>
  <c r="W379" i="15"/>
  <c r="W378" i="15"/>
  <c r="W377" i="15"/>
  <c r="W376" i="15"/>
  <c r="W375" i="15"/>
  <c r="W374" i="15"/>
  <c r="W373" i="15"/>
  <c r="W372" i="15"/>
  <c r="W371" i="15"/>
  <c r="W370" i="15"/>
  <c r="W369" i="15"/>
  <c r="W368" i="15"/>
  <c r="W367" i="15"/>
  <c r="W366" i="15"/>
  <c r="W365" i="15"/>
  <c r="W364" i="15"/>
  <c r="W363" i="15"/>
  <c r="W362" i="15"/>
  <c r="W361" i="15"/>
  <c r="W360" i="15"/>
  <c r="W359" i="15"/>
  <c r="W358" i="15"/>
  <c r="W357" i="15"/>
  <c r="W356" i="15"/>
  <c r="W355" i="15"/>
  <c r="W354" i="15"/>
  <c r="W353" i="15"/>
  <c r="W352" i="15"/>
  <c r="W351" i="15"/>
  <c r="W350" i="15"/>
  <c r="W349" i="15"/>
  <c r="W348" i="15"/>
  <c r="W347" i="15"/>
  <c r="W346" i="15"/>
  <c r="W345" i="15"/>
  <c r="W344" i="15"/>
  <c r="W343" i="15"/>
  <c r="W342" i="15"/>
  <c r="W341" i="15"/>
  <c r="W340" i="15"/>
  <c r="W339" i="15"/>
  <c r="W338" i="15"/>
  <c r="W337" i="15"/>
  <c r="W336" i="15"/>
  <c r="W335" i="15"/>
  <c r="W334" i="15"/>
  <c r="W333" i="15"/>
  <c r="W332" i="15"/>
  <c r="W331" i="15"/>
  <c r="W330" i="15"/>
  <c r="W329" i="15"/>
  <c r="W328" i="15"/>
  <c r="W327" i="15"/>
  <c r="W326" i="15"/>
  <c r="W325" i="15"/>
  <c r="W324" i="15"/>
  <c r="W323" i="15"/>
  <c r="W322" i="15"/>
  <c r="W321" i="15"/>
  <c r="W320" i="15"/>
  <c r="W319" i="15"/>
  <c r="W318" i="15"/>
  <c r="W317" i="15"/>
  <c r="W316" i="15"/>
  <c r="W315" i="15"/>
  <c r="W314" i="15"/>
  <c r="W313" i="15"/>
  <c r="W312" i="15"/>
  <c r="W311" i="15"/>
  <c r="W310" i="15"/>
  <c r="W309" i="15"/>
  <c r="W308" i="15"/>
  <c r="W307" i="15"/>
  <c r="W306" i="15"/>
  <c r="W305" i="15"/>
  <c r="W304" i="15"/>
  <c r="W303" i="15"/>
  <c r="W302" i="15"/>
  <c r="W301" i="15"/>
  <c r="W300" i="15"/>
  <c r="W299" i="15"/>
  <c r="W298" i="15"/>
  <c r="W297" i="15"/>
  <c r="W296" i="15"/>
  <c r="W295" i="15"/>
  <c r="W294" i="15"/>
  <c r="W293" i="15"/>
  <c r="W292" i="15"/>
  <c r="W291" i="15"/>
  <c r="W290" i="15"/>
  <c r="W289" i="15"/>
  <c r="W288" i="15"/>
  <c r="W287" i="15"/>
  <c r="W286" i="15"/>
  <c r="W285" i="15"/>
  <c r="W284" i="15"/>
  <c r="W283" i="15"/>
  <c r="W282" i="15"/>
  <c r="W281" i="15"/>
  <c r="W280" i="15"/>
  <c r="W279" i="15"/>
  <c r="W278" i="15"/>
  <c r="W277" i="15"/>
  <c r="W276" i="15"/>
  <c r="W275" i="15"/>
  <c r="W274" i="15"/>
  <c r="W273" i="15"/>
  <c r="W272" i="15"/>
  <c r="W271" i="15"/>
  <c r="W270" i="15"/>
  <c r="W269" i="15"/>
  <c r="W268" i="15"/>
  <c r="W267" i="15"/>
  <c r="W266" i="15"/>
  <c r="W265" i="15"/>
  <c r="W264" i="15"/>
  <c r="W263" i="15"/>
  <c r="W262" i="15"/>
  <c r="W261" i="15"/>
  <c r="W260" i="15"/>
  <c r="W259" i="15"/>
  <c r="W258" i="15"/>
  <c r="W257" i="15"/>
  <c r="W256" i="15"/>
  <c r="W255" i="15"/>
  <c r="W254" i="15"/>
  <c r="W253" i="15"/>
  <c r="W252" i="15"/>
  <c r="W251" i="15"/>
  <c r="W250" i="15"/>
  <c r="W249" i="15"/>
  <c r="W248" i="15"/>
  <c r="W247" i="15"/>
  <c r="W246" i="15"/>
  <c r="W245" i="15"/>
  <c r="W244" i="15"/>
  <c r="W243" i="15"/>
  <c r="W242" i="15"/>
  <c r="W241" i="15"/>
  <c r="W240" i="15"/>
  <c r="W239" i="15"/>
  <c r="W238" i="15"/>
  <c r="W237" i="15"/>
  <c r="W236" i="15"/>
  <c r="W235" i="15"/>
  <c r="W234" i="15"/>
  <c r="W233" i="15"/>
  <c r="W232" i="15"/>
  <c r="W231" i="15"/>
  <c r="W230" i="15"/>
  <c r="W229" i="15"/>
  <c r="W228" i="15"/>
  <c r="W227" i="15"/>
  <c r="W226" i="15"/>
  <c r="W225" i="15"/>
  <c r="W224" i="15"/>
  <c r="W223" i="15"/>
  <c r="W222" i="15"/>
  <c r="W221" i="15"/>
  <c r="W220" i="15"/>
  <c r="W219" i="15"/>
  <c r="W218" i="15"/>
  <c r="W217" i="15"/>
  <c r="W216" i="15"/>
  <c r="W215" i="15"/>
  <c r="W214" i="15"/>
  <c r="W213" i="15"/>
  <c r="W212" i="15"/>
  <c r="W211" i="15"/>
  <c r="W210" i="15"/>
  <c r="W209" i="15"/>
  <c r="W208" i="15"/>
  <c r="W207" i="15"/>
  <c r="W206" i="15"/>
  <c r="W205" i="15"/>
  <c r="W204" i="15"/>
  <c r="W203" i="15"/>
  <c r="W202" i="15"/>
  <c r="W201" i="15"/>
  <c r="W200" i="15"/>
  <c r="W199" i="15"/>
  <c r="W198" i="15"/>
  <c r="W197" i="15"/>
  <c r="W196" i="15"/>
  <c r="W195" i="15"/>
  <c r="W194" i="15"/>
  <c r="W193" i="15"/>
  <c r="W192" i="15"/>
  <c r="W191" i="15"/>
  <c r="W190" i="15"/>
  <c r="W189" i="15"/>
  <c r="W188" i="15"/>
  <c r="W187" i="15"/>
  <c r="W186" i="15"/>
  <c r="W185" i="15"/>
  <c r="W184" i="15"/>
  <c r="W183" i="15"/>
  <c r="W182" i="15"/>
  <c r="W181" i="15"/>
  <c r="W180" i="15"/>
  <c r="W179" i="15"/>
  <c r="W178" i="15"/>
  <c r="W177" i="15"/>
  <c r="W176" i="15"/>
  <c r="W175" i="15"/>
  <c r="W174" i="15"/>
  <c r="W173" i="15"/>
  <c r="W172" i="15"/>
  <c r="W171" i="15"/>
  <c r="W170" i="15"/>
  <c r="W169" i="15"/>
  <c r="W168" i="15"/>
  <c r="W167" i="15"/>
  <c r="W166" i="15"/>
  <c r="W165" i="15"/>
  <c r="W164" i="15"/>
  <c r="W163" i="15"/>
  <c r="W162" i="15"/>
  <c r="W161" i="15"/>
  <c r="W160" i="15"/>
  <c r="W159" i="15"/>
  <c r="W158" i="15"/>
  <c r="W157" i="15"/>
  <c r="W156" i="15"/>
  <c r="W155" i="15"/>
  <c r="W154" i="15"/>
  <c r="W153" i="15"/>
  <c r="W152" i="15"/>
  <c r="W151" i="15"/>
  <c r="W150" i="15"/>
  <c r="W149" i="15"/>
  <c r="W148" i="15"/>
  <c r="W147" i="15"/>
  <c r="W146" i="15"/>
  <c r="W145" i="15"/>
  <c r="W144" i="15"/>
  <c r="W143" i="15"/>
  <c r="W142" i="15"/>
  <c r="W141" i="15"/>
  <c r="W140" i="15"/>
  <c r="W139" i="15"/>
  <c r="W138" i="15"/>
  <c r="W137" i="15"/>
  <c r="W136" i="15"/>
  <c r="W135" i="15"/>
  <c r="W134" i="15"/>
  <c r="W133" i="15"/>
  <c r="W132" i="15"/>
  <c r="W131" i="15"/>
  <c r="W130" i="15"/>
  <c r="W129" i="15"/>
  <c r="W128" i="15"/>
  <c r="W127" i="15"/>
  <c r="W126" i="15"/>
  <c r="W125" i="15"/>
  <c r="W124" i="15"/>
  <c r="W123" i="15"/>
  <c r="W122" i="15"/>
  <c r="W121" i="15"/>
  <c r="W120" i="15"/>
  <c r="W119" i="15"/>
  <c r="W118" i="15"/>
  <c r="W117" i="15"/>
  <c r="W116" i="15"/>
  <c r="W115" i="15"/>
  <c r="W114" i="15"/>
  <c r="W113" i="15"/>
  <c r="W112" i="15"/>
  <c r="W111" i="15"/>
  <c r="W110" i="15"/>
  <c r="W109" i="15"/>
  <c r="W108" i="15"/>
  <c r="W107" i="15"/>
  <c r="W106" i="15"/>
  <c r="W105" i="15"/>
  <c r="W104" i="15"/>
  <c r="W103" i="15"/>
  <c r="W102" i="15"/>
  <c r="W101" i="15"/>
  <c r="W100" i="15"/>
  <c r="W99" i="15"/>
  <c r="W98" i="15"/>
  <c r="W97" i="15"/>
  <c r="W96" i="15"/>
  <c r="W95" i="15"/>
  <c r="W94" i="15"/>
  <c r="W93" i="15"/>
  <c r="W92" i="15"/>
  <c r="W91" i="15"/>
  <c r="W90" i="15"/>
  <c r="W89" i="15"/>
  <c r="W88" i="15"/>
  <c r="W87" i="15"/>
  <c r="W86" i="15"/>
  <c r="W85" i="15"/>
  <c r="W84" i="15"/>
  <c r="W83" i="15"/>
  <c r="W82" i="15"/>
  <c r="W81" i="15"/>
  <c r="W80" i="15"/>
  <c r="W79" i="15"/>
  <c r="W78" i="15"/>
  <c r="W77" i="15"/>
  <c r="W76" i="15"/>
  <c r="W75" i="15"/>
  <c r="W74" i="15"/>
  <c r="W73" i="15"/>
  <c r="W72" i="15"/>
  <c r="W71" i="15"/>
  <c r="W70" i="15"/>
  <c r="W69" i="15"/>
  <c r="W68" i="15"/>
  <c r="W67" i="15"/>
  <c r="W66" i="15"/>
  <c r="W65" i="15"/>
  <c r="W64" i="15"/>
  <c r="W63" i="15"/>
  <c r="W62" i="15"/>
  <c r="W61" i="15"/>
  <c r="W60" i="15"/>
  <c r="W59" i="15"/>
  <c r="W58" i="15"/>
  <c r="W57" i="15"/>
  <c r="W56" i="15"/>
  <c r="W55" i="15"/>
  <c r="W54" i="15"/>
  <c r="W53" i="15"/>
  <c r="W52" i="15"/>
  <c r="W51" i="15"/>
  <c r="W50" i="15"/>
  <c r="W49" i="15"/>
  <c r="W48" i="15"/>
  <c r="W47" i="15"/>
  <c r="W46" i="15"/>
  <c r="W45" i="15"/>
  <c r="W44" i="15"/>
  <c r="W43" i="15"/>
  <c r="W42" i="15"/>
  <c r="W41" i="15"/>
  <c r="W40" i="15"/>
  <c r="W39" i="15"/>
  <c r="W38" i="15"/>
  <c r="W37" i="15"/>
  <c r="W36" i="15"/>
  <c r="W35" i="15"/>
  <c r="W34" i="15"/>
  <c r="W33" i="15"/>
  <c r="W32" i="15"/>
  <c r="W31" i="15"/>
  <c r="W30" i="15"/>
  <c r="W29" i="15"/>
  <c r="W28" i="15"/>
  <c r="W27" i="15"/>
  <c r="W26" i="15"/>
  <c r="W25" i="15"/>
  <c r="W24" i="15"/>
  <c r="W23" i="15"/>
  <c r="W22" i="15"/>
  <c r="W21" i="15"/>
  <c r="W20" i="15"/>
  <c r="W19" i="15"/>
  <c r="W18" i="15"/>
  <c r="W17" i="15"/>
  <c r="W16" i="15"/>
  <c r="W15" i="15"/>
  <c r="W14" i="15"/>
  <c r="W13" i="15"/>
  <c r="W12" i="15"/>
  <c r="W11" i="15"/>
  <c r="W10" i="15"/>
  <c r="W9" i="15"/>
  <c r="W8" i="15"/>
  <c r="W7" i="15"/>
  <c r="W6" i="15"/>
  <c r="W5" i="15"/>
  <c r="G46" i="40" l="1"/>
  <c r="G50" i="40"/>
  <c r="G49" i="40"/>
  <c r="G47" i="40"/>
  <c r="G48" i="40"/>
  <c r="G33" i="40"/>
  <c r="G35" i="40"/>
  <c r="G52" i="40"/>
  <c r="G42" i="40"/>
  <c r="G40" i="40"/>
  <c r="G34" i="40"/>
  <c r="G51" i="40"/>
  <c r="G37" i="40"/>
  <c r="G44" i="40"/>
  <c r="G45" i="40"/>
  <c r="G36" i="40"/>
  <c r="G38" i="40"/>
  <c r="G41" i="40"/>
  <c r="G39" i="40"/>
  <c r="G43" i="40"/>
  <c r="F8" i="44"/>
  <c r="G8" i="44"/>
  <c r="C38" i="66" l="1"/>
  <c r="B7" i="66"/>
  <c r="M2" i="37"/>
  <c r="N2" i="44"/>
  <c r="B8" i="66" l="1"/>
  <c r="C42" i="66"/>
  <c r="H8" i="40" l="1"/>
  <c r="F8" i="40" l="1"/>
  <c r="D283" i="65" l="1"/>
  <c r="F283" i="65" s="1"/>
  <c r="D282" i="65"/>
  <c r="F282" i="65" s="1"/>
  <c r="D281" i="65"/>
  <c r="F281" i="65" s="1"/>
  <c r="D280" i="65"/>
  <c r="F280" i="65" s="1"/>
  <c r="D279" i="65"/>
  <c r="F279" i="65" s="1"/>
  <c r="D278" i="65"/>
  <c r="F278" i="65" s="1"/>
  <c r="D277" i="65"/>
  <c r="F277" i="65" s="1"/>
  <c r="D276" i="65"/>
  <c r="F276" i="65" s="1"/>
  <c r="D275" i="65"/>
  <c r="F275" i="65" s="1"/>
  <c r="D274" i="65"/>
  <c r="F274" i="65" s="1"/>
  <c r="D273" i="65"/>
  <c r="F273" i="65" s="1"/>
  <c r="D272" i="65"/>
  <c r="F272" i="65" s="1"/>
  <c r="D271" i="65"/>
  <c r="F271" i="65" s="1"/>
  <c r="D270" i="65"/>
  <c r="F270" i="65" s="1"/>
  <c r="D269" i="65"/>
  <c r="F269" i="65" s="1"/>
  <c r="D268" i="65"/>
  <c r="F268" i="65" s="1"/>
  <c r="D267" i="65"/>
  <c r="F267" i="65" s="1"/>
  <c r="D266" i="65"/>
  <c r="F266" i="65" s="1"/>
  <c r="D265" i="65"/>
  <c r="F265" i="65" s="1"/>
  <c r="D264" i="65"/>
  <c r="F264" i="65" s="1"/>
  <c r="D263" i="65"/>
  <c r="F263" i="65" s="1"/>
  <c r="D262" i="65"/>
  <c r="F262" i="65" s="1"/>
  <c r="D261" i="65"/>
  <c r="F261" i="65" s="1"/>
  <c r="D260" i="65"/>
  <c r="F260" i="65" s="1"/>
  <c r="D259" i="65"/>
  <c r="F259" i="65" s="1"/>
  <c r="D258" i="65"/>
  <c r="F258" i="65" s="1"/>
  <c r="D257" i="65"/>
  <c r="F257" i="65" s="1"/>
  <c r="D256" i="65"/>
  <c r="F256" i="65" s="1"/>
  <c r="D255" i="65"/>
  <c r="F255" i="65" s="1"/>
  <c r="D254" i="65"/>
  <c r="F254" i="65" s="1"/>
  <c r="D253" i="65"/>
  <c r="F253" i="65" s="1"/>
  <c r="D252" i="65"/>
  <c r="F252" i="65" s="1"/>
  <c r="D251" i="65"/>
  <c r="F251" i="65" s="1"/>
  <c r="D250" i="65"/>
  <c r="F250" i="65" s="1"/>
  <c r="D249" i="65"/>
  <c r="F249" i="65" s="1"/>
  <c r="D248" i="65"/>
  <c r="F248" i="65" s="1"/>
  <c r="D247" i="65"/>
  <c r="F247" i="65" s="1"/>
  <c r="D246" i="65"/>
  <c r="F246" i="65" s="1"/>
  <c r="D245" i="65"/>
  <c r="F245" i="65" s="1"/>
  <c r="D244" i="65"/>
  <c r="F244" i="65" s="1"/>
  <c r="D243" i="65"/>
  <c r="F243" i="65" s="1"/>
  <c r="D242" i="65"/>
  <c r="F242" i="65" s="1"/>
  <c r="D241" i="65"/>
  <c r="F241" i="65" s="1"/>
  <c r="D240" i="65"/>
  <c r="F240" i="65" s="1"/>
  <c r="D239" i="65"/>
  <c r="F239" i="65" s="1"/>
  <c r="D238" i="65"/>
  <c r="F238" i="65" s="1"/>
  <c r="D237" i="65"/>
  <c r="F237" i="65" s="1"/>
  <c r="D236" i="65"/>
  <c r="F236" i="65" s="1"/>
  <c r="D235" i="65"/>
  <c r="F235" i="65" s="1"/>
  <c r="D234" i="65"/>
  <c r="F234" i="65" s="1"/>
  <c r="D233" i="65"/>
  <c r="F233" i="65" s="1"/>
  <c r="D232" i="65"/>
  <c r="F232" i="65" s="1"/>
  <c r="D231" i="65"/>
  <c r="F231" i="65" s="1"/>
  <c r="D230" i="65"/>
  <c r="F230" i="65" s="1"/>
  <c r="D229" i="65"/>
  <c r="F229" i="65" s="1"/>
  <c r="D228" i="65"/>
  <c r="F228" i="65" s="1"/>
  <c r="D227" i="65"/>
  <c r="F227" i="65" s="1"/>
  <c r="D226" i="65"/>
  <c r="F226" i="65" s="1"/>
  <c r="D225" i="65"/>
  <c r="F225" i="65" s="1"/>
  <c r="D224" i="65"/>
  <c r="F224" i="65" s="1"/>
  <c r="D223" i="65"/>
  <c r="F223" i="65" s="1"/>
  <c r="D222" i="65"/>
  <c r="F222" i="65" s="1"/>
  <c r="D221" i="65"/>
  <c r="F221" i="65" s="1"/>
  <c r="D220" i="65"/>
  <c r="F220" i="65" s="1"/>
  <c r="D219" i="65"/>
  <c r="F219" i="65" s="1"/>
  <c r="D218" i="65"/>
  <c r="F218" i="65" s="1"/>
  <c r="D217" i="65"/>
  <c r="F217" i="65" s="1"/>
  <c r="D216" i="65"/>
  <c r="F216" i="65" s="1"/>
  <c r="D215" i="65"/>
  <c r="F215" i="65" s="1"/>
  <c r="D214" i="65"/>
  <c r="F214" i="65" s="1"/>
  <c r="D213" i="65"/>
  <c r="F213" i="65" s="1"/>
  <c r="D212" i="65"/>
  <c r="F212" i="65" s="1"/>
  <c r="D211" i="65"/>
  <c r="F211" i="65" s="1"/>
  <c r="D210" i="65"/>
  <c r="F210" i="65" s="1"/>
  <c r="D209" i="65"/>
  <c r="F209" i="65" s="1"/>
  <c r="D208" i="65"/>
  <c r="F208" i="65" s="1"/>
  <c r="D207" i="65"/>
  <c r="F207" i="65" s="1"/>
  <c r="D206" i="65"/>
  <c r="F206" i="65" s="1"/>
  <c r="D205" i="65"/>
  <c r="F205" i="65" s="1"/>
  <c r="D204" i="65"/>
  <c r="F204" i="65" s="1"/>
  <c r="D203" i="65"/>
  <c r="F203" i="65" s="1"/>
  <c r="D202" i="65"/>
  <c r="F202" i="65" s="1"/>
  <c r="D201" i="65"/>
  <c r="F201" i="65" s="1"/>
  <c r="D200" i="65"/>
  <c r="F200" i="65" s="1"/>
  <c r="D199" i="65"/>
  <c r="F199" i="65" s="1"/>
  <c r="D198" i="65"/>
  <c r="F198" i="65" s="1"/>
  <c r="D197" i="65"/>
  <c r="F197" i="65" s="1"/>
  <c r="D196" i="65"/>
  <c r="F196" i="65" s="1"/>
  <c r="D195" i="65"/>
  <c r="F195" i="65" s="1"/>
  <c r="D194" i="65"/>
  <c r="F194" i="65" s="1"/>
  <c r="D193" i="65"/>
  <c r="F193" i="65" s="1"/>
  <c r="D192" i="65"/>
  <c r="F192" i="65" s="1"/>
  <c r="D191" i="65"/>
  <c r="F191" i="65" s="1"/>
  <c r="D190" i="65"/>
  <c r="F190" i="65" s="1"/>
  <c r="D189" i="65"/>
  <c r="F189" i="65" s="1"/>
  <c r="D188" i="65"/>
  <c r="F188" i="65" s="1"/>
  <c r="D187" i="65"/>
  <c r="F187" i="65" s="1"/>
  <c r="D186" i="65"/>
  <c r="F186" i="65" s="1"/>
  <c r="D185" i="65"/>
  <c r="F185" i="65" s="1"/>
  <c r="D184" i="65"/>
  <c r="F184" i="65" s="1"/>
  <c r="D183" i="65"/>
  <c r="F183" i="65" s="1"/>
  <c r="D182" i="65"/>
  <c r="F182" i="65" s="1"/>
  <c r="D181" i="65"/>
  <c r="F181" i="65" s="1"/>
  <c r="D180" i="65"/>
  <c r="F180" i="65" s="1"/>
  <c r="D179" i="65"/>
  <c r="F179" i="65" s="1"/>
  <c r="D178" i="65"/>
  <c r="F178" i="65" s="1"/>
  <c r="D177" i="65"/>
  <c r="F177" i="65" s="1"/>
  <c r="D176" i="65"/>
  <c r="F176" i="65" s="1"/>
  <c r="D175" i="65"/>
  <c r="F175" i="65" s="1"/>
  <c r="D174" i="65"/>
  <c r="F174" i="65" s="1"/>
  <c r="D173" i="65"/>
  <c r="F173" i="65" s="1"/>
  <c r="D172" i="65"/>
  <c r="F172" i="65" s="1"/>
  <c r="D171" i="65"/>
  <c r="F171" i="65" s="1"/>
  <c r="D170" i="65"/>
  <c r="F170" i="65" s="1"/>
  <c r="D169" i="65"/>
  <c r="F169" i="65" s="1"/>
  <c r="D168" i="65"/>
  <c r="F168" i="65" s="1"/>
  <c r="D167" i="65"/>
  <c r="F167" i="65" s="1"/>
  <c r="D166" i="65"/>
  <c r="F166" i="65" s="1"/>
  <c r="D165" i="65"/>
  <c r="F165" i="65" s="1"/>
  <c r="D164" i="65"/>
  <c r="F164" i="65" s="1"/>
  <c r="D163" i="65"/>
  <c r="F163" i="65" s="1"/>
  <c r="D162" i="65"/>
  <c r="F162" i="65" s="1"/>
  <c r="D161" i="65"/>
  <c r="F161" i="65" s="1"/>
  <c r="D160" i="65"/>
  <c r="F160" i="65" s="1"/>
  <c r="D159" i="65"/>
  <c r="F159" i="65" s="1"/>
  <c r="D158" i="65"/>
  <c r="F158" i="65" s="1"/>
  <c r="D157" i="65"/>
  <c r="F157" i="65" s="1"/>
  <c r="D156" i="65"/>
  <c r="F156" i="65" s="1"/>
  <c r="D155" i="65"/>
  <c r="F155" i="65" s="1"/>
  <c r="D154" i="65"/>
  <c r="F154" i="65" s="1"/>
  <c r="D153" i="65"/>
  <c r="F153" i="65" s="1"/>
  <c r="D152" i="65"/>
  <c r="F152" i="65" s="1"/>
  <c r="D151" i="65"/>
  <c r="F151" i="65" s="1"/>
  <c r="D150" i="65"/>
  <c r="F150" i="65" s="1"/>
  <c r="D149" i="65"/>
  <c r="F149" i="65" s="1"/>
  <c r="D148" i="65"/>
  <c r="F148" i="65" s="1"/>
  <c r="D147" i="65"/>
  <c r="F147" i="65" s="1"/>
  <c r="D146" i="65"/>
  <c r="F146" i="65" s="1"/>
  <c r="D145" i="65"/>
  <c r="F145" i="65" s="1"/>
  <c r="D144" i="65"/>
  <c r="F144" i="65" s="1"/>
  <c r="D143" i="65"/>
  <c r="F143" i="65" s="1"/>
  <c r="D142" i="65"/>
  <c r="F142" i="65" s="1"/>
  <c r="D141" i="65"/>
  <c r="F141" i="65" s="1"/>
  <c r="D140" i="65"/>
  <c r="F140" i="65" s="1"/>
  <c r="D139" i="65"/>
  <c r="F139" i="65" s="1"/>
  <c r="D138" i="65"/>
  <c r="F138" i="65" s="1"/>
  <c r="D137" i="65"/>
  <c r="F137" i="65" s="1"/>
  <c r="D136" i="65"/>
  <c r="F136" i="65" s="1"/>
  <c r="D135" i="65"/>
  <c r="F135" i="65" s="1"/>
  <c r="D134" i="65"/>
  <c r="F134" i="65" s="1"/>
  <c r="D133" i="65"/>
  <c r="F133" i="65" s="1"/>
  <c r="D132" i="65"/>
  <c r="F132" i="65" s="1"/>
  <c r="D131" i="65"/>
  <c r="F131" i="65" s="1"/>
  <c r="D130" i="65"/>
  <c r="F130" i="65" s="1"/>
  <c r="D129" i="65"/>
  <c r="F129" i="65" s="1"/>
  <c r="D128" i="65"/>
  <c r="F128" i="65" s="1"/>
  <c r="D127" i="65"/>
  <c r="F127" i="65" s="1"/>
  <c r="D126" i="65"/>
  <c r="F126" i="65" s="1"/>
  <c r="D125" i="65"/>
  <c r="F125" i="65" s="1"/>
  <c r="D124" i="65"/>
  <c r="F124" i="65" s="1"/>
  <c r="D123" i="65"/>
  <c r="F123" i="65" s="1"/>
  <c r="D122" i="65"/>
  <c r="F122" i="65" s="1"/>
  <c r="D121" i="65"/>
  <c r="F121" i="65" s="1"/>
  <c r="D120" i="65"/>
  <c r="F120" i="65" s="1"/>
  <c r="D119" i="65"/>
  <c r="F119" i="65" s="1"/>
  <c r="D118" i="65"/>
  <c r="F118" i="65" s="1"/>
  <c r="D117" i="65"/>
  <c r="F117" i="65" s="1"/>
  <c r="D116" i="65"/>
  <c r="F116" i="65" s="1"/>
  <c r="D115" i="65"/>
  <c r="F115" i="65" s="1"/>
  <c r="D114" i="65"/>
  <c r="F114" i="65" s="1"/>
  <c r="D113" i="65"/>
  <c r="F113" i="65" s="1"/>
  <c r="D112" i="65"/>
  <c r="F112" i="65" s="1"/>
  <c r="D111" i="65"/>
  <c r="F111" i="65" s="1"/>
  <c r="D110" i="65"/>
  <c r="F110" i="65" s="1"/>
  <c r="D109" i="65"/>
  <c r="F109" i="65" s="1"/>
  <c r="D108" i="65"/>
  <c r="F108" i="65" s="1"/>
  <c r="D107" i="65"/>
  <c r="F107" i="65" s="1"/>
  <c r="D106" i="65"/>
  <c r="F106" i="65" s="1"/>
  <c r="D105" i="65"/>
  <c r="F105" i="65" s="1"/>
  <c r="D104" i="65"/>
  <c r="F104" i="65" s="1"/>
  <c r="D103" i="65"/>
  <c r="F103" i="65" s="1"/>
  <c r="D102" i="65"/>
  <c r="F102" i="65" s="1"/>
  <c r="D101" i="65"/>
  <c r="F101" i="65" s="1"/>
  <c r="D100" i="65"/>
  <c r="F100" i="65" s="1"/>
  <c r="D99" i="65"/>
  <c r="F99" i="65" s="1"/>
  <c r="D98" i="65"/>
  <c r="F98" i="65" s="1"/>
  <c r="D97" i="65"/>
  <c r="F97" i="65" s="1"/>
  <c r="D96" i="65"/>
  <c r="F96" i="65" s="1"/>
  <c r="D95" i="65"/>
  <c r="F95" i="65" s="1"/>
  <c r="D94" i="65"/>
  <c r="F94" i="65" s="1"/>
  <c r="D93" i="65"/>
  <c r="F93" i="65" s="1"/>
  <c r="D92" i="65"/>
  <c r="F92" i="65" s="1"/>
  <c r="D91" i="65"/>
  <c r="F91" i="65" s="1"/>
  <c r="D90" i="65"/>
  <c r="F90" i="65" s="1"/>
  <c r="D89" i="65"/>
  <c r="F89" i="65" s="1"/>
  <c r="D88" i="65"/>
  <c r="F88" i="65" s="1"/>
  <c r="D87" i="65"/>
  <c r="F87" i="65" s="1"/>
  <c r="D86" i="65"/>
  <c r="F86" i="65" s="1"/>
  <c r="D85" i="65"/>
  <c r="F85" i="65" s="1"/>
  <c r="D84" i="65"/>
  <c r="F84" i="65" s="1"/>
  <c r="D83" i="65"/>
  <c r="F83" i="65" s="1"/>
  <c r="D82" i="65"/>
  <c r="F82" i="65" s="1"/>
  <c r="D81" i="65"/>
  <c r="F81" i="65" s="1"/>
  <c r="D80" i="65"/>
  <c r="F80" i="65" s="1"/>
  <c r="D79" i="65"/>
  <c r="F79" i="65" s="1"/>
  <c r="D78" i="65"/>
  <c r="F78" i="65" s="1"/>
  <c r="D77" i="65"/>
  <c r="F77" i="65" s="1"/>
  <c r="D76" i="65"/>
  <c r="F76" i="65" s="1"/>
  <c r="D75" i="65"/>
  <c r="F75" i="65" s="1"/>
  <c r="D74" i="65"/>
  <c r="F74" i="65" s="1"/>
  <c r="D73" i="65"/>
  <c r="F73" i="65" s="1"/>
  <c r="D72" i="65"/>
  <c r="F72" i="65" s="1"/>
  <c r="D71" i="65"/>
  <c r="F71" i="65" s="1"/>
  <c r="D70" i="65"/>
  <c r="F70" i="65" s="1"/>
  <c r="D69" i="65"/>
  <c r="F69" i="65" s="1"/>
  <c r="D68" i="65"/>
  <c r="F68" i="65" s="1"/>
  <c r="D67" i="65"/>
  <c r="F67" i="65" s="1"/>
  <c r="D66" i="65"/>
  <c r="F66" i="65" s="1"/>
  <c r="D65" i="65"/>
  <c r="F65" i="65" s="1"/>
  <c r="D64" i="65"/>
  <c r="F64" i="65" s="1"/>
  <c r="D63" i="65"/>
  <c r="F63" i="65" s="1"/>
  <c r="D62" i="65"/>
  <c r="F62" i="65" s="1"/>
  <c r="D61" i="65"/>
  <c r="F61" i="65" s="1"/>
  <c r="D60" i="65"/>
  <c r="F60" i="65" s="1"/>
  <c r="D59" i="65"/>
  <c r="F59" i="65" s="1"/>
  <c r="D58" i="65"/>
  <c r="F58" i="65" s="1"/>
  <c r="D57" i="65"/>
  <c r="F57" i="65" s="1"/>
  <c r="D56" i="65"/>
  <c r="F56" i="65" s="1"/>
  <c r="D55" i="65"/>
  <c r="F55" i="65" s="1"/>
  <c r="D54" i="65"/>
  <c r="F54" i="65" s="1"/>
  <c r="D53" i="65"/>
  <c r="F53" i="65" s="1"/>
  <c r="D52" i="65"/>
  <c r="F52" i="65" s="1"/>
  <c r="D51" i="65"/>
  <c r="F51" i="65" s="1"/>
  <c r="D50" i="65"/>
  <c r="F50" i="65" s="1"/>
  <c r="D49" i="65"/>
  <c r="F49" i="65" s="1"/>
  <c r="D48" i="65"/>
  <c r="F48" i="65" s="1"/>
  <c r="D47" i="65"/>
  <c r="F47" i="65" s="1"/>
  <c r="D46" i="65"/>
  <c r="F46" i="65" s="1"/>
  <c r="D45" i="65"/>
  <c r="F45" i="65" s="1"/>
  <c r="D44" i="65"/>
  <c r="F44" i="65" s="1"/>
  <c r="D43" i="65"/>
  <c r="F43" i="65" s="1"/>
  <c r="D42" i="65"/>
  <c r="F42" i="65" s="1"/>
  <c r="D41" i="65"/>
  <c r="F41" i="65" s="1"/>
  <c r="D40" i="65"/>
  <c r="F40" i="65" s="1"/>
  <c r="D39" i="65"/>
  <c r="F39" i="65" s="1"/>
  <c r="D38" i="65"/>
  <c r="F38" i="65" s="1"/>
  <c r="D37" i="65"/>
  <c r="F37" i="65" s="1"/>
  <c r="D36" i="65"/>
  <c r="F36" i="65" s="1"/>
  <c r="D35" i="65"/>
  <c r="F35" i="65" s="1"/>
  <c r="D34" i="65"/>
  <c r="F34" i="65" s="1"/>
  <c r="D33" i="65"/>
  <c r="F33" i="65" s="1"/>
  <c r="D32" i="65"/>
  <c r="F32" i="65" s="1"/>
  <c r="D31" i="65"/>
  <c r="F31" i="65" s="1"/>
  <c r="D30" i="65"/>
  <c r="F30" i="65" s="1"/>
  <c r="D29" i="65"/>
  <c r="F29" i="65" s="1"/>
  <c r="D28" i="65"/>
  <c r="F28" i="65" s="1"/>
  <c r="D27" i="65"/>
  <c r="F27" i="65" s="1"/>
  <c r="D26" i="65"/>
  <c r="F26" i="65" s="1"/>
  <c r="D25" i="65"/>
  <c r="F25" i="65" s="1"/>
  <c r="D24" i="65"/>
  <c r="F24" i="65" s="1"/>
  <c r="D23" i="65"/>
  <c r="F23" i="65" s="1"/>
  <c r="D22" i="65"/>
  <c r="F22" i="65" s="1"/>
  <c r="D21" i="65"/>
  <c r="F21" i="65" s="1"/>
  <c r="D20" i="65"/>
  <c r="F20" i="65" s="1"/>
  <c r="D19" i="65"/>
  <c r="F19" i="65" s="1"/>
  <c r="G18" i="65"/>
  <c r="D18" i="65"/>
  <c r="F18" i="65" s="1"/>
  <c r="D17" i="65"/>
  <c r="F17" i="65" s="1"/>
  <c r="D16" i="65"/>
  <c r="F16" i="65" s="1"/>
  <c r="D15" i="65"/>
  <c r="F15" i="65" s="1"/>
  <c r="D14" i="65"/>
  <c r="F14" i="65" s="1"/>
  <c r="D13" i="65"/>
  <c r="F13" i="65" s="1"/>
  <c r="D12" i="65"/>
  <c r="F12" i="65" s="1"/>
  <c r="D11" i="65"/>
  <c r="F11" i="65" s="1"/>
  <c r="D10" i="65"/>
  <c r="F10" i="65" s="1"/>
  <c r="D9" i="65"/>
  <c r="F9" i="65" s="1"/>
  <c r="D8" i="65"/>
  <c r="F8" i="65" s="1"/>
  <c r="D7" i="65"/>
  <c r="F7" i="65" s="1"/>
  <c r="D6" i="65"/>
  <c r="F6" i="65" s="1"/>
  <c r="D5" i="65"/>
  <c r="F5" i="65" s="1"/>
  <c r="G6" i="65" l="1"/>
  <c r="H6" i="65" s="1"/>
  <c r="I6" i="65" s="1"/>
  <c r="J6" i="65" s="1"/>
  <c r="G192" i="65"/>
  <c r="H192" i="65" s="1"/>
  <c r="I192" i="65" s="1"/>
  <c r="J192" i="65" s="1"/>
  <c r="G22" i="65"/>
  <c r="H22" i="65" s="1"/>
  <c r="I22" i="65" s="1"/>
  <c r="J22" i="65" s="1"/>
  <c r="G20" i="65"/>
  <c r="H20" i="65" s="1"/>
  <c r="I20" i="65" s="1"/>
  <c r="J20" i="65" s="1"/>
  <c r="G73" i="65"/>
  <c r="H73" i="65" s="1"/>
  <c r="I73" i="65" s="1"/>
  <c r="J73" i="65" s="1"/>
  <c r="G8" i="65"/>
  <c r="H8" i="65" s="1"/>
  <c r="I8" i="65" s="1"/>
  <c r="J8" i="65" s="1"/>
  <c r="G89" i="65"/>
  <c r="H89" i="65" s="1"/>
  <c r="I89" i="65" s="1"/>
  <c r="J89" i="65" s="1"/>
  <c r="G10" i="65"/>
  <c r="H10" i="65" s="1"/>
  <c r="I10" i="65" s="1"/>
  <c r="J10" i="65" s="1"/>
  <c r="G12" i="65"/>
  <c r="H12" i="65" s="1"/>
  <c r="I12" i="65" s="1"/>
  <c r="J12" i="65" s="1"/>
  <c r="G93" i="65"/>
  <c r="H93" i="65" s="1"/>
  <c r="I93" i="65" s="1"/>
  <c r="J93" i="65" s="1"/>
  <c r="G14" i="65"/>
  <c r="H14" i="65" s="1"/>
  <c r="I14" i="65" s="1"/>
  <c r="J14" i="65" s="1"/>
  <c r="G65" i="65"/>
  <c r="H65" i="65" s="1"/>
  <c r="I65" i="65" s="1"/>
  <c r="J65" i="65" s="1"/>
  <c r="G28" i="65"/>
  <c r="H28" i="65" s="1"/>
  <c r="I28" i="65" s="1"/>
  <c r="J28" i="65" s="1"/>
  <c r="G81" i="65"/>
  <c r="H81" i="65" s="1"/>
  <c r="I81" i="65" s="1"/>
  <c r="J81" i="65" s="1"/>
  <c r="G16" i="65"/>
  <c r="H16" i="65" s="1"/>
  <c r="I16" i="65" s="1"/>
  <c r="J16" i="65" s="1"/>
  <c r="G41" i="65"/>
  <c r="H41" i="65" s="1"/>
  <c r="G30" i="65"/>
  <c r="H30" i="65" s="1"/>
  <c r="I30" i="65" s="1"/>
  <c r="J30" i="65" s="1"/>
  <c r="G9" i="65"/>
  <c r="G33" i="65"/>
  <c r="H33" i="65" s="1"/>
  <c r="I33" i="65" s="1"/>
  <c r="J33" i="65" s="1"/>
  <c r="G108" i="65"/>
  <c r="H108" i="65" s="1"/>
  <c r="I108" i="65" s="1"/>
  <c r="J108" i="65" s="1"/>
  <c r="G140" i="65"/>
  <c r="H140" i="65" s="1"/>
  <c r="I140" i="65" s="1"/>
  <c r="J140" i="65" s="1"/>
  <c r="G11" i="65"/>
  <c r="H11" i="65" s="1"/>
  <c r="G24" i="65"/>
  <c r="H24" i="65" s="1"/>
  <c r="I24" i="65" s="1"/>
  <c r="J24" i="65" s="1"/>
  <c r="G5" i="65"/>
  <c r="H5" i="65" s="1"/>
  <c r="G29" i="65"/>
  <c r="H29" i="65" s="1"/>
  <c r="G132" i="65"/>
  <c r="H132" i="65" s="1"/>
  <c r="I132" i="65" s="1"/>
  <c r="J132" i="65" s="1"/>
  <c r="G19" i="65"/>
  <c r="H19" i="65" s="1"/>
  <c r="G13" i="65"/>
  <c r="H13" i="65" s="1"/>
  <c r="G124" i="65"/>
  <c r="H124" i="65" s="1"/>
  <c r="I124" i="65" s="1"/>
  <c r="J124" i="65" s="1"/>
  <c r="G98" i="65"/>
  <c r="H98" i="65" s="1"/>
  <c r="I98" i="65" s="1"/>
  <c r="J98" i="65" s="1"/>
  <c r="G21" i="65"/>
  <c r="H21" i="65" s="1"/>
  <c r="G7" i="65"/>
  <c r="H7" i="65" s="1"/>
  <c r="G49" i="65"/>
  <c r="H49" i="65" s="1"/>
  <c r="I49" i="65" s="1"/>
  <c r="J49" i="65" s="1"/>
  <c r="G15" i="65"/>
  <c r="H15" i="65" s="1"/>
  <c r="G116" i="65"/>
  <c r="H116" i="65" s="1"/>
  <c r="I116" i="65" s="1"/>
  <c r="J116" i="65" s="1"/>
  <c r="G148" i="65"/>
  <c r="H148" i="65" s="1"/>
  <c r="I148" i="65" s="1"/>
  <c r="J148" i="65" s="1"/>
  <c r="G17" i="65"/>
  <c r="G27" i="65"/>
  <c r="H27" i="65" s="1"/>
  <c r="G57" i="65"/>
  <c r="H57" i="65" s="1"/>
  <c r="I57" i="65" s="1"/>
  <c r="J57" i="65" s="1"/>
  <c r="G34" i="65"/>
  <c r="G42" i="65"/>
  <c r="G50" i="65"/>
  <c r="G58" i="65"/>
  <c r="G66" i="65"/>
  <c r="G74" i="65"/>
  <c r="G82" i="65"/>
  <c r="G90" i="65"/>
  <c r="G94" i="65"/>
  <c r="G106" i="65"/>
  <c r="G114" i="65"/>
  <c r="G122" i="65"/>
  <c r="G130" i="65"/>
  <c r="G138" i="65"/>
  <c r="G146" i="65"/>
  <c r="G23" i="65"/>
  <c r="G31" i="65"/>
  <c r="G37" i="65"/>
  <c r="G45" i="65"/>
  <c r="G53" i="65"/>
  <c r="G61" i="65"/>
  <c r="G69" i="65"/>
  <c r="G77" i="65"/>
  <c r="G85" i="65"/>
  <c r="G101" i="65"/>
  <c r="G104" i="65"/>
  <c r="G112" i="65"/>
  <c r="G120" i="65"/>
  <c r="G128" i="65"/>
  <c r="G136" i="65"/>
  <c r="G144" i="65"/>
  <c r="H18" i="65"/>
  <c r="I18" i="65" s="1"/>
  <c r="J18" i="65" s="1"/>
  <c r="G25" i="65"/>
  <c r="G26" i="65"/>
  <c r="G38" i="65"/>
  <c r="G46" i="65"/>
  <c r="G54" i="65"/>
  <c r="G62" i="65"/>
  <c r="G70" i="65"/>
  <c r="G78" i="65"/>
  <c r="G86" i="65"/>
  <c r="G97" i="65"/>
  <c r="G102" i="65"/>
  <c r="G110" i="65"/>
  <c r="G118" i="65"/>
  <c r="G126" i="65"/>
  <c r="G134" i="65"/>
  <c r="G142" i="65"/>
  <c r="G150" i="65"/>
  <c r="G152" i="65"/>
  <c r="G153" i="65"/>
  <c r="G156" i="65"/>
  <c r="G164" i="65"/>
  <c r="G254" i="65"/>
  <c r="G264" i="65"/>
  <c r="G281" i="65"/>
  <c r="G157" i="65"/>
  <c r="G165" i="65"/>
  <c r="G174" i="65"/>
  <c r="G182" i="65"/>
  <c r="G190" i="65"/>
  <c r="G232" i="65"/>
  <c r="G249" i="65"/>
  <c r="G252" i="65"/>
  <c r="G103" i="65"/>
  <c r="G105" i="65"/>
  <c r="G107" i="65"/>
  <c r="G109" i="65"/>
  <c r="G111" i="65"/>
  <c r="G113" i="65"/>
  <c r="G115" i="65"/>
  <c r="G117" i="65"/>
  <c r="G119" i="65"/>
  <c r="G121" i="65"/>
  <c r="G123" i="65"/>
  <c r="G125" i="65"/>
  <c r="G127" i="65"/>
  <c r="G129" i="65"/>
  <c r="G131" i="65"/>
  <c r="G133" i="65"/>
  <c r="G135" i="65"/>
  <c r="G137" i="65"/>
  <c r="G139" i="65"/>
  <c r="G141" i="65"/>
  <c r="G143" i="65"/>
  <c r="G145" i="65"/>
  <c r="G147" i="65"/>
  <c r="G149" i="65"/>
  <c r="G160" i="65"/>
  <c r="G168" i="65"/>
  <c r="G172" i="65"/>
  <c r="G176" i="65"/>
  <c r="G180" i="65"/>
  <c r="G184" i="65"/>
  <c r="G188" i="65"/>
  <c r="G277" i="65"/>
  <c r="G269" i="65"/>
  <c r="G261" i="65"/>
  <c r="G253" i="65"/>
  <c r="G273" i="65"/>
  <c r="G241" i="65"/>
  <c r="G186" i="65"/>
  <c r="G178" i="65"/>
  <c r="G170" i="65"/>
  <c r="G166" i="65"/>
  <c r="G162" i="65"/>
  <c r="G158" i="65"/>
  <c r="G154" i="65"/>
  <c r="G265" i="65"/>
  <c r="G233" i="65"/>
  <c r="G257" i="65"/>
  <c r="G228" i="65"/>
  <c r="G32" i="65"/>
  <c r="G35" i="65"/>
  <c r="G36" i="65"/>
  <c r="G39" i="65"/>
  <c r="G40" i="65"/>
  <c r="G43" i="65"/>
  <c r="G44" i="65"/>
  <c r="G47" i="65"/>
  <c r="G48" i="65"/>
  <c r="G51" i="65"/>
  <c r="G52" i="65"/>
  <c r="G55" i="65"/>
  <c r="G56" i="65"/>
  <c r="G59" i="65"/>
  <c r="G60" i="65"/>
  <c r="G63" i="65"/>
  <c r="G64" i="65"/>
  <c r="G67" i="65"/>
  <c r="G68" i="65"/>
  <c r="G71" i="65"/>
  <c r="G72" i="65"/>
  <c r="G75" i="65"/>
  <c r="G76" i="65"/>
  <c r="G79" i="65"/>
  <c r="G80" i="65"/>
  <c r="G83" i="65"/>
  <c r="G84" i="65"/>
  <c r="G87" i="65"/>
  <c r="G88" i="65"/>
  <c r="G91" i="65"/>
  <c r="G92" i="65"/>
  <c r="G95" i="65"/>
  <c r="G96" i="65"/>
  <c r="G99" i="65"/>
  <c r="G100" i="65"/>
  <c r="G161" i="65"/>
  <c r="G169" i="65"/>
  <c r="G173" i="65"/>
  <c r="G181" i="65"/>
  <c r="G189" i="65"/>
  <c r="G171" i="65"/>
  <c r="G179" i="65"/>
  <c r="G187" i="65"/>
  <c r="G212" i="65"/>
  <c r="G214" i="65"/>
  <c r="G220" i="65"/>
  <c r="G222" i="65"/>
  <c r="G230" i="65"/>
  <c r="G240" i="65"/>
  <c r="G260" i="65"/>
  <c r="G262" i="65"/>
  <c r="G272" i="65"/>
  <c r="G177" i="65"/>
  <c r="G185" i="65"/>
  <c r="G193" i="65"/>
  <c r="G217" i="65"/>
  <c r="G225" i="65"/>
  <c r="G236" i="65"/>
  <c r="G238" i="65"/>
  <c r="G248" i="65"/>
  <c r="G268" i="65"/>
  <c r="G270" i="65"/>
  <c r="G280" i="65"/>
  <c r="G151" i="65"/>
  <c r="G155" i="65"/>
  <c r="G159" i="65"/>
  <c r="G163" i="65"/>
  <c r="G167" i="65"/>
  <c r="G175" i="65"/>
  <c r="G183" i="65"/>
  <c r="G191" i="65"/>
  <c r="G211" i="65"/>
  <c r="G219" i="65"/>
  <c r="G227" i="65"/>
  <c r="G244" i="65"/>
  <c r="G246" i="65"/>
  <c r="G256" i="65"/>
  <c r="G276" i="65"/>
  <c r="G278" i="65"/>
  <c r="G194" i="65"/>
  <c r="G195" i="65"/>
  <c r="G196" i="65"/>
  <c r="G197" i="65"/>
  <c r="G198" i="65"/>
  <c r="G199" i="65"/>
  <c r="G200" i="65"/>
  <c r="G201" i="65"/>
  <c r="G202" i="65"/>
  <c r="G203" i="65"/>
  <c r="G204" i="65"/>
  <c r="G205" i="65"/>
  <c r="G206" i="65"/>
  <c r="G207" i="65"/>
  <c r="G208" i="65"/>
  <c r="G209" i="65"/>
  <c r="G210" i="65"/>
  <c r="G213" i="65"/>
  <c r="G216" i="65"/>
  <c r="G221" i="65"/>
  <c r="G224" i="65"/>
  <c r="G229" i="65"/>
  <c r="G234" i="65"/>
  <c r="G237" i="65"/>
  <c r="G242" i="65"/>
  <c r="G245" i="65"/>
  <c r="G250" i="65"/>
  <c r="G258" i="65"/>
  <c r="G266" i="65"/>
  <c r="G274" i="65"/>
  <c r="G282" i="65"/>
  <c r="G215" i="65"/>
  <c r="G218" i="65"/>
  <c r="G223" i="65"/>
  <c r="G226" i="65"/>
  <c r="G231" i="65"/>
  <c r="G235" i="65"/>
  <c r="G239" i="65"/>
  <c r="G243" i="65"/>
  <c r="G247" i="65"/>
  <c r="G251" i="65"/>
  <c r="G255" i="65"/>
  <c r="G259" i="65"/>
  <c r="G263" i="65"/>
  <c r="G267" i="65"/>
  <c r="G271" i="65"/>
  <c r="G275" i="65"/>
  <c r="G279" i="65"/>
  <c r="G283" i="65"/>
  <c r="I13" i="65" l="1"/>
  <c r="J13" i="65" s="1"/>
  <c r="I5" i="65"/>
  <c r="J5" i="65" s="1"/>
  <c r="I11" i="65"/>
  <c r="J11" i="65" s="1"/>
  <c r="I27" i="65"/>
  <c r="J27" i="65" s="1"/>
  <c r="I19" i="65"/>
  <c r="J19" i="65" s="1"/>
  <c r="I21" i="65"/>
  <c r="J21" i="65" s="1"/>
  <c r="I15" i="65"/>
  <c r="J15" i="65" s="1"/>
  <c r="I7" i="65"/>
  <c r="J7" i="65" s="1"/>
  <c r="I29" i="65"/>
  <c r="J29" i="65" s="1"/>
  <c r="I41" i="65"/>
  <c r="J41" i="65" s="1"/>
  <c r="H17" i="65"/>
  <c r="I17" i="65" s="1"/>
  <c r="J17" i="65" s="1"/>
  <c r="H9" i="65"/>
  <c r="I9" i="65" s="1"/>
  <c r="J9" i="65" s="1"/>
  <c r="H279" i="65"/>
  <c r="I279" i="65" s="1"/>
  <c r="J279" i="65" s="1"/>
  <c r="H263" i="65"/>
  <c r="I263" i="65" s="1"/>
  <c r="J263" i="65" s="1"/>
  <c r="H231" i="65"/>
  <c r="I231" i="65" s="1"/>
  <c r="J231" i="65" s="1"/>
  <c r="H258" i="65"/>
  <c r="I258" i="65" s="1"/>
  <c r="J258" i="65" s="1"/>
  <c r="H221" i="65"/>
  <c r="I221" i="65" s="1"/>
  <c r="J221" i="65" s="1"/>
  <c r="H205" i="65"/>
  <c r="I205" i="65" s="1"/>
  <c r="J205" i="65" s="1"/>
  <c r="H201" i="65"/>
  <c r="I201" i="65" s="1"/>
  <c r="J201" i="65" s="1"/>
  <c r="H278" i="65"/>
  <c r="I278" i="65" s="1"/>
  <c r="J278" i="65" s="1"/>
  <c r="H191" i="65"/>
  <c r="I191" i="65" s="1"/>
  <c r="J191" i="65" s="1"/>
  <c r="H280" i="65"/>
  <c r="I280" i="65" s="1"/>
  <c r="J280" i="65" s="1"/>
  <c r="H238" i="65"/>
  <c r="I238" i="65" s="1"/>
  <c r="J238" i="65" s="1"/>
  <c r="H262" i="65"/>
  <c r="I262" i="65" s="1"/>
  <c r="J262" i="65" s="1"/>
  <c r="H187" i="65"/>
  <c r="I187" i="65" s="1"/>
  <c r="J187" i="65" s="1"/>
  <c r="H100" i="65"/>
  <c r="I100" i="65" s="1"/>
  <c r="J100" i="65" s="1"/>
  <c r="H92" i="65"/>
  <c r="I92" i="65" s="1"/>
  <c r="J92" i="65" s="1"/>
  <c r="H275" i="65"/>
  <c r="I275" i="65" s="1"/>
  <c r="J275" i="65" s="1"/>
  <c r="H243" i="65"/>
  <c r="I243" i="65" s="1"/>
  <c r="J243" i="65" s="1"/>
  <c r="H226" i="65"/>
  <c r="I226" i="65" s="1"/>
  <c r="J226" i="65" s="1"/>
  <c r="H250" i="65"/>
  <c r="I250" i="65" s="1"/>
  <c r="J250" i="65" s="1"/>
  <c r="H216" i="65"/>
  <c r="I216" i="65" s="1"/>
  <c r="J216" i="65" s="1"/>
  <c r="H204" i="65"/>
  <c r="I204" i="65" s="1"/>
  <c r="J204" i="65" s="1"/>
  <c r="H196" i="65"/>
  <c r="I196" i="65" s="1"/>
  <c r="J196" i="65" s="1"/>
  <c r="H227" i="65"/>
  <c r="I227" i="65" s="1"/>
  <c r="J227" i="65" s="1"/>
  <c r="H159" i="65"/>
  <c r="I159" i="65" s="1"/>
  <c r="J159" i="65" s="1"/>
  <c r="H270" i="65"/>
  <c r="I270" i="65" s="1"/>
  <c r="J270" i="65" s="1"/>
  <c r="H185" i="65"/>
  <c r="I185" i="65" s="1"/>
  <c r="J185" i="65" s="1"/>
  <c r="H220" i="65"/>
  <c r="I220" i="65" s="1"/>
  <c r="J220" i="65" s="1"/>
  <c r="H173" i="65"/>
  <c r="I173" i="65" s="1"/>
  <c r="J173" i="65" s="1"/>
  <c r="H91" i="65"/>
  <c r="I91" i="65" s="1"/>
  <c r="J91" i="65" s="1"/>
  <c r="H75" i="65"/>
  <c r="I75" i="65" s="1"/>
  <c r="J75" i="65" s="1"/>
  <c r="H67" i="65"/>
  <c r="I67" i="65" s="1"/>
  <c r="J67" i="65" s="1"/>
  <c r="H51" i="65"/>
  <c r="I51" i="65" s="1"/>
  <c r="J51" i="65" s="1"/>
  <c r="H35" i="65"/>
  <c r="I35" i="65" s="1"/>
  <c r="J35" i="65" s="1"/>
  <c r="H162" i="65"/>
  <c r="I162" i="65" s="1"/>
  <c r="J162" i="65" s="1"/>
  <c r="H261" i="65"/>
  <c r="I261" i="65" s="1"/>
  <c r="J261" i="65" s="1"/>
  <c r="H168" i="65"/>
  <c r="I168" i="65" s="1"/>
  <c r="J168" i="65" s="1"/>
  <c r="H137" i="65"/>
  <c r="I137" i="65" s="1"/>
  <c r="J137" i="65" s="1"/>
  <c r="H121" i="65"/>
  <c r="I121" i="65" s="1"/>
  <c r="J121" i="65" s="1"/>
  <c r="H113" i="65"/>
  <c r="I113" i="65" s="1"/>
  <c r="J113" i="65" s="1"/>
  <c r="H232" i="65"/>
  <c r="I232" i="65" s="1"/>
  <c r="J232" i="65" s="1"/>
  <c r="H254" i="65"/>
  <c r="I254" i="65" s="1"/>
  <c r="J254" i="65" s="1"/>
  <c r="H97" i="65"/>
  <c r="I97" i="65" s="1"/>
  <c r="J97" i="65" s="1"/>
  <c r="H26" i="65"/>
  <c r="I26" i="65" s="1"/>
  <c r="J26" i="65" s="1"/>
  <c r="H101" i="65"/>
  <c r="I101" i="65" s="1"/>
  <c r="J101" i="65" s="1"/>
  <c r="H61" i="65"/>
  <c r="I61" i="65" s="1"/>
  <c r="J61" i="65" s="1"/>
  <c r="H106" i="65"/>
  <c r="I106" i="65" s="1"/>
  <c r="J106" i="65" s="1"/>
  <c r="H74" i="65"/>
  <c r="I74" i="65" s="1"/>
  <c r="J74" i="65" s="1"/>
  <c r="H42" i="65"/>
  <c r="I42" i="65" s="1"/>
  <c r="J42" i="65" s="1"/>
  <c r="H271" i="65"/>
  <c r="I271" i="65" s="1"/>
  <c r="J271" i="65" s="1"/>
  <c r="H255" i="65"/>
  <c r="I255" i="65" s="1"/>
  <c r="J255" i="65" s="1"/>
  <c r="H239" i="65"/>
  <c r="I239" i="65" s="1"/>
  <c r="J239" i="65" s="1"/>
  <c r="H223" i="65"/>
  <c r="I223" i="65" s="1"/>
  <c r="J223" i="65" s="1"/>
  <c r="H274" i="65"/>
  <c r="I274" i="65" s="1"/>
  <c r="J274" i="65" s="1"/>
  <c r="H245" i="65"/>
  <c r="I245" i="65" s="1"/>
  <c r="J245" i="65" s="1"/>
  <c r="H229" i="65"/>
  <c r="I229" i="65" s="1"/>
  <c r="J229" i="65" s="1"/>
  <c r="L229" i="65"/>
  <c r="H213" i="65"/>
  <c r="I213" i="65" s="1"/>
  <c r="J213" i="65" s="1"/>
  <c r="H207" i="65"/>
  <c r="I207" i="65" s="1"/>
  <c r="J207" i="65" s="1"/>
  <c r="H203" i="65"/>
  <c r="I203" i="65" s="1"/>
  <c r="J203" i="65" s="1"/>
  <c r="H199" i="65"/>
  <c r="I199" i="65" s="1"/>
  <c r="J199" i="65" s="1"/>
  <c r="H195" i="65"/>
  <c r="I195" i="65" s="1"/>
  <c r="J195" i="65" s="1"/>
  <c r="H256" i="65"/>
  <c r="I256" i="65" s="1"/>
  <c r="J256" i="65" s="1"/>
  <c r="H219" i="65"/>
  <c r="I219" i="65" s="1"/>
  <c r="J219" i="65" s="1"/>
  <c r="H175" i="65"/>
  <c r="I175" i="65" s="1"/>
  <c r="J175" i="65" s="1"/>
  <c r="H155" i="65"/>
  <c r="I155" i="65" s="1"/>
  <c r="J155" i="65" s="1"/>
  <c r="H268" i="65"/>
  <c r="I268" i="65" s="1"/>
  <c r="J268" i="65" s="1"/>
  <c r="H225" i="65"/>
  <c r="I225" i="65" s="1"/>
  <c r="J225" i="65" s="1"/>
  <c r="H177" i="65"/>
  <c r="I177" i="65" s="1"/>
  <c r="J177" i="65" s="1"/>
  <c r="H240" i="65"/>
  <c r="I240" i="65" s="1"/>
  <c r="J240" i="65" s="1"/>
  <c r="H214" i="65"/>
  <c r="I214" i="65" s="1"/>
  <c r="J214" i="65" s="1"/>
  <c r="H171" i="65"/>
  <c r="I171" i="65" s="1"/>
  <c r="J171" i="65" s="1"/>
  <c r="H169" i="65"/>
  <c r="I169" i="65" s="1"/>
  <c r="J169" i="65" s="1"/>
  <c r="H96" i="65"/>
  <c r="I96" i="65" s="1"/>
  <c r="J96" i="65" s="1"/>
  <c r="H88" i="65"/>
  <c r="I88" i="65" s="1"/>
  <c r="J88" i="65" s="1"/>
  <c r="H80" i="65"/>
  <c r="I80" i="65" s="1"/>
  <c r="J80" i="65" s="1"/>
  <c r="H72" i="65"/>
  <c r="I72" i="65" s="1"/>
  <c r="J72" i="65" s="1"/>
  <c r="H64" i="65"/>
  <c r="I64" i="65" s="1"/>
  <c r="J64" i="65" s="1"/>
  <c r="H56" i="65"/>
  <c r="I56" i="65" s="1"/>
  <c r="J56" i="65" s="1"/>
  <c r="H48" i="65"/>
  <c r="I48" i="65" s="1"/>
  <c r="J48" i="65" s="1"/>
  <c r="H40" i="65"/>
  <c r="I40" i="65" s="1"/>
  <c r="J40" i="65" s="1"/>
  <c r="H32" i="65"/>
  <c r="I32" i="65" s="1"/>
  <c r="J32" i="65" s="1"/>
  <c r="H265" i="65"/>
  <c r="I265" i="65" s="1"/>
  <c r="J265" i="65" s="1"/>
  <c r="H166" i="65"/>
  <c r="I166" i="65" s="1"/>
  <c r="J166" i="65" s="1"/>
  <c r="H241" i="65"/>
  <c r="I241" i="65" s="1"/>
  <c r="J241" i="65" s="1"/>
  <c r="H269" i="65"/>
  <c r="I269" i="65" s="1"/>
  <c r="J269" i="65" s="1"/>
  <c r="H180" i="65"/>
  <c r="I180" i="65" s="1"/>
  <c r="J180" i="65" s="1"/>
  <c r="H160" i="65"/>
  <c r="I160" i="65" s="1"/>
  <c r="J160" i="65" s="1"/>
  <c r="H143" i="65"/>
  <c r="I143" i="65" s="1"/>
  <c r="J143" i="65" s="1"/>
  <c r="H135" i="65"/>
  <c r="I135" i="65" s="1"/>
  <c r="J135" i="65" s="1"/>
  <c r="H127" i="65"/>
  <c r="I127" i="65" s="1"/>
  <c r="J127" i="65" s="1"/>
  <c r="H119" i="65"/>
  <c r="I119" i="65" s="1"/>
  <c r="J119" i="65" s="1"/>
  <c r="H111" i="65"/>
  <c r="I111" i="65" s="1"/>
  <c r="J111" i="65" s="1"/>
  <c r="H103" i="65"/>
  <c r="I103" i="65" s="1"/>
  <c r="J103" i="65" s="1"/>
  <c r="H190" i="65"/>
  <c r="I190" i="65" s="1"/>
  <c r="J190" i="65" s="1"/>
  <c r="H157" i="65"/>
  <c r="I157" i="65" s="1"/>
  <c r="J157" i="65" s="1"/>
  <c r="H164" i="65"/>
  <c r="I164" i="65" s="1"/>
  <c r="J164" i="65" s="1"/>
  <c r="H150" i="65"/>
  <c r="I150" i="65" s="1"/>
  <c r="J150" i="65" s="1"/>
  <c r="H118" i="65"/>
  <c r="I118" i="65" s="1"/>
  <c r="J118" i="65" s="1"/>
  <c r="H86" i="65"/>
  <c r="I86" i="65" s="1"/>
  <c r="J86" i="65" s="1"/>
  <c r="H54" i="65"/>
  <c r="I54" i="65" s="1"/>
  <c r="J54" i="65" s="1"/>
  <c r="H25" i="65"/>
  <c r="I25" i="65" s="1"/>
  <c r="J25" i="65" s="1"/>
  <c r="H120" i="65"/>
  <c r="I120" i="65" s="1"/>
  <c r="J120" i="65" s="1"/>
  <c r="H85" i="65"/>
  <c r="I85" i="65" s="1"/>
  <c r="J85" i="65" s="1"/>
  <c r="H53" i="65"/>
  <c r="I53" i="65" s="1"/>
  <c r="J53" i="65" s="1"/>
  <c r="H130" i="65"/>
  <c r="I130" i="65" s="1"/>
  <c r="J130" i="65" s="1"/>
  <c r="H94" i="65"/>
  <c r="I94" i="65" s="1"/>
  <c r="J94" i="65" s="1"/>
  <c r="H66" i="65"/>
  <c r="I66" i="65" s="1"/>
  <c r="J66" i="65" s="1"/>
  <c r="H34" i="65"/>
  <c r="I34" i="65" s="1"/>
  <c r="J34" i="65" s="1"/>
  <c r="H247" i="65"/>
  <c r="I247" i="65" s="1"/>
  <c r="J247" i="65" s="1"/>
  <c r="H215" i="65"/>
  <c r="I215" i="65" s="1"/>
  <c r="J215" i="65" s="1"/>
  <c r="H237" i="65"/>
  <c r="I237" i="65" s="1"/>
  <c r="J237" i="65" s="1"/>
  <c r="H209" i="65"/>
  <c r="I209" i="65" s="1"/>
  <c r="J209" i="65" s="1"/>
  <c r="H197" i="65"/>
  <c r="I197" i="65" s="1"/>
  <c r="J197" i="65" s="1"/>
  <c r="H244" i="65"/>
  <c r="I244" i="65" s="1"/>
  <c r="J244" i="65" s="1"/>
  <c r="H163" i="65"/>
  <c r="I163" i="65" s="1"/>
  <c r="J163" i="65" s="1"/>
  <c r="H193" i="65"/>
  <c r="I193" i="65" s="1"/>
  <c r="J193" i="65" s="1"/>
  <c r="H222" i="65"/>
  <c r="I222" i="65" s="1"/>
  <c r="J222" i="65" s="1"/>
  <c r="H181" i="65"/>
  <c r="I181" i="65" s="1"/>
  <c r="J181" i="65" s="1"/>
  <c r="H84" i="65"/>
  <c r="I84" i="65" s="1"/>
  <c r="J84" i="65" s="1"/>
  <c r="H259" i="65"/>
  <c r="I259" i="65" s="1"/>
  <c r="J259" i="65" s="1"/>
  <c r="H282" i="65"/>
  <c r="I282" i="65" s="1"/>
  <c r="J282" i="65" s="1"/>
  <c r="H234" i="65"/>
  <c r="I234" i="65" s="1"/>
  <c r="J234" i="65" s="1"/>
  <c r="H208" i="65"/>
  <c r="I208" i="65" s="1"/>
  <c r="J208" i="65" s="1"/>
  <c r="H200" i="65"/>
  <c r="I200" i="65" s="1"/>
  <c r="J200" i="65" s="1"/>
  <c r="H276" i="65"/>
  <c r="I276" i="65" s="1"/>
  <c r="J276" i="65" s="1"/>
  <c r="H183" i="65"/>
  <c r="I183" i="65" s="1"/>
  <c r="J183" i="65" s="1"/>
  <c r="H236" i="65"/>
  <c r="I236" i="65" s="1"/>
  <c r="J236" i="65" s="1"/>
  <c r="H260" i="65"/>
  <c r="I260" i="65" s="1"/>
  <c r="J260" i="65" s="1"/>
  <c r="H179" i="65"/>
  <c r="I179" i="65" s="1"/>
  <c r="J179" i="65" s="1"/>
  <c r="H99" i="65"/>
  <c r="I99" i="65" s="1"/>
  <c r="J99" i="65" s="1"/>
  <c r="H83" i="65"/>
  <c r="I83" i="65" s="1"/>
  <c r="J83" i="65" s="1"/>
  <c r="H59" i="65"/>
  <c r="I59" i="65" s="1"/>
  <c r="J59" i="65" s="1"/>
  <c r="H43" i="65"/>
  <c r="I43" i="65" s="1"/>
  <c r="J43" i="65" s="1"/>
  <c r="H233" i="65"/>
  <c r="I233" i="65" s="1"/>
  <c r="J233" i="65" s="1"/>
  <c r="H186" i="65"/>
  <c r="I186" i="65" s="1"/>
  <c r="J186" i="65" s="1"/>
  <c r="H184" i="65"/>
  <c r="I184" i="65" s="1"/>
  <c r="J184" i="65" s="1"/>
  <c r="H145" i="65"/>
  <c r="I145" i="65" s="1"/>
  <c r="J145" i="65" s="1"/>
  <c r="H129" i="65"/>
  <c r="I129" i="65" s="1"/>
  <c r="J129" i="65" s="1"/>
  <c r="H105" i="65"/>
  <c r="I105" i="65" s="1"/>
  <c r="J105" i="65" s="1"/>
  <c r="H165" i="65"/>
  <c r="I165" i="65" s="1"/>
  <c r="J165" i="65" s="1"/>
  <c r="H152" i="65"/>
  <c r="I152" i="65" s="1"/>
  <c r="J152" i="65" s="1"/>
  <c r="H126" i="65"/>
  <c r="I126" i="65" s="1"/>
  <c r="J126" i="65" s="1"/>
  <c r="H62" i="65"/>
  <c r="I62" i="65" s="1"/>
  <c r="J62" i="65" s="1"/>
  <c r="H128" i="65"/>
  <c r="I128" i="65" s="1"/>
  <c r="J128" i="65" s="1"/>
  <c r="H31" i="65"/>
  <c r="I31" i="65" s="1"/>
  <c r="J31" i="65" s="1"/>
  <c r="H138" i="65"/>
  <c r="I138" i="65" s="1"/>
  <c r="J138" i="65" s="1"/>
  <c r="H283" i="65"/>
  <c r="I283" i="65" s="1"/>
  <c r="J283" i="65" s="1"/>
  <c r="H267" i="65"/>
  <c r="I267" i="65" s="1"/>
  <c r="J267" i="65" s="1"/>
  <c r="H251" i="65"/>
  <c r="I251" i="65" s="1"/>
  <c r="J251" i="65" s="1"/>
  <c r="H235" i="65"/>
  <c r="I235" i="65" s="1"/>
  <c r="J235" i="65" s="1"/>
  <c r="H218" i="65"/>
  <c r="I218" i="65" s="1"/>
  <c r="J218" i="65" s="1"/>
  <c r="H266" i="65"/>
  <c r="I266" i="65" s="1"/>
  <c r="J266" i="65" s="1"/>
  <c r="H242" i="65"/>
  <c r="I242" i="65" s="1"/>
  <c r="J242" i="65" s="1"/>
  <c r="H224" i="65"/>
  <c r="I224" i="65" s="1"/>
  <c r="J224" i="65" s="1"/>
  <c r="H210" i="65"/>
  <c r="I210" i="65" s="1"/>
  <c r="J210" i="65" s="1"/>
  <c r="H206" i="65"/>
  <c r="I206" i="65" s="1"/>
  <c r="J206" i="65" s="1"/>
  <c r="H202" i="65"/>
  <c r="I202" i="65" s="1"/>
  <c r="J202" i="65" s="1"/>
  <c r="H198" i="65"/>
  <c r="I198" i="65" s="1"/>
  <c r="J198" i="65" s="1"/>
  <c r="H194" i="65"/>
  <c r="I194" i="65" s="1"/>
  <c r="J194" i="65" s="1"/>
  <c r="H246" i="65"/>
  <c r="I246" i="65" s="1"/>
  <c r="J246" i="65" s="1"/>
  <c r="H211" i="65"/>
  <c r="I211" i="65" s="1"/>
  <c r="J211" i="65" s="1"/>
  <c r="H167" i="65"/>
  <c r="I167" i="65" s="1"/>
  <c r="J167" i="65" s="1"/>
  <c r="H151" i="65"/>
  <c r="I151" i="65" s="1"/>
  <c r="J151" i="65" s="1"/>
  <c r="H248" i="65"/>
  <c r="I248" i="65" s="1"/>
  <c r="J248" i="65" s="1"/>
  <c r="H217" i="65"/>
  <c r="I217" i="65" s="1"/>
  <c r="J217" i="65" s="1"/>
  <c r="H272" i="65"/>
  <c r="I272" i="65" s="1"/>
  <c r="J272" i="65" s="1"/>
  <c r="H230" i="65"/>
  <c r="I230" i="65" s="1"/>
  <c r="J230" i="65" s="1"/>
  <c r="H212" i="65"/>
  <c r="I212" i="65" s="1"/>
  <c r="J212" i="65" s="1"/>
  <c r="H189" i="65"/>
  <c r="I189" i="65" s="1"/>
  <c r="J189" i="65" s="1"/>
  <c r="H161" i="65"/>
  <c r="I161" i="65" s="1"/>
  <c r="J161" i="65" s="1"/>
  <c r="H95" i="65"/>
  <c r="I95" i="65" s="1"/>
  <c r="J95" i="65" s="1"/>
  <c r="H87" i="65"/>
  <c r="I87" i="65" s="1"/>
  <c r="J87" i="65" s="1"/>
  <c r="H79" i="65"/>
  <c r="I79" i="65" s="1"/>
  <c r="J79" i="65" s="1"/>
  <c r="H71" i="65"/>
  <c r="I71" i="65" s="1"/>
  <c r="J71" i="65" s="1"/>
  <c r="H63" i="65"/>
  <c r="I63" i="65" s="1"/>
  <c r="J63" i="65" s="1"/>
  <c r="H55" i="65"/>
  <c r="I55" i="65" s="1"/>
  <c r="J55" i="65" s="1"/>
  <c r="H47" i="65"/>
  <c r="I47" i="65" s="1"/>
  <c r="J47" i="65" s="1"/>
  <c r="H39" i="65"/>
  <c r="I39" i="65" s="1"/>
  <c r="J39" i="65" s="1"/>
  <c r="H228" i="65"/>
  <c r="I228" i="65" s="1"/>
  <c r="J228" i="65" s="1"/>
  <c r="H154" i="65"/>
  <c r="I154" i="65" s="1"/>
  <c r="J154" i="65" s="1"/>
  <c r="H170" i="65"/>
  <c r="I170" i="65" s="1"/>
  <c r="J170" i="65" s="1"/>
  <c r="H273" i="65"/>
  <c r="I273" i="65" s="1"/>
  <c r="J273" i="65" s="1"/>
  <c r="H277" i="65"/>
  <c r="I277" i="65" s="1"/>
  <c r="J277" i="65" s="1"/>
  <c r="H176" i="65"/>
  <c r="I176" i="65" s="1"/>
  <c r="J176" i="65" s="1"/>
  <c r="H149" i="65"/>
  <c r="I149" i="65" s="1"/>
  <c r="J149" i="65" s="1"/>
  <c r="H141" i="65"/>
  <c r="I141" i="65" s="1"/>
  <c r="J141" i="65" s="1"/>
  <c r="H133" i="65"/>
  <c r="I133" i="65" s="1"/>
  <c r="J133" i="65" s="1"/>
  <c r="H125" i="65"/>
  <c r="I125" i="65" s="1"/>
  <c r="J125" i="65" s="1"/>
  <c r="H117" i="65"/>
  <c r="I117" i="65" s="1"/>
  <c r="J117" i="65" s="1"/>
  <c r="H109" i="65"/>
  <c r="I109" i="65" s="1"/>
  <c r="J109" i="65" s="1"/>
  <c r="H252" i="65"/>
  <c r="I252" i="65" s="1"/>
  <c r="J252" i="65" s="1"/>
  <c r="H182" i="65"/>
  <c r="I182" i="65" s="1"/>
  <c r="J182" i="65" s="1"/>
  <c r="H281" i="65"/>
  <c r="I281" i="65" s="1"/>
  <c r="J281" i="65" s="1"/>
  <c r="H156" i="65"/>
  <c r="I156" i="65" s="1"/>
  <c r="J156" i="65" s="1"/>
  <c r="H142" i="65"/>
  <c r="I142" i="65" s="1"/>
  <c r="J142" i="65" s="1"/>
  <c r="H110" i="65"/>
  <c r="I110" i="65" s="1"/>
  <c r="J110" i="65" s="1"/>
  <c r="H78" i="65"/>
  <c r="I78" i="65" s="1"/>
  <c r="J78" i="65" s="1"/>
  <c r="H46" i="65"/>
  <c r="I46" i="65" s="1"/>
  <c r="J46" i="65" s="1"/>
  <c r="H144" i="65"/>
  <c r="I144" i="65" s="1"/>
  <c r="J144" i="65" s="1"/>
  <c r="H112" i="65"/>
  <c r="I112" i="65" s="1"/>
  <c r="J112" i="65" s="1"/>
  <c r="H77" i="65"/>
  <c r="I77" i="65" s="1"/>
  <c r="J77" i="65" s="1"/>
  <c r="H45" i="65"/>
  <c r="I45" i="65" s="1"/>
  <c r="J45" i="65" s="1"/>
  <c r="H23" i="65"/>
  <c r="I23" i="65" s="1"/>
  <c r="J23" i="65" s="1"/>
  <c r="H122" i="65"/>
  <c r="I122" i="65" s="1"/>
  <c r="J122" i="65" s="1"/>
  <c r="H90" i="65"/>
  <c r="I90" i="65" s="1"/>
  <c r="J90" i="65" s="1"/>
  <c r="H58" i="65"/>
  <c r="I58" i="65" s="1"/>
  <c r="J58" i="65" s="1"/>
  <c r="H76" i="65"/>
  <c r="I76" i="65" s="1"/>
  <c r="J76" i="65" s="1"/>
  <c r="H68" i="65"/>
  <c r="I68" i="65" s="1"/>
  <c r="J68" i="65" s="1"/>
  <c r="H60" i="65"/>
  <c r="I60" i="65" s="1"/>
  <c r="J60" i="65" s="1"/>
  <c r="H52" i="65"/>
  <c r="I52" i="65" s="1"/>
  <c r="J52" i="65" s="1"/>
  <c r="H44" i="65"/>
  <c r="I44" i="65" s="1"/>
  <c r="J44" i="65" s="1"/>
  <c r="H36" i="65"/>
  <c r="I36" i="65" s="1"/>
  <c r="J36" i="65" s="1"/>
  <c r="H257" i="65"/>
  <c r="I257" i="65" s="1"/>
  <c r="J257" i="65" s="1"/>
  <c r="H158" i="65"/>
  <c r="I158" i="65" s="1"/>
  <c r="J158" i="65" s="1"/>
  <c r="H178" i="65"/>
  <c r="I178" i="65" s="1"/>
  <c r="J178" i="65" s="1"/>
  <c r="H253" i="65"/>
  <c r="I253" i="65" s="1"/>
  <c r="J253" i="65" s="1"/>
  <c r="H188" i="65"/>
  <c r="I188" i="65" s="1"/>
  <c r="J188" i="65" s="1"/>
  <c r="H172" i="65"/>
  <c r="I172" i="65" s="1"/>
  <c r="J172" i="65" s="1"/>
  <c r="H147" i="65"/>
  <c r="I147" i="65" s="1"/>
  <c r="J147" i="65" s="1"/>
  <c r="H139" i="65"/>
  <c r="I139" i="65" s="1"/>
  <c r="J139" i="65" s="1"/>
  <c r="H131" i="65"/>
  <c r="I131" i="65" s="1"/>
  <c r="J131" i="65" s="1"/>
  <c r="H123" i="65"/>
  <c r="I123" i="65" s="1"/>
  <c r="J123" i="65" s="1"/>
  <c r="H115" i="65"/>
  <c r="I115" i="65" s="1"/>
  <c r="J115" i="65" s="1"/>
  <c r="H107" i="65"/>
  <c r="I107" i="65" s="1"/>
  <c r="J107" i="65" s="1"/>
  <c r="H249" i="65"/>
  <c r="I249" i="65" s="1"/>
  <c r="J249" i="65" s="1"/>
  <c r="H174" i="65"/>
  <c r="I174" i="65" s="1"/>
  <c r="J174" i="65" s="1"/>
  <c r="H264" i="65"/>
  <c r="I264" i="65" s="1"/>
  <c r="J264" i="65" s="1"/>
  <c r="H153" i="65"/>
  <c r="I153" i="65" s="1"/>
  <c r="J153" i="65" s="1"/>
  <c r="H134" i="65"/>
  <c r="I134" i="65" s="1"/>
  <c r="J134" i="65" s="1"/>
  <c r="H102" i="65"/>
  <c r="I102" i="65" s="1"/>
  <c r="J102" i="65" s="1"/>
  <c r="H70" i="65"/>
  <c r="I70" i="65" s="1"/>
  <c r="J70" i="65" s="1"/>
  <c r="H38" i="65"/>
  <c r="I38" i="65" s="1"/>
  <c r="J38" i="65" s="1"/>
  <c r="H136" i="65"/>
  <c r="I136" i="65" s="1"/>
  <c r="J136" i="65" s="1"/>
  <c r="H104" i="65"/>
  <c r="I104" i="65" s="1"/>
  <c r="J104" i="65" s="1"/>
  <c r="H69" i="65"/>
  <c r="I69" i="65" s="1"/>
  <c r="J69" i="65" s="1"/>
  <c r="H37" i="65"/>
  <c r="I37" i="65" s="1"/>
  <c r="J37" i="65" s="1"/>
  <c r="H146" i="65"/>
  <c r="I146" i="65" s="1"/>
  <c r="J146" i="65" s="1"/>
  <c r="H114" i="65"/>
  <c r="I114" i="65" s="1"/>
  <c r="J114" i="65" s="1"/>
  <c r="H82" i="65"/>
  <c r="I82" i="65" s="1"/>
  <c r="J82" i="65" s="1"/>
  <c r="H50" i="65"/>
  <c r="I50" i="65" s="1"/>
  <c r="J50" i="65" s="1"/>
  <c r="M229" i="65" l="1"/>
  <c r="H32" i="22" l="1"/>
  <c r="H31" i="22"/>
  <c r="H30" i="22"/>
  <c r="H29" i="22"/>
  <c r="H28" i="22"/>
  <c r="H27" i="22"/>
  <c r="H26" i="22"/>
  <c r="H25" i="22"/>
  <c r="H24" i="22"/>
  <c r="H23" i="22"/>
  <c r="H22" i="22"/>
  <c r="H21" i="22"/>
  <c r="H20" i="22"/>
  <c r="H19" i="22"/>
  <c r="H18" i="22"/>
  <c r="H17" i="22"/>
  <c r="H16" i="22"/>
  <c r="H15" i="22"/>
  <c r="H14" i="22"/>
  <c r="G32" i="22"/>
  <c r="G31" i="22"/>
  <c r="G30" i="22"/>
  <c r="G29" i="22"/>
  <c r="G28" i="22"/>
  <c r="G27" i="22"/>
  <c r="G26" i="22"/>
  <c r="G25" i="22"/>
  <c r="G24" i="22"/>
  <c r="G23" i="22"/>
  <c r="G22" i="22"/>
  <c r="G21" i="22"/>
  <c r="G20" i="22"/>
  <c r="G19" i="22"/>
  <c r="G18" i="22"/>
  <c r="G17" i="22"/>
  <c r="G16" i="22"/>
  <c r="G15" i="22"/>
  <c r="G14" i="22"/>
  <c r="G13" i="22"/>
  <c r="G12" i="22"/>
  <c r="G11" i="22"/>
  <c r="G10" i="22"/>
  <c r="G9" i="22"/>
  <c r="W703" i="47" l="1"/>
  <c r="V703" i="47"/>
  <c r="U703" i="47"/>
  <c r="T703" i="47"/>
  <c r="S703" i="47"/>
  <c r="R703" i="47"/>
  <c r="Q703" i="47"/>
  <c r="P703" i="47"/>
  <c r="V753" i="15"/>
  <c r="V752" i="15"/>
  <c r="V751" i="15"/>
  <c r="V750" i="15"/>
  <c r="V749" i="15"/>
  <c r="V748" i="15"/>
  <c r="V747" i="15"/>
  <c r="V746" i="15"/>
  <c r="V745" i="15"/>
  <c r="V744" i="15"/>
  <c r="V743" i="15"/>
  <c r="V742" i="15"/>
  <c r="V741" i="15"/>
  <c r="V740" i="15"/>
  <c r="V739" i="15"/>
  <c r="V738" i="15"/>
  <c r="V737" i="15"/>
  <c r="V736" i="15"/>
  <c r="V735" i="15"/>
  <c r="V734" i="15"/>
  <c r="V733" i="15"/>
  <c r="V732" i="15"/>
  <c r="V731" i="15"/>
  <c r="V730" i="15"/>
  <c r="V729" i="15"/>
  <c r="V728" i="15"/>
  <c r="V727" i="15"/>
  <c r="V726" i="15"/>
  <c r="V725" i="15"/>
  <c r="V724" i="15"/>
  <c r="V723" i="15"/>
  <c r="V722" i="15"/>
  <c r="V721" i="15"/>
  <c r="V720" i="15"/>
  <c r="V719" i="15"/>
  <c r="V718" i="15"/>
  <c r="V717" i="15"/>
  <c r="V716" i="15"/>
  <c r="V715" i="15"/>
  <c r="V714" i="15"/>
  <c r="V713" i="15"/>
  <c r="V712" i="15"/>
  <c r="V711" i="15"/>
  <c r="V710" i="15"/>
  <c r="V709" i="15"/>
  <c r="V708" i="15"/>
  <c r="V707" i="15"/>
  <c r="V706" i="15"/>
  <c r="V705" i="15"/>
  <c r="V704" i="15"/>
  <c r="V703" i="15"/>
  <c r="V702" i="15"/>
  <c r="V701" i="15"/>
  <c r="V700" i="15"/>
  <c r="V699" i="15"/>
  <c r="V698" i="15"/>
  <c r="V697" i="15"/>
  <c r="V696" i="15"/>
  <c r="V695" i="15"/>
  <c r="V694" i="15"/>
  <c r="V693" i="15"/>
  <c r="V692" i="15"/>
  <c r="V691" i="15"/>
  <c r="V690" i="15"/>
  <c r="V689" i="15"/>
  <c r="V688" i="15"/>
  <c r="V687" i="15"/>
  <c r="V686" i="15"/>
  <c r="V685" i="15"/>
  <c r="V684" i="15"/>
  <c r="V683" i="15"/>
  <c r="V682" i="15"/>
  <c r="V681" i="15"/>
  <c r="V680" i="15"/>
  <c r="V679" i="15"/>
  <c r="V678" i="15"/>
  <c r="V677" i="15"/>
  <c r="V676" i="15"/>
  <c r="V675" i="15"/>
  <c r="V674" i="15"/>
  <c r="V673" i="15"/>
  <c r="V672" i="15"/>
  <c r="V671" i="15"/>
  <c r="V670" i="15"/>
  <c r="V669" i="15"/>
  <c r="V668" i="15"/>
  <c r="V667" i="15"/>
  <c r="V666" i="15"/>
  <c r="V665" i="15"/>
  <c r="V664" i="15"/>
  <c r="V663" i="15"/>
  <c r="V662" i="15"/>
  <c r="V661" i="15"/>
  <c r="V660" i="15"/>
  <c r="V659" i="15"/>
  <c r="V658" i="15"/>
  <c r="V657" i="15"/>
  <c r="V656" i="15"/>
  <c r="V655" i="15"/>
  <c r="V654" i="15"/>
  <c r="V653" i="15"/>
  <c r="V652" i="15"/>
  <c r="V651" i="15"/>
  <c r="V650" i="15"/>
  <c r="V649" i="15"/>
  <c r="V648" i="15"/>
  <c r="V647" i="15"/>
  <c r="V646" i="15"/>
  <c r="V645" i="15"/>
  <c r="V644" i="15"/>
  <c r="V643" i="15"/>
  <c r="V642" i="15"/>
  <c r="V641" i="15"/>
  <c r="V640" i="15"/>
  <c r="V639" i="15"/>
  <c r="V638" i="15"/>
  <c r="V637" i="15"/>
  <c r="V636" i="15"/>
  <c r="V635" i="15"/>
  <c r="V634" i="15"/>
  <c r="V633" i="15"/>
  <c r="V632" i="15"/>
  <c r="V631" i="15"/>
  <c r="F36" i="37" s="1"/>
  <c r="V630" i="15"/>
  <c r="V629" i="15"/>
  <c r="V628" i="15"/>
  <c r="V627" i="15"/>
  <c r="V626" i="15"/>
  <c r="V625" i="15"/>
  <c r="V624" i="15"/>
  <c r="V623" i="15"/>
  <c r="Q746" i="15"/>
  <c r="Q745" i="15"/>
  <c r="Q744" i="15"/>
  <c r="Q743" i="15"/>
  <c r="Q742" i="15"/>
  <c r="Q741" i="15"/>
  <c r="Q740" i="15"/>
  <c r="Q739" i="15"/>
  <c r="Q738" i="15"/>
  <c r="Q737" i="15"/>
  <c r="Q736" i="15"/>
  <c r="Q735" i="15"/>
  <c r="Q734" i="15"/>
  <c r="Q733" i="15"/>
  <c r="Q732" i="15"/>
  <c r="Q731" i="15"/>
  <c r="Q730" i="15"/>
  <c r="Q729" i="15"/>
  <c r="Q728" i="15"/>
  <c r="Q727" i="15"/>
  <c r="Q726" i="15"/>
  <c r="Q725" i="15"/>
  <c r="Q724" i="15"/>
  <c r="Q723" i="15"/>
  <c r="Q722" i="15"/>
  <c r="Q721" i="15"/>
  <c r="Q720" i="15"/>
  <c r="Q719" i="15"/>
  <c r="Q718" i="15"/>
  <c r="Q717" i="15"/>
  <c r="Q716" i="15"/>
  <c r="Q715" i="15"/>
  <c r="Q714" i="15"/>
  <c r="Q713" i="15"/>
  <c r="Q712" i="15"/>
  <c r="Q711" i="15"/>
  <c r="Q710" i="15"/>
  <c r="Q709" i="15"/>
  <c r="Q708" i="15"/>
  <c r="Q707" i="15"/>
  <c r="Q706" i="15"/>
  <c r="Q705" i="15"/>
  <c r="Q704" i="15"/>
  <c r="Q703" i="15"/>
  <c r="Q702" i="15"/>
  <c r="Q701" i="15"/>
  <c r="Q700" i="15"/>
  <c r="Q699" i="15"/>
  <c r="Q698" i="15"/>
  <c r="Q697" i="15"/>
  <c r="Q696" i="15"/>
  <c r="Q695" i="15"/>
  <c r="Q694" i="15"/>
  <c r="Q693" i="15"/>
  <c r="Q692" i="15"/>
  <c r="Q691" i="15"/>
  <c r="Q690" i="15"/>
  <c r="Q689" i="15"/>
  <c r="Q688" i="15"/>
  <c r="Q687" i="15"/>
  <c r="Q686" i="15"/>
  <c r="Q685" i="15"/>
  <c r="Q684" i="15"/>
  <c r="Q683" i="15"/>
  <c r="Q682" i="15"/>
  <c r="Q681" i="15"/>
  <c r="Q680" i="15"/>
  <c r="Q679" i="15"/>
  <c r="Q678" i="15"/>
  <c r="Q677" i="15"/>
  <c r="Q676" i="15"/>
  <c r="Q675" i="15"/>
  <c r="Q674" i="15"/>
  <c r="Q673" i="15"/>
  <c r="Q672" i="15"/>
  <c r="Q671" i="15"/>
  <c r="Q670" i="15"/>
  <c r="Q669" i="15"/>
  <c r="Q668" i="15"/>
  <c r="Q667" i="15"/>
  <c r="Q666" i="15"/>
  <c r="Q665" i="15"/>
  <c r="Q664" i="15"/>
  <c r="Q663" i="15"/>
  <c r="Q662" i="15"/>
  <c r="Q661" i="15"/>
  <c r="Q660" i="15"/>
  <c r="Q659" i="15"/>
  <c r="Q658" i="15"/>
  <c r="Q657" i="15"/>
  <c r="Q656" i="15"/>
  <c r="Q655" i="15"/>
  <c r="Q654" i="15"/>
  <c r="Q653" i="15"/>
  <c r="Q652" i="15"/>
  <c r="Q651" i="15"/>
  <c r="Q650" i="15"/>
  <c r="Q649" i="15"/>
  <c r="Q648" i="15"/>
  <c r="Q647" i="15"/>
  <c r="Q646" i="15"/>
  <c r="Q645" i="15"/>
  <c r="Q644" i="15"/>
  <c r="Q643" i="15"/>
  <c r="Q642" i="15"/>
  <c r="Q641" i="15"/>
  <c r="Q640" i="15"/>
  <c r="Q639" i="15"/>
  <c r="Q638" i="15"/>
  <c r="Q637" i="15"/>
  <c r="Q636" i="15"/>
  <c r="Q635" i="15"/>
  <c r="Q634" i="15"/>
  <c r="Q633" i="15"/>
  <c r="Q632" i="15"/>
  <c r="Q631" i="15"/>
  <c r="Q630" i="15"/>
  <c r="Q629" i="15"/>
  <c r="Q628" i="15"/>
  <c r="Q627" i="15"/>
  <c r="Q626" i="15"/>
  <c r="Q625" i="15"/>
  <c r="Q624" i="15"/>
  <c r="Q623" i="15"/>
  <c r="I748" i="15"/>
  <c r="I747" i="15"/>
  <c r="I746" i="15"/>
  <c r="I745" i="15"/>
  <c r="I744" i="15"/>
  <c r="I743" i="15"/>
  <c r="I742" i="15"/>
  <c r="I741" i="15"/>
  <c r="I740" i="15"/>
  <c r="I739" i="15"/>
  <c r="I738" i="15"/>
  <c r="I737" i="15"/>
  <c r="I736" i="15"/>
  <c r="I735" i="15"/>
  <c r="I734" i="15"/>
  <c r="I733" i="15"/>
  <c r="I732" i="15"/>
  <c r="I731" i="15"/>
  <c r="I730" i="15"/>
  <c r="I729" i="15"/>
  <c r="I728" i="15"/>
  <c r="I727" i="15"/>
  <c r="I726" i="15"/>
  <c r="I725" i="15"/>
  <c r="I724" i="15"/>
  <c r="I723" i="15"/>
  <c r="I722" i="15"/>
  <c r="I721" i="15"/>
  <c r="I720" i="15"/>
  <c r="I719" i="15"/>
  <c r="I718" i="15"/>
  <c r="I717" i="15"/>
  <c r="I716" i="15"/>
  <c r="I715" i="15"/>
  <c r="I714" i="15"/>
  <c r="I713" i="15"/>
  <c r="I712" i="15"/>
  <c r="I711" i="15"/>
  <c r="I710" i="15"/>
  <c r="I709" i="15"/>
  <c r="I708" i="15"/>
  <c r="I707" i="15"/>
  <c r="I706" i="15"/>
  <c r="I705" i="15"/>
  <c r="I704" i="15"/>
  <c r="I703" i="15"/>
  <c r="I702" i="15"/>
  <c r="I701" i="15"/>
  <c r="I700" i="15"/>
  <c r="I699" i="15"/>
  <c r="I698" i="15"/>
  <c r="I697" i="15"/>
  <c r="I696" i="15"/>
  <c r="I695" i="15"/>
  <c r="I694" i="15"/>
  <c r="I693" i="15"/>
  <c r="I692" i="15"/>
  <c r="I691" i="15"/>
  <c r="I690" i="15"/>
  <c r="I689" i="15"/>
  <c r="I688" i="15"/>
  <c r="I687" i="15"/>
  <c r="I686" i="15"/>
  <c r="I685" i="15"/>
  <c r="I684" i="15"/>
  <c r="I683" i="15"/>
  <c r="I682" i="15"/>
  <c r="I681" i="15"/>
  <c r="I680" i="15"/>
  <c r="I679" i="15"/>
  <c r="I678" i="15"/>
  <c r="I677" i="15"/>
  <c r="I676" i="15"/>
  <c r="I675" i="15"/>
  <c r="I674" i="15"/>
  <c r="I673" i="15"/>
  <c r="I672" i="15"/>
  <c r="I671" i="15"/>
  <c r="I670" i="15"/>
  <c r="I669" i="15"/>
  <c r="I668" i="15"/>
  <c r="I667" i="15"/>
  <c r="I666" i="15"/>
  <c r="I665" i="15"/>
  <c r="I664" i="15"/>
  <c r="I663" i="15"/>
  <c r="I662" i="15"/>
  <c r="I661" i="15"/>
  <c r="I660" i="15"/>
  <c r="I659" i="15"/>
  <c r="I658" i="15"/>
  <c r="I657" i="15"/>
  <c r="I656" i="15"/>
  <c r="I655" i="15"/>
  <c r="I654" i="15"/>
  <c r="I653" i="15"/>
  <c r="I652" i="15"/>
  <c r="I651" i="15"/>
  <c r="I650" i="15"/>
  <c r="I649" i="15"/>
  <c r="I648" i="15"/>
  <c r="I647" i="15"/>
  <c r="I646" i="15"/>
  <c r="I645" i="15"/>
  <c r="I644" i="15"/>
  <c r="I643" i="15"/>
  <c r="I642" i="15"/>
  <c r="I641" i="15"/>
  <c r="I640" i="15"/>
  <c r="I639" i="15"/>
  <c r="I638" i="15"/>
  <c r="I637" i="15"/>
  <c r="I636" i="15"/>
  <c r="I635" i="15"/>
  <c r="I634" i="15"/>
  <c r="I633" i="15"/>
  <c r="I632" i="15"/>
  <c r="I631" i="15"/>
  <c r="I630" i="15"/>
  <c r="I629" i="15"/>
  <c r="I628" i="15"/>
  <c r="I627" i="15"/>
  <c r="I626" i="15"/>
  <c r="I625" i="15"/>
  <c r="I624" i="15"/>
  <c r="I623" i="15"/>
  <c r="F748" i="15"/>
  <c r="F747" i="15"/>
  <c r="F746" i="15"/>
  <c r="F745" i="15"/>
  <c r="F744" i="15"/>
  <c r="F743" i="15"/>
  <c r="F742" i="15"/>
  <c r="F741" i="15"/>
  <c r="F740" i="15"/>
  <c r="F739" i="15"/>
  <c r="F738" i="15"/>
  <c r="F737" i="15"/>
  <c r="F736" i="15"/>
  <c r="F735" i="15"/>
  <c r="F734" i="15"/>
  <c r="F733" i="15"/>
  <c r="F732" i="15"/>
  <c r="F731" i="15"/>
  <c r="F730" i="15"/>
  <c r="F729" i="15"/>
  <c r="F728" i="15"/>
  <c r="F727" i="15"/>
  <c r="F726" i="15"/>
  <c r="F725" i="15"/>
  <c r="F724" i="15"/>
  <c r="F723" i="15"/>
  <c r="F722" i="15"/>
  <c r="F721" i="15"/>
  <c r="F720" i="15"/>
  <c r="F719" i="15"/>
  <c r="F718" i="15"/>
  <c r="F717" i="15"/>
  <c r="F716" i="15"/>
  <c r="F715" i="15"/>
  <c r="F714" i="15"/>
  <c r="F713" i="15"/>
  <c r="F712" i="15"/>
  <c r="F711" i="15"/>
  <c r="F710" i="15"/>
  <c r="F709" i="15"/>
  <c r="F708" i="15"/>
  <c r="F707" i="15"/>
  <c r="F706" i="15"/>
  <c r="F705" i="15"/>
  <c r="F704" i="15"/>
  <c r="F703" i="15"/>
  <c r="F702" i="15"/>
  <c r="F701" i="15"/>
  <c r="F700" i="15"/>
  <c r="F699" i="15"/>
  <c r="F698" i="15"/>
  <c r="F697" i="15"/>
  <c r="F696" i="15"/>
  <c r="F695" i="15"/>
  <c r="F694" i="15"/>
  <c r="F693" i="15"/>
  <c r="F692" i="15"/>
  <c r="F691" i="15"/>
  <c r="F690" i="15"/>
  <c r="F689" i="15"/>
  <c r="F688" i="15"/>
  <c r="F687" i="15"/>
  <c r="F686" i="15"/>
  <c r="F685" i="15"/>
  <c r="F684" i="15"/>
  <c r="F683" i="15"/>
  <c r="F682" i="15"/>
  <c r="F681" i="15"/>
  <c r="F680" i="15"/>
  <c r="F679" i="15"/>
  <c r="F678" i="15"/>
  <c r="F677" i="15"/>
  <c r="F676" i="15"/>
  <c r="F675" i="15"/>
  <c r="F674" i="15"/>
  <c r="F673" i="15"/>
  <c r="F672" i="15"/>
  <c r="F671" i="15"/>
  <c r="F670" i="15"/>
  <c r="F669" i="15"/>
  <c r="F668" i="15"/>
  <c r="F667" i="15"/>
  <c r="F666" i="15"/>
  <c r="F665" i="15"/>
  <c r="F664" i="15"/>
  <c r="F663" i="15"/>
  <c r="F662" i="15"/>
  <c r="F661" i="15"/>
  <c r="F660" i="15"/>
  <c r="F659" i="15"/>
  <c r="F658" i="15"/>
  <c r="F657" i="15"/>
  <c r="F656" i="15"/>
  <c r="F655" i="15"/>
  <c r="F654" i="15"/>
  <c r="F653" i="15"/>
  <c r="F652" i="15"/>
  <c r="F651" i="15"/>
  <c r="F650" i="15"/>
  <c r="F649" i="15"/>
  <c r="F648" i="15"/>
  <c r="F647" i="15"/>
  <c r="F646" i="15"/>
  <c r="F645" i="15"/>
  <c r="F644" i="15"/>
  <c r="F643" i="15"/>
  <c r="F642" i="15"/>
  <c r="F641" i="15"/>
  <c r="F640" i="15"/>
  <c r="F639" i="15"/>
  <c r="F638" i="15"/>
  <c r="F637" i="15"/>
  <c r="F636" i="15"/>
  <c r="F635" i="15"/>
  <c r="F634" i="15"/>
  <c r="F633" i="15"/>
  <c r="F632" i="15"/>
  <c r="F631" i="15"/>
  <c r="F630" i="15"/>
  <c r="F629" i="15"/>
  <c r="F628" i="15"/>
  <c r="F627" i="15"/>
  <c r="F626" i="15"/>
  <c r="F625" i="15"/>
  <c r="F624" i="15"/>
  <c r="F623" i="15"/>
  <c r="F41" i="37" l="1"/>
  <c r="W702" i="47"/>
  <c r="V702" i="47"/>
  <c r="U702" i="47"/>
  <c r="T702" i="47"/>
  <c r="S702" i="47"/>
  <c r="R702" i="47"/>
  <c r="Q702" i="47"/>
  <c r="P702" i="47"/>
  <c r="W701" i="47"/>
  <c r="AH26" i="1" s="1"/>
  <c r="V701" i="47"/>
  <c r="AG26" i="1" s="1"/>
  <c r="U701" i="47"/>
  <c r="AF26" i="1" s="1"/>
  <c r="T701" i="47"/>
  <c r="AE26" i="1" s="1"/>
  <c r="S701" i="47"/>
  <c r="AD26" i="1" s="1"/>
  <c r="R701" i="47"/>
  <c r="AC26" i="1" s="1"/>
  <c r="Q701" i="47"/>
  <c r="AB26" i="1" s="1"/>
  <c r="P701" i="47"/>
  <c r="AA26" i="1" s="1"/>
  <c r="W700" i="47"/>
  <c r="AH45" i="1" s="1"/>
  <c r="V700" i="47"/>
  <c r="AG45" i="1" s="1"/>
  <c r="U700" i="47"/>
  <c r="AF45" i="1" s="1"/>
  <c r="T700" i="47"/>
  <c r="AE45" i="1" s="1"/>
  <c r="S700" i="47"/>
  <c r="AD45" i="1" s="1"/>
  <c r="R700" i="47"/>
  <c r="AC45" i="1" s="1"/>
  <c r="Q700" i="47"/>
  <c r="AB45" i="1" s="1"/>
  <c r="P700" i="47"/>
  <c r="AA45" i="1" s="1"/>
  <c r="W699" i="47"/>
  <c r="V699" i="47"/>
  <c r="U699" i="47"/>
  <c r="T699" i="47"/>
  <c r="S699" i="47"/>
  <c r="R699" i="47"/>
  <c r="Q699" i="47"/>
  <c r="P699" i="47"/>
  <c r="W698" i="47"/>
  <c r="AH16" i="1" s="1"/>
  <c r="V698" i="47"/>
  <c r="AG16" i="1" s="1"/>
  <c r="U698" i="47"/>
  <c r="AF16" i="1" s="1"/>
  <c r="T698" i="47"/>
  <c r="AE16" i="1" s="1"/>
  <c r="S698" i="47"/>
  <c r="AD16" i="1" s="1"/>
  <c r="R698" i="47"/>
  <c r="AC16" i="1" s="1"/>
  <c r="Q698" i="47"/>
  <c r="AB16" i="1" s="1"/>
  <c r="P698" i="47"/>
  <c r="AA16" i="1" s="1"/>
  <c r="W697" i="47"/>
  <c r="AH31" i="1" s="1"/>
  <c r="V697" i="47"/>
  <c r="AG31" i="1" s="1"/>
  <c r="U697" i="47"/>
  <c r="AF31" i="1" s="1"/>
  <c r="T697" i="47"/>
  <c r="AE31" i="1" s="1"/>
  <c r="S697" i="47"/>
  <c r="AD31" i="1" s="1"/>
  <c r="R697" i="47"/>
  <c r="AC31" i="1" s="1"/>
  <c r="Q697" i="47"/>
  <c r="AB31" i="1" s="1"/>
  <c r="P697" i="47"/>
  <c r="AA31" i="1" s="1"/>
  <c r="W696" i="47"/>
  <c r="AH57" i="1" s="1"/>
  <c r="V696" i="47"/>
  <c r="AG57" i="1" s="1"/>
  <c r="U696" i="47"/>
  <c r="AF57" i="1" s="1"/>
  <c r="T696" i="47"/>
  <c r="AE57" i="1" s="1"/>
  <c r="S696" i="47"/>
  <c r="AD57" i="1" s="1"/>
  <c r="R696" i="47"/>
  <c r="AC57" i="1" s="1"/>
  <c r="Q696" i="47"/>
  <c r="AB57" i="1" s="1"/>
  <c r="P696" i="47"/>
  <c r="AA57" i="1" s="1"/>
  <c r="W695" i="47"/>
  <c r="AH50" i="1" s="1"/>
  <c r="V695" i="47"/>
  <c r="AG50" i="1" s="1"/>
  <c r="U695" i="47"/>
  <c r="AF50" i="1" s="1"/>
  <c r="T695" i="47"/>
  <c r="AE50" i="1" s="1"/>
  <c r="S695" i="47"/>
  <c r="AD50" i="1" s="1"/>
  <c r="R695" i="47"/>
  <c r="AC50" i="1" s="1"/>
  <c r="Q695" i="47"/>
  <c r="AB50" i="1" s="1"/>
  <c r="P695" i="47"/>
  <c r="AA50" i="1" s="1"/>
  <c r="W694" i="47"/>
  <c r="AH33" i="1" s="1"/>
  <c r="V694" i="47"/>
  <c r="AG33" i="1" s="1"/>
  <c r="U694" i="47"/>
  <c r="AF33" i="1" s="1"/>
  <c r="T694" i="47"/>
  <c r="AE33" i="1" s="1"/>
  <c r="S694" i="47"/>
  <c r="AD33" i="1" s="1"/>
  <c r="R694" i="47"/>
  <c r="AC33" i="1" s="1"/>
  <c r="Q694" i="47"/>
  <c r="AB33" i="1" s="1"/>
  <c r="P694" i="47"/>
  <c r="AA33" i="1" s="1"/>
  <c r="W693" i="47"/>
  <c r="AH9" i="1" s="1"/>
  <c r="V693" i="47"/>
  <c r="AG9" i="1" s="1"/>
  <c r="U693" i="47"/>
  <c r="AF9" i="1" s="1"/>
  <c r="T693" i="47"/>
  <c r="AE9" i="1" s="1"/>
  <c r="S693" i="47"/>
  <c r="AD9" i="1" s="1"/>
  <c r="R693" i="47"/>
  <c r="AC9" i="1" s="1"/>
  <c r="Q693" i="47"/>
  <c r="AB9" i="1" s="1"/>
  <c r="P693" i="47"/>
  <c r="AA9" i="1" s="1"/>
  <c r="W692" i="47"/>
  <c r="AH8" i="1" s="1"/>
  <c r="V692" i="47"/>
  <c r="AG8" i="1" s="1"/>
  <c r="U692" i="47"/>
  <c r="AF8" i="1" s="1"/>
  <c r="T692" i="47"/>
  <c r="AE8" i="1" s="1"/>
  <c r="S692" i="47"/>
  <c r="AD8" i="1" s="1"/>
  <c r="R692" i="47"/>
  <c r="AC8" i="1" s="1"/>
  <c r="Q692" i="47"/>
  <c r="AB8" i="1" s="1"/>
  <c r="P692" i="47"/>
  <c r="AA8" i="1" s="1"/>
  <c r="W691" i="47"/>
  <c r="V691" i="47"/>
  <c r="U691" i="47"/>
  <c r="T691" i="47"/>
  <c r="S691" i="47"/>
  <c r="R691" i="47"/>
  <c r="Q691" i="47"/>
  <c r="P691" i="47"/>
  <c r="W690" i="47"/>
  <c r="AH38" i="1" s="1"/>
  <c r="V690" i="47"/>
  <c r="AG38" i="1" s="1"/>
  <c r="U690" i="47"/>
  <c r="AF38" i="1" s="1"/>
  <c r="T690" i="47"/>
  <c r="AE38" i="1" s="1"/>
  <c r="S690" i="47"/>
  <c r="AD38" i="1" s="1"/>
  <c r="R690" i="47"/>
  <c r="AC38" i="1" s="1"/>
  <c r="Q690" i="47"/>
  <c r="AB38" i="1" s="1"/>
  <c r="P690" i="47"/>
  <c r="AA38" i="1" s="1"/>
  <c r="W689" i="47"/>
  <c r="AH25" i="1" s="1"/>
  <c r="V689" i="47"/>
  <c r="AG25" i="1" s="1"/>
  <c r="U689" i="47"/>
  <c r="AF25" i="1" s="1"/>
  <c r="T689" i="47"/>
  <c r="AE25" i="1" s="1"/>
  <c r="S689" i="47"/>
  <c r="AD25" i="1" s="1"/>
  <c r="R689" i="47"/>
  <c r="AC25" i="1" s="1"/>
  <c r="Q689" i="47"/>
  <c r="AB25" i="1" s="1"/>
  <c r="P689" i="47"/>
  <c r="AA25" i="1" s="1"/>
  <c r="W688" i="47"/>
  <c r="AH37" i="1" s="1"/>
  <c r="V688" i="47"/>
  <c r="AG37" i="1" s="1"/>
  <c r="U688" i="47"/>
  <c r="AF37" i="1" s="1"/>
  <c r="T688" i="47"/>
  <c r="AE37" i="1" s="1"/>
  <c r="S688" i="47"/>
  <c r="AD37" i="1" s="1"/>
  <c r="R688" i="47"/>
  <c r="AC37" i="1" s="1"/>
  <c r="Q688" i="47"/>
  <c r="AB37" i="1" s="1"/>
  <c r="P688" i="47"/>
  <c r="AA37" i="1" s="1"/>
  <c r="W687" i="47"/>
  <c r="V687" i="47"/>
  <c r="U687" i="47"/>
  <c r="T687" i="47"/>
  <c r="S687" i="47"/>
  <c r="R687" i="47"/>
  <c r="Q687" i="47"/>
  <c r="P687" i="47"/>
  <c r="W686" i="47"/>
  <c r="V686" i="47"/>
  <c r="U686" i="47"/>
  <c r="T686" i="47"/>
  <c r="S686" i="47"/>
  <c r="R686" i="47"/>
  <c r="Q686" i="47"/>
  <c r="P686" i="47"/>
  <c r="W685" i="47"/>
  <c r="AH30" i="1" s="1"/>
  <c r="V685" i="47"/>
  <c r="AG30" i="1" s="1"/>
  <c r="U685" i="47"/>
  <c r="AF30" i="1" s="1"/>
  <c r="T685" i="47"/>
  <c r="AE30" i="1" s="1"/>
  <c r="S685" i="47"/>
  <c r="AD30" i="1" s="1"/>
  <c r="R685" i="47"/>
  <c r="AC30" i="1" s="1"/>
  <c r="Q685" i="47"/>
  <c r="AB30" i="1" s="1"/>
  <c r="P685" i="47"/>
  <c r="AA30" i="1" s="1"/>
  <c r="W684" i="47"/>
  <c r="AH29" i="1" s="1"/>
  <c r="V684" i="47"/>
  <c r="AG29" i="1" s="1"/>
  <c r="U684" i="47"/>
  <c r="AF29" i="1" s="1"/>
  <c r="T684" i="47"/>
  <c r="AE29" i="1" s="1"/>
  <c r="S684" i="47"/>
  <c r="AD29" i="1" s="1"/>
  <c r="R684" i="47"/>
  <c r="AC29" i="1" s="1"/>
  <c r="Q684" i="47"/>
  <c r="AB29" i="1" s="1"/>
  <c r="P684" i="47"/>
  <c r="AA29" i="1" s="1"/>
  <c r="W683" i="47"/>
  <c r="V683" i="47"/>
  <c r="U683" i="47"/>
  <c r="T683" i="47"/>
  <c r="S683" i="47"/>
  <c r="R683" i="47"/>
  <c r="Q683" i="47"/>
  <c r="P683" i="47"/>
  <c r="W682" i="47"/>
  <c r="AH24" i="1" s="1"/>
  <c r="V682" i="47"/>
  <c r="AG24" i="1" s="1"/>
  <c r="U682" i="47"/>
  <c r="AF24" i="1" s="1"/>
  <c r="T682" i="47"/>
  <c r="AE24" i="1" s="1"/>
  <c r="S682" i="47"/>
  <c r="AD24" i="1" s="1"/>
  <c r="R682" i="47"/>
  <c r="AC24" i="1" s="1"/>
  <c r="Q682" i="47"/>
  <c r="AB24" i="1" s="1"/>
  <c r="P682" i="47"/>
  <c r="AA24" i="1" s="1"/>
  <c r="W681" i="47"/>
  <c r="V681" i="47"/>
  <c r="U681" i="47"/>
  <c r="T681" i="47"/>
  <c r="S681" i="47"/>
  <c r="R681" i="47"/>
  <c r="Q681" i="47"/>
  <c r="P681" i="47"/>
  <c r="W680" i="47"/>
  <c r="AH41" i="1" s="1"/>
  <c r="V680" i="47"/>
  <c r="AG41" i="1" s="1"/>
  <c r="U680" i="47"/>
  <c r="AF41" i="1" s="1"/>
  <c r="T680" i="47"/>
  <c r="AE41" i="1" s="1"/>
  <c r="S680" i="47"/>
  <c r="AD41" i="1" s="1"/>
  <c r="R680" i="47"/>
  <c r="AC41" i="1" s="1"/>
  <c r="Q680" i="47"/>
  <c r="AB41" i="1" s="1"/>
  <c r="P680" i="47"/>
  <c r="AA41" i="1" s="1"/>
  <c r="W679" i="47"/>
  <c r="V679" i="47"/>
  <c r="U679" i="47"/>
  <c r="T679" i="47"/>
  <c r="S679" i="47"/>
  <c r="R679" i="47"/>
  <c r="Q679" i="47"/>
  <c r="P679" i="47"/>
  <c r="W678" i="47" l="1"/>
  <c r="V678" i="47"/>
  <c r="U678" i="47"/>
  <c r="T678" i="47"/>
  <c r="S678" i="47"/>
  <c r="R678" i="47"/>
  <c r="Q678" i="47"/>
  <c r="P678" i="47"/>
  <c r="W677" i="47"/>
  <c r="V677" i="47"/>
  <c r="U677" i="47"/>
  <c r="T677" i="47"/>
  <c r="S677" i="47"/>
  <c r="R677" i="47"/>
  <c r="Q677" i="47"/>
  <c r="P677" i="47"/>
  <c r="W676" i="47"/>
  <c r="V676" i="47"/>
  <c r="U676" i="47"/>
  <c r="T676" i="47"/>
  <c r="S676" i="47"/>
  <c r="R676" i="47"/>
  <c r="Q676" i="47"/>
  <c r="P676" i="47"/>
  <c r="W675" i="47"/>
  <c r="AH36" i="1" s="1"/>
  <c r="V675" i="47"/>
  <c r="AG36" i="1" s="1"/>
  <c r="U675" i="47"/>
  <c r="AF36" i="1" s="1"/>
  <c r="T675" i="47"/>
  <c r="AE36" i="1" s="1"/>
  <c r="S675" i="47"/>
  <c r="AD36" i="1" s="1"/>
  <c r="R675" i="47"/>
  <c r="AC36" i="1" s="1"/>
  <c r="Q675" i="47"/>
  <c r="AB36" i="1" s="1"/>
  <c r="P675" i="47"/>
  <c r="AA36" i="1" s="1"/>
  <c r="W674" i="47"/>
  <c r="AH42" i="1" s="1"/>
  <c r="V674" i="47"/>
  <c r="AG42" i="1" s="1"/>
  <c r="U674" i="47"/>
  <c r="AF42" i="1" s="1"/>
  <c r="T674" i="47"/>
  <c r="AE42" i="1" s="1"/>
  <c r="S674" i="47"/>
  <c r="AD42" i="1" s="1"/>
  <c r="R674" i="47"/>
  <c r="AC42" i="1" s="1"/>
  <c r="Q674" i="47"/>
  <c r="AB42" i="1" s="1"/>
  <c r="P674" i="47"/>
  <c r="AA42" i="1" s="1"/>
  <c r="W673" i="47"/>
  <c r="V673" i="47"/>
  <c r="U673" i="47"/>
  <c r="T673" i="47"/>
  <c r="S673" i="47"/>
  <c r="R673" i="47"/>
  <c r="Q673" i="47"/>
  <c r="P673" i="47"/>
  <c r="W672" i="47"/>
  <c r="V672" i="47"/>
  <c r="U672" i="47"/>
  <c r="T672" i="47"/>
  <c r="S672" i="47"/>
  <c r="R672" i="47"/>
  <c r="Q672" i="47"/>
  <c r="P672" i="47"/>
  <c r="W671" i="47"/>
  <c r="V671" i="47"/>
  <c r="U671" i="47"/>
  <c r="T671" i="47"/>
  <c r="S671" i="47"/>
  <c r="R671" i="47"/>
  <c r="Q671" i="47"/>
  <c r="P671" i="47"/>
  <c r="W670" i="47"/>
  <c r="V670" i="47"/>
  <c r="U670" i="47"/>
  <c r="T670" i="47"/>
  <c r="S670" i="47"/>
  <c r="R670" i="47"/>
  <c r="Q670" i="47"/>
  <c r="P670" i="47"/>
  <c r="W669" i="47"/>
  <c r="AH51" i="1" s="1"/>
  <c r="V669" i="47"/>
  <c r="AG51" i="1" s="1"/>
  <c r="U669" i="47"/>
  <c r="AF51" i="1" s="1"/>
  <c r="T669" i="47"/>
  <c r="AE51" i="1" s="1"/>
  <c r="S669" i="47"/>
  <c r="AD51" i="1" s="1"/>
  <c r="R669" i="47"/>
  <c r="AC51" i="1" s="1"/>
  <c r="Q669" i="47"/>
  <c r="AB51" i="1" s="1"/>
  <c r="P669" i="47"/>
  <c r="AA51" i="1" s="1"/>
  <c r="W668" i="47"/>
  <c r="V668" i="47"/>
  <c r="U668" i="47"/>
  <c r="T668" i="47"/>
  <c r="S668" i="47"/>
  <c r="R668" i="47"/>
  <c r="Q668" i="47"/>
  <c r="P668" i="47"/>
  <c r="W667" i="47"/>
  <c r="V667" i="47"/>
  <c r="U667" i="47"/>
  <c r="T667" i="47"/>
  <c r="S667" i="47"/>
  <c r="R667" i="47"/>
  <c r="Q667" i="47"/>
  <c r="P667" i="47"/>
  <c r="W666" i="47"/>
  <c r="V666" i="47"/>
  <c r="U666" i="47"/>
  <c r="T666" i="47"/>
  <c r="S666" i="47"/>
  <c r="R666" i="47"/>
  <c r="Q666" i="47"/>
  <c r="P666" i="47"/>
  <c r="W665" i="47"/>
  <c r="AH17" i="1" s="1"/>
  <c r="V665" i="47"/>
  <c r="AG17" i="1" s="1"/>
  <c r="U665" i="47"/>
  <c r="AF17" i="1" s="1"/>
  <c r="T665" i="47"/>
  <c r="AE17" i="1" s="1"/>
  <c r="S665" i="47"/>
  <c r="AD17" i="1" s="1"/>
  <c r="R665" i="47"/>
  <c r="AC17" i="1" s="1"/>
  <c r="Q665" i="47"/>
  <c r="AB17" i="1" s="1"/>
  <c r="P665" i="47"/>
  <c r="AA17" i="1" s="1"/>
  <c r="W664" i="47" l="1"/>
  <c r="AH18" i="1" s="1"/>
  <c r="V664" i="47"/>
  <c r="AG18" i="1" s="1"/>
  <c r="U664" i="47"/>
  <c r="AF18" i="1" s="1"/>
  <c r="T664" i="47"/>
  <c r="AE18" i="1" s="1"/>
  <c r="S664" i="47"/>
  <c r="AD18" i="1" s="1"/>
  <c r="R664" i="47"/>
  <c r="Q664" i="47"/>
  <c r="AB18" i="1" s="1"/>
  <c r="P664" i="47"/>
  <c r="AA18" i="1" s="1"/>
  <c r="W663" i="47"/>
  <c r="V663" i="47"/>
  <c r="U663" i="47"/>
  <c r="T663" i="47"/>
  <c r="S663" i="47"/>
  <c r="R663" i="47"/>
  <c r="Q663" i="47"/>
  <c r="P663" i="47"/>
  <c r="W662" i="47"/>
  <c r="V662" i="47"/>
  <c r="U662" i="47"/>
  <c r="T662" i="47"/>
  <c r="S662" i="47"/>
  <c r="R662" i="47"/>
  <c r="Q662" i="47"/>
  <c r="P662" i="47"/>
  <c r="W661" i="47"/>
  <c r="V661" i="47"/>
  <c r="U661" i="47"/>
  <c r="T661" i="47"/>
  <c r="S661" i="47"/>
  <c r="R661" i="47"/>
  <c r="Q661" i="47"/>
  <c r="P661" i="47"/>
  <c r="W660" i="47"/>
  <c r="V660" i="47"/>
  <c r="U660" i="47"/>
  <c r="T660" i="47"/>
  <c r="S660" i="47"/>
  <c r="R660" i="47"/>
  <c r="Q660" i="47"/>
  <c r="P660" i="47"/>
  <c r="W659" i="47"/>
  <c r="V659" i="47"/>
  <c r="U659" i="47"/>
  <c r="T659" i="47"/>
  <c r="S659" i="47"/>
  <c r="R659" i="47"/>
  <c r="Q659" i="47"/>
  <c r="P659" i="47"/>
  <c r="W658" i="47"/>
  <c r="V658" i="47"/>
  <c r="U658" i="47"/>
  <c r="T658" i="47"/>
  <c r="S658" i="47"/>
  <c r="R658" i="47"/>
  <c r="Q658" i="47"/>
  <c r="P658" i="47"/>
  <c r="W657" i="47"/>
  <c r="V657" i="47"/>
  <c r="U657" i="47"/>
  <c r="T657" i="47"/>
  <c r="S657" i="47"/>
  <c r="R657" i="47"/>
  <c r="Q657" i="47"/>
  <c r="P657" i="47"/>
  <c r="W656" i="47"/>
  <c r="V656" i="47"/>
  <c r="U656" i="47"/>
  <c r="T656" i="47"/>
  <c r="S656" i="47"/>
  <c r="R656" i="47"/>
  <c r="Q656" i="47"/>
  <c r="P656" i="47"/>
  <c r="W655" i="47"/>
  <c r="V655" i="47"/>
  <c r="U655" i="47"/>
  <c r="T655" i="47"/>
  <c r="S655" i="47"/>
  <c r="R655" i="47"/>
  <c r="Q655" i="47"/>
  <c r="P655" i="47"/>
  <c r="W654" i="47"/>
  <c r="V654" i="47"/>
  <c r="U654" i="47"/>
  <c r="T654" i="47"/>
  <c r="S654" i="47"/>
  <c r="R654" i="47"/>
  <c r="Q654" i="47"/>
  <c r="P654" i="47"/>
  <c r="W653" i="47"/>
  <c r="V653" i="47"/>
  <c r="U653" i="47"/>
  <c r="T653" i="47"/>
  <c r="S653" i="47"/>
  <c r="R653" i="47"/>
  <c r="Q653" i="47"/>
  <c r="P653" i="47"/>
  <c r="W652" i="47"/>
  <c r="V652" i="47"/>
  <c r="U652" i="47"/>
  <c r="T652" i="47"/>
  <c r="S652" i="47"/>
  <c r="R652" i="47"/>
  <c r="Q652" i="47"/>
  <c r="P652" i="47"/>
  <c r="W651" i="47"/>
  <c r="V651" i="47"/>
  <c r="U651" i="47"/>
  <c r="T651" i="47"/>
  <c r="S651" i="47"/>
  <c r="R651" i="47"/>
  <c r="Q651" i="47"/>
  <c r="P651" i="47"/>
  <c r="W650" i="47"/>
  <c r="V650" i="47"/>
  <c r="U650" i="47"/>
  <c r="T650" i="47"/>
  <c r="S650" i="47"/>
  <c r="R650" i="47"/>
  <c r="Q650" i="47"/>
  <c r="P650" i="47"/>
  <c r="W649" i="47"/>
  <c r="V649" i="47"/>
  <c r="U649" i="47"/>
  <c r="T649" i="47"/>
  <c r="S649" i="47"/>
  <c r="R649" i="47"/>
  <c r="Q649" i="47"/>
  <c r="P649" i="47"/>
  <c r="W648" i="47"/>
  <c r="V648" i="47"/>
  <c r="U648" i="47"/>
  <c r="T648" i="47"/>
  <c r="S648" i="47"/>
  <c r="R648" i="47"/>
  <c r="Q648" i="47"/>
  <c r="P648" i="47"/>
  <c r="W647" i="47"/>
  <c r="V647" i="47"/>
  <c r="U647" i="47"/>
  <c r="T647" i="47"/>
  <c r="S647" i="47"/>
  <c r="R647" i="47"/>
  <c r="Q647" i="47"/>
  <c r="P647" i="47"/>
  <c r="W646" i="47"/>
  <c r="V646" i="47"/>
  <c r="U646" i="47"/>
  <c r="T646" i="47"/>
  <c r="S646" i="47"/>
  <c r="R646" i="47"/>
  <c r="Q646" i="47"/>
  <c r="P646" i="47"/>
  <c r="W645" i="47"/>
  <c r="V645" i="47"/>
  <c r="U645" i="47"/>
  <c r="T645" i="47"/>
  <c r="S645" i="47"/>
  <c r="R645" i="47"/>
  <c r="Q645" i="47"/>
  <c r="P645" i="47"/>
  <c r="W644" i="47"/>
  <c r="V644" i="47"/>
  <c r="U644" i="47"/>
  <c r="T644" i="47"/>
  <c r="S644" i="47"/>
  <c r="R644" i="47"/>
  <c r="Q644" i="47"/>
  <c r="P644" i="47"/>
  <c r="AC18" i="1" l="1"/>
  <c r="W643" i="47"/>
  <c r="V643" i="47"/>
  <c r="U643" i="47"/>
  <c r="T643" i="47"/>
  <c r="S643" i="47"/>
  <c r="R643" i="47"/>
  <c r="Q643" i="47"/>
  <c r="P643" i="47"/>
  <c r="W642" i="47"/>
  <c r="AH22" i="1" s="1"/>
  <c r="V642" i="47"/>
  <c r="AG22" i="1" s="1"/>
  <c r="U642" i="47"/>
  <c r="AF22" i="1" s="1"/>
  <c r="T642" i="47"/>
  <c r="AE22" i="1" s="1"/>
  <c r="S642" i="47"/>
  <c r="AD22" i="1" s="1"/>
  <c r="R642" i="47"/>
  <c r="AC22" i="1" s="1"/>
  <c r="Q642" i="47"/>
  <c r="AB22" i="1" s="1"/>
  <c r="P642" i="47"/>
  <c r="AA22" i="1" s="1"/>
  <c r="W641" i="47"/>
  <c r="V641" i="47"/>
  <c r="U641" i="47"/>
  <c r="T641" i="47"/>
  <c r="S641" i="47"/>
  <c r="R641" i="47"/>
  <c r="Q641" i="47"/>
  <c r="P641" i="47"/>
  <c r="W640" i="47"/>
  <c r="V640" i="47"/>
  <c r="U640" i="47"/>
  <c r="T640" i="47"/>
  <c r="S640" i="47"/>
  <c r="R640" i="47"/>
  <c r="Q640" i="47"/>
  <c r="P640" i="47"/>
  <c r="W639" i="47"/>
  <c r="V639" i="47"/>
  <c r="U639" i="47"/>
  <c r="T639" i="47"/>
  <c r="S639" i="47"/>
  <c r="R639" i="47"/>
  <c r="Q639" i="47"/>
  <c r="P639" i="47"/>
  <c r="W638" i="47"/>
  <c r="AH12" i="1" s="1"/>
  <c r="V638" i="47"/>
  <c r="AG12" i="1" s="1"/>
  <c r="U638" i="47"/>
  <c r="AF12" i="1" s="1"/>
  <c r="T638" i="47"/>
  <c r="AE12" i="1" s="1"/>
  <c r="S638" i="47"/>
  <c r="AD12" i="1" s="1"/>
  <c r="R638" i="47"/>
  <c r="AC12" i="1" s="1"/>
  <c r="Q638" i="47"/>
  <c r="AB12" i="1" s="1"/>
  <c r="P638" i="47"/>
  <c r="AA12" i="1" s="1"/>
  <c r="W637" i="47"/>
  <c r="V637" i="47"/>
  <c r="U637" i="47"/>
  <c r="T637" i="47"/>
  <c r="S637" i="47"/>
  <c r="R637" i="47"/>
  <c r="Q637" i="47"/>
  <c r="P637" i="47"/>
  <c r="W636" i="47"/>
  <c r="V636" i="47"/>
  <c r="U636" i="47"/>
  <c r="T636" i="47"/>
  <c r="S636" i="47"/>
  <c r="R636" i="47"/>
  <c r="Q636" i="47"/>
  <c r="P636" i="47"/>
  <c r="W635" i="47"/>
  <c r="V635" i="47"/>
  <c r="U635" i="47"/>
  <c r="T635" i="47"/>
  <c r="S635" i="47"/>
  <c r="R635" i="47"/>
  <c r="Q635" i="47"/>
  <c r="P635" i="47"/>
  <c r="W634" i="47"/>
  <c r="V634" i="47"/>
  <c r="U634" i="47"/>
  <c r="T634" i="47"/>
  <c r="S634" i="47"/>
  <c r="R634" i="47"/>
  <c r="Q634" i="47"/>
  <c r="P634" i="47"/>
  <c r="W633" i="47"/>
  <c r="V633" i="47"/>
  <c r="U633" i="47"/>
  <c r="T633" i="47"/>
  <c r="S633" i="47"/>
  <c r="R633" i="47"/>
  <c r="Q633" i="47"/>
  <c r="P633" i="47"/>
  <c r="W632" i="47"/>
  <c r="V632" i="47"/>
  <c r="U632" i="47"/>
  <c r="T632" i="47"/>
  <c r="S632" i="47"/>
  <c r="R632" i="47"/>
  <c r="Q632" i="47"/>
  <c r="P632" i="47"/>
  <c r="W631" i="47"/>
  <c r="V631" i="47"/>
  <c r="U631" i="47"/>
  <c r="T631" i="47"/>
  <c r="S631" i="47"/>
  <c r="R631" i="47"/>
  <c r="Q631" i="47"/>
  <c r="P631" i="47"/>
  <c r="W630" i="47"/>
  <c r="V630" i="47"/>
  <c r="U630" i="47"/>
  <c r="T630" i="47"/>
  <c r="S630" i="47"/>
  <c r="R630" i="47"/>
  <c r="Q630" i="47"/>
  <c r="P630" i="47"/>
  <c r="W629" i="47"/>
  <c r="V629" i="47"/>
  <c r="U629" i="47"/>
  <c r="T629" i="47"/>
  <c r="S629" i="47"/>
  <c r="R629" i="47"/>
  <c r="Q629" i="47"/>
  <c r="P629" i="47"/>
  <c r="W628" i="47"/>
  <c r="V628" i="47"/>
  <c r="U628" i="47"/>
  <c r="T628" i="47"/>
  <c r="S628" i="47"/>
  <c r="R628" i="47"/>
  <c r="Q628" i="47"/>
  <c r="P628" i="47"/>
  <c r="W627" i="47"/>
  <c r="V627" i="47"/>
  <c r="U627" i="47"/>
  <c r="T627" i="47"/>
  <c r="S627" i="47"/>
  <c r="R627" i="47"/>
  <c r="Q627" i="47"/>
  <c r="P627" i="47"/>
  <c r="W626" i="47"/>
  <c r="V626" i="47"/>
  <c r="U626" i="47"/>
  <c r="T626" i="47"/>
  <c r="S626" i="47"/>
  <c r="R626" i="47"/>
  <c r="Q626" i="47"/>
  <c r="P626" i="47"/>
  <c r="W625" i="47"/>
  <c r="V625" i="47"/>
  <c r="U625" i="47"/>
  <c r="T625" i="47"/>
  <c r="S625" i="47"/>
  <c r="R625" i="47"/>
  <c r="Q625" i="47"/>
  <c r="P625" i="47"/>
  <c r="W624" i="47"/>
  <c r="V624" i="47"/>
  <c r="U624" i="47"/>
  <c r="T624" i="47"/>
  <c r="S624" i="47"/>
  <c r="R624" i="47"/>
  <c r="Q624" i="47"/>
  <c r="P624" i="47"/>
  <c r="W623" i="47"/>
  <c r="V623" i="47"/>
  <c r="U623" i="47"/>
  <c r="T623" i="47"/>
  <c r="S623" i="47"/>
  <c r="R623" i="47"/>
  <c r="Q623" i="47"/>
  <c r="P623" i="47"/>
  <c r="W622" i="47"/>
  <c r="V622" i="47"/>
  <c r="U622" i="47"/>
  <c r="T622" i="47"/>
  <c r="S622" i="47"/>
  <c r="R622" i="47"/>
  <c r="Q622" i="47"/>
  <c r="P622" i="47"/>
  <c r="W621" i="47"/>
  <c r="V621" i="47"/>
  <c r="U621" i="47"/>
  <c r="T621" i="47"/>
  <c r="S621" i="47"/>
  <c r="R621" i="47"/>
  <c r="Q621" i="47"/>
  <c r="P621" i="47"/>
  <c r="W620" i="47"/>
  <c r="V620" i="47"/>
  <c r="U620" i="47"/>
  <c r="T620" i="47"/>
  <c r="S620" i="47"/>
  <c r="R620" i="47"/>
  <c r="Q620" i="47"/>
  <c r="P620" i="47"/>
  <c r="AA13" i="1" l="1"/>
  <c r="AE13" i="1"/>
  <c r="AB13" i="1"/>
  <c r="AF13" i="1"/>
  <c r="AC13" i="1"/>
  <c r="AG13" i="1"/>
  <c r="AD13" i="1"/>
  <c r="AH13" i="1"/>
  <c r="W619" i="47"/>
  <c r="V619" i="47"/>
  <c r="U619" i="47"/>
  <c r="T619" i="47"/>
  <c r="S619" i="47"/>
  <c r="R619" i="47"/>
  <c r="Q619" i="47"/>
  <c r="P619" i="47"/>
  <c r="W618" i="47"/>
  <c r="V618" i="47"/>
  <c r="U618" i="47"/>
  <c r="T618" i="47"/>
  <c r="S618" i="47"/>
  <c r="R618" i="47"/>
  <c r="Q618" i="47"/>
  <c r="P618" i="47"/>
  <c r="W617" i="47"/>
  <c r="V617" i="47"/>
  <c r="U617" i="47"/>
  <c r="T617" i="47"/>
  <c r="S617" i="47"/>
  <c r="R617" i="47"/>
  <c r="Q617" i="47"/>
  <c r="P617" i="47"/>
  <c r="W616" i="47"/>
  <c r="V616" i="47"/>
  <c r="U616" i="47"/>
  <c r="T616" i="47"/>
  <c r="S616" i="47"/>
  <c r="R616" i="47"/>
  <c r="Q616" i="47"/>
  <c r="P616" i="47"/>
  <c r="W615" i="47"/>
  <c r="V615" i="47"/>
  <c r="U615" i="47"/>
  <c r="T615" i="47"/>
  <c r="S615" i="47"/>
  <c r="R615" i="47"/>
  <c r="Q615" i="47"/>
  <c r="P615" i="47"/>
  <c r="W614" i="47"/>
  <c r="V614" i="47"/>
  <c r="U614" i="47"/>
  <c r="T614" i="47"/>
  <c r="S614" i="47"/>
  <c r="R614" i="47"/>
  <c r="Q614" i="47"/>
  <c r="P614" i="47"/>
  <c r="W613" i="47"/>
  <c r="V613" i="47"/>
  <c r="U613" i="47"/>
  <c r="T613" i="47"/>
  <c r="S613" i="47"/>
  <c r="R613" i="47"/>
  <c r="Q613" i="47"/>
  <c r="P613" i="47"/>
  <c r="W612" i="47"/>
  <c r="V612" i="47"/>
  <c r="U612" i="47"/>
  <c r="T612" i="47"/>
  <c r="S612" i="47"/>
  <c r="R612" i="47"/>
  <c r="Q612" i="47"/>
  <c r="P612" i="47"/>
  <c r="W611" i="47"/>
  <c r="V611" i="47"/>
  <c r="U611" i="47"/>
  <c r="T611" i="47"/>
  <c r="S611" i="47"/>
  <c r="R611" i="47"/>
  <c r="Q611" i="47"/>
  <c r="P611" i="47"/>
  <c r="W610" i="47"/>
  <c r="V610" i="47"/>
  <c r="U610" i="47"/>
  <c r="T610" i="47"/>
  <c r="S610" i="47"/>
  <c r="R610" i="47"/>
  <c r="Q610" i="47"/>
  <c r="P610" i="47"/>
  <c r="W609" i="47"/>
  <c r="V609" i="47"/>
  <c r="U609" i="47"/>
  <c r="T609" i="47"/>
  <c r="S609" i="47"/>
  <c r="R609" i="47"/>
  <c r="Q609" i="47"/>
  <c r="P609" i="47"/>
  <c r="W608" i="47"/>
  <c r="V608" i="47"/>
  <c r="U608" i="47"/>
  <c r="T608" i="47"/>
  <c r="S608" i="47"/>
  <c r="R608" i="47"/>
  <c r="Q608" i="47"/>
  <c r="P608" i="47"/>
  <c r="W607" i="47"/>
  <c r="V607" i="47"/>
  <c r="U607" i="47"/>
  <c r="T607" i="47"/>
  <c r="S607" i="47"/>
  <c r="R607" i="47"/>
  <c r="Q607" i="47"/>
  <c r="P607" i="47"/>
  <c r="W606" i="47"/>
  <c r="V606" i="47"/>
  <c r="U606" i="47"/>
  <c r="T606" i="47"/>
  <c r="S606" i="47"/>
  <c r="R606" i="47"/>
  <c r="Q606" i="47"/>
  <c r="P606" i="47"/>
  <c r="W605" i="47"/>
  <c r="V605" i="47"/>
  <c r="U605" i="47"/>
  <c r="T605" i="47"/>
  <c r="S605" i="47"/>
  <c r="R605" i="47"/>
  <c r="Q605" i="47"/>
  <c r="P605" i="47"/>
  <c r="W604" i="47"/>
  <c r="V604" i="47"/>
  <c r="U604" i="47"/>
  <c r="T604" i="47"/>
  <c r="S604" i="47"/>
  <c r="R604" i="47"/>
  <c r="Q604" i="47"/>
  <c r="P604" i="47"/>
  <c r="W603" i="47"/>
  <c r="V603" i="47"/>
  <c r="U603" i="47"/>
  <c r="T603" i="47"/>
  <c r="S603" i="47"/>
  <c r="R603" i="47"/>
  <c r="Q603" i="47"/>
  <c r="P603" i="47"/>
  <c r="H32" i="50" l="1"/>
  <c r="H31" i="50"/>
  <c r="H30" i="50"/>
  <c r="H29" i="50"/>
  <c r="H28" i="50"/>
  <c r="H27" i="50"/>
  <c r="H26" i="50"/>
  <c r="H25" i="50"/>
  <c r="H24" i="50"/>
  <c r="H23" i="50"/>
  <c r="H22" i="50"/>
  <c r="H21" i="50"/>
  <c r="H20" i="50"/>
  <c r="H19" i="50"/>
  <c r="H18" i="50"/>
  <c r="H17" i="50"/>
  <c r="H16" i="50"/>
  <c r="H15" i="50"/>
  <c r="H14" i="50"/>
  <c r="H13" i="50"/>
  <c r="H12" i="50"/>
  <c r="H11" i="50"/>
  <c r="H10" i="50"/>
  <c r="H9" i="50"/>
  <c r="H8" i="50"/>
  <c r="M15" i="42"/>
  <c r="B56" i="66" s="1"/>
  <c r="G32" i="50"/>
  <c r="G30" i="50"/>
  <c r="G29" i="50"/>
  <c r="G28" i="50"/>
  <c r="G26" i="50"/>
  <c r="G25" i="50"/>
  <c r="G24" i="50"/>
  <c r="G22" i="50"/>
  <c r="G21" i="50"/>
  <c r="G20" i="50"/>
  <c r="G18" i="50"/>
  <c r="G17" i="50"/>
  <c r="G16" i="50"/>
  <c r="G14" i="50"/>
  <c r="G13" i="50"/>
  <c r="G12" i="50"/>
  <c r="G11" i="50"/>
  <c r="G10" i="50"/>
  <c r="G9" i="50"/>
  <c r="F8" i="50"/>
  <c r="R4" i="50"/>
  <c r="I4" i="50"/>
  <c r="CE2" i="50"/>
  <c r="CE5" i="50" s="1" a="1"/>
  <c r="CD2" i="50"/>
  <c r="CD5" i="50" s="1" a="1"/>
  <c r="CC2" i="50"/>
  <c r="CC5" i="50" s="1" a="1"/>
  <c r="CB2" i="50"/>
  <c r="CB5" i="50" s="1" a="1"/>
  <c r="CA2" i="50"/>
  <c r="CA5" i="50" s="1" a="1"/>
  <c r="BZ2" i="50"/>
  <c r="BZ5" i="50" s="1" a="1"/>
  <c r="BY2" i="50"/>
  <c r="BY5" i="50" s="1" a="1"/>
  <c r="BX2" i="50"/>
  <c r="BX5" i="50" s="1" a="1"/>
  <c r="BW2" i="50"/>
  <c r="BW5" i="50" s="1" a="1"/>
  <c r="BV2" i="50"/>
  <c r="BV5" i="50" s="1" a="1"/>
  <c r="BU2" i="50"/>
  <c r="BU5" i="50" s="1" a="1"/>
  <c r="BT2" i="50"/>
  <c r="BT5" i="50" s="1" a="1"/>
  <c r="BS2" i="50"/>
  <c r="BS5" i="50" s="1" a="1"/>
  <c r="BR2" i="50"/>
  <c r="BR5" i="50" s="1" a="1"/>
  <c r="BQ2" i="50"/>
  <c r="BQ5" i="50" s="1" a="1"/>
  <c r="BP2" i="50"/>
  <c r="BP5" i="50" s="1" a="1"/>
  <c r="BO2" i="50"/>
  <c r="BO5" i="50" s="1" a="1"/>
  <c r="BN2" i="50"/>
  <c r="BN5" i="50" s="1" a="1"/>
  <c r="BM2" i="50"/>
  <c r="BM5" i="50" s="1" a="1"/>
  <c r="BL2" i="50"/>
  <c r="BL5" i="50" s="1" a="1"/>
  <c r="BK2" i="50"/>
  <c r="BK5" i="50" s="1" a="1"/>
  <c r="BJ2" i="50"/>
  <c r="BJ5" i="50" s="1" a="1"/>
  <c r="BI2" i="50"/>
  <c r="BI5" i="50" s="1" a="1"/>
  <c r="BH2" i="50"/>
  <c r="BH5" i="50" s="1" a="1"/>
  <c r="BG2" i="50"/>
  <c r="BG5" i="50" s="1" a="1"/>
  <c r="BF2" i="50"/>
  <c r="BF5" i="50" s="1" a="1"/>
  <c r="BE2" i="50"/>
  <c r="BE5" i="50" s="1" a="1"/>
  <c r="BD2" i="50"/>
  <c r="BD5" i="50" s="1" a="1"/>
  <c r="BC2" i="50"/>
  <c r="BC5" i="50" s="1" a="1"/>
  <c r="BB2" i="50"/>
  <c r="BB5" i="50" s="1" a="1"/>
  <c r="BA2" i="50"/>
  <c r="BA5" i="50" s="1" a="1"/>
  <c r="AZ2" i="50"/>
  <c r="AZ5" i="50" s="1" a="1"/>
  <c r="AY2" i="50"/>
  <c r="AY5" i="50" s="1" a="1"/>
  <c r="AX2" i="50"/>
  <c r="AX5" i="50" s="1" a="1"/>
  <c r="AW2" i="50"/>
  <c r="AW5" i="50" s="1" a="1"/>
  <c r="AV2" i="50"/>
  <c r="AV5" i="50" s="1" a="1"/>
  <c r="AU2" i="50"/>
  <c r="AU5" i="50" s="1" a="1"/>
  <c r="AT2" i="50"/>
  <c r="AT5" i="50" s="1" a="1"/>
  <c r="AS2" i="50"/>
  <c r="AS5" i="50" s="1" a="1"/>
  <c r="AR2" i="50"/>
  <c r="AR5" i="50" s="1" a="1"/>
  <c r="AQ2" i="50"/>
  <c r="AQ5" i="50" s="1" a="1"/>
  <c r="AP2" i="50"/>
  <c r="AP5" i="50" s="1" a="1"/>
  <c r="AO2" i="50"/>
  <c r="AO5" i="50" s="1" a="1"/>
  <c r="AN2" i="50"/>
  <c r="AN5" i="50" s="1" a="1"/>
  <c r="AM2" i="50"/>
  <c r="AM5" i="50" s="1" a="1"/>
  <c r="AL2" i="50"/>
  <c r="AL5" i="50" s="1" a="1"/>
  <c r="AK2" i="50"/>
  <c r="AK5" i="50" s="1" a="1"/>
  <c r="AJ2" i="50"/>
  <c r="AJ5" i="50" s="1" a="1"/>
  <c r="AI2" i="50"/>
  <c r="AI5" i="50" s="1" a="1"/>
  <c r="AH2" i="50"/>
  <c r="AH5" i="50" s="1" a="1"/>
  <c r="AG2" i="50"/>
  <c r="AG5" i="50" s="1" a="1"/>
  <c r="AF2" i="50"/>
  <c r="AF5" i="50" s="1" a="1"/>
  <c r="AE2" i="50"/>
  <c r="AE5" i="50" s="1" a="1"/>
  <c r="AD2" i="50"/>
  <c r="AD5" i="50" s="1" a="1"/>
  <c r="AC2" i="50"/>
  <c r="AC5" i="50" s="1" a="1"/>
  <c r="AB2" i="50"/>
  <c r="AB5" i="50" s="1" a="1"/>
  <c r="AA2" i="50"/>
  <c r="AA5" i="50" s="1" a="1"/>
  <c r="Z2" i="50"/>
  <c r="Z5" i="50" s="1" a="1"/>
  <c r="Y2" i="50"/>
  <c r="Y5" i="50" s="1" a="1"/>
  <c r="X2" i="50"/>
  <c r="X5" i="50" s="1" a="1"/>
  <c r="W2" i="50"/>
  <c r="W5" i="50" s="1" a="1"/>
  <c r="V2" i="50"/>
  <c r="V5" i="50" s="1" a="1"/>
  <c r="U2" i="50"/>
  <c r="U5" i="50" s="1" a="1"/>
  <c r="T2" i="50"/>
  <c r="T5" i="50" s="1" a="1"/>
  <c r="S2" i="50"/>
  <c r="S5" i="50" s="1" a="1"/>
  <c r="R2" i="50"/>
  <c r="R5" i="50" s="1" a="1"/>
  <c r="CE1" i="50"/>
  <c r="CD1" i="50"/>
  <c r="CC1" i="50"/>
  <c r="CB1" i="50"/>
  <c r="CA1" i="50"/>
  <c r="BZ1" i="50"/>
  <c r="BY1" i="50"/>
  <c r="BX1" i="50"/>
  <c r="BW1" i="50"/>
  <c r="BV1" i="50"/>
  <c r="BU1" i="50"/>
  <c r="BT1" i="50"/>
  <c r="BS1" i="50"/>
  <c r="BR1" i="50"/>
  <c r="BQ1" i="50"/>
  <c r="BP1" i="50"/>
  <c r="BO1" i="50"/>
  <c r="BN1" i="50"/>
  <c r="BM1" i="50"/>
  <c r="BL1" i="50"/>
  <c r="BK1" i="50"/>
  <c r="BJ1" i="50"/>
  <c r="BI1" i="50"/>
  <c r="BH1" i="50"/>
  <c r="BG1" i="50"/>
  <c r="BF1" i="50"/>
  <c r="BE1" i="50"/>
  <c r="BD1" i="50"/>
  <c r="BC1" i="50"/>
  <c r="BB1" i="50"/>
  <c r="BA1" i="50"/>
  <c r="AZ1" i="50"/>
  <c r="AY1" i="50"/>
  <c r="AX1" i="50"/>
  <c r="AW1" i="50"/>
  <c r="AV1" i="50"/>
  <c r="AU1" i="50"/>
  <c r="AT1" i="50"/>
  <c r="AS1" i="50"/>
  <c r="AR1" i="50"/>
  <c r="AQ1" i="50"/>
  <c r="AP1" i="50"/>
  <c r="AO1" i="50"/>
  <c r="AN1" i="50"/>
  <c r="AM1" i="50"/>
  <c r="AL1" i="50"/>
  <c r="AK1" i="50"/>
  <c r="AJ1" i="50"/>
  <c r="AI1" i="50"/>
  <c r="AH1" i="50"/>
  <c r="AG1" i="50"/>
  <c r="AF1" i="50"/>
  <c r="AE1" i="50"/>
  <c r="AD1" i="50"/>
  <c r="AC1" i="50"/>
  <c r="AB1" i="50"/>
  <c r="AA1" i="50"/>
  <c r="Z1" i="50"/>
  <c r="Y1" i="50"/>
  <c r="X1" i="50"/>
  <c r="W1" i="50"/>
  <c r="V1" i="50"/>
  <c r="U1" i="50"/>
  <c r="T1" i="50"/>
  <c r="S1" i="50"/>
  <c r="R1" i="50"/>
  <c r="I52" i="50" l="1"/>
  <c r="J52" i="50" s="1"/>
  <c r="I51" i="50"/>
  <c r="J51" i="50" s="1"/>
  <c r="I47" i="50"/>
  <c r="J47" i="50" s="1"/>
  <c r="I46" i="50"/>
  <c r="J46" i="50" s="1"/>
  <c r="I49" i="50"/>
  <c r="J49" i="50" s="1"/>
  <c r="I48" i="50"/>
  <c r="J48" i="50" s="1"/>
  <c r="I50" i="50"/>
  <c r="J50" i="50" s="1"/>
  <c r="I45" i="50"/>
  <c r="J45" i="50" s="1"/>
  <c r="I34" i="50"/>
  <c r="J34" i="50" s="1"/>
  <c r="I44" i="50"/>
  <c r="J44" i="50" s="1"/>
  <c r="I42" i="50"/>
  <c r="J42" i="50" s="1"/>
  <c r="I40" i="50"/>
  <c r="J40" i="50" s="1"/>
  <c r="I36" i="50"/>
  <c r="J36" i="50" s="1"/>
  <c r="I43" i="50"/>
  <c r="J43" i="50" s="1"/>
  <c r="I41" i="50"/>
  <c r="J41" i="50" s="1"/>
  <c r="I37" i="50"/>
  <c r="J37" i="50" s="1"/>
  <c r="I33" i="50"/>
  <c r="J33" i="50" s="1"/>
  <c r="I39" i="50"/>
  <c r="J39" i="50" s="1"/>
  <c r="I38" i="50"/>
  <c r="J38" i="50" s="1"/>
  <c r="I35" i="50"/>
  <c r="J35" i="50" s="1"/>
  <c r="N4" i="26"/>
  <c r="G15" i="50"/>
  <c r="G19" i="50"/>
  <c r="G23" i="50"/>
  <c r="G27" i="50"/>
  <c r="G31" i="50"/>
  <c r="G8" i="50"/>
  <c r="M14" i="42"/>
  <c r="L52" i="50" l="1"/>
  <c r="K52" i="50"/>
  <c r="M52" i="50" s="1"/>
  <c r="L51" i="50"/>
  <c r="K51" i="50"/>
  <c r="M51" i="50" s="1"/>
  <c r="L47" i="50"/>
  <c r="K47" i="50"/>
  <c r="M47" i="50" s="1"/>
  <c r="K46" i="50"/>
  <c r="M46" i="50" s="1"/>
  <c r="L46" i="50"/>
  <c r="L49" i="50"/>
  <c r="K49" i="50"/>
  <c r="M49" i="50" s="1"/>
  <c r="K48" i="50"/>
  <c r="M48" i="50" s="1"/>
  <c r="L48" i="50"/>
  <c r="K50" i="50"/>
  <c r="M50" i="50" s="1"/>
  <c r="L50" i="50"/>
  <c r="L45" i="50"/>
  <c r="K45" i="50"/>
  <c r="M45" i="50" s="1"/>
  <c r="K34" i="50"/>
  <c r="M34" i="50" s="1"/>
  <c r="L34" i="50"/>
  <c r="L44" i="50"/>
  <c r="K44" i="50"/>
  <c r="M44" i="50" s="1"/>
  <c r="L42" i="50"/>
  <c r="K42" i="50"/>
  <c r="M42" i="50" s="1"/>
  <c r="L40" i="50"/>
  <c r="K40" i="50"/>
  <c r="M40" i="50" s="1"/>
  <c r="K36" i="50"/>
  <c r="M36" i="50" s="1"/>
  <c r="L36" i="50"/>
  <c r="K43" i="50"/>
  <c r="M43" i="50" s="1"/>
  <c r="L43" i="50"/>
  <c r="K41" i="50"/>
  <c r="M41" i="50" s="1"/>
  <c r="L41" i="50"/>
  <c r="L37" i="50"/>
  <c r="K37" i="50"/>
  <c r="M37" i="50" s="1"/>
  <c r="L33" i="50"/>
  <c r="K33" i="50"/>
  <c r="M33" i="50" s="1"/>
  <c r="L39" i="50"/>
  <c r="K39" i="50"/>
  <c r="M39" i="50" s="1"/>
  <c r="L38" i="50"/>
  <c r="K38" i="50"/>
  <c r="M38" i="50" s="1"/>
  <c r="K35" i="50"/>
  <c r="M35" i="50" s="1"/>
  <c r="L35" i="50"/>
  <c r="F4" i="50"/>
  <c r="G32" i="26"/>
  <c r="G31" i="26"/>
  <c r="G30" i="26"/>
  <c r="G29" i="26"/>
  <c r="G28" i="26"/>
  <c r="G27" i="26"/>
  <c r="G26" i="26"/>
  <c r="G25" i="26"/>
  <c r="G24" i="26"/>
  <c r="G23" i="26"/>
  <c r="G22" i="26"/>
  <c r="G21" i="26"/>
  <c r="G20" i="26"/>
  <c r="G19" i="26"/>
  <c r="G18" i="26"/>
  <c r="G17" i="26"/>
  <c r="G16" i="26"/>
  <c r="G15" i="26"/>
  <c r="G14" i="26"/>
  <c r="G13" i="26"/>
  <c r="G12" i="26"/>
  <c r="G11" i="26"/>
  <c r="G10" i="26"/>
  <c r="G9" i="26"/>
  <c r="G8" i="26" l="1"/>
  <c r="W602" i="47"/>
  <c r="V602" i="47"/>
  <c r="U602" i="47"/>
  <c r="T602" i="47"/>
  <c r="S602" i="47"/>
  <c r="R602" i="47"/>
  <c r="Q602" i="47"/>
  <c r="P602" i="47"/>
  <c r="W601" i="47"/>
  <c r="V601" i="47"/>
  <c r="U601" i="47"/>
  <c r="T601" i="47"/>
  <c r="S601" i="47"/>
  <c r="R601" i="47"/>
  <c r="Q601" i="47"/>
  <c r="P601" i="47"/>
  <c r="W600" i="47"/>
  <c r="V600" i="47"/>
  <c r="U600" i="47"/>
  <c r="T600" i="47"/>
  <c r="S600" i="47"/>
  <c r="R600" i="47"/>
  <c r="Q600" i="47"/>
  <c r="P600" i="47"/>
  <c r="W599" i="47"/>
  <c r="V599" i="47"/>
  <c r="U599" i="47"/>
  <c r="T599" i="47"/>
  <c r="S599" i="47"/>
  <c r="R599" i="47"/>
  <c r="Q599" i="47"/>
  <c r="P599" i="47"/>
  <c r="W598" i="47"/>
  <c r="V598" i="47"/>
  <c r="U598" i="47"/>
  <c r="T598" i="47"/>
  <c r="S598" i="47"/>
  <c r="R598" i="47"/>
  <c r="Q598" i="47"/>
  <c r="P598" i="47"/>
  <c r="W597" i="47"/>
  <c r="V597" i="47"/>
  <c r="U597" i="47"/>
  <c r="T597" i="47"/>
  <c r="S597" i="47"/>
  <c r="R597" i="47"/>
  <c r="Q597" i="47"/>
  <c r="P597" i="47"/>
  <c r="W596" i="47"/>
  <c r="V596" i="47"/>
  <c r="U596" i="47"/>
  <c r="T596" i="47"/>
  <c r="S596" i="47"/>
  <c r="R596" i="47"/>
  <c r="Q596" i="47"/>
  <c r="P596" i="47"/>
  <c r="W595" i="47"/>
  <c r="V595" i="47"/>
  <c r="U595" i="47"/>
  <c r="T595" i="47"/>
  <c r="S595" i="47"/>
  <c r="R595" i="47"/>
  <c r="Q595" i="47"/>
  <c r="P595" i="47"/>
  <c r="W594" i="47"/>
  <c r="V594" i="47"/>
  <c r="U594" i="47"/>
  <c r="T594" i="47"/>
  <c r="S594" i="47"/>
  <c r="R594" i="47"/>
  <c r="Q594" i="47"/>
  <c r="P594" i="47"/>
  <c r="W593" i="47"/>
  <c r="V593" i="47"/>
  <c r="U593" i="47"/>
  <c r="T593" i="47"/>
  <c r="S593" i="47"/>
  <c r="R593" i="47"/>
  <c r="Q593" i="47"/>
  <c r="P593" i="47"/>
  <c r="W592" i="47"/>
  <c r="V592" i="47"/>
  <c r="U592" i="47"/>
  <c r="T592" i="47"/>
  <c r="S592" i="47"/>
  <c r="R592" i="47"/>
  <c r="Q592" i="47"/>
  <c r="P592" i="47"/>
  <c r="W591" i="47"/>
  <c r="V591" i="47"/>
  <c r="U591" i="47"/>
  <c r="T591" i="47"/>
  <c r="S591" i="47"/>
  <c r="R591" i="47"/>
  <c r="Q591" i="47"/>
  <c r="P591" i="47"/>
  <c r="M8" i="29" l="1"/>
  <c r="G28" i="24"/>
  <c r="G27" i="24"/>
  <c r="G26" i="24"/>
  <c r="V622" i="15"/>
  <c r="V621" i="15"/>
  <c r="V620" i="15"/>
  <c r="V619" i="15"/>
  <c r="V618" i="15"/>
  <c r="V617" i="15"/>
  <c r="V616" i="15"/>
  <c r="F33" i="37" s="1"/>
  <c r="V615" i="15"/>
  <c r="V614" i="15"/>
  <c r="V613" i="15"/>
  <c r="V612" i="15"/>
  <c r="V611" i="15"/>
  <c r="V610" i="15"/>
  <c r="V609" i="15"/>
  <c r="V608" i="15"/>
  <c r="V607" i="15"/>
  <c r="V606" i="15"/>
  <c r="V605" i="15"/>
  <c r="V604" i="15"/>
  <c r="V603" i="15"/>
  <c r="V602" i="15"/>
  <c r="V601" i="15"/>
  <c r="V600" i="15"/>
  <c r="V599" i="15"/>
  <c r="V598" i="15"/>
  <c r="V597" i="15"/>
  <c r="V596" i="15"/>
  <c r="V595" i="15"/>
  <c r="V594" i="15"/>
  <c r="V593" i="15"/>
  <c r="V592" i="15"/>
  <c r="V591" i="15"/>
  <c r="V590" i="15"/>
  <c r="V589" i="15"/>
  <c r="V588" i="15"/>
  <c r="V587" i="15"/>
  <c r="V586" i="15"/>
  <c r="V585" i="15"/>
  <c r="V584" i="15"/>
  <c r="V583" i="15"/>
  <c r="V582" i="15"/>
  <c r="V581" i="15"/>
  <c r="V580" i="15"/>
  <c r="V579" i="15"/>
  <c r="V578" i="15"/>
  <c r="V577" i="15"/>
  <c r="V576" i="15"/>
  <c r="V575" i="15"/>
  <c r="V574" i="15"/>
  <c r="V573" i="15"/>
  <c r="V572" i="15"/>
  <c r="V571" i="15"/>
  <c r="V570" i="15"/>
  <c r="V569" i="15"/>
  <c r="V568" i="15"/>
  <c r="V567" i="15"/>
  <c r="V566" i="15"/>
  <c r="V565" i="15"/>
  <c r="V564" i="15"/>
  <c r="V563" i="15"/>
  <c r="V562" i="15"/>
  <c r="V561" i="15"/>
  <c r="V560" i="15"/>
  <c r="V559" i="15"/>
  <c r="F46" i="37" s="1"/>
  <c r="V558" i="15"/>
  <c r="V557" i="15"/>
  <c r="V556" i="15"/>
  <c r="V555" i="15"/>
  <c r="V554" i="15"/>
  <c r="V553" i="15"/>
  <c r="V552" i="15"/>
  <c r="V551" i="15"/>
  <c r="V550" i="15"/>
  <c r="V549" i="15"/>
  <c r="V548" i="15"/>
  <c r="V547" i="15"/>
  <c r="V546" i="15"/>
  <c r="V545" i="15"/>
  <c r="V544" i="15"/>
  <c r="V543" i="15"/>
  <c r="V542" i="15"/>
  <c r="V541" i="15"/>
  <c r="V540" i="15"/>
  <c r="V539" i="15"/>
  <c r="V538" i="15"/>
  <c r="V537" i="15"/>
  <c r="V536" i="15"/>
  <c r="V535" i="15"/>
  <c r="V534" i="15"/>
  <c r="V533" i="15"/>
  <c r="V532" i="15"/>
  <c r="V531" i="15"/>
  <c r="V530" i="15"/>
  <c r="V529" i="15"/>
  <c r="V528" i="15"/>
  <c r="V527" i="15"/>
  <c r="V526" i="15"/>
  <c r="V525" i="15"/>
  <c r="V524" i="15"/>
  <c r="V523" i="15"/>
  <c r="V522" i="15"/>
  <c r="V521" i="15"/>
  <c r="V520" i="15"/>
  <c r="V519" i="15"/>
  <c r="V518" i="15"/>
  <c r="V517" i="15"/>
  <c r="V516" i="15"/>
  <c r="V515" i="15"/>
  <c r="V514" i="15"/>
  <c r="V513" i="15"/>
  <c r="V512" i="15"/>
  <c r="V511" i="15"/>
  <c r="V510" i="15"/>
  <c r="V509" i="15"/>
  <c r="V508" i="15"/>
  <c r="V507" i="15"/>
  <c r="V506" i="15"/>
  <c r="V505" i="15"/>
  <c r="V504" i="15"/>
  <c r="V503" i="15"/>
  <c r="V502" i="15"/>
  <c r="V501" i="15"/>
  <c r="V500" i="15"/>
  <c r="V499" i="15"/>
  <c r="V498" i="15"/>
  <c r="V497" i="15"/>
  <c r="V496" i="15"/>
  <c r="V495" i="15"/>
  <c r="V494" i="15"/>
  <c r="V493" i="15"/>
  <c r="V492" i="15"/>
  <c r="V491" i="15"/>
  <c r="V490" i="15"/>
  <c r="V489" i="15"/>
  <c r="V488" i="15"/>
  <c r="V487" i="15"/>
  <c r="V486" i="15"/>
  <c r="V485" i="15"/>
  <c r="V484" i="15"/>
  <c r="V483" i="15"/>
  <c r="V482" i="15"/>
  <c r="V481" i="15"/>
  <c r="V480" i="15"/>
  <c r="V479" i="15"/>
  <c r="V478" i="15"/>
  <c r="V477" i="15"/>
  <c r="V476" i="15"/>
  <c r="V475" i="15"/>
  <c r="V474" i="15"/>
  <c r="V473" i="15"/>
  <c r="V472" i="15"/>
  <c r="V471" i="15"/>
  <c r="V470" i="15"/>
  <c r="V469" i="15"/>
  <c r="V468" i="15"/>
  <c r="V467" i="15"/>
  <c r="V466" i="15"/>
  <c r="V465" i="15"/>
  <c r="V464" i="15"/>
  <c r="V463" i="15"/>
  <c r="V462" i="15"/>
  <c r="V461" i="15"/>
  <c r="V460" i="15"/>
  <c r="V459" i="15"/>
  <c r="V458" i="15"/>
  <c r="V457" i="15"/>
  <c r="V456" i="15"/>
  <c r="V455" i="15"/>
  <c r="V454" i="15"/>
  <c r="V453" i="15"/>
  <c r="V452" i="15"/>
  <c r="V451" i="15"/>
  <c r="V450" i="15"/>
  <c r="V449" i="15"/>
  <c r="V448" i="15"/>
  <c r="V447" i="15"/>
  <c r="V446" i="15"/>
  <c r="V445" i="15"/>
  <c r="V444" i="15"/>
  <c r="V443" i="15"/>
  <c r="V442" i="15"/>
  <c r="V441" i="15"/>
  <c r="V440" i="15"/>
  <c r="V439" i="15"/>
  <c r="V438" i="15"/>
  <c r="V437" i="15"/>
  <c r="V436" i="15"/>
  <c r="V435" i="15"/>
  <c r="V434" i="15"/>
  <c r="V433" i="15"/>
  <c r="V432" i="15"/>
  <c r="V431" i="15"/>
  <c r="V430" i="15"/>
  <c r="V429" i="15"/>
  <c r="V428" i="15"/>
  <c r="F48" i="37" s="1"/>
  <c r="V427" i="15"/>
  <c r="V426" i="15"/>
  <c r="V425" i="15"/>
  <c r="V424" i="15"/>
  <c r="V423" i="15"/>
  <c r="V422" i="15"/>
  <c r="V421" i="15"/>
  <c r="V420" i="15"/>
  <c r="V419" i="15"/>
  <c r="V418" i="15"/>
  <c r="V417" i="15"/>
  <c r="V416" i="15"/>
  <c r="V415" i="15"/>
  <c r="V414" i="15"/>
  <c r="V413" i="15"/>
  <c r="V412" i="15"/>
  <c r="V411" i="15"/>
  <c r="V410" i="15"/>
  <c r="V409" i="15"/>
  <c r="V408" i="15"/>
  <c r="V407" i="15"/>
  <c r="V406" i="15"/>
  <c r="V405" i="15"/>
  <c r="V404" i="15"/>
  <c r="V403" i="15"/>
  <c r="V402" i="15"/>
  <c r="V401" i="15"/>
  <c r="V400" i="15"/>
  <c r="V399" i="15"/>
  <c r="F32" i="29"/>
  <c r="F31" i="29"/>
  <c r="F30" i="29"/>
  <c r="F29" i="29"/>
  <c r="F28" i="29"/>
  <c r="F27" i="29"/>
  <c r="F26" i="29"/>
  <c r="F25" i="29"/>
  <c r="F24" i="29"/>
  <c r="F23" i="29"/>
  <c r="F22" i="29"/>
  <c r="F21" i="29"/>
  <c r="F20" i="29"/>
  <c r="F19" i="29"/>
  <c r="F18" i="29"/>
  <c r="F17" i="29"/>
  <c r="F16" i="29"/>
  <c r="F15" i="29"/>
  <c r="F14" i="29"/>
  <c r="F13" i="29"/>
  <c r="F12" i="29"/>
  <c r="F11" i="29"/>
  <c r="F10" i="29"/>
  <c r="F9" i="29"/>
  <c r="W590" i="47"/>
  <c r="V590" i="47"/>
  <c r="U590" i="47"/>
  <c r="T590" i="47"/>
  <c r="S590" i="47"/>
  <c r="R590" i="47"/>
  <c r="Q590" i="47"/>
  <c r="P590" i="47"/>
  <c r="W589" i="47"/>
  <c r="V589" i="47"/>
  <c r="U589" i="47"/>
  <c r="T589" i="47"/>
  <c r="S589" i="47"/>
  <c r="R589" i="47"/>
  <c r="Q589" i="47"/>
  <c r="P589" i="47"/>
  <c r="W588" i="47"/>
  <c r="V588" i="47"/>
  <c r="U588" i="47"/>
  <c r="T588" i="47"/>
  <c r="S588" i="47"/>
  <c r="R588" i="47"/>
  <c r="Q588" i="47"/>
  <c r="P588" i="47"/>
  <c r="W587" i="47"/>
  <c r="V587" i="47"/>
  <c r="U587" i="47"/>
  <c r="T587" i="47"/>
  <c r="S587" i="47"/>
  <c r="R587" i="47"/>
  <c r="Q587" i="47"/>
  <c r="P587" i="47"/>
  <c r="W586" i="47"/>
  <c r="V586" i="47"/>
  <c r="U586" i="47"/>
  <c r="T586" i="47"/>
  <c r="S586" i="47"/>
  <c r="R586" i="47"/>
  <c r="Q586" i="47"/>
  <c r="P586" i="47"/>
  <c r="W585" i="47"/>
  <c r="AH53" i="1" s="1"/>
  <c r="V585" i="47"/>
  <c r="AG53" i="1" s="1"/>
  <c r="U585" i="47"/>
  <c r="AF53" i="1" s="1"/>
  <c r="T585" i="47"/>
  <c r="AE53" i="1" s="1"/>
  <c r="S585" i="47"/>
  <c r="AD53" i="1" s="1"/>
  <c r="R585" i="47"/>
  <c r="AC53" i="1" s="1"/>
  <c r="Q585" i="47"/>
  <c r="AB53" i="1" s="1"/>
  <c r="P585" i="47"/>
  <c r="AA53" i="1" s="1"/>
  <c r="W584" i="47"/>
  <c r="V584" i="47"/>
  <c r="U584" i="47"/>
  <c r="T584" i="47"/>
  <c r="S584" i="47"/>
  <c r="R584" i="47"/>
  <c r="Q584" i="47"/>
  <c r="P584" i="47"/>
  <c r="F50" i="37" l="1"/>
  <c r="F39" i="37"/>
  <c r="F38" i="37"/>
  <c r="F49" i="37"/>
  <c r="F47" i="37"/>
  <c r="F42" i="37"/>
  <c r="F35" i="37"/>
  <c r="F52" i="37"/>
  <c r="F40" i="37"/>
  <c r="F34" i="37"/>
  <c r="F51" i="37"/>
  <c r="F37" i="37"/>
  <c r="F44" i="37"/>
  <c r="F45" i="37"/>
  <c r="F43" i="37"/>
  <c r="F8" i="37"/>
  <c r="M4" i="37"/>
  <c r="M8" i="37" s="1"/>
  <c r="N4" i="44"/>
  <c r="N8" i="44" s="1"/>
  <c r="G32" i="25"/>
  <c r="G31" i="25"/>
  <c r="G30" i="25"/>
  <c r="G29" i="25"/>
  <c r="G28" i="25"/>
  <c r="G27" i="25"/>
  <c r="G26" i="25"/>
  <c r="G25" i="25"/>
  <c r="G24" i="25"/>
  <c r="G23" i="25"/>
  <c r="G22" i="25"/>
  <c r="G21" i="25"/>
  <c r="G20" i="25"/>
  <c r="G19" i="25"/>
  <c r="G18" i="25"/>
  <c r="G17" i="25"/>
  <c r="G16" i="25"/>
  <c r="G15" i="25"/>
  <c r="G14" i="25"/>
  <c r="G13" i="25"/>
  <c r="G12" i="25"/>
  <c r="G11" i="25"/>
  <c r="G10" i="25"/>
  <c r="G9" i="25"/>
  <c r="W583" i="47"/>
  <c r="V583" i="47"/>
  <c r="U583" i="47"/>
  <c r="T583" i="47"/>
  <c r="S583" i="47"/>
  <c r="R583" i="47"/>
  <c r="Q583" i="47"/>
  <c r="P583" i="47"/>
  <c r="W582" i="47"/>
  <c r="V582" i="47"/>
  <c r="U582" i="47"/>
  <c r="T582" i="47"/>
  <c r="S582" i="47"/>
  <c r="R582" i="47"/>
  <c r="Q582" i="47"/>
  <c r="P582" i="47"/>
  <c r="W581" i="47" l="1"/>
  <c r="V581" i="47"/>
  <c r="U581" i="47"/>
  <c r="T581" i="47"/>
  <c r="S581" i="47"/>
  <c r="R581" i="47"/>
  <c r="Q581" i="47"/>
  <c r="P581" i="47"/>
  <c r="W580" i="47"/>
  <c r="V580" i="47"/>
  <c r="U580" i="47"/>
  <c r="T580" i="47"/>
  <c r="S580" i="47"/>
  <c r="R580" i="47"/>
  <c r="Q580" i="47"/>
  <c r="P580" i="47"/>
  <c r="W579" i="47"/>
  <c r="V579" i="47"/>
  <c r="U579" i="47"/>
  <c r="T579" i="47"/>
  <c r="S579" i="47"/>
  <c r="R579" i="47"/>
  <c r="Q579" i="47"/>
  <c r="P579" i="47"/>
  <c r="W578" i="47"/>
  <c r="V578" i="47"/>
  <c r="U578" i="47"/>
  <c r="T578" i="47"/>
  <c r="S578" i="47"/>
  <c r="R578" i="47"/>
  <c r="Q578" i="47"/>
  <c r="P578" i="47"/>
  <c r="W577" i="47"/>
  <c r="V577" i="47"/>
  <c r="U577" i="47"/>
  <c r="T577" i="47"/>
  <c r="S577" i="47"/>
  <c r="R577" i="47"/>
  <c r="Q577" i="47"/>
  <c r="P577" i="47"/>
  <c r="W576" i="47"/>
  <c r="V576" i="47"/>
  <c r="U576" i="47"/>
  <c r="T576" i="47"/>
  <c r="S576" i="47"/>
  <c r="R576" i="47"/>
  <c r="Q576" i="47"/>
  <c r="P576" i="47"/>
  <c r="W575" i="47"/>
  <c r="V575" i="47"/>
  <c r="U575" i="47"/>
  <c r="T575" i="47"/>
  <c r="S575" i="47"/>
  <c r="R575" i="47"/>
  <c r="Q575" i="47"/>
  <c r="P575" i="47"/>
  <c r="W574" i="47"/>
  <c r="V574" i="47"/>
  <c r="U574" i="47"/>
  <c r="T574" i="47"/>
  <c r="S574" i="47"/>
  <c r="R574" i="47"/>
  <c r="Q574" i="47"/>
  <c r="P574" i="47"/>
  <c r="W573" i="47"/>
  <c r="V573" i="47"/>
  <c r="U573" i="47"/>
  <c r="T573" i="47"/>
  <c r="S573" i="47"/>
  <c r="R573" i="47"/>
  <c r="Q573" i="47"/>
  <c r="P573" i="47"/>
  <c r="W572" i="47"/>
  <c r="V572" i="47"/>
  <c r="U572" i="47"/>
  <c r="T572" i="47"/>
  <c r="S572" i="47"/>
  <c r="R572" i="47"/>
  <c r="Q572" i="47"/>
  <c r="P572" i="47"/>
  <c r="W571" i="47"/>
  <c r="V571" i="47"/>
  <c r="U571" i="47"/>
  <c r="T571" i="47"/>
  <c r="S571" i="47"/>
  <c r="R571" i="47"/>
  <c r="Q571" i="47"/>
  <c r="P571" i="47"/>
  <c r="W570" i="47"/>
  <c r="V570" i="47"/>
  <c r="U570" i="47"/>
  <c r="T570" i="47"/>
  <c r="S570" i="47"/>
  <c r="R570" i="47"/>
  <c r="Q570" i="47"/>
  <c r="P570" i="47"/>
  <c r="W569" i="47"/>
  <c r="V569" i="47"/>
  <c r="U569" i="47"/>
  <c r="T569" i="47"/>
  <c r="S569" i="47"/>
  <c r="R569" i="47"/>
  <c r="Q569" i="47"/>
  <c r="P569" i="47"/>
  <c r="F8" i="22" l="1"/>
  <c r="W568" i="47" l="1"/>
  <c r="V568" i="47"/>
  <c r="U568" i="47"/>
  <c r="T568" i="47"/>
  <c r="S568" i="47"/>
  <c r="R568" i="47"/>
  <c r="Q568" i="47"/>
  <c r="P568" i="47"/>
  <c r="W567" i="47"/>
  <c r="V567" i="47"/>
  <c r="U567" i="47"/>
  <c r="T567" i="47"/>
  <c r="S567" i="47"/>
  <c r="R567" i="47"/>
  <c r="Q567" i="47"/>
  <c r="P567" i="47"/>
  <c r="W566" i="47"/>
  <c r="V566" i="47"/>
  <c r="U566" i="47"/>
  <c r="T566" i="47"/>
  <c r="S566" i="47"/>
  <c r="R566" i="47"/>
  <c r="Q566" i="47"/>
  <c r="P566" i="47"/>
  <c r="W565" i="47"/>
  <c r="V565" i="47"/>
  <c r="U565" i="47"/>
  <c r="T565" i="47"/>
  <c r="S565" i="47"/>
  <c r="R565" i="47"/>
  <c r="Q565" i="47"/>
  <c r="P565" i="47"/>
  <c r="W564" i="47"/>
  <c r="V564" i="47"/>
  <c r="U564" i="47"/>
  <c r="T564" i="47"/>
  <c r="S564" i="47"/>
  <c r="R564" i="47"/>
  <c r="Q564" i="47"/>
  <c r="P564" i="47"/>
  <c r="W563" i="47"/>
  <c r="V563" i="47"/>
  <c r="U563" i="47"/>
  <c r="T563" i="47"/>
  <c r="S563" i="47"/>
  <c r="R563" i="47"/>
  <c r="Q563" i="47"/>
  <c r="P563" i="47"/>
  <c r="W562" i="47"/>
  <c r="V562" i="47"/>
  <c r="U562" i="47"/>
  <c r="T562" i="47"/>
  <c r="S562" i="47"/>
  <c r="R562" i="47"/>
  <c r="Q562" i="47"/>
  <c r="P562" i="47"/>
  <c r="W561" i="47"/>
  <c r="V561" i="47"/>
  <c r="U561" i="47"/>
  <c r="T561" i="47"/>
  <c r="S561" i="47"/>
  <c r="R561" i="47"/>
  <c r="Q561" i="47"/>
  <c r="P561" i="47"/>
  <c r="W560" i="47"/>
  <c r="V560" i="47"/>
  <c r="U560" i="47"/>
  <c r="T560" i="47"/>
  <c r="S560" i="47"/>
  <c r="R560" i="47"/>
  <c r="Q560" i="47"/>
  <c r="P560" i="47"/>
  <c r="W559" i="47"/>
  <c r="V559" i="47"/>
  <c r="U559" i="47"/>
  <c r="T559" i="47"/>
  <c r="S559" i="47"/>
  <c r="R559" i="47"/>
  <c r="Q559" i="47"/>
  <c r="P559" i="47"/>
  <c r="W558" i="47"/>
  <c r="V558" i="47"/>
  <c r="U558" i="47"/>
  <c r="T558" i="47"/>
  <c r="S558" i="47"/>
  <c r="R558" i="47"/>
  <c r="Q558" i="47"/>
  <c r="P558" i="47"/>
  <c r="W557" i="47"/>
  <c r="V557" i="47"/>
  <c r="U557" i="47"/>
  <c r="T557" i="47"/>
  <c r="S557" i="47"/>
  <c r="R557" i="47"/>
  <c r="Q557" i="47"/>
  <c r="P557" i="47"/>
  <c r="W556" i="47"/>
  <c r="V556" i="47"/>
  <c r="U556" i="47"/>
  <c r="T556" i="47"/>
  <c r="S556" i="47"/>
  <c r="R556" i="47"/>
  <c r="Q556" i="47"/>
  <c r="P556" i="47"/>
  <c r="W555" i="47"/>
  <c r="V555" i="47"/>
  <c r="U555" i="47"/>
  <c r="T555" i="47"/>
  <c r="S555" i="47"/>
  <c r="R555" i="47"/>
  <c r="Q555" i="47"/>
  <c r="P555" i="47"/>
  <c r="F32" i="32" l="1"/>
  <c r="F30" i="32"/>
  <c r="F26" i="32"/>
  <c r="F20" i="32"/>
  <c r="F17" i="32"/>
  <c r="F16" i="32"/>
  <c r="F15" i="32"/>
  <c r="F12" i="32"/>
  <c r="F11" i="32"/>
  <c r="F9" i="32"/>
  <c r="H8" i="22"/>
  <c r="G32" i="32"/>
  <c r="G31" i="32"/>
  <c r="G30" i="32"/>
  <c r="G29" i="32"/>
  <c r="G28" i="32"/>
  <c r="G27" i="32"/>
  <c r="G26" i="32"/>
  <c r="G25" i="32"/>
  <c r="G24" i="32"/>
  <c r="G23" i="32"/>
  <c r="G22" i="32"/>
  <c r="G21" i="32"/>
  <c r="G20" i="32"/>
  <c r="G19" i="32"/>
  <c r="G18" i="32"/>
  <c r="G17" i="32"/>
  <c r="G16" i="32"/>
  <c r="G15" i="32"/>
  <c r="G14" i="32"/>
  <c r="G13" i="32"/>
  <c r="G12" i="32"/>
  <c r="G11" i="32"/>
  <c r="G10" i="32"/>
  <c r="G9" i="32"/>
  <c r="G8" i="32"/>
  <c r="W554" i="47"/>
  <c r="V554" i="47"/>
  <c r="U554" i="47"/>
  <c r="T554" i="47"/>
  <c r="S554" i="47"/>
  <c r="R554" i="47"/>
  <c r="Q554" i="47"/>
  <c r="P554" i="47"/>
  <c r="W553" i="47"/>
  <c r="V553" i="47"/>
  <c r="U553" i="47"/>
  <c r="T553" i="47"/>
  <c r="S553" i="47"/>
  <c r="R553" i="47"/>
  <c r="Q553" i="47"/>
  <c r="P553" i="47"/>
  <c r="W552" i="47"/>
  <c r="V552" i="47"/>
  <c r="U552" i="47"/>
  <c r="T552" i="47"/>
  <c r="S552" i="47"/>
  <c r="R552" i="47"/>
  <c r="Q552" i="47"/>
  <c r="P552" i="47"/>
  <c r="W551" i="47"/>
  <c r="V551" i="47"/>
  <c r="U551" i="47"/>
  <c r="T551" i="47"/>
  <c r="S551" i="47"/>
  <c r="R551" i="47"/>
  <c r="Q551" i="47"/>
  <c r="P551" i="47"/>
  <c r="W550" i="47"/>
  <c r="V550" i="47"/>
  <c r="U550" i="47"/>
  <c r="T550" i="47"/>
  <c r="S550" i="47"/>
  <c r="R550" i="47"/>
  <c r="Q550" i="47"/>
  <c r="P550" i="47"/>
  <c r="W549" i="47"/>
  <c r="V549" i="47"/>
  <c r="U549" i="47"/>
  <c r="T549" i="47"/>
  <c r="S549" i="47"/>
  <c r="R549" i="47"/>
  <c r="Q549" i="47"/>
  <c r="P549" i="47"/>
  <c r="W548" i="47"/>
  <c r="V548" i="47"/>
  <c r="U548" i="47"/>
  <c r="T548" i="47"/>
  <c r="S548" i="47"/>
  <c r="R548" i="47"/>
  <c r="Q548" i="47"/>
  <c r="P548" i="47"/>
  <c r="W547" i="47"/>
  <c r="V547" i="47"/>
  <c r="U547" i="47"/>
  <c r="T547" i="47"/>
  <c r="S547" i="47"/>
  <c r="R547" i="47"/>
  <c r="Q547" i="47"/>
  <c r="P547" i="47"/>
  <c r="W546" i="47"/>
  <c r="V546" i="47"/>
  <c r="U546" i="47"/>
  <c r="T546" i="47"/>
  <c r="S546" i="47"/>
  <c r="R546" i="47"/>
  <c r="Q546" i="47"/>
  <c r="P546" i="47"/>
  <c r="W545" i="47"/>
  <c r="V545" i="47"/>
  <c r="U545" i="47"/>
  <c r="T545" i="47"/>
  <c r="S545" i="47"/>
  <c r="R545" i="47"/>
  <c r="Q545" i="47"/>
  <c r="P545" i="47"/>
  <c r="W544" i="47"/>
  <c r="V544" i="47"/>
  <c r="U544" i="47"/>
  <c r="T544" i="47"/>
  <c r="S544" i="47"/>
  <c r="R544" i="47"/>
  <c r="Q544" i="47"/>
  <c r="P544" i="47"/>
  <c r="W543" i="47"/>
  <c r="V543" i="47"/>
  <c r="U543" i="47"/>
  <c r="T543" i="47"/>
  <c r="S543" i="47"/>
  <c r="R543" i="47"/>
  <c r="Q543" i="47"/>
  <c r="P543" i="47"/>
  <c r="W542" i="47"/>
  <c r="V542" i="47"/>
  <c r="U542" i="47"/>
  <c r="T542" i="47"/>
  <c r="S542" i="47"/>
  <c r="R542" i="47"/>
  <c r="Q542" i="47"/>
  <c r="P542" i="47"/>
  <c r="W541" i="47"/>
  <c r="V541" i="47"/>
  <c r="U541" i="47"/>
  <c r="T541" i="47"/>
  <c r="S541" i="47"/>
  <c r="R541" i="47"/>
  <c r="Q541" i="47"/>
  <c r="P541" i="47"/>
  <c r="W540" i="47"/>
  <c r="V540" i="47"/>
  <c r="U540" i="47"/>
  <c r="T540" i="47"/>
  <c r="S540" i="47"/>
  <c r="R540" i="47"/>
  <c r="Q540" i="47"/>
  <c r="P540" i="47"/>
  <c r="W539" i="47"/>
  <c r="V539" i="47"/>
  <c r="U539" i="47"/>
  <c r="T539" i="47"/>
  <c r="S539" i="47"/>
  <c r="R539" i="47"/>
  <c r="Q539" i="47"/>
  <c r="P539" i="47"/>
  <c r="W538" i="47"/>
  <c r="V538" i="47"/>
  <c r="U538" i="47"/>
  <c r="T538" i="47"/>
  <c r="S538" i="47"/>
  <c r="R538" i="47"/>
  <c r="Q538" i="47"/>
  <c r="P538" i="47"/>
  <c r="W537" i="47"/>
  <c r="V537" i="47"/>
  <c r="U537" i="47"/>
  <c r="T537" i="47"/>
  <c r="S537" i="47"/>
  <c r="R537" i="47"/>
  <c r="Q537" i="47"/>
  <c r="P537" i="47"/>
  <c r="W536" i="47"/>
  <c r="V536" i="47"/>
  <c r="U536" i="47"/>
  <c r="T536" i="47"/>
  <c r="S536" i="47"/>
  <c r="R536" i="47"/>
  <c r="Q536" i="47"/>
  <c r="P536" i="47"/>
  <c r="W535" i="47"/>
  <c r="V535" i="47"/>
  <c r="U535" i="47"/>
  <c r="T535" i="47"/>
  <c r="S535" i="47"/>
  <c r="R535" i="47"/>
  <c r="Q535" i="47"/>
  <c r="P535" i="47"/>
  <c r="W534" i="47"/>
  <c r="V534" i="47"/>
  <c r="U534" i="47"/>
  <c r="T534" i="47"/>
  <c r="S534" i="47"/>
  <c r="R534" i="47"/>
  <c r="Q534" i="47"/>
  <c r="P534" i="47"/>
  <c r="F13" i="32" l="1"/>
  <c r="F23" i="32"/>
  <c r="G8" i="22"/>
  <c r="F21" i="32"/>
  <c r="F28" i="32"/>
  <c r="F31" i="32"/>
  <c r="F8" i="32"/>
  <c r="F27" i="32"/>
  <c r="F18" i="32"/>
  <c r="F10" i="32"/>
  <c r="F14" i="32"/>
  <c r="F22" i="32"/>
  <c r="F19" i="32"/>
  <c r="F25" i="32"/>
  <c r="F24" i="32"/>
  <c r="F29" i="32"/>
  <c r="K5" i="42" l="1"/>
  <c r="G5" i="42"/>
  <c r="Q12" i="42"/>
  <c r="Q11" i="42"/>
  <c r="Q9" i="42"/>
  <c r="Q8" i="42"/>
  <c r="Q7" i="42"/>
  <c r="Q6" i="42"/>
  <c r="C15" i="42" l="1"/>
  <c r="B47" i="66" s="1"/>
  <c r="P15" i="42" l="1"/>
  <c r="B59" i="66" s="1"/>
  <c r="O13" i="42"/>
  <c r="Q13" i="42" s="1"/>
  <c r="N5" i="42"/>
  <c r="H5" i="42"/>
  <c r="G10" i="42"/>
  <c r="Q10" i="42" s="1"/>
  <c r="Q5" i="42" l="1"/>
  <c r="Q533" i="15"/>
  <c r="Q532" i="15"/>
  <c r="Q531" i="15"/>
  <c r="Q530" i="15"/>
  <c r="Q529" i="15"/>
  <c r="Q528" i="15"/>
  <c r="Q527" i="15"/>
  <c r="Q526" i="15"/>
  <c r="Q525" i="15"/>
  <c r="Q524" i="15"/>
  <c r="Q523" i="15"/>
  <c r="Q522" i="15"/>
  <c r="Q521" i="15"/>
  <c r="Q520" i="15"/>
  <c r="Q519" i="15"/>
  <c r="Q518" i="15"/>
  <c r="W533" i="47"/>
  <c r="V533" i="47"/>
  <c r="U533" i="47"/>
  <c r="T533" i="47"/>
  <c r="S533" i="47"/>
  <c r="R533" i="47"/>
  <c r="Q533" i="47"/>
  <c r="P533" i="47"/>
  <c r="W532" i="47"/>
  <c r="V532" i="47"/>
  <c r="U532" i="47"/>
  <c r="T532" i="47"/>
  <c r="S532" i="47"/>
  <c r="R532" i="47"/>
  <c r="Q532" i="47"/>
  <c r="P532" i="47"/>
  <c r="W531" i="47"/>
  <c r="AH23" i="1" s="1"/>
  <c r="V531" i="47"/>
  <c r="AG23" i="1" s="1"/>
  <c r="U531" i="47"/>
  <c r="AF23" i="1" s="1"/>
  <c r="T531" i="47"/>
  <c r="AE23" i="1" s="1"/>
  <c r="S531" i="47"/>
  <c r="AD23" i="1" s="1"/>
  <c r="R531" i="47"/>
  <c r="AC23" i="1" s="1"/>
  <c r="Q531" i="47"/>
  <c r="AB23" i="1" s="1"/>
  <c r="P531" i="47"/>
  <c r="AA23" i="1" s="1"/>
  <c r="W530" i="47"/>
  <c r="V530" i="47"/>
  <c r="U530" i="47"/>
  <c r="T530" i="47"/>
  <c r="S530" i="47"/>
  <c r="R530" i="47"/>
  <c r="Q530" i="47"/>
  <c r="P530" i="47"/>
  <c r="W529" i="47"/>
  <c r="V529" i="47"/>
  <c r="U529" i="47"/>
  <c r="T529" i="47"/>
  <c r="S529" i="47"/>
  <c r="R529" i="47"/>
  <c r="Q529" i="47"/>
  <c r="P529" i="47"/>
  <c r="W528" i="47"/>
  <c r="V528" i="47"/>
  <c r="U528" i="47"/>
  <c r="T528" i="47"/>
  <c r="S528" i="47"/>
  <c r="R528" i="47"/>
  <c r="Q528" i="47"/>
  <c r="P528" i="47"/>
  <c r="W527" i="47"/>
  <c r="V527" i="47"/>
  <c r="U527" i="47"/>
  <c r="T527" i="47"/>
  <c r="S527" i="47"/>
  <c r="R527" i="47"/>
  <c r="Q527" i="47"/>
  <c r="P527" i="47"/>
  <c r="W526" i="47"/>
  <c r="V526" i="47"/>
  <c r="U526" i="47"/>
  <c r="T526" i="47"/>
  <c r="S526" i="47"/>
  <c r="R526" i="47"/>
  <c r="Q526" i="47"/>
  <c r="P526" i="47"/>
  <c r="W525" i="47"/>
  <c r="V525" i="47"/>
  <c r="U525" i="47"/>
  <c r="T525" i="47"/>
  <c r="S525" i="47"/>
  <c r="R525" i="47"/>
  <c r="Q525" i="47"/>
  <c r="P525" i="47"/>
  <c r="W524" i="47"/>
  <c r="V524" i="47"/>
  <c r="U524" i="47"/>
  <c r="T524" i="47"/>
  <c r="S524" i="47"/>
  <c r="R524" i="47"/>
  <c r="Q524" i="47"/>
  <c r="P524" i="47"/>
  <c r="W523" i="47"/>
  <c r="V523" i="47"/>
  <c r="U523" i="47"/>
  <c r="T523" i="47"/>
  <c r="S523" i="47"/>
  <c r="R523" i="47"/>
  <c r="Q523" i="47"/>
  <c r="P523" i="47"/>
  <c r="W522" i="47"/>
  <c r="V522" i="47"/>
  <c r="U522" i="47"/>
  <c r="T522" i="47"/>
  <c r="S522" i="47"/>
  <c r="R522" i="47"/>
  <c r="Q522" i="47"/>
  <c r="P522" i="47"/>
  <c r="W521" i="47"/>
  <c r="V521" i="47"/>
  <c r="U521" i="47"/>
  <c r="T521" i="47"/>
  <c r="S521" i="47"/>
  <c r="R521" i="47"/>
  <c r="Q521" i="47"/>
  <c r="P521" i="47"/>
  <c r="W520" i="47"/>
  <c r="V520" i="47"/>
  <c r="U520" i="47"/>
  <c r="T520" i="47"/>
  <c r="S520" i="47"/>
  <c r="R520" i="47"/>
  <c r="Q520" i="47"/>
  <c r="P520" i="47"/>
  <c r="W519" i="47"/>
  <c r="V519" i="47"/>
  <c r="U519" i="47"/>
  <c r="T519" i="47"/>
  <c r="S519" i="47"/>
  <c r="R519" i="47"/>
  <c r="Q519" i="47"/>
  <c r="P519" i="47"/>
  <c r="W518" i="47"/>
  <c r="V518" i="47"/>
  <c r="U518" i="47"/>
  <c r="T518" i="47"/>
  <c r="S518" i="47"/>
  <c r="R518" i="47"/>
  <c r="Q518" i="47"/>
  <c r="P518" i="47"/>
  <c r="W517" i="47" l="1"/>
  <c r="V517" i="47"/>
  <c r="U517" i="47"/>
  <c r="T517" i="47"/>
  <c r="S517" i="47"/>
  <c r="R517" i="47"/>
  <c r="Q517" i="47"/>
  <c r="P517" i="47"/>
  <c r="W516" i="47"/>
  <c r="V516" i="47"/>
  <c r="U516" i="47"/>
  <c r="T516" i="47"/>
  <c r="S516" i="47"/>
  <c r="R516" i="47"/>
  <c r="Q516" i="47"/>
  <c r="P516" i="47"/>
  <c r="W515" i="47"/>
  <c r="AH11" i="1" s="1"/>
  <c r="V515" i="47"/>
  <c r="AG11" i="1" s="1"/>
  <c r="U515" i="47"/>
  <c r="AF11" i="1" s="1"/>
  <c r="T515" i="47"/>
  <c r="AE11" i="1" s="1"/>
  <c r="S515" i="47"/>
  <c r="AD11" i="1" s="1"/>
  <c r="R515" i="47"/>
  <c r="AC11" i="1" s="1"/>
  <c r="Q515" i="47"/>
  <c r="AB11" i="1" s="1"/>
  <c r="P515" i="47"/>
  <c r="AA11" i="1" s="1"/>
  <c r="W514" i="47"/>
  <c r="V514" i="47"/>
  <c r="U514" i="47"/>
  <c r="T514" i="47"/>
  <c r="S514" i="47"/>
  <c r="R514" i="47"/>
  <c r="Q514" i="47"/>
  <c r="P514" i="47"/>
  <c r="W513" i="47"/>
  <c r="V513" i="47"/>
  <c r="U513" i="47"/>
  <c r="T513" i="47"/>
  <c r="S513" i="47"/>
  <c r="R513" i="47"/>
  <c r="Q513" i="47"/>
  <c r="P513" i="47"/>
  <c r="W512" i="47"/>
  <c r="V512" i="47"/>
  <c r="U512" i="47"/>
  <c r="T512" i="47"/>
  <c r="S512" i="47"/>
  <c r="R512" i="47"/>
  <c r="Q512" i="47"/>
  <c r="P512" i="47"/>
  <c r="W511" i="47"/>
  <c r="V511" i="47"/>
  <c r="U511" i="47"/>
  <c r="T511" i="47"/>
  <c r="S511" i="47"/>
  <c r="R511" i="47"/>
  <c r="Q511" i="47"/>
  <c r="P511" i="47"/>
  <c r="W510" i="47"/>
  <c r="V510" i="47"/>
  <c r="U510" i="47"/>
  <c r="T510" i="47"/>
  <c r="S510" i="47"/>
  <c r="R510" i="47"/>
  <c r="Q510" i="47"/>
  <c r="P510" i="47"/>
  <c r="W509" i="47"/>
  <c r="V509" i="47"/>
  <c r="U509" i="47"/>
  <c r="T509" i="47"/>
  <c r="S509" i="47"/>
  <c r="R509" i="47"/>
  <c r="Q509" i="47"/>
  <c r="P509" i="47"/>
  <c r="W508" i="47"/>
  <c r="V508" i="47"/>
  <c r="U508" i="47"/>
  <c r="T508" i="47"/>
  <c r="S508" i="47"/>
  <c r="R508" i="47"/>
  <c r="Q508" i="47"/>
  <c r="P508" i="47"/>
  <c r="W507" i="47"/>
  <c r="V507" i="47"/>
  <c r="U507" i="47"/>
  <c r="T507" i="47"/>
  <c r="S507" i="47"/>
  <c r="R507" i="47"/>
  <c r="Q507" i="47"/>
  <c r="P507" i="47"/>
  <c r="W506" i="47"/>
  <c r="V506" i="47"/>
  <c r="U506" i="47"/>
  <c r="T506" i="47"/>
  <c r="S506" i="47"/>
  <c r="R506" i="47"/>
  <c r="Q506" i="47"/>
  <c r="P506" i="47"/>
  <c r="W505" i="47"/>
  <c r="AH7" i="1" s="1"/>
  <c r="V505" i="47"/>
  <c r="AG7" i="1" s="1"/>
  <c r="U505" i="47"/>
  <c r="AF7" i="1" s="1"/>
  <c r="T505" i="47"/>
  <c r="AE7" i="1" s="1"/>
  <c r="S505" i="47"/>
  <c r="AD7" i="1" s="1"/>
  <c r="R505" i="47"/>
  <c r="AC7" i="1" s="1"/>
  <c r="Q505" i="47"/>
  <c r="AB7" i="1" s="1"/>
  <c r="P505" i="47"/>
  <c r="AA7" i="1" s="1"/>
  <c r="W504" i="47"/>
  <c r="V504" i="47"/>
  <c r="U504" i="47"/>
  <c r="T504" i="47"/>
  <c r="S504" i="47"/>
  <c r="R504" i="47"/>
  <c r="Q504" i="47"/>
  <c r="P504" i="47"/>
  <c r="F8" i="26" l="1"/>
  <c r="F4" i="26" s="1"/>
  <c r="F3" i="26" s="1"/>
  <c r="F8" i="25"/>
  <c r="F8" i="24"/>
  <c r="F4" i="24" s="1"/>
  <c r="W503" i="47" l="1"/>
  <c r="V503" i="47"/>
  <c r="U503" i="47"/>
  <c r="T503" i="47"/>
  <c r="S503" i="47"/>
  <c r="R503" i="47"/>
  <c r="Q503" i="47"/>
  <c r="P503" i="47"/>
  <c r="W502" i="47"/>
  <c r="V502" i="47"/>
  <c r="U502" i="47"/>
  <c r="T502" i="47"/>
  <c r="S502" i="47"/>
  <c r="R502" i="47"/>
  <c r="Q502" i="47"/>
  <c r="P502" i="47"/>
  <c r="W501" i="47"/>
  <c r="V501" i="47"/>
  <c r="U501" i="47"/>
  <c r="T501" i="47"/>
  <c r="S501" i="47"/>
  <c r="R501" i="47"/>
  <c r="Q501" i="47"/>
  <c r="P501" i="47"/>
  <c r="W500" i="47"/>
  <c r="V500" i="47"/>
  <c r="U500" i="47"/>
  <c r="T500" i="47"/>
  <c r="S500" i="47"/>
  <c r="R500" i="47"/>
  <c r="Q500" i="47"/>
  <c r="P500" i="47"/>
  <c r="W499" i="47"/>
  <c r="V499" i="47"/>
  <c r="U499" i="47"/>
  <c r="T499" i="47"/>
  <c r="S499" i="47"/>
  <c r="R499" i="47"/>
  <c r="Q499" i="47"/>
  <c r="P499" i="47"/>
  <c r="W498" i="47"/>
  <c r="V498" i="47"/>
  <c r="U498" i="47"/>
  <c r="T498" i="47"/>
  <c r="S498" i="47"/>
  <c r="R498" i="47"/>
  <c r="Q498" i="47"/>
  <c r="P498" i="47"/>
  <c r="W497" i="47"/>
  <c r="V497" i="47"/>
  <c r="U497" i="47"/>
  <c r="T497" i="47"/>
  <c r="S497" i="47"/>
  <c r="R497" i="47"/>
  <c r="Q497" i="47"/>
  <c r="P497" i="47"/>
  <c r="W496" i="47"/>
  <c r="V496" i="47"/>
  <c r="U496" i="47"/>
  <c r="T496" i="47"/>
  <c r="S496" i="47"/>
  <c r="R496" i="47"/>
  <c r="Q496" i="47"/>
  <c r="P496" i="47"/>
  <c r="W495" i="47"/>
  <c r="V495" i="47"/>
  <c r="U495" i="47"/>
  <c r="T495" i="47"/>
  <c r="S495" i="47"/>
  <c r="R495" i="47"/>
  <c r="Q495" i="47"/>
  <c r="P495" i="47"/>
  <c r="W494" i="47"/>
  <c r="V494" i="47"/>
  <c r="U494" i="47"/>
  <c r="T494" i="47"/>
  <c r="S494" i="47"/>
  <c r="R494" i="47"/>
  <c r="Q494" i="47"/>
  <c r="P494" i="47"/>
  <c r="W493" i="47"/>
  <c r="V493" i="47"/>
  <c r="U493" i="47"/>
  <c r="T493" i="47"/>
  <c r="S493" i="47"/>
  <c r="R493" i="47"/>
  <c r="Q493" i="47"/>
  <c r="P493" i="47"/>
  <c r="W492" i="47"/>
  <c r="V492" i="47"/>
  <c r="U492" i="47"/>
  <c r="T492" i="47"/>
  <c r="S492" i="47"/>
  <c r="R492" i="47"/>
  <c r="Q492" i="47"/>
  <c r="P492" i="47"/>
  <c r="W491" i="47"/>
  <c r="V491" i="47"/>
  <c r="U491" i="47"/>
  <c r="T491" i="47"/>
  <c r="S491" i="47"/>
  <c r="R491" i="47"/>
  <c r="Q491" i="47"/>
  <c r="P491" i="47"/>
  <c r="W490" i="47"/>
  <c r="V490" i="47"/>
  <c r="U490" i="47"/>
  <c r="T490" i="47"/>
  <c r="S490" i="47"/>
  <c r="R490" i="47"/>
  <c r="Q490" i="47"/>
  <c r="P490" i="47"/>
  <c r="G8" i="40" l="1"/>
  <c r="W489" i="47"/>
  <c r="V489" i="47"/>
  <c r="U489" i="47"/>
  <c r="T489" i="47"/>
  <c r="S489" i="47"/>
  <c r="R489" i="47"/>
  <c r="Q489" i="47"/>
  <c r="P489" i="47"/>
  <c r="W488" i="47"/>
  <c r="V488" i="47"/>
  <c r="U488" i="47"/>
  <c r="T488" i="47"/>
  <c r="S488" i="47"/>
  <c r="R488" i="47"/>
  <c r="Q488" i="47"/>
  <c r="P488" i="47"/>
  <c r="W487" i="47"/>
  <c r="V487" i="47"/>
  <c r="U487" i="47"/>
  <c r="T487" i="47"/>
  <c r="S487" i="47"/>
  <c r="R487" i="47"/>
  <c r="Q487" i="47"/>
  <c r="P487" i="47"/>
  <c r="W486" i="47"/>
  <c r="V486" i="47"/>
  <c r="U486" i="47"/>
  <c r="T486" i="47"/>
  <c r="S486" i="47"/>
  <c r="R486" i="47"/>
  <c r="Q486" i="47"/>
  <c r="P486" i="47"/>
  <c r="W485" i="47"/>
  <c r="V485" i="47"/>
  <c r="U485" i="47"/>
  <c r="T485" i="47"/>
  <c r="S485" i="47"/>
  <c r="R485" i="47"/>
  <c r="Q485" i="47"/>
  <c r="P485" i="47"/>
  <c r="W484" i="47"/>
  <c r="V484" i="47"/>
  <c r="U484" i="47"/>
  <c r="T484" i="47"/>
  <c r="S484" i="47"/>
  <c r="R484" i="47"/>
  <c r="Q484" i="47"/>
  <c r="P484" i="47"/>
  <c r="W483" i="47"/>
  <c r="V483" i="47"/>
  <c r="U483" i="47"/>
  <c r="T483" i="47"/>
  <c r="S483" i="47"/>
  <c r="R483" i="47"/>
  <c r="Q483" i="47"/>
  <c r="P483" i="47"/>
  <c r="W482" i="47"/>
  <c r="V482" i="47"/>
  <c r="U482" i="47"/>
  <c r="T482" i="47"/>
  <c r="S482" i="47"/>
  <c r="R482" i="47"/>
  <c r="Q482" i="47"/>
  <c r="P482" i="47"/>
  <c r="W481" i="47"/>
  <c r="V481" i="47"/>
  <c r="U481" i="47"/>
  <c r="T481" i="47"/>
  <c r="S481" i="47"/>
  <c r="R481" i="47"/>
  <c r="Q481" i="47"/>
  <c r="P481" i="47"/>
  <c r="W480" i="47" l="1"/>
  <c r="V480" i="47"/>
  <c r="U480" i="47"/>
  <c r="T480" i="47"/>
  <c r="S480" i="47"/>
  <c r="R480" i="47"/>
  <c r="Q480" i="47"/>
  <c r="P480" i="47"/>
  <c r="W479" i="47"/>
  <c r="V479" i="47"/>
  <c r="U479" i="47"/>
  <c r="T479" i="47"/>
  <c r="S479" i="47"/>
  <c r="R479" i="47"/>
  <c r="Q479" i="47"/>
  <c r="P479" i="47"/>
  <c r="W478" i="47"/>
  <c r="V478" i="47"/>
  <c r="U478" i="47"/>
  <c r="T478" i="47"/>
  <c r="S478" i="47"/>
  <c r="R478" i="47"/>
  <c r="Q478" i="47"/>
  <c r="P478" i="47"/>
  <c r="W477" i="47"/>
  <c r="V477" i="47"/>
  <c r="U477" i="47"/>
  <c r="T477" i="47"/>
  <c r="S477" i="47"/>
  <c r="R477" i="47"/>
  <c r="Q477" i="47"/>
  <c r="P477" i="47"/>
  <c r="W476" i="47"/>
  <c r="V476" i="47"/>
  <c r="U476" i="47"/>
  <c r="T476" i="47"/>
  <c r="S476" i="47"/>
  <c r="R476" i="47"/>
  <c r="Q476" i="47"/>
  <c r="P476" i="47"/>
  <c r="W475" i="47"/>
  <c r="V475" i="47"/>
  <c r="U475" i="47"/>
  <c r="T475" i="47"/>
  <c r="S475" i="47"/>
  <c r="R475" i="47"/>
  <c r="Q475" i="47"/>
  <c r="P475" i="47"/>
  <c r="W474" i="47"/>
  <c r="V474" i="47"/>
  <c r="U474" i="47"/>
  <c r="T474" i="47"/>
  <c r="S474" i="47"/>
  <c r="R474" i="47"/>
  <c r="Q474" i="47"/>
  <c r="P474" i="47"/>
  <c r="W473" i="47"/>
  <c r="V473" i="47"/>
  <c r="U473" i="47"/>
  <c r="T473" i="47"/>
  <c r="S473" i="47"/>
  <c r="R473" i="47"/>
  <c r="Q473" i="47"/>
  <c r="P473" i="47"/>
  <c r="W472" i="47"/>
  <c r="V472" i="47"/>
  <c r="U472" i="47"/>
  <c r="T472" i="47"/>
  <c r="S472" i="47"/>
  <c r="R472" i="47"/>
  <c r="Q472" i="47"/>
  <c r="P472" i="47"/>
  <c r="W471" i="47"/>
  <c r="V471" i="47"/>
  <c r="U471" i="47"/>
  <c r="T471" i="47"/>
  <c r="S471" i="47"/>
  <c r="R471" i="47"/>
  <c r="Q471" i="47"/>
  <c r="P471" i="47"/>
  <c r="W470" i="47"/>
  <c r="V470" i="47"/>
  <c r="U470" i="47"/>
  <c r="T470" i="47"/>
  <c r="S470" i="47"/>
  <c r="R470" i="47"/>
  <c r="Q470" i="47"/>
  <c r="P470" i="47"/>
  <c r="W469" i="47"/>
  <c r="V469" i="47"/>
  <c r="U469" i="47"/>
  <c r="T469" i="47"/>
  <c r="S469" i="47"/>
  <c r="R469" i="47"/>
  <c r="Q469" i="47"/>
  <c r="P469" i="47"/>
  <c r="W468" i="47"/>
  <c r="V468" i="47"/>
  <c r="U468" i="47"/>
  <c r="T468" i="47"/>
  <c r="S468" i="47"/>
  <c r="R468" i="47"/>
  <c r="Q468" i="47"/>
  <c r="P468" i="47"/>
  <c r="W467" i="47"/>
  <c r="V467" i="47"/>
  <c r="U467" i="47"/>
  <c r="T467" i="47"/>
  <c r="S467" i="47"/>
  <c r="R467" i="47"/>
  <c r="Q467" i="47"/>
  <c r="P467" i="47"/>
  <c r="W466" i="47"/>
  <c r="V466" i="47"/>
  <c r="U466" i="47"/>
  <c r="T466" i="47"/>
  <c r="S466" i="47"/>
  <c r="R466" i="47"/>
  <c r="Q466" i="47"/>
  <c r="P466" i="47"/>
  <c r="W465" i="47"/>
  <c r="V465" i="47"/>
  <c r="U465" i="47"/>
  <c r="T465" i="47"/>
  <c r="S465" i="47"/>
  <c r="R465" i="47"/>
  <c r="Q465" i="47"/>
  <c r="P465" i="47"/>
  <c r="W464" i="47"/>
  <c r="V464" i="47"/>
  <c r="U464" i="47"/>
  <c r="T464" i="47"/>
  <c r="S464" i="47"/>
  <c r="R464" i="47"/>
  <c r="Q464" i="47"/>
  <c r="P464" i="47"/>
  <c r="W463" i="47"/>
  <c r="V463" i="47"/>
  <c r="U463" i="47"/>
  <c r="T463" i="47"/>
  <c r="S463" i="47"/>
  <c r="R463" i="47"/>
  <c r="Q463" i="47"/>
  <c r="P463" i="47"/>
  <c r="W462" i="47"/>
  <c r="V462" i="47"/>
  <c r="U462" i="47"/>
  <c r="T462" i="47"/>
  <c r="S462" i="47"/>
  <c r="R462" i="47"/>
  <c r="Q462" i="47"/>
  <c r="P462" i="47"/>
  <c r="W461" i="47"/>
  <c r="V461" i="47"/>
  <c r="U461" i="47"/>
  <c r="T461" i="47"/>
  <c r="S461" i="47"/>
  <c r="R461" i="47"/>
  <c r="Q461" i="47"/>
  <c r="P461" i="47"/>
  <c r="W460" i="47"/>
  <c r="V460" i="47"/>
  <c r="U460" i="47"/>
  <c r="T460" i="47"/>
  <c r="S460" i="47"/>
  <c r="R460" i="47"/>
  <c r="Q460" i="47"/>
  <c r="P460" i="47"/>
  <c r="W459" i="47" l="1"/>
  <c r="V459" i="47"/>
  <c r="U459" i="47"/>
  <c r="T459" i="47"/>
  <c r="S459" i="47"/>
  <c r="R459" i="47"/>
  <c r="Q459" i="47"/>
  <c r="P459" i="47"/>
  <c r="W458" i="47"/>
  <c r="V458" i="47"/>
  <c r="U458" i="47"/>
  <c r="T458" i="47"/>
  <c r="S458" i="47"/>
  <c r="R458" i="47"/>
  <c r="Q458" i="47"/>
  <c r="P458" i="47"/>
  <c r="W457" i="47"/>
  <c r="V457" i="47"/>
  <c r="U457" i="47"/>
  <c r="T457" i="47"/>
  <c r="S457" i="47"/>
  <c r="R457" i="47"/>
  <c r="Q457" i="47"/>
  <c r="P457" i="47"/>
  <c r="W456" i="47"/>
  <c r="V456" i="47"/>
  <c r="U456" i="47"/>
  <c r="T456" i="47"/>
  <c r="S456" i="47"/>
  <c r="R456" i="47"/>
  <c r="Q456" i="47"/>
  <c r="P456" i="47"/>
  <c r="W455" i="47"/>
  <c r="V455" i="47"/>
  <c r="U455" i="47"/>
  <c r="T455" i="47"/>
  <c r="S455" i="47"/>
  <c r="R455" i="47"/>
  <c r="Q455" i="47"/>
  <c r="P455" i="47"/>
  <c r="W454" i="47"/>
  <c r="V454" i="47"/>
  <c r="U454" i="47"/>
  <c r="T454" i="47"/>
  <c r="S454" i="47"/>
  <c r="R454" i="47"/>
  <c r="Q454" i="47"/>
  <c r="P454" i="47"/>
  <c r="W453" i="47"/>
  <c r="V453" i="47"/>
  <c r="U453" i="47"/>
  <c r="T453" i="47"/>
  <c r="S453" i="47"/>
  <c r="R453" i="47"/>
  <c r="Q453" i="47"/>
  <c r="P453" i="47"/>
  <c r="W452" i="47"/>
  <c r="AH59" i="1" s="1"/>
  <c r="V452" i="47"/>
  <c r="AG59" i="1" s="1"/>
  <c r="U452" i="47"/>
  <c r="AF59" i="1" s="1"/>
  <c r="T452" i="47"/>
  <c r="AE59" i="1" s="1"/>
  <c r="S452" i="47"/>
  <c r="AD59" i="1" s="1"/>
  <c r="R452" i="47"/>
  <c r="AC59" i="1" s="1"/>
  <c r="Q452" i="47"/>
  <c r="AB59" i="1" s="1"/>
  <c r="P452" i="47"/>
  <c r="AA59" i="1" s="1"/>
  <c r="W451" i="47"/>
  <c r="V451" i="47"/>
  <c r="U451" i="47"/>
  <c r="T451" i="47"/>
  <c r="S451" i="47"/>
  <c r="R451" i="47"/>
  <c r="Q451" i="47"/>
  <c r="P451" i="47"/>
  <c r="W450" i="47"/>
  <c r="V450" i="47"/>
  <c r="U450" i="47"/>
  <c r="T450" i="47"/>
  <c r="S450" i="47"/>
  <c r="R450" i="47"/>
  <c r="Q450" i="47"/>
  <c r="P450" i="47"/>
  <c r="W449" i="47"/>
  <c r="V449" i="47"/>
  <c r="U449" i="47"/>
  <c r="T449" i="47"/>
  <c r="S449" i="47"/>
  <c r="R449" i="47"/>
  <c r="Q449" i="47"/>
  <c r="P449" i="47"/>
  <c r="W448" i="47"/>
  <c r="V448" i="47"/>
  <c r="U448" i="47"/>
  <c r="T448" i="47"/>
  <c r="S448" i="47"/>
  <c r="R448" i="47"/>
  <c r="Q448" i="47"/>
  <c r="P448" i="47"/>
  <c r="W447" i="47"/>
  <c r="V447" i="47"/>
  <c r="U447" i="47"/>
  <c r="T447" i="47"/>
  <c r="S447" i="47"/>
  <c r="R447" i="47"/>
  <c r="Q447" i="47"/>
  <c r="P447" i="47"/>
  <c r="W446" i="47"/>
  <c r="V446" i="47"/>
  <c r="U446" i="47"/>
  <c r="T446" i="47"/>
  <c r="S446" i="47"/>
  <c r="R446" i="47"/>
  <c r="Q446" i="47"/>
  <c r="P446" i="47"/>
  <c r="W445" i="47" l="1"/>
  <c r="V445" i="47"/>
  <c r="U445" i="47"/>
  <c r="T445" i="47"/>
  <c r="S445" i="47"/>
  <c r="R445" i="47"/>
  <c r="Q445" i="47"/>
  <c r="P445" i="47"/>
  <c r="W444" i="47"/>
  <c r="V444" i="47"/>
  <c r="U444" i="47"/>
  <c r="T444" i="47"/>
  <c r="S444" i="47"/>
  <c r="R444" i="47"/>
  <c r="Q444" i="47"/>
  <c r="P444" i="47"/>
  <c r="W443" i="47"/>
  <c r="V443" i="47"/>
  <c r="U443" i="47"/>
  <c r="T443" i="47"/>
  <c r="S443" i="47"/>
  <c r="R443" i="47"/>
  <c r="Q443" i="47"/>
  <c r="P443" i="47"/>
  <c r="F4" i="15"/>
  <c r="F5" i="15"/>
  <c r="F6" i="15"/>
  <c r="F7" i="15"/>
  <c r="F8" i="15"/>
  <c r="F9" i="15"/>
  <c r="F10" i="15"/>
  <c r="F11" i="15"/>
  <c r="F12" i="15"/>
  <c r="F13" i="15"/>
  <c r="F14" i="15"/>
  <c r="F15" i="15"/>
  <c r="F16" i="15"/>
  <c r="F17" i="15"/>
  <c r="F18" i="15"/>
  <c r="F19" i="15"/>
  <c r="F20" i="15"/>
  <c r="F21" i="15"/>
  <c r="F22" i="15"/>
  <c r="F23" i="15"/>
  <c r="F24" i="15"/>
  <c r="F25" i="15"/>
  <c r="F26" i="15"/>
  <c r="F27" i="15"/>
  <c r="F28" i="15"/>
  <c r="F29" i="15"/>
  <c r="F30" i="15"/>
  <c r="F31" i="15"/>
  <c r="F32" i="15"/>
  <c r="F33" i="15"/>
  <c r="F34" i="15"/>
  <c r="F35" i="15"/>
  <c r="F36" i="15"/>
  <c r="F37" i="15"/>
  <c r="F38" i="15"/>
  <c r="F39" i="15"/>
  <c r="F40" i="15"/>
  <c r="F41" i="15"/>
  <c r="F42" i="15"/>
  <c r="F43" i="15"/>
  <c r="F44" i="15"/>
  <c r="F45" i="15"/>
  <c r="F46" i="15"/>
  <c r="F47" i="15"/>
  <c r="F48" i="15"/>
  <c r="F49" i="15"/>
  <c r="F50" i="15"/>
  <c r="F51" i="15"/>
  <c r="F52" i="15"/>
  <c r="F53" i="15"/>
  <c r="F54" i="15"/>
  <c r="F55" i="15"/>
  <c r="F56" i="15"/>
  <c r="F57" i="15"/>
  <c r="F58" i="15"/>
  <c r="F59" i="15"/>
  <c r="F60" i="15"/>
  <c r="F61" i="15"/>
  <c r="F62" i="15"/>
  <c r="F63" i="15"/>
  <c r="F64" i="15"/>
  <c r="F65" i="15"/>
  <c r="F66" i="15"/>
  <c r="F67" i="15"/>
  <c r="F68" i="15"/>
  <c r="F69" i="15"/>
  <c r="F70" i="15"/>
  <c r="F71" i="15"/>
  <c r="F72" i="15"/>
  <c r="F73" i="15"/>
  <c r="F74" i="15"/>
  <c r="F75" i="15"/>
  <c r="F76" i="15"/>
  <c r="F77" i="15"/>
  <c r="F78" i="15"/>
  <c r="F79" i="15"/>
  <c r="F80" i="15"/>
  <c r="F81" i="15"/>
  <c r="F82" i="15"/>
  <c r="F83" i="15"/>
  <c r="F84" i="15"/>
  <c r="F85" i="15"/>
  <c r="F86" i="15"/>
  <c r="F87" i="15"/>
  <c r="F88" i="15"/>
  <c r="F89" i="15"/>
  <c r="F90" i="15"/>
  <c r="F91" i="15"/>
  <c r="F92" i="15"/>
  <c r="F93" i="15"/>
  <c r="F94" i="15"/>
  <c r="F95" i="15"/>
  <c r="F96" i="15"/>
  <c r="F97" i="15"/>
  <c r="F98" i="15"/>
  <c r="F99" i="15"/>
  <c r="F100" i="15"/>
  <c r="F101" i="15"/>
  <c r="F102" i="15"/>
  <c r="F103" i="15"/>
  <c r="F104" i="15"/>
  <c r="F105" i="15"/>
  <c r="F106" i="15"/>
  <c r="F107" i="15"/>
  <c r="F108" i="15"/>
  <c r="F109" i="15"/>
  <c r="F110" i="15"/>
  <c r="F111" i="15"/>
  <c r="F112" i="15"/>
  <c r="F113" i="15"/>
  <c r="F114" i="15"/>
  <c r="F115" i="15"/>
  <c r="F116" i="15"/>
  <c r="F117" i="15"/>
  <c r="F118" i="15"/>
  <c r="F119" i="15"/>
  <c r="F120" i="15"/>
  <c r="F121" i="15"/>
  <c r="F122" i="15"/>
  <c r="F123" i="15"/>
  <c r="F124" i="15"/>
  <c r="F125" i="15"/>
  <c r="F126" i="15"/>
  <c r="F127" i="15"/>
  <c r="F128" i="15"/>
  <c r="F129" i="15"/>
  <c r="F130" i="15"/>
  <c r="F131" i="15"/>
  <c r="F132" i="15"/>
  <c r="F133" i="15"/>
  <c r="F134" i="15"/>
  <c r="F135" i="15"/>
  <c r="F136" i="15"/>
  <c r="F137" i="15"/>
  <c r="F138" i="15"/>
  <c r="F139" i="15"/>
  <c r="F140" i="15"/>
  <c r="F141" i="15"/>
  <c r="F142" i="15"/>
  <c r="F143" i="15"/>
  <c r="F144" i="15"/>
  <c r="F145" i="15"/>
  <c r="F146" i="15"/>
  <c r="F147" i="15"/>
  <c r="F148" i="15"/>
  <c r="F149" i="15"/>
  <c r="F150" i="15"/>
  <c r="F151" i="15"/>
  <c r="F152" i="15"/>
  <c r="F153" i="15"/>
  <c r="F154" i="15"/>
  <c r="F155" i="15"/>
  <c r="F156" i="15"/>
  <c r="F157" i="15"/>
  <c r="F158" i="15"/>
  <c r="F159" i="15"/>
  <c r="F160" i="15"/>
  <c r="F161" i="15"/>
  <c r="F162" i="15"/>
  <c r="F163" i="15"/>
  <c r="F164" i="15"/>
  <c r="F165" i="15"/>
  <c r="F166" i="15"/>
  <c r="F167" i="15"/>
  <c r="F168" i="15"/>
  <c r="F169" i="15"/>
  <c r="F170" i="15"/>
  <c r="F171" i="15"/>
  <c r="F172" i="15"/>
  <c r="F173" i="15"/>
  <c r="F174" i="15"/>
  <c r="F175" i="15"/>
  <c r="F176" i="15"/>
  <c r="F177" i="15"/>
  <c r="F178" i="15"/>
  <c r="F179" i="15"/>
  <c r="F180" i="15"/>
  <c r="F181" i="15"/>
  <c r="F182" i="15"/>
  <c r="F183" i="15"/>
  <c r="F184" i="15"/>
  <c r="F185" i="15"/>
  <c r="F186" i="15"/>
  <c r="F187" i="15"/>
  <c r="F188" i="15"/>
  <c r="F189" i="15"/>
  <c r="F190" i="15"/>
  <c r="F191" i="15"/>
  <c r="F192" i="15"/>
  <c r="F193" i="15"/>
  <c r="F194" i="15"/>
  <c r="F195" i="15"/>
  <c r="F196" i="15"/>
  <c r="F197" i="15"/>
  <c r="F198" i="15"/>
  <c r="F199" i="15"/>
  <c r="F200" i="15"/>
  <c r="F201" i="15"/>
  <c r="F202" i="15"/>
  <c r="F203" i="15"/>
  <c r="F204" i="15"/>
  <c r="F205" i="15"/>
  <c r="F206" i="15"/>
  <c r="F207" i="15"/>
  <c r="F208" i="15"/>
  <c r="F209" i="15"/>
  <c r="F210" i="15"/>
  <c r="F211" i="15"/>
  <c r="F212" i="15"/>
  <c r="F213" i="15"/>
  <c r="F214" i="15"/>
  <c r="F215" i="15"/>
  <c r="F216" i="15"/>
  <c r="F217" i="15"/>
  <c r="F218" i="15"/>
  <c r="F219" i="15"/>
  <c r="F220" i="15"/>
  <c r="F221" i="15"/>
  <c r="F222" i="15"/>
  <c r="F223" i="15"/>
  <c r="F224" i="15"/>
  <c r="F225" i="15"/>
  <c r="F226" i="15"/>
  <c r="F227" i="15"/>
  <c r="F228" i="15"/>
  <c r="F229" i="15"/>
  <c r="F230" i="15"/>
  <c r="F231" i="15"/>
  <c r="F232" i="15"/>
  <c r="F233" i="15"/>
  <c r="F234" i="15"/>
  <c r="F235" i="15"/>
  <c r="F236" i="15"/>
  <c r="F237" i="15"/>
  <c r="F238" i="15"/>
  <c r="F239" i="15"/>
  <c r="F240" i="15"/>
  <c r="F241" i="15"/>
  <c r="F242" i="15"/>
  <c r="F243" i="15"/>
  <c r="F244" i="15"/>
  <c r="F245" i="15"/>
  <c r="F246" i="15"/>
  <c r="F247" i="15"/>
  <c r="F248" i="15"/>
  <c r="F249" i="15"/>
  <c r="F250" i="15"/>
  <c r="F251" i="15"/>
  <c r="F252" i="15"/>
  <c r="F253" i="15"/>
  <c r="F254" i="15"/>
  <c r="F255" i="15"/>
  <c r="F256" i="15"/>
  <c r="F257" i="15"/>
  <c r="F258" i="15"/>
  <c r="F259" i="15"/>
  <c r="F260" i="15"/>
  <c r="F261" i="15"/>
  <c r="F262" i="15"/>
  <c r="F263" i="15"/>
  <c r="F264" i="15"/>
  <c r="F265" i="15"/>
  <c r="F266" i="15"/>
  <c r="F267" i="15"/>
  <c r="F268" i="15"/>
  <c r="F269" i="15"/>
  <c r="F270" i="15"/>
  <c r="F271" i="15"/>
  <c r="F272" i="15"/>
  <c r="F273" i="15"/>
  <c r="F274" i="15"/>
  <c r="F275" i="15"/>
  <c r="F276" i="15"/>
  <c r="F277" i="15"/>
  <c r="F278" i="15"/>
  <c r="F279" i="15"/>
  <c r="F280" i="15"/>
  <c r="F281" i="15"/>
  <c r="F282" i="15"/>
  <c r="F283" i="15"/>
  <c r="F284" i="15"/>
  <c r="F285" i="15"/>
  <c r="F286" i="15"/>
  <c r="F287" i="15"/>
  <c r="F288" i="15"/>
  <c r="F289" i="15"/>
  <c r="F290" i="15"/>
  <c r="F291" i="15"/>
  <c r="F292" i="15"/>
  <c r="F293" i="15"/>
  <c r="F294" i="15"/>
  <c r="F295" i="15"/>
  <c r="F296" i="15"/>
  <c r="F297" i="15"/>
  <c r="F298" i="15"/>
  <c r="F299" i="15"/>
  <c r="F300" i="15"/>
  <c r="F301" i="15"/>
  <c r="F302" i="15"/>
  <c r="F303" i="15"/>
  <c r="F304" i="15"/>
  <c r="F305" i="15"/>
  <c r="F306" i="15"/>
  <c r="F307" i="15"/>
  <c r="F308" i="15"/>
  <c r="F309" i="15"/>
  <c r="F310" i="15"/>
  <c r="F311" i="15"/>
  <c r="F312" i="15"/>
  <c r="F313" i="15"/>
  <c r="F314" i="15"/>
  <c r="F315" i="15"/>
  <c r="F316" i="15"/>
  <c r="F317" i="15"/>
  <c r="F318" i="15"/>
  <c r="F319" i="15"/>
  <c r="F320" i="15"/>
  <c r="F321" i="15"/>
  <c r="F322" i="15"/>
  <c r="F323" i="15"/>
  <c r="F324" i="15"/>
  <c r="F325" i="15"/>
  <c r="F326" i="15"/>
  <c r="F327" i="15"/>
  <c r="F328" i="15"/>
  <c r="F329" i="15"/>
  <c r="F330" i="15"/>
  <c r="F331" i="15"/>
  <c r="F332" i="15"/>
  <c r="F333" i="15"/>
  <c r="F334" i="15"/>
  <c r="F335" i="15"/>
  <c r="F336" i="15"/>
  <c r="F337" i="15"/>
  <c r="F338" i="15"/>
  <c r="F339" i="15"/>
  <c r="F340" i="15"/>
  <c r="F341" i="15"/>
  <c r="F342" i="15"/>
  <c r="F343" i="15"/>
  <c r="F344" i="15"/>
  <c r="F345" i="15"/>
  <c r="F346" i="15"/>
  <c r="F347" i="15"/>
  <c r="F348" i="15"/>
  <c r="F349" i="15"/>
  <c r="F350" i="15"/>
  <c r="F351" i="15"/>
  <c r="F352" i="15"/>
  <c r="F353" i="15"/>
  <c r="F354" i="15"/>
  <c r="F355" i="15"/>
  <c r="F356" i="15"/>
  <c r="F357" i="15"/>
  <c r="F358" i="15"/>
  <c r="F359" i="15"/>
  <c r="F360" i="15"/>
  <c r="F361" i="15"/>
  <c r="F362" i="15"/>
  <c r="F363" i="15"/>
  <c r="F364" i="15"/>
  <c r="F365" i="15"/>
  <c r="F366" i="15"/>
  <c r="F367" i="15"/>
  <c r="F368" i="15"/>
  <c r="F369" i="15"/>
  <c r="F370" i="15"/>
  <c r="F371" i="15"/>
  <c r="F372" i="15"/>
  <c r="F373" i="15"/>
  <c r="F374" i="15"/>
  <c r="F375" i="15"/>
  <c r="F376" i="15"/>
  <c r="F377" i="15"/>
  <c r="F378" i="15"/>
  <c r="F379" i="15"/>
  <c r="F380" i="15"/>
  <c r="F381" i="15"/>
  <c r="F382" i="15"/>
  <c r="F383" i="15"/>
  <c r="F384" i="15"/>
  <c r="F385" i="15"/>
  <c r="F386" i="15"/>
  <c r="F387" i="15"/>
  <c r="F388" i="15"/>
  <c r="F389" i="15"/>
  <c r="F390" i="15"/>
  <c r="F391" i="15"/>
  <c r="F392" i="15"/>
  <c r="F393" i="15"/>
  <c r="F394" i="15"/>
  <c r="F395" i="15"/>
  <c r="F396" i="15"/>
  <c r="F397" i="15"/>
  <c r="F398" i="15"/>
  <c r="F399" i="15"/>
  <c r="F400" i="15"/>
  <c r="F401" i="15"/>
  <c r="F402" i="15"/>
  <c r="F403" i="15"/>
  <c r="F404" i="15"/>
  <c r="F405" i="15"/>
  <c r="F406" i="15"/>
  <c r="F407" i="15"/>
  <c r="F408" i="15"/>
  <c r="F409" i="15"/>
  <c r="F410" i="15"/>
  <c r="F411" i="15"/>
  <c r="F412" i="15"/>
  <c r="F413" i="15"/>
  <c r="F414" i="15"/>
  <c r="F415" i="15"/>
  <c r="F416" i="15"/>
  <c r="F417" i="15"/>
  <c r="F418" i="15"/>
  <c r="F419" i="15"/>
  <c r="F420" i="15"/>
  <c r="F421" i="15"/>
  <c r="F422" i="15"/>
  <c r="F423" i="15"/>
  <c r="F424" i="15"/>
  <c r="F425" i="15"/>
  <c r="F426" i="15"/>
  <c r="F427" i="15"/>
  <c r="F428" i="15"/>
  <c r="F429" i="15"/>
  <c r="F430" i="15"/>
  <c r="F431" i="15"/>
  <c r="F432" i="15"/>
  <c r="F433" i="15"/>
  <c r="F434" i="15"/>
  <c r="F435" i="15"/>
  <c r="F436" i="15"/>
  <c r="F437" i="15"/>
  <c r="F438" i="15"/>
  <c r="F439" i="15"/>
  <c r="F440" i="15"/>
  <c r="F441" i="15"/>
  <c r="F442" i="15"/>
  <c r="F443" i="15"/>
  <c r="F444" i="15"/>
  <c r="W442" i="47" l="1"/>
  <c r="V442" i="47"/>
  <c r="U442" i="47"/>
  <c r="T442" i="47"/>
  <c r="S442" i="47"/>
  <c r="R442" i="47"/>
  <c r="Q442" i="47"/>
  <c r="P442" i="47"/>
  <c r="W441" i="47"/>
  <c r="V441" i="47"/>
  <c r="U441" i="47"/>
  <c r="T441" i="47"/>
  <c r="S441" i="47"/>
  <c r="R441" i="47"/>
  <c r="Q441" i="47"/>
  <c r="P441" i="47"/>
  <c r="W440" i="47" l="1"/>
  <c r="V440" i="47"/>
  <c r="U440" i="47"/>
  <c r="T440" i="47"/>
  <c r="S440" i="47"/>
  <c r="R440" i="47"/>
  <c r="Q440" i="47"/>
  <c r="P440" i="47"/>
  <c r="F8" i="29"/>
  <c r="G8" i="29"/>
  <c r="W439" i="47"/>
  <c r="V439" i="47"/>
  <c r="U439" i="47"/>
  <c r="T439" i="47"/>
  <c r="S439" i="47"/>
  <c r="R439" i="47"/>
  <c r="Q439" i="47"/>
  <c r="P439" i="47"/>
  <c r="W438" i="47"/>
  <c r="V438" i="47"/>
  <c r="U438" i="47"/>
  <c r="T438" i="47"/>
  <c r="S438" i="47"/>
  <c r="R438" i="47"/>
  <c r="Q438" i="47"/>
  <c r="P438" i="47"/>
  <c r="W437" i="47"/>
  <c r="V437" i="47"/>
  <c r="U437" i="47"/>
  <c r="T437" i="47"/>
  <c r="S437" i="47"/>
  <c r="R437" i="47"/>
  <c r="Q437" i="47"/>
  <c r="P437" i="47"/>
  <c r="W436" i="47"/>
  <c r="V436" i="47"/>
  <c r="U436" i="47"/>
  <c r="T436" i="47"/>
  <c r="S436" i="47"/>
  <c r="R436" i="47"/>
  <c r="Q436" i="47"/>
  <c r="P436" i="47"/>
  <c r="W435" i="47"/>
  <c r="V435" i="47"/>
  <c r="U435" i="47"/>
  <c r="T435" i="47"/>
  <c r="S435" i="47"/>
  <c r="R435" i="47"/>
  <c r="Q435" i="47"/>
  <c r="P435" i="47"/>
  <c r="W434" i="47"/>
  <c r="V434" i="47"/>
  <c r="U434" i="47"/>
  <c r="T434" i="47"/>
  <c r="S434" i="47"/>
  <c r="R434" i="47"/>
  <c r="Q434" i="47"/>
  <c r="P434" i="47"/>
  <c r="W433" i="47"/>
  <c r="V433" i="47"/>
  <c r="U433" i="47"/>
  <c r="T433" i="47"/>
  <c r="S433" i="47"/>
  <c r="R433" i="47"/>
  <c r="Q433" i="47"/>
  <c r="P433" i="47"/>
  <c r="W432" i="47"/>
  <c r="V432" i="47"/>
  <c r="U432" i="47"/>
  <c r="T432" i="47"/>
  <c r="S432" i="47"/>
  <c r="R432" i="47"/>
  <c r="Q432" i="47"/>
  <c r="P432" i="47"/>
  <c r="W431" i="47"/>
  <c r="V431" i="47"/>
  <c r="U431" i="47"/>
  <c r="T431" i="47"/>
  <c r="S431" i="47"/>
  <c r="R431" i="47"/>
  <c r="Q431" i="47"/>
  <c r="P431" i="47"/>
  <c r="W430" i="47"/>
  <c r="V430" i="47"/>
  <c r="U430" i="47"/>
  <c r="T430" i="47"/>
  <c r="S430" i="47"/>
  <c r="R430" i="47"/>
  <c r="Q430" i="47"/>
  <c r="P430" i="47"/>
  <c r="W429" i="47"/>
  <c r="AH10" i="1" s="1"/>
  <c r="V429" i="47"/>
  <c r="AG10" i="1" s="1"/>
  <c r="U429" i="47"/>
  <c r="AF10" i="1" s="1"/>
  <c r="T429" i="47"/>
  <c r="AE10" i="1" s="1"/>
  <c r="S429" i="47"/>
  <c r="AD10" i="1" s="1"/>
  <c r="R429" i="47"/>
  <c r="AC10" i="1" s="1"/>
  <c r="Q429" i="47"/>
  <c r="AB10" i="1" s="1"/>
  <c r="P429" i="47"/>
  <c r="AA10" i="1" s="1"/>
  <c r="W428" i="47" l="1"/>
  <c r="V428" i="47"/>
  <c r="U428" i="47"/>
  <c r="T428" i="47"/>
  <c r="S428" i="47"/>
  <c r="R428" i="47"/>
  <c r="Q428" i="47"/>
  <c r="P428" i="47"/>
  <c r="W427" i="47"/>
  <c r="V427" i="47"/>
  <c r="U427" i="47"/>
  <c r="T427" i="47"/>
  <c r="S427" i="47"/>
  <c r="R427" i="47"/>
  <c r="Q427" i="47"/>
  <c r="P427" i="47"/>
  <c r="W426" i="47"/>
  <c r="V426" i="47"/>
  <c r="U426" i="47"/>
  <c r="T426" i="47"/>
  <c r="S426" i="47"/>
  <c r="R426" i="47"/>
  <c r="Q426" i="47"/>
  <c r="P426" i="47"/>
  <c r="W425" i="47"/>
  <c r="V425" i="47"/>
  <c r="U425" i="47"/>
  <c r="T425" i="47"/>
  <c r="S425" i="47"/>
  <c r="R425" i="47"/>
  <c r="Q425" i="47"/>
  <c r="P425" i="47"/>
  <c r="W424" i="47"/>
  <c r="V424" i="47"/>
  <c r="U424" i="47"/>
  <c r="T424" i="47"/>
  <c r="S424" i="47"/>
  <c r="R424" i="47"/>
  <c r="Q424" i="47"/>
  <c r="P424" i="47"/>
  <c r="W423" i="47" l="1"/>
  <c r="V423" i="47"/>
  <c r="U423" i="47"/>
  <c r="T423" i="47"/>
  <c r="S423" i="47"/>
  <c r="R423" i="47"/>
  <c r="Q423" i="47"/>
  <c r="P423" i="47"/>
  <c r="W422" i="47"/>
  <c r="V422" i="47"/>
  <c r="U422" i="47"/>
  <c r="T422" i="47"/>
  <c r="S422" i="47"/>
  <c r="R422" i="47"/>
  <c r="Q422" i="47"/>
  <c r="P422" i="47"/>
  <c r="W421" i="47"/>
  <c r="V421" i="47"/>
  <c r="U421" i="47"/>
  <c r="T421" i="47"/>
  <c r="S421" i="47"/>
  <c r="R421" i="47"/>
  <c r="Q421" i="47"/>
  <c r="P421" i="47"/>
  <c r="W420" i="47" l="1"/>
  <c r="V420" i="47"/>
  <c r="U420" i="47"/>
  <c r="T420" i="47"/>
  <c r="S420" i="47"/>
  <c r="R420" i="47"/>
  <c r="Q420" i="47"/>
  <c r="P420" i="47"/>
  <c r="W419" i="47"/>
  <c r="V419" i="47"/>
  <c r="U419" i="47"/>
  <c r="T419" i="47"/>
  <c r="S419" i="47"/>
  <c r="R419" i="47"/>
  <c r="Q419" i="47"/>
  <c r="P419" i="47"/>
  <c r="W418" i="47"/>
  <c r="V418" i="47"/>
  <c r="U418" i="47"/>
  <c r="T418" i="47"/>
  <c r="S418" i="47"/>
  <c r="R418" i="47"/>
  <c r="Q418" i="47"/>
  <c r="P418" i="47"/>
  <c r="F4" i="40" l="1"/>
  <c r="B31" i="42" s="1"/>
  <c r="B71" i="66" s="1"/>
  <c r="W413" i="47" l="1"/>
  <c r="V413" i="47"/>
  <c r="U413" i="47"/>
  <c r="T413" i="47"/>
  <c r="S413" i="47"/>
  <c r="R413" i="47"/>
  <c r="Q413" i="47"/>
  <c r="P413" i="47"/>
  <c r="W414" i="47"/>
  <c r="V414" i="47"/>
  <c r="U414" i="47"/>
  <c r="T414" i="47"/>
  <c r="S414" i="47"/>
  <c r="R414" i="47"/>
  <c r="Q414" i="47"/>
  <c r="P414" i="47"/>
  <c r="W415" i="47"/>
  <c r="V415" i="47"/>
  <c r="U415" i="47"/>
  <c r="T415" i="47"/>
  <c r="S415" i="47"/>
  <c r="R415" i="47"/>
  <c r="Q415" i="47"/>
  <c r="P415" i="47"/>
  <c r="W416" i="47"/>
  <c r="V416" i="47"/>
  <c r="U416" i="47"/>
  <c r="T416" i="47"/>
  <c r="S416" i="47"/>
  <c r="R416" i="47"/>
  <c r="Q416" i="47"/>
  <c r="P416" i="47"/>
  <c r="W417" i="47"/>
  <c r="V417" i="47"/>
  <c r="U417" i="47"/>
  <c r="T417" i="47"/>
  <c r="S417" i="47"/>
  <c r="R417" i="47"/>
  <c r="Q417" i="47"/>
  <c r="P417" i="47"/>
  <c r="W411" i="47" l="1"/>
  <c r="V411" i="47"/>
  <c r="U411" i="47"/>
  <c r="T411" i="47"/>
  <c r="S411" i="47"/>
  <c r="R411" i="47"/>
  <c r="Q411" i="47"/>
  <c r="P411" i="47"/>
  <c r="W410" i="47"/>
  <c r="V410" i="47"/>
  <c r="U410" i="47"/>
  <c r="T410" i="47"/>
  <c r="S410" i="47"/>
  <c r="R410" i="47"/>
  <c r="Q410" i="47"/>
  <c r="P410" i="47"/>
  <c r="W412" i="47"/>
  <c r="V412" i="47"/>
  <c r="U412" i="47"/>
  <c r="T412" i="47"/>
  <c r="S412" i="47"/>
  <c r="R412" i="47"/>
  <c r="Q412" i="47"/>
  <c r="P412" i="47"/>
  <c r="W409" i="47" l="1"/>
  <c r="V409" i="47"/>
  <c r="U409" i="47"/>
  <c r="T409" i="47"/>
  <c r="S409" i="47"/>
  <c r="R409" i="47"/>
  <c r="Q409" i="47"/>
  <c r="P409" i="47"/>
  <c r="W408" i="47"/>
  <c r="V408" i="47"/>
  <c r="U408" i="47"/>
  <c r="T408" i="47"/>
  <c r="S408" i="47"/>
  <c r="R408" i="47"/>
  <c r="Q408" i="47"/>
  <c r="P408" i="47"/>
  <c r="W407" i="47"/>
  <c r="AH49" i="1" s="1"/>
  <c r="V407" i="47"/>
  <c r="AG49" i="1" s="1"/>
  <c r="U407" i="47"/>
  <c r="AF49" i="1" s="1"/>
  <c r="T407" i="47"/>
  <c r="AE49" i="1" s="1"/>
  <c r="S407" i="47"/>
  <c r="AD49" i="1" s="1"/>
  <c r="R407" i="47"/>
  <c r="AC49" i="1" s="1"/>
  <c r="Q407" i="47"/>
  <c r="AB49" i="1" s="1"/>
  <c r="P407" i="47"/>
  <c r="AA49" i="1" s="1"/>
  <c r="W406" i="47"/>
  <c r="V406" i="47"/>
  <c r="U406" i="47"/>
  <c r="T406" i="47"/>
  <c r="S406" i="47"/>
  <c r="R406" i="47"/>
  <c r="Q406" i="47"/>
  <c r="P406" i="47"/>
  <c r="W405" i="47"/>
  <c r="V405" i="47"/>
  <c r="U405" i="47"/>
  <c r="T405" i="47"/>
  <c r="S405" i="47"/>
  <c r="R405" i="47"/>
  <c r="Q405" i="47"/>
  <c r="P405" i="47"/>
  <c r="W404" i="47"/>
  <c r="V404" i="47"/>
  <c r="U404" i="47"/>
  <c r="T404" i="47"/>
  <c r="S404" i="47"/>
  <c r="R404" i="47"/>
  <c r="Q404" i="47"/>
  <c r="P404" i="47"/>
  <c r="W403" i="47"/>
  <c r="V403" i="47"/>
  <c r="U403" i="47"/>
  <c r="T403" i="47"/>
  <c r="S403" i="47"/>
  <c r="R403" i="47"/>
  <c r="Q403" i="47"/>
  <c r="P403" i="47"/>
  <c r="W402" i="47" l="1"/>
  <c r="V402" i="47"/>
  <c r="U402" i="47"/>
  <c r="T402" i="47"/>
  <c r="S402" i="47"/>
  <c r="R402" i="47"/>
  <c r="Q402" i="47"/>
  <c r="P402" i="47"/>
  <c r="W401" i="47"/>
  <c r="V401" i="47"/>
  <c r="U401" i="47"/>
  <c r="T401" i="47"/>
  <c r="S401" i="47"/>
  <c r="R401" i="47"/>
  <c r="Q401" i="47"/>
  <c r="P401" i="47"/>
  <c r="W400" i="47"/>
  <c r="V400" i="47"/>
  <c r="U400" i="47"/>
  <c r="T400" i="47"/>
  <c r="S400" i="47"/>
  <c r="R400" i="47"/>
  <c r="Q400" i="47"/>
  <c r="P400" i="47"/>
  <c r="W398" i="47" l="1"/>
  <c r="V398" i="47"/>
  <c r="U398" i="47"/>
  <c r="T398" i="47"/>
  <c r="S398" i="47"/>
  <c r="R398" i="47"/>
  <c r="Q398" i="47"/>
  <c r="P398" i="47"/>
  <c r="W397" i="47"/>
  <c r="V397" i="47"/>
  <c r="U397" i="47"/>
  <c r="T397" i="47"/>
  <c r="S397" i="47"/>
  <c r="R397" i="47"/>
  <c r="Q397" i="47"/>
  <c r="P397" i="47"/>
  <c r="W396" i="47"/>
  <c r="AH54" i="1" s="1"/>
  <c r="V396" i="47"/>
  <c r="AG54" i="1" s="1"/>
  <c r="U396" i="47"/>
  <c r="AF54" i="1" s="1"/>
  <c r="T396" i="47"/>
  <c r="AE54" i="1" s="1"/>
  <c r="S396" i="47"/>
  <c r="AD54" i="1" s="1"/>
  <c r="R396" i="47"/>
  <c r="AC54" i="1" s="1"/>
  <c r="Q396" i="47"/>
  <c r="AB54" i="1" s="1"/>
  <c r="P396" i="47"/>
  <c r="AA54" i="1" s="1"/>
  <c r="W399" i="47"/>
  <c r="V399" i="47"/>
  <c r="U399" i="47"/>
  <c r="T399" i="47"/>
  <c r="S399" i="47"/>
  <c r="R399" i="47"/>
  <c r="Q399" i="47"/>
  <c r="P399" i="47"/>
  <c r="H8" i="25"/>
  <c r="G8" i="25" l="1"/>
  <c r="F31" i="30" l="1"/>
  <c r="F29" i="30"/>
  <c r="F26" i="30"/>
  <c r="F25" i="30"/>
  <c r="F22" i="30"/>
  <c r="F18" i="30"/>
  <c r="F17" i="30"/>
  <c r="F14" i="30"/>
  <c r="F10" i="30"/>
  <c r="G32" i="30"/>
  <c r="G31" i="30"/>
  <c r="G30" i="30"/>
  <c r="G29" i="30"/>
  <c r="G28" i="30"/>
  <c r="G27" i="30"/>
  <c r="G26" i="30"/>
  <c r="G25" i="30"/>
  <c r="G24" i="30"/>
  <c r="G23" i="30"/>
  <c r="G22" i="30"/>
  <c r="G21" i="30"/>
  <c r="G20" i="30"/>
  <c r="G19" i="30"/>
  <c r="G18" i="30"/>
  <c r="G17" i="30"/>
  <c r="G16" i="30"/>
  <c r="G15" i="30"/>
  <c r="G14" i="30"/>
  <c r="G13" i="30"/>
  <c r="G12" i="30"/>
  <c r="G11" i="30"/>
  <c r="G10" i="30"/>
  <c r="G9" i="30"/>
  <c r="F9" i="30"/>
  <c r="W395" i="47"/>
  <c r="V395" i="47"/>
  <c r="U395" i="47"/>
  <c r="T395" i="47"/>
  <c r="S395" i="47"/>
  <c r="R395" i="47"/>
  <c r="Q395" i="47"/>
  <c r="P395" i="47"/>
  <c r="W394" i="47"/>
  <c r="V394" i="47"/>
  <c r="U394" i="47"/>
  <c r="T394" i="47"/>
  <c r="S394" i="47"/>
  <c r="R394" i="47"/>
  <c r="Q394" i="47"/>
  <c r="P394" i="47"/>
  <c r="W393" i="47"/>
  <c r="V393" i="47"/>
  <c r="U393" i="47"/>
  <c r="T393" i="47"/>
  <c r="S393" i="47"/>
  <c r="R393" i="47"/>
  <c r="Q393" i="47"/>
  <c r="P393" i="47"/>
  <c r="W392" i="47"/>
  <c r="V392" i="47"/>
  <c r="U392" i="47"/>
  <c r="T392" i="47"/>
  <c r="S392" i="47"/>
  <c r="R392" i="47"/>
  <c r="Q392" i="47"/>
  <c r="P392" i="47"/>
  <c r="W391" i="47"/>
  <c r="V391" i="47"/>
  <c r="U391" i="47"/>
  <c r="T391" i="47"/>
  <c r="S391" i="47"/>
  <c r="R391" i="47"/>
  <c r="Q391" i="47"/>
  <c r="P391" i="47"/>
  <c r="W390" i="47"/>
  <c r="V390" i="47"/>
  <c r="U390" i="47"/>
  <c r="T390" i="47"/>
  <c r="S390" i="47"/>
  <c r="R390" i="47"/>
  <c r="Q390" i="47"/>
  <c r="P390" i="47"/>
  <c r="W389" i="47"/>
  <c r="V389" i="47"/>
  <c r="U389" i="47"/>
  <c r="T389" i="47"/>
  <c r="S389" i="47"/>
  <c r="R389" i="47"/>
  <c r="Q389" i="47"/>
  <c r="P389" i="47"/>
  <c r="W388" i="47"/>
  <c r="V388" i="47"/>
  <c r="U388" i="47"/>
  <c r="T388" i="47"/>
  <c r="S388" i="47"/>
  <c r="R388" i="47"/>
  <c r="Q388" i="47"/>
  <c r="P388" i="47"/>
  <c r="W387" i="47"/>
  <c r="V387" i="47"/>
  <c r="U387" i="47"/>
  <c r="T387" i="47"/>
  <c r="S387" i="47"/>
  <c r="R387" i="47"/>
  <c r="Q387" i="47"/>
  <c r="P387" i="47"/>
  <c r="W386" i="47"/>
  <c r="V386" i="47"/>
  <c r="U386" i="47"/>
  <c r="T386" i="47"/>
  <c r="S386" i="47"/>
  <c r="R386" i="47"/>
  <c r="Q386" i="47"/>
  <c r="P386" i="47"/>
  <c r="W385" i="47"/>
  <c r="V385" i="47"/>
  <c r="U385" i="47"/>
  <c r="T385" i="47"/>
  <c r="S385" i="47"/>
  <c r="R385" i="47"/>
  <c r="Q385" i="47"/>
  <c r="P385" i="47"/>
  <c r="W384" i="47"/>
  <c r="V384" i="47"/>
  <c r="U384" i="47"/>
  <c r="T384" i="47"/>
  <c r="S384" i="47"/>
  <c r="R384" i="47"/>
  <c r="Q384" i="47"/>
  <c r="P384" i="47"/>
  <c r="W383" i="47"/>
  <c r="V383" i="47"/>
  <c r="U383" i="47"/>
  <c r="T383" i="47"/>
  <c r="S383" i="47"/>
  <c r="R383" i="47"/>
  <c r="Q383" i="47"/>
  <c r="P383" i="47"/>
  <c r="F30" i="30" l="1"/>
  <c r="F32" i="30"/>
  <c r="F23" i="30"/>
  <c r="F15" i="30"/>
  <c r="F13" i="30"/>
  <c r="F21" i="30"/>
  <c r="F11" i="30"/>
  <c r="F19" i="30"/>
  <c r="F27" i="30"/>
  <c r="F12" i="30"/>
  <c r="F16" i="30"/>
  <c r="F20" i="30"/>
  <c r="F24" i="30"/>
  <c r="F28" i="30"/>
  <c r="W382" i="47" l="1"/>
  <c r="V382" i="47"/>
  <c r="U382" i="47"/>
  <c r="T382" i="47"/>
  <c r="S382" i="47"/>
  <c r="R382" i="47"/>
  <c r="Q382" i="47"/>
  <c r="P382" i="47"/>
  <c r="W381" i="47" l="1"/>
  <c r="V381" i="47"/>
  <c r="U381" i="47"/>
  <c r="T381" i="47"/>
  <c r="S381" i="47"/>
  <c r="R381" i="47"/>
  <c r="Q381" i="47"/>
  <c r="P381" i="47"/>
  <c r="W380" i="47"/>
  <c r="V380" i="47"/>
  <c r="U380" i="47"/>
  <c r="T380" i="47"/>
  <c r="S380" i="47"/>
  <c r="R380" i="47"/>
  <c r="Q380" i="47"/>
  <c r="P380" i="47"/>
  <c r="W379" i="47"/>
  <c r="V379" i="47"/>
  <c r="U379" i="47"/>
  <c r="T379" i="47"/>
  <c r="S379" i="47"/>
  <c r="R379" i="47"/>
  <c r="Q379" i="47"/>
  <c r="P379" i="47"/>
  <c r="W378" i="47"/>
  <c r="V378" i="47"/>
  <c r="U378" i="47"/>
  <c r="T378" i="47"/>
  <c r="S378" i="47"/>
  <c r="R378" i="47"/>
  <c r="Q378" i="47"/>
  <c r="P378" i="47"/>
  <c r="W377" i="47"/>
  <c r="V377" i="47"/>
  <c r="U377" i="47"/>
  <c r="T377" i="47"/>
  <c r="S377" i="47"/>
  <c r="R377" i="47"/>
  <c r="Q377" i="47"/>
  <c r="P377" i="47"/>
  <c r="W376" i="47"/>
  <c r="V376" i="47"/>
  <c r="U376" i="47"/>
  <c r="T376" i="47"/>
  <c r="S376" i="47"/>
  <c r="R376" i="47"/>
  <c r="Q376" i="47"/>
  <c r="P376" i="47"/>
  <c r="W375" i="47"/>
  <c r="V375" i="47"/>
  <c r="U375" i="47"/>
  <c r="T375" i="47"/>
  <c r="S375" i="47"/>
  <c r="R375" i="47"/>
  <c r="Q375" i="47"/>
  <c r="P375" i="47"/>
  <c r="W374" i="47"/>
  <c r="V374" i="47"/>
  <c r="U374" i="47"/>
  <c r="T374" i="47"/>
  <c r="S374" i="47"/>
  <c r="R374" i="47"/>
  <c r="Q374" i="47"/>
  <c r="P374" i="47"/>
  <c r="W373" i="47"/>
  <c r="V373" i="47"/>
  <c r="U373" i="47"/>
  <c r="T373" i="47"/>
  <c r="S373" i="47"/>
  <c r="R373" i="47"/>
  <c r="Q373" i="47"/>
  <c r="P373" i="47"/>
  <c r="W372" i="47"/>
  <c r="V372" i="47"/>
  <c r="U372" i="47"/>
  <c r="T372" i="47"/>
  <c r="S372" i="47"/>
  <c r="R372" i="47"/>
  <c r="Q372" i="47"/>
  <c r="P372" i="47"/>
  <c r="W371" i="47"/>
  <c r="V371" i="47"/>
  <c r="U371" i="47"/>
  <c r="T371" i="47"/>
  <c r="S371" i="47"/>
  <c r="R371" i="47"/>
  <c r="Q371" i="47"/>
  <c r="P371" i="47"/>
  <c r="W370" i="47"/>
  <c r="V370" i="47"/>
  <c r="U370" i="47"/>
  <c r="T370" i="47"/>
  <c r="S370" i="47"/>
  <c r="R370" i="47"/>
  <c r="Q370" i="47"/>
  <c r="P370" i="47"/>
  <c r="W369" i="47"/>
  <c r="V369" i="47"/>
  <c r="U369" i="47"/>
  <c r="T369" i="47"/>
  <c r="S369" i="47"/>
  <c r="R369" i="47"/>
  <c r="Q369" i="47"/>
  <c r="P369" i="47"/>
  <c r="W368" i="47"/>
  <c r="V368" i="47"/>
  <c r="U368" i="47"/>
  <c r="T368" i="47"/>
  <c r="S368" i="47"/>
  <c r="R368" i="47"/>
  <c r="Q368" i="47"/>
  <c r="P368" i="47"/>
  <c r="W367" i="47"/>
  <c r="V367" i="47"/>
  <c r="U367" i="47"/>
  <c r="T367" i="47"/>
  <c r="S367" i="47"/>
  <c r="R367" i="47"/>
  <c r="Q367" i="47"/>
  <c r="P367" i="47"/>
  <c r="W366" i="47"/>
  <c r="V366" i="47"/>
  <c r="U366" i="47"/>
  <c r="T366" i="47"/>
  <c r="S366" i="47"/>
  <c r="R366" i="47"/>
  <c r="Q366" i="47"/>
  <c r="P366" i="47"/>
  <c r="W365" i="47"/>
  <c r="V365" i="47"/>
  <c r="U365" i="47"/>
  <c r="T365" i="47"/>
  <c r="S365" i="47"/>
  <c r="R365" i="47"/>
  <c r="Q365" i="47"/>
  <c r="P365" i="47"/>
  <c r="W364" i="47"/>
  <c r="V364" i="47"/>
  <c r="U364" i="47"/>
  <c r="T364" i="47"/>
  <c r="S364" i="47"/>
  <c r="R364" i="47"/>
  <c r="Q364" i="47"/>
  <c r="P364" i="47"/>
  <c r="E48" i="28" l="1"/>
  <c r="D48" i="28"/>
  <c r="B48" i="28"/>
  <c r="A48" i="28"/>
  <c r="E47" i="28"/>
  <c r="D47" i="28"/>
  <c r="C47" i="28"/>
  <c r="B47" i="28"/>
  <c r="A47" i="28"/>
  <c r="E46" i="28"/>
  <c r="D46" i="28"/>
  <c r="B46" i="28"/>
  <c r="A46" i="28"/>
  <c r="E45" i="28"/>
  <c r="D45" i="28"/>
  <c r="B45" i="28"/>
  <c r="A45" i="28"/>
  <c r="E44" i="28"/>
  <c r="D44" i="28"/>
  <c r="B44" i="28"/>
  <c r="A44" i="28"/>
  <c r="E43" i="28"/>
  <c r="D43" i="28"/>
  <c r="B43" i="28"/>
  <c r="A43" i="28"/>
  <c r="E42" i="28"/>
  <c r="D42" i="28"/>
  <c r="B42" i="28"/>
  <c r="A42" i="28"/>
  <c r="E41" i="28"/>
  <c r="D41" i="28"/>
  <c r="B41" i="28"/>
  <c r="A41" i="28"/>
  <c r="E40" i="28"/>
  <c r="D40" i="28"/>
  <c r="B40" i="28"/>
  <c r="A40" i="28"/>
  <c r="E39" i="28"/>
  <c r="D39" i="28"/>
  <c r="B39" i="28"/>
  <c r="A39" i="28"/>
  <c r="E38" i="28"/>
  <c r="D38" i="28"/>
  <c r="B38" i="28"/>
  <c r="A38" i="28"/>
  <c r="E37" i="28"/>
  <c r="D37" i="28"/>
  <c r="B37" i="28"/>
  <c r="A37" i="28"/>
  <c r="E36" i="28"/>
  <c r="D36" i="28"/>
  <c r="B36" i="28"/>
  <c r="A36" i="28"/>
  <c r="E35" i="28"/>
  <c r="D35" i="28"/>
  <c r="B35" i="28"/>
  <c r="A35" i="28"/>
  <c r="E34" i="28"/>
  <c r="D34" i="28"/>
  <c r="B34" i="28"/>
  <c r="A34" i="28"/>
  <c r="E33" i="28"/>
  <c r="D33" i="28"/>
  <c r="B33" i="28"/>
  <c r="A33" i="28"/>
  <c r="E32" i="28"/>
  <c r="D32" i="28"/>
  <c r="B32" i="28"/>
  <c r="A32" i="28"/>
  <c r="E31" i="28"/>
  <c r="D31" i="28"/>
  <c r="B31" i="28"/>
  <c r="A31" i="28"/>
  <c r="E30" i="28"/>
  <c r="D30" i="28"/>
  <c r="B30" i="28"/>
  <c r="A30" i="28"/>
  <c r="E29" i="28"/>
  <c r="D29" i="28"/>
  <c r="C29" i="28"/>
  <c r="B29" i="28"/>
  <c r="A29" i="28"/>
  <c r="E28" i="28"/>
  <c r="D28" i="28"/>
  <c r="B28" i="28"/>
  <c r="A28" i="28"/>
  <c r="E27" i="28"/>
  <c r="D27" i="28"/>
  <c r="C27" i="28"/>
  <c r="B27" i="28"/>
  <c r="A27" i="28"/>
  <c r="E26" i="28"/>
  <c r="D26" i="28"/>
  <c r="B26" i="28"/>
  <c r="A26" i="28"/>
  <c r="E25" i="28"/>
  <c r="D25" i="28"/>
  <c r="B25" i="28"/>
  <c r="A25" i="28"/>
  <c r="E24" i="28"/>
  <c r="D24" i="28"/>
  <c r="C24" i="28"/>
  <c r="B24" i="28"/>
  <c r="A24" i="28"/>
  <c r="E23" i="28"/>
  <c r="D23" i="28"/>
  <c r="B23" i="28"/>
  <c r="A23" i="28"/>
  <c r="E22" i="28"/>
  <c r="D22" i="28"/>
  <c r="C22" i="28"/>
  <c r="B22" i="28"/>
  <c r="A22" i="28"/>
  <c r="E21" i="28"/>
  <c r="D21" i="28"/>
  <c r="C21" i="28"/>
  <c r="B21" i="28"/>
  <c r="A21" i="28"/>
  <c r="E20" i="28"/>
  <c r="D20" i="28"/>
  <c r="C20" i="28"/>
  <c r="B20" i="28"/>
  <c r="A20" i="28"/>
  <c r="E19" i="28"/>
  <c r="D19" i="28"/>
  <c r="C19" i="28"/>
  <c r="B19" i="28"/>
  <c r="A19" i="28"/>
  <c r="E18" i="28"/>
  <c r="D18" i="28"/>
  <c r="C18" i="28"/>
  <c r="B18" i="28"/>
  <c r="A18" i="28"/>
  <c r="E17" i="28"/>
  <c r="D17" i="28"/>
  <c r="B17" i="28"/>
  <c r="A17" i="28"/>
  <c r="E16" i="28"/>
  <c r="D16" i="28"/>
  <c r="B16" i="28"/>
  <c r="A16" i="28"/>
  <c r="E15" i="28"/>
  <c r="D15" i="28"/>
  <c r="B15" i="28"/>
  <c r="A15" i="28"/>
  <c r="E14" i="28"/>
  <c r="D14" i="28"/>
  <c r="B14" i="28"/>
  <c r="A14" i="28"/>
  <c r="E13" i="28"/>
  <c r="D13" i="28"/>
  <c r="B13" i="28"/>
  <c r="A13" i="28"/>
  <c r="E12" i="28"/>
  <c r="D12" i="28"/>
  <c r="B12" i="28"/>
  <c r="A12" i="28"/>
  <c r="E11" i="28"/>
  <c r="D11" i="28"/>
  <c r="B11" i="28"/>
  <c r="A11" i="28"/>
  <c r="E10" i="28"/>
  <c r="D10" i="28"/>
  <c r="B10" i="28"/>
  <c r="A10" i="28"/>
  <c r="E9" i="28"/>
  <c r="D9" i="28"/>
  <c r="B9" i="28"/>
  <c r="A9" i="28"/>
  <c r="E8" i="28"/>
  <c r="D8" i="28"/>
  <c r="B8" i="28"/>
  <c r="A8" i="28"/>
  <c r="W363" i="47"/>
  <c r="V363" i="47"/>
  <c r="U363" i="47"/>
  <c r="T363" i="47"/>
  <c r="S363" i="47"/>
  <c r="R363" i="47"/>
  <c r="Q363" i="47"/>
  <c r="P363" i="47"/>
  <c r="C12" i="28" l="1"/>
  <c r="C46" i="28"/>
  <c r="P47" i="28"/>
  <c r="P46" i="28"/>
  <c r="I4" i="28"/>
  <c r="I4" i="27"/>
  <c r="I4" i="44"/>
  <c r="I4" i="26"/>
  <c r="I4" i="25"/>
  <c r="I4" i="22"/>
  <c r="I45" i="27" l="1"/>
  <c r="J45" i="27" s="1"/>
  <c r="I51" i="27"/>
  <c r="J51" i="27" s="1"/>
  <c r="I50" i="27"/>
  <c r="J50" i="27" s="1"/>
  <c r="I48" i="27"/>
  <c r="J48" i="27" s="1"/>
  <c r="I46" i="27"/>
  <c r="J46" i="27" s="1"/>
  <c r="I34" i="27"/>
  <c r="J34" i="27" s="1"/>
  <c r="I37" i="27"/>
  <c r="J37" i="27" s="1"/>
  <c r="I39" i="27"/>
  <c r="J39" i="27" s="1"/>
  <c r="I47" i="27"/>
  <c r="J47" i="27" s="1"/>
  <c r="I33" i="27"/>
  <c r="J33" i="27" s="1"/>
  <c r="I35" i="27"/>
  <c r="J35" i="27" s="1"/>
  <c r="I36" i="27"/>
  <c r="J36" i="27" s="1"/>
  <c r="I38" i="27"/>
  <c r="J38" i="27" s="1"/>
  <c r="I44" i="27"/>
  <c r="J44" i="27" s="1"/>
  <c r="I40" i="27"/>
  <c r="J40" i="27" s="1"/>
  <c r="I52" i="27"/>
  <c r="J52" i="27" s="1"/>
  <c r="I41" i="27"/>
  <c r="J41" i="27" s="1"/>
  <c r="I49" i="27"/>
  <c r="J49" i="27" s="1"/>
  <c r="I42" i="27"/>
  <c r="J42" i="27" s="1"/>
  <c r="I43" i="27"/>
  <c r="J43" i="27" s="1"/>
  <c r="I33" i="44"/>
  <c r="J33" i="44" s="1"/>
  <c r="I34" i="44"/>
  <c r="J34" i="44" s="1"/>
  <c r="I36" i="44"/>
  <c r="J36" i="44" s="1"/>
  <c r="I37" i="44"/>
  <c r="J37" i="44" s="1"/>
  <c r="I45" i="44"/>
  <c r="J45" i="44" s="1"/>
  <c r="I48" i="44"/>
  <c r="J48" i="44" s="1"/>
  <c r="I52" i="44"/>
  <c r="J52" i="44" s="1"/>
  <c r="I51" i="44"/>
  <c r="J51" i="44" s="1"/>
  <c r="I50" i="44"/>
  <c r="J50" i="44" s="1"/>
  <c r="I49" i="44"/>
  <c r="J49" i="44" s="1"/>
  <c r="I47" i="44"/>
  <c r="J47" i="44" s="1"/>
  <c r="I46" i="44"/>
  <c r="J46" i="44" s="1"/>
  <c r="I35" i="44"/>
  <c r="J35" i="44" s="1"/>
  <c r="I44" i="44"/>
  <c r="J44" i="44" s="1"/>
  <c r="I43" i="44"/>
  <c r="J43" i="44" s="1"/>
  <c r="I42" i="44"/>
  <c r="J42" i="44" s="1"/>
  <c r="I41" i="44"/>
  <c r="J41" i="44" s="1"/>
  <c r="I40" i="44"/>
  <c r="J40" i="44" s="1"/>
  <c r="I39" i="44"/>
  <c r="J39" i="44" s="1"/>
  <c r="I38" i="44"/>
  <c r="J38" i="44" s="1"/>
  <c r="I43" i="26"/>
  <c r="J43" i="26" s="1"/>
  <c r="I41" i="26"/>
  <c r="J41" i="26" s="1"/>
  <c r="I34" i="26"/>
  <c r="J34" i="26" s="1"/>
  <c r="I33" i="26"/>
  <c r="J33" i="26" s="1"/>
  <c r="I50" i="26"/>
  <c r="J50" i="26" s="1"/>
  <c r="I51" i="26"/>
  <c r="J51" i="26" s="1"/>
  <c r="I49" i="26"/>
  <c r="J49" i="26" s="1"/>
  <c r="I46" i="26"/>
  <c r="J46" i="26" s="1"/>
  <c r="I52" i="26"/>
  <c r="J52" i="26" s="1"/>
  <c r="I47" i="26"/>
  <c r="J47" i="26" s="1"/>
  <c r="I48" i="26"/>
  <c r="J48" i="26" s="1"/>
  <c r="I45" i="26"/>
  <c r="J45" i="26" s="1"/>
  <c r="I35" i="26"/>
  <c r="J35" i="26" s="1"/>
  <c r="I40" i="26"/>
  <c r="J40" i="26" s="1"/>
  <c r="I37" i="26"/>
  <c r="J37" i="26" s="1"/>
  <c r="I39" i="26"/>
  <c r="J39" i="26" s="1"/>
  <c r="I42" i="26"/>
  <c r="J42" i="26" s="1"/>
  <c r="I38" i="26"/>
  <c r="J38" i="26" s="1"/>
  <c r="I44" i="26"/>
  <c r="J44" i="26" s="1"/>
  <c r="I36" i="26"/>
  <c r="J36" i="26" s="1"/>
  <c r="I48" i="25"/>
  <c r="J48" i="25" s="1"/>
  <c r="I52" i="25"/>
  <c r="J52" i="25" s="1"/>
  <c r="I50" i="25"/>
  <c r="J50" i="25" s="1"/>
  <c r="I46" i="25"/>
  <c r="J46" i="25" s="1"/>
  <c r="I49" i="25"/>
  <c r="J49" i="25" s="1"/>
  <c r="I47" i="25"/>
  <c r="J47" i="25" s="1"/>
  <c r="I45" i="25"/>
  <c r="J45" i="25" s="1"/>
  <c r="I42" i="25"/>
  <c r="J42" i="25" s="1"/>
  <c r="I43" i="25"/>
  <c r="J43" i="25" s="1"/>
  <c r="I41" i="25"/>
  <c r="J41" i="25" s="1"/>
  <c r="I36" i="25"/>
  <c r="J36" i="25" s="1"/>
  <c r="I33" i="25"/>
  <c r="J33" i="25" s="1"/>
  <c r="I44" i="25"/>
  <c r="J44" i="25" s="1"/>
  <c r="I38" i="25"/>
  <c r="J38" i="25" s="1"/>
  <c r="I39" i="25"/>
  <c r="J39" i="25" s="1"/>
  <c r="I35" i="25"/>
  <c r="J35" i="25" s="1"/>
  <c r="I51" i="25"/>
  <c r="J51" i="25" s="1"/>
  <c r="I40" i="25"/>
  <c r="J40" i="25" s="1"/>
  <c r="I37" i="25"/>
  <c r="J37" i="25" s="1"/>
  <c r="I34" i="25"/>
  <c r="J34" i="25" s="1"/>
  <c r="I47" i="22"/>
  <c r="J47" i="22" s="1"/>
  <c r="I45" i="22"/>
  <c r="J45" i="22" s="1"/>
  <c r="I43" i="22"/>
  <c r="J43" i="22" s="1"/>
  <c r="I41" i="22"/>
  <c r="J41" i="22" s="1"/>
  <c r="I39" i="22"/>
  <c r="J39" i="22" s="1"/>
  <c r="I37" i="22"/>
  <c r="J37" i="22" s="1"/>
  <c r="I40" i="22"/>
  <c r="J40" i="22" s="1"/>
  <c r="I35" i="22"/>
  <c r="J35" i="22" s="1"/>
  <c r="I46" i="22"/>
  <c r="J46" i="22" s="1"/>
  <c r="I38" i="22"/>
  <c r="J38" i="22" s="1"/>
  <c r="I44" i="22"/>
  <c r="J44" i="22" s="1"/>
  <c r="I34" i="22"/>
  <c r="J34" i="22" s="1"/>
  <c r="I51" i="22"/>
  <c r="J51" i="22" s="1"/>
  <c r="I36" i="22"/>
  <c r="J36" i="22" s="1"/>
  <c r="I52" i="22"/>
  <c r="J52" i="22" s="1"/>
  <c r="I48" i="22"/>
  <c r="J48" i="22" s="1"/>
  <c r="I50" i="22"/>
  <c r="J50" i="22" s="1"/>
  <c r="I49" i="22"/>
  <c r="J49" i="22" s="1"/>
  <c r="I42" i="22"/>
  <c r="J42" i="22" s="1"/>
  <c r="I33" i="22"/>
  <c r="J33" i="22" s="1"/>
  <c r="I8" i="27"/>
  <c r="J8" i="27" s="1"/>
  <c r="K8" i="27" s="1"/>
  <c r="M8" i="27" s="1"/>
  <c r="I8" i="44"/>
  <c r="J8" i="44" s="1"/>
  <c r="K8" i="44" s="1"/>
  <c r="M8" i="44" s="1"/>
  <c r="I8" i="22"/>
  <c r="J8" i="22" s="1"/>
  <c r="I8" i="25"/>
  <c r="J8" i="25" s="1"/>
  <c r="F47" i="28"/>
  <c r="F46" i="28"/>
  <c r="F48" i="28"/>
  <c r="P48" i="28"/>
  <c r="F8" i="31"/>
  <c r="W361" i="47"/>
  <c r="V361" i="47"/>
  <c r="U361" i="47"/>
  <c r="T361" i="47"/>
  <c r="S361" i="47"/>
  <c r="R361" i="47"/>
  <c r="Q361" i="47"/>
  <c r="P361" i="47"/>
  <c r="W360" i="47"/>
  <c r="V360" i="47"/>
  <c r="U360" i="47"/>
  <c r="T360" i="47"/>
  <c r="S360" i="47"/>
  <c r="R360" i="47"/>
  <c r="Q360" i="47"/>
  <c r="P360" i="47"/>
  <c r="W359" i="47"/>
  <c r="V359" i="47"/>
  <c r="U359" i="47"/>
  <c r="T359" i="47"/>
  <c r="S359" i="47"/>
  <c r="R359" i="47"/>
  <c r="Q359" i="47"/>
  <c r="P359" i="47"/>
  <c r="W358" i="47"/>
  <c r="V358" i="47"/>
  <c r="U358" i="47"/>
  <c r="T358" i="47"/>
  <c r="S358" i="47"/>
  <c r="R358" i="47"/>
  <c r="Q358" i="47"/>
  <c r="P358" i="47"/>
  <c r="W357" i="47"/>
  <c r="V357" i="47"/>
  <c r="U357" i="47"/>
  <c r="T357" i="47"/>
  <c r="S357" i="47"/>
  <c r="R357" i="47"/>
  <c r="Q357" i="47"/>
  <c r="P357" i="47"/>
  <c r="W356" i="47"/>
  <c r="V356" i="47"/>
  <c r="U356" i="47"/>
  <c r="T356" i="47"/>
  <c r="S356" i="47"/>
  <c r="R356" i="47"/>
  <c r="Q356" i="47"/>
  <c r="P356" i="47"/>
  <c r="W355" i="47"/>
  <c r="V355" i="47"/>
  <c r="U355" i="47"/>
  <c r="T355" i="47"/>
  <c r="S355" i="47"/>
  <c r="R355" i="47"/>
  <c r="Q355" i="47"/>
  <c r="P355" i="47"/>
  <c r="W354" i="47"/>
  <c r="V354" i="47"/>
  <c r="U354" i="47"/>
  <c r="T354" i="47"/>
  <c r="S354" i="47"/>
  <c r="R354" i="47"/>
  <c r="Q354" i="47"/>
  <c r="P354" i="47"/>
  <c r="W362" i="47"/>
  <c r="V362" i="47"/>
  <c r="U362" i="47"/>
  <c r="T362" i="47"/>
  <c r="S362" i="47"/>
  <c r="R362" i="47"/>
  <c r="Q362" i="47"/>
  <c r="P362" i="47"/>
  <c r="AA55" i="1" l="1"/>
  <c r="AE55" i="1"/>
  <c r="AH55" i="1"/>
  <c r="AB55" i="1"/>
  <c r="AF55" i="1"/>
  <c r="AD55" i="1"/>
  <c r="AC55" i="1"/>
  <c r="AG55" i="1"/>
  <c r="K45" i="27"/>
  <c r="M45" i="27" s="1"/>
  <c r="L45" i="27"/>
  <c r="L51" i="27"/>
  <c r="K51" i="27"/>
  <c r="M51" i="27" s="1"/>
  <c r="K50" i="27"/>
  <c r="M50" i="27" s="1"/>
  <c r="L50" i="27"/>
  <c r="K48" i="27"/>
  <c r="M48" i="27" s="1"/>
  <c r="L48" i="27"/>
  <c r="K46" i="27"/>
  <c r="M46" i="27" s="1"/>
  <c r="L46" i="27"/>
  <c r="K34" i="27"/>
  <c r="M34" i="27" s="1"/>
  <c r="L34" i="27"/>
  <c r="L37" i="27"/>
  <c r="K37" i="27"/>
  <c r="M37" i="27" s="1"/>
  <c r="K39" i="27"/>
  <c r="M39" i="27" s="1"/>
  <c r="L39" i="27"/>
  <c r="K47" i="27"/>
  <c r="M47" i="27" s="1"/>
  <c r="L47" i="27"/>
  <c r="K33" i="27"/>
  <c r="M33" i="27" s="1"/>
  <c r="L33" i="27"/>
  <c r="K35" i="27"/>
  <c r="M35" i="27" s="1"/>
  <c r="L35" i="27"/>
  <c r="K36" i="27"/>
  <c r="M36" i="27" s="1"/>
  <c r="L36" i="27"/>
  <c r="L38" i="27"/>
  <c r="K38" i="27"/>
  <c r="M38" i="27" s="1"/>
  <c r="K44" i="27"/>
  <c r="M44" i="27" s="1"/>
  <c r="L44" i="27"/>
  <c r="L40" i="27"/>
  <c r="K40" i="27"/>
  <c r="M40" i="27" s="1"/>
  <c r="K52" i="27"/>
  <c r="M52" i="27" s="1"/>
  <c r="L52" i="27"/>
  <c r="L41" i="27"/>
  <c r="K41" i="27"/>
  <c r="M41" i="27" s="1"/>
  <c r="K49" i="27"/>
  <c r="M49" i="27" s="1"/>
  <c r="L49" i="27"/>
  <c r="L42" i="27"/>
  <c r="K42" i="27"/>
  <c r="M42" i="27" s="1"/>
  <c r="L43" i="27"/>
  <c r="K43" i="27"/>
  <c r="M43" i="27" s="1"/>
  <c r="K33" i="44"/>
  <c r="M33" i="44" s="1"/>
  <c r="L33" i="44"/>
  <c r="K34" i="44"/>
  <c r="M34" i="44" s="1"/>
  <c r="L34" i="44"/>
  <c r="L36" i="44"/>
  <c r="K36" i="44"/>
  <c r="M36" i="44" s="1"/>
  <c r="K37" i="44"/>
  <c r="M37" i="44" s="1"/>
  <c r="L37" i="44"/>
  <c r="K45" i="44"/>
  <c r="M45" i="44" s="1"/>
  <c r="L45" i="44"/>
  <c r="K48" i="44"/>
  <c r="M48" i="44" s="1"/>
  <c r="L48" i="44"/>
  <c r="K52" i="44"/>
  <c r="M52" i="44" s="1"/>
  <c r="L52" i="44"/>
  <c r="K51" i="44"/>
  <c r="M51" i="44" s="1"/>
  <c r="L51" i="44"/>
  <c r="K50" i="44"/>
  <c r="M50" i="44" s="1"/>
  <c r="L50" i="44"/>
  <c r="L49" i="44"/>
  <c r="K49" i="44"/>
  <c r="M49" i="44" s="1"/>
  <c r="L47" i="44"/>
  <c r="K47" i="44"/>
  <c r="M47" i="44" s="1"/>
  <c r="L46" i="44"/>
  <c r="K46" i="44"/>
  <c r="M46" i="44" s="1"/>
  <c r="L35" i="44"/>
  <c r="K35" i="44"/>
  <c r="M35" i="44" s="1"/>
  <c r="K44" i="44"/>
  <c r="M44" i="44" s="1"/>
  <c r="L44" i="44"/>
  <c r="L43" i="44"/>
  <c r="K43" i="44"/>
  <c r="M43" i="44" s="1"/>
  <c r="L42" i="44"/>
  <c r="K42" i="44"/>
  <c r="M42" i="44" s="1"/>
  <c r="L41" i="44"/>
  <c r="K41" i="44"/>
  <c r="M41" i="44" s="1"/>
  <c r="L40" i="44"/>
  <c r="K40" i="44"/>
  <c r="M40" i="44" s="1"/>
  <c r="L39" i="44"/>
  <c r="K39" i="44"/>
  <c r="M39" i="44" s="1"/>
  <c r="K38" i="44"/>
  <c r="M38" i="44" s="1"/>
  <c r="L38" i="44"/>
  <c r="K43" i="26"/>
  <c r="M43" i="26" s="1"/>
  <c r="L43" i="26"/>
  <c r="L41" i="26"/>
  <c r="K41" i="26"/>
  <c r="M41" i="26" s="1"/>
  <c r="K34" i="26"/>
  <c r="M34" i="26" s="1"/>
  <c r="L34" i="26"/>
  <c r="L33" i="26"/>
  <c r="K33" i="26"/>
  <c r="M33" i="26" s="1"/>
  <c r="K50" i="26"/>
  <c r="M50" i="26" s="1"/>
  <c r="L50" i="26"/>
  <c r="K51" i="26"/>
  <c r="M51" i="26" s="1"/>
  <c r="L51" i="26"/>
  <c r="K49" i="26"/>
  <c r="M49" i="26" s="1"/>
  <c r="L49" i="26"/>
  <c r="K46" i="26"/>
  <c r="M46" i="26" s="1"/>
  <c r="L46" i="26"/>
  <c r="L52" i="26"/>
  <c r="K52" i="26"/>
  <c r="M52" i="26" s="1"/>
  <c r="K47" i="26"/>
  <c r="M47" i="26" s="1"/>
  <c r="L47" i="26"/>
  <c r="K48" i="26"/>
  <c r="M48" i="26" s="1"/>
  <c r="L48" i="26"/>
  <c r="L45" i="26"/>
  <c r="K45" i="26"/>
  <c r="M45" i="26" s="1"/>
  <c r="K35" i="26"/>
  <c r="M35" i="26" s="1"/>
  <c r="L35" i="26"/>
  <c r="L40" i="26"/>
  <c r="K40" i="26"/>
  <c r="M40" i="26" s="1"/>
  <c r="K37" i="26"/>
  <c r="M37" i="26" s="1"/>
  <c r="L37" i="26"/>
  <c r="L39" i="26"/>
  <c r="K39" i="26"/>
  <c r="M39" i="26" s="1"/>
  <c r="L42" i="26"/>
  <c r="K42" i="26"/>
  <c r="M42" i="26" s="1"/>
  <c r="L38" i="26"/>
  <c r="K38" i="26"/>
  <c r="M38" i="26" s="1"/>
  <c r="K44" i="26"/>
  <c r="M44" i="26" s="1"/>
  <c r="L44" i="26"/>
  <c r="K36" i="26"/>
  <c r="M36" i="26" s="1"/>
  <c r="L36" i="26"/>
  <c r="K48" i="25"/>
  <c r="M48" i="25" s="1"/>
  <c r="L48" i="25"/>
  <c r="L52" i="25"/>
  <c r="K52" i="25"/>
  <c r="M52" i="25" s="1"/>
  <c r="K50" i="25"/>
  <c r="M50" i="25" s="1"/>
  <c r="L50" i="25"/>
  <c r="K46" i="25"/>
  <c r="M46" i="25" s="1"/>
  <c r="L46" i="25"/>
  <c r="L49" i="25"/>
  <c r="K49" i="25"/>
  <c r="M49" i="25" s="1"/>
  <c r="L47" i="25"/>
  <c r="K47" i="25"/>
  <c r="M47" i="25" s="1"/>
  <c r="K45" i="25"/>
  <c r="M45" i="25" s="1"/>
  <c r="L45" i="25"/>
  <c r="L42" i="25"/>
  <c r="K42" i="25"/>
  <c r="M42" i="25" s="1"/>
  <c r="K43" i="25"/>
  <c r="M43" i="25" s="1"/>
  <c r="L43" i="25"/>
  <c r="K41" i="25"/>
  <c r="M41" i="25" s="1"/>
  <c r="L41" i="25"/>
  <c r="K36" i="25"/>
  <c r="M36" i="25" s="1"/>
  <c r="L36" i="25"/>
  <c r="K33" i="25"/>
  <c r="M33" i="25" s="1"/>
  <c r="L33" i="25"/>
  <c r="L44" i="25"/>
  <c r="K44" i="25"/>
  <c r="M44" i="25" s="1"/>
  <c r="L38" i="25"/>
  <c r="K38" i="25"/>
  <c r="M38" i="25" s="1"/>
  <c r="K39" i="25"/>
  <c r="M39" i="25" s="1"/>
  <c r="L39" i="25"/>
  <c r="K35" i="25"/>
  <c r="M35" i="25" s="1"/>
  <c r="L35" i="25"/>
  <c r="K51" i="25"/>
  <c r="M51" i="25" s="1"/>
  <c r="L51" i="25"/>
  <c r="L40" i="25"/>
  <c r="K40" i="25"/>
  <c r="M40" i="25" s="1"/>
  <c r="K37" i="25"/>
  <c r="M37" i="25" s="1"/>
  <c r="L37" i="25"/>
  <c r="K34" i="25"/>
  <c r="M34" i="25" s="1"/>
  <c r="L34" i="25"/>
  <c r="L47" i="22"/>
  <c r="K47" i="22"/>
  <c r="M47" i="22" s="1"/>
  <c r="K45" i="22"/>
  <c r="M45" i="22" s="1"/>
  <c r="L45" i="22"/>
  <c r="L43" i="22"/>
  <c r="K43" i="22"/>
  <c r="M43" i="22" s="1"/>
  <c r="K41" i="22"/>
  <c r="M41" i="22" s="1"/>
  <c r="L41" i="22"/>
  <c r="L39" i="22"/>
  <c r="K39" i="22"/>
  <c r="M39" i="22" s="1"/>
  <c r="L37" i="22"/>
  <c r="K37" i="22"/>
  <c r="M37" i="22" s="1"/>
  <c r="K40" i="22"/>
  <c r="M40" i="22" s="1"/>
  <c r="L40" i="22"/>
  <c r="L35" i="22"/>
  <c r="K35" i="22"/>
  <c r="M35" i="22" s="1"/>
  <c r="K46" i="22"/>
  <c r="M46" i="22" s="1"/>
  <c r="L46" i="22"/>
  <c r="K38" i="22"/>
  <c r="M38" i="22" s="1"/>
  <c r="L38" i="22"/>
  <c r="L44" i="22"/>
  <c r="K44" i="22"/>
  <c r="M44" i="22" s="1"/>
  <c r="K34" i="22"/>
  <c r="M34" i="22" s="1"/>
  <c r="L34" i="22"/>
  <c r="L51" i="22"/>
  <c r="K51" i="22"/>
  <c r="M51" i="22" s="1"/>
  <c r="K36" i="22"/>
  <c r="M36" i="22" s="1"/>
  <c r="L36" i="22"/>
  <c r="L52" i="22"/>
  <c r="K52" i="22"/>
  <c r="M52" i="22" s="1"/>
  <c r="L48" i="22"/>
  <c r="K48" i="22"/>
  <c r="M48" i="22" s="1"/>
  <c r="K50" i="22"/>
  <c r="M50" i="22" s="1"/>
  <c r="L50" i="22"/>
  <c r="K49" i="22"/>
  <c r="M49" i="22" s="1"/>
  <c r="L49" i="22"/>
  <c r="K42" i="22"/>
  <c r="M42" i="22" s="1"/>
  <c r="L42" i="22"/>
  <c r="L33" i="22"/>
  <c r="K33" i="22"/>
  <c r="M33" i="22" s="1"/>
  <c r="L8" i="27"/>
  <c r="L8" i="44"/>
  <c r="O8" i="44" s="1"/>
  <c r="K8" i="22"/>
  <c r="M8" i="22" s="1"/>
  <c r="L8" i="22"/>
  <c r="K8" i="25"/>
  <c r="M8" i="25" s="1"/>
  <c r="L8" i="25"/>
  <c r="C11" i="28"/>
  <c r="C9" i="28"/>
  <c r="C16" i="28"/>
  <c r="C42" i="28"/>
  <c r="C15" i="28"/>
  <c r="C10" i="28"/>
  <c r="C40" i="28"/>
  <c r="C8" i="28"/>
  <c r="C41" i="28"/>
  <c r="L3" i="22" l="1"/>
  <c r="L3" i="25"/>
  <c r="W353" i="47"/>
  <c r="V353" i="47"/>
  <c r="U353" i="47"/>
  <c r="T353" i="47"/>
  <c r="S353" i="47"/>
  <c r="R353" i="47"/>
  <c r="Q353" i="47"/>
  <c r="P353" i="47"/>
  <c r="W352" i="47"/>
  <c r="V352" i="47"/>
  <c r="U352" i="47"/>
  <c r="T352" i="47"/>
  <c r="S352" i="47"/>
  <c r="R352" i="47"/>
  <c r="Q352" i="47"/>
  <c r="P352" i="47"/>
  <c r="W351" i="47"/>
  <c r="V351" i="47"/>
  <c r="U351" i="47"/>
  <c r="T351" i="47"/>
  <c r="S351" i="47"/>
  <c r="R351" i="47"/>
  <c r="Q351" i="47"/>
  <c r="P351" i="47"/>
  <c r="W350" i="47"/>
  <c r="V350" i="47"/>
  <c r="U350" i="47"/>
  <c r="T350" i="47"/>
  <c r="S350" i="47"/>
  <c r="R350" i="47"/>
  <c r="Q350" i="47"/>
  <c r="P350" i="47"/>
  <c r="W349" i="47"/>
  <c r="V349" i="47"/>
  <c r="U349" i="47"/>
  <c r="T349" i="47"/>
  <c r="S349" i="47"/>
  <c r="R349" i="47"/>
  <c r="Q349" i="47"/>
  <c r="P349" i="47"/>
  <c r="W348" i="47"/>
  <c r="V348" i="47"/>
  <c r="U348" i="47"/>
  <c r="T348" i="47"/>
  <c r="S348" i="47"/>
  <c r="R348" i="47"/>
  <c r="Q348" i="47"/>
  <c r="P348" i="47"/>
  <c r="W347" i="47"/>
  <c r="V347" i="47"/>
  <c r="U347" i="47"/>
  <c r="T347" i="47"/>
  <c r="S347" i="47"/>
  <c r="R347" i="47"/>
  <c r="Q347" i="47"/>
  <c r="P347" i="47"/>
  <c r="W346" i="47"/>
  <c r="V346" i="47"/>
  <c r="U346" i="47"/>
  <c r="T346" i="47"/>
  <c r="S346" i="47"/>
  <c r="R346" i="47"/>
  <c r="Q346" i="47"/>
  <c r="P346" i="47"/>
  <c r="W345" i="47"/>
  <c r="V345" i="47"/>
  <c r="U345" i="47"/>
  <c r="T345" i="47"/>
  <c r="S345" i="47"/>
  <c r="R345" i="47"/>
  <c r="Q345" i="47"/>
  <c r="P345" i="47"/>
  <c r="W344" i="47"/>
  <c r="V344" i="47"/>
  <c r="U344" i="47"/>
  <c r="T344" i="47"/>
  <c r="S344" i="47"/>
  <c r="R344" i="47"/>
  <c r="Q344" i="47"/>
  <c r="P344" i="47"/>
  <c r="W343" i="47"/>
  <c r="V343" i="47"/>
  <c r="U343" i="47"/>
  <c r="T343" i="47"/>
  <c r="S343" i="47"/>
  <c r="R343" i="47"/>
  <c r="Q343" i="47"/>
  <c r="P343" i="47"/>
  <c r="C39" i="28" l="1"/>
  <c r="C43" i="28" l="1"/>
  <c r="C37" i="28"/>
  <c r="C25" i="28"/>
  <c r="C38" i="28"/>
  <c r="C36" i="28"/>
  <c r="C34" i="28"/>
  <c r="W342" i="47"/>
  <c r="V342" i="47"/>
  <c r="U342" i="47"/>
  <c r="T342" i="47"/>
  <c r="S342" i="47"/>
  <c r="R342" i="47"/>
  <c r="Q342" i="47"/>
  <c r="P342" i="47"/>
  <c r="W341" i="47"/>
  <c r="V341" i="47"/>
  <c r="U341" i="47"/>
  <c r="T341" i="47"/>
  <c r="S341" i="47"/>
  <c r="R341" i="47"/>
  <c r="Q341" i="47"/>
  <c r="P341" i="47"/>
  <c r="W340" i="47"/>
  <c r="V340" i="47"/>
  <c r="U340" i="47"/>
  <c r="T340" i="47"/>
  <c r="S340" i="47"/>
  <c r="R340" i="47"/>
  <c r="Q340" i="47"/>
  <c r="P340" i="47"/>
  <c r="N4" i="28"/>
  <c r="N11" i="28" s="1"/>
  <c r="P45" i="28"/>
  <c r="F44" i="28"/>
  <c r="P43" i="28"/>
  <c r="P42" i="28"/>
  <c r="P41" i="28"/>
  <c r="F40" i="28"/>
  <c r="P39" i="28"/>
  <c r="P38" i="28"/>
  <c r="P37" i="28"/>
  <c r="F35" i="28"/>
  <c r="F34" i="28"/>
  <c r="F33" i="28"/>
  <c r="P32" i="28"/>
  <c r="F31" i="28"/>
  <c r="F30" i="28"/>
  <c r="F29" i="28"/>
  <c r="F28" i="28"/>
  <c r="F27" i="28"/>
  <c r="F26" i="28"/>
  <c r="P25" i="28"/>
  <c r="F23" i="28"/>
  <c r="F22" i="28"/>
  <c r="F21" i="28"/>
  <c r="P20" i="28"/>
  <c r="F19" i="28"/>
  <c r="F18" i="28"/>
  <c r="F17" i="28"/>
  <c r="F16" i="28"/>
  <c r="F15" i="28"/>
  <c r="F14" i="28"/>
  <c r="P13" i="28"/>
  <c r="F11" i="28"/>
  <c r="F10" i="28"/>
  <c r="F9" i="28"/>
  <c r="P8" i="28"/>
  <c r="G28" i="27"/>
  <c r="G25" i="27"/>
  <c r="G22" i="27"/>
  <c r="G16" i="27"/>
  <c r="G13" i="27"/>
  <c r="G10" i="27"/>
  <c r="G31" i="44"/>
  <c r="G28" i="44"/>
  <c r="G27" i="44"/>
  <c r="G22" i="44"/>
  <c r="G21" i="44"/>
  <c r="G19" i="44"/>
  <c r="G18" i="44"/>
  <c r="G15" i="44"/>
  <c r="G14" i="44"/>
  <c r="G13" i="44"/>
  <c r="G9" i="44"/>
  <c r="F30" i="31"/>
  <c r="F28" i="31"/>
  <c r="F23" i="31"/>
  <c r="F22" i="31"/>
  <c r="F21" i="31"/>
  <c r="F17" i="31"/>
  <c r="F16" i="31"/>
  <c r="F12" i="31"/>
  <c r="F10" i="31"/>
  <c r="F9" i="31"/>
  <c r="F8" i="30"/>
  <c r="J2" i="19"/>
  <c r="I2" i="19"/>
  <c r="H2" i="19"/>
  <c r="G2" i="19"/>
  <c r="F2" i="19"/>
  <c r="E2" i="19"/>
  <c r="D2" i="19"/>
  <c r="C2" i="19"/>
  <c r="B2" i="19"/>
  <c r="W339" i="47"/>
  <c r="V339" i="47"/>
  <c r="U339" i="47"/>
  <c r="T339" i="47"/>
  <c r="S339" i="47"/>
  <c r="R339" i="47"/>
  <c r="Q339" i="47"/>
  <c r="P339" i="47"/>
  <c r="W338" i="47"/>
  <c r="V338" i="47"/>
  <c r="U338" i="47"/>
  <c r="T338" i="47"/>
  <c r="S338" i="47"/>
  <c r="R338" i="47"/>
  <c r="Q338" i="47"/>
  <c r="P338" i="47"/>
  <c r="W337" i="47"/>
  <c r="V337" i="47"/>
  <c r="U337" i="47"/>
  <c r="T337" i="47"/>
  <c r="S337" i="47"/>
  <c r="R337" i="47"/>
  <c r="Q337" i="47"/>
  <c r="P337" i="47"/>
  <c r="W336" i="47"/>
  <c r="V336" i="47"/>
  <c r="U336" i="47"/>
  <c r="T336" i="47"/>
  <c r="S336" i="47"/>
  <c r="R336" i="47"/>
  <c r="Q336" i="47"/>
  <c r="P336" i="47"/>
  <c r="W335" i="47"/>
  <c r="V335" i="47"/>
  <c r="U335" i="47"/>
  <c r="T335" i="47"/>
  <c r="S335" i="47"/>
  <c r="R335" i="47"/>
  <c r="Q335" i="47"/>
  <c r="P335" i="47"/>
  <c r="W334" i="47"/>
  <c r="V334" i="47"/>
  <c r="U334" i="47"/>
  <c r="T334" i="47"/>
  <c r="S334" i="47"/>
  <c r="R334" i="47"/>
  <c r="Q334" i="47"/>
  <c r="P334" i="47"/>
  <c r="W333" i="47"/>
  <c r="V333" i="47"/>
  <c r="U333" i="47"/>
  <c r="T333" i="47"/>
  <c r="S333" i="47"/>
  <c r="R333" i="47"/>
  <c r="Q333" i="47"/>
  <c r="P333" i="47"/>
  <c r="W332" i="47"/>
  <c r="V332" i="47"/>
  <c r="U332" i="47"/>
  <c r="T332" i="47"/>
  <c r="S332" i="47"/>
  <c r="R332" i="47"/>
  <c r="Q332" i="47"/>
  <c r="P332" i="47"/>
  <c r="W331" i="47"/>
  <c r="V331" i="47"/>
  <c r="U331" i="47"/>
  <c r="T331" i="47"/>
  <c r="S331" i="47"/>
  <c r="R331" i="47"/>
  <c r="Q331" i="47"/>
  <c r="P331" i="47"/>
  <c r="W330" i="47"/>
  <c r="V330" i="47"/>
  <c r="U330" i="47"/>
  <c r="T330" i="47"/>
  <c r="S330" i="47"/>
  <c r="R330" i="47"/>
  <c r="Q330" i="47"/>
  <c r="P330" i="47"/>
  <c r="W329" i="47"/>
  <c r="V329" i="47"/>
  <c r="U329" i="47"/>
  <c r="T329" i="47"/>
  <c r="S329" i="47"/>
  <c r="R329" i="47"/>
  <c r="Q329" i="47"/>
  <c r="P329" i="47"/>
  <c r="W328" i="47"/>
  <c r="V328" i="47"/>
  <c r="U328" i="47"/>
  <c r="T328" i="47"/>
  <c r="S328" i="47"/>
  <c r="R328" i="47"/>
  <c r="Q328" i="47"/>
  <c r="P328" i="47"/>
  <c r="C44" i="28" l="1"/>
  <c r="C33" i="28"/>
  <c r="C45" i="28"/>
  <c r="F30" i="37"/>
  <c r="F18" i="37"/>
  <c r="F29" i="37"/>
  <c r="G31" i="24"/>
  <c r="F24" i="31"/>
  <c r="F18" i="31"/>
  <c r="G29" i="27"/>
  <c r="F29" i="31"/>
  <c r="G20" i="24"/>
  <c r="F11" i="31"/>
  <c r="G25" i="24"/>
  <c r="G23" i="24"/>
  <c r="F25" i="28"/>
  <c r="P23" i="28"/>
  <c r="F17" i="37"/>
  <c r="F32" i="28"/>
  <c r="P35" i="28"/>
  <c r="P44" i="28"/>
  <c r="G32" i="24"/>
  <c r="G26" i="44"/>
  <c r="F37" i="28"/>
  <c r="G11" i="27"/>
  <c r="F43" i="28"/>
  <c r="G17" i="27"/>
  <c r="F8" i="28"/>
  <c r="G11" i="24"/>
  <c r="G20" i="27"/>
  <c r="G13" i="24"/>
  <c r="G23" i="27"/>
  <c r="F13" i="28"/>
  <c r="G14" i="24"/>
  <c r="G19" i="24"/>
  <c r="G32" i="27"/>
  <c r="F20" i="28"/>
  <c r="F14" i="31"/>
  <c r="F26" i="31"/>
  <c r="F19" i="31"/>
  <c r="F31" i="31"/>
  <c r="F15" i="31"/>
  <c r="F27" i="31"/>
  <c r="F20" i="31"/>
  <c r="F32" i="31"/>
  <c r="F13" i="31"/>
  <c r="F25" i="31"/>
  <c r="G10" i="24"/>
  <c r="G22" i="24"/>
  <c r="G15" i="24"/>
  <c r="G17" i="24"/>
  <c r="G18" i="24"/>
  <c r="G16" i="24"/>
  <c r="G9" i="24"/>
  <c r="G21" i="24"/>
  <c r="G29" i="24"/>
  <c r="G12" i="24"/>
  <c r="G24" i="24"/>
  <c r="G8" i="24"/>
  <c r="G30" i="24"/>
  <c r="G16" i="44"/>
  <c r="G18" i="27"/>
  <c r="G30" i="27"/>
  <c r="G25" i="44"/>
  <c r="G9" i="27"/>
  <c r="G21" i="27"/>
  <c r="G12" i="44"/>
  <c r="G24" i="44"/>
  <c r="G14" i="27"/>
  <c r="G12" i="27"/>
  <c r="G24" i="27"/>
  <c r="G10" i="44"/>
  <c r="G15" i="27"/>
  <c r="G27" i="27"/>
  <c r="G30" i="44"/>
  <c r="G19" i="27"/>
  <c r="G31" i="27"/>
  <c r="F12" i="28"/>
  <c r="F24" i="28"/>
  <c r="F36" i="28"/>
  <c r="P14" i="28"/>
  <c r="P26" i="28"/>
  <c r="P40" i="28"/>
  <c r="P15" i="28"/>
  <c r="P27" i="28"/>
  <c r="G20" i="44"/>
  <c r="G32" i="44"/>
  <c r="F38" i="28"/>
  <c r="P16" i="28"/>
  <c r="P28" i="28"/>
  <c r="F19" i="37"/>
  <c r="F31" i="37"/>
  <c r="F39" i="28"/>
  <c r="P17" i="28"/>
  <c r="P29" i="28"/>
  <c r="P18" i="28"/>
  <c r="P30" i="28"/>
  <c r="G11" i="44"/>
  <c r="G23" i="44"/>
  <c r="F41" i="28"/>
  <c r="P19" i="28"/>
  <c r="P31" i="28"/>
  <c r="F42" i="28"/>
  <c r="G26" i="27"/>
  <c r="P9" i="28"/>
  <c r="P21" i="28"/>
  <c r="P33" i="28"/>
  <c r="F20" i="37"/>
  <c r="F32" i="37"/>
  <c r="P10" i="28"/>
  <c r="P22" i="28"/>
  <c r="P34" i="28"/>
  <c r="F45" i="28"/>
  <c r="P11" i="28"/>
  <c r="P12" i="28"/>
  <c r="P24" i="28"/>
  <c r="P36" i="28"/>
  <c r="G17" i="44"/>
  <c r="G29" i="44"/>
  <c r="F9" i="37"/>
  <c r="F21" i="37"/>
  <c r="F10" i="37"/>
  <c r="F22" i="37"/>
  <c r="F11" i="37"/>
  <c r="F23" i="37"/>
  <c r="F12" i="37"/>
  <c r="F24" i="37"/>
  <c r="F13" i="37"/>
  <c r="F25" i="37"/>
  <c r="F14" i="37"/>
  <c r="F26" i="37"/>
  <c r="F15" i="37"/>
  <c r="F27" i="37"/>
  <c r="F16" i="37"/>
  <c r="F28" i="37"/>
  <c r="C31" i="28" l="1"/>
  <c r="B30" i="42"/>
  <c r="B70" i="66" s="1"/>
  <c r="F2" i="24"/>
  <c r="C32" i="28"/>
  <c r="F4" i="25"/>
  <c r="F2" i="25" s="1"/>
  <c r="F4" i="28"/>
  <c r="F4" i="44"/>
  <c r="F4" i="22"/>
  <c r="B27" i="42" l="1"/>
  <c r="B67" i="66" s="1"/>
  <c r="F2" i="22"/>
  <c r="B29" i="42"/>
  <c r="B69" i="66" s="1"/>
  <c r="B28" i="42"/>
  <c r="B68" i="66" s="1"/>
  <c r="C35" i="28"/>
  <c r="R4" i="29"/>
  <c r="Q3" i="29"/>
  <c r="Q53" i="29" s="1"/>
  <c r="W327" i="47"/>
  <c r="V327" i="47"/>
  <c r="U327" i="47"/>
  <c r="T327" i="47"/>
  <c r="S327" i="47"/>
  <c r="R327" i="47"/>
  <c r="Q327" i="47"/>
  <c r="P327" i="47"/>
  <c r="W326" i="47"/>
  <c r="V326" i="47"/>
  <c r="U326" i="47"/>
  <c r="T326" i="47"/>
  <c r="S326" i="47"/>
  <c r="R326" i="47"/>
  <c r="Q326" i="47"/>
  <c r="P326" i="47"/>
  <c r="Q51" i="29" l="1"/>
  <c r="Q52" i="29"/>
  <c r="Q46" i="29"/>
  <c r="Q49" i="29"/>
  <c r="Q47" i="29"/>
  <c r="Q48" i="29"/>
  <c r="Q50" i="29"/>
  <c r="Q39" i="29"/>
  <c r="Q43" i="29"/>
  <c r="Q44" i="29"/>
  <c r="Q33" i="29"/>
  <c r="Q37" i="29"/>
  <c r="Q38" i="29"/>
  <c r="Q45" i="29"/>
  <c r="Q36" i="29"/>
  <c r="Q40" i="29"/>
  <c r="Q34" i="29"/>
  <c r="Q35" i="29"/>
  <c r="Q42" i="29"/>
  <c r="Q41" i="29"/>
  <c r="R3" i="50"/>
  <c r="R53" i="50" s="1"/>
  <c r="S4" i="29"/>
  <c r="S4" i="50"/>
  <c r="R3" i="29"/>
  <c r="R53" i="29" s="1"/>
  <c r="R52" i="50" l="1"/>
  <c r="R50" i="50"/>
  <c r="R48" i="50"/>
  <c r="R46" i="50"/>
  <c r="R47" i="50"/>
  <c r="R49" i="50"/>
  <c r="R51" i="50"/>
  <c r="R40" i="50"/>
  <c r="R38" i="50"/>
  <c r="R33" i="50"/>
  <c r="R34" i="50"/>
  <c r="R44" i="50"/>
  <c r="R45" i="50"/>
  <c r="R41" i="50"/>
  <c r="R43" i="50"/>
  <c r="R35" i="50"/>
  <c r="R37" i="50"/>
  <c r="R39" i="50"/>
  <c r="R36" i="50"/>
  <c r="R42" i="50"/>
  <c r="R50" i="29"/>
  <c r="R51" i="29"/>
  <c r="R46" i="29"/>
  <c r="R49" i="29"/>
  <c r="R52" i="29"/>
  <c r="R47" i="29"/>
  <c r="R48" i="29"/>
  <c r="R45" i="29"/>
  <c r="R42" i="29"/>
  <c r="R43" i="29"/>
  <c r="R41" i="29"/>
  <c r="R34" i="29"/>
  <c r="R33" i="29"/>
  <c r="R35" i="29"/>
  <c r="R44" i="29"/>
  <c r="R39" i="29"/>
  <c r="R36" i="29"/>
  <c r="R37" i="29"/>
  <c r="R38" i="29"/>
  <c r="R40" i="29"/>
  <c r="R25" i="50"/>
  <c r="R27" i="50"/>
  <c r="R15" i="50"/>
  <c r="R18" i="50"/>
  <c r="R17" i="50"/>
  <c r="R20" i="50"/>
  <c r="R28" i="50"/>
  <c r="R16" i="50"/>
  <c r="R19" i="50"/>
  <c r="R11" i="50"/>
  <c r="R14" i="50"/>
  <c r="R26" i="50"/>
  <c r="R24" i="50"/>
  <c r="R10" i="50"/>
  <c r="R30" i="50"/>
  <c r="R29" i="50"/>
  <c r="R13" i="50"/>
  <c r="R8" i="50"/>
  <c r="R31" i="50"/>
  <c r="R21" i="50"/>
  <c r="R32" i="50"/>
  <c r="R23" i="50"/>
  <c r="R9" i="50"/>
  <c r="R22" i="50"/>
  <c r="R12" i="50"/>
  <c r="S3" i="50"/>
  <c r="S53" i="50" s="1"/>
  <c r="T4" i="29"/>
  <c r="T4" i="50"/>
  <c r="C17" i="28"/>
  <c r="S3" i="29"/>
  <c r="S53" i="29" s="1"/>
  <c r="S46" i="50" l="1"/>
  <c r="S52" i="50"/>
  <c r="S51" i="50"/>
  <c r="S48" i="50"/>
  <c r="S49" i="50"/>
  <c r="S50" i="50"/>
  <c r="S47" i="50"/>
  <c r="S45" i="50"/>
  <c r="S39" i="50"/>
  <c r="S37" i="50"/>
  <c r="S43" i="50"/>
  <c r="S41" i="50"/>
  <c r="S38" i="50"/>
  <c r="S35" i="50"/>
  <c r="S40" i="50"/>
  <c r="S42" i="50"/>
  <c r="S44" i="50"/>
  <c r="S36" i="50"/>
  <c r="S33" i="50"/>
  <c r="S34" i="50"/>
  <c r="S49" i="29"/>
  <c r="S47" i="29"/>
  <c r="S50" i="29"/>
  <c r="S51" i="29"/>
  <c r="S48" i="29"/>
  <c r="S52" i="29"/>
  <c r="S46" i="29"/>
  <c r="S39" i="29"/>
  <c r="S37" i="29"/>
  <c r="S42" i="29"/>
  <c r="S33" i="29"/>
  <c r="S36" i="29"/>
  <c r="S38" i="29"/>
  <c r="S40" i="29"/>
  <c r="S45" i="29"/>
  <c r="S41" i="29"/>
  <c r="S35" i="29"/>
  <c r="S44" i="29"/>
  <c r="S43" i="29"/>
  <c r="S34" i="29"/>
  <c r="S12" i="50"/>
  <c r="S27" i="50"/>
  <c r="S31" i="50"/>
  <c r="S24" i="50"/>
  <c r="S29" i="50"/>
  <c r="S16" i="50"/>
  <c r="S22" i="50"/>
  <c r="S18" i="50"/>
  <c r="S23" i="50"/>
  <c r="S9" i="50"/>
  <c r="S14" i="50"/>
  <c r="S11" i="50"/>
  <c r="S10" i="50"/>
  <c r="S32" i="50"/>
  <c r="S20" i="50"/>
  <c r="S17" i="50"/>
  <c r="S26" i="50"/>
  <c r="S15" i="50"/>
  <c r="S25" i="50"/>
  <c r="S13" i="50"/>
  <c r="S8" i="50"/>
  <c r="S21" i="50"/>
  <c r="S30" i="50"/>
  <c r="S28" i="50"/>
  <c r="S19" i="50"/>
  <c r="T3" i="50"/>
  <c r="T53" i="50" s="1"/>
  <c r="U4" i="29"/>
  <c r="U4" i="50"/>
  <c r="T3" i="29"/>
  <c r="T53" i="29" s="1"/>
  <c r="W325" i="47"/>
  <c r="V325" i="47"/>
  <c r="U325" i="47"/>
  <c r="T325" i="47"/>
  <c r="S325" i="47"/>
  <c r="R325" i="47"/>
  <c r="Q325" i="47"/>
  <c r="P325" i="47"/>
  <c r="W324" i="47"/>
  <c r="V324" i="47"/>
  <c r="U324" i="47"/>
  <c r="T324" i="47"/>
  <c r="S324" i="47"/>
  <c r="R324" i="47"/>
  <c r="Q324" i="47"/>
  <c r="P324" i="47"/>
  <c r="W323" i="47"/>
  <c r="V323" i="47"/>
  <c r="U323" i="47"/>
  <c r="T323" i="47"/>
  <c r="S323" i="47"/>
  <c r="R323" i="47"/>
  <c r="Q323" i="47"/>
  <c r="P323" i="47"/>
  <c r="W322" i="47"/>
  <c r="V322" i="47"/>
  <c r="U322" i="47"/>
  <c r="T322" i="47"/>
  <c r="S322" i="47"/>
  <c r="R322" i="47"/>
  <c r="Q322" i="47"/>
  <c r="P322" i="47"/>
  <c r="W321" i="47"/>
  <c r="V321" i="47"/>
  <c r="U321" i="47"/>
  <c r="T321" i="47"/>
  <c r="S321" i="47"/>
  <c r="R321" i="47"/>
  <c r="Q321" i="47"/>
  <c r="P321" i="47"/>
  <c r="W320" i="47"/>
  <c r="V320" i="47"/>
  <c r="U320" i="47"/>
  <c r="T320" i="47"/>
  <c r="S320" i="47"/>
  <c r="R320" i="47"/>
  <c r="Q320" i="47"/>
  <c r="P320" i="47"/>
  <c r="W319" i="47"/>
  <c r="V319" i="47"/>
  <c r="U319" i="47"/>
  <c r="T319" i="47"/>
  <c r="S319" i="47"/>
  <c r="R319" i="47"/>
  <c r="Q319" i="47"/>
  <c r="P319" i="47"/>
  <c r="W318" i="47"/>
  <c r="V318" i="47"/>
  <c r="U318" i="47"/>
  <c r="T318" i="47"/>
  <c r="S318" i="47"/>
  <c r="R318" i="47"/>
  <c r="Q318" i="47"/>
  <c r="P318" i="47"/>
  <c r="W317" i="47"/>
  <c r="V317" i="47"/>
  <c r="U317" i="47"/>
  <c r="T317" i="47"/>
  <c r="S317" i="47"/>
  <c r="R317" i="47"/>
  <c r="Q317" i="47"/>
  <c r="P317" i="47"/>
  <c r="W316" i="47"/>
  <c r="V316" i="47"/>
  <c r="U316" i="47"/>
  <c r="T316" i="47"/>
  <c r="S316" i="47"/>
  <c r="R316" i="47"/>
  <c r="Q316" i="47"/>
  <c r="P316" i="47"/>
  <c r="W315" i="47"/>
  <c r="V315" i="47"/>
  <c r="U315" i="47"/>
  <c r="T315" i="47"/>
  <c r="S315" i="47"/>
  <c r="R315" i="47"/>
  <c r="Q315" i="47"/>
  <c r="P315" i="47"/>
  <c r="W314" i="47"/>
  <c r="V314" i="47"/>
  <c r="U314" i="47"/>
  <c r="T314" i="47"/>
  <c r="S314" i="47"/>
  <c r="R314" i="47"/>
  <c r="Q314" i="47"/>
  <c r="P314" i="47"/>
  <c r="W313" i="47"/>
  <c r="V313" i="47"/>
  <c r="U313" i="47"/>
  <c r="T313" i="47"/>
  <c r="S313" i="47"/>
  <c r="R313" i="47"/>
  <c r="Q313" i="47"/>
  <c r="P313" i="47"/>
  <c r="W312" i="47"/>
  <c r="V312" i="47"/>
  <c r="U312" i="47"/>
  <c r="T312" i="47"/>
  <c r="S312" i="47"/>
  <c r="R312" i="47"/>
  <c r="Q312" i="47"/>
  <c r="P312" i="47"/>
  <c r="W311" i="47"/>
  <c r="V311" i="47"/>
  <c r="U311" i="47"/>
  <c r="T311" i="47"/>
  <c r="S311" i="47"/>
  <c r="R311" i="47"/>
  <c r="Q311" i="47"/>
  <c r="P311" i="47"/>
  <c r="W310" i="47"/>
  <c r="V310" i="47"/>
  <c r="U310" i="47"/>
  <c r="T310" i="47"/>
  <c r="S310" i="47"/>
  <c r="R310" i="47"/>
  <c r="Q310" i="47"/>
  <c r="P310" i="47"/>
  <c r="W309" i="47"/>
  <c r="V309" i="47"/>
  <c r="U309" i="47"/>
  <c r="T309" i="47"/>
  <c r="S309" i="47"/>
  <c r="R309" i="47"/>
  <c r="Q309" i="47"/>
  <c r="P309" i="47"/>
  <c r="T46" i="50" l="1"/>
  <c r="T51" i="50"/>
  <c r="T49" i="50"/>
  <c r="T52" i="50"/>
  <c r="T50" i="50"/>
  <c r="T47" i="50"/>
  <c r="T48" i="50"/>
  <c r="T50" i="29"/>
  <c r="T48" i="29"/>
  <c r="T47" i="29"/>
  <c r="T52" i="29"/>
  <c r="T51" i="29"/>
  <c r="T46" i="29"/>
  <c r="T49" i="29"/>
  <c r="T45" i="50"/>
  <c r="T37" i="50"/>
  <c r="T44" i="50"/>
  <c r="T39" i="50"/>
  <c r="T34" i="50"/>
  <c r="T42" i="50"/>
  <c r="T38" i="50"/>
  <c r="T40" i="50"/>
  <c r="T35" i="50"/>
  <c r="T33" i="50"/>
  <c r="T36" i="50"/>
  <c r="T43" i="50"/>
  <c r="T41" i="50"/>
  <c r="T39" i="29"/>
  <c r="T44" i="29"/>
  <c r="T41" i="29"/>
  <c r="T36" i="29"/>
  <c r="T45" i="29"/>
  <c r="T43" i="29"/>
  <c r="T33" i="29"/>
  <c r="T35" i="29"/>
  <c r="T42" i="29"/>
  <c r="T37" i="29"/>
  <c r="T40" i="29"/>
  <c r="T34" i="29"/>
  <c r="T38" i="29"/>
  <c r="T23" i="50"/>
  <c r="T20" i="50"/>
  <c r="T21" i="50"/>
  <c r="T10" i="50"/>
  <c r="T12" i="50"/>
  <c r="T30" i="50"/>
  <c r="T8" i="50"/>
  <c r="T26" i="50"/>
  <c r="T17" i="50"/>
  <c r="T28" i="50"/>
  <c r="T15" i="50"/>
  <c r="T25" i="50"/>
  <c r="T32" i="50"/>
  <c r="T18" i="50"/>
  <c r="T14" i="50"/>
  <c r="T22" i="50"/>
  <c r="T9" i="50"/>
  <c r="T27" i="50"/>
  <c r="T19" i="50"/>
  <c r="T24" i="50"/>
  <c r="T29" i="50"/>
  <c r="T16" i="50"/>
  <c r="T11" i="50"/>
  <c r="T31" i="50"/>
  <c r="T13" i="50"/>
  <c r="U3" i="50"/>
  <c r="U53" i="50" s="1"/>
  <c r="V4" i="29"/>
  <c r="V4" i="50"/>
  <c r="U3" i="29"/>
  <c r="U53" i="29" s="1"/>
  <c r="U46" i="50" l="1"/>
  <c r="U51" i="50"/>
  <c r="U52" i="50"/>
  <c r="U49" i="50"/>
  <c r="U50" i="50"/>
  <c r="U47" i="50"/>
  <c r="U48" i="50"/>
  <c r="U50" i="29"/>
  <c r="U51" i="29"/>
  <c r="U52" i="29"/>
  <c r="U49" i="29"/>
  <c r="U47" i="29"/>
  <c r="U48" i="29"/>
  <c r="U46" i="29"/>
  <c r="U42" i="50"/>
  <c r="U40" i="50"/>
  <c r="U45" i="50"/>
  <c r="U35" i="50"/>
  <c r="U37" i="50"/>
  <c r="U39" i="50"/>
  <c r="U33" i="50"/>
  <c r="U36" i="50"/>
  <c r="U34" i="50"/>
  <c r="U38" i="50"/>
  <c r="U43" i="50"/>
  <c r="U41" i="50"/>
  <c r="U44" i="50"/>
  <c r="U45" i="29"/>
  <c r="U43" i="29"/>
  <c r="U42" i="29"/>
  <c r="U38" i="29"/>
  <c r="U41" i="29"/>
  <c r="U33" i="29"/>
  <c r="U39" i="29"/>
  <c r="U44" i="29"/>
  <c r="U37" i="29"/>
  <c r="U35" i="29"/>
  <c r="U36" i="29"/>
  <c r="U40" i="29"/>
  <c r="U34" i="29"/>
  <c r="U14" i="50"/>
  <c r="U30" i="50"/>
  <c r="U8" i="50"/>
  <c r="U32" i="50"/>
  <c r="U10" i="50"/>
  <c r="U26" i="50"/>
  <c r="U28" i="50"/>
  <c r="U23" i="50"/>
  <c r="U18" i="50"/>
  <c r="U20" i="50"/>
  <c r="U31" i="50"/>
  <c r="U9" i="50"/>
  <c r="U25" i="50"/>
  <c r="U13" i="50"/>
  <c r="U22" i="50"/>
  <c r="U29" i="50"/>
  <c r="U19" i="50"/>
  <c r="U16" i="50"/>
  <c r="U24" i="50"/>
  <c r="U27" i="50"/>
  <c r="U12" i="50"/>
  <c r="U17" i="50"/>
  <c r="U11" i="50"/>
  <c r="U21" i="50"/>
  <c r="U15" i="50"/>
  <c r="V3" i="50"/>
  <c r="V53" i="50" s="1"/>
  <c r="W4" i="29"/>
  <c r="W4" i="50"/>
  <c r="V3" i="29"/>
  <c r="V53" i="29" s="1"/>
  <c r="V50" i="50" l="1"/>
  <c r="V48" i="50"/>
  <c r="V52" i="50"/>
  <c r="V49" i="50"/>
  <c r="V46" i="50"/>
  <c r="V47" i="50"/>
  <c r="V51" i="50"/>
  <c r="V50" i="29"/>
  <c r="V51" i="29"/>
  <c r="V48" i="29"/>
  <c r="V46" i="29"/>
  <c r="V49" i="29"/>
  <c r="V47" i="29"/>
  <c r="V52" i="29"/>
  <c r="V43" i="50"/>
  <c r="V41" i="50"/>
  <c r="V36" i="50"/>
  <c r="V42" i="50"/>
  <c r="V34" i="50"/>
  <c r="V44" i="50"/>
  <c r="V45" i="50"/>
  <c r="V38" i="50"/>
  <c r="V35" i="50"/>
  <c r="V33" i="50"/>
  <c r="V40" i="50"/>
  <c r="V37" i="50"/>
  <c r="V39" i="50"/>
  <c r="V43" i="29"/>
  <c r="V40" i="29"/>
  <c r="V38" i="29"/>
  <c r="V36" i="29"/>
  <c r="V37" i="29"/>
  <c r="V45" i="29"/>
  <c r="V42" i="29"/>
  <c r="V41" i="29"/>
  <c r="V33" i="29"/>
  <c r="V35" i="29"/>
  <c r="V34" i="29"/>
  <c r="V39" i="29"/>
  <c r="V44" i="29"/>
  <c r="V18" i="50"/>
  <c r="V30" i="50"/>
  <c r="V11" i="50"/>
  <c r="V31" i="50"/>
  <c r="V29" i="50"/>
  <c r="V26" i="50"/>
  <c r="V15" i="50"/>
  <c r="V25" i="50"/>
  <c r="V21" i="50"/>
  <c r="V17" i="50"/>
  <c r="V13" i="50"/>
  <c r="V9" i="50"/>
  <c r="V20" i="50"/>
  <c r="V23" i="50"/>
  <c r="V12" i="50"/>
  <c r="V28" i="50"/>
  <c r="V24" i="50"/>
  <c r="V27" i="50"/>
  <c r="V19" i="50"/>
  <c r="V22" i="50"/>
  <c r="V32" i="50"/>
  <c r="V16" i="50"/>
  <c r="V10" i="50"/>
  <c r="V8" i="50"/>
  <c r="V14" i="50"/>
  <c r="W3" i="50"/>
  <c r="W53" i="50" s="1"/>
  <c r="X4" i="29"/>
  <c r="X4" i="50"/>
  <c r="W3" i="29"/>
  <c r="W53" i="29" s="1"/>
  <c r="C28" i="28"/>
  <c r="Q4" i="15"/>
  <c r="Q5" i="15"/>
  <c r="Q6" i="15"/>
  <c r="Q7" i="15"/>
  <c r="Q8" i="15"/>
  <c r="Q9" i="15"/>
  <c r="Q10" i="15"/>
  <c r="Q11" i="15"/>
  <c r="Q12" i="15"/>
  <c r="Q13" i="15"/>
  <c r="Q14" i="15"/>
  <c r="Q15" i="15"/>
  <c r="Q16" i="15"/>
  <c r="Q17" i="15"/>
  <c r="Q18" i="15"/>
  <c r="Q19" i="15"/>
  <c r="Q20" i="15"/>
  <c r="Q21" i="15"/>
  <c r="Q22" i="15"/>
  <c r="Q23" i="15"/>
  <c r="Q24" i="15"/>
  <c r="Q25" i="15"/>
  <c r="Q26" i="15"/>
  <c r="Q27" i="15"/>
  <c r="Q28" i="15"/>
  <c r="Q29" i="15"/>
  <c r="Q30" i="15"/>
  <c r="Q31" i="15"/>
  <c r="Q32" i="15"/>
  <c r="Q33" i="15"/>
  <c r="Q34" i="15"/>
  <c r="Q35" i="15"/>
  <c r="Q36" i="15"/>
  <c r="Q37" i="15"/>
  <c r="Q38" i="15"/>
  <c r="Q39" i="15"/>
  <c r="Q40" i="15"/>
  <c r="Q41" i="15"/>
  <c r="Q42" i="15"/>
  <c r="Q43" i="15"/>
  <c r="Q44" i="15"/>
  <c r="Q45" i="15"/>
  <c r="Q46" i="15"/>
  <c r="Q47" i="15"/>
  <c r="Q48" i="15"/>
  <c r="Q49" i="15"/>
  <c r="Q50" i="15"/>
  <c r="Q51" i="15"/>
  <c r="Q52" i="15"/>
  <c r="Q53" i="15"/>
  <c r="Q54" i="15"/>
  <c r="Q55" i="15"/>
  <c r="Q56" i="15"/>
  <c r="Q57" i="15"/>
  <c r="Q58" i="15"/>
  <c r="Q59" i="15"/>
  <c r="Q60" i="15"/>
  <c r="Q61" i="15"/>
  <c r="Q62" i="15"/>
  <c r="Q63" i="15"/>
  <c r="Q64" i="15"/>
  <c r="Q65" i="15"/>
  <c r="Q66" i="15"/>
  <c r="Q67" i="15"/>
  <c r="Q68" i="15"/>
  <c r="Q69" i="15"/>
  <c r="Q70" i="15"/>
  <c r="Q71" i="15"/>
  <c r="Q72" i="15"/>
  <c r="Q73" i="15"/>
  <c r="Q74" i="15"/>
  <c r="Q75" i="15"/>
  <c r="Q76" i="15"/>
  <c r="Q77" i="15"/>
  <c r="Q78" i="15"/>
  <c r="Q79" i="15"/>
  <c r="Q80" i="15"/>
  <c r="Q81" i="15"/>
  <c r="Q82" i="15"/>
  <c r="Q83" i="15"/>
  <c r="Q84" i="15"/>
  <c r="Q85" i="15"/>
  <c r="Q86" i="15"/>
  <c r="Q87" i="15"/>
  <c r="Q88" i="15"/>
  <c r="Q89" i="15"/>
  <c r="Q90" i="15"/>
  <c r="Q91" i="15"/>
  <c r="Q92" i="15"/>
  <c r="Q93" i="15"/>
  <c r="Q94" i="15"/>
  <c r="Q95" i="15"/>
  <c r="Q96" i="15"/>
  <c r="Q97" i="15"/>
  <c r="Q98" i="15"/>
  <c r="Q99" i="15"/>
  <c r="Q100" i="15"/>
  <c r="Q101" i="15"/>
  <c r="Q102" i="15"/>
  <c r="Q103" i="15"/>
  <c r="Q104" i="15"/>
  <c r="Q105" i="15"/>
  <c r="Q106" i="15"/>
  <c r="Q107" i="15"/>
  <c r="Q108" i="15"/>
  <c r="Q109" i="15"/>
  <c r="Q110" i="15"/>
  <c r="Q111" i="15"/>
  <c r="Q112" i="15"/>
  <c r="Q113" i="15"/>
  <c r="Q114" i="15"/>
  <c r="Q115" i="15"/>
  <c r="Q116" i="15"/>
  <c r="Q117" i="15"/>
  <c r="Q118" i="15"/>
  <c r="Q119" i="15"/>
  <c r="Q120" i="15"/>
  <c r="Q121" i="15"/>
  <c r="Q122" i="15"/>
  <c r="Q123" i="15"/>
  <c r="Q124" i="15"/>
  <c r="Q125" i="15"/>
  <c r="Q126" i="15"/>
  <c r="Q127" i="15"/>
  <c r="Q128" i="15"/>
  <c r="Q129" i="15"/>
  <c r="Q130" i="15"/>
  <c r="Q131" i="15"/>
  <c r="Q132" i="15"/>
  <c r="Q133" i="15"/>
  <c r="Q134" i="15"/>
  <c r="Q135" i="15"/>
  <c r="Q136" i="15"/>
  <c r="Q137" i="15"/>
  <c r="Q138" i="15"/>
  <c r="Q139" i="15"/>
  <c r="Q140" i="15"/>
  <c r="Q141" i="15"/>
  <c r="Q142" i="15"/>
  <c r="Q143" i="15"/>
  <c r="Q144" i="15"/>
  <c r="Q145" i="15"/>
  <c r="Q146" i="15"/>
  <c r="Q147" i="15"/>
  <c r="Q148" i="15"/>
  <c r="Q149" i="15"/>
  <c r="Q150" i="15"/>
  <c r="Q151" i="15"/>
  <c r="Q152" i="15"/>
  <c r="Q153" i="15"/>
  <c r="Q154" i="15"/>
  <c r="Q155" i="15"/>
  <c r="Q156" i="15"/>
  <c r="Q157" i="15"/>
  <c r="Q158" i="15"/>
  <c r="Q159" i="15"/>
  <c r="Q160" i="15"/>
  <c r="Q161" i="15"/>
  <c r="Q162" i="15"/>
  <c r="Q163" i="15"/>
  <c r="Q164" i="15"/>
  <c r="Q165" i="15"/>
  <c r="Q166" i="15"/>
  <c r="Q167" i="15"/>
  <c r="Q168" i="15"/>
  <c r="Q169" i="15"/>
  <c r="Q170" i="15"/>
  <c r="Q171" i="15"/>
  <c r="Q172" i="15"/>
  <c r="Q173" i="15"/>
  <c r="Q174" i="15"/>
  <c r="Q175" i="15"/>
  <c r="Q176" i="15"/>
  <c r="Q177" i="15"/>
  <c r="Q178" i="15"/>
  <c r="Q179" i="15"/>
  <c r="Q180" i="15"/>
  <c r="Q181" i="15"/>
  <c r="Q182" i="15"/>
  <c r="Q183" i="15"/>
  <c r="Q184" i="15"/>
  <c r="Q185" i="15"/>
  <c r="Q186" i="15"/>
  <c r="Q187" i="15"/>
  <c r="Q188" i="15"/>
  <c r="Q189" i="15"/>
  <c r="Q190" i="15"/>
  <c r="Q191" i="15"/>
  <c r="Q192" i="15"/>
  <c r="Q193" i="15"/>
  <c r="Q194" i="15"/>
  <c r="Q195" i="15"/>
  <c r="Q196" i="15"/>
  <c r="Q197" i="15"/>
  <c r="Q198" i="15"/>
  <c r="Q199" i="15"/>
  <c r="Q200" i="15"/>
  <c r="Q201" i="15"/>
  <c r="Q202" i="15"/>
  <c r="Q203" i="15"/>
  <c r="Q204" i="15"/>
  <c r="Q205" i="15"/>
  <c r="Q206" i="15"/>
  <c r="Q207" i="15"/>
  <c r="Q208" i="15"/>
  <c r="Q209" i="15"/>
  <c r="Q210" i="15"/>
  <c r="Q211" i="15"/>
  <c r="Q212" i="15"/>
  <c r="Q213" i="15"/>
  <c r="Q214" i="15"/>
  <c r="Q215" i="15"/>
  <c r="Q216" i="15"/>
  <c r="Q217" i="15"/>
  <c r="Q218" i="15"/>
  <c r="Q219" i="15"/>
  <c r="Q220" i="15"/>
  <c r="Q221" i="15"/>
  <c r="Q222" i="15"/>
  <c r="Q223" i="15"/>
  <c r="Q224" i="15"/>
  <c r="Q225" i="15"/>
  <c r="Q226" i="15"/>
  <c r="Q227" i="15"/>
  <c r="Q228" i="15"/>
  <c r="Q229" i="15"/>
  <c r="Q230" i="15"/>
  <c r="Q231" i="15"/>
  <c r="Q232" i="15"/>
  <c r="Q233" i="15"/>
  <c r="Q234" i="15"/>
  <c r="Q235" i="15"/>
  <c r="Q236" i="15"/>
  <c r="Q237" i="15"/>
  <c r="Q238" i="15"/>
  <c r="Q239" i="15"/>
  <c r="Q240" i="15"/>
  <c r="Q241" i="15"/>
  <c r="Q242" i="15"/>
  <c r="Q243" i="15"/>
  <c r="Q244" i="15"/>
  <c r="Q245" i="15"/>
  <c r="Q246" i="15"/>
  <c r="Q247" i="15"/>
  <c r="Q248" i="15"/>
  <c r="Q249" i="15"/>
  <c r="Q250" i="15"/>
  <c r="Q251" i="15"/>
  <c r="Q252" i="15"/>
  <c r="Q253" i="15"/>
  <c r="Q254" i="15"/>
  <c r="Q255" i="15"/>
  <c r="Q256" i="15"/>
  <c r="Q257" i="15"/>
  <c r="Q258" i="15"/>
  <c r="Q259" i="15"/>
  <c r="Q260" i="15"/>
  <c r="Q261" i="15"/>
  <c r="Q262" i="15"/>
  <c r="Q263" i="15"/>
  <c r="Q264" i="15"/>
  <c r="Q265" i="15"/>
  <c r="Q266" i="15"/>
  <c r="Q267" i="15"/>
  <c r="Q268" i="15"/>
  <c r="Q269" i="15"/>
  <c r="Q270" i="15"/>
  <c r="Q271" i="15"/>
  <c r="Q272" i="15"/>
  <c r="Q273" i="15"/>
  <c r="Q274" i="15"/>
  <c r="Q275" i="15"/>
  <c r="Q276" i="15"/>
  <c r="Q277" i="15"/>
  <c r="Q278" i="15"/>
  <c r="Q279" i="15"/>
  <c r="Q280" i="15"/>
  <c r="Q281" i="15"/>
  <c r="Q282" i="15"/>
  <c r="Q283" i="15"/>
  <c r="Q284" i="15"/>
  <c r="Q285" i="15"/>
  <c r="Q286" i="15"/>
  <c r="Q287" i="15"/>
  <c r="Q288" i="15"/>
  <c r="Q289" i="15"/>
  <c r="Q290" i="15"/>
  <c r="Q291" i="15"/>
  <c r="Q292" i="15"/>
  <c r="Q293" i="15"/>
  <c r="Q294" i="15"/>
  <c r="Q295" i="15"/>
  <c r="Q296" i="15"/>
  <c r="Q297" i="15"/>
  <c r="Q298" i="15"/>
  <c r="Q299" i="15"/>
  <c r="Q300" i="15"/>
  <c r="Q301" i="15"/>
  <c r="Q302" i="15"/>
  <c r="Q303" i="15"/>
  <c r="Q304" i="15"/>
  <c r="Q305" i="15"/>
  <c r="Q306" i="15"/>
  <c r="Q307" i="15"/>
  <c r="Q308" i="15"/>
  <c r="Q309" i="15"/>
  <c r="Q310" i="15"/>
  <c r="Q311" i="15"/>
  <c r="Q312" i="15"/>
  <c r="Q313" i="15"/>
  <c r="Q314" i="15"/>
  <c r="Q315" i="15"/>
  <c r="Q316" i="15"/>
  <c r="Q317" i="15"/>
  <c r="Q318" i="15"/>
  <c r="Q319" i="15"/>
  <c r="W48" i="50" l="1"/>
  <c r="W50" i="50"/>
  <c r="W52" i="50"/>
  <c r="W51" i="50"/>
  <c r="W46" i="50"/>
  <c r="W47" i="50"/>
  <c r="W49" i="50"/>
  <c r="W47" i="29"/>
  <c r="W52" i="29"/>
  <c r="W51" i="29"/>
  <c r="W49" i="29"/>
  <c r="W50" i="29"/>
  <c r="W46" i="29"/>
  <c r="W48" i="29"/>
  <c r="W45" i="50"/>
  <c r="W41" i="50"/>
  <c r="W33" i="50"/>
  <c r="W39" i="50"/>
  <c r="W37" i="50"/>
  <c r="W38" i="50"/>
  <c r="W40" i="50"/>
  <c r="W36" i="50"/>
  <c r="W34" i="50"/>
  <c r="W42" i="50"/>
  <c r="W44" i="50"/>
  <c r="W35" i="50"/>
  <c r="W43" i="50"/>
  <c r="W41" i="29"/>
  <c r="W39" i="29"/>
  <c r="W38" i="29"/>
  <c r="W42" i="29"/>
  <c r="W37" i="29"/>
  <c r="W35" i="29"/>
  <c r="W33" i="29"/>
  <c r="W36" i="29"/>
  <c r="W45" i="29"/>
  <c r="W44" i="29"/>
  <c r="W40" i="29"/>
  <c r="W34" i="29"/>
  <c r="W43" i="29"/>
  <c r="W11" i="50"/>
  <c r="W20" i="50"/>
  <c r="W29" i="50"/>
  <c r="W26" i="50"/>
  <c r="W28" i="50"/>
  <c r="W22" i="50"/>
  <c r="W30" i="50"/>
  <c r="W18" i="50"/>
  <c r="W21" i="50"/>
  <c r="W14" i="50"/>
  <c r="W10" i="50"/>
  <c r="W32" i="50"/>
  <c r="W31" i="50"/>
  <c r="W17" i="50"/>
  <c r="W25" i="50"/>
  <c r="W24" i="50"/>
  <c r="W8" i="50"/>
  <c r="W9" i="50"/>
  <c r="W27" i="50"/>
  <c r="W15" i="50"/>
  <c r="W19" i="50"/>
  <c r="W16" i="50"/>
  <c r="W23" i="50"/>
  <c r="W13" i="50"/>
  <c r="W12" i="50"/>
  <c r="X3" i="50"/>
  <c r="X53" i="50" s="1"/>
  <c r="Y4" i="29"/>
  <c r="Z4" i="40" s="1"/>
  <c r="Y4" i="50"/>
  <c r="X3" i="29"/>
  <c r="X53" i="29" s="1"/>
  <c r="G24" i="28"/>
  <c r="G26" i="28"/>
  <c r="G32" i="28"/>
  <c r="G31" i="28"/>
  <c r="G28" i="28"/>
  <c r="G22" i="28"/>
  <c r="G20" i="28"/>
  <c r="G13" i="28"/>
  <c r="N4" i="24"/>
  <c r="N4" i="25"/>
  <c r="N4" i="27"/>
  <c r="N8" i="27" s="1"/>
  <c r="O8" i="27" s="1"/>
  <c r="N4" i="40"/>
  <c r="N8" i="40" s="1"/>
  <c r="Y4" i="40"/>
  <c r="X4" i="40"/>
  <c r="W4" i="40"/>
  <c r="V4" i="40"/>
  <c r="U4" i="40"/>
  <c r="T4" i="40"/>
  <c r="S4" i="40"/>
  <c r="R4" i="40"/>
  <c r="X3" i="40"/>
  <c r="X53" i="40" s="1"/>
  <c r="W3" i="40"/>
  <c r="W53" i="40" s="1"/>
  <c r="V3" i="40"/>
  <c r="V53" i="40" s="1"/>
  <c r="U3" i="40"/>
  <c r="U53" i="40" s="1"/>
  <c r="T3" i="40"/>
  <c r="T53" i="40" s="1"/>
  <c r="S3" i="40"/>
  <c r="S53" i="40" s="1"/>
  <c r="R3" i="40"/>
  <c r="R53" i="40" s="1"/>
  <c r="CE2" i="40"/>
  <c r="CD2" i="40"/>
  <c r="CC2" i="40"/>
  <c r="CB2" i="40"/>
  <c r="CA2" i="40"/>
  <c r="BZ2" i="40"/>
  <c r="BY2" i="40"/>
  <c r="BX2" i="40"/>
  <c r="BW2" i="40"/>
  <c r="BV2" i="40"/>
  <c r="BU2" i="40"/>
  <c r="BT2" i="40"/>
  <c r="BS2" i="40"/>
  <c r="BR2" i="40"/>
  <c r="BQ2" i="40"/>
  <c r="BP2" i="40"/>
  <c r="BO2" i="40"/>
  <c r="BN2" i="40"/>
  <c r="BM2" i="40"/>
  <c r="BL2" i="40"/>
  <c r="BK2" i="40"/>
  <c r="BJ2" i="40"/>
  <c r="BI2" i="40"/>
  <c r="BH2" i="40"/>
  <c r="BG2" i="40"/>
  <c r="BF2" i="40"/>
  <c r="BE2" i="40"/>
  <c r="BD2" i="40"/>
  <c r="BC2" i="40"/>
  <c r="BB2" i="40"/>
  <c r="BA2" i="40"/>
  <c r="AZ2" i="40"/>
  <c r="AY2" i="40"/>
  <c r="AX2" i="40"/>
  <c r="AW2" i="40"/>
  <c r="AV2" i="40"/>
  <c r="AU2" i="40"/>
  <c r="AT2" i="40"/>
  <c r="AS2" i="40"/>
  <c r="AR2" i="40"/>
  <c r="AQ2" i="40"/>
  <c r="AP2" i="40"/>
  <c r="AO2" i="40"/>
  <c r="AN2" i="40"/>
  <c r="AM2" i="40"/>
  <c r="AL2" i="40"/>
  <c r="AK2" i="40"/>
  <c r="AJ2" i="40"/>
  <c r="AI2" i="40"/>
  <c r="AH2" i="40"/>
  <c r="AG2" i="40"/>
  <c r="AF2" i="40"/>
  <c r="AE2" i="40"/>
  <c r="AD2" i="40"/>
  <c r="AC2" i="40"/>
  <c r="AB2" i="40"/>
  <c r="AA2" i="40"/>
  <c r="Z2" i="40"/>
  <c r="Y2" i="40"/>
  <c r="X2" i="40"/>
  <c r="W2" i="40"/>
  <c r="V2" i="40"/>
  <c r="U2" i="40"/>
  <c r="T2" i="40"/>
  <c r="S2" i="40"/>
  <c r="R2" i="40"/>
  <c r="CE1" i="40"/>
  <c r="CD1" i="40"/>
  <c r="CC1" i="40"/>
  <c r="CB1" i="40"/>
  <c r="CA1" i="40"/>
  <c r="BZ1" i="40"/>
  <c r="BY1" i="40"/>
  <c r="BX1" i="40"/>
  <c r="BW1" i="40"/>
  <c r="BV1" i="40"/>
  <c r="BU1" i="40"/>
  <c r="BT1" i="40"/>
  <c r="BS1" i="40"/>
  <c r="BR1" i="40"/>
  <c r="BQ1" i="40"/>
  <c r="BP1" i="40"/>
  <c r="BO1" i="40"/>
  <c r="BN1" i="40"/>
  <c r="BM1" i="40"/>
  <c r="BL1" i="40"/>
  <c r="BK1" i="40"/>
  <c r="BJ1" i="40"/>
  <c r="BI1" i="40"/>
  <c r="BH1" i="40"/>
  <c r="BG1" i="40"/>
  <c r="BF1" i="40"/>
  <c r="BE1" i="40"/>
  <c r="BD1" i="40"/>
  <c r="BC1" i="40"/>
  <c r="BB1" i="40"/>
  <c r="BA1" i="40"/>
  <c r="AZ1" i="40"/>
  <c r="AY1" i="40"/>
  <c r="AX1" i="40"/>
  <c r="AW1" i="40"/>
  <c r="AV1" i="40"/>
  <c r="AU1" i="40"/>
  <c r="AT1" i="40"/>
  <c r="AS1" i="40"/>
  <c r="AR1" i="40"/>
  <c r="AQ1" i="40"/>
  <c r="AP1" i="40"/>
  <c r="AO1" i="40"/>
  <c r="AN1" i="40"/>
  <c r="AM1" i="40"/>
  <c r="AL1" i="40"/>
  <c r="AK1" i="40"/>
  <c r="AJ1" i="40"/>
  <c r="AI1" i="40"/>
  <c r="AH1" i="40"/>
  <c r="AG1" i="40"/>
  <c r="AF1" i="40"/>
  <c r="AE1" i="40"/>
  <c r="AD1" i="40"/>
  <c r="AC1" i="40"/>
  <c r="AB1" i="40"/>
  <c r="AA1" i="40"/>
  <c r="Z1" i="40"/>
  <c r="Y1" i="40"/>
  <c r="X1" i="40"/>
  <c r="W1" i="40"/>
  <c r="V1" i="40"/>
  <c r="U1" i="40"/>
  <c r="T1" i="40"/>
  <c r="S1" i="40"/>
  <c r="R1" i="40"/>
  <c r="X4" i="37"/>
  <c r="W4" i="37"/>
  <c r="V4" i="37"/>
  <c r="U4" i="37"/>
  <c r="T4" i="37"/>
  <c r="S4" i="37"/>
  <c r="R4" i="37"/>
  <c r="Q4" i="37"/>
  <c r="W3" i="37"/>
  <c r="W53" i="37" s="1"/>
  <c r="V3" i="37"/>
  <c r="V53" i="37" s="1"/>
  <c r="U3" i="37"/>
  <c r="U53" i="37" s="1"/>
  <c r="T3" i="37"/>
  <c r="T53" i="37" s="1"/>
  <c r="S3" i="37"/>
  <c r="S53" i="37" s="1"/>
  <c r="R3" i="37"/>
  <c r="R53" i="37" s="1"/>
  <c r="Q3" i="37"/>
  <c r="Q53" i="37" s="1"/>
  <c r="CD2" i="37"/>
  <c r="CC2" i="37"/>
  <c r="CB2" i="37"/>
  <c r="CA2" i="37"/>
  <c r="BZ2" i="37"/>
  <c r="BY2" i="37"/>
  <c r="BX2" i="37"/>
  <c r="BW2" i="37"/>
  <c r="BV2" i="37"/>
  <c r="BU2" i="37"/>
  <c r="BT2" i="37"/>
  <c r="BS2" i="37"/>
  <c r="BR2" i="37"/>
  <c r="BQ2" i="37"/>
  <c r="BP2" i="37"/>
  <c r="BO2" i="37"/>
  <c r="BN2" i="37"/>
  <c r="BM2" i="37"/>
  <c r="BL2" i="37"/>
  <c r="BK2" i="37"/>
  <c r="BJ2" i="37"/>
  <c r="BI2" i="37"/>
  <c r="BH2" i="37"/>
  <c r="BG2" i="37"/>
  <c r="BF2" i="37"/>
  <c r="BE2" i="37"/>
  <c r="BD2" i="37"/>
  <c r="BC2" i="37"/>
  <c r="BB2" i="37"/>
  <c r="BA2" i="37"/>
  <c r="AZ2" i="37"/>
  <c r="AY2" i="37"/>
  <c r="AX2" i="37"/>
  <c r="AW2" i="37"/>
  <c r="AV2" i="37"/>
  <c r="AU2" i="37"/>
  <c r="AT2" i="37"/>
  <c r="AS2" i="37"/>
  <c r="AR2" i="37"/>
  <c r="AQ2" i="37"/>
  <c r="AP2" i="37"/>
  <c r="AO2" i="37"/>
  <c r="AN2" i="37"/>
  <c r="AM2" i="37"/>
  <c r="AL2" i="37"/>
  <c r="AK2" i="37"/>
  <c r="AJ2" i="37"/>
  <c r="AI2" i="37"/>
  <c r="AH2" i="37"/>
  <c r="AG2" i="37"/>
  <c r="AF2" i="37"/>
  <c r="AE2" i="37"/>
  <c r="AD2" i="37"/>
  <c r="AC2" i="37"/>
  <c r="AB2" i="37"/>
  <c r="AA2" i="37"/>
  <c r="Z2" i="37"/>
  <c r="Y2" i="37"/>
  <c r="X2" i="37"/>
  <c r="W2" i="37"/>
  <c r="V2" i="37"/>
  <c r="U2" i="37"/>
  <c r="T2" i="37"/>
  <c r="S2" i="37"/>
  <c r="R2" i="37"/>
  <c r="Q2" i="37"/>
  <c r="CD1" i="37"/>
  <c r="CC1" i="37"/>
  <c r="CB1" i="37"/>
  <c r="CA1" i="37"/>
  <c r="BZ1" i="37"/>
  <c r="BY1" i="37"/>
  <c r="BX1" i="37"/>
  <c r="BW1" i="37"/>
  <c r="BV1" i="37"/>
  <c r="BU1" i="37"/>
  <c r="BT1" i="37"/>
  <c r="BS1" i="37"/>
  <c r="BR1" i="37"/>
  <c r="BQ1" i="37"/>
  <c r="BP1" i="37"/>
  <c r="BO1" i="37"/>
  <c r="BN1" i="37"/>
  <c r="BM1" i="37"/>
  <c r="BL1" i="37"/>
  <c r="BK1" i="37"/>
  <c r="BJ1" i="37"/>
  <c r="BI1" i="37"/>
  <c r="BH1" i="37"/>
  <c r="BG1" i="37"/>
  <c r="BF1" i="37"/>
  <c r="BE1" i="37"/>
  <c r="BD1" i="37"/>
  <c r="BC1" i="37"/>
  <c r="BB1" i="37"/>
  <c r="BA1" i="37"/>
  <c r="AZ1" i="37"/>
  <c r="AY1" i="37"/>
  <c r="AX1" i="37"/>
  <c r="AW1" i="37"/>
  <c r="AV1" i="37"/>
  <c r="AU1" i="37"/>
  <c r="AT1" i="37"/>
  <c r="AS1" i="37"/>
  <c r="AR1" i="37"/>
  <c r="AQ1" i="37"/>
  <c r="AP1" i="37"/>
  <c r="AO1" i="37"/>
  <c r="AN1" i="37"/>
  <c r="AM1" i="37"/>
  <c r="AL1" i="37"/>
  <c r="AK1" i="37"/>
  <c r="AJ1" i="37"/>
  <c r="AI1" i="37"/>
  <c r="AH1" i="37"/>
  <c r="AG1" i="37"/>
  <c r="AF1" i="37"/>
  <c r="AE1" i="37"/>
  <c r="AD1" i="37"/>
  <c r="AC1" i="37"/>
  <c r="AB1" i="37"/>
  <c r="AA1" i="37"/>
  <c r="Z1" i="37"/>
  <c r="Y1" i="37"/>
  <c r="X1" i="37"/>
  <c r="W1" i="37"/>
  <c r="V1" i="37"/>
  <c r="U1" i="37"/>
  <c r="T1" i="37"/>
  <c r="S1" i="37"/>
  <c r="R1" i="37"/>
  <c r="Q1" i="37"/>
  <c r="Y4" i="28"/>
  <c r="X4" i="28"/>
  <c r="W4" i="28"/>
  <c r="V4" i="28"/>
  <c r="U4" i="28"/>
  <c r="T4" i="28"/>
  <c r="S4" i="28"/>
  <c r="R4" i="28"/>
  <c r="X3" i="28"/>
  <c r="W3" i="28"/>
  <c r="V3" i="28"/>
  <c r="U3" i="28"/>
  <c r="T3" i="28"/>
  <c r="S3" i="28"/>
  <c r="R3" i="28"/>
  <c r="CE2" i="28"/>
  <c r="CD2" i="28"/>
  <c r="CC2" i="28"/>
  <c r="CB2" i="28"/>
  <c r="CA2" i="28"/>
  <c r="BZ2" i="28"/>
  <c r="BY2" i="28"/>
  <c r="BX2" i="28"/>
  <c r="BW2" i="28"/>
  <c r="BV2" i="28"/>
  <c r="BU2" i="28"/>
  <c r="BT2" i="28"/>
  <c r="BS2" i="28"/>
  <c r="BR2" i="28"/>
  <c r="BQ2" i="28"/>
  <c r="BP2" i="28"/>
  <c r="BO2" i="28"/>
  <c r="BN2" i="28"/>
  <c r="BM2" i="28"/>
  <c r="BL2" i="28"/>
  <c r="BK2" i="28"/>
  <c r="BJ2" i="28"/>
  <c r="BI2" i="28"/>
  <c r="BH2" i="28"/>
  <c r="BG2" i="28"/>
  <c r="BF2" i="28"/>
  <c r="BE2" i="28"/>
  <c r="BD2" i="28"/>
  <c r="BC2" i="28"/>
  <c r="BB2" i="28"/>
  <c r="BA2" i="28"/>
  <c r="AZ2" i="28"/>
  <c r="AY2" i="28"/>
  <c r="AX2" i="28"/>
  <c r="AW2" i="28"/>
  <c r="AV2" i="28"/>
  <c r="AU2" i="28"/>
  <c r="AT2" i="28"/>
  <c r="AS2" i="28"/>
  <c r="AR2" i="28"/>
  <c r="AQ2" i="28"/>
  <c r="AP2" i="28"/>
  <c r="AO2" i="28"/>
  <c r="AN2" i="28"/>
  <c r="AM2" i="28"/>
  <c r="AL2" i="28"/>
  <c r="AK2" i="28"/>
  <c r="AJ2" i="28"/>
  <c r="AI2" i="28"/>
  <c r="AH2" i="28"/>
  <c r="AG2" i="28"/>
  <c r="AF2" i="28"/>
  <c r="AE2" i="28"/>
  <c r="AD2" i="28"/>
  <c r="AC2" i="28"/>
  <c r="AB2" i="28"/>
  <c r="AA2" i="28"/>
  <c r="Z2" i="28"/>
  <c r="Y2" i="28"/>
  <c r="X2" i="28"/>
  <c r="W2" i="28"/>
  <c r="V2" i="28"/>
  <c r="U2" i="28"/>
  <c r="T2" i="28"/>
  <c r="S2" i="28"/>
  <c r="R2" i="28"/>
  <c r="CE1" i="28"/>
  <c r="CD1" i="28"/>
  <c r="CC1" i="28"/>
  <c r="CB1" i="28"/>
  <c r="CA1" i="28"/>
  <c r="BZ1" i="28"/>
  <c r="BY1" i="28"/>
  <c r="BX1" i="28"/>
  <c r="BW1" i="28"/>
  <c r="BV1" i="28"/>
  <c r="BU1" i="28"/>
  <c r="BT1" i="28"/>
  <c r="BS1" i="28"/>
  <c r="BR1" i="28"/>
  <c r="BQ1" i="28"/>
  <c r="BP1" i="28"/>
  <c r="BO1" i="28"/>
  <c r="BN1" i="28"/>
  <c r="BM1" i="28"/>
  <c r="BL1" i="28"/>
  <c r="BK1" i="28"/>
  <c r="BJ1" i="28"/>
  <c r="BI1" i="28"/>
  <c r="BH1" i="28"/>
  <c r="BG1" i="28"/>
  <c r="BF1" i="28"/>
  <c r="BE1" i="28"/>
  <c r="BD1" i="28"/>
  <c r="BC1" i="28"/>
  <c r="BB1" i="28"/>
  <c r="BA1" i="28"/>
  <c r="AZ1" i="28"/>
  <c r="AY1" i="28"/>
  <c r="AX1" i="28"/>
  <c r="AW1" i="28"/>
  <c r="AV1" i="28"/>
  <c r="AU1" i="28"/>
  <c r="AT1" i="28"/>
  <c r="AS1" i="28"/>
  <c r="AR1" i="28"/>
  <c r="AQ1" i="28"/>
  <c r="AP1" i="28"/>
  <c r="AO1" i="28"/>
  <c r="AN1" i="28"/>
  <c r="AM1" i="28"/>
  <c r="AL1" i="28"/>
  <c r="AK1" i="28"/>
  <c r="AJ1" i="28"/>
  <c r="AI1" i="28"/>
  <c r="AH1" i="28"/>
  <c r="AG1" i="28"/>
  <c r="AF1" i="28"/>
  <c r="AE1" i="28"/>
  <c r="AD1" i="28"/>
  <c r="AC1" i="28"/>
  <c r="AB1" i="28"/>
  <c r="AA1" i="28"/>
  <c r="Z1" i="28"/>
  <c r="Y1" i="28"/>
  <c r="X1" i="28"/>
  <c r="W1" i="28"/>
  <c r="V1" i="28"/>
  <c r="U1" i="28"/>
  <c r="T1" i="28"/>
  <c r="S1" i="28"/>
  <c r="R1" i="28"/>
  <c r="Y4" i="27"/>
  <c r="X4" i="27"/>
  <c r="W4" i="27"/>
  <c r="V4" i="27"/>
  <c r="U4" i="27"/>
  <c r="T4" i="27"/>
  <c r="S4" i="27"/>
  <c r="R4" i="27"/>
  <c r="X3" i="27"/>
  <c r="X53" i="27" s="1"/>
  <c r="W3" i="27"/>
  <c r="W53" i="27" s="1"/>
  <c r="V3" i="27"/>
  <c r="V53" i="27" s="1"/>
  <c r="U3" i="27"/>
  <c r="U53" i="27" s="1"/>
  <c r="T3" i="27"/>
  <c r="T53" i="27" s="1"/>
  <c r="S3" i="27"/>
  <c r="S53" i="27" s="1"/>
  <c r="R3" i="27"/>
  <c r="R53" i="27" s="1"/>
  <c r="CE2" i="27"/>
  <c r="CD2" i="27"/>
  <c r="CC2" i="27"/>
  <c r="CB2" i="27"/>
  <c r="CA2" i="27"/>
  <c r="BZ2" i="27"/>
  <c r="BY2" i="27"/>
  <c r="BX2" i="27"/>
  <c r="BW2" i="27"/>
  <c r="BV2" i="27"/>
  <c r="BU2" i="27"/>
  <c r="BT2" i="27"/>
  <c r="BS2" i="27"/>
  <c r="BR2" i="27"/>
  <c r="BQ2" i="27"/>
  <c r="BP2" i="27"/>
  <c r="BO2" i="27"/>
  <c r="BN2" i="27"/>
  <c r="BM2" i="27"/>
  <c r="BL2" i="27"/>
  <c r="BK2" i="27"/>
  <c r="BJ2" i="27"/>
  <c r="BI2" i="27"/>
  <c r="BH2" i="27"/>
  <c r="BG2" i="27"/>
  <c r="BF2" i="27"/>
  <c r="BE2" i="27"/>
  <c r="BD2" i="27"/>
  <c r="BC2" i="27"/>
  <c r="BB2" i="27"/>
  <c r="BA2" i="27"/>
  <c r="AZ2" i="27"/>
  <c r="AY2" i="27"/>
  <c r="AX2" i="27"/>
  <c r="AW2" i="27"/>
  <c r="AV2" i="27"/>
  <c r="AU2" i="27"/>
  <c r="AT2" i="27"/>
  <c r="AS2" i="27"/>
  <c r="AR2" i="27"/>
  <c r="AQ2" i="27"/>
  <c r="AP2" i="27"/>
  <c r="AO2" i="27"/>
  <c r="AN2" i="27"/>
  <c r="AM2" i="27"/>
  <c r="AL2" i="27"/>
  <c r="AK2" i="27"/>
  <c r="AJ2" i="27"/>
  <c r="AI2" i="27"/>
  <c r="AH2" i="27"/>
  <c r="AG2" i="27"/>
  <c r="AF2" i="27"/>
  <c r="AE2" i="27"/>
  <c r="AD2" i="27"/>
  <c r="AC2" i="27"/>
  <c r="AB2" i="27"/>
  <c r="AA2" i="27"/>
  <c r="Z2" i="27"/>
  <c r="Y2" i="27"/>
  <c r="X2" i="27"/>
  <c r="W2" i="27"/>
  <c r="V2" i="27"/>
  <c r="U2" i="27"/>
  <c r="T2" i="27"/>
  <c r="S2" i="27"/>
  <c r="R2" i="27"/>
  <c r="CE1" i="27"/>
  <c r="CD1" i="27"/>
  <c r="CC1" i="27"/>
  <c r="CB1" i="27"/>
  <c r="CA1" i="27"/>
  <c r="BZ1" i="27"/>
  <c r="BY1" i="27"/>
  <c r="BX1" i="27"/>
  <c r="BW1" i="27"/>
  <c r="BV1" i="27"/>
  <c r="BU1" i="27"/>
  <c r="BT1" i="27"/>
  <c r="BS1" i="27"/>
  <c r="BR1" i="27"/>
  <c r="BQ1" i="27"/>
  <c r="BP1" i="27"/>
  <c r="BO1" i="27"/>
  <c r="BN1" i="27"/>
  <c r="BM1" i="27"/>
  <c r="BL1" i="27"/>
  <c r="BK1" i="27"/>
  <c r="BJ1" i="27"/>
  <c r="BI1" i="27"/>
  <c r="BH1" i="27"/>
  <c r="BG1" i="27"/>
  <c r="BF1" i="27"/>
  <c r="BE1" i="27"/>
  <c r="BD1" i="27"/>
  <c r="BC1" i="27"/>
  <c r="BB1" i="27"/>
  <c r="BA1" i="27"/>
  <c r="AZ1" i="27"/>
  <c r="AY1" i="27"/>
  <c r="AX1" i="27"/>
  <c r="AW1" i="27"/>
  <c r="AV1" i="27"/>
  <c r="AU1" i="27"/>
  <c r="AT1" i="27"/>
  <c r="AS1" i="27"/>
  <c r="AR1" i="27"/>
  <c r="AQ1" i="27"/>
  <c r="AP1" i="27"/>
  <c r="AO1" i="27"/>
  <c r="AN1" i="27"/>
  <c r="AM1" i="27"/>
  <c r="AL1" i="27"/>
  <c r="AK1" i="27"/>
  <c r="AJ1" i="27"/>
  <c r="AI1" i="27"/>
  <c r="AH1" i="27"/>
  <c r="AG1" i="27"/>
  <c r="AF1" i="27"/>
  <c r="AE1" i="27"/>
  <c r="AD1" i="27"/>
  <c r="AC1" i="27"/>
  <c r="AB1" i="27"/>
  <c r="AA1" i="27"/>
  <c r="Z1" i="27"/>
  <c r="Y1" i="27"/>
  <c r="X1" i="27"/>
  <c r="W1" i="27"/>
  <c r="V1" i="27"/>
  <c r="U1" i="27"/>
  <c r="T1" i="27"/>
  <c r="S1" i="27"/>
  <c r="R1" i="27"/>
  <c r="Y4" i="44"/>
  <c r="X4" i="44"/>
  <c r="W4" i="44"/>
  <c r="V4" i="44"/>
  <c r="U4" i="44"/>
  <c r="T4" i="44"/>
  <c r="S4" i="44"/>
  <c r="R4" i="44"/>
  <c r="X3" i="44"/>
  <c r="X53" i="44" s="1"/>
  <c r="W3" i="44"/>
  <c r="W53" i="44" s="1"/>
  <c r="V3" i="44"/>
  <c r="V53" i="44" s="1"/>
  <c r="U3" i="44"/>
  <c r="U53" i="44" s="1"/>
  <c r="T3" i="44"/>
  <c r="T53" i="44" s="1"/>
  <c r="S3" i="44"/>
  <c r="S53" i="44" s="1"/>
  <c r="R3" i="44"/>
  <c r="R53" i="44" s="1"/>
  <c r="CE2" i="44"/>
  <c r="CD2" i="44"/>
  <c r="CC2" i="44"/>
  <c r="CB2" i="44"/>
  <c r="CA2" i="44"/>
  <c r="BZ2" i="44"/>
  <c r="BY2" i="44"/>
  <c r="BX2" i="44"/>
  <c r="BW2" i="44"/>
  <c r="BV2" i="44"/>
  <c r="BU2" i="44"/>
  <c r="BT2" i="44"/>
  <c r="BS2" i="44"/>
  <c r="BR2" i="44"/>
  <c r="BQ2" i="44"/>
  <c r="BP2" i="44"/>
  <c r="BO2" i="44"/>
  <c r="BN2" i="44"/>
  <c r="BM2" i="44"/>
  <c r="BL2" i="44"/>
  <c r="BK2" i="44"/>
  <c r="BJ2" i="44"/>
  <c r="BI2" i="44"/>
  <c r="BH2" i="44"/>
  <c r="BG2" i="44"/>
  <c r="BF2" i="44"/>
  <c r="BE2" i="44"/>
  <c r="BD2" i="44"/>
  <c r="BC2" i="44"/>
  <c r="BB2" i="44"/>
  <c r="BA2" i="44"/>
  <c r="AZ2" i="44"/>
  <c r="AY2" i="44"/>
  <c r="AX2" i="44"/>
  <c r="AW2" i="44"/>
  <c r="AV2" i="44"/>
  <c r="AU2" i="44"/>
  <c r="AT2" i="44"/>
  <c r="AS2" i="44"/>
  <c r="AR2" i="44"/>
  <c r="AQ2" i="44"/>
  <c r="AP2" i="44"/>
  <c r="AO2" i="44"/>
  <c r="AN2" i="44"/>
  <c r="AM2" i="44"/>
  <c r="AL2" i="44"/>
  <c r="AK2" i="44"/>
  <c r="AJ2" i="44"/>
  <c r="AI2" i="44"/>
  <c r="AH2" i="44"/>
  <c r="AG2" i="44"/>
  <c r="AF2" i="44"/>
  <c r="AE2" i="44"/>
  <c r="AD2" i="44"/>
  <c r="AC2" i="44"/>
  <c r="AB2" i="44"/>
  <c r="AA2" i="44"/>
  <c r="Z2" i="44"/>
  <c r="Y2" i="44"/>
  <c r="X2" i="44"/>
  <c r="W2" i="44"/>
  <c r="V2" i="44"/>
  <c r="U2" i="44"/>
  <c r="T2" i="44"/>
  <c r="S2" i="44"/>
  <c r="R2" i="44"/>
  <c r="CE1" i="44"/>
  <c r="CD1" i="44"/>
  <c r="CC1" i="44"/>
  <c r="CB1" i="44"/>
  <c r="CA1" i="44"/>
  <c r="BZ1" i="44"/>
  <c r="BY1" i="44"/>
  <c r="BX1" i="44"/>
  <c r="BW1" i="44"/>
  <c r="BV1" i="44"/>
  <c r="BU1" i="44"/>
  <c r="BT1" i="44"/>
  <c r="BS1" i="44"/>
  <c r="BR1" i="44"/>
  <c r="BQ1" i="44"/>
  <c r="BP1" i="44"/>
  <c r="BO1" i="44"/>
  <c r="BN1" i="44"/>
  <c r="BM1" i="44"/>
  <c r="BL1" i="44"/>
  <c r="BK1" i="44"/>
  <c r="BJ1" i="44"/>
  <c r="BI1" i="44"/>
  <c r="BH1" i="44"/>
  <c r="BG1" i="44"/>
  <c r="BF1" i="44"/>
  <c r="BE1" i="44"/>
  <c r="BD1" i="44"/>
  <c r="BC1" i="44"/>
  <c r="BB1" i="44"/>
  <c r="BA1" i="44"/>
  <c r="AZ1" i="44"/>
  <c r="AY1" i="44"/>
  <c r="AX1" i="44"/>
  <c r="AW1" i="44"/>
  <c r="AV1" i="44"/>
  <c r="AU1" i="44"/>
  <c r="AT1" i="44"/>
  <c r="AS1" i="44"/>
  <c r="AR1" i="44"/>
  <c r="AQ1" i="44"/>
  <c r="AP1" i="44"/>
  <c r="AO1" i="44"/>
  <c r="AN1" i="44"/>
  <c r="AM1" i="44"/>
  <c r="AL1" i="44"/>
  <c r="AK1" i="44"/>
  <c r="AJ1" i="44"/>
  <c r="AI1" i="44"/>
  <c r="AH1" i="44"/>
  <c r="AG1" i="44"/>
  <c r="AF1" i="44"/>
  <c r="AE1" i="44"/>
  <c r="AD1" i="44"/>
  <c r="AC1" i="44"/>
  <c r="AB1" i="44"/>
  <c r="AA1" i="44"/>
  <c r="Z1" i="44"/>
  <c r="Y1" i="44"/>
  <c r="X1" i="44"/>
  <c r="W1" i="44"/>
  <c r="V1" i="44"/>
  <c r="U1" i="44"/>
  <c r="T1" i="44"/>
  <c r="S1" i="44"/>
  <c r="R1" i="44"/>
  <c r="Y4" i="26"/>
  <c r="X4" i="26"/>
  <c r="W4" i="26"/>
  <c r="V4" i="26"/>
  <c r="U4" i="26"/>
  <c r="T4" i="26"/>
  <c r="S4" i="26"/>
  <c r="R4" i="26"/>
  <c r="X3" i="26"/>
  <c r="X53" i="26" s="1"/>
  <c r="W3" i="26"/>
  <c r="W53" i="26" s="1"/>
  <c r="V3" i="26"/>
  <c r="V53" i="26" s="1"/>
  <c r="U3" i="26"/>
  <c r="U53" i="26" s="1"/>
  <c r="T3" i="26"/>
  <c r="T53" i="26" s="1"/>
  <c r="S3" i="26"/>
  <c r="S53" i="26" s="1"/>
  <c r="R3" i="26"/>
  <c r="R53" i="26" s="1"/>
  <c r="CE2" i="26"/>
  <c r="CD2" i="26"/>
  <c r="CC2" i="26"/>
  <c r="CB2" i="26"/>
  <c r="CA2" i="26"/>
  <c r="BZ2" i="26"/>
  <c r="BY2" i="26"/>
  <c r="BX2" i="26"/>
  <c r="BW2" i="26"/>
  <c r="BV2" i="26"/>
  <c r="BU2" i="26"/>
  <c r="BT2" i="26"/>
  <c r="BS2" i="26"/>
  <c r="BR2" i="26"/>
  <c r="BQ2" i="26"/>
  <c r="BP2" i="26"/>
  <c r="BO2" i="26"/>
  <c r="BN2" i="26"/>
  <c r="BM2" i="26"/>
  <c r="BL2" i="26"/>
  <c r="BK2" i="26"/>
  <c r="BJ2" i="26"/>
  <c r="BI2" i="26"/>
  <c r="BH2" i="26"/>
  <c r="BG2" i="26"/>
  <c r="BF2" i="26"/>
  <c r="BE2" i="26"/>
  <c r="BD2" i="26"/>
  <c r="BC2" i="26"/>
  <c r="BB2" i="26"/>
  <c r="BA2" i="26"/>
  <c r="AZ2" i="26"/>
  <c r="AY2" i="26"/>
  <c r="AX2" i="26"/>
  <c r="AW2" i="26"/>
  <c r="AV2" i="26"/>
  <c r="AU2" i="26"/>
  <c r="AT2" i="26"/>
  <c r="AS2" i="26"/>
  <c r="AR2" i="26"/>
  <c r="AQ2" i="26"/>
  <c r="AP2" i="26"/>
  <c r="AO2" i="26"/>
  <c r="AN2" i="26"/>
  <c r="AM2" i="26"/>
  <c r="AL2" i="26"/>
  <c r="AK2" i="26"/>
  <c r="AJ2" i="26"/>
  <c r="AI2" i="26"/>
  <c r="AH2" i="26"/>
  <c r="AG2" i="26"/>
  <c r="AF2" i="26"/>
  <c r="AE2" i="26"/>
  <c r="AD2" i="26"/>
  <c r="AC2" i="26"/>
  <c r="AB2" i="26"/>
  <c r="AA2" i="26"/>
  <c r="Z2" i="26"/>
  <c r="Y2" i="26"/>
  <c r="X2" i="26"/>
  <c r="W2" i="26"/>
  <c r="V2" i="26"/>
  <c r="U2" i="26"/>
  <c r="T2" i="26"/>
  <c r="S2" i="26"/>
  <c r="R2" i="26"/>
  <c r="CE1" i="26"/>
  <c r="CD1" i="26"/>
  <c r="CC1" i="26"/>
  <c r="CB1" i="26"/>
  <c r="CA1" i="26"/>
  <c r="BZ1" i="26"/>
  <c r="BY1" i="26"/>
  <c r="BX1" i="26"/>
  <c r="BW1" i="26"/>
  <c r="BV1" i="26"/>
  <c r="BU1" i="26"/>
  <c r="BT1" i="26"/>
  <c r="BS1" i="26"/>
  <c r="BR1" i="26"/>
  <c r="BQ1" i="26"/>
  <c r="BP1" i="26"/>
  <c r="BO1" i="26"/>
  <c r="BN1" i="26"/>
  <c r="BM1" i="26"/>
  <c r="BL1" i="26"/>
  <c r="BK1" i="26"/>
  <c r="BJ1" i="26"/>
  <c r="BI1" i="26"/>
  <c r="BH1" i="26"/>
  <c r="BG1" i="26"/>
  <c r="BF1" i="26"/>
  <c r="BE1" i="26"/>
  <c r="BD1" i="26"/>
  <c r="BC1" i="26"/>
  <c r="BB1" i="26"/>
  <c r="BA1" i="26"/>
  <c r="AZ1" i="26"/>
  <c r="AY1" i="26"/>
  <c r="AX1" i="26"/>
  <c r="AW1" i="26"/>
  <c r="AV1" i="26"/>
  <c r="AU1" i="26"/>
  <c r="AT1" i="26"/>
  <c r="AS1" i="26"/>
  <c r="AR1" i="26"/>
  <c r="AQ1" i="26"/>
  <c r="AP1" i="26"/>
  <c r="AO1" i="26"/>
  <c r="AN1" i="26"/>
  <c r="AM1" i="26"/>
  <c r="AL1" i="26"/>
  <c r="AK1" i="26"/>
  <c r="AJ1" i="26"/>
  <c r="AI1" i="26"/>
  <c r="AH1" i="26"/>
  <c r="AG1" i="26"/>
  <c r="AF1" i="26"/>
  <c r="AE1" i="26"/>
  <c r="AD1" i="26"/>
  <c r="AC1" i="26"/>
  <c r="AB1" i="26"/>
  <c r="AA1" i="26"/>
  <c r="Z1" i="26"/>
  <c r="Y1" i="26"/>
  <c r="X1" i="26"/>
  <c r="W1" i="26"/>
  <c r="V1" i="26"/>
  <c r="U1" i="26"/>
  <c r="T1" i="26"/>
  <c r="S1" i="26"/>
  <c r="R1" i="26"/>
  <c r="Y4" i="25"/>
  <c r="X4" i="25"/>
  <c r="W4" i="25"/>
  <c r="V4" i="25"/>
  <c r="U4" i="25"/>
  <c r="T4" i="25"/>
  <c r="S4" i="25"/>
  <c r="R4" i="25"/>
  <c r="X3" i="25"/>
  <c r="X53" i="25" s="1"/>
  <c r="W3" i="25"/>
  <c r="W53" i="25" s="1"/>
  <c r="V3" i="25"/>
  <c r="V53" i="25" s="1"/>
  <c r="U3" i="25"/>
  <c r="U53" i="25" s="1"/>
  <c r="T3" i="25"/>
  <c r="T53" i="25" s="1"/>
  <c r="S3" i="25"/>
  <c r="S53" i="25" s="1"/>
  <c r="R3" i="25"/>
  <c r="R53" i="25" s="1"/>
  <c r="CE2" i="25"/>
  <c r="CD2" i="25"/>
  <c r="CC2" i="25"/>
  <c r="CB2" i="25"/>
  <c r="CA2" i="25"/>
  <c r="BZ2" i="25"/>
  <c r="BY2" i="25"/>
  <c r="BX2" i="25"/>
  <c r="BW2" i="25"/>
  <c r="BV2" i="25"/>
  <c r="BU2" i="25"/>
  <c r="BT2" i="25"/>
  <c r="BS2" i="25"/>
  <c r="BR2" i="25"/>
  <c r="BQ2" i="25"/>
  <c r="BP2" i="25"/>
  <c r="BO2" i="25"/>
  <c r="BN2" i="25"/>
  <c r="BM2" i="25"/>
  <c r="BL2" i="25"/>
  <c r="BK2" i="25"/>
  <c r="BJ2" i="25"/>
  <c r="BI2" i="25"/>
  <c r="BH2" i="25"/>
  <c r="BG2" i="25"/>
  <c r="BF2" i="25"/>
  <c r="BE2" i="25"/>
  <c r="BD2" i="25"/>
  <c r="BC2" i="25"/>
  <c r="BB2" i="25"/>
  <c r="BA2" i="25"/>
  <c r="AZ2" i="25"/>
  <c r="AY2" i="25"/>
  <c r="AX2" i="25"/>
  <c r="AW2" i="25"/>
  <c r="AV2" i="25"/>
  <c r="AU2" i="25"/>
  <c r="AT2" i="25"/>
  <c r="AS2" i="25"/>
  <c r="AR2" i="25"/>
  <c r="AQ2" i="25"/>
  <c r="AP2" i="25"/>
  <c r="AO2" i="25"/>
  <c r="AN2" i="25"/>
  <c r="AM2" i="25"/>
  <c r="AL2" i="25"/>
  <c r="AK2" i="25"/>
  <c r="AJ2" i="25"/>
  <c r="AI2" i="25"/>
  <c r="AH2" i="25"/>
  <c r="AG2" i="25"/>
  <c r="AF2" i="25"/>
  <c r="AE2" i="25"/>
  <c r="AD2" i="25"/>
  <c r="AC2" i="25"/>
  <c r="AB2" i="25"/>
  <c r="AA2" i="25"/>
  <c r="Z2" i="25"/>
  <c r="Y2" i="25"/>
  <c r="X2" i="25"/>
  <c r="W2" i="25"/>
  <c r="V2" i="25"/>
  <c r="U2" i="25"/>
  <c r="T2" i="25"/>
  <c r="S2" i="25"/>
  <c r="R2" i="25"/>
  <c r="CE1" i="25"/>
  <c r="CD1" i="25"/>
  <c r="CC1" i="25"/>
  <c r="CB1" i="25"/>
  <c r="CA1" i="25"/>
  <c r="BZ1" i="25"/>
  <c r="BY1" i="25"/>
  <c r="BX1" i="25"/>
  <c r="BW1" i="25"/>
  <c r="BV1" i="25"/>
  <c r="BU1" i="25"/>
  <c r="BT1" i="25"/>
  <c r="BS1" i="25"/>
  <c r="BR1" i="25"/>
  <c r="BQ1" i="25"/>
  <c r="BP1" i="25"/>
  <c r="BO1" i="25"/>
  <c r="BN1" i="25"/>
  <c r="BM1" i="25"/>
  <c r="BL1" i="25"/>
  <c r="BK1" i="25"/>
  <c r="BJ1" i="25"/>
  <c r="BI1" i="25"/>
  <c r="BH1" i="25"/>
  <c r="BG1" i="25"/>
  <c r="BF1" i="25"/>
  <c r="BE1" i="25"/>
  <c r="BD1" i="25"/>
  <c r="BC1" i="25"/>
  <c r="BB1" i="25"/>
  <c r="BA1" i="25"/>
  <c r="AZ1" i="25"/>
  <c r="AY1" i="25"/>
  <c r="AX1" i="25"/>
  <c r="AW1" i="25"/>
  <c r="AV1" i="25"/>
  <c r="AU1" i="25"/>
  <c r="AT1" i="25"/>
  <c r="AS1" i="25"/>
  <c r="AR1" i="25"/>
  <c r="AQ1" i="25"/>
  <c r="AP1" i="25"/>
  <c r="AO1" i="25"/>
  <c r="AN1" i="25"/>
  <c r="AM1" i="25"/>
  <c r="AL1" i="25"/>
  <c r="AK1" i="25"/>
  <c r="AJ1" i="25"/>
  <c r="AI1" i="25"/>
  <c r="AH1" i="25"/>
  <c r="AG1" i="25"/>
  <c r="AF1" i="25"/>
  <c r="AE1" i="25"/>
  <c r="AD1" i="25"/>
  <c r="AC1" i="25"/>
  <c r="AB1" i="25"/>
  <c r="AA1" i="25"/>
  <c r="Z1" i="25"/>
  <c r="Y1" i="25"/>
  <c r="X1" i="25"/>
  <c r="W1" i="25"/>
  <c r="V1" i="25"/>
  <c r="U1" i="25"/>
  <c r="T1" i="25"/>
  <c r="S1" i="25"/>
  <c r="R1" i="25"/>
  <c r="Y4" i="24"/>
  <c r="X4" i="24"/>
  <c r="W4" i="24"/>
  <c r="V4" i="24"/>
  <c r="U4" i="24"/>
  <c r="T4" i="24"/>
  <c r="S4" i="24"/>
  <c r="R4" i="24"/>
  <c r="X3" i="24"/>
  <c r="X53" i="24" s="1"/>
  <c r="W3" i="24"/>
  <c r="W53" i="24" s="1"/>
  <c r="V3" i="24"/>
  <c r="V53" i="24" s="1"/>
  <c r="U3" i="24"/>
  <c r="U53" i="24" s="1"/>
  <c r="T3" i="24"/>
  <c r="T53" i="24" s="1"/>
  <c r="S3" i="24"/>
  <c r="S53" i="24" s="1"/>
  <c r="R3" i="24"/>
  <c r="R53" i="24" s="1"/>
  <c r="CE2" i="24"/>
  <c r="CD2" i="24"/>
  <c r="CC2" i="24"/>
  <c r="CB2" i="24"/>
  <c r="CA2" i="24"/>
  <c r="BZ2" i="24"/>
  <c r="BY2" i="24"/>
  <c r="BX2" i="24"/>
  <c r="BW2" i="24"/>
  <c r="BV2" i="24"/>
  <c r="BU2" i="24"/>
  <c r="BT2" i="24"/>
  <c r="BS2" i="24"/>
  <c r="BR2" i="24"/>
  <c r="BQ2" i="24"/>
  <c r="BP2" i="24"/>
  <c r="BO2" i="24"/>
  <c r="BN2" i="24"/>
  <c r="BM2" i="24"/>
  <c r="BL2" i="24"/>
  <c r="BK2" i="24"/>
  <c r="BJ2" i="24"/>
  <c r="BI2" i="24"/>
  <c r="BH2" i="24"/>
  <c r="BG2" i="24"/>
  <c r="BF2" i="24"/>
  <c r="BE2" i="24"/>
  <c r="BD2" i="24"/>
  <c r="BC2" i="24"/>
  <c r="BB2" i="24"/>
  <c r="BA2" i="24"/>
  <c r="AZ2" i="24"/>
  <c r="AY2" i="24"/>
  <c r="AX2" i="24"/>
  <c r="AW2" i="24"/>
  <c r="AV2" i="24"/>
  <c r="AU2" i="24"/>
  <c r="AT2" i="24"/>
  <c r="AS2" i="24"/>
  <c r="AR2" i="24"/>
  <c r="AQ2" i="24"/>
  <c r="AP2" i="24"/>
  <c r="AO2" i="24"/>
  <c r="AN2" i="24"/>
  <c r="AM2" i="24"/>
  <c r="AL2" i="24"/>
  <c r="AK2" i="24"/>
  <c r="AJ2" i="24"/>
  <c r="AI2" i="24"/>
  <c r="AH2" i="24"/>
  <c r="AG2" i="24"/>
  <c r="AF2" i="24"/>
  <c r="AE2" i="24"/>
  <c r="AD2" i="24"/>
  <c r="AC2" i="24"/>
  <c r="AB2" i="24"/>
  <c r="AA2" i="24"/>
  <c r="Z2" i="24"/>
  <c r="Y2" i="24"/>
  <c r="X2" i="24"/>
  <c r="W2" i="24"/>
  <c r="V2" i="24"/>
  <c r="U2" i="24"/>
  <c r="T2" i="24"/>
  <c r="S2" i="24"/>
  <c r="R2" i="24"/>
  <c r="CE1" i="24"/>
  <c r="CD1" i="24"/>
  <c r="CC1" i="24"/>
  <c r="CB1" i="24"/>
  <c r="CA1" i="24"/>
  <c r="BZ1" i="24"/>
  <c r="BY1" i="24"/>
  <c r="BX1" i="24"/>
  <c r="BW1" i="24"/>
  <c r="BV1" i="24"/>
  <c r="BU1" i="24"/>
  <c r="BT1" i="24"/>
  <c r="BS1" i="24"/>
  <c r="BR1" i="24"/>
  <c r="BQ1" i="24"/>
  <c r="BP1" i="24"/>
  <c r="BO1" i="24"/>
  <c r="BN1" i="24"/>
  <c r="BM1" i="24"/>
  <c r="BL1" i="24"/>
  <c r="BK1" i="24"/>
  <c r="BJ1" i="24"/>
  <c r="BI1" i="24"/>
  <c r="BH1" i="24"/>
  <c r="BG1" i="24"/>
  <c r="BF1" i="24"/>
  <c r="BE1" i="24"/>
  <c r="BD1" i="24"/>
  <c r="BC1" i="24"/>
  <c r="BB1" i="24"/>
  <c r="BA1" i="24"/>
  <c r="AZ1" i="24"/>
  <c r="AY1" i="24"/>
  <c r="AX1" i="24"/>
  <c r="AW1" i="24"/>
  <c r="AV1" i="24"/>
  <c r="AU1" i="24"/>
  <c r="AT1" i="24"/>
  <c r="AS1" i="24"/>
  <c r="AR1" i="24"/>
  <c r="AQ1" i="24"/>
  <c r="AP1" i="24"/>
  <c r="AO1" i="24"/>
  <c r="AN1" i="24"/>
  <c r="AM1" i="24"/>
  <c r="AL1" i="24"/>
  <c r="AK1" i="24"/>
  <c r="AJ1" i="24"/>
  <c r="AI1" i="24"/>
  <c r="AH1" i="24"/>
  <c r="AG1" i="24"/>
  <c r="AF1" i="24"/>
  <c r="AE1" i="24"/>
  <c r="AD1" i="24"/>
  <c r="AC1" i="24"/>
  <c r="AB1" i="24"/>
  <c r="AA1" i="24"/>
  <c r="Z1" i="24"/>
  <c r="Y1" i="24"/>
  <c r="X1" i="24"/>
  <c r="W1" i="24"/>
  <c r="V1" i="24"/>
  <c r="U1" i="24"/>
  <c r="T1" i="24"/>
  <c r="S1" i="24"/>
  <c r="R1" i="24"/>
  <c r="Y4" i="22"/>
  <c r="X4" i="22"/>
  <c r="W4" i="22"/>
  <c r="V4" i="22"/>
  <c r="U4" i="22"/>
  <c r="T4" i="22"/>
  <c r="S4" i="22"/>
  <c r="X3" i="22"/>
  <c r="X53" i="22" s="1"/>
  <c r="W3" i="22"/>
  <c r="W53" i="22" s="1"/>
  <c r="V3" i="22"/>
  <c r="V53" i="22" s="1"/>
  <c r="U3" i="22"/>
  <c r="U53" i="22" s="1"/>
  <c r="T3" i="22"/>
  <c r="T53" i="22" s="1"/>
  <c r="S3" i="22"/>
  <c r="S53" i="22" s="1"/>
  <c r="CE2" i="22"/>
  <c r="CD2" i="22"/>
  <c r="CC2" i="22"/>
  <c r="CB2" i="22"/>
  <c r="CA2" i="22"/>
  <c r="BZ2" i="22"/>
  <c r="BY2" i="22"/>
  <c r="BX2" i="22"/>
  <c r="BW2" i="22"/>
  <c r="BV2" i="22"/>
  <c r="BU2" i="22"/>
  <c r="BT2" i="22"/>
  <c r="BS2" i="22"/>
  <c r="BR2" i="22"/>
  <c r="BQ2" i="22"/>
  <c r="BP2" i="22"/>
  <c r="BO2" i="22"/>
  <c r="BN2" i="22"/>
  <c r="BM2" i="22"/>
  <c r="BL2" i="22"/>
  <c r="BK2" i="22"/>
  <c r="BJ2" i="22"/>
  <c r="BI2" i="22"/>
  <c r="BH2" i="22"/>
  <c r="BG2" i="22"/>
  <c r="BF2" i="22"/>
  <c r="BE2" i="22"/>
  <c r="BD2" i="22"/>
  <c r="BC2" i="22"/>
  <c r="BB2" i="22"/>
  <c r="BA2" i="22"/>
  <c r="AZ2" i="22"/>
  <c r="AY2" i="22"/>
  <c r="AX2" i="22"/>
  <c r="AW2" i="22"/>
  <c r="AV2" i="22"/>
  <c r="AU2" i="22"/>
  <c r="AT2" i="22"/>
  <c r="AS2" i="22"/>
  <c r="AR2" i="22"/>
  <c r="AQ2" i="22"/>
  <c r="AP2" i="22"/>
  <c r="AO2" i="22"/>
  <c r="AN2" i="22"/>
  <c r="AM2" i="22"/>
  <c r="AL2" i="22"/>
  <c r="AK2" i="22"/>
  <c r="AJ2" i="22"/>
  <c r="AI2" i="22"/>
  <c r="AH2" i="22"/>
  <c r="AG2" i="22"/>
  <c r="AF2" i="22"/>
  <c r="AE2" i="22"/>
  <c r="AD2" i="22"/>
  <c r="AC2" i="22"/>
  <c r="AB2" i="22"/>
  <c r="AA2" i="22"/>
  <c r="Z2" i="22"/>
  <c r="Y2" i="22"/>
  <c r="X2" i="22"/>
  <c r="W2" i="22"/>
  <c r="V2" i="22"/>
  <c r="U2" i="22"/>
  <c r="T2" i="22"/>
  <c r="S2" i="22"/>
  <c r="CE1" i="22"/>
  <c r="CD1" i="22"/>
  <c r="CC1" i="22"/>
  <c r="CB1" i="22"/>
  <c r="CA1" i="22"/>
  <c r="BZ1" i="22"/>
  <c r="BY1" i="22"/>
  <c r="BX1" i="22"/>
  <c r="BW1" i="22"/>
  <c r="BV1" i="22"/>
  <c r="BU1" i="22"/>
  <c r="BT1" i="22"/>
  <c r="BS1" i="22"/>
  <c r="BR1" i="22"/>
  <c r="BQ1" i="22"/>
  <c r="BP1" i="22"/>
  <c r="BO1" i="22"/>
  <c r="BN1" i="22"/>
  <c r="BM1" i="22"/>
  <c r="BL1" i="22"/>
  <c r="BK1" i="22"/>
  <c r="BJ1" i="22"/>
  <c r="BI1" i="22"/>
  <c r="BH1" i="22"/>
  <c r="BG1" i="22"/>
  <c r="BF1" i="22"/>
  <c r="BE1" i="22"/>
  <c r="BD1" i="22"/>
  <c r="BC1" i="22"/>
  <c r="BB1" i="22"/>
  <c r="BA1" i="22"/>
  <c r="AZ1" i="22"/>
  <c r="AY1" i="22"/>
  <c r="AX1" i="22"/>
  <c r="AW1" i="22"/>
  <c r="AV1" i="22"/>
  <c r="AU1" i="22"/>
  <c r="AT1" i="22"/>
  <c r="AS1" i="22"/>
  <c r="AR1" i="22"/>
  <c r="AQ1" i="22"/>
  <c r="AP1" i="22"/>
  <c r="AO1" i="22"/>
  <c r="AN1" i="22"/>
  <c r="AM1" i="22"/>
  <c r="AL1" i="22"/>
  <c r="AK1" i="22"/>
  <c r="AJ1" i="22"/>
  <c r="AI1" i="22"/>
  <c r="AH1" i="22"/>
  <c r="AG1" i="22"/>
  <c r="AF1" i="22"/>
  <c r="AE1" i="22"/>
  <c r="AD1" i="22"/>
  <c r="AC1" i="22"/>
  <c r="AB1" i="22"/>
  <c r="AA1" i="22"/>
  <c r="Z1" i="22"/>
  <c r="Y1" i="22"/>
  <c r="X1" i="22"/>
  <c r="W1" i="22"/>
  <c r="V1" i="22"/>
  <c r="U1" i="22"/>
  <c r="T1" i="22"/>
  <c r="S1" i="22"/>
  <c r="R4" i="22"/>
  <c r="R3" i="22"/>
  <c r="R53" i="22" s="1"/>
  <c r="R2" i="22"/>
  <c r="R1" i="22"/>
  <c r="N4" i="22"/>
  <c r="N8" i="22" s="1"/>
  <c r="M4" i="32"/>
  <c r="M4" i="31"/>
  <c r="M8" i="31" s="1"/>
  <c r="X4" i="32"/>
  <c r="W4" i="32"/>
  <c r="V4" i="32"/>
  <c r="U4" i="32"/>
  <c r="T4" i="32"/>
  <c r="S4" i="32"/>
  <c r="R4" i="32"/>
  <c r="Q4" i="32"/>
  <c r="W3" i="32"/>
  <c r="W53" i="32" s="1"/>
  <c r="V3" i="32"/>
  <c r="V53" i="32" s="1"/>
  <c r="U3" i="32"/>
  <c r="U53" i="32" s="1"/>
  <c r="T3" i="32"/>
  <c r="T53" i="32" s="1"/>
  <c r="S3" i="32"/>
  <c r="S53" i="32" s="1"/>
  <c r="R3" i="32"/>
  <c r="R53" i="32" s="1"/>
  <c r="Q3" i="32"/>
  <c r="Q53" i="32" s="1"/>
  <c r="CD2" i="32"/>
  <c r="CC2" i="32"/>
  <c r="CB2" i="32"/>
  <c r="CA2" i="32"/>
  <c r="BZ2" i="32"/>
  <c r="BY2" i="32"/>
  <c r="BX2" i="32"/>
  <c r="BW2" i="32"/>
  <c r="BV2" i="32"/>
  <c r="BU2" i="32"/>
  <c r="BT2" i="32"/>
  <c r="BS2" i="32"/>
  <c r="BR2" i="32"/>
  <c r="BQ2" i="32"/>
  <c r="BP2" i="32"/>
  <c r="BO2" i="32"/>
  <c r="BN2" i="32"/>
  <c r="BM2" i="32"/>
  <c r="BL2" i="32"/>
  <c r="BK2" i="32"/>
  <c r="BJ2" i="32"/>
  <c r="BI2" i="32"/>
  <c r="BH2" i="32"/>
  <c r="BG2" i="32"/>
  <c r="BF2" i="32"/>
  <c r="BE2" i="32"/>
  <c r="BD2" i="32"/>
  <c r="BC2" i="32"/>
  <c r="BB2" i="32"/>
  <c r="BA2" i="32"/>
  <c r="AZ2" i="32"/>
  <c r="AY2" i="32"/>
  <c r="AX2" i="32"/>
  <c r="AW2" i="32"/>
  <c r="AV2" i="32"/>
  <c r="AU2" i="32"/>
  <c r="AT2" i="32"/>
  <c r="AS2" i="32"/>
  <c r="AR2" i="32"/>
  <c r="AQ2" i="32"/>
  <c r="AP2" i="32"/>
  <c r="AO2" i="32"/>
  <c r="AN2" i="32"/>
  <c r="AM2" i="32"/>
  <c r="AL2" i="32"/>
  <c r="AK2" i="32"/>
  <c r="AJ2" i="32"/>
  <c r="AI2" i="32"/>
  <c r="AH2" i="32"/>
  <c r="AG2" i="32"/>
  <c r="AF2" i="32"/>
  <c r="AE2" i="32"/>
  <c r="AD2" i="32"/>
  <c r="AC2" i="32"/>
  <c r="AB2" i="32"/>
  <c r="AA2" i="32"/>
  <c r="Z2" i="32"/>
  <c r="Y2" i="32"/>
  <c r="X2" i="32"/>
  <c r="W2" i="32"/>
  <c r="V2" i="32"/>
  <c r="U2" i="32"/>
  <c r="T2" i="32"/>
  <c r="S2" i="32"/>
  <c r="R2" i="32"/>
  <c r="Q2" i="32"/>
  <c r="CD1" i="32"/>
  <c r="CC1" i="32"/>
  <c r="CB1" i="32"/>
  <c r="CA1" i="32"/>
  <c r="BZ1" i="32"/>
  <c r="BY1" i="32"/>
  <c r="BX1" i="32"/>
  <c r="BW1" i="32"/>
  <c r="BV1" i="32"/>
  <c r="BU1" i="32"/>
  <c r="BT1" i="32"/>
  <c r="BS1" i="32"/>
  <c r="BR1" i="32"/>
  <c r="BQ1" i="32"/>
  <c r="BP1" i="32"/>
  <c r="BO1" i="32"/>
  <c r="BN1" i="32"/>
  <c r="BM1" i="32"/>
  <c r="BL1" i="32"/>
  <c r="BK1" i="32"/>
  <c r="BJ1" i="32"/>
  <c r="BI1" i="32"/>
  <c r="BH1" i="32"/>
  <c r="BG1" i="32"/>
  <c r="BF1" i="32"/>
  <c r="BE1" i="32"/>
  <c r="BD1" i="32"/>
  <c r="BC1" i="32"/>
  <c r="BB1" i="32"/>
  <c r="BA1" i="32"/>
  <c r="AZ1" i="32"/>
  <c r="AY1" i="32"/>
  <c r="AX1" i="32"/>
  <c r="AW1" i="32"/>
  <c r="AV1" i="32"/>
  <c r="AU1" i="32"/>
  <c r="AT1" i="32"/>
  <c r="AS1" i="32"/>
  <c r="AR1" i="32"/>
  <c r="AQ1" i="32"/>
  <c r="AP1" i="32"/>
  <c r="AO1" i="32"/>
  <c r="AN1" i="32"/>
  <c r="AM1" i="32"/>
  <c r="AL1" i="32"/>
  <c r="AK1" i="32"/>
  <c r="AJ1" i="32"/>
  <c r="AI1" i="32"/>
  <c r="AH1" i="32"/>
  <c r="AG1" i="32"/>
  <c r="AF1" i="32"/>
  <c r="AE1" i="32"/>
  <c r="AD1" i="32"/>
  <c r="AC1" i="32"/>
  <c r="AB1" i="32"/>
  <c r="AA1" i="32"/>
  <c r="Z1" i="32"/>
  <c r="Y1" i="32"/>
  <c r="X1" i="32"/>
  <c r="W1" i="32"/>
  <c r="V1" i="32"/>
  <c r="U1" i="32"/>
  <c r="T1" i="32"/>
  <c r="S1" i="32"/>
  <c r="R1" i="32"/>
  <c r="Q1" i="32"/>
  <c r="X4" i="31"/>
  <c r="W4" i="31"/>
  <c r="V4" i="31"/>
  <c r="U4" i="31"/>
  <c r="T4" i="31"/>
  <c r="S4" i="31"/>
  <c r="R4" i="31"/>
  <c r="Q4" i="31"/>
  <c r="W3" i="31"/>
  <c r="W53" i="31" s="1"/>
  <c r="V3" i="31"/>
  <c r="V53" i="31" s="1"/>
  <c r="U3" i="31"/>
  <c r="U53" i="31" s="1"/>
  <c r="T3" i="31"/>
  <c r="T53" i="31" s="1"/>
  <c r="S3" i="31"/>
  <c r="S53" i="31" s="1"/>
  <c r="R3" i="31"/>
  <c r="R53" i="31" s="1"/>
  <c r="Q3" i="31"/>
  <c r="Q53" i="31" s="1"/>
  <c r="CD2" i="31"/>
  <c r="CC2" i="31"/>
  <c r="CB2" i="31"/>
  <c r="CA2" i="31"/>
  <c r="BZ2" i="31"/>
  <c r="BY2" i="31"/>
  <c r="BX2" i="31"/>
  <c r="BW2" i="31"/>
  <c r="BV2" i="31"/>
  <c r="BU2" i="31"/>
  <c r="BT2" i="31"/>
  <c r="BS2" i="31"/>
  <c r="BR2" i="31"/>
  <c r="BQ2" i="31"/>
  <c r="BP2" i="31"/>
  <c r="BO2" i="31"/>
  <c r="BN2" i="31"/>
  <c r="BM2" i="31"/>
  <c r="BL2" i="31"/>
  <c r="BK2" i="31"/>
  <c r="BJ2" i="31"/>
  <c r="BI2" i="31"/>
  <c r="BH2" i="31"/>
  <c r="BG2" i="31"/>
  <c r="BF2" i="31"/>
  <c r="BE2" i="31"/>
  <c r="BD2" i="31"/>
  <c r="BC2" i="31"/>
  <c r="BB2" i="31"/>
  <c r="BA2" i="31"/>
  <c r="AZ2" i="31"/>
  <c r="AY2" i="31"/>
  <c r="AX2" i="31"/>
  <c r="AW2" i="31"/>
  <c r="AV2" i="31"/>
  <c r="AU2" i="31"/>
  <c r="AT2" i="31"/>
  <c r="AS2" i="31"/>
  <c r="AR2" i="31"/>
  <c r="AQ2" i="31"/>
  <c r="AP2" i="31"/>
  <c r="AO2" i="31"/>
  <c r="AN2" i="31"/>
  <c r="AM2" i="31"/>
  <c r="AL2" i="31"/>
  <c r="AK2" i="31"/>
  <c r="AJ2" i="31"/>
  <c r="AI2" i="31"/>
  <c r="AH2" i="31"/>
  <c r="AG2" i="31"/>
  <c r="AF2" i="31"/>
  <c r="AE2" i="31"/>
  <c r="AD2" i="31"/>
  <c r="AC2" i="31"/>
  <c r="AB2" i="31"/>
  <c r="AA2" i="31"/>
  <c r="Z2" i="31"/>
  <c r="Y2" i="31"/>
  <c r="X2" i="31"/>
  <c r="W2" i="31"/>
  <c r="V2" i="31"/>
  <c r="U2" i="31"/>
  <c r="T2" i="31"/>
  <c r="S2" i="31"/>
  <c r="R2" i="31"/>
  <c r="Q2" i="31"/>
  <c r="CD1" i="31"/>
  <c r="CC1" i="31"/>
  <c r="CB1" i="31"/>
  <c r="CA1" i="31"/>
  <c r="BZ1" i="31"/>
  <c r="BY1" i="31"/>
  <c r="BX1" i="31"/>
  <c r="BW1" i="31"/>
  <c r="BV1" i="31"/>
  <c r="BU1" i="31"/>
  <c r="BT1" i="31"/>
  <c r="BS1" i="31"/>
  <c r="BR1" i="31"/>
  <c r="BQ1" i="31"/>
  <c r="BP1" i="31"/>
  <c r="BO1" i="31"/>
  <c r="BN1" i="31"/>
  <c r="BM1" i="31"/>
  <c r="BL1" i="31"/>
  <c r="BK1" i="31"/>
  <c r="BJ1" i="31"/>
  <c r="BI1" i="31"/>
  <c r="BH1" i="31"/>
  <c r="BG1" i="31"/>
  <c r="BF1" i="31"/>
  <c r="BE1" i="31"/>
  <c r="BD1" i="31"/>
  <c r="BC1" i="31"/>
  <c r="BB1" i="31"/>
  <c r="BA1" i="31"/>
  <c r="AZ1" i="31"/>
  <c r="AY1" i="31"/>
  <c r="AX1" i="31"/>
  <c r="AW1" i="31"/>
  <c r="AV1" i="31"/>
  <c r="AU1" i="31"/>
  <c r="AT1" i="31"/>
  <c r="AS1" i="31"/>
  <c r="AR1" i="31"/>
  <c r="AQ1" i="31"/>
  <c r="AP1" i="31"/>
  <c r="AO1" i="31"/>
  <c r="AN1" i="31"/>
  <c r="AM1" i="31"/>
  <c r="AL1" i="31"/>
  <c r="AK1" i="31"/>
  <c r="AJ1" i="31"/>
  <c r="AI1" i="31"/>
  <c r="AH1" i="31"/>
  <c r="AG1" i="31"/>
  <c r="AF1" i="31"/>
  <c r="AE1" i="31"/>
  <c r="AD1" i="31"/>
  <c r="AC1" i="31"/>
  <c r="AB1" i="31"/>
  <c r="AA1" i="31"/>
  <c r="Z1" i="31"/>
  <c r="Y1" i="31"/>
  <c r="X1" i="31"/>
  <c r="W1" i="31"/>
  <c r="V1" i="31"/>
  <c r="U1" i="31"/>
  <c r="T1" i="31"/>
  <c r="S1" i="31"/>
  <c r="R1" i="31"/>
  <c r="Q1" i="31"/>
  <c r="CD1" i="30"/>
  <c r="CC1" i="30"/>
  <c r="CB1" i="30"/>
  <c r="CA1" i="30"/>
  <c r="BZ1" i="30"/>
  <c r="BY1" i="30"/>
  <c r="BX1" i="30"/>
  <c r="BW1" i="30"/>
  <c r="BV1" i="30"/>
  <c r="BU1" i="30"/>
  <c r="BT1" i="30"/>
  <c r="BS1" i="30"/>
  <c r="BR1" i="30"/>
  <c r="BQ1" i="30"/>
  <c r="BP1" i="30"/>
  <c r="BO1" i="30"/>
  <c r="BN1" i="30"/>
  <c r="BM1" i="30"/>
  <c r="BL1" i="30"/>
  <c r="BK1" i="30"/>
  <c r="BJ1" i="30"/>
  <c r="BI1" i="30"/>
  <c r="BH1" i="30"/>
  <c r="BG1" i="30"/>
  <c r="BF1" i="30"/>
  <c r="BE1" i="30"/>
  <c r="BD1" i="30"/>
  <c r="BC1" i="30"/>
  <c r="BB1" i="30"/>
  <c r="BA1" i="30"/>
  <c r="AZ1" i="30"/>
  <c r="AY1" i="30"/>
  <c r="AX1" i="30"/>
  <c r="AW1" i="30"/>
  <c r="AV1" i="30"/>
  <c r="AU1" i="30"/>
  <c r="AT1" i="30"/>
  <c r="AS1" i="30"/>
  <c r="AR1" i="30"/>
  <c r="AQ1" i="30"/>
  <c r="AP1" i="30"/>
  <c r="AO1" i="30"/>
  <c r="AN1" i="30"/>
  <c r="AM1" i="30"/>
  <c r="AL1" i="30"/>
  <c r="AK1" i="30"/>
  <c r="AJ1" i="30"/>
  <c r="AI1" i="30"/>
  <c r="AH1" i="30"/>
  <c r="AG1" i="30"/>
  <c r="AF1" i="30"/>
  <c r="AE1" i="30"/>
  <c r="AD1" i="30"/>
  <c r="AC1" i="30"/>
  <c r="AB1" i="30"/>
  <c r="AA1" i="30"/>
  <c r="Z1" i="30"/>
  <c r="Y1" i="30"/>
  <c r="X1" i="30"/>
  <c r="W1" i="30"/>
  <c r="V1" i="30"/>
  <c r="U1" i="30"/>
  <c r="T1" i="30"/>
  <c r="S1" i="30"/>
  <c r="R1" i="30"/>
  <c r="Q1" i="30"/>
  <c r="X4" i="30"/>
  <c r="W4" i="30"/>
  <c r="V4" i="30"/>
  <c r="U4" i="30"/>
  <c r="T4" i="30"/>
  <c r="S4" i="30"/>
  <c r="R4" i="30"/>
  <c r="W3" i="30"/>
  <c r="W53" i="30" s="1"/>
  <c r="V3" i="30"/>
  <c r="V53" i="30" s="1"/>
  <c r="U3" i="30"/>
  <c r="U53" i="30" s="1"/>
  <c r="T3" i="30"/>
  <c r="T53" i="30" s="1"/>
  <c r="S3" i="30"/>
  <c r="S53" i="30" s="1"/>
  <c r="R3" i="30"/>
  <c r="R53" i="30" s="1"/>
  <c r="CD2" i="30"/>
  <c r="CC2" i="30"/>
  <c r="CB2" i="30"/>
  <c r="CA2" i="30"/>
  <c r="BZ2" i="30"/>
  <c r="BY2" i="30"/>
  <c r="BX2" i="30"/>
  <c r="BW2" i="30"/>
  <c r="BV2" i="30"/>
  <c r="BU2" i="30"/>
  <c r="BT2" i="30"/>
  <c r="BS2" i="30"/>
  <c r="BR2" i="30"/>
  <c r="BQ2" i="30"/>
  <c r="BP2" i="30"/>
  <c r="BO2" i="30"/>
  <c r="BN2" i="30"/>
  <c r="BM2" i="30"/>
  <c r="BL2" i="30"/>
  <c r="BK2" i="30"/>
  <c r="BJ2" i="30"/>
  <c r="BI2" i="30"/>
  <c r="BH2" i="30"/>
  <c r="BG2" i="30"/>
  <c r="BF2" i="30"/>
  <c r="BE2" i="30"/>
  <c r="BD2" i="30"/>
  <c r="BC2" i="30"/>
  <c r="BB2" i="30"/>
  <c r="BA2" i="30"/>
  <c r="AZ2" i="30"/>
  <c r="AY2" i="30"/>
  <c r="AX2" i="30"/>
  <c r="AW2" i="30"/>
  <c r="AV2" i="30"/>
  <c r="AU2" i="30"/>
  <c r="AT2" i="30"/>
  <c r="AS2" i="30"/>
  <c r="AR2" i="30"/>
  <c r="AQ2" i="30"/>
  <c r="AP2" i="30"/>
  <c r="AO2" i="30"/>
  <c r="AN2" i="30"/>
  <c r="AM2" i="30"/>
  <c r="AL2" i="30"/>
  <c r="AK2" i="30"/>
  <c r="AJ2" i="30"/>
  <c r="AI2" i="30"/>
  <c r="AH2" i="30"/>
  <c r="AG2" i="30"/>
  <c r="AF2" i="30"/>
  <c r="AE2" i="30"/>
  <c r="AD2" i="30"/>
  <c r="AC2" i="30"/>
  <c r="AB2" i="30"/>
  <c r="AA2" i="30"/>
  <c r="Z2" i="30"/>
  <c r="Y2" i="30"/>
  <c r="X2" i="30"/>
  <c r="W2" i="30"/>
  <c r="V2" i="30"/>
  <c r="U2" i="30"/>
  <c r="T2" i="30"/>
  <c r="S2" i="30"/>
  <c r="R2" i="30"/>
  <c r="Q2" i="30"/>
  <c r="Q4" i="30"/>
  <c r="Q3" i="30"/>
  <c r="Q53" i="30" s="1"/>
  <c r="M4" i="30"/>
  <c r="M8" i="30" s="1"/>
  <c r="X50" i="40" l="1"/>
  <c r="X52" i="40"/>
  <c r="X47" i="40"/>
  <c r="X48" i="40"/>
  <c r="X51" i="40"/>
  <c r="X46" i="40"/>
  <c r="X49" i="40"/>
  <c r="W52" i="40"/>
  <c r="W49" i="40"/>
  <c r="W46" i="40"/>
  <c r="W47" i="40"/>
  <c r="W48" i="40"/>
  <c r="W50" i="40"/>
  <c r="W51" i="40"/>
  <c r="V46" i="40"/>
  <c r="V52" i="40"/>
  <c r="V51" i="40"/>
  <c r="V47" i="40"/>
  <c r="V49" i="40"/>
  <c r="V50" i="40"/>
  <c r="V48" i="40"/>
  <c r="U49" i="40"/>
  <c r="U50" i="40"/>
  <c r="U47" i="40"/>
  <c r="U46" i="40"/>
  <c r="U48" i="40"/>
  <c r="U52" i="40"/>
  <c r="U51" i="40"/>
  <c r="T46" i="40"/>
  <c r="T48" i="40"/>
  <c r="T51" i="40"/>
  <c r="T47" i="40"/>
  <c r="T49" i="40"/>
  <c r="T52" i="40"/>
  <c r="T50" i="40"/>
  <c r="S47" i="40"/>
  <c r="S52" i="40"/>
  <c r="S51" i="40"/>
  <c r="S49" i="40"/>
  <c r="S50" i="40"/>
  <c r="S46" i="40"/>
  <c r="S48" i="40"/>
  <c r="R46" i="40"/>
  <c r="R52" i="40"/>
  <c r="R47" i="40"/>
  <c r="R49" i="40"/>
  <c r="R48" i="40"/>
  <c r="R50" i="40"/>
  <c r="R51" i="40"/>
  <c r="W51" i="37"/>
  <c r="W49" i="37"/>
  <c r="W50" i="37"/>
  <c r="W52" i="37"/>
  <c r="W46" i="37"/>
  <c r="W48" i="37"/>
  <c r="W47" i="37"/>
  <c r="V52" i="37"/>
  <c r="V51" i="37"/>
  <c r="V46" i="37"/>
  <c r="V49" i="37"/>
  <c r="V47" i="37"/>
  <c r="V48" i="37"/>
  <c r="V50" i="37"/>
  <c r="U50" i="37"/>
  <c r="U49" i="37"/>
  <c r="U52" i="37"/>
  <c r="U48" i="37"/>
  <c r="U47" i="37"/>
  <c r="U46" i="37"/>
  <c r="U51" i="37"/>
  <c r="T49" i="37"/>
  <c r="T46" i="37"/>
  <c r="T48" i="37"/>
  <c r="T51" i="37"/>
  <c r="T52" i="37"/>
  <c r="T47" i="37"/>
  <c r="T50" i="37"/>
  <c r="S50" i="37"/>
  <c r="S48" i="37"/>
  <c r="S46" i="37"/>
  <c r="S47" i="37"/>
  <c r="S49" i="37"/>
  <c r="S51" i="37"/>
  <c r="S52" i="37"/>
  <c r="R47" i="37"/>
  <c r="R52" i="37"/>
  <c r="R49" i="37"/>
  <c r="R51" i="37"/>
  <c r="R50" i="37"/>
  <c r="R46" i="37"/>
  <c r="R48" i="37"/>
  <c r="Q46" i="37"/>
  <c r="Q50" i="37"/>
  <c r="Q51" i="37"/>
  <c r="Q52" i="37"/>
  <c r="Q49" i="37"/>
  <c r="Q48" i="37"/>
  <c r="Q47" i="37"/>
  <c r="Q47" i="30"/>
  <c r="Q52" i="30"/>
  <c r="Q51" i="30"/>
  <c r="Q48" i="30"/>
  <c r="Q50" i="30"/>
  <c r="Q46" i="30"/>
  <c r="Q49" i="30"/>
  <c r="R46" i="30"/>
  <c r="R48" i="30"/>
  <c r="R47" i="30"/>
  <c r="R51" i="30"/>
  <c r="R50" i="30"/>
  <c r="R52" i="30"/>
  <c r="R49" i="30"/>
  <c r="V48" i="30"/>
  <c r="V46" i="30"/>
  <c r="V51" i="30"/>
  <c r="V49" i="30"/>
  <c r="V50" i="30"/>
  <c r="V47" i="30"/>
  <c r="V52" i="30"/>
  <c r="R49" i="31"/>
  <c r="R46" i="31"/>
  <c r="R51" i="31"/>
  <c r="R47" i="31"/>
  <c r="R48" i="31"/>
  <c r="R50" i="31"/>
  <c r="R52" i="31"/>
  <c r="V46" i="31"/>
  <c r="V49" i="31"/>
  <c r="V51" i="31"/>
  <c r="V47" i="31"/>
  <c r="V48" i="31"/>
  <c r="V50" i="31"/>
  <c r="V52" i="31"/>
  <c r="S50" i="32"/>
  <c r="S48" i="32"/>
  <c r="S46" i="32"/>
  <c r="S49" i="32"/>
  <c r="S51" i="32"/>
  <c r="S52" i="32"/>
  <c r="S47" i="32"/>
  <c r="W47" i="32"/>
  <c r="W48" i="32"/>
  <c r="W50" i="32"/>
  <c r="W49" i="32"/>
  <c r="W51" i="32"/>
  <c r="W46" i="32"/>
  <c r="W52" i="32"/>
  <c r="U51" i="22"/>
  <c r="U47" i="22"/>
  <c r="U46" i="22"/>
  <c r="U49" i="22"/>
  <c r="U50" i="22"/>
  <c r="U48" i="22"/>
  <c r="U52" i="22"/>
  <c r="T48" i="25"/>
  <c r="T50" i="25"/>
  <c r="T51" i="25"/>
  <c r="T46" i="25"/>
  <c r="T52" i="25"/>
  <c r="T49" i="25"/>
  <c r="T47" i="25"/>
  <c r="X50" i="25"/>
  <c r="X48" i="25"/>
  <c r="X51" i="25"/>
  <c r="X46" i="25"/>
  <c r="X49" i="25"/>
  <c r="X47" i="25"/>
  <c r="X52" i="25"/>
  <c r="U47" i="26"/>
  <c r="U49" i="26"/>
  <c r="U46" i="26"/>
  <c r="U48" i="26"/>
  <c r="U50" i="26"/>
  <c r="U52" i="26"/>
  <c r="U51" i="26"/>
  <c r="R48" i="44"/>
  <c r="R47" i="44"/>
  <c r="R50" i="44"/>
  <c r="R46" i="44"/>
  <c r="R51" i="44"/>
  <c r="R52" i="44"/>
  <c r="R49" i="44"/>
  <c r="V46" i="44"/>
  <c r="V47" i="44"/>
  <c r="V48" i="44"/>
  <c r="V51" i="44"/>
  <c r="V50" i="44"/>
  <c r="V49" i="44"/>
  <c r="V52" i="44"/>
  <c r="S48" i="27"/>
  <c r="S49" i="27"/>
  <c r="S50" i="27"/>
  <c r="S51" i="27"/>
  <c r="S46" i="27"/>
  <c r="S52" i="27"/>
  <c r="S47" i="27"/>
  <c r="W47" i="27"/>
  <c r="W48" i="27"/>
  <c r="W50" i="27"/>
  <c r="W51" i="27"/>
  <c r="W46" i="27"/>
  <c r="W52" i="27"/>
  <c r="W49" i="27"/>
  <c r="S52" i="30"/>
  <c r="S50" i="30"/>
  <c r="S48" i="30"/>
  <c r="S47" i="30"/>
  <c r="S46" i="30"/>
  <c r="S49" i="30"/>
  <c r="S51" i="30"/>
  <c r="W52" i="30"/>
  <c r="W46" i="30"/>
  <c r="W48" i="30"/>
  <c r="W50" i="30"/>
  <c r="W47" i="30"/>
  <c r="W49" i="30"/>
  <c r="W51" i="30"/>
  <c r="S52" i="31"/>
  <c r="S46" i="31"/>
  <c r="S50" i="31"/>
  <c r="S47" i="31"/>
  <c r="S51" i="31"/>
  <c r="S48" i="31"/>
  <c r="S49" i="31"/>
  <c r="W47" i="31"/>
  <c r="W52" i="31"/>
  <c r="W46" i="31"/>
  <c r="W50" i="31"/>
  <c r="W48" i="31"/>
  <c r="W51" i="31"/>
  <c r="W49" i="31"/>
  <c r="T50" i="32"/>
  <c r="T47" i="32"/>
  <c r="T48" i="32"/>
  <c r="T51" i="32"/>
  <c r="T49" i="32"/>
  <c r="T46" i="32"/>
  <c r="T52" i="32"/>
  <c r="V47" i="22"/>
  <c r="V49" i="22"/>
  <c r="V48" i="22"/>
  <c r="V50" i="22"/>
  <c r="V52" i="22"/>
  <c r="V46" i="22"/>
  <c r="V51" i="22"/>
  <c r="U50" i="25"/>
  <c r="U48" i="25"/>
  <c r="U52" i="25"/>
  <c r="U46" i="25"/>
  <c r="U49" i="25"/>
  <c r="U51" i="25"/>
  <c r="U47" i="25"/>
  <c r="R52" i="26"/>
  <c r="R51" i="26"/>
  <c r="R50" i="26"/>
  <c r="R47" i="26"/>
  <c r="R46" i="26"/>
  <c r="R48" i="26"/>
  <c r="R49" i="26"/>
  <c r="V49" i="26"/>
  <c r="V52" i="26"/>
  <c r="V51" i="26"/>
  <c r="V50" i="26"/>
  <c r="V47" i="26"/>
  <c r="V46" i="26"/>
  <c r="V48" i="26"/>
  <c r="S49" i="44"/>
  <c r="S48" i="44"/>
  <c r="S50" i="44"/>
  <c r="S47" i="44"/>
  <c r="S51" i="44"/>
  <c r="S46" i="44"/>
  <c r="S52" i="44"/>
  <c r="W52" i="44"/>
  <c r="W49" i="44"/>
  <c r="W46" i="44"/>
  <c r="W50" i="44"/>
  <c r="W51" i="44"/>
  <c r="W48" i="44"/>
  <c r="W47" i="44"/>
  <c r="T46" i="27"/>
  <c r="T49" i="27"/>
  <c r="T52" i="27"/>
  <c r="T47" i="27"/>
  <c r="T51" i="27"/>
  <c r="T48" i="27"/>
  <c r="T50" i="27"/>
  <c r="X48" i="27"/>
  <c r="X46" i="27"/>
  <c r="X49" i="27"/>
  <c r="X47" i="27"/>
  <c r="X52" i="27"/>
  <c r="X50" i="27"/>
  <c r="X51" i="27"/>
  <c r="T50" i="30"/>
  <c r="T52" i="30"/>
  <c r="T49" i="30"/>
  <c r="T46" i="30"/>
  <c r="T51" i="30"/>
  <c r="T47" i="30"/>
  <c r="T48" i="30"/>
  <c r="T46" i="31"/>
  <c r="T50" i="31"/>
  <c r="T47" i="31"/>
  <c r="T52" i="31"/>
  <c r="T51" i="31"/>
  <c r="T49" i="31"/>
  <c r="T48" i="31"/>
  <c r="Q48" i="32"/>
  <c r="Q50" i="32"/>
  <c r="Q52" i="32"/>
  <c r="Q46" i="32"/>
  <c r="Q51" i="32"/>
  <c r="Q49" i="32"/>
  <c r="Q47" i="32"/>
  <c r="U50" i="32"/>
  <c r="U52" i="32"/>
  <c r="U51" i="32"/>
  <c r="U46" i="32"/>
  <c r="U49" i="32"/>
  <c r="U48" i="32"/>
  <c r="U47" i="32"/>
  <c r="R47" i="22"/>
  <c r="R50" i="22"/>
  <c r="R49" i="22"/>
  <c r="R52" i="22"/>
  <c r="R48" i="22"/>
  <c r="R51" i="22"/>
  <c r="R46" i="22"/>
  <c r="S47" i="22"/>
  <c r="S50" i="22"/>
  <c r="S49" i="22"/>
  <c r="S51" i="22"/>
  <c r="S46" i="22"/>
  <c r="S48" i="22"/>
  <c r="S52" i="22"/>
  <c r="W47" i="22"/>
  <c r="W46" i="22"/>
  <c r="W51" i="22"/>
  <c r="W48" i="22"/>
  <c r="W50" i="22"/>
  <c r="W49" i="22"/>
  <c r="W52" i="22"/>
  <c r="R47" i="25"/>
  <c r="R48" i="25"/>
  <c r="R50" i="25"/>
  <c r="R49" i="25"/>
  <c r="R46" i="25"/>
  <c r="R52" i="25"/>
  <c r="R51" i="25"/>
  <c r="V47" i="25"/>
  <c r="V52" i="25"/>
  <c r="V48" i="25"/>
  <c r="V50" i="25"/>
  <c r="V49" i="25"/>
  <c r="V46" i="25"/>
  <c r="V51" i="25"/>
  <c r="S51" i="26"/>
  <c r="S50" i="26"/>
  <c r="S49" i="26"/>
  <c r="S47" i="26"/>
  <c r="S46" i="26"/>
  <c r="S48" i="26"/>
  <c r="S52" i="26"/>
  <c r="W46" i="26"/>
  <c r="W48" i="26"/>
  <c r="W49" i="26"/>
  <c r="W51" i="26"/>
  <c r="W47" i="26"/>
  <c r="W50" i="26"/>
  <c r="W52" i="26"/>
  <c r="T47" i="44"/>
  <c r="T49" i="44"/>
  <c r="T50" i="44"/>
  <c r="T48" i="44"/>
  <c r="T46" i="44"/>
  <c r="T52" i="44"/>
  <c r="T51" i="44"/>
  <c r="X51" i="44"/>
  <c r="X48" i="44"/>
  <c r="X49" i="44"/>
  <c r="X52" i="44"/>
  <c r="X46" i="44"/>
  <c r="X47" i="44"/>
  <c r="X50" i="44"/>
  <c r="U50" i="27"/>
  <c r="U46" i="27"/>
  <c r="U49" i="27"/>
  <c r="U47" i="27"/>
  <c r="U48" i="27"/>
  <c r="U51" i="27"/>
  <c r="U52" i="27"/>
  <c r="X46" i="50"/>
  <c r="X49" i="50"/>
  <c r="X47" i="50"/>
  <c r="X51" i="50"/>
  <c r="X48" i="50"/>
  <c r="X50" i="50"/>
  <c r="X52" i="50"/>
  <c r="U50" i="30"/>
  <c r="U49" i="30"/>
  <c r="U51" i="30"/>
  <c r="U52" i="30"/>
  <c r="U46" i="30"/>
  <c r="U47" i="30"/>
  <c r="U48" i="30"/>
  <c r="Q49" i="31"/>
  <c r="Q52" i="31"/>
  <c r="Q46" i="31"/>
  <c r="Q50" i="31"/>
  <c r="Q51" i="31"/>
  <c r="Q48" i="31"/>
  <c r="Q47" i="31"/>
  <c r="U46" i="31"/>
  <c r="U50" i="31"/>
  <c r="U52" i="31"/>
  <c r="U51" i="31"/>
  <c r="U49" i="31"/>
  <c r="U48" i="31"/>
  <c r="U47" i="31"/>
  <c r="R48" i="32"/>
  <c r="R47" i="32"/>
  <c r="R46" i="32"/>
  <c r="R49" i="32"/>
  <c r="R51" i="32"/>
  <c r="R52" i="32"/>
  <c r="R50" i="32"/>
  <c r="V48" i="32"/>
  <c r="V47" i="32"/>
  <c r="V50" i="32"/>
  <c r="V51" i="32"/>
  <c r="V49" i="32"/>
  <c r="V46" i="32"/>
  <c r="V52" i="32"/>
  <c r="T49" i="22"/>
  <c r="T51" i="22"/>
  <c r="T52" i="22"/>
  <c r="T48" i="22"/>
  <c r="T50" i="22"/>
  <c r="T46" i="22"/>
  <c r="T47" i="22"/>
  <c r="X51" i="22"/>
  <c r="X52" i="22"/>
  <c r="X47" i="22"/>
  <c r="X48" i="22"/>
  <c r="X50" i="22"/>
  <c r="X49" i="22"/>
  <c r="X46" i="22"/>
  <c r="S49" i="25"/>
  <c r="S50" i="25"/>
  <c r="S48" i="25"/>
  <c r="S46" i="25"/>
  <c r="S47" i="25"/>
  <c r="S51" i="25"/>
  <c r="S52" i="25"/>
  <c r="W47" i="25"/>
  <c r="W51" i="25"/>
  <c r="W50" i="25"/>
  <c r="W49" i="25"/>
  <c r="W46" i="25"/>
  <c r="W48" i="25"/>
  <c r="W52" i="25"/>
  <c r="T47" i="26"/>
  <c r="T51" i="26"/>
  <c r="T49" i="26"/>
  <c r="T50" i="26"/>
  <c r="T46" i="26"/>
  <c r="T48" i="26"/>
  <c r="T52" i="26"/>
  <c r="X51" i="26"/>
  <c r="X49" i="26"/>
  <c r="X47" i="26"/>
  <c r="X48" i="26"/>
  <c r="X50" i="26"/>
  <c r="X52" i="26"/>
  <c r="X46" i="26"/>
  <c r="U47" i="44"/>
  <c r="U48" i="44"/>
  <c r="U46" i="44"/>
  <c r="U49" i="44"/>
  <c r="U50" i="44"/>
  <c r="U51" i="44"/>
  <c r="U52" i="44"/>
  <c r="R51" i="27"/>
  <c r="R50" i="27"/>
  <c r="R47" i="27"/>
  <c r="R46" i="27"/>
  <c r="R49" i="27"/>
  <c r="R52" i="27"/>
  <c r="R48" i="27"/>
  <c r="V46" i="27"/>
  <c r="V48" i="27"/>
  <c r="V50" i="27"/>
  <c r="V49" i="27"/>
  <c r="V51" i="27"/>
  <c r="V47" i="27"/>
  <c r="V52" i="27"/>
  <c r="R47" i="24"/>
  <c r="R49" i="24"/>
  <c r="R46" i="24"/>
  <c r="R51" i="24"/>
  <c r="R48" i="24"/>
  <c r="R50" i="24"/>
  <c r="R52" i="24"/>
  <c r="S46" i="24"/>
  <c r="S48" i="24"/>
  <c r="S47" i="24"/>
  <c r="S49" i="24"/>
  <c r="S50" i="24"/>
  <c r="S52" i="24"/>
  <c r="S51" i="24"/>
  <c r="W47" i="24"/>
  <c r="W52" i="24"/>
  <c r="W49" i="24"/>
  <c r="W48" i="24"/>
  <c r="W46" i="24"/>
  <c r="W50" i="24"/>
  <c r="W51" i="24"/>
  <c r="T51" i="24"/>
  <c r="T48" i="24"/>
  <c r="T47" i="24"/>
  <c r="T49" i="24"/>
  <c r="T52" i="24"/>
  <c r="T46" i="24"/>
  <c r="T50" i="24"/>
  <c r="X48" i="24"/>
  <c r="X51" i="24"/>
  <c r="X46" i="24"/>
  <c r="X49" i="24"/>
  <c r="X50" i="24"/>
  <c r="X47" i="24"/>
  <c r="X52" i="24"/>
  <c r="V50" i="24"/>
  <c r="V47" i="24"/>
  <c r="V49" i="24"/>
  <c r="V46" i="24"/>
  <c r="V52" i="24"/>
  <c r="V51" i="24"/>
  <c r="V48" i="24"/>
  <c r="U47" i="24"/>
  <c r="U52" i="24"/>
  <c r="U48" i="24"/>
  <c r="U51" i="24"/>
  <c r="U46" i="24"/>
  <c r="U49" i="24"/>
  <c r="U50" i="24"/>
  <c r="V42" i="30"/>
  <c r="V34" i="30"/>
  <c r="V40" i="30"/>
  <c r="V39" i="30"/>
  <c r="V41" i="30"/>
  <c r="V44" i="30"/>
  <c r="V45" i="30"/>
  <c r="V43" i="30"/>
  <c r="V38" i="30"/>
  <c r="V35" i="30"/>
  <c r="V36" i="30"/>
  <c r="V37" i="30"/>
  <c r="V33" i="30"/>
  <c r="W40" i="32"/>
  <c r="W43" i="32"/>
  <c r="W39" i="32"/>
  <c r="W35" i="32"/>
  <c r="W45" i="32"/>
  <c r="W41" i="32"/>
  <c r="W34" i="32"/>
  <c r="W37" i="32"/>
  <c r="W42" i="32"/>
  <c r="W44" i="32"/>
  <c r="W38" i="32"/>
  <c r="W36" i="32"/>
  <c r="W33" i="32"/>
  <c r="U43" i="22"/>
  <c r="U40" i="22"/>
  <c r="U39" i="22"/>
  <c r="U41" i="22"/>
  <c r="U37" i="22"/>
  <c r="U36" i="22"/>
  <c r="U35" i="22"/>
  <c r="U44" i="22"/>
  <c r="U34" i="22"/>
  <c r="U38" i="22"/>
  <c r="U33" i="22"/>
  <c r="U42" i="22"/>
  <c r="U45" i="22"/>
  <c r="U40" i="30"/>
  <c r="U39" i="30"/>
  <c r="U35" i="30"/>
  <c r="U43" i="30"/>
  <c r="U41" i="30"/>
  <c r="U42" i="30"/>
  <c r="U36" i="30"/>
  <c r="U45" i="30"/>
  <c r="U38" i="30"/>
  <c r="U44" i="30"/>
  <c r="U34" i="30"/>
  <c r="U37" i="30"/>
  <c r="U33" i="30"/>
  <c r="Q44" i="31"/>
  <c r="Q33" i="31"/>
  <c r="Q41" i="31"/>
  <c r="Q37" i="31"/>
  <c r="Q43" i="31"/>
  <c r="Q39" i="31"/>
  <c r="Q40" i="31"/>
  <c r="Q35" i="31"/>
  <c r="Q34" i="31"/>
  <c r="Q36" i="31"/>
  <c r="Q38" i="31"/>
  <c r="Q42" i="31"/>
  <c r="Q45" i="31"/>
  <c r="U41" i="31"/>
  <c r="U37" i="31"/>
  <c r="U44" i="31"/>
  <c r="U39" i="31"/>
  <c r="U36" i="31"/>
  <c r="U45" i="31"/>
  <c r="U35" i="31"/>
  <c r="U34" i="31"/>
  <c r="U33" i="31"/>
  <c r="U38" i="31"/>
  <c r="U40" i="31"/>
  <c r="U42" i="31"/>
  <c r="U43" i="31"/>
  <c r="R37" i="32"/>
  <c r="R42" i="32"/>
  <c r="R38" i="32"/>
  <c r="R33" i="32"/>
  <c r="R36" i="32"/>
  <c r="R43" i="32"/>
  <c r="R44" i="32"/>
  <c r="R34" i="32"/>
  <c r="R35" i="32"/>
  <c r="R39" i="32"/>
  <c r="R41" i="32"/>
  <c r="R40" i="32"/>
  <c r="R45" i="32"/>
  <c r="V40" i="32"/>
  <c r="V42" i="32"/>
  <c r="V45" i="32"/>
  <c r="V34" i="32"/>
  <c r="V41" i="32"/>
  <c r="V38" i="32"/>
  <c r="V43" i="32"/>
  <c r="V44" i="32"/>
  <c r="V33" i="32"/>
  <c r="V37" i="32"/>
  <c r="V36" i="32"/>
  <c r="V35" i="32"/>
  <c r="V39" i="32"/>
  <c r="T44" i="22"/>
  <c r="T40" i="22"/>
  <c r="T37" i="22"/>
  <c r="T34" i="22"/>
  <c r="T41" i="22"/>
  <c r="T33" i="22"/>
  <c r="T42" i="22"/>
  <c r="T45" i="22"/>
  <c r="T38" i="22"/>
  <c r="T43" i="22"/>
  <c r="T36" i="22"/>
  <c r="T39" i="22"/>
  <c r="T35" i="22"/>
  <c r="X44" i="22"/>
  <c r="X40" i="22"/>
  <c r="X41" i="22"/>
  <c r="X37" i="22"/>
  <c r="X34" i="22"/>
  <c r="X38" i="22"/>
  <c r="X39" i="22"/>
  <c r="X35" i="22"/>
  <c r="X45" i="22"/>
  <c r="X33" i="22"/>
  <c r="X36" i="22"/>
  <c r="X42" i="22"/>
  <c r="X43" i="22"/>
  <c r="R40" i="24"/>
  <c r="R44" i="24"/>
  <c r="R36" i="24"/>
  <c r="R33" i="24"/>
  <c r="R35" i="24"/>
  <c r="R37" i="24"/>
  <c r="R39" i="24"/>
  <c r="R43" i="24"/>
  <c r="R34" i="24"/>
  <c r="R38" i="24"/>
  <c r="R42" i="24"/>
  <c r="R41" i="24"/>
  <c r="R45" i="24"/>
  <c r="V33" i="24"/>
  <c r="V34" i="24"/>
  <c r="V38" i="24"/>
  <c r="V40" i="24"/>
  <c r="V41" i="24"/>
  <c r="V45" i="24"/>
  <c r="V36" i="24"/>
  <c r="V44" i="24"/>
  <c r="V42" i="24"/>
  <c r="V35" i="24"/>
  <c r="V37" i="24"/>
  <c r="V39" i="24"/>
  <c r="V43" i="24"/>
  <c r="S43" i="25"/>
  <c r="S45" i="25"/>
  <c r="S41" i="25"/>
  <c r="S39" i="25"/>
  <c r="S35" i="25"/>
  <c r="S33" i="25"/>
  <c r="S40" i="25"/>
  <c r="S37" i="25"/>
  <c r="S44" i="25"/>
  <c r="S34" i="25"/>
  <c r="S36" i="25"/>
  <c r="S38" i="25"/>
  <c r="S42" i="25"/>
  <c r="W45" i="25"/>
  <c r="W39" i="25"/>
  <c r="W43" i="25"/>
  <c r="W37" i="25"/>
  <c r="W34" i="25"/>
  <c r="W36" i="25"/>
  <c r="W38" i="25"/>
  <c r="W41" i="25"/>
  <c r="W42" i="25"/>
  <c r="W35" i="25"/>
  <c r="W33" i="25"/>
  <c r="W40" i="25"/>
  <c r="W44" i="25"/>
  <c r="T45" i="26"/>
  <c r="T40" i="26"/>
  <c r="T43" i="26"/>
  <c r="T33" i="26"/>
  <c r="T39" i="26"/>
  <c r="T41" i="26"/>
  <c r="T44" i="26"/>
  <c r="T35" i="26"/>
  <c r="T34" i="26"/>
  <c r="T36" i="26"/>
  <c r="T38" i="26"/>
  <c r="T42" i="26"/>
  <c r="T37" i="26"/>
  <c r="X45" i="26"/>
  <c r="X43" i="26"/>
  <c r="X38" i="26"/>
  <c r="X34" i="26"/>
  <c r="X40" i="26"/>
  <c r="X33" i="26"/>
  <c r="X35" i="26"/>
  <c r="X42" i="26"/>
  <c r="X36" i="26"/>
  <c r="X44" i="26"/>
  <c r="X41" i="26"/>
  <c r="X37" i="26"/>
  <c r="X39" i="26"/>
  <c r="U41" i="44"/>
  <c r="U40" i="44"/>
  <c r="U36" i="44"/>
  <c r="U35" i="44"/>
  <c r="U45" i="44"/>
  <c r="U33" i="44"/>
  <c r="U37" i="44"/>
  <c r="U34" i="44"/>
  <c r="U39" i="44"/>
  <c r="U43" i="44"/>
  <c r="U44" i="44"/>
  <c r="U42" i="44"/>
  <c r="U38" i="44"/>
  <c r="R33" i="27"/>
  <c r="R42" i="27"/>
  <c r="R39" i="27"/>
  <c r="R44" i="27"/>
  <c r="R36" i="27"/>
  <c r="R43" i="27"/>
  <c r="R35" i="27"/>
  <c r="R34" i="27"/>
  <c r="R38" i="27"/>
  <c r="R40" i="27"/>
  <c r="R41" i="27"/>
  <c r="R45" i="27"/>
  <c r="R37" i="27"/>
  <c r="V42" i="27"/>
  <c r="V41" i="27"/>
  <c r="V39" i="27"/>
  <c r="V36" i="27"/>
  <c r="V44" i="27"/>
  <c r="V33" i="27"/>
  <c r="V45" i="27"/>
  <c r="V35" i="27"/>
  <c r="V38" i="27"/>
  <c r="V40" i="27"/>
  <c r="V37" i="27"/>
  <c r="V43" i="27"/>
  <c r="V34" i="27"/>
  <c r="S45" i="37"/>
  <c r="S43" i="37"/>
  <c r="S33" i="37"/>
  <c r="S34" i="37"/>
  <c r="S36" i="37"/>
  <c r="S37" i="37"/>
  <c r="S38" i="37"/>
  <c r="S40" i="37"/>
  <c r="S42" i="37"/>
  <c r="S39" i="37"/>
  <c r="S35" i="37"/>
  <c r="S41" i="37"/>
  <c r="S44" i="37"/>
  <c r="W39" i="37"/>
  <c r="W33" i="37"/>
  <c r="W37" i="37"/>
  <c r="W40" i="37"/>
  <c r="W34" i="37"/>
  <c r="W35" i="37"/>
  <c r="W38" i="37"/>
  <c r="W42" i="37"/>
  <c r="W43" i="37"/>
  <c r="W41" i="37"/>
  <c r="W36" i="37"/>
  <c r="W45" i="37"/>
  <c r="W44" i="37"/>
  <c r="U41" i="40"/>
  <c r="U40" i="40"/>
  <c r="U38" i="40"/>
  <c r="U37" i="40"/>
  <c r="U39" i="40"/>
  <c r="U33" i="40"/>
  <c r="U36" i="40"/>
  <c r="U34" i="40"/>
  <c r="U35" i="40"/>
  <c r="U45" i="40"/>
  <c r="U42" i="40"/>
  <c r="U44" i="40"/>
  <c r="U43" i="40"/>
  <c r="X50" i="29"/>
  <c r="X51" i="29"/>
  <c r="X48" i="29"/>
  <c r="X49" i="29"/>
  <c r="X47" i="29"/>
  <c r="X52" i="29"/>
  <c r="X46" i="29"/>
  <c r="T40" i="25"/>
  <c r="T45" i="25"/>
  <c r="T43" i="25"/>
  <c r="T38" i="25"/>
  <c r="T36" i="25"/>
  <c r="T34" i="25"/>
  <c r="T37" i="25"/>
  <c r="T39" i="25"/>
  <c r="T42" i="25"/>
  <c r="T35" i="25"/>
  <c r="T33" i="25"/>
  <c r="T41" i="25"/>
  <c r="T44" i="25"/>
  <c r="X43" i="25"/>
  <c r="X36" i="25"/>
  <c r="X41" i="25"/>
  <c r="X38" i="25"/>
  <c r="X45" i="25"/>
  <c r="X40" i="25"/>
  <c r="X39" i="25"/>
  <c r="X34" i="25"/>
  <c r="X42" i="25"/>
  <c r="X44" i="25"/>
  <c r="X37" i="25"/>
  <c r="X35" i="25"/>
  <c r="X33" i="25"/>
  <c r="U43" i="26"/>
  <c r="U33" i="26"/>
  <c r="U45" i="26"/>
  <c r="U42" i="26"/>
  <c r="U38" i="26"/>
  <c r="U44" i="26"/>
  <c r="U36" i="26"/>
  <c r="U34" i="26"/>
  <c r="U35" i="26"/>
  <c r="U39" i="26"/>
  <c r="U40" i="26"/>
  <c r="U37" i="26"/>
  <c r="U41" i="26"/>
  <c r="R45" i="44"/>
  <c r="R44" i="44"/>
  <c r="R42" i="44"/>
  <c r="R35" i="44"/>
  <c r="R40" i="44"/>
  <c r="R34" i="44"/>
  <c r="R39" i="44"/>
  <c r="R33" i="44"/>
  <c r="R38" i="44"/>
  <c r="R43" i="44"/>
  <c r="R36" i="44"/>
  <c r="R37" i="44"/>
  <c r="R41" i="44"/>
  <c r="V45" i="44"/>
  <c r="V42" i="44"/>
  <c r="V34" i="44"/>
  <c r="V44" i="44"/>
  <c r="V40" i="44"/>
  <c r="V35" i="44"/>
  <c r="V37" i="44"/>
  <c r="V43" i="44"/>
  <c r="V33" i="44"/>
  <c r="V39" i="44"/>
  <c r="V41" i="44"/>
  <c r="V36" i="44"/>
  <c r="V38" i="44"/>
  <c r="S43" i="27"/>
  <c r="S41" i="27"/>
  <c r="S38" i="27"/>
  <c r="S36" i="27"/>
  <c r="S40" i="27"/>
  <c r="S45" i="27"/>
  <c r="S34" i="27"/>
  <c r="S37" i="27"/>
  <c r="S42" i="27"/>
  <c r="S33" i="27"/>
  <c r="S39" i="27"/>
  <c r="S35" i="27"/>
  <c r="S44" i="27"/>
  <c r="W37" i="27"/>
  <c r="W40" i="27"/>
  <c r="W43" i="27"/>
  <c r="W35" i="27"/>
  <c r="W44" i="27"/>
  <c r="W45" i="27"/>
  <c r="W36" i="27"/>
  <c r="W42" i="27"/>
  <c r="W38" i="27"/>
  <c r="W34" i="27"/>
  <c r="W33" i="27"/>
  <c r="W39" i="27"/>
  <c r="W41" i="27"/>
  <c r="T33" i="37"/>
  <c r="T34" i="37"/>
  <c r="T35" i="37"/>
  <c r="T36" i="37"/>
  <c r="T37" i="37"/>
  <c r="T38" i="37"/>
  <c r="T42" i="37"/>
  <c r="T43" i="37"/>
  <c r="T40" i="37"/>
  <c r="T39" i="37"/>
  <c r="T45" i="37"/>
  <c r="T44" i="37"/>
  <c r="T41" i="37"/>
  <c r="R40" i="40"/>
  <c r="R33" i="40"/>
  <c r="R36" i="40"/>
  <c r="R44" i="40"/>
  <c r="R43" i="40"/>
  <c r="R34" i="40"/>
  <c r="R38" i="40"/>
  <c r="R45" i="40"/>
  <c r="R37" i="40"/>
  <c r="R39" i="40"/>
  <c r="R41" i="40"/>
  <c r="R35" i="40"/>
  <c r="R42" i="40"/>
  <c r="V43" i="40"/>
  <c r="V42" i="40"/>
  <c r="V38" i="40"/>
  <c r="V33" i="40"/>
  <c r="V34" i="40"/>
  <c r="V36" i="40"/>
  <c r="V44" i="40"/>
  <c r="V35" i="40"/>
  <c r="V40" i="40"/>
  <c r="V37" i="40"/>
  <c r="V39" i="40"/>
  <c r="V45" i="40"/>
  <c r="V41" i="40"/>
  <c r="R34" i="30"/>
  <c r="R41" i="30"/>
  <c r="R44" i="30"/>
  <c r="R45" i="30"/>
  <c r="R43" i="30"/>
  <c r="R42" i="30"/>
  <c r="R38" i="30"/>
  <c r="R39" i="30"/>
  <c r="R40" i="30"/>
  <c r="R35" i="30"/>
  <c r="R33" i="30"/>
  <c r="R36" i="30"/>
  <c r="R37" i="30"/>
  <c r="R36" i="31"/>
  <c r="R34" i="31"/>
  <c r="R39" i="31"/>
  <c r="R38" i="31"/>
  <c r="R35" i="31"/>
  <c r="R42" i="31"/>
  <c r="R43" i="31"/>
  <c r="R40" i="31"/>
  <c r="R44" i="31"/>
  <c r="R33" i="31"/>
  <c r="R37" i="31"/>
  <c r="R41" i="31"/>
  <c r="R45" i="31"/>
  <c r="V35" i="31"/>
  <c r="V33" i="31"/>
  <c r="V38" i="31"/>
  <c r="V37" i="31"/>
  <c r="V41" i="31"/>
  <c r="V45" i="31"/>
  <c r="V39" i="31"/>
  <c r="V42" i="31"/>
  <c r="V43" i="31"/>
  <c r="V34" i="31"/>
  <c r="V36" i="31"/>
  <c r="V40" i="31"/>
  <c r="V44" i="31"/>
  <c r="S39" i="32"/>
  <c r="S35" i="32"/>
  <c r="S40" i="32"/>
  <c r="S43" i="32"/>
  <c r="S45" i="32"/>
  <c r="S33" i="32"/>
  <c r="S41" i="32"/>
  <c r="S44" i="32"/>
  <c r="S34" i="32"/>
  <c r="S36" i="32"/>
  <c r="S37" i="32"/>
  <c r="S42" i="32"/>
  <c r="S38" i="32"/>
  <c r="W42" i="24"/>
  <c r="W35" i="24"/>
  <c r="W41" i="24"/>
  <c r="W39" i="24"/>
  <c r="W37" i="24"/>
  <c r="W36" i="24"/>
  <c r="W40" i="24"/>
  <c r="W38" i="24"/>
  <c r="W34" i="24"/>
  <c r="W44" i="24"/>
  <c r="W33" i="24"/>
  <c r="W43" i="24"/>
  <c r="W45" i="24"/>
  <c r="S33" i="30"/>
  <c r="S45" i="30"/>
  <c r="S40" i="30"/>
  <c r="S37" i="30"/>
  <c r="S41" i="30"/>
  <c r="S38" i="30"/>
  <c r="S43" i="30"/>
  <c r="S42" i="30"/>
  <c r="S44" i="30"/>
  <c r="S39" i="30"/>
  <c r="S36" i="30"/>
  <c r="S34" i="30"/>
  <c r="S35" i="30"/>
  <c r="W41" i="30"/>
  <c r="W33" i="30"/>
  <c r="W45" i="30"/>
  <c r="W40" i="30"/>
  <c r="W37" i="30"/>
  <c r="W39" i="30"/>
  <c r="W42" i="30"/>
  <c r="W43" i="30"/>
  <c r="W44" i="30"/>
  <c r="W38" i="30"/>
  <c r="W36" i="30"/>
  <c r="W35" i="30"/>
  <c r="W34" i="30"/>
  <c r="S41" i="31"/>
  <c r="S37" i="31"/>
  <c r="S45" i="31"/>
  <c r="S39" i="31"/>
  <c r="S34" i="31"/>
  <c r="S42" i="31"/>
  <c r="S44" i="31"/>
  <c r="S33" i="31"/>
  <c r="S35" i="31"/>
  <c r="S36" i="31"/>
  <c r="S43" i="31"/>
  <c r="S40" i="31"/>
  <c r="S38" i="31"/>
  <c r="W45" i="31"/>
  <c r="W42" i="31"/>
  <c r="W39" i="31"/>
  <c r="W41" i="31"/>
  <c r="W34" i="31"/>
  <c r="W37" i="31"/>
  <c r="W33" i="31"/>
  <c r="W36" i="31"/>
  <c r="W43" i="31"/>
  <c r="W35" i="31"/>
  <c r="W44" i="31"/>
  <c r="W38" i="31"/>
  <c r="W40" i="31"/>
  <c r="T40" i="32"/>
  <c r="T39" i="32"/>
  <c r="T44" i="32"/>
  <c r="T35" i="32"/>
  <c r="T38" i="32"/>
  <c r="T33" i="32"/>
  <c r="T43" i="32"/>
  <c r="T42" i="32"/>
  <c r="T41" i="32"/>
  <c r="T36" i="32"/>
  <c r="T37" i="32"/>
  <c r="T45" i="32"/>
  <c r="T34" i="32"/>
  <c r="V36" i="22"/>
  <c r="V37" i="22"/>
  <c r="V33" i="22"/>
  <c r="V39" i="22"/>
  <c r="V35" i="22"/>
  <c r="V45" i="22"/>
  <c r="V38" i="22"/>
  <c r="V44" i="22"/>
  <c r="V34" i="22"/>
  <c r="V42" i="22"/>
  <c r="V40" i="22"/>
  <c r="V41" i="22"/>
  <c r="V43" i="22"/>
  <c r="T35" i="24"/>
  <c r="T33" i="24"/>
  <c r="T45" i="24"/>
  <c r="T43" i="24"/>
  <c r="T41" i="24"/>
  <c r="T37" i="24"/>
  <c r="T39" i="24"/>
  <c r="T36" i="24"/>
  <c r="T38" i="24"/>
  <c r="T44" i="24"/>
  <c r="T40" i="24"/>
  <c r="T42" i="24"/>
  <c r="T34" i="24"/>
  <c r="X41" i="24"/>
  <c r="X45" i="24"/>
  <c r="X43" i="24"/>
  <c r="X37" i="24"/>
  <c r="X33" i="24"/>
  <c r="X39" i="24"/>
  <c r="X35" i="24"/>
  <c r="X34" i="24"/>
  <c r="X38" i="24"/>
  <c r="X40" i="24"/>
  <c r="X42" i="24"/>
  <c r="X36" i="24"/>
  <c r="X44" i="24"/>
  <c r="U40" i="25"/>
  <c r="U36" i="25"/>
  <c r="U37" i="25"/>
  <c r="U38" i="25"/>
  <c r="U35" i="25"/>
  <c r="U33" i="25"/>
  <c r="U34" i="25"/>
  <c r="U44" i="25"/>
  <c r="U39" i="25"/>
  <c r="U42" i="25"/>
  <c r="U43" i="25"/>
  <c r="U45" i="25"/>
  <c r="U41" i="25"/>
  <c r="R42" i="26"/>
  <c r="R39" i="26"/>
  <c r="R36" i="26"/>
  <c r="R38" i="26"/>
  <c r="R33" i="26"/>
  <c r="R35" i="26"/>
  <c r="R34" i="26"/>
  <c r="R41" i="26"/>
  <c r="R37" i="26"/>
  <c r="R43" i="26"/>
  <c r="R44" i="26"/>
  <c r="R40" i="26"/>
  <c r="R45" i="26"/>
  <c r="V44" i="26"/>
  <c r="V37" i="26"/>
  <c r="V41" i="26"/>
  <c r="V39" i="26"/>
  <c r="V35" i="26"/>
  <c r="V40" i="26"/>
  <c r="V45" i="26"/>
  <c r="V36" i="26"/>
  <c r="V33" i="26"/>
  <c r="V38" i="26"/>
  <c r="V34" i="26"/>
  <c r="V42" i="26"/>
  <c r="V43" i="26"/>
  <c r="S43" i="44"/>
  <c r="S38" i="44"/>
  <c r="S37" i="44"/>
  <c r="S34" i="44"/>
  <c r="S41" i="44"/>
  <c r="S42" i="44"/>
  <c r="S35" i="44"/>
  <c r="S40" i="44"/>
  <c r="S44" i="44"/>
  <c r="S45" i="44"/>
  <c r="S39" i="44"/>
  <c r="S36" i="44"/>
  <c r="S33" i="44"/>
  <c r="W45" i="44"/>
  <c r="W37" i="44"/>
  <c r="W38" i="44"/>
  <c r="W42" i="44"/>
  <c r="W35" i="44"/>
  <c r="W41" i="44"/>
  <c r="W40" i="44"/>
  <c r="W44" i="44"/>
  <c r="W34" i="44"/>
  <c r="W33" i="44"/>
  <c r="W39" i="44"/>
  <c r="W36" i="44"/>
  <c r="W43" i="44"/>
  <c r="T45" i="27"/>
  <c r="T44" i="27"/>
  <c r="T39" i="27"/>
  <c r="T36" i="27"/>
  <c r="T33" i="27"/>
  <c r="T42" i="27"/>
  <c r="T38" i="27"/>
  <c r="T41" i="27"/>
  <c r="T34" i="27"/>
  <c r="T37" i="27"/>
  <c r="T40" i="27"/>
  <c r="T43" i="27"/>
  <c r="T35" i="27"/>
  <c r="X42" i="27"/>
  <c r="X40" i="27"/>
  <c r="X33" i="27"/>
  <c r="X44" i="27"/>
  <c r="X45" i="27"/>
  <c r="X36" i="27"/>
  <c r="X39" i="27"/>
  <c r="X35" i="27"/>
  <c r="X34" i="27"/>
  <c r="X38" i="27"/>
  <c r="X41" i="27"/>
  <c r="X43" i="27"/>
  <c r="X37" i="27"/>
  <c r="Q33" i="37"/>
  <c r="Q34" i="37"/>
  <c r="Q38" i="37"/>
  <c r="Q42" i="37"/>
  <c r="Q35" i="37"/>
  <c r="Q43" i="37"/>
  <c r="Q40" i="37"/>
  <c r="Q39" i="37"/>
  <c r="Q36" i="37"/>
  <c r="Q45" i="37"/>
  <c r="Q44" i="37"/>
  <c r="Q37" i="37"/>
  <c r="Q41" i="37"/>
  <c r="U33" i="37"/>
  <c r="U42" i="37"/>
  <c r="U37" i="37"/>
  <c r="U43" i="37"/>
  <c r="U40" i="37"/>
  <c r="U39" i="37"/>
  <c r="U34" i="37"/>
  <c r="U38" i="37"/>
  <c r="U45" i="37"/>
  <c r="U44" i="37"/>
  <c r="U35" i="37"/>
  <c r="U41" i="37"/>
  <c r="U36" i="37"/>
  <c r="S37" i="40"/>
  <c r="S36" i="40"/>
  <c r="S41" i="40"/>
  <c r="S34" i="40"/>
  <c r="S40" i="40"/>
  <c r="S39" i="40"/>
  <c r="S33" i="40"/>
  <c r="S38" i="40"/>
  <c r="S45" i="40"/>
  <c r="S44" i="40"/>
  <c r="S35" i="40"/>
  <c r="S43" i="40"/>
  <c r="S42" i="40"/>
  <c r="W39" i="40"/>
  <c r="W36" i="40"/>
  <c r="W41" i="40"/>
  <c r="W37" i="40"/>
  <c r="W34" i="40"/>
  <c r="W33" i="40"/>
  <c r="W40" i="40"/>
  <c r="W38" i="40"/>
  <c r="W35" i="40"/>
  <c r="W44" i="40"/>
  <c r="W43" i="40"/>
  <c r="W45" i="40"/>
  <c r="W42" i="40"/>
  <c r="Q43" i="30"/>
  <c r="Q34" i="30"/>
  <c r="Q40" i="30"/>
  <c r="Q39" i="30"/>
  <c r="Q35" i="30"/>
  <c r="Q42" i="30"/>
  <c r="Q45" i="30"/>
  <c r="Q33" i="30"/>
  <c r="Q38" i="30"/>
  <c r="Q44" i="30"/>
  <c r="Q41" i="30"/>
  <c r="Q36" i="30"/>
  <c r="Q37" i="30"/>
  <c r="S42" i="24"/>
  <c r="S41" i="24"/>
  <c r="S39" i="24"/>
  <c r="S37" i="24"/>
  <c r="S35" i="24"/>
  <c r="S34" i="24"/>
  <c r="S38" i="24"/>
  <c r="S36" i="24"/>
  <c r="S40" i="24"/>
  <c r="S44" i="24"/>
  <c r="S33" i="24"/>
  <c r="S43" i="24"/>
  <c r="S45" i="24"/>
  <c r="T36" i="30"/>
  <c r="T44" i="30"/>
  <c r="T40" i="30"/>
  <c r="T41" i="30"/>
  <c r="T33" i="30"/>
  <c r="T37" i="30"/>
  <c r="T42" i="30"/>
  <c r="T38" i="30"/>
  <c r="T43" i="30"/>
  <c r="T39" i="30"/>
  <c r="T45" i="30"/>
  <c r="T35" i="30"/>
  <c r="T34" i="30"/>
  <c r="T45" i="31"/>
  <c r="T44" i="31"/>
  <c r="T34" i="31"/>
  <c r="T41" i="31"/>
  <c r="T37" i="31"/>
  <c r="T40" i="31"/>
  <c r="T35" i="31"/>
  <c r="T36" i="31"/>
  <c r="T43" i="31"/>
  <c r="T33" i="31"/>
  <c r="T38" i="31"/>
  <c r="T42" i="31"/>
  <c r="T39" i="31"/>
  <c r="Q35" i="32"/>
  <c r="Q43" i="32"/>
  <c r="Q39" i="32"/>
  <c r="Q34" i="32"/>
  <c r="Q38" i="32"/>
  <c r="Q33" i="32"/>
  <c r="Q44" i="32"/>
  <c r="Q45" i="32"/>
  <c r="Q41" i="32"/>
  <c r="Q40" i="32"/>
  <c r="Q36" i="32"/>
  <c r="Q37" i="32"/>
  <c r="Q42" i="32"/>
  <c r="U43" i="32"/>
  <c r="U35" i="32"/>
  <c r="U39" i="32"/>
  <c r="U38" i="32"/>
  <c r="U37" i="32"/>
  <c r="U33" i="32"/>
  <c r="U42" i="32"/>
  <c r="U34" i="32"/>
  <c r="U41" i="32"/>
  <c r="U36" i="32"/>
  <c r="U44" i="32"/>
  <c r="U45" i="32"/>
  <c r="U40" i="32"/>
  <c r="R33" i="22"/>
  <c r="R35" i="22"/>
  <c r="R36" i="22"/>
  <c r="R45" i="22"/>
  <c r="R39" i="22"/>
  <c r="R44" i="22"/>
  <c r="R38" i="22"/>
  <c r="R34" i="22"/>
  <c r="R40" i="22"/>
  <c r="R41" i="22"/>
  <c r="R43" i="22"/>
  <c r="R42" i="22"/>
  <c r="R37" i="22"/>
  <c r="S45" i="22"/>
  <c r="S37" i="22"/>
  <c r="S41" i="22"/>
  <c r="S35" i="22"/>
  <c r="S38" i="22"/>
  <c r="S33" i="22"/>
  <c r="S34" i="22"/>
  <c r="S43" i="22"/>
  <c r="S44" i="22"/>
  <c r="S42" i="22"/>
  <c r="S36" i="22"/>
  <c r="S39" i="22"/>
  <c r="S40" i="22"/>
  <c r="W37" i="22"/>
  <c r="W45" i="22"/>
  <c r="W41" i="22"/>
  <c r="W35" i="22"/>
  <c r="W33" i="22"/>
  <c r="W40" i="22"/>
  <c r="W34" i="22"/>
  <c r="W42" i="22"/>
  <c r="W38" i="22"/>
  <c r="W36" i="22"/>
  <c r="W39" i="22"/>
  <c r="W43" i="22"/>
  <c r="W44" i="22"/>
  <c r="U45" i="24"/>
  <c r="U41" i="24"/>
  <c r="U43" i="24"/>
  <c r="U39" i="24"/>
  <c r="U37" i="24"/>
  <c r="U35" i="24"/>
  <c r="U38" i="24"/>
  <c r="U34" i="24"/>
  <c r="U40" i="24"/>
  <c r="U36" i="24"/>
  <c r="U44" i="24"/>
  <c r="U42" i="24"/>
  <c r="U33" i="24"/>
  <c r="R42" i="25"/>
  <c r="R40" i="25"/>
  <c r="R39" i="25"/>
  <c r="R35" i="25"/>
  <c r="R33" i="25"/>
  <c r="R38" i="25"/>
  <c r="R44" i="25"/>
  <c r="R36" i="25"/>
  <c r="R41" i="25"/>
  <c r="R43" i="25"/>
  <c r="R45" i="25"/>
  <c r="R37" i="25"/>
  <c r="R34" i="25"/>
  <c r="V39" i="25"/>
  <c r="V42" i="25"/>
  <c r="V41" i="25"/>
  <c r="V33" i="25"/>
  <c r="V44" i="25"/>
  <c r="V36" i="25"/>
  <c r="V34" i="25"/>
  <c r="V43" i="25"/>
  <c r="V45" i="25"/>
  <c r="V37" i="25"/>
  <c r="V35" i="25"/>
  <c r="V38" i="25"/>
  <c r="V40" i="25"/>
  <c r="S42" i="26"/>
  <c r="S40" i="26"/>
  <c r="S43" i="26"/>
  <c r="S33" i="26"/>
  <c r="S34" i="26"/>
  <c r="S35" i="26"/>
  <c r="S36" i="26"/>
  <c r="S38" i="26"/>
  <c r="S39" i="26"/>
  <c r="S44" i="26"/>
  <c r="S37" i="26"/>
  <c r="S41" i="26"/>
  <c r="S45" i="26"/>
  <c r="W42" i="26"/>
  <c r="W44" i="26"/>
  <c r="W40" i="26"/>
  <c r="W38" i="26"/>
  <c r="W33" i="26"/>
  <c r="W39" i="26"/>
  <c r="W43" i="26"/>
  <c r="W45" i="26"/>
  <c r="W37" i="26"/>
  <c r="W41" i="26"/>
  <c r="W35" i="26"/>
  <c r="W36" i="26"/>
  <c r="W34" i="26"/>
  <c r="T42" i="44"/>
  <c r="T44" i="44"/>
  <c r="T45" i="44"/>
  <c r="T40" i="44"/>
  <c r="T35" i="44"/>
  <c r="T38" i="44"/>
  <c r="T36" i="44"/>
  <c r="T33" i="44"/>
  <c r="T43" i="44"/>
  <c r="T34" i="44"/>
  <c r="T39" i="44"/>
  <c r="T37" i="44"/>
  <c r="T41" i="44"/>
  <c r="X45" i="44"/>
  <c r="X38" i="44"/>
  <c r="X36" i="44"/>
  <c r="X44" i="44"/>
  <c r="X42" i="44"/>
  <c r="X40" i="44"/>
  <c r="X35" i="44"/>
  <c r="X34" i="44"/>
  <c r="X37" i="44"/>
  <c r="X39" i="44"/>
  <c r="X41" i="44"/>
  <c r="X33" i="44"/>
  <c r="X43" i="44"/>
  <c r="U42" i="27"/>
  <c r="U41" i="27"/>
  <c r="U39" i="27"/>
  <c r="U38" i="27"/>
  <c r="U33" i="27"/>
  <c r="U37" i="27"/>
  <c r="U43" i="27"/>
  <c r="U45" i="27"/>
  <c r="U34" i="27"/>
  <c r="U36" i="27"/>
  <c r="U35" i="27"/>
  <c r="U40" i="27"/>
  <c r="U44" i="27"/>
  <c r="R33" i="37"/>
  <c r="R42" i="37"/>
  <c r="R43" i="37"/>
  <c r="R40" i="37"/>
  <c r="R39" i="37"/>
  <c r="R45" i="37"/>
  <c r="R34" i="37"/>
  <c r="R35" i="37"/>
  <c r="R36" i="37"/>
  <c r="R37" i="37"/>
  <c r="R38" i="37"/>
  <c r="R44" i="37"/>
  <c r="R41" i="37"/>
  <c r="V33" i="37"/>
  <c r="V39" i="37"/>
  <c r="V45" i="37"/>
  <c r="V44" i="37"/>
  <c r="V41" i="37"/>
  <c r="V34" i="37"/>
  <c r="V35" i="37"/>
  <c r="V36" i="37"/>
  <c r="V37" i="37"/>
  <c r="V38" i="37"/>
  <c r="V42" i="37"/>
  <c r="V43" i="37"/>
  <c r="V40" i="37"/>
  <c r="T34" i="40"/>
  <c r="T39" i="40"/>
  <c r="T44" i="40"/>
  <c r="T42" i="40"/>
  <c r="T37" i="40"/>
  <c r="T41" i="40"/>
  <c r="T45" i="40"/>
  <c r="T35" i="40"/>
  <c r="T40" i="40"/>
  <c r="T33" i="40"/>
  <c r="T38" i="40"/>
  <c r="T43" i="40"/>
  <c r="T36" i="40"/>
  <c r="X37" i="40"/>
  <c r="X34" i="40"/>
  <c r="X41" i="40"/>
  <c r="X39" i="40"/>
  <c r="X45" i="40"/>
  <c r="X43" i="40"/>
  <c r="X33" i="40"/>
  <c r="X42" i="40"/>
  <c r="X38" i="40"/>
  <c r="X36" i="40"/>
  <c r="X44" i="40"/>
  <c r="X35" i="40"/>
  <c r="X40" i="40"/>
  <c r="X44" i="50"/>
  <c r="X39" i="50"/>
  <c r="X45" i="50"/>
  <c r="X37" i="50"/>
  <c r="X42" i="50"/>
  <c r="X33" i="50"/>
  <c r="X36" i="50"/>
  <c r="X34" i="50"/>
  <c r="X35" i="50"/>
  <c r="X43" i="50"/>
  <c r="X41" i="50"/>
  <c r="X38" i="50"/>
  <c r="X40" i="50"/>
  <c r="X39" i="29"/>
  <c r="X40" i="29"/>
  <c r="X41" i="29"/>
  <c r="X44" i="29"/>
  <c r="X45" i="29"/>
  <c r="X42" i="29"/>
  <c r="X43" i="29"/>
  <c r="X38" i="29"/>
  <c r="X33" i="29"/>
  <c r="X37" i="29"/>
  <c r="X35" i="29"/>
  <c r="X34" i="29"/>
  <c r="X36" i="29"/>
  <c r="R8" i="27"/>
  <c r="V8" i="27"/>
  <c r="U8" i="27"/>
  <c r="S8" i="27"/>
  <c r="W8" i="27"/>
  <c r="T8" i="27"/>
  <c r="X8" i="27"/>
  <c r="U8" i="44"/>
  <c r="R8" i="44"/>
  <c r="V8" i="44"/>
  <c r="S8" i="44"/>
  <c r="W8" i="44"/>
  <c r="T8" i="44"/>
  <c r="X8" i="44"/>
  <c r="W8" i="40"/>
  <c r="X8" i="40"/>
  <c r="Q8" i="37"/>
  <c r="S8" i="37"/>
  <c r="T8" i="37"/>
  <c r="R8" i="40"/>
  <c r="R8" i="37"/>
  <c r="U8" i="37"/>
  <c r="S8" i="40"/>
  <c r="V8" i="37"/>
  <c r="T8" i="40"/>
  <c r="W8" i="37"/>
  <c r="U8" i="40"/>
  <c r="V8" i="40"/>
  <c r="M8" i="32"/>
  <c r="N8" i="24" s="1"/>
  <c r="N8" i="25" s="1"/>
  <c r="O8" i="25" s="1"/>
  <c r="Y4" i="31"/>
  <c r="Y4" i="30"/>
  <c r="Y4" i="32"/>
  <c r="X22" i="50"/>
  <c r="X12" i="50"/>
  <c r="X20" i="50"/>
  <c r="Z4" i="22"/>
  <c r="Z4" i="24"/>
  <c r="Z4" i="25"/>
  <c r="Z4" i="26"/>
  <c r="Z4" i="44"/>
  <c r="Z4" i="27"/>
  <c r="Z4" i="28"/>
  <c r="Y4" i="37"/>
  <c r="X8" i="50"/>
  <c r="X28" i="50"/>
  <c r="X15" i="50"/>
  <c r="X27" i="50"/>
  <c r="X31" i="50"/>
  <c r="X18" i="50"/>
  <c r="X9" i="50"/>
  <c r="X19" i="50"/>
  <c r="X23" i="50"/>
  <c r="X26" i="50"/>
  <c r="X32" i="50"/>
  <c r="X13" i="50"/>
  <c r="X11" i="50"/>
  <c r="X29" i="50"/>
  <c r="X24" i="50"/>
  <c r="X16" i="50"/>
  <c r="X30" i="50"/>
  <c r="X25" i="50"/>
  <c r="X10" i="50"/>
  <c r="X14" i="50"/>
  <c r="X21" i="50"/>
  <c r="X17" i="50"/>
  <c r="Y3" i="50"/>
  <c r="Y53" i="50" s="1"/>
  <c r="Z4" i="29"/>
  <c r="Z4" i="50"/>
  <c r="O8" i="22"/>
  <c r="N9" i="22" s="1"/>
  <c r="Q15" i="32"/>
  <c r="Q27" i="32"/>
  <c r="Q19" i="32"/>
  <c r="Q12" i="32"/>
  <c r="Q11" i="32"/>
  <c r="Q26" i="32"/>
  <c r="Q23" i="32"/>
  <c r="Q31" i="32"/>
  <c r="Q20" i="32"/>
  <c r="Q18" i="32"/>
  <c r="Q16" i="32"/>
  <c r="Q24" i="32"/>
  <c r="Q30" i="32"/>
  <c r="Q14" i="32"/>
  <c r="Q28" i="32"/>
  <c r="Q10" i="32"/>
  <c r="Q22" i="32"/>
  <c r="Q17" i="32"/>
  <c r="Q13" i="32"/>
  <c r="Q9" i="32"/>
  <c r="Q29" i="32"/>
  <c r="Q8" i="32"/>
  <c r="Q32" i="32"/>
  <c r="Q25" i="32"/>
  <c r="Q21" i="32"/>
  <c r="S29" i="32"/>
  <c r="S23" i="32"/>
  <c r="S31" i="32"/>
  <c r="S27" i="32"/>
  <c r="S8" i="32"/>
  <c r="S16" i="32"/>
  <c r="S21" i="32"/>
  <c r="S9" i="32"/>
  <c r="S20" i="32"/>
  <c r="S18" i="32"/>
  <c r="S13" i="32"/>
  <c r="S30" i="32"/>
  <c r="S11" i="32"/>
  <c r="S26" i="32"/>
  <c r="S28" i="32"/>
  <c r="S22" i="32"/>
  <c r="S15" i="32"/>
  <c r="S12" i="32"/>
  <c r="S24" i="32"/>
  <c r="S14" i="32"/>
  <c r="S19" i="32"/>
  <c r="S17" i="32"/>
  <c r="S25" i="32"/>
  <c r="S10" i="32"/>
  <c r="S32" i="32"/>
  <c r="T27" i="32"/>
  <c r="T23" i="32"/>
  <c r="T26" i="32"/>
  <c r="T17" i="32"/>
  <c r="T12" i="32"/>
  <c r="T21" i="32"/>
  <c r="T32" i="32"/>
  <c r="T20" i="32"/>
  <c r="T16" i="32"/>
  <c r="T31" i="32"/>
  <c r="T9" i="32"/>
  <c r="T13" i="32"/>
  <c r="T11" i="32"/>
  <c r="T14" i="32"/>
  <c r="T19" i="32"/>
  <c r="T28" i="32"/>
  <c r="T22" i="32"/>
  <c r="T24" i="32"/>
  <c r="T10" i="32"/>
  <c r="T15" i="32"/>
  <c r="T18" i="32"/>
  <c r="T30" i="32"/>
  <c r="T25" i="32"/>
  <c r="T29" i="32"/>
  <c r="T8" i="32"/>
  <c r="V10" i="32"/>
  <c r="V28" i="32"/>
  <c r="V18" i="32"/>
  <c r="V22" i="32"/>
  <c r="V16" i="32"/>
  <c r="V11" i="32"/>
  <c r="V15" i="32"/>
  <c r="V12" i="32"/>
  <c r="V27" i="32"/>
  <c r="V9" i="32"/>
  <c r="V21" i="32"/>
  <c r="V14" i="32"/>
  <c r="V19" i="32"/>
  <c r="V23" i="32"/>
  <c r="V31" i="32"/>
  <c r="V24" i="32"/>
  <c r="V26" i="32"/>
  <c r="V17" i="32"/>
  <c r="V13" i="32"/>
  <c r="V32" i="32"/>
  <c r="V25" i="32"/>
  <c r="V29" i="32"/>
  <c r="V30" i="32"/>
  <c r="V8" i="32"/>
  <c r="V20" i="32"/>
  <c r="W23" i="32"/>
  <c r="W8" i="32"/>
  <c r="W29" i="32"/>
  <c r="W31" i="32"/>
  <c r="W13" i="32"/>
  <c r="W9" i="32"/>
  <c r="W18" i="32"/>
  <c r="W27" i="32"/>
  <c r="W21" i="32"/>
  <c r="W16" i="32"/>
  <c r="W20" i="32"/>
  <c r="W15" i="32"/>
  <c r="W22" i="32"/>
  <c r="W11" i="32"/>
  <c r="W28" i="32"/>
  <c r="W12" i="32"/>
  <c r="W17" i="32"/>
  <c r="W19" i="32"/>
  <c r="W14" i="32"/>
  <c r="W10" i="32"/>
  <c r="W24" i="32"/>
  <c r="W32" i="32"/>
  <c r="W30" i="32"/>
  <c r="W25" i="32"/>
  <c r="W26" i="32"/>
  <c r="R8" i="22"/>
  <c r="S8" i="22"/>
  <c r="T8" i="22"/>
  <c r="R29" i="32"/>
  <c r="R19" i="32"/>
  <c r="R18" i="32"/>
  <c r="R16" i="32"/>
  <c r="R11" i="32"/>
  <c r="R25" i="32"/>
  <c r="R15" i="32"/>
  <c r="R22" i="32"/>
  <c r="R12" i="32"/>
  <c r="R17" i="32"/>
  <c r="R10" i="32"/>
  <c r="R9" i="32"/>
  <c r="R24" i="32"/>
  <c r="R20" i="32"/>
  <c r="R14" i="32"/>
  <c r="R13" i="32"/>
  <c r="R23" i="32"/>
  <c r="R26" i="32"/>
  <c r="R27" i="32"/>
  <c r="R8" i="32"/>
  <c r="R21" i="32"/>
  <c r="R28" i="32"/>
  <c r="R32" i="32"/>
  <c r="R30" i="32"/>
  <c r="R31" i="32"/>
  <c r="U8" i="22"/>
  <c r="V8" i="22"/>
  <c r="U27" i="32"/>
  <c r="U15" i="32"/>
  <c r="U12" i="32"/>
  <c r="U11" i="32"/>
  <c r="U30" i="32"/>
  <c r="U23" i="32"/>
  <c r="U20" i="32"/>
  <c r="U26" i="32"/>
  <c r="U16" i="32"/>
  <c r="U31" i="32"/>
  <c r="U24" i="32"/>
  <c r="U25" i="32"/>
  <c r="U28" i="32"/>
  <c r="U19" i="32"/>
  <c r="U10" i="32"/>
  <c r="U14" i="32"/>
  <c r="U22" i="32"/>
  <c r="U32" i="32"/>
  <c r="U13" i="32"/>
  <c r="U17" i="32"/>
  <c r="U8" i="32"/>
  <c r="U29" i="32"/>
  <c r="U21" i="32"/>
  <c r="U18" i="32"/>
  <c r="U9" i="32"/>
  <c r="W8" i="22"/>
  <c r="X8" i="22"/>
  <c r="X3" i="32"/>
  <c r="X53" i="32" s="1"/>
  <c r="X3" i="31"/>
  <c r="X53" i="31" s="1"/>
  <c r="Y3" i="22"/>
  <c r="Y53" i="22" s="1"/>
  <c r="X3" i="30"/>
  <c r="X53" i="30" s="1"/>
  <c r="Y3" i="25"/>
  <c r="Y53" i="25" s="1"/>
  <c r="Y3" i="44"/>
  <c r="Y53" i="44" s="1"/>
  <c r="Y3" i="28"/>
  <c r="Y46" i="28" s="1"/>
  <c r="Y3" i="40"/>
  <c r="Y53" i="40" s="1"/>
  <c r="Y3" i="24"/>
  <c r="Y53" i="24" s="1"/>
  <c r="Y3" i="26"/>
  <c r="Y53" i="26" s="1"/>
  <c r="Y3" i="27"/>
  <c r="Y53" i="27" s="1"/>
  <c r="X3" i="37"/>
  <c r="X53" i="37" s="1"/>
  <c r="Y3" i="29"/>
  <c r="Y53" i="29" s="1"/>
  <c r="U8" i="25"/>
  <c r="V8" i="25"/>
  <c r="W8" i="25"/>
  <c r="X8" i="25"/>
  <c r="R8" i="25"/>
  <c r="S8" i="25"/>
  <c r="T8" i="25"/>
  <c r="S47" i="28"/>
  <c r="S46" i="28"/>
  <c r="S48" i="28"/>
  <c r="W47" i="28"/>
  <c r="W46" i="28"/>
  <c r="W48" i="28"/>
  <c r="T47" i="28"/>
  <c r="T48" i="28"/>
  <c r="T46" i="28"/>
  <c r="X47" i="28"/>
  <c r="X46" i="28"/>
  <c r="X48" i="28"/>
  <c r="U48" i="28"/>
  <c r="U47" i="28"/>
  <c r="U46" i="28"/>
  <c r="R48" i="28"/>
  <c r="R47" i="28"/>
  <c r="R46" i="28"/>
  <c r="V46" i="28"/>
  <c r="V48" i="28"/>
  <c r="V47" i="28"/>
  <c r="Y52" i="40" l="1"/>
  <c r="Y51" i="40"/>
  <c r="Y49" i="40"/>
  <c r="Y47" i="40"/>
  <c r="Y46" i="40"/>
  <c r="Y48" i="40"/>
  <c r="Y50" i="40"/>
  <c r="X49" i="37"/>
  <c r="X47" i="37"/>
  <c r="X52" i="37"/>
  <c r="X51" i="37"/>
  <c r="X50" i="37"/>
  <c r="X46" i="37"/>
  <c r="X48" i="37"/>
  <c r="Y47" i="26"/>
  <c r="Y49" i="26"/>
  <c r="Y52" i="26"/>
  <c r="Y46" i="26"/>
  <c r="Y48" i="26"/>
  <c r="Y50" i="26"/>
  <c r="Y51" i="26"/>
  <c r="X50" i="31"/>
  <c r="X46" i="31"/>
  <c r="X52" i="31"/>
  <c r="X47" i="31"/>
  <c r="X48" i="31"/>
  <c r="X51" i="31"/>
  <c r="X49" i="31"/>
  <c r="Y50" i="25"/>
  <c r="Y48" i="25"/>
  <c r="Y52" i="25"/>
  <c r="Y46" i="25"/>
  <c r="Y47" i="25"/>
  <c r="Y49" i="25"/>
  <c r="Y51" i="25"/>
  <c r="X50" i="32"/>
  <c r="X47" i="32"/>
  <c r="X48" i="32"/>
  <c r="X51" i="32"/>
  <c r="X46" i="32"/>
  <c r="X52" i="32"/>
  <c r="X49" i="32"/>
  <c r="X50" i="30"/>
  <c r="X52" i="30"/>
  <c r="X49" i="30"/>
  <c r="X47" i="30"/>
  <c r="X48" i="30"/>
  <c r="X46" i="30"/>
  <c r="X51" i="30"/>
  <c r="Y46" i="27"/>
  <c r="Y51" i="27"/>
  <c r="Y49" i="27"/>
  <c r="Y48" i="27"/>
  <c r="Y50" i="27"/>
  <c r="Y47" i="27"/>
  <c r="Y52" i="27"/>
  <c r="Y49" i="22"/>
  <c r="Y51" i="22"/>
  <c r="Y48" i="22"/>
  <c r="Y52" i="22"/>
  <c r="Y50" i="22"/>
  <c r="Y47" i="22"/>
  <c r="Y46" i="22"/>
  <c r="Y51" i="50"/>
  <c r="Y46" i="50"/>
  <c r="Y49" i="50"/>
  <c r="Y52" i="50"/>
  <c r="Y47" i="50"/>
  <c r="Y48" i="50"/>
  <c r="Y50" i="50"/>
  <c r="Y49" i="44"/>
  <c r="Y46" i="44"/>
  <c r="Y47" i="44"/>
  <c r="Y48" i="44"/>
  <c r="Y50" i="44"/>
  <c r="Y51" i="44"/>
  <c r="Y52" i="44"/>
  <c r="Y49" i="24"/>
  <c r="Y46" i="24"/>
  <c r="Y51" i="24"/>
  <c r="Y47" i="24"/>
  <c r="Y52" i="24"/>
  <c r="Y50" i="24"/>
  <c r="Y48" i="24"/>
  <c r="X34" i="37"/>
  <c r="X35" i="37"/>
  <c r="X36" i="37"/>
  <c r="X37" i="37"/>
  <c r="X38" i="37"/>
  <c r="X33" i="37"/>
  <c r="X42" i="37"/>
  <c r="X43" i="37"/>
  <c r="X40" i="37"/>
  <c r="X39" i="37"/>
  <c r="X45" i="37"/>
  <c r="X44" i="37"/>
  <c r="X41" i="37"/>
  <c r="Y43" i="26"/>
  <c r="Y45" i="26"/>
  <c r="Y39" i="26"/>
  <c r="Y33" i="26"/>
  <c r="Y42" i="26"/>
  <c r="Y37" i="26"/>
  <c r="Y35" i="26"/>
  <c r="Y36" i="26"/>
  <c r="Y34" i="26"/>
  <c r="Y38" i="26"/>
  <c r="Y41" i="26"/>
  <c r="Y44" i="26"/>
  <c r="Y40" i="26"/>
  <c r="Y40" i="44"/>
  <c r="Y36" i="44"/>
  <c r="Y35" i="44"/>
  <c r="Y45" i="44"/>
  <c r="Y33" i="44"/>
  <c r="Y43" i="44"/>
  <c r="Y39" i="44"/>
  <c r="Y37" i="44"/>
  <c r="Y34" i="44"/>
  <c r="Y38" i="44"/>
  <c r="Y41" i="44"/>
  <c r="Y44" i="44"/>
  <c r="Y42" i="44"/>
  <c r="X45" i="31"/>
  <c r="X41" i="31"/>
  <c r="X40" i="31"/>
  <c r="X38" i="31"/>
  <c r="X34" i="31"/>
  <c r="X37" i="31"/>
  <c r="X44" i="31"/>
  <c r="X36" i="31"/>
  <c r="X35" i="31"/>
  <c r="X43" i="31"/>
  <c r="X39" i="31"/>
  <c r="X33" i="31"/>
  <c r="X42" i="31"/>
  <c r="Y47" i="29"/>
  <c r="Y50" i="29"/>
  <c r="Y52" i="29"/>
  <c r="Y48" i="29"/>
  <c r="Y51" i="29"/>
  <c r="Y46" i="29"/>
  <c r="Y49" i="29"/>
  <c r="Y43" i="24"/>
  <c r="Y41" i="24"/>
  <c r="Y45" i="24"/>
  <c r="Y35" i="24"/>
  <c r="Y39" i="24"/>
  <c r="Y37" i="24"/>
  <c r="Y38" i="24"/>
  <c r="Y34" i="24"/>
  <c r="Y36" i="24"/>
  <c r="Y33" i="24"/>
  <c r="Y40" i="24"/>
  <c r="Y42" i="24"/>
  <c r="Y44" i="24"/>
  <c r="Y42" i="25"/>
  <c r="Y40" i="25"/>
  <c r="Y37" i="25"/>
  <c r="Y34" i="25"/>
  <c r="Y36" i="25"/>
  <c r="Y41" i="25"/>
  <c r="Y44" i="25"/>
  <c r="Y43" i="25"/>
  <c r="Y45" i="25"/>
  <c r="Y38" i="25"/>
  <c r="Y35" i="25"/>
  <c r="Y39" i="25"/>
  <c r="Y33" i="25"/>
  <c r="X42" i="32"/>
  <c r="X40" i="32"/>
  <c r="X39" i="32"/>
  <c r="X38" i="32"/>
  <c r="X35" i="32"/>
  <c r="X43" i="32"/>
  <c r="X44" i="32"/>
  <c r="X33" i="32"/>
  <c r="X34" i="32"/>
  <c r="X37" i="32"/>
  <c r="X36" i="32"/>
  <c r="X41" i="32"/>
  <c r="X45" i="32"/>
  <c r="X41" i="30"/>
  <c r="X40" i="30"/>
  <c r="X44" i="30"/>
  <c r="X36" i="30"/>
  <c r="X42" i="30"/>
  <c r="X39" i="30"/>
  <c r="X45" i="30"/>
  <c r="X35" i="30"/>
  <c r="X33" i="30"/>
  <c r="X38" i="30"/>
  <c r="X43" i="30"/>
  <c r="X34" i="30"/>
  <c r="X37" i="30"/>
  <c r="Y38" i="27"/>
  <c r="Y33" i="27"/>
  <c r="Y39" i="27"/>
  <c r="Y42" i="27"/>
  <c r="Y41" i="27"/>
  <c r="Y45" i="27"/>
  <c r="Y34" i="27"/>
  <c r="Y40" i="27"/>
  <c r="Y43" i="27"/>
  <c r="Y37" i="27"/>
  <c r="Y35" i="27"/>
  <c r="Y44" i="27"/>
  <c r="Y36" i="27"/>
  <c r="Y41" i="22"/>
  <c r="Y40" i="22"/>
  <c r="Y35" i="22"/>
  <c r="Y33" i="22"/>
  <c r="Y43" i="22"/>
  <c r="Y37" i="22"/>
  <c r="Y34" i="22"/>
  <c r="Y38" i="22"/>
  <c r="Y42" i="22"/>
  <c r="Y44" i="22"/>
  <c r="Y36" i="22"/>
  <c r="Y39" i="22"/>
  <c r="Y45" i="22"/>
  <c r="Y34" i="50"/>
  <c r="Y42" i="50"/>
  <c r="Y40" i="50"/>
  <c r="Y35" i="50"/>
  <c r="Y36" i="50"/>
  <c r="Y44" i="50"/>
  <c r="Y33" i="50"/>
  <c r="Y45" i="50"/>
  <c r="Y37" i="50"/>
  <c r="Y39" i="50"/>
  <c r="Y43" i="50"/>
  <c r="Y41" i="50"/>
  <c r="Y38" i="50"/>
  <c r="Y40" i="40"/>
  <c r="Y39" i="40"/>
  <c r="Y34" i="40"/>
  <c r="Y37" i="40"/>
  <c r="Y36" i="40"/>
  <c r="Y41" i="40"/>
  <c r="Y33" i="40"/>
  <c r="Y42" i="40"/>
  <c r="Y44" i="40"/>
  <c r="Y45" i="40"/>
  <c r="Y38" i="40"/>
  <c r="Y43" i="40"/>
  <c r="Y35" i="40"/>
  <c r="Y39" i="29"/>
  <c r="Y42" i="29"/>
  <c r="Y38" i="29"/>
  <c r="Y40" i="29"/>
  <c r="Y35" i="29"/>
  <c r="Y33" i="29"/>
  <c r="Y41" i="29"/>
  <c r="Y34" i="29"/>
  <c r="Y44" i="29"/>
  <c r="Y36" i="29"/>
  <c r="Y37" i="29"/>
  <c r="Y43" i="29"/>
  <c r="Y45" i="29"/>
  <c r="Y8" i="27"/>
  <c r="Y8" i="44"/>
  <c r="Y8" i="40"/>
  <c r="X8" i="37"/>
  <c r="Y21" i="50"/>
  <c r="Y27" i="50"/>
  <c r="Y26" i="50"/>
  <c r="Y9" i="50"/>
  <c r="Y25" i="50"/>
  <c r="Y31" i="50"/>
  <c r="Y23" i="50"/>
  <c r="Y10" i="50"/>
  <c r="Y32" i="50"/>
  <c r="Y15" i="50"/>
  <c r="Y18" i="50"/>
  <c r="Y20" i="50"/>
  <c r="Y19" i="50"/>
  <c r="Y30" i="50"/>
  <c r="Y28" i="50"/>
  <c r="Y22" i="50"/>
  <c r="Y14" i="50"/>
  <c r="Y13" i="50"/>
  <c r="Y24" i="50"/>
  <c r="Y17" i="50"/>
  <c r="Y16" i="50"/>
  <c r="Y12" i="50"/>
  <c r="Y11" i="50"/>
  <c r="Y8" i="50"/>
  <c r="Y29" i="50"/>
  <c r="Z3" i="50"/>
  <c r="Z53" i="50" s="1"/>
  <c r="AA4" i="29"/>
  <c r="AA4" i="50"/>
  <c r="AA4" i="27"/>
  <c r="AA4" i="40"/>
  <c r="AA4" i="44"/>
  <c r="Z4" i="37"/>
  <c r="AA4" i="28"/>
  <c r="AA4" i="22"/>
  <c r="Z4" i="32"/>
  <c r="AA4" i="26"/>
  <c r="Z4" i="31"/>
  <c r="AA4" i="25"/>
  <c r="AA4" i="24"/>
  <c r="Z4" i="30"/>
  <c r="X23" i="32"/>
  <c r="X12" i="32"/>
  <c r="X27" i="32"/>
  <c r="X26" i="32"/>
  <c r="X31" i="32"/>
  <c r="X16" i="32"/>
  <c r="X9" i="32"/>
  <c r="X13" i="32"/>
  <c r="X20" i="32"/>
  <c r="X21" i="32"/>
  <c r="X19" i="32"/>
  <c r="X30" i="32"/>
  <c r="X11" i="32"/>
  <c r="X14" i="32"/>
  <c r="X28" i="32"/>
  <c r="X32" i="32"/>
  <c r="X22" i="32"/>
  <c r="X15" i="32"/>
  <c r="X10" i="32"/>
  <c r="X25" i="32"/>
  <c r="X17" i="32"/>
  <c r="X18" i="32"/>
  <c r="X29" i="32"/>
  <c r="X24" i="32"/>
  <c r="X8" i="32"/>
  <c r="Y8" i="22"/>
  <c r="Y47" i="28"/>
  <c r="Y48" i="28"/>
  <c r="Z3" i="44"/>
  <c r="Z53" i="44" s="1"/>
  <c r="Y8" i="25"/>
  <c r="Y3" i="37"/>
  <c r="Y53" i="37" s="1"/>
  <c r="Z3" i="22"/>
  <c r="Z53" i="22" s="1"/>
  <c r="Z3" i="25"/>
  <c r="Z53" i="25" s="1"/>
  <c r="Z3" i="29"/>
  <c r="Z53" i="29" s="1"/>
  <c r="Z3" i="26"/>
  <c r="Z53" i="26" s="1"/>
  <c r="Y3" i="30"/>
  <c r="Y53" i="30" s="1"/>
  <c r="Y3" i="32"/>
  <c r="Y53" i="32" s="1"/>
  <c r="Z3" i="28"/>
  <c r="Z46" i="28" s="1"/>
  <c r="Z3" i="27"/>
  <c r="Z53" i="27" s="1"/>
  <c r="Y3" i="31"/>
  <c r="Y53" i="31" s="1"/>
  <c r="Z3" i="40"/>
  <c r="Z53" i="40" s="1"/>
  <c r="Z3" i="24"/>
  <c r="Z53" i="24" s="1"/>
  <c r="P5" i="47"/>
  <c r="Q5" i="47"/>
  <c r="R5" i="47"/>
  <c r="S5" i="47"/>
  <c r="T5" i="47"/>
  <c r="U5" i="47"/>
  <c r="V5" i="47"/>
  <c r="W5" i="47"/>
  <c r="P6" i="47"/>
  <c r="Q6" i="47"/>
  <c r="R6" i="47"/>
  <c r="S6" i="47"/>
  <c r="T6" i="47"/>
  <c r="U6" i="47"/>
  <c r="V6" i="47"/>
  <c r="W6" i="47"/>
  <c r="P7" i="47"/>
  <c r="Q7" i="47"/>
  <c r="R7" i="47"/>
  <c r="S7" i="47"/>
  <c r="T7" i="47"/>
  <c r="U7" i="47"/>
  <c r="V7" i="47"/>
  <c r="W7" i="47"/>
  <c r="P8" i="47"/>
  <c r="Q8" i="47"/>
  <c r="R8" i="47"/>
  <c r="S8" i="47"/>
  <c r="T8" i="47"/>
  <c r="U8" i="47"/>
  <c r="V8" i="47"/>
  <c r="W8" i="47"/>
  <c r="P9" i="47"/>
  <c r="Q9" i="47"/>
  <c r="R9" i="47"/>
  <c r="S9" i="47"/>
  <c r="T9" i="47"/>
  <c r="U9" i="47"/>
  <c r="V9" i="47"/>
  <c r="W9" i="47"/>
  <c r="P10" i="47"/>
  <c r="Q10" i="47"/>
  <c r="R10" i="47"/>
  <c r="S10" i="47"/>
  <c r="T10" i="47"/>
  <c r="U10" i="47"/>
  <c r="V10" i="47"/>
  <c r="W10" i="47"/>
  <c r="P11" i="47"/>
  <c r="Q11" i="47"/>
  <c r="R11" i="47"/>
  <c r="S11" i="47"/>
  <c r="T11" i="47"/>
  <c r="U11" i="47"/>
  <c r="V11" i="47"/>
  <c r="W11" i="47"/>
  <c r="P12" i="47"/>
  <c r="Q12" i="47"/>
  <c r="R12" i="47"/>
  <c r="S12" i="47"/>
  <c r="T12" i="47"/>
  <c r="U12" i="47"/>
  <c r="V12" i="47"/>
  <c r="W12" i="47"/>
  <c r="P13" i="47"/>
  <c r="Q13" i="47"/>
  <c r="R13" i="47"/>
  <c r="S13" i="47"/>
  <c r="T13" i="47"/>
  <c r="U13" i="47"/>
  <c r="V13" i="47"/>
  <c r="W13" i="47"/>
  <c r="P14" i="47"/>
  <c r="Q14" i="47"/>
  <c r="R14" i="47"/>
  <c r="S14" i="47"/>
  <c r="T14" i="47"/>
  <c r="U14" i="47"/>
  <c r="V14" i="47"/>
  <c r="W14" i="47"/>
  <c r="P15" i="47"/>
  <c r="Q15" i="47"/>
  <c r="R15" i="47"/>
  <c r="S15" i="47"/>
  <c r="T15" i="47"/>
  <c r="U15" i="47"/>
  <c r="V15" i="47"/>
  <c r="W15" i="47"/>
  <c r="P16" i="47"/>
  <c r="Q16" i="47"/>
  <c r="R16" i="47"/>
  <c r="S16" i="47"/>
  <c r="T16" i="47"/>
  <c r="U16" i="47"/>
  <c r="V16" i="47"/>
  <c r="W16" i="47"/>
  <c r="P17" i="47"/>
  <c r="Q17" i="47"/>
  <c r="R17" i="47"/>
  <c r="S17" i="47"/>
  <c r="T17" i="47"/>
  <c r="U17" i="47"/>
  <c r="V17" i="47"/>
  <c r="W17" i="47"/>
  <c r="P18" i="47"/>
  <c r="Q18" i="47"/>
  <c r="R18" i="47"/>
  <c r="S18" i="47"/>
  <c r="T18" i="47"/>
  <c r="U18" i="47"/>
  <c r="V18" i="47"/>
  <c r="W18" i="47"/>
  <c r="P19" i="47"/>
  <c r="Q19" i="47"/>
  <c r="R19" i="47"/>
  <c r="S19" i="47"/>
  <c r="T19" i="47"/>
  <c r="U19" i="47"/>
  <c r="V19" i="47"/>
  <c r="W19" i="47"/>
  <c r="P20" i="47"/>
  <c r="AA20" i="1" s="1"/>
  <c r="Q20" i="47"/>
  <c r="AB20" i="1" s="1"/>
  <c r="R20" i="47"/>
  <c r="AC20" i="1" s="1"/>
  <c r="S20" i="47"/>
  <c r="AD20" i="1" s="1"/>
  <c r="T20" i="47"/>
  <c r="AE20" i="1" s="1"/>
  <c r="U20" i="47"/>
  <c r="AF20" i="1" s="1"/>
  <c r="V20" i="47"/>
  <c r="AG20" i="1" s="1"/>
  <c r="W20" i="47"/>
  <c r="AH20" i="1" s="1"/>
  <c r="P21" i="47"/>
  <c r="Q21" i="47"/>
  <c r="R21" i="47"/>
  <c r="S21" i="47"/>
  <c r="T21" i="47"/>
  <c r="U21" i="47"/>
  <c r="V21" i="47"/>
  <c r="W21" i="47"/>
  <c r="P22" i="47"/>
  <c r="Q22" i="47"/>
  <c r="R22" i="47"/>
  <c r="S22" i="47"/>
  <c r="T22" i="47"/>
  <c r="U22" i="47"/>
  <c r="V22" i="47"/>
  <c r="W22" i="47"/>
  <c r="P23" i="47"/>
  <c r="Q23" i="47"/>
  <c r="R23" i="47"/>
  <c r="S23" i="47"/>
  <c r="T23" i="47"/>
  <c r="U23" i="47"/>
  <c r="V23" i="47"/>
  <c r="W23" i="47"/>
  <c r="P24" i="47"/>
  <c r="Q24" i="47"/>
  <c r="R24" i="47"/>
  <c r="S24" i="47"/>
  <c r="T24" i="47"/>
  <c r="U24" i="47"/>
  <c r="V24" i="47"/>
  <c r="W24" i="47"/>
  <c r="P25" i="47"/>
  <c r="Q25" i="47"/>
  <c r="R25" i="47"/>
  <c r="S25" i="47"/>
  <c r="T25" i="47"/>
  <c r="U25" i="47"/>
  <c r="V25" i="47"/>
  <c r="W25" i="47"/>
  <c r="P26" i="47"/>
  <c r="Q26" i="47"/>
  <c r="R26" i="47"/>
  <c r="S26" i="47"/>
  <c r="T26" i="47"/>
  <c r="U26" i="47"/>
  <c r="V26" i="47"/>
  <c r="W26" i="47"/>
  <c r="P27" i="47"/>
  <c r="Q27" i="47"/>
  <c r="R27" i="47"/>
  <c r="S27" i="47"/>
  <c r="T27" i="47"/>
  <c r="U27" i="47"/>
  <c r="V27" i="47"/>
  <c r="W27" i="47"/>
  <c r="P28" i="47"/>
  <c r="Q28" i="47"/>
  <c r="R28" i="47"/>
  <c r="S28" i="47"/>
  <c r="T28" i="47"/>
  <c r="U28" i="47"/>
  <c r="V28" i="47"/>
  <c r="W28" i="47"/>
  <c r="P29" i="47"/>
  <c r="Q29" i="47"/>
  <c r="R29" i="47"/>
  <c r="S29" i="47"/>
  <c r="T29" i="47"/>
  <c r="U29" i="47"/>
  <c r="V29" i="47"/>
  <c r="W29" i="47"/>
  <c r="P30" i="47"/>
  <c r="Q30" i="47"/>
  <c r="R30" i="47"/>
  <c r="S30" i="47"/>
  <c r="T30" i="47"/>
  <c r="U30" i="47"/>
  <c r="V30" i="47"/>
  <c r="W30" i="47"/>
  <c r="P31" i="47"/>
  <c r="Q31" i="47"/>
  <c r="R31" i="47"/>
  <c r="S31" i="47"/>
  <c r="T31" i="47"/>
  <c r="U31" i="47"/>
  <c r="V31" i="47"/>
  <c r="W31" i="47"/>
  <c r="P32" i="47"/>
  <c r="Q32" i="47"/>
  <c r="R32" i="47"/>
  <c r="S32" i="47"/>
  <c r="T32" i="47"/>
  <c r="U32" i="47"/>
  <c r="V32" i="47"/>
  <c r="W32" i="47"/>
  <c r="P33" i="47"/>
  <c r="Q33" i="47"/>
  <c r="R33" i="47"/>
  <c r="S33" i="47"/>
  <c r="T33" i="47"/>
  <c r="U33" i="47"/>
  <c r="V33" i="47"/>
  <c r="W33" i="47"/>
  <c r="P34" i="47"/>
  <c r="Q34" i="47"/>
  <c r="R34" i="47"/>
  <c r="S34" i="47"/>
  <c r="T34" i="47"/>
  <c r="U34" i="47"/>
  <c r="V34" i="47"/>
  <c r="W34" i="47"/>
  <c r="P35" i="47"/>
  <c r="Q35" i="47"/>
  <c r="R35" i="47"/>
  <c r="S35" i="47"/>
  <c r="T35" i="47"/>
  <c r="U35" i="47"/>
  <c r="V35" i="47"/>
  <c r="W35" i="47"/>
  <c r="P36" i="47"/>
  <c r="Q36" i="47"/>
  <c r="R36" i="47"/>
  <c r="S36" i="47"/>
  <c r="T36" i="47"/>
  <c r="U36" i="47"/>
  <c r="V36" i="47"/>
  <c r="W36" i="47"/>
  <c r="P37" i="47"/>
  <c r="Q37" i="47"/>
  <c r="R37" i="47"/>
  <c r="S37" i="47"/>
  <c r="T37" i="47"/>
  <c r="U37" i="47"/>
  <c r="V37" i="47"/>
  <c r="W37" i="47"/>
  <c r="P38" i="47"/>
  <c r="Q38" i="47"/>
  <c r="R38" i="47"/>
  <c r="S38" i="47"/>
  <c r="T38" i="47"/>
  <c r="U38" i="47"/>
  <c r="V38" i="47"/>
  <c r="W38" i="47"/>
  <c r="P39" i="47"/>
  <c r="Q39" i="47"/>
  <c r="R39" i="47"/>
  <c r="S39" i="47"/>
  <c r="T39" i="47"/>
  <c r="U39" i="47"/>
  <c r="V39" i="47"/>
  <c r="W39" i="47"/>
  <c r="P40" i="47"/>
  <c r="Q40" i="47"/>
  <c r="R40" i="47"/>
  <c r="S40" i="47"/>
  <c r="T40" i="47"/>
  <c r="U40" i="47"/>
  <c r="V40" i="47"/>
  <c r="W40" i="47"/>
  <c r="P41" i="47"/>
  <c r="Q41" i="47"/>
  <c r="R41" i="47"/>
  <c r="S41" i="47"/>
  <c r="T41" i="47"/>
  <c r="U41" i="47"/>
  <c r="V41" i="47"/>
  <c r="W41" i="47"/>
  <c r="P42" i="47"/>
  <c r="Q42" i="47"/>
  <c r="R42" i="47"/>
  <c r="S42" i="47"/>
  <c r="T42" i="47"/>
  <c r="U42" i="47"/>
  <c r="V42" i="47"/>
  <c r="W42" i="47"/>
  <c r="P43" i="47"/>
  <c r="Q43" i="47"/>
  <c r="R43" i="47"/>
  <c r="S43" i="47"/>
  <c r="T43" i="47"/>
  <c r="U43" i="47"/>
  <c r="V43" i="47"/>
  <c r="W43" i="47"/>
  <c r="P44" i="47"/>
  <c r="Q44" i="47"/>
  <c r="R44" i="47"/>
  <c r="S44" i="47"/>
  <c r="T44" i="47"/>
  <c r="U44" i="47"/>
  <c r="V44" i="47"/>
  <c r="W44" i="47"/>
  <c r="P45" i="47"/>
  <c r="Q45" i="47"/>
  <c r="R45" i="47"/>
  <c r="S45" i="47"/>
  <c r="T45" i="47"/>
  <c r="U45" i="47"/>
  <c r="V45" i="47"/>
  <c r="W45" i="47"/>
  <c r="P46" i="47"/>
  <c r="Q46" i="47"/>
  <c r="R46" i="47"/>
  <c r="S46" i="47"/>
  <c r="T46" i="47"/>
  <c r="U46" i="47"/>
  <c r="V46" i="47"/>
  <c r="W46" i="47"/>
  <c r="P47" i="47"/>
  <c r="Q47" i="47"/>
  <c r="R47" i="47"/>
  <c r="S47" i="47"/>
  <c r="T47" i="47"/>
  <c r="U47" i="47"/>
  <c r="V47" i="47"/>
  <c r="W47" i="47"/>
  <c r="P48" i="47"/>
  <c r="Q48" i="47"/>
  <c r="R48" i="47"/>
  <c r="S48" i="47"/>
  <c r="T48" i="47"/>
  <c r="U48" i="47"/>
  <c r="V48" i="47"/>
  <c r="W48" i="47"/>
  <c r="P49" i="47"/>
  <c r="Q49" i="47"/>
  <c r="R49" i="47"/>
  <c r="S49" i="47"/>
  <c r="T49" i="47"/>
  <c r="U49" i="47"/>
  <c r="V49" i="47"/>
  <c r="W49" i="47"/>
  <c r="P50" i="47"/>
  <c r="Q50" i="47"/>
  <c r="R50" i="47"/>
  <c r="S50" i="47"/>
  <c r="T50" i="47"/>
  <c r="U50" i="47"/>
  <c r="V50" i="47"/>
  <c r="W50" i="47"/>
  <c r="P51" i="47"/>
  <c r="Q51" i="47"/>
  <c r="R51" i="47"/>
  <c r="S51" i="47"/>
  <c r="T51" i="47"/>
  <c r="U51" i="47"/>
  <c r="V51" i="47"/>
  <c r="W51" i="47"/>
  <c r="P52" i="47"/>
  <c r="Q52" i="47"/>
  <c r="R52" i="47"/>
  <c r="S52" i="47"/>
  <c r="T52" i="47"/>
  <c r="U52" i="47"/>
  <c r="V52" i="47"/>
  <c r="W52" i="47"/>
  <c r="P53" i="47"/>
  <c r="Q53" i="47"/>
  <c r="R53" i="47"/>
  <c r="S53" i="47"/>
  <c r="T53" i="47"/>
  <c r="U53" i="47"/>
  <c r="V53" i="47"/>
  <c r="W53" i="47"/>
  <c r="P54" i="47"/>
  <c r="Q54" i="47"/>
  <c r="R54" i="47"/>
  <c r="S54" i="47"/>
  <c r="T54" i="47"/>
  <c r="U54" i="47"/>
  <c r="V54" i="47"/>
  <c r="W54" i="47"/>
  <c r="P55" i="47"/>
  <c r="Q55" i="47"/>
  <c r="R55" i="47"/>
  <c r="S55" i="47"/>
  <c r="T55" i="47"/>
  <c r="U55" i="47"/>
  <c r="V55" i="47"/>
  <c r="W55" i="47"/>
  <c r="P56" i="47"/>
  <c r="Q56" i="47"/>
  <c r="R56" i="47"/>
  <c r="S56" i="47"/>
  <c r="T56" i="47"/>
  <c r="U56" i="47"/>
  <c r="V56" i="47"/>
  <c r="W56" i="47"/>
  <c r="P57" i="47"/>
  <c r="Q57" i="47"/>
  <c r="R57" i="47"/>
  <c r="S57" i="47"/>
  <c r="T57" i="47"/>
  <c r="U57" i="47"/>
  <c r="V57" i="47"/>
  <c r="W57" i="47"/>
  <c r="P58" i="47"/>
  <c r="Q58" i="47"/>
  <c r="R58" i="47"/>
  <c r="S58" i="47"/>
  <c r="T58" i="47"/>
  <c r="U58" i="47"/>
  <c r="V58" i="47"/>
  <c r="W58" i="47"/>
  <c r="P59" i="47"/>
  <c r="Q59" i="47"/>
  <c r="R59" i="47"/>
  <c r="S59" i="47"/>
  <c r="T59" i="47"/>
  <c r="U59" i="47"/>
  <c r="V59" i="47"/>
  <c r="W59" i="47"/>
  <c r="P60" i="47"/>
  <c r="Q60" i="47"/>
  <c r="R60" i="47"/>
  <c r="S60" i="47"/>
  <c r="T60" i="47"/>
  <c r="U60" i="47"/>
  <c r="V60" i="47"/>
  <c r="W60" i="47"/>
  <c r="P61" i="47"/>
  <c r="Q61" i="47"/>
  <c r="R61" i="47"/>
  <c r="S61" i="47"/>
  <c r="T61" i="47"/>
  <c r="U61" i="47"/>
  <c r="V61" i="47"/>
  <c r="W61" i="47"/>
  <c r="P62" i="47"/>
  <c r="Q62" i="47"/>
  <c r="R62" i="47"/>
  <c r="S62" i="47"/>
  <c r="T62" i="47"/>
  <c r="U62" i="47"/>
  <c r="V62" i="47"/>
  <c r="W62" i="47"/>
  <c r="P63" i="47"/>
  <c r="Q63" i="47"/>
  <c r="R63" i="47"/>
  <c r="S63" i="47"/>
  <c r="T63" i="47"/>
  <c r="U63" i="47"/>
  <c r="V63" i="47"/>
  <c r="W63" i="47"/>
  <c r="P64" i="47"/>
  <c r="Q64" i="47"/>
  <c r="R64" i="47"/>
  <c r="S64" i="47"/>
  <c r="T64" i="47"/>
  <c r="U64" i="47"/>
  <c r="V64" i="47"/>
  <c r="W64" i="47"/>
  <c r="P65" i="47"/>
  <c r="Q65" i="47"/>
  <c r="R65" i="47"/>
  <c r="S65" i="47"/>
  <c r="T65" i="47"/>
  <c r="U65" i="47"/>
  <c r="V65" i="47"/>
  <c r="W65" i="47"/>
  <c r="P66" i="47"/>
  <c r="Q66" i="47"/>
  <c r="R66" i="47"/>
  <c r="S66" i="47"/>
  <c r="T66" i="47"/>
  <c r="U66" i="47"/>
  <c r="V66" i="47"/>
  <c r="W66" i="47"/>
  <c r="P67" i="47"/>
  <c r="Q67" i="47"/>
  <c r="R67" i="47"/>
  <c r="S67" i="47"/>
  <c r="T67" i="47"/>
  <c r="U67" i="47"/>
  <c r="V67" i="47"/>
  <c r="W67" i="47"/>
  <c r="P68" i="47"/>
  <c r="Q68" i="47"/>
  <c r="R68" i="47"/>
  <c r="S68" i="47"/>
  <c r="T68" i="47"/>
  <c r="U68" i="47"/>
  <c r="V68" i="47"/>
  <c r="W68" i="47"/>
  <c r="P69" i="47"/>
  <c r="Q69" i="47"/>
  <c r="R69" i="47"/>
  <c r="S69" i="47"/>
  <c r="T69" i="47"/>
  <c r="U69" i="47"/>
  <c r="V69" i="47"/>
  <c r="W69" i="47"/>
  <c r="P70" i="47"/>
  <c r="Q70" i="47"/>
  <c r="R70" i="47"/>
  <c r="S70" i="47"/>
  <c r="T70" i="47"/>
  <c r="U70" i="47"/>
  <c r="V70" i="47"/>
  <c r="W70" i="47"/>
  <c r="P71" i="47"/>
  <c r="Q71" i="47"/>
  <c r="R71" i="47"/>
  <c r="S71" i="47"/>
  <c r="T71" i="47"/>
  <c r="U71" i="47"/>
  <c r="V71" i="47"/>
  <c r="W71" i="47"/>
  <c r="P72" i="47"/>
  <c r="Q72" i="47"/>
  <c r="R72" i="47"/>
  <c r="S72" i="47"/>
  <c r="T72" i="47"/>
  <c r="U72" i="47"/>
  <c r="V72" i="47"/>
  <c r="W72" i="47"/>
  <c r="P73" i="47"/>
  <c r="Q73" i="47"/>
  <c r="R73" i="47"/>
  <c r="S73" i="47"/>
  <c r="T73" i="47"/>
  <c r="U73" i="47"/>
  <c r="V73" i="47"/>
  <c r="W73" i="47"/>
  <c r="P74" i="47"/>
  <c r="Q74" i="47"/>
  <c r="R74" i="47"/>
  <c r="S74" i="47"/>
  <c r="T74" i="47"/>
  <c r="U74" i="47"/>
  <c r="V74" i="47"/>
  <c r="W74" i="47"/>
  <c r="P75" i="47"/>
  <c r="Q75" i="47"/>
  <c r="R75" i="47"/>
  <c r="S75" i="47"/>
  <c r="T75" i="47"/>
  <c r="U75" i="47"/>
  <c r="V75" i="47"/>
  <c r="W75" i="47"/>
  <c r="P76" i="47"/>
  <c r="Q76" i="47"/>
  <c r="R76" i="47"/>
  <c r="S76" i="47"/>
  <c r="T76" i="47"/>
  <c r="U76" i="47"/>
  <c r="V76" i="47"/>
  <c r="W76" i="47"/>
  <c r="P77" i="47"/>
  <c r="Q77" i="47"/>
  <c r="R77" i="47"/>
  <c r="S77" i="47"/>
  <c r="T77" i="47"/>
  <c r="U77" i="47"/>
  <c r="V77" i="47"/>
  <c r="W77" i="47"/>
  <c r="P78" i="47"/>
  <c r="Q78" i="47"/>
  <c r="R78" i="47"/>
  <c r="S78" i="47"/>
  <c r="T78" i="47"/>
  <c r="U78" i="47"/>
  <c r="V78" i="47"/>
  <c r="W78" i="47"/>
  <c r="P79" i="47"/>
  <c r="Q79" i="47"/>
  <c r="R79" i="47"/>
  <c r="S79" i="47"/>
  <c r="T79" i="47"/>
  <c r="U79" i="47"/>
  <c r="V79" i="47"/>
  <c r="W79" i="47"/>
  <c r="P80" i="47"/>
  <c r="Q80" i="47"/>
  <c r="R80" i="47"/>
  <c r="S80" i="47"/>
  <c r="T80" i="47"/>
  <c r="U80" i="47"/>
  <c r="V80" i="47"/>
  <c r="W80" i="47"/>
  <c r="P81" i="47"/>
  <c r="Q81" i="47"/>
  <c r="R81" i="47"/>
  <c r="S81" i="47"/>
  <c r="T81" i="47"/>
  <c r="U81" i="47"/>
  <c r="V81" i="47"/>
  <c r="W81" i="47"/>
  <c r="P82" i="47"/>
  <c r="Q82" i="47"/>
  <c r="R82" i="47"/>
  <c r="S82" i="47"/>
  <c r="T82" i="47"/>
  <c r="U82" i="47"/>
  <c r="V82" i="47"/>
  <c r="W82" i="47"/>
  <c r="P83" i="47"/>
  <c r="Q83" i="47"/>
  <c r="R83" i="47"/>
  <c r="S83" i="47"/>
  <c r="T83" i="47"/>
  <c r="U83" i="47"/>
  <c r="V83" i="47"/>
  <c r="W83" i="47"/>
  <c r="P84" i="47"/>
  <c r="Q84" i="47"/>
  <c r="R84" i="47"/>
  <c r="S84" i="47"/>
  <c r="T84" i="47"/>
  <c r="U84" i="47"/>
  <c r="V84" i="47"/>
  <c r="W84" i="47"/>
  <c r="P85" i="47"/>
  <c r="Q85" i="47"/>
  <c r="R85" i="47"/>
  <c r="S85" i="47"/>
  <c r="T85" i="47"/>
  <c r="U85" i="47"/>
  <c r="V85" i="47"/>
  <c r="W85" i="47"/>
  <c r="P86" i="47"/>
  <c r="Q86" i="47"/>
  <c r="R86" i="47"/>
  <c r="S86" i="47"/>
  <c r="T86" i="47"/>
  <c r="U86" i="47"/>
  <c r="V86" i="47"/>
  <c r="W86" i="47"/>
  <c r="P87" i="47"/>
  <c r="Q87" i="47"/>
  <c r="R87" i="47"/>
  <c r="S87" i="47"/>
  <c r="T87" i="47"/>
  <c r="U87" i="47"/>
  <c r="V87" i="47"/>
  <c r="W87" i="47"/>
  <c r="P88" i="47"/>
  <c r="Q88" i="47"/>
  <c r="R88" i="47"/>
  <c r="S88" i="47"/>
  <c r="T88" i="47"/>
  <c r="U88" i="47"/>
  <c r="V88" i="47"/>
  <c r="W88" i="47"/>
  <c r="P89" i="47"/>
  <c r="Q89" i="47"/>
  <c r="R89" i="47"/>
  <c r="S89" i="47"/>
  <c r="T89" i="47"/>
  <c r="U89" i="47"/>
  <c r="V89" i="47"/>
  <c r="W89" i="47"/>
  <c r="P90" i="47"/>
  <c r="Q90" i="47"/>
  <c r="R90" i="47"/>
  <c r="S90" i="47"/>
  <c r="T90" i="47"/>
  <c r="U90" i="47"/>
  <c r="V90" i="47"/>
  <c r="W90" i="47"/>
  <c r="P91" i="47"/>
  <c r="Q91" i="47"/>
  <c r="R91" i="47"/>
  <c r="S91" i="47"/>
  <c r="T91" i="47"/>
  <c r="U91" i="47"/>
  <c r="V91" i="47"/>
  <c r="W91" i="47"/>
  <c r="P92" i="47"/>
  <c r="Q92" i="47"/>
  <c r="R92" i="47"/>
  <c r="S92" i="47"/>
  <c r="T92" i="47"/>
  <c r="U92" i="47"/>
  <c r="V92" i="47"/>
  <c r="W92" i="47"/>
  <c r="P93" i="47"/>
  <c r="Q93" i="47"/>
  <c r="R93" i="47"/>
  <c r="S93" i="47"/>
  <c r="T93" i="47"/>
  <c r="U93" i="47"/>
  <c r="V93" i="47"/>
  <c r="W93" i="47"/>
  <c r="P94" i="47"/>
  <c r="Q94" i="47"/>
  <c r="R94" i="47"/>
  <c r="S94" i="47"/>
  <c r="T94" i="47"/>
  <c r="U94" i="47"/>
  <c r="V94" i="47"/>
  <c r="W94" i="47"/>
  <c r="P95" i="47"/>
  <c r="Q95" i="47"/>
  <c r="R95" i="47"/>
  <c r="S95" i="47"/>
  <c r="T95" i="47"/>
  <c r="U95" i="47"/>
  <c r="V95" i="47"/>
  <c r="W95" i="47"/>
  <c r="P96" i="47"/>
  <c r="Q96" i="47"/>
  <c r="R96" i="47"/>
  <c r="S96" i="47"/>
  <c r="T96" i="47"/>
  <c r="U96" i="47"/>
  <c r="V96" i="47"/>
  <c r="W96" i="47"/>
  <c r="P97" i="47"/>
  <c r="Q97" i="47"/>
  <c r="R97" i="47"/>
  <c r="S97" i="47"/>
  <c r="T97" i="47"/>
  <c r="U97" i="47"/>
  <c r="V97" i="47"/>
  <c r="W97" i="47"/>
  <c r="P98" i="47"/>
  <c r="Q98" i="47"/>
  <c r="R98" i="47"/>
  <c r="S98" i="47"/>
  <c r="T98" i="47"/>
  <c r="U98" i="47"/>
  <c r="V98" i="47"/>
  <c r="W98" i="47"/>
  <c r="P99" i="47"/>
  <c r="Q99" i="47"/>
  <c r="R99" i="47"/>
  <c r="S99" i="47"/>
  <c r="T99" i="47"/>
  <c r="U99" i="47"/>
  <c r="V99" i="47"/>
  <c r="W99" i="47"/>
  <c r="P100" i="47"/>
  <c r="Q100" i="47"/>
  <c r="R100" i="47"/>
  <c r="S100" i="47"/>
  <c r="T100" i="47"/>
  <c r="U100" i="47"/>
  <c r="V100" i="47"/>
  <c r="W100" i="47"/>
  <c r="P101" i="47"/>
  <c r="Q101" i="47"/>
  <c r="R101" i="47"/>
  <c r="S101" i="47"/>
  <c r="T101" i="47"/>
  <c r="U101" i="47"/>
  <c r="V101" i="47"/>
  <c r="W101" i="47"/>
  <c r="P102" i="47"/>
  <c r="Q102" i="47"/>
  <c r="R102" i="47"/>
  <c r="S102" i="47"/>
  <c r="T102" i="47"/>
  <c r="U102" i="47"/>
  <c r="V102" i="47"/>
  <c r="W102" i="47"/>
  <c r="P103" i="47"/>
  <c r="Q103" i="47"/>
  <c r="R103" i="47"/>
  <c r="S103" i="47"/>
  <c r="T103" i="47"/>
  <c r="U103" i="47"/>
  <c r="V103" i="47"/>
  <c r="W103" i="47"/>
  <c r="P104" i="47"/>
  <c r="Q104" i="47"/>
  <c r="R104" i="47"/>
  <c r="S104" i="47"/>
  <c r="T104" i="47"/>
  <c r="U104" i="47"/>
  <c r="V104" i="47"/>
  <c r="W104" i="47"/>
  <c r="P105" i="47"/>
  <c r="Q105" i="47"/>
  <c r="R105" i="47"/>
  <c r="S105" i="47"/>
  <c r="T105" i="47"/>
  <c r="U105" i="47"/>
  <c r="V105" i="47"/>
  <c r="W105" i="47"/>
  <c r="P106" i="47"/>
  <c r="Q106" i="47"/>
  <c r="R106" i="47"/>
  <c r="S106" i="47"/>
  <c r="T106" i="47"/>
  <c r="U106" i="47"/>
  <c r="V106" i="47"/>
  <c r="W106" i="47"/>
  <c r="P107" i="47"/>
  <c r="Q107" i="47"/>
  <c r="R107" i="47"/>
  <c r="S107" i="47"/>
  <c r="T107" i="47"/>
  <c r="U107" i="47"/>
  <c r="V107" i="47"/>
  <c r="W107" i="47"/>
  <c r="P108" i="47"/>
  <c r="Q108" i="47"/>
  <c r="R108" i="47"/>
  <c r="S108" i="47"/>
  <c r="T108" i="47"/>
  <c r="U108" i="47"/>
  <c r="V108" i="47"/>
  <c r="W108" i="47"/>
  <c r="P109" i="47"/>
  <c r="Q109" i="47"/>
  <c r="R109" i="47"/>
  <c r="S109" i="47"/>
  <c r="T109" i="47"/>
  <c r="U109" i="47"/>
  <c r="V109" i="47"/>
  <c r="W109" i="47"/>
  <c r="P110" i="47"/>
  <c r="Q110" i="47"/>
  <c r="R110" i="47"/>
  <c r="S110" i="47"/>
  <c r="T110" i="47"/>
  <c r="U110" i="47"/>
  <c r="V110" i="47"/>
  <c r="W110" i="47"/>
  <c r="P111" i="47"/>
  <c r="Q111" i="47"/>
  <c r="R111" i="47"/>
  <c r="S111" i="47"/>
  <c r="T111" i="47"/>
  <c r="U111" i="47"/>
  <c r="V111" i="47"/>
  <c r="W111" i="47"/>
  <c r="P112" i="47"/>
  <c r="Q112" i="47"/>
  <c r="R112" i="47"/>
  <c r="S112" i="47"/>
  <c r="T112" i="47"/>
  <c r="U112" i="47"/>
  <c r="V112" i="47"/>
  <c r="W112" i="47"/>
  <c r="P113" i="47"/>
  <c r="Q113" i="47"/>
  <c r="R113" i="47"/>
  <c r="S113" i="47"/>
  <c r="T113" i="47"/>
  <c r="U113" i="47"/>
  <c r="V113" i="47"/>
  <c r="W113" i="47"/>
  <c r="P114" i="47"/>
  <c r="Q114" i="47"/>
  <c r="R114" i="47"/>
  <c r="S114" i="47"/>
  <c r="T114" i="47"/>
  <c r="U114" i="47"/>
  <c r="V114" i="47"/>
  <c r="W114" i="47"/>
  <c r="P115" i="47"/>
  <c r="Q115" i="47"/>
  <c r="R115" i="47"/>
  <c r="S115" i="47"/>
  <c r="T115" i="47"/>
  <c r="U115" i="47"/>
  <c r="V115" i="47"/>
  <c r="W115" i="47"/>
  <c r="P116" i="47"/>
  <c r="Q116" i="47"/>
  <c r="R116" i="47"/>
  <c r="S116" i="47"/>
  <c r="T116" i="47"/>
  <c r="U116" i="47"/>
  <c r="V116" i="47"/>
  <c r="W116" i="47"/>
  <c r="P117" i="47"/>
  <c r="Q117" i="47"/>
  <c r="R117" i="47"/>
  <c r="S117" i="47"/>
  <c r="T117" i="47"/>
  <c r="U117" i="47"/>
  <c r="V117" i="47"/>
  <c r="W117" i="47"/>
  <c r="P118" i="47"/>
  <c r="Q118" i="47"/>
  <c r="R118" i="47"/>
  <c r="S118" i="47"/>
  <c r="T118" i="47"/>
  <c r="U118" i="47"/>
  <c r="V118" i="47"/>
  <c r="W118" i="47"/>
  <c r="P119" i="47"/>
  <c r="Q119" i="47"/>
  <c r="R119" i="47"/>
  <c r="S119" i="47"/>
  <c r="T119" i="47"/>
  <c r="U119" i="47"/>
  <c r="V119" i="47"/>
  <c r="W119" i="47"/>
  <c r="P120" i="47"/>
  <c r="Q120" i="47"/>
  <c r="R120" i="47"/>
  <c r="S120" i="47"/>
  <c r="T120" i="47"/>
  <c r="U120" i="47"/>
  <c r="V120" i="47"/>
  <c r="W120" i="47"/>
  <c r="P121" i="47"/>
  <c r="Q121" i="47"/>
  <c r="R121" i="47"/>
  <c r="S121" i="47"/>
  <c r="T121" i="47"/>
  <c r="U121" i="47"/>
  <c r="V121" i="47"/>
  <c r="W121" i="47"/>
  <c r="P122" i="47"/>
  <c r="Q122" i="47"/>
  <c r="R122" i="47"/>
  <c r="S122" i="47"/>
  <c r="T122" i="47"/>
  <c r="U122" i="47"/>
  <c r="V122" i="47"/>
  <c r="W122" i="47"/>
  <c r="P123" i="47"/>
  <c r="Q123" i="47"/>
  <c r="R123" i="47"/>
  <c r="S123" i="47"/>
  <c r="T123" i="47"/>
  <c r="U123" i="47"/>
  <c r="V123" i="47"/>
  <c r="W123" i="47"/>
  <c r="P124" i="47"/>
  <c r="Q124" i="47"/>
  <c r="R124" i="47"/>
  <c r="S124" i="47"/>
  <c r="T124" i="47"/>
  <c r="U124" i="47"/>
  <c r="V124" i="47"/>
  <c r="W124" i="47"/>
  <c r="P125" i="47"/>
  <c r="Q125" i="47"/>
  <c r="R125" i="47"/>
  <c r="S125" i="47"/>
  <c r="T125" i="47"/>
  <c r="U125" i="47"/>
  <c r="V125" i="47"/>
  <c r="W125" i="47"/>
  <c r="P126" i="47"/>
  <c r="Q126" i="47"/>
  <c r="R126" i="47"/>
  <c r="S126" i="47"/>
  <c r="T126" i="47"/>
  <c r="U126" i="47"/>
  <c r="V126" i="47"/>
  <c r="W126" i="47"/>
  <c r="P127" i="47"/>
  <c r="Q127" i="47"/>
  <c r="R127" i="47"/>
  <c r="S127" i="47"/>
  <c r="T127" i="47"/>
  <c r="U127" i="47"/>
  <c r="V127" i="47"/>
  <c r="W127" i="47"/>
  <c r="P128" i="47"/>
  <c r="Q128" i="47"/>
  <c r="R128" i="47"/>
  <c r="S128" i="47"/>
  <c r="T128" i="47"/>
  <c r="U128" i="47"/>
  <c r="V128" i="47"/>
  <c r="W128" i="47"/>
  <c r="P129" i="47"/>
  <c r="Q129" i="47"/>
  <c r="R129" i="47"/>
  <c r="S129" i="47"/>
  <c r="T129" i="47"/>
  <c r="U129" i="47"/>
  <c r="V129" i="47"/>
  <c r="W129" i="47"/>
  <c r="P130" i="47"/>
  <c r="Q130" i="47"/>
  <c r="R130" i="47"/>
  <c r="S130" i="47"/>
  <c r="T130" i="47"/>
  <c r="U130" i="47"/>
  <c r="V130" i="47"/>
  <c r="W130" i="47"/>
  <c r="P131" i="47"/>
  <c r="Q131" i="47"/>
  <c r="R131" i="47"/>
  <c r="S131" i="47"/>
  <c r="T131" i="47"/>
  <c r="U131" i="47"/>
  <c r="V131" i="47"/>
  <c r="W131" i="47"/>
  <c r="P132" i="47"/>
  <c r="Q132" i="47"/>
  <c r="R132" i="47"/>
  <c r="S132" i="47"/>
  <c r="T132" i="47"/>
  <c r="U132" i="47"/>
  <c r="V132" i="47"/>
  <c r="W132" i="47"/>
  <c r="P133" i="47"/>
  <c r="Q133" i="47"/>
  <c r="R133" i="47"/>
  <c r="S133" i="47"/>
  <c r="T133" i="47"/>
  <c r="U133" i="47"/>
  <c r="V133" i="47"/>
  <c r="W133" i="47"/>
  <c r="P134" i="47"/>
  <c r="Q134" i="47"/>
  <c r="R134" i="47"/>
  <c r="S134" i="47"/>
  <c r="T134" i="47"/>
  <c r="U134" i="47"/>
  <c r="V134" i="47"/>
  <c r="W134" i="47"/>
  <c r="P135" i="47"/>
  <c r="Q135" i="47"/>
  <c r="R135" i="47"/>
  <c r="S135" i="47"/>
  <c r="T135" i="47"/>
  <c r="U135" i="47"/>
  <c r="V135" i="47"/>
  <c r="W135" i="47"/>
  <c r="P136" i="47"/>
  <c r="Q136" i="47"/>
  <c r="R136" i="47"/>
  <c r="S136" i="47"/>
  <c r="T136" i="47"/>
  <c r="U136" i="47"/>
  <c r="V136" i="47"/>
  <c r="W136" i="47"/>
  <c r="P137" i="47"/>
  <c r="Q137" i="47"/>
  <c r="R137" i="47"/>
  <c r="S137" i="47"/>
  <c r="T137" i="47"/>
  <c r="U137" i="47"/>
  <c r="V137" i="47"/>
  <c r="W137" i="47"/>
  <c r="P138" i="47"/>
  <c r="Q138" i="47"/>
  <c r="R138" i="47"/>
  <c r="S138" i="47"/>
  <c r="T138" i="47"/>
  <c r="U138" i="47"/>
  <c r="V138" i="47"/>
  <c r="W138" i="47"/>
  <c r="P139" i="47"/>
  <c r="Q139" i="47"/>
  <c r="R139" i="47"/>
  <c r="S139" i="47"/>
  <c r="T139" i="47"/>
  <c r="U139" i="47"/>
  <c r="V139" i="47"/>
  <c r="W139" i="47"/>
  <c r="P140" i="47"/>
  <c r="Q140" i="47"/>
  <c r="R140" i="47"/>
  <c r="S140" i="47"/>
  <c r="T140" i="47"/>
  <c r="U140" i="47"/>
  <c r="V140" i="47"/>
  <c r="W140" i="47"/>
  <c r="P141" i="47"/>
  <c r="Q141" i="47"/>
  <c r="R141" i="47"/>
  <c r="S141" i="47"/>
  <c r="T141" i="47"/>
  <c r="U141" i="47"/>
  <c r="V141" i="47"/>
  <c r="W141" i="47"/>
  <c r="P142" i="47"/>
  <c r="Q142" i="47"/>
  <c r="R142" i="47"/>
  <c r="S142" i="47"/>
  <c r="T142" i="47"/>
  <c r="U142" i="47"/>
  <c r="V142" i="47"/>
  <c r="W142" i="47"/>
  <c r="P143" i="47"/>
  <c r="Q143" i="47"/>
  <c r="R143" i="47"/>
  <c r="S143" i="47"/>
  <c r="T143" i="47"/>
  <c r="U143" i="47"/>
  <c r="V143" i="47"/>
  <c r="W143" i="47"/>
  <c r="P144" i="47"/>
  <c r="Q144" i="47"/>
  <c r="R144" i="47"/>
  <c r="S144" i="47"/>
  <c r="T144" i="47"/>
  <c r="U144" i="47"/>
  <c r="V144" i="47"/>
  <c r="W144" i="47"/>
  <c r="P145" i="47"/>
  <c r="Q145" i="47"/>
  <c r="R145" i="47"/>
  <c r="S145" i="47"/>
  <c r="T145" i="47"/>
  <c r="U145" i="47"/>
  <c r="V145" i="47"/>
  <c r="W145" i="47"/>
  <c r="P146" i="47"/>
  <c r="Q146" i="47"/>
  <c r="R146" i="47"/>
  <c r="S146" i="47"/>
  <c r="T146" i="47"/>
  <c r="U146" i="47"/>
  <c r="V146" i="47"/>
  <c r="W146" i="47"/>
  <c r="P147" i="47"/>
  <c r="Q147" i="47"/>
  <c r="R147" i="47"/>
  <c r="S147" i="47"/>
  <c r="T147" i="47"/>
  <c r="U147" i="47"/>
  <c r="V147" i="47"/>
  <c r="W147" i="47"/>
  <c r="P148" i="47"/>
  <c r="Q148" i="47"/>
  <c r="R148" i="47"/>
  <c r="S148" i="47"/>
  <c r="T148" i="47"/>
  <c r="U148" i="47"/>
  <c r="V148" i="47"/>
  <c r="W148" i="47"/>
  <c r="P149" i="47"/>
  <c r="Q149" i="47"/>
  <c r="R149" i="47"/>
  <c r="S149" i="47"/>
  <c r="T149" i="47"/>
  <c r="U149" i="47"/>
  <c r="V149" i="47"/>
  <c r="W149" i="47"/>
  <c r="P150" i="47"/>
  <c r="Q150" i="47"/>
  <c r="R150" i="47"/>
  <c r="S150" i="47"/>
  <c r="T150" i="47"/>
  <c r="U150" i="47"/>
  <c r="V150" i="47"/>
  <c r="W150" i="47"/>
  <c r="P151" i="47"/>
  <c r="Q151" i="47"/>
  <c r="R151" i="47"/>
  <c r="S151" i="47"/>
  <c r="T151" i="47"/>
  <c r="U151" i="47"/>
  <c r="V151" i="47"/>
  <c r="W151" i="47"/>
  <c r="P152" i="47"/>
  <c r="Q152" i="47"/>
  <c r="R152" i="47"/>
  <c r="S152" i="47"/>
  <c r="T152" i="47"/>
  <c r="U152" i="47"/>
  <c r="V152" i="47"/>
  <c r="W152" i="47"/>
  <c r="P153" i="47"/>
  <c r="Q153" i="47"/>
  <c r="R153" i="47"/>
  <c r="S153" i="47"/>
  <c r="T153" i="47"/>
  <c r="U153" i="47"/>
  <c r="V153" i="47"/>
  <c r="W153" i="47"/>
  <c r="P154" i="47"/>
  <c r="Q154" i="47"/>
  <c r="R154" i="47"/>
  <c r="S154" i="47"/>
  <c r="T154" i="47"/>
  <c r="U154" i="47"/>
  <c r="V154" i="47"/>
  <c r="W154" i="47"/>
  <c r="P155" i="47"/>
  <c r="Q155" i="47"/>
  <c r="R155" i="47"/>
  <c r="S155" i="47"/>
  <c r="T155" i="47"/>
  <c r="U155" i="47"/>
  <c r="V155" i="47"/>
  <c r="W155" i="47"/>
  <c r="P156" i="47"/>
  <c r="Q156" i="47"/>
  <c r="R156" i="47"/>
  <c r="S156" i="47"/>
  <c r="T156" i="47"/>
  <c r="U156" i="47"/>
  <c r="V156" i="47"/>
  <c r="W156" i="47"/>
  <c r="P157" i="47"/>
  <c r="Q157" i="47"/>
  <c r="R157" i="47"/>
  <c r="S157" i="47"/>
  <c r="T157" i="47"/>
  <c r="U157" i="47"/>
  <c r="V157" i="47"/>
  <c r="W157" i="47"/>
  <c r="P158" i="47"/>
  <c r="Q158" i="47"/>
  <c r="R158" i="47"/>
  <c r="S158" i="47"/>
  <c r="T158" i="47"/>
  <c r="U158" i="47"/>
  <c r="V158" i="47"/>
  <c r="W158" i="47"/>
  <c r="P159" i="47"/>
  <c r="Q159" i="47"/>
  <c r="R159" i="47"/>
  <c r="S159" i="47"/>
  <c r="T159" i="47"/>
  <c r="U159" i="47"/>
  <c r="V159" i="47"/>
  <c r="W159" i="47"/>
  <c r="P160" i="47"/>
  <c r="Q160" i="47"/>
  <c r="R160" i="47"/>
  <c r="S160" i="47"/>
  <c r="T160" i="47"/>
  <c r="U160" i="47"/>
  <c r="V160" i="47"/>
  <c r="W160" i="47"/>
  <c r="P161" i="47"/>
  <c r="Q161" i="47"/>
  <c r="R161" i="47"/>
  <c r="S161" i="47"/>
  <c r="T161" i="47"/>
  <c r="U161" i="47"/>
  <c r="V161" i="47"/>
  <c r="W161" i="47"/>
  <c r="P162" i="47"/>
  <c r="Q162" i="47"/>
  <c r="R162" i="47"/>
  <c r="S162" i="47"/>
  <c r="T162" i="47"/>
  <c r="U162" i="47"/>
  <c r="V162" i="47"/>
  <c r="W162" i="47"/>
  <c r="P163" i="47"/>
  <c r="Q163" i="47"/>
  <c r="R163" i="47"/>
  <c r="S163" i="47"/>
  <c r="T163" i="47"/>
  <c r="U163" i="47"/>
  <c r="V163" i="47"/>
  <c r="W163" i="47"/>
  <c r="P164" i="47"/>
  <c r="Q164" i="47"/>
  <c r="R164" i="47"/>
  <c r="S164" i="47"/>
  <c r="T164" i="47"/>
  <c r="U164" i="47"/>
  <c r="V164" i="47"/>
  <c r="W164" i="47"/>
  <c r="P165" i="47"/>
  <c r="Q165" i="47"/>
  <c r="R165" i="47"/>
  <c r="S165" i="47"/>
  <c r="T165" i="47"/>
  <c r="U165" i="47"/>
  <c r="V165" i="47"/>
  <c r="W165" i="47"/>
  <c r="P166" i="47"/>
  <c r="Q166" i="47"/>
  <c r="R166" i="47"/>
  <c r="S166" i="47"/>
  <c r="T166" i="47"/>
  <c r="U166" i="47"/>
  <c r="V166" i="47"/>
  <c r="W166" i="47"/>
  <c r="P167" i="47"/>
  <c r="Q167" i="47"/>
  <c r="R167" i="47"/>
  <c r="S167" i="47"/>
  <c r="T167" i="47"/>
  <c r="U167" i="47"/>
  <c r="V167" i="47"/>
  <c r="W167" i="47"/>
  <c r="P168" i="47"/>
  <c r="Q168" i="47"/>
  <c r="R168" i="47"/>
  <c r="S168" i="47"/>
  <c r="T168" i="47"/>
  <c r="U168" i="47"/>
  <c r="V168" i="47"/>
  <c r="W168" i="47"/>
  <c r="P169" i="47"/>
  <c r="Q169" i="47"/>
  <c r="R169" i="47"/>
  <c r="S169" i="47"/>
  <c r="T169" i="47"/>
  <c r="U169" i="47"/>
  <c r="V169" i="47"/>
  <c r="W169" i="47"/>
  <c r="P170" i="47"/>
  <c r="Q170" i="47"/>
  <c r="R170" i="47"/>
  <c r="S170" i="47"/>
  <c r="T170" i="47"/>
  <c r="U170" i="47"/>
  <c r="V170" i="47"/>
  <c r="W170" i="47"/>
  <c r="P171" i="47"/>
  <c r="Q171" i="47"/>
  <c r="R171" i="47"/>
  <c r="S171" i="47"/>
  <c r="T171" i="47"/>
  <c r="U171" i="47"/>
  <c r="V171" i="47"/>
  <c r="W171" i="47"/>
  <c r="P172" i="47"/>
  <c r="Q172" i="47"/>
  <c r="R172" i="47"/>
  <c r="S172" i="47"/>
  <c r="T172" i="47"/>
  <c r="U172" i="47"/>
  <c r="V172" i="47"/>
  <c r="W172" i="47"/>
  <c r="P173" i="47"/>
  <c r="Q173" i="47"/>
  <c r="R173" i="47"/>
  <c r="S173" i="47"/>
  <c r="T173" i="47"/>
  <c r="U173" i="47"/>
  <c r="V173" i="47"/>
  <c r="W173" i="47"/>
  <c r="P174" i="47"/>
  <c r="Q174" i="47"/>
  <c r="R174" i="47"/>
  <c r="S174" i="47"/>
  <c r="T174" i="47"/>
  <c r="U174" i="47"/>
  <c r="V174" i="47"/>
  <c r="W174" i="47"/>
  <c r="P175" i="47"/>
  <c r="Q175" i="47"/>
  <c r="R175" i="47"/>
  <c r="S175" i="47"/>
  <c r="T175" i="47"/>
  <c r="U175" i="47"/>
  <c r="V175" i="47"/>
  <c r="W175" i="47"/>
  <c r="P176" i="47"/>
  <c r="Q176" i="47"/>
  <c r="R176" i="47"/>
  <c r="S176" i="47"/>
  <c r="T176" i="47"/>
  <c r="U176" i="47"/>
  <c r="V176" i="47"/>
  <c r="W176" i="47"/>
  <c r="P177" i="47"/>
  <c r="Q177" i="47"/>
  <c r="R177" i="47"/>
  <c r="S177" i="47"/>
  <c r="T177" i="47"/>
  <c r="U177" i="47"/>
  <c r="V177" i="47"/>
  <c r="W177" i="47"/>
  <c r="P178" i="47"/>
  <c r="Q178" i="47"/>
  <c r="R178" i="47"/>
  <c r="S178" i="47"/>
  <c r="T178" i="47"/>
  <c r="U178" i="47"/>
  <c r="V178" i="47"/>
  <c r="W178" i="47"/>
  <c r="P179" i="47"/>
  <c r="Q179" i="47"/>
  <c r="R179" i="47"/>
  <c r="S179" i="47"/>
  <c r="T179" i="47"/>
  <c r="U179" i="47"/>
  <c r="V179" i="47"/>
  <c r="W179" i="47"/>
  <c r="P180" i="47"/>
  <c r="Q180" i="47"/>
  <c r="R180" i="47"/>
  <c r="S180" i="47"/>
  <c r="T180" i="47"/>
  <c r="U180" i="47"/>
  <c r="V180" i="47"/>
  <c r="W180" i="47"/>
  <c r="P181" i="47"/>
  <c r="Q181" i="47"/>
  <c r="R181" i="47"/>
  <c r="S181" i="47"/>
  <c r="T181" i="47"/>
  <c r="U181" i="47"/>
  <c r="V181" i="47"/>
  <c r="W181" i="47"/>
  <c r="P182" i="47"/>
  <c r="Q182" i="47"/>
  <c r="R182" i="47"/>
  <c r="S182" i="47"/>
  <c r="T182" i="47"/>
  <c r="U182" i="47"/>
  <c r="V182" i="47"/>
  <c r="W182" i="47"/>
  <c r="P183" i="47"/>
  <c r="Q183" i="47"/>
  <c r="R183" i="47"/>
  <c r="S183" i="47"/>
  <c r="T183" i="47"/>
  <c r="U183" i="47"/>
  <c r="V183" i="47"/>
  <c r="W183" i="47"/>
  <c r="P184" i="47"/>
  <c r="Q184" i="47"/>
  <c r="R184" i="47"/>
  <c r="S184" i="47"/>
  <c r="T184" i="47"/>
  <c r="U184" i="47"/>
  <c r="V184" i="47"/>
  <c r="W184" i="47"/>
  <c r="P185" i="47"/>
  <c r="Q185" i="47"/>
  <c r="R185" i="47"/>
  <c r="S185" i="47"/>
  <c r="T185" i="47"/>
  <c r="U185" i="47"/>
  <c r="V185" i="47"/>
  <c r="W185" i="47"/>
  <c r="P186" i="47"/>
  <c r="Q186" i="47"/>
  <c r="R186" i="47"/>
  <c r="S186" i="47"/>
  <c r="T186" i="47"/>
  <c r="U186" i="47"/>
  <c r="V186" i="47"/>
  <c r="W186" i="47"/>
  <c r="P187" i="47"/>
  <c r="Q187" i="47"/>
  <c r="R187" i="47"/>
  <c r="S187" i="47"/>
  <c r="T187" i="47"/>
  <c r="U187" i="47"/>
  <c r="V187" i="47"/>
  <c r="W187" i="47"/>
  <c r="P188" i="47"/>
  <c r="Q188" i="47"/>
  <c r="R188" i="47"/>
  <c r="S188" i="47"/>
  <c r="T188" i="47"/>
  <c r="U188" i="47"/>
  <c r="V188" i="47"/>
  <c r="W188" i="47"/>
  <c r="P189" i="47"/>
  <c r="Q189" i="47"/>
  <c r="R189" i="47"/>
  <c r="S189" i="47"/>
  <c r="T189" i="47"/>
  <c r="U189" i="47"/>
  <c r="V189" i="47"/>
  <c r="W189" i="47"/>
  <c r="P190" i="47"/>
  <c r="Q190" i="47"/>
  <c r="R190" i="47"/>
  <c r="S190" i="47"/>
  <c r="T190" i="47"/>
  <c r="U190" i="47"/>
  <c r="V190" i="47"/>
  <c r="W190" i="47"/>
  <c r="P191" i="47"/>
  <c r="Q191" i="47"/>
  <c r="R191" i="47"/>
  <c r="S191" i="47"/>
  <c r="T191" i="47"/>
  <c r="U191" i="47"/>
  <c r="V191" i="47"/>
  <c r="W191" i="47"/>
  <c r="P192" i="47"/>
  <c r="Q192" i="47"/>
  <c r="R192" i="47"/>
  <c r="S192" i="47"/>
  <c r="T192" i="47"/>
  <c r="U192" i="47"/>
  <c r="V192" i="47"/>
  <c r="W192" i="47"/>
  <c r="P193" i="47"/>
  <c r="Q193" i="47"/>
  <c r="R193" i="47"/>
  <c r="S193" i="47"/>
  <c r="T193" i="47"/>
  <c r="U193" i="47"/>
  <c r="V193" i="47"/>
  <c r="W193" i="47"/>
  <c r="P194" i="47"/>
  <c r="Q194" i="47"/>
  <c r="R194" i="47"/>
  <c r="S194" i="47"/>
  <c r="T194" i="47"/>
  <c r="U194" i="47"/>
  <c r="V194" i="47"/>
  <c r="W194" i="47"/>
  <c r="P195" i="47"/>
  <c r="Q195" i="47"/>
  <c r="R195" i="47"/>
  <c r="S195" i="47"/>
  <c r="T195" i="47"/>
  <c r="U195" i="47"/>
  <c r="V195" i="47"/>
  <c r="W195" i="47"/>
  <c r="P196" i="47"/>
  <c r="Q196" i="47"/>
  <c r="R196" i="47"/>
  <c r="S196" i="47"/>
  <c r="T196" i="47"/>
  <c r="U196" i="47"/>
  <c r="V196" i="47"/>
  <c r="W196" i="47"/>
  <c r="P197" i="47"/>
  <c r="Q197" i="47"/>
  <c r="R197" i="47"/>
  <c r="S197" i="47"/>
  <c r="T197" i="47"/>
  <c r="U197" i="47"/>
  <c r="V197" i="47"/>
  <c r="W197" i="47"/>
  <c r="P198" i="47"/>
  <c r="Q198" i="47"/>
  <c r="R198" i="47"/>
  <c r="S198" i="47"/>
  <c r="T198" i="47"/>
  <c r="U198" i="47"/>
  <c r="V198" i="47"/>
  <c r="W198" i="47"/>
  <c r="P199" i="47"/>
  <c r="Q199" i="47"/>
  <c r="R199" i="47"/>
  <c r="S199" i="47"/>
  <c r="T199" i="47"/>
  <c r="U199" i="47"/>
  <c r="V199" i="47"/>
  <c r="W199" i="47"/>
  <c r="P200" i="47"/>
  <c r="Q200" i="47"/>
  <c r="R200" i="47"/>
  <c r="S200" i="47"/>
  <c r="T200" i="47"/>
  <c r="U200" i="47"/>
  <c r="V200" i="47"/>
  <c r="W200" i="47"/>
  <c r="P201" i="47"/>
  <c r="Q201" i="47"/>
  <c r="R201" i="47"/>
  <c r="S201" i="47"/>
  <c r="T201" i="47"/>
  <c r="U201" i="47"/>
  <c r="V201" i="47"/>
  <c r="W201" i="47"/>
  <c r="P202" i="47"/>
  <c r="Q202" i="47"/>
  <c r="R202" i="47"/>
  <c r="S202" i="47"/>
  <c r="T202" i="47"/>
  <c r="U202" i="47"/>
  <c r="V202" i="47"/>
  <c r="W202" i="47"/>
  <c r="P203" i="47"/>
  <c r="Q203" i="47"/>
  <c r="R203" i="47"/>
  <c r="S203" i="47"/>
  <c r="T203" i="47"/>
  <c r="U203" i="47"/>
  <c r="V203" i="47"/>
  <c r="W203" i="47"/>
  <c r="P204" i="47"/>
  <c r="Q204" i="47"/>
  <c r="R204" i="47"/>
  <c r="S204" i="47"/>
  <c r="T204" i="47"/>
  <c r="U204" i="47"/>
  <c r="V204" i="47"/>
  <c r="W204" i="47"/>
  <c r="P205" i="47"/>
  <c r="Q205" i="47"/>
  <c r="R205" i="47"/>
  <c r="S205" i="47"/>
  <c r="T205" i="47"/>
  <c r="U205" i="47"/>
  <c r="V205" i="47"/>
  <c r="W205" i="47"/>
  <c r="P206" i="47"/>
  <c r="Q206" i="47"/>
  <c r="R206" i="47"/>
  <c r="S206" i="47"/>
  <c r="T206" i="47"/>
  <c r="U206" i="47"/>
  <c r="V206" i="47"/>
  <c r="W206" i="47"/>
  <c r="P207" i="47"/>
  <c r="Q207" i="47"/>
  <c r="R207" i="47"/>
  <c r="S207" i="47"/>
  <c r="T207" i="47"/>
  <c r="U207" i="47"/>
  <c r="V207" i="47"/>
  <c r="W207" i="47"/>
  <c r="P208" i="47"/>
  <c r="Q208" i="47"/>
  <c r="R208" i="47"/>
  <c r="S208" i="47"/>
  <c r="T208" i="47"/>
  <c r="U208" i="47"/>
  <c r="V208" i="47"/>
  <c r="W208" i="47"/>
  <c r="P209" i="47"/>
  <c r="Q209" i="47"/>
  <c r="R209" i="47"/>
  <c r="S209" i="47"/>
  <c r="T209" i="47"/>
  <c r="U209" i="47"/>
  <c r="V209" i="47"/>
  <c r="W209" i="47"/>
  <c r="P210" i="47"/>
  <c r="Q210" i="47"/>
  <c r="R210" i="47"/>
  <c r="S210" i="47"/>
  <c r="T210" i="47"/>
  <c r="U210" i="47"/>
  <c r="V210" i="47"/>
  <c r="W210" i="47"/>
  <c r="P211" i="47"/>
  <c r="Q211" i="47"/>
  <c r="R211" i="47"/>
  <c r="S211" i="47"/>
  <c r="T211" i="47"/>
  <c r="U211" i="47"/>
  <c r="V211" i="47"/>
  <c r="W211" i="47"/>
  <c r="P212" i="47"/>
  <c r="Q212" i="47"/>
  <c r="R212" i="47"/>
  <c r="S212" i="47"/>
  <c r="T212" i="47"/>
  <c r="U212" i="47"/>
  <c r="V212" i="47"/>
  <c r="W212" i="47"/>
  <c r="P213" i="47"/>
  <c r="Q213" i="47"/>
  <c r="R213" i="47"/>
  <c r="S213" i="47"/>
  <c r="T213" i="47"/>
  <c r="U213" i="47"/>
  <c r="V213" i="47"/>
  <c r="W213" i="47"/>
  <c r="P214" i="47"/>
  <c r="Q214" i="47"/>
  <c r="R214" i="47"/>
  <c r="S214" i="47"/>
  <c r="T214" i="47"/>
  <c r="U214" i="47"/>
  <c r="V214" i="47"/>
  <c r="W214" i="47"/>
  <c r="P215" i="47"/>
  <c r="Q215" i="47"/>
  <c r="R215" i="47"/>
  <c r="S215" i="47"/>
  <c r="T215" i="47"/>
  <c r="U215" i="47"/>
  <c r="V215" i="47"/>
  <c r="W215" i="47"/>
  <c r="P216" i="47"/>
  <c r="Q216" i="47"/>
  <c r="R216" i="47"/>
  <c r="S216" i="47"/>
  <c r="T216" i="47"/>
  <c r="U216" i="47"/>
  <c r="V216" i="47"/>
  <c r="W216" i="47"/>
  <c r="P217" i="47"/>
  <c r="Q217" i="47"/>
  <c r="R217" i="47"/>
  <c r="S217" i="47"/>
  <c r="T217" i="47"/>
  <c r="U217" i="47"/>
  <c r="V217" i="47"/>
  <c r="W217" i="47"/>
  <c r="P218" i="47"/>
  <c r="Q218" i="47"/>
  <c r="R218" i="47"/>
  <c r="S218" i="47"/>
  <c r="T218" i="47"/>
  <c r="U218" i="47"/>
  <c r="V218" i="47"/>
  <c r="W218" i="47"/>
  <c r="P219" i="47"/>
  <c r="Q219" i="47"/>
  <c r="R219" i="47"/>
  <c r="S219" i="47"/>
  <c r="T219" i="47"/>
  <c r="U219" i="47"/>
  <c r="V219" i="47"/>
  <c r="W219" i="47"/>
  <c r="P220" i="47"/>
  <c r="Q220" i="47"/>
  <c r="R220" i="47"/>
  <c r="S220" i="47"/>
  <c r="T220" i="47"/>
  <c r="U220" i="47"/>
  <c r="V220" i="47"/>
  <c r="W220" i="47"/>
  <c r="P221" i="47"/>
  <c r="Q221" i="47"/>
  <c r="R221" i="47"/>
  <c r="S221" i="47"/>
  <c r="T221" i="47"/>
  <c r="U221" i="47"/>
  <c r="V221" i="47"/>
  <c r="W221" i="47"/>
  <c r="P222" i="47"/>
  <c r="Q222" i="47"/>
  <c r="R222" i="47"/>
  <c r="S222" i="47"/>
  <c r="T222" i="47"/>
  <c r="U222" i="47"/>
  <c r="V222" i="47"/>
  <c r="W222" i="47"/>
  <c r="P223" i="47"/>
  <c r="Q223" i="47"/>
  <c r="R223" i="47"/>
  <c r="S223" i="47"/>
  <c r="T223" i="47"/>
  <c r="U223" i="47"/>
  <c r="V223" i="47"/>
  <c r="W223" i="47"/>
  <c r="P224" i="47"/>
  <c r="Q224" i="47"/>
  <c r="R224" i="47"/>
  <c r="S224" i="47"/>
  <c r="T224" i="47"/>
  <c r="U224" i="47"/>
  <c r="V224" i="47"/>
  <c r="W224" i="47"/>
  <c r="P225" i="47"/>
  <c r="Q225" i="47"/>
  <c r="R225" i="47"/>
  <c r="S225" i="47"/>
  <c r="T225" i="47"/>
  <c r="U225" i="47"/>
  <c r="V225" i="47"/>
  <c r="W225" i="47"/>
  <c r="P226" i="47"/>
  <c r="Q226" i="47"/>
  <c r="R226" i="47"/>
  <c r="S226" i="47"/>
  <c r="T226" i="47"/>
  <c r="U226" i="47"/>
  <c r="V226" i="47"/>
  <c r="W226" i="47"/>
  <c r="P227" i="47"/>
  <c r="Q227" i="47"/>
  <c r="R227" i="47"/>
  <c r="S227" i="47"/>
  <c r="T227" i="47"/>
  <c r="U227" i="47"/>
  <c r="V227" i="47"/>
  <c r="W227" i="47"/>
  <c r="P228" i="47"/>
  <c r="Q228" i="47"/>
  <c r="R228" i="47"/>
  <c r="S228" i="47"/>
  <c r="T228" i="47"/>
  <c r="U228" i="47"/>
  <c r="V228" i="47"/>
  <c r="W228" i="47"/>
  <c r="P229" i="47"/>
  <c r="Q229" i="47"/>
  <c r="R229" i="47"/>
  <c r="S229" i="47"/>
  <c r="T229" i="47"/>
  <c r="U229" i="47"/>
  <c r="V229" i="47"/>
  <c r="W229" i="47"/>
  <c r="P230" i="47"/>
  <c r="Q230" i="47"/>
  <c r="R230" i="47"/>
  <c r="S230" i="47"/>
  <c r="T230" i="47"/>
  <c r="U230" i="47"/>
  <c r="V230" i="47"/>
  <c r="W230" i="47"/>
  <c r="P231" i="47"/>
  <c r="Q231" i="47"/>
  <c r="R231" i="47"/>
  <c r="S231" i="47"/>
  <c r="T231" i="47"/>
  <c r="U231" i="47"/>
  <c r="V231" i="47"/>
  <c r="W231" i="47"/>
  <c r="P232" i="47"/>
  <c r="Q232" i="47"/>
  <c r="R232" i="47"/>
  <c r="S232" i="47"/>
  <c r="T232" i="47"/>
  <c r="U232" i="47"/>
  <c r="V232" i="47"/>
  <c r="W232" i="47"/>
  <c r="P233" i="47"/>
  <c r="Q233" i="47"/>
  <c r="R233" i="47"/>
  <c r="S233" i="47"/>
  <c r="T233" i="47"/>
  <c r="U233" i="47"/>
  <c r="V233" i="47"/>
  <c r="W233" i="47"/>
  <c r="P234" i="47"/>
  <c r="Q234" i="47"/>
  <c r="R234" i="47"/>
  <c r="S234" i="47"/>
  <c r="T234" i="47"/>
  <c r="U234" i="47"/>
  <c r="V234" i="47"/>
  <c r="W234" i="47"/>
  <c r="P235" i="47"/>
  <c r="Q235" i="47"/>
  <c r="R235" i="47"/>
  <c r="S235" i="47"/>
  <c r="T235" i="47"/>
  <c r="U235" i="47"/>
  <c r="V235" i="47"/>
  <c r="W235" i="47"/>
  <c r="P236" i="47"/>
  <c r="Q236" i="47"/>
  <c r="R236" i="47"/>
  <c r="S236" i="47"/>
  <c r="T236" i="47"/>
  <c r="U236" i="47"/>
  <c r="V236" i="47"/>
  <c r="W236" i="47"/>
  <c r="P237" i="47"/>
  <c r="Q237" i="47"/>
  <c r="R237" i="47"/>
  <c r="S237" i="47"/>
  <c r="T237" i="47"/>
  <c r="U237" i="47"/>
  <c r="V237" i="47"/>
  <c r="W237" i="47"/>
  <c r="P238" i="47"/>
  <c r="Q238" i="47"/>
  <c r="R238" i="47"/>
  <c r="S238" i="47"/>
  <c r="T238" i="47"/>
  <c r="U238" i="47"/>
  <c r="V238" i="47"/>
  <c r="W238" i="47"/>
  <c r="P239" i="47"/>
  <c r="Q239" i="47"/>
  <c r="R239" i="47"/>
  <c r="S239" i="47"/>
  <c r="T239" i="47"/>
  <c r="U239" i="47"/>
  <c r="V239" i="47"/>
  <c r="W239" i="47"/>
  <c r="P240" i="47"/>
  <c r="Q240" i="47"/>
  <c r="R240" i="47"/>
  <c r="S240" i="47"/>
  <c r="T240" i="47"/>
  <c r="U240" i="47"/>
  <c r="V240" i="47"/>
  <c r="W240" i="47"/>
  <c r="P241" i="47"/>
  <c r="Q241" i="47"/>
  <c r="R241" i="47"/>
  <c r="S241" i="47"/>
  <c r="T241" i="47"/>
  <c r="U241" i="47"/>
  <c r="V241" i="47"/>
  <c r="W241" i="47"/>
  <c r="P242" i="47"/>
  <c r="Q242" i="47"/>
  <c r="R242" i="47"/>
  <c r="S242" i="47"/>
  <c r="T242" i="47"/>
  <c r="U242" i="47"/>
  <c r="V242" i="47"/>
  <c r="W242" i="47"/>
  <c r="P243" i="47"/>
  <c r="Q243" i="47"/>
  <c r="R243" i="47"/>
  <c r="S243" i="47"/>
  <c r="T243" i="47"/>
  <c r="U243" i="47"/>
  <c r="V243" i="47"/>
  <c r="W243" i="47"/>
  <c r="P244" i="47"/>
  <c r="Q244" i="47"/>
  <c r="R244" i="47"/>
  <c r="S244" i="47"/>
  <c r="T244" i="47"/>
  <c r="U244" i="47"/>
  <c r="V244" i="47"/>
  <c r="W244" i="47"/>
  <c r="P245" i="47"/>
  <c r="Q245" i="47"/>
  <c r="R245" i="47"/>
  <c r="S245" i="47"/>
  <c r="T245" i="47"/>
  <c r="U245" i="47"/>
  <c r="V245" i="47"/>
  <c r="W245" i="47"/>
  <c r="P246" i="47"/>
  <c r="Q246" i="47"/>
  <c r="R246" i="47"/>
  <c r="S246" i="47"/>
  <c r="T246" i="47"/>
  <c r="U246" i="47"/>
  <c r="V246" i="47"/>
  <c r="W246" i="47"/>
  <c r="P247" i="47"/>
  <c r="Q247" i="47"/>
  <c r="R247" i="47"/>
  <c r="S247" i="47"/>
  <c r="T247" i="47"/>
  <c r="U247" i="47"/>
  <c r="V247" i="47"/>
  <c r="W247" i="47"/>
  <c r="P248" i="47"/>
  <c r="AA19" i="1" s="1"/>
  <c r="Q248" i="47"/>
  <c r="AB19" i="1" s="1"/>
  <c r="R248" i="47"/>
  <c r="AC19" i="1" s="1"/>
  <c r="S248" i="47"/>
  <c r="AD19" i="1" s="1"/>
  <c r="T248" i="47"/>
  <c r="AE19" i="1" s="1"/>
  <c r="U248" i="47"/>
  <c r="AF19" i="1" s="1"/>
  <c r="V248" i="47"/>
  <c r="AG19" i="1" s="1"/>
  <c r="W248" i="47"/>
  <c r="AH19" i="1" s="1"/>
  <c r="P249" i="47"/>
  <c r="Q249" i="47"/>
  <c r="R249" i="47"/>
  <c r="S249" i="47"/>
  <c r="T249" i="47"/>
  <c r="U249" i="47"/>
  <c r="V249" i="47"/>
  <c r="W249" i="47"/>
  <c r="P250" i="47"/>
  <c r="Q250" i="47"/>
  <c r="R250" i="47"/>
  <c r="S250" i="47"/>
  <c r="T250" i="47"/>
  <c r="U250" i="47"/>
  <c r="V250" i="47"/>
  <c r="W250" i="47"/>
  <c r="P251" i="47"/>
  <c r="Q251" i="47"/>
  <c r="R251" i="47"/>
  <c r="S251" i="47"/>
  <c r="T251" i="47"/>
  <c r="U251" i="47"/>
  <c r="V251" i="47"/>
  <c r="W251" i="47"/>
  <c r="P252" i="47"/>
  <c r="Q252" i="47"/>
  <c r="R252" i="47"/>
  <c r="S252" i="47"/>
  <c r="T252" i="47"/>
  <c r="U252" i="47"/>
  <c r="V252" i="47"/>
  <c r="W252" i="47"/>
  <c r="P253" i="47"/>
  <c r="Q253" i="47"/>
  <c r="R253" i="47"/>
  <c r="S253" i="47"/>
  <c r="T253" i="47"/>
  <c r="U253" i="47"/>
  <c r="V253" i="47"/>
  <c r="W253" i="47"/>
  <c r="P254" i="47"/>
  <c r="Q254" i="47"/>
  <c r="R254" i="47"/>
  <c r="S254" i="47"/>
  <c r="T254" i="47"/>
  <c r="U254" i="47"/>
  <c r="V254" i="47"/>
  <c r="W254" i="47"/>
  <c r="P255" i="47"/>
  <c r="Q255" i="47"/>
  <c r="R255" i="47"/>
  <c r="S255" i="47"/>
  <c r="T255" i="47"/>
  <c r="U255" i="47"/>
  <c r="V255" i="47"/>
  <c r="W255" i="47"/>
  <c r="P256" i="47"/>
  <c r="Q256" i="47"/>
  <c r="R256" i="47"/>
  <c r="S256" i="47"/>
  <c r="T256" i="47"/>
  <c r="U256" i="47"/>
  <c r="V256" i="47"/>
  <c r="W256" i="47"/>
  <c r="P257" i="47"/>
  <c r="Q257" i="47"/>
  <c r="R257" i="47"/>
  <c r="S257" i="47"/>
  <c r="T257" i="47"/>
  <c r="U257" i="47"/>
  <c r="V257" i="47"/>
  <c r="W257" i="47"/>
  <c r="P258" i="47"/>
  <c r="Q258" i="47"/>
  <c r="R258" i="47"/>
  <c r="S258" i="47"/>
  <c r="T258" i="47"/>
  <c r="U258" i="47"/>
  <c r="V258" i="47"/>
  <c r="W258" i="47"/>
  <c r="P259" i="47"/>
  <c r="Q259" i="47"/>
  <c r="R259" i="47"/>
  <c r="S259" i="47"/>
  <c r="T259" i="47"/>
  <c r="U259" i="47"/>
  <c r="V259" i="47"/>
  <c r="W259" i="47"/>
  <c r="P260" i="47"/>
  <c r="Q260" i="47"/>
  <c r="R260" i="47"/>
  <c r="S260" i="47"/>
  <c r="T260" i="47"/>
  <c r="U260" i="47"/>
  <c r="V260" i="47"/>
  <c r="W260" i="47"/>
  <c r="P261" i="47"/>
  <c r="Q261" i="47"/>
  <c r="R261" i="47"/>
  <c r="S261" i="47"/>
  <c r="T261" i="47"/>
  <c r="U261" i="47"/>
  <c r="V261" i="47"/>
  <c r="W261" i="47"/>
  <c r="P262" i="47"/>
  <c r="Q262" i="47"/>
  <c r="R262" i="47"/>
  <c r="S262" i="47"/>
  <c r="T262" i="47"/>
  <c r="U262" i="47"/>
  <c r="V262" i="47"/>
  <c r="W262" i="47"/>
  <c r="P263" i="47"/>
  <c r="Q263" i="47"/>
  <c r="R263" i="47"/>
  <c r="S263" i="47"/>
  <c r="T263" i="47"/>
  <c r="U263" i="47"/>
  <c r="V263" i="47"/>
  <c r="W263" i="47"/>
  <c r="P264" i="47"/>
  <c r="Q264" i="47"/>
  <c r="R264" i="47"/>
  <c r="S264" i="47"/>
  <c r="T264" i="47"/>
  <c r="U264" i="47"/>
  <c r="V264" i="47"/>
  <c r="W264" i="47"/>
  <c r="P265" i="47"/>
  <c r="Q265" i="47"/>
  <c r="R265" i="47"/>
  <c r="S265" i="47"/>
  <c r="T265" i="47"/>
  <c r="U265" i="47"/>
  <c r="V265" i="47"/>
  <c r="W265" i="47"/>
  <c r="P266" i="47"/>
  <c r="Q266" i="47"/>
  <c r="R266" i="47"/>
  <c r="S266" i="47"/>
  <c r="T266" i="47"/>
  <c r="U266" i="47"/>
  <c r="V266" i="47"/>
  <c r="W266" i="47"/>
  <c r="P267" i="47"/>
  <c r="Q267" i="47"/>
  <c r="R267" i="47"/>
  <c r="S267" i="47"/>
  <c r="T267" i="47"/>
  <c r="U267" i="47"/>
  <c r="V267" i="47"/>
  <c r="W267" i="47"/>
  <c r="P268" i="47"/>
  <c r="Q268" i="47"/>
  <c r="R268" i="47"/>
  <c r="S268" i="47"/>
  <c r="T268" i="47"/>
  <c r="U268" i="47"/>
  <c r="V268" i="47"/>
  <c r="W268" i="47"/>
  <c r="P269" i="47"/>
  <c r="Q269" i="47"/>
  <c r="R269" i="47"/>
  <c r="S269" i="47"/>
  <c r="T269" i="47"/>
  <c r="U269" i="47"/>
  <c r="V269" i="47"/>
  <c r="W269" i="47"/>
  <c r="P270" i="47"/>
  <c r="Q270" i="47"/>
  <c r="R270" i="47"/>
  <c r="S270" i="47"/>
  <c r="T270" i="47"/>
  <c r="U270" i="47"/>
  <c r="V270" i="47"/>
  <c r="W270" i="47"/>
  <c r="P271" i="47"/>
  <c r="Q271" i="47"/>
  <c r="R271" i="47"/>
  <c r="S271" i="47"/>
  <c r="T271" i="47"/>
  <c r="U271" i="47"/>
  <c r="V271" i="47"/>
  <c r="W271" i="47"/>
  <c r="P272" i="47"/>
  <c r="Q272" i="47"/>
  <c r="R272" i="47"/>
  <c r="S272" i="47"/>
  <c r="T272" i="47"/>
  <c r="U272" i="47"/>
  <c r="V272" i="47"/>
  <c r="W272" i="47"/>
  <c r="P273" i="47"/>
  <c r="Q273" i="47"/>
  <c r="R273" i="47"/>
  <c r="S273" i="47"/>
  <c r="T273" i="47"/>
  <c r="U273" i="47"/>
  <c r="V273" i="47"/>
  <c r="W273" i="47"/>
  <c r="P274" i="47"/>
  <c r="Q274" i="47"/>
  <c r="R274" i="47"/>
  <c r="S274" i="47"/>
  <c r="T274" i="47"/>
  <c r="U274" i="47"/>
  <c r="V274" i="47"/>
  <c r="W274" i="47"/>
  <c r="P275" i="47"/>
  <c r="Q275" i="47"/>
  <c r="R275" i="47"/>
  <c r="S275" i="47"/>
  <c r="T275" i="47"/>
  <c r="U275" i="47"/>
  <c r="V275" i="47"/>
  <c r="W275" i="47"/>
  <c r="P276" i="47"/>
  <c r="Q276" i="47"/>
  <c r="R276" i="47"/>
  <c r="S276" i="47"/>
  <c r="T276" i="47"/>
  <c r="U276" i="47"/>
  <c r="V276" i="47"/>
  <c r="W276" i="47"/>
  <c r="P277" i="47"/>
  <c r="Q277" i="47"/>
  <c r="R277" i="47"/>
  <c r="S277" i="47"/>
  <c r="T277" i="47"/>
  <c r="U277" i="47"/>
  <c r="V277" i="47"/>
  <c r="W277" i="47"/>
  <c r="P278" i="47"/>
  <c r="Q278" i="47"/>
  <c r="R278" i="47"/>
  <c r="S278" i="47"/>
  <c r="T278" i="47"/>
  <c r="U278" i="47"/>
  <c r="V278" i="47"/>
  <c r="W278" i="47"/>
  <c r="P279" i="47"/>
  <c r="Q279" i="47"/>
  <c r="R279" i="47"/>
  <c r="S279" i="47"/>
  <c r="T279" i="47"/>
  <c r="U279" i="47"/>
  <c r="V279" i="47"/>
  <c r="W279" i="47"/>
  <c r="P280" i="47"/>
  <c r="Q280" i="47"/>
  <c r="R280" i="47"/>
  <c r="S280" i="47"/>
  <c r="T280" i="47"/>
  <c r="U280" i="47"/>
  <c r="V280" i="47"/>
  <c r="W280" i="47"/>
  <c r="P281" i="47"/>
  <c r="Q281" i="47"/>
  <c r="R281" i="47"/>
  <c r="S281" i="47"/>
  <c r="T281" i="47"/>
  <c r="U281" i="47"/>
  <c r="V281" i="47"/>
  <c r="W281" i="47"/>
  <c r="P282" i="47"/>
  <c r="Q282" i="47"/>
  <c r="R282" i="47"/>
  <c r="S282" i="47"/>
  <c r="T282" i="47"/>
  <c r="U282" i="47"/>
  <c r="V282" i="47"/>
  <c r="W282" i="47"/>
  <c r="P283" i="47"/>
  <c r="Q283" i="47"/>
  <c r="R283" i="47"/>
  <c r="S283" i="47"/>
  <c r="T283" i="47"/>
  <c r="U283" i="47"/>
  <c r="V283" i="47"/>
  <c r="W283" i="47"/>
  <c r="P284" i="47"/>
  <c r="Q284" i="47"/>
  <c r="R284" i="47"/>
  <c r="S284" i="47"/>
  <c r="T284" i="47"/>
  <c r="U284" i="47"/>
  <c r="V284" i="47"/>
  <c r="W284" i="47"/>
  <c r="P285" i="47"/>
  <c r="Q285" i="47"/>
  <c r="R285" i="47"/>
  <c r="S285" i="47"/>
  <c r="T285" i="47"/>
  <c r="U285" i="47"/>
  <c r="V285" i="47"/>
  <c r="W285" i="47"/>
  <c r="P286" i="47"/>
  <c r="Q286" i="47"/>
  <c r="R286" i="47"/>
  <c r="S286" i="47"/>
  <c r="T286" i="47"/>
  <c r="U286" i="47"/>
  <c r="V286" i="47"/>
  <c r="W286" i="47"/>
  <c r="P287" i="47"/>
  <c r="Q287" i="47"/>
  <c r="R287" i="47"/>
  <c r="S287" i="47"/>
  <c r="T287" i="47"/>
  <c r="U287" i="47"/>
  <c r="V287" i="47"/>
  <c r="W287" i="47"/>
  <c r="P288" i="47"/>
  <c r="Q288" i="47"/>
  <c r="R288" i="47"/>
  <c r="S288" i="47"/>
  <c r="T288" i="47"/>
  <c r="U288" i="47"/>
  <c r="V288" i="47"/>
  <c r="W288" i="47"/>
  <c r="P289" i="47"/>
  <c r="Q289" i="47"/>
  <c r="R289" i="47"/>
  <c r="S289" i="47"/>
  <c r="T289" i="47"/>
  <c r="U289" i="47"/>
  <c r="V289" i="47"/>
  <c r="W289" i="47"/>
  <c r="P290" i="47"/>
  <c r="Q290" i="47"/>
  <c r="R290" i="47"/>
  <c r="S290" i="47"/>
  <c r="T290" i="47"/>
  <c r="U290" i="47"/>
  <c r="V290" i="47"/>
  <c r="W290" i="47"/>
  <c r="P291" i="47"/>
  <c r="Q291" i="47"/>
  <c r="R291" i="47"/>
  <c r="S291" i="47"/>
  <c r="T291" i="47"/>
  <c r="U291" i="47"/>
  <c r="V291" i="47"/>
  <c r="W291" i="47"/>
  <c r="P292" i="47"/>
  <c r="Q292" i="47"/>
  <c r="R292" i="47"/>
  <c r="S292" i="47"/>
  <c r="T292" i="47"/>
  <c r="U292" i="47"/>
  <c r="V292" i="47"/>
  <c r="W292" i="47"/>
  <c r="P293" i="47"/>
  <c r="Q293" i="47"/>
  <c r="R293" i="47"/>
  <c r="S293" i="47"/>
  <c r="T293" i="47"/>
  <c r="U293" i="47"/>
  <c r="V293" i="47"/>
  <c r="W293" i="47"/>
  <c r="P294" i="47"/>
  <c r="Q294" i="47"/>
  <c r="R294" i="47"/>
  <c r="S294" i="47"/>
  <c r="T294" i="47"/>
  <c r="U294" i="47"/>
  <c r="V294" i="47"/>
  <c r="W294" i="47"/>
  <c r="P295" i="47"/>
  <c r="Q295" i="47"/>
  <c r="R295" i="47"/>
  <c r="S295" i="47"/>
  <c r="T295" i="47"/>
  <c r="U295" i="47"/>
  <c r="V295" i="47"/>
  <c r="W295" i="47"/>
  <c r="P296" i="47"/>
  <c r="Q296" i="47"/>
  <c r="R296" i="47"/>
  <c r="S296" i="47"/>
  <c r="T296" i="47"/>
  <c r="U296" i="47"/>
  <c r="V296" i="47"/>
  <c r="W296" i="47"/>
  <c r="P297" i="47"/>
  <c r="Q297" i="47"/>
  <c r="R297" i="47"/>
  <c r="S297" i="47"/>
  <c r="T297" i="47"/>
  <c r="U297" i="47"/>
  <c r="V297" i="47"/>
  <c r="W297" i="47"/>
  <c r="P298" i="47"/>
  <c r="Q298" i="47"/>
  <c r="R298" i="47"/>
  <c r="S298" i="47"/>
  <c r="T298" i="47"/>
  <c r="U298" i="47"/>
  <c r="V298" i="47"/>
  <c r="W298" i="47"/>
  <c r="P299" i="47"/>
  <c r="Q299" i="47"/>
  <c r="R299" i="47"/>
  <c r="S299" i="47"/>
  <c r="T299" i="47"/>
  <c r="U299" i="47"/>
  <c r="V299" i="47"/>
  <c r="W299" i="47"/>
  <c r="P300" i="47"/>
  <c r="Q300" i="47"/>
  <c r="R300" i="47"/>
  <c r="S300" i="47"/>
  <c r="T300" i="47"/>
  <c r="U300" i="47"/>
  <c r="V300" i="47"/>
  <c r="W300" i="47"/>
  <c r="P301" i="47"/>
  <c r="Q301" i="47"/>
  <c r="R301" i="47"/>
  <c r="S301" i="47"/>
  <c r="T301" i="47"/>
  <c r="U301" i="47"/>
  <c r="V301" i="47"/>
  <c r="W301" i="47"/>
  <c r="P302" i="47"/>
  <c r="Q302" i="47"/>
  <c r="R302" i="47"/>
  <c r="S302" i="47"/>
  <c r="T302" i="47"/>
  <c r="U302" i="47"/>
  <c r="V302" i="47"/>
  <c r="W302" i="47"/>
  <c r="P303" i="47"/>
  <c r="Q303" i="47"/>
  <c r="R303" i="47"/>
  <c r="AC56" i="1" s="1"/>
  <c r="S303" i="47"/>
  <c r="AD56" i="1" s="1"/>
  <c r="T303" i="47"/>
  <c r="U303" i="47"/>
  <c r="V303" i="47"/>
  <c r="AG56" i="1" s="1"/>
  <c r="W303" i="47"/>
  <c r="AH56" i="1" s="1"/>
  <c r="P304" i="47"/>
  <c r="Q304" i="47"/>
  <c r="R304" i="47"/>
  <c r="S304" i="47"/>
  <c r="T304" i="47"/>
  <c r="U304" i="47"/>
  <c r="V304" i="47"/>
  <c r="W304" i="47"/>
  <c r="P305" i="47"/>
  <c r="Q305" i="47"/>
  <c r="R305" i="47"/>
  <c r="S305" i="47"/>
  <c r="T305" i="47"/>
  <c r="U305" i="47"/>
  <c r="V305" i="47"/>
  <c r="W305" i="47"/>
  <c r="P306" i="47"/>
  <c r="Q306" i="47"/>
  <c r="R306" i="47"/>
  <c r="S306" i="47"/>
  <c r="T306" i="47"/>
  <c r="U306" i="47"/>
  <c r="V306" i="47"/>
  <c r="W306" i="47"/>
  <c r="P307" i="47"/>
  <c r="Q307" i="47"/>
  <c r="R307" i="47"/>
  <c r="S307" i="47"/>
  <c r="T307" i="47"/>
  <c r="U307" i="47"/>
  <c r="V307" i="47"/>
  <c r="W307" i="47"/>
  <c r="P308" i="47"/>
  <c r="Q308" i="47"/>
  <c r="R308" i="47"/>
  <c r="S308" i="47"/>
  <c r="T308" i="47"/>
  <c r="U308" i="47"/>
  <c r="V308" i="47"/>
  <c r="W308" i="47"/>
  <c r="AF56" i="1" l="1"/>
  <c r="AB56" i="1"/>
  <c r="AE56" i="1"/>
  <c r="AA56" i="1"/>
  <c r="Y47" i="37"/>
  <c r="Y49" i="37"/>
  <c r="Y50" i="37"/>
  <c r="Y52" i="37"/>
  <c r="Y51" i="37"/>
  <c r="Y48" i="37"/>
  <c r="Y46" i="37"/>
  <c r="Z52" i="40"/>
  <c r="Z51" i="40"/>
  <c r="Z48" i="40"/>
  <c r="Z46" i="40"/>
  <c r="Z49" i="40"/>
  <c r="Z47" i="40"/>
  <c r="Z50" i="40"/>
  <c r="Y52" i="32"/>
  <c r="Y50" i="32"/>
  <c r="Y48" i="32"/>
  <c r="Y47" i="32"/>
  <c r="Y49" i="32"/>
  <c r="Y46" i="32"/>
  <c r="Y51" i="32"/>
  <c r="Y46" i="31"/>
  <c r="Y50" i="31"/>
  <c r="Y49" i="31"/>
  <c r="Y52" i="31"/>
  <c r="Y47" i="31"/>
  <c r="Y51" i="31"/>
  <c r="Y48" i="31"/>
  <c r="Y48" i="30"/>
  <c r="Y50" i="30"/>
  <c r="Y49" i="30"/>
  <c r="Y52" i="30"/>
  <c r="Y51" i="30"/>
  <c r="Y47" i="30"/>
  <c r="Y46" i="30"/>
  <c r="Z46" i="22"/>
  <c r="Z50" i="22"/>
  <c r="Z49" i="22"/>
  <c r="Z47" i="22"/>
  <c r="Z48" i="22"/>
  <c r="Z52" i="22"/>
  <c r="Z51" i="22"/>
  <c r="Z51" i="25"/>
  <c r="Z47" i="25"/>
  <c r="Z48" i="25"/>
  <c r="Z50" i="25"/>
  <c r="Z52" i="25"/>
  <c r="Z49" i="25"/>
  <c r="Z46" i="25"/>
  <c r="Z48" i="27"/>
  <c r="Z50" i="27"/>
  <c r="Z51" i="27"/>
  <c r="Z46" i="27"/>
  <c r="Z52" i="27"/>
  <c r="Z49" i="27"/>
  <c r="Z47" i="27"/>
  <c r="Z52" i="26"/>
  <c r="Z47" i="26"/>
  <c r="Z46" i="26"/>
  <c r="Z48" i="26"/>
  <c r="Z49" i="26"/>
  <c r="Z51" i="26"/>
  <c r="Z50" i="26"/>
  <c r="Z52" i="50"/>
  <c r="Z48" i="50"/>
  <c r="Z50" i="50"/>
  <c r="Z46" i="50"/>
  <c r="Z51" i="50"/>
  <c r="Z47" i="50"/>
  <c r="Z49" i="50"/>
  <c r="Z48" i="44"/>
  <c r="Z50" i="44"/>
  <c r="Z47" i="44"/>
  <c r="Z46" i="44"/>
  <c r="Z49" i="44"/>
  <c r="Z52" i="44"/>
  <c r="Z51" i="44"/>
  <c r="Z47" i="24"/>
  <c r="Z49" i="24"/>
  <c r="Z50" i="24"/>
  <c r="Z46" i="24"/>
  <c r="Z51" i="24"/>
  <c r="Z52" i="24"/>
  <c r="Z48" i="24"/>
  <c r="Z36" i="40"/>
  <c r="Z45" i="40"/>
  <c r="Z40" i="40"/>
  <c r="Z33" i="40"/>
  <c r="Z35" i="40"/>
  <c r="Z42" i="40"/>
  <c r="Z41" i="40"/>
  <c r="Z43" i="40"/>
  <c r="Z44" i="40"/>
  <c r="Z38" i="40"/>
  <c r="Z34" i="40"/>
  <c r="Z37" i="40"/>
  <c r="Z39" i="40"/>
  <c r="Y42" i="32"/>
  <c r="Y38" i="32"/>
  <c r="Y35" i="32"/>
  <c r="Y33" i="32"/>
  <c r="Y39" i="32"/>
  <c r="Y43" i="32"/>
  <c r="Y41" i="32"/>
  <c r="Y40" i="32"/>
  <c r="Y36" i="32"/>
  <c r="Y34" i="32"/>
  <c r="Y37" i="32"/>
  <c r="Y44" i="32"/>
  <c r="Y45" i="32"/>
  <c r="Z40" i="25"/>
  <c r="Z35" i="25"/>
  <c r="Z33" i="25"/>
  <c r="Z41" i="25"/>
  <c r="Z34" i="25"/>
  <c r="Z42" i="25"/>
  <c r="Z43" i="25"/>
  <c r="Z45" i="25"/>
  <c r="Z36" i="25"/>
  <c r="Z39" i="25"/>
  <c r="Z38" i="25"/>
  <c r="Z44" i="25"/>
  <c r="Z37" i="25"/>
  <c r="Z45" i="44"/>
  <c r="Z44" i="44"/>
  <c r="Z40" i="44"/>
  <c r="Z34" i="44"/>
  <c r="Z35" i="44"/>
  <c r="Z38" i="44"/>
  <c r="Z42" i="44"/>
  <c r="Z39" i="44"/>
  <c r="Z36" i="44"/>
  <c r="Z41" i="44"/>
  <c r="Z37" i="44"/>
  <c r="Z33" i="44"/>
  <c r="Z43" i="44"/>
  <c r="Z38" i="24"/>
  <c r="Z33" i="24"/>
  <c r="Z35" i="24"/>
  <c r="Z37" i="24"/>
  <c r="Z39" i="24"/>
  <c r="Z43" i="24"/>
  <c r="Z44" i="24"/>
  <c r="Z42" i="24"/>
  <c r="Z36" i="24"/>
  <c r="Z40" i="24"/>
  <c r="Z34" i="24"/>
  <c r="Z41" i="24"/>
  <c r="Z45" i="24"/>
  <c r="Y39" i="30"/>
  <c r="Y35" i="30"/>
  <c r="Y34" i="30"/>
  <c r="Y40" i="30"/>
  <c r="Y43" i="30"/>
  <c r="Y38" i="30"/>
  <c r="Y44" i="30"/>
  <c r="Y37" i="30"/>
  <c r="Y41" i="30"/>
  <c r="Y42" i="30"/>
  <c r="Y45" i="30"/>
  <c r="Y33" i="30"/>
  <c r="Y36" i="30"/>
  <c r="Z50" i="29"/>
  <c r="Z47" i="29"/>
  <c r="Z51" i="29"/>
  <c r="Z48" i="29"/>
  <c r="Z46" i="29"/>
  <c r="Z49" i="29"/>
  <c r="Z52" i="29"/>
  <c r="Z43" i="50"/>
  <c r="Z38" i="50"/>
  <c r="Z40" i="50"/>
  <c r="Z34" i="50"/>
  <c r="Z33" i="50"/>
  <c r="Z37" i="50"/>
  <c r="Z39" i="50"/>
  <c r="Z42" i="50"/>
  <c r="Z35" i="50"/>
  <c r="Z41" i="50"/>
  <c r="Z44" i="50"/>
  <c r="Z45" i="50"/>
  <c r="Z36" i="50"/>
  <c r="Y43" i="31"/>
  <c r="Y41" i="31"/>
  <c r="Y44" i="31"/>
  <c r="Y33" i="31"/>
  <c r="Y39" i="31"/>
  <c r="Y37" i="31"/>
  <c r="Y35" i="31"/>
  <c r="Y34" i="31"/>
  <c r="Y38" i="31"/>
  <c r="Y42" i="31"/>
  <c r="Y45" i="31"/>
  <c r="Y36" i="31"/>
  <c r="Y40" i="31"/>
  <c r="Z33" i="22"/>
  <c r="Z35" i="22"/>
  <c r="Z34" i="22"/>
  <c r="Z40" i="22"/>
  <c r="Z41" i="22"/>
  <c r="Z43" i="22"/>
  <c r="Z36" i="22"/>
  <c r="Z37" i="22"/>
  <c r="Z42" i="22"/>
  <c r="Z39" i="22"/>
  <c r="Z45" i="22"/>
  <c r="Z38" i="22"/>
  <c r="Z44" i="22"/>
  <c r="Z38" i="27"/>
  <c r="Z44" i="27"/>
  <c r="Z42" i="27"/>
  <c r="Z39" i="27"/>
  <c r="Z36" i="27"/>
  <c r="Z41" i="27"/>
  <c r="Z33" i="27"/>
  <c r="Z45" i="27"/>
  <c r="Z37" i="27"/>
  <c r="Z35" i="27"/>
  <c r="Z34" i="27"/>
  <c r="Z40" i="27"/>
  <c r="Z43" i="27"/>
  <c r="Z42" i="26"/>
  <c r="Z39" i="26"/>
  <c r="Z37" i="26"/>
  <c r="Z44" i="26"/>
  <c r="Z43" i="26"/>
  <c r="Z40" i="26"/>
  <c r="Z45" i="26"/>
  <c r="Z35" i="26"/>
  <c r="Z36" i="26"/>
  <c r="Z34" i="26"/>
  <c r="Z41" i="26"/>
  <c r="Z33" i="26"/>
  <c r="Z38" i="26"/>
  <c r="Y33" i="37"/>
  <c r="Y39" i="37"/>
  <c r="Y36" i="37"/>
  <c r="Y45" i="37"/>
  <c r="Y44" i="37"/>
  <c r="Y37" i="37"/>
  <c r="Y41" i="37"/>
  <c r="Y34" i="37"/>
  <c r="Y38" i="37"/>
  <c r="Y42" i="37"/>
  <c r="Y35" i="37"/>
  <c r="Y43" i="37"/>
  <c r="Y40" i="37"/>
  <c r="Z42" i="29"/>
  <c r="Z43" i="29"/>
  <c r="Z40" i="29"/>
  <c r="Z38" i="29"/>
  <c r="Z36" i="29"/>
  <c r="Z37" i="29"/>
  <c r="Z41" i="29"/>
  <c r="Z34" i="29"/>
  <c r="Z45" i="29"/>
  <c r="Z33" i="29"/>
  <c r="Z35" i="29"/>
  <c r="Z44" i="29"/>
  <c r="Z39" i="29"/>
  <c r="Z8" i="27"/>
  <c r="Z8" i="44"/>
  <c r="Y8" i="37"/>
  <c r="Z8" i="40"/>
  <c r="Z8" i="50"/>
  <c r="Z25" i="50"/>
  <c r="Z14" i="50"/>
  <c r="Z12" i="50"/>
  <c r="Z31" i="50"/>
  <c r="Z20" i="50"/>
  <c r="Z9" i="50"/>
  <c r="Z22" i="50"/>
  <c r="Z10" i="50"/>
  <c r="Z11" i="50"/>
  <c r="Z27" i="50"/>
  <c r="Z30" i="50"/>
  <c r="Z24" i="50"/>
  <c r="Z17" i="50"/>
  <c r="Z29" i="50"/>
  <c r="Z18" i="50"/>
  <c r="Z21" i="50"/>
  <c r="Z28" i="50"/>
  <c r="Z26" i="50"/>
  <c r="Z15" i="50"/>
  <c r="Z23" i="50"/>
  <c r="Z19" i="50"/>
  <c r="Z32" i="50"/>
  <c r="Z16" i="50"/>
  <c r="Z13" i="50"/>
  <c r="AA3" i="50"/>
  <c r="AA53" i="50" s="1"/>
  <c r="AB4" i="29"/>
  <c r="AB4" i="50"/>
  <c r="AB4" i="40"/>
  <c r="AB4" i="44"/>
  <c r="AA4" i="37"/>
  <c r="AB4" i="28"/>
  <c r="AB4" i="27"/>
  <c r="AB4" i="26"/>
  <c r="AA4" i="31"/>
  <c r="AB4" i="25"/>
  <c r="AB4" i="24"/>
  <c r="AB4" i="22"/>
  <c r="AA4" i="32"/>
  <c r="AA4" i="30"/>
  <c r="Y19" i="32"/>
  <c r="Y11" i="32"/>
  <c r="Y29" i="32"/>
  <c r="Y23" i="32"/>
  <c r="Y12" i="32"/>
  <c r="Y16" i="32"/>
  <c r="Y20" i="32"/>
  <c r="Y26" i="32"/>
  <c r="Y27" i="32"/>
  <c r="Y31" i="32"/>
  <c r="Y28" i="32"/>
  <c r="Y21" i="32"/>
  <c r="Y10" i="32"/>
  <c r="Y22" i="32"/>
  <c r="Y14" i="32"/>
  <c r="Y18" i="32"/>
  <c r="Y17" i="32"/>
  <c r="Y25" i="32"/>
  <c r="Y15" i="32"/>
  <c r="Y32" i="32"/>
  <c r="Y30" i="32"/>
  <c r="Y8" i="32"/>
  <c r="Y9" i="32"/>
  <c r="Y24" i="32"/>
  <c r="Y13" i="32"/>
  <c r="Z8" i="22"/>
  <c r="Z8" i="25"/>
  <c r="AA3" i="22"/>
  <c r="AA53" i="22" s="1"/>
  <c r="AA3" i="29"/>
  <c r="AA53" i="29" s="1"/>
  <c r="Z3" i="32"/>
  <c r="Z53" i="32" s="1"/>
  <c r="AA3" i="44"/>
  <c r="AA53" i="44" s="1"/>
  <c r="AA3" i="26"/>
  <c r="AA53" i="26" s="1"/>
  <c r="Z3" i="30"/>
  <c r="Z53" i="30" s="1"/>
  <c r="AA3" i="24"/>
  <c r="AA53" i="24" s="1"/>
  <c r="AA3" i="27"/>
  <c r="AA53" i="27" s="1"/>
  <c r="AA3" i="25"/>
  <c r="AA53" i="25" s="1"/>
  <c r="Z3" i="31"/>
  <c r="Z53" i="31" s="1"/>
  <c r="Z47" i="28"/>
  <c r="Z48" i="28"/>
  <c r="AA3" i="40"/>
  <c r="AA53" i="40" s="1"/>
  <c r="Z3" i="37"/>
  <c r="Z53" i="37" s="1"/>
  <c r="AA3" i="28"/>
  <c r="AA47" i="28" s="1"/>
  <c r="W3" i="47"/>
  <c r="V3" i="47"/>
  <c r="U3" i="47"/>
  <c r="T3" i="47"/>
  <c r="S3" i="47"/>
  <c r="R3" i="47"/>
  <c r="Q3" i="47"/>
  <c r="P3" i="47"/>
  <c r="AA52" i="40" l="1"/>
  <c r="AA50" i="40"/>
  <c r="AA46" i="40"/>
  <c r="AA47" i="40"/>
  <c r="AA49" i="40"/>
  <c r="AA51" i="40"/>
  <c r="AA48" i="40"/>
  <c r="Z46" i="37"/>
  <c r="Z48" i="37"/>
  <c r="Z51" i="37"/>
  <c r="Z50" i="37"/>
  <c r="Z47" i="37"/>
  <c r="Z49" i="37"/>
  <c r="Z52" i="37"/>
  <c r="AA47" i="44"/>
  <c r="AA52" i="44"/>
  <c r="AA46" i="44"/>
  <c r="AA49" i="44"/>
  <c r="AA51" i="44"/>
  <c r="AA48" i="44"/>
  <c r="AA50" i="44"/>
  <c r="Z49" i="30"/>
  <c r="Z46" i="30"/>
  <c r="Z47" i="30"/>
  <c r="Z48" i="30"/>
  <c r="Z52" i="30"/>
  <c r="Z51" i="30"/>
  <c r="Z50" i="30"/>
  <c r="AA47" i="25"/>
  <c r="AA50" i="25"/>
  <c r="AA51" i="25"/>
  <c r="AA48" i="25"/>
  <c r="AA46" i="25"/>
  <c r="AA49" i="25"/>
  <c r="AA52" i="25"/>
  <c r="AA48" i="26"/>
  <c r="AA51" i="26"/>
  <c r="AA50" i="26"/>
  <c r="AA47" i="26"/>
  <c r="AA46" i="26"/>
  <c r="AA49" i="26"/>
  <c r="AA52" i="26"/>
  <c r="AA47" i="22"/>
  <c r="AA48" i="22"/>
  <c r="AA50" i="22"/>
  <c r="AA49" i="22"/>
  <c r="AA52" i="22"/>
  <c r="AA51" i="22"/>
  <c r="AA46" i="22"/>
  <c r="Z51" i="32"/>
  <c r="Z47" i="32"/>
  <c r="Z52" i="32"/>
  <c r="Z50" i="32"/>
  <c r="Z46" i="32"/>
  <c r="Z49" i="32"/>
  <c r="Z48" i="32"/>
  <c r="AA46" i="50"/>
  <c r="AA51" i="50"/>
  <c r="AA48" i="50"/>
  <c r="AA50" i="50"/>
  <c r="AA47" i="50"/>
  <c r="AA52" i="50"/>
  <c r="AA49" i="50"/>
  <c r="AA52" i="27"/>
  <c r="AA46" i="27"/>
  <c r="AA48" i="27"/>
  <c r="AA47" i="27"/>
  <c r="AA51" i="27"/>
  <c r="AA49" i="27"/>
  <c r="AA50" i="27"/>
  <c r="Z51" i="31"/>
  <c r="Z49" i="31"/>
  <c r="Z50" i="31"/>
  <c r="Z52" i="31"/>
  <c r="Z46" i="31"/>
  <c r="Z47" i="31"/>
  <c r="Z48" i="31"/>
  <c r="AA46" i="24"/>
  <c r="AA49" i="24"/>
  <c r="AA51" i="24"/>
  <c r="AA52" i="24"/>
  <c r="AA48" i="24"/>
  <c r="AA47" i="24"/>
  <c r="AA50" i="24"/>
  <c r="Z33" i="32"/>
  <c r="Z38" i="32"/>
  <c r="Z37" i="32"/>
  <c r="Z34" i="32"/>
  <c r="Z35" i="32"/>
  <c r="Z39" i="32"/>
  <c r="Z41" i="32"/>
  <c r="Z42" i="32"/>
  <c r="Z40" i="32"/>
  <c r="Z45" i="32"/>
  <c r="Z43" i="32"/>
  <c r="Z44" i="32"/>
  <c r="Z36" i="32"/>
  <c r="AA45" i="50"/>
  <c r="AA37" i="50"/>
  <c r="AA39" i="50"/>
  <c r="AA35" i="50"/>
  <c r="AA33" i="50"/>
  <c r="AA36" i="50"/>
  <c r="AA34" i="50"/>
  <c r="AA41" i="50"/>
  <c r="AA43" i="50"/>
  <c r="AA38" i="50"/>
  <c r="AA40" i="50"/>
  <c r="AA42" i="50"/>
  <c r="AA44" i="50"/>
  <c r="Z34" i="31"/>
  <c r="Z33" i="31"/>
  <c r="Z40" i="31"/>
  <c r="Z44" i="31"/>
  <c r="Z36" i="31"/>
  <c r="Z37" i="31"/>
  <c r="Z41" i="31"/>
  <c r="Z45" i="31"/>
  <c r="Z35" i="31"/>
  <c r="Z38" i="31"/>
  <c r="Z39" i="31"/>
  <c r="Z42" i="31"/>
  <c r="Z43" i="31"/>
  <c r="AA41" i="24"/>
  <c r="AA42" i="24"/>
  <c r="AA39" i="24"/>
  <c r="AA37" i="24"/>
  <c r="AA35" i="24"/>
  <c r="AA34" i="24"/>
  <c r="AA44" i="24"/>
  <c r="AA33" i="24"/>
  <c r="AA43" i="24"/>
  <c r="AA45" i="24"/>
  <c r="AA36" i="24"/>
  <c r="AA38" i="24"/>
  <c r="AA40" i="24"/>
  <c r="AA49" i="29"/>
  <c r="AA52" i="29"/>
  <c r="AA50" i="29"/>
  <c r="AA47" i="29"/>
  <c r="AA51" i="29"/>
  <c r="AA46" i="29"/>
  <c r="AA48" i="29"/>
  <c r="AA43" i="25"/>
  <c r="AA41" i="25"/>
  <c r="AA39" i="25"/>
  <c r="AA45" i="25"/>
  <c r="AA42" i="25"/>
  <c r="AA44" i="25"/>
  <c r="AA34" i="25"/>
  <c r="AA36" i="25"/>
  <c r="AA38" i="25"/>
  <c r="AA37" i="25"/>
  <c r="AA40" i="25"/>
  <c r="AA35" i="25"/>
  <c r="AA33" i="25"/>
  <c r="AA45" i="22"/>
  <c r="AA41" i="22"/>
  <c r="AA34" i="22"/>
  <c r="AA37" i="22"/>
  <c r="AA42" i="22"/>
  <c r="AA36" i="22"/>
  <c r="AA39" i="22"/>
  <c r="AA40" i="22"/>
  <c r="AA35" i="22"/>
  <c r="AA33" i="22"/>
  <c r="AA38" i="22"/>
  <c r="AA43" i="22"/>
  <c r="AA44" i="22"/>
  <c r="Z33" i="37"/>
  <c r="Z44" i="37"/>
  <c r="Z41" i="37"/>
  <c r="Z42" i="37"/>
  <c r="Z38" i="37"/>
  <c r="Z43" i="37"/>
  <c r="Z40" i="37"/>
  <c r="Z39" i="37"/>
  <c r="Z45" i="37"/>
  <c r="Z34" i="37"/>
  <c r="Z35" i="37"/>
  <c r="Z36" i="37"/>
  <c r="Z37" i="37"/>
  <c r="Z42" i="30"/>
  <c r="Z34" i="30"/>
  <c r="Z39" i="30"/>
  <c r="Z35" i="30"/>
  <c r="Z40" i="30"/>
  <c r="Z38" i="30"/>
  <c r="Z41" i="30"/>
  <c r="Z44" i="30"/>
  <c r="Z45" i="30"/>
  <c r="Z43" i="30"/>
  <c r="Z33" i="30"/>
  <c r="Z36" i="30"/>
  <c r="Z37" i="30"/>
  <c r="AA42" i="40"/>
  <c r="AA41" i="40"/>
  <c r="AA37" i="40"/>
  <c r="AA34" i="40"/>
  <c r="AA39" i="40"/>
  <c r="AA43" i="40"/>
  <c r="AA44" i="40"/>
  <c r="AA33" i="40"/>
  <c r="AA38" i="40"/>
  <c r="AA45" i="40"/>
  <c r="AA36" i="40"/>
  <c r="AA35" i="40"/>
  <c r="AA40" i="40"/>
  <c r="AA33" i="26"/>
  <c r="AA40" i="26"/>
  <c r="AA37" i="26"/>
  <c r="AA41" i="26"/>
  <c r="AA42" i="26"/>
  <c r="AA43" i="26"/>
  <c r="AA45" i="26"/>
  <c r="AA35" i="26"/>
  <c r="AA36" i="26"/>
  <c r="AA38" i="26"/>
  <c r="AA44" i="26"/>
  <c r="AA39" i="26"/>
  <c r="AA34" i="26"/>
  <c r="AA43" i="27"/>
  <c r="AA41" i="27"/>
  <c r="AA36" i="27"/>
  <c r="AA34" i="27"/>
  <c r="AA37" i="27"/>
  <c r="AA38" i="27"/>
  <c r="AA44" i="27"/>
  <c r="AA45" i="27"/>
  <c r="AA35" i="27"/>
  <c r="AA33" i="27"/>
  <c r="AA40" i="27"/>
  <c r="AA39" i="27"/>
  <c r="AA42" i="27"/>
  <c r="AA43" i="44"/>
  <c r="AA41" i="44"/>
  <c r="AA37" i="44"/>
  <c r="AA34" i="44"/>
  <c r="AA33" i="44"/>
  <c r="AA39" i="44"/>
  <c r="AA38" i="44"/>
  <c r="AA36" i="44"/>
  <c r="AA42" i="44"/>
  <c r="AA45" i="44"/>
  <c r="AA35" i="44"/>
  <c r="AA40" i="44"/>
  <c r="AA44" i="44"/>
  <c r="AA40" i="29"/>
  <c r="AA37" i="29"/>
  <c r="AA41" i="29"/>
  <c r="AA43" i="29"/>
  <c r="AA38" i="29"/>
  <c r="AA42" i="29"/>
  <c r="AA34" i="29"/>
  <c r="AA35" i="29"/>
  <c r="AA36" i="29"/>
  <c r="AA44" i="29"/>
  <c r="AA33" i="29"/>
  <c r="AA45" i="29"/>
  <c r="AA39" i="29"/>
  <c r="AH2" i="1"/>
  <c r="AB2" i="1"/>
  <c r="AG2" i="1"/>
  <c r="AF2" i="1"/>
  <c r="AC2" i="1"/>
  <c r="AA2" i="1"/>
  <c r="AD2" i="1"/>
  <c r="AE2" i="1"/>
  <c r="AA8" i="27"/>
  <c r="AA8" i="44"/>
  <c r="Z8" i="37"/>
  <c r="AA8" i="40"/>
  <c r="AA15" i="50"/>
  <c r="AA28" i="50"/>
  <c r="AA32" i="50"/>
  <c r="AA27" i="50"/>
  <c r="AA9" i="50"/>
  <c r="AA29" i="50"/>
  <c r="AA13" i="50"/>
  <c r="AA26" i="50"/>
  <c r="AA24" i="50"/>
  <c r="AA12" i="50"/>
  <c r="AA8" i="50"/>
  <c r="AA31" i="50"/>
  <c r="AA11" i="50"/>
  <c r="AA23" i="50"/>
  <c r="AA19" i="50"/>
  <c r="AA25" i="50"/>
  <c r="AA10" i="50"/>
  <c r="AA16" i="50"/>
  <c r="AA21" i="50"/>
  <c r="AA22" i="50"/>
  <c r="AA18" i="50"/>
  <c r="AA14" i="50"/>
  <c r="AA20" i="50"/>
  <c r="AA30" i="50"/>
  <c r="AA17" i="50"/>
  <c r="AB3" i="50"/>
  <c r="AB53" i="50" s="1"/>
  <c r="AC4" i="29"/>
  <c r="AC4" i="50"/>
  <c r="AB4" i="37"/>
  <c r="AC4" i="28"/>
  <c r="AC4" i="27"/>
  <c r="AC4" i="40"/>
  <c r="AC4" i="44"/>
  <c r="AC4" i="25"/>
  <c r="AC4" i="24"/>
  <c r="AC4" i="22"/>
  <c r="AB4" i="32"/>
  <c r="AC4" i="26"/>
  <c r="AB4" i="31"/>
  <c r="AB4" i="30"/>
  <c r="AA8" i="22"/>
  <c r="Z19" i="32"/>
  <c r="Z15" i="32"/>
  <c r="Z17" i="32"/>
  <c r="Z30" i="32"/>
  <c r="Z18" i="32"/>
  <c r="Z29" i="32"/>
  <c r="Z10" i="32"/>
  <c r="Z28" i="32"/>
  <c r="Z22" i="32"/>
  <c r="Z25" i="32"/>
  <c r="Z11" i="32"/>
  <c r="Z12" i="32"/>
  <c r="Z9" i="32"/>
  <c r="Z20" i="32"/>
  <c r="Z21" i="32"/>
  <c r="Z23" i="32"/>
  <c r="Z31" i="32"/>
  <c r="Z14" i="32"/>
  <c r="Z26" i="32"/>
  <c r="Z16" i="32"/>
  <c r="Z13" i="32"/>
  <c r="Z27" i="32"/>
  <c r="Z24" i="32"/>
  <c r="Z8" i="32"/>
  <c r="Z32" i="32"/>
  <c r="AA8" i="25"/>
  <c r="AA3" i="31"/>
  <c r="AA53" i="31" s="1"/>
  <c r="AB3" i="24"/>
  <c r="AB53" i="24" s="1"/>
  <c r="AB3" i="26"/>
  <c r="AB53" i="26" s="1"/>
  <c r="AB3" i="40"/>
  <c r="AB53" i="40" s="1"/>
  <c r="AB3" i="27"/>
  <c r="AB53" i="27" s="1"/>
  <c r="AA3" i="32"/>
  <c r="AA53" i="32" s="1"/>
  <c r="AB3" i="25"/>
  <c r="AB53" i="25" s="1"/>
  <c r="AB3" i="44"/>
  <c r="AB53" i="44" s="1"/>
  <c r="AB3" i="22"/>
  <c r="AB53" i="22" s="1"/>
  <c r="AB3" i="28"/>
  <c r="AB48" i="28" s="1"/>
  <c r="AA3" i="37"/>
  <c r="AA53" i="37" s="1"/>
  <c r="AA3" i="30"/>
  <c r="AA53" i="30" s="1"/>
  <c r="AB3" i="29"/>
  <c r="AB53" i="29" s="1"/>
  <c r="AA48" i="28"/>
  <c r="AA46" i="28"/>
  <c r="AB47" i="40" l="1"/>
  <c r="AB52" i="40"/>
  <c r="AB51" i="40"/>
  <c r="AB49" i="40"/>
  <c r="AB50" i="40"/>
  <c r="AB46" i="40"/>
  <c r="AB48" i="40"/>
  <c r="AA52" i="37"/>
  <c r="AA46" i="37"/>
  <c r="AA47" i="37"/>
  <c r="AA51" i="37"/>
  <c r="AA49" i="37"/>
  <c r="AA48" i="37"/>
  <c r="AA50" i="37"/>
  <c r="AB50" i="27"/>
  <c r="AB47" i="27"/>
  <c r="AB46" i="27"/>
  <c r="AB51" i="27"/>
  <c r="AB48" i="27"/>
  <c r="AB52" i="27"/>
  <c r="AB49" i="27"/>
  <c r="AA52" i="31"/>
  <c r="AA50" i="31"/>
  <c r="AA46" i="31"/>
  <c r="AA47" i="31"/>
  <c r="AA51" i="31"/>
  <c r="AA48" i="31"/>
  <c r="AA49" i="31"/>
  <c r="AA52" i="30"/>
  <c r="AA50" i="30"/>
  <c r="AA48" i="30"/>
  <c r="AA47" i="30"/>
  <c r="AA49" i="30"/>
  <c r="AA51" i="30"/>
  <c r="AA46" i="30"/>
  <c r="AB49" i="44"/>
  <c r="AB51" i="44"/>
  <c r="AB48" i="44"/>
  <c r="AB50" i="44"/>
  <c r="AB47" i="44"/>
  <c r="AB46" i="44"/>
  <c r="AB52" i="44"/>
  <c r="AB51" i="25"/>
  <c r="AB46" i="25"/>
  <c r="AB48" i="25"/>
  <c r="AB50" i="25"/>
  <c r="AB52" i="25"/>
  <c r="AB49" i="25"/>
  <c r="AB47" i="25"/>
  <c r="AB47" i="26"/>
  <c r="AB49" i="26"/>
  <c r="AB51" i="26"/>
  <c r="AB46" i="26"/>
  <c r="AB48" i="26"/>
  <c r="AB52" i="26"/>
  <c r="AB50" i="26"/>
  <c r="AB49" i="50"/>
  <c r="AB51" i="50"/>
  <c r="AB47" i="50"/>
  <c r="AB48" i="50"/>
  <c r="AB50" i="50"/>
  <c r="AB46" i="50"/>
  <c r="AB52" i="50"/>
  <c r="AB51" i="22"/>
  <c r="AB52" i="22"/>
  <c r="AB47" i="22"/>
  <c r="AB48" i="22"/>
  <c r="AB50" i="22"/>
  <c r="AB49" i="22"/>
  <c r="AB46" i="22"/>
  <c r="AA50" i="32"/>
  <c r="AA48" i="32"/>
  <c r="AA47" i="32"/>
  <c r="AA46" i="32"/>
  <c r="AA49" i="32"/>
  <c r="AA51" i="32"/>
  <c r="AA52" i="32"/>
  <c r="AB46" i="24"/>
  <c r="AB50" i="24"/>
  <c r="AB47" i="24"/>
  <c r="AB49" i="24"/>
  <c r="AB51" i="24"/>
  <c r="AB52" i="24"/>
  <c r="AB48" i="24"/>
  <c r="AB42" i="44"/>
  <c r="AB44" i="44"/>
  <c r="AB45" i="44"/>
  <c r="AB35" i="44"/>
  <c r="AB40" i="44"/>
  <c r="AB36" i="44"/>
  <c r="AB37" i="44"/>
  <c r="AB33" i="44"/>
  <c r="AB41" i="44"/>
  <c r="AB34" i="44"/>
  <c r="AB38" i="44"/>
  <c r="AB43" i="44"/>
  <c r="AB39" i="44"/>
  <c r="AA33" i="37"/>
  <c r="AA35" i="37"/>
  <c r="AA34" i="37"/>
  <c r="AA41" i="37"/>
  <c r="AA42" i="37"/>
  <c r="AA39" i="37"/>
  <c r="AA40" i="37"/>
  <c r="AA43" i="37"/>
  <c r="AA36" i="37"/>
  <c r="AA37" i="37"/>
  <c r="AA45" i="37"/>
  <c r="AA44" i="37"/>
  <c r="AA38" i="37"/>
  <c r="AB38" i="25"/>
  <c r="AB34" i="25"/>
  <c r="AB39" i="25"/>
  <c r="AB36" i="25"/>
  <c r="AB45" i="25"/>
  <c r="AB43" i="25"/>
  <c r="AB44" i="25"/>
  <c r="AB35" i="25"/>
  <c r="AB33" i="25"/>
  <c r="AB41" i="25"/>
  <c r="AB40" i="25"/>
  <c r="AB42" i="25"/>
  <c r="AB37" i="25"/>
  <c r="AB43" i="26"/>
  <c r="AB40" i="26"/>
  <c r="AB33" i="26"/>
  <c r="AB45" i="26"/>
  <c r="AB38" i="26"/>
  <c r="AB37" i="26"/>
  <c r="AB36" i="26"/>
  <c r="AB35" i="26"/>
  <c r="AB41" i="26"/>
  <c r="AB34" i="26"/>
  <c r="AB42" i="26"/>
  <c r="AB44" i="26"/>
  <c r="AB39" i="26"/>
  <c r="AB45" i="50"/>
  <c r="AB44" i="50"/>
  <c r="AB33" i="50"/>
  <c r="AB42" i="50"/>
  <c r="AB39" i="50"/>
  <c r="AB37" i="50"/>
  <c r="AB35" i="50"/>
  <c r="AB43" i="50"/>
  <c r="AB41" i="50"/>
  <c r="AB34" i="50"/>
  <c r="AB38" i="50"/>
  <c r="AB40" i="50"/>
  <c r="AB36" i="50"/>
  <c r="AA45" i="32"/>
  <c r="AA43" i="32"/>
  <c r="AA37" i="32"/>
  <c r="AA35" i="32"/>
  <c r="AA40" i="32"/>
  <c r="AA39" i="32"/>
  <c r="AA42" i="32"/>
  <c r="AA38" i="32"/>
  <c r="AA36" i="32"/>
  <c r="AA33" i="32"/>
  <c r="AA44" i="32"/>
  <c r="AA34" i="32"/>
  <c r="AA41" i="32"/>
  <c r="AA40" i="30"/>
  <c r="AA37" i="30"/>
  <c r="AA41" i="30"/>
  <c r="AA33" i="30"/>
  <c r="AA45" i="30"/>
  <c r="AA34" i="30"/>
  <c r="AA36" i="30"/>
  <c r="AA39" i="30"/>
  <c r="AA38" i="30"/>
  <c r="AA43" i="30"/>
  <c r="AA42" i="30"/>
  <c r="AA44" i="30"/>
  <c r="AA35" i="30"/>
  <c r="AB43" i="24"/>
  <c r="AB41" i="24"/>
  <c r="AB39" i="24"/>
  <c r="AB37" i="24"/>
  <c r="AB45" i="24"/>
  <c r="AB35" i="24"/>
  <c r="AB33" i="24"/>
  <c r="AB34" i="24"/>
  <c r="AB36" i="24"/>
  <c r="AB38" i="24"/>
  <c r="AB44" i="24"/>
  <c r="AB40" i="24"/>
  <c r="AB42" i="24"/>
  <c r="AB50" i="29"/>
  <c r="AB51" i="29"/>
  <c r="AB48" i="29"/>
  <c r="AB52" i="29"/>
  <c r="AB47" i="29"/>
  <c r="AB49" i="29"/>
  <c r="AB46" i="29"/>
  <c r="AB44" i="22"/>
  <c r="AB41" i="22"/>
  <c r="AB40" i="22"/>
  <c r="AB37" i="22"/>
  <c r="AB36" i="22"/>
  <c r="AB38" i="22"/>
  <c r="AB34" i="22"/>
  <c r="AB43" i="22"/>
  <c r="AB39" i="22"/>
  <c r="AB35" i="22"/>
  <c r="AB33" i="22"/>
  <c r="AB42" i="22"/>
  <c r="AB45" i="22"/>
  <c r="AB44" i="27"/>
  <c r="AB39" i="27"/>
  <c r="AB45" i="27"/>
  <c r="AB40" i="27"/>
  <c r="AB42" i="27"/>
  <c r="AB33" i="27"/>
  <c r="AB34" i="27"/>
  <c r="AB35" i="27"/>
  <c r="AB37" i="27"/>
  <c r="AB43" i="27"/>
  <c r="AB36" i="27"/>
  <c r="AB38" i="27"/>
  <c r="AB41" i="27"/>
  <c r="AA41" i="31"/>
  <c r="AA39" i="31"/>
  <c r="AA37" i="31"/>
  <c r="AA45" i="31"/>
  <c r="AA34" i="31"/>
  <c r="AA40" i="31"/>
  <c r="AA38" i="31"/>
  <c r="AA42" i="31"/>
  <c r="AA44" i="31"/>
  <c r="AA33" i="31"/>
  <c r="AA35" i="31"/>
  <c r="AA36" i="31"/>
  <c r="AA43" i="31"/>
  <c r="AB39" i="40"/>
  <c r="AB34" i="40"/>
  <c r="AB43" i="40"/>
  <c r="AB42" i="40"/>
  <c r="AB37" i="40"/>
  <c r="AB45" i="40"/>
  <c r="AB41" i="40"/>
  <c r="AB33" i="40"/>
  <c r="AB38" i="40"/>
  <c r="AB36" i="40"/>
  <c r="AB44" i="40"/>
  <c r="AB35" i="40"/>
  <c r="AB40" i="40"/>
  <c r="AB44" i="29"/>
  <c r="AB39" i="29"/>
  <c r="AB36" i="29"/>
  <c r="AB45" i="29"/>
  <c r="AB41" i="29"/>
  <c r="AB40" i="29"/>
  <c r="AB33" i="29"/>
  <c r="AB43" i="29"/>
  <c r="AB37" i="29"/>
  <c r="AB38" i="29"/>
  <c r="AB34" i="29"/>
  <c r="AB35" i="29"/>
  <c r="AB42" i="29"/>
  <c r="AB8" i="27"/>
  <c r="AB8" i="44"/>
  <c r="AB8" i="40"/>
  <c r="AA8" i="37"/>
  <c r="AB11" i="50"/>
  <c r="AB21" i="50"/>
  <c r="AB27" i="50"/>
  <c r="AB13" i="50"/>
  <c r="AB24" i="50"/>
  <c r="AB19" i="50"/>
  <c r="AB28" i="50"/>
  <c r="AB31" i="50"/>
  <c r="AB16" i="50"/>
  <c r="AB20" i="50"/>
  <c r="AB29" i="50"/>
  <c r="AB23" i="50"/>
  <c r="AB10" i="50"/>
  <c r="AB25" i="50"/>
  <c r="AB8" i="50"/>
  <c r="AB18" i="50"/>
  <c r="AB30" i="50"/>
  <c r="AB15" i="50"/>
  <c r="AB9" i="50"/>
  <c r="AB14" i="50"/>
  <c r="AB32" i="50"/>
  <c r="AB17" i="50"/>
  <c r="AB12" i="50"/>
  <c r="AB22" i="50"/>
  <c r="AB26" i="50"/>
  <c r="AC3" i="50"/>
  <c r="AC53" i="50" s="1"/>
  <c r="AD4" i="29"/>
  <c r="AD4" i="50"/>
  <c r="AD4" i="28"/>
  <c r="AD4" i="27"/>
  <c r="AD4" i="40"/>
  <c r="AD4" i="44"/>
  <c r="AC4" i="37"/>
  <c r="AD4" i="26"/>
  <c r="AD4" i="24"/>
  <c r="AD4" i="22"/>
  <c r="AC4" i="32"/>
  <c r="AC4" i="31"/>
  <c r="AD4" i="25"/>
  <c r="AC4" i="30"/>
  <c r="AB8" i="22"/>
  <c r="AA27" i="32"/>
  <c r="AA23" i="32"/>
  <c r="AA28" i="32"/>
  <c r="AA8" i="32"/>
  <c r="AA21" i="32"/>
  <c r="AA31" i="32"/>
  <c r="AA20" i="32"/>
  <c r="AA9" i="32"/>
  <c r="AA13" i="32"/>
  <c r="AA16" i="32"/>
  <c r="AA18" i="32"/>
  <c r="AA15" i="32"/>
  <c r="AA22" i="32"/>
  <c r="AA11" i="32"/>
  <c r="AA12" i="32"/>
  <c r="AA10" i="32"/>
  <c r="AA25" i="32"/>
  <c r="AA32" i="32"/>
  <c r="AA30" i="32"/>
  <c r="AA17" i="32"/>
  <c r="AA24" i="32"/>
  <c r="AA29" i="32"/>
  <c r="AA19" i="32"/>
  <c r="AA26" i="32"/>
  <c r="AA14" i="32"/>
  <c r="AB46" i="28"/>
  <c r="AB8" i="25"/>
  <c r="AB47" i="28"/>
  <c r="AC3" i="40"/>
  <c r="AC53" i="40" s="1"/>
  <c r="AC3" i="26"/>
  <c r="AC53" i="26" s="1"/>
  <c r="AC3" i="27"/>
  <c r="AC53" i="27" s="1"/>
  <c r="AC3" i="44"/>
  <c r="AC53" i="44" s="1"/>
  <c r="AC3" i="22"/>
  <c r="AC53" i="22" s="1"/>
  <c r="AB3" i="37"/>
  <c r="AB53" i="37" s="1"/>
  <c r="AB3" i="32"/>
  <c r="AB53" i="32" s="1"/>
  <c r="AC3" i="25"/>
  <c r="AC53" i="25" s="1"/>
  <c r="AC3" i="29"/>
  <c r="AC53" i="29" s="1"/>
  <c r="AB3" i="30"/>
  <c r="AB53" i="30" s="1"/>
  <c r="AC3" i="28"/>
  <c r="AC46" i="28" s="1"/>
  <c r="AB3" i="31"/>
  <c r="AB53" i="31" s="1"/>
  <c r="AC3" i="24"/>
  <c r="AC53" i="24" s="1"/>
  <c r="AC52" i="40" l="1"/>
  <c r="AC51" i="40"/>
  <c r="AC49" i="40"/>
  <c r="AC47" i="40"/>
  <c r="AC46" i="40"/>
  <c r="AC50" i="40"/>
  <c r="AC48" i="40"/>
  <c r="AB51" i="37"/>
  <c r="AB49" i="37"/>
  <c r="AB52" i="37"/>
  <c r="AB46" i="37"/>
  <c r="AB48" i="37"/>
  <c r="AB47" i="37"/>
  <c r="AB50" i="37"/>
  <c r="AC48" i="25"/>
  <c r="AC50" i="25"/>
  <c r="AC46" i="25"/>
  <c r="AC52" i="25"/>
  <c r="AC51" i="25"/>
  <c r="AC47" i="25"/>
  <c r="AC49" i="25"/>
  <c r="AC49" i="44"/>
  <c r="AC48" i="44"/>
  <c r="AC46" i="44"/>
  <c r="AC47" i="44"/>
  <c r="AC50" i="44"/>
  <c r="AC51" i="44"/>
  <c r="AC52" i="44"/>
  <c r="AB47" i="32"/>
  <c r="AB50" i="32"/>
  <c r="AB49" i="32"/>
  <c r="AB46" i="32"/>
  <c r="AB52" i="32"/>
  <c r="AB48" i="32"/>
  <c r="AB51" i="32"/>
  <c r="AC46" i="27"/>
  <c r="AC49" i="27"/>
  <c r="AC48" i="27"/>
  <c r="AC47" i="27"/>
  <c r="AC50" i="27"/>
  <c r="AC51" i="27"/>
  <c r="AC52" i="27"/>
  <c r="AB47" i="31"/>
  <c r="AB52" i="31"/>
  <c r="AB46" i="31"/>
  <c r="AB50" i="31"/>
  <c r="AB49" i="31"/>
  <c r="AB48" i="31"/>
  <c r="AB51" i="31"/>
  <c r="AB52" i="30"/>
  <c r="AB51" i="30"/>
  <c r="AB50" i="30"/>
  <c r="AB46" i="30"/>
  <c r="AB48" i="30"/>
  <c r="AB49" i="30"/>
  <c r="AB47" i="30"/>
  <c r="AC49" i="26"/>
  <c r="AC47" i="26"/>
  <c r="AC52" i="26"/>
  <c r="AC46" i="26"/>
  <c r="AC48" i="26"/>
  <c r="AC50" i="26"/>
  <c r="AC51" i="26"/>
  <c r="AC46" i="50"/>
  <c r="AC52" i="50"/>
  <c r="AC49" i="50"/>
  <c r="AC51" i="50"/>
  <c r="AC48" i="50"/>
  <c r="AC50" i="50"/>
  <c r="AC47" i="50"/>
  <c r="AC51" i="22"/>
  <c r="AC48" i="22"/>
  <c r="AC46" i="22"/>
  <c r="AC47" i="22"/>
  <c r="AC52" i="22"/>
  <c r="AC50" i="22"/>
  <c r="AC49" i="22"/>
  <c r="AC49" i="24"/>
  <c r="AC48" i="24"/>
  <c r="AC51" i="24"/>
  <c r="AC46" i="24"/>
  <c r="AC50" i="24"/>
  <c r="AC47" i="24"/>
  <c r="AC52" i="24"/>
  <c r="AB40" i="31"/>
  <c r="AB34" i="31"/>
  <c r="AB44" i="31"/>
  <c r="AB37" i="31"/>
  <c r="AB45" i="31"/>
  <c r="AB41" i="31"/>
  <c r="AB33" i="31"/>
  <c r="AB38" i="31"/>
  <c r="AB36" i="31"/>
  <c r="AB42" i="31"/>
  <c r="AB39" i="31"/>
  <c r="AB35" i="31"/>
  <c r="AB43" i="31"/>
  <c r="AC40" i="44"/>
  <c r="AC36" i="44"/>
  <c r="AC35" i="44"/>
  <c r="AC39" i="44"/>
  <c r="AC37" i="44"/>
  <c r="AC33" i="44"/>
  <c r="AC45" i="44"/>
  <c r="AC44" i="44"/>
  <c r="AC42" i="44"/>
  <c r="AC38" i="44"/>
  <c r="AC41" i="44"/>
  <c r="AC34" i="44"/>
  <c r="AC43" i="44"/>
  <c r="AB36" i="30"/>
  <c r="AB44" i="30"/>
  <c r="AB40" i="30"/>
  <c r="AB41" i="30"/>
  <c r="AB38" i="30"/>
  <c r="AB43" i="30"/>
  <c r="AB34" i="30"/>
  <c r="AB39" i="30"/>
  <c r="AB45" i="30"/>
  <c r="AB33" i="30"/>
  <c r="AB42" i="30"/>
  <c r="AB35" i="30"/>
  <c r="AB37" i="30"/>
  <c r="AB33" i="37"/>
  <c r="AB34" i="37"/>
  <c r="AB35" i="37"/>
  <c r="AB36" i="37"/>
  <c r="AB37" i="37"/>
  <c r="AB39" i="37"/>
  <c r="AB45" i="37"/>
  <c r="AB44" i="37"/>
  <c r="AB41" i="37"/>
  <c r="AB38" i="37"/>
  <c r="AB42" i="37"/>
  <c r="AB43" i="37"/>
  <c r="AB40" i="37"/>
  <c r="AC45" i="24"/>
  <c r="AC43" i="24"/>
  <c r="AC41" i="24"/>
  <c r="AC39" i="24"/>
  <c r="AC37" i="24"/>
  <c r="AC35" i="24"/>
  <c r="AC33" i="24"/>
  <c r="AC44" i="24"/>
  <c r="AC42" i="24"/>
  <c r="AC36" i="24"/>
  <c r="AC40" i="24"/>
  <c r="AC34" i="24"/>
  <c r="AC38" i="24"/>
  <c r="AC50" i="29"/>
  <c r="AC47" i="29"/>
  <c r="AC51" i="29"/>
  <c r="AC52" i="29"/>
  <c r="AC46" i="29"/>
  <c r="AC48" i="29"/>
  <c r="AC49" i="29"/>
  <c r="AC43" i="22"/>
  <c r="AC35" i="22"/>
  <c r="AC41" i="22"/>
  <c r="AC39" i="22"/>
  <c r="AC40" i="22"/>
  <c r="AC37" i="22"/>
  <c r="AC38" i="22"/>
  <c r="AC42" i="22"/>
  <c r="AC45" i="22"/>
  <c r="AC36" i="22"/>
  <c r="AC44" i="22"/>
  <c r="AC33" i="22"/>
  <c r="AC34" i="22"/>
  <c r="AC40" i="40"/>
  <c r="AC37" i="40"/>
  <c r="AC41" i="40"/>
  <c r="AC36" i="40"/>
  <c r="AC34" i="40"/>
  <c r="AC33" i="40"/>
  <c r="AC39" i="40"/>
  <c r="AC44" i="40"/>
  <c r="AC35" i="40"/>
  <c r="AC43" i="40"/>
  <c r="AC38" i="40"/>
  <c r="AC45" i="40"/>
  <c r="AC42" i="40"/>
  <c r="AC40" i="50"/>
  <c r="AC42" i="50"/>
  <c r="AC38" i="50"/>
  <c r="AC33" i="50"/>
  <c r="AC36" i="50"/>
  <c r="AC43" i="50"/>
  <c r="AC41" i="50"/>
  <c r="AC44" i="50"/>
  <c r="AC34" i="50"/>
  <c r="AC45" i="50"/>
  <c r="AC35" i="50"/>
  <c r="AC37" i="50"/>
  <c r="AC39" i="50"/>
  <c r="AC40" i="25"/>
  <c r="AC41" i="25"/>
  <c r="AC43" i="25"/>
  <c r="AC45" i="25"/>
  <c r="AC35" i="25"/>
  <c r="AC33" i="25"/>
  <c r="AC34" i="25"/>
  <c r="AC39" i="25"/>
  <c r="AC42" i="25"/>
  <c r="AC37" i="25"/>
  <c r="AC38" i="25"/>
  <c r="AC36" i="25"/>
  <c r="AC44" i="25"/>
  <c r="AB43" i="32"/>
  <c r="AB44" i="32"/>
  <c r="AB35" i="32"/>
  <c r="AB40" i="32"/>
  <c r="AB39" i="32"/>
  <c r="AB37" i="32"/>
  <c r="AB45" i="32"/>
  <c r="AB42" i="32"/>
  <c r="AB36" i="32"/>
  <c r="AB34" i="32"/>
  <c r="AB41" i="32"/>
  <c r="AB38" i="32"/>
  <c r="AB33" i="32"/>
  <c r="AC40" i="27"/>
  <c r="AC33" i="27"/>
  <c r="AC39" i="27"/>
  <c r="AC44" i="27"/>
  <c r="AC45" i="27"/>
  <c r="AC34" i="27"/>
  <c r="AC35" i="27"/>
  <c r="AC36" i="27"/>
  <c r="AC37" i="27"/>
  <c r="AC38" i="27"/>
  <c r="AC41" i="27"/>
  <c r="AC43" i="27"/>
  <c r="AC42" i="27"/>
  <c r="AC43" i="26"/>
  <c r="AC45" i="26"/>
  <c r="AC33" i="26"/>
  <c r="AC42" i="26"/>
  <c r="AC35" i="26"/>
  <c r="AC41" i="26"/>
  <c r="AC40" i="26"/>
  <c r="AC36" i="26"/>
  <c r="AC34" i="26"/>
  <c r="AC37" i="26"/>
  <c r="AC39" i="26"/>
  <c r="AC38" i="26"/>
  <c r="AC44" i="26"/>
  <c r="AC45" i="29"/>
  <c r="AC42" i="29"/>
  <c r="AC39" i="29"/>
  <c r="AC43" i="29"/>
  <c r="AC33" i="29"/>
  <c r="AC35" i="29"/>
  <c r="AC38" i="29"/>
  <c r="AC34" i="29"/>
  <c r="AC36" i="29"/>
  <c r="AC40" i="29"/>
  <c r="AC41" i="29"/>
  <c r="AC37" i="29"/>
  <c r="AC44" i="29"/>
  <c r="AC8" i="27"/>
  <c r="AC8" i="44"/>
  <c r="AB8" i="37"/>
  <c r="AC8" i="40"/>
  <c r="AC14" i="50"/>
  <c r="AC28" i="50"/>
  <c r="AC8" i="50"/>
  <c r="AC17" i="50"/>
  <c r="AC27" i="50"/>
  <c r="AC25" i="50"/>
  <c r="AC30" i="50"/>
  <c r="AC10" i="50"/>
  <c r="AC24" i="50"/>
  <c r="AC11" i="50"/>
  <c r="AC9" i="50"/>
  <c r="AC12" i="50"/>
  <c r="AC20" i="50"/>
  <c r="AC29" i="50"/>
  <c r="AC16" i="50"/>
  <c r="AC15" i="50"/>
  <c r="AC21" i="50"/>
  <c r="AC18" i="50"/>
  <c r="AC31" i="50"/>
  <c r="AC32" i="50"/>
  <c r="AC13" i="50"/>
  <c r="AC22" i="50"/>
  <c r="AC23" i="50"/>
  <c r="AC26" i="50"/>
  <c r="AC19" i="50"/>
  <c r="AD3" i="50"/>
  <c r="AD53" i="50" s="1"/>
  <c r="AE4" i="29"/>
  <c r="AE4" i="50"/>
  <c r="AE4" i="27"/>
  <c r="AE4" i="40"/>
  <c r="AE4" i="44"/>
  <c r="AD4" i="37"/>
  <c r="AE4" i="26"/>
  <c r="AE4" i="28"/>
  <c r="AE4" i="22"/>
  <c r="AD4" i="32"/>
  <c r="AD4" i="31"/>
  <c r="AE4" i="25"/>
  <c r="AE4" i="24"/>
  <c r="AD4" i="30"/>
  <c r="AB32" i="32"/>
  <c r="AB26" i="32"/>
  <c r="AB12" i="32"/>
  <c r="AB13" i="32"/>
  <c r="AB27" i="32"/>
  <c r="AB21" i="32"/>
  <c r="AB23" i="32"/>
  <c r="AB16" i="32"/>
  <c r="AB20" i="32"/>
  <c r="AB9" i="32"/>
  <c r="AB31" i="32"/>
  <c r="AB11" i="32"/>
  <c r="AB14" i="32"/>
  <c r="AB24" i="32"/>
  <c r="AB10" i="32"/>
  <c r="AB15" i="32"/>
  <c r="AB25" i="32"/>
  <c r="AB22" i="32"/>
  <c r="AB17" i="32"/>
  <c r="AB28" i="32"/>
  <c r="AB29" i="32"/>
  <c r="AB19" i="32"/>
  <c r="AB30" i="32"/>
  <c r="AB18" i="32"/>
  <c r="AB8" i="32"/>
  <c r="AC8" i="22"/>
  <c r="AD3" i="26"/>
  <c r="AD53" i="26" s="1"/>
  <c r="AC3" i="32"/>
  <c r="AC53" i="32" s="1"/>
  <c r="AC8" i="25"/>
  <c r="AC3" i="30"/>
  <c r="AC53" i="30" s="1"/>
  <c r="AC3" i="31"/>
  <c r="AC53" i="31" s="1"/>
  <c r="AD3" i="27"/>
  <c r="AD53" i="27" s="1"/>
  <c r="AD3" i="25"/>
  <c r="AD53" i="25" s="1"/>
  <c r="AD3" i="24"/>
  <c r="AD53" i="24" s="1"/>
  <c r="AD3" i="22"/>
  <c r="AD53" i="22" s="1"/>
  <c r="AD3" i="40"/>
  <c r="AD53" i="40" s="1"/>
  <c r="AC3" i="37"/>
  <c r="AC53" i="37" s="1"/>
  <c r="AD3" i="29"/>
  <c r="AD53" i="29" s="1"/>
  <c r="AC48" i="28"/>
  <c r="AD3" i="44"/>
  <c r="AD53" i="44" s="1"/>
  <c r="AD3" i="28"/>
  <c r="AD47" i="28" s="1"/>
  <c r="AC47" i="28"/>
  <c r="AD49" i="40" l="1"/>
  <c r="AD52" i="40"/>
  <c r="AD48" i="40"/>
  <c r="AD47" i="40"/>
  <c r="AD46" i="40"/>
  <c r="AD50" i="40"/>
  <c r="AD51" i="40"/>
  <c r="AC51" i="37"/>
  <c r="AC50" i="37"/>
  <c r="AC47" i="37"/>
  <c r="AC49" i="37"/>
  <c r="AC48" i="37"/>
  <c r="AC46" i="37"/>
  <c r="AC52" i="37"/>
  <c r="AD46" i="44"/>
  <c r="AD47" i="44"/>
  <c r="AD48" i="44"/>
  <c r="AD49" i="44"/>
  <c r="AD52" i="44"/>
  <c r="AD51" i="44"/>
  <c r="AD50" i="44"/>
  <c r="AD48" i="27"/>
  <c r="AD46" i="27"/>
  <c r="AD50" i="27"/>
  <c r="AD47" i="27"/>
  <c r="AD52" i="27"/>
  <c r="AD51" i="27"/>
  <c r="AD49" i="27"/>
  <c r="AC52" i="32"/>
  <c r="AC50" i="32"/>
  <c r="AC48" i="32"/>
  <c r="AC49" i="32"/>
  <c r="AC47" i="32"/>
  <c r="AC51" i="32"/>
  <c r="AC46" i="32"/>
  <c r="AD49" i="22"/>
  <c r="AD47" i="22"/>
  <c r="AD46" i="22"/>
  <c r="AD50" i="22"/>
  <c r="AD51" i="22"/>
  <c r="AD48" i="22"/>
  <c r="AD52" i="22"/>
  <c r="AC46" i="31"/>
  <c r="AC50" i="31"/>
  <c r="AC49" i="31"/>
  <c r="AC52" i="31"/>
  <c r="AC48" i="31"/>
  <c r="AC47" i="31"/>
  <c r="AC51" i="31"/>
  <c r="AD50" i="26"/>
  <c r="AD47" i="26"/>
  <c r="AD46" i="26"/>
  <c r="AD48" i="26"/>
  <c r="AD52" i="26"/>
  <c r="AD49" i="26"/>
  <c r="AD51" i="26"/>
  <c r="AC48" i="30"/>
  <c r="AC50" i="30"/>
  <c r="AC52" i="30"/>
  <c r="AC47" i="30"/>
  <c r="AC49" i="30"/>
  <c r="AC46" i="30"/>
  <c r="AC51" i="30"/>
  <c r="AD52" i="50"/>
  <c r="AD50" i="50"/>
  <c r="AD46" i="50"/>
  <c r="AD47" i="50"/>
  <c r="AD48" i="50"/>
  <c r="AD49" i="50"/>
  <c r="AD51" i="50"/>
  <c r="AD49" i="25"/>
  <c r="AD46" i="25"/>
  <c r="AD51" i="25"/>
  <c r="AD52" i="25"/>
  <c r="AD47" i="25"/>
  <c r="AD48" i="25"/>
  <c r="AD50" i="25"/>
  <c r="AD51" i="24"/>
  <c r="AD46" i="24"/>
  <c r="AD49" i="24"/>
  <c r="AD50" i="24"/>
  <c r="AD48" i="24"/>
  <c r="AD47" i="24"/>
  <c r="AD52" i="24"/>
  <c r="AD38" i="24"/>
  <c r="AD34" i="24"/>
  <c r="AD40" i="24"/>
  <c r="AD44" i="24"/>
  <c r="AD42" i="24"/>
  <c r="AD41" i="24"/>
  <c r="AD45" i="24"/>
  <c r="AD36" i="24"/>
  <c r="AD33" i="24"/>
  <c r="AD35" i="24"/>
  <c r="AD37" i="24"/>
  <c r="AD39" i="24"/>
  <c r="AD43" i="24"/>
  <c r="AD43" i="50"/>
  <c r="AD41" i="50"/>
  <c r="AD34" i="50"/>
  <c r="AD45" i="50"/>
  <c r="AD40" i="50"/>
  <c r="AD33" i="50"/>
  <c r="AD36" i="50"/>
  <c r="AD37" i="50"/>
  <c r="AD39" i="50"/>
  <c r="AD42" i="50"/>
  <c r="AD38" i="50"/>
  <c r="AD35" i="50"/>
  <c r="AD44" i="50"/>
  <c r="AD51" i="29"/>
  <c r="AD52" i="29"/>
  <c r="AD46" i="29"/>
  <c r="AD47" i="29"/>
  <c r="AD50" i="29"/>
  <c r="AD48" i="29"/>
  <c r="AD49" i="29"/>
  <c r="AC43" i="30"/>
  <c r="AC40" i="30"/>
  <c r="AC39" i="30"/>
  <c r="AC35" i="30"/>
  <c r="AC45" i="30"/>
  <c r="AC33" i="30"/>
  <c r="AC34" i="30"/>
  <c r="AC38" i="30"/>
  <c r="AC44" i="30"/>
  <c r="AC41" i="30"/>
  <c r="AC42" i="30"/>
  <c r="AC37" i="30"/>
  <c r="AC36" i="30"/>
  <c r="AC33" i="37"/>
  <c r="AC44" i="37"/>
  <c r="AC35" i="37"/>
  <c r="AC41" i="37"/>
  <c r="AC36" i="37"/>
  <c r="AC38" i="37"/>
  <c r="AC42" i="37"/>
  <c r="AC37" i="37"/>
  <c r="AC43" i="37"/>
  <c r="AC40" i="37"/>
  <c r="AC39" i="37"/>
  <c r="AC34" i="37"/>
  <c r="AC45" i="37"/>
  <c r="AD41" i="25"/>
  <c r="AD40" i="25"/>
  <c r="AD35" i="25"/>
  <c r="AD39" i="25"/>
  <c r="AD37" i="25"/>
  <c r="AD33" i="25"/>
  <c r="AD42" i="25"/>
  <c r="AD38" i="25"/>
  <c r="AD34" i="25"/>
  <c r="AD43" i="25"/>
  <c r="AD45" i="25"/>
  <c r="AD36" i="25"/>
  <c r="AD44" i="25"/>
  <c r="AD42" i="44"/>
  <c r="AD40" i="44"/>
  <c r="AD35" i="44"/>
  <c r="AD34" i="44"/>
  <c r="AD45" i="44"/>
  <c r="AD44" i="44"/>
  <c r="AD38" i="44"/>
  <c r="AD37" i="44"/>
  <c r="AD39" i="44"/>
  <c r="AD36" i="44"/>
  <c r="AD41" i="44"/>
  <c r="AD43" i="44"/>
  <c r="AD33" i="44"/>
  <c r="AD36" i="27"/>
  <c r="AD33" i="27"/>
  <c r="AD41" i="27"/>
  <c r="AD39" i="27"/>
  <c r="AD42" i="27"/>
  <c r="AD44" i="27"/>
  <c r="AD38" i="27"/>
  <c r="AD34" i="27"/>
  <c r="AD43" i="27"/>
  <c r="AD45" i="27"/>
  <c r="AD40" i="27"/>
  <c r="AD35" i="27"/>
  <c r="AD37" i="27"/>
  <c r="AD36" i="40"/>
  <c r="AD33" i="40"/>
  <c r="AD40" i="40"/>
  <c r="AD44" i="40"/>
  <c r="AD43" i="40"/>
  <c r="AD42" i="40"/>
  <c r="AD37" i="40"/>
  <c r="AD39" i="40"/>
  <c r="AD35" i="40"/>
  <c r="AD41" i="40"/>
  <c r="AD38" i="40"/>
  <c r="AD45" i="40"/>
  <c r="AD34" i="40"/>
  <c r="AC43" i="32"/>
  <c r="AC42" i="32"/>
  <c r="AC39" i="32"/>
  <c r="AC35" i="32"/>
  <c r="AC38" i="32"/>
  <c r="AC33" i="32"/>
  <c r="AC36" i="32"/>
  <c r="AC37" i="32"/>
  <c r="AC34" i="32"/>
  <c r="AC44" i="32"/>
  <c r="AC45" i="32"/>
  <c r="AC40" i="32"/>
  <c r="AC41" i="32"/>
  <c r="AD35" i="22"/>
  <c r="AD44" i="22"/>
  <c r="AD38" i="22"/>
  <c r="AD36" i="22"/>
  <c r="AD40" i="22"/>
  <c r="AD41" i="22"/>
  <c r="AD43" i="22"/>
  <c r="AD39" i="22"/>
  <c r="AD42" i="22"/>
  <c r="AD37" i="22"/>
  <c r="AD33" i="22"/>
  <c r="AD34" i="22"/>
  <c r="AD45" i="22"/>
  <c r="AC39" i="31"/>
  <c r="AC36" i="31"/>
  <c r="AC41" i="31"/>
  <c r="AC44" i="31"/>
  <c r="AC37" i="31"/>
  <c r="AC35" i="31"/>
  <c r="AC38" i="31"/>
  <c r="AC40" i="31"/>
  <c r="AC42" i="31"/>
  <c r="AC45" i="31"/>
  <c r="AC33" i="31"/>
  <c r="AC34" i="31"/>
  <c r="AC43" i="31"/>
  <c r="AD44" i="26"/>
  <c r="AD41" i="26"/>
  <c r="AD39" i="26"/>
  <c r="AD37" i="26"/>
  <c r="AD34" i="26"/>
  <c r="AD42" i="26"/>
  <c r="AD35" i="26"/>
  <c r="AD38" i="26"/>
  <c r="AD43" i="26"/>
  <c r="AD40" i="26"/>
  <c r="AD36" i="26"/>
  <c r="AD45" i="26"/>
  <c r="AD33" i="26"/>
  <c r="AD44" i="29"/>
  <c r="AD39" i="29"/>
  <c r="AD34" i="29"/>
  <c r="AD38" i="29"/>
  <c r="AD33" i="29"/>
  <c r="AD35" i="29"/>
  <c r="AD36" i="29"/>
  <c r="AD37" i="29"/>
  <c r="AD43" i="29"/>
  <c r="AD40" i="29"/>
  <c r="AD45" i="29"/>
  <c r="AD41" i="29"/>
  <c r="AD42" i="29"/>
  <c r="AD8" i="27"/>
  <c r="AD8" i="44"/>
  <c r="AC8" i="37"/>
  <c r="AD8" i="40"/>
  <c r="AD17" i="50"/>
  <c r="AD27" i="50"/>
  <c r="AD9" i="50"/>
  <c r="AD26" i="50"/>
  <c r="AD20" i="50"/>
  <c r="AD32" i="50"/>
  <c r="AD29" i="50"/>
  <c r="AD25" i="50"/>
  <c r="AD23" i="50"/>
  <c r="AD15" i="50"/>
  <c r="AD21" i="50"/>
  <c r="AD14" i="50"/>
  <c r="AD12" i="50"/>
  <c r="AD19" i="50"/>
  <c r="AD22" i="50"/>
  <c r="AD13" i="50"/>
  <c r="AD30" i="50"/>
  <c r="AD8" i="50"/>
  <c r="AD10" i="50"/>
  <c r="AD18" i="50"/>
  <c r="AD16" i="50"/>
  <c r="AD31" i="50"/>
  <c r="AD28" i="50"/>
  <c r="AD11" i="50"/>
  <c r="AD24" i="50"/>
  <c r="AE3" i="50"/>
  <c r="AE53" i="50" s="1"/>
  <c r="AF4" i="29"/>
  <c r="AF4" i="50"/>
  <c r="AF4" i="40"/>
  <c r="AF4" i="44"/>
  <c r="AE4" i="37"/>
  <c r="AF4" i="28"/>
  <c r="AF4" i="27"/>
  <c r="AE4" i="31"/>
  <c r="AF4" i="25"/>
  <c r="AF4" i="26"/>
  <c r="AF4" i="24"/>
  <c r="AF4" i="22"/>
  <c r="AE4" i="32"/>
  <c r="AE4" i="30"/>
  <c r="AD8" i="22"/>
  <c r="AC29" i="32"/>
  <c r="AC23" i="32"/>
  <c r="AC26" i="32"/>
  <c r="AC18" i="32"/>
  <c r="AC16" i="32"/>
  <c r="AC12" i="32"/>
  <c r="AC31" i="32"/>
  <c r="AC20" i="32"/>
  <c r="AC27" i="32"/>
  <c r="AC11" i="32"/>
  <c r="AC9" i="32"/>
  <c r="AC10" i="32"/>
  <c r="AC25" i="32"/>
  <c r="AC21" i="32"/>
  <c r="AC30" i="32"/>
  <c r="AC22" i="32"/>
  <c r="AC19" i="32"/>
  <c r="AC14" i="32"/>
  <c r="AC17" i="32"/>
  <c r="AC15" i="32"/>
  <c r="AC32" i="32"/>
  <c r="AC8" i="32"/>
  <c r="AC28" i="32"/>
  <c r="AC13" i="32"/>
  <c r="AC24" i="32"/>
  <c r="AE3" i="26"/>
  <c r="AE53" i="26" s="1"/>
  <c r="AE3" i="44"/>
  <c r="AE53" i="44" s="1"/>
  <c r="AE3" i="28"/>
  <c r="AE48" i="28" s="1"/>
  <c r="AD3" i="30"/>
  <c r="AD53" i="30" s="1"/>
  <c r="AE3" i="40"/>
  <c r="AE53" i="40" s="1"/>
  <c r="AE3" i="27"/>
  <c r="AE53" i="27" s="1"/>
  <c r="AD3" i="32"/>
  <c r="AD53" i="32" s="1"/>
  <c r="AE3" i="29"/>
  <c r="AE53" i="29" s="1"/>
  <c r="AD8" i="25"/>
  <c r="AE3" i="22"/>
  <c r="AE53" i="22" s="1"/>
  <c r="AD3" i="37"/>
  <c r="AD53" i="37" s="1"/>
  <c r="AE3" i="25"/>
  <c r="AE53" i="25" s="1"/>
  <c r="AD46" i="28"/>
  <c r="AD3" i="31"/>
  <c r="AD53" i="31" s="1"/>
  <c r="AD48" i="28"/>
  <c r="AE3" i="24"/>
  <c r="AE53" i="24" s="1"/>
  <c r="C13" i="28"/>
  <c r="H14" i="42"/>
  <c r="H15" i="42"/>
  <c r="B51" i="66" s="1"/>
  <c r="O15" i="42"/>
  <c r="B58" i="66" s="1"/>
  <c r="AE50" i="40" l="1"/>
  <c r="AE46" i="40"/>
  <c r="AE48" i="40"/>
  <c r="AE49" i="40"/>
  <c r="AE52" i="40"/>
  <c r="AE51" i="40"/>
  <c r="AE47" i="40"/>
  <c r="AD47" i="37"/>
  <c r="AD46" i="37"/>
  <c r="AD48" i="37"/>
  <c r="AD49" i="37"/>
  <c r="AD50" i="37"/>
  <c r="AD51" i="37"/>
  <c r="AD52" i="37"/>
  <c r="AD46" i="31"/>
  <c r="AD47" i="31"/>
  <c r="AD48" i="31"/>
  <c r="AD50" i="31"/>
  <c r="AD52" i="31"/>
  <c r="AD49" i="31"/>
  <c r="AD51" i="31"/>
  <c r="AE50" i="22"/>
  <c r="AE47" i="22"/>
  <c r="AE48" i="22"/>
  <c r="AE52" i="22"/>
  <c r="AE49" i="22"/>
  <c r="AE46" i="22"/>
  <c r="AE51" i="22"/>
  <c r="AE48" i="27"/>
  <c r="AE46" i="27"/>
  <c r="AE47" i="27"/>
  <c r="AE50" i="27"/>
  <c r="AE51" i="27"/>
  <c r="AE52" i="27"/>
  <c r="AE49" i="27"/>
  <c r="AE52" i="44"/>
  <c r="AE47" i="44"/>
  <c r="AE49" i="44"/>
  <c r="AE46" i="44"/>
  <c r="AE51" i="44"/>
  <c r="AE50" i="44"/>
  <c r="AE48" i="44"/>
  <c r="AE51" i="25"/>
  <c r="AE48" i="25"/>
  <c r="AE50" i="25"/>
  <c r="AE47" i="25"/>
  <c r="AE46" i="25"/>
  <c r="AE49" i="25"/>
  <c r="AE52" i="25"/>
  <c r="AD46" i="30"/>
  <c r="AD51" i="30"/>
  <c r="AD48" i="30"/>
  <c r="AD49" i="30"/>
  <c r="AD47" i="30"/>
  <c r="AD52" i="30"/>
  <c r="AD50" i="30"/>
  <c r="AD48" i="32"/>
  <c r="AD51" i="32"/>
  <c r="AD46" i="32"/>
  <c r="AD47" i="32"/>
  <c r="AD52" i="32"/>
  <c r="AD50" i="32"/>
  <c r="AD49" i="32"/>
  <c r="AE48" i="26"/>
  <c r="AE50" i="26"/>
  <c r="AE51" i="26"/>
  <c r="AE49" i="26"/>
  <c r="AE47" i="26"/>
  <c r="AE46" i="26"/>
  <c r="AE52" i="26"/>
  <c r="AE46" i="50"/>
  <c r="AE51" i="50"/>
  <c r="AE48" i="50"/>
  <c r="AE52" i="50"/>
  <c r="AE50" i="50"/>
  <c r="AE49" i="50"/>
  <c r="AE47" i="50"/>
  <c r="AE47" i="24"/>
  <c r="AE51" i="24"/>
  <c r="AE46" i="24"/>
  <c r="AE48" i="24"/>
  <c r="AE52" i="24"/>
  <c r="AE49" i="24"/>
  <c r="AE50" i="24"/>
  <c r="AE40" i="26"/>
  <c r="AE42" i="26"/>
  <c r="AE44" i="26"/>
  <c r="AE33" i="26"/>
  <c r="AE35" i="26"/>
  <c r="AE34" i="26"/>
  <c r="AE37" i="26"/>
  <c r="AE36" i="26"/>
  <c r="AE38" i="26"/>
  <c r="AE41" i="26"/>
  <c r="AE43" i="26"/>
  <c r="AE45" i="26"/>
  <c r="AE39" i="26"/>
  <c r="AE39" i="24"/>
  <c r="AE41" i="24"/>
  <c r="AE35" i="24"/>
  <c r="AE37" i="24"/>
  <c r="AE36" i="24"/>
  <c r="AE42" i="24"/>
  <c r="AE34" i="24"/>
  <c r="AE44" i="24"/>
  <c r="AE40" i="24"/>
  <c r="AE43" i="24"/>
  <c r="AE45" i="24"/>
  <c r="AE38" i="24"/>
  <c r="AE33" i="24"/>
  <c r="AE43" i="25"/>
  <c r="AE45" i="25"/>
  <c r="AE44" i="25"/>
  <c r="AE35" i="25"/>
  <c r="AE33" i="25"/>
  <c r="AE41" i="25"/>
  <c r="AE40" i="25"/>
  <c r="AE42" i="25"/>
  <c r="AE34" i="25"/>
  <c r="AE36" i="25"/>
  <c r="AE38" i="25"/>
  <c r="AE37" i="25"/>
  <c r="AE39" i="25"/>
  <c r="AE49" i="29"/>
  <c r="AE52" i="29"/>
  <c r="AE47" i="29"/>
  <c r="AE50" i="29"/>
  <c r="AE48" i="29"/>
  <c r="AE46" i="29"/>
  <c r="AE51" i="29"/>
  <c r="AD42" i="30"/>
  <c r="AD34" i="30"/>
  <c r="AD38" i="30"/>
  <c r="AD43" i="30"/>
  <c r="AD33" i="30"/>
  <c r="AD36" i="30"/>
  <c r="AD37" i="30"/>
  <c r="AD39" i="30"/>
  <c r="AD40" i="30"/>
  <c r="AD41" i="30"/>
  <c r="AD44" i="30"/>
  <c r="AD45" i="30"/>
  <c r="AD35" i="30"/>
  <c r="AE37" i="50"/>
  <c r="AE45" i="50"/>
  <c r="AE41" i="50"/>
  <c r="AE39" i="50"/>
  <c r="AE36" i="50"/>
  <c r="AE34" i="50"/>
  <c r="AE42" i="50"/>
  <c r="AE44" i="50"/>
  <c r="AE33" i="50"/>
  <c r="AE43" i="50"/>
  <c r="AE35" i="50"/>
  <c r="AE38" i="50"/>
  <c r="AE40" i="50"/>
  <c r="AD33" i="37"/>
  <c r="AD38" i="37"/>
  <c r="AD34" i="37"/>
  <c r="AD35" i="37"/>
  <c r="AD36" i="37"/>
  <c r="AD37" i="37"/>
  <c r="AD42" i="37"/>
  <c r="AD43" i="37"/>
  <c r="AD40" i="37"/>
  <c r="AD39" i="37"/>
  <c r="AD45" i="37"/>
  <c r="AD44" i="37"/>
  <c r="AD41" i="37"/>
  <c r="AD38" i="32"/>
  <c r="AD33" i="32"/>
  <c r="AD42" i="32"/>
  <c r="AD41" i="32"/>
  <c r="AD37" i="32"/>
  <c r="AD35" i="32"/>
  <c r="AD39" i="32"/>
  <c r="AD36" i="32"/>
  <c r="AD34" i="32"/>
  <c r="AD40" i="32"/>
  <c r="AD45" i="32"/>
  <c r="AD43" i="32"/>
  <c r="AD44" i="32"/>
  <c r="AD34" i="31"/>
  <c r="AD33" i="31"/>
  <c r="AD38" i="31"/>
  <c r="AD40" i="31"/>
  <c r="AD44" i="31"/>
  <c r="AD37" i="31"/>
  <c r="AD41" i="31"/>
  <c r="AD45" i="31"/>
  <c r="AD35" i="31"/>
  <c r="AD36" i="31"/>
  <c r="AD39" i="31"/>
  <c r="AD42" i="31"/>
  <c r="AD43" i="31"/>
  <c r="AE45" i="22"/>
  <c r="AE35" i="22"/>
  <c r="AE41" i="22"/>
  <c r="AE37" i="22"/>
  <c r="AE34" i="22"/>
  <c r="AE36" i="22"/>
  <c r="AE39" i="22"/>
  <c r="AE43" i="22"/>
  <c r="AE44" i="22"/>
  <c r="AE38" i="22"/>
  <c r="AE33" i="22"/>
  <c r="AE40" i="22"/>
  <c r="AE42" i="22"/>
  <c r="AE43" i="27"/>
  <c r="AE41" i="27"/>
  <c r="AE36" i="27"/>
  <c r="AE38" i="27"/>
  <c r="AE37" i="27"/>
  <c r="AE33" i="27"/>
  <c r="AE35" i="27"/>
  <c r="AE39" i="27"/>
  <c r="AE40" i="27"/>
  <c r="AE45" i="27"/>
  <c r="AE34" i="27"/>
  <c r="AE42" i="27"/>
  <c r="AE44" i="27"/>
  <c r="AE38" i="44"/>
  <c r="AE33" i="44"/>
  <c r="AE45" i="44"/>
  <c r="AE34" i="44"/>
  <c r="AE35" i="44"/>
  <c r="AE43" i="44"/>
  <c r="AE40" i="44"/>
  <c r="AE44" i="44"/>
  <c r="AE36" i="44"/>
  <c r="AE37" i="44"/>
  <c r="AE39" i="44"/>
  <c r="AE41" i="44"/>
  <c r="AE42" i="44"/>
  <c r="AE40" i="40"/>
  <c r="AE38" i="40"/>
  <c r="AE39" i="40"/>
  <c r="AE36" i="40"/>
  <c r="AE41" i="40"/>
  <c r="AE34" i="40"/>
  <c r="AE33" i="40"/>
  <c r="AE37" i="40"/>
  <c r="AE42" i="40"/>
  <c r="AE45" i="40"/>
  <c r="AE44" i="40"/>
  <c r="AE35" i="40"/>
  <c r="AE43" i="40"/>
  <c r="AE39" i="29"/>
  <c r="AE38" i="29"/>
  <c r="AE41" i="29"/>
  <c r="AE37" i="29"/>
  <c r="AE45" i="29"/>
  <c r="AE44" i="29"/>
  <c r="AE34" i="29"/>
  <c r="AE40" i="29"/>
  <c r="AE43" i="29"/>
  <c r="AE42" i="29"/>
  <c r="AE33" i="29"/>
  <c r="AE35" i="29"/>
  <c r="AE36" i="29"/>
  <c r="AE8" i="27"/>
  <c r="AE8" i="44"/>
  <c r="AD8" i="37"/>
  <c r="AE8" i="40"/>
  <c r="AE17" i="50"/>
  <c r="AE10" i="50"/>
  <c r="AE13" i="50"/>
  <c r="AE28" i="50"/>
  <c r="AE12" i="50"/>
  <c r="AE27" i="50"/>
  <c r="AE32" i="50"/>
  <c r="AE23" i="50"/>
  <c r="AE26" i="50"/>
  <c r="AE15" i="50"/>
  <c r="AE8" i="50"/>
  <c r="AE9" i="50"/>
  <c r="AE18" i="50"/>
  <c r="AE14" i="50"/>
  <c r="AE31" i="50"/>
  <c r="AE16" i="50"/>
  <c r="AE24" i="50"/>
  <c r="AE29" i="50"/>
  <c r="AE19" i="50"/>
  <c r="AE30" i="50"/>
  <c r="AE20" i="50"/>
  <c r="AE21" i="50"/>
  <c r="AE22" i="50"/>
  <c r="AE25" i="50"/>
  <c r="AF3" i="50"/>
  <c r="AF53" i="50" s="1"/>
  <c r="AE11" i="50"/>
  <c r="AG4" i="29"/>
  <c r="AG4" i="50"/>
  <c r="AF4" i="37"/>
  <c r="AG4" i="28"/>
  <c r="AG4" i="27"/>
  <c r="AG4" i="40"/>
  <c r="AG4" i="44"/>
  <c r="AG4" i="25"/>
  <c r="AG4" i="26"/>
  <c r="AG4" i="24"/>
  <c r="AG4" i="22"/>
  <c r="AF4" i="32"/>
  <c r="AF4" i="31"/>
  <c r="AF4" i="30"/>
  <c r="AE8" i="22"/>
  <c r="AE46" i="28"/>
  <c r="AE8" i="25"/>
  <c r="AD29" i="32"/>
  <c r="AD13" i="32"/>
  <c r="AD19" i="32"/>
  <c r="AD28" i="32"/>
  <c r="AD25" i="32"/>
  <c r="AD23" i="32"/>
  <c r="AD30" i="32"/>
  <c r="AD32" i="32"/>
  <c r="AD22" i="32"/>
  <c r="AD11" i="32"/>
  <c r="AD26" i="32"/>
  <c r="AD18" i="32"/>
  <c r="AD9" i="32"/>
  <c r="AD17" i="32"/>
  <c r="AD20" i="32"/>
  <c r="AD24" i="32"/>
  <c r="AD31" i="32"/>
  <c r="AD14" i="32"/>
  <c r="AD12" i="32"/>
  <c r="AD16" i="32"/>
  <c r="AD10" i="32"/>
  <c r="AD27" i="32"/>
  <c r="AD21" i="32"/>
  <c r="AD8" i="32"/>
  <c r="AD15" i="32"/>
  <c r="AF3" i="44"/>
  <c r="AF53" i="44" s="1"/>
  <c r="AE3" i="37"/>
  <c r="AE53" i="37" s="1"/>
  <c r="AF3" i="40"/>
  <c r="AF53" i="40" s="1"/>
  <c r="AF3" i="28"/>
  <c r="AF46" i="28" s="1"/>
  <c r="AF3" i="26"/>
  <c r="AF53" i="26" s="1"/>
  <c r="AE3" i="32"/>
  <c r="AE53" i="32" s="1"/>
  <c r="AF3" i="25"/>
  <c r="AF53" i="25" s="1"/>
  <c r="AE3" i="31"/>
  <c r="AE53" i="31" s="1"/>
  <c r="AF3" i="27"/>
  <c r="AF53" i="27" s="1"/>
  <c r="AE3" i="30"/>
  <c r="AE53" i="30" s="1"/>
  <c r="AF3" i="24"/>
  <c r="AF53" i="24" s="1"/>
  <c r="AF3" i="22"/>
  <c r="AF53" i="22" s="1"/>
  <c r="AF3" i="29"/>
  <c r="AF53" i="29" s="1"/>
  <c r="AE47" i="28"/>
  <c r="C14" i="28"/>
  <c r="C26" i="28"/>
  <c r="C30" i="28"/>
  <c r="AE49" i="37" l="1"/>
  <c r="AE48" i="37"/>
  <c r="AE47" i="37"/>
  <c r="AE50" i="37"/>
  <c r="AE46" i="37"/>
  <c r="AE52" i="37"/>
  <c r="AE51" i="37"/>
  <c r="AF51" i="40"/>
  <c r="AF47" i="40"/>
  <c r="AF49" i="40"/>
  <c r="AF50" i="40"/>
  <c r="AF46" i="40"/>
  <c r="AF48" i="40"/>
  <c r="AF52" i="40"/>
  <c r="AF50" i="25"/>
  <c r="AF46" i="25"/>
  <c r="AF51" i="25"/>
  <c r="AF48" i="25"/>
  <c r="AF47" i="25"/>
  <c r="AF52" i="25"/>
  <c r="AF49" i="25"/>
  <c r="AF51" i="22"/>
  <c r="AF52" i="22"/>
  <c r="AF47" i="22"/>
  <c r="AF48" i="22"/>
  <c r="AF49" i="22"/>
  <c r="AF46" i="22"/>
  <c r="AF50" i="22"/>
  <c r="AE50" i="31"/>
  <c r="AE47" i="31"/>
  <c r="AE46" i="31"/>
  <c r="AE52" i="31"/>
  <c r="AE48" i="31"/>
  <c r="AE51" i="31"/>
  <c r="AE49" i="31"/>
  <c r="AE47" i="32"/>
  <c r="AE50" i="32"/>
  <c r="AE48" i="32"/>
  <c r="AE52" i="32"/>
  <c r="AE49" i="32"/>
  <c r="AE51" i="32"/>
  <c r="AE46" i="32"/>
  <c r="AE50" i="30"/>
  <c r="AE47" i="30"/>
  <c r="AE46" i="30"/>
  <c r="AE52" i="30"/>
  <c r="AE51" i="30"/>
  <c r="AE48" i="30"/>
  <c r="AE49" i="30"/>
  <c r="AF50" i="27"/>
  <c r="AF46" i="27"/>
  <c r="AF52" i="27"/>
  <c r="AF51" i="27"/>
  <c r="AF49" i="27"/>
  <c r="AF48" i="27"/>
  <c r="AF47" i="27"/>
  <c r="AF47" i="26"/>
  <c r="AF49" i="26"/>
  <c r="AF51" i="26"/>
  <c r="AF52" i="26"/>
  <c r="AF46" i="26"/>
  <c r="AF48" i="26"/>
  <c r="AF50" i="26"/>
  <c r="AF48" i="44"/>
  <c r="AF51" i="44"/>
  <c r="AF49" i="44"/>
  <c r="AF50" i="44"/>
  <c r="AF52" i="44"/>
  <c r="AF47" i="44"/>
  <c r="AF46" i="44"/>
  <c r="AF46" i="50"/>
  <c r="AF51" i="50"/>
  <c r="AF49" i="50"/>
  <c r="AF47" i="50"/>
  <c r="AF52" i="50"/>
  <c r="AF48" i="50"/>
  <c r="AF50" i="50"/>
  <c r="AF46" i="24"/>
  <c r="AF49" i="24"/>
  <c r="AF48" i="24"/>
  <c r="AF47" i="24"/>
  <c r="AF52" i="24"/>
  <c r="AF50" i="24"/>
  <c r="AF51" i="24"/>
  <c r="AE39" i="32"/>
  <c r="AE45" i="32"/>
  <c r="AE43" i="32"/>
  <c r="AE40" i="32"/>
  <c r="AE35" i="32"/>
  <c r="AE41" i="32"/>
  <c r="AE38" i="32"/>
  <c r="AE33" i="32"/>
  <c r="AE37" i="32"/>
  <c r="AE34" i="32"/>
  <c r="AE36" i="32"/>
  <c r="AE42" i="32"/>
  <c r="AE44" i="32"/>
  <c r="AF50" i="29"/>
  <c r="AF48" i="29"/>
  <c r="AF47" i="29"/>
  <c r="AF51" i="29"/>
  <c r="AF52" i="29"/>
  <c r="AF46" i="29"/>
  <c r="AF49" i="29"/>
  <c r="AF45" i="26"/>
  <c r="AF43" i="26"/>
  <c r="AF40" i="26"/>
  <c r="AF38" i="26"/>
  <c r="AF33" i="26"/>
  <c r="AF34" i="26"/>
  <c r="AF39" i="26"/>
  <c r="AF41" i="26"/>
  <c r="AF44" i="26"/>
  <c r="AF36" i="26"/>
  <c r="AF35" i="26"/>
  <c r="AF37" i="26"/>
  <c r="AF42" i="26"/>
  <c r="AF42" i="50"/>
  <c r="AF39" i="50"/>
  <c r="AF44" i="50"/>
  <c r="AF45" i="50"/>
  <c r="AF37" i="50"/>
  <c r="AF36" i="50"/>
  <c r="AF43" i="50"/>
  <c r="AF41" i="50"/>
  <c r="AF34" i="50"/>
  <c r="AF35" i="50"/>
  <c r="AF38" i="50"/>
  <c r="AF33" i="50"/>
  <c r="AF40" i="50"/>
  <c r="AE37" i="30"/>
  <c r="AE41" i="30"/>
  <c r="AE45" i="30"/>
  <c r="AE40" i="30"/>
  <c r="AE33" i="30"/>
  <c r="AE38" i="30"/>
  <c r="AE44" i="30"/>
  <c r="AE35" i="30"/>
  <c r="AE39" i="30"/>
  <c r="AE42" i="30"/>
  <c r="AE43" i="30"/>
  <c r="AE34" i="30"/>
  <c r="AE36" i="30"/>
  <c r="AF45" i="27"/>
  <c r="AF44" i="27"/>
  <c r="AF42" i="27"/>
  <c r="AF33" i="27"/>
  <c r="AF36" i="27"/>
  <c r="AF39" i="27"/>
  <c r="AF37" i="27"/>
  <c r="AF35" i="27"/>
  <c r="AF40" i="27"/>
  <c r="AF43" i="27"/>
  <c r="AF34" i="27"/>
  <c r="AF38" i="27"/>
  <c r="AF41" i="27"/>
  <c r="AF45" i="44"/>
  <c r="AF42" i="44"/>
  <c r="AF40" i="44"/>
  <c r="AF36" i="44"/>
  <c r="AF44" i="44"/>
  <c r="AF35" i="44"/>
  <c r="AF34" i="44"/>
  <c r="AF33" i="44"/>
  <c r="AF41" i="44"/>
  <c r="AF37" i="44"/>
  <c r="AF38" i="44"/>
  <c r="AF43" i="44"/>
  <c r="AF39" i="44"/>
  <c r="AF44" i="22"/>
  <c r="AF37" i="22"/>
  <c r="AF40" i="22"/>
  <c r="AF41" i="22"/>
  <c r="AF36" i="22"/>
  <c r="AF34" i="22"/>
  <c r="AF39" i="22"/>
  <c r="AF35" i="22"/>
  <c r="AF45" i="22"/>
  <c r="AF43" i="22"/>
  <c r="AF33" i="22"/>
  <c r="AF42" i="22"/>
  <c r="AF38" i="22"/>
  <c r="AE45" i="31"/>
  <c r="AE39" i="31"/>
  <c r="AE37" i="31"/>
  <c r="AE34" i="31"/>
  <c r="AE42" i="31"/>
  <c r="AE41" i="31"/>
  <c r="AE38" i="31"/>
  <c r="AE40" i="31"/>
  <c r="AE33" i="31"/>
  <c r="AE35" i="31"/>
  <c r="AE36" i="31"/>
  <c r="AE43" i="31"/>
  <c r="AE44" i="31"/>
  <c r="AE35" i="37"/>
  <c r="AE36" i="37"/>
  <c r="AE33" i="37"/>
  <c r="AE42" i="37"/>
  <c r="AE43" i="37"/>
  <c r="AE34" i="37"/>
  <c r="AE37" i="37"/>
  <c r="AE45" i="37"/>
  <c r="AE44" i="37"/>
  <c r="AE38" i="37"/>
  <c r="AE39" i="37"/>
  <c r="AE40" i="37"/>
  <c r="AE41" i="37"/>
  <c r="AF45" i="24"/>
  <c r="AF43" i="24"/>
  <c r="AF41" i="24"/>
  <c r="AF33" i="24"/>
  <c r="AF37" i="24"/>
  <c r="AF39" i="24"/>
  <c r="AF35" i="24"/>
  <c r="AF36" i="24"/>
  <c r="AF38" i="24"/>
  <c r="AF44" i="24"/>
  <c r="AF34" i="24"/>
  <c r="AF40" i="24"/>
  <c r="AF42" i="24"/>
  <c r="AF43" i="25"/>
  <c r="AF41" i="25"/>
  <c r="AF39" i="25"/>
  <c r="AF40" i="25"/>
  <c r="AF34" i="25"/>
  <c r="AF45" i="25"/>
  <c r="AF38" i="25"/>
  <c r="AF36" i="25"/>
  <c r="AF35" i="25"/>
  <c r="AF33" i="25"/>
  <c r="AF37" i="25"/>
  <c r="AF44" i="25"/>
  <c r="AF42" i="25"/>
  <c r="AF41" i="40"/>
  <c r="AF37" i="40"/>
  <c r="AF34" i="40"/>
  <c r="AF39" i="40"/>
  <c r="AF44" i="40"/>
  <c r="AF38" i="40"/>
  <c r="AF43" i="40"/>
  <c r="AF36" i="40"/>
  <c r="AF45" i="40"/>
  <c r="AF35" i="40"/>
  <c r="AF40" i="40"/>
  <c r="AF42" i="40"/>
  <c r="AF33" i="40"/>
  <c r="AF36" i="29"/>
  <c r="AF40" i="29"/>
  <c r="AF33" i="29"/>
  <c r="AF44" i="29"/>
  <c r="AF42" i="29"/>
  <c r="AF34" i="29"/>
  <c r="AF35" i="29"/>
  <c r="AF41" i="29"/>
  <c r="AF43" i="29"/>
  <c r="AF37" i="29"/>
  <c r="AF39" i="29"/>
  <c r="AF45" i="29"/>
  <c r="AF38" i="29"/>
  <c r="AF8" i="27"/>
  <c r="AF8" i="44"/>
  <c r="AF8" i="40"/>
  <c r="AE8" i="37"/>
  <c r="AF32" i="50"/>
  <c r="AF26" i="50"/>
  <c r="AF29" i="50"/>
  <c r="AF10" i="50"/>
  <c r="AF25" i="50"/>
  <c r="AF19" i="50"/>
  <c r="AF20" i="50"/>
  <c r="AF18" i="50"/>
  <c r="AF16" i="50"/>
  <c r="AF12" i="50"/>
  <c r="AF13" i="50"/>
  <c r="AF27" i="50"/>
  <c r="AF9" i="50"/>
  <c r="AF11" i="50"/>
  <c r="AF24" i="50"/>
  <c r="AF30" i="50"/>
  <c r="AF15" i="50"/>
  <c r="AF31" i="50"/>
  <c r="AF28" i="50"/>
  <c r="AF8" i="50"/>
  <c r="AF23" i="50"/>
  <c r="AF22" i="50"/>
  <c r="AF14" i="50"/>
  <c r="AF17" i="50"/>
  <c r="AF21" i="50"/>
  <c r="AG3" i="50"/>
  <c r="AG53" i="50" s="1"/>
  <c r="AH4" i="29"/>
  <c r="AH4" i="50"/>
  <c r="AH4" i="28"/>
  <c r="AH4" i="27"/>
  <c r="AH4" i="40"/>
  <c r="AH4" i="44"/>
  <c r="AG4" i="37"/>
  <c r="AH4" i="26"/>
  <c r="AH4" i="24"/>
  <c r="AH4" i="22"/>
  <c r="AG4" i="32"/>
  <c r="AG4" i="31"/>
  <c r="AH4" i="25"/>
  <c r="AG4" i="30"/>
  <c r="AF3" i="31"/>
  <c r="AF53" i="31" s="1"/>
  <c r="AG3" i="40"/>
  <c r="AG53" i="40" s="1"/>
  <c r="AF3" i="30"/>
  <c r="AF53" i="30" s="1"/>
  <c r="AF8" i="25"/>
  <c r="AG3" i="28"/>
  <c r="AG46" i="28" s="1"/>
  <c r="AG3" i="27"/>
  <c r="AG53" i="27" s="1"/>
  <c r="AG3" i="22"/>
  <c r="AG53" i="22" s="1"/>
  <c r="AF3" i="37"/>
  <c r="AF53" i="37" s="1"/>
  <c r="AG3" i="26"/>
  <c r="AG53" i="26" s="1"/>
  <c r="AG3" i="29"/>
  <c r="AG53" i="29" s="1"/>
  <c r="AF3" i="32"/>
  <c r="AF53" i="32" s="1"/>
  <c r="AG3" i="25"/>
  <c r="AG53" i="25" s="1"/>
  <c r="AG3" i="44"/>
  <c r="AG53" i="44" s="1"/>
  <c r="AG3" i="24"/>
  <c r="AG53" i="24" s="1"/>
  <c r="AE21" i="32"/>
  <c r="AE23" i="32"/>
  <c r="AE27" i="32"/>
  <c r="AE9" i="32"/>
  <c r="AE16" i="32"/>
  <c r="AE20" i="32"/>
  <c r="AE17" i="32"/>
  <c r="AE8" i="32"/>
  <c r="AE31" i="32"/>
  <c r="AE13" i="32"/>
  <c r="AE15" i="32"/>
  <c r="AE22" i="32"/>
  <c r="AE24" i="32"/>
  <c r="AE28" i="32"/>
  <c r="AE18" i="32"/>
  <c r="AE29" i="32"/>
  <c r="AE11" i="32"/>
  <c r="AE19" i="32"/>
  <c r="AE12" i="32"/>
  <c r="AE10" i="32"/>
  <c r="AE25" i="32"/>
  <c r="AE14" i="32"/>
  <c r="AE32" i="32"/>
  <c r="AE30" i="32"/>
  <c r="AE26" i="32"/>
  <c r="AF48" i="28"/>
  <c r="AF47" i="28"/>
  <c r="AF8" i="22"/>
  <c r="AG47" i="40" l="1"/>
  <c r="AG51" i="40"/>
  <c r="AG49" i="40"/>
  <c r="AG50" i="40"/>
  <c r="AG52" i="40"/>
  <c r="AG46" i="40"/>
  <c r="AG48" i="40"/>
  <c r="AF52" i="37"/>
  <c r="AF47" i="37"/>
  <c r="AF49" i="37"/>
  <c r="AF48" i="37"/>
  <c r="AF46" i="37"/>
  <c r="AF50" i="37"/>
  <c r="AF51" i="37"/>
  <c r="AG49" i="44"/>
  <c r="AG46" i="44"/>
  <c r="AG48" i="44"/>
  <c r="AG47" i="44"/>
  <c r="AG50" i="44"/>
  <c r="AG51" i="44"/>
  <c r="AG52" i="44"/>
  <c r="AG48" i="25"/>
  <c r="AG46" i="25"/>
  <c r="AG50" i="25"/>
  <c r="AG52" i="25"/>
  <c r="AG51" i="25"/>
  <c r="AG47" i="25"/>
  <c r="AG49" i="25"/>
  <c r="AG51" i="22"/>
  <c r="AG46" i="22"/>
  <c r="AG47" i="22"/>
  <c r="AG48" i="22"/>
  <c r="AG52" i="22"/>
  <c r="AG50" i="22"/>
  <c r="AG49" i="22"/>
  <c r="AF50" i="30"/>
  <c r="AF49" i="30"/>
  <c r="AF52" i="30"/>
  <c r="AF51" i="30"/>
  <c r="AF47" i="30"/>
  <c r="AF46" i="30"/>
  <c r="AF48" i="30"/>
  <c r="AF50" i="32"/>
  <c r="AF48" i="32"/>
  <c r="AF51" i="32"/>
  <c r="AF46" i="32"/>
  <c r="AF47" i="32"/>
  <c r="AF52" i="32"/>
  <c r="AF49" i="32"/>
  <c r="AG47" i="27"/>
  <c r="AG51" i="27"/>
  <c r="AG49" i="27"/>
  <c r="AG46" i="27"/>
  <c r="AG50" i="27"/>
  <c r="AG52" i="27"/>
  <c r="AG48" i="27"/>
  <c r="AG49" i="50"/>
  <c r="AG46" i="50"/>
  <c r="AG51" i="50"/>
  <c r="AG48" i="50"/>
  <c r="AG50" i="50"/>
  <c r="AG47" i="50"/>
  <c r="AG52" i="50"/>
  <c r="AG49" i="26"/>
  <c r="AG47" i="26"/>
  <c r="AG52" i="26"/>
  <c r="AG46" i="26"/>
  <c r="AG48" i="26"/>
  <c r="AG50" i="26"/>
  <c r="AG51" i="26"/>
  <c r="AF52" i="31"/>
  <c r="AF46" i="31"/>
  <c r="AF50" i="31"/>
  <c r="AF47" i="31"/>
  <c r="AF51" i="31"/>
  <c r="AF49" i="31"/>
  <c r="AF48" i="31"/>
  <c r="AG48" i="24"/>
  <c r="AG50" i="24"/>
  <c r="AG51" i="24"/>
  <c r="AG47" i="24"/>
  <c r="AG52" i="24"/>
  <c r="AG49" i="24"/>
  <c r="AG46" i="24"/>
  <c r="AG50" i="29"/>
  <c r="AG51" i="29"/>
  <c r="AG47" i="29"/>
  <c r="AG46" i="29"/>
  <c r="AG49" i="29"/>
  <c r="AG52" i="29"/>
  <c r="AG48" i="29"/>
  <c r="AG39" i="40"/>
  <c r="AG34" i="40"/>
  <c r="AG41" i="40"/>
  <c r="AG38" i="40"/>
  <c r="AG37" i="40"/>
  <c r="AG35" i="40"/>
  <c r="AG40" i="40"/>
  <c r="AG45" i="40"/>
  <c r="AG43" i="40"/>
  <c r="AG33" i="40"/>
  <c r="AG42" i="40"/>
  <c r="AG44" i="40"/>
  <c r="AG36" i="40"/>
  <c r="AG45" i="24"/>
  <c r="AG35" i="24"/>
  <c r="AG43" i="24"/>
  <c r="AG41" i="24"/>
  <c r="AG39" i="24"/>
  <c r="AG37" i="24"/>
  <c r="AG44" i="24"/>
  <c r="AG33" i="24"/>
  <c r="AG38" i="24"/>
  <c r="AG40" i="24"/>
  <c r="AG36" i="24"/>
  <c r="AG42" i="24"/>
  <c r="AG34" i="24"/>
  <c r="AG39" i="27"/>
  <c r="AG33" i="27"/>
  <c r="AG41" i="27"/>
  <c r="AG40" i="27"/>
  <c r="AG36" i="27"/>
  <c r="AG37" i="27"/>
  <c r="AG43" i="27"/>
  <c r="AG44" i="27"/>
  <c r="AG45" i="27"/>
  <c r="AG35" i="27"/>
  <c r="AG42" i="27"/>
  <c r="AG38" i="27"/>
  <c r="AG34" i="27"/>
  <c r="AG42" i="50"/>
  <c r="AG40" i="50"/>
  <c r="AG45" i="50"/>
  <c r="AG38" i="50"/>
  <c r="AG37" i="50"/>
  <c r="AG39" i="50"/>
  <c r="AG43" i="50"/>
  <c r="AG41" i="50"/>
  <c r="AG36" i="50"/>
  <c r="AG35" i="50"/>
  <c r="AG44" i="50"/>
  <c r="AG33" i="50"/>
  <c r="AG34" i="50"/>
  <c r="AG40" i="44"/>
  <c r="AG36" i="44"/>
  <c r="AG35" i="44"/>
  <c r="AG45" i="44"/>
  <c r="AG34" i="44"/>
  <c r="AG38" i="44"/>
  <c r="AG37" i="44"/>
  <c r="AG33" i="44"/>
  <c r="AG41" i="44"/>
  <c r="AG43" i="44"/>
  <c r="AG44" i="44"/>
  <c r="AG42" i="44"/>
  <c r="AG39" i="44"/>
  <c r="AG43" i="26"/>
  <c r="AG33" i="26"/>
  <c r="AG39" i="26"/>
  <c r="AG45" i="26"/>
  <c r="AG36" i="26"/>
  <c r="AG34" i="26"/>
  <c r="AG37" i="26"/>
  <c r="AG38" i="26"/>
  <c r="AG40" i="26"/>
  <c r="AG42" i="26"/>
  <c r="AG44" i="26"/>
  <c r="AG35" i="26"/>
  <c r="AG41" i="26"/>
  <c r="AF45" i="31"/>
  <c r="AF37" i="31"/>
  <c r="AF44" i="31"/>
  <c r="AF41" i="31"/>
  <c r="AF40" i="31"/>
  <c r="AF38" i="31"/>
  <c r="AF42" i="31"/>
  <c r="AF34" i="31"/>
  <c r="AF35" i="31"/>
  <c r="AF36" i="31"/>
  <c r="AF43" i="31"/>
  <c r="AF39" i="31"/>
  <c r="AF33" i="31"/>
  <c r="AG42" i="25"/>
  <c r="AG35" i="25"/>
  <c r="AG33" i="25"/>
  <c r="AG38" i="25"/>
  <c r="AG39" i="25"/>
  <c r="AG40" i="25"/>
  <c r="AG43" i="25"/>
  <c r="AG45" i="25"/>
  <c r="AG36" i="25"/>
  <c r="AG41" i="25"/>
  <c r="AG37" i="25"/>
  <c r="AG44" i="25"/>
  <c r="AG34" i="25"/>
  <c r="AF33" i="37"/>
  <c r="AF34" i="37"/>
  <c r="AF35" i="37"/>
  <c r="AF36" i="37"/>
  <c r="AF37" i="37"/>
  <c r="AF44" i="37"/>
  <c r="AF41" i="37"/>
  <c r="AF38" i="37"/>
  <c r="AF42" i="37"/>
  <c r="AF43" i="37"/>
  <c r="AF40" i="37"/>
  <c r="AF39" i="37"/>
  <c r="AF45" i="37"/>
  <c r="AF33" i="32"/>
  <c r="AF39" i="32"/>
  <c r="AF44" i="32"/>
  <c r="AF38" i="32"/>
  <c r="AF43" i="32"/>
  <c r="AF40" i="32"/>
  <c r="AF35" i="32"/>
  <c r="AF36" i="32"/>
  <c r="AF41" i="32"/>
  <c r="AF45" i="32"/>
  <c r="AF34" i="32"/>
  <c r="AF42" i="32"/>
  <c r="AF37" i="32"/>
  <c r="AG43" i="22"/>
  <c r="AG36" i="22"/>
  <c r="AG41" i="22"/>
  <c r="AG40" i="22"/>
  <c r="AG37" i="22"/>
  <c r="AG39" i="22"/>
  <c r="AG33" i="22"/>
  <c r="AG45" i="22"/>
  <c r="AG34" i="22"/>
  <c r="AG38" i="22"/>
  <c r="AG42" i="22"/>
  <c r="AG35" i="22"/>
  <c r="AG44" i="22"/>
  <c r="AF44" i="30"/>
  <c r="AF36" i="30"/>
  <c r="AF41" i="30"/>
  <c r="AF40" i="30"/>
  <c r="AF38" i="30"/>
  <c r="AF43" i="30"/>
  <c r="AF42" i="30"/>
  <c r="AF39" i="30"/>
  <c r="AF45" i="30"/>
  <c r="AF33" i="30"/>
  <c r="AF34" i="30"/>
  <c r="AF37" i="30"/>
  <c r="AF35" i="30"/>
  <c r="AG39" i="29"/>
  <c r="AG35" i="29"/>
  <c r="AG42" i="29"/>
  <c r="AG45" i="29"/>
  <c r="AG44" i="29"/>
  <c r="AG37" i="29"/>
  <c r="AG36" i="29"/>
  <c r="AG33" i="29"/>
  <c r="AG38" i="29"/>
  <c r="AG34" i="29"/>
  <c r="AG40" i="29"/>
  <c r="AG41" i="29"/>
  <c r="AG43" i="29"/>
  <c r="AG8" i="27"/>
  <c r="AG8" i="44"/>
  <c r="AG8" i="40"/>
  <c r="AF8" i="37"/>
  <c r="AG3" i="37"/>
  <c r="AG53" i="37" s="1"/>
  <c r="AG27" i="50"/>
  <c r="AG15" i="50"/>
  <c r="AG17" i="50"/>
  <c r="AG30" i="50"/>
  <c r="AG28" i="50"/>
  <c r="AG20" i="50"/>
  <c r="AG14" i="50"/>
  <c r="AG26" i="50"/>
  <c r="AG9" i="50"/>
  <c r="AG12" i="50"/>
  <c r="AG18" i="50"/>
  <c r="AG19" i="50"/>
  <c r="AG31" i="50"/>
  <c r="AG13" i="50"/>
  <c r="AG25" i="50"/>
  <c r="AG32" i="50"/>
  <c r="AG23" i="50"/>
  <c r="AG10" i="50"/>
  <c r="AG29" i="50"/>
  <c r="AG16" i="50"/>
  <c r="AG21" i="50"/>
  <c r="AG11" i="50"/>
  <c r="AG22" i="50"/>
  <c r="AG24" i="50"/>
  <c r="AG8" i="50"/>
  <c r="AI4" i="29"/>
  <c r="AI4" i="50"/>
  <c r="AI4" i="27"/>
  <c r="AI4" i="40"/>
  <c r="AI4" i="44"/>
  <c r="AH4" i="37"/>
  <c r="AI4" i="26"/>
  <c r="AI4" i="28"/>
  <c r="AI4" i="22"/>
  <c r="AH4" i="32"/>
  <c r="AH4" i="31"/>
  <c r="AI4" i="25"/>
  <c r="AI4" i="24"/>
  <c r="AH4" i="30"/>
  <c r="AH3" i="50"/>
  <c r="AH53" i="50" s="1"/>
  <c r="AG8" i="25"/>
  <c r="AH3" i="22"/>
  <c r="AH53" i="22" s="1"/>
  <c r="AH3" i="24"/>
  <c r="AH53" i="24" s="1"/>
  <c r="AH3" i="27"/>
  <c r="AH53" i="27" s="1"/>
  <c r="AH3" i="26"/>
  <c r="AH53" i="26" s="1"/>
  <c r="AH3" i="29"/>
  <c r="AH53" i="29" s="1"/>
  <c r="AF12" i="32"/>
  <c r="AH3" i="28"/>
  <c r="AH48" i="28" s="1"/>
  <c r="AF27" i="32"/>
  <c r="AF20" i="32"/>
  <c r="AF13" i="32"/>
  <c r="AF16" i="32"/>
  <c r="AF9" i="32"/>
  <c r="AF32" i="32"/>
  <c r="AF24" i="32"/>
  <c r="AG48" i="28"/>
  <c r="AF29" i="32"/>
  <c r="AF31" i="32"/>
  <c r="AG47" i="28"/>
  <c r="AF18" i="32"/>
  <c r="AF26" i="32"/>
  <c r="AF14" i="32"/>
  <c r="AG8" i="22"/>
  <c r="AG3" i="31"/>
  <c r="AG53" i="31" s="1"/>
  <c r="AG3" i="32"/>
  <c r="AG53" i="32" s="1"/>
  <c r="AH3" i="25"/>
  <c r="AH53" i="25" s="1"/>
  <c r="AH3" i="44"/>
  <c r="AH53" i="44" s="1"/>
  <c r="AF11" i="32"/>
  <c r="AG3" i="30"/>
  <c r="AG53" i="30" s="1"/>
  <c r="AH3" i="40"/>
  <c r="AH53" i="40" s="1"/>
  <c r="AF19" i="32"/>
  <c r="AF21" i="32"/>
  <c r="AF8" i="32"/>
  <c r="AF10" i="32"/>
  <c r="AF30" i="32"/>
  <c r="AF15" i="32"/>
  <c r="AF22" i="32"/>
  <c r="AF17" i="32"/>
  <c r="AF23" i="32"/>
  <c r="AF25" i="32"/>
  <c r="AF28" i="32"/>
  <c r="O14" i="42"/>
  <c r="G15" i="42"/>
  <c r="B50" i="66" s="1"/>
  <c r="N15" i="42"/>
  <c r="B57" i="66" s="1"/>
  <c r="K15" i="42"/>
  <c r="B54" i="66" s="1"/>
  <c r="J15" i="42"/>
  <c r="B53" i="66" s="1"/>
  <c r="I15" i="42"/>
  <c r="B52" i="66" s="1"/>
  <c r="B15" i="42"/>
  <c r="B46" i="66" s="1"/>
  <c r="N14" i="42"/>
  <c r="K14" i="42"/>
  <c r="J14" i="42"/>
  <c r="I14" i="42"/>
  <c r="C14" i="42"/>
  <c r="B14" i="42"/>
  <c r="L14" i="42"/>
  <c r="BI5" i="44" a="1"/>
  <c r="V5" i="44" a="1"/>
  <c r="BA5" i="44" a="1"/>
  <c r="BC5" i="44" a="1"/>
  <c r="CA5" i="44" a="1"/>
  <c r="BR5" i="44" a="1"/>
  <c r="AY5" i="44" a="1"/>
  <c r="BK5" i="44" a="1"/>
  <c r="AU5" i="44" a="1"/>
  <c r="BF5" i="44" a="1"/>
  <c r="AM5" i="44" a="1"/>
  <c r="BN5" i="44" a="1"/>
  <c r="X5" i="44" a="1"/>
  <c r="AQ5" i="44" a="1"/>
  <c r="W5" i="44" a="1"/>
  <c r="AV5" i="44" a="1"/>
  <c r="S5" i="44" a="1"/>
  <c r="BT5" i="44" a="1"/>
  <c r="AA5" i="44" a="1"/>
  <c r="BL5" i="44" a="1"/>
  <c r="BM5" i="44" a="1"/>
  <c r="AT5" i="44" a="1"/>
  <c r="CC5" i="44" a="1"/>
  <c r="AL5" i="44" a="1"/>
  <c r="Z5" i="44" a="1"/>
  <c r="AP5" i="44" a="1"/>
  <c r="AZ5" i="44" a="1"/>
  <c r="AH5" i="44" a="1"/>
  <c r="AI5" i="44" a="1"/>
  <c r="AE5" i="44" a="1"/>
  <c r="AS5" i="44" a="1"/>
  <c r="CD5" i="44" a="1"/>
  <c r="CE5" i="44" a="1"/>
  <c r="AJ5" i="44" a="1"/>
  <c r="AN5" i="44" a="1"/>
  <c r="Y5" i="44" a="1"/>
  <c r="AF5" i="44" a="1"/>
  <c r="AD5" i="44" a="1"/>
  <c r="AK5" i="44" a="1"/>
  <c r="BV5" i="44" a="1"/>
  <c r="CB5" i="44" a="1"/>
  <c r="BH5" i="44" a="1"/>
  <c r="U5" i="44" a="1"/>
  <c r="T5" i="44" a="1"/>
  <c r="BD5" i="44" a="1"/>
  <c r="AG5" i="44" a="1"/>
  <c r="BZ5" i="44" a="1"/>
  <c r="BP5" i="44" a="1"/>
  <c r="AO5" i="44" a="1"/>
  <c r="BG5" i="44" a="1"/>
  <c r="AX5" i="44" a="1"/>
  <c r="BO5" i="44" a="1"/>
  <c r="BQ5" i="44" a="1"/>
  <c r="R5" i="44" a="1"/>
  <c r="BU5" i="44" a="1"/>
  <c r="AB5" i="44" a="1"/>
  <c r="AW5" i="44" a="1"/>
  <c r="BW5" i="44" a="1"/>
  <c r="BS5" i="44" a="1"/>
  <c r="BX5" i="44" a="1"/>
  <c r="BJ5" i="44" a="1"/>
  <c r="BE5" i="44" a="1"/>
  <c r="BB5" i="44" a="1"/>
  <c r="AC5" i="44" a="1"/>
  <c r="AR5" i="44" a="1"/>
  <c r="BY5" i="44" a="1"/>
  <c r="AG48" i="37" l="1"/>
  <c r="AG50" i="37"/>
  <c r="AG51" i="37"/>
  <c r="AG49" i="37"/>
  <c r="AG52" i="37"/>
  <c r="AG46" i="37"/>
  <c r="AG47" i="37"/>
  <c r="AH49" i="40"/>
  <c r="AH47" i="40"/>
  <c r="AH46" i="40"/>
  <c r="AH52" i="40"/>
  <c r="AH48" i="40"/>
  <c r="AH51" i="40"/>
  <c r="AH50" i="40"/>
  <c r="AH50" i="44"/>
  <c r="AH48" i="44"/>
  <c r="AH46" i="44"/>
  <c r="AH52" i="44"/>
  <c r="AH47" i="44"/>
  <c r="AH51" i="44"/>
  <c r="AH49" i="44"/>
  <c r="AH47" i="25"/>
  <c r="AH48" i="25"/>
  <c r="AH50" i="25"/>
  <c r="AH49" i="25"/>
  <c r="AH46" i="25"/>
  <c r="AH51" i="25"/>
  <c r="AH52" i="25"/>
  <c r="AH47" i="22"/>
  <c r="AH46" i="22"/>
  <c r="AH52" i="22"/>
  <c r="AH50" i="22"/>
  <c r="AH51" i="22"/>
  <c r="AH48" i="22"/>
  <c r="AH49" i="22"/>
  <c r="AG52" i="30"/>
  <c r="AG48" i="30"/>
  <c r="AG50" i="30"/>
  <c r="AG47" i="30"/>
  <c r="AG46" i="30"/>
  <c r="AG49" i="30"/>
  <c r="AG51" i="30"/>
  <c r="AG48" i="32"/>
  <c r="AG52" i="32"/>
  <c r="AG50" i="32"/>
  <c r="AG46" i="32"/>
  <c r="AG49" i="32"/>
  <c r="AG51" i="32"/>
  <c r="AG47" i="32"/>
  <c r="AH52" i="26"/>
  <c r="AH51" i="26"/>
  <c r="AH50" i="26"/>
  <c r="AH47" i="26"/>
  <c r="AH46" i="26"/>
  <c r="AH48" i="26"/>
  <c r="AH49" i="26"/>
  <c r="AG49" i="31"/>
  <c r="AG52" i="31"/>
  <c r="AG50" i="31"/>
  <c r="AG46" i="31"/>
  <c r="AG51" i="31"/>
  <c r="AG48" i="31"/>
  <c r="AG47" i="31"/>
  <c r="AH51" i="27"/>
  <c r="AH46" i="27"/>
  <c r="AH47" i="27"/>
  <c r="AH50" i="27"/>
  <c r="AH49" i="27"/>
  <c r="AH48" i="27"/>
  <c r="AH52" i="27"/>
  <c r="AH48" i="50"/>
  <c r="AH50" i="50"/>
  <c r="AH52" i="50"/>
  <c r="AH46" i="50"/>
  <c r="AH47" i="50"/>
  <c r="AH49" i="50"/>
  <c r="AH51" i="50"/>
  <c r="AH47" i="24"/>
  <c r="AH52" i="24"/>
  <c r="AH51" i="24"/>
  <c r="AH49" i="24"/>
  <c r="AH46" i="24"/>
  <c r="AH48" i="24"/>
  <c r="AH50" i="24"/>
  <c r="AG43" i="30"/>
  <c r="AG40" i="30"/>
  <c r="AG35" i="30"/>
  <c r="AG39" i="30"/>
  <c r="AG34" i="30"/>
  <c r="AG42" i="30"/>
  <c r="AG45" i="30"/>
  <c r="AG38" i="30"/>
  <c r="AG44" i="30"/>
  <c r="AG41" i="30"/>
  <c r="AG36" i="30"/>
  <c r="AG33" i="30"/>
  <c r="AG37" i="30"/>
  <c r="AG43" i="32"/>
  <c r="AG35" i="32"/>
  <c r="AG39" i="32"/>
  <c r="AG37" i="32"/>
  <c r="AG33" i="32"/>
  <c r="AG44" i="32"/>
  <c r="AG45" i="32"/>
  <c r="AG41" i="32"/>
  <c r="AG40" i="32"/>
  <c r="AG42" i="32"/>
  <c r="AG34" i="32"/>
  <c r="AG36" i="32"/>
  <c r="AG38" i="32"/>
  <c r="AH42" i="26"/>
  <c r="AH39" i="26"/>
  <c r="AH37" i="26"/>
  <c r="AH38" i="26"/>
  <c r="AH33" i="26"/>
  <c r="AH34" i="26"/>
  <c r="AH36" i="26"/>
  <c r="AH44" i="26"/>
  <c r="AH35" i="26"/>
  <c r="AH45" i="26"/>
  <c r="AH41" i="26"/>
  <c r="AH40" i="26"/>
  <c r="AH43" i="26"/>
  <c r="AG37" i="31"/>
  <c r="AG44" i="31"/>
  <c r="AG41" i="31"/>
  <c r="AG43" i="31"/>
  <c r="AG39" i="31"/>
  <c r="AG33" i="31"/>
  <c r="AG35" i="31"/>
  <c r="AG36" i="31"/>
  <c r="AG40" i="31"/>
  <c r="AG34" i="31"/>
  <c r="AG38" i="31"/>
  <c r="AG42" i="31"/>
  <c r="AG45" i="31"/>
  <c r="AH39" i="27"/>
  <c r="AH44" i="27"/>
  <c r="AH42" i="27"/>
  <c r="AH33" i="27"/>
  <c r="AH37" i="27"/>
  <c r="AH38" i="27"/>
  <c r="AH43" i="27"/>
  <c r="AH41" i="27"/>
  <c r="AH35" i="27"/>
  <c r="AH34" i="27"/>
  <c r="AH40" i="27"/>
  <c r="AH45" i="27"/>
  <c r="AH36" i="27"/>
  <c r="AH40" i="50"/>
  <c r="AH38" i="50"/>
  <c r="AH33" i="50"/>
  <c r="AH44" i="50"/>
  <c r="AH45" i="50"/>
  <c r="AH35" i="50"/>
  <c r="AH36" i="50"/>
  <c r="AH43" i="50"/>
  <c r="AH37" i="50"/>
  <c r="AH39" i="50"/>
  <c r="AH34" i="50"/>
  <c r="AH41" i="50"/>
  <c r="AH42" i="50"/>
  <c r="AG33" i="37"/>
  <c r="AG34" i="37"/>
  <c r="AG38" i="37"/>
  <c r="AG42" i="37"/>
  <c r="AG35" i="37"/>
  <c r="AG43" i="37"/>
  <c r="AG40" i="37"/>
  <c r="AG39" i="37"/>
  <c r="AG36" i="37"/>
  <c r="AG45" i="37"/>
  <c r="AG44" i="37"/>
  <c r="AG37" i="37"/>
  <c r="AG41" i="37"/>
  <c r="AH41" i="44"/>
  <c r="AH45" i="44"/>
  <c r="AH44" i="44"/>
  <c r="AH34" i="44"/>
  <c r="AH42" i="44"/>
  <c r="AH39" i="44"/>
  <c r="AH40" i="44"/>
  <c r="AH35" i="44"/>
  <c r="AH33" i="44"/>
  <c r="AH37" i="44"/>
  <c r="AH43" i="44"/>
  <c r="AH36" i="44"/>
  <c r="AH38" i="44"/>
  <c r="AH34" i="24"/>
  <c r="AH40" i="24"/>
  <c r="AH33" i="24"/>
  <c r="AH38" i="24"/>
  <c r="AH35" i="24"/>
  <c r="AH37" i="24"/>
  <c r="AH39" i="24"/>
  <c r="AH43" i="24"/>
  <c r="AH44" i="24"/>
  <c r="AH41" i="24"/>
  <c r="AH45" i="24"/>
  <c r="AH42" i="24"/>
  <c r="AH36" i="24"/>
  <c r="AH42" i="40"/>
  <c r="AH40" i="40"/>
  <c r="AH33" i="40"/>
  <c r="AH36" i="40"/>
  <c r="AH43" i="40"/>
  <c r="AH34" i="40"/>
  <c r="AH35" i="40"/>
  <c r="AH44" i="40"/>
  <c r="AH37" i="40"/>
  <c r="AH39" i="40"/>
  <c r="AH38" i="40"/>
  <c r="AH45" i="40"/>
  <c r="AH41" i="40"/>
  <c r="AH39" i="25"/>
  <c r="AH40" i="25"/>
  <c r="AH42" i="25"/>
  <c r="AH44" i="25"/>
  <c r="AH38" i="25"/>
  <c r="AH37" i="25"/>
  <c r="AH36" i="25"/>
  <c r="AH33" i="25"/>
  <c r="AH34" i="25"/>
  <c r="AH43" i="25"/>
  <c r="AH45" i="25"/>
  <c r="AH35" i="25"/>
  <c r="AH41" i="25"/>
  <c r="AH50" i="29"/>
  <c r="AH51" i="29"/>
  <c r="AH52" i="29"/>
  <c r="AH49" i="29"/>
  <c r="AH47" i="29"/>
  <c r="AH46" i="29"/>
  <c r="AH48" i="29"/>
  <c r="AH35" i="22"/>
  <c r="AH45" i="22"/>
  <c r="AH38" i="22"/>
  <c r="AH36" i="22"/>
  <c r="AH42" i="22"/>
  <c r="AH44" i="22"/>
  <c r="AH33" i="22"/>
  <c r="AH40" i="22"/>
  <c r="AH41" i="22"/>
  <c r="AH43" i="22"/>
  <c r="AH34" i="22"/>
  <c r="AH39" i="22"/>
  <c r="AH37" i="22"/>
  <c r="AH45" i="29"/>
  <c r="AH41" i="29"/>
  <c r="AH33" i="29"/>
  <c r="AH35" i="29"/>
  <c r="AH42" i="29"/>
  <c r="AH44" i="29"/>
  <c r="AH39" i="29"/>
  <c r="AH34" i="29"/>
  <c r="AH36" i="29"/>
  <c r="AH37" i="29"/>
  <c r="AH38" i="29"/>
  <c r="AH43" i="29"/>
  <c r="AH40" i="29"/>
  <c r="AH8" i="27"/>
  <c r="AH8" i="44"/>
  <c r="AG8" i="37"/>
  <c r="AH8" i="40"/>
  <c r="AH3" i="37"/>
  <c r="AH53" i="37" s="1"/>
  <c r="AI3" i="40"/>
  <c r="AI53" i="40" s="1"/>
  <c r="AH8" i="22"/>
  <c r="AH3" i="31"/>
  <c r="AH53" i="31" s="1"/>
  <c r="AI3" i="28"/>
  <c r="AI46" i="28" s="1"/>
  <c r="AI3" i="27"/>
  <c r="AI53" i="27" s="1"/>
  <c r="AI3" i="25"/>
  <c r="AI53" i="25" s="1"/>
  <c r="AG24" i="32"/>
  <c r="AI3" i="50"/>
  <c r="AI53" i="50" s="1"/>
  <c r="AH8" i="25"/>
  <c r="AJ4" i="29"/>
  <c r="AJ4" i="50"/>
  <c r="AJ4" i="40"/>
  <c r="AJ4" i="44"/>
  <c r="AI4" i="37"/>
  <c r="AJ4" i="28"/>
  <c r="AJ4" i="27"/>
  <c r="AJ4" i="26"/>
  <c r="AI4" i="31"/>
  <c r="AJ4" i="25"/>
  <c r="AJ4" i="24"/>
  <c r="AJ4" i="22"/>
  <c r="AI4" i="32"/>
  <c r="AI4" i="30"/>
  <c r="AH8" i="50"/>
  <c r="AH12" i="50"/>
  <c r="AH18" i="50"/>
  <c r="AH22" i="50"/>
  <c r="AH10" i="50"/>
  <c r="AH20" i="50"/>
  <c r="AH24" i="50"/>
  <c r="AH9" i="50"/>
  <c r="AH11" i="50"/>
  <c r="AH13" i="50"/>
  <c r="AH15" i="50"/>
  <c r="AH23" i="50"/>
  <c r="AH25" i="50"/>
  <c r="AH17" i="50"/>
  <c r="AH27" i="50"/>
  <c r="AH28" i="50"/>
  <c r="AH29" i="50"/>
  <c r="AH32" i="50"/>
  <c r="AH26" i="50"/>
  <c r="AH21" i="50"/>
  <c r="AH31" i="50"/>
  <c r="AH30" i="50"/>
  <c r="AH14" i="50"/>
  <c r="AH16" i="50"/>
  <c r="AH19" i="50"/>
  <c r="AI3" i="22"/>
  <c r="AI53" i="22" s="1"/>
  <c r="AI3" i="44"/>
  <c r="AI53" i="44" s="1"/>
  <c r="AI3" i="24"/>
  <c r="AI53" i="24" s="1"/>
  <c r="AI3" i="29"/>
  <c r="AI53" i="29" s="1"/>
  <c r="AH3" i="32"/>
  <c r="AH53" i="32" s="1"/>
  <c r="AH3" i="30"/>
  <c r="AH53" i="30" s="1"/>
  <c r="AI3" i="26"/>
  <c r="AI53" i="26" s="1"/>
  <c r="AH46" i="28"/>
  <c r="AG32" i="32"/>
  <c r="AG25" i="32"/>
  <c r="AG16" i="32"/>
  <c r="AG27" i="32"/>
  <c r="AH47" i="28"/>
  <c r="AG17" i="32"/>
  <c r="AG31" i="32"/>
  <c r="AG8" i="32"/>
  <c r="AG9" i="32"/>
  <c r="AG23" i="32"/>
  <c r="AG15" i="32"/>
  <c r="AG26" i="32"/>
  <c r="AG14" i="32"/>
  <c r="AG12" i="32"/>
  <c r="AG30" i="32"/>
  <c r="AG22" i="32"/>
  <c r="AG21" i="32"/>
  <c r="AG18" i="32"/>
  <c r="AG28" i="32"/>
  <c r="AG20" i="32"/>
  <c r="AG29" i="32"/>
  <c r="AG13" i="32"/>
  <c r="AG11" i="32"/>
  <c r="AG10" i="32"/>
  <c r="AG19" i="32"/>
  <c r="I10" i="44"/>
  <c r="I14" i="44"/>
  <c r="I12" i="44"/>
  <c r="I17" i="44"/>
  <c r="I20" i="44"/>
  <c r="I30" i="44"/>
  <c r="I9" i="44"/>
  <c r="I11" i="44"/>
  <c r="I13" i="44"/>
  <c r="I16" i="44"/>
  <c r="I24" i="44"/>
  <c r="I23" i="44"/>
  <c r="I32" i="44"/>
  <c r="I27" i="44"/>
  <c r="I28" i="44"/>
  <c r="I29" i="44"/>
  <c r="I25" i="44"/>
  <c r="I26" i="44"/>
  <c r="I22" i="44"/>
  <c r="I18" i="44"/>
  <c r="I15" i="44"/>
  <c r="I19" i="44"/>
  <c r="I21" i="44"/>
  <c r="I31" i="44"/>
  <c r="P14" i="42"/>
  <c r="L15" i="42"/>
  <c r="G14" i="42"/>
  <c r="AH46" i="37" l="1"/>
  <c r="AH49" i="37"/>
  <c r="AH48" i="37"/>
  <c r="AH52" i="37"/>
  <c r="AH50" i="37"/>
  <c r="AH51" i="37"/>
  <c r="AH47" i="37"/>
  <c r="AI52" i="40"/>
  <c r="AI51" i="40"/>
  <c r="AI49" i="40"/>
  <c r="AI50" i="40"/>
  <c r="AI48" i="40"/>
  <c r="AI46" i="40"/>
  <c r="AI47" i="40"/>
  <c r="AI50" i="26"/>
  <c r="AI51" i="26"/>
  <c r="AI49" i="26"/>
  <c r="AI46" i="26"/>
  <c r="AI47" i="26"/>
  <c r="AI48" i="26"/>
  <c r="AI52" i="26"/>
  <c r="AH49" i="31"/>
  <c r="AH47" i="31"/>
  <c r="AH48" i="31"/>
  <c r="AH46" i="31"/>
  <c r="AH50" i="31"/>
  <c r="AH52" i="31"/>
  <c r="AH51" i="31"/>
  <c r="AI47" i="44"/>
  <c r="AI49" i="44"/>
  <c r="AI51" i="44"/>
  <c r="AI52" i="44"/>
  <c r="AI48" i="44"/>
  <c r="AI50" i="44"/>
  <c r="AI46" i="44"/>
  <c r="AI50" i="25"/>
  <c r="AI48" i="25"/>
  <c r="AI46" i="25"/>
  <c r="AI47" i="25"/>
  <c r="AI51" i="25"/>
  <c r="AI49" i="25"/>
  <c r="AI52" i="25"/>
  <c r="AH46" i="30"/>
  <c r="AH48" i="30"/>
  <c r="AH50" i="30"/>
  <c r="AH51" i="30"/>
  <c r="AH47" i="30"/>
  <c r="AH49" i="30"/>
  <c r="AH52" i="30"/>
  <c r="AH48" i="32"/>
  <c r="AH47" i="32"/>
  <c r="AH49" i="32"/>
  <c r="AH51" i="32"/>
  <c r="AH52" i="32"/>
  <c r="AH46" i="32"/>
  <c r="AH50" i="32"/>
  <c r="AI47" i="22"/>
  <c r="AI50" i="22"/>
  <c r="AI46" i="22"/>
  <c r="AI48" i="22"/>
  <c r="AI51" i="22"/>
  <c r="AI49" i="22"/>
  <c r="AI52" i="22"/>
  <c r="AI48" i="27"/>
  <c r="AI50" i="27"/>
  <c r="AI51" i="27"/>
  <c r="AI47" i="27"/>
  <c r="AI52" i="27"/>
  <c r="AI49" i="27"/>
  <c r="AI46" i="27"/>
  <c r="AI46" i="50"/>
  <c r="AI52" i="50"/>
  <c r="AI51" i="50"/>
  <c r="AI48" i="50"/>
  <c r="AI47" i="50"/>
  <c r="AI49" i="50"/>
  <c r="AI50" i="50"/>
  <c r="AI47" i="24"/>
  <c r="AI46" i="24"/>
  <c r="AI49" i="24"/>
  <c r="AI48" i="24"/>
  <c r="AI51" i="24"/>
  <c r="AI50" i="24"/>
  <c r="AI52" i="24"/>
  <c r="AI37" i="40"/>
  <c r="AI36" i="40"/>
  <c r="AI34" i="40"/>
  <c r="AI44" i="40"/>
  <c r="AI41" i="40"/>
  <c r="AI40" i="40"/>
  <c r="AI39" i="40"/>
  <c r="AI33" i="40"/>
  <c r="AI45" i="40"/>
  <c r="AI38" i="40"/>
  <c r="AI35" i="40"/>
  <c r="AI43" i="40"/>
  <c r="AI42" i="40"/>
  <c r="AI52" i="29"/>
  <c r="AI47" i="29"/>
  <c r="AI49" i="29"/>
  <c r="AI48" i="29"/>
  <c r="AI46" i="29"/>
  <c r="AI50" i="29"/>
  <c r="AI51" i="29"/>
  <c r="AI45" i="50"/>
  <c r="AI37" i="50"/>
  <c r="AI39" i="50"/>
  <c r="AI35" i="50"/>
  <c r="AI43" i="50"/>
  <c r="AI38" i="50"/>
  <c r="AI40" i="50"/>
  <c r="AI42" i="50"/>
  <c r="AI44" i="50"/>
  <c r="AI33" i="50"/>
  <c r="AI41" i="50"/>
  <c r="AI36" i="50"/>
  <c r="AI34" i="50"/>
  <c r="AH33" i="37"/>
  <c r="AH42" i="37"/>
  <c r="AH43" i="37"/>
  <c r="AH40" i="37"/>
  <c r="AH39" i="37"/>
  <c r="AH45" i="37"/>
  <c r="AH38" i="37"/>
  <c r="AH34" i="37"/>
  <c r="AH35" i="37"/>
  <c r="AH36" i="37"/>
  <c r="AH37" i="37"/>
  <c r="AH44" i="37"/>
  <c r="AH41" i="37"/>
  <c r="AI45" i="22"/>
  <c r="AI35" i="22"/>
  <c r="AI37" i="22"/>
  <c r="AI33" i="22"/>
  <c r="AI41" i="22"/>
  <c r="AI43" i="22"/>
  <c r="AI44" i="22"/>
  <c r="AI34" i="22"/>
  <c r="AI42" i="22"/>
  <c r="AI38" i="22"/>
  <c r="AI36" i="22"/>
  <c r="AI39" i="22"/>
  <c r="AI40" i="22"/>
  <c r="AI38" i="26"/>
  <c r="AI34" i="26"/>
  <c r="AI33" i="26"/>
  <c r="AI42" i="26"/>
  <c r="AI40" i="26"/>
  <c r="AI35" i="26"/>
  <c r="AI39" i="26"/>
  <c r="AI37" i="26"/>
  <c r="AI36" i="26"/>
  <c r="AI43" i="26"/>
  <c r="AI45" i="26"/>
  <c r="AI44" i="26"/>
  <c r="AI41" i="26"/>
  <c r="AH34" i="31"/>
  <c r="AH36" i="31"/>
  <c r="AH39" i="31"/>
  <c r="AH42" i="31"/>
  <c r="AH43" i="31"/>
  <c r="AH33" i="31"/>
  <c r="AH40" i="31"/>
  <c r="AH44" i="31"/>
  <c r="AH35" i="31"/>
  <c r="AH38" i="31"/>
  <c r="AH37" i="31"/>
  <c r="AH41" i="31"/>
  <c r="AH45" i="31"/>
  <c r="AH33" i="32"/>
  <c r="AH42" i="32"/>
  <c r="AH38" i="32"/>
  <c r="AH37" i="32"/>
  <c r="AH43" i="32"/>
  <c r="AH44" i="32"/>
  <c r="AH36" i="32"/>
  <c r="AH35" i="32"/>
  <c r="AH39" i="32"/>
  <c r="AH34" i="32"/>
  <c r="AH41" i="32"/>
  <c r="AH40" i="32"/>
  <c r="AH45" i="32"/>
  <c r="AI43" i="27"/>
  <c r="AI38" i="27"/>
  <c r="AI41" i="27"/>
  <c r="AI36" i="27"/>
  <c r="AI45" i="27"/>
  <c r="AI42" i="27"/>
  <c r="AI33" i="27"/>
  <c r="AI39" i="27"/>
  <c r="AI40" i="27"/>
  <c r="AI44" i="27"/>
  <c r="AI35" i="27"/>
  <c r="AI37" i="27"/>
  <c r="AI34" i="27"/>
  <c r="AI41" i="24"/>
  <c r="AI39" i="24"/>
  <c r="AI37" i="24"/>
  <c r="AI34" i="24"/>
  <c r="AI44" i="24"/>
  <c r="AI42" i="24"/>
  <c r="AI38" i="24"/>
  <c r="AI35" i="24"/>
  <c r="AI40" i="24"/>
  <c r="AI36" i="24"/>
  <c r="AI33" i="24"/>
  <c r="AI43" i="24"/>
  <c r="AI45" i="24"/>
  <c r="AH34" i="30"/>
  <c r="AH38" i="30"/>
  <c r="AH41" i="30"/>
  <c r="AH44" i="30"/>
  <c r="AH45" i="30"/>
  <c r="AH39" i="30"/>
  <c r="AH43" i="30"/>
  <c r="AH40" i="30"/>
  <c r="AH42" i="30"/>
  <c r="AH33" i="30"/>
  <c r="AH36" i="30"/>
  <c r="AH37" i="30"/>
  <c r="AH35" i="30"/>
  <c r="AI43" i="44"/>
  <c r="AI38" i="44"/>
  <c r="AI37" i="44"/>
  <c r="AI34" i="44"/>
  <c r="AI45" i="44"/>
  <c r="AI42" i="44"/>
  <c r="AI35" i="44"/>
  <c r="AI33" i="44"/>
  <c r="AI41" i="44"/>
  <c r="AI40" i="44"/>
  <c r="AI44" i="44"/>
  <c r="AI36" i="44"/>
  <c r="AI39" i="44"/>
  <c r="AI43" i="25"/>
  <c r="AI41" i="25"/>
  <c r="AI45" i="25"/>
  <c r="AI39" i="25"/>
  <c r="AI35" i="25"/>
  <c r="AI33" i="25"/>
  <c r="AI38" i="25"/>
  <c r="AI40" i="25"/>
  <c r="AI37" i="25"/>
  <c r="AI44" i="25"/>
  <c r="AI34" i="25"/>
  <c r="AI36" i="25"/>
  <c r="AI42" i="25"/>
  <c r="AI39" i="29"/>
  <c r="AI37" i="29"/>
  <c r="AI38" i="29"/>
  <c r="AI41" i="29"/>
  <c r="AI40" i="29"/>
  <c r="AI44" i="29"/>
  <c r="AI45" i="29"/>
  <c r="AI33" i="29"/>
  <c r="AI36" i="29"/>
  <c r="AI43" i="29"/>
  <c r="AI34" i="29"/>
  <c r="AI35" i="29"/>
  <c r="AI42" i="29"/>
  <c r="AI8" i="27"/>
  <c r="Q15" i="42"/>
  <c r="B55" i="66"/>
  <c r="AI8" i="44"/>
  <c r="AI8" i="40"/>
  <c r="AH8" i="37"/>
  <c r="AI48" i="28"/>
  <c r="AI47" i="28"/>
  <c r="AI18" i="50"/>
  <c r="AI30" i="50"/>
  <c r="AI8" i="25"/>
  <c r="AJ3" i="26"/>
  <c r="AJ53" i="26" s="1"/>
  <c r="AI29" i="50"/>
  <c r="AI25" i="50"/>
  <c r="AI15" i="50"/>
  <c r="AI3" i="32"/>
  <c r="AI53" i="32" s="1"/>
  <c r="AI3" i="30"/>
  <c r="AI53" i="30" s="1"/>
  <c r="AI8" i="22"/>
  <c r="AI27" i="50"/>
  <c r="AI32" i="50"/>
  <c r="AI23" i="50"/>
  <c r="AI24" i="50"/>
  <c r="AI26" i="50"/>
  <c r="AI13" i="50"/>
  <c r="AI22" i="50"/>
  <c r="AI20" i="50"/>
  <c r="AI9" i="50"/>
  <c r="AI10" i="50"/>
  <c r="AI12" i="50"/>
  <c r="AI19" i="50"/>
  <c r="AI16" i="50"/>
  <c r="AI14" i="50"/>
  <c r="AI11" i="50"/>
  <c r="AI8" i="50"/>
  <c r="AI21" i="50"/>
  <c r="AI17" i="50"/>
  <c r="AI28" i="50"/>
  <c r="AI31" i="50"/>
  <c r="AJ3" i="50"/>
  <c r="AJ53" i="50" s="1"/>
  <c r="AH29" i="32"/>
  <c r="AJ3" i="22"/>
  <c r="AJ53" i="22" s="1"/>
  <c r="AJ3" i="24"/>
  <c r="AJ53" i="24" s="1"/>
  <c r="AJ3" i="44"/>
  <c r="AJ53" i="44" s="1"/>
  <c r="AH9" i="32"/>
  <c r="AH31" i="32"/>
  <c r="AH24" i="32"/>
  <c r="AH11" i="32"/>
  <c r="AH22" i="32"/>
  <c r="AH32" i="32"/>
  <c r="AH8" i="32"/>
  <c r="AH28" i="32"/>
  <c r="AH12" i="32"/>
  <c r="AH13" i="32"/>
  <c r="AH25" i="32"/>
  <c r="AH20" i="32"/>
  <c r="AH26" i="32"/>
  <c r="AH16" i="32"/>
  <c r="AH19" i="32"/>
  <c r="AH21" i="32"/>
  <c r="AH30" i="32"/>
  <c r="AH10" i="32"/>
  <c r="AH14" i="32"/>
  <c r="AH17" i="32"/>
  <c r="AH27" i="32"/>
  <c r="AH15" i="32"/>
  <c r="AH23" i="32"/>
  <c r="AH18" i="32"/>
  <c r="AK4" i="29"/>
  <c r="AK4" i="50"/>
  <c r="AJ4" i="37"/>
  <c r="AK4" i="28"/>
  <c r="AK4" i="27"/>
  <c r="AK4" i="40"/>
  <c r="AK4" i="44"/>
  <c r="AK4" i="25"/>
  <c r="AK4" i="24"/>
  <c r="AK4" i="22"/>
  <c r="AJ4" i="32"/>
  <c r="AK4" i="26"/>
  <c r="AJ4" i="31"/>
  <c r="AJ4" i="30"/>
  <c r="AJ3" i="27"/>
  <c r="AJ53" i="27" s="1"/>
  <c r="AJ3" i="25"/>
  <c r="AJ53" i="25" s="1"/>
  <c r="AI3" i="31"/>
  <c r="AI53" i="31" s="1"/>
  <c r="AJ3" i="29"/>
  <c r="AJ53" i="29" s="1"/>
  <c r="AI3" i="37"/>
  <c r="AI53" i="37" s="1"/>
  <c r="AJ3" i="28"/>
  <c r="AJ47" i="28" s="1"/>
  <c r="AJ3" i="40"/>
  <c r="AJ53" i="40" s="1"/>
  <c r="Q14" i="42"/>
  <c r="B63" i="66" s="1"/>
  <c r="AI46" i="37" l="1"/>
  <c r="AI51" i="37"/>
  <c r="AI52" i="37"/>
  <c r="AI49" i="37"/>
  <c r="AI50" i="37"/>
  <c r="AI47" i="37"/>
  <c r="AI48" i="37"/>
  <c r="AJ48" i="40"/>
  <c r="AJ46" i="40"/>
  <c r="AJ50" i="40"/>
  <c r="AJ49" i="40"/>
  <c r="AJ47" i="40"/>
  <c r="AJ51" i="40"/>
  <c r="AJ52" i="40"/>
  <c r="AI50" i="32"/>
  <c r="AI48" i="32"/>
  <c r="AI46" i="32"/>
  <c r="AI49" i="32"/>
  <c r="AI51" i="32"/>
  <c r="AI52" i="32"/>
  <c r="AI47" i="32"/>
  <c r="AJ48" i="25"/>
  <c r="AJ50" i="25"/>
  <c r="AJ51" i="25"/>
  <c r="AJ46" i="25"/>
  <c r="AJ52" i="25"/>
  <c r="AJ49" i="25"/>
  <c r="AJ47" i="25"/>
  <c r="AJ49" i="44"/>
  <c r="AJ48" i="44"/>
  <c r="AJ50" i="44"/>
  <c r="AJ46" i="44"/>
  <c r="AJ51" i="44"/>
  <c r="AJ52" i="44"/>
  <c r="AJ47" i="44"/>
  <c r="AJ46" i="50"/>
  <c r="AJ51" i="50"/>
  <c r="AJ49" i="50"/>
  <c r="AJ47" i="50"/>
  <c r="AJ52" i="50"/>
  <c r="AJ48" i="50"/>
  <c r="AJ50" i="50"/>
  <c r="AI52" i="31"/>
  <c r="AI50" i="31"/>
  <c r="AI46" i="31"/>
  <c r="AI47" i="31"/>
  <c r="AI51" i="31"/>
  <c r="AI48" i="31"/>
  <c r="AI49" i="31"/>
  <c r="AJ48" i="27"/>
  <c r="AJ46" i="27"/>
  <c r="AJ50" i="27"/>
  <c r="AJ49" i="27"/>
  <c r="AJ47" i="27"/>
  <c r="AJ52" i="27"/>
  <c r="AJ51" i="27"/>
  <c r="AJ47" i="26"/>
  <c r="AJ51" i="26"/>
  <c r="AJ49" i="26"/>
  <c r="AJ50" i="26"/>
  <c r="AJ46" i="26"/>
  <c r="AJ48" i="26"/>
  <c r="AJ52" i="26"/>
  <c r="AJ51" i="22"/>
  <c r="AJ49" i="22"/>
  <c r="AJ52" i="22"/>
  <c r="AJ48" i="22"/>
  <c r="AJ50" i="22"/>
  <c r="AJ47" i="22"/>
  <c r="AJ46" i="22"/>
  <c r="AI50" i="30"/>
  <c r="AI48" i="30"/>
  <c r="AI52" i="30"/>
  <c r="AI46" i="30"/>
  <c r="AI49" i="30"/>
  <c r="AI47" i="30"/>
  <c r="AI51" i="30"/>
  <c r="AJ46" i="24"/>
  <c r="AJ47" i="24"/>
  <c r="AJ51" i="24"/>
  <c r="AJ48" i="24"/>
  <c r="AJ52" i="24"/>
  <c r="AJ50" i="24"/>
  <c r="AJ49" i="24"/>
  <c r="AI43" i="37"/>
  <c r="AI45" i="37"/>
  <c r="AI33" i="37"/>
  <c r="AI38" i="37"/>
  <c r="AI34" i="37"/>
  <c r="AI41" i="37"/>
  <c r="AI44" i="37"/>
  <c r="AI35" i="37"/>
  <c r="AI36" i="37"/>
  <c r="AI37" i="37"/>
  <c r="AI42" i="37"/>
  <c r="AI39" i="37"/>
  <c r="AI40" i="37"/>
  <c r="AJ45" i="24"/>
  <c r="AJ41" i="24"/>
  <c r="AJ39" i="24"/>
  <c r="AJ35" i="24"/>
  <c r="AJ43" i="24"/>
  <c r="AJ37" i="24"/>
  <c r="AJ33" i="24"/>
  <c r="AJ36" i="24"/>
  <c r="AJ38" i="24"/>
  <c r="AJ44" i="24"/>
  <c r="AJ40" i="24"/>
  <c r="AJ42" i="24"/>
  <c r="AJ34" i="24"/>
  <c r="AJ43" i="40"/>
  <c r="AJ39" i="40"/>
  <c r="AJ34" i="40"/>
  <c r="AJ37" i="40"/>
  <c r="AJ41" i="40"/>
  <c r="AJ42" i="40"/>
  <c r="AJ35" i="40"/>
  <c r="AJ40" i="40"/>
  <c r="AJ33" i="40"/>
  <c r="AJ45" i="40"/>
  <c r="AJ44" i="40"/>
  <c r="AJ38" i="40"/>
  <c r="AJ36" i="40"/>
  <c r="AJ36" i="27"/>
  <c r="AJ33" i="27"/>
  <c r="AJ44" i="27"/>
  <c r="AJ39" i="27"/>
  <c r="AJ45" i="27"/>
  <c r="AJ42" i="27"/>
  <c r="AJ38" i="27"/>
  <c r="AJ41" i="27"/>
  <c r="AJ35" i="27"/>
  <c r="AJ34" i="27"/>
  <c r="AJ37" i="27"/>
  <c r="AJ43" i="27"/>
  <c r="AJ40" i="27"/>
  <c r="AJ50" i="29"/>
  <c r="AJ48" i="29"/>
  <c r="AJ47" i="29"/>
  <c r="AJ51" i="29"/>
  <c r="AJ52" i="29"/>
  <c r="AJ46" i="29"/>
  <c r="AJ49" i="29"/>
  <c r="AJ40" i="22"/>
  <c r="AJ33" i="22"/>
  <c r="AJ37" i="22"/>
  <c r="AJ44" i="22"/>
  <c r="AJ41" i="22"/>
  <c r="AJ36" i="22"/>
  <c r="AJ42" i="22"/>
  <c r="AJ34" i="22"/>
  <c r="AJ45" i="22"/>
  <c r="AJ38" i="22"/>
  <c r="AJ43" i="22"/>
  <c r="AJ39" i="22"/>
  <c r="AJ35" i="22"/>
  <c r="AI45" i="30"/>
  <c r="AI41" i="30"/>
  <c r="AI40" i="30"/>
  <c r="AI37" i="30"/>
  <c r="AI33" i="30"/>
  <c r="AI43" i="30"/>
  <c r="AI42" i="30"/>
  <c r="AI44" i="30"/>
  <c r="AI38" i="30"/>
  <c r="AI39" i="30"/>
  <c r="AI34" i="30"/>
  <c r="AI35" i="30"/>
  <c r="AI36" i="30"/>
  <c r="AI39" i="32"/>
  <c r="AI35" i="32"/>
  <c r="AI43" i="32"/>
  <c r="AI45" i="32"/>
  <c r="AI40" i="32"/>
  <c r="AI33" i="32"/>
  <c r="AI44" i="32"/>
  <c r="AI34" i="32"/>
  <c r="AI41" i="32"/>
  <c r="AI42" i="32"/>
  <c r="AI36" i="32"/>
  <c r="AI37" i="32"/>
  <c r="AI38" i="32"/>
  <c r="AJ45" i="26"/>
  <c r="AJ43" i="26"/>
  <c r="AJ40" i="26"/>
  <c r="AJ33" i="26"/>
  <c r="AJ34" i="26"/>
  <c r="AJ39" i="26"/>
  <c r="AJ41" i="26"/>
  <c r="AJ44" i="26"/>
  <c r="AJ35" i="26"/>
  <c r="AJ37" i="26"/>
  <c r="AJ42" i="26"/>
  <c r="AJ36" i="26"/>
  <c r="AJ38" i="26"/>
  <c r="AI45" i="31"/>
  <c r="AI41" i="31"/>
  <c r="AI39" i="31"/>
  <c r="AI37" i="31"/>
  <c r="AI34" i="31"/>
  <c r="AI44" i="31"/>
  <c r="AI33" i="31"/>
  <c r="AI36" i="31"/>
  <c r="AI43" i="31"/>
  <c r="AI35" i="31"/>
  <c r="AI42" i="31"/>
  <c r="AI40" i="31"/>
  <c r="AI38" i="31"/>
  <c r="AJ43" i="25"/>
  <c r="AJ36" i="25"/>
  <c r="AJ40" i="25"/>
  <c r="AJ34" i="25"/>
  <c r="AJ45" i="25"/>
  <c r="AJ37" i="25"/>
  <c r="AJ42" i="25"/>
  <c r="AJ35" i="25"/>
  <c r="AJ33" i="25"/>
  <c r="AJ38" i="25"/>
  <c r="AJ39" i="25"/>
  <c r="AJ41" i="25"/>
  <c r="AJ44" i="25"/>
  <c r="AJ44" i="44"/>
  <c r="AJ42" i="44"/>
  <c r="AJ45" i="44"/>
  <c r="AJ35" i="44"/>
  <c r="AJ36" i="44"/>
  <c r="AJ40" i="44"/>
  <c r="AJ38" i="44"/>
  <c r="AJ33" i="44"/>
  <c r="AJ37" i="44"/>
  <c r="AJ43" i="44"/>
  <c r="AJ39" i="44"/>
  <c r="AJ34" i="44"/>
  <c r="AJ41" i="44"/>
  <c r="AJ44" i="50"/>
  <c r="AJ45" i="50"/>
  <c r="AJ39" i="50"/>
  <c r="AJ34" i="50"/>
  <c r="AJ37" i="50"/>
  <c r="AJ42" i="50"/>
  <c r="AJ38" i="50"/>
  <c r="AJ40" i="50"/>
  <c r="AJ33" i="50"/>
  <c r="AJ36" i="50"/>
  <c r="AJ35" i="50"/>
  <c r="AJ43" i="50"/>
  <c r="AJ41" i="50"/>
  <c r="AJ39" i="29"/>
  <c r="AJ45" i="29"/>
  <c r="AJ41" i="29"/>
  <c r="AJ44" i="29"/>
  <c r="AJ36" i="29"/>
  <c r="AJ33" i="29"/>
  <c r="AJ43" i="29"/>
  <c r="AJ42" i="29"/>
  <c r="AJ35" i="29"/>
  <c r="AJ34" i="29"/>
  <c r="AJ37" i="29"/>
  <c r="AJ40" i="29"/>
  <c r="AJ38" i="29"/>
  <c r="AJ8" i="27"/>
  <c r="AJ8" i="44"/>
  <c r="AJ8" i="40"/>
  <c r="AI8" i="37"/>
  <c r="AJ10" i="50"/>
  <c r="AJ21" i="50"/>
  <c r="AJ19" i="50"/>
  <c r="AJ26" i="50"/>
  <c r="AJ30" i="50"/>
  <c r="AJ31" i="50"/>
  <c r="AJ17" i="50"/>
  <c r="AI24" i="32"/>
  <c r="AI13" i="32"/>
  <c r="AI21" i="32"/>
  <c r="AI18" i="32"/>
  <c r="AI23" i="32"/>
  <c r="AI15" i="32"/>
  <c r="AI20" i="32"/>
  <c r="AI26" i="32"/>
  <c r="AI30" i="32"/>
  <c r="AI25" i="32"/>
  <c r="AI12" i="32"/>
  <c r="AI10" i="32"/>
  <c r="AI29" i="32"/>
  <c r="AI19" i="32"/>
  <c r="AJ8" i="50"/>
  <c r="AI11" i="32"/>
  <c r="AI16" i="32"/>
  <c r="AJ25" i="50"/>
  <c r="AI28" i="32"/>
  <c r="AI14" i="32"/>
  <c r="AI27" i="32"/>
  <c r="AI9" i="32"/>
  <c r="AI17" i="32"/>
  <c r="AI31" i="32"/>
  <c r="AI32" i="32"/>
  <c r="AI22" i="32"/>
  <c r="AI8" i="32"/>
  <c r="AJ29" i="50"/>
  <c r="AJ18" i="50"/>
  <c r="AJ12" i="50"/>
  <c r="AJ24" i="50"/>
  <c r="AJ28" i="50"/>
  <c r="AJ32" i="50"/>
  <c r="AJ16" i="50"/>
  <c r="AJ14" i="50"/>
  <c r="AJ23" i="50"/>
  <c r="AJ11" i="50"/>
  <c r="AJ22" i="50"/>
  <c r="AJ27" i="50"/>
  <c r="AJ13" i="50"/>
  <c r="AJ9" i="50"/>
  <c r="AJ20" i="50"/>
  <c r="AJ15" i="50"/>
  <c r="AJ8" i="22"/>
  <c r="AJ8" i="25"/>
  <c r="AJ48" i="28"/>
  <c r="AJ46" i="28"/>
  <c r="AK3" i="50"/>
  <c r="AK53" i="50" s="1"/>
  <c r="AK3" i="27"/>
  <c r="AK53" i="27" s="1"/>
  <c r="AJ3" i="37"/>
  <c r="AJ53" i="37" s="1"/>
  <c r="AJ3" i="31"/>
  <c r="AJ53" i="31" s="1"/>
  <c r="AK3" i="25"/>
  <c r="AK53" i="25" s="1"/>
  <c r="AK3" i="28"/>
  <c r="AK47" i="28" s="1"/>
  <c r="AK3" i="40"/>
  <c r="AK53" i="40" s="1"/>
  <c r="AK3" i="29"/>
  <c r="AK53" i="29" s="1"/>
  <c r="AL4" i="29"/>
  <c r="AL4" i="50"/>
  <c r="AL4" i="28"/>
  <c r="AL4" i="27"/>
  <c r="AL4" i="40"/>
  <c r="AL4" i="44"/>
  <c r="AK4" i="37"/>
  <c r="AL4" i="26"/>
  <c r="AL4" i="24"/>
  <c r="AL4" i="22"/>
  <c r="AK4" i="32"/>
  <c r="AK4" i="31"/>
  <c r="AL4" i="25"/>
  <c r="AK4" i="30"/>
  <c r="AJ3" i="32"/>
  <c r="AJ53" i="32" s="1"/>
  <c r="AJ3" i="30"/>
  <c r="AJ53" i="30" s="1"/>
  <c r="AK3" i="26"/>
  <c r="AK53" i="26" s="1"/>
  <c r="AK3" i="22"/>
  <c r="AK53" i="22" s="1"/>
  <c r="AK3" i="44"/>
  <c r="AK53" i="44" s="1"/>
  <c r="AK3" i="24"/>
  <c r="AK53" i="24" s="1"/>
  <c r="AJ46" i="37" l="1"/>
  <c r="AJ49" i="37"/>
  <c r="AJ48" i="37"/>
  <c r="AJ47" i="37"/>
  <c r="AJ52" i="37"/>
  <c r="AJ51" i="37"/>
  <c r="AJ50" i="37"/>
  <c r="AK52" i="40"/>
  <c r="AK51" i="40"/>
  <c r="AK49" i="40"/>
  <c r="AK47" i="40"/>
  <c r="AK46" i="40"/>
  <c r="AK48" i="40"/>
  <c r="AK50" i="40"/>
  <c r="AK50" i="27"/>
  <c r="AK46" i="27"/>
  <c r="AK47" i="27"/>
  <c r="AK51" i="27"/>
  <c r="AK48" i="27"/>
  <c r="AK49" i="27"/>
  <c r="AK52" i="27"/>
  <c r="AK46" i="50"/>
  <c r="AK51" i="50"/>
  <c r="AK52" i="50"/>
  <c r="AK49" i="50"/>
  <c r="AK50" i="50"/>
  <c r="AK48" i="50"/>
  <c r="AK47" i="50"/>
  <c r="AK51" i="22"/>
  <c r="AK47" i="22"/>
  <c r="AK50" i="22"/>
  <c r="AK49" i="22"/>
  <c r="AK46" i="22"/>
  <c r="AK48" i="22"/>
  <c r="AK52" i="22"/>
  <c r="AK47" i="26"/>
  <c r="AK49" i="26"/>
  <c r="AK46" i="26"/>
  <c r="AK48" i="26"/>
  <c r="AK50" i="26"/>
  <c r="AK51" i="26"/>
  <c r="AK52" i="26"/>
  <c r="AK50" i="25"/>
  <c r="AK46" i="25"/>
  <c r="AK52" i="25"/>
  <c r="AK48" i="25"/>
  <c r="AK49" i="25"/>
  <c r="AK51" i="25"/>
  <c r="AK47" i="25"/>
  <c r="AJ50" i="30"/>
  <c r="AJ47" i="30"/>
  <c r="AJ49" i="30"/>
  <c r="AJ51" i="30"/>
  <c r="AJ52" i="30"/>
  <c r="AJ46" i="30"/>
  <c r="AJ48" i="30"/>
  <c r="AJ50" i="31"/>
  <c r="AJ46" i="31"/>
  <c r="AJ47" i="31"/>
  <c r="AJ52" i="31"/>
  <c r="AJ51" i="31"/>
  <c r="AJ49" i="31"/>
  <c r="AJ48" i="31"/>
  <c r="AK47" i="44"/>
  <c r="AK48" i="44"/>
  <c r="AK46" i="44"/>
  <c r="AK50" i="44"/>
  <c r="AK51" i="44"/>
  <c r="AK52" i="44"/>
  <c r="AK49" i="44"/>
  <c r="AJ50" i="32"/>
  <c r="AJ47" i="32"/>
  <c r="AJ49" i="32"/>
  <c r="AJ48" i="32"/>
  <c r="AJ51" i="32"/>
  <c r="AJ46" i="32"/>
  <c r="AJ52" i="32"/>
  <c r="AK47" i="24"/>
  <c r="AK50" i="24"/>
  <c r="AK48" i="24"/>
  <c r="AK52" i="24"/>
  <c r="AK46" i="24"/>
  <c r="AK49" i="24"/>
  <c r="AK51" i="24"/>
  <c r="AJ41" i="30"/>
  <c r="AJ36" i="30"/>
  <c r="AJ40" i="30"/>
  <c r="AJ44" i="30"/>
  <c r="AJ33" i="30"/>
  <c r="AJ37" i="30"/>
  <c r="AJ42" i="30"/>
  <c r="AJ38" i="30"/>
  <c r="AJ43" i="30"/>
  <c r="AJ39" i="30"/>
  <c r="AJ45" i="30"/>
  <c r="AJ35" i="30"/>
  <c r="AJ34" i="30"/>
  <c r="AK50" i="29"/>
  <c r="AK47" i="29"/>
  <c r="AK51" i="29"/>
  <c r="AK49" i="29"/>
  <c r="AK46" i="29"/>
  <c r="AK52" i="29"/>
  <c r="AK48" i="29"/>
  <c r="AJ44" i="31"/>
  <c r="AJ34" i="31"/>
  <c r="AJ41" i="31"/>
  <c r="AJ40" i="31"/>
  <c r="AJ37" i="31"/>
  <c r="AJ45" i="31"/>
  <c r="AJ36" i="31"/>
  <c r="AJ35" i="31"/>
  <c r="AJ38" i="31"/>
  <c r="AJ43" i="31"/>
  <c r="AJ33" i="31"/>
  <c r="AJ42" i="31"/>
  <c r="AJ39" i="31"/>
  <c r="AK36" i="44"/>
  <c r="AK35" i="44"/>
  <c r="AK40" i="44"/>
  <c r="AK45" i="44"/>
  <c r="AK33" i="44"/>
  <c r="AK37" i="44"/>
  <c r="AK43" i="44"/>
  <c r="AK34" i="44"/>
  <c r="AK39" i="44"/>
  <c r="AK44" i="44"/>
  <c r="AK42" i="44"/>
  <c r="AK41" i="44"/>
  <c r="AK38" i="44"/>
  <c r="AJ44" i="32"/>
  <c r="AJ33" i="32"/>
  <c r="AJ40" i="32"/>
  <c r="AJ35" i="32"/>
  <c r="AJ43" i="32"/>
  <c r="AJ42" i="32"/>
  <c r="AJ39" i="32"/>
  <c r="AJ38" i="32"/>
  <c r="AJ41" i="32"/>
  <c r="AJ36" i="32"/>
  <c r="AJ37" i="32"/>
  <c r="AJ45" i="32"/>
  <c r="AJ34" i="32"/>
  <c r="AK41" i="40"/>
  <c r="AK37" i="40"/>
  <c r="AK40" i="40"/>
  <c r="AK34" i="40"/>
  <c r="AK39" i="40"/>
  <c r="AK36" i="40"/>
  <c r="AK33" i="40"/>
  <c r="AK45" i="40"/>
  <c r="AK42" i="40"/>
  <c r="AK44" i="40"/>
  <c r="AK35" i="40"/>
  <c r="AK38" i="40"/>
  <c r="AK43" i="40"/>
  <c r="AJ33" i="37"/>
  <c r="AJ34" i="37"/>
  <c r="AJ35" i="37"/>
  <c r="AJ36" i="37"/>
  <c r="AJ37" i="37"/>
  <c r="AJ38" i="37"/>
  <c r="AJ42" i="37"/>
  <c r="AJ43" i="37"/>
  <c r="AJ40" i="37"/>
  <c r="AJ39" i="37"/>
  <c r="AJ45" i="37"/>
  <c r="AJ44" i="37"/>
  <c r="AJ41" i="37"/>
  <c r="AK41" i="24"/>
  <c r="AK37" i="24"/>
  <c r="AK45" i="24"/>
  <c r="AK43" i="24"/>
  <c r="AK39" i="24"/>
  <c r="AK35" i="24"/>
  <c r="AK36" i="24"/>
  <c r="AK34" i="24"/>
  <c r="AK38" i="24"/>
  <c r="AK44" i="24"/>
  <c r="AK42" i="24"/>
  <c r="AK40" i="24"/>
  <c r="AK33" i="24"/>
  <c r="AK41" i="22"/>
  <c r="AK43" i="22"/>
  <c r="AK40" i="22"/>
  <c r="AK37" i="22"/>
  <c r="AK39" i="22"/>
  <c r="AK35" i="22"/>
  <c r="AK44" i="22"/>
  <c r="AK33" i="22"/>
  <c r="AK34" i="22"/>
  <c r="AK38" i="22"/>
  <c r="AK36" i="22"/>
  <c r="AK42" i="22"/>
  <c r="AK45" i="22"/>
  <c r="AK38" i="27"/>
  <c r="AK41" i="27"/>
  <c r="AK39" i="27"/>
  <c r="AK33" i="27"/>
  <c r="AK37" i="27"/>
  <c r="AK42" i="27"/>
  <c r="AK35" i="27"/>
  <c r="AK40" i="27"/>
  <c r="AK45" i="27"/>
  <c r="AK34" i="27"/>
  <c r="AK36" i="27"/>
  <c r="AK43" i="27"/>
  <c r="AK44" i="27"/>
  <c r="AK45" i="26"/>
  <c r="AK42" i="26"/>
  <c r="AK33" i="26"/>
  <c r="AK43" i="26"/>
  <c r="AK37" i="26"/>
  <c r="AK38" i="26"/>
  <c r="AK39" i="26"/>
  <c r="AK44" i="26"/>
  <c r="AK41" i="26"/>
  <c r="AK36" i="26"/>
  <c r="AK34" i="26"/>
  <c r="AK35" i="26"/>
  <c r="AK40" i="26"/>
  <c r="AK38" i="25"/>
  <c r="AK40" i="25"/>
  <c r="AK36" i="25"/>
  <c r="AK42" i="25"/>
  <c r="AK37" i="25"/>
  <c r="AK44" i="25"/>
  <c r="AK35" i="25"/>
  <c r="AK33" i="25"/>
  <c r="AK34" i="25"/>
  <c r="AK39" i="25"/>
  <c r="AK41" i="25"/>
  <c r="AK43" i="25"/>
  <c r="AK45" i="25"/>
  <c r="AK42" i="50"/>
  <c r="AK40" i="50"/>
  <c r="AK45" i="50"/>
  <c r="AK38" i="50"/>
  <c r="AK35" i="50"/>
  <c r="AK36" i="50"/>
  <c r="AK37" i="50"/>
  <c r="AK39" i="50"/>
  <c r="AK34" i="50"/>
  <c r="AK33" i="50"/>
  <c r="AK43" i="50"/>
  <c r="AK41" i="50"/>
  <c r="AK44" i="50"/>
  <c r="AK45" i="29"/>
  <c r="AK42" i="29"/>
  <c r="AK43" i="29"/>
  <c r="AK39" i="29"/>
  <c r="AK33" i="29"/>
  <c r="AK44" i="29"/>
  <c r="AK41" i="29"/>
  <c r="AK37" i="29"/>
  <c r="AK36" i="29"/>
  <c r="AK34" i="29"/>
  <c r="AK35" i="29"/>
  <c r="AK38" i="29"/>
  <c r="AK40" i="29"/>
  <c r="AK8" i="27"/>
  <c r="AK8" i="44"/>
  <c r="AJ8" i="37"/>
  <c r="AK8" i="40"/>
  <c r="AK19" i="50"/>
  <c r="AK23" i="50"/>
  <c r="AK17" i="50"/>
  <c r="AL3" i="25"/>
  <c r="AL53" i="25" s="1"/>
  <c r="AK16" i="50"/>
  <c r="AK18" i="50"/>
  <c r="AK9" i="50"/>
  <c r="AK13" i="50"/>
  <c r="AK8" i="50"/>
  <c r="AK22" i="50"/>
  <c r="AK31" i="50"/>
  <c r="AK12" i="50"/>
  <c r="AK30" i="50"/>
  <c r="AK10" i="50"/>
  <c r="AK26" i="50"/>
  <c r="AK32" i="50"/>
  <c r="AK24" i="50"/>
  <c r="AK11" i="50"/>
  <c r="AK20" i="50"/>
  <c r="AK14" i="50"/>
  <c r="AK27" i="50"/>
  <c r="AK21" i="50"/>
  <c r="AK15" i="50"/>
  <c r="AL3" i="44"/>
  <c r="AL53" i="44" s="1"/>
  <c r="AK29" i="50"/>
  <c r="AK25" i="50"/>
  <c r="AK28" i="50"/>
  <c r="AL3" i="24"/>
  <c r="AL53" i="24" s="1"/>
  <c r="AK8" i="25"/>
  <c r="AL3" i="27"/>
  <c r="AL53" i="27" s="1"/>
  <c r="AK3" i="32"/>
  <c r="AK53" i="32" s="1"/>
  <c r="AL3" i="28"/>
  <c r="AL46" i="28" s="1"/>
  <c r="AK3" i="30"/>
  <c r="AK53" i="30" s="1"/>
  <c r="AK3" i="31"/>
  <c r="AK53" i="31" s="1"/>
  <c r="AL3" i="40"/>
  <c r="AL53" i="40" s="1"/>
  <c r="AL3" i="26"/>
  <c r="AL53" i="26" s="1"/>
  <c r="AL3" i="29"/>
  <c r="AL53" i="29" s="1"/>
  <c r="AL3" i="22"/>
  <c r="AL53" i="22" s="1"/>
  <c r="AK3" i="37"/>
  <c r="AK53" i="37" s="1"/>
  <c r="AL3" i="50"/>
  <c r="AL53" i="50" s="1"/>
  <c r="AK48" i="28"/>
  <c r="AK46" i="28"/>
  <c r="AJ32" i="32"/>
  <c r="AM4" i="29"/>
  <c r="AM4" i="50"/>
  <c r="AM4" i="27"/>
  <c r="AM4" i="40"/>
  <c r="AM4" i="44"/>
  <c r="AL4" i="37"/>
  <c r="AM4" i="26"/>
  <c r="AM4" i="28"/>
  <c r="AM4" i="22"/>
  <c r="AL4" i="32"/>
  <c r="AL4" i="31"/>
  <c r="AM4" i="25"/>
  <c r="AM4" i="24"/>
  <c r="AL4" i="30"/>
  <c r="AJ15" i="32"/>
  <c r="AJ14" i="32"/>
  <c r="AJ24" i="32"/>
  <c r="AJ16" i="32"/>
  <c r="AJ20" i="32"/>
  <c r="AJ19" i="32"/>
  <c r="AJ11" i="32"/>
  <c r="AJ22" i="32"/>
  <c r="AJ17" i="32"/>
  <c r="AJ12" i="32"/>
  <c r="AJ9" i="32"/>
  <c r="AJ23" i="32"/>
  <c r="AJ28" i="32"/>
  <c r="AJ8" i="32"/>
  <c r="AJ18" i="32"/>
  <c r="AJ30" i="32"/>
  <c r="AJ31" i="32"/>
  <c r="AJ26" i="32"/>
  <c r="AJ25" i="32"/>
  <c r="AJ29" i="32"/>
  <c r="AJ10" i="32"/>
  <c r="AJ13" i="32"/>
  <c r="AJ21" i="32"/>
  <c r="AJ27" i="32"/>
  <c r="AK8" i="22"/>
  <c r="AL51" i="40" l="1"/>
  <c r="AL48" i="40"/>
  <c r="AL50" i="40"/>
  <c r="AL47" i="40"/>
  <c r="AL49" i="40"/>
  <c r="AL46" i="40"/>
  <c r="AL52" i="40"/>
  <c r="AK52" i="37"/>
  <c r="AK51" i="37"/>
  <c r="AK48" i="37"/>
  <c r="AK47" i="37"/>
  <c r="AK49" i="37"/>
  <c r="AK46" i="37"/>
  <c r="AK50" i="37"/>
  <c r="AL48" i="50"/>
  <c r="AL50" i="50"/>
  <c r="AL46" i="50"/>
  <c r="AL47" i="50"/>
  <c r="AL52" i="50"/>
  <c r="AL49" i="50"/>
  <c r="AL51" i="50"/>
  <c r="AL49" i="26"/>
  <c r="AL51" i="26"/>
  <c r="AL50" i="26"/>
  <c r="AL52" i="26"/>
  <c r="AL47" i="26"/>
  <c r="AL46" i="26"/>
  <c r="AL48" i="26"/>
  <c r="AL46" i="44"/>
  <c r="AL47" i="44"/>
  <c r="AL48" i="44"/>
  <c r="AL50" i="44"/>
  <c r="AL51" i="44"/>
  <c r="AL52" i="44"/>
  <c r="AL49" i="44"/>
  <c r="AL47" i="25"/>
  <c r="AL48" i="25"/>
  <c r="AL50" i="25"/>
  <c r="AL49" i="25"/>
  <c r="AL46" i="25"/>
  <c r="AL52" i="25"/>
  <c r="AL51" i="25"/>
  <c r="AK50" i="32"/>
  <c r="AK52" i="32"/>
  <c r="AK51" i="32"/>
  <c r="AK49" i="32"/>
  <c r="AK48" i="32"/>
  <c r="AK46" i="32"/>
  <c r="AK47" i="32"/>
  <c r="AL47" i="22"/>
  <c r="AL49" i="22"/>
  <c r="AL46" i="22"/>
  <c r="AL52" i="22"/>
  <c r="AL48" i="22"/>
  <c r="AL50" i="22"/>
  <c r="AL51" i="22"/>
  <c r="AK50" i="31"/>
  <c r="AK46" i="31"/>
  <c r="AK52" i="31"/>
  <c r="AK51" i="31"/>
  <c r="AK49" i="31"/>
  <c r="AK48" i="31"/>
  <c r="AK47" i="31"/>
  <c r="AL50" i="27"/>
  <c r="AL51" i="27"/>
  <c r="AL49" i="27"/>
  <c r="AL46" i="27"/>
  <c r="AL48" i="27"/>
  <c r="AL47" i="27"/>
  <c r="AL52" i="27"/>
  <c r="AK50" i="30"/>
  <c r="AK52" i="30"/>
  <c r="AK49" i="30"/>
  <c r="AK51" i="30"/>
  <c r="AK46" i="30"/>
  <c r="AK48" i="30"/>
  <c r="AK47" i="30"/>
  <c r="AL47" i="24"/>
  <c r="AL50" i="24"/>
  <c r="AL51" i="24"/>
  <c r="AL52" i="24"/>
  <c r="AL46" i="24"/>
  <c r="AL48" i="24"/>
  <c r="AL49" i="24"/>
  <c r="AK43" i="30"/>
  <c r="AK40" i="30"/>
  <c r="AK39" i="30"/>
  <c r="AK35" i="30"/>
  <c r="AK41" i="30"/>
  <c r="AK42" i="30"/>
  <c r="AK36" i="30"/>
  <c r="AK45" i="30"/>
  <c r="AK38" i="30"/>
  <c r="AK44" i="30"/>
  <c r="AK37" i="30"/>
  <c r="AK34" i="30"/>
  <c r="AK33" i="30"/>
  <c r="AK33" i="37"/>
  <c r="AK42" i="37"/>
  <c r="AK37" i="37"/>
  <c r="AK43" i="37"/>
  <c r="AK40" i="37"/>
  <c r="AK39" i="37"/>
  <c r="AK34" i="37"/>
  <c r="AK45" i="37"/>
  <c r="AK44" i="37"/>
  <c r="AK35" i="37"/>
  <c r="AK41" i="37"/>
  <c r="AK36" i="37"/>
  <c r="AK38" i="37"/>
  <c r="AK38" i="32"/>
  <c r="AK35" i="32"/>
  <c r="AK43" i="32"/>
  <c r="AK39" i="32"/>
  <c r="AK33" i="32"/>
  <c r="AK37" i="32"/>
  <c r="AK41" i="32"/>
  <c r="AK36" i="32"/>
  <c r="AK44" i="32"/>
  <c r="AK45" i="32"/>
  <c r="AK34" i="32"/>
  <c r="AK40" i="32"/>
  <c r="AK42" i="32"/>
  <c r="AL36" i="22"/>
  <c r="AL34" i="22"/>
  <c r="AL38" i="22"/>
  <c r="AL35" i="22"/>
  <c r="AL37" i="22"/>
  <c r="AL33" i="22"/>
  <c r="AL42" i="22"/>
  <c r="AL45" i="22"/>
  <c r="AL44" i="22"/>
  <c r="AL39" i="22"/>
  <c r="AL40" i="22"/>
  <c r="AL41" i="22"/>
  <c r="AL43" i="22"/>
  <c r="AK44" i="31"/>
  <c r="AK39" i="31"/>
  <c r="AK35" i="31"/>
  <c r="AK37" i="31"/>
  <c r="AK41" i="31"/>
  <c r="AK33" i="31"/>
  <c r="AK43" i="31"/>
  <c r="AK45" i="31"/>
  <c r="AK34" i="31"/>
  <c r="AK38" i="31"/>
  <c r="AK40" i="31"/>
  <c r="AK42" i="31"/>
  <c r="AK36" i="31"/>
  <c r="AL42" i="27"/>
  <c r="AL41" i="27"/>
  <c r="AL36" i="27"/>
  <c r="AL33" i="27"/>
  <c r="AL44" i="27"/>
  <c r="AL39" i="27"/>
  <c r="AL45" i="27"/>
  <c r="AL35" i="27"/>
  <c r="AL40" i="27"/>
  <c r="AL37" i="27"/>
  <c r="AL38" i="27"/>
  <c r="AL43" i="27"/>
  <c r="AL34" i="27"/>
  <c r="AL50" i="29"/>
  <c r="AL46" i="29"/>
  <c r="AL48" i="29"/>
  <c r="AL52" i="29"/>
  <c r="AL49" i="29"/>
  <c r="AL51" i="29"/>
  <c r="AL47" i="29"/>
  <c r="AL41" i="50"/>
  <c r="AL43" i="50"/>
  <c r="AL34" i="50"/>
  <c r="AL38" i="50"/>
  <c r="AL42" i="50"/>
  <c r="AL40" i="50"/>
  <c r="AL44" i="50"/>
  <c r="AL45" i="50"/>
  <c r="AL36" i="50"/>
  <c r="AL35" i="50"/>
  <c r="AL33" i="50"/>
  <c r="AL37" i="50"/>
  <c r="AL39" i="50"/>
  <c r="AL41" i="26"/>
  <c r="AL44" i="26"/>
  <c r="AL39" i="26"/>
  <c r="AL34" i="26"/>
  <c r="AL36" i="26"/>
  <c r="AL40" i="26"/>
  <c r="AL45" i="26"/>
  <c r="AL35" i="26"/>
  <c r="AL33" i="26"/>
  <c r="AL43" i="26"/>
  <c r="AL37" i="26"/>
  <c r="AL38" i="26"/>
  <c r="AL42" i="26"/>
  <c r="AL36" i="24"/>
  <c r="AL33" i="24"/>
  <c r="AL38" i="24"/>
  <c r="AL41" i="24"/>
  <c r="AL45" i="24"/>
  <c r="AL34" i="24"/>
  <c r="AL40" i="24"/>
  <c r="AL35" i="24"/>
  <c r="AL37" i="24"/>
  <c r="AL39" i="24"/>
  <c r="AL43" i="24"/>
  <c r="AL42" i="24"/>
  <c r="AL44" i="24"/>
  <c r="AL44" i="44"/>
  <c r="AL42" i="44"/>
  <c r="AL35" i="44"/>
  <c r="AL34" i="44"/>
  <c r="AL45" i="44"/>
  <c r="AL40" i="44"/>
  <c r="AL37" i="44"/>
  <c r="AL41" i="44"/>
  <c r="AL43" i="44"/>
  <c r="AL33" i="44"/>
  <c r="AL39" i="44"/>
  <c r="AL38" i="44"/>
  <c r="AL36" i="44"/>
  <c r="AL33" i="25"/>
  <c r="AL41" i="25"/>
  <c r="AL39" i="25"/>
  <c r="AL36" i="25"/>
  <c r="AL38" i="25"/>
  <c r="AL44" i="25"/>
  <c r="AL40" i="25"/>
  <c r="AL42" i="25"/>
  <c r="AL37" i="25"/>
  <c r="AL35" i="25"/>
  <c r="AL34" i="25"/>
  <c r="AL43" i="25"/>
  <c r="AL45" i="25"/>
  <c r="AL45" i="40"/>
  <c r="AL36" i="40"/>
  <c r="AL42" i="40"/>
  <c r="AL34" i="40"/>
  <c r="AL40" i="40"/>
  <c r="AL38" i="40"/>
  <c r="AL37" i="40"/>
  <c r="AL39" i="40"/>
  <c r="AL44" i="40"/>
  <c r="AL43" i="40"/>
  <c r="AL35" i="40"/>
  <c r="AL33" i="40"/>
  <c r="AL41" i="40"/>
  <c r="AL43" i="29"/>
  <c r="AL45" i="29"/>
  <c r="AL40" i="29"/>
  <c r="AL38" i="29"/>
  <c r="AL34" i="29"/>
  <c r="AL36" i="29"/>
  <c r="AL37" i="29"/>
  <c r="AL41" i="29"/>
  <c r="AL33" i="29"/>
  <c r="AL35" i="29"/>
  <c r="AL44" i="29"/>
  <c r="AL39" i="29"/>
  <c r="AL42" i="29"/>
  <c r="AL8" i="27"/>
  <c r="AL8" i="44"/>
  <c r="AK8" i="37"/>
  <c r="AL8" i="40"/>
  <c r="AK27" i="32"/>
  <c r="AL8" i="25"/>
  <c r="AL3" i="31"/>
  <c r="AL53" i="31" s="1"/>
  <c r="AK12" i="32"/>
  <c r="AK14" i="32"/>
  <c r="AM3" i="27"/>
  <c r="AM53" i="27" s="1"/>
  <c r="AM3" i="25"/>
  <c r="AM53" i="25" s="1"/>
  <c r="AK18" i="32"/>
  <c r="AK16" i="32"/>
  <c r="AM3" i="26"/>
  <c r="AM53" i="26" s="1"/>
  <c r="AK15" i="32"/>
  <c r="AM3" i="22"/>
  <c r="AM53" i="22" s="1"/>
  <c r="AK21" i="32"/>
  <c r="AK10" i="32"/>
  <c r="AK17" i="32"/>
  <c r="AK32" i="32"/>
  <c r="AK20" i="32"/>
  <c r="AK30" i="32"/>
  <c r="AK29" i="32"/>
  <c r="AK28" i="32"/>
  <c r="AK25" i="32"/>
  <c r="AK13" i="32"/>
  <c r="AK31" i="32"/>
  <c r="AK23" i="32"/>
  <c r="AK19" i="32"/>
  <c r="AK8" i="32"/>
  <c r="AK24" i="32"/>
  <c r="AK9" i="32"/>
  <c r="AK22" i="32"/>
  <c r="AK11" i="32"/>
  <c r="AK26" i="32"/>
  <c r="AM3" i="50"/>
  <c r="AM53" i="50" s="1"/>
  <c r="AM3" i="24"/>
  <c r="AM53" i="24" s="1"/>
  <c r="AM3" i="40"/>
  <c r="AM53" i="40" s="1"/>
  <c r="AM3" i="29"/>
  <c r="AM53" i="29" s="1"/>
  <c r="AL3" i="37"/>
  <c r="AL53" i="37" s="1"/>
  <c r="AL3" i="32"/>
  <c r="AL53" i="32" s="1"/>
  <c r="AM3" i="44"/>
  <c r="AM53" i="44" s="1"/>
  <c r="AM3" i="28"/>
  <c r="AM47" i="28" s="1"/>
  <c r="AL3" i="30"/>
  <c r="AL53" i="30" s="1"/>
  <c r="AL47" i="28"/>
  <c r="AL48" i="28"/>
  <c r="AL8" i="22"/>
  <c r="AL30" i="50"/>
  <c r="AL18" i="50"/>
  <c r="AL24" i="50"/>
  <c r="AL9" i="50"/>
  <c r="AL31" i="50"/>
  <c r="AL10" i="50"/>
  <c r="AL22" i="50"/>
  <c r="AL19" i="50"/>
  <c r="AL11" i="50"/>
  <c r="AL28" i="50"/>
  <c r="AL27" i="50"/>
  <c r="AL8" i="50"/>
  <c r="AL16" i="50"/>
  <c r="AL17" i="50"/>
  <c r="AL25" i="50"/>
  <c r="AL13" i="50"/>
  <c r="AL23" i="50"/>
  <c r="AL21" i="50"/>
  <c r="AL14" i="50"/>
  <c r="AL32" i="50"/>
  <c r="AL20" i="50"/>
  <c r="AL15" i="50"/>
  <c r="AL26" i="50"/>
  <c r="AL29" i="50"/>
  <c r="AL12" i="50"/>
  <c r="AN4" i="29"/>
  <c r="AN4" i="50"/>
  <c r="AN4" i="40"/>
  <c r="AN4" i="44"/>
  <c r="AM4" i="37"/>
  <c r="AN4" i="28"/>
  <c r="AN4" i="27"/>
  <c r="AM4" i="31"/>
  <c r="AN4" i="25"/>
  <c r="AN4" i="26"/>
  <c r="AN4" i="24"/>
  <c r="AN4" i="22"/>
  <c r="AM4" i="32"/>
  <c r="AM4" i="30"/>
  <c r="AM52" i="40" l="1"/>
  <c r="AM51" i="40"/>
  <c r="AM49" i="40"/>
  <c r="AM47" i="40"/>
  <c r="AM48" i="40"/>
  <c r="AM50" i="40"/>
  <c r="AM46" i="40"/>
  <c r="AL49" i="37"/>
  <c r="AL52" i="37"/>
  <c r="AL48" i="37"/>
  <c r="AL47" i="37"/>
  <c r="AL46" i="37"/>
  <c r="AL50" i="37"/>
  <c r="AL51" i="37"/>
  <c r="AL46" i="30"/>
  <c r="AL51" i="30"/>
  <c r="AL48" i="30"/>
  <c r="AL50" i="30"/>
  <c r="AL47" i="30"/>
  <c r="AL49" i="30"/>
  <c r="AL52" i="30"/>
  <c r="AM50" i="50"/>
  <c r="AM52" i="50"/>
  <c r="AM48" i="50"/>
  <c r="AM46" i="50"/>
  <c r="AM51" i="50"/>
  <c r="AM49" i="50"/>
  <c r="AM47" i="50"/>
  <c r="AM47" i="22"/>
  <c r="AM46" i="22"/>
  <c r="AM48" i="22"/>
  <c r="AM49" i="22"/>
  <c r="AM51" i="22"/>
  <c r="AM50" i="22"/>
  <c r="AM52" i="22"/>
  <c r="AM51" i="25"/>
  <c r="AM47" i="25"/>
  <c r="AM49" i="25"/>
  <c r="AM48" i="25"/>
  <c r="AM46" i="25"/>
  <c r="AM50" i="25"/>
  <c r="AM52" i="25"/>
  <c r="AL47" i="31"/>
  <c r="AL48" i="31"/>
  <c r="AL49" i="31"/>
  <c r="AL51" i="31"/>
  <c r="AL46" i="31"/>
  <c r="AL50" i="31"/>
  <c r="AL52" i="31"/>
  <c r="AM52" i="44"/>
  <c r="AM49" i="44"/>
  <c r="AM50" i="44"/>
  <c r="AM48" i="44"/>
  <c r="AM47" i="44"/>
  <c r="AM46" i="44"/>
  <c r="AM51" i="44"/>
  <c r="AM51" i="26"/>
  <c r="AM48" i="26"/>
  <c r="AM47" i="26"/>
  <c r="AM46" i="26"/>
  <c r="AM49" i="26"/>
  <c r="AM50" i="26"/>
  <c r="AM52" i="26"/>
  <c r="AM47" i="27"/>
  <c r="AM49" i="27"/>
  <c r="AM46" i="27"/>
  <c r="AM50" i="27"/>
  <c r="AM51" i="27"/>
  <c r="AM48" i="27"/>
  <c r="AM52" i="27"/>
  <c r="AL48" i="32"/>
  <c r="AL51" i="32"/>
  <c r="AL50" i="32"/>
  <c r="AL46" i="32"/>
  <c r="AL49" i="32"/>
  <c r="AL47" i="32"/>
  <c r="AL52" i="32"/>
  <c r="AM48" i="24"/>
  <c r="AM47" i="24"/>
  <c r="AM49" i="24"/>
  <c r="AM50" i="24"/>
  <c r="AM51" i="24"/>
  <c r="AM46" i="24"/>
  <c r="AM52" i="24"/>
  <c r="AM40" i="40"/>
  <c r="AM39" i="40"/>
  <c r="AM34" i="40"/>
  <c r="AM37" i="40"/>
  <c r="AM36" i="40"/>
  <c r="AM33" i="40"/>
  <c r="AM41" i="40"/>
  <c r="AM35" i="40"/>
  <c r="AM44" i="40"/>
  <c r="AM38" i="40"/>
  <c r="AM43" i="40"/>
  <c r="AM42" i="40"/>
  <c r="AM45" i="40"/>
  <c r="AM45" i="44"/>
  <c r="AM33" i="44"/>
  <c r="AM35" i="44"/>
  <c r="AM38" i="44"/>
  <c r="AM34" i="44"/>
  <c r="AM39" i="44"/>
  <c r="AM43" i="44"/>
  <c r="AM42" i="44"/>
  <c r="AM41" i="44"/>
  <c r="AM40" i="44"/>
  <c r="AM44" i="44"/>
  <c r="AM37" i="44"/>
  <c r="AM36" i="44"/>
  <c r="AM44" i="26"/>
  <c r="AM33" i="26"/>
  <c r="AM42" i="26"/>
  <c r="AM40" i="26"/>
  <c r="AM36" i="26"/>
  <c r="AM39" i="26"/>
  <c r="AM43" i="26"/>
  <c r="AM45" i="26"/>
  <c r="AM37" i="26"/>
  <c r="AM34" i="26"/>
  <c r="AM41" i="26"/>
  <c r="AM35" i="26"/>
  <c r="AM38" i="26"/>
  <c r="AM40" i="27"/>
  <c r="AM37" i="27"/>
  <c r="AM43" i="27"/>
  <c r="AM34" i="27"/>
  <c r="AM36" i="27"/>
  <c r="AM44" i="27"/>
  <c r="AM45" i="27"/>
  <c r="AM38" i="27"/>
  <c r="AM41" i="27"/>
  <c r="AM42" i="27"/>
  <c r="AM35" i="27"/>
  <c r="AM33" i="27"/>
  <c r="AM39" i="27"/>
  <c r="AL36" i="32"/>
  <c r="AL38" i="32"/>
  <c r="AL40" i="32"/>
  <c r="AL45" i="32"/>
  <c r="AL33" i="32"/>
  <c r="AL43" i="32"/>
  <c r="AL44" i="32"/>
  <c r="AL41" i="32"/>
  <c r="AL37" i="32"/>
  <c r="AL34" i="32"/>
  <c r="AL35" i="32"/>
  <c r="AL39" i="32"/>
  <c r="AL42" i="32"/>
  <c r="AM41" i="24"/>
  <c r="AM35" i="24"/>
  <c r="AM42" i="24"/>
  <c r="AM39" i="24"/>
  <c r="AM37" i="24"/>
  <c r="AM40" i="24"/>
  <c r="AM36" i="24"/>
  <c r="AM34" i="24"/>
  <c r="AM38" i="24"/>
  <c r="AM43" i="24"/>
  <c r="AM45" i="24"/>
  <c r="AM44" i="24"/>
  <c r="AM33" i="24"/>
  <c r="AL33" i="37"/>
  <c r="AL39" i="37"/>
  <c r="AL45" i="37"/>
  <c r="AL44" i="37"/>
  <c r="AL41" i="37"/>
  <c r="AL34" i="37"/>
  <c r="AL35" i="37"/>
  <c r="AL36" i="37"/>
  <c r="AL37" i="37"/>
  <c r="AL42" i="37"/>
  <c r="AL43" i="37"/>
  <c r="AL38" i="37"/>
  <c r="AL40" i="37"/>
  <c r="AM45" i="22"/>
  <c r="AM41" i="22"/>
  <c r="AM37" i="22"/>
  <c r="AM35" i="22"/>
  <c r="AM38" i="22"/>
  <c r="AM33" i="22"/>
  <c r="AM40" i="22"/>
  <c r="AM42" i="22"/>
  <c r="AM34" i="22"/>
  <c r="AM36" i="22"/>
  <c r="AM39" i="22"/>
  <c r="AM43" i="22"/>
  <c r="AM44" i="22"/>
  <c r="AL34" i="30"/>
  <c r="AL42" i="30"/>
  <c r="AL40" i="30"/>
  <c r="AL41" i="30"/>
  <c r="AL44" i="30"/>
  <c r="AL45" i="30"/>
  <c r="AL39" i="30"/>
  <c r="AL38" i="30"/>
  <c r="AL43" i="30"/>
  <c r="AL35" i="30"/>
  <c r="AL33" i="30"/>
  <c r="AL36" i="30"/>
  <c r="AL37" i="30"/>
  <c r="AM45" i="50"/>
  <c r="AM37" i="50"/>
  <c r="AM33" i="50"/>
  <c r="AM39" i="50"/>
  <c r="AM41" i="50"/>
  <c r="AM38" i="50"/>
  <c r="AM40" i="50"/>
  <c r="AM36" i="50"/>
  <c r="AM34" i="50"/>
  <c r="AM35" i="50"/>
  <c r="AM42" i="50"/>
  <c r="AM44" i="50"/>
  <c r="AM43" i="50"/>
  <c r="AM51" i="29"/>
  <c r="AM52" i="29"/>
  <c r="AM49" i="29"/>
  <c r="AM46" i="29"/>
  <c r="AM48" i="29"/>
  <c r="AM47" i="29"/>
  <c r="AM50" i="29"/>
  <c r="AM45" i="25"/>
  <c r="AM39" i="25"/>
  <c r="AM43" i="25"/>
  <c r="AM37" i="25"/>
  <c r="AM34" i="25"/>
  <c r="AM36" i="25"/>
  <c r="AM42" i="25"/>
  <c r="AM35" i="25"/>
  <c r="AM33" i="25"/>
  <c r="AM38" i="25"/>
  <c r="AM40" i="25"/>
  <c r="AM41" i="25"/>
  <c r="AM44" i="25"/>
  <c r="AL33" i="31"/>
  <c r="AL37" i="31"/>
  <c r="AL41" i="31"/>
  <c r="AL42" i="31"/>
  <c r="AL43" i="31"/>
  <c r="AL45" i="31"/>
  <c r="AL39" i="31"/>
  <c r="AL34" i="31"/>
  <c r="AL36" i="31"/>
  <c r="AL38" i="31"/>
  <c r="AL35" i="31"/>
  <c r="AL40" i="31"/>
  <c r="AL44" i="31"/>
  <c r="AM41" i="29"/>
  <c r="AM39" i="29"/>
  <c r="AM38" i="29"/>
  <c r="AM44" i="29"/>
  <c r="AM42" i="29"/>
  <c r="AM35" i="29"/>
  <c r="AM37" i="29"/>
  <c r="AM45" i="29"/>
  <c r="AM33" i="29"/>
  <c r="AM36" i="29"/>
  <c r="AM34" i="29"/>
  <c r="AM43" i="29"/>
  <c r="AM40" i="29"/>
  <c r="AM8" i="27"/>
  <c r="AM8" i="44"/>
  <c r="AM8" i="40"/>
  <c r="AL8" i="37"/>
  <c r="AM8" i="22"/>
  <c r="AM8" i="25"/>
  <c r="AM48" i="28"/>
  <c r="AM46" i="28"/>
  <c r="AM13" i="50"/>
  <c r="AM17" i="50"/>
  <c r="AM23" i="50"/>
  <c r="AM9" i="50"/>
  <c r="AN3" i="28"/>
  <c r="AN46" i="28" s="1"/>
  <c r="AM16" i="50"/>
  <c r="AM10" i="50"/>
  <c r="AM3" i="30"/>
  <c r="AM53" i="30" s="1"/>
  <c r="AN3" i="24"/>
  <c r="AN53" i="24" s="1"/>
  <c r="AM8" i="50"/>
  <c r="AM18" i="50"/>
  <c r="AM31" i="50"/>
  <c r="AN3" i="26"/>
  <c r="AN53" i="26" s="1"/>
  <c r="AN3" i="27"/>
  <c r="AN53" i="27" s="1"/>
  <c r="AM19" i="50"/>
  <c r="AM3" i="37"/>
  <c r="AM53" i="37" s="1"/>
  <c r="AN3" i="29"/>
  <c r="AN53" i="29" s="1"/>
  <c r="AM3" i="31"/>
  <c r="AM53" i="31" s="1"/>
  <c r="AN3" i="40"/>
  <c r="AN53" i="40" s="1"/>
  <c r="AN3" i="22"/>
  <c r="AN53" i="22" s="1"/>
  <c r="AM3" i="32"/>
  <c r="AM53" i="32" s="1"/>
  <c r="AN3" i="25"/>
  <c r="AN53" i="25" s="1"/>
  <c r="AN3" i="44"/>
  <c r="AN53" i="44" s="1"/>
  <c r="AN3" i="50"/>
  <c r="AN53" i="50" s="1"/>
  <c r="AM24" i="50"/>
  <c r="AM22" i="50"/>
  <c r="AM12" i="50"/>
  <c r="AM32" i="50"/>
  <c r="AM14" i="50"/>
  <c r="AM30" i="50"/>
  <c r="AM29" i="50"/>
  <c r="AM21" i="50"/>
  <c r="AL23" i="32"/>
  <c r="AL22" i="32"/>
  <c r="AL21" i="32"/>
  <c r="AL27" i="32"/>
  <c r="AL9" i="32"/>
  <c r="AL29" i="32"/>
  <c r="AL15" i="32"/>
  <c r="AL17" i="32"/>
  <c r="AL11" i="32"/>
  <c r="AL20" i="32"/>
  <c r="AL32" i="32"/>
  <c r="AL25" i="32"/>
  <c r="AL12" i="32"/>
  <c r="AL14" i="32"/>
  <c r="AL31" i="32"/>
  <c r="AL16" i="32"/>
  <c r="AL19" i="32"/>
  <c r="AL30" i="32"/>
  <c r="AL18" i="32"/>
  <c r="AL8" i="32"/>
  <c r="AL24" i="32"/>
  <c r="AL28" i="32"/>
  <c r="AL26" i="32"/>
  <c r="AL13" i="32"/>
  <c r="AL10" i="32"/>
  <c r="AM15" i="50"/>
  <c r="AM25" i="50"/>
  <c r="AM26" i="50"/>
  <c r="AM20" i="50"/>
  <c r="AM28" i="50"/>
  <c r="AM11" i="50"/>
  <c r="AM27" i="50"/>
  <c r="AO4" i="29"/>
  <c r="AO4" i="50"/>
  <c r="AN4" i="37"/>
  <c r="AO4" i="28"/>
  <c r="AO4" i="27"/>
  <c r="AO4" i="40"/>
  <c r="AO4" i="44"/>
  <c r="AO4" i="25"/>
  <c r="AO4" i="26"/>
  <c r="AO4" i="24"/>
  <c r="AO4" i="22"/>
  <c r="AN4" i="32"/>
  <c r="AN4" i="31"/>
  <c r="AN4" i="30"/>
  <c r="C23" i="28"/>
  <c r="AM48" i="37" l="1"/>
  <c r="AM49" i="37"/>
  <c r="AM50" i="37"/>
  <c r="AM46" i="37"/>
  <c r="AM47" i="37"/>
  <c r="AM51" i="37"/>
  <c r="AM52" i="37"/>
  <c r="AN49" i="40"/>
  <c r="AN47" i="40"/>
  <c r="AN51" i="40"/>
  <c r="AN52" i="40"/>
  <c r="AN48" i="40"/>
  <c r="AN46" i="40"/>
  <c r="AN50" i="40"/>
  <c r="AN46" i="50"/>
  <c r="AN47" i="50"/>
  <c r="AN49" i="50"/>
  <c r="AN51" i="50"/>
  <c r="AN48" i="50"/>
  <c r="AN52" i="50"/>
  <c r="AN50" i="50"/>
  <c r="AN50" i="22"/>
  <c r="AN47" i="22"/>
  <c r="AN51" i="22"/>
  <c r="AN52" i="22"/>
  <c r="AN49" i="22"/>
  <c r="AN46" i="22"/>
  <c r="AN48" i="22"/>
  <c r="AM48" i="30"/>
  <c r="AM46" i="30"/>
  <c r="AM52" i="30"/>
  <c r="AM50" i="30"/>
  <c r="AM47" i="30"/>
  <c r="AM49" i="30"/>
  <c r="AM51" i="30"/>
  <c r="AN49" i="44"/>
  <c r="AN48" i="44"/>
  <c r="AN51" i="44"/>
  <c r="AN52" i="44"/>
  <c r="AN46" i="44"/>
  <c r="AN47" i="44"/>
  <c r="AN50" i="44"/>
  <c r="AN48" i="25"/>
  <c r="AN50" i="25"/>
  <c r="AN46" i="25"/>
  <c r="AN51" i="25"/>
  <c r="AN49" i="25"/>
  <c r="AN47" i="25"/>
  <c r="AN52" i="25"/>
  <c r="AM47" i="31"/>
  <c r="AM52" i="31"/>
  <c r="AM46" i="31"/>
  <c r="AM50" i="31"/>
  <c r="AM48" i="31"/>
  <c r="AM49" i="31"/>
  <c r="AM51" i="31"/>
  <c r="AN48" i="27"/>
  <c r="AN46" i="27"/>
  <c r="AN50" i="27"/>
  <c r="AN49" i="27"/>
  <c r="AN52" i="27"/>
  <c r="AN47" i="27"/>
  <c r="AN51" i="27"/>
  <c r="AM47" i="32"/>
  <c r="AM48" i="32"/>
  <c r="AM50" i="32"/>
  <c r="AM49" i="32"/>
  <c r="AM51" i="32"/>
  <c r="AM46" i="32"/>
  <c r="AM52" i="32"/>
  <c r="AN51" i="26"/>
  <c r="AN49" i="26"/>
  <c r="AN47" i="26"/>
  <c r="AN48" i="26"/>
  <c r="AN50" i="26"/>
  <c r="AN52" i="26"/>
  <c r="AN46" i="26"/>
  <c r="AN46" i="24"/>
  <c r="AN48" i="24"/>
  <c r="AN47" i="24"/>
  <c r="AN51" i="24"/>
  <c r="AN49" i="24"/>
  <c r="AN50" i="24"/>
  <c r="AN52" i="24"/>
  <c r="AN40" i="44"/>
  <c r="AN44" i="44"/>
  <c r="AN38" i="44"/>
  <c r="AN45" i="44"/>
  <c r="AN42" i="44"/>
  <c r="AN36" i="44"/>
  <c r="AN34" i="44"/>
  <c r="AN39" i="44"/>
  <c r="AN33" i="44"/>
  <c r="AN35" i="44"/>
  <c r="AN37" i="44"/>
  <c r="AN41" i="44"/>
  <c r="AN43" i="44"/>
  <c r="AN41" i="25"/>
  <c r="AN40" i="25"/>
  <c r="AN36" i="25"/>
  <c r="AN45" i="25"/>
  <c r="AN43" i="25"/>
  <c r="AN39" i="25"/>
  <c r="AN34" i="25"/>
  <c r="AN42" i="25"/>
  <c r="AN44" i="25"/>
  <c r="AN37" i="25"/>
  <c r="AN38" i="25"/>
  <c r="AN35" i="25"/>
  <c r="AN33" i="25"/>
  <c r="AM45" i="31"/>
  <c r="AM41" i="31"/>
  <c r="AM39" i="31"/>
  <c r="AM37" i="31"/>
  <c r="AM42" i="31"/>
  <c r="AM34" i="31"/>
  <c r="AM33" i="31"/>
  <c r="AM36" i="31"/>
  <c r="AM43" i="31"/>
  <c r="AM44" i="31"/>
  <c r="AM35" i="31"/>
  <c r="AM38" i="31"/>
  <c r="AM40" i="31"/>
  <c r="AN44" i="27"/>
  <c r="AN39" i="27"/>
  <c r="AN42" i="27"/>
  <c r="AN45" i="27"/>
  <c r="AN36" i="27"/>
  <c r="AN33" i="27"/>
  <c r="AN40" i="27"/>
  <c r="AN34" i="27"/>
  <c r="AN35" i="27"/>
  <c r="AN38" i="27"/>
  <c r="AN41" i="27"/>
  <c r="AN37" i="27"/>
  <c r="AN43" i="27"/>
  <c r="AN50" i="29"/>
  <c r="AN51" i="29"/>
  <c r="AN48" i="29"/>
  <c r="AN47" i="29"/>
  <c r="AN49" i="29"/>
  <c r="AN46" i="29"/>
  <c r="AN52" i="29"/>
  <c r="AM45" i="32"/>
  <c r="AM43" i="32"/>
  <c r="AM40" i="32"/>
  <c r="AM37" i="32"/>
  <c r="AM35" i="32"/>
  <c r="AM39" i="32"/>
  <c r="AM36" i="32"/>
  <c r="AM34" i="32"/>
  <c r="AM41" i="32"/>
  <c r="AM42" i="32"/>
  <c r="AM44" i="32"/>
  <c r="AM38" i="32"/>
  <c r="AM33" i="32"/>
  <c r="AN43" i="26"/>
  <c r="AN33" i="26"/>
  <c r="AN45" i="26"/>
  <c r="AN40" i="26"/>
  <c r="AN36" i="26"/>
  <c r="AN42" i="26"/>
  <c r="AN34" i="26"/>
  <c r="AN38" i="26"/>
  <c r="AN35" i="26"/>
  <c r="AN39" i="26"/>
  <c r="AN41" i="26"/>
  <c r="AN37" i="26"/>
  <c r="AN44" i="26"/>
  <c r="AN43" i="24"/>
  <c r="AN45" i="24"/>
  <c r="AN41" i="24"/>
  <c r="AN37" i="24"/>
  <c r="AN35" i="24"/>
  <c r="AN39" i="24"/>
  <c r="AN33" i="24"/>
  <c r="AN34" i="24"/>
  <c r="AN36" i="24"/>
  <c r="AN44" i="24"/>
  <c r="AN38" i="24"/>
  <c r="AN40" i="24"/>
  <c r="AN42" i="24"/>
  <c r="AN39" i="50"/>
  <c r="AN45" i="50"/>
  <c r="AN44" i="50"/>
  <c r="AN42" i="50"/>
  <c r="AN37" i="50"/>
  <c r="AN34" i="50"/>
  <c r="AN35" i="50"/>
  <c r="AN43" i="50"/>
  <c r="AN41" i="50"/>
  <c r="AN33" i="50"/>
  <c r="AN36" i="50"/>
  <c r="AN38" i="50"/>
  <c r="AN40" i="50"/>
  <c r="AN41" i="22"/>
  <c r="AN37" i="22"/>
  <c r="AN44" i="22"/>
  <c r="AN40" i="22"/>
  <c r="AN33" i="22"/>
  <c r="AN36" i="22"/>
  <c r="AN38" i="22"/>
  <c r="AN34" i="22"/>
  <c r="AN42" i="22"/>
  <c r="AN39" i="22"/>
  <c r="AN35" i="22"/>
  <c r="AN45" i="22"/>
  <c r="AN43" i="22"/>
  <c r="AM34" i="37"/>
  <c r="AM40" i="37"/>
  <c r="AM41" i="37"/>
  <c r="AM39" i="37"/>
  <c r="AM33" i="37"/>
  <c r="AM35" i="37"/>
  <c r="AM42" i="37"/>
  <c r="AM43" i="37"/>
  <c r="AM45" i="37"/>
  <c r="AM38" i="37"/>
  <c r="AM44" i="37"/>
  <c r="AM36" i="37"/>
  <c r="AM37" i="37"/>
  <c r="AM40" i="30"/>
  <c r="AM45" i="30"/>
  <c r="AM41" i="30"/>
  <c r="AM37" i="30"/>
  <c r="AM33" i="30"/>
  <c r="AM39" i="30"/>
  <c r="AM42" i="30"/>
  <c r="AM38" i="30"/>
  <c r="AM43" i="30"/>
  <c r="AM44" i="30"/>
  <c r="AM36" i="30"/>
  <c r="AM34" i="30"/>
  <c r="AM35" i="30"/>
  <c r="AN37" i="40"/>
  <c r="AN34" i="40"/>
  <c r="AN41" i="40"/>
  <c r="AN39" i="40"/>
  <c r="AN43" i="40"/>
  <c r="AN45" i="40"/>
  <c r="AN33" i="40"/>
  <c r="AN38" i="40"/>
  <c r="AN42" i="40"/>
  <c r="AN36" i="40"/>
  <c r="AN44" i="40"/>
  <c r="AN35" i="40"/>
  <c r="AN40" i="40"/>
  <c r="AN39" i="29"/>
  <c r="AN40" i="29"/>
  <c r="AN36" i="29"/>
  <c r="AN42" i="29"/>
  <c r="AN33" i="29"/>
  <c r="AN38" i="29"/>
  <c r="AN44" i="29"/>
  <c r="AN41" i="29"/>
  <c r="AN43" i="29"/>
  <c r="AN37" i="29"/>
  <c r="AN34" i="29"/>
  <c r="AN35" i="29"/>
  <c r="AN45" i="29"/>
  <c r="AN8" i="27"/>
  <c r="AN8" i="44"/>
  <c r="AM8" i="37"/>
  <c r="AN8" i="40"/>
  <c r="AM15" i="32"/>
  <c r="AN3" i="32"/>
  <c r="AN53" i="32" s="1"/>
  <c r="AN23" i="50"/>
  <c r="AM16" i="32"/>
  <c r="AN3" i="30"/>
  <c r="AN53" i="30" s="1"/>
  <c r="AM9" i="32"/>
  <c r="AM25" i="32"/>
  <c r="AO3" i="26"/>
  <c r="AO53" i="26" s="1"/>
  <c r="AM26" i="32"/>
  <c r="AM29" i="32"/>
  <c r="AM12" i="32"/>
  <c r="AM23" i="32"/>
  <c r="AO3" i="24"/>
  <c r="AO53" i="24" s="1"/>
  <c r="AM10" i="32"/>
  <c r="AO3" i="22"/>
  <c r="AO53" i="22" s="1"/>
  <c r="AM24" i="32"/>
  <c r="AM18" i="32"/>
  <c r="AM20" i="32"/>
  <c r="AO3" i="29"/>
  <c r="AO53" i="29" s="1"/>
  <c r="AM22" i="32"/>
  <c r="AN47" i="28"/>
  <c r="AM30" i="32"/>
  <c r="AM17" i="32"/>
  <c r="AM32" i="32"/>
  <c r="AM21" i="32"/>
  <c r="AM27" i="32"/>
  <c r="AM13" i="32"/>
  <c r="AM31" i="32"/>
  <c r="AN13" i="50"/>
  <c r="AM19" i="32"/>
  <c r="AM28" i="32"/>
  <c r="AM11" i="32"/>
  <c r="AM14" i="32"/>
  <c r="AM8" i="32"/>
  <c r="AN20" i="50"/>
  <c r="AN16" i="50"/>
  <c r="AN30" i="50"/>
  <c r="AN8" i="25"/>
  <c r="AN9" i="50"/>
  <c r="AN32" i="50"/>
  <c r="AN21" i="50"/>
  <c r="AN31" i="50"/>
  <c r="AN28" i="50"/>
  <c r="AN14" i="50"/>
  <c r="AN12" i="50"/>
  <c r="AN15" i="50"/>
  <c r="AN27" i="50"/>
  <c r="AN10" i="50"/>
  <c r="AN24" i="50"/>
  <c r="AN8" i="50"/>
  <c r="AN17" i="50"/>
  <c r="AN26" i="50"/>
  <c r="AN18" i="50"/>
  <c r="AN25" i="50"/>
  <c r="AN11" i="50"/>
  <c r="AN22" i="50"/>
  <c r="AN3" i="31"/>
  <c r="AN53" i="31" s="1"/>
  <c r="AO3" i="27"/>
  <c r="AO53" i="27" s="1"/>
  <c r="AO3" i="25"/>
  <c r="AO53" i="25" s="1"/>
  <c r="AO3" i="50"/>
  <c r="AO53" i="50" s="1"/>
  <c r="AO3" i="28"/>
  <c r="AO46" i="28" s="1"/>
  <c r="AO3" i="40"/>
  <c r="AO53" i="40" s="1"/>
  <c r="AN3" i="37"/>
  <c r="AN53" i="37" s="1"/>
  <c r="AO3" i="44"/>
  <c r="AO53" i="44" s="1"/>
  <c r="AN48" i="28"/>
  <c r="AN8" i="22"/>
  <c r="AN19" i="50"/>
  <c r="AN29" i="50"/>
  <c r="AP4" i="29"/>
  <c r="AP4" i="50"/>
  <c r="AP4" i="28"/>
  <c r="AP4" i="27"/>
  <c r="AP4" i="40"/>
  <c r="AP4" i="44"/>
  <c r="AO4" i="37"/>
  <c r="AP4" i="26"/>
  <c r="AP4" i="24"/>
  <c r="AP4" i="22"/>
  <c r="AO4" i="32"/>
  <c r="AO4" i="31"/>
  <c r="AP4" i="25"/>
  <c r="AO4" i="30"/>
  <c r="I622" i="15"/>
  <c r="I621" i="15"/>
  <c r="I620" i="15"/>
  <c r="I619" i="15"/>
  <c r="I618" i="15"/>
  <c r="I617" i="15"/>
  <c r="I616" i="15"/>
  <c r="I615" i="15"/>
  <c r="I614" i="15"/>
  <c r="I613" i="15"/>
  <c r="I612" i="15"/>
  <c r="I611" i="15"/>
  <c r="I610" i="15"/>
  <c r="I609" i="15"/>
  <c r="I608" i="15"/>
  <c r="I607" i="15"/>
  <c r="I606" i="15"/>
  <c r="I605" i="15"/>
  <c r="I604" i="15"/>
  <c r="I603" i="15"/>
  <c r="I602" i="15"/>
  <c r="I601" i="15"/>
  <c r="I600" i="15"/>
  <c r="I599" i="15"/>
  <c r="I598" i="15"/>
  <c r="I597" i="15"/>
  <c r="I596" i="15"/>
  <c r="I595" i="15"/>
  <c r="I594" i="15"/>
  <c r="I593" i="15"/>
  <c r="I592" i="15"/>
  <c r="I591" i="15"/>
  <c r="I590" i="15"/>
  <c r="I589" i="15"/>
  <c r="I588" i="15"/>
  <c r="I587" i="15"/>
  <c r="I586" i="15"/>
  <c r="I585" i="15"/>
  <c r="I584" i="15"/>
  <c r="I583" i="15"/>
  <c r="I582" i="15"/>
  <c r="I581" i="15"/>
  <c r="I580" i="15"/>
  <c r="I579" i="15"/>
  <c r="I578" i="15"/>
  <c r="I577" i="15"/>
  <c r="I576" i="15"/>
  <c r="I575" i="15"/>
  <c r="I574" i="15"/>
  <c r="I573" i="15"/>
  <c r="I572" i="15"/>
  <c r="I571" i="15"/>
  <c r="I570" i="15"/>
  <c r="I569" i="15"/>
  <c r="I568" i="15"/>
  <c r="I567" i="15"/>
  <c r="I566" i="15"/>
  <c r="I565" i="15"/>
  <c r="I564" i="15"/>
  <c r="I563" i="15"/>
  <c r="I562" i="15"/>
  <c r="I561" i="15"/>
  <c r="I560" i="15"/>
  <c r="I559" i="15"/>
  <c r="I558" i="15"/>
  <c r="I557" i="15"/>
  <c r="I556" i="15"/>
  <c r="I555" i="15"/>
  <c r="I554" i="15"/>
  <c r="I553" i="15"/>
  <c r="I552" i="15"/>
  <c r="I551" i="15"/>
  <c r="I550" i="15"/>
  <c r="I549" i="15"/>
  <c r="I548" i="15"/>
  <c r="I547" i="15"/>
  <c r="I546" i="15"/>
  <c r="I545" i="15"/>
  <c r="I544" i="15"/>
  <c r="I543" i="15"/>
  <c r="F622" i="15"/>
  <c r="F621" i="15"/>
  <c r="F620" i="15"/>
  <c r="F619" i="15"/>
  <c r="F618" i="15"/>
  <c r="F617" i="15"/>
  <c r="F616" i="15"/>
  <c r="F615" i="15"/>
  <c r="F614" i="15"/>
  <c r="F613" i="15"/>
  <c r="F612" i="15"/>
  <c r="F611" i="15"/>
  <c r="F610" i="15"/>
  <c r="F609" i="15"/>
  <c r="F608" i="15"/>
  <c r="F607" i="15"/>
  <c r="F606" i="15"/>
  <c r="F605" i="15"/>
  <c r="F604" i="15"/>
  <c r="F603" i="15"/>
  <c r="F602" i="15"/>
  <c r="F601" i="15"/>
  <c r="F600" i="15"/>
  <c r="F599" i="15"/>
  <c r="F598" i="15"/>
  <c r="F597" i="15"/>
  <c r="F596" i="15"/>
  <c r="F595" i="15"/>
  <c r="F594" i="15"/>
  <c r="F593" i="15"/>
  <c r="F592" i="15"/>
  <c r="F591" i="15"/>
  <c r="F590" i="15"/>
  <c r="F589" i="15"/>
  <c r="F588" i="15"/>
  <c r="F587" i="15"/>
  <c r="F586" i="15"/>
  <c r="F585" i="15"/>
  <c r="F584" i="15"/>
  <c r="F583" i="15"/>
  <c r="F582" i="15"/>
  <c r="F581" i="15"/>
  <c r="F580" i="15"/>
  <c r="F579" i="15"/>
  <c r="F578" i="15"/>
  <c r="F577" i="15"/>
  <c r="F576" i="15"/>
  <c r="F575" i="15"/>
  <c r="F574" i="15"/>
  <c r="F573" i="15"/>
  <c r="F572" i="15"/>
  <c r="F571" i="15"/>
  <c r="F570" i="15"/>
  <c r="F569" i="15"/>
  <c r="F568" i="15"/>
  <c r="F567" i="15"/>
  <c r="F566" i="15"/>
  <c r="F565" i="15"/>
  <c r="F564" i="15"/>
  <c r="F563" i="15"/>
  <c r="F562" i="15"/>
  <c r="F561" i="15"/>
  <c r="F560" i="15"/>
  <c r="F559" i="15"/>
  <c r="F558" i="15"/>
  <c r="F557" i="15"/>
  <c r="F556" i="15"/>
  <c r="F555" i="15"/>
  <c r="F554" i="15"/>
  <c r="F553" i="15"/>
  <c r="F552" i="15"/>
  <c r="F551" i="15"/>
  <c r="F550" i="15"/>
  <c r="F549" i="15"/>
  <c r="F548" i="15"/>
  <c r="F547" i="15"/>
  <c r="F546" i="15"/>
  <c r="F545" i="15"/>
  <c r="F544" i="15"/>
  <c r="F543" i="15"/>
  <c r="F542" i="15"/>
  <c r="F541" i="15"/>
  <c r="F540" i="15"/>
  <c r="F539" i="15"/>
  <c r="F538" i="15"/>
  <c r="F537" i="15"/>
  <c r="F536" i="15"/>
  <c r="F535" i="15"/>
  <c r="F534" i="15"/>
  <c r="F533" i="15"/>
  <c r="F532" i="15"/>
  <c r="F531" i="15"/>
  <c r="F530" i="15"/>
  <c r="F529" i="15"/>
  <c r="F528" i="15"/>
  <c r="F527" i="15"/>
  <c r="F526" i="15"/>
  <c r="F525" i="15"/>
  <c r="F524" i="15"/>
  <c r="F523" i="15"/>
  <c r="F522" i="15"/>
  <c r="F521" i="15"/>
  <c r="F520" i="15"/>
  <c r="F519" i="15"/>
  <c r="F518" i="15"/>
  <c r="F517" i="15"/>
  <c r="F516" i="15"/>
  <c r="F515" i="15"/>
  <c r="F514" i="15"/>
  <c r="F513" i="15"/>
  <c r="F512" i="15"/>
  <c r="F511" i="15"/>
  <c r="F510" i="15"/>
  <c r="F509" i="15"/>
  <c r="F508" i="15"/>
  <c r="F507" i="15"/>
  <c r="F506" i="15"/>
  <c r="F505" i="15"/>
  <c r="F504" i="15"/>
  <c r="F503" i="15"/>
  <c r="F502" i="15"/>
  <c r="F501" i="15"/>
  <c r="F500" i="15"/>
  <c r="F499" i="15"/>
  <c r="F498" i="15"/>
  <c r="F497" i="15"/>
  <c r="F496" i="15"/>
  <c r="F495" i="15"/>
  <c r="F494" i="15"/>
  <c r="F493" i="15"/>
  <c r="F492" i="15"/>
  <c r="F491" i="15"/>
  <c r="F490" i="15"/>
  <c r="F489" i="15"/>
  <c r="F488" i="15"/>
  <c r="F487" i="15"/>
  <c r="F486" i="15"/>
  <c r="F485" i="15"/>
  <c r="F484" i="15"/>
  <c r="F483" i="15"/>
  <c r="F482" i="15"/>
  <c r="F481" i="15"/>
  <c r="F480" i="15"/>
  <c r="F479" i="15"/>
  <c r="F478" i="15"/>
  <c r="F477" i="15"/>
  <c r="F476" i="15"/>
  <c r="F475" i="15"/>
  <c r="F474" i="15"/>
  <c r="F473" i="15"/>
  <c r="F472" i="15"/>
  <c r="F471" i="15"/>
  <c r="F470" i="15"/>
  <c r="F469" i="15"/>
  <c r="F468" i="15"/>
  <c r="F467" i="15"/>
  <c r="F466" i="15"/>
  <c r="F465" i="15"/>
  <c r="F464" i="15"/>
  <c r="F463" i="15"/>
  <c r="F462" i="15"/>
  <c r="F461" i="15"/>
  <c r="F460" i="15"/>
  <c r="F459" i="15"/>
  <c r="F458" i="15"/>
  <c r="F457" i="15"/>
  <c r="F456" i="15"/>
  <c r="F455" i="15"/>
  <c r="F454" i="15"/>
  <c r="F453" i="15"/>
  <c r="F452" i="15"/>
  <c r="F451" i="15"/>
  <c r="F450" i="15"/>
  <c r="F449" i="15"/>
  <c r="F448" i="15"/>
  <c r="F447" i="15"/>
  <c r="F446" i="15"/>
  <c r="F445" i="15"/>
  <c r="AO50" i="40" l="1"/>
  <c r="AO48" i="40"/>
  <c r="AO49" i="40"/>
  <c r="AO46" i="40"/>
  <c r="AO52" i="40"/>
  <c r="AO51" i="40"/>
  <c r="AO47" i="40"/>
  <c r="AN52" i="37"/>
  <c r="AN50" i="37"/>
  <c r="AN46" i="37"/>
  <c r="AN48" i="37"/>
  <c r="AN49" i="37"/>
  <c r="AN47" i="37"/>
  <c r="AN51" i="37"/>
  <c r="AO49" i="44"/>
  <c r="AO46" i="44"/>
  <c r="AO47" i="44"/>
  <c r="AO48" i="44"/>
  <c r="AO50" i="44"/>
  <c r="AO51" i="44"/>
  <c r="AO52" i="44"/>
  <c r="AO46" i="50"/>
  <c r="AO52" i="50"/>
  <c r="AO51" i="50"/>
  <c r="AO49" i="50"/>
  <c r="AO47" i="50"/>
  <c r="AO48" i="50"/>
  <c r="AO50" i="50"/>
  <c r="AO47" i="26"/>
  <c r="AO49" i="26"/>
  <c r="AO46" i="26"/>
  <c r="AO48" i="26"/>
  <c r="AO50" i="26"/>
  <c r="AO51" i="26"/>
  <c r="AO52" i="26"/>
  <c r="AO50" i="25"/>
  <c r="AO48" i="25"/>
  <c r="AO52" i="25"/>
  <c r="AO46" i="25"/>
  <c r="AO47" i="25"/>
  <c r="AO49" i="25"/>
  <c r="AO51" i="25"/>
  <c r="AO49" i="22"/>
  <c r="AO51" i="22"/>
  <c r="AO50" i="22"/>
  <c r="AO46" i="22"/>
  <c r="AO52" i="22"/>
  <c r="AO48" i="22"/>
  <c r="AO47" i="22"/>
  <c r="AO46" i="27"/>
  <c r="AO49" i="27"/>
  <c r="AO51" i="27"/>
  <c r="AO48" i="27"/>
  <c r="AO47" i="27"/>
  <c r="AO50" i="27"/>
  <c r="AO52" i="27"/>
  <c r="AN50" i="32"/>
  <c r="AN48" i="32"/>
  <c r="AN51" i="32"/>
  <c r="AN46" i="32"/>
  <c r="AN52" i="32"/>
  <c r="AN49" i="32"/>
  <c r="AN47" i="32"/>
  <c r="AN52" i="31"/>
  <c r="AN46" i="31"/>
  <c r="AN50" i="31"/>
  <c r="AN47" i="31"/>
  <c r="AN48" i="31"/>
  <c r="AN51" i="31"/>
  <c r="AN49" i="31"/>
  <c r="AN52" i="30"/>
  <c r="AN50" i="30"/>
  <c r="AN51" i="30"/>
  <c r="AN46" i="30"/>
  <c r="AN48" i="30"/>
  <c r="AN47" i="30"/>
  <c r="AN49" i="30"/>
  <c r="AO48" i="24"/>
  <c r="AO49" i="24"/>
  <c r="AO47" i="24"/>
  <c r="AO52" i="24"/>
  <c r="AO51" i="24"/>
  <c r="AO46" i="24"/>
  <c r="AO50" i="24"/>
  <c r="AN45" i="31"/>
  <c r="AN44" i="31"/>
  <c r="AN36" i="31"/>
  <c r="AN37" i="31"/>
  <c r="AN41" i="31"/>
  <c r="AN40" i="31"/>
  <c r="AN38" i="31"/>
  <c r="AN34" i="31"/>
  <c r="AN35" i="31"/>
  <c r="AN43" i="31"/>
  <c r="AN39" i="31"/>
  <c r="AN33" i="31"/>
  <c r="AN42" i="31"/>
  <c r="AO45" i="40"/>
  <c r="AO41" i="40"/>
  <c r="AO39" i="40"/>
  <c r="AO36" i="40"/>
  <c r="AO33" i="40"/>
  <c r="AO40" i="40"/>
  <c r="AO34" i="40"/>
  <c r="AO37" i="40"/>
  <c r="AO43" i="40"/>
  <c r="AO38" i="40"/>
  <c r="AO42" i="40"/>
  <c r="AO44" i="40"/>
  <c r="AO35" i="40"/>
  <c r="AO33" i="27"/>
  <c r="AO39" i="27"/>
  <c r="AO41" i="27"/>
  <c r="AO38" i="27"/>
  <c r="AO45" i="27"/>
  <c r="AO34" i="27"/>
  <c r="AO42" i="27"/>
  <c r="AO37" i="27"/>
  <c r="AO40" i="27"/>
  <c r="AO44" i="27"/>
  <c r="AO35" i="27"/>
  <c r="AO43" i="27"/>
  <c r="AO36" i="27"/>
  <c r="AN39" i="32"/>
  <c r="AN44" i="32"/>
  <c r="AN42" i="32"/>
  <c r="AN35" i="32"/>
  <c r="AN38" i="32"/>
  <c r="AN40" i="32"/>
  <c r="AN33" i="32"/>
  <c r="AN36" i="32"/>
  <c r="AN37" i="32"/>
  <c r="AN34" i="32"/>
  <c r="AN43" i="32"/>
  <c r="AN41" i="32"/>
  <c r="AN45" i="32"/>
  <c r="AO43" i="24"/>
  <c r="AO34" i="24"/>
  <c r="AO45" i="24"/>
  <c r="AO41" i="24"/>
  <c r="AO39" i="24"/>
  <c r="AO38" i="24"/>
  <c r="AO37" i="24"/>
  <c r="AO35" i="24"/>
  <c r="AO36" i="24"/>
  <c r="AO40" i="24"/>
  <c r="AO33" i="24"/>
  <c r="AO44" i="24"/>
  <c r="AO42" i="24"/>
  <c r="AN41" i="30"/>
  <c r="AN40" i="30"/>
  <c r="AN44" i="30"/>
  <c r="AN36" i="30"/>
  <c r="AN42" i="30"/>
  <c r="AN39" i="30"/>
  <c r="AN45" i="30"/>
  <c r="AN35" i="30"/>
  <c r="AN33" i="30"/>
  <c r="AN38" i="30"/>
  <c r="AN43" i="30"/>
  <c r="AN34" i="30"/>
  <c r="AN37" i="30"/>
  <c r="AO40" i="44"/>
  <c r="AO35" i="44"/>
  <c r="AO36" i="44"/>
  <c r="AO45" i="44"/>
  <c r="AO37" i="44"/>
  <c r="AO41" i="44"/>
  <c r="AO33" i="44"/>
  <c r="AO34" i="44"/>
  <c r="AO39" i="44"/>
  <c r="AO38" i="44"/>
  <c r="AO43" i="44"/>
  <c r="AO44" i="44"/>
  <c r="AO42" i="44"/>
  <c r="AO42" i="50"/>
  <c r="AO40" i="50"/>
  <c r="AO34" i="50"/>
  <c r="AO35" i="50"/>
  <c r="AO44" i="50"/>
  <c r="AO33" i="50"/>
  <c r="AO38" i="50"/>
  <c r="AO45" i="50"/>
  <c r="AO37" i="50"/>
  <c r="AO39" i="50"/>
  <c r="AO43" i="50"/>
  <c r="AO41" i="50"/>
  <c r="AO36" i="50"/>
  <c r="AO43" i="26"/>
  <c r="AO45" i="26"/>
  <c r="AO42" i="26"/>
  <c r="AO39" i="26"/>
  <c r="AO35" i="26"/>
  <c r="AO41" i="26"/>
  <c r="AO36" i="26"/>
  <c r="AO34" i="26"/>
  <c r="AO37" i="26"/>
  <c r="AO40" i="26"/>
  <c r="AO44" i="26"/>
  <c r="AO33" i="26"/>
  <c r="AO38" i="26"/>
  <c r="AN34" i="37"/>
  <c r="AN35" i="37"/>
  <c r="AN36" i="37"/>
  <c r="AN37" i="37"/>
  <c r="AN33" i="37"/>
  <c r="AN42" i="37"/>
  <c r="AN43" i="37"/>
  <c r="AN40" i="37"/>
  <c r="AN39" i="37"/>
  <c r="AN45" i="37"/>
  <c r="AN44" i="37"/>
  <c r="AN41" i="37"/>
  <c r="AN38" i="37"/>
  <c r="AO40" i="25"/>
  <c r="AO42" i="25"/>
  <c r="AO37" i="25"/>
  <c r="AO34" i="25"/>
  <c r="AO38" i="25"/>
  <c r="AO36" i="25"/>
  <c r="AO41" i="25"/>
  <c r="AO44" i="25"/>
  <c r="AO43" i="25"/>
  <c r="AO45" i="25"/>
  <c r="AO35" i="25"/>
  <c r="AO39" i="25"/>
  <c r="AO33" i="25"/>
  <c r="AO47" i="29"/>
  <c r="AO52" i="29"/>
  <c r="AO50" i="29"/>
  <c r="AO48" i="29"/>
  <c r="AO46" i="29"/>
  <c r="AO49" i="29"/>
  <c r="AO51" i="29"/>
  <c r="AO43" i="22"/>
  <c r="AO41" i="22"/>
  <c r="AO40" i="22"/>
  <c r="AO35" i="22"/>
  <c r="AO37" i="22"/>
  <c r="AO34" i="22"/>
  <c r="AO38" i="22"/>
  <c r="AO42" i="22"/>
  <c r="AO39" i="22"/>
  <c r="AO44" i="22"/>
  <c r="AO33" i="22"/>
  <c r="AO36" i="22"/>
  <c r="AO45" i="22"/>
  <c r="AO39" i="29"/>
  <c r="AO42" i="29"/>
  <c r="AO33" i="29"/>
  <c r="AO38" i="29"/>
  <c r="AO43" i="29"/>
  <c r="AO40" i="29"/>
  <c r="AO44" i="29"/>
  <c r="AO41" i="29"/>
  <c r="AO34" i="29"/>
  <c r="AO36" i="29"/>
  <c r="AO37" i="29"/>
  <c r="AO35" i="29"/>
  <c r="AO45" i="29"/>
  <c r="AO8" i="27"/>
  <c r="AN23" i="32"/>
  <c r="AN29" i="32"/>
  <c r="AO8" i="44"/>
  <c r="AN14" i="32"/>
  <c r="AN9" i="32"/>
  <c r="AN28" i="32"/>
  <c r="AN11" i="32"/>
  <c r="AN27" i="32"/>
  <c r="AN19" i="32"/>
  <c r="AN26" i="32"/>
  <c r="AN18" i="32"/>
  <c r="AN25" i="32"/>
  <c r="AN10" i="32"/>
  <c r="AN32" i="32"/>
  <c r="AN15" i="32"/>
  <c r="AN12" i="32"/>
  <c r="AN17" i="32"/>
  <c r="AN31" i="32"/>
  <c r="AN8" i="32"/>
  <c r="AN24" i="32"/>
  <c r="AN16" i="32"/>
  <c r="AN30" i="32"/>
  <c r="AN22" i="32"/>
  <c r="AN13" i="32"/>
  <c r="AN20" i="32"/>
  <c r="AN21" i="32"/>
  <c r="AN8" i="37"/>
  <c r="AO8" i="40"/>
  <c r="AO3" i="37"/>
  <c r="AO53" i="37" s="1"/>
  <c r="AO3" i="32"/>
  <c r="AO53" i="32" s="1"/>
  <c r="AP3" i="24"/>
  <c r="AP53" i="24" s="1"/>
  <c r="AP3" i="40"/>
  <c r="AP53" i="40" s="1"/>
  <c r="AO27" i="50"/>
  <c r="AO32" i="50"/>
  <c r="AO26" i="50"/>
  <c r="AO16" i="50"/>
  <c r="AO20" i="50"/>
  <c r="AO28" i="50"/>
  <c r="AO11" i="50"/>
  <c r="AP3" i="29"/>
  <c r="AP53" i="29" s="1"/>
  <c r="AP3" i="44"/>
  <c r="AP53" i="44" s="1"/>
  <c r="AO15" i="50"/>
  <c r="AO18" i="50"/>
  <c r="AO19" i="50"/>
  <c r="AP3" i="28"/>
  <c r="AP48" i="28" s="1"/>
  <c r="AO47" i="28"/>
  <c r="AO12" i="50"/>
  <c r="AO31" i="50"/>
  <c r="AO25" i="50"/>
  <c r="AO3" i="30"/>
  <c r="AO53" i="30" s="1"/>
  <c r="AO48" i="28"/>
  <c r="AO17" i="50"/>
  <c r="AO9" i="50"/>
  <c r="AO10" i="50"/>
  <c r="AO21" i="50"/>
  <c r="AO3" i="31"/>
  <c r="AO53" i="31" s="1"/>
  <c r="AO8" i="22"/>
  <c r="AO29" i="50"/>
  <c r="AO8" i="50"/>
  <c r="AP3" i="26"/>
  <c r="AP53" i="26" s="1"/>
  <c r="AO23" i="50"/>
  <c r="AO13" i="50"/>
  <c r="AP3" i="27"/>
  <c r="AP53" i="27" s="1"/>
  <c r="AO30" i="50"/>
  <c r="AP3" i="22"/>
  <c r="AP53" i="22" s="1"/>
  <c r="AO22" i="50"/>
  <c r="AP3" i="50"/>
  <c r="AP53" i="50" s="1"/>
  <c r="AP3" i="25"/>
  <c r="AP53" i="25" s="1"/>
  <c r="AO24" i="50"/>
  <c r="AO14" i="50"/>
  <c r="AO8" i="25"/>
  <c r="AQ4" i="29"/>
  <c r="AQ4" i="50"/>
  <c r="AQ4" i="27"/>
  <c r="AQ4" i="40"/>
  <c r="AQ4" i="44"/>
  <c r="AP4" i="37"/>
  <c r="AQ4" i="26"/>
  <c r="AQ4" i="28"/>
  <c r="AQ4" i="22"/>
  <c r="AP4" i="32"/>
  <c r="AP4" i="31"/>
  <c r="AQ4" i="25"/>
  <c r="AQ4" i="24"/>
  <c r="AP4" i="30"/>
  <c r="AO52" i="37" l="1"/>
  <c r="AO51" i="37"/>
  <c r="AO46" i="37"/>
  <c r="AO50" i="37"/>
  <c r="AO48" i="37"/>
  <c r="AO49" i="37"/>
  <c r="AO47" i="37"/>
  <c r="AP49" i="40"/>
  <c r="AP46" i="40"/>
  <c r="AP51" i="40"/>
  <c r="AP48" i="40"/>
  <c r="AP52" i="40"/>
  <c r="AP50" i="40"/>
  <c r="AP47" i="40"/>
  <c r="AO49" i="31"/>
  <c r="AO46" i="31"/>
  <c r="AO50" i="31"/>
  <c r="AO52" i="31"/>
  <c r="AO47" i="31"/>
  <c r="AO51" i="31"/>
  <c r="AO48" i="31"/>
  <c r="AP52" i="50"/>
  <c r="AP50" i="50"/>
  <c r="AP48" i="50"/>
  <c r="AP46" i="50"/>
  <c r="AP51" i="50"/>
  <c r="AP47" i="50"/>
  <c r="AP49" i="50"/>
  <c r="AP50" i="27"/>
  <c r="AP51" i="27"/>
  <c r="AP49" i="27"/>
  <c r="AP52" i="27"/>
  <c r="AP48" i="27"/>
  <c r="AP46" i="27"/>
  <c r="AP47" i="27"/>
  <c r="AP52" i="25"/>
  <c r="AP51" i="25"/>
  <c r="AP47" i="25"/>
  <c r="AP48" i="25"/>
  <c r="AP50" i="25"/>
  <c r="AP49" i="25"/>
  <c r="AP46" i="25"/>
  <c r="AP52" i="26"/>
  <c r="AP47" i="26"/>
  <c r="AP46" i="26"/>
  <c r="AP48" i="26"/>
  <c r="AP49" i="26"/>
  <c r="AP51" i="26"/>
  <c r="AP50" i="26"/>
  <c r="AO50" i="30"/>
  <c r="AO48" i="30"/>
  <c r="AO52" i="30"/>
  <c r="AO49" i="30"/>
  <c r="AO51" i="30"/>
  <c r="AO47" i="30"/>
  <c r="AO46" i="30"/>
  <c r="AO52" i="32"/>
  <c r="AO50" i="32"/>
  <c r="AO48" i="32"/>
  <c r="AO49" i="32"/>
  <c r="AO47" i="32"/>
  <c r="AO46" i="32"/>
  <c r="AO51" i="32"/>
  <c r="AP46" i="22"/>
  <c r="AP50" i="22"/>
  <c r="AP47" i="22"/>
  <c r="AP49" i="22"/>
  <c r="AP52" i="22"/>
  <c r="AP48" i="22"/>
  <c r="AP51" i="22"/>
  <c r="AP50" i="44"/>
  <c r="AP48" i="44"/>
  <c r="AP47" i="44"/>
  <c r="AP46" i="44"/>
  <c r="AP49" i="44"/>
  <c r="AP51" i="44"/>
  <c r="AP52" i="44"/>
  <c r="AP51" i="24"/>
  <c r="AP47" i="24"/>
  <c r="AP52" i="24"/>
  <c r="AP49" i="24"/>
  <c r="AP50" i="24"/>
  <c r="AP46" i="24"/>
  <c r="AP48" i="24"/>
  <c r="AO33" i="37"/>
  <c r="AO39" i="37"/>
  <c r="AO36" i="37"/>
  <c r="AO45" i="37"/>
  <c r="AO44" i="37"/>
  <c r="AO37" i="37"/>
  <c r="AO41" i="37"/>
  <c r="AO34" i="37"/>
  <c r="AO38" i="37"/>
  <c r="AO42" i="37"/>
  <c r="AO35" i="37"/>
  <c r="AO43" i="37"/>
  <c r="AO40" i="37"/>
  <c r="AP33" i="25"/>
  <c r="AP42" i="25"/>
  <c r="AP35" i="25"/>
  <c r="AP38" i="25"/>
  <c r="AP40" i="25"/>
  <c r="AP34" i="25"/>
  <c r="AP44" i="25"/>
  <c r="AP39" i="25"/>
  <c r="AP43" i="25"/>
  <c r="AP45" i="25"/>
  <c r="AP36" i="25"/>
  <c r="AP37" i="25"/>
  <c r="AP41" i="25"/>
  <c r="AP39" i="26"/>
  <c r="AP42" i="26"/>
  <c r="AP34" i="26"/>
  <c r="AP36" i="26"/>
  <c r="AP41" i="26"/>
  <c r="AP43" i="26"/>
  <c r="AP40" i="26"/>
  <c r="AP45" i="26"/>
  <c r="AP35" i="26"/>
  <c r="AP44" i="26"/>
  <c r="AP38" i="26"/>
  <c r="AP33" i="26"/>
  <c r="AP37" i="26"/>
  <c r="AO41" i="31"/>
  <c r="AO33" i="31"/>
  <c r="AO44" i="31"/>
  <c r="AO43" i="31"/>
  <c r="AO39" i="31"/>
  <c r="AO37" i="31"/>
  <c r="AO34" i="31"/>
  <c r="AO35" i="31"/>
  <c r="AO36" i="31"/>
  <c r="AO38" i="31"/>
  <c r="AO42" i="31"/>
  <c r="AO45" i="31"/>
  <c r="AO40" i="31"/>
  <c r="AP50" i="29"/>
  <c r="AP47" i="29"/>
  <c r="AP48" i="29"/>
  <c r="AP52" i="29"/>
  <c r="AP49" i="29"/>
  <c r="AP46" i="29"/>
  <c r="AP51" i="29"/>
  <c r="AP42" i="40"/>
  <c r="AP40" i="40"/>
  <c r="AP38" i="40"/>
  <c r="AP45" i="40"/>
  <c r="AP36" i="40"/>
  <c r="AP33" i="40"/>
  <c r="AP41" i="40"/>
  <c r="AP35" i="40"/>
  <c r="AP43" i="40"/>
  <c r="AP34" i="40"/>
  <c r="AP44" i="40"/>
  <c r="AP37" i="40"/>
  <c r="AP39" i="40"/>
  <c r="AP43" i="50"/>
  <c r="AP38" i="50"/>
  <c r="AP40" i="50"/>
  <c r="AP41" i="50"/>
  <c r="AP37" i="50"/>
  <c r="AP39" i="50"/>
  <c r="AP42" i="50"/>
  <c r="AP36" i="50"/>
  <c r="AP44" i="50"/>
  <c r="AP45" i="50"/>
  <c r="AP35" i="50"/>
  <c r="AP34" i="50"/>
  <c r="AP33" i="50"/>
  <c r="AP38" i="24"/>
  <c r="AP34" i="24"/>
  <c r="AP33" i="24"/>
  <c r="AP44" i="24"/>
  <c r="AP40" i="24"/>
  <c r="AP42" i="24"/>
  <c r="AP35" i="24"/>
  <c r="AP37" i="24"/>
  <c r="AP39" i="24"/>
  <c r="AP43" i="24"/>
  <c r="AP36" i="24"/>
  <c r="AP41" i="24"/>
  <c r="AP45" i="24"/>
  <c r="AP35" i="22"/>
  <c r="AP36" i="22"/>
  <c r="AP34" i="22"/>
  <c r="AP38" i="22"/>
  <c r="AP33" i="22"/>
  <c r="AP42" i="22"/>
  <c r="AP39" i="22"/>
  <c r="AP40" i="22"/>
  <c r="AP41" i="22"/>
  <c r="AP43" i="22"/>
  <c r="AP37" i="22"/>
  <c r="AP45" i="22"/>
  <c r="AP44" i="22"/>
  <c r="AP45" i="44"/>
  <c r="AP40" i="44"/>
  <c r="AP35" i="44"/>
  <c r="AP34" i="44"/>
  <c r="AP44" i="44"/>
  <c r="AP41" i="44"/>
  <c r="AP42" i="44"/>
  <c r="AP38" i="44"/>
  <c r="AP37" i="44"/>
  <c r="AP36" i="44"/>
  <c r="AP39" i="44"/>
  <c r="AP33" i="44"/>
  <c r="AP43" i="44"/>
  <c r="AP44" i="27"/>
  <c r="AP33" i="27"/>
  <c r="AP42" i="27"/>
  <c r="AP41" i="27"/>
  <c r="AP39" i="27"/>
  <c r="AP38" i="27"/>
  <c r="AP36" i="27"/>
  <c r="AP45" i="27"/>
  <c r="AP37" i="27"/>
  <c r="AP35" i="27"/>
  <c r="AP34" i="27"/>
  <c r="AP40" i="27"/>
  <c r="AP43" i="27"/>
  <c r="AO43" i="30"/>
  <c r="AO35" i="30"/>
  <c r="AO39" i="30"/>
  <c r="AO34" i="30"/>
  <c r="AO40" i="30"/>
  <c r="AO38" i="30"/>
  <c r="AO44" i="30"/>
  <c r="AO37" i="30"/>
  <c r="AO41" i="30"/>
  <c r="AO42" i="30"/>
  <c r="AO45" i="30"/>
  <c r="AO33" i="30"/>
  <c r="AO36" i="30"/>
  <c r="AO43" i="32"/>
  <c r="AO42" i="32"/>
  <c r="AO39" i="32"/>
  <c r="AO38" i="32"/>
  <c r="AO35" i="32"/>
  <c r="AO33" i="32"/>
  <c r="AO41" i="32"/>
  <c r="AO40" i="32"/>
  <c r="AO36" i="32"/>
  <c r="AO34" i="32"/>
  <c r="AO37" i="32"/>
  <c r="AO44" i="32"/>
  <c r="AO45" i="32"/>
  <c r="AP43" i="29"/>
  <c r="AP34" i="29"/>
  <c r="AP45" i="29"/>
  <c r="AP40" i="29"/>
  <c r="AP38" i="29"/>
  <c r="AP36" i="29"/>
  <c r="AP37" i="29"/>
  <c r="AP42" i="29"/>
  <c r="AP33" i="29"/>
  <c r="AP35" i="29"/>
  <c r="AP41" i="29"/>
  <c r="AP44" i="29"/>
  <c r="AP39" i="29"/>
  <c r="AP8" i="27"/>
  <c r="AP8" i="44"/>
  <c r="AO20" i="32"/>
  <c r="AO13" i="32"/>
  <c r="AO31" i="32"/>
  <c r="AO28" i="32"/>
  <c r="AO32" i="32"/>
  <c r="AO27" i="32"/>
  <c r="AO30" i="32"/>
  <c r="AO19" i="32"/>
  <c r="AO18" i="32"/>
  <c r="AO14" i="32"/>
  <c r="AO16" i="32"/>
  <c r="AO11" i="32"/>
  <c r="AO23" i="32"/>
  <c r="AO8" i="37"/>
  <c r="AP8" i="40"/>
  <c r="AP22" i="50"/>
  <c r="AQ3" i="25"/>
  <c r="AQ53" i="25" s="1"/>
  <c r="AP9" i="50"/>
  <c r="AP30" i="50"/>
  <c r="AO9" i="32"/>
  <c r="AO29" i="32"/>
  <c r="AO21" i="32"/>
  <c r="AO17" i="32"/>
  <c r="AO8" i="32"/>
  <c r="AO22" i="32"/>
  <c r="AO24" i="32"/>
  <c r="AO26" i="32"/>
  <c r="AO25" i="32"/>
  <c r="AO15" i="32"/>
  <c r="AO12" i="32"/>
  <c r="AO10" i="32"/>
  <c r="AP3" i="30"/>
  <c r="AP53" i="30" s="1"/>
  <c r="AQ3" i="24"/>
  <c r="AQ53" i="24" s="1"/>
  <c r="AP27" i="50"/>
  <c r="AP3" i="37"/>
  <c r="AP53" i="37" s="1"/>
  <c r="AP23" i="50"/>
  <c r="AP8" i="25"/>
  <c r="AP15" i="50"/>
  <c r="AP3" i="32"/>
  <c r="AP53" i="32" s="1"/>
  <c r="AP31" i="50"/>
  <c r="AQ3" i="44"/>
  <c r="AQ53" i="44" s="1"/>
  <c r="AQ3" i="27"/>
  <c r="AQ53" i="27" s="1"/>
  <c r="AP11" i="50"/>
  <c r="AQ3" i="40"/>
  <c r="AQ53" i="40" s="1"/>
  <c r="AP3" i="31"/>
  <c r="AP53" i="31" s="1"/>
  <c r="AQ3" i="26"/>
  <c r="AQ53" i="26" s="1"/>
  <c r="AP19" i="50"/>
  <c r="AP18" i="50"/>
  <c r="AP28" i="50"/>
  <c r="AP32" i="50"/>
  <c r="AP29" i="50"/>
  <c r="AQ3" i="29"/>
  <c r="AQ53" i="29" s="1"/>
  <c r="AQ3" i="50"/>
  <c r="AQ53" i="50" s="1"/>
  <c r="AQ3" i="28"/>
  <c r="AQ47" i="28" s="1"/>
  <c r="AP8" i="50"/>
  <c r="AP21" i="50"/>
  <c r="AP17" i="50"/>
  <c r="AP14" i="50"/>
  <c r="AP25" i="50"/>
  <c r="AP10" i="50"/>
  <c r="AP13" i="50"/>
  <c r="AP24" i="50"/>
  <c r="AP12" i="50"/>
  <c r="AP16" i="50"/>
  <c r="AP26" i="50"/>
  <c r="AP20" i="50"/>
  <c r="AQ3" i="22"/>
  <c r="AQ53" i="22" s="1"/>
  <c r="AP8" i="22"/>
  <c r="AP46" i="28"/>
  <c r="AP47" i="28"/>
  <c r="AR4" i="29"/>
  <c r="AR4" i="50"/>
  <c r="AR4" i="40"/>
  <c r="AR4" i="44"/>
  <c r="AQ4" i="37"/>
  <c r="AR4" i="28"/>
  <c r="AR4" i="27"/>
  <c r="AR4" i="26"/>
  <c r="AQ4" i="31"/>
  <c r="AR4" i="25"/>
  <c r="AR4" i="24"/>
  <c r="AR4" i="22"/>
  <c r="AQ4" i="32"/>
  <c r="AQ4" i="30"/>
  <c r="I4" i="40"/>
  <c r="BZ5" i="40" a="1"/>
  <c r="BE5" i="40" a="1"/>
  <c r="AI5" i="40" a="1"/>
  <c r="CA5" i="40" a="1"/>
  <c r="AX5" i="40" a="1"/>
  <c r="AY5" i="40" a="1"/>
  <c r="AV5" i="40" a="1"/>
  <c r="AL5" i="40" a="1"/>
  <c r="BO5" i="40" a="1"/>
  <c r="CC5" i="40" a="1"/>
  <c r="BM5" i="40" a="1"/>
  <c r="AA5" i="40" a="1"/>
  <c r="BG5" i="40" a="1"/>
  <c r="U5" i="40" a="1"/>
  <c r="BW5" i="40" a="1"/>
  <c r="BD5" i="40" a="1"/>
  <c r="AH5" i="40" a="1"/>
  <c r="AE5" i="40" a="1"/>
  <c r="BA5" i="40" a="1"/>
  <c r="BV5" i="40" a="1"/>
  <c r="AQ5" i="40" a="1"/>
  <c r="W5" i="40" a="1"/>
  <c r="AT5" i="40" a="1"/>
  <c r="S5" i="40" a="1"/>
  <c r="V5" i="40" a="1"/>
  <c r="BR5" i="40" a="1"/>
  <c r="AN5" i="40" a="1"/>
  <c r="CE5" i="40" a="1"/>
  <c r="AZ5" i="40" a="1"/>
  <c r="BB5" i="40" a="1"/>
  <c r="AK5" i="40" a="1"/>
  <c r="AW5" i="40" a="1"/>
  <c r="AF5" i="40" a="1"/>
  <c r="BY5" i="40" a="1"/>
  <c r="AG5" i="40" a="1"/>
  <c r="AC5" i="40" a="1"/>
  <c r="Z5" i="40" a="1"/>
  <c r="BH5" i="40" a="1"/>
  <c r="BI5" i="40" a="1"/>
  <c r="BU5" i="40" a="1"/>
  <c r="T5" i="40" a="1"/>
  <c r="R5" i="40" a="1"/>
  <c r="BC5" i="40" a="1"/>
  <c r="BP5" i="40" a="1"/>
  <c r="X5" i="40" a="1"/>
  <c r="CB5" i="40" a="1"/>
  <c r="AJ5" i="40" a="1"/>
  <c r="AU5" i="40" a="1"/>
  <c r="BQ5" i="40" a="1"/>
  <c r="BT5" i="40" a="1"/>
  <c r="BN5" i="40" a="1"/>
  <c r="AP5" i="40" a="1"/>
  <c r="AD5" i="40" a="1"/>
  <c r="AB5" i="40" a="1"/>
  <c r="BX5" i="40" a="1"/>
  <c r="AS5" i="40" a="1"/>
  <c r="BL5" i="40" a="1"/>
  <c r="Y5" i="40" a="1"/>
  <c r="CD5" i="40" a="1"/>
  <c r="AR5" i="40" a="1"/>
  <c r="BF5" i="40" a="1"/>
  <c r="BJ5" i="40" a="1"/>
  <c r="BK5" i="40" a="1"/>
  <c r="AO5" i="40" a="1"/>
  <c r="BS5" i="40" a="1"/>
  <c r="AM5" i="40" a="1"/>
  <c r="AP47" i="37" l="1"/>
  <c r="AP46" i="37"/>
  <c r="AP50" i="37"/>
  <c r="AP52" i="37"/>
  <c r="AP51" i="37"/>
  <c r="AP48" i="37"/>
  <c r="AP49" i="37"/>
  <c r="AQ50" i="40"/>
  <c r="AQ46" i="40"/>
  <c r="AQ47" i="40"/>
  <c r="AQ49" i="40"/>
  <c r="AQ51" i="40"/>
  <c r="AQ52" i="40"/>
  <c r="AQ48" i="40"/>
  <c r="I51" i="40"/>
  <c r="J51" i="40" s="1"/>
  <c r="I52" i="40"/>
  <c r="J52" i="40" s="1"/>
  <c r="I46" i="40"/>
  <c r="J46" i="40" s="1"/>
  <c r="I48" i="40"/>
  <c r="J48" i="40" s="1"/>
  <c r="I50" i="40"/>
  <c r="J50" i="40" s="1"/>
  <c r="I47" i="40"/>
  <c r="J47" i="40" s="1"/>
  <c r="I49" i="40"/>
  <c r="J49" i="40" s="1"/>
  <c r="I45" i="40"/>
  <c r="J45" i="40" s="1"/>
  <c r="I43" i="40"/>
  <c r="J43" i="40" s="1"/>
  <c r="I41" i="40"/>
  <c r="J41" i="40" s="1"/>
  <c r="I40" i="40"/>
  <c r="J40" i="40" s="1"/>
  <c r="I37" i="40"/>
  <c r="J37" i="40" s="1"/>
  <c r="I36" i="40"/>
  <c r="J36" i="40" s="1"/>
  <c r="I34" i="40"/>
  <c r="J34" i="40" s="1"/>
  <c r="I39" i="40"/>
  <c r="J39" i="40" s="1"/>
  <c r="I35" i="40"/>
  <c r="J35" i="40" s="1"/>
  <c r="I33" i="40"/>
  <c r="J33" i="40" s="1"/>
  <c r="I38" i="40"/>
  <c r="J38" i="40" s="1"/>
  <c r="I42" i="40"/>
  <c r="J42" i="40" s="1"/>
  <c r="I44" i="40"/>
  <c r="J44" i="40" s="1"/>
  <c r="AQ46" i="26"/>
  <c r="AQ50" i="26"/>
  <c r="AQ48" i="26"/>
  <c r="AQ47" i="26"/>
  <c r="AQ49" i="26"/>
  <c r="AQ51" i="26"/>
  <c r="AQ52" i="26"/>
  <c r="AQ48" i="27"/>
  <c r="AQ52" i="27"/>
  <c r="AQ46" i="27"/>
  <c r="AQ47" i="27"/>
  <c r="AQ49" i="27"/>
  <c r="AQ50" i="27"/>
  <c r="AQ51" i="27"/>
  <c r="AQ46" i="50"/>
  <c r="AQ51" i="50"/>
  <c r="AQ47" i="50"/>
  <c r="AQ50" i="50"/>
  <c r="AQ48" i="50"/>
  <c r="AQ52" i="50"/>
  <c r="AQ49" i="50"/>
  <c r="AP51" i="31"/>
  <c r="AP49" i="31"/>
  <c r="AP46" i="31"/>
  <c r="AP50" i="31"/>
  <c r="AP52" i="31"/>
  <c r="AP47" i="31"/>
  <c r="AP48" i="31"/>
  <c r="AQ47" i="44"/>
  <c r="AQ52" i="44"/>
  <c r="AQ46" i="44"/>
  <c r="AQ49" i="44"/>
  <c r="AQ48" i="44"/>
  <c r="AQ51" i="44"/>
  <c r="AQ50" i="44"/>
  <c r="AQ50" i="25"/>
  <c r="AQ47" i="25"/>
  <c r="AQ48" i="25"/>
  <c r="AQ49" i="25"/>
  <c r="AQ51" i="25"/>
  <c r="AQ46" i="25"/>
  <c r="AQ52" i="25"/>
  <c r="AP49" i="30"/>
  <c r="AP46" i="30"/>
  <c r="AP51" i="30"/>
  <c r="AP52" i="30"/>
  <c r="AP47" i="30"/>
  <c r="AP50" i="30"/>
  <c r="AP48" i="30"/>
  <c r="AQ47" i="22"/>
  <c r="AQ50" i="22"/>
  <c r="AQ48" i="22"/>
  <c r="AQ49" i="22"/>
  <c r="AQ52" i="22"/>
  <c r="AQ46" i="22"/>
  <c r="AQ51" i="22"/>
  <c r="AP51" i="32"/>
  <c r="AP47" i="32"/>
  <c r="AP46" i="32"/>
  <c r="AP52" i="32"/>
  <c r="AP49" i="32"/>
  <c r="AP50" i="32"/>
  <c r="AP48" i="32"/>
  <c r="AQ46" i="24"/>
  <c r="AQ47" i="24"/>
  <c r="AQ51" i="24"/>
  <c r="AQ52" i="24"/>
  <c r="AQ48" i="24"/>
  <c r="AQ49" i="24"/>
  <c r="AQ50" i="24"/>
  <c r="AQ49" i="29"/>
  <c r="AQ52" i="29"/>
  <c r="AQ50" i="29"/>
  <c r="AQ47" i="29"/>
  <c r="AQ51" i="29"/>
  <c r="AQ46" i="29"/>
  <c r="AQ48" i="29"/>
  <c r="AQ37" i="40"/>
  <c r="AQ38" i="40"/>
  <c r="AQ39" i="40"/>
  <c r="AQ42" i="40"/>
  <c r="AQ41" i="40"/>
  <c r="AQ34" i="40"/>
  <c r="AQ43" i="40"/>
  <c r="AQ33" i="40"/>
  <c r="AQ36" i="40"/>
  <c r="AQ44" i="40"/>
  <c r="AQ45" i="40"/>
  <c r="AQ40" i="40"/>
  <c r="AQ35" i="40"/>
  <c r="AP34" i="30"/>
  <c r="AP42" i="30"/>
  <c r="AP35" i="30"/>
  <c r="AP40" i="30"/>
  <c r="AP38" i="30"/>
  <c r="AP39" i="30"/>
  <c r="AP41" i="30"/>
  <c r="AP44" i="30"/>
  <c r="AP45" i="30"/>
  <c r="AP43" i="30"/>
  <c r="AP33" i="30"/>
  <c r="AP36" i="30"/>
  <c r="AP37" i="30"/>
  <c r="AQ45" i="22"/>
  <c r="AQ41" i="22"/>
  <c r="AQ37" i="22"/>
  <c r="AQ33" i="22"/>
  <c r="AQ38" i="22"/>
  <c r="AQ42" i="22"/>
  <c r="AQ34" i="22"/>
  <c r="AQ36" i="22"/>
  <c r="AQ39" i="22"/>
  <c r="AQ35" i="22"/>
  <c r="AQ40" i="22"/>
  <c r="AQ43" i="22"/>
  <c r="AQ44" i="22"/>
  <c r="AP38" i="32"/>
  <c r="AP37" i="32"/>
  <c r="AP33" i="32"/>
  <c r="AP36" i="32"/>
  <c r="AP34" i="32"/>
  <c r="AP35" i="32"/>
  <c r="AP39" i="32"/>
  <c r="AP42" i="32"/>
  <c r="AP41" i="32"/>
  <c r="AP40" i="32"/>
  <c r="AP45" i="32"/>
  <c r="AP43" i="32"/>
  <c r="AP44" i="32"/>
  <c r="AP33" i="37"/>
  <c r="AP44" i="37"/>
  <c r="AP41" i="37"/>
  <c r="AP42" i="37"/>
  <c r="AP43" i="37"/>
  <c r="AP38" i="37"/>
  <c r="AP40" i="37"/>
  <c r="AP39" i="37"/>
  <c r="AP45" i="37"/>
  <c r="AP34" i="37"/>
  <c r="AP35" i="37"/>
  <c r="AP36" i="37"/>
  <c r="AP37" i="37"/>
  <c r="AQ33" i="26"/>
  <c r="AQ40" i="26"/>
  <c r="AQ38" i="26"/>
  <c r="AQ37" i="26"/>
  <c r="AQ36" i="26"/>
  <c r="AQ41" i="26"/>
  <c r="AQ44" i="26"/>
  <c r="AQ43" i="26"/>
  <c r="AQ45" i="26"/>
  <c r="AQ35" i="26"/>
  <c r="AQ34" i="26"/>
  <c r="AQ39" i="26"/>
  <c r="AQ42" i="26"/>
  <c r="AQ36" i="27"/>
  <c r="AQ41" i="27"/>
  <c r="AQ43" i="27"/>
  <c r="AQ38" i="27"/>
  <c r="AQ44" i="27"/>
  <c r="AQ45" i="27"/>
  <c r="AQ34" i="27"/>
  <c r="AQ37" i="27"/>
  <c r="AQ33" i="27"/>
  <c r="AQ39" i="27"/>
  <c r="AQ35" i="27"/>
  <c r="AQ40" i="27"/>
  <c r="AQ42" i="27"/>
  <c r="AQ45" i="50"/>
  <c r="AQ37" i="50"/>
  <c r="AQ39" i="50"/>
  <c r="AQ36" i="50"/>
  <c r="AQ34" i="50"/>
  <c r="AQ43" i="50"/>
  <c r="AQ35" i="50"/>
  <c r="AQ38" i="50"/>
  <c r="AQ33" i="50"/>
  <c r="AQ40" i="50"/>
  <c r="AQ41" i="50"/>
  <c r="AQ42" i="50"/>
  <c r="AQ44" i="50"/>
  <c r="AP34" i="31"/>
  <c r="AP38" i="31"/>
  <c r="AP36" i="31"/>
  <c r="AP40" i="31"/>
  <c r="AP44" i="31"/>
  <c r="AP42" i="31"/>
  <c r="AP43" i="31"/>
  <c r="AP37" i="31"/>
  <c r="AP41" i="31"/>
  <c r="AP45" i="31"/>
  <c r="AP33" i="31"/>
  <c r="AP39" i="31"/>
  <c r="AP35" i="31"/>
  <c r="AQ43" i="44"/>
  <c r="AQ37" i="44"/>
  <c r="AQ34" i="44"/>
  <c r="AQ41" i="44"/>
  <c r="AQ36" i="44"/>
  <c r="AQ45" i="44"/>
  <c r="AQ39" i="44"/>
  <c r="AQ33" i="44"/>
  <c r="AQ42" i="44"/>
  <c r="AQ35" i="44"/>
  <c r="AQ38" i="44"/>
  <c r="AQ40" i="44"/>
  <c r="AQ44" i="44"/>
  <c r="AQ44" i="24"/>
  <c r="AQ39" i="24"/>
  <c r="AQ42" i="24"/>
  <c r="AQ41" i="24"/>
  <c r="AQ37" i="24"/>
  <c r="AQ35" i="24"/>
  <c r="AQ34" i="24"/>
  <c r="AQ38" i="24"/>
  <c r="AQ40" i="24"/>
  <c r="AQ36" i="24"/>
  <c r="AQ33" i="24"/>
  <c r="AQ43" i="24"/>
  <c r="AQ45" i="24"/>
  <c r="AQ45" i="25"/>
  <c r="AQ39" i="25"/>
  <c r="AQ43" i="25"/>
  <c r="AQ41" i="25"/>
  <c r="AQ42" i="25"/>
  <c r="AQ44" i="25"/>
  <c r="AQ34" i="25"/>
  <c r="AQ36" i="25"/>
  <c r="AQ37" i="25"/>
  <c r="AQ40" i="25"/>
  <c r="AQ35" i="25"/>
  <c r="AQ33" i="25"/>
  <c r="AQ38" i="25"/>
  <c r="AQ44" i="29"/>
  <c r="AQ38" i="29"/>
  <c r="AQ39" i="29"/>
  <c r="AQ42" i="29"/>
  <c r="AQ43" i="29"/>
  <c r="AQ41" i="29"/>
  <c r="AQ34" i="29"/>
  <c r="AQ35" i="29"/>
  <c r="AQ40" i="29"/>
  <c r="AQ33" i="29"/>
  <c r="AQ45" i="29"/>
  <c r="AQ36" i="29"/>
  <c r="AQ37" i="29"/>
  <c r="AQ8" i="27"/>
  <c r="AR3" i="40"/>
  <c r="AR53" i="40" s="1"/>
  <c r="AR3" i="22"/>
  <c r="AR53" i="22" s="1"/>
  <c r="AQ8" i="44"/>
  <c r="AQ25" i="50"/>
  <c r="AQ31" i="50"/>
  <c r="AQ23" i="50"/>
  <c r="AQ9" i="50"/>
  <c r="AQ22" i="50"/>
  <c r="AQ13" i="50"/>
  <c r="AQ19" i="50"/>
  <c r="AQ27" i="50"/>
  <c r="AQ32" i="50"/>
  <c r="AQ18" i="50"/>
  <c r="AQ17" i="50"/>
  <c r="AR3" i="24"/>
  <c r="AR53" i="24" s="1"/>
  <c r="AP30" i="32"/>
  <c r="AQ46" i="28"/>
  <c r="AQ48" i="28"/>
  <c r="AP23" i="32"/>
  <c r="AP26" i="32"/>
  <c r="AP25" i="32"/>
  <c r="AP13" i="32"/>
  <c r="AP10" i="32"/>
  <c r="AP27" i="32"/>
  <c r="AP20" i="32"/>
  <c r="AP12" i="32"/>
  <c r="AP9" i="32"/>
  <c r="AP19" i="32"/>
  <c r="AR3" i="25"/>
  <c r="AR53" i="25" s="1"/>
  <c r="AQ8" i="25"/>
  <c r="AR3" i="28"/>
  <c r="AR46" i="28" s="1"/>
  <c r="AQ28" i="50"/>
  <c r="AQ11" i="50"/>
  <c r="AP29" i="32"/>
  <c r="AP21" i="32"/>
  <c r="AQ12" i="50"/>
  <c r="AQ20" i="50"/>
  <c r="AQ21" i="50"/>
  <c r="AQ16" i="50"/>
  <c r="AQ30" i="50"/>
  <c r="AP28" i="32"/>
  <c r="AP8" i="32"/>
  <c r="AP24" i="32"/>
  <c r="AP18" i="32"/>
  <c r="AP32" i="32"/>
  <c r="AP22" i="32"/>
  <c r="AP15" i="32"/>
  <c r="AP16" i="32"/>
  <c r="AP11" i="32"/>
  <c r="AP14" i="32"/>
  <c r="AP31" i="32"/>
  <c r="AP17" i="32"/>
  <c r="I8" i="40"/>
  <c r="J8" i="40" s="1"/>
  <c r="AQ8" i="40"/>
  <c r="AP8" i="37"/>
  <c r="AQ3" i="30"/>
  <c r="AQ53" i="30" s="1"/>
  <c r="AQ10" i="50"/>
  <c r="AQ14" i="50"/>
  <c r="AQ29" i="50"/>
  <c r="AQ15" i="50"/>
  <c r="AQ8" i="22"/>
  <c r="AQ24" i="50"/>
  <c r="AQ26" i="50"/>
  <c r="AQ8" i="50"/>
  <c r="AR3" i="29"/>
  <c r="AR53" i="29" s="1"/>
  <c r="AR3" i="50"/>
  <c r="AR53" i="50" s="1"/>
  <c r="AR3" i="26"/>
  <c r="AR53" i="26" s="1"/>
  <c r="AQ3" i="32"/>
  <c r="AQ53" i="32" s="1"/>
  <c r="AR3" i="27"/>
  <c r="AR53" i="27" s="1"/>
  <c r="AR3" i="44"/>
  <c r="AR53" i="44" s="1"/>
  <c r="AQ3" i="37"/>
  <c r="AQ53" i="37" s="1"/>
  <c r="AQ3" i="31"/>
  <c r="AQ53" i="31" s="1"/>
  <c r="AS4" i="29"/>
  <c r="AS4" i="50"/>
  <c r="AR4" i="37"/>
  <c r="AS4" i="28"/>
  <c r="AS4" i="27"/>
  <c r="AS4" i="40"/>
  <c r="AS4" i="44"/>
  <c r="AS4" i="25"/>
  <c r="AS4" i="24"/>
  <c r="AS4" i="22"/>
  <c r="AR4" i="32"/>
  <c r="AR4" i="30"/>
  <c r="AS4" i="26"/>
  <c r="AR4" i="31"/>
  <c r="K51" i="40" l="1"/>
  <c r="M51" i="40" s="1"/>
  <c r="L51" i="40"/>
  <c r="K52" i="40"/>
  <c r="M52" i="40" s="1"/>
  <c r="L52" i="40"/>
  <c r="L46" i="40"/>
  <c r="K46" i="40"/>
  <c r="M46" i="40" s="1"/>
  <c r="L48" i="40"/>
  <c r="K48" i="40"/>
  <c r="M48" i="40" s="1"/>
  <c r="K50" i="40"/>
  <c r="M50" i="40" s="1"/>
  <c r="L50" i="40"/>
  <c r="K47" i="40"/>
  <c r="M47" i="40" s="1"/>
  <c r="L47" i="40"/>
  <c r="L49" i="40"/>
  <c r="K49" i="40"/>
  <c r="M49" i="40" s="1"/>
  <c r="K45" i="40"/>
  <c r="M45" i="40" s="1"/>
  <c r="L45" i="40"/>
  <c r="L43" i="40"/>
  <c r="K43" i="40"/>
  <c r="M43" i="40" s="1"/>
  <c r="K41" i="40"/>
  <c r="M41" i="40" s="1"/>
  <c r="L41" i="40"/>
  <c r="L40" i="40"/>
  <c r="K40" i="40"/>
  <c r="M40" i="40" s="1"/>
  <c r="L37" i="40"/>
  <c r="K37" i="40"/>
  <c r="M37" i="40" s="1"/>
  <c r="K36" i="40"/>
  <c r="M36" i="40" s="1"/>
  <c r="L36" i="40"/>
  <c r="K34" i="40"/>
  <c r="M34" i="40" s="1"/>
  <c r="L34" i="40"/>
  <c r="K39" i="40"/>
  <c r="M39" i="40" s="1"/>
  <c r="L39" i="40"/>
  <c r="K35" i="40"/>
  <c r="M35" i="40" s="1"/>
  <c r="L35" i="40"/>
  <c r="L33" i="40"/>
  <c r="K33" i="40"/>
  <c r="M33" i="40" s="1"/>
  <c r="L38" i="40"/>
  <c r="K38" i="40"/>
  <c r="M38" i="40" s="1"/>
  <c r="L42" i="40"/>
  <c r="K42" i="40"/>
  <c r="M42" i="40" s="1"/>
  <c r="L44" i="40"/>
  <c r="K44" i="40"/>
  <c r="M44" i="40" s="1"/>
  <c r="AR51" i="40"/>
  <c r="AR49" i="40"/>
  <c r="AR47" i="40"/>
  <c r="AR50" i="40"/>
  <c r="AR46" i="40"/>
  <c r="AR48" i="40"/>
  <c r="AR52" i="40"/>
  <c r="AQ47" i="37"/>
  <c r="AQ46" i="37"/>
  <c r="AQ51" i="37"/>
  <c r="AQ49" i="37"/>
  <c r="AQ50" i="37"/>
  <c r="AQ48" i="37"/>
  <c r="AQ52" i="37"/>
  <c r="AR48" i="27"/>
  <c r="AR51" i="27"/>
  <c r="AR47" i="27"/>
  <c r="AR50" i="27"/>
  <c r="AR49" i="27"/>
  <c r="AR52" i="27"/>
  <c r="AR46" i="27"/>
  <c r="AR47" i="26"/>
  <c r="AR51" i="26"/>
  <c r="AR49" i="26"/>
  <c r="AR46" i="26"/>
  <c r="AR48" i="26"/>
  <c r="AR52" i="26"/>
  <c r="AR50" i="26"/>
  <c r="AR49" i="44"/>
  <c r="AR50" i="44"/>
  <c r="AR51" i="44"/>
  <c r="AR48" i="44"/>
  <c r="AR47" i="44"/>
  <c r="AR46" i="44"/>
  <c r="AR52" i="44"/>
  <c r="AR51" i="22"/>
  <c r="AR52" i="22"/>
  <c r="AR46" i="22"/>
  <c r="AR48" i="22"/>
  <c r="AR49" i="22"/>
  <c r="AR50" i="22"/>
  <c r="AR47" i="22"/>
  <c r="AR49" i="50"/>
  <c r="AR51" i="50"/>
  <c r="AR46" i="50"/>
  <c r="AR48" i="50"/>
  <c r="AR50" i="50"/>
  <c r="AR47" i="50"/>
  <c r="AR52" i="50"/>
  <c r="AR51" i="25"/>
  <c r="AR50" i="25"/>
  <c r="AR46" i="25"/>
  <c r="AR48" i="25"/>
  <c r="AR52" i="25"/>
  <c r="AR49" i="25"/>
  <c r="AR47" i="25"/>
  <c r="AQ46" i="31"/>
  <c r="AQ50" i="31"/>
  <c r="AQ52" i="31"/>
  <c r="AQ47" i="31"/>
  <c r="AQ51" i="31"/>
  <c r="AQ49" i="31"/>
  <c r="AQ48" i="31"/>
  <c r="AQ50" i="32"/>
  <c r="AQ48" i="32"/>
  <c r="AQ47" i="32"/>
  <c r="AQ46" i="32"/>
  <c r="AQ49" i="32"/>
  <c r="AQ51" i="32"/>
  <c r="AQ52" i="32"/>
  <c r="AQ48" i="30"/>
  <c r="AQ50" i="30"/>
  <c r="AQ52" i="30"/>
  <c r="AQ49" i="30"/>
  <c r="AQ46" i="30"/>
  <c r="AQ47" i="30"/>
  <c r="AQ51" i="30"/>
  <c r="AR48" i="24"/>
  <c r="AR46" i="24"/>
  <c r="AR49" i="24"/>
  <c r="AR51" i="24"/>
  <c r="AR50" i="24"/>
  <c r="AR52" i="24"/>
  <c r="AR47" i="24"/>
  <c r="AR39" i="40"/>
  <c r="AR41" i="40"/>
  <c r="AR34" i="40"/>
  <c r="AR37" i="40"/>
  <c r="AR45" i="40"/>
  <c r="AR33" i="40"/>
  <c r="AR38" i="40"/>
  <c r="AR36" i="40"/>
  <c r="AR44" i="40"/>
  <c r="AR35" i="40"/>
  <c r="AR42" i="40"/>
  <c r="AR40" i="40"/>
  <c r="AR43" i="40"/>
  <c r="AR45" i="25"/>
  <c r="AR39" i="25"/>
  <c r="AR34" i="25"/>
  <c r="AR43" i="25"/>
  <c r="AR36" i="25"/>
  <c r="AR44" i="25"/>
  <c r="AR41" i="25"/>
  <c r="AR35" i="25"/>
  <c r="AR33" i="25"/>
  <c r="AR42" i="25"/>
  <c r="AR37" i="25"/>
  <c r="AR40" i="25"/>
  <c r="AR38" i="25"/>
  <c r="AQ45" i="31"/>
  <c r="AQ37" i="31"/>
  <c r="AQ39" i="31"/>
  <c r="AQ41" i="31"/>
  <c r="AQ40" i="31"/>
  <c r="AQ38" i="31"/>
  <c r="AQ35" i="31"/>
  <c r="AQ44" i="31"/>
  <c r="AQ33" i="31"/>
  <c r="AQ34" i="31"/>
  <c r="AQ36" i="31"/>
  <c r="AQ42" i="31"/>
  <c r="AQ43" i="31"/>
  <c r="AQ45" i="30"/>
  <c r="AQ41" i="30"/>
  <c r="AQ40" i="30"/>
  <c r="AQ37" i="30"/>
  <c r="AQ33" i="30"/>
  <c r="AQ34" i="30"/>
  <c r="AQ36" i="30"/>
  <c r="AQ39" i="30"/>
  <c r="AQ43" i="30"/>
  <c r="AQ42" i="30"/>
  <c r="AQ38" i="30"/>
  <c r="AQ44" i="30"/>
  <c r="AQ35" i="30"/>
  <c r="AQ40" i="32"/>
  <c r="AQ39" i="32"/>
  <c r="AQ43" i="32"/>
  <c r="AQ35" i="32"/>
  <c r="AQ45" i="32"/>
  <c r="AQ42" i="32"/>
  <c r="AQ36" i="32"/>
  <c r="AQ38" i="32"/>
  <c r="AQ33" i="32"/>
  <c r="AQ37" i="32"/>
  <c r="AQ41" i="32"/>
  <c r="AQ44" i="32"/>
  <c r="AQ34" i="32"/>
  <c r="AQ34" i="37"/>
  <c r="AQ33" i="37"/>
  <c r="AQ38" i="37"/>
  <c r="AQ42" i="37"/>
  <c r="AQ43" i="37"/>
  <c r="AQ41" i="37"/>
  <c r="AQ45" i="37"/>
  <c r="AQ44" i="37"/>
  <c r="AQ39" i="37"/>
  <c r="AQ40" i="37"/>
  <c r="AQ35" i="37"/>
  <c r="AQ36" i="37"/>
  <c r="AQ37" i="37"/>
  <c r="AR40" i="26"/>
  <c r="AR37" i="26"/>
  <c r="AR33" i="26"/>
  <c r="AR45" i="26"/>
  <c r="AR43" i="26"/>
  <c r="AR35" i="26"/>
  <c r="AR34" i="26"/>
  <c r="AR36" i="26"/>
  <c r="AR39" i="26"/>
  <c r="AR42" i="26"/>
  <c r="AR44" i="26"/>
  <c r="AR38" i="26"/>
  <c r="AR41" i="26"/>
  <c r="AR45" i="24"/>
  <c r="AR41" i="24"/>
  <c r="AR43" i="24"/>
  <c r="AR35" i="24"/>
  <c r="AR39" i="24"/>
  <c r="AR33" i="24"/>
  <c r="AR37" i="24"/>
  <c r="AR34" i="24"/>
  <c r="AR36" i="24"/>
  <c r="AR38" i="24"/>
  <c r="AR44" i="24"/>
  <c r="AR40" i="24"/>
  <c r="AR42" i="24"/>
  <c r="AR40" i="27"/>
  <c r="AR33" i="27"/>
  <c r="AR45" i="27"/>
  <c r="AR39" i="27"/>
  <c r="AR44" i="27"/>
  <c r="AR42" i="27"/>
  <c r="AR34" i="27"/>
  <c r="AR35" i="27"/>
  <c r="AR37" i="27"/>
  <c r="AR36" i="27"/>
  <c r="AR43" i="27"/>
  <c r="AR41" i="27"/>
  <c r="AR38" i="27"/>
  <c r="AR50" i="29"/>
  <c r="AR51" i="29"/>
  <c r="AR48" i="29"/>
  <c r="AR47" i="29"/>
  <c r="AR52" i="29"/>
  <c r="AR49" i="29"/>
  <c r="AR46" i="29"/>
  <c r="AR45" i="44"/>
  <c r="AR44" i="44"/>
  <c r="AR42" i="44"/>
  <c r="AR40" i="44"/>
  <c r="AR36" i="44"/>
  <c r="AR33" i="44"/>
  <c r="AR37" i="44"/>
  <c r="AR34" i="44"/>
  <c r="AR35" i="44"/>
  <c r="AR41" i="44"/>
  <c r="AR38" i="44"/>
  <c r="AR43" i="44"/>
  <c r="AR39" i="44"/>
  <c r="AR45" i="50"/>
  <c r="AR44" i="50"/>
  <c r="AR39" i="50"/>
  <c r="AR42" i="50"/>
  <c r="AR33" i="50"/>
  <c r="AR37" i="50"/>
  <c r="AR36" i="50"/>
  <c r="AR34" i="50"/>
  <c r="AR43" i="50"/>
  <c r="AR41" i="50"/>
  <c r="AR38" i="50"/>
  <c r="AR40" i="50"/>
  <c r="AR35" i="50"/>
  <c r="AR44" i="22"/>
  <c r="AR42" i="22"/>
  <c r="AR40" i="22"/>
  <c r="AR37" i="22"/>
  <c r="AR36" i="22"/>
  <c r="AR38" i="22"/>
  <c r="AR43" i="22"/>
  <c r="AR34" i="22"/>
  <c r="AR39" i="22"/>
  <c r="AR35" i="22"/>
  <c r="AR41" i="22"/>
  <c r="AR33" i="22"/>
  <c r="AR45" i="22"/>
  <c r="AR45" i="29"/>
  <c r="AR44" i="29"/>
  <c r="AR36" i="29"/>
  <c r="AR41" i="29"/>
  <c r="AR39" i="29"/>
  <c r="AR37" i="29"/>
  <c r="AR40" i="29"/>
  <c r="AR38" i="29"/>
  <c r="AR34" i="29"/>
  <c r="AR43" i="29"/>
  <c r="AR35" i="29"/>
  <c r="AR42" i="29"/>
  <c r="AR33" i="29"/>
  <c r="AR48" i="28"/>
  <c r="AR8" i="27"/>
  <c r="AR8" i="22"/>
  <c r="AR8" i="40"/>
  <c r="AR8" i="44"/>
  <c r="AS3" i="26"/>
  <c r="AS53" i="26" s="1"/>
  <c r="AR47" i="28"/>
  <c r="AQ19" i="32"/>
  <c r="AR3" i="31"/>
  <c r="AR53" i="31" s="1"/>
  <c r="AR11" i="50"/>
  <c r="AR8" i="25"/>
  <c r="AQ14" i="32"/>
  <c r="AQ20" i="32"/>
  <c r="AR24" i="50"/>
  <c r="AQ13" i="32"/>
  <c r="AR27" i="50"/>
  <c r="AQ25" i="32"/>
  <c r="AR10" i="50"/>
  <c r="AS3" i="22"/>
  <c r="AS53" i="22" s="1"/>
  <c r="AR31" i="50"/>
  <c r="AR14" i="50"/>
  <c r="AR8" i="50"/>
  <c r="AR21" i="50"/>
  <c r="AR9" i="50"/>
  <c r="AR15" i="50"/>
  <c r="AR19" i="50"/>
  <c r="AR32" i="50"/>
  <c r="AR20" i="50"/>
  <c r="AR29" i="50"/>
  <c r="AR28" i="50"/>
  <c r="AR17" i="50"/>
  <c r="AR30" i="50"/>
  <c r="AR23" i="50"/>
  <c r="AR25" i="50"/>
  <c r="AR13" i="50"/>
  <c r="AR26" i="50"/>
  <c r="AS3" i="29"/>
  <c r="AS53" i="29" s="1"/>
  <c r="AR16" i="50"/>
  <c r="AR22" i="50"/>
  <c r="AS3" i="40"/>
  <c r="AS53" i="40" s="1"/>
  <c r="AS3" i="44"/>
  <c r="AS53" i="44" s="1"/>
  <c r="AR3" i="37"/>
  <c r="AR53" i="37" s="1"/>
  <c r="L8" i="40"/>
  <c r="O8" i="40" s="1"/>
  <c r="K8" i="40"/>
  <c r="M8" i="40" s="1"/>
  <c r="AR12" i="50"/>
  <c r="AQ8" i="37"/>
  <c r="AR3" i="32"/>
  <c r="AR53" i="32" s="1"/>
  <c r="AS3" i="27"/>
  <c r="AS53" i="27" s="1"/>
  <c r="AS3" i="50"/>
  <c r="AS53" i="50" s="1"/>
  <c r="AS3" i="24"/>
  <c r="AS53" i="24" s="1"/>
  <c r="AR3" i="30"/>
  <c r="AR53" i="30" s="1"/>
  <c r="AS3" i="25"/>
  <c r="AS53" i="25" s="1"/>
  <c r="AS3" i="28"/>
  <c r="AS46" i="28" s="1"/>
  <c r="AR18" i="50"/>
  <c r="AQ29" i="32"/>
  <c r="AQ32" i="32"/>
  <c r="AQ21" i="32"/>
  <c r="AQ8" i="32"/>
  <c r="AQ11" i="32"/>
  <c r="AQ12" i="32"/>
  <c r="AQ28" i="32"/>
  <c r="AQ18" i="32"/>
  <c r="AQ31" i="32"/>
  <c r="AQ24" i="32"/>
  <c r="AQ27" i="32"/>
  <c r="AQ22" i="32"/>
  <c r="AQ17" i="32"/>
  <c r="AQ30" i="32"/>
  <c r="AQ26" i="32"/>
  <c r="AQ23" i="32"/>
  <c r="AQ15" i="32"/>
  <c r="AQ9" i="32"/>
  <c r="AQ10" i="32"/>
  <c r="AQ16" i="32"/>
  <c r="AT4" i="29"/>
  <c r="AT4" i="50"/>
  <c r="AT4" i="28"/>
  <c r="AT4" i="27"/>
  <c r="AT4" i="40"/>
  <c r="AT4" i="44"/>
  <c r="AS4" i="37"/>
  <c r="AT4" i="26"/>
  <c r="AT4" i="24"/>
  <c r="AT4" i="22"/>
  <c r="AS4" i="32"/>
  <c r="AS4" i="31"/>
  <c r="AT4" i="25"/>
  <c r="AS4" i="30"/>
  <c r="AS52" i="40" l="1"/>
  <c r="AS51" i="40"/>
  <c r="AS49" i="40"/>
  <c r="AS50" i="40"/>
  <c r="AS46" i="40"/>
  <c r="AS48" i="40"/>
  <c r="AS47" i="40"/>
  <c r="AR49" i="37"/>
  <c r="AR48" i="37"/>
  <c r="AR47" i="37"/>
  <c r="AR50" i="37"/>
  <c r="AR51" i="37"/>
  <c r="AR52" i="37"/>
  <c r="AR46" i="37"/>
  <c r="AS48" i="25"/>
  <c r="AS50" i="25"/>
  <c r="AS52" i="25"/>
  <c r="AS46" i="25"/>
  <c r="AS51" i="25"/>
  <c r="AS47" i="25"/>
  <c r="AS49" i="25"/>
  <c r="AS46" i="27"/>
  <c r="AS51" i="27"/>
  <c r="AS47" i="27"/>
  <c r="AS48" i="27"/>
  <c r="AS49" i="27"/>
  <c r="AS50" i="27"/>
  <c r="AS52" i="27"/>
  <c r="AS51" i="22"/>
  <c r="AS49" i="22"/>
  <c r="AS48" i="22"/>
  <c r="AS52" i="22"/>
  <c r="AS46" i="22"/>
  <c r="AS47" i="22"/>
  <c r="AS50" i="22"/>
  <c r="AR52" i="30"/>
  <c r="AR51" i="30"/>
  <c r="AR46" i="30"/>
  <c r="AR47" i="30"/>
  <c r="AR49" i="30"/>
  <c r="AR48" i="30"/>
  <c r="AR50" i="30"/>
  <c r="AR47" i="32"/>
  <c r="AR50" i="32"/>
  <c r="AR46" i="32"/>
  <c r="AR52" i="32"/>
  <c r="AR49" i="32"/>
  <c r="AR48" i="32"/>
  <c r="AR51" i="32"/>
  <c r="AS49" i="26"/>
  <c r="AS47" i="26"/>
  <c r="AS46" i="26"/>
  <c r="AS48" i="26"/>
  <c r="AS50" i="26"/>
  <c r="AS51" i="26"/>
  <c r="AS52" i="26"/>
  <c r="AS46" i="50"/>
  <c r="AS49" i="50"/>
  <c r="AS52" i="50"/>
  <c r="AS51" i="50"/>
  <c r="AS48" i="50"/>
  <c r="AS50" i="50"/>
  <c r="AS47" i="50"/>
  <c r="AS48" i="44"/>
  <c r="AS46" i="44"/>
  <c r="AS49" i="44"/>
  <c r="AS50" i="44"/>
  <c r="AS51" i="44"/>
  <c r="AS52" i="44"/>
  <c r="AS47" i="44"/>
  <c r="AR47" i="31"/>
  <c r="AR52" i="31"/>
  <c r="AR46" i="31"/>
  <c r="AR51" i="31"/>
  <c r="AR49" i="31"/>
  <c r="AR48" i="31"/>
  <c r="AR50" i="31"/>
  <c r="AS47" i="24"/>
  <c r="AS52" i="24"/>
  <c r="AS49" i="24"/>
  <c r="AS51" i="24"/>
  <c r="AS50" i="24"/>
  <c r="AS46" i="24"/>
  <c r="AS48" i="24"/>
  <c r="AR33" i="37"/>
  <c r="AR34" i="37"/>
  <c r="AR35" i="37"/>
  <c r="AR36" i="37"/>
  <c r="AR37" i="37"/>
  <c r="AR39" i="37"/>
  <c r="AR45" i="37"/>
  <c r="AR44" i="37"/>
  <c r="AR38" i="37"/>
  <c r="AR41" i="37"/>
  <c r="AR42" i="37"/>
  <c r="AR43" i="37"/>
  <c r="AR40" i="37"/>
  <c r="AR45" i="31"/>
  <c r="AR44" i="31"/>
  <c r="AR41" i="31"/>
  <c r="AR37" i="31"/>
  <c r="AR34" i="31"/>
  <c r="AR40" i="31"/>
  <c r="AR33" i="31"/>
  <c r="AR42" i="31"/>
  <c r="AR39" i="31"/>
  <c r="AR38" i="31"/>
  <c r="AR35" i="31"/>
  <c r="AR36" i="31"/>
  <c r="AR43" i="31"/>
  <c r="AS45" i="26"/>
  <c r="AS42" i="26"/>
  <c r="AS43" i="26"/>
  <c r="AS40" i="26"/>
  <c r="AS36" i="26"/>
  <c r="AS34" i="26"/>
  <c r="AS39" i="26"/>
  <c r="AS35" i="26"/>
  <c r="AS37" i="26"/>
  <c r="AS38" i="26"/>
  <c r="AS44" i="26"/>
  <c r="AS33" i="26"/>
  <c r="AS41" i="26"/>
  <c r="AS36" i="44"/>
  <c r="AS35" i="44"/>
  <c r="AS37" i="44"/>
  <c r="AS33" i="44"/>
  <c r="AS39" i="44"/>
  <c r="AS40" i="44"/>
  <c r="AS44" i="44"/>
  <c r="AS42" i="44"/>
  <c r="AS45" i="44"/>
  <c r="AS38" i="44"/>
  <c r="AS41" i="44"/>
  <c r="AS43" i="44"/>
  <c r="AS34" i="44"/>
  <c r="AS40" i="25"/>
  <c r="AS41" i="25"/>
  <c r="AS44" i="25"/>
  <c r="AS43" i="25"/>
  <c r="AS45" i="25"/>
  <c r="AS35" i="25"/>
  <c r="AS33" i="25"/>
  <c r="AS34" i="25"/>
  <c r="AS39" i="25"/>
  <c r="AS37" i="25"/>
  <c r="AS38" i="25"/>
  <c r="AS42" i="25"/>
  <c r="AS36" i="25"/>
  <c r="AS39" i="27"/>
  <c r="AS33" i="27"/>
  <c r="AS35" i="27"/>
  <c r="AS43" i="27"/>
  <c r="AS44" i="27"/>
  <c r="AS45" i="27"/>
  <c r="AS34" i="27"/>
  <c r="AS36" i="27"/>
  <c r="AS37" i="27"/>
  <c r="AS40" i="27"/>
  <c r="AS41" i="27"/>
  <c r="AS42" i="27"/>
  <c r="AS38" i="27"/>
  <c r="AS37" i="40"/>
  <c r="AS36" i="40"/>
  <c r="AS41" i="40"/>
  <c r="AS39" i="40"/>
  <c r="AS34" i="40"/>
  <c r="AS33" i="40"/>
  <c r="AS40" i="40"/>
  <c r="AS44" i="40"/>
  <c r="AS38" i="40"/>
  <c r="AS45" i="40"/>
  <c r="AS43" i="40"/>
  <c r="AS35" i="40"/>
  <c r="AS42" i="40"/>
  <c r="AS41" i="24"/>
  <c r="AS43" i="24"/>
  <c r="AS45" i="24"/>
  <c r="AS37" i="24"/>
  <c r="AS35" i="24"/>
  <c r="AS39" i="24"/>
  <c r="AS36" i="24"/>
  <c r="AS33" i="24"/>
  <c r="AS40" i="24"/>
  <c r="AS44" i="24"/>
  <c r="AS38" i="24"/>
  <c r="AS42" i="24"/>
  <c r="AS34" i="24"/>
  <c r="AS42" i="50"/>
  <c r="AS40" i="50"/>
  <c r="AS36" i="50"/>
  <c r="AS33" i="50"/>
  <c r="AS34" i="50"/>
  <c r="AS43" i="50"/>
  <c r="AS41" i="50"/>
  <c r="AS44" i="50"/>
  <c r="AS38" i="50"/>
  <c r="AS45" i="50"/>
  <c r="AS35" i="50"/>
  <c r="AS37" i="50"/>
  <c r="AS39" i="50"/>
  <c r="AS50" i="29"/>
  <c r="AS51" i="29"/>
  <c r="AS52" i="29"/>
  <c r="AS46" i="29"/>
  <c r="AS48" i="29"/>
  <c r="AS47" i="29"/>
  <c r="AS49" i="29"/>
  <c r="AR44" i="30"/>
  <c r="AR40" i="30"/>
  <c r="AR36" i="30"/>
  <c r="AR38" i="30"/>
  <c r="AR43" i="30"/>
  <c r="AR34" i="30"/>
  <c r="AR39" i="30"/>
  <c r="AR45" i="30"/>
  <c r="AR33" i="30"/>
  <c r="AR42" i="30"/>
  <c r="AR41" i="30"/>
  <c r="AR37" i="30"/>
  <c r="AR35" i="30"/>
  <c r="AR40" i="32"/>
  <c r="AR44" i="32"/>
  <c r="AR35" i="32"/>
  <c r="AR39" i="32"/>
  <c r="AR34" i="32"/>
  <c r="AR37" i="32"/>
  <c r="AR42" i="32"/>
  <c r="AR45" i="32"/>
  <c r="AR41" i="32"/>
  <c r="AR38" i="32"/>
  <c r="AR33" i="32"/>
  <c r="AR36" i="32"/>
  <c r="AR43" i="32"/>
  <c r="AS43" i="22"/>
  <c r="AS37" i="22"/>
  <c r="AS35" i="22"/>
  <c r="AS41" i="22"/>
  <c r="AS33" i="22"/>
  <c r="AS40" i="22"/>
  <c r="AS39" i="22"/>
  <c r="AS38" i="22"/>
  <c r="AS42" i="22"/>
  <c r="AS45" i="22"/>
  <c r="AS44" i="22"/>
  <c r="AS34" i="22"/>
  <c r="AS36" i="22"/>
  <c r="AS45" i="29"/>
  <c r="AS42" i="29"/>
  <c r="AS43" i="29"/>
  <c r="AS39" i="29"/>
  <c r="AS35" i="29"/>
  <c r="AS34" i="29"/>
  <c r="AS36" i="29"/>
  <c r="AS38" i="29"/>
  <c r="AS40" i="29"/>
  <c r="AS33" i="29"/>
  <c r="AS37" i="29"/>
  <c r="AS44" i="29"/>
  <c r="AS41" i="29"/>
  <c r="AS8" i="27"/>
  <c r="AS8" i="22"/>
  <c r="AS8" i="44"/>
  <c r="AT3" i="22"/>
  <c r="AT53" i="22" s="1"/>
  <c r="AT3" i="28"/>
  <c r="AT48" i="28" s="1"/>
  <c r="AT3" i="24"/>
  <c r="AT53" i="24" s="1"/>
  <c r="AS30" i="50"/>
  <c r="AT3" i="40"/>
  <c r="AT53" i="40" s="1"/>
  <c r="AT3" i="26"/>
  <c r="AT53" i="26" s="1"/>
  <c r="AS3" i="32"/>
  <c r="AS53" i="32" s="1"/>
  <c r="AT3" i="25"/>
  <c r="AT53" i="25" s="1"/>
  <c r="AS3" i="31"/>
  <c r="AS53" i="31" s="1"/>
  <c r="AR16" i="32"/>
  <c r="AS3" i="30"/>
  <c r="AS53" i="30" s="1"/>
  <c r="AR25" i="32"/>
  <c r="AT3" i="27"/>
  <c r="AT53" i="27" s="1"/>
  <c r="AT3" i="29"/>
  <c r="AT53" i="29" s="1"/>
  <c r="AS3" i="37"/>
  <c r="AS53" i="37" s="1"/>
  <c r="AT3" i="44"/>
  <c r="AT53" i="44" s="1"/>
  <c r="AT3" i="50"/>
  <c r="AT53" i="50" s="1"/>
  <c r="AS11" i="50"/>
  <c r="AS8" i="40"/>
  <c r="AS10" i="50"/>
  <c r="AS19" i="50"/>
  <c r="AS32" i="50"/>
  <c r="AS26" i="50"/>
  <c r="AR10" i="32"/>
  <c r="AS47" i="28"/>
  <c r="AR22" i="32"/>
  <c r="AS48" i="28"/>
  <c r="AR24" i="32"/>
  <c r="AR21" i="32"/>
  <c r="AR19" i="32"/>
  <c r="AR32" i="32"/>
  <c r="AS8" i="25"/>
  <c r="AR17" i="32"/>
  <c r="AR13" i="32"/>
  <c r="AR30" i="32"/>
  <c r="AR15" i="32"/>
  <c r="AR9" i="32"/>
  <c r="AR26" i="32"/>
  <c r="AR14" i="32"/>
  <c r="AR31" i="32"/>
  <c r="AR11" i="32"/>
  <c r="AR20" i="32"/>
  <c r="AR28" i="32"/>
  <c r="AR23" i="32"/>
  <c r="AR18" i="32"/>
  <c r="AR27" i="32"/>
  <c r="AR8" i="32"/>
  <c r="AR12" i="32"/>
  <c r="AR29" i="32"/>
  <c r="AS8" i="50"/>
  <c r="AS18" i="50"/>
  <c r="AS15" i="50"/>
  <c r="AS31" i="50"/>
  <c r="AS20" i="50"/>
  <c r="AS23" i="50"/>
  <c r="AS17" i="50"/>
  <c r="AS16" i="50"/>
  <c r="AS13" i="50"/>
  <c r="AS22" i="50"/>
  <c r="AS29" i="50"/>
  <c r="AS27" i="50"/>
  <c r="AS12" i="50"/>
  <c r="AS14" i="50"/>
  <c r="AS25" i="50"/>
  <c r="AS28" i="50"/>
  <c r="AS21" i="50"/>
  <c r="AS24" i="50"/>
  <c r="AS9" i="50"/>
  <c r="AR8" i="37"/>
  <c r="AU4" i="29"/>
  <c r="AU4" i="50"/>
  <c r="AU4" i="27"/>
  <c r="AU4" i="40"/>
  <c r="AU4" i="44"/>
  <c r="AT4" i="37"/>
  <c r="AU4" i="26"/>
  <c r="AU4" i="28"/>
  <c r="AU4" i="22"/>
  <c r="AT4" i="32"/>
  <c r="AT4" i="31"/>
  <c r="AU4" i="25"/>
  <c r="AU4" i="24"/>
  <c r="AT4" i="30"/>
  <c r="H4" i="37"/>
  <c r="V5" i="37" a="1"/>
  <c r="BF5" i="37" a="1"/>
  <c r="BT5" i="37" a="1"/>
  <c r="Y5" i="37" a="1"/>
  <c r="AZ5" i="37" a="1"/>
  <c r="BW5" i="37" a="1"/>
  <c r="AO5" i="37" a="1"/>
  <c r="AS5" i="37" a="1"/>
  <c r="CB5" i="37" a="1"/>
  <c r="BK5" i="37" a="1"/>
  <c r="AL5" i="37" a="1"/>
  <c r="AW5" i="37" a="1"/>
  <c r="AV5" i="37" a="1"/>
  <c r="AM5" i="37" a="1"/>
  <c r="AU5" i="37" a="1"/>
  <c r="BY5" i="37" a="1"/>
  <c r="CD5" i="37" a="1"/>
  <c r="BP5" i="37" a="1"/>
  <c r="AF5" i="37" a="1"/>
  <c r="Z5" i="37" a="1"/>
  <c r="AG5" i="37" a="1"/>
  <c r="BX5" i="37" a="1"/>
  <c r="AI5" i="37" a="1"/>
  <c r="BM5" i="37" a="1"/>
  <c r="BD5" i="37" a="1"/>
  <c r="AA5" i="37" a="1"/>
  <c r="AX5" i="37" a="1"/>
  <c r="Q5" i="37" a="1"/>
  <c r="BZ5" i="37" a="1"/>
  <c r="AT5" i="37" a="1"/>
  <c r="CA5" i="37" a="1"/>
  <c r="T5" i="37" a="1"/>
  <c r="BJ5" i="37" a="1"/>
  <c r="AK5" i="37" a="1"/>
  <c r="AB5" i="37" a="1"/>
  <c r="BV5" i="37" a="1"/>
  <c r="BH5" i="37" a="1"/>
  <c r="BL5" i="37" a="1"/>
  <c r="AP5" i="37" a="1"/>
  <c r="AQ5" i="37" a="1"/>
  <c r="BI5" i="37" a="1"/>
  <c r="W5" i="37" a="1"/>
  <c r="BN5" i="37" a="1"/>
  <c r="AN5" i="37" a="1"/>
  <c r="AH5" i="37" a="1"/>
  <c r="BS5" i="37" a="1"/>
  <c r="BU5" i="37" a="1"/>
  <c r="U5" i="37" a="1"/>
  <c r="BG5" i="37" a="1"/>
  <c r="AJ5" i="37" a="1"/>
  <c r="AC5" i="37" a="1"/>
  <c r="AR5" i="37" a="1"/>
  <c r="AD5" i="37" a="1"/>
  <c r="BC5" i="37" a="1"/>
  <c r="BB5" i="37" a="1"/>
  <c r="R5" i="37" a="1"/>
  <c r="CC5" i="37" a="1"/>
  <c r="S5" i="37" a="1"/>
  <c r="BE5" i="37" a="1"/>
  <c r="BA5" i="37" a="1"/>
  <c r="BQ5" i="37" a="1"/>
  <c r="BO5" i="37" a="1"/>
  <c r="AE5" i="37" a="1"/>
  <c r="X5" i="37" a="1"/>
  <c r="BR5" i="37" a="1"/>
  <c r="AY5" i="37" a="1"/>
  <c r="AT46" i="40" l="1"/>
  <c r="AT50" i="40"/>
  <c r="AT51" i="40"/>
  <c r="AT52" i="40"/>
  <c r="AT48" i="40"/>
  <c r="AT47" i="40"/>
  <c r="AT49" i="40"/>
  <c r="AS51" i="37"/>
  <c r="AS52" i="37"/>
  <c r="AS49" i="37"/>
  <c r="AS50" i="37"/>
  <c r="AS47" i="37"/>
  <c r="AS46" i="37"/>
  <c r="AS48" i="37"/>
  <c r="H51" i="37"/>
  <c r="I51" i="37" s="1"/>
  <c r="H50" i="37"/>
  <c r="I50" i="37" s="1"/>
  <c r="H52" i="37"/>
  <c r="I52" i="37" s="1"/>
  <c r="H46" i="37"/>
  <c r="I46" i="37" s="1"/>
  <c r="H47" i="37"/>
  <c r="I47" i="37" s="1"/>
  <c r="H48" i="37"/>
  <c r="I48" i="37" s="1"/>
  <c r="H49" i="37"/>
  <c r="I49" i="37" s="1"/>
  <c r="H45" i="37"/>
  <c r="I45" i="37" s="1"/>
  <c r="H43" i="37"/>
  <c r="I43" i="37" s="1"/>
  <c r="H41" i="37"/>
  <c r="I41" i="37" s="1"/>
  <c r="H39" i="37"/>
  <c r="I39" i="37" s="1"/>
  <c r="H34" i="37"/>
  <c r="I34" i="37" s="1"/>
  <c r="H44" i="37"/>
  <c r="I44" i="37" s="1"/>
  <c r="H42" i="37"/>
  <c r="I42" i="37" s="1"/>
  <c r="H40" i="37"/>
  <c r="I40" i="37" s="1"/>
  <c r="H38" i="37"/>
  <c r="I38" i="37" s="1"/>
  <c r="H37" i="37"/>
  <c r="I37" i="37" s="1"/>
  <c r="H36" i="37"/>
  <c r="I36" i="37" s="1"/>
  <c r="H35" i="37"/>
  <c r="I35" i="37" s="1"/>
  <c r="H33" i="37"/>
  <c r="I33" i="37" s="1"/>
  <c r="AT48" i="50"/>
  <c r="AT50" i="50"/>
  <c r="AT52" i="50"/>
  <c r="AT46" i="50"/>
  <c r="AT47" i="50"/>
  <c r="AT49" i="50"/>
  <c r="AT51" i="50"/>
  <c r="AT48" i="27"/>
  <c r="AT46" i="27"/>
  <c r="AT51" i="27"/>
  <c r="AT49" i="27"/>
  <c r="AT47" i="27"/>
  <c r="AT52" i="27"/>
  <c r="AT50" i="27"/>
  <c r="AS46" i="31"/>
  <c r="AS49" i="31"/>
  <c r="AS52" i="31"/>
  <c r="AS50" i="31"/>
  <c r="AS48" i="31"/>
  <c r="AS47" i="31"/>
  <c r="AS51" i="31"/>
  <c r="AT47" i="22"/>
  <c r="AT46" i="22"/>
  <c r="AT48" i="22"/>
  <c r="AT51" i="22"/>
  <c r="AT50" i="22"/>
  <c r="AT49" i="22"/>
  <c r="AT52" i="22"/>
  <c r="AT46" i="44"/>
  <c r="AT48" i="44"/>
  <c r="AT47" i="44"/>
  <c r="AT49" i="44"/>
  <c r="AT50" i="44"/>
  <c r="AT51" i="44"/>
  <c r="AT52" i="44"/>
  <c r="AT49" i="25"/>
  <c r="AT52" i="25"/>
  <c r="AT46" i="25"/>
  <c r="AT51" i="25"/>
  <c r="AT47" i="25"/>
  <c r="AT48" i="25"/>
  <c r="AT50" i="25"/>
  <c r="AS52" i="30"/>
  <c r="AS48" i="30"/>
  <c r="AS50" i="30"/>
  <c r="AS49" i="30"/>
  <c r="AS47" i="30"/>
  <c r="AS46" i="30"/>
  <c r="AS51" i="30"/>
  <c r="AS48" i="32"/>
  <c r="AS52" i="32"/>
  <c r="AS47" i="32"/>
  <c r="AS51" i="32"/>
  <c r="AS50" i="32"/>
  <c r="AS49" i="32"/>
  <c r="AS46" i="32"/>
  <c r="AT50" i="26"/>
  <c r="AT47" i="26"/>
  <c r="AT46" i="26"/>
  <c r="AT48" i="26"/>
  <c r="AT49" i="26"/>
  <c r="AT52" i="26"/>
  <c r="AT51" i="26"/>
  <c r="AT46" i="24"/>
  <c r="AT49" i="24"/>
  <c r="AT50" i="24"/>
  <c r="AT51" i="24"/>
  <c r="AT48" i="24"/>
  <c r="AT52" i="24"/>
  <c r="AT47" i="24"/>
  <c r="AS33" i="37"/>
  <c r="AS44" i="37"/>
  <c r="AS35" i="37"/>
  <c r="AS41" i="37"/>
  <c r="AS36" i="37"/>
  <c r="AS38" i="37"/>
  <c r="AS42" i="37"/>
  <c r="AS37" i="37"/>
  <c r="AS43" i="37"/>
  <c r="AS40" i="37"/>
  <c r="AS39" i="37"/>
  <c r="AS34" i="37"/>
  <c r="AS45" i="37"/>
  <c r="AS40" i="30"/>
  <c r="AS43" i="30"/>
  <c r="AS39" i="30"/>
  <c r="AS35" i="30"/>
  <c r="AS45" i="30"/>
  <c r="AS33" i="30"/>
  <c r="AS38" i="30"/>
  <c r="AS41" i="30"/>
  <c r="AS44" i="30"/>
  <c r="AS42" i="30"/>
  <c r="AS34" i="30"/>
  <c r="AS36" i="30"/>
  <c r="AS37" i="30"/>
  <c r="AS39" i="32"/>
  <c r="AS38" i="32"/>
  <c r="AS42" i="32"/>
  <c r="AS33" i="32"/>
  <c r="AS43" i="32"/>
  <c r="AS35" i="32"/>
  <c r="AS36" i="32"/>
  <c r="AS44" i="32"/>
  <c r="AS45" i="32"/>
  <c r="AS34" i="32"/>
  <c r="AS40" i="32"/>
  <c r="AS41" i="32"/>
  <c r="AS37" i="32"/>
  <c r="AT38" i="24"/>
  <c r="AT34" i="24"/>
  <c r="AT44" i="24"/>
  <c r="AT42" i="24"/>
  <c r="AT36" i="24"/>
  <c r="AT41" i="24"/>
  <c r="AT45" i="24"/>
  <c r="AT35" i="24"/>
  <c r="AT37" i="24"/>
  <c r="AT39" i="24"/>
  <c r="AT43" i="24"/>
  <c r="AT33" i="24"/>
  <c r="AT40" i="24"/>
  <c r="AT51" i="29"/>
  <c r="AT52" i="29"/>
  <c r="AT47" i="29"/>
  <c r="AT50" i="29"/>
  <c r="AT48" i="29"/>
  <c r="AT46" i="29"/>
  <c r="AT49" i="29"/>
  <c r="AT44" i="26"/>
  <c r="AT42" i="26"/>
  <c r="AT41" i="26"/>
  <c r="AT39" i="26"/>
  <c r="AT37" i="26"/>
  <c r="AT35" i="26"/>
  <c r="AT38" i="26"/>
  <c r="AT36" i="26"/>
  <c r="AT43" i="26"/>
  <c r="AT33" i="26"/>
  <c r="AT45" i="26"/>
  <c r="AT34" i="26"/>
  <c r="AT40" i="26"/>
  <c r="AT34" i="50"/>
  <c r="AT43" i="50"/>
  <c r="AT41" i="50"/>
  <c r="AT45" i="50"/>
  <c r="AT33" i="50"/>
  <c r="AT36" i="50"/>
  <c r="AT38" i="50"/>
  <c r="AT37" i="50"/>
  <c r="AT39" i="50"/>
  <c r="AT35" i="50"/>
  <c r="AT40" i="50"/>
  <c r="AT42" i="50"/>
  <c r="AT44" i="50"/>
  <c r="AT42" i="27"/>
  <c r="AT41" i="27"/>
  <c r="AT39" i="27"/>
  <c r="AT36" i="27"/>
  <c r="AT44" i="27"/>
  <c r="AT33" i="27"/>
  <c r="AT38" i="27"/>
  <c r="AT34" i="27"/>
  <c r="AT37" i="27"/>
  <c r="AT40" i="27"/>
  <c r="AT43" i="27"/>
  <c r="AT45" i="27"/>
  <c r="AT35" i="27"/>
  <c r="AS39" i="31"/>
  <c r="AS36" i="31"/>
  <c r="AS41" i="31"/>
  <c r="AS44" i="31"/>
  <c r="AS37" i="31"/>
  <c r="AS38" i="31"/>
  <c r="AS40" i="31"/>
  <c r="AS42" i="31"/>
  <c r="AS33" i="31"/>
  <c r="AS35" i="31"/>
  <c r="AS43" i="31"/>
  <c r="AS45" i="31"/>
  <c r="AS34" i="31"/>
  <c r="AT40" i="40"/>
  <c r="AT33" i="40"/>
  <c r="AT36" i="40"/>
  <c r="AT44" i="40"/>
  <c r="AT43" i="40"/>
  <c r="AT37" i="40"/>
  <c r="AT39" i="40"/>
  <c r="AT42" i="40"/>
  <c r="AT41" i="40"/>
  <c r="AT35" i="40"/>
  <c r="AT38" i="40"/>
  <c r="AT45" i="40"/>
  <c r="AT34" i="40"/>
  <c r="AT35" i="22"/>
  <c r="AT34" i="22"/>
  <c r="AT39" i="22"/>
  <c r="AT42" i="22"/>
  <c r="AT44" i="22"/>
  <c r="AT40" i="22"/>
  <c r="AT43" i="22"/>
  <c r="AT36" i="22"/>
  <c r="AT37" i="22"/>
  <c r="AT38" i="22"/>
  <c r="AT33" i="22"/>
  <c r="AT41" i="22"/>
  <c r="AT45" i="22"/>
  <c r="AT40" i="44"/>
  <c r="AT44" i="44"/>
  <c r="AT42" i="44"/>
  <c r="AT38" i="44"/>
  <c r="AT34" i="44"/>
  <c r="AT45" i="44"/>
  <c r="AT37" i="44"/>
  <c r="AT39" i="44"/>
  <c r="AT36" i="44"/>
  <c r="AT43" i="44"/>
  <c r="AT35" i="44"/>
  <c r="AT33" i="44"/>
  <c r="AT41" i="44"/>
  <c r="AT42" i="25"/>
  <c r="AT37" i="25"/>
  <c r="AT39" i="25"/>
  <c r="AT40" i="25"/>
  <c r="AT41" i="25"/>
  <c r="AT35" i="25"/>
  <c r="AT33" i="25"/>
  <c r="AT34" i="25"/>
  <c r="AT38" i="25"/>
  <c r="AT43" i="25"/>
  <c r="AT45" i="25"/>
  <c r="AT44" i="25"/>
  <c r="AT36" i="25"/>
  <c r="AT33" i="29"/>
  <c r="AT42" i="29"/>
  <c r="AT44" i="29"/>
  <c r="AT39" i="29"/>
  <c r="AT43" i="29"/>
  <c r="AT34" i="29"/>
  <c r="AT45" i="29"/>
  <c r="AT40" i="29"/>
  <c r="AT35" i="29"/>
  <c r="AT36" i="29"/>
  <c r="AT37" i="29"/>
  <c r="AT38" i="29"/>
  <c r="AT41" i="29"/>
  <c r="AU3" i="40"/>
  <c r="AU53" i="40" s="1"/>
  <c r="AT8" i="27"/>
  <c r="AU3" i="29"/>
  <c r="AU53" i="29" s="1"/>
  <c r="AU3" i="27"/>
  <c r="AU53" i="27" s="1"/>
  <c r="AU3" i="28"/>
  <c r="AU48" i="28" s="1"/>
  <c r="AU3" i="22"/>
  <c r="AU3" i="25"/>
  <c r="AU53" i="25" s="1"/>
  <c r="AT3" i="30"/>
  <c r="AT53" i="30" s="1"/>
  <c r="AT47" i="28"/>
  <c r="AT13" i="50"/>
  <c r="AT46" i="28"/>
  <c r="AT11" i="50"/>
  <c r="AT14" i="50"/>
  <c r="AS14" i="32"/>
  <c r="AS32" i="32"/>
  <c r="AS21" i="32"/>
  <c r="AS17" i="32"/>
  <c r="AS23" i="32"/>
  <c r="AS30" i="32"/>
  <c r="AS26" i="32"/>
  <c r="AT8" i="25"/>
  <c r="AT16" i="50"/>
  <c r="AT30" i="50"/>
  <c r="AT10" i="50"/>
  <c r="AT8" i="50"/>
  <c r="AT15" i="50"/>
  <c r="AT24" i="50"/>
  <c r="AT21" i="50"/>
  <c r="AT25" i="50"/>
  <c r="AT12" i="50"/>
  <c r="AT28" i="50"/>
  <c r="AS8" i="32"/>
  <c r="AS28" i="32"/>
  <c r="AS24" i="32"/>
  <c r="AS13" i="32"/>
  <c r="AS20" i="32"/>
  <c r="AS11" i="32"/>
  <c r="AS25" i="32"/>
  <c r="AS22" i="32"/>
  <c r="AS10" i="32"/>
  <c r="AS19" i="32"/>
  <c r="AS31" i="32"/>
  <c r="AS16" i="32"/>
  <c r="AS29" i="32"/>
  <c r="AS15" i="32"/>
  <c r="AS9" i="32"/>
  <c r="AS18" i="32"/>
  <c r="AS27" i="32"/>
  <c r="AS12" i="32"/>
  <c r="AT19" i="50"/>
  <c r="AT8" i="44"/>
  <c r="AT3" i="31"/>
  <c r="AT53" i="31" s="1"/>
  <c r="AU3" i="24"/>
  <c r="AU53" i="24" s="1"/>
  <c r="AU3" i="44"/>
  <c r="AU53" i="44" s="1"/>
  <c r="AU3" i="50"/>
  <c r="AU53" i="50" s="1"/>
  <c r="AT3" i="37"/>
  <c r="AT53" i="37" s="1"/>
  <c r="AT3" i="32"/>
  <c r="AT53" i="32" s="1"/>
  <c r="AU3" i="26"/>
  <c r="AU53" i="26" s="1"/>
  <c r="AT27" i="50"/>
  <c r="AT17" i="50"/>
  <c r="AT26" i="50"/>
  <c r="AT32" i="50"/>
  <c r="AT23" i="50"/>
  <c r="AT20" i="50"/>
  <c r="AT31" i="50"/>
  <c r="AT18" i="50"/>
  <c r="AT9" i="50"/>
  <c r="AT29" i="50"/>
  <c r="AT22" i="50"/>
  <c r="AS8" i="37"/>
  <c r="AT8" i="22"/>
  <c r="AT8" i="40"/>
  <c r="AU8" i="40"/>
  <c r="H8" i="37"/>
  <c r="I8" i="37" s="1"/>
  <c r="AV4" i="29"/>
  <c r="AV4" i="50"/>
  <c r="AV4" i="40"/>
  <c r="AV4" i="44"/>
  <c r="AU4" i="37"/>
  <c r="AV4" i="28"/>
  <c r="AV4" i="27"/>
  <c r="AU4" i="31"/>
  <c r="AV4" i="25"/>
  <c r="AV4" i="26"/>
  <c r="AV4" i="24"/>
  <c r="AV4" i="22"/>
  <c r="AU4" i="32"/>
  <c r="AU4" i="30"/>
  <c r="H13" i="37"/>
  <c r="H10" i="37"/>
  <c r="H26" i="37"/>
  <c r="H11" i="37"/>
  <c r="H12" i="37"/>
  <c r="H21" i="37"/>
  <c r="H15" i="37"/>
  <c r="H23" i="37"/>
  <c r="H16" i="37"/>
  <c r="H20" i="37"/>
  <c r="H25" i="37"/>
  <c r="H28" i="37"/>
  <c r="H32" i="37"/>
  <c r="H9" i="37"/>
  <c r="H14" i="37"/>
  <c r="H17" i="37"/>
  <c r="H18" i="37"/>
  <c r="H19" i="37"/>
  <c r="H22" i="37"/>
  <c r="H27" i="37"/>
  <c r="H24" i="37"/>
  <c r="H29" i="37"/>
  <c r="H30" i="37"/>
  <c r="H31" i="37"/>
  <c r="K51" i="37" l="1"/>
  <c r="J51" i="37"/>
  <c r="L51" i="37" s="1"/>
  <c r="K50" i="37"/>
  <c r="J50" i="37"/>
  <c r="L50" i="37" s="1"/>
  <c r="K52" i="37"/>
  <c r="J52" i="37"/>
  <c r="L52" i="37" s="1"/>
  <c r="J46" i="37"/>
  <c r="L46" i="37" s="1"/>
  <c r="K46" i="37"/>
  <c r="J47" i="37"/>
  <c r="L47" i="37" s="1"/>
  <c r="K47" i="37"/>
  <c r="K48" i="37"/>
  <c r="J48" i="37"/>
  <c r="L48" i="37" s="1"/>
  <c r="K49" i="37"/>
  <c r="J49" i="37"/>
  <c r="L49" i="37" s="1"/>
  <c r="K45" i="37"/>
  <c r="J45" i="37"/>
  <c r="L45" i="37" s="1"/>
  <c r="J43" i="37"/>
  <c r="L43" i="37" s="1"/>
  <c r="K43" i="37"/>
  <c r="J41" i="37"/>
  <c r="L41" i="37" s="1"/>
  <c r="K41" i="37"/>
  <c r="J39" i="37"/>
  <c r="L39" i="37" s="1"/>
  <c r="K39" i="37"/>
  <c r="J34" i="37"/>
  <c r="L34" i="37" s="1"/>
  <c r="K34" i="37"/>
  <c r="K44" i="37"/>
  <c r="J44" i="37"/>
  <c r="L44" i="37" s="1"/>
  <c r="J42" i="37"/>
  <c r="L42" i="37" s="1"/>
  <c r="K42" i="37"/>
  <c r="J40" i="37"/>
  <c r="L40" i="37" s="1"/>
  <c r="K40" i="37"/>
  <c r="K38" i="37"/>
  <c r="J38" i="37"/>
  <c r="L38" i="37" s="1"/>
  <c r="K37" i="37"/>
  <c r="J37" i="37"/>
  <c r="L37" i="37" s="1"/>
  <c r="K36" i="37"/>
  <c r="J36" i="37"/>
  <c r="L36" i="37" s="1"/>
  <c r="K35" i="37"/>
  <c r="J35" i="37"/>
  <c r="L35" i="37" s="1"/>
  <c r="J33" i="37"/>
  <c r="L33" i="37" s="1"/>
  <c r="K33" i="37"/>
  <c r="AU52" i="40"/>
  <c r="AU48" i="40"/>
  <c r="AU51" i="40"/>
  <c r="AU49" i="40"/>
  <c r="AU47" i="40"/>
  <c r="AU46" i="40"/>
  <c r="AU50" i="40"/>
  <c r="AT46" i="37"/>
  <c r="AT52" i="37"/>
  <c r="AT47" i="37"/>
  <c r="AT50" i="37"/>
  <c r="AT49" i="37"/>
  <c r="AT48" i="37"/>
  <c r="AT51" i="37"/>
  <c r="AT50" i="31"/>
  <c r="AT49" i="31"/>
  <c r="AT47" i="31"/>
  <c r="AT48" i="31"/>
  <c r="AT46" i="31"/>
  <c r="AT52" i="31"/>
  <c r="AT51" i="31"/>
  <c r="AT50" i="30"/>
  <c r="AT48" i="30"/>
  <c r="AT46" i="30"/>
  <c r="AT49" i="30"/>
  <c r="AT51" i="30"/>
  <c r="AT47" i="30"/>
  <c r="AT52" i="30"/>
  <c r="AU48" i="27"/>
  <c r="AU46" i="27"/>
  <c r="AU51" i="27"/>
  <c r="AU49" i="27"/>
  <c r="AU52" i="27"/>
  <c r="AU50" i="27"/>
  <c r="AU47" i="27"/>
  <c r="AU51" i="25"/>
  <c r="AU49" i="25"/>
  <c r="AU47" i="25"/>
  <c r="AU50" i="25"/>
  <c r="AU48" i="25"/>
  <c r="AU46" i="25"/>
  <c r="AU52" i="25"/>
  <c r="AU48" i="26"/>
  <c r="AU51" i="26"/>
  <c r="AU49" i="26"/>
  <c r="AU46" i="26"/>
  <c r="AU47" i="26"/>
  <c r="AU52" i="26"/>
  <c r="AU50" i="26"/>
  <c r="AU47" i="44"/>
  <c r="AU49" i="44"/>
  <c r="AU52" i="44"/>
  <c r="AU46" i="44"/>
  <c r="AU50" i="44"/>
  <c r="AU51" i="44"/>
  <c r="AU48" i="44"/>
  <c r="AU51" i="50"/>
  <c r="AU48" i="50"/>
  <c r="AU46" i="50"/>
  <c r="AU52" i="50"/>
  <c r="AU50" i="50"/>
  <c r="AU49" i="50"/>
  <c r="AU47" i="50"/>
  <c r="AT50" i="32"/>
  <c r="AT48" i="32"/>
  <c r="AT47" i="32"/>
  <c r="AT52" i="32"/>
  <c r="AT49" i="32"/>
  <c r="AT46" i="32"/>
  <c r="AT51" i="32"/>
  <c r="AU47" i="24"/>
  <c r="AU48" i="24"/>
  <c r="AU51" i="24"/>
  <c r="AU46" i="24"/>
  <c r="AU50" i="24"/>
  <c r="AU49" i="24"/>
  <c r="AU52" i="24"/>
  <c r="AU40" i="44"/>
  <c r="AU38" i="44"/>
  <c r="AU45" i="44"/>
  <c r="AU33" i="44"/>
  <c r="AU37" i="44"/>
  <c r="AU39" i="44"/>
  <c r="AU44" i="44"/>
  <c r="AU36" i="44"/>
  <c r="AU34" i="44"/>
  <c r="AU35" i="44"/>
  <c r="AU43" i="44"/>
  <c r="AU41" i="44"/>
  <c r="AU42" i="44"/>
  <c r="AT42" i="32"/>
  <c r="AT38" i="32"/>
  <c r="AT33" i="32"/>
  <c r="AT34" i="32"/>
  <c r="AT36" i="32"/>
  <c r="AT37" i="32"/>
  <c r="AT35" i="32"/>
  <c r="AT39" i="32"/>
  <c r="AT40" i="32"/>
  <c r="AT45" i="32"/>
  <c r="AT41" i="32"/>
  <c r="AT43" i="32"/>
  <c r="AT44" i="32"/>
  <c r="AU41" i="24"/>
  <c r="AU37" i="24"/>
  <c r="AU39" i="24"/>
  <c r="AU35" i="24"/>
  <c r="AU38" i="24"/>
  <c r="AU44" i="24"/>
  <c r="AU36" i="24"/>
  <c r="AU33" i="24"/>
  <c r="AU43" i="24"/>
  <c r="AU45" i="24"/>
  <c r="AU34" i="24"/>
  <c r="AU40" i="24"/>
  <c r="AU42" i="24"/>
  <c r="AU41" i="40"/>
  <c r="AU36" i="40"/>
  <c r="AU34" i="40"/>
  <c r="AU39" i="40"/>
  <c r="AU33" i="40"/>
  <c r="AU37" i="40"/>
  <c r="AU40" i="40"/>
  <c r="AU38" i="40"/>
  <c r="AU45" i="40"/>
  <c r="AU35" i="40"/>
  <c r="AU44" i="40"/>
  <c r="AU43" i="40"/>
  <c r="AU42" i="40"/>
  <c r="AU42" i="26"/>
  <c r="AU40" i="26"/>
  <c r="AU38" i="26"/>
  <c r="AU44" i="26"/>
  <c r="AU33" i="26"/>
  <c r="AU35" i="26"/>
  <c r="AU36" i="26"/>
  <c r="AU37" i="26"/>
  <c r="AU34" i="26"/>
  <c r="AU39" i="26"/>
  <c r="AU41" i="26"/>
  <c r="AU43" i="26"/>
  <c r="AU45" i="26"/>
  <c r="AT33" i="37"/>
  <c r="AT34" i="37"/>
  <c r="AT35" i="37"/>
  <c r="AT36" i="37"/>
  <c r="AT37" i="37"/>
  <c r="AT42" i="37"/>
  <c r="AT43" i="37"/>
  <c r="AT38" i="37"/>
  <c r="AT40" i="37"/>
  <c r="AT39" i="37"/>
  <c r="AT45" i="37"/>
  <c r="AT44" i="37"/>
  <c r="AT41" i="37"/>
  <c r="AT42" i="30"/>
  <c r="AT34" i="30"/>
  <c r="AT43" i="30"/>
  <c r="AT33" i="30"/>
  <c r="AT36" i="30"/>
  <c r="AT37" i="30"/>
  <c r="AT38" i="30"/>
  <c r="AT40" i="30"/>
  <c r="AT39" i="30"/>
  <c r="AT41" i="30"/>
  <c r="AT44" i="30"/>
  <c r="AT45" i="30"/>
  <c r="AT35" i="30"/>
  <c r="AT34" i="31"/>
  <c r="AT35" i="31"/>
  <c r="AT33" i="31"/>
  <c r="AT40" i="31"/>
  <c r="AT42" i="31"/>
  <c r="AT43" i="31"/>
  <c r="AT44" i="31"/>
  <c r="AT36" i="31"/>
  <c r="AT37" i="31"/>
  <c r="AT41" i="31"/>
  <c r="AT45" i="31"/>
  <c r="AT38" i="31"/>
  <c r="AT39" i="31"/>
  <c r="AU38" i="27"/>
  <c r="AU37" i="27"/>
  <c r="AU36" i="27"/>
  <c r="AU43" i="27"/>
  <c r="AU41" i="27"/>
  <c r="AU33" i="27"/>
  <c r="AU39" i="27"/>
  <c r="AU34" i="27"/>
  <c r="AU45" i="27"/>
  <c r="AU35" i="27"/>
  <c r="AU42" i="27"/>
  <c r="AU40" i="27"/>
  <c r="AU44" i="27"/>
  <c r="AU37" i="50"/>
  <c r="AU45" i="50"/>
  <c r="AU41" i="50"/>
  <c r="AU39" i="50"/>
  <c r="AU36" i="50"/>
  <c r="AU35" i="50"/>
  <c r="AU33" i="50"/>
  <c r="AU34" i="50"/>
  <c r="AU42" i="50"/>
  <c r="AU44" i="50"/>
  <c r="AU43" i="50"/>
  <c r="AU38" i="50"/>
  <c r="AU40" i="50"/>
  <c r="AU45" i="25"/>
  <c r="AU43" i="25"/>
  <c r="AU41" i="25"/>
  <c r="AU44" i="25"/>
  <c r="AU35" i="25"/>
  <c r="AU33" i="25"/>
  <c r="AU38" i="25"/>
  <c r="AU39" i="25"/>
  <c r="AU40" i="25"/>
  <c r="AU42" i="25"/>
  <c r="AU37" i="25"/>
  <c r="AU34" i="25"/>
  <c r="AU36" i="25"/>
  <c r="AU52" i="29"/>
  <c r="AU49" i="29"/>
  <c r="AU47" i="29"/>
  <c r="AU50" i="29"/>
  <c r="AU51" i="29"/>
  <c r="AU48" i="29"/>
  <c r="AU46" i="29"/>
  <c r="AU39" i="29"/>
  <c r="AU38" i="29"/>
  <c r="AU37" i="29"/>
  <c r="AU41" i="29"/>
  <c r="AU45" i="29"/>
  <c r="AU34" i="29"/>
  <c r="AU44" i="29"/>
  <c r="AU42" i="29"/>
  <c r="AU43" i="29"/>
  <c r="AU33" i="29"/>
  <c r="AU36" i="29"/>
  <c r="AU40" i="29"/>
  <c r="AU35" i="29"/>
  <c r="AV3" i="40"/>
  <c r="AV53" i="40" s="1"/>
  <c r="AU3" i="32"/>
  <c r="AU53" i="32" s="1"/>
  <c r="AV3" i="29"/>
  <c r="AV53" i="29" s="1"/>
  <c r="AU47" i="28"/>
  <c r="AV3" i="25"/>
  <c r="AV53" i="25" s="1"/>
  <c r="AU3" i="31"/>
  <c r="AU53" i="31" s="1"/>
  <c r="AV3" i="27"/>
  <c r="AV53" i="27" s="1"/>
  <c r="AV3" i="50"/>
  <c r="AV53" i="50" s="1"/>
  <c r="AU46" i="28"/>
  <c r="AU3" i="30"/>
  <c r="AU53" i="30" s="1"/>
  <c r="AV3" i="24"/>
  <c r="AV53" i="24" s="1"/>
  <c r="AV3" i="44"/>
  <c r="AV53" i="44" s="1"/>
  <c r="AU3" i="37"/>
  <c r="AU53" i="37" s="1"/>
  <c r="AV3" i="22"/>
  <c r="AV53" i="22" s="1"/>
  <c r="AV3" i="26"/>
  <c r="AV53" i="26" s="1"/>
  <c r="AV3" i="28"/>
  <c r="AV47" i="28" s="1"/>
  <c r="AU8" i="25"/>
  <c r="AU8" i="27"/>
  <c r="AU8" i="22"/>
  <c r="AU22" i="50"/>
  <c r="AU23" i="50"/>
  <c r="AU24" i="50"/>
  <c r="AU29" i="50"/>
  <c r="AU15" i="50"/>
  <c r="AT23" i="32"/>
  <c r="AU19" i="50"/>
  <c r="AT10" i="32"/>
  <c r="AT28" i="32"/>
  <c r="AT21" i="32"/>
  <c r="AT27" i="32"/>
  <c r="AT18" i="32"/>
  <c r="AT19" i="32"/>
  <c r="AT22" i="32"/>
  <c r="AT32" i="32"/>
  <c r="AT8" i="32"/>
  <c r="AT24" i="32"/>
  <c r="AT15" i="32"/>
  <c r="AT9" i="32"/>
  <c r="AU27" i="50"/>
  <c r="AU8" i="50"/>
  <c r="AU12" i="50"/>
  <c r="AU25" i="50"/>
  <c r="AT11" i="32"/>
  <c r="AT13" i="32"/>
  <c r="AT31" i="32"/>
  <c r="AT29" i="32"/>
  <c r="AT12" i="32"/>
  <c r="AT25" i="32"/>
  <c r="AT30" i="32"/>
  <c r="AT26" i="32"/>
  <c r="AT16" i="32"/>
  <c r="AT14" i="32"/>
  <c r="AT20" i="32"/>
  <c r="AT17" i="32"/>
  <c r="AT8" i="37"/>
  <c r="AU21" i="50"/>
  <c r="AU28" i="50"/>
  <c r="AU20" i="50"/>
  <c r="AU30" i="50"/>
  <c r="AU31" i="50"/>
  <c r="AU11" i="50"/>
  <c r="AU10" i="50"/>
  <c r="AU26" i="50"/>
  <c r="AU17" i="50"/>
  <c r="AU16" i="50"/>
  <c r="AU32" i="50"/>
  <c r="AU13" i="50"/>
  <c r="AU14" i="50"/>
  <c r="AU18" i="50"/>
  <c r="AU9" i="50"/>
  <c r="AU8" i="44"/>
  <c r="J8" i="37"/>
  <c r="L8" i="37" s="1"/>
  <c r="K8" i="37"/>
  <c r="N8" i="37" s="1"/>
  <c r="AW4" i="29"/>
  <c r="AW4" i="50"/>
  <c r="AV4" i="37"/>
  <c r="AW4" i="28"/>
  <c r="AW4" i="27"/>
  <c r="AW4" i="40"/>
  <c r="AW4" i="44"/>
  <c r="AW4" i="25"/>
  <c r="AW4" i="26"/>
  <c r="AW4" i="24"/>
  <c r="AW4" i="22"/>
  <c r="AV4" i="32"/>
  <c r="AV4" i="30"/>
  <c r="AV4" i="31"/>
  <c r="AW3" i="29"/>
  <c r="AW53" i="29" s="1"/>
  <c r="AW3" i="22"/>
  <c r="AW53" i="22" s="1"/>
  <c r="AW3" i="40"/>
  <c r="AW53" i="40" s="1"/>
  <c r="AV3" i="32"/>
  <c r="AV53" i="32" s="1"/>
  <c r="AU19" i="32" l="1"/>
  <c r="AU21" i="32"/>
  <c r="AW3" i="27"/>
  <c r="AW3" i="25"/>
  <c r="AV48" i="28"/>
  <c r="AU25" i="32"/>
  <c r="AU11" i="32"/>
  <c r="AU13" i="32"/>
  <c r="AU18" i="32"/>
  <c r="AV3" i="37"/>
  <c r="AV53" i="37" s="1"/>
  <c r="AW3" i="44"/>
  <c r="AV3" i="31"/>
  <c r="AW3" i="24"/>
  <c r="AW53" i="24" s="1"/>
  <c r="AW3" i="26"/>
  <c r="AW3" i="28"/>
  <c r="AW46" i="28" s="1"/>
  <c r="AV46" i="40"/>
  <c r="AV48" i="40"/>
  <c r="AV50" i="40"/>
  <c r="AV51" i="40"/>
  <c r="AV49" i="40"/>
  <c r="AV47" i="40"/>
  <c r="AV52" i="40"/>
  <c r="AU9" i="32"/>
  <c r="AU48" i="37"/>
  <c r="AU46" i="37"/>
  <c r="AU47" i="37"/>
  <c r="AU52" i="37"/>
  <c r="AU51" i="37"/>
  <c r="AU50" i="37"/>
  <c r="AU49" i="37"/>
  <c r="AV52" i="37"/>
  <c r="AV46" i="37"/>
  <c r="AV48" i="37"/>
  <c r="AV50" i="37"/>
  <c r="AV49" i="37"/>
  <c r="AV47" i="37"/>
  <c r="AV51" i="37"/>
  <c r="AW51" i="40"/>
  <c r="AW49" i="40"/>
  <c r="AW47" i="40"/>
  <c r="AW46" i="40"/>
  <c r="AW52" i="40"/>
  <c r="AW48" i="40"/>
  <c r="AW50" i="40"/>
  <c r="AW52" i="22"/>
  <c r="AW51" i="22"/>
  <c r="AW47" i="22"/>
  <c r="AW48" i="22"/>
  <c r="AW50" i="22"/>
  <c r="AW49" i="22"/>
  <c r="AW46" i="22"/>
  <c r="AU46" i="30"/>
  <c r="AU47" i="30"/>
  <c r="AU52" i="30"/>
  <c r="AU48" i="30"/>
  <c r="AU51" i="30"/>
  <c r="AU49" i="30"/>
  <c r="AU50" i="30"/>
  <c r="AV50" i="25"/>
  <c r="AV48" i="25"/>
  <c r="AV46" i="25"/>
  <c r="AV51" i="25"/>
  <c r="AV47" i="25"/>
  <c r="AV52" i="25"/>
  <c r="AV49" i="25"/>
  <c r="AV49" i="22"/>
  <c r="AV50" i="22"/>
  <c r="AV48" i="22"/>
  <c r="AV46" i="22"/>
  <c r="AV52" i="22"/>
  <c r="AV47" i="22"/>
  <c r="AV51" i="22"/>
  <c r="AU47" i="32"/>
  <c r="AU52" i="32"/>
  <c r="AU49" i="32"/>
  <c r="AU51" i="32"/>
  <c r="AU50" i="32"/>
  <c r="AU46" i="32"/>
  <c r="AU48" i="32"/>
  <c r="AW50" i="26"/>
  <c r="AW49" i="26"/>
  <c r="AW52" i="26"/>
  <c r="AW46" i="26"/>
  <c r="AW48" i="26"/>
  <c r="AW51" i="26"/>
  <c r="AU12" i="32"/>
  <c r="AU22" i="32"/>
  <c r="AU10" i="32"/>
  <c r="AU8" i="32"/>
  <c r="AU20" i="32"/>
  <c r="AV50" i="32"/>
  <c r="AV47" i="32"/>
  <c r="AV48" i="32"/>
  <c r="AV51" i="32"/>
  <c r="AV46" i="32"/>
  <c r="AV49" i="32"/>
  <c r="AV52" i="32"/>
  <c r="AU32" i="32"/>
  <c r="AU28" i="32"/>
  <c r="AU15" i="32"/>
  <c r="AU14" i="32"/>
  <c r="AU16" i="32"/>
  <c r="AU31" i="32"/>
  <c r="AU23" i="32"/>
  <c r="AV51" i="44"/>
  <c r="AV48" i="44"/>
  <c r="AV50" i="44"/>
  <c r="AV49" i="44"/>
  <c r="AV52" i="44"/>
  <c r="AV46" i="44"/>
  <c r="AV47" i="44"/>
  <c r="AV46" i="50"/>
  <c r="AV51" i="50"/>
  <c r="AV47" i="50"/>
  <c r="AV49" i="50"/>
  <c r="AV48" i="50"/>
  <c r="AV50" i="50"/>
  <c r="AV52" i="50"/>
  <c r="AW48" i="25"/>
  <c r="AW51" i="25"/>
  <c r="AU46" i="31"/>
  <c r="AU47" i="31"/>
  <c r="AU52" i="31"/>
  <c r="AU48" i="31"/>
  <c r="AU51" i="31"/>
  <c r="AU50" i="31"/>
  <c r="AU49" i="31"/>
  <c r="AV52" i="31"/>
  <c r="AU29" i="32"/>
  <c r="AU26" i="32"/>
  <c r="AU30" i="32"/>
  <c r="AU24" i="32"/>
  <c r="AU17" i="32"/>
  <c r="AU27" i="32"/>
  <c r="AV51" i="26"/>
  <c r="AV47" i="26"/>
  <c r="AV49" i="26"/>
  <c r="AV50" i="26"/>
  <c r="AV52" i="26"/>
  <c r="AV46" i="26"/>
  <c r="AV48" i="26"/>
  <c r="AV46" i="27"/>
  <c r="AV50" i="27"/>
  <c r="AV52" i="27"/>
  <c r="AV48" i="27"/>
  <c r="AV51" i="27"/>
  <c r="AV49" i="27"/>
  <c r="AV47" i="27"/>
  <c r="AV51" i="24"/>
  <c r="AV50" i="24"/>
  <c r="AV47" i="24"/>
  <c r="AV49" i="24"/>
  <c r="AV48" i="24"/>
  <c r="AV52" i="24"/>
  <c r="AV46" i="24"/>
  <c r="AW51" i="24"/>
  <c r="AW48" i="24"/>
  <c r="AW50" i="24"/>
  <c r="AW39" i="27"/>
  <c r="AW38" i="27"/>
  <c r="AW42" i="27"/>
  <c r="AV39" i="32"/>
  <c r="AV38" i="32"/>
  <c r="AV35" i="32"/>
  <c r="AV40" i="32"/>
  <c r="AV33" i="32"/>
  <c r="AV44" i="32"/>
  <c r="AV34" i="32"/>
  <c r="AV41" i="32"/>
  <c r="AV43" i="32"/>
  <c r="AV36" i="32"/>
  <c r="AV42" i="32"/>
  <c r="AV45" i="32"/>
  <c r="AV37" i="32"/>
  <c r="AW39" i="40"/>
  <c r="AW41" i="40"/>
  <c r="AW37" i="40"/>
  <c r="AW34" i="40"/>
  <c r="AW33" i="40"/>
  <c r="AW43" i="40"/>
  <c r="AW35" i="40"/>
  <c r="AW42" i="40"/>
  <c r="AW36" i="40"/>
  <c r="AW44" i="40"/>
  <c r="AW38" i="40"/>
  <c r="AW45" i="40"/>
  <c r="AW40" i="40"/>
  <c r="AV41" i="31"/>
  <c r="AV34" i="31"/>
  <c r="AV43" i="31"/>
  <c r="AW43" i="24"/>
  <c r="AW41" i="24"/>
  <c r="AW45" i="24"/>
  <c r="AW39" i="24"/>
  <c r="AW35" i="24"/>
  <c r="AW37" i="24"/>
  <c r="AW44" i="24"/>
  <c r="AW33" i="24"/>
  <c r="AW34" i="24"/>
  <c r="AW36" i="24"/>
  <c r="AW40" i="24"/>
  <c r="AW42" i="24"/>
  <c r="AW38" i="24"/>
  <c r="AV43" i="26"/>
  <c r="AV40" i="26"/>
  <c r="AV33" i="26"/>
  <c r="AV45" i="26"/>
  <c r="AV38" i="26"/>
  <c r="AV35" i="26"/>
  <c r="AV36" i="26"/>
  <c r="AV39" i="26"/>
  <c r="AV41" i="26"/>
  <c r="AV44" i="26"/>
  <c r="AV34" i="26"/>
  <c r="AV42" i="26"/>
  <c r="AV37" i="26"/>
  <c r="AV45" i="24"/>
  <c r="AV43" i="24"/>
  <c r="AV41" i="24"/>
  <c r="AV35" i="24"/>
  <c r="AV33" i="24"/>
  <c r="AV39" i="24"/>
  <c r="AV37" i="24"/>
  <c r="AV36" i="24"/>
  <c r="AV38" i="24"/>
  <c r="AV44" i="24"/>
  <c r="AV34" i="24"/>
  <c r="AV40" i="24"/>
  <c r="AV42" i="24"/>
  <c r="AV33" i="27"/>
  <c r="AV45" i="27"/>
  <c r="AV42" i="27"/>
  <c r="AV39" i="27"/>
  <c r="AV36" i="27"/>
  <c r="AV44" i="27"/>
  <c r="AV37" i="27"/>
  <c r="AV40" i="27"/>
  <c r="AV43" i="27"/>
  <c r="AV34" i="27"/>
  <c r="AV38" i="27"/>
  <c r="AV41" i="27"/>
  <c r="AV35" i="27"/>
  <c r="AV3" i="30"/>
  <c r="AV53" i="30" s="1"/>
  <c r="AV48" i="29"/>
  <c r="AV50" i="29"/>
  <c r="AV51" i="29"/>
  <c r="AV52" i="29"/>
  <c r="AV47" i="29"/>
  <c r="AV46" i="29"/>
  <c r="AV49" i="29"/>
  <c r="AW33" i="25"/>
  <c r="AW45" i="25"/>
  <c r="AW34" i="25"/>
  <c r="AV41" i="22"/>
  <c r="AV33" i="22"/>
  <c r="AV37" i="22"/>
  <c r="AV45" i="22"/>
  <c r="AV35" i="22"/>
  <c r="AV36" i="22"/>
  <c r="AV39" i="22"/>
  <c r="AV43" i="22"/>
  <c r="AV44" i="22"/>
  <c r="AV34" i="22"/>
  <c r="AV40" i="22"/>
  <c r="AV38" i="22"/>
  <c r="AV42" i="22"/>
  <c r="AU45" i="30"/>
  <c r="AU40" i="30"/>
  <c r="AU41" i="30"/>
  <c r="AU37" i="30"/>
  <c r="AU44" i="30"/>
  <c r="AU33" i="30"/>
  <c r="AU35" i="30"/>
  <c r="AU38" i="30"/>
  <c r="AU39" i="30"/>
  <c r="AU42" i="30"/>
  <c r="AU43" i="30"/>
  <c r="AU34" i="30"/>
  <c r="AU36" i="30"/>
  <c r="AU45" i="31"/>
  <c r="AU37" i="31"/>
  <c r="AU39" i="31"/>
  <c r="AU34" i="31"/>
  <c r="AU42" i="31"/>
  <c r="AU35" i="31"/>
  <c r="AU38" i="31"/>
  <c r="AU40" i="31"/>
  <c r="AU33" i="31"/>
  <c r="AU36" i="31"/>
  <c r="AU43" i="31"/>
  <c r="AU41" i="31"/>
  <c r="AU44" i="31"/>
  <c r="AU45" i="32"/>
  <c r="AU43" i="32"/>
  <c r="AU35" i="32"/>
  <c r="AU39" i="32"/>
  <c r="AU37" i="32"/>
  <c r="AU40" i="32"/>
  <c r="AU41" i="32"/>
  <c r="AU38" i="32"/>
  <c r="AU33" i="32"/>
  <c r="AU34" i="32"/>
  <c r="AU36" i="32"/>
  <c r="AU42" i="32"/>
  <c r="AU44" i="32"/>
  <c r="AW45" i="26"/>
  <c r="AW43" i="26"/>
  <c r="AW39" i="26"/>
  <c r="AW36" i="26"/>
  <c r="AW34" i="26"/>
  <c r="AW33" i="26"/>
  <c r="AW42" i="26"/>
  <c r="AW38" i="26"/>
  <c r="AW41" i="26"/>
  <c r="AW40" i="26"/>
  <c r="AW44" i="26"/>
  <c r="AW35" i="26"/>
  <c r="AW37" i="26"/>
  <c r="AV33" i="37"/>
  <c r="AV34" i="37"/>
  <c r="AV35" i="37"/>
  <c r="AV36" i="37"/>
  <c r="AV37" i="37"/>
  <c r="AV44" i="37"/>
  <c r="AV41" i="37"/>
  <c r="AV42" i="37"/>
  <c r="AV43" i="37"/>
  <c r="AV38" i="37"/>
  <c r="AV40" i="37"/>
  <c r="AV39" i="37"/>
  <c r="AV45" i="37"/>
  <c r="AU8" i="37"/>
  <c r="AU33" i="37"/>
  <c r="AU35" i="37"/>
  <c r="AU36" i="37"/>
  <c r="AU37" i="37"/>
  <c r="AU42" i="37"/>
  <c r="AU43" i="37"/>
  <c r="AU39" i="37"/>
  <c r="AU40" i="37"/>
  <c r="AU41" i="37"/>
  <c r="AU45" i="37"/>
  <c r="AU44" i="37"/>
  <c r="AU34" i="37"/>
  <c r="AU38" i="37"/>
  <c r="AV38" i="25"/>
  <c r="AV34" i="25"/>
  <c r="AV45" i="25"/>
  <c r="AV43" i="25"/>
  <c r="AV41" i="25"/>
  <c r="AV40" i="25"/>
  <c r="AV39" i="25"/>
  <c r="AV36" i="25"/>
  <c r="AV35" i="25"/>
  <c r="AV33" i="25"/>
  <c r="AV37" i="25"/>
  <c r="AV44" i="25"/>
  <c r="AV42" i="25"/>
  <c r="AV8" i="40"/>
  <c r="AV42" i="40"/>
  <c r="AV37" i="40"/>
  <c r="AV41" i="40"/>
  <c r="AV34" i="40"/>
  <c r="AV39" i="40"/>
  <c r="AV38" i="40"/>
  <c r="AV36" i="40"/>
  <c r="AV44" i="40"/>
  <c r="AV43" i="40"/>
  <c r="AV35" i="40"/>
  <c r="AV40" i="40"/>
  <c r="AV45" i="40"/>
  <c r="AV33" i="40"/>
  <c r="AW44" i="22"/>
  <c r="AW34" i="22"/>
  <c r="AW37" i="22"/>
  <c r="AW40" i="22"/>
  <c r="AW39" i="22"/>
  <c r="AW42" i="22"/>
  <c r="AW35" i="22"/>
  <c r="AW41" i="22"/>
  <c r="AW45" i="22"/>
  <c r="AW43" i="22"/>
  <c r="AW38" i="22"/>
  <c r="AW33" i="22"/>
  <c r="AW36" i="22"/>
  <c r="AW47" i="29"/>
  <c r="AW51" i="29"/>
  <c r="AW50" i="29"/>
  <c r="AW52" i="29"/>
  <c r="AW46" i="29"/>
  <c r="AW49" i="29"/>
  <c r="AW48" i="29"/>
  <c r="AV45" i="44"/>
  <c r="AV42" i="44"/>
  <c r="AV36" i="44"/>
  <c r="AV44" i="44"/>
  <c r="AV34" i="44"/>
  <c r="AV38" i="44"/>
  <c r="AV41" i="44"/>
  <c r="AV40" i="44"/>
  <c r="AV43" i="44"/>
  <c r="AV33" i="44"/>
  <c r="AV39" i="44"/>
  <c r="AV35" i="44"/>
  <c r="AV37" i="44"/>
  <c r="AV8" i="50"/>
  <c r="AV45" i="50"/>
  <c r="AV44" i="50"/>
  <c r="AV39" i="50"/>
  <c r="AV42" i="50"/>
  <c r="AV37" i="50"/>
  <c r="AV34" i="50"/>
  <c r="AV35" i="50"/>
  <c r="AV33" i="50"/>
  <c r="AV43" i="50"/>
  <c r="AV41" i="50"/>
  <c r="AV38" i="50"/>
  <c r="AV40" i="50"/>
  <c r="AV36" i="50"/>
  <c r="AW3" i="50"/>
  <c r="AV40" i="29"/>
  <c r="AV36" i="29"/>
  <c r="AV43" i="29"/>
  <c r="AV45" i="29"/>
  <c r="AV34" i="29"/>
  <c r="AV35" i="29"/>
  <c r="AV39" i="29"/>
  <c r="AV37" i="29"/>
  <c r="AV41" i="29"/>
  <c r="AV44" i="29"/>
  <c r="AV33" i="29"/>
  <c r="AV38" i="29"/>
  <c r="AV42" i="29"/>
  <c r="AW39" i="29"/>
  <c r="AW43" i="29"/>
  <c r="AW44" i="29"/>
  <c r="AW35" i="29"/>
  <c r="AW45" i="29"/>
  <c r="AW33" i="29"/>
  <c r="AW37" i="29"/>
  <c r="AW36" i="29"/>
  <c r="AW38" i="29"/>
  <c r="AW42" i="29"/>
  <c r="AW40" i="29"/>
  <c r="AW34" i="29"/>
  <c r="AW41" i="29"/>
  <c r="AV29" i="50"/>
  <c r="AV26" i="50"/>
  <c r="AV32" i="50"/>
  <c r="AV8" i="22"/>
  <c r="AV19" i="50"/>
  <c r="AV23" i="50"/>
  <c r="AV27" i="50"/>
  <c r="AV12" i="50"/>
  <c r="AV14" i="50"/>
  <c r="AV30" i="50"/>
  <c r="AV17" i="50"/>
  <c r="AV13" i="50"/>
  <c r="AV25" i="50"/>
  <c r="AV10" i="50"/>
  <c r="AV31" i="50"/>
  <c r="AV22" i="50"/>
  <c r="AV9" i="50"/>
  <c r="AV16" i="50"/>
  <c r="AV20" i="50"/>
  <c r="AV15" i="50"/>
  <c r="AV11" i="50"/>
  <c r="AV21" i="50"/>
  <c r="AV24" i="50"/>
  <c r="AV28" i="50"/>
  <c r="AV18" i="50"/>
  <c r="AV8" i="25"/>
  <c r="AV8" i="27"/>
  <c r="AV46" i="28"/>
  <c r="AV8" i="44"/>
  <c r="AW8" i="27"/>
  <c r="AW8" i="40"/>
  <c r="AV8" i="37"/>
  <c r="G15" i="40"/>
  <c r="AW14" i="50"/>
  <c r="G9" i="40"/>
  <c r="AX3" i="50"/>
  <c r="AX53" i="50" s="1"/>
  <c r="AX4" i="29"/>
  <c r="AX4" i="50"/>
  <c r="AX4" i="28"/>
  <c r="AX4" i="27"/>
  <c r="AX4" i="40"/>
  <c r="AX4" i="44"/>
  <c r="AW4" i="37"/>
  <c r="AX4" i="26"/>
  <c r="AX4" i="24"/>
  <c r="AX4" i="22"/>
  <c r="AW4" i="32"/>
  <c r="AW4" i="31"/>
  <c r="AX4" i="25"/>
  <c r="AW4" i="30"/>
  <c r="G23" i="40"/>
  <c r="G13" i="40"/>
  <c r="AV12" i="32"/>
  <c r="AV31" i="32"/>
  <c r="AV26" i="32"/>
  <c r="AV16" i="32"/>
  <c r="AV9" i="32"/>
  <c r="AV13" i="32"/>
  <c r="AV23" i="32"/>
  <c r="AV20" i="32"/>
  <c r="AV15" i="32"/>
  <c r="AV30" i="32"/>
  <c r="AV21" i="32"/>
  <c r="AV28" i="32"/>
  <c r="AV27" i="32"/>
  <c r="AV10" i="32"/>
  <c r="AV25" i="32"/>
  <c r="AV18" i="32"/>
  <c r="AV17" i="32"/>
  <c r="AV19" i="32"/>
  <c r="AV11" i="32"/>
  <c r="AV24" i="32"/>
  <c r="AV29" i="32"/>
  <c r="AV14" i="32"/>
  <c r="AV8" i="32"/>
  <c r="AV22" i="32"/>
  <c r="AV32" i="32"/>
  <c r="AW8" i="22"/>
  <c r="G21" i="40"/>
  <c r="G20" i="40"/>
  <c r="G30" i="40"/>
  <c r="G32" i="40"/>
  <c r="G19" i="40"/>
  <c r="G12" i="40"/>
  <c r="G24" i="40"/>
  <c r="G10" i="40"/>
  <c r="G11" i="40"/>
  <c r="G31" i="40"/>
  <c r="AW8" i="25"/>
  <c r="G16" i="40"/>
  <c r="G28" i="40"/>
  <c r="G22" i="40"/>
  <c r="G26" i="40"/>
  <c r="G25" i="40"/>
  <c r="G27" i="40"/>
  <c r="G29" i="40"/>
  <c r="G14" i="40"/>
  <c r="G17" i="40"/>
  <c r="G18" i="40"/>
  <c r="AW48" i="28"/>
  <c r="AX3" i="40"/>
  <c r="AX53" i="40" s="1"/>
  <c r="AX3" i="44"/>
  <c r="AX53" i="44" s="1"/>
  <c r="AW3" i="30"/>
  <c r="AW53" i="30" s="1"/>
  <c r="AX3" i="29"/>
  <c r="AX53" i="29" s="1"/>
  <c r="AX3" i="26"/>
  <c r="AX53" i="26" s="1"/>
  <c r="AX3" i="25"/>
  <c r="AX53" i="25" s="1"/>
  <c r="AX3" i="24"/>
  <c r="AX53" i="24" s="1"/>
  <c r="AW3" i="32"/>
  <c r="AW53" i="32" s="1"/>
  <c r="AW3" i="37"/>
  <c r="AW53" i="37" s="1"/>
  <c r="AX3" i="28"/>
  <c r="AX3" i="27"/>
  <c r="AX53" i="27" s="1"/>
  <c r="AX3" i="22"/>
  <c r="AX53" i="22" s="1"/>
  <c r="AW3" i="31"/>
  <c r="AW53" i="31" s="1"/>
  <c r="AW32" i="50" l="1"/>
  <c r="AW53" i="50"/>
  <c r="AV51" i="31"/>
  <c r="AV53" i="31"/>
  <c r="AW46" i="25"/>
  <c r="AW53" i="25"/>
  <c r="AW45" i="44"/>
  <c r="AW53" i="44"/>
  <c r="AW46" i="27"/>
  <c r="AW53" i="27"/>
  <c r="AW47" i="26"/>
  <c r="AW53" i="26"/>
  <c r="AW42" i="25"/>
  <c r="AW40" i="25"/>
  <c r="AW43" i="25"/>
  <c r="AW35" i="25"/>
  <c r="AW52" i="25"/>
  <c r="AW37" i="25"/>
  <c r="AW38" i="25"/>
  <c r="AW39" i="25"/>
  <c r="AW49" i="25"/>
  <c r="AW50" i="25"/>
  <c r="AW41" i="25"/>
  <c r="AW36" i="25"/>
  <c r="AW44" i="25"/>
  <c r="AW47" i="25"/>
  <c r="AW40" i="44"/>
  <c r="AW50" i="44"/>
  <c r="AW44" i="44"/>
  <c r="AV35" i="31"/>
  <c r="AV40" i="31"/>
  <c r="AV45" i="31"/>
  <c r="AV48" i="31"/>
  <c r="AV47" i="31"/>
  <c r="AV33" i="31"/>
  <c r="AV36" i="31"/>
  <c r="AV44" i="31"/>
  <c r="AV38" i="31"/>
  <c r="AV49" i="31"/>
  <c r="AV46" i="31"/>
  <c r="AV39" i="31"/>
  <c r="AV42" i="31"/>
  <c r="AV37" i="31"/>
  <c r="AV50" i="31"/>
  <c r="AW47" i="44"/>
  <c r="AW15" i="50"/>
  <c r="AW49" i="24"/>
  <c r="AW47" i="24"/>
  <c r="AW52" i="27"/>
  <c r="AW46" i="24"/>
  <c r="AW52" i="24"/>
  <c r="AW22" i="50"/>
  <c r="AW18" i="50"/>
  <c r="AW8" i="44"/>
  <c r="AW33" i="44"/>
  <c r="AW38" i="44"/>
  <c r="AW41" i="44"/>
  <c r="AW43" i="27"/>
  <c r="AW37" i="27"/>
  <c r="AW41" i="27"/>
  <c r="AW46" i="44"/>
  <c r="AW50" i="27"/>
  <c r="AW51" i="27"/>
  <c r="AW37" i="44"/>
  <c r="AW39" i="44"/>
  <c r="AW35" i="44"/>
  <c r="AW40" i="27"/>
  <c r="AW45" i="27"/>
  <c r="AW35" i="27"/>
  <c r="AW33" i="27"/>
  <c r="AW52" i="44"/>
  <c r="AW49" i="44"/>
  <c r="AW48" i="27"/>
  <c r="AW47" i="27"/>
  <c r="AW47" i="28"/>
  <c r="AW43" i="44"/>
  <c r="AW42" i="44"/>
  <c r="AW34" i="44"/>
  <c r="AW36" i="44"/>
  <c r="AW34" i="27"/>
  <c r="AW44" i="27"/>
  <c r="AW36" i="27"/>
  <c r="AW51" i="44"/>
  <c r="AW48" i="44"/>
  <c r="AW49" i="27"/>
  <c r="AW13" i="50"/>
  <c r="AW8" i="50"/>
  <c r="AW20" i="50"/>
  <c r="AW28" i="50"/>
  <c r="AW9" i="50"/>
  <c r="AW16" i="50"/>
  <c r="AW11" i="50"/>
  <c r="AW24" i="50"/>
  <c r="AW17" i="50"/>
  <c r="AW25" i="50"/>
  <c r="AW23" i="50"/>
  <c r="AW19" i="50"/>
  <c r="AW10" i="50"/>
  <c r="AW31" i="50"/>
  <c r="AW12" i="50"/>
  <c r="AW27" i="50"/>
  <c r="AW21" i="50"/>
  <c r="AW29" i="50"/>
  <c r="AW30" i="50"/>
  <c r="AW26" i="50"/>
  <c r="AX52" i="40"/>
  <c r="AX47" i="40"/>
  <c r="AX49" i="40"/>
  <c r="AX50" i="40"/>
  <c r="AX46" i="40"/>
  <c r="AX48" i="40"/>
  <c r="AX51" i="40"/>
  <c r="AW51" i="37"/>
  <c r="AW49" i="37"/>
  <c r="AW46" i="37"/>
  <c r="AW47" i="37"/>
  <c r="AW48" i="37"/>
  <c r="AW50" i="37"/>
  <c r="AW52" i="37"/>
  <c r="AX47" i="25"/>
  <c r="AX48" i="25"/>
  <c r="AX50" i="25"/>
  <c r="AX49" i="25"/>
  <c r="AX46" i="25"/>
  <c r="AX52" i="25"/>
  <c r="AX51" i="25"/>
  <c r="AX52" i="50"/>
  <c r="AX48" i="50"/>
  <c r="AX46" i="50"/>
  <c r="AX50" i="50"/>
  <c r="AX49" i="50"/>
  <c r="AX47" i="50"/>
  <c r="AX51" i="50"/>
  <c r="AX48" i="44"/>
  <c r="AX46" i="44"/>
  <c r="AX47" i="44"/>
  <c r="AX50" i="44"/>
  <c r="AX51" i="44"/>
  <c r="AX52" i="44"/>
  <c r="AX49" i="44"/>
  <c r="AW49" i="31"/>
  <c r="AW50" i="31"/>
  <c r="AW52" i="31"/>
  <c r="AW46" i="31"/>
  <c r="AW51" i="31"/>
  <c r="AW48" i="31"/>
  <c r="AW47" i="31"/>
  <c r="AX52" i="26"/>
  <c r="AX51" i="26"/>
  <c r="AX47" i="26"/>
  <c r="AX46" i="26"/>
  <c r="AX48" i="26"/>
  <c r="AX49" i="26"/>
  <c r="AX50" i="26"/>
  <c r="AW48" i="32"/>
  <c r="AW52" i="32"/>
  <c r="AW49" i="32"/>
  <c r="AW46" i="32"/>
  <c r="AW51" i="32"/>
  <c r="AW50" i="32"/>
  <c r="AW47" i="32"/>
  <c r="AV49" i="30"/>
  <c r="AV52" i="30"/>
  <c r="AV51" i="30"/>
  <c r="AV47" i="30"/>
  <c r="AV50" i="30"/>
  <c r="AV46" i="30"/>
  <c r="AV48" i="30"/>
  <c r="AX51" i="22"/>
  <c r="AX48" i="22"/>
  <c r="AX47" i="22"/>
  <c r="AX50" i="22"/>
  <c r="AX52" i="22"/>
  <c r="AX46" i="22"/>
  <c r="AX49" i="22"/>
  <c r="AX51" i="27"/>
  <c r="AX46" i="27"/>
  <c r="AX49" i="27"/>
  <c r="AX47" i="27"/>
  <c r="AX50" i="27"/>
  <c r="AX48" i="27"/>
  <c r="AX52" i="27"/>
  <c r="AW50" i="30"/>
  <c r="AW51" i="30"/>
  <c r="AW48" i="30"/>
  <c r="AW52" i="30"/>
  <c r="AW47" i="30"/>
  <c r="AW46" i="30"/>
  <c r="AW49" i="30"/>
  <c r="AW49" i="50"/>
  <c r="AW51" i="50"/>
  <c r="AW46" i="50"/>
  <c r="AW48" i="50"/>
  <c r="AW47" i="50"/>
  <c r="AW50" i="50"/>
  <c r="AW52" i="50"/>
  <c r="AX47" i="24"/>
  <c r="AX51" i="24"/>
  <c r="AX46" i="24"/>
  <c r="AX50" i="24"/>
  <c r="AX48" i="24"/>
  <c r="AX52" i="24"/>
  <c r="AX49" i="24"/>
  <c r="AW44" i="31"/>
  <c r="AW43" i="31"/>
  <c r="AW39" i="31"/>
  <c r="AW41" i="31"/>
  <c r="AW37" i="31"/>
  <c r="AW33" i="31"/>
  <c r="AW36" i="31"/>
  <c r="AW35" i="31"/>
  <c r="AW40" i="31"/>
  <c r="AW34" i="31"/>
  <c r="AW38" i="31"/>
  <c r="AW42" i="31"/>
  <c r="AW45" i="31"/>
  <c r="AX43" i="40"/>
  <c r="AX40" i="40"/>
  <c r="AX36" i="40"/>
  <c r="AX42" i="40"/>
  <c r="AX44" i="40"/>
  <c r="AX33" i="40"/>
  <c r="AX34" i="40"/>
  <c r="AX37" i="40"/>
  <c r="AX39" i="40"/>
  <c r="AX41" i="40"/>
  <c r="AX35" i="40"/>
  <c r="AX38" i="40"/>
  <c r="AX45" i="40"/>
  <c r="AX39" i="27"/>
  <c r="AX44" i="27"/>
  <c r="AX42" i="27"/>
  <c r="AX33" i="27"/>
  <c r="AX43" i="27"/>
  <c r="AX35" i="27"/>
  <c r="AX34" i="27"/>
  <c r="AX45" i="27"/>
  <c r="AX38" i="27"/>
  <c r="AX40" i="27"/>
  <c r="AX41" i="27"/>
  <c r="AX37" i="27"/>
  <c r="AX36" i="27"/>
  <c r="AX44" i="24"/>
  <c r="AX36" i="24"/>
  <c r="AX33" i="24"/>
  <c r="AX35" i="24"/>
  <c r="AX37" i="24"/>
  <c r="AX39" i="24"/>
  <c r="AX43" i="24"/>
  <c r="AX42" i="24"/>
  <c r="AX34" i="24"/>
  <c r="AX38" i="24"/>
  <c r="AX40" i="24"/>
  <c r="AX41" i="24"/>
  <c r="AX45" i="24"/>
  <c r="AW35" i="30"/>
  <c r="AW43" i="30"/>
  <c r="AW39" i="30"/>
  <c r="AW34" i="30"/>
  <c r="AW40" i="30"/>
  <c r="AW41" i="30"/>
  <c r="AW42" i="30"/>
  <c r="AW45" i="30"/>
  <c r="AW38" i="30"/>
  <c r="AW44" i="30"/>
  <c r="AW33" i="30"/>
  <c r="AW36" i="30"/>
  <c r="AW37" i="30"/>
  <c r="AX42" i="25"/>
  <c r="AX39" i="25"/>
  <c r="AX40" i="25"/>
  <c r="AX37" i="25"/>
  <c r="AX44" i="25"/>
  <c r="AX38" i="25"/>
  <c r="AX41" i="25"/>
  <c r="AX35" i="25"/>
  <c r="AX33" i="25"/>
  <c r="AX36" i="25"/>
  <c r="AX34" i="25"/>
  <c r="AX43" i="25"/>
  <c r="AX45" i="25"/>
  <c r="AX45" i="44"/>
  <c r="AX44" i="44"/>
  <c r="AX42" i="44"/>
  <c r="AX35" i="44"/>
  <c r="AX40" i="44"/>
  <c r="AX39" i="44"/>
  <c r="AX34" i="44"/>
  <c r="AX33" i="44"/>
  <c r="AX41" i="44"/>
  <c r="AX43" i="44"/>
  <c r="AX36" i="44"/>
  <c r="AX38" i="44"/>
  <c r="AX37" i="44"/>
  <c r="AX38" i="50"/>
  <c r="AX33" i="50"/>
  <c r="AX35" i="50"/>
  <c r="AX40" i="50"/>
  <c r="AX44" i="50"/>
  <c r="AX45" i="50"/>
  <c r="AX36" i="50"/>
  <c r="AX41" i="50"/>
  <c r="AX34" i="50"/>
  <c r="AX37" i="50"/>
  <c r="AX39" i="50"/>
  <c r="AX43" i="50"/>
  <c r="AX42" i="50"/>
  <c r="AX34" i="26"/>
  <c r="AX42" i="26"/>
  <c r="AX39" i="26"/>
  <c r="AX38" i="26"/>
  <c r="AX33" i="26"/>
  <c r="AX37" i="26"/>
  <c r="AX36" i="26"/>
  <c r="AX35" i="26"/>
  <c r="AX44" i="26"/>
  <c r="AX43" i="26"/>
  <c r="AX40" i="26"/>
  <c r="AX45" i="26"/>
  <c r="AX41" i="26"/>
  <c r="AX43" i="22"/>
  <c r="AX40" i="22"/>
  <c r="AX37" i="22"/>
  <c r="AX36" i="22"/>
  <c r="AX41" i="22"/>
  <c r="AX45" i="22"/>
  <c r="AX33" i="22"/>
  <c r="AX34" i="22"/>
  <c r="AX39" i="22"/>
  <c r="AX35" i="22"/>
  <c r="AX38" i="22"/>
  <c r="AX42" i="22"/>
  <c r="AX44" i="22"/>
  <c r="AW35" i="32"/>
  <c r="AW43" i="32"/>
  <c r="AW39" i="32"/>
  <c r="AW37" i="32"/>
  <c r="AW34" i="32"/>
  <c r="AW42" i="32"/>
  <c r="AW44" i="32"/>
  <c r="AW45" i="32"/>
  <c r="AW41" i="32"/>
  <c r="AW38" i="32"/>
  <c r="AW40" i="32"/>
  <c r="AW36" i="32"/>
  <c r="AW33" i="32"/>
  <c r="AX50" i="29"/>
  <c r="AX51" i="29"/>
  <c r="AX49" i="29"/>
  <c r="AX46" i="29"/>
  <c r="AX47" i="29"/>
  <c r="AX52" i="29"/>
  <c r="AX48" i="29"/>
  <c r="AV44" i="30"/>
  <c r="AV33" i="30"/>
  <c r="AV40" i="30"/>
  <c r="AV36" i="30"/>
  <c r="AV38" i="30"/>
  <c r="AV43" i="30"/>
  <c r="AV42" i="30"/>
  <c r="AV39" i="30"/>
  <c r="AV41" i="30"/>
  <c r="AV45" i="30"/>
  <c r="AV34" i="30"/>
  <c r="AV37" i="30"/>
  <c r="AV35" i="30"/>
  <c r="AW33" i="37"/>
  <c r="AW34" i="37"/>
  <c r="AW38" i="37"/>
  <c r="AW41" i="37"/>
  <c r="AW42" i="37"/>
  <c r="AW35" i="37"/>
  <c r="AW43" i="37"/>
  <c r="AW40" i="37"/>
  <c r="AW39" i="37"/>
  <c r="AW36" i="37"/>
  <c r="AW45" i="37"/>
  <c r="AW44" i="37"/>
  <c r="AW37" i="37"/>
  <c r="AW40" i="50"/>
  <c r="AW45" i="50"/>
  <c r="AW37" i="50"/>
  <c r="AW39" i="50"/>
  <c r="AW43" i="50"/>
  <c r="AW41" i="50"/>
  <c r="AW42" i="50"/>
  <c r="AW35" i="50"/>
  <c r="AW34" i="50"/>
  <c r="AW38" i="50"/>
  <c r="AW44" i="50"/>
  <c r="AW36" i="50"/>
  <c r="AW33" i="50"/>
  <c r="AX45" i="29"/>
  <c r="AX42" i="29"/>
  <c r="AX41" i="29"/>
  <c r="AX35" i="29"/>
  <c r="AX44" i="29"/>
  <c r="AX39" i="29"/>
  <c r="AX43" i="29"/>
  <c r="AX36" i="29"/>
  <c r="AX37" i="29"/>
  <c r="AX34" i="29"/>
  <c r="AX33" i="29"/>
  <c r="AX38" i="29"/>
  <c r="AX40" i="29"/>
  <c r="AX8" i="27"/>
  <c r="AX8" i="44"/>
  <c r="AX8" i="40"/>
  <c r="AW8" i="37"/>
  <c r="AX12" i="50"/>
  <c r="AX15" i="50"/>
  <c r="AX22" i="50"/>
  <c r="AX25" i="50"/>
  <c r="AX11" i="50"/>
  <c r="AX31" i="50"/>
  <c r="AX19" i="50"/>
  <c r="AX32" i="50"/>
  <c r="AX23" i="50"/>
  <c r="AX21" i="50"/>
  <c r="AX18" i="50"/>
  <c r="AX16" i="50"/>
  <c r="AX10" i="50"/>
  <c r="AX8" i="50"/>
  <c r="AX26" i="50"/>
  <c r="AX17" i="50"/>
  <c r="AX13" i="50"/>
  <c r="AX9" i="50"/>
  <c r="AX30" i="50"/>
  <c r="AX24" i="50"/>
  <c r="AX28" i="50"/>
  <c r="AX20" i="50"/>
  <c r="AX29" i="50"/>
  <c r="AX14" i="50"/>
  <c r="AX27" i="50"/>
  <c r="AY3" i="50"/>
  <c r="AY53" i="50" s="1"/>
  <c r="AY4" i="29"/>
  <c r="AY4" i="50"/>
  <c r="AY4" i="27"/>
  <c r="AY4" i="40"/>
  <c r="AY4" i="44"/>
  <c r="AX4" i="37"/>
  <c r="AY4" i="26"/>
  <c r="AY4" i="28"/>
  <c r="AY4" i="22"/>
  <c r="AX4" i="32"/>
  <c r="AX4" i="31"/>
  <c r="AY4" i="25"/>
  <c r="AY4" i="24"/>
  <c r="AX4" i="30"/>
  <c r="AX8" i="22"/>
  <c r="AW27" i="32"/>
  <c r="AW19" i="32"/>
  <c r="AW12" i="32"/>
  <c r="AW23" i="32"/>
  <c r="AW20" i="32"/>
  <c r="AW31" i="32"/>
  <c r="AW18" i="32"/>
  <c r="AW26" i="32"/>
  <c r="AW16" i="32"/>
  <c r="AW11" i="32"/>
  <c r="AW17" i="32"/>
  <c r="AW13" i="32"/>
  <c r="AW9" i="32"/>
  <c r="AW24" i="32"/>
  <c r="AW28" i="32"/>
  <c r="AW21" i="32"/>
  <c r="AW10" i="32"/>
  <c r="AW15" i="32"/>
  <c r="AW22" i="32"/>
  <c r="AW25" i="32"/>
  <c r="AW14" i="32"/>
  <c r="AW29" i="32"/>
  <c r="AW8" i="32"/>
  <c r="AW30" i="32"/>
  <c r="AW32" i="32"/>
  <c r="AX8" i="25"/>
  <c r="AX48" i="28"/>
  <c r="AX46" i="28"/>
  <c r="AX47" i="28"/>
  <c r="AY3" i="27"/>
  <c r="AY53" i="27" s="1"/>
  <c r="AY3" i="28"/>
  <c r="AY3" i="44"/>
  <c r="AY53" i="44" s="1"/>
  <c r="AY3" i="29"/>
  <c r="AY53" i="29" s="1"/>
  <c r="AY3" i="26"/>
  <c r="AY53" i="26" s="1"/>
  <c r="AY3" i="25"/>
  <c r="AY53" i="25" s="1"/>
  <c r="AY3" i="24"/>
  <c r="AY53" i="24" s="1"/>
  <c r="AX3" i="30"/>
  <c r="AX53" i="30" s="1"/>
  <c r="AX3" i="31"/>
  <c r="AX53" i="31" s="1"/>
  <c r="AY3" i="22"/>
  <c r="AY53" i="22" s="1"/>
  <c r="AX3" i="32"/>
  <c r="AX53" i="32" s="1"/>
  <c r="AY3" i="40"/>
  <c r="AY53" i="40" s="1"/>
  <c r="AX3" i="37"/>
  <c r="AX53" i="37" s="1"/>
  <c r="AY52" i="40" l="1"/>
  <c r="AY51" i="40"/>
  <c r="AY49" i="40"/>
  <c r="AY47" i="40"/>
  <c r="AY46" i="40"/>
  <c r="AY48" i="40"/>
  <c r="AY50" i="40"/>
  <c r="AX46" i="37"/>
  <c r="AX48" i="37"/>
  <c r="AX47" i="37"/>
  <c r="AX51" i="37"/>
  <c r="AX52" i="37"/>
  <c r="AX49" i="37"/>
  <c r="AX50" i="37"/>
  <c r="AY46" i="22"/>
  <c r="AY48" i="22"/>
  <c r="AY49" i="22"/>
  <c r="AY50" i="22"/>
  <c r="AY47" i="22"/>
  <c r="AY52" i="22"/>
  <c r="AY51" i="22"/>
  <c r="AX50" i="31"/>
  <c r="AX49" i="31"/>
  <c r="AX47" i="31"/>
  <c r="AX48" i="31"/>
  <c r="AX46" i="31"/>
  <c r="AX51" i="31"/>
  <c r="AX52" i="31"/>
  <c r="AY51" i="26"/>
  <c r="AY47" i="26"/>
  <c r="AY46" i="26"/>
  <c r="AY49" i="26"/>
  <c r="AY48" i="26"/>
  <c r="AY50" i="26"/>
  <c r="AY52" i="26"/>
  <c r="AY48" i="27"/>
  <c r="AY50" i="27"/>
  <c r="AY47" i="27"/>
  <c r="AY51" i="27"/>
  <c r="AY49" i="27"/>
  <c r="AY52" i="27"/>
  <c r="AY46" i="27"/>
  <c r="AX48" i="30"/>
  <c r="AX50" i="30"/>
  <c r="AX46" i="30"/>
  <c r="AX49" i="30"/>
  <c r="AX51" i="30"/>
  <c r="AX52" i="30"/>
  <c r="AX47" i="30"/>
  <c r="AY46" i="50"/>
  <c r="AY50" i="50"/>
  <c r="AY52" i="50"/>
  <c r="AY51" i="50"/>
  <c r="AY47" i="50"/>
  <c r="AY49" i="50"/>
  <c r="AY48" i="50"/>
  <c r="AY48" i="25"/>
  <c r="AY49" i="25"/>
  <c r="AY46" i="25"/>
  <c r="AY47" i="25"/>
  <c r="AY51" i="25"/>
  <c r="AY52" i="25"/>
  <c r="AY50" i="25"/>
  <c r="AX50" i="32"/>
  <c r="AX47" i="32"/>
  <c r="AX48" i="32"/>
  <c r="AX49" i="32"/>
  <c r="AX51" i="32"/>
  <c r="AX46" i="32"/>
  <c r="AX52" i="32"/>
  <c r="AY49" i="44"/>
  <c r="AY47" i="44"/>
  <c r="AY50" i="44"/>
  <c r="AY48" i="44"/>
  <c r="AY46" i="44"/>
  <c r="AY52" i="44"/>
  <c r="AY51" i="44"/>
  <c r="AY49" i="24"/>
  <c r="AY48" i="24"/>
  <c r="AY50" i="24"/>
  <c r="AY46" i="24"/>
  <c r="AY51" i="24"/>
  <c r="AY47" i="24"/>
  <c r="AY52" i="24"/>
  <c r="AY35" i="22"/>
  <c r="AY34" i="22"/>
  <c r="AY45" i="22"/>
  <c r="AY39" i="22"/>
  <c r="AY44" i="22"/>
  <c r="AY33" i="22"/>
  <c r="AY36" i="22"/>
  <c r="AY40" i="22"/>
  <c r="AY41" i="22"/>
  <c r="AY43" i="22"/>
  <c r="AY38" i="22"/>
  <c r="AY42" i="22"/>
  <c r="AY37" i="22"/>
  <c r="AX33" i="37"/>
  <c r="AX42" i="37"/>
  <c r="AX43" i="37"/>
  <c r="AX38" i="37"/>
  <c r="AX40" i="37"/>
  <c r="AX39" i="37"/>
  <c r="AX45" i="37"/>
  <c r="AX34" i="37"/>
  <c r="AX35" i="37"/>
  <c r="AX36" i="37"/>
  <c r="AX37" i="37"/>
  <c r="AX44" i="37"/>
  <c r="AX41" i="37"/>
  <c r="AX34" i="31"/>
  <c r="AX36" i="31"/>
  <c r="AX35" i="31"/>
  <c r="AX39" i="31"/>
  <c r="AX38" i="31"/>
  <c r="AX41" i="31"/>
  <c r="AX42" i="31"/>
  <c r="AX43" i="31"/>
  <c r="AX40" i="31"/>
  <c r="AX44" i="31"/>
  <c r="AX33" i="31"/>
  <c r="AX37" i="31"/>
  <c r="AX45" i="31"/>
  <c r="AY42" i="26"/>
  <c r="AY40" i="26"/>
  <c r="AY33" i="26"/>
  <c r="AY35" i="26"/>
  <c r="AY38" i="26"/>
  <c r="AY36" i="26"/>
  <c r="AY39" i="26"/>
  <c r="AY41" i="26"/>
  <c r="AY44" i="26"/>
  <c r="AY34" i="26"/>
  <c r="AY37" i="26"/>
  <c r="AY45" i="26"/>
  <c r="AY43" i="26"/>
  <c r="AY36" i="27"/>
  <c r="AY41" i="27"/>
  <c r="AY38" i="27"/>
  <c r="AY40" i="27"/>
  <c r="AY43" i="27"/>
  <c r="AY45" i="27"/>
  <c r="AY34" i="27"/>
  <c r="AY37" i="27"/>
  <c r="AY42" i="27"/>
  <c r="AY35" i="27"/>
  <c r="AY33" i="27"/>
  <c r="AY39" i="27"/>
  <c r="AY44" i="27"/>
  <c r="AX34" i="30"/>
  <c r="AX42" i="30"/>
  <c r="AX44" i="30"/>
  <c r="AX45" i="30"/>
  <c r="AX43" i="30"/>
  <c r="AX41" i="30"/>
  <c r="AX39" i="30"/>
  <c r="AX40" i="30"/>
  <c r="AX38" i="30"/>
  <c r="AX33" i="30"/>
  <c r="AX35" i="30"/>
  <c r="AX36" i="30"/>
  <c r="AX37" i="30"/>
  <c r="AY43" i="25"/>
  <c r="AY39" i="25"/>
  <c r="AY45" i="25"/>
  <c r="AY35" i="25"/>
  <c r="AY33" i="25"/>
  <c r="AY38" i="25"/>
  <c r="AY40" i="25"/>
  <c r="AY37" i="25"/>
  <c r="AY41" i="25"/>
  <c r="AY44" i="25"/>
  <c r="AY34" i="25"/>
  <c r="AY36" i="25"/>
  <c r="AY42" i="25"/>
  <c r="AY37" i="40"/>
  <c r="AY34" i="40"/>
  <c r="AY40" i="40"/>
  <c r="AY33" i="40"/>
  <c r="AY39" i="40"/>
  <c r="AY36" i="40"/>
  <c r="AY45" i="40"/>
  <c r="AY42" i="40"/>
  <c r="AY44" i="40"/>
  <c r="AY35" i="40"/>
  <c r="AY41" i="40"/>
  <c r="AY38" i="40"/>
  <c r="AY43" i="40"/>
  <c r="AY47" i="29"/>
  <c r="AY52" i="29"/>
  <c r="AY50" i="29"/>
  <c r="AY51" i="29"/>
  <c r="AY48" i="29"/>
  <c r="AY49" i="29"/>
  <c r="AY46" i="29"/>
  <c r="AY45" i="50"/>
  <c r="AY37" i="50"/>
  <c r="AY39" i="50"/>
  <c r="AY40" i="50"/>
  <c r="AY43" i="50"/>
  <c r="AY41" i="50"/>
  <c r="AY33" i="50"/>
  <c r="AY38" i="50"/>
  <c r="AY42" i="50"/>
  <c r="AY44" i="50"/>
  <c r="AY36" i="50"/>
  <c r="AY34" i="50"/>
  <c r="AY35" i="50"/>
  <c r="AX38" i="32"/>
  <c r="AX33" i="32"/>
  <c r="AX42" i="32"/>
  <c r="AX34" i="32"/>
  <c r="AX43" i="32"/>
  <c r="AX44" i="32"/>
  <c r="AX41" i="32"/>
  <c r="AX36" i="32"/>
  <c r="AX35" i="32"/>
  <c r="AX39" i="32"/>
  <c r="AX37" i="32"/>
  <c r="AX40" i="32"/>
  <c r="AX45" i="32"/>
  <c r="AY42" i="24"/>
  <c r="AY39" i="24"/>
  <c r="AY35" i="24"/>
  <c r="AY34" i="24"/>
  <c r="AY38" i="24"/>
  <c r="AY37" i="24"/>
  <c r="AY33" i="24"/>
  <c r="AY43" i="24"/>
  <c r="AY45" i="24"/>
  <c r="AY40" i="24"/>
  <c r="AY41" i="24"/>
  <c r="AY44" i="24"/>
  <c r="AY36" i="24"/>
  <c r="AY40" i="44"/>
  <c r="AY43" i="44"/>
  <c r="AY38" i="44"/>
  <c r="AY37" i="44"/>
  <c r="AY34" i="44"/>
  <c r="AY39" i="44"/>
  <c r="AY42" i="44"/>
  <c r="AY33" i="44"/>
  <c r="AY35" i="44"/>
  <c r="AY44" i="44"/>
  <c r="AY45" i="44"/>
  <c r="AY41" i="44"/>
  <c r="AY36" i="44"/>
  <c r="AY39" i="29"/>
  <c r="AY37" i="29"/>
  <c r="AY36" i="29"/>
  <c r="AY44" i="29"/>
  <c r="AY35" i="29"/>
  <c r="AY43" i="29"/>
  <c r="AY34" i="29"/>
  <c r="AY33" i="29"/>
  <c r="AY40" i="29"/>
  <c r="AY45" i="29"/>
  <c r="AY41" i="29"/>
  <c r="AY38" i="29"/>
  <c r="AY42" i="29"/>
  <c r="AY8" i="27"/>
  <c r="AY8" i="44"/>
  <c r="AX8" i="37"/>
  <c r="AY8" i="40"/>
  <c r="AY23" i="50"/>
  <c r="AY15" i="50"/>
  <c r="AY20" i="50"/>
  <c r="AY18" i="50"/>
  <c r="AY19" i="50"/>
  <c r="AY8" i="50"/>
  <c r="AY9" i="50"/>
  <c r="AY25" i="50"/>
  <c r="AY22" i="50"/>
  <c r="AY31" i="50"/>
  <c r="AY32" i="50"/>
  <c r="AY17" i="50"/>
  <c r="AY10" i="50"/>
  <c r="AY13" i="50"/>
  <c r="AZ3" i="50"/>
  <c r="AZ53" i="50" s="1"/>
  <c r="AY24" i="50"/>
  <c r="AY11" i="50"/>
  <c r="AY29" i="50"/>
  <c r="AY16" i="50"/>
  <c r="AY14" i="50"/>
  <c r="AY27" i="50"/>
  <c r="AY26" i="50"/>
  <c r="AY30" i="50"/>
  <c r="AY21" i="50"/>
  <c r="AY28" i="50"/>
  <c r="AY12" i="50"/>
  <c r="AZ4" i="29"/>
  <c r="AZ4" i="50"/>
  <c r="AZ4" i="40"/>
  <c r="AZ4" i="44"/>
  <c r="AY4" i="37"/>
  <c r="AZ4" i="28"/>
  <c r="AZ4" i="27"/>
  <c r="AZ4" i="26"/>
  <c r="AY4" i="31"/>
  <c r="AZ4" i="25"/>
  <c r="AZ4" i="24"/>
  <c r="AZ4" i="22"/>
  <c r="AY4" i="32"/>
  <c r="AY4" i="30"/>
  <c r="AY8" i="22"/>
  <c r="AX29" i="32"/>
  <c r="AX18" i="32"/>
  <c r="AX19" i="32"/>
  <c r="AX12" i="32"/>
  <c r="AX27" i="32"/>
  <c r="AX9" i="32"/>
  <c r="AX20" i="32"/>
  <c r="AX21" i="32"/>
  <c r="AX14" i="32"/>
  <c r="AX13" i="32"/>
  <c r="AX30" i="32"/>
  <c r="AX23" i="32"/>
  <c r="AX25" i="32"/>
  <c r="AX10" i="32"/>
  <c r="AX15" i="32"/>
  <c r="AX16" i="32"/>
  <c r="AX22" i="32"/>
  <c r="AX8" i="32"/>
  <c r="AX26" i="32"/>
  <c r="AX31" i="32"/>
  <c r="AX28" i="32"/>
  <c r="AX11" i="32"/>
  <c r="AX17" i="32"/>
  <c r="AX24" i="32"/>
  <c r="AX32" i="32"/>
  <c r="AY8" i="25"/>
  <c r="AY47" i="28"/>
  <c r="AY48" i="28"/>
  <c r="AY46" i="28"/>
  <c r="AZ3" i="24"/>
  <c r="AZ53" i="24" s="1"/>
  <c r="AY3" i="32"/>
  <c r="AY53" i="32" s="1"/>
  <c r="AZ3" i="22"/>
  <c r="AZ53" i="22" s="1"/>
  <c r="AY3" i="31"/>
  <c r="AY53" i="31" s="1"/>
  <c r="AZ3" i="27"/>
  <c r="AZ53" i="27" s="1"/>
  <c r="AY3" i="30"/>
  <c r="AY53" i="30" s="1"/>
  <c r="AZ3" i="26"/>
  <c r="AZ53" i="26" s="1"/>
  <c r="AZ3" i="40"/>
  <c r="AZ53" i="40" s="1"/>
  <c r="AZ3" i="29"/>
  <c r="AZ53" i="29" s="1"/>
  <c r="AZ3" i="44"/>
  <c r="AZ53" i="44" s="1"/>
  <c r="AY3" i="37"/>
  <c r="AY53" i="37" s="1"/>
  <c r="AZ3" i="25"/>
  <c r="AZ53" i="25" s="1"/>
  <c r="AZ3" i="28"/>
  <c r="O7" i="34"/>
  <c r="D11" i="34"/>
  <c r="D9" i="34"/>
  <c r="D7" i="34"/>
  <c r="Y5" i="34" a="1"/>
  <c r="BM5" i="34" a="1"/>
  <c r="AU5" i="34" a="1"/>
  <c r="BU5" i="34" a="1"/>
  <c r="BI5" i="34" a="1"/>
  <c r="AY5" i="34" a="1"/>
  <c r="T5" i="34" a="1"/>
  <c r="AR5" i="34" a="1"/>
  <c r="CE5" i="34" a="1"/>
  <c r="BJ5" i="34" a="1"/>
  <c r="BS5" i="34" a="1"/>
  <c r="BF5" i="34" a="1"/>
  <c r="BT5" i="34" a="1"/>
  <c r="AE5" i="34" a="1"/>
  <c r="U5" i="34" a="1"/>
  <c r="Z5" i="34" a="1"/>
  <c r="AT5" i="34" a="1"/>
  <c r="BV5" i="34" a="1"/>
  <c r="CF5" i="34" a="1"/>
  <c r="BH5" i="34" a="1"/>
  <c r="AH5" i="34" a="1"/>
  <c r="AN5" i="34" a="1"/>
  <c r="AA5" i="34" a="1"/>
  <c r="BP5" i="34" a="1"/>
  <c r="AI5" i="34" a="1"/>
  <c r="BK5" i="34" a="1"/>
  <c r="W5" i="34" a="1"/>
  <c r="AQ5" i="34" a="1"/>
  <c r="BE5" i="34" a="1"/>
  <c r="AL5" i="34" a="1"/>
  <c r="AJ5" i="34" a="1"/>
  <c r="AG5" i="34" a="1"/>
  <c r="AX5" i="34" a="1"/>
  <c r="V5" i="34" a="1"/>
  <c r="AV5" i="34" a="1"/>
  <c r="BQ5" i="34" a="1"/>
  <c r="AS5" i="34" a="1"/>
  <c r="AZ5" i="34" a="1"/>
  <c r="AF5" i="34" a="1"/>
  <c r="BN5" i="34" a="1"/>
  <c r="BO5" i="34" a="1"/>
  <c r="BD5" i="34" a="1"/>
  <c r="CD5" i="34" a="1"/>
  <c r="AM5" i="34" a="1"/>
  <c r="AP5" i="34" a="1"/>
  <c r="BL5" i="34" a="1"/>
  <c r="BB5" i="34" a="1"/>
  <c r="CC5" i="34" a="1"/>
  <c r="S5" i="34" a="1"/>
  <c r="AD5" i="34" a="1"/>
  <c r="BW5" i="34" a="1"/>
  <c r="X5" i="34" a="1"/>
  <c r="AB5" i="34" a="1"/>
  <c r="BG5" i="34" a="1"/>
  <c r="AW5" i="34" a="1"/>
  <c r="BY5" i="34" a="1"/>
  <c r="BX5" i="34" a="1"/>
  <c r="BA5" i="34" a="1"/>
  <c r="AO5" i="34" a="1"/>
  <c r="CA5" i="34" a="1"/>
  <c r="AK5" i="34" a="1"/>
  <c r="AC5" i="34" a="1"/>
  <c r="BR5" i="34" a="1"/>
  <c r="BC5" i="34" a="1"/>
  <c r="CB5" i="34" a="1"/>
  <c r="BZ5" i="34" a="1"/>
  <c r="AZ48" i="40" l="1"/>
  <c r="AZ46" i="40"/>
  <c r="AZ50" i="40"/>
  <c r="AZ47" i="40"/>
  <c r="AZ49" i="40"/>
  <c r="AZ51" i="40"/>
  <c r="AZ52" i="40"/>
  <c r="AY48" i="37"/>
  <c r="AY49" i="37"/>
  <c r="AY47" i="37"/>
  <c r="AY46" i="37"/>
  <c r="AY51" i="37"/>
  <c r="AY52" i="37"/>
  <c r="AY50" i="37"/>
  <c r="AZ48" i="25"/>
  <c r="AZ51" i="25"/>
  <c r="AZ46" i="25"/>
  <c r="AZ52" i="25"/>
  <c r="AZ49" i="25"/>
  <c r="AZ47" i="25"/>
  <c r="AZ50" i="25"/>
  <c r="AZ48" i="44"/>
  <c r="AZ49" i="44"/>
  <c r="AZ46" i="44"/>
  <c r="AZ50" i="44"/>
  <c r="AZ51" i="44"/>
  <c r="AZ52" i="44"/>
  <c r="AZ47" i="44"/>
  <c r="AY52" i="30"/>
  <c r="AY48" i="30"/>
  <c r="AY50" i="30"/>
  <c r="AY47" i="30"/>
  <c r="AY46" i="30"/>
  <c r="AY49" i="30"/>
  <c r="AY51" i="30"/>
  <c r="AY48" i="32"/>
  <c r="AY50" i="32"/>
  <c r="AY46" i="32"/>
  <c r="AY49" i="32"/>
  <c r="AY47" i="32"/>
  <c r="AY51" i="32"/>
  <c r="AY52" i="32"/>
  <c r="AZ46" i="27"/>
  <c r="AZ47" i="27"/>
  <c r="AZ49" i="27"/>
  <c r="AZ52" i="27"/>
  <c r="AZ48" i="27"/>
  <c r="AZ51" i="27"/>
  <c r="AZ50" i="27"/>
  <c r="AZ46" i="50"/>
  <c r="AZ51" i="50"/>
  <c r="AZ49" i="50"/>
  <c r="AZ52" i="50"/>
  <c r="AZ47" i="50"/>
  <c r="AZ48" i="50"/>
  <c r="AZ50" i="50"/>
  <c r="AY46" i="31"/>
  <c r="AY52" i="31"/>
  <c r="AY47" i="31"/>
  <c r="AY50" i="31"/>
  <c r="AY51" i="31"/>
  <c r="AY48" i="31"/>
  <c r="AY49" i="31"/>
  <c r="AZ51" i="26"/>
  <c r="AZ49" i="26"/>
  <c r="AZ47" i="26"/>
  <c r="AZ46" i="26"/>
  <c r="AZ48" i="26"/>
  <c r="AZ50" i="26"/>
  <c r="AZ52" i="26"/>
  <c r="AZ47" i="22"/>
  <c r="AZ50" i="22"/>
  <c r="AZ51" i="22"/>
  <c r="AZ49" i="22"/>
  <c r="AZ48" i="22"/>
  <c r="AZ52" i="22"/>
  <c r="AZ46" i="22"/>
  <c r="AZ50" i="24"/>
  <c r="AZ47" i="24"/>
  <c r="AZ51" i="24"/>
  <c r="AZ46" i="24"/>
  <c r="AZ52" i="24"/>
  <c r="AZ49" i="24"/>
  <c r="AZ48" i="24"/>
  <c r="AZ50" i="29"/>
  <c r="AZ48" i="29"/>
  <c r="AZ47" i="29"/>
  <c r="AZ51" i="29"/>
  <c r="AZ52" i="29"/>
  <c r="AZ46" i="29"/>
  <c r="AZ49" i="29"/>
  <c r="AZ44" i="27"/>
  <c r="AZ39" i="27"/>
  <c r="AZ36" i="27"/>
  <c r="AZ33" i="27"/>
  <c r="AZ45" i="27"/>
  <c r="AZ42" i="27"/>
  <c r="AZ35" i="27"/>
  <c r="AZ38" i="27"/>
  <c r="AZ41" i="27"/>
  <c r="AZ40" i="27"/>
  <c r="AZ34" i="27"/>
  <c r="AZ37" i="27"/>
  <c r="AZ43" i="27"/>
  <c r="AZ42" i="50"/>
  <c r="AZ44" i="50"/>
  <c r="AZ45" i="50"/>
  <c r="AZ37" i="50"/>
  <c r="AZ39" i="50"/>
  <c r="AZ34" i="50"/>
  <c r="AZ38" i="50"/>
  <c r="AZ35" i="50"/>
  <c r="AZ33" i="50"/>
  <c r="AZ36" i="50"/>
  <c r="AZ40" i="50"/>
  <c r="AZ43" i="50"/>
  <c r="AZ41" i="50"/>
  <c r="AZ34" i="25"/>
  <c r="AZ36" i="25"/>
  <c r="AZ45" i="25"/>
  <c r="AZ43" i="25"/>
  <c r="AZ40" i="25"/>
  <c r="AZ37" i="25"/>
  <c r="AZ41" i="25"/>
  <c r="AZ42" i="25"/>
  <c r="AZ35" i="25"/>
  <c r="AZ33" i="25"/>
  <c r="AZ44" i="25"/>
  <c r="AZ39" i="25"/>
  <c r="AZ38" i="25"/>
  <c r="AZ39" i="40"/>
  <c r="AZ41" i="40"/>
  <c r="AZ37" i="40"/>
  <c r="AZ34" i="40"/>
  <c r="AZ35" i="40"/>
  <c r="AZ40" i="40"/>
  <c r="AZ43" i="40"/>
  <c r="AZ33" i="40"/>
  <c r="AZ44" i="40"/>
  <c r="AZ38" i="40"/>
  <c r="AZ45" i="40"/>
  <c r="AZ42" i="40"/>
  <c r="AZ36" i="40"/>
  <c r="AY39" i="31"/>
  <c r="AY37" i="31"/>
  <c r="AY34" i="31"/>
  <c r="AY41" i="31"/>
  <c r="AY45" i="31"/>
  <c r="AY42" i="31"/>
  <c r="AY44" i="31"/>
  <c r="AY33" i="31"/>
  <c r="AY36" i="31"/>
  <c r="AY43" i="31"/>
  <c r="AY40" i="31"/>
  <c r="AY35" i="31"/>
  <c r="AY38" i="31"/>
  <c r="AY44" i="37"/>
  <c r="AY38" i="37"/>
  <c r="AY34" i="37"/>
  <c r="AY33" i="37"/>
  <c r="AY40" i="37"/>
  <c r="AY36" i="37"/>
  <c r="AY37" i="37"/>
  <c r="AY43" i="37"/>
  <c r="AY41" i="37"/>
  <c r="AY45" i="37"/>
  <c r="AY35" i="37"/>
  <c r="AY39" i="37"/>
  <c r="AY42" i="37"/>
  <c r="AZ45" i="22"/>
  <c r="AZ41" i="22"/>
  <c r="AZ37" i="22"/>
  <c r="AZ35" i="22"/>
  <c r="AZ38" i="22"/>
  <c r="AZ33" i="22"/>
  <c r="AZ43" i="22"/>
  <c r="AZ44" i="22"/>
  <c r="AZ42" i="22"/>
  <c r="AZ34" i="22"/>
  <c r="AZ36" i="22"/>
  <c r="AZ39" i="22"/>
  <c r="AZ40" i="22"/>
  <c r="AZ45" i="26"/>
  <c r="AZ33" i="26"/>
  <c r="AZ43" i="26"/>
  <c r="AZ40" i="26"/>
  <c r="AZ37" i="26"/>
  <c r="AZ35" i="26"/>
  <c r="AZ39" i="26"/>
  <c r="AZ44" i="26"/>
  <c r="AZ38" i="26"/>
  <c r="AZ42" i="26"/>
  <c r="AZ34" i="26"/>
  <c r="AZ41" i="26"/>
  <c r="AZ36" i="26"/>
  <c r="AZ44" i="44"/>
  <c r="AZ40" i="44"/>
  <c r="AZ38" i="44"/>
  <c r="AZ36" i="44"/>
  <c r="AZ42" i="44"/>
  <c r="AZ45" i="44"/>
  <c r="AZ33" i="44"/>
  <c r="AZ43" i="44"/>
  <c r="AZ37" i="44"/>
  <c r="AZ34" i="44"/>
  <c r="AZ39" i="44"/>
  <c r="AZ35" i="44"/>
  <c r="AZ41" i="44"/>
  <c r="AY45" i="30"/>
  <c r="AY40" i="30"/>
  <c r="AY37" i="30"/>
  <c r="AY38" i="30"/>
  <c r="AY43" i="30"/>
  <c r="AY42" i="30"/>
  <c r="AY44" i="30"/>
  <c r="AY41" i="30"/>
  <c r="AY39" i="30"/>
  <c r="AY33" i="30"/>
  <c r="AY36" i="30"/>
  <c r="AY34" i="30"/>
  <c r="AY35" i="30"/>
  <c r="AY39" i="32"/>
  <c r="AY43" i="32"/>
  <c r="AY40" i="32"/>
  <c r="AY35" i="32"/>
  <c r="AY45" i="32"/>
  <c r="AY33" i="32"/>
  <c r="AY37" i="32"/>
  <c r="AY44" i="32"/>
  <c r="AY34" i="32"/>
  <c r="AY41" i="32"/>
  <c r="AY42" i="32"/>
  <c r="AY36" i="32"/>
  <c r="AY38" i="32"/>
  <c r="AZ43" i="24"/>
  <c r="AZ33" i="24"/>
  <c r="AZ41" i="24"/>
  <c r="AZ45" i="24"/>
  <c r="AZ39" i="24"/>
  <c r="AZ37" i="24"/>
  <c r="AZ35" i="24"/>
  <c r="AZ36" i="24"/>
  <c r="AZ38" i="24"/>
  <c r="AZ44" i="24"/>
  <c r="AZ40" i="24"/>
  <c r="AZ42" i="24"/>
  <c r="AZ34" i="24"/>
  <c r="AZ39" i="29"/>
  <c r="AZ36" i="29"/>
  <c r="AZ44" i="29"/>
  <c r="AZ41" i="29"/>
  <c r="AZ45" i="29"/>
  <c r="AZ43" i="29"/>
  <c r="AZ40" i="29"/>
  <c r="AZ42" i="29"/>
  <c r="AZ33" i="29"/>
  <c r="AZ35" i="29"/>
  <c r="AZ34" i="29"/>
  <c r="AZ38" i="29"/>
  <c r="AZ37" i="29"/>
  <c r="AZ8" i="27"/>
  <c r="AZ8" i="44"/>
  <c r="AY8" i="37"/>
  <c r="AZ8" i="40"/>
  <c r="AZ30" i="50"/>
  <c r="AZ25" i="50"/>
  <c r="AZ29" i="50"/>
  <c r="AZ21" i="50"/>
  <c r="AZ26" i="50"/>
  <c r="AZ13" i="50"/>
  <c r="AZ19" i="50"/>
  <c r="AZ11" i="50"/>
  <c r="AZ14" i="50"/>
  <c r="AZ9" i="50"/>
  <c r="AZ16" i="50"/>
  <c r="AZ31" i="50"/>
  <c r="AZ27" i="50"/>
  <c r="AZ22" i="50"/>
  <c r="AZ23" i="50"/>
  <c r="AZ15" i="50"/>
  <c r="AZ32" i="50"/>
  <c r="AZ8" i="50"/>
  <c r="AZ12" i="50"/>
  <c r="AZ17" i="50"/>
  <c r="AZ20" i="50"/>
  <c r="AZ24" i="50"/>
  <c r="AZ28" i="50"/>
  <c r="AZ18" i="50"/>
  <c r="AZ10" i="50"/>
  <c r="BA3" i="50"/>
  <c r="BA53" i="50" s="1"/>
  <c r="BA4" i="29"/>
  <c r="BA4" i="50"/>
  <c r="AZ4" i="37"/>
  <c r="BA4" i="28"/>
  <c r="BA4" i="27"/>
  <c r="BA4" i="40"/>
  <c r="BA4" i="44"/>
  <c r="BA4" i="25"/>
  <c r="BA4" i="24"/>
  <c r="BA4" i="22"/>
  <c r="AZ4" i="32"/>
  <c r="AZ4" i="30"/>
  <c r="BA4" i="26"/>
  <c r="AZ4" i="31"/>
  <c r="AZ8" i="22"/>
  <c r="AY29" i="32"/>
  <c r="AY23" i="32"/>
  <c r="AY31" i="32"/>
  <c r="AY21" i="32"/>
  <c r="AY27" i="32"/>
  <c r="AY8" i="32"/>
  <c r="AY9" i="32"/>
  <c r="AY13" i="32"/>
  <c r="AY16" i="32"/>
  <c r="AY20" i="32"/>
  <c r="AY12" i="32"/>
  <c r="AY17" i="32"/>
  <c r="AY19" i="32"/>
  <c r="AY10" i="32"/>
  <c r="AY14" i="32"/>
  <c r="AY28" i="32"/>
  <c r="AY11" i="32"/>
  <c r="AY26" i="32"/>
  <c r="AY18" i="32"/>
  <c r="AY15" i="32"/>
  <c r="AY24" i="32"/>
  <c r="AY25" i="32"/>
  <c r="AY22" i="32"/>
  <c r="AY32" i="32"/>
  <c r="AY30" i="32"/>
  <c r="AZ8" i="25"/>
  <c r="AZ47" i="28"/>
  <c r="AZ48" i="28"/>
  <c r="AZ46" i="28"/>
  <c r="BA3" i="40"/>
  <c r="BA53" i="40" s="1"/>
  <c r="BA3" i="22"/>
  <c r="BA53" i="22" s="1"/>
  <c r="AZ3" i="37"/>
  <c r="AZ53" i="37" s="1"/>
  <c r="BA3" i="27"/>
  <c r="BA53" i="27" s="1"/>
  <c r="BA3" i="28"/>
  <c r="BA3" i="24"/>
  <c r="BA53" i="24" s="1"/>
  <c r="BA3" i="44"/>
  <c r="BA53" i="44" s="1"/>
  <c r="BA3" i="26"/>
  <c r="BA53" i="26" s="1"/>
  <c r="BA3" i="25"/>
  <c r="BA53" i="25" s="1"/>
  <c r="AZ3" i="31"/>
  <c r="AZ53" i="31" s="1"/>
  <c r="BA3" i="29"/>
  <c r="BA53" i="29" s="1"/>
  <c r="AZ3" i="30"/>
  <c r="AZ53" i="30" s="1"/>
  <c r="AZ3" i="32"/>
  <c r="AZ53" i="32" s="1"/>
  <c r="C46" i="34"/>
  <c r="D46" i="34" s="1"/>
  <c r="E46" i="34" s="1"/>
  <c r="G46" i="34" s="1"/>
  <c r="H46" i="34" s="1"/>
  <c r="C45" i="34"/>
  <c r="D45" i="34" s="1"/>
  <c r="E45" i="34" s="1"/>
  <c r="G45" i="34" s="1"/>
  <c r="H45" i="34" s="1"/>
  <c r="BA51" i="40" l="1"/>
  <c r="BA52" i="40"/>
  <c r="BA49" i="40"/>
  <c r="BA47" i="40"/>
  <c r="BA48" i="40"/>
  <c r="BA46" i="40"/>
  <c r="BA50" i="40"/>
  <c r="AZ51" i="37"/>
  <c r="AZ52" i="37"/>
  <c r="AZ49" i="37"/>
  <c r="AZ48" i="37"/>
  <c r="AZ46" i="37"/>
  <c r="AZ47" i="37"/>
  <c r="AZ50" i="37"/>
  <c r="AZ47" i="32"/>
  <c r="AZ48" i="32"/>
  <c r="AZ51" i="32"/>
  <c r="AZ46" i="32"/>
  <c r="AZ49" i="32"/>
  <c r="AZ52" i="32"/>
  <c r="AZ50" i="32"/>
  <c r="BA50" i="25"/>
  <c r="BA52" i="25"/>
  <c r="BA46" i="25"/>
  <c r="BA48" i="25"/>
  <c r="BA49" i="25"/>
  <c r="BA51" i="25"/>
  <c r="BA47" i="25"/>
  <c r="BA52" i="22"/>
  <c r="BA51" i="22"/>
  <c r="BA48" i="22"/>
  <c r="BA50" i="22"/>
  <c r="BA47" i="22"/>
  <c r="BA49" i="22"/>
  <c r="BA46" i="22"/>
  <c r="AZ47" i="30"/>
  <c r="AZ51" i="30"/>
  <c r="AZ52" i="30"/>
  <c r="AZ49" i="30"/>
  <c r="AZ50" i="30"/>
  <c r="AZ46" i="30"/>
  <c r="AZ48" i="30"/>
  <c r="BA47" i="26"/>
  <c r="BA49" i="26"/>
  <c r="BA46" i="26"/>
  <c r="BA48" i="26"/>
  <c r="BA52" i="26"/>
  <c r="BA51" i="26"/>
  <c r="BA50" i="26"/>
  <c r="BA46" i="27"/>
  <c r="BA50" i="27"/>
  <c r="BA48" i="27"/>
  <c r="BA49" i="27"/>
  <c r="BA47" i="27"/>
  <c r="BA52" i="27"/>
  <c r="BA51" i="27"/>
  <c r="BA49" i="50"/>
  <c r="BA46" i="50"/>
  <c r="BA51" i="50"/>
  <c r="BA52" i="50"/>
  <c r="BA47" i="50"/>
  <c r="BA48" i="50"/>
  <c r="BA50" i="50"/>
  <c r="AZ46" i="31"/>
  <c r="AZ47" i="31"/>
  <c r="AZ49" i="31"/>
  <c r="AZ48" i="31"/>
  <c r="AZ50" i="31"/>
  <c r="AZ51" i="31"/>
  <c r="AZ52" i="31"/>
  <c r="BA47" i="44"/>
  <c r="BA48" i="44"/>
  <c r="BA46" i="44"/>
  <c r="BA51" i="44"/>
  <c r="BA52" i="44"/>
  <c r="BA50" i="44"/>
  <c r="BA49" i="44"/>
  <c r="BA47" i="24"/>
  <c r="BA52" i="24"/>
  <c r="BA46" i="24"/>
  <c r="BA48" i="24"/>
  <c r="BA51" i="24"/>
  <c r="BA49" i="24"/>
  <c r="BA50" i="24"/>
  <c r="BA50" i="29"/>
  <c r="BA51" i="29"/>
  <c r="BA52" i="29"/>
  <c r="BA49" i="29"/>
  <c r="BA47" i="29"/>
  <c r="BA48" i="29"/>
  <c r="BA46" i="29"/>
  <c r="BA36" i="44"/>
  <c r="BA35" i="44"/>
  <c r="BA33" i="44"/>
  <c r="BA37" i="44"/>
  <c r="BA34" i="44"/>
  <c r="BA45" i="44"/>
  <c r="BA41" i="44"/>
  <c r="BA43" i="44"/>
  <c r="BA40" i="44"/>
  <c r="BA44" i="44"/>
  <c r="BA42" i="44"/>
  <c r="BA39" i="44"/>
  <c r="BA38" i="44"/>
  <c r="AZ33" i="37"/>
  <c r="AZ34" i="37"/>
  <c r="AZ35" i="37"/>
  <c r="AZ36" i="37"/>
  <c r="AZ37" i="37"/>
  <c r="AZ41" i="37"/>
  <c r="AZ42" i="37"/>
  <c r="AZ43" i="37"/>
  <c r="AZ40" i="37"/>
  <c r="AZ39" i="37"/>
  <c r="AZ38" i="37"/>
  <c r="AZ45" i="37"/>
  <c r="AZ44" i="37"/>
  <c r="BA43" i="26"/>
  <c r="BA42" i="26"/>
  <c r="BA45" i="26"/>
  <c r="BA38" i="26"/>
  <c r="BA41" i="26"/>
  <c r="BA44" i="26"/>
  <c r="BA37" i="26"/>
  <c r="BA33" i="26"/>
  <c r="BA35" i="26"/>
  <c r="BA36" i="26"/>
  <c r="BA34" i="26"/>
  <c r="BA40" i="26"/>
  <c r="BA39" i="26"/>
  <c r="BA41" i="27"/>
  <c r="BA33" i="27"/>
  <c r="BA39" i="27"/>
  <c r="BA38" i="27"/>
  <c r="BA37" i="27"/>
  <c r="BA35" i="27"/>
  <c r="BA42" i="27"/>
  <c r="BA40" i="27"/>
  <c r="BA43" i="27"/>
  <c r="BA45" i="27"/>
  <c r="BA34" i="27"/>
  <c r="BA36" i="27"/>
  <c r="BA44" i="27"/>
  <c r="BA36" i="50"/>
  <c r="BA40" i="50"/>
  <c r="BA45" i="50"/>
  <c r="BA34" i="50"/>
  <c r="BA35" i="50"/>
  <c r="BA37" i="50"/>
  <c r="BA39" i="50"/>
  <c r="BA33" i="50"/>
  <c r="BA42" i="50"/>
  <c r="BA38" i="50"/>
  <c r="BA43" i="50"/>
  <c r="BA41" i="50"/>
  <c r="BA44" i="50"/>
  <c r="BA44" i="22"/>
  <c r="BA40" i="22"/>
  <c r="BA37" i="22"/>
  <c r="BA34" i="22"/>
  <c r="BA33" i="22"/>
  <c r="BA36" i="22"/>
  <c r="BA42" i="22"/>
  <c r="BA45" i="22"/>
  <c r="BA38" i="22"/>
  <c r="BA43" i="22"/>
  <c r="BA39" i="22"/>
  <c r="BA35" i="22"/>
  <c r="BA41" i="22"/>
  <c r="AZ44" i="30"/>
  <c r="AZ40" i="30"/>
  <c r="AZ36" i="30"/>
  <c r="AZ37" i="30"/>
  <c r="AZ42" i="30"/>
  <c r="AZ41" i="30"/>
  <c r="AZ38" i="30"/>
  <c r="AZ43" i="30"/>
  <c r="AZ39" i="30"/>
  <c r="AZ45" i="30"/>
  <c r="AZ35" i="30"/>
  <c r="AZ33" i="30"/>
  <c r="AZ34" i="30"/>
  <c r="AZ45" i="31"/>
  <c r="AZ34" i="31"/>
  <c r="AZ40" i="31"/>
  <c r="AZ44" i="31"/>
  <c r="AZ37" i="31"/>
  <c r="AZ35" i="31"/>
  <c r="AZ43" i="31"/>
  <c r="AZ33" i="31"/>
  <c r="AZ36" i="31"/>
  <c r="AZ38" i="31"/>
  <c r="AZ42" i="31"/>
  <c r="AZ39" i="31"/>
  <c r="AZ41" i="31"/>
  <c r="BA45" i="24"/>
  <c r="BA43" i="24"/>
  <c r="BA35" i="24"/>
  <c r="BA41" i="24"/>
  <c r="BA37" i="24"/>
  <c r="BA39" i="24"/>
  <c r="BA36" i="24"/>
  <c r="BA34" i="24"/>
  <c r="BA44" i="24"/>
  <c r="BA40" i="24"/>
  <c r="BA42" i="24"/>
  <c r="BA33" i="24"/>
  <c r="BA38" i="24"/>
  <c r="AZ40" i="32"/>
  <c r="AZ44" i="32"/>
  <c r="AZ35" i="32"/>
  <c r="AZ33" i="32"/>
  <c r="AZ42" i="32"/>
  <c r="AZ38" i="32"/>
  <c r="AZ39" i="32"/>
  <c r="AZ34" i="32"/>
  <c r="AZ43" i="32"/>
  <c r="AZ36" i="32"/>
  <c r="AZ37" i="32"/>
  <c r="AZ45" i="32"/>
  <c r="AZ41" i="32"/>
  <c r="BA40" i="25"/>
  <c r="BA38" i="25"/>
  <c r="BA36" i="25"/>
  <c r="BA37" i="25"/>
  <c r="BA41" i="25"/>
  <c r="BA35" i="25"/>
  <c r="BA33" i="25"/>
  <c r="BA34" i="25"/>
  <c r="BA44" i="25"/>
  <c r="BA39" i="25"/>
  <c r="BA42" i="25"/>
  <c r="BA43" i="25"/>
  <c r="BA45" i="25"/>
  <c r="BA41" i="40"/>
  <c r="BA40" i="40"/>
  <c r="BA38" i="40"/>
  <c r="BA36" i="40"/>
  <c r="BA37" i="40"/>
  <c r="BA39" i="40"/>
  <c r="BA34" i="40"/>
  <c r="BA33" i="40"/>
  <c r="BA43" i="40"/>
  <c r="BA35" i="40"/>
  <c r="BA42" i="40"/>
  <c r="BA44" i="40"/>
  <c r="BA45" i="40"/>
  <c r="BA45" i="29"/>
  <c r="BA43" i="29"/>
  <c r="BA42" i="29"/>
  <c r="BA35" i="29"/>
  <c r="BA41" i="29"/>
  <c r="BA37" i="29"/>
  <c r="BA33" i="29"/>
  <c r="BA38" i="29"/>
  <c r="BA36" i="29"/>
  <c r="BA39" i="29"/>
  <c r="BA40" i="29"/>
  <c r="BA34" i="29"/>
  <c r="BA44" i="29"/>
  <c r="BA8" i="27"/>
  <c r="BA8" i="44"/>
  <c r="BA8" i="40"/>
  <c r="AZ8" i="37"/>
  <c r="BA19" i="50"/>
  <c r="BA24" i="50"/>
  <c r="BA15" i="50"/>
  <c r="BA8" i="50"/>
  <c r="BA21" i="50"/>
  <c r="BA9" i="50"/>
  <c r="BA28" i="50"/>
  <c r="BA22" i="50"/>
  <c r="BA32" i="50"/>
  <c r="BA10" i="50"/>
  <c r="BA11" i="50"/>
  <c r="BA26" i="50"/>
  <c r="BA16" i="50"/>
  <c r="BA30" i="50"/>
  <c r="BA20" i="50"/>
  <c r="BA17" i="50"/>
  <c r="BA18" i="50"/>
  <c r="BA12" i="50"/>
  <c r="BA27" i="50"/>
  <c r="BA13" i="50"/>
  <c r="BB3" i="50"/>
  <c r="BB53" i="50" s="1"/>
  <c r="BA29" i="50"/>
  <c r="BA25" i="50"/>
  <c r="BA31" i="50"/>
  <c r="BA23" i="50"/>
  <c r="BA14" i="50"/>
  <c r="BB4" i="29"/>
  <c r="BB4" i="50"/>
  <c r="BB4" i="28"/>
  <c r="BB4" i="27"/>
  <c r="BB4" i="40"/>
  <c r="BB4" i="44"/>
  <c r="BA4" i="37"/>
  <c r="BB4" i="26"/>
  <c r="BB4" i="24"/>
  <c r="BB4" i="22"/>
  <c r="BA4" i="32"/>
  <c r="BA4" i="31"/>
  <c r="BB4" i="25"/>
  <c r="BA4" i="30"/>
  <c r="AZ27" i="32"/>
  <c r="AZ26" i="32"/>
  <c r="AZ23" i="32"/>
  <c r="AZ17" i="32"/>
  <c r="AZ32" i="32"/>
  <c r="AZ12" i="32"/>
  <c r="AZ13" i="32"/>
  <c r="AZ21" i="32"/>
  <c r="AZ20" i="32"/>
  <c r="AZ9" i="32"/>
  <c r="AZ16" i="32"/>
  <c r="AZ31" i="32"/>
  <c r="AZ18" i="32"/>
  <c r="AZ15" i="32"/>
  <c r="AZ19" i="32"/>
  <c r="AZ11" i="32"/>
  <c r="AZ14" i="32"/>
  <c r="AZ28" i="32"/>
  <c r="AZ24" i="32"/>
  <c r="AZ25" i="32"/>
  <c r="AZ29" i="32"/>
  <c r="AZ8" i="32"/>
  <c r="AZ30" i="32"/>
  <c r="AZ22" i="32"/>
  <c r="AZ10" i="32"/>
  <c r="BA8" i="22"/>
  <c r="BA8" i="25"/>
  <c r="BA48" i="28"/>
  <c r="BA46" i="28"/>
  <c r="BA47" i="28"/>
  <c r="BB3" i="29"/>
  <c r="BB53" i="29" s="1"/>
  <c r="BA3" i="32"/>
  <c r="BA53" i="32" s="1"/>
  <c r="BA3" i="31"/>
  <c r="BA53" i="31" s="1"/>
  <c r="BB3" i="40"/>
  <c r="BB53" i="40" s="1"/>
  <c r="BB3" i="27"/>
  <c r="BB53" i="27" s="1"/>
  <c r="BB3" i="28"/>
  <c r="BB3" i="44"/>
  <c r="BB53" i="44" s="1"/>
  <c r="BB3" i="26"/>
  <c r="BB53" i="26" s="1"/>
  <c r="BB3" i="25"/>
  <c r="BB53" i="25" s="1"/>
  <c r="BB3" i="24"/>
  <c r="BB53" i="24" s="1"/>
  <c r="BA3" i="30"/>
  <c r="BA53" i="30" s="1"/>
  <c r="BB3" i="22"/>
  <c r="BB53" i="22" s="1"/>
  <c r="BA3" i="37"/>
  <c r="BA53" i="37" s="1"/>
  <c r="I46" i="34"/>
  <c r="J46" i="34" s="1"/>
  <c r="K46" i="34" s="1"/>
  <c r="I45" i="34"/>
  <c r="J45" i="34" s="1"/>
  <c r="K45" i="34" s="1"/>
  <c r="B11" i="34"/>
  <c r="A11" i="34"/>
  <c r="A12" i="34" s="1"/>
  <c r="B9" i="34"/>
  <c r="A9" i="34"/>
  <c r="A10" i="34" s="1"/>
  <c r="B7" i="34"/>
  <c r="A7" i="34"/>
  <c r="A8" i="34" s="1"/>
  <c r="J12" i="34"/>
  <c r="J11" i="34"/>
  <c r="D12" i="34"/>
  <c r="J10" i="34"/>
  <c r="J9" i="34"/>
  <c r="D10" i="34"/>
  <c r="J8" i="34"/>
  <c r="J7" i="34"/>
  <c r="D8" i="34"/>
  <c r="S4" i="34"/>
  <c r="T4" i="34" s="1"/>
  <c r="U4" i="34" s="1"/>
  <c r="V4" i="34" s="1"/>
  <c r="W4" i="34" s="1"/>
  <c r="X4" i="34" s="1"/>
  <c r="Y4" i="34" s="1"/>
  <c r="Z4" i="34" s="1"/>
  <c r="AA4" i="34" s="1"/>
  <c r="AB4" i="34" s="1"/>
  <c r="AC4" i="34" s="1"/>
  <c r="AD4" i="34" s="1"/>
  <c r="AE4" i="34" s="1"/>
  <c r="AF4" i="34" s="1"/>
  <c r="AG4" i="34" s="1"/>
  <c r="AH4" i="34" s="1"/>
  <c r="AI4" i="34" s="1"/>
  <c r="AJ4" i="34" s="1"/>
  <c r="AK4" i="34" s="1"/>
  <c r="AL4" i="34" s="1"/>
  <c r="AM4" i="34" s="1"/>
  <c r="AN4" i="34" s="1"/>
  <c r="AO4" i="34" s="1"/>
  <c r="AP4" i="34" s="1"/>
  <c r="AQ4" i="34" s="1"/>
  <c r="AR4" i="34" s="1"/>
  <c r="AS4" i="34" s="1"/>
  <c r="AT4" i="34" s="1"/>
  <c r="AU4" i="34" s="1"/>
  <c r="AV4" i="34" s="1"/>
  <c r="AW4" i="34" s="1"/>
  <c r="AX4" i="34" s="1"/>
  <c r="AY4" i="34" s="1"/>
  <c r="AZ4" i="34" s="1"/>
  <c r="BA4" i="34" s="1"/>
  <c r="BB4" i="34" s="1"/>
  <c r="BC4" i="34" s="1"/>
  <c r="BD4" i="34" s="1"/>
  <c r="BE4" i="34" s="1"/>
  <c r="BF4" i="34" s="1"/>
  <c r="BG4" i="34" s="1"/>
  <c r="BH4" i="34" s="1"/>
  <c r="BI4" i="34" s="1"/>
  <c r="BJ4" i="34" s="1"/>
  <c r="BK4" i="34" s="1"/>
  <c r="BL4" i="34" s="1"/>
  <c r="BM4" i="34" s="1"/>
  <c r="BN4" i="34" s="1"/>
  <c r="BO4" i="34" s="1"/>
  <c r="BP4" i="34" s="1"/>
  <c r="BQ4" i="34" s="1"/>
  <c r="BR4" i="34" s="1"/>
  <c r="BS4" i="34" s="1"/>
  <c r="BT4" i="34" s="1"/>
  <c r="BU4" i="34" s="1"/>
  <c r="BV4" i="34" s="1"/>
  <c r="BW4" i="34" s="1"/>
  <c r="BX4" i="34" s="1"/>
  <c r="BY4" i="34" s="1"/>
  <c r="BZ4" i="34" s="1"/>
  <c r="CA4" i="34" s="1"/>
  <c r="CB4" i="34" s="1"/>
  <c r="CC4" i="34" s="1"/>
  <c r="CD4" i="34" s="1"/>
  <c r="CE4" i="34" s="1"/>
  <c r="CF4" i="34" s="1"/>
  <c r="S3" i="34"/>
  <c r="T3" i="34" s="1"/>
  <c r="U3" i="34" s="1"/>
  <c r="V3" i="34" s="1"/>
  <c r="W3" i="34" s="1"/>
  <c r="X3" i="34" s="1"/>
  <c r="Y3" i="34" s="1"/>
  <c r="Z3" i="34" s="1"/>
  <c r="AA3" i="34" s="1"/>
  <c r="AB3" i="34" s="1"/>
  <c r="AC3" i="34" s="1"/>
  <c r="AD3" i="34" s="1"/>
  <c r="AE3" i="34" s="1"/>
  <c r="AF3" i="34" s="1"/>
  <c r="AG3" i="34" s="1"/>
  <c r="AH3" i="34" s="1"/>
  <c r="AI3" i="34" s="1"/>
  <c r="AJ3" i="34" s="1"/>
  <c r="AK3" i="34" s="1"/>
  <c r="AL3" i="34" s="1"/>
  <c r="AM3" i="34" s="1"/>
  <c r="AN3" i="34" s="1"/>
  <c r="AO3" i="34" s="1"/>
  <c r="AP3" i="34" s="1"/>
  <c r="AQ3" i="34" s="1"/>
  <c r="AR3" i="34" s="1"/>
  <c r="AS3" i="34" s="1"/>
  <c r="AT3" i="34" s="1"/>
  <c r="AU3" i="34" s="1"/>
  <c r="AV3" i="34" s="1"/>
  <c r="AW3" i="34" s="1"/>
  <c r="AX3" i="34" s="1"/>
  <c r="AY3" i="34" s="1"/>
  <c r="AZ3" i="34" s="1"/>
  <c r="BA3" i="34" s="1"/>
  <c r="BB3" i="34" s="1"/>
  <c r="BC3" i="34" s="1"/>
  <c r="BD3" i="34" s="1"/>
  <c r="BE3" i="34" s="1"/>
  <c r="BF3" i="34" s="1"/>
  <c r="BG3" i="34" s="1"/>
  <c r="BH3" i="34" s="1"/>
  <c r="BI3" i="34" s="1"/>
  <c r="BJ3" i="34" s="1"/>
  <c r="BK3" i="34" s="1"/>
  <c r="BL3" i="34" s="1"/>
  <c r="BM3" i="34" s="1"/>
  <c r="BN3" i="34" s="1"/>
  <c r="BO3" i="34" s="1"/>
  <c r="BP3" i="34" s="1"/>
  <c r="BQ3" i="34" s="1"/>
  <c r="BR3" i="34" s="1"/>
  <c r="BS3" i="34" s="1"/>
  <c r="BT3" i="34" s="1"/>
  <c r="BU3" i="34" s="1"/>
  <c r="BV3" i="34" s="1"/>
  <c r="BW3" i="34" s="1"/>
  <c r="BX3" i="34" s="1"/>
  <c r="BY3" i="34" s="1"/>
  <c r="BZ3" i="34" s="1"/>
  <c r="CA3" i="34" s="1"/>
  <c r="CB3" i="34" s="1"/>
  <c r="CC3" i="34" s="1"/>
  <c r="CD3" i="34" s="1"/>
  <c r="CE3" i="34" s="1"/>
  <c r="CF3" i="34" s="1"/>
  <c r="BB47" i="40" l="1"/>
  <c r="BB49" i="40"/>
  <c r="BB46" i="40"/>
  <c r="BB52" i="40"/>
  <c r="BB51" i="40"/>
  <c r="BB50" i="40"/>
  <c r="BB48" i="40"/>
  <c r="BA49" i="37"/>
  <c r="BA52" i="37"/>
  <c r="BA48" i="37"/>
  <c r="BA47" i="37"/>
  <c r="BA46" i="37"/>
  <c r="BA51" i="37"/>
  <c r="BA50" i="37"/>
  <c r="BA52" i="32"/>
  <c r="BA48" i="32"/>
  <c r="BA51" i="32"/>
  <c r="BA50" i="32"/>
  <c r="BA46" i="32"/>
  <c r="BA47" i="32"/>
  <c r="BA49" i="32"/>
  <c r="BB50" i="25"/>
  <c r="BB47" i="25"/>
  <c r="BB52" i="25"/>
  <c r="BB48" i="25"/>
  <c r="BB49" i="25"/>
  <c r="BB46" i="25"/>
  <c r="BB51" i="25"/>
  <c r="BB50" i="27"/>
  <c r="BB49" i="27"/>
  <c r="BB46" i="27"/>
  <c r="BB48" i="27"/>
  <c r="BB47" i="27"/>
  <c r="BB52" i="27"/>
  <c r="BB51" i="27"/>
  <c r="BB51" i="22"/>
  <c r="BB47" i="22"/>
  <c r="BB46" i="22"/>
  <c r="BB50" i="22"/>
  <c r="BB48" i="22"/>
  <c r="BB49" i="22"/>
  <c r="BB52" i="22"/>
  <c r="BB49" i="26"/>
  <c r="BB52" i="26"/>
  <c r="BB50" i="26"/>
  <c r="BB51" i="26"/>
  <c r="BB47" i="26"/>
  <c r="BB46" i="26"/>
  <c r="BB48" i="26"/>
  <c r="BA49" i="30"/>
  <c r="BA51" i="30"/>
  <c r="BA52" i="30"/>
  <c r="BA46" i="30"/>
  <c r="BA50" i="30"/>
  <c r="BA48" i="30"/>
  <c r="BA47" i="30"/>
  <c r="BB46" i="44"/>
  <c r="BB48" i="44"/>
  <c r="BB47" i="44"/>
  <c r="BB50" i="44"/>
  <c r="BB51" i="44"/>
  <c r="BB49" i="44"/>
  <c r="BB52" i="44"/>
  <c r="BA52" i="31"/>
  <c r="BA46" i="31"/>
  <c r="BA51" i="31"/>
  <c r="BA49" i="31"/>
  <c r="BA50" i="31"/>
  <c r="BA48" i="31"/>
  <c r="BA47" i="31"/>
  <c r="BB48" i="50"/>
  <c r="BB46" i="50"/>
  <c r="BB47" i="50"/>
  <c r="BB49" i="50"/>
  <c r="BB50" i="50"/>
  <c r="BB52" i="50"/>
  <c r="BB51" i="50"/>
  <c r="BB49" i="24"/>
  <c r="BB51" i="24"/>
  <c r="BB50" i="24"/>
  <c r="BB46" i="24"/>
  <c r="BB47" i="24"/>
  <c r="BB48" i="24"/>
  <c r="BB52" i="24"/>
  <c r="BB41" i="22"/>
  <c r="BB36" i="22"/>
  <c r="BB37" i="22"/>
  <c r="BB43" i="22"/>
  <c r="BB39" i="22"/>
  <c r="BB35" i="22"/>
  <c r="BB40" i="22"/>
  <c r="BB44" i="22"/>
  <c r="BB34" i="22"/>
  <c r="BB38" i="22"/>
  <c r="BB33" i="22"/>
  <c r="BB42" i="22"/>
  <c r="BB45" i="22"/>
  <c r="BB39" i="26"/>
  <c r="BB44" i="26"/>
  <c r="BB37" i="26"/>
  <c r="BB40" i="26"/>
  <c r="BB45" i="26"/>
  <c r="BB34" i="26"/>
  <c r="BB33" i="26"/>
  <c r="BB41" i="26"/>
  <c r="BB42" i="26"/>
  <c r="BB35" i="26"/>
  <c r="BB36" i="26"/>
  <c r="BB38" i="26"/>
  <c r="BB43" i="26"/>
  <c r="BB41" i="40"/>
  <c r="BB45" i="40"/>
  <c r="BB38" i="40"/>
  <c r="BB44" i="40"/>
  <c r="BB35" i="40"/>
  <c r="BB40" i="40"/>
  <c r="BB42" i="40"/>
  <c r="BB34" i="40"/>
  <c r="BB33" i="40"/>
  <c r="BB37" i="40"/>
  <c r="BB39" i="40"/>
  <c r="BB43" i="40"/>
  <c r="BB36" i="40"/>
  <c r="BA35" i="30"/>
  <c r="BA40" i="30"/>
  <c r="BA39" i="30"/>
  <c r="BA43" i="30"/>
  <c r="BA42" i="30"/>
  <c r="BA36" i="30"/>
  <c r="BA45" i="30"/>
  <c r="BA38" i="30"/>
  <c r="BA41" i="30"/>
  <c r="BA44" i="30"/>
  <c r="BA34" i="30"/>
  <c r="BA37" i="30"/>
  <c r="BA33" i="30"/>
  <c r="BA44" i="31"/>
  <c r="BA41" i="31"/>
  <c r="BA39" i="31"/>
  <c r="BA37" i="31"/>
  <c r="BA45" i="31"/>
  <c r="BA34" i="31"/>
  <c r="BA33" i="31"/>
  <c r="BA36" i="31"/>
  <c r="BA38" i="31"/>
  <c r="BA40" i="31"/>
  <c r="BA42" i="31"/>
  <c r="BA43" i="31"/>
  <c r="BA35" i="31"/>
  <c r="BB43" i="50"/>
  <c r="BB41" i="50"/>
  <c r="BB42" i="50"/>
  <c r="BB35" i="50"/>
  <c r="BB36" i="50"/>
  <c r="BB33" i="50"/>
  <c r="BB44" i="50"/>
  <c r="BB45" i="50"/>
  <c r="BB38" i="50"/>
  <c r="BB34" i="50"/>
  <c r="BB40" i="50"/>
  <c r="BB37" i="50"/>
  <c r="BB39" i="50"/>
  <c r="BB42" i="44"/>
  <c r="BB45" i="44"/>
  <c r="BB44" i="44"/>
  <c r="BB34" i="44"/>
  <c r="BB37" i="44"/>
  <c r="BB35" i="44"/>
  <c r="BB41" i="44"/>
  <c r="BB43" i="44"/>
  <c r="BB33" i="44"/>
  <c r="BB38" i="44"/>
  <c r="BB40" i="44"/>
  <c r="BB39" i="44"/>
  <c r="BB36" i="44"/>
  <c r="BB41" i="24"/>
  <c r="BB33" i="24"/>
  <c r="BB45" i="24"/>
  <c r="BB36" i="24"/>
  <c r="BB38" i="24"/>
  <c r="BB40" i="24"/>
  <c r="BB42" i="24"/>
  <c r="BB44" i="24"/>
  <c r="BB35" i="24"/>
  <c r="BB37" i="24"/>
  <c r="BB39" i="24"/>
  <c r="BB43" i="24"/>
  <c r="BB34" i="24"/>
  <c r="BA39" i="32"/>
  <c r="BA35" i="32"/>
  <c r="BA33" i="32"/>
  <c r="BA38" i="32"/>
  <c r="BA43" i="32"/>
  <c r="BA37" i="32"/>
  <c r="BA34" i="32"/>
  <c r="BA36" i="32"/>
  <c r="BA42" i="32"/>
  <c r="BA44" i="32"/>
  <c r="BA45" i="32"/>
  <c r="BA41" i="32"/>
  <c r="BA40" i="32"/>
  <c r="BA33" i="37"/>
  <c r="BA42" i="37"/>
  <c r="BA37" i="37"/>
  <c r="BA43" i="37"/>
  <c r="BA40" i="37"/>
  <c r="BA39" i="37"/>
  <c r="BA34" i="37"/>
  <c r="BA45" i="37"/>
  <c r="BA41" i="37"/>
  <c r="BA44" i="37"/>
  <c r="BA35" i="37"/>
  <c r="BA36" i="37"/>
  <c r="BA38" i="37"/>
  <c r="BB33" i="25"/>
  <c r="BB42" i="25"/>
  <c r="BB39" i="25"/>
  <c r="BB37" i="25"/>
  <c r="BB35" i="25"/>
  <c r="BB38" i="25"/>
  <c r="BB41" i="25"/>
  <c r="BB36" i="25"/>
  <c r="BB40" i="25"/>
  <c r="BB34" i="25"/>
  <c r="BB43" i="25"/>
  <c r="BB45" i="25"/>
  <c r="BB44" i="25"/>
  <c r="BB42" i="27"/>
  <c r="BB39" i="27"/>
  <c r="BB44" i="27"/>
  <c r="BB36" i="27"/>
  <c r="BB41" i="27"/>
  <c r="BB33" i="27"/>
  <c r="BB45" i="27"/>
  <c r="BB35" i="27"/>
  <c r="BB37" i="27"/>
  <c r="BB43" i="27"/>
  <c r="BB34" i="27"/>
  <c r="BB40" i="27"/>
  <c r="BB38" i="27"/>
  <c r="BB50" i="29"/>
  <c r="BB51" i="29"/>
  <c r="BB52" i="29"/>
  <c r="BB48" i="29"/>
  <c r="BB49" i="29"/>
  <c r="BB47" i="29"/>
  <c r="BB46" i="29"/>
  <c r="BB43" i="29"/>
  <c r="BB42" i="29"/>
  <c r="BB40" i="29"/>
  <c r="BB38" i="29"/>
  <c r="BB36" i="29"/>
  <c r="BB37" i="29"/>
  <c r="BB33" i="29"/>
  <c r="BB41" i="29"/>
  <c r="BB34" i="29"/>
  <c r="BB35" i="29"/>
  <c r="BB44" i="29"/>
  <c r="BB45" i="29"/>
  <c r="BB39" i="29"/>
  <c r="BB8" i="27"/>
  <c r="BB8" i="44"/>
  <c r="BB8" i="40"/>
  <c r="BA8" i="37"/>
  <c r="BB10" i="50"/>
  <c r="BB30" i="50"/>
  <c r="BB23" i="50"/>
  <c r="BB32" i="50"/>
  <c r="BB25" i="50"/>
  <c r="BB16" i="50"/>
  <c r="BB29" i="50"/>
  <c r="BB26" i="50"/>
  <c r="BB15" i="50"/>
  <c r="BB14" i="50"/>
  <c r="BB28" i="50"/>
  <c r="BB13" i="50"/>
  <c r="BB8" i="50"/>
  <c r="BB9" i="50"/>
  <c r="BB31" i="50"/>
  <c r="BB17" i="50"/>
  <c r="BB21" i="50"/>
  <c r="BB27" i="50"/>
  <c r="BB22" i="50"/>
  <c r="BB11" i="50"/>
  <c r="BB24" i="50"/>
  <c r="BB19" i="50"/>
  <c r="BB18" i="50"/>
  <c r="BB20" i="50"/>
  <c r="BB12" i="50"/>
  <c r="BC3" i="50"/>
  <c r="BC53" i="50" s="1"/>
  <c r="BC4" i="29"/>
  <c r="BC4" i="50"/>
  <c r="BC4" i="27"/>
  <c r="BC4" i="40"/>
  <c r="BC4" i="44"/>
  <c r="BB4" i="37"/>
  <c r="BC4" i="26"/>
  <c r="BC4" i="28"/>
  <c r="BC4" i="22"/>
  <c r="BB4" i="32"/>
  <c r="BB4" i="31"/>
  <c r="BC4" i="25"/>
  <c r="BC4" i="24"/>
  <c r="BB4" i="30"/>
  <c r="BA27" i="32"/>
  <c r="BA26" i="32"/>
  <c r="BA23" i="32"/>
  <c r="BA11" i="32"/>
  <c r="BA15" i="32"/>
  <c r="BA12" i="32"/>
  <c r="BA16" i="32"/>
  <c r="BA30" i="32"/>
  <c r="BA31" i="32"/>
  <c r="BA20" i="32"/>
  <c r="BA18" i="32"/>
  <c r="BA13" i="32"/>
  <c r="BA28" i="32"/>
  <c r="BA29" i="32"/>
  <c r="BA9" i="32"/>
  <c r="BA19" i="32"/>
  <c r="BA10" i="32"/>
  <c r="BA17" i="32"/>
  <c r="BA25" i="32"/>
  <c r="BA22" i="32"/>
  <c r="BA24" i="32"/>
  <c r="BA32" i="32"/>
  <c r="BA14" i="32"/>
  <c r="BA21" i="32"/>
  <c r="BA8" i="32"/>
  <c r="BB8" i="22"/>
  <c r="BB8" i="25"/>
  <c r="BB46" i="28"/>
  <c r="BB47" i="28"/>
  <c r="BB48" i="28"/>
  <c r="BC3" i="29"/>
  <c r="BC53" i="29" s="1"/>
  <c r="BC3" i="26"/>
  <c r="BC53" i="26" s="1"/>
  <c r="BC3" i="25"/>
  <c r="BC53" i="25" s="1"/>
  <c r="BB3" i="30"/>
  <c r="BB53" i="30" s="1"/>
  <c r="BC3" i="27"/>
  <c r="BC53" i="27" s="1"/>
  <c r="BC3" i="22"/>
  <c r="BC53" i="22" s="1"/>
  <c r="BB3" i="32"/>
  <c r="BB53" i="32" s="1"/>
  <c r="BB3" i="31"/>
  <c r="BB53" i="31" s="1"/>
  <c r="BB3" i="37"/>
  <c r="BB53" i="37" s="1"/>
  <c r="BC3" i="40"/>
  <c r="BC53" i="40" s="1"/>
  <c r="BC3" i="28"/>
  <c r="BC3" i="24"/>
  <c r="BC53" i="24" s="1"/>
  <c r="BC3" i="44"/>
  <c r="BC53" i="44" s="1"/>
  <c r="B12" i="34"/>
  <c r="K47" i="34"/>
  <c r="B10" i="34"/>
  <c r="B8" i="34"/>
  <c r="BB48" i="37" l="1"/>
  <c r="BB47" i="37"/>
  <c r="BB46" i="37"/>
  <c r="BB51" i="37"/>
  <c r="BB49" i="37"/>
  <c r="BB52" i="37"/>
  <c r="BB50" i="37"/>
  <c r="BC52" i="40"/>
  <c r="BC46" i="40"/>
  <c r="BC47" i="40"/>
  <c r="BC49" i="40"/>
  <c r="BC51" i="40"/>
  <c r="BC50" i="40"/>
  <c r="BC48" i="40"/>
  <c r="BC48" i="26"/>
  <c r="BC46" i="26"/>
  <c r="BC51" i="26"/>
  <c r="BC47" i="26"/>
  <c r="BC49" i="26"/>
  <c r="BC50" i="26"/>
  <c r="BC52" i="26"/>
  <c r="BC47" i="22"/>
  <c r="BC46" i="22"/>
  <c r="BC50" i="22"/>
  <c r="BC52" i="22"/>
  <c r="BC49" i="22"/>
  <c r="BC51" i="22"/>
  <c r="BC48" i="22"/>
  <c r="BC49" i="44"/>
  <c r="BC52" i="44"/>
  <c r="BC47" i="44"/>
  <c r="BC51" i="44"/>
  <c r="BC48" i="44"/>
  <c r="BC46" i="44"/>
  <c r="BC50" i="44"/>
  <c r="BC47" i="27"/>
  <c r="BC49" i="27"/>
  <c r="BC50" i="27"/>
  <c r="BC46" i="27"/>
  <c r="BC48" i="27"/>
  <c r="BC51" i="27"/>
  <c r="BC52" i="27"/>
  <c r="BC52" i="50"/>
  <c r="BC48" i="50"/>
  <c r="BC46" i="50"/>
  <c r="BC51" i="50"/>
  <c r="BC50" i="50"/>
  <c r="BC47" i="50"/>
  <c r="BC49" i="50"/>
  <c r="BB50" i="31"/>
  <c r="BB51" i="31"/>
  <c r="BB49" i="31"/>
  <c r="BB47" i="31"/>
  <c r="BB48" i="31"/>
  <c r="BB46" i="31"/>
  <c r="BB52" i="31"/>
  <c r="BB48" i="30"/>
  <c r="BB50" i="30"/>
  <c r="BB46" i="30"/>
  <c r="BB47" i="30"/>
  <c r="BB49" i="30"/>
  <c r="BB51" i="30"/>
  <c r="BB52" i="30"/>
  <c r="BB50" i="32"/>
  <c r="BB48" i="32"/>
  <c r="BB49" i="32"/>
  <c r="BB46" i="32"/>
  <c r="BB47" i="32"/>
  <c r="BB51" i="32"/>
  <c r="BB52" i="32"/>
  <c r="BC51" i="25"/>
  <c r="BC47" i="25"/>
  <c r="BC46" i="25"/>
  <c r="BC49" i="25"/>
  <c r="BC48" i="25"/>
  <c r="BC50" i="25"/>
  <c r="BC52" i="25"/>
  <c r="BC47" i="24"/>
  <c r="BC49" i="24"/>
  <c r="BC48" i="24"/>
  <c r="BC52" i="24"/>
  <c r="BC50" i="24"/>
  <c r="BC51" i="24"/>
  <c r="BC46" i="24"/>
  <c r="BB33" i="37"/>
  <c r="BB39" i="37"/>
  <c r="BB45" i="37"/>
  <c r="BB44" i="37"/>
  <c r="BB34" i="37"/>
  <c r="BB35" i="37"/>
  <c r="BB36" i="37"/>
  <c r="BB37" i="37"/>
  <c r="BB42" i="37"/>
  <c r="BB43" i="37"/>
  <c r="BB38" i="37"/>
  <c r="BB40" i="37"/>
  <c r="BB41" i="37"/>
  <c r="BC51" i="29"/>
  <c r="BC47" i="29"/>
  <c r="BC52" i="29"/>
  <c r="BC50" i="29"/>
  <c r="BC46" i="29"/>
  <c r="BC48" i="29"/>
  <c r="BC49" i="29"/>
  <c r="BC42" i="24"/>
  <c r="BC39" i="24"/>
  <c r="BC37" i="24"/>
  <c r="BC35" i="24"/>
  <c r="BC34" i="24"/>
  <c r="BC40" i="24"/>
  <c r="BC38" i="24"/>
  <c r="BC33" i="24"/>
  <c r="BC41" i="24"/>
  <c r="BC36" i="24"/>
  <c r="BC44" i="24"/>
  <c r="BC43" i="24"/>
  <c r="BC45" i="24"/>
  <c r="BB35" i="31"/>
  <c r="BB38" i="31"/>
  <c r="BB37" i="31"/>
  <c r="BB41" i="31"/>
  <c r="BB45" i="31"/>
  <c r="BB34" i="31"/>
  <c r="BB36" i="31"/>
  <c r="BB39" i="31"/>
  <c r="BB33" i="31"/>
  <c r="BB42" i="31"/>
  <c r="BB43" i="31"/>
  <c r="BB40" i="31"/>
  <c r="BB44" i="31"/>
  <c r="BB34" i="30"/>
  <c r="BB33" i="30"/>
  <c r="BB42" i="30"/>
  <c r="BB40" i="30"/>
  <c r="BB39" i="30"/>
  <c r="BB41" i="30"/>
  <c r="BB44" i="30"/>
  <c r="BB45" i="30"/>
  <c r="BB38" i="30"/>
  <c r="BB43" i="30"/>
  <c r="BB35" i="30"/>
  <c r="BB36" i="30"/>
  <c r="BB37" i="30"/>
  <c r="BC45" i="50"/>
  <c r="BC40" i="50"/>
  <c r="BC37" i="50"/>
  <c r="BC41" i="50"/>
  <c r="BC39" i="50"/>
  <c r="BC33" i="50"/>
  <c r="BC38" i="50"/>
  <c r="BC35" i="50"/>
  <c r="BC36" i="50"/>
  <c r="BC34" i="50"/>
  <c r="BC42" i="50"/>
  <c r="BC44" i="50"/>
  <c r="BC43" i="50"/>
  <c r="BC40" i="44"/>
  <c r="BC41" i="44"/>
  <c r="BC39" i="44"/>
  <c r="BC45" i="44"/>
  <c r="BC35" i="44"/>
  <c r="BC37" i="44"/>
  <c r="BC42" i="44"/>
  <c r="BC44" i="44"/>
  <c r="BC34" i="44"/>
  <c r="BC33" i="44"/>
  <c r="BC36" i="44"/>
  <c r="BC38" i="44"/>
  <c r="BC43" i="44"/>
  <c r="BB37" i="32"/>
  <c r="BB33" i="32"/>
  <c r="BB40" i="32"/>
  <c r="BB45" i="32"/>
  <c r="BB41" i="32"/>
  <c r="BB43" i="32"/>
  <c r="BB44" i="32"/>
  <c r="BB34" i="32"/>
  <c r="BB42" i="32"/>
  <c r="BB36" i="32"/>
  <c r="BB38" i="32"/>
  <c r="BB35" i="32"/>
  <c r="BB39" i="32"/>
  <c r="BC43" i="25"/>
  <c r="BC45" i="25"/>
  <c r="BC41" i="25"/>
  <c r="BC39" i="25"/>
  <c r="BC37" i="25"/>
  <c r="BC34" i="25"/>
  <c r="BC36" i="25"/>
  <c r="BC42" i="25"/>
  <c r="BC35" i="25"/>
  <c r="BC33" i="25"/>
  <c r="BC38" i="25"/>
  <c r="BC40" i="25"/>
  <c r="BC44" i="25"/>
  <c r="BC42" i="40"/>
  <c r="BC39" i="40"/>
  <c r="BC34" i="40"/>
  <c r="BC33" i="40"/>
  <c r="BC40" i="40"/>
  <c r="BC37" i="40"/>
  <c r="BC36" i="40"/>
  <c r="BC44" i="40"/>
  <c r="BC35" i="40"/>
  <c r="BC41" i="40"/>
  <c r="BC43" i="40"/>
  <c r="BC38" i="40"/>
  <c r="BC45" i="40"/>
  <c r="BC36" i="22"/>
  <c r="BC37" i="22"/>
  <c r="BC33" i="22"/>
  <c r="BC39" i="22"/>
  <c r="BC41" i="22"/>
  <c r="BC45" i="22"/>
  <c r="BC38" i="22"/>
  <c r="BC34" i="22"/>
  <c r="BC44" i="22"/>
  <c r="BC42" i="22"/>
  <c r="BC35" i="22"/>
  <c r="BC40" i="22"/>
  <c r="BC43" i="22"/>
  <c r="BC44" i="26"/>
  <c r="BC40" i="26"/>
  <c r="BC38" i="26"/>
  <c r="BC33" i="26"/>
  <c r="BC42" i="26"/>
  <c r="BC39" i="26"/>
  <c r="BC43" i="26"/>
  <c r="BC45" i="26"/>
  <c r="BC36" i="26"/>
  <c r="BC37" i="26"/>
  <c r="BC35" i="26"/>
  <c r="BC34" i="26"/>
  <c r="BC41" i="26"/>
  <c r="BC43" i="27"/>
  <c r="BC38" i="27"/>
  <c r="BC41" i="27"/>
  <c r="BC44" i="27"/>
  <c r="BC45" i="27"/>
  <c r="BC37" i="27"/>
  <c r="BC40" i="27"/>
  <c r="BC42" i="27"/>
  <c r="BC35" i="27"/>
  <c r="BC36" i="27"/>
  <c r="BC33" i="27"/>
  <c r="BC39" i="27"/>
  <c r="BC34" i="27"/>
  <c r="BC41" i="29"/>
  <c r="BC39" i="29"/>
  <c r="BC38" i="29"/>
  <c r="BC40" i="29"/>
  <c r="BC37" i="29"/>
  <c r="BC42" i="29"/>
  <c r="BC33" i="29"/>
  <c r="BC45" i="29"/>
  <c r="BC35" i="29"/>
  <c r="BC36" i="29"/>
  <c r="BC44" i="29"/>
  <c r="BC34" i="29"/>
  <c r="BC43" i="29"/>
  <c r="BC8" i="27"/>
  <c r="BC8" i="44"/>
  <c r="BC8" i="40"/>
  <c r="BB8" i="37"/>
  <c r="BC17" i="50"/>
  <c r="BC14" i="50"/>
  <c r="BC29" i="50"/>
  <c r="BC30" i="50"/>
  <c r="BC26" i="50"/>
  <c r="BC31" i="50"/>
  <c r="BC27" i="50"/>
  <c r="BC15" i="50"/>
  <c r="BC18" i="50"/>
  <c r="BC28" i="50"/>
  <c r="BC24" i="50"/>
  <c r="BC8" i="50"/>
  <c r="BC11" i="50"/>
  <c r="BC10" i="50"/>
  <c r="BC12" i="50"/>
  <c r="BC32" i="50"/>
  <c r="BC20" i="50"/>
  <c r="BC25" i="50"/>
  <c r="BC9" i="50"/>
  <c r="BC22" i="50"/>
  <c r="BC13" i="50"/>
  <c r="BC19" i="50"/>
  <c r="BC16" i="50"/>
  <c r="BC23" i="50"/>
  <c r="BC21" i="50"/>
  <c r="BD3" i="50"/>
  <c r="BD53" i="50" s="1"/>
  <c r="BD4" i="29"/>
  <c r="BD4" i="50"/>
  <c r="BD4" i="40"/>
  <c r="BD4" i="44"/>
  <c r="BC4" i="37"/>
  <c r="BD4" i="28"/>
  <c r="BD4" i="27"/>
  <c r="BC4" i="31"/>
  <c r="BD4" i="25"/>
  <c r="BD4" i="26"/>
  <c r="BD4" i="24"/>
  <c r="BD4" i="22"/>
  <c r="BC4" i="32"/>
  <c r="BC4" i="30"/>
  <c r="BB22" i="32"/>
  <c r="BB28" i="32"/>
  <c r="BB18" i="32"/>
  <c r="BB10" i="32"/>
  <c r="BB12" i="32"/>
  <c r="BB27" i="32"/>
  <c r="BB9" i="32"/>
  <c r="BB19" i="32"/>
  <c r="BB17" i="32"/>
  <c r="BB14" i="32"/>
  <c r="BB13" i="32"/>
  <c r="BB20" i="32"/>
  <c r="BB24" i="32"/>
  <c r="BB8" i="32"/>
  <c r="BB26" i="32"/>
  <c r="BB23" i="32"/>
  <c r="BB32" i="32"/>
  <c r="BB31" i="32"/>
  <c r="BB16" i="32"/>
  <c r="BB25" i="32"/>
  <c r="BB15" i="32"/>
  <c r="BB11" i="32"/>
  <c r="BB29" i="32"/>
  <c r="BB30" i="32"/>
  <c r="BB21" i="32"/>
  <c r="BC8" i="22"/>
  <c r="BC8" i="25"/>
  <c r="BC47" i="28"/>
  <c r="BC46" i="28"/>
  <c r="BC48" i="28"/>
  <c r="BC3" i="37"/>
  <c r="BC53" i="37" s="1"/>
  <c r="BD3" i="28"/>
  <c r="BD3" i="26"/>
  <c r="BD53" i="26" s="1"/>
  <c r="BD3" i="29"/>
  <c r="BD53" i="29" s="1"/>
  <c r="BD3" i="27"/>
  <c r="BD53" i="27" s="1"/>
  <c r="BD3" i="44"/>
  <c r="BD53" i="44" s="1"/>
  <c r="BD3" i="40"/>
  <c r="BD53" i="40" s="1"/>
  <c r="BD3" i="25"/>
  <c r="BD53" i="25" s="1"/>
  <c r="BD3" i="24"/>
  <c r="BD53" i="24" s="1"/>
  <c r="BD3" i="22"/>
  <c r="BD53" i="22" s="1"/>
  <c r="BC3" i="32"/>
  <c r="BC53" i="32" s="1"/>
  <c r="BC3" i="30"/>
  <c r="BC53" i="30" s="1"/>
  <c r="BC3" i="31"/>
  <c r="BC53" i="31" s="1"/>
  <c r="CD5" i="29" a="1"/>
  <c r="BP5" i="25" a="1"/>
  <c r="BX5" i="24" a="1"/>
  <c r="BL5" i="29" a="1"/>
  <c r="BV5" i="26" a="1"/>
  <c r="BS5" i="28" a="1"/>
  <c r="BY5" i="29" a="1"/>
  <c r="CE5" i="27" a="1"/>
  <c r="BK5" i="25" a="1"/>
  <c r="CA5" i="24" a="1"/>
  <c r="BS5" i="29" a="1"/>
  <c r="BQ5" i="22" a="1"/>
  <c r="BO5" i="22" a="1"/>
  <c r="CB5" i="30" a="1"/>
  <c r="CD5" i="27" a="1"/>
  <c r="BH5" i="26" a="1"/>
  <c r="BS5" i="30" a="1"/>
  <c r="BY5" i="26" a="1"/>
  <c r="BI5" i="30" a="1"/>
  <c r="BO5" i="27" a="1"/>
  <c r="BR5" i="30" a="1"/>
  <c r="BW5" i="28" a="1"/>
  <c r="BZ5" i="28" a="1"/>
  <c r="BS5" i="27" a="1"/>
  <c r="CB5" i="24" a="1"/>
  <c r="BX5" i="25" a="1"/>
  <c r="BW5" i="32" a="1"/>
  <c r="BP5" i="26" a="1"/>
  <c r="BG5" i="31" a="1"/>
  <c r="BW5" i="30" a="1"/>
  <c r="BH5" i="24" a="1"/>
  <c r="CC5" i="22" a="1"/>
  <c r="BV5" i="25" a="1"/>
  <c r="BK5" i="24" a="1"/>
  <c r="BQ5" i="31" a="1"/>
  <c r="BR5" i="28" a="1"/>
  <c r="BK5" i="32" a="1"/>
  <c r="BW5" i="29" a="1"/>
  <c r="BV5" i="24" a="1"/>
  <c r="BK5" i="30" a="1"/>
  <c r="BN5" i="24" a="1"/>
  <c r="CC5" i="25" a="1"/>
  <c r="CC5" i="29" a="1"/>
  <c r="BZ5" i="24" a="1"/>
  <c r="BT5" i="31" a="1"/>
  <c r="BQ5" i="26" a="1"/>
  <c r="CD5" i="26" a="1"/>
  <c r="BN5" i="22" a="1"/>
  <c r="CA5" i="26" a="1"/>
  <c r="BN5" i="31" a="1"/>
  <c r="BM5" i="32" a="1"/>
  <c r="BU5" i="22" a="1"/>
  <c r="CE5" i="28" a="1"/>
  <c r="BT5" i="29" a="1"/>
  <c r="BH5" i="27" a="1"/>
  <c r="CB5" i="28" a="1"/>
  <c r="BT5" i="32" a="1"/>
  <c r="CB5" i="25" a="1"/>
  <c r="BW5" i="22" a="1"/>
  <c r="CC5" i="24" a="1"/>
  <c r="BY5" i="27" a="1"/>
  <c r="BH5" i="22" a="1"/>
  <c r="BJ5" i="22" a="1"/>
  <c r="BX5" i="31" a="1"/>
  <c r="BN5" i="26" a="1"/>
  <c r="BL5" i="27" a="1"/>
  <c r="BX5" i="29" a="1"/>
  <c r="CE5" i="25" a="1"/>
  <c r="BK5" i="31" a="1"/>
  <c r="CB5" i="29" a="1"/>
  <c r="BV5" i="30" a="1"/>
  <c r="BP5" i="22" a="1"/>
  <c r="BJ5" i="24" a="1"/>
  <c r="BL5" i="25" a="1"/>
  <c r="BI5" i="26" a="1"/>
  <c r="BM5" i="29" a="1"/>
  <c r="BH5" i="30" a="1"/>
  <c r="BR5" i="26" a="1"/>
  <c r="BJ5" i="31" a="1"/>
  <c r="BT5" i="22" a="1"/>
  <c r="CC5" i="31" a="1"/>
  <c r="BI5" i="25" a="1"/>
  <c r="BV5" i="31" a="1"/>
  <c r="BS5" i="24" a="1"/>
  <c r="BL5" i="32" a="1"/>
  <c r="BP5" i="32" a="1"/>
  <c r="BM5" i="30" a="1"/>
  <c r="CA5" i="25" a="1"/>
  <c r="BU5" i="28" a="1"/>
  <c r="BT5" i="26" a="1"/>
  <c r="BY5" i="30" a="1"/>
  <c r="BN5" i="29" a="1"/>
  <c r="CD5" i="28" a="1"/>
  <c r="BR5" i="24" a="1"/>
  <c r="BR5" i="32" a="1"/>
  <c r="BR5" i="27" a="1"/>
  <c r="BJ5" i="27" a="1"/>
  <c r="BY5" i="31" a="1"/>
  <c r="BP5" i="31" a="1"/>
  <c r="BK5" i="22" a="1"/>
  <c r="BU5" i="27" a="1"/>
  <c r="BJ5" i="26" a="1"/>
  <c r="BR5" i="29" a="1"/>
  <c r="BN5" i="30" a="1"/>
  <c r="BM5" i="25" a="1"/>
  <c r="BZ5" i="22" a="1"/>
  <c r="BZ5" i="27" a="1"/>
  <c r="BJ5" i="30" a="1"/>
  <c r="BO5" i="29" a="1"/>
  <c r="BY5" i="32" a="1"/>
  <c r="BV5" i="29" a="1"/>
  <c r="CC5" i="26" a="1"/>
  <c r="CA5" i="31" a="1"/>
  <c r="BT5" i="27" a="1"/>
  <c r="BL5" i="31" a="1"/>
  <c r="CB5" i="27" a="1"/>
  <c r="BW5" i="24" a="1"/>
  <c r="CB5" i="31" a="1"/>
  <c r="BG5" i="30" a="1"/>
  <c r="BX5" i="26" a="1"/>
  <c r="BS5" i="25" a="1"/>
  <c r="BT5" i="24" a="1"/>
  <c r="BL5" i="30" a="1"/>
  <c r="BH5" i="28" a="1"/>
  <c r="BT5" i="28" a="1"/>
  <c r="BX5" i="32" a="1"/>
  <c r="BX5" i="22" a="1"/>
  <c r="BG5" i="32" a="1"/>
  <c r="BP5" i="29" a="1"/>
  <c r="CE5" i="24" a="1"/>
  <c r="CA5" i="27" a="1"/>
  <c r="BN5" i="32" a="1"/>
  <c r="BO5" i="32" a="1"/>
  <c r="CC5" i="32" a="1"/>
  <c r="BH5" i="32" a="1"/>
  <c r="BT5" i="25" a="1"/>
  <c r="BK5" i="28" a="1"/>
  <c r="BH5" i="29" a="1"/>
  <c r="BP5" i="24" a="1"/>
  <c r="CC5" i="27" a="1"/>
  <c r="BZ5" i="30" a="1"/>
  <c r="BK5" i="29" a="1"/>
  <c r="BQ5" i="24" a="1"/>
  <c r="BY5" i="28" a="1"/>
  <c r="BX5" i="28" a="1"/>
  <c r="BQ5" i="28" a="1"/>
  <c r="CB5" i="22" a="1"/>
  <c r="CA5" i="32" a="1"/>
  <c r="CE5" i="26" a="1"/>
  <c r="BU5" i="31" a="1"/>
  <c r="BU5" i="24" a="1"/>
  <c r="BW5" i="31" a="1"/>
  <c r="BJ5" i="25" a="1"/>
  <c r="BH5" i="31" a="1"/>
  <c r="BV5" i="28" a="1"/>
  <c r="BL5" i="26" a="1"/>
  <c r="BZ5" i="26" a="1"/>
  <c r="CE5" i="22" a="1"/>
  <c r="BM5" i="28" a="1"/>
  <c r="BZ5" i="31" a="1"/>
  <c r="BX5" i="30" a="1"/>
  <c r="BM5" i="26" a="1"/>
  <c r="BR5" i="25" a="1"/>
  <c r="BL5" i="28" a="1"/>
  <c r="BX5" i="27" a="1"/>
  <c r="BU5" i="30" a="1"/>
  <c r="BM5" i="22" a="1"/>
  <c r="BM5" i="31" a="1"/>
  <c r="BS5" i="22" a="1"/>
  <c r="BT5" i="30" a="1"/>
  <c r="BL5" i="22" a="1"/>
  <c r="CD5" i="31" a="1"/>
  <c r="BQ5" i="29" a="1"/>
  <c r="BS5" i="32" a="1"/>
  <c r="BI5" i="31" a="1"/>
  <c r="BW5" i="27" a="1"/>
  <c r="BO5" i="26" a="1"/>
  <c r="BZ5" i="32" a="1"/>
  <c r="BI5" i="27" a="1"/>
  <c r="BP5" i="30" a="1"/>
  <c r="BY5" i="25" a="1"/>
  <c r="BS5" i="26" a="1"/>
  <c r="CD5" i="25" a="1"/>
  <c r="CA5" i="22" a="1"/>
  <c r="CC5" i="28" a="1"/>
  <c r="CB5" i="32" a="1"/>
  <c r="CD5" i="32" a="1"/>
  <c r="CD5" i="22" a="1"/>
  <c r="CA5" i="30" a="1"/>
  <c r="CD5" i="24" a="1"/>
  <c r="BO5" i="25" a="1"/>
  <c r="BQ5" i="32" a="1"/>
  <c r="BM5" i="27" a="1"/>
  <c r="BU5" i="25" a="1"/>
  <c r="CB5" i="26" a="1"/>
  <c r="CD5" i="30" a="1"/>
  <c r="BV5" i="27" a="1"/>
  <c r="BW5" i="26" a="1"/>
  <c r="BG5" i="29" a="1"/>
  <c r="BI5" i="28" a="1"/>
  <c r="BR5" i="31" a="1"/>
  <c r="BU5" i="26" a="1"/>
  <c r="BO5" i="31" a="1"/>
  <c r="BV5" i="22" a="1"/>
  <c r="CA5" i="28" a="1"/>
  <c r="BS5" i="31" a="1"/>
  <c r="BJ5" i="32" a="1"/>
  <c r="BI5" i="32" a="1"/>
  <c r="BM5" i="24" a="1"/>
  <c r="BO5" i="28" a="1"/>
  <c r="CA5" i="29" a="1"/>
  <c r="BN5" i="25" a="1"/>
  <c r="BH5" i="25" a="1"/>
  <c r="BQ5" i="27" a="1"/>
  <c r="BL5" i="24" a="1"/>
  <c r="BQ5" i="25" a="1"/>
  <c r="BY5" i="24" a="1"/>
  <c r="BK5" i="26" a="1"/>
  <c r="BN5" i="28" a="1"/>
  <c r="BJ5" i="29" a="1"/>
  <c r="BZ5" i="29" a="1"/>
  <c r="BO5" i="30" a="1"/>
  <c r="CC5" i="30" a="1"/>
  <c r="BI5" i="24" a="1"/>
  <c r="BP5" i="27" a="1"/>
  <c r="BI5" i="29" a="1"/>
  <c r="BU5" i="29" a="1"/>
  <c r="BW5" i="25" a="1"/>
  <c r="BK5" i="27" a="1"/>
  <c r="BO5" i="24" a="1"/>
  <c r="BR5" i="22" a="1"/>
  <c r="BU5" i="32" a="1"/>
  <c r="BY5" i="22" a="1"/>
  <c r="BQ5" i="30" a="1"/>
  <c r="BJ5" i="28" a="1"/>
  <c r="BZ5" i="25" a="1"/>
  <c r="BV5" i="32" a="1"/>
  <c r="BI5" i="22" a="1"/>
  <c r="BN5" i="27" a="1"/>
  <c r="BP5" i="28" a="1"/>
  <c r="BC50" i="37" l="1"/>
  <c r="BC52" i="37"/>
  <c r="BC51" i="37"/>
  <c r="BC48" i="37"/>
  <c r="BC49" i="37"/>
  <c r="BC46" i="37"/>
  <c r="BC47" i="37"/>
  <c r="BD47" i="40"/>
  <c r="BD48" i="40"/>
  <c r="BD46" i="40"/>
  <c r="BD50" i="40"/>
  <c r="BD51" i="40"/>
  <c r="BD49" i="40"/>
  <c r="BD52" i="40"/>
  <c r="BD49" i="22"/>
  <c r="BD46" i="22"/>
  <c r="BD50" i="22"/>
  <c r="BD47" i="22"/>
  <c r="BD51" i="22"/>
  <c r="BD48" i="22"/>
  <c r="BD52" i="22"/>
  <c r="BD49" i="44"/>
  <c r="BD51" i="44"/>
  <c r="BD48" i="44"/>
  <c r="BD50" i="44"/>
  <c r="BD52" i="44"/>
  <c r="BD46" i="44"/>
  <c r="BD47" i="44"/>
  <c r="BC47" i="31"/>
  <c r="BC50" i="31"/>
  <c r="BC46" i="31"/>
  <c r="BC52" i="31"/>
  <c r="BC48" i="31"/>
  <c r="BC51" i="31"/>
  <c r="BC49" i="31"/>
  <c r="BD48" i="27"/>
  <c r="BD46" i="27"/>
  <c r="BD49" i="27"/>
  <c r="BD47" i="27"/>
  <c r="BD50" i="27"/>
  <c r="BD52" i="27"/>
  <c r="BD51" i="27"/>
  <c r="BC50" i="30"/>
  <c r="BC52" i="30"/>
  <c r="BC46" i="30"/>
  <c r="BC48" i="30"/>
  <c r="BC49" i="30"/>
  <c r="BC47" i="30"/>
  <c r="BC51" i="30"/>
  <c r="BD48" i="25"/>
  <c r="BD51" i="25"/>
  <c r="BD46" i="25"/>
  <c r="BD49" i="25"/>
  <c r="BD47" i="25"/>
  <c r="BD50" i="25"/>
  <c r="BD52" i="25"/>
  <c r="BD46" i="50"/>
  <c r="BD49" i="50"/>
  <c r="BD47" i="50"/>
  <c r="BD51" i="50"/>
  <c r="BD50" i="50"/>
  <c r="BD48" i="50"/>
  <c r="BD52" i="50"/>
  <c r="BC50" i="32"/>
  <c r="BC47" i="32"/>
  <c r="BC48" i="32"/>
  <c r="BC49" i="32"/>
  <c r="BC51" i="32"/>
  <c r="BC46" i="32"/>
  <c r="BC52" i="32"/>
  <c r="BD51" i="26"/>
  <c r="BD47" i="26"/>
  <c r="BD49" i="26"/>
  <c r="BD48" i="26"/>
  <c r="BD50" i="26"/>
  <c r="BD52" i="26"/>
  <c r="BD46" i="26"/>
  <c r="BD46" i="24"/>
  <c r="BD49" i="24"/>
  <c r="BD48" i="24"/>
  <c r="BD47" i="24"/>
  <c r="BD51" i="24"/>
  <c r="BD50" i="24"/>
  <c r="BD52" i="24"/>
  <c r="BC40" i="30"/>
  <c r="BC45" i="30"/>
  <c r="BC37" i="30"/>
  <c r="BC39" i="30"/>
  <c r="BC42" i="30"/>
  <c r="BC33" i="30"/>
  <c r="BC43" i="30"/>
  <c r="BC44" i="30"/>
  <c r="BC38" i="30"/>
  <c r="BC41" i="30"/>
  <c r="BC36" i="30"/>
  <c r="BC35" i="30"/>
  <c r="BC34" i="30"/>
  <c r="BD43" i="25"/>
  <c r="BD40" i="25"/>
  <c r="BD39" i="25"/>
  <c r="BD45" i="25"/>
  <c r="BD36" i="25"/>
  <c r="BD34" i="25"/>
  <c r="BD42" i="25"/>
  <c r="BD41" i="25"/>
  <c r="BD44" i="25"/>
  <c r="BD38" i="25"/>
  <c r="BD37" i="25"/>
  <c r="BD35" i="25"/>
  <c r="BD33" i="25"/>
  <c r="BD50" i="29"/>
  <c r="BD51" i="29"/>
  <c r="BD47" i="29"/>
  <c r="BD48" i="29"/>
  <c r="BD49" i="29"/>
  <c r="BD52" i="29"/>
  <c r="BD46" i="29"/>
  <c r="BD45" i="50"/>
  <c r="BD44" i="50"/>
  <c r="BD39" i="50"/>
  <c r="BD37" i="50"/>
  <c r="BD42" i="50"/>
  <c r="BD35" i="50"/>
  <c r="BD33" i="50"/>
  <c r="BD36" i="50"/>
  <c r="BD43" i="50"/>
  <c r="BD41" i="50"/>
  <c r="BD38" i="50"/>
  <c r="BD34" i="50"/>
  <c r="BD40" i="50"/>
  <c r="BC43" i="32"/>
  <c r="BC40" i="32"/>
  <c r="BC37" i="32"/>
  <c r="BC39" i="32"/>
  <c r="BC35" i="32"/>
  <c r="BC45" i="32"/>
  <c r="BC34" i="32"/>
  <c r="BC41" i="32"/>
  <c r="BC36" i="32"/>
  <c r="BC42" i="32"/>
  <c r="BC44" i="32"/>
  <c r="BC38" i="32"/>
  <c r="BC33" i="32"/>
  <c r="BD39" i="40"/>
  <c r="BD37" i="40"/>
  <c r="BD34" i="40"/>
  <c r="BD43" i="40"/>
  <c r="BD44" i="40"/>
  <c r="BD33" i="40"/>
  <c r="BD38" i="40"/>
  <c r="BD45" i="40"/>
  <c r="BD36" i="40"/>
  <c r="BD35" i="40"/>
  <c r="BD42" i="40"/>
  <c r="BD40" i="40"/>
  <c r="BD41" i="40"/>
  <c r="BD45" i="26"/>
  <c r="BD43" i="26"/>
  <c r="BD34" i="26"/>
  <c r="BD33" i="26"/>
  <c r="BD40" i="26"/>
  <c r="BD41" i="26"/>
  <c r="BD38" i="26"/>
  <c r="BD37" i="26"/>
  <c r="BD42" i="26"/>
  <c r="BD35" i="26"/>
  <c r="BD36" i="26"/>
  <c r="BD44" i="26"/>
  <c r="BD39" i="26"/>
  <c r="BD45" i="22"/>
  <c r="BD41" i="22"/>
  <c r="BD35" i="22"/>
  <c r="BD37" i="22"/>
  <c r="BD40" i="22"/>
  <c r="BD33" i="22"/>
  <c r="BD42" i="22"/>
  <c r="BD38" i="22"/>
  <c r="BD36" i="22"/>
  <c r="BD39" i="22"/>
  <c r="BD43" i="22"/>
  <c r="BD44" i="22"/>
  <c r="BD34" i="22"/>
  <c r="BD40" i="44"/>
  <c r="BD44" i="44"/>
  <c r="BD45" i="44"/>
  <c r="BD42" i="44"/>
  <c r="BD38" i="44"/>
  <c r="BD36" i="44"/>
  <c r="BD34" i="44"/>
  <c r="BD37" i="44"/>
  <c r="BD39" i="44"/>
  <c r="BD35" i="44"/>
  <c r="BD41" i="44"/>
  <c r="BD33" i="44"/>
  <c r="BD43" i="44"/>
  <c r="BC45" i="31"/>
  <c r="BC39" i="31"/>
  <c r="BC42" i="31"/>
  <c r="BC34" i="31"/>
  <c r="BC41" i="31"/>
  <c r="BC37" i="31"/>
  <c r="BC33" i="31"/>
  <c r="BC36" i="31"/>
  <c r="BC43" i="31"/>
  <c r="BC44" i="31"/>
  <c r="BC38" i="31"/>
  <c r="BC35" i="31"/>
  <c r="BC40" i="31"/>
  <c r="BD45" i="24"/>
  <c r="BD43" i="24"/>
  <c r="BD35" i="24"/>
  <c r="BD33" i="24"/>
  <c r="BD39" i="24"/>
  <c r="BD37" i="24"/>
  <c r="BD34" i="24"/>
  <c r="BD41" i="24"/>
  <c r="BD36" i="24"/>
  <c r="BD44" i="24"/>
  <c r="BD40" i="24"/>
  <c r="BD42" i="24"/>
  <c r="BD38" i="24"/>
  <c r="BD45" i="27"/>
  <c r="BD42" i="27"/>
  <c r="BD44" i="27"/>
  <c r="BD36" i="27"/>
  <c r="BD39" i="27"/>
  <c r="BD33" i="27"/>
  <c r="BD40" i="27"/>
  <c r="BD34" i="27"/>
  <c r="BD38" i="27"/>
  <c r="BD41" i="27"/>
  <c r="BD37" i="27"/>
  <c r="BD35" i="27"/>
  <c r="BD43" i="27"/>
  <c r="BC33" i="37"/>
  <c r="BC35" i="37"/>
  <c r="BC39" i="37"/>
  <c r="BC36" i="37"/>
  <c r="BC45" i="37"/>
  <c r="BC40" i="37"/>
  <c r="BC34" i="37"/>
  <c r="BC37" i="37"/>
  <c r="BC44" i="37"/>
  <c r="BC41" i="37"/>
  <c r="BC42" i="37"/>
  <c r="BC43" i="37"/>
  <c r="BC38" i="37"/>
  <c r="BD39" i="29"/>
  <c r="BD40" i="29"/>
  <c r="BD41" i="29"/>
  <c r="BD44" i="29"/>
  <c r="BD45" i="29"/>
  <c r="BD42" i="29"/>
  <c r="BD38" i="29"/>
  <c r="BD33" i="29"/>
  <c r="BD37" i="29"/>
  <c r="BD43" i="29"/>
  <c r="BD34" i="29"/>
  <c r="BD35" i="29"/>
  <c r="BD36" i="29"/>
  <c r="BD8" i="27"/>
  <c r="BD8" i="44"/>
  <c r="BC8" i="37"/>
  <c r="BD8" i="40"/>
  <c r="BD28" i="50"/>
  <c r="BD21" i="50"/>
  <c r="BD30" i="50"/>
  <c r="BD9" i="50"/>
  <c r="BD29" i="50"/>
  <c r="BD14" i="50"/>
  <c r="BD12" i="50"/>
  <c r="BD31" i="50"/>
  <c r="BD11" i="50"/>
  <c r="BD32" i="50"/>
  <c r="BD15" i="50"/>
  <c r="BD20" i="50"/>
  <c r="BD26" i="50"/>
  <c r="BD24" i="50"/>
  <c r="BD16" i="50"/>
  <c r="BD10" i="50"/>
  <c r="BD25" i="50"/>
  <c r="BD23" i="50"/>
  <c r="BD8" i="50"/>
  <c r="BD22" i="50"/>
  <c r="BD18" i="50"/>
  <c r="BD17" i="50"/>
  <c r="BD27" i="50"/>
  <c r="BD19" i="50"/>
  <c r="BD13" i="50"/>
  <c r="BE3" i="50"/>
  <c r="BE53" i="50" s="1"/>
  <c r="BE4" i="29"/>
  <c r="BE4" i="50"/>
  <c r="BD4" i="37"/>
  <c r="BE4" i="28"/>
  <c r="BE4" i="27"/>
  <c r="BE4" i="40"/>
  <c r="BE4" i="44"/>
  <c r="BE4" i="25"/>
  <c r="BE4" i="26"/>
  <c r="BE4" i="24"/>
  <c r="BE4" i="22"/>
  <c r="BD4" i="32"/>
  <c r="BD4" i="30"/>
  <c r="BD4" i="31"/>
  <c r="BC23" i="32"/>
  <c r="BC21" i="32"/>
  <c r="BC29" i="32"/>
  <c r="BC31" i="32"/>
  <c r="BC8" i="32"/>
  <c r="BC18" i="32"/>
  <c r="BC16" i="32"/>
  <c r="BC20" i="32"/>
  <c r="BC9" i="32"/>
  <c r="BC27" i="32"/>
  <c r="BC13" i="32"/>
  <c r="BC19" i="32"/>
  <c r="BC12" i="32"/>
  <c r="BC32" i="32"/>
  <c r="BC10" i="32"/>
  <c r="BC25" i="32"/>
  <c r="BC24" i="32"/>
  <c r="BC14" i="32"/>
  <c r="BC15" i="32"/>
  <c r="BC22" i="32"/>
  <c r="BC28" i="32"/>
  <c r="BC26" i="32"/>
  <c r="BC11" i="32"/>
  <c r="BC17" i="32"/>
  <c r="BC30" i="32"/>
  <c r="BD8" i="22"/>
  <c r="BD8" i="25"/>
  <c r="BD47" i="28"/>
  <c r="BD46" i="28"/>
  <c r="BD48" i="28"/>
  <c r="BE3" i="26"/>
  <c r="BE53" i="26" s="1"/>
  <c r="BE3" i="25"/>
  <c r="BE53" i="25" s="1"/>
  <c r="BE3" i="24"/>
  <c r="BE53" i="24" s="1"/>
  <c r="BE3" i="29"/>
  <c r="BE53" i="29" s="1"/>
  <c r="BD3" i="30"/>
  <c r="BD53" i="30" s="1"/>
  <c r="BD3" i="31"/>
  <c r="BD53" i="31" s="1"/>
  <c r="BE3" i="22"/>
  <c r="BE53" i="22" s="1"/>
  <c r="BD3" i="32"/>
  <c r="BD53" i="32" s="1"/>
  <c r="BE3" i="44"/>
  <c r="BE53" i="44" s="1"/>
  <c r="BE3" i="40"/>
  <c r="BE53" i="40" s="1"/>
  <c r="BD3" i="37"/>
  <c r="BD53" i="37" s="1"/>
  <c r="BE3" i="28"/>
  <c r="BE3" i="27"/>
  <c r="BE53" i="27" s="1"/>
  <c r="C11" i="34"/>
  <c r="C12" i="34" s="1"/>
  <c r="G32" i="31"/>
  <c r="G31" i="31"/>
  <c r="G30" i="31"/>
  <c r="G29" i="31"/>
  <c r="G28" i="31"/>
  <c r="G27" i="31"/>
  <c r="G26" i="31"/>
  <c r="G25" i="31"/>
  <c r="G24" i="31"/>
  <c r="G23" i="31"/>
  <c r="G22" i="31"/>
  <c r="G21" i="31"/>
  <c r="G20" i="31"/>
  <c r="G19" i="31"/>
  <c r="G18" i="31"/>
  <c r="G17" i="31"/>
  <c r="G16" i="31"/>
  <c r="G15" i="31"/>
  <c r="G14" i="31"/>
  <c r="G13" i="31"/>
  <c r="G12" i="31"/>
  <c r="G11" i="31"/>
  <c r="G10" i="31"/>
  <c r="G9" i="31"/>
  <c r="G8" i="31"/>
  <c r="G8" i="30"/>
  <c r="G32" i="29"/>
  <c r="G31" i="29"/>
  <c r="G30" i="29"/>
  <c r="G29" i="29"/>
  <c r="G28" i="29"/>
  <c r="G27" i="29"/>
  <c r="G26" i="29"/>
  <c r="G25" i="29"/>
  <c r="G24" i="29"/>
  <c r="G23" i="29"/>
  <c r="G22" i="29"/>
  <c r="G21" i="29"/>
  <c r="G20" i="29"/>
  <c r="G19" i="29"/>
  <c r="G18" i="29"/>
  <c r="G17" i="29"/>
  <c r="G16" i="29"/>
  <c r="G15" i="29"/>
  <c r="G14" i="29"/>
  <c r="G13" i="29"/>
  <c r="G12" i="29"/>
  <c r="G11" i="29"/>
  <c r="G10" i="29"/>
  <c r="G9" i="29"/>
  <c r="H4" i="32"/>
  <c r="H4" i="31"/>
  <c r="H4" i="30"/>
  <c r="H4" i="29"/>
  <c r="H53" i="29" s="1"/>
  <c r="I53" i="29" s="1"/>
  <c r="AT5" i="30" a="1"/>
  <c r="Q5" i="30" a="1"/>
  <c r="V5" i="30" a="1"/>
  <c r="W5" i="31" a="1"/>
  <c r="AD5" i="29" a="1"/>
  <c r="S5" i="31" a="1"/>
  <c r="AZ5" i="29" a="1"/>
  <c r="AU5" i="30" a="1"/>
  <c r="X5" i="29" a="1"/>
  <c r="AH5" i="31" a="1"/>
  <c r="AM5" i="32" a="1"/>
  <c r="AW5" i="31" a="1"/>
  <c r="AS5" i="32" a="1"/>
  <c r="AJ5" i="32" a="1"/>
  <c r="AW5" i="30" a="1"/>
  <c r="AW5" i="32" a="1"/>
  <c r="BB5" i="29" a="1"/>
  <c r="Q5" i="29" a="1"/>
  <c r="V5" i="31" a="1"/>
  <c r="U5" i="30" a="1"/>
  <c r="AB5" i="31" a="1"/>
  <c r="BA5" i="29" a="1"/>
  <c r="BD5" i="32" a="1"/>
  <c r="AY5" i="29" a="1"/>
  <c r="AQ5" i="30" a="1"/>
  <c r="AX5" i="32" a="1"/>
  <c r="AE5" i="30" a="1"/>
  <c r="AJ5" i="30" a="1"/>
  <c r="AV5" i="31" a="1"/>
  <c r="AR5" i="29" a="1"/>
  <c r="V5" i="32" a="1"/>
  <c r="AV5" i="32" a="1"/>
  <c r="AG5" i="31" a="1"/>
  <c r="BE5" i="29" a="1"/>
  <c r="AY5" i="31" a="1"/>
  <c r="BC5" i="32" a="1"/>
  <c r="AA5" i="30" a="1"/>
  <c r="AP5" i="29" a="1"/>
  <c r="AK5" i="31" a="1"/>
  <c r="AT5" i="32" a="1"/>
  <c r="T5" i="32" a="1"/>
  <c r="W5" i="29" a="1"/>
  <c r="BE5" i="31" a="1"/>
  <c r="AQ5" i="32" a="1"/>
  <c r="AO5" i="29" a="1"/>
  <c r="AF5" i="30" a="1"/>
  <c r="AO5" i="31" a="1"/>
  <c r="AY5" i="32" a="1"/>
  <c r="AU5" i="31" a="1"/>
  <c r="AD5" i="32" a="1"/>
  <c r="BB5" i="31" a="1"/>
  <c r="AL5" i="30" a="1"/>
  <c r="AB5" i="30" a="1"/>
  <c r="AS5" i="31" a="1"/>
  <c r="AT5" i="29" a="1"/>
  <c r="AN5" i="29" a="1"/>
  <c r="AF5" i="31" a="1"/>
  <c r="AH5" i="30" a="1"/>
  <c r="AG5" i="29" a="1"/>
  <c r="AM5" i="29" a="1"/>
  <c r="X5" i="31" a="1"/>
  <c r="BF5" i="30" a="1"/>
  <c r="T5" i="31" a="1"/>
  <c r="AR5" i="31" a="1"/>
  <c r="AX5" i="29" a="1"/>
  <c r="AI5" i="29" a="1"/>
  <c r="AF5" i="29" a="1"/>
  <c r="AG5" i="32" a="1"/>
  <c r="AJ5" i="29" a="1"/>
  <c r="AK5" i="29" a="1"/>
  <c r="Y5" i="30" a="1"/>
  <c r="V5" i="29" a="1"/>
  <c r="AS5" i="29" a="1"/>
  <c r="AZ5" i="32" a="1"/>
  <c r="AU5" i="32" a="1"/>
  <c r="AB5" i="32" a="1"/>
  <c r="AP5" i="31" a="1"/>
  <c r="AZ5" i="31" a="1"/>
  <c r="AR5" i="30" a="1"/>
  <c r="AK5" i="30" a="1"/>
  <c r="AO5" i="32" a="1"/>
  <c r="AN5" i="30" a="1"/>
  <c r="U5" i="29" a="1"/>
  <c r="R5" i="32" a="1"/>
  <c r="AE5" i="32" a="1"/>
  <c r="BE5" i="30" a="1"/>
  <c r="AM5" i="31" a="1"/>
  <c r="BD5" i="29" a="1"/>
  <c r="X5" i="30" a="1"/>
  <c r="Z5" i="29" a="1"/>
  <c r="U5" i="32" a="1"/>
  <c r="AW5" i="29" a="1"/>
  <c r="AY5" i="30" a="1"/>
  <c r="BC5" i="30" a="1"/>
  <c r="AL5" i="29" a="1"/>
  <c r="BF5" i="31" a="1"/>
  <c r="AJ5" i="31" a="1"/>
  <c r="AC5" i="31" a="1"/>
  <c r="S5" i="30" a="1"/>
  <c r="Z5" i="32" a="1"/>
  <c r="AZ5" i="30" a="1"/>
  <c r="AS5" i="30" a="1"/>
  <c r="AP5" i="32" a="1"/>
  <c r="AN5" i="32" a="1"/>
  <c r="AI5" i="31" a="1"/>
  <c r="AI5" i="32" a="1"/>
  <c r="BE5" i="32" a="1"/>
  <c r="T5" i="30" a="1"/>
  <c r="Y5" i="32" a="1"/>
  <c r="AL5" i="32" a="1"/>
  <c r="AR5" i="32" a="1"/>
  <c r="BA5" i="32" a="1"/>
  <c r="S5" i="32" a="1"/>
  <c r="AH5" i="32" a="1"/>
  <c r="W5" i="30" a="1"/>
  <c r="AF5" i="32" a="1"/>
  <c r="Y5" i="31" a="1"/>
  <c r="X5" i="32" a="1"/>
  <c r="Q5" i="31" a="1"/>
  <c r="AH5" i="29" a="1"/>
  <c r="AX5" i="31" a="1"/>
  <c r="AN5" i="31" a="1"/>
  <c r="AA5" i="29" a="1"/>
  <c r="BD5" i="31" a="1"/>
  <c r="AA5" i="31" a="1"/>
  <c r="AC5" i="29" a="1"/>
  <c r="S5" i="29" a="1"/>
  <c r="AK5" i="32" a="1"/>
  <c r="Y5" i="29" a="1"/>
  <c r="AB5" i="29" a="1"/>
  <c r="AG5" i="30" a="1"/>
  <c r="AP5" i="30" a="1"/>
  <c r="BF5" i="29" a="1"/>
  <c r="AA5" i="32" a="1"/>
  <c r="BA5" i="31" a="1"/>
  <c r="BC5" i="29" a="1"/>
  <c r="AQ5" i="31" a="1"/>
  <c r="BB5" i="30" a="1"/>
  <c r="AV5" i="30" a="1"/>
  <c r="AU5" i="29" a="1"/>
  <c r="AE5" i="31" a="1"/>
  <c r="R5" i="31" a="1"/>
  <c r="AM5" i="30" a="1"/>
  <c r="AI5" i="30" a="1"/>
  <c r="T5" i="29" a="1"/>
  <c r="AT5" i="31" a="1"/>
  <c r="AV5" i="29" a="1"/>
  <c r="BF5" i="32" a="1"/>
  <c r="AL5" i="31" a="1"/>
  <c r="Z5" i="30" a="1"/>
  <c r="AQ5" i="29" a="1"/>
  <c r="AC5" i="30" a="1"/>
  <c r="AO5" i="30" a="1"/>
  <c r="R5" i="30" a="1"/>
  <c r="BC5" i="31" a="1"/>
  <c r="R5" i="29" a="1"/>
  <c r="BD5" i="30" a="1"/>
  <c r="Q5" i="32" a="1"/>
  <c r="AD5" i="31" a="1"/>
  <c r="AX5" i="30" a="1"/>
  <c r="W5" i="32" a="1"/>
  <c r="BB5" i="32" a="1"/>
  <c r="AE5" i="29" a="1"/>
  <c r="AD5" i="30" a="1"/>
  <c r="Z5" i="31" a="1"/>
  <c r="U5" i="31" a="1"/>
  <c r="AC5" i="32" a="1"/>
  <c r="BA5" i="30" a="1"/>
  <c r="K53" i="29" l="1"/>
  <c r="J53" i="29"/>
  <c r="L53" i="29" s="1"/>
  <c r="BE50" i="40"/>
  <c r="BE48" i="40"/>
  <c r="BE52" i="40"/>
  <c r="BE51" i="40"/>
  <c r="BE49" i="40"/>
  <c r="BE47" i="40"/>
  <c r="BE46" i="40"/>
  <c r="BD50" i="37"/>
  <c r="BD48" i="37"/>
  <c r="BD51" i="37"/>
  <c r="BD49" i="37"/>
  <c r="BD52" i="37"/>
  <c r="BD47" i="37"/>
  <c r="BD46" i="37"/>
  <c r="H49" i="32"/>
  <c r="I49" i="32" s="1"/>
  <c r="H45" i="32"/>
  <c r="I45" i="32" s="1"/>
  <c r="H44" i="32"/>
  <c r="I44" i="32" s="1"/>
  <c r="H40" i="32"/>
  <c r="I40" i="32" s="1"/>
  <c r="H35" i="32"/>
  <c r="I35" i="32" s="1"/>
  <c r="H43" i="32"/>
  <c r="I43" i="32" s="1"/>
  <c r="H38" i="32"/>
  <c r="I38" i="32" s="1"/>
  <c r="H42" i="32"/>
  <c r="I42" i="32" s="1"/>
  <c r="H34" i="32"/>
  <c r="I34" i="32" s="1"/>
  <c r="H39" i="32"/>
  <c r="I39" i="32" s="1"/>
  <c r="H37" i="32"/>
  <c r="I37" i="32" s="1"/>
  <c r="H41" i="32"/>
  <c r="I41" i="32" s="1"/>
  <c r="H33" i="32"/>
  <c r="I33" i="32" s="1"/>
  <c r="H46" i="32"/>
  <c r="I46" i="32" s="1"/>
  <c r="H50" i="32"/>
  <c r="I50" i="32" s="1"/>
  <c r="H47" i="32"/>
  <c r="I47" i="32" s="1"/>
  <c r="H36" i="32"/>
  <c r="I36" i="32" s="1"/>
  <c r="H52" i="32"/>
  <c r="I52" i="32" s="1"/>
  <c r="H51" i="32"/>
  <c r="I51" i="32" s="1"/>
  <c r="H48" i="32"/>
  <c r="I48" i="32" s="1"/>
  <c r="H36" i="31"/>
  <c r="I36" i="31" s="1"/>
  <c r="H45" i="31"/>
  <c r="I45" i="31" s="1"/>
  <c r="H34" i="31"/>
  <c r="I34" i="31" s="1"/>
  <c r="H50" i="31"/>
  <c r="I50" i="31" s="1"/>
  <c r="H37" i="31"/>
  <c r="I37" i="31" s="1"/>
  <c r="H35" i="31"/>
  <c r="I35" i="31" s="1"/>
  <c r="H48" i="31"/>
  <c r="I48" i="31" s="1"/>
  <c r="H52" i="31"/>
  <c r="I52" i="31" s="1"/>
  <c r="H46" i="31"/>
  <c r="I46" i="31" s="1"/>
  <c r="H47" i="31"/>
  <c r="I47" i="31" s="1"/>
  <c r="H49" i="31"/>
  <c r="I49" i="31" s="1"/>
  <c r="H41" i="31"/>
  <c r="I41" i="31" s="1"/>
  <c r="H33" i="31"/>
  <c r="I33" i="31" s="1"/>
  <c r="H42" i="31"/>
  <c r="I42" i="31" s="1"/>
  <c r="H40" i="31"/>
  <c r="I40" i="31" s="1"/>
  <c r="H38" i="31"/>
  <c r="I38" i="31" s="1"/>
  <c r="H44" i="31"/>
  <c r="I44" i="31" s="1"/>
  <c r="H43" i="31"/>
  <c r="I43" i="31" s="1"/>
  <c r="H51" i="31"/>
  <c r="I51" i="31" s="1"/>
  <c r="H39" i="31"/>
  <c r="I39" i="31" s="1"/>
  <c r="H51" i="30"/>
  <c r="I51" i="30" s="1"/>
  <c r="H47" i="30"/>
  <c r="I47" i="30" s="1"/>
  <c r="H48" i="30"/>
  <c r="I48" i="30" s="1"/>
  <c r="H42" i="30"/>
  <c r="I42" i="30" s="1"/>
  <c r="H41" i="30"/>
  <c r="I41" i="30" s="1"/>
  <c r="H40" i="30"/>
  <c r="I40" i="30" s="1"/>
  <c r="H37" i="30"/>
  <c r="I37" i="30" s="1"/>
  <c r="H46" i="30"/>
  <c r="I46" i="30" s="1"/>
  <c r="H39" i="30"/>
  <c r="I39" i="30" s="1"/>
  <c r="H34" i="30"/>
  <c r="I34" i="30" s="1"/>
  <c r="H33" i="30"/>
  <c r="I33" i="30" s="1"/>
  <c r="H36" i="30"/>
  <c r="I36" i="30" s="1"/>
  <c r="H52" i="30"/>
  <c r="I52" i="30" s="1"/>
  <c r="H45" i="30"/>
  <c r="I45" i="30" s="1"/>
  <c r="H35" i="30"/>
  <c r="I35" i="30" s="1"/>
  <c r="H50" i="30"/>
  <c r="I50" i="30" s="1"/>
  <c r="H38" i="30"/>
  <c r="I38" i="30" s="1"/>
  <c r="H44" i="30"/>
  <c r="I44" i="30" s="1"/>
  <c r="H49" i="30"/>
  <c r="I49" i="30" s="1"/>
  <c r="H43" i="30"/>
  <c r="I43" i="30" s="1"/>
  <c r="BD46" i="31"/>
  <c r="BD47" i="31"/>
  <c r="BD48" i="31"/>
  <c r="BD52" i="31"/>
  <c r="BD50" i="31"/>
  <c r="BD51" i="31"/>
  <c r="BD49" i="31"/>
  <c r="BE50" i="25"/>
  <c r="BE48" i="25"/>
  <c r="BE52" i="25"/>
  <c r="BE46" i="25"/>
  <c r="BE47" i="25"/>
  <c r="BE49" i="25"/>
  <c r="BE51" i="25"/>
  <c r="BE46" i="27"/>
  <c r="BE50" i="27"/>
  <c r="BE47" i="27"/>
  <c r="BE48" i="27"/>
  <c r="BE51" i="27"/>
  <c r="BE49" i="27"/>
  <c r="BE52" i="27"/>
  <c r="BE47" i="44"/>
  <c r="BE49" i="44"/>
  <c r="BE46" i="44"/>
  <c r="BE48" i="44"/>
  <c r="BE51" i="44"/>
  <c r="BE52" i="44"/>
  <c r="BE50" i="44"/>
  <c r="BD52" i="30"/>
  <c r="BD50" i="30"/>
  <c r="BD46" i="30"/>
  <c r="BD48" i="30"/>
  <c r="BD51" i="30"/>
  <c r="BD49" i="30"/>
  <c r="BD47" i="30"/>
  <c r="BE50" i="26"/>
  <c r="BE49" i="26"/>
  <c r="BE47" i="26"/>
  <c r="BE52" i="26"/>
  <c r="BE46" i="26"/>
  <c r="BE48" i="26"/>
  <c r="BE51" i="26"/>
  <c r="BD50" i="32"/>
  <c r="BD48" i="32"/>
  <c r="BD51" i="32"/>
  <c r="BD46" i="32"/>
  <c r="BD52" i="32"/>
  <c r="BD49" i="32"/>
  <c r="BD47" i="32"/>
  <c r="BE51" i="50"/>
  <c r="BE46" i="50"/>
  <c r="BE52" i="50"/>
  <c r="BE50" i="50"/>
  <c r="BE49" i="50"/>
  <c r="BE47" i="50"/>
  <c r="BE48" i="50"/>
  <c r="BE51" i="22"/>
  <c r="BE47" i="22"/>
  <c r="BE52" i="22"/>
  <c r="BE46" i="22"/>
  <c r="BE48" i="22"/>
  <c r="BE50" i="22"/>
  <c r="BE49" i="22"/>
  <c r="BE46" i="24"/>
  <c r="BE47" i="24"/>
  <c r="BE48" i="24"/>
  <c r="BE49" i="24"/>
  <c r="BE50" i="24"/>
  <c r="BE51" i="24"/>
  <c r="BE52" i="24"/>
  <c r="H47" i="29"/>
  <c r="I47" i="29" s="1"/>
  <c r="H52" i="29"/>
  <c r="I52" i="29" s="1"/>
  <c r="H49" i="29"/>
  <c r="I49" i="29" s="1"/>
  <c r="H48" i="29"/>
  <c r="I48" i="29" s="1"/>
  <c r="H46" i="29"/>
  <c r="I46" i="29" s="1"/>
  <c r="H50" i="29"/>
  <c r="I50" i="29" s="1"/>
  <c r="H51" i="29"/>
  <c r="I51" i="29" s="1"/>
  <c r="BE47" i="29"/>
  <c r="BE50" i="29"/>
  <c r="BE52" i="29"/>
  <c r="BE51" i="29"/>
  <c r="BE48" i="29"/>
  <c r="BE46" i="29"/>
  <c r="BE49" i="29"/>
  <c r="BE34" i="50"/>
  <c r="BE35" i="50"/>
  <c r="BE40" i="50"/>
  <c r="BE44" i="50"/>
  <c r="BE33" i="50"/>
  <c r="BE45" i="50"/>
  <c r="BE36" i="50"/>
  <c r="BE37" i="50"/>
  <c r="BE39" i="50"/>
  <c r="BE43" i="50"/>
  <c r="BE41" i="50"/>
  <c r="BE38" i="50"/>
  <c r="BE42" i="50"/>
  <c r="BD44" i="32"/>
  <c r="BD39" i="32"/>
  <c r="BD35" i="32"/>
  <c r="BD42" i="32"/>
  <c r="BD40" i="32"/>
  <c r="BD38" i="32"/>
  <c r="BD33" i="32"/>
  <c r="BD37" i="32"/>
  <c r="BD36" i="32"/>
  <c r="BD41" i="32"/>
  <c r="BD43" i="32"/>
  <c r="BD34" i="32"/>
  <c r="BD45" i="32"/>
  <c r="BD34" i="37"/>
  <c r="BD35" i="37"/>
  <c r="BD36" i="37"/>
  <c r="BD37" i="37"/>
  <c r="BD33" i="37"/>
  <c r="BD38" i="37"/>
  <c r="BD42" i="37"/>
  <c r="BD43" i="37"/>
  <c r="BD40" i="37"/>
  <c r="BD39" i="37"/>
  <c r="BD45" i="37"/>
  <c r="BD44" i="37"/>
  <c r="BD41" i="37"/>
  <c r="BE44" i="22"/>
  <c r="BE40" i="22"/>
  <c r="BE37" i="22"/>
  <c r="BE33" i="22"/>
  <c r="BE38" i="22"/>
  <c r="BE36" i="22"/>
  <c r="BE34" i="22"/>
  <c r="BE39" i="22"/>
  <c r="BE35" i="22"/>
  <c r="BE41" i="22"/>
  <c r="BE45" i="22"/>
  <c r="BE42" i="22"/>
  <c r="BE43" i="22"/>
  <c r="BE45" i="24"/>
  <c r="BE43" i="24"/>
  <c r="BE41" i="24"/>
  <c r="BE39" i="24"/>
  <c r="BE37" i="24"/>
  <c r="BE38" i="24"/>
  <c r="BE34" i="24"/>
  <c r="BE35" i="24"/>
  <c r="BE40" i="24"/>
  <c r="BE36" i="24"/>
  <c r="BE33" i="24"/>
  <c r="BE44" i="24"/>
  <c r="BE42" i="24"/>
  <c r="BE33" i="40"/>
  <c r="BE40" i="40"/>
  <c r="BE36" i="40"/>
  <c r="BE39" i="40"/>
  <c r="BE37" i="40"/>
  <c r="BE34" i="40"/>
  <c r="BE41" i="40"/>
  <c r="BE45" i="40"/>
  <c r="BE43" i="40"/>
  <c r="BE42" i="40"/>
  <c r="BE44" i="40"/>
  <c r="BE38" i="40"/>
  <c r="BE35" i="40"/>
  <c r="BD45" i="31"/>
  <c r="BD40" i="31"/>
  <c r="BD38" i="31"/>
  <c r="BD36" i="31"/>
  <c r="BD37" i="31"/>
  <c r="BD44" i="31"/>
  <c r="BD41" i="31"/>
  <c r="BD34" i="31"/>
  <c r="BD35" i="31"/>
  <c r="BD43" i="31"/>
  <c r="BD39" i="31"/>
  <c r="BD33" i="31"/>
  <c r="BD42" i="31"/>
  <c r="BE40" i="25"/>
  <c r="BE42" i="25"/>
  <c r="BE37" i="25"/>
  <c r="BE34" i="25"/>
  <c r="BE41" i="25"/>
  <c r="BE36" i="25"/>
  <c r="BE44" i="25"/>
  <c r="BE38" i="25"/>
  <c r="BE43" i="25"/>
  <c r="BE45" i="25"/>
  <c r="BE35" i="25"/>
  <c r="BE39" i="25"/>
  <c r="BE33" i="25"/>
  <c r="BE39" i="27"/>
  <c r="BE38" i="27"/>
  <c r="BE41" i="27"/>
  <c r="BE33" i="27"/>
  <c r="BE45" i="27"/>
  <c r="BE34" i="27"/>
  <c r="BE40" i="27"/>
  <c r="BE43" i="27"/>
  <c r="BE35" i="27"/>
  <c r="BE42" i="27"/>
  <c r="BE37" i="27"/>
  <c r="BE44" i="27"/>
  <c r="BE36" i="27"/>
  <c r="BE35" i="44"/>
  <c r="BE36" i="44"/>
  <c r="BE45" i="44"/>
  <c r="BE33" i="44"/>
  <c r="BE43" i="44"/>
  <c r="BE41" i="44"/>
  <c r="BE40" i="44"/>
  <c r="BE37" i="44"/>
  <c r="BE34" i="44"/>
  <c r="BE38" i="44"/>
  <c r="BE39" i="44"/>
  <c r="BE44" i="44"/>
  <c r="BE42" i="44"/>
  <c r="BD44" i="30"/>
  <c r="BD36" i="30"/>
  <c r="BD40" i="30"/>
  <c r="BD42" i="30"/>
  <c r="BD39" i="30"/>
  <c r="BD41" i="30"/>
  <c r="BD45" i="30"/>
  <c r="BD35" i="30"/>
  <c r="BD38" i="30"/>
  <c r="BD43" i="30"/>
  <c r="BD33" i="30"/>
  <c r="BD34" i="30"/>
  <c r="BD37" i="30"/>
  <c r="BE45" i="26"/>
  <c r="BE43" i="26"/>
  <c r="BE42" i="26"/>
  <c r="BE39" i="26"/>
  <c r="BE35" i="26"/>
  <c r="BE37" i="26"/>
  <c r="BE41" i="26"/>
  <c r="BE36" i="26"/>
  <c r="BE34" i="26"/>
  <c r="BE33" i="26"/>
  <c r="BE38" i="26"/>
  <c r="BE44" i="26"/>
  <c r="BE40" i="26"/>
  <c r="H35" i="29"/>
  <c r="I35" i="29" s="1"/>
  <c r="H38" i="29"/>
  <c r="I38" i="29" s="1"/>
  <c r="H42" i="29"/>
  <c r="I42" i="29" s="1"/>
  <c r="H34" i="29"/>
  <c r="I34" i="29" s="1"/>
  <c r="H33" i="29"/>
  <c r="I33" i="29" s="1"/>
  <c r="H45" i="29"/>
  <c r="I45" i="29" s="1"/>
  <c r="H39" i="29"/>
  <c r="I39" i="29" s="1"/>
  <c r="H37" i="29"/>
  <c r="I37" i="29" s="1"/>
  <c r="H43" i="29"/>
  <c r="I43" i="29" s="1"/>
  <c r="H36" i="29"/>
  <c r="I36" i="29" s="1"/>
  <c r="H41" i="29"/>
  <c r="I41" i="29" s="1"/>
  <c r="H44" i="29"/>
  <c r="I44" i="29" s="1"/>
  <c r="H40" i="29"/>
  <c r="I40" i="29" s="1"/>
  <c r="BE39" i="29"/>
  <c r="BE42" i="29"/>
  <c r="BE35" i="29"/>
  <c r="BE44" i="29"/>
  <c r="BE40" i="29"/>
  <c r="BE38" i="29"/>
  <c r="BE43" i="29"/>
  <c r="BE45" i="29"/>
  <c r="BE41" i="29"/>
  <c r="BE34" i="29"/>
  <c r="BE36" i="29"/>
  <c r="BE33" i="29"/>
  <c r="BE37" i="29"/>
  <c r="BE8" i="27"/>
  <c r="BE8" i="44"/>
  <c r="BD8" i="37"/>
  <c r="BE8" i="40"/>
  <c r="BE10" i="50"/>
  <c r="BE14" i="50"/>
  <c r="BE31" i="50"/>
  <c r="BE18" i="50"/>
  <c r="BE15" i="50"/>
  <c r="BE24" i="50"/>
  <c r="BE11" i="50"/>
  <c r="BE26" i="50"/>
  <c r="BE8" i="50"/>
  <c r="BE22" i="50"/>
  <c r="BE21" i="50"/>
  <c r="BE17" i="50"/>
  <c r="BE25" i="50"/>
  <c r="BE28" i="50"/>
  <c r="BE9" i="50"/>
  <c r="BE27" i="50"/>
  <c r="BE13" i="50"/>
  <c r="BE30" i="50"/>
  <c r="BE19" i="50"/>
  <c r="BE32" i="50"/>
  <c r="BE12" i="50"/>
  <c r="BE20" i="50"/>
  <c r="BE29" i="50"/>
  <c r="BE16" i="50"/>
  <c r="BE23" i="50"/>
  <c r="BF3" i="50"/>
  <c r="BF53" i="50" s="1"/>
  <c r="BF4" i="29"/>
  <c r="BF4" i="50"/>
  <c r="BF4" i="28"/>
  <c r="BF4" i="27"/>
  <c r="BF4" i="40"/>
  <c r="BF4" i="44"/>
  <c r="BE4" i="37"/>
  <c r="BF4" i="26"/>
  <c r="BF4" i="24"/>
  <c r="BF4" i="22"/>
  <c r="BE4" i="32"/>
  <c r="BE4" i="31"/>
  <c r="BF4" i="25"/>
  <c r="BE4" i="30"/>
  <c r="BD23" i="32"/>
  <c r="BD26" i="32"/>
  <c r="BD27" i="32"/>
  <c r="BD12" i="32"/>
  <c r="BD21" i="32"/>
  <c r="BD16" i="32"/>
  <c r="BD9" i="32"/>
  <c r="BD31" i="32"/>
  <c r="BD13" i="32"/>
  <c r="BD20" i="32"/>
  <c r="BD18" i="32"/>
  <c r="BD29" i="32"/>
  <c r="BD17" i="32"/>
  <c r="BD32" i="32"/>
  <c r="BD30" i="32"/>
  <c r="BD24" i="32"/>
  <c r="BD11" i="32"/>
  <c r="BD22" i="32"/>
  <c r="BD14" i="32"/>
  <c r="BD28" i="32"/>
  <c r="BD8" i="32"/>
  <c r="BD15" i="32"/>
  <c r="BD10" i="32"/>
  <c r="BD25" i="32"/>
  <c r="BD19" i="32"/>
  <c r="H22" i="32"/>
  <c r="I22" i="32" s="1"/>
  <c r="K22" i="32" s="1"/>
  <c r="H29" i="32"/>
  <c r="I29" i="32" s="1"/>
  <c r="K29" i="32" s="1"/>
  <c r="H15" i="32"/>
  <c r="I15" i="32" s="1"/>
  <c r="K15" i="32" s="1"/>
  <c r="H18" i="32"/>
  <c r="I18" i="32" s="1"/>
  <c r="K18" i="32" s="1"/>
  <c r="H17" i="32"/>
  <c r="I17" i="32" s="1"/>
  <c r="K17" i="32" s="1"/>
  <c r="H9" i="32"/>
  <c r="I9" i="32" s="1"/>
  <c r="K9" i="32" s="1"/>
  <c r="H13" i="32"/>
  <c r="I13" i="32" s="1"/>
  <c r="K13" i="32" s="1"/>
  <c r="H25" i="32"/>
  <c r="I25" i="32" s="1"/>
  <c r="K25" i="32" s="1"/>
  <c r="H11" i="32"/>
  <c r="I11" i="32" s="1"/>
  <c r="K11" i="32" s="1"/>
  <c r="H24" i="32"/>
  <c r="I24" i="32" s="1"/>
  <c r="K24" i="32" s="1"/>
  <c r="H28" i="32"/>
  <c r="I28" i="32" s="1"/>
  <c r="K28" i="32" s="1"/>
  <c r="H26" i="32"/>
  <c r="I26" i="32" s="1"/>
  <c r="K26" i="32" s="1"/>
  <c r="H10" i="32"/>
  <c r="I10" i="32" s="1"/>
  <c r="K10" i="32" s="1"/>
  <c r="H30" i="32"/>
  <c r="I30" i="32" s="1"/>
  <c r="K30" i="32" s="1"/>
  <c r="H20" i="32"/>
  <c r="I20" i="32" s="1"/>
  <c r="K20" i="32" s="1"/>
  <c r="H27" i="32"/>
  <c r="I27" i="32" s="1"/>
  <c r="K27" i="32" s="1"/>
  <c r="H16" i="32"/>
  <c r="I16" i="32" s="1"/>
  <c r="K16" i="32" s="1"/>
  <c r="H12" i="32"/>
  <c r="I12" i="32" s="1"/>
  <c r="K12" i="32" s="1"/>
  <c r="H32" i="32"/>
  <c r="I32" i="32" s="1"/>
  <c r="K32" i="32" s="1"/>
  <c r="H31" i="32"/>
  <c r="I31" i="32" s="1"/>
  <c r="K31" i="32" s="1"/>
  <c r="H23" i="32"/>
  <c r="I23" i="32" s="1"/>
  <c r="K23" i="32" s="1"/>
  <c r="H8" i="32"/>
  <c r="I8" i="32" s="1"/>
  <c r="H19" i="32"/>
  <c r="I19" i="32" s="1"/>
  <c r="K19" i="32" s="1"/>
  <c r="H14" i="32"/>
  <c r="I14" i="32" s="1"/>
  <c r="K14" i="32" s="1"/>
  <c r="H21" i="32"/>
  <c r="I21" i="32" s="1"/>
  <c r="K21" i="32" s="1"/>
  <c r="BE8" i="22"/>
  <c r="H8" i="29"/>
  <c r="I8" i="29" s="1"/>
  <c r="K8" i="29" s="1"/>
  <c r="BE8" i="25"/>
  <c r="H29" i="30"/>
  <c r="I29" i="30" s="1"/>
  <c r="K29" i="30" s="1"/>
  <c r="H25" i="30"/>
  <c r="I25" i="30" s="1"/>
  <c r="K25" i="30" s="1"/>
  <c r="H21" i="30"/>
  <c r="I21" i="30" s="1"/>
  <c r="K21" i="30" s="1"/>
  <c r="H17" i="30"/>
  <c r="I17" i="30" s="1"/>
  <c r="K17" i="30" s="1"/>
  <c r="H13" i="30"/>
  <c r="I13" i="30" s="1"/>
  <c r="K13" i="30" s="1"/>
  <c r="H9" i="30"/>
  <c r="I9" i="30" s="1"/>
  <c r="K9" i="30" s="1"/>
  <c r="H23" i="30"/>
  <c r="I23" i="30" s="1"/>
  <c r="K23" i="30" s="1"/>
  <c r="H16" i="30"/>
  <c r="I16" i="30" s="1"/>
  <c r="K16" i="30" s="1"/>
  <c r="H24" i="30"/>
  <c r="I24" i="30" s="1"/>
  <c r="K24" i="30" s="1"/>
  <c r="H32" i="30"/>
  <c r="I32" i="30" s="1"/>
  <c r="K32" i="30" s="1"/>
  <c r="H11" i="30"/>
  <c r="I11" i="30" s="1"/>
  <c r="K11" i="30" s="1"/>
  <c r="H27" i="30"/>
  <c r="I27" i="30" s="1"/>
  <c r="K27" i="30" s="1"/>
  <c r="H10" i="30"/>
  <c r="I10" i="30" s="1"/>
  <c r="K10" i="30" s="1"/>
  <c r="H18" i="30"/>
  <c r="I18" i="30" s="1"/>
  <c r="K18" i="30" s="1"/>
  <c r="H26" i="30"/>
  <c r="I26" i="30" s="1"/>
  <c r="K26" i="30" s="1"/>
  <c r="H15" i="30"/>
  <c r="I15" i="30" s="1"/>
  <c r="K15" i="30" s="1"/>
  <c r="H31" i="30"/>
  <c r="I31" i="30" s="1"/>
  <c r="K31" i="30" s="1"/>
  <c r="H12" i="30"/>
  <c r="I12" i="30" s="1"/>
  <c r="K12" i="30" s="1"/>
  <c r="H20" i="30"/>
  <c r="I20" i="30" s="1"/>
  <c r="K20" i="30" s="1"/>
  <c r="H28" i="30"/>
  <c r="I28" i="30" s="1"/>
  <c r="K28" i="30" s="1"/>
  <c r="H19" i="30"/>
  <c r="I19" i="30" s="1"/>
  <c r="K19" i="30" s="1"/>
  <c r="H14" i="30"/>
  <c r="I14" i="30" s="1"/>
  <c r="K14" i="30" s="1"/>
  <c r="H22" i="30"/>
  <c r="I22" i="30" s="1"/>
  <c r="K22" i="30" s="1"/>
  <c r="H30" i="30"/>
  <c r="I30" i="30" s="1"/>
  <c r="K30" i="30" s="1"/>
  <c r="BE46" i="28"/>
  <c r="BE47" i="28"/>
  <c r="BE48" i="28"/>
  <c r="BE3" i="32"/>
  <c r="BE53" i="32" s="1"/>
  <c r="BE3" i="31"/>
  <c r="BE53" i="31" s="1"/>
  <c r="BE3" i="37"/>
  <c r="BE53" i="37" s="1"/>
  <c r="BF3" i="29"/>
  <c r="BF53" i="29" s="1"/>
  <c r="BF3" i="44"/>
  <c r="BF53" i="44" s="1"/>
  <c r="BF3" i="26"/>
  <c r="BF53" i="26" s="1"/>
  <c r="BF3" i="24"/>
  <c r="BF53" i="24" s="1"/>
  <c r="BE3" i="30"/>
  <c r="BE53" i="30" s="1"/>
  <c r="BF3" i="40"/>
  <c r="BF53" i="40" s="1"/>
  <c r="BF3" i="28"/>
  <c r="BF3" i="27"/>
  <c r="BF53" i="27" s="1"/>
  <c r="BF3" i="25"/>
  <c r="BF53" i="25" s="1"/>
  <c r="BF3" i="22"/>
  <c r="BF53" i="22" s="1"/>
  <c r="H16" i="31"/>
  <c r="H14" i="31"/>
  <c r="H10" i="31"/>
  <c r="H18" i="31"/>
  <c r="H22" i="31"/>
  <c r="H26" i="31"/>
  <c r="H30" i="31"/>
  <c r="H8" i="31"/>
  <c r="H12" i="31"/>
  <c r="H9" i="31"/>
  <c r="H13" i="31"/>
  <c r="H17" i="31"/>
  <c r="H25" i="31"/>
  <c r="H32" i="31"/>
  <c r="H28" i="31"/>
  <c r="H24" i="31"/>
  <c r="H21" i="31"/>
  <c r="H19" i="31"/>
  <c r="H11" i="31"/>
  <c r="H15" i="31"/>
  <c r="H20" i="31"/>
  <c r="H29" i="31"/>
  <c r="H23" i="31"/>
  <c r="H27" i="31"/>
  <c r="H31" i="31"/>
  <c r="H8" i="30"/>
  <c r="H9" i="29"/>
  <c r="H32" i="29"/>
  <c r="H23" i="29"/>
  <c r="H21" i="29"/>
  <c r="H19" i="29"/>
  <c r="H17" i="29"/>
  <c r="H30" i="29"/>
  <c r="H24" i="29"/>
  <c r="H10" i="29"/>
  <c r="H11" i="29"/>
  <c r="H12" i="29"/>
  <c r="H13" i="29"/>
  <c r="H14" i="29"/>
  <c r="H15" i="29"/>
  <c r="H16" i="29"/>
  <c r="H26" i="29"/>
  <c r="H31" i="29"/>
  <c r="H18" i="29"/>
  <c r="H20" i="29"/>
  <c r="H22" i="29"/>
  <c r="H27" i="29"/>
  <c r="H25" i="29"/>
  <c r="H29" i="29"/>
  <c r="H28" i="29"/>
  <c r="C32" i="4"/>
  <c r="K49" i="32" l="1"/>
  <c r="J49" i="32"/>
  <c r="L49" i="32" s="1"/>
  <c r="J45" i="32"/>
  <c r="L45" i="32" s="1"/>
  <c r="K45" i="32"/>
  <c r="K44" i="32"/>
  <c r="J44" i="32"/>
  <c r="L44" i="32" s="1"/>
  <c r="J40" i="32"/>
  <c r="L40" i="32" s="1"/>
  <c r="K40" i="32"/>
  <c r="K35" i="32"/>
  <c r="J35" i="32"/>
  <c r="L35" i="32" s="1"/>
  <c r="K43" i="32"/>
  <c r="J43" i="32"/>
  <c r="L43" i="32" s="1"/>
  <c r="J38" i="32"/>
  <c r="L38" i="32" s="1"/>
  <c r="K38" i="32"/>
  <c r="K42" i="32"/>
  <c r="J42" i="32"/>
  <c r="L42" i="32" s="1"/>
  <c r="K34" i="32"/>
  <c r="J34" i="32"/>
  <c r="L34" i="32" s="1"/>
  <c r="J39" i="32"/>
  <c r="L39" i="32" s="1"/>
  <c r="K39" i="32"/>
  <c r="J37" i="32"/>
  <c r="L37" i="32" s="1"/>
  <c r="K37" i="32"/>
  <c r="J41" i="32"/>
  <c r="L41" i="32" s="1"/>
  <c r="K41" i="32"/>
  <c r="K33" i="32"/>
  <c r="J33" i="32"/>
  <c r="L33" i="32" s="1"/>
  <c r="J46" i="32"/>
  <c r="L46" i="32" s="1"/>
  <c r="K46" i="32"/>
  <c r="J50" i="32"/>
  <c r="L50" i="32" s="1"/>
  <c r="K50" i="32"/>
  <c r="K47" i="32"/>
  <c r="J47" i="32"/>
  <c r="L47" i="32" s="1"/>
  <c r="K36" i="32"/>
  <c r="J36" i="32"/>
  <c r="L36" i="32" s="1"/>
  <c r="K52" i="32"/>
  <c r="J52" i="32"/>
  <c r="L52" i="32" s="1"/>
  <c r="K51" i="32"/>
  <c r="J51" i="32"/>
  <c r="L51" i="32" s="1"/>
  <c r="K48" i="32"/>
  <c r="J48" i="32"/>
  <c r="L48" i="32" s="1"/>
  <c r="K36" i="31"/>
  <c r="J36" i="31"/>
  <c r="L36" i="31" s="1"/>
  <c r="K45" i="31"/>
  <c r="J45" i="31"/>
  <c r="L45" i="31" s="1"/>
  <c r="K34" i="31"/>
  <c r="J34" i="31"/>
  <c r="L34" i="31" s="1"/>
  <c r="K50" i="31"/>
  <c r="J50" i="31"/>
  <c r="L50" i="31" s="1"/>
  <c r="J37" i="31"/>
  <c r="L37" i="31" s="1"/>
  <c r="K37" i="31"/>
  <c r="K35" i="31"/>
  <c r="J35" i="31"/>
  <c r="L35" i="31" s="1"/>
  <c r="J48" i="31"/>
  <c r="L48" i="31" s="1"/>
  <c r="K48" i="31"/>
  <c r="J52" i="31"/>
  <c r="L52" i="31" s="1"/>
  <c r="K52" i="31"/>
  <c r="K46" i="31"/>
  <c r="J46" i="31"/>
  <c r="L46" i="31" s="1"/>
  <c r="J47" i="31"/>
  <c r="L47" i="31" s="1"/>
  <c r="K47" i="31"/>
  <c r="J49" i="31"/>
  <c r="L49" i="31" s="1"/>
  <c r="K49" i="31"/>
  <c r="J41" i="31"/>
  <c r="L41" i="31" s="1"/>
  <c r="K41" i="31"/>
  <c r="J33" i="31"/>
  <c r="L33" i="31" s="1"/>
  <c r="K33" i="31"/>
  <c r="J42" i="31"/>
  <c r="L42" i="31" s="1"/>
  <c r="K42" i="31"/>
  <c r="K40" i="31"/>
  <c r="J40" i="31"/>
  <c r="L40" i="31" s="1"/>
  <c r="K38" i="31"/>
  <c r="J38" i="31"/>
  <c r="L38" i="31" s="1"/>
  <c r="K44" i="31"/>
  <c r="J44" i="31"/>
  <c r="L44" i="31" s="1"/>
  <c r="J43" i="31"/>
  <c r="L43" i="31" s="1"/>
  <c r="K43" i="31"/>
  <c r="K51" i="31"/>
  <c r="J51" i="31"/>
  <c r="L51" i="31" s="1"/>
  <c r="K39" i="31"/>
  <c r="J39" i="31"/>
  <c r="L39" i="31" s="1"/>
  <c r="K51" i="30"/>
  <c r="J51" i="30"/>
  <c r="L51" i="30" s="1"/>
  <c r="J47" i="30"/>
  <c r="L47" i="30" s="1"/>
  <c r="K47" i="30"/>
  <c r="J48" i="30"/>
  <c r="L48" i="30" s="1"/>
  <c r="K48" i="30"/>
  <c r="J42" i="30"/>
  <c r="L42" i="30" s="1"/>
  <c r="K42" i="30"/>
  <c r="K41" i="30"/>
  <c r="J41" i="30"/>
  <c r="L41" i="30" s="1"/>
  <c r="K40" i="30"/>
  <c r="J40" i="30"/>
  <c r="L40" i="30" s="1"/>
  <c r="K37" i="30"/>
  <c r="J37" i="30"/>
  <c r="L37" i="30" s="1"/>
  <c r="J46" i="30"/>
  <c r="L46" i="30" s="1"/>
  <c r="K46" i="30"/>
  <c r="J39" i="30"/>
  <c r="L39" i="30" s="1"/>
  <c r="K39" i="30"/>
  <c r="J34" i="30"/>
  <c r="L34" i="30" s="1"/>
  <c r="K34" i="30"/>
  <c r="K33" i="30"/>
  <c r="J33" i="30"/>
  <c r="L33" i="30" s="1"/>
  <c r="K36" i="30"/>
  <c r="J36" i="30"/>
  <c r="L36" i="30" s="1"/>
  <c r="J52" i="30"/>
  <c r="L52" i="30" s="1"/>
  <c r="K52" i="30"/>
  <c r="J45" i="30"/>
  <c r="L45" i="30" s="1"/>
  <c r="K45" i="30"/>
  <c r="J35" i="30"/>
  <c r="L35" i="30" s="1"/>
  <c r="K35" i="30"/>
  <c r="J50" i="30"/>
  <c r="L50" i="30" s="1"/>
  <c r="K50" i="30"/>
  <c r="K38" i="30"/>
  <c r="J38" i="30"/>
  <c r="L38" i="30" s="1"/>
  <c r="K44" i="30"/>
  <c r="J44" i="30"/>
  <c r="L44" i="30" s="1"/>
  <c r="K49" i="30"/>
  <c r="J49" i="30"/>
  <c r="L49" i="30" s="1"/>
  <c r="J43" i="30"/>
  <c r="L43" i="30" s="1"/>
  <c r="K43" i="30"/>
  <c r="BE49" i="37"/>
  <c r="BE46" i="37"/>
  <c r="BE47" i="37"/>
  <c r="BE48" i="37"/>
  <c r="BE50" i="37"/>
  <c r="BE51" i="37"/>
  <c r="BE52" i="37"/>
  <c r="BF51" i="40"/>
  <c r="BF47" i="40"/>
  <c r="BF46" i="40"/>
  <c r="BF49" i="40"/>
  <c r="BF50" i="40"/>
  <c r="BF52" i="40"/>
  <c r="BF48" i="40"/>
  <c r="BF48" i="50"/>
  <c r="BF52" i="50"/>
  <c r="BF50" i="50"/>
  <c r="BF46" i="50"/>
  <c r="BF47" i="50"/>
  <c r="BF51" i="50"/>
  <c r="BF49" i="50"/>
  <c r="BE46" i="31"/>
  <c r="BE52" i="31"/>
  <c r="BE49" i="31"/>
  <c r="BE50" i="31"/>
  <c r="BE47" i="31"/>
  <c r="BE51" i="31"/>
  <c r="BE48" i="31"/>
  <c r="BF51" i="22"/>
  <c r="BF50" i="22"/>
  <c r="BF47" i="22"/>
  <c r="BF52" i="22"/>
  <c r="BF46" i="22"/>
  <c r="BF49" i="22"/>
  <c r="BF48" i="22"/>
  <c r="BF47" i="44"/>
  <c r="BF46" i="44"/>
  <c r="BF48" i="44"/>
  <c r="BF49" i="44"/>
  <c r="BF52" i="44"/>
  <c r="BF50" i="44"/>
  <c r="BF51" i="44"/>
  <c r="BE52" i="32"/>
  <c r="BE48" i="32"/>
  <c r="BE49" i="32"/>
  <c r="BE47" i="32"/>
  <c r="BE46" i="32"/>
  <c r="BE51" i="32"/>
  <c r="BE50" i="32"/>
  <c r="BF51" i="25"/>
  <c r="BF50" i="25"/>
  <c r="BF47" i="25"/>
  <c r="BF48" i="25"/>
  <c r="BF52" i="25"/>
  <c r="BF49" i="25"/>
  <c r="BF46" i="25"/>
  <c r="BE48" i="30"/>
  <c r="BE50" i="30"/>
  <c r="BE49" i="30"/>
  <c r="BE51" i="30"/>
  <c r="BE52" i="30"/>
  <c r="BE47" i="30"/>
  <c r="BE46" i="30"/>
  <c r="BF52" i="26"/>
  <c r="BF47" i="26"/>
  <c r="BF50" i="26"/>
  <c r="BF46" i="26"/>
  <c r="BF48" i="26"/>
  <c r="BF49" i="26"/>
  <c r="BF51" i="26"/>
  <c r="BF48" i="27"/>
  <c r="BF51" i="27"/>
  <c r="BF46" i="27"/>
  <c r="BF52" i="27"/>
  <c r="BF50" i="27"/>
  <c r="BF47" i="27"/>
  <c r="BF49" i="27"/>
  <c r="BF47" i="24"/>
  <c r="BF49" i="24"/>
  <c r="BF51" i="24"/>
  <c r="BF46" i="24"/>
  <c r="BF50" i="24"/>
  <c r="BF52" i="24"/>
  <c r="BF48" i="24"/>
  <c r="BF33" i="25"/>
  <c r="BF38" i="25"/>
  <c r="BF35" i="25"/>
  <c r="BF40" i="25"/>
  <c r="BF34" i="25"/>
  <c r="BF43" i="25"/>
  <c r="BF45" i="25"/>
  <c r="BF37" i="25"/>
  <c r="BF36" i="25"/>
  <c r="BF44" i="25"/>
  <c r="BF41" i="25"/>
  <c r="BF39" i="25"/>
  <c r="BF42" i="25"/>
  <c r="BE35" i="30"/>
  <c r="BE43" i="30"/>
  <c r="BE40" i="30"/>
  <c r="BE34" i="30"/>
  <c r="BE39" i="30"/>
  <c r="BE38" i="30"/>
  <c r="BE44" i="30"/>
  <c r="BE37" i="30"/>
  <c r="BE41" i="30"/>
  <c r="BE42" i="30"/>
  <c r="BE45" i="30"/>
  <c r="BE33" i="30"/>
  <c r="BE36" i="30"/>
  <c r="BF50" i="29"/>
  <c r="BF47" i="29"/>
  <c r="BF51" i="29"/>
  <c r="BF52" i="29"/>
  <c r="BF48" i="29"/>
  <c r="BF46" i="29"/>
  <c r="BF49" i="29"/>
  <c r="J50" i="29"/>
  <c r="L50" i="29" s="1"/>
  <c r="K50" i="29"/>
  <c r="J49" i="29"/>
  <c r="L49" i="29" s="1"/>
  <c r="K49" i="29"/>
  <c r="BF41" i="27"/>
  <c r="BF39" i="27"/>
  <c r="BF33" i="27"/>
  <c r="BF44" i="27"/>
  <c r="BF42" i="27"/>
  <c r="BF36" i="27"/>
  <c r="BF38" i="27"/>
  <c r="BF40" i="27"/>
  <c r="BF45" i="27"/>
  <c r="BF37" i="27"/>
  <c r="BF35" i="27"/>
  <c r="BF34" i="27"/>
  <c r="BF43" i="27"/>
  <c r="BF41" i="24"/>
  <c r="BF36" i="24"/>
  <c r="BF34" i="24"/>
  <c r="BF33" i="24"/>
  <c r="BF35" i="24"/>
  <c r="BF37" i="24"/>
  <c r="BF39" i="24"/>
  <c r="BF43" i="24"/>
  <c r="BF38" i="24"/>
  <c r="BF44" i="24"/>
  <c r="BF42" i="24"/>
  <c r="BF40" i="24"/>
  <c r="BF45" i="24"/>
  <c r="BE33" i="37"/>
  <c r="BE39" i="37"/>
  <c r="BE36" i="37"/>
  <c r="BE45" i="37"/>
  <c r="BE44" i="37"/>
  <c r="BE37" i="37"/>
  <c r="BE41" i="37"/>
  <c r="BE34" i="37"/>
  <c r="BE38" i="37"/>
  <c r="BE42" i="37"/>
  <c r="BE35" i="37"/>
  <c r="BE43" i="37"/>
  <c r="BE40" i="37"/>
  <c r="J46" i="29"/>
  <c r="L46" i="29" s="1"/>
  <c r="K46" i="29"/>
  <c r="K52" i="29"/>
  <c r="J52" i="29"/>
  <c r="L52" i="29" s="1"/>
  <c r="BF39" i="26"/>
  <c r="BF37" i="26"/>
  <c r="BF42" i="26"/>
  <c r="BF41" i="26"/>
  <c r="BF44" i="26"/>
  <c r="BF43" i="26"/>
  <c r="BF35" i="26"/>
  <c r="BF40" i="26"/>
  <c r="BF45" i="26"/>
  <c r="BF34" i="26"/>
  <c r="BF36" i="26"/>
  <c r="BF33" i="26"/>
  <c r="BF38" i="26"/>
  <c r="BE44" i="31"/>
  <c r="BE43" i="31"/>
  <c r="BE37" i="31"/>
  <c r="BE39" i="31"/>
  <c r="BE33" i="31"/>
  <c r="BE36" i="31"/>
  <c r="BE34" i="31"/>
  <c r="BE41" i="31"/>
  <c r="BE38" i="31"/>
  <c r="BE42" i="31"/>
  <c r="BE45" i="31"/>
  <c r="BE35" i="31"/>
  <c r="BE40" i="31"/>
  <c r="BF43" i="50"/>
  <c r="BF38" i="50"/>
  <c r="BF35" i="50"/>
  <c r="BF37" i="50"/>
  <c r="BF39" i="50"/>
  <c r="BF36" i="50"/>
  <c r="BF42" i="50"/>
  <c r="BF34" i="50"/>
  <c r="BF33" i="50"/>
  <c r="BF40" i="50"/>
  <c r="BF41" i="50"/>
  <c r="BF44" i="50"/>
  <c r="BF45" i="50"/>
  <c r="K47" i="29"/>
  <c r="J47" i="29"/>
  <c r="L47" i="29" s="1"/>
  <c r="BF37" i="22"/>
  <c r="BF35" i="22"/>
  <c r="BF33" i="22"/>
  <c r="BF43" i="22"/>
  <c r="BF40" i="22"/>
  <c r="BF34" i="22"/>
  <c r="BF36" i="22"/>
  <c r="BF38" i="22"/>
  <c r="BF42" i="22"/>
  <c r="BF44" i="22"/>
  <c r="BF41" i="22"/>
  <c r="BF39" i="22"/>
  <c r="BF45" i="22"/>
  <c r="BF41" i="40"/>
  <c r="BF42" i="40"/>
  <c r="BF36" i="40"/>
  <c r="BF33" i="40"/>
  <c r="BF40" i="40"/>
  <c r="BF44" i="40"/>
  <c r="BF35" i="40"/>
  <c r="BF38" i="40"/>
  <c r="BF45" i="40"/>
  <c r="BF34" i="40"/>
  <c r="BF43" i="40"/>
  <c r="BF37" i="40"/>
  <c r="BF39" i="40"/>
  <c r="BF42" i="44"/>
  <c r="BF45" i="44"/>
  <c r="BF34" i="44"/>
  <c r="BF40" i="44"/>
  <c r="BF38" i="44"/>
  <c r="BF44" i="44"/>
  <c r="BF35" i="44"/>
  <c r="BF36" i="44"/>
  <c r="BF37" i="44"/>
  <c r="BF33" i="44"/>
  <c r="BF39" i="44"/>
  <c r="BF41" i="44"/>
  <c r="BF43" i="44"/>
  <c r="BE42" i="32"/>
  <c r="BE43" i="32"/>
  <c r="BE38" i="32"/>
  <c r="BE35" i="32"/>
  <c r="BE33" i="32"/>
  <c r="BE39" i="32"/>
  <c r="BE40" i="32"/>
  <c r="BE36" i="32"/>
  <c r="BE41" i="32"/>
  <c r="BE34" i="32"/>
  <c r="BE37" i="32"/>
  <c r="BE44" i="32"/>
  <c r="BE45" i="32"/>
  <c r="J51" i="29"/>
  <c r="L51" i="29" s="1"/>
  <c r="K51" i="29"/>
  <c r="J48" i="29"/>
  <c r="L48" i="29" s="1"/>
  <c r="K48" i="29"/>
  <c r="K44" i="29"/>
  <c r="J44" i="29"/>
  <c r="L44" i="29" s="1"/>
  <c r="K37" i="29"/>
  <c r="J37" i="29"/>
  <c r="L37" i="29" s="1"/>
  <c r="J34" i="29"/>
  <c r="L34" i="29" s="1"/>
  <c r="K34" i="29"/>
  <c r="K41" i="29"/>
  <c r="J41" i="29"/>
  <c r="L41" i="29" s="1"/>
  <c r="J39" i="29"/>
  <c r="L39" i="29" s="1"/>
  <c r="K39" i="29"/>
  <c r="J42" i="29"/>
  <c r="L42" i="29" s="1"/>
  <c r="K42" i="29"/>
  <c r="K36" i="29"/>
  <c r="J36" i="29"/>
  <c r="L36" i="29" s="1"/>
  <c r="J45" i="29"/>
  <c r="L45" i="29" s="1"/>
  <c r="K45" i="29"/>
  <c r="K38" i="29"/>
  <c r="J38" i="29"/>
  <c r="L38" i="29" s="1"/>
  <c r="BF45" i="29"/>
  <c r="BF33" i="29"/>
  <c r="BF40" i="29"/>
  <c r="BF38" i="29"/>
  <c r="BF34" i="29"/>
  <c r="BF36" i="29"/>
  <c r="BF37" i="29"/>
  <c r="BF41" i="29"/>
  <c r="BF35" i="29"/>
  <c r="BF42" i="29"/>
  <c r="BF43" i="29"/>
  <c r="BF44" i="29"/>
  <c r="BF39" i="29"/>
  <c r="K40" i="29"/>
  <c r="J40" i="29"/>
  <c r="L40" i="29" s="1"/>
  <c r="J43" i="29"/>
  <c r="L43" i="29" s="1"/>
  <c r="K43" i="29"/>
  <c r="K33" i="29"/>
  <c r="J33" i="29"/>
  <c r="L33" i="29" s="1"/>
  <c r="K35" i="29"/>
  <c r="J35" i="29"/>
  <c r="L35" i="29" s="1"/>
  <c r="BF8" i="27"/>
  <c r="BF8" i="44"/>
  <c r="N8" i="29"/>
  <c r="M9" i="29" s="1"/>
  <c r="BF8" i="40"/>
  <c r="BE8" i="37"/>
  <c r="BF32" i="50"/>
  <c r="BF15" i="50"/>
  <c r="BF21" i="50"/>
  <c r="BF31" i="50"/>
  <c r="BF17" i="50"/>
  <c r="BF16" i="50"/>
  <c r="BF23" i="50"/>
  <c r="BF26" i="50"/>
  <c r="BF18" i="50"/>
  <c r="BF24" i="50"/>
  <c r="BF22" i="50"/>
  <c r="BF20" i="50"/>
  <c r="BF8" i="50"/>
  <c r="BF19" i="50"/>
  <c r="BF25" i="50"/>
  <c r="BF13" i="50"/>
  <c r="BF12" i="50"/>
  <c r="BF29" i="50"/>
  <c r="BF11" i="50"/>
  <c r="BF30" i="50"/>
  <c r="BF28" i="50"/>
  <c r="BF27" i="50"/>
  <c r="BF9" i="50"/>
  <c r="BF10" i="50"/>
  <c r="BF14" i="50"/>
  <c r="BG3" i="50"/>
  <c r="BG53" i="50" s="1"/>
  <c r="BG4" i="29"/>
  <c r="BG4" i="50"/>
  <c r="BG4" i="27"/>
  <c r="BG4" i="40"/>
  <c r="BG4" i="44"/>
  <c r="BF4" i="37"/>
  <c r="BG4" i="26"/>
  <c r="BG4" i="28"/>
  <c r="BG4" i="22"/>
  <c r="BF4" i="32"/>
  <c r="BF4" i="31"/>
  <c r="BG4" i="25"/>
  <c r="BG4" i="24"/>
  <c r="BF4" i="30"/>
  <c r="J14" i="32"/>
  <c r="L14" i="32" s="1"/>
  <c r="J32" i="32"/>
  <c r="L32" i="32" s="1"/>
  <c r="J21" i="32"/>
  <c r="L21" i="32" s="1"/>
  <c r="J20" i="32"/>
  <c r="L20" i="32" s="1"/>
  <c r="J18" i="32"/>
  <c r="L18" i="32" s="1"/>
  <c r="J12" i="32"/>
  <c r="L12" i="32" s="1"/>
  <c r="J30" i="32"/>
  <c r="L30" i="32" s="1"/>
  <c r="J15" i="32"/>
  <c r="L15" i="32" s="1"/>
  <c r="J17" i="32"/>
  <c r="L17" i="32" s="1"/>
  <c r="J19" i="32"/>
  <c r="L19" i="32" s="1"/>
  <c r="J10" i="32"/>
  <c r="L10" i="32" s="1"/>
  <c r="J29" i="32"/>
  <c r="L29" i="32" s="1"/>
  <c r="J26" i="32"/>
  <c r="L26" i="32" s="1"/>
  <c r="J22" i="32"/>
  <c r="L22" i="32" s="1"/>
  <c r="J8" i="32"/>
  <c r="L8" i="32" s="1"/>
  <c r="K8" i="32"/>
  <c r="J28" i="32"/>
  <c r="L28" i="32" s="1"/>
  <c r="J24" i="32"/>
  <c r="L24" i="32" s="1"/>
  <c r="BF8" i="22"/>
  <c r="J25" i="32"/>
  <c r="L25" i="32" s="1"/>
  <c r="BE26" i="32"/>
  <c r="BE29" i="32"/>
  <c r="BE23" i="32"/>
  <c r="BE19" i="32"/>
  <c r="BE11" i="32"/>
  <c r="BE20" i="32"/>
  <c r="BE12" i="32"/>
  <c r="BE27" i="32"/>
  <c r="BE16" i="32"/>
  <c r="BE31" i="32"/>
  <c r="BE14" i="32"/>
  <c r="BE25" i="32"/>
  <c r="BE15" i="32"/>
  <c r="BE24" i="32"/>
  <c r="BE30" i="32"/>
  <c r="BE10" i="32"/>
  <c r="BE13" i="32"/>
  <c r="BE21" i="32"/>
  <c r="BE22" i="32"/>
  <c r="BE18" i="32"/>
  <c r="BE28" i="32"/>
  <c r="BE32" i="32"/>
  <c r="BE9" i="32"/>
  <c r="BE17" i="32"/>
  <c r="BE8" i="32"/>
  <c r="J23" i="32"/>
  <c r="L23" i="32" s="1"/>
  <c r="J27" i="32"/>
  <c r="L27" i="32" s="1"/>
  <c r="J13" i="32"/>
  <c r="L13" i="32" s="1"/>
  <c r="J16" i="32"/>
  <c r="L16" i="32" s="1"/>
  <c r="J11" i="32"/>
  <c r="L11" i="32" s="1"/>
  <c r="J31" i="32"/>
  <c r="L31" i="32" s="1"/>
  <c r="J9" i="32"/>
  <c r="L9" i="32" s="1"/>
  <c r="J8" i="29"/>
  <c r="L8" i="29" s="1"/>
  <c r="BF8" i="25"/>
  <c r="J12" i="30"/>
  <c r="L12" i="30" s="1"/>
  <c r="J16" i="30"/>
  <c r="L16" i="30" s="1"/>
  <c r="J13" i="30"/>
  <c r="L13" i="30" s="1"/>
  <c r="J29" i="30"/>
  <c r="L29" i="30" s="1"/>
  <c r="J31" i="30"/>
  <c r="L31" i="30" s="1"/>
  <c r="J26" i="30"/>
  <c r="L26" i="30" s="1"/>
  <c r="J27" i="30"/>
  <c r="L27" i="30" s="1"/>
  <c r="J17" i="30"/>
  <c r="L17" i="30" s="1"/>
  <c r="J30" i="30"/>
  <c r="L30" i="30" s="1"/>
  <c r="J14" i="30"/>
  <c r="L14" i="30" s="1"/>
  <c r="J19" i="30"/>
  <c r="L19" i="30" s="1"/>
  <c r="J28" i="30"/>
  <c r="L28" i="30" s="1"/>
  <c r="J15" i="30"/>
  <c r="L15" i="30" s="1"/>
  <c r="J18" i="30"/>
  <c r="L18" i="30" s="1"/>
  <c r="J11" i="30"/>
  <c r="L11" i="30" s="1"/>
  <c r="J32" i="30"/>
  <c r="L32" i="30" s="1"/>
  <c r="J23" i="30"/>
  <c r="L23" i="30" s="1"/>
  <c r="J21" i="30"/>
  <c r="L21" i="30" s="1"/>
  <c r="J22" i="30"/>
  <c r="L22" i="30" s="1"/>
  <c r="J20" i="30"/>
  <c r="L20" i="30" s="1"/>
  <c r="J10" i="30"/>
  <c r="L10" i="30" s="1"/>
  <c r="J24" i="30"/>
  <c r="L24" i="30" s="1"/>
  <c r="J9" i="30"/>
  <c r="L9" i="30" s="1"/>
  <c r="J25" i="30"/>
  <c r="L25" i="30" s="1"/>
  <c r="BF48" i="28"/>
  <c r="BF47" i="28"/>
  <c r="BF46" i="28"/>
  <c r="BF3" i="37"/>
  <c r="BF53" i="37" s="1"/>
  <c r="BG3" i="28"/>
  <c r="BG3" i="44"/>
  <c r="BG53" i="44" s="1"/>
  <c r="BG3" i="29"/>
  <c r="BG53" i="29" s="1"/>
  <c r="BG3" i="26"/>
  <c r="BG53" i="26" s="1"/>
  <c r="BG3" i="24"/>
  <c r="BG53" i="24" s="1"/>
  <c r="BG3" i="22"/>
  <c r="BG53" i="22" s="1"/>
  <c r="BG3" i="25"/>
  <c r="BG53" i="25" s="1"/>
  <c r="BF3" i="30"/>
  <c r="BF53" i="30" s="1"/>
  <c r="BG3" i="27"/>
  <c r="BG53" i="27" s="1"/>
  <c r="BF3" i="32"/>
  <c r="BF53" i="32" s="1"/>
  <c r="BF3" i="31"/>
  <c r="BF53" i="31" s="1"/>
  <c r="BG3" i="40"/>
  <c r="BG53" i="40" s="1"/>
  <c r="C9" i="34"/>
  <c r="C10" i="34" s="1"/>
  <c r="K3" i="32" l="1"/>
  <c r="K3" i="31"/>
  <c r="K3" i="30"/>
  <c r="K3" i="29"/>
  <c r="BF52" i="37"/>
  <c r="BF51" i="37"/>
  <c r="BF50" i="37"/>
  <c r="BF48" i="37"/>
  <c r="BF49" i="37"/>
  <c r="BF46" i="37"/>
  <c r="BF47" i="37"/>
  <c r="BG46" i="40"/>
  <c r="BG47" i="40"/>
  <c r="BG49" i="40"/>
  <c r="BG51" i="40"/>
  <c r="BG50" i="40"/>
  <c r="BG52" i="40"/>
  <c r="BG48" i="40"/>
  <c r="BG47" i="27"/>
  <c r="BG52" i="27"/>
  <c r="BG50" i="27"/>
  <c r="BG46" i="27"/>
  <c r="BG49" i="27"/>
  <c r="BG51" i="27"/>
  <c r="BG48" i="27"/>
  <c r="BF49" i="30"/>
  <c r="BF47" i="30"/>
  <c r="BF46" i="30"/>
  <c r="BF51" i="30"/>
  <c r="BF52" i="30"/>
  <c r="BF50" i="30"/>
  <c r="BF48" i="30"/>
  <c r="BG48" i="26"/>
  <c r="BG51" i="26"/>
  <c r="BG46" i="26"/>
  <c r="BG47" i="26"/>
  <c r="BG49" i="26"/>
  <c r="BG50" i="26"/>
  <c r="BG52" i="26"/>
  <c r="BG51" i="50"/>
  <c r="BG46" i="50"/>
  <c r="BG48" i="50"/>
  <c r="BG47" i="50"/>
  <c r="BG52" i="50"/>
  <c r="BG50" i="50"/>
  <c r="BG49" i="50"/>
  <c r="BF51" i="31"/>
  <c r="BF49" i="31"/>
  <c r="BF46" i="31"/>
  <c r="BF52" i="31"/>
  <c r="BF50" i="31"/>
  <c r="BF47" i="31"/>
  <c r="BF48" i="31"/>
  <c r="BG47" i="25"/>
  <c r="BG46" i="25"/>
  <c r="BG49" i="25"/>
  <c r="BG51" i="25"/>
  <c r="BG48" i="25"/>
  <c r="BG50" i="25"/>
  <c r="BG52" i="25"/>
  <c r="BF51" i="32"/>
  <c r="BF47" i="32"/>
  <c r="BF49" i="32"/>
  <c r="BF50" i="32"/>
  <c r="BF52" i="32"/>
  <c r="BF48" i="32"/>
  <c r="BF46" i="32"/>
  <c r="BG46" i="22"/>
  <c r="BG47" i="22"/>
  <c r="BG50" i="22"/>
  <c r="BG49" i="22"/>
  <c r="BG48" i="22"/>
  <c r="BG52" i="22"/>
  <c r="BG51" i="22"/>
  <c r="BG52" i="44"/>
  <c r="BG47" i="44"/>
  <c r="BG51" i="44"/>
  <c r="BG50" i="44"/>
  <c r="BG48" i="44"/>
  <c r="BG46" i="44"/>
  <c r="BG49" i="44"/>
  <c r="BG52" i="24"/>
  <c r="BG47" i="24"/>
  <c r="BG48" i="24"/>
  <c r="BG46" i="24"/>
  <c r="BG49" i="24"/>
  <c r="BG50" i="24"/>
  <c r="BG51" i="24"/>
  <c r="BG42" i="24"/>
  <c r="BG37" i="24"/>
  <c r="BG36" i="24"/>
  <c r="BG39" i="24"/>
  <c r="BG35" i="24"/>
  <c r="BG38" i="24"/>
  <c r="BG41" i="24"/>
  <c r="BG34" i="24"/>
  <c r="BG33" i="24"/>
  <c r="BG43" i="24"/>
  <c r="BG45" i="24"/>
  <c r="BG44" i="24"/>
  <c r="BG40" i="24"/>
  <c r="BF34" i="31"/>
  <c r="BF35" i="31"/>
  <c r="BF33" i="31"/>
  <c r="BF40" i="31"/>
  <c r="BF44" i="31"/>
  <c r="BF37" i="31"/>
  <c r="BF45" i="31"/>
  <c r="BF38" i="31"/>
  <c r="BF39" i="31"/>
  <c r="BF36" i="31"/>
  <c r="BF42" i="31"/>
  <c r="BF43" i="31"/>
  <c r="BF41" i="31"/>
  <c r="BG43" i="25"/>
  <c r="BG39" i="25"/>
  <c r="BG45" i="25"/>
  <c r="BG42" i="25"/>
  <c r="BG44" i="25"/>
  <c r="BG34" i="25"/>
  <c r="BG36" i="25"/>
  <c r="BG37" i="25"/>
  <c r="BG35" i="25"/>
  <c r="BG33" i="25"/>
  <c r="BG41" i="25"/>
  <c r="BG38" i="25"/>
  <c r="BG40" i="25"/>
  <c r="BG52" i="29"/>
  <c r="BG49" i="29"/>
  <c r="BG47" i="29"/>
  <c r="BG50" i="29"/>
  <c r="BG51" i="29"/>
  <c r="BG46" i="29"/>
  <c r="BG48" i="29"/>
  <c r="BF33" i="32"/>
  <c r="BF38" i="32"/>
  <c r="BF37" i="32"/>
  <c r="BF35" i="32"/>
  <c r="BF39" i="32"/>
  <c r="BF40" i="32"/>
  <c r="BF45" i="32"/>
  <c r="BF34" i="32"/>
  <c r="BF41" i="32"/>
  <c r="BF36" i="32"/>
  <c r="BF43" i="32"/>
  <c r="BF44" i="32"/>
  <c r="BF42" i="32"/>
  <c r="BG35" i="22"/>
  <c r="BG33" i="22"/>
  <c r="BG36" i="22"/>
  <c r="BG40" i="22"/>
  <c r="BG41" i="22"/>
  <c r="BG43" i="22"/>
  <c r="BG38" i="22"/>
  <c r="BG37" i="22"/>
  <c r="BG42" i="22"/>
  <c r="BG39" i="22"/>
  <c r="BG45" i="22"/>
  <c r="BG34" i="22"/>
  <c r="BG44" i="22"/>
  <c r="BG43" i="44"/>
  <c r="BG37" i="44"/>
  <c r="BG33" i="44"/>
  <c r="BG34" i="44"/>
  <c r="BG36" i="44"/>
  <c r="BG39" i="44"/>
  <c r="BG38" i="44"/>
  <c r="BG40" i="44"/>
  <c r="BG42" i="44"/>
  <c r="BG45" i="44"/>
  <c r="BG35" i="44"/>
  <c r="BG41" i="44"/>
  <c r="BG44" i="44"/>
  <c r="BG41" i="27"/>
  <c r="BG36" i="27"/>
  <c r="BG43" i="27"/>
  <c r="BG37" i="27"/>
  <c r="BG40" i="27"/>
  <c r="BG34" i="27"/>
  <c r="BG35" i="27"/>
  <c r="BG44" i="27"/>
  <c r="BG45" i="27"/>
  <c r="BG33" i="27"/>
  <c r="BG38" i="27"/>
  <c r="BG39" i="27"/>
  <c r="BG42" i="27"/>
  <c r="BG34" i="40"/>
  <c r="BG39" i="40"/>
  <c r="BG37" i="40"/>
  <c r="BG43" i="40"/>
  <c r="BG38" i="40"/>
  <c r="BG42" i="40"/>
  <c r="BG36" i="40"/>
  <c r="BG40" i="40"/>
  <c r="BG45" i="40"/>
  <c r="BG44" i="40"/>
  <c r="BG35" i="40"/>
  <c r="BG33" i="40"/>
  <c r="BG41" i="40"/>
  <c r="BF42" i="30"/>
  <c r="BF34" i="30"/>
  <c r="BF39" i="30"/>
  <c r="BF41" i="30"/>
  <c r="BF35" i="30"/>
  <c r="BF40" i="30"/>
  <c r="BF38" i="30"/>
  <c r="BF44" i="30"/>
  <c r="BF45" i="30"/>
  <c r="BF43" i="30"/>
  <c r="BF36" i="30"/>
  <c r="BF37" i="30"/>
  <c r="BF33" i="30"/>
  <c r="BG40" i="26"/>
  <c r="BG33" i="26"/>
  <c r="BG34" i="26"/>
  <c r="BG37" i="26"/>
  <c r="BG38" i="26"/>
  <c r="BG43" i="26"/>
  <c r="BG45" i="26"/>
  <c r="BG35" i="26"/>
  <c r="BG42" i="26"/>
  <c r="BG41" i="26"/>
  <c r="BG36" i="26"/>
  <c r="BG39" i="26"/>
  <c r="BG44" i="26"/>
  <c r="BF33" i="37"/>
  <c r="BF44" i="37"/>
  <c r="BF42" i="37"/>
  <c r="BF43" i="37"/>
  <c r="BF38" i="37"/>
  <c r="BF40" i="37"/>
  <c r="BF41" i="37"/>
  <c r="BF39" i="37"/>
  <c r="BF45" i="37"/>
  <c r="BF34" i="37"/>
  <c r="BF35" i="37"/>
  <c r="BF36" i="37"/>
  <c r="BF37" i="37"/>
  <c r="BG39" i="50"/>
  <c r="BG45" i="50"/>
  <c r="BG37" i="50"/>
  <c r="BG36" i="50"/>
  <c r="BG34" i="50"/>
  <c r="BG41" i="50"/>
  <c r="BG35" i="50"/>
  <c r="BG33" i="50"/>
  <c r="BG43" i="50"/>
  <c r="BG38" i="50"/>
  <c r="BG40" i="50"/>
  <c r="BG42" i="50"/>
  <c r="BG44" i="50"/>
  <c r="BG40" i="29"/>
  <c r="BG39" i="29"/>
  <c r="BG43" i="29"/>
  <c r="BG33" i="29"/>
  <c r="BG45" i="29"/>
  <c r="BG34" i="29"/>
  <c r="BG35" i="29"/>
  <c r="BG38" i="29"/>
  <c r="BG44" i="29"/>
  <c r="BG37" i="29"/>
  <c r="BG41" i="29"/>
  <c r="BG36" i="29"/>
  <c r="BG42" i="29"/>
  <c r="BG8" i="27"/>
  <c r="BG8" i="44"/>
  <c r="N8" i="32"/>
  <c r="BF8" i="37"/>
  <c r="BG8" i="40"/>
  <c r="BG12" i="50"/>
  <c r="BG32" i="50"/>
  <c r="BG15" i="50"/>
  <c r="BG20" i="50"/>
  <c r="BG10" i="50"/>
  <c r="BG23" i="50"/>
  <c r="BG21" i="50"/>
  <c r="BG24" i="50"/>
  <c r="BG17" i="50"/>
  <c r="BG22" i="50"/>
  <c r="BG28" i="50"/>
  <c r="BG9" i="50"/>
  <c r="BG30" i="50"/>
  <c r="BG13" i="50"/>
  <c r="BH3" i="50"/>
  <c r="BH53" i="50" s="1"/>
  <c r="BG31" i="50"/>
  <c r="BG8" i="50"/>
  <c r="BG16" i="50"/>
  <c r="BG18" i="50"/>
  <c r="BG11" i="50"/>
  <c r="BG19" i="50"/>
  <c r="BG29" i="50"/>
  <c r="BG27" i="50"/>
  <c r="BG25" i="50"/>
  <c r="BG14" i="50"/>
  <c r="BG26" i="50"/>
  <c r="BH4" i="29"/>
  <c r="BH4" i="50"/>
  <c r="BH4" i="40"/>
  <c r="BH4" i="44"/>
  <c r="BG4" i="37"/>
  <c r="BH4" i="28"/>
  <c r="BH4" i="27"/>
  <c r="BH4" i="26"/>
  <c r="BG4" i="31"/>
  <c r="BH4" i="25"/>
  <c r="BH4" i="24"/>
  <c r="BH4" i="22"/>
  <c r="BG4" i="32"/>
  <c r="BG4" i="30"/>
  <c r="BF17" i="32"/>
  <c r="BF15" i="32"/>
  <c r="BF30" i="32"/>
  <c r="BF19" i="32"/>
  <c r="BF11" i="32"/>
  <c r="BF26" i="32"/>
  <c r="BF12" i="32"/>
  <c r="BF10" i="32"/>
  <c r="BF9" i="32"/>
  <c r="BF21" i="32"/>
  <c r="BF18" i="32"/>
  <c r="BF14" i="32"/>
  <c r="BF29" i="32"/>
  <c r="BF13" i="32"/>
  <c r="BF22" i="32"/>
  <c r="BF25" i="32"/>
  <c r="BF32" i="32"/>
  <c r="BF20" i="32"/>
  <c r="BF8" i="32"/>
  <c r="BF23" i="32"/>
  <c r="BF24" i="32"/>
  <c r="BF31" i="32"/>
  <c r="BF28" i="32"/>
  <c r="BF16" i="32"/>
  <c r="BF27" i="32"/>
  <c r="BG8" i="22"/>
  <c r="BG8" i="25"/>
  <c r="BG47" i="28"/>
  <c r="BG48" i="28"/>
  <c r="BG46" i="28"/>
  <c r="BG3" i="30"/>
  <c r="BG53" i="30" s="1"/>
  <c r="BH3" i="40"/>
  <c r="BH53" i="40" s="1"/>
  <c r="BG3" i="37"/>
  <c r="BG53" i="37" s="1"/>
  <c r="BH3" i="27"/>
  <c r="BH53" i="27" s="1"/>
  <c r="BH3" i="28"/>
  <c r="BH3" i="44"/>
  <c r="BH53" i="44" s="1"/>
  <c r="BH3" i="26"/>
  <c r="BH53" i="26" s="1"/>
  <c r="BH3" i="29"/>
  <c r="BH53" i="29" s="1"/>
  <c r="BH3" i="25"/>
  <c r="BH53" i="25" s="1"/>
  <c r="BH3" i="24"/>
  <c r="BH53" i="24" s="1"/>
  <c r="BG3" i="32"/>
  <c r="BG53" i="32" s="1"/>
  <c r="BH3" i="22"/>
  <c r="BH53" i="22" s="1"/>
  <c r="BG3" i="31"/>
  <c r="BG53" i="31" s="1"/>
  <c r="H32" i="25"/>
  <c r="H31" i="25"/>
  <c r="H30" i="25"/>
  <c r="H29" i="25"/>
  <c r="H32" i="24"/>
  <c r="H31" i="24"/>
  <c r="H30" i="24"/>
  <c r="H29" i="24"/>
  <c r="BH51" i="40" l="1"/>
  <c r="BH46" i="40"/>
  <c r="BH49" i="40"/>
  <c r="BH47" i="40"/>
  <c r="BH50" i="40"/>
  <c r="BH48" i="40"/>
  <c r="BH52" i="40"/>
  <c r="BG47" i="37"/>
  <c r="BG48" i="37"/>
  <c r="BG51" i="37"/>
  <c r="BG46" i="37"/>
  <c r="BG50" i="37"/>
  <c r="BG52" i="37"/>
  <c r="BG49" i="37"/>
  <c r="BG52" i="30"/>
  <c r="BG48" i="30"/>
  <c r="BG50" i="30"/>
  <c r="BG49" i="30"/>
  <c r="BG47" i="30"/>
  <c r="BG51" i="30"/>
  <c r="BG46" i="30"/>
  <c r="BG48" i="32"/>
  <c r="BG50" i="32"/>
  <c r="BG46" i="32"/>
  <c r="BG49" i="32"/>
  <c r="BG51" i="32"/>
  <c r="BG47" i="32"/>
  <c r="BG52" i="32"/>
  <c r="BH47" i="26"/>
  <c r="BH49" i="26"/>
  <c r="BH51" i="26"/>
  <c r="BH46" i="26"/>
  <c r="BH48" i="26"/>
  <c r="BH50" i="26"/>
  <c r="BH52" i="26"/>
  <c r="BG46" i="31"/>
  <c r="BG52" i="31"/>
  <c r="BG50" i="31"/>
  <c r="BG47" i="31"/>
  <c r="BG51" i="31"/>
  <c r="BG48" i="31"/>
  <c r="BG49" i="31"/>
  <c r="BH47" i="22"/>
  <c r="BH48" i="22"/>
  <c r="BH50" i="22"/>
  <c r="BH52" i="22"/>
  <c r="BH49" i="22"/>
  <c r="BH46" i="22"/>
  <c r="BH51" i="22"/>
  <c r="BH47" i="27"/>
  <c r="BH51" i="27"/>
  <c r="BH50" i="27"/>
  <c r="BH46" i="27"/>
  <c r="BH49" i="27"/>
  <c r="BH48" i="27"/>
  <c r="BH52" i="27"/>
  <c r="BH48" i="44"/>
  <c r="BH49" i="44"/>
  <c r="BH51" i="44"/>
  <c r="BH50" i="44"/>
  <c r="BH47" i="44"/>
  <c r="BH46" i="44"/>
  <c r="BH52" i="44"/>
  <c r="BH51" i="25"/>
  <c r="BH46" i="25"/>
  <c r="BH48" i="25"/>
  <c r="BH50" i="25"/>
  <c r="BH52" i="25"/>
  <c r="BH49" i="25"/>
  <c r="BH47" i="25"/>
  <c r="BH49" i="50"/>
  <c r="BH46" i="50"/>
  <c r="BH51" i="50"/>
  <c r="BH47" i="50"/>
  <c r="BH48" i="50"/>
  <c r="BH52" i="50"/>
  <c r="BH50" i="50"/>
  <c r="BH48" i="24"/>
  <c r="BH46" i="24"/>
  <c r="BH49" i="24"/>
  <c r="BH50" i="24"/>
  <c r="BH51" i="24"/>
  <c r="BH47" i="24"/>
  <c r="BH52" i="24"/>
  <c r="BG45" i="31"/>
  <c r="BG41" i="31"/>
  <c r="BG37" i="31"/>
  <c r="BG39" i="31"/>
  <c r="BG40" i="31"/>
  <c r="BG38" i="31"/>
  <c r="BG42" i="31"/>
  <c r="BG34" i="31"/>
  <c r="BG44" i="31"/>
  <c r="BG33" i="31"/>
  <c r="BG35" i="31"/>
  <c r="BG36" i="31"/>
  <c r="BG43" i="31"/>
  <c r="BH45" i="22"/>
  <c r="BH37" i="22"/>
  <c r="BH34" i="22"/>
  <c r="BH41" i="22"/>
  <c r="BH42" i="22"/>
  <c r="BH35" i="22"/>
  <c r="BH33" i="22"/>
  <c r="BH36" i="22"/>
  <c r="BH38" i="22"/>
  <c r="BH39" i="22"/>
  <c r="BH40" i="22"/>
  <c r="BH43" i="22"/>
  <c r="BH44" i="22"/>
  <c r="BH33" i="27"/>
  <c r="BH45" i="27"/>
  <c r="BH44" i="27"/>
  <c r="BH39" i="27"/>
  <c r="BH42" i="27"/>
  <c r="BH34" i="27"/>
  <c r="BH37" i="27"/>
  <c r="BH36" i="27"/>
  <c r="BH43" i="27"/>
  <c r="BH35" i="27"/>
  <c r="BH40" i="27"/>
  <c r="BH41" i="27"/>
  <c r="BH38" i="27"/>
  <c r="BG45" i="32"/>
  <c r="BG39" i="32"/>
  <c r="BG35" i="32"/>
  <c r="BG40" i="32"/>
  <c r="BG42" i="32"/>
  <c r="BG37" i="32"/>
  <c r="BG38" i="32"/>
  <c r="BG33" i="32"/>
  <c r="BG43" i="32"/>
  <c r="BG44" i="32"/>
  <c r="BG36" i="32"/>
  <c r="BG34" i="32"/>
  <c r="BG41" i="32"/>
  <c r="BH43" i="26"/>
  <c r="BH40" i="26"/>
  <c r="BH33" i="26"/>
  <c r="BH45" i="26"/>
  <c r="BH36" i="26"/>
  <c r="BH34" i="26"/>
  <c r="BH38" i="26"/>
  <c r="BH35" i="26"/>
  <c r="BH37" i="26"/>
  <c r="BH42" i="26"/>
  <c r="BH44" i="26"/>
  <c r="BH39" i="26"/>
  <c r="BH41" i="26"/>
  <c r="BG38" i="37"/>
  <c r="BG34" i="37"/>
  <c r="BG33" i="37"/>
  <c r="BG45" i="37"/>
  <c r="BG35" i="37"/>
  <c r="BG44" i="37"/>
  <c r="BG36" i="37"/>
  <c r="BG37" i="37"/>
  <c r="BG41" i="37"/>
  <c r="BG42" i="37"/>
  <c r="BG39" i="37"/>
  <c r="BG40" i="37"/>
  <c r="BG43" i="37"/>
  <c r="BH43" i="24"/>
  <c r="BH41" i="24"/>
  <c r="BH39" i="24"/>
  <c r="BH45" i="24"/>
  <c r="BH37" i="24"/>
  <c r="BH35" i="24"/>
  <c r="BH33" i="24"/>
  <c r="BH34" i="24"/>
  <c r="BH36" i="24"/>
  <c r="BH38" i="24"/>
  <c r="BH44" i="24"/>
  <c r="BH40" i="24"/>
  <c r="BH42" i="24"/>
  <c r="BH44" i="44"/>
  <c r="BH40" i="44"/>
  <c r="BH45" i="44"/>
  <c r="BH42" i="44"/>
  <c r="BH36" i="44"/>
  <c r="BH37" i="44"/>
  <c r="BH33" i="44"/>
  <c r="BH35" i="44"/>
  <c r="BH38" i="44"/>
  <c r="BH41" i="44"/>
  <c r="BH34" i="44"/>
  <c r="BH43" i="44"/>
  <c r="BH39" i="44"/>
  <c r="BH34" i="40"/>
  <c r="BH41" i="40"/>
  <c r="BH37" i="40"/>
  <c r="BH39" i="40"/>
  <c r="BH43" i="40"/>
  <c r="BH33" i="40"/>
  <c r="BH38" i="40"/>
  <c r="BH45" i="40"/>
  <c r="BH36" i="40"/>
  <c r="BH42" i="40"/>
  <c r="BH44" i="40"/>
  <c r="BH35" i="40"/>
  <c r="BH40" i="40"/>
  <c r="BH45" i="25"/>
  <c r="BH34" i="25"/>
  <c r="BH43" i="25"/>
  <c r="BH36" i="25"/>
  <c r="BH41" i="25"/>
  <c r="BH39" i="25"/>
  <c r="BH44" i="25"/>
  <c r="BH35" i="25"/>
  <c r="BH33" i="25"/>
  <c r="BH38" i="25"/>
  <c r="BH40" i="25"/>
  <c r="BH42" i="25"/>
  <c r="BH37" i="25"/>
  <c r="BG37" i="30"/>
  <c r="BG45" i="30"/>
  <c r="BG33" i="30"/>
  <c r="BG40" i="30"/>
  <c r="BG41" i="30"/>
  <c r="BG34" i="30"/>
  <c r="BG36" i="30"/>
  <c r="BG39" i="30"/>
  <c r="BG38" i="30"/>
  <c r="BG43" i="30"/>
  <c r="BG42" i="30"/>
  <c r="BG44" i="30"/>
  <c r="BG35" i="30"/>
  <c r="BH44" i="50"/>
  <c r="BH33" i="50"/>
  <c r="BH45" i="50"/>
  <c r="BH42" i="50"/>
  <c r="BH37" i="50"/>
  <c r="BH39" i="50"/>
  <c r="BH36" i="50"/>
  <c r="BH34" i="50"/>
  <c r="BH43" i="50"/>
  <c r="BH41" i="50"/>
  <c r="BH35" i="50"/>
  <c r="BH38" i="50"/>
  <c r="BH40" i="50"/>
  <c r="BH50" i="29"/>
  <c r="BH51" i="29"/>
  <c r="BH48" i="29"/>
  <c r="BH52" i="29"/>
  <c r="BH47" i="29"/>
  <c r="BH49" i="29"/>
  <c r="BH46" i="29"/>
  <c r="BH44" i="29"/>
  <c r="BH36" i="29"/>
  <c r="BH39" i="29"/>
  <c r="BH45" i="29"/>
  <c r="BH41" i="29"/>
  <c r="BH40" i="29"/>
  <c r="BH37" i="29"/>
  <c r="BH42" i="29"/>
  <c r="BH38" i="29"/>
  <c r="BH34" i="29"/>
  <c r="BH33" i="29"/>
  <c r="BH43" i="29"/>
  <c r="BH35" i="29"/>
  <c r="BH8" i="27"/>
  <c r="BH8" i="44"/>
  <c r="H17" i="42"/>
  <c r="BH8" i="40"/>
  <c r="BG8" i="37"/>
  <c r="BH20" i="50"/>
  <c r="BH16" i="50"/>
  <c r="BH10" i="50"/>
  <c r="BH21" i="50"/>
  <c r="BH13" i="50"/>
  <c r="BH12" i="50"/>
  <c r="BH30" i="50"/>
  <c r="BH11" i="50"/>
  <c r="BH17" i="50"/>
  <c r="BH22" i="50"/>
  <c r="BH32" i="50"/>
  <c r="BH28" i="50"/>
  <c r="BH23" i="50"/>
  <c r="BH8" i="50"/>
  <c r="BH14" i="50"/>
  <c r="BH27" i="50"/>
  <c r="BH31" i="50"/>
  <c r="BH24" i="50"/>
  <c r="BH29" i="50"/>
  <c r="BH9" i="50"/>
  <c r="BH18" i="50"/>
  <c r="BH15" i="50"/>
  <c r="BH19" i="50"/>
  <c r="BH25" i="50"/>
  <c r="BH26" i="50"/>
  <c r="BI3" i="50"/>
  <c r="BI53" i="50" s="1"/>
  <c r="BI4" i="29"/>
  <c r="BI4" i="50"/>
  <c r="BH4" i="37"/>
  <c r="BI4" i="28"/>
  <c r="BI4" i="27"/>
  <c r="BI4" i="40"/>
  <c r="BI4" i="44"/>
  <c r="BI4" i="25"/>
  <c r="BI4" i="24"/>
  <c r="BI4" i="22"/>
  <c r="BH4" i="32"/>
  <c r="BH4" i="30"/>
  <c r="BI4" i="26"/>
  <c r="BH4" i="31"/>
  <c r="BH8" i="22"/>
  <c r="BG27" i="32"/>
  <c r="BG23" i="32"/>
  <c r="BG31" i="32"/>
  <c r="BG18" i="32"/>
  <c r="BG9" i="32"/>
  <c r="BG16" i="32"/>
  <c r="BG28" i="32"/>
  <c r="BG13" i="32"/>
  <c r="BG8" i="32"/>
  <c r="BG20" i="32"/>
  <c r="BG21" i="32"/>
  <c r="BG32" i="32"/>
  <c r="BG10" i="32"/>
  <c r="BG25" i="32"/>
  <c r="BG12" i="32"/>
  <c r="BG15" i="32"/>
  <c r="BG17" i="32"/>
  <c r="BG22" i="32"/>
  <c r="BG29" i="32"/>
  <c r="BG14" i="32"/>
  <c r="BG26" i="32"/>
  <c r="BG11" i="32"/>
  <c r="BG19" i="32"/>
  <c r="BG24" i="32"/>
  <c r="BG30" i="32"/>
  <c r="BH8" i="25"/>
  <c r="BH47" i="28"/>
  <c r="BH48" i="28"/>
  <c r="BH46" i="28"/>
  <c r="BI3" i="28"/>
  <c r="BI3" i="27"/>
  <c r="BI53" i="27" s="1"/>
  <c r="BI3" i="44"/>
  <c r="BI53" i="44" s="1"/>
  <c r="BI3" i="26"/>
  <c r="BI53" i="26" s="1"/>
  <c r="BI3" i="25"/>
  <c r="BI53" i="25" s="1"/>
  <c r="BI3" i="22"/>
  <c r="BI53" i="22" s="1"/>
  <c r="BI3" i="24"/>
  <c r="BI53" i="24" s="1"/>
  <c r="BI3" i="29"/>
  <c r="BI53" i="29" s="1"/>
  <c r="BH3" i="30"/>
  <c r="BH53" i="30" s="1"/>
  <c r="BH3" i="31"/>
  <c r="BH53" i="31" s="1"/>
  <c r="BH3" i="32"/>
  <c r="BH53" i="32" s="1"/>
  <c r="BH3" i="37"/>
  <c r="BH53" i="37" s="1"/>
  <c r="BI3" i="40"/>
  <c r="BI53" i="40" s="1"/>
  <c r="BH51" i="37" l="1"/>
  <c r="BH50" i="37"/>
  <c r="BH47" i="37"/>
  <c r="BH49" i="37"/>
  <c r="BH48" i="37"/>
  <c r="BH46" i="37"/>
  <c r="BH52" i="37"/>
  <c r="BI52" i="40"/>
  <c r="BI47" i="40"/>
  <c r="BI50" i="40"/>
  <c r="BI46" i="40"/>
  <c r="BI48" i="40"/>
  <c r="BI49" i="40"/>
  <c r="BI51" i="40"/>
  <c r="BI51" i="22"/>
  <c r="BI52" i="22"/>
  <c r="BI48" i="22"/>
  <c r="BI49" i="22"/>
  <c r="BI46" i="22"/>
  <c r="BI50" i="22"/>
  <c r="BI47" i="22"/>
  <c r="BH52" i="30"/>
  <c r="BH51" i="30"/>
  <c r="BH46" i="30"/>
  <c r="BH48" i="30"/>
  <c r="BH47" i="30"/>
  <c r="BH49" i="30"/>
  <c r="BH50" i="30"/>
  <c r="BI48" i="25"/>
  <c r="BI52" i="25"/>
  <c r="BI50" i="25"/>
  <c r="BI46" i="25"/>
  <c r="BI51" i="25"/>
  <c r="BI47" i="25"/>
  <c r="BI49" i="25"/>
  <c r="BI49" i="44"/>
  <c r="BI48" i="44"/>
  <c r="BI46" i="44"/>
  <c r="BI50" i="44"/>
  <c r="BI47" i="44"/>
  <c r="BI51" i="44"/>
  <c r="BI52" i="44"/>
  <c r="BH47" i="31"/>
  <c r="BH46" i="31"/>
  <c r="BH49" i="31"/>
  <c r="BH51" i="31"/>
  <c r="BH48" i="31"/>
  <c r="BH50" i="31"/>
  <c r="BH52" i="31"/>
  <c r="BI47" i="26"/>
  <c r="BI49" i="26"/>
  <c r="BI50" i="26"/>
  <c r="BI52" i="26"/>
  <c r="BI46" i="26"/>
  <c r="BI48" i="26"/>
  <c r="BI51" i="26"/>
  <c r="BI46" i="50"/>
  <c r="BI52" i="50"/>
  <c r="BI49" i="50"/>
  <c r="BI51" i="50"/>
  <c r="BI48" i="50"/>
  <c r="BI50" i="50"/>
  <c r="BI47" i="50"/>
  <c r="BH50" i="32"/>
  <c r="BH47" i="32"/>
  <c r="BH46" i="32"/>
  <c r="BH52" i="32"/>
  <c r="BH49" i="32"/>
  <c r="BH48" i="32"/>
  <c r="BH51" i="32"/>
  <c r="BI46" i="27"/>
  <c r="BI48" i="27"/>
  <c r="BI51" i="27"/>
  <c r="BI49" i="27"/>
  <c r="BI52" i="27"/>
  <c r="BI47" i="27"/>
  <c r="BI50" i="27"/>
  <c r="BI46" i="24"/>
  <c r="BI49" i="24"/>
  <c r="BI48" i="24"/>
  <c r="BI51" i="24"/>
  <c r="BI52" i="24"/>
  <c r="BI50" i="24"/>
  <c r="BI47" i="24"/>
  <c r="BH44" i="31"/>
  <c r="BH45" i="31"/>
  <c r="BH40" i="31"/>
  <c r="BH34" i="31"/>
  <c r="BH41" i="31"/>
  <c r="BH37" i="31"/>
  <c r="BH33" i="31"/>
  <c r="BH38" i="31"/>
  <c r="BH42" i="31"/>
  <c r="BH39" i="31"/>
  <c r="BH36" i="31"/>
  <c r="BH35" i="31"/>
  <c r="BH43" i="31"/>
  <c r="BH33" i="37"/>
  <c r="BH34" i="37"/>
  <c r="BH35" i="37"/>
  <c r="BH36" i="37"/>
  <c r="BH37" i="37"/>
  <c r="BH39" i="37"/>
  <c r="BH45" i="37"/>
  <c r="BH44" i="37"/>
  <c r="BH41" i="37"/>
  <c r="BH42" i="37"/>
  <c r="BH38" i="37"/>
  <c r="BH43" i="37"/>
  <c r="BH40" i="37"/>
  <c r="BI50" i="29"/>
  <c r="BI51" i="29"/>
  <c r="BI52" i="29"/>
  <c r="BI47" i="29"/>
  <c r="BI46" i="29"/>
  <c r="BI48" i="29"/>
  <c r="BI49" i="29"/>
  <c r="BI40" i="50"/>
  <c r="BI38" i="50"/>
  <c r="BI33" i="50"/>
  <c r="BI34" i="50"/>
  <c r="BI42" i="50"/>
  <c r="BI43" i="50"/>
  <c r="BI41" i="50"/>
  <c r="BI44" i="50"/>
  <c r="BI45" i="50"/>
  <c r="BI36" i="50"/>
  <c r="BI35" i="50"/>
  <c r="BI37" i="50"/>
  <c r="BI39" i="50"/>
  <c r="BH44" i="32"/>
  <c r="BH40" i="32"/>
  <c r="BH39" i="32"/>
  <c r="BH35" i="32"/>
  <c r="BH36" i="32"/>
  <c r="BH37" i="32"/>
  <c r="BH38" i="32"/>
  <c r="BH45" i="32"/>
  <c r="BH33" i="32"/>
  <c r="BH41" i="32"/>
  <c r="BH34" i="32"/>
  <c r="BH42" i="32"/>
  <c r="BH43" i="32"/>
  <c r="BI45" i="24"/>
  <c r="BI43" i="24"/>
  <c r="BI35" i="24"/>
  <c r="BI39" i="24"/>
  <c r="BI37" i="24"/>
  <c r="BI33" i="24"/>
  <c r="BI40" i="24"/>
  <c r="BI36" i="24"/>
  <c r="BI44" i="24"/>
  <c r="BI42" i="24"/>
  <c r="BI34" i="24"/>
  <c r="BI38" i="24"/>
  <c r="BI41" i="24"/>
  <c r="BI36" i="44"/>
  <c r="BI35" i="44"/>
  <c r="BI37" i="44"/>
  <c r="BI33" i="44"/>
  <c r="BI40" i="44"/>
  <c r="BI44" i="44"/>
  <c r="BI42" i="44"/>
  <c r="BI38" i="44"/>
  <c r="BI41" i="44"/>
  <c r="BI39" i="44"/>
  <c r="BI45" i="44"/>
  <c r="BI34" i="44"/>
  <c r="BI43" i="44"/>
  <c r="BI33" i="27"/>
  <c r="BI39" i="27"/>
  <c r="BI44" i="27"/>
  <c r="BI45" i="27"/>
  <c r="BI37" i="27"/>
  <c r="BI34" i="27"/>
  <c r="BI36" i="27"/>
  <c r="BI38" i="27"/>
  <c r="BI41" i="27"/>
  <c r="BI35" i="27"/>
  <c r="BI40" i="27"/>
  <c r="BI42" i="27"/>
  <c r="BI43" i="27"/>
  <c r="BI40" i="40"/>
  <c r="BI39" i="40"/>
  <c r="BI37" i="40"/>
  <c r="BI36" i="40"/>
  <c r="BI34" i="40"/>
  <c r="BI33" i="40"/>
  <c r="BI44" i="40"/>
  <c r="BI41" i="40"/>
  <c r="BI38" i="40"/>
  <c r="BI45" i="40"/>
  <c r="BI35" i="40"/>
  <c r="BI43" i="40"/>
  <c r="BI42" i="40"/>
  <c r="BH44" i="30"/>
  <c r="BH40" i="30"/>
  <c r="BH36" i="30"/>
  <c r="BH38" i="30"/>
  <c r="BH43" i="30"/>
  <c r="BH34" i="30"/>
  <c r="BH39" i="30"/>
  <c r="BH45" i="30"/>
  <c r="BH33" i="30"/>
  <c r="BH42" i="30"/>
  <c r="BH41" i="30"/>
  <c r="BH35" i="30"/>
  <c r="BH37" i="30"/>
  <c r="BI40" i="25"/>
  <c r="BI43" i="25"/>
  <c r="BI45" i="25"/>
  <c r="BI35" i="25"/>
  <c r="BI33" i="25"/>
  <c r="BI34" i="25"/>
  <c r="BI39" i="25"/>
  <c r="BI42" i="25"/>
  <c r="BI37" i="25"/>
  <c r="BI41" i="25"/>
  <c r="BI38" i="25"/>
  <c r="BI36" i="25"/>
  <c r="BI44" i="25"/>
  <c r="BI44" i="22"/>
  <c r="BI40" i="22"/>
  <c r="BI36" i="22"/>
  <c r="BI37" i="22"/>
  <c r="BI38" i="22"/>
  <c r="BI33" i="22"/>
  <c r="BI43" i="22"/>
  <c r="BI39" i="22"/>
  <c r="BI35" i="22"/>
  <c r="BI41" i="22"/>
  <c r="BI34" i="22"/>
  <c r="BI42" i="22"/>
  <c r="BI45" i="22"/>
  <c r="BI43" i="26"/>
  <c r="BI42" i="26"/>
  <c r="BI45" i="26"/>
  <c r="BI40" i="26"/>
  <c r="BI36" i="26"/>
  <c r="BI34" i="26"/>
  <c r="BI37" i="26"/>
  <c r="BI33" i="26"/>
  <c r="BI38" i="26"/>
  <c r="BI39" i="26"/>
  <c r="BI44" i="26"/>
  <c r="BI35" i="26"/>
  <c r="BI41" i="26"/>
  <c r="BI45" i="29"/>
  <c r="BI42" i="29"/>
  <c r="BI39" i="29"/>
  <c r="BI43" i="29"/>
  <c r="BI35" i="29"/>
  <c r="BI38" i="29"/>
  <c r="BI34" i="29"/>
  <c r="BI36" i="29"/>
  <c r="BI44" i="29"/>
  <c r="BI40" i="29"/>
  <c r="BI33" i="29"/>
  <c r="BI41" i="29"/>
  <c r="BI37" i="29"/>
  <c r="BI8" i="27"/>
  <c r="BI8" i="44"/>
  <c r="BH8" i="37"/>
  <c r="BI8" i="40"/>
  <c r="BI22" i="50"/>
  <c r="BI31" i="50"/>
  <c r="BI32" i="50"/>
  <c r="BI11" i="50"/>
  <c r="BI16" i="50"/>
  <c r="BI15" i="50"/>
  <c r="BI25" i="50"/>
  <c r="BI27" i="50"/>
  <c r="BI26" i="50"/>
  <c r="BI17" i="50"/>
  <c r="BI30" i="50"/>
  <c r="BI14" i="50"/>
  <c r="BI29" i="50"/>
  <c r="BI9" i="50"/>
  <c r="BI23" i="50"/>
  <c r="BI8" i="50"/>
  <c r="BI10" i="50"/>
  <c r="BI20" i="50"/>
  <c r="BI18" i="50"/>
  <c r="BI13" i="50"/>
  <c r="BI12" i="50"/>
  <c r="BI21" i="50"/>
  <c r="BI19" i="50"/>
  <c r="BI24" i="50"/>
  <c r="BI28" i="50"/>
  <c r="BJ3" i="50"/>
  <c r="BJ53" i="50" s="1"/>
  <c r="BJ4" i="29"/>
  <c r="BJ4" i="50"/>
  <c r="BJ4" i="28"/>
  <c r="BJ4" i="27"/>
  <c r="BJ4" i="40"/>
  <c r="BJ4" i="44"/>
  <c r="BI4" i="37"/>
  <c r="BJ4" i="26"/>
  <c r="BJ4" i="24"/>
  <c r="BJ4" i="22"/>
  <c r="BI4" i="32"/>
  <c r="BI4" i="31"/>
  <c r="BJ4" i="25"/>
  <c r="BI4" i="30"/>
  <c r="BI8" i="22"/>
  <c r="BH32" i="32"/>
  <c r="BH21" i="32"/>
  <c r="BH9" i="32"/>
  <c r="BH27" i="32"/>
  <c r="BH13" i="32"/>
  <c r="BH23" i="32"/>
  <c r="BH26" i="32"/>
  <c r="BH31" i="32"/>
  <c r="BH12" i="32"/>
  <c r="BH16" i="32"/>
  <c r="BH20" i="32"/>
  <c r="BH17" i="32"/>
  <c r="BH29" i="32"/>
  <c r="BH19" i="32"/>
  <c r="BH10" i="32"/>
  <c r="BH25" i="32"/>
  <c r="BH11" i="32"/>
  <c r="BH24" i="32"/>
  <c r="BH14" i="32"/>
  <c r="BH18" i="32"/>
  <c r="BH8" i="32"/>
  <c r="BH22" i="32"/>
  <c r="BH15" i="32"/>
  <c r="BH30" i="32"/>
  <c r="BH28" i="32"/>
  <c r="BI8" i="25"/>
  <c r="BI48" i="28"/>
  <c r="BI46" i="28"/>
  <c r="BI47" i="28"/>
  <c r="BJ3" i="22"/>
  <c r="BJ53" i="22" s="1"/>
  <c r="BJ3" i="29"/>
  <c r="BJ53" i="29" s="1"/>
  <c r="BI3" i="31"/>
  <c r="BI53" i="31" s="1"/>
  <c r="BI3" i="32"/>
  <c r="BI53" i="32" s="1"/>
  <c r="BI3" i="37"/>
  <c r="BI53" i="37" s="1"/>
  <c r="BJ3" i="40"/>
  <c r="BJ53" i="40" s="1"/>
  <c r="BJ3" i="27"/>
  <c r="BJ53" i="27" s="1"/>
  <c r="BJ3" i="25"/>
  <c r="BJ53" i="25" s="1"/>
  <c r="BJ3" i="28"/>
  <c r="BJ3" i="44"/>
  <c r="BJ53" i="44" s="1"/>
  <c r="BJ3" i="26"/>
  <c r="BJ53" i="26" s="1"/>
  <c r="BJ3" i="24"/>
  <c r="BJ53" i="24" s="1"/>
  <c r="BI3" i="30"/>
  <c r="BI53" i="30" s="1"/>
  <c r="BI49" i="37" l="1"/>
  <c r="BI46" i="37"/>
  <c r="BI47" i="37"/>
  <c r="BI50" i="37"/>
  <c r="BI48" i="37"/>
  <c r="BI51" i="37"/>
  <c r="BI52" i="37"/>
  <c r="BJ51" i="40"/>
  <c r="BJ50" i="40"/>
  <c r="BJ46" i="40"/>
  <c r="BJ49" i="40"/>
  <c r="BJ48" i="40"/>
  <c r="BJ47" i="40"/>
  <c r="BJ52" i="40"/>
  <c r="BI52" i="32"/>
  <c r="BI48" i="32"/>
  <c r="BI47" i="32"/>
  <c r="BI49" i="32"/>
  <c r="BI51" i="32"/>
  <c r="BI50" i="32"/>
  <c r="BI46" i="32"/>
  <c r="BJ47" i="26"/>
  <c r="BJ46" i="26"/>
  <c r="BJ48" i="26"/>
  <c r="BJ52" i="26"/>
  <c r="BJ49" i="26"/>
  <c r="BJ50" i="26"/>
  <c r="BJ51" i="26"/>
  <c r="BI50" i="31"/>
  <c r="BI49" i="31"/>
  <c r="BI46" i="31"/>
  <c r="BI52" i="31"/>
  <c r="BI51" i="31"/>
  <c r="BI48" i="31"/>
  <c r="BI47" i="31"/>
  <c r="BJ46" i="44"/>
  <c r="BJ47" i="44"/>
  <c r="BJ48" i="44"/>
  <c r="BJ49" i="44"/>
  <c r="BJ52" i="44"/>
  <c r="BJ50" i="44"/>
  <c r="BJ51" i="44"/>
  <c r="BJ50" i="27"/>
  <c r="BJ48" i="27"/>
  <c r="BJ46" i="27"/>
  <c r="BJ49" i="27"/>
  <c r="BJ47" i="27"/>
  <c r="BJ52" i="27"/>
  <c r="BJ51" i="27"/>
  <c r="BI52" i="30"/>
  <c r="BI48" i="30"/>
  <c r="BI50" i="30"/>
  <c r="BI51" i="30"/>
  <c r="BI47" i="30"/>
  <c r="BI46" i="30"/>
  <c r="BI49" i="30"/>
  <c r="BJ51" i="22"/>
  <c r="BJ50" i="22"/>
  <c r="BJ46" i="22"/>
  <c r="BJ52" i="22"/>
  <c r="BJ47" i="22"/>
  <c r="BJ48" i="22"/>
  <c r="BJ49" i="22"/>
  <c r="BJ50" i="25"/>
  <c r="BJ49" i="25"/>
  <c r="BJ46" i="25"/>
  <c r="BJ51" i="25"/>
  <c r="BJ52" i="25"/>
  <c r="BJ47" i="25"/>
  <c r="BJ48" i="25"/>
  <c r="BJ52" i="50"/>
  <c r="BJ50" i="50"/>
  <c r="BJ48" i="50"/>
  <c r="BJ46" i="50"/>
  <c r="BJ47" i="50"/>
  <c r="BJ49" i="50"/>
  <c r="BJ51" i="50"/>
  <c r="BJ46" i="24"/>
  <c r="BJ48" i="24"/>
  <c r="BJ49" i="24"/>
  <c r="BJ47" i="24"/>
  <c r="BJ51" i="24"/>
  <c r="BJ52" i="24"/>
  <c r="BJ50" i="24"/>
  <c r="BJ42" i="25"/>
  <c r="BJ39" i="25"/>
  <c r="BJ35" i="25"/>
  <c r="BJ40" i="25"/>
  <c r="BJ33" i="25"/>
  <c r="BJ37" i="25"/>
  <c r="BJ38" i="25"/>
  <c r="BJ44" i="25"/>
  <c r="BJ34" i="25"/>
  <c r="BJ43" i="25"/>
  <c r="BJ45" i="25"/>
  <c r="BJ41" i="25"/>
  <c r="BJ36" i="25"/>
  <c r="BJ43" i="50"/>
  <c r="BJ34" i="50"/>
  <c r="BJ41" i="50"/>
  <c r="BJ45" i="50"/>
  <c r="BJ35" i="50"/>
  <c r="BJ40" i="50"/>
  <c r="BJ37" i="50"/>
  <c r="BJ39" i="50"/>
  <c r="BJ42" i="50"/>
  <c r="BJ33" i="50"/>
  <c r="BJ36" i="50"/>
  <c r="BJ38" i="50"/>
  <c r="BJ44" i="50"/>
  <c r="BI33" i="32"/>
  <c r="BI42" i="32"/>
  <c r="BI38" i="32"/>
  <c r="BI43" i="32"/>
  <c r="BI39" i="32"/>
  <c r="BI37" i="32"/>
  <c r="BI35" i="32"/>
  <c r="BI36" i="32"/>
  <c r="BI44" i="32"/>
  <c r="BI45" i="32"/>
  <c r="BI40" i="32"/>
  <c r="BI34" i="32"/>
  <c r="BI41" i="32"/>
  <c r="BJ44" i="26"/>
  <c r="BJ42" i="26"/>
  <c r="BJ39" i="26"/>
  <c r="BJ34" i="26"/>
  <c r="BJ37" i="26"/>
  <c r="BJ38" i="26"/>
  <c r="BJ43" i="26"/>
  <c r="BJ35" i="26"/>
  <c r="BJ36" i="26"/>
  <c r="BJ40" i="26"/>
  <c r="BJ41" i="26"/>
  <c r="BJ45" i="26"/>
  <c r="BJ33" i="26"/>
  <c r="BJ40" i="44"/>
  <c r="BJ44" i="44"/>
  <c r="BJ38" i="44"/>
  <c r="BJ45" i="44"/>
  <c r="BJ42" i="44"/>
  <c r="BJ34" i="44"/>
  <c r="BJ37" i="44"/>
  <c r="BJ41" i="44"/>
  <c r="BJ35" i="44"/>
  <c r="BJ36" i="44"/>
  <c r="BJ39" i="44"/>
  <c r="BJ43" i="44"/>
  <c r="BJ33" i="44"/>
  <c r="BJ41" i="40"/>
  <c r="BJ40" i="40"/>
  <c r="BJ36" i="40"/>
  <c r="BJ33" i="40"/>
  <c r="BJ38" i="40"/>
  <c r="BJ37" i="40"/>
  <c r="BJ39" i="40"/>
  <c r="BJ43" i="40"/>
  <c r="BJ42" i="40"/>
  <c r="BJ35" i="40"/>
  <c r="BJ45" i="40"/>
  <c r="BJ44" i="40"/>
  <c r="BJ34" i="40"/>
  <c r="BJ51" i="29"/>
  <c r="BJ52" i="29"/>
  <c r="BJ50" i="29"/>
  <c r="BJ46" i="29"/>
  <c r="BJ47" i="29"/>
  <c r="BJ48" i="29"/>
  <c r="BJ49" i="29"/>
  <c r="BJ41" i="24"/>
  <c r="BJ38" i="24"/>
  <c r="BJ34" i="24"/>
  <c r="BJ36" i="24"/>
  <c r="BJ40" i="24"/>
  <c r="BJ44" i="24"/>
  <c r="BJ42" i="24"/>
  <c r="BJ45" i="24"/>
  <c r="BJ33" i="24"/>
  <c r="BJ35" i="24"/>
  <c r="BJ37" i="24"/>
  <c r="BJ39" i="24"/>
  <c r="BJ43" i="24"/>
  <c r="BJ44" i="27"/>
  <c r="BJ42" i="27"/>
  <c r="BJ39" i="27"/>
  <c r="BJ36" i="27"/>
  <c r="BJ38" i="27"/>
  <c r="BJ33" i="27"/>
  <c r="BJ41" i="27"/>
  <c r="BJ34" i="27"/>
  <c r="BJ37" i="27"/>
  <c r="BJ43" i="27"/>
  <c r="BJ45" i="27"/>
  <c r="BJ40" i="27"/>
  <c r="BJ35" i="27"/>
  <c r="BI44" i="31"/>
  <c r="BI41" i="31"/>
  <c r="BI39" i="31"/>
  <c r="BI37" i="31"/>
  <c r="BI36" i="31"/>
  <c r="BI38" i="31"/>
  <c r="BI40" i="31"/>
  <c r="BI42" i="31"/>
  <c r="BI35" i="31"/>
  <c r="BI45" i="31"/>
  <c r="BI33" i="31"/>
  <c r="BI34" i="31"/>
  <c r="BI43" i="31"/>
  <c r="BI43" i="30"/>
  <c r="BI39" i="30"/>
  <c r="BI40" i="30"/>
  <c r="BI35" i="30"/>
  <c r="BI45" i="30"/>
  <c r="BI34" i="30"/>
  <c r="BI33" i="30"/>
  <c r="BI38" i="30"/>
  <c r="BI41" i="30"/>
  <c r="BI44" i="30"/>
  <c r="BI42" i="30"/>
  <c r="BI37" i="30"/>
  <c r="BI36" i="30"/>
  <c r="BI33" i="37"/>
  <c r="BI44" i="37"/>
  <c r="BI35" i="37"/>
  <c r="BI36" i="37"/>
  <c r="BI38" i="37"/>
  <c r="BI41" i="37"/>
  <c r="BI42" i="37"/>
  <c r="BI37" i="37"/>
  <c r="BI43" i="37"/>
  <c r="BI40" i="37"/>
  <c r="BI39" i="37"/>
  <c r="BI34" i="37"/>
  <c r="BI45" i="37"/>
  <c r="BJ43" i="22"/>
  <c r="BJ39" i="22"/>
  <c r="BJ37" i="22"/>
  <c r="BJ40" i="22"/>
  <c r="BJ35" i="22"/>
  <c r="BJ41" i="22"/>
  <c r="BJ38" i="22"/>
  <c r="BJ36" i="22"/>
  <c r="BJ42" i="22"/>
  <c r="BJ45" i="22"/>
  <c r="BJ33" i="22"/>
  <c r="BJ44" i="22"/>
  <c r="BJ34" i="22"/>
  <c r="BJ33" i="29"/>
  <c r="BJ42" i="29"/>
  <c r="BJ43" i="29"/>
  <c r="BJ44" i="29"/>
  <c r="BJ39" i="29"/>
  <c r="BJ45" i="29"/>
  <c r="BJ38" i="29"/>
  <c r="BJ35" i="29"/>
  <c r="BJ34" i="29"/>
  <c r="BJ41" i="29"/>
  <c r="BJ36" i="29"/>
  <c r="BJ37" i="29"/>
  <c r="BJ40" i="29"/>
  <c r="BJ8" i="27"/>
  <c r="BJ8" i="44"/>
  <c r="BJ8" i="40"/>
  <c r="BI8" i="37"/>
  <c r="BJ27" i="50"/>
  <c r="BJ11" i="50"/>
  <c r="BJ21" i="50"/>
  <c r="BJ9" i="50"/>
  <c r="BJ23" i="50"/>
  <c r="BJ28" i="50"/>
  <c r="BJ19" i="50"/>
  <c r="BJ13" i="50"/>
  <c r="BJ18" i="50"/>
  <c r="BJ25" i="50"/>
  <c r="BJ30" i="50"/>
  <c r="BJ32" i="50"/>
  <c r="BJ14" i="50"/>
  <c r="BJ24" i="50"/>
  <c r="BJ31" i="50"/>
  <c r="BJ20" i="50"/>
  <c r="BJ26" i="50"/>
  <c r="BJ15" i="50"/>
  <c r="BJ17" i="50"/>
  <c r="BJ22" i="50"/>
  <c r="BJ10" i="50"/>
  <c r="BJ8" i="50"/>
  <c r="BJ12" i="50"/>
  <c r="BJ16" i="50"/>
  <c r="BJ29" i="50"/>
  <c r="BK3" i="50"/>
  <c r="BK53" i="50" s="1"/>
  <c r="BK4" i="29"/>
  <c r="BK4" i="50"/>
  <c r="BK4" i="27"/>
  <c r="BK4" i="40"/>
  <c r="BK4" i="44"/>
  <c r="BJ4" i="37"/>
  <c r="BK4" i="26"/>
  <c r="BK4" i="28"/>
  <c r="BK4" i="22"/>
  <c r="BJ4" i="32"/>
  <c r="BJ4" i="31"/>
  <c r="BK4" i="25"/>
  <c r="BK4" i="24"/>
  <c r="BJ4" i="30"/>
  <c r="BJ8" i="22"/>
  <c r="BI11" i="32"/>
  <c r="BI29" i="32"/>
  <c r="BI26" i="32"/>
  <c r="BI23" i="32"/>
  <c r="BI12" i="32"/>
  <c r="BI27" i="32"/>
  <c r="BI16" i="32"/>
  <c r="BI18" i="32"/>
  <c r="BI20" i="32"/>
  <c r="BI31" i="32"/>
  <c r="BI14" i="32"/>
  <c r="BI24" i="32"/>
  <c r="BI28" i="32"/>
  <c r="BI10" i="32"/>
  <c r="BI25" i="32"/>
  <c r="BI22" i="32"/>
  <c r="BI9" i="32"/>
  <c r="BI17" i="32"/>
  <c r="BI21" i="32"/>
  <c r="BI30" i="32"/>
  <c r="BI19" i="32"/>
  <c r="BI32" i="32"/>
  <c r="BI15" i="32"/>
  <c r="BI13" i="32"/>
  <c r="BI8" i="32"/>
  <c r="BJ8" i="25"/>
  <c r="BJ48" i="28"/>
  <c r="BJ46" i="28"/>
  <c r="BJ47" i="28"/>
  <c r="BK3" i="27"/>
  <c r="BK53" i="27" s="1"/>
  <c r="BK3" i="44"/>
  <c r="BK53" i="44" s="1"/>
  <c r="BK3" i="29"/>
  <c r="BK53" i="29" s="1"/>
  <c r="BK3" i="26"/>
  <c r="BK53" i="26" s="1"/>
  <c r="BK3" i="25"/>
  <c r="BK53" i="25" s="1"/>
  <c r="BK3" i="22"/>
  <c r="BK53" i="22" s="1"/>
  <c r="BK3" i="28"/>
  <c r="BJ3" i="32"/>
  <c r="BJ53" i="32" s="1"/>
  <c r="BK3" i="40"/>
  <c r="BK53" i="40" s="1"/>
  <c r="BK3" i="24"/>
  <c r="BK53" i="24" s="1"/>
  <c r="BJ3" i="31"/>
  <c r="BJ53" i="31" s="1"/>
  <c r="BJ3" i="30"/>
  <c r="BJ53" i="30" s="1"/>
  <c r="BJ3" i="37"/>
  <c r="BJ53" i="37" s="1"/>
  <c r="C7" i="34"/>
  <c r="C8" i="34" s="1"/>
  <c r="BK51" i="40" l="1"/>
  <c r="BK49" i="40"/>
  <c r="BK47" i="40"/>
  <c r="BK48" i="40"/>
  <c r="BK50" i="40"/>
  <c r="BK52" i="40"/>
  <c r="BK46" i="40"/>
  <c r="BJ52" i="37"/>
  <c r="BJ49" i="37"/>
  <c r="BJ51" i="37"/>
  <c r="BJ48" i="37"/>
  <c r="BJ50" i="37"/>
  <c r="BJ46" i="37"/>
  <c r="BJ47" i="37"/>
  <c r="BJ50" i="30"/>
  <c r="BJ46" i="30"/>
  <c r="BJ48" i="30"/>
  <c r="BJ49" i="30"/>
  <c r="BJ52" i="30"/>
  <c r="BJ47" i="30"/>
  <c r="BJ51" i="30"/>
  <c r="BJ50" i="31"/>
  <c r="BJ47" i="31"/>
  <c r="BJ48" i="31"/>
  <c r="BJ46" i="31"/>
  <c r="BJ51" i="31"/>
  <c r="BJ52" i="31"/>
  <c r="BJ49" i="31"/>
  <c r="BK49" i="22"/>
  <c r="BK47" i="22"/>
  <c r="BK50" i="22"/>
  <c r="BK46" i="22"/>
  <c r="BK48" i="22"/>
  <c r="BK51" i="22"/>
  <c r="BK52" i="22"/>
  <c r="BK49" i="44"/>
  <c r="BK52" i="44"/>
  <c r="BK47" i="44"/>
  <c r="BK46" i="44"/>
  <c r="BK51" i="44"/>
  <c r="BK50" i="44"/>
  <c r="BK48" i="44"/>
  <c r="BK50" i="27"/>
  <c r="BK46" i="27"/>
  <c r="BK49" i="27"/>
  <c r="BK51" i="27"/>
  <c r="BK52" i="27"/>
  <c r="BK47" i="27"/>
  <c r="BK48" i="27"/>
  <c r="BK47" i="25"/>
  <c r="BK51" i="25"/>
  <c r="BK48" i="25"/>
  <c r="BK49" i="25"/>
  <c r="BK46" i="25"/>
  <c r="BK50" i="25"/>
  <c r="BK52" i="25"/>
  <c r="BJ51" i="32"/>
  <c r="BJ48" i="32"/>
  <c r="BJ50" i="32"/>
  <c r="BJ49" i="32"/>
  <c r="BJ52" i="32"/>
  <c r="BJ46" i="32"/>
  <c r="BJ47" i="32"/>
  <c r="BK46" i="50"/>
  <c r="BK51" i="50"/>
  <c r="BK48" i="50"/>
  <c r="BK52" i="50"/>
  <c r="BK50" i="50"/>
  <c r="BK49" i="50"/>
  <c r="BK47" i="50"/>
  <c r="BK51" i="26"/>
  <c r="BK48" i="26"/>
  <c r="BK47" i="26"/>
  <c r="BK46" i="26"/>
  <c r="BK49" i="26"/>
  <c r="BK52" i="26"/>
  <c r="BK50" i="26"/>
  <c r="BK47" i="24"/>
  <c r="BK51" i="24"/>
  <c r="BK49" i="24"/>
  <c r="BK46" i="24"/>
  <c r="BK50" i="24"/>
  <c r="BK52" i="24"/>
  <c r="BK48" i="24"/>
  <c r="BK44" i="26"/>
  <c r="BK40" i="26"/>
  <c r="BK34" i="26"/>
  <c r="BK42" i="26"/>
  <c r="BK33" i="26"/>
  <c r="BK41" i="26"/>
  <c r="BK35" i="26"/>
  <c r="BK38" i="26"/>
  <c r="BK36" i="26"/>
  <c r="BK37" i="26"/>
  <c r="BK43" i="26"/>
  <c r="BK45" i="26"/>
  <c r="BK39" i="26"/>
  <c r="BK45" i="50"/>
  <c r="BK41" i="50"/>
  <c r="BK39" i="50"/>
  <c r="BK37" i="50"/>
  <c r="BK36" i="50"/>
  <c r="BK34" i="50"/>
  <c r="BK42" i="50"/>
  <c r="BK44" i="50"/>
  <c r="BK43" i="50"/>
  <c r="BK35" i="50"/>
  <c r="BK38" i="50"/>
  <c r="BK40" i="50"/>
  <c r="BK33" i="50"/>
  <c r="BJ42" i="30"/>
  <c r="BJ34" i="30"/>
  <c r="BJ38" i="30"/>
  <c r="BJ43" i="30"/>
  <c r="BJ36" i="30"/>
  <c r="BJ37" i="30"/>
  <c r="BJ39" i="30"/>
  <c r="BJ40" i="30"/>
  <c r="BJ41" i="30"/>
  <c r="BJ44" i="30"/>
  <c r="BJ45" i="30"/>
  <c r="BJ33" i="30"/>
  <c r="BJ35" i="30"/>
  <c r="BJ34" i="31"/>
  <c r="BJ35" i="31"/>
  <c r="BJ36" i="31"/>
  <c r="BJ38" i="31"/>
  <c r="BJ40" i="31"/>
  <c r="BJ44" i="31"/>
  <c r="BJ37" i="31"/>
  <c r="BJ41" i="31"/>
  <c r="BJ45" i="31"/>
  <c r="BJ33" i="31"/>
  <c r="BJ39" i="31"/>
  <c r="BJ42" i="31"/>
  <c r="BJ43" i="31"/>
  <c r="BK49" i="29"/>
  <c r="BK52" i="29"/>
  <c r="BK47" i="29"/>
  <c r="BK50" i="29"/>
  <c r="BK48" i="29"/>
  <c r="BK51" i="29"/>
  <c r="BK46" i="29"/>
  <c r="BK37" i="24"/>
  <c r="BK35" i="24"/>
  <c r="BK39" i="24"/>
  <c r="BK38" i="24"/>
  <c r="BK34" i="24"/>
  <c r="BK40" i="24"/>
  <c r="BK36" i="24"/>
  <c r="BK44" i="24"/>
  <c r="BK42" i="24"/>
  <c r="BK41" i="24"/>
  <c r="BK43" i="24"/>
  <c r="BK45" i="24"/>
  <c r="BK33" i="24"/>
  <c r="BK35" i="22"/>
  <c r="BK44" i="22"/>
  <c r="BK38" i="22"/>
  <c r="BK34" i="22"/>
  <c r="BK40" i="22"/>
  <c r="BK43" i="22"/>
  <c r="BK39" i="22"/>
  <c r="BK42" i="22"/>
  <c r="BK37" i="22"/>
  <c r="BK33" i="22"/>
  <c r="BK36" i="22"/>
  <c r="BK41" i="22"/>
  <c r="BK45" i="22"/>
  <c r="BK41" i="44"/>
  <c r="BK38" i="44"/>
  <c r="BK40" i="44"/>
  <c r="BK37" i="44"/>
  <c r="BK45" i="44"/>
  <c r="BK34" i="44"/>
  <c r="BK33" i="44"/>
  <c r="BK43" i="44"/>
  <c r="BK44" i="44"/>
  <c r="BK39" i="44"/>
  <c r="BK36" i="44"/>
  <c r="BK35" i="44"/>
  <c r="BK42" i="44"/>
  <c r="BJ42" i="32"/>
  <c r="BJ38" i="32"/>
  <c r="BJ33" i="32"/>
  <c r="BJ41" i="32"/>
  <c r="BJ36" i="32"/>
  <c r="BJ34" i="32"/>
  <c r="BJ35" i="32"/>
  <c r="BJ39" i="32"/>
  <c r="BJ37" i="32"/>
  <c r="BJ40" i="32"/>
  <c r="BJ45" i="32"/>
  <c r="BJ43" i="32"/>
  <c r="BJ44" i="32"/>
  <c r="BJ33" i="37"/>
  <c r="BJ41" i="37"/>
  <c r="BJ34" i="37"/>
  <c r="BJ35" i="37"/>
  <c r="BJ36" i="37"/>
  <c r="BJ37" i="37"/>
  <c r="BJ42" i="37"/>
  <c r="BJ43" i="37"/>
  <c r="BJ38" i="37"/>
  <c r="BJ40" i="37"/>
  <c r="BJ39" i="37"/>
  <c r="BJ45" i="37"/>
  <c r="BJ44" i="37"/>
  <c r="BK44" i="40"/>
  <c r="BK42" i="40"/>
  <c r="BK40" i="40"/>
  <c r="BK38" i="40"/>
  <c r="BK36" i="40"/>
  <c r="BK34" i="40"/>
  <c r="BK39" i="40"/>
  <c r="BK37" i="40"/>
  <c r="BK33" i="40"/>
  <c r="BK45" i="40"/>
  <c r="BK35" i="40"/>
  <c r="BK41" i="40"/>
  <c r="BK43" i="40"/>
  <c r="BK45" i="25"/>
  <c r="BK43" i="25"/>
  <c r="BK44" i="25"/>
  <c r="BK39" i="25"/>
  <c r="BK35" i="25"/>
  <c r="BK33" i="25"/>
  <c r="BK38" i="25"/>
  <c r="BK40" i="25"/>
  <c r="BK42" i="25"/>
  <c r="BK41" i="25"/>
  <c r="BK34" i="25"/>
  <c r="BK36" i="25"/>
  <c r="BK37" i="25"/>
  <c r="BK43" i="27"/>
  <c r="BK38" i="27"/>
  <c r="BK41" i="27"/>
  <c r="BK36" i="27"/>
  <c r="BK33" i="27"/>
  <c r="BK39" i="27"/>
  <c r="BK37" i="27"/>
  <c r="BK45" i="27"/>
  <c r="BK34" i="27"/>
  <c r="BK40" i="27"/>
  <c r="BK42" i="27"/>
  <c r="BK35" i="27"/>
  <c r="BK44" i="27"/>
  <c r="BK39" i="29"/>
  <c r="BK38" i="29"/>
  <c r="BK41" i="29"/>
  <c r="BK37" i="29"/>
  <c r="BK40" i="29"/>
  <c r="BK45" i="29"/>
  <c r="BK42" i="29"/>
  <c r="BK34" i="29"/>
  <c r="BK43" i="29"/>
  <c r="BK33" i="29"/>
  <c r="BK44" i="29"/>
  <c r="BK35" i="29"/>
  <c r="BK36" i="29"/>
  <c r="BK8" i="27"/>
  <c r="BK8" i="44"/>
  <c r="BK8" i="40"/>
  <c r="BJ8" i="37"/>
  <c r="BK13" i="50"/>
  <c r="BK23" i="50"/>
  <c r="BK26" i="50"/>
  <c r="BK12" i="50"/>
  <c r="BK32" i="50"/>
  <c r="BK18" i="50"/>
  <c r="BK25" i="50"/>
  <c r="BK24" i="50"/>
  <c r="BK16" i="50"/>
  <c r="BK17" i="50"/>
  <c r="BK21" i="50"/>
  <c r="BK9" i="50"/>
  <c r="BK14" i="50"/>
  <c r="BL3" i="50"/>
  <c r="BL53" i="50" s="1"/>
  <c r="BK27" i="50"/>
  <c r="BK30" i="50"/>
  <c r="BK28" i="50"/>
  <c r="BK19" i="50"/>
  <c r="BK8" i="50"/>
  <c r="BK10" i="50"/>
  <c r="BK11" i="50"/>
  <c r="BK31" i="50"/>
  <c r="BK29" i="50"/>
  <c r="BK22" i="50"/>
  <c r="BK20" i="50"/>
  <c r="BK15" i="50"/>
  <c r="BL4" i="29"/>
  <c r="BL4" i="50"/>
  <c r="BL4" i="40"/>
  <c r="BL4" i="44"/>
  <c r="BK4" i="37"/>
  <c r="BL4" i="28"/>
  <c r="BL4" i="27"/>
  <c r="BK4" i="31"/>
  <c r="BL4" i="25"/>
  <c r="BL4" i="26"/>
  <c r="BL4" i="24"/>
  <c r="BL4" i="22"/>
  <c r="BK4" i="32"/>
  <c r="BK4" i="30"/>
  <c r="BK8" i="22"/>
  <c r="BJ29" i="32"/>
  <c r="BJ18" i="32"/>
  <c r="BJ16" i="32"/>
  <c r="BJ10" i="32"/>
  <c r="BJ11" i="32"/>
  <c r="BJ26" i="32"/>
  <c r="BJ17" i="32"/>
  <c r="BJ12" i="32"/>
  <c r="BJ15" i="32"/>
  <c r="BJ19" i="32"/>
  <c r="BJ9" i="32"/>
  <c r="BJ20" i="32"/>
  <c r="BJ31" i="32"/>
  <c r="BJ21" i="32"/>
  <c r="BJ28" i="32"/>
  <c r="BJ13" i="32"/>
  <c r="BJ22" i="32"/>
  <c r="BJ24" i="32"/>
  <c r="BJ23" i="32"/>
  <c r="BJ27" i="32"/>
  <c r="BJ14" i="32"/>
  <c r="BJ8" i="32"/>
  <c r="BJ30" i="32"/>
  <c r="BJ32" i="32"/>
  <c r="BJ25" i="32"/>
  <c r="BK8" i="25"/>
  <c r="BK47" i="28"/>
  <c r="BK46" i="28"/>
  <c r="BK48" i="28"/>
  <c r="BL3" i="26"/>
  <c r="BL53" i="26" s="1"/>
  <c r="BL3" i="29"/>
  <c r="BL53" i="29" s="1"/>
  <c r="BL3" i="25"/>
  <c r="BL53" i="25" s="1"/>
  <c r="BL3" i="22"/>
  <c r="BL53" i="22" s="1"/>
  <c r="BK3" i="32"/>
  <c r="BK53" i="32" s="1"/>
  <c r="BL3" i="44"/>
  <c r="BL53" i="44" s="1"/>
  <c r="BK3" i="31"/>
  <c r="BK53" i="31" s="1"/>
  <c r="BK3" i="30"/>
  <c r="BK53" i="30" s="1"/>
  <c r="BL3" i="27"/>
  <c r="BL53" i="27" s="1"/>
  <c r="BL3" i="40"/>
  <c r="BL53" i="40" s="1"/>
  <c r="BK3" i="37"/>
  <c r="BK53" i="37" s="1"/>
  <c r="BL3" i="24"/>
  <c r="BL53" i="24" s="1"/>
  <c r="BL3" i="28"/>
  <c r="H28" i="25"/>
  <c r="H28" i="24"/>
  <c r="BL47" i="40" l="1"/>
  <c r="BL49" i="40"/>
  <c r="BL51" i="40"/>
  <c r="BL52" i="40"/>
  <c r="BL48" i="40"/>
  <c r="BL46" i="40"/>
  <c r="BL50" i="40"/>
  <c r="BK46" i="37"/>
  <c r="BK51" i="37"/>
  <c r="BK52" i="37"/>
  <c r="BK48" i="37"/>
  <c r="BK49" i="37"/>
  <c r="BK47" i="37"/>
  <c r="BK50" i="37"/>
  <c r="BL51" i="44"/>
  <c r="BL48" i="44"/>
  <c r="BL49" i="44"/>
  <c r="BL50" i="44"/>
  <c r="BL52" i="44"/>
  <c r="BL46" i="44"/>
  <c r="BL47" i="44"/>
  <c r="BL46" i="27"/>
  <c r="BL48" i="27"/>
  <c r="BL50" i="27"/>
  <c r="BL52" i="27"/>
  <c r="BL47" i="27"/>
  <c r="BL51" i="27"/>
  <c r="BL49" i="27"/>
  <c r="BK47" i="32"/>
  <c r="BK52" i="32"/>
  <c r="BK50" i="32"/>
  <c r="BK49" i="32"/>
  <c r="BK48" i="32"/>
  <c r="BK51" i="32"/>
  <c r="BK46" i="32"/>
  <c r="BL47" i="26"/>
  <c r="BL49" i="26"/>
  <c r="BL51" i="26"/>
  <c r="BL50" i="26"/>
  <c r="BL52" i="26"/>
  <c r="BL46" i="26"/>
  <c r="BL48" i="26"/>
  <c r="BK52" i="30"/>
  <c r="BK46" i="30"/>
  <c r="BK51" i="30"/>
  <c r="BK47" i="30"/>
  <c r="BK50" i="30"/>
  <c r="BK49" i="30"/>
  <c r="BK48" i="30"/>
  <c r="BL50" i="22"/>
  <c r="BL49" i="22"/>
  <c r="BL47" i="22"/>
  <c r="BL52" i="22"/>
  <c r="BL46" i="22"/>
  <c r="BL48" i="22"/>
  <c r="BL51" i="22"/>
  <c r="BL46" i="50"/>
  <c r="BL51" i="50"/>
  <c r="BL49" i="50"/>
  <c r="BL47" i="50"/>
  <c r="BL48" i="50"/>
  <c r="BL50" i="50"/>
  <c r="BL52" i="50"/>
  <c r="BK47" i="31"/>
  <c r="BK46" i="31"/>
  <c r="BK52" i="31"/>
  <c r="BK48" i="31"/>
  <c r="BK50" i="31"/>
  <c r="BK51" i="31"/>
  <c r="BK49" i="31"/>
  <c r="BL48" i="25"/>
  <c r="BL51" i="25"/>
  <c r="BL46" i="25"/>
  <c r="BL47" i="25"/>
  <c r="BL50" i="25"/>
  <c r="BL52" i="25"/>
  <c r="BL49" i="25"/>
  <c r="BL46" i="24"/>
  <c r="BL47" i="24"/>
  <c r="BL49" i="24"/>
  <c r="BL48" i="24"/>
  <c r="BL50" i="24"/>
  <c r="BL52" i="24"/>
  <c r="BL51" i="24"/>
  <c r="BL41" i="24"/>
  <c r="BL37" i="24"/>
  <c r="BL33" i="24"/>
  <c r="BL43" i="24"/>
  <c r="BL45" i="24"/>
  <c r="BL39" i="24"/>
  <c r="BL35" i="24"/>
  <c r="BL36" i="24"/>
  <c r="BL38" i="24"/>
  <c r="BL44" i="24"/>
  <c r="BL34" i="24"/>
  <c r="BL40" i="24"/>
  <c r="BL42" i="24"/>
  <c r="BK45" i="30"/>
  <c r="BK40" i="30"/>
  <c r="BK37" i="30"/>
  <c r="BK41" i="30"/>
  <c r="BK38" i="30"/>
  <c r="BK44" i="30"/>
  <c r="BK35" i="30"/>
  <c r="BK39" i="30"/>
  <c r="BK42" i="30"/>
  <c r="BK43" i="30"/>
  <c r="BK34" i="30"/>
  <c r="BK33" i="30"/>
  <c r="BK36" i="30"/>
  <c r="BL41" i="22"/>
  <c r="BL35" i="22"/>
  <c r="BL45" i="22"/>
  <c r="BL34" i="22"/>
  <c r="BL37" i="22"/>
  <c r="BL36" i="22"/>
  <c r="BL39" i="22"/>
  <c r="BL43" i="22"/>
  <c r="BL44" i="22"/>
  <c r="BL38" i="22"/>
  <c r="BL33" i="22"/>
  <c r="BL40" i="22"/>
  <c r="BL42" i="22"/>
  <c r="BL45" i="50"/>
  <c r="BL44" i="50"/>
  <c r="BL37" i="50"/>
  <c r="BL40" i="50"/>
  <c r="BL42" i="50"/>
  <c r="BL39" i="50"/>
  <c r="BL43" i="50"/>
  <c r="BL41" i="50"/>
  <c r="BL38" i="50"/>
  <c r="BL36" i="50"/>
  <c r="BL34" i="50"/>
  <c r="BL35" i="50"/>
  <c r="BL33" i="50"/>
  <c r="BK45" i="32"/>
  <c r="BK40" i="32"/>
  <c r="BK39" i="32"/>
  <c r="BK37" i="32"/>
  <c r="BK35" i="32"/>
  <c r="BK38" i="32"/>
  <c r="BK33" i="32"/>
  <c r="BK41" i="32"/>
  <c r="BK34" i="32"/>
  <c r="BK36" i="32"/>
  <c r="BK42" i="32"/>
  <c r="BK43" i="32"/>
  <c r="BK44" i="32"/>
  <c r="BK41" i="37"/>
  <c r="BK36" i="37"/>
  <c r="BK33" i="37"/>
  <c r="BK45" i="37"/>
  <c r="BK35" i="37"/>
  <c r="BK38" i="37"/>
  <c r="BK44" i="37"/>
  <c r="BK39" i="37"/>
  <c r="BK40" i="37"/>
  <c r="BK37" i="37"/>
  <c r="BK42" i="37"/>
  <c r="BK43" i="37"/>
  <c r="BK34" i="37"/>
  <c r="BK45" i="31"/>
  <c r="BK42" i="31"/>
  <c r="BK39" i="31"/>
  <c r="BK37" i="31"/>
  <c r="BK34" i="31"/>
  <c r="BK35" i="31"/>
  <c r="BK38" i="31"/>
  <c r="BK40" i="31"/>
  <c r="BK41" i="31"/>
  <c r="BK33" i="31"/>
  <c r="BK36" i="31"/>
  <c r="BK43" i="31"/>
  <c r="BK44" i="31"/>
  <c r="BL45" i="26"/>
  <c r="BL43" i="26"/>
  <c r="BL38" i="26"/>
  <c r="BL40" i="26"/>
  <c r="BL33" i="26"/>
  <c r="BL35" i="26"/>
  <c r="BL37" i="26"/>
  <c r="BL39" i="26"/>
  <c r="BL44" i="26"/>
  <c r="BL34" i="26"/>
  <c r="BL41" i="26"/>
  <c r="BL36" i="26"/>
  <c r="BL42" i="26"/>
  <c r="BL41" i="25"/>
  <c r="BL40" i="25"/>
  <c r="BL39" i="25"/>
  <c r="BL38" i="25"/>
  <c r="BL36" i="25"/>
  <c r="BL43" i="25"/>
  <c r="BL45" i="25"/>
  <c r="BL34" i="25"/>
  <c r="BL35" i="25"/>
  <c r="BL33" i="25"/>
  <c r="BL37" i="25"/>
  <c r="BL44" i="25"/>
  <c r="BL42" i="25"/>
  <c r="BL39" i="40"/>
  <c r="BL37" i="40"/>
  <c r="BL34" i="40"/>
  <c r="BL41" i="40"/>
  <c r="BL42" i="40"/>
  <c r="BL38" i="40"/>
  <c r="BL45" i="40"/>
  <c r="BL36" i="40"/>
  <c r="BL35" i="40"/>
  <c r="BL40" i="40"/>
  <c r="BL44" i="40"/>
  <c r="BL43" i="40"/>
  <c r="BL33" i="40"/>
  <c r="BL45" i="44"/>
  <c r="BL44" i="44"/>
  <c r="BL42" i="44"/>
  <c r="BL36" i="44"/>
  <c r="BL34" i="44"/>
  <c r="BL33" i="44"/>
  <c r="BL41" i="44"/>
  <c r="BL43" i="44"/>
  <c r="BL37" i="44"/>
  <c r="BL39" i="44"/>
  <c r="BL35" i="44"/>
  <c r="BL38" i="44"/>
  <c r="BL40" i="44"/>
  <c r="BL50" i="29"/>
  <c r="BL48" i="29"/>
  <c r="BL47" i="29"/>
  <c r="BL52" i="29"/>
  <c r="BL51" i="29"/>
  <c r="BL46" i="29"/>
  <c r="BL49" i="29"/>
  <c r="BL45" i="27"/>
  <c r="BL44" i="27"/>
  <c r="BL42" i="27"/>
  <c r="BL39" i="27"/>
  <c r="BL33" i="27"/>
  <c r="BL36" i="27"/>
  <c r="BL43" i="27"/>
  <c r="BL34" i="27"/>
  <c r="BL35" i="27"/>
  <c r="BL38" i="27"/>
  <c r="BL40" i="27"/>
  <c r="BL41" i="27"/>
  <c r="BL37" i="27"/>
  <c r="BL40" i="29"/>
  <c r="BL36" i="29"/>
  <c r="BL41" i="29"/>
  <c r="BL43" i="29"/>
  <c r="BL34" i="29"/>
  <c r="BL35" i="29"/>
  <c r="BL45" i="29"/>
  <c r="BL37" i="29"/>
  <c r="BL42" i="29"/>
  <c r="BL38" i="29"/>
  <c r="BL44" i="29"/>
  <c r="BL33" i="29"/>
  <c r="BL39" i="29"/>
  <c r="BL8" i="27"/>
  <c r="BL8" i="44"/>
  <c r="BK8" i="37"/>
  <c r="BL8" i="40"/>
  <c r="BL21" i="50"/>
  <c r="BL30" i="50"/>
  <c r="BL22" i="50"/>
  <c r="BL19" i="50"/>
  <c r="BL17" i="50"/>
  <c r="BL28" i="50"/>
  <c r="BL15" i="50"/>
  <c r="BL10" i="50"/>
  <c r="BL20" i="50"/>
  <c r="BL18" i="50"/>
  <c r="BL27" i="50"/>
  <c r="BL8" i="50"/>
  <c r="BL16" i="50"/>
  <c r="BL11" i="50"/>
  <c r="BL32" i="50"/>
  <c r="BL9" i="50"/>
  <c r="BL26" i="50"/>
  <c r="BL14" i="50"/>
  <c r="BL12" i="50"/>
  <c r="BL24" i="50"/>
  <c r="BL29" i="50"/>
  <c r="BL25" i="50"/>
  <c r="BL13" i="50"/>
  <c r="BL31" i="50"/>
  <c r="BL23" i="50"/>
  <c r="BM3" i="50"/>
  <c r="BM53" i="50" s="1"/>
  <c r="BM4" i="29"/>
  <c r="BM4" i="50"/>
  <c r="BL4" i="37"/>
  <c r="BM4" i="28"/>
  <c r="BM4" i="27"/>
  <c r="BM4" i="40"/>
  <c r="BM4" i="44"/>
  <c r="BM4" i="25"/>
  <c r="BM4" i="26"/>
  <c r="BM4" i="24"/>
  <c r="BM4" i="22"/>
  <c r="BL4" i="32"/>
  <c r="BL4" i="30"/>
  <c r="BL4" i="31"/>
  <c r="BK17" i="32"/>
  <c r="BK23" i="32"/>
  <c r="BK27" i="32"/>
  <c r="BK8" i="32"/>
  <c r="BK21" i="32"/>
  <c r="BK13" i="32"/>
  <c r="BK31" i="32"/>
  <c r="BK9" i="32"/>
  <c r="BK16" i="32"/>
  <c r="BK10" i="32"/>
  <c r="BK11" i="32"/>
  <c r="BK25" i="32"/>
  <c r="BK26" i="32"/>
  <c r="BK30" i="32"/>
  <c r="BK12" i="32"/>
  <c r="BK15" i="32"/>
  <c r="BK22" i="32"/>
  <c r="BK28" i="32"/>
  <c r="BK14" i="32"/>
  <c r="BK24" i="32"/>
  <c r="BK19" i="32"/>
  <c r="BK20" i="32"/>
  <c r="BK32" i="32"/>
  <c r="BK29" i="32"/>
  <c r="BK18" i="32"/>
  <c r="BL8" i="22"/>
  <c r="BL8" i="25"/>
  <c r="BL47" i="28"/>
  <c r="BL46" i="28"/>
  <c r="BL48" i="28"/>
  <c r="BM3" i="26"/>
  <c r="BM53" i="26" s="1"/>
  <c r="BM3" i="25"/>
  <c r="BM53" i="25" s="1"/>
  <c r="BM3" i="24"/>
  <c r="BM53" i="24" s="1"/>
  <c r="BM3" i="29"/>
  <c r="BM53" i="29" s="1"/>
  <c r="BL3" i="30"/>
  <c r="BL53" i="30" s="1"/>
  <c r="BL3" i="31"/>
  <c r="BL53" i="31" s="1"/>
  <c r="BL3" i="32"/>
  <c r="BL53" i="32" s="1"/>
  <c r="BM3" i="44"/>
  <c r="BM53" i="44" s="1"/>
  <c r="BM3" i="22"/>
  <c r="BM53" i="22" s="1"/>
  <c r="BM3" i="40"/>
  <c r="BM53" i="40" s="1"/>
  <c r="BL3" i="37"/>
  <c r="BL53" i="37" s="1"/>
  <c r="BM3" i="28"/>
  <c r="BM3" i="27"/>
  <c r="BM53" i="27" s="1"/>
  <c r="BM51" i="40" l="1"/>
  <c r="BM49" i="40"/>
  <c r="BM47" i="40"/>
  <c r="BM50" i="40"/>
  <c r="BM52" i="40"/>
  <c r="BM48" i="40"/>
  <c r="BM46" i="40"/>
  <c r="BL48" i="37"/>
  <c r="BL49" i="37"/>
  <c r="BL46" i="37"/>
  <c r="BL50" i="37"/>
  <c r="BL51" i="37"/>
  <c r="BL52" i="37"/>
  <c r="BL47" i="37"/>
  <c r="BL46" i="31"/>
  <c r="BL51" i="31"/>
  <c r="BL47" i="31"/>
  <c r="BL50" i="31"/>
  <c r="BL49" i="31"/>
  <c r="BL48" i="31"/>
  <c r="BL52" i="31"/>
  <c r="BM51" i="27"/>
  <c r="BM47" i="27"/>
  <c r="BM49" i="27"/>
  <c r="BM50" i="27"/>
  <c r="BM52" i="27"/>
  <c r="BM46" i="27"/>
  <c r="BM48" i="27"/>
  <c r="BM50" i="26"/>
  <c r="BM47" i="26"/>
  <c r="BM49" i="26"/>
  <c r="BM52" i="26"/>
  <c r="BM46" i="26"/>
  <c r="BM48" i="26"/>
  <c r="BM51" i="26"/>
  <c r="BM50" i="25"/>
  <c r="BM52" i="25"/>
  <c r="BM46" i="25"/>
  <c r="BM48" i="25"/>
  <c r="BM51" i="25"/>
  <c r="BM47" i="25"/>
  <c r="BM49" i="25"/>
  <c r="BM51" i="22"/>
  <c r="BM47" i="22"/>
  <c r="BM52" i="22"/>
  <c r="BM48" i="22"/>
  <c r="BM50" i="22"/>
  <c r="BM49" i="22"/>
  <c r="BM46" i="22"/>
  <c r="BL49" i="30"/>
  <c r="BL52" i="30"/>
  <c r="BL51" i="30"/>
  <c r="BL50" i="30"/>
  <c r="BL46" i="30"/>
  <c r="BL47" i="30"/>
  <c r="BL48" i="30"/>
  <c r="BM47" i="44"/>
  <c r="BM49" i="44"/>
  <c r="BM46" i="44"/>
  <c r="BM48" i="44"/>
  <c r="BM50" i="44"/>
  <c r="BM51" i="44"/>
  <c r="BM52" i="44"/>
  <c r="BM49" i="50"/>
  <c r="BM51" i="50"/>
  <c r="BM46" i="50"/>
  <c r="BM48" i="50"/>
  <c r="BM50" i="50"/>
  <c r="BM52" i="50"/>
  <c r="BM47" i="50"/>
  <c r="BL50" i="32"/>
  <c r="BL47" i="32"/>
  <c r="BL49" i="32"/>
  <c r="BL48" i="32"/>
  <c r="BL51" i="32"/>
  <c r="BL52" i="32"/>
  <c r="BL46" i="32"/>
  <c r="BM50" i="24"/>
  <c r="BM48" i="24"/>
  <c r="BM46" i="24"/>
  <c r="BM47" i="24"/>
  <c r="BM51" i="24"/>
  <c r="BM49" i="24"/>
  <c r="BM52" i="24"/>
  <c r="BM47" i="29"/>
  <c r="BM50" i="29"/>
  <c r="BM51" i="29"/>
  <c r="BM46" i="29"/>
  <c r="BM49" i="29"/>
  <c r="BM52" i="29"/>
  <c r="BM48" i="29"/>
  <c r="BL33" i="37"/>
  <c r="BL34" i="37"/>
  <c r="BL35" i="37"/>
  <c r="BL36" i="37"/>
  <c r="BL37" i="37"/>
  <c r="BL44" i="37"/>
  <c r="BL41" i="37"/>
  <c r="BL42" i="37"/>
  <c r="BL43" i="37"/>
  <c r="BL40" i="37"/>
  <c r="BL39" i="37"/>
  <c r="BL45" i="37"/>
  <c r="BL38" i="37"/>
  <c r="BL44" i="32"/>
  <c r="BL40" i="32"/>
  <c r="BL35" i="32"/>
  <c r="BL39" i="32"/>
  <c r="BL38" i="32"/>
  <c r="BL41" i="32"/>
  <c r="BL42" i="32"/>
  <c r="BL43" i="32"/>
  <c r="BL33" i="32"/>
  <c r="BL45" i="32"/>
  <c r="BL34" i="32"/>
  <c r="BL36" i="32"/>
  <c r="BL37" i="32"/>
  <c r="BM43" i="24"/>
  <c r="BM45" i="24"/>
  <c r="BM39" i="24"/>
  <c r="BM41" i="24"/>
  <c r="BM37" i="24"/>
  <c r="BM35" i="24"/>
  <c r="BM36" i="24"/>
  <c r="BM34" i="24"/>
  <c r="BM44" i="24"/>
  <c r="BM33" i="24"/>
  <c r="BM38" i="24"/>
  <c r="BM40" i="24"/>
  <c r="BM42" i="24"/>
  <c r="BM35" i="44"/>
  <c r="BM36" i="44"/>
  <c r="BM45" i="44"/>
  <c r="BM34" i="44"/>
  <c r="BM38" i="44"/>
  <c r="BM33" i="44"/>
  <c r="BM37" i="44"/>
  <c r="BM39" i="44"/>
  <c r="BM43" i="44"/>
  <c r="BM44" i="44"/>
  <c r="BM42" i="44"/>
  <c r="BM41" i="44"/>
  <c r="BM40" i="44"/>
  <c r="BM45" i="50"/>
  <c r="BM38" i="50"/>
  <c r="BM37" i="50"/>
  <c r="BM39" i="50"/>
  <c r="BM43" i="50"/>
  <c r="BM41" i="50"/>
  <c r="BM36" i="50"/>
  <c r="BM34" i="50"/>
  <c r="BM42" i="50"/>
  <c r="BM35" i="50"/>
  <c r="BM44" i="50"/>
  <c r="BM33" i="50"/>
  <c r="BM40" i="50"/>
  <c r="BM43" i="40"/>
  <c r="BM41" i="40"/>
  <c r="BM34" i="40"/>
  <c r="BM39" i="40"/>
  <c r="BM38" i="40"/>
  <c r="BM37" i="40"/>
  <c r="BM35" i="40"/>
  <c r="BM33" i="40"/>
  <c r="BM45" i="40"/>
  <c r="BM36" i="40"/>
  <c r="BM42" i="40"/>
  <c r="BM40" i="40"/>
  <c r="BM44" i="40"/>
  <c r="BL45" i="31"/>
  <c r="BL44" i="31"/>
  <c r="BL37" i="31"/>
  <c r="BL41" i="31"/>
  <c r="BL40" i="31"/>
  <c r="BL38" i="31"/>
  <c r="BL36" i="31"/>
  <c r="BL42" i="31"/>
  <c r="BL35" i="31"/>
  <c r="BL43" i="31"/>
  <c r="BL39" i="31"/>
  <c r="BL33" i="31"/>
  <c r="BL34" i="31"/>
  <c r="BM42" i="25"/>
  <c r="BM35" i="25"/>
  <c r="BM33" i="25"/>
  <c r="BM39" i="25"/>
  <c r="BM43" i="25"/>
  <c r="BM45" i="25"/>
  <c r="BM36" i="25"/>
  <c r="BM34" i="25"/>
  <c r="BM44" i="25"/>
  <c r="BM40" i="25"/>
  <c r="BM37" i="25"/>
  <c r="BM38" i="25"/>
  <c r="BM41" i="25"/>
  <c r="BM33" i="27"/>
  <c r="BM41" i="27"/>
  <c r="BM39" i="27"/>
  <c r="BM35" i="27"/>
  <c r="BM37" i="27"/>
  <c r="BM36" i="27"/>
  <c r="BM38" i="27"/>
  <c r="BM43" i="27"/>
  <c r="BM44" i="27"/>
  <c r="BM45" i="27"/>
  <c r="BM42" i="27"/>
  <c r="BM40" i="27"/>
  <c r="BM34" i="27"/>
  <c r="BM44" i="22"/>
  <c r="BM36" i="22"/>
  <c r="BM37" i="22"/>
  <c r="BM40" i="22"/>
  <c r="BM33" i="22"/>
  <c r="BM39" i="22"/>
  <c r="BM35" i="22"/>
  <c r="BM41" i="22"/>
  <c r="BM45" i="22"/>
  <c r="BM43" i="22"/>
  <c r="BM42" i="22"/>
  <c r="BM38" i="22"/>
  <c r="BM34" i="22"/>
  <c r="BL33" i="30"/>
  <c r="BL44" i="30"/>
  <c r="BL40" i="30"/>
  <c r="BL36" i="30"/>
  <c r="BL38" i="30"/>
  <c r="BL43" i="30"/>
  <c r="BL42" i="30"/>
  <c r="BL39" i="30"/>
  <c r="BL41" i="30"/>
  <c r="BL45" i="30"/>
  <c r="BL34" i="30"/>
  <c r="BL37" i="30"/>
  <c r="BL35" i="30"/>
  <c r="BM45" i="26"/>
  <c r="BM43" i="26"/>
  <c r="BM39" i="26"/>
  <c r="BM37" i="26"/>
  <c r="BM35" i="26"/>
  <c r="BM36" i="26"/>
  <c r="BM34" i="26"/>
  <c r="BM33" i="26"/>
  <c r="BM41" i="26"/>
  <c r="BM38" i="26"/>
  <c r="BM40" i="26"/>
  <c r="BM44" i="26"/>
  <c r="BM42" i="26"/>
  <c r="BM39" i="29"/>
  <c r="BM45" i="29"/>
  <c r="BM44" i="29"/>
  <c r="BM38" i="29"/>
  <c r="BM42" i="29"/>
  <c r="BM33" i="29"/>
  <c r="BM37" i="29"/>
  <c r="BM35" i="29"/>
  <c r="BM36" i="29"/>
  <c r="BM34" i="29"/>
  <c r="BM43" i="29"/>
  <c r="BM41" i="29"/>
  <c r="BM40" i="29"/>
  <c r="BM8" i="27"/>
  <c r="BM8" i="44"/>
  <c r="BL8" i="37"/>
  <c r="BM8" i="40"/>
  <c r="BM8" i="50"/>
  <c r="BM18" i="50"/>
  <c r="BM25" i="50"/>
  <c r="BM30" i="50"/>
  <c r="BM22" i="50"/>
  <c r="BM23" i="50"/>
  <c r="BM12" i="50"/>
  <c r="BM29" i="50"/>
  <c r="BM21" i="50"/>
  <c r="BM9" i="50"/>
  <c r="BM15" i="50"/>
  <c r="BM32" i="50"/>
  <c r="BM27" i="50"/>
  <c r="BM20" i="50"/>
  <c r="BM31" i="50"/>
  <c r="BM10" i="50"/>
  <c r="BM17" i="50"/>
  <c r="BM28" i="50"/>
  <c r="BM26" i="50"/>
  <c r="BM11" i="50"/>
  <c r="BM14" i="50"/>
  <c r="BM16" i="50"/>
  <c r="BM19" i="50"/>
  <c r="BM13" i="50"/>
  <c r="BM24" i="50"/>
  <c r="BN3" i="50"/>
  <c r="BN53" i="50" s="1"/>
  <c r="BN4" i="29"/>
  <c r="BN4" i="50"/>
  <c r="BN4" i="28"/>
  <c r="BN4" i="27"/>
  <c r="BN4" i="40"/>
  <c r="BN4" i="44"/>
  <c r="BM4" i="37"/>
  <c r="BN4" i="26"/>
  <c r="BN4" i="24"/>
  <c r="BN4" i="22"/>
  <c r="BM4" i="32"/>
  <c r="BM4" i="31"/>
  <c r="BN4" i="25"/>
  <c r="BM4" i="30"/>
  <c r="BM8" i="22"/>
  <c r="BL31" i="32"/>
  <c r="BL21" i="32"/>
  <c r="BL16" i="32"/>
  <c r="BL9" i="32"/>
  <c r="BL20" i="32"/>
  <c r="BL23" i="32"/>
  <c r="BL12" i="32"/>
  <c r="BL30" i="32"/>
  <c r="BL26" i="32"/>
  <c r="BL27" i="32"/>
  <c r="BL13" i="32"/>
  <c r="BL15" i="32"/>
  <c r="BL19" i="32"/>
  <c r="BL17" i="32"/>
  <c r="BL24" i="32"/>
  <c r="BL10" i="32"/>
  <c r="BL22" i="32"/>
  <c r="BL25" i="32"/>
  <c r="BL11" i="32"/>
  <c r="BL14" i="32"/>
  <c r="BL18" i="32"/>
  <c r="BL28" i="32"/>
  <c r="BL8" i="32"/>
  <c r="BL32" i="32"/>
  <c r="BL29" i="32"/>
  <c r="BM8" i="25"/>
  <c r="BM48" i="28"/>
  <c r="BM46" i="28"/>
  <c r="BM47" i="28"/>
  <c r="BN3" i="22"/>
  <c r="BN53" i="22" s="1"/>
  <c r="BM3" i="32"/>
  <c r="BM53" i="32" s="1"/>
  <c r="BN3" i="29"/>
  <c r="BN53" i="29" s="1"/>
  <c r="BM3" i="31"/>
  <c r="BM53" i="31" s="1"/>
  <c r="BN3" i="40"/>
  <c r="BN53" i="40" s="1"/>
  <c r="BM3" i="37"/>
  <c r="BM53" i="37" s="1"/>
  <c r="BN3" i="28"/>
  <c r="BN3" i="25"/>
  <c r="BN53" i="25" s="1"/>
  <c r="BM3" i="30"/>
  <c r="BM53" i="30" s="1"/>
  <c r="BN3" i="27"/>
  <c r="BN53" i="27" s="1"/>
  <c r="BN3" i="44"/>
  <c r="BN53" i="44" s="1"/>
  <c r="BN3" i="24"/>
  <c r="BN53" i="24" s="1"/>
  <c r="BN3" i="26"/>
  <c r="BN53" i="26" s="1"/>
  <c r="BG5" i="28" a="1"/>
  <c r="BG5" i="22" a="1"/>
  <c r="BG5" i="25" a="1"/>
  <c r="BF5" i="24" a="1"/>
  <c r="BG5" i="27" a="1"/>
  <c r="BG5" i="26" a="1"/>
  <c r="BG5" i="24" a="1"/>
  <c r="BN52" i="40" l="1"/>
  <c r="BN51" i="40"/>
  <c r="BN50" i="40"/>
  <c r="BN48" i="40"/>
  <c r="BN47" i="40"/>
  <c r="BN49" i="40"/>
  <c r="BN46" i="40"/>
  <c r="BM51" i="37"/>
  <c r="BM47" i="37"/>
  <c r="BM46" i="37"/>
  <c r="BM52" i="37"/>
  <c r="BM48" i="37"/>
  <c r="BM49" i="37"/>
  <c r="BM50" i="37"/>
  <c r="BN51" i="27"/>
  <c r="BN46" i="27"/>
  <c r="BN48" i="27"/>
  <c r="BN47" i="27"/>
  <c r="BN50" i="27"/>
  <c r="BN52" i="27"/>
  <c r="BN49" i="27"/>
  <c r="BM48" i="32"/>
  <c r="BM52" i="32"/>
  <c r="BM51" i="32"/>
  <c r="BM50" i="32"/>
  <c r="BM46" i="32"/>
  <c r="BM49" i="32"/>
  <c r="BM47" i="32"/>
  <c r="BM50" i="30"/>
  <c r="BM52" i="30"/>
  <c r="BM48" i="30"/>
  <c r="BM51" i="30"/>
  <c r="BM47" i="30"/>
  <c r="BM49" i="30"/>
  <c r="BM46" i="30"/>
  <c r="BN52" i="26"/>
  <c r="BN51" i="26"/>
  <c r="BN50" i="26"/>
  <c r="BN47" i="26"/>
  <c r="BN46" i="26"/>
  <c r="BN48" i="26"/>
  <c r="BN49" i="26"/>
  <c r="BN51" i="22"/>
  <c r="BN46" i="22"/>
  <c r="BN49" i="22"/>
  <c r="BN48" i="22"/>
  <c r="BN47" i="22"/>
  <c r="BN50" i="22"/>
  <c r="BN52" i="22"/>
  <c r="BN47" i="25"/>
  <c r="BN48" i="25"/>
  <c r="BN49" i="25"/>
  <c r="BN46" i="25"/>
  <c r="BN50" i="25"/>
  <c r="BN51" i="25"/>
  <c r="BN52" i="25"/>
  <c r="BM49" i="31"/>
  <c r="BM50" i="31"/>
  <c r="BM52" i="31"/>
  <c r="BM46" i="31"/>
  <c r="BM51" i="31"/>
  <c r="BM48" i="31"/>
  <c r="BM47" i="31"/>
  <c r="BN48" i="50"/>
  <c r="BN52" i="50"/>
  <c r="BN46" i="50"/>
  <c r="BN49" i="50"/>
  <c r="BN51" i="50"/>
  <c r="BN50" i="50"/>
  <c r="BN47" i="50"/>
  <c r="BN48" i="44"/>
  <c r="BN46" i="44"/>
  <c r="BN52" i="44"/>
  <c r="BN50" i="44"/>
  <c r="BN51" i="44"/>
  <c r="BN47" i="44"/>
  <c r="BN49" i="44"/>
  <c r="BN47" i="24"/>
  <c r="BN52" i="24"/>
  <c r="BN51" i="24"/>
  <c r="BN46" i="24"/>
  <c r="BN48" i="24"/>
  <c r="BN49" i="24"/>
  <c r="BN50" i="24"/>
  <c r="BN36" i="24"/>
  <c r="BN40" i="24"/>
  <c r="BN38" i="24"/>
  <c r="BN33" i="24"/>
  <c r="BN34" i="24"/>
  <c r="BN35" i="24"/>
  <c r="BN37" i="24"/>
  <c r="BN39" i="24"/>
  <c r="BN41" i="24"/>
  <c r="BN43" i="24"/>
  <c r="BN45" i="24"/>
  <c r="BN44" i="24"/>
  <c r="BN42" i="24"/>
  <c r="BN42" i="25"/>
  <c r="BN40" i="25"/>
  <c r="BN39" i="25"/>
  <c r="BN37" i="25"/>
  <c r="BN35" i="25"/>
  <c r="BN33" i="25"/>
  <c r="BN41" i="25"/>
  <c r="BN44" i="25"/>
  <c r="BN36" i="25"/>
  <c r="BN38" i="25"/>
  <c r="BN43" i="25"/>
  <c r="BN45" i="25"/>
  <c r="BN34" i="25"/>
  <c r="BM44" i="31"/>
  <c r="BM43" i="31"/>
  <c r="BM33" i="31"/>
  <c r="BM41" i="31"/>
  <c r="BM39" i="31"/>
  <c r="BM37" i="31"/>
  <c r="BM40" i="31"/>
  <c r="BM35" i="31"/>
  <c r="BM34" i="31"/>
  <c r="BM36" i="31"/>
  <c r="BM38" i="31"/>
  <c r="BM42" i="31"/>
  <c r="BM45" i="31"/>
  <c r="BN38" i="50"/>
  <c r="BN33" i="50"/>
  <c r="BN36" i="50"/>
  <c r="BN40" i="50"/>
  <c r="BN43" i="50"/>
  <c r="BN44" i="50"/>
  <c r="BN45" i="50"/>
  <c r="BN34" i="50"/>
  <c r="BN37" i="50"/>
  <c r="BN39" i="50"/>
  <c r="BN35" i="50"/>
  <c r="BN41" i="50"/>
  <c r="BN42" i="50"/>
  <c r="BN45" i="44"/>
  <c r="BN42" i="44"/>
  <c r="BN40" i="44"/>
  <c r="BN44" i="44"/>
  <c r="BN34" i="44"/>
  <c r="BN35" i="44"/>
  <c r="BN33" i="44"/>
  <c r="BN41" i="44"/>
  <c r="BN39" i="44"/>
  <c r="BN38" i="44"/>
  <c r="BN43" i="44"/>
  <c r="BN36" i="44"/>
  <c r="BN37" i="44"/>
  <c r="BN50" i="29"/>
  <c r="BN51" i="29"/>
  <c r="BN49" i="29"/>
  <c r="BN46" i="29"/>
  <c r="BN47" i="29"/>
  <c r="BN52" i="29"/>
  <c r="BN48" i="29"/>
  <c r="BN40" i="27"/>
  <c r="BN44" i="27"/>
  <c r="BN42" i="27"/>
  <c r="BN33" i="27"/>
  <c r="BN39" i="27"/>
  <c r="BN43" i="27"/>
  <c r="BN35" i="27"/>
  <c r="BN34" i="27"/>
  <c r="BN36" i="27"/>
  <c r="BN45" i="27"/>
  <c r="BN37" i="27"/>
  <c r="BN41" i="27"/>
  <c r="BN38" i="27"/>
  <c r="BM33" i="37"/>
  <c r="BM34" i="37"/>
  <c r="BM38" i="37"/>
  <c r="BM41" i="37"/>
  <c r="BM42" i="37"/>
  <c r="BM35" i="37"/>
  <c r="BM43" i="37"/>
  <c r="BM40" i="37"/>
  <c r="BM39" i="37"/>
  <c r="BM36" i="37"/>
  <c r="BM45" i="37"/>
  <c r="BM44" i="37"/>
  <c r="BM37" i="37"/>
  <c r="BM39" i="32"/>
  <c r="BM35" i="32"/>
  <c r="BM33" i="32"/>
  <c r="BM43" i="32"/>
  <c r="BM42" i="32"/>
  <c r="BM37" i="32"/>
  <c r="BM41" i="32"/>
  <c r="BM38" i="32"/>
  <c r="BM44" i="32"/>
  <c r="BM45" i="32"/>
  <c r="BM40" i="32"/>
  <c r="BM36" i="32"/>
  <c r="BM34" i="32"/>
  <c r="BN42" i="26"/>
  <c r="BN39" i="26"/>
  <c r="BN34" i="26"/>
  <c r="BN38" i="26"/>
  <c r="BN33" i="26"/>
  <c r="BN44" i="26"/>
  <c r="BN36" i="26"/>
  <c r="BN37" i="26"/>
  <c r="BN41" i="26"/>
  <c r="BN45" i="26"/>
  <c r="BN35" i="26"/>
  <c r="BN40" i="26"/>
  <c r="BN43" i="26"/>
  <c r="BM34" i="30"/>
  <c r="BM43" i="30"/>
  <c r="BM40" i="30"/>
  <c r="BM39" i="30"/>
  <c r="BM35" i="30"/>
  <c r="BM41" i="30"/>
  <c r="BM42" i="30"/>
  <c r="BM45" i="30"/>
  <c r="BM38" i="30"/>
  <c r="BM44" i="30"/>
  <c r="BM33" i="30"/>
  <c r="BM36" i="30"/>
  <c r="BM37" i="30"/>
  <c r="BN33" i="40"/>
  <c r="BN40" i="40"/>
  <c r="BN36" i="40"/>
  <c r="BN38" i="40"/>
  <c r="BN45" i="40"/>
  <c r="BN34" i="40"/>
  <c r="BN35" i="40"/>
  <c r="BN42" i="40"/>
  <c r="BN37" i="40"/>
  <c r="BN39" i="40"/>
  <c r="BN41" i="40"/>
  <c r="BN44" i="40"/>
  <c r="BN43" i="40"/>
  <c r="BN43" i="22"/>
  <c r="BN37" i="22"/>
  <c r="BN36" i="22"/>
  <c r="BN40" i="22"/>
  <c r="BN39" i="22"/>
  <c r="BN35" i="22"/>
  <c r="BN45" i="22"/>
  <c r="BN34" i="22"/>
  <c r="BN38" i="22"/>
  <c r="BN33" i="22"/>
  <c r="BN42" i="22"/>
  <c r="BN41" i="22"/>
  <c r="BN44" i="22"/>
  <c r="BN45" i="29"/>
  <c r="BN41" i="29"/>
  <c r="BN35" i="29"/>
  <c r="BN43" i="29"/>
  <c r="BN42" i="29"/>
  <c r="BN44" i="29"/>
  <c r="BN39" i="29"/>
  <c r="BN33" i="29"/>
  <c r="BN34" i="29"/>
  <c r="BN38" i="29"/>
  <c r="BN36" i="29"/>
  <c r="BN37" i="29"/>
  <c r="BN40" i="29"/>
  <c r="BN8" i="27"/>
  <c r="BN8" i="44"/>
  <c r="BM8" i="37"/>
  <c r="BN8" i="40"/>
  <c r="BN18" i="50"/>
  <c r="BN26" i="50"/>
  <c r="BN13" i="50"/>
  <c r="BN25" i="50"/>
  <c r="BN32" i="50"/>
  <c r="BN22" i="50"/>
  <c r="BN14" i="50"/>
  <c r="BN23" i="50"/>
  <c r="BN10" i="50"/>
  <c r="BN9" i="50"/>
  <c r="BN17" i="50"/>
  <c r="BN20" i="50"/>
  <c r="BN29" i="50"/>
  <c r="BO3" i="50"/>
  <c r="BO53" i="50" s="1"/>
  <c r="BN12" i="50"/>
  <c r="BN16" i="50"/>
  <c r="BN27" i="50"/>
  <c r="BN21" i="50"/>
  <c r="BN11" i="50"/>
  <c r="BN8" i="50"/>
  <c r="BN31" i="50"/>
  <c r="BN28" i="50"/>
  <c r="BN19" i="50"/>
  <c r="BN30" i="50"/>
  <c r="BN15" i="50"/>
  <c r="BN24" i="50"/>
  <c r="BO4" i="29"/>
  <c r="BO4" i="50"/>
  <c r="BO4" i="27"/>
  <c r="BO4" i="40"/>
  <c r="BO4" i="44"/>
  <c r="BN4" i="37"/>
  <c r="BO4" i="26"/>
  <c r="BO4" i="28"/>
  <c r="BO4" i="22"/>
  <c r="BN4" i="32"/>
  <c r="BN4" i="31"/>
  <c r="BO4" i="25"/>
  <c r="BO4" i="24"/>
  <c r="BN4" i="30"/>
  <c r="BN8" i="22"/>
  <c r="BM27" i="32"/>
  <c r="BM19" i="32"/>
  <c r="BM12" i="32"/>
  <c r="BM11" i="32"/>
  <c r="BM26" i="32"/>
  <c r="BM23" i="32"/>
  <c r="BM18" i="32"/>
  <c r="BM31" i="32"/>
  <c r="BM20" i="32"/>
  <c r="BM16" i="32"/>
  <c r="BM22" i="32"/>
  <c r="BM15" i="32"/>
  <c r="BM25" i="32"/>
  <c r="BM24" i="32"/>
  <c r="BM14" i="32"/>
  <c r="BM28" i="32"/>
  <c r="BM10" i="32"/>
  <c r="BM17" i="32"/>
  <c r="BM13" i="32"/>
  <c r="BM9" i="32"/>
  <c r="BM30" i="32"/>
  <c r="BM8" i="32"/>
  <c r="BM32" i="32"/>
  <c r="BM21" i="32"/>
  <c r="BM29" i="32"/>
  <c r="BN8" i="25"/>
  <c r="BN48" i="28"/>
  <c r="BN46" i="28"/>
  <c r="BN47" i="28"/>
  <c r="BO3" i="28"/>
  <c r="BO3" i="27"/>
  <c r="BO53" i="27" s="1"/>
  <c r="BO3" i="44"/>
  <c r="BO53" i="44" s="1"/>
  <c r="BO3" i="26"/>
  <c r="BO53" i="26" s="1"/>
  <c r="BO3" i="25"/>
  <c r="BO53" i="25" s="1"/>
  <c r="BN3" i="31"/>
  <c r="BN53" i="31" s="1"/>
  <c r="BO3" i="29"/>
  <c r="BO53" i="29" s="1"/>
  <c r="BO3" i="24"/>
  <c r="BO53" i="24" s="1"/>
  <c r="BN3" i="30"/>
  <c r="BN53" i="30" s="1"/>
  <c r="BN3" i="37"/>
  <c r="BN53" i="37" s="1"/>
  <c r="BO3" i="22"/>
  <c r="BO53" i="22" s="1"/>
  <c r="BN3" i="32"/>
  <c r="BN53" i="32" s="1"/>
  <c r="BO3" i="40"/>
  <c r="BO53" i="40" s="1"/>
  <c r="I4" i="24"/>
  <c r="BN50" i="37" l="1"/>
  <c r="BN49" i="37"/>
  <c r="BN48" i="37"/>
  <c r="BN47" i="37"/>
  <c r="BN51" i="37"/>
  <c r="BN52" i="37"/>
  <c r="BN46" i="37"/>
  <c r="BO50" i="40"/>
  <c r="BO47" i="40"/>
  <c r="BO48" i="40"/>
  <c r="BO46" i="40"/>
  <c r="BO49" i="40"/>
  <c r="BO51" i="40"/>
  <c r="BO52" i="40"/>
  <c r="BN50" i="31"/>
  <c r="BN49" i="31"/>
  <c r="BN51" i="31"/>
  <c r="BN47" i="31"/>
  <c r="BN48" i="31"/>
  <c r="BN46" i="31"/>
  <c r="BN52" i="31"/>
  <c r="BO48" i="27"/>
  <c r="BO47" i="27"/>
  <c r="BO50" i="27"/>
  <c r="BO49" i="27"/>
  <c r="BO51" i="27"/>
  <c r="BO52" i="27"/>
  <c r="BO46" i="27"/>
  <c r="BN46" i="30"/>
  <c r="BN48" i="30"/>
  <c r="BN50" i="30"/>
  <c r="BN47" i="30"/>
  <c r="BN49" i="30"/>
  <c r="BN52" i="30"/>
  <c r="BN51" i="30"/>
  <c r="BO48" i="25"/>
  <c r="BO49" i="25"/>
  <c r="BO46" i="25"/>
  <c r="BO51" i="25"/>
  <c r="BO47" i="25"/>
  <c r="BO52" i="25"/>
  <c r="BO50" i="25"/>
  <c r="BO49" i="26"/>
  <c r="BO51" i="26"/>
  <c r="BO47" i="26"/>
  <c r="BO46" i="26"/>
  <c r="BO48" i="26"/>
  <c r="BO50" i="26"/>
  <c r="BO52" i="26"/>
  <c r="BO46" i="50"/>
  <c r="BO50" i="50"/>
  <c r="BO52" i="50"/>
  <c r="BO51" i="50"/>
  <c r="BO48" i="50"/>
  <c r="BO49" i="50"/>
  <c r="BO47" i="50"/>
  <c r="BN50" i="32"/>
  <c r="BN47" i="32"/>
  <c r="BN48" i="32"/>
  <c r="BN46" i="32"/>
  <c r="BN52" i="32"/>
  <c r="BN49" i="32"/>
  <c r="BN51" i="32"/>
  <c r="BO46" i="22"/>
  <c r="BO48" i="22"/>
  <c r="BO52" i="22"/>
  <c r="BO51" i="22"/>
  <c r="BO50" i="22"/>
  <c r="BO49" i="22"/>
  <c r="BO47" i="22"/>
  <c r="BO47" i="44"/>
  <c r="BO49" i="44"/>
  <c r="BO50" i="44"/>
  <c r="BO46" i="44"/>
  <c r="BO51" i="44"/>
  <c r="BO48" i="44"/>
  <c r="BO52" i="44"/>
  <c r="BO49" i="24"/>
  <c r="BO47" i="24"/>
  <c r="BO52" i="24"/>
  <c r="BO46" i="24"/>
  <c r="BO50" i="24"/>
  <c r="BO51" i="24"/>
  <c r="BO48" i="24"/>
  <c r="I52" i="24"/>
  <c r="J52" i="24" s="1"/>
  <c r="I51" i="24"/>
  <c r="J51" i="24" s="1"/>
  <c r="I50" i="24"/>
  <c r="J50" i="24" s="1"/>
  <c r="I48" i="24"/>
  <c r="J48" i="24" s="1"/>
  <c r="I49" i="24"/>
  <c r="J49" i="24" s="1"/>
  <c r="I46" i="24"/>
  <c r="J46" i="24" s="1"/>
  <c r="I47" i="24"/>
  <c r="J47" i="24" s="1"/>
  <c r="I42" i="24"/>
  <c r="J42" i="24" s="1"/>
  <c r="I44" i="24"/>
  <c r="J44" i="24" s="1"/>
  <c r="I36" i="24"/>
  <c r="J36" i="24" s="1"/>
  <c r="I38" i="24"/>
  <c r="J38" i="24" s="1"/>
  <c r="I43" i="24"/>
  <c r="J43" i="24" s="1"/>
  <c r="I37" i="24"/>
  <c r="J37" i="24" s="1"/>
  <c r="I33" i="24"/>
  <c r="J33" i="24" s="1"/>
  <c r="I39" i="24"/>
  <c r="J39" i="24" s="1"/>
  <c r="I41" i="24"/>
  <c r="J41" i="24" s="1"/>
  <c r="I45" i="24"/>
  <c r="J45" i="24" s="1"/>
  <c r="I35" i="24"/>
  <c r="J35" i="24" s="1"/>
  <c r="I40" i="24"/>
  <c r="J40" i="24" s="1"/>
  <c r="I34" i="24"/>
  <c r="J34" i="24" s="1"/>
  <c r="BN34" i="30"/>
  <c r="BN44" i="30"/>
  <c r="BN45" i="30"/>
  <c r="BN42" i="30"/>
  <c r="BN39" i="30"/>
  <c r="BN43" i="30"/>
  <c r="BN41" i="30"/>
  <c r="BN33" i="30"/>
  <c r="BN38" i="30"/>
  <c r="BN40" i="30"/>
  <c r="BN36" i="30"/>
  <c r="BN37" i="30"/>
  <c r="BN35" i="30"/>
  <c r="BO45" i="25"/>
  <c r="BO43" i="25"/>
  <c r="BO39" i="25"/>
  <c r="BO35" i="25"/>
  <c r="BO33" i="25"/>
  <c r="BO38" i="25"/>
  <c r="BO40" i="25"/>
  <c r="BO37" i="25"/>
  <c r="BO41" i="25"/>
  <c r="BO44" i="25"/>
  <c r="BO34" i="25"/>
  <c r="BO36" i="25"/>
  <c r="BO42" i="25"/>
  <c r="BN38" i="32"/>
  <c r="BN42" i="32"/>
  <c r="BN43" i="32"/>
  <c r="BN44" i="32"/>
  <c r="BN34" i="32"/>
  <c r="BN33" i="32"/>
  <c r="BN41" i="32"/>
  <c r="BN37" i="32"/>
  <c r="BN35" i="32"/>
  <c r="BN39" i="32"/>
  <c r="BN36" i="32"/>
  <c r="BN40" i="32"/>
  <c r="BN45" i="32"/>
  <c r="BO42" i="24"/>
  <c r="BO44" i="24"/>
  <c r="BO38" i="24"/>
  <c r="BO37" i="24"/>
  <c r="BO34" i="24"/>
  <c r="BO35" i="24"/>
  <c r="BO39" i="24"/>
  <c r="BO33" i="24"/>
  <c r="BO43" i="24"/>
  <c r="BO45" i="24"/>
  <c r="BO36" i="24"/>
  <c r="BO41" i="24"/>
  <c r="BO40" i="24"/>
  <c r="BO38" i="26"/>
  <c r="BO42" i="26"/>
  <c r="BO41" i="26"/>
  <c r="BO40" i="26"/>
  <c r="BO33" i="26"/>
  <c r="BO35" i="26"/>
  <c r="BO36" i="26"/>
  <c r="BO34" i="26"/>
  <c r="BO39" i="26"/>
  <c r="BO37" i="26"/>
  <c r="BO44" i="26"/>
  <c r="BO43" i="26"/>
  <c r="BO45" i="26"/>
  <c r="BO39" i="50"/>
  <c r="BO45" i="50"/>
  <c r="BO37" i="50"/>
  <c r="BO33" i="50"/>
  <c r="BO43" i="50"/>
  <c r="BO38" i="50"/>
  <c r="BO40" i="50"/>
  <c r="BO42" i="50"/>
  <c r="BO44" i="50"/>
  <c r="BO35" i="50"/>
  <c r="BO41" i="50"/>
  <c r="BO36" i="50"/>
  <c r="BO34" i="50"/>
  <c r="BO35" i="22"/>
  <c r="BO39" i="22"/>
  <c r="BO45" i="22"/>
  <c r="BO34" i="22"/>
  <c r="BO42" i="22"/>
  <c r="BO44" i="22"/>
  <c r="BO38" i="22"/>
  <c r="BO33" i="22"/>
  <c r="BO40" i="22"/>
  <c r="BO41" i="22"/>
  <c r="BO43" i="22"/>
  <c r="BO36" i="22"/>
  <c r="BO37" i="22"/>
  <c r="BO49" i="29"/>
  <c r="BO52" i="29"/>
  <c r="BO48" i="29"/>
  <c r="BO50" i="29"/>
  <c r="BO46" i="29"/>
  <c r="BO47" i="29"/>
  <c r="BO51" i="29"/>
  <c r="BO43" i="44"/>
  <c r="BO40" i="44"/>
  <c r="BO38" i="44"/>
  <c r="BO34" i="44"/>
  <c r="BO45" i="44"/>
  <c r="BO42" i="44"/>
  <c r="BO37" i="44"/>
  <c r="BO35" i="44"/>
  <c r="BO39" i="44"/>
  <c r="BO44" i="44"/>
  <c r="BO33" i="44"/>
  <c r="BO36" i="44"/>
  <c r="BO41" i="44"/>
  <c r="BN33" i="37"/>
  <c r="BN42" i="37"/>
  <c r="BN43" i="37"/>
  <c r="BN38" i="37"/>
  <c r="BN40" i="37"/>
  <c r="BN39" i="37"/>
  <c r="BN45" i="37"/>
  <c r="BN41" i="37"/>
  <c r="BN34" i="37"/>
  <c r="BN35" i="37"/>
  <c r="BN36" i="37"/>
  <c r="BN37" i="37"/>
  <c r="BN44" i="37"/>
  <c r="BN34" i="31"/>
  <c r="BN36" i="31"/>
  <c r="BN39" i="31"/>
  <c r="BN42" i="31"/>
  <c r="BN43" i="31"/>
  <c r="BN33" i="31"/>
  <c r="BN35" i="31"/>
  <c r="BN41" i="31"/>
  <c r="BN40" i="31"/>
  <c r="BN44" i="31"/>
  <c r="BN38" i="31"/>
  <c r="BN37" i="31"/>
  <c r="BN45" i="31"/>
  <c r="BO41" i="27"/>
  <c r="BO36" i="27"/>
  <c r="BO43" i="27"/>
  <c r="BO38" i="27"/>
  <c r="BO45" i="27"/>
  <c r="BO37" i="27"/>
  <c r="BO35" i="27"/>
  <c r="BO40" i="27"/>
  <c r="BO42" i="27"/>
  <c r="BO33" i="27"/>
  <c r="BO39" i="27"/>
  <c r="BO44" i="27"/>
  <c r="BO34" i="27"/>
  <c r="BO39" i="40"/>
  <c r="BO37" i="40"/>
  <c r="BO36" i="40"/>
  <c r="BO40" i="40"/>
  <c r="BO33" i="40"/>
  <c r="BO34" i="40"/>
  <c r="BO45" i="40"/>
  <c r="BO44" i="40"/>
  <c r="BO35" i="40"/>
  <c r="BO42" i="40"/>
  <c r="BO41" i="40"/>
  <c r="BO43" i="40"/>
  <c r="BO38" i="40"/>
  <c r="BO39" i="29"/>
  <c r="BO37" i="29"/>
  <c r="BO38" i="29"/>
  <c r="BO41" i="29"/>
  <c r="BO36" i="29"/>
  <c r="BO40" i="29"/>
  <c r="BO42" i="29"/>
  <c r="BO33" i="29"/>
  <c r="BO45" i="29"/>
  <c r="BO43" i="29"/>
  <c r="BO34" i="29"/>
  <c r="BO44" i="29"/>
  <c r="BO35" i="29"/>
  <c r="BO8" i="27"/>
  <c r="BO8" i="44"/>
  <c r="BN8" i="37"/>
  <c r="BO8" i="40"/>
  <c r="BO22" i="50"/>
  <c r="BO20" i="50"/>
  <c r="BO26" i="50"/>
  <c r="BO15" i="50"/>
  <c r="BO27" i="50"/>
  <c r="BO8" i="50"/>
  <c r="BO21" i="50"/>
  <c r="BO23" i="50"/>
  <c r="BO16" i="50"/>
  <c r="BO10" i="50"/>
  <c r="BO18" i="50"/>
  <c r="BO25" i="50"/>
  <c r="BO11" i="50"/>
  <c r="BO12" i="50"/>
  <c r="BO24" i="50"/>
  <c r="BO30" i="50"/>
  <c r="BO28" i="50"/>
  <c r="BO13" i="50"/>
  <c r="BO19" i="50"/>
  <c r="BO31" i="50"/>
  <c r="BO17" i="50"/>
  <c r="BO32" i="50"/>
  <c r="BO14" i="50"/>
  <c r="BO29" i="50"/>
  <c r="BO9" i="50"/>
  <c r="BP3" i="50"/>
  <c r="BP53" i="50" s="1"/>
  <c r="BP4" i="29"/>
  <c r="BP4" i="50"/>
  <c r="BP4" i="40"/>
  <c r="BP4" i="44"/>
  <c r="BO4" i="37"/>
  <c r="BP4" i="26"/>
  <c r="BP4" i="28"/>
  <c r="BP4" i="27"/>
  <c r="BO4" i="31"/>
  <c r="BP4" i="25"/>
  <c r="BP4" i="24"/>
  <c r="BP4" i="22"/>
  <c r="BO4" i="32"/>
  <c r="BO4" i="30"/>
  <c r="BN29" i="32"/>
  <c r="BN18" i="32"/>
  <c r="BN19" i="32"/>
  <c r="BN15" i="32"/>
  <c r="BN24" i="32"/>
  <c r="BN17" i="32"/>
  <c r="BN16" i="32"/>
  <c r="BN11" i="32"/>
  <c r="BN12" i="32"/>
  <c r="BN9" i="32"/>
  <c r="BN20" i="32"/>
  <c r="BN10" i="32"/>
  <c r="BN14" i="32"/>
  <c r="BN25" i="32"/>
  <c r="BN30" i="32"/>
  <c r="BN13" i="32"/>
  <c r="BN23" i="32"/>
  <c r="BN21" i="32"/>
  <c r="BN27" i="32"/>
  <c r="BN32" i="32"/>
  <c r="BN28" i="32"/>
  <c r="BN26" i="32"/>
  <c r="BN8" i="32"/>
  <c r="BN31" i="32"/>
  <c r="BN22" i="32"/>
  <c r="BO8" i="22"/>
  <c r="BO8" i="25"/>
  <c r="BO47" i="28"/>
  <c r="BO48" i="28"/>
  <c r="BO46" i="28"/>
  <c r="BO3" i="30"/>
  <c r="BO53" i="30" s="1"/>
  <c r="BP3" i="40"/>
  <c r="BP53" i="40" s="1"/>
  <c r="BO3" i="37"/>
  <c r="BO53" i="37" s="1"/>
  <c r="BP3" i="28"/>
  <c r="BP3" i="26"/>
  <c r="BP53" i="26" s="1"/>
  <c r="BP3" i="27"/>
  <c r="BP53" i="27" s="1"/>
  <c r="BO3" i="31"/>
  <c r="BO53" i="31" s="1"/>
  <c r="BP3" i="29"/>
  <c r="BP53" i="29" s="1"/>
  <c r="BP3" i="44"/>
  <c r="BP53" i="44" s="1"/>
  <c r="BP3" i="24"/>
  <c r="BP53" i="24" s="1"/>
  <c r="BP3" i="25"/>
  <c r="BP53" i="25" s="1"/>
  <c r="BP3" i="22"/>
  <c r="BP53" i="22" s="1"/>
  <c r="BO3" i="32"/>
  <c r="BO53" i="32" s="1"/>
  <c r="R45" i="28"/>
  <c r="R44" i="28"/>
  <c r="R12" i="44"/>
  <c r="R22" i="44"/>
  <c r="R18" i="44"/>
  <c r="R16" i="44"/>
  <c r="R9" i="44"/>
  <c r="R10" i="44"/>
  <c r="R32" i="44"/>
  <c r="R29" i="44"/>
  <c r="R31" i="44"/>
  <c r="R11" i="44"/>
  <c r="R14" i="44"/>
  <c r="R25" i="44"/>
  <c r="R20" i="44"/>
  <c r="R26" i="44"/>
  <c r="R27" i="44"/>
  <c r="R30" i="44"/>
  <c r="R13" i="44"/>
  <c r="R15" i="44"/>
  <c r="R17" i="44"/>
  <c r="R19" i="44"/>
  <c r="R21" i="44"/>
  <c r="R23" i="44"/>
  <c r="R28" i="44"/>
  <c r="R24" i="44"/>
  <c r="R31" i="40"/>
  <c r="R15" i="40"/>
  <c r="R16" i="40"/>
  <c r="R9" i="40"/>
  <c r="R17" i="40"/>
  <c r="R30" i="40"/>
  <c r="R24" i="40"/>
  <c r="R18" i="40"/>
  <c r="R12" i="40"/>
  <c r="R11" i="40"/>
  <c r="R19" i="40"/>
  <c r="R32" i="40"/>
  <c r="R21" i="40"/>
  <c r="R10" i="40"/>
  <c r="R13" i="40"/>
  <c r="R27" i="40"/>
  <c r="R25" i="40"/>
  <c r="R22" i="40"/>
  <c r="R20" i="40"/>
  <c r="R23" i="40"/>
  <c r="R26" i="40"/>
  <c r="R29" i="40"/>
  <c r="R14" i="40"/>
  <c r="R28" i="40"/>
  <c r="Q28" i="37"/>
  <c r="Q10" i="37"/>
  <c r="Q27" i="37"/>
  <c r="Q11" i="37"/>
  <c r="Q22" i="37"/>
  <c r="Q17" i="37"/>
  <c r="Q20" i="37"/>
  <c r="Q32" i="37"/>
  <c r="Q16" i="37"/>
  <c r="Q13" i="37"/>
  <c r="Q12" i="37"/>
  <c r="Q18" i="37"/>
  <c r="Q21" i="37"/>
  <c r="Q23" i="37"/>
  <c r="Q26" i="37"/>
  <c r="Q14" i="37"/>
  <c r="Q9" i="37"/>
  <c r="Q25" i="37"/>
  <c r="Q31" i="37"/>
  <c r="Q29" i="37"/>
  <c r="Q15" i="37"/>
  <c r="Q19" i="37"/>
  <c r="Q24" i="37"/>
  <c r="Q30" i="37"/>
  <c r="I30" i="27"/>
  <c r="I31" i="27"/>
  <c r="I29" i="27"/>
  <c r="I32" i="27"/>
  <c r="I28" i="27"/>
  <c r="I32" i="24"/>
  <c r="I31" i="24"/>
  <c r="I29" i="24"/>
  <c r="I30" i="24"/>
  <c r="I28" i="24"/>
  <c r="I32" i="25"/>
  <c r="I31" i="25"/>
  <c r="I30" i="25"/>
  <c r="I29" i="25"/>
  <c r="I28" i="25"/>
  <c r="Q26" i="29"/>
  <c r="Q13" i="29"/>
  <c r="Q12" i="29"/>
  <c r="Q16" i="29"/>
  <c r="Q20" i="29"/>
  <c r="Q9" i="29"/>
  <c r="Q11" i="29"/>
  <c r="Q10" i="29"/>
  <c r="Q18" i="29"/>
  <c r="Q27" i="29"/>
  <c r="Q31" i="29"/>
  <c r="Q21" i="29"/>
  <c r="Q23" i="29"/>
  <c r="Q28" i="29"/>
  <c r="Q14" i="29"/>
  <c r="Q25" i="29"/>
  <c r="Q30" i="29"/>
  <c r="Q8" i="29"/>
  <c r="Q17" i="29"/>
  <c r="Q22" i="29"/>
  <c r="Q32" i="29"/>
  <c r="Q15" i="29"/>
  <c r="Q24" i="29"/>
  <c r="Q29" i="29"/>
  <c r="Q19" i="29"/>
  <c r="Q30" i="31"/>
  <c r="Q14" i="31"/>
  <c r="Q26" i="31"/>
  <c r="Q10" i="31"/>
  <c r="Q12" i="31"/>
  <c r="Q15" i="31"/>
  <c r="Q28" i="31"/>
  <c r="Q8" i="31"/>
  <c r="Q18" i="31"/>
  <c r="Q11" i="31"/>
  <c r="Q13" i="31"/>
  <c r="Q19" i="31"/>
  <c r="Q22" i="31"/>
  <c r="Q17" i="31"/>
  <c r="Q25" i="31"/>
  <c r="Q29" i="31"/>
  <c r="Q21" i="31"/>
  <c r="Q31" i="31"/>
  <c r="Q27" i="31"/>
  <c r="Q24" i="31"/>
  <c r="Q32" i="31"/>
  <c r="Q16" i="31"/>
  <c r="Q20" i="31"/>
  <c r="Q9" i="31"/>
  <c r="Q23" i="31"/>
  <c r="Q11" i="30"/>
  <c r="Q15" i="30"/>
  <c r="Q28" i="30"/>
  <c r="Q31" i="30"/>
  <c r="Q12" i="30"/>
  <c r="Q29" i="30"/>
  <c r="Q8" i="30"/>
  <c r="Q10" i="30"/>
  <c r="Q9" i="30"/>
  <c r="Q13" i="30"/>
  <c r="Q30" i="30"/>
  <c r="Q18" i="30"/>
  <c r="Q21" i="30"/>
  <c r="Q20" i="30"/>
  <c r="Q26" i="30"/>
  <c r="Q19" i="30"/>
  <c r="Q27" i="30"/>
  <c r="Q23" i="30"/>
  <c r="Q32" i="30"/>
  <c r="Q17" i="30"/>
  <c r="Q25" i="30"/>
  <c r="Q14" i="30"/>
  <c r="Q16" i="30"/>
  <c r="Q22" i="30"/>
  <c r="Q24" i="30"/>
  <c r="R28" i="22"/>
  <c r="R32" i="22"/>
  <c r="R29" i="22"/>
  <c r="R31" i="22"/>
  <c r="R30" i="22"/>
  <c r="BP52" i="40" l="1"/>
  <c r="BP51" i="40"/>
  <c r="BP49" i="40"/>
  <c r="BP47" i="40"/>
  <c r="BP50" i="40"/>
  <c r="BP46" i="40"/>
  <c r="BP48" i="40"/>
  <c r="BO52" i="37"/>
  <c r="BO51" i="37"/>
  <c r="BO47" i="37"/>
  <c r="BO46" i="37"/>
  <c r="BO48" i="37"/>
  <c r="BO50" i="37"/>
  <c r="BO49" i="37"/>
  <c r="BP47" i="22"/>
  <c r="BP50" i="22"/>
  <c r="BP48" i="22"/>
  <c r="BP49" i="22"/>
  <c r="BP51" i="22"/>
  <c r="BP46" i="22"/>
  <c r="BP52" i="22"/>
  <c r="BP51" i="50"/>
  <c r="BP46" i="50"/>
  <c r="BP49" i="50"/>
  <c r="BP47" i="50"/>
  <c r="BP52" i="50"/>
  <c r="BP50" i="50"/>
  <c r="BP48" i="50"/>
  <c r="BP48" i="25"/>
  <c r="BP51" i="25"/>
  <c r="BP46" i="25"/>
  <c r="BP52" i="25"/>
  <c r="BP49" i="25"/>
  <c r="BP47" i="25"/>
  <c r="BP50" i="25"/>
  <c r="BO46" i="31"/>
  <c r="BO50" i="31"/>
  <c r="BO52" i="31"/>
  <c r="BO47" i="31"/>
  <c r="BO48" i="31"/>
  <c r="BO51" i="31"/>
  <c r="BO49" i="31"/>
  <c r="BP48" i="27"/>
  <c r="BP46" i="27"/>
  <c r="BP49" i="27"/>
  <c r="BP52" i="27"/>
  <c r="BP51" i="27"/>
  <c r="BP47" i="27"/>
  <c r="BP50" i="27"/>
  <c r="BO48" i="32"/>
  <c r="BO50" i="32"/>
  <c r="BO47" i="32"/>
  <c r="BO46" i="32"/>
  <c r="BO49" i="32"/>
  <c r="BO51" i="32"/>
  <c r="BO52" i="32"/>
  <c r="BP49" i="44"/>
  <c r="BP48" i="44"/>
  <c r="BP46" i="44"/>
  <c r="BP50" i="44"/>
  <c r="BP52" i="44"/>
  <c r="BP47" i="44"/>
  <c r="BP51" i="44"/>
  <c r="BP49" i="26"/>
  <c r="BP51" i="26"/>
  <c r="BP47" i="26"/>
  <c r="BP46" i="26"/>
  <c r="BP48" i="26"/>
  <c r="BP50" i="26"/>
  <c r="BP52" i="26"/>
  <c r="BO48" i="30"/>
  <c r="BO50" i="30"/>
  <c r="BO52" i="30"/>
  <c r="BO46" i="30"/>
  <c r="BO47" i="30"/>
  <c r="BO49" i="30"/>
  <c r="BO51" i="30"/>
  <c r="K45" i="24"/>
  <c r="M45" i="24" s="1"/>
  <c r="L45" i="24"/>
  <c r="K37" i="24"/>
  <c r="M37" i="24" s="1"/>
  <c r="L37" i="24"/>
  <c r="L44" i="24"/>
  <c r="K44" i="24"/>
  <c r="M44" i="24" s="1"/>
  <c r="L50" i="24"/>
  <c r="K50" i="24"/>
  <c r="M50" i="24" s="1"/>
  <c r="K34" i="24"/>
  <c r="M34" i="24" s="1"/>
  <c r="L34" i="24"/>
  <c r="K41" i="24"/>
  <c r="M41" i="24" s="1"/>
  <c r="L41" i="24"/>
  <c r="L43" i="24"/>
  <c r="K43" i="24"/>
  <c r="M43" i="24" s="1"/>
  <c r="K42" i="24"/>
  <c r="M42" i="24" s="1"/>
  <c r="L42" i="24"/>
  <c r="L46" i="24"/>
  <c r="K46" i="24"/>
  <c r="M46" i="24" s="1"/>
  <c r="K51" i="24"/>
  <c r="M51" i="24" s="1"/>
  <c r="L51" i="24"/>
  <c r="K40" i="24"/>
  <c r="M40" i="24" s="1"/>
  <c r="L40" i="24"/>
  <c r="L39" i="24"/>
  <c r="K39" i="24"/>
  <c r="M39" i="24" s="1"/>
  <c r="K38" i="24"/>
  <c r="M38" i="24" s="1"/>
  <c r="L38" i="24"/>
  <c r="L49" i="24"/>
  <c r="K49" i="24"/>
  <c r="M49" i="24" s="1"/>
  <c r="L52" i="24"/>
  <c r="K52" i="24"/>
  <c r="M52" i="24" s="1"/>
  <c r="BP48" i="24"/>
  <c r="BP47" i="24"/>
  <c r="BP50" i="24"/>
  <c r="BP51" i="24"/>
  <c r="BP46" i="24"/>
  <c r="BP49" i="24"/>
  <c r="BP52" i="24"/>
  <c r="L35" i="24"/>
  <c r="K35" i="24"/>
  <c r="M35" i="24" s="1"/>
  <c r="K33" i="24"/>
  <c r="M33" i="24" s="1"/>
  <c r="L33" i="24"/>
  <c r="L36" i="24"/>
  <c r="K36" i="24"/>
  <c r="M36" i="24" s="1"/>
  <c r="K47" i="24"/>
  <c r="M47" i="24" s="1"/>
  <c r="L47" i="24"/>
  <c r="L48" i="24"/>
  <c r="K48" i="24"/>
  <c r="M48" i="24" s="1"/>
  <c r="BP50" i="29"/>
  <c r="BP48" i="29"/>
  <c r="BP47" i="29"/>
  <c r="BP51" i="29"/>
  <c r="BP46" i="29"/>
  <c r="BP52" i="29"/>
  <c r="BP49" i="29"/>
  <c r="BP36" i="25"/>
  <c r="BP45" i="25"/>
  <c r="BP43" i="25"/>
  <c r="BP40" i="25"/>
  <c r="BP34" i="25"/>
  <c r="BP37" i="25"/>
  <c r="BP38" i="25"/>
  <c r="BP39" i="25"/>
  <c r="BP42" i="25"/>
  <c r="BP35" i="25"/>
  <c r="BP33" i="25"/>
  <c r="BP41" i="25"/>
  <c r="BP44" i="25"/>
  <c r="BO41" i="31"/>
  <c r="BO39" i="31"/>
  <c r="BO45" i="31"/>
  <c r="BO37" i="31"/>
  <c r="BO34" i="31"/>
  <c r="BO35" i="31"/>
  <c r="BO44" i="31"/>
  <c r="BO33" i="31"/>
  <c r="BO36" i="31"/>
  <c r="BO43" i="31"/>
  <c r="BO42" i="31"/>
  <c r="BO40" i="31"/>
  <c r="BO38" i="31"/>
  <c r="BO44" i="37"/>
  <c r="BO42" i="37"/>
  <c r="BO33" i="37"/>
  <c r="BO38" i="37"/>
  <c r="BO34" i="37"/>
  <c r="BO39" i="37"/>
  <c r="BO41" i="37"/>
  <c r="BO40" i="37"/>
  <c r="BO35" i="37"/>
  <c r="BO45" i="37"/>
  <c r="BO36" i="37"/>
  <c r="BO37" i="37"/>
  <c r="BO43" i="37"/>
  <c r="BP41" i="22"/>
  <c r="BP35" i="22"/>
  <c r="BP45" i="22"/>
  <c r="BP37" i="22"/>
  <c r="BP33" i="22"/>
  <c r="BP38" i="22"/>
  <c r="BP34" i="22"/>
  <c r="BP43" i="22"/>
  <c r="BP44" i="22"/>
  <c r="BP42" i="22"/>
  <c r="BP36" i="22"/>
  <c r="BP39" i="22"/>
  <c r="BP40" i="22"/>
  <c r="BP44" i="50"/>
  <c r="BP42" i="50"/>
  <c r="BP34" i="50"/>
  <c r="BP45" i="50"/>
  <c r="BP37" i="50"/>
  <c r="BP39" i="50"/>
  <c r="BP33" i="50"/>
  <c r="BP36" i="50"/>
  <c r="BP38" i="50"/>
  <c r="BP40" i="50"/>
  <c r="BP35" i="50"/>
  <c r="BP43" i="50"/>
  <c r="BP41" i="50"/>
  <c r="BP39" i="27"/>
  <c r="BP33" i="27"/>
  <c r="BP36" i="27"/>
  <c r="BP44" i="27"/>
  <c r="BP42" i="27"/>
  <c r="BP45" i="27"/>
  <c r="BP38" i="27"/>
  <c r="BP41" i="27"/>
  <c r="BP37" i="27"/>
  <c r="BP34" i="27"/>
  <c r="BP35" i="27"/>
  <c r="BP43" i="27"/>
  <c r="BP40" i="27"/>
  <c r="BP39" i="40"/>
  <c r="BP37" i="40"/>
  <c r="BP41" i="40"/>
  <c r="BP34" i="40"/>
  <c r="BP45" i="40"/>
  <c r="BP35" i="40"/>
  <c r="BP40" i="40"/>
  <c r="BP44" i="40"/>
  <c r="BP43" i="40"/>
  <c r="BP33" i="40"/>
  <c r="BP42" i="40"/>
  <c r="BP38" i="40"/>
  <c r="BP36" i="40"/>
  <c r="BP45" i="24"/>
  <c r="BP43" i="24"/>
  <c r="BP41" i="24"/>
  <c r="BP39" i="24"/>
  <c r="BP37" i="24"/>
  <c r="BP33" i="24"/>
  <c r="BP35" i="24"/>
  <c r="BP36" i="24"/>
  <c r="BP38" i="24"/>
  <c r="BP44" i="24"/>
  <c r="BP40" i="24"/>
  <c r="BP42" i="24"/>
  <c r="BP34" i="24"/>
  <c r="BO39" i="32"/>
  <c r="BO35" i="32"/>
  <c r="BO33" i="32"/>
  <c r="BO45" i="32"/>
  <c r="BO40" i="32"/>
  <c r="BO36" i="32"/>
  <c r="BO43" i="32"/>
  <c r="BO44" i="32"/>
  <c r="BO34" i="32"/>
  <c r="BO37" i="32"/>
  <c r="BO42" i="32"/>
  <c r="BO41" i="32"/>
  <c r="BO38" i="32"/>
  <c r="BP44" i="44"/>
  <c r="BP45" i="44"/>
  <c r="BP40" i="44"/>
  <c r="BP36" i="44"/>
  <c r="BP42" i="44"/>
  <c r="BP38" i="44"/>
  <c r="BP33" i="44"/>
  <c r="BP43" i="44"/>
  <c r="BP37" i="44"/>
  <c r="BP39" i="44"/>
  <c r="BP35" i="44"/>
  <c r="BP34" i="44"/>
  <c r="BP41" i="44"/>
  <c r="BP43" i="26"/>
  <c r="BP45" i="26"/>
  <c r="BP33" i="26"/>
  <c r="BP40" i="26"/>
  <c r="BP36" i="26"/>
  <c r="BP39" i="26"/>
  <c r="BP44" i="26"/>
  <c r="BP34" i="26"/>
  <c r="BP42" i="26"/>
  <c r="BP37" i="26"/>
  <c r="BP35" i="26"/>
  <c r="BP41" i="26"/>
  <c r="BP38" i="26"/>
  <c r="BO40" i="30"/>
  <c r="BO37" i="30"/>
  <c r="BO45" i="30"/>
  <c r="BO41" i="30"/>
  <c r="BO43" i="30"/>
  <c r="BO33" i="30"/>
  <c r="BO42" i="30"/>
  <c r="BO44" i="30"/>
  <c r="BO38" i="30"/>
  <c r="BO39" i="30"/>
  <c r="BO34" i="30"/>
  <c r="BO35" i="30"/>
  <c r="BO36" i="30"/>
  <c r="BP39" i="29"/>
  <c r="BP45" i="29"/>
  <c r="BP41" i="29"/>
  <c r="BP36" i="29"/>
  <c r="BP44" i="29"/>
  <c r="BP43" i="29"/>
  <c r="BP33" i="29"/>
  <c r="BP35" i="29"/>
  <c r="BP40" i="29"/>
  <c r="BP34" i="29"/>
  <c r="BP42" i="29"/>
  <c r="BP38" i="29"/>
  <c r="BP37" i="29"/>
  <c r="BP8" i="27"/>
  <c r="BP8" i="44"/>
  <c r="BP8" i="40"/>
  <c r="BO8" i="37"/>
  <c r="BP32" i="50"/>
  <c r="BP26" i="50"/>
  <c r="BP16" i="50"/>
  <c r="BP14" i="50"/>
  <c r="BP27" i="50"/>
  <c r="BP18" i="50"/>
  <c r="BP13" i="50"/>
  <c r="BP19" i="50"/>
  <c r="BP25" i="50"/>
  <c r="BP17" i="50"/>
  <c r="BP22" i="50"/>
  <c r="BP28" i="50"/>
  <c r="BP23" i="50"/>
  <c r="BP8" i="50"/>
  <c r="BP24" i="50"/>
  <c r="BP29" i="50"/>
  <c r="BP21" i="50"/>
  <c r="BP9" i="50"/>
  <c r="BP20" i="50"/>
  <c r="BP11" i="50"/>
  <c r="BP10" i="50"/>
  <c r="BP31" i="50"/>
  <c r="BP30" i="50"/>
  <c r="BP12" i="50"/>
  <c r="BP15" i="50"/>
  <c r="BQ3" i="50"/>
  <c r="BQ53" i="50" s="1"/>
  <c r="BQ4" i="29"/>
  <c r="BQ4" i="50"/>
  <c r="BP4" i="37"/>
  <c r="BQ4" i="26"/>
  <c r="BQ4" i="28"/>
  <c r="BQ4" i="27"/>
  <c r="BQ4" i="40"/>
  <c r="BQ4" i="44"/>
  <c r="BQ4" i="25"/>
  <c r="BQ4" i="24"/>
  <c r="BQ4" i="22"/>
  <c r="BP4" i="32"/>
  <c r="BP4" i="30"/>
  <c r="BP4" i="31"/>
  <c r="BO23" i="32"/>
  <c r="BO31" i="32"/>
  <c r="BO27" i="32"/>
  <c r="BO16" i="32"/>
  <c r="BO8" i="32"/>
  <c r="BO29" i="32"/>
  <c r="BO21" i="32"/>
  <c r="BO9" i="32"/>
  <c r="BO13" i="32"/>
  <c r="BO24" i="32"/>
  <c r="BO30" i="32"/>
  <c r="BO11" i="32"/>
  <c r="BO18" i="32"/>
  <c r="BO26" i="32"/>
  <c r="BO15" i="32"/>
  <c r="BO22" i="32"/>
  <c r="BO12" i="32"/>
  <c r="BO17" i="32"/>
  <c r="BO28" i="32"/>
  <c r="BO14" i="32"/>
  <c r="BO19" i="32"/>
  <c r="BO10" i="32"/>
  <c r="BO25" i="32"/>
  <c r="BO20" i="32"/>
  <c r="BO32" i="32"/>
  <c r="BP8" i="22"/>
  <c r="BP8" i="25"/>
  <c r="BP47" i="28"/>
  <c r="BP48" i="28"/>
  <c r="BP46" i="28"/>
  <c r="BQ3" i="29"/>
  <c r="BQ53" i="29" s="1"/>
  <c r="BP3" i="30"/>
  <c r="BP53" i="30" s="1"/>
  <c r="BP3" i="32"/>
  <c r="BP53" i="32" s="1"/>
  <c r="BP3" i="31"/>
  <c r="BP53" i="31" s="1"/>
  <c r="BQ3" i="22"/>
  <c r="BQ53" i="22" s="1"/>
  <c r="BQ3" i="40"/>
  <c r="BQ53" i="40" s="1"/>
  <c r="BP3" i="37"/>
  <c r="BP53" i="37" s="1"/>
  <c r="BQ3" i="28"/>
  <c r="BQ3" i="27"/>
  <c r="BQ53" i="27" s="1"/>
  <c r="BQ3" i="44"/>
  <c r="BQ53" i="44" s="1"/>
  <c r="BQ3" i="26"/>
  <c r="BQ53" i="26" s="1"/>
  <c r="BQ3" i="25"/>
  <c r="BQ53" i="25" s="1"/>
  <c r="BQ3" i="24"/>
  <c r="BQ53" i="24" s="1"/>
  <c r="L3" i="24" l="1"/>
  <c r="BQ52" i="40"/>
  <c r="BQ51" i="40"/>
  <c r="BQ47" i="40"/>
  <c r="BQ49" i="40"/>
  <c r="BQ48" i="40"/>
  <c r="BQ50" i="40"/>
  <c r="BQ46" i="40"/>
  <c r="BP49" i="37"/>
  <c r="BP48" i="37"/>
  <c r="BP46" i="37"/>
  <c r="BP47" i="37"/>
  <c r="BP50" i="37"/>
  <c r="BP51" i="37"/>
  <c r="BP52" i="37"/>
  <c r="BQ48" i="44"/>
  <c r="BQ47" i="44"/>
  <c r="BQ46" i="44"/>
  <c r="BQ50" i="44"/>
  <c r="BQ49" i="44"/>
  <c r="BQ51" i="44"/>
  <c r="BQ52" i="44"/>
  <c r="BP47" i="30"/>
  <c r="BP49" i="30"/>
  <c r="BP52" i="30"/>
  <c r="BP51" i="30"/>
  <c r="BP50" i="30"/>
  <c r="BP46" i="30"/>
  <c r="BP48" i="30"/>
  <c r="BP47" i="32"/>
  <c r="BP46" i="32"/>
  <c r="BP48" i="32"/>
  <c r="BP51" i="32"/>
  <c r="BP49" i="32"/>
  <c r="BP50" i="32"/>
  <c r="BP52" i="32"/>
  <c r="BQ46" i="27"/>
  <c r="BQ51" i="27"/>
  <c r="BQ49" i="27"/>
  <c r="BQ50" i="27"/>
  <c r="BQ48" i="27"/>
  <c r="BQ47" i="27"/>
  <c r="BQ52" i="27"/>
  <c r="BQ52" i="22"/>
  <c r="BQ51" i="22"/>
  <c r="BQ48" i="22"/>
  <c r="BQ46" i="22"/>
  <c r="BQ50" i="22"/>
  <c r="BQ49" i="22"/>
  <c r="BQ47" i="22"/>
  <c r="BQ47" i="26"/>
  <c r="BQ49" i="26"/>
  <c r="BQ46" i="26"/>
  <c r="BQ48" i="26"/>
  <c r="BQ51" i="26"/>
  <c r="BQ50" i="26"/>
  <c r="BQ52" i="26"/>
  <c r="BQ50" i="25"/>
  <c r="BQ52" i="25"/>
  <c r="BQ48" i="25"/>
  <c r="BQ46" i="25"/>
  <c r="BQ49" i="25"/>
  <c r="BQ51" i="25"/>
  <c r="BQ47" i="25"/>
  <c r="BP46" i="31"/>
  <c r="BP47" i="31"/>
  <c r="BP49" i="31"/>
  <c r="BP51" i="31"/>
  <c r="BP48" i="31"/>
  <c r="BP50" i="31"/>
  <c r="BP52" i="31"/>
  <c r="BQ52" i="50"/>
  <c r="BQ46" i="50"/>
  <c r="BQ51" i="50"/>
  <c r="BQ50" i="50"/>
  <c r="BQ49" i="50"/>
  <c r="BQ47" i="50"/>
  <c r="BQ48" i="50"/>
  <c r="BQ47" i="24"/>
  <c r="BQ50" i="24"/>
  <c r="BQ51" i="24"/>
  <c r="BQ49" i="24"/>
  <c r="BQ48" i="24"/>
  <c r="BQ52" i="24"/>
  <c r="BQ46" i="24"/>
  <c r="BQ38" i="25"/>
  <c r="BQ40" i="25"/>
  <c r="BQ36" i="25"/>
  <c r="BQ42" i="25"/>
  <c r="BQ37" i="25"/>
  <c r="BQ41" i="25"/>
  <c r="BQ44" i="25"/>
  <c r="BQ35" i="25"/>
  <c r="BQ33" i="25"/>
  <c r="BQ34" i="25"/>
  <c r="BQ39" i="25"/>
  <c r="BQ43" i="25"/>
  <c r="BQ45" i="25"/>
  <c r="BQ40" i="50"/>
  <c r="BQ34" i="50"/>
  <c r="BQ45" i="50"/>
  <c r="BQ38" i="50"/>
  <c r="BQ35" i="50"/>
  <c r="BQ37" i="50"/>
  <c r="BQ39" i="50"/>
  <c r="BQ33" i="50"/>
  <c r="BQ42" i="50"/>
  <c r="BQ36" i="50"/>
  <c r="BQ43" i="50"/>
  <c r="BQ41" i="50"/>
  <c r="BQ44" i="50"/>
  <c r="BP44" i="31"/>
  <c r="BP37" i="31"/>
  <c r="BP40" i="31"/>
  <c r="BP45" i="31"/>
  <c r="BP34" i="31"/>
  <c r="BP35" i="31"/>
  <c r="BP38" i="31"/>
  <c r="BP43" i="31"/>
  <c r="BP33" i="31"/>
  <c r="BP36" i="31"/>
  <c r="BP41" i="31"/>
  <c r="BP42" i="31"/>
  <c r="BP39" i="31"/>
  <c r="BP33" i="37"/>
  <c r="BP34" i="37"/>
  <c r="BP35" i="37"/>
  <c r="BP36" i="37"/>
  <c r="BP37" i="37"/>
  <c r="BP38" i="37"/>
  <c r="BP41" i="37"/>
  <c r="BP42" i="37"/>
  <c r="BP43" i="37"/>
  <c r="BP40" i="37"/>
  <c r="BP39" i="37"/>
  <c r="BP45" i="37"/>
  <c r="BP44" i="37"/>
  <c r="BP42" i="32"/>
  <c r="BP39" i="32"/>
  <c r="BP40" i="32"/>
  <c r="BP38" i="32"/>
  <c r="BP35" i="32"/>
  <c r="BP44" i="32"/>
  <c r="BP33" i="32"/>
  <c r="BP36" i="32"/>
  <c r="BP43" i="32"/>
  <c r="BP37" i="32"/>
  <c r="BP45" i="32"/>
  <c r="BP41" i="32"/>
  <c r="BP34" i="32"/>
  <c r="BQ37" i="44"/>
  <c r="BQ36" i="44"/>
  <c r="BQ35" i="44"/>
  <c r="BQ33" i="44"/>
  <c r="BQ45" i="44"/>
  <c r="BQ39" i="44"/>
  <c r="BQ43" i="44"/>
  <c r="BQ34" i="44"/>
  <c r="BQ41" i="44"/>
  <c r="BQ40" i="44"/>
  <c r="BQ44" i="44"/>
  <c r="BQ42" i="44"/>
  <c r="BQ38" i="44"/>
  <c r="BQ45" i="40"/>
  <c r="BQ41" i="40"/>
  <c r="BQ34" i="40"/>
  <c r="BQ39" i="40"/>
  <c r="BQ37" i="40"/>
  <c r="BQ33" i="40"/>
  <c r="BQ40" i="40"/>
  <c r="BQ36" i="40"/>
  <c r="BQ43" i="40"/>
  <c r="BQ42" i="40"/>
  <c r="BQ44" i="40"/>
  <c r="BQ38" i="40"/>
  <c r="BQ35" i="40"/>
  <c r="BP44" i="30"/>
  <c r="BP40" i="30"/>
  <c r="BP36" i="30"/>
  <c r="BP33" i="30"/>
  <c r="BP37" i="30"/>
  <c r="BP42" i="30"/>
  <c r="BP41" i="30"/>
  <c r="BP38" i="30"/>
  <c r="BP43" i="30"/>
  <c r="BP39" i="30"/>
  <c r="BP45" i="30"/>
  <c r="BP35" i="30"/>
  <c r="BP34" i="30"/>
  <c r="BQ45" i="26"/>
  <c r="BQ43" i="26"/>
  <c r="BQ42" i="26"/>
  <c r="BQ35" i="26"/>
  <c r="BQ38" i="26"/>
  <c r="BQ39" i="26"/>
  <c r="BQ44" i="26"/>
  <c r="BQ33" i="26"/>
  <c r="BQ41" i="26"/>
  <c r="BQ36" i="26"/>
  <c r="BQ34" i="26"/>
  <c r="BQ37" i="26"/>
  <c r="BQ40" i="26"/>
  <c r="BQ45" i="24"/>
  <c r="BQ43" i="24"/>
  <c r="BQ37" i="24"/>
  <c r="BQ35" i="24"/>
  <c r="BQ41" i="24"/>
  <c r="BQ39" i="24"/>
  <c r="BQ38" i="24"/>
  <c r="BQ44" i="24"/>
  <c r="BQ42" i="24"/>
  <c r="BQ34" i="24"/>
  <c r="BQ33" i="24"/>
  <c r="BQ40" i="24"/>
  <c r="BQ36" i="24"/>
  <c r="BQ33" i="27"/>
  <c r="BQ39" i="27"/>
  <c r="BQ38" i="27"/>
  <c r="BQ41" i="27"/>
  <c r="BQ42" i="27"/>
  <c r="BQ40" i="27"/>
  <c r="BQ45" i="27"/>
  <c r="BQ37" i="27"/>
  <c r="BQ34" i="27"/>
  <c r="BQ36" i="27"/>
  <c r="BQ43" i="27"/>
  <c r="BQ35" i="27"/>
  <c r="BQ44" i="27"/>
  <c r="BQ44" i="22"/>
  <c r="BQ40" i="22"/>
  <c r="BQ37" i="22"/>
  <c r="BQ33" i="22"/>
  <c r="BQ34" i="22"/>
  <c r="BQ42" i="22"/>
  <c r="BQ45" i="22"/>
  <c r="BQ38" i="22"/>
  <c r="BQ36" i="22"/>
  <c r="BQ43" i="22"/>
  <c r="BQ39" i="22"/>
  <c r="BQ35" i="22"/>
  <c r="BQ41" i="22"/>
  <c r="BQ50" i="29"/>
  <c r="BQ47" i="29"/>
  <c r="BQ51" i="29"/>
  <c r="BQ49" i="29"/>
  <c r="BQ52" i="29"/>
  <c r="BQ46" i="29"/>
  <c r="BQ48" i="29"/>
  <c r="BQ45" i="29"/>
  <c r="BQ42" i="29"/>
  <c r="BQ43" i="29"/>
  <c r="BQ35" i="29"/>
  <c r="BQ38" i="29"/>
  <c r="BQ39" i="29"/>
  <c r="BQ41" i="29"/>
  <c r="BQ37" i="29"/>
  <c r="BQ44" i="29"/>
  <c r="BQ34" i="29"/>
  <c r="BQ36" i="29"/>
  <c r="BQ33" i="29"/>
  <c r="BQ40" i="29"/>
  <c r="BQ8" i="27"/>
  <c r="BQ8" i="44"/>
  <c r="BP8" i="37"/>
  <c r="BQ8" i="40"/>
  <c r="BQ26" i="50"/>
  <c r="BQ13" i="50"/>
  <c r="BQ21" i="50"/>
  <c r="BQ30" i="50"/>
  <c r="BQ11" i="50"/>
  <c r="BQ9" i="50"/>
  <c r="BQ23" i="50"/>
  <c r="BQ10" i="50"/>
  <c r="BQ15" i="50"/>
  <c r="BQ22" i="50"/>
  <c r="BQ31" i="50"/>
  <c r="BQ25" i="50"/>
  <c r="BQ14" i="50"/>
  <c r="BQ28" i="50"/>
  <c r="BQ12" i="50"/>
  <c r="BQ18" i="50"/>
  <c r="BQ24" i="50"/>
  <c r="BQ19" i="50"/>
  <c r="BQ8" i="50"/>
  <c r="BQ27" i="50"/>
  <c r="BQ32" i="50"/>
  <c r="BQ17" i="50"/>
  <c r="BQ20" i="50"/>
  <c r="BQ29" i="50"/>
  <c r="BQ16" i="50"/>
  <c r="BR3" i="50"/>
  <c r="BR53" i="50" s="1"/>
  <c r="BR4" i="29"/>
  <c r="BR4" i="50"/>
  <c r="BR4" i="28"/>
  <c r="BR4" i="27"/>
  <c r="BR4" i="40"/>
  <c r="BR4" i="44"/>
  <c r="BQ4" i="37"/>
  <c r="BR4" i="26"/>
  <c r="BR4" i="24"/>
  <c r="BR4" i="22"/>
  <c r="BQ4" i="32"/>
  <c r="BQ4" i="31"/>
  <c r="BR4" i="25"/>
  <c r="BQ4" i="30"/>
  <c r="BP17" i="32"/>
  <c r="BP27" i="32"/>
  <c r="BP23" i="32"/>
  <c r="BP26" i="32"/>
  <c r="BP32" i="32"/>
  <c r="BP12" i="32"/>
  <c r="BP21" i="32"/>
  <c r="BP16" i="32"/>
  <c r="BP9" i="32"/>
  <c r="BP13" i="32"/>
  <c r="BP31" i="32"/>
  <c r="BP20" i="32"/>
  <c r="BP11" i="32"/>
  <c r="BP14" i="32"/>
  <c r="BP19" i="32"/>
  <c r="BP15" i="32"/>
  <c r="BP28" i="32"/>
  <c r="BP24" i="32"/>
  <c r="BP10" i="32"/>
  <c r="BP18" i="32"/>
  <c r="BP22" i="32"/>
  <c r="BP25" i="32"/>
  <c r="BP30" i="32"/>
  <c r="BP8" i="32"/>
  <c r="BP29" i="32"/>
  <c r="BQ8" i="22"/>
  <c r="BQ8" i="25"/>
  <c r="BQ48" i="28"/>
  <c r="BQ46" i="28"/>
  <c r="BQ47" i="28"/>
  <c r="BQ3" i="37"/>
  <c r="BQ53" i="37" s="1"/>
  <c r="BR3" i="24"/>
  <c r="BR53" i="24" s="1"/>
  <c r="BR3" i="28"/>
  <c r="BR3" i="27"/>
  <c r="BR53" i="27" s="1"/>
  <c r="BR3" i="44"/>
  <c r="BR53" i="44" s="1"/>
  <c r="BR3" i="26"/>
  <c r="BR53" i="26" s="1"/>
  <c r="BR3" i="25"/>
  <c r="BR53" i="25" s="1"/>
  <c r="BQ3" i="30"/>
  <c r="BQ53" i="30" s="1"/>
  <c r="BQ3" i="31"/>
  <c r="BQ53" i="31" s="1"/>
  <c r="BR3" i="22"/>
  <c r="BR53" i="22" s="1"/>
  <c r="BR3" i="29"/>
  <c r="BR53" i="29" s="1"/>
  <c r="BQ3" i="32"/>
  <c r="BQ53" i="32" s="1"/>
  <c r="BR3" i="40"/>
  <c r="BR53" i="40" s="1"/>
  <c r="H31" i="40"/>
  <c r="I31" i="40" s="1"/>
  <c r="H27" i="40"/>
  <c r="I27" i="40" s="1"/>
  <c r="H23" i="40"/>
  <c r="I23" i="40" s="1"/>
  <c r="H19" i="40"/>
  <c r="I19" i="40" s="1"/>
  <c r="H15" i="40"/>
  <c r="I15" i="40" s="1"/>
  <c r="H11" i="40"/>
  <c r="I11" i="40" s="1"/>
  <c r="H20" i="40"/>
  <c r="I20" i="40" s="1"/>
  <c r="H30" i="40"/>
  <c r="I30" i="40" s="1"/>
  <c r="H26" i="40"/>
  <c r="I26" i="40" s="1"/>
  <c r="H22" i="40"/>
  <c r="I22" i="40" s="1"/>
  <c r="H18" i="40"/>
  <c r="I18" i="40" s="1"/>
  <c r="H14" i="40"/>
  <c r="I14" i="40" s="1"/>
  <c r="H10" i="40"/>
  <c r="I10" i="40" s="1"/>
  <c r="H32" i="40"/>
  <c r="I32" i="40" s="1"/>
  <c r="H24" i="40"/>
  <c r="I24" i="40" s="1"/>
  <c r="H12" i="40"/>
  <c r="I12" i="40" s="1"/>
  <c r="H29" i="40"/>
  <c r="I29" i="40" s="1"/>
  <c r="H25" i="40"/>
  <c r="I25" i="40" s="1"/>
  <c r="H21" i="40"/>
  <c r="I21" i="40" s="1"/>
  <c r="H17" i="40"/>
  <c r="I17" i="40" s="1"/>
  <c r="H13" i="40"/>
  <c r="I13" i="40" s="1"/>
  <c r="H9" i="40"/>
  <c r="I9" i="40" s="1"/>
  <c r="H28" i="40"/>
  <c r="I28" i="40" s="1"/>
  <c r="H16" i="40"/>
  <c r="I16" i="40" s="1"/>
  <c r="BB5" i="27" a="1"/>
  <c r="BE5" i="22" a="1"/>
  <c r="BC5" i="22" a="1"/>
  <c r="AW5" i="24" a="1"/>
  <c r="AZ5" i="25" a="1"/>
  <c r="AW5" i="25" a="1"/>
  <c r="BC5" i="24" a="1"/>
  <c r="AY5" i="28" a="1"/>
  <c r="BD5" i="28" a="1"/>
  <c r="BF5" i="28" a="1"/>
  <c r="BB5" i="26" a="1"/>
  <c r="AW5" i="27" a="1"/>
  <c r="BB5" i="25" a="1"/>
  <c r="BD5" i="22" a="1"/>
  <c r="BB5" i="24" a="1"/>
  <c r="AZ5" i="22" a="1"/>
  <c r="AZ5" i="26" a="1"/>
  <c r="BE5" i="25" a="1"/>
  <c r="BD5" i="27" a="1"/>
  <c r="AX5" i="26" a="1"/>
  <c r="BE5" i="24" a="1"/>
  <c r="BB5" i="28" a="1"/>
  <c r="BA5" i="28" a="1"/>
  <c r="AZ5" i="27" a="1"/>
  <c r="AX5" i="22" a="1"/>
  <c r="BE5" i="26" a="1"/>
  <c r="BD5" i="26" a="1"/>
  <c r="BE5" i="27" a="1"/>
  <c r="BA5" i="25" a="1"/>
  <c r="AW5" i="26" a="1"/>
  <c r="BC5" i="27" a="1"/>
  <c r="AZ5" i="24" a="1"/>
  <c r="BD5" i="24" a="1"/>
  <c r="BA5" i="26" a="1"/>
  <c r="BF5" i="22" a="1"/>
  <c r="AX5" i="27" a="1"/>
  <c r="AX5" i="25" a="1"/>
  <c r="AY5" i="26" a="1"/>
  <c r="BC5" i="28" a="1"/>
  <c r="AY5" i="27" a="1"/>
  <c r="BF5" i="27" a="1"/>
  <c r="BF5" i="25" a="1"/>
  <c r="AY5" i="25" a="1"/>
  <c r="AZ5" i="28" a="1"/>
  <c r="AY5" i="24" a="1"/>
  <c r="BA5" i="24" a="1"/>
  <c r="BD5" i="25" a="1"/>
  <c r="BE5" i="28" a="1"/>
  <c r="AW5" i="28" a="1"/>
  <c r="AW5" i="22" a="1"/>
  <c r="BA5" i="27" a="1"/>
  <c r="AX5" i="28" a="1"/>
  <c r="BC5" i="25" a="1"/>
  <c r="AY5" i="22" a="1"/>
  <c r="BF5" i="26" a="1"/>
  <c r="AX5" i="24" a="1"/>
  <c r="BA5" i="22" a="1"/>
  <c r="BC5" i="26" a="1"/>
  <c r="BB5" i="22" a="1"/>
  <c r="BQ52" i="37" l="1"/>
  <c r="BQ51" i="37"/>
  <c r="BQ49" i="37"/>
  <c r="BQ46" i="37"/>
  <c r="BQ47" i="37"/>
  <c r="BQ48" i="37"/>
  <c r="BQ50" i="37"/>
  <c r="BR52" i="40"/>
  <c r="BR48" i="40"/>
  <c r="BR49" i="40"/>
  <c r="BR47" i="40"/>
  <c r="BR50" i="40"/>
  <c r="BR46" i="40"/>
  <c r="BR51" i="40"/>
  <c r="BQ52" i="31"/>
  <c r="BQ46" i="31"/>
  <c r="BQ51" i="31"/>
  <c r="BQ49" i="31"/>
  <c r="BQ50" i="31"/>
  <c r="BQ48" i="31"/>
  <c r="BQ47" i="31"/>
  <c r="BR48" i="44"/>
  <c r="BR47" i="44"/>
  <c r="BR46" i="44"/>
  <c r="BR50" i="44"/>
  <c r="BR51" i="44"/>
  <c r="BR52" i="44"/>
  <c r="BR49" i="44"/>
  <c r="BQ52" i="32"/>
  <c r="BQ46" i="32"/>
  <c r="BQ51" i="32"/>
  <c r="BQ50" i="32"/>
  <c r="BQ47" i="32"/>
  <c r="BQ49" i="32"/>
  <c r="BQ48" i="32"/>
  <c r="BQ49" i="30"/>
  <c r="BQ52" i="30"/>
  <c r="BQ46" i="30"/>
  <c r="BQ48" i="30"/>
  <c r="BQ51" i="30"/>
  <c r="BQ47" i="30"/>
  <c r="BQ50" i="30"/>
  <c r="BR50" i="27"/>
  <c r="BR46" i="27"/>
  <c r="BR51" i="27"/>
  <c r="BR48" i="27"/>
  <c r="BR49" i="27"/>
  <c r="BR52" i="27"/>
  <c r="BR47" i="27"/>
  <c r="BR48" i="50"/>
  <c r="BR50" i="50"/>
  <c r="BR46" i="50"/>
  <c r="BR47" i="50"/>
  <c r="BR52" i="50"/>
  <c r="BR49" i="50"/>
  <c r="BR51" i="50"/>
  <c r="BR50" i="25"/>
  <c r="BR47" i="25"/>
  <c r="BR48" i="25"/>
  <c r="BR49" i="25"/>
  <c r="BR46" i="25"/>
  <c r="BR52" i="25"/>
  <c r="BR51" i="25"/>
  <c r="BR51" i="22"/>
  <c r="BR49" i="22"/>
  <c r="BR47" i="22"/>
  <c r="BR48" i="22"/>
  <c r="BR50" i="22"/>
  <c r="BR46" i="22"/>
  <c r="BR52" i="22"/>
  <c r="BR49" i="26"/>
  <c r="BR51" i="26"/>
  <c r="BR52" i="26"/>
  <c r="BR47" i="26"/>
  <c r="BR46" i="26"/>
  <c r="BR48" i="26"/>
  <c r="BR50" i="26"/>
  <c r="BR51" i="24"/>
  <c r="BR49" i="24"/>
  <c r="BR48" i="24"/>
  <c r="BR46" i="24"/>
  <c r="BR50" i="24"/>
  <c r="BR52" i="24"/>
  <c r="BR47" i="24"/>
  <c r="BQ43" i="32"/>
  <c r="BQ39" i="32"/>
  <c r="BQ38" i="32"/>
  <c r="BQ37" i="32"/>
  <c r="BQ35" i="32"/>
  <c r="BQ33" i="32"/>
  <c r="BQ41" i="32"/>
  <c r="BQ42" i="32"/>
  <c r="BQ36" i="32"/>
  <c r="BQ44" i="32"/>
  <c r="BQ45" i="32"/>
  <c r="BQ34" i="32"/>
  <c r="BQ40" i="32"/>
  <c r="BQ43" i="30"/>
  <c r="BQ40" i="30"/>
  <c r="BQ39" i="30"/>
  <c r="BQ35" i="30"/>
  <c r="BQ42" i="30"/>
  <c r="BQ36" i="30"/>
  <c r="BQ45" i="30"/>
  <c r="BQ38" i="30"/>
  <c r="BQ41" i="30"/>
  <c r="BQ44" i="30"/>
  <c r="BQ37" i="30"/>
  <c r="BQ33" i="30"/>
  <c r="BQ34" i="30"/>
  <c r="BR33" i="27"/>
  <c r="BR42" i="27"/>
  <c r="BR41" i="27"/>
  <c r="BR36" i="27"/>
  <c r="BR44" i="27"/>
  <c r="BR39" i="27"/>
  <c r="BR45" i="27"/>
  <c r="BR35" i="27"/>
  <c r="BR37" i="27"/>
  <c r="BR38" i="27"/>
  <c r="BR40" i="27"/>
  <c r="BR43" i="27"/>
  <c r="BR34" i="27"/>
  <c r="BR43" i="50"/>
  <c r="BR41" i="50"/>
  <c r="BR35" i="50"/>
  <c r="BR38" i="50"/>
  <c r="BR33" i="50"/>
  <c r="BR42" i="50"/>
  <c r="BR44" i="50"/>
  <c r="BR45" i="50"/>
  <c r="BR36" i="50"/>
  <c r="BR34" i="50"/>
  <c r="BR40" i="50"/>
  <c r="BR37" i="50"/>
  <c r="BR39" i="50"/>
  <c r="BR50" i="29"/>
  <c r="BR48" i="29"/>
  <c r="BR49" i="29"/>
  <c r="BR51" i="29"/>
  <c r="BR46" i="29"/>
  <c r="BR52" i="29"/>
  <c r="BR47" i="29"/>
  <c r="BR44" i="25"/>
  <c r="BR39" i="25"/>
  <c r="BR33" i="25"/>
  <c r="BR41" i="25"/>
  <c r="BR36" i="25"/>
  <c r="BR42" i="25"/>
  <c r="BR35" i="25"/>
  <c r="BR37" i="25"/>
  <c r="BR38" i="25"/>
  <c r="BR34" i="25"/>
  <c r="BR40" i="25"/>
  <c r="BR43" i="25"/>
  <c r="BR45" i="25"/>
  <c r="BR37" i="22"/>
  <c r="BR35" i="22"/>
  <c r="BR43" i="22"/>
  <c r="BR41" i="22"/>
  <c r="BR44" i="22"/>
  <c r="BR34" i="22"/>
  <c r="BR36" i="22"/>
  <c r="BR38" i="22"/>
  <c r="BR42" i="22"/>
  <c r="BR40" i="22"/>
  <c r="BR45" i="22"/>
  <c r="BR33" i="22"/>
  <c r="BR39" i="22"/>
  <c r="BR39" i="26"/>
  <c r="BR44" i="26"/>
  <c r="BR36" i="26"/>
  <c r="BR42" i="26"/>
  <c r="BR40" i="26"/>
  <c r="BR45" i="26"/>
  <c r="BR33" i="26"/>
  <c r="BR41" i="26"/>
  <c r="BR34" i="26"/>
  <c r="BR35" i="26"/>
  <c r="BR37" i="26"/>
  <c r="BR43" i="26"/>
  <c r="BR38" i="26"/>
  <c r="BR41" i="24"/>
  <c r="BR36" i="24"/>
  <c r="BR33" i="24"/>
  <c r="BR34" i="24"/>
  <c r="BR45" i="24"/>
  <c r="BR38" i="24"/>
  <c r="BR35" i="24"/>
  <c r="BR37" i="24"/>
  <c r="BR39" i="24"/>
  <c r="BR43" i="24"/>
  <c r="BR44" i="24"/>
  <c r="BR40" i="24"/>
  <c r="BR42" i="24"/>
  <c r="BR42" i="40"/>
  <c r="BR43" i="40"/>
  <c r="BR45" i="40"/>
  <c r="BR41" i="40"/>
  <c r="BR44" i="40"/>
  <c r="BR35" i="40"/>
  <c r="BR33" i="40"/>
  <c r="BR38" i="40"/>
  <c r="BR34" i="40"/>
  <c r="BR36" i="40"/>
  <c r="BR37" i="40"/>
  <c r="BR39" i="40"/>
  <c r="BR40" i="40"/>
  <c r="BQ37" i="31"/>
  <c r="BQ35" i="31"/>
  <c r="BQ39" i="31"/>
  <c r="BQ44" i="31"/>
  <c r="BQ41" i="31"/>
  <c r="BQ33" i="31"/>
  <c r="BQ43" i="31"/>
  <c r="BQ45" i="31"/>
  <c r="BQ34" i="31"/>
  <c r="BQ36" i="31"/>
  <c r="BQ38" i="31"/>
  <c r="BQ40" i="31"/>
  <c r="BQ42" i="31"/>
  <c r="BR42" i="44"/>
  <c r="BR45" i="44"/>
  <c r="BR41" i="44"/>
  <c r="BR34" i="44"/>
  <c r="BR44" i="44"/>
  <c r="BR37" i="44"/>
  <c r="BR39" i="44"/>
  <c r="BR38" i="44"/>
  <c r="BR43" i="44"/>
  <c r="BR40" i="44"/>
  <c r="BR33" i="44"/>
  <c r="BR35" i="44"/>
  <c r="BR36" i="44"/>
  <c r="BQ33" i="37"/>
  <c r="BQ42" i="37"/>
  <c r="BQ37" i="37"/>
  <c r="BQ43" i="37"/>
  <c r="BQ40" i="37"/>
  <c r="BQ39" i="37"/>
  <c r="BQ34" i="37"/>
  <c r="BQ45" i="37"/>
  <c r="BQ44" i="37"/>
  <c r="BQ35" i="37"/>
  <c r="BQ36" i="37"/>
  <c r="BQ38" i="37"/>
  <c r="BQ41" i="37"/>
  <c r="BR43" i="29"/>
  <c r="BR33" i="29"/>
  <c r="BR40" i="29"/>
  <c r="BR38" i="29"/>
  <c r="BR36" i="29"/>
  <c r="BR37" i="29"/>
  <c r="BR42" i="29"/>
  <c r="BR41" i="29"/>
  <c r="BR35" i="29"/>
  <c r="BR44" i="29"/>
  <c r="BR39" i="29"/>
  <c r="BR34" i="29"/>
  <c r="BR45" i="29"/>
  <c r="BR8" i="27"/>
  <c r="BR8" i="44"/>
  <c r="BR8" i="40"/>
  <c r="BQ8" i="37"/>
  <c r="BR9" i="50"/>
  <c r="BR10" i="50"/>
  <c r="BR23" i="50"/>
  <c r="BR18" i="50"/>
  <c r="BR32" i="50"/>
  <c r="BR13" i="50"/>
  <c r="BR14" i="50"/>
  <c r="BR30" i="50"/>
  <c r="BR27" i="50"/>
  <c r="BR11" i="50"/>
  <c r="BR12" i="50"/>
  <c r="BR21" i="50"/>
  <c r="BR31" i="50"/>
  <c r="BR26" i="50"/>
  <c r="BR25" i="50"/>
  <c r="BR19" i="50"/>
  <c r="BR20" i="50"/>
  <c r="BR17" i="50"/>
  <c r="BR28" i="50"/>
  <c r="BR22" i="50"/>
  <c r="BR29" i="50"/>
  <c r="BR8" i="50"/>
  <c r="BR24" i="50"/>
  <c r="BR16" i="50"/>
  <c r="BR15" i="50"/>
  <c r="BS3" i="50"/>
  <c r="BS53" i="50" s="1"/>
  <c r="BS4" i="29"/>
  <c r="BS4" i="50"/>
  <c r="BS4" i="27"/>
  <c r="BS4" i="40"/>
  <c r="BS4" i="44"/>
  <c r="BR4" i="37"/>
  <c r="BS4" i="26"/>
  <c r="BS4" i="28"/>
  <c r="BS4" i="22"/>
  <c r="BR4" i="32"/>
  <c r="BR4" i="31"/>
  <c r="BS4" i="25"/>
  <c r="BS4" i="24"/>
  <c r="BR4" i="30"/>
  <c r="BQ27" i="32"/>
  <c r="BQ12" i="32"/>
  <c r="BQ15" i="32"/>
  <c r="BQ23" i="32"/>
  <c r="BQ11" i="32"/>
  <c r="BQ30" i="32"/>
  <c r="BQ20" i="32"/>
  <c r="BQ16" i="32"/>
  <c r="BQ26" i="32"/>
  <c r="BQ31" i="32"/>
  <c r="BQ24" i="32"/>
  <c r="BQ28" i="32"/>
  <c r="BQ10" i="32"/>
  <c r="BQ14" i="32"/>
  <c r="BQ32" i="32"/>
  <c r="BQ25" i="32"/>
  <c r="BQ18" i="32"/>
  <c r="BQ19" i="32"/>
  <c r="BQ29" i="32"/>
  <c r="BQ13" i="32"/>
  <c r="BQ9" i="32"/>
  <c r="BQ8" i="32"/>
  <c r="BQ22" i="32"/>
  <c r="BQ17" i="32"/>
  <c r="BQ21" i="32"/>
  <c r="BR8" i="22"/>
  <c r="BR8" i="25"/>
  <c r="BR46" i="28"/>
  <c r="BR48" i="28"/>
  <c r="BR47" i="28"/>
  <c r="BR3" i="37"/>
  <c r="BR53" i="37" s="1"/>
  <c r="BS3" i="28"/>
  <c r="BS3" i="40"/>
  <c r="BS53" i="40" s="1"/>
  <c r="BS3" i="27"/>
  <c r="BS53" i="27" s="1"/>
  <c r="BS3" i="44"/>
  <c r="BS53" i="44" s="1"/>
  <c r="BS3" i="29"/>
  <c r="BS53" i="29" s="1"/>
  <c r="BS3" i="26"/>
  <c r="BS53" i="26" s="1"/>
  <c r="BR3" i="31"/>
  <c r="BR53" i="31" s="1"/>
  <c r="BS3" i="25"/>
  <c r="BS53" i="25" s="1"/>
  <c r="BS3" i="24"/>
  <c r="BS53" i="24" s="1"/>
  <c r="BR3" i="30"/>
  <c r="BR53" i="30" s="1"/>
  <c r="BS3" i="22"/>
  <c r="BS53" i="22" s="1"/>
  <c r="BR3" i="32"/>
  <c r="BR53" i="32" s="1"/>
  <c r="I31" i="22"/>
  <c r="I29" i="22"/>
  <c r="I30" i="22"/>
  <c r="I32" i="22"/>
  <c r="I28" i="22"/>
  <c r="H27" i="25"/>
  <c r="I27" i="25" s="1"/>
  <c r="H26" i="25"/>
  <c r="I26" i="25" s="1"/>
  <c r="H25" i="25"/>
  <c r="I25" i="25" s="1"/>
  <c r="H24" i="25"/>
  <c r="I24" i="25" s="1"/>
  <c r="H23" i="25"/>
  <c r="I23" i="25" s="1"/>
  <c r="H22" i="25"/>
  <c r="I22" i="25" s="1"/>
  <c r="H21" i="25"/>
  <c r="I21" i="25" s="1"/>
  <c r="H20" i="25"/>
  <c r="I20" i="25" s="1"/>
  <c r="H19" i="25"/>
  <c r="I19" i="25" s="1"/>
  <c r="H18" i="25"/>
  <c r="I18" i="25" s="1"/>
  <c r="H17" i="25"/>
  <c r="I17" i="25" s="1"/>
  <c r="H16" i="25"/>
  <c r="I16" i="25" s="1"/>
  <c r="H15" i="25"/>
  <c r="I15" i="25" s="1"/>
  <c r="H14" i="25"/>
  <c r="I14" i="25" s="1"/>
  <c r="H13" i="25"/>
  <c r="I13" i="25" s="1"/>
  <c r="H12" i="25"/>
  <c r="I12" i="25" s="1"/>
  <c r="H11" i="25"/>
  <c r="I11" i="25" s="1"/>
  <c r="H10" i="25"/>
  <c r="I10" i="25" s="1"/>
  <c r="H9" i="25"/>
  <c r="I9" i="25" s="1"/>
  <c r="H27" i="24"/>
  <c r="I27" i="24" s="1"/>
  <c r="H26" i="24"/>
  <c r="I26" i="24" s="1"/>
  <c r="H25" i="24"/>
  <c r="I25" i="24" s="1"/>
  <c r="H24" i="24"/>
  <c r="I24" i="24" s="1"/>
  <c r="H23" i="24"/>
  <c r="I23" i="24" s="1"/>
  <c r="H22" i="24"/>
  <c r="I22" i="24" s="1"/>
  <c r="H21" i="24"/>
  <c r="I21" i="24" s="1"/>
  <c r="H20" i="24"/>
  <c r="I20" i="24" s="1"/>
  <c r="H19" i="24"/>
  <c r="I19" i="24" s="1"/>
  <c r="H18" i="24"/>
  <c r="I18" i="24" s="1"/>
  <c r="H17" i="24"/>
  <c r="I17" i="24" s="1"/>
  <c r="H16" i="24"/>
  <c r="I16" i="24" s="1"/>
  <c r="H15" i="24"/>
  <c r="I15" i="24" s="1"/>
  <c r="H14" i="24"/>
  <c r="I14" i="24" s="1"/>
  <c r="H13" i="24"/>
  <c r="I13" i="24" s="1"/>
  <c r="H12" i="24"/>
  <c r="I12" i="24" s="1"/>
  <c r="H11" i="24"/>
  <c r="I11" i="24" s="1"/>
  <c r="H10" i="24"/>
  <c r="I10" i="24" s="1"/>
  <c r="H9" i="24"/>
  <c r="I9" i="24" s="1"/>
  <c r="H8" i="24"/>
  <c r="I8" i="24" s="1"/>
  <c r="I27" i="22"/>
  <c r="I26" i="22"/>
  <c r="I25" i="22"/>
  <c r="I24" i="22"/>
  <c r="I23" i="22"/>
  <c r="I22" i="22"/>
  <c r="I21" i="22"/>
  <c r="I20" i="22"/>
  <c r="I19" i="22"/>
  <c r="I18" i="22"/>
  <c r="I17" i="22"/>
  <c r="I16" i="22"/>
  <c r="I15" i="22"/>
  <c r="I14" i="22"/>
  <c r="H13" i="22"/>
  <c r="I13" i="22" s="1"/>
  <c r="H12" i="22"/>
  <c r="I12" i="22" s="1"/>
  <c r="H11" i="22"/>
  <c r="I11" i="22" s="1"/>
  <c r="H10" i="22"/>
  <c r="I10" i="22" s="1"/>
  <c r="H9" i="22"/>
  <c r="I9" i="22" s="1"/>
  <c r="AO5" i="25" a="1"/>
  <c r="AN5" i="28" a="1"/>
  <c r="AR5" i="25" a="1"/>
  <c r="U5" i="25" a="1"/>
  <c r="AN5" i="26" a="1"/>
  <c r="AL5" i="27" a="1"/>
  <c r="AC5" i="27" a="1"/>
  <c r="AV5" i="26" a="1"/>
  <c r="AD5" i="22" a="1"/>
  <c r="AM5" i="26" a="1"/>
  <c r="Z5" i="22" a="1"/>
  <c r="S5" i="22" a="1"/>
  <c r="AO5" i="27" a="1"/>
  <c r="AT5" i="26" a="1"/>
  <c r="AR5" i="24" a="1"/>
  <c r="AA5" i="24" a="1"/>
  <c r="T5" i="27" a="1"/>
  <c r="AD5" i="26" a="1"/>
  <c r="V5" i="25" a="1"/>
  <c r="AF5" i="28" a="1"/>
  <c r="T5" i="22" a="1"/>
  <c r="AO5" i="26" a="1"/>
  <c r="AE5" i="25" a="1"/>
  <c r="AQ5" i="26" a="1"/>
  <c r="AQ5" i="27" a="1"/>
  <c r="AB5" i="24" a="1"/>
  <c r="AL5" i="22" a="1"/>
  <c r="AD5" i="27" a="1"/>
  <c r="AN5" i="25" a="1"/>
  <c r="X5" i="27" a="1"/>
  <c r="R5" i="22" a="1"/>
  <c r="AU5" i="28" a="1"/>
  <c r="AC5" i="25" a="1"/>
  <c r="AO5" i="28" a="1"/>
  <c r="AF5" i="24" a="1"/>
  <c r="AR5" i="27" a="1"/>
  <c r="AF5" i="26" a="1"/>
  <c r="AF5" i="27" a="1"/>
  <c r="U5" i="26" a="1"/>
  <c r="AT5" i="27" a="1"/>
  <c r="AG5" i="22" a="1"/>
  <c r="AR5" i="26" a="1"/>
  <c r="AA5" i="22" a="1"/>
  <c r="AI5" i="25" a="1"/>
  <c r="AG5" i="27" a="1"/>
  <c r="AD5" i="24" a="1"/>
  <c r="AU5" i="27" a="1"/>
  <c r="AU5" i="25" a="1"/>
  <c r="V5" i="22" a="1"/>
  <c r="AI5" i="24" a="1"/>
  <c r="AJ5" i="22" a="1"/>
  <c r="S5" i="25" a="1"/>
  <c r="AG5" i="26" a="1"/>
  <c r="Y5" i="26" a="1"/>
  <c r="AO5" i="24" a="1"/>
  <c r="AC5" i="24" a="1"/>
  <c r="AO5" i="22" a="1"/>
  <c r="AE5" i="28" a="1"/>
  <c r="AP5" i="27" a="1"/>
  <c r="W5" i="24" a="1"/>
  <c r="AB5" i="22" a="1"/>
  <c r="AH5" i="26" a="1"/>
  <c r="AJ5" i="28" a="1"/>
  <c r="X5" i="26" a="1"/>
  <c r="U5" i="24" a="1"/>
  <c r="AK5" i="26" a="1"/>
  <c r="Y5" i="27" a="1"/>
  <c r="AH5" i="28" a="1"/>
  <c r="AG5" i="24" a="1"/>
  <c r="Y5" i="28" a="1"/>
  <c r="AE5" i="22" a="1"/>
  <c r="AV5" i="24" a="1"/>
  <c r="AM5" i="28" a="1"/>
  <c r="AN5" i="22" a="1"/>
  <c r="AL5" i="28" a="1"/>
  <c r="AK5" i="27" a="1"/>
  <c r="AS5" i="28" a="1"/>
  <c r="AS5" i="22" a="1"/>
  <c r="AE5" i="26" a="1"/>
  <c r="AE5" i="27" a="1"/>
  <c r="T5" i="24" a="1"/>
  <c r="AK5" i="24" a="1"/>
  <c r="W5" i="26" a="1"/>
  <c r="R5" i="26" a="1"/>
  <c r="AQ5" i="28" a="1"/>
  <c r="AK5" i="25" a="1"/>
  <c r="AM5" i="25" a="1"/>
  <c r="AS5" i="27" a="1"/>
  <c r="W5" i="28" a="1"/>
  <c r="Z5" i="27" a="1"/>
  <c r="AP5" i="26" a="1"/>
  <c r="AE5" i="24" a="1"/>
  <c r="AI5" i="28" a="1"/>
  <c r="W5" i="25" a="1"/>
  <c r="AB5" i="28" a="1"/>
  <c r="AS5" i="24" a="1"/>
  <c r="R5" i="27" a="1"/>
  <c r="U5" i="28" a="1"/>
  <c r="AH5" i="27" a="1"/>
  <c r="R5" i="28" a="1"/>
  <c r="S5" i="24" a="1"/>
  <c r="AP5" i="25" a="1"/>
  <c r="AR5" i="28" a="1"/>
  <c r="AG5" i="25" a="1"/>
  <c r="AI5" i="27" a="1"/>
  <c r="AL5" i="26" a="1"/>
  <c r="AQ5" i="22" a="1"/>
  <c r="AC5" i="28" a="1"/>
  <c r="T5" i="26" a="1"/>
  <c r="AQ5" i="25" a="1"/>
  <c r="AH5" i="22" a="1"/>
  <c r="AJ5" i="26" a="1"/>
  <c r="AB5" i="26" a="1"/>
  <c r="AD5" i="25" a="1"/>
  <c r="AN5" i="24" a="1"/>
  <c r="U5" i="22" a="1"/>
  <c r="R5" i="24" a="1"/>
  <c r="AS5" i="26" a="1"/>
  <c r="AP5" i="22" a="1"/>
  <c r="Y5" i="22" a="1"/>
  <c r="AH5" i="24" a="1"/>
  <c r="AA5" i="28" a="1"/>
  <c r="AV5" i="28" a="1"/>
  <c r="AU5" i="22" a="1"/>
  <c r="AI5" i="26" a="1"/>
  <c r="X5" i="24" a="1"/>
  <c r="R5" i="25" a="1"/>
  <c r="AG5" i="28" a="1"/>
  <c r="X5" i="28" a="1"/>
  <c r="AH5" i="25" a="1"/>
  <c r="AD5" i="28" a="1"/>
  <c r="AT5" i="24" a="1"/>
  <c r="AC5" i="22" a="1"/>
  <c r="W5" i="27" a="1"/>
  <c r="AA5" i="27" a="1"/>
  <c r="AT5" i="28" a="1"/>
  <c r="V5" i="26" a="1"/>
  <c r="S5" i="26" a="1"/>
  <c r="T5" i="25" a="1"/>
  <c r="V5" i="27" a="1"/>
  <c r="W5" i="22" a="1"/>
  <c r="V5" i="24" a="1"/>
  <c r="Z5" i="25" a="1"/>
  <c r="AF5" i="25" a="1"/>
  <c r="AT5" i="25" a="1"/>
  <c r="AK5" i="22" a="1"/>
  <c r="Z5" i="26" a="1"/>
  <c r="AN5" i="27" a="1"/>
  <c r="AP5" i="24" a="1"/>
  <c r="X5" i="22" a="1"/>
  <c r="AB5" i="27" a="1"/>
  <c r="AQ5" i="24" a="1"/>
  <c r="AB5" i="25" a="1"/>
  <c r="AV5" i="25" a="1"/>
  <c r="AI5" i="22" a="1"/>
  <c r="U5" i="27" a="1"/>
  <c r="AU5" i="26" a="1"/>
  <c r="AM5" i="24" a="1"/>
  <c r="AJ5" i="27" a="1"/>
  <c r="Y5" i="24" a="1"/>
  <c r="AA5" i="25" a="1"/>
  <c r="AJ5" i="25" a="1"/>
  <c r="AF5" i="22" a="1"/>
  <c r="Y5" i="25" a="1"/>
  <c r="AC5" i="26" a="1"/>
  <c r="AS5" i="25" a="1"/>
  <c r="AM5" i="22" a="1"/>
  <c r="S5" i="28" a="1"/>
  <c r="AJ5" i="24" a="1"/>
  <c r="AV5" i="22" a="1"/>
  <c r="AA5" i="26" a="1"/>
  <c r="S5" i="27" a="1"/>
  <c r="AU5" i="24" a="1"/>
  <c r="V5" i="28" a="1"/>
  <c r="AM5" i="27" a="1"/>
  <c r="AL5" i="25" a="1"/>
  <c r="X5" i="25" a="1"/>
  <c r="T5" i="28" a="1"/>
  <c r="AT5" i="22" a="1"/>
  <c r="AV5" i="27" a="1"/>
  <c r="AR5" i="22" a="1"/>
  <c r="AP5" i="28" a="1"/>
  <c r="Z5" i="24" a="1"/>
  <c r="AK5" i="28" a="1"/>
  <c r="Z5" i="28" a="1"/>
  <c r="AL5" i="24" a="1"/>
  <c r="BR47" i="37" l="1"/>
  <c r="BR50" i="37"/>
  <c r="BR46" i="37"/>
  <c r="BR51" i="37"/>
  <c r="BR52" i="37"/>
  <c r="BR48" i="37"/>
  <c r="BR49" i="37"/>
  <c r="BS48" i="40"/>
  <c r="BS50" i="40"/>
  <c r="BS52" i="40"/>
  <c r="BS51" i="40"/>
  <c r="BS49" i="40"/>
  <c r="BS47" i="40"/>
  <c r="BS46" i="40"/>
  <c r="BR48" i="32"/>
  <c r="BR50" i="32"/>
  <c r="BR49" i="32"/>
  <c r="BR46" i="32"/>
  <c r="BR47" i="32"/>
  <c r="BR51" i="32"/>
  <c r="BR52" i="32"/>
  <c r="BS51" i="25"/>
  <c r="BS47" i="25"/>
  <c r="BS48" i="25"/>
  <c r="BS46" i="25"/>
  <c r="BS49" i="25"/>
  <c r="BS50" i="25"/>
  <c r="BS52" i="25"/>
  <c r="BS49" i="44"/>
  <c r="BS52" i="44"/>
  <c r="BS50" i="44"/>
  <c r="BS47" i="44"/>
  <c r="BS46" i="44"/>
  <c r="BS48" i="44"/>
  <c r="BS51" i="44"/>
  <c r="BS47" i="22"/>
  <c r="BS48" i="22"/>
  <c r="BS50" i="22"/>
  <c r="BS49" i="22"/>
  <c r="BS52" i="22"/>
  <c r="BS51" i="22"/>
  <c r="BS46" i="22"/>
  <c r="BR50" i="31"/>
  <c r="BR51" i="31"/>
  <c r="BR47" i="31"/>
  <c r="BR48" i="31"/>
  <c r="BR49" i="31"/>
  <c r="BR46" i="31"/>
  <c r="BR52" i="31"/>
  <c r="BS50" i="27"/>
  <c r="BS47" i="27"/>
  <c r="BS49" i="27"/>
  <c r="BS48" i="27"/>
  <c r="BS46" i="27"/>
  <c r="BS51" i="27"/>
  <c r="BS52" i="27"/>
  <c r="BS52" i="50"/>
  <c r="BS51" i="50"/>
  <c r="BS46" i="50"/>
  <c r="BS48" i="50"/>
  <c r="BS47" i="50"/>
  <c r="BS50" i="50"/>
  <c r="BS49" i="50"/>
  <c r="BR46" i="30"/>
  <c r="BR50" i="30"/>
  <c r="BR48" i="30"/>
  <c r="BR51" i="30"/>
  <c r="BR47" i="30"/>
  <c r="BR49" i="30"/>
  <c r="BR52" i="30"/>
  <c r="BS48" i="26"/>
  <c r="BS46" i="26"/>
  <c r="BS47" i="26"/>
  <c r="BS51" i="26"/>
  <c r="BS49" i="26"/>
  <c r="BS50" i="26"/>
  <c r="BS52" i="26"/>
  <c r="BS51" i="24"/>
  <c r="BS47" i="24"/>
  <c r="BS50" i="24"/>
  <c r="BS52" i="24"/>
  <c r="BS49" i="24"/>
  <c r="BS48" i="24"/>
  <c r="BS46" i="24"/>
  <c r="BS34" i="22"/>
  <c r="BS36" i="22"/>
  <c r="BS38" i="22"/>
  <c r="BS37" i="22"/>
  <c r="BS33" i="22"/>
  <c r="BS42" i="22"/>
  <c r="BS41" i="22"/>
  <c r="BS45" i="22"/>
  <c r="BS35" i="22"/>
  <c r="BS44" i="22"/>
  <c r="BS39" i="22"/>
  <c r="BS40" i="22"/>
  <c r="BS43" i="22"/>
  <c r="BR34" i="31"/>
  <c r="BR36" i="31"/>
  <c r="BR37" i="31"/>
  <c r="BR41" i="31"/>
  <c r="BR42" i="31"/>
  <c r="BR43" i="31"/>
  <c r="BR45" i="31"/>
  <c r="BR35" i="31"/>
  <c r="BR39" i="31"/>
  <c r="BR38" i="31"/>
  <c r="BR33" i="31"/>
  <c r="BR40" i="31"/>
  <c r="BR44" i="31"/>
  <c r="BS43" i="27"/>
  <c r="BS34" i="27"/>
  <c r="BS44" i="27"/>
  <c r="BS45" i="27"/>
  <c r="BS35" i="27"/>
  <c r="BS42" i="27"/>
  <c r="BS38" i="27"/>
  <c r="BS41" i="27"/>
  <c r="BS40" i="27"/>
  <c r="BS33" i="27"/>
  <c r="BS36" i="27"/>
  <c r="BS39" i="27"/>
  <c r="BS37" i="27"/>
  <c r="BS45" i="50"/>
  <c r="BS39" i="50"/>
  <c r="BS33" i="50"/>
  <c r="BS37" i="50"/>
  <c r="BS41" i="50"/>
  <c r="BS35" i="50"/>
  <c r="BS38" i="50"/>
  <c r="BS40" i="50"/>
  <c r="BS36" i="50"/>
  <c r="BS34" i="50"/>
  <c r="BS42" i="50"/>
  <c r="BS44" i="50"/>
  <c r="BS43" i="50"/>
  <c r="BR34" i="30"/>
  <c r="BR42" i="30"/>
  <c r="BR40" i="30"/>
  <c r="BR33" i="30"/>
  <c r="BR41" i="30"/>
  <c r="BR44" i="30"/>
  <c r="BR45" i="30"/>
  <c r="BR39" i="30"/>
  <c r="BR43" i="30"/>
  <c r="BR38" i="30"/>
  <c r="BR35" i="30"/>
  <c r="BR36" i="30"/>
  <c r="BR37" i="30"/>
  <c r="BS44" i="26"/>
  <c r="BS42" i="26"/>
  <c r="BS40" i="26"/>
  <c r="BS33" i="26"/>
  <c r="BS34" i="26"/>
  <c r="BS39" i="26"/>
  <c r="BS43" i="26"/>
  <c r="BS37" i="26"/>
  <c r="BS36" i="26"/>
  <c r="BS35" i="26"/>
  <c r="BS45" i="26"/>
  <c r="BS38" i="26"/>
  <c r="BS41" i="26"/>
  <c r="BS34" i="40"/>
  <c r="BS40" i="40"/>
  <c r="BS36" i="40"/>
  <c r="BS37" i="40"/>
  <c r="BS33" i="40"/>
  <c r="BS42" i="40"/>
  <c r="BS39" i="40"/>
  <c r="BS35" i="40"/>
  <c r="BS41" i="40"/>
  <c r="BS43" i="40"/>
  <c r="BS44" i="40"/>
  <c r="BS38" i="40"/>
  <c r="BS45" i="40"/>
  <c r="BS42" i="24"/>
  <c r="BS37" i="24"/>
  <c r="BS35" i="24"/>
  <c r="BS39" i="24"/>
  <c r="BS36" i="24"/>
  <c r="BS44" i="24"/>
  <c r="BS43" i="24"/>
  <c r="BS45" i="24"/>
  <c r="BS40" i="24"/>
  <c r="BS33" i="24"/>
  <c r="BS34" i="24"/>
  <c r="BS38" i="24"/>
  <c r="BS41" i="24"/>
  <c r="BS49" i="29"/>
  <c r="BS47" i="29"/>
  <c r="BS51" i="29"/>
  <c r="BS46" i="29"/>
  <c r="BS52" i="29"/>
  <c r="BS48" i="29"/>
  <c r="BS50" i="29"/>
  <c r="BR37" i="32"/>
  <c r="BR33" i="32"/>
  <c r="BR36" i="32"/>
  <c r="BR34" i="32"/>
  <c r="BR40" i="32"/>
  <c r="BR45" i="32"/>
  <c r="BR42" i="32"/>
  <c r="BR43" i="32"/>
  <c r="BR44" i="32"/>
  <c r="BR41" i="32"/>
  <c r="BR38" i="32"/>
  <c r="BR35" i="32"/>
  <c r="BR39" i="32"/>
  <c r="BS45" i="25"/>
  <c r="BS39" i="25"/>
  <c r="BS41" i="25"/>
  <c r="BS43" i="25"/>
  <c r="BS37" i="25"/>
  <c r="BS34" i="25"/>
  <c r="BS36" i="25"/>
  <c r="BS42" i="25"/>
  <c r="BS35" i="25"/>
  <c r="BS33" i="25"/>
  <c r="BS38" i="25"/>
  <c r="BS40" i="25"/>
  <c r="BS44" i="25"/>
  <c r="BS39" i="44"/>
  <c r="BS40" i="44"/>
  <c r="BS45" i="44"/>
  <c r="BS35" i="44"/>
  <c r="BS41" i="44"/>
  <c r="BS34" i="44"/>
  <c r="BS33" i="44"/>
  <c r="BS43" i="44"/>
  <c r="BS42" i="44"/>
  <c r="BS37" i="44"/>
  <c r="BS38" i="44"/>
  <c r="BS44" i="44"/>
  <c r="BS36" i="44"/>
  <c r="BR33" i="37"/>
  <c r="BR39" i="37"/>
  <c r="BR45" i="37"/>
  <c r="BR44" i="37"/>
  <c r="BR34" i="37"/>
  <c r="BR35" i="37"/>
  <c r="BR36" i="37"/>
  <c r="BR37" i="37"/>
  <c r="BR42" i="37"/>
  <c r="BR43" i="37"/>
  <c r="BR38" i="37"/>
  <c r="BR40" i="37"/>
  <c r="BR41" i="37"/>
  <c r="BS41" i="29"/>
  <c r="BS39" i="29"/>
  <c r="BS38" i="29"/>
  <c r="BS44" i="29"/>
  <c r="BS42" i="29"/>
  <c r="BS33" i="29"/>
  <c r="BS40" i="29"/>
  <c r="BS35" i="29"/>
  <c r="BS36" i="29"/>
  <c r="BS34" i="29"/>
  <c r="BS37" i="29"/>
  <c r="BS45" i="29"/>
  <c r="BS43" i="29"/>
  <c r="BS8" i="27"/>
  <c r="BS8" i="44"/>
  <c r="BS8" i="40"/>
  <c r="BR8" i="37"/>
  <c r="BS9" i="50"/>
  <c r="BS15" i="50"/>
  <c r="BS28" i="50"/>
  <c r="BS12" i="50"/>
  <c r="BS18" i="50"/>
  <c r="BS30" i="50"/>
  <c r="BS19" i="50"/>
  <c r="BS20" i="50"/>
  <c r="BS17" i="50"/>
  <c r="BS31" i="50"/>
  <c r="BS11" i="50"/>
  <c r="BS29" i="50"/>
  <c r="BS32" i="50"/>
  <c r="BS16" i="50"/>
  <c r="BS23" i="50"/>
  <c r="BS10" i="50"/>
  <c r="BS8" i="50"/>
  <c r="BS21" i="50"/>
  <c r="BS24" i="50"/>
  <c r="BS22" i="50"/>
  <c r="BS14" i="50"/>
  <c r="BS13" i="50"/>
  <c r="BS27" i="50"/>
  <c r="BS26" i="50"/>
  <c r="BS25" i="50"/>
  <c r="BT3" i="50"/>
  <c r="BT53" i="50" s="1"/>
  <c r="BT4" i="29"/>
  <c r="BT4" i="50"/>
  <c r="BT4" i="40"/>
  <c r="BT4" i="44"/>
  <c r="BS4" i="37"/>
  <c r="BT4" i="26"/>
  <c r="BT4" i="28"/>
  <c r="BT4" i="27"/>
  <c r="BS4" i="31"/>
  <c r="BT4" i="25"/>
  <c r="BT4" i="24"/>
  <c r="BT4" i="22"/>
  <c r="BS4" i="32"/>
  <c r="BS4" i="30"/>
  <c r="BR22" i="32"/>
  <c r="BR10" i="32"/>
  <c r="BR28" i="32"/>
  <c r="BR18" i="32"/>
  <c r="BR15" i="32"/>
  <c r="BR16" i="32"/>
  <c r="BR11" i="32"/>
  <c r="BR19" i="32"/>
  <c r="BR12" i="32"/>
  <c r="BR25" i="32"/>
  <c r="BR27" i="32"/>
  <c r="BR32" i="32"/>
  <c r="BR9" i="32"/>
  <c r="BR21" i="32"/>
  <c r="BR14" i="32"/>
  <c r="BR24" i="32"/>
  <c r="BR30" i="32"/>
  <c r="BR20" i="32"/>
  <c r="BR17" i="32"/>
  <c r="BR13" i="32"/>
  <c r="BR26" i="32"/>
  <c r="BR23" i="32"/>
  <c r="BR8" i="32"/>
  <c r="BR31" i="32"/>
  <c r="BR29" i="32"/>
  <c r="BS8" i="22"/>
  <c r="BS8" i="25"/>
  <c r="BS47" i="28"/>
  <c r="BS46" i="28"/>
  <c r="BS48" i="28"/>
  <c r="BS3" i="31"/>
  <c r="BS53" i="31" s="1"/>
  <c r="BS3" i="30"/>
  <c r="BS53" i="30" s="1"/>
  <c r="BT3" i="40"/>
  <c r="BT53" i="40" s="1"/>
  <c r="BS3" i="37"/>
  <c r="BS53" i="37" s="1"/>
  <c r="BT3" i="28"/>
  <c r="BT3" i="27"/>
  <c r="BT53" i="27" s="1"/>
  <c r="BT3" i="29"/>
  <c r="BT53" i="29" s="1"/>
  <c r="BT3" i="44"/>
  <c r="BT53" i="44" s="1"/>
  <c r="BT3" i="26"/>
  <c r="BT53" i="26" s="1"/>
  <c r="BT3" i="24"/>
  <c r="BT53" i="24" s="1"/>
  <c r="BS3" i="32"/>
  <c r="BS53" i="32" s="1"/>
  <c r="BT3" i="25"/>
  <c r="BT53" i="25" s="1"/>
  <c r="BT3" i="22"/>
  <c r="BT53" i="22" s="1"/>
  <c r="BT51" i="40" l="1"/>
  <c r="BT52" i="40"/>
  <c r="BT49" i="40"/>
  <c r="BT47" i="40"/>
  <c r="BT50" i="40"/>
  <c r="BT46" i="40"/>
  <c r="BT48" i="40"/>
  <c r="BS49" i="37"/>
  <c r="BS52" i="37"/>
  <c r="BS48" i="37"/>
  <c r="BS51" i="37"/>
  <c r="BS50" i="37"/>
  <c r="BS47" i="37"/>
  <c r="BS46" i="37"/>
  <c r="BT46" i="22"/>
  <c r="BT48" i="22"/>
  <c r="BT50" i="22"/>
  <c r="BT47" i="22"/>
  <c r="BT49" i="22"/>
  <c r="BT51" i="22"/>
  <c r="BT52" i="22"/>
  <c r="BT51" i="26"/>
  <c r="BT47" i="26"/>
  <c r="BT49" i="26"/>
  <c r="BT48" i="26"/>
  <c r="BT50" i="26"/>
  <c r="BT52" i="26"/>
  <c r="BT46" i="26"/>
  <c r="BS50" i="31"/>
  <c r="BS47" i="31"/>
  <c r="BS52" i="31"/>
  <c r="BS46" i="31"/>
  <c r="BS48" i="31"/>
  <c r="BS49" i="31"/>
  <c r="BS51" i="31"/>
  <c r="BS50" i="30"/>
  <c r="BS48" i="30"/>
  <c r="BS46" i="30"/>
  <c r="BS52" i="30"/>
  <c r="BS49" i="30"/>
  <c r="BS51" i="30"/>
  <c r="BS47" i="30"/>
  <c r="BT48" i="25"/>
  <c r="BT46" i="25"/>
  <c r="BT51" i="25"/>
  <c r="BT49" i="25"/>
  <c r="BT47" i="25"/>
  <c r="BT50" i="25"/>
  <c r="BT52" i="25"/>
  <c r="BT49" i="44"/>
  <c r="BT51" i="44"/>
  <c r="BT48" i="44"/>
  <c r="BT52" i="44"/>
  <c r="BT46" i="44"/>
  <c r="BT47" i="44"/>
  <c r="BT50" i="44"/>
  <c r="BT46" i="50"/>
  <c r="BT49" i="50"/>
  <c r="BT47" i="50"/>
  <c r="BT51" i="50"/>
  <c r="BT50" i="50"/>
  <c r="BT48" i="50"/>
  <c r="BT52" i="50"/>
  <c r="BT46" i="27"/>
  <c r="BT48" i="27"/>
  <c r="BT49" i="27"/>
  <c r="BT47" i="27"/>
  <c r="BT50" i="27"/>
  <c r="BT52" i="27"/>
  <c r="BT51" i="27"/>
  <c r="BS50" i="32"/>
  <c r="BS47" i="32"/>
  <c r="BS48" i="32"/>
  <c r="BS49" i="32"/>
  <c r="BS51" i="32"/>
  <c r="BS52" i="32"/>
  <c r="BS46" i="32"/>
  <c r="BT51" i="24"/>
  <c r="BT46" i="24"/>
  <c r="BT47" i="24"/>
  <c r="BT50" i="24"/>
  <c r="BT49" i="24"/>
  <c r="BT48" i="24"/>
  <c r="BT52" i="24"/>
  <c r="BT45" i="25"/>
  <c r="BT36" i="25"/>
  <c r="BT40" i="25"/>
  <c r="BT39" i="25"/>
  <c r="BT34" i="25"/>
  <c r="BT43" i="25"/>
  <c r="BT38" i="25"/>
  <c r="BT42" i="25"/>
  <c r="BT44" i="25"/>
  <c r="BT37" i="25"/>
  <c r="BT41" i="25"/>
  <c r="BT33" i="25"/>
  <c r="BT35" i="25"/>
  <c r="BT42" i="44"/>
  <c r="BT44" i="44"/>
  <c r="BT36" i="44"/>
  <c r="BT45" i="44"/>
  <c r="BT40" i="44"/>
  <c r="BT38" i="44"/>
  <c r="BT37" i="44"/>
  <c r="BT34" i="44"/>
  <c r="BT39" i="44"/>
  <c r="BT33" i="44"/>
  <c r="BT35" i="44"/>
  <c r="BT41" i="44"/>
  <c r="BT43" i="44"/>
  <c r="BS39" i="37"/>
  <c r="BS33" i="37"/>
  <c r="BS36" i="37"/>
  <c r="BS40" i="37"/>
  <c r="BS35" i="37"/>
  <c r="BS34" i="37"/>
  <c r="BS44" i="37"/>
  <c r="BS38" i="37"/>
  <c r="BS41" i="37"/>
  <c r="BS42" i="37"/>
  <c r="BS43" i="37"/>
  <c r="BS37" i="37"/>
  <c r="BS45" i="37"/>
  <c r="BT45" i="50"/>
  <c r="BT37" i="50"/>
  <c r="BT44" i="50"/>
  <c r="BT42" i="50"/>
  <c r="BT39" i="50"/>
  <c r="BT40" i="50"/>
  <c r="BT33" i="50"/>
  <c r="BT36" i="50"/>
  <c r="BT34" i="50"/>
  <c r="BT43" i="50"/>
  <c r="BT41" i="50"/>
  <c r="BT38" i="50"/>
  <c r="BT35" i="50"/>
  <c r="BS33" i="32"/>
  <c r="BS45" i="32"/>
  <c r="BS35" i="32"/>
  <c r="BS40" i="32"/>
  <c r="BS39" i="32"/>
  <c r="BS34" i="32"/>
  <c r="BS41" i="32"/>
  <c r="BS42" i="32"/>
  <c r="BS43" i="32"/>
  <c r="BS44" i="32"/>
  <c r="BS36" i="32"/>
  <c r="BS37" i="32"/>
  <c r="BS38" i="32"/>
  <c r="BT39" i="40"/>
  <c r="BT37" i="40"/>
  <c r="BT34" i="40"/>
  <c r="BT42" i="40"/>
  <c r="BT43" i="40"/>
  <c r="BT33" i="40"/>
  <c r="BT44" i="40"/>
  <c r="BT38" i="40"/>
  <c r="BT36" i="40"/>
  <c r="BT41" i="40"/>
  <c r="BT45" i="40"/>
  <c r="BT35" i="40"/>
  <c r="BT40" i="40"/>
  <c r="BT37" i="22"/>
  <c r="BT35" i="22"/>
  <c r="BT45" i="22"/>
  <c r="BT41" i="22"/>
  <c r="BT38" i="22"/>
  <c r="BT34" i="22"/>
  <c r="BT40" i="22"/>
  <c r="BT42" i="22"/>
  <c r="BT33" i="22"/>
  <c r="BT36" i="22"/>
  <c r="BT39" i="22"/>
  <c r="BT43" i="22"/>
  <c r="BT44" i="22"/>
  <c r="BT50" i="29"/>
  <c r="BT51" i="29"/>
  <c r="BT47" i="29"/>
  <c r="BT49" i="29"/>
  <c r="BT48" i="29"/>
  <c r="BT52" i="29"/>
  <c r="BT46" i="29"/>
  <c r="BT45" i="24"/>
  <c r="BT35" i="24"/>
  <c r="BT43" i="24"/>
  <c r="BT39" i="24"/>
  <c r="BT33" i="24"/>
  <c r="BT37" i="24"/>
  <c r="BT34" i="24"/>
  <c r="BT41" i="24"/>
  <c r="BT38" i="24"/>
  <c r="BT36" i="24"/>
  <c r="BT44" i="24"/>
  <c r="BT40" i="24"/>
  <c r="BT42" i="24"/>
  <c r="BT44" i="27"/>
  <c r="BT40" i="27"/>
  <c r="BT39" i="27"/>
  <c r="BT42" i="27"/>
  <c r="BT36" i="27"/>
  <c r="BT45" i="27"/>
  <c r="BT33" i="27"/>
  <c r="BT35" i="27"/>
  <c r="BT34" i="27"/>
  <c r="BT37" i="27"/>
  <c r="BT38" i="27"/>
  <c r="BT41" i="27"/>
  <c r="BT43" i="27"/>
  <c r="BS33" i="30"/>
  <c r="BS45" i="30"/>
  <c r="BS40" i="30"/>
  <c r="BS37" i="30"/>
  <c r="BS39" i="30"/>
  <c r="BS42" i="30"/>
  <c r="BS41" i="30"/>
  <c r="BS38" i="30"/>
  <c r="BS43" i="30"/>
  <c r="BS44" i="30"/>
  <c r="BS36" i="30"/>
  <c r="BS34" i="30"/>
  <c r="BS35" i="30"/>
  <c r="BT43" i="26"/>
  <c r="BT45" i="26"/>
  <c r="BT40" i="26"/>
  <c r="BT33" i="26"/>
  <c r="BT36" i="26"/>
  <c r="BT42" i="26"/>
  <c r="BT34" i="26"/>
  <c r="BT37" i="26"/>
  <c r="BT35" i="26"/>
  <c r="BT38" i="26"/>
  <c r="BT39" i="26"/>
  <c r="BT41" i="26"/>
  <c r="BT44" i="26"/>
  <c r="BS42" i="31"/>
  <c r="BS39" i="31"/>
  <c r="BS45" i="31"/>
  <c r="BS41" i="31"/>
  <c r="BS37" i="31"/>
  <c r="BS34" i="31"/>
  <c r="BS33" i="31"/>
  <c r="BS35" i="31"/>
  <c r="BS36" i="31"/>
  <c r="BS43" i="31"/>
  <c r="BS44" i="31"/>
  <c r="BS38" i="31"/>
  <c r="BS40" i="31"/>
  <c r="BT39" i="29"/>
  <c r="BT40" i="29"/>
  <c r="BT36" i="29"/>
  <c r="BT44" i="29"/>
  <c r="BT42" i="29"/>
  <c r="BT38" i="29"/>
  <c r="BT33" i="29"/>
  <c r="BT41" i="29"/>
  <c r="BT43" i="29"/>
  <c r="BT34" i="29"/>
  <c r="BT35" i="29"/>
  <c r="BT45" i="29"/>
  <c r="BT37" i="29"/>
  <c r="BT8" i="27"/>
  <c r="BT8" i="44"/>
  <c r="BS8" i="37"/>
  <c r="BT8" i="40"/>
  <c r="BT17" i="50"/>
  <c r="BT24" i="50"/>
  <c r="BT31" i="50"/>
  <c r="BT12" i="50"/>
  <c r="BT15" i="50"/>
  <c r="BT16" i="50"/>
  <c r="BT22" i="50"/>
  <c r="BT14" i="50"/>
  <c r="BT29" i="50"/>
  <c r="BT28" i="50"/>
  <c r="BT8" i="50"/>
  <c r="BT9" i="50"/>
  <c r="BT32" i="50"/>
  <c r="BT26" i="50"/>
  <c r="BT11" i="50"/>
  <c r="BT23" i="50"/>
  <c r="BT27" i="50"/>
  <c r="BT13" i="50"/>
  <c r="BT10" i="50"/>
  <c r="BT20" i="50"/>
  <c r="BT30" i="50"/>
  <c r="BT25" i="50"/>
  <c r="BT18" i="50"/>
  <c r="BT19" i="50"/>
  <c r="BT21" i="50"/>
  <c r="BU3" i="50"/>
  <c r="BU53" i="50" s="1"/>
  <c r="BU4" i="29"/>
  <c r="BU4" i="50"/>
  <c r="BT4" i="37"/>
  <c r="BU4" i="26"/>
  <c r="BU4" i="28"/>
  <c r="BU4" i="27"/>
  <c r="BU4" i="40"/>
  <c r="BU4" i="44"/>
  <c r="BU4" i="25"/>
  <c r="BU4" i="24"/>
  <c r="BU4" i="22"/>
  <c r="BT4" i="32"/>
  <c r="BT4" i="30"/>
  <c r="BT4" i="31"/>
  <c r="BS23" i="32"/>
  <c r="BS8" i="32"/>
  <c r="BS29" i="32"/>
  <c r="BS31" i="32"/>
  <c r="BS16" i="32"/>
  <c r="BS13" i="32"/>
  <c r="BS18" i="32"/>
  <c r="BS9" i="32"/>
  <c r="BS27" i="32"/>
  <c r="BS21" i="32"/>
  <c r="BS20" i="32"/>
  <c r="BS28" i="32"/>
  <c r="BS15" i="32"/>
  <c r="BS22" i="32"/>
  <c r="BS11" i="32"/>
  <c r="BS17" i="32"/>
  <c r="BS12" i="32"/>
  <c r="BS24" i="32"/>
  <c r="BS19" i="32"/>
  <c r="BS14" i="32"/>
  <c r="BS10" i="32"/>
  <c r="BS25" i="32"/>
  <c r="BS26" i="32"/>
  <c r="BS32" i="32"/>
  <c r="BS30" i="32"/>
  <c r="BT8" i="22"/>
  <c r="BT8" i="25"/>
  <c r="BT47" i="28"/>
  <c r="BT46" i="28"/>
  <c r="BT48" i="28"/>
  <c r="BU3" i="25"/>
  <c r="BU53" i="25" s="1"/>
  <c r="BU3" i="24"/>
  <c r="BU53" i="24" s="1"/>
  <c r="BU3" i="29"/>
  <c r="BU53" i="29" s="1"/>
  <c r="BT3" i="30"/>
  <c r="BT53" i="30" s="1"/>
  <c r="BT3" i="32"/>
  <c r="BT53" i="32" s="1"/>
  <c r="BT3" i="31"/>
  <c r="BT53" i="31" s="1"/>
  <c r="BU3" i="22"/>
  <c r="BU53" i="22" s="1"/>
  <c r="BU3" i="40"/>
  <c r="BU53" i="40" s="1"/>
  <c r="BT3" i="37"/>
  <c r="BT53" i="37" s="1"/>
  <c r="BU3" i="28"/>
  <c r="BU3" i="27"/>
  <c r="BU53" i="27" s="1"/>
  <c r="BU3" i="26"/>
  <c r="BU53" i="26" s="1"/>
  <c r="BU3" i="44"/>
  <c r="BU53" i="44" s="1"/>
  <c r="R43" i="28"/>
  <c r="R41" i="28"/>
  <c r="R42" i="28"/>
  <c r="R28" i="28"/>
  <c r="R37" i="28"/>
  <c r="R35" i="28"/>
  <c r="R36" i="28"/>
  <c r="R38" i="28"/>
  <c r="R30" i="28"/>
  <c r="R33" i="28"/>
  <c r="R32" i="28"/>
  <c r="R31" i="28"/>
  <c r="R29" i="28"/>
  <c r="R34" i="28"/>
  <c r="R39" i="28"/>
  <c r="R40" i="28"/>
  <c r="R28" i="26"/>
  <c r="R30" i="26"/>
  <c r="R32" i="26"/>
  <c r="R31" i="26"/>
  <c r="R29" i="26"/>
  <c r="R28" i="25"/>
  <c r="R29" i="25"/>
  <c r="R31" i="25"/>
  <c r="R32" i="25"/>
  <c r="R30" i="25"/>
  <c r="R28" i="24"/>
  <c r="R31" i="24"/>
  <c r="R29" i="24"/>
  <c r="R30" i="24"/>
  <c r="R32" i="24"/>
  <c r="R28" i="27"/>
  <c r="R29" i="27"/>
  <c r="R31" i="27"/>
  <c r="R32" i="27"/>
  <c r="R30" i="27"/>
  <c r="R24" i="28"/>
  <c r="R9" i="28"/>
  <c r="R12" i="28"/>
  <c r="R13" i="28"/>
  <c r="R14" i="28"/>
  <c r="R16" i="28"/>
  <c r="R18" i="28"/>
  <c r="R19" i="28"/>
  <c r="R22" i="28"/>
  <c r="R23" i="28"/>
  <c r="R10" i="28"/>
  <c r="R21" i="28"/>
  <c r="R17" i="28"/>
  <c r="R20" i="28"/>
  <c r="R11" i="28"/>
  <c r="R15" i="28"/>
  <c r="R27" i="28"/>
  <c r="R25" i="28"/>
  <c r="R26" i="28"/>
  <c r="R8" i="28"/>
  <c r="R27" i="25"/>
  <c r="R9" i="25"/>
  <c r="R13" i="25"/>
  <c r="R17" i="25"/>
  <c r="R18" i="25"/>
  <c r="R19" i="25"/>
  <c r="R23" i="25"/>
  <c r="R26" i="25"/>
  <c r="R12" i="25"/>
  <c r="R16" i="25"/>
  <c r="R11" i="25"/>
  <c r="R15" i="25"/>
  <c r="R21" i="25"/>
  <c r="R22" i="25"/>
  <c r="R25" i="25"/>
  <c r="R10" i="25"/>
  <c r="R20" i="25"/>
  <c r="R14" i="25"/>
  <c r="R24" i="25"/>
  <c r="R9" i="24"/>
  <c r="R12" i="24"/>
  <c r="R13" i="24"/>
  <c r="R10" i="24"/>
  <c r="R16" i="24"/>
  <c r="R11" i="24"/>
  <c r="R15" i="24"/>
  <c r="R17" i="24"/>
  <c r="R21" i="24"/>
  <c r="R14" i="24"/>
  <c r="R20" i="24"/>
  <c r="R19" i="24"/>
  <c r="R23" i="24"/>
  <c r="R18" i="24"/>
  <c r="R22" i="24"/>
  <c r="R25" i="24"/>
  <c r="R24" i="24"/>
  <c r="R27" i="24"/>
  <c r="R26" i="24"/>
  <c r="R8" i="24"/>
  <c r="R12" i="27"/>
  <c r="R9" i="27"/>
  <c r="R10" i="27"/>
  <c r="R11" i="27"/>
  <c r="R14" i="27"/>
  <c r="R13" i="27"/>
  <c r="R16" i="27"/>
  <c r="R17" i="27"/>
  <c r="R21" i="27"/>
  <c r="R23" i="27"/>
  <c r="R15" i="27"/>
  <c r="R20" i="27"/>
  <c r="R22" i="27"/>
  <c r="R18" i="27"/>
  <c r="R19" i="27"/>
  <c r="R24" i="27"/>
  <c r="R25" i="27"/>
  <c r="R26" i="27"/>
  <c r="R27" i="27"/>
  <c r="R25" i="26"/>
  <c r="R24" i="26"/>
  <c r="R26" i="26"/>
  <c r="R27" i="26"/>
  <c r="R10" i="26"/>
  <c r="R13" i="26"/>
  <c r="R9" i="26"/>
  <c r="R14" i="26"/>
  <c r="R15" i="26"/>
  <c r="R16" i="26"/>
  <c r="R18" i="26"/>
  <c r="R20" i="26"/>
  <c r="R22" i="26"/>
  <c r="R23" i="26"/>
  <c r="R12" i="26"/>
  <c r="R17" i="26"/>
  <c r="R11" i="26"/>
  <c r="R19" i="26"/>
  <c r="R21" i="26"/>
  <c r="R8" i="26"/>
  <c r="R12" i="22"/>
  <c r="R15" i="22"/>
  <c r="R19" i="22"/>
  <c r="R20" i="22"/>
  <c r="R21" i="22"/>
  <c r="R23" i="22"/>
  <c r="R25" i="22"/>
  <c r="R26" i="22"/>
  <c r="R27" i="22"/>
  <c r="R9" i="22"/>
  <c r="R14" i="22"/>
  <c r="R16" i="22"/>
  <c r="R18" i="22"/>
  <c r="R22" i="22"/>
  <c r="R24" i="22"/>
  <c r="R10" i="22"/>
  <c r="R17" i="22"/>
  <c r="R11" i="22"/>
  <c r="R13" i="22"/>
  <c r="C27" i="4"/>
  <c r="C22" i="4"/>
  <c r="D19" i="4"/>
  <c r="BU51" i="40" l="1"/>
  <c r="BU49" i="40"/>
  <c r="BU47" i="40"/>
  <c r="BU48" i="40"/>
  <c r="BU50" i="40"/>
  <c r="BU52" i="40"/>
  <c r="BU46" i="40"/>
  <c r="BT47" i="37"/>
  <c r="BT51" i="37"/>
  <c r="BT49" i="37"/>
  <c r="BT46" i="37"/>
  <c r="BT48" i="37"/>
  <c r="BT50" i="37"/>
  <c r="BT52" i="37"/>
  <c r="BT46" i="31"/>
  <c r="BT47" i="31"/>
  <c r="BT48" i="31"/>
  <c r="BT52" i="31"/>
  <c r="BT50" i="31"/>
  <c r="BT51" i="31"/>
  <c r="BT49" i="31"/>
  <c r="BU47" i="44"/>
  <c r="BU46" i="44"/>
  <c r="BU48" i="44"/>
  <c r="BU49" i="44"/>
  <c r="BU51" i="44"/>
  <c r="BU52" i="44"/>
  <c r="BU50" i="44"/>
  <c r="BT50" i="32"/>
  <c r="BT48" i="32"/>
  <c r="BT49" i="32"/>
  <c r="BT51" i="32"/>
  <c r="BT52" i="32"/>
  <c r="BT47" i="32"/>
  <c r="BT46" i="32"/>
  <c r="BU52" i="25"/>
  <c r="BU48" i="25"/>
  <c r="BU50" i="25"/>
  <c r="BU46" i="25"/>
  <c r="BU47" i="25"/>
  <c r="BU49" i="25"/>
  <c r="BU51" i="25"/>
  <c r="BU50" i="26"/>
  <c r="BU49" i="26"/>
  <c r="BU47" i="26"/>
  <c r="BU46" i="26"/>
  <c r="BU48" i="26"/>
  <c r="BU51" i="26"/>
  <c r="BU52" i="26"/>
  <c r="BT52" i="30"/>
  <c r="BT47" i="30"/>
  <c r="BT50" i="30"/>
  <c r="BT46" i="30"/>
  <c r="BT48" i="30"/>
  <c r="BT49" i="30"/>
  <c r="BT51" i="30"/>
  <c r="BU46" i="50"/>
  <c r="BU51" i="50"/>
  <c r="BU52" i="50"/>
  <c r="BU50" i="50"/>
  <c r="BU49" i="50"/>
  <c r="BU47" i="50"/>
  <c r="BU48" i="50"/>
  <c r="BU46" i="27"/>
  <c r="BU47" i="27"/>
  <c r="BU50" i="27"/>
  <c r="BU48" i="27"/>
  <c r="BU49" i="27"/>
  <c r="BU52" i="27"/>
  <c r="BU51" i="27"/>
  <c r="BU51" i="22"/>
  <c r="BU47" i="22"/>
  <c r="BU52" i="22"/>
  <c r="BU49" i="22"/>
  <c r="BU48" i="22"/>
  <c r="BU46" i="22"/>
  <c r="BU50" i="22"/>
  <c r="BU50" i="24"/>
  <c r="BU46" i="24"/>
  <c r="BU49" i="24"/>
  <c r="BU51" i="24"/>
  <c r="BU47" i="24"/>
  <c r="BU52" i="24"/>
  <c r="BU48" i="24"/>
  <c r="BU40" i="40"/>
  <c r="BU41" i="40"/>
  <c r="BU36" i="40"/>
  <c r="BU33" i="40"/>
  <c r="BU39" i="40"/>
  <c r="BU34" i="40"/>
  <c r="BU37" i="40"/>
  <c r="BU45" i="40"/>
  <c r="BU42" i="40"/>
  <c r="BU44" i="40"/>
  <c r="BU35" i="40"/>
  <c r="BU38" i="40"/>
  <c r="BU43" i="40"/>
  <c r="BU38" i="27"/>
  <c r="BU41" i="27"/>
  <c r="BU33" i="27"/>
  <c r="BU39" i="27"/>
  <c r="BU45" i="27"/>
  <c r="BU34" i="27"/>
  <c r="BU35" i="27"/>
  <c r="BU40" i="27"/>
  <c r="BU42" i="27"/>
  <c r="BU37" i="27"/>
  <c r="BU44" i="27"/>
  <c r="BU36" i="27"/>
  <c r="BU43" i="27"/>
  <c r="BU40" i="22"/>
  <c r="BU44" i="22"/>
  <c r="BU37" i="22"/>
  <c r="BU38" i="22"/>
  <c r="BU42" i="22"/>
  <c r="BU36" i="22"/>
  <c r="BU39" i="22"/>
  <c r="BU35" i="22"/>
  <c r="BU41" i="22"/>
  <c r="BU45" i="22"/>
  <c r="BU33" i="22"/>
  <c r="BU34" i="22"/>
  <c r="BU43" i="22"/>
  <c r="BU47" i="29"/>
  <c r="BU52" i="29"/>
  <c r="BU50" i="29"/>
  <c r="BU48" i="29"/>
  <c r="BU51" i="29"/>
  <c r="BU46" i="29"/>
  <c r="BU49" i="29"/>
  <c r="BU43" i="26"/>
  <c r="BU45" i="26"/>
  <c r="BU42" i="26"/>
  <c r="BU39" i="26"/>
  <c r="BU37" i="26"/>
  <c r="BU36" i="26"/>
  <c r="BU34" i="26"/>
  <c r="BU40" i="26"/>
  <c r="BU33" i="26"/>
  <c r="BU35" i="26"/>
  <c r="BU44" i="26"/>
  <c r="BU41" i="26"/>
  <c r="BU38" i="26"/>
  <c r="BT40" i="30"/>
  <c r="BT36" i="30"/>
  <c r="BT44" i="30"/>
  <c r="BT42" i="30"/>
  <c r="BT39" i="30"/>
  <c r="BT41" i="30"/>
  <c r="BT45" i="30"/>
  <c r="BT35" i="30"/>
  <c r="BT38" i="30"/>
  <c r="BT43" i="30"/>
  <c r="BT33" i="30"/>
  <c r="BT34" i="30"/>
  <c r="BT37" i="30"/>
  <c r="BU34" i="50"/>
  <c r="BU35" i="50"/>
  <c r="BU44" i="50"/>
  <c r="BU33" i="50"/>
  <c r="BU36" i="50"/>
  <c r="BU38" i="50"/>
  <c r="BU45" i="50"/>
  <c r="BU40" i="50"/>
  <c r="BU37" i="50"/>
  <c r="BU39" i="50"/>
  <c r="BU43" i="50"/>
  <c r="BU41" i="50"/>
  <c r="BU42" i="50"/>
  <c r="BT45" i="31"/>
  <c r="BT41" i="31"/>
  <c r="BT40" i="31"/>
  <c r="BT44" i="31"/>
  <c r="BT38" i="31"/>
  <c r="BT36" i="31"/>
  <c r="BT37" i="31"/>
  <c r="BT34" i="31"/>
  <c r="BT33" i="31"/>
  <c r="BT35" i="31"/>
  <c r="BT43" i="31"/>
  <c r="BT39" i="31"/>
  <c r="BT42" i="31"/>
  <c r="BU41" i="24"/>
  <c r="BU38" i="24"/>
  <c r="BU43" i="24"/>
  <c r="BU45" i="24"/>
  <c r="BU34" i="24"/>
  <c r="BU35" i="24"/>
  <c r="BU37" i="24"/>
  <c r="BU39" i="24"/>
  <c r="BU33" i="24"/>
  <c r="BU40" i="24"/>
  <c r="BU36" i="24"/>
  <c r="BU44" i="24"/>
  <c r="BU42" i="24"/>
  <c r="BU36" i="44"/>
  <c r="BU35" i="44"/>
  <c r="BU45" i="44"/>
  <c r="BU37" i="44"/>
  <c r="BU39" i="44"/>
  <c r="BU40" i="44"/>
  <c r="BU33" i="44"/>
  <c r="BU34" i="44"/>
  <c r="BU41" i="44"/>
  <c r="BU38" i="44"/>
  <c r="BU43" i="44"/>
  <c r="BU44" i="44"/>
  <c r="BU42" i="44"/>
  <c r="BT34" i="37"/>
  <c r="BT35" i="37"/>
  <c r="BT36" i="37"/>
  <c r="BT37" i="37"/>
  <c r="BT33" i="37"/>
  <c r="BT42" i="37"/>
  <c r="BT43" i="37"/>
  <c r="BT38" i="37"/>
  <c r="BT40" i="37"/>
  <c r="BT39" i="37"/>
  <c r="BT45" i="37"/>
  <c r="BT44" i="37"/>
  <c r="BT41" i="37"/>
  <c r="BT38" i="32"/>
  <c r="BT44" i="32"/>
  <c r="BT42" i="32"/>
  <c r="BT35" i="32"/>
  <c r="BT39" i="32"/>
  <c r="BT40" i="32"/>
  <c r="BT36" i="32"/>
  <c r="BT34" i="32"/>
  <c r="BT37" i="32"/>
  <c r="BT41" i="32"/>
  <c r="BT43" i="32"/>
  <c r="BT33" i="32"/>
  <c r="BT45" i="32"/>
  <c r="BU42" i="25"/>
  <c r="BU40" i="25"/>
  <c r="BU37" i="25"/>
  <c r="BU34" i="25"/>
  <c r="BU41" i="25"/>
  <c r="BU36" i="25"/>
  <c r="BU44" i="25"/>
  <c r="BU43" i="25"/>
  <c r="BU45" i="25"/>
  <c r="BU33" i="25"/>
  <c r="BU38" i="25"/>
  <c r="BU35" i="25"/>
  <c r="BU39" i="25"/>
  <c r="BU39" i="29"/>
  <c r="BU42" i="29"/>
  <c r="BU38" i="29"/>
  <c r="BU35" i="29"/>
  <c r="BU40" i="29"/>
  <c r="BU41" i="29"/>
  <c r="BU34" i="29"/>
  <c r="BU43" i="29"/>
  <c r="BU45" i="29"/>
  <c r="BU37" i="29"/>
  <c r="BU44" i="29"/>
  <c r="BU33" i="29"/>
  <c r="BU36" i="29"/>
  <c r="BU8" i="27"/>
  <c r="BU8" i="44"/>
  <c r="BT8" i="37"/>
  <c r="BU8" i="40"/>
  <c r="BU15" i="50"/>
  <c r="BU31" i="50"/>
  <c r="BU24" i="50"/>
  <c r="BU9" i="50"/>
  <c r="BU10" i="50"/>
  <c r="BU18" i="50"/>
  <c r="BU23" i="50"/>
  <c r="BU22" i="50"/>
  <c r="BU20" i="50"/>
  <c r="BU25" i="50"/>
  <c r="BU8" i="50"/>
  <c r="BU14" i="50"/>
  <c r="BU30" i="50"/>
  <c r="BU13" i="50"/>
  <c r="BU29" i="50"/>
  <c r="BU27" i="50"/>
  <c r="BU26" i="50"/>
  <c r="BU12" i="50"/>
  <c r="BU16" i="50"/>
  <c r="BU17" i="50"/>
  <c r="BU19" i="50"/>
  <c r="BU21" i="50"/>
  <c r="BU28" i="50"/>
  <c r="BU32" i="50"/>
  <c r="BU11" i="50"/>
  <c r="BV3" i="50"/>
  <c r="BV53" i="50" s="1"/>
  <c r="BV4" i="29"/>
  <c r="BV4" i="50"/>
  <c r="BV4" i="28"/>
  <c r="BV4" i="27"/>
  <c r="BV4" i="40"/>
  <c r="BV4" i="44"/>
  <c r="BU4" i="37"/>
  <c r="BV4" i="26"/>
  <c r="BV4" i="24"/>
  <c r="BV4" i="22"/>
  <c r="BU4" i="32"/>
  <c r="BU4" i="31"/>
  <c r="BV4" i="25"/>
  <c r="BU4" i="30"/>
  <c r="I32" i="50"/>
  <c r="J32" i="50" s="1"/>
  <c r="I29" i="50"/>
  <c r="J29" i="50" s="1"/>
  <c r="I28" i="50"/>
  <c r="J28" i="50" s="1"/>
  <c r="I26" i="50"/>
  <c r="J26" i="50" s="1"/>
  <c r="I25" i="50"/>
  <c r="J25" i="50" s="1"/>
  <c r="I24" i="50"/>
  <c r="J24" i="50" s="1"/>
  <c r="I22" i="50"/>
  <c r="J22" i="50" s="1"/>
  <c r="I20" i="50"/>
  <c r="J20" i="50" s="1"/>
  <c r="I18" i="50"/>
  <c r="J18" i="50" s="1"/>
  <c r="I16" i="50"/>
  <c r="J16" i="50" s="1"/>
  <c r="I14" i="50"/>
  <c r="J14" i="50" s="1"/>
  <c r="I31" i="50"/>
  <c r="J31" i="50" s="1"/>
  <c r="I9" i="50"/>
  <c r="J9" i="50" s="1"/>
  <c r="I21" i="50"/>
  <c r="J21" i="50" s="1"/>
  <c r="I15" i="50"/>
  <c r="J15" i="50" s="1"/>
  <c r="I12" i="50"/>
  <c r="J12" i="50" s="1"/>
  <c r="I8" i="50"/>
  <c r="J8" i="50" s="1"/>
  <c r="I30" i="50"/>
  <c r="J30" i="50" s="1"/>
  <c r="I27" i="50"/>
  <c r="J27" i="50" s="1"/>
  <c r="I11" i="50"/>
  <c r="J11" i="50" s="1"/>
  <c r="I23" i="50"/>
  <c r="J23" i="50" s="1"/>
  <c r="I19" i="50"/>
  <c r="J19" i="50" s="1"/>
  <c r="I17" i="50"/>
  <c r="J17" i="50" s="1"/>
  <c r="I13" i="50"/>
  <c r="J13" i="50" s="1"/>
  <c r="I10" i="50"/>
  <c r="J10" i="50" s="1"/>
  <c r="BT23" i="32"/>
  <c r="BT12" i="32"/>
  <c r="BT27" i="32"/>
  <c r="BT26" i="32"/>
  <c r="BT16" i="32"/>
  <c r="BT20" i="32"/>
  <c r="BT9" i="32"/>
  <c r="BT13" i="32"/>
  <c r="BT31" i="32"/>
  <c r="BT19" i="32"/>
  <c r="BT11" i="32"/>
  <c r="BT14" i="32"/>
  <c r="BT15" i="32"/>
  <c r="BT17" i="32"/>
  <c r="BT21" i="32"/>
  <c r="BT10" i="32"/>
  <c r="BT22" i="32"/>
  <c r="BT25" i="32"/>
  <c r="BT18" i="32"/>
  <c r="BT29" i="32"/>
  <c r="BT30" i="32"/>
  <c r="BT8" i="32"/>
  <c r="BT32" i="32"/>
  <c r="BT28" i="32"/>
  <c r="BT24" i="32"/>
  <c r="BU8" i="22"/>
  <c r="BU8" i="25"/>
  <c r="H46" i="28"/>
  <c r="I46" i="28" s="1"/>
  <c r="H47" i="28"/>
  <c r="I47" i="28" s="1"/>
  <c r="H48" i="28"/>
  <c r="I48" i="28" s="1"/>
  <c r="BU47" i="28"/>
  <c r="BU48" i="28"/>
  <c r="BU46" i="28"/>
  <c r="BV3" i="25"/>
  <c r="BV53" i="25" s="1"/>
  <c r="BV3" i="24"/>
  <c r="BV53" i="24" s="1"/>
  <c r="BV3" i="22"/>
  <c r="BV53" i="22" s="1"/>
  <c r="BU3" i="32"/>
  <c r="BU53" i="32" s="1"/>
  <c r="BV3" i="29"/>
  <c r="BV53" i="29" s="1"/>
  <c r="BU3" i="31"/>
  <c r="BU53" i="31" s="1"/>
  <c r="BV3" i="40"/>
  <c r="BV53" i="40" s="1"/>
  <c r="BU3" i="37"/>
  <c r="BU53" i="37" s="1"/>
  <c r="BU3" i="30"/>
  <c r="BU53" i="30" s="1"/>
  <c r="BV3" i="26"/>
  <c r="BV53" i="26" s="1"/>
  <c r="BV3" i="28"/>
  <c r="BV3" i="44"/>
  <c r="BV53" i="44" s="1"/>
  <c r="BV3" i="27"/>
  <c r="BV53" i="27" s="1"/>
  <c r="H44" i="28"/>
  <c r="I44" i="28" s="1"/>
  <c r="H45" i="28"/>
  <c r="I45" i="28" s="1"/>
  <c r="S44" i="28"/>
  <c r="S45" i="28"/>
  <c r="S15" i="44"/>
  <c r="S9" i="44"/>
  <c r="S19" i="44"/>
  <c r="S29" i="44"/>
  <c r="S16" i="44"/>
  <c r="S13" i="44"/>
  <c r="S25" i="44"/>
  <c r="S23" i="44"/>
  <c r="S21" i="44"/>
  <c r="S11" i="44"/>
  <c r="S14" i="44"/>
  <c r="S22" i="44"/>
  <c r="S10" i="44"/>
  <c r="S12" i="44"/>
  <c r="S20" i="44"/>
  <c r="S17" i="44"/>
  <c r="S31" i="44"/>
  <c r="S24" i="44"/>
  <c r="S32" i="44"/>
  <c r="S18" i="44"/>
  <c r="S30" i="44"/>
  <c r="S26" i="44"/>
  <c r="S27" i="44"/>
  <c r="S28" i="44"/>
  <c r="S10" i="40"/>
  <c r="S14" i="40"/>
  <c r="S23" i="40"/>
  <c r="S22" i="40"/>
  <c r="S18" i="40"/>
  <c r="S28" i="40"/>
  <c r="S11" i="40"/>
  <c r="S19" i="40"/>
  <c r="S27" i="40"/>
  <c r="S29" i="40"/>
  <c r="S9" i="40"/>
  <c r="S32" i="40"/>
  <c r="S15" i="40"/>
  <c r="S12" i="40"/>
  <c r="S13" i="40"/>
  <c r="S20" i="40"/>
  <c r="S30" i="40"/>
  <c r="S31" i="40"/>
  <c r="S24" i="40"/>
  <c r="S21" i="40"/>
  <c r="S25" i="40"/>
  <c r="S26" i="40"/>
  <c r="S16" i="40"/>
  <c r="S17" i="40"/>
  <c r="R13" i="37"/>
  <c r="R18" i="37"/>
  <c r="R17" i="37"/>
  <c r="R9" i="37"/>
  <c r="R11" i="37"/>
  <c r="R10" i="37"/>
  <c r="R21" i="37"/>
  <c r="R20" i="37"/>
  <c r="R22" i="37"/>
  <c r="R32" i="37"/>
  <c r="R30" i="37"/>
  <c r="R19" i="37"/>
  <c r="R16" i="37"/>
  <c r="R28" i="37"/>
  <c r="R14" i="37"/>
  <c r="R15" i="37"/>
  <c r="R27" i="37"/>
  <c r="R24" i="37"/>
  <c r="R29" i="37"/>
  <c r="R12" i="37"/>
  <c r="R25" i="37"/>
  <c r="R26" i="37"/>
  <c r="R23" i="37"/>
  <c r="R31" i="37"/>
  <c r="H43" i="28"/>
  <c r="I43" i="28" s="1"/>
  <c r="H41" i="28"/>
  <c r="I41" i="28" s="1"/>
  <c r="H42" i="28"/>
  <c r="I42" i="28" s="1"/>
  <c r="S43" i="28"/>
  <c r="S41" i="28"/>
  <c r="S42" i="28"/>
  <c r="S28" i="28"/>
  <c r="S32" i="28"/>
  <c r="S29" i="28"/>
  <c r="S38" i="28"/>
  <c r="S34" i="28"/>
  <c r="S37" i="28"/>
  <c r="S39" i="28"/>
  <c r="S33" i="28"/>
  <c r="S30" i="28"/>
  <c r="S36" i="28"/>
  <c r="S40" i="28"/>
  <c r="S31" i="28"/>
  <c r="S35" i="28"/>
  <c r="R15" i="30"/>
  <c r="R17" i="30"/>
  <c r="R8" i="30"/>
  <c r="R10" i="30"/>
  <c r="R11" i="30"/>
  <c r="R12" i="30"/>
  <c r="R16" i="30"/>
  <c r="R32" i="30"/>
  <c r="R24" i="30"/>
  <c r="R20" i="30"/>
  <c r="R27" i="30"/>
  <c r="R23" i="30"/>
  <c r="R19" i="30"/>
  <c r="R26" i="30"/>
  <c r="R18" i="30"/>
  <c r="R9" i="30"/>
  <c r="R25" i="30"/>
  <c r="R28" i="30"/>
  <c r="R29" i="30"/>
  <c r="R30" i="30"/>
  <c r="R22" i="30"/>
  <c r="R31" i="30"/>
  <c r="R14" i="30"/>
  <c r="R13" i="30"/>
  <c r="R21" i="30"/>
  <c r="R27" i="29"/>
  <c r="R15" i="29"/>
  <c r="R11" i="29"/>
  <c r="R17" i="29"/>
  <c r="R8" i="29"/>
  <c r="R21" i="29"/>
  <c r="R30" i="29"/>
  <c r="R29" i="29"/>
  <c r="R24" i="29"/>
  <c r="R14" i="29"/>
  <c r="R10" i="29"/>
  <c r="R19" i="29"/>
  <c r="R26" i="29"/>
  <c r="R18" i="29"/>
  <c r="R22" i="29"/>
  <c r="R25" i="29"/>
  <c r="R13" i="29"/>
  <c r="R23" i="29"/>
  <c r="R16" i="29"/>
  <c r="R32" i="29"/>
  <c r="R20" i="29"/>
  <c r="R31" i="29"/>
  <c r="R12" i="29"/>
  <c r="R9" i="29"/>
  <c r="R28" i="29"/>
  <c r="S28" i="24"/>
  <c r="S31" i="24"/>
  <c r="S30" i="24"/>
  <c r="S29" i="24"/>
  <c r="S32" i="24"/>
  <c r="S28" i="27"/>
  <c r="S30" i="27"/>
  <c r="S32" i="27"/>
  <c r="S29" i="27"/>
  <c r="S31" i="27"/>
  <c r="S28" i="25"/>
  <c r="S32" i="25"/>
  <c r="S31" i="25"/>
  <c r="S29" i="25"/>
  <c r="S30" i="25"/>
  <c r="S28" i="26"/>
  <c r="S30" i="26"/>
  <c r="S29" i="26"/>
  <c r="S31" i="26"/>
  <c r="S32" i="26"/>
  <c r="R30" i="31"/>
  <c r="R13" i="31"/>
  <c r="R17" i="31"/>
  <c r="R21" i="31"/>
  <c r="R27" i="31"/>
  <c r="R9" i="31"/>
  <c r="R12" i="31"/>
  <c r="R8" i="31"/>
  <c r="R26" i="31"/>
  <c r="R15" i="31"/>
  <c r="R11" i="31"/>
  <c r="R25" i="31"/>
  <c r="R19" i="31"/>
  <c r="R20" i="31"/>
  <c r="R24" i="31"/>
  <c r="R23" i="31"/>
  <c r="R10" i="31"/>
  <c r="R18" i="31"/>
  <c r="R31" i="31"/>
  <c r="R22" i="31"/>
  <c r="R16" i="31"/>
  <c r="R14" i="31"/>
  <c r="R32" i="31"/>
  <c r="R28" i="31"/>
  <c r="R29" i="31"/>
  <c r="I30" i="26"/>
  <c r="I32" i="26"/>
  <c r="I29" i="26"/>
  <c r="I31" i="26"/>
  <c r="I28" i="26"/>
  <c r="H34" i="28"/>
  <c r="I34" i="28" s="1"/>
  <c r="H32" i="28"/>
  <c r="I32" i="28" s="1"/>
  <c r="H40" i="28"/>
  <c r="I40" i="28" s="1"/>
  <c r="H38" i="28"/>
  <c r="I38" i="28" s="1"/>
  <c r="H36" i="28"/>
  <c r="I36" i="28" s="1"/>
  <c r="H31" i="28"/>
  <c r="I31" i="28" s="1"/>
  <c r="H39" i="28"/>
  <c r="I39" i="28" s="1"/>
  <c r="H35" i="28"/>
  <c r="I35" i="28" s="1"/>
  <c r="H33" i="28"/>
  <c r="I33" i="28" s="1"/>
  <c r="H30" i="28"/>
  <c r="I30" i="28" s="1"/>
  <c r="H37" i="28"/>
  <c r="I37" i="28" s="1"/>
  <c r="H29" i="28"/>
  <c r="I29" i="28" s="1"/>
  <c r="S28" i="22"/>
  <c r="S29" i="22"/>
  <c r="S31" i="22"/>
  <c r="S30" i="22"/>
  <c r="S32" i="22"/>
  <c r="H28" i="28"/>
  <c r="I28" i="28" s="1"/>
  <c r="H14" i="28"/>
  <c r="I14" i="28" s="1"/>
  <c r="S24" i="28"/>
  <c r="S11" i="28"/>
  <c r="S10" i="28"/>
  <c r="S12" i="28"/>
  <c r="S14" i="28"/>
  <c r="S16" i="28"/>
  <c r="S22" i="28"/>
  <c r="S13" i="28"/>
  <c r="S15" i="28"/>
  <c r="S17" i="28"/>
  <c r="S19" i="28"/>
  <c r="S25" i="28"/>
  <c r="S18" i="28"/>
  <c r="S23" i="28"/>
  <c r="S20" i="28"/>
  <c r="S26" i="28"/>
  <c r="S21" i="28"/>
  <c r="S9" i="28"/>
  <c r="S27" i="28"/>
  <c r="S8" i="28"/>
  <c r="S25" i="22"/>
  <c r="S26" i="22"/>
  <c r="S27" i="22"/>
  <c r="S21" i="22"/>
  <c r="S24" i="22"/>
  <c r="S22" i="22"/>
  <c r="S9" i="22"/>
  <c r="S11" i="22"/>
  <c r="S12" i="22"/>
  <c r="S14" i="22"/>
  <c r="S15" i="22"/>
  <c r="S16" i="22"/>
  <c r="S17" i="22"/>
  <c r="S18" i="22"/>
  <c r="S19" i="22"/>
  <c r="S20" i="22"/>
  <c r="S10" i="22"/>
  <c r="S13" i="22"/>
  <c r="S23" i="22"/>
  <c r="S10" i="24"/>
  <c r="S14" i="24"/>
  <c r="S13" i="24"/>
  <c r="S17" i="24"/>
  <c r="S12" i="24"/>
  <c r="S18" i="24"/>
  <c r="S19" i="24"/>
  <c r="S22" i="24"/>
  <c r="S23" i="24"/>
  <c r="S11" i="24"/>
  <c r="S21" i="24"/>
  <c r="S9" i="24"/>
  <c r="S15" i="24"/>
  <c r="S16" i="24"/>
  <c r="S20" i="24"/>
  <c r="S25" i="24"/>
  <c r="S26" i="24"/>
  <c r="S27" i="24"/>
  <c r="S24" i="24"/>
  <c r="S8" i="24"/>
  <c r="S10" i="27"/>
  <c r="S12" i="27"/>
  <c r="S13" i="27"/>
  <c r="S9" i="27"/>
  <c r="S15" i="27"/>
  <c r="S11" i="27"/>
  <c r="S17" i="27"/>
  <c r="S16" i="27"/>
  <c r="S21" i="27"/>
  <c r="S22" i="27"/>
  <c r="S23" i="27"/>
  <c r="S14" i="27"/>
  <c r="S19" i="27"/>
  <c r="S18" i="27"/>
  <c r="S20" i="27"/>
  <c r="S24" i="27"/>
  <c r="S25" i="27"/>
  <c r="S26" i="27"/>
  <c r="S27" i="27"/>
  <c r="S15" i="25"/>
  <c r="S16" i="25"/>
  <c r="S17" i="25"/>
  <c r="S20" i="25"/>
  <c r="S27" i="25"/>
  <c r="S9" i="25"/>
  <c r="S10" i="25"/>
  <c r="S13" i="25"/>
  <c r="S14" i="25"/>
  <c r="S26" i="25"/>
  <c r="S12" i="25"/>
  <c r="S18" i="25"/>
  <c r="S21" i="25"/>
  <c r="S22" i="25"/>
  <c r="S11" i="25"/>
  <c r="S19" i="25"/>
  <c r="S23" i="25"/>
  <c r="S24" i="25"/>
  <c r="S25" i="25"/>
  <c r="S25" i="26"/>
  <c r="S24" i="26"/>
  <c r="S26" i="26"/>
  <c r="S27" i="26"/>
  <c r="S10" i="26"/>
  <c r="S11" i="26"/>
  <c r="S13" i="26"/>
  <c r="S16" i="26"/>
  <c r="S14" i="26"/>
  <c r="S12" i="26"/>
  <c r="S18" i="26"/>
  <c r="S9" i="26"/>
  <c r="S15" i="26"/>
  <c r="S17" i="26"/>
  <c r="S19" i="26"/>
  <c r="S20" i="26"/>
  <c r="S21" i="26"/>
  <c r="S23" i="26"/>
  <c r="S22" i="26"/>
  <c r="S8" i="26"/>
  <c r="I24" i="26"/>
  <c r="I20" i="26"/>
  <c r="I16" i="26"/>
  <c r="I12" i="26"/>
  <c r="I8" i="26"/>
  <c r="I27" i="26"/>
  <c r="I23" i="26"/>
  <c r="I19" i="26"/>
  <c r="I15" i="26"/>
  <c r="I11" i="26"/>
  <c r="I26" i="26"/>
  <c r="I22" i="26"/>
  <c r="I18" i="26"/>
  <c r="I14" i="26"/>
  <c r="I10" i="26"/>
  <c r="I25" i="26"/>
  <c r="I21" i="26"/>
  <c r="I17" i="26"/>
  <c r="I9" i="26"/>
  <c r="I13" i="26"/>
  <c r="H24" i="28"/>
  <c r="I24" i="28" s="1"/>
  <c r="H20" i="28"/>
  <c r="I20" i="28" s="1"/>
  <c r="H16" i="28"/>
  <c r="I16" i="28" s="1"/>
  <c r="H12" i="28"/>
  <c r="I12" i="28" s="1"/>
  <c r="H8" i="28"/>
  <c r="I8" i="28" s="1"/>
  <c r="H26" i="28"/>
  <c r="I26" i="28" s="1"/>
  <c r="H18" i="28"/>
  <c r="I18" i="28" s="1"/>
  <c r="H25" i="28"/>
  <c r="I25" i="28" s="1"/>
  <c r="H17" i="28"/>
  <c r="I17" i="28" s="1"/>
  <c r="H9" i="28"/>
  <c r="I9" i="28" s="1"/>
  <c r="H27" i="28"/>
  <c r="I27" i="28" s="1"/>
  <c r="H23" i="28"/>
  <c r="I23" i="28" s="1"/>
  <c r="H19" i="28"/>
  <c r="I19" i="28" s="1"/>
  <c r="H15" i="28"/>
  <c r="I15" i="28" s="1"/>
  <c r="H11" i="28"/>
  <c r="I11" i="28" s="1"/>
  <c r="H22" i="28"/>
  <c r="I22" i="28" s="1"/>
  <c r="H10" i="28"/>
  <c r="I10" i="28" s="1"/>
  <c r="H21" i="28"/>
  <c r="I21" i="28" s="1"/>
  <c r="H13" i="28"/>
  <c r="I13" i="28" s="1"/>
  <c r="BV46" i="40" l="1"/>
  <c r="BV51" i="40"/>
  <c r="BV50" i="40"/>
  <c r="BV52" i="40"/>
  <c r="BV48" i="40"/>
  <c r="BV47" i="40"/>
  <c r="BV49" i="40"/>
  <c r="BU50" i="37"/>
  <c r="BU48" i="37"/>
  <c r="BU52" i="37"/>
  <c r="BU46" i="37"/>
  <c r="BU49" i="37"/>
  <c r="BU47" i="37"/>
  <c r="BU51" i="37"/>
  <c r="BV52" i="26"/>
  <c r="BV47" i="26"/>
  <c r="BV46" i="26"/>
  <c r="BV48" i="26"/>
  <c r="BV49" i="26"/>
  <c r="BV50" i="26"/>
  <c r="BV51" i="26"/>
  <c r="BU46" i="31"/>
  <c r="BU52" i="31"/>
  <c r="BU49" i="31"/>
  <c r="BU50" i="31"/>
  <c r="BU47" i="31"/>
  <c r="BU48" i="31"/>
  <c r="BU51" i="31"/>
  <c r="BV51" i="27"/>
  <c r="BV46" i="27"/>
  <c r="BV48" i="27"/>
  <c r="BV52" i="27"/>
  <c r="BV49" i="27"/>
  <c r="BV47" i="27"/>
  <c r="BV50" i="27"/>
  <c r="BU49" i="30"/>
  <c r="BU51" i="30"/>
  <c r="BU48" i="30"/>
  <c r="BU52" i="30"/>
  <c r="BU50" i="30"/>
  <c r="BU47" i="30"/>
  <c r="BU46" i="30"/>
  <c r="BV52" i="25"/>
  <c r="BV51" i="25"/>
  <c r="BV47" i="25"/>
  <c r="BV48" i="25"/>
  <c r="BV49" i="25"/>
  <c r="BV46" i="25"/>
  <c r="BV50" i="25"/>
  <c r="BV46" i="44"/>
  <c r="BV47" i="44"/>
  <c r="BV48" i="44"/>
  <c r="BV49" i="44"/>
  <c r="BV50" i="44"/>
  <c r="BV51" i="44"/>
  <c r="BV52" i="44"/>
  <c r="BU52" i="32"/>
  <c r="BU48" i="32"/>
  <c r="BU46" i="32"/>
  <c r="BU47" i="32"/>
  <c r="BU51" i="32"/>
  <c r="BU49" i="32"/>
  <c r="BU50" i="32"/>
  <c r="BV48" i="50"/>
  <c r="BV52" i="50"/>
  <c r="BV46" i="50"/>
  <c r="BV51" i="50"/>
  <c r="BV47" i="50"/>
  <c r="BV50" i="50"/>
  <c r="BV49" i="50"/>
  <c r="BV51" i="22"/>
  <c r="BV50" i="22"/>
  <c r="BV49" i="22"/>
  <c r="BV46" i="22"/>
  <c r="BV52" i="22"/>
  <c r="BV47" i="22"/>
  <c r="BV48" i="22"/>
  <c r="BV52" i="24"/>
  <c r="BV47" i="24"/>
  <c r="BV49" i="24"/>
  <c r="BV50" i="24"/>
  <c r="BV48" i="24"/>
  <c r="BV46" i="24"/>
  <c r="BV51" i="24"/>
  <c r="BV44" i="44"/>
  <c r="BV42" i="44"/>
  <c r="BV40" i="44"/>
  <c r="BV38" i="44"/>
  <c r="BV35" i="44"/>
  <c r="BV34" i="44"/>
  <c r="BV45" i="44"/>
  <c r="BV36" i="44"/>
  <c r="BV41" i="44"/>
  <c r="BV37" i="44"/>
  <c r="BV33" i="44"/>
  <c r="BV39" i="44"/>
  <c r="BV43" i="44"/>
  <c r="BU33" i="37"/>
  <c r="BU39" i="37"/>
  <c r="BU36" i="37"/>
  <c r="BU45" i="37"/>
  <c r="BU44" i="37"/>
  <c r="BU37" i="37"/>
  <c r="BU34" i="37"/>
  <c r="BU38" i="37"/>
  <c r="BU41" i="37"/>
  <c r="BU42" i="37"/>
  <c r="BU35" i="37"/>
  <c r="BU43" i="37"/>
  <c r="BU40" i="37"/>
  <c r="BU43" i="32"/>
  <c r="BU39" i="32"/>
  <c r="BU38" i="32"/>
  <c r="BU42" i="32"/>
  <c r="BU35" i="32"/>
  <c r="BU34" i="32"/>
  <c r="BU37" i="32"/>
  <c r="BU40" i="32"/>
  <c r="BU36" i="32"/>
  <c r="BU41" i="32"/>
  <c r="BU33" i="32"/>
  <c r="BU44" i="32"/>
  <c r="BU45" i="32"/>
  <c r="BV43" i="50"/>
  <c r="BV38" i="50"/>
  <c r="BV35" i="50"/>
  <c r="BV36" i="50"/>
  <c r="BV41" i="50"/>
  <c r="BV37" i="50"/>
  <c r="BV39" i="50"/>
  <c r="BV34" i="50"/>
  <c r="BV33" i="50"/>
  <c r="BV42" i="50"/>
  <c r="BV40" i="50"/>
  <c r="BV44" i="50"/>
  <c r="BV45" i="50"/>
  <c r="BV38" i="40"/>
  <c r="BV36" i="40"/>
  <c r="BV41" i="40"/>
  <c r="BV40" i="40"/>
  <c r="BV33" i="40"/>
  <c r="BV44" i="40"/>
  <c r="BV43" i="40"/>
  <c r="BV35" i="40"/>
  <c r="BV42" i="40"/>
  <c r="BV34" i="40"/>
  <c r="BV45" i="40"/>
  <c r="BV37" i="40"/>
  <c r="BV39" i="40"/>
  <c r="BV43" i="22"/>
  <c r="BV39" i="22"/>
  <c r="BV35" i="22"/>
  <c r="BV37" i="22"/>
  <c r="BV34" i="22"/>
  <c r="BV41" i="22"/>
  <c r="BV38" i="22"/>
  <c r="BV36" i="22"/>
  <c r="BV42" i="22"/>
  <c r="BV44" i="22"/>
  <c r="BV33" i="22"/>
  <c r="BV40" i="22"/>
  <c r="BV45" i="22"/>
  <c r="BV39" i="26"/>
  <c r="BV42" i="26"/>
  <c r="BV37" i="26"/>
  <c r="BV35" i="26"/>
  <c r="BV41" i="26"/>
  <c r="BV43" i="26"/>
  <c r="BV36" i="26"/>
  <c r="BV40" i="26"/>
  <c r="BV45" i="26"/>
  <c r="BV34" i="26"/>
  <c r="BV38" i="26"/>
  <c r="BV33" i="26"/>
  <c r="BV44" i="26"/>
  <c r="BU44" i="31"/>
  <c r="BU43" i="31"/>
  <c r="BU37" i="31"/>
  <c r="BU39" i="31"/>
  <c r="BU34" i="31"/>
  <c r="BU33" i="31"/>
  <c r="BU38" i="31"/>
  <c r="BU42" i="31"/>
  <c r="BU45" i="31"/>
  <c r="BU35" i="31"/>
  <c r="BU36" i="31"/>
  <c r="BU40" i="31"/>
  <c r="BU41" i="31"/>
  <c r="BV41" i="24"/>
  <c r="BV36" i="24"/>
  <c r="BV33" i="24"/>
  <c r="BV44" i="24"/>
  <c r="BV42" i="24"/>
  <c r="BV35" i="24"/>
  <c r="BV37" i="24"/>
  <c r="BV39" i="24"/>
  <c r="BV43" i="24"/>
  <c r="BV34" i="24"/>
  <c r="BV40" i="24"/>
  <c r="BV45" i="24"/>
  <c r="BV38" i="24"/>
  <c r="BV44" i="27"/>
  <c r="BV42" i="27"/>
  <c r="BV41" i="27"/>
  <c r="BV39" i="27"/>
  <c r="BV36" i="27"/>
  <c r="BV33" i="27"/>
  <c r="BV38" i="27"/>
  <c r="BV37" i="27"/>
  <c r="BV45" i="27"/>
  <c r="BV40" i="27"/>
  <c r="BV35" i="27"/>
  <c r="BV34" i="27"/>
  <c r="BV43" i="27"/>
  <c r="BU40" i="30"/>
  <c r="BU39" i="30"/>
  <c r="BU35" i="30"/>
  <c r="BU43" i="30"/>
  <c r="BU34" i="30"/>
  <c r="BU38" i="30"/>
  <c r="BU44" i="30"/>
  <c r="BU37" i="30"/>
  <c r="BU41" i="30"/>
  <c r="BU42" i="30"/>
  <c r="BU45" i="30"/>
  <c r="BU33" i="30"/>
  <c r="BU36" i="30"/>
  <c r="BV50" i="29"/>
  <c r="BV52" i="29"/>
  <c r="BV46" i="29"/>
  <c r="BV47" i="29"/>
  <c r="BV48" i="29"/>
  <c r="BV49" i="29"/>
  <c r="BV51" i="29"/>
  <c r="BV40" i="25"/>
  <c r="BV35" i="25"/>
  <c r="BV33" i="25"/>
  <c r="BV42" i="25"/>
  <c r="BV38" i="25"/>
  <c r="BV34" i="25"/>
  <c r="BV43" i="25"/>
  <c r="BV45" i="25"/>
  <c r="BV36" i="25"/>
  <c r="BV37" i="25"/>
  <c r="BV41" i="25"/>
  <c r="BV39" i="25"/>
  <c r="BV44" i="25"/>
  <c r="BV40" i="29"/>
  <c r="BV38" i="29"/>
  <c r="BV36" i="29"/>
  <c r="BV37" i="29"/>
  <c r="BV33" i="29"/>
  <c r="BV44" i="29"/>
  <c r="BV39" i="29"/>
  <c r="BV34" i="29"/>
  <c r="BV35" i="29"/>
  <c r="BV43" i="29"/>
  <c r="BV41" i="29"/>
  <c r="BV45" i="29"/>
  <c r="BV42" i="29"/>
  <c r="BV8" i="27"/>
  <c r="BV8" i="44"/>
  <c r="BV8" i="40"/>
  <c r="BU8" i="37"/>
  <c r="BV21" i="50"/>
  <c r="BV10" i="50"/>
  <c r="BV8" i="50"/>
  <c r="BV13" i="50"/>
  <c r="BV25" i="50"/>
  <c r="BV16" i="50"/>
  <c r="BV22" i="50"/>
  <c r="BV32" i="50"/>
  <c r="BV31" i="50"/>
  <c r="BV11" i="50"/>
  <c r="BV30" i="50"/>
  <c r="BV27" i="50"/>
  <c r="BV29" i="50"/>
  <c r="BV24" i="50"/>
  <c r="BV26" i="50"/>
  <c r="BV19" i="50"/>
  <c r="BV12" i="50"/>
  <c r="BV17" i="50"/>
  <c r="BV28" i="50"/>
  <c r="BV20" i="50"/>
  <c r="BV15" i="50"/>
  <c r="BV14" i="50"/>
  <c r="BV9" i="50"/>
  <c r="BV18" i="50"/>
  <c r="BV23" i="50"/>
  <c r="BW3" i="50"/>
  <c r="BW53" i="50" s="1"/>
  <c r="BW4" i="29"/>
  <c r="BW4" i="50"/>
  <c r="BW4" i="27"/>
  <c r="BW4" i="40"/>
  <c r="BW4" i="44"/>
  <c r="BV4" i="37"/>
  <c r="BW4" i="26"/>
  <c r="BW4" i="28"/>
  <c r="BW4" i="22"/>
  <c r="BV4" i="32"/>
  <c r="BV4" i="31"/>
  <c r="BW4" i="25"/>
  <c r="BW4" i="24"/>
  <c r="BV4" i="30"/>
  <c r="L8" i="50"/>
  <c r="O8" i="50" s="1"/>
  <c r="K8" i="50"/>
  <c r="M8" i="50" s="1"/>
  <c r="K17" i="50"/>
  <c r="M17" i="50" s="1"/>
  <c r="L17" i="50"/>
  <c r="L27" i="50"/>
  <c r="K27" i="50"/>
  <c r="M27" i="50" s="1"/>
  <c r="L12" i="50"/>
  <c r="K12" i="50"/>
  <c r="M12" i="50" s="1"/>
  <c r="K9" i="50"/>
  <c r="M9" i="50" s="1"/>
  <c r="L9" i="50"/>
  <c r="K20" i="50"/>
  <c r="M20" i="50" s="1"/>
  <c r="L20" i="50"/>
  <c r="K26" i="50"/>
  <c r="M26" i="50" s="1"/>
  <c r="L26" i="50"/>
  <c r="K25" i="50"/>
  <c r="M25" i="50" s="1"/>
  <c r="L25" i="50"/>
  <c r="K19" i="50"/>
  <c r="M19" i="50" s="1"/>
  <c r="L19" i="50"/>
  <c r="L30" i="50"/>
  <c r="K30" i="50"/>
  <c r="M30" i="50" s="1"/>
  <c r="L15" i="50"/>
  <c r="K15" i="50"/>
  <c r="M15" i="50" s="1"/>
  <c r="K31" i="50"/>
  <c r="M31" i="50" s="1"/>
  <c r="L31" i="50"/>
  <c r="K14" i="50"/>
  <c r="M14" i="50" s="1"/>
  <c r="L14" i="50"/>
  <c r="L22" i="50"/>
  <c r="K22" i="50"/>
  <c r="M22" i="50" s="1"/>
  <c r="L28" i="50"/>
  <c r="K28" i="50"/>
  <c r="M28" i="50" s="1"/>
  <c r="K13" i="50"/>
  <c r="M13" i="50" s="1"/>
  <c r="L13" i="50"/>
  <c r="K18" i="50"/>
  <c r="M18" i="50" s="1"/>
  <c r="L18" i="50"/>
  <c r="L32" i="50"/>
  <c r="K32" i="50"/>
  <c r="M32" i="50" s="1"/>
  <c r="L10" i="50"/>
  <c r="K10" i="50"/>
  <c r="M10" i="50" s="1"/>
  <c r="K23" i="50"/>
  <c r="M23" i="50" s="1"/>
  <c r="L23" i="50"/>
  <c r="L11" i="50"/>
  <c r="K11" i="50"/>
  <c r="M11" i="50" s="1"/>
  <c r="K21" i="50"/>
  <c r="M21" i="50" s="1"/>
  <c r="L21" i="50"/>
  <c r="K16" i="50"/>
  <c r="M16" i="50" s="1"/>
  <c r="L16" i="50"/>
  <c r="L24" i="50"/>
  <c r="K24" i="50"/>
  <c r="M24" i="50" s="1"/>
  <c r="K29" i="50"/>
  <c r="M29" i="50" s="1"/>
  <c r="L29" i="50"/>
  <c r="BU19" i="32"/>
  <c r="BU11" i="32"/>
  <c r="BU23" i="32"/>
  <c r="BU12" i="32"/>
  <c r="BU21" i="32"/>
  <c r="BU29" i="32"/>
  <c r="BU27" i="32"/>
  <c r="BU26" i="32"/>
  <c r="BU16" i="32"/>
  <c r="BU20" i="32"/>
  <c r="BU31" i="32"/>
  <c r="BU28" i="32"/>
  <c r="BU10" i="32"/>
  <c r="BU18" i="32"/>
  <c r="BU25" i="32"/>
  <c r="BU14" i="32"/>
  <c r="BU15" i="32"/>
  <c r="BU17" i="32"/>
  <c r="BU22" i="32"/>
  <c r="BU13" i="32"/>
  <c r="BU9" i="32"/>
  <c r="BU8" i="32"/>
  <c r="BU32" i="32"/>
  <c r="BU24" i="32"/>
  <c r="BU30" i="32"/>
  <c r="BV8" i="22"/>
  <c r="BV8" i="25"/>
  <c r="BV48" i="28"/>
  <c r="BV47" i="28"/>
  <c r="BV46" i="28"/>
  <c r="BV3" i="37"/>
  <c r="BV53" i="37" s="1"/>
  <c r="BW3" i="44"/>
  <c r="BW53" i="44" s="1"/>
  <c r="BV3" i="30"/>
  <c r="BV53" i="30" s="1"/>
  <c r="BW3" i="28"/>
  <c r="BW3" i="27"/>
  <c r="BW53" i="27" s="1"/>
  <c r="BW3" i="29"/>
  <c r="BW53" i="29" s="1"/>
  <c r="BW3" i="26"/>
  <c r="BW53" i="26" s="1"/>
  <c r="BW3" i="25"/>
  <c r="BW53" i="25" s="1"/>
  <c r="BW3" i="24"/>
  <c r="BW53" i="24" s="1"/>
  <c r="BV3" i="32"/>
  <c r="BV53" i="32" s="1"/>
  <c r="BW3" i="22"/>
  <c r="BW53" i="22" s="1"/>
  <c r="BW3" i="40"/>
  <c r="BW53" i="40" s="1"/>
  <c r="BV3" i="31"/>
  <c r="BV53" i="31" s="1"/>
  <c r="T45" i="28"/>
  <c r="T44" i="28"/>
  <c r="T26" i="44"/>
  <c r="T19" i="44"/>
  <c r="T23" i="44"/>
  <c r="T15" i="44"/>
  <c r="T21" i="44"/>
  <c r="T9" i="44"/>
  <c r="T10" i="44"/>
  <c r="T11" i="44"/>
  <c r="T31" i="44"/>
  <c r="T17" i="44"/>
  <c r="T20" i="44"/>
  <c r="T12" i="44"/>
  <c r="T30" i="44"/>
  <c r="T32" i="44"/>
  <c r="T16" i="44"/>
  <c r="T13" i="44"/>
  <c r="T14" i="44"/>
  <c r="T22" i="44"/>
  <c r="T29" i="44"/>
  <c r="T24" i="44"/>
  <c r="T18" i="44"/>
  <c r="T28" i="44"/>
  <c r="T27" i="44"/>
  <c r="T25" i="44"/>
  <c r="T17" i="40"/>
  <c r="T12" i="40"/>
  <c r="T27" i="40"/>
  <c r="T26" i="40"/>
  <c r="T22" i="40"/>
  <c r="T10" i="40"/>
  <c r="T23" i="40"/>
  <c r="T19" i="40"/>
  <c r="T30" i="40"/>
  <c r="T29" i="40"/>
  <c r="T21" i="40"/>
  <c r="T20" i="40"/>
  <c r="T9" i="40"/>
  <c r="T11" i="40"/>
  <c r="T31" i="40"/>
  <c r="T24" i="40"/>
  <c r="T28" i="40"/>
  <c r="T32" i="40"/>
  <c r="T18" i="40"/>
  <c r="T16" i="40"/>
  <c r="T13" i="40"/>
  <c r="T15" i="40"/>
  <c r="T25" i="40"/>
  <c r="T14" i="40"/>
  <c r="S12" i="37"/>
  <c r="S13" i="37"/>
  <c r="S16" i="37"/>
  <c r="S18" i="37"/>
  <c r="S17" i="37"/>
  <c r="S10" i="37"/>
  <c r="S30" i="37"/>
  <c r="S20" i="37"/>
  <c r="S22" i="37"/>
  <c r="S26" i="37"/>
  <c r="S24" i="37"/>
  <c r="S11" i="37"/>
  <c r="S15" i="37"/>
  <c r="S19" i="37"/>
  <c r="S32" i="37"/>
  <c r="S29" i="37"/>
  <c r="S9" i="37"/>
  <c r="S23" i="37"/>
  <c r="S14" i="37"/>
  <c r="S25" i="37"/>
  <c r="S31" i="37"/>
  <c r="S28" i="37"/>
  <c r="S27" i="37"/>
  <c r="S21" i="37"/>
  <c r="T43" i="28"/>
  <c r="T42" i="28"/>
  <c r="T41" i="28"/>
  <c r="S25" i="29"/>
  <c r="S10" i="29"/>
  <c r="S8" i="29"/>
  <c r="S21" i="29"/>
  <c r="S28" i="29"/>
  <c r="S29" i="29"/>
  <c r="S16" i="29"/>
  <c r="S20" i="29"/>
  <c r="S9" i="29"/>
  <c r="S19" i="29"/>
  <c r="S23" i="29"/>
  <c r="S15" i="29"/>
  <c r="S17" i="29"/>
  <c r="S31" i="29"/>
  <c r="S14" i="29"/>
  <c r="S22" i="29"/>
  <c r="S13" i="29"/>
  <c r="S26" i="29"/>
  <c r="S27" i="29"/>
  <c r="S12" i="29"/>
  <c r="S32" i="29"/>
  <c r="S11" i="29"/>
  <c r="S18" i="29"/>
  <c r="S24" i="29"/>
  <c r="S30" i="29"/>
  <c r="T28" i="25"/>
  <c r="T32" i="25"/>
  <c r="T29" i="25"/>
  <c r="T30" i="25"/>
  <c r="T31" i="25"/>
  <c r="T28" i="26"/>
  <c r="T30" i="26"/>
  <c r="T31" i="26"/>
  <c r="T32" i="26"/>
  <c r="T29" i="26"/>
  <c r="T28" i="24"/>
  <c r="T31" i="24"/>
  <c r="T29" i="24"/>
  <c r="T32" i="24"/>
  <c r="T30" i="24"/>
  <c r="S14" i="31"/>
  <c r="S10" i="31"/>
  <c r="S19" i="31"/>
  <c r="S21" i="31"/>
  <c r="S25" i="31"/>
  <c r="S20" i="31"/>
  <c r="S13" i="31"/>
  <c r="S22" i="31"/>
  <c r="S27" i="31"/>
  <c r="S9" i="31"/>
  <c r="S31" i="31"/>
  <c r="S17" i="31"/>
  <c r="S11" i="31"/>
  <c r="S12" i="31"/>
  <c r="S30" i="31"/>
  <c r="S24" i="31"/>
  <c r="S23" i="31"/>
  <c r="S15" i="31"/>
  <c r="S16" i="31"/>
  <c r="S29" i="31"/>
  <c r="S18" i="31"/>
  <c r="S32" i="31"/>
  <c r="S8" i="31"/>
  <c r="S28" i="31"/>
  <c r="S26" i="31"/>
  <c r="T28" i="27"/>
  <c r="T30" i="27"/>
  <c r="T29" i="27"/>
  <c r="T32" i="27"/>
  <c r="T31" i="27"/>
  <c r="T28" i="28"/>
  <c r="T33" i="28"/>
  <c r="T40" i="28"/>
  <c r="T35" i="28"/>
  <c r="T38" i="28"/>
  <c r="T32" i="28"/>
  <c r="T34" i="28"/>
  <c r="T30" i="28"/>
  <c r="T31" i="28"/>
  <c r="T37" i="28"/>
  <c r="T39" i="28"/>
  <c r="T29" i="28"/>
  <c r="T36" i="28"/>
  <c r="S14" i="30"/>
  <c r="S17" i="30"/>
  <c r="S8" i="30"/>
  <c r="S13" i="30"/>
  <c r="S10" i="30"/>
  <c r="S16" i="30"/>
  <c r="S32" i="30"/>
  <c r="S19" i="30"/>
  <c r="S11" i="30"/>
  <c r="S12" i="30"/>
  <c r="S15" i="30"/>
  <c r="S27" i="30"/>
  <c r="S21" i="30"/>
  <c r="S18" i="30"/>
  <c r="S26" i="30"/>
  <c r="S31" i="30"/>
  <c r="S25" i="30"/>
  <c r="S9" i="30"/>
  <c r="S28" i="30"/>
  <c r="S30" i="30"/>
  <c r="S24" i="30"/>
  <c r="S23" i="30"/>
  <c r="S29" i="30"/>
  <c r="S20" i="30"/>
  <c r="S22" i="30"/>
  <c r="T28" i="22"/>
  <c r="T31" i="22"/>
  <c r="T30" i="22"/>
  <c r="T32" i="22"/>
  <c r="T29" i="22"/>
  <c r="T9" i="24"/>
  <c r="T12" i="24"/>
  <c r="T14" i="24"/>
  <c r="T16" i="24"/>
  <c r="T11" i="24"/>
  <c r="T10" i="24"/>
  <c r="T20" i="24"/>
  <c r="T13" i="24"/>
  <c r="T17" i="24"/>
  <c r="T15" i="24"/>
  <c r="T19" i="24"/>
  <c r="T23" i="24"/>
  <c r="T21" i="24"/>
  <c r="T18" i="24"/>
  <c r="T22" i="24"/>
  <c r="T25" i="24"/>
  <c r="T24" i="24"/>
  <c r="T27" i="24"/>
  <c r="T26" i="24"/>
  <c r="T8" i="24"/>
  <c r="T26" i="25"/>
  <c r="T9" i="25"/>
  <c r="T12" i="25"/>
  <c r="T13" i="25"/>
  <c r="T18" i="25"/>
  <c r="T20" i="25"/>
  <c r="T22" i="25"/>
  <c r="T11" i="25"/>
  <c r="T15" i="25"/>
  <c r="T21" i="25"/>
  <c r="T17" i="25"/>
  <c r="T25" i="25"/>
  <c r="T27" i="25"/>
  <c r="T23" i="25"/>
  <c r="T10" i="25"/>
  <c r="T16" i="25"/>
  <c r="T24" i="25"/>
  <c r="T14" i="25"/>
  <c r="T19" i="25"/>
  <c r="T24" i="26"/>
  <c r="T25" i="26"/>
  <c r="T27" i="26"/>
  <c r="T26" i="26"/>
  <c r="T10" i="26"/>
  <c r="T12" i="26"/>
  <c r="T11" i="26"/>
  <c r="T13" i="26"/>
  <c r="T14" i="26"/>
  <c r="T19" i="26"/>
  <c r="T21" i="26"/>
  <c r="T22" i="26"/>
  <c r="T18" i="26"/>
  <c r="T9" i="26"/>
  <c r="T15" i="26"/>
  <c r="T16" i="26"/>
  <c r="T20" i="26"/>
  <c r="T23" i="26"/>
  <c r="T17" i="26"/>
  <c r="T8" i="26"/>
  <c r="T9" i="22"/>
  <c r="T11" i="22"/>
  <c r="T14" i="22"/>
  <c r="T16" i="22"/>
  <c r="T18" i="22"/>
  <c r="T10" i="22"/>
  <c r="T15" i="22"/>
  <c r="T17" i="22"/>
  <c r="T19" i="22"/>
  <c r="T20" i="22"/>
  <c r="T13" i="22"/>
  <c r="T21" i="22"/>
  <c r="T22" i="22"/>
  <c r="T23" i="22"/>
  <c r="T24" i="22"/>
  <c r="T25" i="22"/>
  <c r="T26" i="22"/>
  <c r="T27" i="22"/>
  <c r="T9" i="27"/>
  <c r="T15" i="27"/>
  <c r="T14" i="27"/>
  <c r="T16" i="27"/>
  <c r="T11" i="27"/>
  <c r="T13" i="27"/>
  <c r="T18" i="27"/>
  <c r="T10" i="27"/>
  <c r="T17" i="27"/>
  <c r="T19" i="27"/>
  <c r="T22" i="27"/>
  <c r="T21" i="27"/>
  <c r="T23" i="27"/>
  <c r="T12" i="27"/>
  <c r="T24" i="27"/>
  <c r="T25" i="27"/>
  <c r="T20" i="27"/>
  <c r="T26" i="27"/>
  <c r="T27" i="27"/>
  <c r="T24" i="28"/>
  <c r="T9" i="28"/>
  <c r="T13" i="28"/>
  <c r="T17" i="28"/>
  <c r="T23" i="28"/>
  <c r="T10" i="28"/>
  <c r="T15" i="28"/>
  <c r="T16" i="28"/>
  <c r="T19" i="28"/>
  <c r="T21" i="28"/>
  <c r="T11" i="28"/>
  <c r="T12" i="28"/>
  <c r="T14" i="28"/>
  <c r="T18" i="28"/>
  <c r="T22" i="28"/>
  <c r="T27" i="28"/>
  <c r="T26" i="28"/>
  <c r="T25" i="28"/>
  <c r="T20" i="28"/>
  <c r="T8" i="28"/>
  <c r="BV49" i="37" l="1"/>
  <c r="BV48" i="37"/>
  <c r="BV46" i="37"/>
  <c r="BV52" i="37"/>
  <c r="BV51" i="37"/>
  <c r="BV50" i="37"/>
  <c r="BV47" i="37"/>
  <c r="BW50" i="40"/>
  <c r="BW48" i="40"/>
  <c r="BW46" i="40"/>
  <c r="BW52" i="40"/>
  <c r="BW47" i="40"/>
  <c r="BW49" i="40"/>
  <c r="BW51" i="40"/>
  <c r="BW47" i="25"/>
  <c r="BW46" i="25"/>
  <c r="BW48" i="25"/>
  <c r="BW51" i="25"/>
  <c r="BW49" i="25"/>
  <c r="BW50" i="25"/>
  <c r="BW52" i="25"/>
  <c r="BW46" i="22"/>
  <c r="BW48" i="22"/>
  <c r="BW49" i="22"/>
  <c r="BW52" i="22"/>
  <c r="BW47" i="22"/>
  <c r="BW50" i="22"/>
  <c r="BW51" i="22"/>
  <c r="BW48" i="26"/>
  <c r="BW46" i="26"/>
  <c r="BW47" i="26"/>
  <c r="BW49" i="26"/>
  <c r="BW51" i="26"/>
  <c r="BW50" i="26"/>
  <c r="BW52" i="26"/>
  <c r="BV46" i="30"/>
  <c r="BV47" i="30"/>
  <c r="BV49" i="30"/>
  <c r="BV51" i="30"/>
  <c r="BV50" i="30"/>
  <c r="BV52" i="30"/>
  <c r="BV48" i="30"/>
  <c r="BV47" i="32"/>
  <c r="BV51" i="32"/>
  <c r="BV48" i="32"/>
  <c r="BV52" i="32"/>
  <c r="BV46" i="32"/>
  <c r="BV49" i="32"/>
  <c r="BV50" i="32"/>
  <c r="BW47" i="44"/>
  <c r="BW52" i="44"/>
  <c r="BW46" i="44"/>
  <c r="BW49" i="44"/>
  <c r="BW48" i="44"/>
  <c r="BW51" i="44"/>
  <c r="BW50" i="44"/>
  <c r="BW46" i="50"/>
  <c r="BW51" i="50"/>
  <c r="BW47" i="50"/>
  <c r="BW50" i="50"/>
  <c r="BW48" i="50"/>
  <c r="BW52" i="50"/>
  <c r="BW49" i="50"/>
  <c r="BV51" i="31"/>
  <c r="BV49" i="31"/>
  <c r="BV46" i="31"/>
  <c r="BV52" i="31"/>
  <c r="BV50" i="31"/>
  <c r="BV47" i="31"/>
  <c r="BV48" i="31"/>
  <c r="BW50" i="27"/>
  <c r="BW49" i="27"/>
  <c r="BW52" i="27"/>
  <c r="BW46" i="27"/>
  <c r="BW48" i="27"/>
  <c r="BW47" i="27"/>
  <c r="BW51" i="27"/>
  <c r="BW49" i="24"/>
  <c r="BW46" i="24"/>
  <c r="BW47" i="24"/>
  <c r="BW51" i="24"/>
  <c r="BW48" i="24"/>
  <c r="BW52" i="24"/>
  <c r="BW50" i="24"/>
  <c r="BW43" i="44"/>
  <c r="BW34" i="44"/>
  <c r="BW36" i="44"/>
  <c r="BW45" i="44"/>
  <c r="BW38" i="44"/>
  <c r="BW40" i="44"/>
  <c r="BW33" i="44"/>
  <c r="BW42" i="44"/>
  <c r="BW35" i="44"/>
  <c r="BW37" i="44"/>
  <c r="BW39" i="44"/>
  <c r="BW41" i="44"/>
  <c r="BW44" i="44"/>
  <c r="BW52" i="29"/>
  <c r="BW49" i="29"/>
  <c r="BW50" i="29"/>
  <c r="BW51" i="29"/>
  <c r="BW47" i="29"/>
  <c r="BW46" i="29"/>
  <c r="BW48" i="29"/>
  <c r="BV34" i="31"/>
  <c r="BV35" i="31"/>
  <c r="BV38" i="31"/>
  <c r="BV40" i="31"/>
  <c r="BV44" i="31"/>
  <c r="BV42" i="31"/>
  <c r="BV43" i="31"/>
  <c r="BV37" i="31"/>
  <c r="BV45" i="31"/>
  <c r="BV33" i="31"/>
  <c r="BV36" i="31"/>
  <c r="BV39" i="31"/>
  <c r="BV41" i="31"/>
  <c r="BW44" i="24"/>
  <c r="BW39" i="24"/>
  <c r="BW42" i="24"/>
  <c r="BW37" i="24"/>
  <c r="BW35" i="24"/>
  <c r="BW36" i="24"/>
  <c r="BW41" i="24"/>
  <c r="BW38" i="24"/>
  <c r="BW40" i="24"/>
  <c r="BW33" i="24"/>
  <c r="BW43" i="24"/>
  <c r="BW45" i="24"/>
  <c r="BW34" i="24"/>
  <c r="BW36" i="27"/>
  <c r="BW43" i="27"/>
  <c r="BW41" i="27"/>
  <c r="BW40" i="27"/>
  <c r="BW44" i="27"/>
  <c r="BW45" i="27"/>
  <c r="BW34" i="27"/>
  <c r="BW35" i="27"/>
  <c r="BW33" i="27"/>
  <c r="BW39" i="27"/>
  <c r="BW37" i="27"/>
  <c r="BW42" i="27"/>
  <c r="BW38" i="27"/>
  <c r="BV33" i="37"/>
  <c r="BV44" i="37"/>
  <c r="BV41" i="37"/>
  <c r="BV42" i="37"/>
  <c r="BV43" i="37"/>
  <c r="BV38" i="37"/>
  <c r="BV40" i="37"/>
  <c r="BV39" i="37"/>
  <c r="BV45" i="37"/>
  <c r="BV34" i="37"/>
  <c r="BV35" i="37"/>
  <c r="BV36" i="37"/>
  <c r="BV37" i="37"/>
  <c r="BV38" i="32"/>
  <c r="BV34" i="32"/>
  <c r="BV35" i="32"/>
  <c r="BV39" i="32"/>
  <c r="BV36" i="32"/>
  <c r="BV40" i="32"/>
  <c r="BV45" i="32"/>
  <c r="BV42" i="32"/>
  <c r="BV43" i="32"/>
  <c r="BV44" i="32"/>
  <c r="BV33" i="32"/>
  <c r="BV41" i="32"/>
  <c r="BV37" i="32"/>
  <c r="BW45" i="50"/>
  <c r="BW39" i="50"/>
  <c r="BW37" i="50"/>
  <c r="BW36" i="50"/>
  <c r="BW35" i="50"/>
  <c r="BW34" i="50"/>
  <c r="BW33" i="50"/>
  <c r="BW43" i="50"/>
  <c r="BW38" i="50"/>
  <c r="BW40" i="50"/>
  <c r="BW41" i="50"/>
  <c r="BW42" i="50"/>
  <c r="BW44" i="50"/>
  <c r="BW39" i="40"/>
  <c r="BW37" i="40"/>
  <c r="BW38" i="40"/>
  <c r="BW34" i="40"/>
  <c r="BW44" i="40"/>
  <c r="BW43" i="40"/>
  <c r="BW40" i="40"/>
  <c r="BW45" i="40"/>
  <c r="BW33" i="40"/>
  <c r="BW35" i="40"/>
  <c r="BW36" i="40"/>
  <c r="BW42" i="40"/>
  <c r="BW41" i="40"/>
  <c r="BW43" i="25"/>
  <c r="BW45" i="25"/>
  <c r="BW39" i="25"/>
  <c r="BW41" i="25"/>
  <c r="BW42" i="25"/>
  <c r="BW44" i="25"/>
  <c r="BW34" i="25"/>
  <c r="BW36" i="25"/>
  <c r="BW37" i="25"/>
  <c r="BW33" i="25"/>
  <c r="BW38" i="25"/>
  <c r="BW40" i="25"/>
  <c r="BW35" i="25"/>
  <c r="BW38" i="22"/>
  <c r="BW34" i="22"/>
  <c r="BW36" i="22"/>
  <c r="BW35" i="22"/>
  <c r="BW33" i="22"/>
  <c r="BW42" i="22"/>
  <c r="BW40" i="22"/>
  <c r="BW41" i="22"/>
  <c r="BW43" i="22"/>
  <c r="BW37" i="22"/>
  <c r="BW39" i="22"/>
  <c r="BW45" i="22"/>
  <c r="BW44" i="22"/>
  <c r="BW33" i="26"/>
  <c r="BW38" i="26"/>
  <c r="BW40" i="26"/>
  <c r="BW37" i="26"/>
  <c r="BW41" i="26"/>
  <c r="BW44" i="26"/>
  <c r="BW36" i="26"/>
  <c r="BW34" i="26"/>
  <c r="BW42" i="26"/>
  <c r="BW43" i="26"/>
  <c r="BW45" i="26"/>
  <c r="BW35" i="26"/>
  <c r="BW39" i="26"/>
  <c r="BV34" i="30"/>
  <c r="BV42" i="30"/>
  <c r="BV38" i="30"/>
  <c r="BV41" i="30"/>
  <c r="BV35" i="30"/>
  <c r="BV40" i="30"/>
  <c r="BV44" i="30"/>
  <c r="BV45" i="30"/>
  <c r="BV39" i="30"/>
  <c r="BV43" i="30"/>
  <c r="BV33" i="30"/>
  <c r="BV36" i="30"/>
  <c r="BV37" i="30"/>
  <c r="BW44" i="29"/>
  <c r="BW40" i="29"/>
  <c r="BW37" i="29"/>
  <c r="BW41" i="29"/>
  <c r="BW45" i="29"/>
  <c r="BW43" i="29"/>
  <c r="BW38" i="29"/>
  <c r="BW39" i="29"/>
  <c r="BW34" i="29"/>
  <c r="BW35" i="29"/>
  <c r="BW42" i="29"/>
  <c r="BW33" i="29"/>
  <c r="BW36" i="29"/>
  <c r="BW8" i="27"/>
  <c r="BW8" i="44"/>
  <c r="M17" i="42"/>
  <c r="BV8" i="37"/>
  <c r="BW8" i="40"/>
  <c r="BW31" i="50"/>
  <c r="BW23" i="50"/>
  <c r="BW28" i="50"/>
  <c r="BW26" i="50"/>
  <c r="BW14" i="50"/>
  <c r="BW13" i="50"/>
  <c r="BW24" i="50"/>
  <c r="BW9" i="50"/>
  <c r="BW20" i="50"/>
  <c r="BW11" i="50"/>
  <c r="BW16" i="50"/>
  <c r="BW22" i="50"/>
  <c r="BW12" i="50"/>
  <c r="BW18" i="50"/>
  <c r="BW17" i="50"/>
  <c r="BW25" i="50"/>
  <c r="BW8" i="50"/>
  <c r="BW21" i="50"/>
  <c r="BW19" i="50"/>
  <c r="BW30" i="50"/>
  <c r="BW15" i="50"/>
  <c r="BW29" i="50"/>
  <c r="BW32" i="50"/>
  <c r="BW10" i="50"/>
  <c r="BW27" i="50"/>
  <c r="BX3" i="50"/>
  <c r="BX53" i="50" s="1"/>
  <c r="BX4" i="29"/>
  <c r="BX4" i="50"/>
  <c r="BX4" i="40"/>
  <c r="BX4" i="44"/>
  <c r="BW4" i="37"/>
  <c r="BX4" i="26"/>
  <c r="BX4" i="28"/>
  <c r="BX4" i="27"/>
  <c r="BW4" i="31"/>
  <c r="BX4" i="25"/>
  <c r="BX4" i="24"/>
  <c r="BX4" i="22"/>
  <c r="BW4" i="32"/>
  <c r="BW4" i="30"/>
  <c r="L4" i="50"/>
  <c r="N9" i="50"/>
  <c r="BW8" i="22"/>
  <c r="BV19" i="32"/>
  <c r="BV15" i="32"/>
  <c r="BV30" i="32"/>
  <c r="BV17" i="32"/>
  <c r="BV21" i="32"/>
  <c r="BV24" i="32"/>
  <c r="BV10" i="32"/>
  <c r="BV11" i="32"/>
  <c r="BV32" i="32"/>
  <c r="BV22" i="32"/>
  <c r="BV12" i="32"/>
  <c r="BV9" i="32"/>
  <c r="BV20" i="32"/>
  <c r="BV18" i="32"/>
  <c r="BV25" i="32"/>
  <c r="BV29" i="32"/>
  <c r="BV27" i="32"/>
  <c r="BV14" i="32"/>
  <c r="BV13" i="32"/>
  <c r="BV28" i="32"/>
  <c r="BV26" i="32"/>
  <c r="BV23" i="32"/>
  <c r="BV8" i="32"/>
  <c r="BV16" i="32"/>
  <c r="BV31" i="32"/>
  <c r="BW8" i="25"/>
  <c r="BW47" i="28"/>
  <c r="BW48" i="28"/>
  <c r="BW46" i="28"/>
  <c r="BX3" i="28"/>
  <c r="BX3" i="27"/>
  <c r="BX53" i="27" s="1"/>
  <c r="BX3" i="44"/>
  <c r="BX53" i="44" s="1"/>
  <c r="BX3" i="26"/>
  <c r="BX53" i="26" s="1"/>
  <c r="BX3" i="25"/>
  <c r="BX53" i="25" s="1"/>
  <c r="BX3" i="29"/>
  <c r="BX53" i="29" s="1"/>
  <c r="BX3" i="24"/>
  <c r="BX53" i="24" s="1"/>
  <c r="BW3" i="30"/>
  <c r="BW53" i="30" s="1"/>
  <c r="BX3" i="22"/>
  <c r="BX53" i="22" s="1"/>
  <c r="BW3" i="37"/>
  <c r="BW53" i="37" s="1"/>
  <c r="BW3" i="32"/>
  <c r="BW53" i="32" s="1"/>
  <c r="BW3" i="31"/>
  <c r="BW53" i="31" s="1"/>
  <c r="BX3" i="40"/>
  <c r="BX53" i="40" s="1"/>
  <c r="V41" i="28"/>
  <c r="U44" i="28"/>
  <c r="U45" i="28"/>
  <c r="U21" i="44"/>
  <c r="U23" i="44"/>
  <c r="U9" i="44"/>
  <c r="U13" i="44"/>
  <c r="U11" i="44"/>
  <c r="U31" i="44"/>
  <c r="U19" i="44"/>
  <c r="U17" i="44"/>
  <c r="U15" i="44"/>
  <c r="U10" i="44"/>
  <c r="U14" i="44"/>
  <c r="U24" i="44"/>
  <c r="U26" i="44"/>
  <c r="U16" i="44"/>
  <c r="U20" i="44"/>
  <c r="U12" i="44"/>
  <c r="U25" i="44"/>
  <c r="U30" i="44"/>
  <c r="U27" i="44"/>
  <c r="U32" i="44"/>
  <c r="U18" i="44"/>
  <c r="U22" i="44"/>
  <c r="U29" i="44"/>
  <c r="U28" i="44"/>
  <c r="U20" i="40"/>
  <c r="U17" i="40"/>
  <c r="U9" i="40"/>
  <c r="U23" i="40"/>
  <c r="U27" i="40"/>
  <c r="U30" i="40"/>
  <c r="U31" i="40"/>
  <c r="U29" i="40"/>
  <c r="U21" i="40"/>
  <c r="U13" i="40"/>
  <c r="U19" i="40"/>
  <c r="U22" i="40"/>
  <c r="U32" i="40"/>
  <c r="U28" i="40"/>
  <c r="U24" i="40"/>
  <c r="U12" i="40"/>
  <c r="U15" i="40"/>
  <c r="U18" i="40"/>
  <c r="U16" i="40"/>
  <c r="U11" i="40"/>
  <c r="U26" i="40"/>
  <c r="U10" i="40"/>
  <c r="U14" i="40"/>
  <c r="U25" i="40"/>
  <c r="T23" i="37"/>
  <c r="T16" i="37"/>
  <c r="T12" i="37"/>
  <c r="T26" i="37"/>
  <c r="T22" i="37"/>
  <c r="T20" i="37"/>
  <c r="T13" i="37"/>
  <c r="T19" i="37"/>
  <c r="T14" i="37"/>
  <c r="T17" i="37"/>
  <c r="T18" i="37"/>
  <c r="T29" i="37"/>
  <c r="T27" i="37"/>
  <c r="T11" i="37"/>
  <c r="T9" i="37"/>
  <c r="T32" i="37"/>
  <c r="T10" i="37"/>
  <c r="T25" i="37"/>
  <c r="T24" i="37"/>
  <c r="T31" i="37"/>
  <c r="T28" i="37"/>
  <c r="T15" i="37"/>
  <c r="T21" i="37"/>
  <c r="T30" i="37"/>
  <c r="U43" i="28"/>
  <c r="U41" i="28"/>
  <c r="U42" i="28"/>
  <c r="V42" i="28"/>
  <c r="U28" i="24"/>
  <c r="U31" i="24"/>
  <c r="U30" i="24"/>
  <c r="U29" i="24"/>
  <c r="U32" i="24"/>
  <c r="T25" i="29"/>
  <c r="T18" i="29"/>
  <c r="T16" i="29"/>
  <c r="T12" i="29"/>
  <c r="T9" i="29"/>
  <c r="T28" i="29"/>
  <c r="T26" i="29"/>
  <c r="T30" i="29"/>
  <c r="T31" i="29"/>
  <c r="T24" i="29"/>
  <c r="T15" i="29"/>
  <c r="T11" i="29"/>
  <c r="T32" i="29"/>
  <c r="T23" i="29"/>
  <c r="T27" i="29"/>
  <c r="T22" i="29"/>
  <c r="T29" i="29"/>
  <c r="T14" i="29"/>
  <c r="T10" i="29"/>
  <c r="T21" i="29"/>
  <c r="T20" i="29"/>
  <c r="T17" i="29"/>
  <c r="T19" i="29"/>
  <c r="T8" i="29"/>
  <c r="T13" i="29"/>
  <c r="U28" i="26"/>
  <c r="U32" i="26"/>
  <c r="U31" i="26"/>
  <c r="U29" i="26"/>
  <c r="U30" i="26"/>
  <c r="V28" i="26"/>
  <c r="V29" i="26"/>
  <c r="V31" i="26"/>
  <c r="V30" i="26"/>
  <c r="V32" i="26"/>
  <c r="T9" i="30"/>
  <c r="T26" i="30"/>
  <c r="T27" i="30"/>
  <c r="T21" i="30"/>
  <c r="T13" i="30"/>
  <c r="T32" i="30"/>
  <c r="T22" i="30"/>
  <c r="T23" i="30"/>
  <c r="T24" i="30"/>
  <c r="T16" i="30"/>
  <c r="T18" i="30"/>
  <c r="T25" i="30"/>
  <c r="T11" i="30"/>
  <c r="T15" i="30"/>
  <c r="T17" i="30"/>
  <c r="T20" i="30"/>
  <c r="T30" i="30"/>
  <c r="T31" i="30"/>
  <c r="T14" i="30"/>
  <c r="T8" i="30"/>
  <c r="T28" i="30"/>
  <c r="T19" i="30"/>
  <c r="T10" i="30"/>
  <c r="T29" i="30"/>
  <c r="T12" i="30"/>
  <c r="T31" i="31"/>
  <c r="T16" i="31"/>
  <c r="T12" i="31"/>
  <c r="T30" i="31"/>
  <c r="T23" i="31"/>
  <c r="T26" i="31"/>
  <c r="T10" i="31"/>
  <c r="T8" i="31"/>
  <c r="T25" i="31"/>
  <c r="T29" i="31"/>
  <c r="T14" i="31"/>
  <c r="T20" i="31"/>
  <c r="T22" i="31"/>
  <c r="T13" i="31"/>
  <c r="T19" i="31"/>
  <c r="T9" i="31"/>
  <c r="T11" i="31"/>
  <c r="T18" i="31"/>
  <c r="T21" i="31"/>
  <c r="T27" i="31"/>
  <c r="T15" i="31"/>
  <c r="T28" i="31"/>
  <c r="T24" i="31"/>
  <c r="T32" i="31"/>
  <c r="T17" i="31"/>
  <c r="U28" i="27"/>
  <c r="U32" i="27"/>
  <c r="U31" i="27"/>
  <c r="U30" i="27"/>
  <c r="U29" i="27"/>
  <c r="V28" i="25"/>
  <c r="V32" i="25"/>
  <c r="V29" i="25"/>
  <c r="V31" i="25"/>
  <c r="V30" i="25"/>
  <c r="U28" i="28"/>
  <c r="U29" i="28"/>
  <c r="U33" i="28"/>
  <c r="U31" i="28"/>
  <c r="U36" i="28"/>
  <c r="U39" i="28"/>
  <c r="U35" i="28"/>
  <c r="U30" i="28"/>
  <c r="U40" i="28"/>
  <c r="U32" i="28"/>
  <c r="U37" i="28"/>
  <c r="U38" i="28"/>
  <c r="U34" i="28"/>
  <c r="V28" i="28"/>
  <c r="V34" i="28"/>
  <c r="V38" i="28"/>
  <c r="V39" i="28"/>
  <c r="V40" i="28"/>
  <c r="V30" i="28"/>
  <c r="V33" i="28"/>
  <c r="V35" i="28"/>
  <c r="V32" i="28"/>
  <c r="V36" i="28"/>
  <c r="V31" i="28"/>
  <c r="V37" i="28"/>
  <c r="V29" i="28"/>
  <c r="U28" i="25"/>
  <c r="U30" i="25"/>
  <c r="U29" i="25"/>
  <c r="U31" i="25"/>
  <c r="U32" i="25"/>
  <c r="V28" i="22"/>
  <c r="V31" i="22"/>
  <c r="V29" i="22"/>
  <c r="V30" i="22"/>
  <c r="V32" i="22"/>
  <c r="U28" i="22"/>
  <c r="U30" i="22"/>
  <c r="U32" i="22"/>
  <c r="U31" i="22"/>
  <c r="U29" i="22"/>
  <c r="U24" i="28"/>
  <c r="U13" i="28"/>
  <c r="U17" i="28"/>
  <c r="U20" i="28"/>
  <c r="U10" i="28"/>
  <c r="U15" i="28"/>
  <c r="U18" i="28"/>
  <c r="U22" i="28"/>
  <c r="U11" i="28"/>
  <c r="U16" i="28"/>
  <c r="U21" i="28"/>
  <c r="U23" i="28"/>
  <c r="U25" i="28"/>
  <c r="U9" i="28"/>
  <c r="U14" i="28"/>
  <c r="U12" i="28"/>
  <c r="U19" i="28"/>
  <c r="U26" i="28"/>
  <c r="U27" i="28"/>
  <c r="U8" i="28"/>
  <c r="V24" i="26"/>
  <c r="V25" i="26"/>
  <c r="V26" i="26"/>
  <c r="V27" i="26"/>
  <c r="V13" i="26"/>
  <c r="V19" i="26"/>
  <c r="V21" i="26"/>
  <c r="V11" i="26"/>
  <c r="V14" i="26"/>
  <c r="V16" i="26"/>
  <c r="V17" i="26"/>
  <c r="V18" i="26"/>
  <c r="V9" i="26"/>
  <c r="V10" i="26"/>
  <c r="V15" i="26"/>
  <c r="V23" i="26"/>
  <c r="V20" i="26"/>
  <c r="V12" i="26"/>
  <c r="V22" i="26"/>
  <c r="V8" i="26"/>
  <c r="U15" i="25"/>
  <c r="U19" i="25"/>
  <c r="U21" i="25"/>
  <c r="U10" i="25"/>
  <c r="U14" i="25"/>
  <c r="U26" i="25"/>
  <c r="U9" i="25"/>
  <c r="U13" i="25"/>
  <c r="U18" i="25"/>
  <c r="U22" i="25"/>
  <c r="U23" i="25"/>
  <c r="U12" i="25"/>
  <c r="U16" i="25"/>
  <c r="U20" i="25"/>
  <c r="U25" i="25"/>
  <c r="U24" i="25"/>
  <c r="U11" i="25"/>
  <c r="U27" i="25"/>
  <c r="U17" i="25"/>
  <c r="V24" i="28"/>
  <c r="V21" i="28"/>
  <c r="V22" i="28"/>
  <c r="V10" i="28"/>
  <c r="V20" i="28"/>
  <c r="V23" i="28"/>
  <c r="V11" i="28"/>
  <c r="V12" i="28"/>
  <c r="V15" i="28"/>
  <c r="V9" i="28"/>
  <c r="V13" i="28"/>
  <c r="V16" i="28"/>
  <c r="V19" i="28"/>
  <c r="V25" i="28"/>
  <c r="V14" i="28"/>
  <c r="V17" i="28"/>
  <c r="V26" i="28"/>
  <c r="V27" i="28"/>
  <c r="V18" i="28"/>
  <c r="V8" i="28"/>
  <c r="V13" i="27"/>
  <c r="V14" i="27"/>
  <c r="V11" i="27"/>
  <c r="V15" i="27"/>
  <c r="V22" i="27"/>
  <c r="V18" i="27"/>
  <c r="V16" i="27"/>
  <c r="V25" i="27"/>
  <c r="V24" i="27"/>
  <c r="U10" i="24"/>
  <c r="U11" i="24"/>
  <c r="U13" i="24"/>
  <c r="U15" i="24"/>
  <c r="U14" i="24"/>
  <c r="U9" i="24"/>
  <c r="U12" i="24"/>
  <c r="U16" i="24"/>
  <c r="U19" i="24"/>
  <c r="U23" i="24"/>
  <c r="U18" i="24"/>
  <c r="U22" i="24"/>
  <c r="U17" i="24"/>
  <c r="U20" i="24"/>
  <c r="U21" i="24"/>
  <c r="U25" i="24"/>
  <c r="U27" i="24"/>
  <c r="U26" i="24"/>
  <c r="U24" i="24"/>
  <c r="U8" i="24"/>
  <c r="U12" i="27"/>
  <c r="U13" i="27"/>
  <c r="U10" i="27"/>
  <c r="U15" i="27"/>
  <c r="U16" i="27"/>
  <c r="U11" i="27"/>
  <c r="U14" i="27"/>
  <c r="U21" i="27"/>
  <c r="U22" i="27"/>
  <c r="U9" i="27"/>
  <c r="U17" i="27"/>
  <c r="U19" i="27"/>
  <c r="U20" i="27"/>
  <c r="U23" i="27"/>
  <c r="U18" i="27"/>
  <c r="U24" i="27"/>
  <c r="U25" i="27"/>
  <c r="U27" i="27"/>
  <c r="U26" i="27"/>
  <c r="V22" i="24"/>
  <c r="U24" i="26"/>
  <c r="U25" i="26"/>
  <c r="U26" i="26"/>
  <c r="U27" i="26"/>
  <c r="U15" i="26"/>
  <c r="U17" i="26"/>
  <c r="U18" i="26"/>
  <c r="U19" i="26"/>
  <c r="U21" i="26"/>
  <c r="U23" i="26"/>
  <c r="U9" i="26"/>
  <c r="U16" i="26"/>
  <c r="U13" i="26"/>
  <c r="U20" i="26"/>
  <c r="U10" i="26"/>
  <c r="U11" i="26"/>
  <c r="U12" i="26"/>
  <c r="U14" i="26"/>
  <c r="U22" i="26"/>
  <c r="U8" i="26"/>
  <c r="U17" i="22"/>
  <c r="U22" i="22"/>
  <c r="U24" i="22"/>
  <c r="U13" i="22"/>
  <c r="U23" i="22"/>
  <c r="U11" i="22"/>
  <c r="U19" i="22"/>
  <c r="U10" i="22"/>
  <c r="U26" i="22"/>
  <c r="U21" i="22"/>
  <c r="U12" i="22"/>
  <c r="U27" i="22"/>
  <c r="U9" i="22"/>
  <c r="U14" i="22"/>
  <c r="U15" i="22"/>
  <c r="U16" i="22"/>
  <c r="U18" i="22"/>
  <c r="U20" i="22"/>
  <c r="U25" i="22"/>
  <c r="V12" i="25"/>
  <c r="V16" i="25"/>
  <c r="V11" i="25"/>
  <c r="V15" i="25"/>
  <c r="V26" i="25"/>
  <c r="V10" i="25"/>
  <c r="V14" i="25"/>
  <c r="V20" i="25"/>
  <c r="V21" i="25"/>
  <c r="V22" i="25"/>
  <c r="V24" i="25"/>
  <c r="V9" i="25"/>
  <c r="V19" i="25"/>
  <c r="V27" i="25"/>
  <c r="V13" i="25"/>
  <c r="V17" i="25"/>
  <c r="V18" i="25"/>
  <c r="V23" i="25"/>
  <c r="V25" i="25"/>
  <c r="V16" i="22"/>
  <c r="V25" i="22"/>
  <c r="V17" i="22"/>
  <c r="V10" i="22"/>
  <c r="V19" i="22"/>
  <c r="V13" i="22"/>
  <c r="V18" i="22"/>
  <c r="V22" i="22"/>
  <c r="V24" i="22"/>
  <c r="V14" i="22"/>
  <c r="V21" i="22"/>
  <c r="V27" i="22"/>
  <c r="V9" i="22"/>
  <c r="V11" i="22"/>
  <c r="V23" i="22"/>
  <c r="V12" i="22"/>
  <c r="V20" i="22"/>
  <c r="V26" i="22"/>
  <c r="V15" i="22"/>
  <c r="BW47" i="37" l="1"/>
  <c r="BW50" i="37"/>
  <c r="BW48" i="37"/>
  <c r="BW52" i="37"/>
  <c r="BW49" i="37"/>
  <c r="BW46" i="37"/>
  <c r="BW51" i="37"/>
  <c r="BX50" i="40"/>
  <c r="BX46" i="40"/>
  <c r="BX47" i="40"/>
  <c r="BX52" i="40"/>
  <c r="BX48" i="40"/>
  <c r="BX49" i="40"/>
  <c r="BX51" i="40"/>
  <c r="BW50" i="32"/>
  <c r="BW48" i="32"/>
  <c r="BW46" i="32"/>
  <c r="BW47" i="32"/>
  <c r="BW49" i="32"/>
  <c r="BW51" i="32"/>
  <c r="BW52" i="32"/>
  <c r="BX48" i="44"/>
  <c r="BX51" i="44"/>
  <c r="BX49" i="44"/>
  <c r="BX50" i="44"/>
  <c r="BX47" i="44"/>
  <c r="BX46" i="44"/>
  <c r="BX52" i="44"/>
  <c r="BX47" i="27"/>
  <c r="BX51" i="27"/>
  <c r="BX46" i="27"/>
  <c r="BX50" i="27"/>
  <c r="BX48" i="27"/>
  <c r="BX49" i="27"/>
  <c r="BX52" i="27"/>
  <c r="BX47" i="50"/>
  <c r="BX49" i="50"/>
  <c r="BX46" i="50"/>
  <c r="BX51" i="50"/>
  <c r="BX48" i="50"/>
  <c r="BX50" i="50"/>
  <c r="BX52" i="50"/>
  <c r="BX47" i="22"/>
  <c r="BX50" i="22"/>
  <c r="BX46" i="22"/>
  <c r="BX52" i="22"/>
  <c r="BX51" i="22"/>
  <c r="BX48" i="22"/>
  <c r="BX49" i="22"/>
  <c r="BX51" i="25"/>
  <c r="BX48" i="25"/>
  <c r="BX46" i="25"/>
  <c r="BX50" i="25"/>
  <c r="BX52" i="25"/>
  <c r="BX49" i="25"/>
  <c r="BX47" i="25"/>
  <c r="BW50" i="31"/>
  <c r="BW46" i="31"/>
  <c r="BW52" i="31"/>
  <c r="BW47" i="31"/>
  <c r="BW48" i="31"/>
  <c r="BW51" i="31"/>
  <c r="BW49" i="31"/>
  <c r="BW50" i="30"/>
  <c r="BW48" i="30"/>
  <c r="BW52" i="30"/>
  <c r="BW49" i="30"/>
  <c r="BW46" i="30"/>
  <c r="BW51" i="30"/>
  <c r="BW47" i="30"/>
  <c r="BX49" i="26"/>
  <c r="BX51" i="26"/>
  <c r="BX47" i="26"/>
  <c r="BX46" i="26"/>
  <c r="BX48" i="26"/>
  <c r="BX50" i="26"/>
  <c r="BX52" i="26"/>
  <c r="M16" i="42"/>
  <c r="M23" i="42" s="1"/>
  <c r="BX46" i="24"/>
  <c r="BX48" i="24"/>
  <c r="BX50" i="24"/>
  <c r="BX49" i="24"/>
  <c r="BX52" i="24"/>
  <c r="BX47" i="24"/>
  <c r="BX51" i="24"/>
  <c r="BX41" i="40"/>
  <c r="BX42" i="40"/>
  <c r="BX34" i="40"/>
  <c r="BX39" i="40"/>
  <c r="BX37" i="40"/>
  <c r="BX43" i="40"/>
  <c r="BX45" i="40"/>
  <c r="BX33" i="40"/>
  <c r="BX44" i="40"/>
  <c r="BX38" i="40"/>
  <c r="BX36" i="40"/>
  <c r="BX35" i="40"/>
  <c r="BX40" i="40"/>
  <c r="BX41" i="22"/>
  <c r="BX45" i="22"/>
  <c r="BX37" i="22"/>
  <c r="BX34" i="22"/>
  <c r="BX42" i="22"/>
  <c r="BX36" i="22"/>
  <c r="BX39" i="22"/>
  <c r="BX40" i="22"/>
  <c r="BX33" i="22"/>
  <c r="BX38" i="22"/>
  <c r="BX35" i="22"/>
  <c r="BX43" i="22"/>
  <c r="BX44" i="22"/>
  <c r="BX41" i="25"/>
  <c r="BX39" i="25"/>
  <c r="BX34" i="25"/>
  <c r="BX45" i="25"/>
  <c r="BX43" i="25"/>
  <c r="BX36" i="25"/>
  <c r="BX38" i="25"/>
  <c r="BX44" i="25"/>
  <c r="BX40" i="25"/>
  <c r="BX35" i="25"/>
  <c r="BX33" i="25"/>
  <c r="BX42" i="25"/>
  <c r="BX37" i="25"/>
  <c r="BW45" i="31"/>
  <c r="BW37" i="31"/>
  <c r="BW33" i="31"/>
  <c r="BW41" i="31"/>
  <c r="BW39" i="31"/>
  <c r="BW35" i="31"/>
  <c r="BW40" i="31"/>
  <c r="BW34" i="31"/>
  <c r="BW38" i="31"/>
  <c r="BW44" i="31"/>
  <c r="BW36" i="31"/>
  <c r="BW42" i="31"/>
  <c r="BW43" i="31"/>
  <c r="BW41" i="30"/>
  <c r="BW40" i="30"/>
  <c r="BW37" i="30"/>
  <c r="BW45" i="30"/>
  <c r="BW33" i="30"/>
  <c r="BW34" i="30"/>
  <c r="BW36" i="30"/>
  <c r="BW39" i="30"/>
  <c r="BW43" i="30"/>
  <c r="BW42" i="30"/>
  <c r="BW38" i="30"/>
  <c r="BW44" i="30"/>
  <c r="BW35" i="30"/>
  <c r="BX45" i="26"/>
  <c r="BX43" i="26"/>
  <c r="BX40" i="26"/>
  <c r="BX33" i="26"/>
  <c r="BX36" i="26"/>
  <c r="BX41" i="26"/>
  <c r="BX35" i="26"/>
  <c r="BX37" i="26"/>
  <c r="BX39" i="26"/>
  <c r="BX38" i="26"/>
  <c r="BX42" i="26"/>
  <c r="BX44" i="26"/>
  <c r="BX34" i="26"/>
  <c r="BW40" i="32"/>
  <c r="BW35" i="32"/>
  <c r="BW45" i="32"/>
  <c r="BW39" i="32"/>
  <c r="BW33" i="32"/>
  <c r="BW37" i="32"/>
  <c r="BW42" i="32"/>
  <c r="BW38" i="32"/>
  <c r="BW36" i="32"/>
  <c r="BW43" i="32"/>
  <c r="BW44" i="32"/>
  <c r="BW34" i="32"/>
  <c r="BW41" i="32"/>
  <c r="BX45" i="24"/>
  <c r="BX41" i="24"/>
  <c r="BX43" i="24"/>
  <c r="BX35" i="24"/>
  <c r="BX33" i="24"/>
  <c r="BX37" i="24"/>
  <c r="BX39" i="24"/>
  <c r="BX34" i="24"/>
  <c r="BX36" i="24"/>
  <c r="BX38" i="24"/>
  <c r="BX44" i="24"/>
  <c r="BX40" i="24"/>
  <c r="BX42" i="24"/>
  <c r="BX44" i="44"/>
  <c r="BX40" i="44"/>
  <c r="BX45" i="44"/>
  <c r="BX42" i="44"/>
  <c r="BX36" i="44"/>
  <c r="BX33" i="44"/>
  <c r="BX35" i="44"/>
  <c r="BX34" i="44"/>
  <c r="BX41" i="44"/>
  <c r="BX37" i="44"/>
  <c r="BX43" i="44"/>
  <c r="BX39" i="44"/>
  <c r="BX38" i="44"/>
  <c r="BW40" i="37"/>
  <c r="BW33" i="37"/>
  <c r="BW38" i="37"/>
  <c r="BW44" i="37"/>
  <c r="BW39" i="37"/>
  <c r="BW36" i="37"/>
  <c r="BW34" i="37"/>
  <c r="BW42" i="37"/>
  <c r="BW43" i="37"/>
  <c r="BW35" i="37"/>
  <c r="BW45" i="37"/>
  <c r="BW37" i="37"/>
  <c r="BW41" i="37"/>
  <c r="BX50" i="29"/>
  <c r="BX51" i="29"/>
  <c r="BX48" i="29"/>
  <c r="BX52" i="29"/>
  <c r="BX47" i="29"/>
  <c r="BX49" i="29"/>
  <c r="BX46" i="29"/>
  <c r="BX42" i="27"/>
  <c r="BX45" i="27"/>
  <c r="BX39" i="27"/>
  <c r="BX44" i="27"/>
  <c r="BX33" i="27"/>
  <c r="BX34" i="27"/>
  <c r="BX40" i="27"/>
  <c r="BX37" i="27"/>
  <c r="BX43" i="27"/>
  <c r="BX35" i="27"/>
  <c r="BX36" i="27"/>
  <c r="BX38" i="27"/>
  <c r="BX41" i="27"/>
  <c r="BX44" i="50"/>
  <c r="BX42" i="50"/>
  <c r="BX39" i="50"/>
  <c r="BX45" i="50"/>
  <c r="BX37" i="50"/>
  <c r="BX33" i="50"/>
  <c r="BX35" i="50"/>
  <c r="BX40" i="50"/>
  <c r="BX43" i="50"/>
  <c r="BX41" i="50"/>
  <c r="BX36" i="50"/>
  <c r="BX38" i="50"/>
  <c r="BX34" i="50"/>
  <c r="BX45" i="29"/>
  <c r="BX36" i="29"/>
  <c r="BX44" i="29"/>
  <c r="BX41" i="29"/>
  <c r="BX39" i="29"/>
  <c r="BX37" i="29"/>
  <c r="BX43" i="29"/>
  <c r="BX42" i="29"/>
  <c r="BX38" i="29"/>
  <c r="BX34" i="29"/>
  <c r="BX35" i="29"/>
  <c r="BX33" i="29"/>
  <c r="BX40" i="29"/>
  <c r="BX8" i="27"/>
  <c r="O9" i="50"/>
  <c r="N10" i="50" s="1"/>
  <c r="N9" i="26"/>
  <c r="BX8" i="44"/>
  <c r="BX8" i="40"/>
  <c r="BW8" i="37"/>
  <c r="BX13" i="50"/>
  <c r="BX26" i="50"/>
  <c r="BX22" i="50"/>
  <c r="BX12" i="50"/>
  <c r="BX19" i="50"/>
  <c r="BX30" i="50"/>
  <c r="BX32" i="50"/>
  <c r="BX29" i="50"/>
  <c r="BX10" i="50"/>
  <c r="BX8" i="50"/>
  <c r="BX24" i="50"/>
  <c r="BX14" i="50"/>
  <c r="BX21" i="50"/>
  <c r="BX27" i="50"/>
  <c r="BX9" i="50"/>
  <c r="BX28" i="50"/>
  <c r="BX16" i="50"/>
  <c r="BX31" i="50"/>
  <c r="BX18" i="50"/>
  <c r="BX25" i="50"/>
  <c r="BX11" i="50"/>
  <c r="BX23" i="50"/>
  <c r="BX20" i="50"/>
  <c r="BX17" i="50"/>
  <c r="BX15" i="50"/>
  <c r="BY3" i="50"/>
  <c r="BY53" i="50" s="1"/>
  <c r="BY4" i="29"/>
  <c r="BY4" i="50"/>
  <c r="BX4" i="37"/>
  <c r="BY4" i="26"/>
  <c r="BY4" i="28"/>
  <c r="BY4" i="27"/>
  <c r="BY4" i="40"/>
  <c r="BY4" i="44"/>
  <c r="BY4" i="25"/>
  <c r="BY4" i="24"/>
  <c r="BY4" i="22"/>
  <c r="BX4" i="32"/>
  <c r="BX4" i="30"/>
  <c r="BX4" i="31"/>
  <c r="BW27" i="32"/>
  <c r="BW23" i="32"/>
  <c r="BW31" i="32"/>
  <c r="BW8" i="32"/>
  <c r="BW28" i="32"/>
  <c r="BW16" i="32"/>
  <c r="BW18" i="32"/>
  <c r="BW9" i="32"/>
  <c r="BW13" i="32"/>
  <c r="BW15" i="32"/>
  <c r="BW22" i="32"/>
  <c r="BW20" i="32"/>
  <c r="BW24" i="32"/>
  <c r="BW11" i="32"/>
  <c r="BW12" i="32"/>
  <c r="BW17" i="32"/>
  <c r="BW10" i="32"/>
  <c r="BW21" i="32"/>
  <c r="BW25" i="32"/>
  <c r="BW29" i="32"/>
  <c r="BW14" i="32"/>
  <c r="BW19" i="32"/>
  <c r="BW32" i="32"/>
  <c r="BW26" i="32"/>
  <c r="BW30" i="32"/>
  <c r="BX8" i="22"/>
  <c r="BX8" i="25"/>
  <c r="BX47" i="28"/>
  <c r="BX48" i="28"/>
  <c r="BX46" i="28"/>
  <c r="BY3" i="26"/>
  <c r="BY53" i="26" s="1"/>
  <c r="BY3" i="25"/>
  <c r="BY53" i="25" s="1"/>
  <c r="BY3" i="24"/>
  <c r="BY53" i="24" s="1"/>
  <c r="BY3" i="29"/>
  <c r="BY53" i="29" s="1"/>
  <c r="BX3" i="30"/>
  <c r="BX53" i="30" s="1"/>
  <c r="BX3" i="32"/>
  <c r="BX53" i="32" s="1"/>
  <c r="BX3" i="37"/>
  <c r="BX53" i="37" s="1"/>
  <c r="BY3" i="44"/>
  <c r="BY53" i="44" s="1"/>
  <c r="BY3" i="22"/>
  <c r="BY53" i="22" s="1"/>
  <c r="BY3" i="28"/>
  <c r="BX3" i="31"/>
  <c r="BX53" i="31" s="1"/>
  <c r="BY3" i="40"/>
  <c r="BY53" i="40" s="1"/>
  <c r="BY3" i="27"/>
  <c r="BY53" i="27" s="1"/>
  <c r="V43" i="28"/>
  <c r="V26" i="27"/>
  <c r="V20" i="27"/>
  <c r="V19" i="27"/>
  <c r="V10" i="27"/>
  <c r="V9" i="27"/>
  <c r="V32" i="27"/>
  <c r="V30" i="27"/>
  <c r="V27" i="27"/>
  <c r="V21" i="27"/>
  <c r="V23" i="27"/>
  <c r="V17" i="27"/>
  <c r="V12" i="27"/>
  <c r="V31" i="27"/>
  <c r="V29" i="27"/>
  <c r="V28" i="27"/>
  <c r="V45" i="28"/>
  <c r="V44" i="28"/>
  <c r="W18" i="28"/>
  <c r="V11" i="44"/>
  <c r="V14" i="44"/>
  <c r="V9" i="44"/>
  <c r="V32" i="44"/>
  <c r="V20" i="44"/>
  <c r="V24" i="44"/>
  <c r="V30" i="44"/>
  <c r="V12" i="44"/>
  <c r="V10" i="44"/>
  <c r="V29" i="44"/>
  <c r="V16" i="44"/>
  <c r="V18" i="44"/>
  <c r="V13" i="44"/>
  <c r="V15" i="44"/>
  <c r="V17" i="44"/>
  <c r="V19" i="44"/>
  <c r="V21" i="44"/>
  <c r="V23" i="44"/>
  <c r="V26" i="44"/>
  <c r="V28" i="44"/>
  <c r="V25" i="44"/>
  <c r="V22" i="44"/>
  <c r="V27" i="44"/>
  <c r="V31" i="44"/>
  <c r="V9" i="40"/>
  <c r="V28" i="40"/>
  <c r="V21" i="40"/>
  <c r="V12" i="40"/>
  <c r="V19" i="40"/>
  <c r="V32" i="40"/>
  <c r="V24" i="40"/>
  <c r="V10" i="40"/>
  <c r="V11" i="40"/>
  <c r="V17" i="40"/>
  <c r="V23" i="40"/>
  <c r="V14" i="40"/>
  <c r="V29" i="40"/>
  <c r="V20" i="40"/>
  <c r="V18" i="40"/>
  <c r="V22" i="40"/>
  <c r="V26" i="40"/>
  <c r="V15" i="40"/>
  <c r="V27" i="40"/>
  <c r="V30" i="40"/>
  <c r="V31" i="40"/>
  <c r="V16" i="40"/>
  <c r="V13" i="40"/>
  <c r="V25" i="40"/>
  <c r="V11" i="24"/>
  <c r="U10" i="37"/>
  <c r="U28" i="37"/>
  <c r="U27" i="37"/>
  <c r="U17" i="37"/>
  <c r="U20" i="37"/>
  <c r="U11" i="37"/>
  <c r="U14" i="37"/>
  <c r="U16" i="37"/>
  <c r="U18" i="37"/>
  <c r="U19" i="37"/>
  <c r="U21" i="37"/>
  <c r="U22" i="37"/>
  <c r="U26" i="37"/>
  <c r="U32" i="37"/>
  <c r="U24" i="37"/>
  <c r="U30" i="37"/>
  <c r="U25" i="37"/>
  <c r="U31" i="37"/>
  <c r="U12" i="37"/>
  <c r="U23" i="37"/>
  <c r="U13" i="37"/>
  <c r="U9" i="37"/>
  <c r="U15" i="37"/>
  <c r="U29" i="37"/>
  <c r="V19" i="24"/>
  <c r="V10" i="24"/>
  <c r="V24" i="24"/>
  <c r="W31" i="24"/>
  <c r="W29" i="24"/>
  <c r="V28" i="24"/>
  <c r="V31" i="24"/>
  <c r="V32" i="24"/>
  <c r="V30" i="24"/>
  <c r="V29" i="24"/>
  <c r="V8" i="24"/>
  <c r="V25" i="24"/>
  <c r="V18" i="24"/>
  <c r="V20" i="24"/>
  <c r="V16" i="24"/>
  <c r="U11" i="31"/>
  <c r="U20" i="31"/>
  <c r="U12" i="31"/>
  <c r="U13" i="31"/>
  <c r="U18" i="31"/>
  <c r="U9" i="31"/>
  <c r="U22" i="31"/>
  <c r="U28" i="31"/>
  <c r="U24" i="31"/>
  <c r="U23" i="31"/>
  <c r="U27" i="31"/>
  <c r="U26" i="31"/>
  <c r="U19" i="31"/>
  <c r="U31" i="31"/>
  <c r="U17" i="31"/>
  <c r="U10" i="31"/>
  <c r="U30" i="31"/>
  <c r="U25" i="31"/>
  <c r="U29" i="31"/>
  <c r="U21" i="31"/>
  <c r="U14" i="31"/>
  <c r="U8" i="31"/>
  <c r="U32" i="31"/>
  <c r="U15" i="31"/>
  <c r="U16" i="31"/>
  <c r="U21" i="29"/>
  <c r="U19" i="29"/>
  <c r="U15" i="29"/>
  <c r="U8" i="29"/>
  <c r="U14" i="29"/>
  <c r="U22" i="29"/>
  <c r="U24" i="29"/>
  <c r="U25" i="29"/>
  <c r="U29" i="29"/>
  <c r="U17" i="29"/>
  <c r="U13" i="29"/>
  <c r="U12" i="29"/>
  <c r="U16" i="29"/>
  <c r="U20" i="29"/>
  <c r="U30" i="29"/>
  <c r="U32" i="29"/>
  <c r="U23" i="29"/>
  <c r="U11" i="29"/>
  <c r="U28" i="29"/>
  <c r="U31" i="29"/>
  <c r="U10" i="29"/>
  <c r="U27" i="29"/>
  <c r="U18" i="29"/>
  <c r="U9" i="29"/>
  <c r="U26" i="29"/>
  <c r="V26" i="24"/>
  <c r="V21" i="24"/>
  <c r="V13" i="24"/>
  <c r="V14" i="24"/>
  <c r="V15" i="24"/>
  <c r="V27" i="24"/>
  <c r="V17" i="24"/>
  <c r="V23" i="24"/>
  <c r="V9" i="24"/>
  <c r="V12" i="24"/>
  <c r="U30" i="30"/>
  <c r="U16" i="30"/>
  <c r="U12" i="30"/>
  <c r="U13" i="30"/>
  <c r="U14" i="30"/>
  <c r="U17" i="30"/>
  <c r="U22" i="30"/>
  <c r="U29" i="30"/>
  <c r="U8" i="30"/>
  <c r="U10" i="30"/>
  <c r="U23" i="30"/>
  <c r="U28" i="30"/>
  <c r="U9" i="30"/>
  <c r="U11" i="30"/>
  <c r="U18" i="30"/>
  <c r="U21" i="30"/>
  <c r="U31" i="30"/>
  <c r="U15" i="30"/>
  <c r="U24" i="30"/>
  <c r="U20" i="30"/>
  <c r="U26" i="30"/>
  <c r="U19" i="30"/>
  <c r="U32" i="30"/>
  <c r="U25" i="30"/>
  <c r="U27" i="30"/>
  <c r="W13" i="24"/>
  <c r="W12" i="24"/>
  <c r="W9" i="24"/>
  <c r="W21" i="24"/>
  <c r="W19" i="24"/>
  <c r="W10" i="24"/>
  <c r="W14" i="24"/>
  <c r="W22" i="24"/>
  <c r="W24" i="24"/>
  <c r="W27" i="24"/>
  <c r="W18" i="22"/>
  <c r="BX50" i="37" l="1"/>
  <c r="BX51" i="37"/>
  <c r="BX52" i="37"/>
  <c r="BX49" i="37"/>
  <c r="BX48" i="37"/>
  <c r="BX46" i="37"/>
  <c r="BX47" i="37"/>
  <c r="BY50" i="40"/>
  <c r="BY52" i="40"/>
  <c r="BY48" i="40"/>
  <c r="BY46" i="40"/>
  <c r="BY51" i="40"/>
  <c r="BY47" i="40"/>
  <c r="BY49" i="40"/>
  <c r="BX47" i="31"/>
  <c r="BX46" i="31"/>
  <c r="BX51" i="31"/>
  <c r="BX49" i="31"/>
  <c r="BX48" i="31"/>
  <c r="BX50" i="31"/>
  <c r="BX52" i="31"/>
  <c r="BX47" i="32"/>
  <c r="BX50" i="32"/>
  <c r="BX46" i="32"/>
  <c r="BX49" i="32"/>
  <c r="BX52" i="32"/>
  <c r="BX48" i="32"/>
  <c r="BX51" i="32"/>
  <c r="BY50" i="25"/>
  <c r="BY48" i="25"/>
  <c r="BY46" i="25"/>
  <c r="BY52" i="25"/>
  <c r="BY51" i="25"/>
  <c r="BY47" i="25"/>
  <c r="BY49" i="25"/>
  <c r="BY46" i="27"/>
  <c r="BY51" i="27"/>
  <c r="BY48" i="27"/>
  <c r="BY49" i="27"/>
  <c r="BY47" i="27"/>
  <c r="BY52" i="27"/>
  <c r="BY50" i="27"/>
  <c r="BY52" i="22"/>
  <c r="BY48" i="22"/>
  <c r="BY49" i="22"/>
  <c r="BY46" i="22"/>
  <c r="BY47" i="22"/>
  <c r="BY51" i="22"/>
  <c r="BY50" i="22"/>
  <c r="BX52" i="30"/>
  <c r="BX46" i="30"/>
  <c r="BX48" i="30"/>
  <c r="BX51" i="30"/>
  <c r="BX47" i="30"/>
  <c r="BX49" i="30"/>
  <c r="BX50" i="30"/>
  <c r="BY50" i="26"/>
  <c r="BY49" i="26"/>
  <c r="BY47" i="26"/>
  <c r="BY46" i="26"/>
  <c r="BY48" i="26"/>
  <c r="BY51" i="26"/>
  <c r="BY52" i="26"/>
  <c r="BY49" i="44"/>
  <c r="BY48" i="44"/>
  <c r="BY46" i="44"/>
  <c r="BY47" i="44"/>
  <c r="BY51" i="44"/>
  <c r="BY52" i="44"/>
  <c r="BY50" i="44"/>
  <c r="BY52" i="50"/>
  <c r="BY46" i="50"/>
  <c r="BY49" i="50"/>
  <c r="BY48" i="50"/>
  <c r="BY50" i="50"/>
  <c r="BY51" i="50"/>
  <c r="BY47" i="50"/>
  <c r="M18" i="42"/>
  <c r="D56" i="66" s="1"/>
  <c r="C56" i="66"/>
  <c r="BY47" i="24"/>
  <c r="BY51" i="24"/>
  <c r="BY49" i="24"/>
  <c r="BY46" i="24"/>
  <c r="BY48" i="24"/>
  <c r="BY52" i="24"/>
  <c r="BY50" i="24"/>
  <c r="BY33" i="27"/>
  <c r="BY39" i="27"/>
  <c r="BY38" i="27"/>
  <c r="BY43" i="27"/>
  <c r="BY41" i="27"/>
  <c r="BY44" i="27"/>
  <c r="BY45" i="27"/>
  <c r="BY37" i="27"/>
  <c r="BY34" i="27"/>
  <c r="BY36" i="27"/>
  <c r="BY40" i="27"/>
  <c r="BY42" i="27"/>
  <c r="BY35" i="27"/>
  <c r="BY42" i="22"/>
  <c r="BY44" i="22"/>
  <c r="BY37" i="22"/>
  <c r="BY36" i="22"/>
  <c r="BY40" i="22"/>
  <c r="BY38" i="22"/>
  <c r="BY43" i="22"/>
  <c r="BY33" i="22"/>
  <c r="BY39" i="22"/>
  <c r="BY35" i="22"/>
  <c r="BY41" i="22"/>
  <c r="BY34" i="22"/>
  <c r="BY45" i="22"/>
  <c r="BX40" i="30"/>
  <c r="BX36" i="30"/>
  <c r="BX44" i="30"/>
  <c r="BX38" i="30"/>
  <c r="BX43" i="30"/>
  <c r="BX34" i="30"/>
  <c r="BX39" i="30"/>
  <c r="BX45" i="30"/>
  <c r="BX42" i="30"/>
  <c r="BX41" i="30"/>
  <c r="BX33" i="30"/>
  <c r="BX37" i="30"/>
  <c r="BX35" i="30"/>
  <c r="BY45" i="26"/>
  <c r="BY42" i="26"/>
  <c r="BY41" i="26"/>
  <c r="BY43" i="26"/>
  <c r="BY37" i="26"/>
  <c r="BY40" i="26"/>
  <c r="BY35" i="26"/>
  <c r="BY36" i="26"/>
  <c r="BY34" i="26"/>
  <c r="BY39" i="26"/>
  <c r="BY38" i="26"/>
  <c r="BY44" i="26"/>
  <c r="BY33" i="26"/>
  <c r="BY39" i="40"/>
  <c r="BY37" i="40"/>
  <c r="BY36" i="40"/>
  <c r="BY34" i="40"/>
  <c r="BY40" i="40"/>
  <c r="BY33" i="40"/>
  <c r="BY44" i="40"/>
  <c r="BY38" i="40"/>
  <c r="BY45" i="40"/>
  <c r="BY35" i="40"/>
  <c r="BY43" i="40"/>
  <c r="BY42" i="40"/>
  <c r="BY41" i="40"/>
  <c r="BY41" i="44"/>
  <c r="BY39" i="44"/>
  <c r="BY36" i="44"/>
  <c r="BY35" i="44"/>
  <c r="BY33" i="44"/>
  <c r="BY37" i="44"/>
  <c r="BY40" i="44"/>
  <c r="BY44" i="44"/>
  <c r="BY42" i="44"/>
  <c r="BY45" i="44"/>
  <c r="BY38" i="44"/>
  <c r="BY43" i="44"/>
  <c r="BY34" i="44"/>
  <c r="BY50" i="29"/>
  <c r="BY51" i="29"/>
  <c r="BY47" i="29"/>
  <c r="BY52" i="29"/>
  <c r="BY46" i="29"/>
  <c r="BY48" i="29"/>
  <c r="BY49" i="29"/>
  <c r="BY40" i="50"/>
  <c r="BY38" i="50"/>
  <c r="BY33" i="50"/>
  <c r="BY42" i="50"/>
  <c r="BY43" i="50"/>
  <c r="BY41" i="50"/>
  <c r="BY44" i="50"/>
  <c r="BY36" i="50"/>
  <c r="BY45" i="50"/>
  <c r="BY35" i="50"/>
  <c r="BY34" i="50"/>
  <c r="BY37" i="50"/>
  <c r="BY39" i="50"/>
  <c r="BX45" i="31"/>
  <c r="BX34" i="31"/>
  <c r="BX44" i="31"/>
  <c r="BX40" i="31"/>
  <c r="BX33" i="31"/>
  <c r="BX41" i="31"/>
  <c r="BX38" i="31"/>
  <c r="BX37" i="31"/>
  <c r="BX36" i="31"/>
  <c r="BX42" i="31"/>
  <c r="BX39" i="31"/>
  <c r="BX35" i="31"/>
  <c r="BX43" i="31"/>
  <c r="BX38" i="37"/>
  <c r="BX33" i="37"/>
  <c r="BX34" i="37"/>
  <c r="BX35" i="37"/>
  <c r="BX36" i="37"/>
  <c r="BX37" i="37"/>
  <c r="BX39" i="37"/>
  <c r="BX45" i="37"/>
  <c r="BX44" i="37"/>
  <c r="BX41" i="37"/>
  <c r="BX42" i="37"/>
  <c r="BX43" i="37"/>
  <c r="BX40" i="37"/>
  <c r="BY39" i="24"/>
  <c r="BY43" i="24"/>
  <c r="BY45" i="24"/>
  <c r="BY37" i="24"/>
  <c r="BY35" i="24"/>
  <c r="BY33" i="24"/>
  <c r="BY44" i="24"/>
  <c r="BY34" i="24"/>
  <c r="BY42" i="24"/>
  <c r="BY41" i="24"/>
  <c r="BY40" i="24"/>
  <c r="BY38" i="24"/>
  <c r="BY36" i="24"/>
  <c r="BX44" i="32"/>
  <c r="BX40" i="32"/>
  <c r="BX39" i="32"/>
  <c r="BX35" i="32"/>
  <c r="BX37" i="32"/>
  <c r="BX45" i="32"/>
  <c r="BX36" i="32"/>
  <c r="BX41" i="32"/>
  <c r="BX34" i="32"/>
  <c r="BX33" i="32"/>
  <c r="BX42" i="32"/>
  <c r="BX38" i="32"/>
  <c r="BX43" i="32"/>
  <c r="BY40" i="25"/>
  <c r="BY44" i="25"/>
  <c r="BY43" i="25"/>
  <c r="BY45" i="25"/>
  <c r="BY35" i="25"/>
  <c r="BY33" i="25"/>
  <c r="BY34" i="25"/>
  <c r="BY38" i="25"/>
  <c r="BY39" i="25"/>
  <c r="BY37" i="25"/>
  <c r="BY41" i="25"/>
  <c r="BY42" i="25"/>
  <c r="BY36" i="25"/>
  <c r="BY45" i="29"/>
  <c r="BY42" i="29"/>
  <c r="BY43" i="29"/>
  <c r="BY39" i="29"/>
  <c r="BY38" i="29"/>
  <c r="BY35" i="29"/>
  <c r="BY44" i="29"/>
  <c r="BY34" i="29"/>
  <c r="BY36" i="29"/>
  <c r="BY40" i="29"/>
  <c r="BY33" i="29"/>
  <c r="BY37" i="29"/>
  <c r="BY41" i="29"/>
  <c r="BY8" i="27"/>
  <c r="O10" i="50"/>
  <c r="N11" i="50" s="1"/>
  <c r="N10" i="26"/>
  <c r="BY8" i="44"/>
  <c r="BY8" i="40"/>
  <c r="BX8" i="37"/>
  <c r="BY21" i="50"/>
  <c r="BY24" i="50"/>
  <c r="BY12" i="50"/>
  <c r="BY30" i="50"/>
  <c r="BY17" i="50"/>
  <c r="BY28" i="50"/>
  <c r="BY18" i="50"/>
  <c r="BY8" i="50"/>
  <c r="BY32" i="50"/>
  <c r="BY16" i="50"/>
  <c r="BY14" i="50"/>
  <c r="BY29" i="50"/>
  <c r="BY15" i="50"/>
  <c r="BY31" i="50"/>
  <c r="BY11" i="50"/>
  <c r="BY23" i="50"/>
  <c r="BY19" i="50"/>
  <c r="BY10" i="50"/>
  <c r="BY27" i="50"/>
  <c r="BY22" i="50"/>
  <c r="BY9" i="50"/>
  <c r="BY20" i="50"/>
  <c r="BY26" i="50"/>
  <c r="BY13" i="50"/>
  <c r="BY25" i="50"/>
  <c r="BZ3" i="50"/>
  <c r="BZ53" i="50" s="1"/>
  <c r="BZ4" i="29"/>
  <c r="BZ4" i="50"/>
  <c r="BZ4" i="28"/>
  <c r="BZ4" i="27"/>
  <c r="BZ4" i="40"/>
  <c r="BZ4" i="44"/>
  <c r="BY4" i="37"/>
  <c r="BZ4" i="26"/>
  <c r="BZ4" i="24"/>
  <c r="BZ4" i="22"/>
  <c r="BY4" i="32"/>
  <c r="BY4" i="31"/>
  <c r="BZ4" i="25"/>
  <c r="BY4" i="30"/>
  <c r="BY8" i="22"/>
  <c r="BX26" i="32"/>
  <c r="BX12" i="32"/>
  <c r="BX22" i="32"/>
  <c r="BX13" i="32"/>
  <c r="BX27" i="32"/>
  <c r="BX23" i="32"/>
  <c r="BX20" i="32"/>
  <c r="BX31" i="32"/>
  <c r="BX9" i="32"/>
  <c r="BX32" i="32"/>
  <c r="BX16" i="32"/>
  <c r="BX30" i="32"/>
  <c r="BX11" i="32"/>
  <c r="BX15" i="32"/>
  <c r="BX14" i="32"/>
  <c r="BX17" i="32"/>
  <c r="BX24" i="32"/>
  <c r="BX10" i="32"/>
  <c r="BX25" i="32"/>
  <c r="BX28" i="32"/>
  <c r="BX29" i="32"/>
  <c r="BX18" i="32"/>
  <c r="BX19" i="32"/>
  <c r="BX21" i="32"/>
  <c r="BX8" i="32"/>
  <c r="BY8" i="25"/>
  <c r="BY48" i="28"/>
  <c r="BY46" i="28"/>
  <c r="BY47" i="28"/>
  <c r="BZ3" i="22"/>
  <c r="BZ53" i="22" s="1"/>
  <c r="BY3" i="31"/>
  <c r="BY53" i="31" s="1"/>
  <c r="BY3" i="30"/>
  <c r="BY53" i="30" s="1"/>
  <c r="BZ3" i="40"/>
  <c r="BZ53" i="40" s="1"/>
  <c r="BZ3" i="29"/>
  <c r="BZ53" i="29" s="1"/>
  <c r="BZ3" i="28"/>
  <c r="BZ3" i="25"/>
  <c r="BZ53" i="25" s="1"/>
  <c r="BZ3" i="44"/>
  <c r="BZ53" i="44" s="1"/>
  <c r="BZ3" i="24"/>
  <c r="BZ53" i="24" s="1"/>
  <c r="BY3" i="37"/>
  <c r="BY53" i="37" s="1"/>
  <c r="BZ3" i="26"/>
  <c r="BZ53" i="26" s="1"/>
  <c r="BY3" i="32"/>
  <c r="BY53" i="32" s="1"/>
  <c r="BZ3" i="27"/>
  <c r="BZ53" i="27" s="1"/>
  <c r="W32" i="24"/>
  <c r="W26" i="24"/>
  <c r="W18" i="24"/>
  <c r="W20" i="24"/>
  <c r="W11" i="24"/>
  <c r="W17" i="24"/>
  <c r="W30" i="24"/>
  <c r="W8" i="24"/>
  <c r="W25" i="24"/>
  <c r="W23" i="24"/>
  <c r="W15" i="24"/>
  <c r="W16" i="24"/>
  <c r="W15" i="28"/>
  <c r="W28" i="24"/>
  <c r="W44" i="28"/>
  <c r="W45" i="28"/>
  <c r="X31" i="28"/>
  <c r="W22" i="44"/>
  <c r="W10" i="44"/>
  <c r="W9" i="44"/>
  <c r="W14" i="44"/>
  <c r="W12" i="44"/>
  <c r="W18" i="44"/>
  <c r="W31" i="44"/>
  <c r="W20" i="44"/>
  <c r="W13" i="44"/>
  <c r="W29" i="44"/>
  <c r="W24" i="44"/>
  <c r="W16" i="44"/>
  <c r="W15" i="44"/>
  <c r="W26" i="44"/>
  <c r="W28" i="44"/>
  <c r="W25" i="44"/>
  <c r="W23" i="44"/>
  <c r="W21" i="44"/>
  <c r="W11" i="44"/>
  <c r="W19" i="44"/>
  <c r="W17" i="44"/>
  <c r="W32" i="44"/>
  <c r="W30" i="44"/>
  <c r="W27" i="44"/>
  <c r="W25" i="26"/>
  <c r="W9" i="40"/>
  <c r="W10" i="40"/>
  <c r="W26" i="40"/>
  <c r="W16" i="40"/>
  <c r="W17" i="40"/>
  <c r="W22" i="40"/>
  <c r="W32" i="40"/>
  <c r="W18" i="40"/>
  <c r="W30" i="40"/>
  <c r="W31" i="40"/>
  <c r="W28" i="40"/>
  <c r="W14" i="40"/>
  <c r="W11" i="40"/>
  <c r="W23" i="40"/>
  <c r="W19" i="40"/>
  <c r="W29" i="40"/>
  <c r="W13" i="40"/>
  <c r="W15" i="40"/>
  <c r="W20" i="40"/>
  <c r="W21" i="40"/>
  <c r="W12" i="40"/>
  <c r="W24" i="40"/>
  <c r="W25" i="40"/>
  <c r="W27" i="40"/>
  <c r="W14" i="28"/>
  <c r="W10" i="25"/>
  <c r="W12" i="27"/>
  <c r="W24" i="26"/>
  <c r="W24" i="27"/>
  <c r="W22" i="25"/>
  <c r="W16" i="25"/>
  <c r="W26" i="25"/>
  <c r="W21" i="25"/>
  <c r="W23" i="25"/>
  <c r="W24" i="25"/>
  <c r="W18" i="25"/>
  <c r="W11" i="25"/>
  <c r="W19" i="25"/>
  <c r="W9" i="25"/>
  <c r="W13" i="25"/>
  <c r="W25" i="25"/>
  <c r="W15" i="25"/>
  <c r="W20" i="25"/>
  <c r="W17" i="25"/>
  <c r="W12" i="25"/>
  <c r="W14" i="25"/>
  <c r="W27" i="25"/>
  <c r="W17" i="22"/>
  <c r="W22" i="22"/>
  <c r="W25" i="22"/>
  <c r="W12" i="28"/>
  <c r="W13" i="28"/>
  <c r="W16" i="22"/>
  <c r="W29" i="22"/>
  <c r="W24" i="22"/>
  <c r="W31" i="22"/>
  <c r="W26" i="22"/>
  <c r="W21" i="22"/>
  <c r="W11" i="22"/>
  <c r="W27" i="22"/>
  <c r="W23" i="22"/>
  <c r="W8" i="28"/>
  <c r="W25" i="28"/>
  <c r="W21" i="28"/>
  <c r="W32" i="22"/>
  <c r="W30" i="22"/>
  <c r="V10" i="37"/>
  <c r="V11" i="37"/>
  <c r="V14" i="37"/>
  <c r="V31" i="37"/>
  <c r="V9" i="37"/>
  <c r="V12" i="37"/>
  <c r="V26" i="37"/>
  <c r="V23" i="37"/>
  <c r="V15" i="37"/>
  <c r="V20" i="37"/>
  <c r="V22" i="37"/>
  <c r="V32" i="37"/>
  <c r="V30" i="37"/>
  <c r="V13" i="37"/>
  <c r="V21" i="37"/>
  <c r="V19" i="37"/>
  <c r="V16" i="37"/>
  <c r="V25" i="37"/>
  <c r="V28" i="37"/>
  <c r="V17" i="37"/>
  <c r="V18" i="37"/>
  <c r="V27" i="37"/>
  <c r="V24" i="37"/>
  <c r="V29" i="37"/>
  <c r="W12" i="22"/>
  <c r="W20" i="22"/>
  <c r="W14" i="22"/>
  <c r="W28" i="22"/>
  <c r="W9" i="22"/>
  <c r="W13" i="22"/>
  <c r="W19" i="22"/>
  <c r="W10" i="22"/>
  <c r="W15" i="22"/>
  <c r="W27" i="28"/>
  <c r="W23" i="28"/>
  <c r="W10" i="28"/>
  <c r="W18" i="27"/>
  <c r="W16" i="26"/>
  <c r="W21" i="27"/>
  <c r="W22" i="28"/>
  <c r="W9" i="28"/>
  <c r="W19" i="28"/>
  <c r="W11" i="28"/>
  <c r="W24" i="28"/>
  <c r="W19" i="26"/>
  <c r="W9" i="26"/>
  <c r="W25" i="27"/>
  <c r="W17" i="27"/>
  <c r="W26" i="28"/>
  <c r="W20" i="28"/>
  <c r="W16" i="28"/>
  <c r="W17" i="28"/>
  <c r="W11" i="26"/>
  <c r="W15" i="27"/>
  <c r="W22" i="27"/>
  <c r="W9" i="27"/>
  <c r="W8" i="26"/>
  <c r="W12" i="26"/>
  <c r="W17" i="26"/>
  <c r="W21" i="26"/>
  <c r="W27" i="26"/>
  <c r="W27" i="27"/>
  <c r="W13" i="27"/>
  <c r="W26" i="27"/>
  <c r="W14" i="27"/>
  <c r="W20" i="27"/>
  <c r="W10" i="27"/>
  <c r="W11" i="27"/>
  <c r="W18" i="26"/>
  <c r="W23" i="26"/>
  <c r="W15" i="26"/>
  <c r="W20" i="26"/>
  <c r="W26" i="26"/>
  <c r="W23" i="27"/>
  <c r="W19" i="27"/>
  <c r="W16" i="27"/>
  <c r="W10" i="26"/>
  <c r="W22" i="26"/>
  <c r="W14" i="26"/>
  <c r="W13" i="26"/>
  <c r="W43" i="28"/>
  <c r="W42" i="28"/>
  <c r="W41" i="28"/>
  <c r="X28" i="28"/>
  <c r="X33" i="28"/>
  <c r="X37" i="28"/>
  <c r="X34" i="28"/>
  <c r="W28" i="26"/>
  <c r="W29" i="26"/>
  <c r="W32" i="26"/>
  <c r="W30" i="26"/>
  <c r="W31" i="26"/>
  <c r="V23" i="31"/>
  <c r="V24" i="31"/>
  <c r="V8" i="31"/>
  <c r="V20" i="31"/>
  <c r="V22" i="31"/>
  <c r="V12" i="31"/>
  <c r="V29" i="31"/>
  <c r="V19" i="31"/>
  <c r="V9" i="31"/>
  <c r="V10" i="31"/>
  <c r="V18" i="31"/>
  <c r="V28" i="31"/>
  <c r="V31" i="31"/>
  <c r="V25" i="31"/>
  <c r="V15" i="31"/>
  <c r="V16" i="31"/>
  <c r="V13" i="31"/>
  <c r="V14" i="31"/>
  <c r="V27" i="31"/>
  <c r="V32" i="31"/>
  <c r="V30" i="31"/>
  <c r="V11" i="31"/>
  <c r="V17" i="31"/>
  <c r="V26" i="31"/>
  <c r="V21" i="31"/>
  <c r="W28" i="27"/>
  <c r="W29" i="27"/>
  <c r="W32" i="27"/>
  <c r="W31" i="27"/>
  <c r="W30" i="27"/>
  <c r="V25" i="30"/>
  <c r="V18" i="30"/>
  <c r="V22" i="30"/>
  <c r="V8" i="30"/>
  <c r="V11" i="30"/>
  <c r="V26" i="30"/>
  <c r="V10" i="30"/>
  <c r="V15" i="30"/>
  <c r="V21" i="30"/>
  <c r="V12" i="30"/>
  <c r="V24" i="30"/>
  <c r="V23" i="30"/>
  <c r="V32" i="30"/>
  <c r="V9" i="30"/>
  <c r="V20" i="30"/>
  <c r="V19" i="30"/>
  <c r="V16" i="30"/>
  <c r="V31" i="30"/>
  <c r="V13" i="30"/>
  <c r="V14" i="30"/>
  <c r="V17" i="30"/>
  <c r="V28" i="30"/>
  <c r="V29" i="30"/>
  <c r="V30" i="30"/>
  <c r="V27" i="30"/>
  <c r="X30" i="25"/>
  <c r="X28" i="27"/>
  <c r="X32" i="27"/>
  <c r="W28" i="28"/>
  <c r="W29" i="28"/>
  <c r="W30" i="28"/>
  <c r="W32" i="28"/>
  <c r="W34" i="28"/>
  <c r="W37" i="28"/>
  <c r="W39" i="28"/>
  <c r="W31" i="28"/>
  <c r="W36" i="28"/>
  <c r="W33" i="28"/>
  <c r="W35" i="28"/>
  <c r="W40" i="28"/>
  <c r="W38" i="28"/>
  <c r="W28" i="25"/>
  <c r="W29" i="25"/>
  <c r="W30" i="25"/>
  <c r="W31" i="25"/>
  <c r="W32" i="25"/>
  <c r="V27" i="29"/>
  <c r="V8" i="29"/>
  <c r="V14" i="29"/>
  <c r="V10" i="29"/>
  <c r="V28" i="29"/>
  <c r="V20" i="29"/>
  <c r="V24" i="29"/>
  <c r="V29" i="29"/>
  <c r="V17" i="29"/>
  <c r="V13" i="29"/>
  <c r="V19" i="29"/>
  <c r="V16" i="29"/>
  <c r="V12" i="29"/>
  <c r="V9" i="29"/>
  <c r="V32" i="29"/>
  <c r="V23" i="29"/>
  <c r="V25" i="29"/>
  <c r="V21" i="29"/>
  <c r="V18" i="29"/>
  <c r="V15" i="29"/>
  <c r="V22" i="29"/>
  <c r="V11" i="29"/>
  <c r="V30" i="29"/>
  <c r="V26" i="29"/>
  <c r="V31" i="29"/>
  <c r="X25" i="26"/>
  <c r="X21" i="26"/>
  <c r="X17" i="26"/>
  <c r="X10" i="24"/>
  <c r="X15" i="24"/>
  <c r="X17" i="24"/>
  <c r="X9" i="24"/>
  <c r="X16" i="24"/>
  <c r="X23" i="24"/>
  <c r="X22" i="24"/>
  <c r="X24" i="24"/>
  <c r="X27" i="24"/>
  <c r="X8" i="24"/>
  <c r="X10" i="28"/>
  <c r="X11" i="28"/>
  <c r="X14" i="28"/>
  <c r="X9" i="28"/>
  <c r="X22" i="28"/>
  <c r="X23" i="28"/>
  <c r="X17" i="28"/>
  <c r="X27" i="28"/>
  <c r="X26" i="28"/>
  <c r="X8" i="28"/>
  <c r="X9" i="25"/>
  <c r="X11" i="27"/>
  <c r="X16" i="27"/>
  <c r="X13" i="27"/>
  <c r="X17" i="27"/>
  <c r="X9" i="27"/>
  <c r="X10" i="27"/>
  <c r="X12" i="27"/>
  <c r="X14" i="27"/>
  <c r="X15" i="27"/>
  <c r="X19" i="27"/>
  <c r="X22" i="27"/>
  <c r="X18" i="27"/>
  <c r="X20" i="27"/>
  <c r="X23" i="27"/>
  <c r="X24" i="27"/>
  <c r="X21" i="27"/>
  <c r="X25" i="27"/>
  <c r="X27" i="27"/>
  <c r="X26" i="27"/>
  <c r="BZ49" i="40" l="1"/>
  <c r="BZ50" i="40"/>
  <c r="BZ51" i="40"/>
  <c r="BZ48" i="40"/>
  <c r="BZ52" i="40"/>
  <c r="BZ47" i="40"/>
  <c r="BZ46" i="40"/>
  <c r="BY49" i="37"/>
  <c r="BY52" i="37"/>
  <c r="BY51" i="37"/>
  <c r="BY48" i="37"/>
  <c r="BY47" i="37"/>
  <c r="BY50" i="37"/>
  <c r="BY46" i="37"/>
  <c r="BY49" i="31"/>
  <c r="BY52" i="31"/>
  <c r="BY46" i="31"/>
  <c r="BY50" i="31"/>
  <c r="BY48" i="31"/>
  <c r="BY47" i="31"/>
  <c r="BY51" i="31"/>
  <c r="BZ48" i="27"/>
  <c r="BZ46" i="27"/>
  <c r="BZ50" i="27"/>
  <c r="BZ51" i="27"/>
  <c r="BZ47" i="27"/>
  <c r="BZ52" i="27"/>
  <c r="BZ49" i="27"/>
  <c r="BZ49" i="22"/>
  <c r="BZ51" i="22"/>
  <c r="BZ46" i="22"/>
  <c r="BZ47" i="22"/>
  <c r="BZ48" i="22"/>
  <c r="BZ50" i="22"/>
  <c r="BZ52" i="22"/>
  <c r="BY52" i="32"/>
  <c r="BY48" i="32"/>
  <c r="BY47" i="32"/>
  <c r="BY49" i="32"/>
  <c r="BY51" i="32"/>
  <c r="BY46" i="32"/>
  <c r="BY50" i="32"/>
  <c r="BZ47" i="44"/>
  <c r="BZ48" i="44"/>
  <c r="BZ46" i="44"/>
  <c r="BZ49" i="44"/>
  <c r="BZ50" i="44"/>
  <c r="BZ51" i="44"/>
  <c r="BZ52" i="44"/>
  <c r="BZ48" i="50"/>
  <c r="BZ52" i="50"/>
  <c r="BZ50" i="50"/>
  <c r="BZ46" i="50"/>
  <c r="BZ47" i="50"/>
  <c r="BZ49" i="50"/>
  <c r="BZ51" i="50"/>
  <c r="BZ50" i="26"/>
  <c r="BZ47" i="26"/>
  <c r="BZ46" i="26"/>
  <c r="BZ48" i="26"/>
  <c r="BZ49" i="26"/>
  <c r="BZ52" i="26"/>
  <c r="BZ51" i="26"/>
  <c r="BZ50" i="25"/>
  <c r="BZ49" i="25"/>
  <c r="BZ52" i="25"/>
  <c r="BZ46" i="25"/>
  <c r="BZ51" i="25"/>
  <c r="BZ47" i="25"/>
  <c r="BZ48" i="25"/>
  <c r="BY52" i="30"/>
  <c r="BY50" i="30"/>
  <c r="BY48" i="30"/>
  <c r="BY47" i="30"/>
  <c r="BY51" i="30"/>
  <c r="BY46" i="30"/>
  <c r="BY49" i="30"/>
  <c r="BZ46" i="24"/>
  <c r="BZ48" i="24"/>
  <c r="BZ51" i="24"/>
  <c r="BZ47" i="24"/>
  <c r="BZ49" i="24"/>
  <c r="BZ52" i="24"/>
  <c r="BZ50" i="24"/>
  <c r="BY33" i="37"/>
  <c r="BY44" i="37"/>
  <c r="BY35" i="37"/>
  <c r="BY36" i="37"/>
  <c r="BY38" i="37"/>
  <c r="BY41" i="37"/>
  <c r="BY42" i="37"/>
  <c r="BY37" i="37"/>
  <c r="BY43" i="37"/>
  <c r="BY40" i="37"/>
  <c r="BY39" i="37"/>
  <c r="BY34" i="37"/>
  <c r="BY45" i="37"/>
  <c r="BY44" i="31"/>
  <c r="BY41" i="31"/>
  <c r="BY39" i="31"/>
  <c r="BY37" i="31"/>
  <c r="BY36" i="31"/>
  <c r="BY38" i="31"/>
  <c r="BY40" i="31"/>
  <c r="BY42" i="31"/>
  <c r="BY43" i="31"/>
  <c r="BY45" i="31"/>
  <c r="BY33" i="31"/>
  <c r="BY35" i="31"/>
  <c r="BY34" i="31"/>
  <c r="BZ39" i="27"/>
  <c r="BZ44" i="27"/>
  <c r="BZ36" i="27"/>
  <c r="BZ33" i="27"/>
  <c r="BZ41" i="27"/>
  <c r="BZ38" i="27"/>
  <c r="BZ42" i="27"/>
  <c r="BZ34" i="27"/>
  <c r="BZ43" i="27"/>
  <c r="BZ45" i="27"/>
  <c r="BZ37" i="27"/>
  <c r="BZ40" i="27"/>
  <c r="BZ35" i="27"/>
  <c r="BZ41" i="24"/>
  <c r="BZ34" i="24"/>
  <c r="BZ38" i="24"/>
  <c r="BZ40" i="24"/>
  <c r="BZ36" i="24"/>
  <c r="BZ44" i="24"/>
  <c r="BZ42" i="24"/>
  <c r="BZ45" i="24"/>
  <c r="BZ33" i="24"/>
  <c r="BZ35" i="24"/>
  <c r="BZ37" i="24"/>
  <c r="BZ39" i="24"/>
  <c r="BZ43" i="24"/>
  <c r="BZ51" i="29"/>
  <c r="BZ52" i="29"/>
  <c r="BZ50" i="29"/>
  <c r="BZ47" i="29"/>
  <c r="BZ46" i="29"/>
  <c r="BZ48" i="29"/>
  <c r="BZ49" i="29"/>
  <c r="BZ41" i="22"/>
  <c r="BZ43" i="22"/>
  <c r="BZ35" i="22"/>
  <c r="BZ37" i="22"/>
  <c r="BZ33" i="22"/>
  <c r="BZ38" i="22"/>
  <c r="BZ42" i="22"/>
  <c r="BZ40" i="22"/>
  <c r="BZ45" i="22"/>
  <c r="BZ36" i="22"/>
  <c r="BZ44" i="22"/>
  <c r="BZ34" i="22"/>
  <c r="BZ39" i="22"/>
  <c r="BY37" i="32"/>
  <c r="BY43" i="32"/>
  <c r="BY39" i="32"/>
  <c r="BY35" i="32"/>
  <c r="BY33" i="32"/>
  <c r="BY42" i="32"/>
  <c r="BY38" i="32"/>
  <c r="BY36" i="32"/>
  <c r="BY41" i="32"/>
  <c r="BY44" i="32"/>
  <c r="BY45" i="32"/>
  <c r="BY40" i="32"/>
  <c r="BY34" i="32"/>
  <c r="BZ45" i="44"/>
  <c r="BZ40" i="44"/>
  <c r="BZ38" i="44"/>
  <c r="BZ42" i="44"/>
  <c r="BZ34" i="44"/>
  <c r="BZ44" i="44"/>
  <c r="BZ37" i="44"/>
  <c r="BZ36" i="44"/>
  <c r="BZ41" i="44"/>
  <c r="BZ43" i="44"/>
  <c r="BZ35" i="44"/>
  <c r="BZ33" i="44"/>
  <c r="BZ39" i="44"/>
  <c r="BZ43" i="40"/>
  <c r="BZ41" i="40"/>
  <c r="BZ40" i="40"/>
  <c r="BZ44" i="40"/>
  <c r="BZ33" i="40"/>
  <c r="BZ36" i="40"/>
  <c r="BZ35" i="40"/>
  <c r="BZ37" i="40"/>
  <c r="BZ39" i="40"/>
  <c r="BZ38" i="40"/>
  <c r="BZ45" i="40"/>
  <c r="BZ42" i="40"/>
  <c r="BZ34" i="40"/>
  <c r="BZ43" i="50"/>
  <c r="BZ41" i="50"/>
  <c r="BZ34" i="50"/>
  <c r="BZ45" i="50"/>
  <c r="BZ35" i="50"/>
  <c r="BZ38" i="50"/>
  <c r="BZ40" i="50"/>
  <c r="BZ37" i="50"/>
  <c r="BZ39" i="50"/>
  <c r="BZ33" i="50"/>
  <c r="BZ36" i="50"/>
  <c r="BZ42" i="50"/>
  <c r="BZ44" i="50"/>
  <c r="BZ44" i="26"/>
  <c r="BZ39" i="26"/>
  <c r="BZ34" i="26"/>
  <c r="BZ42" i="26"/>
  <c r="BZ36" i="26"/>
  <c r="BZ38" i="26"/>
  <c r="BZ43" i="26"/>
  <c r="BZ35" i="26"/>
  <c r="BZ33" i="26"/>
  <c r="BZ37" i="26"/>
  <c r="BZ45" i="26"/>
  <c r="BZ41" i="26"/>
  <c r="BZ40" i="26"/>
  <c r="BZ33" i="25"/>
  <c r="BZ42" i="25"/>
  <c r="BZ39" i="25"/>
  <c r="BZ40" i="25"/>
  <c r="BZ35" i="25"/>
  <c r="BZ34" i="25"/>
  <c r="BZ44" i="25"/>
  <c r="BZ43" i="25"/>
  <c r="BZ45" i="25"/>
  <c r="BZ38" i="25"/>
  <c r="BZ41" i="25"/>
  <c r="BZ37" i="25"/>
  <c r="BZ36" i="25"/>
  <c r="BY43" i="30"/>
  <c r="BY39" i="30"/>
  <c r="BY40" i="30"/>
  <c r="BY35" i="30"/>
  <c r="BY45" i="30"/>
  <c r="BY33" i="30"/>
  <c r="BY38" i="30"/>
  <c r="BY41" i="30"/>
  <c r="BY44" i="30"/>
  <c r="BY42" i="30"/>
  <c r="BY36" i="30"/>
  <c r="BY34" i="30"/>
  <c r="BY37" i="30"/>
  <c r="BZ42" i="29"/>
  <c r="BZ45" i="29"/>
  <c r="BZ44" i="29"/>
  <c r="BZ39" i="29"/>
  <c r="BZ40" i="29"/>
  <c r="BZ34" i="29"/>
  <c r="BZ38" i="29"/>
  <c r="BZ33" i="29"/>
  <c r="BZ36" i="29"/>
  <c r="BZ37" i="29"/>
  <c r="BZ35" i="29"/>
  <c r="BZ43" i="29"/>
  <c r="BZ41" i="29"/>
  <c r="BZ8" i="27"/>
  <c r="O11" i="50"/>
  <c r="N12" i="50" s="1"/>
  <c r="N11" i="26"/>
  <c r="BZ8" i="44"/>
  <c r="BZ8" i="40"/>
  <c r="BY8" i="37"/>
  <c r="BZ14" i="50"/>
  <c r="BZ29" i="50"/>
  <c r="BZ8" i="50"/>
  <c r="BZ15" i="50"/>
  <c r="BZ25" i="50"/>
  <c r="BZ17" i="50"/>
  <c r="BZ12" i="50"/>
  <c r="BZ30" i="50"/>
  <c r="BZ11" i="50"/>
  <c r="BZ28" i="50"/>
  <c r="BZ22" i="50"/>
  <c r="BZ16" i="50"/>
  <c r="BZ13" i="50"/>
  <c r="BZ18" i="50"/>
  <c r="BZ24" i="50"/>
  <c r="BZ20" i="50"/>
  <c r="CA3" i="50"/>
  <c r="CA53" i="50" s="1"/>
  <c r="BZ19" i="50"/>
  <c r="BZ23" i="50"/>
  <c r="BZ31" i="50"/>
  <c r="BZ26" i="50"/>
  <c r="BZ9" i="50"/>
  <c r="BZ27" i="50"/>
  <c r="BZ21" i="50"/>
  <c r="BZ32" i="50"/>
  <c r="BZ10" i="50"/>
  <c r="CA4" i="29"/>
  <c r="CA4" i="50"/>
  <c r="CA4" i="27"/>
  <c r="CA4" i="40"/>
  <c r="CA4" i="44"/>
  <c r="BZ4" i="37"/>
  <c r="CA4" i="26"/>
  <c r="CA4" i="28"/>
  <c r="CA4" i="22"/>
  <c r="BZ4" i="32"/>
  <c r="BZ4" i="31"/>
  <c r="CA4" i="25"/>
  <c r="CA4" i="24"/>
  <c r="BZ4" i="30"/>
  <c r="BZ8" i="22"/>
  <c r="BY29" i="32"/>
  <c r="BY26" i="32"/>
  <c r="BY23" i="32"/>
  <c r="BY21" i="32"/>
  <c r="BY16" i="32"/>
  <c r="BY27" i="32"/>
  <c r="BY18" i="32"/>
  <c r="BY12" i="32"/>
  <c r="BY20" i="32"/>
  <c r="BY11" i="32"/>
  <c r="BY31" i="32"/>
  <c r="BY9" i="32"/>
  <c r="BY10" i="32"/>
  <c r="BY15" i="32"/>
  <c r="BY14" i="32"/>
  <c r="BY17" i="32"/>
  <c r="BY22" i="32"/>
  <c r="BY19" i="32"/>
  <c r="BY13" i="32"/>
  <c r="BY25" i="32"/>
  <c r="BY28" i="32"/>
  <c r="BY32" i="32"/>
  <c r="BY8" i="32"/>
  <c r="BY30" i="32"/>
  <c r="BY24" i="32"/>
  <c r="BZ8" i="25"/>
  <c r="BZ46" i="28"/>
  <c r="BZ48" i="28"/>
  <c r="BZ47" i="28"/>
  <c r="CA3" i="22"/>
  <c r="CA53" i="22" s="1"/>
  <c r="BZ3" i="32"/>
  <c r="BZ53" i="32" s="1"/>
  <c r="BZ3" i="31"/>
  <c r="BZ53" i="31" s="1"/>
  <c r="CA3" i="28"/>
  <c r="CA3" i="40"/>
  <c r="CA53" i="40" s="1"/>
  <c r="BZ3" i="30"/>
  <c r="BZ53" i="30" s="1"/>
  <c r="BZ3" i="37"/>
  <c r="BZ53" i="37" s="1"/>
  <c r="CA3" i="24"/>
  <c r="CA53" i="24" s="1"/>
  <c r="CA3" i="27"/>
  <c r="CA53" i="27" s="1"/>
  <c r="CA3" i="44"/>
  <c r="CA53" i="44" s="1"/>
  <c r="CA3" i="25"/>
  <c r="CA53" i="25" s="1"/>
  <c r="CA3" i="29"/>
  <c r="CA53" i="29" s="1"/>
  <c r="CA3" i="26"/>
  <c r="CA53" i="26" s="1"/>
  <c r="X20" i="28"/>
  <c r="X25" i="28"/>
  <c r="X13" i="28"/>
  <c r="X15" i="28"/>
  <c r="X16" i="28"/>
  <c r="X26" i="24"/>
  <c r="X20" i="24"/>
  <c r="X19" i="24"/>
  <c r="X18" i="24"/>
  <c r="X14" i="24"/>
  <c r="X30" i="28"/>
  <c r="X30" i="24"/>
  <c r="X42" i="28"/>
  <c r="X29" i="24"/>
  <c r="X43" i="28"/>
  <c r="X19" i="28"/>
  <c r="X12" i="28"/>
  <c r="X21" i="28"/>
  <c r="X18" i="28"/>
  <c r="X24" i="28"/>
  <c r="X25" i="24"/>
  <c r="X21" i="24"/>
  <c r="X12" i="24"/>
  <c r="X13" i="24"/>
  <c r="X11" i="24"/>
  <c r="X38" i="28"/>
  <c r="X16" i="26"/>
  <c r="X18" i="26"/>
  <c r="X45" i="28"/>
  <c r="X44" i="28"/>
  <c r="X13" i="44"/>
  <c r="X15" i="44"/>
  <c r="X25" i="44"/>
  <c r="X19" i="44"/>
  <c r="X9" i="44"/>
  <c r="X31" i="44"/>
  <c r="X29" i="44"/>
  <c r="X12" i="44"/>
  <c r="X26" i="44"/>
  <c r="X10" i="44"/>
  <c r="X28" i="44"/>
  <c r="X32" i="44"/>
  <c r="X16" i="44"/>
  <c r="X18" i="44"/>
  <c r="X27" i="44"/>
  <c r="X21" i="44"/>
  <c r="X11" i="44"/>
  <c r="X14" i="44"/>
  <c r="X23" i="44"/>
  <c r="X17" i="44"/>
  <c r="X20" i="44"/>
  <c r="X24" i="44"/>
  <c r="X30" i="44"/>
  <c r="X22" i="44"/>
  <c r="Y41" i="28"/>
  <c r="X31" i="26"/>
  <c r="X41" i="28"/>
  <c r="X29" i="40"/>
  <c r="X16" i="40"/>
  <c r="X15" i="40"/>
  <c r="X19" i="40"/>
  <c r="X26" i="40"/>
  <c r="X30" i="40"/>
  <c r="X12" i="40"/>
  <c r="X22" i="40"/>
  <c r="X24" i="40"/>
  <c r="X31" i="40"/>
  <c r="X32" i="40"/>
  <c r="X25" i="40"/>
  <c r="X18" i="40"/>
  <c r="X14" i="40"/>
  <c r="X13" i="40"/>
  <c r="X17" i="40"/>
  <c r="X10" i="40"/>
  <c r="X20" i="40"/>
  <c r="X9" i="40"/>
  <c r="X11" i="40"/>
  <c r="X23" i="40"/>
  <c r="X28" i="40"/>
  <c r="X21" i="40"/>
  <c r="X27" i="40"/>
  <c r="X28" i="26"/>
  <c r="X25" i="25"/>
  <c r="X12" i="25"/>
  <c r="X13" i="25"/>
  <c r="X14" i="25"/>
  <c r="X21" i="25"/>
  <c r="X17" i="25"/>
  <c r="X29" i="25"/>
  <c r="X20" i="25"/>
  <c r="X15" i="25"/>
  <c r="X26" i="25"/>
  <c r="X10" i="25"/>
  <c r="X11" i="25"/>
  <c r="X12" i="26"/>
  <c r="X15" i="26"/>
  <c r="X14" i="26"/>
  <c r="X13" i="26"/>
  <c r="X24" i="26"/>
  <c r="X30" i="26"/>
  <c r="X19" i="26"/>
  <c r="X23" i="25"/>
  <c r="X27" i="25"/>
  <c r="X8" i="26"/>
  <c r="X11" i="26"/>
  <c r="X20" i="26"/>
  <c r="X27" i="26"/>
  <c r="X32" i="25"/>
  <c r="X18" i="25"/>
  <c r="X24" i="25"/>
  <c r="X22" i="25"/>
  <c r="X19" i="25"/>
  <c r="X16" i="25"/>
  <c r="X9" i="26"/>
  <c r="X23" i="26"/>
  <c r="X10" i="26"/>
  <c r="X22" i="26"/>
  <c r="X26" i="26"/>
  <c r="X32" i="26"/>
  <c r="X29" i="27"/>
  <c r="X31" i="27"/>
  <c r="X28" i="25"/>
  <c r="X29" i="26"/>
  <c r="X31" i="25"/>
  <c r="W12" i="37"/>
  <c r="W20" i="37"/>
  <c r="W10" i="37"/>
  <c r="W18" i="37"/>
  <c r="W9" i="37"/>
  <c r="W27" i="37"/>
  <c r="W15" i="37"/>
  <c r="W17" i="37"/>
  <c r="W24" i="37"/>
  <c r="W25" i="37"/>
  <c r="W22" i="37"/>
  <c r="W26" i="37"/>
  <c r="W31" i="37"/>
  <c r="W11" i="37"/>
  <c r="W21" i="37"/>
  <c r="W19" i="37"/>
  <c r="W32" i="37"/>
  <c r="W29" i="37"/>
  <c r="W14" i="37"/>
  <c r="W30" i="37"/>
  <c r="W13" i="37"/>
  <c r="W16" i="37"/>
  <c r="W23" i="37"/>
  <c r="W28" i="37"/>
  <c r="X28" i="24"/>
  <c r="X32" i="24"/>
  <c r="X31" i="24"/>
  <c r="X30" i="27"/>
  <c r="X32" i="28"/>
  <c r="X39" i="28"/>
  <c r="X35" i="28"/>
  <c r="X25" i="22"/>
  <c r="X40" i="28"/>
  <c r="X36" i="28"/>
  <c r="X29" i="28"/>
  <c r="X18" i="22"/>
  <c r="X19" i="22"/>
  <c r="X12" i="22"/>
  <c r="X10" i="22"/>
  <c r="X13" i="22"/>
  <c r="X16" i="22"/>
  <c r="X28" i="22"/>
  <c r="X21" i="22"/>
  <c r="X9" i="22"/>
  <c r="X30" i="22"/>
  <c r="X17" i="22"/>
  <c r="X24" i="22"/>
  <c r="X11" i="22"/>
  <c r="X14" i="22"/>
  <c r="X26" i="22"/>
  <c r="X31" i="22"/>
  <c r="X20" i="22"/>
  <c r="X27" i="22"/>
  <c r="X22" i="22"/>
  <c r="X23" i="22"/>
  <c r="X15" i="22"/>
  <c r="X29" i="22"/>
  <c r="X32" i="22"/>
  <c r="Y43" i="28"/>
  <c r="W17" i="31"/>
  <c r="W13" i="31"/>
  <c r="W10" i="31"/>
  <c r="W9" i="31"/>
  <c r="W23" i="31"/>
  <c r="W14" i="31"/>
  <c r="W22" i="31"/>
  <c r="W29" i="31"/>
  <c r="W16" i="31"/>
  <c r="W24" i="31"/>
  <c r="W25" i="31"/>
  <c r="W12" i="31"/>
  <c r="W8" i="31"/>
  <c r="W15" i="31"/>
  <c r="W19" i="31"/>
  <c r="W11" i="31"/>
  <c r="W27" i="31"/>
  <c r="W18" i="31"/>
  <c r="W21" i="31"/>
  <c r="W32" i="31"/>
  <c r="W20" i="31"/>
  <c r="W28" i="31"/>
  <c r="W26" i="31"/>
  <c r="W31" i="31"/>
  <c r="W30" i="31"/>
  <c r="X25" i="31"/>
  <c r="X29" i="31"/>
  <c r="X31" i="31"/>
  <c r="X12" i="31"/>
  <c r="X15" i="31"/>
  <c r="X21" i="31"/>
  <c r="W15" i="30"/>
  <c r="W16" i="30"/>
  <c r="W8" i="30"/>
  <c r="W11" i="30"/>
  <c r="W12" i="30"/>
  <c r="W32" i="30"/>
  <c r="W13" i="30"/>
  <c r="W14" i="30"/>
  <c r="W27" i="30"/>
  <c r="W17" i="30"/>
  <c r="W19" i="30"/>
  <c r="W20" i="30"/>
  <c r="W29" i="30"/>
  <c r="W25" i="30"/>
  <c r="W21" i="30"/>
  <c r="W23" i="30"/>
  <c r="W18" i="30"/>
  <c r="W26" i="30"/>
  <c r="W30" i="30"/>
  <c r="W22" i="30"/>
  <c r="W28" i="30"/>
  <c r="W31" i="30"/>
  <c r="W24" i="30"/>
  <c r="W10" i="30"/>
  <c r="W9" i="30"/>
  <c r="X25" i="30"/>
  <c r="X21" i="30"/>
  <c r="X14" i="30"/>
  <c r="X32" i="30"/>
  <c r="X24" i="30"/>
  <c r="X20" i="30"/>
  <c r="X26" i="30"/>
  <c r="X18" i="30"/>
  <c r="X10" i="30"/>
  <c r="X23" i="30"/>
  <c r="X16" i="30"/>
  <c r="X17" i="30"/>
  <c r="X28" i="30"/>
  <c r="X22" i="30"/>
  <c r="X9" i="30"/>
  <c r="X13" i="30"/>
  <c r="X12" i="30"/>
  <c r="X29" i="30"/>
  <c r="X11" i="30"/>
  <c r="X8" i="30"/>
  <c r="X15" i="30"/>
  <c r="X30" i="30"/>
  <c r="X27" i="30"/>
  <c r="X31" i="30"/>
  <c r="X19" i="30"/>
  <c r="W8" i="29"/>
  <c r="W29" i="29"/>
  <c r="W27" i="29"/>
  <c r="W10" i="29"/>
  <c r="W9" i="29"/>
  <c r="W19" i="29"/>
  <c r="W23" i="29"/>
  <c r="W11" i="29"/>
  <c r="W17" i="29"/>
  <c r="W16" i="29"/>
  <c r="W25" i="29"/>
  <c r="W22" i="29"/>
  <c r="W14" i="29"/>
  <c r="W18" i="29"/>
  <c r="W32" i="29"/>
  <c r="W21" i="29"/>
  <c r="W28" i="29"/>
  <c r="W13" i="29"/>
  <c r="W31" i="29"/>
  <c r="W20" i="29"/>
  <c r="W15" i="29"/>
  <c r="W12" i="29"/>
  <c r="W24" i="29"/>
  <c r="W30" i="29"/>
  <c r="W26" i="29"/>
  <c r="Y28" i="27"/>
  <c r="Y29" i="27"/>
  <c r="Y31" i="27"/>
  <c r="X31" i="29"/>
  <c r="X22" i="29"/>
  <c r="X30" i="29"/>
  <c r="X14" i="29"/>
  <c r="X10" i="29"/>
  <c r="X23" i="29"/>
  <c r="X27" i="29"/>
  <c r="X20" i="29"/>
  <c r="X24" i="29"/>
  <c r="X13" i="29"/>
  <c r="X9" i="29"/>
  <c r="X21" i="29"/>
  <c r="X28" i="29"/>
  <c r="X29" i="29"/>
  <c r="X25" i="29"/>
  <c r="X18" i="29"/>
  <c r="X16" i="29"/>
  <c r="X12" i="29"/>
  <c r="X8" i="29"/>
  <c r="X32" i="29"/>
  <c r="X19" i="29"/>
  <c r="X11" i="29"/>
  <c r="X17" i="29"/>
  <c r="X26" i="29"/>
  <c r="X15" i="29"/>
  <c r="Y33" i="28"/>
  <c r="Y38" i="28"/>
  <c r="Y31" i="28"/>
  <c r="Y28" i="25"/>
  <c r="Y29" i="25"/>
  <c r="Y31" i="25"/>
  <c r="Y32" i="25"/>
  <c r="Y30" i="25"/>
  <c r="Y32" i="22"/>
  <c r="Y31" i="22"/>
  <c r="Y10" i="25"/>
  <c r="Y14" i="25"/>
  <c r="Y20" i="25"/>
  <c r="Y26" i="25"/>
  <c r="Y9" i="25"/>
  <c r="Y13" i="25"/>
  <c r="Y15" i="25"/>
  <c r="Y27" i="25"/>
  <c r="Y11" i="25"/>
  <c r="Y12" i="25"/>
  <c r="Y16" i="25"/>
  <c r="Y17" i="25"/>
  <c r="Y19" i="25"/>
  <c r="Y22" i="25"/>
  <c r="Y21" i="25"/>
  <c r="Y23" i="25"/>
  <c r="Y18" i="25"/>
  <c r="Y24" i="25"/>
  <c r="Y25" i="25"/>
  <c r="Y10" i="27"/>
  <c r="Y11" i="27"/>
  <c r="Y9" i="27"/>
  <c r="Y14" i="27"/>
  <c r="Y20" i="27"/>
  <c r="Y18" i="27"/>
  <c r="Y22" i="27"/>
  <c r="Y23" i="27"/>
  <c r="Y24" i="27"/>
  <c r="Y26" i="27"/>
  <c r="Y25" i="26"/>
  <c r="Y27" i="26"/>
  <c r="Y22" i="26"/>
  <c r="Y23" i="26"/>
  <c r="Y11" i="26"/>
  <c r="Y16" i="26"/>
  <c r="Y21" i="26"/>
  <c r="Y18" i="26"/>
  <c r="Y17" i="26"/>
  <c r="Y8" i="26"/>
  <c r="Y22" i="24"/>
  <c r="Y10" i="24"/>
  <c r="Y10" i="28"/>
  <c r="Y19" i="28"/>
  <c r="Y14" i="28"/>
  <c r="Y23" i="28"/>
  <c r="Y26" i="28"/>
  <c r="Y14" i="22"/>
  <c r="Y10" i="22"/>
  <c r="Y26" i="22"/>
  <c r="Y27" i="22"/>
  <c r="Y13" i="22"/>
  <c r="Y12" i="22"/>
  <c r="Y19" i="22"/>
  <c r="Y9" i="22"/>
  <c r="Y21" i="22"/>
  <c r="Y24" i="22"/>
  <c r="CA47" i="40" l="1"/>
  <c r="CA49" i="40"/>
  <c r="CA52" i="40"/>
  <c r="CA50" i="40"/>
  <c r="CA46" i="40"/>
  <c r="CA48" i="40"/>
  <c r="CA51" i="40"/>
  <c r="BZ51" i="37"/>
  <c r="BZ49" i="37"/>
  <c r="BZ52" i="37"/>
  <c r="BZ48" i="37"/>
  <c r="BZ50" i="37"/>
  <c r="BZ46" i="37"/>
  <c r="BZ47" i="37"/>
  <c r="CA51" i="25"/>
  <c r="CA48" i="25"/>
  <c r="CA47" i="25"/>
  <c r="CA49" i="25"/>
  <c r="CA46" i="25"/>
  <c r="CA50" i="25"/>
  <c r="CA52" i="25"/>
  <c r="BZ50" i="31"/>
  <c r="BZ49" i="31"/>
  <c r="BZ47" i="31"/>
  <c r="BZ51" i="31"/>
  <c r="BZ48" i="31"/>
  <c r="BZ46" i="31"/>
  <c r="BZ52" i="31"/>
  <c r="CA46" i="50"/>
  <c r="CA51" i="50"/>
  <c r="CA48" i="50"/>
  <c r="CA50" i="50"/>
  <c r="CA52" i="50"/>
  <c r="CA47" i="50"/>
  <c r="CA49" i="50"/>
  <c r="CA49" i="44"/>
  <c r="CA47" i="44"/>
  <c r="CA52" i="44"/>
  <c r="CA46" i="44"/>
  <c r="CA50" i="44"/>
  <c r="CA51" i="44"/>
  <c r="CA48" i="44"/>
  <c r="BZ46" i="30"/>
  <c r="BZ49" i="30"/>
  <c r="BZ51" i="30"/>
  <c r="BZ48" i="30"/>
  <c r="BZ50" i="30"/>
  <c r="BZ52" i="30"/>
  <c r="BZ47" i="30"/>
  <c r="BZ47" i="32"/>
  <c r="BZ48" i="32"/>
  <c r="BZ50" i="32"/>
  <c r="BZ51" i="32"/>
  <c r="BZ49" i="32"/>
  <c r="BZ52" i="32"/>
  <c r="BZ46" i="32"/>
  <c r="CA51" i="26"/>
  <c r="CA48" i="26"/>
  <c r="CA49" i="26"/>
  <c r="CA47" i="26"/>
  <c r="CA46" i="26"/>
  <c r="CA52" i="26"/>
  <c r="CA50" i="26"/>
  <c r="CA47" i="27"/>
  <c r="CA48" i="27"/>
  <c r="CA46" i="27"/>
  <c r="CA51" i="27"/>
  <c r="CA52" i="27"/>
  <c r="CA50" i="27"/>
  <c r="CA49" i="27"/>
  <c r="CA49" i="22"/>
  <c r="CA47" i="22"/>
  <c r="CA46" i="22"/>
  <c r="CA50" i="22"/>
  <c r="CA51" i="22"/>
  <c r="CA48" i="22"/>
  <c r="CA52" i="22"/>
  <c r="CA49" i="24"/>
  <c r="CA46" i="24"/>
  <c r="CA52" i="24"/>
  <c r="CA47" i="24"/>
  <c r="CA51" i="24"/>
  <c r="CA50" i="24"/>
  <c r="CA48" i="24"/>
  <c r="CA40" i="44"/>
  <c r="CA38" i="44"/>
  <c r="CA45" i="44"/>
  <c r="CA37" i="44"/>
  <c r="CA44" i="44"/>
  <c r="CA41" i="44"/>
  <c r="CA36" i="44"/>
  <c r="CA34" i="44"/>
  <c r="CA35" i="44"/>
  <c r="CA39" i="44"/>
  <c r="CA43" i="44"/>
  <c r="CA33" i="44"/>
  <c r="CA42" i="44"/>
  <c r="BZ38" i="30"/>
  <c r="BZ34" i="30"/>
  <c r="BZ42" i="30"/>
  <c r="BZ39" i="30"/>
  <c r="BZ43" i="30"/>
  <c r="BZ36" i="30"/>
  <c r="BZ37" i="30"/>
  <c r="BZ40" i="30"/>
  <c r="BZ41" i="30"/>
  <c r="BZ44" i="30"/>
  <c r="BZ45" i="30"/>
  <c r="BZ33" i="30"/>
  <c r="BZ35" i="30"/>
  <c r="BZ42" i="32"/>
  <c r="BZ38" i="32"/>
  <c r="BZ33" i="32"/>
  <c r="BZ36" i="32"/>
  <c r="BZ34" i="32"/>
  <c r="BZ41" i="32"/>
  <c r="BZ35" i="32"/>
  <c r="BZ39" i="32"/>
  <c r="BZ40" i="32"/>
  <c r="BZ45" i="32"/>
  <c r="BZ37" i="32"/>
  <c r="BZ43" i="32"/>
  <c r="BZ44" i="32"/>
  <c r="CA44" i="26"/>
  <c r="CA40" i="26"/>
  <c r="CA33" i="26"/>
  <c r="CA42" i="26"/>
  <c r="CA35" i="26"/>
  <c r="CA36" i="26"/>
  <c r="CA38" i="26"/>
  <c r="CA41" i="26"/>
  <c r="CA34" i="26"/>
  <c r="CA37" i="26"/>
  <c r="CA39" i="26"/>
  <c r="CA43" i="26"/>
  <c r="CA45" i="26"/>
  <c r="CA43" i="27"/>
  <c r="CA41" i="27"/>
  <c r="CA38" i="27"/>
  <c r="CA36" i="27"/>
  <c r="CA34" i="27"/>
  <c r="CA33" i="27"/>
  <c r="CA40" i="27"/>
  <c r="CA39" i="27"/>
  <c r="CA35" i="27"/>
  <c r="CA45" i="27"/>
  <c r="CA37" i="27"/>
  <c r="CA42" i="27"/>
  <c r="CA44" i="27"/>
  <c r="CA40" i="40"/>
  <c r="CA36" i="40"/>
  <c r="CA39" i="40"/>
  <c r="CA42" i="40"/>
  <c r="CA37" i="40"/>
  <c r="CA34" i="40"/>
  <c r="CA33" i="40"/>
  <c r="CA44" i="40"/>
  <c r="CA45" i="40"/>
  <c r="CA35" i="40"/>
  <c r="CA41" i="40"/>
  <c r="CA38" i="40"/>
  <c r="CA43" i="40"/>
  <c r="CA35" i="22"/>
  <c r="CA36" i="22"/>
  <c r="CA42" i="22"/>
  <c r="CA44" i="22"/>
  <c r="CA39" i="22"/>
  <c r="CA40" i="22"/>
  <c r="CA43" i="22"/>
  <c r="CA34" i="22"/>
  <c r="CA37" i="22"/>
  <c r="CA38" i="22"/>
  <c r="CA33" i="22"/>
  <c r="CA41" i="22"/>
  <c r="CA45" i="22"/>
  <c r="CA52" i="29"/>
  <c r="CA49" i="29"/>
  <c r="CA47" i="29"/>
  <c r="CA50" i="29"/>
  <c r="CA51" i="29"/>
  <c r="CA48" i="29"/>
  <c r="CA46" i="29"/>
  <c r="CA37" i="24"/>
  <c r="CA39" i="24"/>
  <c r="CA38" i="24"/>
  <c r="CA35" i="24"/>
  <c r="CA34" i="24"/>
  <c r="CA36" i="24"/>
  <c r="CA44" i="24"/>
  <c r="CA33" i="24"/>
  <c r="CA42" i="24"/>
  <c r="CA40" i="24"/>
  <c r="CA41" i="24"/>
  <c r="CA43" i="24"/>
  <c r="CA45" i="24"/>
  <c r="CA45" i="25"/>
  <c r="CA43" i="25"/>
  <c r="CA44" i="25"/>
  <c r="CA35" i="25"/>
  <c r="CA33" i="25"/>
  <c r="CA38" i="25"/>
  <c r="CA40" i="25"/>
  <c r="CA41" i="25"/>
  <c r="CA39" i="25"/>
  <c r="CA42" i="25"/>
  <c r="CA37" i="25"/>
  <c r="CA34" i="25"/>
  <c r="CA36" i="25"/>
  <c r="BZ33" i="37"/>
  <c r="BZ34" i="37"/>
  <c r="BZ35" i="37"/>
  <c r="BZ36" i="37"/>
  <c r="BZ37" i="37"/>
  <c r="BZ42" i="37"/>
  <c r="BZ43" i="37"/>
  <c r="BZ38" i="37"/>
  <c r="BZ40" i="37"/>
  <c r="BZ39" i="37"/>
  <c r="BZ45" i="37"/>
  <c r="BZ44" i="37"/>
  <c r="BZ41" i="37"/>
  <c r="BZ34" i="31"/>
  <c r="BZ36" i="31"/>
  <c r="BZ33" i="31"/>
  <c r="BZ40" i="31"/>
  <c r="BZ42" i="31"/>
  <c r="BZ43" i="31"/>
  <c r="BZ44" i="31"/>
  <c r="BZ35" i="31"/>
  <c r="BZ37" i="31"/>
  <c r="BZ41" i="31"/>
  <c r="BZ45" i="31"/>
  <c r="BZ38" i="31"/>
  <c r="BZ39" i="31"/>
  <c r="CA45" i="50"/>
  <c r="CA41" i="50"/>
  <c r="CA39" i="50"/>
  <c r="CA37" i="50"/>
  <c r="CA36" i="50"/>
  <c r="CA34" i="50"/>
  <c r="CA42" i="50"/>
  <c r="CA44" i="50"/>
  <c r="CA35" i="50"/>
  <c r="CA43" i="50"/>
  <c r="CA33" i="50"/>
  <c r="CA38" i="50"/>
  <c r="CA40" i="50"/>
  <c r="CA39" i="29"/>
  <c r="CA38" i="29"/>
  <c r="CA37" i="29"/>
  <c r="CA41" i="29"/>
  <c r="CA40" i="29"/>
  <c r="CA44" i="29"/>
  <c r="CA45" i="29"/>
  <c r="CA34" i="29"/>
  <c r="CA36" i="29"/>
  <c r="CA33" i="29"/>
  <c r="CA35" i="29"/>
  <c r="CA42" i="29"/>
  <c r="CA43" i="29"/>
  <c r="CA8" i="27"/>
  <c r="O12" i="50"/>
  <c r="N13" i="50" s="1"/>
  <c r="N12" i="26"/>
  <c r="CA8" i="44"/>
  <c r="CA8" i="40"/>
  <c r="BZ8" i="37"/>
  <c r="CA12" i="50"/>
  <c r="CA17" i="50"/>
  <c r="CA9" i="50"/>
  <c r="CA15" i="50"/>
  <c r="CA29" i="50"/>
  <c r="CA24" i="50"/>
  <c r="CA26" i="50"/>
  <c r="CA8" i="50"/>
  <c r="CA11" i="50"/>
  <c r="CA14" i="50"/>
  <c r="CA18" i="50"/>
  <c r="CA19" i="50"/>
  <c r="CA13" i="50"/>
  <c r="CA22" i="50"/>
  <c r="CA23" i="50"/>
  <c r="CA28" i="50"/>
  <c r="CA20" i="50"/>
  <c r="CA30" i="50"/>
  <c r="CA16" i="50"/>
  <c r="CA31" i="50"/>
  <c r="CA32" i="50"/>
  <c r="CA21" i="50"/>
  <c r="CA10" i="50"/>
  <c r="CA27" i="50"/>
  <c r="CA25" i="50"/>
  <c r="CB3" i="50"/>
  <c r="CB53" i="50" s="1"/>
  <c r="CB4" i="29"/>
  <c r="CB4" i="50"/>
  <c r="CB4" i="40"/>
  <c r="CB4" i="44"/>
  <c r="CA4" i="37"/>
  <c r="CB4" i="26"/>
  <c r="CB4" i="28"/>
  <c r="CB4" i="27"/>
  <c r="CA4" i="31"/>
  <c r="CB4" i="25"/>
  <c r="CB4" i="24"/>
  <c r="CB4" i="22"/>
  <c r="CA4" i="32"/>
  <c r="CA4" i="30"/>
  <c r="BZ29" i="32"/>
  <c r="BZ30" i="32"/>
  <c r="BZ21" i="32"/>
  <c r="BZ10" i="32"/>
  <c r="BZ15" i="32"/>
  <c r="BZ19" i="32"/>
  <c r="BZ17" i="32"/>
  <c r="BZ13" i="32"/>
  <c r="BZ23" i="32"/>
  <c r="BZ18" i="32"/>
  <c r="BZ28" i="32"/>
  <c r="BZ11" i="32"/>
  <c r="BZ22" i="32"/>
  <c r="BZ26" i="32"/>
  <c r="BZ25" i="32"/>
  <c r="BZ9" i="32"/>
  <c r="BZ20" i="32"/>
  <c r="BZ27" i="32"/>
  <c r="BZ24" i="32"/>
  <c r="BZ14" i="32"/>
  <c r="BZ16" i="32"/>
  <c r="BZ12" i="32"/>
  <c r="BZ32" i="32"/>
  <c r="BZ8" i="32"/>
  <c r="BZ31" i="32"/>
  <c r="CA8" i="22"/>
  <c r="CA8" i="25"/>
  <c r="CA47" i="28"/>
  <c r="CA48" i="28"/>
  <c r="CA46" i="28"/>
  <c r="CB3" i="24"/>
  <c r="CB53" i="24" s="1"/>
  <c r="CB3" i="22"/>
  <c r="CB53" i="22" s="1"/>
  <c r="CA3" i="32"/>
  <c r="CA53" i="32" s="1"/>
  <c r="CA3" i="31"/>
  <c r="CA53" i="31" s="1"/>
  <c r="CB3" i="40"/>
  <c r="CB53" i="40" s="1"/>
  <c r="CA3" i="30"/>
  <c r="CA53" i="30" s="1"/>
  <c r="CA3" i="37"/>
  <c r="CA53" i="37" s="1"/>
  <c r="CB3" i="28"/>
  <c r="CB3" i="27"/>
  <c r="CB53" i="27" s="1"/>
  <c r="CB3" i="25"/>
  <c r="CB53" i="25" s="1"/>
  <c r="CB3" i="29"/>
  <c r="CB53" i="29" s="1"/>
  <c r="CB3" i="44"/>
  <c r="CB53" i="44" s="1"/>
  <c r="CB3" i="26"/>
  <c r="CB53" i="26" s="1"/>
  <c r="Y21" i="28"/>
  <c r="Y18" i="28"/>
  <c r="Y36" i="28"/>
  <c r="Y30" i="28"/>
  <c r="Y20" i="28"/>
  <c r="Y13" i="28"/>
  <c r="Y24" i="28"/>
  <c r="Y34" i="28"/>
  <c r="Y42" i="28"/>
  <c r="Y23" i="22"/>
  <c r="Y25" i="22"/>
  <c r="Y17" i="28"/>
  <c r="Y27" i="27"/>
  <c r="Y21" i="27"/>
  <c r="Y12" i="27"/>
  <c r="Y29" i="22"/>
  <c r="Y30" i="22"/>
  <c r="Y35" i="28"/>
  <c r="Y37" i="28"/>
  <c r="Y29" i="28"/>
  <c r="Y32" i="27"/>
  <c r="Y30" i="24"/>
  <c r="Y15" i="22"/>
  <c r="Y22" i="22"/>
  <c r="Y20" i="22"/>
  <c r="Y8" i="28"/>
  <c r="Y9" i="28"/>
  <c r="Y16" i="28"/>
  <c r="Y11" i="28"/>
  <c r="Y8" i="24"/>
  <c r="Y13" i="24"/>
  <c r="Y17" i="27"/>
  <c r="Y18" i="22"/>
  <c r="Y11" i="22"/>
  <c r="Y17" i="22"/>
  <c r="Y16" i="22"/>
  <c r="Y27" i="28"/>
  <c r="Y25" i="28"/>
  <c r="Y12" i="28"/>
  <c r="Y22" i="28"/>
  <c r="Y15" i="28"/>
  <c r="Y25" i="24"/>
  <c r="Y25" i="27"/>
  <c r="Y15" i="27"/>
  <c r="Y19" i="27"/>
  <c r="Y16" i="27"/>
  <c r="Y13" i="27"/>
  <c r="Y28" i="22"/>
  <c r="Y39" i="28"/>
  <c r="Y40" i="28"/>
  <c r="Y32" i="28"/>
  <c r="Y28" i="28"/>
  <c r="Y30" i="27"/>
  <c r="Y15" i="26"/>
  <c r="Y10" i="26"/>
  <c r="Y9" i="26"/>
  <c r="Y13" i="26"/>
  <c r="Y24" i="26"/>
  <c r="X13" i="31"/>
  <c r="X28" i="31"/>
  <c r="X17" i="31"/>
  <c r="X23" i="31"/>
  <c r="X11" i="31"/>
  <c r="X8" i="31"/>
  <c r="X18" i="31"/>
  <c r="X30" i="31"/>
  <c r="Y30" i="26"/>
  <c r="X32" i="31"/>
  <c r="X9" i="31"/>
  <c r="X10" i="31"/>
  <c r="X22" i="31"/>
  <c r="X19" i="31"/>
  <c r="X24" i="31"/>
  <c r="Y32" i="26"/>
  <c r="Y31" i="26"/>
  <c r="Y29" i="26"/>
  <c r="Y20" i="26"/>
  <c r="Y12" i="26"/>
  <c r="Y14" i="26"/>
  <c r="Y19" i="26"/>
  <c r="Y26" i="26"/>
  <c r="X20" i="31"/>
  <c r="X27" i="31"/>
  <c r="X16" i="31"/>
  <c r="X14" i="31"/>
  <c r="X26" i="31"/>
  <c r="Y28" i="26"/>
  <c r="Z28" i="27"/>
  <c r="Y45" i="28"/>
  <c r="Y44" i="28"/>
  <c r="Y11" i="44"/>
  <c r="Y26" i="44"/>
  <c r="Y19" i="44"/>
  <c r="Y10" i="44"/>
  <c r="Y31" i="44"/>
  <c r="Y21" i="44"/>
  <c r="Y15" i="44"/>
  <c r="Y12" i="44"/>
  <c r="Y20" i="44"/>
  <c r="Y23" i="44"/>
  <c r="Y30" i="44"/>
  <c r="Y17" i="44"/>
  <c r="Y9" i="44"/>
  <c r="Y14" i="44"/>
  <c r="Y18" i="44"/>
  <c r="Y13" i="44"/>
  <c r="Y28" i="44"/>
  <c r="Y24" i="44"/>
  <c r="Y32" i="44"/>
  <c r="Y22" i="44"/>
  <c r="Y16" i="44"/>
  <c r="Y27" i="44"/>
  <c r="Y25" i="44"/>
  <c r="Y29" i="44"/>
  <c r="Y24" i="24"/>
  <c r="Y18" i="24"/>
  <c r="Y32" i="24"/>
  <c r="Y23" i="24"/>
  <c r="Y19" i="24"/>
  <c r="Y20" i="24"/>
  <c r="Y11" i="24"/>
  <c r="Y9" i="24"/>
  <c r="Y31" i="24"/>
  <c r="Y28" i="24"/>
  <c r="Y27" i="24"/>
  <c r="Y21" i="24"/>
  <c r="Y12" i="24"/>
  <c r="Y26" i="24"/>
  <c r="Y17" i="24"/>
  <c r="Y15" i="24"/>
  <c r="Y16" i="24"/>
  <c r="Y14" i="24"/>
  <c r="Y29" i="24"/>
  <c r="Y12" i="40"/>
  <c r="Y25" i="40"/>
  <c r="Y21" i="40"/>
  <c r="Y13" i="40"/>
  <c r="Y10" i="40"/>
  <c r="Y11" i="40"/>
  <c r="Y32" i="40"/>
  <c r="Y29" i="40"/>
  <c r="Y22" i="40"/>
  <c r="Y19" i="40"/>
  <c r="Y9" i="40"/>
  <c r="Y14" i="40"/>
  <c r="Y28" i="40"/>
  <c r="Y16" i="40"/>
  <c r="Y26" i="40"/>
  <c r="Y17" i="40"/>
  <c r="Y15" i="40"/>
  <c r="Y23" i="40"/>
  <c r="Y27" i="40"/>
  <c r="Y24" i="40"/>
  <c r="Y18" i="40"/>
  <c r="Y20" i="40"/>
  <c r="Y30" i="40"/>
  <c r="Y31" i="40"/>
  <c r="X29" i="37"/>
  <c r="X12" i="37"/>
  <c r="X15" i="37"/>
  <c r="X11" i="37"/>
  <c r="X9" i="37"/>
  <c r="X20" i="37"/>
  <c r="X14" i="37"/>
  <c r="X17" i="37"/>
  <c r="X18" i="37"/>
  <c r="X27" i="37"/>
  <c r="X23" i="37"/>
  <c r="X19" i="37"/>
  <c r="X26" i="37"/>
  <c r="X22" i="37"/>
  <c r="X16" i="37"/>
  <c r="X13" i="37"/>
  <c r="X30" i="37"/>
  <c r="X25" i="37"/>
  <c r="X31" i="37"/>
  <c r="X32" i="37"/>
  <c r="X21" i="37"/>
  <c r="X10" i="37"/>
  <c r="X24" i="37"/>
  <c r="X28" i="37"/>
  <c r="Y17" i="37"/>
  <c r="Y26" i="37"/>
  <c r="Y21" i="37"/>
  <c r="Y30" i="37"/>
  <c r="Y12" i="37"/>
  <c r="Y16" i="37"/>
  <c r="Z43" i="28"/>
  <c r="Z42" i="28"/>
  <c r="Z41" i="28"/>
  <c r="Z28" i="24"/>
  <c r="Z29" i="24"/>
  <c r="Z31" i="24"/>
  <c r="Z32" i="24"/>
  <c r="Z30" i="24"/>
  <c r="Y24" i="29"/>
  <c r="Y32" i="29"/>
  <c r="Y21" i="29"/>
  <c r="Y9" i="29"/>
  <c r="Y23" i="29"/>
  <c r="Y15" i="29"/>
  <c r="Y8" i="29"/>
  <c r="Y14" i="29"/>
  <c r="Y22" i="29"/>
  <c r="Y30" i="29"/>
  <c r="Y25" i="29"/>
  <c r="Y29" i="29"/>
  <c r="Y19" i="29"/>
  <c r="Y13" i="29"/>
  <c r="Y20" i="29"/>
  <c r="Y31" i="29"/>
  <c r="Y16" i="29"/>
  <c r="Y18" i="29"/>
  <c r="Y11" i="29"/>
  <c r="Y26" i="29"/>
  <c r="Y28" i="29"/>
  <c r="Y10" i="29"/>
  <c r="Y17" i="29"/>
  <c r="Y27" i="29"/>
  <c r="Y12" i="29"/>
  <c r="Z32" i="27"/>
  <c r="Y12" i="31"/>
  <c r="Y26" i="31"/>
  <c r="Y31" i="31"/>
  <c r="Y14" i="31"/>
  <c r="Y22" i="31"/>
  <c r="Y8" i="31"/>
  <c r="Y13" i="31"/>
  <c r="Y30" i="31"/>
  <c r="Y10" i="31"/>
  <c r="Y24" i="31"/>
  <c r="Y16" i="31"/>
  <c r="Y20" i="31"/>
  <c r="Y21" i="31"/>
  <c r="Y32" i="31"/>
  <c r="Y17" i="31"/>
  <c r="Y11" i="31"/>
  <c r="Y23" i="31"/>
  <c r="Y27" i="31"/>
  <c r="Y18" i="31"/>
  <c r="Y15" i="31"/>
  <c r="Y28" i="31"/>
  <c r="Y19" i="31"/>
  <c r="Y25" i="31"/>
  <c r="Y9" i="31"/>
  <c r="Y29" i="31"/>
  <c r="Z28" i="28"/>
  <c r="Z39" i="28"/>
  <c r="Z29" i="28"/>
  <c r="Z36" i="28"/>
  <c r="Z38" i="28"/>
  <c r="Z34" i="28"/>
  <c r="Z40" i="28"/>
  <c r="Z37" i="28"/>
  <c r="Z30" i="28"/>
  <c r="Z32" i="28"/>
  <c r="Z33" i="28"/>
  <c r="Z35" i="28"/>
  <c r="Z31" i="28"/>
  <c r="Z28" i="26"/>
  <c r="Z32" i="26"/>
  <c r="Z29" i="26"/>
  <c r="Z31" i="26"/>
  <c r="Z30" i="26"/>
  <c r="Z28" i="25"/>
  <c r="Z32" i="25"/>
  <c r="Z29" i="25"/>
  <c r="Y9" i="30"/>
  <c r="Y13" i="30"/>
  <c r="Y31" i="30"/>
  <c r="Y14" i="30"/>
  <c r="Y12" i="30"/>
  <c r="Y16" i="30"/>
  <c r="Y20" i="30"/>
  <c r="Y29" i="30"/>
  <c r="Y17" i="30"/>
  <c r="Y22" i="30"/>
  <c r="Y24" i="30"/>
  <c r="Y30" i="30"/>
  <c r="Y25" i="30"/>
  <c r="Y32" i="30"/>
  <c r="Y28" i="30"/>
  <c r="Y11" i="30"/>
  <c r="Y15" i="30"/>
  <c r="Y8" i="30"/>
  <c r="Y10" i="30"/>
  <c r="Y23" i="30"/>
  <c r="Y18" i="30"/>
  <c r="Y27" i="30"/>
  <c r="Y26" i="30"/>
  <c r="Y19" i="30"/>
  <c r="Y21" i="30"/>
  <c r="Z30" i="22"/>
  <c r="Z29" i="22"/>
  <c r="Z10" i="27"/>
  <c r="Z9" i="27"/>
  <c r="Z12" i="27"/>
  <c r="Z20" i="27"/>
  <c r="Z26" i="27"/>
  <c r="Z11" i="24"/>
  <c r="Z12" i="24"/>
  <c r="Z15" i="24"/>
  <c r="Z14" i="24"/>
  <c r="Z9" i="24"/>
  <c r="Z13" i="24"/>
  <c r="Z10" i="24"/>
  <c r="Z19" i="24"/>
  <c r="Z23" i="24"/>
  <c r="Z18" i="24"/>
  <c r="Z22" i="24"/>
  <c r="Z16" i="24"/>
  <c r="Z17" i="24"/>
  <c r="Z21" i="24"/>
  <c r="Z20" i="24"/>
  <c r="Z24" i="24"/>
  <c r="Z27" i="24"/>
  <c r="Z25" i="24"/>
  <c r="Z26" i="24"/>
  <c r="Z8" i="24"/>
  <c r="Z24" i="26"/>
  <c r="Z25" i="26"/>
  <c r="Z26" i="26"/>
  <c r="Z27" i="26"/>
  <c r="Z9" i="26"/>
  <c r="Z11" i="26"/>
  <c r="Z12" i="26"/>
  <c r="Z14" i="26"/>
  <c r="Z10" i="26"/>
  <c r="Z17" i="26"/>
  <c r="Z19" i="26"/>
  <c r="Z23" i="26"/>
  <c r="Z13" i="26"/>
  <c r="Z16" i="26"/>
  <c r="Z18" i="26"/>
  <c r="Z20" i="26"/>
  <c r="Z21" i="26"/>
  <c r="Z22" i="26"/>
  <c r="Z15" i="26"/>
  <c r="Z8" i="26"/>
  <c r="Z17" i="25"/>
  <c r="Z10" i="25"/>
  <c r="Z27" i="25"/>
  <c r="Z13" i="25"/>
  <c r="Z22" i="25"/>
  <c r="Z20" i="25"/>
  <c r="Z12" i="25"/>
  <c r="Z16" i="25"/>
  <c r="Z25" i="25"/>
  <c r="Z24" i="28"/>
  <c r="Z9" i="28"/>
  <c r="Z12" i="28"/>
  <c r="Z19" i="28"/>
  <c r="Z20" i="28"/>
  <c r="Z10" i="28"/>
  <c r="Z11" i="28"/>
  <c r="Z15" i="28"/>
  <c r="Z17" i="28"/>
  <c r="Z22" i="28"/>
  <c r="Z14" i="28"/>
  <c r="Z16" i="28"/>
  <c r="Z25" i="28"/>
  <c r="Z13" i="28"/>
  <c r="Z18" i="28"/>
  <c r="Z27" i="28"/>
  <c r="Z21" i="28"/>
  <c r="Z26" i="28"/>
  <c r="Z23" i="28"/>
  <c r="Z8" i="28"/>
  <c r="Z9" i="22"/>
  <c r="Z21" i="22"/>
  <c r="Z13" i="22"/>
  <c r="Z20" i="22"/>
  <c r="Z12" i="22"/>
  <c r="Z27" i="22"/>
  <c r="Z10" i="22"/>
  <c r="Z26" i="22"/>
  <c r="Z18" i="22"/>
  <c r="Z23" i="22"/>
  <c r="CB52" i="40" l="1"/>
  <c r="CB51" i="40"/>
  <c r="CB49" i="40"/>
  <c r="CB47" i="40"/>
  <c r="CB50" i="40"/>
  <c r="CB46" i="40"/>
  <c r="CB48" i="40"/>
  <c r="CA48" i="37"/>
  <c r="CA49" i="37"/>
  <c r="CA46" i="37"/>
  <c r="CA47" i="37"/>
  <c r="CA50" i="37"/>
  <c r="CA51" i="37"/>
  <c r="CA52" i="37"/>
  <c r="CB46" i="44"/>
  <c r="CB51" i="44"/>
  <c r="CB48" i="44"/>
  <c r="CB52" i="44"/>
  <c r="CB49" i="44"/>
  <c r="CB50" i="44"/>
  <c r="CB47" i="44"/>
  <c r="CA46" i="31"/>
  <c r="CA47" i="31"/>
  <c r="CA52" i="31"/>
  <c r="CA48" i="31"/>
  <c r="CA51" i="31"/>
  <c r="CA49" i="31"/>
  <c r="CA50" i="31"/>
  <c r="CB51" i="50"/>
  <c r="CB46" i="50"/>
  <c r="CB47" i="50"/>
  <c r="CB49" i="50"/>
  <c r="CB48" i="50"/>
  <c r="CB52" i="50"/>
  <c r="CB50" i="50"/>
  <c r="CA47" i="32"/>
  <c r="CA50" i="32"/>
  <c r="CA52" i="32"/>
  <c r="CA48" i="32"/>
  <c r="CA49" i="32"/>
  <c r="CA51" i="32"/>
  <c r="CA46" i="32"/>
  <c r="CB47" i="25"/>
  <c r="CB46" i="25"/>
  <c r="CB49" i="25"/>
  <c r="CB48" i="25"/>
  <c r="CB51" i="25"/>
  <c r="CB50" i="25"/>
  <c r="CB52" i="25"/>
  <c r="CA47" i="30"/>
  <c r="CA46" i="30"/>
  <c r="CA51" i="30"/>
  <c r="CA52" i="30"/>
  <c r="CA50" i="30"/>
  <c r="CA48" i="30"/>
  <c r="CA49" i="30"/>
  <c r="CB52" i="22"/>
  <c r="CB50" i="22"/>
  <c r="CB47" i="22"/>
  <c r="CB49" i="22"/>
  <c r="CB46" i="22"/>
  <c r="CB48" i="22"/>
  <c r="CB51" i="22"/>
  <c r="CB51" i="26"/>
  <c r="CB49" i="26"/>
  <c r="CB47" i="26"/>
  <c r="CB50" i="26"/>
  <c r="CB52" i="26"/>
  <c r="CB46" i="26"/>
  <c r="CB48" i="26"/>
  <c r="CB48" i="27"/>
  <c r="CB46" i="27"/>
  <c r="CB47" i="27"/>
  <c r="CB50" i="27"/>
  <c r="CB52" i="27"/>
  <c r="CB49" i="27"/>
  <c r="CB51" i="27"/>
  <c r="CB50" i="24"/>
  <c r="CB51" i="24"/>
  <c r="CB47" i="24"/>
  <c r="CB52" i="24"/>
  <c r="CB46" i="24"/>
  <c r="CB48" i="24"/>
  <c r="CB49" i="24"/>
  <c r="CB41" i="25"/>
  <c r="CB39" i="25"/>
  <c r="CB34" i="25"/>
  <c r="CB43" i="25"/>
  <c r="CB40" i="25"/>
  <c r="CB45" i="25"/>
  <c r="CB38" i="25"/>
  <c r="CB36" i="25"/>
  <c r="CB35" i="25"/>
  <c r="CB33" i="25"/>
  <c r="CB37" i="25"/>
  <c r="CB44" i="25"/>
  <c r="CB42" i="25"/>
  <c r="CA36" i="30"/>
  <c r="CA44" i="30"/>
  <c r="CA33" i="30"/>
  <c r="CA41" i="30"/>
  <c r="CA37" i="30"/>
  <c r="CA45" i="30"/>
  <c r="CA40" i="30"/>
  <c r="CA35" i="30"/>
  <c r="CA38" i="30"/>
  <c r="CA39" i="30"/>
  <c r="CA42" i="30"/>
  <c r="CA43" i="30"/>
  <c r="CA34" i="30"/>
  <c r="CB45" i="22"/>
  <c r="CB41" i="22"/>
  <c r="CB40" i="22"/>
  <c r="CB33" i="22"/>
  <c r="CB44" i="22"/>
  <c r="CB37" i="22"/>
  <c r="CB35" i="22"/>
  <c r="CB36" i="22"/>
  <c r="CB39" i="22"/>
  <c r="CB43" i="22"/>
  <c r="CB34" i="22"/>
  <c r="CB38" i="22"/>
  <c r="CB42" i="22"/>
  <c r="CB45" i="26"/>
  <c r="CB43" i="26"/>
  <c r="CB40" i="26"/>
  <c r="CB38" i="26"/>
  <c r="CB37" i="26"/>
  <c r="CB33" i="26"/>
  <c r="CB34" i="26"/>
  <c r="CB35" i="26"/>
  <c r="CB39" i="26"/>
  <c r="CB44" i="26"/>
  <c r="CB36" i="26"/>
  <c r="CB42" i="26"/>
  <c r="CB41" i="26"/>
  <c r="CB44" i="27"/>
  <c r="CB42" i="27"/>
  <c r="CB33" i="27"/>
  <c r="CB45" i="27"/>
  <c r="CB40" i="27"/>
  <c r="CB39" i="27"/>
  <c r="CB37" i="27"/>
  <c r="CB36" i="27"/>
  <c r="CB35" i="27"/>
  <c r="CB43" i="27"/>
  <c r="CB34" i="27"/>
  <c r="CB38" i="27"/>
  <c r="CB41" i="27"/>
  <c r="CB41" i="40"/>
  <c r="CB39" i="40"/>
  <c r="CB37" i="40"/>
  <c r="CB34" i="40"/>
  <c r="CB38" i="40"/>
  <c r="CB36" i="40"/>
  <c r="CB35" i="40"/>
  <c r="CB40" i="40"/>
  <c r="CB44" i="40"/>
  <c r="CB43" i="40"/>
  <c r="CB45" i="40"/>
  <c r="CB33" i="40"/>
  <c r="CB42" i="40"/>
  <c r="CB43" i="24"/>
  <c r="CB45" i="24"/>
  <c r="CB41" i="24"/>
  <c r="CB39" i="24"/>
  <c r="CB37" i="24"/>
  <c r="CB35" i="24"/>
  <c r="CB36" i="24"/>
  <c r="CB38" i="24"/>
  <c r="CB44" i="24"/>
  <c r="CB34" i="24"/>
  <c r="CB33" i="24"/>
  <c r="CB40" i="24"/>
  <c r="CB42" i="24"/>
  <c r="CB42" i="44"/>
  <c r="CB45" i="44"/>
  <c r="CB37" i="44"/>
  <c r="CB44" i="44"/>
  <c r="CB38" i="44"/>
  <c r="CB36" i="44"/>
  <c r="CB41" i="44"/>
  <c r="CB43" i="44"/>
  <c r="CB33" i="44"/>
  <c r="CB34" i="44"/>
  <c r="CB39" i="44"/>
  <c r="CB40" i="44"/>
  <c r="CB35" i="44"/>
  <c r="CA45" i="31"/>
  <c r="CA44" i="31"/>
  <c r="CA40" i="31"/>
  <c r="CA39" i="31"/>
  <c r="CA35" i="31"/>
  <c r="CA37" i="31"/>
  <c r="CA42" i="31"/>
  <c r="CA34" i="31"/>
  <c r="CA33" i="31"/>
  <c r="CA38" i="31"/>
  <c r="CA41" i="31"/>
  <c r="CA36" i="31"/>
  <c r="CA43" i="31"/>
  <c r="CB35" i="50"/>
  <c r="CB45" i="50"/>
  <c r="CB37" i="50"/>
  <c r="CB44" i="50"/>
  <c r="CB42" i="50"/>
  <c r="CB39" i="50"/>
  <c r="CB34" i="50"/>
  <c r="CB43" i="50"/>
  <c r="CB41" i="50"/>
  <c r="CB36" i="50"/>
  <c r="CB38" i="50"/>
  <c r="CB33" i="50"/>
  <c r="CB40" i="50"/>
  <c r="CB50" i="29"/>
  <c r="CB48" i="29"/>
  <c r="CB47" i="29"/>
  <c r="CB52" i="29"/>
  <c r="CB51" i="29"/>
  <c r="CB46" i="29"/>
  <c r="CB49" i="29"/>
  <c r="CA33" i="37"/>
  <c r="CA34" i="37"/>
  <c r="CA37" i="37"/>
  <c r="CA44" i="37"/>
  <c r="CA42" i="37"/>
  <c r="CA43" i="37"/>
  <c r="CA41" i="37"/>
  <c r="CA38" i="37"/>
  <c r="CA39" i="37"/>
  <c r="CA40" i="37"/>
  <c r="CA45" i="37"/>
  <c r="CA35" i="37"/>
  <c r="CA36" i="37"/>
  <c r="CA45" i="32"/>
  <c r="CA44" i="32"/>
  <c r="CA39" i="32"/>
  <c r="CA37" i="32"/>
  <c r="CA40" i="32"/>
  <c r="CA35" i="32"/>
  <c r="CA36" i="32"/>
  <c r="CA38" i="32"/>
  <c r="CA33" i="32"/>
  <c r="CA34" i="32"/>
  <c r="CA41" i="32"/>
  <c r="CA42" i="32"/>
  <c r="CA43" i="32"/>
  <c r="CB40" i="29"/>
  <c r="CB36" i="29"/>
  <c r="CB45" i="29"/>
  <c r="CB43" i="29"/>
  <c r="CB39" i="29"/>
  <c r="CB34" i="29"/>
  <c r="CB35" i="29"/>
  <c r="CB42" i="29"/>
  <c r="CB37" i="29"/>
  <c r="CB38" i="29"/>
  <c r="CB33" i="29"/>
  <c r="CB41" i="29"/>
  <c r="CB44" i="29"/>
  <c r="CB8" i="27"/>
  <c r="O13" i="50"/>
  <c r="N14" i="50" s="1"/>
  <c r="N13" i="26"/>
  <c r="CB8" i="44"/>
  <c r="CB8" i="40"/>
  <c r="CA8" i="37"/>
  <c r="CB24" i="50"/>
  <c r="CB32" i="50"/>
  <c r="CB26" i="50"/>
  <c r="CB19" i="50"/>
  <c r="CB25" i="50"/>
  <c r="CB12" i="50"/>
  <c r="CB29" i="50"/>
  <c r="CB20" i="50"/>
  <c r="CB31" i="50"/>
  <c r="CB11" i="50"/>
  <c r="CB27" i="50"/>
  <c r="CB23" i="50"/>
  <c r="CB9" i="50"/>
  <c r="CC3" i="50"/>
  <c r="CC53" i="50" s="1"/>
  <c r="CB21" i="50"/>
  <c r="CB28" i="50"/>
  <c r="CB10" i="50"/>
  <c r="CB14" i="50"/>
  <c r="CB16" i="50"/>
  <c r="CB17" i="50"/>
  <c r="CB18" i="50"/>
  <c r="CB8" i="50"/>
  <c r="CB30" i="50"/>
  <c r="CB15" i="50"/>
  <c r="CB13" i="50"/>
  <c r="CB22" i="50"/>
  <c r="CC4" i="29"/>
  <c r="CC4" i="50"/>
  <c r="CB4" i="37"/>
  <c r="CC4" i="26"/>
  <c r="CC4" i="28"/>
  <c r="CC4" i="27"/>
  <c r="CC4" i="40"/>
  <c r="CC4" i="44"/>
  <c r="CC4" i="25"/>
  <c r="CC4" i="24"/>
  <c r="CC4" i="22"/>
  <c r="CB4" i="32"/>
  <c r="CB4" i="30"/>
  <c r="CB4" i="31"/>
  <c r="CA23" i="32"/>
  <c r="CA17" i="32"/>
  <c r="CA27" i="32"/>
  <c r="CA9" i="32"/>
  <c r="CA11" i="32"/>
  <c r="CA26" i="32"/>
  <c r="CA31" i="32"/>
  <c r="CA16" i="32"/>
  <c r="CA13" i="32"/>
  <c r="CA8" i="32"/>
  <c r="CA15" i="32"/>
  <c r="CA22" i="32"/>
  <c r="CA21" i="32"/>
  <c r="CA20" i="32"/>
  <c r="CA28" i="32"/>
  <c r="CA19" i="32"/>
  <c r="CA24" i="32"/>
  <c r="CA12" i="32"/>
  <c r="CA10" i="32"/>
  <c r="CA25" i="32"/>
  <c r="CA14" i="32"/>
  <c r="CA32" i="32"/>
  <c r="CA30" i="32"/>
  <c r="CA18" i="32"/>
  <c r="CA29" i="32"/>
  <c r="CB8" i="22"/>
  <c r="CB8" i="25"/>
  <c r="CB47" i="28"/>
  <c r="CB46" i="28"/>
  <c r="CB48" i="28"/>
  <c r="CC3" i="27"/>
  <c r="CC53" i="27" s="1"/>
  <c r="CC3" i="25"/>
  <c r="CC53" i="25" s="1"/>
  <c r="CC3" i="24"/>
  <c r="CC53" i="24" s="1"/>
  <c r="CC3" i="44"/>
  <c r="CC53" i="44" s="1"/>
  <c r="CC3" i="26"/>
  <c r="CC53" i="26" s="1"/>
  <c r="CC3" i="29"/>
  <c r="CC53" i="29" s="1"/>
  <c r="CB3" i="30"/>
  <c r="CB53" i="30" s="1"/>
  <c r="CB3" i="31"/>
  <c r="CB53" i="31" s="1"/>
  <c r="CC3" i="22"/>
  <c r="CC53" i="22" s="1"/>
  <c r="CC3" i="40"/>
  <c r="CC53" i="40" s="1"/>
  <c r="CC3" i="28"/>
  <c r="CB3" i="37"/>
  <c r="CB53" i="37" s="1"/>
  <c r="CB3" i="32"/>
  <c r="CB53" i="32" s="1"/>
  <c r="Z27" i="27"/>
  <c r="Z19" i="27"/>
  <c r="Z23" i="27"/>
  <c r="Z16" i="27"/>
  <c r="Z14" i="27"/>
  <c r="Z29" i="27"/>
  <c r="Z17" i="27"/>
  <c r="Z31" i="27"/>
  <c r="Z24" i="27"/>
  <c r="Z22" i="27"/>
  <c r="Z15" i="27"/>
  <c r="Z30" i="27"/>
  <c r="Z25" i="27"/>
  <c r="Z21" i="27"/>
  <c r="Z13" i="27"/>
  <c r="Z18" i="27"/>
  <c r="Z11" i="27"/>
  <c r="Z24" i="22"/>
  <c r="Z11" i="22"/>
  <c r="Z15" i="22"/>
  <c r="Z14" i="22"/>
  <c r="Z18" i="25"/>
  <c r="Z26" i="25"/>
  <c r="Z19" i="25"/>
  <c r="Z14" i="25"/>
  <c r="Z11" i="25"/>
  <c r="Z28" i="22"/>
  <c r="Z31" i="25"/>
  <c r="Y27" i="37"/>
  <c r="Y18" i="37"/>
  <c r="Y24" i="37"/>
  <c r="Y29" i="37"/>
  <c r="Y19" i="37"/>
  <c r="Y10" i="37"/>
  <c r="Y23" i="37"/>
  <c r="Y20" i="37"/>
  <c r="Y13" i="37"/>
  <c r="Y22" i="37"/>
  <c r="Y31" i="37"/>
  <c r="Y9" i="37"/>
  <c r="Y15" i="37"/>
  <c r="Z31" i="22"/>
  <c r="Z30" i="25"/>
  <c r="Z19" i="22"/>
  <c r="Z16" i="22"/>
  <c r="Z17" i="22"/>
  <c r="Z25" i="22"/>
  <c r="Z22" i="22"/>
  <c r="Z24" i="25"/>
  <c r="Z15" i="25"/>
  <c r="Z23" i="25"/>
  <c r="Z9" i="25"/>
  <c r="Z21" i="25"/>
  <c r="Z32" i="22"/>
  <c r="Y14" i="37"/>
  <c r="Y32" i="37"/>
  <c r="Y28" i="37"/>
  <c r="Y25" i="37"/>
  <c r="Y11" i="37"/>
  <c r="AA32" i="40"/>
  <c r="Z15" i="37"/>
  <c r="Z11" i="44"/>
  <c r="Z20" i="44"/>
  <c r="Z12" i="44"/>
  <c r="Z9" i="44"/>
  <c r="Z16" i="44"/>
  <c r="Z10" i="44"/>
  <c r="Z22" i="44"/>
  <c r="Z30" i="44"/>
  <c r="Z29" i="44"/>
  <c r="Z28" i="44"/>
  <c r="Z32" i="44"/>
  <c r="Z14" i="44"/>
  <c r="Z18" i="44"/>
  <c r="Z26" i="44"/>
  <c r="Z25" i="44"/>
  <c r="Z27" i="44"/>
  <c r="Z31" i="44"/>
  <c r="Z13" i="44"/>
  <c r="Z15" i="44"/>
  <c r="Z17" i="44"/>
  <c r="Z19" i="44"/>
  <c r="Z21" i="44"/>
  <c r="Z23" i="44"/>
  <c r="Z24" i="44"/>
  <c r="Z44" i="28"/>
  <c r="Z45" i="28"/>
  <c r="AA9" i="40"/>
  <c r="AA21" i="40"/>
  <c r="AA22" i="40"/>
  <c r="Z28" i="40"/>
  <c r="Z31" i="40"/>
  <c r="Z20" i="40"/>
  <c r="Z13" i="40"/>
  <c r="Z23" i="40"/>
  <c r="Z14" i="40"/>
  <c r="Z29" i="40"/>
  <c r="Z24" i="40"/>
  <c r="Z15" i="40"/>
  <c r="Z16" i="40"/>
  <c r="Z9" i="40"/>
  <c r="Z22" i="40"/>
  <c r="Z27" i="40"/>
  <c r="Z26" i="40"/>
  <c r="Z11" i="40"/>
  <c r="Z18" i="40"/>
  <c r="Z12" i="40"/>
  <c r="Z17" i="40"/>
  <c r="Z30" i="40"/>
  <c r="Z21" i="40"/>
  <c r="Z10" i="40"/>
  <c r="Z32" i="40"/>
  <c r="Z25" i="40"/>
  <c r="Z19" i="40"/>
  <c r="Z10" i="37"/>
  <c r="Z30" i="37"/>
  <c r="AA41" i="28"/>
  <c r="Z12" i="31"/>
  <c r="Z18" i="31"/>
  <c r="Z17" i="30"/>
  <c r="Z8" i="30"/>
  <c r="Z10" i="30"/>
  <c r="Z13" i="30"/>
  <c r="Z27" i="30"/>
  <c r="Z26" i="30"/>
  <c r="Z25" i="30"/>
  <c r="Z21" i="30"/>
  <c r="Z30" i="30"/>
  <c r="Z15" i="30"/>
  <c r="Z16" i="30"/>
  <c r="Z24" i="30"/>
  <c r="Z20" i="30"/>
  <c r="Z14" i="30"/>
  <c r="Z23" i="30"/>
  <c r="Z19" i="30"/>
  <c r="Z9" i="30"/>
  <c r="Z32" i="30"/>
  <c r="Z22" i="30"/>
  <c r="Z18" i="30"/>
  <c r="Z31" i="30"/>
  <c r="Z12" i="30"/>
  <c r="Z28" i="30"/>
  <c r="Z29" i="30"/>
  <c r="Z11" i="30"/>
  <c r="AA28" i="26"/>
  <c r="AA29" i="26"/>
  <c r="AA28" i="28"/>
  <c r="AA29" i="28"/>
  <c r="AA36" i="28"/>
  <c r="AA40" i="28"/>
  <c r="AA32" i="28"/>
  <c r="AA31" i="28"/>
  <c r="AA35" i="28"/>
  <c r="AA34" i="28"/>
  <c r="AA38" i="28"/>
  <c r="AA30" i="28"/>
  <c r="AA39" i="28"/>
  <c r="AA37" i="28"/>
  <c r="AA33" i="28"/>
  <c r="AA31" i="27"/>
  <c r="AA28" i="24"/>
  <c r="AA32" i="24"/>
  <c r="AA29" i="24"/>
  <c r="AA31" i="24"/>
  <c r="AA30" i="24"/>
  <c r="Z25" i="29"/>
  <c r="Z14" i="29"/>
  <c r="Z10" i="29"/>
  <c r="Z9" i="29"/>
  <c r="Z31" i="29"/>
  <c r="Z28" i="29"/>
  <c r="Z13" i="29"/>
  <c r="Z17" i="29"/>
  <c r="Z21" i="29"/>
  <c r="Z24" i="29"/>
  <c r="Z20" i="29"/>
  <c r="Z26" i="29"/>
  <c r="Z30" i="29"/>
  <c r="Z27" i="29"/>
  <c r="Z16" i="29"/>
  <c r="Z12" i="29"/>
  <c r="Z8" i="29"/>
  <c r="Z29" i="29"/>
  <c r="Z18" i="29"/>
  <c r="Z23" i="29"/>
  <c r="Z15" i="29"/>
  <c r="Z11" i="29"/>
  <c r="Z22" i="29"/>
  <c r="Z19" i="29"/>
  <c r="Z32" i="29"/>
  <c r="AA32" i="22"/>
  <c r="AA31" i="22"/>
  <c r="AA30" i="22"/>
  <c r="AA12" i="25"/>
  <c r="AA21" i="25"/>
  <c r="AA11" i="25"/>
  <c r="AA17" i="25"/>
  <c r="AA10" i="25"/>
  <c r="AA14" i="25"/>
  <c r="AA9" i="25"/>
  <c r="AA25" i="25"/>
  <c r="AA27" i="25"/>
  <c r="AA12" i="27"/>
  <c r="AA14" i="27"/>
  <c r="AA16" i="27"/>
  <c r="AA15" i="27"/>
  <c r="AA17" i="27"/>
  <c r="AA20" i="27"/>
  <c r="AA18" i="27"/>
  <c r="AA24" i="27"/>
  <c r="AA27" i="27"/>
  <c r="AA24" i="26"/>
  <c r="AA10" i="26"/>
  <c r="AA18" i="26"/>
  <c r="AA20" i="26"/>
  <c r="AA22" i="26"/>
  <c r="AA24" i="28"/>
  <c r="AA13" i="28"/>
  <c r="AA17" i="28"/>
  <c r="AA18" i="28"/>
  <c r="AA19" i="28"/>
  <c r="AA22" i="28"/>
  <c r="AA23" i="28"/>
  <c r="AA11" i="28"/>
  <c r="AA12" i="28"/>
  <c r="AA20" i="28"/>
  <c r="AA9" i="28"/>
  <c r="AA15" i="28"/>
  <c r="AA16" i="28"/>
  <c r="AA10" i="28"/>
  <c r="AA21" i="28"/>
  <c r="AA25" i="28"/>
  <c r="AA27" i="28"/>
  <c r="AA14" i="28"/>
  <c r="AA26" i="28"/>
  <c r="AA8" i="28"/>
  <c r="AA12" i="24"/>
  <c r="AA15" i="24"/>
  <c r="AA16" i="24"/>
  <c r="AA11" i="24"/>
  <c r="AA10" i="24"/>
  <c r="AA14" i="24"/>
  <c r="AA19" i="24"/>
  <c r="AA20" i="24"/>
  <c r="AA17" i="24"/>
  <c r="AA18" i="24"/>
  <c r="AA22" i="24"/>
  <c r="AA23" i="24"/>
  <c r="AA9" i="24"/>
  <c r="AA21" i="24"/>
  <c r="AA25" i="24"/>
  <c r="AA24" i="24"/>
  <c r="AA13" i="24"/>
  <c r="AA26" i="24"/>
  <c r="AA27" i="24"/>
  <c r="AA8" i="24"/>
  <c r="AA9" i="22"/>
  <c r="AA24" i="22"/>
  <c r="AA11" i="22"/>
  <c r="AA26" i="22"/>
  <c r="AA22" i="22"/>
  <c r="AA23" i="22"/>
  <c r="AA15" i="22"/>
  <c r="AA14" i="22"/>
  <c r="AA10" i="22"/>
  <c r="AA18" i="22"/>
  <c r="CC48" i="40" l="1"/>
  <c r="CC46" i="40"/>
  <c r="CC50" i="40"/>
  <c r="CC52" i="40"/>
  <c r="CC51" i="40"/>
  <c r="CC47" i="40"/>
  <c r="CC49" i="40"/>
  <c r="CB47" i="37"/>
  <c r="CB49" i="37"/>
  <c r="CB48" i="37"/>
  <c r="CB46" i="37"/>
  <c r="CB50" i="37"/>
  <c r="CB51" i="37"/>
  <c r="CB52" i="37"/>
  <c r="CB46" i="31"/>
  <c r="CB49" i="31"/>
  <c r="CB52" i="31"/>
  <c r="CB51" i="31"/>
  <c r="CB47" i="31"/>
  <c r="CB50" i="31"/>
  <c r="CB48" i="31"/>
  <c r="CC49" i="44"/>
  <c r="CC47" i="44"/>
  <c r="CC48" i="44"/>
  <c r="CC46" i="44"/>
  <c r="CC50" i="44"/>
  <c r="CC51" i="44"/>
  <c r="CC52" i="44"/>
  <c r="CC46" i="50"/>
  <c r="CC49" i="50"/>
  <c r="CC51" i="50"/>
  <c r="CC48" i="50"/>
  <c r="CC47" i="50"/>
  <c r="CC52" i="50"/>
  <c r="CC50" i="50"/>
  <c r="CB49" i="30"/>
  <c r="CB51" i="30"/>
  <c r="CB52" i="30"/>
  <c r="CB47" i="30"/>
  <c r="CB50" i="30"/>
  <c r="CB46" i="30"/>
  <c r="CB48" i="30"/>
  <c r="CC51" i="25"/>
  <c r="CC50" i="25"/>
  <c r="CC52" i="25"/>
  <c r="CC46" i="25"/>
  <c r="CC48" i="25"/>
  <c r="CC47" i="25"/>
  <c r="CC49" i="25"/>
  <c r="CB50" i="32"/>
  <c r="CB52" i="32"/>
  <c r="CB49" i="32"/>
  <c r="CB46" i="32"/>
  <c r="CB48" i="32"/>
  <c r="CB51" i="32"/>
  <c r="CB47" i="32"/>
  <c r="CC52" i="22"/>
  <c r="CC47" i="22"/>
  <c r="CC51" i="22"/>
  <c r="CC48" i="22"/>
  <c r="CC50" i="22"/>
  <c r="CC46" i="22"/>
  <c r="CC49" i="22"/>
  <c r="CC50" i="26"/>
  <c r="CC49" i="26"/>
  <c r="CC52" i="26"/>
  <c r="CC51" i="26"/>
  <c r="CC47" i="26"/>
  <c r="CC46" i="26"/>
  <c r="CC48" i="26"/>
  <c r="CC52" i="27"/>
  <c r="CC47" i="27"/>
  <c r="CC51" i="27"/>
  <c r="CC49" i="27"/>
  <c r="CC46" i="27"/>
  <c r="CC50" i="27"/>
  <c r="CC48" i="27"/>
  <c r="CC50" i="24"/>
  <c r="CC47" i="24"/>
  <c r="CC46" i="24"/>
  <c r="CC48" i="24"/>
  <c r="CC52" i="24"/>
  <c r="CC51" i="24"/>
  <c r="CC49" i="24"/>
  <c r="CC34" i="40"/>
  <c r="CC37" i="40"/>
  <c r="CC41" i="40"/>
  <c r="CC39" i="40"/>
  <c r="CC36" i="40"/>
  <c r="CC43" i="40"/>
  <c r="CC40" i="40"/>
  <c r="CC45" i="40"/>
  <c r="CC35" i="40"/>
  <c r="CC38" i="40"/>
  <c r="CC42" i="40"/>
  <c r="CC44" i="40"/>
  <c r="CC33" i="40"/>
  <c r="CC51" i="29"/>
  <c r="CC52" i="29"/>
  <c r="CC46" i="29"/>
  <c r="CC49" i="29"/>
  <c r="CC47" i="29"/>
  <c r="CC50" i="29"/>
  <c r="CC48" i="29"/>
  <c r="CC38" i="25"/>
  <c r="CC35" i="25"/>
  <c r="CC33" i="25"/>
  <c r="CC44" i="25"/>
  <c r="CC39" i="25"/>
  <c r="CC40" i="25"/>
  <c r="CC42" i="25"/>
  <c r="CC43" i="25"/>
  <c r="CC45" i="25"/>
  <c r="CC36" i="25"/>
  <c r="CC37" i="25"/>
  <c r="CC34" i="25"/>
  <c r="CC41" i="25"/>
  <c r="CB34" i="32"/>
  <c r="CB44" i="32"/>
  <c r="CB35" i="32"/>
  <c r="CB38" i="32"/>
  <c r="CB42" i="32"/>
  <c r="CB40" i="32"/>
  <c r="CB43" i="32"/>
  <c r="CB39" i="32"/>
  <c r="CB41" i="32"/>
  <c r="CB33" i="32"/>
  <c r="CB45" i="32"/>
  <c r="CB36" i="32"/>
  <c r="CB37" i="32"/>
  <c r="CC43" i="22"/>
  <c r="CC44" i="22"/>
  <c r="CC40" i="22"/>
  <c r="CC34" i="22"/>
  <c r="CC37" i="22"/>
  <c r="CC39" i="22"/>
  <c r="CC42" i="22"/>
  <c r="CC35" i="22"/>
  <c r="CC41" i="22"/>
  <c r="CC45" i="22"/>
  <c r="CC33" i="22"/>
  <c r="CC36" i="22"/>
  <c r="CC38" i="22"/>
  <c r="CC45" i="26"/>
  <c r="CC43" i="26"/>
  <c r="CC39" i="26"/>
  <c r="CC36" i="26"/>
  <c r="CC34" i="26"/>
  <c r="CC33" i="26"/>
  <c r="CC41" i="26"/>
  <c r="CC35" i="26"/>
  <c r="CC37" i="26"/>
  <c r="CC38" i="26"/>
  <c r="CC40" i="26"/>
  <c r="CC44" i="26"/>
  <c r="CC42" i="26"/>
  <c r="CC41" i="27"/>
  <c r="CC33" i="27"/>
  <c r="CC42" i="27"/>
  <c r="CC39" i="27"/>
  <c r="CC38" i="27"/>
  <c r="CC37" i="27"/>
  <c r="CC36" i="27"/>
  <c r="CC44" i="27"/>
  <c r="CC45" i="27"/>
  <c r="CC35" i="27"/>
  <c r="CC43" i="27"/>
  <c r="CC34" i="27"/>
  <c r="CC40" i="27"/>
  <c r="CB33" i="37"/>
  <c r="CB34" i="37"/>
  <c r="CB35" i="37"/>
  <c r="CB36" i="37"/>
  <c r="CB37" i="37"/>
  <c r="CB44" i="37"/>
  <c r="CB41" i="37"/>
  <c r="CB42" i="37"/>
  <c r="CB43" i="37"/>
  <c r="CB40" i="37"/>
  <c r="CB39" i="37"/>
  <c r="CB45" i="37"/>
  <c r="CB38" i="37"/>
  <c r="CB37" i="31"/>
  <c r="CB45" i="31"/>
  <c r="CB38" i="31"/>
  <c r="CB44" i="31"/>
  <c r="CB41" i="31"/>
  <c r="CB36" i="31"/>
  <c r="CB40" i="31"/>
  <c r="CB39" i="31"/>
  <c r="CB42" i="31"/>
  <c r="CB33" i="31"/>
  <c r="CB35" i="31"/>
  <c r="CB34" i="31"/>
  <c r="CB43" i="31"/>
  <c r="CC36" i="44"/>
  <c r="CC35" i="44"/>
  <c r="CC42" i="44"/>
  <c r="CC34" i="44"/>
  <c r="CC45" i="44"/>
  <c r="CC37" i="44"/>
  <c r="CC38" i="44"/>
  <c r="CC44" i="44"/>
  <c r="CC39" i="44"/>
  <c r="CC41" i="44"/>
  <c r="CC33" i="44"/>
  <c r="CC40" i="44"/>
  <c r="CC43" i="44"/>
  <c r="CC45" i="50"/>
  <c r="CC34" i="50"/>
  <c r="CC37" i="50"/>
  <c r="CC39" i="50"/>
  <c r="CC43" i="50"/>
  <c r="CC41" i="50"/>
  <c r="CC40" i="50"/>
  <c r="CC42" i="50"/>
  <c r="CC35" i="50"/>
  <c r="CC36" i="50"/>
  <c r="CC38" i="50"/>
  <c r="CC44" i="50"/>
  <c r="CC33" i="50"/>
  <c r="CB44" i="30"/>
  <c r="CB43" i="30"/>
  <c r="CB40" i="30"/>
  <c r="CB36" i="30"/>
  <c r="CB39" i="30"/>
  <c r="CB35" i="30"/>
  <c r="CB38" i="30"/>
  <c r="CB42" i="30"/>
  <c r="CB41" i="30"/>
  <c r="CB45" i="30"/>
  <c r="CB34" i="30"/>
  <c r="CB37" i="30"/>
  <c r="CB33" i="30"/>
  <c r="CC45" i="24"/>
  <c r="CC43" i="24"/>
  <c r="CC41" i="24"/>
  <c r="CC35" i="24"/>
  <c r="CC33" i="24"/>
  <c r="CC39" i="24"/>
  <c r="CC36" i="24"/>
  <c r="CC37" i="24"/>
  <c r="CC38" i="24"/>
  <c r="CC44" i="24"/>
  <c r="CC34" i="24"/>
  <c r="CC40" i="24"/>
  <c r="CC42" i="24"/>
  <c r="CC39" i="29"/>
  <c r="CC44" i="29"/>
  <c r="CC35" i="29"/>
  <c r="CC43" i="29"/>
  <c r="CC33" i="29"/>
  <c r="CC37" i="29"/>
  <c r="CC42" i="29"/>
  <c r="CC36" i="29"/>
  <c r="CC40" i="29"/>
  <c r="CC38" i="29"/>
  <c r="CC45" i="29"/>
  <c r="CC34" i="29"/>
  <c r="CC41" i="29"/>
  <c r="CC8" i="27"/>
  <c r="O14" i="50"/>
  <c r="N15" i="50" s="1"/>
  <c r="N14" i="26"/>
  <c r="CC8" i="44"/>
  <c r="CB8" i="37"/>
  <c r="CC8" i="40"/>
  <c r="CC28" i="50"/>
  <c r="CC29" i="50"/>
  <c r="CC12" i="50"/>
  <c r="CC9" i="50"/>
  <c r="CC17" i="50"/>
  <c r="CC27" i="50"/>
  <c r="CC10" i="50"/>
  <c r="CC20" i="50"/>
  <c r="CC15" i="50"/>
  <c r="CC25" i="50"/>
  <c r="CC23" i="50"/>
  <c r="CC11" i="50"/>
  <c r="CC24" i="50"/>
  <c r="CC19" i="50"/>
  <c r="CC31" i="50"/>
  <c r="CC26" i="50"/>
  <c r="CC18" i="50"/>
  <c r="CC13" i="50"/>
  <c r="CC8" i="50"/>
  <c r="CC16" i="50"/>
  <c r="CC21" i="50"/>
  <c r="CC30" i="50"/>
  <c r="CC14" i="50"/>
  <c r="CC32" i="50"/>
  <c r="CC22" i="50"/>
  <c r="CD3" i="50"/>
  <c r="CD53" i="50" s="1"/>
  <c r="CD4" i="29"/>
  <c r="CD4" i="50"/>
  <c r="CD4" i="28"/>
  <c r="CD4" i="27"/>
  <c r="CD4" i="40"/>
  <c r="CD4" i="44"/>
  <c r="CC4" i="37"/>
  <c r="CD4" i="26"/>
  <c r="CD4" i="24"/>
  <c r="CD4" i="22"/>
  <c r="CC4" i="32"/>
  <c r="CC4" i="31"/>
  <c r="CD4" i="25"/>
  <c r="CC4" i="30"/>
  <c r="CB26" i="32"/>
  <c r="CB15" i="32"/>
  <c r="CB31" i="32"/>
  <c r="CB12" i="32"/>
  <c r="CB20" i="32"/>
  <c r="CB16" i="32"/>
  <c r="CB9" i="32"/>
  <c r="CB13" i="32"/>
  <c r="CB23" i="32"/>
  <c r="CB30" i="32"/>
  <c r="CB14" i="32"/>
  <c r="CB28" i="32"/>
  <c r="CB27" i="32"/>
  <c r="CB24" i="32"/>
  <c r="CB11" i="32"/>
  <c r="CB21" i="32"/>
  <c r="CB10" i="32"/>
  <c r="CB22" i="32"/>
  <c r="CB18" i="32"/>
  <c r="CB32" i="32"/>
  <c r="CB17" i="32"/>
  <c r="CB19" i="32"/>
  <c r="CB25" i="32"/>
  <c r="CB29" i="32"/>
  <c r="CB8" i="32"/>
  <c r="CC8" i="22"/>
  <c r="CC8" i="25"/>
  <c r="CC48" i="28"/>
  <c r="CC46" i="28"/>
  <c r="CC47" i="28"/>
  <c r="CD3" i="24"/>
  <c r="CD53" i="24" s="1"/>
  <c r="CD3" i="25"/>
  <c r="CD53" i="25" s="1"/>
  <c r="CD3" i="28"/>
  <c r="CD3" i="44"/>
  <c r="CD53" i="44" s="1"/>
  <c r="CD3" i="26"/>
  <c r="CD53" i="26" s="1"/>
  <c r="CC3" i="30"/>
  <c r="CC53" i="30" s="1"/>
  <c r="CD3" i="22"/>
  <c r="CD53" i="22" s="1"/>
  <c r="CC3" i="32"/>
  <c r="CC53" i="32" s="1"/>
  <c r="CD3" i="27"/>
  <c r="CD53" i="27" s="1"/>
  <c r="CC3" i="31"/>
  <c r="CC53" i="31" s="1"/>
  <c r="CD3" i="40"/>
  <c r="CD53" i="40" s="1"/>
  <c r="CD3" i="29"/>
  <c r="CD53" i="29" s="1"/>
  <c r="CC3" i="37"/>
  <c r="CC53" i="37" s="1"/>
  <c r="AA13" i="40"/>
  <c r="Z26" i="31"/>
  <c r="Z20" i="31"/>
  <c r="Z28" i="31"/>
  <c r="Z17" i="31"/>
  <c r="Z16" i="31"/>
  <c r="AA14" i="26"/>
  <c r="AA23" i="26"/>
  <c r="AA17" i="26"/>
  <c r="AA9" i="26"/>
  <c r="AA25" i="26"/>
  <c r="AA30" i="26"/>
  <c r="Z24" i="31"/>
  <c r="Z19" i="31"/>
  <c r="Z9" i="31"/>
  <c r="Z27" i="31"/>
  <c r="Z8" i="31"/>
  <c r="Z11" i="31"/>
  <c r="AA10" i="40"/>
  <c r="AA30" i="40"/>
  <c r="AA18" i="40"/>
  <c r="AA24" i="40"/>
  <c r="AA27" i="40"/>
  <c r="AA12" i="40"/>
  <c r="AA15" i="26"/>
  <c r="AA31" i="26"/>
  <c r="Z31" i="31"/>
  <c r="Z29" i="31"/>
  <c r="Z32" i="31"/>
  <c r="Z25" i="31"/>
  <c r="Z23" i="31"/>
  <c r="Z22" i="31"/>
  <c r="Z15" i="31"/>
  <c r="AA29" i="40"/>
  <c r="AA11" i="40"/>
  <c r="AA19" i="40"/>
  <c r="AA17" i="40"/>
  <c r="AA25" i="40"/>
  <c r="AA20" i="40"/>
  <c r="AA15" i="40"/>
  <c r="AA8" i="26"/>
  <c r="AA11" i="26"/>
  <c r="AA21" i="26"/>
  <c r="AA27" i="26"/>
  <c r="AA16" i="26"/>
  <c r="AA13" i="26"/>
  <c r="AA19" i="26"/>
  <c r="AA12" i="26"/>
  <c r="AA26" i="26"/>
  <c r="AA32" i="26"/>
  <c r="Z10" i="31"/>
  <c r="Z30" i="31"/>
  <c r="Z14" i="31"/>
  <c r="Z13" i="31"/>
  <c r="Z21" i="31"/>
  <c r="AA31" i="40"/>
  <c r="AA28" i="40"/>
  <c r="AA16" i="40"/>
  <c r="AA14" i="40"/>
  <c r="AA26" i="40"/>
  <c r="AA23" i="40"/>
  <c r="AA27" i="22"/>
  <c r="AA16" i="22"/>
  <c r="AA12" i="22"/>
  <c r="AA21" i="22"/>
  <c r="AA13" i="22"/>
  <c r="AA26" i="27"/>
  <c r="AA22" i="27"/>
  <c r="AA19" i="27"/>
  <c r="AA13" i="27"/>
  <c r="AA11" i="27"/>
  <c r="AA13" i="25"/>
  <c r="AA16" i="25"/>
  <c r="AA24" i="25"/>
  <c r="AA15" i="25"/>
  <c r="AA18" i="25"/>
  <c r="AA28" i="22"/>
  <c r="AA29" i="27"/>
  <c r="AA28" i="27"/>
  <c r="AA32" i="25"/>
  <c r="AA31" i="25"/>
  <c r="Z18" i="37"/>
  <c r="AA30" i="25"/>
  <c r="Z12" i="37"/>
  <c r="AA19" i="22"/>
  <c r="AA20" i="22"/>
  <c r="AA25" i="22"/>
  <c r="AA17" i="22"/>
  <c r="AA25" i="27"/>
  <c r="AA21" i="27"/>
  <c r="AA23" i="27"/>
  <c r="AA10" i="27"/>
  <c r="AA9" i="27"/>
  <c r="AA19" i="25"/>
  <c r="AA23" i="25"/>
  <c r="AA20" i="25"/>
  <c r="AA22" i="25"/>
  <c r="AA26" i="25"/>
  <c r="AA29" i="22"/>
  <c r="AA30" i="27"/>
  <c r="AA32" i="27"/>
  <c r="AA29" i="25"/>
  <c r="AA28" i="25"/>
  <c r="Z21" i="37"/>
  <c r="Z28" i="37"/>
  <c r="Z32" i="37"/>
  <c r="Z29" i="37"/>
  <c r="Z25" i="37"/>
  <c r="Z31" i="37"/>
  <c r="Z13" i="37"/>
  <c r="Z16" i="37"/>
  <c r="Z9" i="37"/>
  <c r="Z22" i="37"/>
  <c r="Z23" i="37"/>
  <c r="Z24" i="37"/>
  <c r="Z14" i="37"/>
  <c r="Z19" i="37"/>
  <c r="Z20" i="37"/>
  <c r="Z26" i="37"/>
  <c r="Z27" i="37"/>
  <c r="Z11" i="37"/>
  <c r="Z17" i="37"/>
  <c r="AA42" i="28"/>
  <c r="AA43" i="28"/>
  <c r="AA14" i="44"/>
  <c r="AA17" i="44"/>
  <c r="AA10" i="44"/>
  <c r="AA21" i="44"/>
  <c r="AA11" i="44"/>
  <c r="AA29" i="44"/>
  <c r="AA25" i="44"/>
  <c r="AA13" i="44"/>
  <c r="AA32" i="44"/>
  <c r="AA16" i="44"/>
  <c r="AA27" i="44"/>
  <c r="AA24" i="44"/>
  <c r="AA9" i="44"/>
  <c r="AA22" i="44"/>
  <c r="AA19" i="44"/>
  <c r="AA23" i="44"/>
  <c r="AA20" i="44"/>
  <c r="AA31" i="44"/>
  <c r="AA15" i="44"/>
  <c r="AA12" i="44"/>
  <c r="AA26" i="44"/>
  <c r="AA18" i="44"/>
  <c r="AA30" i="44"/>
  <c r="AA28" i="44"/>
  <c r="AB45" i="28"/>
  <c r="AB44" i="28"/>
  <c r="AB25" i="44"/>
  <c r="AB21" i="44"/>
  <c r="AB15" i="44"/>
  <c r="AB10" i="44"/>
  <c r="AB23" i="44"/>
  <c r="AB17" i="44"/>
  <c r="AB31" i="44"/>
  <c r="AB19" i="44"/>
  <c r="AB13" i="44"/>
  <c r="AB9" i="44"/>
  <c r="AB29" i="44"/>
  <c r="AB11" i="44"/>
  <c r="AB32" i="44"/>
  <c r="AB16" i="44"/>
  <c r="AB14" i="44"/>
  <c r="AB22" i="44"/>
  <c r="AB27" i="44"/>
  <c r="AB20" i="44"/>
  <c r="AB12" i="44"/>
  <c r="AB30" i="44"/>
  <c r="AB18" i="44"/>
  <c r="AB28" i="44"/>
  <c r="AB24" i="44"/>
  <c r="AB26" i="44"/>
  <c r="AA44" i="28"/>
  <c r="AA45" i="28"/>
  <c r="AB26" i="40"/>
  <c r="AB18" i="40"/>
  <c r="AB12" i="40"/>
  <c r="AB9" i="40"/>
  <c r="AB11" i="40"/>
  <c r="AB24" i="40"/>
  <c r="AB31" i="40"/>
  <c r="AB28" i="40"/>
  <c r="AB17" i="40"/>
  <c r="AB14" i="40"/>
  <c r="AB15" i="40"/>
  <c r="AB23" i="40"/>
  <c r="AB22" i="40"/>
  <c r="AB29" i="40"/>
  <c r="AB25" i="40"/>
  <c r="AB20" i="40"/>
  <c r="AB13" i="40"/>
  <c r="AB10" i="40"/>
  <c r="AB27" i="40"/>
  <c r="AB30" i="40"/>
  <c r="AB16" i="40"/>
  <c r="AB32" i="40"/>
  <c r="AB21" i="40"/>
  <c r="AB19" i="40"/>
  <c r="AA24" i="37"/>
  <c r="AA16" i="37"/>
  <c r="AA12" i="37"/>
  <c r="AA17" i="37"/>
  <c r="AA18" i="37"/>
  <c r="AA10" i="37"/>
  <c r="AA25" i="37"/>
  <c r="AA31" i="37"/>
  <c r="AA28" i="37"/>
  <c r="AA27" i="37"/>
  <c r="AA20" i="37"/>
  <c r="AA21" i="37"/>
  <c r="AA23" i="37"/>
  <c r="AA22" i="37"/>
  <c r="AA26" i="37"/>
  <c r="AA13" i="37"/>
  <c r="AA9" i="37"/>
  <c r="AA14" i="37"/>
  <c r="AA11" i="37"/>
  <c r="AA15" i="37"/>
  <c r="AA30" i="37"/>
  <c r="AA19" i="37"/>
  <c r="AA32" i="37"/>
  <c r="AA29" i="37"/>
  <c r="AB43" i="28"/>
  <c r="AB41" i="28"/>
  <c r="AB42" i="28"/>
  <c r="AA15" i="31"/>
  <c r="AA11" i="31"/>
  <c r="AA21" i="31"/>
  <c r="AA31" i="31"/>
  <c r="AA19" i="31"/>
  <c r="AA8" i="31"/>
  <c r="AA24" i="31"/>
  <c r="AA20" i="31"/>
  <c r="AA16" i="31"/>
  <c r="AA14" i="31"/>
  <c r="AA18" i="31"/>
  <c r="AA27" i="31"/>
  <c r="AA29" i="31"/>
  <c r="AA32" i="31"/>
  <c r="AA9" i="31"/>
  <c r="AA28" i="31"/>
  <c r="AA26" i="31"/>
  <c r="AA25" i="31"/>
  <c r="AA23" i="31"/>
  <c r="AA13" i="31"/>
  <c r="AA30" i="31"/>
  <c r="AA12" i="31"/>
  <c r="AA10" i="31"/>
  <c r="AA22" i="31"/>
  <c r="AA17" i="31"/>
  <c r="AB28" i="25"/>
  <c r="AB32" i="25"/>
  <c r="AB30" i="25"/>
  <c r="AB31" i="25"/>
  <c r="AB29" i="25"/>
  <c r="AA15" i="30"/>
  <c r="AA11" i="30"/>
  <c r="AA17" i="30"/>
  <c r="AA12" i="30"/>
  <c r="AA10" i="30"/>
  <c r="AA16" i="30"/>
  <c r="AA32" i="30"/>
  <c r="AA25" i="30"/>
  <c r="AA9" i="30"/>
  <c r="AA8" i="30"/>
  <c r="AA14" i="30"/>
  <c r="AA29" i="30"/>
  <c r="AA22" i="30"/>
  <c r="AA19" i="30"/>
  <c r="AA20" i="30"/>
  <c r="AA13" i="30"/>
  <c r="AA21" i="30"/>
  <c r="AA27" i="30"/>
  <c r="AA23" i="30"/>
  <c r="AA28" i="30"/>
  <c r="AA18" i="30"/>
  <c r="AA24" i="30"/>
  <c r="AA30" i="30"/>
  <c r="AA26" i="30"/>
  <c r="AA31" i="30"/>
  <c r="AB28" i="27"/>
  <c r="AB32" i="27"/>
  <c r="AB31" i="27"/>
  <c r="AB30" i="27"/>
  <c r="AB29" i="27"/>
  <c r="AB28" i="28"/>
  <c r="AB33" i="28"/>
  <c r="AB40" i="28"/>
  <c r="AB37" i="28"/>
  <c r="AB39" i="28"/>
  <c r="AB31" i="28"/>
  <c r="AB29" i="28"/>
  <c r="AB38" i="28"/>
  <c r="AB32" i="28"/>
  <c r="AB34" i="28"/>
  <c r="AB35" i="28"/>
  <c r="AB36" i="28"/>
  <c r="AB30" i="28"/>
  <c r="AB28" i="24"/>
  <c r="AB31" i="24"/>
  <c r="AB30" i="24"/>
  <c r="AB29" i="24"/>
  <c r="AB32" i="24"/>
  <c r="AB28" i="26"/>
  <c r="AB32" i="26"/>
  <c r="AB29" i="26"/>
  <c r="AB30" i="26"/>
  <c r="AB31" i="26"/>
  <c r="AA31" i="29"/>
  <c r="AA16" i="29"/>
  <c r="AA22" i="29"/>
  <c r="AA13" i="29"/>
  <c r="AA27" i="29"/>
  <c r="AA14" i="29"/>
  <c r="AA18" i="29"/>
  <c r="AA32" i="29"/>
  <c r="AA11" i="29"/>
  <c r="AA24" i="29"/>
  <c r="AA30" i="29"/>
  <c r="AA26" i="29"/>
  <c r="AA29" i="29"/>
  <c r="AA12" i="29"/>
  <c r="AA8" i="29"/>
  <c r="AA21" i="29"/>
  <c r="AA28" i="29"/>
  <c r="AA9" i="29"/>
  <c r="AA17" i="29"/>
  <c r="AA25" i="29"/>
  <c r="AA19" i="29"/>
  <c r="AA10" i="29"/>
  <c r="AA15" i="29"/>
  <c r="AA20" i="29"/>
  <c r="AA23" i="29"/>
  <c r="AB28" i="22"/>
  <c r="AB30" i="22"/>
  <c r="AB32" i="22"/>
  <c r="AB31" i="22"/>
  <c r="AB29" i="22"/>
  <c r="AB16" i="22"/>
  <c r="AB13" i="22"/>
  <c r="AB17" i="22"/>
  <c r="AB10" i="22"/>
  <c r="AB23" i="22"/>
  <c r="AB21" i="22"/>
  <c r="AB20" i="22"/>
  <c r="AB25" i="22"/>
  <c r="AB14" i="22"/>
  <c r="AB26" i="22"/>
  <c r="AB9" i="22"/>
  <c r="AB19" i="22"/>
  <c r="AB27" i="22"/>
  <c r="AB18" i="22"/>
  <c r="AB22" i="22"/>
  <c r="AB11" i="22"/>
  <c r="AB12" i="22"/>
  <c r="AB15" i="22"/>
  <c r="AB24" i="22"/>
  <c r="AB10" i="27"/>
  <c r="AB11" i="27"/>
  <c r="AB12" i="27"/>
  <c r="AB13" i="27"/>
  <c r="AB9" i="27"/>
  <c r="AB15" i="27"/>
  <c r="AB14" i="27"/>
  <c r="AB18" i="27"/>
  <c r="AB16" i="27"/>
  <c r="AB17" i="27"/>
  <c r="AB20" i="27"/>
  <c r="AB21" i="27"/>
  <c r="AB22" i="27"/>
  <c r="AB23" i="27"/>
  <c r="AB19" i="27"/>
  <c r="AB25" i="27"/>
  <c r="AB24" i="27"/>
  <c r="AB26" i="27"/>
  <c r="AB27" i="27"/>
  <c r="AB24" i="28"/>
  <c r="AB14" i="28"/>
  <c r="AB15" i="28"/>
  <c r="AB21" i="28"/>
  <c r="AB11" i="28"/>
  <c r="AB18" i="28"/>
  <c r="AB22" i="28"/>
  <c r="AB9" i="28"/>
  <c r="AB12" i="28"/>
  <c r="AB13" i="28"/>
  <c r="AB17" i="28"/>
  <c r="AB19" i="28"/>
  <c r="AB23" i="28"/>
  <c r="AB25" i="28"/>
  <c r="AB10" i="28"/>
  <c r="AB16" i="28"/>
  <c r="AB20" i="28"/>
  <c r="AB26" i="28"/>
  <c r="AB27" i="28"/>
  <c r="AB8" i="28"/>
  <c r="AB10" i="24"/>
  <c r="AB14" i="24"/>
  <c r="AB15" i="24"/>
  <c r="AB13" i="24"/>
  <c r="AB17" i="24"/>
  <c r="AB9" i="24"/>
  <c r="AB12" i="24"/>
  <c r="AB16" i="24"/>
  <c r="AB19" i="24"/>
  <c r="AB23" i="24"/>
  <c r="AB18" i="24"/>
  <c r="AB21" i="24"/>
  <c r="AB22" i="24"/>
  <c r="AB20" i="24"/>
  <c r="AB11" i="24"/>
  <c r="AB25" i="24"/>
  <c r="AB24" i="24"/>
  <c r="AB27" i="24"/>
  <c r="AB26" i="24"/>
  <c r="AB8" i="24"/>
  <c r="AB25" i="26"/>
  <c r="AB24" i="26"/>
  <c r="AB26" i="26"/>
  <c r="AB27" i="26"/>
  <c r="AB9" i="26"/>
  <c r="AB16" i="26"/>
  <c r="AB19" i="26"/>
  <c r="AB20" i="26"/>
  <c r="AB21" i="26"/>
  <c r="AB23" i="26"/>
  <c r="AB18" i="26"/>
  <c r="AB12" i="26"/>
  <c r="AB15" i="26"/>
  <c r="AB10" i="26"/>
  <c r="AB14" i="26"/>
  <c r="AB17" i="26"/>
  <c r="AB11" i="26"/>
  <c r="AB13" i="26"/>
  <c r="AB22" i="26"/>
  <c r="AB8" i="26"/>
  <c r="AB20" i="25"/>
  <c r="AB21" i="25"/>
  <c r="AB27" i="25"/>
  <c r="AB10" i="25"/>
  <c r="AB14" i="25"/>
  <c r="AB26" i="25"/>
  <c r="AB9" i="25"/>
  <c r="AB12" i="25"/>
  <c r="AB13" i="25"/>
  <c r="AB16" i="25"/>
  <c r="AB18" i="25"/>
  <c r="AB22" i="25"/>
  <c r="AB23" i="25"/>
  <c r="AB11" i="25"/>
  <c r="AB19" i="25"/>
  <c r="AB25" i="25"/>
  <c r="AB15" i="25"/>
  <c r="AB24" i="25"/>
  <c r="AB17" i="25"/>
  <c r="CD51" i="40" l="1"/>
  <c r="CD49" i="40"/>
  <c r="CD47" i="40"/>
  <c r="CD52" i="40"/>
  <c r="CD46" i="40"/>
  <c r="CD50" i="40"/>
  <c r="CD48" i="40"/>
  <c r="CC52" i="37"/>
  <c r="CC49" i="37"/>
  <c r="CC50" i="37"/>
  <c r="CC46" i="37"/>
  <c r="CC47" i="37"/>
  <c r="CC51" i="37"/>
  <c r="CC48" i="37"/>
  <c r="CC46" i="32"/>
  <c r="CC48" i="32"/>
  <c r="CC52" i="32"/>
  <c r="CC51" i="32"/>
  <c r="CC50" i="32"/>
  <c r="CC49" i="32"/>
  <c r="CC47" i="32"/>
  <c r="CD48" i="44"/>
  <c r="CD46" i="44"/>
  <c r="CD50" i="44"/>
  <c r="CD51" i="44"/>
  <c r="CD47" i="44"/>
  <c r="CD52" i="44"/>
  <c r="CD49" i="44"/>
  <c r="CD51" i="50"/>
  <c r="CD48" i="50"/>
  <c r="CD52" i="50"/>
  <c r="CD46" i="50"/>
  <c r="CD47" i="50"/>
  <c r="CD50" i="50"/>
  <c r="CD49" i="50"/>
  <c r="CD51" i="22"/>
  <c r="CD46" i="22"/>
  <c r="CD48" i="22"/>
  <c r="CD50" i="22"/>
  <c r="CD49" i="22"/>
  <c r="CD52" i="22"/>
  <c r="CD47" i="22"/>
  <c r="CC49" i="31"/>
  <c r="CC52" i="31"/>
  <c r="CC50" i="31"/>
  <c r="CC46" i="31"/>
  <c r="CC48" i="31"/>
  <c r="CC47" i="31"/>
  <c r="CC51" i="31"/>
  <c r="CC50" i="30"/>
  <c r="CC48" i="30"/>
  <c r="CC51" i="30"/>
  <c r="CC52" i="30"/>
  <c r="CC47" i="30"/>
  <c r="CC46" i="30"/>
  <c r="CC49" i="30"/>
  <c r="CD48" i="25"/>
  <c r="CD46" i="25"/>
  <c r="CD47" i="25"/>
  <c r="CD50" i="25"/>
  <c r="CD49" i="25"/>
  <c r="CD52" i="25"/>
  <c r="CD51" i="25"/>
  <c r="CD51" i="27"/>
  <c r="CD47" i="27"/>
  <c r="CD50" i="27"/>
  <c r="CD46" i="27"/>
  <c r="CD49" i="27"/>
  <c r="CD52" i="27"/>
  <c r="CD48" i="27"/>
  <c r="CD48" i="26"/>
  <c r="CD52" i="26"/>
  <c r="CD49" i="26"/>
  <c r="CD46" i="26"/>
  <c r="CD47" i="26"/>
  <c r="CD51" i="26"/>
  <c r="CD50" i="26"/>
  <c r="CD49" i="24"/>
  <c r="CD51" i="24"/>
  <c r="CD50" i="24"/>
  <c r="CD48" i="24"/>
  <c r="CD47" i="24"/>
  <c r="CD52" i="24"/>
  <c r="CD46" i="24"/>
  <c r="CC39" i="31"/>
  <c r="CC37" i="31"/>
  <c r="CC44" i="31"/>
  <c r="CC43" i="31"/>
  <c r="CC41" i="31"/>
  <c r="CC33" i="31"/>
  <c r="CC40" i="31"/>
  <c r="CC34" i="31"/>
  <c r="CC36" i="31"/>
  <c r="CC35" i="31"/>
  <c r="CC38" i="31"/>
  <c r="CC42" i="31"/>
  <c r="CC45" i="31"/>
  <c r="CC40" i="30"/>
  <c r="CC39" i="30"/>
  <c r="CC35" i="30"/>
  <c r="CC34" i="30"/>
  <c r="CC43" i="30"/>
  <c r="CC41" i="30"/>
  <c r="CC42" i="30"/>
  <c r="CC45" i="30"/>
  <c r="CC38" i="30"/>
  <c r="CC44" i="30"/>
  <c r="CC33" i="30"/>
  <c r="CC36" i="30"/>
  <c r="CC37" i="30"/>
  <c r="CD43" i="25"/>
  <c r="CD40" i="25"/>
  <c r="CD42" i="25"/>
  <c r="CD45" i="25"/>
  <c r="CD39" i="25"/>
  <c r="CD35" i="25"/>
  <c r="CD33" i="25"/>
  <c r="CD44" i="25"/>
  <c r="CD41" i="25"/>
  <c r="CD36" i="25"/>
  <c r="CD37" i="25"/>
  <c r="CD38" i="25"/>
  <c r="CD34" i="25"/>
  <c r="CC33" i="37"/>
  <c r="CC34" i="37"/>
  <c r="CC38" i="37"/>
  <c r="CC41" i="37"/>
  <c r="CC42" i="37"/>
  <c r="CC35" i="37"/>
  <c r="CC43" i="37"/>
  <c r="CC40" i="37"/>
  <c r="CC39" i="37"/>
  <c r="CC36" i="37"/>
  <c r="CC45" i="37"/>
  <c r="CC44" i="37"/>
  <c r="CC37" i="37"/>
  <c r="CD42" i="27"/>
  <c r="CD39" i="27"/>
  <c r="CD33" i="27"/>
  <c r="CD44" i="27"/>
  <c r="CD37" i="27"/>
  <c r="CD36" i="27"/>
  <c r="CD43" i="27"/>
  <c r="CD35" i="27"/>
  <c r="CD34" i="27"/>
  <c r="CD38" i="27"/>
  <c r="CD41" i="27"/>
  <c r="CD45" i="27"/>
  <c r="CD40" i="27"/>
  <c r="CD44" i="26"/>
  <c r="CD42" i="26"/>
  <c r="CD33" i="26"/>
  <c r="CD40" i="26"/>
  <c r="CD39" i="26"/>
  <c r="CD36" i="26"/>
  <c r="CD38" i="26"/>
  <c r="CD35" i="26"/>
  <c r="CD37" i="26"/>
  <c r="CD43" i="26"/>
  <c r="CD45" i="26"/>
  <c r="CD41" i="26"/>
  <c r="CD34" i="26"/>
  <c r="CD37" i="24"/>
  <c r="CD35" i="24"/>
  <c r="CD39" i="24"/>
  <c r="CD40" i="24"/>
  <c r="CD44" i="24"/>
  <c r="CD36" i="24"/>
  <c r="CD33" i="24"/>
  <c r="CD43" i="24"/>
  <c r="CD34" i="24"/>
  <c r="CD38" i="24"/>
  <c r="CD41" i="24"/>
  <c r="CD42" i="24"/>
  <c r="CD45" i="24"/>
  <c r="CD49" i="29"/>
  <c r="CD50" i="29"/>
  <c r="CD51" i="29"/>
  <c r="CD47" i="29"/>
  <c r="CD52" i="29"/>
  <c r="CD46" i="29"/>
  <c r="CD48" i="29"/>
  <c r="CC41" i="32"/>
  <c r="CC35" i="32"/>
  <c r="CC39" i="32"/>
  <c r="CC43" i="32"/>
  <c r="CC33" i="32"/>
  <c r="CC37" i="32"/>
  <c r="CC38" i="32"/>
  <c r="CC34" i="32"/>
  <c r="CC44" i="32"/>
  <c r="CC45" i="32"/>
  <c r="CC40" i="32"/>
  <c r="CC36" i="32"/>
  <c r="CC42" i="32"/>
  <c r="CD33" i="44"/>
  <c r="CD42" i="44"/>
  <c r="CD40" i="44"/>
  <c r="CD44" i="44"/>
  <c r="CD35" i="44"/>
  <c r="CD39" i="44"/>
  <c r="CD45" i="44"/>
  <c r="CD34" i="44"/>
  <c r="CD38" i="44"/>
  <c r="CD41" i="44"/>
  <c r="CD37" i="44"/>
  <c r="CD43" i="44"/>
  <c r="CD36" i="44"/>
  <c r="CD45" i="50"/>
  <c r="CD37" i="50"/>
  <c r="CD33" i="50"/>
  <c r="CD41" i="50"/>
  <c r="CD39" i="50"/>
  <c r="CD38" i="50"/>
  <c r="CD34" i="50"/>
  <c r="CD40" i="50"/>
  <c r="CD44" i="50"/>
  <c r="CD36" i="50"/>
  <c r="CD43" i="50"/>
  <c r="CD35" i="50"/>
  <c r="CD42" i="50"/>
  <c r="CD35" i="40"/>
  <c r="CD34" i="40"/>
  <c r="CD36" i="40"/>
  <c r="CD33" i="40"/>
  <c r="CD40" i="40"/>
  <c r="CD39" i="40"/>
  <c r="CD37" i="40"/>
  <c r="CD42" i="40"/>
  <c r="CD41" i="40"/>
  <c r="CD38" i="40"/>
  <c r="CD45" i="40"/>
  <c r="CD44" i="40"/>
  <c r="CD43" i="40"/>
  <c r="CD43" i="22"/>
  <c r="CD37" i="22"/>
  <c r="CD36" i="22"/>
  <c r="CD38" i="22"/>
  <c r="CD33" i="22"/>
  <c r="CD35" i="22"/>
  <c r="CD39" i="22"/>
  <c r="CD40" i="22"/>
  <c r="CD41" i="22"/>
  <c r="CD45" i="22"/>
  <c r="CD34" i="22"/>
  <c r="CD42" i="22"/>
  <c r="CD44" i="22"/>
  <c r="CD39" i="29"/>
  <c r="CD44" i="29"/>
  <c r="CD45" i="29"/>
  <c r="CD38" i="29"/>
  <c r="CD43" i="29"/>
  <c r="CD34" i="29"/>
  <c r="CD35" i="29"/>
  <c r="CD40" i="29"/>
  <c r="CD33" i="29"/>
  <c r="CD37" i="29"/>
  <c r="CD36" i="29"/>
  <c r="CD41" i="29"/>
  <c r="CD42" i="29"/>
  <c r="CD8" i="27"/>
  <c r="O15" i="50"/>
  <c r="N16" i="50" s="1"/>
  <c r="N15" i="26"/>
  <c r="CD8" i="44"/>
  <c r="CC8" i="37"/>
  <c r="CD8" i="40"/>
  <c r="CD12" i="50"/>
  <c r="CD27" i="50"/>
  <c r="CD9" i="50"/>
  <c r="CD23" i="50"/>
  <c r="CD8" i="50"/>
  <c r="CD32" i="50"/>
  <c r="CD16" i="50"/>
  <c r="CD26" i="50"/>
  <c r="CD10" i="50"/>
  <c r="CD20" i="50"/>
  <c r="CD14" i="50"/>
  <c r="CD22" i="50"/>
  <c r="CD31" i="50"/>
  <c r="CD30" i="50"/>
  <c r="CD28" i="50"/>
  <c r="CD19" i="50"/>
  <c r="CD17" i="50"/>
  <c r="CD18" i="50"/>
  <c r="CD25" i="50"/>
  <c r="CD29" i="50"/>
  <c r="CD21" i="50"/>
  <c r="CD24" i="50"/>
  <c r="CD11" i="50"/>
  <c r="CD13" i="50"/>
  <c r="CD15" i="50"/>
  <c r="CE3" i="50"/>
  <c r="CE53" i="50" s="1"/>
  <c r="CE4" i="50"/>
  <c r="CE4" i="27"/>
  <c r="CE4" i="40"/>
  <c r="CE4" i="44"/>
  <c r="CD4" i="37"/>
  <c r="CE4" i="26"/>
  <c r="CE4" i="28"/>
  <c r="CE4" i="22"/>
  <c r="CD4" i="32"/>
  <c r="CD4" i="30"/>
  <c r="CD4" i="31"/>
  <c r="CE4" i="25"/>
  <c r="CE4" i="24"/>
  <c r="CC26" i="32"/>
  <c r="CC27" i="32"/>
  <c r="CC19" i="32"/>
  <c r="CC11" i="32"/>
  <c r="CC23" i="32"/>
  <c r="CC13" i="32"/>
  <c r="CC18" i="32"/>
  <c r="CC16" i="32"/>
  <c r="CC31" i="32"/>
  <c r="CC12" i="32"/>
  <c r="CC20" i="32"/>
  <c r="CC9" i="32"/>
  <c r="CC10" i="32"/>
  <c r="CC30" i="32"/>
  <c r="CC15" i="32"/>
  <c r="CC25" i="32"/>
  <c r="CC17" i="32"/>
  <c r="CC14" i="32"/>
  <c r="CC22" i="32"/>
  <c r="CC24" i="32"/>
  <c r="CC29" i="32"/>
  <c r="CC21" i="32"/>
  <c r="CC28" i="32"/>
  <c r="CC32" i="32"/>
  <c r="CC8" i="32"/>
  <c r="CD8" i="22"/>
  <c r="CD8" i="25"/>
  <c r="CD48" i="28"/>
  <c r="CD46" i="28"/>
  <c r="CD47" i="28"/>
  <c r="CD3" i="37"/>
  <c r="CD53" i="37" s="1"/>
  <c r="CE3" i="28"/>
  <c r="CE3" i="27"/>
  <c r="CE53" i="27" s="1"/>
  <c r="CE3" i="44"/>
  <c r="CE53" i="44" s="1"/>
  <c r="CE3" i="26"/>
  <c r="CE53" i="26" s="1"/>
  <c r="CE3" i="25"/>
  <c r="CE53" i="25" s="1"/>
  <c r="CE3" i="24"/>
  <c r="CE53" i="24" s="1"/>
  <c r="CE3" i="40"/>
  <c r="CE53" i="40" s="1"/>
  <c r="CD3" i="30"/>
  <c r="CD53" i="30" s="1"/>
  <c r="CE3" i="22"/>
  <c r="CE53" i="22" s="1"/>
  <c r="CD3" i="32"/>
  <c r="CD53" i="32" s="1"/>
  <c r="CD3" i="31"/>
  <c r="CD53" i="31" s="1"/>
  <c r="AC45" i="28"/>
  <c r="AC44" i="28"/>
  <c r="AC13" i="44"/>
  <c r="AC26" i="44"/>
  <c r="AC21" i="44"/>
  <c r="AC28" i="44"/>
  <c r="AC31" i="44"/>
  <c r="AC20" i="44"/>
  <c r="AC14" i="44"/>
  <c r="AC24" i="44"/>
  <c r="AC17" i="44"/>
  <c r="AC9" i="44"/>
  <c r="AC11" i="44"/>
  <c r="AC23" i="44"/>
  <c r="AC16" i="44"/>
  <c r="AC15" i="44"/>
  <c r="AC19" i="44"/>
  <c r="AC29" i="44"/>
  <c r="AC18" i="44"/>
  <c r="AC10" i="44"/>
  <c r="AC12" i="44"/>
  <c r="AC32" i="44"/>
  <c r="AC22" i="44"/>
  <c r="AC25" i="44"/>
  <c r="AC27" i="44"/>
  <c r="AC30" i="44"/>
  <c r="AC28" i="40"/>
  <c r="AC16" i="40"/>
  <c r="AC15" i="40"/>
  <c r="AC18" i="40"/>
  <c r="AC24" i="40"/>
  <c r="AC14" i="40"/>
  <c r="AC21" i="40"/>
  <c r="AC17" i="40"/>
  <c r="AC12" i="40"/>
  <c r="AC10" i="40"/>
  <c r="AC11" i="40"/>
  <c r="AC26" i="40"/>
  <c r="AC20" i="40"/>
  <c r="AC13" i="40"/>
  <c r="AC9" i="40"/>
  <c r="AC19" i="40"/>
  <c r="AC23" i="40"/>
  <c r="AC22" i="40"/>
  <c r="AC27" i="40"/>
  <c r="AC30" i="40"/>
  <c r="AC31" i="40"/>
  <c r="AC32" i="40"/>
  <c r="AC29" i="40"/>
  <c r="AC25" i="40"/>
  <c r="AB29" i="37"/>
  <c r="AB23" i="37"/>
  <c r="AB16" i="37"/>
  <c r="AB19" i="37"/>
  <c r="AB14" i="37"/>
  <c r="AB17" i="37"/>
  <c r="AB18" i="37"/>
  <c r="AB26" i="37"/>
  <c r="AB22" i="37"/>
  <c r="AB12" i="37"/>
  <c r="AB9" i="37"/>
  <c r="AB13" i="37"/>
  <c r="AB27" i="37"/>
  <c r="AB11" i="37"/>
  <c r="AB20" i="37"/>
  <c r="AB15" i="37"/>
  <c r="AB10" i="37"/>
  <c r="AB25" i="37"/>
  <c r="AB24" i="37"/>
  <c r="AB31" i="37"/>
  <c r="AB28" i="37"/>
  <c r="AB21" i="37"/>
  <c r="AB30" i="37"/>
  <c r="AB32" i="37"/>
  <c r="AC43" i="28"/>
  <c r="AC42" i="28"/>
  <c r="AC41" i="28"/>
  <c r="AC28" i="24"/>
  <c r="AC32" i="24"/>
  <c r="AC31" i="24"/>
  <c r="AC30" i="24"/>
  <c r="AC29" i="24"/>
  <c r="AB32" i="30"/>
  <c r="AB25" i="30"/>
  <c r="AB26" i="30"/>
  <c r="AB24" i="30"/>
  <c r="AB21" i="30"/>
  <c r="AB22" i="30"/>
  <c r="AB9" i="30"/>
  <c r="AB11" i="30"/>
  <c r="AB27" i="30"/>
  <c r="AB8" i="30"/>
  <c r="AB23" i="30"/>
  <c r="AB13" i="30"/>
  <c r="AB12" i="30"/>
  <c r="AB10" i="30"/>
  <c r="AB14" i="30"/>
  <c r="AB29" i="30"/>
  <c r="AB31" i="30"/>
  <c r="AB19" i="30"/>
  <c r="AB15" i="30"/>
  <c r="AB17" i="30"/>
  <c r="AB20" i="30"/>
  <c r="AB16" i="30"/>
  <c r="AB18" i="30"/>
  <c r="AB30" i="30"/>
  <c r="AB28" i="30"/>
  <c r="AC28" i="28"/>
  <c r="AC32" i="28"/>
  <c r="AC37" i="28"/>
  <c r="AC38" i="28"/>
  <c r="AC33" i="28"/>
  <c r="AC34" i="28"/>
  <c r="AC31" i="28"/>
  <c r="AC36" i="28"/>
  <c r="AC39" i="28"/>
  <c r="AC35" i="28"/>
  <c r="AC40" i="28"/>
  <c r="AC29" i="28"/>
  <c r="AC30" i="28"/>
  <c r="AB28" i="31"/>
  <c r="AB27" i="31"/>
  <c r="AB14" i="31"/>
  <c r="AB10" i="31"/>
  <c r="AB23" i="31"/>
  <c r="AB20" i="31"/>
  <c r="AB22" i="31"/>
  <c r="AB16" i="31"/>
  <c r="AB12" i="31"/>
  <c r="AB24" i="31"/>
  <c r="AB9" i="31"/>
  <c r="AB11" i="31"/>
  <c r="AB21" i="31"/>
  <c r="AB31" i="31"/>
  <c r="AB8" i="31"/>
  <c r="AB32" i="31"/>
  <c r="AB17" i="31"/>
  <c r="AB15" i="31"/>
  <c r="AB25" i="31"/>
  <c r="AB29" i="31"/>
  <c r="AB13" i="31"/>
  <c r="AB19" i="31"/>
  <c r="AB30" i="31"/>
  <c r="AB18" i="31"/>
  <c r="AB26" i="31"/>
  <c r="AC28" i="27"/>
  <c r="AC32" i="27"/>
  <c r="AC30" i="27"/>
  <c r="AC31" i="27"/>
  <c r="AC29" i="27"/>
  <c r="AC28" i="25"/>
  <c r="AC31" i="25"/>
  <c r="AC29" i="25"/>
  <c r="AC32" i="25"/>
  <c r="AC30" i="25"/>
  <c r="AC28" i="26"/>
  <c r="AC32" i="26"/>
  <c r="AC30" i="26"/>
  <c r="AC29" i="26"/>
  <c r="AC31" i="26"/>
  <c r="AB27" i="29"/>
  <c r="AB22" i="29"/>
  <c r="AB15" i="29"/>
  <c r="AB11" i="29"/>
  <c r="AB21" i="29"/>
  <c r="AB20" i="29"/>
  <c r="AB14" i="29"/>
  <c r="AB10" i="29"/>
  <c r="AB32" i="29"/>
  <c r="AB19" i="29"/>
  <c r="AB28" i="29"/>
  <c r="AB17" i="29"/>
  <c r="AB24" i="29"/>
  <c r="AB30" i="29"/>
  <c r="AB26" i="29"/>
  <c r="AB29" i="29"/>
  <c r="AB18" i="29"/>
  <c r="AB13" i="29"/>
  <c r="AB9" i="29"/>
  <c r="AB8" i="29"/>
  <c r="AB16" i="29"/>
  <c r="AB25" i="29"/>
  <c r="AB12" i="29"/>
  <c r="AB23" i="29"/>
  <c r="AB31" i="29"/>
  <c r="AC28" i="22"/>
  <c r="AC30" i="22"/>
  <c r="AC32" i="22"/>
  <c r="AC29" i="22"/>
  <c r="AC31" i="22"/>
  <c r="AC9" i="24"/>
  <c r="AC11" i="24"/>
  <c r="AC12" i="24"/>
  <c r="AC16" i="24"/>
  <c r="AC10" i="24"/>
  <c r="AC13" i="24"/>
  <c r="AC15" i="24"/>
  <c r="AC20" i="24"/>
  <c r="AC21" i="24"/>
  <c r="AC14" i="24"/>
  <c r="AC17" i="24"/>
  <c r="AC19" i="24"/>
  <c r="AC23" i="24"/>
  <c r="AC18" i="24"/>
  <c r="AC22" i="24"/>
  <c r="AC24" i="24"/>
  <c r="AC25" i="24"/>
  <c r="AC27" i="24"/>
  <c r="AC26" i="24"/>
  <c r="AC8" i="24"/>
  <c r="AC24" i="28"/>
  <c r="AC13" i="28"/>
  <c r="AC18" i="28"/>
  <c r="AC12" i="28"/>
  <c r="AC16" i="28"/>
  <c r="AC21" i="28"/>
  <c r="AC25" i="28"/>
  <c r="AC9" i="28"/>
  <c r="AC11" i="28"/>
  <c r="AC15" i="28"/>
  <c r="AC23" i="28"/>
  <c r="AC20" i="28"/>
  <c r="AC10" i="28"/>
  <c r="AC19" i="28"/>
  <c r="AC14" i="28"/>
  <c r="AC26" i="28"/>
  <c r="AC22" i="28"/>
  <c r="AC27" i="28"/>
  <c r="AC17" i="28"/>
  <c r="AC8" i="28"/>
  <c r="AC9" i="22"/>
  <c r="AC11" i="22"/>
  <c r="AC23" i="22"/>
  <c r="AC14" i="22"/>
  <c r="AC15" i="22"/>
  <c r="AC16" i="22"/>
  <c r="AC22" i="22"/>
  <c r="AC13" i="22"/>
  <c r="AC24" i="22"/>
  <c r="AC18" i="22"/>
  <c r="AC25" i="22"/>
  <c r="AC27" i="22"/>
  <c r="AC17" i="22"/>
  <c r="AC19" i="22"/>
  <c r="AC12" i="22"/>
  <c r="AC26" i="22"/>
  <c r="AC10" i="22"/>
  <c r="AC20" i="22"/>
  <c r="AC21" i="22"/>
  <c r="AC11" i="27"/>
  <c r="AC9" i="27"/>
  <c r="AC14" i="27"/>
  <c r="AC10" i="27"/>
  <c r="AC13" i="27"/>
  <c r="AC15" i="27"/>
  <c r="AC17" i="27"/>
  <c r="AC18" i="27"/>
  <c r="AC19" i="27"/>
  <c r="AC23" i="27"/>
  <c r="AC20" i="27"/>
  <c r="AC12" i="27"/>
  <c r="AC16" i="27"/>
  <c r="AC21" i="27"/>
  <c r="AC22" i="27"/>
  <c r="AC25" i="27"/>
  <c r="AC24" i="27"/>
  <c r="AC27" i="27"/>
  <c r="AC26" i="27"/>
  <c r="AC26" i="25"/>
  <c r="AC9" i="25"/>
  <c r="AC13" i="25"/>
  <c r="AC15" i="25"/>
  <c r="AC18" i="25"/>
  <c r="AC22" i="25"/>
  <c r="AC11" i="25"/>
  <c r="AC12" i="25"/>
  <c r="AC16" i="25"/>
  <c r="AC19" i="25"/>
  <c r="AC21" i="25"/>
  <c r="AC23" i="25"/>
  <c r="AC27" i="25"/>
  <c r="AC14" i="25"/>
  <c r="AC25" i="25"/>
  <c r="AC20" i="25"/>
  <c r="AC17" i="25"/>
  <c r="AC24" i="25"/>
  <c r="AC10" i="25"/>
  <c r="AC24" i="26"/>
  <c r="AC25" i="26"/>
  <c r="AC26" i="26"/>
  <c r="AC27" i="26"/>
  <c r="AC9" i="26"/>
  <c r="AC13" i="26"/>
  <c r="AC10" i="26"/>
  <c r="AC11" i="26"/>
  <c r="AC20" i="26"/>
  <c r="AC22" i="26"/>
  <c r="AC18" i="26"/>
  <c r="AC12" i="26"/>
  <c r="AC14" i="26"/>
  <c r="AC15" i="26"/>
  <c r="AC16" i="26"/>
  <c r="AC17" i="26"/>
  <c r="AC19" i="26"/>
  <c r="AC21" i="26"/>
  <c r="AC23" i="26"/>
  <c r="AC8" i="26"/>
  <c r="CD48" i="37" l="1"/>
  <c r="CD50" i="37"/>
  <c r="CD47" i="37"/>
  <c r="CD46" i="37"/>
  <c r="CD49" i="37"/>
  <c r="CD51" i="37"/>
  <c r="CD52" i="37"/>
  <c r="CE47" i="40"/>
  <c r="CE46" i="40"/>
  <c r="CE48" i="40"/>
  <c r="CE50" i="40"/>
  <c r="CE52" i="40"/>
  <c r="CE51" i="40"/>
  <c r="CE49" i="40"/>
  <c r="CD48" i="30"/>
  <c r="CD50" i="30"/>
  <c r="CD46" i="30"/>
  <c r="CD51" i="30"/>
  <c r="CD47" i="30"/>
  <c r="CD52" i="30"/>
  <c r="CD49" i="30"/>
  <c r="CE51" i="26"/>
  <c r="CE47" i="26"/>
  <c r="CE46" i="26"/>
  <c r="CE49" i="26"/>
  <c r="CE48" i="26"/>
  <c r="CE50" i="26"/>
  <c r="CE52" i="26"/>
  <c r="CE50" i="50"/>
  <c r="CE52" i="50"/>
  <c r="CE49" i="50"/>
  <c r="CE51" i="50"/>
  <c r="CE46" i="50"/>
  <c r="CE48" i="50"/>
  <c r="CE47" i="50"/>
  <c r="CD46" i="31"/>
  <c r="CD47" i="31"/>
  <c r="CD48" i="31"/>
  <c r="CD50" i="31"/>
  <c r="CD49" i="31"/>
  <c r="CD51" i="31"/>
  <c r="CD52" i="31"/>
  <c r="CE49" i="44"/>
  <c r="CE47" i="44"/>
  <c r="CE50" i="44"/>
  <c r="CE48" i="44"/>
  <c r="CE51" i="44"/>
  <c r="CE46" i="44"/>
  <c r="CE52" i="44"/>
  <c r="CD50" i="32"/>
  <c r="CD48" i="32"/>
  <c r="CD47" i="32"/>
  <c r="CD46" i="32"/>
  <c r="CD49" i="32"/>
  <c r="CD51" i="32"/>
  <c r="CD52" i="32"/>
  <c r="CE48" i="27"/>
  <c r="CE50" i="27"/>
  <c r="CE49" i="27"/>
  <c r="CE51" i="27"/>
  <c r="CE52" i="27"/>
  <c r="CE47" i="27"/>
  <c r="CE46" i="27"/>
  <c r="CE46" i="22"/>
  <c r="CE50" i="22"/>
  <c r="CE52" i="22"/>
  <c r="CE51" i="22"/>
  <c r="CE48" i="22"/>
  <c r="CE47" i="22"/>
  <c r="CE49" i="22"/>
  <c r="CE46" i="25"/>
  <c r="CE49" i="25"/>
  <c r="CE48" i="25"/>
  <c r="CE47" i="25"/>
  <c r="CE51" i="25"/>
  <c r="CE52" i="25"/>
  <c r="CE50" i="25"/>
  <c r="CE46" i="24"/>
  <c r="CE49" i="24"/>
  <c r="CE47" i="24"/>
  <c r="CE50" i="24"/>
  <c r="CE52" i="24"/>
  <c r="CE51" i="24"/>
  <c r="CE48" i="24"/>
  <c r="CD40" i="32"/>
  <c r="CD38" i="32"/>
  <c r="CD45" i="32"/>
  <c r="CD42" i="32"/>
  <c r="CD37" i="32"/>
  <c r="CD39" i="32"/>
  <c r="CD33" i="32"/>
  <c r="CD35" i="32"/>
  <c r="CD36" i="32"/>
  <c r="CD43" i="32"/>
  <c r="CD44" i="32"/>
  <c r="CD34" i="32"/>
  <c r="CD41" i="32"/>
  <c r="CE40" i="24"/>
  <c r="CE45" i="24"/>
  <c r="CE43" i="24"/>
  <c r="CE38" i="24"/>
  <c r="CE37" i="24"/>
  <c r="CE35" i="24"/>
  <c r="CE42" i="24"/>
  <c r="CE39" i="24"/>
  <c r="CE34" i="24"/>
  <c r="CE33" i="24"/>
  <c r="CE36" i="24"/>
  <c r="CE44" i="24"/>
  <c r="CE41" i="24"/>
  <c r="CE34" i="27"/>
  <c r="CE35" i="27"/>
  <c r="CE45" i="27"/>
  <c r="CE38" i="27"/>
  <c r="CE36" i="27"/>
  <c r="CE33" i="27"/>
  <c r="CE40" i="27"/>
  <c r="CE39" i="27"/>
  <c r="CE43" i="27"/>
  <c r="CE41" i="27"/>
  <c r="CE44" i="27"/>
  <c r="CE42" i="27"/>
  <c r="CE37" i="27"/>
  <c r="CE45" i="22"/>
  <c r="CE37" i="22"/>
  <c r="CE35" i="22"/>
  <c r="CE36" i="22"/>
  <c r="CE39" i="22"/>
  <c r="CE44" i="22"/>
  <c r="CE38" i="22"/>
  <c r="CE33" i="22"/>
  <c r="CE34" i="22"/>
  <c r="CE40" i="22"/>
  <c r="CE41" i="22"/>
  <c r="CE43" i="22"/>
  <c r="CE42" i="22"/>
  <c r="CE45" i="25"/>
  <c r="CE43" i="25"/>
  <c r="CE39" i="25"/>
  <c r="CE34" i="25"/>
  <c r="CE36" i="25"/>
  <c r="CE35" i="25"/>
  <c r="CE33" i="25"/>
  <c r="CE38" i="25"/>
  <c r="CE40" i="25"/>
  <c r="CE37" i="25"/>
  <c r="CE41" i="25"/>
  <c r="CE44" i="25"/>
  <c r="CE42" i="25"/>
  <c r="CD37" i="30"/>
  <c r="CD45" i="30"/>
  <c r="CD40" i="30"/>
  <c r="CD34" i="30"/>
  <c r="CD44" i="30"/>
  <c r="CD33" i="30"/>
  <c r="CD38" i="30"/>
  <c r="CD39" i="30"/>
  <c r="CD43" i="30"/>
  <c r="CD42" i="30"/>
  <c r="CD41" i="30"/>
  <c r="CD35" i="30"/>
  <c r="CD36" i="30"/>
  <c r="CE45" i="26"/>
  <c r="CE43" i="26"/>
  <c r="CE42" i="26"/>
  <c r="CE41" i="26"/>
  <c r="CE40" i="26"/>
  <c r="CE33" i="26"/>
  <c r="CE35" i="26"/>
  <c r="CE39" i="26"/>
  <c r="CE44" i="26"/>
  <c r="CE36" i="26"/>
  <c r="CE37" i="26"/>
  <c r="CE38" i="26"/>
  <c r="CE34" i="26"/>
  <c r="CD35" i="37"/>
  <c r="CD36" i="37"/>
  <c r="CD37" i="37"/>
  <c r="CD34" i="37"/>
  <c r="CD33" i="37"/>
  <c r="CD42" i="37"/>
  <c r="CD43" i="37"/>
  <c r="CD38" i="37"/>
  <c r="CD40" i="37"/>
  <c r="CD39" i="37"/>
  <c r="CD45" i="37"/>
  <c r="CD44" i="37"/>
  <c r="CD41" i="37"/>
  <c r="CE45" i="50"/>
  <c r="CE44" i="50"/>
  <c r="CE39" i="50"/>
  <c r="CE33" i="50"/>
  <c r="CE42" i="50"/>
  <c r="CE37" i="50"/>
  <c r="CE43" i="50"/>
  <c r="CE41" i="50"/>
  <c r="CE38" i="50"/>
  <c r="CE35" i="50"/>
  <c r="CE40" i="50"/>
  <c r="CE36" i="50"/>
  <c r="CE34" i="50"/>
  <c r="CD43" i="31"/>
  <c r="CD45" i="31"/>
  <c r="CD37" i="31"/>
  <c r="CD34" i="31"/>
  <c r="CD42" i="31"/>
  <c r="CD36" i="31"/>
  <c r="CD33" i="31"/>
  <c r="CD39" i="31"/>
  <c r="CD38" i="31"/>
  <c r="CD41" i="31"/>
  <c r="CD35" i="31"/>
  <c r="CD40" i="31"/>
  <c r="CD44" i="31"/>
  <c r="CE39" i="40"/>
  <c r="CE37" i="40"/>
  <c r="CE40" i="40"/>
  <c r="CE34" i="40"/>
  <c r="CE33" i="40"/>
  <c r="CE36" i="40"/>
  <c r="CE38" i="40"/>
  <c r="CE45" i="40"/>
  <c r="CE35" i="40"/>
  <c r="CE41" i="40"/>
  <c r="CE44" i="40"/>
  <c r="CE43" i="40"/>
  <c r="CE42" i="40"/>
  <c r="CE43" i="44"/>
  <c r="CE45" i="44"/>
  <c r="CE44" i="44"/>
  <c r="CE40" i="44"/>
  <c r="CE38" i="44"/>
  <c r="CE36" i="44"/>
  <c r="CE34" i="44"/>
  <c r="CE37" i="44"/>
  <c r="CE33" i="44"/>
  <c r="CE41" i="44"/>
  <c r="CE42" i="44"/>
  <c r="CE35" i="44"/>
  <c r="CE39" i="44"/>
  <c r="CE8" i="27"/>
  <c r="O16" i="50"/>
  <c r="N17" i="50" s="1"/>
  <c r="N16" i="26"/>
  <c r="CE8" i="44"/>
  <c r="CD8" i="37"/>
  <c r="CE8" i="40"/>
  <c r="CE9" i="50"/>
  <c r="CE25" i="50"/>
  <c r="CE30" i="50"/>
  <c r="CE32" i="50"/>
  <c r="CE14" i="50"/>
  <c r="CE15" i="50"/>
  <c r="CE20" i="50"/>
  <c r="CE22" i="50"/>
  <c r="CE21" i="50"/>
  <c r="CE12" i="50"/>
  <c r="CE11" i="50"/>
  <c r="CE10" i="50"/>
  <c r="CE26" i="50"/>
  <c r="CE18" i="50"/>
  <c r="CE31" i="50"/>
  <c r="CE28" i="50"/>
  <c r="CE17" i="50"/>
  <c r="CE16" i="50"/>
  <c r="CE23" i="50"/>
  <c r="CE27" i="50"/>
  <c r="CE19" i="50"/>
  <c r="CE29" i="50"/>
  <c r="CE24" i="50"/>
  <c r="CE8" i="50"/>
  <c r="CE13" i="50"/>
  <c r="CD29" i="32"/>
  <c r="CD21" i="32"/>
  <c r="CD19" i="32"/>
  <c r="CD23" i="32"/>
  <c r="CD8" i="32"/>
  <c r="CD31" i="32"/>
  <c r="CD16" i="32"/>
  <c r="CD12" i="32"/>
  <c r="CD20" i="32"/>
  <c r="CD25" i="32"/>
  <c r="CD18" i="32"/>
  <c r="CD27" i="32"/>
  <c r="CD24" i="32"/>
  <c r="CD14" i="32"/>
  <c r="CD13" i="32"/>
  <c r="CD28" i="32"/>
  <c r="CD15" i="32"/>
  <c r="CD22" i="32"/>
  <c r="CD17" i="32"/>
  <c r="CD11" i="32"/>
  <c r="CD26" i="32"/>
  <c r="CD10" i="32"/>
  <c r="CD32" i="32"/>
  <c r="CD30" i="32"/>
  <c r="CD9" i="32"/>
  <c r="CE8" i="22"/>
  <c r="CE8" i="25"/>
  <c r="CE47" i="28"/>
  <c r="CE48" i="28"/>
  <c r="CE46" i="28"/>
  <c r="AD20" i="44"/>
  <c r="AD12" i="44"/>
  <c r="AD10" i="44"/>
  <c r="AD16" i="44"/>
  <c r="AD9" i="44"/>
  <c r="AD32" i="44"/>
  <c r="AD18" i="44"/>
  <c r="AD25" i="44"/>
  <c r="AD13" i="44"/>
  <c r="AD15" i="44"/>
  <c r="AD17" i="44"/>
  <c r="AD19" i="44"/>
  <c r="AD21" i="44"/>
  <c r="AD23" i="44"/>
  <c r="AD26" i="44"/>
  <c r="AD11" i="44"/>
  <c r="AD14" i="44"/>
  <c r="AD30" i="44"/>
  <c r="AD22" i="44"/>
  <c r="AD29" i="44"/>
  <c r="AD24" i="44"/>
  <c r="AD27" i="44"/>
  <c r="AD28" i="44"/>
  <c r="AD31" i="44"/>
  <c r="AD44" i="28"/>
  <c r="AD45" i="28"/>
  <c r="AD14" i="40"/>
  <c r="AD28" i="40"/>
  <c r="AD10" i="40"/>
  <c r="AD22" i="40"/>
  <c r="AD26" i="40"/>
  <c r="AD31" i="40"/>
  <c r="AD24" i="40"/>
  <c r="AD25" i="40"/>
  <c r="AD21" i="40"/>
  <c r="AD18" i="40"/>
  <c r="AD13" i="40"/>
  <c r="AD30" i="40"/>
  <c r="AD9" i="40"/>
  <c r="AD29" i="40"/>
  <c r="AD20" i="40"/>
  <c r="AD16" i="40"/>
  <c r="AD23" i="40"/>
  <c r="AD19" i="40"/>
  <c r="AD32" i="40"/>
  <c r="AD27" i="40"/>
  <c r="AD15" i="40"/>
  <c r="AD11" i="40"/>
  <c r="AD12" i="40"/>
  <c r="AD17" i="40"/>
  <c r="AC19" i="37"/>
  <c r="AC21" i="37"/>
  <c r="AC10" i="37"/>
  <c r="AC22" i="37"/>
  <c r="AC18" i="37"/>
  <c r="AC28" i="37"/>
  <c r="AC27" i="37"/>
  <c r="AC32" i="37"/>
  <c r="AC26" i="37"/>
  <c r="AC20" i="37"/>
  <c r="AC11" i="37"/>
  <c r="AC17" i="37"/>
  <c r="AC16" i="37"/>
  <c r="AC12" i="37"/>
  <c r="AC14" i="37"/>
  <c r="AC15" i="37"/>
  <c r="AC23" i="37"/>
  <c r="AC13" i="37"/>
  <c r="AC9" i="37"/>
  <c r="AC29" i="37"/>
  <c r="AC24" i="37"/>
  <c r="AC30" i="37"/>
  <c r="AC25" i="37"/>
  <c r="AC31" i="37"/>
  <c r="AD43" i="28"/>
  <c r="AD42" i="28"/>
  <c r="AD41" i="28"/>
  <c r="AD28" i="25"/>
  <c r="AD29" i="25"/>
  <c r="AD30" i="25"/>
  <c r="AD31" i="25"/>
  <c r="AD32" i="25"/>
  <c r="AD28" i="24"/>
  <c r="AD31" i="24"/>
  <c r="AD29" i="24"/>
  <c r="AD30" i="24"/>
  <c r="AD32" i="24"/>
  <c r="AD28" i="27"/>
  <c r="AD31" i="27"/>
  <c r="AD32" i="27"/>
  <c r="AD29" i="27"/>
  <c r="AD30" i="27"/>
  <c r="AC9" i="31"/>
  <c r="AC15" i="31"/>
  <c r="AC10" i="31"/>
  <c r="AC11" i="31"/>
  <c r="AC30" i="31"/>
  <c r="AC24" i="31"/>
  <c r="AC20" i="31"/>
  <c r="AC31" i="31"/>
  <c r="AC26" i="31"/>
  <c r="AC18" i="31"/>
  <c r="AC14" i="31"/>
  <c r="AC25" i="31"/>
  <c r="AC29" i="31"/>
  <c r="AC17" i="31"/>
  <c r="AC22" i="31"/>
  <c r="AC8" i="31"/>
  <c r="AC28" i="31"/>
  <c r="AC21" i="31"/>
  <c r="AC32" i="31"/>
  <c r="AC12" i="31"/>
  <c r="AC23" i="31"/>
  <c r="AC27" i="31"/>
  <c r="AC13" i="31"/>
  <c r="AC16" i="31"/>
  <c r="AC19" i="31"/>
  <c r="AD28" i="26"/>
  <c r="AD32" i="26"/>
  <c r="AD29" i="26"/>
  <c r="AD31" i="26"/>
  <c r="AD30" i="26"/>
  <c r="AC14" i="30"/>
  <c r="AC28" i="30"/>
  <c r="AC9" i="30"/>
  <c r="AC29" i="30"/>
  <c r="AC18" i="30"/>
  <c r="AC11" i="30"/>
  <c r="AC13" i="30"/>
  <c r="AC20" i="30"/>
  <c r="AC26" i="30"/>
  <c r="AC19" i="30"/>
  <c r="AC27" i="30"/>
  <c r="AC15" i="30"/>
  <c r="AC17" i="30"/>
  <c r="AC22" i="30"/>
  <c r="AC24" i="30"/>
  <c r="AC25" i="30"/>
  <c r="AC32" i="30"/>
  <c r="AC16" i="30"/>
  <c r="AC8" i="30"/>
  <c r="AC30" i="30"/>
  <c r="AC21" i="30"/>
  <c r="AC10" i="30"/>
  <c r="AC23" i="30"/>
  <c r="AC12" i="30"/>
  <c r="AC31" i="30"/>
  <c r="AD28" i="28"/>
  <c r="AD31" i="28"/>
  <c r="AD35" i="28"/>
  <c r="AD29" i="28"/>
  <c r="AD34" i="28"/>
  <c r="AD36" i="28"/>
  <c r="AD39" i="28"/>
  <c r="AD30" i="28"/>
  <c r="AD37" i="28"/>
  <c r="AD40" i="28"/>
  <c r="AD38" i="28"/>
  <c r="AD32" i="28"/>
  <c r="AD33" i="28"/>
  <c r="AC30" i="29"/>
  <c r="AC17" i="29"/>
  <c r="AC11" i="29"/>
  <c r="AC10" i="29"/>
  <c r="AC18" i="29"/>
  <c r="AC26" i="29"/>
  <c r="AC27" i="29"/>
  <c r="AC31" i="29"/>
  <c r="AC9" i="29"/>
  <c r="AC32" i="29"/>
  <c r="AC23" i="29"/>
  <c r="AC15" i="29"/>
  <c r="AC8" i="29"/>
  <c r="AC24" i="29"/>
  <c r="AC21" i="29"/>
  <c r="AC19" i="29"/>
  <c r="AC13" i="29"/>
  <c r="AC12" i="29"/>
  <c r="AC16" i="29"/>
  <c r="AC29" i="29"/>
  <c r="AC28" i="29"/>
  <c r="AC14" i="29"/>
  <c r="AC20" i="29"/>
  <c r="AC25" i="29"/>
  <c r="AC22" i="29"/>
  <c r="AD28" i="22"/>
  <c r="AD32" i="22"/>
  <c r="AD29" i="22"/>
  <c r="AD31" i="22"/>
  <c r="AD30" i="22"/>
  <c r="AD10" i="27"/>
  <c r="AD11" i="27"/>
  <c r="AD9" i="27"/>
  <c r="AD13" i="27"/>
  <c r="AD12" i="27"/>
  <c r="AD16" i="27"/>
  <c r="AD18" i="27"/>
  <c r="AD15" i="27"/>
  <c r="AD14" i="27"/>
  <c r="AD19" i="27"/>
  <c r="AD21" i="27"/>
  <c r="AD23" i="27"/>
  <c r="AD17" i="27"/>
  <c r="AD20" i="27"/>
  <c r="AD24" i="27"/>
  <c r="AD25" i="27"/>
  <c r="AD26" i="27"/>
  <c r="AD22" i="27"/>
  <c r="AD27" i="27"/>
  <c r="AD10" i="22"/>
  <c r="AD11" i="22"/>
  <c r="AD21" i="22"/>
  <c r="AD9" i="22"/>
  <c r="AD26" i="22"/>
  <c r="AD22" i="22"/>
  <c r="AD16" i="22"/>
  <c r="AD17" i="22"/>
  <c r="AD12" i="22"/>
  <c r="AD25" i="22"/>
  <c r="AD20" i="22"/>
  <c r="AD15" i="22"/>
  <c r="AD14" i="22"/>
  <c r="AD23" i="22"/>
  <c r="AD13" i="22"/>
  <c r="AD27" i="22"/>
  <c r="AD24" i="22"/>
  <c r="AD19" i="22"/>
  <c r="AD18" i="22"/>
  <c r="AD24" i="28"/>
  <c r="AD11" i="28"/>
  <c r="AD12" i="28"/>
  <c r="AD15" i="28"/>
  <c r="AD14" i="28"/>
  <c r="AD18" i="28"/>
  <c r="AD9" i="28"/>
  <c r="AD13" i="28"/>
  <c r="AD16" i="28"/>
  <c r="AD17" i="28"/>
  <c r="AD10" i="28"/>
  <c r="AD25" i="28"/>
  <c r="AD21" i="28"/>
  <c r="AD23" i="28"/>
  <c r="AD19" i="28"/>
  <c r="AD22" i="28"/>
  <c r="AD26" i="28"/>
  <c r="AD20" i="28"/>
  <c r="AD27" i="28"/>
  <c r="AD8" i="28"/>
  <c r="AD14" i="24"/>
  <c r="AD9" i="24"/>
  <c r="AD13" i="24"/>
  <c r="AD12" i="24"/>
  <c r="AD18" i="24"/>
  <c r="AD22" i="24"/>
  <c r="AD16" i="24"/>
  <c r="AD17" i="24"/>
  <c r="AD21" i="24"/>
  <c r="AD10" i="24"/>
  <c r="AD11" i="24"/>
  <c r="AD20" i="24"/>
  <c r="AD23" i="24"/>
  <c r="AD15" i="24"/>
  <c r="AD19" i="24"/>
  <c r="AD25" i="24"/>
  <c r="AD26" i="24"/>
  <c r="AD24" i="24"/>
  <c r="AD27" i="24"/>
  <c r="AD8" i="24"/>
  <c r="AD26" i="25"/>
  <c r="AD10" i="25"/>
  <c r="AD14" i="25"/>
  <c r="AD20" i="25"/>
  <c r="AD27" i="25"/>
  <c r="AD9" i="25"/>
  <c r="AD13" i="25"/>
  <c r="AD12" i="25"/>
  <c r="AD15" i="25"/>
  <c r="AD16" i="25"/>
  <c r="AD18" i="25"/>
  <c r="AD19" i="25"/>
  <c r="AD17" i="25"/>
  <c r="AD22" i="25"/>
  <c r="AD11" i="25"/>
  <c r="AD23" i="25"/>
  <c r="AD24" i="25"/>
  <c r="AD21" i="25"/>
  <c r="AD25" i="25"/>
  <c r="AD24" i="26"/>
  <c r="AD25" i="26"/>
  <c r="AD26" i="26"/>
  <c r="AD27" i="26"/>
  <c r="AD11" i="26"/>
  <c r="AD15" i="26"/>
  <c r="AD23" i="26"/>
  <c r="AD20" i="26"/>
  <c r="AD13" i="26"/>
  <c r="AD9" i="26"/>
  <c r="AD12" i="26"/>
  <c r="AD16" i="26"/>
  <c r="AD18" i="26"/>
  <c r="AD22" i="26"/>
  <c r="AD14" i="26"/>
  <c r="AD17" i="26"/>
  <c r="AD10" i="26"/>
  <c r="AD19" i="26"/>
  <c r="AD21" i="26"/>
  <c r="AD8" i="26"/>
  <c r="O17" i="50" l="1"/>
  <c r="N18" i="50" s="1"/>
  <c r="N17" i="26"/>
  <c r="AE16" i="44"/>
  <c r="AE11" i="44"/>
  <c r="AE13" i="44"/>
  <c r="AE20" i="44"/>
  <c r="AE9" i="44"/>
  <c r="AE12" i="44"/>
  <c r="AE17" i="44"/>
  <c r="AE18" i="44"/>
  <c r="AE10" i="44"/>
  <c r="AE14" i="44"/>
  <c r="AE24" i="44"/>
  <c r="AE19" i="44"/>
  <c r="AE32" i="44"/>
  <c r="AE22" i="44"/>
  <c r="AE30" i="44"/>
  <c r="AE23" i="44"/>
  <c r="AE15" i="44"/>
  <c r="AE31" i="44"/>
  <c r="AE21" i="44"/>
  <c r="AE26" i="44"/>
  <c r="AE28" i="44"/>
  <c r="AE25" i="44"/>
  <c r="AE29" i="44"/>
  <c r="AE27" i="44"/>
  <c r="AE44" i="28"/>
  <c r="AE45" i="28"/>
  <c r="AE9" i="40"/>
  <c r="AE14" i="40"/>
  <c r="AE22" i="40"/>
  <c r="AE11" i="40"/>
  <c r="AE29" i="40"/>
  <c r="AE32" i="40"/>
  <c r="AE15" i="40"/>
  <c r="AE12" i="40"/>
  <c r="AE13" i="40"/>
  <c r="AE20" i="40"/>
  <c r="AE21" i="40"/>
  <c r="AE25" i="40"/>
  <c r="AE26" i="40"/>
  <c r="AE16" i="40"/>
  <c r="AE17" i="40"/>
  <c r="AE27" i="40"/>
  <c r="AE30" i="40"/>
  <c r="AE31" i="40"/>
  <c r="AE19" i="40"/>
  <c r="AE28" i="40"/>
  <c r="AE10" i="40"/>
  <c r="AE18" i="40"/>
  <c r="AE24" i="40"/>
  <c r="AE23" i="40"/>
  <c r="F9" i="34"/>
  <c r="AY9" i="34" s="1"/>
  <c r="F7" i="34"/>
  <c r="AK7" i="34" s="1"/>
  <c r="F11" i="34"/>
  <c r="AD21" i="37"/>
  <c r="AD13" i="37"/>
  <c r="AD9" i="37"/>
  <c r="AD11" i="37"/>
  <c r="AD31" i="37"/>
  <c r="AD17" i="37"/>
  <c r="AD18" i="37"/>
  <c r="AD14" i="37"/>
  <c r="AD19" i="37"/>
  <c r="AD16" i="37"/>
  <c r="AD28" i="37"/>
  <c r="AD10" i="37"/>
  <c r="AD25" i="37"/>
  <c r="AD27" i="37"/>
  <c r="AD24" i="37"/>
  <c r="AD29" i="37"/>
  <c r="AD12" i="37"/>
  <c r="AD26" i="37"/>
  <c r="AD23" i="37"/>
  <c r="AD15" i="37"/>
  <c r="AD20" i="37"/>
  <c r="AD22" i="37"/>
  <c r="AD32" i="37"/>
  <c r="AD30" i="37"/>
  <c r="AE43" i="28"/>
  <c r="AE41" i="28"/>
  <c r="AE42" i="28"/>
  <c r="AE28" i="28"/>
  <c r="AE33" i="28"/>
  <c r="AE35" i="28"/>
  <c r="AE32" i="28"/>
  <c r="AE34" i="28"/>
  <c r="AE38" i="28"/>
  <c r="AE40" i="28"/>
  <c r="AE37" i="28"/>
  <c r="AE39" i="28"/>
  <c r="AE31" i="28"/>
  <c r="AE29" i="28"/>
  <c r="AE30" i="28"/>
  <c r="AE36" i="28"/>
  <c r="AD30" i="29"/>
  <c r="AD15" i="29"/>
  <c r="AD11" i="29"/>
  <c r="AD24" i="29"/>
  <c r="AD19" i="29"/>
  <c r="AD32" i="29"/>
  <c r="AD18" i="29"/>
  <c r="AD22" i="29"/>
  <c r="AD31" i="29"/>
  <c r="AD27" i="29"/>
  <c r="AD14" i="29"/>
  <c r="AD10" i="29"/>
  <c r="AD23" i="29"/>
  <c r="AD29" i="29"/>
  <c r="AD17" i="29"/>
  <c r="AD13" i="29"/>
  <c r="AD8" i="29"/>
  <c r="AD21" i="29"/>
  <c r="AD9" i="29"/>
  <c r="AD28" i="29"/>
  <c r="AD26" i="29"/>
  <c r="AD12" i="29"/>
  <c r="AD25" i="29"/>
  <c r="AD20" i="29"/>
  <c r="AD16" i="29"/>
  <c r="AE28" i="25"/>
  <c r="AE31" i="25"/>
  <c r="AE29" i="25"/>
  <c r="AE32" i="25"/>
  <c r="AE30" i="25"/>
  <c r="AD26" i="31"/>
  <c r="AD25" i="31"/>
  <c r="AD20" i="31"/>
  <c r="AD9" i="31"/>
  <c r="AD22" i="31"/>
  <c r="AD24" i="31"/>
  <c r="AD12" i="31"/>
  <c r="AD30" i="31"/>
  <c r="AD13" i="31"/>
  <c r="AD21" i="31"/>
  <c r="AD23" i="31"/>
  <c r="AD19" i="31"/>
  <c r="AD28" i="31"/>
  <c r="AD8" i="31"/>
  <c r="AD32" i="31"/>
  <c r="AD17" i="31"/>
  <c r="AD10" i="31"/>
  <c r="AD11" i="31"/>
  <c r="AD18" i="31"/>
  <c r="AD29" i="31"/>
  <c r="AD31" i="31"/>
  <c r="AD14" i="31"/>
  <c r="AD27" i="31"/>
  <c r="AD16" i="31"/>
  <c r="AD15" i="31"/>
  <c r="AD24" i="30"/>
  <c r="AD20" i="30"/>
  <c r="AD10" i="30"/>
  <c r="AD8" i="30"/>
  <c r="AD12" i="30"/>
  <c r="AD13" i="30"/>
  <c r="AD16" i="30"/>
  <c r="AD14" i="30"/>
  <c r="AD26" i="30"/>
  <c r="AD25" i="30"/>
  <c r="AD27" i="30"/>
  <c r="AD22" i="30"/>
  <c r="AD21" i="30"/>
  <c r="AD19" i="30"/>
  <c r="AD23" i="30"/>
  <c r="AD32" i="30"/>
  <c r="AD18" i="30"/>
  <c r="AD28" i="30"/>
  <c r="AD29" i="30"/>
  <c r="AD11" i="30"/>
  <c r="AD17" i="30"/>
  <c r="AD15" i="30"/>
  <c r="AD31" i="30"/>
  <c r="AD9" i="30"/>
  <c r="AD30" i="30"/>
  <c r="AE28" i="24"/>
  <c r="AE29" i="24"/>
  <c r="AE32" i="24"/>
  <c r="AE30" i="24"/>
  <c r="AE31" i="24"/>
  <c r="AE28" i="26"/>
  <c r="AE31" i="26"/>
  <c r="AE29" i="26"/>
  <c r="AE32" i="26"/>
  <c r="AE30" i="26"/>
  <c r="AE28" i="27"/>
  <c r="AE32" i="27"/>
  <c r="AE29" i="27"/>
  <c r="AE31" i="27"/>
  <c r="AE30" i="27"/>
  <c r="AE28" i="22"/>
  <c r="AE29" i="22"/>
  <c r="AE32" i="22"/>
  <c r="AE31" i="22"/>
  <c r="AE30" i="22"/>
  <c r="AE18" i="22"/>
  <c r="AE15" i="22"/>
  <c r="AE22" i="22"/>
  <c r="AE12" i="22"/>
  <c r="AE25" i="22"/>
  <c r="AE11" i="22"/>
  <c r="AE19" i="22"/>
  <c r="AE23" i="22"/>
  <c r="AE13" i="22"/>
  <c r="AE14" i="22"/>
  <c r="AE27" i="22"/>
  <c r="AE26" i="22"/>
  <c r="AE21" i="22"/>
  <c r="AE17" i="22"/>
  <c r="AE10" i="22"/>
  <c r="AE16" i="22"/>
  <c r="AE20" i="22"/>
  <c r="AE24" i="22"/>
  <c r="AE9" i="22"/>
  <c r="AE9" i="27"/>
  <c r="AE11" i="27"/>
  <c r="AE13" i="27"/>
  <c r="AE14" i="27"/>
  <c r="AE15" i="27"/>
  <c r="AE10" i="27"/>
  <c r="AE12" i="27"/>
  <c r="AE17" i="27"/>
  <c r="AE19" i="27"/>
  <c r="AE20" i="27"/>
  <c r="AE22" i="27"/>
  <c r="AE18" i="27"/>
  <c r="AE21" i="27"/>
  <c r="AE24" i="27"/>
  <c r="AE16" i="27"/>
  <c r="AE23" i="27"/>
  <c r="AE25" i="27"/>
  <c r="AE26" i="27"/>
  <c r="AE27" i="27"/>
  <c r="AE24" i="28"/>
  <c r="AE11" i="28"/>
  <c r="AE20" i="28"/>
  <c r="AE12" i="28"/>
  <c r="AE16" i="28"/>
  <c r="AE9" i="28"/>
  <c r="AE10" i="28"/>
  <c r="AE14" i="28"/>
  <c r="AE15" i="28"/>
  <c r="AE17" i="28"/>
  <c r="AE22" i="28"/>
  <c r="AE18" i="28"/>
  <c r="AE23" i="28"/>
  <c r="AE13" i="28"/>
  <c r="AE25" i="28"/>
  <c r="AE27" i="28"/>
  <c r="AE26" i="28"/>
  <c r="AE21" i="28"/>
  <c r="AE19" i="28"/>
  <c r="AE8" i="28"/>
  <c r="AE11" i="25"/>
  <c r="AE15" i="25"/>
  <c r="AE21" i="25"/>
  <c r="AE16" i="25"/>
  <c r="AE27" i="25"/>
  <c r="AE9" i="25"/>
  <c r="AE10" i="25"/>
  <c r="AE13" i="25"/>
  <c r="AE14" i="25"/>
  <c r="AE19" i="25"/>
  <c r="AE23" i="25"/>
  <c r="AE17" i="25"/>
  <c r="AE22" i="25"/>
  <c r="AE20" i="25"/>
  <c r="AE12" i="25"/>
  <c r="AE18" i="25"/>
  <c r="AE24" i="25"/>
  <c r="AE25" i="25"/>
  <c r="AE26" i="25"/>
  <c r="AE11" i="24"/>
  <c r="AE15" i="24"/>
  <c r="AE9" i="24"/>
  <c r="AE10" i="24"/>
  <c r="AE14" i="24"/>
  <c r="AE13" i="24"/>
  <c r="AE17" i="24"/>
  <c r="AE16" i="24"/>
  <c r="AE18" i="24"/>
  <c r="AE22" i="24"/>
  <c r="AE23" i="24"/>
  <c r="AE19" i="24"/>
  <c r="AE21" i="24"/>
  <c r="AE12" i="24"/>
  <c r="AE20" i="24"/>
  <c r="AE24" i="24"/>
  <c r="AE26" i="24"/>
  <c r="AE27" i="24"/>
  <c r="AE25" i="24"/>
  <c r="AE8" i="24"/>
  <c r="AE24" i="26"/>
  <c r="AE25" i="26"/>
  <c r="AE27" i="26"/>
  <c r="AE26" i="26"/>
  <c r="AE9" i="26"/>
  <c r="AE14" i="26"/>
  <c r="AE22" i="26"/>
  <c r="AE15" i="26"/>
  <c r="AE21" i="26"/>
  <c r="AE12" i="26"/>
  <c r="AE16" i="26"/>
  <c r="AE17" i="26"/>
  <c r="AE20" i="26"/>
  <c r="AE23" i="26"/>
  <c r="AE10" i="26"/>
  <c r="AE13" i="26"/>
  <c r="AE18" i="26"/>
  <c r="AE11" i="26"/>
  <c r="AE19" i="26"/>
  <c r="AE8" i="26"/>
  <c r="O18" i="50" l="1"/>
  <c r="N19" i="50" s="1"/>
  <c r="N18" i="26"/>
  <c r="AF45" i="28"/>
  <c r="AF44" i="28"/>
  <c r="AF27" i="44"/>
  <c r="AF10" i="44"/>
  <c r="AF21" i="44"/>
  <c r="AF11" i="44"/>
  <c r="AF25" i="44"/>
  <c r="AF14" i="44"/>
  <c r="AF23" i="44"/>
  <c r="AF19" i="44"/>
  <c r="AF20" i="44"/>
  <c r="AF24" i="44"/>
  <c r="AF13" i="44"/>
  <c r="AF29" i="44"/>
  <c r="AF15" i="44"/>
  <c r="AF9" i="44"/>
  <c r="AF12" i="44"/>
  <c r="AF17" i="44"/>
  <c r="AF31" i="44"/>
  <c r="AF26" i="44"/>
  <c r="AF32" i="44"/>
  <c r="AF16" i="44"/>
  <c r="AF18" i="44"/>
  <c r="AF22" i="44"/>
  <c r="AF30" i="44"/>
  <c r="AF28" i="44"/>
  <c r="AF25" i="40"/>
  <c r="AF32" i="40"/>
  <c r="AF18" i="40"/>
  <c r="AF14" i="40"/>
  <c r="AF10" i="40"/>
  <c r="AF29" i="40"/>
  <c r="AF17" i="40"/>
  <c r="AF23" i="40"/>
  <c r="AF9" i="40"/>
  <c r="AF11" i="40"/>
  <c r="AF27" i="40"/>
  <c r="AF26" i="40"/>
  <c r="AF28" i="40"/>
  <c r="AF30" i="40"/>
  <c r="AF16" i="40"/>
  <c r="AF20" i="40"/>
  <c r="AF15" i="40"/>
  <c r="AF19" i="40"/>
  <c r="AF22" i="40"/>
  <c r="AF24" i="40"/>
  <c r="AF21" i="40"/>
  <c r="AF31" i="40"/>
  <c r="AF12" i="40"/>
  <c r="AF13" i="40"/>
  <c r="AE23" i="37"/>
  <c r="AE13" i="37"/>
  <c r="AE20" i="37"/>
  <c r="AE12" i="37"/>
  <c r="AE14" i="37"/>
  <c r="AE9" i="37"/>
  <c r="AE10" i="37"/>
  <c r="AE18" i="37"/>
  <c r="AE30" i="37"/>
  <c r="AE11" i="37"/>
  <c r="AE16" i="37"/>
  <c r="AE21" i="37"/>
  <c r="AE19" i="37"/>
  <c r="AE32" i="37"/>
  <c r="AE29" i="37"/>
  <c r="AE17" i="37"/>
  <c r="AE28" i="37"/>
  <c r="AE27" i="37"/>
  <c r="AE15" i="37"/>
  <c r="AE24" i="37"/>
  <c r="AE25" i="37"/>
  <c r="AE22" i="37"/>
  <c r="AE26" i="37"/>
  <c r="AE31" i="37"/>
  <c r="AF43" i="28"/>
  <c r="AF42" i="28"/>
  <c r="AF41" i="28"/>
  <c r="F12" i="34"/>
  <c r="CC11" i="34"/>
  <c r="BM11" i="34"/>
  <c r="AW11" i="34"/>
  <c r="AG11" i="34"/>
  <c r="CF11" i="34"/>
  <c r="BP11" i="34"/>
  <c r="AZ11" i="34"/>
  <c r="AJ11" i="34"/>
  <c r="T11" i="34"/>
  <c r="BW11" i="34"/>
  <c r="BC11" i="34"/>
  <c r="AM11" i="34"/>
  <c r="W11" i="34"/>
  <c r="BV11" i="34"/>
  <c r="BF11" i="34"/>
  <c r="AP11" i="34"/>
  <c r="Z11" i="34"/>
  <c r="BY11" i="34"/>
  <c r="BI11" i="34"/>
  <c r="AS11" i="34"/>
  <c r="AC11" i="34"/>
  <c r="CB11" i="34"/>
  <c r="BL11" i="34"/>
  <c r="AV11" i="34"/>
  <c r="AF11" i="34"/>
  <c r="BK11" i="34"/>
  <c r="BS11" i="34"/>
  <c r="AY11" i="34"/>
  <c r="AI11" i="34"/>
  <c r="S11" i="34"/>
  <c r="BR11" i="34"/>
  <c r="BB11" i="34"/>
  <c r="AL11" i="34"/>
  <c r="V11" i="34"/>
  <c r="BU11" i="34"/>
  <c r="BE11" i="34"/>
  <c r="AO11" i="34"/>
  <c r="Y11" i="34"/>
  <c r="BX11" i="34"/>
  <c r="BH11" i="34"/>
  <c r="AR11" i="34"/>
  <c r="AB11" i="34"/>
  <c r="CE11" i="34"/>
  <c r="BO11" i="34"/>
  <c r="AU11" i="34"/>
  <c r="AE11" i="34"/>
  <c r="CD11" i="34"/>
  <c r="BN11" i="34"/>
  <c r="AX11" i="34"/>
  <c r="AH11" i="34"/>
  <c r="U11" i="34"/>
  <c r="X11" i="34"/>
  <c r="AA11" i="34"/>
  <c r="AD11" i="34"/>
  <c r="AQ11" i="34"/>
  <c r="BQ11" i="34"/>
  <c r="BT11" i="34"/>
  <c r="CA11" i="34"/>
  <c r="BZ11" i="34"/>
  <c r="AK11" i="34"/>
  <c r="BA11" i="34"/>
  <c r="BD11" i="34"/>
  <c r="BG11" i="34"/>
  <c r="BJ11" i="34"/>
  <c r="AN11" i="34"/>
  <c r="AT11" i="34"/>
  <c r="F10" i="34"/>
  <c r="BX9" i="34"/>
  <c r="BH9" i="34"/>
  <c r="AR9" i="34"/>
  <c r="AB9" i="34"/>
  <c r="BW9" i="34"/>
  <c r="AU9" i="34"/>
  <c r="CE9" i="34"/>
  <c r="AQ9" i="34"/>
  <c r="CD9" i="34"/>
  <c r="BN9" i="34"/>
  <c r="AX9" i="34"/>
  <c r="AH9" i="34"/>
  <c r="BU9" i="34"/>
  <c r="BM9" i="34"/>
  <c r="U9" i="34"/>
  <c r="BI9" i="34"/>
  <c r="BT9" i="34"/>
  <c r="BD9" i="34"/>
  <c r="AN9" i="34"/>
  <c r="X9" i="34"/>
  <c r="BO9" i="34"/>
  <c r="AM9" i="34"/>
  <c r="BS9" i="34"/>
  <c r="AI9" i="34"/>
  <c r="BZ9" i="34"/>
  <c r="BJ9" i="34"/>
  <c r="AT9" i="34"/>
  <c r="AD9" i="34"/>
  <c r="BE9" i="34"/>
  <c r="BQ9" i="34"/>
  <c r="CC9" i="34"/>
  <c r="AS9" i="34"/>
  <c r="CF9" i="34"/>
  <c r="BP9" i="34"/>
  <c r="AZ9" i="34"/>
  <c r="AJ9" i="34"/>
  <c r="T9" i="34"/>
  <c r="BG9" i="34"/>
  <c r="AE9" i="34"/>
  <c r="BK9" i="34"/>
  <c r="AA9" i="34"/>
  <c r="BV9" i="34"/>
  <c r="BF9" i="34"/>
  <c r="AP9" i="34"/>
  <c r="Z9" i="34"/>
  <c r="AO9" i="34"/>
  <c r="BA9" i="34"/>
  <c r="AG9" i="34"/>
  <c r="AC9" i="34"/>
  <c r="AF9" i="34"/>
  <c r="BC9" i="34"/>
  <c r="AL9" i="34"/>
  <c r="BY9" i="34"/>
  <c r="Y9" i="34"/>
  <c r="AV9" i="34"/>
  <c r="AK9" i="34"/>
  <c r="CB9" i="34"/>
  <c r="CA9" i="34"/>
  <c r="S9" i="34"/>
  <c r="V9" i="34"/>
  <c r="AW9" i="34"/>
  <c r="BL9" i="34"/>
  <c r="BB9" i="34"/>
  <c r="BR9" i="34"/>
  <c r="W9" i="34"/>
  <c r="F8" i="34"/>
  <c r="CF7" i="34"/>
  <c r="BP7" i="34"/>
  <c r="AZ7" i="34"/>
  <c r="AJ7" i="34"/>
  <c r="T7" i="34"/>
  <c r="BG7" i="34"/>
  <c r="AA7" i="34"/>
  <c r="BJ7" i="34"/>
  <c r="BS7" i="34"/>
  <c r="AM7" i="34"/>
  <c r="BF7" i="34"/>
  <c r="BZ7" i="34"/>
  <c r="AH7" i="34"/>
  <c r="AS7" i="34"/>
  <c r="Y7" i="34"/>
  <c r="AW7" i="34"/>
  <c r="BA7" i="34"/>
  <c r="V7" i="34"/>
  <c r="AG7" i="34"/>
  <c r="CB7" i="34"/>
  <c r="BL7" i="34"/>
  <c r="AV7" i="34"/>
  <c r="AF7" i="34"/>
  <c r="CE7" i="34"/>
  <c r="AY7" i="34"/>
  <c r="W7" i="34"/>
  <c r="AX7" i="34"/>
  <c r="BK7" i="34"/>
  <c r="AE7" i="34"/>
  <c r="AT7" i="34"/>
  <c r="BN7" i="34"/>
  <c r="BU7" i="34"/>
  <c r="BX7" i="34"/>
  <c r="BH7" i="34"/>
  <c r="AR7" i="34"/>
  <c r="AB7" i="34"/>
  <c r="BW7" i="34"/>
  <c r="AQ7" i="34"/>
  <c r="CD7" i="34"/>
  <c r="AD7" i="34"/>
  <c r="BC7" i="34"/>
  <c r="S7" i="34"/>
  <c r="AL7" i="34"/>
  <c r="BB7" i="34"/>
  <c r="BY7" i="34"/>
  <c r="BE7" i="34"/>
  <c r="CC7" i="34"/>
  <c r="AC7" i="34"/>
  <c r="AN7" i="34"/>
  <c r="BV7" i="34"/>
  <c r="Z7" i="34"/>
  <c r="BM7" i="34"/>
  <c r="AU7" i="34"/>
  <c r="U7" i="34"/>
  <c r="AI7" i="34"/>
  <c r="X7" i="34"/>
  <c r="CA7" i="34"/>
  <c r="AP7" i="34"/>
  <c r="BQ7" i="34"/>
  <c r="BO7" i="34"/>
  <c r="AO7" i="34"/>
  <c r="BT7" i="34"/>
  <c r="BI7" i="34"/>
  <c r="BD7" i="34"/>
  <c r="BR7" i="34"/>
  <c r="AF28" i="26"/>
  <c r="AF31" i="26"/>
  <c r="AF32" i="26"/>
  <c r="AF29" i="26"/>
  <c r="AF30" i="26"/>
  <c r="AE8" i="31"/>
  <c r="AE12" i="31"/>
  <c r="AE11" i="31"/>
  <c r="AE15" i="31"/>
  <c r="AE29" i="31"/>
  <c r="AE31" i="31"/>
  <c r="AE16" i="31"/>
  <c r="AE25" i="31"/>
  <c r="AE24" i="31"/>
  <c r="AE20" i="31"/>
  <c r="AE10" i="31"/>
  <c r="AE17" i="31"/>
  <c r="AE22" i="31"/>
  <c r="AE27" i="31"/>
  <c r="AE13" i="31"/>
  <c r="AE28" i="31"/>
  <c r="AE26" i="31"/>
  <c r="AE9" i="31"/>
  <c r="AE19" i="31"/>
  <c r="AE32" i="31"/>
  <c r="AE30" i="31"/>
  <c r="AE21" i="31"/>
  <c r="AE14" i="31"/>
  <c r="AE18" i="31"/>
  <c r="AE23" i="31"/>
  <c r="AF28" i="24"/>
  <c r="AF32" i="24"/>
  <c r="AF29" i="24"/>
  <c r="AF30" i="24"/>
  <c r="AF31" i="24"/>
  <c r="AE14" i="30"/>
  <c r="AE10" i="30"/>
  <c r="AE13" i="30"/>
  <c r="AE27" i="30"/>
  <c r="AE11" i="30"/>
  <c r="AE21" i="30"/>
  <c r="AE23" i="30"/>
  <c r="AE25" i="30"/>
  <c r="AE9" i="30"/>
  <c r="AE12" i="30"/>
  <c r="AE15" i="30"/>
  <c r="AE24" i="30"/>
  <c r="AE28" i="30"/>
  <c r="AE8" i="30"/>
  <c r="AE32" i="30"/>
  <c r="AE17" i="30"/>
  <c r="AE22" i="30"/>
  <c r="AE29" i="30"/>
  <c r="AE31" i="30"/>
  <c r="AE16" i="30"/>
  <c r="AE26" i="30"/>
  <c r="AE18" i="30"/>
  <c r="AE30" i="30"/>
  <c r="AE19" i="30"/>
  <c r="AE20" i="30"/>
  <c r="AF28" i="25"/>
  <c r="AF29" i="25"/>
  <c r="AF31" i="25"/>
  <c r="AF30" i="25"/>
  <c r="AF32" i="25"/>
  <c r="AF28" i="27"/>
  <c r="AF30" i="27"/>
  <c r="AF29" i="27"/>
  <c r="AF32" i="27"/>
  <c r="AF31" i="27"/>
  <c r="AF28" i="28"/>
  <c r="AF33" i="28"/>
  <c r="AF36" i="28"/>
  <c r="AF30" i="28"/>
  <c r="AF31" i="28"/>
  <c r="AF32" i="28"/>
  <c r="AF34" i="28"/>
  <c r="AF37" i="28"/>
  <c r="AF35" i="28"/>
  <c r="AF40" i="28"/>
  <c r="AF29" i="28"/>
  <c r="AF38" i="28"/>
  <c r="AF39" i="28"/>
  <c r="AE27" i="29"/>
  <c r="AE20" i="29"/>
  <c r="AE12" i="29"/>
  <c r="AE32" i="29"/>
  <c r="AE15" i="29"/>
  <c r="AE24" i="29"/>
  <c r="AE30" i="29"/>
  <c r="AE26" i="29"/>
  <c r="AE29" i="29"/>
  <c r="AE31" i="29"/>
  <c r="AE10" i="29"/>
  <c r="AE21" i="29"/>
  <c r="AE23" i="29"/>
  <c r="AE28" i="29"/>
  <c r="AE13" i="29"/>
  <c r="AE25" i="29"/>
  <c r="AE16" i="29"/>
  <c r="AE8" i="29"/>
  <c r="AE9" i="29"/>
  <c r="AE19" i="29"/>
  <c r="AE18" i="29"/>
  <c r="AE11" i="29"/>
  <c r="AE22" i="29"/>
  <c r="AE14" i="29"/>
  <c r="AE17" i="29"/>
  <c r="AF28" i="22"/>
  <c r="AF32" i="22"/>
  <c r="AF29" i="22"/>
  <c r="AF30" i="22"/>
  <c r="AF31" i="22"/>
  <c r="AF13" i="24"/>
  <c r="AF17" i="24"/>
  <c r="AF9" i="24"/>
  <c r="AF12" i="24"/>
  <c r="AF16" i="24"/>
  <c r="AF11" i="24"/>
  <c r="AF10" i="24"/>
  <c r="AF14" i="24"/>
  <c r="AF21" i="24"/>
  <c r="AF22" i="24"/>
  <c r="AF15" i="24"/>
  <c r="AF20" i="24"/>
  <c r="AF19" i="24"/>
  <c r="AF23" i="24"/>
  <c r="AF25" i="24"/>
  <c r="AF24" i="24"/>
  <c r="AF26" i="24"/>
  <c r="AF18" i="24"/>
  <c r="AF27" i="24"/>
  <c r="AF8" i="24"/>
  <c r="AF25" i="26"/>
  <c r="AF24" i="26"/>
  <c r="AF26" i="26"/>
  <c r="AF27" i="26"/>
  <c r="AF11" i="26"/>
  <c r="AF13" i="26"/>
  <c r="AF14" i="26"/>
  <c r="AF10" i="26"/>
  <c r="AF12" i="26"/>
  <c r="AF15" i="26"/>
  <c r="AF23" i="26"/>
  <c r="AF16" i="26"/>
  <c r="AF17" i="26"/>
  <c r="AF9" i="26"/>
  <c r="AF18" i="26"/>
  <c r="AF19" i="26"/>
  <c r="AF21" i="26"/>
  <c r="AF22" i="26"/>
  <c r="AF20" i="26"/>
  <c r="AF8" i="26"/>
  <c r="AF10" i="27"/>
  <c r="AF12" i="27"/>
  <c r="AF9" i="27"/>
  <c r="AF11" i="27"/>
  <c r="AF14" i="27"/>
  <c r="AF17" i="27"/>
  <c r="AF13" i="27"/>
  <c r="AF15" i="27"/>
  <c r="AF16" i="27"/>
  <c r="AF18" i="27"/>
  <c r="AF20" i="27"/>
  <c r="AF21" i="27"/>
  <c r="AF22" i="27"/>
  <c r="AF19" i="27"/>
  <c r="AF25" i="27"/>
  <c r="AF23" i="27"/>
  <c r="AF24" i="27"/>
  <c r="AF27" i="27"/>
  <c r="AF26" i="27"/>
  <c r="AF27" i="25"/>
  <c r="AF10" i="25"/>
  <c r="AF14" i="25"/>
  <c r="AF16" i="25"/>
  <c r="AF19" i="25"/>
  <c r="AF23" i="25"/>
  <c r="AF26" i="25"/>
  <c r="AF9" i="25"/>
  <c r="AF12" i="25"/>
  <c r="AF13" i="25"/>
  <c r="AF11" i="25"/>
  <c r="AF15" i="25"/>
  <c r="AF17" i="25"/>
  <c r="AF20" i="25"/>
  <c r="AF22" i="25"/>
  <c r="AF21" i="25"/>
  <c r="AF18" i="25"/>
  <c r="AF25" i="25"/>
  <c r="AF24" i="25"/>
  <c r="AF17" i="22"/>
  <c r="AF15" i="22"/>
  <c r="AF22" i="22"/>
  <c r="AF10" i="22"/>
  <c r="AF16" i="22"/>
  <c r="AF13" i="22"/>
  <c r="AF23" i="22"/>
  <c r="AF27" i="22"/>
  <c r="AF9" i="22"/>
  <c r="AF25" i="22"/>
  <c r="AF11" i="22"/>
  <c r="AF20" i="22"/>
  <c r="AF12" i="22"/>
  <c r="AF18" i="22"/>
  <c r="AF19" i="22"/>
  <c r="AF26" i="22"/>
  <c r="AF24" i="22"/>
  <c r="AF14" i="22"/>
  <c r="AF21" i="22"/>
  <c r="AF24" i="28"/>
  <c r="AF10" i="28"/>
  <c r="AF11" i="28"/>
  <c r="AF22" i="28"/>
  <c r="AF9" i="28"/>
  <c r="AF13" i="28"/>
  <c r="AF14" i="28"/>
  <c r="AF15" i="28"/>
  <c r="AF17" i="28"/>
  <c r="AF18" i="28"/>
  <c r="AF21" i="28"/>
  <c r="AF23" i="28"/>
  <c r="AF12" i="28"/>
  <c r="AF16" i="28"/>
  <c r="AF25" i="28"/>
  <c r="AF19" i="28"/>
  <c r="AF20" i="28"/>
  <c r="AF27" i="28"/>
  <c r="AF26" i="28"/>
  <c r="AF8" i="28"/>
  <c r="O19" i="50" l="1"/>
  <c r="N20" i="50" s="1"/>
  <c r="N19" i="26"/>
  <c r="AG45" i="28"/>
  <c r="AG44" i="28"/>
  <c r="AG24" i="44"/>
  <c r="AG19" i="44"/>
  <c r="AG21" i="44"/>
  <c r="AG9" i="44"/>
  <c r="AG10" i="44"/>
  <c r="AG11" i="44"/>
  <c r="AG30" i="44"/>
  <c r="AG17" i="44"/>
  <c r="AG23" i="44"/>
  <c r="AG31" i="44"/>
  <c r="AG13" i="44"/>
  <c r="AG14" i="44"/>
  <c r="AG12" i="44"/>
  <c r="AG16" i="44"/>
  <c r="AG18" i="44"/>
  <c r="AG26" i="44"/>
  <c r="AG28" i="44"/>
  <c r="AG15" i="44"/>
  <c r="AG32" i="44"/>
  <c r="AG20" i="44"/>
  <c r="AG25" i="44"/>
  <c r="AG29" i="44"/>
  <c r="AG22" i="44"/>
  <c r="AG27" i="44"/>
  <c r="AG14" i="40"/>
  <c r="AG20" i="40"/>
  <c r="AG17" i="40"/>
  <c r="AG26" i="40"/>
  <c r="AG29" i="40"/>
  <c r="AG24" i="40"/>
  <c r="AG13" i="40"/>
  <c r="AG15" i="40"/>
  <c r="AG23" i="40"/>
  <c r="AG18" i="40"/>
  <c r="AG27" i="40"/>
  <c r="AG30" i="40"/>
  <c r="AG31" i="40"/>
  <c r="AG28" i="40"/>
  <c r="AG16" i="40"/>
  <c r="AG12" i="40"/>
  <c r="AG19" i="40"/>
  <c r="AG10" i="40"/>
  <c r="AG11" i="40"/>
  <c r="AG22" i="40"/>
  <c r="AG32" i="40"/>
  <c r="AG9" i="40"/>
  <c r="AG25" i="40"/>
  <c r="AG21" i="40"/>
  <c r="AF29" i="37"/>
  <c r="AF19" i="37"/>
  <c r="AF22" i="37"/>
  <c r="AF27" i="37"/>
  <c r="AF15" i="37"/>
  <c r="AF12" i="37"/>
  <c r="AF23" i="37"/>
  <c r="AF11" i="37"/>
  <c r="AF9" i="37"/>
  <c r="AF26" i="37"/>
  <c r="AF20" i="37"/>
  <c r="AF16" i="37"/>
  <c r="AF14" i="37"/>
  <c r="AF17" i="37"/>
  <c r="AF18" i="37"/>
  <c r="AF13" i="37"/>
  <c r="AF21" i="37"/>
  <c r="AF10" i="37"/>
  <c r="AF24" i="37"/>
  <c r="AF28" i="37"/>
  <c r="AF30" i="37"/>
  <c r="AF25" i="37"/>
  <c r="AF31" i="37"/>
  <c r="AF32" i="37"/>
  <c r="AG43" i="28"/>
  <c r="AG42" i="28"/>
  <c r="AG41" i="28"/>
  <c r="X12" i="34"/>
  <c r="AK12" i="34"/>
  <c r="BY12" i="34"/>
  <c r="BQ12" i="34"/>
  <c r="AT12" i="34"/>
  <c r="BF12" i="34"/>
  <c r="AC12" i="34"/>
  <c r="BB12" i="34"/>
  <c r="U12" i="34"/>
  <c r="BE12" i="34"/>
  <c r="BP12" i="34"/>
  <c r="AW12" i="34"/>
  <c r="BH12" i="34"/>
  <c r="BC12" i="34"/>
  <c r="BO12" i="34"/>
  <c r="CA12" i="34"/>
  <c r="AA12" i="34"/>
  <c r="AD12" i="34"/>
  <c r="AX12" i="34"/>
  <c r="CB12" i="34"/>
  <c r="AS12" i="34"/>
  <c r="AP12" i="34"/>
  <c r="BT12" i="34"/>
  <c r="AL12" i="34"/>
  <c r="BL12" i="34"/>
  <c r="AO12" i="34"/>
  <c r="AZ12" i="34"/>
  <c r="AG12" i="34"/>
  <c r="AR12" i="34"/>
  <c r="AM12" i="34"/>
  <c r="AY12" i="34"/>
  <c r="BK12" i="34"/>
  <c r="BG12" i="34"/>
  <c r="BJ12" i="34"/>
  <c r="BN12" i="34"/>
  <c r="BD12" i="34"/>
  <c r="Z12" i="34"/>
  <c r="AN12" i="34"/>
  <c r="V12" i="34"/>
  <c r="AF12" i="34"/>
  <c r="Y12" i="34"/>
  <c r="AJ12" i="34"/>
  <c r="CC12" i="34"/>
  <c r="AB12" i="34"/>
  <c r="CD12" i="34"/>
  <c r="W12" i="34"/>
  <c r="AI12" i="34"/>
  <c r="AU12" i="34"/>
  <c r="BW12" i="34"/>
  <c r="BZ12" i="34"/>
  <c r="BA12" i="34"/>
  <c r="BM12" i="34"/>
  <c r="AE12" i="34"/>
  <c r="BR12" i="34"/>
  <c r="AH12" i="34"/>
  <c r="BV12" i="34"/>
  <c r="BU12" i="34"/>
  <c r="BX12" i="34"/>
  <c r="BS12" i="34"/>
  <c r="AQ12" i="34"/>
  <c r="T12" i="34"/>
  <c r="AV12" i="34"/>
  <c r="BI12" i="34"/>
  <c r="CF12" i="34"/>
  <c r="CE12" i="34"/>
  <c r="S12" i="34"/>
  <c r="BS8" i="34"/>
  <c r="BG8" i="34"/>
  <c r="BK8" i="34"/>
  <c r="AY8" i="34"/>
  <c r="X8" i="34"/>
  <c r="BL8" i="34"/>
  <c r="AB8" i="34"/>
  <c r="BH8" i="34"/>
  <c r="AC8" i="34"/>
  <c r="BM8" i="34"/>
  <c r="CF8" i="34"/>
  <c r="AS8" i="34"/>
  <c r="BY8" i="34"/>
  <c r="AH8" i="34"/>
  <c r="AX8" i="34"/>
  <c r="BN8" i="34"/>
  <c r="AR8" i="34"/>
  <c r="CC8" i="34"/>
  <c r="BI8" i="34"/>
  <c r="AP8" i="34"/>
  <c r="BV8" i="34"/>
  <c r="AQ8" i="34"/>
  <c r="AU8" i="34"/>
  <c r="AI8" i="34"/>
  <c r="BD8" i="34"/>
  <c r="T8" i="34"/>
  <c r="AZ8" i="34"/>
  <c r="U8" i="34"/>
  <c r="AF8" i="34"/>
  <c r="AO8" i="34"/>
  <c r="BQ8" i="34"/>
  <c r="AD8" i="34"/>
  <c r="AT8" i="34"/>
  <c r="BZ8" i="34"/>
  <c r="BC8" i="34"/>
  <c r="BW8" i="34"/>
  <c r="CA8" i="34"/>
  <c r="BO8" i="34"/>
  <c r="AN8" i="34"/>
  <c r="BP8" i="34"/>
  <c r="AJ8" i="34"/>
  <c r="BT8" i="34"/>
  <c r="AK8" i="34"/>
  <c r="BU8" i="34"/>
  <c r="Y8" i="34"/>
  <c r="BA8" i="34"/>
  <c r="V8" i="34"/>
  <c r="AL8" i="34"/>
  <c r="BB8" i="34"/>
  <c r="BR8" i="34"/>
  <c r="CD8" i="34"/>
  <c r="AM8" i="34"/>
  <c r="AA8" i="34"/>
  <c r="AE8" i="34"/>
  <c r="S8" i="34"/>
  <c r="CE8" i="34"/>
  <c r="AV8" i="34"/>
  <c r="BX8" i="34"/>
  <c r="CB8" i="34"/>
  <c r="AW8" i="34"/>
  <c r="AG8" i="34"/>
  <c r="Z8" i="34"/>
  <c r="BF8" i="34"/>
  <c r="W8" i="34"/>
  <c r="BE8" i="34"/>
  <c r="BJ8" i="34"/>
  <c r="BH10" i="34"/>
  <c r="BX10" i="34"/>
  <c r="AB10" i="34"/>
  <c r="BS10" i="34"/>
  <c r="BK10" i="34"/>
  <c r="AY10" i="34"/>
  <c r="AE10" i="34"/>
  <c r="BW10" i="34"/>
  <c r="AD10" i="34"/>
  <c r="AG10" i="34"/>
  <c r="X10" i="34"/>
  <c r="Z10" i="34"/>
  <c r="U10" i="34"/>
  <c r="AJ10" i="34"/>
  <c r="BR10" i="34"/>
  <c r="BY10" i="34"/>
  <c r="CB10" i="34"/>
  <c r="BN10" i="34"/>
  <c r="BU10" i="34"/>
  <c r="BC10" i="34"/>
  <c r="AU10" i="34"/>
  <c r="AI10" i="34"/>
  <c r="AA10" i="34"/>
  <c r="BZ10" i="34"/>
  <c r="BM10" i="34"/>
  <c r="BT10" i="34"/>
  <c r="BV10" i="34"/>
  <c r="BE10" i="34"/>
  <c r="CF10" i="34"/>
  <c r="T10" i="34"/>
  <c r="BB10" i="34"/>
  <c r="BA10" i="34"/>
  <c r="BL10" i="34"/>
  <c r="AO10" i="34"/>
  <c r="AH10" i="34"/>
  <c r="AR10" i="34"/>
  <c r="CC10" i="34"/>
  <c r="AM10" i="34"/>
  <c r="CE10" i="34"/>
  <c r="S10" i="34"/>
  <c r="BG10" i="34"/>
  <c r="BJ10" i="34"/>
  <c r="AK10" i="34"/>
  <c r="BD10" i="34"/>
  <c r="BF10" i="34"/>
  <c r="AC10" i="34"/>
  <c r="BP10" i="34"/>
  <c r="AL10" i="34"/>
  <c r="Y10" i="34"/>
  <c r="AV10" i="34"/>
  <c r="AX10" i="34"/>
  <c r="BO10" i="34"/>
  <c r="BQ10" i="34"/>
  <c r="AZ10" i="34"/>
  <c r="AF10" i="34"/>
  <c r="W10" i="34"/>
  <c r="BI10" i="34"/>
  <c r="AW10" i="34"/>
  <c r="CA10" i="34"/>
  <c r="AN10" i="34"/>
  <c r="AP10" i="34"/>
  <c r="CD10" i="34"/>
  <c r="AQ10" i="34"/>
  <c r="V10" i="34"/>
  <c r="AS10" i="34"/>
  <c r="AT10" i="34"/>
  <c r="AG28" i="25"/>
  <c r="AG30" i="25"/>
  <c r="AG29" i="25"/>
  <c r="AG31" i="25"/>
  <c r="AG32" i="25"/>
  <c r="AG28" i="24"/>
  <c r="AG32" i="24"/>
  <c r="AG31" i="24"/>
  <c r="AG29" i="24"/>
  <c r="AG30" i="24"/>
  <c r="AF29" i="29"/>
  <c r="AF20" i="29"/>
  <c r="AF15" i="29"/>
  <c r="AF11" i="29"/>
  <c r="AF32" i="29"/>
  <c r="AF19" i="29"/>
  <c r="AF28" i="29"/>
  <c r="AF17" i="29"/>
  <c r="AF27" i="29"/>
  <c r="AF18" i="29"/>
  <c r="AF14" i="29"/>
  <c r="AF10" i="29"/>
  <c r="AF9" i="29"/>
  <c r="AF25" i="29"/>
  <c r="AF8" i="29"/>
  <c r="AF13" i="29"/>
  <c r="AF23" i="29"/>
  <c r="AF22" i="29"/>
  <c r="AF24" i="29"/>
  <c r="AF16" i="29"/>
  <c r="AF21" i="29"/>
  <c r="AF30" i="29"/>
  <c r="AF12" i="29"/>
  <c r="AF26" i="29"/>
  <c r="AF31" i="29"/>
  <c r="AG28" i="27"/>
  <c r="AG31" i="27"/>
  <c r="AG29" i="27"/>
  <c r="AG30" i="27"/>
  <c r="AG32" i="27"/>
  <c r="AF9" i="30"/>
  <c r="AF27" i="30"/>
  <c r="AF23" i="30"/>
  <c r="AF19" i="30"/>
  <c r="AF11" i="30"/>
  <c r="AF26" i="30"/>
  <c r="AF22" i="30"/>
  <c r="AF18" i="30"/>
  <c r="AF13" i="30"/>
  <c r="AF32" i="30"/>
  <c r="AF20" i="30"/>
  <c r="AF25" i="30"/>
  <c r="AF12" i="30"/>
  <c r="AF8" i="30"/>
  <c r="AF15" i="30"/>
  <c r="AF24" i="30"/>
  <c r="AF10" i="30"/>
  <c r="AF14" i="30"/>
  <c r="AF16" i="30"/>
  <c r="AF30" i="30"/>
  <c r="AF17" i="30"/>
  <c r="AF29" i="30"/>
  <c r="AF28" i="30"/>
  <c r="AF21" i="30"/>
  <c r="AF31" i="30"/>
  <c r="AG28" i="28"/>
  <c r="AG40" i="28"/>
  <c r="AG29" i="28"/>
  <c r="AG36" i="28"/>
  <c r="AG39" i="28"/>
  <c r="AG35" i="28"/>
  <c r="AG31" i="28"/>
  <c r="AG30" i="28"/>
  <c r="AG33" i="28"/>
  <c r="AG32" i="28"/>
  <c r="AG38" i="28"/>
  <c r="AG34" i="28"/>
  <c r="AG37" i="28"/>
  <c r="AG28" i="26"/>
  <c r="AG32" i="26"/>
  <c r="AG30" i="26"/>
  <c r="AG29" i="26"/>
  <c r="AG31" i="26"/>
  <c r="AF23" i="31"/>
  <c r="AF18" i="31"/>
  <c r="AF27" i="31"/>
  <c r="AF20" i="31"/>
  <c r="AF32" i="31"/>
  <c r="AF12" i="31"/>
  <c r="AF17" i="31"/>
  <c r="AF10" i="31"/>
  <c r="AF15" i="31"/>
  <c r="AF25" i="31"/>
  <c r="AF30" i="31"/>
  <c r="AF28" i="31"/>
  <c r="AF13" i="31"/>
  <c r="AF16" i="31"/>
  <c r="AF14" i="31"/>
  <c r="AF24" i="31"/>
  <c r="AF21" i="31"/>
  <c r="AF29" i="31"/>
  <c r="AF8" i="31"/>
  <c r="AF31" i="31"/>
  <c r="AF22" i="31"/>
  <c r="AF26" i="31"/>
  <c r="AF9" i="31"/>
  <c r="AF19" i="31"/>
  <c r="AF11" i="31"/>
  <c r="AG28" i="22"/>
  <c r="AG30" i="22"/>
  <c r="AG29" i="22"/>
  <c r="AG32" i="22"/>
  <c r="AG31" i="22"/>
  <c r="AG10" i="24"/>
  <c r="AG15" i="24"/>
  <c r="AG13" i="24"/>
  <c r="AG14" i="24"/>
  <c r="AG17" i="24"/>
  <c r="AG19" i="24"/>
  <c r="AG23" i="24"/>
  <c r="AG9" i="24"/>
  <c r="AG12" i="24"/>
  <c r="AG18" i="24"/>
  <c r="AG22" i="24"/>
  <c r="AG20" i="24"/>
  <c r="AG24" i="24"/>
  <c r="AG25" i="24"/>
  <c r="AG11" i="24"/>
  <c r="AG16" i="24"/>
  <c r="AG21" i="24"/>
  <c r="AG27" i="24"/>
  <c r="AG26" i="24"/>
  <c r="AG8" i="24"/>
  <c r="AG16" i="22"/>
  <c r="AG14" i="22"/>
  <c r="AG22" i="22"/>
  <c r="AG20" i="22"/>
  <c r="AG25" i="22"/>
  <c r="AG13" i="22"/>
  <c r="AG17" i="22"/>
  <c r="AG21" i="22"/>
  <c r="AG27" i="22"/>
  <c r="AG11" i="22"/>
  <c r="AG10" i="22"/>
  <c r="AG24" i="22"/>
  <c r="AG9" i="22"/>
  <c r="AG15" i="22"/>
  <c r="AG26" i="22"/>
  <c r="AG18" i="22"/>
  <c r="AG23" i="22"/>
  <c r="AG12" i="22"/>
  <c r="AG19" i="22"/>
  <c r="AG25" i="26"/>
  <c r="AG24" i="26"/>
  <c r="AG27" i="26"/>
  <c r="AG26" i="26"/>
  <c r="AG11" i="26"/>
  <c r="AG12" i="26"/>
  <c r="AG9" i="26"/>
  <c r="AG14" i="26"/>
  <c r="AG16" i="26"/>
  <c r="AG21" i="26"/>
  <c r="AG23" i="26"/>
  <c r="AG22" i="26"/>
  <c r="AG10" i="26"/>
  <c r="AG15" i="26"/>
  <c r="AG17" i="26"/>
  <c r="AG18" i="26"/>
  <c r="AG19" i="26"/>
  <c r="AG20" i="26"/>
  <c r="AG13" i="26"/>
  <c r="AG8" i="26"/>
  <c r="AG9" i="27"/>
  <c r="AG13" i="27"/>
  <c r="AG10" i="27"/>
  <c r="AG11" i="27"/>
  <c r="AG14" i="27"/>
  <c r="AG15" i="27"/>
  <c r="AG16" i="27"/>
  <c r="AG12" i="27"/>
  <c r="AG17" i="27"/>
  <c r="AG20" i="27"/>
  <c r="AG18" i="27"/>
  <c r="AG21" i="27"/>
  <c r="AG22" i="27"/>
  <c r="AG19" i="27"/>
  <c r="AG23" i="27"/>
  <c r="AG25" i="27"/>
  <c r="AG24" i="27"/>
  <c r="AG26" i="27"/>
  <c r="AG27" i="27"/>
  <c r="AG24" i="28"/>
  <c r="AG10" i="28"/>
  <c r="AG11" i="28"/>
  <c r="AG12" i="28"/>
  <c r="AG13" i="28"/>
  <c r="AG14" i="28"/>
  <c r="AG16" i="28"/>
  <c r="AG21" i="28"/>
  <c r="AG25" i="28"/>
  <c r="AG9" i="28"/>
  <c r="AG20" i="28"/>
  <c r="AG23" i="28"/>
  <c r="AG15" i="28"/>
  <c r="AG17" i="28"/>
  <c r="AG19" i="28"/>
  <c r="AG22" i="28"/>
  <c r="AG18" i="28"/>
  <c r="AG26" i="28"/>
  <c r="AG27" i="28"/>
  <c r="AG8" i="28"/>
  <c r="AG11" i="25"/>
  <c r="AG12" i="25"/>
  <c r="AG15" i="25"/>
  <c r="AG16" i="25"/>
  <c r="AG17" i="25"/>
  <c r="AG23" i="25"/>
  <c r="AG27" i="25"/>
  <c r="AG10" i="25"/>
  <c r="AG14" i="25"/>
  <c r="AG19" i="25"/>
  <c r="AG20" i="25"/>
  <c r="AG13" i="25"/>
  <c r="AG21" i="25"/>
  <c r="AG24" i="25"/>
  <c r="AG18" i="25"/>
  <c r="AG26" i="25"/>
  <c r="AG9" i="25"/>
  <c r="AG22" i="25"/>
  <c r="AG25" i="25"/>
  <c r="O20" i="50" l="1"/>
  <c r="N21" i="50" s="1"/>
  <c r="N20" i="26"/>
  <c r="AH30" i="44"/>
  <c r="AH16" i="44"/>
  <c r="AH22" i="44"/>
  <c r="AH12" i="44"/>
  <c r="AH18" i="44"/>
  <c r="AH14" i="44"/>
  <c r="AH9" i="44"/>
  <c r="AH26" i="44"/>
  <c r="AH11" i="44"/>
  <c r="AH32" i="44"/>
  <c r="AH31" i="44"/>
  <c r="AH29" i="44"/>
  <c r="AH10" i="44"/>
  <c r="AH25" i="44"/>
  <c r="AH20" i="44"/>
  <c r="AH28" i="44"/>
  <c r="AH27" i="44"/>
  <c r="AH24" i="44"/>
  <c r="AH13" i="44"/>
  <c r="AH15" i="44"/>
  <c r="AH17" i="44"/>
  <c r="AH19" i="44"/>
  <c r="AH21" i="44"/>
  <c r="AH23" i="44"/>
  <c r="AH44" i="28"/>
  <c r="AH45" i="28"/>
  <c r="AH18" i="40"/>
  <c r="AH17" i="40"/>
  <c r="AH23" i="40"/>
  <c r="AH27" i="40"/>
  <c r="AH30" i="40"/>
  <c r="AH25" i="40"/>
  <c r="AH10" i="40"/>
  <c r="AH19" i="40"/>
  <c r="AH24" i="40"/>
  <c r="AH32" i="40"/>
  <c r="AH29" i="40"/>
  <c r="AH21" i="40"/>
  <c r="AH20" i="40"/>
  <c r="AH16" i="40"/>
  <c r="AH11" i="40"/>
  <c r="AH9" i="40"/>
  <c r="AH13" i="40"/>
  <c r="AH31" i="40"/>
  <c r="AH26" i="40"/>
  <c r="AH15" i="40"/>
  <c r="AH14" i="40"/>
  <c r="AH12" i="40"/>
  <c r="AH28" i="40"/>
  <c r="AH22" i="40"/>
  <c r="AG26" i="37"/>
  <c r="AG10" i="37"/>
  <c r="AG32" i="37"/>
  <c r="AG22" i="37"/>
  <c r="AG20" i="37"/>
  <c r="AG27" i="37"/>
  <c r="AG16" i="37"/>
  <c r="AG17" i="37"/>
  <c r="AG28" i="37"/>
  <c r="AG14" i="37"/>
  <c r="AG13" i="37"/>
  <c r="AG15" i="37"/>
  <c r="AG12" i="37"/>
  <c r="AG11" i="37"/>
  <c r="AG19" i="37"/>
  <c r="AG23" i="37"/>
  <c r="AG9" i="37"/>
  <c r="AG25" i="37"/>
  <c r="AG31" i="37"/>
  <c r="AG29" i="37"/>
  <c r="AG18" i="37"/>
  <c r="AG21" i="37"/>
  <c r="AG24" i="37"/>
  <c r="AG30" i="37"/>
  <c r="AH43" i="28"/>
  <c r="AH41" i="28"/>
  <c r="AH42" i="28"/>
  <c r="AH28" i="24"/>
  <c r="AH31" i="24"/>
  <c r="AH32" i="24"/>
  <c r="AH30" i="24"/>
  <c r="AH29" i="24"/>
  <c r="AG21" i="29"/>
  <c r="AG32" i="29"/>
  <c r="AG23" i="29"/>
  <c r="AG13" i="29"/>
  <c r="AG12" i="29"/>
  <c r="AG16" i="29"/>
  <c r="AG17" i="29"/>
  <c r="AG20" i="29"/>
  <c r="AG30" i="29"/>
  <c r="AG26" i="29"/>
  <c r="AG19" i="29"/>
  <c r="AG11" i="29"/>
  <c r="AG10" i="29"/>
  <c r="AG18" i="29"/>
  <c r="AG27" i="29"/>
  <c r="AG28" i="29"/>
  <c r="AG29" i="29"/>
  <c r="AG15" i="29"/>
  <c r="AG24" i="29"/>
  <c r="AG9" i="29"/>
  <c r="AG8" i="29"/>
  <c r="AG14" i="29"/>
  <c r="AG25" i="29"/>
  <c r="AG31" i="29"/>
  <c r="AG22" i="29"/>
  <c r="AH28" i="25"/>
  <c r="AH29" i="25"/>
  <c r="AH31" i="25"/>
  <c r="AH32" i="25"/>
  <c r="AH30" i="25"/>
  <c r="AH28" i="26"/>
  <c r="AH30" i="26"/>
  <c r="AH32" i="26"/>
  <c r="AH29" i="26"/>
  <c r="AH31" i="26"/>
  <c r="AG30" i="31"/>
  <c r="AG11" i="31"/>
  <c r="AG26" i="31"/>
  <c r="AG10" i="31"/>
  <c r="AG24" i="31"/>
  <c r="AG8" i="31"/>
  <c r="AG22" i="31"/>
  <c r="AG16" i="31"/>
  <c r="AG32" i="31"/>
  <c r="AG17" i="31"/>
  <c r="AG19" i="31"/>
  <c r="AG12" i="31"/>
  <c r="AG20" i="31"/>
  <c r="AG28" i="31"/>
  <c r="AG25" i="31"/>
  <c r="AG29" i="31"/>
  <c r="AG31" i="31"/>
  <c r="AG15" i="31"/>
  <c r="AG9" i="31"/>
  <c r="AG21" i="31"/>
  <c r="AG18" i="31"/>
  <c r="AG23" i="31"/>
  <c r="AG14" i="31"/>
  <c r="AG13" i="31"/>
  <c r="AG27" i="31"/>
  <c r="AH28" i="28"/>
  <c r="AH30" i="28"/>
  <c r="AH34" i="28"/>
  <c r="AH33" i="28"/>
  <c r="AH35" i="28"/>
  <c r="AH36" i="28"/>
  <c r="AH31" i="28"/>
  <c r="AH29" i="28"/>
  <c r="AH39" i="28"/>
  <c r="AH40" i="28"/>
  <c r="AH37" i="28"/>
  <c r="AH38" i="28"/>
  <c r="AH32" i="28"/>
  <c r="AG11" i="30"/>
  <c r="AG15" i="30"/>
  <c r="AG13" i="30"/>
  <c r="AG8" i="30"/>
  <c r="AG10" i="30"/>
  <c r="AG31" i="30"/>
  <c r="AG16" i="30"/>
  <c r="AG18" i="30"/>
  <c r="AG21" i="30"/>
  <c r="AG29" i="30"/>
  <c r="AG12" i="30"/>
  <c r="AG14" i="30"/>
  <c r="AG20" i="30"/>
  <c r="AG26" i="30"/>
  <c r="AG19" i="30"/>
  <c r="AG27" i="30"/>
  <c r="AG9" i="30"/>
  <c r="AG24" i="30"/>
  <c r="AG17" i="30"/>
  <c r="AG23" i="30"/>
  <c r="AG32" i="30"/>
  <c r="AG30" i="30"/>
  <c r="AG22" i="30"/>
  <c r="AG25" i="30"/>
  <c r="AG28" i="30"/>
  <c r="AH28" i="27"/>
  <c r="AH29" i="27"/>
  <c r="AH32" i="27"/>
  <c r="AH30" i="27"/>
  <c r="AH31" i="27"/>
  <c r="AH28" i="22"/>
  <c r="AH32" i="22"/>
  <c r="AH29" i="22"/>
  <c r="AH31" i="22"/>
  <c r="AH30" i="22"/>
  <c r="AH10" i="27"/>
  <c r="AH11" i="27"/>
  <c r="AH9" i="27"/>
  <c r="AH13" i="27"/>
  <c r="AH12" i="27"/>
  <c r="AH14" i="27"/>
  <c r="AH15" i="27"/>
  <c r="AH16" i="27"/>
  <c r="AH17" i="27"/>
  <c r="AH19" i="27"/>
  <c r="AH18" i="27"/>
  <c r="AH21" i="27"/>
  <c r="AH20" i="27"/>
  <c r="AH22" i="27"/>
  <c r="AH23" i="27"/>
  <c r="AH25" i="27"/>
  <c r="AH24" i="27"/>
  <c r="AH26" i="27"/>
  <c r="AH27" i="27"/>
  <c r="AH24" i="28"/>
  <c r="AH12" i="28"/>
  <c r="AH14" i="28"/>
  <c r="AH18" i="28"/>
  <c r="AH9" i="28"/>
  <c r="AH17" i="28"/>
  <c r="AH19" i="28"/>
  <c r="AH21" i="28"/>
  <c r="AH10" i="28"/>
  <c r="AH13" i="28"/>
  <c r="AH11" i="28"/>
  <c r="AH15" i="28"/>
  <c r="AH20" i="28"/>
  <c r="AH23" i="28"/>
  <c r="AH25" i="28"/>
  <c r="AH16" i="28"/>
  <c r="AH22" i="28"/>
  <c r="AH26" i="28"/>
  <c r="AH27" i="28"/>
  <c r="AH8" i="28"/>
  <c r="AH18" i="22"/>
  <c r="AH15" i="22"/>
  <c r="AH19" i="22"/>
  <c r="AH23" i="22"/>
  <c r="AH27" i="22"/>
  <c r="AH9" i="22"/>
  <c r="AH12" i="22"/>
  <c r="AH22" i="22"/>
  <c r="AH16" i="22"/>
  <c r="AH21" i="22"/>
  <c r="AH10" i="22"/>
  <c r="AH20" i="22"/>
  <c r="AH14" i="22"/>
  <c r="AH26" i="22"/>
  <c r="AH11" i="22"/>
  <c r="AH25" i="22"/>
  <c r="AH24" i="22"/>
  <c r="AH17" i="22"/>
  <c r="AH13" i="22"/>
  <c r="AH9" i="24"/>
  <c r="AH10" i="24"/>
  <c r="AH13" i="24"/>
  <c r="AH16" i="24"/>
  <c r="AH11" i="24"/>
  <c r="AH17" i="24"/>
  <c r="AH21" i="24"/>
  <c r="AH12" i="24"/>
  <c r="AH20" i="24"/>
  <c r="AH15" i="24"/>
  <c r="AH19" i="24"/>
  <c r="AH23" i="24"/>
  <c r="AH22" i="24"/>
  <c r="AH14" i="24"/>
  <c r="AH25" i="24"/>
  <c r="AH18" i="24"/>
  <c r="AH24" i="24"/>
  <c r="AH27" i="24"/>
  <c r="AH26" i="24"/>
  <c r="AH8" i="24"/>
  <c r="AH26" i="25"/>
  <c r="AH27" i="25"/>
  <c r="AH9" i="25"/>
  <c r="AH13" i="25"/>
  <c r="AH19" i="25"/>
  <c r="AH22" i="25"/>
  <c r="AH23" i="25"/>
  <c r="AH12" i="25"/>
  <c r="AH15" i="25"/>
  <c r="AH16" i="25"/>
  <c r="AH11" i="25"/>
  <c r="AH17" i="25"/>
  <c r="AH21" i="25"/>
  <c r="AH10" i="25"/>
  <c r="AH25" i="25"/>
  <c r="AH14" i="25"/>
  <c r="AH18" i="25"/>
  <c r="AH20" i="25"/>
  <c r="AH24" i="25"/>
  <c r="AH25" i="26"/>
  <c r="AH24" i="26"/>
  <c r="AH26" i="26"/>
  <c r="AH27" i="26"/>
  <c r="AH10" i="26"/>
  <c r="AH13" i="26"/>
  <c r="AH12" i="26"/>
  <c r="AH16" i="26"/>
  <c r="AH18" i="26"/>
  <c r="AH19" i="26"/>
  <c r="AH20" i="26"/>
  <c r="AH22" i="26"/>
  <c r="AH11" i="26"/>
  <c r="AH17" i="26"/>
  <c r="AH14" i="26"/>
  <c r="AH21" i="26"/>
  <c r="AH9" i="26"/>
  <c r="AH15" i="26"/>
  <c r="AH23" i="26"/>
  <c r="AH8" i="26"/>
  <c r="O21" i="50" l="1"/>
  <c r="N22" i="50" s="1"/>
  <c r="N21" i="26"/>
  <c r="AI44" i="28"/>
  <c r="AI45" i="28"/>
  <c r="AI19" i="44"/>
  <c r="AI9" i="44"/>
  <c r="AI15" i="44"/>
  <c r="AI25" i="44"/>
  <c r="AI16" i="44"/>
  <c r="AI10" i="44"/>
  <c r="AI31" i="44"/>
  <c r="AI17" i="44"/>
  <c r="AI11" i="44"/>
  <c r="AI32" i="44"/>
  <c r="AI22" i="44"/>
  <c r="AI29" i="44"/>
  <c r="AI24" i="44"/>
  <c r="AI13" i="44"/>
  <c r="AI20" i="44"/>
  <c r="AI23" i="44"/>
  <c r="AI14" i="44"/>
  <c r="AI18" i="44"/>
  <c r="AI21" i="44"/>
  <c r="AI12" i="44"/>
  <c r="AI27" i="44"/>
  <c r="AI28" i="44"/>
  <c r="AI30" i="44"/>
  <c r="AI26" i="44"/>
  <c r="AI32" i="40"/>
  <c r="AI18" i="40"/>
  <c r="AI30" i="40"/>
  <c r="AI31" i="40"/>
  <c r="AI28" i="40"/>
  <c r="AI11" i="40"/>
  <c r="AI23" i="40"/>
  <c r="AI24" i="40"/>
  <c r="AI26" i="40"/>
  <c r="AI29" i="40"/>
  <c r="AI9" i="40"/>
  <c r="AI15" i="40"/>
  <c r="AI12" i="40"/>
  <c r="AI13" i="40"/>
  <c r="AI20" i="40"/>
  <c r="AI21" i="40"/>
  <c r="AI25" i="40"/>
  <c r="AI10" i="40"/>
  <c r="AI17" i="40"/>
  <c r="AI22" i="40"/>
  <c r="AI27" i="40"/>
  <c r="AI14" i="40"/>
  <c r="AI19" i="40"/>
  <c r="AI16" i="40"/>
  <c r="AH13" i="37"/>
  <c r="AH18" i="37"/>
  <c r="AH17" i="37"/>
  <c r="AH10" i="37"/>
  <c r="AH11" i="37"/>
  <c r="AH9" i="37"/>
  <c r="AH25" i="37"/>
  <c r="AH20" i="37"/>
  <c r="AH22" i="37"/>
  <c r="AH31" i="37"/>
  <c r="AH32" i="37"/>
  <c r="AH30" i="37"/>
  <c r="AH14" i="37"/>
  <c r="AH19" i="37"/>
  <c r="AH16" i="37"/>
  <c r="AH28" i="37"/>
  <c r="AH15" i="37"/>
  <c r="AH21" i="37"/>
  <c r="AH27" i="37"/>
  <c r="AH24" i="37"/>
  <c r="AH29" i="37"/>
  <c r="AH12" i="37"/>
  <c r="AH26" i="37"/>
  <c r="AH23" i="37"/>
  <c r="AI43" i="28"/>
  <c r="AI41" i="28"/>
  <c r="AI42" i="28"/>
  <c r="AI28" i="25"/>
  <c r="AI32" i="25"/>
  <c r="AI29" i="25"/>
  <c r="AI30" i="25"/>
  <c r="AI31" i="25"/>
  <c r="AI28" i="28"/>
  <c r="AI38" i="28"/>
  <c r="AI34" i="28"/>
  <c r="AI37" i="28"/>
  <c r="AI39" i="28"/>
  <c r="AI33" i="28"/>
  <c r="AI32" i="28"/>
  <c r="AI30" i="28"/>
  <c r="AI36" i="28"/>
  <c r="AI40" i="28"/>
  <c r="AI31" i="28"/>
  <c r="AI35" i="28"/>
  <c r="AI29" i="28"/>
  <c r="AI28" i="26"/>
  <c r="AI29" i="26"/>
  <c r="AI32" i="26"/>
  <c r="AI31" i="26"/>
  <c r="AI30" i="26"/>
  <c r="AH27" i="29"/>
  <c r="AH15" i="29"/>
  <c r="AH11" i="29"/>
  <c r="AH17" i="29"/>
  <c r="AH8" i="29"/>
  <c r="AH32" i="29"/>
  <c r="AH28" i="29"/>
  <c r="AH31" i="29"/>
  <c r="AH14" i="29"/>
  <c r="AH10" i="29"/>
  <c r="AH18" i="29"/>
  <c r="AH22" i="29"/>
  <c r="AH29" i="29"/>
  <c r="AH24" i="29"/>
  <c r="AH13" i="29"/>
  <c r="AH9" i="29"/>
  <c r="AH21" i="29"/>
  <c r="AH19" i="29"/>
  <c r="AH23" i="29"/>
  <c r="AH25" i="29"/>
  <c r="AH30" i="29"/>
  <c r="AH16" i="29"/>
  <c r="AH20" i="29"/>
  <c r="AH12" i="29"/>
  <c r="AH26" i="29"/>
  <c r="AI28" i="24"/>
  <c r="AI31" i="24"/>
  <c r="AI30" i="24"/>
  <c r="AI29" i="24"/>
  <c r="AI32" i="24"/>
  <c r="AI28" i="27"/>
  <c r="AI29" i="27"/>
  <c r="AI30" i="27"/>
  <c r="AI31" i="27"/>
  <c r="AI32" i="27"/>
  <c r="AH30" i="31"/>
  <c r="AH17" i="31"/>
  <c r="AH13" i="31"/>
  <c r="AH9" i="31"/>
  <c r="AH21" i="31"/>
  <c r="AH24" i="31"/>
  <c r="AH12" i="31"/>
  <c r="AH23" i="31"/>
  <c r="AH11" i="31"/>
  <c r="AH8" i="31"/>
  <c r="AH32" i="31"/>
  <c r="AH20" i="31"/>
  <c r="AH28" i="31"/>
  <c r="AH22" i="31"/>
  <c r="AH15" i="31"/>
  <c r="AH29" i="31"/>
  <c r="AH10" i="31"/>
  <c r="AH18" i="31"/>
  <c r="AH31" i="31"/>
  <c r="AH27" i="31"/>
  <c r="AH25" i="31"/>
  <c r="AH16" i="31"/>
  <c r="AH14" i="31"/>
  <c r="AH19" i="31"/>
  <c r="AH26" i="31"/>
  <c r="AH15" i="30"/>
  <c r="AH8" i="30"/>
  <c r="AH17" i="30"/>
  <c r="AH10" i="30"/>
  <c r="AH12" i="30"/>
  <c r="AH16" i="30"/>
  <c r="AH32" i="30"/>
  <c r="AH24" i="30"/>
  <c r="AH20" i="30"/>
  <c r="AH9" i="30"/>
  <c r="AH27" i="30"/>
  <c r="AH23" i="30"/>
  <c r="AH19" i="30"/>
  <c r="AH28" i="30"/>
  <c r="AH29" i="30"/>
  <c r="AH31" i="30"/>
  <c r="AH11" i="30"/>
  <c r="AH26" i="30"/>
  <c r="AH22" i="30"/>
  <c r="AH18" i="30"/>
  <c r="AH13" i="30"/>
  <c r="AH21" i="30"/>
  <c r="AH30" i="30"/>
  <c r="AH25" i="30"/>
  <c r="AH14" i="30"/>
  <c r="AI28" i="22"/>
  <c r="AI29" i="22"/>
  <c r="AI32" i="22"/>
  <c r="AI31" i="22"/>
  <c r="AI30" i="22"/>
  <c r="AI15" i="22"/>
  <c r="AI13" i="22"/>
  <c r="AI12" i="22"/>
  <c r="AI21" i="22"/>
  <c r="AI27" i="22"/>
  <c r="AI19" i="22"/>
  <c r="AI26" i="22"/>
  <c r="AI17" i="22"/>
  <c r="AI10" i="22"/>
  <c r="AI25" i="22"/>
  <c r="AI23" i="22"/>
  <c r="AI14" i="22"/>
  <c r="AI9" i="22"/>
  <c r="AI24" i="22"/>
  <c r="AI18" i="22"/>
  <c r="AI22" i="22"/>
  <c r="AI11" i="22"/>
  <c r="AI20" i="22"/>
  <c r="AI16" i="22"/>
  <c r="AI20" i="25"/>
  <c r="AI27" i="25"/>
  <c r="AI9" i="25"/>
  <c r="AI10" i="25"/>
  <c r="AI13" i="25"/>
  <c r="AI14" i="25"/>
  <c r="AI26" i="25"/>
  <c r="AI12" i="25"/>
  <c r="AI16" i="25"/>
  <c r="AI18" i="25"/>
  <c r="AI22" i="25"/>
  <c r="AI23" i="25"/>
  <c r="AI17" i="25"/>
  <c r="AI19" i="25"/>
  <c r="AI21" i="25"/>
  <c r="AI24" i="25"/>
  <c r="AI11" i="25"/>
  <c r="AI15" i="25"/>
  <c r="AI25" i="25"/>
  <c r="AI24" i="28"/>
  <c r="AI11" i="28"/>
  <c r="AI16" i="28"/>
  <c r="AI21" i="28"/>
  <c r="AI10" i="28"/>
  <c r="AI12" i="28"/>
  <c r="AI14" i="28"/>
  <c r="AI15" i="28"/>
  <c r="AI9" i="28"/>
  <c r="AI13" i="28"/>
  <c r="AI17" i="28"/>
  <c r="AI18" i="28"/>
  <c r="AI23" i="28"/>
  <c r="AI20" i="28"/>
  <c r="AI22" i="28"/>
  <c r="AI19" i="28"/>
  <c r="AI26" i="28"/>
  <c r="AI25" i="28"/>
  <c r="AI27" i="28"/>
  <c r="AI8" i="28"/>
  <c r="AI13" i="27"/>
  <c r="AI10" i="27"/>
  <c r="AI12" i="27"/>
  <c r="AI11" i="27"/>
  <c r="AI15" i="27"/>
  <c r="AI18" i="27"/>
  <c r="AI16" i="27"/>
  <c r="AI17" i="27"/>
  <c r="AI14" i="27"/>
  <c r="AI20" i="27"/>
  <c r="AI21" i="27"/>
  <c r="AI23" i="27"/>
  <c r="AI9" i="27"/>
  <c r="AI19" i="27"/>
  <c r="AI22" i="27"/>
  <c r="AI25" i="27"/>
  <c r="AI27" i="27"/>
  <c r="AI26" i="27"/>
  <c r="AI24" i="27"/>
  <c r="AI24" i="26"/>
  <c r="AI25" i="26"/>
  <c r="AI26" i="26"/>
  <c r="AI27" i="26"/>
  <c r="AI13" i="26"/>
  <c r="AI20" i="26"/>
  <c r="AI10" i="26"/>
  <c r="AI11" i="26"/>
  <c r="AI14" i="26"/>
  <c r="AI22" i="26"/>
  <c r="AI15" i="26"/>
  <c r="AI16" i="26"/>
  <c r="AI17" i="26"/>
  <c r="AI19" i="26"/>
  <c r="AI21" i="26"/>
  <c r="AI23" i="26"/>
  <c r="AI9" i="26"/>
  <c r="AI12" i="26"/>
  <c r="AI18" i="26"/>
  <c r="AI8" i="26"/>
  <c r="AI10" i="24"/>
  <c r="AI14" i="24"/>
  <c r="AI13" i="24"/>
  <c r="AI15" i="24"/>
  <c r="AI17" i="24"/>
  <c r="AI9" i="24"/>
  <c r="AI12" i="24"/>
  <c r="AI11" i="24"/>
  <c r="AI16" i="24"/>
  <c r="AI18" i="24"/>
  <c r="AI22" i="24"/>
  <c r="AI23" i="24"/>
  <c r="AI21" i="24"/>
  <c r="AI20" i="24"/>
  <c r="AI19" i="24"/>
  <c r="AI25" i="24"/>
  <c r="AI26" i="24"/>
  <c r="AI27" i="24"/>
  <c r="AI24" i="24"/>
  <c r="AI8" i="24"/>
  <c r="O22" i="50" l="1"/>
  <c r="N23" i="50" s="1"/>
  <c r="N22" i="26"/>
  <c r="AJ45" i="28"/>
  <c r="AJ44" i="28"/>
  <c r="AJ13" i="44"/>
  <c r="AJ26" i="44"/>
  <c r="AJ19" i="44"/>
  <c r="AJ10" i="44"/>
  <c r="AJ23" i="44"/>
  <c r="AJ15" i="44"/>
  <c r="AJ11" i="44"/>
  <c r="AJ21" i="44"/>
  <c r="AJ31" i="44"/>
  <c r="AJ17" i="44"/>
  <c r="AJ9" i="44"/>
  <c r="AJ20" i="44"/>
  <c r="AJ12" i="44"/>
  <c r="AJ25" i="44"/>
  <c r="AJ30" i="44"/>
  <c r="AJ27" i="44"/>
  <c r="AJ32" i="44"/>
  <c r="AJ16" i="44"/>
  <c r="AJ14" i="44"/>
  <c r="AJ22" i="44"/>
  <c r="AJ28" i="44"/>
  <c r="AJ29" i="44"/>
  <c r="AJ18" i="44"/>
  <c r="AJ24" i="44"/>
  <c r="AJ25" i="40"/>
  <c r="AJ17" i="40"/>
  <c r="AJ13" i="40"/>
  <c r="AJ27" i="40"/>
  <c r="AJ32" i="40"/>
  <c r="AJ26" i="40"/>
  <c r="AJ16" i="40"/>
  <c r="AJ19" i="40"/>
  <c r="AJ20" i="40"/>
  <c r="AJ21" i="40"/>
  <c r="AJ12" i="40"/>
  <c r="AJ9" i="40"/>
  <c r="AJ11" i="40"/>
  <c r="AJ23" i="40"/>
  <c r="AJ24" i="40"/>
  <c r="AJ31" i="40"/>
  <c r="AJ28" i="40"/>
  <c r="AJ30" i="40"/>
  <c r="AJ29" i="40"/>
  <c r="AJ18" i="40"/>
  <c r="AJ14" i="40"/>
  <c r="AJ10" i="40"/>
  <c r="AJ22" i="40"/>
  <c r="AJ15" i="40"/>
  <c r="AI13" i="37"/>
  <c r="AI12" i="37"/>
  <c r="AI16" i="37"/>
  <c r="AI17" i="37"/>
  <c r="AI18" i="37"/>
  <c r="AI9" i="37"/>
  <c r="AI10" i="37"/>
  <c r="AI23" i="37"/>
  <c r="AI22" i="37"/>
  <c r="AI26" i="37"/>
  <c r="AI27" i="37"/>
  <c r="AI11" i="37"/>
  <c r="AI14" i="37"/>
  <c r="AI15" i="37"/>
  <c r="AI19" i="37"/>
  <c r="AI32" i="37"/>
  <c r="AI29" i="37"/>
  <c r="AI30" i="37"/>
  <c r="AI20" i="37"/>
  <c r="AI25" i="37"/>
  <c r="AI31" i="37"/>
  <c r="AI28" i="37"/>
  <c r="AI24" i="37"/>
  <c r="AI21" i="37"/>
  <c r="AJ43" i="28"/>
  <c r="AJ42" i="28"/>
  <c r="AJ41" i="28"/>
  <c r="AJ28" i="26"/>
  <c r="AJ31" i="26"/>
  <c r="AJ29" i="26"/>
  <c r="AJ30" i="26"/>
  <c r="AJ32" i="26"/>
  <c r="AJ28" i="25"/>
  <c r="AJ31" i="25"/>
  <c r="AJ29" i="25"/>
  <c r="AJ30" i="25"/>
  <c r="AJ32" i="25"/>
  <c r="AJ28" i="24"/>
  <c r="AJ32" i="24"/>
  <c r="AJ29" i="24"/>
  <c r="AJ31" i="24"/>
  <c r="AJ30" i="24"/>
  <c r="AJ28" i="27"/>
  <c r="AJ29" i="27"/>
  <c r="AJ30" i="27"/>
  <c r="AJ31" i="27"/>
  <c r="AJ32" i="27"/>
  <c r="AI10" i="31"/>
  <c r="AI14" i="31"/>
  <c r="AI19" i="31"/>
  <c r="AI21" i="31"/>
  <c r="AI29" i="31"/>
  <c r="AI20" i="31"/>
  <c r="AI22" i="31"/>
  <c r="AI31" i="31"/>
  <c r="AI27" i="31"/>
  <c r="AI24" i="31"/>
  <c r="AI25" i="31"/>
  <c r="AI32" i="31"/>
  <c r="AI9" i="31"/>
  <c r="AI15" i="31"/>
  <c r="AI16" i="31"/>
  <c r="AI30" i="31"/>
  <c r="AI13" i="31"/>
  <c r="AI8" i="31"/>
  <c r="AI18" i="31"/>
  <c r="AI23" i="31"/>
  <c r="AI17" i="31"/>
  <c r="AI11" i="31"/>
  <c r="AI28" i="31"/>
  <c r="AI26" i="31"/>
  <c r="AI12" i="31"/>
  <c r="AI14" i="30"/>
  <c r="AI17" i="30"/>
  <c r="AI8" i="30"/>
  <c r="AI10" i="30"/>
  <c r="AI16" i="30"/>
  <c r="AI11" i="30"/>
  <c r="AI12" i="30"/>
  <c r="AI15" i="30"/>
  <c r="AI32" i="30"/>
  <c r="AI19" i="30"/>
  <c r="AI27" i="30"/>
  <c r="AI21" i="30"/>
  <c r="AI23" i="30"/>
  <c r="AI18" i="30"/>
  <c r="AI26" i="30"/>
  <c r="AI31" i="30"/>
  <c r="AI25" i="30"/>
  <c r="AI9" i="30"/>
  <c r="AI29" i="30"/>
  <c r="AI30" i="30"/>
  <c r="AI24" i="30"/>
  <c r="AI20" i="30"/>
  <c r="AI22" i="30"/>
  <c r="AI28" i="30"/>
  <c r="AI13" i="30"/>
  <c r="AJ28" i="28"/>
  <c r="AJ31" i="28"/>
  <c r="AJ32" i="28"/>
  <c r="AJ30" i="28"/>
  <c r="AJ40" i="28"/>
  <c r="AJ35" i="28"/>
  <c r="AJ37" i="28"/>
  <c r="AJ39" i="28"/>
  <c r="AJ34" i="28"/>
  <c r="AJ29" i="28"/>
  <c r="AJ36" i="28"/>
  <c r="AJ33" i="28"/>
  <c r="AJ38" i="28"/>
  <c r="AI27" i="29"/>
  <c r="AI14" i="29"/>
  <c r="AI18" i="29"/>
  <c r="AI21" i="29"/>
  <c r="AI23" i="29"/>
  <c r="AI28" i="29"/>
  <c r="AI25" i="29"/>
  <c r="AI12" i="29"/>
  <c r="AI8" i="29"/>
  <c r="AI9" i="29"/>
  <c r="AI19" i="29"/>
  <c r="AI15" i="29"/>
  <c r="AI17" i="29"/>
  <c r="AI31" i="29"/>
  <c r="AI29" i="29"/>
  <c r="AI10" i="29"/>
  <c r="AI11" i="29"/>
  <c r="AI16" i="29"/>
  <c r="AI32" i="29"/>
  <c r="AI13" i="29"/>
  <c r="AI24" i="29"/>
  <c r="AI30" i="29"/>
  <c r="AI26" i="29"/>
  <c r="AI20" i="29"/>
  <c r="AI22" i="29"/>
  <c r="AJ28" i="22"/>
  <c r="AJ30" i="22"/>
  <c r="AJ31" i="22"/>
  <c r="AJ32" i="22"/>
  <c r="AJ29" i="22"/>
  <c r="AJ24" i="26"/>
  <c r="AJ25" i="26"/>
  <c r="AJ26" i="26"/>
  <c r="AJ27" i="26"/>
  <c r="AJ12" i="26"/>
  <c r="AJ9" i="26"/>
  <c r="AJ15" i="26"/>
  <c r="AJ23" i="26"/>
  <c r="AJ19" i="26"/>
  <c r="AJ21" i="26"/>
  <c r="AJ10" i="26"/>
  <c r="AJ14" i="26"/>
  <c r="AJ17" i="26"/>
  <c r="AJ18" i="26"/>
  <c r="AJ22" i="26"/>
  <c r="AJ11" i="26"/>
  <c r="AJ13" i="26"/>
  <c r="AJ16" i="26"/>
  <c r="AJ20" i="26"/>
  <c r="AJ8" i="26"/>
  <c r="AJ21" i="22"/>
  <c r="AJ17" i="22"/>
  <c r="AJ25" i="22"/>
  <c r="AJ24" i="22"/>
  <c r="AJ18" i="22"/>
  <c r="AJ27" i="22"/>
  <c r="AJ19" i="22"/>
  <c r="AJ22" i="22"/>
  <c r="AJ16" i="22"/>
  <c r="AJ23" i="22"/>
  <c r="AJ11" i="22"/>
  <c r="AJ14" i="22"/>
  <c r="AJ20" i="22"/>
  <c r="AJ15" i="22"/>
  <c r="AJ12" i="22"/>
  <c r="AJ9" i="22"/>
  <c r="AJ10" i="22"/>
  <c r="AJ13" i="22"/>
  <c r="AJ26" i="22"/>
  <c r="AJ24" i="28"/>
  <c r="AJ9" i="28"/>
  <c r="AJ13" i="28"/>
  <c r="AJ15" i="28"/>
  <c r="AJ17" i="28"/>
  <c r="AJ18" i="28"/>
  <c r="AJ23" i="28"/>
  <c r="AJ12" i="28"/>
  <c r="AJ14" i="28"/>
  <c r="AJ16" i="28"/>
  <c r="AJ10" i="28"/>
  <c r="AJ11" i="28"/>
  <c r="AJ21" i="28"/>
  <c r="AJ19" i="28"/>
  <c r="AJ20" i="28"/>
  <c r="AJ25" i="28"/>
  <c r="AJ26" i="28"/>
  <c r="AJ27" i="28"/>
  <c r="AJ22" i="28"/>
  <c r="AJ8" i="28"/>
  <c r="AJ9" i="24"/>
  <c r="AJ12" i="24"/>
  <c r="AJ16" i="24"/>
  <c r="AJ10" i="24"/>
  <c r="AJ13" i="24"/>
  <c r="AJ15" i="24"/>
  <c r="AJ20" i="24"/>
  <c r="AJ11" i="24"/>
  <c r="AJ18" i="24"/>
  <c r="AJ19" i="24"/>
  <c r="AJ23" i="24"/>
  <c r="AJ14" i="24"/>
  <c r="AJ17" i="24"/>
  <c r="AJ22" i="24"/>
  <c r="AJ25" i="24"/>
  <c r="AJ21" i="24"/>
  <c r="AJ24" i="24"/>
  <c r="AJ27" i="24"/>
  <c r="AJ26" i="24"/>
  <c r="AJ8" i="24"/>
  <c r="AJ26" i="25"/>
  <c r="AJ9" i="25"/>
  <c r="AJ12" i="25"/>
  <c r="AJ13" i="25"/>
  <c r="AJ18" i="25"/>
  <c r="AJ22" i="25"/>
  <c r="AJ11" i="25"/>
  <c r="AJ16" i="25"/>
  <c r="AJ15" i="25"/>
  <c r="AJ21" i="25"/>
  <c r="AJ27" i="25"/>
  <c r="AJ24" i="25"/>
  <c r="AJ25" i="25"/>
  <c r="AJ10" i="25"/>
  <c r="AJ19" i="25"/>
  <c r="AJ14" i="25"/>
  <c r="AJ17" i="25"/>
  <c r="AJ20" i="25"/>
  <c r="AJ23" i="25"/>
  <c r="AJ9" i="27"/>
  <c r="AJ15" i="27"/>
  <c r="AJ10" i="27"/>
  <c r="AJ11" i="27"/>
  <c r="AJ12" i="27"/>
  <c r="AJ13" i="27"/>
  <c r="AJ14" i="27"/>
  <c r="AJ16" i="27"/>
  <c r="AJ17" i="27"/>
  <c r="AJ23" i="27"/>
  <c r="AJ18" i="27"/>
  <c r="AJ21" i="27"/>
  <c r="AJ22" i="27"/>
  <c r="AJ19" i="27"/>
  <c r="AJ20" i="27"/>
  <c r="AJ24" i="27"/>
  <c r="AJ25" i="27"/>
  <c r="AJ26" i="27"/>
  <c r="AJ27" i="27"/>
  <c r="O23" i="50" l="1"/>
  <c r="N24" i="50" s="1"/>
  <c r="O24" i="50" s="1"/>
  <c r="N23" i="26"/>
  <c r="AK44" i="28"/>
  <c r="AK45" i="28"/>
  <c r="AK12" i="44"/>
  <c r="AK24" i="44"/>
  <c r="AK9" i="44"/>
  <c r="AK16" i="44"/>
  <c r="AK11" i="44"/>
  <c r="AK23" i="44"/>
  <c r="AK10" i="44"/>
  <c r="AK19" i="44"/>
  <c r="AK13" i="44"/>
  <c r="AK31" i="44"/>
  <c r="AK15" i="44"/>
  <c r="AK26" i="44"/>
  <c r="AK14" i="44"/>
  <c r="AK18" i="44"/>
  <c r="AK25" i="44"/>
  <c r="AK27" i="44"/>
  <c r="AK20" i="44"/>
  <c r="AK32" i="44"/>
  <c r="AK22" i="44"/>
  <c r="AK17" i="44"/>
  <c r="AK21" i="44"/>
  <c r="AK29" i="44"/>
  <c r="AK30" i="44"/>
  <c r="AK28" i="44"/>
  <c r="AK29" i="40"/>
  <c r="AK21" i="40"/>
  <c r="AK13" i="40"/>
  <c r="AK9" i="40"/>
  <c r="AK23" i="40"/>
  <c r="AK27" i="40"/>
  <c r="AK22" i="40"/>
  <c r="AK30" i="40"/>
  <c r="AK31" i="40"/>
  <c r="AK28" i="40"/>
  <c r="AK16" i="40"/>
  <c r="AK32" i="40"/>
  <c r="AK25" i="40"/>
  <c r="AK20" i="40"/>
  <c r="AK15" i="40"/>
  <c r="AK18" i="40"/>
  <c r="AK26" i="40"/>
  <c r="AK11" i="40"/>
  <c r="AK14" i="40"/>
  <c r="AK24" i="40"/>
  <c r="AK12" i="40"/>
  <c r="AK17" i="40"/>
  <c r="AK10" i="40"/>
  <c r="AK19" i="40"/>
  <c r="AJ12" i="37"/>
  <c r="AJ23" i="37"/>
  <c r="AJ27" i="37"/>
  <c r="AJ26" i="37"/>
  <c r="AJ22" i="37"/>
  <c r="AJ16" i="37"/>
  <c r="AJ19" i="37"/>
  <c r="AJ14" i="37"/>
  <c r="AJ17" i="37"/>
  <c r="AJ18" i="37"/>
  <c r="AJ29" i="37"/>
  <c r="AJ13" i="37"/>
  <c r="AJ20" i="37"/>
  <c r="AJ11" i="37"/>
  <c r="AJ9" i="37"/>
  <c r="AJ32" i="37"/>
  <c r="AJ15" i="37"/>
  <c r="AJ10" i="37"/>
  <c r="AJ25" i="37"/>
  <c r="AJ24" i="37"/>
  <c r="AJ31" i="37"/>
  <c r="AJ28" i="37"/>
  <c r="AJ21" i="37"/>
  <c r="AJ30" i="37"/>
  <c r="AK43" i="28"/>
  <c r="AK41" i="28"/>
  <c r="AK42" i="28"/>
  <c r="AK28" i="26"/>
  <c r="AK30" i="26"/>
  <c r="AK32" i="26"/>
  <c r="AK31" i="26"/>
  <c r="AK29" i="26"/>
  <c r="AK28" i="24"/>
  <c r="AK31" i="24"/>
  <c r="AK32" i="24"/>
  <c r="AK30" i="24"/>
  <c r="AK29" i="24"/>
  <c r="AK28" i="25"/>
  <c r="AK31" i="25"/>
  <c r="AK29" i="25"/>
  <c r="AK32" i="25"/>
  <c r="AK30" i="25"/>
  <c r="AK28" i="28"/>
  <c r="AK36" i="28"/>
  <c r="AK39" i="28"/>
  <c r="AK35" i="28"/>
  <c r="AK30" i="28"/>
  <c r="AK40" i="28"/>
  <c r="AK31" i="28"/>
  <c r="AK32" i="28"/>
  <c r="AK34" i="28"/>
  <c r="AK37" i="28"/>
  <c r="AK38" i="28"/>
  <c r="AK29" i="28"/>
  <c r="AK33" i="28"/>
  <c r="AK28" i="27"/>
  <c r="AK31" i="27"/>
  <c r="AK30" i="27"/>
  <c r="AK32" i="27"/>
  <c r="AK29" i="27"/>
  <c r="AJ31" i="29"/>
  <c r="AJ22" i="29"/>
  <c r="AJ23" i="29"/>
  <c r="AJ13" i="29"/>
  <c r="AJ25" i="29"/>
  <c r="AJ20" i="29"/>
  <c r="AJ16" i="29"/>
  <c r="AJ12" i="29"/>
  <c r="AJ32" i="29"/>
  <c r="AJ28" i="29"/>
  <c r="AJ26" i="29"/>
  <c r="AJ27" i="29"/>
  <c r="AJ29" i="29"/>
  <c r="AJ18" i="29"/>
  <c r="AJ15" i="29"/>
  <c r="AJ11" i="29"/>
  <c r="AJ21" i="29"/>
  <c r="AJ30" i="29"/>
  <c r="AJ10" i="29"/>
  <c r="AJ24" i="29"/>
  <c r="AJ9" i="29"/>
  <c r="AJ8" i="29"/>
  <c r="AJ19" i="29"/>
  <c r="AJ17" i="29"/>
  <c r="AJ14" i="29"/>
  <c r="AJ9" i="30"/>
  <c r="AJ30" i="30"/>
  <c r="AJ18" i="30"/>
  <c r="AJ19" i="30"/>
  <c r="AJ14" i="30"/>
  <c r="AJ13" i="30"/>
  <c r="AJ32" i="30"/>
  <c r="AJ25" i="30"/>
  <c r="AJ21" i="30"/>
  <c r="AJ22" i="30"/>
  <c r="AJ20" i="30"/>
  <c r="AJ15" i="30"/>
  <c r="AJ17" i="30"/>
  <c r="AJ27" i="30"/>
  <c r="AJ31" i="30"/>
  <c r="AJ23" i="30"/>
  <c r="AJ11" i="30"/>
  <c r="AJ8" i="30"/>
  <c r="AJ12" i="30"/>
  <c r="AJ28" i="30"/>
  <c r="AJ24" i="30"/>
  <c r="AJ16" i="30"/>
  <c r="AJ10" i="30"/>
  <c r="AJ26" i="30"/>
  <c r="AJ29" i="30"/>
  <c r="AJ23" i="31"/>
  <c r="AJ12" i="31"/>
  <c r="AJ16" i="31"/>
  <c r="AJ8" i="31"/>
  <c r="AJ10" i="31"/>
  <c r="AJ14" i="31"/>
  <c r="AJ30" i="31"/>
  <c r="AJ29" i="31"/>
  <c r="AJ25" i="31"/>
  <c r="AJ26" i="31"/>
  <c r="AJ24" i="31"/>
  <c r="AJ20" i="31"/>
  <c r="AJ22" i="31"/>
  <c r="AJ13" i="31"/>
  <c r="AJ18" i="31"/>
  <c r="AJ28" i="31"/>
  <c r="AJ19" i="31"/>
  <c r="AJ31" i="31"/>
  <c r="AJ9" i="31"/>
  <c r="AJ11" i="31"/>
  <c r="AJ21" i="31"/>
  <c r="AJ15" i="31"/>
  <c r="AJ27" i="31"/>
  <c r="AJ32" i="31"/>
  <c r="AJ17" i="31"/>
  <c r="AK28" i="22"/>
  <c r="AK30" i="22"/>
  <c r="AK32" i="22"/>
  <c r="AK31" i="22"/>
  <c r="AK29" i="22"/>
  <c r="AK24" i="28"/>
  <c r="AK10" i="28"/>
  <c r="AK19" i="28"/>
  <c r="AK15" i="28"/>
  <c r="AK22" i="28"/>
  <c r="AK23" i="28"/>
  <c r="AK14" i="28"/>
  <c r="AK17" i="28"/>
  <c r="AK9" i="28"/>
  <c r="AK20" i="28"/>
  <c r="AK18" i="28"/>
  <c r="AK11" i="28"/>
  <c r="AK12" i="28"/>
  <c r="AK25" i="28"/>
  <c r="AK26" i="28"/>
  <c r="AK13" i="28"/>
  <c r="AK27" i="28"/>
  <c r="AK21" i="28"/>
  <c r="AK16" i="28"/>
  <c r="AK8" i="28"/>
  <c r="AK10" i="24"/>
  <c r="AK15" i="24"/>
  <c r="AK11" i="24"/>
  <c r="AK14" i="24"/>
  <c r="AK9" i="24"/>
  <c r="AK12" i="24"/>
  <c r="AK13" i="24"/>
  <c r="AK19" i="24"/>
  <c r="AK23" i="24"/>
  <c r="AK17" i="24"/>
  <c r="AK18" i="24"/>
  <c r="AK22" i="24"/>
  <c r="AK16" i="24"/>
  <c r="AK20" i="24"/>
  <c r="AK21" i="24"/>
  <c r="AK27" i="24"/>
  <c r="AK24" i="24"/>
  <c r="AK26" i="24"/>
  <c r="AK25" i="24"/>
  <c r="AK8" i="24"/>
  <c r="AK24" i="26"/>
  <c r="AK25" i="26"/>
  <c r="AK26" i="26"/>
  <c r="AK27" i="26"/>
  <c r="AK10" i="26"/>
  <c r="AK12" i="26"/>
  <c r="AK14" i="26"/>
  <c r="AK15" i="26"/>
  <c r="AK17" i="26"/>
  <c r="AK19" i="26"/>
  <c r="AK21" i="26"/>
  <c r="AK22" i="26"/>
  <c r="AK23" i="26"/>
  <c r="AK11" i="26"/>
  <c r="AK9" i="26"/>
  <c r="AK16" i="26"/>
  <c r="AK13" i="26"/>
  <c r="AK18" i="26"/>
  <c r="AK20" i="26"/>
  <c r="AK8" i="26"/>
  <c r="AK21" i="25"/>
  <c r="AK10" i="25"/>
  <c r="AK14" i="25"/>
  <c r="AK26" i="25"/>
  <c r="AK27" i="25"/>
  <c r="AK9" i="25"/>
  <c r="AK13" i="25"/>
  <c r="AK18" i="25"/>
  <c r="AK22" i="25"/>
  <c r="AK12" i="25"/>
  <c r="AK16" i="25"/>
  <c r="AK20" i="25"/>
  <c r="AK17" i="25"/>
  <c r="AK19" i="25"/>
  <c r="AK11" i="25"/>
  <c r="AK23" i="25"/>
  <c r="AK25" i="25"/>
  <c r="AK15" i="25"/>
  <c r="AK24" i="25"/>
  <c r="AK10" i="27"/>
  <c r="AK12" i="27"/>
  <c r="AK13" i="27"/>
  <c r="AK11" i="27"/>
  <c r="AK15" i="27"/>
  <c r="AK9" i="27"/>
  <c r="AK14" i="27"/>
  <c r="AK16" i="27"/>
  <c r="AK22" i="27"/>
  <c r="AK21" i="27"/>
  <c r="AK17" i="27"/>
  <c r="AK19" i="27"/>
  <c r="AK20" i="27"/>
  <c r="AK23" i="27"/>
  <c r="AK18" i="27"/>
  <c r="AK25" i="27"/>
  <c r="AK24" i="27"/>
  <c r="AK27" i="27"/>
  <c r="AK26" i="27"/>
  <c r="AK21" i="22"/>
  <c r="AK18" i="22"/>
  <c r="AK23" i="22"/>
  <c r="AK11" i="22"/>
  <c r="AK22" i="22"/>
  <c r="AK9" i="22"/>
  <c r="AK24" i="22"/>
  <c r="AK13" i="22"/>
  <c r="AK25" i="22"/>
  <c r="AK12" i="22"/>
  <c r="AK19" i="22"/>
  <c r="AK27" i="22"/>
  <c r="AK16" i="22"/>
  <c r="AK14" i="22"/>
  <c r="AK15" i="22"/>
  <c r="AK26" i="22"/>
  <c r="AK17" i="22"/>
  <c r="AK20" i="22"/>
  <c r="AK10" i="22"/>
  <c r="N25" i="50" l="1"/>
  <c r="O25" i="50" s="1"/>
  <c r="N24" i="26"/>
  <c r="C48" i="28"/>
  <c r="AL11" i="44"/>
  <c r="AL14" i="44"/>
  <c r="AL10" i="44"/>
  <c r="AL29" i="44"/>
  <c r="AL20" i="44"/>
  <c r="AL12" i="44"/>
  <c r="AL24" i="44"/>
  <c r="AL16" i="44"/>
  <c r="AL9" i="44"/>
  <c r="AL32" i="44"/>
  <c r="AL30" i="44"/>
  <c r="AL25" i="44"/>
  <c r="AL27" i="44"/>
  <c r="AL22" i="44"/>
  <c r="AL13" i="44"/>
  <c r="AL15" i="44"/>
  <c r="AL17" i="44"/>
  <c r="AL19" i="44"/>
  <c r="AL21" i="44"/>
  <c r="AL23" i="44"/>
  <c r="AL18" i="44"/>
  <c r="AL31" i="44"/>
  <c r="AL28" i="44"/>
  <c r="AL26" i="44"/>
  <c r="AL44" i="28"/>
  <c r="AL45" i="28"/>
  <c r="AL9" i="40"/>
  <c r="AL29" i="40"/>
  <c r="AL25" i="40"/>
  <c r="AL18" i="40"/>
  <c r="AL19" i="40"/>
  <c r="AL27" i="40"/>
  <c r="AL32" i="40"/>
  <c r="AL28" i="40"/>
  <c r="AL15" i="40"/>
  <c r="AL16" i="40"/>
  <c r="AL31" i="40"/>
  <c r="AL14" i="40"/>
  <c r="AL24" i="40"/>
  <c r="AL10" i="40"/>
  <c r="AL12" i="40"/>
  <c r="AL11" i="40"/>
  <c r="AL23" i="40"/>
  <c r="AL17" i="40"/>
  <c r="AL22" i="40"/>
  <c r="AL26" i="40"/>
  <c r="AL20" i="40"/>
  <c r="AL21" i="40"/>
  <c r="AL30" i="40"/>
  <c r="AL13" i="40"/>
  <c r="AK22" i="37"/>
  <c r="AK10" i="37"/>
  <c r="AK19" i="37"/>
  <c r="AK17" i="37"/>
  <c r="AK18" i="37"/>
  <c r="AK26" i="37"/>
  <c r="AK11" i="37"/>
  <c r="AK14" i="37"/>
  <c r="AK20" i="37"/>
  <c r="AK24" i="37"/>
  <c r="AK30" i="37"/>
  <c r="AK21" i="37"/>
  <c r="AK28" i="37"/>
  <c r="AK16" i="37"/>
  <c r="AK15" i="37"/>
  <c r="AK25" i="37"/>
  <c r="AK31" i="37"/>
  <c r="AK12" i="37"/>
  <c r="AK27" i="37"/>
  <c r="AK23" i="37"/>
  <c r="AK13" i="37"/>
  <c r="AK32" i="37"/>
  <c r="AK9" i="37"/>
  <c r="AK29" i="37"/>
  <c r="AL43" i="28"/>
  <c r="AL42" i="28"/>
  <c r="AL41" i="28"/>
  <c r="AL28" i="27"/>
  <c r="AL31" i="27"/>
  <c r="AL30" i="27"/>
  <c r="AL29" i="27"/>
  <c r="AL32" i="27"/>
  <c r="AL28" i="24"/>
  <c r="AL32" i="24"/>
  <c r="AL30" i="24"/>
  <c r="AL31" i="24"/>
  <c r="AL29" i="24"/>
  <c r="AK26" i="29"/>
  <c r="AK15" i="29"/>
  <c r="AK8" i="29"/>
  <c r="AK14" i="29"/>
  <c r="AK22" i="29"/>
  <c r="AK25" i="29"/>
  <c r="AK29" i="29"/>
  <c r="AK17" i="29"/>
  <c r="AK13" i="29"/>
  <c r="AK12" i="29"/>
  <c r="AK16" i="29"/>
  <c r="AK20" i="29"/>
  <c r="AK30" i="29"/>
  <c r="AK21" i="29"/>
  <c r="AK32" i="29"/>
  <c r="AK9" i="29"/>
  <c r="AK19" i="29"/>
  <c r="AK11" i="29"/>
  <c r="AK28" i="29"/>
  <c r="AK18" i="29"/>
  <c r="AK23" i="29"/>
  <c r="AK24" i="29"/>
  <c r="AK31" i="29"/>
  <c r="AK10" i="29"/>
  <c r="AK27" i="29"/>
  <c r="AL28" i="25"/>
  <c r="AL29" i="25"/>
  <c r="AL31" i="25"/>
  <c r="AL30" i="25"/>
  <c r="AL32" i="25"/>
  <c r="AL28" i="26"/>
  <c r="AL29" i="26"/>
  <c r="AL31" i="26"/>
  <c r="AL32" i="26"/>
  <c r="AL30" i="26"/>
  <c r="AK18" i="31"/>
  <c r="AK15" i="31"/>
  <c r="AK11" i="31"/>
  <c r="AK8" i="31"/>
  <c r="AK9" i="31"/>
  <c r="AK31" i="31"/>
  <c r="AK12" i="31"/>
  <c r="AK20" i="31"/>
  <c r="AK17" i="31"/>
  <c r="AK28" i="31"/>
  <c r="AK32" i="31"/>
  <c r="AK26" i="31"/>
  <c r="AK23" i="31"/>
  <c r="AK27" i="31"/>
  <c r="AK13" i="31"/>
  <c r="AK10" i="31"/>
  <c r="AK30" i="31"/>
  <c r="AK19" i="31"/>
  <c r="AK22" i="31"/>
  <c r="AK16" i="31"/>
  <c r="AK14" i="31"/>
  <c r="AK25" i="31"/>
  <c r="AK29" i="31"/>
  <c r="AK24" i="31"/>
  <c r="AK21" i="31"/>
  <c r="AL28" i="28"/>
  <c r="AL30" i="28"/>
  <c r="AL34" i="28"/>
  <c r="AL32" i="28"/>
  <c r="AL36" i="28"/>
  <c r="AL40" i="28"/>
  <c r="AL37" i="28"/>
  <c r="AL33" i="28"/>
  <c r="AL38" i="28"/>
  <c r="AL31" i="28"/>
  <c r="AL35" i="28"/>
  <c r="AL39" i="28"/>
  <c r="AL29" i="28"/>
  <c r="AK12" i="30"/>
  <c r="AK29" i="30"/>
  <c r="AK28" i="30"/>
  <c r="AK9" i="30"/>
  <c r="AK16" i="30"/>
  <c r="AK17" i="30"/>
  <c r="AK22" i="30"/>
  <c r="AK13" i="30"/>
  <c r="AK8" i="30"/>
  <c r="AK10" i="30"/>
  <c r="AK11" i="30"/>
  <c r="AK23" i="30"/>
  <c r="AK31" i="30"/>
  <c r="AK15" i="30"/>
  <c r="AK18" i="30"/>
  <c r="AK30" i="30"/>
  <c r="AK21" i="30"/>
  <c r="AK25" i="30"/>
  <c r="AK14" i="30"/>
  <c r="AK27" i="30"/>
  <c r="AK20" i="30"/>
  <c r="AK24" i="30"/>
  <c r="AK26" i="30"/>
  <c r="AK32" i="30"/>
  <c r="AK19" i="30"/>
  <c r="AL28" i="22"/>
  <c r="AL31" i="22"/>
  <c r="AL30" i="22"/>
  <c r="AL29" i="22"/>
  <c r="AL32" i="22"/>
  <c r="AL12" i="25"/>
  <c r="AL15" i="25"/>
  <c r="AL16" i="25"/>
  <c r="AL18" i="25"/>
  <c r="AL22" i="25"/>
  <c r="AL26" i="25"/>
  <c r="AL11" i="25"/>
  <c r="AL10" i="25"/>
  <c r="AL14" i="25"/>
  <c r="AL20" i="25"/>
  <c r="AL9" i="25"/>
  <c r="AL17" i="25"/>
  <c r="AL24" i="25"/>
  <c r="AL27" i="25"/>
  <c r="AL13" i="25"/>
  <c r="AL23" i="25"/>
  <c r="AL21" i="25"/>
  <c r="AL25" i="25"/>
  <c r="AL19" i="25"/>
  <c r="AL25" i="26"/>
  <c r="AL24" i="26"/>
  <c r="AL26" i="26"/>
  <c r="AL27" i="26"/>
  <c r="AL13" i="26"/>
  <c r="AL14" i="26"/>
  <c r="AL9" i="26"/>
  <c r="AL15" i="26"/>
  <c r="AL20" i="26"/>
  <c r="AL22" i="26"/>
  <c r="AL11" i="26"/>
  <c r="AL17" i="26"/>
  <c r="AL16" i="26"/>
  <c r="AL18" i="26"/>
  <c r="AL10" i="26"/>
  <c r="AL19" i="26"/>
  <c r="AL21" i="26"/>
  <c r="AL12" i="26"/>
  <c r="AL23" i="26"/>
  <c r="AL8" i="26"/>
  <c r="AL18" i="22"/>
  <c r="AL10" i="22"/>
  <c r="AL16" i="22"/>
  <c r="AL20" i="22"/>
  <c r="AL23" i="22"/>
  <c r="AL9" i="22"/>
  <c r="AL19" i="22"/>
  <c r="AL26" i="22"/>
  <c r="AL22" i="22"/>
  <c r="AL25" i="22"/>
  <c r="AL12" i="22"/>
  <c r="AL13" i="22"/>
  <c r="AL14" i="22"/>
  <c r="AL24" i="22"/>
  <c r="AL11" i="22"/>
  <c r="AL21" i="22"/>
  <c r="AL27" i="22"/>
  <c r="AL17" i="22"/>
  <c r="AL15" i="22"/>
  <c r="AL24" i="28"/>
  <c r="AL9" i="28"/>
  <c r="AL21" i="28"/>
  <c r="AL23" i="28"/>
  <c r="AL16" i="28"/>
  <c r="AL17" i="28"/>
  <c r="AL19" i="28"/>
  <c r="AL20" i="28"/>
  <c r="AL10" i="28"/>
  <c r="AL11" i="28"/>
  <c r="AL12" i="28"/>
  <c r="AL13" i="28"/>
  <c r="AL15" i="28"/>
  <c r="AL14" i="28"/>
  <c r="AL18" i="28"/>
  <c r="AL22" i="28"/>
  <c r="AL25" i="28"/>
  <c r="AL27" i="28"/>
  <c r="AL26" i="28"/>
  <c r="AL8" i="28"/>
  <c r="AL9" i="27"/>
  <c r="AL10" i="27"/>
  <c r="AL11" i="27"/>
  <c r="AL13" i="27"/>
  <c r="AL14" i="27"/>
  <c r="AL16" i="27"/>
  <c r="AL12" i="27"/>
  <c r="AL15" i="27"/>
  <c r="AL17" i="27"/>
  <c r="AL18" i="27"/>
  <c r="AL22" i="27"/>
  <c r="AL23" i="27"/>
  <c r="AL20" i="27"/>
  <c r="AL21" i="27"/>
  <c r="AL25" i="27"/>
  <c r="AL19" i="27"/>
  <c r="AL24" i="27"/>
  <c r="AL26" i="27"/>
  <c r="AL27" i="27"/>
  <c r="AL12" i="24"/>
  <c r="AL16" i="24"/>
  <c r="AL10" i="24"/>
  <c r="AL15" i="24"/>
  <c r="AL11" i="24"/>
  <c r="AL20" i="24"/>
  <c r="AL13" i="24"/>
  <c r="AL19" i="24"/>
  <c r="AL23" i="24"/>
  <c r="AL14" i="24"/>
  <c r="AL18" i="24"/>
  <c r="AL22" i="24"/>
  <c r="AL9" i="24"/>
  <c r="AL21" i="24"/>
  <c r="AL17" i="24"/>
  <c r="AL25" i="24"/>
  <c r="AL24" i="24"/>
  <c r="AL27" i="24"/>
  <c r="AL26" i="24"/>
  <c r="AL8" i="24"/>
  <c r="N26" i="50" l="1"/>
  <c r="O26" i="50" s="1"/>
  <c r="N25" i="26"/>
  <c r="AM44" i="28"/>
  <c r="AM45" i="28"/>
  <c r="AM9" i="44"/>
  <c r="AM22" i="44"/>
  <c r="AM14" i="44"/>
  <c r="AM15" i="44"/>
  <c r="AM10" i="44"/>
  <c r="AM18" i="44"/>
  <c r="AM12" i="44"/>
  <c r="AM29" i="44"/>
  <c r="AM19" i="44"/>
  <c r="AM17" i="44"/>
  <c r="AM32" i="44"/>
  <c r="AM25" i="44"/>
  <c r="AM20" i="44"/>
  <c r="AM13" i="44"/>
  <c r="AM26" i="44"/>
  <c r="AM28" i="44"/>
  <c r="AM11" i="44"/>
  <c r="AM16" i="44"/>
  <c r="AM31" i="44"/>
  <c r="AM23" i="44"/>
  <c r="AM21" i="44"/>
  <c r="AM27" i="44"/>
  <c r="AM30" i="44"/>
  <c r="AM24" i="44"/>
  <c r="AM16" i="40"/>
  <c r="AM19" i="40"/>
  <c r="AM27" i="40"/>
  <c r="AM17" i="40"/>
  <c r="AM18" i="40"/>
  <c r="AM28" i="40"/>
  <c r="AM14" i="40"/>
  <c r="AM26" i="40"/>
  <c r="AM11" i="40"/>
  <c r="AM24" i="40"/>
  <c r="AM29" i="40"/>
  <c r="AM32" i="40"/>
  <c r="AM23" i="40"/>
  <c r="AM20" i="40"/>
  <c r="AM13" i="40"/>
  <c r="AM22" i="40"/>
  <c r="AM31" i="40"/>
  <c r="AM9" i="40"/>
  <c r="AM15" i="40"/>
  <c r="AM21" i="40"/>
  <c r="AM10" i="40"/>
  <c r="AM12" i="40"/>
  <c r="AM30" i="40"/>
  <c r="AM25" i="40"/>
  <c r="AL11" i="37"/>
  <c r="AL9" i="37"/>
  <c r="AL31" i="37"/>
  <c r="AL14" i="37"/>
  <c r="AL12" i="37"/>
  <c r="AL26" i="37"/>
  <c r="AL23" i="37"/>
  <c r="AL13" i="37"/>
  <c r="AL17" i="37"/>
  <c r="AL18" i="37"/>
  <c r="AL15" i="37"/>
  <c r="AL20" i="37"/>
  <c r="AL22" i="37"/>
  <c r="AL32" i="37"/>
  <c r="AL30" i="37"/>
  <c r="AL10" i="37"/>
  <c r="AL19" i="37"/>
  <c r="AL16" i="37"/>
  <c r="AL28" i="37"/>
  <c r="AL21" i="37"/>
  <c r="AL25" i="37"/>
  <c r="AL27" i="37"/>
  <c r="AL24" i="37"/>
  <c r="AL29" i="37"/>
  <c r="AM43" i="28"/>
  <c r="AM42" i="28"/>
  <c r="AM41" i="28"/>
  <c r="AM28" i="24"/>
  <c r="AM31" i="24"/>
  <c r="AM30" i="24"/>
  <c r="AM32" i="24"/>
  <c r="AM29" i="24"/>
  <c r="AM28" i="27"/>
  <c r="AM30" i="27"/>
  <c r="AM31" i="27"/>
  <c r="AM29" i="27"/>
  <c r="AM32" i="27"/>
  <c r="AL11" i="31"/>
  <c r="AL29" i="31"/>
  <c r="AL8" i="31"/>
  <c r="AL20" i="31"/>
  <c r="AL30" i="31"/>
  <c r="AL25" i="31"/>
  <c r="AL22" i="31"/>
  <c r="AL28" i="31"/>
  <c r="AL10" i="31"/>
  <c r="AL13" i="31"/>
  <c r="AL18" i="31"/>
  <c r="AL31" i="31"/>
  <c r="AL26" i="31"/>
  <c r="AL21" i="31"/>
  <c r="AL24" i="31"/>
  <c r="AL16" i="31"/>
  <c r="AL14" i="31"/>
  <c r="AL17" i="31"/>
  <c r="AL27" i="31"/>
  <c r="AL15" i="31"/>
  <c r="AL19" i="31"/>
  <c r="AL23" i="31"/>
  <c r="AL32" i="31"/>
  <c r="AL9" i="31"/>
  <c r="AL12" i="31"/>
  <c r="AM28" i="28"/>
  <c r="AM37" i="28"/>
  <c r="AM39" i="28"/>
  <c r="AM31" i="28"/>
  <c r="AM36" i="28"/>
  <c r="AM29" i="28"/>
  <c r="AM32" i="28"/>
  <c r="AM33" i="28"/>
  <c r="AM35" i="28"/>
  <c r="AM34" i="28"/>
  <c r="AM30" i="28"/>
  <c r="AM38" i="28"/>
  <c r="AM40" i="28"/>
  <c r="AM28" i="25"/>
  <c r="AM30" i="25"/>
  <c r="AM31" i="25"/>
  <c r="AM29" i="25"/>
  <c r="AM32" i="25"/>
  <c r="AL25" i="30"/>
  <c r="AL18" i="30"/>
  <c r="AL22" i="30"/>
  <c r="AL10" i="30"/>
  <c r="AL8" i="30"/>
  <c r="AL11" i="30"/>
  <c r="AL26" i="30"/>
  <c r="AL15" i="30"/>
  <c r="AL16" i="30"/>
  <c r="AL17" i="30"/>
  <c r="AL27" i="30"/>
  <c r="AL21" i="30"/>
  <c r="AL31" i="30"/>
  <c r="AL9" i="30"/>
  <c r="AL13" i="30"/>
  <c r="AL24" i="30"/>
  <c r="AL23" i="30"/>
  <c r="AL30" i="30"/>
  <c r="AL12" i="30"/>
  <c r="AL14" i="30"/>
  <c r="AL20" i="30"/>
  <c r="AL19" i="30"/>
  <c r="AL32" i="30"/>
  <c r="AL28" i="30"/>
  <c r="AL29" i="30"/>
  <c r="AM28" i="26"/>
  <c r="AM30" i="26"/>
  <c r="AM29" i="26"/>
  <c r="AM31" i="26"/>
  <c r="AM32" i="26"/>
  <c r="AL27" i="29"/>
  <c r="AL16" i="29"/>
  <c r="AL12" i="29"/>
  <c r="AL9" i="29"/>
  <c r="AL20" i="29"/>
  <c r="AL25" i="29"/>
  <c r="AL15" i="29"/>
  <c r="AL11" i="29"/>
  <c r="AL21" i="29"/>
  <c r="AL23" i="29"/>
  <c r="AL31" i="29"/>
  <c r="AL8" i="29"/>
  <c r="AL14" i="29"/>
  <c r="AL10" i="29"/>
  <c r="AL13" i="29"/>
  <c r="AL24" i="29"/>
  <c r="AL17" i="29"/>
  <c r="AL28" i="29"/>
  <c r="AL19" i="29"/>
  <c r="AL32" i="29"/>
  <c r="AL18" i="29"/>
  <c r="AL30" i="29"/>
  <c r="AL26" i="29"/>
  <c r="AL29" i="29"/>
  <c r="AL22" i="29"/>
  <c r="AM28" i="22"/>
  <c r="AM30" i="22"/>
  <c r="AM31" i="22"/>
  <c r="AM29" i="22"/>
  <c r="AM32" i="22"/>
  <c r="AM13" i="24"/>
  <c r="AM17" i="24"/>
  <c r="AM9" i="24"/>
  <c r="AM11" i="24"/>
  <c r="AM12" i="24"/>
  <c r="AM16" i="24"/>
  <c r="AM15" i="24"/>
  <c r="AM19" i="24"/>
  <c r="AM21" i="24"/>
  <c r="AM20" i="24"/>
  <c r="AM10" i="24"/>
  <c r="AM14" i="24"/>
  <c r="AM18" i="24"/>
  <c r="AM22" i="24"/>
  <c r="AM23" i="24"/>
  <c r="AM25" i="24"/>
  <c r="AM24" i="24"/>
  <c r="AM26" i="24"/>
  <c r="AM27" i="24"/>
  <c r="AM8" i="24"/>
  <c r="AM25" i="26"/>
  <c r="AM24" i="26"/>
  <c r="AM26" i="26"/>
  <c r="AM27" i="26"/>
  <c r="AM10" i="26"/>
  <c r="AM12" i="26"/>
  <c r="AM16" i="26"/>
  <c r="AM18" i="26"/>
  <c r="AM23" i="26"/>
  <c r="AM22" i="26"/>
  <c r="AM11" i="26"/>
  <c r="AM13" i="26"/>
  <c r="AM15" i="26"/>
  <c r="AM17" i="26"/>
  <c r="AM19" i="26"/>
  <c r="AM21" i="26"/>
  <c r="AM9" i="26"/>
  <c r="AM20" i="26"/>
  <c r="AM14" i="26"/>
  <c r="AM8" i="26"/>
  <c r="AM16" i="22"/>
  <c r="AM17" i="22"/>
  <c r="AM24" i="22"/>
  <c r="AM27" i="22"/>
  <c r="AM9" i="22"/>
  <c r="AM20" i="22"/>
  <c r="AM14" i="22"/>
  <c r="AM10" i="22"/>
  <c r="AM19" i="22"/>
  <c r="AM23" i="22"/>
  <c r="AM13" i="22"/>
  <c r="AM11" i="22"/>
  <c r="AM15" i="22"/>
  <c r="AM25" i="22"/>
  <c r="AM18" i="22"/>
  <c r="AM22" i="22"/>
  <c r="AM26" i="22"/>
  <c r="AM12" i="22"/>
  <c r="AM21" i="22"/>
  <c r="AM11" i="27"/>
  <c r="AM10" i="27"/>
  <c r="AM14" i="27"/>
  <c r="AM13" i="27"/>
  <c r="AM17" i="27"/>
  <c r="AM12" i="27"/>
  <c r="AM19" i="27"/>
  <c r="AM16" i="27"/>
  <c r="AM23" i="27"/>
  <c r="AM15" i="27"/>
  <c r="AM9" i="27"/>
  <c r="AM21" i="27"/>
  <c r="AM22" i="27"/>
  <c r="AM20" i="27"/>
  <c r="AM24" i="27"/>
  <c r="AM25" i="27"/>
  <c r="AM18" i="27"/>
  <c r="AM27" i="27"/>
  <c r="AM26" i="27"/>
  <c r="AM24" i="28"/>
  <c r="AM9" i="28"/>
  <c r="AM10" i="28"/>
  <c r="AM11" i="28"/>
  <c r="AM14" i="28"/>
  <c r="AM16" i="28"/>
  <c r="AM13" i="28"/>
  <c r="AM15" i="28"/>
  <c r="AM17" i="28"/>
  <c r="AM18" i="28"/>
  <c r="AM19" i="28"/>
  <c r="AM23" i="28"/>
  <c r="AM20" i="28"/>
  <c r="AM12" i="28"/>
  <c r="AM22" i="28"/>
  <c r="AM21" i="28"/>
  <c r="AM25" i="28"/>
  <c r="AM27" i="28"/>
  <c r="AM26" i="28"/>
  <c r="AM8" i="28"/>
  <c r="AM27" i="25"/>
  <c r="AM9" i="25"/>
  <c r="AM10" i="25"/>
  <c r="AM13" i="25"/>
  <c r="AM14" i="25"/>
  <c r="AM16" i="25"/>
  <c r="AM17" i="25"/>
  <c r="AM19" i="25"/>
  <c r="AM23" i="25"/>
  <c r="AM26" i="25"/>
  <c r="AM12" i="25"/>
  <c r="AM11" i="25"/>
  <c r="AM15" i="25"/>
  <c r="AM21" i="25"/>
  <c r="AM22" i="25"/>
  <c r="AM20" i="25"/>
  <c r="AM18" i="25"/>
  <c r="AM25" i="25"/>
  <c r="AM24" i="25"/>
  <c r="N27" i="50" l="1"/>
  <c r="O27" i="50" s="1"/>
  <c r="N26" i="26"/>
  <c r="AN45" i="28"/>
  <c r="AN44" i="28"/>
  <c r="AN31" i="44"/>
  <c r="AN23" i="44"/>
  <c r="AN25" i="44"/>
  <c r="AN26" i="44"/>
  <c r="AN21" i="44"/>
  <c r="AN9" i="44"/>
  <c r="AN28" i="44"/>
  <c r="AN17" i="44"/>
  <c r="AN19" i="44"/>
  <c r="AN24" i="44"/>
  <c r="AN10" i="44"/>
  <c r="AN12" i="44"/>
  <c r="AN15" i="44"/>
  <c r="AN29" i="44"/>
  <c r="AN11" i="44"/>
  <c r="AN32" i="44"/>
  <c r="AN16" i="44"/>
  <c r="AN18" i="44"/>
  <c r="AN14" i="44"/>
  <c r="AN13" i="44"/>
  <c r="AN20" i="44"/>
  <c r="AN27" i="44"/>
  <c r="AN30" i="44"/>
  <c r="AN22" i="44"/>
  <c r="AN32" i="40"/>
  <c r="AN25" i="40"/>
  <c r="AN15" i="40"/>
  <c r="AN17" i="40"/>
  <c r="AN23" i="40"/>
  <c r="AN19" i="40"/>
  <c r="AN20" i="40"/>
  <c r="AN22" i="40"/>
  <c r="AN29" i="40"/>
  <c r="AN16" i="40"/>
  <c r="AN10" i="40"/>
  <c r="AN24" i="40"/>
  <c r="AN31" i="40"/>
  <c r="AN21" i="40"/>
  <c r="AN12" i="40"/>
  <c r="AN14" i="40"/>
  <c r="AN26" i="40"/>
  <c r="AN13" i="40"/>
  <c r="AN28" i="40"/>
  <c r="AN30" i="40"/>
  <c r="AN18" i="40"/>
  <c r="AN9" i="40"/>
  <c r="AN27" i="40"/>
  <c r="AN11" i="40"/>
  <c r="AM20" i="37"/>
  <c r="AM12" i="37"/>
  <c r="AM10" i="37"/>
  <c r="AM18" i="37"/>
  <c r="AM9" i="37"/>
  <c r="AM30" i="37"/>
  <c r="AM13" i="37"/>
  <c r="AM15" i="37"/>
  <c r="AM23" i="37"/>
  <c r="AM27" i="37"/>
  <c r="AM16" i="37"/>
  <c r="AM25" i="37"/>
  <c r="AM22" i="37"/>
  <c r="AM26" i="37"/>
  <c r="AM31" i="37"/>
  <c r="AM14" i="37"/>
  <c r="AM11" i="37"/>
  <c r="AM17" i="37"/>
  <c r="AM21" i="37"/>
  <c r="AM19" i="37"/>
  <c r="AM32" i="37"/>
  <c r="AM29" i="37"/>
  <c r="AM24" i="37"/>
  <c r="AM28" i="37"/>
  <c r="AN43" i="28"/>
  <c r="AN41" i="28"/>
  <c r="AN42" i="28"/>
  <c r="AN28" i="25"/>
  <c r="AN31" i="25"/>
  <c r="AN32" i="25"/>
  <c r="AN29" i="25"/>
  <c r="AN30" i="25"/>
  <c r="AN28" i="24"/>
  <c r="AN29" i="24"/>
  <c r="AN31" i="24"/>
  <c r="AN32" i="24"/>
  <c r="AN30" i="24"/>
  <c r="AN28" i="26"/>
  <c r="AN29" i="26"/>
  <c r="AN30" i="26"/>
  <c r="AN31" i="26"/>
  <c r="AN32" i="26"/>
  <c r="AM14" i="31"/>
  <c r="AM10" i="31"/>
  <c r="AM27" i="31"/>
  <c r="AM9" i="31"/>
  <c r="AM13" i="31"/>
  <c r="AM17" i="31"/>
  <c r="AM23" i="31"/>
  <c r="AM22" i="31"/>
  <c r="AM12" i="31"/>
  <c r="AM15" i="31"/>
  <c r="AM19" i="31"/>
  <c r="AM24" i="31"/>
  <c r="AM8" i="31"/>
  <c r="AM11" i="31"/>
  <c r="AM20" i="31"/>
  <c r="AM29" i="31"/>
  <c r="AM16" i="31"/>
  <c r="AM32" i="31"/>
  <c r="AM18" i="31"/>
  <c r="AM25" i="31"/>
  <c r="AM28" i="31"/>
  <c r="AM26" i="31"/>
  <c r="AM31" i="31"/>
  <c r="AM21" i="31"/>
  <c r="AM30" i="31"/>
  <c r="AN28" i="27"/>
  <c r="AN30" i="27"/>
  <c r="AN31" i="27"/>
  <c r="AN32" i="27"/>
  <c r="AN29" i="27"/>
  <c r="AM15" i="30"/>
  <c r="AM11" i="30"/>
  <c r="AM12" i="30"/>
  <c r="AM16" i="30"/>
  <c r="AM8" i="30"/>
  <c r="AM32" i="30"/>
  <c r="AM10" i="30"/>
  <c r="AM27" i="30"/>
  <c r="AM19" i="30"/>
  <c r="AM20" i="30"/>
  <c r="AM25" i="30"/>
  <c r="AM21" i="30"/>
  <c r="AM23" i="30"/>
  <c r="AM18" i="30"/>
  <c r="AM26" i="30"/>
  <c r="AM28" i="30"/>
  <c r="AM17" i="30"/>
  <c r="AM13" i="30"/>
  <c r="AM30" i="30"/>
  <c r="AM22" i="30"/>
  <c r="AM31" i="30"/>
  <c r="AM24" i="30"/>
  <c r="AM9" i="30"/>
  <c r="AM29" i="30"/>
  <c r="AM14" i="30"/>
  <c r="AN28" i="28"/>
  <c r="AN40" i="28"/>
  <c r="AN29" i="28"/>
  <c r="AN37" i="28"/>
  <c r="AN38" i="28"/>
  <c r="AN39" i="28"/>
  <c r="AN30" i="28"/>
  <c r="AN31" i="28"/>
  <c r="AN34" i="28"/>
  <c r="AN35" i="28"/>
  <c r="AN32" i="28"/>
  <c r="AN33" i="28"/>
  <c r="AN36" i="28"/>
  <c r="AM29" i="29"/>
  <c r="AM22" i="29"/>
  <c r="AM12" i="29"/>
  <c r="AM9" i="29"/>
  <c r="AM19" i="29"/>
  <c r="AM11" i="29"/>
  <c r="AM17" i="29"/>
  <c r="AM27" i="29"/>
  <c r="AM20" i="29"/>
  <c r="AM10" i="29"/>
  <c r="AM23" i="29"/>
  <c r="AM16" i="29"/>
  <c r="AM18" i="29"/>
  <c r="AM32" i="29"/>
  <c r="AM31" i="29"/>
  <c r="AM24" i="29"/>
  <c r="AM30" i="29"/>
  <c r="AM26" i="29"/>
  <c r="AM8" i="29"/>
  <c r="AM25" i="29"/>
  <c r="AM14" i="29"/>
  <c r="AM13" i="29"/>
  <c r="AM21" i="29"/>
  <c r="AM28" i="29"/>
  <c r="AM15" i="29"/>
  <c r="AN28" i="22"/>
  <c r="AN30" i="22"/>
  <c r="AN31" i="22"/>
  <c r="AN32" i="22"/>
  <c r="AN29" i="22"/>
  <c r="AN24" i="26"/>
  <c r="AN25" i="26"/>
  <c r="AN26" i="26"/>
  <c r="AN27" i="26"/>
  <c r="AN10" i="26"/>
  <c r="AN11" i="26"/>
  <c r="AN14" i="26"/>
  <c r="AN17" i="26"/>
  <c r="AN18" i="26"/>
  <c r="AN22" i="26"/>
  <c r="AN21" i="26"/>
  <c r="AN15" i="26"/>
  <c r="AN23" i="26"/>
  <c r="AN9" i="26"/>
  <c r="AN16" i="26"/>
  <c r="AN19" i="26"/>
  <c r="AN20" i="26"/>
  <c r="AN12" i="26"/>
  <c r="AN13" i="26"/>
  <c r="AN8" i="26"/>
  <c r="AN9" i="27"/>
  <c r="AN10" i="27"/>
  <c r="AN11" i="27"/>
  <c r="AN12" i="27"/>
  <c r="AN14" i="27"/>
  <c r="AN15" i="27"/>
  <c r="AN16" i="27"/>
  <c r="AN13" i="27"/>
  <c r="AN21" i="27"/>
  <c r="AN18" i="27"/>
  <c r="AN22" i="27"/>
  <c r="AN20" i="27"/>
  <c r="AN23" i="27"/>
  <c r="AN17" i="27"/>
  <c r="AN19" i="27"/>
  <c r="AN24" i="27"/>
  <c r="AN25" i="27"/>
  <c r="AN26" i="27"/>
  <c r="AN27" i="27"/>
  <c r="AN18" i="22"/>
  <c r="AN26" i="22"/>
  <c r="AN11" i="22"/>
  <c r="AN23" i="22"/>
  <c r="AN19" i="22"/>
  <c r="AN12" i="22"/>
  <c r="AN20" i="22"/>
  <c r="AN9" i="22"/>
  <c r="AN21" i="22"/>
  <c r="AN25" i="22"/>
  <c r="AN27" i="22"/>
  <c r="AN17" i="22"/>
  <c r="AN16" i="22"/>
  <c r="AN14" i="22"/>
  <c r="AN22" i="22"/>
  <c r="AN15" i="22"/>
  <c r="AN13" i="22"/>
  <c r="AN10" i="22"/>
  <c r="AN24" i="22"/>
  <c r="AN24" i="28"/>
  <c r="AN12" i="28"/>
  <c r="AN14" i="28"/>
  <c r="AN15" i="28"/>
  <c r="AN16" i="28"/>
  <c r="AN18" i="28"/>
  <c r="AN19" i="28"/>
  <c r="AN10" i="28"/>
  <c r="AN20" i="28"/>
  <c r="AN21" i="28"/>
  <c r="AN11" i="28"/>
  <c r="AN13" i="28"/>
  <c r="AN17" i="28"/>
  <c r="AN22" i="28"/>
  <c r="AN25" i="28"/>
  <c r="AN9" i="28"/>
  <c r="AN26" i="28"/>
  <c r="AN27" i="28"/>
  <c r="AN23" i="28"/>
  <c r="AN8" i="28"/>
  <c r="AN10" i="24"/>
  <c r="AN15" i="24"/>
  <c r="AN11" i="24"/>
  <c r="AN13" i="24"/>
  <c r="AN9" i="24"/>
  <c r="AN12" i="24"/>
  <c r="AN19" i="24"/>
  <c r="AN23" i="24"/>
  <c r="AN17" i="24"/>
  <c r="AN21" i="24"/>
  <c r="AN22" i="24"/>
  <c r="AN16" i="24"/>
  <c r="AN18" i="24"/>
  <c r="AN14" i="24"/>
  <c r="AN24" i="24"/>
  <c r="AN20" i="24"/>
  <c r="AN27" i="24"/>
  <c r="AN26" i="24"/>
  <c r="AN25" i="24"/>
  <c r="AN8" i="24"/>
  <c r="AN11" i="25"/>
  <c r="AN17" i="25"/>
  <c r="AN15" i="25"/>
  <c r="AN27" i="25"/>
  <c r="AN10" i="25"/>
  <c r="AN14" i="25"/>
  <c r="AN19" i="25"/>
  <c r="AN20" i="25"/>
  <c r="AN23" i="25"/>
  <c r="AN26" i="25"/>
  <c r="AN12" i="25"/>
  <c r="AN21" i="25"/>
  <c r="AN9" i="25"/>
  <c r="AN18" i="25"/>
  <c r="AN13" i="25"/>
  <c r="AN22" i="25"/>
  <c r="AN24" i="25"/>
  <c r="AN25" i="25"/>
  <c r="AN16" i="25"/>
  <c r="N28" i="50" l="1"/>
  <c r="O28" i="50" s="1"/>
  <c r="N27" i="26"/>
  <c r="AO45" i="28"/>
  <c r="AO44" i="28"/>
  <c r="AO11" i="44"/>
  <c r="AO31" i="44"/>
  <c r="AO21" i="44"/>
  <c r="AO19" i="44"/>
  <c r="AO20" i="44"/>
  <c r="AO15" i="44"/>
  <c r="AO10" i="44"/>
  <c r="AO30" i="44"/>
  <c r="AO17" i="44"/>
  <c r="AO26" i="44"/>
  <c r="AO9" i="44"/>
  <c r="AO16" i="44"/>
  <c r="AO23" i="44"/>
  <c r="AO14" i="44"/>
  <c r="AO22" i="44"/>
  <c r="AO13" i="44"/>
  <c r="AO12" i="44"/>
  <c r="AO32" i="44"/>
  <c r="AO18" i="44"/>
  <c r="AO24" i="44"/>
  <c r="AO25" i="44"/>
  <c r="AO28" i="44"/>
  <c r="AO29" i="44"/>
  <c r="AO27" i="44"/>
  <c r="AO12" i="40"/>
  <c r="AO29" i="40"/>
  <c r="AO16" i="40"/>
  <c r="AO10" i="40"/>
  <c r="AO11" i="40"/>
  <c r="AO32" i="40"/>
  <c r="AO28" i="40"/>
  <c r="AO22" i="40"/>
  <c r="AO9" i="40"/>
  <c r="AO14" i="40"/>
  <c r="AO21" i="40"/>
  <c r="AO13" i="40"/>
  <c r="AO26" i="40"/>
  <c r="AO24" i="40"/>
  <c r="AO18" i="40"/>
  <c r="AO25" i="40"/>
  <c r="AO15" i="40"/>
  <c r="AO17" i="40"/>
  <c r="AO20" i="40"/>
  <c r="AO27" i="40"/>
  <c r="AO30" i="40"/>
  <c r="AO31" i="40"/>
  <c r="AO19" i="40"/>
  <c r="AO23" i="40"/>
  <c r="AN27" i="37"/>
  <c r="AN19" i="37"/>
  <c r="AN16" i="37"/>
  <c r="AN9" i="37"/>
  <c r="AN26" i="37"/>
  <c r="AN22" i="37"/>
  <c r="AN12" i="37"/>
  <c r="AN13" i="37"/>
  <c r="AN14" i="37"/>
  <c r="AN17" i="37"/>
  <c r="AN18" i="37"/>
  <c r="AN29" i="37"/>
  <c r="AN15" i="37"/>
  <c r="AN11" i="37"/>
  <c r="AN20" i="37"/>
  <c r="AN23" i="37"/>
  <c r="AN30" i="37"/>
  <c r="AN25" i="37"/>
  <c r="AN31" i="37"/>
  <c r="AN32" i="37"/>
  <c r="AN21" i="37"/>
  <c r="AN10" i="37"/>
  <c r="AN24" i="37"/>
  <c r="AN28" i="37"/>
  <c r="AO43" i="28"/>
  <c r="AO42" i="28"/>
  <c r="AO41" i="28"/>
  <c r="AO28" i="26"/>
  <c r="AO32" i="26"/>
  <c r="AO30" i="26"/>
  <c r="AO31" i="26"/>
  <c r="AO29" i="26"/>
  <c r="AN30" i="31"/>
  <c r="AN14" i="31"/>
  <c r="AN25" i="31"/>
  <c r="AN10" i="31"/>
  <c r="AN26" i="31"/>
  <c r="AN29" i="31"/>
  <c r="AN18" i="31"/>
  <c r="AN24" i="31"/>
  <c r="AN20" i="31"/>
  <c r="AN12" i="31"/>
  <c r="AN22" i="31"/>
  <c r="AN31" i="31"/>
  <c r="AN9" i="31"/>
  <c r="AN11" i="31"/>
  <c r="AN16" i="31"/>
  <c r="AN19" i="31"/>
  <c r="AN32" i="31"/>
  <c r="AN17" i="31"/>
  <c r="AN15" i="31"/>
  <c r="AN23" i="31"/>
  <c r="AN27" i="31"/>
  <c r="AN21" i="31"/>
  <c r="AN13" i="31"/>
  <c r="AN8" i="31"/>
  <c r="AN28" i="31"/>
  <c r="AO28" i="28"/>
  <c r="AO30" i="28"/>
  <c r="AO33" i="28"/>
  <c r="AO31" i="28"/>
  <c r="AO32" i="28"/>
  <c r="AO34" i="28"/>
  <c r="AO37" i="28"/>
  <c r="AO38" i="28"/>
  <c r="AO29" i="28"/>
  <c r="AO40" i="28"/>
  <c r="AO36" i="28"/>
  <c r="AO39" i="28"/>
  <c r="AO35" i="28"/>
  <c r="AO28" i="27"/>
  <c r="AO32" i="27"/>
  <c r="AO30" i="27"/>
  <c r="AO29" i="27"/>
  <c r="AO31" i="27"/>
  <c r="AN25" i="30"/>
  <c r="AN21" i="30"/>
  <c r="AN14" i="30"/>
  <c r="AN9" i="30"/>
  <c r="AN32" i="30"/>
  <c r="AN24" i="30"/>
  <c r="AN20" i="30"/>
  <c r="AN22" i="30"/>
  <c r="AN13" i="30"/>
  <c r="AN10" i="30"/>
  <c r="AN27" i="30"/>
  <c r="AN19" i="30"/>
  <c r="AN11" i="30"/>
  <c r="AN12" i="30"/>
  <c r="AN17" i="30"/>
  <c r="AN28" i="30"/>
  <c r="AN30" i="30"/>
  <c r="AN26" i="30"/>
  <c r="AN18" i="30"/>
  <c r="AN29" i="30"/>
  <c r="AN31" i="30"/>
  <c r="AN23" i="30"/>
  <c r="AN8" i="30"/>
  <c r="AN15" i="30"/>
  <c r="AN16" i="30"/>
  <c r="AO28" i="24"/>
  <c r="AO30" i="24"/>
  <c r="AO31" i="24"/>
  <c r="AO29" i="24"/>
  <c r="AO32" i="24"/>
  <c r="AO28" i="25"/>
  <c r="AO31" i="25"/>
  <c r="AO29" i="25"/>
  <c r="AO32" i="25"/>
  <c r="AO30" i="25"/>
  <c r="AN27" i="29"/>
  <c r="AN24" i="29"/>
  <c r="AN28" i="29"/>
  <c r="AN13" i="29"/>
  <c r="AN9" i="29"/>
  <c r="AN23" i="29"/>
  <c r="AN26" i="29"/>
  <c r="AN22" i="29"/>
  <c r="AN16" i="29"/>
  <c r="AN12" i="29"/>
  <c r="AN8" i="29"/>
  <c r="AN21" i="29"/>
  <c r="AN20" i="29"/>
  <c r="AN15" i="29"/>
  <c r="AN11" i="29"/>
  <c r="AN19" i="29"/>
  <c r="AN14" i="29"/>
  <c r="AN18" i="29"/>
  <c r="AN32" i="29"/>
  <c r="AN29" i="29"/>
  <c r="AN10" i="29"/>
  <c r="AN17" i="29"/>
  <c r="AN31" i="29"/>
  <c r="AN25" i="29"/>
  <c r="AN30" i="29"/>
  <c r="AO28" i="22"/>
  <c r="AO30" i="22"/>
  <c r="AO31" i="22"/>
  <c r="AO32" i="22"/>
  <c r="AO29" i="22"/>
  <c r="AO24" i="28"/>
  <c r="AO15" i="28"/>
  <c r="AO22" i="28"/>
  <c r="AO9" i="28"/>
  <c r="AO10" i="28"/>
  <c r="AO19" i="28"/>
  <c r="AO20" i="28"/>
  <c r="AO23" i="28"/>
  <c r="AO11" i="28"/>
  <c r="AO12" i="28"/>
  <c r="AO16" i="28"/>
  <c r="AO18" i="28"/>
  <c r="AO13" i="28"/>
  <c r="AO21" i="28"/>
  <c r="AO25" i="28"/>
  <c r="AO17" i="28"/>
  <c r="AO27" i="28"/>
  <c r="AO14" i="28"/>
  <c r="AO26" i="28"/>
  <c r="AO8" i="28"/>
  <c r="AO13" i="24"/>
  <c r="AO14" i="24"/>
  <c r="AO9" i="24"/>
  <c r="AO11" i="24"/>
  <c r="AO12" i="24"/>
  <c r="AO16" i="24"/>
  <c r="AO18" i="24"/>
  <c r="AO22" i="24"/>
  <c r="AO10" i="24"/>
  <c r="AO20" i="24"/>
  <c r="AO21" i="24"/>
  <c r="AO17" i="24"/>
  <c r="AO19" i="24"/>
  <c r="AO23" i="24"/>
  <c r="AO15" i="24"/>
  <c r="AO24" i="24"/>
  <c r="AO25" i="24"/>
  <c r="AO26" i="24"/>
  <c r="AO27" i="24"/>
  <c r="AO8" i="24"/>
  <c r="AO18" i="22"/>
  <c r="AO9" i="22"/>
  <c r="AO13" i="22"/>
  <c r="AO24" i="22"/>
  <c r="AO25" i="22"/>
  <c r="AO11" i="22"/>
  <c r="AO23" i="22"/>
  <c r="AO17" i="22"/>
  <c r="AO16" i="22"/>
  <c r="AO22" i="22"/>
  <c r="AO12" i="22"/>
  <c r="AO20" i="22"/>
  <c r="AO15" i="22"/>
  <c r="AO26" i="22"/>
  <c r="AO27" i="22"/>
  <c r="AO21" i="22"/>
  <c r="AO14" i="22"/>
  <c r="AO19" i="22"/>
  <c r="AO10" i="22"/>
  <c r="AO10" i="27"/>
  <c r="AO13" i="27"/>
  <c r="AO11" i="27"/>
  <c r="AO9" i="27"/>
  <c r="AO12" i="27"/>
  <c r="AO14" i="27"/>
  <c r="AO17" i="27"/>
  <c r="AO20" i="27"/>
  <c r="AO21" i="27"/>
  <c r="AO18" i="27"/>
  <c r="AO19" i="27"/>
  <c r="AO23" i="27"/>
  <c r="AO15" i="27"/>
  <c r="AO22" i="27"/>
  <c r="AO16" i="27"/>
  <c r="AO24" i="27"/>
  <c r="AO25" i="27"/>
  <c r="AO27" i="27"/>
  <c r="AO26" i="27"/>
  <c r="AO10" i="25"/>
  <c r="AO14" i="25"/>
  <c r="AO19" i="25"/>
  <c r="AO20" i="25"/>
  <c r="AO26" i="25"/>
  <c r="AO27" i="25"/>
  <c r="AO9" i="25"/>
  <c r="AO13" i="25"/>
  <c r="AO11" i="25"/>
  <c r="AO12" i="25"/>
  <c r="AO16" i="25"/>
  <c r="AO17" i="25"/>
  <c r="AO23" i="25"/>
  <c r="AO15" i="25"/>
  <c r="AO18" i="25"/>
  <c r="AO22" i="25"/>
  <c r="AO24" i="25"/>
  <c r="AO25" i="25"/>
  <c r="AO21" i="25"/>
  <c r="AO24" i="26"/>
  <c r="AO25" i="26"/>
  <c r="AO26" i="26"/>
  <c r="AO27" i="26"/>
  <c r="AO9" i="26"/>
  <c r="AO10" i="26"/>
  <c r="AO18" i="26"/>
  <c r="AO15" i="26"/>
  <c r="AO16" i="26"/>
  <c r="AO17" i="26"/>
  <c r="AO21" i="26"/>
  <c r="AO12" i="26"/>
  <c r="AO13" i="26"/>
  <c r="AO20" i="26"/>
  <c r="AO11" i="26"/>
  <c r="AO22" i="26"/>
  <c r="AO14" i="26"/>
  <c r="AO19" i="26"/>
  <c r="AO23" i="26"/>
  <c r="AO8" i="26"/>
  <c r="N29" i="50" l="1"/>
  <c r="O29" i="50" s="1"/>
  <c r="N28" i="26"/>
  <c r="AP45" i="28"/>
  <c r="AP44" i="28"/>
  <c r="AP24" i="44"/>
  <c r="AP9" i="44"/>
  <c r="AP16" i="44"/>
  <c r="AP20" i="44"/>
  <c r="AP12" i="44"/>
  <c r="AP10" i="44"/>
  <c r="AP11" i="44"/>
  <c r="AP32" i="44"/>
  <c r="AP26" i="44"/>
  <c r="AP30" i="44"/>
  <c r="AP18" i="44"/>
  <c r="AP14" i="44"/>
  <c r="AP22" i="44"/>
  <c r="AP31" i="44"/>
  <c r="AP13" i="44"/>
  <c r="AP15" i="44"/>
  <c r="AP17" i="44"/>
  <c r="AP19" i="44"/>
  <c r="AP21" i="44"/>
  <c r="AP23" i="44"/>
  <c r="AP28" i="44"/>
  <c r="AP27" i="44"/>
  <c r="AP25" i="44"/>
  <c r="AP29" i="44"/>
  <c r="AP25" i="40"/>
  <c r="AP31" i="40"/>
  <c r="AP20" i="40"/>
  <c r="AP12" i="40"/>
  <c r="AP13" i="40"/>
  <c r="AP14" i="40"/>
  <c r="AP21" i="40"/>
  <c r="AP18" i="40"/>
  <c r="AP17" i="40"/>
  <c r="AP23" i="40"/>
  <c r="AP22" i="40"/>
  <c r="AP26" i="40"/>
  <c r="AP28" i="40"/>
  <c r="AP24" i="40"/>
  <c r="AP10" i="40"/>
  <c r="AP30" i="40"/>
  <c r="AP11" i="40"/>
  <c r="AP9" i="40"/>
  <c r="AP32" i="40"/>
  <c r="AP15" i="40"/>
  <c r="AP16" i="40"/>
  <c r="AP19" i="40"/>
  <c r="AP29" i="40"/>
  <c r="AP27" i="40"/>
  <c r="AO10" i="37"/>
  <c r="AO28" i="37"/>
  <c r="AO26" i="37"/>
  <c r="AO11" i="37"/>
  <c r="AO17" i="37"/>
  <c r="AO22" i="37"/>
  <c r="AO15" i="37"/>
  <c r="AO32" i="37"/>
  <c r="AO20" i="37"/>
  <c r="AO27" i="37"/>
  <c r="AO16" i="37"/>
  <c r="AO9" i="37"/>
  <c r="AO18" i="37"/>
  <c r="AO25" i="37"/>
  <c r="AO31" i="37"/>
  <c r="AO29" i="37"/>
  <c r="AO24" i="37"/>
  <c r="AO30" i="37"/>
  <c r="AO13" i="37"/>
  <c r="AO14" i="37"/>
  <c r="AO19" i="37"/>
  <c r="AO21" i="37"/>
  <c r="AO12" i="37"/>
  <c r="AO23" i="37"/>
  <c r="AP43" i="28"/>
  <c r="AP42" i="28"/>
  <c r="AP41" i="28"/>
  <c r="AP28" i="25"/>
  <c r="AP30" i="25"/>
  <c r="AP31" i="25"/>
  <c r="AP29" i="25"/>
  <c r="AP32" i="25"/>
  <c r="AP28" i="24"/>
  <c r="AP29" i="24"/>
  <c r="AP31" i="24"/>
  <c r="AP32" i="24"/>
  <c r="AP30" i="24"/>
  <c r="AP28" i="28"/>
  <c r="AP29" i="28"/>
  <c r="AP32" i="28"/>
  <c r="AP39" i="28"/>
  <c r="AP36" i="28"/>
  <c r="AP38" i="28"/>
  <c r="AP30" i="28"/>
  <c r="AP40" i="28"/>
  <c r="AP35" i="28"/>
  <c r="AP34" i="28"/>
  <c r="AP33" i="28"/>
  <c r="AP31" i="28"/>
  <c r="AP37" i="28"/>
  <c r="AO31" i="30"/>
  <c r="AO9" i="30"/>
  <c r="AO14" i="30"/>
  <c r="AO28" i="30"/>
  <c r="AO20" i="30"/>
  <c r="AO11" i="30"/>
  <c r="AO15" i="30"/>
  <c r="AO17" i="30"/>
  <c r="AO22" i="30"/>
  <c r="AO24" i="30"/>
  <c r="AO30" i="30"/>
  <c r="AO25" i="30"/>
  <c r="AO32" i="30"/>
  <c r="AO8" i="30"/>
  <c r="AO10" i="30"/>
  <c r="AO16" i="30"/>
  <c r="AO23" i="30"/>
  <c r="AO29" i="30"/>
  <c r="AO26" i="30"/>
  <c r="AO19" i="30"/>
  <c r="AO18" i="30"/>
  <c r="AO21" i="30"/>
  <c r="AO27" i="30"/>
  <c r="AO13" i="30"/>
  <c r="AO12" i="30"/>
  <c r="AP28" i="27"/>
  <c r="AP31" i="27"/>
  <c r="AP29" i="27"/>
  <c r="AP30" i="27"/>
  <c r="AP32" i="27"/>
  <c r="AP28" i="26"/>
  <c r="AP32" i="26"/>
  <c r="AP29" i="26"/>
  <c r="AP31" i="26"/>
  <c r="AP30" i="26"/>
  <c r="AO24" i="29"/>
  <c r="AO9" i="29"/>
  <c r="AO19" i="29"/>
  <c r="AO28" i="29"/>
  <c r="AO15" i="29"/>
  <c r="AO8" i="29"/>
  <c r="AO14" i="29"/>
  <c r="AO17" i="29"/>
  <c r="AO22" i="29"/>
  <c r="AO25" i="29"/>
  <c r="AO29" i="29"/>
  <c r="AO31" i="29"/>
  <c r="AO32" i="29"/>
  <c r="AO23" i="29"/>
  <c r="AO13" i="29"/>
  <c r="AO10" i="29"/>
  <c r="AO26" i="29"/>
  <c r="AO27" i="29"/>
  <c r="AO21" i="29"/>
  <c r="AO12" i="29"/>
  <c r="AO16" i="29"/>
  <c r="AO18" i="29"/>
  <c r="AO30" i="29"/>
  <c r="AO11" i="29"/>
  <c r="AO20" i="29"/>
  <c r="AO8" i="31"/>
  <c r="AO26" i="31"/>
  <c r="AO22" i="31"/>
  <c r="AO13" i="31"/>
  <c r="AO14" i="31"/>
  <c r="AO16" i="31"/>
  <c r="AO9" i="31"/>
  <c r="AO18" i="31"/>
  <c r="AO31" i="31"/>
  <c r="AO10" i="31"/>
  <c r="AO17" i="31"/>
  <c r="AO11" i="31"/>
  <c r="AO21" i="31"/>
  <c r="AO12" i="31"/>
  <c r="AO32" i="31"/>
  <c r="AO15" i="31"/>
  <c r="AO23" i="31"/>
  <c r="AO27" i="31"/>
  <c r="AO30" i="31"/>
  <c r="AO24" i="31"/>
  <c r="AO20" i="31"/>
  <c r="AO19" i="31"/>
  <c r="AO28" i="31"/>
  <c r="AO29" i="31"/>
  <c r="AO25" i="31"/>
  <c r="AP28" i="22"/>
  <c r="AP29" i="22"/>
  <c r="AP32" i="22"/>
  <c r="AP31" i="22"/>
  <c r="AP30" i="22"/>
  <c r="AP16" i="22"/>
  <c r="AP11" i="22"/>
  <c r="AP22" i="22"/>
  <c r="AP9" i="22"/>
  <c r="AP19" i="22"/>
  <c r="AP12" i="22"/>
  <c r="AP10" i="22"/>
  <c r="AP27" i="22"/>
  <c r="AP25" i="22"/>
  <c r="AP15" i="22"/>
  <c r="AP17" i="22"/>
  <c r="AP23" i="22"/>
  <c r="AP24" i="22"/>
  <c r="AP18" i="22"/>
  <c r="AP20" i="22"/>
  <c r="AP14" i="22"/>
  <c r="AP26" i="22"/>
  <c r="AP13" i="22"/>
  <c r="AP21" i="22"/>
  <c r="AP11" i="25"/>
  <c r="AP17" i="25"/>
  <c r="AP18" i="25"/>
  <c r="AP21" i="25"/>
  <c r="AP10" i="25"/>
  <c r="AP14" i="25"/>
  <c r="AP26" i="25"/>
  <c r="AP27" i="25"/>
  <c r="AP9" i="25"/>
  <c r="AP13" i="25"/>
  <c r="AP19" i="25"/>
  <c r="AP23" i="25"/>
  <c r="AP12" i="25"/>
  <c r="AP15" i="25"/>
  <c r="AP16" i="25"/>
  <c r="AP20" i="25"/>
  <c r="AP22" i="25"/>
  <c r="AP25" i="25"/>
  <c r="AP24" i="25"/>
  <c r="AP24" i="28"/>
  <c r="AP17" i="28"/>
  <c r="AP20" i="28"/>
  <c r="AP22" i="28"/>
  <c r="AP9" i="28"/>
  <c r="AP11" i="28"/>
  <c r="AP13" i="28"/>
  <c r="AP15" i="28"/>
  <c r="AP16" i="28"/>
  <c r="AP19" i="28"/>
  <c r="AP23" i="28"/>
  <c r="AP14" i="28"/>
  <c r="AP18" i="28"/>
  <c r="AP10" i="28"/>
  <c r="AP21" i="28"/>
  <c r="AP25" i="28"/>
  <c r="AP26" i="28"/>
  <c r="AP27" i="28"/>
  <c r="AP12" i="28"/>
  <c r="AP8" i="28"/>
  <c r="AP13" i="27"/>
  <c r="AP14" i="27"/>
  <c r="AP11" i="27"/>
  <c r="AP12" i="27"/>
  <c r="AP15" i="27"/>
  <c r="AP16" i="27"/>
  <c r="AP17" i="27"/>
  <c r="AP18" i="27"/>
  <c r="AP22" i="27"/>
  <c r="AP23" i="27"/>
  <c r="AP21" i="27"/>
  <c r="AP19" i="27"/>
  <c r="AP10" i="27"/>
  <c r="AP9" i="27"/>
  <c r="AP24" i="27"/>
  <c r="AP20" i="27"/>
  <c r="AP25" i="27"/>
  <c r="AP27" i="27"/>
  <c r="AP26" i="27"/>
  <c r="AP11" i="24"/>
  <c r="AP15" i="24"/>
  <c r="AP14" i="24"/>
  <c r="AP16" i="24"/>
  <c r="AP9" i="24"/>
  <c r="AP10" i="24"/>
  <c r="AP13" i="24"/>
  <c r="AP19" i="24"/>
  <c r="AP23" i="24"/>
  <c r="AP18" i="24"/>
  <c r="AP22" i="24"/>
  <c r="AP12" i="24"/>
  <c r="AP17" i="24"/>
  <c r="AP21" i="24"/>
  <c r="AP20" i="24"/>
  <c r="AP24" i="24"/>
  <c r="AP25" i="24"/>
  <c r="AP27" i="24"/>
  <c r="AP26" i="24"/>
  <c r="AP8" i="24"/>
  <c r="AP24" i="26"/>
  <c r="AP25" i="26"/>
  <c r="AP26" i="26"/>
  <c r="AP27" i="26"/>
  <c r="AP12" i="26"/>
  <c r="AP14" i="26"/>
  <c r="AP9" i="26"/>
  <c r="AP13" i="26"/>
  <c r="AP21" i="26"/>
  <c r="AP10" i="26"/>
  <c r="AP11" i="26"/>
  <c r="AP15" i="26"/>
  <c r="AP23" i="26"/>
  <c r="AP16" i="26"/>
  <c r="AP17" i="26"/>
  <c r="AP18" i="26"/>
  <c r="AP20" i="26"/>
  <c r="AP22" i="26"/>
  <c r="AP19" i="26"/>
  <c r="AP8" i="26"/>
  <c r="N30" i="50" l="1"/>
  <c r="O30" i="50" s="1"/>
  <c r="N29" i="26"/>
  <c r="AQ44" i="28"/>
  <c r="AQ45" i="28"/>
  <c r="AQ21" i="44"/>
  <c r="AQ10" i="44"/>
  <c r="AQ13" i="44"/>
  <c r="AQ11" i="44"/>
  <c r="AQ17" i="44"/>
  <c r="AQ19" i="44"/>
  <c r="AQ9" i="44"/>
  <c r="AQ32" i="44"/>
  <c r="AQ29" i="44"/>
  <c r="AQ15" i="44"/>
  <c r="AQ14" i="44"/>
  <c r="AQ20" i="44"/>
  <c r="AQ25" i="44"/>
  <c r="AQ23" i="44"/>
  <c r="AQ12" i="44"/>
  <c r="AQ31" i="44"/>
  <c r="AQ27" i="44"/>
  <c r="AQ16" i="44"/>
  <c r="AQ18" i="44"/>
  <c r="AQ22" i="44"/>
  <c r="AQ30" i="44"/>
  <c r="AQ28" i="44"/>
  <c r="AQ26" i="44"/>
  <c r="AQ24" i="44"/>
  <c r="AQ10" i="40"/>
  <c r="AQ20" i="40"/>
  <c r="AQ15" i="40"/>
  <c r="AQ12" i="40"/>
  <c r="AQ19" i="40"/>
  <c r="AQ13" i="40"/>
  <c r="AQ21" i="40"/>
  <c r="AQ25" i="40"/>
  <c r="AQ9" i="40"/>
  <c r="AQ14" i="40"/>
  <c r="AQ24" i="40"/>
  <c r="AQ16" i="40"/>
  <c r="AQ22" i="40"/>
  <c r="AQ30" i="40"/>
  <c r="AQ31" i="40"/>
  <c r="AQ17" i="40"/>
  <c r="AQ23" i="40"/>
  <c r="AQ27" i="40"/>
  <c r="AQ18" i="40"/>
  <c r="AQ26" i="40"/>
  <c r="AQ28" i="40"/>
  <c r="AQ32" i="40"/>
  <c r="AQ11" i="40"/>
  <c r="AQ29" i="40"/>
  <c r="AP31" i="37"/>
  <c r="AP13" i="37"/>
  <c r="AP25" i="37"/>
  <c r="AP18" i="37"/>
  <c r="AP17" i="37"/>
  <c r="AP9" i="37"/>
  <c r="AP10" i="37"/>
  <c r="AP14" i="37"/>
  <c r="AP15" i="37"/>
  <c r="AP27" i="37"/>
  <c r="AP24" i="37"/>
  <c r="AP29" i="37"/>
  <c r="AP12" i="37"/>
  <c r="AP21" i="37"/>
  <c r="AP26" i="37"/>
  <c r="AP23" i="37"/>
  <c r="AP20" i="37"/>
  <c r="AP22" i="37"/>
  <c r="AP32" i="37"/>
  <c r="AP30" i="37"/>
  <c r="AP11" i="37"/>
  <c r="AP19" i="37"/>
  <c r="AP16" i="37"/>
  <c r="AP28" i="37"/>
  <c r="AQ43" i="28"/>
  <c r="AQ42" i="28"/>
  <c r="AQ41" i="28"/>
  <c r="AQ28" i="25"/>
  <c r="AQ30" i="25"/>
  <c r="AQ32" i="25"/>
  <c r="AQ29" i="25"/>
  <c r="AQ31" i="25"/>
  <c r="AQ28" i="24"/>
  <c r="AQ32" i="24"/>
  <c r="AQ29" i="24"/>
  <c r="AQ31" i="24"/>
  <c r="AQ30" i="24"/>
  <c r="AQ28" i="26"/>
  <c r="AQ29" i="26"/>
  <c r="AQ30" i="26"/>
  <c r="AQ31" i="26"/>
  <c r="AQ32" i="26"/>
  <c r="AP17" i="30"/>
  <c r="AP10" i="30"/>
  <c r="AP8" i="30"/>
  <c r="AP27" i="30"/>
  <c r="AP23" i="30"/>
  <c r="AP19" i="30"/>
  <c r="AP12" i="30"/>
  <c r="AP26" i="30"/>
  <c r="AP22" i="30"/>
  <c r="AP18" i="30"/>
  <c r="AP14" i="30"/>
  <c r="AP13" i="30"/>
  <c r="AP32" i="30"/>
  <c r="AP25" i="30"/>
  <c r="AP21" i="30"/>
  <c r="AP9" i="30"/>
  <c r="AP11" i="30"/>
  <c r="AP31" i="30"/>
  <c r="AP20" i="30"/>
  <c r="AP16" i="30"/>
  <c r="AP15" i="30"/>
  <c r="AP28" i="30"/>
  <c r="AP29" i="30"/>
  <c r="AP30" i="30"/>
  <c r="AP24" i="30"/>
  <c r="AQ28" i="27"/>
  <c r="AQ32" i="27"/>
  <c r="AQ31" i="27"/>
  <c r="AQ30" i="27"/>
  <c r="AQ29" i="27"/>
  <c r="AQ28" i="28"/>
  <c r="AQ36" i="28"/>
  <c r="AQ40" i="28"/>
  <c r="AQ30" i="28"/>
  <c r="AQ31" i="28"/>
  <c r="AQ35" i="28"/>
  <c r="AQ32" i="28"/>
  <c r="AQ38" i="28"/>
  <c r="AQ29" i="28"/>
  <c r="AQ37" i="28"/>
  <c r="AQ33" i="28"/>
  <c r="AQ39" i="28"/>
  <c r="AQ34" i="28"/>
  <c r="AP29" i="29"/>
  <c r="AP14" i="29"/>
  <c r="AP10" i="29"/>
  <c r="AP23" i="29"/>
  <c r="AP24" i="29"/>
  <c r="AP30" i="29"/>
  <c r="AP31" i="29"/>
  <c r="AP13" i="29"/>
  <c r="AP17" i="29"/>
  <c r="AP21" i="29"/>
  <c r="AP20" i="29"/>
  <c r="AP27" i="29"/>
  <c r="AP16" i="29"/>
  <c r="AP12" i="29"/>
  <c r="AP8" i="29"/>
  <c r="AP15" i="29"/>
  <c r="AP9" i="29"/>
  <c r="AP22" i="29"/>
  <c r="AP26" i="29"/>
  <c r="AP11" i="29"/>
  <c r="AP32" i="29"/>
  <c r="AP19" i="29"/>
  <c r="AP28" i="29"/>
  <c r="AP18" i="29"/>
  <c r="AP25" i="29"/>
  <c r="AP15" i="31"/>
  <c r="AP11" i="31"/>
  <c r="AP29" i="31"/>
  <c r="AP21" i="31"/>
  <c r="AP27" i="31"/>
  <c r="AP8" i="31"/>
  <c r="AP20" i="31"/>
  <c r="AP23" i="31"/>
  <c r="AP22" i="31"/>
  <c r="AP13" i="31"/>
  <c r="AP12" i="31"/>
  <c r="AP9" i="31"/>
  <c r="AP17" i="31"/>
  <c r="AP16" i="31"/>
  <c r="AP14" i="31"/>
  <c r="AP26" i="31"/>
  <c r="AP28" i="31"/>
  <c r="AP25" i="31"/>
  <c r="AP24" i="31"/>
  <c r="AP30" i="31"/>
  <c r="AP18" i="31"/>
  <c r="AP19" i="31"/>
  <c r="AP32" i="31"/>
  <c r="AP10" i="31"/>
  <c r="AP31" i="31"/>
  <c r="AQ28" i="22"/>
  <c r="AQ31" i="22"/>
  <c r="AQ30" i="22"/>
  <c r="AQ32" i="22"/>
  <c r="AQ29" i="22"/>
  <c r="AQ11" i="22"/>
  <c r="AQ23" i="22"/>
  <c r="AQ9" i="22"/>
  <c r="AQ13" i="22"/>
  <c r="AQ12" i="22"/>
  <c r="AQ19" i="22"/>
  <c r="AQ10" i="22"/>
  <c r="AQ17" i="22"/>
  <c r="AQ18" i="22"/>
  <c r="AQ26" i="22"/>
  <c r="AQ27" i="22"/>
  <c r="AQ16" i="22"/>
  <c r="AQ24" i="22"/>
  <c r="AQ15" i="22"/>
  <c r="AQ20" i="22"/>
  <c r="AQ25" i="22"/>
  <c r="AQ14" i="22"/>
  <c r="AQ22" i="22"/>
  <c r="AQ21" i="22"/>
  <c r="AQ11" i="27"/>
  <c r="AQ12" i="27"/>
  <c r="AQ10" i="27"/>
  <c r="AQ13" i="27"/>
  <c r="AQ16" i="27"/>
  <c r="AQ9" i="27"/>
  <c r="AQ19" i="27"/>
  <c r="AQ22" i="27"/>
  <c r="AQ23" i="27"/>
  <c r="AQ15" i="27"/>
  <c r="AQ20" i="27"/>
  <c r="AQ21" i="27"/>
  <c r="AQ17" i="27"/>
  <c r="AQ18" i="27"/>
  <c r="AQ24" i="27"/>
  <c r="AQ25" i="27"/>
  <c r="AQ14" i="27"/>
  <c r="AQ26" i="27"/>
  <c r="AQ27" i="27"/>
  <c r="AQ24" i="26"/>
  <c r="AQ25" i="26"/>
  <c r="AQ27" i="26"/>
  <c r="AQ26" i="26"/>
  <c r="AQ9" i="26"/>
  <c r="AQ12" i="26"/>
  <c r="AQ11" i="26"/>
  <c r="AQ13" i="26"/>
  <c r="AQ14" i="26"/>
  <c r="AQ15" i="26"/>
  <c r="AQ17" i="26"/>
  <c r="AQ19" i="26"/>
  <c r="AQ21" i="26"/>
  <c r="AQ22" i="26"/>
  <c r="AQ23" i="26"/>
  <c r="AQ20" i="26"/>
  <c r="AQ10" i="26"/>
  <c r="AQ16" i="26"/>
  <c r="AQ18" i="26"/>
  <c r="AQ8" i="26"/>
  <c r="AQ12" i="24"/>
  <c r="AQ16" i="24"/>
  <c r="AQ9" i="24"/>
  <c r="AQ10" i="24"/>
  <c r="AQ11" i="24"/>
  <c r="AQ14" i="24"/>
  <c r="AQ20" i="24"/>
  <c r="AQ13" i="24"/>
  <c r="AQ18" i="24"/>
  <c r="AQ22" i="24"/>
  <c r="AQ23" i="24"/>
  <c r="AQ15" i="24"/>
  <c r="AQ17" i="24"/>
  <c r="AQ21" i="24"/>
  <c r="AQ25" i="24"/>
  <c r="AQ24" i="24"/>
  <c r="AQ19" i="24"/>
  <c r="AQ26" i="24"/>
  <c r="AQ27" i="24"/>
  <c r="AQ8" i="24"/>
  <c r="AQ24" i="28"/>
  <c r="AQ12" i="28"/>
  <c r="AQ13" i="28"/>
  <c r="AQ17" i="28"/>
  <c r="AQ18" i="28"/>
  <c r="AQ19" i="28"/>
  <c r="AQ23" i="28"/>
  <c r="AQ15" i="28"/>
  <c r="AQ16" i="28"/>
  <c r="AQ20" i="28"/>
  <c r="AQ11" i="28"/>
  <c r="AQ22" i="28"/>
  <c r="AQ25" i="28"/>
  <c r="AQ10" i="28"/>
  <c r="AQ14" i="28"/>
  <c r="AQ21" i="28"/>
  <c r="AQ27" i="28"/>
  <c r="AQ9" i="28"/>
  <c r="AQ26" i="28"/>
  <c r="AQ8" i="28"/>
  <c r="AQ26" i="25"/>
  <c r="AQ12" i="25"/>
  <c r="AQ18" i="25"/>
  <c r="AQ22" i="25"/>
  <c r="AQ11" i="25"/>
  <c r="AQ15" i="25"/>
  <c r="AQ16" i="25"/>
  <c r="AQ20" i="25"/>
  <c r="AQ14" i="25"/>
  <c r="AQ24" i="25"/>
  <c r="AQ9" i="25"/>
  <c r="AQ19" i="25"/>
  <c r="AQ27" i="25"/>
  <c r="AQ13" i="25"/>
  <c r="AQ17" i="25"/>
  <c r="AQ10" i="25"/>
  <c r="AQ21" i="25"/>
  <c r="AQ23" i="25"/>
  <c r="AQ25" i="25"/>
  <c r="N31" i="50" l="1"/>
  <c r="O31" i="50" s="1"/>
  <c r="N30" i="26"/>
  <c r="AR45" i="28"/>
  <c r="AR44" i="28"/>
  <c r="AR25" i="44"/>
  <c r="AR21" i="44"/>
  <c r="AR9" i="44"/>
  <c r="AR32" i="44"/>
  <c r="AR16" i="44"/>
  <c r="AR10" i="44"/>
  <c r="AR23" i="44"/>
  <c r="AR17" i="44"/>
  <c r="AR14" i="44"/>
  <c r="AR22" i="44"/>
  <c r="AR31" i="44"/>
  <c r="AR13" i="44"/>
  <c r="AR20" i="44"/>
  <c r="AR11" i="44"/>
  <c r="AR29" i="44"/>
  <c r="AR19" i="44"/>
  <c r="AR15" i="44"/>
  <c r="AR12" i="44"/>
  <c r="AR26" i="44"/>
  <c r="AR30" i="44"/>
  <c r="AR28" i="44"/>
  <c r="AR24" i="44"/>
  <c r="AR27" i="44"/>
  <c r="AR18" i="44"/>
  <c r="AR25" i="40"/>
  <c r="AR12" i="40"/>
  <c r="AR10" i="40"/>
  <c r="AR9" i="40"/>
  <c r="AR11" i="40"/>
  <c r="AR22" i="40"/>
  <c r="AR24" i="40"/>
  <c r="AR30" i="40"/>
  <c r="AR31" i="40"/>
  <c r="AR28" i="40"/>
  <c r="AR18" i="40"/>
  <c r="AR14" i="40"/>
  <c r="AR15" i="40"/>
  <c r="AR32" i="40"/>
  <c r="AR29" i="40"/>
  <c r="AR21" i="40"/>
  <c r="AR17" i="40"/>
  <c r="AR23" i="40"/>
  <c r="AR27" i="40"/>
  <c r="AR16" i="40"/>
  <c r="AR13" i="40"/>
  <c r="AR20" i="40"/>
  <c r="AR19" i="40"/>
  <c r="AR26" i="40"/>
  <c r="AQ24" i="37"/>
  <c r="AQ30" i="37"/>
  <c r="AQ16" i="37"/>
  <c r="AQ12" i="37"/>
  <c r="AQ14" i="37"/>
  <c r="AQ18" i="37"/>
  <c r="AQ10" i="37"/>
  <c r="AQ17" i="37"/>
  <c r="AQ9" i="37"/>
  <c r="AQ25" i="37"/>
  <c r="AQ31" i="37"/>
  <c r="AQ28" i="37"/>
  <c r="AQ23" i="37"/>
  <c r="AQ21" i="37"/>
  <c r="AQ13" i="37"/>
  <c r="AQ22" i="37"/>
  <c r="AQ26" i="37"/>
  <c r="AQ27" i="37"/>
  <c r="AQ11" i="37"/>
  <c r="AQ15" i="37"/>
  <c r="AQ20" i="37"/>
  <c r="AQ19" i="37"/>
  <c r="AQ32" i="37"/>
  <c r="AQ29" i="37"/>
  <c r="AR43" i="28"/>
  <c r="AR42" i="28"/>
  <c r="AR41" i="28"/>
  <c r="AR28" i="27"/>
  <c r="AR31" i="27"/>
  <c r="AR32" i="27"/>
  <c r="AR29" i="27"/>
  <c r="AR30" i="27"/>
  <c r="AQ11" i="30"/>
  <c r="AQ15" i="30"/>
  <c r="AQ17" i="30"/>
  <c r="AQ14" i="30"/>
  <c r="AQ9" i="30"/>
  <c r="AQ32" i="30"/>
  <c r="AQ28" i="30"/>
  <c r="AQ22" i="30"/>
  <c r="AQ10" i="30"/>
  <c r="AQ12" i="30"/>
  <c r="AQ16" i="30"/>
  <c r="AQ13" i="30"/>
  <c r="AQ27" i="30"/>
  <c r="AQ19" i="30"/>
  <c r="AQ20" i="30"/>
  <c r="AQ8" i="30"/>
  <c r="AQ25" i="30"/>
  <c r="AQ24" i="30"/>
  <c r="AQ21" i="30"/>
  <c r="AQ26" i="30"/>
  <c r="AQ31" i="30"/>
  <c r="AQ23" i="30"/>
  <c r="AQ30" i="30"/>
  <c r="AQ18" i="30"/>
  <c r="AQ29" i="30"/>
  <c r="AR28" i="26"/>
  <c r="AR30" i="26"/>
  <c r="AR32" i="26"/>
  <c r="AR29" i="26"/>
  <c r="AR31" i="26"/>
  <c r="AQ25" i="29"/>
  <c r="AQ29" i="29"/>
  <c r="AQ10" i="29"/>
  <c r="AQ22" i="29"/>
  <c r="AQ23" i="29"/>
  <c r="AQ13" i="29"/>
  <c r="AQ16" i="29"/>
  <c r="AQ18" i="29"/>
  <c r="AQ32" i="29"/>
  <c r="AQ11" i="29"/>
  <c r="AQ24" i="29"/>
  <c r="AQ30" i="29"/>
  <c r="AQ26" i="29"/>
  <c r="AQ14" i="29"/>
  <c r="AQ8" i="29"/>
  <c r="AQ21" i="29"/>
  <c r="AQ28" i="29"/>
  <c r="AQ27" i="29"/>
  <c r="AQ19" i="29"/>
  <c r="AQ15" i="29"/>
  <c r="AQ9" i="29"/>
  <c r="AQ31" i="29"/>
  <c r="AQ12" i="29"/>
  <c r="AQ17" i="29"/>
  <c r="AQ20" i="29"/>
  <c r="AR28" i="25"/>
  <c r="AR32" i="25"/>
  <c r="AR29" i="25"/>
  <c r="AR30" i="25"/>
  <c r="AR31" i="25"/>
  <c r="AR28" i="28"/>
  <c r="AR35" i="28"/>
  <c r="AR30" i="28"/>
  <c r="AR40" i="28"/>
  <c r="AR36" i="28"/>
  <c r="AR39" i="28"/>
  <c r="AR29" i="28"/>
  <c r="AR37" i="28"/>
  <c r="AR33" i="28"/>
  <c r="AR31" i="28"/>
  <c r="AR32" i="28"/>
  <c r="AR34" i="28"/>
  <c r="AR38" i="28"/>
  <c r="AR28" i="24"/>
  <c r="AR31" i="24"/>
  <c r="AR30" i="24"/>
  <c r="AR29" i="24"/>
  <c r="AR32" i="24"/>
  <c r="AQ19" i="31"/>
  <c r="AQ27" i="31"/>
  <c r="AQ21" i="31"/>
  <c r="AQ15" i="31"/>
  <c r="AQ11" i="31"/>
  <c r="AQ23" i="31"/>
  <c r="AQ22" i="31"/>
  <c r="AQ24" i="31"/>
  <c r="AQ29" i="31"/>
  <c r="AQ20" i="31"/>
  <c r="AQ25" i="31"/>
  <c r="AQ31" i="31"/>
  <c r="AQ9" i="31"/>
  <c r="AQ18" i="31"/>
  <c r="AQ12" i="31"/>
  <c r="AQ13" i="31"/>
  <c r="AQ28" i="31"/>
  <c r="AQ26" i="31"/>
  <c r="AQ32" i="31"/>
  <c r="AQ10" i="31"/>
  <c r="AQ17" i="31"/>
  <c r="AQ30" i="31"/>
  <c r="AQ8" i="31"/>
  <c r="AQ16" i="31"/>
  <c r="AQ14" i="31"/>
  <c r="AR28" i="22"/>
  <c r="AR30" i="22"/>
  <c r="AR32" i="22"/>
  <c r="AR29" i="22"/>
  <c r="AR31" i="22"/>
  <c r="AR16" i="25"/>
  <c r="AR21" i="25"/>
  <c r="AR27" i="25"/>
  <c r="AR10" i="25"/>
  <c r="AR14" i="25"/>
  <c r="AR15" i="25"/>
  <c r="AR26" i="25"/>
  <c r="AR9" i="25"/>
  <c r="AR12" i="25"/>
  <c r="AR13" i="25"/>
  <c r="AR18" i="25"/>
  <c r="AR22" i="25"/>
  <c r="AR11" i="25"/>
  <c r="AR19" i="25"/>
  <c r="AR17" i="25"/>
  <c r="AR20" i="25"/>
  <c r="AR23" i="25"/>
  <c r="AR24" i="25"/>
  <c r="AR25" i="25"/>
  <c r="AR18" i="22"/>
  <c r="AR27" i="22"/>
  <c r="AR16" i="22"/>
  <c r="AR22" i="22"/>
  <c r="AR12" i="22"/>
  <c r="AR9" i="22"/>
  <c r="AR19" i="22"/>
  <c r="AR20" i="22"/>
  <c r="AR10" i="22"/>
  <c r="AR23" i="22"/>
  <c r="AR15" i="22"/>
  <c r="AR14" i="22"/>
  <c r="AR25" i="22"/>
  <c r="AR11" i="22"/>
  <c r="AR21" i="22"/>
  <c r="AR24" i="22"/>
  <c r="AR26" i="22"/>
  <c r="AR17" i="22"/>
  <c r="AR13" i="22"/>
  <c r="AR24" i="28"/>
  <c r="AR19" i="28"/>
  <c r="AR20" i="28"/>
  <c r="AR22" i="28"/>
  <c r="AR9" i="28"/>
  <c r="AR13" i="28"/>
  <c r="AR17" i="28"/>
  <c r="AR10" i="28"/>
  <c r="AR12" i="28"/>
  <c r="AR15" i="28"/>
  <c r="AR21" i="28"/>
  <c r="AR14" i="28"/>
  <c r="AR16" i="28"/>
  <c r="AR25" i="28"/>
  <c r="AR23" i="28"/>
  <c r="AR11" i="28"/>
  <c r="AR18" i="28"/>
  <c r="AR26" i="28"/>
  <c r="AR27" i="28"/>
  <c r="AR8" i="28"/>
  <c r="AR25" i="26"/>
  <c r="AR24" i="26"/>
  <c r="AR26" i="26"/>
  <c r="AR27" i="26"/>
  <c r="AR13" i="26"/>
  <c r="AR10" i="26"/>
  <c r="AR11" i="26"/>
  <c r="AR16" i="26"/>
  <c r="AR17" i="26"/>
  <c r="AR20" i="26"/>
  <c r="AR22" i="26"/>
  <c r="AR23" i="26"/>
  <c r="AR9" i="26"/>
  <c r="AR12" i="26"/>
  <c r="AR19" i="26"/>
  <c r="AR21" i="26"/>
  <c r="AR14" i="26"/>
  <c r="AR15" i="26"/>
  <c r="AR18" i="26"/>
  <c r="AR8" i="26"/>
  <c r="AR10" i="24"/>
  <c r="AR15" i="24"/>
  <c r="AR11" i="24"/>
  <c r="AR13" i="24"/>
  <c r="AR17" i="24"/>
  <c r="AR9" i="24"/>
  <c r="AR12" i="24"/>
  <c r="AR18" i="24"/>
  <c r="AR19" i="24"/>
  <c r="AR23" i="24"/>
  <c r="AR14" i="24"/>
  <c r="AR21" i="24"/>
  <c r="AR22" i="24"/>
  <c r="AR16" i="24"/>
  <c r="AR20" i="24"/>
  <c r="AR25" i="24"/>
  <c r="AR27" i="24"/>
  <c r="AR26" i="24"/>
  <c r="AR24" i="24"/>
  <c r="AR8" i="24"/>
  <c r="AR9" i="27"/>
  <c r="AR10" i="27"/>
  <c r="AR12" i="27"/>
  <c r="AR13" i="27"/>
  <c r="AR15" i="27"/>
  <c r="AR17" i="27"/>
  <c r="AR16" i="27"/>
  <c r="AR18" i="27"/>
  <c r="AR19" i="27"/>
  <c r="AR21" i="27"/>
  <c r="AR11" i="27"/>
  <c r="AR20" i="27"/>
  <c r="AR14" i="27"/>
  <c r="AR22" i="27"/>
  <c r="AR23" i="27"/>
  <c r="AR25" i="27"/>
  <c r="AR24" i="27"/>
  <c r="AR27" i="27"/>
  <c r="AR26" i="27"/>
  <c r="N32" i="50" l="1"/>
  <c r="O32" i="50" s="1"/>
  <c r="N33" i="50" s="1"/>
  <c r="N31" i="26"/>
  <c r="AS45" i="28"/>
  <c r="AS44" i="28"/>
  <c r="AS12" i="44"/>
  <c r="AS26" i="44"/>
  <c r="AS17" i="44"/>
  <c r="AS18" i="44"/>
  <c r="AS28" i="44"/>
  <c r="AS23" i="44"/>
  <c r="AS16" i="44"/>
  <c r="AS22" i="44"/>
  <c r="AS14" i="44"/>
  <c r="AS21" i="44"/>
  <c r="AS24" i="44"/>
  <c r="AS9" i="44"/>
  <c r="AS15" i="44"/>
  <c r="AS11" i="44"/>
  <c r="AS31" i="44"/>
  <c r="AS20" i="44"/>
  <c r="AS13" i="44"/>
  <c r="AS19" i="44"/>
  <c r="AS10" i="44"/>
  <c r="AS29" i="44"/>
  <c r="AS32" i="44"/>
  <c r="AS25" i="44"/>
  <c r="AS27" i="44"/>
  <c r="AS30" i="44"/>
  <c r="AS25" i="40"/>
  <c r="AS15" i="40"/>
  <c r="AS19" i="40"/>
  <c r="AS18" i="40"/>
  <c r="AS14" i="40"/>
  <c r="AS29" i="40"/>
  <c r="AS20" i="40"/>
  <c r="AS10" i="40"/>
  <c r="AS11" i="40"/>
  <c r="AS17" i="40"/>
  <c r="AS22" i="40"/>
  <c r="AS26" i="40"/>
  <c r="AS28" i="40"/>
  <c r="AS16" i="40"/>
  <c r="AS12" i="40"/>
  <c r="AS9" i="40"/>
  <c r="AS23" i="40"/>
  <c r="AS27" i="40"/>
  <c r="AS30" i="40"/>
  <c r="AS31" i="40"/>
  <c r="AS32" i="40"/>
  <c r="AS24" i="40"/>
  <c r="AS21" i="40"/>
  <c r="AS13" i="40"/>
  <c r="AR29" i="37"/>
  <c r="AR23" i="37"/>
  <c r="AR16" i="37"/>
  <c r="AR20" i="37"/>
  <c r="AR14" i="37"/>
  <c r="AR17" i="37"/>
  <c r="AR18" i="37"/>
  <c r="AR26" i="37"/>
  <c r="AR22" i="37"/>
  <c r="AR19" i="37"/>
  <c r="AR9" i="37"/>
  <c r="AR13" i="37"/>
  <c r="AR11" i="37"/>
  <c r="AR27" i="37"/>
  <c r="AR12" i="37"/>
  <c r="AR10" i="37"/>
  <c r="AR25" i="37"/>
  <c r="AR24" i="37"/>
  <c r="AR31" i="37"/>
  <c r="AR28" i="37"/>
  <c r="AR21" i="37"/>
  <c r="AR30" i="37"/>
  <c r="AR15" i="37"/>
  <c r="AR32" i="37"/>
  <c r="AS43" i="28"/>
  <c r="AS42" i="28"/>
  <c r="AS41" i="28"/>
  <c r="AS28" i="25"/>
  <c r="AS31" i="25"/>
  <c r="AS30" i="25"/>
  <c r="AS29" i="25"/>
  <c r="AS32" i="25"/>
  <c r="AS28" i="27"/>
  <c r="AS32" i="27"/>
  <c r="AS31" i="27"/>
  <c r="AS29" i="27"/>
  <c r="AS30" i="27"/>
  <c r="AS28" i="26"/>
  <c r="AS32" i="26"/>
  <c r="AS31" i="26"/>
  <c r="AS30" i="26"/>
  <c r="AS29" i="26"/>
  <c r="AR31" i="29"/>
  <c r="AR18" i="29"/>
  <c r="AR14" i="29"/>
  <c r="AR10" i="29"/>
  <c r="AR21" i="29"/>
  <c r="AR23" i="29"/>
  <c r="AR24" i="29"/>
  <c r="AR25" i="29"/>
  <c r="AR27" i="29"/>
  <c r="AR13" i="29"/>
  <c r="AR9" i="29"/>
  <c r="AR19" i="29"/>
  <c r="AR28" i="29"/>
  <c r="AR17" i="29"/>
  <c r="AR29" i="29"/>
  <c r="AR22" i="29"/>
  <c r="AR16" i="29"/>
  <c r="AR12" i="29"/>
  <c r="AR8" i="29"/>
  <c r="AR32" i="29"/>
  <c r="AR20" i="29"/>
  <c r="AR30" i="29"/>
  <c r="AR26" i="29"/>
  <c r="AR15" i="29"/>
  <c r="AR11" i="29"/>
  <c r="AS28" i="28"/>
  <c r="AS32" i="28"/>
  <c r="AS34" i="28"/>
  <c r="AS37" i="28"/>
  <c r="AS38" i="28"/>
  <c r="AS31" i="28"/>
  <c r="AS29" i="28"/>
  <c r="AS33" i="28"/>
  <c r="AS36" i="28"/>
  <c r="AS39" i="28"/>
  <c r="AS35" i="28"/>
  <c r="AS40" i="28"/>
  <c r="AS30" i="28"/>
  <c r="AR24" i="30"/>
  <c r="AR21" i="30"/>
  <c r="AR22" i="30"/>
  <c r="AR32" i="30"/>
  <c r="AR20" i="30"/>
  <c r="AR27" i="30"/>
  <c r="AR18" i="30"/>
  <c r="AR11" i="30"/>
  <c r="AR12" i="30"/>
  <c r="AR31" i="30"/>
  <c r="AR26" i="30"/>
  <c r="AR8" i="30"/>
  <c r="AR16" i="30"/>
  <c r="AR14" i="30"/>
  <c r="AR23" i="30"/>
  <c r="AR10" i="30"/>
  <c r="AR29" i="30"/>
  <c r="AR25" i="30"/>
  <c r="AR15" i="30"/>
  <c r="AR17" i="30"/>
  <c r="AR28" i="30"/>
  <c r="AR9" i="30"/>
  <c r="AR13" i="30"/>
  <c r="AR30" i="30"/>
  <c r="AR19" i="30"/>
  <c r="AS28" i="24"/>
  <c r="AS32" i="24"/>
  <c r="AS29" i="24"/>
  <c r="AS31" i="24"/>
  <c r="AS30" i="24"/>
  <c r="AR27" i="31"/>
  <c r="AR23" i="31"/>
  <c r="AR14" i="31"/>
  <c r="AR10" i="31"/>
  <c r="AR16" i="31"/>
  <c r="AR24" i="31"/>
  <c r="AR12" i="31"/>
  <c r="AR9" i="31"/>
  <c r="AR11" i="31"/>
  <c r="AR21" i="31"/>
  <c r="AR26" i="31"/>
  <c r="AR30" i="31"/>
  <c r="AR32" i="31"/>
  <c r="AR17" i="31"/>
  <c r="AR15" i="31"/>
  <c r="AR18" i="31"/>
  <c r="AR20" i="31"/>
  <c r="AR22" i="31"/>
  <c r="AR8" i="31"/>
  <c r="AR13" i="31"/>
  <c r="AR28" i="31"/>
  <c r="AR19" i="31"/>
  <c r="AR25" i="31"/>
  <c r="AR29" i="31"/>
  <c r="AR31" i="31"/>
  <c r="AS28" i="22"/>
  <c r="AS32" i="22"/>
  <c r="AS30" i="22"/>
  <c r="AS29" i="22"/>
  <c r="AS31" i="22"/>
  <c r="AS9" i="22"/>
  <c r="AS21" i="22"/>
  <c r="AS22" i="22"/>
  <c r="AS26" i="22"/>
  <c r="AS14" i="22"/>
  <c r="AS11" i="22"/>
  <c r="AS23" i="22"/>
  <c r="AS20" i="22"/>
  <c r="AS15" i="22"/>
  <c r="AS17" i="22"/>
  <c r="AS19" i="22"/>
  <c r="AS16" i="22"/>
  <c r="AS25" i="22"/>
  <c r="AS24" i="22"/>
  <c r="AS27" i="22"/>
  <c r="AS18" i="22"/>
  <c r="AS12" i="22"/>
  <c r="AS13" i="22"/>
  <c r="AS10" i="22"/>
  <c r="AS9" i="24"/>
  <c r="AS11" i="24"/>
  <c r="AS12" i="24"/>
  <c r="AS16" i="24"/>
  <c r="AS13" i="24"/>
  <c r="AS10" i="24"/>
  <c r="AS20" i="24"/>
  <c r="AS21" i="24"/>
  <c r="AS15" i="24"/>
  <c r="AS17" i="24"/>
  <c r="AS19" i="24"/>
  <c r="AS23" i="24"/>
  <c r="AS18" i="24"/>
  <c r="AS22" i="24"/>
  <c r="AS14" i="24"/>
  <c r="AS24" i="24"/>
  <c r="AS25" i="24"/>
  <c r="AS27" i="24"/>
  <c r="AS26" i="24"/>
  <c r="AS8" i="24"/>
  <c r="AS11" i="27"/>
  <c r="AS13" i="27"/>
  <c r="AS9" i="27"/>
  <c r="AS12" i="27"/>
  <c r="AS14" i="27"/>
  <c r="AS15" i="27"/>
  <c r="AS17" i="27"/>
  <c r="AS10" i="27"/>
  <c r="AS16" i="27"/>
  <c r="AS18" i="27"/>
  <c r="AS19" i="27"/>
  <c r="AS23" i="27"/>
  <c r="AS20" i="27"/>
  <c r="AS22" i="27"/>
  <c r="AS21" i="27"/>
  <c r="AS24" i="27"/>
  <c r="AS25" i="27"/>
  <c r="AS26" i="27"/>
  <c r="AS27" i="27"/>
  <c r="AS25" i="26"/>
  <c r="AS26" i="26"/>
  <c r="AS24" i="26"/>
  <c r="AS27" i="26"/>
  <c r="AS12" i="26"/>
  <c r="AS13" i="26"/>
  <c r="AS9" i="26"/>
  <c r="AS16" i="26"/>
  <c r="AS14" i="26"/>
  <c r="AS11" i="26"/>
  <c r="AS18" i="26"/>
  <c r="AS22" i="26"/>
  <c r="AS10" i="26"/>
  <c r="AS15" i="26"/>
  <c r="AS17" i="26"/>
  <c r="AS19" i="26"/>
  <c r="AS20" i="26"/>
  <c r="AS21" i="26"/>
  <c r="AS23" i="26"/>
  <c r="AS8" i="26"/>
  <c r="AS26" i="25"/>
  <c r="AS9" i="25"/>
  <c r="AS13" i="25"/>
  <c r="AS18" i="25"/>
  <c r="AS22" i="25"/>
  <c r="AS11" i="25"/>
  <c r="AS12" i="25"/>
  <c r="AS16" i="25"/>
  <c r="AS27" i="25"/>
  <c r="AS15" i="25"/>
  <c r="AS21" i="25"/>
  <c r="AS17" i="25"/>
  <c r="AS23" i="25"/>
  <c r="AS25" i="25"/>
  <c r="AS10" i="25"/>
  <c r="AS19" i="25"/>
  <c r="AS14" i="25"/>
  <c r="AS24" i="25"/>
  <c r="AS20" i="25"/>
  <c r="AS24" i="28"/>
  <c r="AS10" i="28"/>
  <c r="AS14" i="28"/>
  <c r="AS23" i="28"/>
  <c r="AS12" i="28"/>
  <c r="AS16" i="28"/>
  <c r="AS17" i="28"/>
  <c r="AS19" i="28"/>
  <c r="AS20" i="28"/>
  <c r="AS21" i="28"/>
  <c r="AS25" i="28"/>
  <c r="AS13" i="28"/>
  <c r="AS18" i="28"/>
  <c r="AS9" i="28"/>
  <c r="AS22" i="28"/>
  <c r="AS11" i="28"/>
  <c r="AS27" i="28"/>
  <c r="AS15" i="28"/>
  <c r="AS26" i="28"/>
  <c r="AS8" i="28"/>
  <c r="N33" i="26" l="1"/>
  <c r="O33" i="26" s="1"/>
  <c r="O33" i="50"/>
  <c r="N34" i="50" s="1"/>
  <c r="N32" i="26"/>
  <c r="AT16" i="44"/>
  <c r="AT10" i="44"/>
  <c r="AT12" i="44"/>
  <c r="AT9" i="44"/>
  <c r="AT20" i="44"/>
  <c r="AT25" i="44"/>
  <c r="AT14" i="44"/>
  <c r="AT30" i="44"/>
  <c r="AT18" i="44"/>
  <c r="AT29" i="44"/>
  <c r="AT13" i="44"/>
  <c r="AT15" i="44"/>
  <c r="AT17" i="44"/>
  <c r="AT19" i="44"/>
  <c r="AT21" i="44"/>
  <c r="AT23" i="44"/>
  <c r="AT28" i="44"/>
  <c r="AT27" i="44"/>
  <c r="AT11" i="44"/>
  <c r="AT32" i="44"/>
  <c r="AT22" i="44"/>
  <c r="AT26" i="44"/>
  <c r="AT24" i="44"/>
  <c r="AT31" i="44"/>
  <c r="AT45" i="28"/>
  <c r="AT44" i="28"/>
  <c r="AT11" i="40"/>
  <c r="AT14" i="40"/>
  <c r="AT27" i="40"/>
  <c r="AT10" i="40"/>
  <c r="AT17" i="40"/>
  <c r="AT22" i="40"/>
  <c r="AT20" i="40"/>
  <c r="AT26" i="40"/>
  <c r="AT29" i="40"/>
  <c r="AT28" i="40"/>
  <c r="AT18" i="40"/>
  <c r="AT13" i="40"/>
  <c r="AT30" i="40"/>
  <c r="AT21" i="40"/>
  <c r="AT16" i="40"/>
  <c r="AT19" i="40"/>
  <c r="AT31" i="40"/>
  <c r="AT32" i="40"/>
  <c r="AT25" i="40"/>
  <c r="AT15" i="40"/>
  <c r="AT23" i="40"/>
  <c r="AT12" i="40"/>
  <c r="AT24" i="40"/>
  <c r="AT9" i="40"/>
  <c r="AS19" i="37"/>
  <c r="AS21" i="37"/>
  <c r="AS22" i="37"/>
  <c r="AS10" i="37"/>
  <c r="AS28" i="37"/>
  <c r="AS20" i="37"/>
  <c r="AS32" i="37"/>
  <c r="AS16" i="37"/>
  <c r="AS18" i="37"/>
  <c r="AS27" i="37"/>
  <c r="AS17" i="37"/>
  <c r="AS26" i="37"/>
  <c r="AS12" i="37"/>
  <c r="AS23" i="37"/>
  <c r="AS13" i="37"/>
  <c r="AS9" i="37"/>
  <c r="AS29" i="37"/>
  <c r="AS11" i="37"/>
  <c r="AS15" i="37"/>
  <c r="AS24" i="37"/>
  <c r="AS30" i="37"/>
  <c r="AS14" i="37"/>
  <c r="AS25" i="37"/>
  <c r="AS31" i="37"/>
  <c r="AT43" i="28"/>
  <c r="AT42" i="28"/>
  <c r="AT41" i="28"/>
  <c r="AT28" i="24"/>
  <c r="AT31" i="24"/>
  <c r="AT29" i="24"/>
  <c r="AT32" i="24"/>
  <c r="AT30" i="24"/>
  <c r="AS32" i="31"/>
  <c r="AS13" i="31"/>
  <c r="AS18" i="31"/>
  <c r="AS26" i="31"/>
  <c r="AS30" i="31"/>
  <c r="AS17" i="31"/>
  <c r="AS31" i="31"/>
  <c r="AS14" i="31"/>
  <c r="AS15" i="31"/>
  <c r="AS9" i="31"/>
  <c r="AS24" i="31"/>
  <c r="AS10" i="31"/>
  <c r="AS20" i="31"/>
  <c r="AS8" i="31"/>
  <c r="AS25" i="31"/>
  <c r="AS29" i="31"/>
  <c r="AS11" i="31"/>
  <c r="AS12" i="31"/>
  <c r="AS21" i="31"/>
  <c r="AS16" i="31"/>
  <c r="AS28" i="31"/>
  <c r="AS23" i="31"/>
  <c r="AS27" i="31"/>
  <c r="AS22" i="31"/>
  <c r="AS19" i="31"/>
  <c r="AT28" i="27"/>
  <c r="AT29" i="27"/>
  <c r="AT32" i="27"/>
  <c r="AT30" i="27"/>
  <c r="AT31" i="27"/>
  <c r="AS14" i="30"/>
  <c r="AS15" i="30"/>
  <c r="AS16" i="30"/>
  <c r="AS9" i="30"/>
  <c r="AS11" i="30"/>
  <c r="AS29" i="30"/>
  <c r="AS13" i="30"/>
  <c r="AS18" i="30"/>
  <c r="AS17" i="30"/>
  <c r="AS20" i="30"/>
  <c r="AS26" i="30"/>
  <c r="AS19" i="30"/>
  <c r="AS27" i="30"/>
  <c r="AS12" i="30"/>
  <c r="AS28" i="30"/>
  <c r="AS22" i="30"/>
  <c r="AS24" i="30"/>
  <c r="AS25" i="30"/>
  <c r="AS32" i="30"/>
  <c r="AS31" i="30"/>
  <c r="AS8" i="30"/>
  <c r="AS10" i="30"/>
  <c r="AS30" i="30"/>
  <c r="AS21" i="30"/>
  <c r="AS23" i="30"/>
  <c r="AT28" i="26"/>
  <c r="AT30" i="26"/>
  <c r="AT32" i="26"/>
  <c r="AT29" i="26"/>
  <c r="AT31" i="26"/>
  <c r="AT28" i="25"/>
  <c r="AT32" i="25"/>
  <c r="AT31" i="25"/>
  <c r="AT29" i="25"/>
  <c r="AT30" i="25"/>
  <c r="AT28" i="28"/>
  <c r="AT30" i="28"/>
  <c r="AT37" i="28"/>
  <c r="AT39" i="28"/>
  <c r="AT31" i="28"/>
  <c r="AT35" i="28"/>
  <c r="AT29" i="28"/>
  <c r="AT32" i="28"/>
  <c r="AT38" i="28"/>
  <c r="AT34" i="28"/>
  <c r="AT40" i="28"/>
  <c r="AT36" i="28"/>
  <c r="AT33" i="28"/>
  <c r="AS30" i="29"/>
  <c r="AS11" i="29"/>
  <c r="AS10" i="29"/>
  <c r="AS18" i="29"/>
  <c r="AS27" i="29"/>
  <c r="AS31" i="29"/>
  <c r="AS24" i="29"/>
  <c r="AS21" i="29"/>
  <c r="AS9" i="29"/>
  <c r="AS19" i="29"/>
  <c r="AS23" i="29"/>
  <c r="AS17" i="29"/>
  <c r="AS32" i="29"/>
  <c r="AS15" i="29"/>
  <c r="AS28" i="29"/>
  <c r="AS22" i="29"/>
  <c r="AS8" i="29"/>
  <c r="AS14" i="29"/>
  <c r="AS20" i="29"/>
  <c r="AS25" i="29"/>
  <c r="AS13" i="29"/>
  <c r="AS29" i="29"/>
  <c r="AS26" i="29"/>
  <c r="AS12" i="29"/>
  <c r="AS16" i="29"/>
  <c r="AT28" i="22"/>
  <c r="AT32" i="22"/>
  <c r="AT31" i="22"/>
  <c r="AT30" i="22"/>
  <c r="AT29" i="22"/>
  <c r="AT10" i="25"/>
  <c r="AT14" i="25"/>
  <c r="AT20" i="25"/>
  <c r="AT27" i="25"/>
  <c r="AT9" i="25"/>
  <c r="AT13" i="25"/>
  <c r="AT12" i="25"/>
  <c r="AT15" i="25"/>
  <c r="AT16" i="25"/>
  <c r="AT22" i="25"/>
  <c r="AT26" i="25"/>
  <c r="AT18" i="25"/>
  <c r="AT23" i="25"/>
  <c r="AT11" i="25"/>
  <c r="AT21" i="25"/>
  <c r="AT19" i="25"/>
  <c r="AT24" i="25"/>
  <c r="AT17" i="25"/>
  <c r="AT25" i="25"/>
  <c r="AT9" i="22"/>
  <c r="AT15" i="22"/>
  <c r="AT25" i="22"/>
  <c r="AT14" i="22"/>
  <c r="AT16" i="22"/>
  <c r="AT27" i="22"/>
  <c r="AT20" i="22"/>
  <c r="AT19" i="22"/>
  <c r="AT11" i="22"/>
  <c r="AT10" i="22"/>
  <c r="AT21" i="22"/>
  <c r="AT23" i="22"/>
  <c r="AT17" i="22"/>
  <c r="AT24" i="22"/>
  <c r="AT12" i="22"/>
  <c r="AT13" i="22"/>
  <c r="AT22" i="22"/>
  <c r="AT18" i="22"/>
  <c r="AT26" i="22"/>
  <c r="AT24" i="28"/>
  <c r="AT10" i="28"/>
  <c r="AT11" i="28"/>
  <c r="AT15" i="28"/>
  <c r="AT16" i="28"/>
  <c r="AT17" i="28"/>
  <c r="AT23" i="28"/>
  <c r="AT9" i="28"/>
  <c r="AT13" i="28"/>
  <c r="AT14" i="28"/>
  <c r="AT18" i="28"/>
  <c r="AT22" i="28"/>
  <c r="AT12" i="28"/>
  <c r="AT21" i="28"/>
  <c r="AT19" i="28"/>
  <c r="AT20" i="28"/>
  <c r="AT25" i="28"/>
  <c r="AT26" i="28"/>
  <c r="AT27" i="28"/>
  <c r="AT8" i="28"/>
  <c r="AT14" i="24"/>
  <c r="AT9" i="24"/>
  <c r="AT12" i="24"/>
  <c r="AT13" i="24"/>
  <c r="AT10" i="24"/>
  <c r="AT16" i="24"/>
  <c r="AT18" i="24"/>
  <c r="AT22" i="24"/>
  <c r="AT15" i="24"/>
  <c r="AT17" i="24"/>
  <c r="AT21" i="24"/>
  <c r="AT20" i="24"/>
  <c r="AT11" i="24"/>
  <c r="AT19" i="24"/>
  <c r="AT23" i="24"/>
  <c r="AT25" i="24"/>
  <c r="AT24" i="24"/>
  <c r="AT26" i="24"/>
  <c r="AT27" i="24"/>
  <c r="AT8" i="24"/>
  <c r="AT11" i="27"/>
  <c r="AT12" i="27"/>
  <c r="AT13" i="27"/>
  <c r="AT10" i="27"/>
  <c r="AT14" i="27"/>
  <c r="AT18" i="27"/>
  <c r="AT9" i="27"/>
  <c r="AT15" i="27"/>
  <c r="AT16" i="27"/>
  <c r="AT19" i="27"/>
  <c r="AT17" i="27"/>
  <c r="AT20" i="27"/>
  <c r="AT21" i="27"/>
  <c r="AT23" i="27"/>
  <c r="AT22" i="27"/>
  <c r="AT24" i="27"/>
  <c r="AT25" i="27"/>
  <c r="AT26" i="27"/>
  <c r="AT27" i="27"/>
  <c r="AT24" i="26"/>
  <c r="AT25" i="26"/>
  <c r="AT26" i="26"/>
  <c r="AT27" i="26"/>
  <c r="AT9" i="26"/>
  <c r="AT10" i="26"/>
  <c r="AT17" i="26"/>
  <c r="AT19" i="26"/>
  <c r="AT22" i="26"/>
  <c r="AT16" i="26"/>
  <c r="AT18" i="26"/>
  <c r="AT20" i="26"/>
  <c r="AT21" i="26"/>
  <c r="AT11" i="26"/>
  <c r="AT12" i="26"/>
  <c r="AT13" i="26"/>
  <c r="AT15" i="26"/>
  <c r="AT23" i="26"/>
  <c r="AT14" i="26"/>
  <c r="AT8" i="26"/>
  <c r="N34" i="26" l="1"/>
  <c r="O34" i="26" s="1"/>
  <c r="O34" i="50"/>
  <c r="N35" i="50" s="1"/>
  <c r="AU44" i="28"/>
  <c r="AU45" i="28"/>
  <c r="AU11" i="44"/>
  <c r="AU16" i="44"/>
  <c r="AU13" i="44"/>
  <c r="AU20" i="44"/>
  <c r="AU9" i="44"/>
  <c r="AU10" i="44"/>
  <c r="AU12" i="44"/>
  <c r="AU23" i="44"/>
  <c r="AU15" i="44"/>
  <c r="AU22" i="44"/>
  <c r="AU21" i="44"/>
  <c r="AU32" i="44"/>
  <c r="AU29" i="44"/>
  <c r="AU30" i="44"/>
  <c r="AU24" i="44"/>
  <c r="AU31" i="44"/>
  <c r="AU17" i="44"/>
  <c r="AU14" i="44"/>
  <c r="AU19" i="44"/>
  <c r="AU18" i="44"/>
  <c r="AU25" i="44"/>
  <c r="AU26" i="44"/>
  <c r="AU27" i="44"/>
  <c r="AU28" i="44"/>
  <c r="AU14" i="40"/>
  <c r="AU20" i="40"/>
  <c r="AU11" i="40"/>
  <c r="AU23" i="40"/>
  <c r="AU30" i="40"/>
  <c r="AU31" i="40"/>
  <c r="AU29" i="40"/>
  <c r="AU9" i="40"/>
  <c r="AU24" i="40"/>
  <c r="AU17" i="40"/>
  <c r="AU15" i="40"/>
  <c r="AU12" i="40"/>
  <c r="AU13" i="40"/>
  <c r="AU19" i="40"/>
  <c r="AU21" i="40"/>
  <c r="AU25" i="40"/>
  <c r="AU10" i="40"/>
  <c r="AU26" i="40"/>
  <c r="AU16" i="40"/>
  <c r="AU32" i="40"/>
  <c r="AU28" i="40"/>
  <c r="AU22" i="40"/>
  <c r="AU27" i="40"/>
  <c r="AU18" i="40"/>
  <c r="AT21" i="37"/>
  <c r="AT25" i="37"/>
  <c r="AT13" i="37"/>
  <c r="AT10" i="37"/>
  <c r="AT31" i="37"/>
  <c r="AT11" i="37"/>
  <c r="AT19" i="37"/>
  <c r="AT16" i="37"/>
  <c r="AT28" i="37"/>
  <c r="AT9" i="37"/>
  <c r="AT27" i="37"/>
  <c r="AT24" i="37"/>
  <c r="AT29" i="37"/>
  <c r="AT17" i="37"/>
  <c r="AT18" i="37"/>
  <c r="AT12" i="37"/>
  <c r="AT26" i="37"/>
  <c r="AT23" i="37"/>
  <c r="AT14" i="37"/>
  <c r="AT15" i="37"/>
  <c r="AT20" i="37"/>
  <c r="AT22" i="37"/>
  <c r="AT32" i="37"/>
  <c r="AT30" i="37"/>
  <c r="AU43" i="28"/>
  <c r="AU41" i="28"/>
  <c r="AU42" i="28"/>
  <c r="AT25" i="31"/>
  <c r="AT32" i="31"/>
  <c r="AT26" i="31"/>
  <c r="AT20" i="31"/>
  <c r="AT12" i="31"/>
  <c r="AT13" i="31"/>
  <c r="AT24" i="31"/>
  <c r="AT9" i="31"/>
  <c r="AT29" i="31"/>
  <c r="AT27" i="31"/>
  <c r="AT30" i="31"/>
  <c r="AT8" i="31"/>
  <c r="AT23" i="31"/>
  <c r="AT17" i="31"/>
  <c r="AT11" i="31"/>
  <c r="AT21" i="31"/>
  <c r="AT10" i="31"/>
  <c r="AT15" i="31"/>
  <c r="AT18" i="31"/>
  <c r="AT28" i="31"/>
  <c r="AT31" i="31"/>
  <c r="AT22" i="31"/>
  <c r="AT16" i="31"/>
  <c r="AT19" i="31"/>
  <c r="AT14" i="31"/>
  <c r="AU28" i="27"/>
  <c r="AU32" i="27"/>
  <c r="AU29" i="27"/>
  <c r="AU31" i="27"/>
  <c r="AU30" i="27"/>
  <c r="AT27" i="30"/>
  <c r="AT20" i="30"/>
  <c r="AT8" i="30"/>
  <c r="AT10" i="30"/>
  <c r="AT24" i="30"/>
  <c r="AT19" i="30"/>
  <c r="AT12" i="30"/>
  <c r="AT16" i="30"/>
  <c r="AT13" i="30"/>
  <c r="AT31" i="30"/>
  <c r="AT14" i="30"/>
  <c r="AT26" i="30"/>
  <c r="AT25" i="30"/>
  <c r="AT32" i="30"/>
  <c r="AT11" i="30"/>
  <c r="AT15" i="30"/>
  <c r="AT22" i="30"/>
  <c r="AT21" i="30"/>
  <c r="AT17" i="30"/>
  <c r="AT28" i="30"/>
  <c r="AT29" i="30"/>
  <c r="AT9" i="30"/>
  <c r="AT18" i="30"/>
  <c r="AT23" i="30"/>
  <c r="AT30" i="30"/>
  <c r="AU28" i="24"/>
  <c r="AU29" i="24"/>
  <c r="AU32" i="24"/>
  <c r="AU31" i="24"/>
  <c r="AU30" i="24"/>
  <c r="AU28" i="25"/>
  <c r="AU31" i="25"/>
  <c r="AU32" i="25"/>
  <c r="AU30" i="25"/>
  <c r="AU29" i="25"/>
  <c r="AU28" i="26"/>
  <c r="AU29" i="26"/>
  <c r="AU32" i="26"/>
  <c r="AU30" i="26"/>
  <c r="AU31" i="26"/>
  <c r="AU28" i="28"/>
  <c r="AU34" i="28"/>
  <c r="AU33" i="28"/>
  <c r="AU35" i="28"/>
  <c r="AU29" i="28"/>
  <c r="AU38" i="28"/>
  <c r="AU40" i="28"/>
  <c r="AU30" i="28"/>
  <c r="AU37" i="28"/>
  <c r="AU39" i="28"/>
  <c r="AU31" i="28"/>
  <c r="AU32" i="28"/>
  <c r="AU36" i="28"/>
  <c r="AT24" i="29"/>
  <c r="AT14" i="29"/>
  <c r="AT10" i="29"/>
  <c r="AT21" i="29"/>
  <c r="AT30" i="29"/>
  <c r="AT18" i="29"/>
  <c r="AT22" i="29"/>
  <c r="AT29" i="29"/>
  <c r="AT17" i="29"/>
  <c r="AT13" i="29"/>
  <c r="AT9" i="29"/>
  <c r="AT26" i="29"/>
  <c r="AT27" i="29"/>
  <c r="AT16" i="29"/>
  <c r="AT12" i="29"/>
  <c r="AT8" i="29"/>
  <c r="AT15" i="29"/>
  <c r="AT32" i="29"/>
  <c r="AT23" i="29"/>
  <c r="AT25" i="29"/>
  <c r="AT20" i="29"/>
  <c r="AT19" i="29"/>
  <c r="AT11" i="29"/>
  <c r="AT28" i="29"/>
  <c r="AT31" i="29"/>
  <c r="AU28" i="22"/>
  <c r="AU29" i="22"/>
  <c r="AU30" i="22"/>
  <c r="AU11" i="25"/>
  <c r="AU15" i="25"/>
  <c r="AU27" i="25"/>
  <c r="AU9" i="25"/>
  <c r="AU10" i="25"/>
  <c r="AU13" i="25"/>
  <c r="AU14" i="25"/>
  <c r="AU17" i="25"/>
  <c r="AU19" i="25"/>
  <c r="AU23" i="25"/>
  <c r="AU16" i="25"/>
  <c r="AU20" i="25"/>
  <c r="AU18" i="25"/>
  <c r="AU26" i="25"/>
  <c r="AU12" i="25"/>
  <c r="AU22" i="25"/>
  <c r="AU25" i="25"/>
  <c r="AU21" i="25"/>
  <c r="AU24" i="25"/>
  <c r="AU24" i="26"/>
  <c r="AU25" i="26"/>
  <c r="AU26" i="26"/>
  <c r="AU27" i="26"/>
  <c r="AU10" i="26"/>
  <c r="AU12" i="26"/>
  <c r="AU18" i="26"/>
  <c r="AU20" i="26"/>
  <c r="AU17" i="26"/>
  <c r="AU19" i="26"/>
  <c r="AU9" i="26"/>
  <c r="AU13" i="26"/>
  <c r="AU15" i="26"/>
  <c r="AU16" i="26"/>
  <c r="AU11" i="26"/>
  <c r="AU14" i="26"/>
  <c r="AU22" i="26"/>
  <c r="AU21" i="26"/>
  <c r="AU23" i="26"/>
  <c r="AU8" i="26"/>
  <c r="AU24" i="28"/>
  <c r="AU12" i="28"/>
  <c r="AU15" i="28"/>
  <c r="AU20" i="28"/>
  <c r="AU11" i="28"/>
  <c r="AU21" i="28"/>
  <c r="AU22" i="28"/>
  <c r="AU9" i="28"/>
  <c r="AU10" i="28"/>
  <c r="AU14" i="28"/>
  <c r="AU19" i="28"/>
  <c r="AU25" i="28"/>
  <c r="AU13" i="28"/>
  <c r="AU16" i="28"/>
  <c r="AU23" i="28"/>
  <c r="AU27" i="28"/>
  <c r="AU18" i="28"/>
  <c r="AU26" i="28"/>
  <c r="AU17" i="28"/>
  <c r="AU8" i="28"/>
  <c r="AU18" i="22"/>
  <c r="AU9" i="22"/>
  <c r="AU26" i="22"/>
  <c r="AU20" i="22"/>
  <c r="AU17" i="22"/>
  <c r="AU11" i="22"/>
  <c r="AU24" i="22"/>
  <c r="AU25" i="22"/>
  <c r="AU14" i="22"/>
  <c r="AU13" i="22"/>
  <c r="AU12" i="22"/>
  <c r="AU21" i="22"/>
  <c r="AU15" i="22"/>
  <c r="AU23" i="22"/>
  <c r="AU19" i="22"/>
  <c r="AU27" i="22"/>
  <c r="AU22" i="22"/>
  <c r="AU10" i="22"/>
  <c r="AU16" i="22"/>
  <c r="AU9" i="24"/>
  <c r="AU11" i="24"/>
  <c r="AU10" i="24"/>
  <c r="AU14" i="24"/>
  <c r="AU13" i="24"/>
  <c r="AU18" i="24"/>
  <c r="AU19" i="24"/>
  <c r="AU22" i="24"/>
  <c r="AU23" i="24"/>
  <c r="AU12" i="24"/>
  <c r="AU17" i="24"/>
  <c r="AU21" i="24"/>
  <c r="AU16" i="24"/>
  <c r="AU20" i="24"/>
  <c r="AU15" i="24"/>
  <c r="AU24" i="24"/>
  <c r="AU25" i="24"/>
  <c r="AU26" i="24"/>
  <c r="AU27" i="24"/>
  <c r="AU8" i="24"/>
  <c r="AU10" i="27"/>
  <c r="AU11" i="27"/>
  <c r="AU12" i="27"/>
  <c r="AU13" i="27"/>
  <c r="AU16" i="27"/>
  <c r="AU9" i="27"/>
  <c r="AU15" i="27"/>
  <c r="AU14" i="27"/>
  <c r="AU19" i="27"/>
  <c r="AU20" i="27"/>
  <c r="AU21" i="27"/>
  <c r="AU22" i="27"/>
  <c r="AU23" i="27"/>
  <c r="AU17" i="27"/>
  <c r="AU18" i="27"/>
  <c r="AU24" i="27"/>
  <c r="AU27" i="27"/>
  <c r="AU26" i="27"/>
  <c r="AU25" i="27"/>
  <c r="O35" i="50" l="1"/>
  <c r="N36" i="50" s="1"/>
  <c r="N35" i="26"/>
  <c r="O35" i="26" s="1"/>
  <c r="AV45" i="28"/>
  <c r="AV44" i="28"/>
  <c r="AV31" i="44"/>
  <c r="AV27" i="44"/>
  <c r="AV15" i="44"/>
  <c r="AV21" i="44"/>
  <c r="AV17" i="44"/>
  <c r="AV23" i="44"/>
  <c r="AV26" i="44"/>
  <c r="AV25" i="44"/>
  <c r="AV11" i="44"/>
  <c r="AV29" i="44"/>
  <c r="AV24" i="44"/>
  <c r="AV10" i="44"/>
  <c r="AV19" i="44"/>
  <c r="AV14" i="44"/>
  <c r="AV9" i="44"/>
  <c r="AV20" i="44"/>
  <c r="AV28" i="44"/>
  <c r="AV12" i="44"/>
  <c r="AV13" i="44"/>
  <c r="AV32" i="44"/>
  <c r="AV16" i="44"/>
  <c r="AV18" i="44"/>
  <c r="AV30" i="44"/>
  <c r="AV22" i="44"/>
  <c r="AV25" i="40"/>
  <c r="AV29" i="40"/>
  <c r="AV17" i="40"/>
  <c r="AV14" i="40"/>
  <c r="AV13" i="40"/>
  <c r="AV32" i="40"/>
  <c r="AV16" i="40"/>
  <c r="AV9" i="40"/>
  <c r="AV11" i="40"/>
  <c r="AV23" i="40"/>
  <c r="AV27" i="40"/>
  <c r="AV28" i="40"/>
  <c r="AV30" i="40"/>
  <c r="AV12" i="40"/>
  <c r="AV10" i="40"/>
  <c r="AV15" i="40"/>
  <c r="AV19" i="40"/>
  <c r="AV20" i="40"/>
  <c r="AV22" i="40"/>
  <c r="AV24" i="40"/>
  <c r="AV31" i="40"/>
  <c r="AV21" i="40"/>
  <c r="AV26" i="40"/>
  <c r="AV18" i="40"/>
  <c r="AU23" i="37"/>
  <c r="AU24" i="37"/>
  <c r="AU13" i="37"/>
  <c r="AU12" i="37"/>
  <c r="AU20" i="37"/>
  <c r="AU14" i="37"/>
  <c r="AU10" i="37"/>
  <c r="AU18" i="37"/>
  <c r="AU11" i="37"/>
  <c r="AU21" i="37"/>
  <c r="AU19" i="37"/>
  <c r="AU32" i="37"/>
  <c r="AU29" i="37"/>
  <c r="AU9" i="37"/>
  <c r="AU28" i="37"/>
  <c r="AU27" i="37"/>
  <c r="AU15" i="37"/>
  <c r="AU16" i="37"/>
  <c r="AU30" i="37"/>
  <c r="AU17" i="37"/>
  <c r="AU25" i="37"/>
  <c r="AU22" i="37"/>
  <c r="AU26" i="37"/>
  <c r="AU31" i="37"/>
  <c r="AV43" i="28"/>
  <c r="AV42" i="28"/>
  <c r="AV41" i="28"/>
  <c r="AV28" i="27"/>
  <c r="AV30" i="27"/>
  <c r="AV32" i="27"/>
  <c r="AV29" i="27"/>
  <c r="AV31" i="27"/>
  <c r="AV28" i="24"/>
  <c r="AV32" i="24"/>
  <c r="AV29" i="24"/>
  <c r="AV31" i="24"/>
  <c r="AV30" i="24"/>
  <c r="AV28" i="25"/>
  <c r="AV31" i="25"/>
  <c r="AV32" i="25"/>
  <c r="AV29" i="25"/>
  <c r="AV30" i="25"/>
  <c r="AU15" i="31"/>
  <c r="AU11" i="31"/>
  <c r="AU16" i="31"/>
  <c r="AU12" i="31"/>
  <c r="AU8" i="31"/>
  <c r="AU24" i="31"/>
  <c r="AU20" i="31"/>
  <c r="AU14" i="31"/>
  <c r="AU31" i="31"/>
  <c r="AU10" i="31"/>
  <c r="AU13" i="31"/>
  <c r="AU19" i="31"/>
  <c r="AU23" i="31"/>
  <c r="AU29" i="31"/>
  <c r="AU21" i="31"/>
  <c r="AU28" i="31"/>
  <c r="AU26" i="31"/>
  <c r="AU22" i="31"/>
  <c r="AU17" i="31"/>
  <c r="AU25" i="31"/>
  <c r="AU30" i="31"/>
  <c r="AU9" i="31"/>
  <c r="AU32" i="31"/>
  <c r="AU18" i="31"/>
  <c r="AU27" i="31"/>
  <c r="AU17" i="30"/>
  <c r="AU10" i="30"/>
  <c r="AU13" i="30"/>
  <c r="AU14" i="30"/>
  <c r="AU8" i="30"/>
  <c r="AU32" i="30"/>
  <c r="AU12" i="30"/>
  <c r="AU15" i="30"/>
  <c r="AU21" i="30"/>
  <c r="AU23" i="30"/>
  <c r="AU16" i="30"/>
  <c r="AU27" i="30"/>
  <c r="AU9" i="30"/>
  <c r="AU24" i="30"/>
  <c r="AU25" i="30"/>
  <c r="AU22" i="30"/>
  <c r="AU31" i="30"/>
  <c r="AU11" i="30"/>
  <c r="AU19" i="30"/>
  <c r="AU18" i="30"/>
  <c r="AU29" i="30"/>
  <c r="AU20" i="30"/>
  <c r="AU28" i="30"/>
  <c r="AU30" i="30"/>
  <c r="AU26" i="30"/>
  <c r="AV28" i="26"/>
  <c r="AV31" i="26"/>
  <c r="AV29" i="26"/>
  <c r="AV32" i="26"/>
  <c r="AV30" i="26"/>
  <c r="AV28" i="28"/>
  <c r="AV30" i="28"/>
  <c r="AV38" i="28"/>
  <c r="AV31" i="28"/>
  <c r="AV40" i="28"/>
  <c r="AV32" i="28"/>
  <c r="AV33" i="28"/>
  <c r="AV34" i="28"/>
  <c r="AV29" i="28"/>
  <c r="AV36" i="28"/>
  <c r="AV39" i="28"/>
  <c r="AV35" i="28"/>
  <c r="AV37" i="28"/>
  <c r="AU25" i="29"/>
  <c r="AU14" i="29"/>
  <c r="AU23" i="29"/>
  <c r="AU32" i="29"/>
  <c r="AU15" i="29"/>
  <c r="AU24" i="29"/>
  <c r="AU30" i="29"/>
  <c r="AU26" i="29"/>
  <c r="AU31" i="29"/>
  <c r="AU22" i="29"/>
  <c r="AU12" i="29"/>
  <c r="AU18" i="29"/>
  <c r="AU21" i="29"/>
  <c r="AU28" i="29"/>
  <c r="AU13" i="29"/>
  <c r="AU27" i="29"/>
  <c r="AU20" i="29"/>
  <c r="AU10" i="29"/>
  <c r="AU9" i="29"/>
  <c r="AU19" i="29"/>
  <c r="AU8" i="29"/>
  <c r="AU29" i="29"/>
  <c r="AU11" i="29"/>
  <c r="AU17" i="29"/>
  <c r="AU16" i="29"/>
  <c r="AV28" i="22"/>
  <c r="AV30" i="22"/>
  <c r="AV29" i="22"/>
  <c r="AV32" i="22"/>
  <c r="AV31" i="22"/>
  <c r="AV27" i="25"/>
  <c r="AV10" i="25"/>
  <c r="AV14" i="25"/>
  <c r="AV15" i="25"/>
  <c r="AV19" i="25"/>
  <c r="AV23" i="25"/>
  <c r="AV26" i="25"/>
  <c r="AV9" i="25"/>
  <c r="AV12" i="25"/>
  <c r="AV13" i="25"/>
  <c r="AV11" i="25"/>
  <c r="AV16" i="25"/>
  <c r="AV17" i="25"/>
  <c r="AV18" i="25"/>
  <c r="AV20" i="25"/>
  <c r="AV24" i="25"/>
  <c r="AV22" i="25"/>
  <c r="AV25" i="25"/>
  <c r="AV21" i="25"/>
  <c r="AV25" i="26"/>
  <c r="AV24" i="26"/>
  <c r="AV26" i="26"/>
  <c r="AV27" i="26"/>
  <c r="AV9" i="26"/>
  <c r="AV10" i="26"/>
  <c r="AV11" i="26"/>
  <c r="AV14" i="26"/>
  <c r="AV19" i="26"/>
  <c r="AV21" i="26"/>
  <c r="AV20" i="26"/>
  <c r="AV12" i="26"/>
  <c r="AV13" i="26"/>
  <c r="AV15" i="26"/>
  <c r="AV18" i="26"/>
  <c r="AV22" i="26"/>
  <c r="AV23" i="26"/>
  <c r="AV16" i="26"/>
  <c r="AV17" i="26"/>
  <c r="AV8" i="26"/>
  <c r="AV24" i="28"/>
  <c r="AV18" i="28"/>
  <c r="AV20" i="28"/>
  <c r="AV22" i="28"/>
  <c r="AV9" i="28"/>
  <c r="AV11" i="28"/>
  <c r="AV13" i="28"/>
  <c r="AV17" i="28"/>
  <c r="AV23" i="28"/>
  <c r="AV12" i="28"/>
  <c r="AV16" i="28"/>
  <c r="AV14" i="28"/>
  <c r="AV25" i="28"/>
  <c r="AV15" i="28"/>
  <c r="AV21" i="28"/>
  <c r="AV10" i="28"/>
  <c r="AV19" i="28"/>
  <c r="AV27" i="28"/>
  <c r="AV26" i="28"/>
  <c r="AV8" i="28"/>
  <c r="AV19" i="22"/>
  <c r="AV14" i="22"/>
  <c r="AV23" i="22"/>
  <c r="AV9" i="22"/>
  <c r="AV13" i="22"/>
  <c r="AV17" i="22"/>
  <c r="AV10" i="22"/>
  <c r="AV25" i="22"/>
  <c r="AV12" i="22"/>
  <c r="AV27" i="22"/>
  <c r="AV15" i="22"/>
  <c r="AV11" i="22"/>
  <c r="AV20" i="22"/>
  <c r="AV26" i="22"/>
  <c r="AV21" i="22"/>
  <c r="AV16" i="22"/>
  <c r="AV22" i="22"/>
  <c r="AV18" i="22"/>
  <c r="AV24" i="22"/>
  <c r="AV10" i="27"/>
  <c r="AV12" i="27"/>
  <c r="AV15" i="27"/>
  <c r="AV9" i="27"/>
  <c r="AV11" i="27"/>
  <c r="AV13" i="27"/>
  <c r="AV14" i="27"/>
  <c r="AV17" i="27"/>
  <c r="AV16" i="27"/>
  <c r="AV18" i="27"/>
  <c r="AV20" i="27"/>
  <c r="AV22" i="27"/>
  <c r="AV23" i="27"/>
  <c r="AV21" i="27"/>
  <c r="AV19" i="27"/>
  <c r="AV24" i="27"/>
  <c r="AV27" i="27"/>
  <c r="AV25" i="27"/>
  <c r="AV26" i="27"/>
  <c r="AV11" i="24"/>
  <c r="AV13" i="24"/>
  <c r="AV17" i="24"/>
  <c r="AV9" i="24"/>
  <c r="AV12" i="24"/>
  <c r="AV14" i="24"/>
  <c r="AV16" i="24"/>
  <c r="AV21" i="24"/>
  <c r="AV22" i="24"/>
  <c r="AV20" i="24"/>
  <c r="AV18" i="24"/>
  <c r="AV15" i="24"/>
  <c r="AV23" i="24"/>
  <c r="AV10" i="24"/>
  <c r="AV19" i="24"/>
  <c r="AV25" i="24"/>
  <c r="AV24" i="24"/>
  <c r="AV26" i="24"/>
  <c r="AV27" i="24"/>
  <c r="AV8" i="24"/>
  <c r="N36" i="26" l="1"/>
  <c r="O36" i="26" s="1"/>
  <c r="O36" i="50"/>
  <c r="N37" i="50" s="1"/>
  <c r="AW45" i="28"/>
  <c r="AW44" i="28"/>
  <c r="AW13" i="44"/>
  <c r="AW10" i="44"/>
  <c r="AW19" i="44"/>
  <c r="AW9" i="44"/>
  <c r="AW11" i="44"/>
  <c r="AW31" i="44"/>
  <c r="AW21" i="44"/>
  <c r="AW14" i="44"/>
  <c r="AW15" i="44"/>
  <c r="AW30" i="44"/>
  <c r="AW17" i="44"/>
  <c r="AW23" i="44"/>
  <c r="AW16" i="44"/>
  <c r="AW22" i="44"/>
  <c r="AW32" i="44"/>
  <c r="AW20" i="44"/>
  <c r="AW12" i="44"/>
  <c r="AW24" i="44"/>
  <c r="AW26" i="44"/>
  <c r="AW29" i="44"/>
  <c r="AW18" i="44"/>
  <c r="AW27" i="44"/>
  <c r="AW25" i="44"/>
  <c r="AW28" i="44"/>
  <c r="AW14" i="40"/>
  <c r="AW20" i="40"/>
  <c r="AW13" i="40"/>
  <c r="AW19" i="40"/>
  <c r="AW26" i="40"/>
  <c r="AW29" i="40"/>
  <c r="AW25" i="40"/>
  <c r="AW15" i="40"/>
  <c r="AW23" i="40"/>
  <c r="AW22" i="40"/>
  <c r="AW18" i="40"/>
  <c r="AW27" i="40"/>
  <c r="AW30" i="40"/>
  <c r="AW31" i="40"/>
  <c r="AW28" i="40"/>
  <c r="AW21" i="40"/>
  <c r="AW10" i="40"/>
  <c r="AW11" i="40"/>
  <c r="AW32" i="40"/>
  <c r="AW24" i="40"/>
  <c r="AW17" i="40"/>
  <c r="AW16" i="40"/>
  <c r="AW9" i="40"/>
  <c r="AW12" i="40"/>
  <c r="AV15" i="37"/>
  <c r="AV27" i="37"/>
  <c r="AV29" i="37"/>
  <c r="AV23" i="37"/>
  <c r="AV22" i="37"/>
  <c r="AV20" i="37"/>
  <c r="AV12" i="37"/>
  <c r="AV9" i="37"/>
  <c r="AV26" i="37"/>
  <c r="AV16" i="37"/>
  <c r="AV19" i="37"/>
  <c r="AV11" i="37"/>
  <c r="AV14" i="37"/>
  <c r="AV17" i="37"/>
  <c r="AV18" i="37"/>
  <c r="AV21" i="37"/>
  <c r="AV10" i="37"/>
  <c r="AV24" i="37"/>
  <c r="AV28" i="37"/>
  <c r="AV30" i="37"/>
  <c r="AV13" i="37"/>
  <c r="AV25" i="37"/>
  <c r="AV31" i="37"/>
  <c r="AV32" i="37"/>
  <c r="AW43" i="28"/>
  <c r="AW42" i="28"/>
  <c r="AW41" i="28"/>
  <c r="AW28" i="28"/>
  <c r="AW31" i="28"/>
  <c r="AW40" i="28"/>
  <c r="AW36" i="28"/>
  <c r="AW39" i="28"/>
  <c r="AW35" i="28"/>
  <c r="AW29" i="28"/>
  <c r="AW33" i="28"/>
  <c r="AW30" i="28"/>
  <c r="AW32" i="28"/>
  <c r="AW38" i="28"/>
  <c r="AW37" i="28"/>
  <c r="AW34" i="28"/>
  <c r="AW28" i="26"/>
  <c r="AW32" i="26"/>
  <c r="AW31" i="26"/>
  <c r="AW30" i="26"/>
  <c r="AW29" i="26"/>
  <c r="AV31" i="31"/>
  <c r="AV23" i="31"/>
  <c r="AV18" i="31"/>
  <c r="AV27" i="31"/>
  <c r="AV28" i="31"/>
  <c r="AV22" i="31"/>
  <c r="AV8" i="31"/>
  <c r="AV32" i="31"/>
  <c r="AV16" i="31"/>
  <c r="AV17" i="31"/>
  <c r="AV24" i="31"/>
  <c r="AV14" i="31"/>
  <c r="AV15" i="31"/>
  <c r="AV20" i="31"/>
  <c r="AV12" i="31"/>
  <c r="AV13" i="31"/>
  <c r="AV21" i="31"/>
  <c r="AV25" i="31"/>
  <c r="AV26" i="31"/>
  <c r="AV29" i="31"/>
  <c r="AV9" i="31"/>
  <c r="AV10" i="31"/>
  <c r="AV11" i="31"/>
  <c r="AV30" i="31"/>
  <c r="AV19" i="31"/>
  <c r="AV9" i="30"/>
  <c r="AV26" i="30"/>
  <c r="AV22" i="30"/>
  <c r="AV18" i="30"/>
  <c r="AV11" i="30"/>
  <c r="AV25" i="30"/>
  <c r="AV21" i="30"/>
  <c r="AV17" i="30"/>
  <c r="AV12" i="30"/>
  <c r="AV13" i="30"/>
  <c r="AV23" i="30"/>
  <c r="AV16" i="30"/>
  <c r="AV32" i="30"/>
  <c r="AV20" i="30"/>
  <c r="AV8" i="30"/>
  <c r="AV14" i="30"/>
  <c r="AV15" i="30"/>
  <c r="AV27" i="30"/>
  <c r="AV19" i="30"/>
  <c r="AV10" i="30"/>
  <c r="AV24" i="30"/>
  <c r="AV30" i="30"/>
  <c r="AV29" i="30"/>
  <c r="AV31" i="30"/>
  <c r="AV28" i="30"/>
  <c r="AW28" i="24"/>
  <c r="AW32" i="24"/>
  <c r="AW30" i="24"/>
  <c r="AW31" i="24"/>
  <c r="AW29" i="24"/>
  <c r="AW28" i="27"/>
  <c r="AW32" i="27"/>
  <c r="AW30" i="27"/>
  <c r="AW31" i="27"/>
  <c r="AW29" i="27"/>
  <c r="AW28" i="25"/>
  <c r="AW29" i="25"/>
  <c r="AW30" i="25"/>
  <c r="AW31" i="25"/>
  <c r="AW32" i="25"/>
  <c r="AV25" i="29"/>
  <c r="AV20" i="29"/>
  <c r="AV16" i="29"/>
  <c r="AV12" i="29"/>
  <c r="AV19" i="29"/>
  <c r="AV28" i="29"/>
  <c r="AV17" i="29"/>
  <c r="AV26" i="29"/>
  <c r="AV30" i="29"/>
  <c r="AV18" i="29"/>
  <c r="AV15" i="29"/>
  <c r="AV11" i="29"/>
  <c r="AV9" i="29"/>
  <c r="AV32" i="29"/>
  <c r="AV24" i="29"/>
  <c r="AV27" i="29"/>
  <c r="AV29" i="29"/>
  <c r="AV14" i="29"/>
  <c r="AV10" i="29"/>
  <c r="AV31" i="29"/>
  <c r="AV21" i="29"/>
  <c r="AV22" i="29"/>
  <c r="AV8" i="29"/>
  <c r="AV23" i="29"/>
  <c r="AV13" i="29"/>
  <c r="AW28" i="22"/>
  <c r="AW30" i="22"/>
  <c r="AW31" i="22"/>
  <c r="AW29" i="22"/>
  <c r="AW32" i="22"/>
  <c r="AW9" i="27"/>
  <c r="AW12" i="27"/>
  <c r="AW15" i="27"/>
  <c r="AW16" i="27"/>
  <c r="AW10" i="27"/>
  <c r="AW14" i="27"/>
  <c r="AW13" i="27"/>
  <c r="AW11" i="27"/>
  <c r="AW18" i="27"/>
  <c r="AW20" i="27"/>
  <c r="AW21" i="27"/>
  <c r="AW22" i="27"/>
  <c r="AW23" i="27"/>
  <c r="AW17" i="27"/>
  <c r="AW24" i="27"/>
  <c r="AW25" i="27"/>
  <c r="AW26" i="27"/>
  <c r="AW19" i="27"/>
  <c r="AW27" i="27"/>
  <c r="AW27" i="25"/>
  <c r="AW11" i="25"/>
  <c r="AW12" i="25"/>
  <c r="AW16" i="25"/>
  <c r="AW17" i="25"/>
  <c r="AW10" i="25"/>
  <c r="AW14" i="25"/>
  <c r="AW15" i="25"/>
  <c r="AW20" i="25"/>
  <c r="AW24" i="25"/>
  <c r="AW26" i="25"/>
  <c r="AW22" i="25"/>
  <c r="AW9" i="25"/>
  <c r="AW19" i="25"/>
  <c r="AW21" i="25"/>
  <c r="AW25" i="25"/>
  <c r="AW18" i="25"/>
  <c r="AW13" i="25"/>
  <c r="AW23" i="25"/>
  <c r="AW24" i="28"/>
  <c r="AW10" i="28"/>
  <c r="AW12" i="28"/>
  <c r="AW16" i="28"/>
  <c r="AW19" i="28"/>
  <c r="AW20" i="28"/>
  <c r="AW21" i="28"/>
  <c r="AW25" i="28"/>
  <c r="AW17" i="28"/>
  <c r="AW9" i="28"/>
  <c r="AW13" i="28"/>
  <c r="AW14" i="28"/>
  <c r="AW15" i="28"/>
  <c r="AW22" i="28"/>
  <c r="AW11" i="28"/>
  <c r="AW18" i="28"/>
  <c r="AW26" i="28"/>
  <c r="AW27" i="28"/>
  <c r="AW23" i="28"/>
  <c r="AW8" i="28"/>
  <c r="AW25" i="26"/>
  <c r="AW24" i="26"/>
  <c r="AW27" i="26"/>
  <c r="AW26" i="26"/>
  <c r="AW9" i="26"/>
  <c r="AW11" i="26"/>
  <c r="AW12" i="26"/>
  <c r="AW13" i="26"/>
  <c r="AW20" i="26"/>
  <c r="AW19" i="26"/>
  <c r="AW22" i="26"/>
  <c r="AW23" i="26"/>
  <c r="AW15" i="26"/>
  <c r="AW17" i="26"/>
  <c r="AW21" i="26"/>
  <c r="AW14" i="26"/>
  <c r="AW16" i="26"/>
  <c r="AW10" i="26"/>
  <c r="AW18" i="26"/>
  <c r="AW8" i="26"/>
  <c r="AW16" i="22"/>
  <c r="AW13" i="22"/>
  <c r="AW18" i="22"/>
  <c r="AW26" i="22"/>
  <c r="AW9" i="22"/>
  <c r="AW12" i="22"/>
  <c r="AW21" i="22"/>
  <c r="AW19" i="22"/>
  <c r="AW23" i="22"/>
  <c r="AW25" i="22"/>
  <c r="AW20" i="22"/>
  <c r="AW17" i="22"/>
  <c r="AW15" i="22"/>
  <c r="AW22" i="22"/>
  <c r="AW14" i="22"/>
  <c r="AW24" i="22"/>
  <c r="AW27" i="22"/>
  <c r="AW11" i="22"/>
  <c r="AW10" i="22"/>
  <c r="AW10" i="24"/>
  <c r="AW13" i="24"/>
  <c r="AW15" i="24"/>
  <c r="AW11" i="24"/>
  <c r="AW9" i="24"/>
  <c r="AW12" i="24"/>
  <c r="AW16" i="24"/>
  <c r="AW19" i="24"/>
  <c r="AW23" i="24"/>
  <c r="AW14" i="24"/>
  <c r="AW18" i="24"/>
  <c r="AW22" i="24"/>
  <c r="AW20" i="24"/>
  <c r="AW17" i="24"/>
  <c r="AW21" i="24"/>
  <c r="AW24" i="24"/>
  <c r="AW25" i="24"/>
  <c r="AW27" i="24"/>
  <c r="AW26" i="24"/>
  <c r="AW8" i="24"/>
  <c r="O37" i="50" l="1"/>
  <c r="N38" i="50" s="1"/>
  <c r="N37" i="26"/>
  <c r="O37" i="26" s="1"/>
  <c r="AX45" i="28"/>
  <c r="AX44" i="28"/>
  <c r="AX22" i="44"/>
  <c r="AX9" i="44"/>
  <c r="AX16" i="44"/>
  <c r="AX12" i="44"/>
  <c r="AX18" i="44"/>
  <c r="AX14" i="44"/>
  <c r="AX11" i="44"/>
  <c r="AX26" i="44"/>
  <c r="AX28" i="44"/>
  <c r="AX20" i="44"/>
  <c r="AX30" i="44"/>
  <c r="AX27" i="44"/>
  <c r="AX31" i="44"/>
  <c r="AX10" i="44"/>
  <c r="AX32" i="44"/>
  <c r="AX29" i="44"/>
  <c r="AX25" i="44"/>
  <c r="AX24" i="44"/>
  <c r="AX13" i="44"/>
  <c r="AX15" i="44"/>
  <c r="AX17" i="44"/>
  <c r="AX19" i="44"/>
  <c r="AX21" i="44"/>
  <c r="AX23" i="44"/>
  <c r="AX28" i="40"/>
  <c r="AX20" i="40"/>
  <c r="AX16" i="40"/>
  <c r="AX9" i="40"/>
  <c r="AX24" i="40"/>
  <c r="AX30" i="40"/>
  <c r="AX29" i="40"/>
  <c r="AX31" i="40"/>
  <c r="AX15" i="40"/>
  <c r="AX12" i="40"/>
  <c r="AX23" i="40"/>
  <c r="AX19" i="40"/>
  <c r="AX32" i="40"/>
  <c r="AX21" i="40"/>
  <c r="AX18" i="40"/>
  <c r="AX13" i="40"/>
  <c r="AX27" i="40"/>
  <c r="AX25" i="40"/>
  <c r="AX14" i="40"/>
  <c r="AX10" i="40"/>
  <c r="AX11" i="40"/>
  <c r="AX17" i="40"/>
  <c r="AX22" i="40"/>
  <c r="AX26" i="40"/>
  <c r="AW10" i="37"/>
  <c r="AW20" i="37"/>
  <c r="AW27" i="37"/>
  <c r="AW16" i="37"/>
  <c r="AW28" i="37"/>
  <c r="AW17" i="37"/>
  <c r="AW11" i="37"/>
  <c r="AW32" i="37"/>
  <c r="AW22" i="37"/>
  <c r="AW14" i="37"/>
  <c r="AW13" i="37"/>
  <c r="AW12" i="37"/>
  <c r="AW15" i="37"/>
  <c r="AW18" i="37"/>
  <c r="AW21" i="37"/>
  <c r="AW23" i="37"/>
  <c r="AW9" i="37"/>
  <c r="AW25" i="37"/>
  <c r="AW31" i="37"/>
  <c r="AW29" i="37"/>
  <c r="AW26" i="37"/>
  <c r="AW19" i="37"/>
  <c r="AW24" i="37"/>
  <c r="AW30" i="37"/>
  <c r="AX43" i="28"/>
  <c r="AX41" i="28"/>
  <c r="AX42" i="28"/>
  <c r="AX28" i="27"/>
  <c r="AX32" i="27"/>
  <c r="AX29" i="27"/>
  <c r="AX31" i="27"/>
  <c r="AX30" i="27"/>
  <c r="AX28" i="28"/>
  <c r="AX36" i="28"/>
  <c r="AX38" i="28"/>
  <c r="AX30" i="28"/>
  <c r="AX33" i="28"/>
  <c r="AX37" i="28"/>
  <c r="AX34" i="28"/>
  <c r="AX32" i="28"/>
  <c r="AX39" i="28"/>
  <c r="AX31" i="28"/>
  <c r="AX35" i="28"/>
  <c r="AX29" i="28"/>
  <c r="AX40" i="28"/>
  <c r="AW11" i="30"/>
  <c r="AW15" i="30"/>
  <c r="AW28" i="30"/>
  <c r="AW31" i="30"/>
  <c r="AW8" i="30"/>
  <c r="AW10" i="30"/>
  <c r="AW17" i="30"/>
  <c r="AW29" i="30"/>
  <c r="AW9" i="30"/>
  <c r="AW14" i="30"/>
  <c r="AW18" i="30"/>
  <c r="AW21" i="30"/>
  <c r="AW20" i="30"/>
  <c r="AW26" i="30"/>
  <c r="AW19" i="30"/>
  <c r="AW27" i="30"/>
  <c r="AW22" i="30"/>
  <c r="AW23" i="30"/>
  <c r="AW32" i="30"/>
  <c r="AW13" i="30"/>
  <c r="AW30" i="30"/>
  <c r="AW25" i="30"/>
  <c r="AW12" i="30"/>
  <c r="AW16" i="30"/>
  <c r="AW24" i="30"/>
  <c r="AX28" i="26"/>
  <c r="AX30" i="26"/>
  <c r="AX32" i="26"/>
  <c r="AX29" i="26"/>
  <c r="AX31" i="26"/>
  <c r="AX28" i="24"/>
  <c r="AX31" i="24"/>
  <c r="AX29" i="24"/>
  <c r="AX32" i="24"/>
  <c r="AX30" i="24"/>
  <c r="AX28" i="25"/>
  <c r="AX29" i="25"/>
  <c r="AX31" i="25"/>
  <c r="AX30" i="25"/>
  <c r="AX32" i="25"/>
  <c r="AW9" i="29"/>
  <c r="AW23" i="29"/>
  <c r="AW13" i="29"/>
  <c r="AW12" i="29"/>
  <c r="AW16" i="29"/>
  <c r="AW20" i="29"/>
  <c r="AW32" i="29"/>
  <c r="AW11" i="29"/>
  <c r="AW10" i="29"/>
  <c r="AW18" i="29"/>
  <c r="AW24" i="29"/>
  <c r="AW30" i="29"/>
  <c r="AW26" i="29"/>
  <c r="AW27" i="29"/>
  <c r="AW21" i="29"/>
  <c r="AW28" i="29"/>
  <c r="AW15" i="29"/>
  <c r="AW8" i="29"/>
  <c r="AW14" i="29"/>
  <c r="AW25" i="29"/>
  <c r="AW31" i="29"/>
  <c r="AW17" i="29"/>
  <c r="AW22" i="29"/>
  <c r="AW19" i="29"/>
  <c r="AW29" i="29"/>
  <c r="AW26" i="31"/>
  <c r="AW28" i="31"/>
  <c r="AW15" i="31"/>
  <c r="AW11" i="31"/>
  <c r="AW10" i="31"/>
  <c r="AW14" i="31"/>
  <c r="AW22" i="31"/>
  <c r="AW16" i="31"/>
  <c r="AW18" i="31"/>
  <c r="AW19" i="31"/>
  <c r="AW31" i="31"/>
  <c r="AW32" i="31"/>
  <c r="AW9" i="31"/>
  <c r="AW25" i="31"/>
  <c r="AW29" i="31"/>
  <c r="AW30" i="31"/>
  <c r="AW12" i="31"/>
  <c r="AW24" i="31"/>
  <c r="AW13" i="31"/>
  <c r="AW21" i="31"/>
  <c r="AW17" i="31"/>
  <c r="AW8" i="31"/>
  <c r="AW23" i="31"/>
  <c r="AW27" i="31"/>
  <c r="AW20" i="31"/>
  <c r="AX28" i="22"/>
  <c r="AX32" i="22"/>
  <c r="AX29" i="22"/>
  <c r="AX30" i="22"/>
  <c r="AX31" i="22"/>
  <c r="AX24" i="28"/>
  <c r="AX13" i="28"/>
  <c r="AX14" i="28"/>
  <c r="AX18" i="28"/>
  <c r="AX21" i="28"/>
  <c r="AX9" i="28"/>
  <c r="AX12" i="28"/>
  <c r="AX16" i="28"/>
  <c r="AX15" i="28"/>
  <c r="AX20" i="28"/>
  <c r="AX10" i="28"/>
  <c r="AX17" i="28"/>
  <c r="AX19" i="28"/>
  <c r="AX23" i="28"/>
  <c r="AX25" i="28"/>
  <c r="AX22" i="28"/>
  <c r="AX26" i="28"/>
  <c r="AX11" i="28"/>
  <c r="AX27" i="28"/>
  <c r="AX8" i="28"/>
  <c r="AX9" i="27"/>
  <c r="AX13" i="27"/>
  <c r="AX14" i="27"/>
  <c r="AX16" i="27"/>
  <c r="AX12" i="27"/>
  <c r="AX10" i="27"/>
  <c r="AX15" i="27"/>
  <c r="AX17" i="27"/>
  <c r="AX11" i="27"/>
  <c r="AX19" i="27"/>
  <c r="AX20" i="27"/>
  <c r="AX21" i="27"/>
  <c r="AX22" i="27"/>
  <c r="AX23" i="27"/>
  <c r="AX18" i="27"/>
  <c r="AX25" i="27"/>
  <c r="AX27" i="27"/>
  <c r="AX26" i="27"/>
  <c r="AX24" i="27"/>
  <c r="AX9" i="24"/>
  <c r="AX13" i="24"/>
  <c r="AX11" i="24"/>
  <c r="AX12" i="24"/>
  <c r="AX15" i="24"/>
  <c r="AX17" i="24"/>
  <c r="AX21" i="24"/>
  <c r="AX10" i="24"/>
  <c r="AX14" i="24"/>
  <c r="AX20" i="24"/>
  <c r="AX19" i="24"/>
  <c r="AX23" i="24"/>
  <c r="AX16" i="24"/>
  <c r="AX18" i="24"/>
  <c r="AX22" i="24"/>
  <c r="AX25" i="24"/>
  <c r="AX24" i="24"/>
  <c r="AX27" i="24"/>
  <c r="AX26" i="24"/>
  <c r="AX8" i="24"/>
  <c r="AX25" i="26"/>
  <c r="AX24" i="26"/>
  <c r="AX27" i="26"/>
  <c r="AX26" i="26"/>
  <c r="AX9" i="26"/>
  <c r="AX10" i="26"/>
  <c r="AX15" i="26"/>
  <c r="AX16" i="26"/>
  <c r="AX18" i="26"/>
  <c r="AX20" i="26"/>
  <c r="AX22" i="26"/>
  <c r="AX23" i="26"/>
  <c r="AX13" i="26"/>
  <c r="AX12" i="26"/>
  <c r="AX17" i="26"/>
  <c r="AX21" i="26"/>
  <c r="AX14" i="26"/>
  <c r="AX19" i="26"/>
  <c r="AX11" i="26"/>
  <c r="AX8" i="26"/>
  <c r="AX22" i="22"/>
  <c r="AX17" i="22"/>
  <c r="AX25" i="22"/>
  <c r="AX24" i="22"/>
  <c r="AX15" i="22"/>
  <c r="AX26" i="22"/>
  <c r="AX9" i="22"/>
  <c r="AX10" i="22"/>
  <c r="AX27" i="22"/>
  <c r="AX11" i="22"/>
  <c r="AX21" i="22"/>
  <c r="AX23" i="22"/>
  <c r="AX13" i="22"/>
  <c r="AX14" i="22"/>
  <c r="AX16" i="22"/>
  <c r="AX12" i="22"/>
  <c r="AX18" i="22"/>
  <c r="AX19" i="22"/>
  <c r="AX20" i="22"/>
  <c r="AX27" i="25"/>
  <c r="AX9" i="25"/>
  <c r="AX13" i="25"/>
  <c r="AX19" i="25"/>
  <c r="AX23" i="25"/>
  <c r="AX12" i="25"/>
  <c r="AX15" i="25"/>
  <c r="AX16" i="25"/>
  <c r="AX11" i="25"/>
  <c r="AX17" i="25"/>
  <c r="AX18" i="25"/>
  <c r="AX21" i="25"/>
  <c r="AX14" i="25"/>
  <c r="AX25" i="25"/>
  <c r="AX20" i="25"/>
  <c r="AX26" i="25"/>
  <c r="AX24" i="25"/>
  <c r="AX22" i="25"/>
  <c r="AX10" i="25"/>
  <c r="O38" i="50" l="1"/>
  <c r="N39" i="50" s="1"/>
  <c r="N38" i="26"/>
  <c r="O38" i="26" s="1"/>
  <c r="AY44" i="28"/>
  <c r="AY45" i="28"/>
  <c r="AY15" i="44"/>
  <c r="AY10" i="44"/>
  <c r="AY13" i="44"/>
  <c r="AY12" i="44"/>
  <c r="AY9" i="44"/>
  <c r="AY29" i="44"/>
  <c r="AY31" i="44"/>
  <c r="AY16" i="44"/>
  <c r="AY25" i="44"/>
  <c r="AY23" i="44"/>
  <c r="AY19" i="44"/>
  <c r="AY32" i="44"/>
  <c r="AY18" i="44"/>
  <c r="AY20" i="44"/>
  <c r="AY21" i="44"/>
  <c r="AY17" i="44"/>
  <c r="AY11" i="44"/>
  <c r="AY14" i="44"/>
  <c r="AY22" i="44"/>
  <c r="AY30" i="44"/>
  <c r="AY28" i="44"/>
  <c r="AY26" i="44"/>
  <c r="AY24" i="44"/>
  <c r="AY27" i="44"/>
  <c r="AY32" i="40"/>
  <c r="AY18" i="40"/>
  <c r="AY24" i="40"/>
  <c r="AY28" i="40"/>
  <c r="AY11" i="40"/>
  <c r="AY19" i="40"/>
  <c r="AY20" i="40"/>
  <c r="AY27" i="40"/>
  <c r="AY29" i="40"/>
  <c r="AY10" i="40"/>
  <c r="AY15" i="40"/>
  <c r="AY12" i="40"/>
  <c r="AY13" i="40"/>
  <c r="AY17" i="40"/>
  <c r="AY23" i="40"/>
  <c r="AY22" i="40"/>
  <c r="AY30" i="40"/>
  <c r="AY31" i="40"/>
  <c r="AY21" i="40"/>
  <c r="AY25" i="40"/>
  <c r="AY16" i="40"/>
  <c r="AY14" i="40"/>
  <c r="AY26" i="40"/>
  <c r="AY9" i="40"/>
  <c r="AX13" i="37"/>
  <c r="AX18" i="37"/>
  <c r="AX17" i="37"/>
  <c r="AX9" i="37"/>
  <c r="AX14" i="37"/>
  <c r="AX21" i="37"/>
  <c r="AX20" i="37"/>
  <c r="AX22" i="37"/>
  <c r="AX32" i="37"/>
  <c r="AX30" i="37"/>
  <c r="AX11" i="37"/>
  <c r="AX19" i="37"/>
  <c r="AX25" i="37"/>
  <c r="AX16" i="37"/>
  <c r="AX31" i="37"/>
  <c r="AX28" i="37"/>
  <c r="AX15" i="37"/>
  <c r="AX27" i="37"/>
  <c r="AX24" i="37"/>
  <c r="AX29" i="37"/>
  <c r="AX10" i="37"/>
  <c r="AX12" i="37"/>
  <c r="AX26" i="37"/>
  <c r="AX23" i="37"/>
  <c r="AY43" i="28"/>
  <c r="AY41" i="28"/>
  <c r="AY42" i="28"/>
  <c r="AY28" i="27"/>
  <c r="AY32" i="27"/>
  <c r="AY29" i="27"/>
  <c r="AY31" i="27"/>
  <c r="AY30" i="27"/>
  <c r="AY28" i="26"/>
  <c r="AY30" i="26"/>
  <c r="AY31" i="26"/>
  <c r="AY32" i="26"/>
  <c r="AY29" i="26"/>
  <c r="AY28" i="28"/>
  <c r="AY30" i="28"/>
  <c r="AY38" i="28"/>
  <c r="AY29" i="28"/>
  <c r="AY37" i="28"/>
  <c r="AY39" i="28"/>
  <c r="AY33" i="28"/>
  <c r="AY36" i="28"/>
  <c r="AY40" i="28"/>
  <c r="AY35" i="28"/>
  <c r="AY32" i="28"/>
  <c r="AY34" i="28"/>
  <c r="AY31" i="28"/>
  <c r="AX29" i="29"/>
  <c r="AX27" i="29"/>
  <c r="AX13" i="29"/>
  <c r="AX25" i="29"/>
  <c r="AX9" i="29"/>
  <c r="AX28" i="29"/>
  <c r="AX31" i="29"/>
  <c r="AX16" i="29"/>
  <c r="AX12" i="29"/>
  <c r="AX17" i="29"/>
  <c r="AX32" i="29"/>
  <c r="AX21" i="29"/>
  <c r="AX18" i="29"/>
  <c r="AX22" i="29"/>
  <c r="AX24" i="29"/>
  <c r="AX15" i="29"/>
  <c r="AX11" i="29"/>
  <c r="AX8" i="29"/>
  <c r="AX23" i="29"/>
  <c r="AX20" i="29"/>
  <c r="AX14" i="29"/>
  <c r="AX19" i="29"/>
  <c r="AX26" i="29"/>
  <c r="AX10" i="29"/>
  <c r="AX30" i="29"/>
  <c r="AY28" i="24"/>
  <c r="AY31" i="24"/>
  <c r="AY30" i="24"/>
  <c r="AY29" i="24"/>
  <c r="AY32" i="24"/>
  <c r="AX17" i="31"/>
  <c r="AX13" i="31"/>
  <c r="AX30" i="31"/>
  <c r="AX9" i="31"/>
  <c r="AX23" i="31"/>
  <c r="AX27" i="31"/>
  <c r="AX21" i="31"/>
  <c r="AX29" i="31"/>
  <c r="AX12" i="31"/>
  <c r="AX24" i="31"/>
  <c r="AX25" i="31"/>
  <c r="AX8" i="31"/>
  <c r="AX15" i="31"/>
  <c r="AX32" i="31"/>
  <c r="AX19" i="31"/>
  <c r="AX26" i="31"/>
  <c r="AX10" i="31"/>
  <c r="AX18" i="31"/>
  <c r="AX22" i="31"/>
  <c r="AX28" i="31"/>
  <c r="AX31" i="31"/>
  <c r="AX11" i="31"/>
  <c r="AX16" i="31"/>
  <c r="AX14" i="31"/>
  <c r="AX20" i="31"/>
  <c r="AY28" i="25"/>
  <c r="AY31" i="25"/>
  <c r="AY32" i="25"/>
  <c r="AY30" i="25"/>
  <c r="AY29" i="25"/>
  <c r="AX15" i="30"/>
  <c r="AX10" i="30"/>
  <c r="AX8" i="30"/>
  <c r="AX12" i="30"/>
  <c r="AX16" i="30"/>
  <c r="AX25" i="30"/>
  <c r="AX21" i="30"/>
  <c r="AX9" i="30"/>
  <c r="AX32" i="30"/>
  <c r="AX24" i="30"/>
  <c r="AX20" i="30"/>
  <c r="AX13" i="30"/>
  <c r="AX28" i="30"/>
  <c r="AX29" i="30"/>
  <c r="AX30" i="30"/>
  <c r="AX27" i="30"/>
  <c r="AX23" i="30"/>
  <c r="AX19" i="30"/>
  <c r="AX18" i="30"/>
  <c r="AX11" i="30"/>
  <c r="AX17" i="30"/>
  <c r="AX31" i="30"/>
  <c r="AX26" i="30"/>
  <c r="AX14" i="30"/>
  <c r="AX22" i="30"/>
  <c r="AY28" i="22"/>
  <c r="AY29" i="22"/>
  <c r="AY30" i="22"/>
  <c r="AY32" i="22"/>
  <c r="AY31" i="22"/>
  <c r="AY15" i="22"/>
  <c r="AY11" i="22"/>
  <c r="AY22" i="22"/>
  <c r="AY25" i="22"/>
  <c r="AY14" i="22"/>
  <c r="AY19" i="22"/>
  <c r="AY16" i="22"/>
  <c r="AY24" i="22"/>
  <c r="AY10" i="22"/>
  <c r="AY9" i="22"/>
  <c r="AY17" i="22"/>
  <c r="AY26" i="22"/>
  <c r="AY27" i="22"/>
  <c r="AY18" i="22"/>
  <c r="AY20" i="22"/>
  <c r="AY12" i="22"/>
  <c r="AY21" i="22"/>
  <c r="AY23" i="22"/>
  <c r="AY13" i="22"/>
  <c r="AY10" i="24"/>
  <c r="AY14" i="24"/>
  <c r="AY15" i="24"/>
  <c r="AY9" i="24"/>
  <c r="AY11" i="24"/>
  <c r="AY13" i="24"/>
  <c r="AY17" i="24"/>
  <c r="AY12" i="24"/>
  <c r="AY18" i="24"/>
  <c r="AY22" i="24"/>
  <c r="AY23" i="24"/>
  <c r="AY21" i="24"/>
  <c r="AY16" i="24"/>
  <c r="AY19" i="24"/>
  <c r="AY20" i="24"/>
  <c r="AY25" i="24"/>
  <c r="AY26" i="24"/>
  <c r="AY27" i="24"/>
  <c r="AY24" i="24"/>
  <c r="AY8" i="24"/>
  <c r="AY16" i="25"/>
  <c r="AY20" i="25"/>
  <c r="AY21" i="25"/>
  <c r="AY27" i="25"/>
  <c r="AY9" i="25"/>
  <c r="AY10" i="25"/>
  <c r="AY13" i="25"/>
  <c r="AY14" i="25"/>
  <c r="AY26" i="25"/>
  <c r="AY12" i="25"/>
  <c r="AY17" i="25"/>
  <c r="AY18" i="25"/>
  <c r="AY22" i="25"/>
  <c r="AY19" i="25"/>
  <c r="AY25" i="25"/>
  <c r="AY11" i="25"/>
  <c r="AY15" i="25"/>
  <c r="AY23" i="25"/>
  <c r="AY24" i="25"/>
  <c r="AY10" i="27"/>
  <c r="AY11" i="27"/>
  <c r="AY13" i="27"/>
  <c r="AY9" i="27"/>
  <c r="AY12" i="27"/>
  <c r="AY14" i="27"/>
  <c r="AY15" i="27"/>
  <c r="AY16" i="27"/>
  <c r="AY17" i="27"/>
  <c r="AY18" i="27"/>
  <c r="AY20" i="27"/>
  <c r="AY21" i="27"/>
  <c r="AY23" i="27"/>
  <c r="AY19" i="27"/>
  <c r="AY22" i="27"/>
  <c r="AY25" i="27"/>
  <c r="AY26" i="27"/>
  <c r="AY24" i="27"/>
  <c r="AY27" i="27"/>
  <c r="AY24" i="26"/>
  <c r="AY25" i="26"/>
  <c r="AY26" i="26"/>
  <c r="AY27" i="26"/>
  <c r="AY11" i="26"/>
  <c r="AY12" i="26"/>
  <c r="AY13" i="26"/>
  <c r="AY9" i="26"/>
  <c r="AY16" i="26"/>
  <c r="AY22" i="26"/>
  <c r="AY10" i="26"/>
  <c r="AY18" i="26"/>
  <c r="AY15" i="26"/>
  <c r="AY17" i="26"/>
  <c r="AY19" i="26"/>
  <c r="AY20" i="26"/>
  <c r="AY21" i="26"/>
  <c r="AY23" i="26"/>
  <c r="AY14" i="26"/>
  <c r="AY8" i="26"/>
  <c r="AY24" i="28"/>
  <c r="AY9" i="28"/>
  <c r="AY15" i="28"/>
  <c r="AY23" i="28"/>
  <c r="AY10" i="28"/>
  <c r="AY11" i="28"/>
  <c r="AY14" i="28"/>
  <c r="AY22" i="28"/>
  <c r="AY13" i="28"/>
  <c r="AY17" i="28"/>
  <c r="AY19" i="28"/>
  <c r="AY12" i="28"/>
  <c r="AY16" i="28"/>
  <c r="AY18" i="28"/>
  <c r="AY21" i="28"/>
  <c r="AY25" i="28"/>
  <c r="AY26" i="28"/>
  <c r="AY27" i="28"/>
  <c r="AY20" i="28"/>
  <c r="AY8" i="28"/>
  <c r="N39" i="26" l="1"/>
  <c r="O39" i="26" s="1"/>
  <c r="O39" i="50"/>
  <c r="N40" i="50" s="1"/>
  <c r="AZ45" i="28"/>
  <c r="AZ44" i="28"/>
  <c r="AZ26" i="44"/>
  <c r="AZ19" i="44"/>
  <c r="AZ13" i="44"/>
  <c r="AZ9" i="44"/>
  <c r="AZ23" i="44"/>
  <c r="AZ15" i="44"/>
  <c r="AZ11" i="44"/>
  <c r="AZ21" i="44"/>
  <c r="AZ10" i="44"/>
  <c r="AZ31" i="44"/>
  <c r="AZ17" i="44"/>
  <c r="AZ20" i="44"/>
  <c r="AZ12" i="44"/>
  <c r="AZ24" i="44"/>
  <c r="AZ32" i="44"/>
  <c r="AZ16" i="44"/>
  <c r="AZ14" i="44"/>
  <c r="AZ22" i="44"/>
  <c r="AZ30" i="44"/>
  <c r="AZ28" i="44"/>
  <c r="AZ27" i="44"/>
  <c r="AZ18" i="44"/>
  <c r="AZ25" i="44"/>
  <c r="AZ29" i="44"/>
  <c r="AZ25" i="40"/>
  <c r="AZ17" i="40"/>
  <c r="AZ23" i="40"/>
  <c r="AZ27" i="40"/>
  <c r="AZ26" i="40"/>
  <c r="AZ16" i="40"/>
  <c r="AZ13" i="40"/>
  <c r="AZ10" i="40"/>
  <c r="AZ19" i="40"/>
  <c r="AZ20" i="40"/>
  <c r="AZ30" i="40"/>
  <c r="AZ21" i="40"/>
  <c r="AZ12" i="40"/>
  <c r="AZ9" i="40"/>
  <c r="AZ11" i="40"/>
  <c r="AZ24" i="40"/>
  <c r="AZ31" i="40"/>
  <c r="AZ28" i="40"/>
  <c r="AZ32" i="40"/>
  <c r="AZ15" i="40"/>
  <c r="AZ29" i="40"/>
  <c r="AZ14" i="40"/>
  <c r="AZ18" i="40"/>
  <c r="AZ22" i="40"/>
  <c r="AY12" i="37"/>
  <c r="AY13" i="37"/>
  <c r="AY16" i="37"/>
  <c r="AY18" i="37"/>
  <c r="AY17" i="37"/>
  <c r="AY10" i="37"/>
  <c r="AY30" i="37"/>
  <c r="AY14" i="37"/>
  <c r="AY20" i="37"/>
  <c r="AY22" i="37"/>
  <c r="AY26" i="37"/>
  <c r="AY24" i="37"/>
  <c r="AY11" i="37"/>
  <c r="AY15" i="37"/>
  <c r="AY19" i="37"/>
  <c r="AY27" i="37"/>
  <c r="AY32" i="37"/>
  <c r="AY29" i="37"/>
  <c r="AY9" i="37"/>
  <c r="AY23" i="37"/>
  <c r="AY25" i="37"/>
  <c r="AY31" i="37"/>
  <c r="AY28" i="37"/>
  <c r="AY21" i="37"/>
  <c r="AZ43" i="28"/>
  <c r="AZ42" i="28"/>
  <c r="AZ41" i="28"/>
  <c r="AZ28" i="27"/>
  <c r="AZ29" i="27"/>
  <c r="AZ32" i="27"/>
  <c r="AZ30" i="27"/>
  <c r="AZ31" i="27"/>
  <c r="AZ28" i="26"/>
  <c r="AZ29" i="26"/>
  <c r="AZ31" i="26"/>
  <c r="AZ30" i="26"/>
  <c r="AZ32" i="26"/>
  <c r="AY27" i="29"/>
  <c r="AY10" i="29"/>
  <c r="AY18" i="29"/>
  <c r="AY21" i="29"/>
  <c r="AY28" i="29"/>
  <c r="AY31" i="29"/>
  <c r="AY16" i="29"/>
  <c r="AY20" i="29"/>
  <c r="AY8" i="29"/>
  <c r="AY9" i="29"/>
  <c r="AY19" i="29"/>
  <c r="AY15" i="29"/>
  <c r="AY17" i="29"/>
  <c r="AY29" i="29"/>
  <c r="AY14" i="29"/>
  <c r="AY22" i="29"/>
  <c r="AY32" i="29"/>
  <c r="AY24" i="29"/>
  <c r="AY30" i="29"/>
  <c r="AY25" i="29"/>
  <c r="AY12" i="29"/>
  <c r="AY23" i="29"/>
  <c r="AY11" i="29"/>
  <c r="AY13" i="29"/>
  <c r="AY26" i="29"/>
  <c r="AZ28" i="28"/>
  <c r="AZ33" i="28"/>
  <c r="AZ35" i="28"/>
  <c r="AZ32" i="28"/>
  <c r="AZ36" i="28"/>
  <c r="AZ38" i="28"/>
  <c r="AZ37" i="28"/>
  <c r="AZ40" i="28"/>
  <c r="AZ39" i="28"/>
  <c r="AZ31" i="28"/>
  <c r="AZ34" i="28"/>
  <c r="AZ29" i="28"/>
  <c r="AZ30" i="28"/>
  <c r="AZ28" i="24"/>
  <c r="AZ29" i="24"/>
  <c r="AZ31" i="24"/>
  <c r="AZ32" i="24"/>
  <c r="AZ30" i="24"/>
  <c r="AZ28" i="25"/>
  <c r="AZ29" i="25"/>
  <c r="AZ30" i="25"/>
  <c r="AZ32" i="25"/>
  <c r="AZ31" i="25"/>
  <c r="AY21" i="31"/>
  <c r="AY25" i="31"/>
  <c r="AY14" i="31"/>
  <c r="AY19" i="31"/>
  <c r="AY10" i="31"/>
  <c r="AY20" i="31"/>
  <c r="AY27" i="31"/>
  <c r="AY13" i="31"/>
  <c r="AY22" i="31"/>
  <c r="AY23" i="31"/>
  <c r="AY32" i="31"/>
  <c r="AY30" i="31"/>
  <c r="AY31" i="31"/>
  <c r="AY9" i="31"/>
  <c r="AY8" i="31"/>
  <c r="AY17" i="31"/>
  <c r="AY11" i="31"/>
  <c r="AY12" i="31"/>
  <c r="AY18" i="31"/>
  <c r="AY15" i="31"/>
  <c r="AY28" i="31"/>
  <c r="AY26" i="31"/>
  <c r="AY24" i="31"/>
  <c r="AY16" i="31"/>
  <c r="AY29" i="31"/>
  <c r="AY14" i="30"/>
  <c r="AY10" i="30"/>
  <c r="AY8" i="30"/>
  <c r="AY16" i="30"/>
  <c r="AY13" i="30"/>
  <c r="AY27" i="30"/>
  <c r="AY19" i="30"/>
  <c r="AY25" i="30"/>
  <c r="AY21" i="30"/>
  <c r="AY23" i="30"/>
  <c r="AY18" i="30"/>
  <c r="AY26" i="30"/>
  <c r="AY31" i="30"/>
  <c r="AY9" i="30"/>
  <c r="AY28" i="30"/>
  <c r="AY24" i="30"/>
  <c r="AY29" i="30"/>
  <c r="AY11" i="30"/>
  <c r="AY30" i="30"/>
  <c r="AY15" i="30"/>
  <c r="AY20" i="30"/>
  <c r="AY12" i="30"/>
  <c r="AY32" i="30"/>
  <c r="AY17" i="30"/>
  <c r="AY22" i="30"/>
  <c r="AZ28" i="22"/>
  <c r="AZ32" i="22"/>
  <c r="AZ30" i="22"/>
  <c r="AZ31" i="22"/>
  <c r="AZ29" i="22"/>
  <c r="AZ26" i="25"/>
  <c r="AZ9" i="25"/>
  <c r="AZ12" i="25"/>
  <c r="AZ13" i="25"/>
  <c r="AZ15" i="25"/>
  <c r="AZ18" i="25"/>
  <c r="AZ22" i="25"/>
  <c r="AZ11" i="25"/>
  <c r="AZ20" i="25"/>
  <c r="AZ21" i="25"/>
  <c r="AZ10" i="25"/>
  <c r="AZ17" i="25"/>
  <c r="AZ25" i="25"/>
  <c r="AZ14" i="25"/>
  <c r="AZ16" i="25"/>
  <c r="AZ23" i="25"/>
  <c r="AZ27" i="25"/>
  <c r="AZ24" i="25"/>
  <c r="AZ19" i="25"/>
  <c r="AZ9" i="27"/>
  <c r="AZ11" i="27"/>
  <c r="AZ14" i="27"/>
  <c r="AZ15" i="27"/>
  <c r="AZ16" i="27"/>
  <c r="AZ17" i="27"/>
  <c r="AZ19" i="27"/>
  <c r="AZ22" i="27"/>
  <c r="AZ23" i="27"/>
  <c r="AZ10" i="27"/>
  <c r="AZ12" i="27"/>
  <c r="AZ13" i="27"/>
  <c r="AZ18" i="27"/>
  <c r="AZ20" i="27"/>
  <c r="AZ21" i="27"/>
  <c r="AZ24" i="27"/>
  <c r="AZ25" i="27"/>
  <c r="AZ26" i="27"/>
  <c r="AZ27" i="27"/>
  <c r="AZ9" i="24"/>
  <c r="AZ12" i="24"/>
  <c r="AZ16" i="24"/>
  <c r="AZ10" i="24"/>
  <c r="AZ20" i="24"/>
  <c r="AZ11" i="24"/>
  <c r="AZ17" i="24"/>
  <c r="AZ18" i="24"/>
  <c r="AZ14" i="24"/>
  <c r="AZ15" i="24"/>
  <c r="AZ19" i="24"/>
  <c r="AZ23" i="24"/>
  <c r="AZ22" i="24"/>
  <c r="AZ13" i="24"/>
  <c r="AZ21" i="24"/>
  <c r="AZ25" i="24"/>
  <c r="AZ24" i="24"/>
  <c r="AZ27" i="24"/>
  <c r="AZ26" i="24"/>
  <c r="AZ8" i="24"/>
  <c r="AZ24" i="26"/>
  <c r="AZ25" i="26"/>
  <c r="AZ27" i="26"/>
  <c r="AZ26" i="26"/>
  <c r="AZ9" i="26"/>
  <c r="AZ12" i="26"/>
  <c r="AZ21" i="26"/>
  <c r="AZ22" i="26"/>
  <c r="AZ17" i="26"/>
  <c r="AZ13" i="26"/>
  <c r="AZ18" i="26"/>
  <c r="AZ19" i="26"/>
  <c r="AZ11" i="26"/>
  <c r="AZ14" i="26"/>
  <c r="AZ15" i="26"/>
  <c r="AZ16" i="26"/>
  <c r="AZ20" i="26"/>
  <c r="AZ23" i="26"/>
  <c r="AZ10" i="26"/>
  <c r="AZ8" i="26"/>
  <c r="AZ18" i="22"/>
  <c r="AZ15" i="22"/>
  <c r="AZ27" i="22"/>
  <c r="AZ26" i="22"/>
  <c r="AZ14" i="22"/>
  <c r="AZ20" i="22"/>
  <c r="AZ10" i="22"/>
  <c r="AZ11" i="22"/>
  <c r="AZ13" i="22"/>
  <c r="AZ12" i="22"/>
  <c r="AZ9" i="22"/>
  <c r="AZ16" i="22"/>
  <c r="AZ19" i="22"/>
  <c r="AZ22" i="22"/>
  <c r="AZ21" i="22"/>
  <c r="AZ23" i="22"/>
  <c r="AZ17" i="22"/>
  <c r="AZ25" i="22"/>
  <c r="AZ24" i="22"/>
  <c r="AZ24" i="28"/>
  <c r="AZ9" i="28"/>
  <c r="AZ11" i="28"/>
  <c r="AZ13" i="28"/>
  <c r="AZ14" i="28"/>
  <c r="AZ17" i="28"/>
  <c r="AZ12" i="28"/>
  <c r="AZ16" i="28"/>
  <c r="AZ20" i="28"/>
  <c r="AZ21" i="28"/>
  <c r="AZ15" i="28"/>
  <c r="AZ22" i="28"/>
  <c r="AZ18" i="28"/>
  <c r="AZ19" i="28"/>
  <c r="AZ23" i="28"/>
  <c r="AZ10" i="28"/>
  <c r="AZ27" i="28"/>
  <c r="AZ25" i="28"/>
  <c r="AZ26" i="28"/>
  <c r="AZ8" i="28"/>
  <c r="O40" i="50" l="1"/>
  <c r="N41" i="50" s="1"/>
  <c r="N40" i="26"/>
  <c r="O40" i="26" s="1"/>
  <c r="BA45" i="28"/>
  <c r="BA44" i="28"/>
  <c r="BA26" i="44"/>
  <c r="BA9" i="44"/>
  <c r="BA10" i="44"/>
  <c r="BA12" i="44"/>
  <c r="BA11" i="44"/>
  <c r="BA23" i="44"/>
  <c r="BA16" i="44"/>
  <c r="BA31" i="44"/>
  <c r="BA19" i="44"/>
  <c r="BA15" i="44"/>
  <c r="BA13" i="44"/>
  <c r="BA17" i="44"/>
  <c r="BA18" i="44"/>
  <c r="BA21" i="44"/>
  <c r="BA14" i="44"/>
  <c r="BA22" i="44"/>
  <c r="BA25" i="44"/>
  <c r="BA30" i="44"/>
  <c r="BA27" i="44"/>
  <c r="BA20" i="44"/>
  <c r="BA24" i="44"/>
  <c r="BA32" i="44"/>
  <c r="BA29" i="44"/>
  <c r="BA28" i="44"/>
  <c r="BA25" i="40"/>
  <c r="BA20" i="40"/>
  <c r="BA12" i="40"/>
  <c r="BA9" i="40"/>
  <c r="BA23" i="40"/>
  <c r="BA27" i="40"/>
  <c r="BA30" i="40"/>
  <c r="BA31" i="40"/>
  <c r="BA21" i="40"/>
  <c r="BA17" i="40"/>
  <c r="BA19" i="40"/>
  <c r="BA32" i="40"/>
  <c r="BA29" i="40"/>
  <c r="BA24" i="40"/>
  <c r="BA13" i="40"/>
  <c r="BA15" i="40"/>
  <c r="BA18" i="40"/>
  <c r="BA16" i="40"/>
  <c r="BA10" i="40"/>
  <c r="BA26" i="40"/>
  <c r="BA14" i="40"/>
  <c r="BA11" i="40"/>
  <c r="BA22" i="40"/>
  <c r="BA28" i="40"/>
  <c r="AZ23" i="37"/>
  <c r="AZ16" i="37"/>
  <c r="AZ11" i="37"/>
  <c r="AZ22" i="37"/>
  <c r="AZ13" i="37"/>
  <c r="AZ19" i="37"/>
  <c r="AZ26" i="37"/>
  <c r="AZ14" i="37"/>
  <c r="AZ17" i="37"/>
  <c r="AZ18" i="37"/>
  <c r="AZ29" i="37"/>
  <c r="AZ12" i="37"/>
  <c r="AZ20" i="37"/>
  <c r="AZ9" i="37"/>
  <c r="AZ32" i="37"/>
  <c r="AZ27" i="37"/>
  <c r="AZ10" i="37"/>
  <c r="AZ25" i="37"/>
  <c r="AZ24" i="37"/>
  <c r="AZ31" i="37"/>
  <c r="AZ28" i="37"/>
  <c r="AZ15" i="37"/>
  <c r="AZ21" i="37"/>
  <c r="AZ30" i="37"/>
  <c r="BA43" i="28"/>
  <c r="BA41" i="28"/>
  <c r="BA42" i="28"/>
  <c r="BA28" i="25"/>
  <c r="BA30" i="25"/>
  <c r="BA31" i="25"/>
  <c r="BA29" i="25"/>
  <c r="BA32" i="25"/>
  <c r="BA28" i="26"/>
  <c r="BA31" i="26"/>
  <c r="BA32" i="26"/>
  <c r="BA29" i="26"/>
  <c r="BA30" i="26"/>
  <c r="AZ29" i="29"/>
  <c r="AZ30" i="29"/>
  <c r="AZ24" i="29"/>
  <c r="AZ14" i="29"/>
  <c r="AZ10" i="29"/>
  <c r="AZ32" i="29"/>
  <c r="AZ25" i="29"/>
  <c r="AZ22" i="29"/>
  <c r="AZ8" i="29"/>
  <c r="AZ13" i="29"/>
  <c r="AZ9" i="29"/>
  <c r="AZ31" i="29"/>
  <c r="AZ20" i="29"/>
  <c r="AZ16" i="29"/>
  <c r="AZ12" i="29"/>
  <c r="AZ21" i="29"/>
  <c r="AZ28" i="29"/>
  <c r="AZ15" i="29"/>
  <c r="AZ17" i="29"/>
  <c r="AZ18" i="29"/>
  <c r="AZ27" i="29"/>
  <c r="AZ11" i="29"/>
  <c r="AZ19" i="29"/>
  <c r="AZ23" i="29"/>
  <c r="AZ26" i="29"/>
  <c r="BA28" i="24"/>
  <c r="BA32" i="24"/>
  <c r="BA30" i="24"/>
  <c r="BA31" i="24"/>
  <c r="BA29" i="24"/>
  <c r="BA28" i="28"/>
  <c r="BA29" i="28"/>
  <c r="BA36" i="28"/>
  <c r="BA39" i="28"/>
  <c r="BA35" i="28"/>
  <c r="BA33" i="28"/>
  <c r="BA30" i="28"/>
  <c r="BA40" i="28"/>
  <c r="BA32" i="28"/>
  <c r="BA34" i="28"/>
  <c r="BA37" i="28"/>
  <c r="BA38" i="28"/>
  <c r="BA31" i="28"/>
  <c r="BA28" i="27"/>
  <c r="BA29" i="27"/>
  <c r="BA31" i="27"/>
  <c r="BA30" i="27"/>
  <c r="BA32" i="27"/>
  <c r="AZ9" i="30"/>
  <c r="AZ31" i="30"/>
  <c r="AZ18" i="30"/>
  <c r="AZ23" i="30"/>
  <c r="AZ20" i="30"/>
  <c r="AZ13" i="30"/>
  <c r="AZ25" i="30"/>
  <c r="AZ19" i="30"/>
  <c r="AZ14" i="30"/>
  <c r="AZ30" i="30"/>
  <c r="AZ27" i="30"/>
  <c r="AZ11" i="30"/>
  <c r="AZ16" i="30"/>
  <c r="AZ15" i="30"/>
  <c r="AZ26" i="30"/>
  <c r="AZ21" i="30"/>
  <c r="AZ12" i="30"/>
  <c r="AZ22" i="30"/>
  <c r="AZ24" i="30"/>
  <c r="AZ8" i="30"/>
  <c r="AZ28" i="30"/>
  <c r="AZ32" i="30"/>
  <c r="AZ29" i="30"/>
  <c r="AZ17" i="30"/>
  <c r="AZ10" i="30"/>
  <c r="AZ22" i="31"/>
  <c r="AZ16" i="31"/>
  <c r="AZ12" i="31"/>
  <c r="AZ31" i="31"/>
  <c r="AZ30" i="31"/>
  <c r="AZ14" i="31"/>
  <c r="AZ23" i="31"/>
  <c r="AZ10" i="31"/>
  <c r="AZ25" i="31"/>
  <c r="AZ26" i="31"/>
  <c r="AZ29" i="31"/>
  <c r="AZ8" i="31"/>
  <c r="AZ20" i="31"/>
  <c r="AZ24" i="31"/>
  <c r="AZ13" i="31"/>
  <c r="AZ19" i="31"/>
  <c r="AZ27" i="31"/>
  <c r="AZ28" i="31"/>
  <c r="AZ9" i="31"/>
  <c r="AZ11" i="31"/>
  <c r="AZ18" i="31"/>
  <c r="AZ21" i="31"/>
  <c r="AZ32" i="31"/>
  <c r="AZ17" i="31"/>
  <c r="AZ15" i="31"/>
  <c r="BA28" i="22"/>
  <c r="BA30" i="22"/>
  <c r="BA32" i="22"/>
  <c r="BA31" i="22"/>
  <c r="BA29" i="22"/>
  <c r="BA24" i="28"/>
  <c r="BA9" i="28"/>
  <c r="BA11" i="28"/>
  <c r="BA17" i="28"/>
  <c r="BA20" i="28"/>
  <c r="BA23" i="28"/>
  <c r="BA14" i="28"/>
  <c r="BA15" i="28"/>
  <c r="BA18" i="28"/>
  <c r="BA19" i="28"/>
  <c r="BA22" i="28"/>
  <c r="BA10" i="28"/>
  <c r="BA13" i="28"/>
  <c r="BA12" i="28"/>
  <c r="BA21" i="28"/>
  <c r="BA25" i="28"/>
  <c r="BA16" i="28"/>
  <c r="BA26" i="28"/>
  <c r="BA27" i="28"/>
  <c r="BA8" i="28"/>
  <c r="BA21" i="25"/>
  <c r="BA23" i="25"/>
  <c r="BA27" i="25"/>
  <c r="BA10" i="25"/>
  <c r="BA14" i="25"/>
  <c r="BA15" i="25"/>
  <c r="BA26" i="25"/>
  <c r="BA9" i="25"/>
  <c r="BA13" i="25"/>
  <c r="BA18" i="25"/>
  <c r="BA19" i="25"/>
  <c r="BA22" i="25"/>
  <c r="BA11" i="25"/>
  <c r="BA20" i="25"/>
  <c r="BA25" i="25"/>
  <c r="BA24" i="25"/>
  <c r="BA12" i="25"/>
  <c r="BA17" i="25"/>
  <c r="BA16" i="25"/>
  <c r="BA11" i="22"/>
  <c r="BA14" i="22"/>
  <c r="BA15" i="22"/>
  <c r="BA21" i="22"/>
  <c r="BA13" i="22"/>
  <c r="BA18" i="22"/>
  <c r="BA27" i="22"/>
  <c r="BA9" i="22"/>
  <c r="BA22" i="22"/>
  <c r="BA16" i="22"/>
  <c r="BA17" i="22"/>
  <c r="BA19" i="22"/>
  <c r="BA23" i="22"/>
  <c r="BA25" i="22"/>
  <c r="BA12" i="22"/>
  <c r="BA20" i="22"/>
  <c r="BA10" i="22"/>
  <c r="BA26" i="22"/>
  <c r="BA24" i="22"/>
  <c r="BA12" i="27"/>
  <c r="BA10" i="27"/>
  <c r="BA13" i="27"/>
  <c r="BA15" i="27"/>
  <c r="BA11" i="27"/>
  <c r="BA14" i="27"/>
  <c r="BA17" i="27"/>
  <c r="BA9" i="27"/>
  <c r="BA18" i="27"/>
  <c r="BA21" i="27"/>
  <c r="BA22" i="27"/>
  <c r="BA16" i="27"/>
  <c r="BA19" i="27"/>
  <c r="BA20" i="27"/>
  <c r="BA23" i="27"/>
  <c r="BA24" i="27"/>
  <c r="BA25" i="27"/>
  <c r="BA27" i="27"/>
  <c r="BA26" i="27"/>
  <c r="BA25" i="26"/>
  <c r="BA24" i="26"/>
  <c r="BA26" i="26"/>
  <c r="BA11" i="26"/>
  <c r="BA15" i="26"/>
  <c r="BA17" i="26"/>
  <c r="BA18" i="26"/>
  <c r="BA19" i="26"/>
  <c r="BA21" i="26"/>
  <c r="BA23" i="26"/>
  <c r="BA20" i="26"/>
  <c r="BA10" i="26"/>
  <c r="BA12" i="26"/>
  <c r="BA13" i="26"/>
  <c r="BA27" i="26"/>
  <c r="BA14" i="26"/>
  <c r="BA22" i="26"/>
  <c r="BA9" i="26"/>
  <c r="BA16" i="26"/>
  <c r="BA8" i="26"/>
  <c r="BA10" i="24"/>
  <c r="BA15" i="24"/>
  <c r="BA14" i="24"/>
  <c r="BA9" i="24"/>
  <c r="BA11" i="24"/>
  <c r="BA12" i="24"/>
  <c r="BA13" i="24"/>
  <c r="BA16" i="24"/>
  <c r="BA17" i="24"/>
  <c r="BA19" i="24"/>
  <c r="BA23" i="24"/>
  <c r="BA18" i="24"/>
  <c r="BA22" i="24"/>
  <c r="BA20" i="24"/>
  <c r="BA21" i="24"/>
  <c r="BA24" i="24"/>
  <c r="BA27" i="24"/>
  <c r="BA26" i="24"/>
  <c r="BA25" i="24"/>
  <c r="BA8" i="24"/>
  <c r="O41" i="50" l="1"/>
  <c r="N42" i="50" s="1"/>
  <c r="N41" i="26"/>
  <c r="O41" i="26" s="1"/>
  <c r="BB45" i="28"/>
  <c r="BB44" i="28"/>
  <c r="BB27" i="44"/>
  <c r="BB10" i="44"/>
  <c r="BB11" i="44"/>
  <c r="BB29" i="44"/>
  <c r="BB12" i="44"/>
  <c r="BB16" i="44"/>
  <c r="BB18" i="44"/>
  <c r="BB26" i="44"/>
  <c r="BB30" i="44"/>
  <c r="BB28" i="44"/>
  <c r="BB9" i="44"/>
  <c r="BB14" i="44"/>
  <c r="BB32" i="44"/>
  <c r="BB20" i="44"/>
  <c r="BB25" i="44"/>
  <c r="BB13" i="44"/>
  <c r="BB15" i="44"/>
  <c r="BB17" i="44"/>
  <c r="BB19" i="44"/>
  <c r="BB21" i="44"/>
  <c r="BB23" i="44"/>
  <c r="BB22" i="44"/>
  <c r="BB24" i="44"/>
  <c r="BB31" i="44"/>
  <c r="BB9" i="40"/>
  <c r="BB29" i="40"/>
  <c r="BB24" i="40"/>
  <c r="BB18" i="40"/>
  <c r="BB19" i="40"/>
  <c r="BB32" i="40"/>
  <c r="BB25" i="40"/>
  <c r="BB15" i="40"/>
  <c r="BB16" i="40"/>
  <c r="BB27" i="40"/>
  <c r="BB14" i="40"/>
  <c r="BB20" i="40"/>
  <c r="BB10" i="40"/>
  <c r="BB12" i="40"/>
  <c r="BB17" i="40"/>
  <c r="BB22" i="40"/>
  <c r="BB26" i="40"/>
  <c r="BB21" i="40"/>
  <c r="BB13" i="40"/>
  <c r="BB31" i="40"/>
  <c r="BB11" i="40"/>
  <c r="BB30" i="40"/>
  <c r="BB23" i="40"/>
  <c r="BB28" i="40"/>
  <c r="BA22" i="37"/>
  <c r="BA10" i="37"/>
  <c r="BA14" i="37"/>
  <c r="BA11" i="37"/>
  <c r="BA17" i="37"/>
  <c r="BA19" i="37"/>
  <c r="BA18" i="37"/>
  <c r="BA27" i="37"/>
  <c r="BA16" i="37"/>
  <c r="BA24" i="37"/>
  <c r="BA30" i="37"/>
  <c r="BA28" i="37"/>
  <c r="BA26" i="37"/>
  <c r="BA25" i="37"/>
  <c r="BA31" i="37"/>
  <c r="BA12" i="37"/>
  <c r="BA21" i="37"/>
  <c r="BA32" i="37"/>
  <c r="BA23" i="37"/>
  <c r="BA13" i="37"/>
  <c r="BA20" i="37"/>
  <c r="BA9" i="37"/>
  <c r="BA15" i="37"/>
  <c r="BA29" i="37"/>
  <c r="BB43" i="28"/>
  <c r="BB42" i="28"/>
  <c r="BB41" i="28"/>
  <c r="BB28" i="24"/>
  <c r="BB31" i="24"/>
  <c r="BB32" i="24"/>
  <c r="BB30" i="24"/>
  <c r="BB29" i="24"/>
  <c r="BB28" i="26"/>
  <c r="BB29" i="26"/>
  <c r="BB31" i="26"/>
  <c r="BB30" i="26"/>
  <c r="BB32" i="26"/>
  <c r="BA21" i="29"/>
  <c r="BA19" i="29"/>
  <c r="BA15" i="29"/>
  <c r="BA8" i="29"/>
  <c r="BA14" i="29"/>
  <c r="BA22" i="29"/>
  <c r="BA25" i="29"/>
  <c r="BA29" i="29"/>
  <c r="BA32" i="29"/>
  <c r="BA13" i="29"/>
  <c r="BA28" i="29"/>
  <c r="BA30" i="29"/>
  <c r="BA12" i="29"/>
  <c r="BA16" i="29"/>
  <c r="BA20" i="29"/>
  <c r="BA17" i="29"/>
  <c r="BA11" i="29"/>
  <c r="BA9" i="29"/>
  <c r="BA10" i="29"/>
  <c r="BA27" i="29"/>
  <c r="BA23" i="29"/>
  <c r="BA18" i="29"/>
  <c r="BA24" i="29"/>
  <c r="BA26" i="29"/>
  <c r="BA31" i="29"/>
  <c r="BA31" i="31"/>
  <c r="BA18" i="31"/>
  <c r="BA20" i="31"/>
  <c r="BA11" i="31"/>
  <c r="BA15" i="31"/>
  <c r="BA17" i="31"/>
  <c r="BA28" i="31"/>
  <c r="BA22" i="31"/>
  <c r="BA8" i="31"/>
  <c r="BA10" i="31"/>
  <c r="BA30" i="31"/>
  <c r="BA23" i="31"/>
  <c r="BA27" i="31"/>
  <c r="BA32" i="31"/>
  <c r="BA16" i="31"/>
  <c r="BA14" i="31"/>
  <c r="BA19" i="31"/>
  <c r="BA13" i="31"/>
  <c r="BA12" i="31"/>
  <c r="BA25" i="31"/>
  <c r="BA29" i="31"/>
  <c r="BA9" i="31"/>
  <c r="BA26" i="31"/>
  <c r="BA21" i="31"/>
  <c r="BA24" i="31"/>
  <c r="BB28" i="28"/>
  <c r="BB38" i="28"/>
  <c r="BB40" i="28"/>
  <c r="BB30" i="28"/>
  <c r="BB35" i="28"/>
  <c r="BB34" i="28"/>
  <c r="BB33" i="28"/>
  <c r="BB32" i="28"/>
  <c r="BB36" i="28"/>
  <c r="BB39" i="28"/>
  <c r="BB31" i="28"/>
  <c r="BB29" i="28"/>
  <c r="BB37" i="28"/>
  <c r="BB28" i="27"/>
  <c r="BB29" i="27"/>
  <c r="BB30" i="27"/>
  <c r="BB31" i="27"/>
  <c r="BB32" i="27"/>
  <c r="BA16" i="30"/>
  <c r="BA13" i="30"/>
  <c r="BA28" i="30"/>
  <c r="BA11" i="30"/>
  <c r="BA22" i="30"/>
  <c r="BA12" i="30"/>
  <c r="BA8" i="30"/>
  <c r="BA10" i="30"/>
  <c r="BA15" i="30"/>
  <c r="BA23" i="30"/>
  <c r="BA9" i="30"/>
  <c r="BA14" i="30"/>
  <c r="BA18" i="30"/>
  <c r="BA30" i="30"/>
  <c r="BA21" i="30"/>
  <c r="BA17" i="30"/>
  <c r="BA24" i="30"/>
  <c r="BA31" i="30"/>
  <c r="BA26" i="30"/>
  <c r="BA19" i="30"/>
  <c r="BA32" i="30"/>
  <c r="BA29" i="30"/>
  <c r="BA25" i="30"/>
  <c r="BA20" i="30"/>
  <c r="BA27" i="30"/>
  <c r="BB28" i="25"/>
  <c r="BB29" i="25"/>
  <c r="BB32" i="25"/>
  <c r="BB30" i="25"/>
  <c r="BB31" i="25"/>
  <c r="BB28" i="22"/>
  <c r="BB30" i="22"/>
  <c r="BB31" i="22"/>
  <c r="BB32" i="22"/>
  <c r="BB29" i="22"/>
  <c r="BB26" i="25"/>
  <c r="BB12" i="25"/>
  <c r="BB15" i="25"/>
  <c r="BB16" i="25"/>
  <c r="BB11" i="25"/>
  <c r="BB17" i="25"/>
  <c r="BB10" i="25"/>
  <c r="BB14" i="25"/>
  <c r="BB20" i="25"/>
  <c r="BB27" i="25"/>
  <c r="BB13" i="25"/>
  <c r="BB21" i="25"/>
  <c r="BB24" i="25"/>
  <c r="BB18" i="25"/>
  <c r="BB19" i="25"/>
  <c r="BB9" i="25"/>
  <c r="BB23" i="25"/>
  <c r="BB22" i="25"/>
  <c r="BB25" i="25"/>
  <c r="BB10" i="22"/>
  <c r="BB9" i="22"/>
  <c r="BB19" i="22"/>
  <c r="BB27" i="22"/>
  <c r="BB18" i="22"/>
  <c r="BB20" i="22"/>
  <c r="BB15" i="22"/>
  <c r="BB25" i="22"/>
  <c r="BB24" i="22"/>
  <c r="BB13" i="22"/>
  <c r="BB11" i="22"/>
  <c r="BB23" i="22"/>
  <c r="BB12" i="22"/>
  <c r="BB21" i="22"/>
  <c r="BB22" i="22"/>
  <c r="BB26" i="22"/>
  <c r="BB14" i="22"/>
  <c r="BB16" i="22"/>
  <c r="BB17" i="22"/>
  <c r="BB24" i="26"/>
  <c r="BB25" i="26"/>
  <c r="BB27" i="26"/>
  <c r="BB26" i="26"/>
  <c r="BB12" i="26"/>
  <c r="BB19" i="26"/>
  <c r="BB21" i="26"/>
  <c r="BB23" i="26"/>
  <c r="BB10" i="26"/>
  <c r="BB9" i="26"/>
  <c r="BB11" i="26"/>
  <c r="BB13" i="26"/>
  <c r="BB14" i="26"/>
  <c r="BB15" i="26"/>
  <c r="BB17" i="26"/>
  <c r="BB22" i="26"/>
  <c r="BB16" i="26"/>
  <c r="BB18" i="26"/>
  <c r="BB20" i="26"/>
  <c r="BB8" i="26"/>
  <c r="BB10" i="24"/>
  <c r="BB11" i="24"/>
  <c r="BB15" i="24"/>
  <c r="BB12" i="24"/>
  <c r="BB13" i="24"/>
  <c r="BB14" i="24"/>
  <c r="BB20" i="24"/>
  <c r="BB19" i="24"/>
  <c r="BB23" i="24"/>
  <c r="BB9" i="24"/>
  <c r="BB18" i="24"/>
  <c r="BB22" i="24"/>
  <c r="BB17" i="24"/>
  <c r="BB25" i="24"/>
  <c r="BB24" i="24"/>
  <c r="BB21" i="24"/>
  <c r="BB27" i="24"/>
  <c r="BB16" i="24"/>
  <c r="BB26" i="24"/>
  <c r="BB8" i="24"/>
  <c r="BB24" i="28"/>
  <c r="BB21" i="28"/>
  <c r="BB22" i="28"/>
  <c r="BB9" i="28"/>
  <c r="BB12" i="28"/>
  <c r="BB13" i="28"/>
  <c r="BB20" i="28"/>
  <c r="BB10" i="28"/>
  <c r="BB11" i="28"/>
  <c r="BB15" i="28"/>
  <c r="BB14" i="28"/>
  <c r="BB16" i="28"/>
  <c r="BB19" i="28"/>
  <c r="BB23" i="28"/>
  <c r="BB17" i="28"/>
  <c r="BB25" i="28"/>
  <c r="BB26" i="28"/>
  <c r="BB27" i="28"/>
  <c r="BB18" i="28"/>
  <c r="BB8" i="28"/>
  <c r="BB9" i="27"/>
  <c r="BB10" i="27"/>
  <c r="BB12" i="27"/>
  <c r="BB13" i="27"/>
  <c r="BB14" i="27"/>
  <c r="BB11" i="27"/>
  <c r="BB15" i="27"/>
  <c r="BB16" i="27"/>
  <c r="BB20" i="27"/>
  <c r="BB22" i="27"/>
  <c r="BB17" i="27"/>
  <c r="BB18" i="27"/>
  <c r="BB19" i="27"/>
  <c r="BB23" i="27"/>
  <c r="BB25" i="27"/>
  <c r="BB21" i="27"/>
  <c r="BB26" i="27"/>
  <c r="BB24" i="27"/>
  <c r="BB27" i="27"/>
  <c r="N42" i="26" l="1"/>
  <c r="O42" i="26" s="1"/>
  <c r="O42" i="50"/>
  <c r="N43" i="50" s="1"/>
  <c r="BC44" i="28"/>
  <c r="BC45" i="28"/>
  <c r="BC9" i="44"/>
  <c r="BC10" i="44"/>
  <c r="BC12" i="44"/>
  <c r="BC14" i="44"/>
  <c r="BC25" i="44"/>
  <c r="BC19" i="44"/>
  <c r="BC17" i="44"/>
  <c r="BC15" i="44"/>
  <c r="BC11" i="44"/>
  <c r="BC30" i="44"/>
  <c r="BC20" i="44"/>
  <c r="BC13" i="44"/>
  <c r="BC32" i="44"/>
  <c r="BC26" i="44"/>
  <c r="BC28" i="44"/>
  <c r="BC31" i="44"/>
  <c r="BC16" i="44"/>
  <c r="BC18" i="44"/>
  <c r="BC22" i="44"/>
  <c r="BC29" i="44"/>
  <c r="BC23" i="44"/>
  <c r="BC21" i="44"/>
  <c r="BC24" i="44"/>
  <c r="BC27" i="44"/>
  <c r="BC32" i="40"/>
  <c r="BC27" i="40"/>
  <c r="BC16" i="40"/>
  <c r="BC17" i="40"/>
  <c r="BC9" i="40"/>
  <c r="BC26" i="40"/>
  <c r="BC18" i="40"/>
  <c r="BC24" i="40"/>
  <c r="BC30" i="40"/>
  <c r="BC31" i="40"/>
  <c r="BC28" i="40"/>
  <c r="BC10" i="40"/>
  <c r="BC14" i="40"/>
  <c r="BC20" i="40"/>
  <c r="BC11" i="40"/>
  <c r="BC19" i="40"/>
  <c r="BC22" i="40"/>
  <c r="BC29" i="40"/>
  <c r="BC12" i="40"/>
  <c r="BC25" i="40"/>
  <c r="BC23" i="40"/>
  <c r="BC13" i="40"/>
  <c r="BC15" i="40"/>
  <c r="BC21" i="40"/>
  <c r="BB31" i="37"/>
  <c r="BB10" i="37"/>
  <c r="BB13" i="37"/>
  <c r="BB12" i="37"/>
  <c r="BB21" i="37"/>
  <c r="BB25" i="37"/>
  <c r="BB26" i="37"/>
  <c r="BB23" i="37"/>
  <c r="BB27" i="37"/>
  <c r="BB14" i="37"/>
  <c r="BB15" i="37"/>
  <c r="BB20" i="37"/>
  <c r="BB22" i="37"/>
  <c r="BB32" i="37"/>
  <c r="BB30" i="37"/>
  <c r="BB11" i="37"/>
  <c r="BB9" i="37"/>
  <c r="BB19" i="37"/>
  <c r="BB16" i="37"/>
  <c r="BB28" i="37"/>
  <c r="BB17" i="37"/>
  <c r="BB18" i="37"/>
  <c r="BB24" i="37"/>
  <c r="BB29" i="37"/>
  <c r="BC43" i="28"/>
  <c r="BC42" i="28"/>
  <c r="BC41" i="28"/>
  <c r="BC28" i="24"/>
  <c r="BC31" i="24"/>
  <c r="BC30" i="24"/>
  <c r="BC29" i="24"/>
  <c r="BC32" i="24"/>
  <c r="BB25" i="30"/>
  <c r="BB8" i="30"/>
  <c r="BB18" i="30"/>
  <c r="BB22" i="30"/>
  <c r="BB11" i="30"/>
  <c r="BB10" i="30"/>
  <c r="BB15" i="30"/>
  <c r="BB26" i="30"/>
  <c r="BB21" i="30"/>
  <c r="BB17" i="30"/>
  <c r="BB12" i="30"/>
  <c r="BB32" i="30"/>
  <c r="BB13" i="30"/>
  <c r="BB9" i="30"/>
  <c r="BB27" i="30"/>
  <c r="BB16" i="30"/>
  <c r="BB31" i="30"/>
  <c r="BB14" i="30"/>
  <c r="BB24" i="30"/>
  <c r="BB23" i="30"/>
  <c r="BB30" i="30"/>
  <c r="BB28" i="30"/>
  <c r="BB29" i="30"/>
  <c r="BB19" i="30"/>
  <c r="BB20" i="30"/>
  <c r="BC28" i="25"/>
  <c r="BC30" i="25"/>
  <c r="BC31" i="25"/>
  <c r="BC29" i="25"/>
  <c r="BC32" i="25"/>
  <c r="BB31" i="29"/>
  <c r="BB28" i="29"/>
  <c r="BB14" i="29"/>
  <c r="BB10" i="29"/>
  <c r="BB32" i="29"/>
  <c r="BB20" i="29"/>
  <c r="BB30" i="29"/>
  <c r="BB26" i="29"/>
  <c r="BB29" i="29"/>
  <c r="BB8" i="29"/>
  <c r="BB13" i="29"/>
  <c r="BB9" i="29"/>
  <c r="BB25" i="29"/>
  <c r="BB17" i="29"/>
  <c r="BB12" i="29"/>
  <c r="BB19" i="29"/>
  <c r="BB23" i="29"/>
  <c r="BB27" i="29"/>
  <c r="BB15" i="29"/>
  <c r="BB22" i="29"/>
  <c r="BB24" i="29"/>
  <c r="BB11" i="29"/>
  <c r="BB21" i="29"/>
  <c r="BB16" i="29"/>
  <c r="BB18" i="29"/>
  <c r="BC28" i="26"/>
  <c r="BC31" i="26"/>
  <c r="BC29" i="26"/>
  <c r="BC32" i="26"/>
  <c r="BC30" i="26"/>
  <c r="BC28" i="27"/>
  <c r="BC30" i="27"/>
  <c r="BC32" i="27"/>
  <c r="BC29" i="27"/>
  <c r="BC31" i="27"/>
  <c r="BC28" i="28"/>
  <c r="BC29" i="28"/>
  <c r="BC34" i="28"/>
  <c r="BC37" i="28"/>
  <c r="BC39" i="28"/>
  <c r="BC31" i="28"/>
  <c r="BC36" i="28"/>
  <c r="BC30" i="28"/>
  <c r="BC32" i="28"/>
  <c r="BC33" i="28"/>
  <c r="BC35" i="28"/>
  <c r="BC38" i="28"/>
  <c r="BC40" i="28"/>
  <c r="BB23" i="31"/>
  <c r="BB8" i="31"/>
  <c r="BB11" i="31"/>
  <c r="BB22" i="31"/>
  <c r="BB27" i="31"/>
  <c r="BB20" i="31"/>
  <c r="BB32" i="31"/>
  <c r="BB29" i="31"/>
  <c r="BB19" i="31"/>
  <c r="BB10" i="31"/>
  <c r="BB17" i="31"/>
  <c r="BB18" i="31"/>
  <c r="BB31" i="31"/>
  <c r="BB25" i="31"/>
  <c r="BB16" i="31"/>
  <c r="BB14" i="31"/>
  <c r="BB24" i="31"/>
  <c r="BB12" i="31"/>
  <c r="BB30" i="31"/>
  <c r="BB9" i="31"/>
  <c r="BB15" i="31"/>
  <c r="BB28" i="31"/>
  <c r="BB13" i="31"/>
  <c r="BB21" i="31"/>
  <c r="BB26" i="31"/>
  <c r="BC28" i="22"/>
  <c r="BC30" i="22"/>
  <c r="BC31" i="22"/>
  <c r="BC29" i="22"/>
  <c r="BC32" i="22"/>
  <c r="BC24" i="26"/>
  <c r="BC25" i="26"/>
  <c r="BC26" i="26"/>
  <c r="BC27" i="26"/>
  <c r="BC20" i="26"/>
  <c r="BC21" i="26"/>
  <c r="BC22" i="26"/>
  <c r="BC23" i="26"/>
  <c r="BC9" i="26"/>
  <c r="BC18" i="26"/>
  <c r="BC11" i="26"/>
  <c r="BC14" i="26"/>
  <c r="BC15" i="26"/>
  <c r="BC17" i="26"/>
  <c r="BC19" i="26"/>
  <c r="BC10" i="26"/>
  <c r="BC13" i="26"/>
  <c r="BC16" i="26"/>
  <c r="BC12" i="26"/>
  <c r="BC8" i="26"/>
  <c r="BC9" i="27"/>
  <c r="BC12" i="27"/>
  <c r="BC10" i="27"/>
  <c r="BC14" i="27"/>
  <c r="BC17" i="27"/>
  <c r="BC18" i="27"/>
  <c r="BC11" i="27"/>
  <c r="BC23" i="27"/>
  <c r="BC19" i="27"/>
  <c r="BC16" i="27"/>
  <c r="BC13" i="27"/>
  <c r="BC20" i="27"/>
  <c r="BC15" i="27"/>
  <c r="BC22" i="27"/>
  <c r="BC21" i="27"/>
  <c r="BC25" i="27"/>
  <c r="BC24" i="27"/>
  <c r="BC26" i="27"/>
  <c r="BC27" i="27"/>
  <c r="BC24" i="28"/>
  <c r="BC10" i="28"/>
  <c r="BC14" i="28"/>
  <c r="BC21" i="28"/>
  <c r="BC9" i="28"/>
  <c r="BC13" i="28"/>
  <c r="BC17" i="28"/>
  <c r="BC18" i="28"/>
  <c r="BC19" i="28"/>
  <c r="BC11" i="28"/>
  <c r="BC12" i="28"/>
  <c r="BC16" i="28"/>
  <c r="BC25" i="28"/>
  <c r="BC15" i="28"/>
  <c r="BC20" i="28"/>
  <c r="BC22" i="28"/>
  <c r="BC23" i="28"/>
  <c r="BC27" i="28"/>
  <c r="BC26" i="28"/>
  <c r="BC8" i="28"/>
  <c r="BC27" i="25"/>
  <c r="BC9" i="25"/>
  <c r="BC10" i="25"/>
  <c r="BC13" i="25"/>
  <c r="BC14" i="25"/>
  <c r="BC19" i="25"/>
  <c r="BC23" i="25"/>
  <c r="BC26" i="25"/>
  <c r="BC12" i="25"/>
  <c r="BC11" i="25"/>
  <c r="BC15" i="25"/>
  <c r="BC16" i="25"/>
  <c r="BC18" i="25"/>
  <c r="BC21" i="25"/>
  <c r="BC22" i="25"/>
  <c r="BC17" i="25"/>
  <c r="BC24" i="25"/>
  <c r="BC25" i="25"/>
  <c r="BC20" i="25"/>
  <c r="BC16" i="22"/>
  <c r="BC17" i="22"/>
  <c r="BC10" i="22"/>
  <c r="BC27" i="22"/>
  <c r="BC9" i="22"/>
  <c r="BC14" i="22"/>
  <c r="BC21" i="22"/>
  <c r="BC19" i="22"/>
  <c r="BC25" i="22"/>
  <c r="BC11" i="22"/>
  <c r="BC20" i="22"/>
  <c r="BC23" i="22"/>
  <c r="BC13" i="22"/>
  <c r="BC15" i="22"/>
  <c r="BC26" i="22"/>
  <c r="BC18" i="22"/>
  <c r="BC24" i="22"/>
  <c r="BC22" i="22"/>
  <c r="BC12" i="22"/>
  <c r="BC9" i="24"/>
  <c r="BC11" i="24"/>
  <c r="BC13" i="24"/>
  <c r="BC17" i="24"/>
  <c r="BC12" i="24"/>
  <c r="BC15" i="24"/>
  <c r="BC16" i="24"/>
  <c r="BC21" i="24"/>
  <c r="BC10" i="24"/>
  <c r="BC14" i="24"/>
  <c r="BC20" i="24"/>
  <c r="BC22" i="24"/>
  <c r="BC19" i="24"/>
  <c r="BC23" i="24"/>
  <c r="BC18" i="24"/>
  <c r="BC25" i="24"/>
  <c r="BC24" i="24"/>
  <c r="BC26" i="24"/>
  <c r="BC27" i="24"/>
  <c r="BC8" i="24"/>
  <c r="Q622" i="15"/>
  <c r="Q621" i="15"/>
  <c r="Q620" i="15"/>
  <c r="Q619" i="15"/>
  <c r="Q618" i="15"/>
  <c r="Q617" i="15"/>
  <c r="Q616" i="15"/>
  <c r="Q615" i="15"/>
  <c r="Q614" i="15"/>
  <c r="Q613" i="15"/>
  <c r="Q612" i="15"/>
  <c r="Q611" i="15"/>
  <c r="Q610" i="15"/>
  <c r="Q609" i="15"/>
  <c r="Q608" i="15"/>
  <c r="Q607" i="15"/>
  <c r="Q606" i="15"/>
  <c r="Q605" i="15"/>
  <c r="Q604" i="15"/>
  <c r="O43" i="50" l="1"/>
  <c r="N44" i="50" s="1"/>
  <c r="N43" i="26"/>
  <c r="O43" i="26" s="1"/>
  <c r="BD45" i="28"/>
  <c r="BD44" i="28"/>
  <c r="BD15" i="44"/>
  <c r="BD9" i="44"/>
  <c r="BD19" i="44"/>
  <c r="BD29" i="44"/>
  <c r="BD24" i="44"/>
  <c r="BD11" i="44"/>
  <c r="BD13" i="44"/>
  <c r="BD25" i="44"/>
  <c r="BD12" i="44"/>
  <c r="BD23" i="44"/>
  <c r="BD28" i="44"/>
  <c r="BD32" i="44"/>
  <c r="BD16" i="44"/>
  <c r="BD18" i="44"/>
  <c r="BD31" i="44"/>
  <c r="BD21" i="44"/>
  <c r="BD14" i="44"/>
  <c r="BD26" i="44"/>
  <c r="BD17" i="44"/>
  <c r="BD10" i="44"/>
  <c r="BD20" i="44"/>
  <c r="BD27" i="44"/>
  <c r="BD22" i="44"/>
  <c r="BD30" i="44"/>
  <c r="BD32" i="40"/>
  <c r="BD25" i="40"/>
  <c r="BD13" i="40"/>
  <c r="BD15" i="40"/>
  <c r="BD19" i="40"/>
  <c r="BD20" i="40"/>
  <c r="BD26" i="40"/>
  <c r="BD21" i="40"/>
  <c r="BD16" i="40"/>
  <c r="BD24" i="40"/>
  <c r="BD31" i="40"/>
  <c r="BD29" i="40"/>
  <c r="BD12" i="40"/>
  <c r="BD14" i="40"/>
  <c r="BD11" i="40"/>
  <c r="BD28" i="40"/>
  <c r="BD30" i="40"/>
  <c r="BD10" i="40"/>
  <c r="BD17" i="40"/>
  <c r="BD27" i="40"/>
  <c r="BD18" i="40"/>
  <c r="BD23" i="40"/>
  <c r="BD22" i="40"/>
  <c r="BD9" i="40"/>
  <c r="BC12" i="37"/>
  <c r="BC20" i="37"/>
  <c r="BC9" i="37"/>
  <c r="BC10" i="37"/>
  <c r="BC18" i="37"/>
  <c r="BC15" i="37"/>
  <c r="BC17" i="37"/>
  <c r="BC27" i="37"/>
  <c r="BC14" i="37"/>
  <c r="BC13" i="37"/>
  <c r="BC23" i="37"/>
  <c r="BC25" i="37"/>
  <c r="BC22" i="37"/>
  <c r="BC26" i="37"/>
  <c r="BC31" i="37"/>
  <c r="BC30" i="37"/>
  <c r="BC11" i="37"/>
  <c r="BC21" i="37"/>
  <c r="BC19" i="37"/>
  <c r="BC32" i="37"/>
  <c r="BC29" i="37"/>
  <c r="BC24" i="37"/>
  <c r="BC16" i="37"/>
  <c r="BC28" i="37"/>
  <c r="BD43" i="28"/>
  <c r="BD42" i="28"/>
  <c r="BD41" i="28"/>
  <c r="BC32" i="31"/>
  <c r="BC14" i="31"/>
  <c r="BC9" i="31"/>
  <c r="BC17" i="31"/>
  <c r="BC16" i="31"/>
  <c r="BC13" i="31"/>
  <c r="BC10" i="31"/>
  <c r="BC22" i="31"/>
  <c r="BC29" i="31"/>
  <c r="BC8" i="31"/>
  <c r="BC24" i="31"/>
  <c r="BC25" i="31"/>
  <c r="BC20" i="31"/>
  <c r="BC18" i="31"/>
  <c r="BC21" i="31"/>
  <c r="BC31" i="31"/>
  <c r="BC15" i="31"/>
  <c r="BC19" i="31"/>
  <c r="BC28" i="31"/>
  <c r="BC26" i="31"/>
  <c r="BC12" i="31"/>
  <c r="BC30" i="31"/>
  <c r="BC23" i="31"/>
  <c r="BC11" i="31"/>
  <c r="BC27" i="31"/>
  <c r="BD28" i="28"/>
  <c r="BD31" i="28"/>
  <c r="BD40" i="28"/>
  <c r="BD35" i="28"/>
  <c r="BD33" i="28"/>
  <c r="BD36" i="28"/>
  <c r="BD39" i="28"/>
  <c r="BD37" i="28"/>
  <c r="BD34" i="28"/>
  <c r="BD29" i="28"/>
  <c r="BD30" i="28"/>
  <c r="BD32" i="28"/>
  <c r="BD38" i="28"/>
  <c r="BC12" i="30"/>
  <c r="BC20" i="30"/>
  <c r="BC15" i="30"/>
  <c r="BC9" i="30"/>
  <c r="BC24" i="30"/>
  <c r="BC16" i="30"/>
  <c r="BC8" i="30"/>
  <c r="BC10" i="30"/>
  <c r="BC11" i="30"/>
  <c r="BC22" i="30"/>
  <c r="BC27" i="30"/>
  <c r="BC18" i="30"/>
  <c r="BC25" i="30"/>
  <c r="BC19" i="30"/>
  <c r="BC29" i="30"/>
  <c r="BC30" i="30"/>
  <c r="BC13" i="30"/>
  <c r="BC14" i="30"/>
  <c r="BC17" i="30"/>
  <c r="BC21" i="30"/>
  <c r="BC23" i="30"/>
  <c r="BC31" i="30"/>
  <c r="BC26" i="30"/>
  <c r="BC32" i="30"/>
  <c r="BC28" i="30"/>
  <c r="BD28" i="25"/>
  <c r="BD32" i="25"/>
  <c r="BD29" i="25"/>
  <c r="BD31" i="25"/>
  <c r="BD30" i="25"/>
  <c r="BD28" i="27"/>
  <c r="BD30" i="27"/>
  <c r="BD31" i="27"/>
  <c r="BD32" i="27"/>
  <c r="BD29" i="27"/>
  <c r="BD28" i="26"/>
  <c r="BD29" i="26"/>
  <c r="BD30" i="26"/>
  <c r="BD31" i="26"/>
  <c r="BD32" i="26"/>
  <c r="BC27" i="29"/>
  <c r="BC25" i="29"/>
  <c r="BC18" i="29"/>
  <c r="BC9" i="29"/>
  <c r="BC19" i="29"/>
  <c r="BC17" i="29"/>
  <c r="BC22" i="29"/>
  <c r="BC14" i="29"/>
  <c r="BC16" i="29"/>
  <c r="BC13" i="29"/>
  <c r="BC29" i="29"/>
  <c r="BC20" i="29"/>
  <c r="BC12" i="29"/>
  <c r="BC8" i="29"/>
  <c r="BC32" i="29"/>
  <c r="BC23" i="29"/>
  <c r="BC10" i="29"/>
  <c r="BC31" i="29"/>
  <c r="BC11" i="29"/>
  <c r="BC15" i="29"/>
  <c r="BC21" i="29"/>
  <c r="BC28" i="29"/>
  <c r="BC24" i="29"/>
  <c r="BC30" i="29"/>
  <c r="BC26" i="29"/>
  <c r="BD28" i="24"/>
  <c r="BD32" i="24"/>
  <c r="BD29" i="24"/>
  <c r="BD30" i="24"/>
  <c r="BD31" i="24"/>
  <c r="BD28" i="22"/>
  <c r="BD32" i="22"/>
  <c r="BD30" i="22"/>
  <c r="BD29" i="22"/>
  <c r="BD31" i="22"/>
  <c r="BD11" i="22"/>
  <c r="BD26" i="22"/>
  <c r="BD18" i="22"/>
  <c r="BD19" i="22"/>
  <c r="BD23" i="22"/>
  <c r="BD9" i="22"/>
  <c r="BD20" i="22"/>
  <c r="BD12" i="22"/>
  <c r="BD10" i="22"/>
  <c r="BD25" i="22"/>
  <c r="BD15" i="22"/>
  <c r="BD21" i="22"/>
  <c r="BD16" i="22"/>
  <c r="BD17" i="22"/>
  <c r="BD22" i="22"/>
  <c r="BD14" i="22"/>
  <c r="BD27" i="22"/>
  <c r="BD13" i="22"/>
  <c r="BD24" i="22"/>
  <c r="BD11" i="25"/>
  <c r="BD17" i="25"/>
  <c r="BD16" i="25"/>
  <c r="BD27" i="25"/>
  <c r="BD10" i="25"/>
  <c r="BD14" i="25"/>
  <c r="BD19" i="25"/>
  <c r="BD23" i="25"/>
  <c r="BD9" i="25"/>
  <c r="BD24" i="25"/>
  <c r="BD13" i="25"/>
  <c r="BD15" i="25"/>
  <c r="BD22" i="25"/>
  <c r="BD20" i="25"/>
  <c r="BD21" i="25"/>
  <c r="BD25" i="25"/>
  <c r="BD26" i="25"/>
  <c r="BD18" i="25"/>
  <c r="BD12" i="25"/>
  <c r="BD24" i="28"/>
  <c r="BD12" i="28"/>
  <c r="BD16" i="28"/>
  <c r="BD18" i="28"/>
  <c r="BD21" i="28"/>
  <c r="BD19" i="28"/>
  <c r="BD10" i="28"/>
  <c r="BD11" i="28"/>
  <c r="BD14" i="28"/>
  <c r="BD15" i="28"/>
  <c r="BD17" i="28"/>
  <c r="BD22" i="28"/>
  <c r="BD20" i="28"/>
  <c r="BD23" i="28"/>
  <c r="BD9" i="28"/>
  <c r="BD25" i="28"/>
  <c r="BD26" i="28"/>
  <c r="BD13" i="28"/>
  <c r="BD27" i="28"/>
  <c r="BD8" i="28"/>
  <c r="BD10" i="24"/>
  <c r="BD15" i="24"/>
  <c r="BD11" i="24"/>
  <c r="BD13" i="24"/>
  <c r="BD17" i="24"/>
  <c r="BD16" i="24"/>
  <c r="BD19" i="24"/>
  <c r="BD23" i="24"/>
  <c r="BD14" i="24"/>
  <c r="BD18" i="24"/>
  <c r="BD21" i="24"/>
  <c r="BD22" i="24"/>
  <c r="BD12" i="24"/>
  <c r="BD9" i="24"/>
  <c r="BD20" i="24"/>
  <c r="BD24" i="24"/>
  <c r="BD27" i="24"/>
  <c r="BD25" i="24"/>
  <c r="BD26" i="24"/>
  <c r="BD8" i="24"/>
  <c r="BD9" i="27"/>
  <c r="BD14" i="27"/>
  <c r="BD16" i="27"/>
  <c r="BD15" i="27"/>
  <c r="BD17" i="27"/>
  <c r="BD18" i="27"/>
  <c r="BD10" i="27"/>
  <c r="BD12" i="27"/>
  <c r="BD22" i="27"/>
  <c r="BD21" i="27"/>
  <c r="BD20" i="27"/>
  <c r="BD23" i="27"/>
  <c r="BD13" i="27"/>
  <c r="BD11" i="27"/>
  <c r="BD19" i="27"/>
  <c r="BD24" i="27"/>
  <c r="BD25" i="27"/>
  <c r="BD26" i="27"/>
  <c r="BD27" i="27"/>
  <c r="BD24" i="26"/>
  <c r="BD25" i="26"/>
  <c r="BD26" i="26"/>
  <c r="BD27" i="26"/>
  <c r="BD10" i="26"/>
  <c r="BD11" i="26"/>
  <c r="BD12" i="26"/>
  <c r="BD18" i="26"/>
  <c r="BD22" i="26"/>
  <c r="BD20" i="26"/>
  <c r="BD23" i="26"/>
  <c r="BD9" i="26"/>
  <c r="BD19" i="26"/>
  <c r="BD13" i="26"/>
  <c r="BD14" i="26"/>
  <c r="BD15" i="26"/>
  <c r="BD16" i="26"/>
  <c r="BD17" i="26"/>
  <c r="BD21" i="26"/>
  <c r="BD8" i="26"/>
  <c r="O44" i="50" l="1"/>
  <c r="N45" i="50" s="1"/>
  <c r="N44" i="26"/>
  <c r="O44" i="26" s="1"/>
  <c r="BE45" i="28"/>
  <c r="BE44" i="28"/>
  <c r="BE23" i="44"/>
  <c r="BE11" i="44"/>
  <c r="BE31" i="44"/>
  <c r="BE20" i="44"/>
  <c r="BE26" i="44"/>
  <c r="BE17" i="44"/>
  <c r="BE13" i="44"/>
  <c r="BE10" i="44"/>
  <c r="BE19" i="44"/>
  <c r="BE16" i="44"/>
  <c r="BE21" i="44"/>
  <c r="BE15" i="44"/>
  <c r="BE9" i="44"/>
  <c r="BE12" i="44"/>
  <c r="BE32" i="44"/>
  <c r="BE22" i="44"/>
  <c r="BE14" i="44"/>
  <c r="BE18" i="44"/>
  <c r="BE28" i="44"/>
  <c r="BE30" i="44"/>
  <c r="BE24" i="44"/>
  <c r="BE27" i="44"/>
  <c r="BE25" i="44"/>
  <c r="BE29" i="44"/>
  <c r="BE12" i="40"/>
  <c r="BE21" i="40"/>
  <c r="BE13" i="40"/>
  <c r="BE10" i="40"/>
  <c r="BE11" i="40"/>
  <c r="BE32" i="40"/>
  <c r="BE25" i="40"/>
  <c r="BE17" i="40"/>
  <c r="BE19" i="40"/>
  <c r="BE9" i="40"/>
  <c r="BE24" i="40"/>
  <c r="BE14" i="40"/>
  <c r="BE29" i="40"/>
  <c r="BE16" i="40"/>
  <c r="BE20" i="40"/>
  <c r="BE26" i="40"/>
  <c r="BE22" i="40"/>
  <c r="BE18" i="40"/>
  <c r="BE27" i="40"/>
  <c r="BE30" i="40"/>
  <c r="BE31" i="40"/>
  <c r="BE15" i="40"/>
  <c r="BE23" i="40"/>
  <c r="BE28" i="40"/>
  <c r="BD29" i="37"/>
  <c r="BD20" i="37"/>
  <c r="BD11" i="37"/>
  <c r="BD13" i="37"/>
  <c r="BD9" i="37"/>
  <c r="BD19" i="37"/>
  <c r="BD14" i="37"/>
  <c r="BD17" i="37"/>
  <c r="BD18" i="37"/>
  <c r="BD22" i="37"/>
  <c r="BD12" i="37"/>
  <c r="BD23" i="37"/>
  <c r="BD26" i="37"/>
  <c r="BD15" i="37"/>
  <c r="BD16" i="37"/>
  <c r="BD27" i="37"/>
  <c r="BD30" i="37"/>
  <c r="BD25" i="37"/>
  <c r="BD31" i="37"/>
  <c r="BD32" i="37"/>
  <c r="BD21" i="37"/>
  <c r="BD10" i="37"/>
  <c r="BD24" i="37"/>
  <c r="BD28" i="37"/>
  <c r="BE43" i="28"/>
  <c r="BE42" i="28"/>
  <c r="BE41" i="28"/>
  <c r="BE28" i="28"/>
  <c r="BE30" i="28"/>
  <c r="BE29" i="28"/>
  <c r="BE33" i="28"/>
  <c r="BE32" i="28"/>
  <c r="BE34" i="28"/>
  <c r="BE37" i="28"/>
  <c r="BE38" i="28"/>
  <c r="BE40" i="28"/>
  <c r="BE31" i="28"/>
  <c r="BE39" i="28"/>
  <c r="BE35" i="28"/>
  <c r="BE36" i="28"/>
  <c r="BD25" i="29"/>
  <c r="BD29" i="29"/>
  <c r="BD14" i="29"/>
  <c r="BD10" i="29"/>
  <c r="BD32" i="29"/>
  <c r="BD22" i="29"/>
  <c r="BD24" i="29"/>
  <c r="BD13" i="29"/>
  <c r="BD8" i="29"/>
  <c r="BD9" i="29"/>
  <c r="BD21" i="29"/>
  <c r="BD28" i="29"/>
  <c r="BD30" i="29"/>
  <c r="BD31" i="29"/>
  <c r="BD27" i="29"/>
  <c r="BD20" i="29"/>
  <c r="BD16" i="29"/>
  <c r="BD12" i="29"/>
  <c r="BD19" i="29"/>
  <c r="BD23" i="29"/>
  <c r="BD26" i="29"/>
  <c r="BD18" i="29"/>
  <c r="BD15" i="29"/>
  <c r="BD11" i="29"/>
  <c r="BD17" i="29"/>
  <c r="BE28" i="27"/>
  <c r="BE30" i="27"/>
  <c r="BE31" i="27"/>
  <c r="BE32" i="27"/>
  <c r="BE29" i="27"/>
  <c r="BD30" i="31"/>
  <c r="BD26" i="31"/>
  <c r="BD25" i="31"/>
  <c r="BD18" i="31"/>
  <c r="BD29" i="31"/>
  <c r="BD10" i="31"/>
  <c r="BD14" i="31"/>
  <c r="BD24" i="31"/>
  <c r="BD22" i="31"/>
  <c r="BD16" i="31"/>
  <c r="BD28" i="31"/>
  <c r="BD27" i="31"/>
  <c r="BD9" i="31"/>
  <c r="BD11" i="31"/>
  <c r="BD19" i="31"/>
  <c r="BD20" i="31"/>
  <c r="BD32" i="31"/>
  <c r="BD17" i="31"/>
  <c r="BD8" i="31"/>
  <c r="BD15" i="31"/>
  <c r="BD12" i="31"/>
  <c r="BD23" i="31"/>
  <c r="BD13" i="31"/>
  <c r="BD31" i="31"/>
  <c r="BD21" i="31"/>
  <c r="BE28" i="25"/>
  <c r="BE31" i="25"/>
  <c r="BE29" i="25"/>
  <c r="BE30" i="25"/>
  <c r="BE32" i="25"/>
  <c r="BE28" i="24"/>
  <c r="BE31" i="24"/>
  <c r="BE32" i="24"/>
  <c r="BE30" i="24"/>
  <c r="BE29" i="24"/>
  <c r="BE28" i="26"/>
  <c r="BE31" i="26"/>
  <c r="BE32" i="26"/>
  <c r="BE29" i="26"/>
  <c r="BE30" i="26"/>
  <c r="BD26" i="30"/>
  <c r="BD22" i="30"/>
  <c r="BD18" i="30"/>
  <c r="BD17" i="30"/>
  <c r="BD25" i="30"/>
  <c r="BD21" i="30"/>
  <c r="BD14" i="30"/>
  <c r="BD27" i="30"/>
  <c r="BD19" i="30"/>
  <c r="BD10" i="30"/>
  <c r="BD12" i="30"/>
  <c r="BD24" i="30"/>
  <c r="BD9" i="30"/>
  <c r="BD16" i="30"/>
  <c r="BD28" i="30"/>
  <c r="BD31" i="30"/>
  <c r="BD23" i="30"/>
  <c r="BD13" i="30"/>
  <c r="BD29" i="30"/>
  <c r="BD30" i="30"/>
  <c r="BD20" i="30"/>
  <c r="BD8" i="30"/>
  <c r="BD15" i="30"/>
  <c r="BD32" i="30"/>
  <c r="BD11" i="30"/>
  <c r="BE28" i="22"/>
  <c r="BE30" i="22"/>
  <c r="BE32" i="22"/>
  <c r="BE29" i="22"/>
  <c r="BE31" i="22"/>
  <c r="BE10" i="27"/>
  <c r="BE12" i="27"/>
  <c r="BE13" i="27"/>
  <c r="BE11" i="27"/>
  <c r="BE9" i="27"/>
  <c r="BE14" i="27"/>
  <c r="BE21" i="27"/>
  <c r="BE15" i="27"/>
  <c r="BE16" i="27"/>
  <c r="BE19" i="27"/>
  <c r="BE20" i="27"/>
  <c r="BE23" i="27"/>
  <c r="BE18" i="27"/>
  <c r="BE22" i="27"/>
  <c r="BE17" i="27"/>
  <c r="BE24" i="27"/>
  <c r="BE25" i="27"/>
  <c r="BE27" i="27"/>
  <c r="BE26" i="27"/>
  <c r="BE27" i="25"/>
  <c r="BE10" i="25"/>
  <c r="BE14" i="25"/>
  <c r="BE20" i="25"/>
  <c r="BE26" i="25"/>
  <c r="BE9" i="25"/>
  <c r="BE13" i="25"/>
  <c r="BE15" i="25"/>
  <c r="BE11" i="25"/>
  <c r="BE12" i="25"/>
  <c r="BE16" i="25"/>
  <c r="BE17" i="25"/>
  <c r="BE22" i="25"/>
  <c r="BE23" i="25"/>
  <c r="BE21" i="25"/>
  <c r="BE18" i="25"/>
  <c r="BE24" i="25"/>
  <c r="BE25" i="25"/>
  <c r="BE19" i="25"/>
  <c r="BE14" i="24"/>
  <c r="BE9" i="24"/>
  <c r="BE11" i="24"/>
  <c r="BE12" i="24"/>
  <c r="BE16" i="24"/>
  <c r="BE10" i="24"/>
  <c r="BE18" i="24"/>
  <c r="BE22" i="24"/>
  <c r="BE15" i="24"/>
  <c r="BE17" i="24"/>
  <c r="BE20" i="24"/>
  <c r="BE21" i="24"/>
  <c r="BE13" i="24"/>
  <c r="BE19" i="24"/>
  <c r="BE23" i="24"/>
  <c r="BE24" i="24"/>
  <c r="BE25" i="24"/>
  <c r="BE26" i="24"/>
  <c r="BE27" i="24"/>
  <c r="BE8" i="24"/>
  <c r="BE24" i="26"/>
  <c r="BE25" i="26"/>
  <c r="BE26" i="26"/>
  <c r="BE27" i="26"/>
  <c r="BE14" i="26"/>
  <c r="BE22" i="26"/>
  <c r="BE12" i="26"/>
  <c r="BE20" i="26"/>
  <c r="BE23" i="26"/>
  <c r="BE16" i="26"/>
  <c r="BE19" i="26"/>
  <c r="BE10" i="26"/>
  <c r="BE13" i="26"/>
  <c r="BE18" i="26"/>
  <c r="BE9" i="26"/>
  <c r="BE11" i="26"/>
  <c r="BE15" i="26"/>
  <c r="BE17" i="26"/>
  <c r="BE21" i="26"/>
  <c r="BE8" i="26"/>
  <c r="BE24" i="28"/>
  <c r="BE9" i="28"/>
  <c r="BE15" i="28"/>
  <c r="BE22" i="28"/>
  <c r="BE13" i="28"/>
  <c r="BE14" i="28"/>
  <c r="BE23" i="28"/>
  <c r="BE10" i="28"/>
  <c r="BE12" i="28"/>
  <c r="BE16" i="28"/>
  <c r="BE20" i="28"/>
  <c r="BE21" i="28"/>
  <c r="BE25" i="28"/>
  <c r="BE18" i="28"/>
  <c r="BE19" i="28"/>
  <c r="BE17" i="28"/>
  <c r="BE27" i="28"/>
  <c r="BE26" i="28"/>
  <c r="BE11" i="28"/>
  <c r="BE8" i="28"/>
  <c r="BE18" i="22"/>
  <c r="BE9" i="22"/>
  <c r="BE23" i="22"/>
  <c r="BE19" i="22"/>
  <c r="BE14" i="22"/>
  <c r="BE13" i="22"/>
  <c r="BE20" i="22"/>
  <c r="BE17" i="22"/>
  <c r="BE24" i="22"/>
  <c r="BE12" i="22"/>
  <c r="BE21" i="22"/>
  <c r="BE15" i="22"/>
  <c r="BE25" i="22"/>
  <c r="BE26" i="22"/>
  <c r="BE22" i="22"/>
  <c r="BE27" i="22"/>
  <c r="BE16" i="22"/>
  <c r="BE11" i="22"/>
  <c r="BE10" i="22"/>
  <c r="N45" i="26" l="1"/>
  <c r="O45" i="26" s="1"/>
  <c r="O45" i="50"/>
  <c r="N46" i="50" s="1"/>
  <c r="BF26" i="44"/>
  <c r="BF9" i="44"/>
  <c r="BF10" i="44"/>
  <c r="BF20" i="44"/>
  <c r="BF16" i="44"/>
  <c r="BF11" i="44"/>
  <c r="BF12" i="44"/>
  <c r="BF14" i="44"/>
  <c r="BF32" i="44"/>
  <c r="BF24" i="44"/>
  <c r="BF18" i="44"/>
  <c r="BF25" i="44"/>
  <c r="BF27" i="44"/>
  <c r="BF22" i="44"/>
  <c r="BF29" i="44"/>
  <c r="BF28" i="44"/>
  <c r="BF31" i="44"/>
  <c r="BF30" i="44"/>
  <c r="BF13" i="44"/>
  <c r="BF15" i="44"/>
  <c r="BF17" i="44"/>
  <c r="BF19" i="44"/>
  <c r="BF21" i="44"/>
  <c r="BF23" i="44"/>
  <c r="BF45" i="28"/>
  <c r="BF44" i="28"/>
  <c r="BF11" i="40"/>
  <c r="BF28" i="40"/>
  <c r="BF31" i="40"/>
  <c r="BF20" i="40"/>
  <c r="BF13" i="40"/>
  <c r="BF23" i="40"/>
  <c r="BF14" i="40"/>
  <c r="BF29" i="40"/>
  <c r="BF15" i="40"/>
  <c r="BF16" i="40"/>
  <c r="BF9" i="40"/>
  <c r="BF17" i="40"/>
  <c r="BF22" i="40"/>
  <c r="BF27" i="40"/>
  <c r="BF26" i="40"/>
  <c r="BF24" i="40"/>
  <c r="BF18" i="40"/>
  <c r="BF12" i="40"/>
  <c r="BF30" i="40"/>
  <c r="BF10" i="40"/>
  <c r="BF32" i="40"/>
  <c r="BF19" i="40"/>
  <c r="BF25" i="40"/>
  <c r="BF21" i="40"/>
  <c r="BE15" i="37"/>
  <c r="BE10" i="37"/>
  <c r="BE17" i="37"/>
  <c r="BE26" i="37"/>
  <c r="BE28" i="37"/>
  <c r="BE22" i="37"/>
  <c r="BE20" i="37"/>
  <c r="BE32" i="37"/>
  <c r="BE16" i="37"/>
  <c r="BE9" i="37"/>
  <c r="BE19" i="37"/>
  <c r="BE21" i="37"/>
  <c r="BE25" i="37"/>
  <c r="BE31" i="37"/>
  <c r="BE29" i="37"/>
  <c r="BE14" i="37"/>
  <c r="BE24" i="37"/>
  <c r="BE27" i="37"/>
  <c r="BE30" i="37"/>
  <c r="BE13" i="37"/>
  <c r="BE18" i="37"/>
  <c r="BE12" i="37"/>
  <c r="BE11" i="37"/>
  <c r="BE23" i="37"/>
  <c r="BF43" i="28"/>
  <c r="BF42" i="28"/>
  <c r="BF41" i="28"/>
  <c r="BF28" i="25"/>
  <c r="BF30" i="25"/>
  <c r="BF31" i="25"/>
  <c r="BF32" i="25"/>
  <c r="BF29" i="25"/>
  <c r="BF28" i="27"/>
  <c r="BF29" i="27"/>
  <c r="BF30" i="27"/>
  <c r="BF32" i="27"/>
  <c r="BF31" i="27"/>
  <c r="BE8" i="31"/>
  <c r="BE12" i="31"/>
  <c r="BE16" i="31"/>
  <c r="BE24" i="31"/>
  <c r="BE14" i="31"/>
  <c r="BE21" i="31"/>
  <c r="BE18" i="31"/>
  <c r="BE31" i="31"/>
  <c r="BE10" i="31"/>
  <c r="BE22" i="31"/>
  <c r="BE15" i="31"/>
  <c r="BE20" i="31"/>
  <c r="BE28" i="31"/>
  <c r="BE23" i="31"/>
  <c r="BE9" i="31"/>
  <c r="BE32" i="31"/>
  <c r="BE27" i="31"/>
  <c r="BE30" i="31"/>
  <c r="BE26" i="31"/>
  <c r="BE13" i="31"/>
  <c r="BE17" i="31"/>
  <c r="BE25" i="31"/>
  <c r="BE11" i="31"/>
  <c r="BE19" i="31"/>
  <c r="BE29" i="31"/>
  <c r="BF30" i="24"/>
  <c r="BF31" i="24"/>
  <c r="BF29" i="24"/>
  <c r="BF32" i="24"/>
  <c r="BE8" i="30"/>
  <c r="BE10" i="30"/>
  <c r="BE13" i="30"/>
  <c r="BE9" i="30"/>
  <c r="BE31" i="30"/>
  <c r="BE23" i="30"/>
  <c r="BE27" i="30"/>
  <c r="BE28" i="30"/>
  <c r="BE11" i="30"/>
  <c r="BE15" i="30"/>
  <c r="BE16" i="30"/>
  <c r="BE21" i="30"/>
  <c r="BE20" i="30"/>
  <c r="BE14" i="30"/>
  <c r="BE19" i="30"/>
  <c r="BE22" i="30"/>
  <c r="BE24" i="30"/>
  <c r="BE30" i="30"/>
  <c r="BE12" i="30"/>
  <c r="BE17" i="30"/>
  <c r="BE32" i="30"/>
  <c r="BE25" i="30"/>
  <c r="BE18" i="30"/>
  <c r="BE26" i="30"/>
  <c r="BE29" i="30"/>
  <c r="BF28" i="28"/>
  <c r="BF35" i="28"/>
  <c r="BF37" i="28"/>
  <c r="BF29" i="28"/>
  <c r="BF30" i="28"/>
  <c r="BF34" i="28"/>
  <c r="BF40" i="28"/>
  <c r="BF36" i="28"/>
  <c r="BF38" i="28"/>
  <c r="BF32" i="28"/>
  <c r="BF33" i="28"/>
  <c r="BF31" i="28"/>
  <c r="BF39" i="28"/>
  <c r="BF28" i="26"/>
  <c r="BF32" i="26"/>
  <c r="BF29" i="26"/>
  <c r="BF31" i="26"/>
  <c r="BF30" i="26"/>
  <c r="BE24" i="29"/>
  <c r="BE12" i="29"/>
  <c r="BE26" i="29"/>
  <c r="BE16" i="29"/>
  <c r="BE21" i="29"/>
  <c r="BE15" i="29"/>
  <c r="BE28" i="29"/>
  <c r="BE22" i="29"/>
  <c r="BE29" i="29"/>
  <c r="BE31" i="29"/>
  <c r="BE10" i="29"/>
  <c r="BE14" i="29"/>
  <c r="BE32" i="29"/>
  <c r="BE9" i="29"/>
  <c r="BE19" i="29"/>
  <c r="BE23" i="29"/>
  <c r="BE13" i="29"/>
  <c r="BE30" i="29"/>
  <c r="BE8" i="29"/>
  <c r="BE17" i="29"/>
  <c r="BE20" i="29"/>
  <c r="BE27" i="29"/>
  <c r="BE25" i="29"/>
  <c r="BE11" i="29"/>
  <c r="BE18" i="29"/>
  <c r="BF28" i="22"/>
  <c r="BF32" i="22"/>
  <c r="BF29" i="22"/>
  <c r="BF31" i="22"/>
  <c r="BF30" i="22"/>
  <c r="BF28" i="24"/>
  <c r="BF9" i="24"/>
  <c r="BF8" i="24"/>
  <c r="BF23" i="24"/>
  <c r="BF11" i="24"/>
  <c r="BF10" i="24"/>
  <c r="BF22" i="24"/>
  <c r="BF25" i="24"/>
  <c r="BF24" i="24"/>
  <c r="BF12" i="24"/>
  <c r="BF27" i="24"/>
  <c r="BF26" i="24"/>
  <c r="BF20" i="24"/>
  <c r="BF18" i="24"/>
  <c r="BF21" i="24"/>
  <c r="BF15" i="24"/>
  <c r="BF14" i="24"/>
  <c r="BF13" i="24"/>
  <c r="BF17" i="24"/>
  <c r="BF16" i="24"/>
  <c r="BF19" i="24"/>
  <c r="BF11" i="25"/>
  <c r="BF17" i="25"/>
  <c r="BF21" i="25"/>
  <c r="BF22" i="25"/>
  <c r="BF26" i="25"/>
  <c r="BF10" i="25"/>
  <c r="BF14" i="25"/>
  <c r="BF27" i="25"/>
  <c r="BF9" i="25"/>
  <c r="BF13" i="25"/>
  <c r="BF19" i="25"/>
  <c r="BF23" i="25"/>
  <c r="BF12" i="25"/>
  <c r="BF15" i="25"/>
  <c r="BF16" i="25"/>
  <c r="BF20" i="25"/>
  <c r="BF18" i="25"/>
  <c r="BF25" i="25"/>
  <c r="BF24" i="25"/>
  <c r="BF17" i="22"/>
  <c r="BF18" i="22"/>
  <c r="BF22" i="22"/>
  <c r="BF25" i="22"/>
  <c r="BF27" i="22"/>
  <c r="BF12" i="22"/>
  <c r="BF16" i="22"/>
  <c r="BF26" i="22"/>
  <c r="BF9" i="22"/>
  <c r="BF11" i="22"/>
  <c r="BF20" i="22"/>
  <c r="BF15" i="22"/>
  <c r="BF13" i="22"/>
  <c r="BF10" i="22"/>
  <c r="BF23" i="22"/>
  <c r="BF14" i="22"/>
  <c r="BF19" i="22"/>
  <c r="BF21" i="22"/>
  <c r="BF24" i="22"/>
  <c r="BF24" i="26"/>
  <c r="BF25" i="26"/>
  <c r="BF27" i="26"/>
  <c r="BF26" i="26"/>
  <c r="BF11" i="26"/>
  <c r="BF12" i="26"/>
  <c r="BF14" i="26"/>
  <c r="BF17" i="26"/>
  <c r="BF15" i="26"/>
  <c r="BF13" i="26"/>
  <c r="BF19" i="26"/>
  <c r="BF9" i="26"/>
  <c r="BF10" i="26"/>
  <c r="BF16" i="26"/>
  <c r="BF18" i="26"/>
  <c r="BF20" i="26"/>
  <c r="BF21" i="26"/>
  <c r="BF22" i="26"/>
  <c r="BF23" i="26"/>
  <c r="BF8" i="26"/>
  <c r="BF14" i="27"/>
  <c r="BF10" i="27"/>
  <c r="BF13" i="27"/>
  <c r="BF12" i="27"/>
  <c r="BF9" i="27"/>
  <c r="BF15" i="27"/>
  <c r="BF16" i="27"/>
  <c r="BF18" i="27"/>
  <c r="BF22" i="27"/>
  <c r="BF17" i="27"/>
  <c r="BF23" i="27"/>
  <c r="BF11" i="27"/>
  <c r="BF21" i="27"/>
  <c r="BF19" i="27"/>
  <c r="BF20" i="27"/>
  <c r="BF24" i="27"/>
  <c r="BF27" i="27"/>
  <c r="BF25" i="27"/>
  <c r="BF26" i="27"/>
  <c r="BF24" i="28"/>
  <c r="BF16" i="28"/>
  <c r="BF19" i="28"/>
  <c r="BF20" i="28"/>
  <c r="BF22" i="28"/>
  <c r="BF9" i="28"/>
  <c r="BF11" i="28"/>
  <c r="BF12" i="28"/>
  <c r="BF15" i="28"/>
  <c r="BF23" i="28"/>
  <c r="BF10" i="28"/>
  <c r="BF14" i="28"/>
  <c r="BF13" i="28"/>
  <c r="BF18" i="28"/>
  <c r="BF17" i="28"/>
  <c r="BF25" i="28"/>
  <c r="BF21" i="28"/>
  <c r="BF27" i="28"/>
  <c r="BF26" i="28"/>
  <c r="BF8" i="28"/>
  <c r="N46" i="26" l="1"/>
  <c r="O46" i="26" s="1"/>
  <c r="O46" i="50"/>
  <c r="N47" i="50" s="1"/>
  <c r="BG14" i="44"/>
  <c r="BG11" i="44"/>
  <c r="BG10" i="44"/>
  <c r="BG13" i="44"/>
  <c r="BG31" i="44"/>
  <c r="BG15" i="44"/>
  <c r="BG17" i="44"/>
  <c r="BG21" i="44"/>
  <c r="BG20" i="44"/>
  <c r="BG30" i="44"/>
  <c r="BG27" i="44"/>
  <c r="BG32" i="44"/>
  <c r="BG12" i="44"/>
  <c r="BG29" i="44"/>
  <c r="BG25" i="44"/>
  <c r="BG16" i="44"/>
  <c r="BG19" i="44"/>
  <c r="BG23" i="44"/>
  <c r="BG9" i="44"/>
  <c r="BG22" i="44"/>
  <c r="BG26" i="44"/>
  <c r="BG24" i="44"/>
  <c r="BG18" i="44"/>
  <c r="BG28" i="44"/>
  <c r="BG44" i="28"/>
  <c r="BG45" i="28"/>
  <c r="BG10" i="40"/>
  <c r="BG24" i="40"/>
  <c r="BG15" i="40"/>
  <c r="BG12" i="40"/>
  <c r="BG13" i="40"/>
  <c r="BG27" i="40"/>
  <c r="BG22" i="40"/>
  <c r="BG21" i="40"/>
  <c r="BG26" i="40"/>
  <c r="BG25" i="40"/>
  <c r="BG14" i="40"/>
  <c r="BG20" i="40"/>
  <c r="BG16" i="40"/>
  <c r="BG23" i="40"/>
  <c r="BG9" i="40"/>
  <c r="BG17" i="40"/>
  <c r="BG19" i="40"/>
  <c r="BG18" i="40"/>
  <c r="BG28" i="40"/>
  <c r="BG31" i="40"/>
  <c r="BG29" i="40"/>
  <c r="BG32" i="40"/>
  <c r="BG30" i="40"/>
  <c r="BG11" i="40"/>
  <c r="BF13" i="37"/>
  <c r="BF18" i="37"/>
  <c r="BF31" i="37"/>
  <c r="BF17" i="37"/>
  <c r="BF27" i="37"/>
  <c r="BF14" i="37"/>
  <c r="BF9" i="37"/>
  <c r="BF10" i="37"/>
  <c r="BF15" i="37"/>
  <c r="BF24" i="37"/>
  <c r="BF29" i="37"/>
  <c r="BF25" i="37"/>
  <c r="BF12" i="37"/>
  <c r="BF26" i="37"/>
  <c r="BF23" i="37"/>
  <c r="BF20" i="37"/>
  <c r="BF22" i="37"/>
  <c r="BF32" i="37"/>
  <c r="BF30" i="37"/>
  <c r="BF11" i="37"/>
  <c r="BF21" i="37"/>
  <c r="BF19" i="37"/>
  <c r="BF16" i="37"/>
  <c r="BF28" i="37"/>
  <c r="BG43" i="28"/>
  <c r="BG42" i="28"/>
  <c r="BG41" i="28"/>
  <c r="BG30" i="25"/>
  <c r="BG29" i="25"/>
  <c r="BG31" i="25"/>
  <c r="BG32" i="25"/>
  <c r="BF17" i="31"/>
  <c r="BF15" i="31"/>
  <c r="BF13" i="31"/>
  <c r="BF11" i="31"/>
  <c r="BF28" i="31"/>
  <c r="BF21" i="31"/>
  <c r="BF9" i="31"/>
  <c r="BF8" i="31"/>
  <c r="BF20" i="31"/>
  <c r="BF27" i="31"/>
  <c r="BF12" i="31"/>
  <c r="BF22" i="31"/>
  <c r="BF23" i="31"/>
  <c r="BF32" i="31"/>
  <c r="BF16" i="31"/>
  <c r="BF14" i="31"/>
  <c r="BF26" i="31"/>
  <c r="BF29" i="31"/>
  <c r="BF24" i="31"/>
  <c r="BF19" i="31"/>
  <c r="BF30" i="31"/>
  <c r="BF25" i="31"/>
  <c r="BF10" i="31"/>
  <c r="BF31" i="31"/>
  <c r="BF18" i="31"/>
  <c r="BG30" i="26"/>
  <c r="BG31" i="26"/>
  <c r="BG32" i="26"/>
  <c r="BG29" i="26"/>
  <c r="BF10" i="30"/>
  <c r="BF8" i="30"/>
  <c r="BF27" i="30"/>
  <c r="BF23" i="30"/>
  <c r="BF19" i="30"/>
  <c r="BF17" i="30"/>
  <c r="BF16" i="30"/>
  <c r="BF26" i="30"/>
  <c r="BF22" i="30"/>
  <c r="BF18" i="30"/>
  <c r="BF14" i="30"/>
  <c r="BF11" i="30"/>
  <c r="BF31" i="30"/>
  <c r="BF25" i="30"/>
  <c r="BF21" i="30"/>
  <c r="BF9" i="30"/>
  <c r="BF15" i="30"/>
  <c r="BF12" i="30"/>
  <c r="BF32" i="30"/>
  <c r="BF24" i="30"/>
  <c r="BF13" i="30"/>
  <c r="BF29" i="30"/>
  <c r="BF20" i="30"/>
  <c r="BF28" i="30"/>
  <c r="BF30" i="30"/>
  <c r="BG33" i="28"/>
  <c r="BG40" i="28"/>
  <c r="BG32" i="28"/>
  <c r="BG34" i="28"/>
  <c r="BG36" i="28"/>
  <c r="BG29" i="28"/>
  <c r="BG30" i="28"/>
  <c r="BG35" i="28"/>
  <c r="BG31" i="28"/>
  <c r="BG38" i="28"/>
  <c r="BG37" i="28"/>
  <c r="BG39" i="28"/>
  <c r="BG29" i="24"/>
  <c r="BG32" i="24"/>
  <c r="BG31" i="24"/>
  <c r="BG30" i="24"/>
  <c r="BG29" i="27"/>
  <c r="BG30" i="27"/>
  <c r="BG32" i="27"/>
  <c r="BG31" i="27"/>
  <c r="BF27" i="29"/>
  <c r="BF30" i="29"/>
  <c r="BF12" i="29"/>
  <c r="BF17" i="29"/>
  <c r="BF32" i="29"/>
  <c r="BF20" i="29"/>
  <c r="BF31" i="29"/>
  <c r="BF15" i="29"/>
  <c r="BF11" i="29"/>
  <c r="BF8" i="29"/>
  <c r="BF9" i="29"/>
  <c r="BF25" i="29"/>
  <c r="BF14" i="29"/>
  <c r="BF10" i="29"/>
  <c r="BF26" i="29"/>
  <c r="BF21" i="29"/>
  <c r="BF18" i="29"/>
  <c r="BF22" i="29"/>
  <c r="BF29" i="29"/>
  <c r="BF28" i="29"/>
  <c r="BF19" i="29"/>
  <c r="BF24" i="29"/>
  <c r="BF13" i="29"/>
  <c r="BF16" i="29"/>
  <c r="BF23" i="29"/>
  <c r="BG30" i="22"/>
  <c r="BG31" i="22"/>
  <c r="BG29" i="22"/>
  <c r="BG32" i="22"/>
  <c r="BG28" i="26"/>
  <c r="BG27" i="26"/>
  <c r="BG17" i="26"/>
  <c r="BG10" i="26"/>
  <c r="BG25" i="26"/>
  <c r="BG13" i="26"/>
  <c r="BG15" i="26"/>
  <c r="BG21" i="26"/>
  <c r="BG9" i="26"/>
  <c r="BG11" i="26"/>
  <c r="BG22" i="26"/>
  <c r="BG26" i="26"/>
  <c r="BG14" i="26"/>
  <c r="BG18" i="26"/>
  <c r="BG12" i="26"/>
  <c r="BG24" i="26"/>
  <c r="BG19" i="26"/>
  <c r="BG23" i="26"/>
  <c r="BG16" i="26"/>
  <c r="BG20" i="26"/>
  <c r="BG8" i="26"/>
  <c r="BG28" i="28"/>
  <c r="BG27" i="28"/>
  <c r="BG15" i="28"/>
  <c r="BG14" i="28"/>
  <c r="BG18" i="28"/>
  <c r="BG16" i="28"/>
  <c r="BG22" i="28"/>
  <c r="BG11" i="28"/>
  <c r="BG20" i="28"/>
  <c r="BG8" i="28"/>
  <c r="BG12" i="28"/>
  <c r="BG21" i="28"/>
  <c r="BG19" i="28"/>
  <c r="BG13" i="28"/>
  <c r="BG26" i="28"/>
  <c r="BG23" i="28"/>
  <c r="BG9" i="28"/>
  <c r="BG24" i="28"/>
  <c r="BG17" i="28"/>
  <c r="BG10" i="28"/>
  <c r="BG25" i="28"/>
  <c r="BG28" i="22"/>
  <c r="BG23" i="22"/>
  <c r="BG9" i="22"/>
  <c r="BG24" i="22"/>
  <c r="BG17" i="22"/>
  <c r="BG10" i="22"/>
  <c r="BG11" i="22"/>
  <c r="BG12" i="22"/>
  <c r="BG19" i="22"/>
  <c r="BG25" i="22"/>
  <c r="BG13" i="22"/>
  <c r="BG22" i="22"/>
  <c r="BG26" i="22"/>
  <c r="BG21" i="22"/>
  <c r="BG27" i="22"/>
  <c r="BG15" i="22"/>
  <c r="BG14" i="22"/>
  <c r="BG18" i="22"/>
  <c r="BG16" i="22"/>
  <c r="BG20" i="22"/>
  <c r="BG28" i="24"/>
  <c r="BG23" i="24"/>
  <c r="BG17" i="24"/>
  <c r="BG10" i="24"/>
  <c r="BG25" i="24"/>
  <c r="BG13" i="24"/>
  <c r="BG11" i="24"/>
  <c r="BG24" i="24"/>
  <c r="BG19" i="24"/>
  <c r="BG22" i="24"/>
  <c r="BG26" i="24"/>
  <c r="BG14" i="24"/>
  <c r="BG18" i="24"/>
  <c r="BG12" i="24"/>
  <c r="BG21" i="24"/>
  <c r="BG9" i="24"/>
  <c r="BG27" i="24"/>
  <c r="BG15" i="24"/>
  <c r="BG16" i="24"/>
  <c r="BG20" i="24"/>
  <c r="BG8" i="24"/>
  <c r="BG28" i="27"/>
  <c r="BG27" i="27"/>
  <c r="BG9" i="27"/>
  <c r="BG24" i="27"/>
  <c r="BG17" i="27"/>
  <c r="BG10" i="27"/>
  <c r="BG15" i="27"/>
  <c r="BG12" i="27"/>
  <c r="BG11" i="27"/>
  <c r="BG25" i="27"/>
  <c r="BG13" i="27"/>
  <c r="BG22" i="27"/>
  <c r="BG26" i="27"/>
  <c r="BG20" i="27"/>
  <c r="BG21" i="27"/>
  <c r="BG19" i="27"/>
  <c r="BG23" i="27"/>
  <c r="BG14" i="27"/>
  <c r="BG18" i="27"/>
  <c r="BG16" i="27"/>
  <c r="BG28" i="25"/>
  <c r="BG11" i="25"/>
  <c r="BG16" i="25"/>
  <c r="BG25" i="25"/>
  <c r="BG13" i="25"/>
  <c r="BG10" i="25"/>
  <c r="BG27" i="25"/>
  <c r="BG23" i="25"/>
  <c r="BG14" i="25"/>
  <c r="BG24" i="25"/>
  <c r="BG22" i="25"/>
  <c r="BG26" i="25"/>
  <c r="BG21" i="25"/>
  <c r="BG12" i="25"/>
  <c r="BG17" i="25"/>
  <c r="BG15" i="25"/>
  <c r="BG19" i="25"/>
  <c r="BG18" i="25"/>
  <c r="BG20" i="25"/>
  <c r="BG9" i="25"/>
  <c r="Q603" i="15"/>
  <c r="Q602" i="15"/>
  <c r="Q601" i="15"/>
  <c r="Q600" i="15"/>
  <c r="Q599" i="15"/>
  <c r="Q598" i="15"/>
  <c r="Q597" i="15"/>
  <c r="Q596" i="15"/>
  <c r="Q595" i="15"/>
  <c r="Q594" i="15"/>
  <c r="Q593" i="15"/>
  <c r="Q592" i="15"/>
  <c r="Q591" i="15"/>
  <c r="Q590" i="15"/>
  <c r="Q589" i="15"/>
  <c r="Q588" i="15"/>
  <c r="Q587" i="15"/>
  <c r="Q586" i="15"/>
  <c r="Q585" i="15"/>
  <c r="Q584" i="15"/>
  <c r="Q583" i="15"/>
  <c r="Q582" i="15"/>
  <c r="Q581" i="15"/>
  <c r="Q580" i="15"/>
  <c r="Q579" i="15"/>
  <c r="Q578" i="15"/>
  <c r="Q577" i="15"/>
  <c r="Q576" i="15"/>
  <c r="Q575" i="15"/>
  <c r="Q574" i="15"/>
  <c r="Q573" i="15"/>
  <c r="Q572" i="15"/>
  <c r="Q571" i="15"/>
  <c r="Q570" i="15"/>
  <c r="Q569" i="15"/>
  <c r="Q568" i="15"/>
  <c r="Q567" i="15"/>
  <c r="Q566" i="15"/>
  <c r="Q565" i="15"/>
  <c r="Q564" i="15"/>
  <c r="Q563" i="15"/>
  <c r="Q562" i="15"/>
  <c r="Q561" i="15"/>
  <c r="Q560" i="15"/>
  <c r="Q559" i="15"/>
  <c r="Q558" i="15"/>
  <c r="Q557" i="15"/>
  <c r="Q556" i="15"/>
  <c r="Q555" i="15"/>
  <c r="Q554" i="15"/>
  <c r="Q553" i="15"/>
  <c r="Q552" i="15"/>
  <c r="Q551" i="15"/>
  <c r="Q550" i="15"/>
  <c r="Q549" i="15"/>
  <c r="Q548" i="15"/>
  <c r="Q547" i="15"/>
  <c r="Q546" i="15"/>
  <c r="Q545" i="15"/>
  <c r="Q320" i="15"/>
  <c r="Q321" i="15"/>
  <c r="Q322" i="15"/>
  <c r="Q323" i="15"/>
  <c r="Q324" i="15"/>
  <c r="Q325" i="15"/>
  <c r="Q326" i="15"/>
  <c r="G35" i="28" s="1"/>
  <c r="Q327" i="15"/>
  <c r="Q328" i="15"/>
  <c r="Q329" i="15"/>
  <c r="Q330" i="15"/>
  <c r="Q331" i="15"/>
  <c r="Q332" i="15"/>
  <c r="Q333" i="15"/>
  <c r="Q334" i="15"/>
  <c r="Q335" i="15"/>
  <c r="G30" i="28" s="1"/>
  <c r="Q336" i="15"/>
  <c r="Q337" i="15"/>
  <c r="Q338" i="15"/>
  <c r="Q339" i="15"/>
  <c r="G48" i="28" s="1"/>
  <c r="J48" i="28" s="1"/>
  <c r="Q340" i="15"/>
  <c r="G33" i="28" s="1"/>
  <c r="Q341" i="15"/>
  <c r="Q342" i="15"/>
  <c r="Q343" i="15"/>
  <c r="Q344" i="15"/>
  <c r="Q345" i="15"/>
  <c r="Q346" i="15"/>
  <c r="G25" i="28" s="1"/>
  <c r="Q347" i="15"/>
  <c r="G27" i="28" s="1"/>
  <c r="Q348" i="15"/>
  <c r="G34" i="28" s="1"/>
  <c r="Q349" i="15"/>
  <c r="Q350" i="15"/>
  <c r="Q351" i="15"/>
  <c r="Q352" i="15"/>
  <c r="Q353" i="15"/>
  <c r="Q354" i="15"/>
  <c r="Q355" i="15"/>
  <c r="Q356" i="15"/>
  <c r="Q357" i="15"/>
  <c r="Q358" i="15"/>
  <c r="Q359" i="15"/>
  <c r="Q360" i="15"/>
  <c r="Q361" i="15"/>
  <c r="Q362" i="15"/>
  <c r="Q363" i="15"/>
  <c r="Q364" i="15"/>
  <c r="Q365" i="15"/>
  <c r="Q366" i="15"/>
  <c r="Q367" i="15"/>
  <c r="Q368" i="15"/>
  <c r="Q369" i="15"/>
  <c r="Q370" i="15"/>
  <c r="Q371" i="15"/>
  <c r="Q372" i="15"/>
  <c r="Q373" i="15"/>
  <c r="Q374" i="15"/>
  <c r="Q375" i="15"/>
  <c r="Q376" i="15"/>
  <c r="Q377" i="15"/>
  <c r="Q378" i="15"/>
  <c r="Q379" i="15"/>
  <c r="Q380" i="15"/>
  <c r="Q381" i="15"/>
  <c r="Q382" i="15"/>
  <c r="Q383" i="15"/>
  <c r="Q384" i="15"/>
  <c r="Q385" i="15"/>
  <c r="Q386" i="15"/>
  <c r="Q387" i="15"/>
  <c r="Q388" i="15"/>
  <c r="Q389" i="15"/>
  <c r="Q390" i="15"/>
  <c r="Q391" i="15"/>
  <c r="Q392" i="15"/>
  <c r="Q393" i="15"/>
  <c r="Q394" i="15"/>
  <c r="Q395" i="15"/>
  <c r="Q396" i="15"/>
  <c r="Q397" i="15"/>
  <c r="Q398" i="15"/>
  <c r="Q399" i="15"/>
  <c r="Q400" i="15"/>
  <c r="Q401" i="15"/>
  <c r="Q402" i="15"/>
  <c r="Q403" i="15"/>
  <c r="Q404" i="15"/>
  <c r="Q405" i="15"/>
  <c r="Q406" i="15"/>
  <c r="Q407" i="15"/>
  <c r="Q408" i="15"/>
  <c r="Q409" i="15"/>
  <c r="Q410" i="15"/>
  <c r="Q411" i="15"/>
  <c r="Q412" i="15"/>
  <c r="Q413" i="15"/>
  <c r="Q414" i="15"/>
  <c r="Q415" i="15"/>
  <c r="Q416" i="15"/>
  <c r="Q417" i="15"/>
  <c r="Q418" i="15"/>
  <c r="Q419" i="15"/>
  <c r="Q420" i="15"/>
  <c r="Q421" i="15"/>
  <c r="Q422" i="15"/>
  <c r="Q423" i="15"/>
  <c r="Q424" i="15"/>
  <c r="Q425" i="15"/>
  <c r="Q426" i="15"/>
  <c r="Q427" i="15"/>
  <c r="Q428" i="15"/>
  <c r="Q429" i="15"/>
  <c r="Q430" i="15"/>
  <c r="Q431" i="15"/>
  <c r="Q432" i="15"/>
  <c r="Q433" i="15"/>
  <c r="Q434" i="15"/>
  <c r="Q435" i="15"/>
  <c r="Q436" i="15"/>
  <c r="Q437" i="15"/>
  <c r="Q438" i="15"/>
  <c r="Q439" i="15"/>
  <c r="Q440" i="15"/>
  <c r="Q441" i="15"/>
  <c r="Q442" i="15"/>
  <c r="Q443" i="15"/>
  <c r="Q444" i="15"/>
  <c r="Q445" i="15"/>
  <c r="Q446" i="15"/>
  <c r="Q447" i="15"/>
  <c r="Q448" i="15"/>
  <c r="Q449" i="15"/>
  <c r="Q450" i="15"/>
  <c r="Q451" i="15"/>
  <c r="Q452" i="15"/>
  <c r="Q453" i="15"/>
  <c r="Q454" i="15"/>
  <c r="Q455" i="15"/>
  <c r="Q456" i="15"/>
  <c r="Q457" i="15"/>
  <c r="Q458" i="15"/>
  <c r="Q459" i="15"/>
  <c r="Q460" i="15"/>
  <c r="Q461" i="15"/>
  <c r="Q462" i="15"/>
  <c r="Q463" i="15"/>
  <c r="Q464" i="15"/>
  <c r="Q465" i="15"/>
  <c r="Q466" i="15"/>
  <c r="Q467" i="15"/>
  <c r="Q468" i="15"/>
  <c r="Q469" i="15"/>
  <c r="Q470" i="15"/>
  <c r="Q471" i="15"/>
  <c r="Q472" i="15"/>
  <c r="Q473" i="15"/>
  <c r="Q474" i="15"/>
  <c r="Q475" i="15"/>
  <c r="Q476" i="15"/>
  <c r="Q477" i="15"/>
  <c r="Q478" i="15"/>
  <c r="Q479" i="15"/>
  <c r="Q480" i="15"/>
  <c r="Q481" i="15"/>
  <c r="Q482" i="15"/>
  <c r="Q483" i="15"/>
  <c r="Q484" i="15"/>
  <c r="Q485" i="15"/>
  <c r="Q486" i="15"/>
  <c r="Q487" i="15"/>
  <c r="Q488" i="15"/>
  <c r="Q489" i="15"/>
  <c r="Q490" i="15"/>
  <c r="Q491" i="15"/>
  <c r="Q492" i="15"/>
  <c r="Q493" i="15"/>
  <c r="Q494" i="15"/>
  <c r="Q495" i="15"/>
  <c r="Q496" i="15"/>
  <c r="Q497" i="15"/>
  <c r="Q498" i="15"/>
  <c r="Q499" i="15"/>
  <c r="Q500" i="15"/>
  <c r="Q501" i="15"/>
  <c r="Q502" i="15"/>
  <c r="Q503" i="15"/>
  <c r="Q504" i="15"/>
  <c r="Q505" i="15"/>
  <c r="Q506" i="15"/>
  <c r="Q507" i="15"/>
  <c r="Q508" i="15"/>
  <c r="Q509" i="15"/>
  <c r="Q510" i="15"/>
  <c r="Q511" i="15"/>
  <c r="Q512" i="15"/>
  <c r="Q513" i="15"/>
  <c r="Q514" i="15"/>
  <c r="Q515" i="15"/>
  <c r="Q516" i="15"/>
  <c r="Q517" i="15"/>
  <c r="Q534" i="15"/>
  <c r="Q535" i="15"/>
  <c r="Q536" i="15"/>
  <c r="Q537" i="15"/>
  <c r="Q538" i="15"/>
  <c r="Q539" i="15"/>
  <c r="Q540" i="15"/>
  <c r="Q541" i="15"/>
  <c r="Q542" i="15"/>
  <c r="Q543" i="15"/>
  <c r="Q544" i="15"/>
  <c r="C6" i="4"/>
  <c r="D7" i="4"/>
  <c r="E7" i="4"/>
  <c r="I7" i="4"/>
  <c r="J7" i="4" s="1"/>
  <c r="D8" i="4"/>
  <c r="F8" i="4" s="1"/>
  <c r="E8" i="4"/>
  <c r="G8" i="4" s="1"/>
  <c r="I8" i="4"/>
  <c r="J8" i="4" s="1"/>
  <c r="D9" i="4"/>
  <c r="E9" i="4"/>
  <c r="G9" i="4" s="1"/>
  <c r="I9" i="4"/>
  <c r="J9" i="4" s="1"/>
  <c r="D10" i="4"/>
  <c r="E10" i="4"/>
  <c r="G10" i="4" s="1"/>
  <c r="I10" i="4"/>
  <c r="J10" i="4" s="1"/>
  <c r="C11" i="4"/>
  <c r="C13" i="4"/>
  <c r="D14" i="4"/>
  <c r="F14" i="4" s="1"/>
  <c r="E14" i="4"/>
  <c r="G14" i="4" s="1"/>
  <c r="I14" i="4"/>
  <c r="J14" i="4" s="1"/>
  <c r="D15" i="4"/>
  <c r="F15" i="4" s="1"/>
  <c r="E15" i="4"/>
  <c r="G15" i="4" s="1"/>
  <c r="I15" i="4"/>
  <c r="J15" i="4" s="1"/>
  <c r="D16" i="4"/>
  <c r="F16" i="4" s="1"/>
  <c r="E16" i="4"/>
  <c r="G16" i="4" s="1"/>
  <c r="I16" i="4"/>
  <c r="J16" i="4" s="1"/>
  <c r="C18" i="4"/>
  <c r="F19" i="4"/>
  <c r="E19" i="4"/>
  <c r="I19" i="4"/>
  <c r="J19" i="4" s="1"/>
  <c r="D20" i="4"/>
  <c r="D18" i="4" s="1"/>
  <c r="E20" i="4"/>
  <c r="G20" i="4" s="1"/>
  <c r="G18" i="4" s="1"/>
  <c r="I20" i="4"/>
  <c r="I18" i="4" s="1"/>
  <c r="D22" i="4"/>
  <c r="D23" i="4"/>
  <c r="F23" i="4" s="1"/>
  <c r="E23" i="4"/>
  <c r="I23" i="4"/>
  <c r="D24" i="4"/>
  <c r="F24" i="4" s="1"/>
  <c r="E24" i="4"/>
  <c r="G24" i="4" s="1"/>
  <c r="I24" i="4"/>
  <c r="J24" i="4" s="1"/>
  <c r="D25" i="4"/>
  <c r="F25" i="4" s="1"/>
  <c r="E25" i="4"/>
  <c r="G25" i="4" s="1"/>
  <c r="I25" i="4"/>
  <c r="J25" i="4" s="1"/>
  <c r="D27" i="4"/>
  <c r="D28" i="4"/>
  <c r="F28" i="4" s="1"/>
  <c r="E28" i="4"/>
  <c r="G28" i="4" s="1"/>
  <c r="I28" i="4"/>
  <c r="J28" i="4" s="1"/>
  <c r="D29" i="4"/>
  <c r="F29" i="4" s="1"/>
  <c r="E29" i="4"/>
  <c r="I29" i="4"/>
  <c r="J29" i="4" s="1"/>
  <c r="D30" i="4"/>
  <c r="F30" i="4" s="1"/>
  <c r="E30" i="4"/>
  <c r="G30" i="4" s="1"/>
  <c r="I30" i="4"/>
  <c r="J30" i="4" s="1"/>
  <c r="D34" i="4"/>
  <c r="D32" i="4" s="1"/>
  <c r="E34" i="4"/>
  <c r="I34" i="4"/>
  <c r="J34" i="4" s="1"/>
  <c r="C35" i="4"/>
  <c r="N47" i="26" l="1"/>
  <c r="O47" i="26" s="1"/>
  <c r="O47" i="50"/>
  <c r="N48" i="50" s="1"/>
  <c r="G37" i="28"/>
  <c r="J37" i="28" s="1"/>
  <c r="G36" i="28"/>
  <c r="J36" i="28" s="1"/>
  <c r="G45" i="28"/>
  <c r="J45" i="28" s="1"/>
  <c r="G11" i="28"/>
  <c r="J11" i="28" s="1"/>
  <c r="K11" i="28" s="1"/>
  <c r="G9" i="28"/>
  <c r="J9" i="28" s="1"/>
  <c r="K9" i="28" s="1"/>
  <c r="G12" i="28"/>
  <c r="J12" i="28" s="1"/>
  <c r="K12" i="28" s="1"/>
  <c r="G46" i="28"/>
  <c r="J46" i="28" s="1"/>
  <c r="K46" i="28" s="1"/>
  <c r="M46" i="28" s="1"/>
  <c r="G47" i="28"/>
  <c r="J47" i="28" s="1"/>
  <c r="L47" i="28" s="1"/>
  <c r="G44" i="28"/>
  <c r="J44" i="28" s="1"/>
  <c r="G15" i="28"/>
  <c r="J15" i="28" s="1"/>
  <c r="K15" i="28" s="1"/>
  <c r="G38" i="28"/>
  <c r="J38" i="28" s="1"/>
  <c r="G19" i="28"/>
  <c r="J19" i="28" s="1"/>
  <c r="K19" i="28" s="1"/>
  <c r="G39" i="28"/>
  <c r="J39" i="28" s="1"/>
  <c r="G40" i="28"/>
  <c r="J40" i="28" s="1"/>
  <c r="G10" i="28"/>
  <c r="J10" i="28" s="1"/>
  <c r="K10" i="28" s="1"/>
  <c r="G16" i="28"/>
  <c r="J16" i="28" s="1"/>
  <c r="K16" i="28" s="1"/>
  <c r="L48" i="28"/>
  <c r="K48" i="28"/>
  <c r="M48" i="28" s="1"/>
  <c r="G18" i="28"/>
  <c r="J18" i="28" s="1"/>
  <c r="K18" i="28" s="1"/>
  <c r="G21" i="28"/>
  <c r="J21" i="28" s="1"/>
  <c r="K21" i="28" s="1"/>
  <c r="G23" i="28"/>
  <c r="J23" i="28" s="1"/>
  <c r="K23" i="28" s="1"/>
  <c r="G17" i="28"/>
  <c r="J17" i="28" s="1"/>
  <c r="K17" i="28" s="1"/>
  <c r="G14" i="28"/>
  <c r="J14" i="28" s="1"/>
  <c r="K14" i="28" s="1"/>
  <c r="G42" i="28"/>
  <c r="J42" i="28" s="1"/>
  <c r="G29" i="28"/>
  <c r="J29" i="28" s="1"/>
  <c r="G41" i="28"/>
  <c r="J41" i="28" s="1"/>
  <c r="G43" i="28"/>
  <c r="J43" i="28" s="1"/>
  <c r="G8" i="28"/>
  <c r="J8" i="28" s="1"/>
  <c r="K8" i="28" s="1"/>
  <c r="BH45" i="28"/>
  <c r="BH44" i="28"/>
  <c r="BH25" i="44"/>
  <c r="BH17" i="44"/>
  <c r="BH23" i="44"/>
  <c r="BH13" i="44"/>
  <c r="BH31" i="44"/>
  <c r="BH19" i="44"/>
  <c r="BH29" i="44"/>
  <c r="BH21" i="44"/>
  <c r="BH9" i="44"/>
  <c r="BH15" i="44"/>
  <c r="BH32" i="44"/>
  <c r="BH16" i="44"/>
  <c r="BH14" i="44"/>
  <c r="BH22" i="44"/>
  <c r="BH30" i="44"/>
  <c r="BH24" i="44"/>
  <c r="BH10" i="44"/>
  <c r="BH11" i="44"/>
  <c r="BH20" i="44"/>
  <c r="BH12" i="44"/>
  <c r="BH27" i="44"/>
  <c r="BH28" i="44"/>
  <c r="BH18" i="44"/>
  <c r="BH26" i="44"/>
  <c r="J13" i="44"/>
  <c r="J16" i="44"/>
  <c r="J22" i="44"/>
  <c r="J31" i="44"/>
  <c r="J32" i="44"/>
  <c r="J21" i="44"/>
  <c r="J10" i="44"/>
  <c r="J24" i="44"/>
  <c r="J9" i="44"/>
  <c r="J29" i="44"/>
  <c r="J26" i="44"/>
  <c r="J18" i="44"/>
  <c r="J12" i="44"/>
  <c r="J20" i="44"/>
  <c r="J23" i="44"/>
  <c r="J15" i="44"/>
  <c r="J30" i="44"/>
  <c r="J25" i="44"/>
  <c r="I14" i="37"/>
  <c r="J27" i="44"/>
  <c r="J11" i="44"/>
  <c r="J19" i="44"/>
  <c r="J28" i="44"/>
  <c r="J17" i="44"/>
  <c r="J29" i="27"/>
  <c r="J28" i="27"/>
  <c r="BH26" i="40"/>
  <c r="BH12" i="40"/>
  <c r="BH13" i="40"/>
  <c r="BH9" i="40"/>
  <c r="BH11" i="40"/>
  <c r="BH24" i="40"/>
  <c r="BH31" i="40"/>
  <c r="BH28" i="40"/>
  <c r="BH25" i="40"/>
  <c r="BH21" i="40"/>
  <c r="BH14" i="40"/>
  <c r="BH15" i="40"/>
  <c r="BH17" i="40"/>
  <c r="BH18" i="40"/>
  <c r="BH10" i="40"/>
  <c r="BH23" i="40"/>
  <c r="BH27" i="40"/>
  <c r="BH30" i="40"/>
  <c r="BH16" i="40"/>
  <c r="BH32" i="40"/>
  <c r="BH19" i="40"/>
  <c r="BH22" i="40"/>
  <c r="BH29" i="40"/>
  <c r="BH20" i="40"/>
  <c r="J16" i="40"/>
  <c r="J13" i="40"/>
  <c r="J18" i="40"/>
  <c r="J9" i="40"/>
  <c r="BG24" i="37"/>
  <c r="BG16" i="37"/>
  <c r="BG12" i="37"/>
  <c r="BG17" i="37"/>
  <c r="BG18" i="37"/>
  <c r="BG14" i="37"/>
  <c r="BG10" i="37"/>
  <c r="BG23" i="37"/>
  <c r="BG25" i="37"/>
  <c r="BG31" i="37"/>
  <c r="BG28" i="37"/>
  <c r="BG13" i="37"/>
  <c r="BG20" i="37"/>
  <c r="BG21" i="37"/>
  <c r="BG22" i="37"/>
  <c r="BG26" i="37"/>
  <c r="BG9" i="37"/>
  <c r="BG30" i="37"/>
  <c r="BG11" i="37"/>
  <c r="BG15" i="37"/>
  <c r="BG19" i="37"/>
  <c r="BG27" i="37"/>
  <c r="BG32" i="37"/>
  <c r="BG29" i="37"/>
  <c r="BH27" i="25"/>
  <c r="BH21" i="25"/>
  <c r="BH13" i="25"/>
  <c r="BH14" i="25"/>
  <c r="BH12" i="25"/>
  <c r="BH10" i="25"/>
  <c r="BH18" i="25"/>
  <c r="BH11" i="25"/>
  <c r="BH31" i="25"/>
  <c r="BH17" i="25"/>
  <c r="BH25" i="25"/>
  <c r="BH22" i="25"/>
  <c r="BH20" i="25"/>
  <c r="BH26" i="25"/>
  <c r="BH15" i="25"/>
  <c r="BH29" i="25"/>
  <c r="BH30" i="25"/>
  <c r="BH28" i="25"/>
  <c r="BH16" i="25"/>
  <c r="BH23" i="25"/>
  <c r="BH9" i="25"/>
  <c r="BH19" i="25"/>
  <c r="BH32" i="25"/>
  <c r="BH24" i="25"/>
  <c r="BG23" i="31"/>
  <c r="BG13" i="31"/>
  <c r="BG17" i="31"/>
  <c r="BG16" i="31"/>
  <c r="BG22" i="31"/>
  <c r="BG25" i="31"/>
  <c r="BG12" i="31"/>
  <c r="BG27" i="31"/>
  <c r="BG29" i="31"/>
  <c r="BG21" i="31"/>
  <c r="BG24" i="31"/>
  <c r="BG30" i="31"/>
  <c r="BG9" i="31"/>
  <c r="BG10" i="31"/>
  <c r="BG19" i="31"/>
  <c r="BG15" i="31"/>
  <c r="BG32" i="31"/>
  <c r="BG20" i="31"/>
  <c r="BG26" i="31"/>
  <c r="BG11" i="31"/>
  <c r="BG31" i="31"/>
  <c r="BG8" i="31"/>
  <c r="BG14" i="31"/>
  <c r="BG18" i="31"/>
  <c r="BG28" i="31"/>
  <c r="BH42" i="28"/>
  <c r="BH25" i="28"/>
  <c r="BH26" i="28"/>
  <c r="BH31" i="28"/>
  <c r="BH24" i="28"/>
  <c r="BH12" i="28"/>
  <c r="BH14" i="28"/>
  <c r="BH20" i="28"/>
  <c r="BH22" i="28"/>
  <c r="BH41" i="28"/>
  <c r="BH40" i="28"/>
  <c r="BH33" i="28"/>
  <c r="BH34" i="28"/>
  <c r="BH39" i="28"/>
  <c r="BH32" i="28"/>
  <c r="BH28" i="28"/>
  <c r="BH30" i="28"/>
  <c r="BH36" i="28"/>
  <c r="BH38" i="28"/>
  <c r="BH9" i="28"/>
  <c r="BH10" i="28"/>
  <c r="BH15" i="28"/>
  <c r="BH8" i="28"/>
  <c r="BH19" i="28"/>
  <c r="BH21" i="28"/>
  <c r="BH11" i="28"/>
  <c r="BH13" i="28"/>
  <c r="BH43" i="28"/>
  <c r="BH17" i="28"/>
  <c r="BH18" i="28"/>
  <c r="BH23" i="28"/>
  <c r="BH16" i="28"/>
  <c r="BH35" i="28"/>
  <c r="BH37" i="28"/>
  <c r="BH27" i="28"/>
  <c r="BH29" i="28"/>
  <c r="BG11" i="29"/>
  <c r="BG21" i="29"/>
  <c r="BG19" i="29"/>
  <c r="BG16" i="29"/>
  <c r="BG14" i="29"/>
  <c r="BG28" i="29"/>
  <c r="BG12" i="29"/>
  <c r="BG23" i="29"/>
  <c r="BG27" i="29"/>
  <c r="BG10" i="29"/>
  <c r="BG13" i="29"/>
  <c r="BG24" i="29"/>
  <c r="BG22" i="29"/>
  <c r="BG20" i="29"/>
  <c r="BG15" i="29"/>
  <c r="BG9" i="29"/>
  <c r="BG18" i="29"/>
  <c r="BG32" i="29"/>
  <c r="BG30" i="29"/>
  <c r="BG25" i="29"/>
  <c r="BG31" i="29"/>
  <c r="BG29" i="29"/>
  <c r="BG26" i="29"/>
  <c r="BG8" i="29"/>
  <c r="BG17" i="29"/>
  <c r="BG31" i="30"/>
  <c r="BG28" i="30"/>
  <c r="BG29" i="30"/>
  <c r="BG26" i="30"/>
  <c r="BG27" i="30"/>
  <c r="BG8" i="30"/>
  <c r="BG30" i="30"/>
  <c r="BG19" i="30"/>
  <c r="BG25" i="30"/>
  <c r="BG22" i="30"/>
  <c r="BG24" i="30"/>
  <c r="BG32" i="30"/>
  <c r="BG21" i="30"/>
  <c r="BG23" i="30"/>
  <c r="BG12" i="30"/>
  <c r="BG10" i="30"/>
  <c r="BG13" i="30"/>
  <c r="BG16" i="30"/>
  <c r="BG14" i="30"/>
  <c r="BG11" i="30"/>
  <c r="BG15" i="30"/>
  <c r="BG20" i="30"/>
  <c r="BG9" i="30"/>
  <c r="BG18" i="30"/>
  <c r="BG17" i="30"/>
  <c r="BH31" i="26"/>
  <c r="BH29" i="26"/>
  <c r="BH10" i="26"/>
  <c r="BH17" i="26"/>
  <c r="BH24" i="26"/>
  <c r="BH14" i="26"/>
  <c r="BH9" i="26"/>
  <c r="BH28" i="26"/>
  <c r="BH18" i="26"/>
  <c r="BH32" i="26"/>
  <c r="BH22" i="26"/>
  <c r="BH25" i="26"/>
  <c r="BH15" i="26"/>
  <c r="BH13" i="26"/>
  <c r="BH11" i="26"/>
  <c r="BH26" i="26"/>
  <c r="BH8" i="26"/>
  <c r="BH19" i="26"/>
  <c r="BH30" i="26"/>
  <c r="BH12" i="26"/>
  <c r="BH23" i="26"/>
  <c r="BH21" i="26"/>
  <c r="BH27" i="26"/>
  <c r="BH16" i="26"/>
  <c r="BH20" i="26"/>
  <c r="BH31" i="22"/>
  <c r="BH27" i="22"/>
  <c r="BH13" i="22"/>
  <c r="BH29" i="22"/>
  <c r="BH24" i="22"/>
  <c r="BH30" i="22"/>
  <c r="BH20" i="22"/>
  <c r="BH28" i="22"/>
  <c r="BH17" i="22"/>
  <c r="BH32" i="22"/>
  <c r="BH12" i="22"/>
  <c r="BH15" i="22"/>
  <c r="BH11" i="22"/>
  <c r="BH21" i="22"/>
  <c r="BH14" i="22"/>
  <c r="BH18" i="22"/>
  <c r="BH10" i="22"/>
  <c r="BH23" i="22"/>
  <c r="BH19" i="22"/>
  <c r="BH9" i="22"/>
  <c r="BH25" i="22"/>
  <c r="BH16" i="22"/>
  <c r="BH22" i="22"/>
  <c r="BH26" i="22"/>
  <c r="BH19" i="27"/>
  <c r="BH29" i="27"/>
  <c r="BH31" i="27"/>
  <c r="BH30" i="27"/>
  <c r="BH20" i="27"/>
  <c r="BH24" i="27"/>
  <c r="BH32" i="27"/>
  <c r="BH23" i="27"/>
  <c r="BH9" i="27"/>
  <c r="BH13" i="27"/>
  <c r="BH28" i="27"/>
  <c r="BH10" i="27"/>
  <c r="BH18" i="27"/>
  <c r="BH11" i="27"/>
  <c r="BH17" i="27"/>
  <c r="BH14" i="27"/>
  <c r="BH21" i="27"/>
  <c r="BH26" i="27"/>
  <c r="BH15" i="27"/>
  <c r="BH25" i="27"/>
  <c r="BH27" i="27"/>
  <c r="BH22" i="27"/>
  <c r="BH12" i="27"/>
  <c r="BH16" i="27"/>
  <c r="BH23" i="24"/>
  <c r="BH31" i="24"/>
  <c r="BH22" i="24"/>
  <c r="BH20" i="24"/>
  <c r="BH18" i="24"/>
  <c r="BH11" i="24"/>
  <c r="BH19" i="24"/>
  <c r="BH9" i="24"/>
  <c r="BH30" i="24"/>
  <c r="BH28" i="24"/>
  <c r="BH26" i="24"/>
  <c r="BH13" i="24"/>
  <c r="BH15" i="24"/>
  <c r="BH29" i="24"/>
  <c r="BH25" i="24"/>
  <c r="BH21" i="24"/>
  <c r="BH17" i="24"/>
  <c r="BH27" i="24"/>
  <c r="BH14" i="24"/>
  <c r="BH12" i="24"/>
  <c r="BH10" i="24"/>
  <c r="BH24" i="24"/>
  <c r="BH16" i="24"/>
  <c r="BH8" i="24"/>
  <c r="BH32" i="24"/>
  <c r="H7" i="34"/>
  <c r="K7" i="34" s="1"/>
  <c r="H11" i="34"/>
  <c r="K11" i="34" s="1"/>
  <c r="H9" i="34"/>
  <c r="K9" i="34" s="1"/>
  <c r="H12" i="34"/>
  <c r="K12" i="34" s="1"/>
  <c r="H10" i="34"/>
  <c r="K10" i="34" s="1"/>
  <c r="H8" i="34"/>
  <c r="K8" i="34" s="1"/>
  <c r="I31" i="31"/>
  <c r="K31" i="31" s="1"/>
  <c r="I25" i="31"/>
  <c r="K25" i="31" s="1"/>
  <c r="I18" i="31"/>
  <c r="K18" i="31" s="1"/>
  <c r="I10" i="31"/>
  <c r="K10" i="31" s="1"/>
  <c r="I27" i="29"/>
  <c r="K27" i="29" s="1"/>
  <c r="I30" i="31"/>
  <c r="K30" i="31" s="1"/>
  <c r="I23" i="31"/>
  <c r="K23" i="31" s="1"/>
  <c r="I15" i="31"/>
  <c r="K15" i="31" s="1"/>
  <c r="I9" i="31"/>
  <c r="K9" i="31" s="1"/>
  <c r="I26" i="29"/>
  <c r="K26" i="29" s="1"/>
  <c r="I18" i="29"/>
  <c r="K18" i="29" s="1"/>
  <c r="I11" i="29"/>
  <c r="K11" i="29" s="1"/>
  <c r="I27" i="31"/>
  <c r="K27" i="31" s="1"/>
  <c r="I22" i="31"/>
  <c r="K22" i="31" s="1"/>
  <c r="I14" i="31"/>
  <c r="K14" i="31" s="1"/>
  <c r="I30" i="29"/>
  <c r="K30" i="29" s="1"/>
  <c r="I25" i="29"/>
  <c r="K25" i="29" s="1"/>
  <c r="I17" i="29"/>
  <c r="K17" i="29" s="1"/>
  <c r="I10" i="29"/>
  <c r="K10" i="29" s="1"/>
  <c r="I26" i="31"/>
  <c r="K26" i="31" s="1"/>
  <c r="I19" i="31"/>
  <c r="K19" i="31" s="1"/>
  <c r="I11" i="31"/>
  <c r="K11" i="31" s="1"/>
  <c r="I14" i="29"/>
  <c r="K14" i="29" s="1"/>
  <c r="I29" i="29"/>
  <c r="K29" i="29" s="1"/>
  <c r="I13" i="29"/>
  <c r="K13" i="29" s="1"/>
  <c r="I22" i="29"/>
  <c r="K22" i="29" s="1"/>
  <c r="I9" i="29"/>
  <c r="K9" i="29" s="1"/>
  <c r="I21" i="29"/>
  <c r="K21" i="29" s="1"/>
  <c r="I15" i="29"/>
  <c r="K15" i="29" s="1"/>
  <c r="I21" i="31"/>
  <c r="K21" i="31" s="1"/>
  <c r="I20" i="29"/>
  <c r="K20" i="29" s="1"/>
  <c r="I8" i="31"/>
  <c r="I24" i="31"/>
  <c r="K24" i="31" s="1"/>
  <c r="I19" i="29"/>
  <c r="K19" i="29" s="1"/>
  <c r="I29" i="31"/>
  <c r="K29" i="31" s="1"/>
  <c r="I24" i="29"/>
  <c r="K24" i="29" s="1"/>
  <c r="I12" i="31"/>
  <c r="K12" i="31" s="1"/>
  <c r="I28" i="31"/>
  <c r="K28" i="31" s="1"/>
  <c r="I23" i="29"/>
  <c r="K23" i="29" s="1"/>
  <c r="I13" i="31"/>
  <c r="K13" i="31" s="1"/>
  <c r="I12" i="29"/>
  <c r="K12" i="29" s="1"/>
  <c r="I28" i="29"/>
  <c r="K28" i="29" s="1"/>
  <c r="I16" i="31"/>
  <c r="K16" i="31" s="1"/>
  <c r="I32" i="31"/>
  <c r="K32" i="31" s="1"/>
  <c r="I31" i="29"/>
  <c r="K31" i="29" s="1"/>
  <c r="I17" i="31"/>
  <c r="K17" i="31" s="1"/>
  <c r="I16" i="29"/>
  <c r="K16" i="29" s="1"/>
  <c r="I32" i="29"/>
  <c r="K32" i="29" s="1"/>
  <c r="I8" i="30"/>
  <c r="I20" i="31"/>
  <c r="K20" i="31" s="1"/>
  <c r="J8" i="24"/>
  <c r="J8" i="26"/>
  <c r="K8" i="26" s="1"/>
  <c r="J32" i="28"/>
  <c r="J28" i="28"/>
  <c r="J24" i="28"/>
  <c r="K24" i="28" s="1"/>
  <c r="J20" i="28"/>
  <c r="K20" i="28" s="1"/>
  <c r="J33" i="28"/>
  <c r="J25" i="28"/>
  <c r="K25" i="28" s="1"/>
  <c r="J35" i="28"/>
  <c r="J31" i="28"/>
  <c r="J27" i="28"/>
  <c r="K27" i="28" s="1"/>
  <c r="J34" i="28"/>
  <c r="J30" i="28"/>
  <c r="J26" i="28"/>
  <c r="K26" i="28" s="1"/>
  <c r="J22" i="28"/>
  <c r="K22" i="28" s="1"/>
  <c r="J13" i="28"/>
  <c r="K13" i="28" s="1"/>
  <c r="J15" i="25"/>
  <c r="K15" i="25" s="1"/>
  <c r="J23" i="25"/>
  <c r="K23" i="25" s="1"/>
  <c r="J10" i="22"/>
  <c r="J17" i="22"/>
  <c r="J22" i="22"/>
  <c r="J26" i="22"/>
  <c r="J12" i="25"/>
  <c r="K12" i="25" s="1"/>
  <c r="J21" i="25"/>
  <c r="K21" i="25" s="1"/>
  <c r="J16" i="22"/>
  <c r="J12" i="26"/>
  <c r="J16" i="26"/>
  <c r="K16" i="26" s="1"/>
  <c r="J20" i="26"/>
  <c r="K20" i="26" s="1"/>
  <c r="J24" i="26"/>
  <c r="K24" i="26" s="1"/>
  <c r="J28" i="26"/>
  <c r="J16" i="25"/>
  <c r="K16" i="25" s="1"/>
  <c r="J11" i="24"/>
  <c r="K11" i="24" s="1"/>
  <c r="J15" i="24"/>
  <c r="K15" i="24" s="1"/>
  <c r="J19" i="24"/>
  <c r="K19" i="24" s="1"/>
  <c r="J23" i="24"/>
  <c r="K23" i="24" s="1"/>
  <c r="J27" i="24"/>
  <c r="K27" i="24" s="1"/>
  <c r="J29" i="25"/>
  <c r="J18" i="25"/>
  <c r="K18" i="25" s="1"/>
  <c r="J25" i="25"/>
  <c r="K25" i="25" s="1"/>
  <c r="J12" i="22"/>
  <c r="J19" i="22"/>
  <c r="J23" i="22"/>
  <c r="J27" i="22"/>
  <c r="J30" i="25"/>
  <c r="J24" i="25"/>
  <c r="K24" i="25" s="1"/>
  <c r="J9" i="22"/>
  <c r="J18" i="22"/>
  <c r="J9" i="26"/>
  <c r="K9" i="26" s="1"/>
  <c r="J13" i="26"/>
  <c r="K13" i="26" s="1"/>
  <c r="J17" i="26"/>
  <c r="K17" i="26" s="1"/>
  <c r="J21" i="26"/>
  <c r="K21" i="26" s="1"/>
  <c r="J25" i="26"/>
  <c r="K25" i="26" s="1"/>
  <c r="J29" i="26"/>
  <c r="J31" i="22"/>
  <c r="K31" i="22" s="1"/>
  <c r="J12" i="24"/>
  <c r="K12" i="24" s="1"/>
  <c r="J16" i="24"/>
  <c r="K16" i="24" s="1"/>
  <c r="J20" i="24"/>
  <c r="K20" i="24" s="1"/>
  <c r="J24" i="24"/>
  <c r="K24" i="24" s="1"/>
  <c r="J28" i="24"/>
  <c r="J32" i="22"/>
  <c r="J30" i="22"/>
  <c r="J22" i="25"/>
  <c r="K22" i="25" s="1"/>
  <c r="J21" i="22"/>
  <c r="J25" i="22"/>
  <c r="J31" i="24"/>
  <c r="J19" i="25"/>
  <c r="K19" i="25" s="1"/>
  <c r="J13" i="22"/>
  <c r="J11" i="26"/>
  <c r="K11" i="26" s="1"/>
  <c r="J19" i="26"/>
  <c r="K19" i="26" s="1"/>
  <c r="J27" i="26"/>
  <c r="K27" i="26" s="1"/>
  <c r="J10" i="24"/>
  <c r="K10" i="24" s="1"/>
  <c r="J22" i="24"/>
  <c r="K22" i="24" s="1"/>
  <c r="J31" i="25"/>
  <c r="J11" i="25"/>
  <c r="K11" i="25" s="1"/>
  <c r="J20" i="25"/>
  <c r="K20" i="25" s="1"/>
  <c r="J27" i="25"/>
  <c r="K27" i="25" s="1"/>
  <c r="J14" i="22"/>
  <c r="J20" i="22"/>
  <c r="J24" i="22"/>
  <c r="J28" i="22"/>
  <c r="J17" i="25"/>
  <c r="K17" i="25" s="1"/>
  <c r="J26" i="25"/>
  <c r="K26" i="25" s="1"/>
  <c r="J11" i="22"/>
  <c r="J10" i="26"/>
  <c r="K10" i="26" s="1"/>
  <c r="J14" i="26"/>
  <c r="K14" i="26" s="1"/>
  <c r="J18" i="26"/>
  <c r="K18" i="26" s="1"/>
  <c r="J22" i="26"/>
  <c r="K22" i="26" s="1"/>
  <c r="J26" i="26"/>
  <c r="K26" i="26" s="1"/>
  <c r="J31" i="26"/>
  <c r="J9" i="24"/>
  <c r="K9" i="24" s="1"/>
  <c r="J13" i="24"/>
  <c r="K13" i="24" s="1"/>
  <c r="J17" i="24"/>
  <c r="K17" i="24" s="1"/>
  <c r="J21" i="24"/>
  <c r="K21" i="24" s="1"/>
  <c r="J25" i="24"/>
  <c r="J29" i="24"/>
  <c r="J32" i="25"/>
  <c r="J15" i="22"/>
  <c r="J29" i="22"/>
  <c r="J28" i="25"/>
  <c r="J32" i="24"/>
  <c r="J15" i="26"/>
  <c r="K15" i="26" s="1"/>
  <c r="J23" i="26"/>
  <c r="K23" i="26" s="1"/>
  <c r="J32" i="26"/>
  <c r="J30" i="24"/>
  <c r="J14" i="24"/>
  <c r="K14" i="24" s="1"/>
  <c r="J18" i="24"/>
  <c r="K18" i="24" s="1"/>
  <c r="J26" i="24"/>
  <c r="K26" i="24" s="1"/>
  <c r="J30" i="26"/>
  <c r="G34" i="4"/>
  <c r="G32" i="4" s="1"/>
  <c r="N32" i="4" s="1"/>
  <c r="E32" i="4"/>
  <c r="L16" i="4"/>
  <c r="J20" i="4"/>
  <c r="J18" i="4" s="1"/>
  <c r="M18" i="4" s="1"/>
  <c r="I27" i="27"/>
  <c r="I23" i="27"/>
  <c r="I19" i="27"/>
  <c r="I15" i="27"/>
  <c r="I11" i="27"/>
  <c r="I20" i="27"/>
  <c r="I12" i="27"/>
  <c r="I26" i="27"/>
  <c r="I22" i="27"/>
  <c r="I18" i="27"/>
  <c r="I14" i="27"/>
  <c r="I24" i="27"/>
  <c r="I25" i="27"/>
  <c r="I21" i="27"/>
  <c r="I17" i="27"/>
  <c r="I13" i="27"/>
  <c r="I10" i="27"/>
  <c r="I16" i="27"/>
  <c r="I9" i="27"/>
  <c r="L28" i="4"/>
  <c r="J27" i="4"/>
  <c r="L25" i="4"/>
  <c r="D11" i="4"/>
  <c r="F20" i="4"/>
  <c r="F9" i="4"/>
  <c r="F11" i="4" s="1"/>
  <c r="L24" i="4"/>
  <c r="L8" i="4"/>
  <c r="F10" i="4"/>
  <c r="L10" i="4" s="1"/>
  <c r="D35" i="4"/>
  <c r="F34" i="4"/>
  <c r="F32" i="4" s="1"/>
  <c r="F22" i="4"/>
  <c r="G19" i="4"/>
  <c r="G11" i="4" s="1"/>
  <c r="E11" i="4"/>
  <c r="L14" i="4"/>
  <c r="L30" i="4"/>
  <c r="G23" i="4"/>
  <c r="G22" i="4" s="1"/>
  <c r="E22" i="4"/>
  <c r="D6" i="4"/>
  <c r="J6" i="4"/>
  <c r="E27" i="4"/>
  <c r="G29" i="4"/>
  <c r="G27" i="4" s="1"/>
  <c r="I22" i="4"/>
  <c r="J23" i="4"/>
  <c r="J22" i="4" s="1"/>
  <c r="L15" i="4"/>
  <c r="E6" i="4"/>
  <c r="G7" i="4"/>
  <c r="E35" i="4"/>
  <c r="I6" i="4"/>
  <c r="I27" i="4"/>
  <c r="L19" i="4"/>
  <c r="F7" i="4"/>
  <c r="L29" i="4"/>
  <c r="F27" i="4"/>
  <c r="E18" i="4"/>
  <c r="O48" i="50" l="1"/>
  <c r="N49" i="50" s="1"/>
  <c r="N48" i="26"/>
  <c r="O48" i="26" s="1"/>
  <c r="K12" i="26"/>
  <c r="M12" i="26" s="1"/>
  <c r="L12" i="26"/>
  <c r="K25" i="24"/>
  <c r="L25" i="24"/>
  <c r="L46" i="28"/>
  <c r="K47" i="28"/>
  <c r="M47" i="28" s="1"/>
  <c r="L20" i="4"/>
  <c r="J14" i="25"/>
  <c r="K14" i="25" s="1"/>
  <c r="M14" i="25" s="1"/>
  <c r="J13" i="25"/>
  <c r="K13" i="25" s="1"/>
  <c r="M13" i="25" s="1"/>
  <c r="J15" i="40"/>
  <c r="K15" i="40" s="1"/>
  <c r="M15" i="40" s="1"/>
  <c r="J14" i="40"/>
  <c r="L14" i="40" s="1"/>
  <c r="J23" i="40"/>
  <c r="K23" i="40" s="1"/>
  <c r="M23" i="40" s="1"/>
  <c r="J30" i="27"/>
  <c r="K30" i="27" s="1"/>
  <c r="M30" i="27" s="1"/>
  <c r="J9" i="25"/>
  <c r="K9" i="25" s="1"/>
  <c r="M9" i="25" s="1"/>
  <c r="J10" i="25"/>
  <c r="K10" i="25" s="1"/>
  <c r="M10" i="25" s="1"/>
  <c r="J19" i="40"/>
  <c r="K19" i="40" s="1"/>
  <c r="M19" i="40" s="1"/>
  <c r="J22" i="40"/>
  <c r="L22" i="40" s="1"/>
  <c r="BI45" i="28"/>
  <c r="BI44" i="28"/>
  <c r="BI24" i="44"/>
  <c r="BI20" i="44"/>
  <c r="BI26" i="44"/>
  <c r="BI31" i="44"/>
  <c r="BI17" i="44"/>
  <c r="BI12" i="44"/>
  <c r="BI30" i="44"/>
  <c r="BI23" i="44"/>
  <c r="BI16" i="44"/>
  <c r="BI9" i="44"/>
  <c r="BI22" i="44"/>
  <c r="BI18" i="44"/>
  <c r="BI11" i="44"/>
  <c r="BI28" i="44"/>
  <c r="BI21" i="44"/>
  <c r="BI19" i="44"/>
  <c r="BI10" i="44"/>
  <c r="BI32" i="44"/>
  <c r="BI13" i="44"/>
  <c r="BI29" i="44"/>
  <c r="BI14" i="44"/>
  <c r="BI15" i="44"/>
  <c r="BI25" i="44"/>
  <c r="BI27" i="44"/>
  <c r="I16" i="37"/>
  <c r="K16" i="37" s="1"/>
  <c r="I13" i="37"/>
  <c r="K13" i="37" s="1"/>
  <c r="I29" i="37"/>
  <c r="K29" i="37" s="1"/>
  <c r="I10" i="37"/>
  <c r="K10" i="37" s="1"/>
  <c r="I26" i="37"/>
  <c r="J26" i="37" s="1"/>
  <c r="L26" i="37" s="1"/>
  <c r="I28" i="37"/>
  <c r="J28" i="37" s="1"/>
  <c r="L28" i="37" s="1"/>
  <c r="I19" i="37"/>
  <c r="K19" i="37" s="1"/>
  <c r="K44" i="28"/>
  <c r="M44" i="28" s="1"/>
  <c r="L44" i="28"/>
  <c r="I32" i="37"/>
  <c r="K32" i="37" s="1"/>
  <c r="I17" i="37"/>
  <c r="K17" i="37" s="1"/>
  <c r="I12" i="37"/>
  <c r="J12" i="37" s="1"/>
  <c r="L12" i="37" s="1"/>
  <c r="I30" i="37"/>
  <c r="K30" i="37" s="1"/>
  <c r="I23" i="37"/>
  <c r="K23" i="37" s="1"/>
  <c r="K45" i="28"/>
  <c r="M45" i="28" s="1"/>
  <c r="L45" i="28"/>
  <c r="I21" i="37"/>
  <c r="K21" i="37" s="1"/>
  <c r="I24" i="37"/>
  <c r="J24" i="37" s="1"/>
  <c r="L24" i="37" s="1"/>
  <c r="I18" i="37"/>
  <c r="K18" i="37" s="1"/>
  <c r="M9" i="37"/>
  <c r="I11" i="37"/>
  <c r="K11" i="37" s="1"/>
  <c r="I27" i="37"/>
  <c r="J27" i="37" s="1"/>
  <c r="L27" i="37" s="1"/>
  <c r="L13" i="44"/>
  <c r="K13" i="44"/>
  <c r="M13" i="44" s="1"/>
  <c r="I9" i="37"/>
  <c r="K9" i="37" s="1"/>
  <c r="I25" i="37"/>
  <c r="J25" i="37" s="1"/>
  <c r="L25" i="37" s="1"/>
  <c r="I22" i="37"/>
  <c r="J22" i="37" s="1"/>
  <c r="L22" i="37" s="1"/>
  <c r="I20" i="37"/>
  <c r="J20" i="37" s="1"/>
  <c r="L20" i="37" s="1"/>
  <c r="I15" i="37"/>
  <c r="J15" i="37" s="1"/>
  <c r="L15" i="37" s="1"/>
  <c r="I31" i="37"/>
  <c r="J31" i="37" s="1"/>
  <c r="L31" i="37" s="1"/>
  <c r="L11" i="44"/>
  <c r="K11" i="44"/>
  <c r="M11" i="44" s="1"/>
  <c r="L30" i="44"/>
  <c r="K30" i="44"/>
  <c r="M30" i="44" s="1"/>
  <c r="L23" i="44"/>
  <c r="K23" i="44"/>
  <c r="M23" i="44" s="1"/>
  <c r="L24" i="44"/>
  <c r="K24" i="44"/>
  <c r="M24" i="44" s="1"/>
  <c r="K32" i="44"/>
  <c r="M32" i="44" s="1"/>
  <c r="L32" i="44"/>
  <c r="L22" i="44"/>
  <c r="K22" i="44"/>
  <c r="M22" i="44" s="1"/>
  <c r="L17" i="44"/>
  <c r="K17" i="44"/>
  <c r="M17" i="44" s="1"/>
  <c r="L27" i="44"/>
  <c r="K27" i="44"/>
  <c r="M27" i="44" s="1"/>
  <c r="L20" i="44"/>
  <c r="K20" i="44"/>
  <c r="M20" i="44" s="1"/>
  <c r="L26" i="44"/>
  <c r="K26" i="44"/>
  <c r="M26" i="44" s="1"/>
  <c r="K28" i="44"/>
  <c r="M28" i="44" s="1"/>
  <c r="L28" i="44"/>
  <c r="J14" i="44"/>
  <c r="N9" i="44"/>
  <c r="K12" i="44"/>
  <c r="M12" i="44" s="1"/>
  <c r="L12" i="44"/>
  <c r="L29" i="44"/>
  <c r="K29" i="44"/>
  <c r="M29" i="44" s="1"/>
  <c r="K10" i="44"/>
  <c r="M10" i="44" s="1"/>
  <c r="L10" i="44"/>
  <c r="K31" i="44"/>
  <c r="M31" i="44" s="1"/>
  <c r="L31" i="44"/>
  <c r="K16" i="44"/>
  <c r="M16" i="44" s="1"/>
  <c r="L16" i="44"/>
  <c r="K19" i="44"/>
  <c r="M19" i="44" s="1"/>
  <c r="L19" i="44"/>
  <c r="K25" i="44"/>
  <c r="M25" i="44" s="1"/>
  <c r="L25" i="44"/>
  <c r="K15" i="44"/>
  <c r="M15" i="44" s="1"/>
  <c r="L15" i="44"/>
  <c r="K18" i="44"/>
  <c r="M18" i="44" s="1"/>
  <c r="L18" i="44"/>
  <c r="L9" i="44"/>
  <c r="K9" i="44"/>
  <c r="M9" i="44" s="1"/>
  <c r="K21" i="44"/>
  <c r="M21" i="44" s="1"/>
  <c r="L21" i="44"/>
  <c r="J31" i="27"/>
  <c r="K31" i="27" s="1"/>
  <c r="M31" i="27" s="1"/>
  <c r="J32" i="27"/>
  <c r="L32" i="27" s="1"/>
  <c r="J20" i="40"/>
  <c r="L20" i="40" s="1"/>
  <c r="J11" i="40"/>
  <c r="L11" i="40" s="1"/>
  <c r="J31" i="40"/>
  <c r="L31" i="40" s="1"/>
  <c r="J12" i="40"/>
  <c r="K12" i="40" s="1"/>
  <c r="M12" i="40" s="1"/>
  <c r="J27" i="40"/>
  <c r="K27" i="40" s="1"/>
  <c r="M27" i="40" s="1"/>
  <c r="J25" i="40"/>
  <c r="L25" i="40" s="1"/>
  <c r="J32" i="40"/>
  <c r="K32" i="40" s="1"/>
  <c r="M32" i="40" s="1"/>
  <c r="J24" i="40"/>
  <c r="K24" i="40" s="1"/>
  <c r="M24" i="40" s="1"/>
  <c r="J21" i="40"/>
  <c r="L21" i="40" s="1"/>
  <c r="J29" i="40"/>
  <c r="L29" i="40" s="1"/>
  <c r="J10" i="40"/>
  <c r="L10" i="40" s="1"/>
  <c r="J30" i="40"/>
  <c r="K30" i="40" s="1"/>
  <c r="M30" i="40" s="1"/>
  <c r="J17" i="40"/>
  <c r="L17" i="40" s="1"/>
  <c r="J28" i="40"/>
  <c r="L28" i="40" s="1"/>
  <c r="J26" i="40"/>
  <c r="L26" i="40" s="1"/>
  <c r="BI21" i="40"/>
  <c r="BI13" i="40"/>
  <c r="BI15" i="40"/>
  <c r="BI17" i="40"/>
  <c r="BI18" i="40"/>
  <c r="BI22" i="40"/>
  <c r="BI14" i="40"/>
  <c r="BI25" i="40"/>
  <c r="BI10" i="40"/>
  <c r="BI11" i="40"/>
  <c r="BI26" i="40"/>
  <c r="BI29" i="40"/>
  <c r="BI20" i="40"/>
  <c r="BI9" i="40"/>
  <c r="BI19" i="40"/>
  <c r="BI23" i="40"/>
  <c r="BI27" i="40"/>
  <c r="BI24" i="40"/>
  <c r="BI30" i="40"/>
  <c r="BI31" i="40"/>
  <c r="BI28" i="40"/>
  <c r="BI12" i="40"/>
  <c r="BI16" i="40"/>
  <c r="BI32" i="40"/>
  <c r="L18" i="40"/>
  <c r="K18" i="40"/>
  <c r="M18" i="40" s="1"/>
  <c r="K13" i="40"/>
  <c r="M13" i="40" s="1"/>
  <c r="L13" i="40"/>
  <c r="L16" i="40"/>
  <c r="K16" i="40"/>
  <c r="M16" i="40" s="1"/>
  <c r="L9" i="40"/>
  <c r="K9" i="40"/>
  <c r="M9" i="40" s="1"/>
  <c r="BH29" i="37"/>
  <c r="BH22" i="37"/>
  <c r="BH14" i="37"/>
  <c r="BH17" i="37"/>
  <c r="BH18" i="37"/>
  <c r="BH26" i="37"/>
  <c r="BH13" i="37"/>
  <c r="BH20" i="37"/>
  <c r="BH9" i="37"/>
  <c r="BH12" i="37"/>
  <c r="BH19" i="37"/>
  <c r="BH23" i="37"/>
  <c r="BH16" i="37"/>
  <c r="BH11" i="37"/>
  <c r="BH15" i="37"/>
  <c r="BH10" i="37"/>
  <c r="BH25" i="37"/>
  <c r="BH24" i="37"/>
  <c r="BH31" i="37"/>
  <c r="BH28" i="37"/>
  <c r="BH21" i="37"/>
  <c r="BH30" i="37"/>
  <c r="BH32" i="37"/>
  <c r="BH27" i="37"/>
  <c r="L43" i="28"/>
  <c r="K43" i="28"/>
  <c r="M43" i="28" s="1"/>
  <c r="K14" i="37"/>
  <c r="J14" i="37"/>
  <c r="L14" i="37" s="1"/>
  <c r="BI32" i="27"/>
  <c r="BI24" i="27"/>
  <c r="BI26" i="27"/>
  <c r="BI9" i="27"/>
  <c r="BI14" i="27"/>
  <c r="BI15" i="27"/>
  <c r="BI12" i="27"/>
  <c r="BI19" i="27"/>
  <c r="BI21" i="27"/>
  <c r="BI11" i="27"/>
  <c r="BI13" i="27"/>
  <c r="BI17" i="27"/>
  <c r="BI22" i="27"/>
  <c r="BI23" i="27"/>
  <c r="BI20" i="27"/>
  <c r="BI27" i="27"/>
  <c r="BI29" i="27"/>
  <c r="BI25" i="27"/>
  <c r="BI30" i="27"/>
  <c r="BI31" i="27"/>
  <c r="BI28" i="27"/>
  <c r="BI16" i="27"/>
  <c r="BI18" i="27"/>
  <c r="BI10" i="27"/>
  <c r="BI9" i="25"/>
  <c r="BI32" i="25"/>
  <c r="BI24" i="25"/>
  <c r="BI11" i="25"/>
  <c r="BI13" i="25"/>
  <c r="BI15" i="25"/>
  <c r="BI14" i="25"/>
  <c r="BI12" i="25"/>
  <c r="BI10" i="25"/>
  <c r="BI18" i="25"/>
  <c r="BI23" i="25"/>
  <c r="BI25" i="25"/>
  <c r="BI19" i="25"/>
  <c r="BI17" i="25"/>
  <c r="BI22" i="25"/>
  <c r="BI20" i="25"/>
  <c r="BI26" i="25"/>
  <c r="BI27" i="25"/>
  <c r="BI29" i="25"/>
  <c r="BI31" i="25"/>
  <c r="BI21" i="25"/>
  <c r="BI30" i="25"/>
  <c r="BI28" i="25"/>
  <c r="BI16" i="25"/>
  <c r="BH23" i="31"/>
  <c r="BH22" i="31"/>
  <c r="BH21" i="31"/>
  <c r="BH20" i="31"/>
  <c r="BH25" i="31"/>
  <c r="BH11" i="31"/>
  <c r="BH31" i="31"/>
  <c r="BH30" i="31"/>
  <c r="BH29" i="31"/>
  <c r="BH28" i="31"/>
  <c r="BH16" i="31"/>
  <c r="BH18" i="31"/>
  <c r="BH8" i="31"/>
  <c r="BH26" i="31"/>
  <c r="BH32" i="31"/>
  <c r="BH24" i="31"/>
  <c r="BH10" i="31"/>
  <c r="BH15" i="31"/>
  <c r="BH14" i="31"/>
  <c r="BH13" i="31"/>
  <c r="BH12" i="31"/>
  <c r="BH17" i="31"/>
  <c r="BH19" i="31"/>
  <c r="BH9" i="31"/>
  <c r="BH27" i="31"/>
  <c r="BH32" i="29"/>
  <c r="BH31" i="29"/>
  <c r="BH30" i="29"/>
  <c r="BH29" i="29"/>
  <c r="BH28" i="29"/>
  <c r="BH9" i="29"/>
  <c r="BH8" i="29"/>
  <c r="BH18" i="29"/>
  <c r="BH27" i="29"/>
  <c r="BH17" i="29"/>
  <c r="BH16" i="29"/>
  <c r="BH15" i="29"/>
  <c r="BH14" i="29"/>
  <c r="BH13" i="29"/>
  <c r="BH12" i="29"/>
  <c r="BH11" i="29"/>
  <c r="BH10" i="29"/>
  <c r="BH25" i="29"/>
  <c r="BH24" i="29"/>
  <c r="BH23" i="29"/>
  <c r="BH22" i="29"/>
  <c r="BH21" i="29"/>
  <c r="BH20" i="29"/>
  <c r="BH26" i="29"/>
  <c r="BH19" i="29"/>
  <c r="BH25" i="30"/>
  <c r="BH24" i="30"/>
  <c r="BH31" i="30"/>
  <c r="BH30" i="30"/>
  <c r="BH10" i="30"/>
  <c r="BH12" i="30"/>
  <c r="BH27" i="30"/>
  <c r="BH11" i="30"/>
  <c r="BH32" i="30"/>
  <c r="BH26" i="30"/>
  <c r="BH28" i="30"/>
  <c r="BH18" i="30"/>
  <c r="BH9" i="30"/>
  <c r="BH8" i="30"/>
  <c r="BH15" i="30"/>
  <c r="BH14" i="30"/>
  <c r="BH19" i="30"/>
  <c r="BH21" i="30"/>
  <c r="BH13" i="30"/>
  <c r="BH29" i="30"/>
  <c r="BH17" i="30"/>
  <c r="BH16" i="30"/>
  <c r="BH23" i="30"/>
  <c r="BH22" i="30"/>
  <c r="BH20" i="30"/>
  <c r="BI27" i="26"/>
  <c r="BI24" i="26"/>
  <c r="BI25" i="26"/>
  <c r="BI30" i="26"/>
  <c r="BI31" i="26"/>
  <c r="BI28" i="26"/>
  <c r="BI29" i="26"/>
  <c r="BI26" i="26"/>
  <c r="BI32" i="26"/>
  <c r="BI9" i="26"/>
  <c r="BI8" i="26"/>
  <c r="BI11" i="26"/>
  <c r="BI14" i="26"/>
  <c r="BI15" i="26"/>
  <c r="BI12" i="26"/>
  <c r="BI13" i="26"/>
  <c r="BI10" i="26"/>
  <c r="BI19" i="26"/>
  <c r="BI16" i="26"/>
  <c r="BI17" i="26"/>
  <c r="BI22" i="26"/>
  <c r="BI23" i="26"/>
  <c r="BI20" i="26"/>
  <c r="BI21" i="26"/>
  <c r="BI18" i="26"/>
  <c r="BI9" i="22"/>
  <c r="BI32" i="22"/>
  <c r="BI24" i="22"/>
  <c r="BI10" i="22"/>
  <c r="BI14" i="22"/>
  <c r="BI23" i="22"/>
  <c r="BI28" i="22"/>
  <c r="BI21" i="22"/>
  <c r="BI27" i="22"/>
  <c r="BI26" i="22"/>
  <c r="BI22" i="22"/>
  <c r="BI31" i="22"/>
  <c r="BI19" i="22"/>
  <c r="BI17" i="22"/>
  <c r="BI30" i="22"/>
  <c r="BI12" i="22"/>
  <c r="BI18" i="22"/>
  <c r="BI29" i="22"/>
  <c r="BI25" i="22"/>
  <c r="BI15" i="22"/>
  <c r="BI20" i="22"/>
  <c r="BI16" i="22"/>
  <c r="BI11" i="22"/>
  <c r="BI13" i="22"/>
  <c r="BI41" i="28"/>
  <c r="BI19" i="28"/>
  <c r="BI25" i="28"/>
  <c r="BI13" i="28"/>
  <c r="BI23" i="28"/>
  <c r="BI14" i="28"/>
  <c r="BI12" i="28"/>
  <c r="BI16" i="28"/>
  <c r="BI8" i="28"/>
  <c r="BI39" i="28"/>
  <c r="BI15" i="28"/>
  <c r="BI17" i="28"/>
  <c r="BI27" i="28"/>
  <c r="BI22" i="28"/>
  <c r="BI20" i="28"/>
  <c r="BI32" i="28"/>
  <c r="BI24" i="28"/>
  <c r="BI43" i="28"/>
  <c r="BI9" i="28"/>
  <c r="BI31" i="28"/>
  <c r="BI29" i="28"/>
  <c r="BI37" i="28"/>
  <c r="BI30" i="28"/>
  <c r="BI28" i="28"/>
  <c r="BI18" i="28"/>
  <c r="BI10" i="28"/>
  <c r="BI42" i="28"/>
  <c r="BI40" i="28"/>
  <c r="BI21" i="28"/>
  <c r="BI11" i="28"/>
  <c r="BI33" i="28"/>
  <c r="BI35" i="28"/>
  <c r="BI38" i="28"/>
  <c r="BI36" i="28"/>
  <c r="BI34" i="28"/>
  <c r="BI26" i="28"/>
  <c r="BI19" i="24"/>
  <c r="BI16" i="24"/>
  <c r="BI17" i="24"/>
  <c r="BI22" i="24"/>
  <c r="BI23" i="24"/>
  <c r="BI20" i="24"/>
  <c r="BI10" i="24"/>
  <c r="BI26" i="24"/>
  <c r="BI27" i="24"/>
  <c r="BI24" i="24"/>
  <c r="BI25" i="24"/>
  <c r="BI30" i="24"/>
  <c r="BI31" i="24"/>
  <c r="BI28" i="24"/>
  <c r="BI21" i="24"/>
  <c r="BI32" i="24"/>
  <c r="BI18" i="24"/>
  <c r="BI11" i="24"/>
  <c r="BI8" i="24"/>
  <c r="BI9" i="24"/>
  <c r="BI14" i="24"/>
  <c r="BI15" i="24"/>
  <c r="BI12" i="24"/>
  <c r="BI29" i="24"/>
  <c r="BI13" i="24"/>
  <c r="K42" i="28"/>
  <c r="M42" i="28" s="1"/>
  <c r="L42" i="28"/>
  <c r="L41" i="28"/>
  <c r="K41" i="28"/>
  <c r="M41" i="28" s="1"/>
  <c r="L10" i="34"/>
  <c r="N10" i="34" s="1"/>
  <c r="L8" i="34"/>
  <c r="N8" i="34" s="1"/>
  <c r="P8" i="34"/>
  <c r="M11" i="34"/>
  <c r="L11" i="34"/>
  <c r="N11" i="34" s="1"/>
  <c r="L12" i="34"/>
  <c r="N12" i="34" s="1"/>
  <c r="M7" i="34"/>
  <c r="P7" i="34" s="1"/>
  <c r="L7" i="34"/>
  <c r="N7" i="34" s="1"/>
  <c r="M9" i="34"/>
  <c r="L9" i="34"/>
  <c r="N9" i="34" s="1"/>
  <c r="K8" i="30"/>
  <c r="J8" i="30"/>
  <c r="L8" i="30" s="1"/>
  <c r="L39" i="28"/>
  <c r="K39" i="28"/>
  <c r="M39" i="28" s="1"/>
  <c r="J8" i="31"/>
  <c r="L8" i="31" s="1"/>
  <c r="K8" i="31"/>
  <c r="J11" i="31"/>
  <c r="L11" i="31" s="1"/>
  <c r="J12" i="29"/>
  <c r="L12" i="29" s="1"/>
  <c r="J20" i="29"/>
  <c r="L20" i="29" s="1"/>
  <c r="J25" i="31"/>
  <c r="L25" i="31" s="1"/>
  <c r="J22" i="31"/>
  <c r="L22" i="31" s="1"/>
  <c r="J13" i="29"/>
  <c r="L13" i="29" s="1"/>
  <c r="J19" i="31"/>
  <c r="L19" i="31" s="1"/>
  <c r="J10" i="29"/>
  <c r="L10" i="29" s="1"/>
  <c r="J18" i="29"/>
  <c r="L18" i="29" s="1"/>
  <c r="J22" i="29"/>
  <c r="L22" i="29" s="1"/>
  <c r="J13" i="31"/>
  <c r="L13" i="31" s="1"/>
  <c r="J23" i="31"/>
  <c r="L23" i="31" s="1"/>
  <c r="J26" i="31"/>
  <c r="L26" i="31" s="1"/>
  <c r="J15" i="29"/>
  <c r="L15" i="29" s="1"/>
  <c r="J23" i="29"/>
  <c r="L23" i="29" s="1"/>
  <c r="J32" i="29"/>
  <c r="L32" i="29" s="1"/>
  <c r="J12" i="31"/>
  <c r="L12" i="31" s="1"/>
  <c r="J20" i="31"/>
  <c r="L20" i="31" s="1"/>
  <c r="J28" i="29"/>
  <c r="L28" i="29" s="1"/>
  <c r="J29" i="29"/>
  <c r="L29" i="29" s="1"/>
  <c r="J28" i="31"/>
  <c r="L28" i="31" s="1"/>
  <c r="J26" i="29"/>
  <c r="L26" i="29" s="1"/>
  <c r="J18" i="31"/>
  <c r="L18" i="31" s="1"/>
  <c r="J14" i="29"/>
  <c r="L14" i="29" s="1"/>
  <c r="J15" i="31"/>
  <c r="L15" i="31" s="1"/>
  <c r="J24" i="29"/>
  <c r="L24" i="29" s="1"/>
  <c r="J27" i="31"/>
  <c r="L27" i="31" s="1"/>
  <c r="J11" i="29"/>
  <c r="L11" i="29" s="1"/>
  <c r="J21" i="31"/>
  <c r="L21" i="31" s="1"/>
  <c r="J10" i="31"/>
  <c r="L10" i="31" s="1"/>
  <c r="J30" i="31"/>
  <c r="L30" i="31" s="1"/>
  <c r="J9" i="29"/>
  <c r="L9" i="29" s="1"/>
  <c r="J16" i="29"/>
  <c r="L16" i="29" s="1"/>
  <c r="J29" i="31"/>
  <c r="L29" i="31" s="1"/>
  <c r="J19" i="29"/>
  <c r="L19" i="29" s="1"/>
  <c r="J17" i="29"/>
  <c r="L17" i="29" s="1"/>
  <c r="J32" i="31"/>
  <c r="L32" i="31" s="1"/>
  <c r="J17" i="31"/>
  <c r="L17" i="31" s="1"/>
  <c r="J14" i="31"/>
  <c r="L14" i="31" s="1"/>
  <c r="J10" i="27"/>
  <c r="K10" i="27" s="1"/>
  <c r="M10" i="27" s="1"/>
  <c r="J21" i="29"/>
  <c r="L21" i="29" s="1"/>
  <c r="J9" i="31"/>
  <c r="L9" i="31" s="1"/>
  <c r="J27" i="29"/>
  <c r="L27" i="29" s="1"/>
  <c r="J25" i="29"/>
  <c r="L25" i="29" s="1"/>
  <c r="J24" i="31"/>
  <c r="L24" i="31" s="1"/>
  <c r="J31" i="31"/>
  <c r="L31" i="31" s="1"/>
  <c r="J30" i="29"/>
  <c r="L30" i="29" s="1"/>
  <c r="J31" i="29"/>
  <c r="L31" i="29" s="1"/>
  <c r="J16" i="31"/>
  <c r="L16" i="31" s="1"/>
  <c r="K32" i="22"/>
  <c r="M32" i="22" s="1"/>
  <c r="L32" i="22"/>
  <c r="L30" i="25"/>
  <c r="K30" i="25"/>
  <c r="M30" i="25" s="1"/>
  <c r="L32" i="28"/>
  <c r="K32" i="28"/>
  <c r="M32" i="28" s="1"/>
  <c r="K38" i="28"/>
  <c r="M38" i="28" s="1"/>
  <c r="L38" i="28"/>
  <c r="L30" i="22"/>
  <c r="K30" i="22"/>
  <c r="M30" i="22" s="1"/>
  <c r="K29" i="25"/>
  <c r="M29" i="25" s="1"/>
  <c r="L29" i="25"/>
  <c r="K35" i="28"/>
  <c r="M35" i="28" s="1"/>
  <c r="L35" i="28"/>
  <c r="K40" i="28"/>
  <c r="M40" i="28" s="1"/>
  <c r="L40" i="28"/>
  <c r="M29" i="22"/>
  <c r="L29" i="22"/>
  <c r="K37" i="28"/>
  <c r="M37" i="28" s="1"/>
  <c r="L37" i="28"/>
  <c r="K32" i="26"/>
  <c r="M32" i="26" s="1"/>
  <c r="L32" i="26"/>
  <c r="L29" i="24"/>
  <c r="K29" i="24"/>
  <c r="M29" i="24" s="1"/>
  <c r="K33" i="28"/>
  <c r="M33" i="28" s="1"/>
  <c r="L33" i="28"/>
  <c r="L30" i="28"/>
  <c r="K30" i="28"/>
  <c r="M30" i="28" s="1"/>
  <c r="K31" i="26"/>
  <c r="M31" i="26" s="1"/>
  <c r="L31" i="26"/>
  <c r="K29" i="28"/>
  <c r="M29" i="28" s="1"/>
  <c r="L29" i="28"/>
  <c r="K30" i="26"/>
  <c r="M30" i="26" s="1"/>
  <c r="L30" i="26"/>
  <c r="L36" i="28"/>
  <c r="K36" i="28"/>
  <c r="M36" i="28" s="1"/>
  <c r="K31" i="24"/>
  <c r="M31" i="24" s="1"/>
  <c r="L31" i="24"/>
  <c r="L31" i="25"/>
  <c r="K31" i="25"/>
  <c r="M31" i="25" s="1"/>
  <c r="K30" i="24"/>
  <c r="M30" i="24" s="1"/>
  <c r="L30" i="24"/>
  <c r="M31" i="22"/>
  <c r="L31" i="22"/>
  <c r="K29" i="27"/>
  <c r="M29" i="27" s="1"/>
  <c r="L29" i="27"/>
  <c r="K29" i="26"/>
  <c r="M29" i="26" s="1"/>
  <c r="L29" i="26"/>
  <c r="K32" i="25"/>
  <c r="M32" i="25" s="1"/>
  <c r="L32" i="25"/>
  <c r="L31" i="28"/>
  <c r="K31" i="28"/>
  <c r="M31" i="28" s="1"/>
  <c r="L32" i="24"/>
  <c r="K32" i="24"/>
  <c r="M32" i="24" s="1"/>
  <c r="K34" i="28"/>
  <c r="M34" i="28" s="1"/>
  <c r="L34" i="28"/>
  <c r="J12" i="27"/>
  <c r="K12" i="27" s="1"/>
  <c r="M12" i="27" s="1"/>
  <c r="K8" i="24"/>
  <c r="M8" i="24" s="1"/>
  <c r="L8" i="24"/>
  <c r="L28" i="28"/>
  <c r="K28" i="28"/>
  <c r="M28" i="28" s="1"/>
  <c r="K28" i="24"/>
  <c r="M28" i="24" s="1"/>
  <c r="L28" i="24"/>
  <c r="L28" i="27"/>
  <c r="K28" i="27"/>
  <c r="M28" i="27" s="1"/>
  <c r="K28" i="26"/>
  <c r="M28" i="26" s="1"/>
  <c r="L28" i="26"/>
  <c r="K28" i="22"/>
  <c r="M28" i="22" s="1"/>
  <c r="K28" i="25"/>
  <c r="M28" i="25" s="1"/>
  <c r="L28" i="25"/>
  <c r="J20" i="27"/>
  <c r="K20" i="27" s="1"/>
  <c r="M20" i="27" s="1"/>
  <c r="J24" i="27"/>
  <c r="K24" i="27" s="1"/>
  <c r="M24" i="27" s="1"/>
  <c r="M15" i="24"/>
  <c r="M26" i="24"/>
  <c r="L10" i="24"/>
  <c r="M12" i="24"/>
  <c r="M20" i="24"/>
  <c r="M23" i="24"/>
  <c r="L9" i="24"/>
  <c r="J18" i="27"/>
  <c r="L18" i="27" s="1"/>
  <c r="J13" i="27"/>
  <c r="K13" i="27" s="1"/>
  <c r="M13" i="27" s="1"/>
  <c r="J22" i="27"/>
  <c r="K22" i="27" s="1"/>
  <c r="J15" i="27"/>
  <c r="K15" i="27" s="1"/>
  <c r="J9" i="27"/>
  <c r="J19" i="27"/>
  <c r="K19" i="27" s="1"/>
  <c r="J17" i="27"/>
  <c r="K17" i="27" s="1"/>
  <c r="J21" i="27"/>
  <c r="K21" i="27" s="1"/>
  <c r="J26" i="27"/>
  <c r="K26" i="27" s="1"/>
  <c r="J16" i="27"/>
  <c r="K16" i="27" s="1"/>
  <c r="J14" i="27"/>
  <c r="K14" i="27" s="1"/>
  <c r="J23" i="27"/>
  <c r="K23" i="27" s="1"/>
  <c r="J25" i="27"/>
  <c r="K25" i="27" s="1"/>
  <c r="J11" i="27"/>
  <c r="K11" i="27" s="1"/>
  <c r="J27" i="27"/>
  <c r="K27" i="27" s="1"/>
  <c r="F18" i="4"/>
  <c r="L18" i="4" s="1"/>
  <c r="M20" i="28"/>
  <c r="L20" i="28"/>
  <c r="K10" i="22"/>
  <c r="M10" i="22" s="1"/>
  <c r="L10" i="22"/>
  <c r="K16" i="22"/>
  <c r="M16" i="22" s="1"/>
  <c r="L16" i="22"/>
  <c r="M16" i="24"/>
  <c r="L16" i="24"/>
  <c r="L22" i="26"/>
  <c r="M22" i="26"/>
  <c r="K15" i="22"/>
  <c r="M15" i="22" s="1"/>
  <c r="L15" i="22"/>
  <c r="M26" i="28"/>
  <c r="L26" i="28"/>
  <c r="L19" i="28"/>
  <c r="M19" i="28"/>
  <c r="K25" i="22"/>
  <c r="M25" i="22" s="1"/>
  <c r="L25" i="22"/>
  <c r="L10" i="26"/>
  <c r="M10" i="26"/>
  <c r="M25" i="28"/>
  <c r="L25" i="28"/>
  <c r="L27" i="25"/>
  <c r="M27" i="25"/>
  <c r="M17" i="25"/>
  <c r="L17" i="25"/>
  <c r="M9" i="26"/>
  <c r="L9" i="26"/>
  <c r="L25" i="26"/>
  <c r="M25" i="26"/>
  <c r="L23" i="22"/>
  <c r="K23" i="22"/>
  <c r="M23" i="22" s="1"/>
  <c r="L27" i="22"/>
  <c r="K27" i="22"/>
  <c r="M27" i="22" s="1"/>
  <c r="L13" i="24"/>
  <c r="M13" i="24"/>
  <c r="L24" i="24"/>
  <c r="M24" i="24"/>
  <c r="K26" i="22"/>
  <c r="M26" i="22" s="1"/>
  <c r="L26" i="22"/>
  <c r="M22" i="24"/>
  <c r="L22" i="24"/>
  <c r="M21" i="24"/>
  <c r="L21" i="24"/>
  <c r="L19" i="24"/>
  <c r="M19" i="24"/>
  <c r="L22" i="25"/>
  <c r="M22" i="25"/>
  <c r="M13" i="28"/>
  <c r="L13" i="28"/>
  <c r="M11" i="26"/>
  <c r="L11" i="26"/>
  <c r="L14" i="28"/>
  <c r="M14" i="28"/>
  <c r="M20" i="25"/>
  <c r="L20" i="25"/>
  <c r="M8" i="26"/>
  <c r="L8" i="26"/>
  <c r="L24" i="26"/>
  <c r="M24" i="26"/>
  <c r="L23" i="28"/>
  <c r="M23" i="28"/>
  <c r="L18" i="26"/>
  <c r="M18" i="26"/>
  <c r="L15" i="26"/>
  <c r="M15" i="26"/>
  <c r="L21" i="25"/>
  <c r="M21" i="25"/>
  <c r="M13" i="26"/>
  <c r="L13" i="26"/>
  <c r="M8" i="28"/>
  <c r="L8" i="28"/>
  <c r="L24" i="28"/>
  <c r="M24" i="28"/>
  <c r="L9" i="22"/>
  <c r="K9" i="22"/>
  <c r="M9" i="22" s="1"/>
  <c r="M27" i="26"/>
  <c r="L27" i="26"/>
  <c r="K14" i="22"/>
  <c r="M14" i="22" s="1"/>
  <c r="L14" i="22"/>
  <c r="K22" i="22"/>
  <c r="M22" i="22" s="1"/>
  <c r="L22" i="22"/>
  <c r="L11" i="24"/>
  <c r="M11" i="24"/>
  <c r="L21" i="22"/>
  <c r="K21" i="22"/>
  <c r="M21" i="22" s="1"/>
  <c r="L17" i="24"/>
  <c r="M17" i="24"/>
  <c r="L19" i="22"/>
  <c r="K19" i="22"/>
  <c r="M19" i="22" s="1"/>
  <c r="L15" i="24"/>
  <c r="M14" i="24"/>
  <c r="L14" i="24"/>
  <c r="M21" i="28"/>
  <c r="L21" i="28"/>
  <c r="M15" i="25"/>
  <c r="L15" i="25"/>
  <c r="L19" i="26"/>
  <c r="M19" i="26"/>
  <c r="M18" i="28"/>
  <c r="L18" i="28"/>
  <c r="M24" i="25"/>
  <c r="L24" i="25"/>
  <c r="L11" i="28"/>
  <c r="M11" i="28"/>
  <c r="L27" i="28"/>
  <c r="M27" i="28"/>
  <c r="L18" i="25"/>
  <c r="M18" i="25"/>
  <c r="L26" i="26"/>
  <c r="M26" i="26"/>
  <c r="L9" i="28"/>
  <c r="M9" i="28"/>
  <c r="L11" i="25"/>
  <c r="M11" i="25"/>
  <c r="L25" i="25"/>
  <c r="M25" i="25"/>
  <c r="M17" i="26"/>
  <c r="L17" i="26"/>
  <c r="M12" i="28"/>
  <c r="L12" i="28"/>
  <c r="M18" i="24"/>
  <c r="L18" i="24"/>
  <c r="K11" i="22"/>
  <c r="M11" i="22" s="1"/>
  <c r="L11" i="22"/>
  <c r="M10" i="28"/>
  <c r="L10" i="28"/>
  <c r="L16" i="25"/>
  <c r="M16" i="25"/>
  <c r="L20" i="26"/>
  <c r="M20" i="26"/>
  <c r="L26" i="24"/>
  <c r="L13" i="22"/>
  <c r="K13" i="22"/>
  <c r="M13" i="22" s="1"/>
  <c r="L17" i="22"/>
  <c r="K17" i="22"/>
  <c r="M17" i="22" s="1"/>
  <c r="K18" i="22"/>
  <c r="M18" i="22" s="1"/>
  <c r="L18" i="22"/>
  <c r="M27" i="24"/>
  <c r="L27" i="24"/>
  <c r="L20" i="22"/>
  <c r="K20" i="22"/>
  <c r="M20" i="22" s="1"/>
  <c r="L12" i="22"/>
  <c r="K12" i="22"/>
  <c r="M12" i="22" s="1"/>
  <c r="L20" i="24"/>
  <c r="L24" i="22"/>
  <c r="K24" i="22"/>
  <c r="M24" i="22" s="1"/>
  <c r="L14" i="26"/>
  <c r="M14" i="26"/>
  <c r="M23" i="25"/>
  <c r="L23" i="25"/>
  <c r="M23" i="26"/>
  <c r="L23" i="26"/>
  <c r="M22" i="28"/>
  <c r="L22" i="28"/>
  <c r="L12" i="25"/>
  <c r="M12" i="25"/>
  <c r="L16" i="26"/>
  <c r="M16" i="26"/>
  <c r="M15" i="28"/>
  <c r="L15" i="28"/>
  <c r="M26" i="25"/>
  <c r="L26" i="25"/>
  <c r="L17" i="28"/>
  <c r="M17" i="28"/>
  <c r="M19" i="25"/>
  <c r="L19" i="25"/>
  <c r="L21" i="26"/>
  <c r="M21" i="26"/>
  <c r="L16" i="28"/>
  <c r="M16" i="28"/>
  <c r="L27" i="4"/>
  <c r="L9" i="4"/>
  <c r="F35" i="4"/>
  <c r="F6" i="4"/>
  <c r="L6" i="4" s="1"/>
  <c r="L7" i="4"/>
  <c r="G6" i="4"/>
  <c r="G35" i="4"/>
  <c r="N18" i="4" s="1"/>
  <c r="L34" i="4"/>
  <c r="M27" i="4"/>
  <c r="L22" i="4"/>
  <c r="I35" i="4"/>
  <c r="I32" i="4" s="1"/>
  <c r="J35" i="4"/>
  <c r="J32" i="4" s="1"/>
  <c r="M32" i="4" s="1"/>
  <c r="M22" i="4"/>
  <c r="L23" i="4"/>
  <c r="I17" i="42" l="1"/>
  <c r="N49" i="26"/>
  <c r="O49" i="26" s="1"/>
  <c r="O49" i="50"/>
  <c r="N50" i="50" s="1"/>
  <c r="K4" i="30"/>
  <c r="C17" i="42"/>
  <c r="G17" i="42"/>
  <c r="L17" i="42"/>
  <c r="O8" i="24"/>
  <c r="N9" i="24" s="1"/>
  <c r="N9" i="25" s="1"/>
  <c r="N8" i="31"/>
  <c r="M9" i="31" s="1"/>
  <c r="N9" i="31" s="1"/>
  <c r="N8" i="30"/>
  <c r="M9" i="30" s="1"/>
  <c r="N9" i="30" s="1"/>
  <c r="B17" i="42"/>
  <c r="O8" i="26"/>
  <c r="O9" i="26" s="1"/>
  <c r="O9" i="22"/>
  <c r="N10" i="22" s="1"/>
  <c r="O10" i="22" s="1"/>
  <c r="N11" i="22" s="1"/>
  <c r="O11" i="22" s="1"/>
  <c r="N12" i="22" s="1"/>
  <c r="O12" i="22" s="1"/>
  <c r="N13" i="22" s="1"/>
  <c r="O13" i="22" s="1"/>
  <c r="N14" i="22" s="1"/>
  <c r="O14" i="22" s="1"/>
  <c r="N15" i="22" s="1"/>
  <c r="O15" i="22" s="1"/>
  <c r="N16" i="22" s="1"/>
  <c r="O16" i="22" s="1"/>
  <c r="N17" i="22" s="1"/>
  <c r="O17" i="22" s="1"/>
  <c r="N18" i="22" s="1"/>
  <c r="O18" i="22" s="1"/>
  <c r="N19" i="22" s="1"/>
  <c r="O19" i="22" s="1"/>
  <c r="N20" i="22" s="1"/>
  <c r="O20" i="22" s="1"/>
  <c r="N21" i="22" s="1"/>
  <c r="O21" i="22" s="1"/>
  <c r="N22" i="22" s="1"/>
  <c r="O22" i="22" s="1"/>
  <c r="N23" i="22" s="1"/>
  <c r="O23" i="22" s="1"/>
  <c r="N24" i="22" s="1"/>
  <c r="O24" i="22" s="1"/>
  <c r="N25" i="22" s="1"/>
  <c r="O25" i="22" s="1"/>
  <c r="N26" i="22" s="1"/>
  <c r="O26" i="22" s="1"/>
  <c r="N27" i="22" s="1"/>
  <c r="O27" i="22" s="1"/>
  <c r="N28" i="22" s="1"/>
  <c r="O28" i="22" s="1"/>
  <c r="N29" i="22" s="1"/>
  <c r="O29" i="22" s="1"/>
  <c r="N30" i="22" s="1"/>
  <c r="O30" i="22" s="1"/>
  <c r="N31" i="22" s="1"/>
  <c r="O31" i="22" s="1"/>
  <c r="N32" i="22" s="1"/>
  <c r="O32" i="22" s="1"/>
  <c r="N33" i="22" s="1"/>
  <c r="O33" i="22" s="1"/>
  <c r="N34" i="22" s="1"/>
  <c r="O34" i="22" s="1"/>
  <c r="N35" i="22" s="1"/>
  <c r="O35" i="22" s="1"/>
  <c r="N36" i="22" s="1"/>
  <c r="O36" i="22" s="1"/>
  <c r="N37" i="22" s="1"/>
  <c r="O37" i="22" s="1"/>
  <c r="N38" i="22" s="1"/>
  <c r="O38" i="22" s="1"/>
  <c r="N39" i="22" s="1"/>
  <c r="O39" i="22" s="1"/>
  <c r="N40" i="22" s="1"/>
  <c r="O40" i="22" s="1"/>
  <c r="N41" i="22" s="1"/>
  <c r="O41" i="22" s="1"/>
  <c r="N42" i="22" s="1"/>
  <c r="O42" i="22" s="1"/>
  <c r="N43" i="22" s="1"/>
  <c r="O43" i="22" s="1"/>
  <c r="N44" i="22" s="1"/>
  <c r="O44" i="22" s="1"/>
  <c r="N45" i="22" s="1"/>
  <c r="O45" i="22" s="1"/>
  <c r="N46" i="22" s="1"/>
  <c r="O46" i="22" s="1"/>
  <c r="N47" i="22" s="1"/>
  <c r="O47" i="22" s="1"/>
  <c r="N48" i="22" s="1"/>
  <c r="O48" i="22" s="1"/>
  <c r="N49" i="22" s="1"/>
  <c r="O49" i="22" s="1"/>
  <c r="N50" i="22" s="1"/>
  <c r="O50" i="22" s="1"/>
  <c r="N51" i="22" s="1"/>
  <c r="O51" i="22" s="1"/>
  <c r="N52" i="22" s="1"/>
  <c r="O52" i="22" s="1"/>
  <c r="N53" i="22" s="1"/>
  <c r="O53" i="22" s="1"/>
  <c r="N9" i="37"/>
  <c r="M10" i="37" s="1"/>
  <c r="N10" i="37" s="1"/>
  <c r="M11" i="37" s="1"/>
  <c r="N11" i="37" s="1"/>
  <c r="M12" i="37" s="1"/>
  <c r="N9" i="40"/>
  <c r="O9" i="40" s="1"/>
  <c r="O9" i="44"/>
  <c r="N10" i="44" s="1"/>
  <c r="O10" i="44" s="1"/>
  <c r="N11" i="44" s="1"/>
  <c r="O11" i="44" s="1"/>
  <c r="N12" i="44" s="1"/>
  <c r="O12" i="44" s="1"/>
  <c r="N13" i="44" s="1"/>
  <c r="O13" i="44" s="1"/>
  <c r="N14" i="44" s="1"/>
  <c r="N9" i="29"/>
  <c r="M10" i="29" s="1"/>
  <c r="K4" i="29"/>
  <c r="L4" i="22"/>
  <c r="L4" i="28"/>
  <c r="L4" i="26"/>
  <c r="K4" i="31"/>
  <c r="O11" i="28"/>
  <c r="N12" i="28" s="1"/>
  <c r="O12" i="28" s="1"/>
  <c r="N13" i="28" s="1"/>
  <c r="O13" i="28" s="1"/>
  <c r="N14" i="28" s="1"/>
  <c r="O14" i="28" s="1"/>
  <c r="N15" i="28" s="1"/>
  <c r="O15" i="28" s="1"/>
  <c r="N16" i="28" s="1"/>
  <c r="O16" i="28" s="1"/>
  <c r="N17" i="28" s="1"/>
  <c r="O17" i="28" s="1"/>
  <c r="N18" i="28" s="1"/>
  <c r="O18" i="28" s="1"/>
  <c r="N19" i="28" s="1"/>
  <c r="O19" i="28" s="1"/>
  <c r="N20" i="28" s="1"/>
  <c r="O20" i="28" s="1"/>
  <c r="N21" i="28" s="1"/>
  <c r="O21" i="28" s="1"/>
  <c r="N22" i="28" s="1"/>
  <c r="O22" i="28" s="1"/>
  <c r="N23" i="28" s="1"/>
  <c r="O23" i="28" s="1"/>
  <c r="N24" i="28" s="1"/>
  <c r="O24" i="28" s="1"/>
  <c r="N25" i="28" s="1"/>
  <c r="O25" i="28" s="1"/>
  <c r="N26" i="28" s="1"/>
  <c r="O26" i="28" s="1"/>
  <c r="N27" i="28" s="1"/>
  <c r="O27" i="28" s="1"/>
  <c r="N28" i="28" s="1"/>
  <c r="O28" i="28" s="1"/>
  <c r="N29" i="28" s="1"/>
  <c r="O29" i="28" s="1"/>
  <c r="N30" i="28" s="1"/>
  <c r="O30" i="28" s="1"/>
  <c r="N31" i="28" s="1"/>
  <c r="O31" i="28" s="1"/>
  <c r="N32" i="28" s="1"/>
  <c r="O32" i="28" s="1"/>
  <c r="N33" i="28" s="1"/>
  <c r="O33" i="28" s="1"/>
  <c r="N34" i="28" s="1"/>
  <c r="O34" i="28" s="1"/>
  <c r="N35" i="28" s="1"/>
  <c r="O35" i="28" s="1"/>
  <c r="N36" i="28" s="1"/>
  <c r="O36" i="28" s="1"/>
  <c r="N37" i="28" s="1"/>
  <c r="O37" i="28" s="1"/>
  <c r="N38" i="28" s="1"/>
  <c r="O38" i="28" s="1"/>
  <c r="N39" i="28" s="1"/>
  <c r="O39" i="28" s="1"/>
  <c r="N40" i="28" s="1"/>
  <c r="O40" i="28" s="1"/>
  <c r="N41" i="28" s="1"/>
  <c r="O41" i="28" s="1"/>
  <c r="N42" i="28" s="1"/>
  <c r="O42" i="28" s="1"/>
  <c r="N43" i="28" s="1"/>
  <c r="O43" i="28" s="1"/>
  <c r="N44" i="28" s="1"/>
  <c r="O44" i="28" s="1"/>
  <c r="N45" i="28" s="1"/>
  <c r="O45" i="28" s="1"/>
  <c r="N46" i="28" s="1"/>
  <c r="O46" i="28" s="1"/>
  <c r="N47" i="28" s="1"/>
  <c r="O47" i="28" s="1"/>
  <c r="N48" i="28" s="1"/>
  <c r="O48" i="28" s="1"/>
  <c r="L13" i="25"/>
  <c r="L30" i="27"/>
  <c r="L14" i="25"/>
  <c r="K14" i="40"/>
  <c r="M14" i="40" s="1"/>
  <c r="L15" i="40"/>
  <c r="L23" i="40"/>
  <c r="L19" i="40"/>
  <c r="J19" i="37"/>
  <c r="L19" i="37" s="1"/>
  <c r="J10" i="37"/>
  <c r="L10" i="37" s="1"/>
  <c r="L10" i="25"/>
  <c r="L9" i="25"/>
  <c r="K22" i="40"/>
  <c r="M22" i="40" s="1"/>
  <c r="BJ44" i="28"/>
  <c r="BJ45" i="28"/>
  <c r="BJ29" i="44"/>
  <c r="BJ10" i="44"/>
  <c r="BJ20" i="44"/>
  <c r="BJ9" i="44"/>
  <c r="BJ12" i="44"/>
  <c r="BJ16" i="44"/>
  <c r="BJ11" i="44"/>
  <c r="BJ14" i="44"/>
  <c r="BJ22" i="44"/>
  <c r="BJ13" i="44"/>
  <c r="BJ15" i="44"/>
  <c r="BJ17" i="44"/>
  <c r="BJ19" i="44"/>
  <c r="BJ21" i="44"/>
  <c r="BJ23" i="44"/>
  <c r="BJ25" i="44"/>
  <c r="BJ32" i="44"/>
  <c r="BJ26" i="44"/>
  <c r="BJ18" i="44"/>
  <c r="BJ24" i="44"/>
  <c r="BJ27" i="44"/>
  <c r="BJ31" i="44"/>
  <c r="BJ28" i="44"/>
  <c r="BJ30" i="44"/>
  <c r="K27" i="37"/>
  <c r="J23" i="37"/>
  <c r="L23" i="37" s="1"/>
  <c r="K24" i="37"/>
  <c r="J29" i="37"/>
  <c r="L29" i="37" s="1"/>
  <c r="K25" i="37"/>
  <c r="J16" i="37"/>
  <c r="L16" i="37" s="1"/>
  <c r="J32" i="37"/>
  <c r="L32" i="37" s="1"/>
  <c r="L31" i="27"/>
  <c r="J18" i="37"/>
  <c r="L18" i="37" s="1"/>
  <c r="K12" i="37"/>
  <c r="K28" i="37"/>
  <c r="K20" i="37"/>
  <c r="J11" i="37"/>
  <c r="L11" i="37" s="1"/>
  <c r="J30" i="37"/>
  <c r="L30" i="37" s="1"/>
  <c r="J21" i="37"/>
  <c r="L21" i="37" s="1"/>
  <c r="K26" i="37"/>
  <c r="J13" i="37"/>
  <c r="L13" i="37" s="1"/>
  <c r="L30" i="40"/>
  <c r="K22" i="37"/>
  <c r="J17" i="37"/>
  <c r="L17" i="37" s="1"/>
  <c r="K21" i="40"/>
  <c r="M21" i="40" s="1"/>
  <c r="K31" i="37"/>
  <c r="J9" i="37"/>
  <c r="L9" i="37" s="1"/>
  <c r="L27" i="40"/>
  <c r="K15" i="37"/>
  <c r="K20" i="40"/>
  <c r="M20" i="40" s="1"/>
  <c r="K31" i="40"/>
  <c r="M31" i="40" s="1"/>
  <c r="L32" i="40"/>
  <c r="K10" i="40"/>
  <c r="M10" i="40" s="1"/>
  <c r="K17" i="40"/>
  <c r="M17" i="40" s="1"/>
  <c r="K11" i="40"/>
  <c r="M11" i="40" s="1"/>
  <c r="K25" i="40"/>
  <c r="M25" i="40" s="1"/>
  <c r="L14" i="44"/>
  <c r="L4" i="44" s="1"/>
  <c r="K14" i="44"/>
  <c r="M14" i="44" s="1"/>
  <c r="L24" i="40"/>
  <c r="K26" i="40"/>
  <c r="M26" i="40" s="1"/>
  <c r="K32" i="27"/>
  <c r="M32" i="27" s="1"/>
  <c r="K28" i="40"/>
  <c r="M28" i="40" s="1"/>
  <c r="K29" i="40"/>
  <c r="M29" i="40" s="1"/>
  <c r="L12" i="40"/>
  <c r="BJ14" i="40"/>
  <c r="BJ9" i="40"/>
  <c r="BJ25" i="40"/>
  <c r="BJ15" i="40"/>
  <c r="BJ12" i="40"/>
  <c r="BJ17" i="40"/>
  <c r="BJ22" i="40"/>
  <c r="BJ26" i="40"/>
  <c r="BJ31" i="40"/>
  <c r="BJ11" i="40"/>
  <c r="BJ27" i="40"/>
  <c r="BJ10" i="40"/>
  <c r="BJ13" i="40"/>
  <c r="BJ30" i="40"/>
  <c r="BJ28" i="40"/>
  <c r="BJ18" i="40"/>
  <c r="BJ23" i="40"/>
  <c r="BJ19" i="40"/>
  <c r="BJ24" i="40"/>
  <c r="BJ32" i="40"/>
  <c r="BJ16" i="40"/>
  <c r="BJ29" i="40"/>
  <c r="BJ21" i="40"/>
  <c r="BJ20" i="40"/>
  <c r="BI21" i="37"/>
  <c r="BI22" i="37"/>
  <c r="BI10" i="37"/>
  <c r="BI26" i="37"/>
  <c r="BI18" i="37"/>
  <c r="BI28" i="37"/>
  <c r="BI20" i="37"/>
  <c r="BI32" i="37"/>
  <c r="BI16" i="37"/>
  <c r="BI19" i="37"/>
  <c r="BI17" i="37"/>
  <c r="BI11" i="37"/>
  <c r="BI12" i="37"/>
  <c r="BI15" i="37"/>
  <c r="BI23" i="37"/>
  <c r="BI27" i="37"/>
  <c r="BI13" i="37"/>
  <c r="BI9" i="37"/>
  <c r="BI29" i="37"/>
  <c r="BI14" i="37"/>
  <c r="BI24" i="37"/>
  <c r="BI30" i="37"/>
  <c r="BI25" i="37"/>
  <c r="BI31" i="37"/>
  <c r="BJ26" i="27"/>
  <c r="BJ11" i="27"/>
  <c r="BJ14" i="27"/>
  <c r="BJ9" i="27"/>
  <c r="BJ18" i="27"/>
  <c r="BJ12" i="27"/>
  <c r="BJ22" i="27"/>
  <c r="BJ19" i="27"/>
  <c r="BJ17" i="27"/>
  <c r="BJ13" i="27"/>
  <c r="BJ20" i="27"/>
  <c r="BJ10" i="27"/>
  <c r="BJ27" i="27"/>
  <c r="BJ16" i="27"/>
  <c r="BJ25" i="27"/>
  <c r="BJ29" i="27"/>
  <c r="BJ15" i="27"/>
  <c r="BJ24" i="27"/>
  <c r="BJ32" i="27"/>
  <c r="BJ28" i="27"/>
  <c r="BJ30" i="27"/>
  <c r="BJ31" i="27"/>
  <c r="BJ21" i="27"/>
  <c r="BJ23" i="27"/>
  <c r="BJ20" i="26"/>
  <c r="BJ18" i="26"/>
  <c r="BJ32" i="26"/>
  <c r="BJ22" i="26"/>
  <c r="BJ29" i="26"/>
  <c r="BJ17" i="26"/>
  <c r="BJ28" i="26"/>
  <c r="BJ26" i="26"/>
  <c r="BJ15" i="26"/>
  <c r="BJ11" i="26"/>
  <c r="BJ14" i="26"/>
  <c r="BJ25" i="26"/>
  <c r="BJ23" i="26"/>
  <c r="BJ13" i="26"/>
  <c r="BJ8" i="26"/>
  <c r="BJ19" i="26"/>
  <c r="BJ30" i="26"/>
  <c r="BJ12" i="26"/>
  <c r="BJ10" i="26"/>
  <c r="BJ16" i="26"/>
  <c r="BJ31" i="26"/>
  <c r="BJ21" i="26"/>
  <c r="BJ24" i="26"/>
  <c r="BJ27" i="26"/>
  <c r="BJ9" i="26"/>
  <c r="BI13" i="31"/>
  <c r="BI10" i="31"/>
  <c r="BI24" i="31"/>
  <c r="BI23" i="31"/>
  <c r="BI25" i="31"/>
  <c r="BI15" i="31"/>
  <c r="BI16" i="31"/>
  <c r="BI21" i="31"/>
  <c r="BI11" i="31"/>
  <c r="BI22" i="31"/>
  <c r="BI30" i="31"/>
  <c r="BI31" i="31"/>
  <c r="BI17" i="31"/>
  <c r="BI29" i="31"/>
  <c r="BI20" i="31"/>
  <c r="BI19" i="31"/>
  <c r="BI8" i="31"/>
  <c r="BI12" i="31"/>
  <c r="BI26" i="31"/>
  <c r="BI18" i="31"/>
  <c r="BI27" i="31"/>
  <c r="BI28" i="31"/>
  <c r="BI9" i="31"/>
  <c r="BI14" i="31"/>
  <c r="BI32" i="31"/>
  <c r="BJ11" i="25"/>
  <c r="BJ10" i="25"/>
  <c r="BJ9" i="25"/>
  <c r="BJ12" i="25"/>
  <c r="BJ15" i="25"/>
  <c r="BJ21" i="25"/>
  <c r="BJ23" i="25"/>
  <c r="BJ13" i="25"/>
  <c r="BJ19" i="25"/>
  <c r="BJ18" i="25"/>
  <c r="BJ17" i="25"/>
  <c r="BJ20" i="25"/>
  <c r="BJ31" i="25"/>
  <c r="BJ29" i="25"/>
  <c r="BJ27" i="25"/>
  <c r="BJ26" i="25"/>
  <c r="BJ25" i="25"/>
  <c r="BJ28" i="25"/>
  <c r="BJ14" i="25"/>
  <c r="BJ16" i="25"/>
  <c r="BJ22" i="25"/>
  <c r="BJ30" i="25"/>
  <c r="BJ32" i="25"/>
  <c r="BJ24" i="25"/>
  <c r="BI24" i="30"/>
  <c r="BI26" i="30"/>
  <c r="BI31" i="30"/>
  <c r="BI27" i="30"/>
  <c r="BI8" i="30"/>
  <c r="BI19" i="30"/>
  <c r="BI22" i="30"/>
  <c r="BI9" i="30"/>
  <c r="BI28" i="30"/>
  <c r="BI18" i="30"/>
  <c r="BI30" i="30"/>
  <c r="BI16" i="30"/>
  <c r="BI10" i="30"/>
  <c r="BI12" i="30"/>
  <c r="BI11" i="30"/>
  <c r="BI14" i="30"/>
  <c r="BI20" i="30"/>
  <c r="BI17" i="30"/>
  <c r="BI15" i="30"/>
  <c r="BI13" i="30"/>
  <c r="BI25" i="30"/>
  <c r="BI23" i="30"/>
  <c r="BI29" i="30"/>
  <c r="BI21" i="30"/>
  <c r="BI32" i="30"/>
  <c r="BI23" i="29"/>
  <c r="BI29" i="29"/>
  <c r="BI27" i="29"/>
  <c r="BI17" i="29"/>
  <c r="BI25" i="29"/>
  <c r="BI10" i="29"/>
  <c r="BI31" i="29"/>
  <c r="BI14" i="29"/>
  <c r="BI18" i="29"/>
  <c r="BI8" i="29"/>
  <c r="BI32" i="29"/>
  <c r="BI13" i="29"/>
  <c r="BI16" i="29"/>
  <c r="BI11" i="29"/>
  <c r="BI22" i="29"/>
  <c r="BI9" i="29"/>
  <c r="BI28" i="29"/>
  <c r="BI12" i="29"/>
  <c r="BI15" i="29"/>
  <c r="BI20" i="29"/>
  <c r="BI21" i="29"/>
  <c r="BI26" i="29"/>
  <c r="BI19" i="29"/>
  <c r="BI30" i="29"/>
  <c r="BI24" i="29"/>
  <c r="BJ41" i="28"/>
  <c r="BJ14" i="28"/>
  <c r="BJ15" i="28"/>
  <c r="BJ20" i="28"/>
  <c r="BJ21" i="28"/>
  <c r="BJ24" i="28"/>
  <c r="BJ10" i="28"/>
  <c r="BJ16" i="28"/>
  <c r="BJ18" i="28"/>
  <c r="BJ22" i="28"/>
  <c r="BJ23" i="28"/>
  <c r="BJ28" i="28"/>
  <c r="BJ29" i="28"/>
  <c r="BJ40" i="28"/>
  <c r="BJ26" i="28"/>
  <c r="BJ32" i="28"/>
  <c r="BJ34" i="28"/>
  <c r="BJ43" i="28"/>
  <c r="BJ30" i="28"/>
  <c r="BJ31" i="28"/>
  <c r="BJ36" i="28"/>
  <c r="BJ37" i="28"/>
  <c r="BJ17" i="28"/>
  <c r="BJ19" i="28"/>
  <c r="BJ9" i="28"/>
  <c r="BJ11" i="28"/>
  <c r="BJ42" i="28"/>
  <c r="BJ39" i="28"/>
  <c r="BJ38" i="28"/>
  <c r="BJ12" i="28"/>
  <c r="BJ13" i="28"/>
  <c r="BJ8" i="28"/>
  <c r="BJ33" i="28"/>
  <c r="BJ35" i="28"/>
  <c r="BJ25" i="28"/>
  <c r="BJ27" i="28"/>
  <c r="BJ13" i="22"/>
  <c r="BJ10" i="22"/>
  <c r="BJ11" i="22"/>
  <c r="BJ18" i="22"/>
  <c r="BJ12" i="22"/>
  <c r="BJ28" i="22"/>
  <c r="BJ31" i="22"/>
  <c r="BJ17" i="22"/>
  <c r="BJ21" i="22"/>
  <c r="BJ19" i="22"/>
  <c r="BJ32" i="22"/>
  <c r="BJ16" i="22"/>
  <c r="BJ22" i="22"/>
  <c r="BJ30" i="22"/>
  <c r="BJ29" i="22"/>
  <c r="BJ14" i="22"/>
  <c r="BJ27" i="22"/>
  <c r="BJ23" i="22"/>
  <c r="BJ9" i="22"/>
  <c r="BJ20" i="22"/>
  <c r="BJ24" i="22"/>
  <c r="BJ26" i="22"/>
  <c r="BJ25" i="22"/>
  <c r="BJ15" i="22"/>
  <c r="BJ11" i="24"/>
  <c r="BJ14" i="24"/>
  <c r="BJ9" i="24"/>
  <c r="BJ20" i="24"/>
  <c r="BJ15" i="24"/>
  <c r="BJ26" i="24"/>
  <c r="BJ21" i="24"/>
  <c r="BJ19" i="24"/>
  <c r="BJ22" i="24"/>
  <c r="BJ17" i="24"/>
  <c r="BJ30" i="24"/>
  <c r="BJ23" i="24"/>
  <c r="BJ29" i="24"/>
  <c r="BJ28" i="24"/>
  <c r="BJ18" i="24"/>
  <c r="BJ27" i="24"/>
  <c r="BJ12" i="24"/>
  <c r="BJ25" i="24"/>
  <c r="BJ16" i="24"/>
  <c r="BJ31" i="24"/>
  <c r="BJ13" i="24"/>
  <c r="BJ8" i="24"/>
  <c r="BJ32" i="24"/>
  <c r="BJ24" i="24"/>
  <c r="BJ10" i="24"/>
  <c r="L10" i="27"/>
  <c r="P10" i="34"/>
  <c r="P12" i="34" s="1"/>
  <c r="P9" i="34"/>
  <c r="O11" i="34" s="1"/>
  <c r="P11" i="34" s="1"/>
  <c r="L12" i="27"/>
  <c r="L20" i="27"/>
  <c r="L24" i="27"/>
  <c r="L13" i="27"/>
  <c r="K9" i="27"/>
  <c r="M9" i="27" s="1"/>
  <c r="K18" i="27"/>
  <c r="M18" i="27" s="1"/>
  <c r="L9" i="27"/>
  <c r="L23" i="24"/>
  <c r="L12" i="24"/>
  <c r="M9" i="24"/>
  <c r="M10" i="24"/>
  <c r="M25" i="24"/>
  <c r="M27" i="27"/>
  <c r="M14" i="27"/>
  <c r="M25" i="27"/>
  <c r="M26" i="27"/>
  <c r="M17" i="27"/>
  <c r="M15" i="27"/>
  <c r="L23" i="27"/>
  <c r="M21" i="27"/>
  <c r="L19" i="27"/>
  <c r="M19" i="27"/>
  <c r="M22" i="27"/>
  <c r="M11" i="27"/>
  <c r="L16" i="27"/>
  <c r="M16" i="27"/>
  <c r="L15" i="27"/>
  <c r="M23" i="27"/>
  <c r="L21" i="27"/>
  <c r="L25" i="27"/>
  <c r="N9" i="27"/>
  <c r="L26" i="27"/>
  <c r="L17" i="27"/>
  <c r="L22" i="27"/>
  <c r="L27" i="27"/>
  <c r="L11" i="27"/>
  <c r="L14" i="27"/>
  <c r="D37" i="4"/>
  <c r="N27" i="4"/>
  <c r="L32" i="4"/>
  <c r="N6" i="4"/>
  <c r="M6" i="4"/>
  <c r="N22" i="4"/>
  <c r="L35" i="4"/>
  <c r="F37" i="4"/>
  <c r="L16" i="42" l="1"/>
  <c r="L23" i="42" s="1"/>
  <c r="O50" i="50"/>
  <c r="N51" i="50" s="1"/>
  <c r="N50" i="26"/>
  <c r="O50" i="26" s="1"/>
  <c r="J17" i="42"/>
  <c r="K17" i="42"/>
  <c r="K2" i="30"/>
  <c r="C18" i="42"/>
  <c r="D47" i="66" s="1"/>
  <c r="K2" i="29"/>
  <c r="K2" i="31"/>
  <c r="C52" i="66"/>
  <c r="L2" i="22"/>
  <c r="O9" i="24"/>
  <c r="N10" i="24" s="1"/>
  <c r="O9" i="25"/>
  <c r="O10" i="26"/>
  <c r="M9" i="32"/>
  <c r="M10" i="31"/>
  <c r="M10" i="30"/>
  <c r="N10" i="30" s="1"/>
  <c r="N10" i="29"/>
  <c r="M11" i="29" s="1"/>
  <c r="N10" i="40"/>
  <c r="O10" i="40" s="1"/>
  <c r="N11" i="40" s="1"/>
  <c r="O11" i="40" s="1"/>
  <c r="N12" i="40" s="1"/>
  <c r="O12" i="40" s="1"/>
  <c r="O9" i="27"/>
  <c r="N10" i="27" s="1"/>
  <c r="O10" i="27" s="1"/>
  <c r="N11" i="27" s="1"/>
  <c r="O11" i="27" s="1"/>
  <c r="N12" i="27" s="1"/>
  <c r="O12" i="27" s="1"/>
  <c r="N13" i="27" s="1"/>
  <c r="O13" i="27" s="1"/>
  <c r="N14" i="27" s="1"/>
  <c r="O14" i="27" s="1"/>
  <c r="N12" i="37"/>
  <c r="M13" i="37" s="1"/>
  <c r="N13" i="37" s="1"/>
  <c r="M14" i="37" s="1"/>
  <c r="N14" i="37" s="1"/>
  <c r="M15" i="37" s="1"/>
  <c r="O14" i="44"/>
  <c r="N15" i="44" s="1"/>
  <c r="L4" i="24"/>
  <c r="L4" i="25"/>
  <c r="L4" i="40"/>
  <c r="P16" i="42" s="1"/>
  <c r="K4" i="37"/>
  <c r="L4" i="27"/>
  <c r="N16" i="42" s="1"/>
  <c r="K4" i="32"/>
  <c r="BK44" i="28"/>
  <c r="BK45" i="28"/>
  <c r="BK9" i="44"/>
  <c r="BK16" i="44"/>
  <c r="BK20" i="44"/>
  <c r="BK11" i="44"/>
  <c r="BK10" i="44"/>
  <c r="BK19" i="44"/>
  <c r="BK23" i="44"/>
  <c r="BK15" i="44"/>
  <c r="BK12" i="44"/>
  <c r="BK13" i="44"/>
  <c r="BK24" i="44"/>
  <c r="BK21" i="44"/>
  <c r="BK32" i="44"/>
  <c r="BK18" i="44"/>
  <c r="BK31" i="44"/>
  <c r="BK17" i="44"/>
  <c r="BK14" i="44"/>
  <c r="BK22" i="44"/>
  <c r="BK26" i="44"/>
  <c r="BK30" i="44"/>
  <c r="BK28" i="44"/>
  <c r="BK29" i="44"/>
  <c r="BK27" i="44"/>
  <c r="BK25" i="44"/>
  <c r="BK14" i="40"/>
  <c r="BK24" i="40"/>
  <c r="BK11" i="40"/>
  <c r="BK27" i="40"/>
  <c r="BK29" i="40"/>
  <c r="BK32" i="40"/>
  <c r="BK17" i="40"/>
  <c r="BK15" i="40"/>
  <c r="BK12" i="40"/>
  <c r="BK13" i="40"/>
  <c r="BK21" i="40"/>
  <c r="BK25" i="40"/>
  <c r="BK9" i="40"/>
  <c r="BK23" i="40"/>
  <c r="BK22" i="40"/>
  <c r="BK10" i="40"/>
  <c r="BK16" i="40"/>
  <c r="BK31" i="40"/>
  <c r="BK30" i="40"/>
  <c r="BK26" i="40"/>
  <c r="BK18" i="40"/>
  <c r="BK20" i="40"/>
  <c r="BK19" i="40"/>
  <c r="BK28" i="40"/>
  <c r="BJ21" i="37"/>
  <c r="BJ13" i="37"/>
  <c r="BJ10" i="37"/>
  <c r="BJ31" i="37"/>
  <c r="BJ9" i="37"/>
  <c r="BJ11" i="37"/>
  <c r="BJ17" i="37"/>
  <c r="BJ18" i="37"/>
  <c r="BJ19" i="37"/>
  <c r="BJ16" i="37"/>
  <c r="BJ28" i="37"/>
  <c r="BJ24" i="37"/>
  <c r="BJ29" i="37"/>
  <c r="BJ12" i="37"/>
  <c r="BJ14" i="37"/>
  <c r="BJ25" i="37"/>
  <c r="BJ26" i="37"/>
  <c r="BJ23" i="37"/>
  <c r="BJ15" i="37"/>
  <c r="BJ20" i="37"/>
  <c r="BJ22" i="37"/>
  <c r="BJ27" i="37"/>
  <c r="BJ32" i="37"/>
  <c r="BJ30" i="37"/>
  <c r="BK26" i="25"/>
  <c r="BK19" i="25"/>
  <c r="BK28" i="25"/>
  <c r="BK17" i="25"/>
  <c r="BK30" i="25"/>
  <c r="BK32" i="25"/>
  <c r="BK14" i="25"/>
  <c r="BK18" i="25"/>
  <c r="BK27" i="25"/>
  <c r="BK22" i="25"/>
  <c r="BK25" i="25"/>
  <c r="BK15" i="25"/>
  <c r="BK21" i="25"/>
  <c r="BK13" i="25"/>
  <c r="BK31" i="25"/>
  <c r="BK23" i="25"/>
  <c r="BK29" i="25"/>
  <c r="BK12" i="25"/>
  <c r="BK11" i="25"/>
  <c r="BK16" i="25"/>
  <c r="BK9" i="25"/>
  <c r="BK20" i="25"/>
  <c r="BK24" i="25"/>
  <c r="BK10" i="25"/>
  <c r="BJ23" i="31"/>
  <c r="BJ29" i="31"/>
  <c r="BJ31" i="31"/>
  <c r="BJ12" i="31"/>
  <c r="BJ11" i="31"/>
  <c r="BJ10" i="31"/>
  <c r="BJ9" i="31"/>
  <c r="BJ22" i="31"/>
  <c r="BJ8" i="31"/>
  <c r="BJ14" i="31"/>
  <c r="BJ15" i="31"/>
  <c r="BJ20" i="31"/>
  <c r="BJ19" i="31"/>
  <c r="BJ18" i="31"/>
  <c r="BJ17" i="31"/>
  <c r="BJ24" i="31"/>
  <c r="BJ30" i="31"/>
  <c r="BJ32" i="31"/>
  <c r="BJ28" i="31"/>
  <c r="BJ27" i="31"/>
  <c r="BJ26" i="31"/>
  <c r="BJ25" i="31"/>
  <c r="BJ21" i="31"/>
  <c r="BJ13" i="31"/>
  <c r="BJ16" i="31"/>
  <c r="BK21" i="27"/>
  <c r="BK23" i="27"/>
  <c r="BK29" i="27"/>
  <c r="BK31" i="27"/>
  <c r="BK14" i="27"/>
  <c r="BK11" i="27"/>
  <c r="BK12" i="27"/>
  <c r="BK9" i="27"/>
  <c r="BK16" i="27"/>
  <c r="BK18" i="27"/>
  <c r="BK22" i="27"/>
  <c r="BK19" i="27"/>
  <c r="BK20" i="27"/>
  <c r="BK17" i="27"/>
  <c r="BK24" i="27"/>
  <c r="BK10" i="27"/>
  <c r="BK32" i="27"/>
  <c r="BK30" i="27"/>
  <c r="BK27" i="27"/>
  <c r="BK28" i="27"/>
  <c r="BK25" i="27"/>
  <c r="BK26" i="27"/>
  <c r="BK13" i="27"/>
  <c r="BK15" i="27"/>
  <c r="BK43" i="28"/>
  <c r="BK24" i="28"/>
  <c r="BK19" i="28"/>
  <c r="BK10" i="28"/>
  <c r="BK17" i="28"/>
  <c r="BK21" i="28"/>
  <c r="BK22" i="28"/>
  <c r="BK13" i="28"/>
  <c r="BK15" i="28"/>
  <c r="BK41" i="28"/>
  <c r="BK39" i="28"/>
  <c r="BK40" i="28"/>
  <c r="BK27" i="28"/>
  <c r="BK26" i="28"/>
  <c r="BK25" i="28"/>
  <c r="BK37" i="28"/>
  <c r="BK23" i="28"/>
  <c r="BK29" i="28"/>
  <c r="BK31" i="28"/>
  <c r="BK42" i="28"/>
  <c r="BK30" i="28"/>
  <c r="BK12" i="28"/>
  <c r="BK35" i="28"/>
  <c r="BK16" i="28"/>
  <c r="BK33" i="28"/>
  <c r="BK18" i="28"/>
  <c r="BK28" i="28"/>
  <c r="BK34" i="28"/>
  <c r="BK8" i="28"/>
  <c r="BK11" i="28"/>
  <c r="BK32" i="28"/>
  <c r="BK9" i="28"/>
  <c r="BK38" i="28"/>
  <c r="BK14" i="28"/>
  <c r="BK20" i="28"/>
  <c r="BK36" i="28"/>
  <c r="BK30" i="22"/>
  <c r="BK27" i="22"/>
  <c r="BK28" i="22"/>
  <c r="BK25" i="22"/>
  <c r="BK26" i="22"/>
  <c r="BK13" i="22"/>
  <c r="BK18" i="22"/>
  <c r="BK21" i="22"/>
  <c r="BK23" i="22"/>
  <c r="BK29" i="22"/>
  <c r="BK31" i="22"/>
  <c r="BK14" i="22"/>
  <c r="BK11" i="22"/>
  <c r="BK12" i="22"/>
  <c r="BK9" i="22"/>
  <c r="BK16" i="22"/>
  <c r="BK15" i="22"/>
  <c r="BK22" i="22"/>
  <c r="BK19" i="22"/>
  <c r="BK20" i="22"/>
  <c r="BK17" i="22"/>
  <c r="BK24" i="22"/>
  <c r="BK10" i="22"/>
  <c r="BK32" i="22"/>
  <c r="BK16" i="24"/>
  <c r="BK13" i="24"/>
  <c r="BK14" i="24"/>
  <c r="BK11" i="24"/>
  <c r="BK12" i="24"/>
  <c r="BK9" i="24"/>
  <c r="BK18" i="24"/>
  <c r="BK24" i="24"/>
  <c r="BK21" i="24"/>
  <c r="BK22" i="24"/>
  <c r="BK19" i="24"/>
  <c r="BK20" i="24"/>
  <c r="BK17" i="24"/>
  <c r="BK31" i="24"/>
  <c r="BK15" i="24"/>
  <c r="BK32" i="24"/>
  <c r="BK29" i="24"/>
  <c r="BK30" i="24"/>
  <c r="BK27" i="24"/>
  <c r="BK28" i="24"/>
  <c r="BK25" i="24"/>
  <c r="BK10" i="24"/>
  <c r="BK26" i="24"/>
  <c r="BK8" i="24"/>
  <c r="BK23" i="24"/>
  <c r="BJ30" i="29"/>
  <c r="BJ29" i="29"/>
  <c r="BJ28" i="29"/>
  <c r="BJ27" i="29"/>
  <c r="BJ26" i="29"/>
  <c r="BJ25" i="29"/>
  <c r="BJ24" i="29"/>
  <c r="BJ31" i="29"/>
  <c r="BJ8" i="29"/>
  <c r="BJ14" i="29"/>
  <c r="BJ13" i="29"/>
  <c r="BJ12" i="29"/>
  <c r="BJ11" i="29"/>
  <c r="BJ10" i="29"/>
  <c r="BJ9" i="29"/>
  <c r="BJ32" i="29"/>
  <c r="BJ23" i="29"/>
  <c r="BJ22" i="29"/>
  <c r="BJ21" i="29"/>
  <c r="BJ20" i="29"/>
  <c r="BJ19" i="29"/>
  <c r="BJ18" i="29"/>
  <c r="BJ17" i="29"/>
  <c r="BJ15" i="29"/>
  <c r="BJ16" i="29"/>
  <c r="BK10" i="26"/>
  <c r="BK16" i="26"/>
  <c r="BK13" i="26"/>
  <c r="BK14" i="26"/>
  <c r="BK11" i="26"/>
  <c r="BK12" i="26"/>
  <c r="BK9" i="26"/>
  <c r="BK8" i="26"/>
  <c r="BK15" i="26"/>
  <c r="BK24" i="26"/>
  <c r="BK21" i="26"/>
  <c r="BK22" i="26"/>
  <c r="BK19" i="26"/>
  <c r="BK20" i="26"/>
  <c r="BK17" i="26"/>
  <c r="BK18" i="26"/>
  <c r="BK23" i="26"/>
  <c r="BK32" i="26"/>
  <c r="BK29" i="26"/>
  <c r="BK30" i="26"/>
  <c r="BK27" i="26"/>
  <c r="BK28" i="26"/>
  <c r="BK25" i="26"/>
  <c r="BK26" i="26"/>
  <c r="BK31" i="26"/>
  <c r="BJ14" i="30"/>
  <c r="BJ13" i="30"/>
  <c r="BJ12" i="30"/>
  <c r="BJ11" i="30"/>
  <c r="BJ8" i="30"/>
  <c r="BJ31" i="30"/>
  <c r="BJ18" i="30"/>
  <c r="BJ22" i="30"/>
  <c r="BJ21" i="30"/>
  <c r="BJ20" i="30"/>
  <c r="BJ19" i="30"/>
  <c r="BJ24" i="30"/>
  <c r="BJ10" i="30"/>
  <c r="BJ9" i="30"/>
  <c r="BJ30" i="30"/>
  <c r="BJ29" i="30"/>
  <c r="BJ28" i="30"/>
  <c r="BJ27" i="30"/>
  <c r="BJ26" i="30"/>
  <c r="BJ25" i="30"/>
  <c r="BJ32" i="30"/>
  <c r="BJ15" i="30"/>
  <c r="BJ17" i="30"/>
  <c r="BJ16" i="30"/>
  <c r="BJ23" i="30"/>
  <c r="L18" i="42" l="1"/>
  <c r="D55" i="66" s="1"/>
  <c r="C55" i="66"/>
  <c r="C57" i="66"/>
  <c r="N23" i="42"/>
  <c r="C59" i="66"/>
  <c r="P23" i="42"/>
  <c r="N51" i="26"/>
  <c r="O51" i="26" s="1"/>
  <c r="O51" i="50"/>
  <c r="N52" i="50" s="1"/>
  <c r="B18" i="42"/>
  <c r="D46" i="66" s="1"/>
  <c r="I18" i="42"/>
  <c r="D52" i="66" s="1"/>
  <c r="G18" i="42"/>
  <c r="D50" i="66" s="1"/>
  <c r="P18" i="42"/>
  <c r="D59" i="66" s="1"/>
  <c r="N18" i="42"/>
  <c r="D57" i="66" s="1"/>
  <c r="L2" i="25"/>
  <c r="K2" i="32"/>
  <c r="L2" i="24"/>
  <c r="N10" i="25"/>
  <c r="O10" i="25" s="1"/>
  <c r="O11" i="26"/>
  <c r="O10" i="24"/>
  <c r="N11" i="24" s="1"/>
  <c r="N9" i="32"/>
  <c r="M10" i="32" s="1"/>
  <c r="N10" i="32" s="1"/>
  <c r="N10" i="31"/>
  <c r="M11" i="31" s="1"/>
  <c r="N11" i="31" s="1"/>
  <c r="M12" i="31" s="1"/>
  <c r="N12" i="31" s="1"/>
  <c r="M11" i="30"/>
  <c r="N11" i="29"/>
  <c r="M12" i="29" s="1"/>
  <c r="N13" i="40"/>
  <c r="O13" i="40" s="1"/>
  <c r="N14" i="40" s="1"/>
  <c r="O14" i="40" s="1"/>
  <c r="N15" i="40" s="1"/>
  <c r="O15" i="40" s="1"/>
  <c r="O15" i="44"/>
  <c r="N16" i="44" s="1"/>
  <c r="O16" i="44" s="1"/>
  <c r="N17" i="44" s="1"/>
  <c r="O17" i="44" s="1"/>
  <c r="N18" i="44" s="1"/>
  <c r="O18" i="44" s="1"/>
  <c r="N19" i="44" s="1"/>
  <c r="N15" i="27"/>
  <c r="O15" i="27" s="1"/>
  <c r="N15" i="37"/>
  <c r="M16" i="37" s="1"/>
  <c r="N16" i="37" s="1"/>
  <c r="M17" i="37" s="1"/>
  <c r="O16" i="42"/>
  <c r="BL45" i="28"/>
  <c r="BL44" i="28"/>
  <c r="BL17" i="44"/>
  <c r="BL13" i="44"/>
  <c r="BL11" i="44"/>
  <c r="BL21" i="44"/>
  <c r="BL10" i="44"/>
  <c r="BL23" i="44"/>
  <c r="BL19" i="44"/>
  <c r="BL9" i="44"/>
  <c r="BL14" i="44"/>
  <c r="BL29" i="44"/>
  <c r="BL15" i="44"/>
  <c r="BL20" i="44"/>
  <c r="BL31" i="44"/>
  <c r="BL25" i="44"/>
  <c r="BL26" i="44"/>
  <c r="BL12" i="44"/>
  <c r="BL27" i="44"/>
  <c r="BL24" i="44"/>
  <c r="BL32" i="44"/>
  <c r="BL16" i="44"/>
  <c r="BL18" i="44"/>
  <c r="BL22" i="44"/>
  <c r="BL30" i="44"/>
  <c r="BL28" i="44"/>
  <c r="BL29" i="40"/>
  <c r="BL16" i="40"/>
  <c r="BL10" i="40"/>
  <c r="BL14" i="40"/>
  <c r="BL32" i="40"/>
  <c r="BL12" i="40"/>
  <c r="BL13" i="40"/>
  <c r="BL9" i="40"/>
  <c r="BL11" i="40"/>
  <c r="BL23" i="40"/>
  <c r="BL27" i="40"/>
  <c r="BL22" i="40"/>
  <c r="BL26" i="40"/>
  <c r="BL28" i="40"/>
  <c r="BL30" i="40"/>
  <c r="BL18" i="40"/>
  <c r="BL15" i="40"/>
  <c r="BL19" i="40"/>
  <c r="BL20" i="40"/>
  <c r="BL31" i="40"/>
  <c r="BL17" i="40"/>
  <c r="BL25" i="40"/>
  <c r="BL21" i="40"/>
  <c r="BL24" i="40"/>
  <c r="BK20" i="37"/>
  <c r="BK13" i="37"/>
  <c r="BK23" i="37"/>
  <c r="BK12" i="37"/>
  <c r="BK10" i="37"/>
  <c r="BK14" i="37"/>
  <c r="BK18" i="37"/>
  <c r="BK9" i="37"/>
  <c r="BK11" i="37"/>
  <c r="BK16" i="37"/>
  <c r="BK21" i="37"/>
  <c r="BK24" i="37"/>
  <c r="BK19" i="37"/>
  <c r="BK32" i="37"/>
  <c r="BK29" i="37"/>
  <c r="BK30" i="37"/>
  <c r="BK17" i="37"/>
  <c r="BK28" i="37"/>
  <c r="BK15" i="37"/>
  <c r="BK27" i="37"/>
  <c r="BK25" i="37"/>
  <c r="BK22" i="37"/>
  <c r="BK26" i="37"/>
  <c r="BK31" i="37"/>
  <c r="BL25" i="27"/>
  <c r="BL15" i="27"/>
  <c r="BL24" i="27"/>
  <c r="BL30" i="27"/>
  <c r="BL20" i="27"/>
  <c r="BL12" i="27"/>
  <c r="BL9" i="27"/>
  <c r="BL11" i="27"/>
  <c r="BL31" i="27"/>
  <c r="BL23" i="27"/>
  <c r="BL32" i="27"/>
  <c r="BL28" i="27"/>
  <c r="BL13" i="27"/>
  <c r="BL27" i="27"/>
  <c r="BL21" i="27"/>
  <c r="BL14" i="27"/>
  <c r="BL18" i="27"/>
  <c r="BL10" i="27"/>
  <c r="BL19" i="27"/>
  <c r="BL29" i="27"/>
  <c r="BL17" i="27"/>
  <c r="BL16" i="27"/>
  <c r="BL22" i="27"/>
  <c r="BL26" i="27"/>
  <c r="BL23" i="25"/>
  <c r="BL32" i="25"/>
  <c r="BL26" i="25"/>
  <c r="BL9" i="25"/>
  <c r="BL27" i="25"/>
  <c r="BL15" i="25"/>
  <c r="BL13" i="25"/>
  <c r="BL14" i="25"/>
  <c r="BL20" i="25"/>
  <c r="BL12" i="25"/>
  <c r="BL25" i="25"/>
  <c r="BL21" i="25"/>
  <c r="BL19" i="25"/>
  <c r="BL29" i="25"/>
  <c r="BL16" i="25"/>
  <c r="BL22" i="25"/>
  <c r="BL28" i="25"/>
  <c r="BL11" i="25"/>
  <c r="BL17" i="25"/>
  <c r="BL31" i="25"/>
  <c r="BL24" i="25"/>
  <c r="BL30" i="25"/>
  <c r="BL10" i="25"/>
  <c r="BL18" i="25"/>
  <c r="BL42" i="28"/>
  <c r="BL19" i="28"/>
  <c r="BL20" i="28"/>
  <c r="BL17" i="28"/>
  <c r="BL18" i="28"/>
  <c r="BL29" i="28"/>
  <c r="BL31" i="28"/>
  <c r="BL37" i="28"/>
  <c r="BL39" i="28"/>
  <c r="BL41" i="28"/>
  <c r="BL27" i="28"/>
  <c r="BL28" i="28"/>
  <c r="BL25" i="28"/>
  <c r="BL26" i="28"/>
  <c r="BL22" i="28"/>
  <c r="BL8" i="28"/>
  <c r="BL14" i="28"/>
  <c r="BL16" i="28"/>
  <c r="BL40" i="28"/>
  <c r="BL35" i="28"/>
  <c r="BL36" i="28"/>
  <c r="BL33" i="28"/>
  <c r="BL34" i="28"/>
  <c r="BL38" i="28"/>
  <c r="BL24" i="28"/>
  <c r="BL30" i="28"/>
  <c r="BL32" i="28"/>
  <c r="BL43" i="28"/>
  <c r="BL11" i="28"/>
  <c r="BL12" i="28"/>
  <c r="BL9" i="28"/>
  <c r="BL10" i="28"/>
  <c r="BL13" i="28"/>
  <c r="BL15" i="28"/>
  <c r="BL21" i="28"/>
  <c r="BL23" i="28"/>
  <c r="BK21" i="31"/>
  <c r="BK9" i="31"/>
  <c r="BK18" i="31"/>
  <c r="BK16" i="31"/>
  <c r="BK13" i="31"/>
  <c r="BK30" i="31"/>
  <c r="BK11" i="31"/>
  <c r="BK15" i="31"/>
  <c r="BK25" i="31"/>
  <c r="BK26" i="31"/>
  <c r="BK24" i="31"/>
  <c r="BK12" i="31"/>
  <c r="BK20" i="31"/>
  <c r="BK22" i="31"/>
  <c r="BK27" i="31"/>
  <c r="BK31" i="31"/>
  <c r="BK19" i="31"/>
  <c r="BK29" i="31"/>
  <c r="BK32" i="31"/>
  <c r="BK28" i="31"/>
  <c r="BK17" i="31"/>
  <c r="BK10" i="31"/>
  <c r="BK8" i="31"/>
  <c r="BK14" i="31"/>
  <c r="BK23" i="31"/>
  <c r="BL19" i="22"/>
  <c r="BL13" i="22"/>
  <c r="BL26" i="22"/>
  <c r="BL24" i="22"/>
  <c r="BL14" i="22"/>
  <c r="BL23" i="22"/>
  <c r="BL21" i="22"/>
  <c r="BL9" i="22"/>
  <c r="BL32" i="22"/>
  <c r="BL30" i="22"/>
  <c r="BL22" i="22"/>
  <c r="BL11" i="22"/>
  <c r="BL27" i="22"/>
  <c r="BL29" i="22"/>
  <c r="BL17" i="22"/>
  <c r="BL10" i="22"/>
  <c r="BL12" i="22"/>
  <c r="BL20" i="22"/>
  <c r="BL15" i="22"/>
  <c r="BL31" i="22"/>
  <c r="BL25" i="22"/>
  <c r="BL18" i="22"/>
  <c r="BL16" i="22"/>
  <c r="BL28" i="22"/>
  <c r="BK27" i="30"/>
  <c r="BK14" i="30"/>
  <c r="BK31" i="30"/>
  <c r="BK20" i="30"/>
  <c r="BK8" i="30"/>
  <c r="BK23" i="30"/>
  <c r="BK22" i="30"/>
  <c r="BK17" i="30"/>
  <c r="BK28" i="30"/>
  <c r="BK16" i="30"/>
  <c r="BK19" i="30"/>
  <c r="BK10" i="30"/>
  <c r="BK13" i="30"/>
  <c r="BK30" i="30"/>
  <c r="BK21" i="30"/>
  <c r="BK32" i="30"/>
  <c r="BK25" i="30"/>
  <c r="BK9" i="30"/>
  <c r="BK11" i="30"/>
  <c r="BK29" i="30"/>
  <c r="BK12" i="30"/>
  <c r="BK15" i="30"/>
  <c r="BK18" i="30"/>
  <c r="BK26" i="30"/>
  <c r="BK24" i="30"/>
  <c r="BL29" i="24"/>
  <c r="BL23" i="24"/>
  <c r="BL32" i="24"/>
  <c r="BL10" i="24"/>
  <c r="BL17" i="24"/>
  <c r="BL21" i="24"/>
  <c r="BL13" i="24"/>
  <c r="BL27" i="24"/>
  <c r="BL8" i="24"/>
  <c r="BL14" i="24"/>
  <c r="BL12" i="24"/>
  <c r="BL19" i="24"/>
  <c r="BL11" i="24"/>
  <c r="BL31" i="24"/>
  <c r="BL16" i="24"/>
  <c r="BL22" i="24"/>
  <c r="BL20" i="24"/>
  <c r="BL26" i="24"/>
  <c r="BL25" i="24"/>
  <c r="BL9" i="24"/>
  <c r="BL15" i="24"/>
  <c r="BL24" i="24"/>
  <c r="BL30" i="24"/>
  <c r="BL28" i="24"/>
  <c r="BL18" i="24"/>
  <c r="BK9" i="29"/>
  <c r="BK28" i="29"/>
  <c r="BK29" i="29"/>
  <c r="BK8" i="29"/>
  <c r="BK14" i="29"/>
  <c r="BK25" i="29"/>
  <c r="BK21" i="29"/>
  <c r="BK10" i="29"/>
  <c r="BK19" i="29"/>
  <c r="BK16" i="29"/>
  <c r="BK17" i="29"/>
  <c r="BK15" i="29"/>
  <c r="BK23" i="29"/>
  <c r="BK12" i="29"/>
  <c r="BK11" i="29"/>
  <c r="BK18" i="29"/>
  <c r="BK13" i="29"/>
  <c r="BK24" i="29"/>
  <c r="BK30" i="29"/>
  <c r="BK22" i="29"/>
  <c r="BK31" i="29"/>
  <c r="BK20" i="29"/>
  <c r="BK26" i="29"/>
  <c r="BK32" i="29"/>
  <c r="BK27" i="29"/>
  <c r="BL9" i="26"/>
  <c r="BL15" i="26"/>
  <c r="BL21" i="26"/>
  <c r="BL28" i="26"/>
  <c r="BL10" i="26"/>
  <c r="BL13" i="26"/>
  <c r="BL24" i="26"/>
  <c r="BL14" i="26"/>
  <c r="BL17" i="26"/>
  <c r="BL23" i="26"/>
  <c r="BL18" i="26"/>
  <c r="BL29" i="26"/>
  <c r="BL32" i="26"/>
  <c r="BL22" i="26"/>
  <c r="BL25" i="26"/>
  <c r="BL31" i="26"/>
  <c r="BL12" i="26"/>
  <c r="BL11" i="26"/>
  <c r="BL26" i="26"/>
  <c r="BL8" i="26"/>
  <c r="BL19" i="26"/>
  <c r="BL30" i="26"/>
  <c r="BL20" i="26"/>
  <c r="BL27" i="26"/>
  <c r="BL16" i="26"/>
  <c r="C58" i="66" l="1"/>
  <c r="B61" i="66" s="1"/>
  <c r="O23" i="42"/>
  <c r="O52" i="50"/>
  <c r="N53" i="50" s="1"/>
  <c r="N52" i="26"/>
  <c r="O52" i="26" s="1"/>
  <c r="J18" i="42"/>
  <c r="D53" i="66" s="1"/>
  <c r="K18" i="42"/>
  <c r="D54" i="66" s="1"/>
  <c r="H18" i="42"/>
  <c r="D51" i="66" s="1"/>
  <c r="O18" i="42"/>
  <c r="D58" i="66" s="1"/>
  <c r="N16" i="27"/>
  <c r="O16" i="27" s="1"/>
  <c r="N17" i="27" s="1"/>
  <c r="O17" i="27" s="1"/>
  <c r="N18" i="27" s="1"/>
  <c r="O18" i="27" s="1"/>
  <c r="N19" i="27" s="1"/>
  <c r="O19" i="27" s="1"/>
  <c r="M11" i="32"/>
  <c r="N11" i="32" s="1"/>
  <c r="M12" i="32" s="1"/>
  <c r="N12" i="32" s="1"/>
  <c r="O11" i="24"/>
  <c r="N12" i="24" s="1"/>
  <c r="O12" i="26"/>
  <c r="N11" i="30"/>
  <c r="M12" i="30" s="1"/>
  <c r="N12" i="30" s="1"/>
  <c r="M13" i="30" s="1"/>
  <c r="N13" i="30" s="1"/>
  <c r="N12" i="29"/>
  <c r="M13" i="29" s="1"/>
  <c r="M13" i="31"/>
  <c r="N13" i="31" s="1"/>
  <c r="N16" i="40"/>
  <c r="O16" i="40" s="1"/>
  <c r="N17" i="40" s="1"/>
  <c r="O17" i="40" s="1"/>
  <c r="N17" i="37"/>
  <c r="M18" i="37" s="1"/>
  <c r="N18" i="37" s="1"/>
  <c r="M19" i="37" s="1"/>
  <c r="N19" i="37" s="1"/>
  <c r="M20" i="37" s="1"/>
  <c r="O19" i="44"/>
  <c r="N20" i="44" s="1"/>
  <c r="O20" i="44" s="1"/>
  <c r="N21" i="44" s="1"/>
  <c r="O21" i="44" s="1"/>
  <c r="N22" i="44" s="1"/>
  <c r="O22" i="44" s="1"/>
  <c r="N23" i="44" s="1"/>
  <c r="O23" i="44" s="1"/>
  <c r="N24" i="44" s="1"/>
  <c r="O24" i="44" s="1"/>
  <c r="N25" i="44" s="1"/>
  <c r="O25" i="44" s="1"/>
  <c r="N26" i="44" s="1"/>
  <c r="BM45" i="28"/>
  <c r="BM44" i="28"/>
  <c r="BM19" i="44"/>
  <c r="BM21" i="44"/>
  <c r="BM9" i="44"/>
  <c r="BM11" i="44"/>
  <c r="BM17" i="44"/>
  <c r="BM31" i="44"/>
  <c r="BM13" i="44"/>
  <c r="BM23" i="44"/>
  <c r="BM15" i="44"/>
  <c r="BM20" i="44"/>
  <c r="BM12" i="44"/>
  <c r="BM10" i="44"/>
  <c r="BM14" i="44"/>
  <c r="BM32" i="44"/>
  <c r="BM16" i="44"/>
  <c r="BM18" i="44"/>
  <c r="BM26" i="44"/>
  <c r="BM28" i="44"/>
  <c r="BM24" i="44"/>
  <c r="BM25" i="44"/>
  <c r="BM22" i="44"/>
  <c r="BM29" i="44"/>
  <c r="BM30" i="44"/>
  <c r="BM27" i="44"/>
  <c r="BM14" i="40"/>
  <c r="BM20" i="40"/>
  <c r="BM13" i="40"/>
  <c r="BM12" i="40"/>
  <c r="BM22" i="40"/>
  <c r="BM26" i="40"/>
  <c r="BM29" i="40"/>
  <c r="BM24" i="40"/>
  <c r="BM15" i="40"/>
  <c r="BM23" i="40"/>
  <c r="BM18" i="40"/>
  <c r="BM27" i="40"/>
  <c r="BM30" i="40"/>
  <c r="BM28" i="40"/>
  <c r="BM16" i="40"/>
  <c r="BM19" i="40"/>
  <c r="BM10" i="40"/>
  <c r="BM17" i="40"/>
  <c r="BM11" i="40"/>
  <c r="BM32" i="40"/>
  <c r="BM31" i="40"/>
  <c r="BM25" i="40"/>
  <c r="BM21" i="40"/>
  <c r="BM9" i="40"/>
  <c r="BL16" i="37"/>
  <c r="BL19" i="37"/>
  <c r="BL22" i="37"/>
  <c r="BL26" i="37"/>
  <c r="BL15" i="37"/>
  <c r="BL12" i="37"/>
  <c r="BL23" i="37"/>
  <c r="BL9" i="37"/>
  <c r="BL29" i="37"/>
  <c r="BL20" i="37"/>
  <c r="BL11" i="37"/>
  <c r="BL14" i="37"/>
  <c r="BL17" i="37"/>
  <c r="BL18" i="37"/>
  <c r="BL21" i="37"/>
  <c r="BL10" i="37"/>
  <c r="BL24" i="37"/>
  <c r="BL28" i="37"/>
  <c r="BL13" i="37"/>
  <c r="BL27" i="37"/>
  <c r="BL30" i="37"/>
  <c r="BL25" i="37"/>
  <c r="BL31" i="37"/>
  <c r="BL32" i="37"/>
  <c r="BM17" i="25"/>
  <c r="BM13" i="25"/>
  <c r="BM27" i="25"/>
  <c r="BM11" i="25"/>
  <c r="BM16" i="25"/>
  <c r="BM14" i="25"/>
  <c r="BM20" i="25"/>
  <c r="BM12" i="25"/>
  <c r="BM21" i="25"/>
  <c r="BM29" i="25"/>
  <c r="BM24" i="25"/>
  <c r="BM22" i="25"/>
  <c r="BM28" i="25"/>
  <c r="BM9" i="25"/>
  <c r="BM23" i="25"/>
  <c r="BM19" i="25"/>
  <c r="BM15" i="25"/>
  <c r="BM32" i="25"/>
  <c r="BM30" i="25"/>
  <c r="BM10" i="25"/>
  <c r="BM18" i="25"/>
  <c r="BM25" i="25"/>
  <c r="BM31" i="25"/>
  <c r="BM26" i="25"/>
  <c r="BM32" i="27"/>
  <c r="BM26" i="27"/>
  <c r="BM28" i="27"/>
  <c r="BM11" i="27"/>
  <c r="BM9" i="27"/>
  <c r="BM14" i="27"/>
  <c r="BM13" i="27"/>
  <c r="BM15" i="27"/>
  <c r="BM21" i="27"/>
  <c r="BM23" i="27"/>
  <c r="BM19" i="27"/>
  <c r="BM16" i="27"/>
  <c r="BM17" i="27"/>
  <c r="BM22" i="27"/>
  <c r="BM29" i="27"/>
  <c r="BM31" i="27"/>
  <c r="BM27" i="27"/>
  <c r="BM24" i="27"/>
  <c r="BM25" i="27"/>
  <c r="BM30" i="27"/>
  <c r="BM10" i="27"/>
  <c r="BM12" i="27"/>
  <c r="BM18" i="27"/>
  <c r="BM20" i="27"/>
  <c r="BM42" i="28"/>
  <c r="BM40" i="28"/>
  <c r="BM35" i="28"/>
  <c r="BM17" i="28"/>
  <c r="BM25" i="28"/>
  <c r="BM29" i="28"/>
  <c r="BM32" i="28"/>
  <c r="BM38" i="28"/>
  <c r="BM28" i="28"/>
  <c r="BM36" i="28"/>
  <c r="BM41" i="28"/>
  <c r="BM39" i="28"/>
  <c r="BM19" i="28"/>
  <c r="BM11" i="28"/>
  <c r="BM13" i="28"/>
  <c r="BM8" i="28"/>
  <c r="BM14" i="28"/>
  <c r="BM10" i="28"/>
  <c r="BM18" i="28"/>
  <c r="BM21" i="28"/>
  <c r="BM23" i="28"/>
  <c r="BM15" i="28"/>
  <c r="BM33" i="28"/>
  <c r="BM16" i="28"/>
  <c r="BM22" i="28"/>
  <c r="BM26" i="28"/>
  <c r="BM34" i="28"/>
  <c r="BM43" i="28"/>
  <c r="BM37" i="28"/>
  <c r="BM27" i="28"/>
  <c r="BM31" i="28"/>
  <c r="BM9" i="28"/>
  <c r="BM24" i="28"/>
  <c r="BM30" i="28"/>
  <c r="BM12" i="28"/>
  <c r="BM20" i="28"/>
  <c r="BM27" i="22"/>
  <c r="BM24" i="22"/>
  <c r="BM25" i="22"/>
  <c r="BM30" i="22"/>
  <c r="BM10" i="22"/>
  <c r="BM12" i="22"/>
  <c r="BM18" i="22"/>
  <c r="BM20" i="22"/>
  <c r="BM32" i="22"/>
  <c r="BM26" i="22"/>
  <c r="BM28" i="22"/>
  <c r="BM11" i="22"/>
  <c r="BM9" i="22"/>
  <c r="BM14" i="22"/>
  <c r="BM13" i="22"/>
  <c r="BM15" i="22"/>
  <c r="BM21" i="22"/>
  <c r="BM23" i="22"/>
  <c r="BM19" i="22"/>
  <c r="BM16" i="22"/>
  <c r="BM17" i="22"/>
  <c r="BM22" i="22"/>
  <c r="BM29" i="22"/>
  <c r="BM31" i="22"/>
  <c r="BL32" i="29"/>
  <c r="BL31" i="29"/>
  <c r="BL30" i="29"/>
  <c r="BL13" i="29"/>
  <c r="BL12" i="29"/>
  <c r="BL11" i="29"/>
  <c r="BL10" i="29"/>
  <c r="BL9" i="29"/>
  <c r="BL8" i="29"/>
  <c r="BL28" i="29"/>
  <c r="BL20" i="29"/>
  <c r="BL19" i="29"/>
  <c r="BL18" i="29"/>
  <c r="BL17" i="29"/>
  <c r="BL16" i="29"/>
  <c r="BL15" i="29"/>
  <c r="BL14" i="29"/>
  <c r="BL21" i="29"/>
  <c r="BL29" i="29"/>
  <c r="BL27" i="29"/>
  <c r="BL26" i="29"/>
  <c r="BL25" i="29"/>
  <c r="BL24" i="29"/>
  <c r="BL23" i="29"/>
  <c r="BL22" i="29"/>
  <c r="BM21" i="26"/>
  <c r="BM18" i="26"/>
  <c r="BM27" i="26"/>
  <c r="BM24" i="26"/>
  <c r="BM11" i="26"/>
  <c r="BM29" i="26"/>
  <c r="BM26" i="26"/>
  <c r="BM32" i="26"/>
  <c r="BM14" i="26"/>
  <c r="BM15" i="26"/>
  <c r="BM12" i="26"/>
  <c r="BM9" i="26"/>
  <c r="BM8" i="26"/>
  <c r="BM17" i="26"/>
  <c r="BM22" i="26"/>
  <c r="BM23" i="26"/>
  <c r="BM20" i="26"/>
  <c r="BM13" i="26"/>
  <c r="BM10" i="26"/>
  <c r="BM19" i="26"/>
  <c r="BM16" i="26"/>
  <c r="BM25" i="26"/>
  <c r="BM30" i="26"/>
  <c r="BM31" i="26"/>
  <c r="BM28" i="26"/>
  <c r="BL17" i="31"/>
  <c r="BL16" i="31"/>
  <c r="BL23" i="31"/>
  <c r="BL22" i="31"/>
  <c r="BL27" i="31"/>
  <c r="BL29" i="31"/>
  <c r="BL25" i="31"/>
  <c r="BL24" i="31"/>
  <c r="BL31" i="31"/>
  <c r="BL30" i="31"/>
  <c r="BL10" i="31"/>
  <c r="BL12" i="31"/>
  <c r="BL18" i="31"/>
  <c r="BL20" i="31"/>
  <c r="BL32" i="31"/>
  <c r="BL26" i="31"/>
  <c r="BL28" i="31"/>
  <c r="BL9" i="31"/>
  <c r="BL8" i="31"/>
  <c r="BL15" i="31"/>
  <c r="BL14" i="31"/>
  <c r="BL11" i="31"/>
  <c r="BL13" i="31"/>
  <c r="BL19" i="31"/>
  <c r="BL21" i="31"/>
  <c r="BM29" i="24"/>
  <c r="BM26" i="24"/>
  <c r="BM27" i="24"/>
  <c r="BM24" i="24"/>
  <c r="BM25" i="24"/>
  <c r="BM30" i="24"/>
  <c r="BM31" i="24"/>
  <c r="BM15" i="24"/>
  <c r="BM32" i="24"/>
  <c r="BM12" i="24"/>
  <c r="BM28" i="24"/>
  <c r="BM13" i="24"/>
  <c r="BM10" i="24"/>
  <c r="BM11" i="24"/>
  <c r="BM8" i="24"/>
  <c r="BM9" i="24"/>
  <c r="BM14" i="24"/>
  <c r="BM23" i="24"/>
  <c r="BM21" i="24"/>
  <c r="BM18" i="24"/>
  <c r="BM19" i="24"/>
  <c r="BM16" i="24"/>
  <c r="BM17" i="24"/>
  <c r="BM22" i="24"/>
  <c r="BM20" i="24"/>
  <c r="BL19" i="30"/>
  <c r="BL18" i="30"/>
  <c r="BL17" i="30"/>
  <c r="BL16" i="30"/>
  <c r="BL29" i="30"/>
  <c r="BL31" i="30"/>
  <c r="BL14" i="30"/>
  <c r="BL30" i="30"/>
  <c r="BL27" i="30"/>
  <c r="BL26" i="30"/>
  <c r="BL25" i="30"/>
  <c r="BL24" i="30"/>
  <c r="BL20" i="30"/>
  <c r="BL22" i="30"/>
  <c r="BL12" i="30"/>
  <c r="BL32" i="30"/>
  <c r="BL28" i="30"/>
  <c r="BL21" i="30"/>
  <c r="BL11" i="30"/>
  <c r="BL10" i="30"/>
  <c r="BL9" i="30"/>
  <c r="BL8" i="30"/>
  <c r="BL13" i="30"/>
  <c r="BL15" i="30"/>
  <c r="BL23" i="30"/>
  <c r="N53" i="26" l="1"/>
  <c r="O53" i="26" s="1"/>
  <c r="O53" i="50"/>
  <c r="B62" i="66"/>
  <c r="O26" i="44"/>
  <c r="N27" i="44" s="1"/>
  <c r="O12" i="24"/>
  <c r="N13" i="24" s="1"/>
  <c r="O13" i="26"/>
  <c r="M14" i="30"/>
  <c r="N14" i="30" s="1"/>
  <c r="N13" i="29"/>
  <c r="M14" i="29" s="1"/>
  <c r="M14" i="31"/>
  <c r="N14" i="31" s="1"/>
  <c r="M13" i="32"/>
  <c r="N13" i="32" s="1"/>
  <c r="N20" i="27"/>
  <c r="O20" i="27" s="1"/>
  <c r="N21" i="27" s="1"/>
  <c r="O21" i="27" s="1"/>
  <c r="N22" i="27" s="1"/>
  <c r="O22" i="27" s="1"/>
  <c r="N23" i="27" s="1"/>
  <c r="O23" i="27" s="1"/>
  <c r="N24" i="27" s="1"/>
  <c r="O24" i="27" s="1"/>
  <c r="N25" i="27" s="1"/>
  <c r="O25" i="27" s="1"/>
  <c r="N26" i="27" s="1"/>
  <c r="O26" i="27" s="1"/>
  <c r="N18" i="40"/>
  <c r="O18" i="40" s="1"/>
  <c r="N19" i="40" s="1"/>
  <c r="O19" i="40" s="1"/>
  <c r="N20" i="40" s="1"/>
  <c r="O20" i="40" s="1"/>
  <c r="N20" i="37"/>
  <c r="M21" i="37" s="1"/>
  <c r="BN28" i="44"/>
  <c r="BN18" i="44"/>
  <c r="BN14" i="44"/>
  <c r="BN16" i="44"/>
  <c r="BN9" i="44"/>
  <c r="BN22" i="44"/>
  <c r="BN12" i="44"/>
  <c r="BN30" i="44"/>
  <c r="BN10" i="44"/>
  <c r="BN26" i="44"/>
  <c r="BN20" i="44"/>
  <c r="BN31" i="44"/>
  <c r="BN29" i="44"/>
  <c r="BN24" i="44"/>
  <c r="BN11" i="44"/>
  <c r="BN32" i="44"/>
  <c r="BN25" i="44"/>
  <c r="BN27" i="44"/>
  <c r="BN13" i="44"/>
  <c r="BN15" i="44"/>
  <c r="BN17" i="44"/>
  <c r="BN19" i="44"/>
  <c r="BN21" i="44"/>
  <c r="BN23" i="44"/>
  <c r="BN44" i="28"/>
  <c r="BN45" i="28"/>
  <c r="BN20" i="40"/>
  <c r="BN16" i="40"/>
  <c r="BN11" i="40"/>
  <c r="BN27" i="40"/>
  <c r="BN30" i="40"/>
  <c r="BN21" i="40"/>
  <c r="BN15" i="40"/>
  <c r="BN12" i="40"/>
  <c r="BN19" i="40"/>
  <c r="BN32" i="40"/>
  <c r="BN29" i="40"/>
  <c r="BN18" i="40"/>
  <c r="BN9" i="40"/>
  <c r="BN13" i="40"/>
  <c r="BN14" i="40"/>
  <c r="BN24" i="40"/>
  <c r="BN31" i="40"/>
  <c r="BN28" i="40"/>
  <c r="BN17" i="40"/>
  <c r="BN22" i="40"/>
  <c r="BN25" i="40"/>
  <c r="BN26" i="40"/>
  <c r="BN10" i="40"/>
  <c r="BN23" i="40"/>
  <c r="BM28" i="37"/>
  <c r="BM26" i="37"/>
  <c r="BM10" i="37"/>
  <c r="BM11" i="37"/>
  <c r="BM17" i="37"/>
  <c r="BM13" i="37"/>
  <c r="BM16" i="37"/>
  <c r="BM12" i="37"/>
  <c r="BM32" i="37"/>
  <c r="BM19" i="37"/>
  <c r="BM23" i="37"/>
  <c r="BM22" i="37"/>
  <c r="BM14" i="37"/>
  <c r="BM15" i="37"/>
  <c r="BM9" i="37"/>
  <c r="BM25" i="37"/>
  <c r="BM31" i="37"/>
  <c r="BM29" i="37"/>
  <c r="BM20" i="37"/>
  <c r="BM18" i="37"/>
  <c r="BM21" i="37"/>
  <c r="BM24" i="37"/>
  <c r="BM27" i="37"/>
  <c r="BM30" i="37"/>
  <c r="BM13" i="29"/>
  <c r="BM23" i="29"/>
  <c r="BM8" i="29"/>
  <c r="BM30" i="29"/>
  <c r="BM12" i="29"/>
  <c r="BM25" i="29"/>
  <c r="BM10" i="29"/>
  <c r="BM29" i="29"/>
  <c r="BM16" i="29"/>
  <c r="BM20" i="29"/>
  <c r="BM17" i="29"/>
  <c r="BM21" i="29"/>
  <c r="BM18" i="29"/>
  <c r="BM19" i="29"/>
  <c r="BM24" i="29"/>
  <c r="BM14" i="29"/>
  <c r="BM11" i="29"/>
  <c r="BM28" i="29"/>
  <c r="BM31" i="29"/>
  <c r="BM9" i="29"/>
  <c r="BM26" i="29"/>
  <c r="BM27" i="29"/>
  <c r="BM32" i="29"/>
  <c r="BM22" i="29"/>
  <c r="BM15" i="29"/>
  <c r="BN13" i="22"/>
  <c r="BN9" i="22"/>
  <c r="BN15" i="22"/>
  <c r="BN31" i="22"/>
  <c r="BN20" i="22"/>
  <c r="BN18" i="22"/>
  <c r="BN30" i="22"/>
  <c r="BN21" i="22"/>
  <c r="BN17" i="22"/>
  <c r="BN19" i="22"/>
  <c r="BN28" i="22"/>
  <c r="BN26" i="22"/>
  <c r="BN16" i="22"/>
  <c r="BN29" i="22"/>
  <c r="BN25" i="22"/>
  <c r="BN23" i="22"/>
  <c r="BN32" i="22"/>
  <c r="BN24" i="22"/>
  <c r="BN11" i="22"/>
  <c r="BN27" i="22"/>
  <c r="BN12" i="22"/>
  <c r="BN10" i="22"/>
  <c r="BN14" i="22"/>
  <c r="BN22" i="22"/>
  <c r="BN17" i="25"/>
  <c r="BN21" i="25"/>
  <c r="BN11" i="25"/>
  <c r="BN14" i="25"/>
  <c r="BN31" i="25"/>
  <c r="BN32" i="25"/>
  <c r="BN24" i="25"/>
  <c r="BN13" i="25"/>
  <c r="BN25" i="25"/>
  <c r="BN23" i="25"/>
  <c r="BN22" i="25"/>
  <c r="BN12" i="25"/>
  <c r="BN10" i="25"/>
  <c r="BN18" i="25"/>
  <c r="BN29" i="25"/>
  <c r="BN15" i="25"/>
  <c r="BN19" i="25"/>
  <c r="BN27" i="25"/>
  <c r="BN30" i="25"/>
  <c r="BN20" i="25"/>
  <c r="BN26" i="25"/>
  <c r="BN9" i="25"/>
  <c r="BN28" i="25"/>
  <c r="BN16" i="25"/>
  <c r="BN15" i="24"/>
  <c r="BN17" i="24"/>
  <c r="BN11" i="24"/>
  <c r="BN27" i="24"/>
  <c r="BN18" i="24"/>
  <c r="BN16" i="24"/>
  <c r="BN22" i="24"/>
  <c r="BN12" i="24"/>
  <c r="BN31" i="24"/>
  <c r="BN23" i="24"/>
  <c r="BN25" i="24"/>
  <c r="BN26" i="24"/>
  <c r="BN24" i="24"/>
  <c r="BN30" i="24"/>
  <c r="BN9" i="24"/>
  <c r="BN29" i="24"/>
  <c r="BN32" i="24"/>
  <c r="BN28" i="24"/>
  <c r="BN21" i="24"/>
  <c r="BN13" i="24"/>
  <c r="BN19" i="24"/>
  <c r="BN10" i="24"/>
  <c r="BN8" i="24"/>
  <c r="BN14" i="24"/>
  <c r="BN20" i="24"/>
  <c r="BN19" i="28"/>
  <c r="BN31" i="28"/>
  <c r="BN9" i="28"/>
  <c r="BN37" i="28"/>
  <c r="BN8" i="28"/>
  <c r="BN24" i="28"/>
  <c r="BN14" i="28"/>
  <c r="BN18" i="28"/>
  <c r="BN43" i="28"/>
  <c r="BN23" i="28"/>
  <c r="BN39" i="28"/>
  <c r="BN13" i="28"/>
  <c r="BN25" i="28"/>
  <c r="BN12" i="28"/>
  <c r="BN28" i="28"/>
  <c r="BN22" i="28"/>
  <c r="BN26" i="28"/>
  <c r="BN41" i="28"/>
  <c r="BN17" i="28"/>
  <c r="BN11" i="28"/>
  <c r="BN29" i="28"/>
  <c r="BN35" i="28"/>
  <c r="BN16" i="28"/>
  <c r="BN32" i="28"/>
  <c r="BN30" i="28"/>
  <c r="BN34" i="28"/>
  <c r="BN42" i="28"/>
  <c r="BN40" i="28"/>
  <c r="BN33" i="28"/>
  <c r="BN15" i="28"/>
  <c r="BN27" i="28"/>
  <c r="BN21" i="28"/>
  <c r="BN20" i="28"/>
  <c r="BN36" i="28"/>
  <c r="BN38" i="28"/>
  <c r="BN10" i="28"/>
  <c r="BM17" i="30"/>
  <c r="BM29" i="30"/>
  <c r="BM27" i="30"/>
  <c r="BM20" i="30"/>
  <c r="BM19" i="30"/>
  <c r="BM23" i="30"/>
  <c r="BM13" i="30"/>
  <c r="BM14" i="30"/>
  <c r="BM15" i="30"/>
  <c r="BM28" i="30"/>
  <c r="BM18" i="30"/>
  <c r="BM8" i="30"/>
  <c r="BM25" i="30"/>
  <c r="BM22" i="30"/>
  <c r="BM31" i="30"/>
  <c r="BM16" i="30"/>
  <c r="BM10" i="30"/>
  <c r="BM9" i="30"/>
  <c r="BM11" i="30"/>
  <c r="BM30" i="30"/>
  <c r="BM12" i="30"/>
  <c r="BM21" i="30"/>
  <c r="BM32" i="30"/>
  <c r="BM26" i="30"/>
  <c r="BM24" i="30"/>
  <c r="BM24" i="31"/>
  <c r="BM22" i="31"/>
  <c r="BM26" i="31"/>
  <c r="BM25" i="31"/>
  <c r="BM20" i="31"/>
  <c r="BM11" i="31"/>
  <c r="BM13" i="31"/>
  <c r="BM15" i="31"/>
  <c r="BM32" i="31"/>
  <c r="BM30" i="31"/>
  <c r="BM17" i="31"/>
  <c r="BM18" i="31"/>
  <c r="BM19" i="31"/>
  <c r="BM21" i="31"/>
  <c r="BM23" i="31"/>
  <c r="BM8" i="31"/>
  <c r="BM9" i="31"/>
  <c r="BM12" i="31"/>
  <c r="BM27" i="31"/>
  <c r="BM29" i="31"/>
  <c r="BM31" i="31"/>
  <c r="BM16" i="31"/>
  <c r="BM14" i="31"/>
  <c r="BM10" i="31"/>
  <c r="BM28" i="31"/>
  <c r="BN15" i="26"/>
  <c r="BN17" i="26"/>
  <c r="BN13" i="26"/>
  <c r="BN29" i="26"/>
  <c r="BN28" i="26"/>
  <c r="BN26" i="26"/>
  <c r="BN22" i="26"/>
  <c r="BN14" i="26"/>
  <c r="BN31" i="26"/>
  <c r="BN21" i="26"/>
  <c r="BN25" i="26"/>
  <c r="BN19" i="26"/>
  <c r="BN30" i="26"/>
  <c r="BN23" i="26"/>
  <c r="BN11" i="26"/>
  <c r="BN27" i="26"/>
  <c r="BN12" i="26"/>
  <c r="BN10" i="26"/>
  <c r="BN16" i="26"/>
  <c r="BN8" i="26"/>
  <c r="BN9" i="26"/>
  <c r="BN20" i="26"/>
  <c r="BN18" i="26"/>
  <c r="BN32" i="26"/>
  <c r="BN24" i="26"/>
  <c r="BN9" i="27"/>
  <c r="BN11" i="27"/>
  <c r="BN15" i="27"/>
  <c r="BN14" i="27"/>
  <c r="BN12" i="27"/>
  <c r="BN16" i="27"/>
  <c r="BN17" i="27"/>
  <c r="BN23" i="27"/>
  <c r="BN19" i="27"/>
  <c r="BN22" i="27"/>
  <c r="BN20" i="27"/>
  <c r="BN32" i="27"/>
  <c r="BN24" i="27"/>
  <c r="BN31" i="27"/>
  <c r="BN13" i="27"/>
  <c r="BN25" i="27"/>
  <c r="BN30" i="27"/>
  <c r="BN28" i="27"/>
  <c r="BN18" i="27"/>
  <c r="BN10" i="27"/>
  <c r="BN27" i="27"/>
  <c r="BN21" i="27"/>
  <c r="BN29" i="27"/>
  <c r="BN26" i="27"/>
  <c r="O13" i="24" l="1"/>
  <c r="N14" i="24" s="1"/>
  <c r="N27" i="27"/>
  <c r="O27" i="27" s="1"/>
  <c r="O27" i="44"/>
  <c r="N28" i="44" s="1"/>
  <c r="O28" i="44" s="1"/>
  <c r="N29" i="44" s="1"/>
  <c r="O29" i="44" s="1"/>
  <c r="N30" i="44" s="1"/>
  <c r="O14" i="26"/>
  <c r="M15" i="30"/>
  <c r="N15" i="30" s="1"/>
  <c r="N14" i="29"/>
  <c r="M15" i="29" s="1"/>
  <c r="M14" i="32"/>
  <c r="N14" i="32" s="1"/>
  <c r="M15" i="31"/>
  <c r="N15" i="31" s="1"/>
  <c r="N21" i="37"/>
  <c r="M22" i="37" s="1"/>
  <c r="N21" i="40"/>
  <c r="O21" i="40" s="1"/>
  <c r="BO44" i="28"/>
  <c r="BO45" i="28"/>
  <c r="BO19" i="44"/>
  <c r="BO15" i="44"/>
  <c r="BO25" i="44"/>
  <c r="BO9" i="44"/>
  <c r="BO12" i="44"/>
  <c r="BO13" i="44"/>
  <c r="BO10" i="44"/>
  <c r="BO31" i="44"/>
  <c r="BO29" i="44"/>
  <c r="BO14" i="44"/>
  <c r="BO18" i="44"/>
  <c r="BO20" i="44"/>
  <c r="BO23" i="44"/>
  <c r="BO30" i="44"/>
  <c r="BO27" i="44"/>
  <c r="BO16" i="44"/>
  <c r="BO21" i="44"/>
  <c r="BO11" i="44"/>
  <c r="BO32" i="44"/>
  <c r="BO22" i="44"/>
  <c r="BO17" i="44"/>
  <c r="BO28" i="44"/>
  <c r="BO26" i="44"/>
  <c r="BO24" i="44"/>
  <c r="BO23" i="40"/>
  <c r="BO20" i="40"/>
  <c r="BO18" i="40"/>
  <c r="BO30" i="40"/>
  <c r="BO28" i="40"/>
  <c r="BO10" i="40"/>
  <c r="BO11" i="40"/>
  <c r="BO17" i="40"/>
  <c r="BO22" i="40"/>
  <c r="BO31" i="40"/>
  <c r="BO26" i="40"/>
  <c r="BO29" i="40"/>
  <c r="BO32" i="40"/>
  <c r="BO15" i="40"/>
  <c r="BO12" i="40"/>
  <c r="BO13" i="40"/>
  <c r="BO21" i="40"/>
  <c r="BO25" i="40"/>
  <c r="BO14" i="40"/>
  <c r="BO27" i="40"/>
  <c r="BO24" i="40"/>
  <c r="BO9" i="40"/>
  <c r="BO16" i="40"/>
  <c r="BO19" i="40"/>
  <c r="BN27" i="37"/>
  <c r="BN18" i="37"/>
  <c r="BN17" i="37"/>
  <c r="BN10" i="37"/>
  <c r="BN20" i="37"/>
  <c r="BN22" i="37"/>
  <c r="BN32" i="37"/>
  <c r="BN30" i="37"/>
  <c r="BN11" i="37"/>
  <c r="BN19" i="37"/>
  <c r="BN16" i="37"/>
  <c r="BN28" i="37"/>
  <c r="BN13" i="37"/>
  <c r="BN15" i="37"/>
  <c r="BN21" i="37"/>
  <c r="BN25" i="37"/>
  <c r="BN31" i="37"/>
  <c r="BN24" i="37"/>
  <c r="BN29" i="37"/>
  <c r="BN14" i="37"/>
  <c r="BN9" i="37"/>
  <c r="BN12" i="37"/>
  <c r="BN26" i="37"/>
  <c r="BN23" i="37"/>
  <c r="BO23" i="25"/>
  <c r="BO14" i="25"/>
  <c r="BO30" i="25"/>
  <c r="BO21" i="25"/>
  <c r="BO27" i="25"/>
  <c r="BO32" i="25"/>
  <c r="BO31" i="25"/>
  <c r="BO18" i="25"/>
  <c r="BO29" i="25"/>
  <c r="BO12" i="25"/>
  <c r="BO17" i="25"/>
  <c r="BO9" i="25"/>
  <c r="BO22" i="25"/>
  <c r="BO20" i="25"/>
  <c r="BO16" i="25"/>
  <c r="BO25" i="25"/>
  <c r="BO15" i="25"/>
  <c r="BO10" i="25"/>
  <c r="BO26" i="25"/>
  <c r="BO13" i="25"/>
  <c r="BO11" i="25"/>
  <c r="BO28" i="25"/>
  <c r="BO19" i="25"/>
  <c r="BO24" i="25"/>
  <c r="BO31" i="22"/>
  <c r="BO30" i="22"/>
  <c r="BO29" i="22"/>
  <c r="BO28" i="22"/>
  <c r="BO16" i="22"/>
  <c r="BO18" i="22"/>
  <c r="BO26" i="22"/>
  <c r="BO32" i="22"/>
  <c r="BO24" i="22"/>
  <c r="BO10" i="22"/>
  <c r="BO15" i="22"/>
  <c r="BO14" i="22"/>
  <c r="BO13" i="22"/>
  <c r="BO12" i="22"/>
  <c r="BO17" i="22"/>
  <c r="BO19" i="22"/>
  <c r="BO9" i="22"/>
  <c r="BO27" i="22"/>
  <c r="BO23" i="22"/>
  <c r="BO22" i="22"/>
  <c r="BO21" i="22"/>
  <c r="BO20" i="22"/>
  <c r="BO25" i="22"/>
  <c r="BO11" i="22"/>
  <c r="BN31" i="31"/>
  <c r="BN27" i="31"/>
  <c r="BN14" i="31"/>
  <c r="BN12" i="31"/>
  <c r="BN16" i="31"/>
  <c r="BN8" i="31"/>
  <c r="BN25" i="31"/>
  <c r="BN11" i="31"/>
  <c r="BN9" i="31"/>
  <c r="BN22" i="31"/>
  <c r="BN20" i="31"/>
  <c r="BN32" i="31"/>
  <c r="BN24" i="31"/>
  <c r="BN13" i="31"/>
  <c r="BN15" i="31"/>
  <c r="BN17" i="31"/>
  <c r="BN30" i="31"/>
  <c r="BN28" i="31"/>
  <c r="BN18" i="31"/>
  <c r="BN26" i="31"/>
  <c r="BN29" i="31"/>
  <c r="BN21" i="31"/>
  <c r="BN23" i="31"/>
  <c r="BN19" i="31"/>
  <c r="BN10" i="31"/>
  <c r="BN27" i="29"/>
  <c r="BN18" i="29"/>
  <c r="BN9" i="29"/>
  <c r="BN22" i="29"/>
  <c r="BN23" i="29"/>
  <c r="BN12" i="29"/>
  <c r="BN13" i="29"/>
  <c r="BN24" i="29"/>
  <c r="BN17" i="29"/>
  <c r="BN30" i="29"/>
  <c r="BN31" i="29"/>
  <c r="BN16" i="29"/>
  <c r="BN29" i="29"/>
  <c r="BN11" i="29"/>
  <c r="BN10" i="29"/>
  <c r="BN32" i="29"/>
  <c r="BN25" i="29"/>
  <c r="BN20" i="29"/>
  <c r="BN26" i="29"/>
  <c r="BN19" i="29"/>
  <c r="BN14" i="29"/>
  <c r="BN15" i="29"/>
  <c r="BN8" i="29"/>
  <c r="BN28" i="29"/>
  <c r="BN21" i="29"/>
  <c r="BO43" i="28"/>
  <c r="BO40" i="28"/>
  <c r="BO21" i="28"/>
  <c r="BO23" i="28"/>
  <c r="BO37" i="28"/>
  <c r="BO25" i="28"/>
  <c r="BO38" i="28"/>
  <c r="BO36" i="28"/>
  <c r="BO34" i="28"/>
  <c r="BO26" i="28"/>
  <c r="BO41" i="28"/>
  <c r="BO15" i="28"/>
  <c r="BO35" i="28"/>
  <c r="BO27" i="28"/>
  <c r="BO19" i="28"/>
  <c r="BO14" i="28"/>
  <c r="BO12" i="28"/>
  <c r="BO16" i="28"/>
  <c r="BO8" i="28"/>
  <c r="BO42" i="28"/>
  <c r="BO31" i="28"/>
  <c r="BO33" i="28"/>
  <c r="BO9" i="28"/>
  <c r="BO39" i="28"/>
  <c r="BO22" i="28"/>
  <c r="BO20" i="28"/>
  <c r="BO32" i="28"/>
  <c r="BO24" i="28"/>
  <c r="BO17" i="28"/>
  <c r="BO11" i="28"/>
  <c r="BO29" i="28"/>
  <c r="BO13" i="28"/>
  <c r="BO30" i="28"/>
  <c r="BO28" i="28"/>
  <c r="BO18" i="28"/>
  <c r="BO10" i="28"/>
  <c r="BN11" i="30"/>
  <c r="BN15" i="30"/>
  <c r="BN21" i="30"/>
  <c r="BN32" i="30"/>
  <c r="BN14" i="30"/>
  <c r="BN23" i="30"/>
  <c r="BN10" i="30"/>
  <c r="BN17" i="30"/>
  <c r="BN27" i="30"/>
  <c r="BN31" i="30"/>
  <c r="BN8" i="30"/>
  <c r="BN19" i="30"/>
  <c r="BN22" i="30"/>
  <c r="BN26" i="30"/>
  <c r="BN16" i="30"/>
  <c r="BN25" i="30"/>
  <c r="BN30" i="30"/>
  <c r="BN13" i="30"/>
  <c r="BN12" i="30"/>
  <c r="BN18" i="30"/>
  <c r="BN29" i="30"/>
  <c r="BN24" i="30"/>
  <c r="BN9" i="30"/>
  <c r="BN28" i="30"/>
  <c r="BN20" i="30"/>
  <c r="BO21" i="24"/>
  <c r="BO27" i="24"/>
  <c r="BO13" i="24"/>
  <c r="BO29" i="24"/>
  <c r="BO32" i="24"/>
  <c r="BO28" i="24"/>
  <c r="BO26" i="24"/>
  <c r="BO17" i="24"/>
  <c r="BO8" i="24"/>
  <c r="BO14" i="24"/>
  <c r="BO15" i="24"/>
  <c r="BO18" i="24"/>
  <c r="BO11" i="24"/>
  <c r="BO25" i="24"/>
  <c r="BO23" i="24"/>
  <c r="BO16" i="24"/>
  <c r="BO22" i="24"/>
  <c r="BO12" i="24"/>
  <c r="BO10" i="24"/>
  <c r="BO9" i="24"/>
  <c r="BO19" i="24"/>
  <c r="BO31" i="24"/>
  <c r="BO24" i="24"/>
  <c r="BO30" i="24"/>
  <c r="BO20" i="24"/>
  <c r="BO21" i="27"/>
  <c r="BO26" i="27"/>
  <c r="BO15" i="27"/>
  <c r="BO25" i="27"/>
  <c r="BO9" i="27"/>
  <c r="BO14" i="27"/>
  <c r="BO12" i="27"/>
  <c r="BO16" i="27"/>
  <c r="BO23" i="27"/>
  <c r="BO11" i="27"/>
  <c r="BO19" i="27"/>
  <c r="BO17" i="27"/>
  <c r="BO22" i="27"/>
  <c r="BO20" i="27"/>
  <c r="BO32" i="27"/>
  <c r="BO24" i="27"/>
  <c r="BO13" i="27"/>
  <c r="BO27" i="27"/>
  <c r="BO31" i="27"/>
  <c r="BO29" i="27"/>
  <c r="BO30" i="27"/>
  <c r="BO28" i="27"/>
  <c r="BO18" i="27"/>
  <c r="BO10" i="27"/>
  <c r="BO17" i="26"/>
  <c r="BO25" i="26"/>
  <c r="BO27" i="26"/>
  <c r="BO19" i="26"/>
  <c r="BO14" i="26"/>
  <c r="BO12" i="26"/>
  <c r="BO10" i="26"/>
  <c r="BO18" i="26"/>
  <c r="BO11" i="26"/>
  <c r="BO13" i="26"/>
  <c r="BO31" i="26"/>
  <c r="BO22" i="26"/>
  <c r="BO20" i="26"/>
  <c r="BO26" i="26"/>
  <c r="BO23" i="26"/>
  <c r="BO21" i="26"/>
  <c r="BO29" i="26"/>
  <c r="BO30" i="26"/>
  <c r="BO28" i="26"/>
  <c r="BO16" i="26"/>
  <c r="BO8" i="26"/>
  <c r="BO9" i="26"/>
  <c r="BO15" i="26"/>
  <c r="BO32" i="26"/>
  <c r="BO24" i="26"/>
  <c r="N28" i="27" l="1"/>
  <c r="O28" i="27" s="1"/>
  <c r="N29" i="27" s="1"/>
  <c r="O29" i="27" s="1"/>
  <c r="N30" i="27" s="1"/>
  <c r="O30" i="27" s="1"/>
  <c r="O14" i="24"/>
  <c r="N15" i="24" s="1"/>
  <c r="O30" i="44"/>
  <c r="N31" i="44" s="1"/>
  <c r="O15" i="26"/>
  <c r="M16" i="30"/>
  <c r="N16" i="30" s="1"/>
  <c r="N15" i="29"/>
  <c r="M16" i="29" s="1"/>
  <c r="M15" i="32"/>
  <c r="N15" i="32" s="1"/>
  <c r="M16" i="31"/>
  <c r="N16" i="31" s="1"/>
  <c r="N22" i="37"/>
  <c r="M23" i="37" s="1"/>
  <c r="N22" i="40"/>
  <c r="O22" i="40" s="1"/>
  <c r="BP45" i="28"/>
  <c r="BP44" i="28"/>
  <c r="BP23" i="44"/>
  <c r="BP15" i="44"/>
  <c r="BP11" i="44"/>
  <c r="BP21" i="44"/>
  <c r="BP9" i="44"/>
  <c r="BP31" i="44"/>
  <c r="BP17" i="44"/>
  <c r="BP26" i="44"/>
  <c r="BP19" i="44"/>
  <c r="BP10" i="44"/>
  <c r="BP20" i="44"/>
  <c r="BP12" i="44"/>
  <c r="BP28" i="44"/>
  <c r="BP29" i="44"/>
  <c r="BP13" i="44"/>
  <c r="BP32" i="44"/>
  <c r="BP16" i="44"/>
  <c r="BP14" i="44"/>
  <c r="BP22" i="44"/>
  <c r="BP25" i="44"/>
  <c r="BP30" i="44"/>
  <c r="BP27" i="44"/>
  <c r="BP18" i="44"/>
  <c r="BP24" i="44"/>
  <c r="BP26" i="40"/>
  <c r="BP17" i="40"/>
  <c r="BP23" i="40"/>
  <c r="BP27" i="40"/>
  <c r="BP32" i="40"/>
  <c r="BP29" i="40"/>
  <c r="BP21" i="40"/>
  <c r="BP16" i="40"/>
  <c r="BP19" i="40"/>
  <c r="BP20" i="40"/>
  <c r="BP31" i="40"/>
  <c r="BP25" i="40"/>
  <c r="BP22" i="40"/>
  <c r="BP12" i="40"/>
  <c r="BP13" i="40"/>
  <c r="BP9" i="40"/>
  <c r="BP11" i="40"/>
  <c r="BP24" i="40"/>
  <c r="BP28" i="40"/>
  <c r="BP10" i="40"/>
  <c r="BP14" i="40"/>
  <c r="BP15" i="40"/>
  <c r="BP30" i="40"/>
  <c r="BP18" i="40"/>
  <c r="BO13" i="37"/>
  <c r="BO12" i="37"/>
  <c r="BO16" i="37"/>
  <c r="BO17" i="37"/>
  <c r="BO18" i="37"/>
  <c r="BO10" i="37"/>
  <c r="BO9" i="37"/>
  <c r="BO22" i="37"/>
  <c r="BO26" i="37"/>
  <c r="BO30" i="37"/>
  <c r="BO11" i="37"/>
  <c r="BO15" i="37"/>
  <c r="BO19" i="37"/>
  <c r="BO27" i="37"/>
  <c r="BO32" i="37"/>
  <c r="BO29" i="37"/>
  <c r="BO24" i="37"/>
  <c r="BO20" i="37"/>
  <c r="BO25" i="37"/>
  <c r="BO31" i="37"/>
  <c r="BO28" i="37"/>
  <c r="BO23" i="37"/>
  <c r="BO14" i="37"/>
  <c r="BO21" i="37"/>
  <c r="BP20" i="27"/>
  <c r="BP27" i="27"/>
  <c r="BP24" i="27"/>
  <c r="BP25" i="27"/>
  <c r="BP21" i="27"/>
  <c r="BP26" i="27"/>
  <c r="BP30" i="27"/>
  <c r="BP23" i="27"/>
  <c r="BP13" i="27"/>
  <c r="BP15" i="27"/>
  <c r="BP11" i="27"/>
  <c r="BP12" i="27"/>
  <c r="BP9" i="27"/>
  <c r="BP14" i="27"/>
  <c r="BP22" i="27"/>
  <c r="BP29" i="27"/>
  <c r="BP31" i="27"/>
  <c r="BP19" i="27"/>
  <c r="BP32" i="27"/>
  <c r="BP17" i="27"/>
  <c r="BP28" i="27"/>
  <c r="BP16" i="27"/>
  <c r="BP10" i="27"/>
  <c r="BP18" i="27"/>
  <c r="BP16" i="25"/>
  <c r="BP27" i="25"/>
  <c r="BP18" i="25"/>
  <c r="BP25" i="25"/>
  <c r="BP15" i="25"/>
  <c r="BP21" i="25"/>
  <c r="BP13" i="25"/>
  <c r="BP28" i="25"/>
  <c r="BP32" i="25"/>
  <c r="BP31" i="25"/>
  <c r="BP23" i="25"/>
  <c r="BP29" i="25"/>
  <c r="BP20" i="25"/>
  <c r="BP11" i="25"/>
  <c r="BP26" i="25"/>
  <c r="BP9" i="25"/>
  <c r="BP30" i="25"/>
  <c r="BP14" i="25"/>
  <c r="BP19" i="25"/>
  <c r="BP17" i="25"/>
  <c r="BP22" i="25"/>
  <c r="BP24" i="25"/>
  <c r="BP10" i="25"/>
  <c r="BP12" i="25"/>
  <c r="BP32" i="24"/>
  <c r="BP31" i="24"/>
  <c r="BP17" i="24"/>
  <c r="BP8" i="24"/>
  <c r="BP10" i="24"/>
  <c r="BP13" i="24"/>
  <c r="BP12" i="24"/>
  <c r="BP11" i="24"/>
  <c r="BP14" i="24"/>
  <c r="BP30" i="24"/>
  <c r="BP16" i="24"/>
  <c r="BP15" i="24"/>
  <c r="BP18" i="24"/>
  <c r="BP21" i="24"/>
  <c r="BP20" i="24"/>
  <c r="BP19" i="24"/>
  <c r="BP9" i="24"/>
  <c r="BP25" i="24"/>
  <c r="BP24" i="24"/>
  <c r="BP23" i="24"/>
  <c r="BP26" i="24"/>
  <c r="BP29" i="24"/>
  <c r="BP28" i="24"/>
  <c r="BP27" i="24"/>
  <c r="BP22" i="24"/>
  <c r="BP25" i="22"/>
  <c r="BP31" i="22"/>
  <c r="BP19" i="22"/>
  <c r="BP21" i="22"/>
  <c r="BP12" i="22"/>
  <c r="BP30" i="22"/>
  <c r="BP16" i="22"/>
  <c r="BP11" i="22"/>
  <c r="BP13" i="22"/>
  <c r="BP9" i="22"/>
  <c r="BP20" i="22"/>
  <c r="BP15" i="22"/>
  <c r="BP24" i="22"/>
  <c r="BP18" i="22"/>
  <c r="BP26" i="22"/>
  <c r="BP27" i="22"/>
  <c r="BP14" i="22"/>
  <c r="BP22" i="22"/>
  <c r="BP17" i="22"/>
  <c r="BP28" i="22"/>
  <c r="BP23" i="22"/>
  <c r="BP32" i="22"/>
  <c r="BP10" i="22"/>
  <c r="BP29" i="22"/>
  <c r="BO8" i="31"/>
  <c r="BO29" i="31"/>
  <c r="BO12" i="31"/>
  <c r="BO27" i="31"/>
  <c r="BO15" i="31"/>
  <c r="BO32" i="31"/>
  <c r="BO28" i="31"/>
  <c r="BO22" i="31"/>
  <c r="BO26" i="31"/>
  <c r="BO31" i="31"/>
  <c r="BO17" i="31"/>
  <c r="BO23" i="31"/>
  <c r="BO9" i="31"/>
  <c r="BO20" i="31"/>
  <c r="BO13" i="31"/>
  <c r="BO24" i="31"/>
  <c r="BO11" i="31"/>
  <c r="BO30" i="31"/>
  <c r="BO10" i="31"/>
  <c r="BO14" i="31"/>
  <c r="BO21" i="31"/>
  <c r="BO19" i="31"/>
  <c r="BO18" i="31"/>
  <c r="BO16" i="31"/>
  <c r="BO25" i="31"/>
  <c r="BP16" i="26"/>
  <c r="BP25" i="26"/>
  <c r="BP20" i="26"/>
  <c r="BP31" i="26"/>
  <c r="BP21" i="26"/>
  <c r="BP11" i="26"/>
  <c r="BP12" i="26"/>
  <c r="BP30" i="26"/>
  <c r="BP27" i="26"/>
  <c r="BP13" i="26"/>
  <c r="BP19" i="26"/>
  <c r="BP9" i="26"/>
  <c r="BP18" i="26"/>
  <c r="BP15" i="26"/>
  <c r="BP22" i="26"/>
  <c r="BP26" i="26"/>
  <c r="BP32" i="26"/>
  <c r="BP29" i="26"/>
  <c r="BP17" i="26"/>
  <c r="BP23" i="26"/>
  <c r="BP24" i="26"/>
  <c r="BP28" i="26"/>
  <c r="BP8" i="26"/>
  <c r="BP10" i="26"/>
  <c r="BP14" i="26"/>
  <c r="BP42" i="28"/>
  <c r="BP21" i="28"/>
  <c r="BP22" i="28"/>
  <c r="BP19" i="28"/>
  <c r="BP20" i="28"/>
  <c r="BP25" i="28"/>
  <c r="BP26" i="28"/>
  <c r="BP23" i="28"/>
  <c r="BP24" i="28"/>
  <c r="BP41" i="28"/>
  <c r="BP10" i="28"/>
  <c r="BP13" i="28"/>
  <c r="BP14" i="28"/>
  <c r="BP11" i="28"/>
  <c r="BP12" i="28"/>
  <c r="BP17" i="28"/>
  <c r="BP18" i="28"/>
  <c r="BP15" i="28"/>
  <c r="BP16" i="28"/>
  <c r="BP37" i="28"/>
  <c r="BP38" i="28"/>
  <c r="BP35" i="28"/>
  <c r="BP36" i="28"/>
  <c r="BP8" i="28"/>
  <c r="BP9" i="28"/>
  <c r="BP39" i="28"/>
  <c r="BP40" i="28"/>
  <c r="BP43" i="28"/>
  <c r="BP29" i="28"/>
  <c r="BP30" i="28"/>
  <c r="BP27" i="28"/>
  <c r="BP28" i="28"/>
  <c r="BP33" i="28"/>
  <c r="BP34" i="28"/>
  <c r="BP31" i="28"/>
  <c r="BP32" i="28"/>
  <c r="BO11" i="30"/>
  <c r="BO12" i="30"/>
  <c r="BO9" i="30"/>
  <c r="BO16" i="30"/>
  <c r="BO29" i="30"/>
  <c r="BO22" i="30"/>
  <c r="BO19" i="30"/>
  <c r="BO30" i="30"/>
  <c r="BO17" i="30"/>
  <c r="BO26" i="30"/>
  <c r="BO8" i="30"/>
  <c r="BO13" i="30"/>
  <c r="BO14" i="30"/>
  <c r="BO27" i="30"/>
  <c r="BO18" i="30"/>
  <c r="BO25" i="30"/>
  <c r="BO24" i="30"/>
  <c r="BO15" i="30"/>
  <c r="BO20" i="30"/>
  <c r="BO28" i="30"/>
  <c r="BO32" i="30"/>
  <c r="BO21" i="30"/>
  <c r="BO23" i="30"/>
  <c r="BO10" i="30"/>
  <c r="BO31" i="30"/>
  <c r="BO15" i="29"/>
  <c r="BO22" i="29"/>
  <c r="BO13" i="29"/>
  <c r="BO8" i="29"/>
  <c r="BO27" i="29"/>
  <c r="BO25" i="29"/>
  <c r="BO23" i="29"/>
  <c r="BO14" i="29"/>
  <c r="BO21" i="29"/>
  <c r="BO24" i="29"/>
  <c r="BO18" i="29"/>
  <c r="BO20" i="29"/>
  <c r="BO16" i="29"/>
  <c r="BO31" i="29"/>
  <c r="BO29" i="29"/>
  <c r="BO28" i="29"/>
  <c r="BO11" i="29"/>
  <c r="BO12" i="29"/>
  <c r="BO17" i="29"/>
  <c r="BO9" i="29"/>
  <c r="BO26" i="29"/>
  <c r="BO10" i="29"/>
  <c r="BO30" i="29"/>
  <c r="BO19" i="29"/>
  <c r="BO32" i="29"/>
  <c r="N31" i="27" l="1"/>
  <c r="O31" i="27" s="1"/>
  <c r="O15" i="24"/>
  <c r="O31" i="44"/>
  <c r="N32" i="44" s="1"/>
  <c r="O16" i="26"/>
  <c r="M17" i="30"/>
  <c r="N17" i="30" s="1"/>
  <c r="N16" i="29"/>
  <c r="M17" i="29" s="1"/>
  <c r="M17" i="31"/>
  <c r="N17" i="31" s="1"/>
  <c r="M16" i="32"/>
  <c r="N16" i="32" s="1"/>
  <c r="N23" i="37"/>
  <c r="M24" i="37" s="1"/>
  <c r="N23" i="40"/>
  <c r="O23" i="40" s="1"/>
  <c r="BQ44" i="28"/>
  <c r="BQ45" i="28"/>
  <c r="BQ24" i="44"/>
  <c r="BQ9" i="44"/>
  <c r="BQ11" i="44"/>
  <c r="BQ23" i="44"/>
  <c r="BQ31" i="44"/>
  <c r="BQ19" i="44"/>
  <c r="BQ17" i="44"/>
  <c r="BQ26" i="44"/>
  <c r="BQ15" i="44"/>
  <c r="BQ10" i="44"/>
  <c r="BQ21" i="44"/>
  <c r="BQ20" i="44"/>
  <c r="BQ32" i="44"/>
  <c r="BQ22" i="44"/>
  <c r="BQ12" i="44"/>
  <c r="BQ16" i="44"/>
  <c r="BQ25" i="44"/>
  <c r="BQ28" i="44"/>
  <c r="BQ27" i="44"/>
  <c r="BQ13" i="44"/>
  <c r="BQ14" i="44"/>
  <c r="BQ18" i="44"/>
  <c r="BQ29" i="44"/>
  <c r="BQ30" i="44"/>
  <c r="BQ24" i="40"/>
  <c r="BQ16" i="40"/>
  <c r="BQ9" i="40"/>
  <c r="BQ23" i="40"/>
  <c r="BQ27" i="40"/>
  <c r="BQ30" i="40"/>
  <c r="BQ29" i="40"/>
  <c r="BQ31" i="40"/>
  <c r="BQ17" i="40"/>
  <c r="BQ12" i="40"/>
  <c r="BQ32" i="40"/>
  <c r="BQ28" i="40"/>
  <c r="BQ21" i="40"/>
  <c r="BQ13" i="40"/>
  <c r="BQ15" i="40"/>
  <c r="BQ18" i="40"/>
  <c r="BQ22" i="40"/>
  <c r="BQ14" i="40"/>
  <c r="BQ25" i="40"/>
  <c r="BQ19" i="40"/>
  <c r="BQ20" i="40"/>
  <c r="BQ10" i="40"/>
  <c r="BQ26" i="40"/>
  <c r="BQ11" i="40"/>
  <c r="BP22" i="37"/>
  <c r="BP16" i="37"/>
  <c r="BP29" i="37"/>
  <c r="BP13" i="37"/>
  <c r="BP20" i="37"/>
  <c r="BP12" i="37"/>
  <c r="BP11" i="37"/>
  <c r="BP14" i="37"/>
  <c r="BP17" i="37"/>
  <c r="BP18" i="37"/>
  <c r="BP26" i="37"/>
  <c r="BP23" i="37"/>
  <c r="BP19" i="37"/>
  <c r="BP9" i="37"/>
  <c r="BP32" i="37"/>
  <c r="BP15" i="37"/>
  <c r="BP27" i="37"/>
  <c r="BP10" i="37"/>
  <c r="BP25" i="37"/>
  <c r="BP24" i="37"/>
  <c r="BP31" i="37"/>
  <c r="BP28" i="37"/>
  <c r="BP21" i="37"/>
  <c r="BP30" i="37"/>
  <c r="BQ13" i="25"/>
  <c r="BQ17" i="25"/>
  <c r="BQ15" i="25"/>
  <c r="BQ23" i="25"/>
  <c r="BQ28" i="25"/>
  <c r="BQ18" i="25"/>
  <c r="BQ32" i="25"/>
  <c r="BQ24" i="25"/>
  <c r="BQ29" i="25"/>
  <c r="BQ27" i="25"/>
  <c r="BQ31" i="25"/>
  <c r="BQ26" i="25"/>
  <c r="BQ22" i="25"/>
  <c r="BQ14" i="25"/>
  <c r="BQ21" i="25"/>
  <c r="BQ12" i="25"/>
  <c r="BQ11" i="25"/>
  <c r="BQ30" i="25"/>
  <c r="BQ9" i="25"/>
  <c r="BQ25" i="25"/>
  <c r="BQ19" i="25"/>
  <c r="BQ20" i="25"/>
  <c r="BQ10" i="25"/>
  <c r="BQ16" i="25"/>
  <c r="BQ10" i="27"/>
  <c r="BQ11" i="27"/>
  <c r="BQ16" i="27"/>
  <c r="BQ23" i="27"/>
  <c r="BQ18" i="27"/>
  <c r="BQ26" i="27"/>
  <c r="BQ19" i="27"/>
  <c r="BQ30" i="27"/>
  <c r="BQ9" i="27"/>
  <c r="BQ22" i="27"/>
  <c r="BQ14" i="27"/>
  <c r="BQ28" i="27"/>
  <c r="BQ20" i="27"/>
  <c r="BQ27" i="27"/>
  <c r="BQ17" i="27"/>
  <c r="BQ32" i="27"/>
  <c r="BQ12" i="27"/>
  <c r="BQ13" i="27"/>
  <c r="BQ15" i="27"/>
  <c r="BQ24" i="27"/>
  <c r="BQ25" i="27"/>
  <c r="BQ21" i="27"/>
  <c r="BQ29" i="27"/>
  <c r="BQ31" i="27"/>
  <c r="BP32" i="30"/>
  <c r="BP21" i="30"/>
  <c r="BP19" i="30"/>
  <c r="BP26" i="30"/>
  <c r="BP24" i="30"/>
  <c r="BP9" i="30"/>
  <c r="BP14" i="30"/>
  <c r="BP29" i="30"/>
  <c r="BP18" i="30"/>
  <c r="BP27" i="30"/>
  <c r="BP22" i="30"/>
  <c r="BP20" i="30"/>
  <c r="BP23" i="30"/>
  <c r="BP28" i="30"/>
  <c r="BP30" i="30"/>
  <c r="BP15" i="30"/>
  <c r="BP17" i="30"/>
  <c r="BP25" i="30"/>
  <c r="BP8" i="30"/>
  <c r="BP12" i="30"/>
  <c r="BP13" i="30"/>
  <c r="BP16" i="30"/>
  <c r="BP11" i="30"/>
  <c r="BP31" i="30"/>
  <c r="BP10" i="30"/>
  <c r="BP16" i="29"/>
  <c r="BP21" i="29"/>
  <c r="BP14" i="29"/>
  <c r="BP27" i="29"/>
  <c r="BP28" i="29"/>
  <c r="BP15" i="29"/>
  <c r="BP23" i="29"/>
  <c r="BP9" i="29"/>
  <c r="BP24" i="29"/>
  <c r="BP29" i="29"/>
  <c r="BP22" i="29"/>
  <c r="BP18" i="29"/>
  <c r="BP13" i="29"/>
  <c r="BP32" i="29"/>
  <c r="BP30" i="29"/>
  <c r="BP12" i="29"/>
  <c r="BP25" i="29"/>
  <c r="BP10" i="29"/>
  <c r="BP31" i="29"/>
  <c r="BP17" i="29"/>
  <c r="BP8" i="29"/>
  <c r="BP11" i="29"/>
  <c r="BP20" i="29"/>
  <c r="BP26" i="29"/>
  <c r="BP19" i="29"/>
  <c r="BQ23" i="22"/>
  <c r="BQ29" i="22"/>
  <c r="BQ31" i="22"/>
  <c r="BQ12" i="22"/>
  <c r="BQ11" i="22"/>
  <c r="BQ10" i="22"/>
  <c r="BQ9" i="22"/>
  <c r="BQ22" i="22"/>
  <c r="BQ14" i="22"/>
  <c r="BQ15" i="22"/>
  <c r="BQ20" i="22"/>
  <c r="BQ19" i="22"/>
  <c r="BQ18" i="22"/>
  <c r="BQ17" i="22"/>
  <c r="BQ24" i="22"/>
  <c r="BQ30" i="22"/>
  <c r="BQ32" i="22"/>
  <c r="BQ28" i="22"/>
  <c r="BQ27" i="22"/>
  <c r="BQ26" i="22"/>
  <c r="BQ25" i="22"/>
  <c r="BQ21" i="22"/>
  <c r="BQ13" i="22"/>
  <c r="BQ16" i="22"/>
  <c r="BQ22" i="26"/>
  <c r="BQ27" i="26"/>
  <c r="BQ8" i="26"/>
  <c r="BQ17" i="26"/>
  <c r="BQ30" i="26"/>
  <c r="BQ32" i="26"/>
  <c r="BQ13" i="26"/>
  <c r="BQ26" i="26"/>
  <c r="BQ25" i="26"/>
  <c r="BQ15" i="26"/>
  <c r="BQ21" i="26"/>
  <c r="BQ23" i="26"/>
  <c r="BQ29" i="26"/>
  <c r="BQ14" i="26"/>
  <c r="BQ11" i="26"/>
  <c r="BQ16" i="26"/>
  <c r="BQ31" i="26"/>
  <c r="BQ10" i="26"/>
  <c r="BQ28" i="26"/>
  <c r="BQ19" i="26"/>
  <c r="BQ9" i="26"/>
  <c r="BQ20" i="26"/>
  <c r="BQ24" i="26"/>
  <c r="BQ12" i="26"/>
  <c r="BQ18" i="26"/>
  <c r="BP26" i="31"/>
  <c r="BP27" i="31"/>
  <c r="BP28" i="31"/>
  <c r="BP25" i="31"/>
  <c r="BP21" i="31"/>
  <c r="BP23" i="31"/>
  <c r="BP13" i="31"/>
  <c r="BP30" i="31"/>
  <c r="BP8" i="31"/>
  <c r="BP29" i="31"/>
  <c r="BP31" i="31"/>
  <c r="BP10" i="31"/>
  <c r="BP11" i="31"/>
  <c r="BP12" i="31"/>
  <c r="BP9" i="31"/>
  <c r="BP16" i="31"/>
  <c r="BP22" i="31"/>
  <c r="BP24" i="31"/>
  <c r="BP15" i="31"/>
  <c r="BP18" i="31"/>
  <c r="BP19" i="31"/>
  <c r="BP20" i="31"/>
  <c r="BP17" i="31"/>
  <c r="BP32" i="31"/>
  <c r="BP14" i="31"/>
  <c r="BQ42" i="28"/>
  <c r="BQ32" i="28"/>
  <c r="BQ27" i="28"/>
  <c r="BQ34" i="28"/>
  <c r="BQ25" i="28"/>
  <c r="BQ28" i="28"/>
  <c r="BQ21" i="28"/>
  <c r="BQ23" i="28"/>
  <c r="BQ15" i="28"/>
  <c r="BQ39" i="28"/>
  <c r="BQ40" i="28"/>
  <c r="BQ35" i="28"/>
  <c r="BQ10" i="28"/>
  <c r="BQ33" i="28"/>
  <c r="BQ36" i="28"/>
  <c r="BQ37" i="28"/>
  <c r="BQ38" i="28"/>
  <c r="BQ31" i="28"/>
  <c r="BQ43" i="28"/>
  <c r="BQ16" i="28"/>
  <c r="BQ11" i="28"/>
  <c r="BQ18" i="28"/>
  <c r="BQ9" i="28"/>
  <c r="BQ8" i="28"/>
  <c r="BQ14" i="28"/>
  <c r="BQ30" i="28"/>
  <c r="BQ13" i="28"/>
  <c r="BQ41" i="28"/>
  <c r="BQ24" i="28"/>
  <c r="BQ19" i="28"/>
  <c r="BQ26" i="28"/>
  <c r="BQ17" i="28"/>
  <c r="BQ20" i="28"/>
  <c r="BQ22" i="28"/>
  <c r="BQ12" i="28"/>
  <c r="BQ29" i="28"/>
  <c r="BQ20" i="24"/>
  <c r="BQ30" i="24"/>
  <c r="BQ21" i="24"/>
  <c r="BQ24" i="24"/>
  <c r="BQ27" i="24"/>
  <c r="BQ32" i="24"/>
  <c r="BQ28" i="24"/>
  <c r="BQ18" i="24"/>
  <c r="BQ29" i="24"/>
  <c r="BQ9" i="24"/>
  <c r="BQ31" i="24"/>
  <c r="BQ15" i="24"/>
  <c r="BQ14" i="24"/>
  <c r="BQ11" i="24"/>
  <c r="BQ10" i="24"/>
  <c r="BQ17" i="24"/>
  <c r="BQ16" i="24"/>
  <c r="BQ12" i="24"/>
  <c r="BQ22" i="24"/>
  <c r="BQ13" i="24"/>
  <c r="BQ8" i="24"/>
  <c r="BQ19" i="24"/>
  <c r="BQ26" i="24"/>
  <c r="BQ25" i="24"/>
  <c r="BQ23" i="24"/>
  <c r="N32" i="27" l="1"/>
  <c r="O32" i="27" s="1"/>
  <c r="N33" i="27" s="1"/>
  <c r="O33" i="27" s="1"/>
  <c r="N34" i="27" s="1"/>
  <c r="O34" i="27" s="1"/>
  <c r="N35" i="27" s="1"/>
  <c r="O35" i="27" s="1"/>
  <c r="N16" i="24"/>
  <c r="O32" i="44"/>
  <c r="N33" i="44" s="1"/>
  <c r="O33" i="44" s="1"/>
  <c r="N34" i="44" s="1"/>
  <c r="O34" i="44" s="1"/>
  <c r="N35" i="44" s="1"/>
  <c r="O35" i="44" s="1"/>
  <c r="N36" i="44" s="1"/>
  <c r="O36" i="44" s="1"/>
  <c r="N37" i="44" s="1"/>
  <c r="O37" i="44" s="1"/>
  <c r="N38" i="44" s="1"/>
  <c r="O38" i="44" s="1"/>
  <c r="N39" i="44" s="1"/>
  <c r="O39" i="44" s="1"/>
  <c r="N40" i="44" s="1"/>
  <c r="O17" i="26"/>
  <c r="M18" i="31"/>
  <c r="N18" i="31" s="1"/>
  <c r="M18" i="30"/>
  <c r="N18" i="30" s="1"/>
  <c r="N17" i="29"/>
  <c r="M18" i="29" s="1"/>
  <c r="M17" i="32"/>
  <c r="N17" i="32" s="1"/>
  <c r="N24" i="37"/>
  <c r="M25" i="37" s="1"/>
  <c r="N24" i="40"/>
  <c r="O24" i="40" s="1"/>
  <c r="BR44" i="28"/>
  <c r="BR45" i="28"/>
  <c r="BR14" i="44"/>
  <c r="BR10" i="44"/>
  <c r="BR11" i="44"/>
  <c r="BR32" i="44"/>
  <c r="BR30" i="44"/>
  <c r="BR16" i="44"/>
  <c r="BR25" i="44"/>
  <c r="BR9" i="44"/>
  <c r="BR29" i="44"/>
  <c r="BR22" i="44"/>
  <c r="BR27" i="44"/>
  <c r="BR20" i="44"/>
  <c r="BR12" i="44"/>
  <c r="BR13" i="44"/>
  <c r="BR15" i="44"/>
  <c r="BR17" i="44"/>
  <c r="BR19" i="44"/>
  <c r="BR21" i="44"/>
  <c r="BR23" i="44"/>
  <c r="BR24" i="44"/>
  <c r="BR28" i="44"/>
  <c r="BR31" i="44"/>
  <c r="BR26" i="44"/>
  <c r="BR18" i="44"/>
  <c r="BR9" i="40"/>
  <c r="BR20" i="40"/>
  <c r="BR10" i="40"/>
  <c r="BR11" i="40"/>
  <c r="BR19" i="40"/>
  <c r="BR32" i="40"/>
  <c r="BR29" i="40"/>
  <c r="BR25" i="40"/>
  <c r="BR18" i="40"/>
  <c r="BR23" i="40"/>
  <c r="BR14" i="40"/>
  <c r="BR28" i="40"/>
  <c r="BR21" i="40"/>
  <c r="BR16" i="40"/>
  <c r="BR17" i="40"/>
  <c r="BR22" i="40"/>
  <c r="BR27" i="40"/>
  <c r="BR26" i="40"/>
  <c r="BR31" i="40"/>
  <c r="BR30" i="40"/>
  <c r="BR24" i="40"/>
  <c r="BR13" i="40"/>
  <c r="BR15" i="40"/>
  <c r="BR12" i="40"/>
  <c r="BQ26" i="37"/>
  <c r="BQ32" i="37"/>
  <c r="BQ21" i="37"/>
  <c r="BQ10" i="37"/>
  <c r="BQ14" i="37"/>
  <c r="BQ20" i="37"/>
  <c r="BQ11" i="37"/>
  <c r="BQ17" i="37"/>
  <c r="BQ18" i="37"/>
  <c r="BQ16" i="37"/>
  <c r="BQ19" i="37"/>
  <c r="BQ28" i="37"/>
  <c r="BQ24" i="37"/>
  <c r="BQ30" i="37"/>
  <c r="BQ22" i="37"/>
  <c r="BQ15" i="37"/>
  <c r="BQ25" i="37"/>
  <c r="BQ31" i="37"/>
  <c r="BQ12" i="37"/>
  <c r="BQ23" i="37"/>
  <c r="BQ27" i="37"/>
  <c r="BQ13" i="37"/>
  <c r="BQ9" i="37"/>
  <c r="BQ29" i="37"/>
  <c r="BR25" i="24"/>
  <c r="BR29" i="24"/>
  <c r="BR19" i="24"/>
  <c r="BR15" i="24"/>
  <c r="BR20" i="24"/>
  <c r="BR18" i="24"/>
  <c r="BR16" i="24"/>
  <c r="BR22" i="24"/>
  <c r="BR17" i="24"/>
  <c r="BR27" i="24"/>
  <c r="BR28" i="24"/>
  <c r="BR26" i="24"/>
  <c r="BR24" i="24"/>
  <c r="BR14" i="24"/>
  <c r="BR21" i="24"/>
  <c r="BR23" i="24"/>
  <c r="BR32" i="24"/>
  <c r="BR13" i="24"/>
  <c r="BR9" i="24"/>
  <c r="BR11" i="24"/>
  <c r="BR31" i="24"/>
  <c r="BR12" i="24"/>
  <c r="BR10" i="24"/>
  <c r="BR8" i="24"/>
  <c r="BR30" i="24"/>
  <c r="BR9" i="27"/>
  <c r="BR11" i="27"/>
  <c r="BR29" i="27"/>
  <c r="BR16" i="27"/>
  <c r="BR22" i="27"/>
  <c r="BR26" i="27"/>
  <c r="BR13" i="27"/>
  <c r="BR27" i="27"/>
  <c r="BR15" i="27"/>
  <c r="BR24" i="27"/>
  <c r="BR30" i="27"/>
  <c r="BR12" i="27"/>
  <c r="BR20" i="27"/>
  <c r="BR17" i="27"/>
  <c r="BR19" i="27"/>
  <c r="BR31" i="27"/>
  <c r="BR23" i="27"/>
  <c r="BR32" i="27"/>
  <c r="BR28" i="27"/>
  <c r="BR21" i="27"/>
  <c r="BR25" i="27"/>
  <c r="BR14" i="27"/>
  <c r="BR10" i="27"/>
  <c r="BR18" i="27"/>
  <c r="BQ23" i="29"/>
  <c r="BQ20" i="29"/>
  <c r="BQ26" i="29"/>
  <c r="BQ21" i="29"/>
  <c r="BQ16" i="29"/>
  <c r="BQ25" i="29"/>
  <c r="BQ15" i="29"/>
  <c r="BQ28" i="29"/>
  <c r="BQ11" i="29"/>
  <c r="BQ24" i="29"/>
  <c r="BQ29" i="29"/>
  <c r="BQ27" i="29"/>
  <c r="BQ10" i="29"/>
  <c r="BQ9" i="29"/>
  <c r="BQ13" i="29"/>
  <c r="BQ32" i="29"/>
  <c r="BQ22" i="29"/>
  <c r="BQ17" i="29"/>
  <c r="BQ19" i="29"/>
  <c r="BQ12" i="29"/>
  <c r="BQ31" i="29"/>
  <c r="BQ18" i="29"/>
  <c r="BQ8" i="29"/>
  <c r="BQ14" i="29"/>
  <c r="BQ30" i="29"/>
  <c r="BR25" i="25"/>
  <c r="BR19" i="25"/>
  <c r="BR23" i="25"/>
  <c r="BR11" i="25"/>
  <c r="BR32" i="25"/>
  <c r="BR26" i="25"/>
  <c r="BR9" i="25"/>
  <c r="BR27" i="25"/>
  <c r="BR14" i="25"/>
  <c r="BR20" i="25"/>
  <c r="BR12" i="25"/>
  <c r="BR17" i="25"/>
  <c r="BR13" i="25"/>
  <c r="BR16" i="25"/>
  <c r="BR22" i="25"/>
  <c r="BR28" i="25"/>
  <c r="BR21" i="25"/>
  <c r="BR29" i="25"/>
  <c r="BR31" i="25"/>
  <c r="BR15" i="25"/>
  <c r="BR24" i="25"/>
  <c r="BR30" i="25"/>
  <c r="BR10" i="25"/>
  <c r="BR18" i="25"/>
  <c r="BR23" i="22"/>
  <c r="BR26" i="22"/>
  <c r="BR18" i="22"/>
  <c r="BR9" i="22"/>
  <c r="BR11" i="22"/>
  <c r="BR27" i="22"/>
  <c r="BR14" i="22"/>
  <c r="BR12" i="22"/>
  <c r="BR16" i="22"/>
  <c r="BR17" i="22"/>
  <c r="BR15" i="22"/>
  <c r="BR31" i="22"/>
  <c r="BR21" i="22"/>
  <c r="BR22" i="22"/>
  <c r="BR20" i="22"/>
  <c r="BR24" i="22"/>
  <c r="BR32" i="22"/>
  <c r="BR25" i="22"/>
  <c r="BR19" i="22"/>
  <c r="BR13" i="22"/>
  <c r="BR29" i="22"/>
  <c r="BR30" i="22"/>
  <c r="BR28" i="22"/>
  <c r="BR10" i="22"/>
  <c r="BQ29" i="31"/>
  <c r="BQ31" i="31"/>
  <c r="BQ25" i="31"/>
  <c r="BQ18" i="31"/>
  <c r="BQ8" i="31"/>
  <c r="BQ20" i="31"/>
  <c r="BQ30" i="31"/>
  <c r="BQ26" i="31"/>
  <c r="BQ16" i="31"/>
  <c r="BQ14" i="31"/>
  <c r="BQ13" i="31"/>
  <c r="BQ15" i="31"/>
  <c r="BQ9" i="31"/>
  <c r="BQ11" i="31"/>
  <c r="BQ24" i="31"/>
  <c r="BQ27" i="31"/>
  <c r="BQ12" i="31"/>
  <c r="BQ21" i="31"/>
  <c r="BQ23" i="31"/>
  <c r="BQ17" i="31"/>
  <c r="BQ10" i="31"/>
  <c r="BQ19" i="31"/>
  <c r="BQ32" i="31"/>
  <c r="BQ22" i="31"/>
  <c r="BQ28" i="31"/>
  <c r="BR11" i="26"/>
  <c r="BR19" i="26"/>
  <c r="BR23" i="26"/>
  <c r="BR29" i="26"/>
  <c r="BR14" i="26"/>
  <c r="BR12" i="26"/>
  <c r="BR10" i="26"/>
  <c r="BR18" i="26"/>
  <c r="BR9" i="26"/>
  <c r="BR27" i="26"/>
  <c r="BR13" i="26"/>
  <c r="BR15" i="26"/>
  <c r="BR22" i="26"/>
  <c r="BR20" i="26"/>
  <c r="BR26" i="26"/>
  <c r="BR21" i="26"/>
  <c r="BR17" i="26"/>
  <c r="BR31" i="26"/>
  <c r="BR30" i="26"/>
  <c r="BR28" i="26"/>
  <c r="BR16" i="26"/>
  <c r="BR8" i="26"/>
  <c r="BR25" i="26"/>
  <c r="BR32" i="26"/>
  <c r="BR24" i="26"/>
  <c r="BQ8" i="30"/>
  <c r="BQ9" i="30"/>
  <c r="BQ22" i="30"/>
  <c r="BQ23" i="30"/>
  <c r="BQ15" i="30"/>
  <c r="BQ25" i="30"/>
  <c r="BQ13" i="30"/>
  <c r="BQ17" i="30"/>
  <c r="BQ16" i="30"/>
  <c r="BQ19" i="30"/>
  <c r="BQ30" i="30"/>
  <c r="BQ12" i="30"/>
  <c r="BQ18" i="30"/>
  <c r="BQ21" i="30"/>
  <c r="BQ27" i="30"/>
  <c r="BQ24" i="30"/>
  <c r="BQ31" i="30"/>
  <c r="BQ10" i="30"/>
  <c r="BQ28" i="30"/>
  <c r="BQ29" i="30"/>
  <c r="BQ32" i="30"/>
  <c r="BQ14" i="30"/>
  <c r="BQ11" i="30"/>
  <c r="BQ26" i="30"/>
  <c r="BQ20" i="30"/>
  <c r="BR41" i="28"/>
  <c r="BR9" i="28"/>
  <c r="BR27" i="28"/>
  <c r="BR39" i="28"/>
  <c r="BR13" i="28"/>
  <c r="BR22" i="28"/>
  <c r="BR38" i="28"/>
  <c r="BR16" i="28"/>
  <c r="BR28" i="28"/>
  <c r="BR40" i="28"/>
  <c r="BR25" i="28"/>
  <c r="BR33" i="28"/>
  <c r="BR17" i="28"/>
  <c r="BR10" i="28"/>
  <c r="BR26" i="28"/>
  <c r="BR8" i="28"/>
  <c r="BR24" i="28"/>
  <c r="BR36" i="28"/>
  <c r="BR43" i="28"/>
  <c r="BR15" i="28"/>
  <c r="BR29" i="28"/>
  <c r="BR19" i="28"/>
  <c r="BR21" i="28"/>
  <c r="BR14" i="28"/>
  <c r="BR30" i="28"/>
  <c r="BR12" i="28"/>
  <c r="BR32" i="28"/>
  <c r="BR42" i="28"/>
  <c r="BR31" i="28"/>
  <c r="BR11" i="28"/>
  <c r="BR23" i="28"/>
  <c r="BR35" i="28"/>
  <c r="BR18" i="28"/>
  <c r="BR34" i="28"/>
  <c r="BR37" i="28"/>
  <c r="BR20" i="28"/>
  <c r="N36" i="27" l="1"/>
  <c r="O36" i="27" s="1"/>
  <c r="N37" i="27" s="1"/>
  <c r="O37" i="27" s="1"/>
  <c r="N38" i="27" s="1"/>
  <c r="O38" i="27" s="1"/>
  <c r="N39" i="27" s="1"/>
  <c r="O39" i="27" s="1"/>
  <c r="N40" i="27" s="1"/>
  <c r="O40" i="27" s="1"/>
  <c r="O40" i="44"/>
  <c r="N41" i="44" s="1"/>
  <c r="O41" i="44" s="1"/>
  <c r="N42" i="44" s="1"/>
  <c r="O42" i="44" s="1"/>
  <c r="N43" i="44" s="1"/>
  <c r="O43" i="44" s="1"/>
  <c r="N44" i="44" s="1"/>
  <c r="O44" i="44" s="1"/>
  <c r="N45" i="44" s="1"/>
  <c r="O16" i="24"/>
  <c r="N17" i="24" s="1"/>
  <c r="O18" i="26"/>
  <c r="M19" i="31"/>
  <c r="N19" i="31" s="1"/>
  <c r="M18" i="32"/>
  <c r="N18" i="32" s="1"/>
  <c r="M19" i="30"/>
  <c r="N19" i="30" s="1"/>
  <c r="N25" i="37"/>
  <c r="M26" i="37" s="1"/>
  <c r="N25" i="40"/>
  <c r="O25" i="40" s="1"/>
  <c r="BS44" i="28"/>
  <c r="BS45" i="28"/>
  <c r="BS15" i="44"/>
  <c r="BS9" i="44"/>
  <c r="BS22" i="44"/>
  <c r="BS10" i="44"/>
  <c r="BS11" i="44"/>
  <c r="BS25" i="44"/>
  <c r="BS20" i="44"/>
  <c r="BS13" i="44"/>
  <c r="BS16" i="44"/>
  <c r="BS26" i="44"/>
  <c r="BS27" i="44"/>
  <c r="BS28" i="44"/>
  <c r="BS31" i="44"/>
  <c r="BS23" i="44"/>
  <c r="BS21" i="44"/>
  <c r="BS12" i="44"/>
  <c r="BS30" i="44"/>
  <c r="BS32" i="44"/>
  <c r="BS14" i="44"/>
  <c r="BS18" i="44"/>
  <c r="BS29" i="44"/>
  <c r="BS19" i="44"/>
  <c r="BS17" i="44"/>
  <c r="BS24" i="44"/>
  <c r="BS9" i="40"/>
  <c r="BS10" i="40"/>
  <c r="BS16" i="40"/>
  <c r="BS19" i="40"/>
  <c r="BS24" i="40"/>
  <c r="BS31" i="40"/>
  <c r="BS27" i="40"/>
  <c r="BS22" i="40"/>
  <c r="BS18" i="40"/>
  <c r="BS28" i="40"/>
  <c r="BS14" i="40"/>
  <c r="BS32" i="40"/>
  <c r="BS26" i="40"/>
  <c r="BS11" i="40"/>
  <c r="BS29" i="40"/>
  <c r="BS20" i="40"/>
  <c r="BS15" i="40"/>
  <c r="BS21" i="40"/>
  <c r="BS30" i="40"/>
  <c r="BS12" i="40"/>
  <c r="BS17" i="40"/>
  <c r="BS25" i="40"/>
  <c r="BS13" i="40"/>
  <c r="BS23" i="40"/>
  <c r="BR9" i="37"/>
  <c r="BR10" i="37"/>
  <c r="BR31" i="37"/>
  <c r="BR14" i="37"/>
  <c r="BR27" i="37"/>
  <c r="BR12" i="37"/>
  <c r="BR26" i="37"/>
  <c r="BR23" i="37"/>
  <c r="BR17" i="37"/>
  <c r="BR18" i="37"/>
  <c r="BR15" i="37"/>
  <c r="BR21" i="37"/>
  <c r="BR20" i="37"/>
  <c r="BR25" i="37"/>
  <c r="BR22" i="37"/>
  <c r="BR32" i="37"/>
  <c r="BR30" i="37"/>
  <c r="BR11" i="37"/>
  <c r="BR19" i="37"/>
  <c r="BR16" i="37"/>
  <c r="BR28" i="37"/>
  <c r="BR13" i="37"/>
  <c r="BR24" i="37"/>
  <c r="BR29" i="37"/>
  <c r="BR13" i="29"/>
  <c r="BR26" i="29"/>
  <c r="BR27" i="29"/>
  <c r="BR18" i="29"/>
  <c r="BR17" i="29"/>
  <c r="BR30" i="29"/>
  <c r="BR15" i="29"/>
  <c r="BR21" i="29"/>
  <c r="BR24" i="29"/>
  <c r="BR25" i="29"/>
  <c r="BR31" i="29"/>
  <c r="BR8" i="29"/>
  <c r="BR29" i="29"/>
  <c r="BR11" i="29"/>
  <c r="BR10" i="29"/>
  <c r="BR32" i="29"/>
  <c r="BR16" i="29"/>
  <c r="BR20" i="29"/>
  <c r="BR19" i="29"/>
  <c r="BR14" i="29"/>
  <c r="BR9" i="29"/>
  <c r="BR22" i="29"/>
  <c r="BR12" i="29"/>
  <c r="BR28" i="29"/>
  <c r="BR23" i="29"/>
  <c r="BS22" i="25"/>
  <c r="BS27" i="25"/>
  <c r="BS32" i="25"/>
  <c r="BS9" i="25"/>
  <c r="BS15" i="25"/>
  <c r="BS10" i="25"/>
  <c r="BS26" i="25"/>
  <c r="BS21" i="25"/>
  <c r="BS12" i="25"/>
  <c r="BS13" i="25"/>
  <c r="BS17" i="25"/>
  <c r="BS23" i="25"/>
  <c r="BS14" i="25"/>
  <c r="BS30" i="25"/>
  <c r="BS20" i="25"/>
  <c r="BS29" i="25"/>
  <c r="BS16" i="25"/>
  <c r="BS25" i="25"/>
  <c r="BS31" i="25"/>
  <c r="BS18" i="25"/>
  <c r="BS11" i="25"/>
  <c r="BS28" i="25"/>
  <c r="BS19" i="25"/>
  <c r="BS24" i="25"/>
  <c r="BS41" i="28"/>
  <c r="BS23" i="28"/>
  <c r="BS15" i="28"/>
  <c r="BS27" i="28"/>
  <c r="BS17" i="28"/>
  <c r="BS8" i="28"/>
  <c r="BS14" i="28"/>
  <c r="BS10" i="28"/>
  <c r="BS18" i="28"/>
  <c r="BS35" i="28"/>
  <c r="BS31" i="28"/>
  <c r="BS13" i="28"/>
  <c r="BS29" i="28"/>
  <c r="BS16" i="28"/>
  <c r="BS22" i="28"/>
  <c r="BS26" i="28"/>
  <c r="BS34" i="28"/>
  <c r="BS43" i="28"/>
  <c r="BS19" i="28"/>
  <c r="BS37" i="28"/>
  <c r="BS25" i="28"/>
  <c r="BS9" i="28"/>
  <c r="BS24" i="28"/>
  <c r="BS30" i="28"/>
  <c r="BS12" i="28"/>
  <c r="BS20" i="28"/>
  <c r="BS42" i="28"/>
  <c r="BS40" i="28"/>
  <c r="BS39" i="28"/>
  <c r="BS11" i="28"/>
  <c r="BS33" i="28"/>
  <c r="BS21" i="28"/>
  <c r="BS32" i="28"/>
  <c r="BS38" i="28"/>
  <c r="BS28" i="28"/>
  <c r="BS36" i="28"/>
  <c r="BS13" i="26"/>
  <c r="BS29" i="26"/>
  <c r="BS19" i="26"/>
  <c r="BS24" i="26"/>
  <c r="BS30" i="26"/>
  <c r="BS10" i="26"/>
  <c r="BS18" i="26"/>
  <c r="BS17" i="26"/>
  <c r="BS27" i="26"/>
  <c r="BS31" i="26"/>
  <c r="BS32" i="26"/>
  <c r="BS26" i="26"/>
  <c r="BS11" i="26"/>
  <c r="BS21" i="26"/>
  <c r="BS23" i="26"/>
  <c r="BS8" i="26"/>
  <c r="BS14" i="26"/>
  <c r="BS20" i="26"/>
  <c r="BS12" i="26"/>
  <c r="BS9" i="26"/>
  <c r="BS25" i="26"/>
  <c r="BS15" i="26"/>
  <c r="BS16" i="26"/>
  <c r="BS22" i="26"/>
  <c r="BS28" i="26"/>
  <c r="BS32" i="22"/>
  <c r="BS26" i="22"/>
  <c r="BS28" i="22"/>
  <c r="BS9" i="22"/>
  <c r="BS15" i="22"/>
  <c r="BS14" i="22"/>
  <c r="BS11" i="22"/>
  <c r="BS13" i="22"/>
  <c r="BS19" i="22"/>
  <c r="BS21" i="22"/>
  <c r="BS17" i="22"/>
  <c r="BS16" i="22"/>
  <c r="BS23" i="22"/>
  <c r="BS22" i="22"/>
  <c r="BS27" i="22"/>
  <c r="BS29" i="22"/>
  <c r="BS25" i="22"/>
  <c r="BS24" i="22"/>
  <c r="BS31" i="22"/>
  <c r="BS30" i="22"/>
  <c r="BS10" i="22"/>
  <c r="BS12" i="22"/>
  <c r="BS18" i="22"/>
  <c r="BS20" i="22"/>
  <c r="BS9" i="27"/>
  <c r="BS24" i="27"/>
  <c r="BS30" i="27"/>
  <c r="BS12" i="27"/>
  <c r="BS20" i="27"/>
  <c r="BS19" i="27"/>
  <c r="BS15" i="27"/>
  <c r="BS17" i="27"/>
  <c r="BS32" i="27"/>
  <c r="BS28" i="27"/>
  <c r="BS27" i="27"/>
  <c r="BS23" i="27"/>
  <c r="BS29" i="27"/>
  <c r="BS31" i="27"/>
  <c r="BS14" i="27"/>
  <c r="BS10" i="27"/>
  <c r="BS18" i="27"/>
  <c r="BS11" i="27"/>
  <c r="BS21" i="27"/>
  <c r="BS13" i="27"/>
  <c r="BS25" i="27"/>
  <c r="BS16" i="27"/>
  <c r="BS22" i="27"/>
  <c r="BS26" i="27"/>
  <c r="BR25" i="31"/>
  <c r="BR19" i="31"/>
  <c r="BR21" i="31"/>
  <c r="BR8" i="31"/>
  <c r="BR15" i="31"/>
  <c r="BR12" i="31"/>
  <c r="BR27" i="31"/>
  <c r="BR29" i="31"/>
  <c r="BR16" i="31"/>
  <c r="BR14" i="31"/>
  <c r="BR31" i="31"/>
  <c r="BR28" i="31"/>
  <c r="BR20" i="31"/>
  <c r="BR9" i="31"/>
  <c r="BR24" i="31"/>
  <c r="BR22" i="31"/>
  <c r="BR10" i="31"/>
  <c r="BR18" i="31"/>
  <c r="BR23" i="31"/>
  <c r="BR17" i="31"/>
  <c r="BR11" i="31"/>
  <c r="BR13" i="31"/>
  <c r="BR32" i="31"/>
  <c r="BR30" i="31"/>
  <c r="BR26" i="31"/>
  <c r="BR31" i="30"/>
  <c r="BR26" i="30"/>
  <c r="BR25" i="30"/>
  <c r="BR24" i="30"/>
  <c r="BR27" i="30"/>
  <c r="BR14" i="30"/>
  <c r="BR32" i="30"/>
  <c r="BR29" i="30"/>
  <c r="BR28" i="30"/>
  <c r="BR12" i="30"/>
  <c r="BR15" i="30"/>
  <c r="BR10" i="30"/>
  <c r="BR9" i="30"/>
  <c r="BR8" i="30"/>
  <c r="BR11" i="30"/>
  <c r="BR21" i="30"/>
  <c r="BR22" i="30"/>
  <c r="BR13" i="30"/>
  <c r="BR23" i="30"/>
  <c r="BR18" i="30"/>
  <c r="BR17" i="30"/>
  <c r="BR16" i="30"/>
  <c r="BR19" i="30"/>
  <c r="BR20" i="30"/>
  <c r="BR30" i="30"/>
  <c r="BS13" i="24"/>
  <c r="BS23" i="24"/>
  <c r="BS27" i="24"/>
  <c r="BS26" i="24"/>
  <c r="BS24" i="24"/>
  <c r="BS22" i="24"/>
  <c r="BS12" i="24"/>
  <c r="BS21" i="24"/>
  <c r="BS25" i="24"/>
  <c r="BS29" i="24"/>
  <c r="BS32" i="24"/>
  <c r="BS30" i="24"/>
  <c r="BS17" i="24"/>
  <c r="BS15" i="24"/>
  <c r="BS11" i="24"/>
  <c r="BS10" i="24"/>
  <c r="BS8" i="24"/>
  <c r="BS9" i="24"/>
  <c r="BS28" i="24"/>
  <c r="BS19" i="24"/>
  <c r="BS31" i="24"/>
  <c r="BS18" i="24"/>
  <c r="BS16" i="24"/>
  <c r="BS14" i="24"/>
  <c r="BS20" i="24"/>
  <c r="N41" i="27" l="1"/>
  <c r="O41" i="27" s="1"/>
  <c r="N42" i="27" s="1"/>
  <c r="O42" i="27" s="1"/>
  <c r="N43" i="27" s="1"/>
  <c r="O43" i="27" s="1"/>
  <c r="N44" i="27" s="1"/>
  <c r="O44" i="27" s="1"/>
  <c r="N45" i="27" s="1"/>
  <c r="O45" i="27" s="1"/>
  <c r="O45" i="44"/>
  <c r="N46" i="44" s="1"/>
  <c r="O46" i="44" s="1"/>
  <c r="N47" i="44" s="1"/>
  <c r="O47" i="44" s="1"/>
  <c r="N48" i="44" s="1"/>
  <c r="O48" i="44" s="1"/>
  <c r="N49" i="44" s="1"/>
  <c r="O17" i="24"/>
  <c r="N18" i="24" s="1"/>
  <c r="O19" i="26"/>
  <c r="N18" i="29"/>
  <c r="M19" i="29" s="1"/>
  <c r="M20" i="31"/>
  <c r="M19" i="32"/>
  <c r="N19" i="32" s="1"/>
  <c r="M20" i="30"/>
  <c r="N20" i="30" s="1"/>
  <c r="N26" i="37"/>
  <c r="M27" i="37" s="1"/>
  <c r="N26" i="40"/>
  <c r="O26" i="40" s="1"/>
  <c r="BT45" i="28"/>
  <c r="BT44" i="28"/>
  <c r="BT23" i="44"/>
  <c r="BT29" i="44"/>
  <c r="BT28" i="44"/>
  <c r="BT26" i="44"/>
  <c r="BT25" i="44"/>
  <c r="BT13" i="44"/>
  <c r="BT31" i="44"/>
  <c r="BT21" i="44"/>
  <c r="BT9" i="44"/>
  <c r="BT24" i="44"/>
  <c r="BT17" i="44"/>
  <c r="BT12" i="44"/>
  <c r="BT32" i="44"/>
  <c r="BT16" i="44"/>
  <c r="BT18" i="44"/>
  <c r="BT10" i="44"/>
  <c r="BT14" i="44"/>
  <c r="BT19" i="44"/>
  <c r="BT15" i="44"/>
  <c r="BT11" i="44"/>
  <c r="BT20" i="44"/>
  <c r="BT27" i="44"/>
  <c r="BT22" i="44"/>
  <c r="BT30" i="44"/>
  <c r="BT25" i="40"/>
  <c r="BT15" i="40"/>
  <c r="BT19" i="40"/>
  <c r="BT20" i="40"/>
  <c r="BT29" i="40"/>
  <c r="BT12" i="40"/>
  <c r="BT13" i="40"/>
  <c r="BT16" i="40"/>
  <c r="BT31" i="40"/>
  <c r="BT24" i="40"/>
  <c r="BT21" i="40"/>
  <c r="BT18" i="40"/>
  <c r="BT14" i="40"/>
  <c r="BT17" i="40"/>
  <c r="BT22" i="40"/>
  <c r="BT26" i="40"/>
  <c r="BT9" i="40"/>
  <c r="BT27" i="40"/>
  <c r="BT32" i="40"/>
  <c r="BT11" i="40"/>
  <c r="BT23" i="40"/>
  <c r="BT28" i="40"/>
  <c r="BT30" i="40"/>
  <c r="BT10" i="40"/>
  <c r="BS12" i="37"/>
  <c r="BS20" i="37"/>
  <c r="BS10" i="37"/>
  <c r="BS18" i="37"/>
  <c r="BS14" i="37"/>
  <c r="BS30" i="37"/>
  <c r="BS15" i="37"/>
  <c r="BS27" i="37"/>
  <c r="BS9" i="37"/>
  <c r="BS24" i="37"/>
  <c r="BS16" i="37"/>
  <c r="BS25" i="37"/>
  <c r="BS22" i="37"/>
  <c r="BS26" i="37"/>
  <c r="BS31" i="37"/>
  <c r="BS11" i="37"/>
  <c r="BS17" i="37"/>
  <c r="BS21" i="37"/>
  <c r="BS23" i="37"/>
  <c r="BS19" i="37"/>
  <c r="BS32" i="37"/>
  <c r="BS29" i="37"/>
  <c r="BS13" i="37"/>
  <c r="BS28" i="37"/>
  <c r="BT17" i="25"/>
  <c r="BT27" i="25"/>
  <c r="BT23" i="25"/>
  <c r="BT14" i="25"/>
  <c r="BT12" i="25"/>
  <c r="BT10" i="25"/>
  <c r="BT24" i="25"/>
  <c r="BT19" i="25"/>
  <c r="BT9" i="25"/>
  <c r="BT31" i="25"/>
  <c r="BT22" i="25"/>
  <c r="BT20" i="25"/>
  <c r="BT18" i="25"/>
  <c r="BT16" i="25"/>
  <c r="BT13" i="25"/>
  <c r="BT25" i="25"/>
  <c r="BT30" i="25"/>
  <c r="BT28" i="25"/>
  <c r="BT26" i="25"/>
  <c r="BT29" i="25"/>
  <c r="BT11" i="25"/>
  <c r="BT21" i="25"/>
  <c r="BT15" i="25"/>
  <c r="BT32" i="25"/>
  <c r="BT11" i="27"/>
  <c r="BT31" i="27"/>
  <c r="BT23" i="27"/>
  <c r="BT12" i="27"/>
  <c r="BT10" i="27"/>
  <c r="BT14" i="27"/>
  <c r="BT22" i="27"/>
  <c r="BT27" i="27"/>
  <c r="BT9" i="27"/>
  <c r="BT25" i="27"/>
  <c r="BT20" i="27"/>
  <c r="BT18" i="27"/>
  <c r="BT30" i="27"/>
  <c r="BT29" i="27"/>
  <c r="BT17" i="27"/>
  <c r="BT13" i="27"/>
  <c r="BT19" i="27"/>
  <c r="BT28" i="27"/>
  <c r="BT26" i="27"/>
  <c r="BT16" i="27"/>
  <c r="BT15" i="27"/>
  <c r="BT21" i="27"/>
  <c r="BT32" i="27"/>
  <c r="BT24" i="27"/>
  <c r="BT42" i="28"/>
  <c r="BT13" i="28"/>
  <c r="BT11" i="28"/>
  <c r="BT9" i="28"/>
  <c r="BT35" i="28"/>
  <c r="BT24" i="28"/>
  <c r="BT30" i="28"/>
  <c r="BT28" i="28"/>
  <c r="BT26" i="28"/>
  <c r="BT41" i="28"/>
  <c r="BT40" i="28"/>
  <c r="BT33" i="28"/>
  <c r="BT27" i="28"/>
  <c r="BT29" i="28"/>
  <c r="BT17" i="28"/>
  <c r="BT32" i="28"/>
  <c r="BT38" i="28"/>
  <c r="BT36" i="28"/>
  <c r="BT34" i="28"/>
  <c r="BT19" i="28"/>
  <c r="BT15" i="28"/>
  <c r="BT25" i="28"/>
  <c r="BT21" i="28"/>
  <c r="BT8" i="28"/>
  <c r="BT14" i="28"/>
  <c r="BT12" i="28"/>
  <c r="BT10" i="28"/>
  <c r="BT43" i="28"/>
  <c r="BT39" i="28"/>
  <c r="BT31" i="28"/>
  <c r="BT23" i="28"/>
  <c r="BT37" i="28"/>
  <c r="BT16" i="28"/>
  <c r="BT22" i="28"/>
  <c r="BT20" i="28"/>
  <c r="BT18" i="28"/>
  <c r="BT31" i="26"/>
  <c r="BT19" i="26"/>
  <c r="BT9" i="26"/>
  <c r="BT17" i="26"/>
  <c r="BT32" i="26"/>
  <c r="BT26" i="26"/>
  <c r="BT13" i="26"/>
  <c r="BT27" i="26"/>
  <c r="BT21" i="26"/>
  <c r="BT8" i="26"/>
  <c r="BT14" i="26"/>
  <c r="BT12" i="26"/>
  <c r="BT20" i="26"/>
  <c r="BT29" i="26"/>
  <c r="BT11" i="26"/>
  <c r="BT25" i="26"/>
  <c r="BT16" i="26"/>
  <c r="BT22" i="26"/>
  <c r="BT28" i="26"/>
  <c r="BT15" i="26"/>
  <c r="BT23" i="26"/>
  <c r="BT24" i="26"/>
  <c r="BT30" i="26"/>
  <c r="BT18" i="26"/>
  <c r="BT10" i="26"/>
  <c r="BS9" i="30"/>
  <c r="BS21" i="30"/>
  <c r="BS30" i="30"/>
  <c r="BS28" i="30"/>
  <c r="BS29" i="30"/>
  <c r="BS24" i="30"/>
  <c r="BS11" i="30"/>
  <c r="BS16" i="30"/>
  <c r="BS17" i="30"/>
  <c r="BS25" i="30"/>
  <c r="BS27" i="30"/>
  <c r="BS18" i="30"/>
  <c r="BS15" i="30"/>
  <c r="BS14" i="30"/>
  <c r="BS12" i="30"/>
  <c r="BS23" i="30"/>
  <c r="BS13" i="30"/>
  <c r="BS10" i="30"/>
  <c r="BS32" i="30"/>
  <c r="BS31" i="30"/>
  <c r="BS22" i="30"/>
  <c r="BS19" i="30"/>
  <c r="BS20" i="30"/>
  <c r="BS8" i="30"/>
  <c r="BS26" i="30"/>
  <c r="BT13" i="24"/>
  <c r="BT31" i="24"/>
  <c r="BT19" i="24"/>
  <c r="BT20" i="24"/>
  <c r="BT18" i="24"/>
  <c r="BT30" i="24"/>
  <c r="BT21" i="24"/>
  <c r="BT11" i="24"/>
  <c r="BT25" i="24"/>
  <c r="BT28" i="24"/>
  <c r="BT26" i="24"/>
  <c r="BT16" i="24"/>
  <c r="BT8" i="24"/>
  <c r="BT23" i="24"/>
  <c r="BT15" i="24"/>
  <c r="BT9" i="24"/>
  <c r="BT29" i="24"/>
  <c r="BT32" i="24"/>
  <c r="BT24" i="24"/>
  <c r="BT17" i="24"/>
  <c r="BT27" i="24"/>
  <c r="BT12" i="24"/>
  <c r="BT10" i="24"/>
  <c r="BT14" i="24"/>
  <c r="BT22" i="24"/>
  <c r="BS31" i="29"/>
  <c r="BS23" i="29"/>
  <c r="BS28" i="29"/>
  <c r="BS18" i="29"/>
  <c r="BS8" i="29"/>
  <c r="BS14" i="29"/>
  <c r="BS22" i="29"/>
  <c r="BS15" i="29"/>
  <c r="BS9" i="29"/>
  <c r="BS11" i="29"/>
  <c r="BS26" i="29"/>
  <c r="BS16" i="29"/>
  <c r="BS30" i="29"/>
  <c r="BS19" i="29"/>
  <c r="BS25" i="29"/>
  <c r="BS12" i="29"/>
  <c r="BS21" i="29"/>
  <c r="BS24" i="29"/>
  <c r="BS13" i="29"/>
  <c r="BS27" i="29"/>
  <c r="BS17" i="29"/>
  <c r="BS20" i="29"/>
  <c r="BS10" i="29"/>
  <c r="BS29" i="29"/>
  <c r="BS32" i="29"/>
  <c r="BS25" i="31"/>
  <c r="BS10" i="31"/>
  <c r="BS15" i="31"/>
  <c r="BS32" i="31"/>
  <c r="BS22" i="31"/>
  <c r="BS30" i="31"/>
  <c r="BS9" i="31"/>
  <c r="BS29" i="31"/>
  <c r="BS19" i="31"/>
  <c r="BS18" i="31"/>
  <c r="BS8" i="31"/>
  <c r="BS20" i="31"/>
  <c r="BS14" i="31"/>
  <c r="BS13" i="31"/>
  <c r="BS11" i="31"/>
  <c r="BS26" i="31"/>
  <c r="BS16" i="31"/>
  <c r="BS12" i="31"/>
  <c r="BS17" i="31"/>
  <c r="BS21" i="31"/>
  <c r="BS23" i="31"/>
  <c r="BS27" i="31"/>
  <c r="BS24" i="31"/>
  <c r="BS31" i="31"/>
  <c r="BS28" i="31"/>
  <c r="BT11" i="22"/>
  <c r="BT27" i="22"/>
  <c r="BT21" i="22"/>
  <c r="BT25" i="22"/>
  <c r="BT30" i="22"/>
  <c r="BT28" i="22"/>
  <c r="BT24" i="22"/>
  <c r="BT32" i="22"/>
  <c r="BT15" i="22"/>
  <c r="BT31" i="22"/>
  <c r="BT29" i="22"/>
  <c r="BT10" i="22"/>
  <c r="BT19" i="22"/>
  <c r="BT9" i="22"/>
  <c r="BT14" i="22"/>
  <c r="BT12" i="22"/>
  <c r="BT26" i="22"/>
  <c r="BT18" i="22"/>
  <c r="BT23" i="22"/>
  <c r="BT13" i="22"/>
  <c r="BT17" i="22"/>
  <c r="BT22" i="22"/>
  <c r="BT20" i="22"/>
  <c r="BT16" i="22"/>
  <c r="N46" i="27" l="1"/>
  <c r="O46" i="27" s="1"/>
  <c r="N47" i="27" s="1"/>
  <c r="O47" i="27" s="1"/>
  <c r="N48" i="27" s="1"/>
  <c r="O48" i="27" s="1"/>
  <c r="N49" i="27" s="1"/>
  <c r="O49" i="27" s="1"/>
  <c r="O49" i="44"/>
  <c r="N50" i="44" s="1"/>
  <c r="O50" i="44" s="1"/>
  <c r="N51" i="44" s="1"/>
  <c r="O51" i="44" s="1"/>
  <c r="N52" i="44" s="1"/>
  <c r="O52" i="44" s="1"/>
  <c r="N53" i="44" s="1"/>
  <c r="O53" i="44" s="1"/>
  <c r="N19" i="29"/>
  <c r="M20" i="29" s="1"/>
  <c r="O18" i="24"/>
  <c r="N19" i="24" s="1"/>
  <c r="O20" i="26"/>
  <c r="N20" i="31"/>
  <c r="M21" i="31" s="1"/>
  <c r="M20" i="32"/>
  <c r="N20" i="32" s="1"/>
  <c r="M21" i="30"/>
  <c r="N21" i="30" s="1"/>
  <c r="N27" i="37"/>
  <c r="M28" i="37" s="1"/>
  <c r="N28" i="37" s="1"/>
  <c r="M29" i="37" s="1"/>
  <c r="N29" i="37" s="1"/>
  <c r="M30" i="37" s="1"/>
  <c r="N30" i="37" s="1"/>
  <c r="M31" i="37" s="1"/>
  <c r="N31" i="37" s="1"/>
  <c r="M32" i="37" s="1"/>
  <c r="N32" i="37" s="1"/>
  <c r="M33" i="37" s="1"/>
  <c r="N33" i="37" s="1"/>
  <c r="M34" i="37" s="1"/>
  <c r="N34" i="37" s="1"/>
  <c r="M35" i="37" s="1"/>
  <c r="N35" i="37" s="1"/>
  <c r="M36" i="37" s="1"/>
  <c r="N36" i="37" s="1"/>
  <c r="M37" i="37" s="1"/>
  <c r="N37" i="37" s="1"/>
  <c r="M38" i="37" s="1"/>
  <c r="N38" i="37" s="1"/>
  <c r="M39" i="37" s="1"/>
  <c r="N39" i="37" s="1"/>
  <c r="M40" i="37" s="1"/>
  <c r="N27" i="40"/>
  <c r="O27" i="40" s="1"/>
  <c r="BU45" i="28"/>
  <c r="BU44" i="28"/>
  <c r="BU16" i="44"/>
  <c r="BU12" i="44"/>
  <c r="BU11" i="44"/>
  <c r="BU26" i="44"/>
  <c r="BU17" i="44"/>
  <c r="BU10" i="44"/>
  <c r="BU21" i="44"/>
  <c r="BU19" i="44"/>
  <c r="BU31" i="44"/>
  <c r="BU20" i="44"/>
  <c r="BU15" i="44"/>
  <c r="BU9" i="44"/>
  <c r="BU13" i="44"/>
  <c r="BU32" i="44"/>
  <c r="BU18" i="44"/>
  <c r="BU24" i="44"/>
  <c r="BU23" i="44"/>
  <c r="BU14" i="44"/>
  <c r="BU22" i="44"/>
  <c r="BU25" i="44"/>
  <c r="BU29" i="44"/>
  <c r="BU30" i="44"/>
  <c r="BU28" i="44"/>
  <c r="BU27" i="44"/>
  <c r="BU12" i="40"/>
  <c r="BU25" i="40"/>
  <c r="BU17" i="40"/>
  <c r="BU10" i="40"/>
  <c r="BU11" i="40"/>
  <c r="BU24" i="40"/>
  <c r="BU32" i="40"/>
  <c r="BU29" i="40"/>
  <c r="BU16" i="40"/>
  <c r="BU9" i="40"/>
  <c r="BU20" i="40"/>
  <c r="BU14" i="40"/>
  <c r="BU28" i="40"/>
  <c r="BU22" i="40"/>
  <c r="BU26" i="40"/>
  <c r="BU31" i="40"/>
  <c r="BU21" i="40"/>
  <c r="BU19" i="40"/>
  <c r="BU27" i="40"/>
  <c r="BU30" i="40"/>
  <c r="BU13" i="40"/>
  <c r="BU23" i="40"/>
  <c r="BU18" i="40"/>
  <c r="BU15" i="40"/>
  <c r="BT29" i="37"/>
  <c r="BT19" i="37"/>
  <c r="BT13" i="37"/>
  <c r="BT9" i="37"/>
  <c r="BT15" i="37"/>
  <c r="BT12" i="37"/>
  <c r="BT14" i="37"/>
  <c r="BT17" i="37"/>
  <c r="BT18" i="37"/>
  <c r="BT11" i="37"/>
  <c r="BT16" i="37"/>
  <c r="BT26" i="37"/>
  <c r="BT22" i="37"/>
  <c r="BT20" i="37"/>
  <c r="BT23" i="37"/>
  <c r="BT27" i="37"/>
  <c r="BT30" i="37"/>
  <c r="BT25" i="37"/>
  <c r="BT31" i="37"/>
  <c r="BT32" i="37"/>
  <c r="BT21" i="37"/>
  <c r="BT10" i="37"/>
  <c r="BT24" i="37"/>
  <c r="BT28" i="37"/>
  <c r="BU27" i="24"/>
  <c r="BU30" i="24"/>
  <c r="BU25" i="24"/>
  <c r="BU28" i="24"/>
  <c r="BU16" i="24"/>
  <c r="BU18" i="24"/>
  <c r="BU8" i="24"/>
  <c r="BU32" i="24"/>
  <c r="BU24" i="24"/>
  <c r="BU10" i="24"/>
  <c r="BU11" i="24"/>
  <c r="BU14" i="24"/>
  <c r="BU9" i="24"/>
  <c r="BU12" i="24"/>
  <c r="BU13" i="24"/>
  <c r="BU15" i="24"/>
  <c r="BU21" i="24"/>
  <c r="BU23" i="24"/>
  <c r="BU19" i="24"/>
  <c r="BU22" i="24"/>
  <c r="BU17" i="24"/>
  <c r="BU20" i="24"/>
  <c r="BU29" i="24"/>
  <c r="BU31" i="24"/>
  <c r="BU26" i="24"/>
  <c r="BU21" i="25"/>
  <c r="BU16" i="25"/>
  <c r="BU31" i="25"/>
  <c r="BU15" i="25"/>
  <c r="BU29" i="25"/>
  <c r="BU11" i="25"/>
  <c r="BU14" i="25"/>
  <c r="BU9" i="25"/>
  <c r="BU12" i="25"/>
  <c r="BU32" i="25"/>
  <c r="BU18" i="25"/>
  <c r="BU19" i="25"/>
  <c r="BU22" i="25"/>
  <c r="BU17" i="25"/>
  <c r="BU20" i="25"/>
  <c r="BU10" i="25"/>
  <c r="BU23" i="25"/>
  <c r="BU24" i="25"/>
  <c r="BU13" i="25"/>
  <c r="BU27" i="25"/>
  <c r="BU30" i="25"/>
  <c r="BU25" i="25"/>
  <c r="BU28" i="25"/>
  <c r="BU26" i="25"/>
  <c r="BU42" i="28"/>
  <c r="BU40" i="28"/>
  <c r="BU37" i="28"/>
  <c r="BU38" i="28"/>
  <c r="BU35" i="28"/>
  <c r="BU36" i="28"/>
  <c r="BU33" i="28"/>
  <c r="BU34" i="28"/>
  <c r="BU39" i="28"/>
  <c r="BU32" i="28"/>
  <c r="BU41" i="28"/>
  <c r="BU13" i="28"/>
  <c r="BU14" i="28"/>
  <c r="BU11" i="28"/>
  <c r="BU12" i="28"/>
  <c r="BU9" i="28"/>
  <c r="BU10" i="28"/>
  <c r="BU15" i="28"/>
  <c r="BU8" i="28"/>
  <c r="BU21" i="28"/>
  <c r="BU22" i="28"/>
  <c r="BU19" i="28"/>
  <c r="BU20" i="28"/>
  <c r="BU17" i="28"/>
  <c r="BU18" i="28"/>
  <c r="BU23" i="28"/>
  <c r="BU16" i="28"/>
  <c r="BU43" i="28"/>
  <c r="BU29" i="28"/>
  <c r="BU30" i="28"/>
  <c r="BU27" i="28"/>
  <c r="BU28" i="28"/>
  <c r="BU25" i="28"/>
  <c r="BU26" i="28"/>
  <c r="BU31" i="28"/>
  <c r="BU24" i="28"/>
  <c r="BT19" i="29"/>
  <c r="BT20" i="29"/>
  <c r="BT17" i="29"/>
  <c r="BT18" i="29"/>
  <c r="BT23" i="29"/>
  <c r="BT16" i="29"/>
  <c r="BT22" i="29"/>
  <c r="BT27" i="29"/>
  <c r="BT28" i="29"/>
  <c r="BT25" i="29"/>
  <c r="BT26" i="29"/>
  <c r="BT31" i="29"/>
  <c r="BT24" i="29"/>
  <c r="BT21" i="29"/>
  <c r="BT30" i="29"/>
  <c r="BT32" i="29"/>
  <c r="BT14" i="29"/>
  <c r="BT11" i="29"/>
  <c r="BT12" i="29"/>
  <c r="BT9" i="29"/>
  <c r="BT10" i="29"/>
  <c r="BT15" i="29"/>
  <c r="BT8" i="29"/>
  <c r="BT29" i="29"/>
  <c r="BT13" i="29"/>
  <c r="BT21" i="31"/>
  <c r="BT22" i="31"/>
  <c r="BT19" i="31"/>
  <c r="BT20" i="31"/>
  <c r="BT25" i="31"/>
  <c r="BT31" i="31"/>
  <c r="BT26" i="31"/>
  <c r="BT29" i="31"/>
  <c r="BT30" i="31"/>
  <c r="BT27" i="31"/>
  <c r="BT28" i="31"/>
  <c r="BT16" i="31"/>
  <c r="BT18" i="31"/>
  <c r="BT8" i="31"/>
  <c r="BT17" i="31"/>
  <c r="BT32" i="31"/>
  <c r="BT24" i="31"/>
  <c r="BT10" i="31"/>
  <c r="BT13" i="31"/>
  <c r="BT14" i="31"/>
  <c r="BT11" i="31"/>
  <c r="BT12" i="31"/>
  <c r="BT23" i="31"/>
  <c r="BT9" i="31"/>
  <c r="BT15" i="31"/>
  <c r="BU11" i="22"/>
  <c r="BU14" i="22"/>
  <c r="BU9" i="22"/>
  <c r="BU12" i="22"/>
  <c r="BU13" i="22"/>
  <c r="BU15" i="22"/>
  <c r="BU21" i="22"/>
  <c r="BU23" i="22"/>
  <c r="BU19" i="22"/>
  <c r="BU22" i="22"/>
  <c r="BU17" i="22"/>
  <c r="BU20" i="22"/>
  <c r="BU29" i="22"/>
  <c r="BU31" i="22"/>
  <c r="BU26" i="22"/>
  <c r="BU27" i="22"/>
  <c r="BU30" i="22"/>
  <c r="BU25" i="22"/>
  <c r="BU28" i="22"/>
  <c r="BU16" i="22"/>
  <c r="BU18" i="22"/>
  <c r="BU32" i="22"/>
  <c r="BU24" i="22"/>
  <c r="BU10" i="22"/>
  <c r="BT32" i="30"/>
  <c r="BT31" i="30"/>
  <c r="BT30" i="30"/>
  <c r="BT10" i="30"/>
  <c r="BT12" i="30"/>
  <c r="BT27" i="30"/>
  <c r="BT11" i="30"/>
  <c r="BT9" i="30"/>
  <c r="BT8" i="30"/>
  <c r="BT26" i="30"/>
  <c r="BT28" i="30"/>
  <c r="BT18" i="30"/>
  <c r="BT17" i="30"/>
  <c r="BT16" i="30"/>
  <c r="BT15" i="30"/>
  <c r="BT14" i="30"/>
  <c r="BT19" i="30"/>
  <c r="BT21" i="30"/>
  <c r="BT13" i="30"/>
  <c r="BT29" i="30"/>
  <c r="BT25" i="30"/>
  <c r="BT24" i="30"/>
  <c r="BT23" i="30"/>
  <c r="BT22" i="30"/>
  <c r="BT20" i="30"/>
  <c r="BU25" i="26"/>
  <c r="BU30" i="26"/>
  <c r="BU31" i="26"/>
  <c r="BU28" i="26"/>
  <c r="BU10" i="26"/>
  <c r="BU16" i="26"/>
  <c r="BU18" i="26"/>
  <c r="BU8" i="26"/>
  <c r="BU26" i="26"/>
  <c r="BU32" i="26"/>
  <c r="BU24" i="26"/>
  <c r="BU9" i="26"/>
  <c r="BU14" i="26"/>
  <c r="BU15" i="26"/>
  <c r="BU12" i="26"/>
  <c r="BU13" i="26"/>
  <c r="BU19" i="26"/>
  <c r="BU21" i="26"/>
  <c r="BU11" i="26"/>
  <c r="BU17" i="26"/>
  <c r="BU22" i="26"/>
  <c r="BU23" i="26"/>
  <c r="BU20" i="26"/>
  <c r="BU29" i="26"/>
  <c r="BU27" i="26"/>
  <c r="BU23" i="27"/>
  <c r="BU17" i="27"/>
  <c r="BU26" i="27"/>
  <c r="BU31" i="27"/>
  <c r="BU21" i="27"/>
  <c r="BU11" i="27"/>
  <c r="BU14" i="27"/>
  <c r="BU12" i="27"/>
  <c r="BU16" i="27"/>
  <c r="BU15" i="27"/>
  <c r="BU9" i="27"/>
  <c r="BU25" i="27"/>
  <c r="BU27" i="27"/>
  <c r="BU22" i="27"/>
  <c r="BU20" i="27"/>
  <c r="BU32" i="27"/>
  <c r="BU24" i="27"/>
  <c r="BU19" i="27"/>
  <c r="BU13" i="27"/>
  <c r="BU29" i="27"/>
  <c r="BU30" i="27"/>
  <c r="BU28" i="27"/>
  <c r="BU18" i="27"/>
  <c r="BU10" i="27"/>
  <c r="N50" i="27" l="1"/>
  <c r="O50" i="27" s="1"/>
  <c r="N51" i="27" s="1"/>
  <c r="O51" i="27" s="1"/>
  <c r="N52" i="27" s="1"/>
  <c r="O52" i="27" s="1"/>
  <c r="N53" i="27" s="1"/>
  <c r="O53" i="27" s="1"/>
  <c r="N40" i="37"/>
  <c r="M41" i="37" s="1"/>
  <c r="N41" i="37" s="1"/>
  <c r="M42" i="37" s="1"/>
  <c r="N42" i="37" s="1"/>
  <c r="M43" i="37" s="1"/>
  <c r="N43" i="37" s="1"/>
  <c r="M44" i="37" s="1"/>
  <c r="N44" i="37" s="1"/>
  <c r="M45" i="37" s="1"/>
  <c r="N20" i="29"/>
  <c r="O19" i="24"/>
  <c r="N20" i="24" s="1"/>
  <c r="O21" i="26"/>
  <c r="N21" i="31"/>
  <c r="M22" i="31" s="1"/>
  <c r="M21" i="32"/>
  <c r="N21" i="32" s="1"/>
  <c r="M22" i="30"/>
  <c r="N22" i="30" s="1"/>
  <c r="N28" i="40"/>
  <c r="O28" i="40" s="1"/>
  <c r="N29" i="40" s="1"/>
  <c r="O29" i="40" s="1"/>
  <c r="N30" i="40" s="1"/>
  <c r="O30" i="40" s="1"/>
  <c r="N31" i="40" s="1"/>
  <c r="O31" i="40" s="1"/>
  <c r="N32" i="40" s="1"/>
  <c r="O32" i="40" s="1"/>
  <c r="N33" i="40" s="1"/>
  <c r="O33" i="40" s="1"/>
  <c r="N34" i="40" s="1"/>
  <c r="O34" i="40" s="1"/>
  <c r="N35" i="40" s="1"/>
  <c r="O35" i="40" s="1"/>
  <c r="N36" i="40" s="1"/>
  <c r="O36" i="40" s="1"/>
  <c r="N37" i="40" s="1"/>
  <c r="O37" i="40" s="1"/>
  <c r="N38" i="40" s="1"/>
  <c r="O38" i="40" s="1"/>
  <c r="N39" i="40" s="1"/>
  <c r="O39" i="40" s="1"/>
  <c r="N40" i="40" s="1"/>
  <c r="O40" i="40" s="1"/>
  <c r="BV16" i="44"/>
  <c r="BV10" i="44"/>
  <c r="BV9" i="44"/>
  <c r="BV12" i="44"/>
  <c r="BV24" i="44"/>
  <c r="BV11" i="44"/>
  <c r="BV20" i="44"/>
  <c r="BV18" i="44"/>
  <c r="BV14" i="44"/>
  <c r="BV32" i="44"/>
  <c r="BV22" i="44"/>
  <c r="BV30" i="44"/>
  <c r="BV31" i="44"/>
  <c r="BV13" i="44"/>
  <c r="BV15" i="44"/>
  <c r="BV17" i="44"/>
  <c r="BV19" i="44"/>
  <c r="BV21" i="44"/>
  <c r="BV23" i="44"/>
  <c r="BV25" i="44"/>
  <c r="BV29" i="44"/>
  <c r="BV26" i="44"/>
  <c r="BV28" i="44"/>
  <c r="BV27" i="44"/>
  <c r="BV45" i="28"/>
  <c r="BV44" i="28"/>
  <c r="BV28" i="40"/>
  <c r="BV15" i="40"/>
  <c r="BV16" i="40"/>
  <c r="BV13" i="40"/>
  <c r="BV11" i="40"/>
  <c r="BV14" i="40"/>
  <c r="BV29" i="40"/>
  <c r="BV18" i="40"/>
  <c r="BV12" i="40"/>
  <c r="BV17" i="40"/>
  <c r="BV22" i="40"/>
  <c r="BV26" i="40"/>
  <c r="BV31" i="40"/>
  <c r="BV25" i="40"/>
  <c r="BV21" i="40"/>
  <c r="BV10" i="40"/>
  <c r="BV23" i="40"/>
  <c r="BV30" i="40"/>
  <c r="BV19" i="40"/>
  <c r="BV24" i="40"/>
  <c r="BV9" i="40"/>
  <c r="BV20" i="40"/>
  <c r="BV27" i="40"/>
  <c r="BV32" i="40"/>
  <c r="BU10" i="37"/>
  <c r="BU17" i="37"/>
  <c r="BU32" i="37"/>
  <c r="BU16" i="37"/>
  <c r="BU26" i="37"/>
  <c r="BU22" i="37"/>
  <c r="BU28" i="37"/>
  <c r="BU20" i="37"/>
  <c r="BU11" i="37"/>
  <c r="BU9" i="37"/>
  <c r="BU14" i="37"/>
  <c r="BU18" i="37"/>
  <c r="BU25" i="37"/>
  <c r="BU31" i="37"/>
  <c r="BU29" i="37"/>
  <c r="BU24" i="37"/>
  <c r="BU27" i="37"/>
  <c r="BU30" i="37"/>
  <c r="BU13" i="37"/>
  <c r="BU19" i="37"/>
  <c r="BU21" i="37"/>
  <c r="BU12" i="37"/>
  <c r="BU15" i="37"/>
  <c r="BU23" i="37"/>
  <c r="BV28" i="26"/>
  <c r="BV13" i="26"/>
  <c r="BV12" i="26"/>
  <c r="BV11" i="26"/>
  <c r="BV20" i="26"/>
  <c r="BV8" i="26"/>
  <c r="BV26" i="26"/>
  <c r="BV31" i="26"/>
  <c r="BV22" i="26"/>
  <c r="BV21" i="26"/>
  <c r="BV30" i="26"/>
  <c r="BV19" i="26"/>
  <c r="BV18" i="26"/>
  <c r="BV14" i="26"/>
  <c r="BV10" i="26"/>
  <c r="BV29" i="26"/>
  <c r="BV16" i="26"/>
  <c r="BV27" i="26"/>
  <c r="BV23" i="26"/>
  <c r="BV9" i="26"/>
  <c r="BV24" i="26"/>
  <c r="BV32" i="26"/>
  <c r="BV17" i="26"/>
  <c r="BV25" i="26"/>
  <c r="BV15" i="26"/>
  <c r="BV20" i="28"/>
  <c r="BV21" i="28"/>
  <c r="BV24" i="28"/>
  <c r="BV27" i="28"/>
  <c r="BV28" i="28"/>
  <c r="BV17" i="28"/>
  <c r="BV12" i="28"/>
  <c r="BV15" i="28"/>
  <c r="BV43" i="28"/>
  <c r="BV40" i="28"/>
  <c r="BV29" i="28"/>
  <c r="BV32" i="28"/>
  <c r="BV35" i="28"/>
  <c r="BV10" i="28"/>
  <c r="BV25" i="28"/>
  <c r="BV38" i="28"/>
  <c r="BV23" i="28"/>
  <c r="BV42" i="28"/>
  <c r="BV30" i="28"/>
  <c r="BV37" i="28"/>
  <c r="BV11" i="28"/>
  <c r="BV18" i="28"/>
  <c r="BV34" i="28"/>
  <c r="BV33" i="28"/>
  <c r="BV16" i="28"/>
  <c r="BV31" i="28"/>
  <c r="BV41" i="28"/>
  <c r="BV26" i="28"/>
  <c r="BV13" i="28"/>
  <c r="BV14" i="28"/>
  <c r="BV19" i="28"/>
  <c r="BV8" i="28"/>
  <c r="BV9" i="28"/>
  <c r="BV22" i="28"/>
  <c r="BV36" i="28"/>
  <c r="BV39" i="28"/>
  <c r="BV15" i="27"/>
  <c r="BV24" i="27"/>
  <c r="BV12" i="27"/>
  <c r="BV11" i="27"/>
  <c r="BV29" i="27"/>
  <c r="BV32" i="27"/>
  <c r="BV9" i="27"/>
  <c r="BV16" i="27"/>
  <c r="BV23" i="27"/>
  <c r="BV26" i="27"/>
  <c r="BV28" i="27"/>
  <c r="BV27" i="27"/>
  <c r="BV10" i="27"/>
  <c r="BV18" i="27"/>
  <c r="BV17" i="27"/>
  <c r="BV20" i="27"/>
  <c r="BV31" i="27"/>
  <c r="BV19" i="27"/>
  <c r="BV14" i="27"/>
  <c r="BV22" i="27"/>
  <c r="BV30" i="27"/>
  <c r="BV25" i="27"/>
  <c r="BV21" i="27"/>
  <c r="BV13" i="27"/>
  <c r="BV9" i="24"/>
  <c r="BV18" i="24"/>
  <c r="BV15" i="24"/>
  <c r="BV26" i="24"/>
  <c r="BV14" i="24"/>
  <c r="BV11" i="24"/>
  <c r="BV13" i="24"/>
  <c r="BV17" i="24"/>
  <c r="BV30" i="24"/>
  <c r="BV23" i="24"/>
  <c r="BV10" i="24"/>
  <c r="BV32" i="24"/>
  <c r="BV27" i="24"/>
  <c r="BV8" i="24"/>
  <c r="BV28" i="24"/>
  <c r="BV25" i="24"/>
  <c r="BV12" i="24"/>
  <c r="BV31" i="24"/>
  <c r="BV19" i="24"/>
  <c r="BV16" i="24"/>
  <c r="BV24" i="24"/>
  <c r="BV29" i="24"/>
  <c r="BV22" i="24"/>
  <c r="BV21" i="24"/>
  <c r="BV20" i="24"/>
  <c r="BV11" i="22"/>
  <c r="BV20" i="22"/>
  <c r="BV9" i="22"/>
  <c r="BV30" i="22"/>
  <c r="BV10" i="22"/>
  <c r="BV31" i="22"/>
  <c r="BV21" i="22"/>
  <c r="BV19" i="22"/>
  <c r="BV17" i="22"/>
  <c r="BV12" i="22"/>
  <c r="BV32" i="22"/>
  <c r="BV23" i="22"/>
  <c r="BV24" i="22"/>
  <c r="BV27" i="22"/>
  <c r="BV25" i="22"/>
  <c r="BV13" i="22"/>
  <c r="BV14" i="22"/>
  <c r="BV16" i="22"/>
  <c r="BV28" i="22"/>
  <c r="BV22" i="22"/>
  <c r="BV26" i="22"/>
  <c r="BV29" i="22"/>
  <c r="BV15" i="22"/>
  <c r="BV18" i="22"/>
  <c r="BV27" i="25"/>
  <c r="BV32" i="25"/>
  <c r="BV18" i="25"/>
  <c r="BV10" i="25"/>
  <c r="BV30" i="25"/>
  <c r="BV9" i="25"/>
  <c r="BV20" i="25"/>
  <c r="BV15" i="25"/>
  <c r="BV22" i="25"/>
  <c r="BV21" i="25"/>
  <c r="BV28" i="25"/>
  <c r="BV11" i="25"/>
  <c r="BV14" i="25"/>
  <c r="BV17" i="25"/>
  <c r="BV23" i="25"/>
  <c r="BV29" i="25"/>
  <c r="BV26" i="25"/>
  <c r="BV16" i="25"/>
  <c r="BV19" i="25"/>
  <c r="BV24" i="25"/>
  <c r="BV25" i="25"/>
  <c r="BV31" i="25"/>
  <c r="BV13" i="25"/>
  <c r="BV12" i="25"/>
  <c r="BU28" i="29"/>
  <c r="BU8" i="29"/>
  <c r="BU31" i="29"/>
  <c r="BU29" i="29"/>
  <c r="BU11" i="29"/>
  <c r="BU9" i="29"/>
  <c r="BU20" i="29"/>
  <c r="BU30" i="29"/>
  <c r="BU18" i="29"/>
  <c r="BU22" i="29"/>
  <c r="BU19" i="29"/>
  <c r="BU17" i="29"/>
  <c r="BU12" i="29"/>
  <c r="BU15" i="29"/>
  <c r="BU26" i="29"/>
  <c r="BU13" i="29"/>
  <c r="BU10" i="29"/>
  <c r="BU27" i="29"/>
  <c r="BU14" i="29"/>
  <c r="BU32" i="29"/>
  <c r="BU25" i="29"/>
  <c r="BU23" i="29"/>
  <c r="BU16" i="29"/>
  <c r="BU21" i="29"/>
  <c r="BU24" i="29"/>
  <c r="BU8" i="30"/>
  <c r="BU20" i="30"/>
  <c r="BU21" i="30"/>
  <c r="BU11" i="30"/>
  <c r="BU10" i="30"/>
  <c r="BU9" i="30"/>
  <c r="BU16" i="30"/>
  <c r="BU24" i="30"/>
  <c r="BU32" i="30"/>
  <c r="BU28" i="30"/>
  <c r="BU22" i="30"/>
  <c r="BU19" i="30"/>
  <c r="BU26" i="30"/>
  <c r="BU17" i="30"/>
  <c r="BU13" i="30"/>
  <c r="BU15" i="30"/>
  <c r="BU30" i="30"/>
  <c r="BU12" i="30"/>
  <c r="BU27" i="30"/>
  <c r="BU18" i="30"/>
  <c r="BU25" i="30"/>
  <c r="BU29" i="30"/>
  <c r="BU31" i="30"/>
  <c r="BU14" i="30"/>
  <c r="BU23" i="30"/>
  <c r="BU31" i="31"/>
  <c r="BU9" i="31"/>
  <c r="BU14" i="31"/>
  <c r="BU16" i="31"/>
  <c r="BU28" i="31"/>
  <c r="BU13" i="31"/>
  <c r="BU10" i="31"/>
  <c r="BU25" i="31"/>
  <c r="BU11" i="31"/>
  <c r="BU20" i="31"/>
  <c r="BU15" i="31"/>
  <c r="BU22" i="31"/>
  <c r="BU21" i="31"/>
  <c r="BU26" i="31"/>
  <c r="BU18" i="31"/>
  <c r="BU27" i="31"/>
  <c r="BU17" i="31"/>
  <c r="BU19" i="31"/>
  <c r="BU24" i="31"/>
  <c r="BU23" i="31"/>
  <c r="BU32" i="31"/>
  <c r="BU29" i="31"/>
  <c r="BU8" i="31"/>
  <c r="BU30" i="31"/>
  <c r="BU12" i="31"/>
  <c r="N41" i="40" l="1"/>
  <c r="O41" i="40" s="1"/>
  <c r="N42" i="40" s="1"/>
  <c r="O42" i="40" s="1"/>
  <c r="N43" i="40" s="1"/>
  <c r="O43" i="40" s="1"/>
  <c r="N44" i="40" s="1"/>
  <c r="O44" i="40" s="1"/>
  <c r="N45" i="40" s="1"/>
  <c r="O45" i="40" s="1"/>
  <c r="N45" i="37"/>
  <c r="M46" i="37" s="1"/>
  <c r="N46" i="37" s="1"/>
  <c r="M47" i="37" s="1"/>
  <c r="M22" i="32"/>
  <c r="N22" i="32" s="1"/>
  <c r="M21" i="29"/>
  <c r="N21" i="29" s="1"/>
  <c r="O20" i="24"/>
  <c r="N21" i="24" s="1"/>
  <c r="O22" i="26"/>
  <c r="N22" i="31"/>
  <c r="M23" i="31" s="1"/>
  <c r="M23" i="30"/>
  <c r="N23" i="30" s="1"/>
  <c r="BW44" i="28"/>
  <c r="BW45" i="28"/>
  <c r="BW10" i="44"/>
  <c r="BW27" i="44"/>
  <c r="BW11" i="44"/>
  <c r="BW29" i="44"/>
  <c r="BW23" i="44"/>
  <c r="BW14" i="44"/>
  <c r="BW12" i="44"/>
  <c r="BW17" i="44"/>
  <c r="BW25" i="44"/>
  <c r="BW32" i="44"/>
  <c r="BW16" i="44"/>
  <c r="BW18" i="44"/>
  <c r="BW21" i="44"/>
  <c r="BW31" i="44"/>
  <c r="BW19" i="44"/>
  <c r="BW9" i="44"/>
  <c r="BW13" i="44"/>
  <c r="BW15" i="44"/>
  <c r="BW20" i="44"/>
  <c r="BW30" i="44"/>
  <c r="BW28" i="44"/>
  <c r="BW24" i="44"/>
  <c r="BW26" i="44"/>
  <c r="BW22" i="44"/>
  <c r="BW20" i="40"/>
  <c r="BW15" i="40"/>
  <c r="BW12" i="40"/>
  <c r="BW19" i="40"/>
  <c r="BW13" i="40"/>
  <c r="BW21" i="40"/>
  <c r="BW25" i="40"/>
  <c r="BW10" i="40"/>
  <c r="BW14" i="40"/>
  <c r="BW24" i="40"/>
  <c r="BW16" i="40"/>
  <c r="BW30" i="40"/>
  <c r="BW17" i="40"/>
  <c r="BW27" i="40"/>
  <c r="BW18" i="40"/>
  <c r="BW26" i="40"/>
  <c r="BW28" i="40"/>
  <c r="BW11" i="40"/>
  <c r="BW23" i="40"/>
  <c r="BW32" i="40"/>
  <c r="BW29" i="40"/>
  <c r="BW9" i="40"/>
  <c r="BW31" i="40"/>
  <c r="BW22" i="40"/>
  <c r="BV13" i="37"/>
  <c r="BV17" i="37"/>
  <c r="BV25" i="37"/>
  <c r="BV18" i="37"/>
  <c r="BV27" i="37"/>
  <c r="BV14" i="37"/>
  <c r="BV31" i="37"/>
  <c r="BV10" i="37"/>
  <c r="BV9" i="37"/>
  <c r="BV15" i="37"/>
  <c r="BV24" i="37"/>
  <c r="BV29" i="37"/>
  <c r="BV12" i="37"/>
  <c r="BV21" i="37"/>
  <c r="BV26" i="37"/>
  <c r="BV23" i="37"/>
  <c r="BV20" i="37"/>
  <c r="BV22" i="37"/>
  <c r="BV32" i="37"/>
  <c r="BV30" i="37"/>
  <c r="BV11" i="37"/>
  <c r="BV19" i="37"/>
  <c r="BV16" i="37"/>
  <c r="BV28" i="37"/>
  <c r="BV16" i="29"/>
  <c r="BV9" i="29"/>
  <c r="BV14" i="29"/>
  <c r="BV15" i="29"/>
  <c r="BV12" i="29"/>
  <c r="BV13" i="29"/>
  <c r="BV18" i="29"/>
  <c r="BV26" i="29"/>
  <c r="BV24" i="29"/>
  <c r="BV17" i="29"/>
  <c r="BV22" i="29"/>
  <c r="BV23" i="29"/>
  <c r="BV20" i="29"/>
  <c r="BV21" i="29"/>
  <c r="BV11" i="29"/>
  <c r="BV19" i="29"/>
  <c r="BV32" i="29"/>
  <c r="BV25" i="29"/>
  <c r="BV30" i="29"/>
  <c r="BV31" i="29"/>
  <c r="BV28" i="29"/>
  <c r="BV29" i="29"/>
  <c r="BV10" i="29"/>
  <c r="BV8" i="29"/>
  <c r="BV27" i="29"/>
  <c r="BW16" i="24"/>
  <c r="BW11" i="24"/>
  <c r="BW14" i="24"/>
  <c r="BW9" i="24"/>
  <c r="BW18" i="24"/>
  <c r="BW20" i="24"/>
  <c r="BW26" i="24"/>
  <c r="BW28" i="24"/>
  <c r="BW24" i="24"/>
  <c r="BW19" i="24"/>
  <c r="BW22" i="24"/>
  <c r="BW17" i="24"/>
  <c r="BW13" i="24"/>
  <c r="BW12" i="24"/>
  <c r="BW32" i="24"/>
  <c r="BW27" i="24"/>
  <c r="BW30" i="24"/>
  <c r="BW25" i="24"/>
  <c r="BW21" i="24"/>
  <c r="BW23" i="24"/>
  <c r="BW29" i="24"/>
  <c r="BW31" i="24"/>
  <c r="BW8" i="24"/>
  <c r="BW10" i="24"/>
  <c r="BW15" i="24"/>
  <c r="BW41" i="28"/>
  <c r="BW10" i="28"/>
  <c r="BW11" i="28"/>
  <c r="BW8" i="28"/>
  <c r="BW40" i="28"/>
  <c r="BW33" i="28"/>
  <c r="BW38" i="28"/>
  <c r="BW12" i="28"/>
  <c r="BW13" i="28"/>
  <c r="BW18" i="28"/>
  <c r="BW19" i="28"/>
  <c r="BW16" i="28"/>
  <c r="BW9" i="28"/>
  <c r="BW14" i="28"/>
  <c r="BW15" i="28"/>
  <c r="BW20" i="28"/>
  <c r="BW21" i="28"/>
  <c r="BW43" i="28"/>
  <c r="BW26" i="28"/>
  <c r="BW27" i="28"/>
  <c r="BW24" i="28"/>
  <c r="BW17" i="28"/>
  <c r="BW22" i="28"/>
  <c r="BW23" i="28"/>
  <c r="BW28" i="28"/>
  <c r="BW29" i="28"/>
  <c r="BW42" i="28"/>
  <c r="BW39" i="28"/>
  <c r="BW34" i="28"/>
  <c r="BW35" i="28"/>
  <c r="BW32" i="28"/>
  <c r="BW25" i="28"/>
  <c r="BW30" i="28"/>
  <c r="BW31" i="28"/>
  <c r="BW36" i="28"/>
  <c r="BW37" i="28"/>
  <c r="BW30" i="27"/>
  <c r="BW27" i="27"/>
  <c r="BW24" i="27"/>
  <c r="BW17" i="27"/>
  <c r="BW28" i="27"/>
  <c r="BW13" i="27"/>
  <c r="BW15" i="27"/>
  <c r="BW32" i="27"/>
  <c r="BW25" i="27"/>
  <c r="BW21" i="27"/>
  <c r="BW23" i="27"/>
  <c r="BW29" i="27"/>
  <c r="BW31" i="27"/>
  <c r="BW14" i="27"/>
  <c r="BW11" i="27"/>
  <c r="BW20" i="27"/>
  <c r="BW10" i="27"/>
  <c r="BW22" i="27"/>
  <c r="BW19" i="27"/>
  <c r="BW16" i="27"/>
  <c r="BW9" i="27"/>
  <c r="BW12" i="27"/>
  <c r="BW18" i="27"/>
  <c r="BW26" i="27"/>
  <c r="BW24" i="25"/>
  <c r="BW19" i="25"/>
  <c r="BW22" i="25"/>
  <c r="BW17" i="25"/>
  <c r="BW31" i="25"/>
  <c r="BW12" i="25"/>
  <c r="BW29" i="25"/>
  <c r="BW10" i="25"/>
  <c r="BW13" i="25"/>
  <c r="BW32" i="25"/>
  <c r="BW27" i="25"/>
  <c r="BW30" i="25"/>
  <c r="BW25" i="25"/>
  <c r="BW20" i="25"/>
  <c r="BW15" i="25"/>
  <c r="BW18" i="25"/>
  <c r="BW21" i="25"/>
  <c r="BW23" i="25"/>
  <c r="BW26" i="25"/>
  <c r="BW16" i="25"/>
  <c r="BW11" i="25"/>
  <c r="BW14" i="25"/>
  <c r="BW9" i="25"/>
  <c r="BW28" i="25"/>
  <c r="BV10" i="31"/>
  <c r="BV11" i="31"/>
  <c r="BV8" i="31"/>
  <c r="BV20" i="31"/>
  <c r="BV22" i="31"/>
  <c r="BV18" i="31"/>
  <c r="BV19" i="31"/>
  <c r="BV16" i="31"/>
  <c r="BV9" i="31"/>
  <c r="BV12" i="31"/>
  <c r="BV14" i="31"/>
  <c r="BV15" i="31"/>
  <c r="BV26" i="31"/>
  <c r="BV27" i="31"/>
  <c r="BV24" i="31"/>
  <c r="BV17" i="31"/>
  <c r="BV28" i="31"/>
  <c r="BV30" i="31"/>
  <c r="BV13" i="31"/>
  <c r="BV32" i="31"/>
  <c r="BV25" i="31"/>
  <c r="BV21" i="31"/>
  <c r="BV23" i="31"/>
  <c r="BV29" i="31"/>
  <c r="BV31" i="31"/>
  <c r="BW16" i="22"/>
  <c r="BW11" i="22"/>
  <c r="BW14" i="22"/>
  <c r="BW9" i="22"/>
  <c r="BW18" i="22"/>
  <c r="BW20" i="22"/>
  <c r="BW26" i="22"/>
  <c r="BW28" i="22"/>
  <c r="BW24" i="22"/>
  <c r="BW19" i="22"/>
  <c r="BW22" i="22"/>
  <c r="BW17" i="22"/>
  <c r="BW13" i="22"/>
  <c r="BW12" i="22"/>
  <c r="BW32" i="22"/>
  <c r="BW27" i="22"/>
  <c r="BW30" i="22"/>
  <c r="BW25" i="22"/>
  <c r="BW21" i="22"/>
  <c r="BW23" i="22"/>
  <c r="BW29" i="22"/>
  <c r="BW31" i="22"/>
  <c r="BW10" i="22"/>
  <c r="BW15" i="22"/>
  <c r="BV30" i="30"/>
  <c r="BV29" i="30"/>
  <c r="BV28" i="30"/>
  <c r="BV27" i="30"/>
  <c r="BV26" i="30"/>
  <c r="BV25" i="30"/>
  <c r="BV23" i="30"/>
  <c r="BV15" i="30"/>
  <c r="BV17" i="30"/>
  <c r="BV16" i="30"/>
  <c r="BV32" i="30"/>
  <c r="BV14" i="30"/>
  <c r="BV13" i="30"/>
  <c r="BV12" i="30"/>
  <c r="BV11" i="30"/>
  <c r="BV8" i="30"/>
  <c r="BV31" i="30"/>
  <c r="BV18" i="30"/>
  <c r="BV22" i="30"/>
  <c r="BV21" i="30"/>
  <c r="BV20" i="30"/>
  <c r="BV19" i="30"/>
  <c r="BV24" i="30"/>
  <c r="BV10" i="30"/>
  <c r="BV9" i="30"/>
  <c r="BW30" i="26"/>
  <c r="BW27" i="26"/>
  <c r="BW28" i="26"/>
  <c r="BW25" i="26"/>
  <c r="BW15" i="26"/>
  <c r="BW26" i="26"/>
  <c r="BW13" i="26"/>
  <c r="BW31" i="26"/>
  <c r="BW21" i="26"/>
  <c r="BW23" i="26"/>
  <c r="BW29" i="26"/>
  <c r="BW14" i="26"/>
  <c r="BW11" i="26"/>
  <c r="BW12" i="26"/>
  <c r="BW9" i="26"/>
  <c r="BW18" i="26"/>
  <c r="BW8" i="26"/>
  <c r="BW16" i="26"/>
  <c r="BW22" i="26"/>
  <c r="BW19" i="26"/>
  <c r="BW20" i="26"/>
  <c r="BW17" i="26"/>
  <c r="BW24" i="26"/>
  <c r="BW10" i="26"/>
  <c r="BW32" i="26"/>
  <c r="N46" i="40" l="1"/>
  <c r="O46" i="40" s="1"/>
  <c r="N47" i="40" s="1"/>
  <c r="O47" i="40" s="1"/>
  <c r="N47" i="37"/>
  <c r="M48" i="37" s="1"/>
  <c r="M23" i="32"/>
  <c r="N23" i="32" s="1"/>
  <c r="M22" i="29"/>
  <c r="N22" i="29" s="1"/>
  <c r="M23" i="29" s="1"/>
  <c r="N23" i="29" s="1"/>
  <c r="M24" i="29" s="1"/>
  <c r="N24" i="29" s="1"/>
  <c r="M25" i="29" s="1"/>
  <c r="O21" i="24"/>
  <c r="N22" i="24" s="1"/>
  <c r="O23" i="26"/>
  <c r="N23" i="31"/>
  <c r="M24" i="31" s="1"/>
  <c r="M24" i="30"/>
  <c r="N24" i="30" s="1"/>
  <c r="BX45" i="28"/>
  <c r="BX44" i="28"/>
  <c r="BX31" i="44"/>
  <c r="BX13" i="44"/>
  <c r="BX9" i="44"/>
  <c r="BX29" i="44"/>
  <c r="BX19" i="44"/>
  <c r="BX25" i="44"/>
  <c r="BX21" i="44"/>
  <c r="BX23" i="44"/>
  <c r="BX17" i="44"/>
  <c r="BX11" i="44"/>
  <c r="BX10" i="44"/>
  <c r="BX32" i="44"/>
  <c r="BX16" i="44"/>
  <c r="BX14" i="44"/>
  <c r="BX22" i="44"/>
  <c r="BX26" i="44"/>
  <c r="BX30" i="44"/>
  <c r="BX28" i="44"/>
  <c r="BX15" i="44"/>
  <c r="BX20" i="44"/>
  <c r="BX12" i="44"/>
  <c r="BX27" i="44"/>
  <c r="BX24" i="44"/>
  <c r="BX18" i="44"/>
  <c r="BX29" i="40"/>
  <c r="BX12" i="40"/>
  <c r="BX9" i="40"/>
  <c r="BX11" i="40"/>
  <c r="BX17" i="40"/>
  <c r="BX24" i="40"/>
  <c r="BX30" i="40"/>
  <c r="BX31" i="40"/>
  <c r="BX28" i="40"/>
  <c r="BX26" i="40"/>
  <c r="BX21" i="40"/>
  <c r="BX14" i="40"/>
  <c r="BX13" i="40"/>
  <c r="BX15" i="40"/>
  <c r="BX32" i="40"/>
  <c r="BX25" i="40"/>
  <c r="BX10" i="40"/>
  <c r="BX16" i="40"/>
  <c r="BX23" i="40"/>
  <c r="BX22" i="40"/>
  <c r="BX27" i="40"/>
  <c r="BX19" i="40"/>
  <c r="BX18" i="40"/>
  <c r="BX20" i="40"/>
  <c r="BW24" i="37"/>
  <c r="BW12" i="37"/>
  <c r="BW16" i="37"/>
  <c r="BW18" i="37"/>
  <c r="BW10" i="37"/>
  <c r="BW17" i="37"/>
  <c r="BW14" i="37"/>
  <c r="BW13" i="37"/>
  <c r="BW25" i="37"/>
  <c r="BW31" i="37"/>
  <c r="BW28" i="37"/>
  <c r="BW30" i="37"/>
  <c r="BW21" i="37"/>
  <c r="BW9" i="37"/>
  <c r="BW23" i="37"/>
  <c r="BW22" i="37"/>
  <c r="BW26" i="37"/>
  <c r="BW11" i="37"/>
  <c r="BW15" i="37"/>
  <c r="BW20" i="37"/>
  <c r="BW19" i="37"/>
  <c r="BW27" i="37"/>
  <c r="BW32" i="37"/>
  <c r="BW29" i="37"/>
  <c r="BX23" i="22"/>
  <c r="BX27" i="22"/>
  <c r="BX17" i="22"/>
  <c r="BX20" i="22"/>
  <c r="BX26" i="22"/>
  <c r="BX31" i="22"/>
  <c r="BX16" i="22"/>
  <c r="BX14" i="22"/>
  <c r="BX25" i="22"/>
  <c r="BX28" i="22"/>
  <c r="BX11" i="22"/>
  <c r="BX13" i="22"/>
  <c r="BX24" i="22"/>
  <c r="BX22" i="22"/>
  <c r="BX18" i="22"/>
  <c r="BX9" i="22"/>
  <c r="BX12" i="22"/>
  <c r="BX15" i="22"/>
  <c r="BX19" i="22"/>
  <c r="BX29" i="22"/>
  <c r="BX32" i="22"/>
  <c r="BX30" i="22"/>
  <c r="BX10" i="22"/>
  <c r="BX21" i="22"/>
  <c r="BW13" i="31"/>
  <c r="BW12" i="31"/>
  <c r="BW27" i="31"/>
  <c r="BW26" i="31"/>
  <c r="BW30" i="31"/>
  <c r="BW22" i="31"/>
  <c r="BW9" i="31"/>
  <c r="BW29" i="31"/>
  <c r="BW31" i="31"/>
  <c r="BW20" i="31"/>
  <c r="BW21" i="31"/>
  <c r="BW24" i="31"/>
  <c r="BW25" i="31"/>
  <c r="BW23" i="31"/>
  <c r="BW19" i="31"/>
  <c r="BW28" i="31"/>
  <c r="BW10" i="31"/>
  <c r="BW11" i="31"/>
  <c r="BW16" i="31"/>
  <c r="BW15" i="31"/>
  <c r="BW17" i="31"/>
  <c r="BW18" i="31"/>
  <c r="BW14" i="31"/>
  <c r="BW32" i="31"/>
  <c r="BW8" i="31"/>
  <c r="BX23" i="25"/>
  <c r="BX17" i="25"/>
  <c r="BX32" i="25"/>
  <c r="BX10" i="25"/>
  <c r="BX15" i="25"/>
  <c r="BX21" i="25"/>
  <c r="BX27" i="25"/>
  <c r="BX25" i="25"/>
  <c r="BX14" i="25"/>
  <c r="BX12" i="25"/>
  <c r="BX19" i="25"/>
  <c r="BX9" i="25"/>
  <c r="BX29" i="25"/>
  <c r="BX16" i="25"/>
  <c r="BX22" i="25"/>
  <c r="BX20" i="25"/>
  <c r="BX26" i="25"/>
  <c r="BX31" i="25"/>
  <c r="BX11" i="25"/>
  <c r="BX13" i="25"/>
  <c r="BX24" i="25"/>
  <c r="BX30" i="25"/>
  <c r="BX28" i="25"/>
  <c r="BX18" i="25"/>
  <c r="BX11" i="26"/>
  <c r="BX21" i="26"/>
  <c r="BX27" i="26"/>
  <c r="BX10" i="26"/>
  <c r="BX32" i="26"/>
  <c r="BX28" i="26"/>
  <c r="BX20" i="26"/>
  <c r="BX9" i="26"/>
  <c r="BX25" i="26"/>
  <c r="BX18" i="26"/>
  <c r="BX8" i="26"/>
  <c r="BX22" i="26"/>
  <c r="BX14" i="26"/>
  <c r="BX23" i="26"/>
  <c r="BX13" i="26"/>
  <c r="BX29" i="26"/>
  <c r="BX19" i="26"/>
  <c r="BX26" i="26"/>
  <c r="BX16" i="26"/>
  <c r="BX30" i="26"/>
  <c r="BX17" i="26"/>
  <c r="BX31" i="26"/>
  <c r="BX24" i="26"/>
  <c r="BX12" i="26"/>
  <c r="BX15" i="26"/>
  <c r="BX43" i="28"/>
  <c r="BX27" i="28"/>
  <c r="BX19" i="28"/>
  <c r="BX21" i="28"/>
  <c r="BX33" i="28"/>
  <c r="BX26" i="28"/>
  <c r="BX24" i="28"/>
  <c r="BX30" i="28"/>
  <c r="BX28" i="28"/>
  <c r="BX42" i="28"/>
  <c r="BX40" i="28"/>
  <c r="BX9" i="28"/>
  <c r="BX31" i="28"/>
  <c r="BX37" i="28"/>
  <c r="BX29" i="28"/>
  <c r="BX34" i="28"/>
  <c r="BX32" i="28"/>
  <c r="BX38" i="28"/>
  <c r="BX36" i="28"/>
  <c r="BX41" i="28"/>
  <c r="BX11" i="28"/>
  <c r="BX25" i="28"/>
  <c r="BX39" i="28"/>
  <c r="BX35" i="28"/>
  <c r="BX10" i="28"/>
  <c r="BX8" i="28"/>
  <c r="BX14" i="28"/>
  <c r="BX12" i="28"/>
  <c r="BX23" i="28"/>
  <c r="BX15" i="28"/>
  <c r="BX17" i="28"/>
  <c r="BX13" i="28"/>
  <c r="BX18" i="28"/>
  <c r="BX16" i="28"/>
  <c r="BX22" i="28"/>
  <c r="BX20" i="28"/>
  <c r="BW22" i="29"/>
  <c r="BW9" i="29"/>
  <c r="BW28" i="29"/>
  <c r="BW16" i="29"/>
  <c r="BW21" i="29"/>
  <c r="BW19" i="29"/>
  <c r="BW30" i="29"/>
  <c r="BW29" i="29"/>
  <c r="BW10" i="29"/>
  <c r="BW24" i="29"/>
  <c r="BW32" i="29"/>
  <c r="BW15" i="29"/>
  <c r="BW25" i="29"/>
  <c r="BW12" i="29"/>
  <c r="BW18" i="29"/>
  <c r="BW11" i="29"/>
  <c r="BW8" i="29"/>
  <c r="BW31" i="29"/>
  <c r="BW23" i="29"/>
  <c r="BW14" i="29"/>
  <c r="BW27" i="29"/>
  <c r="BW20" i="29"/>
  <c r="BW13" i="29"/>
  <c r="BW26" i="29"/>
  <c r="BW17" i="29"/>
  <c r="BX11" i="24"/>
  <c r="BX29" i="24"/>
  <c r="BX21" i="24"/>
  <c r="BX23" i="24"/>
  <c r="BX30" i="24"/>
  <c r="BX20" i="24"/>
  <c r="BX24" i="24"/>
  <c r="BX32" i="24"/>
  <c r="BX15" i="24"/>
  <c r="BX19" i="24"/>
  <c r="BX25" i="24"/>
  <c r="BX28" i="24"/>
  <c r="BX10" i="24"/>
  <c r="BX27" i="24"/>
  <c r="BX14" i="24"/>
  <c r="BX26" i="24"/>
  <c r="BX18" i="24"/>
  <c r="BX13" i="24"/>
  <c r="BX31" i="24"/>
  <c r="BX17" i="24"/>
  <c r="BX9" i="24"/>
  <c r="BX22" i="24"/>
  <c r="BX12" i="24"/>
  <c r="BX8" i="24"/>
  <c r="BX16" i="24"/>
  <c r="BX21" i="27"/>
  <c r="BX26" i="27"/>
  <c r="BX31" i="27"/>
  <c r="BX15" i="27"/>
  <c r="BX9" i="27"/>
  <c r="BX14" i="27"/>
  <c r="BX12" i="27"/>
  <c r="BX16" i="27"/>
  <c r="BX25" i="27"/>
  <c r="BX11" i="27"/>
  <c r="BX19" i="27"/>
  <c r="BX17" i="27"/>
  <c r="BX22" i="27"/>
  <c r="BX20" i="27"/>
  <c r="BX24" i="27"/>
  <c r="BX32" i="27"/>
  <c r="BX29" i="27"/>
  <c r="BX27" i="27"/>
  <c r="BX23" i="27"/>
  <c r="BX13" i="27"/>
  <c r="BX30" i="27"/>
  <c r="BX28" i="27"/>
  <c r="BX10" i="27"/>
  <c r="BX18" i="27"/>
  <c r="BW17" i="30"/>
  <c r="BW8" i="30"/>
  <c r="BW21" i="30"/>
  <c r="BW22" i="30"/>
  <c r="BW29" i="30"/>
  <c r="BW20" i="30"/>
  <c r="BW19" i="30"/>
  <c r="BW16" i="30"/>
  <c r="BW11" i="30"/>
  <c r="BW30" i="30"/>
  <c r="BW15" i="30"/>
  <c r="BW18" i="30"/>
  <c r="BW12" i="30"/>
  <c r="BW9" i="30"/>
  <c r="BW23" i="30"/>
  <c r="BW24" i="30"/>
  <c r="BW27" i="30"/>
  <c r="BW31" i="30"/>
  <c r="BW28" i="30"/>
  <c r="BW26" i="30"/>
  <c r="BW25" i="30"/>
  <c r="BW32" i="30"/>
  <c r="BW14" i="30"/>
  <c r="BW13" i="30"/>
  <c r="BW10" i="30"/>
  <c r="N48" i="40" l="1"/>
  <c r="O48" i="40" s="1"/>
  <c r="N48" i="37"/>
  <c r="M49" i="37" s="1"/>
  <c r="N49" i="37" s="1"/>
  <c r="M50" i="37" s="1"/>
  <c r="N50" i="37" s="1"/>
  <c r="M51" i="37" s="1"/>
  <c r="N51" i="37" s="1"/>
  <c r="M52" i="37" s="1"/>
  <c r="N52" i="37" s="1"/>
  <c r="M53" i="37" s="1"/>
  <c r="N53" i="37" s="1"/>
  <c r="M24" i="32"/>
  <c r="N24" i="32" s="1"/>
  <c r="O22" i="24"/>
  <c r="N23" i="24" s="1"/>
  <c r="O24" i="26"/>
  <c r="N24" i="31"/>
  <c r="M25" i="31" s="1"/>
  <c r="M25" i="30"/>
  <c r="N25" i="30" s="1"/>
  <c r="N25" i="29"/>
  <c r="M26" i="29" s="1"/>
  <c r="BY45" i="28"/>
  <c r="BY44" i="28"/>
  <c r="BY14" i="44"/>
  <c r="BY28" i="44"/>
  <c r="BY17" i="44"/>
  <c r="BY31" i="44"/>
  <c r="BY23" i="44"/>
  <c r="BY16" i="44"/>
  <c r="BY15" i="44"/>
  <c r="BY30" i="44"/>
  <c r="BY21" i="44"/>
  <c r="BY24" i="44"/>
  <c r="BY9" i="44"/>
  <c r="BY19" i="44"/>
  <c r="BY26" i="44"/>
  <c r="BY20" i="44"/>
  <c r="BY11" i="44"/>
  <c r="BY32" i="44"/>
  <c r="BY29" i="44"/>
  <c r="BY12" i="44"/>
  <c r="BY10" i="44"/>
  <c r="BY13" i="44"/>
  <c r="BY18" i="44"/>
  <c r="BY22" i="44"/>
  <c r="BY25" i="44"/>
  <c r="BY27" i="44"/>
  <c r="BY29" i="40"/>
  <c r="BY25" i="40"/>
  <c r="BY12" i="40"/>
  <c r="BY19" i="40"/>
  <c r="BY15" i="40"/>
  <c r="BY18" i="40"/>
  <c r="BY14" i="40"/>
  <c r="BY28" i="40"/>
  <c r="BY20" i="40"/>
  <c r="BY10" i="40"/>
  <c r="BY11" i="40"/>
  <c r="BY24" i="40"/>
  <c r="BY26" i="40"/>
  <c r="BY31" i="40"/>
  <c r="BY16" i="40"/>
  <c r="BY9" i="40"/>
  <c r="BY23" i="40"/>
  <c r="BY27" i="40"/>
  <c r="BY30" i="40"/>
  <c r="BY13" i="40"/>
  <c r="BY17" i="40"/>
  <c r="BY32" i="40"/>
  <c r="BY21" i="40"/>
  <c r="BY22" i="40"/>
  <c r="BX15" i="37"/>
  <c r="BX29" i="37"/>
  <c r="BX22" i="37"/>
  <c r="BX14" i="37"/>
  <c r="BX17" i="37"/>
  <c r="BX18" i="37"/>
  <c r="BX26" i="37"/>
  <c r="BX13" i="37"/>
  <c r="BX11" i="37"/>
  <c r="BX9" i="37"/>
  <c r="BX12" i="37"/>
  <c r="BX20" i="37"/>
  <c r="BX23" i="37"/>
  <c r="BX16" i="37"/>
  <c r="BX19" i="37"/>
  <c r="BX10" i="37"/>
  <c r="BX25" i="37"/>
  <c r="BX24" i="37"/>
  <c r="BX31" i="37"/>
  <c r="BX28" i="37"/>
  <c r="BX21" i="37"/>
  <c r="BX30" i="37"/>
  <c r="BX32" i="37"/>
  <c r="BX27" i="37"/>
  <c r="BY32" i="26"/>
  <c r="BY26" i="26"/>
  <c r="BY28" i="26"/>
  <c r="BY11" i="26"/>
  <c r="BY8" i="26"/>
  <c r="BY9" i="26"/>
  <c r="BY14" i="26"/>
  <c r="BY23" i="26"/>
  <c r="BY13" i="26"/>
  <c r="BY15" i="26"/>
  <c r="BY21" i="26"/>
  <c r="BY19" i="26"/>
  <c r="BY16" i="26"/>
  <c r="BY17" i="26"/>
  <c r="BY22" i="26"/>
  <c r="BY29" i="26"/>
  <c r="BY31" i="26"/>
  <c r="BY27" i="26"/>
  <c r="BY24" i="26"/>
  <c r="BY25" i="26"/>
  <c r="BY30" i="26"/>
  <c r="BY20" i="26"/>
  <c r="BY10" i="26"/>
  <c r="BY12" i="26"/>
  <c r="BY18" i="26"/>
  <c r="BY21" i="22"/>
  <c r="BY16" i="22"/>
  <c r="BY19" i="22"/>
  <c r="BY22" i="22"/>
  <c r="BY25" i="22"/>
  <c r="BY31" i="22"/>
  <c r="BY20" i="22"/>
  <c r="BY29" i="22"/>
  <c r="BY24" i="22"/>
  <c r="BY27" i="22"/>
  <c r="BY30" i="22"/>
  <c r="BY10" i="22"/>
  <c r="BY12" i="22"/>
  <c r="BY18" i="22"/>
  <c r="BY32" i="22"/>
  <c r="BY26" i="22"/>
  <c r="BY28" i="22"/>
  <c r="BY17" i="22"/>
  <c r="BY13" i="22"/>
  <c r="BY11" i="22"/>
  <c r="BY14" i="22"/>
  <c r="BY23" i="22"/>
  <c r="BY9" i="22"/>
  <c r="BY15" i="22"/>
  <c r="BY43" i="28"/>
  <c r="BY31" i="28"/>
  <c r="BY24" i="28"/>
  <c r="BY29" i="28"/>
  <c r="BY30" i="28"/>
  <c r="BY27" i="28"/>
  <c r="BY28" i="28"/>
  <c r="BY25" i="28"/>
  <c r="BY26" i="28"/>
  <c r="BY42" i="28"/>
  <c r="BY40" i="28"/>
  <c r="BY39" i="28"/>
  <c r="BY32" i="28"/>
  <c r="BY37" i="28"/>
  <c r="BY38" i="28"/>
  <c r="BY35" i="28"/>
  <c r="BY36" i="28"/>
  <c r="BY33" i="28"/>
  <c r="BY34" i="28"/>
  <c r="BY41" i="28"/>
  <c r="BY15" i="28"/>
  <c r="BY8" i="28"/>
  <c r="BY13" i="28"/>
  <c r="BY14" i="28"/>
  <c r="BY11" i="28"/>
  <c r="BY12" i="28"/>
  <c r="BY9" i="28"/>
  <c r="BY10" i="28"/>
  <c r="BY23" i="28"/>
  <c r="BY16" i="28"/>
  <c r="BY21" i="28"/>
  <c r="BY22" i="28"/>
  <c r="BY19" i="28"/>
  <c r="BY20" i="28"/>
  <c r="BY17" i="28"/>
  <c r="BY18" i="28"/>
  <c r="BX25" i="29"/>
  <c r="BX26" i="29"/>
  <c r="BX31" i="29"/>
  <c r="BX16" i="29"/>
  <c r="BX13" i="29"/>
  <c r="BX14" i="29"/>
  <c r="BX11" i="29"/>
  <c r="BX12" i="29"/>
  <c r="BX24" i="29"/>
  <c r="BX23" i="29"/>
  <c r="BX21" i="29"/>
  <c r="BX22" i="29"/>
  <c r="BX19" i="29"/>
  <c r="BX20" i="29"/>
  <c r="BX9" i="29"/>
  <c r="BX10" i="29"/>
  <c r="BX15" i="29"/>
  <c r="BX29" i="29"/>
  <c r="BX30" i="29"/>
  <c r="BX27" i="29"/>
  <c r="BX28" i="29"/>
  <c r="BX17" i="29"/>
  <c r="BX18" i="29"/>
  <c r="BX32" i="29"/>
  <c r="BX8" i="29"/>
  <c r="BX27" i="30"/>
  <c r="BX26" i="30"/>
  <c r="BX25" i="30"/>
  <c r="BX24" i="30"/>
  <c r="BX29" i="30"/>
  <c r="BX31" i="30"/>
  <c r="BX14" i="30"/>
  <c r="BX30" i="30"/>
  <c r="BX32" i="30"/>
  <c r="BX20" i="30"/>
  <c r="BX22" i="30"/>
  <c r="BX21" i="30"/>
  <c r="BX11" i="30"/>
  <c r="BX10" i="30"/>
  <c r="BX9" i="30"/>
  <c r="BX8" i="30"/>
  <c r="BX28" i="30"/>
  <c r="BX12" i="30"/>
  <c r="BX19" i="30"/>
  <c r="BX18" i="30"/>
  <c r="BX17" i="30"/>
  <c r="BX16" i="30"/>
  <c r="BX13" i="30"/>
  <c r="BX15" i="30"/>
  <c r="BX23" i="30"/>
  <c r="BY29" i="24"/>
  <c r="BY24" i="24"/>
  <c r="BY27" i="24"/>
  <c r="BY30" i="24"/>
  <c r="BY10" i="24"/>
  <c r="BY12" i="24"/>
  <c r="BY18" i="24"/>
  <c r="BY32" i="24"/>
  <c r="BY26" i="24"/>
  <c r="BY28" i="24"/>
  <c r="BY17" i="24"/>
  <c r="BY13" i="24"/>
  <c r="BY8" i="24"/>
  <c r="BY11" i="24"/>
  <c r="BY14" i="24"/>
  <c r="BY23" i="24"/>
  <c r="BY9" i="24"/>
  <c r="BY15" i="24"/>
  <c r="BY21" i="24"/>
  <c r="BY16" i="24"/>
  <c r="BY19" i="24"/>
  <c r="BY22" i="24"/>
  <c r="BY25" i="24"/>
  <c r="BY31" i="24"/>
  <c r="BY20" i="24"/>
  <c r="BY23" i="25"/>
  <c r="BY18" i="25"/>
  <c r="BY32" i="25"/>
  <c r="BY9" i="25"/>
  <c r="BY28" i="25"/>
  <c r="BY31" i="25"/>
  <c r="BY13" i="25"/>
  <c r="BY11" i="25"/>
  <c r="BY14" i="25"/>
  <c r="BY17" i="25"/>
  <c r="BY12" i="25"/>
  <c r="BY25" i="25"/>
  <c r="BY21" i="25"/>
  <c r="BY16" i="25"/>
  <c r="BY19" i="25"/>
  <c r="BY22" i="25"/>
  <c r="BY20" i="25"/>
  <c r="BY26" i="25"/>
  <c r="BY15" i="25"/>
  <c r="BY10" i="25"/>
  <c r="BY29" i="25"/>
  <c r="BY24" i="25"/>
  <c r="BY27" i="25"/>
  <c r="BY30" i="25"/>
  <c r="BY31" i="27"/>
  <c r="BY21" i="27"/>
  <c r="BY15" i="27"/>
  <c r="BY19" i="27"/>
  <c r="BY32" i="27"/>
  <c r="BY28" i="27"/>
  <c r="BY11" i="27"/>
  <c r="BY9" i="27"/>
  <c r="BY25" i="27"/>
  <c r="BY23" i="27"/>
  <c r="BY14" i="27"/>
  <c r="BY10" i="27"/>
  <c r="BY18" i="27"/>
  <c r="BY27" i="27"/>
  <c r="BY13" i="27"/>
  <c r="BY16" i="27"/>
  <c r="BY22" i="27"/>
  <c r="BY26" i="27"/>
  <c r="BY17" i="27"/>
  <c r="BY29" i="27"/>
  <c r="BY24" i="27"/>
  <c r="BY30" i="27"/>
  <c r="BY12" i="27"/>
  <c r="BY20" i="27"/>
  <c r="BX15" i="31"/>
  <c r="BX8" i="31"/>
  <c r="BX13" i="31"/>
  <c r="BX14" i="31"/>
  <c r="BX17" i="31"/>
  <c r="BX19" i="31"/>
  <c r="BX9" i="31"/>
  <c r="BX23" i="31"/>
  <c r="BX16" i="31"/>
  <c r="BX21" i="31"/>
  <c r="BX22" i="31"/>
  <c r="BX25" i="31"/>
  <c r="BX27" i="31"/>
  <c r="BX31" i="31"/>
  <c r="BX24" i="31"/>
  <c r="BX29" i="31"/>
  <c r="BX30" i="31"/>
  <c r="BX10" i="31"/>
  <c r="BX12" i="31"/>
  <c r="BX18" i="31"/>
  <c r="BX20" i="31"/>
  <c r="BX32" i="31"/>
  <c r="BX26" i="31"/>
  <c r="BX28" i="31"/>
  <c r="BX11" i="31"/>
  <c r="N49" i="40" l="1"/>
  <c r="O49" i="40" s="1"/>
  <c r="N50" i="40" s="1"/>
  <c r="O50" i="40" s="1"/>
  <c r="N51" i="40" s="1"/>
  <c r="O51" i="40" s="1"/>
  <c r="N52" i="40" s="1"/>
  <c r="O52" i="40" s="1"/>
  <c r="N53" i="40" s="1"/>
  <c r="O53" i="40" s="1"/>
  <c r="O23" i="24"/>
  <c r="N24" i="24" s="1"/>
  <c r="O25" i="26"/>
  <c r="N25" i="31"/>
  <c r="M26" i="31" s="1"/>
  <c r="M25" i="32"/>
  <c r="N25" i="32" s="1"/>
  <c r="M26" i="30"/>
  <c r="N26" i="30" s="1"/>
  <c r="N26" i="29"/>
  <c r="M27" i="29" s="1"/>
  <c r="BZ25" i="44"/>
  <c r="BZ20" i="44"/>
  <c r="BZ12" i="44"/>
  <c r="BZ9" i="44"/>
  <c r="BZ16" i="44"/>
  <c r="BZ11" i="44"/>
  <c r="BZ10" i="44"/>
  <c r="BZ32" i="44"/>
  <c r="BZ26" i="44"/>
  <c r="BZ22" i="44"/>
  <c r="BZ13" i="44"/>
  <c r="BZ15" i="44"/>
  <c r="BZ17" i="44"/>
  <c r="BZ19" i="44"/>
  <c r="BZ21" i="44"/>
  <c r="BZ23" i="44"/>
  <c r="BZ14" i="44"/>
  <c r="BZ18" i="44"/>
  <c r="BZ24" i="44"/>
  <c r="BZ28" i="44"/>
  <c r="BZ30" i="44"/>
  <c r="BZ27" i="44"/>
  <c r="BZ29" i="44"/>
  <c r="BZ31" i="44"/>
  <c r="BZ45" i="28"/>
  <c r="BZ44" i="28"/>
  <c r="BZ14" i="40"/>
  <c r="BZ27" i="40"/>
  <c r="BZ10" i="40"/>
  <c r="BZ17" i="40"/>
  <c r="BZ23" i="40"/>
  <c r="BZ22" i="40"/>
  <c r="BZ26" i="40"/>
  <c r="BZ31" i="40"/>
  <c r="BZ9" i="40"/>
  <c r="BZ28" i="40"/>
  <c r="BZ18" i="40"/>
  <c r="BZ13" i="40"/>
  <c r="BZ30" i="40"/>
  <c r="BZ24" i="40"/>
  <c r="BZ11" i="40"/>
  <c r="BZ29" i="40"/>
  <c r="BZ21" i="40"/>
  <c r="BZ16" i="40"/>
  <c r="BZ19" i="40"/>
  <c r="BZ20" i="40"/>
  <c r="BZ32" i="40"/>
  <c r="BZ25" i="40"/>
  <c r="BZ15" i="40"/>
  <c r="BZ12" i="40"/>
  <c r="BY11" i="37"/>
  <c r="BY22" i="37"/>
  <c r="BY10" i="37"/>
  <c r="BY12" i="37"/>
  <c r="BY21" i="37"/>
  <c r="BY19" i="37"/>
  <c r="BY18" i="37"/>
  <c r="BY17" i="37"/>
  <c r="BY20" i="37"/>
  <c r="BY23" i="37"/>
  <c r="BY27" i="37"/>
  <c r="BY13" i="37"/>
  <c r="BY14" i="37"/>
  <c r="BY28" i="37"/>
  <c r="BY16" i="37"/>
  <c r="BY9" i="37"/>
  <c r="BY29" i="37"/>
  <c r="BY32" i="37"/>
  <c r="BY15" i="37"/>
  <c r="BY24" i="37"/>
  <c r="BY30" i="37"/>
  <c r="BY26" i="37"/>
  <c r="BY25" i="37"/>
  <c r="BY31" i="37"/>
  <c r="BZ42" i="28"/>
  <c r="BZ11" i="28"/>
  <c r="BZ37" i="28"/>
  <c r="BZ19" i="28"/>
  <c r="BZ9" i="28"/>
  <c r="BZ10" i="28"/>
  <c r="BZ8" i="28"/>
  <c r="BZ14" i="28"/>
  <c r="BZ12" i="28"/>
  <c r="BZ41" i="28"/>
  <c r="BZ15" i="28"/>
  <c r="BZ33" i="28"/>
  <c r="BZ23" i="28"/>
  <c r="BZ29" i="28"/>
  <c r="BZ18" i="28"/>
  <c r="BZ16" i="28"/>
  <c r="BZ22" i="28"/>
  <c r="BZ20" i="28"/>
  <c r="BZ31" i="28"/>
  <c r="BZ27" i="28"/>
  <c r="BZ35" i="28"/>
  <c r="BZ17" i="28"/>
  <c r="BZ26" i="28"/>
  <c r="BZ24" i="28"/>
  <c r="BZ30" i="28"/>
  <c r="BZ28" i="28"/>
  <c r="BZ43" i="28"/>
  <c r="BZ40" i="28"/>
  <c r="BZ13" i="28"/>
  <c r="BZ39" i="28"/>
  <c r="BZ21" i="28"/>
  <c r="BZ25" i="28"/>
  <c r="BZ34" i="28"/>
  <c r="BZ32" i="28"/>
  <c r="BZ38" i="28"/>
  <c r="BZ36" i="28"/>
  <c r="BY21" i="31"/>
  <c r="BY13" i="31"/>
  <c r="BY17" i="31"/>
  <c r="BY9" i="31"/>
  <c r="BY22" i="31"/>
  <c r="BY28" i="31"/>
  <c r="BY26" i="31"/>
  <c r="BY27" i="31"/>
  <c r="BY31" i="31"/>
  <c r="BY23" i="31"/>
  <c r="BY15" i="31"/>
  <c r="BY30" i="31"/>
  <c r="BY12" i="31"/>
  <c r="BY11" i="31"/>
  <c r="BY8" i="31"/>
  <c r="BY14" i="31"/>
  <c r="BY25" i="31"/>
  <c r="BY24" i="31"/>
  <c r="BY32" i="31"/>
  <c r="BY19" i="31"/>
  <c r="BY29" i="31"/>
  <c r="BY16" i="31"/>
  <c r="BY18" i="31"/>
  <c r="BY20" i="31"/>
  <c r="BY10" i="31"/>
  <c r="BY21" i="30"/>
  <c r="BY19" i="30"/>
  <c r="BY30" i="30"/>
  <c r="BY12" i="30"/>
  <c r="BY13" i="30"/>
  <c r="BY32" i="30"/>
  <c r="BY23" i="30"/>
  <c r="BY25" i="30"/>
  <c r="BY20" i="30"/>
  <c r="BY10" i="30"/>
  <c r="BY11" i="30"/>
  <c r="BY27" i="30"/>
  <c r="BY14" i="30"/>
  <c r="BY9" i="30"/>
  <c r="BY28" i="30"/>
  <c r="BY8" i="30"/>
  <c r="BY26" i="30"/>
  <c r="BY17" i="30"/>
  <c r="BY15" i="30"/>
  <c r="BY31" i="30"/>
  <c r="BY22" i="30"/>
  <c r="BY29" i="30"/>
  <c r="BY24" i="30"/>
  <c r="BY18" i="30"/>
  <c r="BY16" i="30"/>
  <c r="BZ31" i="24"/>
  <c r="BZ19" i="24"/>
  <c r="BZ29" i="24"/>
  <c r="BZ32" i="24"/>
  <c r="BZ28" i="24"/>
  <c r="BZ20" i="24"/>
  <c r="BZ13" i="24"/>
  <c r="BZ9" i="24"/>
  <c r="BZ27" i="24"/>
  <c r="BZ21" i="24"/>
  <c r="BZ8" i="24"/>
  <c r="BZ14" i="24"/>
  <c r="BZ10" i="24"/>
  <c r="BZ18" i="24"/>
  <c r="BZ15" i="24"/>
  <c r="BZ17" i="24"/>
  <c r="BZ16" i="24"/>
  <c r="BZ22" i="24"/>
  <c r="BZ26" i="24"/>
  <c r="BZ23" i="24"/>
  <c r="BZ11" i="24"/>
  <c r="BZ25" i="24"/>
  <c r="BZ24" i="24"/>
  <c r="BZ30" i="24"/>
  <c r="BZ12" i="24"/>
  <c r="BY23" i="29"/>
  <c r="BY18" i="29"/>
  <c r="BY21" i="29"/>
  <c r="BY32" i="29"/>
  <c r="BY30" i="29"/>
  <c r="BY28" i="29"/>
  <c r="BY11" i="29"/>
  <c r="BY27" i="29"/>
  <c r="BY17" i="29"/>
  <c r="BY26" i="29"/>
  <c r="BY8" i="29"/>
  <c r="BY25" i="29"/>
  <c r="BY12" i="29"/>
  <c r="BY13" i="29"/>
  <c r="BY15" i="29"/>
  <c r="BY31" i="29"/>
  <c r="BY16" i="29"/>
  <c r="BY14" i="29"/>
  <c r="BY20" i="29"/>
  <c r="BY19" i="29"/>
  <c r="BY10" i="29"/>
  <c r="BY9" i="29"/>
  <c r="BY24" i="29"/>
  <c r="BY22" i="29"/>
  <c r="BY29" i="29"/>
  <c r="BZ27" i="22"/>
  <c r="BZ13" i="22"/>
  <c r="BZ29" i="22"/>
  <c r="BZ32" i="22"/>
  <c r="BZ30" i="22"/>
  <c r="BZ12" i="22"/>
  <c r="BZ17" i="22"/>
  <c r="BZ15" i="22"/>
  <c r="BZ28" i="22"/>
  <c r="BZ20" i="22"/>
  <c r="BZ11" i="22"/>
  <c r="BZ21" i="22"/>
  <c r="BZ23" i="22"/>
  <c r="BZ16" i="22"/>
  <c r="BZ14" i="22"/>
  <c r="BZ10" i="22"/>
  <c r="BZ18" i="22"/>
  <c r="BZ19" i="22"/>
  <c r="BZ9" i="22"/>
  <c r="BZ25" i="22"/>
  <c r="BZ31" i="22"/>
  <c r="BZ24" i="22"/>
  <c r="BZ22" i="22"/>
  <c r="BZ26" i="22"/>
  <c r="BZ27" i="27"/>
  <c r="BZ15" i="27"/>
  <c r="BZ21" i="27"/>
  <c r="BZ22" i="27"/>
  <c r="BZ20" i="27"/>
  <c r="BZ24" i="27"/>
  <c r="BZ32" i="27"/>
  <c r="BZ31" i="27"/>
  <c r="BZ23" i="27"/>
  <c r="BZ25" i="27"/>
  <c r="BZ19" i="27"/>
  <c r="BZ30" i="27"/>
  <c r="BZ28" i="27"/>
  <c r="BZ10" i="27"/>
  <c r="BZ18" i="27"/>
  <c r="BZ13" i="27"/>
  <c r="BZ9" i="27"/>
  <c r="BZ26" i="27"/>
  <c r="BZ11" i="27"/>
  <c r="BZ17" i="27"/>
  <c r="BZ29" i="27"/>
  <c r="BZ14" i="27"/>
  <c r="BZ12" i="27"/>
  <c r="BZ16" i="27"/>
  <c r="BZ9" i="25"/>
  <c r="BZ11" i="25"/>
  <c r="BZ12" i="25"/>
  <c r="BZ31" i="25"/>
  <c r="BZ32" i="25"/>
  <c r="BZ30" i="25"/>
  <c r="BZ13" i="25"/>
  <c r="BZ21" i="25"/>
  <c r="BZ23" i="25"/>
  <c r="BZ20" i="25"/>
  <c r="BZ10" i="25"/>
  <c r="BZ14" i="25"/>
  <c r="BZ22" i="25"/>
  <c r="BZ25" i="25"/>
  <c r="BZ17" i="25"/>
  <c r="BZ15" i="25"/>
  <c r="BZ28" i="25"/>
  <c r="BZ18" i="25"/>
  <c r="BZ16" i="25"/>
  <c r="BZ19" i="25"/>
  <c r="BZ29" i="25"/>
  <c r="BZ27" i="25"/>
  <c r="BZ26" i="25"/>
  <c r="BZ24" i="25"/>
  <c r="BZ19" i="26"/>
  <c r="BZ31" i="26"/>
  <c r="BZ21" i="26"/>
  <c r="BZ17" i="26"/>
  <c r="BZ24" i="26"/>
  <c r="BZ30" i="26"/>
  <c r="BZ18" i="26"/>
  <c r="BZ10" i="26"/>
  <c r="BZ29" i="26"/>
  <c r="BZ25" i="26"/>
  <c r="BZ32" i="26"/>
  <c r="BZ26" i="26"/>
  <c r="BZ23" i="26"/>
  <c r="BZ11" i="26"/>
  <c r="BZ27" i="26"/>
  <c r="BZ8" i="26"/>
  <c r="BZ14" i="26"/>
  <c r="BZ12" i="26"/>
  <c r="BZ20" i="26"/>
  <c r="BZ15" i="26"/>
  <c r="BZ13" i="26"/>
  <c r="BZ9" i="26"/>
  <c r="BZ16" i="26"/>
  <c r="BZ22" i="26"/>
  <c r="BZ28" i="26"/>
  <c r="O24" i="24" l="1"/>
  <c r="N25" i="24" s="1"/>
  <c r="O26" i="26"/>
  <c r="N26" i="31"/>
  <c r="M27" i="31" s="1"/>
  <c r="M26" i="32"/>
  <c r="N26" i="32" s="1"/>
  <c r="M27" i="30"/>
  <c r="N27" i="30" s="1"/>
  <c r="N27" i="29"/>
  <c r="M28" i="29" s="1"/>
  <c r="CA9" i="44"/>
  <c r="CA13" i="44"/>
  <c r="CA18" i="44"/>
  <c r="CA20" i="44"/>
  <c r="CA12" i="44"/>
  <c r="CA22" i="44"/>
  <c r="CA11" i="44"/>
  <c r="CA10" i="44"/>
  <c r="CA31" i="44"/>
  <c r="CA17" i="44"/>
  <c r="CA14" i="44"/>
  <c r="CA19" i="44"/>
  <c r="CA25" i="44"/>
  <c r="CA24" i="44"/>
  <c r="CA27" i="44"/>
  <c r="CA23" i="44"/>
  <c r="CA15" i="44"/>
  <c r="CA16" i="44"/>
  <c r="CA21" i="44"/>
  <c r="CA26" i="44"/>
  <c r="CA29" i="44"/>
  <c r="CA28" i="44"/>
  <c r="CA32" i="44"/>
  <c r="CA30" i="44"/>
  <c r="CA44" i="28"/>
  <c r="CA45" i="28"/>
  <c r="CA14" i="40"/>
  <c r="CA26" i="40"/>
  <c r="CA11" i="40"/>
  <c r="CA30" i="40"/>
  <c r="CA29" i="40"/>
  <c r="CA17" i="40"/>
  <c r="CA15" i="40"/>
  <c r="CA27" i="40"/>
  <c r="CA12" i="40"/>
  <c r="CA13" i="40"/>
  <c r="CA19" i="40"/>
  <c r="CA21" i="40"/>
  <c r="CA25" i="40"/>
  <c r="CA32" i="40"/>
  <c r="CA22" i="40"/>
  <c r="CA16" i="40"/>
  <c r="CA23" i="40"/>
  <c r="CA31" i="40"/>
  <c r="CA20" i="40"/>
  <c r="CA18" i="40"/>
  <c r="CA28" i="40"/>
  <c r="CA9" i="40"/>
  <c r="CA24" i="40"/>
  <c r="CA10" i="40"/>
  <c r="BZ21" i="37"/>
  <c r="BZ25" i="37"/>
  <c r="BZ13" i="37"/>
  <c r="BZ9" i="37"/>
  <c r="BZ10" i="37"/>
  <c r="BZ31" i="37"/>
  <c r="BZ11" i="37"/>
  <c r="BZ19" i="37"/>
  <c r="BZ16" i="37"/>
  <c r="BZ27" i="37"/>
  <c r="BZ28" i="37"/>
  <c r="BZ14" i="37"/>
  <c r="BZ24" i="37"/>
  <c r="BZ29" i="37"/>
  <c r="BZ17" i="37"/>
  <c r="BZ18" i="37"/>
  <c r="BZ12" i="37"/>
  <c r="BZ26" i="37"/>
  <c r="BZ23" i="37"/>
  <c r="BZ15" i="37"/>
  <c r="BZ20" i="37"/>
  <c r="BZ22" i="37"/>
  <c r="BZ32" i="37"/>
  <c r="BZ30" i="37"/>
  <c r="BZ32" i="30"/>
  <c r="BZ25" i="30"/>
  <c r="BZ30" i="30"/>
  <c r="BZ31" i="30"/>
  <c r="BZ12" i="30"/>
  <c r="BZ18" i="30"/>
  <c r="BZ29" i="30"/>
  <c r="BZ11" i="30"/>
  <c r="BZ8" i="30"/>
  <c r="BZ13" i="30"/>
  <c r="BZ28" i="30"/>
  <c r="BZ21" i="30"/>
  <c r="BZ19" i="30"/>
  <c r="BZ16" i="30"/>
  <c r="BZ9" i="30"/>
  <c r="BZ14" i="30"/>
  <c r="BZ15" i="30"/>
  <c r="BZ10" i="30"/>
  <c r="BZ27" i="30"/>
  <c r="BZ24" i="30"/>
  <c r="BZ17" i="30"/>
  <c r="BZ22" i="30"/>
  <c r="BZ23" i="30"/>
  <c r="BZ26" i="30"/>
  <c r="BZ20" i="30"/>
  <c r="CA9" i="22"/>
  <c r="CA14" i="22"/>
  <c r="CA15" i="22"/>
  <c r="CA12" i="22"/>
  <c r="CA19" i="22"/>
  <c r="CA21" i="22"/>
  <c r="CA11" i="22"/>
  <c r="CA29" i="22"/>
  <c r="CA17" i="22"/>
  <c r="CA22" i="22"/>
  <c r="CA23" i="22"/>
  <c r="CA20" i="22"/>
  <c r="CA27" i="22"/>
  <c r="CA13" i="22"/>
  <c r="CA25" i="22"/>
  <c r="CA30" i="22"/>
  <c r="CA31" i="22"/>
  <c r="CA28" i="22"/>
  <c r="CA16" i="22"/>
  <c r="CA18" i="22"/>
  <c r="CA26" i="22"/>
  <c r="CA32" i="22"/>
  <c r="CA24" i="22"/>
  <c r="CA10" i="22"/>
  <c r="CA43" i="28"/>
  <c r="CA25" i="28"/>
  <c r="CA16" i="28"/>
  <c r="CA32" i="28"/>
  <c r="CA31" i="28"/>
  <c r="CA21" i="28"/>
  <c r="CA14" i="28"/>
  <c r="CA30" i="28"/>
  <c r="CA27" i="28"/>
  <c r="CA41" i="28"/>
  <c r="CA40" i="28"/>
  <c r="CA33" i="28"/>
  <c r="CA20" i="28"/>
  <c r="CA38" i="28"/>
  <c r="CA39" i="28"/>
  <c r="CA29" i="28"/>
  <c r="CA18" i="28"/>
  <c r="CA34" i="28"/>
  <c r="CA35" i="28"/>
  <c r="CA42" i="28"/>
  <c r="CA9" i="28"/>
  <c r="CA8" i="28"/>
  <c r="CA24" i="28"/>
  <c r="CA15" i="28"/>
  <c r="CA36" i="28"/>
  <c r="CA37" i="28"/>
  <c r="CA22" i="28"/>
  <c r="CA11" i="28"/>
  <c r="CA17" i="28"/>
  <c r="CA12" i="28"/>
  <c r="CA28" i="28"/>
  <c r="CA23" i="28"/>
  <c r="CA13" i="28"/>
  <c r="CA10" i="28"/>
  <c r="CA26" i="28"/>
  <c r="CA19" i="28"/>
  <c r="BZ25" i="29"/>
  <c r="BZ27" i="29"/>
  <c r="BZ15" i="29"/>
  <c r="BZ17" i="29"/>
  <c r="BZ26" i="29"/>
  <c r="BZ16" i="29"/>
  <c r="BZ22" i="29"/>
  <c r="BZ21" i="29"/>
  <c r="BZ23" i="29"/>
  <c r="BZ12" i="29"/>
  <c r="BZ24" i="29"/>
  <c r="BZ14" i="29"/>
  <c r="BZ11" i="29"/>
  <c r="BZ29" i="29"/>
  <c r="BZ31" i="29"/>
  <c r="BZ20" i="29"/>
  <c r="BZ10" i="29"/>
  <c r="BZ9" i="29"/>
  <c r="BZ32" i="29"/>
  <c r="BZ19" i="29"/>
  <c r="BZ28" i="29"/>
  <c r="BZ18" i="29"/>
  <c r="BZ8" i="29"/>
  <c r="BZ13" i="29"/>
  <c r="BZ30" i="29"/>
  <c r="CA21" i="25"/>
  <c r="CA16" i="25"/>
  <c r="CA19" i="25"/>
  <c r="CA22" i="25"/>
  <c r="CA17" i="25"/>
  <c r="CA20" i="25"/>
  <c r="CA10" i="25"/>
  <c r="CA26" i="25"/>
  <c r="CA29" i="25"/>
  <c r="CA24" i="25"/>
  <c r="CA27" i="25"/>
  <c r="CA30" i="25"/>
  <c r="CA25" i="25"/>
  <c r="CA28" i="25"/>
  <c r="CA31" i="25"/>
  <c r="CA15" i="25"/>
  <c r="CA32" i="25"/>
  <c r="CA18" i="25"/>
  <c r="CA13" i="25"/>
  <c r="CA11" i="25"/>
  <c r="CA14" i="25"/>
  <c r="CA9" i="25"/>
  <c r="CA12" i="25"/>
  <c r="CA23" i="25"/>
  <c r="CA15" i="27"/>
  <c r="CA14" i="27"/>
  <c r="CA13" i="27"/>
  <c r="CA12" i="27"/>
  <c r="CA17" i="27"/>
  <c r="CA19" i="27"/>
  <c r="CA9" i="27"/>
  <c r="CA11" i="27"/>
  <c r="CA23" i="27"/>
  <c r="CA22" i="27"/>
  <c r="CA21" i="27"/>
  <c r="CA20" i="27"/>
  <c r="CA25" i="27"/>
  <c r="CA27" i="27"/>
  <c r="CA31" i="27"/>
  <c r="CA30" i="27"/>
  <c r="CA29" i="27"/>
  <c r="CA28" i="27"/>
  <c r="CA16" i="27"/>
  <c r="CA18" i="27"/>
  <c r="CA10" i="27"/>
  <c r="CA32" i="27"/>
  <c r="CA24" i="27"/>
  <c r="CA26" i="27"/>
  <c r="BZ11" i="31"/>
  <c r="BZ9" i="31"/>
  <c r="BZ13" i="31"/>
  <c r="BZ18" i="31"/>
  <c r="BZ24" i="31"/>
  <c r="BZ12" i="31"/>
  <c r="BZ19" i="31"/>
  <c r="BZ17" i="31"/>
  <c r="BZ29" i="31"/>
  <c r="BZ22" i="31"/>
  <c r="BZ21" i="31"/>
  <c r="BZ32" i="31"/>
  <c r="BZ20" i="31"/>
  <c r="BZ27" i="31"/>
  <c r="BZ25" i="31"/>
  <c r="BZ10" i="31"/>
  <c r="BZ26" i="31"/>
  <c r="BZ15" i="31"/>
  <c r="BZ8" i="31"/>
  <c r="BZ23" i="31"/>
  <c r="BZ14" i="31"/>
  <c r="BZ30" i="31"/>
  <c r="BZ31" i="31"/>
  <c r="BZ16" i="31"/>
  <c r="BZ28" i="31"/>
  <c r="CA32" i="24"/>
  <c r="CA24" i="24"/>
  <c r="CA10" i="24"/>
  <c r="CA11" i="24"/>
  <c r="CA14" i="24"/>
  <c r="CA9" i="24"/>
  <c r="CA12" i="24"/>
  <c r="CA13" i="24"/>
  <c r="CA15" i="24"/>
  <c r="CA21" i="24"/>
  <c r="CA23" i="24"/>
  <c r="CA19" i="24"/>
  <c r="CA22" i="24"/>
  <c r="CA17" i="24"/>
  <c r="CA20" i="24"/>
  <c r="CA29" i="24"/>
  <c r="CA31" i="24"/>
  <c r="CA26" i="24"/>
  <c r="CA27" i="24"/>
  <c r="CA30" i="24"/>
  <c r="CA25" i="24"/>
  <c r="CA28" i="24"/>
  <c r="CA16" i="24"/>
  <c r="CA18" i="24"/>
  <c r="CA8" i="24"/>
  <c r="CA25" i="26"/>
  <c r="CA30" i="26"/>
  <c r="CA31" i="26"/>
  <c r="CA28" i="26"/>
  <c r="CA10" i="26"/>
  <c r="CA16" i="26"/>
  <c r="CA18" i="26"/>
  <c r="CA8" i="26"/>
  <c r="CA26" i="26"/>
  <c r="CA32" i="26"/>
  <c r="CA24" i="26"/>
  <c r="CA9" i="26"/>
  <c r="CA14" i="26"/>
  <c r="CA15" i="26"/>
  <c r="CA12" i="26"/>
  <c r="CA13" i="26"/>
  <c r="CA19" i="26"/>
  <c r="CA21" i="26"/>
  <c r="CA11" i="26"/>
  <c r="CA17" i="26"/>
  <c r="CA22" i="26"/>
  <c r="CA23" i="26"/>
  <c r="CA20" i="26"/>
  <c r="CA29" i="26"/>
  <c r="CA27" i="26"/>
  <c r="O25" i="24" l="1"/>
  <c r="O27" i="26"/>
  <c r="N27" i="31"/>
  <c r="M28" i="31" s="1"/>
  <c r="M27" i="32"/>
  <c r="N27" i="32" s="1"/>
  <c r="M28" i="30"/>
  <c r="N28" i="30" s="1"/>
  <c r="N28" i="29"/>
  <c r="M29" i="29" s="1"/>
  <c r="CB45" i="28"/>
  <c r="CB44" i="28"/>
  <c r="CB10" i="44"/>
  <c r="CB23" i="44"/>
  <c r="CB15" i="44"/>
  <c r="CB13" i="44"/>
  <c r="CB29" i="44"/>
  <c r="CB27" i="44"/>
  <c r="CB24" i="44"/>
  <c r="CB25" i="44"/>
  <c r="CB31" i="44"/>
  <c r="CB19" i="44"/>
  <c r="CB26" i="44"/>
  <c r="CB11" i="44"/>
  <c r="CB14" i="44"/>
  <c r="CB17" i="44"/>
  <c r="CB21" i="44"/>
  <c r="CB20" i="44"/>
  <c r="CB28" i="44"/>
  <c r="CB12" i="44"/>
  <c r="CB9" i="44"/>
  <c r="CB32" i="44"/>
  <c r="CB16" i="44"/>
  <c r="CB18" i="44"/>
  <c r="CB22" i="44"/>
  <c r="CB30" i="44"/>
  <c r="CB32" i="40"/>
  <c r="CB12" i="40"/>
  <c r="CB14" i="40"/>
  <c r="CB22" i="40"/>
  <c r="CB30" i="40"/>
  <c r="CB18" i="40"/>
  <c r="CB16" i="40"/>
  <c r="CB9" i="40"/>
  <c r="CB11" i="40"/>
  <c r="CB23" i="40"/>
  <c r="CB27" i="40"/>
  <c r="CB21" i="40"/>
  <c r="CB17" i="40"/>
  <c r="CB13" i="40"/>
  <c r="CB15" i="40"/>
  <c r="CB19" i="40"/>
  <c r="CB20" i="40"/>
  <c r="CB29" i="40"/>
  <c r="CB10" i="40"/>
  <c r="CB28" i="40"/>
  <c r="CB24" i="40"/>
  <c r="CB31" i="40"/>
  <c r="CB25" i="40"/>
  <c r="CB26" i="40"/>
  <c r="CA13" i="37"/>
  <c r="CA20" i="37"/>
  <c r="CA24" i="37"/>
  <c r="CA19" i="37"/>
  <c r="CA14" i="37"/>
  <c r="CA10" i="37"/>
  <c r="CA18" i="37"/>
  <c r="CA30" i="37"/>
  <c r="CA11" i="37"/>
  <c r="CA21" i="37"/>
  <c r="CA29" i="37"/>
  <c r="CA32" i="37"/>
  <c r="CA28" i="37"/>
  <c r="CA12" i="37"/>
  <c r="CA15" i="37"/>
  <c r="CA16" i="37"/>
  <c r="CA26" i="37"/>
  <c r="CA27" i="37"/>
  <c r="CA22" i="37"/>
  <c r="CA9" i="37"/>
  <c r="CA23" i="37"/>
  <c r="CA17" i="37"/>
  <c r="CA25" i="37"/>
  <c r="CA31" i="37"/>
  <c r="CA14" i="29"/>
  <c r="CA23" i="29"/>
  <c r="CA18" i="29"/>
  <c r="CA29" i="29"/>
  <c r="CA22" i="29"/>
  <c r="CA27" i="29"/>
  <c r="CA25" i="29"/>
  <c r="CA16" i="29"/>
  <c r="CA26" i="29"/>
  <c r="CA31" i="29"/>
  <c r="CA28" i="29"/>
  <c r="CA32" i="29"/>
  <c r="CA12" i="29"/>
  <c r="CA13" i="29"/>
  <c r="CA8" i="29"/>
  <c r="CA11" i="29"/>
  <c r="CA10" i="29"/>
  <c r="CA17" i="29"/>
  <c r="CA9" i="29"/>
  <c r="CA15" i="29"/>
  <c r="CA20" i="29"/>
  <c r="CA21" i="29"/>
  <c r="CA30" i="29"/>
  <c r="CA19" i="29"/>
  <c r="CA24" i="29"/>
  <c r="CA13" i="31"/>
  <c r="CA30" i="31"/>
  <c r="CA24" i="31"/>
  <c r="CA16" i="31"/>
  <c r="CA21" i="31"/>
  <c r="CA10" i="31"/>
  <c r="CA11" i="31"/>
  <c r="CA27" i="31"/>
  <c r="CA9" i="31"/>
  <c r="CA8" i="31"/>
  <c r="CA23" i="31"/>
  <c r="CA20" i="31"/>
  <c r="CA12" i="31"/>
  <c r="CA19" i="31"/>
  <c r="CA25" i="31"/>
  <c r="CA17" i="31"/>
  <c r="CA31" i="31"/>
  <c r="CA26" i="31"/>
  <c r="CA28" i="31"/>
  <c r="CA22" i="31"/>
  <c r="CA18" i="31"/>
  <c r="CA32" i="31"/>
  <c r="CA29" i="31"/>
  <c r="CA14" i="31"/>
  <c r="CA15" i="31"/>
  <c r="CB27" i="27"/>
  <c r="CB25" i="27"/>
  <c r="CB13" i="27"/>
  <c r="CB15" i="27"/>
  <c r="CB16" i="27"/>
  <c r="CB22" i="27"/>
  <c r="CB32" i="27"/>
  <c r="CB29" i="27"/>
  <c r="CB31" i="27"/>
  <c r="CB21" i="27"/>
  <c r="CB23" i="27"/>
  <c r="CB11" i="27"/>
  <c r="CB18" i="27"/>
  <c r="CB9" i="27"/>
  <c r="CB24" i="27"/>
  <c r="CB10" i="27"/>
  <c r="CB30" i="27"/>
  <c r="CB14" i="27"/>
  <c r="CB19" i="27"/>
  <c r="CB20" i="27"/>
  <c r="CB17" i="27"/>
  <c r="CB28" i="27"/>
  <c r="CB12" i="27"/>
  <c r="CB26" i="27"/>
  <c r="CB42" i="28"/>
  <c r="CB39" i="28"/>
  <c r="CB18" i="28"/>
  <c r="CB31" i="28"/>
  <c r="CB22" i="28"/>
  <c r="CB37" i="28"/>
  <c r="CB26" i="28"/>
  <c r="CB35" i="28"/>
  <c r="CB28" i="28"/>
  <c r="CB33" i="28"/>
  <c r="CB41" i="28"/>
  <c r="CB20" i="28"/>
  <c r="CB32" i="28"/>
  <c r="CB24" i="28"/>
  <c r="CB13" i="28"/>
  <c r="CB30" i="28"/>
  <c r="CB11" i="28"/>
  <c r="CB8" i="28"/>
  <c r="CB9" i="28"/>
  <c r="CB36" i="28"/>
  <c r="CB15" i="28"/>
  <c r="CB38" i="28"/>
  <c r="CB21" i="28"/>
  <c r="CB40" i="28"/>
  <c r="CB19" i="28"/>
  <c r="CB34" i="28"/>
  <c r="CB17" i="28"/>
  <c r="CB43" i="28"/>
  <c r="CB10" i="28"/>
  <c r="CB23" i="28"/>
  <c r="CB12" i="28"/>
  <c r="CB29" i="28"/>
  <c r="CB14" i="28"/>
  <c r="CB27" i="28"/>
  <c r="CB16" i="28"/>
  <c r="CB25" i="28"/>
  <c r="CA18" i="30"/>
  <c r="CA27" i="30"/>
  <c r="CA12" i="30"/>
  <c r="CA25" i="30"/>
  <c r="CA13" i="30"/>
  <c r="CA20" i="30"/>
  <c r="CA23" i="30"/>
  <c r="CA28" i="30"/>
  <c r="CA30" i="30"/>
  <c r="CA29" i="30"/>
  <c r="CA15" i="30"/>
  <c r="CA11" i="30"/>
  <c r="CA14" i="30"/>
  <c r="CA9" i="30"/>
  <c r="CA16" i="30"/>
  <c r="CA10" i="30"/>
  <c r="CA31" i="30"/>
  <c r="CA21" i="30"/>
  <c r="CA24" i="30"/>
  <c r="CA19" i="30"/>
  <c r="CA32" i="30"/>
  <c r="CA17" i="30"/>
  <c r="CA8" i="30"/>
  <c r="CA22" i="30"/>
  <c r="CA26" i="30"/>
  <c r="CB24" i="26"/>
  <c r="CB32" i="26"/>
  <c r="CB17" i="26"/>
  <c r="CB25" i="26"/>
  <c r="CB15" i="26"/>
  <c r="CB30" i="26"/>
  <c r="CB13" i="26"/>
  <c r="CB8" i="26"/>
  <c r="CB11" i="26"/>
  <c r="CB16" i="26"/>
  <c r="CB10" i="26"/>
  <c r="CB26" i="26"/>
  <c r="CB31" i="26"/>
  <c r="CB28" i="26"/>
  <c r="CB21" i="26"/>
  <c r="CB19" i="26"/>
  <c r="CB18" i="26"/>
  <c r="CB22" i="26"/>
  <c r="CB12" i="26"/>
  <c r="CB29" i="26"/>
  <c r="CB14" i="26"/>
  <c r="CB27" i="26"/>
  <c r="CB23" i="26"/>
  <c r="CB9" i="26"/>
  <c r="CB20" i="26"/>
  <c r="CB32" i="25"/>
  <c r="CB15" i="25"/>
  <c r="CB20" i="25"/>
  <c r="CB21" i="25"/>
  <c r="CB24" i="25"/>
  <c r="CB27" i="25"/>
  <c r="CB11" i="25"/>
  <c r="CB9" i="25"/>
  <c r="CB18" i="25"/>
  <c r="CB23" i="25"/>
  <c r="CB30" i="25"/>
  <c r="CB29" i="25"/>
  <c r="CB19" i="25"/>
  <c r="CB26" i="25"/>
  <c r="CB16" i="25"/>
  <c r="CB17" i="25"/>
  <c r="CB28" i="25"/>
  <c r="CB31" i="25"/>
  <c r="CB12" i="25"/>
  <c r="CB14" i="25"/>
  <c r="CB25" i="25"/>
  <c r="CB13" i="25"/>
  <c r="CB10" i="25"/>
  <c r="CB22" i="25"/>
  <c r="CB13" i="24"/>
  <c r="CB22" i="24"/>
  <c r="CB11" i="24"/>
  <c r="CB30" i="24"/>
  <c r="CB10" i="24"/>
  <c r="CB23" i="24"/>
  <c r="CB9" i="24"/>
  <c r="CB18" i="24"/>
  <c r="CB21" i="24"/>
  <c r="CB8" i="24"/>
  <c r="CB19" i="24"/>
  <c r="CB32" i="24"/>
  <c r="CB12" i="24"/>
  <c r="CB14" i="24"/>
  <c r="CB28" i="24"/>
  <c r="CB20" i="24"/>
  <c r="CB29" i="24"/>
  <c r="CB26" i="24"/>
  <c r="CB27" i="24"/>
  <c r="CB15" i="24"/>
  <c r="CB16" i="24"/>
  <c r="CB25" i="24"/>
  <c r="CB31" i="24"/>
  <c r="CB17" i="24"/>
  <c r="CB24" i="24"/>
  <c r="CB20" i="22"/>
  <c r="CB24" i="22"/>
  <c r="CB31" i="22"/>
  <c r="CB17" i="22"/>
  <c r="CB13" i="22"/>
  <c r="CB11" i="22"/>
  <c r="CB12" i="22"/>
  <c r="CB18" i="22"/>
  <c r="CB23" i="22"/>
  <c r="CB16" i="22"/>
  <c r="CB21" i="22"/>
  <c r="CB26" i="22"/>
  <c r="CB19" i="22"/>
  <c r="CB32" i="22"/>
  <c r="CB10" i="22"/>
  <c r="CB25" i="22"/>
  <c r="CB22" i="22"/>
  <c r="CB29" i="22"/>
  <c r="CB30" i="22"/>
  <c r="CB27" i="22"/>
  <c r="CB15" i="22"/>
  <c r="CB28" i="22"/>
  <c r="CB14" i="22"/>
  <c r="CB9" i="22"/>
  <c r="N26" i="24" l="1"/>
  <c r="O28" i="26"/>
  <c r="N28" i="31"/>
  <c r="M29" i="31" s="1"/>
  <c r="M28" i="32"/>
  <c r="N28" i="32" s="1"/>
  <c r="M29" i="30"/>
  <c r="N29" i="30" s="1"/>
  <c r="N29" i="29"/>
  <c r="M30" i="29" s="1"/>
  <c r="CC44" i="28"/>
  <c r="CC45" i="28"/>
  <c r="CC13" i="44"/>
  <c r="CC19" i="44"/>
  <c r="CC9" i="44"/>
  <c r="CC15" i="44"/>
  <c r="CC11" i="44"/>
  <c r="CC21" i="44"/>
  <c r="CC31" i="44"/>
  <c r="CC30" i="44"/>
  <c r="CC17" i="44"/>
  <c r="CC14" i="44"/>
  <c r="CC20" i="44"/>
  <c r="CC10" i="44"/>
  <c r="CC23" i="44"/>
  <c r="CC12" i="44"/>
  <c r="CC24" i="44"/>
  <c r="CC16" i="44"/>
  <c r="CC32" i="44"/>
  <c r="CC22" i="44"/>
  <c r="CC18" i="44"/>
  <c r="CC29" i="44"/>
  <c r="CC28" i="44"/>
  <c r="CC27" i="44"/>
  <c r="CC25" i="44"/>
  <c r="CC26" i="44"/>
  <c r="CC9" i="40"/>
  <c r="CC14" i="40"/>
  <c r="CC28" i="40"/>
  <c r="CC21" i="40"/>
  <c r="CC11" i="40"/>
  <c r="CC19" i="40"/>
  <c r="CC20" i="40"/>
  <c r="CC26" i="40"/>
  <c r="CC24" i="40"/>
  <c r="CC13" i="40"/>
  <c r="CC12" i="40"/>
  <c r="CC23" i="40"/>
  <c r="CC18" i="40"/>
  <c r="CC27" i="40"/>
  <c r="CC30" i="40"/>
  <c r="CC31" i="40"/>
  <c r="CC25" i="40"/>
  <c r="CC10" i="40"/>
  <c r="CC15" i="40"/>
  <c r="CC32" i="40"/>
  <c r="CC17" i="40"/>
  <c r="CC29" i="40"/>
  <c r="CC16" i="40"/>
  <c r="CC22" i="40"/>
  <c r="CB26" i="37"/>
  <c r="CB15" i="37"/>
  <c r="CB11" i="37"/>
  <c r="CB20" i="37"/>
  <c r="CB23" i="37"/>
  <c r="CB10" i="37"/>
  <c r="CB29" i="37"/>
  <c r="CB19" i="37"/>
  <c r="CB22" i="37"/>
  <c r="CB9" i="37"/>
  <c r="CB16" i="37"/>
  <c r="CB12" i="37"/>
  <c r="CB14" i="37"/>
  <c r="CB17" i="37"/>
  <c r="CB18" i="37"/>
  <c r="CB21" i="37"/>
  <c r="CB32" i="37"/>
  <c r="CB13" i="37"/>
  <c r="CB24" i="37"/>
  <c r="CB27" i="37"/>
  <c r="CB30" i="37"/>
  <c r="CB25" i="37"/>
  <c r="CB28" i="37"/>
  <c r="CB31" i="37"/>
  <c r="CC31" i="26"/>
  <c r="CC21" i="26"/>
  <c r="CC23" i="26"/>
  <c r="CC29" i="26"/>
  <c r="CC14" i="26"/>
  <c r="CC11" i="26"/>
  <c r="CC12" i="26"/>
  <c r="CC9" i="26"/>
  <c r="CC18" i="26"/>
  <c r="CC8" i="26"/>
  <c r="CC16" i="26"/>
  <c r="CC22" i="26"/>
  <c r="CC19" i="26"/>
  <c r="CC20" i="26"/>
  <c r="CC17" i="26"/>
  <c r="CC24" i="26"/>
  <c r="CC10" i="26"/>
  <c r="CC32" i="26"/>
  <c r="CC30" i="26"/>
  <c r="CC27" i="26"/>
  <c r="CC28" i="26"/>
  <c r="CC25" i="26"/>
  <c r="CC15" i="26"/>
  <c r="CC26" i="26"/>
  <c r="CC13" i="26"/>
  <c r="CB8" i="30"/>
  <c r="CB25" i="30"/>
  <c r="CB16" i="30"/>
  <c r="CB13" i="30"/>
  <c r="CB14" i="30"/>
  <c r="CB11" i="30"/>
  <c r="CB12" i="30"/>
  <c r="CB15" i="30"/>
  <c r="CB17" i="30"/>
  <c r="CB18" i="30"/>
  <c r="CB24" i="30"/>
  <c r="CB21" i="30"/>
  <c r="CB22" i="30"/>
  <c r="CB19" i="30"/>
  <c r="CB20" i="30"/>
  <c r="CB31" i="30"/>
  <c r="CB9" i="30"/>
  <c r="CB32" i="30"/>
  <c r="CB29" i="30"/>
  <c r="CB30" i="30"/>
  <c r="CB27" i="30"/>
  <c r="CB28" i="30"/>
  <c r="CB26" i="30"/>
  <c r="CB10" i="30"/>
  <c r="CB23" i="30"/>
  <c r="CC24" i="24"/>
  <c r="CC19" i="24"/>
  <c r="CC22" i="24"/>
  <c r="CC17" i="24"/>
  <c r="CC13" i="24"/>
  <c r="CC12" i="24"/>
  <c r="CC32" i="24"/>
  <c r="CC27" i="24"/>
  <c r="CC30" i="24"/>
  <c r="CC25" i="24"/>
  <c r="CC21" i="24"/>
  <c r="CC23" i="24"/>
  <c r="CC29" i="24"/>
  <c r="CC31" i="24"/>
  <c r="CC8" i="24"/>
  <c r="CC10" i="24"/>
  <c r="CC15" i="24"/>
  <c r="CC16" i="24"/>
  <c r="CC11" i="24"/>
  <c r="CC14" i="24"/>
  <c r="CC9" i="24"/>
  <c r="CC18" i="24"/>
  <c r="CC20" i="24"/>
  <c r="CC26" i="24"/>
  <c r="CC28" i="24"/>
  <c r="CC30" i="22"/>
  <c r="CC27" i="22"/>
  <c r="CC28" i="22"/>
  <c r="CC25" i="22"/>
  <c r="CC26" i="22"/>
  <c r="CC13" i="22"/>
  <c r="CC18" i="22"/>
  <c r="CC21" i="22"/>
  <c r="CC23" i="22"/>
  <c r="CC29" i="22"/>
  <c r="CC31" i="22"/>
  <c r="CC14" i="22"/>
  <c r="CC11" i="22"/>
  <c r="CC12" i="22"/>
  <c r="CC9" i="22"/>
  <c r="CC16" i="22"/>
  <c r="CC15" i="22"/>
  <c r="CC22" i="22"/>
  <c r="CC19" i="22"/>
  <c r="CC20" i="22"/>
  <c r="CC17" i="22"/>
  <c r="CC24" i="22"/>
  <c r="CC10" i="22"/>
  <c r="CC32" i="22"/>
  <c r="CC32" i="25"/>
  <c r="CC27" i="25"/>
  <c r="CC30" i="25"/>
  <c r="CC25" i="25"/>
  <c r="CC20" i="25"/>
  <c r="CC10" i="25"/>
  <c r="CC13" i="25"/>
  <c r="CC23" i="25"/>
  <c r="CC18" i="25"/>
  <c r="CC21" i="25"/>
  <c r="CC16" i="25"/>
  <c r="CC11" i="25"/>
  <c r="CC14" i="25"/>
  <c r="CC9" i="25"/>
  <c r="CC28" i="25"/>
  <c r="CC12" i="25"/>
  <c r="CC26" i="25"/>
  <c r="CC29" i="25"/>
  <c r="CC24" i="25"/>
  <c r="CC19" i="25"/>
  <c r="CC22" i="25"/>
  <c r="CC17" i="25"/>
  <c r="CC31" i="25"/>
  <c r="CC15" i="25"/>
  <c r="CB28" i="29"/>
  <c r="CB25" i="29"/>
  <c r="CB30" i="29"/>
  <c r="CB31" i="29"/>
  <c r="CB32" i="29"/>
  <c r="CB29" i="29"/>
  <c r="CB26" i="29"/>
  <c r="CB8" i="29"/>
  <c r="CB27" i="29"/>
  <c r="CB12" i="29"/>
  <c r="CB9" i="29"/>
  <c r="CB14" i="29"/>
  <c r="CB15" i="29"/>
  <c r="CB16" i="29"/>
  <c r="CB13" i="29"/>
  <c r="CB18" i="29"/>
  <c r="CB10" i="29"/>
  <c r="CB20" i="29"/>
  <c r="CB17" i="29"/>
  <c r="CB22" i="29"/>
  <c r="CB23" i="29"/>
  <c r="CB24" i="29"/>
  <c r="CB21" i="29"/>
  <c r="CB11" i="29"/>
  <c r="CB19" i="29"/>
  <c r="CC28" i="27"/>
  <c r="CC27" i="27"/>
  <c r="CC26" i="27"/>
  <c r="CC25" i="27"/>
  <c r="CC21" i="27"/>
  <c r="CC13" i="27"/>
  <c r="CC15" i="27"/>
  <c r="CC23" i="27"/>
  <c r="CC29" i="27"/>
  <c r="CC31" i="27"/>
  <c r="CC12" i="27"/>
  <c r="CC11" i="27"/>
  <c r="CC10" i="27"/>
  <c r="CC9" i="27"/>
  <c r="CC22" i="27"/>
  <c r="CC14" i="27"/>
  <c r="CC16" i="27"/>
  <c r="CC20" i="27"/>
  <c r="CC19" i="27"/>
  <c r="CC18" i="27"/>
  <c r="CC17" i="27"/>
  <c r="CC24" i="27"/>
  <c r="CC30" i="27"/>
  <c r="CC32" i="27"/>
  <c r="CB29" i="31"/>
  <c r="CB9" i="31"/>
  <c r="CB32" i="31"/>
  <c r="CB19" i="31"/>
  <c r="CB30" i="31"/>
  <c r="CB17" i="31"/>
  <c r="CB20" i="31"/>
  <c r="CB12" i="31"/>
  <c r="CB13" i="31"/>
  <c r="CB8" i="31"/>
  <c r="CB15" i="31"/>
  <c r="CB18" i="31"/>
  <c r="CB26" i="31"/>
  <c r="CB16" i="31"/>
  <c r="CB23" i="31"/>
  <c r="CB14" i="31"/>
  <c r="CB11" i="31"/>
  <c r="CB28" i="31"/>
  <c r="CB21" i="31"/>
  <c r="CB27" i="31"/>
  <c r="CB24" i="31"/>
  <c r="CB31" i="31"/>
  <c r="CB22" i="31"/>
  <c r="CB25" i="31"/>
  <c r="CB10" i="31"/>
  <c r="CC27" i="28"/>
  <c r="CC15" i="28"/>
  <c r="CC9" i="28"/>
  <c r="CC13" i="28"/>
  <c r="CC38" i="28"/>
  <c r="CC28" i="28"/>
  <c r="CC26" i="28"/>
  <c r="CC24" i="28"/>
  <c r="CC43" i="28"/>
  <c r="CC17" i="28"/>
  <c r="CC19" i="28"/>
  <c r="CC21" i="28"/>
  <c r="CC14" i="28"/>
  <c r="CC35" i="28"/>
  <c r="CC36" i="28"/>
  <c r="CC34" i="28"/>
  <c r="CC32" i="28"/>
  <c r="CC41" i="28"/>
  <c r="CC29" i="28"/>
  <c r="CC23" i="28"/>
  <c r="CC25" i="28"/>
  <c r="CC22" i="28"/>
  <c r="CC12" i="28"/>
  <c r="CC10" i="28"/>
  <c r="CC8" i="28"/>
  <c r="CC40" i="28"/>
  <c r="CC42" i="28"/>
  <c r="CC39" i="28"/>
  <c r="CC33" i="28"/>
  <c r="CC31" i="28"/>
  <c r="CC11" i="28"/>
  <c r="CC30" i="28"/>
  <c r="CC20" i="28"/>
  <c r="CC18" i="28"/>
  <c r="CC16" i="28"/>
  <c r="CC37" i="28"/>
  <c r="O26" i="24" l="1"/>
  <c r="N27" i="24" s="1"/>
  <c r="N29" i="31"/>
  <c r="M30" i="31" s="1"/>
  <c r="N30" i="31" s="1"/>
  <c r="M31" i="31" s="1"/>
  <c r="N31" i="31" s="1"/>
  <c r="M32" i="31" s="1"/>
  <c r="N32" i="31" s="1"/>
  <c r="M33" i="31" s="1"/>
  <c r="N33" i="31" s="1"/>
  <c r="M34" i="31" s="1"/>
  <c r="M29" i="32"/>
  <c r="N29" i="32" s="1"/>
  <c r="O29" i="26"/>
  <c r="M30" i="30"/>
  <c r="N30" i="30" s="1"/>
  <c r="N30" i="29"/>
  <c r="M31" i="29" s="1"/>
  <c r="CD44" i="28"/>
  <c r="CD45" i="28"/>
  <c r="CD17" i="44"/>
  <c r="CD13" i="44"/>
  <c r="CD21" i="44"/>
  <c r="CD15" i="44"/>
  <c r="CD12" i="44"/>
  <c r="CD14" i="44"/>
  <c r="CD16" i="44"/>
  <c r="CD11" i="44"/>
  <c r="CD22" i="44"/>
  <c r="CD9" i="44"/>
  <c r="CD18" i="44"/>
  <c r="CD10" i="44"/>
  <c r="CD32" i="44"/>
  <c r="CD25" i="44"/>
  <c r="CD26" i="44"/>
  <c r="CD19" i="44"/>
  <c r="CD24" i="44"/>
  <c r="CD31" i="44"/>
  <c r="CD20" i="44"/>
  <c r="CD23" i="44"/>
  <c r="CD29" i="44"/>
  <c r="CD30" i="44"/>
  <c r="CD28" i="44"/>
  <c r="CD27" i="44"/>
  <c r="CD28" i="40"/>
  <c r="CD15" i="40"/>
  <c r="CD12" i="40"/>
  <c r="CD9" i="40"/>
  <c r="CD30" i="40"/>
  <c r="CD29" i="40"/>
  <c r="CD21" i="40"/>
  <c r="CD18" i="40"/>
  <c r="CD11" i="40"/>
  <c r="CD23" i="40"/>
  <c r="CD19" i="40"/>
  <c r="CD32" i="40"/>
  <c r="CD25" i="40"/>
  <c r="CD10" i="40"/>
  <c r="CD13" i="40"/>
  <c r="CD27" i="40"/>
  <c r="CD24" i="40"/>
  <c r="CD20" i="40"/>
  <c r="CD17" i="40"/>
  <c r="CD22" i="40"/>
  <c r="CD31" i="40"/>
  <c r="CD16" i="40"/>
  <c r="CD26" i="40"/>
  <c r="CD14" i="40"/>
  <c r="CC10" i="37"/>
  <c r="CC9" i="37"/>
  <c r="CC20" i="37"/>
  <c r="CC14" i="37"/>
  <c r="CC16" i="37"/>
  <c r="CC11" i="37"/>
  <c r="CC32" i="37"/>
  <c r="CC17" i="37"/>
  <c r="CC22" i="37"/>
  <c r="CC13" i="37"/>
  <c r="CC26" i="37"/>
  <c r="CC15" i="37"/>
  <c r="CC12" i="37"/>
  <c r="CC18" i="37"/>
  <c r="CC21" i="37"/>
  <c r="CC23" i="37"/>
  <c r="CC28" i="37"/>
  <c r="CC25" i="37"/>
  <c r="CC31" i="37"/>
  <c r="CC29" i="37"/>
  <c r="CC19" i="37"/>
  <c r="CC24" i="37"/>
  <c r="CC27" i="37"/>
  <c r="CC30" i="37"/>
  <c r="CD11" i="24"/>
  <c r="CD25" i="24"/>
  <c r="CD13" i="24"/>
  <c r="CD31" i="24"/>
  <c r="CD24" i="24"/>
  <c r="CD22" i="24"/>
  <c r="CD30" i="24"/>
  <c r="CD19" i="24"/>
  <c r="CD29" i="24"/>
  <c r="CD10" i="24"/>
  <c r="CD32" i="24"/>
  <c r="CD14" i="24"/>
  <c r="CD17" i="24"/>
  <c r="CD23" i="24"/>
  <c r="CD21" i="24"/>
  <c r="CD15" i="24"/>
  <c r="CD18" i="24"/>
  <c r="CD8" i="24"/>
  <c r="CD20" i="24"/>
  <c r="CD12" i="24"/>
  <c r="CD27" i="24"/>
  <c r="CD9" i="24"/>
  <c r="CD26" i="24"/>
  <c r="CD16" i="24"/>
  <c r="CD28" i="24"/>
  <c r="CD13" i="22"/>
  <c r="CD29" i="22"/>
  <c r="CD31" i="22"/>
  <c r="CD18" i="22"/>
  <c r="CD16" i="22"/>
  <c r="CD28" i="22"/>
  <c r="CD17" i="22"/>
  <c r="CD11" i="22"/>
  <c r="CD26" i="22"/>
  <c r="CD24" i="22"/>
  <c r="CD22" i="22"/>
  <c r="CD30" i="22"/>
  <c r="CD21" i="22"/>
  <c r="CD15" i="22"/>
  <c r="CD19" i="22"/>
  <c r="CD32" i="22"/>
  <c r="CD14" i="22"/>
  <c r="CD9" i="22"/>
  <c r="CD25" i="22"/>
  <c r="CD23" i="22"/>
  <c r="CD27" i="22"/>
  <c r="CD10" i="22"/>
  <c r="CD20" i="22"/>
  <c r="CD12" i="22"/>
  <c r="CC31" i="31"/>
  <c r="CC18" i="31"/>
  <c r="CC16" i="31"/>
  <c r="CC12" i="31"/>
  <c r="CC14" i="31"/>
  <c r="CC13" i="31"/>
  <c r="CC17" i="31"/>
  <c r="CC29" i="31"/>
  <c r="CC23" i="31"/>
  <c r="CC24" i="31"/>
  <c r="CC22" i="31"/>
  <c r="CC26" i="31"/>
  <c r="CC25" i="31"/>
  <c r="CC9" i="31"/>
  <c r="CC19" i="31"/>
  <c r="CC11" i="31"/>
  <c r="CC21" i="31"/>
  <c r="CC32" i="31"/>
  <c r="CC30" i="31"/>
  <c r="CC20" i="31"/>
  <c r="CC28" i="31"/>
  <c r="CC15" i="31"/>
  <c r="CC10" i="31"/>
  <c r="CC8" i="31"/>
  <c r="CC27" i="31"/>
  <c r="CC19" i="30"/>
  <c r="CC11" i="30"/>
  <c r="CC32" i="30"/>
  <c r="CC22" i="30"/>
  <c r="CC29" i="30"/>
  <c r="CC10" i="30"/>
  <c r="CC23" i="30"/>
  <c r="CC27" i="30"/>
  <c r="CC8" i="30"/>
  <c r="CC9" i="30"/>
  <c r="CC30" i="30"/>
  <c r="CC18" i="30"/>
  <c r="CC28" i="30"/>
  <c r="CC31" i="30"/>
  <c r="CC16" i="30"/>
  <c r="CC25" i="30"/>
  <c r="CC12" i="30"/>
  <c r="CC15" i="30"/>
  <c r="CC21" i="30"/>
  <c r="CC24" i="30"/>
  <c r="CC14" i="30"/>
  <c r="CC13" i="30"/>
  <c r="CC20" i="30"/>
  <c r="CC17" i="30"/>
  <c r="CC26" i="30"/>
  <c r="CD13" i="25"/>
  <c r="CD11" i="25"/>
  <c r="CD22" i="25"/>
  <c r="CD20" i="25"/>
  <c r="CD18" i="25"/>
  <c r="CD16" i="25"/>
  <c r="CD17" i="25"/>
  <c r="CD27" i="25"/>
  <c r="CD31" i="25"/>
  <c r="CD30" i="25"/>
  <c r="CD28" i="25"/>
  <c r="CD26" i="25"/>
  <c r="CD19" i="25"/>
  <c r="CD25" i="25"/>
  <c r="CD23" i="25"/>
  <c r="CD32" i="25"/>
  <c r="CD21" i="25"/>
  <c r="CD9" i="25"/>
  <c r="CD29" i="25"/>
  <c r="CD15" i="25"/>
  <c r="CD14" i="25"/>
  <c r="CD12" i="25"/>
  <c r="CD10" i="25"/>
  <c r="CD24" i="25"/>
  <c r="CC23" i="29"/>
  <c r="CC19" i="29"/>
  <c r="CC12" i="29"/>
  <c r="CC13" i="29"/>
  <c r="CC18" i="29"/>
  <c r="CC29" i="29"/>
  <c r="CC32" i="29"/>
  <c r="CC31" i="29"/>
  <c r="CC9" i="29"/>
  <c r="CC20" i="29"/>
  <c r="CC27" i="29"/>
  <c r="CC26" i="29"/>
  <c r="CC8" i="29"/>
  <c r="CC21" i="29"/>
  <c r="CC25" i="29"/>
  <c r="CC28" i="29"/>
  <c r="CC16" i="29"/>
  <c r="CC22" i="29"/>
  <c r="CC15" i="29"/>
  <c r="CC11" i="29"/>
  <c r="CC10" i="29"/>
  <c r="CC17" i="29"/>
  <c r="CC24" i="29"/>
  <c r="CC14" i="29"/>
  <c r="CC30" i="29"/>
  <c r="CD27" i="27"/>
  <c r="CD23" i="27"/>
  <c r="CD9" i="27"/>
  <c r="CD32" i="27"/>
  <c r="CD28" i="27"/>
  <c r="CD25" i="27"/>
  <c r="CD19" i="27"/>
  <c r="CD14" i="27"/>
  <c r="CD18" i="27"/>
  <c r="CD10" i="27"/>
  <c r="CD29" i="27"/>
  <c r="CD13" i="27"/>
  <c r="CD31" i="27"/>
  <c r="CD16" i="27"/>
  <c r="CD22" i="27"/>
  <c r="CD26" i="27"/>
  <c r="CD11" i="27"/>
  <c r="CD15" i="27"/>
  <c r="CD21" i="27"/>
  <c r="CD17" i="27"/>
  <c r="CD24" i="27"/>
  <c r="CD30" i="27"/>
  <c r="CD20" i="27"/>
  <c r="CD12" i="27"/>
  <c r="CD13" i="26"/>
  <c r="CD27" i="26"/>
  <c r="CD32" i="26"/>
  <c r="CD12" i="26"/>
  <c r="CD20" i="26"/>
  <c r="CD29" i="26"/>
  <c r="CD15" i="26"/>
  <c r="CD19" i="26"/>
  <c r="CD10" i="26"/>
  <c r="CD8" i="26"/>
  <c r="CD22" i="26"/>
  <c r="CD28" i="26"/>
  <c r="CD11" i="26"/>
  <c r="CD17" i="26"/>
  <c r="CD31" i="26"/>
  <c r="CD18" i="26"/>
  <c r="CD16" i="26"/>
  <c r="CD14" i="26"/>
  <c r="CD23" i="26"/>
  <c r="CD21" i="26"/>
  <c r="CD25" i="26"/>
  <c r="CD26" i="26"/>
  <c r="CD24" i="26"/>
  <c r="CD9" i="26"/>
  <c r="CD30" i="26"/>
  <c r="CD41" i="28"/>
  <c r="CD27" i="28"/>
  <c r="CD35" i="28"/>
  <c r="CD21" i="28"/>
  <c r="CD29" i="28"/>
  <c r="CD36" i="28"/>
  <c r="CD34" i="28"/>
  <c r="CD24" i="28"/>
  <c r="CD30" i="28"/>
  <c r="CD42" i="28"/>
  <c r="CD40" i="28"/>
  <c r="CD39" i="28"/>
  <c r="CD15" i="28"/>
  <c r="CD37" i="28"/>
  <c r="CD12" i="28"/>
  <c r="CD10" i="28"/>
  <c r="CD9" i="28"/>
  <c r="CD32" i="28"/>
  <c r="CD38" i="28"/>
  <c r="CD11" i="28"/>
  <c r="CD13" i="28"/>
  <c r="CD19" i="28"/>
  <c r="CD17" i="28"/>
  <c r="CD20" i="28"/>
  <c r="CD18" i="28"/>
  <c r="CD8" i="28"/>
  <c r="CD14" i="28"/>
  <c r="CD43" i="28"/>
  <c r="CD23" i="28"/>
  <c r="CD25" i="28"/>
  <c r="CD31" i="28"/>
  <c r="CD33" i="28"/>
  <c r="CD28" i="28"/>
  <c r="CD26" i="28"/>
  <c r="CD16" i="28"/>
  <c r="CD22" i="28"/>
  <c r="N34" i="31" l="1"/>
  <c r="M35" i="31" s="1"/>
  <c r="N35" i="31" s="1"/>
  <c r="M36" i="31" s="1"/>
  <c r="N36" i="31" s="1"/>
  <c r="M37" i="31" s="1"/>
  <c r="N37" i="31" s="1"/>
  <c r="M38" i="31" s="1"/>
  <c r="N38" i="31" s="1"/>
  <c r="M39" i="31" s="1"/>
  <c r="N39" i="31" s="1"/>
  <c r="M40" i="31" s="1"/>
  <c r="O27" i="24"/>
  <c r="N28" i="24" s="1"/>
  <c r="M30" i="32"/>
  <c r="N30" i="32" s="1"/>
  <c r="M31" i="32" s="1"/>
  <c r="O30" i="26"/>
  <c r="M31" i="30"/>
  <c r="N31" i="30" s="1"/>
  <c r="N31" i="29"/>
  <c r="M32" i="29" s="1"/>
  <c r="CE45" i="28"/>
  <c r="CE44" i="28"/>
  <c r="CE11" i="44"/>
  <c r="CE19" i="44"/>
  <c r="CE29" i="44"/>
  <c r="CE9" i="44"/>
  <c r="CE15" i="44"/>
  <c r="CE10" i="44"/>
  <c r="CE16" i="44"/>
  <c r="CE13" i="44"/>
  <c r="CE21" i="44"/>
  <c r="CE31" i="44"/>
  <c r="CE17" i="44"/>
  <c r="CE14" i="44"/>
  <c r="CE22" i="44"/>
  <c r="CE20" i="44"/>
  <c r="CE23" i="44"/>
  <c r="CE27" i="44"/>
  <c r="CE12" i="44"/>
  <c r="CE25" i="44"/>
  <c r="CE32" i="44"/>
  <c r="CE18" i="44"/>
  <c r="CE26" i="44"/>
  <c r="CE30" i="44"/>
  <c r="CE24" i="44"/>
  <c r="CE28" i="44"/>
  <c r="CE9" i="40"/>
  <c r="CE17" i="40"/>
  <c r="CE21" i="40"/>
  <c r="CE18" i="40"/>
  <c r="CE25" i="40"/>
  <c r="CE22" i="40"/>
  <c r="CE30" i="40"/>
  <c r="CE29" i="40"/>
  <c r="CE28" i="40"/>
  <c r="CE10" i="40"/>
  <c r="CE12" i="40"/>
  <c r="CE11" i="40"/>
  <c r="CE19" i="40"/>
  <c r="CE27" i="40"/>
  <c r="CE31" i="40"/>
  <c r="CE32" i="40"/>
  <c r="CE13" i="40"/>
  <c r="CE15" i="40"/>
  <c r="CE23" i="40"/>
  <c r="CE24" i="40"/>
  <c r="CE20" i="40"/>
  <c r="CE16" i="40"/>
  <c r="CE26" i="40"/>
  <c r="CE14" i="40"/>
  <c r="CD27" i="37"/>
  <c r="CD18" i="37"/>
  <c r="CD17" i="37"/>
  <c r="CD20" i="37"/>
  <c r="CD11" i="37"/>
  <c r="CD9" i="37"/>
  <c r="CD10" i="37"/>
  <c r="CD13" i="37"/>
  <c r="CD21" i="37"/>
  <c r="CD23" i="37"/>
  <c r="CD22" i="37"/>
  <c r="CD32" i="37"/>
  <c r="CD12" i="37"/>
  <c r="CD19" i="37"/>
  <c r="CD30" i="37"/>
  <c r="CD28" i="37"/>
  <c r="CD14" i="37"/>
  <c r="CD16" i="37"/>
  <c r="CD15" i="37"/>
  <c r="CD29" i="37"/>
  <c r="CD24" i="37"/>
  <c r="CD25" i="37"/>
  <c r="CD26" i="37"/>
  <c r="CD31" i="37"/>
  <c r="CD21" i="31"/>
  <c r="CD11" i="31"/>
  <c r="CD23" i="31"/>
  <c r="CD10" i="31"/>
  <c r="CD26" i="31"/>
  <c r="CD17" i="31"/>
  <c r="CD16" i="31"/>
  <c r="CD29" i="31"/>
  <c r="CD19" i="31"/>
  <c r="CD14" i="31"/>
  <c r="CD30" i="31"/>
  <c r="CD12" i="31"/>
  <c r="CD31" i="31"/>
  <c r="CD24" i="31"/>
  <c r="CD27" i="31"/>
  <c r="CD9" i="31"/>
  <c r="CD18" i="31"/>
  <c r="CD20" i="31"/>
  <c r="CD32" i="31"/>
  <c r="CD13" i="31"/>
  <c r="CD25" i="31"/>
  <c r="CD22" i="31"/>
  <c r="CD28" i="31"/>
  <c r="CD8" i="31"/>
  <c r="CD15" i="31"/>
  <c r="CE32" i="27"/>
  <c r="CE26" i="27"/>
  <c r="CE28" i="27"/>
  <c r="CE9" i="27"/>
  <c r="CE15" i="27"/>
  <c r="CE14" i="27"/>
  <c r="CE11" i="27"/>
  <c r="CE13" i="27"/>
  <c r="CE19" i="27"/>
  <c r="CE21" i="27"/>
  <c r="CE17" i="27"/>
  <c r="CE16" i="27"/>
  <c r="CE23" i="27"/>
  <c r="CE22" i="27"/>
  <c r="CE27" i="27"/>
  <c r="CE29" i="27"/>
  <c r="CE25" i="27"/>
  <c r="CE24" i="27"/>
  <c r="CE31" i="27"/>
  <c r="CE30" i="27"/>
  <c r="CE10" i="27"/>
  <c r="CE12" i="27"/>
  <c r="CE18" i="27"/>
  <c r="CE20" i="27"/>
  <c r="CE11" i="26"/>
  <c r="CE8" i="26"/>
  <c r="CE9" i="26"/>
  <c r="CE14" i="26"/>
  <c r="CE23" i="26"/>
  <c r="CE13" i="26"/>
  <c r="CE15" i="26"/>
  <c r="CE21" i="26"/>
  <c r="CE19" i="26"/>
  <c r="CE16" i="26"/>
  <c r="CE17" i="26"/>
  <c r="CE22" i="26"/>
  <c r="CE29" i="26"/>
  <c r="CE31" i="26"/>
  <c r="CE27" i="26"/>
  <c r="CE24" i="26"/>
  <c r="CE25" i="26"/>
  <c r="CE30" i="26"/>
  <c r="CE20" i="26"/>
  <c r="CE10" i="26"/>
  <c r="CE12" i="26"/>
  <c r="CE18" i="26"/>
  <c r="CE32" i="26"/>
  <c r="CE26" i="26"/>
  <c r="CE28" i="26"/>
  <c r="CE29" i="24"/>
  <c r="CE24" i="24"/>
  <c r="CE27" i="24"/>
  <c r="CE30" i="24"/>
  <c r="CE10" i="24"/>
  <c r="CE12" i="24"/>
  <c r="CE18" i="24"/>
  <c r="CE32" i="24"/>
  <c r="CE26" i="24"/>
  <c r="CE28" i="24"/>
  <c r="CE17" i="24"/>
  <c r="CE13" i="24"/>
  <c r="CE8" i="24"/>
  <c r="CE11" i="24"/>
  <c r="CE14" i="24"/>
  <c r="CE23" i="24"/>
  <c r="CE9" i="24"/>
  <c r="CE15" i="24"/>
  <c r="CE21" i="24"/>
  <c r="CE16" i="24"/>
  <c r="CE19" i="24"/>
  <c r="CE22" i="24"/>
  <c r="CE25" i="24"/>
  <c r="CE31" i="24"/>
  <c r="CE20" i="24"/>
  <c r="CE31" i="25"/>
  <c r="CE26" i="25"/>
  <c r="CE29" i="25"/>
  <c r="CE24" i="25"/>
  <c r="CE27" i="25"/>
  <c r="CE30" i="25"/>
  <c r="CE9" i="25"/>
  <c r="CE25" i="25"/>
  <c r="CE32" i="25"/>
  <c r="CE12" i="25"/>
  <c r="CE28" i="25"/>
  <c r="CE15" i="25"/>
  <c r="CE10" i="25"/>
  <c r="CE13" i="25"/>
  <c r="CE11" i="25"/>
  <c r="CE14" i="25"/>
  <c r="CE17" i="25"/>
  <c r="CE23" i="25"/>
  <c r="CE18" i="25"/>
  <c r="CE21" i="25"/>
  <c r="CE16" i="25"/>
  <c r="CE19" i="25"/>
  <c r="CE22" i="25"/>
  <c r="CE20" i="25"/>
  <c r="CE27" i="28"/>
  <c r="CE25" i="28"/>
  <c r="CE16" i="28"/>
  <c r="CE32" i="28"/>
  <c r="CE31" i="28"/>
  <c r="CE21" i="28"/>
  <c r="CE14" i="28"/>
  <c r="CE30" i="28"/>
  <c r="CE43" i="28"/>
  <c r="CE40" i="28"/>
  <c r="CE35" i="28"/>
  <c r="CE33" i="28"/>
  <c r="CE20" i="28"/>
  <c r="CE38" i="28"/>
  <c r="CE39" i="28"/>
  <c r="CE29" i="28"/>
  <c r="CE18" i="28"/>
  <c r="CE34" i="28"/>
  <c r="CE42" i="28"/>
  <c r="CE11" i="28"/>
  <c r="CE9" i="28"/>
  <c r="CE8" i="28"/>
  <c r="CE24" i="28"/>
  <c r="CE15" i="28"/>
  <c r="CE36" i="28"/>
  <c r="CE37" i="28"/>
  <c r="CE22" i="28"/>
  <c r="CE41" i="28"/>
  <c r="CE19" i="28"/>
  <c r="CE17" i="28"/>
  <c r="CE12" i="28"/>
  <c r="CE28" i="28"/>
  <c r="CE23" i="28"/>
  <c r="CE13" i="28"/>
  <c r="CE10" i="28"/>
  <c r="CE26" i="28"/>
  <c r="CD29" i="30"/>
  <c r="CD26" i="30"/>
  <c r="CD27" i="30"/>
  <c r="CD24" i="30"/>
  <c r="CD17" i="30"/>
  <c r="CD22" i="30"/>
  <c r="CD28" i="30"/>
  <c r="CD32" i="30"/>
  <c r="CD25" i="30"/>
  <c r="CD20" i="30"/>
  <c r="CD30" i="30"/>
  <c r="CD13" i="30"/>
  <c r="CD10" i="30"/>
  <c r="CD11" i="30"/>
  <c r="CD8" i="30"/>
  <c r="CD31" i="30"/>
  <c r="CD12" i="30"/>
  <c r="CD21" i="30"/>
  <c r="CD18" i="30"/>
  <c r="CD19" i="30"/>
  <c r="CD16" i="30"/>
  <c r="CD9" i="30"/>
  <c r="CD23" i="30"/>
  <c r="CD15" i="30"/>
  <c r="CD14" i="30"/>
  <c r="CD23" i="29"/>
  <c r="CD27" i="29"/>
  <c r="CD30" i="29"/>
  <c r="CD29" i="29"/>
  <c r="CD10" i="29"/>
  <c r="CD13" i="29"/>
  <c r="CD8" i="29"/>
  <c r="CD31" i="29"/>
  <c r="CD12" i="29"/>
  <c r="CD11" i="29"/>
  <c r="CD18" i="29"/>
  <c r="CD32" i="29"/>
  <c r="CD14" i="29"/>
  <c r="CD9" i="29"/>
  <c r="CD20" i="29"/>
  <c r="CD21" i="29"/>
  <c r="CD26" i="29"/>
  <c r="CD25" i="29"/>
  <c r="CD16" i="29"/>
  <c r="CD15" i="29"/>
  <c r="CD17" i="29"/>
  <c r="CD22" i="29"/>
  <c r="CD19" i="29"/>
  <c r="CD28" i="29"/>
  <c r="CD24" i="29"/>
  <c r="CE19" i="22"/>
  <c r="CE16" i="22"/>
  <c r="CE17" i="22"/>
  <c r="CE22" i="22"/>
  <c r="CE29" i="22"/>
  <c r="CE31" i="22"/>
  <c r="CE27" i="22"/>
  <c r="CE24" i="22"/>
  <c r="CE25" i="22"/>
  <c r="CE30" i="22"/>
  <c r="CE10" i="22"/>
  <c r="CE12" i="22"/>
  <c r="CE18" i="22"/>
  <c r="CE20" i="22"/>
  <c r="CE32" i="22"/>
  <c r="CE26" i="22"/>
  <c r="CE28" i="22"/>
  <c r="CE11" i="22"/>
  <c r="CE9" i="22"/>
  <c r="CE14" i="22"/>
  <c r="CE13" i="22"/>
  <c r="CE15" i="22"/>
  <c r="CE21" i="22"/>
  <c r="CE23" i="22"/>
  <c r="N40" i="31" l="1"/>
  <c r="M41" i="31" s="1"/>
  <c r="O28" i="24"/>
  <c r="N29" i="24" s="1"/>
  <c r="O31" i="26"/>
  <c r="N31" i="32"/>
  <c r="M32" i="32" s="1"/>
  <c r="M32" i="30"/>
  <c r="N32" i="30" s="1"/>
  <c r="M33" i="30" s="1"/>
  <c r="N33" i="30" s="1"/>
  <c r="M34" i="30" s="1"/>
  <c r="N34" i="30" s="1"/>
  <c r="M35" i="30" s="1"/>
  <c r="N35" i="30" s="1"/>
  <c r="M36" i="30" s="1"/>
  <c r="N36" i="30" s="1"/>
  <c r="M37" i="30" s="1"/>
  <c r="N37" i="30" s="1"/>
  <c r="M38" i="30" s="1"/>
  <c r="N38" i="30" s="1"/>
  <c r="M39" i="30" s="1"/>
  <c r="N39" i="30" s="1"/>
  <c r="M40" i="30" s="1"/>
  <c r="N40" i="30" s="1"/>
  <c r="M41" i="30" s="1"/>
  <c r="N41" i="30" s="1"/>
  <c r="M42" i="30" s="1"/>
  <c r="N42" i="30" s="1"/>
  <c r="M43" i="30" s="1"/>
  <c r="N43" i="30" s="1"/>
  <c r="M44" i="30" s="1"/>
  <c r="N44" i="30" s="1"/>
  <c r="M45" i="30" s="1"/>
  <c r="N45" i="30" s="1"/>
  <c r="M46" i="30" s="1"/>
  <c r="N46" i="30" s="1"/>
  <c r="M47" i="30" s="1"/>
  <c r="N47" i="30" s="1"/>
  <c r="M48" i="30" s="1"/>
  <c r="N48" i="30" s="1"/>
  <c r="M49" i="30" s="1"/>
  <c r="N49" i="30" s="1"/>
  <c r="M50" i="30" s="1"/>
  <c r="N50" i="30" s="1"/>
  <c r="M51" i="30" s="1"/>
  <c r="N51" i="30" s="1"/>
  <c r="M52" i="30" s="1"/>
  <c r="N52" i="30" s="1"/>
  <c r="M53" i="30" s="1"/>
  <c r="N53" i="30" s="1"/>
  <c r="N32" i="29"/>
  <c r="M33" i="29" s="1"/>
  <c r="N33" i="29" s="1"/>
  <c r="M34" i="29" s="1"/>
  <c r="N34" i="29" s="1"/>
  <c r="M35" i="29" s="1"/>
  <c r="N35" i="29" s="1"/>
  <c r="M36" i="29" s="1"/>
  <c r="N36" i="29" s="1"/>
  <c r="M37" i="29" s="1"/>
  <c r="N37" i="29" s="1"/>
  <c r="M38" i="29" s="1"/>
  <c r="N38" i="29" s="1"/>
  <c r="M39" i="29" s="1"/>
  <c r="N39" i="29" s="1"/>
  <c r="M40" i="29" s="1"/>
  <c r="N40" i="29" s="1"/>
  <c r="M41" i="29" s="1"/>
  <c r="N41" i="29" s="1"/>
  <c r="M42" i="29" s="1"/>
  <c r="N42" i="29" s="1"/>
  <c r="M43" i="29" s="1"/>
  <c r="N43" i="29" s="1"/>
  <c r="M44" i="29" s="1"/>
  <c r="N44" i="29" s="1"/>
  <c r="M45" i="29" s="1"/>
  <c r="N45" i="29" s="1"/>
  <c r="M46" i="29" s="1"/>
  <c r="N46" i="29" s="1"/>
  <c r="M47" i="29" s="1"/>
  <c r="N47" i="29" s="1"/>
  <c r="M48" i="29" s="1"/>
  <c r="N48" i="29" s="1"/>
  <c r="M49" i="29" s="1"/>
  <c r="N49" i="29" s="1"/>
  <c r="M50" i="29" s="1"/>
  <c r="N50" i="29" s="1"/>
  <c r="M51" i="29" s="1"/>
  <c r="N51" i="29" s="1"/>
  <c r="M52" i="29" s="1"/>
  <c r="N52" i="29" s="1"/>
  <c r="M53" i="29" s="1"/>
  <c r="N53" i="29" s="1"/>
  <c r="N41" i="31" l="1"/>
  <c r="M42" i="31" s="1"/>
  <c r="O29" i="24"/>
  <c r="N30" i="24" s="1"/>
  <c r="O32" i="26"/>
  <c r="N32" i="32"/>
  <c r="M33" i="32" s="1"/>
  <c r="N33" i="32" s="1"/>
  <c r="M34" i="32" s="1"/>
  <c r="N34" i="32" s="1"/>
  <c r="M35" i="32" s="1"/>
  <c r="N35" i="32" s="1"/>
  <c r="M36" i="32" s="1"/>
  <c r="N36" i="32" s="1"/>
  <c r="M37" i="32" s="1"/>
  <c r="N37" i="32" s="1"/>
  <c r="M38" i="32" s="1"/>
  <c r="N38" i="32" s="1"/>
  <c r="M39" i="32" s="1"/>
  <c r="N39" i="32" s="1"/>
  <c r="M40" i="32" s="1"/>
  <c r="N40" i="32" s="1"/>
  <c r="M41" i="32" s="1"/>
  <c r="N41" i="32" s="1"/>
  <c r="N42" i="31" l="1"/>
  <c r="M43" i="31" s="1"/>
  <c r="N43" i="31" s="1"/>
  <c r="M44" i="31" s="1"/>
  <c r="N44" i="31" s="1"/>
  <c r="M45" i="31" s="1"/>
  <c r="M42" i="32"/>
  <c r="N42" i="32" s="1"/>
  <c r="O30" i="24"/>
  <c r="N31" i="24" s="1"/>
  <c r="M43" i="32" l="1"/>
  <c r="N43" i="32" s="1"/>
  <c r="M44" i="32" s="1"/>
  <c r="N44" i="32" s="1"/>
  <c r="M45" i="32" s="1"/>
  <c r="N45" i="32" s="1"/>
  <c r="N45" i="31"/>
  <c r="M46" i="31" s="1"/>
  <c r="N46" i="31" s="1"/>
  <c r="M47" i="31" s="1"/>
  <c r="N47" i="31" s="1"/>
  <c r="M48" i="31" s="1"/>
  <c r="N48" i="31" s="1"/>
  <c r="M49" i="31" s="1"/>
  <c r="O31" i="24"/>
  <c r="N32" i="24" s="1"/>
  <c r="M46" i="32" l="1"/>
  <c r="N46" i="32" s="1"/>
  <c r="M47" i="32" s="1"/>
  <c r="M48" i="32" s="1"/>
  <c r="N48" i="32" s="1"/>
  <c r="M49" i="32" s="1"/>
  <c r="N49" i="32" s="1"/>
  <c r="N49" i="31"/>
  <c r="M50" i="31" s="1"/>
  <c r="O32" i="24"/>
  <c r="N33" i="24" s="1"/>
  <c r="O33" i="24" s="1"/>
  <c r="N34" i="24" s="1"/>
  <c r="N50" i="31" l="1"/>
  <c r="M51" i="31" s="1"/>
  <c r="M50" i="32"/>
  <c r="N50" i="32" s="1"/>
  <c r="O34" i="24"/>
  <c r="N35" i="24" s="1"/>
  <c r="O35" i="24" s="1"/>
  <c r="N36" i="24" s="1"/>
  <c r="O36" i="24" s="1"/>
  <c r="N37" i="24" s="1"/>
  <c r="O37" i="24" s="1"/>
  <c r="N38" i="24" s="1"/>
  <c r="O38" i="24" s="1"/>
  <c r="N39" i="24" s="1"/>
  <c r="O39" i="24" s="1"/>
  <c r="N40" i="24" s="1"/>
  <c r="N11" i="25"/>
  <c r="O11" i="25" s="1"/>
  <c r="N51" i="31" l="1"/>
  <c r="M52" i="31" s="1"/>
  <c r="N52" i="31" s="1"/>
  <c r="M53" i="31" s="1"/>
  <c r="N53" i="31" s="1"/>
  <c r="M51" i="32"/>
  <c r="N51" i="32" s="1"/>
  <c r="O40" i="24"/>
  <c r="N41" i="24" s="1"/>
  <c r="O41" i="24" s="1"/>
  <c r="N42" i="24" s="1"/>
  <c r="O42" i="24" s="1"/>
  <c r="N43" i="24" s="1"/>
  <c r="N12" i="25"/>
  <c r="O12" i="25" s="1"/>
  <c r="N13" i="25" s="1"/>
  <c r="O13" i="25" s="1"/>
  <c r="N14" i="25" s="1"/>
  <c r="O14" i="25" s="1"/>
  <c r="M52" i="32" l="1"/>
  <c r="N52" i="32" s="1"/>
  <c r="M53" i="32" s="1"/>
  <c r="N53" i="32" s="1"/>
  <c r="O43" i="24"/>
  <c r="N44" i="24" s="1"/>
  <c r="O44" i="24" s="1"/>
  <c r="N45" i="24" s="1"/>
  <c r="N15" i="25"/>
  <c r="O15" i="25" s="1"/>
  <c r="N16" i="25" s="1"/>
  <c r="O16" i="25" s="1"/>
  <c r="N17" i="25" s="1"/>
  <c r="O17" i="25" s="1"/>
  <c r="N18" i="25" s="1"/>
  <c r="O18" i="25" s="1"/>
  <c r="N19" i="25" s="1"/>
  <c r="O45" i="24" l="1"/>
  <c r="N46" i="24" s="1"/>
  <c r="O46" i="24" s="1"/>
  <c r="N47" i="24" s="1"/>
  <c r="O47" i="24" s="1"/>
  <c r="N48" i="24" s="1"/>
  <c r="O48" i="24" s="1"/>
  <c r="N49" i="24" s="1"/>
  <c r="O19" i="25"/>
  <c r="O49" i="24" l="1"/>
  <c r="N50" i="24" s="1"/>
  <c r="O50" i="24" s="1"/>
  <c r="N51" i="24" s="1"/>
  <c r="O51" i="24" s="1"/>
  <c r="N52" i="24" s="1"/>
  <c r="N20" i="25"/>
  <c r="O20" i="25" s="1"/>
  <c r="O52" i="24" l="1"/>
  <c r="N53" i="24" s="1"/>
  <c r="O53" i="24" s="1"/>
  <c r="N21" i="25"/>
  <c r="O21" i="25" s="1"/>
  <c r="N22" i="25" l="1"/>
  <c r="O22" i="25" s="1"/>
  <c r="N23" i="25" s="1"/>
  <c r="O23" i="25" s="1"/>
  <c r="N24" i="25" s="1"/>
  <c r="O24" i="25" s="1"/>
  <c r="N25" i="25" s="1"/>
  <c r="O25" i="25" s="1"/>
  <c r="N26" i="25" s="1"/>
  <c r="O26" i="25" s="1"/>
  <c r="N27" i="25" s="1"/>
  <c r="O27" i="25" s="1"/>
  <c r="N28" i="25" l="1"/>
  <c r="O28" i="25" s="1"/>
  <c r="N29" i="25" l="1"/>
  <c r="O29" i="25" s="1"/>
  <c r="N30" i="25" s="1"/>
  <c r="O30" i="25" s="1"/>
  <c r="N31" i="25" s="1"/>
  <c r="O31" i="25" s="1"/>
  <c r="N32" i="25" s="1"/>
  <c r="O32" i="25" s="1"/>
  <c r="N33" i="25" s="1"/>
  <c r="O33" i="25" s="1"/>
  <c r="N34" i="25" s="1"/>
  <c r="O34" i="25" s="1"/>
  <c r="N35" i="25" s="1"/>
  <c r="O35" i="25" s="1"/>
  <c r="N36" i="25" s="1"/>
  <c r="O36" i="25" s="1"/>
  <c r="N37" i="25" s="1"/>
  <c r="O37" i="25" s="1"/>
  <c r="N38" i="25" s="1"/>
  <c r="O38" i="25" s="1"/>
  <c r="N39" i="25" s="1"/>
  <c r="O39" i="25" s="1"/>
  <c r="N40" i="25" s="1"/>
  <c r="O40" i="25" s="1"/>
  <c r="N41" i="25" s="1"/>
  <c r="O41" i="25" s="1"/>
  <c r="N42" i="25" s="1"/>
  <c r="O42" i="25" s="1"/>
  <c r="N43" i="25" s="1"/>
  <c r="O43" i="25" s="1"/>
  <c r="N44" i="25" s="1"/>
  <c r="O44" i="25" s="1"/>
  <c r="N45" i="25" s="1"/>
  <c r="O45" i="25" s="1"/>
  <c r="N46" i="25" s="1"/>
  <c r="O46" i="25" s="1"/>
  <c r="N47" i="25" s="1"/>
  <c r="O47" i="25" s="1"/>
  <c r="N48" i="25" s="1"/>
  <c r="O48" i="25" s="1"/>
  <c r="N49" i="25" s="1"/>
  <c r="O49" i="25" s="1"/>
  <c r="N50" i="25" s="1"/>
  <c r="O50" i="25" s="1"/>
  <c r="N51" i="25" s="1"/>
  <c r="O51" i="25" s="1"/>
  <c r="N52" i="25" s="1"/>
  <c r="O52" i="25" s="1"/>
  <c r="N53" i="25" s="1"/>
  <c r="O53" i="2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Judith Galanida</author>
    <author>tc={1FBD6C2F-4DA1-4264-A990-32E2FA771F03}</author>
    <author>tc={E428543D-2A40-4671-AA53-702478B2CB66}</author>
    <author>Risha Lorren I. Torniado</author>
  </authors>
  <commentList>
    <comment ref="F7" authorId="0" shapeId="0" xr:uid="{C8B5B7BA-13C8-4812-AE04-2EA463CACA74}">
      <text>
        <r>
          <rPr>
            <b/>
            <sz val="9"/>
            <color indexed="81"/>
            <rFont val="Tahoma"/>
            <family val="2"/>
          </rPr>
          <t>Judith Galanida:</t>
        </r>
        <r>
          <rPr>
            <sz val="9"/>
            <color indexed="81"/>
            <rFont val="Tahoma"/>
            <family val="2"/>
          </rPr>
          <t xml:space="preserve">
no cbm - Aspen panels</t>
        </r>
      </text>
    </comment>
    <comment ref="H11" authorId="0" shapeId="0" xr:uid="{763F5680-6B0E-4C33-B982-18B3C837D790}">
      <text>
        <r>
          <rPr>
            <b/>
            <sz val="9"/>
            <color indexed="81"/>
            <rFont val="Tahoma"/>
            <family val="2"/>
          </rPr>
          <t>Judith Galanida:
book to 10/15 Departure</t>
        </r>
      </text>
    </comment>
    <comment ref="AP11" authorId="1" shapeId="0" xr:uid="{1FBD6C2F-4DA1-4264-A990-32E2FA771F03}">
      <text>
        <t>[Threaded comment]
Your version of Excel allows you to read this threaded comment; however, any edits to it will get removed if the file is opened in a newer version of Excel. Learn more: https://go.microsoft.com/fwlink/?linkid=870924
Comment:
    From 0%</t>
      </text>
    </comment>
    <comment ref="AO17" authorId="2" shapeId="0" xr:uid="{421A10FB-C244-4C4A-A1B5-831B1485BD12}">
      <text>
        <t>[Threaded comment]
Your version of Excel allows you to read this threaded comment; however, any edits to it will get removed if the file is opened in a newer version of Excel. Learn more: https://go.microsoft.com/fwlink/?linkid=870924
Comment:
    FROM 14%</t>
      </text>
    </comment>
    <comment ref="AO22" authorId="3" shapeId="0" xr:uid="{E07F7260-5255-4BB6-8EE9-A7B7D9A7DB71}">
      <text>
        <r>
          <rPr>
            <b/>
            <sz val="9"/>
            <color indexed="81"/>
            <rFont val="Tahoma"/>
            <family val="2"/>
          </rPr>
          <t xml:space="preserve">lacking hor/vert. jamb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Judith Galanida</author>
  </authors>
  <commentList>
    <comment ref="G5" authorId="0" shapeId="0" xr:uid="{00000000-0006-0000-0100-000003000000}">
      <text>
        <r>
          <rPr>
            <b/>
            <sz val="9"/>
            <color indexed="81"/>
            <rFont val="Tahoma"/>
            <family val="2"/>
          </rPr>
          <t>Judith Galanida:</t>
        </r>
        <r>
          <rPr>
            <sz val="9"/>
            <color indexed="81"/>
            <rFont val="Tahoma"/>
            <family val="2"/>
          </rPr>
          <t xml:space="preserve">
Laser - 14
Metal Stamping - 11 (bending)+2 (hairline) +1 (rolling) + 1 (power press)</t>
        </r>
      </text>
    </comment>
    <comment ref="H5" authorId="0" shapeId="0" xr:uid="{00000000-0006-0000-0100-000004000000}">
      <text>
        <r>
          <rPr>
            <b/>
            <sz val="9"/>
            <color indexed="81"/>
            <rFont val="Tahoma"/>
            <family val="2"/>
          </rPr>
          <t>Judith Galanida:</t>
        </r>
        <r>
          <rPr>
            <sz val="9"/>
            <color indexed="81"/>
            <rFont val="Tahoma"/>
            <family val="2"/>
          </rPr>
          <t xml:space="preserve">
7-tig welding
5-spot welding
3-buffing</t>
        </r>
      </text>
    </comment>
    <comment ref="K5" authorId="0" shapeId="0" xr:uid="{00000000-0006-0000-0100-000005000000}">
      <text>
        <r>
          <rPr>
            <b/>
            <sz val="9"/>
            <color indexed="81"/>
            <rFont val="Tahoma"/>
            <family val="2"/>
          </rPr>
          <t>Judith Galanida:</t>
        </r>
        <r>
          <rPr>
            <sz val="9"/>
            <color indexed="81"/>
            <rFont val="Tahoma"/>
            <family val="2"/>
          </rPr>
          <t xml:space="preserve">
Mechanical-6
Packing-5</t>
        </r>
      </text>
    </comment>
    <comment ref="L5" authorId="0" shapeId="0" xr:uid="{00000000-0006-0000-0100-000006000000}">
      <text>
        <r>
          <rPr>
            <b/>
            <sz val="9"/>
            <color indexed="81"/>
            <rFont val="Tahoma"/>
            <family val="2"/>
          </rPr>
          <t>Judith Galanida:</t>
        </r>
        <r>
          <rPr>
            <sz val="9"/>
            <color indexed="81"/>
            <rFont val="Tahoma"/>
            <family val="2"/>
          </rPr>
          <t xml:space="preserve">
55 - downstairs
11 - upstairs</t>
        </r>
      </text>
    </comment>
    <comment ref="M5" authorId="0" shapeId="0" xr:uid="{00000000-0006-0000-0100-000007000000}">
      <text>
        <r>
          <rPr>
            <b/>
            <sz val="9"/>
            <color indexed="81"/>
            <rFont val="Tahoma"/>
            <family val="2"/>
          </rPr>
          <t>Judith Galanida:</t>
        </r>
        <r>
          <rPr>
            <sz val="9"/>
            <color indexed="81"/>
            <rFont val="Tahoma"/>
            <family val="2"/>
          </rPr>
          <t xml:space="preserve">
55 - downstairs
11 - upstairs</t>
        </r>
      </text>
    </comment>
    <comment ref="N5" authorId="0" shapeId="0" xr:uid="{00000000-0006-0000-0100-000008000000}">
      <text>
        <r>
          <rPr>
            <b/>
            <sz val="9"/>
            <color indexed="81"/>
            <rFont val="Tahoma"/>
            <family val="2"/>
          </rPr>
          <t>Judith Galanida:</t>
        </r>
        <r>
          <rPr>
            <sz val="9"/>
            <color indexed="81"/>
            <rFont val="Tahoma"/>
            <family val="2"/>
          </rPr>
          <t xml:space="preserve">
2 sanding
2 clamp carrier
2 assembly
3 additional machining
1 CNC</t>
        </r>
      </text>
    </comment>
    <comment ref="P5" authorId="0" shapeId="0" xr:uid="{00000000-0006-0000-0100-000009000000}">
      <text>
        <r>
          <rPr>
            <b/>
            <sz val="9"/>
            <color indexed="81"/>
            <rFont val="Tahoma"/>
            <family val="2"/>
          </rPr>
          <t>Judith Galanida:</t>
        </r>
        <r>
          <rPr>
            <sz val="9"/>
            <color indexed="81"/>
            <rFont val="Tahoma"/>
            <family val="2"/>
          </rPr>
          <t xml:space="preserve">
14-Sauna Fab (2-Installer)
3-Sanding
30-Machining</t>
        </r>
      </text>
    </comment>
    <comment ref="K9" authorId="0" shapeId="0" xr:uid="{00000000-0006-0000-0100-00000A000000}">
      <text>
        <r>
          <rPr>
            <b/>
            <sz val="9"/>
            <color indexed="81"/>
            <rFont val="Tahoma"/>
            <family val="2"/>
          </rPr>
          <t>Judith Galanida:</t>
        </r>
        <r>
          <rPr>
            <sz val="9"/>
            <color indexed="81"/>
            <rFont val="Tahoma"/>
            <family val="2"/>
          </rPr>
          <t xml:space="preserve">
Mechanical-1
Packing-1</t>
        </r>
      </text>
    </comment>
    <comment ref="O9" authorId="0" shapeId="0" xr:uid="{00000000-0006-0000-0100-00000B000000}">
      <text>
        <r>
          <rPr>
            <b/>
            <sz val="9"/>
            <color indexed="81"/>
            <rFont val="Tahoma"/>
            <family val="2"/>
          </rPr>
          <t>Judith Galanida:</t>
        </r>
        <r>
          <rPr>
            <sz val="9"/>
            <color indexed="81"/>
            <rFont val="Tahoma"/>
            <family val="2"/>
          </rPr>
          <t xml:space="preserve">
SAUNA FAB-2
MAT PREP-3
MACHINING-2</t>
        </r>
      </text>
    </comment>
    <comment ref="O10" authorId="0" shapeId="0" xr:uid="{00000000-0006-0000-0100-00000C000000}">
      <text>
        <r>
          <rPr>
            <b/>
            <sz val="9"/>
            <color indexed="81"/>
            <rFont val="Tahoma"/>
            <family val="2"/>
          </rPr>
          <t>Judith Galanida:</t>
        </r>
        <r>
          <rPr>
            <sz val="9"/>
            <color indexed="81"/>
            <rFont val="Tahoma"/>
            <family val="2"/>
          </rPr>
          <t xml:space="preserve">
Mat Prep-1
Machining-2
Sauna Fab-2</t>
        </r>
      </text>
    </comment>
    <comment ref="O12" authorId="0" shapeId="0" xr:uid="{00000000-0006-0000-0100-00000D000000}">
      <text>
        <r>
          <rPr>
            <b/>
            <sz val="9"/>
            <color indexed="81"/>
            <rFont val="Tahoma"/>
            <family val="2"/>
          </rPr>
          <t>Judith Galanida:</t>
        </r>
        <r>
          <rPr>
            <sz val="9"/>
            <color indexed="81"/>
            <rFont val="Tahoma"/>
            <family val="2"/>
          </rPr>
          <t xml:space="preserve">
10-mat prep lay-out
21-machine operators (finger joint, cut-off saw,ripping)
3-calibration</t>
        </r>
      </text>
    </comment>
    <comment ref="M13" authorId="0" shapeId="0" xr:uid="{00000000-0006-0000-0100-00000E000000}">
      <text>
        <r>
          <rPr>
            <b/>
            <sz val="9"/>
            <color indexed="81"/>
            <rFont val="Tahoma"/>
            <family val="2"/>
          </rPr>
          <t>Judith Galanida:</t>
        </r>
        <r>
          <rPr>
            <sz val="9"/>
            <color indexed="81"/>
            <rFont val="Tahoma"/>
            <family val="2"/>
          </rPr>
          <t xml:space="preserve">
tool keeper-1 &amp; utility -1</t>
        </r>
      </text>
    </comment>
    <comment ref="O13" authorId="0" shapeId="0" xr:uid="{00000000-0006-0000-0100-00000F000000}">
      <text>
        <r>
          <rPr>
            <b/>
            <sz val="9"/>
            <color indexed="81"/>
            <rFont val="Tahoma"/>
            <family val="2"/>
          </rPr>
          <t>Judith Galanida:</t>
        </r>
        <r>
          <rPr>
            <sz val="9"/>
            <color indexed="81"/>
            <rFont val="Tahoma"/>
            <family val="2"/>
          </rPr>
          <t xml:space="preserve">
dust collector-1
Driver-1
Boiler-2
Pellet-1</t>
        </r>
      </text>
    </comment>
    <comment ref="L15" authorId="0" shapeId="0" xr:uid="{00000000-0006-0000-0100-000010000000}">
      <text>
        <r>
          <rPr>
            <b/>
            <sz val="9"/>
            <color indexed="81"/>
            <rFont val="Tahoma"/>
            <family val="2"/>
          </rPr>
          <t>Judith Galanida:</t>
        </r>
        <r>
          <rPr>
            <sz val="9"/>
            <color indexed="81"/>
            <rFont val="Tahoma"/>
            <family val="2"/>
          </rPr>
          <t xml:space="preserve">
2.5-Printing 1GL, 2mp</t>
        </r>
      </text>
    </comment>
    <comment ref="M15" authorId="0" shapeId="0" xr:uid="{00000000-0006-0000-0100-000011000000}">
      <text>
        <r>
          <rPr>
            <b/>
            <sz val="9"/>
            <color indexed="81"/>
            <rFont val="Tahoma"/>
            <family val="2"/>
          </rPr>
          <t>Judith Galanida:</t>
        </r>
        <r>
          <rPr>
            <sz val="9"/>
            <color indexed="81"/>
            <rFont val="Tahoma"/>
            <family val="2"/>
          </rPr>
          <t xml:space="preserve">
2.5-Printing 1GL, 2mp</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Risha Lorren I. Torniado</author>
  </authors>
  <commentList>
    <comment ref="N514" authorId="0" shapeId="0" xr:uid="{C7A67976-A2DB-416F-BEF1-05D7351714AB}">
      <text>
        <r>
          <rPr>
            <b/>
            <sz val="9"/>
            <color indexed="81"/>
            <rFont val="Tahoma"/>
            <family val="2"/>
          </rPr>
          <t>Risha Lorren I. Torniado:</t>
        </r>
        <r>
          <rPr>
            <sz val="9"/>
            <color indexed="81"/>
            <rFont val="Tahoma"/>
            <family val="2"/>
          </rPr>
          <t xml:space="preserve">
+ NZ panels</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jbgalanida</author>
  </authors>
  <commentList>
    <comment ref="F2" authorId="0" shapeId="0" xr:uid="{00000000-0006-0000-2100-000001000000}">
      <text>
        <r>
          <rPr>
            <b/>
            <sz val="9"/>
            <color indexed="81"/>
            <rFont val="Tahoma"/>
            <family val="2"/>
          </rPr>
          <t>jbgalanida:</t>
        </r>
        <r>
          <rPr>
            <sz val="9"/>
            <color indexed="81"/>
            <rFont val="Tahoma"/>
            <family val="2"/>
          </rPr>
          <t xml:space="preserve">
manhour from 1616 SR</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<sst xmlns="http://schemas.openxmlformats.org/spreadsheetml/2006/main" count="5050" uniqueCount="667">
  <si>
    <t>TYPE OF CARGO</t>
  </si>
  <si>
    <t>DESTINATION</t>
  </si>
  <si>
    <t>PO #</t>
  </si>
  <si>
    <t>WEEKLY SHIPMENT SCHEDULES</t>
  </si>
  <si>
    <t>REMARKS</t>
  </si>
  <si>
    <t>Control Unit Assembly</t>
  </si>
  <si>
    <t>n/a</t>
  </si>
  <si>
    <t>Capacity (Manhours)</t>
  </si>
  <si>
    <t>EXISTING
(manhours)</t>
  </si>
  <si>
    <t>NORMAL
(manhours)</t>
  </si>
  <si>
    <t>DAILY</t>
  </si>
  <si>
    <t>WEEKLY</t>
  </si>
  <si>
    <t>HEATERS DEPARTMENT</t>
  </si>
  <si>
    <t>METAL STAMPING</t>
  </si>
  <si>
    <t>PRE-ASSEMBLY</t>
  </si>
  <si>
    <t>HEATERS ASSEMBLY &amp; PACKING</t>
  </si>
  <si>
    <t>STONE PROCESSING</t>
  </si>
  <si>
    <t>TOOL &amp; DIE</t>
  </si>
  <si>
    <t>LASER ENGRAVING</t>
  </si>
  <si>
    <t>PLASTIC INJECTION</t>
  </si>
  <si>
    <t>ELECTRICAL ASSEMBLY</t>
  </si>
  <si>
    <t>CONTROL UNIT ASSEMBLY</t>
  </si>
  <si>
    <t>WOOD WORKING PLANT 1</t>
  </si>
  <si>
    <t>PARTS PREP TO SANDING</t>
  </si>
  <si>
    <t>ASSEMBLY &amp; PACKING</t>
  </si>
  <si>
    <t>PRINTING</t>
  </si>
  <si>
    <t>WOOD WORKING PLANT 2</t>
  </si>
  <si>
    <t>MACHINING</t>
  </si>
  <si>
    <t>SANDING</t>
  </si>
  <si>
    <t>SAUNA FABRICATION</t>
  </si>
  <si>
    <t>TOTAL</t>
  </si>
  <si>
    <t>% TOTAL</t>
  </si>
  <si>
    <t>Heaters Assembly</t>
  </si>
  <si>
    <t>Wood Working Plant 2</t>
  </si>
  <si>
    <t># of MP</t>
  </si>
  <si>
    <t>Existing Distribution</t>
  </si>
  <si>
    <t>Weekly  (existing vs normal)</t>
  </si>
  <si>
    <t>Weekly (existing vs normal)</t>
  </si>
  <si>
    <t>CONTROL DEPARTMENT</t>
  </si>
  <si>
    <t>DAILY w/ OT</t>
  </si>
  <si>
    <t>Remarks</t>
  </si>
  <si>
    <t>WEEKLY w/ OT</t>
  </si>
  <si>
    <t>TARGET WEEK</t>
  </si>
  <si>
    <t>(blank)</t>
  </si>
  <si>
    <t>Grand Total</t>
  </si>
  <si>
    <t>Sunday &amp; Holiday</t>
  </si>
  <si>
    <t xml:space="preserve"> </t>
  </si>
  <si>
    <t>Sum of CONTROL UNIT ASSEMBLY</t>
  </si>
  <si>
    <t>Heaters</t>
  </si>
  <si>
    <t>P2</t>
  </si>
  <si>
    <t>Sum of 4RM03-D1
Cedar 1st Class2</t>
  </si>
  <si>
    <t>Sum of 4RM03-D3
Cedar with Knots2</t>
  </si>
  <si>
    <t>P1 Wood</t>
  </si>
  <si>
    <t>Doors</t>
  </si>
  <si>
    <t>Sum of ELECTRICAL ASSEMBLY</t>
  </si>
  <si>
    <t>Sum of Heaters Assembly and Packing</t>
  </si>
  <si>
    <t>Sum of Wood Main ( Parts Prep to Sanding )</t>
  </si>
  <si>
    <t>Sum of Wood Main ( Assembly and Packing )</t>
  </si>
  <si>
    <t>Sum of SAUNA FABRICATION - Site 1</t>
  </si>
  <si>
    <t>Crate Maker</t>
  </si>
  <si>
    <t># of hours per day</t>
  </si>
  <si>
    <t>LCL</t>
  </si>
  <si>
    <t>HEATERS</t>
  </si>
  <si>
    <t>WOODEN ACCESSORIES</t>
  </si>
  <si>
    <t>AIR</t>
  </si>
  <si>
    <t>Wood Working Plant 1-Doors</t>
  </si>
  <si>
    <t>Wood Working P1-Accessories</t>
  </si>
  <si>
    <t>DOOR ASSEMBLY</t>
  </si>
  <si>
    <t>Sum of MACHINING - Site 1</t>
  </si>
  <si>
    <t>Sum of MACHINING - Site 12</t>
  </si>
  <si>
    <t>Sum of SANDING - Site 1</t>
  </si>
  <si>
    <t>ESTIMATED TARGET COMPLETION</t>
  </si>
  <si>
    <t>SPARE PARTS</t>
  </si>
  <si>
    <t>CONTROLS</t>
  </si>
  <si>
    <t>Sum of DOOR ASSEMBLY</t>
  </si>
  <si>
    <t>Sum of For Time Comp</t>
  </si>
  <si>
    <t>PRODUCT TYPE</t>
  </si>
  <si>
    <t>DOORS &amp; WINDOWS</t>
  </si>
  <si>
    <t>PANELS &amp; TIMBERS</t>
  </si>
  <si>
    <t>SAUNA STONES</t>
  </si>
  <si>
    <t>SAUNA ROOMS</t>
  </si>
  <si>
    <t>1X40HC</t>
  </si>
  <si>
    <t>PRODUCT QTY</t>
  </si>
  <si>
    <t>Spare parts</t>
  </si>
  <si>
    <t>Controls</t>
  </si>
  <si>
    <t>Wooden Accessories</t>
  </si>
  <si>
    <t>Sauna Rooms</t>
  </si>
  <si>
    <t>Panels/Timbers</t>
  </si>
  <si>
    <t>Sauna Stones</t>
  </si>
  <si>
    <t>ORDER QTY</t>
  </si>
  <si>
    <t>TARGET</t>
  </si>
  <si>
    <t>CBM</t>
  </si>
  <si>
    <t>Electrical Assembly</t>
  </si>
  <si>
    <t>TOTAL PROCESSING HOURS</t>
  </si>
  <si>
    <t>TOTAL MANPOWER</t>
  </si>
  <si>
    <t>AVAILABLE MANHOURS</t>
  </si>
  <si>
    <t>DAYS NEEDED</t>
  </si>
  <si>
    <t>HOURS NEEDED</t>
  </si>
  <si>
    <t>START DATE</t>
  </si>
  <si>
    <t>END DATE</t>
  </si>
  <si>
    <t>REMAINING DAYS NEEDED</t>
  </si>
  <si>
    <t>REMAINING HRS NEEDED</t>
  </si>
  <si>
    <t>COMPLETION RATE</t>
  </si>
  <si>
    <t>TARGET DATE</t>
  </si>
  <si>
    <t>FRI</t>
  </si>
  <si>
    <t>SAT</t>
  </si>
  <si>
    <t>PLANNED HRS</t>
  </si>
  <si>
    <t>ACTUAL HRS</t>
  </si>
  <si>
    <t>w/O OT</t>
  </si>
  <si>
    <t>LEGEND:</t>
  </si>
  <si>
    <t>▲</t>
  </si>
  <si>
    <t>MACHINING P2</t>
  </si>
  <si>
    <t>9079 (Container 2)</t>
  </si>
  <si>
    <t>Sum of TOOL &amp; DIE</t>
  </si>
  <si>
    <t>Sum of STONE PROCESSING</t>
  </si>
  <si>
    <t>Sum of METAL STAMPING</t>
  </si>
  <si>
    <t>Sum of PRE-ASSEMBLY3</t>
  </si>
  <si>
    <t>Sum of MACHINING - Site 13</t>
  </si>
  <si>
    <t>Machining P2</t>
  </si>
  <si>
    <t>WORK CENTER</t>
  </si>
  <si>
    <t>bottle neck in Frame Saw</t>
  </si>
  <si>
    <t>USA - RM for finger joint</t>
  </si>
  <si>
    <t>ETA: 5/20</t>
  </si>
  <si>
    <t>5/21 dipping</t>
  </si>
  <si>
    <t>Kiln Dry 5/23 - 6/4</t>
  </si>
  <si>
    <t>Clamp Carrier - waiting for modification for SIRO Bench - while waiting continue to process the existing process</t>
  </si>
  <si>
    <t>1st to produce in machining - panels</t>
  </si>
  <si>
    <t>Panels good for 30sets on 5/19 in P1, next delivery is after 4days</t>
  </si>
  <si>
    <t>enough materials only for Canada sandwich of panels - Finger joint is compress with OT</t>
  </si>
  <si>
    <t>8pallets for lay-out, done rough cut</t>
  </si>
  <si>
    <t xml:space="preserve">existing: 7 lay-outers (6girls), note: additional 3mp (Loyd, Boiler and machine operator) - Start on Monday 5/19 </t>
  </si>
  <si>
    <t>after lay-out additional 3mp in finger joint</t>
  </si>
  <si>
    <t>Clamp Carrier - existing 6-6 already, 1machine- Stripe panels Canada Bsaunas estimated Sunday 5/18, 1 machine-sandwich panels for local</t>
  </si>
  <si>
    <t>Frame Saw- 6-6 1-3 machines for patching (can do sandwich), 4-5 machines can do only panels and sandwich</t>
  </si>
  <si>
    <t>Note: compute capaciity of frame saw</t>
  </si>
  <si>
    <t>Standard: All Frame Saw  180mm/minute (12pcs for patching), thus 180(12)= 2160mm/min or 2.16m/minute</t>
  </si>
  <si>
    <t xml:space="preserve">Requirement: </t>
  </si>
  <si>
    <t>1800mm*4pcs/door long panels</t>
  </si>
  <si>
    <t>1000mm*8pcs/door short panels</t>
  </si>
  <si>
    <t>req. (m)</t>
  </si>
  <si>
    <t>capacity m/min</t>
  </si>
  <si>
    <t>Sandwich of panels</t>
  </si>
  <si>
    <t>Patching</t>
  </si>
  <si>
    <t>Days in 1 machine</t>
  </si>
  <si>
    <t>m/door</t>
  </si>
  <si>
    <t>mm/door</t>
  </si>
  <si>
    <t>BOTTLENECK: FRAME SAW</t>
  </si>
  <si>
    <t>can start on Monday</t>
  </si>
  <si>
    <t>sandwich in Fingerjoint - target 5/18 (Friday), Saturday - Molder (compress schedule) and Lamination</t>
  </si>
  <si>
    <t>Door Frame to P1 - 150  Wednesday</t>
  </si>
  <si>
    <t xml:space="preserve">Door Jam to P1 - </t>
  </si>
  <si>
    <t>Door Assembly P1</t>
  </si>
  <si>
    <t>SUN</t>
  </si>
  <si>
    <t>Panels to P1 - 30sets Monday, next Delivery Wednesday. Actual 30 sets but for notch out )in CNC  12pcs per load</t>
  </si>
  <si>
    <t>Problem</t>
  </si>
  <si>
    <t>5/19/2025 - Canada</t>
  </si>
  <si>
    <t>Door frame vertical material done good for 300 doors for lamination,  - can be delivered in P1 half on Wednesday for CNC (notch out for hinge)</t>
  </si>
  <si>
    <t>Door frame horizontal material, 300doors WIP in finger joint, target-5/20  - can be delivered in P1 half on Wednesday for CNC (notch out for burring)</t>
  </si>
  <si>
    <t>2. Target-deliver to P1 should be sets</t>
  </si>
  <si>
    <t>1. mismatch colors of excess qty-prepare swatches of Cedar colors c/o Cora</t>
  </si>
  <si>
    <t xml:space="preserve">bottleneck - Framesaw </t>
  </si>
  <si>
    <t>notes:</t>
  </si>
  <si>
    <t>Panels materials done 5/18, WIP slicing/lamination - can be delivered in P1 half on Wednesday for CNC (cut out of glass). Panel profiling &amp; final cutting transfer to P1, Delivery 5/19 this afternoon and P1 process target Monday evening</t>
  </si>
  <si>
    <t>1. Inform Engineering the transfer process in P1 - panel profiling and final cutting of doors and request TMS - c/o Risha</t>
  </si>
  <si>
    <t>P2 Machining Total</t>
  </si>
  <si>
    <t>P2 Sauna Fab Total</t>
  </si>
  <si>
    <t>Sum of PRE-ASSEMBLY</t>
  </si>
  <si>
    <t>Sum of PRE-ASSEMBLY2</t>
  </si>
  <si>
    <t>Fri</t>
  </si>
  <si>
    <t>Sat</t>
  </si>
  <si>
    <t>Metal Stamping</t>
  </si>
  <si>
    <t>Stone Processing</t>
  </si>
  <si>
    <t>Tool &amp; Die</t>
  </si>
  <si>
    <t>Operators</t>
  </si>
  <si>
    <t>Manager/Supervisor</t>
  </si>
  <si>
    <t>Clerk</t>
  </si>
  <si>
    <t>Wood Working P1 Doors</t>
  </si>
  <si>
    <t>Production Load in Days</t>
  </si>
  <si>
    <t>Wood Working P2 Machining</t>
  </si>
  <si>
    <t>Wood Working P2 
Sauna Fabrication</t>
  </si>
  <si>
    <t>spot</t>
  </si>
  <si>
    <t>spot and tig</t>
  </si>
  <si>
    <t>Tig</t>
  </si>
  <si>
    <t>PRE-ASSY</t>
  </si>
  <si>
    <t>Pre-assembly</t>
  </si>
  <si>
    <t>Section Head</t>
  </si>
  <si>
    <t>Group Leader</t>
  </si>
  <si>
    <t>Total Manpower</t>
  </si>
  <si>
    <t>Sum of 4RM01-A1
Aspen 1st Class2</t>
  </si>
  <si>
    <t>Sum of 4RM05-S3
SPRUCE2</t>
  </si>
  <si>
    <t>4RM03-D1
Cedar 1st Class</t>
  </si>
  <si>
    <t>4RM03-D3
Cedar with Knots</t>
  </si>
  <si>
    <t>4RM01-A1
Aspen 1st Class</t>
  </si>
  <si>
    <t>4RM01-A3
Aspen with Stain</t>
  </si>
  <si>
    <t>4RM02-P1 Pine 1st Class</t>
  </si>
  <si>
    <t>4RM02-P3 Pine with knots</t>
  </si>
  <si>
    <t>4RM16-B
Basswood</t>
  </si>
  <si>
    <t>4RM05-S3
Spruce</t>
  </si>
  <si>
    <t>Sum of 4RM01-A3
Aspen with Stain2</t>
  </si>
  <si>
    <t>Sum of 4RM03-D1
Cedar 1st Class</t>
  </si>
  <si>
    <t>Sum of 4RM03-D3
Cedar with Knots</t>
  </si>
  <si>
    <t>Sum of 4RM01-A1
Aspen 1st Class</t>
  </si>
  <si>
    <t>Sum of 4RM01-A3
Aspen with Stain</t>
  </si>
  <si>
    <t>Sum of 4RM02-P1 PINE 1st Class</t>
  </si>
  <si>
    <t>Sum of 4RM02-P3 PINE with knots</t>
  </si>
  <si>
    <t>Sum of 4RM16-B
BASSWOOD</t>
  </si>
  <si>
    <t>Sum of 4RM05-S3
SPRUCE</t>
  </si>
  <si>
    <t>MACHINING P2 - DOORS</t>
  </si>
  <si>
    <t>MACHINING P2 - SAUNA FAB</t>
  </si>
  <si>
    <t>WOOD REQUIREMENTS</t>
  </si>
  <si>
    <t>TOTAL CBM</t>
  </si>
  <si>
    <t>ITEMS</t>
  </si>
  <si>
    <t>CARGO TYPE</t>
  </si>
  <si>
    <t>DETAILS</t>
  </si>
  <si>
    <t>CUST. CODE-DESTINATION</t>
  </si>
  <si>
    <t>SF - PO/LTL COMPLETION RATE</t>
  </si>
  <si>
    <t>TOOL &amp; DIE GANTT CHART</t>
  </si>
  <si>
    <t>STONE PROCESSING GANTT CHART</t>
  </si>
  <si>
    <t>METAL STAMPING GANTT CHART</t>
  </si>
  <si>
    <t>PRE-ASSY GANTT CHART</t>
  </si>
  <si>
    <t>CONTROL UNIT ASSEMBLY GANTT CHART</t>
  </si>
  <si>
    <t>ELECTRICAL ASSEMBLY GANTT CHART</t>
  </si>
  <si>
    <t>HEATERS ASSEMBLY AND PACKING GANTT CHART</t>
  </si>
  <si>
    <t>MACHINING P2 - DOORS GANTT CHART</t>
  </si>
  <si>
    <t>DOOR ASSEMBLY GANTT CHART</t>
  </si>
  <si>
    <t>WOOD WORKING P2 GANTT CHART</t>
  </si>
  <si>
    <t>MACHINING P2 - SAUNA FAB GANTT CHART</t>
  </si>
  <si>
    <t>SAUNA FABRICATION P2 GANTT CHART</t>
  </si>
  <si>
    <t>REQD DAYS</t>
  </si>
  <si>
    <t>SFP2</t>
  </si>
  <si>
    <t>MP2-SFP2</t>
  </si>
  <si>
    <t>DA</t>
  </si>
  <si>
    <t>MP2-DA</t>
  </si>
  <si>
    <t>WWP1</t>
  </si>
  <si>
    <t>HAP</t>
  </si>
  <si>
    <t>EA</t>
  </si>
  <si>
    <t>CA</t>
  </si>
  <si>
    <t>T&amp;D</t>
  </si>
  <si>
    <t>SP</t>
  </si>
  <si>
    <t>MS</t>
  </si>
  <si>
    <t>REQD HOURS</t>
  </si>
  <si>
    <t xml:space="preserve">REQD DAYS  </t>
  </si>
  <si>
    <t>PO REQD DAYS</t>
  </si>
  <si>
    <t>PO REQD HOURS</t>
  </si>
  <si>
    <t>MODEL</t>
  </si>
  <si>
    <t>PAIL</t>
  </si>
  <si>
    <t>BACKREST</t>
  </si>
  <si>
    <t>HANDLE</t>
  </si>
  <si>
    <t>PILLOW</t>
  </si>
  <si>
    <t>SANDTIMER</t>
  </si>
  <si>
    <t>FLOORMAT</t>
  </si>
  <si>
    <t>ARO</t>
  </si>
  <si>
    <t>NRX</t>
  </si>
  <si>
    <t>STONE ACCESSORIES</t>
  </si>
  <si>
    <t>SENSOR HOLDER</t>
  </si>
  <si>
    <t>TH</t>
  </si>
  <si>
    <t>INTERFACE HOLDER</t>
  </si>
  <si>
    <t>ARI</t>
  </si>
  <si>
    <t>HEATER GUARDS</t>
  </si>
  <si>
    <t>NRNC BLACK</t>
  </si>
  <si>
    <t>SCA</t>
  </si>
  <si>
    <t>DECAL</t>
  </si>
  <si>
    <t>NRM BLACK</t>
  </si>
  <si>
    <t>SAUNA LIGHT COVER</t>
  </si>
  <si>
    <t>THERMO/HYGRO</t>
  </si>
  <si>
    <t>CLOCK</t>
  </si>
  <si>
    <t>STN W</t>
  </si>
  <si>
    <t>CUB</t>
  </si>
  <si>
    <t>KRI</t>
  </si>
  <si>
    <t>MN</t>
  </si>
  <si>
    <t>MX</t>
  </si>
  <si>
    <t>NR</t>
  </si>
  <si>
    <t>STN</t>
  </si>
  <si>
    <t>SAUNA LIGHT</t>
  </si>
  <si>
    <t>SAV</t>
  </si>
  <si>
    <t>NRM</t>
  </si>
  <si>
    <t>NRN BLACK</t>
  </si>
  <si>
    <t>NRMC BLACK</t>
  </si>
  <si>
    <t>ARI BLACK</t>
  </si>
  <si>
    <t>CML</t>
  </si>
  <si>
    <t>NRN</t>
  </si>
  <si>
    <t>SAVC</t>
  </si>
  <si>
    <t>SAWO30</t>
  </si>
  <si>
    <t>NIM</t>
  </si>
  <si>
    <t>PLASTIC PAIL INSERTS</t>
  </si>
  <si>
    <t>STE</t>
  </si>
  <si>
    <t>TAU</t>
  </si>
  <si>
    <t>HES</t>
  </si>
  <si>
    <t>NRNS BLACK</t>
  </si>
  <si>
    <t>BENCH</t>
  </si>
  <si>
    <t>DRFT</t>
  </si>
  <si>
    <t>HANGER</t>
  </si>
  <si>
    <t>HINGE</t>
  </si>
  <si>
    <t>SCAC</t>
  </si>
  <si>
    <t>NRNF BLACK</t>
  </si>
  <si>
    <t>NIMC</t>
  </si>
  <si>
    <t>PAIL COVER</t>
  </si>
  <si>
    <t>SPEAKER</t>
  </si>
  <si>
    <t>KRFS</t>
  </si>
  <si>
    <t>NRNF</t>
  </si>
  <si>
    <t>NRNS</t>
  </si>
  <si>
    <t>NRNSC BLACK</t>
  </si>
  <si>
    <t>SWITCH DIMMER</t>
  </si>
  <si>
    <t>SIGNAGES</t>
  </si>
  <si>
    <t>IR PANEL</t>
  </si>
  <si>
    <t>MNC</t>
  </si>
  <si>
    <t>DOOR GASKET</t>
  </si>
  <si>
    <t>TRD</t>
  </si>
  <si>
    <t>SAWO 30</t>
  </si>
  <si>
    <t>TRDC</t>
  </si>
  <si>
    <t>NRC</t>
  </si>
  <si>
    <t>LOUVER</t>
  </si>
  <si>
    <t>TPIFCS</t>
  </si>
  <si>
    <t>TPIFS</t>
  </si>
  <si>
    <t>TPIW</t>
  </si>
  <si>
    <t>TPIWC</t>
  </si>
  <si>
    <t>SAWO-20</t>
  </si>
  <si>
    <t>Qty</t>
  </si>
  <si>
    <t>CONTROL</t>
  </si>
  <si>
    <t>LADLE</t>
  </si>
  <si>
    <t>735 WINDOW GLASS DOOR</t>
  </si>
  <si>
    <t>734 WOODEN DOOR</t>
  </si>
  <si>
    <t>739 ADA GLASS DOOR</t>
  </si>
  <si>
    <t>STEAM DOOR</t>
  </si>
  <si>
    <t>730 GLASS DOOR</t>
  </si>
  <si>
    <t>731 GLASS DOOR</t>
  </si>
  <si>
    <t>770 WOODEN GLASS</t>
  </si>
  <si>
    <t>TIMBERS</t>
  </si>
  <si>
    <t>741 GLASS DOOR</t>
  </si>
  <si>
    <t>743 WINDOW GLASS DOOR</t>
  </si>
  <si>
    <t>771 WOODEN GLASS</t>
  </si>
  <si>
    <t>773 WOODEN GLASS</t>
  </si>
  <si>
    <t>PANELS</t>
  </si>
  <si>
    <t>1X20</t>
  </si>
  <si>
    <t>Key Person/Expediter/Material Handler</t>
  </si>
  <si>
    <t>Dust Collector/Utility/Boiler/Tool Keeper/Driver/Pellet</t>
  </si>
  <si>
    <t>Material Preparation</t>
  </si>
  <si>
    <t>Plastic Injection</t>
  </si>
  <si>
    <t>Total</t>
  </si>
  <si>
    <t>Box Cutting</t>
  </si>
  <si>
    <r>
      <t xml:space="preserve">Total MP </t>
    </r>
    <r>
      <rPr>
        <b/>
        <sz val="10"/>
        <color theme="1"/>
        <rFont val="Calibri"/>
        <family val="2"/>
        <scheme val="minor"/>
      </rPr>
      <t>(for manhours computation of load in days)</t>
    </r>
  </si>
  <si>
    <t>PRODUCT</t>
  </si>
  <si>
    <t>Quantity</t>
  </si>
  <si>
    <t>TBA</t>
  </si>
  <si>
    <t>NRN PRO</t>
  </si>
  <si>
    <t>DAYS - wood prep</t>
  </si>
  <si>
    <t>Remaining order quantities currently in process and for processing:</t>
  </si>
  <si>
    <t>Leadtime Add-on Summary</t>
  </si>
  <si>
    <t>Shipment Type</t>
  </si>
  <si>
    <t>Leadtime Add-on (Days)</t>
  </si>
  <si>
    <t>Key Processes</t>
  </si>
  <si>
    <t>Small Shipments (Air)</t>
  </si>
  <si>
    <t>Components checking &amp; MO creation → Picking/Releasing → Production → Packing</t>
  </si>
  <si>
    <t>Fastest processing; suitable for urgent orders</t>
  </si>
  <si>
    <t>Small Shipments (LCL)</t>
  </si>
  <si>
    <t>Moderate leadtime; includes longer warehouse preparation</t>
  </si>
  <si>
    <t>Containerized Shipments (20ft / 40ft / 40HC)</t>
  </si>
  <si>
    <t>Components checking &amp; MO creation → Picking/Releasing → Production → Loading</t>
  </si>
  <si>
    <t>Longest leadtime; includes extended warehouse and loading activities</t>
  </si>
  <si>
    <t>Note:</t>
  </si>
  <si>
    <r>
      <t xml:space="preserve">Production duration remains </t>
    </r>
    <r>
      <rPr>
        <i/>
        <sz val="11"/>
        <color theme="1"/>
        <rFont val="Calibri"/>
        <family val="2"/>
        <scheme val="minor"/>
      </rPr>
      <t>capacity dependent</t>
    </r>
    <r>
      <rPr>
        <sz val="10"/>
        <rFont val="Calibri"/>
        <family val="2"/>
        <scheme val="minor"/>
      </rPr>
      <t xml:space="preserve"> and may vary depending on workload and available manpower.</t>
    </r>
  </si>
  <si>
    <t>NRNC PRO</t>
  </si>
  <si>
    <t>CONTAINER 4</t>
  </si>
  <si>
    <t>CONTAINER 5</t>
  </si>
  <si>
    <t>CONTAINER 6</t>
  </si>
  <si>
    <t>CONTAINER 7</t>
  </si>
  <si>
    <t>DINING TABLE</t>
  </si>
  <si>
    <t>Operating Hrs</t>
  </si>
  <si>
    <t>1 shift - compressed</t>
  </si>
  <si>
    <t>24/6 - w/ OT</t>
  </si>
  <si>
    <t>Planned Operating Hrs</t>
  </si>
  <si>
    <t>24/6 - w/o OT</t>
  </si>
  <si>
    <t>16/6 - w/o OT</t>
  </si>
  <si>
    <t>full capacity in 1 shift</t>
  </si>
  <si>
    <t>WWP1- Assembly and Packing</t>
  </si>
  <si>
    <t>WWP1-Parts Prep to Sanding</t>
  </si>
  <si>
    <t>WOOD WORKING P1-ASSEMBLY AND PACKING  GANTT CHART</t>
  </si>
  <si>
    <t>WOOD WORKING P1-PARTS PREP TO SANDING GANTT CHART</t>
  </si>
  <si>
    <t>AIR VENTILATION</t>
  </si>
  <si>
    <t>DAYS - Parts Prep to Sanding</t>
  </si>
  <si>
    <t>24/6 - skeletal only in 2nd shift</t>
  </si>
  <si>
    <t>2 shifts - skeletal for 2nd shift</t>
  </si>
  <si>
    <t>CONTAINER 8</t>
  </si>
  <si>
    <t>CONTAINER 9</t>
  </si>
  <si>
    <t>11500-SAWO SAUNA EUROPE BV</t>
  </si>
  <si>
    <t>SO #</t>
  </si>
  <si>
    <t>SO#</t>
  </si>
  <si>
    <t>BOTTLE OPENER</t>
  </si>
  <si>
    <t>SIGNAGE</t>
  </si>
  <si>
    <t>GUIDELINES</t>
  </si>
  <si>
    <t>HOOK RACK</t>
  </si>
  <si>
    <t>PNX</t>
  </si>
  <si>
    <t>MN DRF</t>
  </si>
  <si>
    <t>NRNC</t>
  </si>
  <si>
    <t>NRNS W/ LED</t>
  </si>
  <si>
    <t>hrs</t>
  </si>
  <si>
    <t>days</t>
  </si>
  <si>
    <t xml:space="preserve">Model </t>
  </si>
  <si>
    <t>Size</t>
  </si>
  <si>
    <t>Length</t>
  </si>
  <si>
    <t>Ttl Length (m)</t>
  </si>
  <si>
    <t>Equivalent MH Machining (60%)</t>
  </si>
  <si>
    <t>Equivalent MH Sauna Fab. (40%)</t>
  </si>
  <si>
    <t>Total MH Machining + Sauna Fab (100%)</t>
  </si>
  <si>
    <t>Machining</t>
  </si>
  <si>
    <t>sauna Fab</t>
  </si>
  <si>
    <t>0809</t>
  </si>
  <si>
    <t>0.8</t>
  </si>
  <si>
    <t>0.9</t>
  </si>
  <si>
    <t>0912</t>
  </si>
  <si>
    <t>1.2</t>
  </si>
  <si>
    <t>baseline</t>
  </si>
  <si>
    <t>ST DOORS</t>
  </si>
  <si>
    <t>SCA MR STEAM</t>
  </si>
  <si>
    <t>HEADREST</t>
  </si>
  <si>
    <t>SAWO EUROPE</t>
  </si>
  <si>
    <t>40</t>
  </si>
  <si>
    <t>41</t>
  </si>
  <si>
    <t>42</t>
  </si>
  <si>
    <t>ACCESSORIES SET</t>
  </si>
  <si>
    <t>AROMA CUP</t>
  </si>
  <si>
    <t>ST</t>
  </si>
  <si>
    <t>6468-1</t>
  </si>
  <si>
    <t>6468-2</t>
  </si>
  <si>
    <t>6465-2</t>
  </si>
  <si>
    <t>6465-1</t>
  </si>
  <si>
    <t>CONTAINER 10</t>
  </si>
  <si>
    <t>6502-1</t>
  </si>
  <si>
    <t>6502-2</t>
  </si>
  <si>
    <t>1x20</t>
  </si>
  <si>
    <t>HES-MN</t>
  </si>
  <si>
    <t>STN S</t>
  </si>
  <si>
    <t>WOODEN DOORS</t>
  </si>
  <si>
    <t>HOSE</t>
  </si>
  <si>
    <t>6638-1</t>
  </si>
  <si>
    <t>6638-2</t>
  </si>
  <si>
    <t>TEMPERED GLASS</t>
  </si>
  <si>
    <t>8200-AUSTRALIA</t>
  </si>
  <si>
    <t>CONTAINER 11</t>
  </si>
  <si>
    <t>6346-2</t>
  </si>
  <si>
    <r>
      <t xml:space="preserve">Load in Days </t>
    </r>
    <r>
      <rPr>
        <b/>
        <sz val="12"/>
        <color theme="1"/>
        <rFont val="Calibri"/>
        <family val="2"/>
        <scheme val="minor"/>
      </rPr>
      <t>(SSE)</t>
    </r>
  </si>
  <si>
    <r>
      <t xml:space="preserve">Load in Days </t>
    </r>
    <r>
      <rPr>
        <b/>
        <sz val="12"/>
        <color theme="1"/>
        <rFont val="Calibri"/>
        <family val="2"/>
        <scheme val="minor"/>
      </rPr>
      <t>(w/o SSE)</t>
    </r>
  </si>
  <si>
    <t>ARO-EUCA</t>
  </si>
  <si>
    <t>CONTAINER 1</t>
  </si>
  <si>
    <t>CONTAINER 2</t>
  </si>
  <si>
    <t>CONTAINER 3</t>
  </si>
  <si>
    <t>SSE BACKLOG</t>
  </si>
  <si>
    <t>TPIFSC</t>
  </si>
  <si>
    <t>BURNING HEATERS</t>
  </si>
  <si>
    <t>FLOATER</t>
  </si>
  <si>
    <t>9600-NEW ZEALAND BACKLOG</t>
  </si>
  <si>
    <t>R-980</t>
  </si>
  <si>
    <t>CONTAINER 12</t>
  </si>
  <si>
    <t>52300-KUWAIT</t>
  </si>
  <si>
    <t>DRF</t>
  </si>
  <si>
    <t>NRNSC</t>
  </si>
  <si>
    <t>WOOD ACCESSORIES</t>
  </si>
  <si>
    <t>COMPACT SAUNA ROOMS</t>
  </si>
  <si>
    <t>HIMALAYAN SALT WALL</t>
  </si>
  <si>
    <t>99100-AZERBAIJAN</t>
  </si>
  <si>
    <t>7119-1</t>
  </si>
  <si>
    <t>7119-2</t>
  </si>
  <si>
    <t>ST FRAME</t>
  </si>
  <si>
    <t>15 UNITS SAUNA ROOMS (0908MS-9sr IR Cedar &amp; 1111RS-6sr IR Cedar), CONTROLS, HEATERS, WOODEN ACCESSORIES, DOORS &amp; PANELS</t>
  </si>
  <si>
    <t>CALLING CARDS</t>
  </si>
  <si>
    <t>HEATERS, SPARE PARTS &amp; DOORS</t>
  </si>
  <si>
    <t>FOR AIR - EXHIBIT</t>
  </si>
  <si>
    <t>736 WINDOW GLASS DOOR</t>
  </si>
  <si>
    <t>SO Received Date</t>
  </si>
  <si>
    <t>75100-JORDAN
BACKLOG</t>
  </si>
  <si>
    <t>note: offload as advised by client</t>
  </si>
  <si>
    <t>SO-TD LT (Days)</t>
  </si>
  <si>
    <t>Order Age (Days)</t>
  </si>
  <si>
    <t>Laser Cutting</t>
  </si>
  <si>
    <t>SHIPMENT PIPELINE OVERVIEW</t>
  </si>
  <si>
    <t>Metric</t>
  </si>
  <si>
    <t>Value</t>
  </si>
  <si>
    <t>Total Open Shipment Orders</t>
  </si>
  <si>
    <t>Total CBM (all orders)</t>
  </si>
  <si>
    <t>Average CBM per Order</t>
  </si>
  <si>
    <t>Orders with Confirmed Target Completion Date</t>
  </si>
  <si>
    <t>Orders Pending Target Date ("TBA")</t>
  </si>
  <si>
    <t>Orders Flagged "Waiting" (booking/materials/order)</t>
  </si>
  <si>
    <t>Orders Mentioning Fumigation Requirement</t>
  </si>
  <si>
    <t xml:space="preserve">   of which still Pending (not marked DONE)</t>
  </si>
  <si>
    <t>Average Order Age (days)</t>
  </si>
  <si>
    <t>Oldest Order Age (days)</t>
  </si>
  <si>
    <t>Orders Aged Over 90 Days</t>
  </si>
  <si>
    <t>CBM BY CARGO TYPE</t>
  </si>
  <si>
    <t>Cargo Type</t>
  </si>
  <si>
    <t># Orders</t>
  </si>
  <si>
    <t>Unspecified / TBA</t>
  </si>
  <si>
    <t>PRODUCTION CAPACITY &amp; LOAD (Prod Load tab, as of Jul 24)</t>
  </si>
  <si>
    <t>Department</t>
  </si>
  <si>
    <t>Manpower</t>
  </si>
  <si>
    <t>Load in Days (Total)</t>
  </si>
  <si>
    <t>Load in Days (w/o SSE)</t>
  </si>
  <si>
    <t>Bottleneck Department (highest load)</t>
  </si>
  <si>
    <t>Bottleneck Load (Days)</t>
  </si>
  <si>
    <t>Total Manpower (all departments)</t>
  </si>
  <si>
    <t>REMAINING ORDER QUANTITIES IN PROCESS (Prod Load tab)</t>
  </si>
  <si>
    <t>Product</t>
  </si>
  <si>
    <t>OVERALL</t>
  </si>
  <si>
    <t>AVG COMPLETION %</t>
  </si>
  <si>
    <t>Average Completion Rate per SO (all open orders)</t>
  </si>
  <si>
    <t>Orders Ready to Ship (100% Complete)</t>
  </si>
  <si>
    <t>Orders Below 50% Complete (at risk)</t>
  </si>
  <si>
    <t>SO's ALMOST READY (Near Completion, Not Yet 100%)</t>
  </si>
  <si>
    <t>Min % Complete (inclusive)</t>
  </si>
  <si>
    <t>Max % Complete (exclusive, below Ready)</t>
  </si>
  <si>
    <t>Customer/Destination</t>
  </si>
  <si>
    <t>Completion %</t>
  </si>
  <si>
    <t>Target Completion</t>
  </si>
  <si>
    <t>As of July 28, 2026</t>
  </si>
  <si>
    <t>TOWEL HOLDER</t>
  </si>
  <si>
    <t>#N/A</t>
  </si>
  <si>
    <t>LIGHT COVER</t>
  </si>
  <si>
    <t xml:space="preserve"> Note: Manpower Update
as of July 28, 2026</t>
  </si>
  <si>
    <t>note: crate fumigation - 8/14
note: waiting for booking</t>
  </si>
  <si>
    <t>SO REQD DAYS</t>
  </si>
  <si>
    <t>SO REQD HOURS</t>
  </si>
  <si>
    <t>1X40</t>
  </si>
  <si>
    <t>PANELS &amp; R-980</t>
  </si>
  <si>
    <t>13500-INDONESIA</t>
  </si>
  <si>
    <t>1 UNIT SAUNA ROOM (1411LS-Cedar) w/ complete set of accessories and heater</t>
  </si>
  <si>
    <t>51500-MAURITIUS</t>
  </si>
  <si>
    <t>2 UNITS SAUNA ROOMS (2020MS-Cedar &amp; 1919MS-Cedar) w/ complete set of accessories and heater &amp; R-980</t>
  </si>
  <si>
    <t>CONTROLS, HEATERS, SPARE PARTS, WOODEN ACCESSORIES, DOORS, SAUNA STONES &amp; PANELS</t>
  </si>
  <si>
    <t>Load in Days (Previous Week)</t>
  </si>
  <si>
    <t>Load in Days 
(This Week)</t>
  </si>
  <si>
    <t>% Increase/(Decrease)</t>
  </si>
  <si>
    <t>CONTROLS &amp; SPARE PARTS</t>
  </si>
  <si>
    <t>15900- Mandaue Warehouse</t>
  </si>
  <si>
    <t>1 UNIT SAUNA ROOM (1620RL-Cedar) w/ complete set of accessories and heater, SAWO-20 &amp; R-980</t>
  </si>
  <si>
    <t>Weekly Shipped CBM &amp; Leadtime Report</t>
  </si>
  <si>
    <t>Source: 'SO Monitoring' tab (STATUS = SHIPPED, ACTUAL LOADING date)</t>
  </si>
  <si>
    <t>Week #</t>
  </si>
  <si>
    <t>Week Start</t>
  </si>
  <si>
    <t>Week End</t>
  </si>
  <si>
    <t>Shipped CBM</t>
  </si>
  <si>
    <t>Avg Leadtime (days)</t>
  </si>
  <si>
    <t>4834, 4865, 4991, 5210, 5221, 5249, 5361, 5370, 5391, 5397, 5478</t>
  </si>
  <si>
    <t>4645, 5001, 4781, 4849, 4969, 5146, 5177, 5247, 5283, 5390, 5398, 5457, 5491, 5449, 5355</t>
  </si>
  <si>
    <t>4079, 4767, 5165, 5221, 5258, 5259, 5337, 5445, 5475, 5570, 5578, 5585, 5608, 5536, 5504</t>
  </si>
  <si>
    <t>5098, 5277, 5278, 5280, 5286, 5428, 5430, 5489, 5488, 5495, 5507, 5539, 5543, 5547, 5565, 5576, 5584, 5508, 5619, 5668, 5670, 5678, 5681, 5683, 5725, 5751, 5757</t>
  </si>
  <si>
    <t>5412, 5424, 5437, 5581, 5602, 5613, 5673, 5721, 5759, 5492, 5770, 5827, 5844, 5849, 5912</t>
  </si>
  <si>
    <t>4605, 4975, 4972, 5160, 5458, 5456, 5578, 5699, 6029</t>
  </si>
  <si>
    <t>5589, 5785, 5803, 5804, 5620, 5890, 5921, 5991, 6026, 6051, 6079, 6078, 6048, 6125, 6134, 6149</t>
  </si>
  <si>
    <t>4852, 5013, 5290, 5412, 5437, 5581, 5588, 5508, 5665, 5673, 5723, 5741, 5758, 5761, 5842, 5845, 5919, 5933, 5998, 6004, 6025, 6087, 6096, 6115, 6142, 6155, 6194, 6193, 6205, 6236, 6242</t>
  </si>
  <si>
    <t>9205, 4129, 5432, 5805, 5836, 5840, 5406, 5887, 5942, 5975, 6016, 6049, 6185, 6189, 5913, 6278, 6281, 6348, 6352</t>
  </si>
  <si>
    <t>4235, 4603, CONTAINER 4, 4943, 5198, 5333, 5338, 5394, 5405, 5427, 5601, 5661, 5749, 5839, 6020, 6247, 6265, 6061, 6322, 6345, 6353, 6394</t>
  </si>
  <si>
    <t>5941, 6407, 6216, 6461, 6506, 6514</t>
  </si>
  <si>
    <t>9051, 9250, 5437, 5442, 5524, 5534, 5546, 5673, 5677, 5697, 6136, 6188, 6246, 6336, 6180, 6339, 6333, 6289, 6291, 6305, 6344, 5917, 6415, 6418, 6447, 6515, 6528, 6598, 6600</t>
  </si>
  <si>
    <t>CONTAINER 5, CONTAINER 4, 5488, 5509, 5730, 6141, 6168, 6167, 6197, 6212, 6240, 6342, 6358, 6376, 6379, 6380, 6397, 6426, 6686, 6485, 6483, 6481, 6475, 6489, 6498, 6512, 6566, 6586, 6605, 6624, 6628, 6633, 6648</t>
  </si>
  <si>
    <t>4606, CONTAINER 6, 4975, 4972, 6162, 6164, 6263, 6268, 6363, 6382, 6465-1, 6468-1, 6482, 6477, 6474, 6502-1, 6508, 6545, 6596, 6657, 6667, 6682, 6683, 6707, 6705, 6733, 6747, 6751</t>
  </si>
  <si>
    <t>6389, 6552, 6634, 6712, 6708, 6739, 6769, 6796, 6784, 6799, 6834</t>
  </si>
  <si>
    <t>CONTAINER 7, 6465-2, 6468-2, 6502-2, 6562, 6638-1, 6657, 6676, 6793, 6897, 6889, 6929, 6932, 6993</t>
  </si>
  <si>
    <t>6346-2, 6910, 6479, 6563, 6583, 6585, 6630, 6892, 6677, 6748, 6776, 6891, 6777, 6795, 6842, 6853, 6878, 6886, 6930, 6950, 6951, 6960, 6983, 6972, 7053, 6997</t>
  </si>
  <si>
    <t>CONTAINER 8, 6151, 6638-2, 6448, 6888, 6925, 6952, 7015, 7022, 7062, 7162</t>
  </si>
  <si>
    <t>CONTAINER 9, 6638-2, 7092, 6837, 6848, 6858, 6909, 6916, 7034, 7055, 7074, 7021, 7088, 7049, 7110, 7147, 7176, 7186, 7220, 7226, 5677</t>
  </si>
  <si>
    <t>CONTAINER 10, 5939, 5941, 6638-2, 6755, 6795, 6907, 7010, 7051, 7074, 7247, 7259, 7292, 7300, 7393</t>
  </si>
  <si>
    <t>6240, 6646, 6967, 6941, 7030, 7037, 7117, 7167, 7170, 7218, 7253, 7255, 7277, 7275, 7280, 7281, 7286, 7311, 7207, 7368, 7407, 7411, 7409</t>
  </si>
  <si>
    <t>7216, 7242, 7307, 7207, 7319, 7373, 7436, 7330, 7427</t>
  </si>
  <si>
    <t>CONTAINER 1, 4852, 6554, 6743, 7516, 7517, 7187, 7560, 7574, 7579</t>
  </si>
  <si>
    <t>6646, 6967, 7114, 7352, 7491, 7397, 7559, 7569, 7583, 7625, 7649, 7669, 7671, 7518, 7703, 7716, 7717</t>
  </si>
  <si>
    <t>7350, 7389, 7485, 7486, 7488, 7572, 7581, 7584, 7507, 7627, 7628, 7634, 7621, 7576, 7684, 7697, 7738, 7740, 7751, 7758, 7767</t>
  </si>
  <si>
    <t>4972, CONTAINER 11, 6638-2, 6649, 7096, 7228, 7254, 7293, 7482, 7565, 7724, 7730, 7776, 7752, 7606, 7811, 7840, 7858, 7831, 7904, 7902</t>
  </si>
  <si>
    <t>6979, 7119-1, 7879, 7911, 7933, 7924</t>
  </si>
  <si>
    <t>CONTAINER 12, SSE BACKLOG, 6638-2, 7509, 7565, 7862, 7943, 7967, 7812, 7813</t>
  </si>
  <si>
    <t>6542, 6863, 7173, 7195, 7289, 7296, 7495, 7458, 7652, 7749, 7947, 7928, 7974, 8049, 8050, 8065, 8015, 7976</t>
  </si>
  <si>
    <t>7365, 7561, 7743, 7800, 7809, 7779, 7859, 7936, 7938, 7945, 7949, 8056, 8073, 8075, 8128, 8172, 8117, 8200, 8192, 8226, 8244</t>
  </si>
  <si>
    <t>7842, 7884, 8130, 8183, 8258, 8260</t>
  </si>
  <si>
    <t>CONTAINER 2, 7119-2, 7202, 7273, 8010, 8235, 8282, 8059, 8355</t>
  </si>
  <si>
    <t>5939, 7323, 7370, 7998, 8325, 8359, 8425, 8436</t>
  </si>
  <si>
    <t>6346, 8093, 8269, 8285, 8309, 8307, 8319, 8336, 8369, 8419, 8445, 8421, 8447, 8423, 8417, 8459, 8476</t>
  </si>
  <si>
    <t>6979, 8084, 8428, 8461, 8522, 8525, 8563, 8584, 8527, 8595, 8546, 8643, 8655</t>
  </si>
  <si>
    <t>6646, 7114, 7426, 7491, 8047, 8294, 8517, 8610, 8645, 8694</t>
  </si>
  <si>
    <t>6863, 7919, 8643, 8667, 8678, 8483, 8727, 8804, 8785, 8857</t>
  </si>
  <si>
    <t>9600-NEW ZEALAND</t>
  </si>
  <si>
    <t>41300-CANADA SAUNAFIN</t>
  </si>
  <si>
    <t>WOODEN ACCESSORIES &amp; DOORS</t>
  </si>
  <si>
    <t>1x40HC</t>
  </si>
  <si>
    <t>41700-CANADA BSAUNAS BACKLOG</t>
  </si>
  <si>
    <t>CORNER MOULDING</t>
  </si>
  <si>
    <t>DOORS</t>
  </si>
  <si>
    <t>51700-MAURITIUS</t>
  </si>
  <si>
    <t>SPARE  DOOR</t>
  </si>
  <si>
    <t>note: all woods need fumigation - 10/9</t>
  </si>
  <si>
    <t>28100-AUSTRIA HARVIA</t>
  </si>
  <si>
    <t>15900- Mandaue City | Atty. Brando Raya</t>
  </si>
  <si>
    <t>WEEK 44</t>
  </si>
  <si>
    <t>1 UNIT SAUNA ROOM (1430LL-Cedar) w/ complete set of accessories and heater</t>
  </si>
  <si>
    <t>WEEK 43</t>
  </si>
  <si>
    <t>note: all woods need fumigation - 10/21</t>
  </si>
  <si>
    <t>note: crate fumigation - 9/24
customized glass - P10861 9/28</t>
  </si>
  <si>
    <t>HEATERS, CONTROLS, SPARE PARTS &amp; WOODEN ACCESSORIES</t>
  </si>
  <si>
    <t>HEATER, SPARE PARTS &amp; WOODEN ACCESSORIES</t>
  </si>
  <si>
    <t>15900- Ubay | Danilo Varela</t>
  </si>
  <si>
    <t>15900- Borongan City | Kookie Lim Uy / 3K Salon And Spa</t>
  </si>
  <si>
    <t>1 UNIT SAUNA ROOM (1414RS-Cedar) w/ complete set of accessories and heater</t>
  </si>
  <si>
    <t>58300-SAUDI ARABIA</t>
  </si>
  <si>
    <t>15900- Dagupan City |Kerwin Fernandez</t>
  </si>
  <si>
    <t>1 UNIT SAUNA ROOM (1722RSC-Hemlock) w/ complete set of accessories and heater</t>
  </si>
  <si>
    <t>1 UNIT SAUNA ROOM (1921MD-Cedar) w/ complete set of accessories and heater</t>
  </si>
  <si>
    <t>15900- Mandaue |Stephen Chian</t>
  </si>
  <si>
    <t>19300-USA SUPERIOR SAUNA</t>
  </si>
  <si>
    <t>WOODEN ACCESSORIES, R-980 &amp; DOORS</t>
  </si>
  <si>
    <t>TAGS</t>
  </si>
  <si>
    <t>737 GLASS DOOR</t>
  </si>
  <si>
    <r>
      <t xml:space="preserve">note: all woods need fumigation - TBA
</t>
    </r>
    <r>
      <rPr>
        <b/>
        <sz val="10"/>
        <color rgb="FFFF0000"/>
        <rFont val="Calibri"/>
        <family val="2"/>
        <scheme val="minor"/>
      </rPr>
      <t>note: Schedule to be confirmed based on Cedar Wood Availability</t>
    </r>
    <r>
      <rPr>
        <b/>
        <sz val="10"/>
        <color theme="1"/>
        <rFont val="Calibri"/>
        <family val="2"/>
        <scheme val="minor"/>
      </rPr>
      <t xml:space="preserve"> - ETA:10/24</t>
    </r>
  </si>
  <si>
    <t>note: all woods need fumigation - 10/16</t>
  </si>
  <si>
    <t>note: all woods need fumigation - 10/30</t>
  </si>
  <si>
    <t>note: all woods need fumigation - 11/6</t>
  </si>
  <si>
    <t>15900- Cebu City |Nelsar Alvar</t>
  </si>
  <si>
    <t>41700-CANADA BSAUNAS</t>
  </si>
  <si>
    <t>43301-THAILAND</t>
  </si>
  <si>
    <t>3 UNITS SAUNA ROOMS (2222MD- Cedar, 1111RS-IR Cedar &amp; 1310MS-Compact Cedar) w/ complete set of accessories and heater, HEATERS, CONTROLS, DOORS &amp; WOODEN ACCESSORIES</t>
  </si>
  <si>
    <t>15900- Cagayan De Oro |Kevin Anthony Pilapil Lagumbay</t>
  </si>
  <si>
    <t>1 UNIT SAUNA ROOM (1515RL-Cedar) w/ complete set of accessories and heater</t>
  </si>
  <si>
    <t>WEEK 45</t>
  </si>
  <si>
    <t>5 UNITS SAUNA ROOMS (2315LL- 3sr Hemlock &amp; 2315RL-2sr Hemlock) w/ complete set of accessories and heater</t>
  </si>
  <si>
    <t>43300-THAILAND</t>
  </si>
  <si>
    <t>1 UNIT SAUNA ROOM (1215RS-Hemlock) w/ complete set of accessories and heater</t>
  </si>
  <si>
    <t>2 UNITS SAUNA ROOMS (1420LL-Cedar &amp; 1420RL-Cedar) w/ complete set of accessories and heater, SPARE PARTS, HEATERS, CONTROLS, DOORS, PANELS, TIMBERS &amp; WOODEN ACCESSORIES</t>
  </si>
  <si>
    <t>2 UNITS SAUNA ROOMS (1420LL-Cedar &amp; 1420RL-Cedar) w/ complete set of accessories and heater &amp; SPARE PARTS</t>
  </si>
  <si>
    <t>17 UNITS SAUNA ROOMS (1414RS-3sr Cedar, 1515RL-6sr Cedar, 1419RS-Cedar &amp; 1520RL-7sr Cedar) w/ complete set of accessories and heater, SPARE PARTS, HEATERS, DOORS &amp; WOODEN ACCESSORIES</t>
  </si>
  <si>
    <t>2 UNITS SAUNA ROOMS (2222MD-Cedar &amp; 1214RS-Cedar), WOODEN ACCESSORIES &amp; DOORS</t>
  </si>
  <si>
    <t>CBM
as of 10/9</t>
  </si>
  <si>
    <t xml:space="preserve">n/a </t>
  </si>
  <si>
    <t>customized glass - P11267</t>
  </si>
  <si>
    <t>note: all woods need fumigation - 11/6
customized glass - P11268</t>
  </si>
  <si>
    <t>note: all woods need fumigation - 10/9
DONE 10/13</t>
  </si>
  <si>
    <t>HEATERS, CONTROLS &amp; SAUNA STONES, WOODEN ACCESSORIES</t>
  </si>
  <si>
    <t>SPARE PARTS &amp; WOODEN ACCESSORIES</t>
  </si>
  <si>
    <t>15900- Cebu City |Stephanie Sarmiento</t>
  </si>
  <si>
    <t>15900- Batangas City |Angela Joy Medes Mandigma</t>
  </si>
  <si>
    <t>1 UNIT SAUNA ROOM (1618ML-Cedar) w/ complete set of accessories and heater</t>
  </si>
  <si>
    <t>15900- Iloilo |Rocky Go</t>
  </si>
  <si>
    <t>1 UNIT SAUNA ROOM (1515RL-Outdoor Cedar) w/ complete set of accessories and heater</t>
  </si>
  <si>
    <t>12100-HOLLAND HALU</t>
  </si>
  <si>
    <t>518-D</t>
  </si>
  <si>
    <t>WEEK 46</t>
  </si>
  <si>
    <t>15900- Makati |Techiron Resources Inc.</t>
  </si>
  <si>
    <t>2300-HONGKONG</t>
  </si>
  <si>
    <t>IR-PANEL-1-D</t>
  </si>
  <si>
    <t>15900- Manila Office Stocking</t>
  </si>
  <si>
    <t>SPARE PARTS &amp; R-990-N</t>
  </si>
  <si>
    <t>15900- Binangonan Rizal |Dr. Jonathan Emmanuel Sandejas</t>
  </si>
  <si>
    <t>1 UNIT SAUNA ROOM (1618LS-Cedar) w/ complete set of accessories and heater</t>
  </si>
  <si>
    <t>PULL-OUT 10/28</t>
  </si>
  <si>
    <t>15900- Cavite | Kristine Austria</t>
  </si>
  <si>
    <t>15900- Quezon City | Hans Jason Tan</t>
  </si>
  <si>
    <t>HEATER GUARD</t>
  </si>
  <si>
    <t>15900- Cainta Rizal | Mary Baquiran</t>
  </si>
  <si>
    <t>WEEK 48</t>
  </si>
  <si>
    <t>43940-THAILAND</t>
  </si>
  <si>
    <t>HEATER</t>
  </si>
  <si>
    <t>4X PACKING</t>
  </si>
  <si>
    <t>27200-UAE</t>
  </si>
  <si>
    <t>COMPLETION RATE (as of October 16)</t>
  </si>
  <si>
    <t>WEEK 43 2026 — FOR MANAGEMENT &amp; PRODUCTION SUMMARY</t>
  </si>
  <si>
    <t>2 UNITS SAUNA ROOMS (1618RS-Cedar/Hemlock &amp; 2129MS-Cedar/Hemlock) w/ complete set of accessories and heater</t>
  </si>
  <si>
    <t>1500-SAWO SAUNA EUROPE BV BACKLOG</t>
  </si>
  <si>
    <t>CONTAINER 14
note: all woods need fumigation - 11/13</t>
  </si>
  <si>
    <t>As of October 16, 2026</t>
  </si>
  <si>
    <t>SO4743, 5062, 4752, 4747, 4742, 7439</t>
  </si>
  <si>
    <t>NRMN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</si>
</sst>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6">
    <numFmt numFmtId="44" formatCode="_-&quot;₱&quot;* #,##0.00_-;\-&quot;₱&quot;* #,##0.00_-;_-&quot;₱&quot;* &quot;-&quot;??_-;_-@_-"/>
    <numFmt numFmtId="43" formatCode="_-* #,##0.00_-;\-* #,##0.00_-;_-* &quot;-&quot;??_-;_-@_-"/>
    <numFmt numFmtId="164" formatCode="_(* #,##0.00_);_(* \(#,##0.00\);_(* &quot;-&quot;??_);_(@_)"/>
    <numFmt numFmtId="165" formatCode="0.0%"/>
    <numFmt numFmtId="166" formatCode="0.0"/>
    <numFmt numFmtId="167" formatCode="m/d/yy;@"/>
    <numFmt numFmtId="168" formatCode="ddd"/>
    <numFmt numFmtId="169" formatCode="0.0000"/>
    <numFmt numFmtId="170" formatCode="0.000"/>
    <numFmt numFmtId="171" formatCode="mmm\ d"/>
    <numFmt numFmtId="172" formatCode="0.000%"/>
    <numFmt numFmtId="173" formatCode="m/d;@"/>
    <numFmt numFmtId="174" formatCode="#,##0.0"/>
    <numFmt numFmtId="175" formatCode="mmm\ d;;;"/>
    <numFmt numFmtId="176" formatCode="0.0%;\(0.0%\);\-"/>
    <numFmt numFmtId="177" formatCode="mmm\ dd"/>
  </numFmts>
  <fonts count="108" x14ac:knownFonts="1">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indexed="8"/>
      <name val="Calibri"/>
      <family val="2"/>
    </font>
    <font>
      <sz val="10"/>
      <name val="Arial"/>
      <family val="2"/>
    </font>
    <font>
      <sz val="8"/>
      <name val="Arial"/>
      <family val="2"/>
    </font>
    <font>
      <b/>
      <sz val="10"/>
      <name val="Arial"/>
      <family val="2"/>
    </font>
    <font>
      <sz val="10"/>
      <name val="Arial"/>
      <family val="2"/>
    </font>
    <font>
      <sz val="10"/>
      <name val="Arial"/>
      <family val="2"/>
    </font>
    <font>
      <sz val="9"/>
      <color indexed="81"/>
      <name val="Tahoma"/>
      <family val="2"/>
    </font>
    <font>
      <b/>
      <sz val="9"/>
      <color indexed="81"/>
      <name val="Tahoma"/>
      <family val="2"/>
    </font>
    <font>
      <sz val="11"/>
      <color indexed="8"/>
      <name val="Calibri"/>
      <family val="2"/>
    </font>
    <font>
      <sz val="10"/>
      <name val="Arial"/>
      <family val="2"/>
    </font>
    <font>
      <sz val="11"/>
      <color theme="1"/>
      <name val="Calibri"/>
      <family val="2"/>
      <scheme val="minor"/>
    </font>
    <font>
      <sz val="11"/>
      <color theme="0"/>
      <name val="Calibri"/>
      <family val="2"/>
      <scheme val="minor"/>
    </font>
    <font>
      <sz val="11"/>
      <color rgb="FF9C0006"/>
      <name val="Calibri"/>
      <family val="2"/>
      <scheme val="minor"/>
    </font>
    <font>
      <b/>
      <sz val="11"/>
      <color rgb="FFFA7D00"/>
      <name val="Calibri"/>
      <family val="2"/>
      <scheme val="minor"/>
    </font>
    <font>
      <b/>
      <sz val="11"/>
      <color theme="0"/>
      <name val="Calibri"/>
      <family val="2"/>
      <scheme val="minor"/>
    </font>
    <font>
      <i/>
      <sz val="11"/>
      <color rgb="FF7F7F7F"/>
      <name val="Calibri"/>
      <family val="2"/>
      <scheme val="minor"/>
    </font>
    <font>
      <sz val="11"/>
      <color rgb="FF006100"/>
      <name val="Calibri"/>
      <family val="2"/>
      <scheme val="minor"/>
    </font>
    <font>
      <b/>
      <sz val="15"/>
      <color theme="3"/>
      <name val="Calibri"/>
      <family val="2"/>
      <scheme val="minor"/>
    </font>
    <font>
      <b/>
      <sz val="13"/>
      <color theme="3"/>
      <name val="Calibri"/>
      <family val="2"/>
      <scheme val="minor"/>
    </font>
    <font>
      <b/>
      <sz val="11"/>
      <color theme="3"/>
      <name val="Calibri"/>
      <family val="2"/>
      <scheme val="minor"/>
    </font>
    <font>
      <u/>
      <sz val="9.9"/>
      <color theme="10"/>
      <name val="Calibri"/>
      <family val="2"/>
    </font>
    <font>
      <sz val="11"/>
      <color rgb="FF3F3F76"/>
      <name val="Calibri"/>
      <family val="2"/>
      <scheme val="minor"/>
    </font>
    <font>
      <sz val="11"/>
      <color rgb="FFFA7D00"/>
      <name val="Calibri"/>
      <family val="2"/>
      <scheme val="minor"/>
    </font>
    <font>
      <sz val="11"/>
      <color rgb="FF9C6500"/>
      <name val="Calibri"/>
      <family val="2"/>
      <scheme val="minor"/>
    </font>
    <font>
      <sz val="11"/>
      <color theme="1"/>
      <name val="Calibri"/>
      <family val="2"/>
      <charset val="204"/>
      <scheme val="minor"/>
    </font>
    <font>
      <sz val="11"/>
      <color theme="1"/>
      <name val="Comic Sans MS"/>
      <family val="2"/>
    </font>
    <font>
      <b/>
      <sz val="11"/>
      <color rgb="FF3F3F3F"/>
      <name val="Calibri"/>
      <family val="2"/>
      <scheme val="minor"/>
    </font>
    <font>
      <b/>
      <sz val="18"/>
      <color theme="3"/>
      <name val="Cambria"/>
      <family val="2"/>
      <scheme val="major"/>
    </font>
    <font>
      <b/>
      <sz val="11"/>
      <color theme="1"/>
      <name val="Calibri"/>
      <family val="2"/>
      <scheme val="minor"/>
    </font>
    <font>
      <sz val="11"/>
      <color rgb="FFFF0000"/>
      <name val="Calibri"/>
      <family val="2"/>
      <scheme val="minor"/>
    </font>
    <font>
      <b/>
      <sz val="18"/>
      <color theme="1"/>
      <name val="Calibri"/>
      <family val="2"/>
      <scheme val="minor"/>
    </font>
    <font>
      <b/>
      <sz val="10"/>
      <color theme="1"/>
      <name val="Calibri"/>
      <family val="2"/>
      <scheme val="minor"/>
    </font>
    <font>
      <b/>
      <sz val="12"/>
      <color theme="1"/>
      <name val="Calibri"/>
      <family val="2"/>
      <scheme val="minor"/>
    </font>
    <font>
      <sz val="12"/>
      <color theme="1"/>
      <name val="Calibri"/>
      <family val="2"/>
      <scheme val="minor"/>
    </font>
    <font>
      <sz val="14"/>
      <color theme="1"/>
      <name val="Calibri"/>
      <family val="2"/>
      <scheme val="minor"/>
    </font>
    <font>
      <b/>
      <sz val="14"/>
      <color theme="1"/>
      <name val="Calibri"/>
      <family val="2"/>
      <scheme val="minor"/>
    </font>
    <font>
      <b/>
      <sz val="16"/>
      <color theme="1"/>
      <name val="Calibri"/>
      <family val="2"/>
      <scheme val="minor"/>
    </font>
    <font>
      <b/>
      <sz val="10"/>
      <name val="Calibri"/>
      <family val="2"/>
      <scheme val="minor"/>
    </font>
    <font>
      <b/>
      <sz val="14"/>
      <color rgb="FF0000FF"/>
      <name val="Calibri"/>
      <family val="2"/>
      <scheme val="minor"/>
    </font>
    <font>
      <sz val="10"/>
      <name val="Calibri"/>
      <family val="2"/>
      <scheme val="minor"/>
    </font>
    <font>
      <b/>
      <sz val="10"/>
      <color indexed="10"/>
      <name val="Calibri"/>
      <family val="2"/>
      <scheme val="minor"/>
    </font>
    <font>
      <b/>
      <sz val="8"/>
      <name val="Calibri"/>
      <family val="2"/>
      <scheme val="minor"/>
    </font>
    <font>
      <b/>
      <sz val="6"/>
      <name val="Calibri"/>
      <family val="2"/>
      <scheme val="minor"/>
    </font>
    <font>
      <sz val="8"/>
      <color theme="0"/>
      <name val="Calibri"/>
      <family val="2"/>
      <scheme val="minor"/>
    </font>
    <font>
      <b/>
      <sz val="8"/>
      <name val="Wingdings 2"/>
      <family val="1"/>
      <charset val="2"/>
    </font>
    <font>
      <b/>
      <sz val="8"/>
      <color theme="6" tint="-0.249977111117893"/>
      <name val="Calibri"/>
      <family val="2"/>
      <scheme val="minor"/>
    </font>
    <font>
      <sz val="10"/>
      <color theme="6" tint="-0.249977111117893"/>
      <name val="Calibri"/>
      <family val="2"/>
      <scheme val="minor"/>
    </font>
    <font>
      <b/>
      <sz val="8"/>
      <color theme="7" tint="-0.249977111117893"/>
      <name val="Calibri"/>
      <family val="2"/>
      <scheme val="minor"/>
    </font>
    <font>
      <b/>
      <sz val="8"/>
      <color theme="0"/>
      <name val="Calibri"/>
      <family val="2"/>
      <scheme val="minor"/>
    </font>
    <font>
      <sz val="6"/>
      <name val="Calibri"/>
      <family val="2"/>
      <scheme val="minor"/>
    </font>
    <font>
      <b/>
      <sz val="6"/>
      <color theme="7" tint="-0.249977111117893"/>
      <name val="Calibri"/>
      <family val="2"/>
      <scheme val="minor"/>
    </font>
    <font>
      <b/>
      <sz val="11"/>
      <name val="Calibri"/>
      <family val="2"/>
      <scheme val="minor"/>
    </font>
    <font>
      <i/>
      <sz val="10"/>
      <name val="Arial"/>
      <family val="2"/>
    </font>
    <font>
      <b/>
      <sz val="18"/>
      <color rgb="FF0000FF"/>
      <name val="Calibri"/>
      <family val="2"/>
      <scheme val="minor"/>
    </font>
    <font>
      <sz val="18"/>
      <color theme="1"/>
      <name val="Calibri"/>
      <family val="2"/>
      <scheme val="minor"/>
    </font>
    <font>
      <b/>
      <sz val="12"/>
      <color rgb="FF000000"/>
      <name val="Calibri"/>
      <family val="2"/>
    </font>
    <font>
      <i/>
      <sz val="11"/>
      <color theme="1"/>
      <name val="Calibri"/>
      <family val="2"/>
      <scheme val="minor"/>
    </font>
    <font>
      <b/>
      <sz val="11"/>
      <color rgb="FF0000FF"/>
      <name val="Calibri"/>
      <family val="2"/>
      <scheme val="minor"/>
    </font>
    <font>
      <b/>
      <sz val="11"/>
      <color rgb="FFFF0000"/>
      <name val="Calibri"/>
      <family val="2"/>
      <scheme val="minor"/>
    </font>
    <font>
      <sz val="10"/>
      <color rgb="FFFF0000"/>
      <name val="Calibri"/>
      <family val="2"/>
      <scheme val="minor"/>
    </font>
    <font>
      <sz val="8"/>
      <name val="Calibri"/>
      <family val="2"/>
      <scheme val="minor"/>
    </font>
    <font>
      <sz val="8"/>
      <color theme="7" tint="-0.249977111117893"/>
      <name val="Calibri"/>
      <family val="2"/>
      <scheme val="minor"/>
    </font>
    <font>
      <b/>
      <sz val="10"/>
      <color rgb="FF0000FF"/>
      <name val="Arial"/>
      <family val="2"/>
    </font>
    <font>
      <b/>
      <sz val="14"/>
      <name val="Calibri"/>
      <family val="2"/>
    </font>
    <font>
      <i/>
      <sz val="9"/>
      <color rgb="FF595959"/>
      <name val="Arial"/>
      <family val="2"/>
    </font>
    <font>
      <b/>
      <sz val="11"/>
      <color rgb="FFFFFFFF"/>
      <name val="Arial"/>
      <family val="2"/>
    </font>
    <font>
      <sz val="10"/>
      <color rgb="FF008000"/>
      <name val="Arial"/>
      <family val="2"/>
    </font>
    <font>
      <b/>
      <sz val="10"/>
      <color rgb="FFFF0000"/>
      <name val="Calibri"/>
      <family val="2"/>
      <scheme val="minor"/>
    </font>
    <font>
      <b/>
      <sz val="10"/>
      <color rgb="FF008000"/>
      <name val="Arial"/>
      <family val="2"/>
    </font>
    <font>
      <b/>
      <i/>
      <sz val="10"/>
      <name val="Calibri"/>
      <family val="2"/>
      <scheme val="minor"/>
    </font>
    <font>
      <i/>
      <sz val="10"/>
      <name val="Calibri"/>
      <family val="2"/>
      <scheme val="minor"/>
    </font>
    <font>
      <sz val="10"/>
      <color theme="1"/>
      <name val="Calibri"/>
      <family val="2"/>
      <scheme val="minor"/>
    </font>
    <font>
      <b/>
      <sz val="10"/>
      <color indexed="8"/>
      <name val="Calibri"/>
      <family val="2"/>
      <scheme val="minor"/>
    </font>
    <font>
      <sz val="10"/>
      <color rgb="FF000000"/>
      <name val="Times New Roman"/>
      <family val="1"/>
    </font>
    <font>
      <b/>
      <sz val="13"/>
      <color theme="1"/>
      <name val="Calibri"/>
      <family val="2"/>
      <scheme val="minor"/>
    </font>
    <font>
      <b/>
      <sz val="13"/>
      <color rgb="FF0000FF"/>
      <name val="Calibri"/>
      <family val="2"/>
      <scheme val="minor"/>
    </font>
    <font>
      <sz val="13"/>
      <color theme="1"/>
      <name val="Calibri"/>
      <family val="2"/>
      <scheme val="minor"/>
    </font>
    <font>
      <i/>
      <sz val="9"/>
      <color theme="1"/>
      <name val="Calibri"/>
      <family val="2"/>
      <scheme val="minor"/>
    </font>
  </fonts>
  <fills count="45">
    <fill>
      <patternFill patternType="none"/>
    </fill>
    <fill>
      <patternFill patternType="gray125"/>
    </fill>
    <fill>
      <patternFill patternType="solid">
        <fgColor indexed="13"/>
        <bgColor indexed="64"/>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
      <patternFill patternType="solid">
        <fgColor theme="8" tint="0.59999389629810485"/>
        <bgColor indexed="64"/>
      </patternFill>
    </fill>
    <fill>
      <patternFill patternType="solid">
        <fgColor theme="9" tint="0.59999389629810485"/>
        <bgColor indexed="64"/>
      </patternFill>
    </fill>
    <fill>
      <patternFill patternType="solid">
        <fgColor theme="4" tint="0.79998168889431442"/>
        <bgColor theme="4" tint="0.79998168889431442"/>
      </patternFill>
    </fill>
    <fill>
      <patternFill patternType="solid">
        <fgColor rgb="FFFFFF00"/>
        <bgColor indexed="64"/>
      </patternFill>
    </fill>
    <fill>
      <patternFill patternType="solid">
        <fgColor rgb="FF00B050"/>
        <bgColor indexed="64"/>
      </patternFill>
    </fill>
    <fill>
      <patternFill patternType="solid">
        <fgColor theme="9" tint="0.39997558519241921"/>
        <bgColor indexed="64"/>
      </patternFill>
    </fill>
    <fill>
      <patternFill patternType="solid">
        <fgColor rgb="FF1F4E78"/>
        <bgColor indexed="64"/>
      </patternFill>
    </fill>
    <fill>
      <patternFill patternType="solid">
        <fgColor rgb="FFD9E1F2"/>
        <bgColor indexed="64"/>
      </patternFill>
    </fill>
    <fill>
      <patternFill patternType="solid">
        <fgColor rgb="FFFFF2CC"/>
        <bgColor indexed="64"/>
      </patternFill>
    </fill>
    <fill>
      <patternFill patternType="solid">
        <fgColor theme="0"/>
        <bgColor indexed="64"/>
      </patternFill>
    </fill>
    <fill>
      <patternFill patternType="solid">
        <fgColor rgb="FFB7DEE8"/>
        <bgColor indexed="64"/>
      </patternFill>
    </fill>
  </fills>
  <borders count="2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right/>
      <top/>
      <bottom style="thin">
        <color theme="4" tint="0.39997558519241921"/>
      </bottom>
      <diagonal/>
    </border>
    <border>
      <left/>
      <right/>
      <top style="thin">
        <color theme="4" tint="0.39997558519241921"/>
      </top>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bottom style="thin">
        <color theme="0" tint="-0.24994659260841701"/>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s>
  <cellStyleXfs count="375">
    <xf numFmtId="0" fontId="0" fillId="0" borderId="0"/>
    <xf numFmtId="0" fontId="33" fillId="0" borderId="0" applyNumberFormat="0" applyFill="0" applyBorder="0" applyAlignment="0" applyProtection="0"/>
    <xf numFmtId="0" fontId="82" fillId="0" borderId="0" applyNumberFormat="0" applyFill="0" applyBorder="0" applyAlignment="0" applyProtection="0"/>
    <xf numFmtId="0" fontId="40" fillId="3" borderId="0" applyNumberFormat="0" applyBorder="0" applyAlignment="0" applyProtection="0"/>
    <xf numFmtId="0" fontId="40" fillId="3" borderId="0" applyNumberFormat="0" applyBorder="0" applyAlignment="0" applyProtection="0"/>
    <xf numFmtId="0" fontId="40" fillId="3" borderId="0" applyNumberFormat="0" applyBorder="0" applyAlignment="0" applyProtection="0"/>
    <xf numFmtId="0" fontId="40" fillId="4" borderId="0" applyNumberFormat="0" applyBorder="0" applyAlignment="0" applyProtection="0"/>
    <xf numFmtId="0" fontId="40" fillId="4" borderId="0" applyNumberFormat="0" applyBorder="0" applyAlignment="0" applyProtection="0"/>
    <xf numFmtId="0" fontId="40" fillId="4" borderId="0" applyNumberFormat="0" applyBorder="0" applyAlignment="0" applyProtection="0"/>
    <xf numFmtId="0" fontId="40" fillId="5" borderId="0" applyNumberFormat="0" applyBorder="0" applyAlignment="0" applyProtection="0"/>
    <xf numFmtId="0" fontId="40" fillId="5" borderId="0" applyNumberFormat="0" applyBorder="0" applyAlignment="0" applyProtection="0"/>
    <xf numFmtId="0" fontId="40" fillId="5" borderId="0" applyNumberFormat="0" applyBorder="0" applyAlignment="0" applyProtection="0"/>
    <xf numFmtId="0" fontId="40" fillId="6" borderId="0" applyNumberFormat="0" applyBorder="0" applyAlignment="0" applyProtection="0"/>
    <xf numFmtId="0" fontId="40" fillId="6" borderId="0" applyNumberFormat="0" applyBorder="0" applyAlignment="0" applyProtection="0"/>
    <xf numFmtId="0" fontId="40" fillId="6" borderId="0" applyNumberFormat="0" applyBorder="0" applyAlignment="0" applyProtection="0"/>
    <xf numFmtId="0" fontId="40" fillId="7" borderId="0" applyNumberFormat="0" applyBorder="0" applyAlignment="0" applyProtection="0"/>
    <xf numFmtId="0" fontId="40" fillId="7" borderId="0" applyNumberFormat="0" applyBorder="0" applyAlignment="0" applyProtection="0"/>
    <xf numFmtId="0" fontId="40" fillId="8" borderId="0" applyNumberFormat="0" applyBorder="0" applyAlignment="0" applyProtection="0"/>
    <xf numFmtId="0" fontId="40" fillId="8" borderId="0" applyNumberFormat="0" applyBorder="0" applyAlignment="0" applyProtection="0"/>
    <xf numFmtId="0" fontId="40" fillId="9" borderId="0" applyNumberFormat="0" applyBorder="0" applyAlignment="0" applyProtection="0"/>
    <xf numFmtId="0" fontId="40" fillId="9" borderId="0" applyNumberFormat="0" applyBorder="0" applyAlignment="0" applyProtection="0"/>
    <xf numFmtId="0" fontId="40" fillId="10" borderId="0" applyNumberFormat="0" applyBorder="0" applyAlignment="0" applyProtection="0"/>
    <xf numFmtId="0" fontId="40" fillId="10" borderId="0" applyNumberFormat="0" applyBorder="0" applyAlignment="0" applyProtection="0"/>
    <xf numFmtId="0" fontId="40" fillId="11" borderId="0" applyNumberFormat="0" applyBorder="0" applyAlignment="0" applyProtection="0"/>
    <xf numFmtId="0" fontId="40" fillId="11" borderId="0" applyNumberFormat="0" applyBorder="0" applyAlignment="0" applyProtection="0"/>
    <xf numFmtId="0" fontId="40" fillId="11" borderId="0" applyNumberFormat="0" applyBorder="0" applyAlignment="0" applyProtection="0"/>
    <xf numFmtId="0" fontId="40" fillId="12" borderId="0" applyNumberFormat="0" applyBorder="0" applyAlignment="0" applyProtection="0"/>
    <xf numFmtId="0" fontId="40" fillId="12" borderId="0" applyNumberFormat="0" applyBorder="0" applyAlignment="0" applyProtection="0"/>
    <xf numFmtId="0" fontId="40" fillId="13" borderId="0" applyNumberFormat="0" applyBorder="0" applyAlignment="0" applyProtection="0"/>
    <xf numFmtId="0" fontId="40" fillId="13" borderId="0" applyNumberFormat="0" applyBorder="0" applyAlignment="0" applyProtection="0"/>
    <xf numFmtId="0" fontId="40" fillId="14" borderId="0" applyNumberFormat="0" applyBorder="0" applyAlignment="0" applyProtection="0"/>
    <xf numFmtId="0" fontId="40" fillId="14" borderId="0" applyNumberFormat="0" applyBorder="0" applyAlignment="0" applyProtection="0"/>
    <xf numFmtId="0" fontId="41" fillId="15" borderId="0" applyNumberFormat="0" applyBorder="0" applyAlignment="0" applyProtection="0"/>
    <xf numFmtId="0" fontId="41" fillId="16" borderId="0" applyNumberFormat="0" applyBorder="0" applyAlignment="0" applyProtection="0"/>
    <xf numFmtId="0" fontId="41" fillId="17" borderId="0" applyNumberFormat="0" applyBorder="0" applyAlignment="0" applyProtection="0"/>
    <xf numFmtId="0" fontId="41" fillId="17" borderId="0" applyNumberFormat="0" applyBorder="0" applyAlignment="0" applyProtection="0"/>
    <xf numFmtId="0" fontId="41" fillId="18" borderId="0" applyNumberFormat="0" applyBorder="0" applyAlignment="0" applyProtection="0"/>
    <xf numFmtId="0" fontId="41" fillId="18" borderId="0" applyNumberFormat="0" applyBorder="0" applyAlignment="0" applyProtection="0"/>
    <xf numFmtId="0" fontId="41" fillId="19" borderId="0" applyNumberFormat="0" applyBorder="0" applyAlignment="0" applyProtection="0"/>
    <xf numFmtId="0" fontId="41" fillId="20" borderId="0" applyNumberFormat="0" applyBorder="0" applyAlignment="0" applyProtection="0"/>
    <xf numFmtId="0" fontId="41" fillId="20" borderId="0" applyNumberFormat="0" applyBorder="0" applyAlignment="0" applyProtection="0"/>
    <xf numFmtId="0" fontId="41" fillId="21" borderId="0" applyNumberFormat="0" applyBorder="0" applyAlignment="0" applyProtection="0"/>
    <xf numFmtId="0" fontId="41" fillId="22" borderId="0" applyNumberFormat="0" applyBorder="0" applyAlignment="0" applyProtection="0"/>
    <xf numFmtId="0" fontId="41" fillId="23" borderId="0" applyNumberFormat="0" applyBorder="0" applyAlignment="0" applyProtection="0"/>
    <xf numFmtId="0" fontId="41" fillId="24" borderId="0" applyNumberFormat="0" applyBorder="0" applyAlignment="0" applyProtection="0"/>
    <xf numFmtId="0" fontId="41" fillId="25" borderId="0" applyNumberFormat="0" applyBorder="0" applyAlignment="0" applyProtection="0"/>
    <xf numFmtId="0" fontId="41" fillId="26" borderId="0" applyNumberFormat="0" applyBorder="0" applyAlignment="0" applyProtection="0"/>
    <xf numFmtId="0" fontId="42" fillId="27" borderId="0" applyNumberFormat="0" applyBorder="0" applyAlignment="0" applyProtection="0"/>
    <xf numFmtId="0" fontId="43" fillId="28" borderId="7" applyNumberFormat="0" applyAlignment="0" applyProtection="0"/>
    <xf numFmtId="0" fontId="44" fillId="29" borderId="8" applyNumberFormat="0" applyAlignment="0" applyProtection="0"/>
    <xf numFmtId="164" fontId="40" fillId="0" borderId="0" applyFont="0" applyFill="0" applyBorder="0" applyAlignment="0" applyProtection="0"/>
    <xf numFmtId="164" fontId="40" fillId="0" borderId="0" applyFont="0" applyFill="0" applyBorder="0" applyAlignment="0" applyProtection="0"/>
    <xf numFmtId="43" fontId="40" fillId="0" borderId="0" applyFont="0" applyFill="0" applyBorder="0" applyAlignment="0" applyProtection="0"/>
    <xf numFmtId="43" fontId="40" fillId="0" borderId="0" applyFont="0" applyFill="0" applyBorder="0" applyAlignment="0" applyProtection="0"/>
    <xf numFmtId="43" fontId="40" fillId="0" borderId="0" applyFont="0" applyFill="0" applyBorder="0" applyAlignment="0" applyProtection="0"/>
    <xf numFmtId="43" fontId="40" fillId="0" borderId="0" applyFont="0" applyFill="0" applyBorder="0" applyAlignment="0" applyProtection="0"/>
    <xf numFmtId="164" fontId="39"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0" fontId="45" fillId="0" borderId="0" applyNumberFormat="0" applyFill="0" applyBorder="0" applyAlignment="0" applyProtection="0"/>
    <xf numFmtId="0" fontId="46" fillId="30" borderId="0" applyNumberFormat="0" applyBorder="0" applyAlignment="0" applyProtection="0"/>
    <xf numFmtId="0" fontId="47" fillId="0" borderId="9" applyNumberFormat="0" applyFill="0" applyAlignment="0" applyProtection="0"/>
    <xf numFmtId="0" fontId="48" fillId="0" borderId="10" applyNumberFormat="0" applyFill="0" applyAlignment="0" applyProtection="0"/>
    <xf numFmtId="0" fontId="49" fillId="0" borderId="11" applyNumberFormat="0" applyFill="0" applyAlignment="0" applyProtection="0"/>
    <xf numFmtId="0" fontId="49" fillId="0" borderId="0" applyNumberFormat="0" applyFill="0" applyBorder="0" applyAlignment="0" applyProtection="0"/>
    <xf numFmtId="0" fontId="50" fillId="0" borderId="0" applyNumberFormat="0" applyFill="0" applyBorder="0" applyAlignment="0" applyProtection="0">
      <alignment vertical="top"/>
      <protection locked="0"/>
    </xf>
    <xf numFmtId="0" fontId="51" fillId="31" borderId="7" applyNumberFormat="0" applyAlignment="0" applyProtection="0"/>
    <xf numFmtId="0" fontId="52" fillId="0" borderId="12" applyNumberFormat="0" applyFill="0" applyAlignment="0" applyProtection="0"/>
    <xf numFmtId="0" fontId="53" fillId="32" borderId="0" applyNumberFormat="0" applyBorder="0" applyAlignment="0" applyProtection="0"/>
    <xf numFmtId="0" fontId="31" fillId="0" borderId="0"/>
    <xf numFmtId="0" fontId="31" fillId="0" borderId="0"/>
    <xf numFmtId="0" fontId="31" fillId="0" borderId="0"/>
    <xf numFmtId="0" fontId="31" fillId="0" borderId="0"/>
    <xf numFmtId="0" fontId="31" fillId="0" borderId="0"/>
    <xf numFmtId="0" fontId="31" fillId="0" borderId="0"/>
    <xf numFmtId="0" fontId="54" fillId="0" borderId="0"/>
    <xf numFmtId="0" fontId="34" fillId="0" borderId="0"/>
    <xf numFmtId="0" fontId="55" fillId="0" borderId="0"/>
    <xf numFmtId="0" fontId="31" fillId="0" borderId="0"/>
    <xf numFmtId="0" fontId="34" fillId="0" borderId="0"/>
    <xf numFmtId="0" fontId="31" fillId="0" borderId="0"/>
    <xf numFmtId="0" fontId="34" fillId="0" borderId="0"/>
    <xf numFmtId="0" fontId="31" fillId="0" borderId="0"/>
    <xf numFmtId="0" fontId="34" fillId="0" borderId="0"/>
    <xf numFmtId="0" fontId="31" fillId="0" borderId="0"/>
    <xf numFmtId="0" fontId="40" fillId="0" borderId="0"/>
    <xf numFmtId="0" fontId="40" fillId="0" borderId="0"/>
    <xf numFmtId="0" fontId="31" fillId="0" borderId="0"/>
    <xf numFmtId="0" fontId="31" fillId="0" borderId="0"/>
    <xf numFmtId="0" fontId="34" fillId="0" borderId="0"/>
    <xf numFmtId="0" fontId="31" fillId="0" borderId="0"/>
    <xf numFmtId="0" fontId="34" fillId="0" borderId="0"/>
    <xf numFmtId="0" fontId="31" fillId="0" borderId="0"/>
    <xf numFmtId="0" fontId="34" fillId="0" borderId="0"/>
    <xf numFmtId="0" fontId="31" fillId="0" borderId="0"/>
    <xf numFmtId="0" fontId="40" fillId="33" borderId="13" applyNumberFormat="0" applyFont="0" applyAlignment="0" applyProtection="0"/>
    <xf numFmtId="0" fontId="40" fillId="33" borderId="13" applyNumberFormat="0" applyFont="0" applyAlignment="0" applyProtection="0"/>
    <xf numFmtId="0" fontId="56" fillId="28" borderId="14" applyNumberFormat="0" applyAlignment="0" applyProtection="0"/>
    <xf numFmtId="9" fontId="31" fillId="0" borderId="0" applyFont="0" applyFill="0" applyBorder="0" applyAlignment="0" applyProtection="0"/>
    <xf numFmtId="9" fontId="35" fillId="0" borderId="0" applyFont="0" applyFill="0" applyBorder="0" applyAlignment="0" applyProtection="0"/>
    <xf numFmtId="9" fontId="31" fillId="0" borderId="0" applyFont="0" applyFill="0" applyBorder="0" applyAlignment="0" applyProtection="0"/>
    <xf numFmtId="9" fontId="40" fillId="0" borderId="0" applyFont="0" applyFill="0" applyBorder="0" applyAlignment="0" applyProtection="0"/>
    <xf numFmtId="9" fontId="40" fillId="0" borderId="0" applyFont="0" applyFill="0" applyBorder="0" applyAlignment="0" applyProtection="0"/>
    <xf numFmtId="9" fontId="39"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0" fontId="38" fillId="0" borderId="0" applyNumberFormat="0" applyFill="0" applyBorder="0" applyProtection="0">
      <alignment horizontal="left"/>
    </xf>
    <xf numFmtId="0" fontId="30" fillId="0" borderId="0" applyNumberFormat="0" applyFill="0" applyBorder="0" applyProtection="0">
      <alignment horizontal="left"/>
    </xf>
    <xf numFmtId="0" fontId="57" fillId="0" borderId="0" applyNumberFormat="0" applyFill="0" applyBorder="0" applyAlignment="0" applyProtection="0"/>
    <xf numFmtId="0" fontId="58" fillId="0" borderId="15" applyNumberFormat="0" applyFill="0" applyAlignment="0" applyProtection="0"/>
    <xf numFmtId="0" fontId="59" fillId="0" borderId="0" applyNumberFormat="0" applyFill="0" applyBorder="0" applyAlignment="0" applyProtection="0"/>
    <xf numFmtId="0" fontId="29" fillId="0" borderId="0"/>
    <xf numFmtId="0" fontId="28" fillId="0" borderId="0"/>
    <xf numFmtId="0" fontId="25" fillId="0" borderId="0"/>
    <xf numFmtId="0" fontId="24" fillId="0" borderId="0"/>
    <xf numFmtId="44" fontId="24" fillId="0" borderId="0" applyFont="0" applyFill="0" applyBorder="0" applyAlignment="0" applyProtection="0"/>
    <xf numFmtId="0" fontId="23" fillId="0" borderId="0"/>
    <xf numFmtId="0" fontId="22" fillId="0" borderId="0"/>
    <xf numFmtId="44" fontId="22" fillId="0" borderId="0" applyFont="0" applyFill="0" applyBorder="0" applyAlignment="0" applyProtection="0"/>
    <xf numFmtId="0" fontId="21" fillId="0" borderId="0"/>
    <xf numFmtId="44" fontId="21" fillId="0" borderId="0" applyFont="0" applyFill="0" applyBorder="0" applyAlignment="0" applyProtection="0"/>
    <xf numFmtId="0" fontId="20" fillId="0" borderId="0"/>
    <xf numFmtId="44" fontId="20" fillId="0" borderId="0" applyFont="0" applyFill="0" applyBorder="0" applyAlignment="0" applyProtection="0"/>
    <xf numFmtId="0" fontId="19" fillId="0" borderId="0"/>
    <xf numFmtId="44" fontId="19" fillId="0" borderId="0" applyFont="0" applyFill="0" applyBorder="0" applyAlignment="0" applyProtection="0"/>
    <xf numFmtId="0" fontId="18" fillId="0" borderId="0"/>
    <xf numFmtId="44" fontId="18" fillId="0" borderId="0" applyFont="0" applyFill="0" applyBorder="0" applyAlignment="0" applyProtection="0"/>
    <xf numFmtId="0" fontId="17" fillId="0" borderId="0"/>
    <xf numFmtId="0" fontId="16" fillId="0" borderId="0"/>
    <xf numFmtId="44" fontId="16" fillId="0" borderId="0" applyFont="0" applyFill="0" applyBorder="0" applyAlignment="0" applyProtection="0"/>
    <xf numFmtId="0" fontId="15" fillId="0" borderId="0"/>
    <xf numFmtId="9" fontId="15" fillId="0" borderId="0" applyFont="0" applyFill="0" applyBorder="0" applyAlignment="0" applyProtection="0"/>
    <xf numFmtId="0" fontId="14" fillId="0" borderId="0"/>
    <xf numFmtId="9" fontId="14" fillId="0" borderId="0" applyFont="0" applyFill="0" applyBorder="0" applyAlignment="0" applyProtection="0"/>
    <xf numFmtId="0" fontId="13" fillId="0" borderId="0"/>
    <xf numFmtId="44" fontId="13" fillId="0" borderId="0" applyFont="0" applyFill="0" applyBorder="0" applyAlignment="0" applyProtection="0"/>
    <xf numFmtId="0" fontId="12" fillId="0" borderId="0"/>
    <xf numFmtId="44" fontId="12" fillId="0" borderId="0" applyFont="0" applyFill="0" applyBorder="0" applyAlignment="0" applyProtection="0"/>
    <xf numFmtId="0" fontId="11" fillId="0" borderId="0"/>
    <xf numFmtId="44" fontId="11" fillId="0" borderId="0" applyFont="0" applyFill="0" applyBorder="0" applyAlignment="0" applyProtection="0"/>
    <xf numFmtId="0" fontId="10" fillId="0" borderId="0"/>
    <xf numFmtId="44" fontId="10" fillId="0" borderId="0" applyFont="0" applyFill="0" applyBorder="0" applyAlignment="0" applyProtection="0"/>
    <xf numFmtId="0" fontId="9" fillId="0" borderId="0"/>
    <xf numFmtId="44" fontId="9" fillId="0" borderId="0" applyFont="0" applyFill="0" applyBorder="0" applyAlignment="0" applyProtection="0"/>
    <xf numFmtId="0" fontId="8" fillId="0" borderId="0"/>
    <xf numFmtId="44" fontId="8" fillId="0" borderId="0" applyFont="0" applyFill="0" applyBorder="0" applyAlignment="0" applyProtection="0"/>
    <xf numFmtId="0" fontId="8" fillId="0" borderId="0"/>
    <xf numFmtId="0" fontId="7" fillId="0" borderId="0"/>
    <xf numFmtId="44" fontId="7" fillId="0" borderId="0" applyFont="0" applyFill="0" applyBorder="0" applyAlignment="0" applyProtection="0"/>
    <xf numFmtId="0" fontId="5" fillId="0" borderId="0"/>
    <xf numFmtId="9" fontId="5" fillId="0" borderId="0" applyFont="0" applyFill="0" applyBorder="0" applyAlignment="0" applyProtection="0"/>
    <xf numFmtId="0" fontId="5" fillId="33" borderId="13" applyNumberFormat="0" applyFont="0" applyAlignment="0" applyProtection="0"/>
    <xf numFmtId="0" fontId="5" fillId="3" borderId="0" applyNumberFormat="0" applyBorder="0" applyAlignment="0" applyProtection="0"/>
    <xf numFmtId="0" fontId="5" fillId="9" borderId="0" applyNumberFormat="0" applyBorder="0" applyAlignment="0" applyProtection="0"/>
    <xf numFmtId="0" fontId="5" fillId="4" borderId="0" applyNumberFormat="0" applyBorder="0" applyAlignment="0" applyProtection="0"/>
    <xf numFmtId="0" fontId="5" fillId="10" borderId="0" applyNumberFormat="0" applyBorder="0" applyAlignment="0" applyProtection="0"/>
    <xf numFmtId="0" fontId="5" fillId="5" borderId="0" applyNumberFormat="0" applyBorder="0" applyAlignment="0" applyProtection="0"/>
    <xf numFmtId="0" fontId="5" fillId="11" borderId="0" applyNumberFormat="0" applyBorder="0" applyAlignment="0" applyProtection="0"/>
    <xf numFmtId="0" fontId="5" fillId="6" borderId="0" applyNumberFormat="0" applyBorder="0" applyAlignment="0" applyProtection="0"/>
    <xf numFmtId="0" fontId="5" fillId="12" borderId="0" applyNumberFormat="0" applyBorder="0" applyAlignment="0" applyProtection="0"/>
    <xf numFmtId="0" fontId="5" fillId="7" borderId="0" applyNumberFormat="0" applyBorder="0" applyAlignment="0" applyProtection="0"/>
    <xf numFmtId="0" fontId="5" fillId="13" borderId="0" applyNumberFormat="0" applyBorder="0" applyAlignment="0" applyProtection="0"/>
    <xf numFmtId="0" fontId="5" fillId="8" borderId="0" applyNumberFormat="0" applyBorder="0" applyAlignment="0" applyProtection="0"/>
    <xf numFmtId="0" fontId="5" fillId="14" borderId="0" applyNumberFormat="0" applyBorder="0" applyAlignment="0" applyProtection="0"/>
    <xf numFmtId="43" fontId="5" fillId="0" borderId="0" applyFont="0" applyFill="0" applyBorder="0" applyAlignment="0" applyProtection="0"/>
    <xf numFmtId="0" fontId="5" fillId="3" borderId="0" applyNumberFormat="0" applyBorder="0" applyAlignment="0" applyProtection="0"/>
    <xf numFmtId="0" fontId="5" fillId="4" borderId="0" applyNumberFormat="0" applyBorder="0" applyAlignment="0" applyProtection="0"/>
    <xf numFmtId="0" fontId="5" fillId="5" borderId="0" applyNumberFormat="0" applyBorder="0" applyAlignment="0" applyProtection="0"/>
    <xf numFmtId="0" fontId="5" fillId="6" borderId="0" applyNumberFormat="0" applyBorder="0" applyAlignment="0" applyProtection="0"/>
    <xf numFmtId="0" fontId="5" fillId="11" borderId="0" applyNumberFormat="0" applyBorder="0" applyAlignment="0" applyProtection="0"/>
    <xf numFmtId="43" fontId="5" fillId="0" borderId="0" applyFont="0" applyFill="0" applyBorder="0" applyAlignment="0" applyProtection="0"/>
    <xf numFmtId="0" fontId="5" fillId="33" borderId="13" applyNumberFormat="0" applyFont="0" applyAlignment="0" applyProtection="0"/>
    <xf numFmtId="9" fontId="5" fillId="0" borderId="0" applyFont="0" applyFill="0" applyBorder="0" applyAlignment="0" applyProtection="0"/>
    <xf numFmtId="0" fontId="31" fillId="0" borderId="0"/>
    <xf numFmtId="0" fontId="31" fillId="0" borderId="0"/>
    <xf numFmtId="0" fontId="31" fillId="0" borderId="0"/>
    <xf numFmtId="0" fontId="31" fillId="0" borderId="0"/>
    <xf numFmtId="4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0" fontId="31" fillId="0" borderId="0"/>
    <xf numFmtId="0" fontId="31" fillId="0" borderId="0"/>
    <xf numFmtId="0" fontId="31" fillId="0" borderId="0"/>
    <xf numFmtId="0" fontId="31" fillId="0" borderId="0"/>
    <xf numFmtId="44" fontId="5" fillId="0" borderId="0" applyFont="0" applyFill="0" applyBorder="0" applyAlignment="0" applyProtection="0"/>
    <xf numFmtId="0" fontId="5" fillId="0" borderId="0"/>
    <xf numFmtId="0" fontId="103" fillId="0" borderId="0"/>
    <xf numFmtId="0" fontId="5" fillId="0" borderId="0"/>
    <xf numFmtId="9" fontId="5" fillId="0" borderId="0" applyFont="0" applyFill="0" applyBorder="0" applyAlignment="0" applyProtection="0"/>
    <xf numFmtId="0" fontId="57" fillId="0" borderId="0" applyNumberFormat="0" applyFill="0" applyBorder="0" applyAlignment="0" applyProtection="0"/>
    <xf numFmtId="0" fontId="53" fillId="32" borderId="0" applyNumberFormat="0" applyBorder="0" applyAlignment="0" applyProtection="0"/>
    <xf numFmtId="0" fontId="5" fillId="33" borderId="13" applyNumberFormat="0" applyFont="0" applyAlignment="0" applyProtection="0"/>
    <xf numFmtId="0" fontId="41" fillId="15" borderId="0" applyNumberFormat="0" applyBorder="0" applyAlignment="0" applyProtection="0"/>
    <xf numFmtId="0" fontId="41" fillId="16" borderId="0" applyNumberFormat="0" applyBorder="0" applyAlignment="0" applyProtection="0"/>
    <xf numFmtId="0" fontId="41" fillId="17" borderId="0" applyNumberFormat="0" applyBorder="0" applyAlignment="0" applyProtection="0"/>
    <xf numFmtId="0" fontId="41" fillId="18" borderId="0" applyNumberFormat="0" applyBorder="0" applyAlignment="0" applyProtection="0"/>
    <xf numFmtId="0" fontId="41" fillId="19" borderId="0" applyNumberFormat="0" applyBorder="0" applyAlignment="0" applyProtection="0"/>
    <xf numFmtId="0" fontId="41" fillId="20" borderId="0" applyNumberFormat="0" applyBorder="0" applyAlignment="0" applyProtection="0"/>
    <xf numFmtId="43" fontId="5" fillId="0" borderId="0" applyFont="0" applyFill="0" applyBorder="0" applyAlignment="0" applyProtection="0"/>
    <xf numFmtId="43" fontId="5" fillId="0" borderId="0" applyFont="0" applyFill="0" applyBorder="0" applyAlignment="0" applyProtection="0"/>
    <xf numFmtId="4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4" fontId="5" fillId="0" borderId="0" applyFont="0" applyFill="0" applyBorder="0" applyAlignment="0" applyProtection="0"/>
    <xf numFmtId="0" fontId="31" fillId="0" borderId="0"/>
    <xf numFmtId="0" fontId="5" fillId="3" borderId="0" applyNumberFormat="0" applyBorder="0" applyAlignment="0" applyProtection="0"/>
    <xf numFmtId="0" fontId="5" fillId="4" borderId="0" applyNumberFormat="0" applyBorder="0" applyAlignment="0" applyProtection="0"/>
    <xf numFmtId="0" fontId="5" fillId="5" borderId="0" applyNumberFormat="0" applyBorder="0" applyAlignment="0" applyProtection="0"/>
    <xf numFmtId="0" fontId="5" fillId="6" borderId="0" applyNumberFormat="0" applyBorder="0" applyAlignment="0" applyProtection="0"/>
    <xf numFmtId="0" fontId="5" fillId="7" borderId="0" applyNumberFormat="0" applyBorder="0" applyAlignment="0" applyProtection="0"/>
    <xf numFmtId="0" fontId="5" fillId="8" borderId="0" applyNumberFormat="0" applyBorder="0" applyAlignment="0" applyProtection="0"/>
    <xf numFmtId="0" fontId="5" fillId="9" borderId="0" applyNumberFormat="0" applyBorder="0" applyAlignment="0" applyProtection="0"/>
    <xf numFmtId="0" fontId="5" fillId="10" borderId="0" applyNumberFormat="0" applyBorder="0" applyAlignment="0" applyProtection="0"/>
    <xf numFmtId="0" fontId="5" fillId="11" borderId="0" applyNumberFormat="0" applyBorder="0" applyAlignment="0" applyProtection="0"/>
    <xf numFmtId="0" fontId="5" fillId="12" borderId="0" applyNumberFormat="0" applyBorder="0" applyAlignment="0" applyProtection="0"/>
    <xf numFmtId="0" fontId="5" fillId="13" borderId="0" applyNumberFormat="0" applyBorder="0" applyAlignment="0" applyProtection="0"/>
    <xf numFmtId="0" fontId="5" fillId="14" borderId="0" applyNumberFormat="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0" fontId="5" fillId="0" borderId="0"/>
    <xf numFmtId="0" fontId="5" fillId="0" borderId="0"/>
    <xf numFmtId="0" fontId="5" fillId="33" borderId="13" applyNumberFormat="0" applyFont="0" applyAlignment="0" applyProtection="0"/>
    <xf numFmtId="9" fontId="31" fillId="0" borderId="0" applyFont="0" applyFill="0" applyBorder="0" applyAlignment="0" applyProtection="0"/>
    <xf numFmtId="9" fontId="5" fillId="0" borderId="0" applyFont="0" applyFill="0" applyBorder="0" applyAlignment="0" applyProtection="0"/>
    <xf numFmtId="9" fontId="31" fillId="0" borderId="0" applyFont="0" applyFill="0" applyBorder="0" applyAlignment="0" applyProtection="0"/>
    <xf numFmtId="0" fontId="5" fillId="0" borderId="0"/>
    <xf numFmtId="0" fontId="5" fillId="0" borderId="0"/>
    <xf numFmtId="0" fontId="5" fillId="0" borderId="0"/>
    <xf numFmtId="0" fontId="5" fillId="0" borderId="0"/>
    <xf numFmtId="44" fontId="5" fillId="0" borderId="0" applyFont="0" applyFill="0" applyBorder="0" applyAlignment="0" applyProtection="0"/>
    <xf numFmtId="0" fontId="5" fillId="0" borderId="0"/>
    <xf numFmtId="44" fontId="5" fillId="0" borderId="0" applyFont="0" applyFill="0" applyBorder="0" applyAlignment="0" applyProtection="0"/>
    <xf numFmtId="0" fontId="5" fillId="0" borderId="0"/>
    <xf numFmtId="44" fontId="5" fillId="0" borderId="0" applyFont="0" applyFill="0" applyBorder="0" applyAlignment="0" applyProtection="0"/>
    <xf numFmtId="0" fontId="5" fillId="0" borderId="0"/>
    <xf numFmtId="44" fontId="5" fillId="0" borderId="0" applyFont="0" applyFill="0" applyBorder="0" applyAlignment="0" applyProtection="0"/>
    <xf numFmtId="0" fontId="5" fillId="0" borderId="0"/>
    <xf numFmtId="44" fontId="5" fillId="0" borderId="0" applyFont="0" applyFill="0" applyBorder="0" applyAlignment="0" applyProtection="0"/>
    <xf numFmtId="0" fontId="5" fillId="0" borderId="0"/>
    <xf numFmtId="44" fontId="5" fillId="0" borderId="0" applyFont="0" applyFill="0" applyBorder="0" applyAlignment="0" applyProtection="0"/>
    <xf numFmtId="0" fontId="5" fillId="0" borderId="0"/>
    <xf numFmtId="0" fontId="5" fillId="0" borderId="0"/>
    <xf numFmtId="44"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44" fontId="5" fillId="0" borderId="0" applyFont="0" applyFill="0" applyBorder="0" applyAlignment="0" applyProtection="0"/>
    <xf numFmtId="0" fontId="5" fillId="0" borderId="0"/>
    <xf numFmtId="44" fontId="5" fillId="0" borderId="0" applyFont="0" applyFill="0" applyBorder="0" applyAlignment="0" applyProtection="0"/>
    <xf numFmtId="0" fontId="5" fillId="0" borderId="0"/>
    <xf numFmtId="44" fontId="5" fillId="0" borderId="0" applyFont="0" applyFill="0" applyBorder="0" applyAlignment="0" applyProtection="0"/>
    <xf numFmtId="0" fontId="5" fillId="0" borderId="0"/>
    <xf numFmtId="44" fontId="5" fillId="0" borderId="0" applyFont="0" applyFill="0" applyBorder="0" applyAlignment="0" applyProtection="0"/>
    <xf numFmtId="44" fontId="5" fillId="0" borderId="0" applyFont="0" applyFill="0" applyBorder="0" applyAlignment="0" applyProtection="0"/>
    <xf numFmtId="0" fontId="5" fillId="0" borderId="0"/>
    <xf numFmtId="44" fontId="5" fillId="0" borderId="0" applyFont="0" applyFill="0" applyBorder="0" applyAlignment="0" applyProtection="0"/>
    <xf numFmtId="0" fontId="5" fillId="0" borderId="0"/>
    <xf numFmtId="0" fontId="5" fillId="0" borderId="0"/>
    <xf numFmtId="44" fontId="5" fillId="0" borderId="0" applyFont="0" applyFill="0" applyBorder="0" applyAlignment="0" applyProtection="0"/>
    <xf numFmtId="0" fontId="4" fillId="0" borderId="0"/>
    <xf numFmtId="9" fontId="4" fillId="0" borderId="0" applyFont="0" applyFill="0" applyBorder="0" applyAlignment="0" applyProtection="0"/>
    <xf numFmtId="0" fontId="4" fillId="33" borderId="13" applyNumberFormat="0" applyFont="0" applyAlignment="0" applyProtection="0"/>
    <xf numFmtId="0" fontId="4" fillId="3" borderId="0" applyNumberFormat="0" applyBorder="0" applyAlignment="0" applyProtection="0"/>
    <xf numFmtId="0" fontId="4" fillId="9" borderId="0" applyNumberFormat="0" applyBorder="0" applyAlignment="0" applyProtection="0"/>
    <xf numFmtId="0" fontId="4" fillId="4" borderId="0" applyNumberFormat="0" applyBorder="0" applyAlignment="0" applyProtection="0"/>
    <xf numFmtId="0" fontId="4" fillId="10" borderId="0" applyNumberFormat="0" applyBorder="0" applyAlignment="0" applyProtection="0"/>
    <xf numFmtId="0" fontId="4" fillId="5" borderId="0" applyNumberFormat="0" applyBorder="0" applyAlignment="0" applyProtection="0"/>
    <xf numFmtId="0" fontId="4" fillId="11" borderId="0" applyNumberFormat="0" applyBorder="0" applyAlignment="0" applyProtection="0"/>
    <xf numFmtId="0" fontId="4" fillId="6" borderId="0" applyNumberFormat="0" applyBorder="0" applyAlignment="0" applyProtection="0"/>
    <xf numFmtId="0" fontId="4" fillId="12" borderId="0" applyNumberFormat="0" applyBorder="0" applyAlignment="0" applyProtection="0"/>
    <xf numFmtId="0" fontId="4" fillId="7" borderId="0" applyNumberFormat="0" applyBorder="0" applyAlignment="0" applyProtection="0"/>
    <xf numFmtId="0" fontId="4" fillId="13" borderId="0" applyNumberFormat="0" applyBorder="0" applyAlignment="0" applyProtection="0"/>
    <xf numFmtId="0" fontId="4" fillId="8" borderId="0" applyNumberFormat="0" applyBorder="0" applyAlignment="0" applyProtection="0"/>
    <xf numFmtId="0" fontId="4" fillId="14" borderId="0" applyNumberFormat="0" applyBorder="0" applyAlignment="0" applyProtection="0"/>
    <xf numFmtId="43" fontId="4" fillId="0" borderId="0" applyFont="0" applyFill="0" applyBorder="0" applyAlignment="0" applyProtection="0"/>
    <xf numFmtId="0" fontId="4" fillId="3" borderId="0" applyNumberFormat="0" applyBorder="0" applyAlignment="0" applyProtection="0"/>
    <xf numFmtId="0" fontId="4" fillId="4" borderId="0" applyNumberFormat="0" applyBorder="0" applyAlignment="0" applyProtection="0"/>
    <xf numFmtId="0" fontId="4" fillId="5" borderId="0" applyNumberFormat="0" applyBorder="0" applyAlignment="0" applyProtection="0"/>
    <xf numFmtId="0" fontId="4" fillId="6" borderId="0" applyNumberFormat="0" applyBorder="0" applyAlignment="0" applyProtection="0"/>
    <xf numFmtId="0" fontId="4" fillId="11" borderId="0" applyNumberFormat="0" applyBorder="0" applyAlignment="0" applyProtection="0"/>
    <xf numFmtId="43" fontId="4" fillId="0" borderId="0" applyFont="0" applyFill="0" applyBorder="0" applyAlignment="0" applyProtection="0"/>
    <xf numFmtId="0" fontId="4" fillId="33" borderId="13" applyNumberFormat="0" applyFont="0" applyAlignment="0" applyProtection="0"/>
    <xf numFmtId="9" fontId="4" fillId="0" borderId="0" applyFont="0" applyFill="0" applyBorder="0" applyAlignment="0" applyProtection="0"/>
    <xf numFmtId="44"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4" fontId="4" fillId="0" borderId="0" applyFont="0" applyFill="0" applyBorder="0" applyAlignment="0" applyProtection="0"/>
    <xf numFmtId="0" fontId="4" fillId="0" borderId="0"/>
    <xf numFmtId="0" fontId="4" fillId="0" borderId="0"/>
    <xf numFmtId="9" fontId="4" fillId="0" borderId="0" applyFont="0" applyFill="0" applyBorder="0" applyAlignment="0" applyProtection="0"/>
    <xf numFmtId="0" fontId="4" fillId="33" borderId="13" applyNumberFormat="0" applyFont="0" applyAlignment="0" applyProtection="0"/>
    <xf numFmtId="43" fontId="4" fillId="0" borderId="0" applyFont="0" applyFill="0" applyBorder="0" applyAlignment="0" applyProtection="0"/>
    <xf numFmtId="43" fontId="4" fillId="0" borderId="0" applyFont="0" applyFill="0" applyBorder="0" applyAlignment="0" applyProtection="0"/>
    <xf numFmtId="44"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4" fontId="4" fillId="0" borderId="0" applyFont="0" applyFill="0" applyBorder="0" applyAlignment="0" applyProtection="0"/>
    <xf numFmtId="0" fontId="4" fillId="3" borderId="0" applyNumberFormat="0" applyBorder="0" applyAlignment="0" applyProtection="0"/>
    <xf numFmtId="0" fontId="4" fillId="4" borderId="0" applyNumberFormat="0" applyBorder="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0" fontId="4" fillId="0" borderId="0"/>
    <xf numFmtId="0" fontId="4" fillId="0" borderId="0"/>
    <xf numFmtId="0" fontId="4" fillId="33" borderId="13" applyNumberFormat="0" applyFont="0" applyAlignment="0" applyProtection="0"/>
    <xf numFmtId="9" fontId="4" fillId="0" borderId="0" applyFont="0" applyFill="0" applyBorder="0" applyAlignment="0" applyProtection="0"/>
    <xf numFmtId="0" fontId="4" fillId="0" borderId="0"/>
    <xf numFmtId="0" fontId="4" fillId="0" borderId="0"/>
    <xf numFmtId="0" fontId="4" fillId="0" borderId="0"/>
    <xf numFmtId="0" fontId="4" fillId="0" borderId="0"/>
    <xf numFmtId="44" fontId="4" fillId="0" borderId="0" applyFont="0" applyFill="0" applyBorder="0" applyAlignment="0" applyProtection="0"/>
    <xf numFmtId="0" fontId="4" fillId="0" borderId="0"/>
    <xf numFmtId="44" fontId="4" fillId="0" borderId="0" applyFont="0" applyFill="0" applyBorder="0" applyAlignment="0" applyProtection="0"/>
    <xf numFmtId="0" fontId="4" fillId="0" borderId="0"/>
    <xf numFmtId="44" fontId="4" fillId="0" borderId="0" applyFont="0" applyFill="0" applyBorder="0" applyAlignment="0" applyProtection="0"/>
    <xf numFmtId="0" fontId="4" fillId="0" borderId="0"/>
    <xf numFmtId="44" fontId="4" fillId="0" borderId="0" applyFont="0" applyFill="0" applyBorder="0" applyAlignment="0" applyProtection="0"/>
    <xf numFmtId="0" fontId="4" fillId="0" borderId="0"/>
    <xf numFmtId="44" fontId="4" fillId="0" borderId="0" applyFont="0" applyFill="0" applyBorder="0" applyAlignment="0" applyProtection="0"/>
    <xf numFmtId="0" fontId="4" fillId="0" borderId="0"/>
    <xf numFmtId="44" fontId="4" fillId="0" borderId="0" applyFont="0" applyFill="0" applyBorder="0" applyAlignment="0" applyProtection="0"/>
    <xf numFmtId="0" fontId="4" fillId="0" borderId="0"/>
    <xf numFmtId="0" fontId="4" fillId="0" borderId="0"/>
    <xf numFmtId="44" fontId="4" fillId="0" borderId="0" applyFont="0" applyFill="0" applyBorder="0" applyAlignment="0" applyProtection="0"/>
    <xf numFmtId="0" fontId="4" fillId="0" borderId="0"/>
    <xf numFmtId="9" fontId="4" fillId="0" borderId="0" applyFont="0" applyFill="0" applyBorder="0" applyAlignment="0" applyProtection="0"/>
    <xf numFmtId="0" fontId="4" fillId="0" borderId="0"/>
    <xf numFmtId="9" fontId="4" fillId="0" borderId="0" applyFont="0" applyFill="0" applyBorder="0" applyAlignment="0" applyProtection="0"/>
    <xf numFmtId="0" fontId="4" fillId="0" borderId="0"/>
    <xf numFmtId="44" fontId="4" fillId="0" borderId="0" applyFont="0" applyFill="0" applyBorder="0" applyAlignment="0" applyProtection="0"/>
    <xf numFmtId="0" fontId="4" fillId="0" borderId="0"/>
    <xf numFmtId="44" fontId="4" fillId="0" borderId="0" applyFont="0" applyFill="0" applyBorder="0" applyAlignment="0" applyProtection="0"/>
    <xf numFmtId="0" fontId="4" fillId="0" borderId="0"/>
    <xf numFmtId="44" fontId="4" fillId="0" borderId="0" applyFont="0" applyFill="0" applyBorder="0" applyAlignment="0" applyProtection="0"/>
    <xf numFmtId="0" fontId="4" fillId="0" borderId="0"/>
    <xf numFmtId="44" fontId="4" fillId="0" borderId="0" applyFont="0" applyFill="0" applyBorder="0" applyAlignment="0" applyProtection="0"/>
    <xf numFmtId="44" fontId="4" fillId="0" borderId="0" applyFont="0" applyFill="0" applyBorder="0" applyAlignment="0" applyProtection="0"/>
    <xf numFmtId="0" fontId="4" fillId="0" borderId="0"/>
    <xf numFmtId="44" fontId="4" fillId="0" borderId="0" applyFont="0" applyFill="0" applyBorder="0" applyAlignment="0" applyProtection="0"/>
    <xf numFmtId="0" fontId="4" fillId="0" borderId="0"/>
    <xf numFmtId="0" fontId="4" fillId="0" borderId="0"/>
    <xf numFmtId="44" fontId="4" fillId="0" borderId="0" applyFont="0" applyFill="0" applyBorder="0" applyAlignment="0" applyProtection="0"/>
    <xf numFmtId="0" fontId="3" fillId="0" borderId="0"/>
    <xf numFmtId="0" fontId="2" fillId="0" borderId="0"/>
  </cellStyleXfs>
  <cellXfs count="406">
    <xf numFmtId="0" fontId="0" fillId="0" borderId="0" xfId="0"/>
    <xf numFmtId="0" fontId="61" fillId="37" borderId="3" xfId="0" applyFont="1" applyFill="1" applyBorder="1" applyAlignment="1" applyProtection="1">
      <alignment horizontal="center" vertical="center" wrapText="1"/>
      <protection locked="0"/>
    </xf>
    <xf numFmtId="0" fontId="61" fillId="37" borderId="1" xfId="0" applyFont="1" applyFill="1" applyBorder="1" applyAlignment="1" applyProtection="1">
      <alignment horizontal="center" vertical="center" wrapText="1"/>
      <protection locked="0"/>
    </xf>
    <xf numFmtId="0" fontId="67" fillId="37" borderId="4" xfId="0" applyFont="1" applyFill="1" applyBorder="1" applyAlignment="1">
      <alignment horizontal="center" vertical="center" wrapText="1"/>
    </xf>
    <xf numFmtId="0" fontId="67" fillId="37" borderId="3" xfId="0" applyFont="1" applyFill="1" applyBorder="1" applyAlignment="1">
      <alignment horizontal="center" vertical="center" wrapText="1"/>
    </xf>
    <xf numFmtId="0" fontId="61" fillId="37" borderId="1" xfId="0" applyFont="1" applyFill="1" applyBorder="1" applyAlignment="1" applyProtection="1">
      <alignment horizontal="center" vertical="center" wrapText="1"/>
      <protection locked="0"/>
    </xf>
    <xf numFmtId="0" fontId="61" fillId="37" borderId="2" xfId="0" applyFont="1" applyFill="1" applyBorder="1" applyAlignment="1" applyProtection="1">
      <alignment horizontal="center" vertical="center" wrapText="1"/>
      <protection locked="0"/>
    </xf>
    <xf numFmtId="166" fontId="69" fillId="37" borderId="3" xfId="0" applyNumberFormat="1" applyFont="1" applyFill="1" applyBorder="1" applyAlignment="1" applyProtection="1">
      <alignment horizontal="center" vertical="center" wrapText="1"/>
      <protection locked="0"/>
    </xf>
    <xf numFmtId="0" fontId="67" fillId="37" borderId="2" xfId="0" applyFont="1" applyFill="1" applyBorder="1" applyAlignment="1">
      <alignment horizontal="center" vertical="center" wrapText="1"/>
    </xf>
    <xf numFmtId="0" fontId="67" fillId="0" borderId="1" xfId="0" applyFont="1" applyBorder="1" applyAlignment="1" applyProtection="1">
      <alignment horizontal="center" vertical="center"/>
      <protection locked="0"/>
    </xf>
    <xf numFmtId="0" fontId="67" fillId="0" borderId="1" xfId="1" applyFont="1" applyFill="1" applyBorder="1" applyAlignment="1" applyProtection="1">
      <alignment horizontal="center" vertical="center" wrapText="1"/>
      <protection locked="0"/>
    </xf>
    <xf numFmtId="166" fontId="67" fillId="0" borderId="1" xfId="1" applyNumberFormat="1" applyFont="1" applyFill="1" applyBorder="1" applyAlignment="1" applyProtection="1">
      <alignment horizontal="center" vertical="center" wrapText="1"/>
      <protection locked="0"/>
    </xf>
    <xf numFmtId="9" fontId="67" fillId="0" borderId="1" xfId="1" applyNumberFormat="1" applyFont="1" applyFill="1" applyBorder="1" applyAlignment="1" applyProtection="1">
      <alignment horizontal="center" vertical="center" wrapText="1"/>
      <protection locked="0"/>
    </xf>
    <xf numFmtId="2" fontId="67" fillId="0" borderId="1" xfId="1" applyNumberFormat="1" applyFont="1" applyFill="1" applyBorder="1" applyAlignment="1" applyProtection="1">
      <alignment horizontal="center" vertical="center" wrapText="1"/>
      <protection locked="0"/>
    </xf>
    <xf numFmtId="166" fontId="71" fillId="0" borderId="1" xfId="1" applyNumberFormat="1" applyFont="1" applyFill="1" applyBorder="1" applyAlignment="1" applyProtection="1">
      <alignment horizontal="center" vertical="center" wrapText="1"/>
      <protection locked="0"/>
    </xf>
    <xf numFmtId="0" fontId="0" fillId="0" borderId="0" xfId="0" applyAlignment="1">
      <alignment vertical="center"/>
    </xf>
    <xf numFmtId="0" fontId="69" fillId="0" borderId="0" xfId="0" applyFont="1" applyAlignment="1">
      <alignment vertical="center"/>
    </xf>
    <xf numFmtId="0" fontId="0" fillId="0" borderId="0" xfId="0" applyAlignment="1">
      <alignment horizontal="left"/>
    </xf>
    <xf numFmtId="0" fontId="0" fillId="0" borderId="0" xfId="0" applyAlignment="1">
      <alignment horizontal="center"/>
    </xf>
    <xf numFmtId="0" fontId="0" fillId="0" borderId="0" xfId="0" applyAlignment="1">
      <alignment horizontal="center" vertical="center"/>
    </xf>
    <xf numFmtId="0" fontId="60" fillId="0" borderId="0" xfId="0" applyFont="1" applyAlignment="1">
      <alignment vertical="center"/>
    </xf>
    <xf numFmtId="0" fontId="61" fillId="0" borderId="0" xfId="0" applyFont="1" applyAlignment="1">
      <alignment vertical="center"/>
    </xf>
    <xf numFmtId="0" fontId="58" fillId="0" borderId="0" xfId="0" applyFont="1" applyAlignment="1">
      <alignment horizontal="center" vertical="center"/>
    </xf>
    <xf numFmtId="0" fontId="62" fillId="0" borderId="0" xfId="0" applyFont="1" applyAlignment="1">
      <alignment horizontal="center" vertical="center"/>
    </xf>
    <xf numFmtId="0" fontId="63" fillId="0" borderId="0" xfId="0" applyFont="1" applyAlignment="1">
      <alignment vertical="center"/>
    </xf>
    <xf numFmtId="0" fontId="58" fillId="34" borderId="1" xfId="0" applyFont="1" applyFill="1" applyBorder="1" applyAlignment="1">
      <alignment horizontal="center" vertical="center" wrapText="1"/>
    </xf>
    <xf numFmtId="0" fontId="64" fillId="0" borderId="0" xfId="0" applyFont="1" applyAlignment="1">
      <alignment horizontal="right" vertical="center"/>
    </xf>
    <xf numFmtId="1" fontId="65" fillId="35" borderId="1" xfId="0" applyNumberFormat="1" applyFont="1" applyFill="1" applyBorder="1" applyAlignment="1">
      <alignment horizontal="center" vertical="center"/>
    </xf>
    <xf numFmtId="1" fontId="65" fillId="34" borderId="1" xfId="0" applyNumberFormat="1" applyFont="1" applyFill="1" applyBorder="1" applyAlignment="1">
      <alignment horizontal="center" vertical="center"/>
    </xf>
    <xf numFmtId="0" fontId="58" fillId="0" borderId="0" xfId="0" applyFont="1" applyAlignment="1">
      <alignment horizontal="right" vertical="center"/>
    </xf>
    <xf numFmtId="0" fontId="65" fillId="0" borderId="0" xfId="0" applyFont="1" applyAlignment="1">
      <alignment vertical="center"/>
    </xf>
    <xf numFmtId="1" fontId="65" fillId="34" borderId="0" xfId="0" applyNumberFormat="1" applyFont="1" applyFill="1" applyAlignment="1">
      <alignment horizontal="center" vertical="center"/>
    </xf>
    <xf numFmtId="0" fontId="0" fillId="0" borderId="0" xfId="0" applyAlignment="1">
      <alignment horizontal="right" vertical="center"/>
    </xf>
    <xf numFmtId="0" fontId="0" fillId="35" borderId="0" xfId="0" applyFill="1" applyAlignment="1">
      <alignment vertical="center"/>
    </xf>
    <xf numFmtId="0" fontId="0" fillId="34" borderId="0" xfId="0" applyFill="1" applyAlignment="1">
      <alignment vertical="center"/>
    </xf>
    <xf numFmtId="9" fontId="0" fillId="0" borderId="0" xfId="100" applyFont="1" applyAlignment="1">
      <alignment vertical="center"/>
    </xf>
    <xf numFmtId="0" fontId="66" fillId="0" borderId="0" xfId="0" applyFont="1" applyAlignment="1">
      <alignment horizontal="right" vertical="center"/>
    </xf>
    <xf numFmtId="165" fontId="65" fillId="35" borderId="1" xfId="0" applyNumberFormat="1" applyFont="1" applyFill="1" applyBorder="1" applyAlignment="1">
      <alignment horizontal="center" vertical="center"/>
    </xf>
    <xf numFmtId="165" fontId="65" fillId="34" borderId="1" xfId="0" applyNumberFormat="1" applyFont="1" applyFill="1" applyBorder="1" applyAlignment="1">
      <alignment horizontal="center" vertical="center"/>
    </xf>
    <xf numFmtId="9" fontId="0" fillId="0" borderId="0" xfId="100" applyFont="1" applyFill="1" applyAlignment="1">
      <alignment horizontal="center" vertical="center"/>
    </xf>
    <xf numFmtId="0" fontId="58" fillId="35" borderId="1" xfId="0" applyFont="1" applyFill="1" applyBorder="1" applyAlignment="1">
      <alignment horizontal="center" vertical="center" wrapText="1"/>
    </xf>
    <xf numFmtId="0" fontId="63" fillId="0" borderId="0" xfId="0" applyFont="1" applyAlignment="1">
      <alignment horizontal="center" vertical="center"/>
    </xf>
    <xf numFmtId="9" fontId="58" fillId="0" borderId="0" xfId="100" applyFont="1" applyAlignment="1">
      <alignment horizontal="center" vertical="center"/>
    </xf>
    <xf numFmtId="9" fontId="62" fillId="0" borderId="0" xfId="0" applyNumberFormat="1" applyFont="1" applyAlignment="1">
      <alignment horizontal="center" vertical="center"/>
    </xf>
    <xf numFmtId="9" fontId="67" fillId="0" borderId="0" xfId="0" applyNumberFormat="1" applyFont="1" applyAlignment="1">
      <alignment horizontal="center" vertical="center"/>
    </xf>
    <xf numFmtId="0" fontId="62" fillId="0" borderId="0" xfId="0" applyFont="1" applyAlignment="1">
      <alignment vertical="center"/>
    </xf>
    <xf numFmtId="166" fontId="0" fillId="0" borderId="0" xfId="0" applyNumberFormat="1" applyAlignment="1">
      <alignment horizontal="center" vertical="center"/>
    </xf>
    <xf numFmtId="166" fontId="58" fillId="0" borderId="0" xfId="0" applyNumberFormat="1" applyFont="1" applyAlignment="1">
      <alignment horizontal="center" vertical="center"/>
    </xf>
    <xf numFmtId="166" fontId="58" fillId="35" borderId="1" xfId="0" applyNumberFormat="1" applyFont="1" applyFill="1" applyBorder="1" applyAlignment="1">
      <alignment horizontal="center" vertical="center" wrapText="1"/>
    </xf>
    <xf numFmtId="166" fontId="65" fillId="35" borderId="1" xfId="0" applyNumberFormat="1" applyFont="1" applyFill="1" applyBorder="1" applyAlignment="1">
      <alignment horizontal="center" vertical="center"/>
    </xf>
    <xf numFmtId="166" fontId="65" fillId="35" borderId="0" xfId="0" applyNumberFormat="1" applyFont="1" applyFill="1" applyAlignment="1">
      <alignment horizontal="center" vertical="center"/>
    </xf>
    <xf numFmtId="166" fontId="0" fillId="35" borderId="0" xfId="0" applyNumberFormat="1" applyFill="1" applyAlignment="1">
      <alignment vertical="center"/>
    </xf>
    <xf numFmtId="166" fontId="0" fillId="0" borderId="0" xfId="100" applyNumberFormat="1" applyFont="1" applyFill="1" applyAlignment="1">
      <alignment horizontal="center" vertical="center"/>
    </xf>
    <xf numFmtId="0" fontId="34" fillId="0" borderId="0" xfId="0" applyFont="1" applyAlignment="1">
      <alignment horizontal="center"/>
    </xf>
    <xf numFmtId="166" fontId="68" fillId="35" borderId="1" xfId="0" applyNumberFormat="1" applyFont="1" applyFill="1" applyBorder="1" applyAlignment="1">
      <alignment horizontal="center" vertical="center"/>
    </xf>
    <xf numFmtId="0" fontId="34" fillId="35" borderId="0" xfId="0" applyFont="1" applyFill="1" applyAlignment="1">
      <alignment vertical="center"/>
    </xf>
    <xf numFmtId="0" fontId="58" fillId="36" borderId="16" xfId="0" applyFont="1" applyFill="1" applyBorder="1"/>
    <xf numFmtId="0" fontId="58" fillId="36" borderId="16" xfId="0" applyFont="1" applyFill="1" applyBorder="1" applyAlignment="1">
      <alignment horizontal="center"/>
    </xf>
    <xf numFmtId="0" fontId="58" fillId="36" borderId="0" xfId="0" applyFont="1" applyFill="1" applyAlignment="1">
      <alignment horizontal="center"/>
    </xf>
    <xf numFmtId="0" fontId="58" fillId="0" borderId="16" xfId="0" applyFont="1" applyBorder="1" applyAlignment="1">
      <alignment horizontal="center"/>
    </xf>
    <xf numFmtId="9" fontId="67" fillId="0" borderId="1" xfId="100" applyFont="1" applyFill="1" applyBorder="1" applyAlignment="1" applyProtection="1">
      <alignment horizontal="center" vertical="center" wrapText="1"/>
      <protection locked="0"/>
    </xf>
    <xf numFmtId="0" fontId="69" fillId="0" borderId="0" xfId="0" applyFont="1" applyAlignment="1">
      <alignment horizontal="center" vertical="center"/>
    </xf>
    <xf numFmtId="0" fontId="61" fillId="0" borderId="1" xfId="0" applyFont="1" applyBorder="1" applyAlignment="1" applyProtection="1">
      <alignment horizontal="center" vertical="center" wrapText="1"/>
      <protection locked="0"/>
    </xf>
    <xf numFmtId="0" fontId="67" fillId="0" borderId="1" xfId="0" applyFont="1" applyBorder="1" applyAlignment="1" applyProtection="1">
      <alignment horizontal="center" vertical="center" wrapText="1"/>
      <protection locked="0"/>
    </xf>
    <xf numFmtId="0" fontId="69" fillId="0" borderId="0" xfId="0" applyFont="1" applyAlignment="1">
      <alignment horizontal="center" vertical="center" wrapText="1"/>
    </xf>
    <xf numFmtId="0" fontId="34" fillId="0" borderId="0" xfId="0" applyFont="1" applyAlignment="1">
      <alignment horizontal="center" vertical="center" wrapText="1"/>
    </xf>
    <xf numFmtId="0" fontId="31" fillId="0" borderId="0" xfId="0" applyFont="1"/>
    <xf numFmtId="49" fontId="67" fillId="0" borderId="1" xfId="100" applyNumberFormat="1" applyFont="1" applyFill="1" applyBorder="1" applyAlignment="1" applyProtection="1">
      <alignment horizontal="center" vertical="center" wrapText="1"/>
      <protection locked="0"/>
    </xf>
    <xf numFmtId="16" fontId="67" fillId="0" borderId="1" xfId="1" applyNumberFormat="1" applyFont="1" applyFill="1" applyBorder="1" applyAlignment="1" applyProtection="1">
      <alignment horizontal="center" vertical="center"/>
      <protection locked="0"/>
    </xf>
    <xf numFmtId="2" fontId="72" fillId="0" borderId="1" xfId="1" applyNumberFormat="1" applyFont="1" applyFill="1" applyBorder="1" applyAlignment="1" applyProtection="1">
      <alignment horizontal="center" vertical="center" wrapText="1"/>
      <protection locked="0"/>
    </xf>
    <xf numFmtId="167" fontId="67" fillId="0" borderId="1" xfId="1" applyNumberFormat="1" applyFont="1" applyFill="1" applyBorder="1" applyAlignment="1" applyProtection="1">
      <alignment horizontal="center" vertical="center" wrapText="1"/>
      <protection locked="0"/>
    </xf>
    <xf numFmtId="0" fontId="69" fillId="0" borderId="0" xfId="0" applyFont="1"/>
    <xf numFmtId="0" fontId="69" fillId="0" borderId="0" xfId="0" applyFont="1" applyAlignment="1">
      <alignment horizontal="left"/>
    </xf>
    <xf numFmtId="16" fontId="69" fillId="0" borderId="0" xfId="0" applyNumberFormat="1" applyFont="1"/>
    <xf numFmtId="166" fontId="69" fillId="0" borderId="0" xfId="0" applyNumberFormat="1" applyFont="1"/>
    <xf numFmtId="0" fontId="69" fillId="0" borderId="0" xfId="0" applyFont="1" applyAlignment="1">
      <alignment horizontal="center"/>
    </xf>
    <xf numFmtId="2" fontId="69" fillId="0" borderId="0" xfId="0" applyNumberFormat="1" applyFont="1"/>
    <xf numFmtId="167" fontId="69" fillId="0" borderId="0" xfId="0" applyNumberFormat="1" applyFont="1"/>
    <xf numFmtId="9" fontId="69" fillId="0" borderId="0" xfId="0" applyNumberFormat="1" applyFont="1" applyAlignment="1">
      <alignment horizontal="center"/>
    </xf>
    <xf numFmtId="16" fontId="71" fillId="0" borderId="0" xfId="0" applyNumberFormat="1" applyFont="1" applyAlignment="1">
      <alignment horizontal="left"/>
    </xf>
    <xf numFmtId="16" fontId="71" fillId="0" borderId="0" xfId="0" applyNumberFormat="1" applyFont="1" applyAlignment="1">
      <alignment horizontal="center"/>
    </xf>
    <xf numFmtId="9" fontId="71" fillId="0" borderId="0" xfId="0" applyNumberFormat="1" applyFont="1" applyAlignment="1">
      <alignment horizontal="center"/>
    </xf>
    <xf numFmtId="16" fontId="71" fillId="0" borderId="3" xfId="0" applyNumberFormat="1" applyFont="1" applyBorder="1" applyAlignment="1">
      <alignment horizontal="center"/>
    </xf>
    <xf numFmtId="168" fontId="71" fillId="0" borderId="0" xfId="0" applyNumberFormat="1" applyFont="1" applyAlignment="1">
      <alignment horizontal="left"/>
    </xf>
    <xf numFmtId="168" fontId="71" fillId="0" borderId="0" xfId="0" applyNumberFormat="1" applyFont="1" applyAlignment="1">
      <alignment horizontal="center"/>
    </xf>
    <xf numFmtId="166" fontId="71" fillId="0" borderId="0" xfId="0" applyNumberFormat="1" applyFont="1" applyAlignment="1">
      <alignment horizontal="center"/>
    </xf>
    <xf numFmtId="0" fontId="61" fillId="0" borderId="3" xfId="0" applyFont="1" applyBorder="1" applyAlignment="1" applyProtection="1">
      <alignment horizontal="center" vertical="center" wrapText="1"/>
      <protection locked="0"/>
    </xf>
    <xf numFmtId="0" fontId="67" fillId="0" borderId="3" xfId="0" applyFont="1" applyBorder="1" applyAlignment="1" applyProtection="1">
      <alignment horizontal="center" vertical="center"/>
      <protection locked="0"/>
    </xf>
    <xf numFmtId="0" fontId="67" fillId="0" borderId="3" xfId="0" applyFont="1" applyBorder="1" applyAlignment="1" applyProtection="1">
      <alignment horizontal="center" vertical="center" wrapText="1"/>
      <protection locked="0"/>
    </xf>
    <xf numFmtId="0" fontId="67" fillId="0" borderId="3" xfId="1" applyFont="1" applyFill="1" applyBorder="1" applyAlignment="1" applyProtection="1">
      <alignment horizontal="center" vertical="center" wrapText="1"/>
      <protection locked="0"/>
    </xf>
    <xf numFmtId="16" fontId="67" fillId="0" borderId="3" xfId="1" applyNumberFormat="1" applyFont="1" applyFill="1" applyBorder="1" applyAlignment="1" applyProtection="1">
      <alignment horizontal="center" vertical="center"/>
      <protection locked="0"/>
    </xf>
    <xf numFmtId="166" fontId="71" fillId="0" borderId="3" xfId="1" applyNumberFormat="1" applyFont="1" applyFill="1" applyBorder="1" applyAlignment="1" applyProtection="1">
      <alignment horizontal="center" vertical="center" wrapText="1"/>
      <protection locked="0"/>
    </xf>
    <xf numFmtId="166" fontId="67" fillId="0" borderId="3" xfId="1" applyNumberFormat="1" applyFont="1" applyFill="1" applyBorder="1" applyAlignment="1" applyProtection="1">
      <alignment horizontal="center" vertical="center" wrapText="1"/>
      <protection locked="0"/>
    </xf>
    <xf numFmtId="2" fontId="67" fillId="0" borderId="3" xfId="1" applyNumberFormat="1" applyFont="1" applyFill="1" applyBorder="1" applyAlignment="1" applyProtection="1">
      <alignment horizontal="center" vertical="center" wrapText="1"/>
      <protection locked="0"/>
    </xf>
    <xf numFmtId="2" fontId="72" fillId="0" borderId="3" xfId="1" applyNumberFormat="1" applyFont="1" applyFill="1" applyBorder="1" applyAlignment="1" applyProtection="1">
      <alignment horizontal="center" vertical="center" wrapText="1"/>
      <protection locked="0"/>
    </xf>
    <xf numFmtId="167" fontId="67" fillId="0" borderId="3" xfId="1" applyNumberFormat="1" applyFont="1" applyFill="1" applyBorder="1" applyAlignment="1" applyProtection="1">
      <alignment horizontal="center" vertical="center" wrapText="1"/>
      <protection locked="0"/>
    </xf>
    <xf numFmtId="9" fontId="67" fillId="0" borderId="3" xfId="1" applyNumberFormat="1" applyFont="1" applyFill="1" applyBorder="1" applyAlignment="1" applyProtection="1">
      <alignment horizontal="center" vertical="center" wrapText="1"/>
      <protection locked="0"/>
    </xf>
    <xf numFmtId="0" fontId="69" fillId="2" borderId="18" xfId="0" applyFont="1" applyFill="1" applyBorder="1" applyAlignment="1" applyProtection="1">
      <alignment horizontal="center" vertical="center" wrapText="1"/>
      <protection locked="0"/>
    </xf>
    <xf numFmtId="166" fontId="69" fillId="2" borderId="18" xfId="0" applyNumberFormat="1" applyFont="1" applyFill="1" applyBorder="1" applyAlignment="1" applyProtection="1">
      <alignment horizontal="center" vertical="center" wrapText="1"/>
      <protection locked="0"/>
    </xf>
    <xf numFmtId="2" fontId="69" fillId="2" borderId="18" xfId="0" applyNumberFormat="1" applyFont="1" applyFill="1" applyBorder="1" applyAlignment="1" applyProtection="1">
      <alignment horizontal="center" vertical="center" wrapText="1"/>
      <protection locked="0"/>
    </xf>
    <xf numFmtId="167" fontId="69" fillId="2" borderId="18" xfId="0" applyNumberFormat="1" applyFont="1" applyFill="1" applyBorder="1" applyAlignment="1" applyProtection="1">
      <alignment horizontal="center" vertical="center" wrapText="1"/>
      <protection locked="0"/>
    </xf>
    <xf numFmtId="9" fontId="69" fillId="0" borderId="18" xfId="0" applyNumberFormat="1" applyFont="1" applyBorder="1" applyAlignment="1" applyProtection="1">
      <alignment horizontal="center" vertical="center" wrapText="1"/>
      <protection locked="0"/>
    </xf>
    <xf numFmtId="9" fontId="67" fillId="0" borderId="0" xfId="1" applyNumberFormat="1" applyFont="1" applyFill="1" applyBorder="1" applyAlignment="1" applyProtection="1">
      <alignment horizontal="center" vertical="center" wrapText="1"/>
      <protection locked="0"/>
    </xf>
    <xf numFmtId="0" fontId="67" fillId="0" borderId="0" xfId="0" applyFont="1" applyAlignment="1">
      <alignment horizontal="left"/>
    </xf>
    <xf numFmtId="168" fontId="71" fillId="0" borderId="4" xfId="0" applyNumberFormat="1" applyFont="1" applyBorder="1" applyAlignment="1">
      <alignment horizontal="center"/>
    </xf>
    <xf numFmtId="0" fontId="73" fillId="0" borderId="0" xfId="0" applyFont="1" applyAlignment="1">
      <alignment horizontal="center"/>
    </xf>
    <xf numFmtId="0" fontId="69" fillId="37" borderId="19" xfId="0" applyFont="1" applyFill="1" applyBorder="1" applyAlignment="1">
      <alignment horizontal="left" vertical="center" wrapText="1"/>
    </xf>
    <xf numFmtId="0" fontId="69" fillId="37" borderId="19" xfId="0" applyFont="1" applyFill="1" applyBorder="1" applyAlignment="1">
      <alignment horizontal="center" vertical="center" wrapText="1"/>
    </xf>
    <xf numFmtId="16" fontId="69" fillId="37" borderId="19" xfId="0" applyNumberFormat="1" applyFont="1" applyFill="1" applyBorder="1" applyAlignment="1">
      <alignment horizontal="center" vertical="center"/>
    </xf>
    <xf numFmtId="0" fontId="69" fillId="2" borderId="19" xfId="0" applyFont="1" applyFill="1" applyBorder="1" applyAlignment="1" applyProtection="1">
      <alignment horizontal="center" vertical="center" wrapText="1"/>
      <protection locked="0"/>
    </xf>
    <xf numFmtId="166" fontId="69" fillId="2" borderId="19" xfId="0" applyNumberFormat="1" applyFont="1" applyFill="1" applyBorder="1" applyAlignment="1" applyProtection="1">
      <alignment horizontal="center" vertical="center" wrapText="1"/>
      <protection locked="0"/>
    </xf>
    <xf numFmtId="2" fontId="69" fillId="2" borderId="19" xfId="0" applyNumberFormat="1" applyFont="1" applyFill="1" applyBorder="1" applyAlignment="1" applyProtection="1">
      <alignment horizontal="center" vertical="center" wrapText="1"/>
      <protection locked="0"/>
    </xf>
    <xf numFmtId="9" fontId="69" fillId="0" borderId="19" xfId="0" applyNumberFormat="1" applyFont="1" applyBorder="1" applyAlignment="1" applyProtection="1">
      <alignment horizontal="center" vertical="center" wrapText="1"/>
      <protection locked="0"/>
    </xf>
    <xf numFmtId="0" fontId="61" fillId="0" borderId="6" xfId="0" applyFont="1" applyBorder="1" applyAlignment="1" applyProtection="1">
      <alignment horizontal="center" vertical="center" wrapText="1"/>
      <protection locked="0"/>
    </xf>
    <xf numFmtId="0" fontId="67" fillId="0" borderId="6" xfId="0" applyFont="1" applyBorder="1" applyAlignment="1" applyProtection="1">
      <alignment horizontal="center" vertical="center"/>
      <protection locked="0"/>
    </xf>
    <xf numFmtId="0" fontId="67" fillId="0" borderId="6" xfId="0" applyFont="1" applyBorder="1" applyAlignment="1" applyProtection="1">
      <alignment horizontal="center" vertical="center" wrapText="1"/>
      <protection locked="0"/>
    </xf>
    <xf numFmtId="0" fontId="67" fillId="0" borderId="6" xfId="1" applyFont="1" applyFill="1" applyBorder="1" applyAlignment="1" applyProtection="1">
      <alignment horizontal="center" vertical="center" wrapText="1"/>
      <protection locked="0"/>
    </xf>
    <xf numFmtId="166" fontId="71" fillId="0" borderId="6" xfId="1" applyNumberFormat="1" applyFont="1" applyFill="1" applyBorder="1" applyAlignment="1" applyProtection="1">
      <alignment horizontal="center" vertical="center" wrapText="1"/>
      <protection locked="0"/>
    </xf>
    <xf numFmtId="166" fontId="67" fillId="0" borderId="6" xfId="1" applyNumberFormat="1" applyFont="1" applyFill="1" applyBorder="1" applyAlignment="1" applyProtection="1">
      <alignment horizontal="center" vertical="center" wrapText="1"/>
      <protection locked="0"/>
    </xf>
    <xf numFmtId="2" fontId="67" fillId="0" borderId="6" xfId="1" applyNumberFormat="1" applyFont="1" applyFill="1" applyBorder="1" applyAlignment="1" applyProtection="1">
      <alignment horizontal="center" vertical="center" wrapText="1"/>
      <protection locked="0"/>
    </xf>
    <xf numFmtId="9" fontId="67" fillId="0" borderId="6" xfId="1" applyNumberFormat="1" applyFont="1" applyFill="1" applyBorder="1" applyAlignment="1" applyProtection="1">
      <alignment horizontal="center" vertical="center" wrapText="1"/>
      <protection locked="0"/>
    </xf>
    <xf numFmtId="0" fontId="69" fillId="0" borderId="6" xfId="0" applyFont="1" applyBorder="1"/>
    <xf numFmtId="16" fontId="74" fillId="0" borderId="0" xfId="0" applyNumberFormat="1" applyFont="1" applyAlignment="1">
      <alignment horizontal="center"/>
    </xf>
    <xf numFmtId="9" fontId="75" fillId="0" borderId="1" xfId="1" applyNumberFormat="1" applyFont="1" applyFill="1" applyBorder="1" applyAlignment="1" applyProtection="1">
      <alignment horizontal="center" vertical="center" wrapText="1"/>
      <protection locked="0"/>
    </xf>
    <xf numFmtId="2" fontId="76" fillId="0" borderId="1" xfId="0" applyNumberFormat="1" applyFont="1" applyBorder="1" applyAlignment="1">
      <alignment horizontal="center" vertical="center"/>
    </xf>
    <xf numFmtId="9" fontId="77" fillId="0" borderId="1" xfId="1" applyNumberFormat="1" applyFont="1" applyFill="1" applyBorder="1" applyAlignment="1" applyProtection="1">
      <alignment horizontal="center" vertical="center" wrapText="1"/>
      <protection locked="0"/>
    </xf>
    <xf numFmtId="2" fontId="77" fillId="0" borderId="1" xfId="0" applyNumberFormat="1" applyFont="1" applyBorder="1" applyAlignment="1">
      <alignment horizontal="center"/>
    </xf>
    <xf numFmtId="0" fontId="69" fillId="0" borderId="19" xfId="0" applyFont="1" applyBorder="1" applyAlignment="1">
      <alignment horizontal="center" vertical="center"/>
    </xf>
    <xf numFmtId="0" fontId="69" fillId="0" borderId="18" xfId="0" applyFont="1" applyBorder="1" applyAlignment="1">
      <alignment horizontal="center" vertical="center"/>
    </xf>
    <xf numFmtId="0" fontId="69" fillId="37" borderId="18" xfId="0" applyFont="1" applyFill="1" applyBorder="1" applyAlignment="1">
      <alignment horizontal="center" vertical="center" wrapText="1"/>
    </xf>
    <xf numFmtId="16" fontId="69" fillId="37" borderId="18" xfId="0" applyNumberFormat="1" applyFont="1" applyFill="1" applyBorder="1" applyAlignment="1">
      <alignment horizontal="center" vertical="center"/>
    </xf>
    <xf numFmtId="2" fontId="69" fillId="37" borderId="18" xfId="0" applyNumberFormat="1" applyFont="1" applyFill="1" applyBorder="1" applyAlignment="1">
      <alignment horizontal="center" vertical="center" wrapText="1"/>
    </xf>
    <xf numFmtId="2" fontId="69" fillId="37" borderId="19" xfId="0" applyNumberFormat="1" applyFont="1" applyFill="1" applyBorder="1" applyAlignment="1">
      <alignment horizontal="center" vertical="center" wrapText="1"/>
    </xf>
    <xf numFmtId="0" fontId="69" fillId="37" borderId="18" xfId="0" applyFont="1" applyFill="1" applyBorder="1" applyAlignment="1">
      <alignment vertical="center" wrapText="1"/>
    </xf>
    <xf numFmtId="168" fontId="71" fillId="0" borderId="0" xfId="0" applyNumberFormat="1" applyFont="1"/>
    <xf numFmtId="0" fontId="61" fillId="0" borderId="3" xfId="0" applyFont="1" applyBorder="1" applyAlignment="1" applyProtection="1">
      <alignment vertical="center" wrapText="1"/>
      <protection locked="0"/>
    </xf>
    <xf numFmtId="16" fontId="69" fillId="0" borderId="0" xfId="0" applyNumberFormat="1" applyFont="1" applyAlignment="1">
      <alignment horizontal="center"/>
    </xf>
    <xf numFmtId="0" fontId="69" fillId="37" borderId="18" xfId="0" applyFont="1" applyFill="1" applyBorder="1" applyAlignment="1">
      <alignment vertical="center"/>
    </xf>
    <xf numFmtId="0" fontId="69" fillId="37" borderId="18" xfId="0" applyFont="1" applyFill="1" applyBorder="1" applyAlignment="1">
      <alignment horizontal="center" vertical="center"/>
    </xf>
    <xf numFmtId="0" fontId="58" fillId="36" borderId="0" xfId="113" applyFont="1" applyFill="1" applyAlignment="1">
      <alignment horizontal="center"/>
    </xf>
    <xf numFmtId="0" fontId="58" fillId="0" borderId="17" xfId="0" applyFont="1" applyBorder="1" applyAlignment="1">
      <alignment horizontal="center"/>
    </xf>
    <xf numFmtId="0" fontId="69" fillId="0" borderId="0" xfId="0" applyFont="1" applyAlignment="1">
      <alignment wrapText="1"/>
    </xf>
    <xf numFmtId="166" fontId="69" fillId="0" borderId="0" xfId="0" applyNumberFormat="1" applyFont="1" applyAlignment="1">
      <alignment horizontal="center"/>
    </xf>
    <xf numFmtId="0" fontId="69" fillId="0" borderId="0" xfId="0" applyFont="1" applyAlignment="1">
      <alignment horizontal="center" wrapText="1"/>
    </xf>
    <xf numFmtId="166" fontId="69" fillId="0" borderId="0" xfId="0" applyNumberFormat="1" applyFont="1" applyAlignment="1">
      <alignment horizontal="center" vertical="center"/>
    </xf>
    <xf numFmtId="2" fontId="69" fillId="0" borderId="0" xfId="0" applyNumberFormat="1" applyFont="1" applyAlignment="1">
      <alignment horizontal="center"/>
    </xf>
    <xf numFmtId="2" fontId="69" fillId="0" borderId="0" xfId="0" applyNumberFormat="1" applyFont="1" applyAlignment="1">
      <alignment horizontal="center" wrapText="1"/>
    </xf>
    <xf numFmtId="2" fontId="69" fillId="0" borderId="0" xfId="0" applyNumberFormat="1" applyFont="1" applyAlignment="1">
      <alignment vertical="center" wrapText="1"/>
    </xf>
    <xf numFmtId="9" fontId="78" fillId="0" borderId="1" xfId="1" applyNumberFormat="1" applyFont="1" applyFill="1" applyBorder="1" applyAlignment="1" applyProtection="1">
      <alignment horizontal="center" vertical="center" wrapText="1"/>
      <protection locked="0"/>
    </xf>
    <xf numFmtId="2" fontId="78" fillId="0" borderId="1" xfId="0" applyNumberFormat="1" applyFont="1" applyBorder="1" applyAlignment="1">
      <alignment horizontal="center" vertical="center"/>
    </xf>
    <xf numFmtId="0" fontId="67" fillId="2" borderId="18" xfId="0" applyFont="1" applyFill="1" applyBorder="1" applyAlignment="1" applyProtection="1">
      <alignment horizontal="left" vertical="center" wrapText="1"/>
      <protection locked="0"/>
    </xf>
    <xf numFmtId="14" fontId="67" fillId="0" borderId="0" xfId="0" applyNumberFormat="1" applyFont="1"/>
    <xf numFmtId="49" fontId="79" fillId="0" borderId="0" xfId="0" applyNumberFormat="1" applyFont="1" applyAlignment="1">
      <alignment horizontal="center"/>
    </xf>
    <xf numFmtId="49" fontId="72" fillId="0" borderId="0" xfId="0" applyNumberFormat="1" applyFont="1" applyAlignment="1">
      <alignment horizontal="center"/>
    </xf>
    <xf numFmtId="49" fontId="80" fillId="0" borderId="1" xfId="1" applyNumberFormat="1" applyFont="1" applyFill="1" applyBorder="1" applyAlignment="1" applyProtection="1">
      <alignment horizontal="center" vertical="center" wrapText="1"/>
      <protection locked="0"/>
    </xf>
    <xf numFmtId="49" fontId="72" fillId="0" borderId="0" xfId="1" applyNumberFormat="1" applyFont="1" applyFill="1" applyBorder="1" applyAlignment="1" applyProtection="1">
      <alignment horizontal="center" vertical="center" wrapText="1"/>
      <protection locked="0"/>
    </xf>
    <xf numFmtId="49" fontId="79" fillId="0" borderId="18" xfId="0" applyNumberFormat="1" applyFont="1" applyBorder="1" applyAlignment="1" applyProtection="1">
      <alignment horizontal="center" vertical="center" wrapText="1"/>
      <protection locked="0"/>
    </xf>
    <xf numFmtId="1" fontId="71" fillId="0" borderId="0" xfId="0" applyNumberFormat="1" applyFont="1" applyAlignment="1">
      <alignment horizontal="center"/>
    </xf>
    <xf numFmtId="0" fontId="28" fillId="0" borderId="0" xfId="114"/>
    <xf numFmtId="0" fontId="28" fillId="0" borderId="0" xfId="114" applyAlignment="1">
      <alignment horizontal="center"/>
    </xf>
    <xf numFmtId="166" fontId="28" fillId="0" borderId="0" xfId="114" applyNumberFormat="1" applyAlignment="1">
      <alignment horizontal="center"/>
    </xf>
    <xf numFmtId="0" fontId="58" fillId="35" borderId="1" xfId="114" applyFont="1" applyFill="1" applyBorder="1" applyAlignment="1">
      <alignment horizontal="center" vertical="center" wrapText="1"/>
    </xf>
    <xf numFmtId="0" fontId="58" fillId="34" borderId="1" xfId="114" applyFont="1" applyFill="1" applyBorder="1" applyAlignment="1">
      <alignment vertical="center"/>
    </xf>
    <xf numFmtId="0" fontId="81" fillId="34" borderId="1" xfId="114" applyFont="1" applyFill="1" applyBorder="1" applyAlignment="1">
      <alignment horizontal="center" vertical="center"/>
    </xf>
    <xf numFmtId="0" fontId="58" fillId="34" borderId="1" xfId="114" applyFont="1" applyFill="1" applyBorder="1" applyAlignment="1">
      <alignment horizontal="center" vertical="center"/>
    </xf>
    <xf numFmtId="1" fontId="81" fillId="34" borderId="1" xfId="114" applyNumberFormat="1" applyFont="1" applyFill="1" applyBorder="1" applyAlignment="1">
      <alignment horizontal="center" vertical="center"/>
    </xf>
    <xf numFmtId="0" fontId="66" fillId="0" borderId="0" xfId="114" applyFont="1"/>
    <xf numFmtId="0" fontId="31" fillId="0" borderId="0" xfId="0" applyFont="1" applyAlignment="1">
      <alignment horizontal="center"/>
    </xf>
    <xf numFmtId="0" fontId="58" fillId="36" borderId="16" xfId="0" applyFont="1" applyFill="1" applyBorder="1" applyAlignment="1">
      <alignment horizontal="center" wrapText="1"/>
    </xf>
    <xf numFmtId="2" fontId="0" fillId="0" borderId="0" xfId="0" applyNumberFormat="1" applyAlignment="1">
      <alignment horizontal="center" vertical="center"/>
    </xf>
    <xf numFmtId="0" fontId="58" fillId="36" borderId="16" xfId="0" applyFont="1" applyFill="1" applyBorder="1" applyAlignment="1">
      <alignment horizontal="center" vertical="center" wrapText="1"/>
    </xf>
    <xf numFmtId="170" fontId="67" fillId="0" borderId="1" xfId="100" applyNumberFormat="1" applyFont="1" applyFill="1" applyBorder="1" applyAlignment="1" applyProtection="1">
      <alignment horizontal="center" vertical="center" wrapText="1"/>
      <protection locked="0"/>
    </xf>
    <xf numFmtId="171" fontId="67" fillId="0" borderId="1" xfId="0" applyNumberFormat="1" applyFont="1" applyBorder="1" applyAlignment="1" applyProtection="1">
      <alignment horizontal="center" vertical="center" wrapText="1"/>
      <protection locked="0"/>
    </xf>
    <xf numFmtId="168" fontId="71" fillId="38" borderId="0" xfId="0" applyNumberFormat="1" applyFont="1" applyFill="1" applyAlignment="1">
      <alignment horizontal="center"/>
    </xf>
    <xf numFmtId="171" fontId="69" fillId="0" borderId="0" xfId="0" applyNumberFormat="1" applyFont="1"/>
    <xf numFmtId="171" fontId="67" fillId="0" borderId="6" xfId="1" applyNumberFormat="1" applyFont="1" applyFill="1" applyBorder="1" applyAlignment="1" applyProtection="1">
      <alignment horizontal="center" vertical="center"/>
      <protection locked="0"/>
    </xf>
    <xf numFmtId="171" fontId="69" fillId="37" borderId="19" xfId="0" applyNumberFormat="1" applyFont="1" applyFill="1" applyBorder="1" applyAlignment="1">
      <alignment horizontal="center" vertical="center"/>
    </xf>
    <xf numFmtId="171" fontId="71" fillId="0" borderId="0" xfId="0" applyNumberFormat="1" applyFont="1" applyAlignment="1">
      <alignment horizontal="center"/>
    </xf>
    <xf numFmtId="171" fontId="71" fillId="0" borderId="0" xfId="0" applyNumberFormat="1" applyFont="1" applyAlignment="1" applyProtection="1">
      <alignment horizontal="center" vertical="center" wrapText="1"/>
      <protection locked="0"/>
    </xf>
    <xf numFmtId="171" fontId="67" fillId="0" borderId="6" xfId="1" applyNumberFormat="1" applyFont="1" applyFill="1" applyBorder="1" applyAlignment="1" applyProtection="1">
      <alignment horizontal="center" vertical="center" wrapText="1"/>
      <protection locked="0"/>
    </xf>
    <xf numFmtId="171" fontId="69" fillId="2" borderId="19" xfId="0" applyNumberFormat="1" applyFont="1" applyFill="1" applyBorder="1" applyAlignment="1" applyProtection="1">
      <alignment horizontal="center" vertical="center" wrapText="1"/>
      <protection locked="0"/>
    </xf>
    <xf numFmtId="171" fontId="69" fillId="2" borderId="18" xfId="0" applyNumberFormat="1" applyFont="1" applyFill="1" applyBorder="1" applyAlignment="1" applyProtection="1">
      <alignment horizontal="center" vertical="center" wrapText="1"/>
      <protection locked="0"/>
    </xf>
    <xf numFmtId="171" fontId="67" fillId="0" borderId="3" xfId="1" applyNumberFormat="1" applyFont="1" applyFill="1" applyBorder="1" applyAlignment="1" applyProtection="1">
      <alignment horizontal="center" vertical="center"/>
      <protection locked="0"/>
    </xf>
    <xf numFmtId="171" fontId="67" fillId="0" borderId="3" xfId="1" applyNumberFormat="1" applyFont="1" applyFill="1" applyBorder="1" applyAlignment="1" applyProtection="1">
      <alignment horizontal="center" vertical="center" wrapText="1"/>
      <protection locked="0"/>
    </xf>
    <xf numFmtId="171" fontId="69" fillId="0" borderId="0" xfId="0" applyNumberFormat="1" applyFont="1" applyAlignment="1">
      <alignment horizontal="left"/>
    </xf>
    <xf numFmtId="166" fontId="72" fillId="0" borderId="3" xfId="1" applyNumberFormat="1" applyFont="1" applyFill="1" applyBorder="1" applyAlignment="1" applyProtection="1">
      <alignment horizontal="center" vertical="center" wrapText="1"/>
      <protection locked="0"/>
    </xf>
    <xf numFmtId="166" fontId="72" fillId="0" borderId="6" xfId="1" applyNumberFormat="1" applyFont="1" applyFill="1" applyBorder="1" applyAlignment="1" applyProtection="1">
      <alignment horizontal="center" vertical="center" wrapText="1"/>
      <protection locked="0"/>
    </xf>
    <xf numFmtId="166" fontId="67" fillId="0" borderId="1" xfId="0" applyNumberFormat="1" applyFont="1" applyBorder="1" applyAlignment="1" applyProtection="1">
      <alignment horizontal="center" vertical="center" wrapText="1"/>
      <protection locked="0"/>
    </xf>
    <xf numFmtId="0" fontId="27" fillId="0" borderId="0" xfId="114" applyFont="1" applyAlignment="1">
      <alignment horizontal="center"/>
    </xf>
    <xf numFmtId="0" fontId="58" fillId="0" borderId="16" xfId="0" applyFont="1" applyBorder="1"/>
    <xf numFmtId="0" fontId="58" fillId="0" borderId="0" xfId="0" applyFont="1"/>
    <xf numFmtId="0" fontId="58" fillId="0" borderId="0" xfId="0" applyFont="1" applyAlignment="1">
      <alignment horizontal="center"/>
    </xf>
    <xf numFmtId="0" fontId="58" fillId="36" borderId="16" xfId="0" applyFont="1" applyFill="1" applyBorder="1" applyAlignment="1">
      <alignment horizontal="left"/>
    </xf>
    <xf numFmtId="1" fontId="60" fillId="37" borderId="1" xfId="114" applyNumberFormat="1" applyFont="1" applyFill="1" applyBorder="1" applyAlignment="1">
      <alignment vertical="center" wrapText="1"/>
    </xf>
    <xf numFmtId="1" fontId="83" fillId="37" borderId="1" xfId="114" applyNumberFormat="1" applyFont="1" applyFill="1" applyBorder="1" applyAlignment="1">
      <alignment horizontal="center" vertical="center"/>
    </xf>
    <xf numFmtId="1" fontId="84" fillId="0" borderId="0" xfId="114" applyNumberFormat="1" applyFont="1"/>
    <xf numFmtId="166" fontId="26" fillId="0" borderId="0" xfId="114" applyNumberFormat="1" applyFont="1" applyAlignment="1">
      <alignment horizontal="center"/>
    </xf>
    <xf numFmtId="0" fontId="58" fillId="34" borderId="1" xfId="0" applyFont="1" applyFill="1" applyBorder="1" applyAlignment="1">
      <alignment horizontal="center" vertical="center"/>
    </xf>
    <xf numFmtId="0" fontId="81" fillId="34" borderId="1" xfId="0" applyFont="1" applyFill="1" applyBorder="1" applyAlignment="1">
      <alignment horizontal="center" vertical="center"/>
    </xf>
    <xf numFmtId="0" fontId="58" fillId="0" borderId="1" xfId="0" applyFont="1" applyBorder="1" applyAlignment="1">
      <alignment horizontal="center"/>
    </xf>
    <xf numFmtId="1" fontId="58" fillId="0" borderId="1" xfId="0" applyNumberFormat="1" applyFont="1" applyBorder="1" applyAlignment="1">
      <alignment horizontal="center"/>
    </xf>
    <xf numFmtId="0" fontId="81" fillId="35" borderId="1" xfId="114" applyFont="1" applyFill="1" applyBorder="1" applyAlignment="1">
      <alignment horizontal="center" vertical="center" wrapText="1"/>
    </xf>
    <xf numFmtId="166" fontId="81" fillId="35" borderId="1" xfId="114" applyNumberFormat="1" applyFont="1" applyFill="1" applyBorder="1" applyAlignment="1">
      <alignment horizontal="center" vertical="center" wrapText="1"/>
    </xf>
    <xf numFmtId="3" fontId="81" fillId="34" borderId="1" xfId="114" applyNumberFormat="1" applyFont="1" applyFill="1" applyBorder="1" applyAlignment="1">
      <alignment horizontal="center" vertical="center"/>
    </xf>
    <xf numFmtId="1" fontId="69" fillId="0" borderId="0" xfId="0" applyNumberFormat="1" applyFont="1" applyAlignment="1">
      <alignment horizontal="center"/>
    </xf>
    <xf numFmtId="0" fontId="85" fillId="0" borderId="0" xfId="0" applyFont="1"/>
    <xf numFmtId="0" fontId="66" fillId="0" borderId="0" xfId="115" applyFont="1"/>
    <xf numFmtId="0" fontId="25" fillId="0" borderId="0" xfId="115"/>
    <xf numFmtId="0" fontId="81" fillId="34" borderId="1" xfId="115" applyFont="1" applyFill="1" applyBorder="1" applyAlignment="1">
      <alignment horizontal="center" vertical="center" wrapText="1"/>
    </xf>
    <xf numFmtId="0" fontId="25" fillId="0" borderId="0" xfId="115" applyAlignment="1">
      <alignment vertical="center" wrapText="1"/>
    </xf>
    <xf numFmtId="0" fontId="25" fillId="0" borderId="1" xfId="115" applyBorder="1"/>
    <xf numFmtId="0" fontId="25" fillId="0" borderId="1" xfId="115" applyBorder="1" applyAlignment="1">
      <alignment horizontal="center"/>
    </xf>
    <xf numFmtId="0" fontId="25" fillId="37" borderId="0" xfId="115" applyFill="1"/>
    <xf numFmtId="1" fontId="87" fillId="37" borderId="1" xfId="114" applyNumberFormat="1" applyFont="1" applyFill="1" applyBorder="1" applyAlignment="1">
      <alignment horizontal="center" vertical="center" wrapText="1"/>
    </xf>
    <xf numFmtId="9" fontId="69" fillId="0" borderId="19" xfId="0" applyNumberFormat="1" applyFont="1" applyBorder="1" applyAlignment="1">
      <alignment horizontal="center" vertical="center"/>
    </xf>
    <xf numFmtId="0" fontId="58" fillId="36" borderId="16" xfId="0" applyFont="1" applyFill="1" applyBorder="1" applyAlignment="1">
      <alignment horizontal="center" vertical="center"/>
    </xf>
    <xf numFmtId="0" fontId="17" fillId="0" borderId="0" xfId="129" applyAlignment="1">
      <alignment horizontal="center"/>
    </xf>
    <xf numFmtId="0" fontId="17" fillId="0" borderId="0" xfId="129"/>
    <xf numFmtId="166" fontId="17" fillId="0" borderId="0" xfId="129" applyNumberFormat="1"/>
    <xf numFmtId="2" fontId="17" fillId="37" borderId="5" xfId="129" applyNumberFormat="1" applyFill="1" applyBorder="1" applyAlignment="1">
      <alignment horizontal="center" vertical="center" wrapText="1"/>
    </xf>
    <xf numFmtId="2" fontId="59" fillId="37" borderId="5" xfId="129" applyNumberFormat="1" applyFont="1" applyFill="1" applyBorder="1" applyAlignment="1">
      <alignment horizontal="center" vertical="center" wrapText="1"/>
    </xf>
    <xf numFmtId="2" fontId="17" fillId="37" borderId="1" xfId="129" applyNumberFormat="1" applyFill="1" applyBorder="1" applyAlignment="1">
      <alignment horizontal="center" vertical="center" wrapText="1"/>
    </xf>
    <xf numFmtId="2" fontId="17" fillId="37" borderId="22" xfId="129" applyNumberFormat="1" applyFill="1" applyBorder="1" applyAlignment="1">
      <alignment horizontal="center" vertical="center" wrapText="1"/>
    </xf>
    <xf numFmtId="2" fontId="58" fillId="37" borderId="1" xfId="129" applyNumberFormat="1" applyFont="1" applyFill="1" applyBorder="1" applyAlignment="1">
      <alignment horizontal="center" vertical="center" wrapText="1"/>
    </xf>
    <xf numFmtId="2" fontId="88" fillId="37" borderId="1" xfId="129" applyNumberFormat="1" applyFont="1" applyFill="1" applyBorder="1" applyAlignment="1">
      <alignment horizontal="center" vertical="center" wrapText="1"/>
    </xf>
    <xf numFmtId="49" fontId="17" fillId="0" borderId="1" xfId="129" applyNumberFormat="1" applyBorder="1" applyAlignment="1">
      <alignment horizontal="center"/>
    </xf>
    <xf numFmtId="166" fontId="17" fillId="0" borderId="1" xfId="129" applyNumberFormat="1" applyBorder="1" applyAlignment="1">
      <alignment horizontal="center"/>
    </xf>
    <xf numFmtId="0" fontId="17" fillId="0" borderId="1" xfId="129" applyBorder="1" applyAlignment="1">
      <alignment horizontal="center"/>
    </xf>
    <xf numFmtId="2" fontId="17" fillId="0" borderId="1" xfId="129" applyNumberFormat="1" applyBorder="1" applyAlignment="1">
      <alignment horizontal="center" vertical="center"/>
    </xf>
    <xf numFmtId="2" fontId="59" fillId="0" borderId="1" xfId="129" applyNumberFormat="1" applyFont="1" applyBorder="1" applyAlignment="1">
      <alignment horizontal="center"/>
    </xf>
    <xf numFmtId="2" fontId="17" fillId="0" borderId="1" xfId="129" applyNumberFormat="1" applyBorder="1" applyAlignment="1">
      <alignment horizontal="center"/>
    </xf>
    <xf numFmtId="0" fontId="17" fillId="39" borderId="1" xfId="129" applyFill="1" applyBorder="1" applyAlignment="1">
      <alignment horizontal="center" vertical="center"/>
    </xf>
    <xf numFmtId="166" fontId="17" fillId="39" borderId="1" xfId="129" applyNumberFormat="1" applyFill="1" applyBorder="1" applyAlignment="1">
      <alignment horizontal="center"/>
    </xf>
    <xf numFmtId="0" fontId="17" fillId="39" borderId="1" xfId="129" applyFill="1" applyBorder="1" applyAlignment="1">
      <alignment horizontal="center"/>
    </xf>
    <xf numFmtId="2" fontId="17" fillId="39" borderId="1" xfId="129" applyNumberFormat="1" applyFill="1" applyBorder="1" applyAlignment="1">
      <alignment horizontal="center" vertical="center"/>
    </xf>
    <xf numFmtId="2" fontId="59" fillId="39" borderId="1" xfId="129" applyNumberFormat="1" applyFont="1" applyFill="1" applyBorder="1" applyAlignment="1">
      <alignment horizontal="center"/>
    </xf>
    <xf numFmtId="2" fontId="17" fillId="39" borderId="1" xfId="129" applyNumberFormat="1" applyFill="1" applyBorder="1" applyAlignment="1">
      <alignment horizontal="center"/>
    </xf>
    <xf numFmtId="0" fontId="17" fillId="0" borderId="1" xfId="129" applyBorder="1" applyAlignment="1">
      <alignment horizontal="center" vertical="center"/>
    </xf>
    <xf numFmtId="2" fontId="17" fillId="0" borderId="0" xfId="129" applyNumberFormat="1"/>
    <xf numFmtId="0" fontId="17" fillId="0" borderId="0" xfId="129" applyAlignment="1">
      <alignment horizontal="center" vertical="center"/>
    </xf>
    <xf numFmtId="166" fontId="71" fillId="0" borderId="0" xfId="0" applyNumberFormat="1" applyFont="1" applyAlignment="1">
      <alignment horizontal="left"/>
    </xf>
    <xf numFmtId="165" fontId="69" fillId="0" borderId="0" xfId="0" applyNumberFormat="1" applyFont="1" applyAlignment="1">
      <alignment horizontal="center"/>
    </xf>
    <xf numFmtId="171" fontId="69" fillId="0" borderId="1" xfId="0" applyNumberFormat="1" applyFont="1" applyBorder="1" applyAlignment="1" applyProtection="1">
      <alignment horizontal="center" vertical="center" wrapText="1"/>
      <protection locked="0"/>
    </xf>
    <xf numFmtId="0" fontId="61" fillId="0" borderId="1" xfId="0" applyFont="1" applyBorder="1" applyAlignment="1" applyProtection="1">
      <alignment horizontal="center" vertical="center"/>
      <protection locked="0"/>
    </xf>
    <xf numFmtId="173" fontId="0" fillId="0" borderId="0" xfId="0" applyNumberFormat="1" applyAlignment="1">
      <alignment horizontal="center"/>
    </xf>
    <xf numFmtId="0" fontId="69" fillId="0" borderId="1" xfId="0" applyFont="1" applyBorder="1" applyAlignment="1" applyProtection="1">
      <alignment horizontal="center" vertical="center"/>
      <protection locked="0"/>
    </xf>
    <xf numFmtId="16" fontId="90" fillId="0" borderId="3" xfId="0" applyNumberFormat="1" applyFont="1" applyBorder="1" applyAlignment="1">
      <alignment horizontal="center"/>
    </xf>
    <xf numFmtId="168" fontId="90" fillId="0" borderId="4" xfId="0" applyNumberFormat="1" applyFont="1" applyBorder="1" applyAlignment="1">
      <alignment horizontal="center"/>
    </xf>
    <xf numFmtId="2" fontId="91" fillId="0" borderId="1" xfId="0" applyNumberFormat="1" applyFont="1" applyBorder="1" applyAlignment="1">
      <alignment horizontal="center"/>
    </xf>
    <xf numFmtId="1" fontId="67" fillId="0" borderId="1" xfId="100" applyNumberFormat="1" applyFont="1" applyFill="1" applyBorder="1" applyAlignment="1" applyProtection="1">
      <alignment horizontal="center" vertical="center" wrapText="1"/>
      <protection locked="0"/>
    </xf>
    <xf numFmtId="1" fontId="69" fillId="0" borderId="0" xfId="0" applyNumberFormat="1" applyFont="1" applyAlignment="1">
      <alignment horizontal="center" vertical="center"/>
    </xf>
    <xf numFmtId="0" fontId="6" fillId="0" borderId="0" xfId="114" applyFont="1" applyAlignment="1">
      <alignment horizontal="center"/>
    </xf>
    <xf numFmtId="0" fontId="93" fillId="0" borderId="0" xfId="0" applyFont="1"/>
    <xf numFmtId="0" fontId="94" fillId="0" borderId="0" xfId="0" applyFont="1"/>
    <xf numFmtId="0" fontId="95" fillId="40" borderId="0" xfId="0" applyFont="1" applyFill="1"/>
    <xf numFmtId="0" fontId="0" fillId="40" borderId="0" xfId="0" applyFill="1"/>
    <xf numFmtId="0" fontId="33" fillId="0" borderId="0" xfId="0" applyFont="1"/>
    <xf numFmtId="3" fontId="96" fillId="0" borderId="0" xfId="0" applyNumberFormat="1" applyFont="1" applyAlignment="1">
      <alignment horizontal="center"/>
    </xf>
    <xf numFmtId="0" fontId="33" fillId="37" borderId="0" xfId="0" applyFont="1" applyFill="1" applyAlignment="1">
      <alignment horizontal="center"/>
    </xf>
    <xf numFmtId="174" fontId="33" fillId="37" borderId="0" xfId="0" applyNumberFormat="1" applyFont="1" applyFill="1" applyAlignment="1">
      <alignment horizontal="center"/>
    </xf>
    <xf numFmtId="0" fontId="33" fillId="41" borderId="1" xfId="0" applyFont="1" applyFill="1" applyBorder="1"/>
    <xf numFmtId="0" fontId="33" fillId="41" borderId="1" xfId="0" applyFont="1" applyFill="1" applyBorder="1" applyAlignment="1">
      <alignment horizontal="center"/>
    </xf>
    <xf numFmtId="0" fontId="0" fillId="0" borderId="1" xfId="0" applyBorder="1"/>
    <xf numFmtId="3" fontId="96" fillId="0" borderId="1" xfId="0" applyNumberFormat="1" applyFont="1" applyBorder="1" applyAlignment="1">
      <alignment horizontal="center"/>
    </xf>
    <xf numFmtId="174" fontId="96" fillId="0" borderId="1" xfId="0" applyNumberFormat="1" applyFont="1" applyBorder="1" applyAlignment="1">
      <alignment horizontal="center"/>
    </xf>
    <xf numFmtId="4" fontId="0" fillId="0" borderId="1" xfId="0" applyNumberFormat="1" applyBorder="1" applyAlignment="1">
      <alignment horizontal="center"/>
    </xf>
    <xf numFmtId="3" fontId="0" fillId="0" borderId="1" xfId="0" applyNumberFormat="1" applyBorder="1" applyAlignment="1">
      <alignment horizontal="center"/>
    </xf>
    <xf numFmtId="174" fontId="0" fillId="0" borderId="1" xfId="0" applyNumberFormat="1" applyBorder="1" applyAlignment="1">
      <alignment horizontal="center"/>
    </xf>
    <xf numFmtId="0" fontId="96" fillId="0" borderId="1" xfId="0" applyFont="1" applyBorder="1"/>
    <xf numFmtId="0" fontId="96" fillId="42" borderId="1" xfId="0" applyFont="1" applyFill="1" applyBorder="1"/>
    <xf numFmtId="174" fontId="96" fillId="42" borderId="1" xfId="0" applyNumberFormat="1" applyFont="1" applyFill="1" applyBorder="1" applyAlignment="1">
      <alignment horizontal="center"/>
    </xf>
    <xf numFmtId="0" fontId="97" fillId="0" borderId="0" xfId="0" applyFont="1" applyAlignment="1">
      <alignment horizontal="center" vertical="center"/>
    </xf>
    <xf numFmtId="0" fontId="0" fillId="0" borderId="3" xfId="0" applyBorder="1"/>
    <xf numFmtId="3" fontId="96" fillId="0" borderId="3" xfId="0" applyNumberFormat="1" applyFont="1" applyBorder="1" applyAlignment="1">
      <alignment horizontal="center"/>
    </xf>
    <xf numFmtId="0" fontId="95" fillId="40" borderId="1" xfId="0" applyFont="1" applyFill="1" applyBorder="1"/>
    <xf numFmtId="0" fontId="82" fillId="0" borderId="1" xfId="0" applyFont="1" applyBorder="1"/>
    <xf numFmtId="3" fontId="96" fillId="40" borderId="1" xfId="0" applyNumberFormat="1" applyFont="1" applyFill="1" applyBorder="1" applyAlignment="1">
      <alignment horizontal="center"/>
    </xf>
    <xf numFmtId="0" fontId="0" fillId="40" borderId="1" xfId="0" applyFill="1" applyBorder="1"/>
    <xf numFmtId="3" fontId="98" fillId="41" borderId="1" xfId="0" applyNumberFormat="1" applyFont="1" applyFill="1" applyBorder="1" applyAlignment="1">
      <alignment horizontal="center"/>
    </xf>
    <xf numFmtId="175" fontId="96" fillId="0" borderId="1" xfId="0" applyNumberFormat="1" applyFont="1" applyBorder="1" applyAlignment="1">
      <alignment horizontal="center"/>
    </xf>
    <xf numFmtId="165" fontId="67" fillId="0" borderId="1" xfId="0" applyNumberFormat="1" applyFont="1" applyBorder="1" applyAlignment="1">
      <alignment horizontal="center" vertical="center" wrapText="1"/>
    </xf>
    <xf numFmtId="165" fontId="96" fillId="0" borderId="1" xfId="0" applyNumberFormat="1" applyFont="1" applyBorder="1" applyAlignment="1">
      <alignment horizontal="center"/>
    </xf>
    <xf numFmtId="165" fontId="92" fillId="37" borderId="1" xfId="0" applyNumberFormat="1" applyFont="1" applyFill="1" applyBorder="1" applyAlignment="1">
      <alignment horizontal="center"/>
    </xf>
    <xf numFmtId="0" fontId="96" fillId="0" borderId="1" xfId="0" applyFont="1" applyBorder="1" applyAlignment="1">
      <alignment horizontal="center"/>
    </xf>
    <xf numFmtId="0" fontId="61" fillId="0" borderId="0" xfId="0" applyFont="1" applyAlignment="1" applyProtection="1">
      <alignment vertical="center"/>
      <protection locked="0"/>
    </xf>
    <xf numFmtId="0" fontId="67" fillId="0" borderId="0" xfId="0" applyFont="1" applyAlignment="1" applyProtection="1">
      <alignment vertical="center"/>
      <protection locked="0"/>
    </xf>
    <xf numFmtId="0" fontId="67" fillId="0" borderId="0" xfId="0" applyFont="1" applyAlignment="1" applyProtection="1">
      <alignment horizontal="center" vertical="center"/>
      <protection locked="0"/>
    </xf>
    <xf numFmtId="166" fontId="67" fillId="0" borderId="0" xfId="0" applyNumberFormat="1" applyFont="1" applyAlignment="1" applyProtection="1">
      <alignment horizontal="center" vertical="center"/>
      <protection locked="0"/>
    </xf>
    <xf numFmtId="2" fontId="67" fillId="0" borderId="0" xfId="0" applyNumberFormat="1" applyFont="1" applyAlignment="1" applyProtection="1">
      <alignment horizontal="center" vertical="center"/>
      <protection locked="0"/>
    </xf>
    <xf numFmtId="171" fontId="99" fillId="0" borderId="0" xfId="100" applyNumberFormat="1" applyFont="1" applyFill="1"/>
    <xf numFmtId="14" fontId="67" fillId="0" borderId="0" xfId="0" applyNumberFormat="1" applyFont="1" applyAlignment="1" applyProtection="1">
      <alignment horizontal="center" vertical="center"/>
      <protection locked="0"/>
    </xf>
    <xf numFmtId="14" fontId="67" fillId="0" borderId="0" xfId="0" applyNumberFormat="1" applyFont="1" applyAlignment="1" applyProtection="1">
      <alignment vertical="center"/>
      <protection locked="0"/>
    </xf>
    <xf numFmtId="9" fontId="69" fillId="0" borderId="0" xfId="100" applyFont="1" applyProtection="1">
      <protection locked="0"/>
    </xf>
    <xf numFmtId="0" fontId="100" fillId="0" borderId="0" xfId="2" applyFont="1"/>
    <xf numFmtId="0" fontId="69" fillId="0" borderId="0" xfId="0" applyFont="1" applyAlignment="1">
      <alignment horizontal="right"/>
    </xf>
    <xf numFmtId="49" fontId="67" fillId="0" borderId="0" xfId="100" applyNumberFormat="1" applyFont="1" applyProtection="1">
      <protection locked="0"/>
    </xf>
    <xf numFmtId="0" fontId="67" fillId="0" borderId="0" xfId="1" applyFont="1"/>
    <xf numFmtId="170" fontId="67" fillId="0" borderId="0" xfId="100" applyNumberFormat="1" applyFont="1" applyProtection="1">
      <protection locked="0"/>
    </xf>
    <xf numFmtId="49" fontId="69" fillId="0" borderId="0" xfId="100" applyNumberFormat="1" applyFont="1" applyAlignment="1" applyProtection="1">
      <alignment horizontal="center"/>
      <protection locked="0"/>
    </xf>
    <xf numFmtId="171" fontId="67" fillId="0" borderId="0" xfId="0" applyNumberFormat="1" applyFont="1" applyAlignment="1" applyProtection="1">
      <alignment vertical="center"/>
      <protection locked="0"/>
    </xf>
    <xf numFmtId="172" fontId="69" fillId="0" borderId="0" xfId="100" applyNumberFormat="1" applyFont="1" applyProtection="1">
      <protection locked="0"/>
    </xf>
    <xf numFmtId="1" fontId="67" fillId="0" borderId="0" xfId="100" applyNumberFormat="1" applyFont="1" applyAlignment="1" applyProtection="1">
      <alignment horizontal="center"/>
      <protection locked="0"/>
    </xf>
    <xf numFmtId="166" fontId="67" fillId="0" borderId="0" xfId="100" applyNumberFormat="1" applyFont="1" applyAlignment="1" applyProtection="1">
      <alignment horizontal="center"/>
      <protection locked="0"/>
    </xf>
    <xf numFmtId="0" fontId="101" fillId="0" borderId="0" xfId="0" applyFont="1" applyAlignment="1" applyProtection="1">
      <alignment vertical="center"/>
      <protection locked="0"/>
    </xf>
    <xf numFmtId="0" fontId="100" fillId="0" borderId="0" xfId="2" applyFont="1" applyAlignment="1">
      <alignment vertical="center"/>
    </xf>
    <xf numFmtId="0" fontId="67" fillId="0" borderId="0" xfId="1" applyFont="1" applyAlignment="1">
      <alignment vertical="center"/>
    </xf>
    <xf numFmtId="0" fontId="102" fillId="0" borderId="1" xfId="0" applyFont="1" applyBorder="1" applyAlignment="1" applyProtection="1">
      <alignment horizontal="center" vertical="center"/>
      <protection locked="0"/>
    </xf>
    <xf numFmtId="0" fontId="100" fillId="0" borderId="0" xfId="2" applyFont="1" applyAlignment="1">
      <alignment horizontal="right" vertical="center"/>
    </xf>
    <xf numFmtId="0" fontId="67" fillId="0" borderId="0" xfId="1" applyFont="1" applyAlignment="1">
      <alignment horizontal="center" vertical="center"/>
    </xf>
    <xf numFmtId="0" fontId="69" fillId="37" borderId="1" xfId="0" applyFont="1" applyFill="1" applyBorder="1" applyAlignment="1">
      <alignment horizontal="left" vertical="center" wrapText="1"/>
    </xf>
    <xf numFmtId="0" fontId="69" fillId="2" borderId="1" xfId="0" applyFont="1" applyFill="1" applyBorder="1" applyAlignment="1" applyProtection="1">
      <alignment horizontal="center" vertical="center" wrapText="1"/>
      <protection locked="0"/>
    </xf>
    <xf numFmtId="166" fontId="69" fillId="37" borderId="1" xfId="0" applyNumberFormat="1" applyFont="1" applyFill="1" applyBorder="1" applyAlignment="1" applyProtection="1">
      <alignment horizontal="center" vertical="center" wrapText="1"/>
      <protection locked="0"/>
    </xf>
    <xf numFmtId="0" fontId="69" fillId="37" borderId="1" xfId="0" applyFont="1" applyFill="1" applyBorder="1" applyAlignment="1" applyProtection="1">
      <alignment horizontal="center" vertical="center" wrapText="1"/>
      <protection locked="0"/>
    </xf>
    <xf numFmtId="9" fontId="69" fillId="2" borderId="1" xfId="100" applyFont="1" applyFill="1" applyBorder="1" applyAlignment="1" applyProtection="1">
      <alignment horizontal="center" vertical="center"/>
    </xf>
    <xf numFmtId="0" fontId="100" fillId="0" borderId="0" xfId="2" applyFont="1" applyAlignment="1">
      <alignment horizontal="right"/>
    </xf>
    <xf numFmtId="1" fontId="67" fillId="2" borderId="1" xfId="100" applyNumberFormat="1" applyFont="1" applyFill="1" applyBorder="1" applyAlignment="1" applyProtection="1">
      <alignment horizontal="center" vertical="center"/>
    </xf>
    <xf numFmtId="169" fontId="67" fillId="2" borderId="1" xfId="100" applyNumberFormat="1" applyFont="1" applyFill="1" applyBorder="1" applyAlignment="1" applyProtection="1">
      <alignment horizontal="center" vertical="center"/>
    </xf>
    <xf numFmtId="165" fontId="69" fillId="37" borderId="1" xfId="0" applyNumberFormat="1" applyFont="1" applyFill="1" applyBorder="1" applyAlignment="1">
      <alignment horizontal="center" vertical="center"/>
    </xf>
    <xf numFmtId="166" fontId="69" fillId="2" borderId="1" xfId="0" applyNumberFormat="1" applyFont="1" applyFill="1" applyBorder="1" applyAlignment="1" applyProtection="1">
      <alignment horizontal="center" vertical="center" wrapText="1"/>
      <protection locked="0"/>
    </xf>
    <xf numFmtId="0" fontId="67" fillId="37" borderId="1" xfId="0" applyFont="1" applyFill="1" applyBorder="1" applyAlignment="1">
      <alignment horizontal="center" vertical="center" wrapText="1"/>
    </xf>
    <xf numFmtId="0" fontId="89" fillId="0" borderId="0" xfId="0" applyFont="1"/>
    <xf numFmtId="0" fontId="69" fillId="0" borderId="1" xfId="0" applyFont="1" applyBorder="1" applyAlignment="1">
      <alignment horizontal="left" vertical="center" wrapText="1"/>
    </xf>
    <xf numFmtId="0" fontId="69" fillId="0" borderId="1" xfId="0" applyFont="1" applyBorder="1" applyAlignment="1" applyProtection="1">
      <alignment horizontal="center" vertical="center" wrapText="1"/>
      <protection locked="0"/>
    </xf>
    <xf numFmtId="166" fontId="69" fillId="0" borderId="1" xfId="0" applyNumberFormat="1" applyFont="1" applyBorder="1" applyAlignment="1" applyProtection="1">
      <alignment horizontal="center" vertical="center" wrapText="1"/>
      <protection locked="0"/>
    </xf>
    <xf numFmtId="0" fontId="67" fillId="0" borderId="1" xfId="100" applyNumberFormat="1" applyFont="1" applyFill="1" applyBorder="1" applyAlignment="1" applyProtection="1">
      <alignment horizontal="center" vertical="center" wrapText="1"/>
      <protection locked="0"/>
    </xf>
    <xf numFmtId="0" fontId="69" fillId="0" borderId="0" xfId="0" applyFont="1" applyAlignment="1" applyProtection="1">
      <alignment vertical="center"/>
      <protection locked="0"/>
    </xf>
    <xf numFmtId="0" fontId="69" fillId="0" borderId="0" xfId="0" applyFont="1" applyAlignment="1" applyProtection="1">
      <alignment horizontal="center" vertical="center"/>
      <protection locked="0"/>
    </xf>
    <xf numFmtId="166" fontId="69" fillId="0" borderId="0" xfId="0" applyNumberFormat="1" applyFont="1" applyAlignment="1" applyProtection="1">
      <alignment horizontal="center" vertical="center"/>
      <protection locked="0"/>
    </xf>
    <xf numFmtId="171" fontId="69" fillId="0" borderId="0" xfId="0" applyNumberFormat="1" applyFont="1" applyAlignment="1" applyProtection="1">
      <alignment vertical="center"/>
      <protection locked="0"/>
    </xf>
    <xf numFmtId="49" fontId="67" fillId="0" borderId="0" xfId="0" applyNumberFormat="1" applyFont="1"/>
    <xf numFmtId="170" fontId="67" fillId="0" borderId="0" xfId="0" applyNumberFormat="1" applyFont="1"/>
    <xf numFmtId="0" fontId="101" fillId="0" borderId="0" xfId="0" applyFont="1"/>
    <xf numFmtId="171" fontId="69" fillId="37" borderId="1" xfId="0" applyNumberFormat="1" applyFont="1" applyFill="1" applyBorder="1" applyAlignment="1" applyProtection="1">
      <alignment horizontal="center" vertical="center" wrapText="1"/>
      <protection locked="0"/>
    </xf>
    <xf numFmtId="1" fontId="69" fillId="37" borderId="1" xfId="0" applyNumberFormat="1" applyFont="1" applyFill="1" applyBorder="1" applyAlignment="1" applyProtection="1">
      <alignment horizontal="center" vertical="center" wrapText="1"/>
      <protection locked="0"/>
    </xf>
    <xf numFmtId="0" fontId="0" fillId="37" borderId="0" xfId="0" applyFill="1" applyAlignment="1">
      <alignment horizontal="center"/>
    </xf>
    <xf numFmtId="9" fontId="69" fillId="43" borderId="1" xfId="100" applyFont="1" applyFill="1" applyBorder="1" applyAlignment="1" applyProtection="1">
      <alignment horizontal="center" vertical="center"/>
    </xf>
    <xf numFmtId="1" fontId="60" fillId="0" borderId="0" xfId="114" applyNumberFormat="1" applyFont="1" applyAlignment="1">
      <alignment vertical="center" wrapText="1"/>
    </xf>
    <xf numFmtId="176" fontId="83" fillId="0" borderId="0" xfId="114" applyNumberFormat="1" applyFont="1" applyAlignment="1">
      <alignment horizontal="center" vertical="center"/>
    </xf>
    <xf numFmtId="1" fontId="104" fillId="0" borderId="1" xfId="114" applyNumberFormat="1" applyFont="1" applyBorder="1" applyAlignment="1">
      <alignment vertical="center" wrapText="1"/>
    </xf>
    <xf numFmtId="176" fontId="105" fillId="0" borderId="1" xfId="114" applyNumberFormat="1" applyFont="1" applyBorder="1" applyAlignment="1">
      <alignment horizontal="center" vertical="center"/>
    </xf>
    <xf numFmtId="0" fontId="106" fillId="0" borderId="0" xfId="114" applyFont="1"/>
    <xf numFmtId="1" fontId="106" fillId="0" borderId="0" xfId="114" applyNumberFormat="1" applyFont="1"/>
    <xf numFmtId="14" fontId="69" fillId="0" borderId="0" xfId="0" applyNumberFormat="1" applyFont="1"/>
    <xf numFmtId="0" fontId="65" fillId="0" borderId="0" xfId="374" applyFont="1" applyAlignment="1">
      <alignment horizontal="left"/>
    </xf>
    <xf numFmtId="0" fontId="2" fillId="0" borderId="0" xfId="374" applyAlignment="1">
      <alignment horizontal="center"/>
    </xf>
    <xf numFmtId="0" fontId="2" fillId="0" borderId="0" xfId="374"/>
    <xf numFmtId="0" fontId="107" fillId="0" borderId="0" xfId="374" applyFont="1" applyAlignment="1">
      <alignment horizontal="left"/>
    </xf>
    <xf numFmtId="0" fontId="58" fillId="44" borderId="0" xfId="374" applyFont="1" applyFill="1" applyAlignment="1">
      <alignment horizontal="center"/>
    </xf>
    <xf numFmtId="0" fontId="58" fillId="44" borderId="0" xfId="374" applyFont="1" applyFill="1"/>
    <xf numFmtId="1" fontId="2" fillId="0" borderId="0" xfId="374" applyNumberFormat="1"/>
    <xf numFmtId="1" fontId="58" fillId="44" borderId="0" xfId="374" applyNumberFormat="1" applyFont="1" applyFill="1"/>
    <xf numFmtId="1" fontId="2" fillId="0" borderId="0" xfId="374" applyNumberFormat="1" applyAlignment="1">
      <alignment horizontal="center"/>
    </xf>
    <xf numFmtId="177" fontId="2" fillId="0" borderId="0" xfId="374" applyNumberFormat="1" applyAlignment="1">
      <alignment horizontal="center"/>
    </xf>
    <xf numFmtId="177" fontId="58" fillId="44" borderId="0" xfId="374" applyNumberFormat="1" applyFont="1" applyFill="1" applyAlignment="1">
      <alignment horizontal="center"/>
    </xf>
    <xf numFmtId="166" fontId="83" fillId="37" borderId="1" xfId="114" applyNumberFormat="1" applyFont="1" applyFill="1" applyBorder="1" applyAlignment="1">
      <alignment horizontal="center" vertical="center"/>
    </xf>
    <xf numFmtId="1" fontId="67" fillId="0" borderId="0" xfId="0" applyNumberFormat="1" applyFont="1" applyAlignment="1">
      <alignment horizontal="center" vertical="center"/>
    </xf>
    <xf numFmtId="0" fontId="69" fillId="34" borderId="1" xfId="0" applyFont="1" applyFill="1" applyBorder="1" applyAlignment="1" applyProtection="1">
      <alignment horizontal="center" vertical="center" wrapText="1"/>
      <protection locked="0"/>
    </xf>
    <xf numFmtId="0" fontId="69" fillId="35" borderId="1" xfId="0" applyFont="1" applyFill="1" applyBorder="1" applyAlignment="1" applyProtection="1">
      <alignment horizontal="center" vertical="center" wrapText="1"/>
      <protection locked="0"/>
    </xf>
    <xf numFmtId="0" fontId="1" fillId="0" borderId="0" xfId="114" applyFont="1"/>
    <xf numFmtId="0" fontId="61" fillId="37" borderId="2" xfId="0" applyFont="1" applyFill="1" applyBorder="1" applyAlignment="1" applyProtection="1">
      <alignment horizontal="center" vertical="center" wrapText="1"/>
      <protection locked="0"/>
    </xf>
    <xf numFmtId="0" fontId="67" fillId="37" borderId="3" xfId="0" applyFont="1" applyFill="1" applyBorder="1" applyAlignment="1">
      <alignment horizontal="center" vertical="center" wrapText="1"/>
    </xf>
    <xf numFmtId="0" fontId="67" fillId="37" borderId="4" xfId="0" applyFont="1" applyFill="1" applyBorder="1" applyAlignment="1">
      <alignment horizontal="center" vertical="center" wrapText="1"/>
    </xf>
    <xf numFmtId="0" fontId="67" fillId="37" borderId="2" xfId="0" applyFont="1" applyFill="1" applyBorder="1" applyAlignment="1">
      <alignment horizontal="center" vertical="center" wrapText="1"/>
    </xf>
    <xf numFmtId="166" fontId="69" fillId="37" borderId="3" xfId="0" applyNumberFormat="1" applyFont="1" applyFill="1" applyBorder="1" applyAlignment="1" applyProtection="1">
      <alignment horizontal="center" vertical="center" wrapText="1"/>
      <protection locked="0"/>
    </xf>
    <xf numFmtId="166" fontId="69" fillId="37" borderId="4" xfId="0" applyNumberFormat="1" applyFont="1" applyFill="1" applyBorder="1" applyAlignment="1" applyProtection="1">
      <alignment horizontal="center" vertical="center" wrapText="1"/>
      <protection locked="0"/>
    </xf>
    <xf numFmtId="166" fontId="69" fillId="37" borderId="2" xfId="0" applyNumberFormat="1" applyFont="1" applyFill="1" applyBorder="1" applyAlignment="1" applyProtection="1">
      <alignment horizontal="center" vertical="center" wrapText="1"/>
      <protection locked="0"/>
    </xf>
    <xf numFmtId="171" fontId="69" fillId="37" borderId="3" xfId="0" applyNumberFormat="1" applyFont="1" applyFill="1" applyBorder="1" applyAlignment="1" applyProtection="1">
      <alignment horizontal="center" vertical="center" wrapText="1"/>
      <protection locked="0"/>
    </xf>
    <xf numFmtId="171" fontId="69" fillId="37" borderId="4" xfId="0" applyNumberFormat="1" applyFont="1" applyFill="1" applyBorder="1" applyAlignment="1" applyProtection="1">
      <alignment horizontal="center" vertical="center" wrapText="1"/>
      <protection locked="0"/>
    </xf>
    <xf numFmtId="171" fontId="69" fillId="37" borderId="2" xfId="0" applyNumberFormat="1" applyFont="1" applyFill="1" applyBorder="1" applyAlignment="1" applyProtection="1">
      <alignment horizontal="center" vertical="center" wrapText="1"/>
      <protection locked="0"/>
    </xf>
    <xf numFmtId="0" fontId="61" fillId="37" borderId="4" xfId="0" applyFont="1" applyFill="1" applyBorder="1" applyAlignment="1" applyProtection="1">
      <alignment horizontal="center" vertical="center" wrapText="1"/>
      <protection locked="0"/>
    </xf>
    <xf numFmtId="0" fontId="67" fillId="37" borderId="1" xfId="0" applyFont="1" applyFill="1" applyBorder="1" applyAlignment="1">
      <alignment horizontal="center" vertical="center" wrapText="1"/>
    </xf>
    <xf numFmtId="9" fontId="70" fillId="0" borderId="5" xfId="100" applyFont="1" applyBorder="1" applyAlignment="1" applyProtection="1">
      <alignment horizontal="center" vertical="center" wrapText="1"/>
      <protection locked="0"/>
    </xf>
    <xf numFmtId="9" fontId="70" fillId="0" borderId="6" xfId="100" applyFont="1" applyBorder="1" applyAlignment="1" applyProtection="1">
      <alignment horizontal="center" vertical="center" wrapText="1"/>
      <protection locked="0"/>
    </xf>
    <xf numFmtId="9" fontId="70" fillId="0" borderId="25" xfId="100" applyFont="1" applyBorder="1" applyAlignment="1" applyProtection="1">
      <alignment horizontal="center" vertical="center" wrapText="1"/>
      <protection locked="0"/>
    </xf>
    <xf numFmtId="9" fontId="70" fillId="0" borderId="1" xfId="100" applyFont="1" applyBorder="1" applyAlignment="1" applyProtection="1">
      <alignment horizontal="center" vertical="center" wrapText="1"/>
      <protection locked="0"/>
    </xf>
    <xf numFmtId="9" fontId="70" fillId="0" borderId="1" xfId="100" applyFont="1" applyBorder="1" applyAlignment="1" applyProtection="1">
      <alignment horizontal="center" vertical="center"/>
      <protection locked="0"/>
    </xf>
    <xf numFmtId="9" fontId="70" fillId="0" borderId="5" xfId="100" applyFont="1" applyBorder="1" applyAlignment="1" applyProtection="1">
      <alignment horizontal="center" vertical="center"/>
      <protection locked="0"/>
    </xf>
    <xf numFmtId="9" fontId="70" fillId="0" borderId="6" xfId="100" applyFont="1" applyBorder="1" applyAlignment="1" applyProtection="1">
      <alignment horizontal="center" vertical="center"/>
      <protection locked="0"/>
    </xf>
    <xf numFmtId="9" fontId="70" fillId="0" borderId="25" xfId="100" applyFont="1" applyBorder="1" applyAlignment="1" applyProtection="1">
      <alignment horizontal="center" vertical="center"/>
      <protection locked="0"/>
    </xf>
    <xf numFmtId="0" fontId="70" fillId="0" borderId="1" xfId="0" applyFont="1" applyBorder="1" applyAlignment="1" applyProtection="1">
      <alignment horizontal="center" vertical="center"/>
      <protection locked="0"/>
    </xf>
    <xf numFmtId="49" fontId="67" fillId="0" borderId="5" xfId="100" applyNumberFormat="1" applyFont="1" applyBorder="1" applyAlignment="1" applyProtection="1">
      <alignment horizontal="center" vertical="center" wrapText="1"/>
      <protection locked="0"/>
    </xf>
    <xf numFmtId="49" fontId="67" fillId="0" borderId="6" xfId="100" applyNumberFormat="1" applyFont="1" applyBorder="1" applyAlignment="1" applyProtection="1">
      <alignment horizontal="center" vertical="center" wrapText="1"/>
      <protection locked="0"/>
    </xf>
    <xf numFmtId="49" fontId="67" fillId="0" borderId="25" xfId="100" applyNumberFormat="1" applyFont="1" applyBorder="1" applyAlignment="1" applyProtection="1">
      <alignment horizontal="center" vertical="center" wrapText="1"/>
      <protection locked="0"/>
    </xf>
    <xf numFmtId="170" fontId="67" fillId="0" borderId="5" xfId="100" applyNumberFormat="1" applyFont="1" applyBorder="1" applyAlignment="1" applyProtection="1">
      <alignment horizontal="center" vertical="center" wrapText="1"/>
      <protection locked="0"/>
    </xf>
    <xf numFmtId="170" fontId="67" fillId="0" borderId="6" xfId="100" applyNumberFormat="1" applyFont="1" applyBorder="1" applyAlignment="1" applyProtection="1">
      <alignment horizontal="center" vertical="center" wrapText="1"/>
      <protection locked="0"/>
    </xf>
    <xf numFmtId="170" fontId="67" fillId="0" borderId="25" xfId="100" applyNumberFormat="1" applyFont="1" applyBorder="1" applyAlignment="1" applyProtection="1">
      <alignment horizontal="center" vertical="center" wrapText="1"/>
      <protection locked="0"/>
    </xf>
    <xf numFmtId="0" fontId="67" fillId="0" borderId="1" xfId="0" applyFont="1" applyBorder="1" applyAlignment="1" applyProtection="1">
      <alignment horizontal="center" vertical="center"/>
      <protection locked="0"/>
    </xf>
    <xf numFmtId="0" fontId="67" fillId="0" borderId="1" xfId="0" applyFont="1" applyBorder="1" applyAlignment="1" applyProtection="1">
      <alignment horizontal="center" vertical="center" wrapText="1"/>
      <protection locked="0"/>
    </xf>
    <xf numFmtId="0" fontId="67" fillId="0" borderId="1" xfId="1" applyFont="1" applyFill="1" applyBorder="1" applyAlignment="1" applyProtection="1">
      <alignment horizontal="center" vertical="center" wrapText="1"/>
      <protection locked="0"/>
    </xf>
    <xf numFmtId="171" fontId="67" fillId="0" borderId="1" xfId="1" applyNumberFormat="1" applyFont="1" applyFill="1" applyBorder="1" applyAlignment="1" applyProtection="1">
      <alignment horizontal="center" vertical="center" wrapText="1"/>
      <protection locked="0"/>
    </xf>
    <xf numFmtId="166" fontId="67" fillId="0" borderId="1" xfId="1" applyNumberFormat="1" applyFont="1" applyFill="1" applyBorder="1" applyAlignment="1" applyProtection="1">
      <alignment horizontal="center" vertical="center" wrapText="1"/>
      <protection locked="0"/>
    </xf>
    <xf numFmtId="9" fontId="67" fillId="0" borderId="1" xfId="1" applyNumberFormat="1" applyFont="1" applyFill="1" applyBorder="1" applyAlignment="1" applyProtection="1">
      <alignment horizontal="center" vertical="center" wrapText="1"/>
      <protection locked="0"/>
    </xf>
    <xf numFmtId="166" fontId="71" fillId="0" borderId="1" xfId="1" applyNumberFormat="1" applyFont="1" applyFill="1" applyBorder="1" applyAlignment="1" applyProtection="1">
      <alignment horizontal="center" vertical="center" wrapText="1"/>
      <protection locked="0"/>
    </xf>
    <xf numFmtId="2" fontId="67" fillId="0" borderId="1" xfId="1" applyNumberFormat="1" applyFont="1" applyFill="1" applyBorder="1" applyAlignment="1" applyProtection="1">
      <alignment horizontal="center" vertical="center" wrapText="1"/>
      <protection locked="0"/>
    </xf>
    <xf numFmtId="0" fontId="58" fillId="35" borderId="1" xfId="0" applyFont="1" applyFill="1" applyBorder="1" applyAlignment="1">
      <alignment horizontal="center" vertical="center" wrapText="1"/>
    </xf>
    <xf numFmtId="0" fontId="58" fillId="35" borderId="1" xfId="0" applyFont="1" applyFill="1" applyBorder="1" applyAlignment="1">
      <alignment horizontal="center" vertical="center"/>
    </xf>
    <xf numFmtId="0" fontId="58" fillId="34" borderId="1" xfId="0" applyFont="1" applyFill="1" applyBorder="1" applyAlignment="1">
      <alignment horizontal="center" vertical="center" wrapText="1"/>
    </xf>
    <xf numFmtId="0" fontId="58" fillId="34" borderId="1" xfId="0" applyFont="1" applyFill="1" applyBorder="1" applyAlignment="1">
      <alignment horizontal="center" vertical="center"/>
    </xf>
    <xf numFmtId="0" fontId="17" fillId="0" borderId="3" xfId="129" applyBorder="1" applyAlignment="1">
      <alignment horizontal="center" vertical="center"/>
    </xf>
    <xf numFmtId="0" fontId="17" fillId="0" borderId="2" xfId="129" applyBorder="1" applyAlignment="1">
      <alignment horizontal="center" vertical="center"/>
    </xf>
    <xf numFmtId="0" fontId="17" fillId="0" borderId="20" xfId="129" applyBorder="1" applyAlignment="1">
      <alignment horizontal="center" vertical="center"/>
    </xf>
    <xf numFmtId="0" fontId="17" fillId="0" borderId="21" xfId="129" applyBorder="1" applyAlignment="1">
      <alignment horizontal="center" vertical="center"/>
    </xf>
    <xf numFmtId="0" fontId="17" fillId="0" borderId="23" xfId="129" applyBorder="1" applyAlignment="1">
      <alignment horizontal="center" vertical="center"/>
    </xf>
    <xf numFmtId="0" fontId="17" fillId="0" borderId="24" xfId="129" applyBorder="1" applyAlignment="1">
      <alignment horizontal="center" vertical="center"/>
    </xf>
    <xf numFmtId="0" fontId="17" fillId="37" borderId="3" xfId="129" applyFill="1" applyBorder="1" applyAlignment="1">
      <alignment horizontal="center" vertical="center" wrapText="1"/>
    </xf>
    <xf numFmtId="0" fontId="17" fillId="37" borderId="2" xfId="129" applyFill="1" applyBorder="1" applyAlignment="1">
      <alignment horizontal="center" vertical="center" wrapText="1"/>
    </xf>
  </cellXfs>
  <cellStyles count="375">
    <cellStyle name="20% - Accent1" xfId="3" builtinId="30" customBuiltin="1"/>
    <cellStyle name="20% - Accent1 2" xfId="4" xr:uid="{00000000-0005-0000-0000-000001000000}"/>
    <cellStyle name="20% - Accent1 2 2" xfId="5" xr:uid="{00000000-0005-0000-0000-000002000000}"/>
    <cellStyle name="20% - Accent1 2 2 2" xfId="207" xr:uid="{11A195D5-86ED-410D-B916-F3119F40B434}"/>
    <cellStyle name="20% - Accent1 2 2 3" xfId="310" xr:uid="{40AA19B9-2282-4713-ABDF-73EEB8520A97}"/>
    <cellStyle name="20% - Accent1 2 3" xfId="167" xr:uid="{36942598-ECA9-42F6-9EC9-1CB9923D329E}"/>
    <cellStyle name="20% - Accent1 2 4" xfId="288" xr:uid="{0AD0D493-2D92-41AD-8224-996AF0E359B9}"/>
    <cellStyle name="20% - Accent1 3" xfId="154" xr:uid="{C46C22DB-C0D9-4B77-96D5-297E87918090}"/>
    <cellStyle name="20% - Accent1 4" xfId="275" xr:uid="{C892DAC5-7D43-41C3-AA4C-24DDFF3680C5}"/>
    <cellStyle name="20% - Accent2" xfId="6" builtinId="34" customBuiltin="1"/>
    <cellStyle name="20% - Accent2 2" xfId="7" xr:uid="{00000000-0005-0000-0000-000004000000}"/>
    <cellStyle name="20% - Accent2 2 2" xfId="8" xr:uid="{00000000-0005-0000-0000-000005000000}"/>
    <cellStyle name="20% - Accent2 2 2 2" xfId="208" xr:uid="{F25E2270-A9BF-43A4-A607-64260C8164B7}"/>
    <cellStyle name="20% - Accent2 2 2 3" xfId="311" xr:uid="{AF6173DD-FB94-40D7-86C7-828C4109F46D}"/>
    <cellStyle name="20% - Accent2 2 3" xfId="168" xr:uid="{99A692B6-69C7-4325-B5C2-993062936399}"/>
    <cellStyle name="20% - Accent2 2 4" xfId="289" xr:uid="{83987C46-F464-43B2-8448-7804DDA5BA82}"/>
    <cellStyle name="20% - Accent2 3" xfId="156" xr:uid="{6592246C-E55E-4CEF-A998-34BC9D4F1D9E}"/>
    <cellStyle name="20% - Accent2 4" xfId="277" xr:uid="{07657FB2-C76F-42A7-BFBA-2C0735F6F72A}"/>
    <cellStyle name="20% - Accent3" xfId="9" builtinId="38" customBuiltin="1"/>
    <cellStyle name="20% - Accent3 2" xfId="10" xr:uid="{00000000-0005-0000-0000-000007000000}"/>
    <cellStyle name="20% - Accent3 2 2" xfId="11" xr:uid="{00000000-0005-0000-0000-000008000000}"/>
    <cellStyle name="20% - Accent3 2 2 2" xfId="209" xr:uid="{14DF8A54-7D06-40E4-8003-7E4A8238DD33}"/>
    <cellStyle name="20% - Accent3 2 2 3" xfId="312" xr:uid="{1ED0685F-42B0-49DF-A1C6-728FEF130A06}"/>
    <cellStyle name="20% - Accent3 2 3" xfId="169" xr:uid="{AC1BC404-BC4D-411D-8A57-2D4A057C1356}"/>
    <cellStyle name="20% - Accent3 2 4" xfId="290" xr:uid="{B09E074C-5354-4E73-A099-78678A3BD806}"/>
    <cellStyle name="20% - Accent3 3" xfId="158" xr:uid="{52392A66-B99D-4C9A-A12B-C17F90CEC618}"/>
    <cellStyle name="20% - Accent3 4" xfId="279" xr:uid="{01AEBD7E-5FD1-441A-AC8E-8D75C22673D9}"/>
    <cellStyle name="20% - Accent4" xfId="12" builtinId="42" customBuiltin="1"/>
    <cellStyle name="20% - Accent4 2" xfId="13" xr:uid="{00000000-0005-0000-0000-00000A000000}"/>
    <cellStyle name="20% - Accent4 2 2" xfId="14" xr:uid="{00000000-0005-0000-0000-00000B000000}"/>
    <cellStyle name="20% - Accent4 2 2 2" xfId="210" xr:uid="{C4504878-B661-4383-B765-E8EDFBBC39AE}"/>
    <cellStyle name="20% - Accent4 2 2 3" xfId="313" xr:uid="{36D2977A-82A1-41D6-A1FB-FB547F77A8F1}"/>
    <cellStyle name="20% - Accent4 2 3" xfId="170" xr:uid="{409F910D-DE11-4399-9D60-085F7F3D67FD}"/>
    <cellStyle name="20% - Accent4 2 4" xfId="291" xr:uid="{F48815A2-9DA9-4770-9374-933ACC36E1CC}"/>
    <cellStyle name="20% - Accent4 3" xfId="160" xr:uid="{5FC5C7B9-4332-47CD-8E58-1CEC6443191F}"/>
    <cellStyle name="20% - Accent4 4" xfId="281" xr:uid="{68506FCB-FC45-4036-B36E-2867CDBBF617}"/>
    <cellStyle name="20% - Accent5" xfId="15" builtinId="46" customBuiltin="1"/>
    <cellStyle name="20% - Accent5 2" xfId="16" xr:uid="{00000000-0005-0000-0000-00000D000000}"/>
    <cellStyle name="20% - Accent5 2 2" xfId="211" xr:uid="{2E8265C5-91C7-4A8A-9BA7-07AD291FF4F4}"/>
    <cellStyle name="20% - Accent5 2 3" xfId="314" xr:uid="{EB638DE9-B1F0-4024-8BBD-9371CF335B44}"/>
    <cellStyle name="20% - Accent5 3" xfId="162" xr:uid="{0706D99C-402D-40A9-8967-4E5F0A1DC127}"/>
    <cellStyle name="20% - Accent5 4" xfId="283" xr:uid="{9B61801C-5637-43A7-94BA-073F4B40DBED}"/>
    <cellStyle name="20% - Accent6" xfId="17" builtinId="50" customBuiltin="1"/>
    <cellStyle name="20% - Accent6 2" xfId="18" xr:uid="{00000000-0005-0000-0000-00000F000000}"/>
    <cellStyle name="20% - Accent6 2 2" xfId="212" xr:uid="{E855B362-5F74-4BB2-BBE9-4A6A30B5C46A}"/>
    <cellStyle name="20% - Accent6 2 3" xfId="315" xr:uid="{EBF2488C-096C-4629-A245-EDF4C2E0B241}"/>
    <cellStyle name="20% - Accent6 3" xfId="164" xr:uid="{BFCD2985-8DB3-421D-BDC8-64DF5D2887F3}"/>
    <cellStyle name="20% - Accent6 4" xfId="285" xr:uid="{267C81F4-8B51-4E67-9B46-28E39C863937}"/>
    <cellStyle name="40% - Accent1" xfId="19" builtinId="31" customBuiltin="1"/>
    <cellStyle name="40% - Accent1 2" xfId="20" xr:uid="{00000000-0005-0000-0000-000011000000}"/>
    <cellStyle name="40% - Accent1 2 2" xfId="213" xr:uid="{D1941C8B-8ACC-4F8D-ACB5-8C16EA4E3F7B}"/>
    <cellStyle name="40% - Accent1 2 3" xfId="316" xr:uid="{C68E3623-8BE5-4E1B-B812-8F3D683D4927}"/>
    <cellStyle name="40% - Accent1 3" xfId="155" xr:uid="{D3DD5E15-1194-4A2E-AD87-64D4A9A26D67}"/>
    <cellStyle name="40% - Accent1 4" xfId="276" xr:uid="{E5581632-DC41-4736-A577-3302F649904A}"/>
    <cellStyle name="40% - Accent2" xfId="21" builtinId="35" customBuiltin="1"/>
    <cellStyle name="40% - Accent2 2" xfId="22" xr:uid="{00000000-0005-0000-0000-000013000000}"/>
    <cellStyle name="40% - Accent2 2 2" xfId="214" xr:uid="{ED1583E1-2E0C-4AE6-8B6E-19382E805BEC}"/>
    <cellStyle name="40% - Accent2 2 3" xfId="317" xr:uid="{A3E708A3-8C4D-4582-9838-0FC5A9956E2E}"/>
    <cellStyle name="40% - Accent2 3" xfId="157" xr:uid="{6E5D70A3-9194-45C4-95D0-8DD31DEEE0AB}"/>
    <cellStyle name="40% - Accent2 4" xfId="278" xr:uid="{12F3FE8A-1A02-4D39-A96A-36D60D784DAC}"/>
    <cellStyle name="40% - Accent3" xfId="23" builtinId="39" customBuiltin="1"/>
    <cellStyle name="40% - Accent3 2" xfId="24" xr:uid="{00000000-0005-0000-0000-000015000000}"/>
    <cellStyle name="40% - Accent3 2 2" xfId="25" xr:uid="{00000000-0005-0000-0000-000016000000}"/>
    <cellStyle name="40% - Accent3 2 2 2" xfId="215" xr:uid="{43A741E2-42C4-43C5-80FF-B016735F5249}"/>
    <cellStyle name="40% - Accent3 2 2 3" xfId="318" xr:uid="{D881ECA9-C1F4-4262-A5EC-814E3EBD09A8}"/>
    <cellStyle name="40% - Accent3 2 3" xfId="171" xr:uid="{F8E14F60-AF2F-4447-895F-0DD3E431583A}"/>
    <cellStyle name="40% - Accent3 2 4" xfId="292" xr:uid="{5A7A7A90-C456-4017-8152-47C0A4ACAAD4}"/>
    <cellStyle name="40% - Accent3 3" xfId="159" xr:uid="{A1DAADE0-BB10-4918-A968-48EEFF0C0CCD}"/>
    <cellStyle name="40% - Accent3 4" xfId="280" xr:uid="{62713CD7-05D3-4070-A0D0-F491A3991C56}"/>
    <cellStyle name="40% - Accent4" xfId="26" builtinId="43" customBuiltin="1"/>
    <cellStyle name="40% - Accent4 2" xfId="27" xr:uid="{00000000-0005-0000-0000-000018000000}"/>
    <cellStyle name="40% - Accent4 2 2" xfId="216" xr:uid="{CD32ACC4-F899-4014-958E-5FFFFC5CFC8D}"/>
    <cellStyle name="40% - Accent4 2 3" xfId="319" xr:uid="{B115DA9B-E744-4C70-9BA8-E2D57C9D5DED}"/>
    <cellStyle name="40% - Accent4 3" xfId="161" xr:uid="{6D9AE748-32DF-405A-81FF-612A41F9DB0A}"/>
    <cellStyle name="40% - Accent4 4" xfId="282" xr:uid="{1AB0B9AE-52CF-4972-80F7-5A1F448854ED}"/>
    <cellStyle name="40% - Accent5" xfId="28" builtinId="47" customBuiltin="1"/>
    <cellStyle name="40% - Accent5 2" xfId="29" xr:uid="{00000000-0005-0000-0000-00001A000000}"/>
    <cellStyle name="40% - Accent5 2 2" xfId="217" xr:uid="{44E38E16-0B50-46A3-BC0B-4B0BE6BE3D1B}"/>
    <cellStyle name="40% - Accent5 2 3" xfId="320" xr:uid="{E1B8E8E5-B97E-4399-A59D-2A3DF255569F}"/>
    <cellStyle name="40% - Accent5 3" xfId="163" xr:uid="{86396952-9C36-4DBA-B214-052E666395F2}"/>
    <cellStyle name="40% - Accent5 4" xfId="284" xr:uid="{D707CCB6-D859-4C26-AA39-61E16400400F}"/>
    <cellStyle name="40% - Accent6" xfId="30" builtinId="51" customBuiltin="1"/>
    <cellStyle name="40% - Accent6 2" xfId="31" xr:uid="{00000000-0005-0000-0000-00001C000000}"/>
    <cellStyle name="40% - Accent6 2 2" xfId="218" xr:uid="{6AF366D0-ABAD-46C1-A91D-7A4F13C567E7}"/>
    <cellStyle name="40% - Accent6 2 3" xfId="321" xr:uid="{3B0DE328-5F12-4293-A619-FBC8815FB9AE}"/>
    <cellStyle name="40% - Accent6 3" xfId="165" xr:uid="{F1C3516D-C145-47F5-8EA7-C8E610D42C0F}"/>
    <cellStyle name="40% - Accent6 4" xfId="286" xr:uid="{A064963B-F1C6-4E86-91D7-B37720558B0A}"/>
    <cellStyle name="60% - Accent1" xfId="32" builtinId="32" customBuiltin="1"/>
    <cellStyle name="60% - Accent1 2" xfId="194" xr:uid="{9F34E456-D63E-4D68-B586-DC1E28634F07}"/>
    <cellStyle name="60% - Accent2" xfId="33" builtinId="36" customBuiltin="1"/>
    <cellStyle name="60% - Accent2 2" xfId="195" xr:uid="{53EA2D04-EFC4-491D-A58C-3DD1CA0CC5CA}"/>
    <cellStyle name="60% - Accent3" xfId="34" builtinId="40" customBuiltin="1"/>
    <cellStyle name="60% - Accent3 2" xfId="35" xr:uid="{00000000-0005-0000-0000-000020000000}"/>
    <cellStyle name="60% - Accent3 3" xfId="196" xr:uid="{D1E480DD-E910-4163-887A-1EAB10B6FAEE}"/>
    <cellStyle name="60% - Accent4" xfId="36" builtinId="44" customBuiltin="1"/>
    <cellStyle name="60% - Accent4 2" xfId="37" xr:uid="{00000000-0005-0000-0000-000022000000}"/>
    <cellStyle name="60% - Accent4 3" xfId="197" xr:uid="{3DECA313-815B-4D91-AB54-4669D5885A16}"/>
    <cellStyle name="60% - Accent5" xfId="38" builtinId="48" customBuiltin="1"/>
    <cellStyle name="60% - Accent5 2" xfId="198" xr:uid="{51C19819-AB13-4ECC-A465-06621B7C6B54}"/>
    <cellStyle name="60% - Accent6" xfId="39" builtinId="52" customBuiltin="1"/>
    <cellStyle name="60% - Accent6 2" xfId="40" xr:uid="{00000000-0005-0000-0000-000025000000}"/>
    <cellStyle name="60% - Accent6 3" xfId="199" xr:uid="{7F0339EC-34B7-4871-B729-5DB869126819}"/>
    <cellStyle name="Accent1" xfId="41" builtinId="29" customBuiltin="1"/>
    <cellStyle name="Accent2" xfId="42" builtinId="33" customBuiltin="1"/>
    <cellStyle name="Accent3" xfId="43" builtinId="37" customBuiltin="1"/>
    <cellStyle name="Accent4" xfId="44" builtinId="41" customBuiltin="1"/>
    <cellStyle name="Accent5" xfId="45" builtinId="45" customBuiltin="1"/>
    <cellStyle name="Accent6" xfId="46" builtinId="49" customBuiltin="1"/>
    <cellStyle name="Bad" xfId="47" builtinId="27" customBuiltin="1"/>
    <cellStyle name="Calculation" xfId="48" builtinId="22" customBuiltin="1"/>
    <cellStyle name="Check Cell" xfId="49" builtinId="23" customBuiltin="1"/>
    <cellStyle name="ColLevel_1" xfId="1" builtinId="2" iLevel="0"/>
    <cellStyle name="ColLevel_2" xfId="2" builtinId="2" iLevel="1"/>
    <cellStyle name="Comma 2" xfId="50" xr:uid="{00000000-0005-0000-0000-000031000000}"/>
    <cellStyle name="Comma 2 2" xfId="51" xr:uid="{00000000-0005-0000-0000-000032000000}"/>
    <cellStyle name="Comma 2 2 2" xfId="52" xr:uid="{00000000-0005-0000-0000-000033000000}"/>
    <cellStyle name="Comma 2 2 2 2" xfId="221" xr:uid="{75C25F84-66E8-4950-9769-FFFC8CD73793}"/>
    <cellStyle name="Comma 2 2 2 2 2" xfId="324" xr:uid="{A298D9D2-725A-42A3-8CF1-5EB12929EC65}"/>
    <cellStyle name="Comma 2 2 2 3" xfId="204" xr:uid="{7C0F5EDF-84E8-4B3B-979C-159CFFF706EF}"/>
    <cellStyle name="Comma 2 2 2 4" xfId="308" xr:uid="{0252632C-0FEF-4FBB-97E0-230E65302C18}"/>
    <cellStyle name="Comma 2 2 3" xfId="53" xr:uid="{00000000-0005-0000-0000-000034000000}"/>
    <cellStyle name="Comma 2 2 3 2" xfId="222" xr:uid="{96C0A7C3-9CE8-4C0E-9BB2-6EF03FB12769}"/>
    <cellStyle name="Comma 2 2 3 3" xfId="325" xr:uid="{4BE2229A-E7A5-49B5-BCD1-E71243614E84}"/>
    <cellStyle name="Comma 2 2 4" xfId="220" xr:uid="{7631B876-328B-40A0-8E94-B2BA897BACB1}"/>
    <cellStyle name="Comma 2 2 4 2" xfId="323" xr:uid="{14214ED3-8933-4CD1-8402-3EE16075ED8A}"/>
    <cellStyle name="Comma 2 2 5" xfId="181" xr:uid="{CAF0C82F-998F-4FC2-94FE-56B37FF9EF15}"/>
    <cellStyle name="Comma 2 2 6" xfId="298" xr:uid="{DFE12B6B-CEFD-4865-86F7-595165FAF1F8}"/>
    <cellStyle name="Comma 2 3" xfId="54" xr:uid="{00000000-0005-0000-0000-000035000000}"/>
    <cellStyle name="Comma 2 3 2" xfId="223" xr:uid="{3EA1557A-70E5-4408-8563-E19E2212AAD9}"/>
    <cellStyle name="Comma 2 3 2 2" xfId="326" xr:uid="{7BE5E3CA-9D63-476C-AACC-4F075C1CB04B}"/>
    <cellStyle name="Comma 2 3 3" xfId="201" xr:uid="{F2C16F73-6A18-4AA7-97DB-C0BECEDAB1D6}"/>
    <cellStyle name="Comma 2 3 4" xfId="305" xr:uid="{628BB5AB-539D-4DBE-80B1-8355C8EFA106}"/>
    <cellStyle name="Comma 2 4" xfId="55" xr:uid="{00000000-0005-0000-0000-000036000000}"/>
    <cellStyle name="Comma 2 4 2" xfId="224" xr:uid="{77BA3363-A966-42F2-B45B-61EA64F19579}"/>
    <cellStyle name="Comma 2 4 3" xfId="327" xr:uid="{1DA319C2-3E7B-401F-A849-E1BF1D60FF99}"/>
    <cellStyle name="Comma 2 5" xfId="219" xr:uid="{E184E10E-B60F-4BE2-8626-94A3F07C771F}"/>
    <cellStyle name="Comma 2 5 2" xfId="322" xr:uid="{3A0F6D28-3F9A-49EF-9A5B-31D3EBC8BC51}"/>
    <cellStyle name="Comma 2 6" xfId="172" xr:uid="{06814CFE-9EFD-497E-9625-01FEB1001096}"/>
    <cellStyle name="Comma 2 7" xfId="293" xr:uid="{3D0482E9-9E42-489B-A5F4-837F431F9127}"/>
    <cellStyle name="Comma 3" xfId="56" xr:uid="{00000000-0005-0000-0000-000037000000}"/>
    <cellStyle name="Comma 3 2" xfId="57" xr:uid="{00000000-0005-0000-0000-000038000000}"/>
    <cellStyle name="Comma 3 2 2" xfId="226" xr:uid="{DEEB0819-0AD4-4251-ADBC-FCED463DF433}"/>
    <cellStyle name="Comma 3 2 2 2" xfId="329" xr:uid="{C92699DF-9A5E-42E5-8C9F-DF3579CC4E57}"/>
    <cellStyle name="Comma 3 2 3" xfId="203" xr:uid="{6B6C4B3B-4BAC-46CD-8EF7-7AFCA8866881}"/>
    <cellStyle name="Comma 3 2 4" xfId="307" xr:uid="{CB46EC8D-5136-4697-8AC6-243B01790BF1}"/>
    <cellStyle name="Comma 3 3" xfId="58" xr:uid="{00000000-0005-0000-0000-000039000000}"/>
    <cellStyle name="Comma 3 3 2" xfId="227" xr:uid="{72BFA6EC-0BF0-4EE1-B3BD-B52375EC3D1A}"/>
    <cellStyle name="Comma 3 3 3" xfId="330" xr:uid="{190C1412-3180-45D4-8C3B-3A76C37317DE}"/>
    <cellStyle name="Comma 3 4" xfId="225" xr:uid="{63A169E3-908B-4C04-A5A9-C82949F619B4}"/>
    <cellStyle name="Comma 3 4 2" xfId="328" xr:uid="{BF7AB927-6ED4-4917-9319-7A00D9C3A0F4}"/>
    <cellStyle name="Comma 3 5" xfId="180" xr:uid="{3E8227AF-2113-4975-9791-D72C0F89D8C1}"/>
    <cellStyle name="Comma 3 6" xfId="297" xr:uid="{D73B45AA-4E71-4447-9AEA-FC0E999EDC5A}"/>
    <cellStyle name="Comma 4" xfId="59" xr:uid="{00000000-0005-0000-0000-00003A000000}"/>
    <cellStyle name="Comma 4 2" xfId="228" xr:uid="{A3453C35-AA9C-4347-83E1-2FA3D9AE050E}"/>
    <cellStyle name="Comma 4 2 2" xfId="331" xr:uid="{405A047F-E8F3-4A05-8A2D-DB2FED2D0488}"/>
    <cellStyle name="Comma 4 3" xfId="200" xr:uid="{9579506F-D9D0-44D1-86D2-90D709B85FF9}"/>
    <cellStyle name="Comma 4 4" xfId="304" xr:uid="{42877FEF-1024-47DA-BDF0-9314C06C107B}"/>
    <cellStyle name="Comma 5" xfId="60" xr:uid="{00000000-0005-0000-0000-00003B000000}"/>
    <cellStyle name="Comma 5 2" xfId="229" xr:uid="{01889A6C-BA04-4828-AA7A-C964158CBC0A}"/>
    <cellStyle name="Comma 5 3" xfId="332" xr:uid="{2C5B47E3-F0F5-4533-A76E-5FCBE02405C3}"/>
    <cellStyle name="Comma 6" xfId="166" xr:uid="{A2834D21-6B71-4D03-B22E-20AF89E94237}"/>
    <cellStyle name="Comma 7" xfId="287" xr:uid="{8A7B9911-0648-4EC1-9282-0ABF6159E4B5}"/>
    <cellStyle name="Currency 10" xfId="139" xr:uid="{00000000-0005-0000-0000-00003C000000}"/>
    <cellStyle name="Currency 10 2" xfId="261" xr:uid="{E0DC96E2-42EC-424C-AB92-968E3EB428F4}"/>
    <cellStyle name="Currency 10 3" xfId="362" xr:uid="{6B25D80A-046E-4151-8493-A8E2C12D0508}"/>
    <cellStyle name="Currency 11" xfId="141" xr:uid="{00000000-0005-0000-0000-00003D000000}"/>
    <cellStyle name="Currency 11 2" xfId="263" xr:uid="{F0B6448A-0278-4986-B961-E1392E9D9C1A}"/>
    <cellStyle name="Currency 11 3" xfId="364" xr:uid="{B7B1AF45-3E82-4AAD-9413-AA60CE9DFE9B}"/>
    <cellStyle name="Currency 12" xfId="143" xr:uid="{00000000-0005-0000-0000-00003E000000}"/>
    <cellStyle name="Currency 12 2" xfId="265" xr:uid="{45121D26-1B0D-4F4C-9029-BB088615C200}"/>
    <cellStyle name="Currency 12 3" xfId="366" xr:uid="{6E9D2E07-A05B-4003-9778-8310F3E4BAF7}"/>
    <cellStyle name="Currency 13" xfId="145" xr:uid="{00000000-0005-0000-0000-00003F000000}"/>
    <cellStyle name="Currency 13 2" xfId="266" xr:uid="{0DF0362C-E9F0-42B5-A788-8BB0E6A953B1}"/>
    <cellStyle name="Currency 13 3" xfId="367" xr:uid="{22EABDF7-CF71-4DF3-86B1-F69016BB3E47}"/>
    <cellStyle name="Currency 14" xfId="147" xr:uid="{C4E0933B-849B-4E51-9ACB-9E049D5CDD3E}"/>
    <cellStyle name="Currency 14 2" xfId="268" xr:uid="{30D47ECB-6995-438F-87FF-4300A85F72E6}"/>
    <cellStyle name="Currency 14 3" xfId="369" xr:uid="{2C59B4A9-7637-453C-AE3E-B2E3FF2D1891}"/>
    <cellStyle name="Currency 15" xfId="150" xr:uid="{87B08311-C32F-4EDE-9872-96C6ACC7ACFA}"/>
    <cellStyle name="Currency 15 2" xfId="271" xr:uid="{C973177A-E356-4A54-9B64-8A82400FB1B4}"/>
    <cellStyle name="Currency 15 3" xfId="372" xr:uid="{F962B5DF-8CE9-46E8-89F2-14162444217B}"/>
    <cellStyle name="Currency 16" xfId="179" xr:uid="{2C0AAC6C-EE62-421E-A175-6CC8025AC24D}"/>
    <cellStyle name="Currency 17" xfId="296" xr:uid="{37CCA99A-E672-448D-BC66-B250CDEAE7F1}"/>
    <cellStyle name="Currency 2" xfId="117" xr:uid="{00000000-0005-0000-0000-000040000000}"/>
    <cellStyle name="Currency 2 2" xfId="205" xr:uid="{EBF91A0C-02C3-44F0-8F3A-E9196F5363F2}"/>
    <cellStyle name="Currency 2 2 2" xfId="309" xr:uid="{F66A7BAA-E201-4A32-A765-A049730740C6}"/>
    <cellStyle name="Currency 2 3" xfId="240" xr:uid="{820AE38C-9A7C-4002-8C6E-0EB613219283}"/>
    <cellStyle name="Currency 2 3 2" xfId="341" xr:uid="{4341003B-DCDE-4F1D-BFBB-96B8DB46F4CA}"/>
    <cellStyle name="Currency 2 4" xfId="186" xr:uid="{52529D01-651F-45D4-8B35-75456286B18D}"/>
    <cellStyle name="Currency 2 5" xfId="299" xr:uid="{0462798E-1F67-49EB-8C8A-48C4066C610F}"/>
    <cellStyle name="Currency 3" xfId="120" xr:uid="{00000000-0005-0000-0000-000041000000}"/>
    <cellStyle name="Currency 3 2" xfId="242" xr:uid="{033DD689-114E-4C99-86F7-EFE41974D38F}"/>
    <cellStyle name="Currency 3 2 2" xfId="343" xr:uid="{3C1046DD-32C0-4821-BC86-DFB6FEDBD39A}"/>
    <cellStyle name="Currency 3 3" xfId="202" xr:uid="{FF5EFEEB-0476-4B13-AAD0-3C20AB49C1FD}"/>
    <cellStyle name="Currency 3 4" xfId="306" xr:uid="{422B3E3C-7826-48D7-B6A1-8BA91477BECE}"/>
    <cellStyle name="Currency 4" xfId="122" xr:uid="{00000000-0005-0000-0000-000042000000}"/>
    <cellStyle name="Currency 4 2" xfId="244" xr:uid="{9435ACEE-3C5B-4B34-A613-DAECF176C757}"/>
    <cellStyle name="Currency 4 3" xfId="345" xr:uid="{3AB52C77-7B6A-4629-A704-C695B8FF51AD}"/>
    <cellStyle name="Currency 5" xfId="124" xr:uid="{00000000-0005-0000-0000-000043000000}"/>
    <cellStyle name="Currency 5 2" xfId="246" xr:uid="{1128F2C0-4546-46F7-870C-E9D7C1B96435}"/>
    <cellStyle name="Currency 5 3" xfId="347" xr:uid="{8456FD49-CA6E-4A74-A33D-9A564700DE8B}"/>
    <cellStyle name="Currency 6" xfId="126" xr:uid="{00000000-0005-0000-0000-000044000000}"/>
    <cellStyle name="Currency 6 2" xfId="248" xr:uid="{EEAC3090-D9F5-42F1-88BD-1B6E5B8DEF42}"/>
    <cellStyle name="Currency 6 3" xfId="349" xr:uid="{D9D2444F-CBB1-48B7-A976-5D1F3DF42F28}"/>
    <cellStyle name="Currency 7" xfId="128" xr:uid="{00000000-0005-0000-0000-000045000000}"/>
    <cellStyle name="Currency 7 2" xfId="250" xr:uid="{959E98FC-36CD-4EB5-BC0E-3AD81F4633EF}"/>
    <cellStyle name="Currency 7 3" xfId="351" xr:uid="{35A3D49B-C085-4D2C-962D-EA5CC788CD74}"/>
    <cellStyle name="Currency 8" xfId="131" xr:uid="{00000000-0005-0000-0000-000046000000}"/>
    <cellStyle name="Currency 8 2" xfId="253" xr:uid="{94415C83-6EAF-408F-A34E-C52DF648E76D}"/>
    <cellStyle name="Currency 8 3" xfId="354" xr:uid="{00BCCEC2-F026-43A4-B8B7-6FE786E3BA50}"/>
    <cellStyle name="Currency 9" xfId="137" xr:uid="{00000000-0005-0000-0000-000047000000}"/>
    <cellStyle name="Currency 9 2" xfId="259" xr:uid="{C476E74A-2773-4819-A733-157B75C924B7}"/>
    <cellStyle name="Currency 9 3" xfId="360" xr:uid="{1E6693A1-7DAC-47CB-8722-5AEF1426A75C}"/>
    <cellStyle name="Explanatory Text" xfId="61" builtinId="53" customBuiltin="1"/>
    <cellStyle name="Good" xfId="62" builtinId="26" customBuiltin="1"/>
    <cellStyle name="Heading 1" xfId="63" builtinId="16" customBuiltin="1"/>
    <cellStyle name="Heading 2" xfId="64" builtinId="17" customBuiltin="1"/>
    <cellStyle name="Heading 3" xfId="65" builtinId="18" customBuiltin="1"/>
    <cellStyle name="Heading 4" xfId="66" builtinId="19" customBuiltin="1"/>
    <cellStyle name="Hyperlink 2" xfId="67" xr:uid="{00000000-0005-0000-0000-00004E000000}"/>
    <cellStyle name="Input" xfId="68" builtinId="20" customBuiltin="1"/>
    <cellStyle name="Linked Cell" xfId="69" builtinId="24" customBuiltin="1"/>
    <cellStyle name="Neutral" xfId="70" builtinId="28" customBuiltin="1"/>
    <cellStyle name="Neutral 2" xfId="192" xr:uid="{3B6D08C5-931C-4553-84AE-D4656AEB90AC}"/>
    <cellStyle name="Normal" xfId="0" builtinId="0"/>
    <cellStyle name="Normal 10" xfId="71" xr:uid="{00000000-0005-0000-0000-000053000000}"/>
    <cellStyle name="Normal 10 2" xfId="72" xr:uid="{00000000-0005-0000-0000-000054000000}"/>
    <cellStyle name="Normal 11" xfId="73" xr:uid="{00000000-0005-0000-0000-000055000000}"/>
    <cellStyle name="Normal 11 2" xfId="74" xr:uid="{00000000-0005-0000-0000-000056000000}"/>
    <cellStyle name="Normal 12" xfId="75" xr:uid="{00000000-0005-0000-0000-000057000000}"/>
    <cellStyle name="Normal 12 2" xfId="76" xr:uid="{00000000-0005-0000-0000-000058000000}"/>
    <cellStyle name="Normal 13" xfId="77" xr:uid="{00000000-0005-0000-0000-000059000000}"/>
    <cellStyle name="Normal 14" xfId="113" xr:uid="{00000000-0005-0000-0000-00005A000000}"/>
    <cellStyle name="Normal 14 2" xfId="182" xr:uid="{638C864C-1459-4EAA-9B62-EA4BC4B78BA4}"/>
    <cellStyle name="Normal 14 3" xfId="236" xr:uid="{99C2A373-7EC3-411F-BB13-3FCA227843EB}"/>
    <cellStyle name="Normal 14 3 2" xfId="337" xr:uid="{F4ACEEBB-B22B-4386-AB2D-1D0DA4AC5DBF}"/>
    <cellStyle name="Normal 14 4" xfId="175" xr:uid="{10905792-B470-4A42-972B-012B88F59F1A}"/>
    <cellStyle name="Normal 15" xfId="114" xr:uid="{00000000-0005-0000-0000-00005B000000}"/>
    <cellStyle name="Normal 15 2" xfId="183" xr:uid="{D09E0566-2C23-4963-9432-8ABA312AA4D9}"/>
    <cellStyle name="Normal 15 3" xfId="237" xr:uid="{A5554CF1-3892-4A54-AA0A-5C1FA1E4494B}"/>
    <cellStyle name="Normal 15 3 2" xfId="338" xr:uid="{FE5C58B5-86BE-4D42-A330-99ACF5C514F1}"/>
    <cellStyle name="Normal 15 4" xfId="176" xr:uid="{A8C279FE-F5A4-4E8C-94EE-E9B51985DC5A}"/>
    <cellStyle name="Normal 16" xfId="115" xr:uid="{00000000-0005-0000-0000-00005C000000}"/>
    <cellStyle name="Normal 16 2" xfId="184" xr:uid="{E0F295B2-9A7C-4068-BD79-668263276B9D}"/>
    <cellStyle name="Normal 16 3" xfId="238" xr:uid="{9A52E7F9-F0C6-4D56-BA0D-C6E597B7C7CB}"/>
    <cellStyle name="Normal 16 3 2" xfId="339" xr:uid="{2C69E1A3-DD8A-4AAF-A78D-AA9B07AE7EC1}"/>
    <cellStyle name="Normal 16 4" xfId="177" xr:uid="{27936007-859F-46BC-9E13-78313DA05D01}"/>
    <cellStyle name="Normal 17" xfId="116" xr:uid="{00000000-0005-0000-0000-00005D000000}"/>
    <cellStyle name="Normal 17 2" xfId="185" xr:uid="{132BF662-3BB2-44FD-82FB-F33B611288FA}"/>
    <cellStyle name="Normal 17 3" xfId="239" xr:uid="{173F0B41-052D-41FC-83F9-B78C8D407603}"/>
    <cellStyle name="Normal 17 3 2" xfId="340" xr:uid="{C3F6135C-81E9-4142-8FA4-FD4866E48963}"/>
    <cellStyle name="Normal 17 4" xfId="178" xr:uid="{95956EEB-F9CB-464B-8EA4-17B50E02D443}"/>
    <cellStyle name="Normal 18" xfId="118" xr:uid="{00000000-0005-0000-0000-00005E000000}"/>
    <cellStyle name="Normal 18 2" xfId="189" xr:uid="{FC5C0782-29E3-43AA-9338-7B816569EFA7}"/>
    <cellStyle name="Normal 18 3" xfId="301" xr:uid="{86BBAAE1-D394-41AB-B652-0A9B53A235D8}"/>
    <cellStyle name="Normal 19" xfId="119" xr:uid="{00000000-0005-0000-0000-00005F000000}"/>
    <cellStyle name="Normal 19 2" xfId="241" xr:uid="{95191A71-E0D2-4630-AB30-5C918F73F6B4}"/>
    <cellStyle name="Normal 19 2 2" xfId="342" xr:uid="{C6890637-70A0-4270-8E2A-D8244A5CFF87}"/>
    <cellStyle name="Normal 19 3" xfId="188" xr:uid="{6BDC6D43-80BA-417E-B66F-B7F828C08328}"/>
    <cellStyle name="Normal 2" xfId="78" xr:uid="{00000000-0005-0000-0000-000060000000}"/>
    <cellStyle name="Normal 2 2" xfId="79" xr:uid="{00000000-0005-0000-0000-000061000000}"/>
    <cellStyle name="Normal 2 3" xfId="80" xr:uid="{00000000-0005-0000-0000-000062000000}"/>
    <cellStyle name="Normal 20" xfId="121" xr:uid="{00000000-0005-0000-0000-000063000000}"/>
    <cellStyle name="Normal 20 2" xfId="243" xr:uid="{A461C0A4-268A-46E8-B601-7E503D9FF09B}"/>
    <cellStyle name="Normal 20 3" xfId="344" xr:uid="{000CDA10-7D4B-4E91-97EC-384B66FD6064}"/>
    <cellStyle name="Normal 21" xfId="123" xr:uid="{00000000-0005-0000-0000-000064000000}"/>
    <cellStyle name="Normal 21 2" xfId="245" xr:uid="{8ABEA80D-B04C-48BE-9A84-07C14C21AC2F}"/>
    <cellStyle name="Normal 21 3" xfId="346" xr:uid="{18461879-FDA0-4DE1-AB07-6C750F1B03A3}"/>
    <cellStyle name="Normal 22" xfId="125" xr:uid="{00000000-0005-0000-0000-000065000000}"/>
    <cellStyle name="Normal 22 2" xfId="247" xr:uid="{1FF5E9E3-461C-4EAE-B587-C73AE5637AFD}"/>
    <cellStyle name="Normal 22 3" xfId="348" xr:uid="{5D5CEF57-72D3-48CB-943A-F27638FDF795}"/>
    <cellStyle name="Normal 23" xfId="127" xr:uid="{00000000-0005-0000-0000-000066000000}"/>
    <cellStyle name="Normal 23 2" xfId="249" xr:uid="{83015A7F-FF39-4E2C-B5E4-AAD3053FAD86}"/>
    <cellStyle name="Normal 23 3" xfId="350" xr:uid="{5DB474BC-FCB8-4674-919F-821FA7D9D983}"/>
    <cellStyle name="Normal 24" xfId="129" xr:uid="{00000000-0005-0000-0000-000067000000}"/>
    <cellStyle name="Normal 24 2" xfId="251" xr:uid="{2A180851-7557-4930-BED6-F322CE7FDCB8}"/>
    <cellStyle name="Normal 24 3" xfId="352" xr:uid="{B6059446-F27A-403A-9AEF-AA9BFAEFEBD5}"/>
    <cellStyle name="Normal 25" xfId="130" xr:uid="{00000000-0005-0000-0000-000068000000}"/>
    <cellStyle name="Normal 25 2" xfId="252" xr:uid="{1B1F9516-4D70-467B-BC70-081488594779}"/>
    <cellStyle name="Normal 25 3" xfId="353" xr:uid="{A2C9C547-2A3F-4A62-B459-B7C41B5E3ACC}"/>
    <cellStyle name="Normal 26" xfId="132" xr:uid="{00000000-0005-0000-0000-000069000000}"/>
    <cellStyle name="Normal 26 2" xfId="254" xr:uid="{C22E57F3-FF83-423B-BA2D-C8526A6671A7}"/>
    <cellStyle name="Normal 26 3" xfId="355" xr:uid="{7277170D-7D0E-4A8C-AC35-0EEC80F7161F}"/>
    <cellStyle name="Normal 27" xfId="134" xr:uid="{00000000-0005-0000-0000-00006A000000}"/>
    <cellStyle name="Normal 27 2" xfId="256" xr:uid="{D6119880-5078-444E-922C-C8E6E470D915}"/>
    <cellStyle name="Normal 27 3" xfId="357" xr:uid="{5DB94004-B8B2-4152-8EDE-8337CD84145E}"/>
    <cellStyle name="Normal 28" xfId="136" xr:uid="{00000000-0005-0000-0000-00006B000000}"/>
    <cellStyle name="Normal 28 2" xfId="258" xr:uid="{06B96935-FD3B-41B7-922D-61A73B00FC83}"/>
    <cellStyle name="Normal 28 3" xfId="359" xr:uid="{55361FE8-DD5F-439A-8047-C25AB1B787D8}"/>
    <cellStyle name="Normal 29" xfId="138" xr:uid="{00000000-0005-0000-0000-00006C000000}"/>
    <cellStyle name="Normal 29 2" xfId="260" xr:uid="{80AD37C8-1CED-4646-AEFB-CB84D8311107}"/>
    <cellStyle name="Normal 29 3" xfId="361" xr:uid="{F8738DA1-DCE1-44B8-88C7-9FE64464FAE1}"/>
    <cellStyle name="Normal 3" xfId="81" xr:uid="{00000000-0005-0000-0000-00006D000000}"/>
    <cellStyle name="Normal 3 2" xfId="82" xr:uid="{00000000-0005-0000-0000-00006E000000}"/>
    <cellStyle name="Normal 30" xfId="140" xr:uid="{00000000-0005-0000-0000-00006F000000}"/>
    <cellStyle name="Normal 30 2" xfId="262" xr:uid="{BEFD45B8-696A-4ECB-83A9-056282516966}"/>
    <cellStyle name="Normal 30 3" xfId="363" xr:uid="{7886BB1F-4723-4991-9195-0B7183FE216F}"/>
    <cellStyle name="Normal 31" xfId="142" xr:uid="{00000000-0005-0000-0000-000070000000}"/>
    <cellStyle name="Normal 31 2" xfId="264" xr:uid="{36ACB303-D060-410D-86F5-0BC3F7144397}"/>
    <cellStyle name="Normal 31 3" xfId="365" xr:uid="{D0999E81-938D-4F6B-AEE4-26ADE0B9E7DE}"/>
    <cellStyle name="Normal 32" xfId="144" xr:uid="{00000000-0005-0000-0000-000071000000}"/>
    <cellStyle name="Normal 32 2" xfId="148" xr:uid="{AAA14645-226E-4D99-8D2E-F6E355A22997}"/>
    <cellStyle name="Normal 32 2 2" xfId="269" xr:uid="{B9D64B2C-493A-47EE-89E0-2ED038BD806B}"/>
    <cellStyle name="Normal 32 2 3" xfId="370" xr:uid="{E9DD9208-15AC-4F6B-8FA4-3D5972A7F22D}"/>
    <cellStyle name="Normal 32 3" xfId="187" xr:uid="{E2915F95-A970-4152-AE07-CC3B17B96E6A}"/>
    <cellStyle name="Normal 32 4" xfId="300" xr:uid="{355CC055-AF95-4029-836F-CFBBFA943A90}"/>
    <cellStyle name="Normal 33" xfId="146" xr:uid="{F7EC5BB9-0F3D-4FB1-B9F9-257A6F9419CF}"/>
    <cellStyle name="Normal 33 2" xfId="267" xr:uid="{FA7F06BD-5A28-4494-ABC9-7B06ECFA612F}"/>
    <cellStyle name="Normal 33 3" xfId="368" xr:uid="{0DEDAF03-A877-4673-8F9F-4877961384A3}"/>
    <cellStyle name="Normal 34" xfId="149" xr:uid="{56ED916E-AD20-4BED-A0F5-64FB942647EA}"/>
    <cellStyle name="Normal 34 2" xfId="270" xr:uid="{DA590181-B297-4F6E-98A4-D63F0C62734D}"/>
    <cellStyle name="Normal 34 3" xfId="371" xr:uid="{F0D14585-F1F3-4ADE-8C0B-61DC9598CD75}"/>
    <cellStyle name="Normal 35" xfId="206" xr:uid="{DB5F7C3A-359C-4580-8639-677E7E6522B4}"/>
    <cellStyle name="Normal 36" xfId="151" xr:uid="{B8576D22-D18F-46A9-8E4B-9A0AD5DC06A3}"/>
    <cellStyle name="Normal 37" xfId="272" xr:uid="{995E7DF4-4530-4E1C-920C-8C5BAD4128D1}"/>
    <cellStyle name="Normal 38" xfId="373" xr:uid="{FA422C5C-DF24-4D9B-9B79-2DB9D2DB7F71}"/>
    <cellStyle name="Normal 39" xfId="374" xr:uid="{CDE18888-EEE0-4898-A537-D446CF4B7578}"/>
    <cellStyle name="Normal 4" xfId="83" xr:uid="{00000000-0005-0000-0000-000072000000}"/>
    <cellStyle name="Normal 4 2" xfId="84" xr:uid="{00000000-0005-0000-0000-000073000000}"/>
    <cellStyle name="Normal 5" xfId="85" xr:uid="{00000000-0005-0000-0000-000074000000}"/>
    <cellStyle name="Normal 5 2" xfId="86" xr:uid="{00000000-0005-0000-0000-000075000000}"/>
    <cellStyle name="Normal 6" xfId="87" xr:uid="{00000000-0005-0000-0000-000076000000}"/>
    <cellStyle name="Normal 6 2" xfId="88" xr:uid="{00000000-0005-0000-0000-000077000000}"/>
    <cellStyle name="Normal 6 2 2" xfId="89" xr:uid="{00000000-0005-0000-0000-000078000000}"/>
    <cellStyle name="Normal 6 2 3" xfId="231" xr:uid="{F75161EA-1ADD-4C6F-A952-C1225EAC441E}"/>
    <cellStyle name="Normal 6 2 3 2" xfId="334" xr:uid="{34F2D020-FCBE-43C6-BF48-23EB291F1836}"/>
    <cellStyle name="Normal 6 3" xfId="90" xr:uid="{00000000-0005-0000-0000-000079000000}"/>
    <cellStyle name="Normal 6 4" xfId="230" xr:uid="{F65D68B8-F92C-4F8C-AA04-649D8310E8C6}"/>
    <cellStyle name="Normal 6 4 2" xfId="333" xr:uid="{CE33B0E1-CA73-4D3A-A0A8-54CCB7A56349}"/>
    <cellStyle name="Normal 7" xfId="91" xr:uid="{00000000-0005-0000-0000-00007A000000}"/>
    <cellStyle name="Normal 7 2" xfId="92" xr:uid="{00000000-0005-0000-0000-00007B000000}"/>
    <cellStyle name="Normal 8" xfId="93" xr:uid="{00000000-0005-0000-0000-00007C000000}"/>
    <cellStyle name="Normal 8 2" xfId="94" xr:uid="{00000000-0005-0000-0000-00007D000000}"/>
    <cellStyle name="Normal 9" xfId="95" xr:uid="{00000000-0005-0000-0000-00007E000000}"/>
    <cellStyle name="Normal 9 2" xfId="96" xr:uid="{00000000-0005-0000-0000-00007F000000}"/>
    <cellStyle name="Note 2" xfId="97" xr:uid="{00000000-0005-0000-0000-000080000000}"/>
    <cellStyle name="Note 2 2" xfId="98" xr:uid="{00000000-0005-0000-0000-000081000000}"/>
    <cellStyle name="Note 2 2 2" xfId="232" xr:uid="{E3A1F2C3-DA44-4C4A-9DA7-3AFC380259D4}"/>
    <cellStyle name="Note 2 2 3" xfId="335" xr:uid="{8AB0A5D1-629E-446F-8BB7-8AE0CBF7CDE8}"/>
    <cellStyle name="Note 2 3" xfId="173" xr:uid="{728F0124-EA14-4C76-94E6-DCEE6F6E8C0F}"/>
    <cellStyle name="Note 2 4" xfId="294" xr:uid="{CF46B23D-18FF-4D78-ADFB-08A95351F3CE}"/>
    <cellStyle name="Note 3" xfId="193" xr:uid="{80767CC3-6EC4-4F59-9025-DA7AFEF58BEF}"/>
    <cellStyle name="Note 3 2" xfId="303" xr:uid="{40607444-3A2C-4EA5-B3A6-017289B55DD0}"/>
    <cellStyle name="Note 4" xfId="153" xr:uid="{1DC8E5D6-6C25-4744-9DFA-F4A1B5DA9D44}"/>
    <cellStyle name="Note 5" xfId="274" xr:uid="{A46E895D-CD6B-4B91-BCD5-00DA1267F854}"/>
    <cellStyle name="Output" xfId="99" builtinId="21" customBuiltin="1"/>
    <cellStyle name="Percent" xfId="100" builtinId="5"/>
    <cellStyle name="Percent 2" xfId="101" xr:uid="{00000000-0005-0000-0000-000084000000}"/>
    <cellStyle name="Percent 2 2" xfId="102" xr:uid="{00000000-0005-0000-0000-000085000000}"/>
    <cellStyle name="Percent 3" xfId="103" xr:uid="{00000000-0005-0000-0000-000086000000}"/>
    <cellStyle name="Percent 3 2" xfId="104" xr:uid="{00000000-0005-0000-0000-000087000000}"/>
    <cellStyle name="Percent 3 2 2" xfId="234" xr:uid="{8C962E86-FAB8-41BA-A95D-6EDA5F3D0FBF}"/>
    <cellStyle name="Percent 3 2 3" xfId="336" xr:uid="{37C761BF-7312-4679-A617-EF7A234DCEB1}"/>
    <cellStyle name="Percent 3 3" xfId="174" xr:uid="{AF124AE9-3F9D-42CE-A5AA-D73CCDEA4445}"/>
    <cellStyle name="Percent 3 4" xfId="295" xr:uid="{4F742B3E-67DD-4D06-B467-E76FC8988864}"/>
    <cellStyle name="Percent 4" xfId="105" xr:uid="{00000000-0005-0000-0000-000088000000}"/>
    <cellStyle name="Percent 4 2" xfId="106" xr:uid="{00000000-0005-0000-0000-000089000000}"/>
    <cellStyle name="Percent 4 3" xfId="107" xr:uid="{00000000-0005-0000-0000-00008A000000}"/>
    <cellStyle name="Percent 4 4" xfId="235" xr:uid="{0E897445-871A-439B-B07C-B0A379B257E9}"/>
    <cellStyle name="Percent 4 5" xfId="190" xr:uid="{D8DF0A50-E969-433C-A2D2-DF0B72D88437}"/>
    <cellStyle name="Percent 4 6" xfId="302" xr:uid="{B8022DCF-2A71-4695-8AF0-6668E2C0805E}"/>
    <cellStyle name="Percent 5" xfId="133" xr:uid="{00000000-0005-0000-0000-00008B000000}"/>
    <cellStyle name="Percent 5 2" xfId="255" xr:uid="{46F243B3-2A86-4DA1-ACB3-55EE02BF607B}"/>
    <cellStyle name="Percent 5 3" xfId="356" xr:uid="{6C845C71-5DAF-4C11-AA86-544428DEE63E}"/>
    <cellStyle name="Percent 6" xfId="135" xr:uid="{00000000-0005-0000-0000-00008C000000}"/>
    <cellStyle name="Percent 6 2" xfId="257" xr:uid="{B16F77E3-1F58-40EB-9EFB-D5820821A815}"/>
    <cellStyle name="Percent 6 3" xfId="358" xr:uid="{BD75ADDA-0097-4DBA-842F-F00E1F50563D}"/>
    <cellStyle name="Percent 7" xfId="233" xr:uid="{A35616E0-450E-4565-8941-976D8DE43A85}"/>
    <cellStyle name="Percent 8" xfId="152" xr:uid="{69510ECE-6874-4E65-A06A-DE832A5F2470}"/>
    <cellStyle name="Percent 9" xfId="273" xr:uid="{DC9FDA17-0B92-4207-AC3C-2EFD15FC7590}"/>
    <cellStyle name="Pivot Table Category" xfId="108" xr:uid="{00000000-0005-0000-0000-00008D000000}"/>
    <cellStyle name="Pivot Table Category 2" xfId="109" xr:uid="{00000000-0005-0000-0000-00008E000000}"/>
    <cellStyle name="Title" xfId="110" builtinId="15" customBuiltin="1"/>
    <cellStyle name="Title 2" xfId="191" xr:uid="{8BDDDF69-2688-4157-B7A3-A9FEF07E0D25}"/>
    <cellStyle name="Total" xfId="111" builtinId="25" customBuiltin="1"/>
    <cellStyle name="Warning Text" xfId="112" builtinId="11" customBuiltin="1"/>
  </cellStyles>
  <dxfs count="696">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ill>
        <patternFill>
          <bgColor rgb="FF00B050"/>
        </patternFill>
      </fill>
    </dxf>
    <dxf>
      <font>
        <b/>
        <i val="0"/>
        <color rgb="FFFF0000"/>
      </font>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b/>
        <i val="0"/>
        <color rgb="FF0000FF"/>
      </font>
      <fill>
        <patternFill patternType="none">
          <bgColor auto="1"/>
        </patternFill>
      </fill>
    </dxf>
    <dxf>
      <font>
        <b/>
        <i val="0"/>
        <color rgb="FFC00000"/>
      </font>
      <fill>
        <patternFill patternType="none">
          <bgColor auto="1"/>
        </patternFill>
      </fill>
    </dxf>
    <dxf>
      <font>
        <color rgb="FFFF0000"/>
      </font>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ill>
        <patternFill>
          <bgColor rgb="FF00B050"/>
        </patternFill>
      </fill>
    </dxf>
    <dxf>
      <font>
        <b/>
        <i val="0"/>
        <color rgb="FFFF0000"/>
      </font>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b/>
        <i val="0"/>
        <color rgb="FF0000FF"/>
      </font>
      <fill>
        <patternFill patternType="none">
          <bgColor auto="1"/>
        </patternFill>
      </fill>
    </dxf>
    <dxf>
      <font>
        <b/>
        <i val="0"/>
        <color rgb="FFC00000"/>
      </font>
      <fill>
        <patternFill patternType="none">
          <bgColor auto="1"/>
        </patternFill>
      </fill>
    </dxf>
    <dxf>
      <font>
        <color rgb="FFFF0000"/>
      </font>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ill>
        <patternFill>
          <bgColor rgb="FF00B050"/>
        </patternFill>
      </fill>
    </dxf>
    <dxf>
      <fill>
        <patternFill>
          <bgColor rgb="FF00B050"/>
        </patternFill>
      </fill>
    </dxf>
    <dxf>
      <font>
        <b/>
        <i val="0"/>
        <color rgb="FFFF0000"/>
      </font>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b/>
        <i val="0"/>
        <color rgb="FF0000FF"/>
      </font>
      <fill>
        <patternFill patternType="none">
          <bgColor auto="1"/>
        </patternFill>
      </fill>
    </dxf>
    <dxf>
      <font>
        <b/>
        <i val="0"/>
        <color rgb="FFC00000"/>
      </font>
      <fill>
        <patternFill patternType="none">
          <bgColor auto="1"/>
        </patternFill>
      </fill>
    </dxf>
    <dxf>
      <font>
        <color rgb="FFFF0000"/>
      </font>
    </dxf>
    <dxf>
      <fill>
        <patternFill>
          <bgColor rgb="FF00B050"/>
        </patternFill>
      </fill>
    </dxf>
    <dxf>
      <font>
        <b/>
        <i val="0"/>
        <color rgb="FF0000FF"/>
      </font>
      <fill>
        <patternFill patternType="none">
          <bgColor auto="1"/>
        </patternFill>
      </fill>
    </dxf>
    <dxf>
      <font>
        <b/>
        <i val="0"/>
        <color rgb="FFC00000"/>
      </font>
      <fill>
        <patternFill patternType="none">
          <bgColor auto="1"/>
        </patternFill>
      </fill>
    </dxf>
    <dxf>
      <font>
        <color rgb="FFFFFF00"/>
      </font>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ill>
        <patternFill>
          <bgColor rgb="FF00B050"/>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00B050"/>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00B050"/>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00B050"/>
        </patternFill>
      </fill>
    </dxf>
    <dxf>
      <fill>
        <patternFill>
          <bgColor rgb="FF00B050"/>
        </patternFill>
      </fill>
    </dxf>
    <dxf>
      <fill>
        <patternFill>
          <bgColor rgb="FF00B050"/>
        </patternFill>
      </fill>
    </dxf>
    <dxf>
      <fill>
        <patternFill>
          <bgColor rgb="FF00B050"/>
        </patternFill>
      </fill>
    </dxf>
    <dxf>
      <font>
        <b/>
        <i val="0"/>
        <color rgb="FFFF0000"/>
      </font>
    </dxf>
    <dxf>
      <fill>
        <patternFill>
          <bgColor rgb="FF00B050"/>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b/>
        <i val="0"/>
        <color rgb="FF0000FF"/>
      </font>
      <fill>
        <patternFill patternType="none">
          <bgColor auto="1"/>
        </patternFill>
      </fill>
    </dxf>
    <dxf>
      <font>
        <b/>
        <i val="0"/>
        <color rgb="FFC00000"/>
      </font>
      <fill>
        <patternFill patternType="none">
          <bgColor auto="1"/>
        </patternFill>
      </fill>
    </dxf>
    <dxf>
      <font>
        <color rgb="FFFF0000"/>
      </font>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ill>
        <patternFill>
          <bgColor rgb="FF00B05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00B05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00B050"/>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00B050"/>
        </patternFill>
      </fill>
    </dxf>
    <dxf>
      <fill>
        <patternFill>
          <bgColor rgb="FF00B050"/>
        </patternFill>
      </fill>
    </dxf>
    <dxf>
      <fill>
        <patternFill>
          <bgColor rgb="FF00B050"/>
        </patternFill>
      </fill>
    </dxf>
    <dxf>
      <fill>
        <patternFill>
          <bgColor rgb="FF00B050"/>
        </patternFill>
      </fill>
    </dxf>
    <dxf>
      <font>
        <b/>
        <i val="0"/>
        <color rgb="FFFF0000"/>
      </font>
    </dxf>
    <dxf>
      <fill>
        <patternFill>
          <bgColor rgb="FF00B050"/>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b/>
        <i val="0"/>
        <color rgb="FF0000FF"/>
      </font>
      <fill>
        <patternFill patternType="none">
          <bgColor auto="1"/>
        </patternFill>
      </fill>
    </dxf>
    <dxf>
      <font>
        <b/>
        <i val="0"/>
        <color rgb="FFC00000"/>
      </font>
      <fill>
        <patternFill patternType="none">
          <bgColor auto="1"/>
        </patternFill>
      </fill>
    </dxf>
    <dxf>
      <font>
        <color rgb="FFFF0000"/>
      </font>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ill>
        <patternFill>
          <bgColor rgb="FF00B050"/>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00B050"/>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00B050"/>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00B050"/>
        </patternFill>
      </fill>
    </dxf>
    <dxf>
      <fill>
        <patternFill>
          <bgColor rgb="FF00B050"/>
        </patternFill>
      </fill>
    </dxf>
    <dxf>
      <fill>
        <patternFill>
          <bgColor rgb="FF00B050"/>
        </patternFill>
      </fill>
    </dxf>
    <dxf>
      <fill>
        <patternFill>
          <bgColor rgb="FF00B050"/>
        </patternFill>
      </fill>
    </dxf>
    <dxf>
      <font>
        <b/>
        <i val="0"/>
        <color rgb="FFFF0000"/>
      </font>
    </dxf>
    <dxf>
      <fill>
        <patternFill>
          <bgColor rgb="FF00B050"/>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b/>
        <i val="0"/>
        <color rgb="FF0000FF"/>
      </font>
      <fill>
        <patternFill patternType="none">
          <bgColor auto="1"/>
        </patternFill>
      </fill>
    </dxf>
    <dxf>
      <font>
        <b/>
        <i val="0"/>
        <color rgb="FFC00000"/>
      </font>
      <fill>
        <patternFill patternType="none">
          <bgColor auto="1"/>
        </patternFill>
      </fill>
    </dxf>
    <dxf>
      <font>
        <color rgb="FFFF0000"/>
      </font>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ill>
        <patternFill>
          <bgColor rgb="FF00B05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00B05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00B05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00B050"/>
        </patternFill>
      </fill>
    </dxf>
    <dxf>
      <fill>
        <patternFill>
          <bgColor rgb="FF00B050"/>
        </patternFill>
      </fill>
    </dxf>
    <dxf>
      <fill>
        <patternFill>
          <bgColor rgb="FF00B050"/>
        </patternFill>
      </fill>
    </dxf>
    <dxf>
      <font>
        <b/>
        <i val="0"/>
        <color rgb="FFFF0000"/>
      </font>
    </dxf>
    <dxf>
      <fill>
        <patternFill>
          <bgColor rgb="FF00B050"/>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0000FF"/>
      </font>
      <fill>
        <patternFill patternType="none">
          <bgColor auto="1"/>
        </patternFill>
      </fill>
    </dxf>
    <dxf>
      <font>
        <b/>
        <i val="0"/>
        <color rgb="FFC00000"/>
      </font>
      <fill>
        <patternFill patternType="none">
          <bgColor auto="1"/>
        </patternFill>
      </fill>
    </dxf>
    <dxf>
      <font>
        <color rgb="FFFF0000"/>
      </font>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ill>
        <patternFill>
          <bgColor rgb="FF00B050"/>
        </patternFill>
      </fill>
    </dxf>
    <dxf>
      <fill>
        <patternFill>
          <bgColor rgb="FF00B050"/>
        </patternFill>
      </fill>
    </dxf>
    <dxf>
      <font>
        <b/>
        <i val="0"/>
        <color rgb="FFFF0000"/>
      </font>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0000FF"/>
      </font>
      <fill>
        <patternFill patternType="none">
          <bgColor auto="1"/>
        </patternFill>
      </fill>
    </dxf>
    <dxf>
      <font>
        <b/>
        <i val="0"/>
        <color rgb="FFC00000"/>
      </font>
      <fill>
        <patternFill patternType="none">
          <bgColor auto="1"/>
        </patternFill>
      </fill>
    </dxf>
    <dxf>
      <font>
        <color rgb="FFFF0000"/>
      </font>
    </dxf>
    <dxf>
      <fill>
        <patternFill>
          <bgColor theme="9" tint="0.59996337778862885"/>
        </patternFill>
      </fill>
    </dxf>
    <dxf>
      <fill>
        <patternFill>
          <bgColor rgb="FFFF0000"/>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ill>
        <patternFill>
          <bgColor rgb="FF00B050"/>
        </patternFill>
      </fill>
    </dxf>
    <dxf>
      <font>
        <b/>
        <i val="0"/>
        <color rgb="FFFF0000"/>
      </font>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b/>
        <i val="0"/>
        <color rgb="FF0000FF"/>
      </font>
      <fill>
        <patternFill patternType="none">
          <bgColor auto="1"/>
        </patternFill>
      </fill>
    </dxf>
    <dxf>
      <font>
        <b/>
        <i val="0"/>
        <color rgb="FFC00000"/>
      </font>
      <fill>
        <patternFill patternType="none">
          <bgColor auto="1"/>
        </patternFill>
      </fill>
    </dxf>
    <dxf>
      <font>
        <color rgb="FFFF0000"/>
      </font>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ill>
        <patternFill>
          <bgColor rgb="FF00B050"/>
        </patternFill>
      </fill>
    </dxf>
    <dxf>
      <fill>
        <patternFill>
          <bgColor rgb="FF00B050"/>
        </patternFill>
      </fill>
    </dxf>
    <dxf>
      <font>
        <b/>
        <i val="0"/>
        <color rgb="FFFF0000"/>
      </font>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rgb="FFC00000"/>
      </font>
      <fill>
        <patternFill patternType="none">
          <bgColor auto="1"/>
        </patternFill>
      </fill>
    </dxf>
    <dxf>
      <font>
        <b/>
        <i val="0"/>
        <color rgb="FF0000FF"/>
      </font>
      <fill>
        <patternFill patternType="none">
          <bgColor auto="1"/>
        </patternFill>
      </fill>
    </dxf>
    <dxf>
      <font>
        <color rgb="FFFF0000"/>
      </font>
    </dxf>
    <dxf>
      <font>
        <color rgb="FFFF0000"/>
      </font>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ill>
        <patternFill>
          <bgColor rgb="FF00B050"/>
        </patternFill>
      </fill>
    </dxf>
    <dxf>
      <font>
        <b/>
        <i val="0"/>
        <color rgb="FFFF0000"/>
      </font>
    </dxf>
    <dxf>
      <font>
        <color rgb="FF9C0006"/>
      </font>
      <fill>
        <patternFill>
          <bgColor rgb="FFFFC7CE"/>
        </patternFill>
      </fill>
    </dxf>
    <dxf>
      <font>
        <color rgb="FF00B050"/>
      </font>
      <fill>
        <patternFill>
          <bgColor rgb="FF00B050"/>
        </patternFill>
      </fill>
    </dxf>
    <dxf>
      <font>
        <b/>
        <i val="0"/>
        <color rgb="FF0000FF"/>
      </font>
      <fill>
        <patternFill patternType="none">
          <bgColor auto="1"/>
        </patternFill>
      </fill>
    </dxf>
    <dxf>
      <font>
        <b/>
        <i val="0"/>
        <color rgb="FFC00000"/>
      </font>
      <fill>
        <patternFill patternType="none">
          <bgColor auto="1"/>
        </patternFill>
      </fill>
    </dxf>
    <dxf>
      <font>
        <color rgb="FFFF0000"/>
      </font>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ill>
        <patternFill>
          <bgColor rgb="FF00B050"/>
        </patternFill>
      </fill>
    </dxf>
    <dxf>
      <font>
        <b/>
        <i val="0"/>
        <color rgb="FFFF0000"/>
      </font>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b/>
        <i val="0"/>
        <color rgb="FF0000FF"/>
      </font>
      <fill>
        <patternFill patternType="none">
          <bgColor auto="1"/>
        </patternFill>
      </fill>
    </dxf>
    <dxf>
      <font>
        <b/>
        <i val="0"/>
        <color rgb="FFC00000"/>
      </font>
      <fill>
        <patternFill patternType="none">
          <bgColor auto="1"/>
        </patternFill>
      </fill>
    </dxf>
    <dxf>
      <font>
        <color rgb="FFFF0000"/>
      </font>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ill>
        <patternFill>
          <bgColor rgb="FF00B05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00B05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00B05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00B050"/>
        </patternFill>
      </fill>
    </dxf>
    <dxf>
      <fill>
        <patternFill>
          <bgColor rgb="FF00B050"/>
        </patternFill>
      </fill>
    </dxf>
    <dxf>
      <fill>
        <patternFill>
          <bgColor rgb="FF00B050"/>
        </patternFill>
      </fill>
    </dxf>
    <dxf>
      <fill>
        <patternFill>
          <bgColor rgb="FF00B050"/>
        </patternFill>
      </fill>
    </dxf>
    <dxf>
      <font>
        <b/>
        <i val="0"/>
        <color rgb="FFFF0000"/>
      </font>
    </dxf>
    <dxf>
      <fill>
        <patternFill>
          <bgColor rgb="FF00B050"/>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b/>
        <i val="0"/>
        <color rgb="FF0000FF"/>
      </font>
      <fill>
        <patternFill patternType="none">
          <bgColor auto="1"/>
        </patternFill>
      </fill>
    </dxf>
    <dxf>
      <font>
        <b/>
        <i val="0"/>
        <color rgb="FFC00000"/>
      </font>
      <fill>
        <patternFill patternType="none">
          <bgColor auto="1"/>
        </patternFill>
      </fill>
    </dxf>
    <dxf>
      <font>
        <color rgb="FFFF0000"/>
      </font>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ill>
        <patternFill>
          <bgColor rgb="FF00B050"/>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00B05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00B050"/>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ont>
        <b/>
        <i val="0"/>
        <color rgb="FFFF0000"/>
      </font>
    </dxf>
    <dxf>
      <fill>
        <patternFill>
          <bgColor rgb="FF00B050"/>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C00000"/>
      </font>
      <fill>
        <patternFill patternType="none">
          <bgColor auto="1"/>
        </patternFill>
      </fill>
    </dxf>
    <dxf>
      <font>
        <b/>
        <i val="0"/>
        <color rgb="FF0000FF"/>
      </font>
      <fill>
        <patternFill patternType="none">
          <bgColor auto="1"/>
        </patternFill>
      </fill>
    </dxf>
    <dxf>
      <font>
        <color rgb="FFFF0000"/>
      </font>
    </dxf>
    <dxf>
      <font>
        <b val="0"/>
        <i val="0"/>
        <color rgb="FFFF0000"/>
      </font>
      <fill>
        <patternFill>
          <bgColor theme="0"/>
        </patternFill>
      </fill>
    </dxf>
    <dxf>
      <font>
        <b/>
        <i val="0"/>
        <color rgb="FF0000FF"/>
      </font>
    </dxf>
    <dxf>
      <font>
        <b val="0"/>
        <i val="0"/>
        <color rgb="FFFF0000"/>
      </font>
      <fill>
        <patternFill>
          <bgColor theme="0"/>
        </patternFill>
      </fill>
    </dxf>
    <dxf>
      <font>
        <b/>
        <i val="0"/>
        <color rgb="FF0000FF"/>
      </font>
    </dxf>
    <dxf>
      <font>
        <b val="0"/>
        <i val="0"/>
        <color rgb="FFFF0000"/>
      </font>
      <fill>
        <patternFill>
          <bgColor theme="0"/>
        </patternFill>
      </fill>
    </dxf>
    <dxf>
      <font>
        <b/>
        <i val="0"/>
        <color rgb="FF0000FF"/>
      </font>
    </dxf>
    <dxf>
      <font>
        <b val="0"/>
        <i val="0"/>
        <color rgb="FFFF0000"/>
      </font>
      <fill>
        <patternFill>
          <bgColor theme="0"/>
        </patternFill>
      </fill>
    </dxf>
    <dxf>
      <font>
        <b/>
        <i val="0"/>
        <color rgb="FF0000FF"/>
      </font>
    </dxf>
    <dxf>
      <font>
        <b val="0"/>
        <i val="0"/>
        <color rgb="FFFF0000"/>
      </font>
      <fill>
        <patternFill>
          <bgColor theme="0"/>
        </patternFill>
      </fill>
    </dxf>
    <dxf>
      <font>
        <b/>
        <i val="0"/>
        <color rgb="FF0000FF"/>
      </font>
    </dxf>
    <dxf>
      <font>
        <b val="0"/>
        <i val="0"/>
        <color rgb="FF0000FF"/>
      </font>
    </dxf>
    <dxf>
      <font>
        <b/>
        <i val="0"/>
        <color rgb="FFFF0000"/>
      </font>
    </dxf>
    <dxf>
      <font>
        <b/>
        <i val="0"/>
        <color rgb="FFFF0000"/>
      </font>
    </dxf>
    <dxf>
      <font>
        <b val="0"/>
        <i val="0"/>
        <color rgb="FFFF0000"/>
      </font>
      <fill>
        <patternFill>
          <bgColor theme="0"/>
        </patternFill>
      </fill>
    </dxf>
    <dxf>
      <font>
        <b/>
        <i val="0"/>
        <color rgb="FF0000FF"/>
      </font>
    </dxf>
  </dxfs>
  <tableStyles count="0" defaultTableStyle="TableStyleMedium9" defaultPivotStyle="PivotStyleLight16"/>
  <colors>
    <mruColors>
      <color rgb="FF0000FF"/>
      <color rgb="FF6600FF"/>
      <color rgb="FF000000"/>
      <color rgb="FFFF0000"/>
      <color rgb="FF0033CC"/>
      <color rgb="FFF8F8F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theme" Target="theme/theme1.xml"/><Relationship Id="rId30"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Weekly Shipped CBM &amp; Avg Leadtime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v>Shipped CBM</c:v>
          </c:tx>
          <c:spPr>
            <a:solidFill>
              <a:schemeClr val="accent1"/>
            </a:solidFill>
            <a:ln>
              <a:noFill/>
            </a:ln>
            <a:effectLst/>
          </c:spPr>
          <c:invertIfNegative val="0"/>
          <c:cat>
            <c:numRef>
              <c:f>'Wkly Shipped CBM &amp; LT'!$B$42:$B$45</c:f>
              <c:numCache>
                <c:formatCode>mmm\ dd</c:formatCode>
                <c:ptCount val="4"/>
                <c:pt idx="0">
                  <c:v>46286</c:v>
                </c:pt>
                <c:pt idx="1">
                  <c:v>46293</c:v>
                </c:pt>
                <c:pt idx="2">
                  <c:v>46300</c:v>
                </c:pt>
                <c:pt idx="3">
                  <c:v>46307</c:v>
                </c:pt>
              </c:numCache>
            </c:numRef>
          </c:cat>
          <c:val>
            <c:numRef>
              <c:f>'Wkly Shipped CBM &amp; LT'!$D$42:$D$45</c:f>
              <c:numCache>
                <c:formatCode>0</c:formatCode>
                <c:ptCount val="4"/>
                <c:pt idx="0">
                  <c:v>114.8096</c:v>
                </c:pt>
                <c:pt idx="1">
                  <c:v>161.91800000000001</c:v>
                </c:pt>
                <c:pt idx="2">
                  <c:v>98.92</c:v>
                </c:pt>
                <c:pt idx="3">
                  <c:v>80.722899999999996</c:v>
                </c:pt>
              </c:numCache>
            </c:numRef>
          </c:val>
          <c:extLst>
            <c:ext xmlns:c16="http://schemas.microsoft.com/office/drawing/2014/chart" uri="{C3380CC4-5D6E-409C-BE32-E72D297353CC}">
              <c16:uniqueId val="{00000000-7F1C-495A-AEE1-39217B9AFEE2}"/>
            </c:ext>
          </c:extLst>
        </c:ser>
        <c:dLbls>
          <c:showLegendKey val="0"/>
          <c:showVal val="0"/>
          <c:showCatName val="0"/>
          <c:showSerName val="0"/>
          <c:showPercent val="0"/>
          <c:showBubbleSize val="0"/>
        </c:dLbls>
        <c:gapWidth val="219"/>
        <c:overlap val="-27"/>
        <c:axId val="463895456"/>
        <c:axId val="463893376"/>
      </c:barChart>
      <c:lineChart>
        <c:grouping val="standard"/>
        <c:varyColors val="0"/>
        <c:ser>
          <c:idx val="1"/>
          <c:order val="1"/>
          <c:tx>
            <c:v>Avg Leadtime (days)</c:v>
          </c:tx>
          <c:spPr>
            <a:ln w="28575" cap="rnd">
              <a:solidFill>
                <a:schemeClr val="accent2"/>
              </a:solidFill>
              <a:round/>
            </a:ln>
            <a:effectLst/>
          </c:spPr>
          <c:marker>
            <c:symbol val="none"/>
          </c:marker>
          <c:cat>
            <c:numRef>
              <c:f>'Wkly Shipped CBM &amp; LT'!$B$42:$B$45</c:f>
              <c:numCache>
                <c:formatCode>mmm\ dd</c:formatCode>
                <c:ptCount val="4"/>
                <c:pt idx="0">
                  <c:v>46286</c:v>
                </c:pt>
                <c:pt idx="1">
                  <c:v>46293</c:v>
                </c:pt>
                <c:pt idx="2">
                  <c:v>46300</c:v>
                </c:pt>
                <c:pt idx="3">
                  <c:v>46307</c:v>
                </c:pt>
              </c:numCache>
            </c:numRef>
          </c:cat>
          <c:val>
            <c:numRef>
              <c:f>'Wkly Shipped CBM &amp; LT'!$E$42:$E$45</c:f>
              <c:numCache>
                <c:formatCode>0</c:formatCode>
                <c:ptCount val="4"/>
                <c:pt idx="0">
                  <c:v>47.22</c:v>
                </c:pt>
                <c:pt idx="1">
                  <c:v>41.62</c:v>
                </c:pt>
                <c:pt idx="2">
                  <c:v>33.5</c:v>
                </c:pt>
                <c:pt idx="3">
                  <c:v>53.947368419999997</c:v>
                </c:pt>
              </c:numCache>
            </c:numRef>
          </c:val>
          <c:smooth val="0"/>
          <c:extLst>
            <c:ext xmlns:c16="http://schemas.microsoft.com/office/drawing/2014/chart" uri="{C3380CC4-5D6E-409C-BE32-E72D297353CC}">
              <c16:uniqueId val="{00000001-7F1C-495A-AEE1-39217B9AFEE2}"/>
            </c:ext>
          </c:extLst>
        </c:ser>
        <c:dLbls>
          <c:showLegendKey val="0"/>
          <c:showVal val="0"/>
          <c:showCatName val="0"/>
          <c:showSerName val="0"/>
          <c:showPercent val="0"/>
          <c:showBubbleSize val="0"/>
        </c:dLbls>
        <c:marker val="1"/>
        <c:smooth val="0"/>
        <c:axId val="504338768"/>
        <c:axId val="504317968"/>
      </c:lineChart>
      <c:catAx>
        <c:axId val="463895456"/>
        <c:scaling>
          <c:orientation val="minMax"/>
        </c:scaling>
        <c:delete val="0"/>
        <c:axPos val="b"/>
        <c:numFmt formatCode="mmm\ dd"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3893376"/>
        <c:crosses val="autoZero"/>
        <c:auto val="0"/>
        <c:lblAlgn val="ctr"/>
        <c:lblOffset val="100"/>
        <c:noMultiLvlLbl val="0"/>
      </c:catAx>
      <c:valAx>
        <c:axId val="46389337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PH"/>
                  <a:t>Shipped CBM</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3895456"/>
        <c:crosses val="autoZero"/>
        <c:crossBetween val="between"/>
      </c:valAx>
      <c:valAx>
        <c:axId val="504317968"/>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PH"/>
                  <a:t>Avg Leadtime (days)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4338768"/>
        <c:crosses val="max"/>
        <c:crossBetween val="between"/>
      </c:valAx>
      <c:dateAx>
        <c:axId val="504338768"/>
        <c:scaling>
          <c:orientation val="minMax"/>
        </c:scaling>
        <c:delete val="1"/>
        <c:axPos val="b"/>
        <c:numFmt formatCode="mmm\ dd" sourceLinked="1"/>
        <c:majorTickMark val="out"/>
        <c:minorTickMark val="none"/>
        <c:tickLblPos val="nextTo"/>
        <c:crossAx val="504317968"/>
        <c:crosses val="autoZero"/>
        <c:auto val="1"/>
        <c:lblOffset val="100"/>
        <c:baseTimeUnit val="days"/>
      </c:date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6</xdr:col>
      <xdr:colOff>122237</xdr:colOff>
      <xdr:row>4</xdr:row>
      <xdr:rowOff>0</xdr:rowOff>
    </xdr:from>
    <xdr:to>
      <xdr:col>20</xdr:col>
      <xdr:colOff>122237</xdr:colOff>
      <xdr:row>58</xdr:row>
      <xdr:rowOff>130171</xdr:rowOff>
    </xdr:to>
    <xdr:graphicFrame macro="">
      <xdr:nvGraphicFramePr>
        <xdr:cNvPr id="2" name="Chart 1">
          <a:extLst>
            <a:ext uri="{FF2B5EF4-FFF2-40B4-BE49-F238E27FC236}">
              <a16:creationId xmlns:a16="http://schemas.microsoft.com/office/drawing/2014/main" id="{50CE3690-8D1B-4348-977A-A522BB7329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10</xdr:row>
      <xdr:rowOff>99672</xdr:rowOff>
    </xdr:from>
    <xdr:to>
      <xdr:col>2</xdr:col>
      <xdr:colOff>4066173</xdr:colOff>
      <xdr:row>31</xdr:row>
      <xdr:rowOff>108696</xdr:rowOff>
    </xdr:to>
    <xdr:pic>
      <xdr:nvPicPr>
        <xdr:cNvPr id="2" name="Picture 1">
          <a:extLst>
            <a:ext uri="{FF2B5EF4-FFF2-40B4-BE49-F238E27FC236}">
              <a16:creationId xmlns:a16="http://schemas.microsoft.com/office/drawing/2014/main" id="{C1016AC7-26BB-4AF7-949E-F9DC50354112}"/>
            </a:ext>
          </a:extLst>
        </xdr:cNvPr>
        <xdr:cNvPicPr>
          <a:picLocks noChangeAspect="1"/>
        </xdr:cNvPicPr>
      </xdr:nvPicPr>
      <xdr:blipFill>
        <a:blip xmlns:r="http://schemas.openxmlformats.org/officeDocument/2006/relationships" r:embed="rId1"/>
        <a:stretch>
          <a:fillRect/>
        </a:stretch>
      </xdr:blipFill>
      <xdr:spPr>
        <a:xfrm>
          <a:off x="0" y="2242797"/>
          <a:ext cx="8012244" cy="3938087"/>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Arnielyn" id="{61F80BEF-5DCC-4C81-B289-66C50FCD6819}" userId="Arnielyn" providerId="None"/>
</personList>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AP11" dT="2026-08-31T03:26:56.98" personId="{61F80BEF-5DCC-4C81-B289-66C50FCD6819}" id="{1FBD6C2F-4DA1-4264-A990-32E2FA771F03}">
    <text>From 0%</text>
  </threadedComment>
  <threadedComment ref="AO17" dT="2026-08-31T03:24:50.51" personId="{61F80BEF-5DCC-4C81-B289-66C50FCD6819}" id="{E428543D-2A40-4671-AA53-702478B2CB66}">
    <text>FROM 14%</text>
  </threadedComment>
</ThreadedComments>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5">
    <wetp:webextensionref xmlns:r="http://schemas.openxmlformats.org/officeDocument/2006/relationships" r:id="rId1"/>
  </wetp:taskpane>
</wetp:taskpanes>
</file>

<file path=xl/webextensions/webextension1.xml><?xml version="1.0" encoding="utf-8"?>
<we:webextension xmlns:we="http://schemas.microsoft.com/office/webextensions/webextension/2010/11" id="{CCE6F11D-56CF-41BE-BC78-923B5450139A}">
  <we:reference id="wa200009404" version="1.0.0.8" store="en-US" storeType="OMEX"/>
  <we:alternateReferences>
    <we:reference id="wa200009404" version="1.0.0.8" store="en-US" storeType="OMEX"/>
  </we:alternateReferences>
  <we:properties>
    <we:property name="claude.fileId" value="&quot;6652a8b9-fe88-42d7-9514-d2e8f8613b1f&quot;"/>
  </we:properties>
  <we:bindings/>
  <we:snapshot xmlns:r="http://schemas.openxmlformats.org/officeDocument/2006/relationships"/>
</we:webextension>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4" Type="http://schemas.microsoft.com/office/2017/10/relationships/threadedComment" Target="../threadedComments/threadedComment1.xml"/></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3.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2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2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CC7480-B594-4423-A06A-93687C024DA9}">
  <sheetPr>
    <tabColor rgb="FF0000FF"/>
  </sheetPr>
  <dimension ref="A1:D71"/>
  <sheetViews>
    <sheetView showGridLines="0" workbookViewId="0">
      <selection activeCell="A2" sqref="A2"/>
    </sheetView>
  </sheetViews>
  <sheetFormatPr defaultRowHeight="12.75" x14ac:dyDescent="0.2"/>
  <cols>
    <col min="1" max="1" width="49.5703125" customWidth="1"/>
    <col min="2" max="2" width="27.7109375" bestFit="1" customWidth="1"/>
    <col min="3" max="3" width="37.28515625" bestFit="1" customWidth="1"/>
    <col min="4" max="4" width="24.7109375" customWidth="1"/>
  </cols>
  <sheetData>
    <row r="1" spans="1:2" ht="18.75" x14ac:dyDescent="0.3">
      <c r="A1" s="252" t="s">
        <v>660</v>
      </c>
    </row>
    <row r="2" spans="1:2" x14ac:dyDescent="0.2">
      <c r="A2" s="253" t="str">
        <f ca="1">"Generated "&amp;TEXT(TODAY(),"mmmm d, yyyy")&amp;"  |  Source: SHIPMENTS &amp; Prod Load tabs"</f>
        <v>Generated October 19, 2026  |  Source: SHIPMENTS &amp; Prod Load tabs</v>
      </c>
    </row>
    <row r="4" spans="1:2" ht="15" x14ac:dyDescent="0.25">
      <c r="A4" s="254" t="s">
        <v>474</v>
      </c>
      <c r="B4" s="255"/>
    </row>
    <row r="5" spans="1:2" x14ac:dyDescent="0.2">
      <c r="A5" s="260" t="s">
        <v>475</v>
      </c>
      <c r="B5" s="261" t="s">
        <v>476</v>
      </c>
    </row>
    <row r="6" spans="1:2" x14ac:dyDescent="0.2">
      <c r="A6" s="262" t="s">
        <v>477</v>
      </c>
      <c r="B6" s="263">
        <f>COUNTA(SHIPMENTS!A7:A483)</f>
        <v>53</v>
      </c>
    </row>
    <row r="7" spans="1:2" x14ac:dyDescent="0.2">
      <c r="A7" s="262" t="s">
        <v>478</v>
      </c>
      <c r="B7" s="264">
        <f>SUM(SHIPMENTS!F7:F483)</f>
        <v>556.22599428571414</v>
      </c>
    </row>
    <row r="8" spans="1:2" x14ac:dyDescent="0.2">
      <c r="A8" s="262" t="s">
        <v>479</v>
      </c>
      <c r="B8" s="265">
        <f>B7/B6</f>
        <v>10.494830080862531</v>
      </c>
    </row>
    <row r="9" spans="1:2" x14ac:dyDescent="0.2">
      <c r="A9" s="262" t="s">
        <v>480</v>
      </c>
      <c r="B9" s="263">
        <f>COUNT(SHIPMENTS!G7:G483)</f>
        <v>34</v>
      </c>
    </row>
    <row r="10" spans="1:2" x14ac:dyDescent="0.2">
      <c r="A10" s="262" t="s">
        <v>481</v>
      </c>
      <c r="B10" s="263">
        <f>COUNTIF(SHIPMENTS!G7:G483,"TBA")</f>
        <v>6</v>
      </c>
    </row>
    <row r="11" spans="1:2" x14ac:dyDescent="0.2">
      <c r="A11" s="262" t="s">
        <v>482</v>
      </c>
      <c r="B11" s="263" cm="1">
        <f t="array" ref="B11">SUMPRODUCT(--ISNUMBER(SEARCH("waiting",SHIPMENTS!H7:H483)))</f>
        <v>1</v>
      </c>
    </row>
    <row r="12" spans="1:2" x14ac:dyDescent="0.2">
      <c r="A12" s="262" t="s">
        <v>483</v>
      </c>
      <c r="B12" s="263" cm="1">
        <f t="array" ref="B12">SUMPRODUCT(--ISNUMBER(SEARCH("fumigation",SHIPMENTS!H7:H483)))</f>
        <v>16</v>
      </c>
    </row>
    <row r="13" spans="1:2" x14ac:dyDescent="0.2">
      <c r="A13" s="262" t="s">
        <v>484</v>
      </c>
      <c r="B13" s="263" cm="1">
        <f t="array" ref="B13">SUMPRODUCT(ISNUMBER(SEARCH("fumigation",SHIPMENTS!H7:H483))*(1-ISNUMBER(SEARCH("done",SHIPMENTS!H7:H483))))</f>
        <v>15</v>
      </c>
    </row>
    <row r="14" spans="1:2" x14ac:dyDescent="0.2">
      <c r="A14" s="262" t="s">
        <v>485</v>
      </c>
      <c r="B14" s="263">
        <f ca="1">AVERAGE(SHIPMENTS!AT7:AT483)</f>
        <v>57.202497095561654</v>
      </c>
    </row>
    <row r="15" spans="1:2" x14ac:dyDescent="0.2">
      <c r="A15" s="262" t="s">
        <v>486</v>
      </c>
      <c r="B15" s="263">
        <f ca="1">MAX(SHIPMENTS!AT7:AT483)</f>
        <v>345.61759143518429</v>
      </c>
    </row>
    <row r="16" spans="1:2" x14ac:dyDescent="0.2">
      <c r="A16" s="262" t="s">
        <v>487</v>
      </c>
      <c r="B16" s="263">
        <f ca="1">COUNTIF(SHIPMENTS!AT7:AT483,"&gt;90")</f>
        <v>12</v>
      </c>
    </row>
    <row r="17" spans="1:4" x14ac:dyDescent="0.2">
      <c r="A17" s="262" t="s">
        <v>504</v>
      </c>
      <c r="B17" s="281">
        <f>AVERAGE(SHIPMENTS!AU7:AU483)</f>
        <v>0.36853380503144662</v>
      </c>
    </row>
    <row r="18" spans="1:4" x14ac:dyDescent="0.2">
      <c r="A18" s="262" t="s">
        <v>505</v>
      </c>
      <c r="B18" s="263">
        <f>COUNTIF(SHIPMENTS!AU7:AU483,"&gt;=0.999")</f>
        <v>11</v>
      </c>
    </row>
    <row r="19" spans="1:4" x14ac:dyDescent="0.2">
      <c r="A19" s="272" t="s">
        <v>506</v>
      </c>
      <c r="B19" s="273">
        <f>COUNTIF(SHIPMENTS!AU7:AU483,"&lt;0.5")</f>
        <v>36</v>
      </c>
    </row>
    <row r="20" spans="1:4" ht="15" x14ac:dyDescent="0.25">
      <c r="A20" s="274" t="s">
        <v>507</v>
      </c>
      <c r="B20" s="276"/>
      <c r="C20" s="277"/>
      <c r="D20" s="277"/>
    </row>
    <row r="21" spans="1:4" x14ac:dyDescent="0.2">
      <c r="A21" s="275" t="s">
        <v>508</v>
      </c>
      <c r="B21" s="282">
        <v>0.8</v>
      </c>
      <c r="C21" s="275" t="s">
        <v>509</v>
      </c>
      <c r="D21" s="282">
        <v>0.999</v>
      </c>
    </row>
    <row r="22" spans="1:4" x14ac:dyDescent="0.2">
      <c r="A22" s="260" t="s">
        <v>385</v>
      </c>
      <c r="B22" s="278" t="s">
        <v>510</v>
      </c>
      <c r="C22" s="261" t="s">
        <v>511</v>
      </c>
      <c r="D22" s="261" t="s">
        <v>512</v>
      </c>
    </row>
    <row r="23" spans="1:4" x14ac:dyDescent="0.2">
      <c r="A23" s="283" cm="1">
        <f t="array" ref="A23">IFERROR(INDEX(SHIPMENTS!$A$7:$A$483,_xlfn.AGGREGATE(15,6,(ROW(SHIPMENTS!$AU$7:$AU$483)-ROW(SHIPMENTS!$AU$7)+1)/((SHIPMENTS!$AU$7:$AU$483&gt;=$B$21)*(SHIPMENTS!$AU$7:$AU$483&lt;$D$21)),ROW()-22)),"")</f>
        <v>8641</v>
      </c>
      <c r="B23" s="263" t="str" cm="1">
        <f t="array" ref="B23">IFERROR(INDEX(SHIPMENTS!$B$7:$B$483,_xlfn.AGGREGATE(15,6,(ROW(SHIPMENTS!$AU$7:$AU$483)-ROW(SHIPMENTS!$AU$7)+1)/((SHIPMENTS!$AU$7:$AU$483&gt;=$B$21)*(SHIPMENTS!$AU$7:$AU$483&lt;$D$21)),ROW()-22)),"")</f>
        <v>41700-CANADA BSAUNAS BACKLOG</v>
      </c>
      <c r="C23" s="281" cm="1">
        <f t="array" ref="C23">IFERROR(INDEX(SHIPMENTS!$AU$7:$AU$483,_xlfn.AGGREGATE(15,6,(ROW(SHIPMENTS!$AU$7:$AU$483)-ROW(SHIPMENTS!$AU$7)+1)/((SHIPMENTS!$AU$7:$AU$483&gt;=$B$21)*(SHIPMENTS!$AU$7:$AU$483&lt;$D$21)),ROW()-22)),"")</f>
        <v>0.85333333333333339</v>
      </c>
      <c r="D23" s="279" cm="1">
        <f t="array" ref="D23">IFERROR(INDEX(SHIPMENTS!$G$7:$G$483,_xlfn.AGGREGATE(15,6,(ROW(SHIPMENTS!$AU$7:$AU$483)-ROW(SHIPMENTS!$AU$7)+1)/((SHIPMENTS!$AU$7:$AU$483&gt;=$B$21)*(SHIPMENTS!$AU$7:$AU$483&lt;$D$21)),ROW()-22)),"")</f>
        <v>46315</v>
      </c>
    </row>
    <row r="24" spans="1:4" x14ac:dyDescent="0.2">
      <c r="A24" s="283" cm="1">
        <f t="array" ref="A24">IFERROR(INDEX(SHIPMENTS!$A$7:$A$483,_xlfn.AGGREGATE(15,6,(ROW(SHIPMENTS!$AU$7:$AU$483)-ROW(SHIPMENTS!$AU$7)+1)/((SHIPMENTS!$AU$7:$AU$483&gt;=$B$21)*(SHIPMENTS!$AU$7:$AU$483&lt;$D$21)),ROW()-22)),"")</f>
        <v>4781</v>
      </c>
      <c r="B24" s="263" t="str" cm="1">
        <f t="array" ref="B24">IFERROR(INDEX(SHIPMENTS!$B$7:$B$483,_xlfn.AGGREGATE(15,6,(ROW(SHIPMENTS!$AU$7:$AU$483)-ROW(SHIPMENTS!$AU$7)+1)/((SHIPMENTS!$AU$7:$AU$483&gt;=$B$21)*(SHIPMENTS!$AU$7:$AU$483&lt;$D$21)),ROW()-22)),"")</f>
        <v>41700-CANADA BSAUNAS BACKLOG</v>
      </c>
      <c r="C24" s="281" cm="1">
        <f t="array" ref="C24">IFERROR(INDEX(SHIPMENTS!$AU$7:$AU$483,_xlfn.AGGREGATE(15,6,(ROW(SHIPMENTS!$AU$7:$AU$483)-ROW(SHIPMENTS!$AU$7)+1)/((SHIPMENTS!$AU$7:$AU$483&gt;=$B$21)*(SHIPMENTS!$AU$7:$AU$483&lt;$D$21)),ROW()-22)),"")</f>
        <v>0.95</v>
      </c>
      <c r="D24" s="279" cm="1">
        <f t="array" ref="D24">IFERROR(INDEX(SHIPMENTS!$G$7:$G$483,_xlfn.AGGREGATE(15,6,(ROW(SHIPMENTS!$AU$7:$AU$483)-ROW(SHIPMENTS!$AU$7)+1)/((SHIPMENTS!$AU$7:$AU$483&gt;=$B$21)*(SHIPMENTS!$AU$7:$AU$483&lt;$D$21)),ROW()-22)),"")</f>
        <v>0</v>
      </c>
    </row>
    <row r="25" spans="1:4" x14ac:dyDescent="0.2">
      <c r="A25" s="283" t="str" cm="1">
        <f t="array" ref="A25">IFERROR(INDEX(SHIPMENTS!$A$7:$A$483,_xlfn.AGGREGATE(15,6,(ROW(SHIPMENTS!$AU$7:$AU$483)-ROW(SHIPMENTS!$AU$7)+1)/((SHIPMENTS!$AU$7:$AU$483&gt;=$B$21)*(SHIPMENTS!$AU$7:$AU$483&lt;$D$21)),ROW()-22)),"")</f>
        <v/>
      </c>
      <c r="B25" s="263" t="str" cm="1">
        <f t="array" ref="B25">IFERROR(INDEX(SHIPMENTS!$B$7:$B$483,_xlfn.AGGREGATE(15,6,(ROW(SHIPMENTS!$AU$7:$AU$483)-ROW(SHIPMENTS!$AU$7)+1)/((SHIPMENTS!$AU$7:$AU$483&gt;=$B$21)*(SHIPMENTS!$AU$7:$AU$483&lt;$D$21)),ROW()-22)),"")</f>
        <v/>
      </c>
      <c r="C25" s="281" t="str" cm="1">
        <f t="array" ref="C25">IFERROR(INDEX(SHIPMENTS!$AU$7:$AU$483,_xlfn.AGGREGATE(15,6,(ROW(SHIPMENTS!$AU$7:$AU$483)-ROW(SHIPMENTS!$AU$7)+1)/((SHIPMENTS!$AU$7:$AU$483&gt;=$B$21)*(SHIPMENTS!$AU$7:$AU$483&lt;$D$21)),ROW()-22)),"")</f>
        <v/>
      </c>
      <c r="D25" s="279" t="str" cm="1">
        <f t="array" ref="D25">IFERROR(INDEX(SHIPMENTS!$G$7:$G$483,_xlfn.AGGREGATE(15,6,(ROW(SHIPMENTS!$AU$7:$AU$483)-ROW(SHIPMENTS!$AU$7)+1)/((SHIPMENTS!$AU$7:$AU$483&gt;=$B$21)*(SHIPMENTS!$AU$7:$AU$483&lt;$D$21)),ROW()-22)),"")</f>
        <v/>
      </c>
    </row>
    <row r="26" spans="1:4" x14ac:dyDescent="0.2">
      <c r="A26" s="283" t="str" cm="1">
        <f t="array" ref="A26">IFERROR(INDEX(SHIPMENTS!$A$7:$A$483,_xlfn.AGGREGATE(15,6,(ROW(SHIPMENTS!$AU$7:$AU$483)-ROW(SHIPMENTS!$AU$7)+1)/((SHIPMENTS!$AU$7:$AU$483&gt;=$B$21)*(SHIPMENTS!$AU$7:$AU$483&lt;$D$21)),ROW()-22)),"")</f>
        <v/>
      </c>
      <c r="B26" s="263" t="str" cm="1">
        <f t="array" ref="B26">IFERROR(INDEX(SHIPMENTS!$B$7:$B$483,_xlfn.AGGREGATE(15,6,(ROW(SHIPMENTS!$AU$7:$AU$483)-ROW(SHIPMENTS!$AU$7)+1)/((SHIPMENTS!$AU$7:$AU$483&gt;=$B$21)*(SHIPMENTS!$AU$7:$AU$483&lt;$D$21)),ROW()-22)),"")</f>
        <v/>
      </c>
      <c r="C26" s="281" t="str" cm="1">
        <f t="array" ref="C26">IFERROR(INDEX(SHIPMENTS!$AU$7:$AU$483,_xlfn.AGGREGATE(15,6,(ROW(SHIPMENTS!$AU$7:$AU$483)-ROW(SHIPMENTS!$AU$7)+1)/((SHIPMENTS!$AU$7:$AU$483&gt;=$B$21)*(SHIPMENTS!$AU$7:$AU$483&lt;$D$21)),ROW()-22)),"")</f>
        <v/>
      </c>
      <c r="D26" s="279" t="str" cm="1">
        <f t="array" ref="D26">IFERROR(INDEX(SHIPMENTS!$G$7:$G$483,_xlfn.AGGREGATE(15,6,(ROW(SHIPMENTS!$AU$7:$AU$483)-ROW(SHIPMENTS!$AU$7)+1)/((SHIPMENTS!$AU$7:$AU$483&gt;=$B$21)*(SHIPMENTS!$AU$7:$AU$483&lt;$D$21)),ROW()-22)),"")</f>
        <v/>
      </c>
    </row>
    <row r="27" spans="1:4" x14ac:dyDescent="0.2">
      <c r="A27" s="283" t="str" cm="1">
        <f t="array" ref="A27">IFERROR(INDEX(SHIPMENTS!$A$7:$A$483,_xlfn.AGGREGATE(15,6,(ROW(SHIPMENTS!$AU$7:$AU$483)-ROW(SHIPMENTS!$AU$7)+1)/((SHIPMENTS!$AU$7:$AU$483&gt;=$B$21)*(SHIPMENTS!$AU$7:$AU$483&lt;$D$21)),ROW()-22)),"")</f>
        <v/>
      </c>
      <c r="B27" s="263" t="str" cm="1">
        <f t="array" ref="B27">IFERROR(INDEX(SHIPMENTS!$B$7:$B$483,_xlfn.AGGREGATE(15,6,(ROW(SHIPMENTS!$AU$7:$AU$483)-ROW(SHIPMENTS!$AU$7)+1)/((SHIPMENTS!$AU$7:$AU$483&gt;=$B$21)*(SHIPMENTS!$AU$7:$AU$483&lt;$D$21)),ROW()-22)),"")</f>
        <v/>
      </c>
      <c r="C27" s="281" t="str" cm="1">
        <f t="array" ref="C27">IFERROR(INDEX(SHIPMENTS!$AU$7:$AU$483,_xlfn.AGGREGATE(15,6,(ROW(SHIPMENTS!$AU$7:$AU$483)-ROW(SHIPMENTS!$AU$7)+1)/((SHIPMENTS!$AU$7:$AU$483&gt;=$B$21)*(SHIPMENTS!$AU$7:$AU$483&lt;$D$21)),ROW()-22)),"")</f>
        <v/>
      </c>
      <c r="D27" s="279" t="str" cm="1">
        <f t="array" ref="D27">IFERROR(INDEX(SHIPMENTS!$G$7:$G$483,_xlfn.AGGREGATE(15,6,(ROW(SHIPMENTS!$AU$7:$AU$483)-ROW(SHIPMENTS!$AU$7)+1)/((SHIPMENTS!$AU$7:$AU$483&gt;=$B$21)*(SHIPMENTS!$AU$7:$AU$483&lt;$D$21)),ROW()-22)),"")</f>
        <v/>
      </c>
    </row>
    <row r="28" spans="1:4" x14ac:dyDescent="0.2">
      <c r="A28" s="283" t="str" cm="1">
        <f t="array" ref="A28">IFERROR(INDEX(SHIPMENTS!$A$7:$A$483,_xlfn.AGGREGATE(15,6,(ROW(SHIPMENTS!$AU$7:$AU$483)-ROW(SHIPMENTS!$AU$7)+1)/((SHIPMENTS!$AU$7:$AU$483&gt;=$B$21)*(SHIPMENTS!$AU$7:$AU$483&lt;$D$21)),ROW()-22)),"")</f>
        <v/>
      </c>
      <c r="B28" s="263" t="str" cm="1">
        <f t="array" ref="B28">IFERROR(INDEX(SHIPMENTS!$B$7:$B$483,_xlfn.AGGREGATE(15,6,(ROW(SHIPMENTS!$AU$7:$AU$483)-ROW(SHIPMENTS!$AU$7)+1)/((SHIPMENTS!$AU$7:$AU$483&gt;=$B$21)*(SHIPMENTS!$AU$7:$AU$483&lt;$D$21)),ROW()-22)),"")</f>
        <v/>
      </c>
      <c r="C28" s="281" t="str" cm="1">
        <f t="array" ref="C28">IFERROR(INDEX(SHIPMENTS!$AU$7:$AU$483,_xlfn.AGGREGATE(15,6,(ROW(SHIPMENTS!$AU$7:$AU$483)-ROW(SHIPMENTS!$AU$7)+1)/((SHIPMENTS!$AU$7:$AU$483&gt;=$B$21)*(SHIPMENTS!$AU$7:$AU$483&lt;$D$21)),ROW()-22)),"")</f>
        <v/>
      </c>
      <c r="D28" s="279" t="str" cm="1">
        <f t="array" ref="D28">IFERROR(INDEX(SHIPMENTS!$G$7:$G$483,_xlfn.AGGREGATE(15,6,(ROW(SHIPMENTS!$AU$7:$AU$483)-ROW(SHIPMENTS!$AU$7)+1)/((SHIPMENTS!$AU$7:$AU$483&gt;=$B$21)*(SHIPMENTS!$AU$7:$AU$483&lt;$D$21)),ROW()-22)),"")</f>
        <v/>
      </c>
    </row>
    <row r="29" spans="1:4" x14ac:dyDescent="0.2">
      <c r="A29" s="283" t="str" cm="1">
        <f t="array" ref="A29">IFERROR(INDEX(SHIPMENTS!$A$7:$A$483,_xlfn.AGGREGATE(15,6,(ROW(SHIPMENTS!$AU$7:$AU$483)-ROW(SHIPMENTS!$AU$7)+1)/((SHIPMENTS!$AU$7:$AU$483&gt;=$B$21)*(SHIPMENTS!$AU$7:$AU$483&lt;$D$21)),ROW()-22)),"")</f>
        <v/>
      </c>
      <c r="B29" s="263" t="str" cm="1">
        <f t="array" ref="B29">IFERROR(INDEX(SHIPMENTS!$B$7:$B$483,_xlfn.AGGREGATE(15,6,(ROW(SHIPMENTS!$AU$7:$AU$483)-ROW(SHIPMENTS!$AU$7)+1)/((SHIPMENTS!$AU$7:$AU$483&gt;=$B$21)*(SHIPMENTS!$AU$7:$AU$483&lt;$D$21)),ROW()-22)),"")</f>
        <v/>
      </c>
      <c r="C29" s="281" t="str" cm="1">
        <f t="array" ref="C29">IFERROR(INDEX(SHIPMENTS!$AU$7:$AU$483,_xlfn.AGGREGATE(15,6,(ROW(SHIPMENTS!$AU$7:$AU$483)-ROW(SHIPMENTS!$AU$7)+1)/((SHIPMENTS!$AU$7:$AU$483&gt;=$B$21)*(SHIPMENTS!$AU$7:$AU$483&lt;$D$21)),ROW()-22)),"")</f>
        <v/>
      </c>
      <c r="D29" s="279" t="str" cm="1">
        <f t="array" ref="D29">IFERROR(INDEX(SHIPMENTS!$G$7:$G$483,_xlfn.AGGREGATE(15,6,(ROW(SHIPMENTS!$AU$7:$AU$483)-ROW(SHIPMENTS!$AU$7)+1)/((SHIPMENTS!$AU$7:$AU$483&gt;=$B$21)*(SHIPMENTS!$AU$7:$AU$483&lt;$D$21)),ROW()-22)),"")</f>
        <v/>
      </c>
    </row>
    <row r="30" spans="1:4" x14ac:dyDescent="0.2">
      <c r="A30" s="283" t="str" cm="1">
        <f t="array" ref="A30">IFERROR(INDEX(SHIPMENTS!$A$7:$A$483,_xlfn.AGGREGATE(15,6,(ROW(SHIPMENTS!$AU$7:$AU$483)-ROW(SHIPMENTS!$AU$7)+1)/((SHIPMENTS!$AU$7:$AU$483&gt;=$B$21)*(SHIPMENTS!$AU$7:$AU$483&lt;$D$21)),ROW()-22)),"")</f>
        <v/>
      </c>
      <c r="B30" s="263" t="str" cm="1">
        <f t="array" ref="B30">IFERROR(INDEX(SHIPMENTS!$B$7:$B$483,_xlfn.AGGREGATE(15,6,(ROW(SHIPMENTS!$AU$7:$AU$483)-ROW(SHIPMENTS!$AU$7)+1)/((SHIPMENTS!$AU$7:$AU$483&gt;=$B$21)*(SHIPMENTS!$AU$7:$AU$483&lt;$D$21)),ROW()-22)),"")</f>
        <v/>
      </c>
      <c r="C30" s="281" t="str" cm="1">
        <f t="array" ref="C30">IFERROR(INDEX(SHIPMENTS!$AU$7:$AU$483,_xlfn.AGGREGATE(15,6,(ROW(SHIPMENTS!$AU$7:$AU$483)-ROW(SHIPMENTS!$AU$7)+1)/((SHIPMENTS!$AU$7:$AU$483&gt;=$B$21)*(SHIPMENTS!$AU$7:$AU$483&lt;$D$21)),ROW()-22)),"")</f>
        <v/>
      </c>
      <c r="D30" s="279" t="str" cm="1">
        <f t="array" ref="D30">IFERROR(INDEX(SHIPMENTS!$G$7:$G$483,_xlfn.AGGREGATE(15,6,(ROW(SHIPMENTS!$AU$7:$AU$483)-ROW(SHIPMENTS!$AU$7)+1)/((SHIPMENTS!$AU$7:$AU$483&gt;=$B$21)*(SHIPMENTS!$AU$7:$AU$483&lt;$D$21)),ROW()-22)),"")</f>
        <v/>
      </c>
    </row>
    <row r="31" spans="1:4" x14ac:dyDescent="0.2">
      <c r="A31" s="283" t="str" cm="1">
        <f t="array" ref="A31">IFERROR(INDEX(SHIPMENTS!$A$7:$A$483,_xlfn.AGGREGATE(15,6,(ROW(SHIPMENTS!$AU$7:$AU$483)-ROW(SHIPMENTS!#REF!)+1)/((SHIPMENTS!$AU$7:$AU$483&gt;=$B$21)*(SHIPMENTS!$AU$7:$AU$483&lt;$D$21)),ROW()-22)),"")</f>
        <v/>
      </c>
      <c r="B31" s="263" t="str" cm="1">
        <f t="array" ref="B31">IFERROR(INDEX(SHIPMENTS!$B$7:$B$483,_xlfn.AGGREGATE(15,6,(ROW(SHIPMENTS!$AU$7:$AU$483)-ROW(SHIPMENTS!#REF!)+1)/((SHIPMENTS!$AU$7:$AU$483&gt;=$B$21)*(SHIPMENTS!$AU$7:$AU$483&lt;$D$21)),ROW()-22)),"")</f>
        <v/>
      </c>
      <c r="C31" s="281" t="str" cm="1">
        <f t="array" ref="C31">IFERROR(INDEX(SHIPMENTS!$AU$7:$AU$483,_xlfn.AGGREGATE(15,6,(ROW(SHIPMENTS!$AU$7:$AU$483)-ROW(SHIPMENTS!#REF!)+1)/((SHIPMENTS!$AU$7:$AU$483&gt;=$B$21)*(SHIPMENTS!$AU$7:$AU$483&lt;$D$21)),ROW()-22)),"")</f>
        <v/>
      </c>
      <c r="D31" s="279" t="str" cm="1">
        <f t="array" ref="D31">IFERROR(INDEX(SHIPMENTS!$G$7:$G$483,_xlfn.AGGREGATE(15,6,(ROW(SHIPMENTS!$AU$7:$AU$483)-ROW(SHIPMENTS!#REF!)+1)/((SHIPMENTS!$AU$7:$AU$483&gt;=$B$21)*(SHIPMENTS!$AU$7:$AU$483&lt;$D$21)),ROW()-22)),"")</f>
        <v/>
      </c>
    </row>
    <row r="32" spans="1:4" x14ac:dyDescent="0.2">
      <c r="A32" s="283" t="str" cm="1">
        <f t="array" ref="A32">IFERROR(INDEX(SHIPMENTS!$A$7:$A$483,_xlfn.AGGREGATE(15,6,(ROW(SHIPMENTS!$AU$7:$AU$483)-ROW(SHIPMENTS!#REF!)+1)/((SHIPMENTS!$AU$7:$AU$483&gt;=$B$21)*(SHIPMENTS!$AU$7:$AU$483&lt;$D$21)),ROW()-22)),"")</f>
        <v/>
      </c>
      <c r="B32" s="263" t="str" cm="1">
        <f t="array" ref="B32">IFERROR(INDEX(SHIPMENTS!$B$7:$B$483,_xlfn.AGGREGATE(15,6,(ROW(SHIPMENTS!$AU$7:$AU$483)-ROW(SHIPMENTS!#REF!)+1)/((SHIPMENTS!$AU$7:$AU$483&gt;=$B$21)*(SHIPMENTS!$AU$7:$AU$483&lt;$D$21)),ROW()-22)),"")</f>
        <v/>
      </c>
      <c r="C32" s="281" t="str" cm="1">
        <f t="array" ref="C32">IFERROR(INDEX(SHIPMENTS!$AU$7:$AU$483,_xlfn.AGGREGATE(15,6,(ROW(SHIPMENTS!$AU$7:$AU$483)-ROW(SHIPMENTS!#REF!)+1)/((SHIPMENTS!$AU$7:$AU$483&gt;=$B$21)*(SHIPMENTS!$AU$7:$AU$483&lt;$D$21)),ROW()-22)),"")</f>
        <v/>
      </c>
      <c r="D32" s="279" t="str" cm="1">
        <f t="array" ref="D32">IFERROR(INDEX(SHIPMENTS!$G$7:$G$483,_xlfn.AGGREGATE(15,6,(ROW(SHIPMENTS!$AU$7:$AU$483)-ROW(SHIPMENTS!#REF!)+1)/((SHIPMENTS!$AU$7:$AU$483&gt;=$B$21)*(SHIPMENTS!$AU$7:$AU$483&lt;$D$21)),ROW()-22)),"")</f>
        <v/>
      </c>
    </row>
    <row r="33" spans="1:4" x14ac:dyDescent="0.2">
      <c r="A33" s="283" t="str" cm="1">
        <f t="array" ref="A33">IFERROR(INDEX(SHIPMENTS!$A$7:$A$483,_xlfn.AGGREGATE(15,6,(ROW(SHIPMENTS!$AU$7:$AU$483)-ROW(SHIPMENTS!#REF!)+1)/((SHIPMENTS!$AU$7:$AU$483&gt;=$B$21)*(SHIPMENTS!$AU$7:$AU$483&lt;$D$21)),ROW()-22)),"")</f>
        <v/>
      </c>
      <c r="B33" s="263" t="str" cm="1">
        <f t="array" ref="B33">IFERROR(INDEX(SHIPMENTS!$B$7:$B$483,_xlfn.AGGREGATE(15,6,(ROW(SHIPMENTS!$AU$7:$AU$483)-ROW(SHIPMENTS!#REF!)+1)/((SHIPMENTS!$AU$7:$AU$483&gt;=$B$21)*(SHIPMENTS!$AU$7:$AU$483&lt;$D$21)),ROW()-22)),"")</f>
        <v/>
      </c>
      <c r="C33" s="281" t="str" cm="1">
        <f t="array" ref="C33">IFERROR(INDEX(SHIPMENTS!$AU$7:$AU$483,_xlfn.AGGREGATE(15,6,(ROW(SHIPMENTS!$AU$7:$AU$483)-ROW(SHIPMENTS!#REF!)+1)/((SHIPMENTS!$AU$7:$AU$483&gt;=$B$21)*(SHIPMENTS!$AU$7:$AU$483&lt;$D$21)),ROW()-22)),"")</f>
        <v/>
      </c>
      <c r="D33" s="279" t="str" cm="1">
        <f t="array" ref="D33">IFERROR(INDEX(SHIPMENTS!$G$7:$G$483,_xlfn.AGGREGATE(15,6,(ROW(SHIPMENTS!$AU$7:$AU$483)-ROW(SHIPMENTS!#REF!)+1)/((SHIPMENTS!$AU$7:$AU$483&gt;=$B$21)*(SHIPMENTS!$AU$7:$AU$483&lt;$D$21)),ROW()-22)),"")</f>
        <v/>
      </c>
    </row>
    <row r="34" spans="1:4" x14ac:dyDescent="0.2">
      <c r="B34" s="257"/>
    </row>
    <row r="36" spans="1:4" ht="15" x14ac:dyDescent="0.25">
      <c r="A36" s="254" t="s">
        <v>488</v>
      </c>
      <c r="B36" s="255"/>
      <c r="C36" s="255"/>
    </row>
    <row r="37" spans="1:4" x14ac:dyDescent="0.2">
      <c r="A37" s="260" t="s">
        <v>489</v>
      </c>
      <c r="B37" s="261" t="s">
        <v>490</v>
      </c>
      <c r="C37" s="261" t="s">
        <v>91</v>
      </c>
    </row>
    <row r="38" spans="1:4" x14ac:dyDescent="0.2">
      <c r="A38" s="262" t="s">
        <v>333</v>
      </c>
      <c r="B38" s="263">
        <f>COUNTIF(SHIPMENTS!I7:I483,"1X20")</f>
        <v>5</v>
      </c>
      <c r="C38" s="264">
        <f>SUMIF(SHIPMENTS!I7:I483,"1X20",SHIPMENTS!F7:F483)</f>
        <v>86.536094285714285</v>
      </c>
    </row>
    <row r="39" spans="1:4" x14ac:dyDescent="0.2">
      <c r="A39" s="262" t="s">
        <v>81</v>
      </c>
      <c r="B39" s="263">
        <f>COUNTIF(SHIPMENTS!I7:I483,"1X40HC")</f>
        <v>5</v>
      </c>
      <c r="C39" s="264">
        <f>SUMIF(SHIPMENTS!I7:I483,"1X40HC",SHIPMENTS!F7:F483)</f>
        <v>389.16751999999997</v>
      </c>
    </row>
    <row r="40" spans="1:4" x14ac:dyDescent="0.2">
      <c r="A40" s="262" t="s">
        <v>61</v>
      </c>
      <c r="B40" s="263">
        <f>COUNTIF(SHIPMENTS!I7:I483,"LCL")</f>
        <v>6</v>
      </c>
      <c r="C40" s="264">
        <f>SUMIF(SHIPMENTS!I7:I483,"LCL",SHIPMENTS!F7:F483)</f>
        <v>5.1885999999999992</v>
      </c>
    </row>
    <row r="41" spans="1:4" x14ac:dyDescent="0.2">
      <c r="A41" s="262" t="s">
        <v>64</v>
      </c>
      <c r="B41" s="263">
        <f>COUNTIF(SHIPMENTS!I7:I483,"AIR")</f>
        <v>2</v>
      </c>
      <c r="C41" s="264">
        <f>SUMIF(SHIPMENTS!I7:I483,"AIR",SHIPMENTS!F7:F483)</f>
        <v>0.13403000000000001</v>
      </c>
    </row>
    <row r="42" spans="1:4" x14ac:dyDescent="0.2">
      <c r="A42" s="262" t="s">
        <v>491</v>
      </c>
      <c r="B42" s="266">
        <f>B6-SUM(B38:B41)</f>
        <v>35</v>
      </c>
      <c r="C42" s="267">
        <f>B7-SUM(C38:C41)</f>
        <v>75.199749999999881</v>
      </c>
    </row>
    <row r="44" spans="1:4" ht="15" x14ac:dyDescent="0.25">
      <c r="A44" s="254" t="s">
        <v>492</v>
      </c>
      <c r="B44" s="255"/>
      <c r="C44" s="255"/>
      <c r="D44" s="255"/>
    </row>
    <row r="45" spans="1:4" x14ac:dyDescent="0.2">
      <c r="A45" s="260" t="s">
        <v>493</v>
      </c>
      <c r="B45" s="261" t="s">
        <v>494</v>
      </c>
      <c r="C45" s="261" t="s">
        <v>495</v>
      </c>
      <c r="D45" s="261" t="s">
        <v>496</v>
      </c>
    </row>
    <row r="46" spans="1:4" x14ac:dyDescent="0.2">
      <c r="A46" s="268" t="str">
        <f>'Prod Load'!B4</f>
        <v>Stone Processing</v>
      </c>
      <c r="B46" s="264">
        <f>'Prod Load'!B15</f>
        <v>4.5</v>
      </c>
      <c r="C46" s="264">
        <f>'Prod Load'!B16</f>
        <v>4</v>
      </c>
      <c r="D46" s="264">
        <f>'Prod Load'!B18</f>
        <v>4</v>
      </c>
    </row>
    <row r="47" spans="1:4" x14ac:dyDescent="0.2">
      <c r="A47" s="268" t="str">
        <f>'Prod Load'!C4</f>
        <v>Tool &amp; Die</v>
      </c>
      <c r="B47" s="264">
        <f>'Prod Load'!C15</f>
        <v>3.5</v>
      </c>
      <c r="C47" s="264">
        <f>'Prod Load'!C16</f>
        <v>11</v>
      </c>
      <c r="D47" s="264">
        <f>'Prod Load'!C18</f>
        <v>10.99917728937729</v>
      </c>
    </row>
    <row r="48" spans="1:4" x14ac:dyDescent="0.2">
      <c r="A48" s="268" t="str">
        <f>'Prod Load'!D4</f>
        <v>Plastic Injection</v>
      </c>
      <c r="B48" s="264">
        <f>'Prod Load'!D15</f>
        <v>2</v>
      </c>
      <c r="C48" s="264">
        <f>'Prod Load'!D16</f>
        <v>0</v>
      </c>
      <c r="D48" s="264">
        <f>'Prod Load'!D18</f>
        <v>0</v>
      </c>
    </row>
    <row r="49" spans="1:4" x14ac:dyDescent="0.2">
      <c r="A49" s="268" t="str">
        <f>'Prod Load'!F4</f>
        <v>Laser Cutting</v>
      </c>
      <c r="B49" s="264">
        <f>'Prod Load'!F15</f>
        <v>14</v>
      </c>
      <c r="C49" s="264">
        <f>'Prod Load'!F16</f>
        <v>2</v>
      </c>
      <c r="D49" s="264">
        <f>'Prod Load'!F18</f>
        <v>0</v>
      </c>
    </row>
    <row r="50" spans="1:4" x14ac:dyDescent="0.2">
      <c r="A50" s="268" t="str">
        <f>'Prod Load'!G4</f>
        <v>Metal Stamping</v>
      </c>
      <c r="B50" s="264">
        <f>'Prod Load'!G15</f>
        <v>29</v>
      </c>
      <c r="C50" s="264">
        <f>'Prod Load'!G16</f>
        <v>10</v>
      </c>
      <c r="D50" s="264">
        <f>'Prod Load'!G18</f>
        <v>9.8321965811965804</v>
      </c>
    </row>
    <row r="51" spans="1:4" x14ac:dyDescent="0.2">
      <c r="A51" s="268" t="str">
        <f>'Prod Load'!H4</f>
        <v>Pre-assembly</v>
      </c>
      <c r="B51" s="264">
        <f>'Prod Load'!H15</f>
        <v>15</v>
      </c>
      <c r="C51" s="264">
        <f>'Prod Load'!H16</f>
        <v>5.5</v>
      </c>
      <c r="D51" s="264">
        <f>'Prod Load'!H18</f>
        <v>5.4394178571428569</v>
      </c>
    </row>
    <row r="52" spans="1:4" x14ac:dyDescent="0.2">
      <c r="A52" s="268" t="str">
        <f>'Prod Load'!I4</f>
        <v>Control Unit Assembly</v>
      </c>
      <c r="B52" s="264">
        <f>'Prod Load'!I15</f>
        <v>4</v>
      </c>
      <c r="C52" s="264">
        <f>'Prod Load'!I16</f>
        <v>10.63</v>
      </c>
      <c r="D52" s="264">
        <f>'Prod Load'!I18</f>
        <v>4.6520634157509164</v>
      </c>
    </row>
    <row r="53" spans="1:4" x14ac:dyDescent="0.2">
      <c r="A53" s="268" t="str">
        <f>'Prod Load'!J4</f>
        <v>Electrical Assembly</v>
      </c>
      <c r="B53" s="264">
        <f>'Prod Load'!J15</f>
        <v>6</v>
      </c>
      <c r="C53" s="264">
        <f>'Prod Load'!J16</f>
        <v>14.6</v>
      </c>
      <c r="D53" s="264">
        <f>'Prod Load'!J18</f>
        <v>14.590939682539682</v>
      </c>
    </row>
    <row r="54" spans="1:4" x14ac:dyDescent="0.2">
      <c r="A54" s="268" t="str">
        <f>'Prod Load'!K4</f>
        <v>Heaters Assembly</v>
      </c>
      <c r="B54" s="264">
        <f>'Prod Load'!K15</f>
        <v>11</v>
      </c>
      <c r="C54" s="264">
        <f>'Prod Load'!K16</f>
        <v>0.1</v>
      </c>
      <c r="D54" s="264">
        <f>'Prod Load'!K18</f>
        <v>3.8561701261701137E-2</v>
      </c>
    </row>
    <row r="55" spans="1:4" x14ac:dyDescent="0.2">
      <c r="A55" s="268" t="str">
        <f>'Prod Load'!L4</f>
        <v>WWP1- Assembly and Packing</v>
      </c>
      <c r="B55" s="264">
        <f>'Prod Load'!L15</f>
        <v>13</v>
      </c>
      <c r="C55" s="264">
        <f>'Prod Load'!L16</f>
        <v>47.03192080989011</v>
      </c>
      <c r="D55" s="264">
        <f>'Prod Load'!L18</f>
        <v>47.03192080989011</v>
      </c>
    </row>
    <row r="56" spans="1:4" x14ac:dyDescent="0.2">
      <c r="A56" s="268" t="str">
        <f>'Prod Load'!M4</f>
        <v>WWP1-Parts Prep to Sanding</v>
      </c>
      <c r="B56" s="264">
        <f>'Prod Load'!M15</f>
        <v>61</v>
      </c>
      <c r="C56" s="264">
        <f>'Prod Load'!M16</f>
        <v>24.507038873626374</v>
      </c>
      <c r="D56" s="264">
        <f>'Prod Load'!M18</f>
        <v>24.507038873626374</v>
      </c>
    </row>
    <row r="57" spans="1:4" x14ac:dyDescent="0.2">
      <c r="A57" s="268" t="str">
        <f>'Prod Load'!N4</f>
        <v>Wood Working P1 Doors</v>
      </c>
      <c r="B57" s="264">
        <f>'Prod Load'!N15</f>
        <v>10</v>
      </c>
      <c r="C57" s="264">
        <f>'Prod Load'!N16</f>
        <v>14.781505901505902</v>
      </c>
      <c r="D57" s="264">
        <f>'Prod Load'!N18</f>
        <v>14.781505901505902</v>
      </c>
    </row>
    <row r="58" spans="1:4" x14ac:dyDescent="0.2">
      <c r="A58" s="269" t="str">
        <f>'Prod Load'!O4</f>
        <v>Wood Working P2 Machining</v>
      </c>
      <c r="B58" s="270">
        <f>'Prod Load'!O15</f>
        <v>30</v>
      </c>
      <c r="C58" s="270">
        <f>'Prod Load'!O16</f>
        <v>36.41230163426318</v>
      </c>
      <c r="D58" s="270">
        <f>'Prod Load'!O18</f>
        <v>36.41230163426318</v>
      </c>
    </row>
    <row r="59" spans="1:4" x14ac:dyDescent="0.2">
      <c r="A59" s="268" t="str">
        <f>'Prod Load'!P4</f>
        <v>Wood Working P2 
Sauna Fabrication</v>
      </c>
      <c r="B59" s="264">
        <f>'Prod Load'!P15</f>
        <v>15</v>
      </c>
      <c r="C59" s="264">
        <f>'Prod Load'!P16</f>
        <v>16.998593256410253</v>
      </c>
      <c r="D59" s="264">
        <f>'Prod Load'!P18</f>
        <v>16.998593256410253</v>
      </c>
    </row>
    <row r="61" spans="1:4" x14ac:dyDescent="0.2">
      <c r="A61" s="256" t="s">
        <v>497</v>
      </c>
      <c r="B61" s="258" t="str">
        <f>INDEX(A46:A59,MATCH(MAX(C46:C59),C46:C59,0))</f>
        <v>WWP1- Assembly and Packing</v>
      </c>
    </row>
    <row r="62" spans="1:4" x14ac:dyDescent="0.2">
      <c r="A62" t="s">
        <v>498</v>
      </c>
      <c r="B62" s="259">
        <f>MAX(C46:C59)</f>
        <v>47.03192080989011</v>
      </c>
    </row>
    <row r="63" spans="1:4" x14ac:dyDescent="0.2">
      <c r="A63" t="s">
        <v>499</v>
      </c>
      <c r="B63" s="257">
        <f>'Prod Load'!Q14</f>
        <v>308</v>
      </c>
    </row>
    <row r="65" spans="1:2" ht="15" x14ac:dyDescent="0.25">
      <c r="A65" s="254" t="s">
        <v>500</v>
      </c>
      <c r="B65" s="255"/>
    </row>
    <row r="66" spans="1:2" x14ac:dyDescent="0.2">
      <c r="A66" s="260" t="s">
        <v>501</v>
      </c>
      <c r="B66" s="261" t="s">
        <v>342</v>
      </c>
    </row>
    <row r="67" spans="1:2" x14ac:dyDescent="0.2">
      <c r="A67" s="268" t="str">
        <f>'Prod Load'!A27</f>
        <v>Controls</v>
      </c>
      <c r="B67" s="263">
        <f>'Prod Load'!B27</f>
        <v>754</v>
      </c>
    </row>
    <row r="68" spans="1:2" x14ac:dyDescent="0.2">
      <c r="A68" s="268" t="str">
        <f>'Prod Load'!A28</f>
        <v>Heaters</v>
      </c>
      <c r="B68" s="263">
        <f>'Prod Load'!B28</f>
        <v>397</v>
      </c>
    </row>
    <row r="69" spans="1:2" x14ac:dyDescent="0.2">
      <c r="A69" s="268" t="str">
        <f>'Prod Load'!A29</f>
        <v>Wooden Accessories</v>
      </c>
      <c r="B69" s="263">
        <f>'Prod Load'!B29</f>
        <v>28019</v>
      </c>
    </row>
    <row r="70" spans="1:2" x14ac:dyDescent="0.2">
      <c r="A70" s="268" t="str">
        <f>'Prod Load'!A30</f>
        <v>Doors</v>
      </c>
      <c r="B70" s="263">
        <f>'Prod Load'!B30</f>
        <v>795</v>
      </c>
    </row>
    <row r="71" spans="1:2" x14ac:dyDescent="0.2">
      <c r="A71" s="268" t="str">
        <f>'Prod Load'!A31</f>
        <v>Sauna Rooms</v>
      </c>
      <c r="B71" s="263">
        <f>'Prod Load'!B31</f>
        <v>43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292E97-FB95-4936-9136-B6521E3BDA09}">
  <sheetPr>
    <tabColor rgb="FF00B0F0"/>
  </sheetPr>
  <dimension ref="A1:F45"/>
  <sheetViews>
    <sheetView showGridLines="0" zoomScaleNormal="100" workbookViewId="0">
      <selection activeCell="D57" sqref="D57"/>
    </sheetView>
  </sheetViews>
  <sheetFormatPr defaultColWidth="9.28515625" defaultRowHeight="15" outlineLevelRow="1" x14ac:dyDescent="0.25"/>
  <cols>
    <col min="1" max="1" width="7.7109375" style="345" bestFit="1" customWidth="1"/>
    <col min="2" max="3" width="12.7109375" style="352" customWidth="1"/>
    <col min="4" max="4" width="12.7109375" style="349" bestFit="1" customWidth="1"/>
    <col min="5" max="5" width="19.28515625" style="349" bestFit="1" customWidth="1"/>
    <col min="6" max="6" width="186.7109375" style="345" hidden="1" customWidth="1"/>
    <col min="7" max="16384" width="9.28515625" style="345"/>
  </cols>
  <sheetData>
    <row r="1" spans="1:6" ht="18.75" x14ac:dyDescent="0.3">
      <c r="A1" s="343" t="s">
        <v>534</v>
      </c>
    </row>
    <row r="2" spans="1:6" x14ac:dyDescent="0.25">
      <c r="A2" s="346" t="s">
        <v>535</v>
      </c>
    </row>
    <row r="3" spans="1:6" x14ac:dyDescent="0.25">
      <c r="D3" s="351">
        <f>AVERAGE(D5:D43)</f>
        <v>78.916019408371071</v>
      </c>
      <c r="E3" s="351">
        <f>AVERAGE(E5:E43)</f>
        <v>41.159105038767265</v>
      </c>
    </row>
    <row r="4" spans="1:6" x14ac:dyDescent="0.25">
      <c r="A4" s="347" t="s">
        <v>536</v>
      </c>
      <c r="B4" s="353" t="s">
        <v>537</v>
      </c>
      <c r="C4" s="353" t="s">
        <v>538</v>
      </c>
      <c r="D4" s="350" t="s">
        <v>539</v>
      </c>
      <c r="E4" s="350" t="s">
        <v>540</v>
      </c>
      <c r="F4" s="348" t="s">
        <v>386</v>
      </c>
    </row>
    <row r="5" spans="1:6" hidden="1" outlineLevel="1" x14ac:dyDescent="0.25">
      <c r="A5" s="344">
        <f>_xlfn.ISOWEEKNUM(B5)</f>
        <v>2</v>
      </c>
      <c r="B5" s="352">
        <f>DATE(2026,1,5)</f>
        <v>46027</v>
      </c>
      <c r="C5" s="352">
        <f>B5+6</f>
        <v>46033</v>
      </c>
      <c r="D5" s="351">
        <v>26.27616999999999</v>
      </c>
      <c r="E5" s="351">
        <v>31.623188405797102</v>
      </c>
      <c r="F5" s="345" t="s">
        <v>541</v>
      </c>
    </row>
    <row r="6" spans="1:6" hidden="1" outlineLevel="1" x14ac:dyDescent="0.25">
      <c r="A6" s="344">
        <f>_xlfn.ISOWEEKNUM(B6)</f>
        <v>3</v>
      </c>
      <c r="B6" s="352">
        <f>$B$5+7*(ROW()-5)</f>
        <v>46034</v>
      </c>
      <c r="C6" s="352">
        <f>B6+6</f>
        <v>46040</v>
      </c>
      <c r="D6" s="351">
        <v>137.94799999999998</v>
      </c>
      <c r="E6" s="351">
        <v>44.291891891891893</v>
      </c>
      <c r="F6" s="345" t="s">
        <v>542</v>
      </c>
    </row>
    <row r="7" spans="1:6" hidden="1" outlineLevel="1" x14ac:dyDescent="0.25">
      <c r="A7" s="344">
        <f t="shared" ref="A7:A41" si="0">_xlfn.ISOWEEKNUM(B7)</f>
        <v>4</v>
      </c>
      <c r="B7" s="352">
        <f t="shared" ref="B7:B45" si="1">$B$5+7*(ROW()-5)</f>
        <v>46041</v>
      </c>
      <c r="C7" s="352">
        <f t="shared" ref="C7:C41" si="2">B7+6</f>
        <v>46047</v>
      </c>
      <c r="D7" s="351">
        <v>36.071930000000016</v>
      </c>
      <c r="E7" s="351">
        <v>44.828571428571429</v>
      </c>
      <c r="F7" s="345" t="s">
        <v>543</v>
      </c>
    </row>
    <row r="8" spans="1:6" hidden="1" outlineLevel="1" x14ac:dyDescent="0.25">
      <c r="A8" s="344">
        <f t="shared" si="0"/>
        <v>5</v>
      </c>
      <c r="B8" s="352">
        <f t="shared" si="1"/>
        <v>46048</v>
      </c>
      <c r="C8" s="352">
        <f t="shared" si="2"/>
        <v>46054</v>
      </c>
      <c r="D8" s="351">
        <v>49.303140000000013</v>
      </c>
      <c r="E8" s="351">
        <v>21.87037037037037</v>
      </c>
      <c r="F8" s="345" t="s">
        <v>544</v>
      </c>
    </row>
    <row r="9" spans="1:6" hidden="1" outlineLevel="1" x14ac:dyDescent="0.25">
      <c r="A9" s="344">
        <f t="shared" si="0"/>
        <v>6</v>
      </c>
      <c r="B9" s="352">
        <f t="shared" si="1"/>
        <v>46055</v>
      </c>
      <c r="C9" s="352">
        <f t="shared" si="2"/>
        <v>46061</v>
      </c>
      <c r="D9" s="351">
        <v>32.882630000000006</v>
      </c>
      <c r="E9" s="351">
        <v>23.90625</v>
      </c>
      <c r="F9" s="345" t="s">
        <v>545</v>
      </c>
    </row>
    <row r="10" spans="1:6" hidden="1" outlineLevel="1" x14ac:dyDescent="0.25">
      <c r="A10" s="344">
        <f t="shared" si="0"/>
        <v>7</v>
      </c>
      <c r="B10" s="352">
        <f t="shared" si="1"/>
        <v>46062</v>
      </c>
      <c r="C10" s="352">
        <f t="shared" si="2"/>
        <v>46068</v>
      </c>
      <c r="D10" s="351">
        <v>106.37939000000001</v>
      </c>
      <c r="E10" s="351">
        <v>58.649275362318839</v>
      </c>
      <c r="F10" s="345" t="s">
        <v>546</v>
      </c>
    </row>
    <row r="11" spans="1:6" hidden="1" outlineLevel="1" x14ac:dyDescent="0.25">
      <c r="A11" s="344">
        <f t="shared" si="0"/>
        <v>8</v>
      </c>
      <c r="B11" s="352">
        <f t="shared" si="1"/>
        <v>46069</v>
      </c>
      <c r="C11" s="352">
        <f t="shared" si="2"/>
        <v>46075</v>
      </c>
      <c r="D11" s="351">
        <v>16.329059999999988</v>
      </c>
      <c r="E11" s="351">
        <v>19.408163265306122</v>
      </c>
      <c r="F11" s="345" t="s">
        <v>547</v>
      </c>
    </row>
    <row r="12" spans="1:6" hidden="1" outlineLevel="1" x14ac:dyDescent="0.25">
      <c r="A12" s="344">
        <f t="shared" si="0"/>
        <v>9</v>
      </c>
      <c r="B12" s="352">
        <f t="shared" si="1"/>
        <v>46076</v>
      </c>
      <c r="C12" s="352">
        <f t="shared" si="2"/>
        <v>46082</v>
      </c>
      <c r="D12" s="351">
        <v>128.19569000000001</v>
      </c>
      <c r="E12" s="351">
        <v>39.792079207920793</v>
      </c>
      <c r="F12" s="345" t="s">
        <v>548</v>
      </c>
    </row>
    <row r="13" spans="1:6" hidden="1" outlineLevel="1" x14ac:dyDescent="0.25">
      <c r="A13" s="344">
        <f t="shared" si="0"/>
        <v>10</v>
      </c>
      <c r="B13" s="352">
        <f t="shared" si="1"/>
        <v>46083</v>
      </c>
      <c r="C13" s="352">
        <f t="shared" si="2"/>
        <v>46089</v>
      </c>
      <c r="D13" s="351">
        <v>104.32249</v>
      </c>
      <c r="E13" s="351">
        <v>50.277419354838713</v>
      </c>
      <c r="F13" s="345" t="s">
        <v>549</v>
      </c>
    </row>
    <row r="14" spans="1:6" hidden="1" outlineLevel="1" x14ac:dyDescent="0.25">
      <c r="A14" s="344">
        <f t="shared" si="0"/>
        <v>11</v>
      </c>
      <c r="B14" s="352">
        <f t="shared" si="1"/>
        <v>46090</v>
      </c>
      <c r="C14" s="352">
        <f t="shared" si="2"/>
        <v>46096</v>
      </c>
      <c r="D14" s="351">
        <v>114.6227087500001</v>
      </c>
      <c r="E14" s="351">
        <v>75.980842911877389</v>
      </c>
      <c r="F14" s="345" t="s">
        <v>550</v>
      </c>
    </row>
    <row r="15" spans="1:6" hidden="1" outlineLevel="1" x14ac:dyDescent="0.25">
      <c r="A15" s="344">
        <f t="shared" si="0"/>
        <v>12</v>
      </c>
      <c r="B15" s="352">
        <f t="shared" si="1"/>
        <v>46097</v>
      </c>
      <c r="C15" s="352">
        <f t="shared" si="2"/>
        <v>46103</v>
      </c>
      <c r="D15" s="351">
        <v>8.7006199999999971</v>
      </c>
      <c r="E15" s="351">
        <v>32.285714285714285</v>
      </c>
      <c r="F15" s="345" t="s">
        <v>551</v>
      </c>
    </row>
    <row r="16" spans="1:6" hidden="1" outlineLevel="1" x14ac:dyDescent="0.25">
      <c r="A16" s="344">
        <f t="shared" si="0"/>
        <v>13</v>
      </c>
      <c r="B16" s="352">
        <f t="shared" si="1"/>
        <v>46104</v>
      </c>
      <c r="C16" s="352">
        <f t="shared" si="2"/>
        <v>46110</v>
      </c>
      <c r="D16" s="351">
        <v>241.48991999999998</v>
      </c>
      <c r="E16" s="351">
        <v>45.90449438202247</v>
      </c>
      <c r="F16" s="345" t="s">
        <v>552</v>
      </c>
    </row>
    <row r="17" spans="1:6" hidden="1" outlineLevel="1" x14ac:dyDescent="0.25">
      <c r="A17" s="344">
        <f t="shared" si="0"/>
        <v>14</v>
      </c>
      <c r="B17" s="352">
        <f t="shared" si="1"/>
        <v>46111</v>
      </c>
      <c r="C17" s="352">
        <f t="shared" si="2"/>
        <v>46117</v>
      </c>
      <c r="D17" s="351">
        <v>112.90323975</v>
      </c>
      <c r="E17" s="351">
        <v>47.286307053941911</v>
      </c>
      <c r="F17" s="345" t="s">
        <v>553</v>
      </c>
    </row>
    <row r="18" spans="1:6" hidden="1" outlineLevel="1" x14ac:dyDescent="0.25">
      <c r="A18" s="344">
        <f t="shared" si="0"/>
        <v>15</v>
      </c>
      <c r="B18" s="352">
        <f t="shared" si="1"/>
        <v>46118</v>
      </c>
      <c r="C18" s="352">
        <f t="shared" si="2"/>
        <v>46124</v>
      </c>
      <c r="D18" s="351">
        <v>165.88065842647077</v>
      </c>
      <c r="E18" s="351">
        <v>86.981524249422634</v>
      </c>
      <c r="F18" s="345" t="s">
        <v>554</v>
      </c>
    </row>
    <row r="19" spans="1:6" hidden="1" outlineLevel="1" x14ac:dyDescent="0.25">
      <c r="A19" s="344">
        <f t="shared" si="0"/>
        <v>16</v>
      </c>
      <c r="B19" s="352">
        <f t="shared" si="1"/>
        <v>46125</v>
      </c>
      <c r="C19" s="352">
        <f t="shared" si="2"/>
        <v>46131</v>
      </c>
      <c r="D19" s="351">
        <v>6.8917700000000011</v>
      </c>
      <c r="E19" s="351">
        <v>18.702702702702702</v>
      </c>
      <c r="F19" s="345" t="s">
        <v>555</v>
      </c>
    </row>
    <row r="20" spans="1:6" hidden="1" outlineLevel="1" x14ac:dyDescent="0.25">
      <c r="A20" s="344">
        <f t="shared" si="0"/>
        <v>17</v>
      </c>
      <c r="B20" s="352">
        <f t="shared" si="1"/>
        <v>46132</v>
      </c>
      <c r="C20" s="352">
        <f t="shared" si="2"/>
        <v>46138</v>
      </c>
      <c r="D20" s="351">
        <v>62.787519999999986</v>
      </c>
      <c r="E20" s="351">
        <v>29.822784810126581</v>
      </c>
      <c r="F20" s="345" t="s">
        <v>556</v>
      </c>
    </row>
    <row r="21" spans="1:6" hidden="1" outlineLevel="1" x14ac:dyDescent="0.25">
      <c r="A21" s="344">
        <f t="shared" si="0"/>
        <v>18</v>
      </c>
      <c r="B21" s="352">
        <f t="shared" si="1"/>
        <v>46139</v>
      </c>
      <c r="C21" s="352">
        <f t="shared" si="2"/>
        <v>46145</v>
      </c>
      <c r="D21" s="351">
        <v>54.051609999999997</v>
      </c>
      <c r="E21" s="351">
        <v>23.863945578231291</v>
      </c>
      <c r="F21" s="345" t="s">
        <v>557</v>
      </c>
    </row>
    <row r="22" spans="1:6" hidden="1" outlineLevel="1" x14ac:dyDescent="0.25">
      <c r="A22" s="344">
        <f t="shared" si="0"/>
        <v>19</v>
      </c>
      <c r="B22" s="352">
        <f t="shared" si="1"/>
        <v>46146</v>
      </c>
      <c r="C22" s="352">
        <f t="shared" si="2"/>
        <v>46152</v>
      </c>
      <c r="D22" s="351">
        <v>81.635267999999968</v>
      </c>
      <c r="E22" s="351">
        <v>30.513513513513512</v>
      </c>
      <c r="F22" s="345" t="s">
        <v>558</v>
      </c>
    </row>
    <row r="23" spans="1:6" hidden="1" outlineLevel="1" x14ac:dyDescent="0.25">
      <c r="A23" s="344">
        <f t="shared" si="0"/>
        <v>20</v>
      </c>
      <c r="B23" s="352">
        <f t="shared" si="1"/>
        <v>46153</v>
      </c>
      <c r="C23" s="352">
        <f t="shared" si="2"/>
        <v>46159</v>
      </c>
      <c r="D23" s="351">
        <v>94.930504000000099</v>
      </c>
      <c r="E23" s="351">
        <v>43.173913043478258</v>
      </c>
      <c r="F23" s="345" t="s">
        <v>559</v>
      </c>
    </row>
    <row r="24" spans="1:6" hidden="1" outlineLevel="1" x14ac:dyDescent="0.25">
      <c r="A24" s="344">
        <f t="shared" si="0"/>
        <v>21</v>
      </c>
      <c r="B24" s="352">
        <f t="shared" si="1"/>
        <v>46160</v>
      </c>
      <c r="C24" s="352">
        <f t="shared" si="2"/>
        <v>46166</v>
      </c>
      <c r="D24" s="351">
        <v>148.74227200000007</v>
      </c>
      <c r="E24" s="351">
        <v>60.969696969696969</v>
      </c>
      <c r="F24" s="345" t="s">
        <v>560</v>
      </c>
    </row>
    <row r="25" spans="1:6" hidden="1" outlineLevel="1" x14ac:dyDescent="0.25">
      <c r="A25" s="344">
        <f t="shared" si="0"/>
        <v>22</v>
      </c>
      <c r="B25" s="352">
        <f t="shared" si="1"/>
        <v>46167</v>
      </c>
      <c r="C25" s="352">
        <f t="shared" si="2"/>
        <v>46173</v>
      </c>
      <c r="D25" s="351">
        <v>55.497179999999972</v>
      </c>
      <c r="E25" s="351">
        <v>38.7720207253886</v>
      </c>
      <c r="F25" s="345" t="s">
        <v>561</v>
      </c>
    </row>
    <row r="26" spans="1:6" hidden="1" outlineLevel="1" x14ac:dyDescent="0.25">
      <c r="A26" s="344">
        <f t="shared" si="0"/>
        <v>23</v>
      </c>
      <c r="B26" s="352">
        <f t="shared" si="1"/>
        <v>46174</v>
      </c>
      <c r="C26" s="352">
        <f t="shared" si="2"/>
        <v>46180</v>
      </c>
      <c r="D26" s="351">
        <v>15.72287</v>
      </c>
      <c r="E26" s="351">
        <v>17.283783783783782</v>
      </c>
      <c r="F26" s="345" t="s">
        <v>562</v>
      </c>
    </row>
    <row r="27" spans="1:6" hidden="1" outlineLevel="1" x14ac:dyDescent="0.25">
      <c r="A27" s="344">
        <f t="shared" si="0"/>
        <v>24</v>
      </c>
      <c r="B27" s="352">
        <f t="shared" si="1"/>
        <v>46181</v>
      </c>
      <c r="C27" s="352">
        <f t="shared" si="2"/>
        <v>46187</v>
      </c>
      <c r="D27" s="351">
        <v>132.82928000000004</v>
      </c>
      <c r="E27" s="351">
        <v>81.329787234042556</v>
      </c>
      <c r="F27" s="345" t="s">
        <v>563</v>
      </c>
    </row>
    <row r="28" spans="1:6" hidden="1" outlineLevel="1" x14ac:dyDescent="0.25">
      <c r="A28" s="344">
        <f t="shared" si="0"/>
        <v>25</v>
      </c>
      <c r="B28" s="352">
        <f t="shared" si="1"/>
        <v>46188</v>
      </c>
      <c r="C28" s="352">
        <f t="shared" si="2"/>
        <v>46194</v>
      </c>
      <c r="D28" s="351">
        <v>38.603929999999991</v>
      </c>
      <c r="E28" s="351">
        <v>35.468253968253968</v>
      </c>
      <c r="F28" s="345" t="s">
        <v>564</v>
      </c>
    </row>
    <row r="29" spans="1:6" hidden="1" outlineLevel="1" x14ac:dyDescent="0.25">
      <c r="A29" s="344">
        <f t="shared" si="0"/>
        <v>26</v>
      </c>
      <c r="B29" s="352">
        <f t="shared" si="1"/>
        <v>46195</v>
      </c>
      <c r="C29" s="352">
        <f t="shared" si="2"/>
        <v>46201</v>
      </c>
      <c r="D29" s="351">
        <v>57.099249999999948</v>
      </c>
      <c r="E29" s="351">
        <v>18.165467625899282</v>
      </c>
      <c r="F29" s="345" t="s">
        <v>565</v>
      </c>
    </row>
    <row r="30" spans="1:6" hidden="1" outlineLevel="1" x14ac:dyDescent="0.25">
      <c r="A30" s="344">
        <f t="shared" si="0"/>
        <v>27</v>
      </c>
      <c r="B30" s="352">
        <f t="shared" si="1"/>
        <v>46202</v>
      </c>
      <c r="C30" s="352">
        <f t="shared" si="2"/>
        <v>46208</v>
      </c>
      <c r="D30" s="351">
        <v>132.07182000000009</v>
      </c>
      <c r="E30" s="351">
        <v>55.808873720136518</v>
      </c>
      <c r="F30" s="345" t="s">
        <v>566</v>
      </c>
    </row>
    <row r="31" spans="1:6" hidden="1" outlineLevel="1" x14ac:dyDescent="0.25">
      <c r="A31" s="344">
        <f t="shared" si="0"/>
        <v>28</v>
      </c>
      <c r="B31" s="352">
        <f t="shared" si="1"/>
        <v>46209</v>
      </c>
      <c r="C31" s="352">
        <f t="shared" si="2"/>
        <v>46215</v>
      </c>
      <c r="D31" s="351">
        <v>69.385699999999957</v>
      </c>
      <c r="E31" s="351">
        <v>51.671875</v>
      </c>
      <c r="F31" s="345" t="s">
        <v>567</v>
      </c>
    </row>
    <row r="32" spans="1:6" hidden="1" outlineLevel="1" x14ac:dyDescent="0.25">
      <c r="A32" s="344">
        <f t="shared" si="0"/>
        <v>29</v>
      </c>
      <c r="B32" s="352">
        <f t="shared" si="1"/>
        <v>46216</v>
      </c>
      <c r="C32" s="352">
        <f t="shared" si="2"/>
        <v>46222</v>
      </c>
      <c r="D32" s="351">
        <v>72.446185999999983</v>
      </c>
      <c r="E32" s="351">
        <v>42.115107913669064</v>
      </c>
      <c r="F32" s="345" t="s">
        <v>568</v>
      </c>
    </row>
    <row r="33" spans="1:6" hidden="1" outlineLevel="1" x14ac:dyDescent="0.25">
      <c r="A33" s="344">
        <f t="shared" si="0"/>
        <v>30</v>
      </c>
      <c r="B33" s="352">
        <f t="shared" si="1"/>
        <v>46223</v>
      </c>
      <c r="C33" s="352">
        <f t="shared" si="2"/>
        <v>46229</v>
      </c>
      <c r="D33" s="351">
        <v>56.380089999999981</v>
      </c>
      <c r="E33" s="351">
        <v>53.286486486486488</v>
      </c>
      <c r="F33" s="345" t="s">
        <v>569</v>
      </c>
    </row>
    <row r="34" spans="1:6" hidden="1" outlineLevel="1" x14ac:dyDescent="0.25">
      <c r="A34" s="344">
        <f t="shared" si="0"/>
        <v>31</v>
      </c>
      <c r="B34" s="352">
        <f t="shared" si="1"/>
        <v>46230</v>
      </c>
      <c r="C34" s="352">
        <f t="shared" si="2"/>
        <v>46236</v>
      </c>
      <c r="D34" s="351">
        <v>31.326399999999975</v>
      </c>
      <c r="E34" s="351">
        <v>22.085106382978722</v>
      </c>
      <c r="F34" s="345" t="s">
        <v>570</v>
      </c>
    </row>
    <row r="35" spans="1:6" hidden="1" outlineLevel="1" x14ac:dyDescent="0.25">
      <c r="A35" s="344">
        <f t="shared" si="0"/>
        <v>32</v>
      </c>
      <c r="B35" s="352">
        <f t="shared" si="1"/>
        <v>46237</v>
      </c>
      <c r="C35" s="352">
        <f t="shared" si="2"/>
        <v>46243</v>
      </c>
      <c r="D35" s="351">
        <v>11.283729999999991</v>
      </c>
      <c r="E35" s="351">
        <v>22.068965517241381</v>
      </c>
      <c r="F35" s="345" t="s">
        <v>571</v>
      </c>
    </row>
    <row r="36" spans="1:6" hidden="1" outlineLevel="1" x14ac:dyDescent="0.25">
      <c r="A36" s="344">
        <f t="shared" si="0"/>
        <v>33</v>
      </c>
      <c r="B36" s="352">
        <f t="shared" si="1"/>
        <v>46244</v>
      </c>
      <c r="C36" s="352">
        <f t="shared" si="2"/>
        <v>46250</v>
      </c>
      <c r="D36" s="351">
        <v>97.179820000000007</v>
      </c>
      <c r="E36" s="351">
        <v>40.938931297709921</v>
      </c>
      <c r="F36" s="345" t="s">
        <v>572</v>
      </c>
    </row>
    <row r="37" spans="1:6" hidden="1" outlineLevel="1" x14ac:dyDescent="0.25">
      <c r="A37" s="344">
        <f t="shared" si="0"/>
        <v>34</v>
      </c>
      <c r="B37" s="352">
        <f t="shared" si="1"/>
        <v>46251</v>
      </c>
      <c r="C37" s="352">
        <f t="shared" si="2"/>
        <v>46257</v>
      </c>
      <c r="D37" s="351">
        <v>20.91076000000001</v>
      </c>
      <c r="E37" s="351">
        <v>34.810810810810814</v>
      </c>
      <c r="F37" s="345" t="s">
        <v>573</v>
      </c>
    </row>
    <row r="38" spans="1:6" hidden="1" outlineLevel="1" x14ac:dyDescent="0.25">
      <c r="A38" s="344">
        <f t="shared" si="0"/>
        <v>35</v>
      </c>
      <c r="B38" s="352">
        <f t="shared" si="1"/>
        <v>46258</v>
      </c>
      <c r="C38" s="352">
        <f t="shared" si="2"/>
        <v>46264</v>
      </c>
      <c r="D38" s="351">
        <v>38.883529999999965</v>
      </c>
      <c r="E38" s="351">
        <v>18.80952380952381</v>
      </c>
      <c r="F38" s="345" t="s">
        <v>574</v>
      </c>
    </row>
    <row r="39" spans="1:6" hidden="1" outlineLevel="1" x14ac:dyDescent="0.25">
      <c r="A39" s="344">
        <f t="shared" si="0"/>
        <v>36</v>
      </c>
      <c r="B39" s="352">
        <f t="shared" si="1"/>
        <v>46265</v>
      </c>
      <c r="C39" s="352">
        <f t="shared" si="2"/>
        <v>46271</v>
      </c>
      <c r="D39" s="351">
        <f>78.0240700000001+0.057</f>
        <v>78.081070000000096</v>
      </c>
      <c r="E39" s="351">
        <v>23.164556962025316</v>
      </c>
      <c r="F39" s="345" t="s">
        <v>575</v>
      </c>
    </row>
    <row r="40" spans="1:6" hidden="1" outlineLevel="1" x14ac:dyDescent="0.25">
      <c r="A40" s="344">
        <f t="shared" si="0"/>
        <v>37</v>
      </c>
      <c r="B40" s="352">
        <f t="shared" si="1"/>
        <v>46272</v>
      </c>
      <c r="C40" s="352">
        <f t="shared" si="2"/>
        <v>46278</v>
      </c>
      <c r="D40" s="351">
        <f>77.38615+2+0.001</f>
        <v>79.387150000000005</v>
      </c>
      <c r="E40" s="351">
        <v>82.191358024691354</v>
      </c>
      <c r="F40" s="345" t="s">
        <v>576</v>
      </c>
    </row>
    <row r="41" spans="1:6" hidden="1" outlineLevel="1" x14ac:dyDescent="0.25">
      <c r="A41" s="344">
        <f t="shared" si="0"/>
        <v>38</v>
      </c>
      <c r="B41" s="352">
        <f t="shared" si="1"/>
        <v>46279</v>
      </c>
      <c r="C41" s="352">
        <f t="shared" si="2"/>
        <v>46285</v>
      </c>
      <c r="D41" s="351">
        <f>82.9638+0.6</f>
        <v>83.563800000000001</v>
      </c>
      <c r="E41" s="351">
        <v>48.261538461538464</v>
      </c>
      <c r="F41" s="345" t="s">
        <v>577</v>
      </c>
    </row>
    <row r="42" spans="1:6" collapsed="1" x14ac:dyDescent="0.25">
      <c r="A42" s="344">
        <f t="shared" ref="A42" si="3">_xlfn.ISOWEEKNUM(B42)</f>
        <v>39</v>
      </c>
      <c r="B42" s="352">
        <f t="shared" si="1"/>
        <v>46286</v>
      </c>
      <c r="C42" s="352">
        <f t="shared" ref="C42:C43" si="4">B42+6</f>
        <v>46292</v>
      </c>
      <c r="D42" s="351">
        <v>114.8096</v>
      </c>
      <c r="E42" s="351">
        <v>47.22</v>
      </c>
      <c r="F42" s="345" t="s">
        <v>577</v>
      </c>
    </row>
    <row r="43" spans="1:6" x14ac:dyDescent="0.25">
      <c r="A43" s="344">
        <f>_xlfn.ISOWEEKNUM(B43)</f>
        <v>40</v>
      </c>
      <c r="B43" s="352">
        <f t="shared" si="1"/>
        <v>46293</v>
      </c>
      <c r="C43" s="352">
        <f t="shared" si="4"/>
        <v>46299</v>
      </c>
      <c r="D43" s="351">
        <f>162.068-0.15</f>
        <v>161.91800000000001</v>
      </c>
      <c r="E43" s="351">
        <v>41.62</v>
      </c>
    </row>
    <row r="44" spans="1:6" x14ac:dyDescent="0.25">
      <c r="A44" s="344">
        <f>_xlfn.ISOWEEKNUM(B44)</f>
        <v>41</v>
      </c>
      <c r="B44" s="352">
        <f t="shared" si="1"/>
        <v>46300</v>
      </c>
      <c r="C44" s="352">
        <f t="shared" ref="C44" si="5">B44+6</f>
        <v>46306</v>
      </c>
      <c r="D44" s="351">
        <v>98.92</v>
      </c>
      <c r="E44" s="351">
        <v>33.5</v>
      </c>
    </row>
    <row r="45" spans="1:6" x14ac:dyDescent="0.25">
      <c r="A45" s="344">
        <v>42</v>
      </c>
      <c r="B45" s="352">
        <f t="shared" si="1"/>
        <v>46307</v>
      </c>
      <c r="C45" s="352">
        <f t="shared" ref="C45" si="6">B45+6</f>
        <v>46313</v>
      </c>
      <c r="D45" s="351">
        <v>80.722899999999996</v>
      </c>
      <c r="E45" s="351">
        <v>53.947368419999997</v>
      </c>
    </row>
  </sheetData>
  <pageMargins left="0.7" right="0.7" top="0.75" bottom="0.75" header="0.3" footer="0.3"/>
  <pageSetup orientation="portrait" horizontalDpi="0" verticalDpi="0" r:id="rId1"/>
  <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rgb="FF00B050"/>
    <outlinePr applyStyles="1"/>
  </sheetPr>
  <dimension ref="A1:AU87"/>
  <sheetViews>
    <sheetView showGridLines="0" zoomScale="115" zoomScaleNormal="115" zoomScaleSheetLayoutView="100" workbookViewId="0">
      <pane xSplit="4" ySplit="6" topLeftCell="G17" activePane="bottomRight" state="frozen"/>
      <selection activeCell="A17" sqref="A17:XFD17"/>
      <selection pane="topRight" activeCell="A17" sqref="A17:XFD17"/>
      <selection pane="bottomLeft" activeCell="A17" sqref="A17:XFD17"/>
      <selection pane="bottomRight" activeCell="L20" sqref="L20"/>
    </sheetView>
  </sheetViews>
  <sheetFormatPr defaultColWidth="9.28515625" defaultRowHeight="12.75" outlineLevelCol="1" x14ac:dyDescent="0.2"/>
  <cols>
    <col min="1" max="1" width="16.42578125" style="303" customWidth="1"/>
    <col min="2" max="2" width="13.42578125" style="325" customWidth="1"/>
    <col min="3" max="3" width="28.7109375" style="326" customWidth="1" outlineLevel="1"/>
    <col min="4" max="4" width="9" style="327" customWidth="1" outlineLevel="1"/>
    <col min="5" max="5" width="28.7109375" style="326" customWidth="1"/>
    <col min="6" max="6" width="6.28515625" style="327" customWidth="1"/>
    <col min="7" max="7" width="11.7109375" style="328" customWidth="1"/>
    <col min="8" max="8" width="30.7109375" style="326" customWidth="1"/>
    <col min="9" max="9" width="8.7109375" style="325" customWidth="1"/>
    <col min="10" max="10" width="10.28515625" style="292" customWidth="1"/>
    <col min="11" max="11" width="10.42578125" style="292" customWidth="1"/>
    <col min="12" max="13" width="11.28515625" style="292" customWidth="1"/>
    <col min="14" max="14" width="12.5703125" style="292" customWidth="1"/>
    <col min="15" max="15" width="3" style="61" hidden="1" customWidth="1" outlineLevel="1"/>
    <col min="16" max="16" width="13.28515625" style="293" hidden="1" customWidth="1" outlineLevel="1"/>
    <col min="17" max="17" width="7.42578125" style="75" hidden="1" customWidth="1" outlineLevel="1"/>
    <col min="18" max="18" width="8.28515625" style="295" hidden="1" customWidth="1" outlineLevel="1"/>
    <col min="19" max="19" width="7.7109375" style="295" hidden="1" customWidth="1" outlineLevel="1"/>
    <col min="20" max="20" width="10.7109375" style="295" hidden="1" customWidth="1" outlineLevel="1"/>
    <col min="21" max="21" width="6" style="295" hidden="1" customWidth="1" outlineLevel="1"/>
    <col min="22" max="22" width="8.28515625" style="295" hidden="1" customWidth="1" outlineLevel="1"/>
    <col min="23" max="23" width="7.5703125" style="295" hidden="1" customWidth="1" outlineLevel="1"/>
    <col min="24" max="25" width="6.7109375" style="295" hidden="1" customWidth="1" outlineLevel="1"/>
    <col min="26" max="26" width="5.28515625" style="296" customWidth="1" collapsed="1"/>
    <col min="27" max="34" width="10.7109375" style="297" hidden="1" customWidth="1" outlineLevel="1"/>
    <col min="35" max="35" width="5.28515625" style="296" hidden="1" customWidth="1" collapsed="1"/>
    <col min="36" max="39" width="10.7109375" style="292" hidden="1" customWidth="1" outlineLevel="1"/>
    <col min="40" max="42" width="10.7109375" style="292" customWidth="1" outlineLevel="1"/>
    <col min="43" max="43" width="3.42578125" style="71" customWidth="1"/>
    <col min="44" max="44" width="9.28515625" style="75" customWidth="1"/>
    <col min="45" max="45" width="7.42578125" style="204" customWidth="1"/>
    <col min="46" max="46" width="6.7109375" style="204" customWidth="1"/>
    <col min="47" max="47" width="11.7109375" style="71" customWidth="1"/>
    <col min="48" max="49" width="9.28515625" style="71" customWidth="1"/>
    <col min="50" max="16384" width="9.28515625" style="71"/>
  </cols>
  <sheetData>
    <row r="1" spans="1:47" ht="26.25" customHeight="1" x14ac:dyDescent="0.2">
      <c r="A1" s="284" t="s">
        <v>3</v>
      </c>
      <c r="B1" s="285"/>
      <c r="C1" s="286"/>
      <c r="D1" s="287"/>
      <c r="E1" s="286"/>
      <c r="F1" s="288"/>
      <c r="G1" s="289"/>
      <c r="H1" s="290"/>
      <c r="I1" s="291"/>
      <c r="Q1" s="294"/>
      <c r="AN1" s="298" t="s">
        <v>416</v>
      </c>
      <c r="AO1" s="298" t="s">
        <v>417</v>
      </c>
      <c r="AP1" s="298" t="s">
        <v>418</v>
      </c>
    </row>
    <row r="2" spans="1:47" ht="12" customHeight="1" x14ac:dyDescent="0.2">
      <c r="A2" s="284" t="s">
        <v>592</v>
      </c>
      <c r="B2" s="285"/>
      <c r="C2" s="286"/>
      <c r="D2" s="287"/>
      <c r="E2" s="286"/>
      <c r="F2" s="287"/>
      <c r="G2" s="299"/>
      <c r="H2" s="290"/>
      <c r="I2" s="285"/>
      <c r="N2" s="300"/>
      <c r="Q2" s="294"/>
      <c r="R2" s="301">
        <f t="shared" ref="R2:Y2" si="0">SUM(R7:R483)</f>
        <v>1087</v>
      </c>
      <c r="S2" s="301">
        <f t="shared" si="0"/>
        <v>566</v>
      </c>
      <c r="T2" s="301">
        <f t="shared" si="0"/>
        <v>28748</v>
      </c>
      <c r="U2" s="301">
        <f t="shared" si="0"/>
        <v>764</v>
      </c>
      <c r="V2" s="301">
        <f t="shared" si="0"/>
        <v>60</v>
      </c>
      <c r="W2" s="301">
        <f t="shared" si="0"/>
        <v>7518</v>
      </c>
      <c r="X2" s="301">
        <f t="shared" si="0"/>
        <v>1948</v>
      </c>
      <c r="Y2" s="301">
        <f t="shared" si="0"/>
        <v>908</v>
      </c>
      <c r="AA2" s="302">
        <f t="shared" ref="AA2:AH2" si="1">SUM(AA7:AA483)</f>
        <v>40.600969999999997</v>
      </c>
      <c r="AB2" s="302">
        <f t="shared" si="1"/>
        <v>74.310814999999991</v>
      </c>
      <c r="AC2" s="302">
        <f t="shared" si="1"/>
        <v>2.0201799999999999</v>
      </c>
      <c r="AD2" s="302">
        <f t="shared" si="1"/>
        <v>11.582954999999998</v>
      </c>
      <c r="AE2" s="302">
        <f t="shared" si="1"/>
        <v>0</v>
      </c>
      <c r="AF2" s="302">
        <f t="shared" si="1"/>
        <v>5.0819099999999997</v>
      </c>
      <c r="AG2" s="302">
        <f t="shared" si="1"/>
        <v>7.6160000000000005E-2</v>
      </c>
      <c r="AH2" s="302">
        <f t="shared" si="1"/>
        <v>0</v>
      </c>
    </row>
    <row r="3" spans="1:47" ht="6" customHeight="1" x14ac:dyDescent="0.2">
      <c r="B3" s="285"/>
      <c r="C3" s="286"/>
      <c r="D3" s="287"/>
      <c r="E3" s="286"/>
      <c r="F3" s="287"/>
      <c r="G3" s="299" t="s">
        <v>46</v>
      </c>
      <c r="H3" s="286"/>
      <c r="I3" s="285"/>
    </row>
    <row r="4" spans="1:47" s="16" customFormat="1" ht="24.75" customHeight="1" x14ac:dyDescent="0.2">
      <c r="A4" s="379" t="s">
        <v>213</v>
      </c>
      <c r="B4" s="379"/>
      <c r="C4" s="379"/>
      <c r="D4" s="379"/>
      <c r="E4" s="379"/>
      <c r="F4" s="379"/>
      <c r="G4" s="379"/>
      <c r="H4" s="379"/>
      <c r="I4" s="379"/>
      <c r="J4" s="374" t="s">
        <v>659</v>
      </c>
      <c r="K4" s="375"/>
      <c r="L4" s="376"/>
      <c r="M4" s="377"/>
      <c r="N4" s="378"/>
      <c r="O4" s="61"/>
      <c r="P4" s="304"/>
      <c r="Q4" s="61"/>
      <c r="R4" s="380" t="s">
        <v>82</v>
      </c>
      <c r="S4" s="381"/>
      <c r="T4" s="381"/>
      <c r="U4" s="381"/>
      <c r="V4" s="381"/>
      <c r="W4" s="381"/>
      <c r="X4" s="381"/>
      <c r="Y4" s="382"/>
      <c r="Z4" s="305"/>
      <c r="AA4" s="383" t="s">
        <v>209</v>
      </c>
      <c r="AB4" s="384"/>
      <c r="AC4" s="384"/>
      <c r="AD4" s="384"/>
      <c r="AE4" s="384"/>
      <c r="AF4" s="384"/>
      <c r="AG4" s="384"/>
      <c r="AH4" s="385"/>
      <c r="AI4" s="305"/>
      <c r="AJ4" s="371" t="s">
        <v>215</v>
      </c>
      <c r="AK4" s="372"/>
      <c r="AL4" s="372"/>
      <c r="AM4" s="372"/>
      <c r="AN4" s="372"/>
      <c r="AO4" s="372"/>
      <c r="AP4" s="373"/>
      <c r="AR4" s="61"/>
      <c r="AS4" s="355">
        <f>AVERAGE(AS7:AS59)</f>
        <v>37.323529411764703</v>
      </c>
      <c r="AT4" s="355">
        <f ca="1">AVERAGE(AT7:AT59)</f>
        <v>57.202497095561654</v>
      </c>
      <c r="AU4" s="271" t="s">
        <v>502</v>
      </c>
    </row>
    <row r="5" spans="1:47" s="61" customFormat="1" ht="51.75" customHeight="1" x14ac:dyDescent="0.2">
      <c r="A5" s="243" t="s">
        <v>385</v>
      </c>
      <c r="B5" s="62" t="s">
        <v>214</v>
      </c>
      <c r="C5" s="9" t="s">
        <v>211</v>
      </c>
      <c r="D5" s="187" t="s">
        <v>627</v>
      </c>
      <c r="E5" s="9" t="s">
        <v>211</v>
      </c>
      <c r="F5" s="187" t="s">
        <v>210</v>
      </c>
      <c r="G5" s="172" t="s">
        <v>71</v>
      </c>
      <c r="H5" s="306" t="s">
        <v>4</v>
      </c>
      <c r="I5" s="63" t="s">
        <v>212</v>
      </c>
      <c r="J5" s="60" t="s">
        <v>5</v>
      </c>
      <c r="K5" s="60" t="s">
        <v>32</v>
      </c>
      <c r="L5" s="60" t="s">
        <v>66</v>
      </c>
      <c r="M5" s="60" t="s">
        <v>65</v>
      </c>
      <c r="N5" s="60" t="s">
        <v>33</v>
      </c>
      <c r="O5" s="61">
        <f>SUM(O7:O994)</f>
        <v>62</v>
      </c>
      <c r="P5" s="307" t="s">
        <v>42</v>
      </c>
      <c r="Q5" s="64" t="s">
        <v>45</v>
      </c>
      <c r="R5" s="67" t="s">
        <v>84</v>
      </c>
      <c r="S5" s="67" t="s">
        <v>48</v>
      </c>
      <c r="T5" s="67" t="s">
        <v>85</v>
      </c>
      <c r="U5" s="67" t="s">
        <v>53</v>
      </c>
      <c r="V5" s="67" t="s">
        <v>86</v>
      </c>
      <c r="W5" s="67" t="s">
        <v>87</v>
      </c>
      <c r="X5" s="67" t="s">
        <v>83</v>
      </c>
      <c r="Y5" s="67" t="s">
        <v>88</v>
      </c>
      <c r="Z5" s="308"/>
      <c r="AA5" s="171" t="s">
        <v>190</v>
      </c>
      <c r="AB5" s="171" t="s">
        <v>191</v>
      </c>
      <c r="AC5" s="171" t="s">
        <v>192</v>
      </c>
      <c r="AD5" s="171" t="s">
        <v>193</v>
      </c>
      <c r="AE5" s="171" t="s">
        <v>194</v>
      </c>
      <c r="AF5" s="171" t="s">
        <v>195</v>
      </c>
      <c r="AG5" s="171" t="s">
        <v>196</v>
      </c>
      <c r="AH5" s="171" t="s">
        <v>197</v>
      </c>
      <c r="AI5" s="308"/>
      <c r="AJ5" s="60" t="s">
        <v>17</v>
      </c>
      <c r="AK5" s="60" t="s">
        <v>16</v>
      </c>
      <c r="AL5" s="60" t="s">
        <v>13</v>
      </c>
      <c r="AM5" s="60" t="s">
        <v>183</v>
      </c>
      <c r="AN5" s="60" t="s">
        <v>20</v>
      </c>
      <c r="AO5" s="60" t="s">
        <v>207</v>
      </c>
      <c r="AP5" s="60" t="s">
        <v>208</v>
      </c>
      <c r="AR5" s="60" t="s">
        <v>468</v>
      </c>
      <c r="AS5" s="249" t="s">
        <v>471</v>
      </c>
      <c r="AT5" s="249" t="s">
        <v>472</v>
      </c>
      <c r="AU5" s="280" t="s">
        <v>503</v>
      </c>
    </row>
    <row r="6" spans="1:47" s="61" customFormat="1" x14ac:dyDescent="0.2">
      <c r="A6" s="245"/>
      <c r="B6" s="62"/>
      <c r="C6" s="63"/>
      <c r="D6" s="187"/>
      <c r="E6" s="9"/>
      <c r="F6" s="187"/>
      <c r="G6" s="242"/>
      <c r="H6" s="306"/>
      <c r="I6" s="63"/>
      <c r="J6" s="60"/>
      <c r="K6" s="60"/>
      <c r="L6" s="60"/>
      <c r="M6" s="60"/>
      <c r="N6" s="60"/>
      <c r="P6" s="307"/>
      <c r="Q6" s="64"/>
      <c r="R6" s="67"/>
      <c r="S6" s="67"/>
      <c r="T6" s="67"/>
      <c r="U6" s="67"/>
      <c r="V6" s="67"/>
      <c r="W6" s="67"/>
      <c r="X6" s="67"/>
      <c r="Y6" s="67"/>
      <c r="Z6" s="308"/>
      <c r="AA6" s="171"/>
      <c r="AB6" s="171"/>
      <c r="AC6" s="171"/>
      <c r="AD6" s="171"/>
      <c r="AE6" s="171"/>
      <c r="AF6" s="171"/>
      <c r="AG6" s="171"/>
      <c r="AH6" s="171"/>
      <c r="AI6" s="308"/>
      <c r="AJ6" s="60"/>
      <c r="AK6" s="60"/>
      <c r="AL6" s="60"/>
      <c r="AM6" s="60"/>
      <c r="AN6" s="60"/>
      <c r="AO6" s="60"/>
      <c r="AP6" s="60"/>
      <c r="AS6" s="250"/>
      <c r="AT6" s="250"/>
    </row>
    <row r="7" spans="1:47" ht="63.75" x14ac:dyDescent="0.2">
      <c r="A7" s="310">
        <v>7728</v>
      </c>
      <c r="B7" s="309" t="s">
        <v>453</v>
      </c>
      <c r="C7" s="310" t="s">
        <v>463</v>
      </c>
      <c r="D7" s="318">
        <v>3.75</v>
      </c>
      <c r="E7" s="312" t="str">
        <f t="shared" ref="E7" si="2">C7</f>
        <v>15 UNITS SAUNA ROOMS (0908MS-9sr IR Cedar &amp; 1111RS-6sr IR Cedar), CONTROLS, HEATERS, WOODEN ACCESSORIES, DOORS &amp; PANELS</v>
      </c>
      <c r="F7" s="311">
        <v>27.2</v>
      </c>
      <c r="G7" s="332"/>
      <c r="H7" s="6" t="s">
        <v>518</v>
      </c>
      <c r="I7" s="3" t="s">
        <v>521</v>
      </c>
      <c r="J7" s="313">
        <v>1</v>
      </c>
      <c r="K7" s="313">
        <v>1</v>
      </c>
      <c r="L7" s="313">
        <v>1</v>
      </c>
      <c r="M7" s="313" t="s">
        <v>6</v>
      </c>
      <c r="N7" s="313">
        <v>1</v>
      </c>
      <c r="O7" s="61">
        <v>15</v>
      </c>
      <c r="P7" s="314"/>
      <c r="R7" s="315">
        <f>IF(VLOOKUP($A7,Items!$A$5:$J$1000,8,0)=0," ",VLOOKUP($A7,Items!$A$5:$J$1000,8,0))</f>
        <v>25</v>
      </c>
      <c r="S7" s="315">
        <f>IF(VLOOKUP($A7,Items!$A$5:$J$1000,3,0)=0," ",VLOOKUP($A7,Items!$A$5:$J$1000,3,0))</f>
        <v>13</v>
      </c>
      <c r="T7" s="315">
        <f>IF(VLOOKUP($A7,Items!$A$5:$J$1000,7,0)=0," ",VLOOKUP($A7,Items!$A$5:$J$1000,7,0))</f>
        <v>85</v>
      </c>
      <c r="U7" s="315">
        <f>IF(VLOOKUP($A7,Items!$A$5:$J$1000,2,0)=0," ",VLOOKUP($A7,Items!$A$5:$J$1000,2,0))</f>
        <v>3</v>
      </c>
      <c r="V7" s="315">
        <f>IF(VLOOKUP($A7,Items!$A$5:$J$1000,9,0)=0," ",VLOOKUP($A7,Items!$A$5:$J$1000,9,0))</f>
        <v>15</v>
      </c>
      <c r="W7" s="315">
        <f>IF(VLOOKUP($A7,Items!$A$5:$J$1000,4,0)=0," ",VLOOKUP($A7,Items!$A$5:$J$1000,4,0))</f>
        <v>388</v>
      </c>
      <c r="X7" s="315">
        <f>IF(VLOOKUP($A7,Items!$A$5:$J$1000,6,0)=0," ",VLOOKUP($A7,Items!$A$5:$J$1000,6,0))</f>
        <v>23</v>
      </c>
      <c r="Y7" s="315">
        <f>IF(VLOOKUP($A7,Items!$A$5:$J$1000,5,0)=0," ",VLOOKUP($A7,Items!$A$5:$J$1000,5,0))</f>
        <v>2</v>
      </c>
      <c r="AA7" s="316">
        <f>IF(VLOOKUP($A7,Wood!$A$5:$W$1000,16,0)=0," ",VLOOKUP($A7,Wood!$A$5:$W$1000,16,0))</f>
        <v>2.8091599999999999</v>
      </c>
      <c r="AB7" s="316">
        <f>IF(VLOOKUP($A7,Wood!$A$5:$W$1000,17,0)=0," ",VLOOKUP($A7,Wood!$A$5:$W$1000,17,0))</f>
        <v>10.939030000000001</v>
      </c>
      <c r="AC7" s="316">
        <f>IF(VLOOKUP($A7,Wood!$A$5:$W$1000,18,0)=0," ",VLOOKUP($A7,Wood!$A$5:$W$1000,18,0))</f>
        <v>8.0000000000000002E-3</v>
      </c>
      <c r="AD7" s="316">
        <f>IF(VLOOKUP($A7,Wood!$A$5:$W$1000,19,0)=0," ",VLOOKUP($A7,Wood!$A$5:$W$1000,19,0))</f>
        <v>6.7449999999999993E-3</v>
      </c>
      <c r="AE7" s="316" t="str">
        <f>IF(VLOOKUP($A7,Wood!$A$5:$W$1000,20,0)=0," ",VLOOKUP($A7,Wood!$A$5:$W$1000,20,0))</f>
        <v xml:space="preserve"> </v>
      </c>
      <c r="AF7" s="316" t="str">
        <f>IF(VLOOKUP($A7,Wood!$A$5:$W$1000,21,0)=0," ",VLOOKUP($A7,Wood!$A$5:$W$1000,21,0))</f>
        <v xml:space="preserve"> </v>
      </c>
      <c r="AG7" s="316" t="str">
        <f>IF(VLOOKUP($A7,Wood!$A$5:$W$1000,22,0)=0," ",VLOOKUP($A7,Wood!$A$5:$W$1000,22,0))</f>
        <v xml:space="preserve"> </v>
      </c>
      <c r="AH7" s="316" t="str">
        <f>IF(VLOOKUP($A7,Wood!$A$5:$W$1000,23,0)=0," ",VLOOKUP($A7,Wood!$A$5:$W$1000,23,0))</f>
        <v xml:space="preserve"> </v>
      </c>
      <c r="AJ7" s="313"/>
      <c r="AK7" s="313"/>
      <c r="AL7" s="313"/>
      <c r="AM7" s="313"/>
      <c r="AN7" s="313">
        <v>1</v>
      </c>
      <c r="AO7" s="313" t="s">
        <v>6</v>
      </c>
      <c r="AP7" s="313">
        <v>1</v>
      </c>
      <c r="AR7" s="332">
        <v>46192</v>
      </c>
      <c r="AS7" s="333"/>
      <c r="AT7" s="333">
        <f t="shared" ref="AT7" ca="1" si="3">NOW()-AR7</f>
        <v>122.61759143518429</v>
      </c>
      <c r="AU7" s="317">
        <f t="shared" ref="AU7" si="4">IFERROR(AVERAGE(J7:N7,AJ7:AP7),"n/a")</f>
        <v>1</v>
      </c>
    </row>
    <row r="8" spans="1:47" ht="25.5" x14ac:dyDescent="0.2">
      <c r="A8" s="310">
        <v>7626</v>
      </c>
      <c r="B8" s="309" t="s">
        <v>600</v>
      </c>
      <c r="C8" s="310" t="s">
        <v>595</v>
      </c>
      <c r="D8" s="318">
        <v>1.1395999999999999</v>
      </c>
      <c r="E8" s="312" t="str">
        <f t="shared" ref="E8:E23" si="5">C8</f>
        <v>HEATERS, CONTROLS, SPARE PARTS &amp; WOODEN ACCESSORIES</v>
      </c>
      <c r="F8" s="363">
        <f>SUM(D8:D10)</f>
        <v>2.5596000000000001</v>
      </c>
      <c r="G8" s="366"/>
      <c r="H8" s="1" t="s">
        <v>631</v>
      </c>
      <c r="I8" s="360" t="s">
        <v>61</v>
      </c>
      <c r="J8" s="313">
        <v>1</v>
      </c>
      <c r="K8" s="313">
        <v>1</v>
      </c>
      <c r="L8" s="313">
        <v>1</v>
      </c>
      <c r="M8" s="313" t="s">
        <v>6</v>
      </c>
      <c r="N8" s="313" t="s">
        <v>6</v>
      </c>
      <c r="P8" s="314"/>
      <c r="R8" s="315" t="str">
        <f>IF(VLOOKUP($A8,Items!$A$5:$J$1000,8,0)=0," ",VLOOKUP($A8,Items!$A$5:$J$1000,8,0))</f>
        <v xml:space="preserve"> </v>
      </c>
      <c r="S8" s="315" t="str">
        <f>IF(VLOOKUP($A8,Items!$A$5:$J$1000,3,0)=0," ",VLOOKUP($A8,Items!$A$5:$J$1000,3,0))</f>
        <v xml:space="preserve"> </v>
      </c>
      <c r="T8" s="315" t="str">
        <f>IF(VLOOKUP($A8,Items!$A$5:$J$1000,7,0)=0," ",VLOOKUP($A8,Items!$A$5:$J$1000,7,0))</f>
        <v xml:space="preserve"> </v>
      </c>
      <c r="U8" s="315" t="str">
        <f>IF(VLOOKUP($A8,Items!$A$5:$J$1000,2,0)=0," ",VLOOKUP($A8,Items!$A$5:$J$1000,2,0))</f>
        <v xml:space="preserve"> </v>
      </c>
      <c r="V8" s="315" t="str">
        <f>IF(VLOOKUP($A8,Items!$A$5:$J$1000,9,0)=0," ",VLOOKUP($A8,Items!$A$5:$J$1000,9,0))</f>
        <v xml:space="preserve"> </v>
      </c>
      <c r="W8" s="315" t="str">
        <f>IF(VLOOKUP($A8,Items!$A$5:$J$1000,4,0)=0," ",VLOOKUP($A8,Items!$A$5:$J$1000,4,0))</f>
        <v xml:space="preserve"> </v>
      </c>
      <c r="X8" s="315" t="str">
        <f>IF(VLOOKUP($A8,Items!$A$5:$J$1000,6,0)=0," ",VLOOKUP($A8,Items!$A$5:$J$1000,6,0))</f>
        <v xml:space="preserve"> </v>
      </c>
      <c r="Y8" s="315" t="str">
        <f>IF(VLOOKUP($A8,Items!$A$5:$J$1000,5,0)=0," ",VLOOKUP($A8,Items!$A$5:$J$1000,5,0))</f>
        <v xml:space="preserve"> </v>
      </c>
      <c r="AA8" s="316" t="str">
        <f>IF(VLOOKUP($A8,Wood!$A$5:$W$1000,16,0)=0," ",VLOOKUP($A8,Wood!$A$5:$W$1000,16,0))</f>
        <v xml:space="preserve"> </v>
      </c>
      <c r="AB8" s="316" t="str">
        <f>IF(VLOOKUP($A8,Wood!$A$5:$W$1000,17,0)=0," ",VLOOKUP($A8,Wood!$A$5:$W$1000,17,0))</f>
        <v xml:space="preserve"> </v>
      </c>
      <c r="AC8" s="316" t="str">
        <f>IF(VLOOKUP($A8,Wood!$A$5:$W$1000,18,0)=0," ",VLOOKUP($A8,Wood!$A$5:$W$1000,18,0))</f>
        <v xml:space="preserve"> </v>
      </c>
      <c r="AD8" s="316" t="str">
        <f>IF(VLOOKUP($A8,Wood!$A$5:$W$1000,19,0)=0," ",VLOOKUP($A8,Wood!$A$5:$W$1000,19,0))</f>
        <v xml:space="preserve"> </v>
      </c>
      <c r="AE8" s="316" t="str">
        <f>IF(VLOOKUP($A8,Wood!$A$5:$W$1000,20,0)=0," ",VLOOKUP($A8,Wood!$A$5:$W$1000,20,0))</f>
        <v xml:space="preserve"> </v>
      </c>
      <c r="AF8" s="316" t="str">
        <f>IF(VLOOKUP($A8,Wood!$A$5:$W$1000,21,0)=0," ",VLOOKUP($A8,Wood!$A$5:$W$1000,21,0))</f>
        <v xml:space="preserve"> </v>
      </c>
      <c r="AG8" s="316" t="str">
        <f>IF(VLOOKUP($A8,Wood!$A$5:$W$1000,22,0)=0," ",VLOOKUP($A8,Wood!$A$5:$W$1000,22,0))</f>
        <v xml:space="preserve"> </v>
      </c>
      <c r="AH8" s="316" t="str">
        <f>IF(VLOOKUP($A8,Wood!$A$5:$W$1000,23,0)=0," ",VLOOKUP($A8,Wood!$A$5:$W$1000,23,0))</f>
        <v xml:space="preserve"> </v>
      </c>
      <c r="AJ8" s="313"/>
      <c r="AK8" s="313"/>
      <c r="AL8" s="313"/>
      <c r="AM8" s="313"/>
      <c r="AN8" s="313">
        <v>1</v>
      </c>
      <c r="AO8" s="313" t="s">
        <v>6</v>
      </c>
      <c r="AP8" s="313" t="s">
        <v>6</v>
      </c>
      <c r="AR8" s="332">
        <v>46297</v>
      </c>
      <c r="AS8" s="333"/>
      <c r="AT8" s="333">
        <f t="shared" ref="AT8:AT56" ca="1" si="6">NOW()-AR8</f>
        <v>17.617591435184295</v>
      </c>
      <c r="AU8" s="317">
        <f t="shared" ref="AU8:AU24" si="7">IFERROR(AVERAGE(J8:N8,AJ8:AP8),"n/a")</f>
        <v>1</v>
      </c>
    </row>
    <row r="9" spans="1:47" ht="25.5" x14ac:dyDescent="0.2">
      <c r="A9" s="310">
        <v>7891</v>
      </c>
      <c r="B9" s="309" t="s">
        <v>600</v>
      </c>
      <c r="C9" s="310" t="s">
        <v>595</v>
      </c>
      <c r="D9" s="318">
        <v>1.1499999999999999</v>
      </c>
      <c r="E9" s="312" t="str">
        <f t="shared" ref="E9" si="8">C9</f>
        <v>HEATERS, CONTROLS, SPARE PARTS &amp; WOODEN ACCESSORIES</v>
      </c>
      <c r="F9" s="364"/>
      <c r="G9" s="367"/>
      <c r="H9" s="369"/>
      <c r="I9" s="361"/>
      <c r="J9" s="313">
        <v>1</v>
      </c>
      <c r="K9" s="313">
        <v>1</v>
      </c>
      <c r="L9" s="313">
        <v>1</v>
      </c>
      <c r="M9" s="313" t="s">
        <v>6</v>
      </c>
      <c r="N9" s="313" t="s">
        <v>6</v>
      </c>
      <c r="P9" s="314"/>
      <c r="R9" s="315" t="str">
        <f>IF(VLOOKUP($A9,Items!$A$5:$J$1000,8,0)=0," ",VLOOKUP($A9,Items!$A$5:$J$1000,8,0))</f>
        <v xml:space="preserve"> </v>
      </c>
      <c r="S9" s="315" t="str">
        <f>IF(VLOOKUP($A9,Items!$A$5:$J$1000,3,0)=0," ",VLOOKUP($A9,Items!$A$5:$J$1000,3,0))</f>
        <v xml:space="preserve"> </v>
      </c>
      <c r="T9" s="315" t="str">
        <f>IF(VLOOKUP($A9,Items!$A$5:$J$1000,7,0)=0," ",VLOOKUP($A9,Items!$A$5:$J$1000,7,0))</f>
        <v xml:space="preserve"> </v>
      </c>
      <c r="U9" s="315" t="str">
        <f>IF(VLOOKUP($A9,Items!$A$5:$J$1000,2,0)=0," ",VLOOKUP($A9,Items!$A$5:$J$1000,2,0))</f>
        <v xml:space="preserve"> </v>
      </c>
      <c r="V9" s="315" t="str">
        <f>IF(VLOOKUP($A9,Items!$A$5:$J$1000,9,0)=0," ",VLOOKUP($A9,Items!$A$5:$J$1000,9,0))</f>
        <v xml:space="preserve"> </v>
      </c>
      <c r="W9" s="315" t="str">
        <f>IF(VLOOKUP($A9,Items!$A$5:$J$1000,4,0)=0," ",VLOOKUP($A9,Items!$A$5:$J$1000,4,0))</f>
        <v xml:space="preserve"> </v>
      </c>
      <c r="X9" s="315" t="str">
        <f>IF(VLOOKUP($A9,Items!$A$5:$J$1000,6,0)=0," ",VLOOKUP($A9,Items!$A$5:$J$1000,6,0))</f>
        <v xml:space="preserve"> </v>
      </c>
      <c r="Y9" s="315" t="str">
        <f>IF(VLOOKUP($A9,Items!$A$5:$J$1000,5,0)=0," ",VLOOKUP($A9,Items!$A$5:$J$1000,5,0))</f>
        <v xml:space="preserve"> </v>
      </c>
      <c r="AA9" s="316" t="str">
        <f>IF(VLOOKUP($A9,Wood!$A$5:$W$1000,16,0)=0," ",VLOOKUP($A9,Wood!$A$5:$W$1000,16,0))</f>
        <v xml:space="preserve"> </v>
      </c>
      <c r="AB9" s="316" t="str">
        <f>IF(VLOOKUP($A9,Wood!$A$5:$W$1000,17,0)=0," ",VLOOKUP($A9,Wood!$A$5:$W$1000,17,0))</f>
        <v xml:space="preserve"> </v>
      </c>
      <c r="AC9" s="316" t="str">
        <f>IF(VLOOKUP($A9,Wood!$A$5:$W$1000,18,0)=0," ",VLOOKUP($A9,Wood!$A$5:$W$1000,18,0))</f>
        <v xml:space="preserve"> </v>
      </c>
      <c r="AD9" s="316" t="str">
        <f>IF(VLOOKUP($A9,Wood!$A$5:$W$1000,19,0)=0," ",VLOOKUP($A9,Wood!$A$5:$W$1000,19,0))</f>
        <v xml:space="preserve"> </v>
      </c>
      <c r="AE9" s="316" t="str">
        <f>IF(VLOOKUP($A9,Wood!$A$5:$W$1000,20,0)=0," ",VLOOKUP($A9,Wood!$A$5:$W$1000,20,0))</f>
        <v xml:space="preserve"> </v>
      </c>
      <c r="AF9" s="316" t="str">
        <f>IF(VLOOKUP($A9,Wood!$A$5:$W$1000,21,0)=0," ",VLOOKUP($A9,Wood!$A$5:$W$1000,21,0))</f>
        <v xml:space="preserve"> </v>
      </c>
      <c r="AG9" s="316" t="str">
        <f>IF(VLOOKUP($A9,Wood!$A$5:$W$1000,22,0)=0," ",VLOOKUP($A9,Wood!$A$5:$W$1000,22,0))</f>
        <v xml:space="preserve"> </v>
      </c>
      <c r="AH9" s="316" t="str">
        <f>IF(VLOOKUP($A9,Wood!$A$5:$W$1000,23,0)=0," ",VLOOKUP($A9,Wood!$A$5:$W$1000,23,0))</f>
        <v xml:space="preserve"> </v>
      </c>
      <c r="AJ9" s="313"/>
      <c r="AK9" s="313"/>
      <c r="AL9" s="313"/>
      <c r="AM9" s="313"/>
      <c r="AN9" s="313">
        <v>1</v>
      </c>
      <c r="AO9" s="313" t="s">
        <v>6</v>
      </c>
      <c r="AP9" s="313" t="s">
        <v>6</v>
      </c>
      <c r="AR9" s="332">
        <v>46297</v>
      </c>
      <c r="AS9" s="333"/>
      <c r="AT9" s="333">
        <f t="shared" ref="AT9" ca="1" si="9">NOW()-AR9</f>
        <v>17.617591435184295</v>
      </c>
      <c r="AU9" s="317">
        <f t="shared" ref="AU9" si="10">IFERROR(AVERAGE(J9:N9,AJ9:AP9),"n/a")</f>
        <v>1</v>
      </c>
    </row>
    <row r="10" spans="1:47" ht="25.5" x14ac:dyDescent="0.2">
      <c r="A10" s="310">
        <v>7292</v>
      </c>
      <c r="B10" s="309" t="s">
        <v>600</v>
      </c>
      <c r="C10" s="310" t="s">
        <v>531</v>
      </c>
      <c r="D10" s="318">
        <v>0.27</v>
      </c>
      <c r="E10" s="312" t="str">
        <f t="shared" ref="E10" si="11">C10</f>
        <v>CONTROLS &amp; SPARE PARTS</v>
      </c>
      <c r="F10" s="365"/>
      <c r="G10" s="368"/>
      <c r="H10" s="359"/>
      <c r="I10" s="362"/>
      <c r="J10" s="313">
        <v>1</v>
      </c>
      <c r="K10" s="313">
        <v>1</v>
      </c>
      <c r="L10" s="313" t="s">
        <v>6</v>
      </c>
      <c r="M10" s="313" t="s">
        <v>6</v>
      </c>
      <c r="N10" s="313" t="s">
        <v>6</v>
      </c>
      <c r="P10" s="314"/>
      <c r="R10" s="315" t="str">
        <f>IF(VLOOKUP($A10,Items!$A$5:$J$1000,8,0)=0," ",VLOOKUP($A10,Items!$A$5:$J$1000,8,0))</f>
        <v xml:space="preserve"> </v>
      </c>
      <c r="S10" s="315" t="str">
        <f>IF(VLOOKUP($A10,Items!$A$5:$J$1000,3,0)=0," ",VLOOKUP($A10,Items!$A$5:$J$1000,3,0))</f>
        <v xml:space="preserve"> </v>
      </c>
      <c r="T10" s="315" t="str">
        <f>IF(VLOOKUP($A10,Items!$A$5:$J$1000,7,0)=0," ",VLOOKUP($A10,Items!$A$5:$J$1000,7,0))</f>
        <v xml:space="preserve"> </v>
      </c>
      <c r="U10" s="315" t="str">
        <f>IF(VLOOKUP($A10,Items!$A$5:$J$1000,2,0)=0," ",VLOOKUP($A10,Items!$A$5:$J$1000,2,0))</f>
        <v xml:space="preserve"> </v>
      </c>
      <c r="V10" s="315" t="str">
        <f>IF(VLOOKUP($A10,Items!$A$5:$J$1000,9,0)=0," ",VLOOKUP($A10,Items!$A$5:$J$1000,9,0))</f>
        <v xml:space="preserve"> </v>
      </c>
      <c r="W10" s="315" t="str">
        <f>IF(VLOOKUP($A10,Items!$A$5:$J$1000,4,0)=0," ",VLOOKUP($A10,Items!$A$5:$J$1000,4,0))</f>
        <v xml:space="preserve"> </v>
      </c>
      <c r="X10" s="315" t="str">
        <f>IF(VLOOKUP($A10,Items!$A$5:$J$1000,6,0)=0," ",VLOOKUP($A10,Items!$A$5:$J$1000,6,0))</f>
        <v xml:space="preserve"> </v>
      </c>
      <c r="Y10" s="315" t="str">
        <f>IF(VLOOKUP($A10,Items!$A$5:$J$1000,5,0)=0," ",VLOOKUP($A10,Items!$A$5:$J$1000,5,0))</f>
        <v xml:space="preserve"> </v>
      </c>
      <c r="AA10" s="316" t="str">
        <f>IF(VLOOKUP($A10,Wood!$A$5:$W$1000,16,0)=0," ",VLOOKUP($A10,Wood!$A$5:$W$1000,16,0))</f>
        <v xml:space="preserve"> </v>
      </c>
      <c r="AB10" s="316" t="str">
        <f>IF(VLOOKUP($A10,Wood!$A$5:$W$1000,17,0)=0," ",VLOOKUP($A10,Wood!$A$5:$W$1000,17,0))</f>
        <v xml:space="preserve"> </v>
      </c>
      <c r="AC10" s="316" t="str">
        <f>IF(VLOOKUP($A10,Wood!$A$5:$W$1000,18,0)=0," ",VLOOKUP($A10,Wood!$A$5:$W$1000,18,0))</f>
        <v xml:space="preserve"> </v>
      </c>
      <c r="AD10" s="316" t="str">
        <f>IF(VLOOKUP($A10,Wood!$A$5:$W$1000,19,0)=0," ",VLOOKUP($A10,Wood!$A$5:$W$1000,19,0))</f>
        <v xml:space="preserve"> </v>
      </c>
      <c r="AE10" s="316" t="str">
        <f>IF(VLOOKUP($A10,Wood!$A$5:$W$1000,20,0)=0," ",VLOOKUP($A10,Wood!$A$5:$W$1000,20,0))</f>
        <v xml:space="preserve"> </v>
      </c>
      <c r="AF10" s="316" t="str">
        <f>IF(VLOOKUP($A10,Wood!$A$5:$W$1000,21,0)=0," ",VLOOKUP($A10,Wood!$A$5:$W$1000,21,0))</f>
        <v xml:space="preserve"> </v>
      </c>
      <c r="AG10" s="316" t="str">
        <f>IF(VLOOKUP($A10,Wood!$A$5:$W$1000,22,0)=0," ",VLOOKUP($A10,Wood!$A$5:$W$1000,22,0))</f>
        <v xml:space="preserve"> </v>
      </c>
      <c r="AH10" s="316" t="str">
        <f>IF(VLOOKUP($A10,Wood!$A$5:$W$1000,23,0)=0," ",VLOOKUP($A10,Wood!$A$5:$W$1000,23,0))</f>
        <v xml:space="preserve"> </v>
      </c>
      <c r="AJ10" s="313"/>
      <c r="AK10" s="313"/>
      <c r="AL10" s="313"/>
      <c r="AM10" s="313"/>
      <c r="AN10" s="313">
        <v>1</v>
      </c>
      <c r="AO10" s="313" t="s">
        <v>6</v>
      </c>
      <c r="AP10" s="313" t="s">
        <v>6</v>
      </c>
      <c r="AR10" s="332">
        <v>46157</v>
      </c>
      <c r="AS10" s="333"/>
      <c r="AT10" s="333">
        <f t="shared" ref="AT10" ca="1" si="12">NOW()-AR10</f>
        <v>157.61759143518429</v>
      </c>
      <c r="AU10" s="317">
        <f t="shared" ref="AU10" si="13">IFERROR(AVERAGE(J10:N10,AJ10:AP10),"n/a")</f>
        <v>1</v>
      </c>
    </row>
    <row r="11" spans="1:47" ht="38.25" x14ac:dyDescent="0.2">
      <c r="A11" s="310">
        <v>7829</v>
      </c>
      <c r="B11" s="309" t="s">
        <v>459</v>
      </c>
      <c r="C11" s="310" t="s">
        <v>527</v>
      </c>
      <c r="D11" s="318">
        <v>42.08</v>
      </c>
      <c r="E11" s="312" t="str">
        <f t="shared" ref="E11:F12" si="14">C11</f>
        <v>CONTROLS, HEATERS, SPARE PARTS, WOODEN ACCESSORIES, DOORS, SAUNA STONES &amp; PANELS</v>
      </c>
      <c r="F11" s="311">
        <f t="shared" si="14"/>
        <v>42.08</v>
      </c>
      <c r="G11" s="332"/>
      <c r="H11" s="6" t="s">
        <v>587</v>
      </c>
      <c r="I11" s="319"/>
      <c r="J11" s="313">
        <v>1</v>
      </c>
      <c r="K11" s="313">
        <v>1</v>
      </c>
      <c r="L11" s="313">
        <v>1</v>
      </c>
      <c r="M11" s="313">
        <v>1</v>
      </c>
      <c r="N11" s="313">
        <v>1</v>
      </c>
      <c r="P11" s="314"/>
      <c r="R11" s="315">
        <f>IF(VLOOKUP($A11,Items!$A$5:$J$1000,8,0)=0," ",VLOOKUP($A11,Items!$A$5:$J$1000,8,0))</f>
        <v>297</v>
      </c>
      <c r="S11" s="315">
        <f>IF(VLOOKUP($A11,Items!$A$5:$J$1000,3,0)=0," ",VLOOKUP($A11,Items!$A$5:$J$1000,3,0))</f>
        <v>151</v>
      </c>
      <c r="T11" s="315">
        <f>IF(VLOOKUP($A11,Items!$A$5:$J$1000,7,0)=0," ",VLOOKUP($A11,Items!$A$5:$J$1000,7,0))</f>
        <v>620</v>
      </c>
      <c r="U11" s="315">
        <f>IF(VLOOKUP($A11,Items!$A$5:$J$1000,2,0)=0," ",VLOOKUP($A11,Items!$A$5:$J$1000,2,0))</f>
        <v>40</v>
      </c>
      <c r="V11" s="315" t="str">
        <f>IF(VLOOKUP($A11,Items!$A$5:$J$1000,9,0)=0," ",VLOOKUP($A11,Items!$A$5:$J$1000,9,0))</f>
        <v xml:space="preserve"> </v>
      </c>
      <c r="W11" s="315">
        <f>IF(VLOOKUP($A11,Items!$A$5:$J$1000,4,0)=0," ",VLOOKUP($A11,Items!$A$5:$J$1000,4,0))</f>
        <v>1860</v>
      </c>
      <c r="X11" s="315">
        <f>IF(VLOOKUP($A11,Items!$A$5:$J$1000,6,0)=0," ",VLOOKUP($A11,Items!$A$5:$J$1000,6,0))</f>
        <v>448</v>
      </c>
      <c r="Y11" s="315" t="str">
        <f>IF(VLOOKUP($A11,Items!$A$5:$J$1000,5,0)=0," ",VLOOKUP($A11,Items!$A$5:$J$1000,5,0))</f>
        <v xml:space="preserve"> </v>
      </c>
      <c r="AA11" s="316">
        <f>IF(VLOOKUP($A11,Wood!$A$5:$W$1000,16,0)=0," ",VLOOKUP($A11,Wood!$A$5:$W$1000,16,0))</f>
        <v>0.16470000000000001</v>
      </c>
      <c r="AB11" s="316">
        <f>IF(VLOOKUP($A11,Wood!$A$5:$W$1000,17,0)=0," ",VLOOKUP($A11,Wood!$A$5:$W$1000,17,0))</f>
        <v>1.9845000000000002</v>
      </c>
      <c r="AC11" s="316">
        <f>IF(VLOOKUP($A11,Wood!$A$5:$W$1000,18,0)=0," ",VLOOKUP($A11,Wood!$A$5:$W$1000,18,0))</f>
        <v>0.73350000000000004</v>
      </c>
      <c r="AD11" s="316">
        <f>IF(VLOOKUP($A11,Wood!$A$5:$W$1000,19,0)=0," ",VLOOKUP($A11,Wood!$A$5:$W$1000,19,0))</f>
        <v>0.34930000000000005</v>
      </c>
      <c r="AE11" s="316" t="str">
        <f>IF(VLOOKUP($A11,Wood!$A$5:$W$1000,20,0)=0," ",VLOOKUP($A11,Wood!$A$5:$W$1000,20,0))</f>
        <v xml:space="preserve"> </v>
      </c>
      <c r="AF11" s="316" t="str">
        <f>IF(VLOOKUP($A11,Wood!$A$5:$W$1000,21,0)=0," ",VLOOKUP($A11,Wood!$A$5:$W$1000,21,0))</f>
        <v xml:space="preserve"> </v>
      </c>
      <c r="AG11" s="316" t="str">
        <f>IF(VLOOKUP($A11,Wood!$A$5:$W$1000,22,0)=0," ",VLOOKUP($A11,Wood!$A$5:$W$1000,22,0))</f>
        <v xml:space="preserve"> </v>
      </c>
      <c r="AH11" s="316" t="str">
        <f>IF(VLOOKUP($A11,Wood!$A$5:$W$1000,23,0)=0," ",VLOOKUP($A11,Wood!$A$5:$W$1000,23,0))</f>
        <v xml:space="preserve"> </v>
      </c>
      <c r="AJ11" s="313"/>
      <c r="AK11" s="313"/>
      <c r="AL11" s="313"/>
      <c r="AM11" s="313"/>
      <c r="AN11" s="313">
        <v>1</v>
      </c>
      <c r="AO11" s="313" t="s">
        <v>6</v>
      </c>
      <c r="AP11" s="313">
        <v>1</v>
      </c>
      <c r="AR11" s="332">
        <v>46198</v>
      </c>
      <c r="AS11" s="333"/>
      <c r="AT11" s="333">
        <f ca="1">NOW()-AR11</f>
        <v>116.61759143518429</v>
      </c>
      <c r="AU11" s="317">
        <f>IFERROR(AVERAGE(J11:N11,AJ11:AP11),"n/a")</f>
        <v>1</v>
      </c>
    </row>
    <row r="12" spans="1:47" ht="51" x14ac:dyDescent="0.2">
      <c r="A12" s="310">
        <v>8802</v>
      </c>
      <c r="B12" s="309" t="s">
        <v>525</v>
      </c>
      <c r="C12" s="310" t="s">
        <v>526</v>
      </c>
      <c r="D12" s="318">
        <v>2.0699999999999998</v>
      </c>
      <c r="E12" s="312" t="str">
        <f t="shared" si="14"/>
        <v>2 UNITS SAUNA ROOMS (2020MS-Cedar &amp; 1919MS-Cedar) w/ complete set of accessories and heater &amp; R-980</v>
      </c>
      <c r="F12" s="311">
        <f t="shared" si="14"/>
        <v>2.0699999999999998</v>
      </c>
      <c r="G12" s="332"/>
      <c r="H12" s="6" t="s">
        <v>610</v>
      </c>
      <c r="I12" s="319" t="s">
        <v>61</v>
      </c>
      <c r="J12" s="313">
        <v>1</v>
      </c>
      <c r="K12" s="313">
        <v>1</v>
      </c>
      <c r="L12" s="313">
        <v>1</v>
      </c>
      <c r="M12" s="313" t="s">
        <v>6</v>
      </c>
      <c r="N12" s="313">
        <v>1</v>
      </c>
      <c r="O12" s="61">
        <v>2</v>
      </c>
      <c r="P12" s="314"/>
      <c r="R12" s="315">
        <f>IF(VLOOKUP($A12,Items!$A$5:$J$1000,8,0)=0," ",VLOOKUP($A12,Items!$A$5:$J$1000,8,0))</f>
        <v>11</v>
      </c>
      <c r="S12" s="315">
        <f>IF(VLOOKUP($A12,Items!$A$5:$J$1000,3,0)=0," ",VLOOKUP($A12,Items!$A$5:$J$1000,3,0))</f>
        <v>5</v>
      </c>
      <c r="T12" s="315">
        <f>IF(VLOOKUP($A12,Items!$A$5:$J$1000,7,0)=0," ",VLOOKUP($A12,Items!$A$5:$J$1000,7,0))</f>
        <v>24</v>
      </c>
      <c r="U12" s="315" t="str">
        <f>IF(VLOOKUP($A12,Items!$A$5:$J$1000,2,0)=0," ",VLOOKUP($A12,Items!$A$5:$J$1000,2,0))</f>
        <v xml:space="preserve"> </v>
      </c>
      <c r="V12" s="315">
        <f>IF(VLOOKUP($A12,Items!$A$5:$J$1000,9,0)=0," ",VLOOKUP($A12,Items!$A$5:$J$1000,9,0))</f>
        <v>2</v>
      </c>
      <c r="W12" s="315" t="str">
        <f>IF(VLOOKUP($A12,Items!$A$5:$J$1000,4,0)=0," ",VLOOKUP($A12,Items!$A$5:$J$1000,4,0))</f>
        <v xml:space="preserve"> </v>
      </c>
      <c r="X12" s="315">
        <f>IF(VLOOKUP($A12,Items!$A$5:$J$1000,6,0)=0," ",VLOOKUP($A12,Items!$A$5:$J$1000,6,0))</f>
        <v>3</v>
      </c>
      <c r="Y12" s="315">
        <f>IF(VLOOKUP($A12,Items!$A$5:$J$1000,5,0)=0," ",VLOOKUP($A12,Items!$A$5:$J$1000,5,0))</f>
        <v>36</v>
      </c>
      <c r="AA12" s="316">
        <f>IF(VLOOKUP($A12,Wood!$A$5:$W$1000,16,0)=0," ",VLOOKUP($A12,Wood!$A$5:$W$1000,16,0))</f>
        <v>0.34520000000000001</v>
      </c>
      <c r="AB12" s="316">
        <f>IF(VLOOKUP($A12,Wood!$A$5:$W$1000,17,0)=0," ",VLOOKUP($A12,Wood!$A$5:$W$1000,17,0))</f>
        <v>1.4385000000000001</v>
      </c>
      <c r="AC12" s="316" t="str">
        <f>IF(VLOOKUP($A12,Wood!$A$5:$W$1000,18,0)=0," ",VLOOKUP($A12,Wood!$A$5:$W$1000,18,0))</f>
        <v xml:space="preserve"> </v>
      </c>
      <c r="AD12" s="316" t="str">
        <f>IF(VLOOKUP($A12,Wood!$A$5:$W$1000,19,0)=0," ",VLOOKUP($A12,Wood!$A$5:$W$1000,19,0))</f>
        <v xml:space="preserve"> </v>
      </c>
      <c r="AE12" s="316" t="str">
        <f>IF(VLOOKUP($A12,Wood!$A$5:$W$1000,20,0)=0," ",VLOOKUP($A12,Wood!$A$5:$W$1000,20,0))</f>
        <v xml:space="preserve"> </v>
      </c>
      <c r="AF12" s="316" t="str">
        <f>IF(VLOOKUP($A12,Wood!$A$5:$W$1000,21,0)=0," ",VLOOKUP($A12,Wood!$A$5:$W$1000,21,0))</f>
        <v xml:space="preserve"> </v>
      </c>
      <c r="AG12" s="316" t="str">
        <f>IF(VLOOKUP($A12,Wood!$A$5:$W$1000,22,0)=0," ",VLOOKUP($A12,Wood!$A$5:$W$1000,22,0))</f>
        <v xml:space="preserve"> </v>
      </c>
      <c r="AH12" s="316" t="str">
        <f>IF(VLOOKUP($A12,Wood!$A$5:$W$1000,23,0)=0," ",VLOOKUP($A12,Wood!$A$5:$W$1000,23,0))</f>
        <v xml:space="preserve"> </v>
      </c>
      <c r="AJ12" s="313"/>
      <c r="AK12" s="313"/>
      <c r="AL12" s="313"/>
      <c r="AM12" s="313"/>
      <c r="AN12" s="313">
        <v>1</v>
      </c>
      <c r="AO12" s="313" t="s">
        <v>6</v>
      </c>
      <c r="AP12" s="313">
        <v>1</v>
      </c>
      <c r="AR12" s="332">
        <v>46279</v>
      </c>
      <c r="AS12" s="333"/>
      <c r="AT12" s="333">
        <f ca="1">NOW()-AR12</f>
        <v>35.617591435184295</v>
      </c>
      <c r="AU12" s="317">
        <f>IFERROR(AVERAGE(J12:N12,AJ12:AP12),"n/a")</f>
        <v>1</v>
      </c>
    </row>
    <row r="13" spans="1:47" ht="38.25" x14ac:dyDescent="0.2">
      <c r="A13" s="310">
        <v>8303</v>
      </c>
      <c r="B13" s="309" t="s">
        <v>523</v>
      </c>
      <c r="C13" s="310" t="s">
        <v>524</v>
      </c>
      <c r="D13" s="318">
        <v>0.14000000000000001</v>
      </c>
      <c r="E13" s="312" t="str">
        <f t="shared" ref="E13:E16" si="15">C13</f>
        <v>1 UNIT SAUNA ROOM (1411LS-Cedar) w/ complete set of accessories and heater</v>
      </c>
      <c r="F13" s="311">
        <f>D13</f>
        <v>0.14000000000000001</v>
      </c>
      <c r="G13" s="332"/>
      <c r="H13" s="6" t="s">
        <v>594</v>
      </c>
      <c r="I13" s="319" t="s">
        <v>61</v>
      </c>
      <c r="J13" s="313">
        <v>1</v>
      </c>
      <c r="K13" s="313">
        <v>1</v>
      </c>
      <c r="L13" s="313">
        <v>1</v>
      </c>
      <c r="M13" s="313" t="s">
        <v>6</v>
      </c>
      <c r="N13" s="313">
        <v>1</v>
      </c>
      <c r="O13" s="61">
        <v>1</v>
      </c>
      <c r="P13" s="314"/>
      <c r="R13" s="315" t="str">
        <f>IF(VLOOKUP($A13,Items!$A$5:$J$1000,8,0)=0," ",VLOOKUP($A13,Items!$A$5:$J$1000,8,0))</f>
        <v xml:space="preserve"> </v>
      </c>
      <c r="S13" s="315" t="str">
        <f>IF(VLOOKUP($A13,Items!$A$5:$J$1000,3,0)=0," ",VLOOKUP($A13,Items!$A$5:$J$1000,3,0))</f>
        <v xml:space="preserve"> </v>
      </c>
      <c r="T13" s="315" t="str">
        <f>IF(VLOOKUP($A13,Items!$A$5:$J$1000,7,0)=0," ",VLOOKUP($A13,Items!$A$5:$J$1000,7,0))</f>
        <v xml:space="preserve"> </v>
      </c>
      <c r="U13" s="315" t="str">
        <f>IF(VLOOKUP($A13,Items!$A$5:$J$1000,2,0)=0," ",VLOOKUP($A13,Items!$A$5:$J$1000,2,0))</f>
        <v xml:space="preserve"> </v>
      </c>
      <c r="V13" s="315" t="str">
        <f>IF(VLOOKUP($A13,Items!$A$5:$J$1000,9,0)=0," ",VLOOKUP($A13,Items!$A$5:$J$1000,9,0))</f>
        <v xml:space="preserve"> </v>
      </c>
      <c r="W13" s="315" t="str">
        <f>IF(VLOOKUP($A13,Items!$A$5:$J$1000,4,0)=0," ",VLOOKUP($A13,Items!$A$5:$J$1000,4,0))</f>
        <v xml:space="preserve"> </v>
      </c>
      <c r="X13" s="315" t="str">
        <f>IF(VLOOKUP($A13,Items!$A$5:$J$1000,6,0)=0," ",VLOOKUP($A13,Items!$A$5:$J$1000,6,0))</f>
        <v xml:space="preserve"> </v>
      </c>
      <c r="Y13" s="315" t="str">
        <f>IF(VLOOKUP($A13,Items!$A$5:$J$1000,5,0)=0," ",VLOOKUP($A13,Items!$A$5:$J$1000,5,0))</f>
        <v xml:space="preserve"> </v>
      </c>
      <c r="AA13" s="316" t="str">
        <f>IF(VLOOKUP($A13,Wood!$A$5:$W$1000,16,0)=0," ",VLOOKUP($A13,Wood!$A$5:$W$1000,16,0))</f>
        <v xml:space="preserve"> </v>
      </c>
      <c r="AB13" s="316" t="str">
        <f>IF(VLOOKUP($A13,Wood!$A$5:$W$1000,17,0)=0," ",VLOOKUP($A13,Wood!$A$5:$W$1000,17,0))</f>
        <v xml:space="preserve"> </v>
      </c>
      <c r="AC13" s="316" t="str">
        <f>IF(VLOOKUP($A13,Wood!$A$5:$W$1000,18,0)=0," ",VLOOKUP($A13,Wood!$A$5:$W$1000,18,0))</f>
        <v xml:space="preserve"> </v>
      </c>
      <c r="AD13" s="316" t="str">
        <f>IF(VLOOKUP($A13,Wood!$A$5:$W$1000,19,0)=0," ",VLOOKUP($A13,Wood!$A$5:$W$1000,19,0))</f>
        <v xml:space="preserve"> </v>
      </c>
      <c r="AE13" s="316" t="str">
        <f>IF(VLOOKUP($A13,Wood!$A$5:$W$1000,20,0)=0," ",VLOOKUP($A13,Wood!$A$5:$W$1000,20,0))</f>
        <v xml:space="preserve"> </v>
      </c>
      <c r="AF13" s="316" t="str">
        <f>IF(VLOOKUP($A13,Wood!$A$5:$W$1000,21,0)=0," ",VLOOKUP($A13,Wood!$A$5:$W$1000,21,0))</f>
        <v xml:space="preserve"> </v>
      </c>
      <c r="AG13" s="316" t="str">
        <f>IF(VLOOKUP($A13,Wood!$A$5:$W$1000,22,0)=0," ",VLOOKUP($A13,Wood!$A$5:$W$1000,22,0))</f>
        <v xml:space="preserve"> </v>
      </c>
      <c r="AH13" s="316" t="str">
        <f>IF(VLOOKUP($A13,Wood!$A$5:$W$1000,23,0)=0," ",VLOOKUP($A13,Wood!$A$5:$W$1000,23,0))</f>
        <v xml:space="preserve"> </v>
      </c>
      <c r="AJ13" s="313"/>
      <c r="AK13" s="313"/>
      <c r="AL13" s="313"/>
      <c r="AM13" s="313"/>
      <c r="AN13" s="313">
        <v>1</v>
      </c>
      <c r="AO13" s="313" t="s">
        <v>6</v>
      </c>
      <c r="AP13" s="313">
        <v>1</v>
      </c>
      <c r="AR13" s="332">
        <v>46275</v>
      </c>
      <c r="AS13" s="333"/>
      <c r="AT13" s="333">
        <f ca="1">NOW()-AR13</f>
        <v>39.617591435184295</v>
      </c>
      <c r="AU13" s="317">
        <f t="shared" ref="AU13" si="16">IFERROR(AVERAGE(J13:N13,AJ13:AP13),"n/a")</f>
        <v>1</v>
      </c>
    </row>
    <row r="14" spans="1:47" ht="38.25" x14ac:dyDescent="0.2">
      <c r="A14" s="322">
        <v>9296</v>
      </c>
      <c r="B14" s="321" t="s">
        <v>642</v>
      </c>
      <c r="C14" s="322" t="s">
        <v>258</v>
      </c>
      <c r="D14" s="323">
        <v>0.05</v>
      </c>
      <c r="E14" s="322" t="str">
        <f>C14</f>
        <v>HEATER GUARDS</v>
      </c>
      <c r="F14" s="323">
        <f t="shared" ref="F14:F15" si="17">D14</f>
        <v>0.05</v>
      </c>
      <c r="G14" s="242">
        <v>46314</v>
      </c>
      <c r="H14" s="324"/>
      <c r="I14" s="8"/>
      <c r="J14" s="313" t="s">
        <v>6</v>
      </c>
      <c r="K14" s="313">
        <v>0</v>
      </c>
      <c r="L14" s="313">
        <v>0</v>
      </c>
      <c r="M14" s="313" t="s">
        <v>6</v>
      </c>
      <c r="N14" s="313" t="s">
        <v>6</v>
      </c>
      <c r="P14" s="314" t="s">
        <v>592</v>
      </c>
      <c r="R14" s="315" t="str">
        <f>IF(VLOOKUP($A14,Items!$A$5:$J$1000,8,0)=0," ",VLOOKUP($A14,Items!$A$5:$J$1000,8,0))</f>
        <v xml:space="preserve"> </v>
      </c>
      <c r="S14" s="315" t="str">
        <f>IF(VLOOKUP($A14,Items!$A$5:$J$1000,3,0)=0," ",VLOOKUP($A14,Items!$A$5:$J$1000,3,0))</f>
        <v xml:space="preserve"> </v>
      </c>
      <c r="T14" s="315">
        <f>IF(VLOOKUP($A14,Items!$A$5:$J$1000,7,0)=0," ",VLOOKUP($A14,Items!$A$5:$J$1000,7,0))</f>
        <v>1</v>
      </c>
      <c r="U14" s="315" t="str">
        <f>IF(VLOOKUP($A14,Items!$A$5:$J$1000,2,0)=0," ",VLOOKUP($A14,Items!$A$5:$J$1000,2,0))</f>
        <v xml:space="preserve"> </v>
      </c>
      <c r="V14" s="315" t="str">
        <f>IF(VLOOKUP($A14,Items!$A$5:$J$1000,9,0)=0," ",VLOOKUP($A14,Items!$A$5:$J$1000,9,0))</f>
        <v xml:space="preserve"> </v>
      </c>
      <c r="W14" s="315" t="str">
        <f>IF(VLOOKUP($A14,Items!$A$5:$J$1000,4,0)=0," ",VLOOKUP($A14,Items!$A$5:$J$1000,4,0))</f>
        <v xml:space="preserve"> </v>
      </c>
      <c r="X14" s="315">
        <f>IF(VLOOKUP($A14,Items!$A$5:$J$1000,6,0)=0," ",VLOOKUP($A14,Items!$A$5:$J$1000,6,0))</f>
        <v>1</v>
      </c>
      <c r="Y14" s="315" t="str">
        <f>IF(VLOOKUP($A14,Items!$A$5:$J$1000,5,0)=0," ",VLOOKUP($A14,Items!$A$5:$J$1000,5,0))</f>
        <v xml:space="preserve"> </v>
      </c>
      <c r="AA14" s="316" t="str">
        <f>IF(VLOOKUP($A14,Wood!$A$5:$W$1000,16,0)=0," ",VLOOKUP($A14,Wood!$A$5:$W$1000,16,0))</f>
        <v xml:space="preserve"> </v>
      </c>
      <c r="AB14" s="316" t="str">
        <f>IF(VLOOKUP($A14,Wood!$A$5:$W$1000,17,0)=0," ",VLOOKUP($A14,Wood!$A$5:$W$1000,17,0))</f>
        <v xml:space="preserve"> </v>
      </c>
      <c r="AC14" s="316" t="str">
        <f>IF(VLOOKUP($A14,Wood!$A$5:$W$1000,18,0)=0," ",VLOOKUP($A14,Wood!$A$5:$W$1000,18,0))</f>
        <v xml:space="preserve"> </v>
      </c>
      <c r="AD14" s="316" t="str">
        <f>IF(VLOOKUP($A14,Wood!$A$5:$W$1000,19,0)=0," ",VLOOKUP($A14,Wood!$A$5:$W$1000,19,0))</f>
        <v xml:space="preserve"> </v>
      </c>
      <c r="AE14" s="316" t="str">
        <f>IF(VLOOKUP($A14,Wood!$A$5:$W$1000,20,0)=0," ",VLOOKUP($A14,Wood!$A$5:$W$1000,20,0))</f>
        <v xml:space="preserve"> </v>
      </c>
      <c r="AF14" s="316" t="str">
        <f>IF(VLOOKUP($A14,Wood!$A$5:$W$1000,21,0)=0," ",VLOOKUP($A14,Wood!$A$5:$W$1000,21,0))</f>
        <v xml:space="preserve"> </v>
      </c>
      <c r="AG14" s="316" t="str">
        <f>IF(VLOOKUP($A14,Wood!$A$5:$W$1000,22,0)=0," ",VLOOKUP($A14,Wood!$A$5:$W$1000,22,0))</f>
        <v xml:space="preserve"> </v>
      </c>
      <c r="AH14" s="316" t="str">
        <f>IF(VLOOKUP($A14,Wood!$A$5:$W$1000,23,0)=0," ",VLOOKUP($A14,Wood!$A$5:$W$1000,23,0))</f>
        <v xml:space="preserve"> </v>
      </c>
      <c r="AJ14" s="313"/>
      <c r="AK14" s="313"/>
      <c r="AL14" s="313"/>
      <c r="AM14" s="313"/>
      <c r="AN14" s="313" t="s">
        <v>6</v>
      </c>
      <c r="AO14" s="313" t="s">
        <v>6</v>
      </c>
      <c r="AP14" s="313" t="s">
        <v>6</v>
      </c>
      <c r="AQ14" s="342"/>
      <c r="AR14" s="332">
        <v>46310</v>
      </c>
      <c r="AS14" s="333">
        <f t="shared" ref="AS14:AS15" si="18">IFERROR(G14-AR14,"")</f>
        <v>4</v>
      </c>
      <c r="AT14" s="333">
        <f ca="1">NOW()-AR14</f>
        <v>4.6175914351842948</v>
      </c>
      <c r="AU14" s="317">
        <f t="shared" ref="AU14:AU15" si="19">IFERROR(AVERAGE(J14:N14,AJ14:AP14),"n/a")</f>
        <v>0</v>
      </c>
    </row>
    <row r="15" spans="1:47" ht="25.5" x14ac:dyDescent="0.2">
      <c r="A15" s="310">
        <v>9309</v>
      </c>
      <c r="B15" s="309" t="s">
        <v>655</v>
      </c>
      <c r="C15" s="310" t="s">
        <v>656</v>
      </c>
      <c r="D15" s="318">
        <v>6.4030000000000004E-2</v>
      </c>
      <c r="E15" s="312" t="str">
        <f>C15</f>
        <v>HEATER</v>
      </c>
      <c r="F15" s="311">
        <f t="shared" si="17"/>
        <v>6.4030000000000004E-2</v>
      </c>
      <c r="G15" s="332">
        <v>46314</v>
      </c>
      <c r="H15" s="6" t="s">
        <v>657</v>
      </c>
      <c r="I15" s="319" t="s">
        <v>64</v>
      </c>
      <c r="J15" s="313" t="s">
        <v>6</v>
      </c>
      <c r="K15" s="313">
        <v>0</v>
      </c>
      <c r="L15" s="313" t="s">
        <v>6</v>
      </c>
      <c r="M15" s="313" t="s">
        <v>6</v>
      </c>
      <c r="N15" s="313" t="s">
        <v>6</v>
      </c>
      <c r="P15" s="314" t="s">
        <v>592</v>
      </c>
      <c r="R15" s="315" t="str">
        <f>IF(VLOOKUP($A15,Items!$A$5:$J$1000,8,0)=0," ",VLOOKUP($A15,Items!$A$5:$J$1000,8,0))</f>
        <v xml:space="preserve"> </v>
      </c>
      <c r="S15" s="315">
        <f>IF(VLOOKUP($A15,Items!$A$5:$J$1000,3,0)=0," ",VLOOKUP($A15,Items!$A$5:$J$1000,3,0))</f>
        <v>1</v>
      </c>
      <c r="T15" s="315" t="str">
        <f>IF(VLOOKUP($A15,Items!$A$5:$J$1000,7,0)=0," ",VLOOKUP($A15,Items!$A$5:$J$1000,7,0))</f>
        <v xml:space="preserve"> </v>
      </c>
      <c r="U15" s="315" t="str">
        <f>IF(VLOOKUP($A15,Items!$A$5:$J$1000,2,0)=0," ",VLOOKUP($A15,Items!$A$5:$J$1000,2,0))</f>
        <v xml:space="preserve"> </v>
      </c>
      <c r="V15" s="315" t="str">
        <f>IF(VLOOKUP($A15,Items!$A$5:$J$1000,9,0)=0," ",VLOOKUP($A15,Items!$A$5:$J$1000,9,0))</f>
        <v xml:space="preserve"> </v>
      </c>
      <c r="W15" s="315" t="str">
        <f>IF(VLOOKUP($A15,Items!$A$5:$J$1000,4,0)=0," ",VLOOKUP($A15,Items!$A$5:$J$1000,4,0))</f>
        <v xml:space="preserve"> </v>
      </c>
      <c r="X15" s="315" t="str">
        <f>IF(VLOOKUP($A15,Items!$A$5:$J$1000,6,0)=0," ",VLOOKUP($A15,Items!$A$5:$J$1000,6,0))</f>
        <v xml:space="preserve"> </v>
      </c>
      <c r="Y15" s="315" t="str">
        <f>IF(VLOOKUP($A15,Items!$A$5:$J$1000,5,0)=0," ",VLOOKUP($A15,Items!$A$5:$J$1000,5,0))</f>
        <v xml:space="preserve"> </v>
      </c>
      <c r="AA15" s="316" t="str">
        <f>IF(VLOOKUP($A15,Wood!$A$5:$W$1000,16,0)=0," ",VLOOKUP($A15,Wood!$A$5:$W$1000,16,0))</f>
        <v xml:space="preserve"> </v>
      </c>
      <c r="AB15" s="316" t="str">
        <f>IF(VLOOKUP($A15,Wood!$A$5:$W$1000,17,0)=0," ",VLOOKUP($A15,Wood!$A$5:$W$1000,17,0))</f>
        <v xml:space="preserve"> </v>
      </c>
      <c r="AC15" s="316" t="str">
        <f>IF(VLOOKUP($A15,Wood!$A$5:$W$1000,18,0)=0," ",VLOOKUP($A15,Wood!$A$5:$W$1000,18,0))</f>
        <v xml:space="preserve"> </v>
      </c>
      <c r="AD15" s="316" t="str">
        <f>IF(VLOOKUP($A15,Wood!$A$5:$W$1000,19,0)=0," ",VLOOKUP($A15,Wood!$A$5:$W$1000,19,0))</f>
        <v xml:space="preserve"> </v>
      </c>
      <c r="AE15" s="316" t="str">
        <f>IF(VLOOKUP($A15,Wood!$A$5:$W$1000,20,0)=0," ",VLOOKUP($A15,Wood!$A$5:$W$1000,20,0))</f>
        <v xml:space="preserve"> </v>
      </c>
      <c r="AF15" s="316" t="str">
        <f>IF(VLOOKUP($A15,Wood!$A$5:$W$1000,21,0)=0," ",VLOOKUP($A15,Wood!$A$5:$W$1000,21,0))</f>
        <v xml:space="preserve"> </v>
      </c>
      <c r="AG15" s="316" t="str">
        <f>IF(VLOOKUP($A15,Wood!$A$5:$W$1000,22,0)=0," ",VLOOKUP($A15,Wood!$A$5:$W$1000,22,0))</f>
        <v xml:space="preserve"> </v>
      </c>
      <c r="AH15" s="316" t="str">
        <f>IF(VLOOKUP($A15,Wood!$A$5:$W$1000,23,0)=0," ",VLOOKUP($A15,Wood!$A$5:$W$1000,23,0))</f>
        <v xml:space="preserve"> </v>
      </c>
      <c r="AJ15" s="313"/>
      <c r="AK15" s="313"/>
      <c r="AL15" s="313"/>
      <c r="AM15" s="313"/>
      <c r="AN15" s="313">
        <v>0</v>
      </c>
      <c r="AO15" s="313" t="s">
        <v>6</v>
      </c>
      <c r="AP15" s="313" t="s">
        <v>6</v>
      </c>
      <c r="AR15" s="332">
        <v>46311</v>
      </c>
      <c r="AS15" s="333">
        <f t="shared" si="18"/>
        <v>3</v>
      </c>
      <c r="AT15" s="333">
        <f ca="1">NOW()-AR15</f>
        <v>3.6175914351842948</v>
      </c>
      <c r="AU15" s="317">
        <f t="shared" si="19"/>
        <v>0</v>
      </c>
    </row>
    <row r="16" spans="1:47" ht="38.25" x14ac:dyDescent="0.2">
      <c r="A16" s="310">
        <v>9117</v>
      </c>
      <c r="B16" s="309" t="s">
        <v>614</v>
      </c>
      <c r="C16" s="310" t="s">
        <v>626</v>
      </c>
      <c r="D16" s="318">
        <v>30.07</v>
      </c>
      <c r="E16" s="312" t="str">
        <f t="shared" si="15"/>
        <v>2 UNITS SAUNA ROOMS (2222MD-Cedar &amp; 1214RS-Cedar), WOODEN ACCESSORIES &amp; DOORS</v>
      </c>
      <c r="F16" s="363">
        <f>SUM(D16:D20)</f>
        <v>83.268000000000001</v>
      </c>
      <c r="G16" s="332">
        <v>46315</v>
      </c>
      <c r="H16" s="1" t="s">
        <v>610</v>
      </c>
      <c r="I16" s="360" t="s">
        <v>81</v>
      </c>
      <c r="J16" s="313" t="s">
        <v>6</v>
      </c>
      <c r="K16" s="313" t="s">
        <v>6</v>
      </c>
      <c r="L16" s="335">
        <v>0</v>
      </c>
      <c r="M16" s="313">
        <v>0</v>
      </c>
      <c r="N16" s="313">
        <v>0</v>
      </c>
      <c r="O16" s="61">
        <v>2</v>
      </c>
      <c r="P16" s="314" t="s">
        <v>592</v>
      </c>
      <c r="R16" s="315" t="str">
        <f>IF(VLOOKUP($A16,Items!$A$5:$J$1000,8,0)=0," ",VLOOKUP($A16,Items!$A$5:$J$1000,8,0))</f>
        <v xml:space="preserve"> </v>
      </c>
      <c r="S16" s="315" t="str">
        <f>IF(VLOOKUP($A16,Items!$A$5:$J$1000,3,0)=0," ",VLOOKUP($A16,Items!$A$5:$J$1000,3,0))</f>
        <v xml:space="preserve"> </v>
      </c>
      <c r="T16" s="315">
        <f>IF(VLOOKUP($A16,Items!$A$5:$J$1000,7,0)=0," ",VLOOKUP($A16,Items!$A$5:$J$1000,7,0))</f>
        <v>540</v>
      </c>
      <c r="U16" s="315">
        <f>IF(VLOOKUP($A16,Items!$A$5:$J$1000,2,0)=0," ",VLOOKUP($A16,Items!$A$5:$J$1000,2,0))</f>
        <v>40</v>
      </c>
      <c r="V16" s="315">
        <f>IF(VLOOKUP($A16,Items!$A$5:$J$1000,9,0)=0," ",VLOOKUP($A16,Items!$A$5:$J$1000,9,0))</f>
        <v>2</v>
      </c>
      <c r="W16" s="315" t="str">
        <f>IF(VLOOKUP($A16,Items!$A$5:$J$1000,4,0)=0," ",VLOOKUP($A16,Items!$A$5:$J$1000,4,0))</f>
        <v xml:space="preserve"> </v>
      </c>
      <c r="X16" s="315" t="str">
        <f>IF(VLOOKUP($A16,Items!$A$5:$J$1000,6,0)=0," ",VLOOKUP($A16,Items!$A$5:$J$1000,6,0))</f>
        <v xml:space="preserve"> </v>
      </c>
      <c r="Y16" s="315" t="str">
        <f>IF(VLOOKUP($A16,Items!$A$5:$J$1000,5,0)=0," ",VLOOKUP($A16,Items!$A$5:$J$1000,5,0))</f>
        <v xml:space="preserve"> </v>
      </c>
      <c r="AA16" s="316">
        <f>IF(VLOOKUP($A16,Wood!$A$5:$W$1000,16,0)=0," ",VLOOKUP($A16,Wood!$A$5:$W$1000,16,0))</f>
        <v>1.74</v>
      </c>
      <c r="AB16" s="316">
        <f>IF(VLOOKUP($A16,Wood!$A$5:$W$1000,17,0)=0," ",VLOOKUP($A16,Wood!$A$5:$W$1000,17,0))</f>
        <v>2.2528000000000001</v>
      </c>
      <c r="AC16" s="316" t="str">
        <f>IF(VLOOKUP($A16,Wood!$A$5:$W$1000,18,0)=0," ",VLOOKUP($A16,Wood!$A$5:$W$1000,18,0))</f>
        <v xml:space="preserve"> </v>
      </c>
      <c r="AD16" s="316" t="str">
        <f>IF(VLOOKUP($A16,Wood!$A$5:$W$1000,19,0)=0," ",VLOOKUP($A16,Wood!$A$5:$W$1000,19,0))</f>
        <v xml:space="preserve"> </v>
      </c>
      <c r="AE16" s="316" t="str">
        <f>IF(VLOOKUP($A16,Wood!$A$5:$W$1000,20,0)=0," ",VLOOKUP($A16,Wood!$A$5:$W$1000,20,0))</f>
        <v xml:space="preserve"> </v>
      </c>
      <c r="AF16" s="316" t="str">
        <f>IF(VLOOKUP($A16,Wood!$A$5:$W$1000,21,0)=0," ",VLOOKUP($A16,Wood!$A$5:$W$1000,21,0))</f>
        <v xml:space="preserve"> </v>
      </c>
      <c r="AG16" s="316">
        <f>IF(VLOOKUP($A16,Wood!$A$5:$W$1000,22,0)=0," ",VLOOKUP($A16,Wood!$A$5:$W$1000,22,0))</f>
        <v>3.2000000000000002E-3</v>
      </c>
      <c r="AH16" s="316" t="str">
        <f>IF(VLOOKUP($A16,Wood!$A$5:$W$1000,23,0)=0," ",VLOOKUP($A16,Wood!$A$5:$W$1000,23,0))</f>
        <v xml:space="preserve"> </v>
      </c>
      <c r="AJ16" s="313"/>
      <c r="AK16" s="313"/>
      <c r="AL16" s="313"/>
      <c r="AM16" s="313"/>
      <c r="AN16" s="313" t="s">
        <v>6</v>
      </c>
      <c r="AO16" s="313">
        <v>0</v>
      </c>
      <c r="AP16" s="313">
        <v>0</v>
      </c>
      <c r="AQ16" s="320"/>
      <c r="AR16" s="332">
        <v>46300</v>
      </c>
      <c r="AS16" s="333">
        <f t="shared" ref="AS16:AS31" si="20">IFERROR(G16-AR16,"")</f>
        <v>15</v>
      </c>
      <c r="AT16" s="333">
        <f t="shared" ref="AT16" ca="1" si="21">NOW()-AR16</f>
        <v>14.617591435184295</v>
      </c>
      <c r="AU16" s="317">
        <f>IFERROR(AVERAGE(J16:N16,AJ16:AP16),"n/a")</f>
        <v>0</v>
      </c>
    </row>
    <row r="17" spans="1:47" ht="38.25" x14ac:dyDescent="0.2">
      <c r="A17" s="310">
        <v>8641</v>
      </c>
      <c r="B17" s="309" t="s">
        <v>582</v>
      </c>
      <c r="C17" s="310" t="s">
        <v>580</v>
      </c>
      <c r="D17" s="318">
        <v>25.16</v>
      </c>
      <c r="E17" s="312" t="str">
        <f t="shared" si="5"/>
        <v>WOODEN ACCESSORIES &amp; DOORS</v>
      </c>
      <c r="F17" s="364"/>
      <c r="G17" s="332">
        <v>46315</v>
      </c>
      <c r="H17" s="369"/>
      <c r="I17" s="361"/>
      <c r="J17" s="313" t="s">
        <v>6</v>
      </c>
      <c r="K17" s="313" t="s">
        <v>6</v>
      </c>
      <c r="L17" s="335">
        <v>0.56000000000000005</v>
      </c>
      <c r="M17" s="313">
        <v>1</v>
      </c>
      <c r="N17" s="313" t="s">
        <v>6</v>
      </c>
      <c r="P17" s="314" t="s">
        <v>592</v>
      </c>
      <c r="R17" s="315" t="str">
        <f>IF(VLOOKUP($A17,Items!$A$5:$J$1000,8,0)=0," ",VLOOKUP($A17,Items!$A$5:$J$1000,8,0))</f>
        <v xml:space="preserve"> </v>
      </c>
      <c r="S17" s="315" t="str">
        <f>IF(VLOOKUP($A17,Items!$A$5:$J$1000,3,0)=0," ",VLOOKUP($A17,Items!$A$5:$J$1000,3,0))</f>
        <v xml:space="preserve"> </v>
      </c>
      <c r="T17" s="315">
        <f>IF(VLOOKUP($A17,Items!$A$5:$J$1000,7,0)=0," ",VLOOKUP($A17,Items!$A$5:$J$1000,7,0))</f>
        <v>4074</v>
      </c>
      <c r="U17" s="315">
        <f>IF(VLOOKUP($A17,Items!$A$5:$J$1000,2,0)=0," ",VLOOKUP($A17,Items!$A$5:$J$1000,2,0))</f>
        <v>10</v>
      </c>
      <c r="V17" s="315" t="str">
        <f>IF(VLOOKUP($A17,Items!$A$5:$J$1000,9,0)=0," ",VLOOKUP($A17,Items!$A$5:$J$1000,9,0))</f>
        <v xml:space="preserve"> </v>
      </c>
      <c r="W17" s="315" t="str">
        <f>IF(VLOOKUP($A17,Items!$A$5:$J$1000,4,0)=0," ",VLOOKUP($A17,Items!$A$5:$J$1000,4,0))</f>
        <v xml:space="preserve"> </v>
      </c>
      <c r="X17" s="315" t="str">
        <f>IF(VLOOKUP($A17,Items!$A$5:$J$1000,6,0)=0," ",VLOOKUP($A17,Items!$A$5:$J$1000,6,0))</f>
        <v xml:space="preserve"> </v>
      </c>
      <c r="Y17" s="315" t="str">
        <f>IF(VLOOKUP($A17,Items!$A$5:$J$1000,5,0)=0," ",VLOOKUP($A17,Items!$A$5:$J$1000,5,0))</f>
        <v xml:space="preserve"> </v>
      </c>
      <c r="AA17" s="316">
        <f>IF(VLOOKUP($A17,Wood!$A$5:$W$1000,16,0)=0," ",VLOOKUP($A17,Wood!$A$5:$W$1000,16,0))</f>
        <v>2.1492</v>
      </c>
      <c r="AB17" s="316">
        <f>IF(VLOOKUP($A17,Wood!$A$5:$W$1000,17,0)=0," ",VLOOKUP($A17,Wood!$A$5:$W$1000,17,0))</f>
        <v>9.0580400000000001</v>
      </c>
      <c r="AC17" s="316">
        <f>IF(VLOOKUP($A17,Wood!$A$5:$W$1000,18,0)=0," ",VLOOKUP($A17,Wood!$A$5:$W$1000,18,0))</f>
        <v>0.10079999999999999</v>
      </c>
      <c r="AD17" s="316" t="str">
        <f>IF(VLOOKUP($A17,Wood!$A$5:$W$1000,19,0)=0," ",VLOOKUP($A17,Wood!$A$5:$W$1000,19,0))</f>
        <v xml:space="preserve"> </v>
      </c>
      <c r="AE17" s="316" t="str">
        <f>IF(VLOOKUP($A17,Wood!$A$5:$W$1000,20,0)=0," ",VLOOKUP($A17,Wood!$A$5:$W$1000,20,0))</f>
        <v xml:space="preserve"> </v>
      </c>
      <c r="AF17" s="316">
        <f>IF(VLOOKUP($A17,Wood!$A$5:$W$1000,21,0)=0," ",VLOOKUP($A17,Wood!$A$5:$W$1000,21,0))</f>
        <v>4.1939199999999994</v>
      </c>
      <c r="AG17" s="316" t="str">
        <f>IF(VLOOKUP($A17,Wood!$A$5:$W$1000,22,0)=0," ",VLOOKUP($A17,Wood!$A$5:$W$1000,22,0))</f>
        <v xml:space="preserve"> </v>
      </c>
      <c r="AH17" s="316" t="str">
        <f>IF(VLOOKUP($A17,Wood!$A$5:$W$1000,23,0)=0," ",VLOOKUP($A17,Wood!$A$5:$W$1000,23,0))</f>
        <v xml:space="preserve"> </v>
      </c>
      <c r="AJ17" s="313"/>
      <c r="AK17" s="313"/>
      <c r="AL17" s="313"/>
      <c r="AM17" s="313"/>
      <c r="AN17" s="313" t="s">
        <v>6</v>
      </c>
      <c r="AO17" s="313">
        <v>1</v>
      </c>
      <c r="AP17" s="313" t="s">
        <v>6</v>
      </c>
      <c r="AQ17" s="320"/>
      <c r="AR17" s="332">
        <v>46267</v>
      </c>
      <c r="AS17" s="333">
        <f t="shared" si="20"/>
        <v>48</v>
      </c>
      <c r="AT17" s="333">
        <f t="shared" ref="AT17" ca="1" si="22">NOW()-AR17</f>
        <v>47.617591435184295</v>
      </c>
      <c r="AU17" s="317">
        <f>IFERROR(AVERAGE(J17:N17,AJ17:AP17),"n/a")</f>
        <v>0.85333333333333339</v>
      </c>
    </row>
    <row r="18" spans="1:47" ht="38.25" x14ac:dyDescent="0.2">
      <c r="A18" s="310">
        <v>8102</v>
      </c>
      <c r="B18" s="309" t="s">
        <v>582</v>
      </c>
      <c r="C18" s="310" t="s">
        <v>583</v>
      </c>
      <c r="D18" s="318">
        <v>0.748</v>
      </c>
      <c r="E18" s="312" t="str">
        <f t="shared" ref="E18" si="23">C18</f>
        <v>CORNER MOULDING</v>
      </c>
      <c r="F18" s="364"/>
      <c r="G18" s="332">
        <v>46315</v>
      </c>
      <c r="H18" s="369"/>
      <c r="I18" s="361"/>
      <c r="J18" s="313" t="s">
        <v>6</v>
      </c>
      <c r="K18" s="313" t="s">
        <v>6</v>
      </c>
      <c r="L18" s="313" t="s">
        <v>6</v>
      </c>
      <c r="M18" s="313" t="s">
        <v>6</v>
      </c>
      <c r="N18" s="313">
        <v>0.5</v>
      </c>
      <c r="P18" s="314" t="s">
        <v>592</v>
      </c>
      <c r="R18" s="315" t="str">
        <f>IF(VLOOKUP($A18,Items!$A$5:$J$1000,8,0)=0," ",VLOOKUP($A18,Items!$A$5:$J$1000,8,0))</f>
        <v xml:space="preserve"> </v>
      </c>
      <c r="S18" s="315" t="str">
        <f>IF(VLOOKUP($A18,Items!$A$5:$J$1000,3,0)=0," ",VLOOKUP($A18,Items!$A$5:$J$1000,3,0))</f>
        <v xml:space="preserve"> </v>
      </c>
      <c r="T18" s="315" t="str">
        <f>IF(VLOOKUP($A18,Items!$A$5:$J$1000,7,0)=0," ",VLOOKUP($A18,Items!$A$5:$J$1000,7,0))</f>
        <v xml:space="preserve"> </v>
      </c>
      <c r="U18" s="315" t="str">
        <f>IF(VLOOKUP($A18,Items!$A$5:$J$1000,2,0)=0," ",VLOOKUP($A18,Items!$A$5:$J$1000,2,0))</f>
        <v xml:space="preserve"> </v>
      </c>
      <c r="V18" s="315" t="str">
        <f>IF(VLOOKUP($A18,Items!$A$5:$J$1000,9,0)=0," ",VLOOKUP($A18,Items!$A$5:$J$1000,9,0))</f>
        <v xml:space="preserve"> </v>
      </c>
      <c r="W18" s="315" t="str">
        <f>IF(VLOOKUP($A18,Items!$A$5:$J$1000,4,0)=0," ",VLOOKUP($A18,Items!$A$5:$J$1000,4,0))</f>
        <v xml:space="preserve"> </v>
      </c>
      <c r="X18" s="315">
        <f>IF(VLOOKUP($A18,Items!$A$5:$J$1000,6,0)=0," ",VLOOKUP($A18,Items!$A$5:$J$1000,6,0))</f>
        <v>340</v>
      </c>
      <c r="Y18" s="315" t="str">
        <f>IF(VLOOKUP($A18,Items!$A$5:$J$1000,5,0)=0," ",VLOOKUP($A18,Items!$A$5:$J$1000,5,0))</f>
        <v xml:space="preserve"> </v>
      </c>
      <c r="AA18" s="316" t="str">
        <f>IF(VLOOKUP($A18,Wood!$A$5:$W$1000,16,0)=0," ",VLOOKUP($A18,Wood!$A$5:$W$1000,16,0))</f>
        <v xml:space="preserve"> </v>
      </c>
      <c r="AB18" s="316" t="str">
        <f>IF(VLOOKUP($A18,Wood!$A$5:$W$1000,17,0)=0," ",VLOOKUP($A18,Wood!$A$5:$W$1000,17,0))</f>
        <v xml:space="preserve"> </v>
      </c>
      <c r="AC18" s="316" t="str">
        <f>IF(VLOOKUP($A18,Wood!$A$5:$W$1000,18,0)=0," ",VLOOKUP($A18,Wood!$A$5:$W$1000,18,0))</f>
        <v xml:space="preserve"> </v>
      </c>
      <c r="AD18" s="316" t="str">
        <f>IF(VLOOKUP($A18,Wood!$A$5:$W$1000,19,0)=0," ",VLOOKUP($A18,Wood!$A$5:$W$1000,19,0))</f>
        <v xml:space="preserve"> </v>
      </c>
      <c r="AE18" s="316" t="str">
        <f>IF(VLOOKUP($A18,Wood!$A$5:$W$1000,20,0)=0," ",VLOOKUP($A18,Wood!$A$5:$W$1000,20,0))</f>
        <v xml:space="preserve"> </v>
      </c>
      <c r="AF18" s="316" t="str">
        <f>IF(VLOOKUP($A18,Wood!$A$5:$W$1000,21,0)=0," ",VLOOKUP($A18,Wood!$A$5:$W$1000,21,0))</f>
        <v xml:space="preserve"> </v>
      </c>
      <c r="AG18" s="316" t="str">
        <f>IF(VLOOKUP($A18,Wood!$A$5:$W$1000,22,0)=0," ",VLOOKUP($A18,Wood!$A$5:$W$1000,22,0))</f>
        <v xml:space="preserve"> </v>
      </c>
      <c r="AH18" s="316" t="str">
        <f>IF(VLOOKUP($A18,Wood!$A$5:$W$1000,23,0)=0," ",VLOOKUP($A18,Wood!$A$5:$W$1000,23,0))</f>
        <v xml:space="preserve"> </v>
      </c>
      <c r="AJ18" s="313"/>
      <c r="AK18" s="313"/>
      <c r="AL18" s="313"/>
      <c r="AM18" s="313"/>
      <c r="AN18" s="313" t="s">
        <v>6</v>
      </c>
      <c r="AO18" s="313" t="s">
        <v>6</v>
      </c>
      <c r="AP18" s="313">
        <v>0.5</v>
      </c>
      <c r="AQ18" s="320"/>
      <c r="AR18" s="332">
        <v>46223</v>
      </c>
      <c r="AS18" s="333">
        <f t="shared" si="20"/>
        <v>92</v>
      </c>
      <c r="AT18" s="333">
        <f t="shared" ref="AT18" ca="1" si="24">NOW()-AR18</f>
        <v>91.617591435184295</v>
      </c>
      <c r="AU18" s="317">
        <f>IFERROR(AVERAGE(J18:N18,AJ18:AP18),"n/a")</f>
        <v>0.5</v>
      </c>
    </row>
    <row r="19" spans="1:47" ht="38.25" x14ac:dyDescent="0.2">
      <c r="A19" s="310">
        <v>5928</v>
      </c>
      <c r="B19" s="309" t="s">
        <v>582</v>
      </c>
      <c r="C19" s="310" t="s">
        <v>584</v>
      </c>
      <c r="D19" s="318">
        <v>16.62</v>
      </c>
      <c r="E19" s="312" t="str">
        <f t="shared" ref="E19" si="25">C19</f>
        <v>DOORS</v>
      </c>
      <c r="F19" s="364"/>
      <c r="G19" s="332"/>
      <c r="H19" s="369"/>
      <c r="I19" s="361"/>
      <c r="J19" s="313" t="s">
        <v>6</v>
      </c>
      <c r="K19" s="313" t="s">
        <v>6</v>
      </c>
      <c r="L19" s="313" t="s">
        <v>6</v>
      </c>
      <c r="M19" s="313">
        <v>1</v>
      </c>
      <c r="N19" s="313" t="s">
        <v>6</v>
      </c>
      <c r="P19" s="314" t="s">
        <v>592</v>
      </c>
      <c r="R19" s="315" t="str">
        <f>IF(VLOOKUP($A19,Items!$A$5:$J$1000,8,0)=0," ",VLOOKUP($A19,Items!$A$5:$J$1000,8,0))</f>
        <v xml:space="preserve"> </v>
      </c>
      <c r="S19" s="315" t="str">
        <f>IF(VLOOKUP($A19,Items!$A$5:$J$1000,3,0)=0," ",VLOOKUP($A19,Items!$A$5:$J$1000,3,0))</f>
        <v xml:space="preserve"> </v>
      </c>
      <c r="T19" s="315" t="str">
        <f>IF(VLOOKUP($A19,Items!$A$5:$J$1000,7,0)=0," ",VLOOKUP($A19,Items!$A$5:$J$1000,7,0))</f>
        <v xml:space="preserve"> </v>
      </c>
      <c r="U19" s="315">
        <f>IF(VLOOKUP($A19,Items!$A$5:$J$1000,2,0)=0," ",VLOOKUP($A19,Items!$A$5:$J$1000,2,0))</f>
        <v>70</v>
      </c>
      <c r="V19" s="315" t="str">
        <f>IF(VLOOKUP($A19,Items!$A$5:$J$1000,9,0)=0," ",VLOOKUP($A19,Items!$A$5:$J$1000,9,0))</f>
        <v xml:space="preserve"> </v>
      </c>
      <c r="W19" s="315" t="str">
        <f>IF(VLOOKUP($A19,Items!$A$5:$J$1000,4,0)=0," ",VLOOKUP($A19,Items!$A$5:$J$1000,4,0))</f>
        <v xml:space="preserve"> </v>
      </c>
      <c r="X19" s="315" t="str">
        <f>IF(VLOOKUP($A19,Items!$A$5:$J$1000,6,0)=0," ",VLOOKUP($A19,Items!$A$5:$J$1000,6,0))</f>
        <v xml:space="preserve"> </v>
      </c>
      <c r="Y19" s="315" t="str">
        <f>IF(VLOOKUP($A19,Items!$A$5:$J$1000,5,0)=0," ",VLOOKUP($A19,Items!$A$5:$J$1000,5,0))</f>
        <v xml:space="preserve"> </v>
      </c>
      <c r="AA19" s="316">
        <f>IF(VLOOKUP($A19,Wood!$A$5:$W$1000,16,0)=0," ",VLOOKUP($A19,Wood!$A$5:$W$1000,16,0))</f>
        <v>7.2538</v>
      </c>
      <c r="AB19" s="316">
        <f>IF(VLOOKUP($A19,Wood!$A$5:$W$1000,17,0)=0," ",VLOOKUP($A19,Wood!$A$5:$W$1000,17,0))</f>
        <v>0.60440000000000005</v>
      </c>
      <c r="AC19" s="316" t="str">
        <f>IF(VLOOKUP($A19,Wood!$A$5:$W$1000,18,0)=0," ",VLOOKUP($A19,Wood!$A$5:$W$1000,18,0))</f>
        <v xml:space="preserve"> </v>
      </c>
      <c r="AD19" s="316" t="str">
        <f>IF(VLOOKUP($A19,Wood!$A$5:$W$1000,19,0)=0," ",VLOOKUP($A19,Wood!$A$5:$W$1000,19,0))</f>
        <v xml:space="preserve"> </v>
      </c>
      <c r="AE19" s="316" t="str">
        <f>IF(VLOOKUP($A19,Wood!$A$5:$W$1000,20,0)=0," ",VLOOKUP($A19,Wood!$A$5:$W$1000,20,0))</f>
        <v xml:space="preserve"> </v>
      </c>
      <c r="AF19" s="316" t="str">
        <f>IF(VLOOKUP($A19,Wood!$A$5:$W$1000,21,0)=0," ",VLOOKUP($A19,Wood!$A$5:$W$1000,21,0))</f>
        <v xml:space="preserve"> </v>
      </c>
      <c r="AG19" s="316">
        <f>IF(VLOOKUP($A19,Wood!$A$5:$W$1000,22,0)=0," ",VLOOKUP($A19,Wood!$A$5:$W$1000,22,0))</f>
        <v>8.0000000000000004E-4</v>
      </c>
      <c r="AH19" s="316" t="str">
        <f>IF(VLOOKUP($A19,Wood!$A$5:$W$1000,23,0)=0," ",VLOOKUP($A19,Wood!$A$5:$W$1000,23,0))</f>
        <v xml:space="preserve"> </v>
      </c>
      <c r="AJ19" s="313"/>
      <c r="AK19" s="313"/>
      <c r="AL19" s="313"/>
      <c r="AM19" s="313"/>
      <c r="AN19" s="313" t="s">
        <v>6</v>
      </c>
      <c r="AO19" s="313">
        <v>1</v>
      </c>
      <c r="AP19" s="313" t="s">
        <v>6</v>
      </c>
      <c r="AQ19" s="320"/>
      <c r="AR19" s="332">
        <v>46090</v>
      </c>
      <c r="AS19" s="333"/>
      <c r="AT19" s="333">
        <f t="shared" ref="AT19" ca="1" si="26">NOW()-AR19</f>
        <v>224.61759143518429</v>
      </c>
      <c r="AU19" s="317">
        <f>IFERROR(AVERAGE(J19:N19,AJ19:AP19),"n/a")</f>
        <v>1</v>
      </c>
    </row>
    <row r="20" spans="1:47" ht="38.25" x14ac:dyDescent="0.2">
      <c r="A20" s="310">
        <v>4781</v>
      </c>
      <c r="B20" s="309" t="s">
        <v>582</v>
      </c>
      <c r="C20" s="310" t="s">
        <v>584</v>
      </c>
      <c r="D20" s="318">
        <v>10.67</v>
      </c>
      <c r="E20" s="312" t="str">
        <f t="shared" ref="E20" si="27">C20</f>
        <v>DOORS</v>
      </c>
      <c r="F20" s="365"/>
      <c r="G20" s="332"/>
      <c r="H20" s="359"/>
      <c r="I20" s="362"/>
      <c r="J20" s="313" t="s">
        <v>6</v>
      </c>
      <c r="K20" s="313" t="s">
        <v>6</v>
      </c>
      <c r="L20" s="313" t="s">
        <v>6</v>
      </c>
      <c r="M20" s="313">
        <v>0.9</v>
      </c>
      <c r="N20" s="313" t="s">
        <v>6</v>
      </c>
      <c r="P20" s="314" t="s">
        <v>592</v>
      </c>
      <c r="R20" s="315" t="str">
        <f>IF(VLOOKUP($A20,Items!$A$5:$J$1000,8,0)=0," ",VLOOKUP($A20,Items!$A$5:$J$1000,8,0))</f>
        <v xml:space="preserve"> </v>
      </c>
      <c r="S20" s="315" t="str">
        <f>IF(VLOOKUP($A20,Items!$A$5:$J$1000,3,0)=0," ",VLOOKUP($A20,Items!$A$5:$J$1000,3,0))</f>
        <v xml:space="preserve"> </v>
      </c>
      <c r="T20" s="315" t="str">
        <f>IF(VLOOKUP($A20,Items!$A$5:$J$1000,7,0)=0," ",VLOOKUP($A20,Items!$A$5:$J$1000,7,0))</f>
        <v xml:space="preserve"> </v>
      </c>
      <c r="U20" s="315">
        <f>IF(VLOOKUP($A20,Items!$A$5:$J$1000,2,0)=0," ",VLOOKUP($A20,Items!$A$5:$J$1000,2,0))</f>
        <v>65</v>
      </c>
      <c r="V20" s="315" t="str">
        <f>IF(VLOOKUP($A20,Items!$A$5:$J$1000,9,0)=0," ",VLOOKUP($A20,Items!$A$5:$J$1000,9,0))</f>
        <v xml:space="preserve"> </v>
      </c>
      <c r="W20" s="315" t="str">
        <f>IF(VLOOKUP($A20,Items!$A$5:$J$1000,4,0)=0," ",VLOOKUP($A20,Items!$A$5:$J$1000,4,0))</f>
        <v xml:space="preserve"> </v>
      </c>
      <c r="X20" s="315" t="str">
        <f>IF(VLOOKUP($A20,Items!$A$5:$J$1000,6,0)=0," ",VLOOKUP($A20,Items!$A$5:$J$1000,6,0))</f>
        <v xml:space="preserve"> </v>
      </c>
      <c r="Y20" s="315" t="str">
        <f>IF(VLOOKUP($A20,Items!$A$5:$J$1000,5,0)=0," ",VLOOKUP($A20,Items!$A$5:$J$1000,5,0))</f>
        <v xml:space="preserve"> </v>
      </c>
      <c r="AA20" s="316">
        <f>IF(VLOOKUP($A20,Wood!$A$5:$W$1000,16,0)=0," ",VLOOKUP($A20,Wood!$A$5:$W$1000,16,0))</f>
        <v>3.6117499999999998</v>
      </c>
      <c r="AB20" s="316">
        <f>IF(VLOOKUP($A20,Wood!$A$5:$W$1000,17,0)=0," ",VLOOKUP($A20,Wood!$A$5:$W$1000,17,0))</f>
        <v>0.34109999999999996</v>
      </c>
      <c r="AC20" s="316" t="str">
        <f>IF(VLOOKUP($A20,Wood!$A$5:$W$1000,18,0)=0," ",VLOOKUP($A20,Wood!$A$5:$W$1000,18,0))</f>
        <v xml:space="preserve"> </v>
      </c>
      <c r="AD20" s="316" t="str">
        <f>IF(VLOOKUP($A20,Wood!$A$5:$W$1000,19,0)=0," ",VLOOKUP($A20,Wood!$A$5:$W$1000,19,0))</f>
        <v xml:space="preserve"> </v>
      </c>
      <c r="AE20" s="316" t="str">
        <f>IF(VLOOKUP($A20,Wood!$A$5:$W$1000,20,0)=0," ",VLOOKUP($A20,Wood!$A$5:$W$1000,20,0))</f>
        <v xml:space="preserve"> </v>
      </c>
      <c r="AF20" s="316" t="str">
        <f>IF(VLOOKUP($A20,Wood!$A$5:$W$1000,21,0)=0," ",VLOOKUP($A20,Wood!$A$5:$W$1000,21,0))</f>
        <v xml:space="preserve"> </v>
      </c>
      <c r="AG20" s="316" t="str">
        <f>IF(VLOOKUP($A20,Wood!$A$5:$W$1000,22,0)=0," ",VLOOKUP($A20,Wood!$A$5:$W$1000,22,0))</f>
        <v xml:space="preserve"> </v>
      </c>
      <c r="AH20" s="316" t="str">
        <f>IF(VLOOKUP($A20,Wood!$A$5:$W$1000,23,0)=0," ",VLOOKUP($A20,Wood!$A$5:$W$1000,23,0))</f>
        <v xml:space="preserve"> </v>
      </c>
      <c r="AJ20" s="313"/>
      <c r="AK20" s="313"/>
      <c r="AL20" s="313"/>
      <c r="AM20" s="313"/>
      <c r="AN20" s="313" t="s">
        <v>6</v>
      </c>
      <c r="AO20" s="313">
        <v>1</v>
      </c>
      <c r="AP20" s="313" t="s">
        <v>6</v>
      </c>
      <c r="AQ20" s="320"/>
      <c r="AR20" s="332">
        <v>45979</v>
      </c>
      <c r="AS20" s="333"/>
      <c r="AT20" s="333">
        <f t="shared" ref="AT20" ca="1" si="28">NOW()-AR20</f>
        <v>335.61759143518429</v>
      </c>
      <c r="AU20" s="317">
        <f>IFERROR(AVERAGE(J20:N20,AJ20:AP20),"n/a")</f>
        <v>0.95</v>
      </c>
    </row>
    <row r="21" spans="1:47" ht="25.5" x14ac:dyDescent="0.2">
      <c r="A21" s="310">
        <v>9259</v>
      </c>
      <c r="B21" s="309" t="s">
        <v>658</v>
      </c>
      <c r="C21" s="310" t="s">
        <v>633</v>
      </c>
      <c r="D21" s="318">
        <v>7.0000000000000007E-2</v>
      </c>
      <c r="E21" s="312" t="str">
        <f t="shared" ref="E21" si="29">C21</f>
        <v>SPARE PARTS &amp; WOODEN ACCESSORIES</v>
      </c>
      <c r="F21" s="311">
        <f t="shared" ref="F21" si="30">D21</f>
        <v>7.0000000000000007E-2</v>
      </c>
      <c r="G21" s="332">
        <v>46316</v>
      </c>
      <c r="H21" s="6"/>
      <c r="I21" s="319" t="s">
        <v>64</v>
      </c>
      <c r="J21" s="313" t="s">
        <v>6</v>
      </c>
      <c r="K21" s="313">
        <v>0</v>
      </c>
      <c r="L21" s="313">
        <v>0</v>
      </c>
      <c r="M21" s="313" t="s">
        <v>6</v>
      </c>
      <c r="N21" s="313" t="s">
        <v>6</v>
      </c>
      <c r="P21" s="314" t="s">
        <v>592</v>
      </c>
      <c r="R21" s="315" t="str">
        <f>IF(VLOOKUP($A21,Items!$A$5:$J$1000,8,0)=0," ",VLOOKUP($A21,Items!$A$5:$J$1000,8,0))</f>
        <v xml:space="preserve"> </v>
      </c>
      <c r="S21" s="315" t="str">
        <f>IF(VLOOKUP($A21,Items!$A$5:$J$1000,3,0)=0," ",VLOOKUP($A21,Items!$A$5:$J$1000,3,0))</f>
        <v xml:space="preserve"> </v>
      </c>
      <c r="T21" s="315">
        <f>IF(VLOOKUP($A21,Items!$A$5:$J$1000,7,0)=0," ",VLOOKUP($A21,Items!$A$5:$J$1000,7,0))</f>
        <v>20</v>
      </c>
      <c r="U21" s="315" t="str">
        <f>IF(VLOOKUP($A21,Items!$A$5:$J$1000,2,0)=0," ",VLOOKUP($A21,Items!$A$5:$J$1000,2,0))</f>
        <v xml:space="preserve"> </v>
      </c>
      <c r="V21" s="315" t="str">
        <f>IF(VLOOKUP($A21,Items!$A$5:$J$1000,9,0)=0," ",VLOOKUP($A21,Items!$A$5:$J$1000,9,0))</f>
        <v xml:space="preserve"> </v>
      </c>
      <c r="W21" s="315" t="str">
        <f>IF(VLOOKUP($A21,Items!$A$5:$J$1000,4,0)=0," ",VLOOKUP($A21,Items!$A$5:$J$1000,4,0))</f>
        <v xml:space="preserve"> </v>
      </c>
      <c r="X21" s="315">
        <f>IF(VLOOKUP($A21,Items!$A$5:$J$1000,6,0)=0," ",VLOOKUP($A21,Items!$A$5:$J$1000,6,0))</f>
        <v>16</v>
      </c>
      <c r="Y21" s="315" t="str">
        <f>IF(VLOOKUP($A21,Items!$A$5:$J$1000,5,0)=0," ",VLOOKUP($A21,Items!$A$5:$J$1000,5,0))</f>
        <v xml:space="preserve"> </v>
      </c>
      <c r="AA21" s="316" t="str">
        <f>IF(VLOOKUP($A21,Wood!$A$5:$W$1000,16,0)=0," ",VLOOKUP($A21,Wood!$A$5:$W$1000,16,0))</f>
        <v xml:space="preserve"> </v>
      </c>
      <c r="AB21" s="316" t="str">
        <f>IF(VLOOKUP($A21,Wood!$A$5:$W$1000,17,0)=0," ",VLOOKUP($A21,Wood!$A$5:$W$1000,17,0))</f>
        <v xml:space="preserve"> </v>
      </c>
      <c r="AC21" s="316" t="str">
        <f>IF(VLOOKUP($A21,Wood!$A$5:$W$1000,18,0)=0," ",VLOOKUP($A21,Wood!$A$5:$W$1000,18,0))</f>
        <v xml:space="preserve"> </v>
      </c>
      <c r="AD21" s="316" t="str">
        <f>IF(VLOOKUP($A21,Wood!$A$5:$W$1000,19,0)=0," ",VLOOKUP($A21,Wood!$A$5:$W$1000,19,0))</f>
        <v xml:space="preserve"> </v>
      </c>
      <c r="AE21" s="316" t="str">
        <f>IF(VLOOKUP($A21,Wood!$A$5:$W$1000,20,0)=0," ",VLOOKUP($A21,Wood!$A$5:$W$1000,20,0))</f>
        <v xml:space="preserve"> </v>
      </c>
      <c r="AF21" s="316" t="str">
        <f>IF(VLOOKUP($A21,Wood!$A$5:$W$1000,21,0)=0," ",VLOOKUP($A21,Wood!$A$5:$W$1000,21,0))</f>
        <v xml:space="preserve"> </v>
      </c>
      <c r="AG21" s="316" t="str">
        <f>IF(VLOOKUP($A21,Wood!$A$5:$W$1000,22,0)=0," ",VLOOKUP($A21,Wood!$A$5:$W$1000,22,0))</f>
        <v xml:space="preserve"> </v>
      </c>
      <c r="AH21" s="316" t="str">
        <f>IF(VLOOKUP($A21,Wood!$A$5:$W$1000,23,0)=0," ",VLOOKUP($A21,Wood!$A$5:$W$1000,23,0))</f>
        <v xml:space="preserve"> </v>
      </c>
      <c r="AJ21" s="313"/>
      <c r="AK21" s="313"/>
      <c r="AL21" s="313"/>
      <c r="AM21" s="313"/>
      <c r="AN21" s="313" t="s">
        <v>6</v>
      </c>
      <c r="AO21" s="313" t="s">
        <v>6</v>
      </c>
      <c r="AP21" s="313" t="s">
        <v>6</v>
      </c>
      <c r="AR21" s="332">
        <v>46311</v>
      </c>
      <c r="AS21" s="333">
        <f t="shared" ref="AS21" si="31">IFERROR(G21-AR21,"")</f>
        <v>5</v>
      </c>
      <c r="AT21" s="333">
        <f ca="1">NOW()-AR21</f>
        <v>3.6175914351842948</v>
      </c>
      <c r="AU21" s="317">
        <f t="shared" ref="AU21" si="32">IFERROR(AVERAGE(J21:N21,AJ21:AP21),"n/a")</f>
        <v>0</v>
      </c>
    </row>
    <row r="22" spans="1:47" ht="96" customHeight="1" x14ac:dyDescent="0.2">
      <c r="A22" s="310">
        <v>8765</v>
      </c>
      <c r="B22" s="309" t="s">
        <v>437</v>
      </c>
      <c r="C22" s="310" t="s">
        <v>625</v>
      </c>
      <c r="D22" s="318">
        <v>58.86</v>
      </c>
      <c r="E22" s="312" t="str">
        <f t="shared" si="5"/>
        <v>17 UNITS SAUNA ROOMS (1414RS-3sr Cedar, 1515RL-6sr Cedar, 1419RS-Cedar &amp; 1520RL-7sr Cedar) w/ complete set of accessories and heater, SPARE PARTS, HEATERS, DOORS &amp; WOODEN ACCESSORIES</v>
      </c>
      <c r="F22" s="363">
        <f>SUM(D22:D23)</f>
        <v>64.930000000000007</v>
      </c>
      <c r="G22" s="332">
        <v>46316</v>
      </c>
      <c r="H22" s="2" t="s">
        <v>593</v>
      </c>
      <c r="I22" s="370" t="s">
        <v>81</v>
      </c>
      <c r="J22" s="313">
        <v>0.82099999999999995</v>
      </c>
      <c r="K22" s="313">
        <v>0.87</v>
      </c>
      <c r="L22" s="313">
        <v>0</v>
      </c>
      <c r="M22" s="313">
        <v>0</v>
      </c>
      <c r="N22" s="313">
        <v>8.3000000000000004E-2</v>
      </c>
      <c r="O22" s="61">
        <v>17</v>
      </c>
      <c r="P22" s="314" t="s">
        <v>592</v>
      </c>
      <c r="R22" s="315">
        <f>IF(VLOOKUP($A22,Items!$A$5:$J$1000,8,0)=0," ",VLOOKUP($A22,Items!$A$5:$J$1000,8,0))</f>
        <v>9</v>
      </c>
      <c r="S22" s="315">
        <f>IF(VLOOKUP($A22,Items!$A$5:$J$1000,3,0)=0," ",VLOOKUP($A22,Items!$A$5:$J$1000,3,0))</f>
        <v>75</v>
      </c>
      <c r="T22" s="315">
        <f>IF(VLOOKUP($A22,Items!$A$5:$J$1000,7,0)=0," ",VLOOKUP($A22,Items!$A$5:$J$1000,7,0))</f>
        <v>230</v>
      </c>
      <c r="U22" s="315">
        <f>IF(VLOOKUP($A22,Items!$A$5:$J$1000,2,0)=0," ",VLOOKUP($A22,Items!$A$5:$J$1000,2,0))</f>
        <v>4</v>
      </c>
      <c r="V22" s="315">
        <f>IF(VLOOKUP($A22,Items!$A$5:$J$1000,9,0)=0," ",VLOOKUP($A22,Items!$A$5:$J$1000,9,0))</f>
        <v>17</v>
      </c>
      <c r="W22" s="315" t="str">
        <f>IF(VLOOKUP($A22,Items!$A$5:$J$1000,4,0)=0," ",VLOOKUP($A22,Items!$A$5:$J$1000,4,0))</f>
        <v xml:space="preserve"> </v>
      </c>
      <c r="X22" s="315">
        <f>IF(VLOOKUP($A22,Items!$A$5:$J$1000,6,0)=0," ",VLOOKUP($A22,Items!$A$5:$J$1000,6,0))</f>
        <v>229</v>
      </c>
      <c r="Y22" s="315">
        <f>IF(VLOOKUP($A22,Items!$A$5:$J$1000,5,0)=0," ",VLOOKUP($A22,Items!$A$5:$J$1000,5,0))</f>
        <v>101</v>
      </c>
      <c r="AA22" s="316">
        <f>IF(VLOOKUP($A22,Wood!$A$5:$W$1000,16,0)=0," ",VLOOKUP($A22,Wood!$A$5:$W$1000,16,0))</f>
        <v>3.3974400000000005</v>
      </c>
      <c r="AB22" s="316">
        <f>IF(VLOOKUP($A22,Wood!$A$5:$W$1000,17,0)=0," ",VLOOKUP($A22,Wood!$A$5:$W$1000,17,0))</f>
        <v>12.662940000000001</v>
      </c>
      <c r="AC22" s="316" t="str">
        <f>IF(VLOOKUP($A22,Wood!$A$5:$W$1000,18,0)=0," ",VLOOKUP($A22,Wood!$A$5:$W$1000,18,0))</f>
        <v xml:space="preserve"> </v>
      </c>
      <c r="AD22" s="316" t="str">
        <f>IF(VLOOKUP($A22,Wood!$A$5:$W$1000,19,0)=0," ",VLOOKUP($A22,Wood!$A$5:$W$1000,19,0))</f>
        <v xml:space="preserve"> </v>
      </c>
      <c r="AE22" s="316" t="str">
        <f>IF(VLOOKUP($A22,Wood!$A$5:$W$1000,20,0)=0," ",VLOOKUP($A22,Wood!$A$5:$W$1000,20,0))</f>
        <v xml:space="preserve"> </v>
      </c>
      <c r="AF22" s="316" t="str">
        <f>IF(VLOOKUP($A22,Wood!$A$5:$W$1000,21,0)=0," ",VLOOKUP($A22,Wood!$A$5:$W$1000,21,0))</f>
        <v xml:space="preserve"> </v>
      </c>
      <c r="AG22" s="316" t="str">
        <f>IF(VLOOKUP($A22,Wood!$A$5:$W$1000,22,0)=0," ",VLOOKUP($A22,Wood!$A$5:$W$1000,22,0))</f>
        <v xml:space="preserve"> </v>
      </c>
      <c r="AH22" s="316" t="str">
        <f>IF(VLOOKUP($A22,Wood!$A$5:$W$1000,23,0)=0," ",VLOOKUP($A22,Wood!$A$5:$W$1000,23,0))</f>
        <v xml:space="preserve"> </v>
      </c>
      <c r="AJ22" s="313"/>
      <c r="AK22" s="313"/>
      <c r="AL22" s="313"/>
      <c r="AM22" s="313"/>
      <c r="AN22" s="313">
        <v>0.87</v>
      </c>
      <c r="AO22" s="313">
        <v>0</v>
      </c>
      <c r="AP22" s="313">
        <v>1</v>
      </c>
      <c r="AQ22" s="320"/>
      <c r="AR22" s="332">
        <v>46276</v>
      </c>
      <c r="AS22" s="333">
        <f t="shared" si="20"/>
        <v>40</v>
      </c>
      <c r="AT22" s="333">
        <f t="shared" ref="AT22:AT24" ca="1" si="33">NOW()-AR22</f>
        <v>38.617591435184295</v>
      </c>
      <c r="AU22" s="317">
        <f t="shared" si="7"/>
        <v>0.45549999999999996</v>
      </c>
    </row>
    <row r="23" spans="1:47" ht="51" x14ac:dyDescent="0.2">
      <c r="A23" s="310">
        <v>7919</v>
      </c>
      <c r="B23" s="309" t="s">
        <v>437</v>
      </c>
      <c r="C23" s="310" t="s">
        <v>533</v>
      </c>
      <c r="D23" s="318">
        <v>6.07</v>
      </c>
      <c r="E23" s="312" t="str">
        <f t="shared" si="5"/>
        <v>1 UNIT SAUNA ROOM (1620RL-Cedar) w/ complete set of accessories and heater, SAWO-20 &amp; R-980</v>
      </c>
      <c r="F23" s="364"/>
      <c r="G23" s="332"/>
      <c r="H23" s="2"/>
      <c r="I23" s="370"/>
      <c r="J23" s="313">
        <v>1</v>
      </c>
      <c r="K23" s="313">
        <v>1</v>
      </c>
      <c r="L23" s="313">
        <v>1</v>
      </c>
      <c r="M23" s="313" t="s">
        <v>6</v>
      </c>
      <c r="N23" s="313">
        <v>1</v>
      </c>
      <c r="O23" s="61">
        <v>1</v>
      </c>
      <c r="P23" s="314" t="s">
        <v>592</v>
      </c>
      <c r="Q23" s="75">
        <v>2</v>
      </c>
      <c r="R23" s="315" t="str">
        <f>IF(VLOOKUP($A23,Items!$A$5:$J$1000,8,0)=0," ",VLOOKUP($A23,Items!$A$5:$J$1000,8,0))</f>
        <v xml:space="preserve"> </v>
      </c>
      <c r="S23" s="315">
        <f>IF(VLOOKUP($A23,Items!$A$5:$J$1000,3,0)=0," ",VLOOKUP($A23,Items!$A$5:$J$1000,3,0))</f>
        <v>1</v>
      </c>
      <c r="T23" s="315" t="str">
        <f>IF(VLOOKUP($A23,Items!$A$5:$J$1000,7,0)=0," ",VLOOKUP($A23,Items!$A$5:$J$1000,7,0))</f>
        <v xml:space="preserve"> </v>
      </c>
      <c r="U23" s="315" t="str">
        <f>IF(VLOOKUP($A23,Items!$A$5:$J$1000,2,0)=0," ",VLOOKUP($A23,Items!$A$5:$J$1000,2,0))</f>
        <v xml:space="preserve"> </v>
      </c>
      <c r="V23" s="315" t="str">
        <f>IF(VLOOKUP($A23,Items!$A$5:$J$1000,9,0)=0," ",VLOOKUP($A23,Items!$A$5:$J$1000,9,0))</f>
        <v xml:space="preserve"> </v>
      </c>
      <c r="W23" s="315" t="str">
        <f>IF(VLOOKUP($A23,Items!$A$5:$J$1000,4,0)=0," ",VLOOKUP($A23,Items!$A$5:$J$1000,4,0))</f>
        <v xml:space="preserve"> </v>
      </c>
      <c r="X23" s="315" t="str">
        <f>IF(VLOOKUP($A23,Items!$A$5:$J$1000,6,0)=0," ",VLOOKUP($A23,Items!$A$5:$J$1000,6,0))</f>
        <v xml:space="preserve"> </v>
      </c>
      <c r="Y23" s="315" t="str">
        <f>IF(VLOOKUP($A23,Items!$A$5:$J$1000,5,0)=0," ",VLOOKUP($A23,Items!$A$5:$J$1000,5,0))</f>
        <v xml:space="preserve"> </v>
      </c>
      <c r="AA23" s="316" t="str">
        <f>IF(VLOOKUP($A23,Wood!$A$5:$W$1000,16,0)=0," ",VLOOKUP($A23,Wood!$A$5:$W$1000,16,0))</f>
        <v xml:space="preserve"> </v>
      </c>
      <c r="AB23" s="316" t="str">
        <f>IF(VLOOKUP($A23,Wood!$A$5:$W$1000,17,0)=0," ",VLOOKUP($A23,Wood!$A$5:$W$1000,17,0))</f>
        <v xml:space="preserve"> </v>
      </c>
      <c r="AC23" s="316" t="str">
        <f>IF(VLOOKUP($A23,Wood!$A$5:$W$1000,18,0)=0," ",VLOOKUP($A23,Wood!$A$5:$W$1000,18,0))</f>
        <v xml:space="preserve"> </v>
      </c>
      <c r="AD23" s="316" t="str">
        <f>IF(VLOOKUP($A23,Wood!$A$5:$W$1000,19,0)=0," ",VLOOKUP($A23,Wood!$A$5:$W$1000,19,0))</f>
        <v xml:space="preserve"> </v>
      </c>
      <c r="AE23" s="316" t="str">
        <f>IF(VLOOKUP($A23,Wood!$A$5:$W$1000,20,0)=0," ",VLOOKUP($A23,Wood!$A$5:$W$1000,20,0))</f>
        <v xml:space="preserve"> </v>
      </c>
      <c r="AF23" s="316" t="str">
        <f>IF(VLOOKUP($A23,Wood!$A$5:$W$1000,21,0)=0," ",VLOOKUP($A23,Wood!$A$5:$W$1000,21,0))</f>
        <v xml:space="preserve"> </v>
      </c>
      <c r="AG23" s="316" t="str">
        <f>IF(VLOOKUP($A23,Wood!$A$5:$W$1000,22,0)=0," ",VLOOKUP($A23,Wood!$A$5:$W$1000,22,0))</f>
        <v xml:space="preserve"> </v>
      </c>
      <c r="AH23" s="316" t="str">
        <f>IF(VLOOKUP($A23,Wood!$A$5:$W$1000,23,0)=0," ",VLOOKUP($A23,Wood!$A$5:$W$1000,23,0))</f>
        <v xml:space="preserve"> </v>
      </c>
      <c r="AJ23" s="313"/>
      <c r="AK23" s="313"/>
      <c r="AL23" s="313"/>
      <c r="AM23" s="313"/>
      <c r="AN23" s="313">
        <v>1</v>
      </c>
      <c r="AO23" s="313" t="s">
        <v>6</v>
      </c>
      <c r="AP23" s="313">
        <v>1</v>
      </c>
      <c r="AQ23" s="320"/>
      <c r="AR23" s="332">
        <v>46206</v>
      </c>
      <c r="AS23" s="333"/>
      <c r="AT23" s="333">
        <f t="shared" ca="1" si="33"/>
        <v>108.61759143518429</v>
      </c>
      <c r="AU23" s="317">
        <f t="shared" si="7"/>
        <v>1</v>
      </c>
    </row>
    <row r="24" spans="1:47" ht="51" x14ac:dyDescent="0.2">
      <c r="A24" s="357">
        <v>9015</v>
      </c>
      <c r="B24" s="321" t="s">
        <v>589</v>
      </c>
      <c r="C24" s="322" t="s">
        <v>591</v>
      </c>
      <c r="D24" s="323">
        <v>0.25600000000000001</v>
      </c>
      <c r="E24" s="322" t="str">
        <f t="shared" ref="E24:E30" si="34">C24</f>
        <v>1 UNIT SAUNA ROOM (1430LL-Cedar) w/ complete set of accessories and heater</v>
      </c>
      <c r="F24" s="323">
        <f t="shared" ref="F24" si="35">D24</f>
        <v>0.25600000000000001</v>
      </c>
      <c r="G24" s="242">
        <v>46323</v>
      </c>
      <c r="H24" s="324" t="s">
        <v>649</v>
      </c>
      <c r="I24" s="360" t="s">
        <v>61</v>
      </c>
      <c r="J24" s="313">
        <v>0</v>
      </c>
      <c r="K24" s="313">
        <v>1</v>
      </c>
      <c r="L24" s="313">
        <v>0</v>
      </c>
      <c r="M24" s="313" t="s">
        <v>6</v>
      </c>
      <c r="N24" s="313">
        <v>0</v>
      </c>
      <c r="O24" s="61">
        <v>1</v>
      </c>
      <c r="P24" s="314" t="s">
        <v>590</v>
      </c>
      <c r="R24" s="315">
        <f>IF(VLOOKUP($A24,Items!$A$5:$J$1000,8,0)=0," ",VLOOKUP($A24,Items!$A$5:$J$1000,8,0))</f>
        <v>2</v>
      </c>
      <c r="S24" s="315">
        <f>IF(VLOOKUP($A24,Items!$A$5:$J$1000,3,0)=0," ",VLOOKUP($A24,Items!$A$5:$J$1000,3,0))</f>
        <v>1</v>
      </c>
      <c r="T24" s="315">
        <f>IF(VLOOKUP($A24,Items!$A$5:$J$1000,7,0)=0," ",VLOOKUP($A24,Items!$A$5:$J$1000,7,0))</f>
        <v>6</v>
      </c>
      <c r="U24" s="315" t="str">
        <f>IF(VLOOKUP($A24,Items!$A$5:$J$1000,2,0)=0," ",VLOOKUP($A24,Items!$A$5:$J$1000,2,0))</f>
        <v xml:space="preserve"> </v>
      </c>
      <c r="V24" s="315">
        <f>IF(VLOOKUP($A24,Items!$A$5:$J$1000,9,0)=0," ",VLOOKUP($A24,Items!$A$5:$J$1000,9,0))</f>
        <v>1</v>
      </c>
      <c r="W24" s="315" t="str">
        <f>IF(VLOOKUP($A24,Items!$A$5:$J$1000,4,0)=0," ",VLOOKUP($A24,Items!$A$5:$J$1000,4,0))</f>
        <v xml:space="preserve"> </v>
      </c>
      <c r="X24" s="315">
        <f>IF(VLOOKUP($A24,Items!$A$5:$J$1000,6,0)=0," ",VLOOKUP($A24,Items!$A$5:$J$1000,6,0))</f>
        <v>1</v>
      </c>
      <c r="Y24" s="315">
        <f>IF(VLOOKUP($A24,Items!$A$5:$J$1000,5,0)=0," ",VLOOKUP($A24,Items!$A$5:$J$1000,5,0))</f>
        <v>1</v>
      </c>
      <c r="AA24" s="316">
        <f>IF(VLOOKUP($A24,Wood!$A$5:$W$1000,16,0)=0," ",VLOOKUP($A24,Wood!$A$5:$W$1000,16,0))</f>
        <v>0.17200000000000001</v>
      </c>
      <c r="AB24" s="316">
        <f>IF(VLOOKUP($A24,Wood!$A$5:$W$1000,17,0)=0," ",VLOOKUP($A24,Wood!$A$5:$W$1000,17,0))</f>
        <v>0.69256000000000006</v>
      </c>
      <c r="AC24" s="316" t="str">
        <f>IF(VLOOKUP($A24,Wood!$A$5:$W$1000,18,0)=0," ",VLOOKUP($A24,Wood!$A$5:$W$1000,18,0))</f>
        <v xml:space="preserve"> </v>
      </c>
      <c r="AD24" s="316" t="str">
        <f>IF(VLOOKUP($A24,Wood!$A$5:$W$1000,19,0)=0," ",VLOOKUP($A24,Wood!$A$5:$W$1000,19,0))</f>
        <v xml:space="preserve"> </v>
      </c>
      <c r="AE24" s="316" t="str">
        <f>IF(VLOOKUP($A24,Wood!$A$5:$W$1000,20,0)=0," ",VLOOKUP($A24,Wood!$A$5:$W$1000,20,0))</f>
        <v xml:space="preserve"> </v>
      </c>
      <c r="AF24" s="316" t="str">
        <f>IF(VLOOKUP($A24,Wood!$A$5:$W$1000,21,0)=0," ",VLOOKUP($A24,Wood!$A$5:$W$1000,21,0))</f>
        <v xml:space="preserve"> </v>
      </c>
      <c r="AG24" s="316" t="str">
        <f>IF(VLOOKUP($A24,Wood!$A$5:$W$1000,22,0)=0," ",VLOOKUP($A24,Wood!$A$5:$W$1000,22,0))</f>
        <v xml:space="preserve"> </v>
      </c>
      <c r="AH24" s="316" t="str">
        <f>IF(VLOOKUP($A24,Wood!$A$5:$W$1000,23,0)=0," ",VLOOKUP($A24,Wood!$A$5:$W$1000,23,0))</f>
        <v xml:space="preserve"> </v>
      </c>
      <c r="AJ24" s="313"/>
      <c r="AK24" s="313"/>
      <c r="AL24" s="313"/>
      <c r="AM24" s="313"/>
      <c r="AN24" s="313">
        <v>1</v>
      </c>
      <c r="AO24" s="313" t="s">
        <v>6</v>
      </c>
      <c r="AP24" s="313">
        <v>0.4</v>
      </c>
      <c r="AQ24" s="342"/>
      <c r="AR24" s="332">
        <v>46293</v>
      </c>
      <c r="AS24" s="333">
        <f t="shared" si="20"/>
        <v>30</v>
      </c>
      <c r="AT24" s="333">
        <f t="shared" ca="1" si="33"/>
        <v>21.617591435184295</v>
      </c>
      <c r="AU24" s="317">
        <f t="shared" si="7"/>
        <v>0.39999999999999997</v>
      </c>
    </row>
    <row r="25" spans="1:47" ht="63.75" x14ac:dyDescent="0.2">
      <c r="A25" s="357">
        <v>9063</v>
      </c>
      <c r="B25" s="321" t="s">
        <v>598</v>
      </c>
      <c r="C25" s="322" t="s">
        <v>599</v>
      </c>
      <c r="D25" s="323">
        <v>0.12</v>
      </c>
      <c r="E25" s="322" t="str">
        <f t="shared" si="34"/>
        <v>1 UNIT SAUNA ROOM (1414RS-Cedar) w/ complete set of accessories and heater</v>
      </c>
      <c r="F25" s="323">
        <f>D25</f>
        <v>0.12</v>
      </c>
      <c r="G25" s="242">
        <v>46323</v>
      </c>
      <c r="H25" s="324" t="s">
        <v>649</v>
      </c>
      <c r="I25" s="361"/>
      <c r="J25" s="313">
        <v>0</v>
      </c>
      <c r="K25" s="313">
        <v>1</v>
      </c>
      <c r="L25" s="313">
        <v>0</v>
      </c>
      <c r="M25" s="313" t="s">
        <v>6</v>
      </c>
      <c r="N25" s="313">
        <v>0</v>
      </c>
      <c r="O25" s="61">
        <v>1</v>
      </c>
      <c r="P25" s="314" t="s">
        <v>590</v>
      </c>
      <c r="R25" s="315">
        <f>IF(VLOOKUP($A25,Items!$A$5:$J$1000,8,0)=0," ",VLOOKUP($A25,Items!$A$5:$J$1000,8,0))</f>
        <v>2</v>
      </c>
      <c r="S25" s="315">
        <f>IF(VLOOKUP($A25,Items!$A$5:$J$1000,3,0)=0," ",VLOOKUP($A25,Items!$A$5:$J$1000,3,0))</f>
        <v>1</v>
      </c>
      <c r="T25" s="315">
        <f>IF(VLOOKUP($A25,Items!$A$5:$J$1000,7,0)=0," ",VLOOKUP($A25,Items!$A$5:$J$1000,7,0))</f>
        <v>5</v>
      </c>
      <c r="U25" s="315" t="str">
        <f>IF(VLOOKUP($A25,Items!$A$5:$J$1000,2,0)=0," ",VLOOKUP($A25,Items!$A$5:$J$1000,2,0))</f>
        <v xml:space="preserve"> </v>
      </c>
      <c r="V25" s="315">
        <f>IF(VLOOKUP($A25,Items!$A$5:$J$1000,9,0)=0," ",VLOOKUP($A25,Items!$A$5:$J$1000,9,0))</f>
        <v>1</v>
      </c>
      <c r="W25" s="315" t="str">
        <f>IF(VLOOKUP($A25,Items!$A$5:$J$1000,4,0)=0," ",VLOOKUP($A25,Items!$A$5:$J$1000,4,0))</f>
        <v xml:space="preserve"> </v>
      </c>
      <c r="X25" s="315">
        <f>IF(VLOOKUP($A25,Items!$A$5:$J$1000,6,0)=0," ",VLOOKUP($A25,Items!$A$5:$J$1000,6,0))</f>
        <v>1</v>
      </c>
      <c r="Y25" s="315">
        <f>IF(VLOOKUP($A25,Items!$A$5:$J$1000,5,0)=0," ",VLOOKUP($A25,Items!$A$5:$J$1000,5,0))</f>
        <v>1</v>
      </c>
      <c r="AA25" s="316">
        <f>IF(VLOOKUP($A25,Wood!$A$5:$W$1000,16,0)=0," ",VLOOKUP($A25,Wood!$A$5:$W$1000,16,0))</f>
        <v>0.17200000000000001</v>
      </c>
      <c r="AB25" s="316">
        <f>IF(VLOOKUP($A25,Wood!$A$5:$W$1000,17,0)=0," ",VLOOKUP($A25,Wood!$A$5:$W$1000,17,0))</f>
        <v>0.69374000000000002</v>
      </c>
      <c r="AC25" s="316" t="str">
        <f>IF(VLOOKUP($A25,Wood!$A$5:$W$1000,18,0)=0," ",VLOOKUP($A25,Wood!$A$5:$W$1000,18,0))</f>
        <v xml:space="preserve"> </v>
      </c>
      <c r="AD25" s="316" t="str">
        <f>IF(VLOOKUP($A25,Wood!$A$5:$W$1000,19,0)=0," ",VLOOKUP($A25,Wood!$A$5:$W$1000,19,0))</f>
        <v xml:space="preserve"> </v>
      </c>
      <c r="AE25" s="316" t="str">
        <f>IF(VLOOKUP($A25,Wood!$A$5:$W$1000,20,0)=0," ",VLOOKUP($A25,Wood!$A$5:$W$1000,20,0))</f>
        <v xml:space="preserve"> </v>
      </c>
      <c r="AF25" s="316" t="str">
        <f>IF(VLOOKUP($A25,Wood!$A$5:$W$1000,21,0)=0," ",VLOOKUP($A25,Wood!$A$5:$W$1000,21,0))</f>
        <v xml:space="preserve"> </v>
      </c>
      <c r="AG25" s="316" t="str">
        <f>IF(VLOOKUP($A25,Wood!$A$5:$W$1000,22,0)=0," ",VLOOKUP($A25,Wood!$A$5:$W$1000,22,0))</f>
        <v xml:space="preserve"> </v>
      </c>
      <c r="AH25" s="316" t="str">
        <f>IF(VLOOKUP($A25,Wood!$A$5:$W$1000,23,0)=0," ",VLOOKUP($A25,Wood!$A$5:$W$1000,23,0))</f>
        <v xml:space="preserve"> </v>
      </c>
      <c r="AJ25" s="313"/>
      <c r="AK25" s="313"/>
      <c r="AL25" s="313"/>
      <c r="AM25" s="313"/>
      <c r="AN25" s="313">
        <v>1</v>
      </c>
      <c r="AO25" s="313" t="s">
        <v>6</v>
      </c>
      <c r="AP25" s="313">
        <v>0.4</v>
      </c>
      <c r="AQ25" s="342"/>
      <c r="AR25" s="332">
        <v>46295</v>
      </c>
      <c r="AS25" s="333">
        <f t="shared" si="20"/>
        <v>28</v>
      </c>
      <c r="AT25" s="333">
        <f ca="1">NOW()-AR25</f>
        <v>19.617591435184295</v>
      </c>
      <c r="AU25" s="317">
        <f>IFERROR(AVERAGE(J25:N25,AJ25:AP25),"n/a")</f>
        <v>0.39999999999999997</v>
      </c>
    </row>
    <row r="26" spans="1:47" ht="69.599999999999994" customHeight="1" x14ac:dyDescent="0.2">
      <c r="A26" s="357">
        <v>9131</v>
      </c>
      <c r="B26" s="321" t="s">
        <v>617</v>
      </c>
      <c r="C26" s="322" t="s">
        <v>618</v>
      </c>
      <c r="D26" s="323">
        <v>0.12</v>
      </c>
      <c r="E26" s="322" t="str">
        <f t="shared" ref="E26" si="36">C26</f>
        <v>1 UNIT SAUNA ROOM (1515RL-Cedar) w/ complete set of accessories and heater</v>
      </c>
      <c r="F26" s="323">
        <f>D26</f>
        <v>0.12</v>
      </c>
      <c r="G26" s="242">
        <v>46323</v>
      </c>
      <c r="H26" s="324" t="s">
        <v>649</v>
      </c>
      <c r="I26" s="361"/>
      <c r="J26" s="313">
        <v>0</v>
      </c>
      <c r="K26" s="313">
        <v>1</v>
      </c>
      <c r="L26" s="313">
        <v>0</v>
      </c>
      <c r="M26" s="313" t="s">
        <v>6</v>
      </c>
      <c r="N26" s="313">
        <v>0</v>
      </c>
      <c r="O26" s="61">
        <v>1</v>
      </c>
      <c r="P26" s="314" t="s">
        <v>590</v>
      </c>
      <c r="R26" s="315">
        <f>IF(VLOOKUP($A26,Items!$A$5:$J$1000,8,0)=0," ",VLOOKUP($A26,Items!$A$5:$J$1000,8,0))</f>
        <v>2</v>
      </c>
      <c r="S26" s="315">
        <f>IF(VLOOKUP($A26,Items!$A$5:$J$1000,3,0)=0," ",VLOOKUP($A26,Items!$A$5:$J$1000,3,0))</f>
        <v>1</v>
      </c>
      <c r="T26" s="315">
        <f>IF(VLOOKUP($A26,Items!$A$5:$J$1000,7,0)=0," ",VLOOKUP($A26,Items!$A$5:$J$1000,7,0))</f>
        <v>6</v>
      </c>
      <c r="U26" s="315" t="str">
        <f>IF(VLOOKUP($A26,Items!$A$5:$J$1000,2,0)=0," ",VLOOKUP($A26,Items!$A$5:$J$1000,2,0))</f>
        <v xml:space="preserve"> </v>
      </c>
      <c r="V26" s="315">
        <f>IF(VLOOKUP($A26,Items!$A$5:$J$1000,9,0)=0," ",VLOOKUP($A26,Items!$A$5:$J$1000,9,0))</f>
        <v>1</v>
      </c>
      <c r="W26" s="315" t="str">
        <f>IF(VLOOKUP($A26,Items!$A$5:$J$1000,4,0)=0," ",VLOOKUP($A26,Items!$A$5:$J$1000,4,0))</f>
        <v xml:space="preserve"> </v>
      </c>
      <c r="X26" s="315">
        <f>IF(VLOOKUP($A26,Items!$A$5:$J$1000,6,0)=0," ",VLOOKUP($A26,Items!$A$5:$J$1000,6,0))</f>
        <v>1</v>
      </c>
      <c r="Y26" s="315">
        <f>IF(VLOOKUP($A26,Items!$A$5:$J$1000,5,0)=0," ",VLOOKUP($A26,Items!$A$5:$J$1000,5,0))</f>
        <v>1</v>
      </c>
      <c r="AA26" s="316">
        <f>IF(VLOOKUP($A26,Wood!$A$5:$W$1000,16,0)=0," ",VLOOKUP($A26,Wood!$A$5:$W$1000,16,0))</f>
        <v>0.17320000000000002</v>
      </c>
      <c r="AB26" s="316">
        <f>IF(VLOOKUP($A26,Wood!$A$5:$W$1000,17,0)=0," ",VLOOKUP($A26,Wood!$A$5:$W$1000,17,0))</f>
        <v>0.69376000000000004</v>
      </c>
      <c r="AC26" s="316" t="str">
        <f>IF(VLOOKUP($A26,Wood!$A$5:$W$1000,18,0)=0," ",VLOOKUP($A26,Wood!$A$5:$W$1000,18,0))</f>
        <v xml:space="preserve"> </v>
      </c>
      <c r="AD26" s="316" t="str">
        <f>IF(VLOOKUP($A26,Wood!$A$5:$W$1000,19,0)=0," ",VLOOKUP($A26,Wood!$A$5:$W$1000,19,0))</f>
        <v xml:space="preserve"> </v>
      </c>
      <c r="AE26" s="316" t="str">
        <f>IF(VLOOKUP($A26,Wood!$A$5:$W$1000,20,0)=0," ",VLOOKUP($A26,Wood!$A$5:$W$1000,20,0))</f>
        <v xml:space="preserve"> </v>
      </c>
      <c r="AF26" s="316" t="str">
        <f>IF(VLOOKUP($A26,Wood!$A$5:$W$1000,21,0)=0," ",VLOOKUP($A26,Wood!$A$5:$W$1000,21,0))</f>
        <v xml:space="preserve"> </v>
      </c>
      <c r="AG26" s="316" t="str">
        <f>IF(VLOOKUP($A26,Wood!$A$5:$W$1000,22,0)=0," ",VLOOKUP($A26,Wood!$A$5:$W$1000,22,0))</f>
        <v xml:space="preserve"> </v>
      </c>
      <c r="AH26" s="316" t="str">
        <f>IF(VLOOKUP($A26,Wood!$A$5:$W$1000,23,0)=0," ",VLOOKUP($A26,Wood!$A$5:$W$1000,23,0))</f>
        <v xml:space="preserve"> </v>
      </c>
      <c r="AJ26" s="313"/>
      <c r="AK26" s="313"/>
      <c r="AL26" s="313"/>
      <c r="AM26" s="313"/>
      <c r="AN26" s="313">
        <v>1</v>
      </c>
      <c r="AO26" s="313" t="s">
        <v>6</v>
      </c>
      <c r="AP26" s="313">
        <v>0.4</v>
      </c>
      <c r="AQ26" s="342"/>
      <c r="AR26" s="332">
        <v>46300</v>
      </c>
      <c r="AS26" s="333">
        <f t="shared" si="20"/>
        <v>23</v>
      </c>
      <c r="AT26" s="333">
        <f ca="1">NOW()-AR26</f>
        <v>14.617591435184295</v>
      </c>
      <c r="AU26" s="317">
        <f>IFERROR(AVERAGE(J26:N26,AJ26:AP26),"n/a")</f>
        <v>0.39999999999999997</v>
      </c>
    </row>
    <row r="27" spans="1:47" ht="69.599999999999994" customHeight="1" x14ac:dyDescent="0.2">
      <c r="A27" s="357">
        <v>9228</v>
      </c>
      <c r="B27" s="321" t="s">
        <v>634</v>
      </c>
      <c r="C27" s="322" t="s">
        <v>599</v>
      </c>
      <c r="D27" s="323">
        <v>0.16</v>
      </c>
      <c r="E27" s="322" t="str">
        <f t="shared" ref="E27" si="37">C27</f>
        <v>1 UNIT SAUNA ROOM (1414RS-Cedar) w/ complete set of accessories and heater</v>
      </c>
      <c r="F27" s="323">
        <f>D27</f>
        <v>0.16</v>
      </c>
      <c r="G27" s="242">
        <v>46323</v>
      </c>
      <c r="H27" s="324" t="s">
        <v>649</v>
      </c>
      <c r="I27" s="361"/>
      <c r="J27" s="313">
        <v>0</v>
      </c>
      <c r="K27" s="313">
        <v>1</v>
      </c>
      <c r="L27" s="313">
        <v>0</v>
      </c>
      <c r="M27" s="313" t="s">
        <v>6</v>
      </c>
      <c r="N27" s="313">
        <v>0</v>
      </c>
      <c r="O27" s="61">
        <v>1</v>
      </c>
      <c r="P27" s="314" t="s">
        <v>590</v>
      </c>
      <c r="R27" s="315">
        <f>IF(VLOOKUP($A27,Items!$A$5:$J$1000,8,0)=0," ",VLOOKUP($A27,Items!$A$5:$J$1000,8,0))</f>
        <v>2</v>
      </c>
      <c r="S27" s="315">
        <f>IF(VLOOKUP($A27,Items!$A$5:$J$1000,3,0)=0," ",VLOOKUP($A27,Items!$A$5:$J$1000,3,0))</f>
        <v>1</v>
      </c>
      <c r="T27" s="315">
        <f>IF(VLOOKUP($A27,Items!$A$5:$J$1000,7,0)=0," ",VLOOKUP($A27,Items!$A$5:$J$1000,7,0))</f>
        <v>7</v>
      </c>
      <c r="U27" s="315" t="str">
        <f>IF(VLOOKUP($A27,Items!$A$5:$J$1000,2,0)=0," ",VLOOKUP($A27,Items!$A$5:$J$1000,2,0))</f>
        <v xml:space="preserve"> </v>
      </c>
      <c r="V27" s="315">
        <f>IF(VLOOKUP($A27,Items!$A$5:$J$1000,9,0)=0," ",VLOOKUP($A27,Items!$A$5:$J$1000,9,0))</f>
        <v>1</v>
      </c>
      <c r="W27" s="315" t="str">
        <f>IF(VLOOKUP($A27,Items!$A$5:$J$1000,4,0)=0," ",VLOOKUP($A27,Items!$A$5:$J$1000,4,0))</f>
        <v xml:space="preserve"> </v>
      </c>
      <c r="X27" s="315">
        <f>IF(VLOOKUP($A27,Items!$A$5:$J$1000,6,0)=0," ",VLOOKUP($A27,Items!$A$5:$J$1000,6,0))</f>
        <v>1</v>
      </c>
      <c r="Y27" s="315">
        <f>IF(VLOOKUP($A27,Items!$A$5:$J$1000,5,0)=0," ",VLOOKUP($A27,Items!$A$5:$J$1000,5,0))</f>
        <v>2</v>
      </c>
      <c r="AA27" s="316" t="str">
        <f>IF(VLOOKUP($A27,Wood!$A$5:$W$1000,16,0)=0," ",VLOOKUP($A27,Wood!$A$5:$W$1000,16,0))</f>
        <v xml:space="preserve"> </v>
      </c>
      <c r="AB27" s="316" t="str">
        <f>IF(VLOOKUP($A27,Wood!$A$5:$W$1000,17,0)=0," ",VLOOKUP($A27,Wood!$A$5:$W$1000,17,0))</f>
        <v xml:space="preserve"> </v>
      </c>
      <c r="AC27" s="316" t="str">
        <f>IF(VLOOKUP($A27,Wood!$A$5:$W$1000,18,0)=0," ",VLOOKUP($A27,Wood!$A$5:$W$1000,18,0))</f>
        <v xml:space="preserve"> </v>
      </c>
      <c r="AD27" s="316" t="str">
        <f>IF(VLOOKUP($A27,Wood!$A$5:$W$1000,19,0)=0," ",VLOOKUP($A27,Wood!$A$5:$W$1000,19,0))</f>
        <v xml:space="preserve"> </v>
      </c>
      <c r="AE27" s="316" t="str">
        <f>IF(VLOOKUP($A27,Wood!$A$5:$W$1000,20,0)=0," ",VLOOKUP($A27,Wood!$A$5:$W$1000,20,0))</f>
        <v xml:space="preserve"> </v>
      </c>
      <c r="AF27" s="316" t="str">
        <f>IF(VLOOKUP($A27,Wood!$A$5:$W$1000,21,0)=0," ",VLOOKUP($A27,Wood!$A$5:$W$1000,21,0))</f>
        <v xml:space="preserve"> </v>
      </c>
      <c r="AG27" s="316" t="str">
        <f>IF(VLOOKUP($A27,Wood!$A$5:$W$1000,22,0)=0," ",VLOOKUP($A27,Wood!$A$5:$W$1000,22,0))</f>
        <v xml:space="preserve"> </v>
      </c>
      <c r="AH27" s="316" t="str">
        <f>IF(VLOOKUP($A27,Wood!$A$5:$W$1000,23,0)=0," ",VLOOKUP($A27,Wood!$A$5:$W$1000,23,0))</f>
        <v xml:space="preserve"> </v>
      </c>
      <c r="AJ27" s="313"/>
      <c r="AK27" s="313"/>
      <c r="AL27" s="313"/>
      <c r="AM27" s="313"/>
      <c r="AN27" s="313">
        <v>1</v>
      </c>
      <c r="AO27" s="313" t="s">
        <v>6</v>
      </c>
      <c r="AP27" s="313">
        <v>0.4</v>
      </c>
      <c r="AQ27" s="342"/>
      <c r="AR27" s="332">
        <v>46307</v>
      </c>
      <c r="AS27" s="333">
        <f t="shared" ref="AS27" si="38">IFERROR(G27-AR27,"")</f>
        <v>16</v>
      </c>
      <c r="AT27" s="333">
        <f ca="1">NOW()-AR27</f>
        <v>7.6175914351842948</v>
      </c>
      <c r="AU27" s="317">
        <f>IFERROR(AVERAGE(J27:N27,AJ27:AP27),"n/a")</f>
        <v>0.39999999999999997</v>
      </c>
    </row>
    <row r="28" spans="1:47" ht="69.599999999999994" customHeight="1" x14ac:dyDescent="0.2">
      <c r="A28" s="357">
        <v>9279</v>
      </c>
      <c r="B28" s="321" t="s">
        <v>637</v>
      </c>
      <c r="C28" s="322" t="s">
        <v>638</v>
      </c>
      <c r="D28" s="323">
        <v>0.34820000000000001</v>
      </c>
      <c r="E28" s="322" t="str">
        <f t="shared" ref="E28" si="39">C28</f>
        <v>1 UNIT SAUNA ROOM (1515RL-Outdoor Cedar) w/ complete set of accessories and heater</v>
      </c>
      <c r="F28" s="323">
        <f>D28</f>
        <v>0.34820000000000001</v>
      </c>
      <c r="G28" s="242">
        <v>46323</v>
      </c>
      <c r="H28" s="324" t="s">
        <v>649</v>
      </c>
      <c r="I28" s="361"/>
      <c r="J28" s="313">
        <v>0</v>
      </c>
      <c r="K28" s="313">
        <v>0</v>
      </c>
      <c r="L28" s="313">
        <v>0</v>
      </c>
      <c r="M28" s="313" t="s">
        <v>6</v>
      </c>
      <c r="N28" s="313">
        <v>0</v>
      </c>
      <c r="O28" s="61">
        <v>1</v>
      </c>
      <c r="P28" s="314" t="s">
        <v>590</v>
      </c>
      <c r="R28" s="315">
        <f>IF(VLOOKUP($A28,Items!$A$5:$J$1000,8,0)=0," ",VLOOKUP($A28,Items!$A$5:$J$1000,8,0))</f>
        <v>2</v>
      </c>
      <c r="S28" s="315">
        <f>IF(VLOOKUP($A28,Items!$A$5:$J$1000,3,0)=0," ",VLOOKUP($A28,Items!$A$5:$J$1000,3,0))</f>
        <v>1</v>
      </c>
      <c r="T28" s="315">
        <f>IF(VLOOKUP($A28,Items!$A$5:$J$1000,7,0)=0," ",VLOOKUP($A28,Items!$A$5:$J$1000,7,0))</f>
        <v>14</v>
      </c>
      <c r="U28" s="315" t="str">
        <f>IF(VLOOKUP($A28,Items!$A$5:$J$1000,2,0)=0," ",VLOOKUP($A28,Items!$A$5:$J$1000,2,0))</f>
        <v xml:space="preserve"> </v>
      </c>
      <c r="V28" s="315">
        <f>IF(VLOOKUP($A28,Items!$A$5:$J$1000,9,0)=0," ",VLOOKUP($A28,Items!$A$5:$J$1000,9,0))</f>
        <v>1</v>
      </c>
      <c r="W28" s="315" t="str">
        <f>IF(VLOOKUP($A28,Items!$A$5:$J$1000,4,0)=0," ",VLOOKUP($A28,Items!$A$5:$J$1000,4,0))</f>
        <v xml:space="preserve"> </v>
      </c>
      <c r="X28" s="315">
        <f>IF(VLOOKUP($A28,Items!$A$5:$J$1000,6,0)=0," ",VLOOKUP($A28,Items!$A$5:$J$1000,6,0))</f>
        <v>1</v>
      </c>
      <c r="Y28" s="315">
        <f>IF(VLOOKUP($A28,Items!$A$5:$J$1000,5,0)=0," ",VLOOKUP($A28,Items!$A$5:$J$1000,5,0))</f>
        <v>2</v>
      </c>
      <c r="AA28" s="316" t="str">
        <f>IF(VLOOKUP($A28,Wood!$A$5:$W$1000,16,0)=0," ",VLOOKUP($A28,Wood!$A$5:$W$1000,16,0))</f>
        <v xml:space="preserve"> </v>
      </c>
      <c r="AB28" s="316" t="str">
        <f>IF(VLOOKUP($A28,Wood!$A$5:$W$1000,17,0)=0," ",VLOOKUP($A28,Wood!$A$5:$W$1000,17,0))</f>
        <v xml:space="preserve"> </v>
      </c>
      <c r="AC28" s="316" t="str">
        <f>IF(VLOOKUP($A28,Wood!$A$5:$W$1000,18,0)=0," ",VLOOKUP($A28,Wood!$A$5:$W$1000,18,0))</f>
        <v xml:space="preserve"> </v>
      </c>
      <c r="AD28" s="316" t="str">
        <f>IF(VLOOKUP($A28,Wood!$A$5:$W$1000,19,0)=0," ",VLOOKUP($A28,Wood!$A$5:$W$1000,19,0))</f>
        <v xml:space="preserve"> </v>
      </c>
      <c r="AE28" s="316" t="str">
        <f>IF(VLOOKUP($A28,Wood!$A$5:$W$1000,20,0)=0," ",VLOOKUP($A28,Wood!$A$5:$W$1000,20,0))</f>
        <v xml:space="preserve"> </v>
      </c>
      <c r="AF28" s="316" t="str">
        <f>IF(VLOOKUP($A28,Wood!$A$5:$W$1000,21,0)=0," ",VLOOKUP($A28,Wood!$A$5:$W$1000,21,0))</f>
        <v xml:space="preserve"> </v>
      </c>
      <c r="AG28" s="316" t="str">
        <f>IF(VLOOKUP($A28,Wood!$A$5:$W$1000,22,0)=0," ",VLOOKUP($A28,Wood!$A$5:$W$1000,22,0))</f>
        <v xml:space="preserve"> </v>
      </c>
      <c r="AH28" s="316" t="str">
        <f>IF(VLOOKUP($A28,Wood!$A$5:$W$1000,23,0)=0," ",VLOOKUP($A28,Wood!$A$5:$W$1000,23,0))</f>
        <v xml:space="preserve"> </v>
      </c>
      <c r="AJ28" s="313"/>
      <c r="AK28" s="313"/>
      <c r="AL28" s="313"/>
      <c r="AM28" s="313"/>
      <c r="AN28" s="313">
        <v>0.5</v>
      </c>
      <c r="AO28" s="313" t="s">
        <v>6</v>
      </c>
      <c r="AP28" s="313">
        <v>0.4</v>
      </c>
      <c r="AQ28" s="342"/>
      <c r="AR28" s="332">
        <v>46310</v>
      </c>
      <c r="AS28" s="333">
        <f t="shared" ref="AS28" si="40">IFERROR(G28-AR28,"")</f>
        <v>13</v>
      </c>
      <c r="AT28" s="333">
        <f ca="1">NOW()-AR28</f>
        <v>4.6175914351842948</v>
      </c>
      <c r="AU28" s="317">
        <f>IFERROR(AVERAGE(J28:N28,AJ28:AP28),"n/a")</f>
        <v>0.15</v>
      </c>
    </row>
    <row r="29" spans="1:47" ht="38.25" x14ac:dyDescent="0.2">
      <c r="A29" s="357">
        <v>8964</v>
      </c>
      <c r="B29" s="321" t="s">
        <v>532</v>
      </c>
      <c r="C29" s="322" t="s">
        <v>596</v>
      </c>
      <c r="D29" s="323">
        <v>0.11</v>
      </c>
      <c r="E29" s="322" t="str">
        <f t="shared" si="34"/>
        <v>HEATER, SPARE PARTS &amp; WOODEN ACCESSORIES</v>
      </c>
      <c r="F29" s="323">
        <f t="shared" ref="F29" si="41">D29</f>
        <v>0.11</v>
      </c>
      <c r="G29" s="242">
        <v>46323</v>
      </c>
      <c r="H29" s="324" t="s">
        <v>649</v>
      </c>
      <c r="I29" s="361"/>
      <c r="J29" s="313" t="s">
        <v>6</v>
      </c>
      <c r="K29" s="313">
        <v>1</v>
      </c>
      <c r="L29" s="313">
        <v>0</v>
      </c>
      <c r="M29" s="313" t="s">
        <v>6</v>
      </c>
      <c r="N29" s="313" t="s">
        <v>6</v>
      </c>
      <c r="P29" s="314" t="s">
        <v>590</v>
      </c>
      <c r="R29" s="315" t="str">
        <f>IF(VLOOKUP($A29,Items!$A$5:$J$1000,8,0)=0," ",VLOOKUP($A29,Items!$A$5:$J$1000,8,0))</f>
        <v xml:space="preserve"> </v>
      </c>
      <c r="S29" s="315" t="str">
        <f>IF(VLOOKUP($A29,Items!$A$5:$J$1000,3,0)=0," ",VLOOKUP($A29,Items!$A$5:$J$1000,3,0))</f>
        <v xml:space="preserve"> </v>
      </c>
      <c r="T29" s="315" t="str">
        <f>IF(VLOOKUP($A29,Items!$A$5:$J$1000,7,0)=0," ",VLOOKUP($A29,Items!$A$5:$J$1000,7,0))</f>
        <v xml:space="preserve"> </v>
      </c>
      <c r="U29" s="315" t="str">
        <f>IF(VLOOKUP($A29,Items!$A$5:$J$1000,2,0)=0," ",VLOOKUP($A29,Items!$A$5:$J$1000,2,0))</f>
        <v xml:space="preserve"> </v>
      </c>
      <c r="V29" s="315" t="str">
        <f>IF(VLOOKUP($A29,Items!$A$5:$J$1000,9,0)=0," ",VLOOKUP($A29,Items!$A$5:$J$1000,9,0))</f>
        <v xml:space="preserve"> </v>
      </c>
      <c r="W29" s="315" t="str">
        <f>IF(VLOOKUP($A29,Items!$A$5:$J$1000,4,0)=0," ",VLOOKUP($A29,Items!$A$5:$J$1000,4,0))</f>
        <v xml:space="preserve"> </v>
      </c>
      <c r="X29" s="315" t="str">
        <f>IF(VLOOKUP($A29,Items!$A$5:$J$1000,6,0)=0," ",VLOOKUP($A29,Items!$A$5:$J$1000,6,0))</f>
        <v xml:space="preserve"> </v>
      </c>
      <c r="Y29" s="315" t="str">
        <f>IF(VLOOKUP($A29,Items!$A$5:$J$1000,5,0)=0," ",VLOOKUP($A29,Items!$A$5:$J$1000,5,0))</f>
        <v xml:space="preserve"> </v>
      </c>
      <c r="AA29" s="316" t="str">
        <f>IF(VLOOKUP($A29,Wood!$A$5:$W$1000,16,0)=0," ",VLOOKUP($A29,Wood!$A$5:$W$1000,16,0))</f>
        <v xml:space="preserve"> </v>
      </c>
      <c r="AB29" s="316" t="str">
        <f>IF(VLOOKUP($A29,Wood!$A$5:$W$1000,17,0)=0," ",VLOOKUP($A29,Wood!$A$5:$W$1000,17,0))</f>
        <v xml:space="preserve"> </v>
      </c>
      <c r="AC29" s="316" t="str">
        <f>IF(VLOOKUP($A29,Wood!$A$5:$W$1000,18,0)=0," ",VLOOKUP($A29,Wood!$A$5:$W$1000,18,0))</f>
        <v xml:space="preserve"> </v>
      </c>
      <c r="AD29" s="316" t="str">
        <f>IF(VLOOKUP($A29,Wood!$A$5:$W$1000,19,0)=0," ",VLOOKUP($A29,Wood!$A$5:$W$1000,19,0))</f>
        <v xml:space="preserve"> </v>
      </c>
      <c r="AE29" s="316" t="str">
        <f>IF(VLOOKUP($A29,Wood!$A$5:$W$1000,20,0)=0," ",VLOOKUP($A29,Wood!$A$5:$W$1000,20,0))</f>
        <v xml:space="preserve"> </v>
      </c>
      <c r="AF29" s="316" t="str">
        <f>IF(VLOOKUP($A29,Wood!$A$5:$W$1000,21,0)=0," ",VLOOKUP($A29,Wood!$A$5:$W$1000,21,0))</f>
        <v xml:space="preserve"> </v>
      </c>
      <c r="AG29" s="316" t="str">
        <f>IF(VLOOKUP($A29,Wood!$A$5:$W$1000,22,0)=0," ",VLOOKUP($A29,Wood!$A$5:$W$1000,22,0))</f>
        <v xml:space="preserve"> </v>
      </c>
      <c r="AH29" s="316" t="str">
        <f>IF(VLOOKUP($A29,Wood!$A$5:$W$1000,23,0)=0," ",VLOOKUP($A29,Wood!$A$5:$W$1000,23,0))</f>
        <v xml:space="preserve"> </v>
      </c>
      <c r="AJ29" s="313"/>
      <c r="AK29" s="313"/>
      <c r="AL29" s="313"/>
      <c r="AM29" s="313"/>
      <c r="AN29" s="313">
        <v>1</v>
      </c>
      <c r="AO29" s="313" t="s">
        <v>6</v>
      </c>
      <c r="AP29" s="313" t="s">
        <v>6</v>
      </c>
      <c r="AQ29" s="342"/>
      <c r="AR29" s="332">
        <v>46294</v>
      </c>
      <c r="AS29" s="333">
        <f t="shared" si="20"/>
        <v>29</v>
      </c>
      <c r="AT29" s="333">
        <f t="shared" ref="AT29" ca="1" si="42">NOW()-AR29</f>
        <v>20.617591435184295</v>
      </c>
      <c r="AU29" s="317">
        <f t="shared" ref="AU29" si="43">IFERROR(AVERAGE(J29:N29,AJ29:AP29),"n/a")</f>
        <v>0.66666666666666663</v>
      </c>
    </row>
    <row r="30" spans="1:47" ht="25.5" x14ac:dyDescent="0.2">
      <c r="A30" s="357">
        <v>9023</v>
      </c>
      <c r="B30" s="321" t="s">
        <v>597</v>
      </c>
      <c r="C30" s="322" t="s">
        <v>63</v>
      </c>
      <c r="D30" s="323">
        <v>3.0849999999999999E-2</v>
      </c>
      <c r="E30" s="322" t="str">
        <f t="shared" si="34"/>
        <v>WOODEN ACCESSORIES</v>
      </c>
      <c r="F30" s="323">
        <f t="shared" ref="F30:F31" si="44">D30</f>
        <v>3.0849999999999999E-2</v>
      </c>
      <c r="G30" s="242">
        <v>46323</v>
      </c>
      <c r="H30" s="324" t="s">
        <v>649</v>
      </c>
      <c r="I30" s="361"/>
      <c r="J30" s="313" t="s">
        <v>6</v>
      </c>
      <c r="K30" s="313" t="s">
        <v>6</v>
      </c>
      <c r="L30" s="313">
        <v>0</v>
      </c>
      <c r="M30" s="313" t="s">
        <v>6</v>
      </c>
      <c r="N30" s="313" t="s">
        <v>6</v>
      </c>
      <c r="P30" s="314" t="s">
        <v>590</v>
      </c>
      <c r="R30" s="315" t="str">
        <f>IF(VLOOKUP($A30,Items!$A$5:$J$1000,8,0)=0," ",VLOOKUP($A30,Items!$A$5:$J$1000,8,0))</f>
        <v xml:space="preserve"> </v>
      </c>
      <c r="S30" s="315" t="str">
        <f>IF(VLOOKUP($A30,Items!$A$5:$J$1000,3,0)=0," ",VLOOKUP($A30,Items!$A$5:$J$1000,3,0))</f>
        <v xml:space="preserve"> </v>
      </c>
      <c r="T30" s="315">
        <f>IF(VLOOKUP($A30,Items!$A$5:$J$1000,7,0)=0," ",VLOOKUP($A30,Items!$A$5:$J$1000,7,0))</f>
        <v>1</v>
      </c>
      <c r="U30" s="315" t="str">
        <f>IF(VLOOKUP($A30,Items!$A$5:$J$1000,2,0)=0," ",VLOOKUP($A30,Items!$A$5:$J$1000,2,0))</f>
        <v xml:space="preserve"> </v>
      </c>
      <c r="V30" s="315" t="str">
        <f>IF(VLOOKUP($A30,Items!$A$5:$J$1000,9,0)=0," ",VLOOKUP($A30,Items!$A$5:$J$1000,9,0))</f>
        <v xml:space="preserve"> </v>
      </c>
      <c r="W30" s="315" t="str">
        <f>IF(VLOOKUP($A30,Items!$A$5:$J$1000,4,0)=0," ",VLOOKUP($A30,Items!$A$5:$J$1000,4,0))</f>
        <v xml:space="preserve"> </v>
      </c>
      <c r="X30" s="315" t="str">
        <f>IF(VLOOKUP($A30,Items!$A$5:$J$1000,6,0)=0," ",VLOOKUP($A30,Items!$A$5:$J$1000,6,0))</f>
        <v xml:space="preserve"> </v>
      </c>
      <c r="Y30" s="315" t="str">
        <f>IF(VLOOKUP($A30,Items!$A$5:$J$1000,5,0)=0," ",VLOOKUP($A30,Items!$A$5:$J$1000,5,0))</f>
        <v xml:space="preserve"> </v>
      </c>
      <c r="AA30" s="316">
        <f>IF(VLOOKUP($A30,Wood!$A$5:$W$1000,16,0)=0," ",VLOOKUP($A30,Wood!$A$5:$W$1000,16,0))</f>
        <v>1.32E-3</v>
      </c>
      <c r="AB30" s="316">
        <f>IF(VLOOKUP($A30,Wood!$A$5:$W$1000,17,0)=0," ",VLOOKUP($A30,Wood!$A$5:$W$1000,17,0))</f>
        <v>8.8299999999999993E-3</v>
      </c>
      <c r="AC30" s="316" t="str">
        <f>IF(VLOOKUP($A30,Wood!$A$5:$W$1000,18,0)=0," ",VLOOKUP($A30,Wood!$A$5:$W$1000,18,0))</f>
        <v xml:space="preserve"> </v>
      </c>
      <c r="AD30" s="316" t="str">
        <f>IF(VLOOKUP($A30,Wood!$A$5:$W$1000,19,0)=0," ",VLOOKUP($A30,Wood!$A$5:$W$1000,19,0))</f>
        <v xml:space="preserve"> </v>
      </c>
      <c r="AE30" s="316" t="str">
        <f>IF(VLOOKUP($A30,Wood!$A$5:$W$1000,20,0)=0," ",VLOOKUP($A30,Wood!$A$5:$W$1000,20,0))</f>
        <v xml:space="preserve"> </v>
      </c>
      <c r="AF30" s="316" t="str">
        <f>IF(VLOOKUP($A30,Wood!$A$5:$W$1000,21,0)=0," ",VLOOKUP($A30,Wood!$A$5:$W$1000,21,0))</f>
        <v xml:space="preserve"> </v>
      </c>
      <c r="AG30" s="316" t="str">
        <f>IF(VLOOKUP($A30,Wood!$A$5:$W$1000,22,0)=0," ",VLOOKUP($A30,Wood!$A$5:$W$1000,22,0))</f>
        <v xml:space="preserve"> </v>
      </c>
      <c r="AH30" s="316" t="str">
        <f>IF(VLOOKUP($A30,Wood!$A$5:$W$1000,23,0)=0," ",VLOOKUP($A30,Wood!$A$5:$W$1000,23,0))</f>
        <v xml:space="preserve"> </v>
      </c>
      <c r="AJ30" s="313"/>
      <c r="AK30" s="313"/>
      <c r="AL30" s="313"/>
      <c r="AM30" s="313"/>
      <c r="AN30" s="313" t="s">
        <v>6</v>
      </c>
      <c r="AO30" s="313" t="s">
        <v>6</v>
      </c>
      <c r="AP30" s="313" t="s">
        <v>6</v>
      </c>
      <c r="AQ30" s="342"/>
      <c r="AR30" s="332">
        <v>46294</v>
      </c>
      <c r="AS30" s="333">
        <f t="shared" si="20"/>
        <v>29</v>
      </c>
      <c r="AT30" s="333">
        <f t="shared" ref="AT30:AT31" ca="1" si="45">NOW()-AR30</f>
        <v>20.617591435184295</v>
      </c>
      <c r="AU30" s="317">
        <f t="shared" ref="AU30:AU31" si="46">IFERROR(AVERAGE(J30:N30,AJ30:AP30),"n/a")</f>
        <v>0</v>
      </c>
    </row>
    <row r="31" spans="1:47" ht="38.25" x14ac:dyDescent="0.2">
      <c r="A31" s="357">
        <v>9105</v>
      </c>
      <c r="B31" s="321" t="s">
        <v>613</v>
      </c>
      <c r="C31" s="322" t="s">
        <v>63</v>
      </c>
      <c r="D31" s="323">
        <v>1.35E-2</v>
      </c>
      <c r="E31" s="322" t="str">
        <f t="shared" ref="E31" si="47">C31</f>
        <v>WOODEN ACCESSORIES</v>
      </c>
      <c r="F31" s="323">
        <f t="shared" si="44"/>
        <v>1.35E-2</v>
      </c>
      <c r="G31" s="242">
        <v>46323</v>
      </c>
      <c r="H31" s="324" t="s">
        <v>649</v>
      </c>
      <c r="I31" s="361"/>
      <c r="J31" s="313" t="s">
        <v>6</v>
      </c>
      <c r="K31" s="313" t="s">
        <v>6</v>
      </c>
      <c r="L31" s="313">
        <v>0</v>
      </c>
      <c r="M31" s="313" t="s">
        <v>6</v>
      </c>
      <c r="N31" s="313" t="s">
        <v>6</v>
      </c>
      <c r="P31" s="314" t="s">
        <v>590</v>
      </c>
      <c r="R31" s="315" t="str">
        <f>IF(VLOOKUP($A31,Items!$A$5:$J$1000,8,0)=0," ",VLOOKUP($A31,Items!$A$5:$J$1000,8,0))</f>
        <v xml:space="preserve"> </v>
      </c>
      <c r="S31" s="315" t="str">
        <f>IF(VLOOKUP($A31,Items!$A$5:$J$1000,3,0)=0," ",VLOOKUP($A31,Items!$A$5:$J$1000,3,0))</f>
        <v xml:space="preserve"> </v>
      </c>
      <c r="T31" s="315">
        <f>IF(VLOOKUP($A31,Items!$A$5:$J$1000,7,0)=0," ",VLOOKUP($A31,Items!$A$5:$J$1000,7,0))</f>
        <v>10</v>
      </c>
      <c r="U31" s="315" t="str">
        <f>IF(VLOOKUP($A31,Items!$A$5:$J$1000,2,0)=0," ",VLOOKUP($A31,Items!$A$5:$J$1000,2,0))</f>
        <v xml:space="preserve"> </v>
      </c>
      <c r="V31" s="315" t="str">
        <f>IF(VLOOKUP($A31,Items!$A$5:$J$1000,9,0)=0," ",VLOOKUP($A31,Items!$A$5:$J$1000,9,0))</f>
        <v xml:space="preserve"> </v>
      </c>
      <c r="W31" s="315" t="str">
        <f>IF(VLOOKUP($A31,Items!$A$5:$J$1000,4,0)=0," ",VLOOKUP($A31,Items!$A$5:$J$1000,4,0))</f>
        <v xml:space="preserve"> </v>
      </c>
      <c r="X31" s="315" t="str">
        <f>IF(VLOOKUP($A31,Items!$A$5:$J$1000,6,0)=0," ",VLOOKUP($A31,Items!$A$5:$J$1000,6,0))</f>
        <v xml:space="preserve"> </v>
      </c>
      <c r="Y31" s="315" t="str">
        <f>IF(VLOOKUP($A31,Items!$A$5:$J$1000,5,0)=0," ",VLOOKUP($A31,Items!$A$5:$J$1000,5,0))</f>
        <v xml:space="preserve"> </v>
      </c>
      <c r="AA31" s="316" t="str">
        <f>IF(VLOOKUP($A31,Wood!$A$5:$W$1000,16,0)=0," ",VLOOKUP($A31,Wood!$A$5:$W$1000,16,0))</f>
        <v xml:space="preserve"> </v>
      </c>
      <c r="AB31" s="316">
        <f>IF(VLOOKUP($A31,Wood!$A$5:$W$1000,17,0)=0," ",VLOOKUP($A31,Wood!$A$5:$W$1000,17,0))</f>
        <v>8.4000000000000012E-3</v>
      </c>
      <c r="AC31" s="316" t="str">
        <f>IF(VLOOKUP($A31,Wood!$A$5:$W$1000,18,0)=0," ",VLOOKUP($A31,Wood!$A$5:$W$1000,18,0))</f>
        <v xml:space="preserve"> </v>
      </c>
      <c r="AD31" s="316" t="str">
        <f>IF(VLOOKUP($A31,Wood!$A$5:$W$1000,19,0)=0," ",VLOOKUP($A31,Wood!$A$5:$W$1000,19,0))</f>
        <v xml:space="preserve"> </v>
      </c>
      <c r="AE31" s="316" t="str">
        <f>IF(VLOOKUP($A31,Wood!$A$5:$W$1000,20,0)=0," ",VLOOKUP($A31,Wood!$A$5:$W$1000,20,0))</f>
        <v xml:space="preserve"> </v>
      </c>
      <c r="AF31" s="316" t="str">
        <f>IF(VLOOKUP($A31,Wood!$A$5:$W$1000,21,0)=0," ",VLOOKUP($A31,Wood!$A$5:$W$1000,21,0))</f>
        <v xml:space="preserve"> </v>
      </c>
      <c r="AG31" s="316" t="str">
        <f>IF(VLOOKUP($A31,Wood!$A$5:$W$1000,22,0)=0," ",VLOOKUP($A31,Wood!$A$5:$W$1000,22,0))</f>
        <v xml:space="preserve"> </v>
      </c>
      <c r="AH31" s="316" t="str">
        <f>IF(VLOOKUP($A31,Wood!$A$5:$W$1000,23,0)=0," ",VLOOKUP($A31,Wood!$A$5:$W$1000,23,0))</f>
        <v xml:space="preserve"> </v>
      </c>
      <c r="AJ31" s="313"/>
      <c r="AK31" s="313"/>
      <c r="AL31" s="313"/>
      <c r="AM31" s="313"/>
      <c r="AN31" s="313" t="s">
        <v>6</v>
      </c>
      <c r="AO31" s="313" t="s">
        <v>6</v>
      </c>
      <c r="AP31" s="313" t="s">
        <v>6</v>
      </c>
      <c r="AQ31" s="342"/>
      <c r="AR31" s="332">
        <v>46297</v>
      </c>
      <c r="AS31" s="333">
        <f t="shared" si="20"/>
        <v>26</v>
      </c>
      <c r="AT31" s="333">
        <f t="shared" ca="1" si="45"/>
        <v>17.617591435184295</v>
      </c>
      <c r="AU31" s="317">
        <f t="shared" si="46"/>
        <v>0</v>
      </c>
    </row>
    <row r="32" spans="1:47" ht="38.25" x14ac:dyDescent="0.2">
      <c r="A32" s="357">
        <v>9292</v>
      </c>
      <c r="B32" s="321" t="s">
        <v>532</v>
      </c>
      <c r="C32" s="322" t="s">
        <v>62</v>
      </c>
      <c r="D32" s="323">
        <v>0.51459999999999995</v>
      </c>
      <c r="E32" s="322" t="str">
        <f t="shared" ref="E32" si="48">C32</f>
        <v>HEATERS</v>
      </c>
      <c r="F32" s="323">
        <f t="shared" ref="F32" si="49">D32</f>
        <v>0.51459999999999995</v>
      </c>
      <c r="G32" s="242">
        <v>46323</v>
      </c>
      <c r="H32" s="324" t="s">
        <v>649</v>
      </c>
      <c r="I32" s="362"/>
      <c r="J32" s="313" t="s">
        <v>6</v>
      </c>
      <c r="K32" s="313">
        <v>0</v>
      </c>
      <c r="L32" s="313" t="s">
        <v>6</v>
      </c>
      <c r="M32" s="313" t="s">
        <v>6</v>
      </c>
      <c r="N32" s="313" t="s">
        <v>6</v>
      </c>
      <c r="P32" s="314" t="s">
        <v>590</v>
      </c>
      <c r="R32" s="315" t="str">
        <f>IF(VLOOKUP($A32,Items!$A$5:$J$1000,8,0)=0," ",VLOOKUP($A32,Items!$A$5:$J$1000,8,0))</f>
        <v xml:space="preserve"> </v>
      </c>
      <c r="S32" s="315">
        <f>IF(VLOOKUP($A32,Items!$A$5:$J$1000,3,0)=0," ",VLOOKUP($A32,Items!$A$5:$J$1000,3,0))</f>
        <v>7</v>
      </c>
      <c r="T32" s="315" t="str">
        <f>IF(VLOOKUP($A32,Items!$A$5:$J$1000,7,0)=0," ",VLOOKUP($A32,Items!$A$5:$J$1000,7,0))</f>
        <v xml:space="preserve"> </v>
      </c>
      <c r="U32" s="315" t="str">
        <f>IF(VLOOKUP($A32,Items!$A$5:$J$1000,2,0)=0," ",VLOOKUP($A32,Items!$A$5:$J$1000,2,0))</f>
        <v xml:space="preserve"> </v>
      </c>
      <c r="V32" s="315" t="str">
        <f>IF(VLOOKUP($A32,Items!$A$5:$J$1000,9,0)=0," ",VLOOKUP($A32,Items!$A$5:$J$1000,9,0))</f>
        <v xml:space="preserve"> </v>
      </c>
      <c r="W32" s="315" t="str">
        <f>IF(VLOOKUP($A32,Items!$A$5:$J$1000,4,0)=0," ",VLOOKUP($A32,Items!$A$5:$J$1000,4,0))</f>
        <v xml:space="preserve"> </v>
      </c>
      <c r="X32" s="315" t="str">
        <f>IF(VLOOKUP($A32,Items!$A$5:$J$1000,6,0)=0," ",VLOOKUP($A32,Items!$A$5:$J$1000,6,0))</f>
        <v xml:space="preserve"> </v>
      </c>
      <c r="Y32" s="315" t="str">
        <f>IF(VLOOKUP($A32,Items!$A$5:$J$1000,5,0)=0," ",VLOOKUP($A32,Items!$A$5:$J$1000,5,0))</f>
        <v xml:space="preserve"> </v>
      </c>
      <c r="AA32" s="316" t="str">
        <f>IF(VLOOKUP($A32,Wood!$A$5:$W$1000,16,0)=0," ",VLOOKUP($A32,Wood!$A$5:$W$1000,16,0))</f>
        <v xml:space="preserve"> </v>
      </c>
      <c r="AB32" s="316" t="str">
        <f>IF(VLOOKUP($A32,Wood!$A$5:$W$1000,17,0)=0," ",VLOOKUP($A32,Wood!$A$5:$W$1000,17,0))</f>
        <v xml:space="preserve"> </v>
      </c>
      <c r="AC32" s="316" t="str">
        <f>IF(VLOOKUP($A32,Wood!$A$5:$W$1000,18,0)=0," ",VLOOKUP($A32,Wood!$A$5:$W$1000,18,0))</f>
        <v xml:space="preserve"> </v>
      </c>
      <c r="AD32" s="316" t="str">
        <f>IF(VLOOKUP($A32,Wood!$A$5:$W$1000,19,0)=0," ",VLOOKUP($A32,Wood!$A$5:$W$1000,19,0))</f>
        <v xml:space="preserve"> </v>
      </c>
      <c r="AE32" s="316" t="str">
        <f>IF(VLOOKUP($A32,Wood!$A$5:$W$1000,20,0)=0," ",VLOOKUP($A32,Wood!$A$5:$W$1000,20,0))</f>
        <v xml:space="preserve"> </v>
      </c>
      <c r="AF32" s="316" t="str">
        <f>IF(VLOOKUP($A32,Wood!$A$5:$W$1000,21,0)=0," ",VLOOKUP($A32,Wood!$A$5:$W$1000,21,0))</f>
        <v xml:space="preserve"> </v>
      </c>
      <c r="AG32" s="316" t="str">
        <f>IF(VLOOKUP($A32,Wood!$A$5:$W$1000,22,0)=0," ",VLOOKUP($A32,Wood!$A$5:$W$1000,22,0))</f>
        <v xml:space="preserve"> </v>
      </c>
      <c r="AH32" s="316" t="str">
        <f>IF(VLOOKUP($A32,Wood!$A$5:$W$1000,23,0)=0," ",VLOOKUP($A32,Wood!$A$5:$W$1000,23,0))</f>
        <v xml:space="preserve"> </v>
      </c>
      <c r="AJ32" s="313"/>
      <c r="AK32" s="313"/>
      <c r="AL32" s="313"/>
      <c r="AM32" s="313"/>
      <c r="AN32" s="313">
        <v>0</v>
      </c>
      <c r="AO32" s="313" t="s">
        <v>6</v>
      </c>
      <c r="AP32" s="313" t="s">
        <v>6</v>
      </c>
      <c r="AQ32" s="342"/>
      <c r="AR32" s="332">
        <v>46310</v>
      </c>
      <c r="AS32" s="333">
        <f t="shared" ref="AS32" si="50">IFERROR(G32-AR32,"")</f>
        <v>13</v>
      </c>
      <c r="AT32" s="333">
        <f t="shared" ref="AT32" ca="1" si="51">NOW()-AR32</f>
        <v>4.6175914351842948</v>
      </c>
      <c r="AU32" s="317">
        <f t="shared" ref="AU32" si="52">IFERROR(AVERAGE(J32:N32,AJ32:AP32),"n/a")</f>
        <v>0</v>
      </c>
    </row>
    <row r="33" spans="1:47" ht="51" x14ac:dyDescent="0.2">
      <c r="A33" s="356">
        <v>9116</v>
      </c>
      <c r="B33" s="321" t="s">
        <v>601</v>
      </c>
      <c r="C33" s="322" t="s">
        <v>602</v>
      </c>
      <c r="D33" s="323">
        <v>0.17</v>
      </c>
      <c r="E33" s="322" t="str">
        <f>C33</f>
        <v>1 UNIT SAUNA ROOM (1722RSC-Hemlock) w/ complete set of accessories and heater</v>
      </c>
      <c r="F33" s="323">
        <f>D33</f>
        <v>0.17</v>
      </c>
      <c r="G33" s="242">
        <v>46323</v>
      </c>
      <c r="H33" s="324" t="s">
        <v>649</v>
      </c>
      <c r="I33" s="360" t="s">
        <v>333</v>
      </c>
      <c r="J33" s="313">
        <v>0</v>
      </c>
      <c r="K33" s="313">
        <v>1</v>
      </c>
      <c r="L33" s="313">
        <v>0</v>
      </c>
      <c r="M33" s="313" t="s">
        <v>6</v>
      </c>
      <c r="N33" s="313">
        <v>0</v>
      </c>
      <c r="O33" s="61">
        <v>1</v>
      </c>
      <c r="P33" s="314" t="s">
        <v>590</v>
      </c>
      <c r="R33" s="315">
        <f>IF(VLOOKUP($A33,Items!$A$5:$J$1000,8,0)=0," ",VLOOKUP($A33,Items!$A$5:$J$1000,8,0))</f>
        <v>2</v>
      </c>
      <c r="S33" s="315">
        <f>IF(VLOOKUP($A33,Items!$A$5:$J$1000,3,0)=0," ",VLOOKUP($A33,Items!$A$5:$J$1000,3,0))</f>
        <v>1</v>
      </c>
      <c r="T33" s="315">
        <f>IF(VLOOKUP($A33,Items!$A$5:$J$1000,7,0)=0," ",VLOOKUP($A33,Items!$A$5:$J$1000,7,0))</f>
        <v>7</v>
      </c>
      <c r="U33" s="315" t="str">
        <f>IF(VLOOKUP($A33,Items!$A$5:$J$1000,2,0)=0," ",VLOOKUP($A33,Items!$A$5:$J$1000,2,0))</f>
        <v xml:space="preserve"> </v>
      </c>
      <c r="V33" s="315">
        <f>IF(VLOOKUP($A33,Items!$A$5:$J$1000,9,0)=0," ",VLOOKUP($A33,Items!$A$5:$J$1000,9,0))</f>
        <v>1</v>
      </c>
      <c r="W33" s="315" t="str">
        <f>IF(VLOOKUP($A33,Items!$A$5:$J$1000,4,0)=0," ",VLOOKUP($A33,Items!$A$5:$J$1000,4,0))</f>
        <v xml:space="preserve"> </v>
      </c>
      <c r="X33" s="315">
        <f>IF(VLOOKUP($A33,Items!$A$5:$J$1000,6,0)=0," ",VLOOKUP($A33,Items!$A$5:$J$1000,6,0))</f>
        <v>1</v>
      </c>
      <c r="Y33" s="315">
        <f>IF(VLOOKUP($A33,Items!$A$5:$J$1000,5,0)=0," ",VLOOKUP($A33,Items!$A$5:$J$1000,5,0))</f>
        <v>2</v>
      </c>
      <c r="AA33" s="316">
        <f>IF(VLOOKUP($A33,Wood!$A$5:$W$1000,16,0)=0," ",VLOOKUP($A33,Wood!$A$5:$W$1000,16,0))</f>
        <v>0.17308000000000001</v>
      </c>
      <c r="AB33" s="316">
        <f>IF(VLOOKUP($A33,Wood!$A$5:$W$1000,17,0)=0," ",VLOOKUP($A33,Wood!$A$5:$W$1000,17,0))</f>
        <v>0.7192400000000001</v>
      </c>
      <c r="AC33" s="316" t="str">
        <f>IF(VLOOKUP($A33,Wood!$A$5:$W$1000,18,0)=0," ",VLOOKUP($A33,Wood!$A$5:$W$1000,18,0))</f>
        <v xml:space="preserve"> </v>
      </c>
      <c r="AD33" s="316" t="str">
        <f>IF(VLOOKUP($A33,Wood!$A$5:$W$1000,19,0)=0," ",VLOOKUP($A33,Wood!$A$5:$W$1000,19,0))</f>
        <v xml:space="preserve"> </v>
      </c>
      <c r="AE33" s="316" t="str">
        <f>IF(VLOOKUP($A33,Wood!$A$5:$W$1000,20,0)=0," ",VLOOKUP($A33,Wood!$A$5:$W$1000,20,0))</f>
        <v xml:space="preserve"> </v>
      </c>
      <c r="AF33" s="316" t="str">
        <f>IF(VLOOKUP($A33,Wood!$A$5:$W$1000,21,0)=0," ",VLOOKUP($A33,Wood!$A$5:$W$1000,21,0))</f>
        <v xml:space="preserve"> </v>
      </c>
      <c r="AG33" s="316" t="str">
        <f>IF(VLOOKUP($A33,Wood!$A$5:$W$1000,22,0)=0," ",VLOOKUP($A33,Wood!$A$5:$W$1000,22,0))</f>
        <v xml:space="preserve"> </v>
      </c>
      <c r="AH33" s="316" t="str">
        <f>IF(VLOOKUP($A33,Wood!$A$5:$W$1000,23,0)=0," ",VLOOKUP($A33,Wood!$A$5:$W$1000,23,0))</f>
        <v xml:space="preserve"> </v>
      </c>
      <c r="AJ33" s="313"/>
      <c r="AK33" s="313"/>
      <c r="AL33" s="313"/>
      <c r="AM33" s="313"/>
      <c r="AN33" s="313">
        <v>1</v>
      </c>
      <c r="AO33" s="313" t="s">
        <v>6</v>
      </c>
      <c r="AP33" s="313">
        <v>0</v>
      </c>
      <c r="AQ33" s="342"/>
      <c r="AR33" s="332">
        <v>46297</v>
      </c>
      <c r="AS33" s="333">
        <f>IFERROR(G33-AR33,"")</f>
        <v>26</v>
      </c>
      <c r="AT33" s="333">
        <f ca="1">NOW()-AR33</f>
        <v>17.617591435184295</v>
      </c>
      <c r="AU33" s="317">
        <f>IFERROR(AVERAGE(J33:N33,AJ33:AP33),"n/a")</f>
        <v>0.33333333333333331</v>
      </c>
    </row>
    <row r="34" spans="1:47" ht="69.599999999999994" customHeight="1" x14ac:dyDescent="0.2">
      <c r="A34" s="356">
        <v>9247</v>
      </c>
      <c r="B34" s="321" t="s">
        <v>635</v>
      </c>
      <c r="C34" s="322" t="s">
        <v>636</v>
      </c>
      <c r="D34" s="323">
        <v>0.188</v>
      </c>
      <c r="E34" s="322" t="str">
        <f t="shared" ref="E34:E40" si="53">C34</f>
        <v>1 UNIT SAUNA ROOM (1618ML-Cedar) w/ complete set of accessories and heater</v>
      </c>
      <c r="F34" s="323">
        <f t="shared" ref="F34:F46" si="54">D34</f>
        <v>0.188</v>
      </c>
      <c r="G34" s="242">
        <v>46323</v>
      </c>
      <c r="H34" s="324" t="s">
        <v>649</v>
      </c>
      <c r="I34" s="361"/>
      <c r="J34" s="313">
        <v>0</v>
      </c>
      <c r="K34" s="313">
        <v>0</v>
      </c>
      <c r="L34" s="313">
        <v>0</v>
      </c>
      <c r="M34" s="313" t="s">
        <v>6</v>
      </c>
      <c r="N34" s="313">
        <v>0</v>
      </c>
      <c r="O34" s="61">
        <v>1</v>
      </c>
      <c r="P34" s="314" t="s">
        <v>590</v>
      </c>
      <c r="R34" s="315">
        <f>IF(VLOOKUP($A34,Items!$A$5:$J$1000,8,0)=0," ",VLOOKUP($A34,Items!$A$5:$J$1000,8,0))</f>
        <v>2</v>
      </c>
      <c r="S34" s="315">
        <f>IF(VLOOKUP($A34,Items!$A$5:$J$1000,3,0)=0," ",VLOOKUP($A34,Items!$A$5:$J$1000,3,0))</f>
        <v>1</v>
      </c>
      <c r="T34" s="315">
        <f>IF(VLOOKUP($A34,Items!$A$5:$J$1000,7,0)=0," ",VLOOKUP($A34,Items!$A$5:$J$1000,7,0))</f>
        <v>8</v>
      </c>
      <c r="U34" s="315" t="str">
        <f>IF(VLOOKUP($A34,Items!$A$5:$J$1000,2,0)=0," ",VLOOKUP($A34,Items!$A$5:$J$1000,2,0))</f>
        <v xml:space="preserve"> </v>
      </c>
      <c r="V34" s="315">
        <f>IF(VLOOKUP($A34,Items!$A$5:$J$1000,9,0)=0," ",VLOOKUP($A34,Items!$A$5:$J$1000,9,0))</f>
        <v>1</v>
      </c>
      <c r="W34" s="315" t="str">
        <f>IF(VLOOKUP($A34,Items!$A$5:$J$1000,4,0)=0," ",VLOOKUP($A34,Items!$A$5:$J$1000,4,0))</f>
        <v xml:space="preserve"> </v>
      </c>
      <c r="X34" s="315">
        <f>IF(VLOOKUP($A34,Items!$A$5:$J$1000,6,0)=0," ",VLOOKUP($A34,Items!$A$5:$J$1000,6,0))</f>
        <v>1</v>
      </c>
      <c r="Y34" s="315">
        <f>IF(VLOOKUP($A34,Items!$A$5:$J$1000,5,0)=0," ",VLOOKUP($A34,Items!$A$5:$J$1000,5,0))</f>
        <v>1</v>
      </c>
      <c r="AA34" s="316" t="str">
        <f>IF(VLOOKUP($A34,Wood!$A$5:$W$1000,16,0)=0," ",VLOOKUP($A34,Wood!$A$5:$W$1000,16,0))</f>
        <v xml:space="preserve"> </v>
      </c>
      <c r="AB34" s="316" t="str">
        <f>IF(VLOOKUP($A34,Wood!$A$5:$W$1000,17,0)=0," ",VLOOKUP($A34,Wood!$A$5:$W$1000,17,0))</f>
        <v xml:space="preserve"> </v>
      </c>
      <c r="AC34" s="316" t="str">
        <f>IF(VLOOKUP($A34,Wood!$A$5:$W$1000,18,0)=0," ",VLOOKUP($A34,Wood!$A$5:$W$1000,18,0))</f>
        <v xml:space="preserve"> </v>
      </c>
      <c r="AD34" s="316" t="str">
        <f>IF(VLOOKUP($A34,Wood!$A$5:$W$1000,19,0)=0," ",VLOOKUP($A34,Wood!$A$5:$W$1000,19,0))</f>
        <v xml:space="preserve"> </v>
      </c>
      <c r="AE34" s="316" t="str">
        <f>IF(VLOOKUP($A34,Wood!$A$5:$W$1000,20,0)=0," ",VLOOKUP($A34,Wood!$A$5:$W$1000,20,0))</f>
        <v xml:space="preserve"> </v>
      </c>
      <c r="AF34" s="316" t="str">
        <f>IF(VLOOKUP($A34,Wood!$A$5:$W$1000,21,0)=0," ",VLOOKUP($A34,Wood!$A$5:$W$1000,21,0))</f>
        <v xml:space="preserve"> </v>
      </c>
      <c r="AG34" s="316" t="str">
        <f>IF(VLOOKUP($A34,Wood!$A$5:$W$1000,22,0)=0," ",VLOOKUP($A34,Wood!$A$5:$W$1000,22,0))</f>
        <v xml:space="preserve"> </v>
      </c>
      <c r="AH34" s="316" t="str">
        <f>IF(VLOOKUP($A34,Wood!$A$5:$W$1000,23,0)=0," ",VLOOKUP($A34,Wood!$A$5:$W$1000,23,0))</f>
        <v xml:space="preserve"> </v>
      </c>
      <c r="AJ34" s="313"/>
      <c r="AK34" s="313"/>
      <c r="AL34" s="313"/>
      <c r="AM34" s="313"/>
      <c r="AN34" s="313">
        <v>0</v>
      </c>
      <c r="AO34" s="313" t="s">
        <v>6</v>
      </c>
      <c r="AP34" s="313">
        <v>0</v>
      </c>
      <c r="AQ34" s="342"/>
      <c r="AR34" s="332">
        <v>46307</v>
      </c>
      <c r="AS34" s="333">
        <f t="shared" ref="AS34:AS40" si="55">IFERROR(G34-AR34,"")</f>
        <v>16</v>
      </c>
      <c r="AT34" s="333">
        <f ca="1">NOW()-AR34</f>
        <v>7.6175914351842948</v>
      </c>
      <c r="AU34" s="317">
        <f>IFERROR(AVERAGE(J34:N34,AJ34:AP34),"n/a")</f>
        <v>0</v>
      </c>
    </row>
    <row r="35" spans="1:47" ht="85.15" customHeight="1" x14ac:dyDescent="0.2">
      <c r="A35" s="356">
        <v>9302</v>
      </c>
      <c r="B35" s="321" t="s">
        <v>647</v>
      </c>
      <c r="C35" s="322" t="s">
        <v>648</v>
      </c>
      <c r="D35" s="323">
        <v>0.14499999999999999</v>
      </c>
      <c r="E35" s="322" t="str">
        <f t="shared" ref="E35" si="56">C35</f>
        <v>1 UNIT SAUNA ROOM (1618LS-Cedar) w/ complete set of accessories and heater</v>
      </c>
      <c r="F35" s="323">
        <f t="shared" ref="F35" si="57">D35</f>
        <v>0.14499999999999999</v>
      </c>
      <c r="G35" s="242">
        <v>46323</v>
      </c>
      <c r="H35" s="324" t="s">
        <v>649</v>
      </c>
      <c r="I35" s="361"/>
      <c r="J35" s="313">
        <v>0</v>
      </c>
      <c r="K35" s="313">
        <v>0</v>
      </c>
      <c r="L35" s="313">
        <v>0</v>
      </c>
      <c r="M35" s="313" t="s">
        <v>6</v>
      </c>
      <c r="N35" s="313">
        <v>0</v>
      </c>
      <c r="O35" s="61">
        <v>1</v>
      </c>
      <c r="P35" s="314" t="s">
        <v>590</v>
      </c>
      <c r="R35" s="315">
        <f>IF(VLOOKUP($A35,Items!$A$5:$J$1000,8,0)=0," ",VLOOKUP($A35,Items!$A$5:$J$1000,8,0))</f>
        <v>2</v>
      </c>
      <c r="S35" s="315">
        <f>IF(VLOOKUP($A35,Items!$A$5:$J$1000,3,0)=0," ",VLOOKUP($A35,Items!$A$5:$J$1000,3,0))</f>
        <v>1</v>
      </c>
      <c r="T35" s="315">
        <f>IF(VLOOKUP($A35,Items!$A$5:$J$1000,7,0)=0," ",VLOOKUP($A35,Items!$A$5:$J$1000,7,0))</f>
        <v>7</v>
      </c>
      <c r="U35" s="315" t="str">
        <f>IF(VLOOKUP($A35,Items!$A$5:$J$1000,2,0)=0," ",VLOOKUP($A35,Items!$A$5:$J$1000,2,0))</f>
        <v xml:space="preserve"> </v>
      </c>
      <c r="V35" s="315">
        <f>IF(VLOOKUP($A35,Items!$A$5:$J$1000,9,0)=0," ",VLOOKUP($A35,Items!$A$5:$J$1000,9,0))</f>
        <v>1</v>
      </c>
      <c r="W35" s="315" t="str">
        <f>IF(VLOOKUP($A35,Items!$A$5:$J$1000,4,0)=0," ",VLOOKUP($A35,Items!$A$5:$J$1000,4,0))</f>
        <v xml:space="preserve"> </v>
      </c>
      <c r="X35" s="315">
        <f>IF(VLOOKUP($A35,Items!$A$5:$J$1000,6,0)=0," ",VLOOKUP($A35,Items!$A$5:$J$1000,6,0))</f>
        <v>1</v>
      </c>
      <c r="Y35" s="315">
        <f>IF(VLOOKUP($A35,Items!$A$5:$J$1000,5,0)=0," ",VLOOKUP($A35,Items!$A$5:$J$1000,5,0))</f>
        <v>1</v>
      </c>
      <c r="AA35" s="316" t="str">
        <f>IF(VLOOKUP($A35,Wood!$A$5:$W$1000,16,0)=0," ",VLOOKUP($A35,Wood!$A$5:$W$1000,16,0))</f>
        <v xml:space="preserve"> </v>
      </c>
      <c r="AB35" s="316" t="str">
        <f>IF(VLOOKUP($A35,Wood!$A$5:$W$1000,17,0)=0," ",VLOOKUP($A35,Wood!$A$5:$W$1000,17,0))</f>
        <v xml:space="preserve"> </v>
      </c>
      <c r="AC35" s="316" t="str">
        <f>IF(VLOOKUP($A35,Wood!$A$5:$W$1000,18,0)=0," ",VLOOKUP($A35,Wood!$A$5:$W$1000,18,0))</f>
        <v xml:space="preserve"> </v>
      </c>
      <c r="AD35" s="316" t="str">
        <f>IF(VLOOKUP($A35,Wood!$A$5:$W$1000,19,0)=0," ",VLOOKUP($A35,Wood!$A$5:$W$1000,19,0))</f>
        <v xml:space="preserve"> </v>
      </c>
      <c r="AE35" s="316" t="str">
        <f>IF(VLOOKUP($A35,Wood!$A$5:$W$1000,20,0)=0," ",VLOOKUP($A35,Wood!$A$5:$W$1000,20,0))</f>
        <v xml:space="preserve"> </v>
      </c>
      <c r="AF35" s="316" t="str">
        <f>IF(VLOOKUP($A35,Wood!$A$5:$W$1000,21,0)=0," ",VLOOKUP($A35,Wood!$A$5:$W$1000,21,0))</f>
        <v xml:space="preserve"> </v>
      </c>
      <c r="AG35" s="316" t="str">
        <f>IF(VLOOKUP($A35,Wood!$A$5:$W$1000,22,0)=0," ",VLOOKUP($A35,Wood!$A$5:$W$1000,22,0))</f>
        <v xml:space="preserve"> </v>
      </c>
      <c r="AH35" s="316" t="str">
        <f>IF(VLOOKUP($A35,Wood!$A$5:$W$1000,23,0)=0," ",VLOOKUP($A35,Wood!$A$5:$W$1000,23,0))</f>
        <v xml:space="preserve"> </v>
      </c>
      <c r="AJ35" s="313"/>
      <c r="AK35" s="313"/>
      <c r="AL35" s="313"/>
      <c r="AM35" s="313"/>
      <c r="AN35" s="313">
        <v>0</v>
      </c>
      <c r="AO35" s="313" t="s">
        <v>6</v>
      </c>
      <c r="AP35" s="313">
        <v>0</v>
      </c>
      <c r="AQ35" s="342"/>
      <c r="AR35" s="332">
        <v>46310</v>
      </c>
      <c r="AS35" s="333">
        <f t="shared" ref="AS35" si="58">IFERROR(G35-AR35,"")</f>
        <v>13</v>
      </c>
      <c r="AT35" s="333">
        <f ca="1">NOW()-AR35</f>
        <v>4.6175914351842948</v>
      </c>
      <c r="AU35" s="317">
        <f>IFERROR(AVERAGE(J35:N35,AJ35:AP35),"n/a")</f>
        <v>0</v>
      </c>
    </row>
    <row r="36" spans="1:47" ht="38.25" x14ac:dyDescent="0.2">
      <c r="A36" s="356">
        <v>8954</v>
      </c>
      <c r="B36" s="321" t="s">
        <v>653</v>
      </c>
      <c r="C36" s="322" t="s">
        <v>72</v>
      </c>
      <c r="D36" s="323">
        <v>0</v>
      </c>
      <c r="E36" s="322" t="s">
        <v>72</v>
      </c>
      <c r="F36" s="323">
        <v>6.4999999999999997E-3</v>
      </c>
      <c r="G36" s="242">
        <v>46323</v>
      </c>
      <c r="H36" s="324" t="s">
        <v>649</v>
      </c>
      <c r="I36" s="361"/>
      <c r="J36" s="313" t="s">
        <v>6</v>
      </c>
      <c r="K36" s="313" t="s">
        <v>6</v>
      </c>
      <c r="L36" s="313" t="s">
        <v>6</v>
      </c>
      <c r="M36" s="313" t="s">
        <v>6</v>
      </c>
      <c r="N36" s="313">
        <v>0</v>
      </c>
      <c r="P36" s="314" t="s">
        <v>590</v>
      </c>
      <c r="R36" s="315" t="str">
        <f>IF(VLOOKUP($A36,Items!$A$5:$J$1000,8,0)=0," ",VLOOKUP($A36,Items!$A$5:$J$1000,8,0))</f>
        <v xml:space="preserve"> </v>
      </c>
      <c r="S36" s="315" t="str">
        <f>IF(VLOOKUP($A36,Items!$A$5:$J$1000,3,0)=0," ",VLOOKUP($A36,Items!$A$5:$J$1000,3,0))</f>
        <v xml:space="preserve"> </v>
      </c>
      <c r="T36" s="315" t="str">
        <f>IF(VLOOKUP($A36,Items!$A$5:$J$1000,7,0)=0," ",VLOOKUP($A36,Items!$A$5:$J$1000,7,0))</f>
        <v xml:space="preserve"> </v>
      </c>
      <c r="U36" s="315" t="str">
        <f>IF(VLOOKUP($A36,Items!$A$5:$J$1000,2,0)=0," ",VLOOKUP($A36,Items!$A$5:$J$1000,2,0))</f>
        <v xml:space="preserve"> </v>
      </c>
      <c r="V36" s="315" t="str">
        <f>IF(VLOOKUP($A36,Items!$A$5:$J$1000,9,0)=0," ",VLOOKUP($A36,Items!$A$5:$J$1000,9,0))</f>
        <v xml:space="preserve"> </v>
      </c>
      <c r="W36" s="315" t="str">
        <f>IF(VLOOKUP($A36,Items!$A$5:$J$1000,4,0)=0," ",VLOOKUP($A36,Items!$A$5:$J$1000,4,0))</f>
        <v xml:space="preserve"> </v>
      </c>
      <c r="X36" s="315" t="str">
        <f>IF(VLOOKUP($A36,Items!$A$5:$J$1000,6,0)=0," ",VLOOKUP($A36,Items!$A$5:$J$1000,6,0))</f>
        <v xml:space="preserve"> </v>
      </c>
      <c r="Y36" s="315" t="str">
        <f>IF(VLOOKUP($A36,Items!$A$5:$J$1000,5,0)=0," ",VLOOKUP($A36,Items!$A$5:$J$1000,5,0))</f>
        <v xml:space="preserve"> </v>
      </c>
      <c r="AA36" s="316" t="str">
        <f>IF(VLOOKUP($A36,Wood!$A$5:$W$1000,16,0)=0," ",VLOOKUP($A36,Wood!$A$5:$W$1000,16,0))</f>
        <v xml:space="preserve"> </v>
      </c>
      <c r="AB36" s="316" t="str">
        <f>IF(VLOOKUP($A36,Wood!$A$5:$W$1000,17,0)=0," ",VLOOKUP($A36,Wood!$A$5:$W$1000,17,0))</f>
        <v xml:space="preserve"> </v>
      </c>
      <c r="AC36" s="316" t="str">
        <f>IF(VLOOKUP($A36,Wood!$A$5:$W$1000,18,0)=0," ",VLOOKUP($A36,Wood!$A$5:$W$1000,18,0))</f>
        <v xml:space="preserve"> </v>
      </c>
      <c r="AD36" s="316" t="str">
        <f>IF(VLOOKUP($A36,Wood!$A$5:$W$1000,19,0)=0," ",VLOOKUP($A36,Wood!$A$5:$W$1000,19,0))</f>
        <v xml:space="preserve"> </v>
      </c>
      <c r="AE36" s="316" t="str">
        <f>IF(VLOOKUP($A36,Wood!$A$5:$W$1000,20,0)=0," ",VLOOKUP($A36,Wood!$A$5:$W$1000,20,0))</f>
        <v xml:space="preserve"> </v>
      </c>
      <c r="AF36" s="316" t="str">
        <f>IF(VLOOKUP($A36,Wood!$A$5:$W$1000,21,0)=0," ",VLOOKUP($A36,Wood!$A$5:$W$1000,21,0))</f>
        <v xml:space="preserve"> </v>
      </c>
      <c r="AG36" s="316" t="str">
        <f>IF(VLOOKUP($A36,Wood!$A$5:$W$1000,22,0)=0," ",VLOOKUP($A36,Wood!$A$5:$W$1000,22,0))</f>
        <v xml:space="preserve"> </v>
      </c>
      <c r="AH36" s="316" t="str">
        <f>IF(VLOOKUP($A36,Wood!$A$5:$W$1000,23,0)=0," ",VLOOKUP($A36,Wood!$A$5:$W$1000,23,0))</f>
        <v xml:space="preserve"> </v>
      </c>
      <c r="AJ36" s="313"/>
      <c r="AK36" s="313"/>
      <c r="AL36" s="313"/>
      <c r="AM36" s="313"/>
      <c r="AN36" s="313" t="s">
        <v>6</v>
      </c>
      <c r="AO36" s="313" t="s">
        <v>6</v>
      </c>
      <c r="AP36" s="313">
        <v>0</v>
      </c>
      <c r="AQ36" s="342"/>
      <c r="AR36" s="332">
        <v>46288</v>
      </c>
      <c r="AS36" s="333">
        <f>IFERROR(G36-AR36,"")</f>
        <v>35</v>
      </c>
      <c r="AT36" s="333">
        <f t="shared" ref="AT36" ca="1" si="59">NOW()-AR36</f>
        <v>26.617591435184295</v>
      </c>
      <c r="AU36" s="317">
        <f t="shared" ref="AU36" si="60">IFERROR(AVERAGE(J36:N36,AJ36:AP36),"n/a")</f>
        <v>0</v>
      </c>
    </row>
    <row r="37" spans="1:47" ht="38.25" x14ac:dyDescent="0.2">
      <c r="A37" s="356">
        <v>9064</v>
      </c>
      <c r="B37" s="321" t="s">
        <v>651</v>
      </c>
      <c r="C37" s="322" t="s">
        <v>72</v>
      </c>
      <c r="D37" s="323">
        <v>0</v>
      </c>
      <c r="E37" s="322" t="s">
        <v>652</v>
      </c>
      <c r="F37" s="323">
        <v>6.4999999999999997E-3</v>
      </c>
      <c r="G37" s="242">
        <v>46323</v>
      </c>
      <c r="H37" s="324" t="s">
        <v>649</v>
      </c>
      <c r="I37" s="361"/>
      <c r="J37" s="313" t="s">
        <v>6</v>
      </c>
      <c r="K37" s="313" t="s">
        <v>6</v>
      </c>
      <c r="L37" s="313">
        <v>0</v>
      </c>
      <c r="M37" s="313" t="s">
        <v>6</v>
      </c>
      <c r="N37" s="313" t="s">
        <v>6</v>
      </c>
      <c r="P37" s="314" t="s">
        <v>590</v>
      </c>
      <c r="R37" s="315" t="str">
        <f>IF(VLOOKUP($A37,Items!$A$5:$J$1000,8,0)=0," ",VLOOKUP($A37,Items!$A$5:$J$1000,8,0))</f>
        <v xml:space="preserve"> </v>
      </c>
      <c r="S37" s="315" t="str">
        <f>IF(VLOOKUP($A37,Items!$A$5:$J$1000,3,0)=0," ",VLOOKUP($A37,Items!$A$5:$J$1000,3,0))</f>
        <v xml:space="preserve"> </v>
      </c>
      <c r="T37" s="315" t="str">
        <f>IF(VLOOKUP($A37,Items!$A$5:$J$1000,7,0)=0," ",VLOOKUP($A37,Items!$A$5:$J$1000,7,0))</f>
        <v xml:space="preserve"> </v>
      </c>
      <c r="U37" s="315" t="str">
        <f>IF(VLOOKUP($A37,Items!$A$5:$J$1000,2,0)=0," ",VLOOKUP($A37,Items!$A$5:$J$1000,2,0))</f>
        <v xml:space="preserve"> </v>
      </c>
      <c r="V37" s="315" t="str">
        <f>IF(VLOOKUP($A37,Items!$A$5:$J$1000,9,0)=0," ",VLOOKUP($A37,Items!$A$5:$J$1000,9,0))</f>
        <v xml:space="preserve"> </v>
      </c>
      <c r="W37" s="315" t="str">
        <f>IF(VLOOKUP($A37,Items!$A$5:$J$1000,4,0)=0," ",VLOOKUP($A37,Items!$A$5:$J$1000,4,0))</f>
        <v xml:space="preserve"> </v>
      </c>
      <c r="X37" s="315" t="str">
        <f>IF(VLOOKUP($A37,Items!$A$5:$J$1000,6,0)=0," ",VLOOKUP($A37,Items!$A$5:$J$1000,6,0))</f>
        <v xml:space="preserve"> </v>
      </c>
      <c r="Y37" s="315" t="str">
        <f>IF(VLOOKUP($A37,Items!$A$5:$J$1000,5,0)=0," ",VLOOKUP($A37,Items!$A$5:$J$1000,5,0))</f>
        <v xml:space="preserve"> </v>
      </c>
      <c r="AA37" s="316" t="str">
        <f>IF(VLOOKUP($A37,Wood!$A$5:$W$1000,16,0)=0," ",VLOOKUP($A37,Wood!$A$5:$W$1000,16,0))</f>
        <v xml:space="preserve"> </v>
      </c>
      <c r="AB37" s="316" t="str">
        <f>IF(VLOOKUP($A37,Wood!$A$5:$W$1000,17,0)=0," ",VLOOKUP($A37,Wood!$A$5:$W$1000,17,0))</f>
        <v xml:space="preserve"> </v>
      </c>
      <c r="AC37" s="316" t="str">
        <f>IF(VLOOKUP($A37,Wood!$A$5:$W$1000,18,0)=0," ",VLOOKUP($A37,Wood!$A$5:$W$1000,18,0))</f>
        <v xml:space="preserve"> </v>
      </c>
      <c r="AD37" s="316" t="str">
        <f>IF(VLOOKUP($A37,Wood!$A$5:$W$1000,19,0)=0," ",VLOOKUP($A37,Wood!$A$5:$W$1000,19,0))</f>
        <v xml:space="preserve"> </v>
      </c>
      <c r="AE37" s="316" t="str">
        <f>IF(VLOOKUP($A37,Wood!$A$5:$W$1000,20,0)=0," ",VLOOKUP($A37,Wood!$A$5:$W$1000,20,0))</f>
        <v xml:space="preserve"> </v>
      </c>
      <c r="AF37" s="316" t="str">
        <f>IF(VLOOKUP($A37,Wood!$A$5:$W$1000,21,0)=0," ",VLOOKUP($A37,Wood!$A$5:$W$1000,21,0))</f>
        <v xml:space="preserve"> </v>
      </c>
      <c r="AG37" s="316" t="str">
        <f>IF(VLOOKUP($A37,Wood!$A$5:$W$1000,22,0)=0," ",VLOOKUP($A37,Wood!$A$5:$W$1000,22,0))</f>
        <v xml:space="preserve"> </v>
      </c>
      <c r="AH37" s="316" t="str">
        <f>IF(VLOOKUP($A37,Wood!$A$5:$W$1000,23,0)=0," ",VLOOKUP($A37,Wood!$A$5:$W$1000,23,0))</f>
        <v xml:space="preserve"> </v>
      </c>
      <c r="AJ37" s="313"/>
      <c r="AK37" s="313"/>
      <c r="AL37" s="313"/>
      <c r="AM37" s="313"/>
      <c r="AN37" s="313" t="s">
        <v>6</v>
      </c>
      <c r="AO37" s="313" t="s">
        <v>6</v>
      </c>
      <c r="AP37" s="313" t="s">
        <v>6</v>
      </c>
      <c r="AQ37" s="342"/>
      <c r="AR37" s="332">
        <v>46295</v>
      </c>
      <c r="AS37" s="333">
        <f>IFERROR(G37-AR37,"")</f>
        <v>28</v>
      </c>
      <c r="AT37" s="333">
        <f t="shared" ref="AT37" ca="1" si="61">NOW()-AR37</f>
        <v>19.617591435184295</v>
      </c>
      <c r="AU37" s="317">
        <f t="shared" ref="AU37" si="62">IFERROR(AVERAGE(J37:N37,AJ37:AP37),"n/a")</f>
        <v>0</v>
      </c>
    </row>
    <row r="38" spans="1:47" ht="25.5" x14ac:dyDescent="0.2">
      <c r="A38" s="356">
        <v>9065</v>
      </c>
      <c r="B38" s="321" t="s">
        <v>650</v>
      </c>
      <c r="C38" s="322" t="s">
        <v>72</v>
      </c>
      <c r="D38" s="323">
        <v>0</v>
      </c>
      <c r="E38" s="322" t="str">
        <f>C38</f>
        <v>SPARE PARTS</v>
      </c>
      <c r="F38" s="323">
        <f t="shared" ref="F38" si="63">D38</f>
        <v>0</v>
      </c>
      <c r="G38" s="242">
        <v>46323</v>
      </c>
      <c r="H38" s="324" t="s">
        <v>649</v>
      </c>
      <c r="I38" s="361"/>
      <c r="J38" s="313" t="s">
        <v>6</v>
      </c>
      <c r="K38" s="313" t="s">
        <v>6</v>
      </c>
      <c r="L38" s="313" t="s">
        <v>6</v>
      </c>
      <c r="M38" s="313" t="s">
        <v>6</v>
      </c>
      <c r="N38" s="313">
        <v>0</v>
      </c>
      <c r="P38" s="314" t="s">
        <v>590</v>
      </c>
      <c r="R38" s="315" t="str">
        <f>IF(VLOOKUP($A38,Items!$A$5:$J$1000,8,0)=0," ",VLOOKUP($A38,Items!$A$5:$J$1000,8,0))</f>
        <v xml:space="preserve"> </v>
      </c>
      <c r="S38" s="315" t="str">
        <f>IF(VLOOKUP($A38,Items!$A$5:$J$1000,3,0)=0," ",VLOOKUP($A38,Items!$A$5:$J$1000,3,0))</f>
        <v xml:space="preserve"> </v>
      </c>
      <c r="T38" s="315" t="str">
        <f>IF(VLOOKUP($A38,Items!$A$5:$J$1000,7,0)=0," ",VLOOKUP($A38,Items!$A$5:$J$1000,7,0))</f>
        <v xml:space="preserve"> </v>
      </c>
      <c r="U38" s="315" t="str">
        <f>IF(VLOOKUP($A38,Items!$A$5:$J$1000,2,0)=0," ",VLOOKUP($A38,Items!$A$5:$J$1000,2,0))</f>
        <v xml:space="preserve"> </v>
      </c>
      <c r="V38" s="315" t="str">
        <f>IF(VLOOKUP($A38,Items!$A$5:$J$1000,9,0)=0," ",VLOOKUP($A38,Items!$A$5:$J$1000,9,0))</f>
        <v xml:space="preserve"> </v>
      </c>
      <c r="W38" s="315" t="str">
        <f>IF(VLOOKUP($A38,Items!$A$5:$J$1000,4,0)=0," ",VLOOKUP($A38,Items!$A$5:$J$1000,4,0))</f>
        <v xml:space="preserve"> </v>
      </c>
      <c r="X38" s="315">
        <f>IF(VLOOKUP($A38,Items!$A$5:$J$1000,6,0)=0," ",VLOOKUP($A38,Items!$A$5:$J$1000,6,0))</f>
        <v>1</v>
      </c>
      <c r="Y38" s="315" t="str">
        <f>IF(VLOOKUP($A38,Items!$A$5:$J$1000,5,0)=0," ",VLOOKUP($A38,Items!$A$5:$J$1000,5,0))</f>
        <v xml:space="preserve"> </v>
      </c>
      <c r="AA38" s="316" t="str">
        <f>IF(VLOOKUP($A38,Wood!$A$5:$W$1000,16,0)=0," ",VLOOKUP($A38,Wood!$A$5:$W$1000,16,0))</f>
        <v xml:space="preserve"> </v>
      </c>
      <c r="AB38" s="316" t="str">
        <f>IF(VLOOKUP($A38,Wood!$A$5:$W$1000,17,0)=0," ",VLOOKUP($A38,Wood!$A$5:$W$1000,17,0))</f>
        <v xml:space="preserve"> </v>
      </c>
      <c r="AC38" s="316" t="str">
        <f>IF(VLOOKUP($A38,Wood!$A$5:$W$1000,18,0)=0," ",VLOOKUP($A38,Wood!$A$5:$W$1000,18,0))</f>
        <v xml:space="preserve"> </v>
      </c>
      <c r="AD38" s="316" t="str">
        <f>IF(VLOOKUP($A38,Wood!$A$5:$W$1000,19,0)=0," ",VLOOKUP($A38,Wood!$A$5:$W$1000,19,0))</f>
        <v xml:space="preserve"> </v>
      </c>
      <c r="AE38" s="316" t="str">
        <f>IF(VLOOKUP($A38,Wood!$A$5:$W$1000,20,0)=0," ",VLOOKUP($A38,Wood!$A$5:$W$1000,20,0))</f>
        <v xml:space="preserve"> </v>
      </c>
      <c r="AF38" s="316" t="str">
        <f>IF(VLOOKUP($A38,Wood!$A$5:$W$1000,21,0)=0," ",VLOOKUP($A38,Wood!$A$5:$W$1000,21,0))</f>
        <v xml:space="preserve"> </v>
      </c>
      <c r="AG38" s="316" t="str">
        <f>IF(VLOOKUP($A38,Wood!$A$5:$W$1000,22,0)=0," ",VLOOKUP($A38,Wood!$A$5:$W$1000,22,0))</f>
        <v xml:space="preserve"> </v>
      </c>
      <c r="AH38" s="316" t="str">
        <f>IF(VLOOKUP($A38,Wood!$A$5:$W$1000,23,0)=0," ",VLOOKUP($A38,Wood!$A$5:$W$1000,23,0))</f>
        <v xml:space="preserve"> </v>
      </c>
      <c r="AJ38" s="313"/>
      <c r="AK38" s="313"/>
      <c r="AL38" s="313"/>
      <c r="AM38" s="313"/>
      <c r="AN38" s="313" t="s">
        <v>6</v>
      </c>
      <c r="AO38" s="313" t="s">
        <v>6</v>
      </c>
      <c r="AP38" s="313">
        <v>0</v>
      </c>
      <c r="AQ38" s="342"/>
      <c r="AR38" s="332">
        <v>46295</v>
      </c>
      <c r="AS38" s="333">
        <f>IFERROR(G38-AR38,"")</f>
        <v>28</v>
      </c>
      <c r="AT38" s="333">
        <f t="shared" ref="AT38" ca="1" si="64">NOW()-AR38</f>
        <v>19.617591435184295</v>
      </c>
      <c r="AU38" s="317">
        <f t="shared" ref="AU38" si="65">IFERROR(AVERAGE(J38:N38,AJ38:AP38),"n/a")</f>
        <v>0</v>
      </c>
    </row>
    <row r="39" spans="1:47" ht="25.5" x14ac:dyDescent="0.2">
      <c r="A39" s="356">
        <v>9303</v>
      </c>
      <c r="B39" s="321" t="s">
        <v>645</v>
      </c>
      <c r="C39" s="322" t="s">
        <v>646</v>
      </c>
      <c r="D39" s="323">
        <v>0.63700000000000001</v>
      </c>
      <c r="E39" s="322" t="str">
        <f t="shared" si="53"/>
        <v>SPARE PARTS &amp; R-990-N</v>
      </c>
      <c r="F39" s="323">
        <f t="shared" si="54"/>
        <v>0.63700000000000001</v>
      </c>
      <c r="G39" s="242">
        <v>46323</v>
      </c>
      <c r="H39" s="324" t="s">
        <v>649</v>
      </c>
      <c r="I39" s="362"/>
      <c r="J39" s="313" t="s">
        <v>6</v>
      </c>
      <c r="K39" s="313">
        <v>0</v>
      </c>
      <c r="L39" s="313" t="s">
        <v>6</v>
      </c>
      <c r="M39" s="313" t="s">
        <v>6</v>
      </c>
      <c r="N39" s="313" t="s">
        <v>6</v>
      </c>
      <c r="P39" s="314" t="s">
        <v>590</v>
      </c>
      <c r="R39" s="315" t="str">
        <f>IF(VLOOKUP($A39,Items!$A$5:$J$1000,8,0)=0," ",VLOOKUP($A39,Items!$A$5:$J$1000,8,0))</f>
        <v xml:space="preserve"> </v>
      </c>
      <c r="S39" s="315" t="str">
        <f>IF(VLOOKUP($A39,Items!$A$5:$J$1000,3,0)=0," ",VLOOKUP($A39,Items!$A$5:$J$1000,3,0))</f>
        <v xml:space="preserve"> </v>
      </c>
      <c r="T39" s="315" t="str">
        <f>IF(VLOOKUP($A39,Items!$A$5:$J$1000,7,0)=0," ",VLOOKUP($A39,Items!$A$5:$J$1000,7,0))</f>
        <v xml:space="preserve"> </v>
      </c>
      <c r="U39" s="315" t="str">
        <f>IF(VLOOKUP($A39,Items!$A$5:$J$1000,2,0)=0," ",VLOOKUP($A39,Items!$A$5:$J$1000,2,0))</f>
        <v xml:space="preserve"> </v>
      </c>
      <c r="V39" s="315" t="str">
        <f>IF(VLOOKUP($A39,Items!$A$5:$J$1000,9,0)=0," ",VLOOKUP($A39,Items!$A$5:$J$1000,9,0))</f>
        <v xml:space="preserve"> </v>
      </c>
      <c r="W39" s="315" t="str">
        <f>IF(VLOOKUP($A39,Items!$A$5:$J$1000,4,0)=0," ",VLOOKUP($A39,Items!$A$5:$J$1000,4,0))</f>
        <v xml:space="preserve"> </v>
      </c>
      <c r="X39" s="315">
        <f>IF(VLOOKUP($A39,Items!$A$5:$J$1000,6,0)=0," ",VLOOKUP($A39,Items!$A$5:$J$1000,6,0))</f>
        <v>40</v>
      </c>
      <c r="Y39" s="315">
        <f>IF(VLOOKUP($A39,Items!$A$5:$J$1000,5,0)=0," ",VLOOKUP($A39,Items!$A$5:$J$1000,5,0))</f>
        <v>30</v>
      </c>
      <c r="AA39" s="316" t="str">
        <f>IF(VLOOKUP($A39,Wood!$A$5:$W$1000,16,0)=0," ",VLOOKUP($A39,Wood!$A$5:$W$1000,16,0))</f>
        <v xml:space="preserve"> </v>
      </c>
      <c r="AB39" s="316" t="str">
        <f>IF(VLOOKUP($A39,Wood!$A$5:$W$1000,17,0)=0," ",VLOOKUP($A39,Wood!$A$5:$W$1000,17,0))</f>
        <v xml:space="preserve"> </v>
      </c>
      <c r="AC39" s="316" t="str">
        <f>IF(VLOOKUP($A39,Wood!$A$5:$W$1000,18,0)=0," ",VLOOKUP($A39,Wood!$A$5:$W$1000,18,0))</f>
        <v xml:space="preserve"> </v>
      </c>
      <c r="AD39" s="316" t="str">
        <f>IF(VLOOKUP($A39,Wood!$A$5:$W$1000,19,0)=0," ",VLOOKUP($A39,Wood!$A$5:$W$1000,19,0))</f>
        <v xml:space="preserve"> </v>
      </c>
      <c r="AE39" s="316" t="str">
        <f>IF(VLOOKUP($A39,Wood!$A$5:$W$1000,20,0)=0," ",VLOOKUP($A39,Wood!$A$5:$W$1000,20,0))</f>
        <v xml:space="preserve"> </v>
      </c>
      <c r="AF39" s="316" t="str">
        <f>IF(VLOOKUP($A39,Wood!$A$5:$W$1000,21,0)=0," ",VLOOKUP($A39,Wood!$A$5:$W$1000,21,0))</f>
        <v xml:space="preserve"> </v>
      </c>
      <c r="AG39" s="316" t="str">
        <f>IF(VLOOKUP($A39,Wood!$A$5:$W$1000,22,0)=0," ",VLOOKUP($A39,Wood!$A$5:$W$1000,22,0))</f>
        <v xml:space="preserve"> </v>
      </c>
      <c r="AH39" s="316" t="str">
        <f>IF(VLOOKUP($A39,Wood!$A$5:$W$1000,23,0)=0," ",VLOOKUP($A39,Wood!$A$5:$W$1000,23,0))</f>
        <v xml:space="preserve"> </v>
      </c>
      <c r="AJ39" s="313"/>
      <c r="AK39" s="313"/>
      <c r="AL39" s="313"/>
      <c r="AM39" s="313"/>
      <c r="AN39" s="313" t="s">
        <v>6</v>
      </c>
      <c r="AO39" s="313" t="s">
        <v>6</v>
      </c>
      <c r="AP39" s="313" t="s">
        <v>6</v>
      </c>
      <c r="AQ39" s="342"/>
      <c r="AR39" s="332">
        <v>46310</v>
      </c>
      <c r="AS39" s="333">
        <f t="shared" si="55"/>
        <v>13</v>
      </c>
      <c r="AT39" s="333">
        <f t="shared" ref="AT39" ca="1" si="66">NOW()-AR39</f>
        <v>4.6175914351842948</v>
      </c>
      <c r="AU39" s="317">
        <f t="shared" ref="AU39" si="67">IFERROR(AVERAGE(J39:N39,AJ39:AP39),"n/a")</f>
        <v>0</v>
      </c>
    </row>
    <row r="40" spans="1:47" ht="25.5" x14ac:dyDescent="0.2">
      <c r="A40" s="310">
        <v>9204</v>
      </c>
      <c r="B40" s="309" t="s">
        <v>643</v>
      </c>
      <c r="C40" s="310" t="s">
        <v>644</v>
      </c>
      <c r="D40" s="318">
        <v>3.1</v>
      </c>
      <c r="E40" s="312" t="str">
        <f t="shared" si="53"/>
        <v>IR-PANEL-1-D</v>
      </c>
      <c r="F40" s="311">
        <f t="shared" ref="F40" si="68">D40</f>
        <v>3.1</v>
      </c>
      <c r="G40" s="332">
        <v>46324</v>
      </c>
      <c r="H40" s="6"/>
      <c r="I40" s="319"/>
      <c r="J40" s="313" t="s">
        <v>6</v>
      </c>
      <c r="K40" s="313" t="s">
        <v>6</v>
      </c>
      <c r="L40" s="313">
        <v>0</v>
      </c>
      <c r="M40" s="313" t="s">
        <v>6</v>
      </c>
      <c r="N40" s="313" t="s">
        <v>6</v>
      </c>
      <c r="P40" s="314" t="s">
        <v>590</v>
      </c>
      <c r="R40" s="315" t="str">
        <f>IF(VLOOKUP($A40,Items!$A$5:$J$1000,8,0)=0," ",VLOOKUP($A40,Items!$A$5:$J$1000,8,0))</f>
        <v xml:space="preserve"> </v>
      </c>
      <c r="S40" s="315" t="str">
        <f>IF(VLOOKUP($A40,Items!$A$5:$J$1000,3,0)=0," ",VLOOKUP($A40,Items!$A$5:$J$1000,3,0))</f>
        <v xml:space="preserve"> </v>
      </c>
      <c r="T40" s="315">
        <f>IF(VLOOKUP($A40,Items!$A$5:$J$1000,7,0)=0," ",VLOOKUP($A40,Items!$A$5:$J$1000,7,0))</f>
        <v>200</v>
      </c>
      <c r="U40" s="315" t="str">
        <f>IF(VLOOKUP($A40,Items!$A$5:$J$1000,2,0)=0," ",VLOOKUP($A40,Items!$A$5:$J$1000,2,0))</f>
        <v xml:space="preserve"> </v>
      </c>
      <c r="V40" s="315" t="str">
        <f>IF(VLOOKUP($A40,Items!$A$5:$J$1000,9,0)=0," ",VLOOKUP($A40,Items!$A$5:$J$1000,9,0))</f>
        <v xml:space="preserve"> </v>
      </c>
      <c r="W40" s="315" t="str">
        <f>IF(VLOOKUP($A40,Items!$A$5:$J$1000,4,0)=0," ",VLOOKUP($A40,Items!$A$5:$J$1000,4,0))</f>
        <v xml:space="preserve"> </v>
      </c>
      <c r="X40" s="315" t="str">
        <f>IF(VLOOKUP($A40,Items!$A$5:$J$1000,6,0)=0," ",VLOOKUP($A40,Items!$A$5:$J$1000,6,0))</f>
        <v xml:space="preserve"> </v>
      </c>
      <c r="Y40" s="315" t="str">
        <f>IF(VLOOKUP($A40,Items!$A$5:$J$1000,5,0)=0," ",VLOOKUP($A40,Items!$A$5:$J$1000,5,0))</f>
        <v xml:space="preserve"> </v>
      </c>
      <c r="AA40" s="316" t="str">
        <f>IF(VLOOKUP($A40,Wood!$A$5:$W$1000,16,0)=0," ",VLOOKUP($A40,Wood!$A$5:$W$1000,16,0))</f>
        <v xml:space="preserve"> </v>
      </c>
      <c r="AB40" s="316" t="str">
        <f>IF(VLOOKUP($A40,Wood!$A$5:$W$1000,17,0)=0," ",VLOOKUP($A40,Wood!$A$5:$W$1000,17,0))</f>
        <v xml:space="preserve"> </v>
      </c>
      <c r="AC40" s="316" t="str">
        <f>IF(VLOOKUP($A40,Wood!$A$5:$W$1000,18,0)=0," ",VLOOKUP($A40,Wood!$A$5:$W$1000,18,0))</f>
        <v xml:space="preserve"> </v>
      </c>
      <c r="AD40" s="316" t="str">
        <f>IF(VLOOKUP($A40,Wood!$A$5:$W$1000,19,0)=0," ",VLOOKUP($A40,Wood!$A$5:$W$1000,19,0))</f>
        <v xml:space="preserve"> </v>
      </c>
      <c r="AE40" s="316" t="str">
        <f>IF(VLOOKUP($A40,Wood!$A$5:$W$1000,20,0)=0," ",VLOOKUP($A40,Wood!$A$5:$W$1000,20,0))</f>
        <v xml:space="preserve"> </v>
      </c>
      <c r="AF40" s="316" t="str">
        <f>IF(VLOOKUP($A40,Wood!$A$5:$W$1000,21,0)=0," ",VLOOKUP($A40,Wood!$A$5:$W$1000,21,0))</f>
        <v xml:space="preserve"> </v>
      </c>
      <c r="AG40" s="316" t="str">
        <f>IF(VLOOKUP($A40,Wood!$A$5:$W$1000,22,0)=0," ",VLOOKUP($A40,Wood!$A$5:$W$1000,22,0))</f>
        <v xml:space="preserve"> </v>
      </c>
      <c r="AH40" s="316" t="str">
        <f>IF(VLOOKUP($A40,Wood!$A$5:$W$1000,23,0)=0," ",VLOOKUP($A40,Wood!$A$5:$W$1000,23,0))</f>
        <v xml:space="preserve"> </v>
      </c>
      <c r="AJ40" s="313"/>
      <c r="AK40" s="313"/>
      <c r="AL40" s="313"/>
      <c r="AM40" s="313"/>
      <c r="AN40" s="313" t="s">
        <v>6</v>
      </c>
      <c r="AO40" s="313" t="s">
        <v>6</v>
      </c>
      <c r="AP40" s="313" t="s">
        <v>6</v>
      </c>
      <c r="AR40" s="332">
        <v>46310</v>
      </c>
      <c r="AS40" s="333">
        <f t="shared" si="55"/>
        <v>14</v>
      </c>
      <c r="AT40" s="333">
        <f ca="1">NOW()-AR40</f>
        <v>4.6175914351842948</v>
      </c>
      <c r="AU40" s="317">
        <f t="shared" ref="AU40" si="69">IFERROR(AVERAGE(J40:N40,AJ40:AP40),"n/a")</f>
        <v>0</v>
      </c>
    </row>
    <row r="41" spans="1:47" ht="25.5" x14ac:dyDescent="0.2">
      <c r="A41" s="310">
        <v>9005</v>
      </c>
      <c r="B41" s="309" t="s">
        <v>588</v>
      </c>
      <c r="C41" s="310" t="s">
        <v>63</v>
      </c>
      <c r="D41" s="318">
        <v>44.15</v>
      </c>
      <c r="E41" s="312" t="str">
        <f t="shared" ref="E41" si="70">C41</f>
        <v>WOODEN ACCESSORIES</v>
      </c>
      <c r="F41" s="311">
        <f t="shared" si="54"/>
        <v>44.15</v>
      </c>
      <c r="G41" s="332">
        <v>46325</v>
      </c>
      <c r="H41" s="6" t="s">
        <v>611</v>
      </c>
      <c r="I41" s="319" t="s">
        <v>333</v>
      </c>
      <c r="J41" s="313" t="s">
        <v>6</v>
      </c>
      <c r="K41" s="313" t="s">
        <v>6</v>
      </c>
      <c r="L41" s="313">
        <v>0</v>
      </c>
      <c r="M41" s="313" t="s">
        <v>6</v>
      </c>
      <c r="N41" s="313" t="s">
        <v>6</v>
      </c>
      <c r="P41" s="314" t="s">
        <v>590</v>
      </c>
      <c r="Q41" s="75">
        <v>2</v>
      </c>
      <c r="R41" s="315" t="str">
        <f>IF(VLOOKUP($A41,Items!$A$5:$J$1000,8,0)=0," ",VLOOKUP($A41,Items!$A$5:$J$1000,8,0))</f>
        <v xml:space="preserve"> </v>
      </c>
      <c r="S41" s="315" t="str">
        <f>IF(VLOOKUP($A41,Items!$A$5:$J$1000,3,0)=0," ",VLOOKUP($A41,Items!$A$5:$J$1000,3,0))</f>
        <v xml:space="preserve"> </v>
      </c>
      <c r="T41" s="315">
        <f>IF(VLOOKUP($A41,Items!$A$5:$J$1000,7,0)=0," ",VLOOKUP($A41,Items!$A$5:$J$1000,7,0))</f>
        <v>8600</v>
      </c>
      <c r="U41" s="315" t="str">
        <f>IF(VLOOKUP($A41,Items!$A$5:$J$1000,2,0)=0," ",VLOOKUP($A41,Items!$A$5:$J$1000,2,0))</f>
        <v xml:space="preserve"> </v>
      </c>
      <c r="V41" s="315" t="str">
        <f>IF(VLOOKUP($A41,Items!$A$5:$J$1000,9,0)=0," ",VLOOKUP($A41,Items!$A$5:$J$1000,9,0))</f>
        <v xml:space="preserve"> </v>
      </c>
      <c r="W41" s="315" t="str">
        <f>IF(VLOOKUP($A41,Items!$A$5:$J$1000,4,0)=0," ",VLOOKUP($A41,Items!$A$5:$J$1000,4,0))</f>
        <v xml:space="preserve"> </v>
      </c>
      <c r="X41" s="315" t="str">
        <f>IF(VLOOKUP($A41,Items!$A$5:$J$1000,6,0)=0," ",VLOOKUP($A41,Items!$A$5:$J$1000,6,0))</f>
        <v xml:space="preserve"> </v>
      </c>
      <c r="Y41" s="315" t="str">
        <f>IF(VLOOKUP($A41,Items!$A$5:$J$1000,5,0)=0," ",VLOOKUP($A41,Items!$A$5:$J$1000,5,0))</f>
        <v xml:space="preserve"> </v>
      </c>
      <c r="AA41" s="316" t="str">
        <f>IF(VLOOKUP($A41,Wood!$A$5:$W$1000,16,0)=0," ",VLOOKUP($A41,Wood!$A$5:$W$1000,16,0))</f>
        <v xml:space="preserve"> </v>
      </c>
      <c r="AB41" s="316">
        <f>IF(VLOOKUP($A41,Wood!$A$5:$W$1000,17,0)=0," ",VLOOKUP($A41,Wood!$A$5:$W$1000,17,0))</f>
        <v>1.044</v>
      </c>
      <c r="AC41" s="316">
        <f>IF(VLOOKUP($A41,Wood!$A$5:$W$1000,18,0)=0," ",VLOOKUP($A41,Wood!$A$5:$W$1000,18,0))</f>
        <v>0.60799999999999998</v>
      </c>
      <c r="AD41" s="316">
        <f>IF(VLOOKUP($A41,Wood!$A$5:$W$1000,19,0)=0," ",VLOOKUP($A41,Wood!$A$5:$W$1000,19,0))</f>
        <v>5.492</v>
      </c>
      <c r="AE41" s="316" t="str">
        <f>IF(VLOOKUP($A41,Wood!$A$5:$W$1000,20,0)=0," ",VLOOKUP($A41,Wood!$A$5:$W$1000,20,0))</f>
        <v xml:space="preserve"> </v>
      </c>
      <c r="AF41" s="316">
        <f>IF(VLOOKUP($A41,Wood!$A$5:$W$1000,21,0)=0," ",VLOOKUP($A41,Wood!$A$5:$W$1000,21,0))</f>
        <v>0.84648999999999996</v>
      </c>
      <c r="AG41" s="316">
        <f>IF(VLOOKUP($A41,Wood!$A$5:$W$1000,22,0)=0," ",VLOOKUP($A41,Wood!$A$5:$W$1000,22,0))</f>
        <v>7.2000000000000008E-2</v>
      </c>
      <c r="AH41" s="316" t="str">
        <f>IF(VLOOKUP($A41,Wood!$A$5:$W$1000,23,0)=0," ",VLOOKUP($A41,Wood!$A$5:$W$1000,23,0))</f>
        <v xml:space="preserve"> </v>
      </c>
      <c r="AJ41" s="313"/>
      <c r="AK41" s="313"/>
      <c r="AL41" s="313"/>
      <c r="AM41" s="313"/>
      <c r="AN41" s="313" t="s">
        <v>6</v>
      </c>
      <c r="AO41" s="313" t="s">
        <v>6</v>
      </c>
      <c r="AP41" s="313" t="s">
        <v>6</v>
      </c>
      <c r="AR41" s="332">
        <v>46293</v>
      </c>
      <c r="AS41" s="333">
        <f t="shared" ref="AS41:AS59" si="71">IFERROR(G41-AR41,"")</f>
        <v>32</v>
      </c>
      <c r="AT41" s="333">
        <f ca="1">NOW()-AR41</f>
        <v>21.617591435184295</v>
      </c>
      <c r="AU41" s="317">
        <f t="shared" ref="AU41" si="72">IFERROR(AVERAGE(J41:N41,AJ41:AP41),"n/a")</f>
        <v>0</v>
      </c>
    </row>
    <row r="42" spans="1:47" ht="28.15" customHeight="1" x14ac:dyDescent="0.2">
      <c r="A42" s="310">
        <v>8952</v>
      </c>
      <c r="B42" s="309" t="s">
        <v>579</v>
      </c>
      <c r="C42" s="310" t="s">
        <v>580</v>
      </c>
      <c r="D42" s="311">
        <v>70.45</v>
      </c>
      <c r="E42" s="312" t="str">
        <f t="shared" ref="E42:E45" si="73">C42</f>
        <v>WOODEN ACCESSORIES &amp; DOORS</v>
      </c>
      <c r="F42" s="311">
        <f t="shared" si="54"/>
        <v>70.45</v>
      </c>
      <c r="G42" s="332">
        <v>46332</v>
      </c>
      <c r="H42" s="6" t="s">
        <v>612</v>
      </c>
      <c r="I42" s="319" t="s">
        <v>581</v>
      </c>
      <c r="J42" s="313" t="s">
        <v>6</v>
      </c>
      <c r="K42" s="313" t="s">
        <v>6</v>
      </c>
      <c r="L42" s="313">
        <v>0</v>
      </c>
      <c r="M42" s="313">
        <v>0</v>
      </c>
      <c r="N42" s="313" t="s">
        <v>6</v>
      </c>
      <c r="P42" s="314" t="s">
        <v>619</v>
      </c>
      <c r="R42" s="315" t="str">
        <f>IF(VLOOKUP($A42,Items!$A$5:$J$1000,8,0)=0," ",VLOOKUP($A42,Items!$A$5:$J$1000,8,0))</f>
        <v xml:space="preserve"> </v>
      </c>
      <c r="S42" s="315" t="str">
        <f>IF(VLOOKUP($A42,Items!$A$5:$J$1000,3,0)=0," ",VLOOKUP($A42,Items!$A$5:$J$1000,3,0))</f>
        <v xml:space="preserve"> </v>
      </c>
      <c r="T42" s="315">
        <f>IF(VLOOKUP($A42,Items!$A$5:$J$1000,7,0)=0," ",VLOOKUP($A42,Items!$A$5:$J$1000,7,0))</f>
        <v>1700</v>
      </c>
      <c r="U42" s="315">
        <f>IF(VLOOKUP($A42,Items!$A$5:$J$1000,2,0)=0," ",VLOOKUP($A42,Items!$A$5:$J$1000,2,0))</f>
        <v>301</v>
      </c>
      <c r="V42" s="315" t="str">
        <f>IF(VLOOKUP($A42,Items!$A$5:$J$1000,9,0)=0," ",VLOOKUP($A42,Items!$A$5:$J$1000,9,0))</f>
        <v xml:space="preserve"> </v>
      </c>
      <c r="W42" s="315" t="str">
        <f>IF(VLOOKUP($A42,Items!$A$5:$J$1000,4,0)=0," ",VLOOKUP($A42,Items!$A$5:$J$1000,4,0))</f>
        <v xml:space="preserve"> </v>
      </c>
      <c r="X42" s="315">
        <f>IF(VLOOKUP($A42,Items!$A$5:$J$1000,6,0)=0," ",VLOOKUP($A42,Items!$A$5:$J$1000,6,0))</f>
        <v>250</v>
      </c>
      <c r="Y42" s="315" t="str">
        <f>IF(VLOOKUP($A42,Items!$A$5:$J$1000,5,0)=0," ",VLOOKUP($A42,Items!$A$5:$J$1000,5,0))</f>
        <v xml:space="preserve"> </v>
      </c>
      <c r="AA42" s="316">
        <f>IF(VLOOKUP($A42,Wood!$A$5:$W$1000,16,0)=0," ",VLOOKUP($A42,Wood!$A$5:$W$1000,16,0))</f>
        <v>2.0920000000000001</v>
      </c>
      <c r="AB42" s="316">
        <f>IF(VLOOKUP($A42,Wood!$A$5:$W$1000,17,0)=0," ",VLOOKUP($A42,Wood!$A$5:$W$1000,17,0))</f>
        <v>5.6071999999999997</v>
      </c>
      <c r="AC42" s="316" t="str">
        <f>IF(VLOOKUP($A42,Wood!$A$5:$W$1000,18,0)=0," ",VLOOKUP($A42,Wood!$A$5:$W$1000,18,0))</f>
        <v xml:space="preserve"> </v>
      </c>
      <c r="AD42" s="316">
        <f>IF(VLOOKUP($A42,Wood!$A$5:$W$1000,19,0)=0," ",VLOOKUP($A42,Wood!$A$5:$W$1000,19,0))</f>
        <v>0.16405</v>
      </c>
      <c r="AE42" s="316" t="str">
        <f>IF(VLOOKUP($A42,Wood!$A$5:$W$1000,20,0)=0," ",VLOOKUP($A42,Wood!$A$5:$W$1000,20,0))</f>
        <v xml:space="preserve"> </v>
      </c>
      <c r="AF42" s="316">
        <f>IF(VLOOKUP($A42,Wood!$A$5:$W$1000,21,0)=0," ",VLOOKUP($A42,Wood!$A$5:$W$1000,21,0))</f>
        <v>2.5899999999999999E-2</v>
      </c>
      <c r="AG42" s="316" t="str">
        <f>IF(VLOOKUP($A42,Wood!$A$5:$W$1000,22,0)=0," ",VLOOKUP($A42,Wood!$A$5:$W$1000,22,0))</f>
        <v xml:space="preserve"> </v>
      </c>
      <c r="AH42" s="316" t="str">
        <f>IF(VLOOKUP($A42,Wood!$A$5:$W$1000,23,0)=0," ",VLOOKUP($A42,Wood!$A$5:$W$1000,23,0))</f>
        <v xml:space="preserve"> </v>
      </c>
      <c r="AJ42" s="313"/>
      <c r="AK42" s="313"/>
      <c r="AL42" s="313"/>
      <c r="AM42" s="313"/>
      <c r="AN42" s="313" t="s">
        <v>6</v>
      </c>
      <c r="AO42" s="313">
        <v>0.2</v>
      </c>
      <c r="AP42" s="313" t="s">
        <v>6</v>
      </c>
      <c r="AR42" s="332">
        <v>46288</v>
      </c>
      <c r="AS42" s="333">
        <f t="shared" si="71"/>
        <v>44</v>
      </c>
      <c r="AT42" s="333">
        <f ca="1">NOW()-AR42</f>
        <v>26.617591435184295</v>
      </c>
      <c r="AU42" s="317">
        <f>IFERROR(AVERAGE(J42:N42,AJ42:AP42),"n/a")</f>
        <v>6.6666666666666666E-2</v>
      </c>
    </row>
    <row r="43" spans="1:47" ht="38.25" x14ac:dyDescent="0.2">
      <c r="A43" s="310">
        <v>9158</v>
      </c>
      <c r="B43" s="309" t="s">
        <v>621</v>
      </c>
      <c r="C43" s="310" t="s">
        <v>622</v>
      </c>
      <c r="D43" s="318">
        <v>0.10299999999999999</v>
      </c>
      <c r="E43" s="312" t="str">
        <f t="shared" ref="E43" si="74">C43</f>
        <v>1 UNIT SAUNA ROOM (1215RS-Hemlock) w/ complete set of accessories and heater</v>
      </c>
      <c r="F43" s="7">
        <f t="shared" si="54"/>
        <v>0.10299999999999999</v>
      </c>
      <c r="G43" s="332">
        <v>46332</v>
      </c>
      <c r="H43" s="6" t="s">
        <v>612</v>
      </c>
      <c r="I43" s="4" t="s">
        <v>61</v>
      </c>
      <c r="J43" s="313" t="s">
        <v>6</v>
      </c>
      <c r="K43" s="313">
        <v>1</v>
      </c>
      <c r="L43" s="313">
        <v>1</v>
      </c>
      <c r="M43" s="313" t="s">
        <v>6</v>
      </c>
      <c r="N43" s="313">
        <v>0</v>
      </c>
      <c r="O43" s="61">
        <v>1</v>
      </c>
      <c r="P43" s="314" t="s">
        <v>619</v>
      </c>
      <c r="R43" s="315" t="str">
        <f>IF(VLOOKUP($A43,Items!$A$5:$J$1000,8,0)=0," ",VLOOKUP($A43,Items!$A$5:$J$1000,8,0))</f>
        <v xml:space="preserve"> </v>
      </c>
      <c r="S43" s="315">
        <f>IF(VLOOKUP($A43,Items!$A$5:$J$1000,3,0)=0," ",VLOOKUP($A43,Items!$A$5:$J$1000,3,0))</f>
        <v>1</v>
      </c>
      <c r="T43" s="315">
        <f>IF(VLOOKUP($A43,Items!$A$5:$J$1000,7,0)=0," ",VLOOKUP($A43,Items!$A$5:$J$1000,7,0))</f>
        <v>1</v>
      </c>
      <c r="U43" s="315" t="str">
        <f>IF(VLOOKUP($A43,Items!$A$5:$J$1000,2,0)=0," ",VLOOKUP($A43,Items!$A$5:$J$1000,2,0))</f>
        <v xml:space="preserve"> </v>
      </c>
      <c r="V43" s="315">
        <f>IF(VLOOKUP($A43,Items!$A$5:$J$1000,9,0)=0," ",VLOOKUP($A43,Items!$A$5:$J$1000,9,0))</f>
        <v>1</v>
      </c>
      <c r="W43" s="315" t="str">
        <f>IF(VLOOKUP($A43,Items!$A$5:$J$1000,4,0)=0," ",VLOOKUP($A43,Items!$A$5:$J$1000,4,0))</f>
        <v xml:space="preserve"> </v>
      </c>
      <c r="X43" s="315">
        <f>IF(VLOOKUP($A43,Items!$A$5:$J$1000,6,0)=0," ",VLOOKUP($A43,Items!$A$5:$J$1000,6,0))</f>
        <v>1</v>
      </c>
      <c r="Y43" s="315">
        <f>IF(VLOOKUP($A43,Items!$A$5:$J$1000,5,0)=0," ",VLOOKUP($A43,Items!$A$5:$J$1000,5,0))</f>
        <v>2</v>
      </c>
      <c r="AA43" s="316" t="str">
        <f>IF(VLOOKUP($A43,Wood!$A$5:$W$1000,16,0)=0," ",VLOOKUP($A43,Wood!$A$5:$W$1000,16,0))</f>
        <v xml:space="preserve"> </v>
      </c>
      <c r="AB43" s="316" t="str">
        <f>IF(VLOOKUP($A43,Wood!$A$5:$W$1000,17,0)=0," ",VLOOKUP($A43,Wood!$A$5:$W$1000,17,0))</f>
        <v xml:space="preserve"> </v>
      </c>
      <c r="AC43" s="316" t="str">
        <f>IF(VLOOKUP($A43,Wood!$A$5:$W$1000,18,0)=0," ",VLOOKUP($A43,Wood!$A$5:$W$1000,18,0))</f>
        <v xml:space="preserve"> </v>
      </c>
      <c r="AD43" s="316" t="str">
        <f>IF(VLOOKUP($A43,Wood!$A$5:$W$1000,19,0)=0," ",VLOOKUP($A43,Wood!$A$5:$W$1000,19,0))</f>
        <v xml:space="preserve"> </v>
      </c>
      <c r="AE43" s="316" t="str">
        <f>IF(VLOOKUP($A43,Wood!$A$5:$W$1000,20,0)=0," ",VLOOKUP($A43,Wood!$A$5:$W$1000,20,0))</f>
        <v xml:space="preserve"> </v>
      </c>
      <c r="AF43" s="316" t="str">
        <f>IF(VLOOKUP($A43,Wood!$A$5:$W$1000,21,0)=0," ",VLOOKUP($A43,Wood!$A$5:$W$1000,21,0))</f>
        <v xml:space="preserve"> </v>
      </c>
      <c r="AG43" s="316" t="str">
        <f>IF(VLOOKUP($A43,Wood!$A$5:$W$1000,22,0)=0," ",VLOOKUP($A43,Wood!$A$5:$W$1000,22,0))</f>
        <v xml:space="preserve"> </v>
      </c>
      <c r="AH43" s="316" t="str">
        <f>IF(VLOOKUP($A43,Wood!$A$5:$W$1000,23,0)=0," ",VLOOKUP($A43,Wood!$A$5:$W$1000,23,0))</f>
        <v xml:space="preserve"> </v>
      </c>
      <c r="AJ43" s="313"/>
      <c r="AK43" s="313"/>
      <c r="AL43" s="313"/>
      <c r="AM43" s="313"/>
      <c r="AN43" s="313">
        <v>1</v>
      </c>
      <c r="AO43" s="313" t="s">
        <v>6</v>
      </c>
      <c r="AP43" s="313">
        <v>0</v>
      </c>
      <c r="AQ43" s="320"/>
      <c r="AR43" s="332">
        <v>46301</v>
      </c>
      <c r="AS43" s="333">
        <f t="shared" ref="AS43" si="75">IFERROR(G43-AR43,"")</f>
        <v>31</v>
      </c>
      <c r="AT43" s="333">
        <f t="shared" ref="AT43" ca="1" si="76">NOW()-AR43</f>
        <v>13.617591435184295</v>
      </c>
      <c r="AU43" s="317">
        <f t="shared" ref="AU43" si="77">IFERROR(AVERAGE(J43:N43,AJ43:AP43),"n/a")</f>
        <v>0.6</v>
      </c>
    </row>
    <row r="44" spans="1:47" ht="51" x14ac:dyDescent="0.2">
      <c r="A44" s="310">
        <v>8814</v>
      </c>
      <c r="B44" s="309" t="s">
        <v>658</v>
      </c>
      <c r="C44" s="310" t="s">
        <v>661</v>
      </c>
      <c r="D44" s="318">
        <v>0.06</v>
      </c>
      <c r="E44" s="312" t="str">
        <f t="shared" ref="E44" si="78">C44</f>
        <v>2 UNITS SAUNA ROOMS (1618RS-Cedar/Hemlock &amp; 2129MS-Cedar/Hemlock) w/ complete set of accessories and heater</v>
      </c>
      <c r="F44" s="7">
        <f t="shared" ref="F44" si="79">D44</f>
        <v>0.06</v>
      </c>
      <c r="G44" s="332">
        <v>46332</v>
      </c>
      <c r="H44" s="6" t="s">
        <v>612</v>
      </c>
      <c r="I44" s="4" t="s">
        <v>61</v>
      </c>
      <c r="J44" s="313" t="s">
        <v>6</v>
      </c>
      <c r="K44" s="313">
        <v>0</v>
      </c>
      <c r="L44" s="313">
        <v>0</v>
      </c>
      <c r="M44" s="313" t="s">
        <v>6</v>
      </c>
      <c r="N44" s="313">
        <v>0</v>
      </c>
      <c r="O44" s="61">
        <v>2</v>
      </c>
      <c r="P44" s="314" t="s">
        <v>619</v>
      </c>
      <c r="R44" s="315" t="str">
        <f>IF(VLOOKUP($A44,Items!$A$5:$J$1000,8,0)=0," ",VLOOKUP($A44,Items!$A$5:$J$1000,8,0))</f>
        <v xml:space="preserve"> </v>
      </c>
      <c r="S44" s="315" t="str">
        <f>IF(VLOOKUP($A44,Items!$A$5:$J$1000,3,0)=0," ",VLOOKUP($A44,Items!$A$5:$J$1000,3,0))</f>
        <v xml:space="preserve"> </v>
      </c>
      <c r="T44" s="315">
        <f>IF(VLOOKUP($A44,Items!$A$5:$J$1000,7,0)=0," ",VLOOKUP($A44,Items!$A$5:$J$1000,7,0))</f>
        <v>2</v>
      </c>
      <c r="U44" s="315" t="str">
        <f>IF(VLOOKUP($A44,Items!$A$5:$J$1000,2,0)=0," ",VLOOKUP($A44,Items!$A$5:$J$1000,2,0))</f>
        <v xml:space="preserve"> </v>
      </c>
      <c r="V44" s="315">
        <f>IF(VLOOKUP($A44,Items!$A$5:$J$1000,9,0)=0," ",VLOOKUP($A44,Items!$A$5:$J$1000,9,0))</f>
        <v>2</v>
      </c>
      <c r="W44" s="315" t="str">
        <f>IF(VLOOKUP($A44,Items!$A$5:$J$1000,4,0)=0," ",VLOOKUP($A44,Items!$A$5:$J$1000,4,0))</f>
        <v xml:space="preserve"> </v>
      </c>
      <c r="X44" s="315">
        <f>IF(VLOOKUP($A44,Items!$A$5:$J$1000,6,0)=0," ",VLOOKUP($A44,Items!$A$5:$J$1000,6,0))</f>
        <v>2</v>
      </c>
      <c r="Y44" s="315" t="str">
        <f>IF(VLOOKUP($A44,Items!$A$5:$J$1000,5,0)=0," ",VLOOKUP($A44,Items!$A$5:$J$1000,5,0))</f>
        <v xml:space="preserve"> </v>
      </c>
      <c r="AA44" s="316" t="str">
        <f>IF(VLOOKUP($A44,Wood!$A$5:$W$1000,16,0)=0," ",VLOOKUP($A44,Wood!$A$5:$W$1000,16,0))</f>
        <v xml:space="preserve"> </v>
      </c>
      <c r="AB44" s="316" t="str">
        <f>IF(VLOOKUP($A44,Wood!$A$5:$W$1000,17,0)=0," ",VLOOKUP($A44,Wood!$A$5:$W$1000,17,0))</f>
        <v xml:space="preserve"> </v>
      </c>
      <c r="AC44" s="316" t="str">
        <f>IF(VLOOKUP($A44,Wood!$A$5:$W$1000,18,0)=0," ",VLOOKUP($A44,Wood!$A$5:$W$1000,18,0))</f>
        <v xml:space="preserve"> </v>
      </c>
      <c r="AD44" s="316" t="str">
        <f>IF(VLOOKUP($A44,Wood!$A$5:$W$1000,19,0)=0," ",VLOOKUP($A44,Wood!$A$5:$W$1000,19,0))</f>
        <v xml:space="preserve"> </v>
      </c>
      <c r="AE44" s="316" t="str">
        <f>IF(VLOOKUP($A44,Wood!$A$5:$W$1000,20,0)=0," ",VLOOKUP($A44,Wood!$A$5:$W$1000,20,0))</f>
        <v xml:space="preserve"> </v>
      </c>
      <c r="AF44" s="316" t="str">
        <f>IF(VLOOKUP($A44,Wood!$A$5:$W$1000,21,0)=0," ",VLOOKUP($A44,Wood!$A$5:$W$1000,21,0))</f>
        <v xml:space="preserve"> </v>
      </c>
      <c r="AG44" s="316" t="str">
        <f>IF(VLOOKUP($A44,Wood!$A$5:$W$1000,22,0)=0," ",VLOOKUP($A44,Wood!$A$5:$W$1000,22,0))</f>
        <v xml:space="preserve"> </v>
      </c>
      <c r="AH44" s="316" t="str">
        <f>IF(VLOOKUP($A44,Wood!$A$5:$W$1000,23,0)=0," ",VLOOKUP($A44,Wood!$A$5:$W$1000,23,0))</f>
        <v xml:space="preserve"> </v>
      </c>
      <c r="AJ44" s="313"/>
      <c r="AK44" s="313"/>
      <c r="AL44" s="313"/>
      <c r="AM44" s="313"/>
      <c r="AN44" s="313">
        <v>0</v>
      </c>
      <c r="AO44" s="313" t="s">
        <v>6</v>
      </c>
      <c r="AP44" s="313">
        <v>0</v>
      </c>
      <c r="AQ44" s="320"/>
      <c r="AR44" s="332">
        <v>46311</v>
      </c>
      <c r="AS44" s="333">
        <f t="shared" ref="AS44" si="80">IFERROR(G44-AR44,"")</f>
        <v>21</v>
      </c>
      <c r="AT44" s="333">
        <f t="shared" ref="AT44" ca="1" si="81">NOW()-AR44</f>
        <v>3.6175914351842948</v>
      </c>
      <c r="AU44" s="317">
        <f t="shared" ref="AU44" si="82">IFERROR(AVERAGE(J44:N44,AJ44:AP44),"n/a")</f>
        <v>0</v>
      </c>
    </row>
    <row r="45" spans="1:47" ht="96" customHeight="1" x14ac:dyDescent="0.2">
      <c r="A45" s="310">
        <v>9143</v>
      </c>
      <c r="B45" s="309" t="s">
        <v>615</v>
      </c>
      <c r="C45" s="310" t="s">
        <v>616</v>
      </c>
      <c r="D45" s="318">
        <v>4.75</v>
      </c>
      <c r="E45" s="312" t="str">
        <f t="shared" si="73"/>
        <v>3 UNITS SAUNA ROOMS (2222MD- Cedar, 1111RS-IR Cedar &amp; 1310MS-Compact Cedar) w/ complete set of accessories and heater, HEATERS, CONTROLS, DOORS &amp; WOODEN ACCESSORIES</v>
      </c>
      <c r="F45" s="7">
        <f t="shared" si="54"/>
        <v>4.75</v>
      </c>
      <c r="G45" s="332">
        <v>46332</v>
      </c>
      <c r="H45" s="6" t="s">
        <v>630</v>
      </c>
      <c r="I45" s="4" t="s">
        <v>429</v>
      </c>
      <c r="J45" s="313">
        <v>0</v>
      </c>
      <c r="K45" s="313">
        <v>1</v>
      </c>
      <c r="L45" s="313">
        <v>0</v>
      </c>
      <c r="M45" s="313">
        <v>0</v>
      </c>
      <c r="N45" s="313">
        <v>0</v>
      </c>
      <c r="O45" s="61">
        <v>3</v>
      </c>
      <c r="P45" s="314" t="s">
        <v>619</v>
      </c>
      <c r="R45" s="315">
        <f>IF(VLOOKUP($A45,Items!$A$5:$J$1000,8,0)=0," ",VLOOKUP($A45,Items!$A$5:$J$1000,8,0))</f>
        <v>14</v>
      </c>
      <c r="S45" s="315">
        <f>IF(VLOOKUP($A45,Items!$A$5:$J$1000,3,0)=0," ",VLOOKUP($A45,Items!$A$5:$J$1000,3,0))</f>
        <v>12</v>
      </c>
      <c r="T45" s="315">
        <f>IF(VLOOKUP($A45,Items!$A$5:$J$1000,7,0)=0," ",VLOOKUP($A45,Items!$A$5:$J$1000,7,0))</f>
        <v>41</v>
      </c>
      <c r="U45" s="315">
        <f>IF(VLOOKUP($A45,Items!$A$5:$J$1000,2,0)=0," ",VLOOKUP($A45,Items!$A$5:$J$1000,2,0))</f>
        <v>6</v>
      </c>
      <c r="V45" s="315">
        <f>IF(VLOOKUP($A45,Items!$A$5:$J$1000,9,0)=0," ",VLOOKUP($A45,Items!$A$5:$J$1000,9,0))</f>
        <v>3</v>
      </c>
      <c r="W45" s="315" t="str">
        <f>IF(VLOOKUP($A45,Items!$A$5:$J$1000,4,0)=0," ",VLOOKUP($A45,Items!$A$5:$J$1000,4,0))</f>
        <v xml:space="preserve"> </v>
      </c>
      <c r="X45" s="315">
        <f>IF(VLOOKUP($A45,Items!$A$5:$J$1000,6,0)=0," ",VLOOKUP($A45,Items!$A$5:$J$1000,6,0))</f>
        <v>6</v>
      </c>
      <c r="Y45" s="315">
        <f>IF(VLOOKUP($A45,Items!$A$5:$J$1000,5,0)=0," ",VLOOKUP($A45,Items!$A$5:$J$1000,5,0))</f>
        <v>60</v>
      </c>
      <c r="AA45" s="316">
        <f>IF(VLOOKUP($A45,Wood!$A$5:$W$1000,16,0)=0," ",VLOOKUP($A45,Wood!$A$5:$W$1000,16,0))</f>
        <v>0.81903000000000004</v>
      </c>
      <c r="AB45" s="316">
        <f>IF(VLOOKUP($A45,Wood!$A$5:$W$1000,17,0)=0," ",VLOOKUP($A45,Wood!$A$5:$W$1000,17,0))</f>
        <v>2.108015</v>
      </c>
      <c r="AC45" s="316" t="str">
        <f>IF(VLOOKUP($A45,Wood!$A$5:$W$1000,18,0)=0," ",VLOOKUP($A45,Wood!$A$5:$W$1000,18,0))</f>
        <v xml:space="preserve"> </v>
      </c>
      <c r="AD45" s="316" t="str">
        <f>IF(VLOOKUP($A45,Wood!$A$5:$W$1000,19,0)=0," ",VLOOKUP($A45,Wood!$A$5:$W$1000,19,0))</f>
        <v xml:space="preserve"> </v>
      </c>
      <c r="AE45" s="316" t="str">
        <f>IF(VLOOKUP($A45,Wood!$A$5:$W$1000,20,0)=0," ",VLOOKUP($A45,Wood!$A$5:$W$1000,20,0))</f>
        <v xml:space="preserve"> </v>
      </c>
      <c r="AF45" s="316" t="str">
        <f>IF(VLOOKUP($A45,Wood!$A$5:$W$1000,21,0)=0," ",VLOOKUP($A45,Wood!$A$5:$W$1000,21,0))</f>
        <v xml:space="preserve"> </v>
      </c>
      <c r="AG45" s="316" t="str">
        <f>IF(VLOOKUP($A45,Wood!$A$5:$W$1000,22,0)=0," ",VLOOKUP($A45,Wood!$A$5:$W$1000,22,0))</f>
        <v xml:space="preserve"> </v>
      </c>
      <c r="AH45" s="316" t="str">
        <f>IF(VLOOKUP($A45,Wood!$A$5:$W$1000,23,0)=0," ",VLOOKUP($A45,Wood!$A$5:$W$1000,23,0))</f>
        <v xml:space="preserve"> </v>
      </c>
      <c r="AJ45" s="313"/>
      <c r="AK45" s="313"/>
      <c r="AL45" s="313"/>
      <c r="AM45" s="313"/>
      <c r="AN45" s="313">
        <v>1</v>
      </c>
      <c r="AO45" s="313">
        <v>0</v>
      </c>
      <c r="AP45" s="313">
        <v>0</v>
      </c>
      <c r="AQ45" s="320"/>
      <c r="AR45" s="332">
        <v>46300</v>
      </c>
      <c r="AS45" s="333">
        <f t="shared" si="71"/>
        <v>32</v>
      </c>
      <c r="AT45" s="333">
        <f t="shared" ref="AT45" ca="1" si="83">NOW()-AR45</f>
        <v>14.617591435184295</v>
      </c>
      <c r="AU45" s="317">
        <f t="shared" ref="AU45" si="84">IFERROR(AVERAGE(J45:N45,AJ45:AP45),"n/a")</f>
        <v>0.25</v>
      </c>
    </row>
    <row r="46" spans="1:47" ht="96" customHeight="1" x14ac:dyDescent="0.2">
      <c r="A46" s="310">
        <v>9160</v>
      </c>
      <c r="B46" s="309" t="s">
        <v>585</v>
      </c>
      <c r="C46" s="310" t="s">
        <v>620</v>
      </c>
      <c r="D46" s="318">
        <v>0.97</v>
      </c>
      <c r="E46" s="312" t="str">
        <f t="shared" ref="E46:E49" si="85">C46</f>
        <v>5 UNITS SAUNA ROOMS (2315LL- 3sr Hemlock &amp; 2315RL-2sr Hemlock) w/ complete set of accessories and heater</v>
      </c>
      <c r="F46" s="7">
        <f t="shared" si="54"/>
        <v>0.97</v>
      </c>
      <c r="G46" s="332">
        <v>46332</v>
      </c>
      <c r="H46" s="6" t="s">
        <v>612</v>
      </c>
      <c r="I46" s="4" t="s">
        <v>429</v>
      </c>
      <c r="J46" s="313">
        <v>0</v>
      </c>
      <c r="K46" s="313">
        <v>1</v>
      </c>
      <c r="L46" s="313">
        <v>0</v>
      </c>
      <c r="M46" s="313" t="s">
        <v>6</v>
      </c>
      <c r="N46" s="313">
        <v>0</v>
      </c>
      <c r="O46" s="61">
        <v>5</v>
      </c>
      <c r="P46" s="314" t="s">
        <v>619</v>
      </c>
      <c r="Q46" s="75">
        <v>3</v>
      </c>
      <c r="R46" s="315">
        <f>IF(VLOOKUP($A46,Items!$A$5:$J$1000,8,0)=0," ",VLOOKUP($A46,Items!$A$5:$J$1000,8,0))</f>
        <v>10</v>
      </c>
      <c r="S46" s="315">
        <f>IF(VLOOKUP($A46,Items!$A$5:$J$1000,3,0)=0," ",VLOOKUP($A46,Items!$A$5:$J$1000,3,0))</f>
        <v>5</v>
      </c>
      <c r="T46" s="315">
        <f>IF(VLOOKUP($A46,Items!$A$5:$J$1000,7,0)=0," ",VLOOKUP($A46,Items!$A$5:$J$1000,7,0))</f>
        <v>30</v>
      </c>
      <c r="U46" s="315" t="str">
        <f>IF(VLOOKUP($A46,Items!$A$5:$J$1000,2,0)=0," ",VLOOKUP($A46,Items!$A$5:$J$1000,2,0))</f>
        <v xml:space="preserve"> </v>
      </c>
      <c r="V46" s="315">
        <f>IF(VLOOKUP($A46,Items!$A$5:$J$1000,9,0)=0," ",VLOOKUP($A46,Items!$A$5:$J$1000,9,0))</f>
        <v>5</v>
      </c>
      <c r="W46" s="315" t="str">
        <f>IF(VLOOKUP($A46,Items!$A$5:$J$1000,4,0)=0," ",VLOOKUP($A46,Items!$A$5:$J$1000,4,0))</f>
        <v xml:space="preserve"> </v>
      </c>
      <c r="X46" s="315">
        <f>IF(VLOOKUP($A46,Items!$A$5:$J$1000,6,0)=0," ",VLOOKUP($A46,Items!$A$5:$J$1000,6,0))</f>
        <v>5</v>
      </c>
      <c r="Y46" s="315">
        <f>IF(VLOOKUP($A46,Items!$A$5:$J$1000,5,0)=0," ",VLOOKUP($A46,Items!$A$5:$J$1000,5,0))</f>
        <v>10</v>
      </c>
      <c r="AA46" s="316" t="str">
        <f>IF(VLOOKUP($A46,Wood!$A$5:$W$1000,16,0)=0," ",VLOOKUP($A46,Wood!$A$5:$W$1000,16,0))</f>
        <v xml:space="preserve"> </v>
      </c>
      <c r="AB46" s="316" t="str">
        <f>IF(VLOOKUP($A46,Wood!$A$5:$W$1000,17,0)=0," ",VLOOKUP($A46,Wood!$A$5:$W$1000,17,0))</f>
        <v xml:space="preserve"> </v>
      </c>
      <c r="AC46" s="316" t="str">
        <f>IF(VLOOKUP($A46,Wood!$A$5:$W$1000,18,0)=0," ",VLOOKUP($A46,Wood!$A$5:$W$1000,18,0))</f>
        <v xml:space="preserve"> </v>
      </c>
      <c r="AD46" s="316" t="str">
        <f>IF(VLOOKUP($A46,Wood!$A$5:$W$1000,19,0)=0," ",VLOOKUP($A46,Wood!$A$5:$W$1000,19,0))</f>
        <v xml:space="preserve"> </v>
      </c>
      <c r="AE46" s="316" t="str">
        <f>IF(VLOOKUP($A46,Wood!$A$5:$W$1000,20,0)=0," ",VLOOKUP($A46,Wood!$A$5:$W$1000,20,0))</f>
        <v xml:space="preserve"> </v>
      </c>
      <c r="AF46" s="316" t="str">
        <f>IF(VLOOKUP($A46,Wood!$A$5:$W$1000,21,0)=0," ",VLOOKUP($A46,Wood!$A$5:$W$1000,21,0))</f>
        <v xml:space="preserve"> </v>
      </c>
      <c r="AG46" s="316" t="str">
        <f>IF(VLOOKUP($A46,Wood!$A$5:$W$1000,22,0)=0," ",VLOOKUP($A46,Wood!$A$5:$W$1000,22,0))</f>
        <v xml:space="preserve"> </v>
      </c>
      <c r="AH46" s="316" t="str">
        <f>IF(VLOOKUP($A46,Wood!$A$5:$W$1000,23,0)=0," ",VLOOKUP($A46,Wood!$A$5:$W$1000,23,0))</f>
        <v xml:space="preserve"> </v>
      </c>
      <c r="AJ46" s="313"/>
      <c r="AK46" s="313"/>
      <c r="AL46" s="313"/>
      <c r="AM46" s="313"/>
      <c r="AN46" s="313">
        <v>1</v>
      </c>
      <c r="AO46" s="313" t="s">
        <v>6</v>
      </c>
      <c r="AP46" s="313">
        <v>0</v>
      </c>
      <c r="AQ46" s="320"/>
      <c r="AR46" s="332">
        <v>46301</v>
      </c>
      <c r="AS46" s="333">
        <f t="shared" ref="AS46:AS47" si="86">IFERROR(G46-AR46,"")</f>
        <v>31</v>
      </c>
      <c r="AT46" s="333">
        <f t="shared" ref="AT46:AT49" ca="1" si="87">NOW()-AR46</f>
        <v>13.617591435184295</v>
      </c>
      <c r="AU46" s="317">
        <f t="shared" ref="AU46:AU49" si="88">IFERROR(AVERAGE(J46:N46,AJ46:AP46),"n/a")</f>
        <v>0.33333333333333331</v>
      </c>
    </row>
    <row r="47" spans="1:47" ht="38.25" x14ac:dyDescent="0.2">
      <c r="A47" s="310">
        <v>9164</v>
      </c>
      <c r="B47" s="309" t="s">
        <v>662</v>
      </c>
      <c r="C47" s="310" t="s">
        <v>632</v>
      </c>
      <c r="D47" s="318">
        <v>53.6</v>
      </c>
      <c r="E47" s="312" t="str">
        <f t="shared" si="85"/>
        <v>HEATERS, CONTROLS &amp; SAUNA STONES, WOODEN ACCESSORIES</v>
      </c>
      <c r="F47" s="363">
        <f>SUM(D47:D49)</f>
        <v>100.97952000000001</v>
      </c>
      <c r="G47" s="332">
        <v>46339</v>
      </c>
      <c r="H47" s="1" t="s">
        <v>663</v>
      </c>
      <c r="I47" s="360" t="s">
        <v>81</v>
      </c>
      <c r="J47" s="313">
        <v>0.51800000000000002</v>
      </c>
      <c r="K47" s="313">
        <v>1</v>
      </c>
      <c r="L47" s="313">
        <v>0</v>
      </c>
      <c r="M47" s="313" t="s">
        <v>6</v>
      </c>
      <c r="N47" s="313" t="s">
        <v>6</v>
      </c>
      <c r="P47" s="314" t="s">
        <v>641</v>
      </c>
      <c r="R47" s="315">
        <f>IF(VLOOKUP($A47,Items!$A$5:$J$1000,8,0)=0," ",VLOOKUP($A47,Items!$A$5:$J$1000,8,0))</f>
        <v>683</v>
      </c>
      <c r="S47" s="315" t="str">
        <f>IF(VLOOKUP($A47,Items!$A$5:$J$1000,3,0)=0," ",VLOOKUP($A47,Items!$A$5:$J$1000,3,0))</f>
        <v xml:space="preserve"> </v>
      </c>
      <c r="T47" s="315">
        <f>IF(VLOOKUP($A47,Items!$A$5:$J$1000,7,0)=0," ",VLOOKUP($A47,Items!$A$5:$J$1000,7,0))</f>
        <v>8100</v>
      </c>
      <c r="U47" s="315" t="str">
        <f>IF(VLOOKUP($A47,Items!$A$5:$J$1000,2,0)=0," ",VLOOKUP($A47,Items!$A$5:$J$1000,2,0))</f>
        <v xml:space="preserve"> </v>
      </c>
      <c r="V47" s="315" t="str">
        <f>IF(VLOOKUP($A47,Items!$A$5:$J$1000,9,0)=0," ",VLOOKUP($A47,Items!$A$5:$J$1000,9,0))</f>
        <v xml:space="preserve"> </v>
      </c>
      <c r="W47" s="315" t="str">
        <f>IF(VLOOKUP($A47,Items!$A$5:$J$1000,4,0)=0," ",VLOOKUP($A47,Items!$A$5:$J$1000,4,0))</f>
        <v xml:space="preserve"> </v>
      </c>
      <c r="X47" s="315">
        <f>IF(VLOOKUP($A47,Items!$A$5:$J$1000,6,0)=0," ",VLOOKUP($A47,Items!$A$5:$J$1000,6,0))</f>
        <v>460</v>
      </c>
      <c r="Y47" s="315" t="str">
        <f>IF(VLOOKUP($A47,Items!$A$5:$J$1000,5,0)=0," ",VLOOKUP($A47,Items!$A$5:$J$1000,5,0))</f>
        <v xml:space="preserve"> </v>
      </c>
      <c r="AA47" s="316" t="str">
        <f>IF(VLOOKUP($A47,Wood!$A$5:$W$1000,16,0)=0," ",VLOOKUP($A47,Wood!$A$5:$W$1000,16,0))</f>
        <v xml:space="preserve"> </v>
      </c>
      <c r="AB47" s="316">
        <f>IF(VLOOKUP($A47,Wood!$A$5:$W$1000,17,0)=0," ",VLOOKUP($A47,Wood!$A$5:$W$1000,17,0))</f>
        <v>3.8660000000000001</v>
      </c>
      <c r="AC47" s="316" t="str">
        <f>IF(VLOOKUP($A47,Wood!$A$5:$W$1000,18,0)=0," ",VLOOKUP($A47,Wood!$A$5:$W$1000,18,0))</f>
        <v xml:space="preserve"> </v>
      </c>
      <c r="AD47" s="316">
        <f>IF(VLOOKUP($A47,Wood!$A$5:$W$1000,19,0)=0," ",VLOOKUP($A47,Wood!$A$5:$W$1000,19,0))</f>
        <v>2.746</v>
      </c>
      <c r="AE47" s="316" t="str">
        <f>IF(VLOOKUP($A47,Wood!$A$5:$W$1000,20,0)=0," ",VLOOKUP($A47,Wood!$A$5:$W$1000,20,0))</f>
        <v xml:space="preserve"> </v>
      </c>
      <c r="AF47" s="316" t="str">
        <f>IF(VLOOKUP($A47,Wood!$A$5:$W$1000,21,0)=0," ",VLOOKUP($A47,Wood!$A$5:$W$1000,21,0))</f>
        <v xml:space="preserve"> </v>
      </c>
      <c r="AG47" s="316" t="str">
        <f>IF(VLOOKUP($A47,Wood!$A$5:$W$1000,22,0)=0," ",VLOOKUP($A47,Wood!$A$5:$W$1000,22,0))</f>
        <v xml:space="preserve"> </v>
      </c>
      <c r="AH47" s="316" t="str">
        <f>IF(VLOOKUP($A47,Wood!$A$5:$W$1000,23,0)=0," ",VLOOKUP($A47,Wood!$A$5:$W$1000,23,0))</f>
        <v xml:space="preserve"> </v>
      </c>
      <c r="AJ47" s="313"/>
      <c r="AK47" s="313"/>
      <c r="AL47" s="313"/>
      <c r="AM47" s="313"/>
      <c r="AN47" s="313">
        <v>1</v>
      </c>
      <c r="AO47" s="313" t="s">
        <v>6</v>
      </c>
      <c r="AP47" s="313" t="s">
        <v>6</v>
      </c>
      <c r="AR47" s="332">
        <v>46301</v>
      </c>
      <c r="AS47" s="333">
        <f t="shared" si="86"/>
        <v>38</v>
      </c>
      <c r="AT47" s="333">
        <f t="shared" ca="1" si="87"/>
        <v>13.617591435184295</v>
      </c>
      <c r="AU47" s="317">
        <f t="shared" si="88"/>
        <v>0.62949999999999995</v>
      </c>
    </row>
    <row r="48" spans="1:47" ht="25.5" x14ac:dyDescent="0.2">
      <c r="A48" s="310">
        <v>9288</v>
      </c>
      <c r="B48" s="309" t="s">
        <v>639</v>
      </c>
      <c r="C48" s="310" t="s">
        <v>640</v>
      </c>
      <c r="D48" s="318">
        <v>4.9795199999999999</v>
      </c>
      <c r="E48" s="312" t="str">
        <f t="shared" si="85"/>
        <v>518-D</v>
      </c>
      <c r="F48" s="364"/>
      <c r="G48" s="332">
        <v>46339</v>
      </c>
      <c r="H48" s="359"/>
      <c r="I48" s="361"/>
      <c r="J48" s="313" t="s">
        <v>6</v>
      </c>
      <c r="K48" s="313" t="s">
        <v>6</v>
      </c>
      <c r="L48" s="313">
        <v>0</v>
      </c>
      <c r="M48" s="313" t="s">
        <v>6</v>
      </c>
      <c r="N48" s="313" t="s">
        <v>6</v>
      </c>
      <c r="P48" s="314" t="s">
        <v>641</v>
      </c>
      <c r="R48" s="315" t="str">
        <f>IF(VLOOKUP($A48,Items!$A$5:$J$1000,8,0)=0," ",VLOOKUP($A48,Items!$A$5:$J$1000,8,0))</f>
        <v xml:space="preserve"> </v>
      </c>
      <c r="S48" s="315" t="str">
        <f>IF(VLOOKUP($A48,Items!$A$5:$J$1000,3,0)=0," ",VLOOKUP($A48,Items!$A$5:$J$1000,3,0))</f>
        <v xml:space="preserve"> </v>
      </c>
      <c r="T48" s="315">
        <f>IF(VLOOKUP($A48,Items!$A$5:$J$1000,7,0)=0," ",VLOOKUP($A48,Items!$A$5:$J$1000,7,0))</f>
        <v>252</v>
      </c>
      <c r="U48" s="315" t="str">
        <f>IF(VLOOKUP($A48,Items!$A$5:$J$1000,2,0)=0," ",VLOOKUP($A48,Items!$A$5:$J$1000,2,0))</f>
        <v xml:space="preserve"> </v>
      </c>
      <c r="V48" s="315" t="str">
        <f>IF(VLOOKUP($A48,Items!$A$5:$J$1000,9,0)=0," ",VLOOKUP($A48,Items!$A$5:$J$1000,9,0))</f>
        <v xml:space="preserve"> </v>
      </c>
      <c r="W48" s="315" t="str">
        <f>IF(VLOOKUP($A48,Items!$A$5:$J$1000,4,0)=0," ",VLOOKUP($A48,Items!$A$5:$J$1000,4,0))</f>
        <v xml:space="preserve"> </v>
      </c>
      <c r="X48" s="315" t="str">
        <f>IF(VLOOKUP($A48,Items!$A$5:$J$1000,6,0)=0," ",VLOOKUP($A48,Items!$A$5:$J$1000,6,0))</f>
        <v xml:space="preserve"> </v>
      </c>
      <c r="Y48" s="315" t="str">
        <f>IF(VLOOKUP($A48,Items!$A$5:$J$1000,5,0)=0," ",VLOOKUP($A48,Items!$A$5:$J$1000,5,0))</f>
        <v xml:space="preserve"> </v>
      </c>
      <c r="AA48" s="316" t="str">
        <f>IF(VLOOKUP($A48,Wood!$A$5:$W$1000,16,0)=0," ",VLOOKUP($A48,Wood!$A$5:$W$1000,16,0))</f>
        <v xml:space="preserve"> </v>
      </c>
      <c r="AB48" s="316" t="str">
        <f>IF(VLOOKUP($A48,Wood!$A$5:$W$1000,17,0)=0," ",VLOOKUP($A48,Wood!$A$5:$W$1000,17,0))</f>
        <v xml:space="preserve"> </v>
      </c>
      <c r="AC48" s="316" t="str">
        <f>IF(VLOOKUP($A48,Wood!$A$5:$W$1000,18,0)=0," ",VLOOKUP($A48,Wood!$A$5:$W$1000,18,0))</f>
        <v xml:space="preserve"> </v>
      </c>
      <c r="AD48" s="316" t="str">
        <f>IF(VLOOKUP($A48,Wood!$A$5:$W$1000,19,0)=0," ",VLOOKUP($A48,Wood!$A$5:$W$1000,19,0))</f>
        <v xml:space="preserve"> </v>
      </c>
      <c r="AE48" s="316" t="str">
        <f>IF(VLOOKUP($A48,Wood!$A$5:$W$1000,20,0)=0," ",VLOOKUP($A48,Wood!$A$5:$W$1000,20,0))</f>
        <v xml:space="preserve"> </v>
      </c>
      <c r="AF48" s="316" t="str">
        <f>IF(VLOOKUP($A48,Wood!$A$5:$W$1000,21,0)=0," ",VLOOKUP($A48,Wood!$A$5:$W$1000,21,0))</f>
        <v xml:space="preserve"> </v>
      </c>
      <c r="AG48" s="316" t="str">
        <f>IF(VLOOKUP($A48,Wood!$A$5:$W$1000,22,0)=0," ",VLOOKUP($A48,Wood!$A$5:$W$1000,22,0))</f>
        <v xml:space="preserve"> </v>
      </c>
      <c r="AH48" s="316" t="str">
        <f>IF(VLOOKUP($A48,Wood!$A$5:$W$1000,23,0)=0," ",VLOOKUP($A48,Wood!$A$5:$W$1000,23,0))</f>
        <v xml:space="preserve"> </v>
      </c>
      <c r="AJ48" s="313"/>
      <c r="AK48" s="313"/>
      <c r="AL48" s="313"/>
      <c r="AM48" s="313"/>
      <c r="AN48" s="313" t="s">
        <v>6</v>
      </c>
      <c r="AO48" s="313" t="s">
        <v>6</v>
      </c>
      <c r="AP48" s="313" t="s">
        <v>6</v>
      </c>
      <c r="AR48" s="332">
        <v>46310</v>
      </c>
      <c r="AS48" s="333">
        <f>IFERROR(G48-AR48,"")</f>
        <v>29</v>
      </c>
      <c r="AT48" s="333">
        <f t="shared" ca="1" si="87"/>
        <v>4.6175914351842948</v>
      </c>
      <c r="AU48" s="317">
        <f t="shared" si="88"/>
        <v>0</v>
      </c>
    </row>
    <row r="49" spans="1:47" ht="38.25" x14ac:dyDescent="0.2">
      <c r="A49" s="310" t="s">
        <v>446</v>
      </c>
      <c r="B49" s="309" t="s">
        <v>384</v>
      </c>
      <c r="C49" s="310" t="s">
        <v>465</v>
      </c>
      <c r="D49" s="311">
        <v>42.4</v>
      </c>
      <c r="E49" s="312" t="str">
        <f t="shared" si="85"/>
        <v>HEATERS, SPARE PARTS &amp; DOORS</v>
      </c>
      <c r="F49" s="365"/>
      <c r="G49" s="332">
        <v>46339</v>
      </c>
      <c r="H49" s="5" t="s">
        <v>665</v>
      </c>
      <c r="I49" s="362"/>
      <c r="J49" s="313" t="s">
        <v>6</v>
      </c>
      <c r="K49" s="313">
        <v>0.96</v>
      </c>
      <c r="L49" s="313" t="s">
        <v>6</v>
      </c>
      <c r="M49" s="313">
        <v>0</v>
      </c>
      <c r="N49" s="313" t="s">
        <v>6</v>
      </c>
      <c r="P49" s="314" t="s">
        <v>641</v>
      </c>
      <c r="Q49" s="75">
        <v>2</v>
      </c>
      <c r="R49" s="315" t="str">
        <f>IF(VLOOKUP($A49,Items!$A$5:$J$1000,8,0)=0," ",VLOOKUP($A49,Items!$A$5:$J$1000,8,0))</f>
        <v xml:space="preserve"> </v>
      </c>
      <c r="S49" s="315">
        <f>IF(VLOOKUP($A49,Items!$A$5:$J$1000,3,0)=0," ",VLOOKUP($A49,Items!$A$5:$J$1000,3,0))</f>
        <v>269</v>
      </c>
      <c r="T49" s="315" t="str">
        <f>IF(VLOOKUP($A49,Items!$A$5:$J$1000,7,0)=0," ",VLOOKUP($A49,Items!$A$5:$J$1000,7,0))</f>
        <v xml:space="preserve"> </v>
      </c>
      <c r="U49" s="315">
        <f>IF(VLOOKUP($A49,Items!$A$5:$J$1000,2,0)=0," ",VLOOKUP($A49,Items!$A$5:$J$1000,2,0))</f>
        <v>5</v>
      </c>
      <c r="V49" s="315" t="str">
        <f>IF(VLOOKUP($A49,Items!$A$5:$J$1000,9,0)=0," ",VLOOKUP($A49,Items!$A$5:$J$1000,9,0))</f>
        <v xml:space="preserve"> </v>
      </c>
      <c r="W49" s="315" t="str">
        <f>IF(VLOOKUP($A49,Items!$A$5:$J$1000,4,0)=0," ",VLOOKUP($A49,Items!$A$5:$J$1000,4,0))</f>
        <v xml:space="preserve"> </v>
      </c>
      <c r="X49" s="315" t="str">
        <f>IF(VLOOKUP($A49,Items!$A$5:$J$1000,6,0)=0," ",VLOOKUP($A49,Items!$A$5:$J$1000,6,0))</f>
        <v xml:space="preserve"> </v>
      </c>
      <c r="Y49" s="315" t="str">
        <f>IF(VLOOKUP($A49,Items!$A$5:$J$1000,5,0)=0," ",VLOOKUP($A49,Items!$A$5:$J$1000,5,0))</f>
        <v xml:space="preserve"> </v>
      </c>
      <c r="AA49" s="316">
        <f>IF(VLOOKUP($A49,Wood!$A$5:$W$1000,16,0)=0," ",VLOOKUP($A49,Wood!$A$5:$W$1000,16,0))</f>
        <v>0.57289999999999996</v>
      </c>
      <c r="AB49" s="316">
        <f>IF(VLOOKUP($A49,Wood!$A$5:$W$1000,17,0)=0," ",VLOOKUP($A49,Wood!$A$5:$W$1000,17,0))</f>
        <v>3.5099999999999999E-2</v>
      </c>
      <c r="AC49" s="316" t="str">
        <f>IF(VLOOKUP($A49,Wood!$A$5:$W$1000,18,0)=0," ",VLOOKUP($A49,Wood!$A$5:$W$1000,18,0))</f>
        <v xml:space="preserve"> </v>
      </c>
      <c r="AD49" s="316" t="str">
        <f>IF(VLOOKUP($A49,Wood!$A$5:$W$1000,19,0)=0," ",VLOOKUP($A49,Wood!$A$5:$W$1000,19,0))</f>
        <v xml:space="preserve"> </v>
      </c>
      <c r="AE49" s="316" t="str">
        <f>IF(VLOOKUP($A49,Wood!$A$5:$W$1000,20,0)=0," ",VLOOKUP($A49,Wood!$A$5:$W$1000,20,0))</f>
        <v xml:space="preserve"> </v>
      </c>
      <c r="AF49" s="316" t="str">
        <f>IF(VLOOKUP($A49,Wood!$A$5:$W$1000,21,0)=0," ",VLOOKUP($A49,Wood!$A$5:$W$1000,21,0))</f>
        <v xml:space="preserve"> </v>
      </c>
      <c r="AG49" s="316" t="str">
        <f>IF(VLOOKUP($A49,Wood!$A$5:$W$1000,22,0)=0," ",VLOOKUP($A49,Wood!$A$5:$W$1000,22,0))</f>
        <v xml:space="preserve"> </v>
      </c>
      <c r="AH49" s="316" t="str">
        <f>IF(VLOOKUP($A49,Wood!$A$5:$W$1000,23,0)=0," ",VLOOKUP($A49,Wood!$A$5:$W$1000,23,0))</f>
        <v xml:space="preserve"> </v>
      </c>
      <c r="AJ49" s="313"/>
      <c r="AK49" s="313"/>
      <c r="AL49" s="313"/>
      <c r="AM49" s="313"/>
      <c r="AN49" s="313">
        <v>0.99</v>
      </c>
      <c r="AO49" s="313">
        <v>0</v>
      </c>
      <c r="AP49" s="313" t="s">
        <v>6</v>
      </c>
      <c r="AR49" s="332">
        <v>45969</v>
      </c>
      <c r="AS49" s="333">
        <f>IFERROR(G49-AR49,"")</f>
        <v>370</v>
      </c>
      <c r="AT49" s="333">
        <f t="shared" ca="1" si="87"/>
        <v>345.61759143518429</v>
      </c>
      <c r="AU49" s="317">
        <f t="shared" si="88"/>
        <v>0.48749999999999999</v>
      </c>
    </row>
    <row r="50" spans="1:47" ht="38.25" x14ac:dyDescent="0.2">
      <c r="A50" s="322">
        <v>9113</v>
      </c>
      <c r="B50" s="321" t="s">
        <v>604</v>
      </c>
      <c r="C50" s="322" t="s">
        <v>603</v>
      </c>
      <c r="D50" s="323">
        <v>0.34</v>
      </c>
      <c r="E50" s="322" t="str">
        <f>C50</f>
        <v>1 UNIT SAUNA ROOM (1921MD-Cedar) w/ complete set of accessories and heater</v>
      </c>
      <c r="F50" s="323">
        <f>D50</f>
        <v>0.34</v>
      </c>
      <c r="G50" s="242">
        <v>46351</v>
      </c>
      <c r="H50" s="324" t="s">
        <v>629</v>
      </c>
      <c r="I50" s="319"/>
      <c r="J50" s="313">
        <v>0</v>
      </c>
      <c r="K50" s="313">
        <v>1</v>
      </c>
      <c r="L50" s="313">
        <v>0</v>
      </c>
      <c r="M50" s="313" t="s">
        <v>6</v>
      </c>
      <c r="N50" s="313">
        <v>0</v>
      </c>
      <c r="O50" s="61">
        <v>1</v>
      </c>
      <c r="P50" s="314" t="s">
        <v>654</v>
      </c>
      <c r="Q50" s="75">
        <v>2</v>
      </c>
      <c r="R50" s="315">
        <f>IF(VLOOKUP($A50,Items!$A$5:$J$1000,8,0)=0," ",VLOOKUP($A50,Items!$A$5:$J$1000,8,0))</f>
        <v>2</v>
      </c>
      <c r="S50" s="315">
        <f>IF(VLOOKUP($A50,Items!$A$5:$J$1000,3,0)=0," ",VLOOKUP($A50,Items!$A$5:$J$1000,3,0))</f>
        <v>1</v>
      </c>
      <c r="T50" s="315">
        <f>IF(VLOOKUP($A50,Items!$A$5:$J$1000,7,0)=0," ",VLOOKUP($A50,Items!$A$5:$J$1000,7,0))</f>
        <v>8</v>
      </c>
      <c r="U50" s="315" t="str">
        <f>IF(VLOOKUP($A50,Items!$A$5:$J$1000,2,0)=0," ",VLOOKUP($A50,Items!$A$5:$J$1000,2,0))</f>
        <v xml:space="preserve"> </v>
      </c>
      <c r="V50" s="315">
        <f>IF(VLOOKUP($A50,Items!$A$5:$J$1000,9,0)=0," ",VLOOKUP($A50,Items!$A$5:$J$1000,9,0))</f>
        <v>1</v>
      </c>
      <c r="W50" s="315" t="str">
        <f>IF(VLOOKUP($A50,Items!$A$5:$J$1000,4,0)=0," ",VLOOKUP($A50,Items!$A$5:$J$1000,4,0))</f>
        <v xml:space="preserve"> </v>
      </c>
      <c r="X50" s="315">
        <f>IF(VLOOKUP($A50,Items!$A$5:$J$1000,6,0)=0," ",VLOOKUP($A50,Items!$A$5:$J$1000,6,0))</f>
        <v>2</v>
      </c>
      <c r="Y50" s="315">
        <f>IF(VLOOKUP($A50,Items!$A$5:$J$1000,5,0)=0," ",VLOOKUP($A50,Items!$A$5:$J$1000,5,0))</f>
        <v>5</v>
      </c>
      <c r="AA50" s="316">
        <f>IF(VLOOKUP($A50,Wood!$A$5:$W$1000,16,0)=0," ",VLOOKUP($A50,Wood!$A$5:$W$1000,16,0))</f>
        <v>0.17617000000000002</v>
      </c>
      <c r="AB50" s="316">
        <f>IF(VLOOKUP($A50,Wood!$A$5:$W$1000,17,0)=0," ",VLOOKUP($A50,Wood!$A$5:$W$1000,17,0))</f>
        <v>0.69656000000000007</v>
      </c>
      <c r="AC50" s="316" t="str">
        <f>IF(VLOOKUP($A50,Wood!$A$5:$W$1000,18,0)=0," ",VLOOKUP($A50,Wood!$A$5:$W$1000,18,0))</f>
        <v xml:space="preserve"> </v>
      </c>
      <c r="AD50" s="316" t="str">
        <f>IF(VLOOKUP($A50,Wood!$A$5:$W$1000,19,0)=0," ",VLOOKUP($A50,Wood!$A$5:$W$1000,19,0))</f>
        <v xml:space="preserve"> </v>
      </c>
      <c r="AE50" s="316" t="str">
        <f>IF(VLOOKUP($A50,Wood!$A$5:$W$1000,20,0)=0," ",VLOOKUP($A50,Wood!$A$5:$W$1000,20,0))</f>
        <v xml:space="preserve"> </v>
      </c>
      <c r="AF50" s="316" t="str">
        <f>IF(VLOOKUP($A50,Wood!$A$5:$W$1000,21,0)=0," ",VLOOKUP($A50,Wood!$A$5:$W$1000,21,0))</f>
        <v xml:space="preserve"> </v>
      </c>
      <c r="AG50" s="316" t="str">
        <f>IF(VLOOKUP($A50,Wood!$A$5:$W$1000,22,0)=0," ",VLOOKUP($A50,Wood!$A$5:$W$1000,22,0))</f>
        <v xml:space="preserve"> </v>
      </c>
      <c r="AH50" s="316" t="str">
        <f>IF(VLOOKUP($A50,Wood!$A$5:$W$1000,23,0)=0," ",VLOOKUP($A50,Wood!$A$5:$W$1000,23,0))</f>
        <v xml:space="preserve"> </v>
      </c>
      <c r="AJ50" s="313"/>
      <c r="AK50" s="313"/>
      <c r="AL50" s="313"/>
      <c r="AM50" s="313"/>
      <c r="AN50" s="313">
        <v>1</v>
      </c>
      <c r="AO50" s="313" t="s">
        <v>6</v>
      </c>
      <c r="AP50" s="313">
        <v>0</v>
      </c>
      <c r="AQ50" s="342"/>
      <c r="AR50" s="332">
        <v>46297</v>
      </c>
      <c r="AS50" s="333">
        <f>IFERROR(G50-AR50,"")</f>
        <v>54</v>
      </c>
      <c r="AT50" s="333">
        <f ca="1">NOW()-AR50</f>
        <v>17.617591435184295</v>
      </c>
      <c r="AU50" s="317">
        <f>IFERROR(AVERAGE(J50:N50,AJ50:AP50),"n/a")</f>
        <v>0.33333333333333331</v>
      </c>
    </row>
    <row r="51" spans="1:47" ht="96" customHeight="1" x14ac:dyDescent="0.2">
      <c r="A51" s="310">
        <v>8938</v>
      </c>
      <c r="B51" s="309" t="s">
        <v>578</v>
      </c>
      <c r="C51" s="310" t="s">
        <v>623</v>
      </c>
      <c r="D51" s="318">
        <v>15.86</v>
      </c>
      <c r="E51" s="312" t="str">
        <f t="shared" ref="E51" si="89">C51</f>
        <v>2 UNITS SAUNA ROOMS (1420LL-Cedar &amp; 1420RL-Cedar) w/ complete set of accessories and heater, SPARE PARTS, HEATERS, CONTROLS, DOORS, PANELS, TIMBERS &amp; WOODEN ACCESSORIES</v>
      </c>
      <c r="F51" s="363">
        <f>SUM(D51:D56)</f>
        <v>36.496094285714285</v>
      </c>
      <c r="G51" s="332" t="s">
        <v>343</v>
      </c>
      <c r="H51" s="1" t="s">
        <v>609</v>
      </c>
      <c r="I51" s="360" t="s">
        <v>333</v>
      </c>
      <c r="J51" s="313">
        <v>0.625</v>
      </c>
      <c r="K51" s="313">
        <v>0.96</v>
      </c>
      <c r="L51" s="313">
        <v>0</v>
      </c>
      <c r="M51" s="313">
        <v>0</v>
      </c>
      <c r="N51" s="313">
        <v>0</v>
      </c>
      <c r="O51" s="61">
        <v>2</v>
      </c>
      <c r="P51" s="314"/>
      <c r="R51" s="315">
        <f>IF(VLOOKUP($A51,Items!$A$5:$J$1000,8,0)=0," ",VLOOKUP($A51,Items!$A$5:$J$1000,8,0))</f>
        <v>20</v>
      </c>
      <c r="S51" s="315">
        <f>IF(VLOOKUP($A51,Items!$A$5:$J$1000,3,0)=0," ",VLOOKUP($A51,Items!$A$5:$J$1000,3,0))</f>
        <v>17</v>
      </c>
      <c r="T51" s="315">
        <f>IF(VLOOKUP($A51,Items!$A$5:$J$1000,7,0)=0," ",VLOOKUP($A51,Items!$A$5:$J$1000,7,0))</f>
        <v>25</v>
      </c>
      <c r="U51" s="315">
        <f>IF(VLOOKUP($A51,Items!$A$5:$J$1000,2,0)=0," ",VLOOKUP($A51,Items!$A$5:$J$1000,2,0))</f>
        <v>3</v>
      </c>
      <c r="V51" s="315">
        <f>IF(VLOOKUP($A51,Items!$A$5:$J$1000,9,0)=0," ",VLOOKUP($A51,Items!$A$5:$J$1000,9,0))</f>
        <v>2</v>
      </c>
      <c r="W51" s="315">
        <f>IF(VLOOKUP($A51,Items!$A$5:$J$1000,4,0)=0," ",VLOOKUP($A51,Items!$A$5:$J$1000,4,0))</f>
        <v>1330</v>
      </c>
      <c r="X51" s="315">
        <f>IF(VLOOKUP($A51,Items!$A$5:$J$1000,6,0)=0," ",VLOOKUP($A51,Items!$A$5:$J$1000,6,0))</f>
        <v>77</v>
      </c>
      <c r="Y51" s="315">
        <f>IF(VLOOKUP($A51,Items!$A$5:$J$1000,5,0)=0," ",VLOOKUP($A51,Items!$A$5:$J$1000,5,0))</f>
        <v>49</v>
      </c>
      <c r="AA51" s="316">
        <f>IF(VLOOKUP($A51,Wood!$A$5:$W$1000,16,0)=0," ",VLOOKUP($A51,Wood!$A$5:$W$1000,16,0))</f>
        <v>0.49486000000000002</v>
      </c>
      <c r="AB51" s="316">
        <f>IF(VLOOKUP($A51,Wood!$A$5:$W$1000,17,0)=0," ",VLOOKUP($A51,Wood!$A$5:$W$1000,17,0))</f>
        <v>4.6924799999999998</v>
      </c>
      <c r="AC51" s="316" t="str">
        <f>IF(VLOOKUP($A51,Wood!$A$5:$W$1000,18,0)=0," ",VLOOKUP($A51,Wood!$A$5:$W$1000,18,0))</f>
        <v xml:space="preserve"> </v>
      </c>
      <c r="AD51" s="316" t="str">
        <f>IF(VLOOKUP($A51,Wood!$A$5:$W$1000,19,0)=0," ",VLOOKUP($A51,Wood!$A$5:$W$1000,19,0))</f>
        <v xml:space="preserve"> </v>
      </c>
      <c r="AE51" s="316" t="str">
        <f>IF(VLOOKUP($A51,Wood!$A$5:$W$1000,20,0)=0," ",VLOOKUP($A51,Wood!$A$5:$W$1000,20,0))</f>
        <v xml:space="preserve"> </v>
      </c>
      <c r="AF51" s="316" t="str">
        <f>IF(VLOOKUP($A51,Wood!$A$5:$W$1000,21,0)=0," ",VLOOKUP($A51,Wood!$A$5:$W$1000,21,0))</f>
        <v xml:space="preserve"> </v>
      </c>
      <c r="AG51" s="316" t="str">
        <f>IF(VLOOKUP($A51,Wood!$A$5:$W$1000,22,0)=0," ",VLOOKUP($A51,Wood!$A$5:$W$1000,22,0))</f>
        <v xml:space="preserve"> </v>
      </c>
      <c r="AH51" s="316" t="str">
        <f>IF(VLOOKUP($A51,Wood!$A$5:$W$1000,23,0)=0," ",VLOOKUP($A51,Wood!$A$5:$W$1000,23,0))</f>
        <v xml:space="preserve"> </v>
      </c>
      <c r="AJ51" s="313"/>
      <c r="AK51" s="313"/>
      <c r="AL51" s="313"/>
      <c r="AM51" s="313"/>
      <c r="AN51" s="313">
        <v>1</v>
      </c>
      <c r="AO51" s="313">
        <v>0</v>
      </c>
      <c r="AP51" s="313">
        <v>0</v>
      </c>
      <c r="AQ51" s="320"/>
      <c r="AR51" s="332">
        <v>46288</v>
      </c>
      <c r="AS51" s="333" t="str">
        <f t="shared" si="71"/>
        <v/>
      </c>
      <c r="AT51" s="333">
        <f t="shared" ref="AT51" ca="1" si="90">NOW()-AR51</f>
        <v>26.617591435184295</v>
      </c>
      <c r="AU51" s="317">
        <f t="shared" ref="AU51:AU56" si="91">IFERROR(AVERAGE(J51:N51,AJ51:AP51),"n/a")</f>
        <v>0.323125</v>
      </c>
    </row>
    <row r="52" spans="1:47" ht="51" x14ac:dyDescent="0.2">
      <c r="A52" s="310">
        <v>9153</v>
      </c>
      <c r="B52" s="309" t="s">
        <v>578</v>
      </c>
      <c r="C52" s="310" t="s">
        <v>624</v>
      </c>
      <c r="D52" s="318">
        <v>5.85</v>
      </c>
      <c r="E52" s="312" t="str">
        <f t="shared" ref="E52" si="92">C52</f>
        <v>2 UNITS SAUNA ROOMS (1420LL-Cedar &amp; 1420RL-Cedar) w/ complete set of accessories and heater &amp; SPARE PARTS</v>
      </c>
      <c r="F52" s="364"/>
      <c r="G52" s="332" t="s">
        <v>343</v>
      </c>
      <c r="H52" s="369"/>
      <c r="I52" s="361"/>
      <c r="J52" s="313" t="s">
        <v>6</v>
      </c>
      <c r="K52" s="313">
        <v>0</v>
      </c>
      <c r="L52" s="313">
        <v>0</v>
      </c>
      <c r="M52" s="313" t="s">
        <v>6</v>
      </c>
      <c r="N52" s="313">
        <v>0</v>
      </c>
      <c r="O52" s="61">
        <v>2</v>
      </c>
      <c r="P52" s="314"/>
      <c r="R52" s="315" t="str">
        <f>IF(VLOOKUP($A52,Items!$A$5:$J$1000,8,0)=0," ",VLOOKUP($A52,Items!$A$5:$J$1000,8,0))</f>
        <v xml:space="preserve"> </v>
      </c>
      <c r="S52" s="315" t="str">
        <f>IF(VLOOKUP($A52,Items!$A$5:$J$1000,3,0)=0," ",VLOOKUP($A52,Items!$A$5:$J$1000,3,0))</f>
        <v xml:space="preserve"> </v>
      </c>
      <c r="T52" s="315">
        <f>IF(VLOOKUP($A52,Items!$A$5:$J$1000,7,0)=0," ",VLOOKUP($A52,Items!$A$5:$J$1000,7,0))</f>
        <v>14</v>
      </c>
      <c r="U52" s="315" t="str">
        <f>IF(VLOOKUP($A52,Items!$A$5:$J$1000,2,0)=0," ",VLOOKUP($A52,Items!$A$5:$J$1000,2,0))</f>
        <v xml:space="preserve"> </v>
      </c>
      <c r="V52" s="315">
        <f>IF(VLOOKUP($A52,Items!$A$5:$J$1000,9,0)=0," ",VLOOKUP($A52,Items!$A$5:$J$1000,9,0))</f>
        <v>2</v>
      </c>
      <c r="W52" s="315" t="str">
        <f>IF(VLOOKUP($A52,Items!$A$5:$J$1000,4,0)=0," ",VLOOKUP($A52,Items!$A$5:$J$1000,4,0))</f>
        <v xml:space="preserve"> </v>
      </c>
      <c r="X52" s="315">
        <f>IF(VLOOKUP($A52,Items!$A$5:$J$1000,6,0)=0," ",VLOOKUP($A52,Items!$A$5:$J$1000,6,0))</f>
        <v>6</v>
      </c>
      <c r="Y52" s="315">
        <f>IF(VLOOKUP($A52,Items!$A$5:$J$1000,5,0)=0," ",VLOOKUP($A52,Items!$A$5:$J$1000,5,0))</f>
        <v>4</v>
      </c>
      <c r="AA52" s="316" t="str">
        <f>IF(VLOOKUP($A52,Wood!$A$5:$W$1000,16,0)=0," ",VLOOKUP($A52,Wood!$A$5:$W$1000,16,0))</f>
        <v xml:space="preserve"> </v>
      </c>
      <c r="AB52" s="316" t="str">
        <f>IF(VLOOKUP($A52,Wood!$A$5:$W$1000,17,0)=0," ",VLOOKUP($A52,Wood!$A$5:$W$1000,17,0))</f>
        <v xml:space="preserve"> </v>
      </c>
      <c r="AC52" s="316" t="str">
        <f>IF(VLOOKUP($A52,Wood!$A$5:$W$1000,18,0)=0," ",VLOOKUP($A52,Wood!$A$5:$W$1000,18,0))</f>
        <v xml:space="preserve"> </v>
      </c>
      <c r="AD52" s="316" t="str">
        <f>IF(VLOOKUP($A52,Wood!$A$5:$W$1000,19,0)=0," ",VLOOKUP($A52,Wood!$A$5:$W$1000,19,0))</f>
        <v xml:space="preserve"> </v>
      </c>
      <c r="AE52" s="316" t="str">
        <f>IF(VLOOKUP($A52,Wood!$A$5:$W$1000,20,0)=0," ",VLOOKUP($A52,Wood!$A$5:$W$1000,20,0))</f>
        <v xml:space="preserve"> </v>
      </c>
      <c r="AF52" s="316" t="str">
        <f>IF(VLOOKUP($A52,Wood!$A$5:$W$1000,21,0)=0," ",VLOOKUP($A52,Wood!$A$5:$W$1000,21,0))</f>
        <v xml:space="preserve"> </v>
      </c>
      <c r="AG52" s="316" t="str">
        <f>IF(VLOOKUP($A52,Wood!$A$5:$W$1000,22,0)=0," ",VLOOKUP($A52,Wood!$A$5:$W$1000,22,0))</f>
        <v xml:space="preserve"> </v>
      </c>
      <c r="AH52" s="316" t="str">
        <f>IF(VLOOKUP($A52,Wood!$A$5:$W$1000,23,0)=0," ",VLOOKUP($A52,Wood!$A$5:$W$1000,23,0))</f>
        <v xml:space="preserve"> </v>
      </c>
      <c r="AJ52" s="313"/>
      <c r="AK52" s="313"/>
      <c r="AL52" s="313"/>
      <c r="AM52" s="313"/>
      <c r="AN52" s="313" t="s">
        <v>6</v>
      </c>
      <c r="AO52" s="313" t="s">
        <v>6</v>
      </c>
      <c r="AP52" s="313">
        <v>0</v>
      </c>
      <c r="AQ52" s="320"/>
      <c r="AR52" s="332">
        <v>46303</v>
      </c>
      <c r="AS52" s="333" t="str">
        <f t="shared" ref="AS52" si="93">IFERROR(G52-AR52,"")</f>
        <v/>
      </c>
      <c r="AT52" s="333">
        <f t="shared" ref="AT52" ca="1" si="94">NOW()-AR52</f>
        <v>11.617591435184295</v>
      </c>
      <c r="AU52" s="317">
        <f t="shared" ref="AU52" si="95">IFERROR(AVERAGE(J52:N52,AJ52:AP52),"n/a")</f>
        <v>0</v>
      </c>
    </row>
    <row r="53" spans="1:47" ht="38.25" x14ac:dyDescent="0.2">
      <c r="A53" s="310">
        <v>8294</v>
      </c>
      <c r="B53" s="309" t="s">
        <v>450</v>
      </c>
      <c r="C53" s="310" t="s">
        <v>78</v>
      </c>
      <c r="D53" s="318">
        <v>8.84</v>
      </c>
      <c r="E53" s="312" t="str">
        <f>C53</f>
        <v>PANELS &amp; TIMBERS</v>
      </c>
      <c r="F53" s="364"/>
      <c r="G53" s="366" t="s">
        <v>343</v>
      </c>
      <c r="H53" s="369"/>
      <c r="I53" s="361"/>
      <c r="J53" s="313" t="s">
        <v>6</v>
      </c>
      <c r="K53" s="313" t="s">
        <v>6</v>
      </c>
      <c r="L53" s="313" t="s">
        <v>6</v>
      </c>
      <c r="M53" s="313" t="s">
        <v>6</v>
      </c>
      <c r="N53" s="313">
        <v>0</v>
      </c>
      <c r="P53" s="314"/>
      <c r="R53" s="315" t="str">
        <f>IF(VLOOKUP($A53,Items!$A$5:$J$1000,8,0)=0," ",VLOOKUP($A53,Items!$A$5:$J$1000,8,0))</f>
        <v xml:space="preserve"> </v>
      </c>
      <c r="S53" s="315" t="str">
        <f>IF(VLOOKUP($A53,Items!$A$5:$J$1000,3,0)=0," ",VLOOKUP($A53,Items!$A$5:$J$1000,3,0))</f>
        <v xml:space="preserve"> </v>
      </c>
      <c r="T53" s="315" t="str">
        <f>IF(VLOOKUP($A53,Items!$A$5:$J$1000,7,0)=0," ",VLOOKUP($A53,Items!$A$5:$J$1000,7,0))</f>
        <v xml:space="preserve"> </v>
      </c>
      <c r="U53" s="315" t="str">
        <f>IF(VLOOKUP($A53,Items!$A$5:$J$1000,2,0)=0," ",VLOOKUP($A53,Items!$A$5:$J$1000,2,0))</f>
        <v xml:space="preserve"> </v>
      </c>
      <c r="V53" s="315" t="str">
        <f>IF(VLOOKUP($A53,Items!$A$5:$J$1000,9,0)=0," ",VLOOKUP($A53,Items!$A$5:$J$1000,9,0))</f>
        <v xml:space="preserve"> </v>
      </c>
      <c r="W53" s="315">
        <f>IF(VLOOKUP($A53,Items!$A$5:$J$1000,4,0)=0," ",VLOOKUP($A53,Items!$A$5:$J$1000,4,0))</f>
        <v>2500</v>
      </c>
      <c r="X53" s="315" t="str">
        <f>IF(VLOOKUP($A53,Items!$A$5:$J$1000,6,0)=0," ",VLOOKUP($A53,Items!$A$5:$J$1000,6,0))</f>
        <v xml:space="preserve"> </v>
      </c>
      <c r="Y53" s="315" t="str">
        <f>IF(VLOOKUP($A53,Items!$A$5:$J$1000,5,0)=0," ",VLOOKUP($A53,Items!$A$5:$J$1000,5,0))</f>
        <v xml:space="preserve"> </v>
      </c>
      <c r="AA53" s="316" t="str">
        <f>IF(VLOOKUP($A53,Wood!$A$5:$W$1000,16,0)=0," ",VLOOKUP($A53,Wood!$A$5:$W$1000,16,0))</f>
        <v xml:space="preserve"> </v>
      </c>
      <c r="AB53" s="316">
        <f>IF(VLOOKUP($A53,Wood!$A$5:$W$1000,17,0)=0," ",VLOOKUP($A53,Wood!$A$5:$W$1000,17,0))</f>
        <v>2.9340000000000002</v>
      </c>
      <c r="AC53" s="316" t="str">
        <f>IF(VLOOKUP($A53,Wood!$A$5:$W$1000,18,0)=0," ",VLOOKUP($A53,Wood!$A$5:$W$1000,18,0))</f>
        <v xml:space="preserve"> </v>
      </c>
      <c r="AD53" s="316" t="str">
        <f>IF(VLOOKUP($A53,Wood!$A$5:$W$1000,19,0)=0," ",VLOOKUP($A53,Wood!$A$5:$W$1000,19,0))</f>
        <v xml:space="preserve"> </v>
      </c>
      <c r="AE53" s="316" t="str">
        <f>IF(VLOOKUP($A53,Wood!$A$5:$W$1000,20,0)=0," ",VLOOKUP($A53,Wood!$A$5:$W$1000,20,0))</f>
        <v xml:space="preserve"> </v>
      </c>
      <c r="AF53" s="316" t="str">
        <f>IF(VLOOKUP($A53,Wood!$A$5:$W$1000,21,0)=0," ",VLOOKUP($A53,Wood!$A$5:$W$1000,21,0))</f>
        <v xml:space="preserve"> </v>
      </c>
      <c r="AG53" s="316" t="str">
        <f>IF(VLOOKUP($A53,Wood!$A$5:$W$1000,22,0)=0," ",VLOOKUP($A53,Wood!$A$5:$W$1000,22,0))</f>
        <v xml:space="preserve"> </v>
      </c>
      <c r="AH53" s="316" t="str">
        <f>IF(VLOOKUP($A53,Wood!$A$5:$W$1000,23,0)=0," ",VLOOKUP($A53,Wood!$A$5:$W$1000,23,0))</f>
        <v xml:space="preserve"> </v>
      </c>
      <c r="AJ53" s="313"/>
      <c r="AK53" s="313"/>
      <c r="AL53" s="313"/>
      <c r="AM53" s="313"/>
      <c r="AN53" s="313" t="s">
        <v>6</v>
      </c>
      <c r="AO53" s="313" t="s">
        <v>6</v>
      </c>
      <c r="AP53" s="313">
        <v>0</v>
      </c>
      <c r="AQ53" s="320"/>
      <c r="AR53" s="332">
        <v>46244</v>
      </c>
      <c r="AS53" s="333" t="str">
        <f t="shared" si="71"/>
        <v/>
      </c>
      <c r="AT53" s="333">
        <f t="shared" ca="1" si="6"/>
        <v>70.617591435184295</v>
      </c>
      <c r="AU53" s="317">
        <f t="shared" si="91"/>
        <v>0</v>
      </c>
    </row>
    <row r="54" spans="1:47" ht="38.25" x14ac:dyDescent="0.2">
      <c r="A54" s="310">
        <v>7114</v>
      </c>
      <c r="B54" s="309" t="s">
        <v>450</v>
      </c>
      <c r="C54" s="310" t="s">
        <v>522</v>
      </c>
      <c r="D54" s="318">
        <f>5.042+0.36822</f>
        <v>5.4102199999999998</v>
      </c>
      <c r="E54" s="312" t="str">
        <f>C54</f>
        <v>PANELS &amp; R-980</v>
      </c>
      <c r="F54" s="364"/>
      <c r="G54" s="367"/>
      <c r="H54" s="369"/>
      <c r="I54" s="361"/>
      <c r="J54" s="313" t="s">
        <v>6</v>
      </c>
      <c r="K54" s="313" t="s">
        <v>6</v>
      </c>
      <c r="L54" s="313" t="s">
        <v>6</v>
      </c>
      <c r="M54" s="313" t="s">
        <v>6</v>
      </c>
      <c r="N54" s="313">
        <v>0</v>
      </c>
      <c r="P54" s="314"/>
      <c r="R54" s="315" t="str">
        <f>IF(VLOOKUP($A54,Items!$A$5:$J$1000,8,0)=0," ",VLOOKUP($A54,Items!$A$5:$J$1000,8,0))</f>
        <v xml:space="preserve"> </v>
      </c>
      <c r="S54" s="315" t="str">
        <f>IF(VLOOKUP($A54,Items!$A$5:$J$1000,3,0)=0," ",VLOOKUP($A54,Items!$A$5:$J$1000,3,0))</f>
        <v xml:space="preserve"> </v>
      </c>
      <c r="T54" s="315" t="str">
        <f>IF(VLOOKUP($A54,Items!$A$5:$J$1000,7,0)=0," ",VLOOKUP($A54,Items!$A$5:$J$1000,7,0))</f>
        <v xml:space="preserve"> </v>
      </c>
      <c r="U54" s="315" t="str">
        <f>IF(VLOOKUP($A54,Items!$A$5:$J$1000,2,0)=0," ",VLOOKUP($A54,Items!$A$5:$J$1000,2,0))</f>
        <v xml:space="preserve"> </v>
      </c>
      <c r="V54" s="315" t="str">
        <f>IF(VLOOKUP($A54,Items!$A$5:$J$1000,9,0)=0," ",VLOOKUP($A54,Items!$A$5:$J$1000,9,0))</f>
        <v xml:space="preserve"> </v>
      </c>
      <c r="W54" s="315">
        <f>IF(VLOOKUP($A54,Items!$A$5:$J$1000,4,0)=0," ",VLOOKUP($A54,Items!$A$5:$J$1000,4,0))</f>
        <v>1408</v>
      </c>
      <c r="X54" s="315" t="str">
        <f>IF(VLOOKUP($A54,Items!$A$5:$J$1000,6,0)=0," ",VLOOKUP($A54,Items!$A$5:$J$1000,6,0))</f>
        <v xml:space="preserve"> </v>
      </c>
      <c r="Y54" s="315">
        <f>IF(VLOOKUP($A54,Items!$A$5:$J$1000,5,0)=0," ",VLOOKUP($A54,Items!$A$5:$J$1000,5,0))</f>
        <v>18</v>
      </c>
      <c r="AA54" s="316">
        <f>IF(VLOOKUP($A54,Wood!$A$5:$W$1000,16,0)=0," ",VLOOKUP($A54,Wood!$A$5:$W$1000,16,0))</f>
        <v>3.2000000000000002E-3</v>
      </c>
      <c r="AB54" s="316">
        <f>IF(VLOOKUP($A54,Wood!$A$5:$W$1000,17,0)=0," ",VLOOKUP($A54,Wood!$A$5:$W$1000,17,0))</f>
        <v>1.9624800000000004</v>
      </c>
      <c r="AC54" s="316" t="str">
        <f>IF(VLOOKUP($A54,Wood!$A$5:$W$1000,18,0)=0," ",VLOOKUP($A54,Wood!$A$5:$W$1000,18,0))</f>
        <v xml:space="preserve"> </v>
      </c>
      <c r="AD54" s="316" t="str">
        <f>IF(VLOOKUP($A54,Wood!$A$5:$W$1000,19,0)=0," ",VLOOKUP($A54,Wood!$A$5:$W$1000,19,0))</f>
        <v xml:space="preserve"> </v>
      </c>
      <c r="AE54" s="316" t="str">
        <f>IF(VLOOKUP($A54,Wood!$A$5:$W$1000,20,0)=0," ",VLOOKUP($A54,Wood!$A$5:$W$1000,20,0))</f>
        <v xml:space="preserve"> </v>
      </c>
      <c r="AF54" s="316" t="str">
        <f>IF(VLOOKUP($A54,Wood!$A$5:$W$1000,21,0)=0," ",VLOOKUP($A54,Wood!$A$5:$W$1000,21,0))</f>
        <v xml:space="preserve"> </v>
      </c>
      <c r="AG54" s="316" t="str">
        <f>IF(VLOOKUP($A54,Wood!$A$5:$W$1000,22,0)=0," ",VLOOKUP($A54,Wood!$A$5:$W$1000,22,0))</f>
        <v xml:space="preserve"> </v>
      </c>
      <c r="AH54" s="316" t="str">
        <f>IF(VLOOKUP($A54,Wood!$A$5:$W$1000,23,0)=0," ",VLOOKUP($A54,Wood!$A$5:$W$1000,23,0))</f>
        <v xml:space="preserve"> </v>
      </c>
      <c r="AJ54" s="313"/>
      <c r="AK54" s="313"/>
      <c r="AL54" s="313"/>
      <c r="AM54" s="313"/>
      <c r="AN54" s="313" t="s">
        <v>6</v>
      </c>
      <c r="AO54" s="313" t="s">
        <v>6</v>
      </c>
      <c r="AP54" s="313">
        <v>0</v>
      </c>
      <c r="AQ54" s="320"/>
      <c r="AR54" s="332">
        <v>46142</v>
      </c>
      <c r="AS54" s="333"/>
      <c r="AT54" s="333">
        <f t="shared" ca="1" si="6"/>
        <v>172.61759143518429</v>
      </c>
      <c r="AU54" s="317">
        <f t="shared" si="91"/>
        <v>0</v>
      </c>
    </row>
    <row r="55" spans="1:47" ht="38.25" x14ac:dyDescent="0.2">
      <c r="A55" s="310">
        <v>6967</v>
      </c>
      <c r="B55" s="309" t="s">
        <v>450</v>
      </c>
      <c r="C55" s="310" t="s">
        <v>451</v>
      </c>
      <c r="D55" s="318">
        <v>0.43251428571428574</v>
      </c>
      <c r="E55" s="312" t="str">
        <f>C55</f>
        <v>R-980</v>
      </c>
      <c r="F55" s="364"/>
      <c r="G55" s="367"/>
      <c r="H55" s="369"/>
      <c r="I55" s="361"/>
      <c r="J55" s="313" t="s">
        <v>6</v>
      </c>
      <c r="K55" s="313" t="s">
        <v>6</v>
      </c>
      <c r="L55" s="313" t="s">
        <v>6</v>
      </c>
      <c r="M55" s="313" t="s">
        <v>6</v>
      </c>
      <c r="N55" s="313">
        <v>1</v>
      </c>
      <c r="P55" s="314"/>
      <c r="R55" s="315" t="str">
        <f>IF(VLOOKUP($A55,Items!$A$5:$J$1000,8,0)=0," ",VLOOKUP($A55,Items!$A$5:$J$1000,8,0))</f>
        <v xml:space="preserve"> </v>
      </c>
      <c r="S55" s="315" t="str">
        <f>IF(VLOOKUP($A55,Items!$A$5:$J$1000,3,0)=0," ",VLOOKUP($A55,Items!$A$5:$J$1000,3,0))</f>
        <v xml:space="preserve"> </v>
      </c>
      <c r="T55" s="315" t="str">
        <f>IF(VLOOKUP($A55,Items!$A$5:$J$1000,7,0)=0," ",VLOOKUP($A55,Items!$A$5:$J$1000,7,0))</f>
        <v xml:space="preserve"> </v>
      </c>
      <c r="U55" s="315" t="str">
        <f>IF(VLOOKUP($A55,Items!$A$5:$J$1000,2,0)=0," ",VLOOKUP($A55,Items!$A$5:$J$1000,2,0))</f>
        <v xml:space="preserve"> </v>
      </c>
      <c r="V55" s="315" t="str">
        <f>IF(VLOOKUP($A55,Items!$A$5:$J$1000,9,0)=0," ",VLOOKUP($A55,Items!$A$5:$J$1000,9,0))</f>
        <v xml:space="preserve"> </v>
      </c>
      <c r="W55" s="315" t="str">
        <f>IF(VLOOKUP($A55,Items!$A$5:$J$1000,4,0)=0," ",VLOOKUP($A55,Items!$A$5:$J$1000,4,0))</f>
        <v xml:space="preserve"> </v>
      </c>
      <c r="X55" s="315" t="str">
        <f>IF(VLOOKUP($A55,Items!$A$5:$J$1000,6,0)=0," ",VLOOKUP($A55,Items!$A$5:$J$1000,6,0))</f>
        <v xml:space="preserve"> </v>
      </c>
      <c r="Y55" s="315">
        <f>IF(VLOOKUP($A55,Items!$A$5:$J$1000,5,0)=0," ",VLOOKUP($A55,Items!$A$5:$J$1000,5,0))</f>
        <v>20</v>
      </c>
      <c r="AA55" s="316" t="str">
        <f>IF(VLOOKUP($A55,Wood!$A$5:$W$1000,16,0)=0," ",VLOOKUP($A55,Wood!$A$5:$W$1000,16,0))</f>
        <v xml:space="preserve"> </v>
      </c>
      <c r="AB55" s="316" t="str">
        <f>IF(VLOOKUP($A55,Wood!$A$5:$W$1000,17,0)=0," ",VLOOKUP($A55,Wood!$A$5:$W$1000,17,0))</f>
        <v xml:space="preserve"> </v>
      </c>
      <c r="AC55" s="316" t="str">
        <f>IF(VLOOKUP($A55,Wood!$A$5:$W$1000,18,0)=0," ",VLOOKUP($A55,Wood!$A$5:$W$1000,18,0))</f>
        <v xml:space="preserve"> </v>
      </c>
      <c r="AD55" s="316" t="str">
        <f>IF(VLOOKUP($A55,Wood!$A$5:$W$1000,19,0)=0," ",VLOOKUP($A55,Wood!$A$5:$W$1000,19,0))</f>
        <v xml:space="preserve"> </v>
      </c>
      <c r="AE55" s="316" t="str">
        <f>IF(VLOOKUP($A55,Wood!$A$5:$W$1000,20,0)=0," ",VLOOKUP($A55,Wood!$A$5:$W$1000,20,0))</f>
        <v xml:space="preserve"> </v>
      </c>
      <c r="AF55" s="316" t="str">
        <f>IF(VLOOKUP($A55,Wood!$A$5:$W$1000,21,0)=0," ",VLOOKUP($A55,Wood!$A$5:$W$1000,21,0))</f>
        <v xml:space="preserve"> </v>
      </c>
      <c r="AG55" s="316" t="str">
        <f>IF(VLOOKUP($A55,Wood!$A$5:$W$1000,22,0)=0," ",VLOOKUP($A55,Wood!$A$5:$W$1000,22,0))</f>
        <v xml:space="preserve"> </v>
      </c>
      <c r="AH55" s="316" t="str">
        <f>IF(VLOOKUP($A55,Wood!$A$5:$W$1000,23,0)=0," ",VLOOKUP($A55,Wood!$A$5:$W$1000,23,0))</f>
        <v xml:space="preserve"> </v>
      </c>
      <c r="AJ55" s="313"/>
      <c r="AK55" s="313"/>
      <c r="AL55" s="313"/>
      <c r="AM55" s="313"/>
      <c r="AN55" s="313" t="s">
        <v>6</v>
      </c>
      <c r="AO55" s="313" t="s">
        <v>6</v>
      </c>
      <c r="AP55" s="313" t="s">
        <v>6</v>
      </c>
      <c r="AQ55" s="320"/>
      <c r="AR55" s="332">
        <v>46108</v>
      </c>
      <c r="AS55" s="333"/>
      <c r="AT55" s="333">
        <f t="shared" ca="1" si="6"/>
        <v>206.61759143518429</v>
      </c>
      <c r="AU55" s="317">
        <f t="shared" si="91"/>
        <v>1</v>
      </c>
    </row>
    <row r="56" spans="1:47" ht="38.25" x14ac:dyDescent="0.2">
      <c r="A56" s="310">
        <v>6646</v>
      </c>
      <c r="B56" s="309" t="s">
        <v>450</v>
      </c>
      <c r="C56" s="310" t="s">
        <v>332</v>
      </c>
      <c r="D56" s="318">
        <v>0.10335999999999999</v>
      </c>
      <c r="E56" s="312" t="str">
        <f>C56</f>
        <v>PANELS</v>
      </c>
      <c r="F56" s="365"/>
      <c r="G56" s="368"/>
      <c r="H56" s="359"/>
      <c r="I56" s="362"/>
      <c r="J56" s="313" t="s">
        <v>6</v>
      </c>
      <c r="K56" s="313" t="s">
        <v>6</v>
      </c>
      <c r="L56" s="313" t="s">
        <v>6</v>
      </c>
      <c r="M56" s="313" t="s">
        <v>6</v>
      </c>
      <c r="N56" s="313">
        <v>0</v>
      </c>
      <c r="P56" s="314"/>
      <c r="R56" s="315" t="str">
        <f>IF(VLOOKUP($A56,Items!$A$5:$J$1000,8,0)=0," ",VLOOKUP($A56,Items!$A$5:$J$1000,8,0))</f>
        <v xml:space="preserve"> </v>
      </c>
      <c r="S56" s="315" t="str">
        <f>IF(VLOOKUP($A56,Items!$A$5:$J$1000,3,0)=0," ",VLOOKUP($A56,Items!$A$5:$J$1000,3,0))</f>
        <v xml:space="preserve"> </v>
      </c>
      <c r="T56" s="315" t="str">
        <f>IF(VLOOKUP($A56,Items!$A$5:$J$1000,7,0)=0," ",VLOOKUP($A56,Items!$A$5:$J$1000,7,0))</f>
        <v xml:space="preserve"> </v>
      </c>
      <c r="U56" s="315" t="str">
        <f>IF(VLOOKUP($A56,Items!$A$5:$J$1000,2,0)=0," ",VLOOKUP($A56,Items!$A$5:$J$1000,2,0))</f>
        <v xml:space="preserve"> </v>
      </c>
      <c r="V56" s="315" t="str">
        <f>IF(VLOOKUP($A56,Items!$A$5:$J$1000,9,0)=0," ",VLOOKUP($A56,Items!$A$5:$J$1000,9,0))</f>
        <v xml:space="preserve"> </v>
      </c>
      <c r="W56" s="315">
        <f>IF(VLOOKUP($A56,Items!$A$5:$J$1000,4,0)=0," ",VLOOKUP($A56,Items!$A$5:$J$1000,4,0))</f>
        <v>32</v>
      </c>
      <c r="X56" s="315" t="str">
        <f>IF(VLOOKUP($A56,Items!$A$5:$J$1000,6,0)=0," ",VLOOKUP($A56,Items!$A$5:$J$1000,6,0))</f>
        <v xml:space="preserve"> </v>
      </c>
      <c r="Y56" s="315" t="str">
        <f>IF(VLOOKUP($A56,Items!$A$5:$J$1000,5,0)=0," ",VLOOKUP($A56,Items!$A$5:$J$1000,5,0))</f>
        <v xml:space="preserve"> </v>
      </c>
      <c r="AA56" s="316" t="str">
        <f>IF(VLOOKUP($A56,Wood!$A$5:$W$1000,16,0)=0," ",VLOOKUP($A56,Wood!$A$5:$W$1000,16,0))</f>
        <v xml:space="preserve"> </v>
      </c>
      <c r="AB56" s="316">
        <f>IF(VLOOKUP($A56,Wood!$A$5:$W$1000,17,0)=0," ",VLOOKUP($A56,Wood!$A$5:$W$1000,17,0))</f>
        <v>9.5999999999999992E-3</v>
      </c>
      <c r="AC56" s="316" t="str">
        <f>IF(VLOOKUP($A56,Wood!$A$5:$W$1000,18,0)=0," ",VLOOKUP($A56,Wood!$A$5:$W$1000,18,0))</f>
        <v xml:space="preserve"> </v>
      </c>
      <c r="AD56" s="316" t="str">
        <f>IF(VLOOKUP($A56,Wood!$A$5:$W$1000,19,0)=0," ",VLOOKUP($A56,Wood!$A$5:$W$1000,19,0))</f>
        <v xml:space="preserve"> </v>
      </c>
      <c r="AE56" s="316" t="str">
        <f>IF(VLOOKUP($A56,Wood!$A$5:$W$1000,20,0)=0," ",VLOOKUP($A56,Wood!$A$5:$W$1000,20,0))</f>
        <v xml:space="preserve"> </v>
      </c>
      <c r="AF56" s="316" t="str">
        <f>IF(VLOOKUP($A56,Wood!$A$5:$W$1000,21,0)=0," ",VLOOKUP($A56,Wood!$A$5:$W$1000,21,0))</f>
        <v xml:space="preserve"> </v>
      </c>
      <c r="AG56" s="316" t="str">
        <f>IF(VLOOKUP($A56,Wood!$A$5:$W$1000,22,0)=0," ",VLOOKUP($A56,Wood!$A$5:$W$1000,22,0))</f>
        <v xml:space="preserve"> </v>
      </c>
      <c r="AH56" s="316" t="str">
        <f>IF(VLOOKUP($A56,Wood!$A$5:$W$1000,23,0)=0," ",VLOOKUP($A56,Wood!$A$5:$W$1000,23,0))</f>
        <v xml:space="preserve"> </v>
      </c>
      <c r="AJ56" s="313"/>
      <c r="AK56" s="313"/>
      <c r="AL56" s="313"/>
      <c r="AM56" s="313"/>
      <c r="AN56" s="313" t="s">
        <v>6</v>
      </c>
      <c r="AO56" s="313" t="s">
        <v>6</v>
      </c>
      <c r="AP56" s="313">
        <v>0</v>
      </c>
      <c r="AQ56" s="320"/>
      <c r="AR56" s="332">
        <v>46108</v>
      </c>
      <c r="AS56" s="333"/>
      <c r="AT56" s="333">
        <f t="shared" ca="1" si="6"/>
        <v>206.61759143518429</v>
      </c>
      <c r="AU56" s="317">
        <f t="shared" si="91"/>
        <v>0</v>
      </c>
    </row>
    <row r="57" spans="1:47" ht="38.25" x14ac:dyDescent="0.2">
      <c r="A57" s="310">
        <v>9122</v>
      </c>
      <c r="B57" s="309" t="s">
        <v>605</v>
      </c>
      <c r="C57" s="310" t="s">
        <v>606</v>
      </c>
      <c r="D57" s="311">
        <v>62.29</v>
      </c>
      <c r="E57" s="312" t="str">
        <f t="shared" ref="E57" si="96">C57</f>
        <v>WOODEN ACCESSORIES, R-980 &amp; DOORS</v>
      </c>
      <c r="F57" s="363">
        <f>SUM(D57:D58)</f>
        <v>69.539999999999992</v>
      </c>
      <c r="G57" s="332" t="s">
        <v>343</v>
      </c>
      <c r="H57" s="1" t="s">
        <v>609</v>
      </c>
      <c r="I57" s="360" t="s">
        <v>581</v>
      </c>
      <c r="J57" s="313" t="s">
        <v>6</v>
      </c>
      <c r="K57" s="313" t="s">
        <v>6</v>
      </c>
      <c r="L57" s="313">
        <v>0</v>
      </c>
      <c r="M57" s="313">
        <v>0</v>
      </c>
      <c r="N57" s="313" t="s">
        <v>6</v>
      </c>
      <c r="P57" s="314"/>
      <c r="R57" s="315" t="str">
        <f>IF(VLOOKUP($A57,Items!$A$5:$J$1000,8,0)=0," ",VLOOKUP($A57,Items!$A$5:$J$1000,8,0))</f>
        <v xml:space="preserve"> </v>
      </c>
      <c r="S57" s="315" t="str">
        <f>IF(VLOOKUP($A57,Items!$A$5:$J$1000,3,0)=0," ",VLOOKUP($A57,Items!$A$5:$J$1000,3,0))</f>
        <v xml:space="preserve"> </v>
      </c>
      <c r="T57" s="315">
        <f>IF(VLOOKUP($A57,Items!$A$5:$J$1000,7,0)=0," ",VLOOKUP($A57,Items!$A$5:$J$1000,7,0))</f>
        <v>4110</v>
      </c>
      <c r="U57" s="315">
        <f>IF(VLOOKUP($A57,Items!$A$5:$J$1000,2,0)=0," ",VLOOKUP($A57,Items!$A$5:$J$1000,2,0))</f>
        <v>189</v>
      </c>
      <c r="V57" s="315" t="str">
        <f>IF(VLOOKUP($A57,Items!$A$5:$J$1000,9,0)=0," ",VLOOKUP($A57,Items!$A$5:$J$1000,9,0))</f>
        <v xml:space="preserve"> </v>
      </c>
      <c r="W57" s="315" t="str">
        <f>IF(VLOOKUP($A57,Items!$A$5:$J$1000,4,0)=0," ",VLOOKUP($A57,Items!$A$5:$J$1000,4,0))</f>
        <v xml:space="preserve"> </v>
      </c>
      <c r="X57" s="315">
        <f>IF(VLOOKUP($A57,Items!$A$5:$J$1000,6,0)=0," ",VLOOKUP($A57,Items!$A$5:$J$1000,6,0))</f>
        <v>30</v>
      </c>
      <c r="Y57" s="315">
        <f>IF(VLOOKUP($A57,Items!$A$5:$J$1000,5,0)=0," ",VLOOKUP($A57,Items!$A$5:$J$1000,5,0))</f>
        <v>560</v>
      </c>
      <c r="AA57" s="316">
        <f>IF(VLOOKUP($A57,Wood!$A$5:$W$1000,16,0)=0," ",VLOOKUP($A57,Wood!$A$5:$W$1000,16,0))</f>
        <v>14.279959999999999</v>
      </c>
      <c r="AB57" s="316">
        <f>IF(VLOOKUP($A57,Wood!$A$5:$W$1000,17,0)=0," ",VLOOKUP($A57,Wood!$A$5:$W$1000,17,0))</f>
        <v>9.2575399999999988</v>
      </c>
      <c r="AC57" s="316">
        <f>IF(VLOOKUP($A57,Wood!$A$5:$W$1000,18,0)=0," ",VLOOKUP($A57,Wood!$A$5:$W$1000,18,0))</f>
        <v>0.56987999999999994</v>
      </c>
      <c r="AD57" s="316">
        <f>IF(VLOOKUP($A57,Wood!$A$5:$W$1000,19,0)=0," ",VLOOKUP($A57,Wood!$A$5:$W$1000,19,0))</f>
        <v>2.8248599999999997</v>
      </c>
      <c r="AE57" s="316" t="str">
        <f>IF(VLOOKUP($A57,Wood!$A$5:$W$1000,20,0)=0," ",VLOOKUP($A57,Wood!$A$5:$W$1000,20,0))</f>
        <v xml:space="preserve"> </v>
      </c>
      <c r="AF57" s="316">
        <f>IF(VLOOKUP($A57,Wood!$A$5:$W$1000,21,0)=0," ",VLOOKUP($A57,Wood!$A$5:$W$1000,21,0))</f>
        <v>1.5599999999999999E-2</v>
      </c>
      <c r="AG57" s="316">
        <f>IF(VLOOKUP($A57,Wood!$A$5:$W$1000,22,0)=0," ",VLOOKUP($A57,Wood!$A$5:$W$1000,22,0))</f>
        <v>1.6000000000000001E-4</v>
      </c>
      <c r="AH57" s="316" t="str">
        <f>IF(VLOOKUP($A57,Wood!$A$5:$W$1000,23,0)=0," ",VLOOKUP($A57,Wood!$A$5:$W$1000,23,0))</f>
        <v xml:space="preserve"> </v>
      </c>
      <c r="AJ57" s="313"/>
      <c r="AK57" s="313"/>
      <c r="AL57" s="313"/>
      <c r="AM57" s="313"/>
      <c r="AN57" s="313" t="s">
        <v>6</v>
      </c>
      <c r="AO57" s="313">
        <v>0</v>
      </c>
      <c r="AP57" s="313" t="s">
        <v>6</v>
      </c>
      <c r="AR57" s="332">
        <v>46297</v>
      </c>
      <c r="AS57" s="333" t="str">
        <f t="shared" si="71"/>
        <v/>
      </c>
      <c r="AT57" s="333">
        <f t="shared" ref="AT57" ca="1" si="97">NOW()-AR57</f>
        <v>17.617591435184295</v>
      </c>
      <c r="AU57" s="317">
        <f>IFERROR(AVERAGE(J57:N57,AJ57:AP57),"n/a")</f>
        <v>0</v>
      </c>
    </row>
    <row r="58" spans="1:47" ht="38.25" x14ac:dyDescent="0.2">
      <c r="A58" s="310">
        <v>9197</v>
      </c>
      <c r="B58" s="309" t="s">
        <v>605</v>
      </c>
      <c r="C58" s="310" t="s">
        <v>584</v>
      </c>
      <c r="D58" s="311">
        <v>7.25</v>
      </c>
      <c r="E58" s="312"/>
      <c r="F58" s="365"/>
      <c r="G58" s="332" t="s">
        <v>343</v>
      </c>
      <c r="H58" s="359"/>
      <c r="I58" s="362"/>
      <c r="J58" s="313" t="s">
        <v>6</v>
      </c>
      <c r="K58" s="313" t="s">
        <v>6</v>
      </c>
      <c r="L58" s="313" t="s">
        <v>628</v>
      </c>
      <c r="M58" s="313">
        <v>0</v>
      </c>
      <c r="N58" s="313" t="s">
        <v>6</v>
      </c>
      <c r="P58" s="314"/>
      <c r="R58" s="315" t="str">
        <f>IF(VLOOKUP($A58,Items!$A$5:$J$1000,8,0)=0," ",VLOOKUP($A58,Items!$A$5:$J$1000,8,0))</f>
        <v xml:space="preserve"> </v>
      </c>
      <c r="S58" s="315" t="str">
        <f>IF(VLOOKUP($A58,Items!$A$5:$J$1000,3,0)=0," ",VLOOKUP($A58,Items!$A$5:$J$1000,3,0))</f>
        <v xml:space="preserve"> </v>
      </c>
      <c r="T58" s="315" t="str">
        <f>IF(VLOOKUP($A58,Items!$A$5:$J$1000,7,0)=0," ",VLOOKUP($A58,Items!$A$5:$J$1000,7,0))</f>
        <v xml:space="preserve"> </v>
      </c>
      <c r="U58" s="315">
        <f>IF(VLOOKUP($A58,Items!$A$5:$J$1000,2,0)=0," ",VLOOKUP($A58,Items!$A$5:$J$1000,2,0))</f>
        <v>28</v>
      </c>
      <c r="V58" s="315" t="str">
        <f>IF(VLOOKUP($A58,Items!$A$5:$J$1000,9,0)=0," ",VLOOKUP($A58,Items!$A$5:$J$1000,9,0))</f>
        <v xml:space="preserve"> </v>
      </c>
      <c r="W58" s="315" t="str">
        <f>IF(VLOOKUP($A58,Items!$A$5:$J$1000,4,0)=0," ",VLOOKUP($A58,Items!$A$5:$J$1000,4,0))</f>
        <v xml:space="preserve"> </v>
      </c>
      <c r="X58" s="315" t="str">
        <f>IF(VLOOKUP($A58,Items!$A$5:$J$1000,6,0)=0," ",VLOOKUP($A58,Items!$A$5:$J$1000,6,0))</f>
        <v xml:space="preserve"> </v>
      </c>
      <c r="Y58" s="315" t="str">
        <f>IF(VLOOKUP($A58,Items!$A$5:$J$1000,5,0)=0," ",VLOOKUP($A58,Items!$A$5:$J$1000,5,0))</f>
        <v xml:space="preserve"> </v>
      </c>
      <c r="AA58" s="316" t="str">
        <f>IF(VLOOKUP($A58,Wood!$A$5:$W$1000,16,0)=0," ",VLOOKUP($A58,Wood!$A$5:$W$1000,16,0))</f>
        <v xml:space="preserve"> </v>
      </c>
      <c r="AB58" s="316" t="str">
        <f>IF(VLOOKUP($A58,Wood!$A$5:$W$1000,17,0)=0," ",VLOOKUP($A58,Wood!$A$5:$W$1000,17,0))</f>
        <v xml:space="preserve"> </v>
      </c>
      <c r="AC58" s="316" t="str">
        <f>IF(VLOOKUP($A58,Wood!$A$5:$W$1000,18,0)=0," ",VLOOKUP($A58,Wood!$A$5:$W$1000,18,0))</f>
        <v xml:space="preserve"> </v>
      </c>
      <c r="AD58" s="316" t="str">
        <f>IF(VLOOKUP($A58,Wood!$A$5:$W$1000,19,0)=0," ",VLOOKUP($A58,Wood!$A$5:$W$1000,19,0))</f>
        <v xml:space="preserve"> </v>
      </c>
      <c r="AE58" s="316" t="str">
        <f>IF(VLOOKUP($A58,Wood!$A$5:$W$1000,20,0)=0," ",VLOOKUP($A58,Wood!$A$5:$W$1000,20,0))</f>
        <v xml:space="preserve"> </v>
      </c>
      <c r="AF58" s="316" t="str">
        <f>IF(VLOOKUP($A58,Wood!$A$5:$W$1000,21,0)=0," ",VLOOKUP($A58,Wood!$A$5:$W$1000,21,0))</f>
        <v xml:space="preserve"> </v>
      </c>
      <c r="AG58" s="316" t="str">
        <f>IF(VLOOKUP($A58,Wood!$A$5:$W$1000,22,0)=0," ",VLOOKUP($A58,Wood!$A$5:$W$1000,22,0))</f>
        <v xml:space="preserve"> </v>
      </c>
      <c r="AH58" s="316" t="str">
        <f>IF(VLOOKUP($A58,Wood!$A$5:$W$1000,23,0)=0," ",VLOOKUP($A58,Wood!$A$5:$W$1000,23,0))</f>
        <v xml:space="preserve"> </v>
      </c>
      <c r="AJ58" s="313"/>
      <c r="AK58" s="313"/>
      <c r="AL58" s="313"/>
      <c r="AM58" s="313"/>
      <c r="AN58" s="313" t="s">
        <v>6</v>
      </c>
      <c r="AO58" s="313">
        <v>0</v>
      </c>
      <c r="AP58" s="313" t="s">
        <v>6</v>
      </c>
      <c r="AR58" s="332">
        <v>46303</v>
      </c>
      <c r="AS58" s="333" t="str">
        <f t="shared" ref="AS58" si="98">IFERROR(G58-AR58,"")</f>
        <v/>
      </c>
      <c r="AT58" s="333">
        <f t="shared" ref="AT58" ca="1" si="99">NOW()-AR58</f>
        <v>11.617591435184295</v>
      </c>
      <c r="AU58" s="317">
        <f>IFERROR(AVERAGE(J58:N58,AJ58:AP58),"n/a")</f>
        <v>0</v>
      </c>
    </row>
    <row r="59" spans="1:47" ht="25.5" x14ac:dyDescent="0.2">
      <c r="A59" s="310">
        <v>6542</v>
      </c>
      <c r="B59" s="309" t="s">
        <v>469</v>
      </c>
      <c r="C59" s="310" t="s">
        <v>63</v>
      </c>
      <c r="D59" s="311">
        <v>2.9600000000000001E-2</v>
      </c>
      <c r="E59" s="312" t="str">
        <f t="shared" ref="E59" si="100">C59</f>
        <v>WOODEN ACCESSORIES</v>
      </c>
      <c r="F59" s="311">
        <f>D59</f>
        <v>2.9600000000000001E-2</v>
      </c>
      <c r="G59" s="332" t="s">
        <v>343</v>
      </c>
      <c r="H59" s="6" t="s">
        <v>470</v>
      </c>
      <c r="I59" s="319"/>
      <c r="J59" s="313" t="s">
        <v>6</v>
      </c>
      <c r="K59" s="313" t="s">
        <v>6</v>
      </c>
      <c r="L59" s="313">
        <v>1</v>
      </c>
      <c r="M59" s="313" t="s">
        <v>6</v>
      </c>
      <c r="N59" s="313" t="s">
        <v>6</v>
      </c>
      <c r="P59" s="314"/>
      <c r="R59" s="315" t="str">
        <f>IF(VLOOKUP($A59,Items!$A$5:$J$1000,8,0)=0," ",VLOOKUP($A59,Items!$A$5:$J$1000,8,0))</f>
        <v xml:space="preserve"> </v>
      </c>
      <c r="S59" s="315" t="str">
        <f>IF(VLOOKUP($A59,Items!$A$5:$J$1000,3,0)=0," ",VLOOKUP($A59,Items!$A$5:$J$1000,3,0))</f>
        <v xml:space="preserve"> </v>
      </c>
      <c r="T59" s="315" t="str">
        <f>IF(VLOOKUP($A59,Items!$A$5:$J$1000,7,0)=0," ",VLOOKUP($A59,Items!$A$5:$J$1000,7,0))</f>
        <v xml:space="preserve"> </v>
      </c>
      <c r="U59" s="315" t="str">
        <f>IF(VLOOKUP($A59,Items!$A$5:$J$1000,2,0)=0," ",VLOOKUP($A59,Items!$A$5:$J$1000,2,0))</f>
        <v xml:space="preserve"> </v>
      </c>
      <c r="V59" s="315" t="str">
        <f>IF(VLOOKUP($A59,Items!$A$5:$J$1000,9,0)=0," ",VLOOKUP($A59,Items!$A$5:$J$1000,9,0))</f>
        <v xml:space="preserve"> </v>
      </c>
      <c r="W59" s="315" t="str">
        <f>IF(VLOOKUP($A59,Items!$A$5:$J$1000,4,0)=0," ",VLOOKUP($A59,Items!$A$5:$J$1000,4,0))</f>
        <v xml:space="preserve"> </v>
      </c>
      <c r="X59" s="315" t="str">
        <f>IF(VLOOKUP($A59,Items!$A$5:$J$1000,6,0)=0," ",VLOOKUP($A59,Items!$A$5:$J$1000,6,0))</f>
        <v xml:space="preserve"> </v>
      </c>
      <c r="Y59" s="315" t="str">
        <f>IF(VLOOKUP($A59,Items!$A$5:$J$1000,5,0)=0," ",VLOOKUP($A59,Items!$A$5:$J$1000,5,0))</f>
        <v xml:space="preserve"> </v>
      </c>
      <c r="AA59" s="316" t="str">
        <f>IF(VLOOKUP($A59,Wood!$A$5:$W$1000,16,0)=0," ",VLOOKUP($A59,Wood!$A$5:$W$1000,16,0))</f>
        <v xml:space="preserve"> </v>
      </c>
      <c r="AB59" s="316" t="str">
        <f>IF(VLOOKUP($A59,Wood!$A$5:$W$1000,17,0)=0," ",VLOOKUP($A59,Wood!$A$5:$W$1000,17,0))</f>
        <v xml:space="preserve"> </v>
      </c>
      <c r="AC59" s="316" t="str">
        <f>IF(VLOOKUP($A59,Wood!$A$5:$W$1000,18,0)=0," ",VLOOKUP($A59,Wood!$A$5:$W$1000,18,0))</f>
        <v xml:space="preserve"> </v>
      </c>
      <c r="AD59" s="316" t="str">
        <f>IF(VLOOKUP($A59,Wood!$A$5:$W$1000,19,0)=0," ",VLOOKUP($A59,Wood!$A$5:$W$1000,19,0))</f>
        <v xml:space="preserve"> </v>
      </c>
      <c r="AE59" s="316" t="str">
        <f>IF(VLOOKUP($A59,Wood!$A$5:$W$1000,20,0)=0," ",VLOOKUP($A59,Wood!$A$5:$W$1000,20,0))</f>
        <v xml:space="preserve"> </v>
      </c>
      <c r="AF59" s="316" t="str">
        <f>IF(VLOOKUP($A59,Wood!$A$5:$W$1000,21,0)=0," ",VLOOKUP($A59,Wood!$A$5:$W$1000,21,0))</f>
        <v xml:space="preserve"> </v>
      </c>
      <c r="AG59" s="316" t="str">
        <f>IF(VLOOKUP($A59,Wood!$A$5:$W$1000,22,0)=0," ",VLOOKUP($A59,Wood!$A$5:$W$1000,22,0))</f>
        <v xml:space="preserve"> </v>
      </c>
      <c r="AH59" s="316" t="str">
        <f>IF(VLOOKUP($A59,Wood!$A$5:$W$1000,23,0)=0," ",VLOOKUP($A59,Wood!$A$5:$W$1000,23,0))</f>
        <v xml:space="preserve"> </v>
      </c>
      <c r="AJ59" s="313"/>
      <c r="AK59" s="313"/>
      <c r="AL59" s="313"/>
      <c r="AM59" s="313"/>
      <c r="AN59" s="313" t="s">
        <v>6</v>
      </c>
      <c r="AO59" s="313" t="s">
        <v>6</v>
      </c>
      <c r="AP59" s="313" t="s">
        <v>6</v>
      </c>
      <c r="AR59" s="332">
        <v>46099</v>
      </c>
      <c r="AS59" s="333" t="str">
        <f t="shared" si="71"/>
        <v/>
      </c>
      <c r="AT59" s="333">
        <f t="shared" ref="AT59" ca="1" si="101">NOW()-AR59</f>
        <v>215.61759143518429</v>
      </c>
      <c r="AU59" s="317">
        <f>IFERROR(AVERAGE(J59:N59,AJ59:AP59),"n/a")</f>
        <v>1</v>
      </c>
    </row>
    <row r="60" spans="1:47" x14ac:dyDescent="0.2">
      <c r="AU60" s="16"/>
    </row>
    <row r="80" spans="20:30" x14ac:dyDescent="0.2">
      <c r="T80" s="329"/>
      <c r="U80" s="329"/>
      <c r="AC80" s="330"/>
      <c r="AD80" s="330"/>
    </row>
    <row r="81" spans="1:42" x14ac:dyDescent="0.2">
      <c r="R81" s="329"/>
      <c r="S81" s="329"/>
      <c r="V81" s="329"/>
      <c r="W81" s="329"/>
      <c r="X81" s="329"/>
      <c r="Y81" s="329"/>
      <c r="AA81" s="330"/>
      <c r="AB81" s="330"/>
      <c r="AE81" s="330"/>
      <c r="AF81" s="330"/>
      <c r="AG81" s="330"/>
      <c r="AH81" s="330"/>
    </row>
    <row r="85" spans="1:42" x14ac:dyDescent="0.2">
      <c r="D85" s="74"/>
      <c r="G85" s="174"/>
      <c r="L85" s="71"/>
      <c r="M85" s="71"/>
      <c r="AL85" s="71"/>
      <c r="AM85" s="71"/>
    </row>
    <row r="86" spans="1:42" x14ac:dyDescent="0.2">
      <c r="A86" s="331"/>
      <c r="B86" s="71"/>
      <c r="E86" s="75"/>
      <c r="F86" s="142"/>
      <c r="H86" s="71"/>
      <c r="I86" s="71"/>
      <c r="J86" s="71"/>
      <c r="K86" s="71"/>
      <c r="N86" s="71"/>
      <c r="AJ86" s="71"/>
      <c r="AK86" s="71"/>
      <c r="AN86" s="71"/>
      <c r="AO86" s="71"/>
      <c r="AP86" s="71"/>
    </row>
    <row r="87" spans="1:42" x14ac:dyDescent="0.2">
      <c r="C87" s="71"/>
    </row>
  </sheetData>
  <sheetProtection formatRows="0" deleteRows="0" selectLockedCells="1" selectUnlockedCells="1"/>
  <autoFilter ref="A6:AU59" xr:uid="{00000000-0001-0000-0000-000000000000}"/>
  <dataConsolidate/>
  <mergeCells count="27">
    <mergeCell ref="I8:I10"/>
    <mergeCell ref="H8:H10"/>
    <mergeCell ref="F8:F10"/>
    <mergeCell ref="G8:G10"/>
    <mergeCell ref="F16:F20"/>
    <mergeCell ref="H16:H20"/>
    <mergeCell ref="I16:I20"/>
    <mergeCell ref="AJ4:AP4"/>
    <mergeCell ref="J4:N4"/>
    <mergeCell ref="A4:I4"/>
    <mergeCell ref="R4:Y4"/>
    <mergeCell ref="AA4:AH4"/>
    <mergeCell ref="H22:H23"/>
    <mergeCell ref="H47:H48"/>
    <mergeCell ref="I47:I49"/>
    <mergeCell ref="F47:F49"/>
    <mergeCell ref="F57:F58"/>
    <mergeCell ref="H57:H58"/>
    <mergeCell ref="I57:I58"/>
    <mergeCell ref="G53:G56"/>
    <mergeCell ref="F51:F56"/>
    <mergeCell ref="I51:I56"/>
    <mergeCell ref="H51:H56"/>
    <mergeCell ref="I33:I39"/>
    <mergeCell ref="I24:I32"/>
    <mergeCell ref="F22:F23"/>
    <mergeCell ref="I22:I23"/>
  </mergeCells>
  <phoneticPr fontId="32" type="noConversion"/>
  <conditionalFormatting sqref="J1:N65504 AJ7:AQ65504">
    <cfRule type="cellIs" dxfId="695" priority="1" stopIfTrue="1" operator="equal">
      <formula>1</formula>
    </cfRule>
    <cfRule type="cellIs" dxfId="694" priority="2" stopIfTrue="1" operator="lessThan">
      <formula>1</formula>
    </cfRule>
  </conditionalFormatting>
  <conditionalFormatting sqref="Z2">
    <cfRule type="cellIs" dxfId="693" priority="108831" stopIfTrue="1" operator="equal">
      <formula>"PARTIAL"</formula>
    </cfRule>
    <cfRule type="cellIs" dxfId="692" priority="108832" stopIfTrue="1" operator="equal">
      <formula>"NO WO"</formula>
    </cfRule>
    <cfRule type="cellIs" dxfId="691" priority="108833" stopIfTrue="1" operator="equal">
      <formula>"DONE"</formula>
    </cfRule>
  </conditionalFormatting>
  <conditionalFormatting sqref="AJ4">
    <cfRule type="cellIs" dxfId="690" priority="2310" stopIfTrue="1" operator="equal">
      <formula>1</formula>
    </cfRule>
    <cfRule type="cellIs" dxfId="689" priority="2311" stopIfTrue="1" operator="lessThan">
      <formula>1</formula>
    </cfRule>
  </conditionalFormatting>
  <conditionalFormatting sqref="AJ1:AP3">
    <cfRule type="cellIs" dxfId="688" priority="2306" stopIfTrue="1" operator="equal">
      <formula>1</formula>
    </cfRule>
    <cfRule type="cellIs" dxfId="687" priority="2307" stopIfTrue="1" operator="lessThan">
      <formula>1</formula>
    </cfRule>
  </conditionalFormatting>
  <conditionalFormatting sqref="AJ5:AP6">
    <cfRule type="cellIs" dxfId="686" priority="24142" stopIfTrue="1" operator="equal">
      <formula>1</formula>
    </cfRule>
    <cfRule type="cellIs" dxfId="685" priority="24143" stopIfTrue="1" operator="lessThan">
      <formula>1</formula>
    </cfRule>
  </conditionalFormatting>
  <conditionalFormatting sqref="AQ1:AQ6">
    <cfRule type="cellIs" dxfId="684" priority="310" stopIfTrue="1" operator="equal">
      <formula>1</formula>
    </cfRule>
    <cfRule type="cellIs" dxfId="683" priority="313" stopIfTrue="1" operator="lessThan">
      <formula>1</formula>
    </cfRule>
  </conditionalFormatting>
  <conditionalFormatting sqref="AR5:AT5">
    <cfRule type="cellIs" dxfId="682" priority="7" stopIfTrue="1" operator="equal">
      <formula>1</formula>
    </cfRule>
    <cfRule type="cellIs" dxfId="681" priority="8" stopIfTrue="1" operator="lessThan">
      <formula>1</formula>
    </cfRule>
  </conditionalFormatting>
  <printOptions horizontalCentered="1"/>
  <pageMargins left="0" right="0" top="0" bottom="0" header="0" footer="0"/>
  <pageSetup scale="57" orientation="portrait"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8">
    <tabColor rgb="FF6600FF"/>
  </sheetPr>
  <dimension ref="A2:R42"/>
  <sheetViews>
    <sheetView showGridLines="0" tabSelected="1" zoomScale="80" zoomScaleNormal="80" workbookViewId="0">
      <selection activeCell="G21" sqref="G21"/>
    </sheetView>
  </sheetViews>
  <sheetFormatPr defaultColWidth="9.28515625" defaultRowHeight="15" outlineLevelRow="1" x14ac:dyDescent="0.25"/>
  <cols>
    <col min="1" max="1" width="26.7109375" style="158" customWidth="1"/>
    <col min="2" max="2" width="11.28515625" style="159" customWidth="1"/>
    <col min="3" max="3" width="10.28515625" style="159" bestFit="1" customWidth="1"/>
    <col min="4" max="4" width="8.42578125" style="159" customWidth="1"/>
    <col min="5" max="7" width="10.28515625" style="159" bestFit="1" customWidth="1"/>
    <col min="8" max="8" width="10.28515625" style="160" bestFit="1" customWidth="1"/>
    <col min="9" max="9" width="11.7109375" style="160" bestFit="1" customWidth="1"/>
    <col min="10" max="10" width="12.42578125" style="160" bestFit="1" customWidth="1"/>
    <col min="11" max="11" width="11.7109375" style="160" customWidth="1"/>
    <col min="12" max="13" width="12.7109375" style="160" customWidth="1"/>
    <col min="14" max="14" width="12" style="160" customWidth="1"/>
    <col min="15" max="15" width="14.7109375" style="160" customWidth="1"/>
    <col min="16" max="16" width="16.7109375" style="160" customWidth="1"/>
    <col min="17" max="17" width="6.7109375" style="158" bestFit="1" customWidth="1"/>
    <col min="18" max="18" width="6" style="158" customWidth="1"/>
    <col min="19" max="19" width="9.28515625" style="158"/>
    <col min="20" max="20" width="16.28515625" style="158" bestFit="1" customWidth="1"/>
    <col min="21" max="21" width="13.7109375" style="158" bestFit="1" customWidth="1"/>
    <col min="22" max="16384" width="9.28515625" style="158"/>
  </cols>
  <sheetData>
    <row r="2" spans="1:18" ht="21" x14ac:dyDescent="0.35">
      <c r="A2" s="166" t="s">
        <v>177</v>
      </c>
    </row>
    <row r="3" spans="1:18" x14ac:dyDescent="0.25">
      <c r="A3" s="358" t="s">
        <v>664</v>
      </c>
      <c r="F3" s="251"/>
      <c r="G3" s="251"/>
      <c r="H3" s="251"/>
    </row>
    <row r="4" spans="1:18" ht="60" x14ac:dyDescent="0.25">
      <c r="A4" s="161" t="s">
        <v>517</v>
      </c>
      <c r="B4" s="201" t="s">
        <v>171</v>
      </c>
      <c r="C4" s="201" t="s">
        <v>172</v>
      </c>
      <c r="D4" s="201" t="s">
        <v>337</v>
      </c>
      <c r="E4" s="201" t="s">
        <v>339</v>
      </c>
      <c r="F4" s="201" t="s">
        <v>473</v>
      </c>
      <c r="G4" s="201" t="s">
        <v>170</v>
      </c>
      <c r="H4" s="202" t="s">
        <v>184</v>
      </c>
      <c r="I4" s="202" t="s">
        <v>5</v>
      </c>
      <c r="J4" s="202" t="s">
        <v>92</v>
      </c>
      <c r="K4" s="202" t="s">
        <v>32</v>
      </c>
      <c r="L4" s="202" t="s">
        <v>374</v>
      </c>
      <c r="M4" s="202" t="s">
        <v>375</v>
      </c>
      <c r="N4" s="202" t="s">
        <v>176</v>
      </c>
      <c r="O4" s="202" t="s">
        <v>178</v>
      </c>
      <c r="P4" s="202" t="s">
        <v>179</v>
      </c>
      <c r="Q4" s="48" t="s">
        <v>338</v>
      </c>
    </row>
    <row r="5" spans="1:18" hidden="1" outlineLevel="1" x14ac:dyDescent="0.25">
      <c r="A5" s="162" t="s">
        <v>173</v>
      </c>
      <c r="B5" s="163">
        <v>4</v>
      </c>
      <c r="C5" s="163">
        <v>3</v>
      </c>
      <c r="D5" s="163"/>
      <c r="E5" s="163"/>
      <c r="F5" s="163"/>
      <c r="G5" s="198">
        <f>14+11+4</f>
        <v>29</v>
      </c>
      <c r="H5" s="198">
        <f>7+5+3</f>
        <v>15</v>
      </c>
      <c r="I5" s="198">
        <v>4</v>
      </c>
      <c r="J5" s="198">
        <v>6</v>
      </c>
      <c r="K5" s="198">
        <f>6+5</f>
        <v>11</v>
      </c>
      <c r="L5" s="198">
        <v>11</v>
      </c>
      <c r="M5" s="198">
        <v>55</v>
      </c>
      <c r="N5" s="163">
        <f>6+4</f>
        <v>10</v>
      </c>
      <c r="O5" s="164">
        <v>30</v>
      </c>
      <c r="P5" s="164">
        <v>17</v>
      </c>
      <c r="Q5" s="199">
        <f t="shared" ref="Q5:Q15" si="0">SUM(B5:P5)</f>
        <v>195</v>
      </c>
    </row>
    <row r="6" spans="1:18" hidden="1" outlineLevel="1" x14ac:dyDescent="0.25">
      <c r="A6" s="162" t="s">
        <v>174</v>
      </c>
      <c r="B6" s="163"/>
      <c r="C6" s="163">
        <v>1</v>
      </c>
      <c r="D6" s="163"/>
      <c r="E6" s="163"/>
      <c r="F6" s="163"/>
      <c r="G6" s="198">
        <v>1</v>
      </c>
      <c r="H6" s="198">
        <v>1</v>
      </c>
      <c r="I6" s="198"/>
      <c r="J6" s="198">
        <v>2</v>
      </c>
      <c r="K6" s="198">
        <v>2</v>
      </c>
      <c r="L6" s="198">
        <v>1</v>
      </c>
      <c r="M6" s="198"/>
      <c r="N6" s="198"/>
      <c r="O6" s="164">
        <v>3</v>
      </c>
      <c r="P6" s="164">
        <v>1</v>
      </c>
      <c r="Q6" s="199">
        <f t="shared" si="0"/>
        <v>12</v>
      </c>
    </row>
    <row r="7" spans="1:18" hidden="1" outlineLevel="1" x14ac:dyDescent="0.25">
      <c r="A7" s="162" t="s">
        <v>175</v>
      </c>
      <c r="B7" s="163"/>
      <c r="C7" s="163">
        <v>1</v>
      </c>
      <c r="D7" s="163"/>
      <c r="E7" s="163"/>
      <c r="F7" s="163"/>
      <c r="G7" s="198"/>
      <c r="H7" s="198">
        <v>1</v>
      </c>
      <c r="I7" s="198"/>
      <c r="J7" s="198">
        <v>1</v>
      </c>
      <c r="K7" s="198">
        <v>1</v>
      </c>
      <c r="L7" s="198">
        <v>1</v>
      </c>
      <c r="M7" s="198"/>
      <c r="N7" s="198"/>
      <c r="O7" s="164"/>
      <c r="P7" s="164">
        <v>1</v>
      </c>
      <c r="Q7" s="199">
        <f t="shared" si="0"/>
        <v>6</v>
      </c>
    </row>
    <row r="8" spans="1:18" hidden="1" outlineLevel="1" x14ac:dyDescent="0.25">
      <c r="A8" s="162" t="s">
        <v>185</v>
      </c>
      <c r="B8" s="163"/>
      <c r="C8" s="163"/>
      <c r="D8" s="163"/>
      <c r="E8" s="163"/>
      <c r="F8" s="163"/>
      <c r="G8" s="198"/>
      <c r="H8" s="198">
        <v>1</v>
      </c>
      <c r="I8" s="198">
        <v>1</v>
      </c>
      <c r="J8" s="198"/>
      <c r="K8" s="198">
        <v>1</v>
      </c>
      <c r="L8" s="198"/>
      <c r="M8" s="198">
        <v>1</v>
      </c>
      <c r="N8" s="198"/>
      <c r="O8" s="164"/>
      <c r="P8" s="164">
        <v>1</v>
      </c>
      <c r="Q8" s="199">
        <f t="shared" si="0"/>
        <v>5</v>
      </c>
    </row>
    <row r="9" spans="1:18" hidden="1" outlineLevel="1" x14ac:dyDescent="0.25">
      <c r="A9" s="162" t="s">
        <v>186</v>
      </c>
      <c r="B9" s="163">
        <v>1</v>
      </c>
      <c r="C9" s="163">
        <v>1</v>
      </c>
      <c r="D9" s="163"/>
      <c r="E9" s="163"/>
      <c r="F9" s="163"/>
      <c r="G9" s="198">
        <v>2</v>
      </c>
      <c r="H9" s="198">
        <v>2</v>
      </c>
      <c r="I9" s="198"/>
      <c r="J9" s="198">
        <v>1</v>
      </c>
      <c r="K9" s="198">
        <v>2</v>
      </c>
      <c r="L9" s="198">
        <v>2</v>
      </c>
      <c r="M9" s="198">
        <v>7</v>
      </c>
      <c r="N9" s="198">
        <v>1</v>
      </c>
      <c r="O9" s="164">
        <v>5</v>
      </c>
      <c r="P9" s="164">
        <v>2</v>
      </c>
      <c r="Q9" s="199">
        <f t="shared" si="0"/>
        <v>26</v>
      </c>
    </row>
    <row r="10" spans="1:18" hidden="1" outlineLevel="1" x14ac:dyDescent="0.25">
      <c r="A10" s="162" t="s">
        <v>334</v>
      </c>
      <c r="B10" s="163"/>
      <c r="C10" s="163">
        <v>1</v>
      </c>
      <c r="D10" s="163"/>
      <c r="E10" s="163"/>
      <c r="F10" s="163"/>
      <c r="G10" s="198">
        <f>1+1</f>
        <v>2</v>
      </c>
      <c r="H10" s="198">
        <v>2</v>
      </c>
      <c r="I10" s="198">
        <v>1</v>
      </c>
      <c r="J10" s="198">
        <v>1</v>
      </c>
      <c r="K10" s="198">
        <v>2</v>
      </c>
      <c r="L10" s="198">
        <v>2</v>
      </c>
      <c r="M10" s="198">
        <v>5</v>
      </c>
      <c r="N10" s="198"/>
      <c r="O10" s="164">
        <v>3</v>
      </c>
      <c r="P10" s="164">
        <v>2</v>
      </c>
      <c r="Q10" s="199">
        <f t="shared" si="0"/>
        <v>21</v>
      </c>
    </row>
    <row r="11" spans="1:18" hidden="1" outlineLevel="1" x14ac:dyDescent="0.25">
      <c r="A11" s="162" t="s">
        <v>59</v>
      </c>
      <c r="B11" s="163"/>
      <c r="C11" s="163"/>
      <c r="D11" s="163"/>
      <c r="E11" s="163"/>
      <c r="F11" s="163"/>
      <c r="G11" s="198"/>
      <c r="H11" s="198"/>
      <c r="I11" s="198"/>
      <c r="J11" s="198"/>
      <c r="K11" s="198"/>
      <c r="L11" s="198"/>
      <c r="M11" s="198"/>
      <c r="N11" s="198"/>
      <c r="O11" s="164"/>
      <c r="P11" s="164">
        <v>2</v>
      </c>
      <c r="Q11" s="199">
        <f t="shared" si="0"/>
        <v>2</v>
      </c>
    </row>
    <row r="12" spans="1:18" hidden="1" outlineLevel="1" x14ac:dyDescent="0.25">
      <c r="A12" s="162" t="s">
        <v>336</v>
      </c>
      <c r="B12" s="163"/>
      <c r="C12" s="163"/>
      <c r="D12" s="163"/>
      <c r="E12" s="163"/>
      <c r="F12" s="163"/>
      <c r="G12" s="198"/>
      <c r="H12" s="198"/>
      <c r="I12" s="198"/>
      <c r="J12" s="198"/>
      <c r="K12" s="198"/>
      <c r="L12" s="198"/>
      <c r="M12" s="198"/>
      <c r="N12" s="198"/>
      <c r="O12" s="197">
        <v>34</v>
      </c>
      <c r="P12" s="164"/>
      <c r="Q12" s="199">
        <f t="shared" si="0"/>
        <v>34</v>
      </c>
    </row>
    <row r="13" spans="1:18" hidden="1" outlineLevel="1" x14ac:dyDescent="0.25">
      <c r="A13" s="162" t="s">
        <v>335</v>
      </c>
      <c r="B13" s="163"/>
      <c r="C13" s="163"/>
      <c r="D13" s="163"/>
      <c r="E13" s="163"/>
      <c r="F13" s="163"/>
      <c r="G13" s="198"/>
      <c r="H13" s="198"/>
      <c r="I13" s="198"/>
      <c r="J13" s="198"/>
      <c r="K13" s="198"/>
      <c r="L13" s="198"/>
      <c r="M13" s="198">
        <v>2</v>
      </c>
      <c r="N13" s="198"/>
      <c r="O13" s="197">
        <f>2+1+1+1</f>
        <v>5</v>
      </c>
      <c r="P13" s="164"/>
      <c r="Q13" s="199">
        <f t="shared" si="0"/>
        <v>7</v>
      </c>
    </row>
    <row r="14" spans="1:18" hidden="1" outlineLevel="1" x14ac:dyDescent="0.25">
      <c r="A14" s="162" t="s">
        <v>187</v>
      </c>
      <c r="B14" s="163">
        <f t="shared" ref="B14:P14" si="1">SUM(B5:B13)</f>
        <v>5</v>
      </c>
      <c r="C14" s="163">
        <f t="shared" si="1"/>
        <v>7</v>
      </c>
      <c r="D14" s="163"/>
      <c r="E14" s="163"/>
      <c r="F14" s="163"/>
      <c r="G14" s="163">
        <f t="shared" si="1"/>
        <v>34</v>
      </c>
      <c r="H14" s="163">
        <f t="shared" si="1"/>
        <v>22</v>
      </c>
      <c r="I14" s="163">
        <f t="shared" si="1"/>
        <v>6</v>
      </c>
      <c r="J14" s="163">
        <f t="shared" si="1"/>
        <v>11</v>
      </c>
      <c r="K14" s="163">
        <f t="shared" si="1"/>
        <v>19</v>
      </c>
      <c r="L14" s="163">
        <f t="shared" si="1"/>
        <v>17</v>
      </c>
      <c r="M14" s="163">
        <f t="shared" ref="M14" si="2">SUM(M5:M13)</f>
        <v>70</v>
      </c>
      <c r="N14" s="163">
        <f t="shared" si="1"/>
        <v>11</v>
      </c>
      <c r="O14" s="163">
        <f t="shared" si="1"/>
        <v>80</v>
      </c>
      <c r="P14" s="163">
        <f t="shared" si="1"/>
        <v>26</v>
      </c>
      <c r="Q14" s="199">
        <f t="shared" si="0"/>
        <v>308</v>
      </c>
    </row>
    <row r="15" spans="1:18" hidden="1" outlineLevel="1" x14ac:dyDescent="0.25">
      <c r="A15" s="162" t="s">
        <v>340</v>
      </c>
      <c r="B15" s="163">
        <f>SUM(B5)+(B9/2)</f>
        <v>4.5</v>
      </c>
      <c r="C15" s="163">
        <f>SUM(C5)+(C10/2)</f>
        <v>3.5</v>
      </c>
      <c r="D15" s="163">
        <v>2</v>
      </c>
      <c r="E15" s="163">
        <v>2</v>
      </c>
      <c r="F15" s="163">
        <v>14</v>
      </c>
      <c r="G15" s="163">
        <f>SUM(G5)</f>
        <v>29</v>
      </c>
      <c r="H15" s="163">
        <f>SUM(H5)</f>
        <v>15</v>
      </c>
      <c r="I15" s="163">
        <f t="shared" ref="I15:J15" si="3">SUM(I5)</f>
        <v>4</v>
      </c>
      <c r="J15" s="163">
        <f t="shared" si="3"/>
        <v>6</v>
      </c>
      <c r="K15" s="163">
        <f>SUM(K5)</f>
        <v>11</v>
      </c>
      <c r="L15" s="165">
        <f>(L5+((SUM(L9:L10)/2)))</f>
        <v>13</v>
      </c>
      <c r="M15" s="165">
        <f>(M5+((SUM(M9:M10)/2)))</f>
        <v>61</v>
      </c>
      <c r="N15" s="163">
        <f>SUM(N5)</f>
        <v>10</v>
      </c>
      <c r="O15" s="163">
        <f>+O5</f>
        <v>30</v>
      </c>
      <c r="P15" s="163">
        <f>P5-2</f>
        <v>15</v>
      </c>
      <c r="Q15" s="200">
        <f t="shared" si="0"/>
        <v>220</v>
      </c>
    </row>
    <row r="16" spans="1:18" s="195" customFormat="1" ht="46.5" collapsed="1" x14ac:dyDescent="0.35">
      <c r="A16" s="193" t="s">
        <v>529</v>
      </c>
      <c r="B16" s="194">
        <v>4</v>
      </c>
      <c r="C16" s="194">
        <v>11</v>
      </c>
      <c r="D16" s="194">
        <v>0</v>
      </c>
      <c r="E16" s="354">
        <v>1</v>
      </c>
      <c r="F16" s="194">
        <v>2</v>
      </c>
      <c r="G16" s="194">
        <v>10</v>
      </c>
      <c r="H16" s="194">
        <v>5.5</v>
      </c>
      <c r="I16" s="194">
        <v>10.63</v>
      </c>
      <c r="J16" s="194">
        <v>14.6</v>
      </c>
      <c r="K16" s="194">
        <v>0.1</v>
      </c>
      <c r="L16" s="194">
        <f>'WWP1-AP'!L4</f>
        <v>47.03192080989011</v>
      </c>
      <c r="M16" s="194">
        <f>'WWP1-PPS'!L4</f>
        <v>24.507038873626374</v>
      </c>
      <c r="N16" s="194">
        <f>DA!L4</f>
        <v>14.781505901505902</v>
      </c>
      <c r="O16" s="194">
        <f>SUM('MP2-SFP2'!K4,'MP2-DA'!L4)</f>
        <v>36.41230163426318</v>
      </c>
      <c r="P16" s="194">
        <f>'SFP2'!L4</f>
        <v>16.998593256410253</v>
      </c>
      <c r="Q16" s="158"/>
      <c r="R16" s="158"/>
    </row>
    <row r="17" spans="1:18" s="195" customFormat="1" ht="23.25" hidden="1" x14ac:dyDescent="0.35">
      <c r="A17" s="193" t="s">
        <v>440</v>
      </c>
      <c r="B17" s="194">
        <f>SP!K3</f>
        <v>0</v>
      </c>
      <c r="C17" s="194">
        <f>'T&amp;D'!K3</f>
        <v>8.2271062271062345E-4</v>
      </c>
      <c r="D17" s="194"/>
      <c r="E17" s="194"/>
      <c r="F17" s="194"/>
      <c r="G17" s="194">
        <f>MS!K3</f>
        <v>0.16780341880341876</v>
      </c>
      <c r="H17" s="194">
        <f>PA!K3</f>
        <v>6.0582142857142918E-2</v>
      </c>
      <c r="I17" s="194">
        <f>CUA!L3</f>
        <v>5.9779365842490844</v>
      </c>
      <c r="J17" s="194">
        <f>EA!L3</f>
        <v>9.0603174603174352E-3</v>
      </c>
      <c r="K17" s="194">
        <f>HAP!L3</f>
        <v>6.1438298738298869E-2</v>
      </c>
      <c r="L17" s="194">
        <f>'WWP1-AP'!L3</f>
        <v>0</v>
      </c>
      <c r="M17" s="194">
        <f>'WWP1-PPS'!L3</f>
        <v>0</v>
      </c>
      <c r="N17" s="194">
        <v>0</v>
      </c>
      <c r="O17" s="194">
        <v>0</v>
      </c>
      <c r="P17" s="194">
        <v>0</v>
      </c>
      <c r="Q17" s="158"/>
      <c r="R17" s="158"/>
    </row>
    <row r="18" spans="1:18" s="195" customFormat="1" ht="39" hidden="1" x14ac:dyDescent="0.35">
      <c r="A18" s="193" t="s">
        <v>441</v>
      </c>
      <c r="B18" s="194">
        <f>B16-B17</f>
        <v>4</v>
      </c>
      <c r="C18" s="194">
        <f>C16-C17</f>
        <v>10.99917728937729</v>
      </c>
      <c r="D18" s="194"/>
      <c r="E18" s="194"/>
      <c r="F18" s="194"/>
      <c r="G18" s="194">
        <f t="shared" ref="G18:P18" si="4">G16-G17</f>
        <v>9.8321965811965804</v>
      </c>
      <c r="H18" s="194">
        <f t="shared" si="4"/>
        <v>5.4394178571428569</v>
      </c>
      <c r="I18" s="194">
        <f t="shared" si="4"/>
        <v>4.6520634157509164</v>
      </c>
      <c r="J18" s="194">
        <f t="shared" si="4"/>
        <v>14.590939682539682</v>
      </c>
      <c r="K18" s="194">
        <f t="shared" si="4"/>
        <v>3.8561701261701137E-2</v>
      </c>
      <c r="L18" s="194">
        <f t="shared" si="4"/>
        <v>47.03192080989011</v>
      </c>
      <c r="M18" s="194">
        <f t="shared" si="4"/>
        <v>24.507038873626374</v>
      </c>
      <c r="N18" s="194">
        <f t="shared" si="4"/>
        <v>14.781505901505902</v>
      </c>
      <c r="O18" s="194">
        <f t="shared" si="4"/>
        <v>36.41230163426318</v>
      </c>
      <c r="P18" s="194">
        <f t="shared" si="4"/>
        <v>16.998593256410253</v>
      </c>
      <c r="Q18" s="158"/>
      <c r="R18" s="158"/>
    </row>
    <row r="19" spans="1:18" s="195" customFormat="1" ht="45" hidden="1" x14ac:dyDescent="0.35">
      <c r="A19" s="193" t="s">
        <v>367</v>
      </c>
      <c r="B19" s="213" t="s">
        <v>368</v>
      </c>
      <c r="C19" s="213" t="s">
        <v>368</v>
      </c>
      <c r="D19" s="213"/>
      <c r="E19" s="213"/>
      <c r="F19" s="213"/>
      <c r="G19" s="213" t="s">
        <v>369</v>
      </c>
      <c r="H19" s="213" t="s">
        <v>368</v>
      </c>
      <c r="I19" s="213" t="s">
        <v>368</v>
      </c>
      <c r="J19" s="213" t="s">
        <v>368</v>
      </c>
      <c r="K19" s="213" t="s">
        <v>368</v>
      </c>
      <c r="L19" s="213" t="s">
        <v>368</v>
      </c>
      <c r="M19" s="213" t="s">
        <v>381</v>
      </c>
      <c r="N19" s="213" t="s">
        <v>368</v>
      </c>
      <c r="O19" s="213" t="s">
        <v>371</v>
      </c>
      <c r="P19" s="213" t="s">
        <v>368</v>
      </c>
      <c r="Q19" s="158"/>
      <c r="R19" s="158"/>
    </row>
    <row r="20" spans="1:18" s="195" customFormat="1" ht="60" hidden="1" x14ac:dyDescent="0.35">
      <c r="A20" s="193" t="s">
        <v>370</v>
      </c>
      <c r="B20" s="213"/>
      <c r="C20" s="213" t="s">
        <v>372</v>
      </c>
      <c r="D20" s="213"/>
      <c r="E20" s="213"/>
      <c r="F20" s="213"/>
      <c r="G20" s="213" t="s">
        <v>371</v>
      </c>
      <c r="H20" s="213" t="s">
        <v>380</v>
      </c>
      <c r="I20" s="213"/>
      <c r="J20" s="213" t="s">
        <v>369</v>
      </c>
      <c r="K20" s="213" t="s">
        <v>373</v>
      </c>
      <c r="L20" s="213"/>
      <c r="M20" s="213" t="s">
        <v>369</v>
      </c>
      <c r="N20" s="213"/>
      <c r="O20" s="213"/>
      <c r="P20" s="213"/>
      <c r="Q20" s="158"/>
      <c r="R20" s="158"/>
    </row>
    <row r="22" spans="1:18" s="195" customFormat="1" ht="46.5" hidden="1" collapsed="1" x14ac:dyDescent="0.35">
      <c r="A22" s="193" t="s">
        <v>528</v>
      </c>
      <c r="B22" s="194">
        <v>4</v>
      </c>
      <c r="C22" s="194">
        <v>12</v>
      </c>
      <c r="D22" s="194">
        <v>16</v>
      </c>
      <c r="E22" s="194">
        <v>5</v>
      </c>
      <c r="F22" s="194">
        <v>5</v>
      </c>
      <c r="G22" s="194">
        <v>11</v>
      </c>
      <c r="H22" s="194">
        <v>7.9</v>
      </c>
      <c r="I22" s="194">
        <v>13.04</v>
      </c>
      <c r="J22" s="194">
        <v>7</v>
      </c>
      <c r="K22" s="194">
        <v>0.4</v>
      </c>
      <c r="L22" s="194">
        <v>46.69386498583637</v>
      </c>
      <c r="M22" s="194">
        <v>22.674174862637365</v>
      </c>
      <c r="N22" s="194">
        <v>14.699247049247051</v>
      </c>
      <c r="O22" s="194">
        <v>45.484807692307697</v>
      </c>
      <c r="P22" s="194">
        <v>17.04798717948718</v>
      </c>
      <c r="Q22" s="158"/>
      <c r="R22" s="158"/>
    </row>
    <row r="23" spans="1:18" s="341" customFormat="1" ht="17.25" hidden="1" x14ac:dyDescent="0.3">
      <c r="A23" s="338" t="s">
        <v>530</v>
      </c>
      <c r="B23" s="339">
        <f>IF(B22=0,"-",(B16-B22)/B22)</f>
        <v>0</v>
      </c>
      <c r="C23" s="339">
        <f t="shared" ref="C23:P23" si="5">IF(C22=0,"-",(C16-C22)/C22)</f>
        <v>-8.3333333333333329E-2</v>
      </c>
      <c r="D23" s="339">
        <f t="shared" si="5"/>
        <v>-1</v>
      </c>
      <c r="E23" s="339">
        <f t="shared" si="5"/>
        <v>-0.8</v>
      </c>
      <c r="F23" s="339">
        <f t="shared" si="5"/>
        <v>-0.6</v>
      </c>
      <c r="G23" s="339">
        <f t="shared" si="5"/>
        <v>-9.0909090909090912E-2</v>
      </c>
      <c r="H23" s="339">
        <f t="shared" si="5"/>
        <v>-0.30379746835443039</v>
      </c>
      <c r="I23" s="339">
        <f t="shared" si="5"/>
        <v>-0.18481595092024528</v>
      </c>
      <c r="J23" s="339">
        <f t="shared" si="5"/>
        <v>1.0857142857142856</v>
      </c>
      <c r="K23" s="339">
        <f t="shared" si="5"/>
        <v>-0.75000000000000011</v>
      </c>
      <c r="L23" s="339">
        <f t="shared" si="5"/>
        <v>7.2398338444736154E-3</v>
      </c>
      <c r="M23" s="339">
        <f t="shared" si="5"/>
        <v>8.0834871482322976E-2</v>
      </c>
      <c r="N23" s="339">
        <f t="shared" si="5"/>
        <v>5.5961269297167869E-3</v>
      </c>
      <c r="O23" s="339">
        <f t="shared" si="5"/>
        <v>-0.19946233739004776</v>
      </c>
      <c r="P23" s="339">
        <f t="shared" si="5"/>
        <v>-2.897346329328537E-3</v>
      </c>
      <c r="Q23" s="340"/>
      <c r="R23" s="340"/>
    </row>
    <row r="24" spans="1:18" s="195" customFormat="1" ht="23.25" x14ac:dyDescent="0.35">
      <c r="A24" s="336"/>
      <c r="B24" s="337"/>
      <c r="C24" s="337"/>
      <c r="D24" s="337"/>
      <c r="E24" s="337"/>
      <c r="F24" s="337"/>
      <c r="G24" s="337"/>
      <c r="H24" s="337"/>
      <c r="I24" s="337"/>
      <c r="J24" s="337"/>
      <c r="K24" s="337"/>
      <c r="L24" s="337"/>
      <c r="M24" s="337"/>
      <c r="N24" s="337"/>
      <c r="O24" s="337"/>
      <c r="P24" s="337"/>
      <c r="Q24" s="158"/>
      <c r="R24" s="158"/>
    </row>
    <row r="25" spans="1:18" ht="15.75" x14ac:dyDescent="0.25">
      <c r="A25" s="205" t="s">
        <v>346</v>
      </c>
    </row>
    <row r="26" spans="1:18" x14ac:dyDescent="0.25">
      <c r="A26" s="161" t="s">
        <v>341</v>
      </c>
      <c r="B26" s="201" t="s">
        <v>342</v>
      </c>
    </row>
    <row r="27" spans="1:18" x14ac:dyDescent="0.25">
      <c r="A27" s="162" t="s">
        <v>84</v>
      </c>
      <c r="B27" s="203">
        <f>CUA!F4</f>
        <v>754</v>
      </c>
    </row>
    <row r="28" spans="1:18" x14ac:dyDescent="0.25">
      <c r="A28" s="162" t="s">
        <v>48</v>
      </c>
      <c r="B28" s="203">
        <f>HAP!F4</f>
        <v>397</v>
      </c>
    </row>
    <row r="29" spans="1:18" x14ac:dyDescent="0.25">
      <c r="A29" s="162" t="s">
        <v>85</v>
      </c>
      <c r="B29" s="203">
        <f>'WWP1-AP'!F4</f>
        <v>28019</v>
      </c>
    </row>
    <row r="30" spans="1:18" x14ac:dyDescent="0.25">
      <c r="A30" s="162" t="s">
        <v>53</v>
      </c>
      <c r="B30" s="203">
        <f>DA!F4</f>
        <v>795</v>
      </c>
      <c r="J30" s="196"/>
    </row>
    <row r="31" spans="1:18" x14ac:dyDescent="0.25">
      <c r="A31" s="162" t="s">
        <v>86</v>
      </c>
      <c r="B31" s="203">
        <f>'SFP2'!F4</f>
        <v>43</v>
      </c>
    </row>
    <row r="42" spans="3:6" x14ac:dyDescent="0.25">
      <c r="C42" s="188"/>
      <c r="D42" s="188"/>
      <c r="E42" s="188"/>
      <c r="F42" s="188"/>
    </row>
  </sheetData>
  <pageMargins left="0" right="0" top="0" bottom="0" header="0" footer="0"/>
  <pageSetup scale="70" orientation="landscape" r:id="rId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1" filterMode="1"/>
  <dimension ref="A1:CD53"/>
  <sheetViews>
    <sheetView showGridLines="0" workbookViewId="0">
      <pane xSplit="15" ySplit="7" topLeftCell="P8" activePane="bottomRight" state="frozen"/>
      <selection pane="topRight" activeCell="P1" sqref="P1"/>
      <selection pane="bottomLeft" activeCell="A8" sqref="A8"/>
      <selection pane="bottomRight" activeCell="P7" sqref="P7"/>
    </sheetView>
  </sheetViews>
  <sheetFormatPr defaultColWidth="9.28515625" defaultRowHeight="12.75" outlineLevelCol="1" x14ac:dyDescent="0.2"/>
  <cols>
    <col min="1" max="1" width="12" style="72" customWidth="1"/>
    <col min="2" max="2" width="21.7109375" style="71" customWidth="1"/>
    <col min="3" max="3" width="7.28515625" style="71" customWidth="1"/>
    <col min="4" max="4" width="7.7109375" style="71" customWidth="1"/>
    <col min="5" max="5" width="9.7109375" style="174" customWidth="1"/>
    <col min="6" max="6" width="11.5703125" style="74" hidden="1" customWidth="1" outlineLevel="1"/>
    <col min="7" max="7" width="11.7109375" style="75" hidden="1" customWidth="1" outlineLevel="1"/>
    <col min="8" max="8" width="11.28515625" style="74" hidden="1" customWidth="1" outlineLevel="1"/>
    <col min="9" max="9" width="8.7109375" style="76" hidden="1" customWidth="1" outlineLevel="1"/>
    <col min="10" max="10" width="7.7109375" style="76" hidden="1" customWidth="1" outlineLevel="1"/>
    <col min="11" max="11" width="9" style="74" customWidth="1" collapsed="1"/>
    <col min="12" max="12" width="9" style="74" hidden="1" customWidth="1" outlineLevel="1"/>
    <col min="13" max="13" width="7.42578125" style="174" hidden="1" customWidth="1" outlineLevel="1"/>
    <col min="14" max="14" width="8.28515625" style="174" customWidth="1" collapsed="1"/>
    <col min="15" max="16" width="11.28515625" style="78" customWidth="1"/>
    <col min="17" max="31" width="6.5703125" style="71" bestFit="1" customWidth="1"/>
    <col min="32" max="82" width="7.28515625" style="71" bestFit="1" customWidth="1"/>
    <col min="83" max="16384" width="9.28515625" style="71"/>
  </cols>
  <sheetData>
    <row r="1" spans="1:82" x14ac:dyDescent="0.2">
      <c r="Q1" s="105"/>
      <c r="R1" s="105"/>
      <c r="S1" s="105"/>
      <c r="T1" s="105"/>
      <c r="U1" s="105"/>
      <c r="V1" s="105"/>
      <c r="W1" s="105"/>
      <c r="X1" s="105"/>
      <c r="Y1" s="105"/>
      <c r="Z1" s="105"/>
      <c r="AA1" s="105"/>
      <c r="AB1" s="105">
        <v>0</v>
      </c>
      <c r="AC1" s="105">
        <v>0</v>
      </c>
      <c r="AD1" s="105"/>
      <c r="AE1" s="105"/>
      <c r="AF1" s="105"/>
      <c r="AG1" s="105"/>
      <c r="AH1" s="105">
        <v>0</v>
      </c>
      <c r="AI1" s="105">
        <v>0</v>
      </c>
      <c r="AJ1" s="105"/>
      <c r="AK1" s="105"/>
      <c r="AL1" s="105"/>
      <c r="AM1" s="105"/>
      <c r="AN1" s="105">
        <v>0</v>
      </c>
      <c r="AO1" s="105">
        <v>0</v>
      </c>
      <c r="AP1" s="105">
        <v>0</v>
      </c>
      <c r="AQ1" s="105">
        <v>0</v>
      </c>
      <c r="AR1" s="105">
        <v>0</v>
      </c>
      <c r="AS1" s="105">
        <v>0</v>
      </c>
      <c r="AT1" s="105">
        <v>0</v>
      </c>
      <c r="AU1" s="105">
        <v>0</v>
      </c>
      <c r="AV1" s="105">
        <v>0</v>
      </c>
      <c r="AW1" s="105">
        <v>0</v>
      </c>
      <c r="AX1" s="105">
        <v>0</v>
      </c>
      <c r="AY1" s="105">
        <v>0</v>
      </c>
      <c r="AZ1" s="105">
        <v>0</v>
      </c>
      <c r="BA1" s="105">
        <v>0</v>
      </c>
      <c r="BB1" s="105">
        <v>0</v>
      </c>
      <c r="BC1" s="105">
        <v>0</v>
      </c>
      <c r="BD1" s="105">
        <v>0</v>
      </c>
      <c r="BE1" s="105">
        <v>0</v>
      </c>
      <c r="BF1" s="105">
        <v>0</v>
      </c>
      <c r="BG1" s="105">
        <v>0</v>
      </c>
      <c r="BH1" s="105">
        <v>0</v>
      </c>
      <c r="BI1" s="105">
        <v>0</v>
      </c>
      <c r="BJ1" s="105">
        <v>0</v>
      </c>
      <c r="BK1" s="105">
        <v>0</v>
      </c>
      <c r="BL1" s="105">
        <v>0</v>
      </c>
      <c r="BM1" s="105">
        <v>0</v>
      </c>
      <c r="BN1" s="105">
        <v>0</v>
      </c>
      <c r="BO1" s="105">
        <v>0</v>
      </c>
      <c r="BP1" s="105">
        <v>0</v>
      </c>
      <c r="BQ1" s="105">
        <v>0</v>
      </c>
      <c r="BR1" s="105">
        <v>0</v>
      </c>
      <c r="BS1" s="105">
        <v>0</v>
      </c>
      <c r="BT1" s="105">
        <v>0</v>
      </c>
      <c r="BU1" s="105">
        <v>0</v>
      </c>
      <c r="BV1" s="105">
        <v>0</v>
      </c>
      <c r="BW1" s="105">
        <v>0</v>
      </c>
      <c r="BX1" s="105">
        <v>0</v>
      </c>
      <c r="BY1" s="105">
        <v>0</v>
      </c>
      <c r="BZ1" s="105">
        <v>0</v>
      </c>
      <c r="CA1" s="105">
        <v>0</v>
      </c>
      <c r="CB1" s="105">
        <v>0</v>
      </c>
      <c r="CC1" s="105">
        <v>0</v>
      </c>
      <c r="CD1" s="105">
        <v>0</v>
      </c>
    </row>
    <row r="2" spans="1:82" x14ac:dyDescent="0.2">
      <c r="A2" s="103" t="s">
        <v>216</v>
      </c>
      <c r="D2" s="75"/>
      <c r="K2" s="142">
        <f>K4-K3</f>
        <v>0.29963241758241754</v>
      </c>
      <c r="Q2" s="105" t="s">
        <v>108</v>
      </c>
      <c r="R2" s="105" t="s">
        <v>108</v>
      </c>
      <c r="S2" s="105" t="s">
        <v>108</v>
      </c>
      <c r="T2" s="105" t="s">
        <v>108</v>
      </c>
      <c r="U2" s="105" t="s">
        <v>168</v>
      </c>
      <c r="V2" s="105" t="s">
        <v>169</v>
      </c>
      <c r="W2" s="105" t="s">
        <v>108</v>
      </c>
      <c r="X2" s="105" t="s">
        <v>108</v>
      </c>
      <c r="Y2" s="105" t="s">
        <v>108</v>
      </c>
      <c r="Z2" s="105" t="s">
        <v>108</v>
      </c>
      <c r="AA2" s="105" t="s">
        <v>168</v>
      </c>
      <c r="AB2" s="105" t="s">
        <v>169</v>
      </c>
      <c r="AC2" s="105" t="s">
        <v>108</v>
      </c>
      <c r="AD2" s="105" t="s">
        <v>108</v>
      </c>
      <c r="AE2" s="105" t="s">
        <v>108</v>
      </c>
      <c r="AF2" s="105" t="s">
        <v>108</v>
      </c>
      <c r="AG2" s="105" t="s">
        <v>168</v>
      </c>
      <c r="AH2" s="105" t="s">
        <v>169</v>
      </c>
      <c r="AI2" s="105" t="s">
        <v>108</v>
      </c>
      <c r="AJ2" s="105" t="s">
        <v>108</v>
      </c>
      <c r="AK2" s="105" t="s">
        <v>108</v>
      </c>
      <c r="AL2" s="105" t="s">
        <v>108</v>
      </c>
      <c r="AM2" s="105" t="s">
        <v>168</v>
      </c>
      <c r="AN2" s="105" t="s">
        <v>169</v>
      </c>
      <c r="AO2" s="105" t="s">
        <v>108</v>
      </c>
      <c r="AP2" s="105" t="s">
        <v>108</v>
      </c>
      <c r="AQ2" s="105" t="s">
        <v>108</v>
      </c>
      <c r="AR2" s="105" t="s">
        <v>108</v>
      </c>
      <c r="AS2" s="105" t="s">
        <v>168</v>
      </c>
      <c r="AT2" s="105" t="s">
        <v>169</v>
      </c>
      <c r="AU2" s="105" t="s">
        <v>108</v>
      </c>
      <c r="AV2" s="105" t="s">
        <v>108</v>
      </c>
      <c r="AW2" s="105" t="s">
        <v>108</v>
      </c>
      <c r="AX2" s="105" t="s">
        <v>108</v>
      </c>
      <c r="AY2" s="105" t="s">
        <v>168</v>
      </c>
      <c r="AZ2" s="105" t="s">
        <v>169</v>
      </c>
      <c r="BA2" s="105" t="s">
        <v>108</v>
      </c>
      <c r="BB2" s="105" t="s">
        <v>108</v>
      </c>
      <c r="BC2" s="105" t="s">
        <v>108</v>
      </c>
      <c r="BD2" s="105" t="s">
        <v>108</v>
      </c>
      <c r="BE2" s="105" t="s">
        <v>168</v>
      </c>
      <c r="BF2" s="105" t="s">
        <v>169</v>
      </c>
      <c r="BG2" s="105" t="s">
        <v>108</v>
      </c>
      <c r="BH2" s="105" t="s">
        <v>108</v>
      </c>
      <c r="BI2" s="105" t="s">
        <v>108</v>
      </c>
      <c r="BJ2" s="105" t="s">
        <v>108</v>
      </c>
      <c r="BK2" s="105" t="s">
        <v>168</v>
      </c>
      <c r="BL2" s="105" t="s">
        <v>169</v>
      </c>
      <c r="BM2" s="105" t="s">
        <v>108</v>
      </c>
      <c r="BN2" s="105" t="s">
        <v>108</v>
      </c>
      <c r="BO2" s="105" t="s">
        <v>108</v>
      </c>
      <c r="BP2" s="105" t="s">
        <v>108</v>
      </c>
      <c r="BQ2" s="105" t="s">
        <v>168</v>
      </c>
      <c r="BR2" s="105" t="s">
        <v>169</v>
      </c>
      <c r="BS2" s="105" t="s">
        <v>108</v>
      </c>
      <c r="BT2" s="105" t="s">
        <v>108</v>
      </c>
      <c r="BU2" s="105" t="s">
        <v>108</v>
      </c>
      <c r="BV2" s="105" t="s">
        <v>108</v>
      </c>
      <c r="BW2" s="105" t="s">
        <v>168</v>
      </c>
      <c r="BX2" s="105" t="s">
        <v>169</v>
      </c>
      <c r="BY2" s="105" t="s">
        <v>108</v>
      </c>
      <c r="BZ2" s="105" t="s">
        <v>108</v>
      </c>
      <c r="CA2" s="105" t="s">
        <v>108</v>
      </c>
      <c r="CB2" s="105" t="s">
        <v>108</v>
      </c>
      <c r="CC2" s="105" t="s">
        <v>168</v>
      </c>
      <c r="CD2" s="105" t="s">
        <v>169</v>
      </c>
    </row>
    <row r="3" spans="1:82" s="80" customFormat="1" ht="12" customHeight="1" x14ac:dyDescent="0.2">
      <c r="A3" s="79"/>
      <c r="C3" s="71" t="s">
        <v>109</v>
      </c>
      <c r="D3" s="75" t="s">
        <v>110</v>
      </c>
      <c r="E3" s="174" t="s">
        <v>90</v>
      </c>
      <c r="K3" s="85">
        <f>K41+K43</f>
        <v>8.2271062271062345E-4</v>
      </c>
      <c r="L3" s="85"/>
      <c r="M3" s="177"/>
      <c r="N3" s="240" t="s">
        <v>415</v>
      </c>
      <c r="O3" s="81"/>
      <c r="P3" s="81"/>
      <c r="Q3" s="82">
        <f>M4</f>
        <v>46314</v>
      </c>
      <c r="R3" s="82">
        <f>Q3+1</f>
        <v>46315</v>
      </c>
      <c r="S3" s="82">
        <f t="shared" ref="S3:U3" si="0">R3+1</f>
        <v>46316</v>
      </c>
      <c r="T3" s="82">
        <f t="shared" si="0"/>
        <v>46317</v>
      </c>
      <c r="U3" s="82">
        <f t="shared" si="0"/>
        <v>46318</v>
      </c>
      <c r="V3" s="82">
        <f t="shared" ref="V3" si="1">U3+1</f>
        <v>46319</v>
      </c>
      <c r="W3" s="82">
        <f>+V3+2</f>
        <v>46321</v>
      </c>
      <c r="X3" s="82">
        <f t="shared" ref="X3:AB3" si="2">W3+1</f>
        <v>46322</v>
      </c>
      <c r="Y3" s="82">
        <f t="shared" si="2"/>
        <v>46323</v>
      </c>
      <c r="Z3" s="82">
        <f t="shared" si="2"/>
        <v>46324</v>
      </c>
      <c r="AA3" s="82">
        <f t="shared" si="2"/>
        <v>46325</v>
      </c>
      <c r="AB3" s="82">
        <f t="shared" si="2"/>
        <v>46326</v>
      </c>
      <c r="AC3" s="82">
        <f>+AB3+2</f>
        <v>46328</v>
      </c>
      <c r="AD3" s="82">
        <f t="shared" ref="AD3:AH3" si="3">AC3+1</f>
        <v>46329</v>
      </c>
      <c r="AE3" s="82">
        <f t="shared" si="3"/>
        <v>46330</v>
      </c>
      <c r="AF3" s="82">
        <f t="shared" si="3"/>
        <v>46331</v>
      </c>
      <c r="AG3" s="82">
        <f t="shared" si="3"/>
        <v>46332</v>
      </c>
      <c r="AH3" s="82">
        <f t="shared" si="3"/>
        <v>46333</v>
      </c>
      <c r="AI3" s="82">
        <f>+AH3+2</f>
        <v>46335</v>
      </c>
      <c r="AJ3" s="82">
        <f t="shared" ref="AJ3:AN3" si="4">AI3+1</f>
        <v>46336</v>
      </c>
      <c r="AK3" s="82">
        <f t="shared" si="4"/>
        <v>46337</v>
      </c>
      <c r="AL3" s="82">
        <f t="shared" si="4"/>
        <v>46338</v>
      </c>
      <c r="AM3" s="82">
        <f t="shared" si="4"/>
        <v>46339</v>
      </c>
      <c r="AN3" s="82">
        <f t="shared" si="4"/>
        <v>46340</v>
      </c>
      <c r="AO3" s="82">
        <f>+AN3+2</f>
        <v>46342</v>
      </c>
      <c r="AP3" s="82">
        <f t="shared" ref="AP3:AT3" si="5">AO3+1</f>
        <v>46343</v>
      </c>
      <c r="AQ3" s="82">
        <f t="shared" si="5"/>
        <v>46344</v>
      </c>
      <c r="AR3" s="82">
        <f t="shared" si="5"/>
        <v>46345</v>
      </c>
      <c r="AS3" s="82">
        <f t="shared" si="5"/>
        <v>46346</v>
      </c>
      <c r="AT3" s="82">
        <f t="shared" si="5"/>
        <v>46347</v>
      </c>
      <c r="AU3" s="82">
        <f>+AT3+2</f>
        <v>46349</v>
      </c>
      <c r="AV3" s="82">
        <f t="shared" ref="AV3:AZ3" si="6">AU3+1</f>
        <v>46350</v>
      </c>
      <c r="AW3" s="82">
        <f t="shared" si="6"/>
        <v>46351</v>
      </c>
      <c r="AX3" s="82">
        <f t="shared" si="6"/>
        <v>46352</v>
      </c>
      <c r="AY3" s="82">
        <f t="shared" si="6"/>
        <v>46353</v>
      </c>
      <c r="AZ3" s="82">
        <f t="shared" si="6"/>
        <v>46354</v>
      </c>
      <c r="BA3" s="82">
        <f>+AZ3+2</f>
        <v>46356</v>
      </c>
      <c r="BB3" s="82">
        <f t="shared" ref="BB3:BF3" si="7">BA3+1</f>
        <v>46357</v>
      </c>
      <c r="BC3" s="82">
        <f t="shared" si="7"/>
        <v>46358</v>
      </c>
      <c r="BD3" s="82">
        <f t="shared" si="7"/>
        <v>46359</v>
      </c>
      <c r="BE3" s="82">
        <f t="shared" si="7"/>
        <v>46360</v>
      </c>
      <c r="BF3" s="82">
        <f t="shared" si="7"/>
        <v>46361</v>
      </c>
      <c r="BG3" s="82">
        <f>+BF3+2</f>
        <v>46363</v>
      </c>
      <c r="BH3" s="82">
        <f t="shared" ref="BH3:BL3" si="8">BG3+1</f>
        <v>46364</v>
      </c>
      <c r="BI3" s="82">
        <f t="shared" si="8"/>
        <v>46365</v>
      </c>
      <c r="BJ3" s="82">
        <f t="shared" si="8"/>
        <v>46366</v>
      </c>
      <c r="BK3" s="82">
        <f t="shared" si="8"/>
        <v>46367</v>
      </c>
      <c r="BL3" s="82">
        <f t="shared" si="8"/>
        <v>46368</v>
      </c>
      <c r="BM3" s="82">
        <f>+BL3+2</f>
        <v>46370</v>
      </c>
      <c r="BN3" s="82">
        <f t="shared" ref="BN3:BR3" si="9">BM3+1</f>
        <v>46371</v>
      </c>
      <c r="BO3" s="82">
        <f t="shared" si="9"/>
        <v>46372</v>
      </c>
      <c r="BP3" s="82">
        <f t="shared" si="9"/>
        <v>46373</v>
      </c>
      <c r="BQ3" s="82">
        <f t="shared" si="9"/>
        <v>46374</v>
      </c>
      <c r="BR3" s="82">
        <f t="shared" si="9"/>
        <v>46375</v>
      </c>
      <c r="BS3" s="82">
        <f>+BR3+2</f>
        <v>46377</v>
      </c>
      <c r="BT3" s="82">
        <f t="shared" ref="BT3:BX3" si="10">BS3+1</f>
        <v>46378</v>
      </c>
      <c r="BU3" s="82">
        <f t="shared" si="10"/>
        <v>46379</v>
      </c>
      <c r="BV3" s="82">
        <f t="shared" si="10"/>
        <v>46380</v>
      </c>
      <c r="BW3" s="82">
        <f t="shared" si="10"/>
        <v>46381</v>
      </c>
      <c r="BX3" s="82">
        <f t="shared" si="10"/>
        <v>46382</v>
      </c>
      <c r="BY3" s="82">
        <f>+BX3+2</f>
        <v>46384</v>
      </c>
      <c r="BZ3" s="82">
        <f t="shared" ref="BZ3:CD3" si="11">BY3+1</f>
        <v>46385</v>
      </c>
      <c r="CA3" s="82">
        <f t="shared" si="11"/>
        <v>46386</v>
      </c>
      <c r="CB3" s="82">
        <f t="shared" si="11"/>
        <v>46387</v>
      </c>
      <c r="CC3" s="82">
        <f t="shared" si="11"/>
        <v>46388</v>
      </c>
      <c r="CD3" s="82">
        <f t="shared" si="11"/>
        <v>46389</v>
      </c>
    </row>
    <row r="4" spans="1:82" s="84" customFormat="1" ht="12" customHeight="1" x14ac:dyDescent="0.2">
      <c r="A4" s="83"/>
      <c r="D4" s="173"/>
      <c r="E4" s="174" t="s">
        <v>228</v>
      </c>
      <c r="H4" s="85">
        <f>45.5/5</f>
        <v>9.1</v>
      </c>
      <c r="K4" s="85">
        <f>SUM(K8:K4528)</f>
        <v>0.30045512820512815</v>
      </c>
      <c r="L4" s="85"/>
      <c r="M4" s="178">
        <v>46314</v>
      </c>
      <c r="N4" s="177"/>
      <c r="O4" s="81"/>
      <c r="P4" s="81"/>
      <c r="Q4" s="104">
        <v>45817</v>
      </c>
      <c r="R4" s="104">
        <f>Q4+1</f>
        <v>45818</v>
      </c>
      <c r="S4" s="104">
        <f t="shared" ref="S4:U4" si="12">R4+1</f>
        <v>45819</v>
      </c>
      <c r="T4" s="104">
        <f t="shared" si="12"/>
        <v>45820</v>
      </c>
      <c r="U4" s="104">
        <f t="shared" si="12"/>
        <v>45821</v>
      </c>
      <c r="V4" s="104">
        <f t="shared" ref="V4" si="13">U4+1</f>
        <v>45822</v>
      </c>
      <c r="W4" s="104">
        <f>+V4+2</f>
        <v>45824</v>
      </c>
      <c r="X4" s="104">
        <f t="shared" ref="X4:AB4" si="14">W4+1</f>
        <v>45825</v>
      </c>
      <c r="Y4" s="104">
        <f t="shared" si="14"/>
        <v>45826</v>
      </c>
      <c r="Z4" s="104">
        <f t="shared" si="14"/>
        <v>45827</v>
      </c>
      <c r="AA4" s="104">
        <f t="shared" si="14"/>
        <v>45828</v>
      </c>
      <c r="AB4" s="104">
        <f t="shared" si="14"/>
        <v>45829</v>
      </c>
      <c r="AC4" s="104">
        <f>+AB4+2</f>
        <v>45831</v>
      </c>
      <c r="AD4" s="104">
        <f t="shared" ref="AD4:AH4" si="15">AC4+1</f>
        <v>45832</v>
      </c>
      <c r="AE4" s="104">
        <f t="shared" si="15"/>
        <v>45833</v>
      </c>
      <c r="AF4" s="104">
        <f t="shared" si="15"/>
        <v>45834</v>
      </c>
      <c r="AG4" s="104">
        <f t="shared" si="15"/>
        <v>45835</v>
      </c>
      <c r="AH4" s="104">
        <f t="shared" si="15"/>
        <v>45836</v>
      </c>
      <c r="AI4" s="104">
        <f>+AH4+2</f>
        <v>45838</v>
      </c>
      <c r="AJ4" s="104">
        <f t="shared" ref="AJ4:AN4" si="16">AI4+1</f>
        <v>45839</v>
      </c>
      <c r="AK4" s="104">
        <f t="shared" si="16"/>
        <v>45840</v>
      </c>
      <c r="AL4" s="104">
        <f t="shared" si="16"/>
        <v>45841</v>
      </c>
      <c r="AM4" s="104">
        <f t="shared" si="16"/>
        <v>45842</v>
      </c>
      <c r="AN4" s="104">
        <f t="shared" si="16"/>
        <v>45843</v>
      </c>
      <c r="AO4" s="104">
        <f>+AN4+2</f>
        <v>45845</v>
      </c>
      <c r="AP4" s="104">
        <f t="shared" ref="AP4:AT4" si="17">AO4+1</f>
        <v>45846</v>
      </c>
      <c r="AQ4" s="104">
        <f t="shared" si="17"/>
        <v>45847</v>
      </c>
      <c r="AR4" s="104">
        <f t="shared" si="17"/>
        <v>45848</v>
      </c>
      <c r="AS4" s="104">
        <f t="shared" si="17"/>
        <v>45849</v>
      </c>
      <c r="AT4" s="104">
        <f t="shared" si="17"/>
        <v>45850</v>
      </c>
      <c r="AU4" s="104">
        <f>+AT4+2</f>
        <v>45852</v>
      </c>
      <c r="AV4" s="104">
        <f t="shared" ref="AV4:AZ4" si="18">AU4+1</f>
        <v>45853</v>
      </c>
      <c r="AW4" s="104">
        <f t="shared" si="18"/>
        <v>45854</v>
      </c>
      <c r="AX4" s="104">
        <f t="shared" si="18"/>
        <v>45855</v>
      </c>
      <c r="AY4" s="104">
        <f t="shared" si="18"/>
        <v>45856</v>
      </c>
      <c r="AZ4" s="104">
        <f t="shared" si="18"/>
        <v>45857</v>
      </c>
      <c r="BA4" s="104">
        <f>+AZ4+2</f>
        <v>45859</v>
      </c>
      <c r="BB4" s="104">
        <f t="shared" ref="BB4:BF4" si="19">BA4+1</f>
        <v>45860</v>
      </c>
      <c r="BC4" s="104">
        <f t="shared" si="19"/>
        <v>45861</v>
      </c>
      <c r="BD4" s="104">
        <f t="shared" si="19"/>
        <v>45862</v>
      </c>
      <c r="BE4" s="104">
        <f t="shared" si="19"/>
        <v>45863</v>
      </c>
      <c r="BF4" s="104">
        <f t="shared" si="19"/>
        <v>45864</v>
      </c>
      <c r="BG4" s="104">
        <f>+BF4+2</f>
        <v>45866</v>
      </c>
      <c r="BH4" s="104">
        <f t="shared" ref="BH4:BL4" si="20">BG4+1</f>
        <v>45867</v>
      </c>
      <c r="BI4" s="104">
        <f t="shared" si="20"/>
        <v>45868</v>
      </c>
      <c r="BJ4" s="104">
        <f t="shared" si="20"/>
        <v>45869</v>
      </c>
      <c r="BK4" s="104">
        <f t="shared" si="20"/>
        <v>45870</v>
      </c>
      <c r="BL4" s="104">
        <f t="shared" si="20"/>
        <v>45871</v>
      </c>
      <c r="BM4" s="104">
        <f>+BL4+2</f>
        <v>45873</v>
      </c>
      <c r="BN4" s="104">
        <f t="shared" ref="BN4:BR4" si="21">BM4+1</f>
        <v>45874</v>
      </c>
      <c r="BO4" s="104">
        <f t="shared" si="21"/>
        <v>45875</v>
      </c>
      <c r="BP4" s="104">
        <f t="shared" si="21"/>
        <v>45876</v>
      </c>
      <c r="BQ4" s="104">
        <f t="shared" si="21"/>
        <v>45877</v>
      </c>
      <c r="BR4" s="104">
        <f t="shared" si="21"/>
        <v>45878</v>
      </c>
      <c r="BS4" s="104">
        <f>+BR4+2</f>
        <v>45880</v>
      </c>
      <c r="BT4" s="104">
        <f t="shared" ref="BT4:BX4" si="22">BS4+1</f>
        <v>45881</v>
      </c>
      <c r="BU4" s="104">
        <f t="shared" si="22"/>
        <v>45882</v>
      </c>
      <c r="BV4" s="104">
        <f t="shared" si="22"/>
        <v>45883</v>
      </c>
      <c r="BW4" s="104">
        <f t="shared" si="22"/>
        <v>45884</v>
      </c>
      <c r="BX4" s="104">
        <f t="shared" si="22"/>
        <v>45885</v>
      </c>
      <c r="BY4" s="104">
        <f>+BX4+2</f>
        <v>45887</v>
      </c>
      <c r="BZ4" s="104">
        <f t="shared" ref="BZ4:CD4" si="23">BY4+1</f>
        <v>45888</v>
      </c>
      <c r="CA4" s="104">
        <f t="shared" si="23"/>
        <v>45889</v>
      </c>
      <c r="CB4" s="104">
        <f t="shared" si="23"/>
        <v>45890</v>
      </c>
      <c r="CC4" s="104">
        <f t="shared" si="23"/>
        <v>45891</v>
      </c>
      <c r="CD4" s="104">
        <f t="shared" si="23"/>
        <v>45892</v>
      </c>
    </row>
    <row r="5" spans="1:82" s="84" customFormat="1" ht="15" customHeight="1" x14ac:dyDescent="0.2">
      <c r="A5" s="386" t="s">
        <v>385</v>
      </c>
      <c r="B5" s="386" t="s">
        <v>214</v>
      </c>
      <c r="C5" s="387" t="s">
        <v>91</v>
      </c>
      <c r="D5" s="388" t="s">
        <v>0</v>
      </c>
      <c r="E5" s="389" t="s">
        <v>103</v>
      </c>
      <c r="F5" s="392" t="s">
        <v>93</v>
      </c>
      <c r="G5" s="388" t="s">
        <v>94</v>
      </c>
      <c r="H5" s="390" t="s">
        <v>95</v>
      </c>
      <c r="I5" s="393" t="s">
        <v>519</v>
      </c>
      <c r="J5" s="393" t="s">
        <v>520</v>
      </c>
      <c r="K5" s="390" t="s">
        <v>241</v>
      </c>
      <c r="L5" s="390" t="s">
        <v>240</v>
      </c>
      <c r="M5" s="389" t="s">
        <v>98</v>
      </c>
      <c r="N5" s="389" t="s">
        <v>99</v>
      </c>
      <c r="O5" s="391" t="s">
        <v>102</v>
      </c>
      <c r="P5" s="125" t="s">
        <v>106</v>
      </c>
      <c r="Q5" s="126" cm="1">
        <f t="array" ref="Q5">_xlfn.IFS(Q2="w/ OT",12.25,Q2="w/o OT",9.5,Q2="FRI",7.5,Q2="SAT",7.5,Q2="SUN",7.5,Q2="OFF",0)</f>
        <v>9.5</v>
      </c>
      <c r="R5" s="126" cm="1">
        <f t="array" ref="R5">_xlfn.IFS(R2="w/ OT",12.25,R2="w/o OT",9.5,R2="FRI",7.5,R2="SAT",7.5,R2="SUN",7.5,R2="OFF",0)</f>
        <v>9.5</v>
      </c>
      <c r="S5" s="126" cm="1">
        <f t="array" ref="S5">_xlfn.IFS(S2="w/ OT",12.25,S2="w/o OT",9.5,S2="FRI",7.5,S2="SAT",7.5,S2="SUN",7.5,S2="OFF",0)</f>
        <v>9.5</v>
      </c>
      <c r="T5" s="126" cm="1">
        <f t="array" ref="T5">_xlfn.IFS(T2="w/ OT",12.25,T2="w/o OT",9.5,T2="FRI",7.5,T2="SAT",7.5,T2="SUN",7.5,T2="OFF",0)</f>
        <v>9.5</v>
      </c>
      <c r="U5" s="126" cm="1">
        <f t="array" ref="U5">_xlfn.IFS(U2="w/ OT",12.25,U2="w/o OT",9.5,U2="FRI",7.5,U2="SAT",7.5,U2="SUN",7.5,U2="OFF",0)</f>
        <v>7.5</v>
      </c>
      <c r="V5" s="126" cm="1">
        <f t="array" ref="V5">_xlfn.IFS(V2="w/ OT",12.25,V2="w/o OT",9.5,V2="FRI",7.5,V2="SAT",7.5,V2="SUN",7.5,V2="OFF",0)</f>
        <v>7.5</v>
      </c>
      <c r="W5" s="126" cm="1">
        <f t="array" ref="W5">_xlfn.IFS(W2="w/ OT",12.25,W2="w/o OT",9.5,W2="FRI",7.5,W2="SAT",7.5,W2="SUN",7.5,W2="OFF",0)</f>
        <v>9.5</v>
      </c>
      <c r="X5" s="126" cm="1">
        <f t="array" ref="X5">_xlfn.IFS(X2="w/ OT",12.25,X2="w/o OT",9.5,X2="FRI",7.5,X2="SAT",7.5,X2="SUN",7.5,X2="OFF",0)</f>
        <v>9.5</v>
      </c>
      <c r="Y5" s="126" cm="1">
        <f t="array" ref="Y5">_xlfn.IFS(Y2="w/ OT",12.25,Y2="w/o OT",9.5,Y2="FRI",7.5,Y2="SAT",7.5,Y2="SUN",7.5,Y2="OFF",0)</f>
        <v>9.5</v>
      </c>
      <c r="Z5" s="126" cm="1">
        <f t="array" ref="Z5">_xlfn.IFS(Z2="w/ OT",12.25,Z2="w/o OT",9.5,Z2="FRI",7.5,Z2="SAT",7.5,Z2="SUN",7.5,Z2="OFF",0)</f>
        <v>9.5</v>
      </c>
      <c r="AA5" s="126" cm="1">
        <f t="array" ref="AA5">_xlfn.IFS(AA2="w/ OT",12.25,AA2="w/o OT",9.5,AA2="FRI",7.5,AA2="SAT",7.5,AA2="SUN",7.5,AA2="OFF",0)</f>
        <v>7.5</v>
      </c>
      <c r="AB5" s="126" cm="1">
        <f t="array" ref="AB5">_xlfn.IFS(AB2="w/ OT",12.25,AB2="w/o OT",9.5,AB2="FRI",7.5,AB2="SAT",7.5,AB2="SUN",7.5,AB2="OFF",0)</f>
        <v>7.5</v>
      </c>
      <c r="AC5" s="126" cm="1">
        <f t="array" ref="AC5">_xlfn.IFS(AC2="w/ OT",12.25,AC2="w/o OT",9.5,AC2="FRI",7.5,AC2="SAT",7.5,AC2="SUN",7.5,AC2="OFF",0)</f>
        <v>9.5</v>
      </c>
      <c r="AD5" s="126" cm="1">
        <f t="array" ref="AD5">_xlfn.IFS(AD2="w/ OT",12.25,AD2="w/o OT",9.5,AD2="FRI",7.5,AD2="SAT",7.5,AD2="SUN",7.5,AD2="OFF",0)</f>
        <v>9.5</v>
      </c>
      <c r="AE5" s="126" cm="1">
        <f t="array" ref="AE5">_xlfn.IFS(AE2="w/ OT",12.25,AE2="w/o OT",9.5,AE2="FRI",7.5,AE2="SAT",7.5,AE2="SUN",7.5,AE2="OFF",0)</f>
        <v>9.5</v>
      </c>
      <c r="AF5" s="126" cm="1">
        <f t="array" ref="AF5">_xlfn.IFS(AF2="w/ OT",12.25,AF2="w/o OT",9.5,AF2="FRI",7.5,AF2="SAT",7.5,AF2="SUN",7.5,AF2="OFF",0)</f>
        <v>9.5</v>
      </c>
      <c r="AG5" s="126" cm="1">
        <f t="array" ref="AG5">_xlfn.IFS(AG2="w/ OT",12.25,AG2="w/o OT",9.5,AG2="FRI",7.5,AG2="SAT",7.5,AG2="SUN",7.5,AG2="OFF",0)</f>
        <v>7.5</v>
      </c>
      <c r="AH5" s="126" cm="1">
        <f t="array" ref="AH5">_xlfn.IFS(AH2="w/ OT",12.25,AH2="w/o OT",9.5,AH2="FRI",7.5,AH2="SAT",7.5,AH2="SUN",7.5,AH2="OFF",0)</f>
        <v>7.5</v>
      </c>
      <c r="AI5" s="126" cm="1">
        <f t="array" ref="AI5">_xlfn.IFS(AI2="w/ OT",12.25,AI2="w/o OT",9.5,AI2="FRI",7.5,AI2="SAT",7.5,AI2="SUN",7.5,AI2="OFF",0)</f>
        <v>9.5</v>
      </c>
      <c r="AJ5" s="126" cm="1">
        <f t="array" ref="AJ5">_xlfn.IFS(AJ2="w/ OT",12.25,AJ2="w/o OT",9.5,AJ2="FRI",7.5,AJ2="SAT",7.5,AJ2="SUN",7.5,AJ2="OFF",0)</f>
        <v>9.5</v>
      </c>
      <c r="AK5" s="126" cm="1">
        <f t="array" ref="AK5">_xlfn.IFS(AK2="w/ OT",12.25,AK2="w/o OT",9.5,AK2="FRI",7.5,AK2="SAT",7.5,AK2="SUN",7.5,AK2="OFF",0)</f>
        <v>9.5</v>
      </c>
      <c r="AL5" s="126" cm="1">
        <f t="array" ref="AL5">_xlfn.IFS(AL2="w/ OT",12.25,AL2="w/o OT",9.5,AL2="FRI",7.5,AL2="SAT",7.5,AL2="SUN",7.5,AL2="OFF",0)</f>
        <v>9.5</v>
      </c>
      <c r="AM5" s="126" cm="1">
        <f t="array" ref="AM5">_xlfn.IFS(AM2="w/ OT",12.25,AM2="w/o OT",9.5,AM2="FRI",7.5,AM2="SAT",7.5,AM2="SUN",7.5,AM2="OFF",0)</f>
        <v>7.5</v>
      </c>
      <c r="AN5" s="126" cm="1">
        <f t="array" ref="AN5">_xlfn.IFS(AN2="w/ OT",12.25,AN2="w/o OT",9.5,AN2="FRI",7.5,AN2="SAT",7.5,AN2="SUN",7.5,AN2="OFF",0)</f>
        <v>7.5</v>
      </c>
      <c r="AO5" s="126" cm="1">
        <f t="array" ref="AO5">_xlfn.IFS(AO2="w/ OT",12.25,AO2="w/o OT",9.5,AO2="FRI",7.5,AO2="SAT",7.5,AO2="SUN",7.5,AO2="OFF",0)</f>
        <v>9.5</v>
      </c>
      <c r="AP5" s="126" cm="1">
        <f t="array" ref="AP5">_xlfn.IFS(AP2="w/ OT",12.25,AP2="w/o OT",9.5,AP2="FRI",7.5,AP2="SAT",7.5,AP2="SUN",7.5,AP2="OFF",0)</f>
        <v>9.5</v>
      </c>
      <c r="AQ5" s="126" cm="1">
        <f t="array" ref="AQ5">_xlfn.IFS(AQ2="w/ OT",12.25,AQ2="w/o OT",9.5,AQ2="FRI",7.5,AQ2="SAT",7.5,AQ2="SUN",7.5,AQ2="OFF",0)</f>
        <v>9.5</v>
      </c>
      <c r="AR5" s="126" cm="1">
        <f t="array" ref="AR5">_xlfn.IFS(AR2="w/ OT",12.25,AR2="w/o OT",9.5,AR2="FRI",7.5,AR2="SAT",7.5,AR2="SUN",7.5,AR2="OFF",0)</f>
        <v>9.5</v>
      </c>
      <c r="AS5" s="126" cm="1">
        <f t="array" ref="AS5">_xlfn.IFS(AS2="w/ OT",12.25,AS2="w/o OT",9.5,AS2="FRI",7.5,AS2="SAT",7.5,AS2="SUN",7.5,AS2="OFF",0)</f>
        <v>7.5</v>
      </c>
      <c r="AT5" s="126" cm="1">
        <f t="array" ref="AT5">_xlfn.IFS(AT2="w/ OT",12.25,AT2="w/o OT",9.5,AT2="FRI",7.5,AT2="SAT",7.5,AT2="SUN",7.5,AT2="OFF",0)</f>
        <v>7.5</v>
      </c>
      <c r="AU5" s="126" cm="1">
        <f t="array" ref="AU5">_xlfn.IFS(AU2="w/ OT",12.25,AU2="w/o OT",9.5,AU2="FRI",7.5,AU2="SAT",7.5,AU2="SUN",7.5,AU2="OFF",0)</f>
        <v>9.5</v>
      </c>
      <c r="AV5" s="126" cm="1">
        <f t="array" ref="AV5">_xlfn.IFS(AV2="w/ OT",12.25,AV2="w/o OT",9.5,AV2="FRI",7.5,AV2="SAT",7.5,AV2="SUN",7.5,AV2="OFF",0)</f>
        <v>9.5</v>
      </c>
      <c r="AW5" s="126" cm="1">
        <f t="array" ref="AW5">_xlfn.IFS(AW2="w/ OT",12.25,AW2="w/o OT",9.5,AW2="FRI",7.5,AW2="SAT",7.5,AW2="SUN",7.5,AW2="OFF",0)</f>
        <v>9.5</v>
      </c>
      <c r="AX5" s="126" cm="1">
        <f t="array" ref="AX5">_xlfn.IFS(AX2="w/ OT",12.25,AX2="w/o OT",9.5,AX2="FRI",7.5,AX2="SAT",7.5,AX2="SUN",7.5,AX2="OFF",0)</f>
        <v>9.5</v>
      </c>
      <c r="AY5" s="126" cm="1">
        <f t="array" ref="AY5">_xlfn.IFS(AY2="w/ OT",12.25,AY2="w/o OT",9.5,AY2="FRI",7.5,AY2="SAT",7.5,AY2="SUN",7.5,AY2="OFF",0)</f>
        <v>7.5</v>
      </c>
      <c r="AZ5" s="126" cm="1">
        <f t="array" ref="AZ5">_xlfn.IFS(AZ2="w/ OT",12.25,AZ2="w/o OT",9.5,AZ2="FRI",7.5,AZ2="SAT",7.5,AZ2="SUN",7.5,AZ2="OFF",0)</f>
        <v>7.5</v>
      </c>
      <c r="BA5" s="126" cm="1">
        <f t="array" ref="BA5">_xlfn.IFS(BA2="w/ OT",12.25,BA2="w/o OT",9.5,BA2="FRI",7.5,BA2="SAT",7.5,BA2="SUN",7.5,BA2="OFF",0)</f>
        <v>9.5</v>
      </c>
      <c r="BB5" s="126" cm="1">
        <f t="array" ref="BB5">_xlfn.IFS(BB2="w/ OT",12.25,BB2="w/o OT",9.5,BB2="FRI",7.5,BB2="SAT",7.5,BB2="SUN",7.5,BB2="OFF",0)</f>
        <v>9.5</v>
      </c>
      <c r="BC5" s="126" cm="1">
        <f t="array" ref="BC5">_xlfn.IFS(BC2="w/ OT",12.25,BC2="w/o OT",9.5,BC2="FRI",7.5,BC2="SAT",7.5,BC2="SUN",7.5,BC2="OFF",0)</f>
        <v>9.5</v>
      </c>
      <c r="BD5" s="126" cm="1">
        <f t="array" ref="BD5">_xlfn.IFS(BD2="w/ OT",12.25,BD2="w/o OT",9.5,BD2="FRI",7.5,BD2="SAT",7.5,BD2="SUN",7.5,BD2="OFF",0)</f>
        <v>9.5</v>
      </c>
      <c r="BE5" s="126" cm="1">
        <f t="array" ref="BE5">_xlfn.IFS(BE2="w/ OT",12.25,BE2="w/o OT",9.5,BE2="FRI",7.5,BE2="SAT",7.5,BE2="SUN",7.5,BE2="OFF",0)</f>
        <v>7.5</v>
      </c>
      <c r="BF5" s="126" cm="1">
        <f t="array" ref="BF5">_xlfn.IFS(BF2="w/ OT",12.25,BF2="w/o OT",9.5,BF2="FRI",7.5,BF2="SAT",7.5,BF2="SUN",7.5,BF2="OFF",0)</f>
        <v>7.5</v>
      </c>
      <c r="BG5" s="126" cm="1">
        <f t="array" ref="BG5">_xlfn.IFS(BG2="w/ OT",12.25,BG2="w/o OT",9.5,BG2="FRI",7.5,BG2="SAT",7.5,BG2="SUN",7.5,BG2="OFF",0)</f>
        <v>9.5</v>
      </c>
      <c r="BH5" s="126" cm="1">
        <f t="array" ref="BH5">_xlfn.IFS(BH2="w/ OT",12.25,BH2="w/o OT",9.5,BH2="FRI",7.5,BH2="SAT",7.5,BH2="SUN",7.5,BH2="OFF",0)</f>
        <v>9.5</v>
      </c>
      <c r="BI5" s="126" cm="1">
        <f t="array" ref="BI5">_xlfn.IFS(BI2="w/ OT",12.25,BI2="w/o OT",9.5,BI2="FRI",7.5,BI2="SAT",7.5,BI2="SUN",7.5,BI2="OFF",0)</f>
        <v>9.5</v>
      </c>
      <c r="BJ5" s="126" cm="1">
        <f t="array" ref="BJ5">_xlfn.IFS(BJ2="w/ OT",12.25,BJ2="w/o OT",9.5,BJ2="FRI",7.5,BJ2="SAT",7.5,BJ2="SUN",7.5,BJ2="OFF",0)</f>
        <v>9.5</v>
      </c>
      <c r="BK5" s="126" cm="1">
        <f t="array" ref="BK5">_xlfn.IFS(BK2="w/ OT",12.25,BK2="w/o OT",9.5,BK2="FRI",7.5,BK2="SAT",7.5,BK2="SUN",7.5,BK2="OFF",0)</f>
        <v>7.5</v>
      </c>
      <c r="BL5" s="126" cm="1">
        <f t="array" ref="BL5">_xlfn.IFS(BL2="w/ OT",12.25,BL2="w/o OT",9.5,BL2="FRI",7.5,BL2="SAT",7.5,BL2="SUN",7.5,BL2="OFF",0)</f>
        <v>7.5</v>
      </c>
      <c r="BM5" s="126" cm="1">
        <f t="array" ref="BM5">_xlfn.IFS(BM2="w/ OT",12.25,BM2="w/o OT",9.5,BM2="FRI",7.5,BM2="SAT",7.5,BM2="SUN",7.5,BM2="OFF",0)</f>
        <v>9.5</v>
      </c>
      <c r="BN5" s="126" cm="1">
        <f t="array" ref="BN5">_xlfn.IFS(BN2="w/ OT",12.25,BN2="w/o OT",9.5,BN2="FRI",7.5,BN2="SAT",7.5,BN2="SUN",7.5,BN2="OFF",0)</f>
        <v>9.5</v>
      </c>
      <c r="BO5" s="126" cm="1">
        <f t="array" ref="BO5">_xlfn.IFS(BO2="w/ OT",12.25,BO2="w/o OT",9.5,BO2="FRI",7.5,BO2="SAT",7.5,BO2="SUN",7.5,BO2="OFF",0)</f>
        <v>9.5</v>
      </c>
      <c r="BP5" s="126" cm="1">
        <f t="array" ref="BP5">_xlfn.IFS(BP2="w/ OT",12.25,BP2="w/o OT",9.5,BP2="FRI",7.5,BP2="SAT",7.5,BP2="SUN",7.5,BP2="OFF",0)</f>
        <v>9.5</v>
      </c>
      <c r="BQ5" s="126" cm="1">
        <f t="array" ref="BQ5">_xlfn.IFS(BQ2="w/ OT",12.25,BQ2="w/o OT",9.5,BQ2="FRI",7.5,BQ2="SAT",7.5,BQ2="SUN",7.5,BQ2="OFF",0)</f>
        <v>7.5</v>
      </c>
      <c r="BR5" s="126" cm="1">
        <f t="array" ref="BR5">_xlfn.IFS(BR2="w/ OT",12.25,BR2="w/o OT",9.5,BR2="FRI",7.5,BR2="SAT",7.5,BR2="SUN",7.5,BR2="OFF",0)</f>
        <v>7.5</v>
      </c>
      <c r="BS5" s="126" cm="1">
        <f t="array" ref="BS5">_xlfn.IFS(BS2="w/ OT",12.25,BS2="w/o OT",9.5,BS2="FRI",7.5,BS2="SAT",7.5,BS2="SUN",7.5,BS2="OFF",0)</f>
        <v>9.5</v>
      </c>
      <c r="BT5" s="126" cm="1">
        <f t="array" ref="BT5">_xlfn.IFS(BT2="w/ OT",12.25,BT2="w/o OT",9.5,BT2="FRI",7.5,BT2="SAT",7.5,BT2="SUN",7.5,BT2="OFF",0)</f>
        <v>9.5</v>
      </c>
      <c r="BU5" s="126" cm="1">
        <f t="array" ref="BU5">_xlfn.IFS(BU2="w/ OT",12.25,BU2="w/o OT",9.5,BU2="FRI",7.5,BU2="SAT",7.5,BU2="SUN",7.5,BU2="OFF",0)</f>
        <v>9.5</v>
      </c>
      <c r="BV5" s="126" cm="1">
        <f t="array" ref="BV5">_xlfn.IFS(BV2="w/ OT",12.25,BV2="w/o OT",9.5,BV2="FRI",7.5,BV2="SAT",7.5,BV2="SUN",7.5,BV2="OFF",0)</f>
        <v>9.5</v>
      </c>
      <c r="BW5" s="126" cm="1">
        <f t="array" ref="BW5">_xlfn.IFS(BW2="w/ OT",12.25,BW2="w/o OT",9.5,BW2="FRI",7.5,BW2="SAT",7.5,BW2="SUN",7.5,BW2="OFF",0)</f>
        <v>7.5</v>
      </c>
      <c r="BX5" s="126" cm="1">
        <f t="array" ref="BX5">_xlfn.IFS(BX2="w/ OT",12.25,BX2="w/o OT",9.5,BX2="FRI",7.5,BX2="SAT",7.5,BX2="SUN",7.5,BX2="OFF",0)</f>
        <v>7.5</v>
      </c>
      <c r="BY5" s="126" cm="1">
        <f t="array" ref="BY5">_xlfn.IFS(BY2="w/ OT",12.25,BY2="w/o OT",9.5,BY2="FRI",7.5,BY2="SAT",7.5,BY2="SUN",7.5,BY2="OFF",0)</f>
        <v>9.5</v>
      </c>
      <c r="BZ5" s="126" cm="1">
        <f t="array" ref="BZ5">_xlfn.IFS(BZ2="w/ OT",12.25,BZ2="w/o OT",9.5,BZ2="FRI",7.5,BZ2="SAT",7.5,BZ2="SUN",7.5,BZ2="OFF",0)</f>
        <v>9.5</v>
      </c>
      <c r="CA5" s="126" cm="1">
        <f t="array" ref="CA5">_xlfn.IFS(CA2="w/ OT",12.25,CA2="w/o OT",9.5,CA2="FRI",7.5,CA2="SAT",7.5,CA2="SUN",7.5,CA2="OFF",0)</f>
        <v>9.5</v>
      </c>
      <c r="CB5" s="126" cm="1">
        <f t="array" ref="CB5">_xlfn.IFS(CB2="w/ OT",12.25,CB2="w/o OT",9.5,CB2="FRI",7.5,CB2="SAT",7.5,CB2="SUN",7.5,CB2="OFF",0)</f>
        <v>9.5</v>
      </c>
      <c r="CC5" s="126" cm="1">
        <f t="array" ref="CC5">_xlfn.IFS(CC2="w/ OT",12.25,CC2="w/o OT",9.5,CC2="FRI",7.5,CC2="SAT",7.5,CC2="SUN",7.5,CC2="OFF",0)</f>
        <v>7.5</v>
      </c>
      <c r="CD5" s="126" cm="1">
        <f t="array" ref="CD5">_xlfn.IFS(CD2="w/ OT",12.25,CD2="w/o OT",9.5,CD2="FRI",7.5,CD2="SAT",7.5,CD2="SUN",7.5,CD2="OFF",0)</f>
        <v>7.5</v>
      </c>
    </row>
    <row r="6" spans="1:82" ht="15" customHeight="1" x14ac:dyDescent="0.2">
      <c r="A6" s="386"/>
      <c r="B6" s="386"/>
      <c r="C6" s="387"/>
      <c r="D6" s="388"/>
      <c r="E6" s="389"/>
      <c r="F6" s="392"/>
      <c r="G6" s="388"/>
      <c r="H6" s="390"/>
      <c r="I6" s="393"/>
      <c r="J6" s="393"/>
      <c r="K6" s="390"/>
      <c r="L6" s="390"/>
      <c r="M6" s="389"/>
      <c r="N6" s="389"/>
      <c r="O6" s="391"/>
      <c r="P6" s="123" t="s">
        <v>107</v>
      </c>
      <c r="Q6" s="124"/>
      <c r="R6" s="124"/>
      <c r="S6" s="124"/>
      <c r="T6" s="124"/>
      <c r="U6" s="124"/>
      <c r="V6" s="124"/>
      <c r="W6" s="124"/>
      <c r="X6" s="124"/>
      <c r="Y6" s="124"/>
      <c r="Z6" s="124"/>
      <c r="AA6" s="124"/>
      <c r="AB6" s="124"/>
      <c r="AC6" s="124"/>
      <c r="AD6" s="124"/>
      <c r="AE6" s="124"/>
      <c r="AF6" s="124"/>
      <c r="AG6" s="124"/>
      <c r="AH6" s="124"/>
      <c r="AI6" s="124"/>
      <c r="AJ6" s="124"/>
      <c r="AK6" s="124"/>
      <c r="AL6" s="124"/>
      <c r="AM6" s="124"/>
      <c r="AN6" s="124"/>
      <c r="AO6" s="124"/>
      <c r="AP6" s="124"/>
      <c r="AQ6" s="124"/>
      <c r="AR6" s="124"/>
      <c r="AS6" s="124"/>
      <c r="AT6" s="124"/>
      <c r="AU6" s="124"/>
      <c r="AV6" s="124"/>
      <c r="AW6" s="124"/>
      <c r="AX6" s="124"/>
      <c r="AY6" s="124"/>
      <c r="AZ6" s="124"/>
      <c r="BA6" s="124"/>
      <c r="BB6" s="124"/>
      <c r="BC6" s="124"/>
      <c r="BD6" s="124"/>
      <c r="BE6" s="124"/>
      <c r="BF6" s="124"/>
      <c r="BG6" s="124"/>
      <c r="BH6" s="124"/>
      <c r="BI6" s="124"/>
      <c r="BJ6" s="124"/>
      <c r="BK6" s="124"/>
      <c r="BL6" s="124"/>
      <c r="BM6" s="124"/>
      <c r="BN6" s="124"/>
      <c r="BO6" s="124"/>
      <c r="BP6" s="124"/>
      <c r="BQ6" s="124"/>
      <c r="BR6" s="124"/>
      <c r="BS6" s="124"/>
      <c r="BT6" s="124"/>
      <c r="BU6" s="124"/>
      <c r="BV6" s="124"/>
      <c r="BW6" s="124"/>
      <c r="BX6" s="124"/>
      <c r="BY6" s="124"/>
      <c r="BZ6" s="124"/>
      <c r="CA6" s="124"/>
      <c r="CB6" s="124"/>
      <c r="CC6" s="124"/>
      <c r="CD6" s="124"/>
    </row>
    <row r="7" spans="1:82" ht="9" customHeight="1" x14ac:dyDescent="0.2">
      <c r="A7" s="113"/>
      <c r="B7" s="114"/>
      <c r="C7" s="115"/>
      <c r="D7" s="116"/>
      <c r="E7" s="175"/>
      <c r="F7" s="117"/>
      <c r="G7" s="116"/>
      <c r="H7" s="118"/>
      <c r="I7" s="119"/>
      <c r="J7" s="119"/>
      <c r="K7" s="186"/>
      <c r="L7" s="186"/>
      <c r="M7" s="179"/>
      <c r="N7" s="179"/>
      <c r="O7" s="120"/>
      <c r="P7" s="120"/>
      <c r="Q7" s="121"/>
      <c r="R7" s="121"/>
      <c r="S7" s="121"/>
      <c r="T7" s="121"/>
      <c r="U7" s="121"/>
      <c r="V7" s="121"/>
      <c r="W7" s="121"/>
      <c r="X7" s="121"/>
      <c r="Y7" s="121"/>
      <c r="Z7" s="121"/>
      <c r="AA7" s="121"/>
      <c r="AB7" s="121"/>
      <c r="AC7" s="121"/>
      <c r="AD7" s="121"/>
      <c r="AE7" s="121"/>
      <c r="AF7" s="121"/>
      <c r="AG7" s="121"/>
      <c r="AH7" s="121"/>
      <c r="AI7" s="121"/>
      <c r="AJ7" s="121"/>
      <c r="AK7" s="121"/>
      <c r="AL7" s="121"/>
      <c r="AM7" s="121"/>
      <c r="AN7" s="121"/>
      <c r="AO7" s="121"/>
      <c r="AP7" s="121"/>
      <c r="AQ7" s="121"/>
      <c r="AR7" s="121"/>
      <c r="AS7" s="121"/>
      <c r="AT7" s="121"/>
      <c r="AU7" s="121"/>
    </row>
    <row r="8" spans="1:82" ht="12.6" customHeight="1" x14ac:dyDescent="0.2">
      <c r="A8" s="106">
        <f>SHIPMENTS!A14</f>
        <v>9296</v>
      </c>
      <c r="B8" s="106" t="str">
        <f>SHIPMENTS!B14</f>
        <v>15900- Makati |Techiron Resources Inc.</v>
      </c>
      <c r="C8" s="132">
        <f>SHIPMENTS!F14</f>
        <v>0.05</v>
      </c>
      <c r="D8" s="107" t="str">
        <f>IF((SHIPMENTS!I14)=0,"",SHIPMENTS!I14)</f>
        <v/>
      </c>
      <c r="E8" s="176">
        <f>IF((SHIPMENTS!G14)=0,"",SHIPMENTS!G14)</f>
        <v>46314</v>
      </c>
      <c r="F8" s="98">
        <f>VLOOKUP(A8,load!$A$4:$U$5001,18,0)</f>
        <v>0</v>
      </c>
      <c r="G8" s="109">
        <f>Manhours!$C$15</f>
        <v>5</v>
      </c>
      <c r="H8" s="98">
        <f t="shared" ref="H8" si="24">+G8*$H$4</f>
        <v>45.5</v>
      </c>
      <c r="I8" s="99">
        <f t="shared" ref="I8" si="25">F8/H8</f>
        <v>0</v>
      </c>
      <c r="J8" s="99">
        <f t="shared" ref="J8" si="26">+I8*$H$4</f>
        <v>0</v>
      </c>
      <c r="K8" s="98">
        <f t="shared" ref="K8:K32" si="27">IFERROR(I8-(I8*O8),0)</f>
        <v>0</v>
      </c>
      <c r="L8" s="98">
        <f t="shared" ref="L8" si="28">IFERROR(J8-(J8*O8),0)</f>
        <v>0</v>
      </c>
      <c r="M8" s="181">
        <f>M4</f>
        <v>46314</v>
      </c>
      <c r="N8" s="181">
        <f>M8+K8</f>
        <v>46314</v>
      </c>
      <c r="O8" s="112">
        <f>VLOOKUP(A8,SHIPMENTS!$A$7:$AP$76,11,0)</f>
        <v>0</v>
      </c>
      <c r="P8" s="112"/>
      <c r="Q8" s="127" t="str">
        <f t="shared" ref="Q8:AF23" si="29">IF($E8=Q$3,"▲","")</f>
        <v>▲</v>
      </c>
      <c r="R8" s="127" t="str">
        <f t="shared" si="29"/>
        <v/>
      </c>
      <c r="S8" s="127" t="str">
        <f t="shared" si="29"/>
        <v/>
      </c>
      <c r="T8" s="127" t="str">
        <f t="shared" si="29"/>
        <v/>
      </c>
      <c r="U8" s="127" t="str">
        <f t="shared" si="29"/>
        <v/>
      </c>
      <c r="V8" s="127" t="str">
        <f t="shared" si="29"/>
        <v/>
      </c>
      <c r="W8" s="127" t="str">
        <f t="shared" si="29"/>
        <v/>
      </c>
      <c r="X8" s="127" t="str">
        <f t="shared" si="29"/>
        <v/>
      </c>
      <c r="Y8" s="127" t="str">
        <f t="shared" si="29"/>
        <v/>
      </c>
      <c r="Z8" s="127" t="str">
        <f t="shared" si="29"/>
        <v/>
      </c>
      <c r="AA8" s="127" t="str">
        <f t="shared" si="29"/>
        <v/>
      </c>
      <c r="AB8" s="127" t="str">
        <f t="shared" si="29"/>
        <v/>
      </c>
      <c r="AC8" s="127" t="str">
        <f t="shared" si="29"/>
        <v/>
      </c>
      <c r="AD8" s="127" t="str">
        <f t="shared" si="29"/>
        <v/>
      </c>
      <c r="AE8" s="127" t="str">
        <f t="shared" si="29"/>
        <v/>
      </c>
      <c r="AF8" s="127" t="str">
        <f t="shared" si="29"/>
        <v/>
      </c>
      <c r="AG8" s="127" t="str">
        <f t="shared" ref="AG8:BF17" si="30">IF($E8=AG$3,"▲","")</f>
        <v/>
      </c>
      <c r="AH8" s="127" t="str">
        <f t="shared" si="30"/>
        <v/>
      </c>
      <c r="AI8" s="127" t="str">
        <f t="shared" si="30"/>
        <v/>
      </c>
      <c r="AJ8" s="127" t="str">
        <f t="shared" si="30"/>
        <v/>
      </c>
      <c r="AK8" s="127" t="str">
        <f t="shared" si="30"/>
        <v/>
      </c>
      <c r="AL8" s="127" t="str">
        <f t="shared" si="30"/>
        <v/>
      </c>
      <c r="AM8" s="127" t="str">
        <f t="shared" si="30"/>
        <v/>
      </c>
      <c r="AN8" s="127" t="str">
        <f t="shared" si="30"/>
        <v/>
      </c>
      <c r="AO8" s="127" t="str">
        <f t="shared" si="30"/>
        <v/>
      </c>
      <c r="AP8" s="127" t="str">
        <f t="shared" si="30"/>
        <v/>
      </c>
      <c r="AQ8" s="127" t="str">
        <f t="shared" si="30"/>
        <v/>
      </c>
      <c r="AR8" s="127" t="str">
        <f t="shared" si="30"/>
        <v/>
      </c>
      <c r="AS8" s="127" t="str">
        <f t="shared" si="30"/>
        <v/>
      </c>
      <c r="AT8" s="127" t="str">
        <f t="shared" si="30"/>
        <v/>
      </c>
      <c r="AU8" s="127" t="str">
        <f t="shared" si="30"/>
        <v/>
      </c>
      <c r="AV8" s="127" t="str">
        <f t="shared" si="30"/>
        <v/>
      </c>
      <c r="AW8" s="127" t="str">
        <f t="shared" si="30"/>
        <v/>
      </c>
      <c r="AX8" s="127" t="str">
        <f t="shared" si="30"/>
        <v/>
      </c>
      <c r="AY8" s="127" t="str">
        <f t="shared" si="30"/>
        <v/>
      </c>
      <c r="AZ8" s="127" t="str">
        <f t="shared" si="30"/>
        <v/>
      </c>
      <c r="BA8" s="127" t="str">
        <f t="shared" si="30"/>
        <v/>
      </c>
      <c r="BB8" s="127" t="str">
        <f t="shared" si="30"/>
        <v/>
      </c>
      <c r="BC8" s="127" t="str">
        <f t="shared" si="30"/>
        <v/>
      </c>
      <c r="BD8" s="127" t="str">
        <f t="shared" si="30"/>
        <v/>
      </c>
      <c r="BE8" s="127" t="str">
        <f t="shared" si="30"/>
        <v/>
      </c>
      <c r="BF8" s="127" t="str">
        <f t="shared" si="30"/>
        <v/>
      </c>
      <c r="BG8" s="127" t="str">
        <f t="shared" ref="BG8:BV17" si="31">IF($E8=BG$3,"▲","")</f>
        <v/>
      </c>
      <c r="BH8" s="127" t="str">
        <f t="shared" si="31"/>
        <v/>
      </c>
      <c r="BI8" s="127" t="str">
        <f t="shared" si="31"/>
        <v/>
      </c>
      <c r="BJ8" s="127" t="str">
        <f t="shared" si="31"/>
        <v/>
      </c>
      <c r="BK8" s="127" t="str">
        <f t="shared" si="31"/>
        <v/>
      </c>
      <c r="BL8" s="127" t="str">
        <f t="shared" si="31"/>
        <v/>
      </c>
      <c r="BM8" s="127" t="str">
        <f t="shared" si="31"/>
        <v/>
      </c>
      <c r="BN8" s="127" t="str">
        <f t="shared" si="31"/>
        <v/>
      </c>
      <c r="BO8" s="127" t="str">
        <f t="shared" si="31"/>
        <v/>
      </c>
      <c r="BP8" s="127" t="str">
        <f t="shared" si="31"/>
        <v/>
      </c>
      <c r="BQ8" s="127" t="str">
        <f t="shared" si="31"/>
        <v/>
      </c>
      <c r="BR8" s="127" t="str">
        <f t="shared" si="31"/>
        <v/>
      </c>
      <c r="BS8" s="127" t="str">
        <f t="shared" si="31"/>
        <v/>
      </c>
      <c r="BT8" s="127" t="str">
        <f t="shared" si="31"/>
        <v/>
      </c>
      <c r="BU8" s="127" t="str">
        <f t="shared" si="31"/>
        <v/>
      </c>
      <c r="BV8" s="127" t="str">
        <f t="shared" si="31"/>
        <v/>
      </c>
      <c r="BW8" s="127" t="str">
        <f t="shared" ref="BS8:CD23" si="32">IF($E8=BW$3,"▲","")</f>
        <v/>
      </c>
      <c r="BX8" s="127" t="str">
        <f t="shared" si="32"/>
        <v/>
      </c>
      <c r="BY8" s="127" t="str">
        <f t="shared" si="32"/>
        <v/>
      </c>
      <c r="BZ8" s="127" t="str">
        <f t="shared" si="32"/>
        <v/>
      </c>
      <c r="CA8" s="127" t="str">
        <f t="shared" si="32"/>
        <v/>
      </c>
      <c r="CB8" s="127" t="str">
        <f t="shared" si="32"/>
        <v/>
      </c>
      <c r="CC8" s="127" t="str">
        <f t="shared" si="32"/>
        <v/>
      </c>
      <c r="CD8" s="127" t="str">
        <f t="shared" si="32"/>
        <v/>
      </c>
    </row>
    <row r="9" spans="1:82" ht="12.6" customHeight="1" x14ac:dyDescent="0.2">
      <c r="A9" s="106">
        <f>SHIPMENTS!A15</f>
        <v>9309</v>
      </c>
      <c r="B9" s="106" t="str">
        <f>SHIPMENTS!B15</f>
        <v>43940-THAILAND</v>
      </c>
      <c r="C9" s="132">
        <f>SHIPMENTS!F15</f>
        <v>6.4030000000000004E-2</v>
      </c>
      <c r="D9" s="107" t="str">
        <f>IF((SHIPMENTS!I15)=0,"",SHIPMENTS!I15)</f>
        <v>AIR</v>
      </c>
      <c r="E9" s="176">
        <f>IF((SHIPMENTS!G15)=0,"",SHIPMENTS!G15)</f>
        <v>46314</v>
      </c>
      <c r="F9" s="98">
        <f>VLOOKUP(A9,load!$A$4:$U$5001,18,0)</f>
        <v>0</v>
      </c>
      <c r="G9" s="109">
        <f>Manhours!$C$15</f>
        <v>5</v>
      </c>
      <c r="H9" s="98">
        <f t="shared" ref="H9:H32" si="33">+G9*$H$4</f>
        <v>45.5</v>
      </c>
      <c r="I9" s="99">
        <f t="shared" ref="I9:I32" si="34">F9/H9</f>
        <v>0</v>
      </c>
      <c r="J9" s="99">
        <f t="shared" ref="J9:J32" si="35">+I9*$H$4</f>
        <v>0</v>
      </c>
      <c r="K9" s="98">
        <f t="shared" si="27"/>
        <v>0</v>
      </c>
      <c r="L9" s="98">
        <f t="shared" ref="L9:L32" si="36">IFERROR(J9-(J9*O9),0)</f>
        <v>0</v>
      </c>
      <c r="M9" s="181">
        <f>N8</f>
        <v>46314</v>
      </c>
      <c r="N9" s="181">
        <f t="shared" ref="N9:N32" si="37">M9+K9</f>
        <v>46314</v>
      </c>
      <c r="O9" s="112">
        <f>VLOOKUP(A9,SHIPMENTS!$A$7:$AP$76,11,0)</f>
        <v>0</v>
      </c>
      <c r="P9" s="101"/>
      <c r="Q9" s="127" t="str">
        <f t="shared" si="29"/>
        <v>▲</v>
      </c>
      <c r="R9" s="127" t="str">
        <f t="shared" si="29"/>
        <v/>
      </c>
      <c r="S9" s="127" t="str">
        <f t="shared" si="29"/>
        <v/>
      </c>
      <c r="T9" s="127" t="str">
        <f t="shared" si="29"/>
        <v/>
      </c>
      <c r="U9" s="127" t="str">
        <f t="shared" si="29"/>
        <v/>
      </c>
      <c r="V9" s="127" t="str">
        <f t="shared" si="29"/>
        <v/>
      </c>
      <c r="W9" s="127" t="str">
        <f t="shared" si="29"/>
        <v/>
      </c>
      <c r="X9" s="127" t="str">
        <f t="shared" si="29"/>
        <v/>
      </c>
      <c r="Y9" s="127" t="str">
        <f t="shared" si="29"/>
        <v/>
      </c>
      <c r="Z9" s="127" t="str">
        <f t="shared" si="29"/>
        <v/>
      </c>
      <c r="AA9" s="127" t="str">
        <f t="shared" si="29"/>
        <v/>
      </c>
      <c r="AB9" s="127" t="str">
        <f t="shared" si="29"/>
        <v/>
      </c>
      <c r="AC9" s="127" t="str">
        <f t="shared" si="29"/>
        <v/>
      </c>
      <c r="AD9" s="127" t="str">
        <f t="shared" si="29"/>
        <v/>
      </c>
      <c r="AE9" s="127" t="str">
        <f t="shared" si="29"/>
        <v/>
      </c>
      <c r="AF9" s="127" t="str">
        <f t="shared" si="29"/>
        <v/>
      </c>
      <c r="AG9" s="127" t="str">
        <f t="shared" si="30"/>
        <v/>
      </c>
      <c r="AH9" s="127" t="str">
        <f t="shared" si="30"/>
        <v/>
      </c>
      <c r="AI9" s="127" t="str">
        <f t="shared" si="30"/>
        <v/>
      </c>
      <c r="AJ9" s="127" t="str">
        <f t="shared" si="30"/>
        <v/>
      </c>
      <c r="AK9" s="127" t="str">
        <f t="shared" si="30"/>
        <v/>
      </c>
      <c r="AL9" s="127" t="str">
        <f t="shared" si="30"/>
        <v/>
      </c>
      <c r="AM9" s="127" t="str">
        <f t="shared" si="30"/>
        <v/>
      </c>
      <c r="AN9" s="127" t="str">
        <f t="shared" si="30"/>
        <v/>
      </c>
      <c r="AO9" s="127" t="str">
        <f t="shared" si="30"/>
        <v/>
      </c>
      <c r="AP9" s="127" t="str">
        <f t="shared" si="30"/>
        <v/>
      </c>
      <c r="AQ9" s="127" t="str">
        <f t="shared" si="30"/>
        <v/>
      </c>
      <c r="AR9" s="127" t="str">
        <f t="shared" si="30"/>
        <v/>
      </c>
      <c r="AS9" s="127" t="str">
        <f t="shared" si="30"/>
        <v/>
      </c>
      <c r="AT9" s="127" t="str">
        <f t="shared" si="30"/>
        <v/>
      </c>
      <c r="AU9" s="127" t="str">
        <f t="shared" si="30"/>
        <v/>
      </c>
      <c r="AV9" s="127" t="str">
        <f t="shared" si="30"/>
        <v/>
      </c>
      <c r="AW9" s="127" t="str">
        <f t="shared" si="30"/>
        <v/>
      </c>
      <c r="AX9" s="127" t="str">
        <f t="shared" si="30"/>
        <v/>
      </c>
      <c r="AY9" s="127" t="str">
        <f t="shared" si="30"/>
        <v/>
      </c>
      <c r="AZ9" s="127" t="str">
        <f t="shared" si="30"/>
        <v/>
      </c>
      <c r="BA9" s="127" t="str">
        <f t="shared" si="30"/>
        <v/>
      </c>
      <c r="BB9" s="127" t="str">
        <f t="shared" si="30"/>
        <v/>
      </c>
      <c r="BC9" s="127" t="str">
        <f t="shared" si="30"/>
        <v/>
      </c>
      <c r="BD9" s="127" t="str">
        <f t="shared" si="30"/>
        <v/>
      </c>
      <c r="BE9" s="127" t="str">
        <f t="shared" si="30"/>
        <v/>
      </c>
      <c r="BF9" s="127" t="str">
        <f t="shared" si="30"/>
        <v/>
      </c>
      <c r="BG9" s="127" t="str">
        <f t="shared" si="31"/>
        <v/>
      </c>
      <c r="BH9" s="127" t="str">
        <f t="shared" si="31"/>
        <v/>
      </c>
      <c r="BI9" s="127" t="str">
        <f t="shared" si="31"/>
        <v/>
      </c>
      <c r="BJ9" s="127" t="str">
        <f t="shared" si="31"/>
        <v/>
      </c>
      <c r="BK9" s="127" t="str">
        <f t="shared" si="31"/>
        <v/>
      </c>
      <c r="BL9" s="127" t="str">
        <f t="shared" si="31"/>
        <v/>
      </c>
      <c r="BM9" s="127" t="str">
        <f t="shared" si="31"/>
        <v/>
      </c>
      <c r="BN9" s="127" t="str">
        <f t="shared" si="31"/>
        <v/>
      </c>
      <c r="BO9" s="127" t="str">
        <f t="shared" si="31"/>
        <v/>
      </c>
      <c r="BP9" s="127" t="str">
        <f t="shared" si="31"/>
        <v/>
      </c>
      <c r="BQ9" s="127" t="str">
        <f t="shared" si="31"/>
        <v/>
      </c>
      <c r="BR9" s="127" t="str">
        <f t="shared" si="31"/>
        <v/>
      </c>
      <c r="BS9" s="127" t="str">
        <f t="shared" si="32"/>
        <v/>
      </c>
      <c r="BT9" s="127" t="str">
        <f t="shared" si="32"/>
        <v/>
      </c>
      <c r="BU9" s="127" t="str">
        <f t="shared" si="32"/>
        <v/>
      </c>
      <c r="BV9" s="127" t="str">
        <f t="shared" si="32"/>
        <v/>
      </c>
      <c r="BW9" s="127" t="str">
        <f t="shared" si="32"/>
        <v/>
      </c>
      <c r="BX9" s="127" t="str">
        <f t="shared" si="32"/>
        <v/>
      </c>
      <c r="BY9" s="127" t="str">
        <f t="shared" si="32"/>
        <v/>
      </c>
      <c r="BZ9" s="127" t="str">
        <f t="shared" si="32"/>
        <v/>
      </c>
      <c r="CA9" s="127" t="str">
        <f t="shared" si="32"/>
        <v/>
      </c>
      <c r="CB9" s="127" t="str">
        <f t="shared" si="32"/>
        <v/>
      </c>
      <c r="CC9" s="127" t="str">
        <f t="shared" si="32"/>
        <v/>
      </c>
      <c r="CD9" s="127" t="str">
        <f t="shared" si="32"/>
        <v/>
      </c>
    </row>
    <row r="10" spans="1:82" ht="12.6" hidden="1" customHeight="1" x14ac:dyDescent="0.2">
      <c r="A10" s="106">
        <f>SHIPMENTS!A16</f>
        <v>9117</v>
      </c>
      <c r="B10" s="106" t="str">
        <f>SHIPMENTS!B16</f>
        <v>41700-CANADA BSAUNAS</v>
      </c>
      <c r="C10" s="132">
        <f>SHIPMENTS!F16</f>
        <v>83.268000000000001</v>
      </c>
      <c r="D10" s="107" t="str">
        <f>IF((SHIPMENTS!I16)=0,"",SHIPMENTS!I16)</f>
        <v>1X40HC</v>
      </c>
      <c r="E10" s="176">
        <f>IF((SHIPMENTS!G16)=0,"",SHIPMENTS!G16)</f>
        <v>46315</v>
      </c>
      <c r="F10" s="98">
        <f>VLOOKUP(A10,load!$A$4:$U$5001,18,0)</f>
        <v>7.6133333333333333</v>
      </c>
      <c r="G10" s="109">
        <f>Manhours!$C$15</f>
        <v>5</v>
      </c>
      <c r="H10" s="98">
        <f t="shared" si="33"/>
        <v>45.5</v>
      </c>
      <c r="I10" s="99">
        <f t="shared" si="34"/>
        <v>0.16732600732600733</v>
      </c>
      <c r="J10" s="99">
        <f t="shared" si="35"/>
        <v>1.5226666666666666</v>
      </c>
      <c r="K10" s="98">
        <f t="shared" si="27"/>
        <v>0</v>
      </c>
      <c r="L10" s="98">
        <f t="shared" si="36"/>
        <v>0</v>
      </c>
      <c r="M10" s="181">
        <f t="shared" ref="M10:M32" si="38">N9</f>
        <v>46314</v>
      </c>
      <c r="N10" s="181">
        <f t="shared" si="37"/>
        <v>46314</v>
      </c>
      <c r="O10" s="112" t="str">
        <f>VLOOKUP(A10,SHIPMENTS!$A$7:$AP$76,11,0)</f>
        <v>n/a</v>
      </c>
      <c r="P10" s="101"/>
      <c r="Q10" s="127" t="str">
        <f t="shared" si="29"/>
        <v/>
      </c>
      <c r="R10" s="127" t="str">
        <f t="shared" si="29"/>
        <v>▲</v>
      </c>
      <c r="S10" s="127" t="str">
        <f t="shared" si="29"/>
        <v/>
      </c>
      <c r="T10" s="127" t="str">
        <f t="shared" si="29"/>
        <v/>
      </c>
      <c r="U10" s="127" t="str">
        <f t="shared" si="29"/>
        <v/>
      </c>
      <c r="V10" s="127" t="str">
        <f t="shared" si="29"/>
        <v/>
      </c>
      <c r="W10" s="127" t="str">
        <f t="shared" si="29"/>
        <v/>
      </c>
      <c r="X10" s="127" t="str">
        <f t="shared" si="29"/>
        <v/>
      </c>
      <c r="Y10" s="127" t="str">
        <f t="shared" si="29"/>
        <v/>
      </c>
      <c r="Z10" s="127" t="str">
        <f t="shared" si="29"/>
        <v/>
      </c>
      <c r="AA10" s="127" t="str">
        <f t="shared" si="29"/>
        <v/>
      </c>
      <c r="AB10" s="127" t="str">
        <f t="shared" si="29"/>
        <v/>
      </c>
      <c r="AC10" s="127" t="str">
        <f t="shared" si="29"/>
        <v/>
      </c>
      <c r="AD10" s="127" t="str">
        <f t="shared" si="29"/>
        <v/>
      </c>
      <c r="AE10" s="127" t="str">
        <f t="shared" si="29"/>
        <v/>
      </c>
      <c r="AF10" s="127" t="str">
        <f t="shared" si="29"/>
        <v/>
      </c>
      <c r="AG10" s="127" t="str">
        <f t="shared" si="30"/>
        <v/>
      </c>
      <c r="AH10" s="127" t="str">
        <f t="shared" si="30"/>
        <v/>
      </c>
      <c r="AI10" s="127" t="str">
        <f t="shared" si="30"/>
        <v/>
      </c>
      <c r="AJ10" s="127" t="str">
        <f t="shared" si="30"/>
        <v/>
      </c>
      <c r="AK10" s="127" t="str">
        <f t="shared" si="30"/>
        <v/>
      </c>
      <c r="AL10" s="127" t="str">
        <f t="shared" si="30"/>
        <v/>
      </c>
      <c r="AM10" s="127" t="str">
        <f t="shared" si="30"/>
        <v/>
      </c>
      <c r="AN10" s="127" t="str">
        <f t="shared" si="30"/>
        <v/>
      </c>
      <c r="AO10" s="127" t="str">
        <f t="shared" si="30"/>
        <v/>
      </c>
      <c r="AP10" s="127" t="str">
        <f t="shared" si="30"/>
        <v/>
      </c>
      <c r="AQ10" s="127" t="str">
        <f t="shared" si="30"/>
        <v/>
      </c>
      <c r="AR10" s="127" t="str">
        <f t="shared" si="30"/>
        <v/>
      </c>
      <c r="AS10" s="127" t="str">
        <f t="shared" si="30"/>
        <v/>
      </c>
      <c r="AT10" s="127" t="str">
        <f t="shared" si="30"/>
        <v/>
      </c>
      <c r="AU10" s="127" t="str">
        <f t="shared" si="30"/>
        <v/>
      </c>
      <c r="AV10" s="127" t="str">
        <f t="shared" si="30"/>
        <v/>
      </c>
      <c r="AW10" s="127" t="str">
        <f t="shared" si="30"/>
        <v/>
      </c>
      <c r="AX10" s="127" t="str">
        <f t="shared" si="30"/>
        <v/>
      </c>
      <c r="AY10" s="127" t="str">
        <f t="shared" si="30"/>
        <v/>
      </c>
      <c r="AZ10" s="127" t="str">
        <f t="shared" si="30"/>
        <v/>
      </c>
      <c r="BA10" s="127" t="str">
        <f t="shared" si="30"/>
        <v/>
      </c>
      <c r="BB10" s="127" t="str">
        <f t="shared" si="30"/>
        <v/>
      </c>
      <c r="BC10" s="127" t="str">
        <f t="shared" si="30"/>
        <v/>
      </c>
      <c r="BD10" s="127" t="str">
        <f t="shared" si="30"/>
        <v/>
      </c>
      <c r="BE10" s="127" t="str">
        <f t="shared" si="30"/>
        <v/>
      </c>
      <c r="BF10" s="127" t="str">
        <f t="shared" si="30"/>
        <v/>
      </c>
      <c r="BG10" s="127" t="str">
        <f t="shared" si="31"/>
        <v/>
      </c>
      <c r="BH10" s="127" t="str">
        <f t="shared" si="31"/>
        <v/>
      </c>
      <c r="BI10" s="127" t="str">
        <f t="shared" si="31"/>
        <v/>
      </c>
      <c r="BJ10" s="127" t="str">
        <f t="shared" si="31"/>
        <v/>
      </c>
      <c r="BK10" s="127" t="str">
        <f t="shared" si="31"/>
        <v/>
      </c>
      <c r="BL10" s="127" t="str">
        <f t="shared" si="31"/>
        <v/>
      </c>
      <c r="BM10" s="127" t="str">
        <f t="shared" si="31"/>
        <v/>
      </c>
      <c r="BN10" s="127" t="str">
        <f t="shared" si="31"/>
        <v/>
      </c>
      <c r="BO10" s="127" t="str">
        <f t="shared" si="31"/>
        <v/>
      </c>
      <c r="BP10" s="127" t="str">
        <f t="shared" si="31"/>
        <v/>
      </c>
      <c r="BQ10" s="127" t="str">
        <f t="shared" si="31"/>
        <v/>
      </c>
      <c r="BR10" s="127" t="str">
        <f t="shared" si="31"/>
        <v/>
      </c>
      <c r="BS10" s="127" t="str">
        <f t="shared" si="32"/>
        <v/>
      </c>
      <c r="BT10" s="127" t="str">
        <f t="shared" si="32"/>
        <v/>
      </c>
      <c r="BU10" s="127" t="str">
        <f t="shared" si="32"/>
        <v/>
      </c>
      <c r="BV10" s="127" t="str">
        <f t="shared" si="32"/>
        <v/>
      </c>
      <c r="BW10" s="127" t="str">
        <f t="shared" si="32"/>
        <v/>
      </c>
      <c r="BX10" s="127" t="str">
        <f t="shared" si="32"/>
        <v/>
      </c>
      <c r="BY10" s="127" t="str">
        <f t="shared" si="32"/>
        <v/>
      </c>
      <c r="BZ10" s="127" t="str">
        <f t="shared" si="32"/>
        <v/>
      </c>
      <c r="CA10" s="127" t="str">
        <f t="shared" si="32"/>
        <v/>
      </c>
      <c r="CB10" s="127" t="str">
        <f t="shared" si="32"/>
        <v/>
      </c>
      <c r="CC10" s="127" t="str">
        <f t="shared" si="32"/>
        <v/>
      </c>
      <c r="CD10" s="127" t="str">
        <f t="shared" si="32"/>
        <v/>
      </c>
    </row>
    <row r="11" spans="1:82" ht="12.6" hidden="1" customHeight="1" x14ac:dyDescent="0.2">
      <c r="A11" s="106">
        <f>SHIPMENTS!A17</f>
        <v>8641</v>
      </c>
      <c r="B11" s="106" t="str">
        <f>SHIPMENTS!B17</f>
        <v>41700-CANADA BSAUNAS BACKLOG</v>
      </c>
      <c r="C11" s="132">
        <f>SHIPMENTS!F17</f>
        <v>0</v>
      </c>
      <c r="D11" s="107" t="str">
        <f>IF((SHIPMENTS!I17)=0,"",SHIPMENTS!I17)</f>
        <v/>
      </c>
      <c r="E11" s="176">
        <f>IF((SHIPMENTS!G17)=0,"",SHIPMENTS!G17)</f>
        <v>46315</v>
      </c>
      <c r="F11" s="98">
        <f>VLOOKUP(A11,load!$A$4:$U$5001,18,0)</f>
        <v>43.234333333333332</v>
      </c>
      <c r="G11" s="109">
        <f>Manhours!$C$15</f>
        <v>5</v>
      </c>
      <c r="H11" s="98">
        <f t="shared" si="33"/>
        <v>45.5</v>
      </c>
      <c r="I11" s="99">
        <f t="shared" si="34"/>
        <v>0.95020512820512815</v>
      </c>
      <c r="J11" s="99">
        <f t="shared" si="35"/>
        <v>8.646866666666666</v>
      </c>
      <c r="K11" s="98">
        <f t="shared" si="27"/>
        <v>0</v>
      </c>
      <c r="L11" s="98">
        <f t="shared" si="36"/>
        <v>0</v>
      </c>
      <c r="M11" s="181">
        <f t="shared" si="38"/>
        <v>46314</v>
      </c>
      <c r="N11" s="181">
        <f t="shared" si="37"/>
        <v>46314</v>
      </c>
      <c r="O11" s="112" t="str">
        <f>VLOOKUP(A11,SHIPMENTS!$A$7:$AP$76,11,0)</f>
        <v>n/a</v>
      </c>
      <c r="P11" s="101"/>
      <c r="Q11" s="127" t="str">
        <f t="shared" si="29"/>
        <v/>
      </c>
      <c r="R11" s="127" t="str">
        <f t="shared" si="29"/>
        <v>▲</v>
      </c>
      <c r="S11" s="127" t="str">
        <f t="shared" si="29"/>
        <v/>
      </c>
      <c r="T11" s="127" t="str">
        <f t="shared" si="29"/>
        <v/>
      </c>
      <c r="U11" s="127" t="str">
        <f t="shared" si="29"/>
        <v/>
      </c>
      <c r="V11" s="127" t="str">
        <f t="shared" si="29"/>
        <v/>
      </c>
      <c r="W11" s="127" t="str">
        <f t="shared" si="29"/>
        <v/>
      </c>
      <c r="X11" s="127" t="str">
        <f t="shared" si="29"/>
        <v/>
      </c>
      <c r="Y11" s="127" t="str">
        <f t="shared" si="29"/>
        <v/>
      </c>
      <c r="Z11" s="127" t="str">
        <f t="shared" si="29"/>
        <v/>
      </c>
      <c r="AA11" s="127" t="str">
        <f t="shared" si="29"/>
        <v/>
      </c>
      <c r="AB11" s="127" t="str">
        <f t="shared" si="29"/>
        <v/>
      </c>
      <c r="AC11" s="127" t="str">
        <f t="shared" si="29"/>
        <v/>
      </c>
      <c r="AD11" s="127" t="str">
        <f t="shared" si="29"/>
        <v/>
      </c>
      <c r="AE11" s="127" t="str">
        <f t="shared" si="29"/>
        <v/>
      </c>
      <c r="AF11" s="127" t="str">
        <f t="shared" si="29"/>
        <v/>
      </c>
      <c r="AG11" s="127" t="str">
        <f t="shared" si="30"/>
        <v/>
      </c>
      <c r="AH11" s="127" t="str">
        <f t="shared" si="30"/>
        <v/>
      </c>
      <c r="AI11" s="127" t="str">
        <f t="shared" si="30"/>
        <v/>
      </c>
      <c r="AJ11" s="127" t="str">
        <f t="shared" si="30"/>
        <v/>
      </c>
      <c r="AK11" s="127" t="str">
        <f t="shared" si="30"/>
        <v/>
      </c>
      <c r="AL11" s="127" t="str">
        <f t="shared" si="30"/>
        <v/>
      </c>
      <c r="AM11" s="127" t="str">
        <f t="shared" si="30"/>
        <v/>
      </c>
      <c r="AN11" s="127" t="str">
        <f t="shared" si="30"/>
        <v/>
      </c>
      <c r="AO11" s="127" t="str">
        <f t="shared" si="30"/>
        <v/>
      </c>
      <c r="AP11" s="127" t="str">
        <f t="shared" si="30"/>
        <v/>
      </c>
      <c r="AQ11" s="127" t="str">
        <f t="shared" si="30"/>
        <v/>
      </c>
      <c r="AR11" s="127" t="str">
        <f t="shared" si="30"/>
        <v/>
      </c>
      <c r="AS11" s="127" t="str">
        <f t="shared" si="30"/>
        <v/>
      </c>
      <c r="AT11" s="127" t="str">
        <f t="shared" si="30"/>
        <v/>
      </c>
      <c r="AU11" s="127" t="str">
        <f t="shared" si="30"/>
        <v/>
      </c>
      <c r="AV11" s="127" t="str">
        <f t="shared" si="30"/>
        <v/>
      </c>
      <c r="AW11" s="127" t="str">
        <f t="shared" si="30"/>
        <v/>
      </c>
      <c r="AX11" s="127" t="str">
        <f t="shared" si="30"/>
        <v/>
      </c>
      <c r="AY11" s="127" t="str">
        <f t="shared" si="30"/>
        <v/>
      </c>
      <c r="AZ11" s="127" t="str">
        <f t="shared" si="30"/>
        <v/>
      </c>
      <c r="BA11" s="127" t="str">
        <f t="shared" si="30"/>
        <v/>
      </c>
      <c r="BB11" s="127" t="str">
        <f t="shared" si="30"/>
        <v/>
      </c>
      <c r="BC11" s="127" t="str">
        <f t="shared" si="30"/>
        <v/>
      </c>
      <c r="BD11" s="127" t="str">
        <f t="shared" si="30"/>
        <v/>
      </c>
      <c r="BE11" s="127" t="str">
        <f t="shared" si="30"/>
        <v/>
      </c>
      <c r="BF11" s="127" t="str">
        <f t="shared" si="30"/>
        <v/>
      </c>
      <c r="BG11" s="127" t="str">
        <f t="shared" si="31"/>
        <v/>
      </c>
      <c r="BH11" s="127" t="str">
        <f t="shared" si="31"/>
        <v/>
      </c>
      <c r="BI11" s="127" t="str">
        <f t="shared" si="31"/>
        <v/>
      </c>
      <c r="BJ11" s="127" t="str">
        <f t="shared" si="31"/>
        <v/>
      </c>
      <c r="BK11" s="127" t="str">
        <f t="shared" si="31"/>
        <v/>
      </c>
      <c r="BL11" s="127" t="str">
        <f t="shared" si="31"/>
        <v/>
      </c>
      <c r="BM11" s="127" t="str">
        <f t="shared" si="31"/>
        <v/>
      </c>
      <c r="BN11" s="127" t="str">
        <f t="shared" si="31"/>
        <v/>
      </c>
      <c r="BO11" s="127" t="str">
        <f t="shared" si="31"/>
        <v/>
      </c>
      <c r="BP11" s="127" t="str">
        <f t="shared" si="31"/>
        <v/>
      </c>
      <c r="BQ11" s="127" t="str">
        <f t="shared" si="31"/>
        <v/>
      </c>
      <c r="BR11" s="127" t="str">
        <f t="shared" si="31"/>
        <v/>
      </c>
      <c r="BS11" s="127" t="str">
        <f t="shared" si="32"/>
        <v/>
      </c>
      <c r="BT11" s="127" t="str">
        <f t="shared" si="32"/>
        <v/>
      </c>
      <c r="BU11" s="127" t="str">
        <f t="shared" si="32"/>
        <v/>
      </c>
      <c r="BV11" s="127" t="str">
        <f t="shared" si="32"/>
        <v/>
      </c>
      <c r="BW11" s="127" t="str">
        <f t="shared" si="32"/>
        <v/>
      </c>
      <c r="BX11" s="127" t="str">
        <f t="shared" si="32"/>
        <v/>
      </c>
      <c r="BY11" s="127" t="str">
        <f t="shared" si="32"/>
        <v/>
      </c>
      <c r="BZ11" s="127" t="str">
        <f t="shared" si="32"/>
        <v/>
      </c>
      <c r="CA11" s="127" t="str">
        <f t="shared" si="32"/>
        <v/>
      </c>
      <c r="CB11" s="127" t="str">
        <f t="shared" si="32"/>
        <v/>
      </c>
      <c r="CC11" s="127" t="str">
        <f t="shared" si="32"/>
        <v/>
      </c>
      <c r="CD11" s="127" t="str">
        <f t="shared" si="32"/>
        <v/>
      </c>
    </row>
    <row r="12" spans="1:82" ht="12.6" hidden="1" customHeight="1" x14ac:dyDescent="0.2">
      <c r="A12" s="106">
        <f>SHIPMENTS!A18</f>
        <v>8102</v>
      </c>
      <c r="B12" s="106" t="str">
        <f>SHIPMENTS!B18</f>
        <v>41700-CANADA BSAUNAS BACKLOG</v>
      </c>
      <c r="C12" s="132">
        <f>SHIPMENTS!F18</f>
        <v>0</v>
      </c>
      <c r="D12" s="107" t="str">
        <f>IF((SHIPMENTS!I18)=0,"",SHIPMENTS!I18)</f>
        <v/>
      </c>
      <c r="E12" s="176">
        <f>IF((SHIPMENTS!G18)=0,"",SHIPMENTS!G18)</f>
        <v>46315</v>
      </c>
      <c r="F12" s="98">
        <f>VLOOKUP(A12,load!$A$4:$U$5001,18,0)</f>
        <v>0</v>
      </c>
      <c r="G12" s="109">
        <f>Manhours!$C$15</f>
        <v>5</v>
      </c>
      <c r="H12" s="98">
        <f t="shared" si="33"/>
        <v>45.5</v>
      </c>
      <c r="I12" s="99">
        <f t="shared" si="34"/>
        <v>0</v>
      </c>
      <c r="J12" s="99">
        <f t="shared" si="35"/>
        <v>0</v>
      </c>
      <c r="K12" s="98">
        <f t="shared" si="27"/>
        <v>0</v>
      </c>
      <c r="L12" s="98">
        <f t="shared" si="36"/>
        <v>0</v>
      </c>
      <c r="M12" s="181">
        <f t="shared" si="38"/>
        <v>46314</v>
      </c>
      <c r="N12" s="181">
        <f t="shared" si="37"/>
        <v>46314</v>
      </c>
      <c r="O12" s="112" t="str">
        <f>VLOOKUP(A12,SHIPMENTS!$A$7:$AP$76,11,0)</f>
        <v>n/a</v>
      </c>
      <c r="P12" s="101"/>
      <c r="Q12" s="127" t="str">
        <f t="shared" si="29"/>
        <v/>
      </c>
      <c r="R12" s="127" t="str">
        <f t="shared" si="29"/>
        <v>▲</v>
      </c>
      <c r="S12" s="127" t="str">
        <f t="shared" si="29"/>
        <v/>
      </c>
      <c r="T12" s="127" t="str">
        <f t="shared" si="29"/>
        <v/>
      </c>
      <c r="U12" s="127" t="str">
        <f t="shared" si="29"/>
        <v/>
      </c>
      <c r="V12" s="127" t="str">
        <f t="shared" si="29"/>
        <v/>
      </c>
      <c r="W12" s="127" t="str">
        <f t="shared" si="29"/>
        <v/>
      </c>
      <c r="X12" s="127" t="str">
        <f t="shared" si="29"/>
        <v/>
      </c>
      <c r="Y12" s="127" t="str">
        <f t="shared" si="29"/>
        <v/>
      </c>
      <c r="Z12" s="127" t="str">
        <f t="shared" si="29"/>
        <v/>
      </c>
      <c r="AA12" s="127" t="str">
        <f t="shared" si="29"/>
        <v/>
      </c>
      <c r="AB12" s="127" t="str">
        <f t="shared" si="29"/>
        <v/>
      </c>
      <c r="AC12" s="127" t="str">
        <f t="shared" si="29"/>
        <v/>
      </c>
      <c r="AD12" s="127" t="str">
        <f t="shared" si="29"/>
        <v/>
      </c>
      <c r="AE12" s="127" t="str">
        <f t="shared" si="29"/>
        <v/>
      </c>
      <c r="AF12" s="127" t="str">
        <f t="shared" si="29"/>
        <v/>
      </c>
      <c r="AG12" s="127" t="str">
        <f t="shared" si="30"/>
        <v/>
      </c>
      <c r="AH12" s="127" t="str">
        <f t="shared" si="30"/>
        <v/>
      </c>
      <c r="AI12" s="127" t="str">
        <f t="shared" si="30"/>
        <v/>
      </c>
      <c r="AJ12" s="127" t="str">
        <f t="shared" si="30"/>
        <v/>
      </c>
      <c r="AK12" s="127" t="str">
        <f t="shared" si="30"/>
        <v/>
      </c>
      <c r="AL12" s="127" t="str">
        <f t="shared" si="30"/>
        <v/>
      </c>
      <c r="AM12" s="127" t="str">
        <f t="shared" si="30"/>
        <v/>
      </c>
      <c r="AN12" s="127" t="str">
        <f t="shared" si="30"/>
        <v/>
      </c>
      <c r="AO12" s="127" t="str">
        <f t="shared" si="30"/>
        <v/>
      </c>
      <c r="AP12" s="127" t="str">
        <f t="shared" si="30"/>
        <v/>
      </c>
      <c r="AQ12" s="127" t="str">
        <f t="shared" si="30"/>
        <v/>
      </c>
      <c r="AR12" s="127" t="str">
        <f t="shared" si="30"/>
        <v/>
      </c>
      <c r="AS12" s="127" t="str">
        <f t="shared" si="30"/>
        <v/>
      </c>
      <c r="AT12" s="127" t="str">
        <f t="shared" si="30"/>
        <v/>
      </c>
      <c r="AU12" s="127" t="str">
        <f t="shared" si="30"/>
        <v/>
      </c>
      <c r="AV12" s="127" t="str">
        <f t="shared" si="30"/>
        <v/>
      </c>
      <c r="AW12" s="127" t="str">
        <f t="shared" si="30"/>
        <v/>
      </c>
      <c r="AX12" s="127" t="str">
        <f t="shared" si="30"/>
        <v/>
      </c>
      <c r="AY12" s="127" t="str">
        <f t="shared" si="30"/>
        <v/>
      </c>
      <c r="AZ12" s="127" t="str">
        <f t="shared" si="30"/>
        <v/>
      </c>
      <c r="BA12" s="127" t="str">
        <f t="shared" si="30"/>
        <v/>
      </c>
      <c r="BB12" s="127" t="str">
        <f t="shared" si="30"/>
        <v/>
      </c>
      <c r="BC12" s="127" t="str">
        <f t="shared" si="30"/>
        <v/>
      </c>
      <c r="BD12" s="127" t="str">
        <f t="shared" si="30"/>
        <v/>
      </c>
      <c r="BE12" s="127" t="str">
        <f t="shared" si="30"/>
        <v/>
      </c>
      <c r="BF12" s="127" t="str">
        <f t="shared" si="30"/>
        <v/>
      </c>
      <c r="BG12" s="127" t="str">
        <f t="shared" si="31"/>
        <v/>
      </c>
      <c r="BH12" s="127" t="str">
        <f t="shared" si="31"/>
        <v/>
      </c>
      <c r="BI12" s="127" t="str">
        <f t="shared" si="31"/>
        <v/>
      </c>
      <c r="BJ12" s="127" t="str">
        <f t="shared" si="31"/>
        <v/>
      </c>
      <c r="BK12" s="127" t="str">
        <f t="shared" si="31"/>
        <v/>
      </c>
      <c r="BL12" s="127" t="str">
        <f t="shared" si="31"/>
        <v/>
      </c>
      <c r="BM12" s="127" t="str">
        <f t="shared" si="31"/>
        <v/>
      </c>
      <c r="BN12" s="127" t="str">
        <f t="shared" si="31"/>
        <v/>
      </c>
      <c r="BO12" s="127" t="str">
        <f t="shared" si="31"/>
        <v/>
      </c>
      <c r="BP12" s="127" t="str">
        <f t="shared" si="31"/>
        <v/>
      </c>
      <c r="BQ12" s="127" t="str">
        <f t="shared" si="31"/>
        <v/>
      </c>
      <c r="BR12" s="127" t="str">
        <f t="shared" si="31"/>
        <v/>
      </c>
      <c r="BS12" s="127" t="str">
        <f t="shared" si="32"/>
        <v/>
      </c>
      <c r="BT12" s="127" t="str">
        <f t="shared" si="32"/>
        <v/>
      </c>
      <c r="BU12" s="127" t="str">
        <f t="shared" si="32"/>
        <v/>
      </c>
      <c r="BV12" s="127" t="str">
        <f t="shared" si="32"/>
        <v/>
      </c>
      <c r="BW12" s="127" t="str">
        <f t="shared" si="32"/>
        <v/>
      </c>
      <c r="BX12" s="127" t="str">
        <f t="shared" si="32"/>
        <v/>
      </c>
      <c r="BY12" s="127" t="str">
        <f t="shared" si="32"/>
        <v/>
      </c>
      <c r="BZ12" s="127" t="str">
        <f t="shared" si="32"/>
        <v/>
      </c>
      <c r="CA12" s="127" t="str">
        <f t="shared" si="32"/>
        <v/>
      </c>
      <c r="CB12" s="127" t="str">
        <f t="shared" si="32"/>
        <v/>
      </c>
      <c r="CC12" s="127" t="str">
        <f t="shared" si="32"/>
        <v/>
      </c>
      <c r="CD12" s="127" t="str">
        <f t="shared" si="32"/>
        <v/>
      </c>
    </row>
    <row r="13" spans="1:82" ht="12.6" hidden="1" customHeight="1" x14ac:dyDescent="0.2">
      <c r="A13" s="106">
        <f>SHIPMENTS!A19</f>
        <v>5928</v>
      </c>
      <c r="B13" s="106" t="str">
        <f>SHIPMENTS!B19</f>
        <v>41700-CANADA BSAUNAS BACKLOG</v>
      </c>
      <c r="C13" s="132">
        <f>SHIPMENTS!F19</f>
        <v>0</v>
      </c>
      <c r="D13" s="107" t="str">
        <f>IF((SHIPMENTS!I19)=0,"",SHIPMENTS!I19)</f>
        <v/>
      </c>
      <c r="E13" s="176" t="str">
        <f>IF((SHIPMENTS!G19)=0,"",SHIPMENTS!G19)</f>
        <v/>
      </c>
      <c r="F13" s="98">
        <f>VLOOKUP(A13,load!$A$4:$U$5001,18,0)</f>
        <v>13.133333333333333</v>
      </c>
      <c r="G13" s="109">
        <f>Manhours!$C$15</f>
        <v>5</v>
      </c>
      <c r="H13" s="98">
        <f t="shared" si="33"/>
        <v>45.5</v>
      </c>
      <c r="I13" s="99">
        <f t="shared" si="34"/>
        <v>0.28864468864468862</v>
      </c>
      <c r="J13" s="99">
        <f t="shared" si="35"/>
        <v>2.6266666666666665</v>
      </c>
      <c r="K13" s="98">
        <f t="shared" si="27"/>
        <v>0</v>
      </c>
      <c r="L13" s="98">
        <f t="shared" si="36"/>
        <v>0</v>
      </c>
      <c r="M13" s="181">
        <f t="shared" si="38"/>
        <v>46314</v>
      </c>
      <c r="N13" s="181">
        <f t="shared" si="37"/>
        <v>46314</v>
      </c>
      <c r="O13" s="112" t="str">
        <f>VLOOKUP(A13,SHIPMENTS!$A$7:$AP$76,11,0)</f>
        <v>n/a</v>
      </c>
      <c r="P13" s="101"/>
      <c r="Q13" s="127" t="str">
        <f t="shared" si="29"/>
        <v/>
      </c>
      <c r="R13" s="127" t="str">
        <f t="shared" si="29"/>
        <v/>
      </c>
      <c r="S13" s="127" t="str">
        <f t="shared" si="29"/>
        <v/>
      </c>
      <c r="T13" s="127" t="str">
        <f t="shared" si="29"/>
        <v/>
      </c>
      <c r="U13" s="127" t="str">
        <f t="shared" si="29"/>
        <v/>
      </c>
      <c r="V13" s="127" t="str">
        <f t="shared" si="29"/>
        <v/>
      </c>
      <c r="W13" s="127" t="str">
        <f t="shared" si="29"/>
        <v/>
      </c>
      <c r="X13" s="127" t="str">
        <f t="shared" si="29"/>
        <v/>
      </c>
      <c r="Y13" s="127" t="str">
        <f t="shared" si="29"/>
        <v/>
      </c>
      <c r="Z13" s="127" t="str">
        <f t="shared" si="29"/>
        <v/>
      </c>
      <c r="AA13" s="127" t="str">
        <f t="shared" si="29"/>
        <v/>
      </c>
      <c r="AB13" s="127" t="str">
        <f t="shared" si="29"/>
        <v/>
      </c>
      <c r="AC13" s="127" t="str">
        <f t="shared" si="29"/>
        <v/>
      </c>
      <c r="AD13" s="127" t="str">
        <f t="shared" si="29"/>
        <v/>
      </c>
      <c r="AE13" s="127" t="str">
        <f t="shared" si="29"/>
        <v/>
      </c>
      <c r="AF13" s="127" t="str">
        <f t="shared" si="29"/>
        <v/>
      </c>
      <c r="AG13" s="127" t="str">
        <f t="shared" si="30"/>
        <v/>
      </c>
      <c r="AH13" s="127" t="str">
        <f t="shared" si="30"/>
        <v/>
      </c>
      <c r="AI13" s="127" t="str">
        <f t="shared" si="30"/>
        <v/>
      </c>
      <c r="AJ13" s="127" t="str">
        <f t="shared" si="30"/>
        <v/>
      </c>
      <c r="AK13" s="127" t="str">
        <f t="shared" si="30"/>
        <v/>
      </c>
      <c r="AL13" s="127" t="str">
        <f t="shared" si="30"/>
        <v/>
      </c>
      <c r="AM13" s="127" t="str">
        <f t="shared" si="30"/>
        <v/>
      </c>
      <c r="AN13" s="127" t="str">
        <f t="shared" si="30"/>
        <v/>
      </c>
      <c r="AO13" s="127" t="str">
        <f t="shared" si="30"/>
        <v/>
      </c>
      <c r="AP13" s="127" t="str">
        <f t="shared" si="30"/>
        <v/>
      </c>
      <c r="AQ13" s="127" t="str">
        <f t="shared" si="30"/>
        <v/>
      </c>
      <c r="AR13" s="127" t="str">
        <f t="shared" si="30"/>
        <v/>
      </c>
      <c r="AS13" s="127" t="str">
        <f t="shared" si="30"/>
        <v/>
      </c>
      <c r="AT13" s="127" t="str">
        <f t="shared" si="30"/>
        <v/>
      </c>
      <c r="AU13" s="127" t="str">
        <f t="shared" si="30"/>
        <v/>
      </c>
      <c r="AV13" s="127" t="str">
        <f t="shared" si="30"/>
        <v/>
      </c>
      <c r="AW13" s="127" t="str">
        <f t="shared" si="30"/>
        <v/>
      </c>
      <c r="AX13" s="127" t="str">
        <f t="shared" si="30"/>
        <v/>
      </c>
      <c r="AY13" s="127" t="str">
        <f t="shared" si="30"/>
        <v/>
      </c>
      <c r="AZ13" s="127" t="str">
        <f t="shared" si="30"/>
        <v/>
      </c>
      <c r="BA13" s="127" t="str">
        <f t="shared" si="30"/>
        <v/>
      </c>
      <c r="BB13" s="127" t="str">
        <f t="shared" si="30"/>
        <v/>
      </c>
      <c r="BC13" s="127" t="str">
        <f t="shared" si="30"/>
        <v/>
      </c>
      <c r="BD13" s="127" t="str">
        <f t="shared" si="30"/>
        <v/>
      </c>
      <c r="BE13" s="127" t="str">
        <f t="shared" si="30"/>
        <v/>
      </c>
      <c r="BF13" s="127" t="str">
        <f t="shared" si="30"/>
        <v/>
      </c>
      <c r="BG13" s="127" t="str">
        <f t="shared" si="31"/>
        <v/>
      </c>
      <c r="BH13" s="127" t="str">
        <f t="shared" si="31"/>
        <v/>
      </c>
      <c r="BI13" s="127" t="str">
        <f t="shared" si="31"/>
        <v/>
      </c>
      <c r="BJ13" s="127" t="str">
        <f t="shared" si="31"/>
        <v/>
      </c>
      <c r="BK13" s="127" t="str">
        <f t="shared" si="31"/>
        <v/>
      </c>
      <c r="BL13" s="127" t="str">
        <f t="shared" si="31"/>
        <v/>
      </c>
      <c r="BM13" s="127" t="str">
        <f t="shared" si="31"/>
        <v/>
      </c>
      <c r="BN13" s="127" t="str">
        <f t="shared" si="31"/>
        <v/>
      </c>
      <c r="BO13" s="127" t="str">
        <f t="shared" si="31"/>
        <v/>
      </c>
      <c r="BP13" s="127" t="str">
        <f t="shared" si="31"/>
        <v/>
      </c>
      <c r="BQ13" s="127" t="str">
        <f t="shared" si="31"/>
        <v/>
      </c>
      <c r="BR13" s="127" t="str">
        <f t="shared" si="31"/>
        <v/>
      </c>
      <c r="BS13" s="127" t="str">
        <f t="shared" si="32"/>
        <v/>
      </c>
      <c r="BT13" s="127" t="str">
        <f t="shared" si="32"/>
        <v/>
      </c>
      <c r="BU13" s="127" t="str">
        <f t="shared" si="32"/>
        <v/>
      </c>
      <c r="BV13" s="127" t="str">
        <f t="shared" si="32"/>
        <v/>
      </c>
      <c r="BW13" s="127" t="str">
        <f t="shared" si="32"/>
        <v/>
      </c>
      <c r="BX13" s="127" t="str">
        <f t="shared" si="32"/>
        <v/>
      </c>
      <c r="BY13" s="127" t="str">
        <f t="shared" si="32"/>
        <v/>
      </c>
      <c r="BZ13" s="127" t="str">
        <f t="shared" si="32"/>
        <v/>
      </c>
      <c r="CA13" s="127" t="str">
        <f t="shared" si="32"/>
        <v/>
      </c>
      <c r="CB13" s="127" t="str">
        <f t="shared" si="32"/>
        <v/>
      </c>
      <c r="CC13" s="127" t="str">
        <f t="shared" si="32"/>
        <v/>
      </c>
      <c r="CD13" s="127" t="str">
        <f t="shared" si="32"/>
        <v/>
      </c>
    </row>
    <row r="14" spans="1:82" ht="12.6" hidden="1" customHeight="1" x14ac:dyDescent="0.2">
      <c r="A14" s="106">
        <f>SHIPMENTS!A20</f>
        <v>4781</v>
      </c>
      <c r="B14" s="106" t="str">
        <f>SHIPMENTS!B20</f>
        <v>41700-CANADA BSAUNAS BACKLOG</v>
      </c>
      <c r="C14" s="132">
        <f>SHIPMENTS!F20</f>
        <v>0</v>
      </c>
      <c r="D14" s="107" t="str">
        <f>IF((SHIPMENTS!I20)=0,"",SHIPMENTS!I20)</f>
        <v/>
      </c>
      <c r="E14" s="176" t="str">
        <f>IF((SHIPMENTS!G20)=0,"",SHIPMENTS!G20)</f>
        <v/>
      </c>
      <c r="F14" s="98">
        <f>VLOOKUP(A14,load!$A$4:$U$5001,18,0)</f>
        <v>6.3816666666666668</v>
      </c>
      <c r="G14" s="109">
        <f>Manhours!$C$15</f>
        <v>5</v>
      </c>
      <c r="H14" s="98">
        <f t="shared" si="33"/>
        <v>45.5</v>
      </c>
      <c r="I14" s="99">
        <f t="shared" si="34"/>
        <v>0.14025641025641025</v>
      </c>
      <c r="J14" s="99">
        <f t="shared" si="35"/>
        <v>1.2763333333333333</v>
      </c>
      <c r="K14" s="98">
        <f t="shared" si="27"/>
        <v>0</v>
      </c>
      <c r="L14" s="98">
        <f t="shared" si="36"/>
        <v>0</v>
      </c>
      <c r="M14" s="181">
        <f t="shared" si="38"/>
        <v>46314</v>
      </c>
      <c r="N14" s="181">
        <f t="shared" si="37"/>
        <v>46314</v>
      </c>
      <c r="O14" s="112" t="str">
        <f>VLOOKUP(A14,SHIPMENTS!$A$7:$AP$76,11,0)</f>
        <v>n/a</v>
      </c>
      <c r="P14" s="101"/>
      <c r="Q14" s="127" t="str">
        <f t="shared" si="29"/>
        <v/>
      </c>
      <c r="R14" s="127" t="str">
        <f t="shared" si="29"/>
        <v/>
      </c>
      <c r="S14" s="127" t="str">
        <f t="shared" si="29"/>
        <v/>
      </c>
      <c r="T14" s="127" t="str">
        <f t="shared" si="29"/>
        <v/>
      </c>
      <c r="U14" s="127" t="str">
        <f t="shared" si="29"/>
        <v/>
      </c>
      <c r="V14" s="127" t="str">
        <f t="shared" si="29"/>
        <v/>
      </c>
      <c r="W14" s="127" t="str">
        <f t="shared" si="29"/>
        <v/>
      </c>
      <c r="X14" s="127" t="str">
        <f t="shared" si="29"/>
        <v/>
      </c>
      <c r="Y14" s="127" t="str">
        <f t="shared" si="29"/>
        <v/>
      </c>
      <c r="Z14" s="127" t="str">
        <f t="shared" si="29"/>
        <v/>
      </c>
      <c r="AA14" s="127" t="str">
        <f t="shared" si="29"/>
        <v/>
      </c>
      <c r="AB14" s="127" t="str">
        <f t="shared" si="29"/>
        <v/>
      </c>
      <c r="AC14" s="127" t="str">
        <f t="shared" si="29"/>
        <v/>
      </c>
      <c r="AD14" s="127" t="str">
        <f t="shared" si="29"/>
        <v/>
      </c>
      <c r="AE14" s="127" t="str">
        <f t="shared" si="29"/>
        <v/>
      </c>
      <c r="AF14" s="127" t="str">
        <f t="shared" si="29"/>
        <v/>
      </c>
      <c r="AG14" s="127" t="str">
        <f t="shared" si="30"/>
        <v/>
      </c>
      <c r="AH14" s="127" t="str">
        <f t="shared" si="30"/>
        <v/>
      </c>
      <c r="AI14" s="127" t="str">
        <f t="shared" si="30"/>
        <v/>
      </c>
      <c r="AJ14" s="127" t="str">
        <f t="shared" si="30"/>
        <v/>
      </c>
      <c r="AK14" s="127" t="str">
        <f t="shared" si="30"/>
        <v/>
      </c>
      <c r="AL14" s="127" t="str">
        <f t="shared" si="30"/>
        <v/>
      </c>
      <c r="AM14" s="127" t="str">
        <f t="shared" si="30"/>
        <v/>
      </c>
      <c r="AN14" s="127" t="str">
        <f t="shared" si="30"/>
        <v/>
      </c>
      <c r="AO14" s="127" t="str">
        <f t="shared" si="30"/>
        <v/>
      </c>
      <c r="AP14" s="127" t="str">
        <f t="shared" si="30"/>
        <v/>
      </c>
      <c r="AQ14" s="127" t="str">
        <f t="shared" si="30"/>
        <v/>
      </c>
      <c r="AR14" s="127" t="str">
        <f t="shared" si="30"/>
        <v/>
      </c>
      <c r="AS14" s="127" t="str">
        <f t="shared" si="30"/>
        <v/>
      </c>
      <c r="AT14" s="127" t="str">
        <f t="shared" si="30"/>
        <v/>
      </c>
      <c r="AU14" s="127" t="str">
        <f t="shared" si="30"/>
        <v/>
      </c>
      <c r="AV14" s="127" t="str">
        <f t="shared" si="30"/>
        <v/>
      </c>
      <c r="AW14" s="127" t="str">
        <f t="shared" si="30"/>
        <v/>
      </c>
      <c r="AX14" s="127" t="str">
        <f t="shared" si="30"/>
        <v/>
      </c>
      <c r="AY14" s="127" t="str">
        <f t="shared" si="30"/>
        <v/>
      </c>
      <c r="AZ14" s="127" t="str">
        <f t="shared" si="30"/>
        <v/>
      </c>
      <c r="BA14" s="127" t="str">
        <f t="shared" si="30"/>
        <v/>
      </c>
      <c r="BB14" s="127" t="str">
        <f t="shared" si="30"/>
        <v/>
      </c>
      <c r="BC14" s="127" t="str">
        <f t="shared" si="30"/>
        <v/>
      </c>
      <c r="BD14" s="127" t="str">
        <f t="shared" si="30"/>
        <v/>
      </c>
      <c r="BE14" s="127" t="str">
        <f t="shared" si="30"/>
        <v/>
      </c>
      <c r="BF14" s="127" t="str">
        <f t="shared" si="30"/>
        <v/>
      </c>
      <c r="BG14" s="127" t="str">
        <f t="shared" si="31"/>
        <v/>
      </c>
      <c r="BH14" s="127" t="str">
        <f t="shared" si="31"/>
        <v/>
      </c>
      <c r="BI14" s="127" t="str">
        <f t="shared" si="31"/>
        <v/>
      </c>
      <c r="BJ14" s="127" t="str">
        <f t="shared" si="31"/>
        <v/>
      </c>
      <c r="BK14" s="127" t="str">
        <f t="shared" si="31"/>
        <v/>
      </c>
      <c r="BL14" s="127" t="str">
        <f t="shared" si="31"/>
        <v/>
      </c>
      <c r="BM14" s="127" t="str">
        <f t="shared" si="31"/>
        <v/>
      </c>
      <c r="BN14" s="127" t="str">
        <f t="shared" si="31"/>
        <v/>
      </c>
      <c r="BO14" s="127" t="str">
        <f t="shared" si="31"/>
        <v/>
      </c>
      <c r="BP14" s="127" t="str">
        <f t="shared" si="31"/>
        <v/>
      </c>
      <c r="BQ14" s="127" t="str">
        <f t="shared" si="31"/>
        <v/>
      </c>
      <c r="BR14" s="127" t="str">
        <f t="shared" si="31"/>
        <v/>
      </c>
      <c r="BS14" s="127" t="str">
        <f t="shared" si="32"/>
        <v/>
      </c>
      <c r="BT14" s="127" t="str">
        <f t="shared" si="32"/>
        <v/>
      </c>
      <c r="BU14" s="127" t="str">
        <f t="shared" si="32"/>
        <v/>
      </c>
      <c r="BV14" s="127" t="str">
        <f t="shared" si="32"/>
        <v/>
      </c>
      <c r="BW14" s="127" t="str">
        <f t="shared" si="32"/>
        <v/>
      </c>
      <c r="BX14" s="127" t="str">
        <f t="shared" si="32"/>
        <v/>
      </c>
      <c r="BY14" s="127" t="str">
        <f t="shared" si="32"/>
        <v/>
      </c>
      <c r="BZ14" s="127" t="str">
        <f t="shared" si="32"/>
        <v/>
      </c>
      <c r="CA14" s="127" t="str">
        <f t="shared" si="32"/>
        <v/>
      </c>
      <c r="CB14" s="127" t="str">
        <f t="shared" si="32"/>
        <v/>
      </c>
      <c r="CC14" s="127" t="str">
        <f t="shared" si="32"/>
        <v/>
      </c>
      <c r="CD14" s="127" t="str">
        <f t="shared" si="32"/>
        <v/>
      </c>
    </row>
    <row r="15" spans="1:82" ht="12.6" customHeight="1" x14ac:dyDescent="0.2">
      <c r="A15" s="106">
        <f>SHIPMENTS!A21</f>
        <v>9259</v>
      </c>
      <c r="B15" s="106" t="str">
        <f>SHIPMENTS!B21</f>
        <v>27200-UAE</v>
      </c>
      <c r="C15" s="132">
        <f>SHIPMENTS!F21</f>
        <v>7.0000000000000007E-2</v>
      </c>
      <c r="D15" s="107" t="str">
        <f>IF((SHIPMENTS!I21)=0,"",SHIPMENTS!I21)</f>
        <v>AIR</v>
      </c>
      <c r="E15" s="176">
        <f>IF((SHIPMENTS!G21)=0,"",SHIPMENTS!G21)</f>
        <v>46316</v>
      </c>
      <c r="F15" s="98">
        <f>VLOOKUP(A15,load!$A$4:$U$5001,18,0)</f>
        <v>0</v>
      </c>
      <c r="G15" s="109">
        <f>Manhours!$C$15</f>
        <v>5</v>
      </c>
      <c r="H15" s="98">
        <f t="shared" si="33"/>
        <v>45.5</v>
      </c>
      <c r="I15" s="99">
        <f t="shared" si="34"/>
        <v>0</v>
      </c>
      <c r="J15" s="99">
        <f t="shared" si="35"/>
        <v>0</v>
      </c>
      <c r="K15" s="98">
        <f t="shared" si="27"/>
        <v>0</v>
      </c>
      <c r="L15" s="98">
        <f t="shared" si="36"/>
        <v>0</v>
      </c>
      <c r="M15" s="181">
        <f t="shared" si="38"/>
        <v>46314</v>
      </c>
      <c r="N15" s="181">
        <f t="shared" si="37"/>
        <v>46314</v>
      </c>
      <c r="O15" s="112">
        <f>VLOOKUP(A15,SHIPMENTS!$A$7:$AP$76,11,0)</f>
        <v>0</v>
      </c>
      <c r="P15" s="101"/>
      <c r="Q15" s="127" t="str">
        <f t="shared" si="29"/>
        <v/>
      </c>
      <c r="R15" s="127" t="str">
        <f t="shared" si="29"/>
        <v/>
      </c>
      <c r="S15" s="127" t="str">
        <f t="shared" si="29"/>
        <v>▲</v>
      </c>
      <c r="T15" s="127" t="str">
        <f t="shared" si="29"/>
        <v/>
      </c>
      <c r="U15" s="127" t="str">
        <f t="shared" si="29"/>
        <v/>
      </c>
      <c r="V15" s="127" t="str">
        <f t="shared" si="29"/>
        <v/>
      </c>
      <c r="W15" s="127" t="str">
        <f t="shared" si="29"/>
        <v/>
      </c>
      <c r="X15" s="127" t="str">
        <f t="shared" si="29"/>
        <v/>
      </c>
      <c r="Y15" s="127" t="str">
        <f t="shared" si="29"/>
        <v/>
      </c>
      <c r="Z15" s="127" t="str">
        <f t="shared" si="29"/>
        <v/>
      </c>
      <c r="AA15" s="127" t="str">
        <f t="shared" si="29"/>
        <v/>
      </c>
      <c r="AB15" s="127" t="str">
        <f t="shared" si="29"/>
        <v/>
      </c>
      <c r="AC15" s="127" t="str">
        <f t="shared" si="29"/>
        <v/>
      </c>
      <c r="AD15" s="127" t="str">
        <f t="shared" si="29"/>
        <v/>
      </c>
      <c r="AE15" s="127" t="str">
        <f t="shared" si="29"/>
        <v/>
      </c>
      <c r="AF15" s="127" t="str">
        <f t="shared" si="29"/>
        <v/>
      </c>
      <c r="AG15" s="127" t="str">
        <f t="shared" si="30"/>
        <v/>
      </c>
      <c r="AH15" s="127" t="str">
        <f t="shared" si="30"/>
        <v/>
      </c>
      <c r="AI15" s="127" t="str">
        <f t="shared" si="30"/>
        <v/>
      </c>
      <c r="AJ15" s="127" t="str">
        <f t="shared" si="30"/>
        <v/>
      </c>
      <c r="AK15" s="127" t="str">
        <f t="shared" si="30"/>
        <v/>
      </c>
      <c r="AL15" s="127" t="str">
        <f t="shared" si="30"/>
        <v/>
      </c>
      <c r="AM15" s="127" t="str">
        <f t="shared" si="30"/>
        <v/>
      </c>
      <c r="AN15" s="127" t="str">
        <f t="shared" si="30"/>
        <v/>
      </c>
      <c r="AO15" s="127" t="str">
        <f t="shared" si="30"/>
        <v/>
      </c>
      <c r="AP15" s="127" t="str">
        <f t="shared" si="30"/>
        <v/>
      </c>
      <c r="AQ15" s="127" t="str">
        <f t="shared" si="30"/>
        <v/>
      </c>
      <c r="AR15" s="127" t="str">
        <f t="shared" si="30"/>
        <v/>
      </c>
      <c r="AS15" s="127" t="str">
        <f t="shared" si="30"/>
        <v/>
      </c>
      <c r="AT15" s="127" t="str">
        <f t="shared" si="30"/>
        <v/>
      </c>
      <c r="AU15" s="127" t="str">
        <f t="shared" si="30"/>
        <v/>
      </c>
      <c r="AV15" s="127" t="str">
        <f t="shared" si="30"/>
        <v/>
      </c>
      <c r="AW15" s="127" t="str">
        <f t="shared" si="30"/>
        <v/>
      </c>
      <c r="AX15" s="127" t="str">
        <f t="shared" si="30"/>
        <v/>
      </c>
      <c r="AY15" s="127" t="str">
        <f t="shared" si="30"/>
        <v/>
      </c>
      <c r="AZ15" s="127" t="str">
        <f t="shared" si="30"/>
        <v/>
      </c>
      <c r="BA15" s="127" t="str">
        <f t="shared" si="30"/>
        <v/>
      </c>
      <c r="BB15" s="127" t="str">
        <f t="shared" si="30"/>
        <v/>
      </c>
      <c r="BC15" s="127" t="str">
        <f t="shared" si="30"/>
        <v/>
      </c>
      <c r="BD15" s="127" t="str">
        <f t="shared" si="30"/>
        <v/>
      </c>
      <c r="BE15" s="127" t="str">
        <f t="shared" si="30"/>
        <v/>
      </c>
      <c r="BF15" s="127" t="str">
        <f t="shared" si="30"/>
        <v/>
      </c>
      <c r="BG15" s="127" t="str">
        <f t="shared" si="31"/>
        <v/>
      </c>
      <c r="BH15" s="127" t="str">
        <f t="shared" si="31"/>
        <v/>
      </c>
      <c r="BI15" s="127" t="str">
        <f t="shared" si="31"/>
        <v/>
      </c>
      <c r="BJ15" s="127" t="str">
        <f t="shared" si="31"/>
        <v/>
      </c>
      <c r="BK15" s="127" t="str">
        <f t="shared" si="31"/>
        <v/>
      </c>
      <c r="BL15" s="127" t="str">
        <f t="shared" si="31"/>
        <v/>
      </c>
      <c r="BM15" s="127" t="str">
        <f t="shared" si="31"/>
        <v/>
      </c>
      <c r="BN15" s="127" t="str">
        <f t="shared" si="31"/>
        <v/>
      </c>
      <c r="BO15" s="127" t="str">
        <f t="shared" si="31"/>
        <v/>
      </c>
      <c r="BP15" s="127" t="str">
        <f t="shared" si="31"/>
        <v/>
      </c>
      <c r="BQ15" s="127" t="str">
        <f t="shared" si="31"/>
        <v/>
      </c>
      <c r="BR15" s="127" t="str">
        <f t="shared" si="31"/>
        <v/>
      </c>
      <c r="BS15" s="127" t="str">
        <f t="shared" si="32"/>
        <v/>
      </c>
      <c r="BT15" s="127" t="str">
        <f t="shared" si="32"/>
        <v/>
      </c>
      <c r="BU15" s="127" t="str">
        <f t="shared" si="32"/>
        <v/>
      </c>
      <c r="BV15" s="127" t="str">
        <f t="shared" si="32"/>
        <v/>
      </c>
      <c r="BW15" s="127" t="str">
        <f t="shared" si="32"/>
        <v/>
      </c>
      <c r="BX15" s="127" t="str">
        <f t="shared" si="32"/>
        <v/>
      </c>
      <c r="BY15" s="127" t="str">
        <f t="shared" si="32"/>
        <v/>
      </c>
      <c r="BZ15" s="127" t="str">
        <f t="shared" si="32"/>
        <v/>
      </c>
      <c r="CA15" s="127" t="str">
        <f t="shared" si="32"/>
        <v/>
      </c>
      <c r="CB15" s="127" t="str">
        <f t="shared" si="32"/>
        <v/>
      </c>
      <c r="CC15" s="127" t="str">
        <f t="shared" si="32"/>
        <v/>
      </c>
      <c r="CD15" s="127" t="str">
        <f t="shared" si="32"/>
        <v/>
      </c>
    </row>
    <row r="16" spans="1:82" ht="12.6" customHeight="1" x14ac:dyDescent="0.2">
      <c r="A16" s="106">
        <f>SHIPMENTS!A22</f>
        <v>8765</v>
      </c>
      <c r="B16" s="106" t="str">
        <f>SHIPMENTS!B22</f>
        <v>8200-AUSTRALIA</v>
      </c>
      <c r="C16" s="132">
        <f>SHIPMENTS!F22</f>
        <v>64.930000000000007</v>
      </c>
      <c r="D16" s="107" t="str">
        <f>IF((SHIPMENTS!I22)=0,"",SHIPMENTS!I22)</f>
        <v>1X40HC</v>
      </c>
      <c r="E16" s="176">
        <f>IF((SHIPMENTS!G22)=0,"",SHIPMENTS!G22)</f>
        <v>46316</v>
      </c>
      <c r="F16" s="98">
        <f>VLOOKUP(A16,load!$A$4:$U$5001,18,0)</f>
        <v>68.522166666666664</v>
      </c>
      <c r="G16" s="109">
        <f>Manhours!$C$15</f>
        <v>5</v>
      </c>
      <c r="H16" s="98">
        <f t="shared" si="33"/>
        <v>45.5</v>
      </c>
      <c r="I16" s="99">
        <f t="shared" si="34"/>
        <v>1.5059816849816849</v>
      </c>
      <c r="J16" s="99">
        <f t="shared" si="35"/>
        <v>13.704433333333332</v>
      </c>
      <c r="K16" s="98">
        <f t="shared" si="27"/>
        <v>0.19577761904761903</v>
      </c>
      <c r="L16" s="98">
        <f t="shared" si="36"/>
        <v>1.7815763333333337</v>
      </c>
      <c r="M16" s="181">
        <f t="shared" si="38"/>
        <v>46314</v>
      </c>
      <c r="N16" s="181">
        <f t="shared" si="37"/>
        <v>46314.195777619047</v>
      </c>
      <c r="O16" s="112">
        <f>VLOOKUP(A16,SHIPMENTS!$A$7:$AP$76,11,0)</f>
        <v>0.87</v>
      </c>
      <c r="P16" s="101"/>
      <c r="Q16" s="127" t="str">
        <f t="shared" si="29"/>
        <v/>
      </c>
      <c r="R16" s="127" t="str">
        <f t="shared" si="29"/>
        <v/>
      </c>
      <c r="S16" s="127" t="str">
        <f t="shared" si="29"/>
        <v>▲</v>
      </c>
      <c r="T16" s="127" t="str">
        <f t="shared" si="29"/>
        <v/>
      </c>
      <c r="U16" s="127" t="str">
        <f t="shared" si="29"/>
        <v/>
      </c>
      <c r="V16" s="127" t="str">
        <f t="shared" si="29"/>
        <v/>
      </c>
      <c r="W16" s="127" t="str">
        <f t="shared" si="29"/>
        <v/>
      </c>
      <c r="X16" s="127" t="str">
        <f t="shared" si="29"/>
        <v/>
      </c>
      <c r="Y16" s="127" t="str">
        <f t="shared" si="29"/>
        <v/>
      </c>
      <c r="Z16" s="127" t="str">
        <f t="shared" si="29"/>
        <v/>
      </c>
      <c r="AA16" s="127" t="str">
        <f t="shared" si="29"/>
        <v/>
      </c>
      <c r="AB16" s="127" t="str">
        <f t="shared" si="29"/>
        <v/>
      </c>
      <c r="AC16" s="127" t="str">
        <f t="shared" si="29"/>
        <v/>
      </c>
      <c r="AD16" s="127" t="str">
        <f t="shared" si="29"/>
        <v/>
      </c>
      <c r="AE16" s="127" t="str">
        <f t="shared" si="29"/>
        <v/>
      </c>
      <c r="AF16" s="127" t="str">
        <f t="shared" si="29"/>
        <v/>
      </c>
      <c r="AG16" s="127" t="str">
        <f t="shared" si="30"/>
        <v/>
      </c>
      <c r="AH16" s="127" t="str">
        <f t="shared" si="30"/>
        <v/>
      </c>
      <c r="AI16" s="127" t="str">
        <f t="shared" si="30"/>
        <v/>
      </c>
      <c r="AJ16" s="127" t="str">
        <f t="shared" si="30"/>
        <v/>
      </c>
      <c r="AK16" s="127" t="str">
        <f t="shared" si="30"/>
        <v/>
      </c>
      <c r="AL16" s="127" t="str">
        <f t="shared" si="30"/>
        <v/>
      </c>
      <c r="AM16" s="127" t="str">
        <f t="shared" si="30"/>
        <v/>
      </c>
      <c r="AN16" s="127" t="str">
        <f t="shared" si="30"/>
        <v/>
      </c>
      <c r="AO16" s="127" t="str">
        <f t="shared" si="30"/>
        <v/>
      </c>
      <c r="AP16" s="127" t="str">
        <f t="shared" si="30"/>
        <v/>
      </c>
      <c r="AQ16" s="127" t="str">
        <f t="shared" si="30"/>
        <v/>
      </c>
      <c r="AR16" s="127" t="str">
        <f t="shared" si="30"/>
        <v/>
      </c>
      <c r="AS16" s="127" t="str">
        <f t="shared" si="30"/>
        <v/>
      </c>
      <c r="AT16" s="127" t="str">
        <f t="shared" si="30"/>
        <v/>
      </c>
      <c r="AU16" s="127" t="str">
        <f t="shared" si="30"/>
        <v/>
      </c>
      <c r="AV16" s="127" t="str">
        <f t="shared" si="30"/>
        <v/>
      </c>
      <c r="AW16" s="127" t="str">
        <f t="shared" si="30"/>
        <v/>
      </c>
      <c r="AX16" s="127" t="str">
        <f t="shared" si="30"/>
        <v/>
      </c>
      <c r="AY16" s="127" t="str">
        <f t="shared" si="30"/>
        <v/>
      </c>
      <c r="AZ16" s="127" t="str">
        <f t="shared" si="30"/>
        <v/>
      </c>
      <c r="BA16" s="127" t="str">
        <f t="shared" si="30"/>
        <v/>
      </c>
      <c r="BB16" s="127" t="str">
        <f t="shared" si="30"/>
        <v/>
      </c>
      <c r="BC16" s="127" t="str">
        <f t="shared" si="30"/>
        <v/>
      </c>
      <c r="BD16" s="127" t="str">
        <f t="shared" si="30"/>
        <v/>
      </c>
      <c r="BE16" s="127" t="str">
        <f t="shared" si="30"/>
        <v/>
      </c>
      <c r="BF16" s="127" t="str">
        <f t="shared" si="30"/>
        <v/>
      </c>
      <c r="BG16" s="127" t="str">
        <f t="shared" si="31"/>
        <v/>
      </c>
      <c r="BH16" s="127" t="str">
        <f t="shared" si="31"/>
        <v/>
      </c>
      <c r="BI16" s="127" t="str">
        <f t="shared" si="31"/>
        <v/>
      </c>
      <c r="BJ16" s="127" t="str">
        <f t="shared" si="31"/>
        <v/>
      </c>
      <c r="BK16" s="127" t="str">
        <f t="shared" si="31"/>
        <v/>
      </c>
      <c r="BL16" s="127" t="str">
        <f t="shared" si="31"/>
        <v/>
      </c>
      <c r="BM16" s="127" t="str">
        <f t="shared" si="31"/>
        <v/>
      </c>
      <c r="BN16" s="127" t="str">
        <f t="shared" si="31"/>
        <v/>
      </c>
      <c r="BO16" s="127" t="str">
        <f t="shared" si="31"/>
        <v/>
      </c>
      <c r="BP16" s="127" t="str">
        <f t="shared" si="31"/>
        <v/>
      </c>
      <c r="BQ16" s="127" t="str">
        <f t="shared" si="31"/>
        <v/>
      </c>
      <c r="BR16" s="127" t="str">
        <f t="shared" si="31"/>
        <v/>
      </c>
      <c r="BS16" s="127" t="str">
        <f t="shared" si="32"/>
        <v/>
      </c>
      <c r="BT16" s="127" t="str">
        <f t="shared" si="32"/>
        <v/>
      </c>
      <c r="BU16" s="127" t="str">
        <f t="shared" si="32"/>
        <v/>
      </c>
      <c r="BV16" s="127" t="str">
        <f t="shared" si="32"/>
        <v/>
      </c>
      <c r="BW16" s="127" t="str">
        <f t="shared" si="32"/>
        <v/>
      </c>
      <c r="BX16" s="127" t="str">
        <f t="shared" si="32"/>
        <v/>
      </c>
      <c r="BY16" s="127" t="str">
        <f t="shared" si="32"/>
        <v/>
      </c>
      <c r="BZ16" s="127" t="str">
        <f t="shared" si="32"/>
        <v/>
      </c>
      <c r="CA16" s="127" t="str">
        <f t="shared" si="32"/>
        <v/>
      </c>
      <c r="CB16" s="127" t="str">
        <f t="shared" si="32"/>
        <v/>
      </c>
      <c r="CC16" s="127" t="str">
        <f t="shared" si="32"/>
        <v/>
      </c>
      <c r="CD16" s="127" t="str">
        <f t="shared" si="32"/>
        <v/>
      </c>
    </row>
    <row r="17" spans="1:82" ht="12.6" customHeight="1" x14ac:dyDescent="0.2">
      <c r="A17" s="106">
        <f>SHIPMENTS!A23</f>
        <v>7919</v>
      </c>
      <c r="B17" s="106" t="str">
        <f>SHIPMENTS!B23</f>
        <v>8200-AUSTRALIA</v>
      </c>
      <c r="C17" s="132">
        <f>SHIPMENTS!F23</f>
        <v>0</v>
      </c>
      <c r="D17" s="107" t="str">
        <f>IF((SHIPMENTS!I23)=0,"",SHIPMENTS!I23)</f>
        <v/>
      </c>
      <c r="E17" s="176" t="str">
        <f>IF((SHIPMENTS!G23)=0,"",SHIPMENTS!G23)</f>
        <v/>
      </c>
      <c r="F17" s="98">
        <f>VLOOKUP(A17,load!$A$4:$U$5001,18,0)</f>
        <v>0</v>
      </c>
      <c r="G17" s="109">
        <f>Manhours!$C$15</f>
        <v>5</v>
      </c>
      <c r="H17" s="98">
        <f t="shared" si="33"/>
        <v>45.5</v>
      </c>
      <c r="I17" s="99">
        <f t="shared" si="34"/>
        <v>0</v>
      </c>
      <c r="J17" s="99">
        <f t="shared" si="35"/>
        <v>0</v>
      </c>
      <c r="K17" s="98">
        <f t="shared" si="27"/>
        <v>0</v>
      </c>
      <c r="L17" s="98">
        <f t="shared" si="36"/>
        <v>0</v>
      </c>
      <c r="M17" s="181">
        <f t="shared" si="38"/>
        <v>46314.195777619047</v>
      </c>
      <c r="N17" s="181">
        <f t="shared" si="37"/>
        <v>46314.195777619047</v>
      </c>
      <c r="O17" s="112">
        <f>VLOOKUP(A17,SHIPMENTS!$A$7:$AP$76,11,0)</f>
        <v>1</v>
      </c>
      <c r="P17" s="101"/>
      <c r="Q17" s="127" t="str">
        <f t="shared" si="29"/>
        <v/>
      </c>
      <c r="R17" s="127" t="str">
        <f t="shared" si="29"/>
        <v/>
      </c>
      <c r="S17" s="127" t="str">
        <f t="shared" si="29"/>
        <v/>
      </c>
      <c r="T17" s="127" t="str">
        <f t="shared" si="29"/>
        <v/>
      </c>
      <c r="U17" s="127" t="str">
        <f t="shared" si="29"/>
        <v/>
      </c>
      <c r="V17" s="127" t="str">
        <f t="shared" si="29"/>
        <v/>
      </c>
      <c r="W17" s="127" t="str">
        <f t="shared" si="29"/>
        <v/>
      </c>
      <c r="X17" s="127" t="str">
        <f t="shared" si="29"/>
        <v/>
      </c>
      <c r="Y17" s="127" t="str">
        <f t="shared" si="29"/>
        <v/>
      </c>
      <c r="Z17" s="127" t="str">
        <f t="shared" si="29"/>
        <v/>
      </c>
      <c r="AA17" s="127" t="str">
        <f t="shared" si="29"/>
        <v/>
      </c>
      <c r="AB17" s="127" t="str">
        <f t="shared" si="29"/>
        <v/>
      </c>
      <c r="AC17" s="127" t="str">
        <f t="shared" si="29"/>
        <v/>
      </c>
      <c r="AD17" s="127" t="str">
        <f t="shared" si="29"/>
        <v/>
      </c>
      <c r="AE17" s="127" t="str">
        <f t="shared" si="29"/>
        <v/>
      </c>
      <c r="AF17" s="127" t="str">
        <f t="shared" si="29"/>
        <v/>
      </c>
      <c r="AG17" s="127" t="str">
        <f t="shared" si="30"/>
        <v/>
      </c>
      <c r="AH17" s="127" t="str">
        <f t="shared" si="30"/>
        <v/>
      </c>
      <c r="AI17" s="127" t="str">
        <f t="shared" si="30"/>
        <v/>
      </c>
      <c r="AJ17" s="127" t="str">
        <f t="shared" si="30"/>
        <v/>
      </c>
      <c r="AK17" s="127" t="str">
        <f t="shared" si="30"/>
        <v/>
      </c>
      <c r="AL17" s="127" t="str">
        <f t="shared" si="30"/>
        <v/>
      </c>
      <c r="AM17" s="127" t="str">
        <f t="shared" si="30"/>
        <v/>
      </c>
      <c r="AN17" s="127" t="str">
        <f t="shared" si="30"/>
        <v/>
      </c>
      <c r="AO17" s="127" t="str">
        <f t="shared" si="30"/>
        <v/>
      </c>
      <c r="AP17" s="127" t="str">
        <f t="shared" si="30"/>
        <v/>
      </c>
      <c r="AQ17" s="127" t="str">
        <f t="shared" si="30"/>
        <v/>
      </c>
      <c r="AR17" s="127" t="str">
        <f t="shared" si="30"/>
        <v/>
      </c>
      <c r="AS17" s="127" t="str">
        <f t="shared" si="30"/>
        <v/>
      </c>
      <c r="AT17" s="127" t="str">
        <f t="shared" si="30"/>
        <v/>
      </c>
      <c r="AU17" s="127" t="str">
        <f t="shared" si="30"/>
        <v/>
      </c>
      <c r="AV17" s="127" t="str">
        <f t="shared" si="30"/>
        <v/>
      </c>
      <c r="AW17" s="127" t="str">
        <f t="shared" si="30"/>
        <v/>
      </c>
      <c r="AX17" s="127" t="str">
        <f t="shared" si="30"/>
        <v/>
      </c>
      <c r="AY17" s="127" t="str">
        <f t="shared" si="30"/>
        <v/>
      </c>
      <c r="AZ17" s="127" t="str">
        <f t="shared" si="30"/>
        <v/>
      </c>
      <c r="BA17" s="127" t="str">
        <f t="shared" si="30"/>
        <v/>
      </c>
      <c r="BB17" s="127" t="str">
        <f t="shared" ref="BB17:CD33" si="39">IF($E17=BB$3,"▲","")</f>
        <v/>
      </c>
      <c r="BC17" s="127" t="str">
        <f t="shared" si="39"/>
        <v/>
      </c>
      <c r="BD17" s="127" t="str">
        <f t="shared" si="39"/>
        <v/>
      </c>
      <c r="BE17" s="127" t="str">
        <f t="shared" si="39"/>
        <v/>
      </c>
      <c r="BF17" s="127" t="str">
        <f t="shared" si="39"/>
        <v/>
      </c>
      <c r="BG17" s="127" t="str">
        <f t="shared" si="31"/>
        <v/>
      </c>
      <c r="BH17" s="127" t="str">
        <f t="shared" si="39"/>
        <v/>
      </c>
      <c r="BI17" s="127" t="str">
        <f t="shared" si="39"/>
        <v/>
      </c>
      <c r="BJ17" s="127" t="str">
        <f t="shared" si="39"/>
        <v/>
      </c>
      <c r="BK17" s="127" t="str">
        <f t="shared" si="39"/>
        <v/>
      </c>
      <c r="BL17" s="127" t="str">
        <f t="shared" si="39"/>
        <v/>
      </c>
      <c r="BM17" s="127" t="str">
        <f t="shared" si="31"/>
        <v/>
      </c>
      <c r="BN17" s="127" t="str">
        <f t="shared" si="39"/>
        <v/>
      </c>
      <c r="BO17" s="127" t="str">
        <f t="shared" si="39"/>
        <v/>
      </c>
      <c r="BP17" s="127" t="str">
        <f t="shared" si="39"/>
        <v/>
      </c>
      <c r="BQ17" s="127" t="str">
        <f t="shared" si="39"/>
        <v/>
      </c>
      <c r="BR17" s="127" t="str">
        <f t="shared" si="39"/>
        <v/>
      </c>
      <c r="BS17" s="127" t="str">
        <f t="shared" si="32"/>
        <v/>
      </c>
      <c r="BT17" s="127" t="str">
        <f t="shared" si="39"/>
        <v/>
      </c>
      <c r="BU17" s="127" t="str">
        <f t="shared" si="39"/>
        <v/>
      </c>
      <c r="BV17" s="127" t="str">
        <f t="shared" si="39"/>
        <v/>
      </c>
      <c r="BW17" s="127" t="str">
        <f t="shared" si="39"/>
        <v/>
      </c>
      <c r="BX17" s="127" t="str">
        <f t="shared" si="39"/>
        <v/>
      </c>
      <c r="BY17" s="127" t="str">
        <f t="shared" si="32"/>
        <v/>
      </c>
      <c r="BZ17" s="127" t="str">
        <f t="shared" si="39"/>
        <v/>
      </c>
      <c r="CA17" s="127" t="str">
        <f t="shared" si="39"/>
        <v/>
      </c>
      <c r="CB17" s="127" t="str">
        <f t="shared" si="39"/>
        <v/>
      </c>
      <c r="CC17" s="127" t="str">
        <f t="shared" si="39"/>
        <v/>
      </c>
      <c r="CD17" s="127" t="str">
        <f t="shared" si="39"/>
        <v/>
      </c>
    </row>
    <row r="18" spans="1:82" ht="12.6" customHeight="1" x14ac:dyDescent="0.2">
      <c r="A18" s="106">
        <f>SHIPMENTS!A24</f>
        <v>9015</v>
      </c>
      <c r="B18" s="106" t="str">
        <f>SHIPMENTS!B24</f>
        <v>15900- Mandaue City | Atty. Brando Raya</v>
      </c>
      <c r="C18" s="132">
        <f>SHIPMENTS!F24</f>
        <v>0.25600000000000001</v>
      </c>
      <c r="D18" s="107" t="str">
        <f>IF((SHIPMENTS!I24)=0,"",SHIPMENTS!I24)</f>
        <v>LCL</v>
      </c>
      <c r="E18" s="176">
        <f>IF((SHIPMENTS!G24)=0,"",SHIPMENTS!G24)</f>
        <v>46323</v>
      </c>
      <c r="F18" s="98">
        <f>VLOOKUP(A18,load!$A$4:$U$5001,18,0)</f>
        <v>0.1865</v>
      </c>
      <c r="G18" s="109">
        <f>Manhours!$C$15</f>
        <v>5</v>
      </c>
      <c r="H18" s="98">
        <f t="shared" si="33"/>
        <v>45.5</v>
      </c>
      <c r="I18" s="99">
        <f t="shared" si="34"/>
        <v>4.0989010989010985E-3</v>
      </c>
      <c r="J18" s="99">
        <f t="shared" si="35"/>
        <v>3.7299999999999993E-2</v>
      </c>
      <c r="K18" s="98">
        <f t="shared" si="27"/>
        <v>0</v>
      </c>
      <c r="L18" s="98">
        <f t="shared" si="36"/>
        <v>0</v>
      </c>
      <c r="M18" s="181">
        <f t="shared" si="38"/>
        <v>46314.195777619047</v>
      </c>
      <c r="N18" s="181">
        <f t="shared" si="37"/>
        <v>46314.195777619047</v>
      </c>
      <c r="O18" s="112">
        <f>VLOOKUP(A18,SHIPMENTS!$A$7:$AP$76,11,0)</f>
        <v>1</v>
      </c>
      <c r="P18" s="101"/>
      <c r="Q18" s="127" t="str">
        <f t="shared" si="29"/>
        <v/>
      </c>
      <c r="R18" s="127" t="str">
        <f t="shared" si="29"/>
        <v/>
      </c>
      <c r="S18" s="127" t="str">
        <f t="shared" si="29"/>
        <v/>
      </c>
      <c r="T18" s="127" t="str">
        <f t="shared" si="29"/>
        <v/>
      </c>
      <c r="U18" s="127" t="str">
        <f t="shared" si="29"/>
        <v/>
      </c>
      <c r="V18" s="127" t="str">
        <f t="shared" si="29"/>
        <v/>
      </c>
      <c r="W18" s="127" t="str">
        <f t="shared" si="29"/>
        <v/>
      </c>
      <c r="X18" s="127" t="str">
        <f t="shared" si="29"/>
        <v/>
      </c>
      <c r="Y18" s="127" t="str">
        <f t="shared" si="29"/>
        <v>▲</v>
      </c>
      <c r="Z18" s="127" t="str">
        <f t="shared" si="29"/>
        <v/>
      </c>
      <c r="AA18" s="127" t="str">
        <f t="shared" si="29"/>
        <v/>
      </c>
      <c r="AB18" s="127" t="str">
        <f t="shared" si="29"/>
        <v/>
      </c>
      <c r="AC18" s="127" t="str">
        <f t="shared" si="29"/>
        <v/>
      </c>
      <c r="AD18" s="127" t="str">
        <f t="shared" si="29"/>
        <v/>
      </c>
      <c r="AE18" s="127" t="str">
        <f t="shared" si="29"/>
        <v/>
      </c>
      <c r="AF18" s="127" t="str">
        <f t="shared" si="29"/>
        <v/>
      </c>
      <c r="AG18" s="127" t="str">
        <f t="shared" ref="AG18:BQ32" si="40">IF($E18=AG$3,"▲","")</f>
        <v/>
      </c>
      <c r="AH18" s="127" t="str">
        <f t="shared" si="40"/>
        <v/>
      </c>
      <c r="AI18" s="127" t="str">
        <f t="shared" si="40"/>
        <v/>
      </c>
      <c r="AJ18" s="127" t="str">
        <f t="shared" si="40"/>
        <v/>
      </c>
      <c r="AK18" s="127" t="str">
        <f t="shared" si="40"/>
        <v/>
      </c>
      <c r="AL18" s="127" t="str">
        <f t="shared" si="40"/>
        <v/>
      </c>
      <c r="AM18" s="127" t="str">
        <f t="shared" si="40"/>
        <v/>
      </c>
      <c r="AN18" s="127" t="str">
        <f t="shared" si="40"/>
        <v/>
      </c>
      <c r="AO18" s="127" t="str">
        <f t="shared" si="40"/>
        <v/>
      </c>
      <c r="AP18" s="127" t="str">
        <f t="shared" si="40"/>
        <v/>
      </c>
      <c r="AQ18" s="127" t="str">
        <f t="shared" si="40"/>
        <v/>
      </c>
      <c r="AR18" s="127" t="str">
        <f t="shared" si="40"/>
        <v/>
      </c>
      <c r="AS18" s="127" t="str">
        <f t="shared" si="40"/>
        <v/>
      </c>
      <c r="AT18" s="127" t="str">
        <f t="shared" si="40"/>
        <v/>
      </c>
      <c r="AU18" s="127" t="str">
        <f t="shared" si="40"/>
        <v/>
      </c>
      <c r="AV18" s="127" t="str">
        <f t="shared" si="40"/>
        <v/>
      </c>
      <c r="AW18" s="127" t="str">
        <f t="shared" si="40"/>
        <v/>
      </c>
      <c r="AX18" s="127" t="str">
        <f t="shared" si="40"/>
        <v/>
      </c>
      <c r="AY18" s="127" t="str">
        <f t="shared" si="40"/>
        <v/>
      </c>
      <c r="AZ18" s="127" t="str">
        <f t="shared" si="40"/>
        <v/>
      </c>
      <c r="BA18" s="127" t="str">
        <f t="shared" si="40"/>
        <v/>
      </c>
      <c r="BB18" s="127" t="str">
        <f t="shared" si="40"/>
        <v/>
      </c>
      <c r="BC18" s="127" t="str">
        <f t="shared" si="40"/>
        <v/>
      </c>
      <c r="BD18" s="127" t="str">
        <f t="shared" si="40"/>
        <v/>
      </c>
      <c r="BE18" s="127" t="str">
        <f t="shared" si="40"/>
        <v/>
      </c>
      <c r="BF18" s="127" t="str">
        <f t="shared" si="39"/>
        <v/>
      </c>
      <c r="BG18" s="127" t="str">
        <f t="shared" si="40"/>
        <v/>
      </c>
      <c r="BH18" s="127" t="str">
        <f t="shared" si="40"/>
        <v/>
      </c>
      <c r="BI18" s="127" t="str">
        <f t="shared" si="40"/>
        <v/>
      </c>
      <c r="BJ18" s="127" t="str">
        <f t="shared" si="40"/>
        <v/>
      </c>
      <c r="BK18" s="127" t="str">
        <f t="shared" si="40"/>
        <v/>
      </c>
      <c r="BL18" s="127" t="str">
        <f t="shared" si="39"/>
        <v/>
      </c>
      <c r="BM18" s="127" t="str">
        <f t="shared" si="40"/>
        <v/>
      </c>
      <c r="BN18" s="127" t="str">
        <f t="shared" si="40"/>
        <v/>
      </c>
      <c r="BO18" s="127" t="str">
        <f t="shared" si="40"/>
        <v/>
      </c>
      <c r="BP18" s="127" t="str">
        <f t="shared" si="40"/>
        <v/>
      </c>
      <c r="BQ18" s="127" t="str">
        <f t="shared" si="40"/>
        <v/>
      </c>
      <c r="BR18" s="127" t="str">
        <f t="shared" si="39"/>
        <v/>
      </c>
      <c r="BS18" s="127" t="str">
        <f t="shared" si="32"/>
        <v/>
      </c>
      <c r="BT18" s="127" t="str">
        <f t="shared" si="32"/>
        <v/>
      </c>
      <c r="BU18" s="127" t="str">
        <f t="shared" si="32"/>
        <v/>
      </c>
      <c r="BV18" s="127" t="str">
        <f t="shared" si="32"/>
        <v/>
      </c>
      <c r="BW18" s="127" t="str">
        <f t="shared" si="32"/>
        <v/>
      </c>
      <c r="BX18" s="127" t="str">
        <f t="shared" si="39"/>
        <v/>
      </c>
      <c r="BY18" s="127" t="str">
        <f t="shared" si="32"/>
        <v/>
      </c>
      <c r="BZ18" s="127" t="str">
        <f t="shared" si="32"/>
        <v/>
      </c>
      <c r="CA18" s="127" t="str">
        <f t="shared" si="32"/>
        <v/>
      </c>
      <c r="CB18" s="127" t="str">
        <f t="shared" si="32"/>
        <v/>
      </c>
      <c r="CC18" s="127" t="str">
        <f t="shared" si="32"/>
        <v/>
      </c>
      <c r="CD18" s="127" t="str">
        <f t="shared" si="39"/>
        <v/>
      </c>
    </row>
    <row r="19" spans="1:82" ht="12.6" customHeight="1" x14ac:dyDescent="0.2">
      <c r="A19" s="106">
        <f>SHIPMENTS!A25</f>
        <v>9063</v>
      </c>
      <c r="B19" s="106" t="str">
        <f>SHIPMENTS!B25</f>
        <v>15900- Borongan City | Kookie Lim Uy / 3K Salon And Spa</v>
      </c>
      <c r="C19" s="132">
        <f>SHIPMENTS!F25</f>
        <v>0.12</v>
      </c>
      <c r="D19" s="107" t="str">
        <f>IF((SHIPMENTS!I25)=0,"",SHIPMENTS!I25)</f>
        <v/>
      </c>
      <c r="E19" s="176">
        <f>IF((SHIPMENTS!G25)=0,"",SHIPMENTS!G25)</f>
        <v>46323</v>
      </c>
      <c r="F19" s="98">
        <f>VLOOKUP(A19,load!$A$4:$U$5001,18,0)</f>
        <v>0</v>
      </c>
      <c r="G19" s="109">
        <f>Manhours!$C$15</f>
        <v>5</v>
      </c>
      <c r="H19" s="98">
        <f t="shared" si="33"/>
        <v>45.5</v>
      </c>
      <c r="I19" s="99">
        <f t="shared" si="34"/>
        <v>0</v>
      </c>
      <c r="J19" s="99">
        <f t="shared" si="35"/>
        <v>0</v>
      </c>
      <c r="K19" s="98">
        <f t="shared" si="27"/>
        <v>0</v>
      </c>
      <c r="L19" s="98">
        <f t="shared" si="36"/>
        <v>0</v>
      </c>
      <c r="M19" s="181">
        <f t="shared" si="38"/>
        <v>46314.195777619047</v>
      </c>
      <c r="N19" s="181">
        <f t="shared" si="37"/>
        <v>46314.195777619047</v>
      </c>
      <c r="O19" s="112">
        <f>VLOOKUP(A19,SHIPMENTS!$A$7:$AP$76,11,0)</f>
        <v>1</v>
      </c>
      <c r="P19" s="101"/>
      <c r="Q19" s="127" t="str">
        <f t="shared" si="29"/>
        <v/>
      </c>
      <c r="R19" s="127" t="str">
        <f t="shared" si="29"/>
        <v/>
      </c>
      <c r="S19" s="127" t="str">
        <f t="shared" si="29"/>
        <v/>
      </c>
      <c r="T19" s="127" t="str">
        <f t="shared" si="29"/>
        <v/>
      </c>
      <c r="U19" s="127" t="str">
        <f t="shared" si="29"/>
        <v/>
      </c>
      <c r="V19" s="127" t="str">
        <f t="shared" si="29"/>
        <v/>
      </c>
      <c r="W19" s="127" t="str">
        <f t="shared" si="29"/>
        <v/>
      </c>
      <c r="X19" s="127" t="str">
        <f t="shared" si="29"/>
        <v/>
      </c>
      <c r="Y19" s="127" t="str">
        <f t="shared" si="29"/>
        <v>▲</v>
      </c>
      <c r="Z19" s="127" t="str">
        <f t="shared" si="29"/>
        <v/>
      </c>
      <c r="AA19" s="127" t="str">
        <f t="shared" si="29"/>
        <v/>
      </c>
      <c r="AB19" s="127" t="str">
        <f t="shared" si="29"/>
        <v/>
      </c>
      <c r="AC19" s="127" t="str">
        <f t="shared" si="29"/>
        <v/>
      </c>
      <c r="AD19" s="127" t="str">
        <f t="shared" si="29"/>
        <v/>
      </c>
      <c r="AE19" s="127" t="str">
        <f t="shared" si="29"/>
        <v/>
      </c>
      <c r="AF19" s="127" t="str">
        <f t="shared" si="29"/>
        <v/>
      </c>
      <c r="AG19" s="127" t="str">
        <f t="shared" si="40"/>
        <v/>
      </c>
      <c r="AH19" s="127" t="str">
        <f t="shared" si="40"/>
        <v/>
      </c>
      <c r="AI19" s="127" t="str">
        <f t="shared" si="40"/>
        <v/>
      </c>
      <c r="AJ19" s="127" t="str">
        <f t="shared" si="40"/>
        <v/>
      </c>
      <c r="AK19" s="127" t="str">
        <f t="shared" si="40"/>
        <v/>
      </c>
      <c r="AL19" s="127" t="str">
        <f t="shared" si="40"/>
        <v/>
      </c>
      <c r="AM19" s="127" t="str">
        <f t="shared" si="40"/>
        <v/>
      </c>
      <c r="AN19" s="127" t="str">
        <f t="shared" si="40"/>
        <v/>
      </c>
      <c r="AO19" s="127" t="str">
        <f t="shared" si="40"/>
        <v/>
      </c>
      <c r="AP19" s="127" t="str">
        <f t="shared" si="40"/>
        <v/>
      </c>
      <c r="AQ19" s="127" t="str">
        <f t="shared" si="40"/>
        <v/>
      </c>
      <c r="AR19" s="127" t="str">
        <f t="shared" si="40"/>
        <v/>
      </c>
      <c r="AS19" s="127" t="str">
        <f t="shared" si="40"/>
        <v/>
      </c>
      <c r="AT19" s="127" t="str">
        <f t="shared" si="40"/>
        <v/>
      </c>
      <c r="AU19" s="127" t="str">
        <f t="shared" si="40"/>
        <v/>
      </c>
      <c r="AV19" s="127" t="str">
        <f t="shared" si="40"/>
        <v/>
      </c>
      <c r="AW19" s="127" t="str">
        <f t="shared" si="40"/>
        <v/>
      </c>
      <c r="AX19" s="127" t="str">
        <f t="shared" si="40"/>
        <v/>
      </c>
      <c r="AY19" s="127" t="str">
        <f t="shared" si="40"/>
        <v/>
      </c>
      <c r="AZ19" s="127" t="str">
        <f t="shared" si="40"/>
        <v/>
      </c>
      <c r="BA19" s="127" t="str">
        <f t="shared" si="40"/>
        <v/>
      </c>
      <c r="BB19" s="127" t="str">
        <f t="shared" si="40"/>
        <v/>
      </c>
      <c r="BC19" s="127" t="str">
        <f t="shared" si="40"/>
        <v/>
      </c>
      <c r="BD19" s="127" t="str">
        <f t="shared" si="40"/>
        <v/>
      </c>
      <c r="BE19" s="127" t="str">
        <f t="shared" si="40"/>
        <v/>
      </c>
      <c r="BF19" s="127" t="str">
        <f t="shared" si="39"/>
        <v/>
      </c>
      <c r="BG19" s="127" t="str">
        <f t="shared" si="40"/>
        <v/>
      </c>
      <c r="BH19" s="127" t="str">
        <f t="shared" si="40"/>
        <v/>
      </c>
      <c r="BI19" s="127" t="str">
        <f t="shared" si="40"/>
        <v/>
      </c>
      <c r="BJ19" s="127" t="str">
        <f t="shared" si="40"/>
        <v/>
      </c>
      <c r="BK19" s="127" t="str">
        <f t="shared" si="40"/>
        <v/>
      </c>
      <c r="BL19" s="127" t="str">
        <f t="shared" si="39"/>
        <v/>
      </c>
      <c r="BM19" s="127" t="str">
        <f t="shared" si="40"/>
        <v/>
      </c>
      <c r="BN19" s="127" t="str">
        <f t="shared" si="40"/>
        <v/>
      </c>
      <c r="BO19" s="127" t="str">
        <f t="shared" si="40"/>
        <v/>
      </c>
      <c r="BP19" s="127" t="str">
        <f t="shared" si="40"/>
        <v/>
      </c>
      <c r="BQ19" s="127" t="str">
        <f t="shared" si="40"/>
        <v/>
      </c>
      <c r="BR19" s="127" t="str">
        <f t="shared" si="39"/>
        <v/>
      </c>
      <c r="BS19" s="127" t="str">
        <f t="shared" si="32"/>
        <v/>
      </c>
      <c r="BT19" s="127" t="str">
        <f t="shared" si="32"/>
        <v/>
      </c>
      <c r="BU19" s="127" t="str">
        <f t="shared" si="32"/>
        <v/>
      </c>
      <c r="BV19" s="127" t="str">
        <f t="shared" si="32"/>
        <v/>
      </c>
      <c r="BW19" s="127" t="str">
        <f t="shared" si="32"/>
        <v/>
      </c>
      <c r="BX19" s="127" t="str">
        <f t="shared" si="39"/>
        <v/>
      </c>
      <c r="BY19" s="127" t="str">
        <f t="shared" si="32"/>
        <v/>
      </c>
      <c r="BZ19" s="127" t="str">
        <f t="shared" si="32"/>
        <v/>
      </c>
      <c r="CA19" s="127" t="str">
        <f t="shared" si="32"/>
        <v/>
      </c>
      <c r="CB19" s="127" t="str">
        <f t="shared" si="32"/>
        <v/>
      </c>
      <c r="CC19" s="127" t="str">
        <f t="shared" si="32"/>
        <v/>
      </c>
      <c r="CD19" s="127" t="str">
        <f t="shared" si="39"/>
        <v/>
      </c>
    </row>
    <row r="20" spans="1:82" ht="12.6" customHeight="1" x14ac:dyDescent="0.2">
      <c r="A20" s="106">
        <f>SHIPMENTS!A26</f>
        <v>9131</v>
      </c>
      <c r="B20" s="106" t="str">
        <f>SHIPMENTS!B26</f>
        <v>15900- Cagayan De Oro |Kevin Anthony Pilapil Lagumbay</v>
      </c>
      <c r="C20" s="132">
        <f>SHIPMENTS!F26</f>
        <v>0.12</v>
      </c>
      <c r="D20" s="107" t="str">
        <f>IF((SHIPMENTS!I26)=0,"",SHIPMENTS!I26)</f>
        <v/>
      </c>
      <c r="E20" s="176">
        <f>IF((SHIPMENTS!G26)=0,"",SHIPMENTS!G26)</f>
        <v>46323</v>
      </c>
      <c r="F20" s="98">
        <f>VLOOKUP(A20,load!$A$4:$U$5001,18,0)</f>
        <v>4.7E-2</v>
      </c>
      <c r="G20" s="109">
        <f>Manhours!$C$15</f>
        <v>5</v>
      </c>
      <c r="H20" s="98">
        <f t="shared" si="33"/>
        <v>45.5</v>
      </c>
      <c r="I20" s="99">
        <f t="shared" si="34"/>
        <v>1.0329670329670331E-3</v>
      </c>
      <c r="J20" s="99">
        <f t="shared" si="35"/>
        <v>9.4000000000000004E-3</v>
      </c>
      <c r="K20" s="98">
        <f t="shared" si="27"/>
        <v>0</v>
      </c>
      <c r="L20" s="98">
        <f t="shared" si="36"/>
        <v>0</v>
      </c>
      <c r="M20" s="181">
        <f t="shared" si="38"/>
        <v>46314.195777619047</v>
      </c>
      <c r="N20" s="181">
        <f t="shared" si="37"/>
        <v>46314.195777619047</v>
      </c>
      <c r="O20" s="112">
        <f>VLOOKUP(A20,SHIPMENTS!$A$7:$AP$76,11,0)</f>
        <v>1</v>
      </c>
      <c r="P20" s="101"/>
      <c r="Q20" s="127" t="str">
        <f t="shared" si="29"/>
        <v/>
      </c>
      <c r="R20" s="127" t="str">
        <f t="shared" si="29"/>
        <v/>
      </c>
      <c r="S20" s="127" t="str">
        <f t="shared" si="29"/>
        <v/>
      </c>
      <c r="T20" s="127" t="str">
        <f t="shared" si="29"/>
        <v/>
      </c>
      <c r="U20" s="127" t="str">
        <f t="shared" si="29"/>
        <v/>
      </c>
      <c r="V20" s="127" t="str">
        <f t="shared" si="29"/>
        <v/>
      </c>
      <c r="W20" s="127" t="str">
        <f t="shared" si="29"/>
        <v/>
      </c>
      <c r="X20" s="127" t="str">
        <f t="shared" si="29"/>
        <v/>
      </c>
      <c r="Y20" s="127" t="str">
        <f t="shared" si="29"/>
        <v>▲</v>
      </c>
      <c r="Z20" s="127" t="str">
        <f t="shared" si="29"/>
        <v/>
      </c>
      <c r="AA20" s="127" t="str">
        <f t="shared" si="29"/>
        <v/>
      </c>
      <c r="AB20" s="127" t="str">
        <f t="shared" si="29"/>
        <v/>
      </c>
      <c r="AC20" s="127" t="str">
        <f t="shared" si="29"/>
        <v/>
      </c>
      <c r="AD20" s="127" t="str">
        <f t="shared" si="29"/>
        <v/>
      </c>
      <c r="AE20" s="127" t="str">
        <f t="shared" si="29"/>
        <v/>
      </c>
      <c r="AF20" s="127" t="str">
        <f t="shared" si="29"/>
        <v/>
      </c>
      <c r="AG20" s="127" t="str">
        <f t="shared" si="40"/>
        <v/>
      </c>
      <c r="AH20" s="127" t="str">
        <f t="shared" si="40"/>
        <v/>
      </c>
      <c r="AI20" s="127" t="str">
        <f t="shared" si="40"/>
        <v/>
      </c>
      <c r="AJ20" s="127" t="str">
        <f t="shared" si="40"/>
        <v/>
      </c>
      <c r="AK20" s="127" t="str">
        <f t="shared" si="40"/>
        <v/>
      </c>
      <c r="AL20" s="127" t="str">
        <f t="shared" si="40"/>
        <v/>
      </c>
      <c r="AM20" s="127" t="str">
        <f t="shared" si="40"/>
        <v/>
      </c>
      <c r="AN20" s="127" t="str">
        <f t="shared" si="40"/>
        <v/>
      </c>
      <c r="AO20" s="127" t="str">
        <f t="shared" si="40"/>
        <v/>
      </c>
      <c r="AP20" s="127" t="str">
        <f t="shared" si="40"/>
        <v/>
      </c>
      <c r="AQ20" s="127" t="str">
        <f t="shared" si="40"/>
        <v/>
      </c>
      <c r="AR20" s="127" t="str">
        <f t="shared" si="40"/>
        <v/>
      </c>
      <c r="AS20" s="127" t="str">
        <f t="shared" si="40"/>
        <v/>
      </c>
      <c r="AT20" s="127" t="str">
        <f t="shared" si="40"/>
        <v/>
      </c>
      <c r="AU20" s="127" t="str">
        <f t="shared" si="40"/>
        <v/>
      </c>
      <c r="AV20" s="127" t="str">
        <f t="shared" si="40"/>
        <v/>
      </c>
      <c r="AW20" s="127" t="str">
        <f t="shared" si="40"/>
        <v/>
      </c>
      <c r="AX20" s="127" t="str">
        <f t="shared" si="40"/>
        <v/>
      </c>
      <c r="AY20" s="127" t="str">
        <f t="shared" si="40"/>
        <v/>
      </c>
      <c r="AZ20" s="127" t="str">
        <f t="shared" si="40"/>
        <v/>
      </c>
      <c r="BA20" s="127" t="str">
        <f t="shared" si="40"/>
        <v/>
      </c>
      <c r="BB20" s="127" t="str">
        <f t="shared" si="40"/>
        <v/>
      </c>
      <c r="BC20" s="127" t="str">
        <f t="shared" si="40"/>
        <v/>
      </c>
      <c r="BD20" s="127" t="str">
        <f t="shared" si="40"/>
        <v/>
      </c>
      <c r="BE20" s="127" t="str">
        <f t="shared" si="40"/>
        <v/>
      </c>
      <c r="BF20" s="127" t="str">
        <f t="shared" si="39"/>
        <v/>
      </c>
      <c r="BG20" s="127" t="str">
        <f t="shared" si="40"/>
        <v/>
      </c>
      <c r="BH20" s="127" t="str">
        <f t="shared" si="40"/>
        <v/>
      </c>
      <c r="BI20" s="127" t="str">
        <f t="shared" si="40"/>
        <v/>
      </c>
      <c r="BJ20" s="127" t="str">
        <f t="shared" si="40"/>
        <v/>
      </c>
      <c r="BK20" s="127" t="str">
        <f t="shared" si="40"/>
        <v/>
      </c>
      <c r="BL20" s="127" t="str">
        <f t="shared" si="39"/>
        <v/>
      </c>
      <c r="BM20" s="127" t="str">
        <f t="shared" si="40"/>
        <v/>
      </c>
      <c r="BN20" s="127" t="str">
        <f t="shared" si="40"/>
        <v/>
      </c>
      <c r="BO20" s="127" t="str">
        <f t="shared" si="40"/>
        <v/>
      </c>
      <c r="BP20" s="127" t="str">
        <f t="shared" si="40"/>
        <v/>
      </c>
      <c r="BQ20" s="127" t="str">
        <f t="shared" si="40"/>
        <v/>
      </c>
      <c r="BR20" s="127" t="str">
        <f t="shared" si="39"/>
        <v/>
      </c>
      <c r="BS20" s="127" t="str">
        <f t="shared" si="32"/>
        <v/>
      </c>
      <c r="BT20" s="127" t="str">
        <f t="shared" si="32"/>
        <v/>
      </c>
      <c r="BU20" s="127" t="str">
        <f t="shared" si="32"/>
        <v/>
      </c>
      <c r="BV20" s="127" t="str">
        <f t="shared" si="32"/>
        <v/>
      </c>
      <c r="BW20" s="127" t="str">
        <f t="shared" si="32"/>
        <v/>
      </c>
      <c r="BX20" s="127" t="str">
        <f t="shared" si="39"/>
        <v/>
      </c>
      <c r="BY20" s="127" t="str">
        <f t="shared" si="32"/>
        <v/>
      </c>
      <c r="BZ20" s="127" t="str">
        <f t="shared" si="32"/>
        <v/>
      </c>
      <c r="CA20" s="127" t="str">
        <f t="shared" si="32"/>
        <v/>
      </c>
      <c r="CB20" s="127" t="str">
        <f t="shared" si="32"/>
        <v/>
      </c>
      <c r="CC20" s="127" t="str">
        <f t="shared" si="32"/>
        <v/>
      </c>
      <c r="CD20" s="127" t="str">
        <f t="shared" si="39"/>
        <v/>
      </c>
    </row>
    <row r="21" spans="1:82" ht="12.6" customHeight="1" x14ac:dyDescent="0.2">
      <c r="A21" s="106">
        <f>SHIPMENTS!A27</f>
        <v>9228</v>
      </c>
      <c r="B21" s="106" t="str">
        <f>SHIPMENTS!B27</f>
        <v>15900- Cebu City |Stephanie Sarmiento</v>
      </c>
      <c r="C21" s="132">
        <f>SHIPMENTS!F27</f>
        <v>0.16</v>
      </c>
      <c r="D21" s="107" t="str">
        <f>IF((SHIPMENTS!I27)=0,"",SHIPMENTS!I27)</f>
        <v/>
      </c>
      <c r="E21" s="176">
        <f>IF((SHIPMENTS!G27)=0,"",SHIPMENTS!G27)</f>
        <v>46323</v>
      </c>
      <c r="F21" s="98">
        <f>VLOOKUP(A21,load!$A$4:$U$5001,18,0)</f>
        <v>0</v>
      </c>
      <c r="G21" s="109">
        <f>Manhours!$C$15</f>
        <v>5</v>
      </c>
      <c r="H21" s="98">
        <f t="shared" si="33"/>
        <v>45.5</v>
      </c>
      <c r="I21" s="99">
        <f t="shared" si="34"/>
        <v>0</v>
      </c>
      <c r="J21" s="99">
        <f t="shared" si="35"/>
        <v>0</v>
      </c>
      <c r="K21" s="98">
        <f t="shared" si="27"/>
        <v>0</v>
      </c>
      <c r="L21" s="98">
        <f t="shared" si="36"/>
        <v>0</v>
      </c>
      <c r="M21" s="181">
        <f t="shared" si="38"/>
        <v>46314.195777619047</v>
      </c>
      <c r="N21" s="181">
        <f t="shared" si="37"/>
        <v>46314.195777619047</v>
      </c>
      <c r="O21" s="112">
        <f>VLOOKUP(A21,SHIPMENTS!$A$7:$AP$76,11,0)</f>
        <v>1</v>
      </c>
      <c r="P21" s="101"/>
      <c r="Q21" s="127" t="str">
        <f t="shared" si="29"/>
        <v/>
      </c>
      <c r="R21" s="127" t="str">
        <f t="shared" si="29"/>
        <v/>
      </c>
      <c r="S21" s="127" t="str">
        <f t="shared" si="29"/>
        <v/>
      </c>
      <c r="T21" s="127" t="str">
        <f t="shared" si="29"/>
        <v/>
      </c>
      <c r="U21" s="127" t="str">
        <f t="shared" si="29"/>
        <v/>
      </c>
      <c r="V21" s="127" t="str">
        <f t="shared" si="29"/>
        <v/>
      </c>
      <c r="W21" s="127" t="str">
        <f t="shared" si="29"/>
        <v/>
      </c>
      <c r="X21" s="127" t="str">
        <f t="shared" si="29"/>
        <v/>
      </c>
      <c r="Y21" s="127" t="str">
        <f t="shared" si="29"/>
        <v>▲</v>
      </c>
      <c r="Z21" s="127" t="str">
        <f t="shared" si="29"/>
        <v/>
      </c>
      <c r="AA21" s="127" t="str">
        <f t="shared" si="29"/>
        <v/>
      </c>
      <c r="AB21" s="127" t="str">
        <f t="shared" si="29"/>
        <v/>
      </c>
      <c r="AC21" s="127" t="str">
        <f t="shared" si="29"/>
        <v/>
      </c>
      <c r="AD21" s="127" t="str">
        <f t="shared" si="29"/>
        <v/>
      </c>
      <c r="AE21" s="127" t="str">
        <f t="shared" si="29"/>
        <v/>
      </c>
      <c r="AF21" s="127" t="str">
        <f t="shared" si="29"/>
        <v/>
      </c>
      <c r="AG21" s="127" t="str">
        <f t="shared" si="40"/>
        <v/>
      </c>
      <c r="AH21" s="127" t="str">
        <f t="shared" si="40"/>
        <v/>
      </c>
      <c r="AI21" s="127" t="str">
        <f t="shared" si="40"/>
        <v/>
      </c>
      <c r="AJ21" s="127" t="str">
        <f t="shared" si="40"/>
        <v/>
      </c>
      <c r="AK21" s="127" t="str">
        <f t="shared" si="40"/>
        <v/>
      </c>
      <c r="AL21" s="127" t="str">
        <f t="shared" si="40"/>
        <v/>
      </c>
      <c r="AM21" s="127" t="str">
        <f t="shared" si="40"/>
        <v/>
      </c>
      <c r="AN21" s="127" t="str">
        <f t="shared" si="40"/>
        <v/>
      </c>
      <c r="AO21" s="127" t="str">
        <f t="shared" si="40"/>
        <v/>
      </c>
      <c r="AP21" s="127" t="str">
        <f t="shared" si="40"/>
        <v/>
      </c>
      <c r="AQ21" s="127" t="str">
        <f t="shared" si="40"/>
        <v/>
      </c>
      <c r="AR21" s="127" t="str">
        <f t="shared" si="40"/>
        <v/>
      </c>
      <c r="AS21" s="127" t="str">
        <f t="shared" si="40"/>
        <v/>
      </c>
      <c r="AT21" s="127" t="str">
        <f t="shared" si="40"/>
        <v/>
      </c>
      <c r="AU21" s="127" t="str">
        <f t="shared" si="40"/>
        <v/>
      </c>
      <c r="AV21" s="127" t="str">
        <f t="shared" si="40"/>
        <v/>
      </c>
      <c r="AW21" s="127" t="str">
        <f t="shared" si="40"/>
        <v/>
      </c>
      <c r="AX21" s="127" t="str">
        <f t="shared" si="40"/>
        <v/>
      </c>
      <c r="AY21" s="127" t="str">
        <f t="shared" si="40"/>
        <v/>
      </c>
      <c r="AZ21" s="127" t="str">
        <f t="shared" si="40"/>
        <v/>
      </c>
      <c r="BA21" s="127" t="str">
        <f t="shared" si="40"/>
        <v/>
      </c>
      <c r="BB21" s="127" t="str">
        <f t="shared" si="40"/>
        <v/>
      </c>
      <c r="BC21" s="127" t="str">
        <f t="shared" si="40"/>
        <v/>
      </c>
      <c r="BD21" s="127" t="str">
        <f t="shared" si="40"/>
        <v/>
      </c>
      <c r="BE21" s="127" t="str">
        <f t="shared" si="40"/>
        <v/>
      </c>
      <c r="BF21" s="127" t="str">
        <f t="shared" si="39"/>
        <v/>
      </c>
      <c r="BG21" s="127" t="str">
        <f t="shared" si="40"/>
        <v/>
      </c>
      <c r="BH21" s="127" t="str">
        <f t="shared" si="40"/>
        <v/>
      </c>
      <c r="BI21" s="127" t="str">
        <f t="shared" si="40"/>
        <v/>
      </c>
      <c r="BJ21" s="127" t="str">
        <f t="shared" si="40"/>
        <v/>
      </c>
      <c r="BK21" s="127" t="str">
        <f t="shared" si="40"/>
        <v/>
      </c>
      <c r="BL21" s="127" t="str">
        <f t="shared" si="39"/>
        <v/>
      </c>
      <c r="BM21" s="127" t="str">
        <f t="shared" si="40"/>
        <v/>
      </c>
      <c r="BN21" s="127" t="str">
        <f t="shared" si="40"/>
        <v/>
      </c>
      <c r="BO21" s="127" t="str">
        <f t="shared" si="40"/>
        <v/>
      </c>
      <c r="BP21" s="127" t="str">
        <f t="shared" si="40"/>
        <v/>
      </c>
      <c r="BQ21" s="127" t="str">
        <f t="shared" si="40"/>
        <v/>
      </c>
      <c r="BR21" s="127" t="str">
        <f t="shared" si="39"/>
        <v/>
      </c>
      <c r="BS21" s="127" t="str">
        <f t="shared" si="32"/>
        <v/>
      </c>
      <c r="BT21" s="127" t="str">
        <f t="shared" si="32"/>
        <v/>
      </c>
      <c r="BU21" s="127" t="str">
        <f t="shared" si="32"/>
        <v/>
      </c>
      <c r="BV21" s="127" t="str">
        <f t="shared" si="32"/>
        <v/>
      </c>
      <c r="BW21" s="127" t="str">
        <f t="shared" si="32"/>
        <v/>
      </c>
      <c r="BX21" s="127" t="str">
        <f t="shared" si="39"/>
        <v/>
      </c>
      <c r="BY21" s="127" t="str">
        <f t="shared" si="32"/>
        <v/>
      </c>
      <c r="BZ21" s="127" t="str">
        <f t="shared" si="32"/>
        <v/>
      </c>
      <c r="CA21" s="127" t="str">
        <f t="shared" si="32"/>
        <v/>
      </c>
      <c r="CB21" s="127" t="str">
        <f t="shared" si="32"/>
        <v/>
      </c>
      <c r="CC21" s="127" t="str">
        <f t="shared" si="32"/>
        <v/>
      </c>
      <c r="CD21" s="127" t="str">
        <f t="shared" si="39"/>
        <v/>
      </c>
    </row>
    <row r="22" spans="1:82" ht="12.6" customHeight="1" x14ac:dyDescent="0.2">
      <c r="A22" s="106">
        <f>SHIPMENTS!A28</f>
        <v>9279</v>
      </c>
      <c r="B22" s="106" t="str">
        <f>SHIPMENTS!B28</f>
        <v>15900- Iloilo |Rocky Go</v>
      </c>
      <c r="C22" s="132">
        <f>SHIPMENTS!F28</f>
        <v>0.34820000000000001</v>
      </c>
      <c r="D22" s="107" t="str">
        <f>IF((SHIPMENTS!I28)=0,"",SHIPMENTS!I28)</f>
        <v/>
      </c>
      <c r="E22" s="176">
        <f>IF((SHIPMENTS!G28)=0,"",SHIPMENTS!G28)</f>
        <v>46323</v>
      </c>
      <c r="F22" s="98">
        <f>VLOOKUP(A22,load!$A$4:$U$5001,18,0)</f>
        <v>0.35549999999999998</v>
      </c>
      <c r="G22" s="109">
        <f>Manhours!$C$15</f>
        <v>5</v>
      </c>
      <c r="H22" s="98">
        <f t="shared" si="33"/>
        <v>45.5</v>
      </c>
      <c r="I22" s="99">
        <f t="shared" si="34"/>
        <v>7.8131868131868128E-3</v>
      </c>
      <c r="J22" s="99">
        <f t="shared" si="35"/>
        <v>7.1099999999999997E-2</v>
      </c>
      <c r="K22" s="98">
        <f t="shared" si="27"/>
        <v>7.8131868131868128E-3</v>
      </c>
      <c r="L22" s="98">
        <f t="shared" si="36"/>
        <v>7.1099999999999997E-2</v>
      </c>
      <c r="M22" s="181">
        <f t="shared" si="38"/>
        <v>46314.195777619047</v>
      </c>
      <c r="N22" s="181">
        <f t="shared" si="37"/>
        <v>46314.203590805861</v>
      </c>
      <c r="O22" s="112">
        <f>VLOOKUP(A22,SHIPMENTS!$A$7:$AP$76,11,0)</f>
        <v>0</v>
      </c>
      <c r="P22" s="101"/>
      <c r="Q22" s="127" t="str">
        <f t="shared" si="29"/>
        <v/>
      </c>
      <c r="R22" s="127" t="str">
        <f t="shared" si="29"/>
        <v/>
      </c>
      <c r="S22" s="127" t="str">
        <f t="shared" si="29"/>
        <v/>
      </c>
      <c r="T22" s="127" t="str">
        <f t="shared" si="29"/>
        <v/>
      </c>
      <c r="U22" s="127" t="str">
        <f t="shared" si="29"/>
        <v/>
      </c>
      <c r="V22" s="127" t="str">
        <f t="shared" si="29"/>
        <v/>
      </c>
      <c r="W22" s="127" t="str">
        <f t="shared" si="29"/>
        <v/>
      </c>
      <c r="X22" s="127" t="str">
        <f t="shared" si="29"/>
        <v/>
      </c>
      <c r="Y22" s="127" t="str">
        <f t="shared" si="29"/>
        <v>▲</v>
      </c>
      <c r="Z22" s="127" t="str">
        <f t="shared" si="29"/>
        <v/>
      </c>
      <c r="AA22" s="127" t="str">
        <f t="shared" si="29"/>
        <v/>
      </c>
      <c r="AB22" s="127" t="str">
        <f t="shared" si="29"/>
        <v/>
      </c>
      <c r="AC22" s="127" t="str">
        <f t="shared" si="29"/>
        <v/>
      </c>
      <c r="AD22" s="127" t="str">
        <f t="shared" si="29"/>
        <v/>
      </c>
      <c r="AE22" s="127" t="str">
        <f t="shared" si="29"/>
        <v/>
      </c>
      <c r="AF22" s="127" t="str">
        <f t="shared" si="29"/>
        <v/>
      </c>
      <c r="AG22" s="127" t="str">
        <f t="shared" si="40"/>
        <v/>
      </c>
      <c r="AH22" s="127" t="str">
        <f t="shared" si="40"/>
        <v/>
      </c>
      <c r="AI22" s="127" t="str">
        <f t="shared" si="40"/>
        <v/>
      </c>
      <c r="AJ22" s="127" t="str">
        <f t="shared" si="40"/>
        <v/>
      </c>
      <c r="AK22" s="127" t="str">
        <f t="shared" si="40"/>
        <v/>
      </c>
      <c r="AL22" s="127" t="str">
        <f t="shared" si="40"/>
        <v/>
      </c>
      <c r="AM22" s="127" t="str">
        <f t="shared" si="40"/>
        <v/>
      </c>
      <c r="AN22" s="127" t="str">
        <f t="shared" si="40"/>
        <v/>
      </c>
      <c r="AO22" s="127" t="str">
        <f t="shared" si="40"/>
        <v/>
      </c>
      <c r="AP22" s="127" t="str">
        <f t="shared" si="40"/>
        <v/>
      </c>
      <c r="AQ22" s="127" t="str">
        <f t="shared" si="40"/>
        <v/>
      </c>
      <c r="AR22" s="127" t="str">
        <f t="shared" si="40"/>
        <v/>
      </c>
      <c r="AS22" s="127" t="str">
        <f t="shared" si="40"/>
        <v/>
      </c>
      <c r="AT22" s="127" t="str">
        <f t="shared" si="40"/>
        <v/>
      </c>
      <c r="AU22" s="127" t="str">
        <f t="shared" si="40"/>
        <v/>
      </c>
      <c r="AV22" s="127" t="str">
        <f t="shared" si="40"/>
        <v/>
      </c>
      <c r="AW22" s="127" t="str">
        <f t="shared" si="40"/>
        <v/>
      </c>
      <c r="AX22" s="127" t="str">
        <f t="shared" si="40"/>
        <v/>
      </c>
      <c r="AY22" s="127" t="str">
        <f t="shared" si="40"/>
        <v/>
      </c>
      <c r="AZ22" s="127" t="str">
        <f t="shared" si="40"/>
        <v/>
      </c>
      <c r="BA22" s="127" t="str">
        <f t="shared" si="40"/>
        <v/>
      </c>
      <c r="BB22" s="127" t="str">
        <f t="shared" si="40"/>
        <v/>
      </c>
      <c r="BC22" s="127" t="str">
        <f t="shared" si="40"/>
        <v/>
      </c>
      <c r="BD22" s="127" t="str">
        <f t="shared" si="40"/>
        <v/>
      </c>
      <c r="BE22" s="127" t="str">
        <f t="shared" si="40"/>
        <v/>
      </c>
      <c r="BF22" s="127" t="str">
        <f t="shared" si="39"/>
        <v/>
      </c>
      <c r="BG22" s="127" t="str">
        <f t="shared" si="40"/>
        <v/>
      </c>
      <c r="BH22" s="127" t="str">
        <f t="shared" si="40"/>
        <v/>
      </c>
      <c r="BI22" s="127" t="str">
        <f t="shared" si="40"/>
        <v/>
      </c>
      <c r="BJ22" s="127" t="str">
        <f t="shared" si="40"/>
        <v/>
      </c>
      <c r="BK22" s="127" t="str">
        <f t="shared" si="40"/>
        <v/>
      </c>
      <c r="BL22" s="127" t="str">
        <f t="shared" si="39"/>
        <v/>
      </c>
      <c r="BM22" s="127" t="str">
        <f t="shared" si="40"/>
        <v/>
      </c>
      <c r="BN22" s="127" t="str">
        <f t="shared" si="40"/>
        <v/>
      </c>
      <c r="BO22" s="127" t="str">
        <f t="shared" si="40"/>
        <v/>
      </c>
      <c r="BP22" s="127" t="str">
        <f t="shared" si="40"/>
        <v/>
      </c>
      <c r="BQ22" s="127" t="str">
        <f t="shared" si="40"/>
        <v/>
      </c>
      <c r="BR22" s="127" t="str">
        <f t="shared" si="39"/>
        <v/>
      </c>
      <c r="BS22" s="127" t="str">
        <f t="shared" si="32"/>
        <v/>
      </c>
      <c r="BT22" s="127" t="str">
        <f t="shared" si="32"/>
        <v/>
      </c>
      <c r="BU22" s="127" t="str">
        <f t="shared" si="32"/>
        <v/>
      </c>
      <c r="BV22" s="127" t="str">
        <f t="shared" si="32"/>
        <v/>
      </c>
      <c r="BW22" s="127" t="str">
        <f t="shared" si="32"/>
        <v/>
      </c>
      <c r="BX22" s="127" t="str">
        <f t="shared" si="39"/>
        <v/>
      </c>
      <c r="BY22" s="127" t="str">
        <f t="shared" si="32"/>
        <v/>
      </c>
      <c r="BZ22" s="127" t="str">
        <f t="shared" si="32"/>
        <v/>
      </c>
      <c r="CA22" s="127" t="str">
        <f t="shared" si="32"/>
        <v/>
      </c>
      <c r="CB22" s="127" t="str">
        <f t="shared" si="32"/>
        <v/>
      </c>
      <c r="CC22" s="127" t="str">
        <f t="shared" si="32"/>
        <v/>
      </c>
      <c r="CD22" s="127" t="str">
        <f t="shared" si="39"/>
        <v/>
      </c>
    </row>
    <row r="23" spans="1:82" ht="12.6" customHeight="1" x14ac:dyDescent="0.2">
      <c r="A23" s="106">
        <f>SHIPMENTS!A29</f>
        <v>8964</v>
      </c>
      <c r="B23" s="106" t="str">
        <f>SHIPMENTS!B29</f>
        <v>15900- Mandaue Warehouse</v>
      </c>
      <c r="C23" s="132">
        <f>SHIPMENTS!F29</f>
        <v>0.11</v>
      </c>
      <c r="D23" s="107" t="str">
        <f>IF((SHIPMENTS!I29)=0,"",SHIPMENTS!I29)</f>
        <v/>
      </c>
      <c r="E23" s="176">
        <f>IF((SHIPMENTS!G29)=0,"",SHIPMENTS!G29)</f>
        <v>46323</v>
      </c>
      <c r="F23" s="98">
        <f>VLOOKUP(A23,load!$A$4:$U$5001,18,0)</f>
        <v>0</v>
      </c>
      <c r="G23" s="109">
        <f>Manhours!$C$15</f>
        <v>5</v>
      </c>
      <c r="H23" s="98">
        <f t="shared" si="33"/>
        <v>45.5</v>
      </c>
      <c r="I23" s="99">
        <f t="shared" si="34"/>
        <v>0</v>
      </c>
      <c r="J23" s="99">
        <f t="shared" si="35"/>
        <v>0</v>
      </c>
      <c r="K23" s="98">
        <f t="shared" si="27"/>
        <v>0</v>
      </c>
      <c r="L23" s="98">
        <f t="shared" si="36"/>
        <v>0</v>
      </c>
      <c r="M23" s="181">
        <f t="shared" si="38"/>
        <v>46314.203590805861</v>
      </c>
      <c r="N23" s="181">
        <f t="shared" si="37"/>
        <v>46314.203590805861</v>
      </c>
      <c r="O23" s="112">
        <f>VLOOKUP(A23,SHIPMENTS!$A$7:$AP$76,11,0)</f>
        <v>1</v>
      </c>
      <c r="P23" s="101"/>
      <c r="Q23" s="127" t="str">
        <f t="shared" si="29"/>
        <v/>
      </c>
      <c r="R23" s="127" t="str">
        <f t="shared" si="29"/>
        <v/>
      </c>
      <c r="S23" s="127" t="str">
        <f t="shared" si="29"/>
        <v/>
      </c>
      <c r="T23" s="127" t="str">
        <f t="shared" si="29"/>
        <v/>
      </c>
      <c r="U23" s="127" t="str">
        <f t="shared" si="29"/>
        <v/>
      </c>
      <c r="V23" s="127" t="str">
        <f t="shared" si="29"/>
        <v/>
      </c>
      <c r="W23" s="127" t="str">
        <f t="shared" si="29"/>
        <v/>
      </c>
      <c r="X23" s="127" t="str">
        <f t="shared" si="29"/>
        <v/>
      </c>
      <c r="Y23" s="127" t="str">
        <f t="shared" si="29"/>
        <v>▲</v>
      </c>
      <c r="Z23" s="127" t="str">
        <f t="shared" si="29"/>
        <v/>
      </c>
      <c r="AA23" s="127" t="str">
        <f t="shared" si="29"/>
        <v/>
      </c>
      <c r="AB23" s="127" t="str">
        <f t="shared" si="29"/>
        <v/>
      </c>
      <c r="AC23" s="127" t="str">
        <f t="shared" si="29"/>
        <v/>
      </c>
      <c r="AD23" s="127" t="str">
        <f t="shared" si="29"/>
        <v/>
      </c>
      <c r="AE23" s="127" t="str">
        <f t="shared" si="29"/>
        <v/>
      </c>
      <c r="AF23" s="127" t="str">
        <f t="shared" ref="AF23:BE33" si="41">IF($E23=AF$3,"▲","")</f>
        <v/>
      </c>
      <c r="AG23" s="127" t="str">
        <f t="shared" si="41"/>
        <v/>
      </c>
      <c r="AH23" s="127" t="str">
        <f t="shared" si="41"/>
        <v/>
      </c>
      <c r="AI23" s="127" t="str">
        <f t="shared" si="41"/>
        <v/>
      </c>
      <c r="AJ23" s="127" t="str">
        <f t="shared" si="41"/>
        <v/>
      </c>
      <c r="AK23" s="127" t="str">
        <f t="shared" si="41"/>
        <v/>
      </c>
      <c r="AL23" s="127" t="str">
        <f t="shared" si="41"/>
        <v/>
      </c>
      <c r="AM23" s="127" t="str">
        <f t="shared" si="41"/>
        <v/>
      </c>
      <c r="AN23" s="127" t="str">
        <f t="shared" si="41"/>
        <v/>
      </c>
      <c r="AO23" s="127" t="str">
        <f t="shared" si="41"/>
        <v/>
      </c>
      <c r="AP23" s="127" t="str">
        <f t="shared" si="41"/>
        <v/>
      </c>
      <c r="AQ23" s="127" t="str">
        <f t="shared" si="41"/>
        <v/>
      </c>
      <c r="AR23" s="127" t="str">
        <f t="shared" si="41"/>
        <v/>
      </c>
      <c r="AS23" s="127" t="str">
        <f t="shared" si="41"/>
        <v/>
      </c>
      <c r="AT23" s="127" t="str">
        <f t="shared" si="41"/>
        <v/>
      </c>
      <c r="AU23" s="127" t="str">
        <f t="shared" si="41"/>
        <v/>
      </c>
      <c r="AV23" s="127" t="str">
        <f t="shared" si="41"/>
        <v/>
      </c>
      <c r="AW23" s="127" t="str">
        <f t="shared" si="41"/>
        <v/>
      </c>
      <c r="AX23" s="127" t="str">
        <f t="shared" si="41"/>
        <v/>
      </c>
      <c r="AY23" s="127" t="str">
        <f t="shared" si="41"/>
        <v/>
      </c>
      <c r="AZ23" s="127" t="str">
        <f t="shared" si="41"/>
        <v/>
      </c>
      <c r="BA23" s="127" t="str">
        <f t="shared" si="41"/>
        <v/>
      </c>
      <c r="BB23" s="127" t="str">
        <f t="shared" si="41"/>
        <v/>
      </c>
      <c r="BC23" s="127" t="str">
        <f t="shared" si="41"/>
        <v/>
      </c>
      <c r="BD23" s="127" t="str">
        <f t="shared" si="41"/>
        <v/>
      </c>
      <c r="BE23" s="127" t="str">
        <f t="shared" si="41"/>
        <v/>
      </c>
      <c r="BF23" s="127" t="str">
        <f t="shared" si="39"/>
        <v/>
      </c>
      <c r="BG23" s="127" t="str">
        <f t="shared" si="40"/>
        <v/>
      </c>
      <c r="BH23" s="127" t="str">
        <f t="shared" si="40"/>
        <v/>
      </c>
      <c r="BI23" s="127" t="str">
        <f t="shared" si="40"/>
        <v/>
      </c>
      <c r="BJ23" s="127" t="str">
        <f t="shared" si="40"/>
        <v/>
      </c>
      <c r="BK23" s="127" t="str">
        <f t="shared" si="40"/>
        <v/>
      </c>
      <c r="BL23" s="127" t="str">
        <f t="shared" si="39"/>
        <v/>
      </c>
      <c r="BM23" s="127" t="str">
        <f t="shared" si="40"/>
        <v/>
      </c>
      <c r="BN23" s="127" t="str">
        <f t="shared" si="40"/>
        <v/>
      </c>
      <c r="BO23" s="127" t="str">
        <f t="shared" si="40"/>
        <v/>
      </c>
      <c r="BP23" s="127" t="str">
        <f t="shared" si="40"/>
        <v/>
      </c>
      <c r="BQ23" s="127" t="str">
        <f t="shared" si="40"/>
        <v/>
      </c>
      <c r="BR23" s="127" t="str">
        <f t="shared" si="39"/>
        <v/>
      </c>
      <c r="BS23" s="127" t="str">
        <f t="shared" si="32"/>
        <v/>
      </c>
      <c r="BT23" s="127" t="str">
        <f t="shared" si="32"/>
        <v/>
      </c>
      <c r="BU23" s="127" t="str">
        <f t="shared" si="32"/>
        <v/>
      </c>
      <c r="BV23" s="127" t="str">
        <f t="shared" si="32"/>
        <v/>
      </c>
      <c r="BW23" s="127" t="str">
        <f t="shared" si="32"/>
        <v/>
      </c>
      <c r="BX23" s="127" t="str">
        <f t="shared" si="39"/>
        <v/>
      </c>
      <c r="BY23" s="127" t="str">
        <f t="shared" si="32"/>
        <v/>
      </c>
      <c r="BZ23" s="127" t="str">
        <f t="shared" si="32"/>
        <v/>
      </c>
      <c r="CA23" s="127" t="str">
        <f t="shared" si="32"/>
        <v/>
      </c>
      <c r="CB23" s="127" t="str">
        <f t="shared" si="32"/>
        <v/>
      </c>
      <c r="CC23" s="127" t="str">
        <f t="shared" si="32"/>
        <v/>
      </c>
      <c r="CD23" s="127" t="str">
        <f t="shared" si="39"/>
        <v/>
      </c>
    </row>
    <row r="24" spans="1:82" ht="12.6" hidden="1" customHeight="1" x14ac:dyDescent="0.2">
      <c r="A24" s="106">
        <f>SHIPMENTS!A30</f>
        <v>9023</v>
      </c>
      <c r="B24" s="106" t="str">
        <f>SHIPMENTS!B30</f>
        <v>15900- Ubay | Danilo Varela</v>
      </c>
      <c r="C24" s="132">
        <f>SHIPMENTS!F30</f>
        <v>3.0849999999999999E-2</v>
      </c>
      <c r="D24" s="107" t="str">
        <f>IF((SHIPMENTS!I30)=0,"",SHIPMENTS!I30)</f>
        <v/>
      </c>
      <c r="E24" s="176">
        <f>IF((SHIPMENTS!G30)=0,"",SHIPMENTS!G30)</f>
        <v>46323</v>
      </c>
      <c r="F24" s="98">
        <f>VLOOKUP(A24,load!$A$4:$U$5001,18,0)</f>
        <v>4.3166666666666666E-2</v>
      </c>
      <c r="G24" s="109">
        <f>Manhours!$C$15</f>
        <v>5</v>
      </c>
      <c r="H24" s="98">
        <f t="shared" si="33"/>
        <v>45.5</v>
      </c>
      <c r="I24" s="99">
        <f t="shared" si="34"/>
        <v>9.4871794871794867E-4</v>
      </c>
      <c r="J24" s="99">
        <f t="shared" si="35"/>
        <v>8.6333333333333331E-3</v>
      </c>
      <c r="K24" s="98">
        <f t="shared" si="27"/>
        <v>0</v>
      </c>
      <c r="L24" s="98">
        <f t="shared" si="36"/>
        <v>0</v>
      </c>
      <c r="M24" s="181">
        <f t="shared" si="38"/>
        <v>46314.203590805861</v>
      </c>
      <c r="N24" s="181">
        <f t="shared" si="37"/>
        <v>46314.203590805861</v>
      </c>
      <c r="O24" s="112" t="str">
        <f>VLOOKUP(A24,SHIPMENTS!$A$7:$AP$76,11,0)</f>
        <v>n/a</v>
      </c>
      <c r="P24" s="101"/>
      <c r="Q24" s="127" t="str">
        <f t="shared" ref="Q24:AF39" si="42">IF($E24=Q$3,"▲","")</f>
        <v/>
      </c>
      <c r="R24" s="127" t="str">
        <f t="shared" si="42"/>
        <v/>
      </c>
      <c r="S24" s="127" t="str">
        <f t="shared" si="42"/>
        <v/>
      </c>
      <c r="T24" s="127" t="str">
        <f t="shared" si="42"/>
        <v/>
      </c>
      <c r="U24" s="127" t="str">
        <f t="shared" si="42"/>
        <v/>
      </c>
      <c r="V24" s="127" t="str">
        <f t="shared" si="42"/>
        <v/>
      </c>
      <c r="W24" s="127" t="str">
        <f t="shared" si="42"/>
        <v/>
      </c>
      <c r="X24" s="127" t="str">
        <f t="shared" si="42"/>
        <v/>
      </c>
      <c r="Y24" s="127" t="str">
        <f t="shared" si="42"/>
        <v>▲</v>
      </c>
      <c r="Z24" s="127" t="str">
        <f t="shared" si="42"/>
        <v/>
      </c>
      <c r="AA24" s="127" t="str">
        <f t="shared" si="42"/>
        <v/>
      </c>
      <c r="AB24" s="127" t="str">
        <f t="shared" si="42"/>
        <v/>
      </c>
      <c r="AC24" s="127" t="str">
        <f t="shared" si="42"/>
        <v/>
      </c>
      <c r="AD24" s="127" t="str">
        <f t="shared" si="42"/>
        <v/>
      </c>
      <c r="AE24" s="127" t="str">
        <f t="shared" si="42"/>
        <v/>
      </c>
      <c r="AF24" s="127" t="str">
        <f t="shared" si="42"/>
        <v/>
      </c>
      <c r="AG24" s="127" t="str">
        <f t="shared" si="41"/>
        <v/>
      </c>
      <c r="AH24" s="127" t="str">
        <f t="shared" si="41"/>
        <v/>
      </c>
      <c r="AI24" s="127" t="str">
        <f t="shared" si="41"/>
        <v/>
      </c>
      <c r="AJ24" s="127" t="str">
        <f t="shared" si="41"/>
        <v/>
      </c>
      <c r="AK24" s="127" t="str">
        <f t="shared" si="41"/>
        <v/>
      </c>
      <c r="AL24" s="127" t="str">
        <f t="shared" si="41"/>
        <v/>
      </c>
      <c r="AM24" s="127" t="str">
        <f t="shared" si="41"/>
        <v/>
      </c>
      <c r="AN24" s="127" t="str">
        <f t="shared" si="41"/>
        <v/>
      </c>
      <c r="AO24" s="127" t="str">
        <f t="shared" si="41"/>
        <v/>
      </c>
      <c r="AP24" s="127" t="str">
        <f t="shared" si="41"/>
        <v/>
      </c>
      <c r="AQ24" s="127" t="str">
        <f t="shared" si="41"/>
        <v/>
      </c>
      <c r="AR24" s="127" t="str">
        <f t="shared" si="41"/>
        <v/>
      </c>
      <c r="AS24" s="127" t="str">
        <f t="shared" si="41"/>
        <v/>
      </c>
      <c r="AT24" s="127" t="str">
        <f t="shared" si="41"/>
        <v/>
      </c>
      <c r="AU24" s="127" t="str">
        <f t="shared" si="41"/>
        <v/>
      </c>
      <c r="AV24" s="127" t="str">
        <f t="shared" si="41"/>
        <v/>
      </c>
      <c r="AW24" s="127" t="str">
        <f t="shared" si="41"/>
        <v/>
      </c>
      <c r="AX24" s="127" t="str">
        <f t="shared" si="41"/>
        <v/>
      </c>
      <c r="AY24" s="127" t="str">
        <f t="shared" si="41"/>
        <v/>
      </c>
      <c r="AZ24" s="127" t="str">
        <f t="shared" si="41"/>
        <v/>
      </c>
      <c r="BA24" s="127" t="str">
        <f t="shared" si="41"/>
        <v/>
      </c>
      <c r="BB24" s="127" t="str">
        <f t="shared" si="41"/>
        <v/>
      </c>
      <c r="BC24" s="127" t="str">
        <f t="shared" si="41"/>
        <v/>
      </c>
      <c r="BD24" s="127" t="str">
        <f t="shared" si="41"/>
        <v/>
      </c>
      <c r="BE24" s="127" t="str">
        <f t="shared" si="41"/>
        <v/>
      </c>
      <c r="BF24" s="127" t="str">
        <f t="shared" si="39"/>
        <v/>
      </c>
      <c r="BG24" s="127" t="str">
        <f t="shared" si="40"/>
        <v/>
      </c>
      <c r="BH24" s="127" t="str">
        <f t="shared" si="40"/>
        <v/>
      </c>
      <c r="BI24" s="127" t="str">
        <f t="shared" si="40"/>
        <v/>
      </c>
      <c r="BJ24" s="127" t="str">
        <f t="shared" si="40"/>
        <v/>
      </c>
      <c r="BK24" s="127" t="str">
        <f t="shared" si="40"/>
        <v/>
      </c>
      <c r="BL24" s="127" t="str">
        <f t="shared" si="39"/>
        <v/>
      </c>
      <c r="BM24" s="127" t="str">
        <f t="shared" si="40"/>
        <v/>
      </c>
      <c r="BN24" s="127" t="str">
        <f t="shared" si="40"/>
        <v/>
      </c>
      <c r="BO24" s="127" t="str">
        <f t="shared" si="40"/>
        <v/>
      </c>
      <c r="BP24" s="127" t="str">
        <f t="shared" si="40"/>
        <v/>
      </c>
      <c r="BQ24" s="127" t="str">
        <f t="shared" si="40"/>
        <v/>
      </c>
      <c r="BR24" s="127" t="str">
        <f t="shared" si="39"/>
        <v/>
      </c>
      <c r="BS24" s="127" t="str">
        <f t="shared" si="39"/>
        <v/>
      </c>
      <c r="BT24" s="127" t="str">
        <f t="shared" si="39"/>
        <v/>
      </c>
      <c r="BU24" s="127" t="str">
        <f t="shared" si="39"/>
        <v/>
      </c>
      <c r="BV24" s="127" t="str">
        <f t="shared" si="39"/>
        <v/>
      </c>
      <c r="BW24" s="127" t="str">
        <f t="shared" si="39"/>
        <v/>
      </c>
      <c r="BX24" s="127" t="str">
        <f t="shared" si="39"/>
        <v/>
      </c>
      <c r="BY24" s="127" t="str">
        <f t="shared" si="39"/>
        <v/>
      </c>
      <c r="BZ24" s="127" t="str">
        <f t="shared" si="39"/>
        <v/>
      </c>
      <c r="CA24" s="127" t="str">
        <f t="shared" si="39"/>
        <v/>
      </c>
      <c r="CB24" s="127" t="str">
        <f t="shared" si="39"/>
        <v/>
      </c>
      <c r="CC24" s="127" t="str">
        <f t="shared" si="39"/>
        <v/>
      </c>
      <c r="CD24" s="127" t="str">
        <f t="shared" si="39"/>
        <v/>
      </c>
    </row>
    <row r="25" spans="1:82" ht="12.6" hidden="1" customHeight="1" x14ac:dyDescent="0.2">
      <c r="A25" s="106">
        <f>SHIPMENTS!A31</f>
        <v>9105</v>
      </c>
      <c r="B25" s="106" t="str">
        <f>SHIPMENTS!B31</f>
        <v>15900- Cebu City |Nelsar Alvar</v>
      </c>
      <c r="C25" s="132">
        <f>SHIPMENTS!F31</f>
        <v>1.35E-2</v>
      </c>
      <c r="D25" s="107" t="str">
        <f>IF((SHIPMENTS!I31)=0,"",SHIPMENTS!I31)</f>
        <v/>
      </c>
      <c r="E25" s="176">
        <f>IF((SHIPMENTS!G31)=0,"",SHIPMENTS!G31)</f>
        <v>46323</v>
      </c>
      <c r="F25" s="98">
        <f>VLOOKUP(A25,load!$A$4:$U$5001,18,0)</f>
        <v>1</v>
      </c>
      <c r="G25" s="109">
        <f>Manhours!$C$15</f>
        <v>5</v>
      </c>
      <c r="H25" s="98">
        <f t="shared" si="33"/>
        <v>45.5</v>
      </c>
      <c r="I25" s="99">
        <f t="shared" si="34"/>
        <v>2.197802197802198E-2</v>
      </c>
      <c r="J25" s="99">
        <f t="shared" si="35"/>
        <v>0.2</v>
      </c>
      <c r="K25" s="98">
        <f t="shared" si="27"/>
        <v>0</v>
      </c>
      <c r="L25" s="98">
        <f t="shared" si="36"/>
        <v>0</v>
      </c>
      <c r="M25" s="181">
        <f t="shared" si="38"/>
        <v>46314.203590805861</v>
      </c>
      <c r="N25" s="181">
        <f t="shared" si="37"/>
        <v>46314.203590805861</v>
      </c>
      <c r="O25" s="112" t="str">
        <f>VLOOKUP(A25,SHIPMENTS!$A$7:$AP$76,11,0)</f>
        <v>n/a</v>
      </c>
      <c r="P25" s="101"/>
      <c r="Q25" s="127" t="str">
        <f t="shared" si="42"/>
        <v/>
      </c>
      <c r="R25" s="127" t="str">
        <f t="shared" si="42"/>
        <v/>
      </c>
      <c r="S25" s="127" t="str">
        <f t="shared" si="42"/>
        <v/>
      </c>
      <c r="T25" s="127" t="str">
        <f t="shared" si="42"/>
        <v/>
      </c>
      <c r="U25" s="127" t="str">
        <f t="shared" si="42"/>
        <v/>
      </c>
      <c r="V25" s="127" t="str">
        <f t="shared" si="42"/>
        <v/>
      </c>
      <c r="W25" s="127" t="str">
        <f t="shared" si="42"/>
        <v/>
      </c>
      <c r="X25" s="127" t="str">
        <f t="shared" si="42"/>
        <v/>
      </c>
      <c r="Y25" s="127" t="str">
        <f t="shared" si="42"/>
        <v>▲</v>
      </c>
      <c r="Z25" s="127" t="str">
        <f t="shared" si="42"/>
        <v/>
      </c>
      <c r="AA25" s="127" t="str">
        <f t="shared" si="42"/>
        <v/>
      </c>
      <c r="AB25" s="127" t="str">
        <f t="shared" si="42"/>
        <v/>
      </c>
      <c r="AC25" s="127" t="str">
        <f t="shared" si="42"/>
        <v/>
      </c>
      <c r="AD25" s="127" t="str">
        <f t="shared" si="42"/>
        <v/>
      </c>
      <c r="AE25" s="127" t="str">
        <f t="shared" si="42"/>
        <v/>
      </c>
      <c r="AF25" s="127" t="str">
        <f t="shared" si="42"/>
        <v/>
      </c>
      <c r="AG25" s="127" t="str">
        <f t="shared" si="41"/>
        <v/>
      </c>
      <c r="AH25" s="127" t="str">
        <f t="shared" si="41"/>
        <v/>
      </c>
      <c r="AI25" s="127" t="str">
        <f t="shared" si="41"/>
        <v/>
      </c>
      <c r="AJ25" s="127" t="str">
        <f t="shared" si="41"/>
        <v/>
      </c>
      <c r="AK25" s="127" t="str">
        <f t="shared" si="41"/>
        <v/>
      </c>
      <c r="AL25" s="127" t="str">
        <f t="shared" si="41"/>
        <v/>
      </c>
      <c r="AM25" s="127" t="str">
        <f t="shared" si="41"/>
        <v/>
      </c>
      <c r="AN25" s="127" t="str">
        <f t="shared" si="41"/>
        <v/>
      </c>
      <c r="AO25" s="127" t="str">
        <f t="shared" si="41"/>
        <v/>
      </c>
      <c r="AP25" s="127" t="str">
        <f t="shared" si="41"/>
        <v/>
      </c>
      <c r="AQ25" s="127" t="str">
        <f t="shared" si="41"/>
        <v/>
      </c>
      <c r="AR25" s="127" t="str">
        <f t="shared" si="41"/>
        <v/>
      </c>
      <c r="AS25" s="127" t="str">
        <f t="shared" si="41"/>
        <v/>
      </c>
      <c r="AT25" s="127" t="str">
        <f t="shared" si="41"/>
        <v/>
      </c>
      <c r="AU25" s="127" t="str">
        <f t="shared" si="41"/>
        <v/>
      </c>
      <c r="AV25" s="127" t="str">
        <f t="shared" si="41"/>
        <v/>
      </c>
      <c r="AW25" s="127" t="str">
        <f t="shared" si="41"/>
        <v/>
      </c>
      <c r="AX25" s="127" t="str">
        <f t="shared" si="41"/>
        <v/>
      </c>
      <c r="AY25" s="127" t="str">
        <f t="shared" si="41"/>
        <v/>
      </c>
      <c r="AZ25" s="127" t="str">
        <f t="shared" si="41"/>
        <v/>
      </c>
      <c r="BA25" s="127" t="str">
        <f t="shared" si="41"/>
        <v/>
      </c>
      <c r="BB25" s="127" t="str">
        <f t="shared" si="41"/>
        <v/>
      </c>
      <c r="BC25" s="127" t="str">
        <f t="shared" si="41"/>
        <v/>
      </c>
      <c r="BD25" s="127" t="str">
        <f t="shared" si="41"/>
        <v/>
      </c>
      <c r="BE25" s="127" t="str">
        <f t="shared" si="41"/>
        <v/>
      </c>
      <c r="BF25" s="127" t="str">
        <f t="shared" si="39"/>
        <v/>
      </c>
      <c r="BG25" s="127" t="str">
        <f t="shared" si="40"/>
        <v/>
      </c>
      <c r="BH25" s="127" t="str">
        <f t="shared" si="40"/>
        <v/>
      </c>
      <c r="BI25" s="127" t="str">
        <f t="shared" si="40"/>
        <v/>
      </c>
      <c r="BJ25" s="127" t="str">
        <f t="shared" si="40"/>
        <v/>
      </c>
      <c r="BK25" s="127" t="str">
        <f t="shared" si="40"/>
        <v/>
      </c>
      <c r="BL25" s="127" t="str">
        <f t="shared" si="39"/>
        <v/>
      </c>
      <c r="BM25" s="127" t="str">
        <f t="shared" si="40"/>
        <v/>
      </c>
      <c r="BN25" s="127" t="str">
        <f t="shared" si="40"/>
        <v/>
      </c>
      <c r="BO25" s="127" t="str">
        <f t="shared" si="40"/>
        <v/>
      </c>
      <c r="BP25" s="127" t="str">
        <f t="shared" si="40"/>
        <v/>
      </c>
      <c r="BQ25" s="127" t="str">
        <f t="shared" si="40"/>
        <v/>
      </c>
      <c r="BR25" s="127" t="str">
        <f t="shared" si="39"/>
        <v/>
      </c>
      <c r="BS25" s="127" t="str">
        <f t="shared" si="39"/>
        <v/>
      </c>
      <c r="BT25" s="127" t="str">
        <f t="shared" si="39"/>
        <v/>
      </c>
      <c r="BU25" s="127" t="str">
        <f t="shared" si="39"/>
        <v/>
      </c>
      <c r="BV25" s="127" t="str">
        <f t="shared" si="39"/>
        <v/>
      </c>
      <c r="BW25" s="127" t="str">
        <f t="shared" si="39"/>
        <v/>
      </c>
      <c r="BX25" s="127" t="str">
        <f t="shared" si="39"/>
        <v/>
      </c>
      <c r="BY25" s="127" t="str">
        <f t="shared" si="39"/>
        <v/>
      </c>
      <c r="BZ25" s="127" t="str">
        <f t="shared" si="39"/>
        <v/>
      </c>
      <c r="CA25" s="127" t="str">
        <f t="shared" si="39"/>
        <v/>
      </c>
      <c r="CB25" s="127" t="str">
        <f t="shared" si="39"/>
        <v/>
      </c>
      <c r="CC25" s="127" t="str">
        <f t="shared" si="39"/>
        <v/>
      </c>
      <c r="CD25" s="127" t="str">
        <f t="shared" si="39"/>
        <v/>
      </c>
    </row>
    <row r="26" spans="1:82" ht="12.6" customHeight="1" x14ac:dyDescent="0.2">
      <c r="A26" s="106">
        <f>SHIPMENTS!A32</f>
        <v>9292</v>
      </c>
      <c r="B26" s="106" t="str">
        <f>SHIPMENTS!B32</f>
        <v>15900- Mandaue Warehouse</v>
      </c>
      <c r="C26" s="132">
        <f>SHIPMENTS!F32</f>
        <v>0.51459999999999995</v>
      </c>
      <c r="D26" s="107" t="str">
        <f>IF((SHIPMENTS!I32)=0,"",SHIPMENTS!I32)</f>
        <v/>
      </c>
      <c r="E26" s="176">
        <f>IF((SHIPMENTS!G32)=0,"",SHIPMENTS!G32)</f>
        <v>46323</v>
      </c>
      <c r="F26" s="98">
        <f>VLOOKUP(A26,load!$A$4:$U$5001,18,0)</f>
        <v>4.1896666666666667</v>
      </c>
      <c r="G26" s="109">
        <f>Manhours!$C$15</f>
        <v>5</v>
      </c>
      <c r="H26" s="98">
        <f t="shared" si="33"/>
        <v>45.5</v>
      </c>
      <c r="I26" s="99">
        <f t="shared" si="34"/>
        <v>9.2080586080586085E-2</v>
      </c>
      <c r="J26" s="99">
        <f t="shared" si="35"/>
        <v>0.83793333333333331</v>
      </c>
      <c r="K26" s="98">
        <f t="shared" si="27"/>
        <v>9.2080586080586085E-2</v>
      </c>
      <c r="L26" s="98">
        <f t="shared" si="36"/>
        <v>0.83793333333333331</v>
      </c>
      <c r="M26" s="181">
        <f t="shared" si="38"/>
        <v>46314.203590805861</v>
      </c>
      <c r="N26" s="181">
        <f t="shared" si="37"/>
        <v>46314.295671391941</v>
      </c>
      <c r="O26" s="112">
        <f>VLOOKUP(A26,SHIPMENTS!$A$7:$AP$76,11,0)</f>
        <v>0</v>
      </c>
      <c r="P26" s="101"/>
      <c r="Q26" s="127" t="str">
        <f t="shared" si="42"/>
        <v/>
      </c>
      <c r="R26" s="127" t="str">
        <f t="shared" si="42"/>
        <v/>
      </c>
      <c r="S26" s="127" t="str">
        <f t="shared" si="42"/>
        <v/>
      </c>
      <c r="T26" s="127" t="str">
        <f t="shared" si="42"/>
        <v/>
      </c>
      <c r="U26" s="127" t="str">
        <f t="shared" si="42"/>
        <v/>
      </c>
      <c r="V26" s="127" t="str">
        <f t="shared" si="42"/>
        <v/>
      </c>
      <c r="W26" s="127" t="str">
        <f t="shared" si="42"/>
        <v/>
      </c>
      <c r="X26" s="127" t="str">
        <f t="shared" si="42"/>
        <v/>
      </c>
      <c r="Y26" s="127" t="str">
        <f t="shared" si="42"/>
        <v>▲</v>
      </c>
      <c r="Z26" s="127" t="str">
        <f t="shared" si="42"/>
        <v/>
      </c>
      <c r="AA26" s="127" t="str">
        <f t="shared" si="42"/>
        <v/>
      </c>
      <c r="AB26" s="127" t="str">
        <f t="shared" si="42"/>
        <v/>
      </c>
      <c r="AC26" s="127" t="str">
        <f t="shared" si="42"/>
        <v/>
      </c>
      <c r="AD26" s="127" t="str">
        <f t="shared" si="42"/>
        <v/>
      </c>
      <c r="AE26" s="127" t="str">
        <f t="shared" si="42"/>
        <v/>
      </c>
      <c r="AF26" s="127" t="str">
        <f t="shared" si="42"/>
        <v/>
      </c>
      <c r="AG26" s="127" t="str">
        <f t="shared" si="41"/>
        <v/>
      </c>
      <c r="AH26" s="127" t="str">
        <f t="shared" si="41"/>
        <v/>
      </c>
      <c r="AI26" s="127" t="str">
        <f t="shared" si="41"/>
        <v/>
      </c>
      <c r="AJ26" s="127" t="str">
        <f t="shared" si="41"/>
        <v/>
      </c>
      <c r="AK26" s="127" t="str">
        <f t="shared" si="41"/>
        <v/>
      </c>
      <c r="AL26" s="127" t="str">
        <f t="shared" si="41"/>
        <v/>
      </c>
      <c r="AM26" s="127" t="str">
        <f t="shared" si="41"/>
        <v/>
      </c>
      <c r="AN26" s="127" t="str">
        <f t="shared" si="41"/>
        <v/>
      </c>
      <c r="AO26" s="127" t="str">
        <f t="shared" si="41"/>
        <v/>
      </c>
      <c r="AP26" s="127" t="str">
        <f t="shared" si="41"/>
        <v/>
      </c>
      <c r="AQ26" s="127" t="str">
        <f t="shared" si="41"/>
        <v/>
      </c>
      <c r="AR26" s="127" t="str">
        <f t="shared" si="41"/>
        <v/>
      </c>
      <c r="AS26" s="127" t="str">
        <f t="shared" si="41"/>
        <v/>
      </c>
      <c r="AT26" s="127" t="str">
        <f t="shared" si="41"/>
        <v/>
      </c>
      <c r="AU26" s="127" t="str">
        <f t="shared" si="41"/>
        <v/>
      </c>
      <c r="AV26" s="127" t="str">
        <f t="shared" si="41"/>
        <v/>
      </c>
      <c r="AW26" s="127" t="str">
        <f t="shared" si="41"/>
        <v/>
      </c>
      <c r="AX26" s="127" t="str">
        <f t="shared" si="41"/>
        <v/>
      </c>
      <c r="AY26" s="127" t="str">
        <f t="shared" si="41"/>
        <v/>
      </c>
      <c r="AZ26" s="127" t="str">
        <f t="shared" si="41"/>
        <v/>
      </c>
      <c r="BA26" s="127" t="str">
        <f t="shared" si="41"/>
        <v/>
      </c>
      <c r="BB26" s="127" t="str">
        <f t="shared" si="41"/>
        <v/>
      </c>
      <c r="BC26" s="127" t="str">
        <f t="shared" si="41"/>
        <v/>
      </c>
      <c r="BD26" s="127" t="str">
        <f t="shared" si="41"/>
        <v/>
      </c>
      <c r="BE26" s="127" t="str">
        <f t="shared" si="41"/>
        <v/>
      </c>
      <c r="BF26" s="127" t="str">
        <f t="shared" si="39"/>
        <v/>
      </c>
      <c r="BG26" s="127" t="str">
        <f t="shared" si="40"/>
        <v/>
      </c>
      <c r="BH26" s="127" t="str">
        <f t="shared" si="40"/>
        <v/>
      </c>
      <c r="BI26" s="127" t="str">
        <f t="shared" si="40"/>
        <v/>
      </c>
      <c r="BJ26" s="127" t="str">
        <f t="shared" si="40"/>
        <v/>
      </c>
      <c r="BK26" s="127" t="str">
        <f t="shared" si="40"/>
        <v/>
      </c>
      <c r="BL26" s="127" t="str">
        <f t="shared" si="39"/>
        <v/>
      </c>
      <c r="BM26" s="127" t="str">
        <f t="shared" si="40"/>
        <v/>
      </c>
      <c r="BN26" s="127" t="str">
        <f t="shared" si="40"/>
        <v/>
      </c>
      <c r="BO26" s="127" t="str">
        <f t="shared" si="40"/>
        <v/>
      </c>
      <c r="BP26" s="127" t="str">
        <f t="shared" si="40"/>
        <v/>
      </c>
      <c r="BQ26" s="127" t="str">
        <f t="shared" si="40"/>
        <v/>
      </c>
      <c r="BR26" s="127" t="str">
        <f t="shared" si="39"/>
        <v/>
      </c>
      <c r="BS26" s="127" t="str">
        <f t="shared" si="39"/>
        <v/>
      </c>
      <c r="BT26" s="127" t="str">
        <f t="shared" si="39"/>
        <v/>
      </c>
      <c r="BU26" s="127" t="str">
        <f t="shared" si="39"/>
        <v/>
      </c>
      <c r="BV26" s="127" t="str">
        <f t="shared" si="39"/>
        <v/>
      </c>
      <c r="BW26" s="127" t="str">
        <f t="shared" si="39"/>
        <v/>
      </c>
      <c r="BX26" s="127" t="str">
        <f t="shared" si="39"/>
        <v/>
      </c>
      <c r="BY26" s="127" t="str">
        <f t="shared" si="39"/>
        <v/>
      </c>
      <c r="BZ26" s="127" t="str">
        <f t="shared" si="39"/>
        <v/>
      </c>
      <c r="CA26" s="127" t="str">
        <f t="shared" si="39"/>
        <v/>
      </c>
      <c r="CB26" s="127" t="str">
        <f t="shared" si="39"/>
        <v/>
      </c>
      <c r="CC26" s="127" t="str">
        <f t="shared" si="39"/>
        <v/>
      </c>
      <c r="CD26" s="127" t="str">
        <f t="shared" si="39"/>
        <v/>
      </c>
    </row>
    <row r="27" spans="1:82" ht="12.6" customHeight="1" x14ac:dyDescent="0.2">
      <c r="A27" s="106">
        <f>SHIPMENTS!A33</f>
        <v>9116</v>
      </c>
      <c r="B27" s="106" t="str">
        <f>SHIPMENTS!B33</f>
        <v>15900- Dagupan City |Kerwin Fernandez</v>
      </c>
      <c r="C27" s="132">
        <f>SHIPMENTS!F33</f>
        <v>0.17</v>
      </c>
      <c r="D27" s="107" t="str">
        <f>IF((SHIPMENTS!I33)=0,"",SHIPMENTS!I33)</f>
        <v>1X20</v>
      </c>
      <c r="E27" s="176">
        <f>IF((SHIPMENTS!G33)=0,"",SHIPMENTS!G33)</f>
        <v>46323</v>
      </c>
      <c r="F27" s="98">
        <f>VLOOKUP(A27,load!$A$4:$U$5001,18,0)</f>
        <v>4.7E-2</v>
      </c>
      <c r="G27" s="109">
        <f>Manhours!$C$15</f>
        <v>5</v>
      </c>
      <c r="H27" s="98">
        <f t="shared" si="33"/>
        <v>45.5</v>
      </c>
      <c r="I27" s="99">
        <f t="shared" si="34"/>
        <v>1.0329670329670331E-3</v>
      </c>
      <c r="J27" s="99">
        <f t="shared" si="35"/>
        <v>9.4000000000000004E-3</v>
      </c>
      <c r="K27" s="98">
        <f t="shared" si="27"/>
        <v>0</v>
      </c>
      <c r="L27" s="98">
        <f t="shared" si="36"/>
        <v>0</v>
      </c>
      <c r="M27" s="181">
        <f t="shared" si="38"/>
        <v>46314.295671391941</v>
      </c>
      <c r="N27" s="181">
        <f t="shared" si="37"/>
        <v>46314.295671391941</v>
      </c>
      <c r="O27" s="112">
        <f>VLOOKUP(A27,SHIPMENTS!$A$7:$AP$76,11,0)</f>
        <v>1</v>
      </c>
      <c r="P27" s="101"/>
      <c r="Q27" s="127" t="str">
        <f t="shared" si="42"/>
        <v/>
      </c>
      <c r="R27" s="127" t="str">
        <f t="shared" si="42"/>
        <v/>
      </c>
      <c r="S27" s="127" t="str">
        <f t="shared" si="42"/>
        <v/>
      </c>
      <c r="T27" s="127" t="str">
        <f t="shared" si="42"/>
        <v/>
      </c>
      <c r="U27" s="127" t="str">
        <f t="shared" si="42"/>
        <v/>
      </c>
      <c r="V27" s="127" t="str">
        <f t="shared" si="42"/>
        <v/>
      </c>
      <c r="W27" s="127" t="str">
        <f t="shared" si="42"/>
        <v/>
      </c>
      <c r="X27" s="127" t="str">
        <f t="shared" si="42"/>
        <v/>
      </c>
      <c r="Y27" s="127" t="str">
        <f t="shared" si="42"/>
        <v>▲</v>
      </c>
      <c r="Z27" s="127" t="str">
        <f t="shared" si="42"/>
        <v/>
      </c>
      <c r="AA27" s="127" t="str">
        <f t="shared" si="42"/>
        <v/>
      </c>
      <c r="AB27" s="127" t="str">
        <f t="shared" si="42"/>
        <v/>
      </c>
      <c r="AC27" s="127" t="str">
        <f t="shared" si="42"/>
        <v/>
      </c>
      <c r="AD27" s="127" t="str">
        <f t="shared" si="42"/>
        <v/>
      </c>
      <c r="AE27" s="127" t="str">
        <f t="shared" si="42"/>
        <v/>
      </c>
      <c r="AF27" s="127" t="str">
        <f t="shared" si="42"/>
        <v/>
      </c>
      <c r="AG27" s="127" t="str">
        <f t="shared" si="41"/>
        <v/>
      </c>
      <c r="AH27" s="127" t="str">
        <f t="shared" si="41"/>
        <v/>
      </c>
      <c r="AI27" s="127" t="str">
        <f t="shared" si="41"/>
        <v/>
      </c>
      <c r="AJ27" s="127" t="str">
        <f t="shared" si="41"/>
        <v/>
      </c>
      <c r="AK27" s="127" t="str">
        <f t="shared" si="41"/>
        <v/>
      </c>
      <c r="AL27" s="127" t="str">
        <f t="shared" si="41"/>
        <v/>
      </c>
      <c r="AM27" s="127" t="str">
        <f t="shared" si="41"/>
        <v/>
      </c>
      <c r="AN27" s="127" t="str">
        <f t="shared" si="41"/>
        <v/>
      </c>
      <c r="AO27" s="127" t="str">
        <f t="shared" si="41"/>
        <v/>
      </c>
      <c r="AP27" s="127" t="str">
        <f t="shared" si="41"/>
        <v/>
      </c>
      <c r="AQ27" s="127" t="str">
        <f t="shared" si="41"/>
        <v/>
      </c>
      <c r="AR27" s="127" t="str">
        <f t="shared" si="41"/>
        <v/>
      </c>
      <c r="AS27" s="127" t="str">
        <f t="shared" si="41"/>
        <v/>
      </c>
      <c r="AT27" s="127" t="str">
        <f t="shared" si="41"/>
        <v/>
      </c>
      <c r="AU27" s="127" t="str">
        <f t="shared" si="41"/>
        <v/>
      </c>
      <c r="AV27" s="127" t="str">
        <f t="shared" si="41"/>
        <v/>
      </c>
      <c r="AW27" s="127" t="str">
        <f t="shared" si="41"/>
        <v/>
      </c>
      <c r="AX27" s="127" t="str">
        <f t="shared" si="41"/>
        <v/>
      </c>
      <c r="AY27" s="127" t="str">
        <f t="shared" si="41"/>
        <v/>
      </c>
      <c r="AZ27" s="127" t="str">
        <f t="shared" si="41"/>
        <v/>
      </c>
      <c r="BA27" s="127" t="str">
        <f t="shared" si="41"/>
        <v/>
      </c>
      <c r="BB27" s="127" t="str">
        <f t="shared" si="41"/>
        <v/>
      </c>
      <c r="BC27" s="127" t="str">
        <f t="shared" si="41"/>
        <v/>
      </c>
      <c r="BD27" s="127" t="str">
        <f t="shared" si="41"/>
        <v/>
      </c>
      <c r="BE27" s="127" t="str">
        <f t="shared" si="41"/>
        <v/>
      </c>
      <c r="BF27" s="127" t="str">
        <f t="shared" si="39"/>
        <v/>
      </c>
      <c r="BG27" s="127" t="str">
        <f t="shared" si="40"/>
        <v/>
      </c>
      <c r="BH27" s="127" t="str">
        <f t="shared" si="40"/>
        <v/>
      </c>
      <c r="BI27" s="127" t="str">
        <f t="shared" si="40"/>
        <v/>
      </c>
      <c r="BJ27" s="127" t="str">
        <f t="shared" si="40"/>
        <v/>
      </c>
      <c r="BK27" s="127" t="str">
        <f t="shared" si="40"/>
        <v/>
      </c>
      <c r="BL27" s="127" t="str">
        <f t="shared" si="39"/>
        <v/>
      </c>
      <c r="BM27" s="127" t="str">
        <f t="shared" si="40"/>
        <v/>
      </c>
      <c r="BN27" s="127" t="str">
        <f t="shared" si="40"/>
        <v/>
      </c>
      <c r="BO27" s="127" t="str">
        <f t="shared" si="40"/>
        <v/>
      </c>
      <c r="BP27" s="127" t="str">
        <f t="shared" si="40"/>
        <v/>
      </c>
      <c r="BQ27" s="127" t="str">
        <f t="shared" si="40"/>
        <v/>
      </c>
      <c r="BR27" s="127" t="str">
        <f t="shared" si="39"/>
        <v/>
      </c>
      <c r="BS27" s="127" t="str">
        <f t="shared" si="39"/>
        <v/>
      </c>
      <c r="BT27" s="127" t="str">
        <f t="shared" si="39"/>
        <v/>
      </c>
      <c r="BU27" s="127" t="str">
        <f t="shared" si="39"/>
        <v/>
      </c>
      <c r="BV27" s="127" t="str">
        <f t="shared" si="39"/>
        <v/>
      </c>
      <c r="BW27" s="127" t="str">
        <f t="shared" si="39"/>
        <v/>
      </c>
      <c r="BX27" s="127" t="str">
        <f t="shared" si="39"/>
        <v/>
      </c>
      <c r="BY27" s="127" t="str">
        <f t="shared" si="39"/>
        <v/>
      </c>
      <c r="BZ27" s="127" t="str">
        <f t="shared" si="39"/>
        <v/>
      </c>
      <c r="CA27" s="127" t="str">
        <f t="shared" si="39"/>
        <v/>
      </c>
      <c r="CB27" s="127" t="str">
        <f t="shared" si="39"/>
        <v/>
      </c>
      <c r="CC27" s="127" t="str">
        <f t="shared" si="39"/>
        <v/>
      </c>
      <c r="CD27" s="127" t="str">
        <f t="shared" si="39"/>
        <v/>
      </c>
    </row>
    <row r="28" spans="1:82" ht="12.6" customHeight="1" x14ac:dyDescent="0.2">
      <c r="A28" s="106">
        <f>SHIPMENTS!A34</f>
        <v>9247</v>
      </c>
      <c r="B28" s="106" t="str">
        <f>SHIPMENTS!B34</f>
        <v>15900- Batangas City |Angela Joy Medes Mandigma</v>
      </c>
      <c r="C28" s="132">
        <f>SHIPMENTS!F34</f>
        <v>0.188</v>
      </c>
      <c r="D28" s="107" t="str">
        <f>IF((SHIPMENTS!I34)=0,"",SHIPMENTS!I34)</f>
        <v/>
      </c>
      <c r="E28" s="176">
        <f>IF((SHIPMENTS!G34)=0,"",SHIPMENTS!G34)</f>
        <v>46323</v>
      </c>
      <c r="F28" s="98">
        <f>VLOOKUP(A28,load!$A$4:$U$5001,18,0)</f>
        <v>4.7E-2</v>
      </c>
      <c r="G28" s="109">
        <f>Manhours!$C$15</f>
        <v>5</v>
      </c>
      <c r="H28" s="98">
        <f t="shared" si="33"/>
        <v>45.5</v>
      </c>
      <c r="I28" s="99">
        <f t="shared" si="34"/>
        <v>1.0329670329670331E-3</v>
      </c>
      <c r="J28" s="99">
        <f t="shared" si="35"/>
        <v>9.4000000000000004E-3</v>
      </c>
      <c r="K28" s="98">
        <f t="shared" si="27"/>
        <v>1.0329670329670331E-3</v>
      </c>
      <c r="L28" s="98">
        <f t="shared" si="36"/>
        <v>9.4000000000000004E-3</v>
      </c>
      <c r="M28" s="181">
        <f t="shared" si="38"/>
        <v>46314.295671391941</v>
      </c>
      <c r="N28" s="181">
        <f t="shared" si="37"/>
        <v>46314.296704358974</v>
      </c>
      <c r="O28" s="112">
        <f>VLOOKUP(A28,SHIPMENTS!$A$7:$AP$76,11,0)</f>
        <v>0</v>
      </c>
      <c r="P28" s="101"/>
      <c r="Q28" s="127" t="str">
        <f t="shared" si="42"/>
        <v/>
      </c>
      <c r="R28" s="127" t="str">
        <f t="shared" si="42"/>
        <v/>
      </c>
      <c r="S28" s="127" t="str">
        <f t="shared" si="42"/>
        <v/>
      </c>
      <c r="T28" s="127" t="str">
        <f t="shared" si="42"/>
        <v/>
      </c>
      <c r="U28" s="127" t="str">
        <f t="shared" si="42"/>
        <v/>
      </c>
      <c r="V28" s="127" t="str">
        <f t="shared" si="42"/>
        <v/>
      </c>
      <c r="W28" s="127" t="str">
        <f t="shared" si="42"/>
        <v/>
      </c>
      <c r="X28" s="127" t="str">
        <f t="shared" si="42"/>
        <v/>
      </c>
      <c r="Y28" s="127" t="str">
        <f t="shared" si="42"/>
        <v>▲</v>
      </c>
      <c r="Z28" s="127" t="str">
        <f t="shared" si="42"/>
        <v/>
      </c>
      <c r="AA28" s="127" t="str">
        <f t="shared" si="42"/>
        <v/>
      </c>
      <c r="AB28" s="127" t="str">
        <f t="shared" si="42"/>
        <v/>
      </c>
      <c r="AC28" s="127" t="str">
        <f t="shared" si="42"/>
        <v/>
      </c>
      <c r="AD28" s="127" t="str">
        <f t="shared" si="42"/>
        <v/>
      </c>
      <c r="AE28" s="127" t="str">
        <f t="shared" si="42"/>
        <v/>
      </c>
      <c r="AF28" s="127" t="str">
        <f t="shared" si="42"/>
        <v/>
      </c>
      <c r="AG28" s="127" t="str">
        <f t="shared" si="41"/>
        <v/>
      </c>
      <c r="AH28" s="127" t="str">
        <f t="shared" si="41"/>
        <v/>
      </c>
      <c r="AI28" s="127" t="str">
        <f t="shared" si="41"/>
        <v/>
      </c>
      <c r="AJ28" s="127" t="str">
        <f t="shared" si="41"/>
        <v/>
      </c>
      <c r="AK28" s="127" t="str">
        <f t="shared" si="41"/>
        <v/>
      </c>
      <c r="AL28" s="127" t="str">
        <f t="shared" si="41"/>
        <v/>
      </c>
      <c r="AM28" s="127" t="str">
        <f t="shared" si="41"/>
        <v/>
      </c>
      <c r="AN28" s="127" t="str">
        <f t="shared" si="41"/>
        <v/>
      </c>
      <c r="AO28" s="127" t="str">
        <f t="shared" si="41"/>
        <v/>
      </c>
      <c r="AP28" s="127" t="str">
        <f t="shared" si="41"/>
        <v/>
      </c>
      <c r="AQ28" s="127" t="str">
        <f t="shared" si="41"/>
        <v/>
      </c>
      <c r="AR28" s="127" t="str">
        <f t="shared" si="41"/>
        <v/>
      </c>
      <c r="AS28" s="127" t="str">
        <f t="shared" si="41"/>
        <v/>
      </c>
      <c r="AT28" s="127" t="str">
        <f t="shared" si="41"/>
        <v/>
      </c>
      <c r="AU28" s="127" t="str">
        <f t="shared" si="41"/>
        <v/>
      </c>
      <c r="AV28" s="127" t="str">
        <f t="shared" si="41"/>
        <v/>
      </c>
      <c r="AW28" s="127" t="str">
        <f t="shared" si="41"/>
        <v/>
      </c>
      <c r="AX28" s="127" t="str">
        <f t="shared" si="41"/>
        <v/>
      </c>
      <c r="AY28" s="127" t="str">
        <f t="shared" si="41"/>
        <v/>
      </c>
      <c r="AZ28" s="127" t="str">
        <f t="shared" si="41"/>
        <v/>
      </c>
      <c r="BA28" s="127" t="str">
        <f t="shared" si="41"/>
        <v/>
      </c>
      <c r="BB28" s="127" t="str">
        <f t="shared" si="41"/>
        <v/>
      </c>
      <c r="BC28" s="127" t="str">
        <f t="shared" si="41"/>
        <v/>
      </c>
      <c r="BD28" s="127" t="str">
        <f t="shared" si="41"/>
        <v/>
      </c>
      <c r="BE28" s="127" t="str">
        <f t="shared" si="41"/>
        <v/>
      </c>
      <c r="BF28" s="127" t="str">
        <f t="shared" si="39"/>
        <v/>
      </c>
      <c r="BG28" s="127" t="str">
        <f t="shared" si="40"/>
        <v/>
      </c>
      <c r="BH28" s="127" t="str">
        <f t="shared" si="40"/>
        <v/>
      </c>
      <c r="BI28" s="127" t="str">
        <f t="shared" si="40"/>
        <v/>
      </c>
      <c r="BJ28" s="127" t="str">
        <f t="shared" si="40"/>
        <v/>
      </c>
      <c r="BK28" s="127" t="str">
        <f t="shared" si="40"/>
        <v/>
      </c>
      <c r="BL28" s="127" t="str">
        <f t="shared" si="39"/>
        <v/>
      </c>
      <c r="BM28" s="127" t="str">
        <f t="shared" si="40"/>
        <v/>
      </c>
      <c r="BN28" s="127" t="str">
        <f t="shared" si="40"/>
        <v/>
      </c>
      <c r="BO28" s="127" t="str">
        <f t="shared" si="40"/>
        <v/>
      </c>
      <c r="BP28" s="127" t="str">
        <f t="shared" si="40"/>
        <v/>
      </c>
      <c r="BQ28" s="127" t="str">
        <f t="shared" si="40"/>
        <v/>
      </c>
      <c r="BR28" s="127" t="str">
        <f t="shared" si="39"/>
        <v/>
      </c>
      <c r="BS28" s="127" t="str">
        <f t="shared" si="39"/>
        <v/>
      </c>
      <c r="BT28" s="127" t="str">
        <f t="shared" si="39"/>
        <v/>
      </c>
      <c r="BU28" s="127" t="str">
        <f t="shared" si="39"/>
        <v/>
      </c>
      <c r="BV28" s="127" t="str">
        <f t="shared" si="39"/>
        <v/>
      </c>
      <c r="BW28" s="127" t="str">
        <f t="shared" si="39"/>
        <v/>
      </c>
      <c r="BX28" s="127" t="str">
        <f t="shared" si="39"/>
        <v/>
      </c>
      <c r="BY28" s="127" t="str">
        <f t="shared" si="39"/>
        <v/>
      </c>
      <c r="BZ28" s="127" t="str">
        <f t="shared" si="39"/>
        <v/>
      </c>
      <c r="CA28" s="127" t="str">
        <f t="shared" si="39"/>
        <v/>
      </c>
      <c r="CB28" s="127" t="str">
        <f t="shared" si="39"/>
        <v/>
      </c>
      <c r="CC28" s="127" t="str">
        <f t="shared" si="39"/>
        <v/>
      </c>
      <c r="CD28" s="127" t="str">
        <f t="shared" si="39"/>
        <v/>
      </c>
    </row>
    <row r="29" spans="1:82" ht="12.6" customHeight="1" x14ac:dyDescent="0.2">
      <c r="A29" s="106">
        <f>SHIPMENTS!A35</f>
        <v>9302</v>
      </c>
      <c r="B29" s="106" t="str">
        <f>SHIPMENTS!B35</f>
        <v>15900- Binangonan Rizal |Dr. Jonathan Emmanuel Sandejas</v>
      </c>
      <c r="C29" s="132">
        <f>SHIPMENTS!F35</f>
        <v>0.14499999999999999</v>
      </c>
      <c r="D29" s="107" t="str">
        <f>IF((SHIPMENTS!I35)=0,"",SHIPMENTS!I35)</f>
        <v/>
      </c>
      <c r="E29" s="176">
        <f>IF((SHIPMENTS!G35)=0,"",SHIPMENTS!G35)</f>
        <v>46323</v>
      </c>
      <c r="F29" s="98">
        <f>VLOOKUP(A29,load!$A$4:$U$5001,18,0)</f>
        <v>4.7E-2</v>
      </c>
      <c r="G29" s="109">
        <f>Manhours!$C$15</f>
        <v>5</v>
      </c>
      <c r="H29" s="98">
        <f t="shared" si="33"/>
        <v>45.5</v>
      </c>
      <c r="I29" s="99">
        <f t="shared" si="34"/>
        <v>1.0329670329670331E-3</v>
      </c>
      <c r="J29" s="99">
        <f t="shared" si="35"/>
        <v>9.4000000000000004E-3</v>
      </c>
      <c r="K29" s="98">
        <f t="shared" si="27"/>
        <v>1.0329670329670331E-3</v>
      </c>
      <c r="L29" s="98">
        <f t="shared" si="36"/>
        <v>9.4000000000000004E-3</v>
      </c>
      <c r="M29" s="181">
        <f t="shared" si="38"/>
        <v>46314.296704358974</v>
      </c>
      <c r="N29" s="181">
        <f t="shared" si="37"/>
        <v>46314.297737326007</v>
      </c>
      <c r="O29" s="112">
        <f>VLOOKUP(A29,SHIPMENTS!$A$7:$AP$76,11,0)</f>
        <v>0</v>
      </c>
      <c r="P29" s="101"/>
      <c r="Q29" s="127" t="str">
        <f t="shared" si="42"/>
        <v/>
      </c>
      <c r="R29" s="127" t="str">
        <f t="shared" si="42"/>
        <v/>
      </c>
      <c r="S29" s="127" t="str">
        <f t="shared" si="42"/>
        <v/>
      </c>
      <c r="T29" s="127" t="str">
        <f t="shared" si="42"/>
        <v/>
      </c>
      <c r="U29" s="127" t="str">
        <f t="shared" si="42"/>
        <v/>
      </c>
      <c r="V29" s="127" t="str">
        <f t="shared" si="42"/>
        <v/>
      </c>
      <c r="W29" s="127" t="str">
        <f t="shared" si="42"/>
        <v/>
      </c>
      <c r="X29" s="127" t="str">
        <f t="shared" si="42"/>
        <v/>
      </c>
      <c r="Y29" s="127" t="str">
        <f t="shared" si="42"/>
        <v>▲</v>
      </c>
      <c r="Z29" s="127" t="str">
        <f t="shared" si="42"/>
        <v/>
      </c>
      <c r="AA29" s="127" t="str">
        <f t="shared" si="42"/>
        <v/>
      </c>
      <c r="AB29" s="127" t="str">
        <f t="shared" si="42"/>
        <v/>
      </c>
      <c r="AC29" s="127" t="str">
        <f t="shared" si="42"/>
        <v/>
      </c>
      <c r="AD29" s="127" t="str">
        <f t="shared" si="42"/>
        <v/>
      </c>
      <c r="AE29" s="127" t="str">
        <f t="shared" si="42"/>
        <v/>
      </c>
      <c r="AF29" s="127" t="str">
        <f t="shared" si="42"/>
        <v/>
      </c>
      <c r="AG29" s="127" t="str">
        <f t="shared" si="41"/>
        <v/>
      </c>
      <c r="AH29" s="127" t="str">
        <f t="shared" si="41"/>
        <v/>
      </c>
      <c r="AI29" s="127" t="str">
        <f t="shared" si="41"/>
        <v/>
      </c>
      <c r="AJ29" s="127" t="str">
        <f t="shared" si="41"/>
        <v/>
      </c>
      <c r="AK29" s="127" t="str">
        <f t="shared" si="41"/>
        <v/>
      </c>
      <c r="AL29" s="127" t="str">
        <f t="shared" si="41"/>
        <v/>
      </c>
      <c r="AM29" s="127" t="str">
        <f t="shared" si="41"/>
        <v/>
      </c>
      <c r="AN29" s="127" t="str">
        <f t="shared" si="41"/>
        <v/>
      </c>
      <c r="AO29" s="127" t="str">
        <f t="shared" si="41"/>
        <v/>
      </c>
      <c r="AP29" s="127" t="str">
        <f t="shared" si="41"/>
        <v/>
      </c>
      <c r="AQ29" s="127" t="str">
        <f t="shared" si="41"/>
        <v/>
      </c>
      <c r="AR29" s="127" t="str">
        <f t="shared" si="41"/>
        <v/>
      </c>
      <c r="AS29" s="127" t="str">
        <f t="shared" si="41"/>
        <v/>
      </c>
      <c r="AT29" s="127" t="str">
        <f t="shared" si="41"/>
        <v/>
      </c>
      <c r="AU29" s="127" t="str">
        <f t="shared" si="41"/>
        <v/>
      </c>
      <c r="AV29" s="127" t="str">
        <f t="shared" si="41"/>
        <v/>
      </c>
      <c r="AW29" s="127" t="str">
        <f t="shared" si="41"/>
        <v/>
      </c>
      <c r="AX29" s="127" t="str">
        <f t="shared" si="41"/>
        <v/>
      </c>
      <c r="AY29" s="127" t="str">
        <f t="shared" si="41"/>
        <v/>
      </c>
      <c r="AZ29" s="127" t="str">
        <f t="shared" si="41"/>
        <v/>
      </c>
      <c r="BA29" s="127" t="str">
        <f t="shared" si="41"/>
        <v/>
      </c>
      <c r="BB29" s="127" t="str">
        <f t="shared" si="41"/>
        <v/>
      </c>
      <c r="BC29" s="127" t="str">
        <f t="shared" si="41"/>
        <v/>
      </c>
      <c r="BD29" s="127" t="str">
        <f t="shared" si="41"/>
        <v/>
      </c>
      <c r="BE29" s="127" t="str">
        <f t="shared" si="41"/>
        <v/>
      </c>
      <c r="BF29" s="127" t="str">
        <f t="shared" si="39"/>
        <v/>
      </c>
      <c r="BG29" s="127" t="str">
        <f t="shared" si="40"/>
        <v/>
      </c>
      <c r="BH29" s="127" t="str">
        <f t="shared" si="40"/>
        <v/>
      </c>
      <c r="BI29" s="127" t="str">
        <f t="shared" si="40"/>
        <v/>
      </c>
      <c r="BJ29" s="127" t="str">
        <f t="shared" si="40"/>
        <v/>
      </c>
      <c r="BK29" s="127" t="str">
        <f t="shared" si="40"/>
        <v/>
      </c>
      <c r="BL29" s="127" t="str">
        <f t="shared" si="39"/>
        <v/>
      </c>
      <c r="BM29" s="127" t="str">
        <f t="shared" si="39"/>
        <v/>
      </c>
      <c r="BN29" s="127" t="str">
        <f t="shared" si="39"/>
        <v/>
      </c>
      <c r="BO29" s="127" t="str">
        <f t="shared" si="39"/>
        <v/>
      </c>
      <c r="BP29" s="127" t="str">
        <f t="shared" si="39"/>
        <v/>
      </c>
      <c r="BQ29" s="127" t="str">
        <f t="shared" si="39"/>
        <v/>
      </c>
      <c r="BR29" s="127" t="str">
        <f t="shared" si="39"/>
        <v/>
      </c>
      <c r="BS29" s="127" t="str">
        <f t="shared" si="39"/>
        <v/>
      </c>
      <c r="BT29" s="127" t="str">
        <f t="shared" si="39"/>
        <v/>
      </c>
      <c r="BU29" s="127" t="str">
        <f t="shared" si="39"/>
        <v/>
      </c>
      <c r="BV29" s="127" t="str">
        <f t="shared" si="39"/>
        <v/>
      </c>
      <c r="BW29" s="127" t="str">
        <f t="shared" si="39"/>
        <v/>
      </c>
      <c r="BX29" s="127" t="str">
        <f t="shared" si="39"/>
        <v/>
      </c>
      <c r="BY29" s="127" t="str">
        <f t="shared" si="39"/>
        <v/>
      </c>
      <c r="BZ29" s="127" t="str">
        <f t="shared" si="39"/>
        <v/>
      </c>
      <c r="CA29" s="127" t="str">
        <f t="shared" si="39"/>
        <v/>
      </c>
      <c r="CB29" s="127" t="str">
        <f t="shared" si="39"/>
        <v/>
      </c>
      <c r="CC29" s="127" t="str">
        <f t="shared" si="39"/>
        <v/>
      </c>
      <c r="CD29" s="127" t="str">
        <f t="shared" si="39"/>
        <v/>
      </c>
    </row>
    <row r="30" spans="1:82" ht="12.6" hidden="1" customHeight="1" x14ac:dyDescent="0.2">
      <c r="A30" s="106">
        <f>SHIPMENTS!A36</f>
        <v>8954</v>
      </c>
      <c r="B30" s="106" t="str">
        <f>SHIPMENTS!B36</f>
        <v>15900- Cainta Rizal | Mary Baquiran</v>
      </c>
      <c r="C30" s="132">
        <f>SHIPMENTS!F36</f>
        <v>6.4999999999999997E-3</v>
      </c>
      <c r="D30" s="107" t="str">
        <f>IF((SHIPMENTS!I36)=0,"",SHIPMENTS!I36)</f>
        <v/>
      </c>
      <c r="E30" s="176">
        <f>IF((SHIPMENTS!G36)=0,"",SHIPMENTS!G36)</f>
        <v>46323</v>
      </c>
      <c r="F30" s="98">
        <f>VLOOKUP(A30,load!$A$4:$U$5001,18,0)</f>
        <v>0</v>
      </c>
      <c r="G30" s="109">
        <f>Manhours!$C$15</f>
        <v>5</v>
      </c>
      <c r="H30" s="98">
        <f t="shared" si="33"/>
        <v>45.5</v>
      </c>
      <c r="I30" s="99">
        <f t="shared" si="34"/>
        <v>0</v>
      </c>
      <c r="J30" s="99">
        <f t="shared" si="35"/>
        <v>0</v>
      </c>
      <c r="K30" s="98">
        <f t="shared" si="27"/>
        <v>0</v>
      </c>
      <c r="L30" s="98">
        <f t="shared" si="36"/>
        <v>0</v>
      </c>
      <c r="M30" s="181">
        <f t="shared" si="38"/>
        <v>46314.297737326007</v>
      </c>
      <c r="N30" s="181">
        <f t="shared" si="37"/>
        <v>46314.297737326007</v>
      </c>
      <c r="O30" s="112" t="str">
        <f>VLOOKUP(A30,SHIPMENTS!$A$7:$AP$76,11,0)</f>
        <v>n/a</v>
      </c>
      <c r="P30" s="101"/>
      <c r="Q30" s="127" t="str">
        <f t="shared" si="42"/>
        <v/>
      </c>
      <c r="R30" s="127" t="str">
        <f t="shared" si="42"/>
        <v/>
      </c>
      <c r="S30" s="127" t="str">
        <f t="shared" si="42"/>
        <v/>
      </c>
      <c r="T30" s="127" t="str">
        <f t="shared" si="42"/>
        <v/>
      </c>
      <c r="U30" s="127" t="str">
        <f t="shared" si="42"/>
        <v/>
      </c>
      <c r="V30" s="127" t="str">
        <f t="shared" si="42"/>
        <v/>
      </c>
      <c r="W30" s="127" t="str">
        <f t="shared" si="42"/>
        <v/>
      </c>
      <c r="X30" s="127" t="str">
        <f t="shared" si="42"/>
        <v/>
      </c>
      <c r="Y30" s="127" t="str">
        <f t="shared" si="42"/>
        <v>▲</v>
      </c>
      <c r="Z30" s="127" t="str">
        <f t="shared" si="42"/>
        <v/>
      </c>
      <c r="AA30" s="127" t="str">
        <f t="shared" si="42"/>
        <v/>
      </c>
      <c r="AB30" s="127" t="str">
        <f t="shared" si="42"/>
        <v/>
      </c>
      <c r="AC30" s="127" t="str">
        <f t="shared" si="42"/>
        <v/>
      </c>
      <c r="AD30" s="127" t="str">
        <f t="shared" si="42"/>
        <v/>
      </c>
      <c r="AE30" s="127" t="str">
        <f t="shared" si="42"/>
        <v/>
      </c>
      <c r="AF30" s="127" t="str">
        <f t="shared" si="42"/>
        <v/>
      </c>
      <c r="AG30" s="127" t="str">
        <f t="shared" si="41"/>
        <v/>
      </c>
      <c r="AH30" s="127" t="str">
        <f t="shared" si="41"/>
        <v/>
      </c>
      <c r="AI30" s="127" t="str">
        <f t="shared" si="41"/>
        <v/>
      </c>
      <c r="AJ30" s="127" t="str">
        <f t="shared" si="41"/>
        <v/>
      </c>
      <c r="AK30" s="127" t="str">
        <f t="shared" si="41"/>
        <v/>
      </c>
      <c r="AL30" s="127" t="str">
        <f t="shared" si="41"/>
        <v/>
      </c>
      <c r="AM30" s="127" t="str">
        <f t="shared" si="41"/>
        <v/>
      </c>
      <c r="AN30" s="127" t="str">
        <f t="shared" si="41"/>
        <v/>
      </c>
      <c r="AO30" s="127" t="str">
        <f t="shared" si="41"/>
        <v/>
      </c>
      <c r="AP30" s="127" t="str">
        <f t="shared" si="41"/>
        <v/>
      </c>
      <c r="AQ30" s="127" t="str">
        <f t="shared" si="41"/>
        <v/>
      </c>
      <c r="AR30" s="127" t="str">
        <f t="shared" si="41"/>
        <v/>
      </c>
      <c r="AS30" s="127" t="str">
        <f t="shared" si="41"/>
        <v/>
      </c>
      <c r="AT30" s="127" t="str">
        <f t="shared" si="41"/>
        <v/>
      </c>
      <c r="AU30" s="127" t="str">
        <f t="shared" si="41"/>
        <v/>
      </c>
      <c r="AV30" s="127" t="str">
        <f t="shared" si="41"/>
        <v/>
      </c>
      <c r="AW30" s="127" t="str">
        <f t="shared" si="41"/>
        <v/>
      </c>
      <c r="AX30" s="127" t="str">
        <f t="shared" si="41"/>
        <v/>
      </c>
      <c r="AY30" s="127" t="str">
        <f t="shared" si="41"/>
        <v/>
      </c>
      <c r="AZ30" s="127" t="str">
        <f t="shared" si="41"/>
        <v/>
      </c>
      <c r="BA30" s="127" t="str">
        <f t="shared" si="41"/>
        <v/>
      </c>
      <c r="BB30" s="127" t="str">
        <f t="shared" si="41"/>
        <v/>
      </c>
      <c r="BC30" s="127" t="str">
        <f t="shared" si="41"/>
        <v/>
      </c>
      <c r="BD30" s="127" t="str">
        <f t="shared" si="41"/>
        <v/>
      </c>
      <c r="BE30" s="127" t="str">
        <f t="shared" si="41"/>
        <v/>
      </c>
      <c r="BF30" s="127" t="str">
        <f t="shared" si="39"/>
        <v/>
      </c>
      <c r="BG30" s="127" t="str">
        <f t="shared" si="40"/>
        <v/>
      </c>
      <c r="BH30" s="127" t="str">
        <f t="shared" si="40"/>
        <v/>
      </c>
      <c r="BI30" s="127" t="str">
        <f t="shared" si="40"/>
        <v/>
      </c>
      <c r="BJ30" s="127" t="str">
        <f t="shared" si="40"/>
        <v/>
      </c>
      <c r="BK30" s="127" t="str">
        <f t="shared" si="40"/>
        <v/>
      </c>
      <c r="BL30" s="127" t="str">
        <f t="shared" si="39"/>
        <v/>
      </c>
      <c r="BM30" s="127" t="str">
        <f t="shared" si="39"/>
        <v/>
      </c>
      <c r="BN30" s="127" t="str">
        <f t="shared" si="39"/>
        <v/>
      </c>
      <c r="BO30" s="127" t="str">
        <f t="shared" si="39"/>
        <v/>
      </c>
      <c r="BP30" s="127" t="str">
        <f t="shared" si="39"/>
        <v/>
      </c>
      <c r="BQ30" s="127" t="str">
        <f t="shared" si="39"/>
        <v/>
      </c>
      <c r="BR30" s="127" t="str">
        <f t="shared" si="39"/>
        <v/>
      </c>
      <c r="BS30" s="127" t="str">
        <f t="shared" si="39"/>
        <v/>
      </c>
      <c r="BT30" s="127" t="str">
        <f t="shared" si="39"/>
        <v/>
      </c>
      <c r="BU30" s="127" t="str">
        <f t="shared" si="39"/>
        <v/>
      </c>
      <c r="BV30" s="127" t="str">
        <f t="shared" si="39"/>
        <v/>
      </c>
      <c r="BW30" s="127" t="str">
        <f t="shared" si="39"/>
        <v/>
      </c>
      <c r="BX30" s="127" t="str">
        <f t="shared" si="39"/>
        <v/>
      </c>
      <c r="BY30" s="127" t="str">
        <f t="shared" si="39"/>
        <v/>
      </c>
      <c r="BZ30" s="127" t="str">
        <f t="shared" si="39"/>
        <v/>
      </c>
      <c r="CA30" s="127" t="str">
        <f t="shared" si="39"/>
        <v/>
      </c>
      <c r="CB30" s="127" t="str">
        <f t="shared" si="39"/>
        <v/>
      </c>
      <c r="CC30" s="127" t="str">
        <f t="shared" si="39"/>
        <v/>
      </c>
      <c r="CD30" s="127" t="str">
        <f t="shared" si="39"/>
        <v/>
      </c>
    </row>
    <row r="31" spans="1:82" ht="12.6" hidden="1" customHeight="1" x14ac:dyDescent="0.2">
      <c r="A31" s="106">
        <f>SHIPMENTS!A37</f>
        <v>9064</v>
      </c>
      <c r="B31" s="106" t="str">
        <f>SHIPMENTS!B37</f>
        <v>15900- Quezon City | Hans Jason Tan</v>
      </c>
      <c r="C31" s="132">
        <f>SHIPMENTS!F37</f>
        <v>6.4999999999999997E-3</v>
      </c>
      <c r="D31" s="107" t="str">
        <f>IF((SHIPMENTS!I37)=0,"",SHIPMENTS!I37)</f>
        <v/>
      </c>
      <c r="E31" s="176">
        <f>IF((SHIPMENTS!G37)=0,"",SHIPMENTS!G37)</f>
        <v>46323</v>
      </c>
      <c r="F31" s="98">
        <f>VLOOKUP(A31,load!$A$4:$U$5001,18,0)</f>
        <v>0</v>
      </c>
      <c r="G31" s="109">
        <f>Manhours!$C$15</f>
        <v>5</v>
      </c>
      <c r="H31" s="98">
        <f t="shared" si="33"/>
        <v>45.5</v>
      </c>
      <c r="I31" s="99">
        <f t="shared" si="34"/>
        <v>0</v>
      </c>
      <c r="J31" s="99">
        <f t="shared" si="35"/>
        <v>0</v>
      </c>
      <c r="K31" s="98">
        <f t="shared" si="27"/>
        <v>0</v>
      </c>
      <c r="L31" s="98">
        <f t="shared" si="36"/>
        <v>0</v>
      </c>
      <c r="M31" s="181">
        <f t="shared" si="38"/>
        <v>46314.297737326007</v>
      </c>
      <c r="N31" s="181">
        <f t="shared" si="37"/>
        <v>46314.297737326007</v>
      </c>
      <c r="O31" s="112" t="str">
        <f>VLOOKUP(A31,SHIPMENTS!$A$7:$AP$76,11,0)</f>
        <v>n/a</v>
      </c>
      <c r="P31" s="101"/>
      <c r="Q31" s="127" t="str">
        <f t="shared" si="42"/>
        <v/>
      </c>
      <c r="R31" s="127" t="str">
        <f t="shared" si="42"/>
        <v/>
      </c>
      <c r="S31" s="127" t="str">
        <f t="shared" si="42"/>
        <v/>
      </c>
      <c r="T31" s="127" t="str">
        <f t="shared" si="42"/>
        <v/>
      </c>
      <c r="U31" s="127" t="str">
        <f t="shared" si="42"/>
        <v/>
      </c>
      <c r="V31" s="127" t="str">
        <f t="shared" si="42"/>
        <v/>
      </c>
      <c r="W31" s="127" t="str">
        <f t="shared" si="42"/>
        <v/>
      </c>
      <c r="X31" s="127" t="str">
        <f t="shared" si="42"/>
        <v/>
      </c>
      <c r="Y31" s="127" t="str">
        <f t="shared" si="42"/>
        <v>▲</v>
      </c>
      <c r="Z31" s="127" t="str">
        <f t="shared" si="42"/>
        <v/>
      </c>
      <c r="AA31" s="127" t="str">
        <f t="shared" si="42"/>
        <v/>
      </c>
      <c r="AB31" s="127" t="str">
        <f t="shared" si="42"/>
        <v/>
      </c>
      <c r="AC31" s="127" t="str">
        <f t="shared" si="42"/>
        <v/>
      </c>
      <c r="AD31" s="127" t="str">
        <f t="shared" si="42"/>
        <v/>
      </c>
      <c r="AE31" s="127" t="str">
        <f t="shared" si="42"/>
        <v/>
      </c>
      <c r="AF31" s="127" t="str">
        <f t="shared" si="42"/>
        <v/>
      </c>
      <c r="AG31" s="127" t="str">
        <f t="shared" si="41"/>
        <v/>
      </c>
      <c r="AH31" s="127" t="str">
        <f t="shared" si="41"/>
        <v/>
      </c>
      <c r="AI31" s="127" t="str">
        <f t="shared" si="41"/>
        <v/>
      </c>
      <c r="AJ31" s="127" t="str">
        <f t="shared" si="41"/>
        <v/>
      </c>
      <c r="AK31" s="127" t="str">
        <f t="shared" si="41"/>
        <v/>
      </c>
      <c r="AL31" s="127" t="str">
        <f t="shared" si="41"/>
        <v/>
      </c>
      <c r="AM31" s="127" t="str">
        <f t="shared" si="41"/>
        <v/>
      </c>
      <c r="AN31" s="127" t="str">
        <f t="shared" si="41"/>
        <v/>
      </c>
      <c r="AO31" s="127" t="str">
        <f t="shared" si="41"/>
        <v/>
      </c>
      <c r="AP31" s="127" t="str">
        <f t="shared" si="41"/>
        <v/>
      </c>
      <c r="AQ31" s="127" t="str">
        <f t="shared" si="41"/>
        <v/>
      </c>
      <c r="AR31" s="127" t="str">
        <f t="shared" si="41"/>
        <v/>
      </c>
      <c r="AS31" s="127" t="str">
        <f t="shared" si="41"/>
        <v/>
      </c>
      <c r="AT31" s="127" t="str">
        <f t="shared" si="41"/>
        <v/>
      </c>
      <c r="AU31" s="127" t="str">
        <f t="shared" si="41"/>
        <v/>
      </c>
      <c r="AV31" s="127" t="str">
        <f t="shared" si="41"/>
        <v/>
      </c>
      <c r="AW31" s="127" t="str">
        <f t="shared" si="41"/>
        <v/>
      </c>
      <c r="AX31" s="127" t="str">
        <f t="shared" si="41"/>
        <v/>
      </c>
      <c r="AY31" s="127" t="str">
        <f t="shared" si="41"/>
        <v/>
      </c>
      <c r="AZ31" s="127" t="str">
        <f t="shared" si="41"/>
        <v/>
      </c>
      <c r="BA31" s="127" t="str">
        <f t="shared" si="41"/>
        <v/>
      </c>
      <c r="BB31" s="127" t="str">
        <f t="shared" si="41"/>
        <v/>
      </c>
      <c r="BC31" s="127" t="str">
        <f t="shared" si="41"/>
        <v/>
      </c>
      <c r="BD31" s="127" t="str">
        <f t="shared" si="41"/>
        <v/>
      </c>
      <c r="BE31" s="127" t="str">
        <f t="shared" si="41"/>
        <v/>
      </c>
      <c r="BF31" s="127" t="str">
        <f t="shared" si="39"/>
        <v/>
      </c>
      <c r="BG31" s="127" t="str">
        <f t="shared" si="40"/>
        <v/>
      </c>
      <c r="BH31" s="127" t="str">
        <f t="shared" si="40"/>
        <v/>
      </c>
      <c r="BI31" s="127" t="str">
        <f t="shared" si="40"/>
        <v/>
      </c>
      <c r="BJ31" s="127" t="str">
        <f t="shared" si="40"/>
        <v/>
      </c>
      <c r="BK31" s="127" t="str">
        <f t="shared" si="40"/>
        <v/>
      </c>
      <c r="BL31" s="127" t="str">
        <f t="shared" si="39"/>
        <v/>
      </c>
      <c r="BM31" s="127" t="str">
        <f t="shared" si="39"/>
        <v/>
      </c>
      <c r="BN31" s="127" t="str">
        <f t="shared" si="39"/>
        <v/>
      </c>
      <c r="BO31" s="127" t="str">
        <f t="shared" si="39"/>
        <v/>
      </c>
      <c r="BP31" s="127" t="str">
        <f t="shared" si="39"/>
        <v/>
      </c>
      <c r="BQ31" s="127" t="str">
        <f t="shared" si="39"/>
        <v/>
      </c>
      <c r="BR31" s="127" t="str">
        <f t="shared" si="39"/>
        <v/>
      </c>
      <c r="BS31" s="127" t="str">
        <f t="shared" si="39"/>
        <v/>
      </c>
      <c r="BT31" s="127" t="str">
        <f t="shared" si="39"/>
        <v/>
      </c>
      <c r="BU31" s="127" t="str">
        <f t="shared" si="39"/>
        <v/>
      </c>
      <c r="BV31" s="127" t="str">
        <f t="shared" si="39"/>
        <v/>
      </c>
      <c r="BW31" s="127" t="str">
        <f t="shared" si="39"/>
        <v/>
      </c>
      <c r="BX31" s="127" t="str">
        <f t="shared" si="39"/>
        <v/>
      </c>
      <c r="BY31" s="127" t="str">
        <f t="shared" si="39"/>
        <v/>
      </c>
      <c r="BZ31" s="127" t="str">
        <f t="shared" si="39"/>
        <v/>
      </c>
      <c r="CA31" s="127" t="str">
        <f t="shared" si="39"/>
        <v/>
      </c>
      <c r="CB31" s="127" t="str">
        <f t="shared" si="39"/>
        <v/>
      </c>
      <c r="CC31" s="127" t="str">
        <f t="shared" si="39"/>
        <v/>
      </c>
      <c r="CD31" s="127" t="str">
        <f t="shared" si="39"/>
        <v/>
      </c>
    </row>
    <row r="32" spans="1:82" ht="12" hidden="1" customHeight="1" x14ac:dyDescent="0.2">
      <c r="A32" s="106">
        <f>SHIPMENTS!A38</f>
        <v>9065</v>
      </c>
      <c r="B32" s="106" t="str">
        <f>SHIPMENTS!B38</f>
        <v>15900- Cavite | Kristine Austria</v>
      </c>
      <c r="C32" s="132">
        <f>SHIPMENTS!F38</f>
        <v>0</v>
      </c>
      <c r="D32" s="107" t="str">
        <f>IF((SHIPMENTS!I38)=0,"",SHIPMENTS!I38)</f>
        <v/>
      </c>
      <c r="E32" s="176">
        <f>IF((SHIPMENTS!G38)=0,"",SHIPMENTS!G38)</f>
        <v>46323</v>
      </c>
      <c r="F32" s="98">
        <f>VLOOKUP(A32,load!$A$4:$U$5001,18,0)</f>
        <v>0</v>
      </c>
      <c r="G32" s="109">
        <f>Manhours!$C$15</f>
        <v>5</v>
      </c>
      <c r="H32" s="98">
        <f t="shared" si="33"/>
        <v>45.5</v>
      </c>
      <c r="I32" s="99">
        <f t="shared" si="34"/>
        <v>0</v>
      </c>
      <c r="J32" s="99">
        <f t="shared" si="35"/>
        <v>0</v>
      </c>
      <c r="K32" s="98">
        <f t="shared" si="27"/>
        <v>0</v>
      </c>
      <c r="L32" s="98">
        <f t="shared" si="36"/>
        <v>0</v>
      </c>
      <c r="M32" s="181">
        <f t="shared" si="38"/>
        <v>46314.297737326007</v>
      </c>
      <c r="N32" s="181">
        <f t="shared" si="37"/>
        <v>46314.297737326007</v>
      </c>
      <c r="O32" s="112" t="str">
        <f>VLOOKUP(A32,SHIPMENTS!$A$7:$AP$76,11,0)</f>
        <v>n/a</v>
      </c>
      <c r="P32" s="101"/>
      <c r="Q32" s="127" t="str">
        <f t="shared" si="42"/>
        <v/>
      </c>
      <c r="R32" s="127" t="str">
        <f t="shared" si="42"/>
        <v/>
      </c>
      <c r="S32" s="127" t="str">
        <f t="shared" si="42"/>
        <v/>
      </c>
      <c r="T32" s="127" t="str">
        <f t="shared" si="42"/>
        <v/>
      </c>
      <c r="U32" s="127" t="str">
        <f t="shared" si="42"/>
        <v/>
      </c>
      <c r="V32" s="127" t="str">
        <f t="shared" si="42"/>
        <v/>
      </c>
      <c r="W32" s="127" t="str">
        <f t="shared" si="42"/>
        <v/>
      </c>
      <c r="X32" s="127" t="str">
        <f t="shared" si="42"/>
        <v/>
      </c>
      <c r="Y32" s="127" t="str">
        <f t="shared" si="42"/>
        <v>▲</v>
      </c>
      <c r="Z32" s="127" t="str">
        <f t="shared" si="42"/>
        <v/>
      </c>
      <c r="AA32" s="127" t="str">
        <f t="shared" si="42"/>
        <v/>
      </c>
      <c r="AB32" s="127" t="str">
        <f t="shared" si="42"/>
        <v/>
      </c>
      <c r="AC32" s="127" t="str">
        <f t="shared" si="42"/>
        <v/>
      </c>
      <c r="AD32" s="127" t="str">
        <f t="shared" si="42"/>
        <v/>
      </c>
      <c r="AE32" s="127" t="str">
        <f t="shared" si="42"/>
        <v/>
      </c>
      <c r="AF32" s="127" t="str">
        <f t="shared" si="42"/>
        <v/>
      </c>
      <c r="AG32" s="127" t="str">
        <f t="shared" si="41"/>
        <v/>
      </c>
      <c r="AH32" s="127" t="str">
        <f t="shared" si="41"/>
        <v/>
      </c>
      <c r="AI32" s="127" t="str">
        <f t="shared" si="41"/>
        <v/>
      </c>
      <c r="AJ32" s="127" t="str">
        <f t="shared" si="41"/>
        <v/>
      </c>
      <c r="AK32" s="127" t="str">
        <f t="shared" si="41"/>
        <v/>
      </c>
      <c r="AL32" s="127" t="str">
        <f t="shared" si="41"/>
        <v/>
      </c>
      <c r="AM32" s="127" t="str">
        <f t="shared" si="41"/>
        <v/>
      </c>
      <c r="AN32" s="127" t="str">
        <f t="shared" si="41"/>
        <v/>
      </c>
      <c r="AO32" s="127" t="str">
        <f t="shared" si="41"/>
        <v/>
      </c>
      <c r="AP32" s="127" t="str">
        <f t="shared" si="41"/>
        <v/>
      </c>
      <c r="AQ32" s="127" t="str">
        <f t="shared" si="41"/>
        <v/>
      </c>
      <c r="AR32" s="127" t="str">
        <f t="shared" si="41"/>
        <v/>
      </c>
      <c r="AS32" s="127" t="str">
        <f t="shared" si="41"/>
        <v/>
      </c>
      <c r="AT32" s="127" t="str">
        <f t="shared" si="41"/>
        <v/>
      </c>
      <c r="AU32" s="127" t="str">
        <f t="shared" si="41"/>
        <v/>
      </c>
      <c r="AV32" s="127" t="str">
        <f t="shared" si="41"/>
        <v/>
      </c>
      <c r="AW32" s="127" t="str">
        <f t="shared" si="41"/>
        <v/>
      </c>
      <c r="AX32" s="127" t="str">
        <f t="shared" si="41"/>
        <v/>
      </c>
      <c r="AY32" s="127" t="str">
        <f t="shared" si="41"/>
        <v/>
      </c>
      <c r="AZ32" s="127" t="str">
        <f t="shared" si="41"/>
        <v/>
      </c>
      <c r="BA32" s="127" t="str">
        <f t="shared" si="41"/>
        <v/>
      </c>
      <c r="BB32" s="127" t="str">
        <f t="shared" si="41"/>
        <v/>
      </c>
      <c r="BC32" s="127" t="str">
        <f t="shared" si="41"/>
        <v/>
      </c>
      <c r="BD32" s="127" t="str">
        <f t="shared" si="41"/>
        <v/>
      </c>
      <c r="BE32" s="127" t="str">
        <f t="shared" si="41"/>
        <v/>
      </c>
      <c r="BF32" s="127" t="str">
        <f t="shared" si="39"/>
        <v/>
      </c>
      <c r="BG32" s="127" t="str">
        <f t="shared" si="40"/>
        <v/>
      </c>
      <c r="BH32" s="127" t="str">
        <f t="shared" si="40"/>
        <v/>
      </c>
      <c r="BI32" s="127" t="str">
        <f t="shared" si="40"/>
        <v/>
      </c>
      <c r="BJ32" s="127" t="str">
        <f t="shared" si="40"/>
        <v/>
      </c>
      <c r="BK32" s="127" t="str">
        <f t="shared" si="40"/>
        <v/>
      </c>
      <c r="BL32" s="127" t="str">
        <f t="shared" si="39"/>
        <v/>
      </c>
      <c r="BM32" s="127" t="str">
        <f t="shared" si="39"/>
        <v/>
      </c>
      <c r="BN32" s="127" t="str">
        <f t="shared" si="39"/>
        <v/>
      </c>
      <c r="BO32" s="127" t="str">
        <f t="shared" si="39"/>
        <v/>
      </c>
      <c r="BP32" s="127" t="str">
        <f t="shared" si="39"/>
        <v/>
      </c>
      <c r="BQ32" s="127" t="str">
        <f t="shared" si="39"/>
        <v/>
      </c>
      <c r="BR32" s="127" t="str">
        <f t="shared" si="39"/>
        <v/>
      </c>
      <c r="BS32" s="127" t="str">
        <f t="shared" si="39"/>
        <v/>
      </c>
      <c r="BT32" s="127" t="str">
        <f t="shared" si="39"/>
        <v/>
      </c>
      <c r="BU32" s="127" t="str">
        <f t="shared" si="39"/>
        <v/>
      </c>
      <c r="BV32" s="127" t="str">
        <f t="shared" si="39"/>
        <v/>
      </c>
      <c r="BW32" s="127" t="str">
        <f t="shared" si="39"/>
        <v/>
      </c>
      <c r="BX32" s="127" t="str">
        <f t="shared" si="39"/>
        <v/>
      </c>
      <c r="BY32" s="127" t="str">
        <f t="shared" si="39"/>
        <v/>
      </c>
      <c r="BZ32" s="127" t="str">
        <f t="shared" si="39"/>
        <v/>
      </c>
      <c r="CA32" s="127" t="str">
        <f t="shared" si="39"/>
        <v/>
      </c>
      <c r="CB32" s="127" t="str">
        <f t="shared" si="39"/>
        <v/>
      </c>
      <c r="CC32" s="127" t="str">
        <f t="shared" si="39"/>
        <v/>
      </c>
      <c r="CD32" s="127" t="str">
        <f t="shared" si="39"/>
        <v/>
      </c>
    </row>
    <row r="33" spans="1:82" ht="12" customHeight="1" x14ac:dyDescent="0.2">
      <c r="A33" s="106">
        <f>SHIPMENTS!A39</f>
        <v>9303</v>
      </c>
      <c r="B33" s="106" t="str">
        <f>SHIPMENTS!B39</f>
        <v>15900- Manila Office Stocking</v>
      </c>
      <c r="C33" s="132">
        <f>SHIPMENTS!F39</f>
        <v>0.63700000000000001</v>
      </c>
      <c r="D33" s="107" t="str">
        <f>IF((SHIPMENTS!I39)=0,"",SHIPMENTS!I39)</f>
        <v/>
      </c>
      <c r="E33" s="176">
        <f>IF((SHIPMENTS!G39)=0,"",SHIPMENTS!G39)</f>
        <v>46323</v>
      </c>
      <c r="F33" s="98">
        <f>VLOOKUP(A33,load!$A$4:$U$5001,18,0)</f>
        <v>0</v>
      </c>
      <c r="G33" s="109">
        <f>Manhours!$C$15</f>
        <v>5</v>
      </c>
      <c r="H33" s="98">
        <f t="shared" ref="H33:H45" si="43">+G33*$H$4</f>
        <v>45.5</v>
      </c>
      <c r="I33" s="99">
        <f t="shared" ref="I33:I45" si="44">F33/H33</f>
        <v>0</v>
      </c>
      <c r="J33" s="99">
        <f t="shared" ref="J33:J45" si="45">+I33*$H$4</f>
        <v>0</v>
      </c>
      <c r="K33" s="98">
        <f t="shared" ref="K33:K45" si="46">IFERROR(I33-(I33*O33),0)</f>
        <v>0</v>
      </c>
      <c r="L33" s="98">
        <f t="shared" ref="L33:L45" si="47">IFERROR(J33-(J33*O33),0)</f>
        <v>0</v>
      </c>
      <c r="M33" s="181">
        <f t="shared" ref="M33:M45" si="48">N32</f>
        <v>46314.297737326007</v>
      </c>
      <c r="N33" s="181">
        <f t="shared" ref="N33:N45" si="49">M33+K33</f>
        <v>46314.297737326007</v>
      </c>
      <c r="O33" s="112">
        <f>VLOOKUP(A33,SHIPMENTS!$A$7:$AP$76,11,0)</f>
        <v>0</v>
      </c>
      <c r="P33" s="101"/>
      <c r="Q33" s="127" t="str">
        <f t="shared" si="42"/>
        <v/>
      </c>
      <c r="R33" s="127" t="str">
        <f t="shared" si="42"/>
        <v/>
      </c>
      <c r="S33" s="127" t="str">
        <f t="shared" si="42"/>
        <v/>
      </c>
      <c r="T33" s="127" t="str">
        <f t="shared" si="42"/>
        <v/>
      </c>
      <c r="U33" s="127" t="str">
        <f t="shared" si="42"/>
        <v/>
      </c>
      <c r="V33" s="127" t="str">
        <f t="shared" si="42"/>
        <v/>
      </c>
      <c r="W33" s="127" t="str">
        <f t="shared" si="42"/>
        <v/>
      </c>
      <c r="X33" s="127" t="str">
        <f t="shared" si="42"/>
        <v/>
      </c>
      <c r="Y33" s="127" t="str">
        <f t="shared" si="42"/>
        <v>▲</v>
      </c>
      <c r="Z33" s="127" t="str">
        <f t="shared" si="42"/>
        <v/>
      </c>
      <c r="AA33" s="127" t="str">
        <f t="shared" si="42"/>
        <v/>
      </c>
      <c r="AB33" s="127" t="str">
        <f t="shared" si="42"/>
        <v/>
      </c>
      <c r="AC33" s="127" t="str">
        <f t="shared" si="42"/>
        <v/>
      </c>
      <c r="AD33" s="127" t="str">
        <f t="shared" si="42"/>
        <v/>
      </c>
      <c r="AE33" s="127" t="str">
        <f t="shared" si="42"/>
        <v/>
      </c>
      <c r="AF33" s="127" t="str">
        <f t="shared" si="42"/>
        <v/>
      </c>
      <c r="AG33" s="127" t="str">
        <f t="shared" si="41"/>
        <v/>
      </c>
      <c r="AH33" s="127" t="str">
        <f t="shared" si="41"/>
        <v/>
      </c>
      <c r="AI33" s="127" t="str">
        <f t="shared" si="41"/>
        <v/>
      </c>
      <c r="AJ33" s="127" t="str">
        <f t="shared" si="41"/>
        <v/>
      </c>
      <c r="AK33" s="127" t="str">
        <f t="shared" ref="AK33:AZ50" si="50">IF($E33=AK$3,"▲","")</f>
        <v/>
      </c>
      <c r="AL33" s="127" t="str">
        <f t="shared" si="50"/>
        <v/>
      </c>
      <c r="AM33" s="127" t="str">
        <f t="shared" si="50"/>
        <v/>
      </c>
      <c r="AN33" s="127" t="str">
        <f t="shared" si="50"/>
        <v/>
      </c>
      <c r="AO33" s="127" t="str">
        <f t="shared" si="50"/>
        <v/>
      </c>
      <c r="AP33" s="127" t="str">
        <f t="shared" si="50"/>
        <v/>
      </c>
      <c r="AQ33" s="127" t="str">
        <f t="shared" si="50"/>
        <v/>
      </c>
      <c r="AR33" s="127" t="str">
        <f t="shared" si="50"/>
        <v/>
      </c>
      <c r="AS33" s="127" t="str">
        <f t="shared" si="50"/>
        <v/>
      </c>
      <c r="AT33" s="127" t="str">
        <f t="shared" si="50"/>
        <v/>
      </c>
      <c r="AU33" s="127" t="str">
        <f t="shared" si="50"/>
        <v/>
      </c>
      <c r="AV33" s="127" t="str">
        <f t="shared" si="50"/>
        <v/>
      </c>
      <c r="AW33" s="127" t="str">
        <f t="shared" si="50"/>
        <v/>
      </c>
      <c r="AX33" s="127" t="str">
        <f t="shared" si="50"/>
        <v/>
      </c>
      <c r="AY33" s="127" t="str">
        <f t="shared" si="50"/>
        <v/>
      </c>
      <c r="AZ33" s="127" t="str">
        <f t="shared" si="50"/>
        <v/>
      </c>
      <c r="BA33" s="127" t="str">
        <f t="shared" ref="BA33:BP50" si="51">IF($E33=BA$3,"▲","")</f>
        <v/>
      </c>
      <c r="BB33" s="127" t="str">
        <f t="shared" si="51"/>
        <v/>
      </c>
      <c r="BC33" s="127" t="str">
        <f t="shared" si="51"/>
        <v/>
      </c>
      <c r="BD33" s="127" t="str">
        <f t="shared" si="51"/>
        <v/>
      </c>
      <c r="BE33" s="127" t="str">
        <f t="shared" si="51"/>
        <v/>
      </c>
      <c r="BF33" s="127" t="str">
        <f t="shared" si="39"/>
        <v/>
      </c>
      <c r="BG33" s="127" t="str">
        <f t="shared" si="39"/>
        <v/>
      </c>
      <c r="BH33" s="127" t="str">
        <f t="shared" si="39"/>
        <v/>
      </c>
      <c r="BI33" s="127" t="str">
        <f t="shared" si="39"/>
        <v/>
      </c>
      <c r="BJ33" s="127" t="str">
        <f t="shared" si="39"/>
        <v/>
      </c>
      <c r="BK33" s="127" t="str">
        <f t="shared" si="39"/>
        <v/>
      </c>
      <c r="BL33" s="127" t="str">
        <f t="shared" si="39"/>
        <v/>
      </c>
      <c r="BM33" s="127" t="str">
        <f t="shared" si="39"/>
        <v/>
      </c>
      <c r="BN33" s="127" t="str">
        <f t="shared" si="39"/>
        <v/>
      </c>
      <c r="BO33" s="127" t="str">
        <f t="shared" si="39"/>
        <v/>
      </c>
      <c r="BP33" s="127" t="str">
        <f t="shared" si="39"/>
        <v/>
      </c>
      <c r="BQ33" s="127" t="str">
        <f t="shared" si="39"/>
        <v/>
      </c>
      <c r="BR33" s="127" t="str">
        <f t="shared" si="39"/>
        <v/>
      </c>
      <c r="BS33" s="127" t="str">
        <f t="shared" si="39"/>
        <v/>
      </c>
      <c r="BT33" s="127" t="str">
        <f t="shared" si="39"/>
        <v/>
      </c>
      <c r="BU33" s="127" t="str">
        <f t="shared" si="39"/>
        <v/>
      </c>
      <c r="BV33" s="127" t="str">
        <f t="shared" si="39"/>
        <v/>
      </c>
      <c r="BW33" s="127" t="str">
        <f t="shared" si="39"/>
        <v/>
      </c>
      <c r="BX33" s="127" t="str">
        <f t="shared" si="39"/>
        <v/>
      </c>
      <c r="BY33" s="127" t="str">
        <f t="shared" si="39"/>
        <v/>
      </c>
      <c r="BZ33" s="127" t="str">
        <f t="shared" si="39"/>
        <v/>
      </c>
      <c r="CA33" s="127" t="str">
        <f t="shared" si="39"/>
        <v/>
      </c>
      <c r="CB33" s="127" t="str">
        <f t="shared" si="39"/>
        <v/>
      </c>
      <c r="CC33" s="127" t="str">
        <f t="shared" si="39"/>
        <v/>
      </c>
      <c r="CD33" s="127" t="str">
        <f t="shared" si="39"/>
        <v/>
      </c>
    </row>
    <row r="34" spans="1:82" ht="12" hidden="1" customHeight="1" x14ac:dyDescent="0.2">
      <c r="A34" s="106">
        <f>SHIPMENTS!A40</f>
        <v>9204</v>
      </c>
      <c r="B34" s="106" t="str">
        <f>SHIPMENTS!B40</f>
        <v>2300-HONGKONG</v>
      </c>
      <c r="C34" s="132">
        <f>SHIPMENTS!F40</f>
        <v>3.1</v>
      </c>
      <c r="D34" s="107" t="str">
        <f>IF((SHIPMENTS!I40)=0,"",SHIPMENTS!I40)</f>
        <v/>
      </c>
      <c r="E34" s="176">
        <f>IF((SHIPMENTS!G40)=0,"",SHIPMENTS!G40)</f>
        <v>46324</v>
      </c>
      <c r="F34" s="98">
        <f>VLOOKUP(A34,load!$A$4:$U$5001,18,0)</f>
        <v>8.6333333333333329</v>
      </c>
      <c r="G34" s="109">
        <f>Manhours!$C$15</f>
        <v>5</v>
      </c>
      <c r="H34" s="98">
        <f t="shared" si="43"/>
        <v>45.5</v>
      </c>
      <c r="I34" s="99">
        <f t="shared" si="44"/>
        <v>0.18974358974358974</v>
      </c>
      <c r="J34" s="99">
        <f t="shared" si="45"/>
        <v>1.7266666666666666</v>
      </c>
      <c r="K34" s="98">
        <f t="shared" si="46"/>
        <v>0</v>
      </c>
      <c r="L34" s="98">
        <f t="shared" si="47"/>
        <v>0</v>
      </c>
      <c r="M34" s="181">
        <f t="shared" si="48"/>
        <v>46314.297737326007</v>
      </c>
      <c r="N34" s="181">
        <f t="shared" si="49"/>
        <v>46314.297737326007</v>
      </c>
      <c r="O34" s="112" t="str">
        <f>VLOOKUP(A34,SHIPMENTS!$A$7:$AP$76,11,0)</f>
        <v>n/a</v>
      </c>
      <c r="P34" s="101"/>
      <c r="Q34" s="127" t="str">
        <f t="shared" si="42"/>
        <v/>
      </c>
      <c r="R34" s="127" t="str">
        <f t="shared" si="42"/>
        <v/>
      </c>
      <c r="S34" s="127" t="str">
        <f t="shared" si="42"/>
        <v/>
      </c>
      <c r="T34" s="127" t="str">
        <f t="shared" si="42"/>
        <v/>
      </c>
      <c r="U34" s="127" t="str">
        <f t="shared" si="42"/>
        <v/>
      </c>
      <c r="V34" s="127" t="str">
        <f t="shared" si="42"/>
        <v/>
      </c>
      <c r="W34" s="127" t="str">
        <f t="shared" si="42"/>
        <v/>
      </c>
      <c r="X34" s="127" t="str">
        <f t="shared" si="42"/>
        <v/>
      </c>
      <c r="Y34" s="127" t="str">
        <f t="shared" si="42"/>
        <v/>
      </c>
      <c r="Z34" s="127" t="str">
        <f t="shared" si="42"/>
        <v>▲</v>
      </c>
      <c r="AA34" s="127" t="str">
        <f t="shared" si="42"/>
        <v/>
      </c>
      <c r="AB34" s="127" t="str">
        <f t="shared" si="42"/>
        <v/>
      </c>
      <c r="AC34" s="127" t="str">
        <f t="shared" si="42"/>
        <v/>
      </c>
      <c r="AD34" s="127" t="str">
        <f t="shared" si="42"/>
        <v/>
      </c>
      <c r="AE34" s="127" t="str">
        <f t="shared" si="42"/>
        <v/>
      </c>
      <c r="AF34" s="127" t="str">
        <f t="shared" si="42"/>
        <v/>
      </c>
      <c r="AG34" s="127" t="str">
        <f t="shared" ref="AG34:AV49" si="52">IF($E34=AG$3,"▲","")</f>
        <v/>
      </c>
      <c r="AH34" s="127" t="str">
        <f t="shared" si="52"/>
        <v/>
      </c>
      <c r="AI34" s="127" t="str">
        <f t="shared" si="52"/>
        <v/>
      </c>
      <c r="AJ34" s="127" t="str">
        <f t="shared" si="52"/>
        <v/>
      </c>
      <c r="AK34" s="127" t="str">
        <f t="shared" si="52"/>
        <v/>
      </c>
      <c r="AL34" s="127" t="str">
        <f t="shared" si="52"/>
        <v/>
      </c>
      <c r="AM34" s="127" t="str">
        <f t="shared" si="52"/>
        <v/>
      </c>
      <c r="AN34" s="127" t="str">
        <f t="shared" si="52"/>
        <v/>
      </c>
      <c r="AO34" s="127" t="str">
        <f t="shared" si="52"/>
        <v/>
      </c>
      <c r="AP34" s="127" t="str">
        <f t="shared" si="52"/>
        <v/>
      </c>
      <c r="AQ34" s="127" t="str">
        <f t="shared" si="52"/>
        <v/>
      </c>
      <c r="AR34" s="127" t="str">
        <f t="shared" si="52"/>
        <v/>
      </c>
      <c r="AS34" s="127" t="str">
        <f t="shared" si="52"/>
        <v/>
      </c>
      <c r="AT34" s="127" t="str">
        <f t="shared" si="52"/>
        <v/>
      </c>
      <c r="AU34" s="127" t="str">
        <f t="shared" si="52"/>
        <v/>
      </c>
      <c r="AV34" s="127" t="str">
        <f t="shared" si="52"/>
        <v/>
      </c>
      <c r="AW34" s="127" t="str">
        <f t="shared" si="50"/>
        <v/>
      </c>
      <c r="AX34" s="127" t="str">
        <f t="shared" si="50"/>
        <v/>
      </c>
      <c r="AY34" s="127" t="str">
        <f t="shared" si="50"/>
        <v/>
      </c>
      <c r="AZ34" s="127" t="str">
        <f t="shared" si="50"/>
        <v/>
      </c>
      <c r="BA34" s="127" t="str">
        <f t="shared" si="51"/>
        <v/>
      </c>
      <c r="BB34" s="127" t="str">
        <f t="shared" si="51"/>
        <v/>
      </c>
      <c r="BC34" s="127" t="str">
        <f t="shared" si="51"/>
        <v/>
      </c>
      <c r="BD34" s="127" t="str">
        <f t="shared" si="51"/>
        <v/>
      </c>
      <c r="BE34" s="127" t="str">
        <f t="shared" si="51"/>
        <v/>
      </c>
      <c r="BF34" s="127" t="str">
        <f t="shared" si="51"/>
        <v/>
      </c>
      <c r="BG34" s="127" t="str">
        <f t="shared" si="51"/>
        <v/>
      </c>
      <c r="BH34" s="127" t="str">
        <f t="shared" si="51"/>
        <v/>
      </c>
      <c r="BI34" s="127" t="str">
        <f t="shared" si="51"/>
        <v/>
      </c>
      <c r="BJ34" s="127" t="str">
        <f t="shared" si="51"/>
        <v/>
      </c>
      <c r="BK34" s="127" t="str">
        <f t="shared" si="51"/>
        <v/>
      </c>
      <c r="BL34" s="127" t="str">
        <f t="shared" si="51"/>
        <v/>
      </c>
      <c r="BM34" s="127" t="str">
        <f t="shared" si="51"/>
        <v/>
      </c>
      <c r="BN34" s="127" t="str">
        <f t="shared" si="51"/>
        <v/>
      </c>
      <c r="BO34" s="127" t="str">
        <f t="shared" si="51"/>
        <v/>
      </c>
      <c r="BP34" s="127" t="str">
        <f t="shared" si="51"/>
        <v/>
      </c>
      <c r="BQ34" s="127" t="str">
        <f t="shared" ref="BQ34:CD50" si="53">IF($E34=BQ$3,"▲","")</f>
        <v/>
      </c>
      <c r="BR34" s="127" t="str">
        <f t="shared" si="53"/>
        <v/>
      </c>
      <c r="BS34" s="127" t="str">
        <f t="shared" si="53"/>
        <v/>
      </c>
      <c r="BT34" s="127" t="str">
        <f t="shared" si="53"/>
        <v/>
      </c>
      <c r="BU34" s="127" t="str">
        <f t="shared" si="53"/>
        <v/>
      </c>
      <c r="BV34" s="127" t="str">
        <f t="shared" si="53"/>
        <v/>
      </c>
      <c r="BW34" s="127" t="str">
        <f t="shared" si="53"/>
        <v/>
      </c>
      <c r="BX34" s="127" t="str">
        <f t="shared" si="53"/>
        <v/>
      </c>
      <c r="BY34" s="127" t="str">
        <f t="shared" si="53"/>
        <v/>
      </c>
      <c r="BZ34" s="127" t="str">
        <f t="shared" si="53"/>
        <v/>
      </c>
      <c r="CA34" s="127" t="str">
        <f t="shared" si="53"/>
        <v/>
      </c>
      <c r="CB34" s="127" t="str">
        <f t="shared" si="53"/>
        <v/>
      </c>
      <c r="CC34" s="127" t="str">
        <f t="shared" si="53"/>
        <v/>
      </c>
      <c r="CD34" s="127" t="str">
        <f t="shared" si="53"/>
        <v/>
      </c>
    </row>
    <row r="35" spans="1:82" ht="12" hidden="1" customHeight="1" x14ac:dyDescent="0.2">
      <c r="A35" s="106">
        <f>SHIPMENTS!A41</f>
        <v>9005</v>
      </c>
      <c r="B35" s="106" t="str">
        <f>SHIPMENTS!B41</f>
        <v>28100-AUSTRIA HARVIA</v>
      </c>
      <c r="C35" s="132">
        <f>SHIPMENTS!F41</f>
        <v>44.15</v>
      </c>
      <c r="D35" s="107" t="str">
        <f>IF((SHIPMENTS!I41)=0,"",SHIPMENTS!I41)</f>
        <v>1X20</v>
      </c>
      <c r="E35" s="176">
        <f>IF((SHIPMENTS!G41)=0,"",SHIPMENTS!G41)</f>
        <v>46325</v>
      </c>
      <c r="F35" s="98">
        <f>VLOOKUP(A35,load!$A$4:$U$5001,18,0)</f>
        <v>0</v>
      </c>
      <c r="G35" s="109">
        <f>Manhours!$C$15</f>
        <v>5</v>
      </c>
      <c r="H35" s="98">
        <f t="shared" si="43"/>
        <v>45.5</v>
      </c>
      <c r="I35" s="99">
        <f t="shared" si="44"/>
        <v>0</v>
      </c>
      <c r="J35" s="99">
        <f t="shared" si="45"/>
        <v>0</v>
      </c>
      <c r="K35" s="98">
        <f t="shared" si="46"/>
        <v>0</v>
      </c>
      <c r="L35" s="98">
        <f t="shared" si="47"/>
        <v>0</v>
      </c>
      <c r="M35" s="181">
        <f t="shared" si="48"/>
        <v>46314.297737326007</v>
      </c>
      <c r="N35" s="181">
        <f t="shared" si="49"/>
        <v>46314.297737326007</v>
      </c>
      <c r="O35" s="112" t="str">
        <f>VLOOKUP(A35,SHIPMENTS!$A$7:$AP$76,11,0)</f>
        <v>n/a</v>
      </c>
      <c r="P35" s="101"/>
      <c r="Q35" s="127" t="str">
        <f t="shared" si="42"/>
        <v/>
      </c>
      <c r="R35" s="127" t="str">
        <f t="shared" si="42"/>
        <v/>
      </c>
      <c r="S35" s="127" t="str">
        <f t="shared" si="42"/>
        <v/>
      </c>
      <c r="T35" s="127" t="str">
        <f t="shared" si="42"/>
        <v/>
      </c>
      <c r="U35" s="127" t="str">
        <f t="shared" si="42"/>
        <v/>
      </c>
      <c r="V35" s="127" t="str">
        <f t="shared" si="42"/>
        <v/>
      </c>
      <c r="W35" s="127" t="str">
        <f t="shared" si="42"/>
        <v/>
      </c>
      <c r="X35" s="127" t="str">
        <f t="shared" si="42"/>
        <v/>
      </c>
      <c r="Y35" s="127" t="str">
        <f t="shared" si="42"/>
        <v/>
      </c>
      <c r="Z35" s="127" t="str">
        <f t="shared" si="42"/>
        <v/>
      </c>
      <c r="AA35" s="127" t="str">
        <f t="shared" si="42"/>
        <v>▲</v>
      </c>
      <c r="AB35" s="127" t="str">
        <f t="shared" si="42"/>
        <v/>
      </c>
      <c r="AC35" s="127" t="str">
        <f t="shared" si="42"/>
        <v/>
      </c>
      <c r="AD35" s="127" t="str">
        <f t="shared" si="42"/>
        <v/>
      </c>
      <c r="AE35" s="127" t="str">
        <f t="shared" si="42"/>
        <v/>
      </c>
      <c r="AF35" s="127" t="str">
        <f t="shared" si="42"/>
        <v/>
      </c>
      <c r="AG35" s="127" t="str">
        <f t="shared" si="52"/>
        <v/>
      </c>
      <c r="AH35" s="127" t="str">
        <f t="shared" si="52"/>
        <v/>
      </c>
      <c r="AI35" s="127" t="str">
        <f t="shared" si="52"/>
        <v/>
      </c>
      <c r="AJ35" s="127" t="str">
        <f t="shared" si="52"/>
        <v/>
      </c>
      <c r="AK35" s="127" t="str">
        <f t="shared" si="52"/>
        <v/>
      </c>
      <c r="AL35" s="127" t="str">
        <f t="shared" si="52"/>
        <v/>
      </c>
      <c r="AM35" s="127" t="str">
        <f t="shared" si="52"/>
        <v/>
      </c>
      <c r="AN35" s="127" t="str">
        <f t="shared" si="52"/>
        <v/>
      </c>
      <c r="AO35" s="127" t="str">
        <f t="shared" si="52"/>
        <v/>
      </c>
      <c r="AP35" s="127" t="str">
        <f t="shared" si="52"/>
        <v/>
      </c>
      <c r="AQ35" s="127" t="str">
        <f t="shared" si="52"/>
        <v/>
      </c>
      <c r="AR35" s="127" t="str">
        <f t="shared" si="52"/>
        <v/>
      </c>
      <c r="AS35" s="127" t="str">
        <f t="shared" si="52"/>
        <v/>
      </c>
      <c r="AT35" s="127" t="str">
        <f t="shared" si="52"/>
        <v/>
      </c>
      <c r="AU35" s="127" t="str">
        <f t="shared" si="52"/>
        <v/>
      </c>
      <c r="AV35" s="127" t="str">
        <f t="shared" si="52"/>
        <v/>
      </c>
      <c r="AW35" s="127" t="str">
        <f t="shared" si="50"/>
        <v/>
      </c>
      <c r="AX35" s="127" t="str">
        <f t="shared" si="50"/>
        <v/>
      </c>
      <c r="AY35" s="127" t="str">
        <f t="shared" si="50"/>
        <v/>
      </c>
      <c r="AZ35" s="127" t="str">
        <f t="shared" si="50"/>
        <v/>
      </c>
      <c r="BA35" s="127" t="str">
        <f t="shared" si="51"/>
        <v/>
      </c>
      <c r="BB35" s="127" t="str">
        <f t="shared" si="51"/>
        <v/>
      </c>
      <c r="BC35" s="127" t="str">
        <f t="shared" si="51"/>
        <v/>
      </c>
      <c r="BD35" s="127" t="str">
        <f t="shared" si="51"/>
        <v/>
      </c>
      <c r="BE35" s="127" t="str">
        <f t="shared" si="51"/>
        <v/>
      </c>
      <c r="BF35" s="127" t="str">
        <f t="shared" si="51"/>
        <v/>
      </c>
      <c r="BG35" s="127" t="str">
        <f t="shared" si="51"/>
        <v/>
      </c>
      <c r="BH35" s="127" t="str">
        <f t="shared" si="51"/>
        <v/>
      </c>
      <c r="BI35" s="127" t="str">
        <f t="shared" si="51"/>
        <v/>
      </c>
      <c r="BJ35" s="127" t="str">
        <f t="shared" si="51"/>
        <v/>
      </c>
      <c r="BK35" s="127" t="str">
        <f t="shared" si="51"/>
        <v/>
      </c>
      <c r="BL35" s="127" t="str">
        <f t="shared" si="51"/>
        <v/>
      </c>
      <c r="BM35" s="127" t="str">
        <f t="shared" si="51"/>
        <v/>
      </c>
      <c r="BN35" s="127" t="str">
        <f t="shared" si="51"/>
        <v/>
      </c>
      <c r="BO35" s="127" t="str">
        <f t="shared" si="51"/>
        <v/>
      </c>
      <c r="BP35" s="127" t="str">
        <f t="shared" si="51"/>
        <v/>
      </c>
      <c r="BQ35" s="127" t="str">
        <f t="shared" si="53"/>
        <v/>
      </c>
      <c r="BR35" s="127" t="str">
        <f t="shared" si="53"/>
        <v/>
      </c>
      <c r="BS35" s="127" t="str">
        <f t="shared" si="53"/>
        <v/>
      </c>
      <c r="BT35" s="127" t="str">
        <f t="shared" si="53"/>
        <v/>
      </c>
      <c r="BU35" s="127" t="str">
        <f t="shared" si="53"/>
        <v/>
      </c>
      <c r="BV35" s="127" t="str">
        <f t="shared" si="53"/>
        <v/>
      </c>
      <c r="BW35" s="127" t="str">
        <f t="shared" si="53"/>
        <v/>
      </c>
      <c r="BX35" s="127" t="str">
        <f t="shared" si="53"/>
        <v/>
      </c>
      <c r="BY35" s="127" t="str">
        <f t="shared" si="53"/>
        <v/>
      </c>
      <c r="BZ35" s="127" t="str">
        <f t="shared" si="53"/>
        <v/>
      </c>
      <c r="CA35" s="127" t="str">
        <f t="shared" si="53"/>
        <v/>
      </c>
      <c r="CB35" s="127" t="str">
        <f t="shared" si="53"/>
        <v/>
      </c>
      <c r="CC35" s="127" t="str">
        <f t="shared" si="53"/>
        <v/>
      </c>
      <c r="CD35" s="127" t="str">
        <f t="shared" si="53"/>
        <v/>
      </c>
    </row>
    <row r="36" spans="1:82" ht="12" hidden="1" customHeight="1" x14ac:dyDescent="0.2">
      <c r="A36" s="106">
        <f>SHIPMENTS!A42</f>
        <v>8952</v>
      </c>
      <c r="B36" s="106" t="str">
        <f>SHIPMENTS!B42</f>
        <v>41300-CANADA SAUNAFIN</v>
      </c>
      <c r="C36" s="132">
        <f>SHIPMENTS!F42</f>
        <v>70.45</v>
      </c>
      <c r="D36" s="107" t="str">
        <f>IF((SHIPMENTS!I42)=0,"",SHIPMENTS!I42)</f>
        <v>1x40HC</v>
      </c>
      <c r="E36" s="176">
        <f>IF((SHIPMENTS!G42)=0,"",SHIPMENTS!G42)</f>
        <v>46332</v>
      </c>
      <c r="F36" s="98">
        <f>VLOOKUP(A36,load!$A$4:$U$5001,18,0)</f>
        <v>111.63833333333335</v>
      </c>
      <c r="G36" s="109">
        <f>Manhours!$C$15</f>
        <v>5</v>
      </c>
      <c r="H36" s="98">
        <f t="shared" si="43"/>
        <v>45.5</v>
      </c>
      <c r="I36" s="99">
        <f t="shared" si="44"/>
        <v>2.453589743589744</v>
      </c>
      <c r="J36" s="99">
        <f t="shared" si="45"/>
        <v>22.327666666666669</v>
      </c>
      <c r="K36" s="98">
        <f t="shared" si="46"/>
        <v>0</v>
      </c>
      <c r="L36" s="98">
        <f t="shared" si="47"/>
        <v>0</v>
      </c>
      <c r="M36" s="181">
        <f t="shared" si="48"/>
        <v>46314.297737326007</v>
      </c>
      <c r="N36" s="181">
        <f t="shared" si="49"/>
        <v>46314.297737326007</v>
      </c>
      <c r="O36" s="112" t="str">
        <f>VLOOKUP(A36,SHIPMENTS!$A$7:$AP$76,11,0)</f>
        <v>n/a</v>
      </c>
      <c r="P36" s="101"/>
      <c r="Q36" s="127" t="str">
        <f t="shared" si="42"/>
        <v/>
      </c>
      <c r="R36" s="127" t="str">
        <f t="shared" si="42"/>
        <v/>
      </c>
      <c r="S36" s="127" t="str">
        <f t="shared" si="42"/>
        <v/>
      </c>
      <c r="T36" s="127" t="str">
        <f t="shared" si="42"/>
        <v/>
      </c>
      <c r="U36" s="127" t="str">
        <f t="shared" si="42"/>
        <v/>
      </c>
      <c r="V36" s="127" t="str">
        <f t="shared" si="42"/>
        <v/>
      </c>
      <c r="W36" s="127" t="str">
        <f t="shared" si="42"/>
        <v/>
      </c>
      <c r="X36" s="127" t="str">
        <f t="shared" si="42"/>
        <v/>
      </c>
      <c r="Y36" s="127" t="str">
        <f t="shared" si="42"/>
        <v/>
      </c>
      <c r="Z36" s="127" t="str">
        <f t="shared" si="42"/>
        <v/>
      </c>
      <c r="AA36" s="127" t="str">
        <f t="shared" si="42"/>
        <v/>
      </c>
      <c r="AB36" s="127" t="str">
        <f t="shared" si="42"/>
        <v/>
      </c>
      <c r="AC36" s="127" t="str">
        <f t="shared" si="42"/>
        <v/>
      </c>
      <c r="AD36" s="127" t="str">
        <f t="shared" si="42"/>
        <v/>
      </c>
      <c r="AE36" s="127" t="str">
        <f t="shared" si="42"/>
        <v/>
      </c>
      <c r="AF36" s="127" t="str">
        <f t="shared" si="42"/>
        <v/>
      </c>
      <c r="AG36" s="127" t="str">
        <f t="shared" si="52"/>
        <v>▲</v>
      </c>
      <c r="AH36" s="127" t="str">
        <f t="shared" si="52"/>
        <v/>
      </c>
      <c r="AI36" s="127" t="str">
        <f t="shared" si="52"/>
        <v/>
      </c>
      <c r="AJ36" s="127" t="str">
        <f t="shared" si="52"/>
        <v/>
      </c>
      <c r="AK36" s="127" t="str">
        <f t="shared" si="52"/>
        <v/>
      </c>
      <c r="AL36" s="127" t="str">
        <f t="shared" si="52"/>
        <v/>
      </c>
      <c r="AM36" s="127" t="str">
        <f t="shared" si="52"/>
        <v/>
      </c>
      <c r="AN36" s="127" t="str">
        <f t="shared" si="52"/>
        <v/>
      </c>
      <c r="AO36" s="127" t="str">
        <f t="shared" si="52"/>
        <v/>
      </c>
      <c r="AP36" s="127" t="str">
        <f t="shared" si="52"/>
        <v/>
      </c>
      <c r="AQ36" s="127" t="str">
        <f t="shared" si="52"/>
        <v/>
      </c>
      <c r="AR36" s="127" t="str">
        <f t="shared" si="52"/>
        <v/>
      </c>
      <c r="AS36" s="127" t="str">
        <f t="shared" si="52"/>
        <v/>
      </c>
      <c r="AT36" s="127" t="str">
        <f t="shared" si="52"/>
        <v/>
      </c>
      <c r="AU36" s="127" t="str">
        <f t="shared" si="52"/>
        <v/>
      </c>
      <c r="AV36" s="127" t="str">
        <f t="shared" si="52"/>
        <v/>
      </c>
      <c r="AW36" s="127" t="str">
        <f t="shared" si="50"/>
        <v/>
      </c>
      <c r="AX36" s="127" t="str">
        <f t="shared" si="50"/>
        <v/>
      </c>
      <c r="AY36" s="127" t="str">
        <f t="shared" si="50"/>
        <v/>
      </c>
      <c r="AZ36" s="127" t="str">
        <f t="shared" si="50"/>
        <v/>
      </c>
      <c r="BA36" s="127" t="str">
        <f t="shared" si="51"/>
        <v/>
      </c>
      <c r="BB36" s="127" t="str">
        <f t="shared" si="51"/>
        <v/>
      </c>
      <c r="BC36" s="127" t="str">
        <f t="shared" si="51"/>
        <v/>
      </c>
      <c r="BD36" s="127" t="str">
        <f t="shared" si="51"/>
        <v/>
      </c>
      <c r="BE36" s="127" t="str">
        <f t="shared" si="51"/>
        <v/>
      </c>
      <c r="BF36" s="127" t="str">
        <f t="shared" si="51"/>
        <v/>
      </c>
      <c r="BG36" s="127" t="str">
        <f t="shared" si="51"/>
        <v/>
      </c>
      <c r="BH36" s="127" t="str">
        <f t="shared" si="51"/>
        <v/>
      </c>
      <c r="BI36" s="127" t="str">
        <f t="shared" si="51"/>
        <v/>
      </c>
      <c r="BJ36" s="127" t="str">
        <f t="shared" si="51"/>
        <v/>
      </c>
      <c r="BK36" s="127" t="str">
        <f t="shared" si="51"/>
        <v/>
      </c>
      <c r="BL36" s="127" t="str">
        <f t="shared" si="51"/>
        <v/>
      </c>
      <c r="BM36" s="127" t="str">
        <f t="shared" si="51"/>
        <v/>
      </c>
      <c r="BN36" s="127" t="str">
        <f t="shared" si="51"/>
        <v/>
      </c>
      <c r="BO36" s="127" t="str">
        <f t="shared" si="51"/>
        <v/>
      </c>
      <c r="BP36" s="127" t="str">
        <f t="shared" si="51"/>
        <v/>
      </c>
      <c r="BQ36" s="127" t="str">
        <f t="shared" si="53"/>
        <v/>
      </c>
      <c r="BR36" s="127" t="str">
        <f t="shared" si="53"/>
        <v/>
      </c>
      <c r="BS36" s="127" t="str">
        <f t="shared" si="53"/>
        <v/>
      </c>
      <c r="BT36" s="127" t="str">
        <f t="shared" si="53"/>
        <v/>
      </c>
      <c r="BU36" s="127" t="str">
        <f t="shared" si="53"/>
        <v/>
      </c>
      <c r="BV36" s="127" t="str">
        <f t="shared" si="53"/>
        <v/>
      </c>
      <c r="BW36" s="127" t="str">
        <f t="shared" si="53"/>
        <v/>
      </c>
      <c r="BX36" s="127" t="str">
        <f t="shared" si="53"/>
        <v/>
      </c>
      <c r="BY36" s="127" t="str">
        <f t="shared" si="53"/>
        <v/>
      </c>
      <c r="BZ36" s="127" t="str">
        <f t="shared" si="53"/>
        <v/>
      </c>
      <c r="CA36" s="127" t="str">
        <f t="shared" si="53"/>
        <v/>
      </c>
      <c r="CB36" s="127" t="str">
        <f t="shared" si="53"/>
        <v/>
      </c>
      <c r="CC36" s="127" t="str">
        <f t="shared" si="53"/>
        <v/>
      </c>
      <c r="CD36" s="127" t="str">
        <f t="shared" si="53"/>
        <v/>
      </c>
    </row>
    <row r="37" spans="1:82" ht="12" customHeight="1" x14ac:dyDescent="0.2">
      <c r="A37" s="106">
        <f>SHIPMENTS!A43</f>
        <v>9158</v>
      </c>
      <c r="B37" s="106" t="str">
        <f>SHIPMENTS!B43</f>
        <v>43300-THAILAND</v>
      </c>
      <c r="C37" s="132">
        <f>SHIPMENTS!F43</f>
        <v>0.10299999999999999</v>
      </c>
      <c r="D37" s="107" t="str">
        <f>IF((SHIPMENTS!I43)=0,"",SHIPMENTS!I43)</f>
        <v>LCL</v>
      </c>
      <c r="E37" s="176">
        <f>IF((SHIPMENTS!G43)=0,"",SHIPMENTS!G43)</f>
        <v>46332</v>
      </c>
      <c r="F37" s="98">
        <f>VLOOKUP(A37,load!$A$4:$U$5001,18,0)</f>
        <v>0</v>
      </c>
      <c r="G37" s="109">
        <f>Manhours!$C$15</f>
        <v>5</v>
      </c>
      <c r="H37" s="98">
        <f t="shared" si="43"/>
        <v>45.5</v>
      </c>
      <c r="I37" s="99">
        <f t="shared" si="44"/>
        <v>0</v>
      </c>
      <c r="J37" s="99">
        <f t="shared" si="45"/>
        <v>0</v>
      </c>
      <c r="K37" s="98">
        <f t="shared" si="46"/>
        <v>0</v>
      </c>
      <c r="L37" s="98">
        <f t="shared" si="47"/>
        <v>0</v>
      </c>
      <c r="M37" s="181">
        <f t="shared" si="48"/>
        <v>46314.297737326007</v>
      </c>
      <c r="N37" s="181">
        <f t="shared" si="49"/>
        <v>46314.297737326007</v>
      </c>
      <c r="O37" s="112">
        <f>VLOOKUP(A37,SHIPMENTS!$A$7:$AP$76,11,0)</f>
        <v>1</v>
      </c>
      <c r="P37" s="101"/>
      <c r="Q37" s="127" t="str">
        <f t="shared" si="42"/>
        <v/>
      </c>
      <c r="R37" s="127" t="str">
        <f t="shared" si="42"/>
        <v/>
      </c>
      <c r="S37" s="127" t="str">
        <f t="shared" si="42"/>
        <v/>
      </c>
      <c r="T37" s="127" t="str">
        <f t="shared" si="42"/>
        <v/>
      </c>
      <c r="U37" s="127" t="str">
        <f t="shared" si="42"/>
        <v/>
      </c>
      <c r="V37" s="127" t="str">
        <f t="shared" si="42"/>
        <v/>
      </c>
      <c r="W37" s="127" t="str">
        <f t="shared" si="42"/>
        <v/>
      </c>
      <c r="X37" s="127" t="str">
        <f t="shared" si="42"/>
        <v/>
      </c>
      <c r="Y37" s="127" t="str">
        <f t="shared" si="42"/>
        <v/>
      </c>
      <c r="Z37" s="127" t="str">
        <f t="shared" si="42"/>
        <v/>
      </c>
      <c r="AA37" s="127" t="str">
        <f t="shared" si="42"/>
        <v/>
      </c>
      <c r="AB37" s="127" t="str">
        <f t="shared" si="42"/>
        <v/>
      </c>
      <c r="AC37" s="127" t="str">
        <f t="shared" si="42"/>
        <v/>
      </c>
      <c r="AD37" s="127" t="str">
        <f t="shared" si="42"/>
        <v/>
      </c>
      <c r="AE37" s="127" t="str">
        <f t="shared" si="42"/>
        <v/>
      </c>
      <c r="AF37" s="127" t="str">
        <f t="shared" si="42"/>
        <v/>
      </c>
      <c r="AG37" s="127" t="str">
        <f t="shared" si="52"/>
        <v>▲</v>
      </c>
      <c r="AH37" s="127" t="str">
        <f t="shared" si="52"/>
        <v/>
      </c>
      <c r="AI37" s="127" t="str">
        <f t="shared" si="52"/>
        <v/>
      </c>
      <c r="AJ37" s="127" t="str">
        <f t="shared" si="52"/>
        <v/>
      </c>
      <c r="AK37" s="127" t="str">
        <f t="shared" si="52"/>
        <v/>
      </c>
      <c r="AL37" s="127" t="str">
        <f t="shared" si="52"/>
        <v/>
      </c>
      <c r="AM37" s="127" t="str">
        <f t="shared" si="52"/>
        <v/>
      </c>
      <c r="AN37" s="127" t="str">
        <f t="shared" si="52"/>
        <v/>
      </c>
      <c r="AO37" s="127" t="str">
        <f t="shared" si="52"/>
        <v/>
      </c>
      <c r="AP37" s="127" t="str">
        <f t="shared" si="52"/>
        <v/>
      </c>
      <c r="AQ37" s="127" t="str">
        <f t="shared" si="52"/>
        <v/>
      </c>
      <c r="AR37" s="127" t="str">
        <f t="shared" si="52"/>
        <v/>
      </c>
      <c r="AS37" s="127" t="str">
        <f t="shared" si="52"/>
        <v/>
      </c>
      <c r="AT37" s="127" t="str">
        <f t="shared" si="52"/>
        <v/>
      </c>
      <c r="AU37" s="127" t="str">
        <f t="shared" si="52"/>
        <v/>
      </c>
      <c r="AV37" s="127" t="str">
        <f t="shared" si="52"/>
        <v/>
      </c>
      <c r="AW37" s="127" t="str">
        <f t="shared" si="50"/>
        <v/>
      </c>
      <c r="AX37" s="127" t="str">
        <f t="shared" si="50"/>
        <v/>
      </c>
      <c r="AY37" s="127" t="str">
        <f t="shared" si="50"/>
        <v/>
      </c>
      <c r="AZ37" s="127" t="str">
        <f t="shared" si="50"/>
        <v/>
      </c>
      <c r="BA37" s="127" t="str">
        <f t="shared" si="51"/>
        <v/>
      </c>
      <c r="BB37" s="127" t="str">
        <f t="shared" si="51"/>
        <v/>
      </c>
      <c r="BC37" s="127" t="str">
        <f t="shared" si="51"/>
        <v/>
      </c>
      <c r="BD37" s="127" t="str">
        <f t="shared" si="51"/>
        <v/>
      </c>
      <c r="BE37" s="127" t="str">
        <f t="shared" si="51"/>
        <v/>
      </c>
      <c r="BF37" s="127" t="str">
        <f t="shared" si="51"/>
        <v/>
      </c>
      <c r="BG37" s="127" t="str">
        <f t="shared" si="51"/>
        <v/>
      </c>
      <c r="BH37" s="127" t="str">
        <f t="shared" si="51"/>
        <v/>
      </c>
      <c r="BI37" s="127" t="str">
        <f t="shared" si="51"/>
        <v/>
      </c>
      <c r="BJ37" s="127" t="str">
        <f t="shared" si="51"/>
        <v/>
      </c>
      <c r="BK37" s="127" t="str">
        <f t="shared" si="51"/>
        <v/>
      </c>
      <c r="BL37" s="127" t="str">
        <f t="shared" si="51"/>
        <v/>
      </c>
      <c r="BM37" s="127" t="str">
        <f t="shared" si="51"/>
        <v/>
      </c>
      <c r="BN37" s="127" t="str">
        <f t="shared" si="51"/>
        <v/>
      </c>
      <c r="BO37" s="127" t="str">
        <f t="shared" si="51"/>
        <v/>
      </c>
      <c r="BP37" s="127" t="str">
        <f t="shared" si="51"/>
        <v/>
      </c>
      <c r="BQ37" s="127" t="str">
        <f t="shared" si="53"/>
        <v/>
      </c>
      <c r="BR37" s="127" t="str">
        <f t="shared" si="53"/>
        <v/>
      </c>
      <c r="BS37" s="127" t="str">
        <f t="shared" si="53"/>
        <v/>
      </c>
      <c r="BT37" s="127" t="str">
        <f t="shared" si="53"/>
        <v/>
      </c>
      <c r="BU37" s="127" t="str">
        <f t="shared" si="53"/>
        <v/>
      </c>
      <c r="BV37" s="127" t="str">
        <f t="shared" si="53"/>
        <v/>
      </c>
      <c r="BW37" s="127" t="str">
        <f t="shared" si="53"/>
        <v/>
      </c>
      <c r="BX37" s="127" t="str">
        <f t="shared" si="53"/>
        <v/>
      </c>
      <c r="BY37" s="127" t="str">
        <f t="shared" si="53"/>
        <v/>
      </c>
      <c r="BZ37" s="127" t="str">
        <f t="shared" si="53"/>
        <v/>
      </c>
      <c r="CA37" s="127" t="str">
        <f t="shared" si="53"/>
        <v/>
      </c>
      <c r="CB37" s="127" t="str">
        <f t="shared" si="53"/>
        <v/>
      </c>
      <c r="CC37" s="127" t="str">
        <f t="shared" si="53"/>
        <v/>
      </c>
      <c r="CD37" s="127" t="str">
        <f t="shared" si="53"/>
        <v/>
      </c>
    </row>
    <row r="38" spans="1:82" ht="12" customHeight="1" x14ac:dyDescent="0.2">
      <c r="A38" s="106">
        <f>SHIPMENTS!A44</f>
        <v>8814</v>
      </c>
      <c r="B38" s="106" t="str">
        <f>SHIPMENTS!B44</f>
        <v>27200-UAE</v>
      </c>
      <c r="C38" s="132">
        <f>SHIPMENTS!F44</f>
        <v>0.06</v>
      </c>
      <c r="D38" s="107" t="str">
        <f>IF((SHIPMENTS!I44)=0,"",SHIPMENTS!I44)</f>
        <v>LCL</v>
      </c>
      <c r="E38" s="176">
        <f>IF((SHIPMENTS!G44)=0,"",SHIPMENTS!G44)</f>
        <v>46332</v>
      </c>
      <c r="F38" s="98">
        <f>VLOOKUP(A38,load!$A$4:$U$5001,18,0)</f>
        <v>0</v>
      </c>
      <c r="G38" s="109">
        <f>Manhours!$C$15</f>
        <v>5</v>
      </c>
      <c r="H38" s="98">
        <f t="shared" si="43"/>
        <v>45.5</v>
      </c>
      <c r="I38" s="99">
        <f t="shared" si="44"/>
        <v>0</v>
      </c>
      <c r="J38" s="99">
        <f t="shared" si="45"/>
        <v>0</v>
      </c>
      <c r="K38" s="98">
        <f t="shared" si="46"/>
        <v>0</v>
      </c>
      <c r="L38" s="98">
        <f t="shared" si="47"/>
        <v>0</v>
      </c>
      <c r="M38" s="181">
        <f t="shared" si="48"/>
        <v>46314.297737326007</v>
      </c>
      <c r="N38" s="181">
        <f t="shared" si="49"/>
        <v>46314.297737326007</v>
      </c>
      <c r="O38" s="112">
        <f>VLOOKUP(A38,SHIPMENTS!$A$7:$AP$76,11,0)</f>
        <v>0</v>
      </c>
      <c r="P38" s="101"/>
      <c r="Q38" s="127" t="str">
        <f t="shared" si="42"/>
        <v/>
      </c>
      <c r="R38" s="127" t="str">
        <f t="shared" si="42"/>
        <v/>
      </c>
      <c r="S38" s="127" t="str">
        <f t="shared" si="42"/>
        <v/>
      </c>
      <c r="T38" s="127" t="str">
        <f t="shared" si="42"/>
        <v/>
      </c>
      <c r="U38" s="127" t="str">
        <f t="shared" si="42"/>
        <v/>
      </c>
      <c r="V38" s="127" t="str">
        <f t="shared" si="42"/>
        <v/>
      </c>
      <c r="W38" s="127" t="str">
        <f t="shared" si="42"/>
        <v/>
      </c>
      <c r="X38" s="127" t="str">
        <f t="shared" si="42"/>
        <v/>
      </c>
      <c r="Y38" s="127" t="str">
        <f t="shared" si="42"/>
        <v/>
      </c>
      <c r="Z38" s="127" t="str">
        <f t="shared" si="42"/>
        <v/>
      </c>
      <c r="AA38" s="127" t="str">
        <f t="shared" si="42"/>
        <v/>
      </c>
      <c r="AB38" s="127" t="str">
        <f t="shared" si="42"/>
        <v/>
      </c>
      <c r="AC38" s="127" t="str">
        <f t="shared" si="42"/>
        <v/>
      </c>
      <c r="AD38" s="127" t="str">
        <f t="shared" si="42"/>
        <v/>
      </c>
      <c r="AE38" s="127" t="str">
        <f t="shared" si="42"/>
        <v/>
      </c>
      <c r="AF38" s="127" t="str">
        <f t="shared" si="42"/>
        <v/>
      </c>
      <c r="AG38" s="127" t="str">
        <f t="shared" si="52"/>
        <v>▲</v>
      </c>
      <c r="AH38" s="127" t="str">
        <f t="shared" si="52"/>
        <v/>
      </c>
      <c r="AI38" s="127" t="str">
        <f t="shared" si="52"/>
        <v/>
      </c>
      <c r="AJ38" s="127" t="str">
        <f t="shared" si="52"/>
        <v/>
      </c>
      <c r="AK38" s="127" t="str">
        <f t="shared" si="52"/>
        <v/>
      </c>
      <c r="AL38" s="127" t="str">
        <f t="shared" si="52"/>
        <v/>
      </c>
      <c r="AM38" s="127" t="str">
        <f t="shared" si="52"/>
        <v/>
      </c>
      <c r="AN38" s="127" t="str">
        <f t="shared" si="52"/>
        <v/>
      </c>
      <c r="AO38" s="127" t="str">
        <f t="shared" si="52"/>
        <v/>
      </c>
      <c r="AP38" s="127" t="str">
        <f t="shared" si="52"/>
        <v/>
      </c>
      <c r="AQ38" s="127" t="str">
        <f t="shared" si="52"/>
        <v/>
      </c>
      <c r="AR38" s="127" t="str">
        <f t="shared" si="52"/>
        <v/>
      </c>
      <c r="AS38" s="127" t="str">
        <f t="shared" si="52"/>
        <v/>
      </c>
      <c r="AT38" s="127" t="str">
        <f t="shared" si="52"/>
        <v/>
      </c>
      <c r="AU38" s="127" t="str">
        <f t="shared" si="52"/>
        <v/>
      </c>
      <c r="AV38" s="127" t="str">
        <f t="shared" si="52"/>
        <v/>
      </c>
      <c r="AW38" s="127" t="str">
        <f t="shared" si="50"/>
        <v/>
      </c>
      <c r="AX38" s="127" t="str">
        <f t="shared" si="50"/>
        <v/>
      </c>
      <c r="AY38" s="127" t="str">
        <f t="shared" si="50"/>
        <v/>
      </c>
      <c r="AZ38" s="127" t="str">
        <f t="shared" si="50"/>
        <v/>
      </c>
      <c r="BA38" s="127" t="str">
        <f t="shared" si="51"/>
        <v/>
      </c>
      <c r="BB38" s="127" t="str">
        <f t="shared" si="51"/>
        <v/>
      </c>
      <c r="BC38" s="127" t="str">
        <f t="shared" si="51"/>
        <v/>
      </c>
      <c r="BD38" s="127" t="str">
        <f t="shared" si="51"/>
        <v/>
      </c>
      <c r="BE38" s="127" t="str">
        <f t="shared" si="51"/>
        <v/>
      </c>
      <c r="BF38" s="127" t="str">
        <f t="shared" si="51"/>
        <v/>
      </c>
      <c r="BG38" s="127" t="str">
        <f t="shared" si="51"/>
        <v/>
      </c>
      <c r="BH38" s="127" t="str">
        <f t="shared" si="51"/>
        <v/>
      </c>
      <c r="BI38" s="127" t="str">
        <f t="shared" si="51"/>
        <v/>
      </c>
      <c r="BJ38" s="127" t="str">
        <f t="shared" si="51"/>
        <v/>
      </c>
      <c r="BK38" s="127" t="str">
        <f t="shared" si="51"/>
        <v/>
      </c>
      <c r="BL38" s="127" t="str">
        <f t="shared" si="51"/>
        <v/>
      </c>
      <c r="BM38" s="127" t="str">
        <f t="shared" si="51"/>
        <v/>
      </c>
      <c r="BN38" s="127" t="str">
        <f t="shared" si="51"/>
        <v/>
      </c>
      <c r="BO38" s="127" t="str">
        <f t="shared" si="51"/>
        <v/>
      </c>
      <c r="BP38" s="127" t="str">
        <f t="shared" si="51"/>
        <v/>
      </c>
      <c r="BQ38" s="127" t="str">
        <f t="shared" si="53"/>
        <v/>
      </c>
      <c r="BR38" s="127" t="str">
        <f t="shared" si="53"/>
        <v/>
      </c>
      <c r="BS38" s="127" t="str">
        <f t="shared" si="53"/>
        <v/>
      </c>
      <c r="BT38" s="127" t="str">
        <f t="shared" si="53"/>
        <v/>
      </c>
      <c r="BU38" s="127" t="str">
        <f t="shared" si="53"/>
        <v/>
      </c>
      <c r="BV38" s="127" t="str">
        <f t="shared" si="53"/>
        <v/>
      </c>
      <c r="BW38" s="127" t="str">
        <f t="shared" si="53"/>
        <v/>
      </c>
      <c r="BX38" s="127" t="str">
        <f t="shared" si="53"/>
        <v/>
      </c>
      <c r="BY38" s="127" t="str">
        <f t="shared" si="53"/>
        <v/>
      </c>
      <c r="BZ38" s="127" t="str">
        <f t="shared" si="53"/>
        <v/>
      </c>
      <c r="CA38" s="127" t="str">
        <f t="shared" si="53"/>
        <v/>
      </c>
      <c r="CB38" s="127" t="str">
        <f t="shared" si="53"/>
        <v/>
      </c>
      <c r="CC38" s="127" t="str">
        <f t="shared" si="53"/>
        <v/>
      </c>
      <c r="CD38" s="127" t="str">
        <f t="shared" si="53"/>
        <v/>
      </c>
    </row>
    <row r="39" spans="1:82" ht="12" customHeight="1" x14ac:dyDescent="0.2">
      <c r="A39" s="106">
        <f>SHIPMENTS!A45</f>
        <v>9143</v>
      </c>
      <c r="B39" s="106" t="str">
        <f>SHIPMENTS!B45</f>
        <v>43301-THAILAND</v>
      </c>
      <c r="C39" s="132">
        <f>SHIPMENTS!F45</f>
        <v>4.75</v>
      </c>
      <c r="D39" s="107" t="str">
        <f>IF((SHIPMENTS!I45)=0,"",SHIPMENTS!I45)</f>
        <v>1x20</v>
      </c>
      <c r="E39" s="176">
        <f>IF((SHIPMENTS!G45)=0,"",SHIPMENTS!G45)</f>
        <v>46332</v>
      </c>
      <c r="F39" s="98">
        <f>VLOOKUP(A39,load!$A$4:$U$5001,18,0)</f>
        <v>2.7298333333333336</v>
      </c>
      <c r="G39" s="109">
        <f>Manhours!$C$15</f>
        <v>5</v>
      </c>
      <c r="H39" s="98">
        <f t="shared" si="43"/>
        <v>45.5</v>
      </c>
      <c r="I39" s="99">
        <f t="shared" si="44"/>
        <v>5.9996336996337003E-2</v>
      </c>
      <c r="J39" s="99">
        <f t="shared" si="45"/>
        <v>0.54596666666666671</v>
      </c>
      <c r="K39" s="98">
        <f t="shared" si="46"/>
        <v>0</v>
      </c>
      <c r="L39" s="98">
        <f t="shared" si="47"/>
        <v>0</v>
      </c>
      <c r="M39" s="181">
        <f t="shared" si="48"/>
        <v>46314.297737326007</v>
      </c>
      <c r="N39" s="181">
        <f t="shared" si="49"/>
        <v>46314.297737326007</v>
      </c>
      <c r="O39" s="112">
        <f>VLOOKUP(A39,SHIPMENTS!$A$7:$AP$76,11,0)</f>
        <v>1</v>
      </c>
      <c r="P39" s="101"/>
      <c r="Q39" s="127" t="str">
        <f t="shared" si="42"/>
        <v/>
      </c>
      <c r="R39" s="127" t="str">
        <f t="shared" si="42"/>
        <v/>
      </c>
      <c r="S39" s="127" t="str">
        <f t="shared" si="42"/>
        <v/>
      </c>
      <c r="T39" s="127" t="str">
        <f t="shared" si="42"/>
        <v/>
      </c>
      <c r="U39" s="127" t="str">
        <f t="shared" si="42"/>
        <v/>
      </c>
      <c r="V39" s="127" t="str">
        <f t="shared" si="42"/>
        <v/>
      </c>
      <c r="W39" s="127" t="str">
        <f t="shared" si="42"/>
        <v/>
      </c>
      <c r="X39" s="127" t="str">
        <f t="shared" si="42"/>
        <v/>
      </c>
      <c r="Y39" s="127" t="str">
        <f t="shared" si="42"/>
        <v/>
      </c>
      <c r="Z39" s="127" t="str">
        <f t="shared" si="42"/>
        <v/>
      </c>
      <c r="AA39" s="127" t="str">
        <f t="shared" si="42"/>
        <v/>
      </c>
      <c r="AB39" s="127" t="str">
        <f t="shared" si="42"/>
        <v/>
      </c>
      <c r="AC39" s="127" t="str">
        <f t="shared" si="42"/>
        <v/>
      </c>
      <c r="AD39" s="127" t="str">
        <f t="shared" si="42"/>
        <v/>
      </c>
      <c r="AE39" s="127" t="str">
        <f t="shared" si="42"/>
        <v/>
      </c>
      <c r="AF39" s="127" t="str">
        <f t="shared" ref="AF39" si="54">IF($E39=AF$3,"▲","")</f>
        <v/>
      </c>
      <c r="AG39" s="127" t="str">
        <f t="shared" si="52"/>
        <v>▲</v>
      </c>
      <c r="AH39" s="127" t="str">
        <f t="shared" si="52"/>
        <v/>
      </c>
      <c r="AI39" s="127" t="str">
        <f t="shared" si="52"/>
        <v/>
      </c>
      <c r="AJ39" s="127" t="str">
        <f t="shared" si="52"/>
        <v/>
      </c>
      <c r="AK39" s="127" t="str">
        <f t="shared" si="52"/>
        <v/>
      </c>
      <c r="AL39" s="127" t="str">
        <f t="shared" si="52"/>
        <v/>
      </c>
      <c r="AM39" s="127" t="str">
        <f t="shared" si="52"/>
        <v/>
      </c>
      <c r="AN39" s="127" t="str">
        <f t="shared" si="52"/>
        <v/>
      </c>
      <c r="AO39" s="127" t="str">
        <f t="shared" si="52"/>
        <v/>
      </c>
      <c r="AP39" s="127" t="str">
        <f t="shared" si="52"/>
        <v/>
      </c>
      <c r="AQ39" s="127" t="str">
        <f t="shared" si="52"/>
        <v/>
      </c>
      <c r="AR39" s="127" t="str">
        <f t="shared" si="52"/>
        <v/>
      </c>
      <c r="AS39" s="127" t="str">
        <f t="shared" si="52"/>
        <v/>
      </c>
      <c r="AT39" s="127" t="str">
        <f t="shared" si="52"/>
        <v/>
      </c>
      <c r="AU39" s="127" t="str">
        <f t="shared" si="52"/>
        <v/>
      </c>
      <c r="AV39" s="127" t="str">
        <f t="shared" si="52"/>
        <v/>
      </c>
      <c r="AW39" s="127" t="str">
        <f t="shared" si="50"/>
        <v/>
      </c>
      <c r="AX39" s="127" t="str">
        <f t="shared" si="50"/>
        <v/>
      </c>
      <c r="AY39" s="127" t="str">
        <f t="shared" si="50"/>
        <v/>
      </c>
      <c r="AZ39" s="127" t="str">
        <f t="shared" si="50"/>
        <v/>
      </c>
      <c r="BA39" s="127" t="str">
        <f t="shared" si="51"/>
        <v/>
      </c>
      <c r="BB39" s="127" t="str">
        <f t="shared" si="51"/>
        <v/>
      </c>
      <c r="BC39" s="127" t="str">
        <f t="shared" si="51"/>
        <v/>
      </c>
      <c r="BD39" s="127" t="str">
        <f t="shared" si="51"/>
        <v/>
      </c>
      <c r="BE39" s="127" t="str">
        <f t="shared" si="51"/>
        <v/>
      </c>
      <c r="BF39" s="127" t="str">
        <f t="shared" si="51"/>
        <v/>
      </c>
      <c r="BG39" s="127" t="str">
        <f t="shared" si="51"/>
        <v/>
      </c>
      <c r="BH39" s="127" t="str">
        <f t="shared" si="51"/>
        <v/>
      </c>
      <c r="BI39" s="127" t="str">
        <f t="shared" si="51"/>
        <v/>
      </c>
      <c r="BJ39" s="127" t="str">
        <f t="shared" si="51"/>
        <v/>
      </c>
      <c r="BK39" s="127" t="str">
        <f t="shared" si="51"/>
        <v/>
      </c>
      <c r="BL39" s="127" t="str">
        <f t="shared" si="51"/>
        <v/>
      </c>
      <c r="BM39" s="127" t="str">
        <f t="shared" si="51"/>
        <v/>
      </c>
      <c r="BN39" s="127" t="str">
        <f t="shared" si="51"/>
        <v/>
      </c>
      <c r="BO39" s="127" t="str">
        <f t="shared" si="51"/>
        <v/>
      </c>
      <c r="BP39" s="127" t="str">
        <f t="shared" si="51"/>
        <v/>
      </c>
      <c r="BQ39" s="127" t="str">
        <f t="shared" si="53"/>
        <v/>
      </c>
      <c r="BR39" s="127" t="str">
        <f t="shared" si="53"/>
        <v/>
      </c>
      <c r="BS39" s="127" t="str">
        <f t="shared" si="53"/>
        <v/>
      </c>
      <c r="BT39" s="127" t="str">
        <f t="shared" si="53"/>
        <v/>
      </c>
      <c r="BU39" s="127" t="str">
        <f t="shared" si="53"/>
        <v/>
      </c>
      <c r="BV39" s="127" t="str">
        <f t="shared" si="53"/>
        <v/>
      </c>
      <c r="BW39" s="127" t="str">
        <f t="shared" si="53"/>
        <v/>
      </c>
      <c r="BX39" s="127" t="str">
        <f t="shared" si="53"/>
        <v/>
      </c>
      <c r="BY39" s="127" t="str">
        <f t="shared" si="53"/>
        <v/>
      </c>
      <c r="BZ39" s="127" t="str">
        <f t="shared" si="53"/>
        <v/>
      </c>
      <c r="CA39" s="127" t="str">
        <f t="shared" si="53"/>
        <v/>
      </c>
      <c r="CB39" s="127" t="str">
        <f t="shared" si="53"/>
        <v/>
      </c>
      <c r="CC39" s="127" t="str">
        <f t="shared" si="53"/>
        <v/>
      </c>
      <c r="CD39" s="127" t="str">
        <f t="shared" si="53"/>
        <v/>
      </c>
    </row>
    <row r="40" spans="1:82" ht="12" customHeight="1" x14ac:dyDescent="0.2">
      <c r="A40" s="106">
        <f>SHIPMENTS!A46</f>
        <v>9160</v>
      </c>
      <c r="B40" s="106" t="str">
        <f>SHIPMENTS!B46</f>
        <v>51700-MAURITIUS</v>
      </c>
      <c r="C40" s="132">
        <f>SHIPMENTS!F46</f>
        <v>0.97</v>
      </c>
      <c r="D40" s="107" t="str">
        <f>IF((SHIPMENTS!I46)=0,"",SHIPMENTS!I46)</f>
        <v>1x20</v>
      </c>
      <c r="E40" s="176">
        <f>IF((SHIPMENTS!G46)=0,"",SHIPMENTS!G46)</f>
        <v>46332</v>
      </c>
      <c r="F40" s="98">
        <f>VLOOKUP(A40,load!$A$4:$U$5001,18,0)</f>
        <v>0</v>
      </c>
      <c r="G40" s="109">
        <f>Manhours!$C$15</f>
        <v>5</v>
      </c>
      <c r="H40" s="98">
        <f t="shared" si="43"/>
        <v>45.5</v>
      </c>
      <c r="I40" s="99">
        <f t="shared" si="44"/>
        <v>0</v>
      </c>
      <c r="J40" s="99">
        <f t="shared" si="45"/>
        <v>0</v>
      </c>
      <c r="K40" s="98">
        <f t="shared" si="46"/>
        <v>0</v>
      </c>
      <c r="L40" s="98">
        <f t="shared" si="47"/>
        <v>0</v>
      </c>
      <c r="M40" s="181">
        <f t="shared" si="48"/>
        <v>46314.297737326007</v>
      </c>
      <c r="N40" s="181">
        <f t="shared" si="49"/>
        <v>46314.297737326007</v>
      </c>
      <c r="O40" s="112">
        <f>VLOOKUP(A40,SHIPMENTS!$A$7:$AP$76,11,0)</f>
        <v>1</v>
      </c>
      <c r="P40" s="101"/>
      <c r="Q40" s="127" t="str">
        <f t="shared" ref="Q40:AF53" si="55">IF($E40=Q$3,"▲","")</f>
        <v/>
      </c>
      <c r="R40" s="127" t="str">
        <f t="shared" si="55"/>
        <v/>
      </c>
      <c r="S40" s="127" t="str">
        <f t="shared" si="55"/>
        <v/>
      </c>
      <c r="T40" s="127" t="str">
        <f t="shared" si="55"/>
        <v/>
      </c>
      <c r="U40" s="127" t="str">
        <f t="shared" si="55"/>
        <v/>
      </c>
      <c r="V40" s="127" t="str">
        <f t="shared" si="55"/>
        <v/>
      </c>
      <c r="W40" s="127" t="str">
        <f t="shared" si="55"/>
        <v/>
      </c>
      <c r="X40" s="127" t="str">
        <f t="shared" si="55"/>
        <v/>
      </c>
      <c r="Y40" s="127" t="str">
        <f t="shared" si="55"/>
        <v/>
      </c>
      <c r="Z40" s="127" t="str">
        <f t="shared" si="55"/>
        <v/>
      </c>
      <c r="AA40" s="127" t="str">
        <f t="shared" si="55"/>
        <v/>
      </c>
      <c r="AB40" s="127" t="str">
        <f t="shared" si="55"/>
        <v/>
      </c>
      <c r="AC40" s="127" t="str">
        <f t="shared" si="55"/>
        <v/>
      </c>
      <c r="AD40" s="127" t="str">
        <f t="shared" si="55"/>
        <v/>
      </c>
      <c r="AE40" s="127" t="str">
        <f t="shared" si="55"/>
        <v/>
      </c>
      <c r="AF40" s="127" t="str">
        <f t="shared" si="55"/>
        <v/>
      </c>
      <c r="AG40" s="127" t="str">
        <f t="shared" si="52"/>
        <v>▲</v>
      </c>
      <c r="AH40" s="127" t="str">
        <f t="shared" si="52"/>
        <v/>
      </c>
      <c r="AI40" s="127" t="str">
        <f t="shared" si="52"/>
        <v/>
      </c>
      <c r="AJ40" s="127" t="str">
        <f t="shared" si="52"/>
        <v/>
      </c>
      <c r="AK40" s="127" t="str">
        <f t="shared" si="52"/>
        <v/>
      </c>
      <c r="AL40" s="127" t="str">
        <f t="shared" si="52"/>
        <v/>
      </c>
      <c r="AM40" s="127" t="str">
        <f t="shared" si="52"/>
        <v/>
      </c>
      <c r="AN40" s="127" t="str">
        <f t="shared" si="52"/>
        <v/>
      </c>
      <c r="AO40" s="127" t="str">
        <f t="shared" si="52"/>
        <v/>
      </c>
      <c r="AP40" s="127" t="str">
        <f t="shared" si="52"/>
        <v/>
      </c>
      <c r="AQ40" s="127" t="str">
        <f t="shared" si="52"/>
        <v/>
      </c>
      <c r="AR40" s="127" t="str">
        <f t="shared" si="52"/>
        <v/>
      </c>
      <c r="AS40" s="127" t="str">
        <f t="shared" si="52"/>
        <v/>
      </c>
      <c r="AT40" s="127" t="str">
        <f t="shared" si="52"/>
        <v/>
      </c>
      <c r="AU40" s="127" t="str">
        <f t="shared" si="52"/>
        <v/>
      </c>
      <c r="AV40" s="127" t="str">
        <f t="shared" si="52"/>
        <v/>
      </c>
      <c r="AW40" s="127" t="str">
        <f t="shared" si="50"/>
        <v/>
      </c>
      <c r="AX40" s="127" t="str">
        <f t="shared" si="50"/>
        <v/>
      </c>
      <c r="AY40" s="127" t="str">
        <f t="shared" si="50"/>
        <v/>
      </c>
      <c r="AZ40" s="127" t="str">
        <f t="shared" si="50"/>
        <v/>
      </c>
      <c r="BA40" s="127" t="str">
        <f t="shared" si="51"/>
        <v/>
      </c>
      <c r="BB40" s="127" t="str">
        <f t="shared" si="51"/>
        <v/>
      </c>
      <c r="BC40" s="127" t="str">
        <f t="shared" si="51"/>
        <v/>
      </c>
      <c r="BD40" s="127" t="str">
        <f t="shared" si="51"/>
        <v/>
      </c>
      <c r="BE40" s="127" t="str">
        <f t="shared" si="51"/>
        <v/>
      </c>
      <c r="BF40" s="127" t="str">
        <f t="shared" si="51"/>
        <v/>
      </c>
      <c r="BG40" s="127" t="str">
        <f t="shared" si="51"/>
        <v/>
      </c>
      <c r="BH40" s="127" t="str">
        <f t="shared" si="51"/>
        <v/>
      </c>
      <c r="BI40" s="127" t="str">
        <f t="shared" si="51"/>
        <v/>
      </c>
      <c r="BJ40" s="127" t="str">
        <f t="shared" si="51"/>
        <v/>
      </c>
      <c r="BK40" s="127" t="str">
        <f t="shared" si="51"/>
        <v/>
      </c>
      <c r="BL40" s="127" t="str">
        <f t="shared" si="51"/>
        <v/>
      </c>
      <c r="BM40" s="127" t="str">
        <f t="shared" si="51"/>
        <v/>
      </c>
      <c r="BN40" s="127" t="str">
        <f t="shared" si="51"/>
        <v/>
      </c>
      <c r="BO40" s="127" t="str">
        <f t="shared" si="51"/>
        <v/>
      </c>
      <c r="BP40" s="127" t="str">
        <f t="shared" si="51"/>
        <v/>
      </c>
      <c r="BQ40" s="127" t="str">
        <f t="shared" si="53"/>
        <v/>
      </c>
      <c r="BR40" s="127" t="str">
        <f t="shared" si="53"/>
        <v/>
      </c>
      <c r="BS40" s="127" t="str">
        <f t="shared" si="53"/>
        <v/>
      </c>
      <c r="BT40" s="127" t="str">
        <f t="shared" si="53"/>
        <v/>
      </c>
      <c r="BU40" s="127" t="str">
        <f t="shared" si="53"/>
        <v/>
      </c>
      <c r="BV40" s="127" t="str">
        <f t="shared" si="53"/>
        <v/>
      </c>
      <c r="BW40" s="127" t="str">
        <f t="shared" si="53"/>
        <v/>
      </c>
      <c r="BX40" s="127" t="str">
        <f t="shared" si="53"/>
        <v/>
      </c>
      <c r="BY40" s="127" t="str">
        <f t="shared" si="53"/>
        <v/>
      </c>
      <c r="BZ40" s="127" t="str">
        <f t="shared" si="53"/>
        <v/>
      </c>
      <c r="CA40" s="127" t="str">
        <f t="shared" si="53"/>
        <v/>
      </c>
      <c r="CB40" s="127" t="str">
        <f t="shared" si="53"/>
        <v/>
      </c>
      <c r="CC40" s="127" t="str">
        <f t="shared" si="53"/>
        <v/>
      </c>
      <c r="CD40" s="127" t="str">
        <f t="shared" si="53"/>
        <v/>
      </c>
    </row>
    <row r="41" spans="1:82" ht="12" hidden="1" customHeight="1" x14ac:dyDescent="0.2">
      <c r="A41" s="106">
        <f>SHIPMENTS!A47</f>
        <v>9164</v>
      </c>
      <c r="B41" s="106" t="str">
        <f>SHIPMENTS!B47</f>
        <v>1500-SAWO SAUNA EUROPE BV BACKLOG</v>
      </c>
      <c r="C41" s="132">
        <f>SHIPMENTS!F47</f>
        <v>100.97952000000001</v>
      </c>
      <c r="D41" s="107" t="str">
        <f>IF((SHIPMENTS!I47)=0,"",SHIPMENTS!I47)</f>
        <v>1X40HC</v>
      </c>
      <c r="E41" s="176">
        <f>IF((SHIPMENTS!G47)=0,"",SHIPMENTS!G47)</f>
        <v>46339</v>
      </c>
      <c r="F41" s="98">
        <f>VLOOKUP(A41,load!$A$4:$U$5001,18,0)</f>
        <v>0</v>
      </c>
      <c r="G41" s="109">
        <f>Manhours!$C$15</f>
        <v>5</v>
      </c>
      <c r="H41" s="98">
        <f t="shared" si="43"/>
        <v>45.5</v>
      </c>
      <c r="I41" s="99">
        <f t="shared" si="44"/>
        <v>0</v>
      </c>
      <c r="J41" s="99">
        <f t="shared" si="45"/>
        <v>0</v>
      </c>
      <c r="K41" s="98">
        <f t="shared" si="46"/>
        <v>0</v>
      </c>
      <c r="L41" s="98">
        <f t="shared" si="47"/>
        <v>0</v>
      </c>
      <c r="M41" s="181">
        <f t="shared" si="48"/>
        <v>46314.297737326007</v>
      </c>
      <c r="N41" s="181">
        <f t="shared" si="49"/>
        <v>46314.297737326007</v>
      </c>
      <c r="O41" s="112">
        <f>VLOOKUP(A41,SHIPMENTS!$A$7:$AP$76,11,0)</f>
        <v>1</v>
      </c>
      <c r="P41" s="101"/>
      <c r="Q41" s="127" t="str">
        <f t="shared" si="55"/>
        <v/>
      </c>
      <c r="R41" s="127" t="str">
        <f t="shared" si="55"/>
        <v/>
      </c>
      <c r="S41" s="127" t="str">
        <f t="shared" si="55"/>
        <v/>
      </c>
      <c r="T41" s="127" t="str">
        <f t="shared" si="55"/>
        <v/>
      </c>
      <c r="U41" s="127" t="str">
        <f t="shared" si="55"/>
        <v/>
      </c>
      <c r="V41" s="127" t="str">
        <f t="shared" si="55"/>
        <v/>
      </c>
      <c r="W41" s="127" t="str">
        <f t="shared" si="55"/>
        <v/>
      </c>
      <c r="X41" s="127" t="str">
        <f t="shared" si="55"/>
        <v/>
      </c>
      <c r="Y41" s="127" t="str">
        <f t="shared" si="55"/>
        <v/>
      </c>
      <c r="Z41" s="127" t="str">
        <f t="shared" si="55"/>
        <v/>
      </c>
      <c r="AA41" s="127" t="str">
        <f t="shared" si="55"/>
        <v/>
      </c>
      <c r="AB41" s="127" t="str">
        <f t="shared" si="55"/>
        <v/>
      </c>
      <c r="AC41" s="127" t="str">
        <f t="shared" si="55"/>
        <v/>
      </c>
      <c r="AD41" s="127" t="str">
        <f t="shared" si="55"/>
        <v/>
      </c>
      <c r="AE41" s="127" t="str">
        <f t="shared" si="55"/>
        <v/>
      </c>
      <c r="AF41" s="127" t="str">
        <f t="shared" si="55"/>
        <v/>
      </c>
      <c r="AG41" s="127" t="str">
        <f t="shared" si="52"/>
        <v/>
      </c>
      <c r="AH41" s="127" t="str">
        <f t="shared" si="52"/>
        <v/>
      </c>
      <c r="AI41" s="127" t="str">
        <f t="shared" si="52"/>
        <v/>
      </c>
      <c r="AJ41" s="127" t="str">
        <f t="shared" si="52"/>
        <v/>
      </c>
      <c r="AK41" s="127" t="str">
        <f t="shared" si="52"/>
        <v/>
      </c>
      <c r="AL41" s="127" t="str">
        <f t="shared" si="52"/>
        <v/>
      </c>
      <c r="AM41" s="127" t="str">
        <f t="shared" si="52"/>
        <v>▲</v>
      </c>
      <c r="AN41" s="127" t="str">
        <f t="shared" si="52"/>
        <v/>
      </c>
      <c r="AO41" s="127" t="str">
        <f t="shared" si="52"/>
        <v/>
      </c>
      <c r="AP41" s="127" t="str">
        <f t="shared" si="52"/>
        <v/>
      </c>
      <c r="AQ41" s="127" t="str">
        <f t="shared" si="52"/>
        <v/>
      </c>
      <c r="AR41" s="127" t="str">
        <f t="shared" si="52"/>
        <v/>
      </c>
      <c r="AS41" s="127" t="str">
        <f t="shared" si="52"/>
        <v/>
      </c>
      <c r="AT41" s="127" t="str">
        <f t="shared" si="52"/>
        <v/>
      </c>
      <c r="AU41" s="127" t="str">
        <f t="shared" si="52"/>
        <v/>
      </c>
      <c r="AV41" s="127" t="str">
        <f t="shared" si="52"/>
        <v/>
      </c>
      <c r="AW41" s="127" t="str">
        <f t="shared" si="50"/>
        <v/>
      </c>
      <c r="AX41" s="127" t="str">
        <f t="shared" si="50"/>
        <v/>
      </c>
      <c r="AY41" s="127" t="str">
        <f t="shared" si="50"/>
        <v/>
      </c>
      <c r="AZ41" s="127" t="str">
        <f t="shared" si="50"/>
        <v/>
      </c>
      <c r="BA41" s="127" t="str">
        <f t="shared" si="51"/>
        <v/>
      </c>
      <c r="BB41" s="127" t="str">
        <f t="shared" si="51"/>
        <v/>
      </c>
      <c r="BC41" s="127" t="str">
        <f t="shared" si="51"/>
        <v/>
      </c>
      <c r="BD41" s="127" t="str">
        <f t="shared" si="51"/>
        <v/>
      </c>
      <c r="BE41" s="127" t="str">
        <f t="shared" si="51"/>
        <v/>
      </c>
      <c r="BF41" s="127" t="str">
        <f t="shared" si="51"/>
        <v/>
      </c>
      <c r="BG41" s="127" t="str">
        <f t="shared" si="51"/>
        <v/>
      </c>
      <c r="BH41" s="127" t="str">
        <f t="shared" si="51"/>
        <v/>
      </c>
      <c r="BI41" s="127" t="str">
        <f t="shared" si="51"/>
        <v/>
      </c>
      <c r="BJ41" s="127" t="str">
        <f t="shared" si="51"/>
        <v/>
      </c>
      <c r="BK41" s="127" t="str">
        <f t="shared" si="51"/>
        <v/>
      </c>
      <c r="BL41" s="127" t="str">
        <f t="shared" si="51"/>
        <v/>
      </c>
      <c r="BM41" s="127" t="str">
        <f t="shared" si="51"/>
        <v/>
      </c>
      <c r="BN41" s="127" t="str">
        <f t="shared" si="51"/>
        <v/>
      </c>
      <c r="BO41" s="127" t="str">
        <f t="shared" si="51"/>
        <v/>
      </c>
      <c r="BP41" s="127" t="str">
        <f t="shared" si="51"/>
        <v/>
      </c>
      <c r="BQ41" s="127" t="str">
        <f t="shared" si="53"/>
        <v/>
      </c>
      <c r="BR41" s="127" t="str">
        <f t="shared" si="53"/>
        <v/>
      </c>
      <c r="BS41" s="127" t="str">
        <f t="shared" si="53"/>
        <v/>
      </c>
      <c r="BT41" s="127" t="str">
        <f t="shared" si="53"/>
        <v/>
      </c>
      <c r="BU41" s="127" t="str">
        <f t="shared" si="53"/>
        <v/>
      </c>
      <c r="BV41" s="127" t="str">
        <f t="shared" si="53"/>
        <v/>
      </c>
      <c r="BW41" s="127" t="str">
        <f t="shared" si="53"/>
        <v/>
      </c>
      <c r="BX41" s="127" t="str">
        <f t="shared" si="53"/>
        <v/>
      </c>
      <c r="BY41" s="127" t="str">
        <f t="shared" si="53"/>
        <v/>
      </c>
      <c r="BZ41" s="127" t="str">
        <f t="shared" si="53"/>
        <v/>
      </c>
      <c r="CA41" s="127" t="str">
        <f t="shared" si="53"/>
        <v/>
      </c>
      <c r="CB41" s="127" t="str">
        <f t="shared" si="53"/>
        <v/>
      </c>
      <c r="CC41" s="127" t="str">
        <f t="shared" si="53"/>
        <v/>
      </c>
      <c r="CD41" s="127" t="str">
        <f t="shared" si="53"/>
        <v/>
      </c>
    </row>
    <row r="42" spans="1:82" ht="12" hidden="1" customHeight="1" x14ac:dyDescent="0.2">
      <c r="A42" s="106">
        <f>SHIPMENTS!A48</f>
        <v>9288</v>
      </c>
      <c r="B42" s="106" t="str">
        <f>SHIPMENTS!B48</f>
        <v>12100-HOLLAND HALU</v>
      </c>
      <c r="C42" s="132">
        <f>SHIPMENTS!F48</f>
        <v>0</v>
      </c>
      <c r="D42" s="107" t="str">
        <f>IF((SHIPMENTS!I48)=0,"",SHIPMENTS!I48)</f>
        <v/>
      </c>
      <c r="E42" s="176">
        <f>IF((SHIPMENTS!G48)=0,"",SHIPMENTS!G48)</f>
        <v>46339</v>
      </c>
      <c r="F42" s="98">
        <f>VLOOKUP(A42,load!$A$4:$U$5001,18,0)</f>
        <v>11.424000000000001</v>
      </c>
      <c r="G42" s="109">
        <f>Manhours!$C$15</f>
        <v>5</v>
      </c>
      <c r="H42" s="98">
        <f t="shared" si="43"/>
        <v>45.5</v>
      </c>
      <c r="I42" s="99">
        <f t="shared" si="44"/>
        <v>0.25107692307692309</v>
      </c>
      <c r="J42" s="99">
        <f t="shared" si="45"/>
        <v>2.2848000000000002</v>
      </c>
      <c r="K42" s="98">
        <f t="shared" si="46"/>
        <v>0</v>
      </c>
      <c r="L42" s="98">
        <f t="shared" si="47"/>
        <v>0</v>
      </c>
      <c r="M42" s="181">
        <f t="shared" si="48"/>
        <v>46314.297737326007</v>
      </c>
      <c r="N42" s="181">
        <f t="shared" si="49"/>
        <v>46314.297737326007</v>
      </c>
      <c r="O42" s="112" t="str">
        <f>VLOOKUP(A42,SHIPMENTS!$A$7:$AP$76,11,0)</f>
        <v>n/a</v>
      </c>
      <c r="P42" s="101"/>
      <c r="Q42" s="127" t="str">
        <f t="shared" si="55"/>
        <v/>
      </c>
      <c r="R42" s="127" t="str">
        <f t="shared" si="55"/>
        <v/>
      </c>
      <c r="S42" s="127" t="str">
        <f t="shared" si="55"/>
        <v/>
      </c>
      <c r="T42" s="127" t="str">
        <f t="shared" si="55"/>
        <v/>
      </c>
      <c r="U42" s="127" t="str">
        <f t="shared" si="55"/>
        <v/>
      </c>
      <c r="V42" s="127" t="str">
        <f t="shared" si="55"/>
        <v/>
      </c>
      <c r="W42" s="127" t="str">
        <f t="shared" si="55"/>
        <v/>
      </c>
      <c r="X42" s="127" t="str">
        <f t="shared" si="55"/>
        <v/>
      </c>
      <c r="Y42" s="127" t="str">
        <f t="shared" si="55"/>
        <v/>
      </c>
      <c r="Z42" s="127" t="str">
        <f t="shared" si="55"/>
        <v/>
      </c>
      <c r="AA42" s="127" t="str">
        <f t="shared" si="55"/>
        <v/>
      </c>
      <c r="AB42" s="127" t="str">
        <f t="shared" si="55"/>
        <v/>
      </c>
      <c r="AC42" s="127" t="str">
        <f t="shared" si="55"/>
        <v/>
      </c>
      <c r="AD42" s="127" t="str">
        <f t="shared" si="55"/>
        <v/>
      </c>
      <c r="AE42" s="127" t="str">
        <f t="shared" si="55"/>
        <v/>
      </c>
      <c r="AF42" s="127" t="str">
        <f t="shared" si="55"/>
        <v/>
      </c>
      <c r="AG42" s="127" t="str">
        <f t="shared" si="52"/>
        <v/>
      </c>
      <c r="AH42" s="127" t="str">
        <f t="shared" si="52"/>
        <v/>
      </c>
      <c r="AI42" s="127" t="str">
        <f t="shared" si="52"/>
        <v/>
      </c>
      <c r="AJ42" s="127" t="str">
        <f t="shared" si="52"/>
        <v/>
      </c>
      <c r="AK42" s="127" t="str">
        <f t="shared" si="52"/>
        <v/>
      </c>
      <c r="AL42" s="127" t="str">
        <f t="shared" si="52"/>
        <v/>
      </c>
      <c r="AM42" s="127" t="str">
        <f t="shared" si="52"/>
        <v>▲</v>
      </c>
      <c r="AN42" s="127" t="str">
        <f t="shared" si="52"/>
        <v/>
      </c>
      <c r="AO42" s="127" t="str">
        <f t="shared" si="52"/>
        <v/>
      </c>
      <c r="AP42" s="127" t="str">
        <f t="shared" si="52"/>
        <v/>
      </c>
      <c r="AQ42" s="127" t="str">
        <f t="shared" si="52"/>
        <v/>
      </c>
      <c r="AR42" s="127" t="str">
        <f t="shared" si="52"/>
        <v/>
      </c>
      <c r="AS42" s="127" t="str">
        <f t="shared" si="52"/>
        <v/>
      </c>
      <c r="AT42" s="127" t="str">
        <f t="shared" si="52"/>
        <v/>
      </c>
      <c r="AU42" s="127" t="str">
        <f t="shared" si="52"/>
        <v/>
      </c>
      <c r="AV42" s="127" t="str">
        <f t="shared" si="52"/>
        <v/>
      </c>
      <c r="AW42" s="127" t="str">
        <f t="shared" si="50"/>
        <v/>
      </c>
      <c r="AX42" s="127" t="str">
        <f t="shared" si="50"/>
        <v/>
      </c>
      <c r="AY42" s="127" t="str">
        <f t="shared" si="50"/>
        <v/>
      </c>
      <c r="AZ42" s="127" t="str">
        <f t="shared" si="50"/>
        <v/>
      </c>
      <c r="BA42" s="127" t="str">
        <f t="shared" si="51"/>
        <v/>
      </c>
      <c r="BB42" s="127" t="str">
        <f t="shared" si="51"/>
        <v/>
      </c>
      <c r="BC42" s="127" t="str">
        <f t="shared" si="51"/>
        <v/>
      </c>
      <c r="BD42" s="127" t="str">
        <f t="shared" si="51"/>
        <v/>
      </c>
      <c r="BE42" s="127" t="str">
        <f t="shared" si="51"/>
        <v/>
      </c>
      <c r="BF42" s="127" t="str">
        <f t="shared" si="51"/>
        <v/>
      </c>
      <c r="BG42" s="127" t="str">
        <f t="shared" si="51"/>
        <v/>
      </c>
      <c r="BH42" s="127" t="str">
        <f t="shared" si="51"/>
        <v/>
      </c>
      <c r="BI42" s="127" t="str">
        <f t="shared" si="51"/>
        <v/>
      </c>
      <c r="BJ42" s="127" t="str">
        <f t="shared" si="51"/>
        <v/>
      </c>
      <c r="BK42" s="127" t="str">
        <f t="shared" si="51"/>
        <v/>
      </c>
      <c r="BL42" s="127" t="str">
        <f t="shared" si="51"/>
        <v/>
      </c>
      <c r="BM42" s="127" t="str">
        <f t="shared" si="51"/>
        <v/>
      </c>
      <c r="BN42" s="127" t="str">
        <f t="shared" si="51"/>
        <v/>
      </c>
      <c r="BO42" s="127" t="str">
        <f t="shared" si="51"/>
        <v/>
      </c>
      <c r="BP42" s="127" t="str">
        <f t="shared" si="51"/>
        <v/>
      </c>
      <c r="BQ42" s="127" t="str">
        <f t="shared" si="53"/>
        <v/>
      </c>
      <c r="BR42" s="127" t="str">
        <f t="shared" si="53"/>
        <v/>
      </c>
      <c r="BS42" s="127" t="str">
        <f t="shared" si="53"/>
        <v/>
      </c>
      <c r="BT42" s="127" t="str">
        <f t="shared" si="53"/>
        <v/>
      </c>
      <c r="BU42" s="127" t="str">
        <f t="shared" si="53"/>
        <v/>
      </c>
      <c r="BV42" s="127" t="str">
        <f t="shared" si="53"/>
        <v/>
      </c>
      <c r="BW42" s="127" t="str">
        <f t="shared" si="53"/>
        <v/>
      </c>
      <c r="BX42" s="127" t="str">
        <f t="shared" si="53"/>
        <v/>
      </c>
      <c r="BY42" s="127" t="str">
        <f t="shared" si="53"/>
        <v/>
      </c>
      <c r="BZ42" s="127" t="str">
        <f t="shared" si="53"/>
        <v/>
      </c>
      <c r="CA42" s="127" t="str">
        <f t="shared" si="53"/>
        <v/>
      </c>
      <c r="CB42" s="127" t="str">
        <f t="shared" si="53"/>
        <v/>
      </c>
      <c r="CC42" s="127" t="str">
        <f t="shared" si="53"/>
        <v/>
      </c>
      <c r="CD42" s="127" t="str">
        <f t="shared" si="53"/>
        <v/>
      </c>
    </row>
    <row r="43" spans="1:82" ht="12" customHeight="1" x14ac:dyDescent="0.2">
      <c r="A43" s="106" t="str">
        <f>SHIPMENTS!A49</f>
        <v>SSE BACKLOG</v>
      </c>
      <c r="B43" s="106" t="str">
        <f>SHIPMENTS!B49</f>
        <v>11500-SAWO SAUNA EUROPE BV</v>
      </c>
      <c r="C43" s="132">
        <f>SHIPMENTS!F49</f>
        <v>0</v>
      </c>
      <c r="D43" s="107" t="str">
        <f>IF((SHIPMENTS!I49)=0,"",SHIPMENTS!I49)</f>
        <v/>
      </c>
      <c r="E43" s="176">
        <f>IF((SHIPMENTS!G49)=0,"",SHIPMENTS!G49)</f>
        <v>46339</v>
      </c>
      <c r="F43" s="98">
        <f>VLOOKUP(A43,load!$A$4:$U$5001,18,0)</f>
        <v>0.93583333333333341</v>
      </c>
      <c r="G43" s="109">
        <f>Manhours!$C$15</f>
        <v>5</v>
      </c>
      <c r="H43" s="98">
        <f t="shared" si="43"/>
        <v>45.5</v>
      </c>
      <c r="I43" s="99">
        <f t="shared" si="44"/>
        <v>2.0567765567765569E-2</v>
      </c>
      <c r="J43" s="99">
        <f t="shared" si="45"/>
        <v>0.18716666666666668</v>
      </c>
      <c r="K43" s="98">
        <f t="shared" si="46"/>
        <v>8.2271062271062345E-4</v>
      </c>
      <c r="L43" s="98">
        <f t="shared" si="47"/>
        <v>7.4866666666666692E-3</v>
      </c>
      <c r="M43" s="181">
        <f t="shared" si="48"/>
        <v>46314.297737326007</v>
      </c>
      <c r="N43" s="181">
        <f t="shared" si="49"/>
        <v>46314.29856003663</v>
      </c>
      <c r="O43" s="112">
        <f>VLOOKUP(A43,SHIPMENTS!$A$7:$AP$76,11,0)</f>
        <v>0.96</v>
      </c>
      <c r="P43" s="101"/>
      <c r="Q43" s="127" t="str">
        <f t="shared" si="55"/>
        <v/>
      </c>
      <c r="R43" s="127" t="str">
        <f t="shared" si="55"/>
        <v/>
      </c>
      <c r="S43" s="127" t="str">
        <f t="shared" si="55"/>
        <v/>
      </c>
      <c r="T43" s="127" t="str">
        <f t="shared" si="55"/>
        <v/>
      </c>
      <c r="U43" s="127" t="str">
        <f t="shared" si="55"/>
        <v/>
      </c>
      <c r="V43" s="127" t="str">
        <f t="shared" si="55"/>
        <v/>
      </c>
      <c r="W43" s="127" t="str">
        <f t="shared" si="55"/>
        <v/>
      </c>
      <c r="X43" s="127" t="str">
        <f t="shared" si="55"/>
        <v/>
      </c>
      <c r="Y43" s="127" t="str">
        <f t="shared" si="55"/>
        <v/>
      </c>
      <c r="Z43" s="127" t="str">
        <f t="shared" si="55"/>
        <v/>
      </c>
      <c r="AA43" s="127" t="str">
        <f t="shared" si="55"/>
        <v/>
      </c>
      <c r="AB43" s="127" t="str">
        <f t="shared" si="55"/>
        <v/>
      </c>
      <c r="AC43" s="127" t="str">
        <f t="shared" si="55"/>
        <v/>
      </c>
      <c r="AD43" s="127" t="str">
        <f t="shared" si="55"/>
        <v/>
      </c>
      <c r="AE43" s="127" t="str">
        <f t="shared" si="55"/>
        <v/>
      </c>
      <c r="AF43" s="127" t="str">
        <f t="shared" si="55"/>
        <v/>
      </c>
      <c r="AG43" s="127" t="str">
        <f t="shared" si="52"/>
        <v/>
      </c>
      <c r="AH43" s="127" t="str">
        <f t="shared" si="52"/>
        <v/>
      </c>
      <c r="AI43" s="127" t="str">
        <f t="shared" si="52"/>
        <v/>
      </c>
      <c r="AJ43" s="127" t="str">
        <f t="shared" si="52"/>
        <v/>
      </c>
      <c r="AK43" s="127" t="str">
        <f t="shared" si="52"/>
        <v/>
      </c>
      <c r="AL43" s="127" t="str">
        <f t="shared" si="52"/>
        <v/>
      </c>
      <c r="AM43" s="127" t="str">
        <f t="shared" si="52"/>
        <v>▲</v>
      </c>
      <c r="AN43" s="127" t="str">
        <f t="shared" si="52"/>
        <v/>
      </c>
      <c r="AO43" s="127" t="str">
        <f t="shared" si="52"/>
        <v/>
      </c>
      <c r="AP43" s="127" t="str">
        <f t="shared" si="52"/>
        <v/>
      </c>
      <c r="AQ43" s="127" t="str">
        <f t="shared" si="52"/>
        <v/>
      </c>
      <c r="AR43" s="127" t="str">
        <f t="shared" si="52"/>
        <v/>
      </c>
      <c r="AS43" s="127" t="str">
        <f t="shared" si="52"/>
        <v/>
      </c>
      <c r="AT43" s="127" t="str">
        <f t="shared" si="52"/>
        <v/>
      </c>
      <c r="AU43" s="127" t="str">
        <f t="shared" si="52"/>
        <v/>
      </c>
      <c r="AV43" s="127" t="str">
        <f t="shared" si="52"/>
        <v/>
      </c>
      <c r="AW43" s="127" t="str">
        <f t="shared" si="50"/>
        <v/>
      </c>
      <c r="AX43" s="127" t="str">
        <f t="shared" si="50"/>
        <v/>
      </c>
      <c r="AY43" s="127" t="str">
        <f t="shared" si="50"/>
        <v/>
      </c>
      <c r="AZ43" s="127" t="str">
        <f t="shared" si="50"/>
        <v/>
      </c>
      <c r="BA43" s="127" t="str">
        <f t="shared" si="51"/>
        <v/>
      </c>
      <c r="BB43" s="127" t="str">
        <f t="shared" si="51"/>
        <v/>
      </c>
      <c r="BC43" s="127" t="str">
        <f t="shared" si="51"/>
        <v/>
      </c>
      <c r="BD43" s="127" t="str">
        <f t="shared" si="51"/>
        <v/>
      </c>
      <c r="BE43" s="127" t="str">
        <f t="shared" si="51"/>
        <v/>
      </c>
      <c r="BF43" s="127" t="str">
        <f t="shared" si="51"/>
        <v/>
      </c>
      <c r="BG43" s="127" t="str">
        <f t="shared" si="51"/>
        <v/>
      </c>
      <c r="BH43" s="127" t="str">
        <f t="shared" si="51"/>
        <v/>
      </c>
      <c r="BI43" s="127" t="str">
        <f t="shared" si="51"/>
        <v/>
      </c>
      <c r="BJ43" s="127" t="str">
        <f t="shared" si="51"/>
        <v/>
      </c>
      <c r="BK43" s="127" t="str">
        <f t="shared" si="51"/>
        <v/>
      </c>
      <c r="BL43" s="127" t="str">
        <f t="shared" si="51"/>
        <v/>
      </c>
      <c r="BM43" s="127" t="str">
        <f t="shared" si="51"/>
        <v/>
      </c>
      <c r="BN43" s="127" t="str">
        <f t="shared" si="51"/>
        <v/>
      </c>
      <c r="BO43" s="127" t="str">
        <f t="shared" si="51"/>
        <v/>
      </c>
      <c r="BP43" s="127" t="str">
        <f t="shared" si="51"/>
        <v/>
      </c>
      <c r="BQ43" s="127" t="str">
        <f t="shared" si="53"/>
        <v/>
      </c>
      <c r="BR43" s="127" t="str">
        <f t="shared" si="53"/>
        <v/>
      </c>
      <c r="BS43" s="127" t="str">
        <f t="shared" si="53"/>
        <v/>
      </c>
      <c r="BT43" s="127" t="str">
        <f t="shared" si="53"/>
        <v/>
      </c>
      <c r="BU43" s="127" t="str">
        <f t="shared" si="53"/>
        <v/>
      </c>
      <c r="BV43" s="127" t="str">
        <f t="shared" si="53"/>
        <v/>
      </c>
      <c r="BW43" s="127" t="str">
        <f t="shared" si="53"/>
        <v/>
      </c>
      <c r="BX43" s="127" t="str">
        <f t="shared" si="53"/>
        <v/>
      </c>
      <c r="BY43" s="127" t="str">
        <f t="shared" si="53"/>
        <v/>
      </c>
      <c r="BZ43" s="127" t="str">
        <f t="shared" si="53"/>
        <v/>
      </c>
      <c r="CA43" s="127" t="str">
        <f t="shared" si="53"/>
        <v/>
      </c>
      <c r="CB43" s="127" t="str">
        <f t="shared" si="53"/>
        <v/>
      </c>
      <c r="CC43" s="127" t="str">
        <f t="shared" si="53"/>
        <v/>
      </c>
      <c r="CD43" s="127" t="str">
        <f t="shared" si="53"/>
        <v/>
      </c>
    </row>
    <row r="44" spans="1:82" ht="12" customHeight="1" x14ac:dyDescent="0.2">
      <c r="A44" s="106">
        <f>SHIPMENTS!A50</f>
        <v>9113</v>
      </c>
      <c r="B44" s="106" t="str">
        <f>SHIPMENTS!B50</f>
        <v>15900- Mandaue |Stephen Chian</v>
      </c>
      <c r="C44" s="132">
        <f>SHIPMENTS!F50</f>
        <v>0.34</v>
      </c>
      <c r="D44" s="107" t="str">
        <f>IF((SHIPMENTS!I50)=0,"",SHIPMENTS!I50)</f>
        <v/>
      </c>
      <c r="E44" s="176">
        <f>IF((SHIPMENTS!G50)=0,"",SHIPMENTS!G50)</f>
        <v>46351</v>
      </c>
      <c r="F44" s="98">
        <f>VLOOKUP(A44,load!$A$4:$U$5001,18,0)</f>
        <v>0</v>
      </c>
      <c r="G44" s="109">
        <f>Manhours!$C$15</f>
        <v>5</v>
      </c>
      <c r="H44" s="98">
        <f t="shared" si="43"/>
        <v>45.5</v>
      </c>
      <c r="I44" s="99">
        <f t="shared" si="44"/>
        <v>0</v>
      </c>
      <c r="J44" s="99">
        <f t="shared" si="45"/>
        <v>0</v>
      </c>
      <c r="K44" s="98">
        <f t="shared" si="46"/>
        <v>0</v>
      </c>
      <c r="L44" s="98">
        <f t="shared" si="47"/>
        <v>0</v>
      </c>
      <c r="M44" s="181">
        <f t="shared" si="48"/>
        <v>46314.29856003663</v>
      </c>
      <c r="N44" s="181">
        <f t="shared" si="49"/>
        <v>46314.29856003663</v>
      </c>
      <c r="O44" s="112">
        <f>VLOOKUP(A44,SHIPMENTS!$A$7:$AP$76,11,0)</f>
        <v>1</v>
      </c>
      <c r="P44" s="101"/>
      <c r="Q44" s="127" t="str">
        <f t="shared" si="55"/>
        <v/>
      </c>
      <c r="R44" s="127" t="str">
        <f t="shared" si="55"/>
        <v/>
      </c>
      <c r="S44" s="127" t="str">
        <f t="shared" si="55"/>
        <v/>
      </c>
      <c r="T44" s="127" t="str">
        <f t="shared" si="55"/>
        <v/>
      </c>
      <c r="U44" s="127" t="str">
        <f t="shared" si="55"/>
        <v/>
      </c>
      <c r="V44" s="127" t="str">
        <f t="shared" si="55"/>
        <v/>
      </c>
      <c r="W44" s="127" t="str">
        <f t="shared" si="55"/>
        <v/>
      </c>
      <c r="X44" s="127" t="str">
        <f t="shared" si="55"/>
        <v/>
      </c>
      <c r="Y44" s="127" t="str">
        <f t="shared" si="55"/>
        <v/>
      </c>
      <c r="Z44" s="127" t="str">
        <f t="shared" si="55"/>
        <v/>
      </c>
      <c r="AA44" s="127" t="str">
        <f t="shared" si="55"/>
        <v/>
      </c>
      <c r="AB44" s="127" t="str">
        <f t="shared" si="55"/>
        <v/>
      </c>
      <c r="AC44" s="127" t="str">
        <f t="shared" si="55"/>
        <v/>
      </c>
      <c r="AD44" s="127" t="str">
        <f t="shared" si="55"/>
        <v/>
      </c>
      <c r="AE44" s="127" t="str">
        <f t="shared" si="55"/>
        <v/>
      </c>
      <c r="AF44" s="127" t="str">
        <f t="shared" si="55"/>
        <v/>
      </c>
      <c r="AG44" s="127" t="str">
        <f t="shared" si="52"/>
        <v/>
      </c>
      <c r="AH44" s="127" t="str">
        <f t="shared" si="52"/>
        <v/>
      </c>
      <c r="AI44" s="127" t="str">
        <f t="shared" si="52"/>
        <v/>
      </c>
      <c r="AJ44" s="127" t="str">
        <f t="shared" si="52"/>
        <v/>
      </c>
      <c r="AK44" s="127" t="str">
        <f t="shared" si="52"/>
        <v/>
      </c>
      <c r="AL44" s="127" t="str">
        <f t="shared" si="52"/>
        <v/>
      </c>
      <c r="AM44" s="127" t="str">
        <f t="shared" si="52"/>
        <v/>
      </c>
      <c r="AN44" s="127" t="str">
        <f t="shared" si="52"/>
        <v/>
      </c>
      <c r="AO44" s="127" t="str">
        <f t="shared" si="52"/>
        <v/>
      </c>
      <c r="AP44" s="127" t="str">
        <f t="shared" si="52"/>
        <v/>
      </c>
      <c r="AQ44" s="127" t="str">
        <f t="shared" si="52"/>
        <v/>
      </c>
      <c r="AR44" s="127" t="str">
        <f t="shared" si="52"/>
        <v/>
      </c>
      <c r="AS44" s="127" t="str">
        <f t="shared" si="52"/>
        <v/>
      </c>
      <c r="AT44" s="127" t="str">
        <f t="shared" si="52"/>
        <v/>
      </c>
      <c r="AU44" s="127" t="str">
        <f t="shared" si="52"/>
        <v/>
      </c>
      <c r="AV44" s="127" t="str">
        <f t="shared" si="52"/>
        <v/>
      </c>
      <c r="AW44" s="127" t="str">
        <f t="shared" si="50"/>
        <v>▲</v>
      </c>
      <c r="AX44" s="127" t="str">
        <f t="shared" si="50"/>
        <v/>
      </c>
      <c r="AY44" s="127" t="str">
        <f t="shared" si="50"/>
        <v/>
      </c>
      <c r="AZ44" s="127" t="str">
        <f t="shared" si="50"/>
        <v/>
      </c>
      <c r="BA44" s="127" t="str">
        <f t="shared" si="51"/>
        <v/>
      </c>
      <c r="BB44" s="127" t="str">
        <f t="shared" si="51"/>
        <v/>
      </c>
      <c r="BC44" s="127" t="str">
        <f t="shared" si="51"/>
        <v/>
      </c>
      <c r="BD44" s="127" t="str">
        <f t="shared" si="51"/>
        <v/>
      </c>
      <c r="BE44" s="127" t="str">
        <f t="shared" si="51"/>
        <v/>
      </c>
      <c r="BF44" s="127" t="str">
        <f t="shared" si="51"/>
        <v/>
      </c>
      <c r="BG44" s="127" t="str">
        <f t="shared" si="51"/>
        <v/>
      </c>
      <c r="BH44" s="127" t="str">
        <f t="shared" si="51"/>
        <v/>
      </c>
      <c r="BI44" s="127" t="str">
        <f t="shared" si="51"/>
        <v/>
      </c>
      <c r="BJ44" s="127" t="str">
        <f t="shared" si="51"/>
        <v/>
      </c>
      <c r="BK44" s="127" t="str">
        <f t="shared" si="51"/>
        <v/>
      </c>
      <c r="BL44" s="127" t="str">
        <f t="shared" si="51"/>
        <v/>
      </c>
      <c r="BM44" s="127" t="str">
        <f t="shared" si="51"/>
        <v/>
      </c>
      <c r="BN44" s="127" t="str">
        <f t="shared" si="51"/>
        <v/>
      </c>
      <c r="BO44" s="127" t="str">
        <f t="shared" si="51"/>
        <v/>
      </c>
      <c r="BP44" s="127" t="str">
        <f t="shared" si="51"/>
        <v/>
      </c>
      <c r="BQ44" s="127" t="str">
        <f t="shared" si="53"/>
        <v/>
      </c>
      <c r="BR44" s="127" t="str">
        <f t="shared" si="53"/>
        <v/>
      </c>
      <c r="BS44" s="127" t="str">
        <f t="shared" si="53"/>
        <v/>
      </c>
      <c r="BT44" s="127" t="str">
        <f t="shared" si="53"/>
        <v/>
      </c>
      <c r="BU44" s="127" t="str">
        <f t="shared" si="53"/>
        <v/>
      </c>
      <c r="BV44" s="127" t="str">
        <f t="shared" si="53"/>
        <v/>
      </c>
      <c r="BW44" s="127" t="str">
        <f t="shared" si="53"/>
        <v/>
      </c>
      <c r="BX44" s="127" t="str">
        <f t="shared" si="53"/>
        <v/>
      </c>
      <c r="BY44" s="127" t="str">
        <f t="shared" si="53"/>
        <v/>
      </c>
      <c r="BZ44" s="127" t="str">
        <f t="shared" si="53"/>
        <v/>
      </c>
      <c r="CA44" s="127" t="str">
        <f t="shared" si="53"/>
        <v/>
      </c>
      <c r="CB44" s="127" t="str">
        <f t="shared" si="53"/>
        <v/>
      </c>
      <c r="CC44" s="127" t="str">
        <f t="shared" si="53"/>
        <v/>
      </c>
      <c r="CD44" s="127" t="str">
        <f t="shared" si="53"/>
        <v/>
      </c>
    </row>
    <row r="45" spans="1:82" ht="12" customHeight="1" x14ac:dyDescent="0.2">
      <c r="A45" s="106">
        <f>SHIPMENTS!A51</f>
        <v>8938</v>
      </c>
      <c r="B45" s="106" t="str">
        <f>SHIPMENTS!B51</f>
        <v>9600-NEW ZEALAND</v>
      </c>
      <c r="C45" s="132">
        <f>SHIPMENTS!F51</f>
        <v>36.496094285714285</v>
      </c>
      <c r="D45" s="107" t="str">
        <f>IF((SHIPMENTS!I51)=0,"",SHIPMENTS!I51)</f>
        <v>1X20</v>
      </c>
      <c r="E45" s="176" t="str">
        <f>IF((SHIPMENTS!G51)=0,"",SHIPMENTS!G51)</f>
        <v>TBA</v>
      </c>
      <c r="F45" s="98">
        <f>VLOOKUP(A45,load!$A$4:$U$5001,18,0)</f>
        <v>2.1556666666666668</v>
      </c>
      <c r="G45" s="109">
        <f>Manhours!$C$15</f>
        <v>5</v>
      </c>
      <c r="H45" s="98">
        <f t="shared" si="43"/>
        <v>45.5</v>
      </c>
      <c r="I45" s="99">
        <f t="shared" si="44"/>
        <v>4.7377289377289383E-2</v>
      </c>
      <c r="J45" s="99">
        <f t="shared" si="45"/>
        <v>0.43113333333333337</v>
      </c>
      <c r="K45" s="98">
        <f t="shared" si="46"/>
        <v>1.89509157509158E-3</v>
      </c>
      <c r="L45" s="98">
        <f t="shared" si="47"/>
        <v>1.7245333333333335E-2</v>
      </c>
      <c r="M45" s="181">
        <f t="shared" si="48"/>
        <v>46314.29856003663</v>
      </c>
      <c r="N45" s="181">
        <f t="shared" si="49"/>
        <v>46314.300455128207</v>
      </c>
      <c r="O45" s="112">
        <f>VLOOKUP(A45,SHIPMENTS!$A$7:$AP$76,11,0)</f>
        <v>0.96</v>
      </c>
      <c r="P45" s="101"/>
      <c r="Q45" s="127" t="str">
        <f t="shared" si="55"/>
        <v/>
      </c>
      <c r="R45" s="127" t="str">
        <f t="shared" si="55"/>
        <v/>
      </c>
      <c r="S45" s="127" t="str">
        <f t="shared" si="55"/>
        <v/>
      </c>
      <c r="T45" s="127" t="str">
        <f t="shared" si="55"/>
        <v/>
      </c>
      <c r="U45" s="127" t="str">
        <f t="shared" si="55"/>
        <v/>
      </c>
      <c r="V45" s="127" t="str">
        <f t="shared" si="55"/>
        <v/>
      </c>
      <c r="W45" s="127" t="str">
        <f t="shared" si="55"/>
        <v/>
      </c>
      <c r="X45" s="127" t="str">
        <f t="shared" si="55"/>
        <v/>
      </c>
      <c r="Y45" s="127" t="str">
        <f t="shared" si="55"/>
        <v/>
      </c>
      <c r="Z45" s="127" t="str">
        <f t="shared" si="55"/>
        <v/>
      </c>
      <c r="AA45" s="127" t="str">
        <f t="shared" si="55"/>
        <v/>
      </c>
      <c r="AB45" s="127" t="str">
        <f t="shared" si="55"/>
        <v/>
      </c>
      <c r="AC45" s="127" t="str">
        <f t="shared" si="55"/>
        <v/>
      </c>
      <c r="AD45" s="127" t="str">
        <f t="shared" si="55"/>
        <v/>
      </c>
      <c r="AE45" s="127" t="str">
        <f t="shared" si="55"/>
        <v/>
      </c>
      <c r="AF45" s="127" t="str">
        <f t="shared" si="55"/>
        <v/>
      </c>
      <c r="AG45" s="127" t="str">
        <f t="shared" si="52"/>
        <v/>
      </c>
      <c r="AH45" s="127" t="str">
        <f t="shared" si="52"/>
        <v/>
      </c>
      <c r="AI45" s="127" t="str">
        <f t="shared" si="52"/>
        <v/>
      </c>
      <c r="AJ45" s="127" t="str">
        <f t="shared" si="52"/>
        <v/>
      </c>
      <c r="AK45" s="127" t="str">
        <f t="shared" si="52"/>
        <v/>
      </c>
      <c r="AL45" s="127" t="str">
        <f t="shared" si="52"/>
        <v/>
      </c>
      <c r="AM45" s="127" t="str">
        <f t="shared" si="52"/>
        <v/>
      </c>
      <c r="AN45" s="127" t="str">
        <f t="shared" si="52"/>
        <v/>
      </c>
      <c r="AO45" s="127" t="str">
        <f t="shared" si="52"/>
        <v/>
      </c>
      <c r="AP45" s="127" t="str">
        <f t="shared" si="52"/>
        <v/>
      </c>
      <c r="AQ45" s="127" t="str">
        <f t="shared" si="52"/>
        <v/>
      </c>
      <c r="AR45" s="127" t="str">
        <f t="shared" si="52"/>
        <v/>
      </c>
      <c r="AS45" s="127" t="str">
        <f t="shared" si="52"/>
        <v/>
      </c>
      <c r="AT45" s="127" t="str">
        <f t="shared" si="52"/>
        <v/>
      </c>
      <c r="AU45" s="127" t="str">
        <f t="shared" si="52"/>
        <v/>
      </c>
      <c r="AV45" s="127" t="str">
        <f t="shared" si="52"/>
        <v/>
      </c>
      <c r="AW45" s="127" t="str">
        <f t="shared" si="50"/>
        <v/>
      </c>
      <c r="AX45" s="127" t="str">
        <f t="shared" si="50"/>
        <v/>
      </c>
      <c r="AY45" s="127" t="str">
        <f t="shared" si="50"/>
        <v/>
      </c>
      <c r="AZ45" s="127" t="str">
        <f t="shared" si="50"/>
        <v/>
      </c>
      <c r="BA45" s="127" t="str">
        <f t="shared" si="51"/>
        <v/>
      </c>
      <c r="BB45" s="127" t="str">
        <f t="shared" si="51"/>
        <v/>
      </c>
      <c r="BC45" s="127" t="str">
        <f t="shared" si="51"/>
        <v/>
      </c>
      <c r="BD45" s="127" t="str">
        <f t="shared" si="51"/>
        <v/>
      </c>
      <c r="BE45" s="127" t="str">
        <f t="shared" si="51"/>
        <v/>
      </c>
      <c r="BF45" s="127" t="str">
        <f t="shared" si="51"/>
        <v/>
      </c>
      <c r="BG45" s="127" t="str">
        <f t="shared" si="51"/>
        <v/>
      </c>
      <c r="BH45" s="127" t="str">
        <f t="shared" si="51"/>
        <v/>
      </c>
      <c r="BI45" s="127" t="str">
        <f t="shared" si="51"/>
        <v/>
      </c>
      <c r="BJ45" s="127" t="str">
        <f t="shared" si="51"/>
        <v/>
      </c>
      <c r="BK45" s="127" t="str">
        <f t="shared" si="51"/>
        <v/>
      </c>
      <c r="BL45" s="127" t="str">
        <f t="shared" si="51"/>
        <v/>
      </c>
      <c r="BM45" s="127" t="str">
        <f t="shared" si="51"/>
        <v/>
      </c>
      <c r="BN45" s="127" t="str">
        <f t="shared" si="51"/>
        <v/>
      </c>
      <c r="BO45" s="127" t="str">
        <f t="shared" si="51"/>
        <v/>
      </c>
      <c r="BP45" s="127" t="str">
        <f t="shared" si="51"/>
        <v/>
      </c>
      <c r="BQ45" s="127" t="str">
        <f t="shared" si="53"/>
        <v/>
      </c>
      <c r="BR45" s="127" t="str">
        <f t="shared" si="53"/>
        <v/>
      </c>
      <c r="BS45" s="127" t="str">
        <f t="shared" si="53"/>
        <v/>
      </c>
      <c r="BT45" s="127" t="str">
        <f t="shared" si="53"/>
        <v/>
      </c>
      <c r="BU45" s="127" t="str">
        <f t="shared" si="53"/>
        <v/>
      </c>
      <c r="BV45" s="127" t="str">
        <f t="shared" si="53"/>
        <v/>
      </c>
      <c r="BW45" s="127" t="str">
        <f t="shared" si="53"/>
        <v/>
      </c>
      <c r="BX45" s="127" t="str">
        <f t="shared" si="53"/>
        <v/>
      </c>
      <c r="BY45" s="127" t="str">
        <f t="shared" si="53"/>
        <v/>
      </c>
      <c r="BZ45" s="127" t="str">
        <f t="shared" si="53"/>
        <v/>
      </c>
      <c r="CA45" s="127" t="str">
        <f t="shared" si="53"/>
        <v/>
      </c>
      <c r="CB45" s="127" t="str">
        <f t="shared" si="53"/>
        <v/>
      </c>
      <c r="CC45" s="127" t="str">
        <f t="shared" si="53"/>
        <v/>
      </c>
      <c r="CD45" s="127" t="str">
        <f t="shared" si="53"/>
        <v/>
      </c>
    </row>
    <row r="46" spans="1:82" ht="12" customHeight="1" x14ac:dyDescent="0.2">
      <c r="A46" s="106">
        <f>SHIPMENTS!A52</f>
        <v>9153</v>
      </c>
      <c r="B46" s="106" t="str">
        <f>SHIPMENTS!B52</f>
        <v>9600-NEW ZEALAND</v>
      </c>
      <c r="C46" s="132">
        <f>SHIPMENTS!F52</f>
        <v>0</v>
      </c>
      <c r="D46" s="107" t="str">
        <f>IF((SHIPMENTS!I52)=0,"",SHIPMENTS!I52)</f>
        <v/>
      </c>
      <c r="E46" s="176" t="str">
        <f>IF((SHIPMENTS!G52)=0,"",SHIPMENTS!G52)</f>
        <v>TBA</v>
      </c>
      <c r="F46" s="98">
        <f>VLOOKUP(A46,load!$A$4:$U$5001,18,0)</f>
        <v>0</v>
      </c>
      <c r="G46" s="109">
        <f>Manhours!$C$15</f>
        <v>5</v>
      </c>
      <c r="H46" s="98">
        <f t="shared" ref="H46:H52" si="56">+G46*$H$4</f>
        <v>45.5</v>
      </c>
      <c r="I46" s="99">
        <f t="shared" ref="I46:I52" si="57">F46/H46</f>
        <v>0</v>
      </c>
      <c r="J46" s="99">
        <f t="shared" ref="J46:J52" si="58">+I46*$H$4</f>
        <v>0</v>
      </c>
      <c r="K46" s="98">
        <f t="shared" ref="K46:K52" si="59">IFERROR(I46-(I46*O46),0)</f>
        <v>0</v>
      </c>
      <c r="L46" s="98">
        <f t="shared" ref="L46:L52" si="60">IFERROR(J46-(J46*O46),0)</f>
        <v>0</v>
      </c>
      <c r="M46" s="181">
        <f t="shared" ref="M46:M52" si="61">N45</f>
        <v>46314.300455128207</v>
      </c>
      <c r="N46" s="181">
        <f t="shared" ref="N46:N52" si="62">M46+K46</f>
        <v>46314.300455128207</v>
      </c>
      <c r="O46" s="112">
        <f>VLOOKUP(A46,SHIPMENTS!$A$7:$AP$76,11,0)</f>
        <v>0</v>
      </c>
      <c r="P46" s="101"/>
      <c r="Q46" s="127" t="str">
        <f t="shared" si="55"/>
        <v/>
      </c>
      <c r="R46" s="127" t="str">
        <f t="shared" si="55"/>
        <v/>
      </c>
      <c r="S46" s="127" t="str">
        <f t="shared" si="55"/>
        <v/>
      </c>
      <c r="T46" s="127" t="str">
        <f t="shared" si="55"/>
        <v/>
      </c>
      <c r="U46" s="127" t="str">
        <f t="shared" si="55"/>
        <v/>
      </c>
      <c r="V46" s="127" t="str">
        <f t="shared" si="55"/>
        <v/>
      </c>
      <c r="W46" s="127" t="str">
        <f t="shared" si="55"/>
        <v/>
      </c>
      <c r="X46" s="127" t="str">
        <f t="shared" si="55"/>
        <v/>
      </c>
      <c r="Y46" s="127" t="str">
        <f t="shared" si="55"/>
        <v/>
      </c>
      <c r="Z46" s="127" t="str">
        <f t="shared" si="55"/>
        <v/>
      </c>
      <c r="AA46" s="127" t="str">
        <f t="shared" si="55"/>
        <v/>
      </c>
      <c r="AB46" s="127" t="str">
        <f t="shared" si="55"/>
        <v/>
      </c>
      <c r="AC46" s="127" t="str">
        <f t="shared" si="55"/>
        <v/>
      </c>
      <c r="AD46" s="127" t="str">
        <f t="shared" si="55"/>
        <v/>
      </c>
      <c r="AE46" s="127" t="str">
        <f t="shared" si="55"/>
        <v/>
      </c>
      <c r="AF46" s="127" t="str">
        <f t="shared" si="55"/>
        <v/>
      </c>
      <c r="AG46" s="127" t="str">
        <f t="shared" si="52"/>
        <v/>
      </c>
      <c r="AH46" s="127" t="str">
        <f t="shared" si="52"/>
        <v/>
      </c>
      <c r="AI46" s="127" t="str">
        <f t="shared" si="52"/>
        <v/>
      </c>
      <c r="AJ46" s="127" t="str">
        <f t="shared" si="52"/>
        <v/>
      </c>
      <c r="AK46" s="127" t="str">
        <f t="shared" si="52"/>
        <v/>
      </c>
      <c r="AL46" s="127" t="str">
        <f t="shared" si="52"/>
        <v/>
      </c>
      <c r="AM46" s="127" t="str">
        <f t="shared" si="52"/>
        <v/>
      </c>
      <c r="AN46" s="127" t="str">
        <f t="shared" si="52"/>
        <v/>
      </c>
      <c r="AO46" s="127" t="str">
        <f t="shared" si="52"/>
        <v/>
      </c>
      <c r="AP46" s="127" t="str">
        <f t="shared" si="52"/>
        <v/>
      </c>
      <c r="AQ46" s="127" t="str">
        <f t="shared" si="52"/>
        <v/>
      </c>
      <c r="AR46" s="127" t="str">
        <f t="shared" si="52"/>
        <v/>
      </c>
      <c r="AS46" s="127" t="str">
        <f t="shared" si="52"/>
        <v/>
      </c>
      <c r="AT46" s="127" t="str">
        <f t="shared" si="52"/>
        <v/>
      </c>
      <c r="AU46" s="127" t="str">
        <f t="shared" si="52"/>
        <v/>
      </c>
      <c r="AV46" s="127" t="str">
        <f t="shared" si="52"/>
        <v/>
      </c>
      <c r="AW46" s="127" t="str">
        <f t="shared" si="50"/>
        <v/>
      </c>
      <c r="AX46" s="127" t="str">
        <f t="shared" si="50"/>
        <v/>
      </c>
      <c r="AY46" s="127" t="str">
        <f t="shared" si="50"/>
        <v/>
      </c>
      <c r="AZ46" s="127" t="str">
        <f t="shared" si="50"/>
        <v/>
      </c>
      <c r="BA46" s="127" t="str">
        <f t="shared" si="51"/>
        <v/>
      </c>
      <c r="BB46" s="127" t="str">
        <f t="shared" si="51"/>
        <v/>
      </c>
      <c r="BC46" s="127" t="str">
        <f t="shared" si="51"/>
        <v/>
      </c>
      <c r="BD46" s="127" t="str">
        <f t="shared" si="51"/>
        <v/>
      </c>
      <c r="BE46" s="127" t="str">
        <f t="shared" si="51"/>
        <v/>
      </c>
      <c r="BF46" s="127" t="str">
        <f t="shared" si="51"/>
        <v/>
      </c>
      <c r="BG46" s="127" t="str">
        <f t="shared" si="51"/>
        <v/>
      </c>
      <c r="BH46" s="127" t="str">
        <f t="shared" si="51"/>
        <v/>
      </c>
      <c r="BI46" s="127" t="str">
        <f t="shared" si="51"/>
        <v/>
      </c>
      <c r="BJ46" s="127" t="str">
        <f t="shared" si="51"/>
        <v/>
      </c>
      <c r="BK46" s="127" t="str">
        <f t="shared" si="51"/>
        <v/>
      </c>
      <c r="BL46" s="127" t="str">
        <f t="shared" si="51"/>
        <v/>
      </c>
      <c r="BM46" s="127" t="str">
        <f t="shared" si="51"/>
        <v/>
      </c>
      <c r="BN46" s="127" t="str">
        <f t="shared" si="51"/>
        <v/>
      </c>
      <c r="BO46" s="127" t="str">
        <f t="shared" si="51"/>
        <v/>
      </c>
      <c r="BP46" s="127" t="str">
        <f t="shared" si="51"/>
        <v/>
      </c>
      <c r="BQ46" s="127" t="str">
        <f t="shared" si="53"/>
        <v/>
      </c>
      <c r="BR46" s="127" t="str">
        <f t="shared" si="53"/>
        <v/>
      </c>
      <c r="BS46" s="127" t="str">
        <f t="shared" si="53"/>
        <v/>
      </c>
      <c r="BT46" s="127" t="str">
        <f t="shared" si="53"/>
        <v/>
      </c>
      <c r="BU46" s="127" t="str">
        <f t="shared" si="53"/>
        <v/>
      </c>
      <c r="BV46" s="127" t="str">
        <f t="shared" si="53"/>
        <v/>
      </c>
      <c r="BW46" s="127" t="str">
        <f t="shared" si="53"/>
        <v/>
      </c>
      <c r="BX46" s="127" t="str">
        <f t="shared" si="53"/>
        <v/>
      </c>
      <c r="BY46" s="127" t="str">
        <f t="shared" si="53"/>
        <v/>
      </c>
      <c r="BZ46" s="127" t="str">
        <f t="shared" si="53"/>
        <v/>
      </c>
      <c r="CA46" s="127" t="str">
        <f t="shared" si="53"/>
        <v/>
      </c>
      <c r="CB46" s="127" t="str">
        <f t="shared" si="53"/>
        <v/>
      </c>
      <c r="CC46" s="127" t="str">
        <f t="shared" si="53"/>
        <v/>
      </c>
      <c r="CD46" s="127" t="str">
        <f t="shared" si="53"/>
        <v/>
      </c>
    </row>
    <row r="47" spans="1:82" ht="12" hidden="1" customHeight="1" x14ac:dyDescent="0.2">
      <c r="A47" s="106">
        <f>SHIPMENTS!A53</f>
        <v>8294</v>
      </c>
      <c r="B47" s="106" t="str">
        <f>SHIPMENTS!B53</f>
        <v>9600-NEW ZEALAND BACKLOG</v>
      </c>
      <c r="C47" s="132">
        <f>SHIPMENTS!F53</f>
        <v>0</v>
      </c>
      <c r="D47" s="107" t="str">
        <f>IF((SHIPMENTS!I53)=0,"",SHIPMENTS!I53)</f>
        <v/>
      </c>
      <c r="E47" s="176" t="str">
        <f>IF((SHIPMENTS!G53)=0,"",SHIPMENTS!G53)</f>
        <v>TBA</v>
      </c>
      <c r="F47" s="98">
        <f>VLOOKUP(A47,load!$A$4:$U$5001,18,0)</f>
        <v>0</v>
      </c>
      <c r="G47" s="109">
        <f>Manhours!$C$15</f>
        <v>5</v>
      </c>
      <c r="H47" s="98">
        <f t="shared" si="56"/>
        <v>45.5</v>
      </c>
      <c r="I47" s="99">
        <f t="shared" si="57"/>
        <v>0</v>
      </c>
      <c r="J47" s="99">
        <f t="shared" si="58"/>
        <v>0</v>
      </c>
      <c r="K47" s="98">
        <f t="shared" si="59"/>
        <v>0</v>
      </c>
      <c r="L47" s="98">
        <f t="shared" si="60"/>
        <v>0</v>
      </c>
      <c r="M47" s="181">
        <f t="shared" si="61"/>
        <v>46314.300455128207</v>
      </c>
      <c r="N47" s="181">
        <f t="shared" si="62"/>
        <v>46314.300455128207</v>
      </c>
      <c r="O47" s="112" t="str">
        <f>VLOOKUP(A47,SHIPMENTS!$A$7:$AP$76,11,0)</f>
        <v>n/a</v>
      </c>
      <c r="P47" s="101"/>
      <c r="Q47" s="127" t="str">
        <f t="shared" si="55"/>
        <v/>
      </c>
      <c r="R47" s="127" t="str">
        <f t="shared" si="55"/>
        <v/>
      </c>
      <c r="S47" s="127" t="str">
        <f t="shared" si="55"/>
        <v/>
      </c>
      <c r="T47" s="127" t="str">
        <f t="shared" si="55"/>
        <v/>
      </c>
      <c r="U47" s="127" t="str">
        <f t="shared" si="55"/>
        <v/>
      </c>
      <c r="V47" s="127" t="str">
        <f t="shared" si="55"/>
        <v/>
      </c>
      <c r="W47" s="127" t="str">
        <f t="shared" si="55"/>
        <v/>
      </c>
      <c r="X47" s="127" t="str">
        <f t="shared" si="55"/>
        <v/>
      </c>
      <c r="Y47" s="127" t="str">
        <f t="shared" si="55"/>
        <v/>
      </c>
      <c r="Z47" s="127" t="str">
        <f t="shared" si="55"/>
        <v/>
      </c>
      <c r="AA47" s="127" t="str">
        <f t="shared" si="55"/>
        <v/>
      </c>
      <c r="AB47" s="127" t="str">
        <f t="shared" si="55"/>
        <v/>
      </c>
      <c r="AC47" s="127" t="str">
        <f t="shared" si="55"/>
        <v/>
      </c>
      <c r="AD47" s="127" t="str">
        <f t="shared" si="55"/>
        <v/>
      </c>
      <c r="AE47" s="127" t="str">
        <f t="shared" si="55"/>
        <v/>
      </c>
      <c r="AF47" s="127" t="str">
        <f t="shared" si="55"/>
        <v/>
      </c>
      <c r="AG47" s="127" t="str">
        <f t="shared" si="52"/>
        <v/>
      </c>
      <c r="AH47" s="127" t="str">
        <f t="shared" si="52"/>
        <v/>
      </c>
      <c r="AI47" s="127" t="str">
        <f t="shared" si="52"/>
        <v/>
      </c>
      <c r="AJ47" s="127" t="str">
        <f t="shared" si="52"/>
        <v/>
      </c>
      <c r="AK47" s="127" t="str">
        <f t="shared" si="52"/>
        <v/>
      </c>
      <c r="AL47" s="127" t="str">
        <f t="shared" si="52"/>
        <v/>
      </c>
      <c r="AM47" s="127" t="str">
        <f t="shared" si="52"/>
        <v/>
      </c>
      <c r="AN47" s="127" t="str">
        <f t="shared" si="52"/>
        <v/>
      </c>
      <c r="AO47" s="127" t="str">
        <f t="shared" si="52"/>
        <v/>
      </c>
      <c r="AP47" s="127" t="str">
        <f t="shared" si="52"/>
        <v/>
      </c>
      <c r="AQ47" s="127" t="str">
        <f t="shared" si="52"/>
        <v/>
      </c>
      <c r="AR47" s="127" t="str">
        <f t="shared" si="52"/>
        <v/>
      </c>
      <c r="AS47" s="127" t="str">
        <f t="shared" si="52"/>
        <v/>
      </c>
      <c r="AT47" s="127" t="str">
        <f t="shared" si="52"/>
        <v/>
      </c>
      <c r="AU47" s="127" t="str">
        <f t="shared" si="52"/>
        <v/>
      </c>
      <c r="AV47" s="127" t="str">
        <f t="shared" si="52"/>
        <v/>
      </c>
      <c r="AW47" s="127" t="str">
        <f t="shared" si="50"/>
        <v/>
      </c>
      <c r="AX47" s="127" t="str">
        <f t="shared" si="50"/>
        <v/>
      </c>
      <c r="AY47" s="127" t="str">
        <f t="shared" si="50"/>
        <v/>
      </c>
      <c r="AZ47" s="127" t="str">
        <f t="shared" si="50"/>
        <v/>
      </c>
      <c r="BA47" s="127" t="str">
        <f t="shared" si="51"/>
        <v/>
      </c>
      <c r="BB47" s="127" t="str">
        <f t="shared" si="51"/>
        <v/>
      </c>
      <c r="BC47" s="127" t="str">
        <f t="shared" si="51"/>
        <v/>
      </c>
      <c r="BD47" s="127" t="str">
        <f t="shared" si="51"/>
        <v/>
      </c>
      <c r="BE47" s="127" t="str">
        <f t="shared" si="51"/>
        <v/>
      </c>
      <c r="BF47" s="127" t="str">
        <f t="shared" si="51"/>
        <v/>
      </c>
      <c r="BG47" s="127" t="str">
        <f t="shared" si="51"/>
        <v/>
      </c>
      <c r="BH47" s="127" t="str">
        <f t="shared" si="51"/>
        <v/>
      </c>
      <c r="BI47" s="127" t="str">
        <f t="shared" si="51"/>
        <v/>
      </c>
      <c r="BJ47" s="127" t="str">
        <f t="shared" si="51"/>
        <v/>
      </c>
      <c r="BK47" s="127" t="str">
        <f t="shared" si="51"/>
        <v/>
      </c>
      <c r="BL47" s="127" t="str">
        <f t="shared" si="51"/>
        <v/>
      </c>
      <c r="BM47" s="127" t="str">
        <f t="shared" si="51"/>
        <v/>
      </c>
      <c r="BN47" s="127" t="str">
        <f t="shared" si="51"/>
        <v/>
      </c>
      <c r="BO47" s="127" t="str">
        <f t="shared" si="51"/>
        <v/>
      </c>
      <c r="BP47" s="127" t="str">
        <f t="shared" si="51"/>
        <v/>
      </c>
      <c r="BQ47" s="127" t="str">
        <f t="shared" si="53"/>
        <v/>
      </c>
      <c r="BR47" s="127" t="str">
        <f t="shared" si="53"/>
        <v/>
      </c>
      <c r="BS47" s="127" t="str">
        <f t="shared" si="53"/>
        <v/>
      </c>
      <c r="BT47" s="127" t="str">
        <f t="shared" si="53"/>
        <v/>
      </c>
      <c r="BU47" s="127" t="str">
        <f t="shared" si="53"/>
        <v/>
      </c>
      <c r="BV47" s="127" t="str">
        <f t="shared" si="53"/>
        <v/>
      </c>
      <c r="BW47" s="127" t="str">
        <f t="shared" si="53"/>
        <v/>
      </c>
      <c r="BX47" s="127" t="str">
        <f t="shared" si="53"/>
        <v/>
      </c>
      <c r="BY47" s="127" t="str">
        <f t="shared" si="53"/>
        <v/>
      </c>
      <c r="BZ47" s="127" t="str">
        <f t="shared" si="53"/>
        <v/>
      </c>
      <c r="CA47" s="127" t="str">
        <f t="shared" si="53"/>
        <v/>
      </c>
      <c r="CB47" s="127" t="str">
        <f t="shared" si="53"/>
        <v/>
      </c>
      <c r="CC47" s="127" t="str">
        <f t="shared" si="53"/>
        <v/>
      </c>
      <c r="CD47" s="127" t="str">
        <f t="shared" si="53"/>
        <v/>
      </c>
    </row>
    <row r="48" spans="1:82" ht="12" hidden="1" customHeight="1" x14ac:dyDescent="0.2">
      <c r="A48" s="106">
        <f>SHIPMENTS!A54</f>
        <v>7114</v>
      </c>
      <c r="B48" s="106" t="str">
        <f>SHIPMENTS!B54</f>
        <v>9600-NEW ZEALAND BACKLOG</v>
      </c>
      <c r="C48" s="132">
        <f>SHIPMENTS!F54</f>
        <v>0</v>
      </c>
      <c r="D48" s="107" t="str">
        <f>IF((SHIPMENTS!I54)=0,"",SHIPMENTS!I54)</f>
        <v/>
      </c>
      <c r="E48" s="176" t="str">
        <f>IF((SHIPMENTS!G54)=0,"",SHIPMENTS!G54)</f>
        <v/>
      </c>
      <c r="F48" s="98">
        <f>VLOOKUP(A48,load!$A$4:$U$5001,18,0)</f>
        <v>0</v>
      </c>
      <c r="G48" s="109">
        <f>Manhours!$C$15</f>
        <v>5</v>
      </c>
      <c r="H48" s="98">
        <f t="shared" si="56"/>
        <v>45.5</v>
      </c>
      <c r="I48" s="99">
        <f t="shared" si="57"/>
        <v>0</v>
      </c>
      <c r="J48" s="99">
        <f t="shared" si="58"/>
        <v>0</v>
      </c>
      <c r="K48" s="98">
        <f t="shared" si="59"/>
        <v>0</v>
      </c>
      <c r="L48" s="98">
        <f t="shared" si="60"/>
        <v>0</v>
      </c>
      <c r="M48" s="181">
        <f t="shared" si="61"/>
        <v>46314.300455128207</v>
      </c>
      <c r="N48" s="181">
        <f t="shared" si="62"/>
        <v>46314.300455128207</v>
      </c>
      <c r="O48" s="112" t="str">
        <f>VLOOKUP(A48,SHIPMENTS!$A$7:$AP$76,11,0)</f>
        <v>n/a</v>
      </c>
      <c r="P48" s="101"/>
      <c r="Q48" s="127" t="str">
        <f t="shared" si="55"/>
        <v/>
      </c>
      <c r="R48" s="127" t="str">
        <f t="shared" si="55"/>
        <v/>
      </c>
      <c r="S48" s="127" t="str">
        <f t="shared" si="55"/>
        <v/>
      </c>
      <c r="T48" s="127" t="str">
        <f t="shared" si="55"/>
        <v/>
      </c>
      <c r="U48" s="127" t="str">
        <f t="shared" si="55"/>
        <v/>
      </c>
      <c r="V48" s="127" t="str">
        <f t="shared" si="55"/>
        <v/>
      </c>
      <c r="W48" s="127" t="str">
        <f t="shared" si="55"/>
        <v/>
      </c>
      <c r="X48" s="127" t="str">
        <f t="shared" si="55"/>
        <v/>
      </c>
      <c r="Y48" s="127" t="str">
        <f t="shared" si="55"/>
        <v/>
      </c>
      <c r="Z48" s="127" t="str">
        <f t="shared" si="55"/>
        <v/>
      </c>
      <c r="AA48" s="127" t="str">
        <f t="shared" si="55"/>
        <v/>
      </c>
      <c r="AB48" s="127" t="str">
        <f t="shared" si="55"/>
        <v/>
      </c>
      <c r="AC48" s="127" t="str">
        <f t="shared" si="55"/>
        <v/>
      </c>
      <c r="AD48" s="127" t="str">
        <f t="shared" si="55"/>
        <v/>
      </c>
      <c r="AE48" s="127" t="str">
        <f t="shared" si="55"/>
        <v/>
      </c>
      <c r="AF48" s="127" t="str">
        <f t="shared" si="55"/>
        <v/>
      </c>
      <c r="AG48" s="127" t="str">
        <f t="shared" si="52"/>
        <v/>
      </c>
      <c r="AH48" s="127" t="str">
        <f t="shared" si="52"/>
        <v/>
      </c>
      <c r="AI48" s="127" t="str">
        <f t="shared" si="52"/>
        <v/>
      </c>
      <c r="AJ48" s="127" t="str">
        <f t="shared" si="52"/>
        <v/>
      </c>
      <c r="AK48" s="127" t="str">
        <f t="shared" si="52"/>
        <v/>
      </c>
      <c r="AL48" s="127" t="str">
        <f t="shared" si="52"/>
        <v/>
      </c>
      <c r="AM48" s="127" t="str">
        <f t="shared" si="52"/>
        <v/>
      </c>
      <c r="AN48" s="127" t="str">
        <f t="shared" si="52"/>
        <v/>
      </c>
      <c r="AO48" s="127" t="str">
        <f t="shared" si="52"/>
        <v/>
      </c>
      <c r="AP48" s="127" t="str">
        <f t="shared" si="52"/>
        <v/>
      </c>
      <c r="AQ48" s="127" t="str">
        <f t="shared" si="52"/>
        <v/>
      </c>
      <c r="AR48" s="127" t="str">
        <f t="shared" si="52"/>
        <v/>
      </c>
      <c r="AS48" s="127" t="str">
        <f t="shared" si="52"/>
        <v/>
      </c>
      <c r="AT48" s="127" t="str">
        <f t="shared" si="52"/>
        <v/>
      </c>
      <c r="AU48" s="127" t="str">
        <f t="shared" si="52"/>
        <v/>
      </c>
      <c r="AV48" s="127" t="str">
        <f t="shared" si="52"/>
        <v/>
      </c>
      <c r="AW48" s="127" t="str">
        <f t="shared" si="50"/>
        <v/>
      </c>
      <c r="AX48" s="127" t="str">
        <f t="shared" si="50"/>
        <v/>
      </c>
      <c r="AY48" s="127" t="str">
        <f t="shared" si="50"/>
        <v/>
      </c>
      <c r="AZ48" s="127" t="str">
        <f t="shared" si="50"/>
        <v/>
      </c>
      <c r="BA48" s="127" t="str">
        <f t="shared" si="51"/>
        <v/>
      </c>
      <c r="BB48" s="127" t="str">
        <f t="shared" si="51"/>
        <v/>
      </c>
      <c r="BC48" s="127" t="str">
        <f t="shared" si="51"/>
        <v/>
      </c>
      <c r="BD48" s="127" t="str">
        <f t="shared" si="51"/>
        <v/>
      </c>
      <c r="BE48" s="127" t="str">
        <f t="shared" si="51"/>
        <v/>
      </c>
      <c r="BF48" s="127" t="str">
        <f t="shared" si="51"/>
        <v/>
      </c>
      <c r="BG48" s="127" t="str">
        <f t="shared" si="51"/>
        <v/>
      </c>
      <c r="BH48" s="127" t="str">
        <f t="shared" si="51"/>
        <v/>
      </c>
      <c r="BI48" s="127" t="str">
        <f t="shared" si="51"/>
        <v/>
      </c>
      <c r="BJ48" s="127" t="str">
        <f t="shared" si="51"/>
        <v/>
      </c>
      <c r="BK48" s="127" t="str">
        <f t="shared" si="51"/>
        <v/>
      </c>
      <c r="BL48" s="127" t="str">
        <f t="shared" si="51"/>
        <v/>
      </c>
      <c r="BM48" s="127" t="str">
        <f t="shared" si="51"/>
        <v/>
      </c>
      <c r="BN48" s="127" t="str">
        <f t="shared" si="51"/>
        <v/>
      </c>
      <c r="BO48" s="127" t="str">
        <f t="shared" si="51"/>
        <v/>
      </c>
      <c r="BP48" s="127" t="str">
        <f t="shared" si="51"/>
        <v/>
      </c>
      <c r="BQ48" s="127" t="str">
        <f t="shared" si="53"/>
        <v/>
      </c>
      <c r="BR48" s="127" t="str">
        <f t="shared" si="53"/>
        <v/>
      </c>
      <c r="BS48" s="127" t="str">
        <f t="shared" si="53"/>
        <v/>
      </c>
      <c r="BT48" s="127" t="str">
        <f t="shared" si="53"/>
        <v/>
      </c>
      <c r="BU48" s="127" t="str">
        <f t="shared" si="53"/>
        <v/>
      </c>
      <c r="BV48" s="127" t="str">
        <f t="shared" si="53"/>
        <v/>
      </c>
      <c r="BW48" s="127" t="str">
        <f t="shared" si="53"/>
        <v/>
      </c>
      <c r="BX48" s="127" t="str">
        <f t="shared" si="53"/>
        <v/>
      </c>
      <c r="BY48" s="127" t="str">
        <f t="shared" si="53"/>
        <v/>
      </c>
      <c r="BZ48" s="127" t="str">
        <f t="shared" si="53"/>
        <v/>
      </c>
      <c r="CA48" s="127" t="str">
        <f t="shared" si="53"/>
        <v/>
      </c>
      <c r="CB48" s="127" t="str">
        <f t="shared" si="53"/>
        <v/>
      </c>
      <c r="CC48" s="127" t="str">
        <f t="shared" si="53"/>
        <v/>
      </c>
      <c r="CD48" s="127" t="str">
        <f t="shared" si="53"/>
        <v/>
      </c>
    </row>
    <row r="49" spans="1:82" ht="12" hidden="1" customHeight="1" x14ac:dyDescent="0.2">
      <c r="A49" s="106">
        <f>SHIPMENTS!A55</f>
        <v>6967</v>
      </c>
      <c r="B49" s="106" t="str">
        <f>SHIPMENTS!B55</f>
        <v>9600-NEW ZEALAND BACKLOG</v>
      </c>
      <c r="C49" s="132">
        <f>SHIPMENTS!F55</f>
        <v>0</v>
      </c>
      <c r="D49" s="107" t="str">
        <f>IF((SHIPMENTS!I55)=0,"",SHIPMENTS!I55)</f>
        <v/>
      </c>
      <c r="E49" s="176" t="str">
        <f>IF((SHIPMENTS!G55)=0,"",SHIPMENTS!G55)</f>
        <v/>
      </c>
      <c r="F49" s="98">
        <f>VLOOKUP(A49,load!$A$4:$U$5001,18,0)</f>
        <v>0</v>
      </c>
      <c r="G49" s="109">
        <f>Manhours!$C$15</f>
        <v>5</v>
      </c>
      <c r="H49" s="98">
        <f t="shared" si="56"/>
        <v>45.5</v>
      </c>
      <c r="I49" s="99">
        <f t="shared" si="57"/>
        <v>0</v>
      </c>
      <c r="J49" s="99">
        <f t="shared" si="58"/>
        <v>0</v>
      </c>
      <c r="K49" s="98">
        <f t="shared" si="59"/>
        <v>0</v>
      </c>
      <c r="L49" s="98">
        <f t="shared" si="60"/>
        <v>0</v>
      </c>
      <c r="M49" s="181">
        <f t="shared" si="61"/>
        <v>46314.300455128207</v>
      </c>
      <c r="N49" s="181">
        <f t="shared" si="62"/>
        <v>46314.300455128207</v>
      </c>
      <c r="O49" s="112" t="str">
        <f>VLOOKUP(A49,SHIPMENTS!$A$7:$AP$76,11,0)</f>
        <v>n/a</v>
      </c>
      <c r="P49" s="101"/>
      <c r="Q49" s="127" t="str">
        <f t="shared" si="55"/>
        <v/>
      </c>
      <c r="R49" s="127" t="str">
        <f t="shared" si="55"/>
        <v/>
      </c>
      <c r="S49" s="127" t="str">
        <f t="shared" si="55"/>
        <v/>
      </c>
      <c r="T49" s="127" t="str">
        <f t="shared" si="55"/>
        <v/>
      </c>
      <c r="U49" s="127" t="str">
        <f t="shared" si="55"/>
        <v/>
      </c>
      <c r="V49" s="127" t="str">
        <f t="shared" si="55"/>
        <v/>
      </c>
      <c r="W49" s="127" t="str">
        <f t="shared" si="55"/>
        <v/>
      </c>
      <c r="X49" s="127" t="str">
        <f t="shared" si="55"/>
        <v/>
      </c>
      <c r="Y49" s="127" t="str">
        <f t="shared" si="55"/>
        <v/>
      </c>
      <c r="Z49" s="127" t="str">
        <f t="shared" si="55"/>
        <v/>
      </c>
      <c r="AA49" s="127" t="str">
        <f t="shared" si="55"/>
        <v/>
      </c>
      <c r="AB49" s="127" t="str">
        <f t="shared" si="55"/>
        <v/>
      </c>
      <c r="AC49" s="127" t="str">
        <f t="shared" si="55"/>
        <v/>
      </c>
      <c r="AD49" s="127" t="str">
        <f t="shared" si="55"/>
        <v/>
      </c>
      <c r="AE49" s="127" t="str">
        <f t="shared" si="55"/>
        <v/>
      </c>
      <c r="AF49" s="127" t="str">
        <f t="shared" si="55"/>
        <v/>
      </c>
      <c r="AG49" s="127" t="str">
        <f t="shared" si="52"/>
        <v/>
      </c>
      <c r="AH49" s="127" t="str">
        <f t="shared" si="52"/>
        <v/>
      </c>
      <c r="AI49" s="127" t="str">
        <f t="shared" si="52"/>
        <v/>
      </c>
      <c r="AJ49" s="127" t="str">
        <f t="shared" si="52"/>
        <v/>
      </c>
      <c r="AK49" s="127" t="str">
        <f t="shared" si="52"/>
        <v/>
      </c>
      <c r="AL49" s="127" t="str">
        <f t="shared" si="52"/>
        <v/>
      </c>
      <c r="AM49" s="127" t="str">
        <f t="shared" si="52"/>
        <v/>
      </c>
      <c r="AN49" s="127" t="str">
        <f t="shared" si="52"/>
        <v/>
      </c>
      <c r="AO49" s="127" t="str">
        <f t="shared" si="52"/>
        <v/>
      </c>
      <c r="AP49" s="127" t="str">
        <f t="shared" si="52"/>
        <v/>
      </c>
      <c r="AQ49" s="127" t="str">
        <f t="shared" si="52"/>
        <v/>
      </c>
      <c r="AR49" s="127" t="str">
        <f t="shared" si="52"/>
        <v/>
      </c>
      <c r="AS49" s="127" t="str">
        <f t="shared" si="52"/>
        <v/>
      </c>
      <c r="AT49" s="127" t="str">
        <f t="shared" si="52"/>
        <v/>
      </c>
      <c r="AU49" s="127" t="str">
        <f t="shared" si="52"/>
        <v/>
      </c>
      <c r="AV49" s="127" t="str">
        <f t="shared" ref="AV49:BP53" si="63">IF($E49=AV$3,"▲","")</f>
        <v/>
      </c>
      <c r="AW49" s="127" t="str">
        <f t="shared" si="63"/>
        <v/>
      </c>
      <c r="AX49" s="127" t="str">
        <f t="shared" si="63"/>
        <v/>
      </c>
      <c r="AY49" s="127" t="str">
        <f t="shared" si="63"/>
        <v/>
      </c>
      <c r="AZ49" s="127" t="str">
        <f t="shared" si="63"/>
        <v/>
      </c>
      <c r="BA49" s="127" t="str">
        <f t="shared" si="63"/>
        <v/>
      </c>
      <c r="BB49" s="127" t="str">
        <f t="shared" si="63"/>
        <v/>
      </c>
      <c r="BC49" s="127" t="str">
        <f t="shared" si="63"/>
        <v/>
      </c>
      <c r="BD49" s="127" t="str">
        <f t="shared" si="63"/>
        <v/>
      </c>
      <c r="BE49" s="127" t="str">
        <f t="shared" si="63"/>
        <v/>
      </c>
      <c r="BF49" s="127" t="str">
        <f t="shared" si="63"/>
        <v/>
      </c>
      <c r="BG49" s="127" t="str">
        <f t="shared" si="63"/>
        <v/>
      </c>
      <c r="BH49" s="127" t="str">
        <f t="shared" si="63"/>
        <v/>
      </c>
      <c r="BI49" s="127" t="str">
        <f t="shared" si="63"/>
        <v/>
      </c>
      <c r="BJ49" s="127" t="str">
        <f t="shared" si="63"/>
        <v/>
      </c>
      <c r="BK49" s="127" t="str">
        <f t="shared" si="63"/>
        <v/>
      </c>
      <c r="BL49" s="127" t="str">
        <f t="shared" si="63"/>
        <v/>
      </c>
      <c r="BM49" s="127" t="str">
        <f t="shared" si="63"/>
        <v/>
      </c>
      <c r="BN49" s="127" t="str">
        <f t="shared" si="63"/>
        <v/>
      </c>
      <c r="BO49" s="127" t="str">
        <f t="shared" si="63"/>
        <v/>
      </c>
      <c r="BP49" s="127" t="str">
        <f t="shared" si="63"/>
        <v/>
      </c>
      <c r="BQ49" s="127" t="str">
        <f t="shared" si="53"/>
        <v/>
      </c>
      <c r="BR49" s="127" t="str">
        <f t="shared" si="53"/>
        <v/>
      </c>
      <c r="BS49" s="127" t="str">
        <f t="shared" si="53"/>
        <v/>
      </c>
      <c r="BT49" s="127" t="str">
        <f t="shared" si="53"/>
        <v/>
      </c>
      <c r="BU49" s="127" t="str">
        <f t="shared" si="53"/>
        <v/>
      </c>
      <c r="BV49" s="127" t="str">
        <f t="shared" si="53"/>
        <v/>
      </c>
      <c r="BW49" s="127" t="str">
        <f t="shared" si="53"/>
        <v/>
      </c>
      <c r="BX49" s="127" t="str">
        <f t="shared" si="53"/>
        <v/>
      </c>
      <c r="BY49" s="127" t="str">
        <f t="shared" si="53"/>
        <v/>
      </c>
      <c r="BZ49" s="127" t="str">
        <f t="shared" si="53"/>
        <v/>
      </c>
      <c r="CA49" s="127" t="str">
        <f t="shared" si="53"/>
        <v/>
      </c>
      <c r="CB49" s="127" t="str">
        <f t="shared" si="53"/>
        <v/>
      </c>
      <c r="CC49" s="127" t="str">
        <f t="shared" si="53"/>
        <v/>
      </c>
      <c r="CD49" s="127" t="str">
        <f t="shared" si="53"/>
        <v/>
      </c>
    </row>
    <row r="50" spans="1:82" ht="12" hidden="1" customHeight="1" x14ac:dyDescent="0.2">
      <c r="A50" s="106">
        <f>SHIPMENTS!A56</f>
        <v>6646</v>
      </c>
      <c r="B50" s="106" t="str">
        <f>SHIPMENTS!B56</f>
        <v>9600-NEW ZEALAND BACKLOG</v>
      </c>
      <c r="C50" s="132">
        <f>SHIPMENTS!F56</f>
        <v>0</v>
      </c>
      <c r="D50" s="107" t="str">
        <f>IF((SHIPMENTS!I56)=0,"",SHIPMENTS!I56)</f>
        <v/>
      </c>
      <c r="E50" s="176" t="str">
        <f>IF((SHIPMENTS!G56)=0,"",SHIPMENTS!G56)</f>
        <v/>
      </c>
      <c r="F50" s="98">
        <f>VLOOKUP(A50,load!$A$4:$U$5001,18,0)</f>
        <v>0</v>
      </c>
      <c r="G50" s="109">
        <f>Manhours!$C$15</f>
        <v>5</v>
      </c>
      <c r="H50" s="98">
        <f t="shared" si="56"/>
        <v>45.5</v>
      </c>
      <c r="I50" s="99">
        <f t="shared" si="57"/>
        <v>0</v>
      </c>
      <c r="J50" s="99">
        <f t="shared" si="58"/>
        <v>0</v>
      </c>
      <c r="K50" s="98">
        <f t="shared" si="59"/>
        <v>0</v>
      </c>
      <c r="L50" s="98">
        <f t="shared" si="60"/>
        <v>0</v>
      </c>
      <c r="M50" s="181">
        <f t="shared" si="61"/>
        <v>46314.300455128207</v>
      </c>
      <c r="N50" s="181">
        <f t="shared" si="62"/>
        <v>46314.300455128207</v>
      </c>
      <c r="O50" s="112" t="str">
        <f>VLOOKUP(A50,SHIPMENTS!$A$7:$AP$76,11,0)</f>
        <v>n/a</v>
      </c>
      <c r="P50" s="101"/>
      <c r="Q50" s="127" t="str">
        <f t="shared" si="55"/>
        <v/>
      </c>
      <c r="R50" s="127" t="str">
        <f t="shared" si="55"/>
        <v/>
      </c>
      <c r="S50" s="127" t="str">
        <f t="shared" si="55"/>
        <v/>
      </c>
      <c r="T50" s="127" t="str">
        <f t="shared" si="55"/>
        <v/>
      </c>
      <c r="U50" s="127" t="str">
        <f t="shared" si="55"/>
        <v/>
      </c>
      <c r="V50" s="127" t="str">
        <f t="shared" si="55"/>
        <v/>
      </c>
      <c r="W50" s="127" t="str">
        <f t="shared" si="55"/>
        <v/>
      </c>
      <c r="X50" s="127" t="str">
        <f t="shared" si="55"/>
        <v/>
      </c>
      <c r="Y50" s="127" t="str">
        <f t="shared" si="55"/>
        <v/>
      </c>
      <c r="Z50" s="127" t="str">
        <f t="shared" si="55"/>
        <v/>
      </c>
      <c r="AA50" s="127" t="str">
        <f t="shared" si="55"/>
        <v/>
      </c>
      <c r="AB50" s="127" t="str">
        <f t="shared" si="55"/>
        <v/>
      </c>
      <c r="AC50" s="127" t="str">
        <f t="shared" si="55"/>
        <v/>
      </c>
      <c r="AD50" s="127" t="str">
        <f t="shared" si="55"/>
        <v/>
      </c>
      <c r="AE50" s="127" t="str">
        <f t="shared" si="55"/>
        <v/>
      </c>
      <c r="AF50" s="127" t="str">
        <f t="shared" si="55"/>
        <v/>
      </c>
      <c r="AG50" s="127" t="str">
        <f t="shared" ref="AG50:AV53" si="64">IF($E50=AG$3,"▲","")</f>
        <v/>
      </c>
      <c r="AH50" s="127" t="str">
        <f t="shared" si="64"/>
        <v/>
      </c>
      <c r="AI50" s="127" t="str">
        <f t="shared" si="64"/>
        <v/>
      </c>
      <c r="AJ50" s="127" t="str">
        <f t="shared" si="64"/>
        <v/>
      </c>
      <c r="AK50" s="127" t="str">
        <f t="shared" si="64"/>
        <v/>
      </c>
      <c r="AL50" s="127" t="str">
        <f t="shared" si="64"/>
        <v/>
      </c>
      <c r="AM50" s="127" t="str">
        <f t="shared" si="64"/>
        <v/>
      </c>
      <c r="AN50" s="127" t="str">
        <f t="shared" si="64"/>
        <v/>
      </c>
      <c r="AO50" s="127" t="str">
        <f t="shared" si="64"/>
        <v/>
      </c>
      <c r="AP50" s="127" t="str">
        <f t="shared" si="64"/>
        <v/>
      </c>
      <c r="AQ50" s="127" t="str">
        <f t="shared" si="64"/>
        <v/>
      </c>
      <c r="AR50" s="127" t="str">
        <f t="shared" si="64"/>
        <v/>
      </c>
      <c r="AS50" s="127" t="str">
        <f t="shared" si="64"/>
        <v/>
      </c>
      <c r="AT50" s="127" t="str">
        <f t="shared" si="64"/>
        <v/>
      </c>
      <c r="AU50" s="127" t="str">
        <f t="shared" si="64"/>
        <v/>
      </c>
      <c r="AV50" s="127" t="str">
        <f t="shared" si="64"/>
        <v/>
      </c>
      <c r="AW50" s="127" t="str">
        <f t="shared" si="50"/>
        <v/>
      </c>
      <c r="AX50" s="127" t="str">
        <f t="shared" si="50"/>
        <v/>
      </c>
      <c r="AY50" s="127" t="str">
        <f t="shared" si="50"/>
        <v/>
      </c>
      <c r="AZ50" s="127" t="str">
        <f t="shared" si="50"/>
        <v/>
      </c>
      <c r="BA50" s="127" t="str">
        <f t="shared" si="51"/>
        <v/>
      </c>
      <c r="BB50" s="127" t="str">
        <f t="shared" si="51"/>
        <v/>
      </c>
      <c r="BC50" s="127" t="str">
        <f t="shared" si="51"/>
        <v/>
      </c>
      <c r="BD50" s="127" t="str">
        <f t="shared" si="51"/>
        <v/>
      </c>
      <c r="BE50" s="127" t="str">
        <f t="shared" si="51"/>
        <v/>
      </c>
      <c r="BF50" s="127" t="str">
        <f t="shared" si="51"/>
        <v/>
      </c>
      <c r="BG50" s="127" t="str">
        <f t="shared" si="51"/>
        <v/>
      </c>
      <c r="BH50" s="127" t="str">
        <f t="shared" si="51"/>
        <v/>
      </c>
      <c r="BI50" s="127" t="str">
        <f t="shared" si="51"/>
        <v/>
      </c>
      <c r="BJ50" s="127" t="str">
        <f t="shared" si="51"/>
        <v/>
      </c>
      <c r="BK50" s="127" t="str">
        <f t="shared" si="63"/>
        <v/>
      </c>
      <c r="BL50" s="127" t="str">
        <f t="shared" si="63"/>
        <v/>
      </c>
      <c r="BM50" s="127" t="str">
        <f t="shared" si="63"/>
        <v/>
      </c>
      <c r="BN50" s="127" t="str">
        <f t="shared" si="63"/>
        <v/>
      </c>
      <c r="BO50" s="127" t="str">
        <f t="shared" si="63"/>
        <v/>
      </c>
      <c r="BP50" s="127" t="str">
        <f t="shared" si="63"/>
        <v/>
      </c>
      <c r="BQ50" s="127" t="str">
        <f t="shared" si="53"/>
        <v/>
      </c>
      <c r="BR50" s="127" t="str">
        <f t="shared" si="53"/>
        <v/>
      </c>
      <c r="BS50" s="127" t="str">
        <f t="shared" si="53"/>
        <v/>
      </c>
      <c r="BT50" s="127" t="str">
        <f t="shared" si="53"/>
        <v/>
      </c>
      <c r="BU50" s="127" t="str">
        <f t="shared" si="53"/>
        <v/>
      </c>
      <c r="BV50" s="127" t="str">
        <f t="shared" si="53"/>
        <v/>
      </c>
      <c r="BW50" s="127" t="str">
        <f t="shared" si="53"/>
        <v/>
      </c>
      <c r="BX50" s="127" t="str">
        <f t="shared" si="53"/>
        <v/>
      </c>
      <c r="BY50" s="127" t="str">
        <f t="shared" si="53"/>
        <v/>
      </c>
      <c r="BZ50" s="127" t="str">
        <f t="shared" si="53"/>
        <v/>
      </c>
      <c r="CA50" s="127" t="str">
        <f t="shared" si="53"/>
        <v/>
      </c>
      <c r="CB50" s="127" t="str">
        <f t="shared" si="53"/>
        <v/>
      </c>
      <c r="CC50" s="127" t="str">
        <f t="shared" si="53"/>
        <v/>
      </c>
      <c r="CD50" s="127" t="str">
        <f t="shared" si="53"/>
        <v/>
      </c>
    </row>
    <row r="51" spans="1:82" ht="12" hidden="1" customHeight="1" x14ac:dyDescent="0.2">
      <c r="A51" s="106">
        <f>SHIPMENTS!A57</f>
        <v>9122</v>
      </c>
      <c r="B51" s="106" t="str">
        <f>SHIPMENTS!B57</f>
        <v>19300-USA SUPERIOR SAUNA</v>
      </c>
      <c r="C51" s="132">
        <f>SHIPMENTS!F57</f>
        <v>69.539999999999992</v>
      </c>
      <c r="D51" s="107" t="str">
        <f>IF((SHIPMENTS!I57)=0,"",SHIPMENTS!I57)</f>
        <v>1x40HC</v>
      </c>
      <c r="E51" s="176" t="str">
        <f>IF((SHIPMENTS!G57)=0,"",SHIPMENTS!G57)</f>
        <v>TBA</v>
      </c>
      <c r="F51" s="98">
        <f>VLOOKUP(A51,load!$A$4:$U$5001,18,0)</f>
        <v>52.204166666666666</v>
      </c>
      <c r="G51" s="109">
        <f>Manhours!$C$15</f>
        <v>5</v>
      </c>
      <c r="H51" s="98">
        <f t="shared" si="56"/>
        <v>45.5</v>
      </c>
      <c r="I51" s="99">
        <f t="shared" si="57"/>
        <v>1.1473443223443223</v>
      </c>
      <c r="J51" s="99">
        <f t="shared" si="58"/>
        <v>10.440833333333332</v>
      </c>
      <c r="K51" s="98">
        <f t="shared" si="59"/>
        <v>0</v>
      </c>
      <c r="L51" s="98">
        <f t="shared" si="60"/>
        <v>0</v>
      </c>
      <c r="M51" s="181">
        <f t="shared" si="61"/>
        <v>46314.300455128207</v>
      </c>
      <c r="N51" s="181">
        <f t="shared" si="62"/>
        <v>46314.300455128207</v>
      </c>
      <c r="O51" s="112" t="str">
        <f>VLOOKUP(A51,SHIPMENTS!$A$7:$AP$76,11,0)</f>
        <v>n/a</v>
      </c>
      <c r="P51" s="101"/>
      <c r="Q51" s="127" t="str">
        <f t="shared" si="55"/>
        <v/>
      </c>
      <c r="R51" s="127" t="str">
        <f t="shared" si="55"/>
        <v/>
      </c>
      <c r="S51" s="127" t="str">
        <f t="shared" si="55"/>
        <v/>
      </c>
      <c r="T51" s="127" t="str">
        <f t="shared" si="55"/>
        <v/>
      </c>
      <c r="U51" s="127" t="str">
        <f t="shared" si="55"/>
        <v/>
      </c>
      <c r="V51" s="127" t="str">
        <f t="shared" si="55"/>
        <v/>
      </c>
      <c r="W51" s="127" t="str">
        <f t="shared" si="55"/>
        <v/>
      </c>
      <c r="X51" s="127" t="str">
        <f t="shared" si="55"/>
        <v/>
      </c>
      <c r="Y51" s="127" t="str">
        <f t="shared" si="55"/>
        <v/>
      </c>
      <c r="Z51" s="127" t="str">
        <f t="shared" si="55"/>
        <v/>
      </c>
      <c r="AA51" s="127" t="str">
        <f t="shared" si="55"/>
        <v/>
      </c>
      <c r="AB51" s="127" t="str">
        <f t="shared" si="55"/>
        <v/>
      </c>
      <c r="AC51" s="127" t="str">
        <f t="shared" si="55"/>
        <v/>
      </c>
      <c r="AD51" s="127" t="str">
        <f t="shared" si="55"/>
        <v/>
      </c>
      <c r="AE51" s="127" t="str">
        <f t="shared" si="55"/>
        <v/>
      </c>
      <c r="AF51" s="127" t="str">
        <f t="shared" si="55"/>
        <v/>
      </c>
      <c r="AG51" s="127" t="str">
        <f t="shared" si="64"/>
        <v/>
      </c>
      <c r="AH51" s="127" t="str">
        <f t="shared" si="64"/>
        <v/>
      </c>
      <c r="AI51" s="127" t="str">
        <f t="shared" si="64"/>
        <v/>
      </c>
      <c r="AJ51" s="127" t="str">
        <f t="shared" si="64"/>
        <v/>
      </c>
      <c r="AK51" s="127" t="str">
        <f t="shared" si="64"/>
        <v/>
      </c>
      <c r="AL51" s="127" t="str">
        <f t="shared" si="64"/>
        <v/>
      </c>
      <c r="AM51" s="127" t="str">
        <f t="shared" si="64"/>
        <v/>
      </c>
      <c r="AN51" s="127" t="str">
        <f t="shared" si="64"/>
        <v/>
      </c>
      <c r="AO51" s="127" t="str">
        <f t="shared" si="64"/>
        <v/>
      </c>
      <c r="AP51" s="127" t="str">
        <f t="shared" si="64"/>
        <v/>
      </c>
      <c r="AQ51" s="127" t="str">
        <f t="shared" si="64"/>
        <v/>
      </c>
      <c r="AR51" s="127" t="str">
        <f t="shared" si="64"/>
        <v/>
      </c>
      <c r="AS51" s="127" t="str">
        <f t="shared" si="64"/>
        <v/>
      </c>
      <c r="AT51" s="127" t="str">
        <f t="shared" si="64"/>
        <v/>
      </c>
      <c r="AU51" s="127" t="str">
        <f t="shared" si="64"/>
        <v/>
      </c>
      <c r="AV51" s="127" t="str">
        <f t="shared" si="64"/>
        <v/>
      </c>
      <c r="AW51" s="127" t="str">
        <f t="shared" ref="AW51:AZ53" si="65">IF($E51=AW$3,"▲","")</f>
        <v/>
      </c>
      <c r="AX51" s="127" t="str">
        <f t="shared" si="65"/>
        <v/>
      </c>
      <c r="AY51" s="127" t="str">
        <f t="shared" si="65"/>
        <v/>
      </c>
      <c r="AZ51" s="127" t="str">
        <f t="shared" si="65"/>
        <v/>
      </c>
      <c r="BA51" s="127" t="str">
        <f t="shared" si="63"/>
        <v/>
      </c>
      <c r="BB51" s="127" t="str">
        <f t="shared" si="63"/>
        <v/>
      </c>
      <c r="BC51" s="127" t="str">
        <f t="shared" si="63"/>
        <v/>
      </c>
      <c r="BD51" s="127" t="str">
        <f t="shared" si="63"/>
        <v/>
      </c>
      <c r="BE51" s="127" t="str">
        <f t="shared" si="63"/>
        <v/>
      </c>
      <c r="BF51" s="127" t="str">
        <f t="shared" si="63"/>
        <v/>
      </c>
      <c r="BG51" s="127" t="str">
        <f t="shared" si="63"/>
        <v/>
      </c>
      <c r="BH51" s="127" t="str">
        <f t="shared" si="63"/>
        <v/>
      </c>
      <c r="BI51" s="127" t="str">
        <f t="shared" si="63"/>
        <v/>
      </c>
      <c r="BJ51" s="127" t="str">
        <f t="shared" si="63"/>
        <v/>
      </c>
      <c r="BK51" s="127" t="str">
        <f t="shared" si="63"/>
        <v/>
      </c>
      <c r="BL51" s="127" t="str">
        <f t="shared" si="63"/>
        <v/>
      </c>
      <c r="BM51" s="127" t="str">
        <f t="shared" si="63"/>
        <v/>
      </c>
      <c r="BN51" s="127" t="str">
        <f t="shared" si="63"/>
        <v/>
      </c>
      <c r="BO51" s="127" t="str">
        <f t="shared" si="63"/>
        <v/>
      </c>
      <c r="BP51" s="127" t="str">
        <f t="shared" si="63"/>
        <v/>
      </c>
      <c r="BQ51" s="127" t="str">
        <f t="shared" ref="BQ51:CD53" si="66">IF($E51=BQ$3,"▲","")</f>
        <v/>
      </c>
      <c r="BR51" s="127" t="str">
        <f t="shared" si="66"/>
        <v/>
      </c>
      <c r="BS51" s="127" t="str">
        <f t="shared" si="66"/>
        <v/>
      </c>
      <c r="BT51" s="127" t="str">
        <f t="shared" si="66"/>
        <v/>
      </c>
      <c r="BU51" s="127" t="str">
        <f t="shared" si="66"/>
        <v/>
      </c>
      <c r="BV51" s="127" t="str">
        <f t="shared" si="66"/>
        <v/>
      </c>
      <c r="BW51" s="127" t="str">
        <f t="shared" si="66"/>
        <v/>
      </c>
      <c r="BX51" s="127" t="str">
        <f t="shared" si="66"/>
        <v/>
      </c>
      <c r="BY51" s="127" t="str">
        <f t="shared" si="66"/>
        <v/>
      </c>
      <c r="BZ51" s="127" t="str">
        <f t="shared" si="66"/>
        <v/>
      </c>
      <c r="CA51" s="127" t="str">
        <f t="shared" si="66"/>
        <v/>
      </c>
      <c r="CB51" s="127" t="str">
        <f t="shared" si="66"/>
        <v/>
      </c>
      <c r="CC51" s="127" t="str">
        <f t="shared" si="66"/>
        <v/>
      </c>
      <c r="CD51" s="127" t="str">
        <f t="shared" si="66"/>
        <v/>
      </c>
    </row>
    <row r="52" spans="1:82" ht="12" hidden="1" customHeight="1" x14ac:dyDescent="0.2">
      <c r="A52" s="106">
        <f>SHIPMENTS!A58</f>
        <v>9197</v>
      </c>
      <c r="B52" s="106" t="str">
        <f>SHIPMENTS!B58</f>
        <v>19300-USA SUPERIOR SAUNA</v>
      </c>
      <c r="C52" s="132">
        <f>SHIPMENTS!F58</f>
        <v>0</v>
      </c>
      <c r="D52" s="107" t="str">
        <f>IF((SHIPMENTS!I58)=0,"",SHIPMENTS!I58)</f>
        <v/>
      </c>
      <c r="E52" s="176" t="str">
        <f>IF((SHIPMENTS!G58)=0,"",SHIPMENTS!G58)</f>
        <v>TBA</v>
      </c>
      <c r="F52" s="98">
        <f>VLOOKUP(A52,load!$A$4:$U$5001,18,0)</f>
        <v>5.266</v>
      </c>
      <c r="G52" s="109">
        <f>Manhours!$C$15</f>
        <v>5</v>
      </c>
      <c r="H52" s="98">
        <f t="shared" si="56"/>
        <v>45.5</v>
      </c>
      <c r="I52" s="99">
        <f t="shared" si="57"/>
        <v>0.11573626373626374</v>
      </c>
      <c r="J52" s="99">
        <f t="shared" si="58"/>
        <v>1.0531999999999999</v>
      </c>
      <c r="K52" s="98">
        <f t="shared" si="59"/>
        <v>0</v>
      </c>
      <c r="L52" s="98">
        <f t="shared" si="60"/>
        <v>0</v>
      </c>
      <c r="M52" s="181">
        <f t="shared" si="61"/>
        <v>46314.300455128207</v>
      </c>
      <c r="N52" s="181">
        <f t="shared" si="62"/>
        <v>46314.300455128207</v>
      </c>
      <c r="O52" s="112" t="str">
        <f>VLOOKUP(A52,SHIPMENTS!$A$7:$AP$76,11,0)</f>
        <v>n/a</v>
      </c>
      <c r="P52" s="101"/>
      <c r="Q52" s="127" t="str">
        <f t="shared" si="55"/>
        <v/>
      </c>
      <c r="R52" s="127" t="str">
        <f t="shared" si="55"/>
        <v/>
      </c>
      <c r="S52" s="127" t="str">
        <f t="shared" si="55"/>
        <v/>
      </c>
      <c r="T52" s="127" t="str">
        <f t="shared" si="55"/>
        <v/>
      </c>
      <c r="U52" s="127" t="str">
        <f t="shared" si="55"/>
        <v/>
      </c>
      <c r="V52" s="127" t="str">
        <f t="shared" si="55"/>
        <v/>
      </c>
      <c r="W52" s="127" t="str">
        <f t="shared" si="55"/>
        <v/>
      </c>
      <c r="X52" s="127" t="str">
        <f t="shared" si="55"/>
        <v/>
      </c>
      <c r="Y52" s="127" t="str">
        <f t="shared" si="55"/>
        <v/>
      </c>
      <c r="Z52" s="127" t="str">
        <f t="shared" si="55"/>
        <v/>
      </c>
      <c r="AA52" s="127" t="str">
        <f t="shared" si="55"/>
        <v/>
      </c>
      <c r="AB52" s="127" t="str">
        <f t="shared" si="55"/>
        <v/>
      </c>
      <c r="AC52" s="127" t="str">
        <f t="shared" si="55"/>
        <v/>
      </c>
      <c r="AD52" s="127" t="str">
        <f t="shared" si="55"/>
        <v/>
      </c>
      <c r="AE52" s="127" t="str">
        <f t="shared" si="55"/>
        <v/>
      </c>
      <c r="AF52" s="127" t="str">
        <f t="shared" si="55"/>
        <v/>
      </c>
      <c r="AG52" s="127" t="str">
        <f t="shared" si="64"/>
        <v/>
      </c>
      <c r="AH52" s="127" t="str">
        <f t="shared" si="64"/>
        <v/>
      </c>
      <c r="AI52" s="127" t="str">
        <f t="shared" si="64"/>
        <v/>
      </c>
      <c r="AJ52" s="127" t="str">
        <f t="shared" si="64"/>
        <v/>
      </c>
      <c r="AK52" s="127" t="str">
        <f t="shared" si="64"/>
        <v/>
      </c>
      <c r="AL52" s="127" t="str">
        <f t="shared" si="64"/>
        <v/>
      </c>
      <c r="AM52" s="127" t="str">
        <f t="shared" si="64"/>
        <v/>
      </c>
      <c r="AN52" s="127" t="str">
        <f t="shared" si="64"/>
        <v/>
      </c>
      <c r="AO52" s="127" t="str">
        <f t="shared" si="64"/>
        <v/>
      </c>
      <c r="AP52" s="127" t="str">
        <f t="shared" si="64"/>
        <v/>
      </c>
      <c r="AQ52" s="127" t="str">
        <f t="shared" si="64"/>
        <v/>
      </c>
      <c r="AR52" s="127" t="str">
        <f t="shared" si="64"/>
        <v/>
      </c>
      <c r="AS52" s="127" t="str">
        <f t="shared" si="64"/>
        <v/>
      </c>
      <c r="AT52" s="127" t="str">
        <f t="shared" si="64"/>
        <v/>
      </c>
      <c r="AU52" s="127" t="str">
        <f t="shared" si="64"/>
        <v/>
      </c>
      <c r="AV52" s="127" t="str">
        <f t="shared" si="64"/>
        <v/>
      </c>
      <c r="AW52" s="127" t="str">
        <f t="shared" si="65"/>
        <v/>
      </c>
      <c r="AX52" s="127" t="str">
        <f t="shared" si="65"/>
        <v/>
      </c>
      <c r="AY52" s="127" t="str">
        <f t="shared" si="65"/>
        <v/>
      </c>
      <c r="AZ52" s="127" t="str">
        <f t="shared" si="65"/>
        <v/>
      </c>
      <c r="BA52" s="127" t="str">
        <f t="shared" si="63"/>
        <v/>
      </c>
      <c r="BB52" s="127" t="str">
        <f t="shared" si="63"/>
        <v/>
      </c>
      <c r="BC52" s="127" t="str">
        <f t="shared" si="63"/>
        <v/>
      </c>
      <c r="BD52" s="127" t="str">
        <f t="shared" si="63"/>
        <v/>
      </c>
      <c r="BE52" s="127" t="str">
        <f t="shared" si="63"/>
        <v/>
      </c>
      <c r="BF52" s="127" t="str">
        <f t="shared" si="63"/>
        <v/>
      </c>
      <c r="BG52" s="127" t="str">
        <f t="shared" si="63"/>
        <v/>
      </c>
      <c r="BH52" s="127" t="str">
        <f t="shared" si="63"/>
        <v/>
      </c>
      <c r="BI52" s="127" t="str">
        <f t="shared" si="63"/>
        <v/>
      </c>
      <c r="BJ52" s="127" t="str">
        <f t="shared" si="63"/>
        <v/>
      </c>
      <c r="BK52" s="127" t="str">
        <f t="shared" si="63"/>
        <v/>
      </c>
      <c r="BL52" s="127" t="str">
        <f t="shared" si="63"/>
        <v/>
      </c>
      <c r="BM52" s="127" t="str">
        <f t="shared" si="63"/>
        <v/>
      </c>
      <c r="BN52" s="127" t="str">
        <f t="shared" si="63"/>
        <v/>
      </c>
      <c r="BO52" s="127" t="str">
        <f t="shared" si="63"/>
        <v/>
      </c>
      <c r="BP52" s="127" t="str">
        <f t="shared" si="63"/>
        <v/>
      </c>
      <c r="BQ52" s="127" t="str">
        <f t="shared" si="66"/>
        <v/>
      </c>
      <c r="BR52" s="127" t="str">
        <f t="shared" si="66"/>
        <v/>
      </c>
      <c r="BS52" s="127" t="str">
        <f t="shared" si="66"/>
        <v/>
      </c>
      <c r="BT52" s="127" t="str">
        <f t="shared" si="66"/>
        <v/>
      </c>
      <c r="BU52" s="127" t="str">
        <f t="shared" si="66"/>
        <v/>
      </c>
      <c r="BV52" s="127" t="str">
        <f t="shared" si="66"/>
        <v/>
      </c>
      <c r="BW52" s="127" t="str">
        <f t="shared" si="66"/>
        <v/>
      </c>
      <c r="BX52" s="127" t="str">
        <f t="shared" si="66"/>
        <v/>
      </c>
      <c r="BY52" s="127" t="str">
        <f t="shared" si="66"/>
        <v/>
      </c>
      <c r="BZ52" s="127" t="str">
        <f t="shared" si="66"/>
        <v/>
      </c>
      <c r="CA52" s="127" t="str">
        <f t="shared" si="66"/>
        <v/>
      </c>
      <c r="CB52" s="127" t="str">
        <f t="shared" si="66"/>
        <v/>
      </c>
      <c r="CC52" s="127" t="str">
        <f t="shared" si="66"/>
        <v/>
      </c>
      <c r="CD52" s="127" t="str">
        <f t="shared" si="66"/>
        <v/>
      </c>
    </row>
    <row r="53" spans="1:82" ht="12" hidden="1" customHeight="1" x14ac:dyDescent="0.2">
      <c r="A53" s="106">
        <f>SHIPMENTS!A59</f>
        <v>6542</v>
      </c>
      <c r="B53" s="106" t="str">
        <f>SHIPMENTS!B59</f>
        <v>75100-JORDAN
BACKLOG</v>
      </c>
      <c r="C53" s="132">
        <f>SHIPMENTS!F59</f>
        <v>2.9600000000000001E-2</v>
      </c>
      <c r="D53" s="107" t="str">
        <f>IF((SHIPMENTS!I59)=0,"",SHIPMENTS!I59)</f>
        <v/>
      </c>
      <c r="E53" s="176" t="str">
        <f>IF((SHIPMENTS!G59)=0,"",SHIPMENTS!G59)</f>
        <v>TBA</v>
      </c>
      <c r="F53" s="98">
        <f>VLOOKUP(A53,load!$A$4:$U$5001,18,0)</f>
        <v>0</v>
      </c>
      <c r="G53" s="109">
        <f>Manhours!$C$15</f>
        <v>5</v>
      </c>
      <c r="H53" s="98">
        <f t="shared" ref="H53" si="67">+G53*$H$4</f>
        <v>45.5</v>
      </c>
      <c r="I53" s="99">
        <f t="shared" ref="I53" si="68">F53/H53</f>
        <v>0</v>
      </c>
      <c r="J53" s="99">
        <f t="shared" ref="J53" si="69">+I53*$H$4</f>
        <v>0</v>
      </c>
      <c r="K53" s="98">
        <f t="shared" ref="K53" si="70">IFERROR(I53-(I53*O53),0)</f>
        <v>0</v>
      </c>
      <c r="L53" s="98">
        <f t="shared" ref="L53" si="71">IFERROR(J53-(J53*O53),0)</f>
        <v>0</v>
      </c>
      <c r="M53" s="181">
        <f t="shared" ref="M53" si="72">N52</f>
        <v>46314.300455128207</v>
      </c>
      <c r="N53" s="181">
        <f t="shared" ref="N53" si="73">M53+K53</f>
        <v>46314.300455128207</v>
      </c>
      <c r="O53" s="112" t="str">
        <f>VLOOKUP(A53,SHIPMENTS!$A$7:$AP$76,11,0)</f>
        <v>n/a</v>
      </c>
      <c r="P53" s="101"/>
      <c r="Q53" s="127" t="str">
        <f t="shared" si="55"/>
        <v/>
      </c>
      <c r="R53" s="127" t="str">
        <f t="shared" si="55"/>
        <v/>
      </c>
      <c r="S53" s="127" t="str">
        <f t="shared" si="55"/>
        <v/>
      </c>
      <c r="T53" s="127" t="str">
        <f t="shared" si="55"/>
        <v/>
      </c>
      <c r="U53" s="127" t="str">
        <f t="shared" si="55"/>
        <v/>
      </c>
      <c r="V53" s="127" t="str">
        <f t="shared" si="55"/>
        <v/>
      </c>
      <c r="W53" s="127" t="str">
        <f t="shared" si="55"/>
        <v/>
      </c>
      <c r="X53" s="127" t="str">
        <f t="shared" si="55"/>
        <v/>
      </c>
      <c r="Y53" s="127" t="str">
        <f t="shared" si="55"/>
        <v/>
      </c>
      <c r="Z53" s="127" t="str">
        <f t="shared" si="55"/>
        <v/>
      </c>
      <c r="AA53" s="127" t="str">
        <f t="shared" si="55"/>
        <v/>
      </c>
      <c r="AB53" s="127" t="str">
        <f t="shared" si="55"/>
        <v/>
      </c>
      <c r="AC53" s="127" t="str">
        <f t="shared" si="55"/>
        <v/>
      </c>
      <c r="AD53" s="127" t="str">
        <f t="shared" si="55"/>
        <v/>
      </c>
      <c r="AE53" s="127" t="str">
        <f t="shared" si="55"/>
        <v/>
      </c>
      <c r="AF53" s="127" t="str">
        <f t="shared" si="55"/>
        <v/>
      </c>
      <c r="AG53" s="127" t="str">
        <f t="shared" si="64"/>
        <v/>
      </c>
      <c r="AH53" s="127" t="str">
        <f t="shared" si="64"/>
        <v/>
      </c>
      <c r="AI53" s="127" t="str">
        <f t="shared" si="64"/>
        <v/>
      </c>
      <c r="AJ53" s="127" t="str">
        <f t="shared" si="64"/>
        <v/>
      </c>
      <c r="AK53" s="127" t="str">
        <f t="shared" si="64"/>
        <v/>
      </c>
      <c r="AL53" s="127" t="str">
        <f t="shared" si="64"/>
        <v/>
      </c>
      <c r="AM53" s="127" t="str">
        <f t="shared" si="64"/>
        <v/>
      </c>
      <c r="AN53" s="127" t="str">
        <f t="shared" si="64"/>
        <v/>
      </c>
      <c r="AO53" s="127" t="str">
        <f t="shared" si="64"/>
        <v/>
      </c>
      <c r="AP53" s="127" t="str">
        <f t="shared" si="64"/>
        <v/>
      </c>
      <c r="AQ53" s="127" t="str">
        <f t="shared" si="64"/>
        <v/>
      </c>
      <c r="AR53" s="127" t="str">
        <f t="shared" si="64"/>
        <v/>
      </c>
      <c r="AS53" s="127" t="str">
        <f t="shared" si="64"/>
        <v/>
      </c>
      <c r="AT53" s="127" t="str">
        <f t="shared" si="64"/>
        <v/>
      </c>
      <c r="AU53" s="127" t="str">
        <f t="shared" si="64"/>
        <v/>
      </c>
      <c r="AV53" s="127" t="str">
        <f t="shared" si="64"/>
        <v/>
      </c>
      <c r="AW53" s="127" t="str">
        <f t="shared" si="65"/>
        <v/>
      </c>
      <c r="AX53" s="127" t="str">
        <f t="shared" si="65"/>
        <v/>
      </c>
      <c r="AY53" s="127" t="str">
        <f t="shared" si="65"/>
        <v/>
      </c>
      <c r="AZ53" s="127" t="str">
        <f t="shared" si="65"/>
        <v/>
      </c>
      <c r="BA53" s="127" t="str">
        <f t="shared" si="63"/>
        <v/>
      </c>
      <c r="BB53" s="127" t="str">
        <f t="shared" si="63"/>
        <v/>
      </c>
      <c r="BC53" s="127" t="str">
        <f t="shared" si="63"/>
        <v/>
      </c>
      <c r="BD53" s="127" t="str">
        <f t="shared" si="63"/>
        <v/>
      </c>
      <c r="BE53" s="127" t="str">
        <f t="shared" si="63"/>
        <v/>
      </c>
      <c r="BF53" s="127" t="str">
        <f t="shared" si="63"/>
        <v/>
      </c>
      <c r="BG53" s="127" t="str">
        <f t="shared" si="63"/>
        <v/>
      </c>
      <c r="BH53" s="127" t="str">
        <f t="shared" si="63"/>
        <v/>
      </c>
      <c r="BI53" s="127" t="str">
        <f t="shared" si="63"/>
        <v/>
      </c>
      <c r="BJ53" s="127" t="str">
        <f t="shared" si="63"/>
        <v/>
      </c>
      <c r="BK53" s="127" t="str">
        <f t="shared" si="63"/>
        <v/>
      </c>
      <c r="BL53" s="127" t="str">
        <f t="shared" si="63"/>
        <v/>
      </c>
      <c r="BM53" s="127" t="str">
        <f t="shared" si="63"/>
        <v/>
      </c>
      <c r="BN53" s="127" t="str">
        <f t="shared" si="63"/>
        <v/>
      </c>
      <c r="BO53" s="127" t="str">
        <f t="shared" si="63"/>
        <v/>
      </c>
      <c r="BP53" s="127" t="str">
        <f t="shared" si="63"/>
        <v/>
      </c>
      <c r="BQ53" s="127" t="str">
        <f t="shared" si="66"/>
        <v/>
      </c>
      <c r="BR53" s="127" t="str">
        <f t="shared" si="66"/>
        <v/>
      </c>
      <c r="BS53" s="127" t="str">
        <f t="shared" si="66"/>
        <v/>
      </c>
      <c r="BT53" s="127" t="str">
        <f t="shared" si="66"/>
        <v/>
      </c>
      <c r="BU53" s="127" t="str">
        <f t="shared" si="66"/>
        <v/>
      </c>
      <c r="BV53" s="127" t="str">
        <f t="shared" si="66"/>
        <v/>
      </c>
      <c r="BW53" s="127" t="str">
        <f t="shared" si="66"/>
        <v/>
      </c>
      <c r="BX53" s="127" t="str">
        <f t="shared" si="66"/>
        <v/>
      </c>
      <c r="BY53" s="127" t="str">
        <f t="shared" si="66"/>
        <v/>
      </c>
      <c r="BZ53" s="127" t="str">
        <f t="shared" si="66"/>
        <v/>
      </c>
      <c r="CA53" s="127" t="str">
        <f t="shared" si="66"/>
        <v/>
      </c>
      <c r="CB53" s="127" t="str">
        <f t="shared" si="66"/>
        <v/>
      </c>
      <c r="CC53" s="127" t="str">
        <f t="shared" si="66"/>
        <v/>
      </c>
      <c r="CD53" s="127" t="str">
        <f t="shared" si="66"/>
        <v/>
      </c>
    </row>
  </sheetData>
  <autoFilter ref="A7:BL53" xr:uid="{00000000-0009-0000-0000-000002000000}">
    <filterColumn colId="14">
      <filters>
        <filter val="0%"/>
        <filter val="100%"/>
        <filter val="64%"/>
        <filter val="87%"/>
        <filter val="96%"/>
      </filters>
    </filterColumn>
  </autoFilter>
  <mergeCells count="15">
    <mergeCell ref="L5:L6"/>
    <mergeCell ref="M5:M6"/>
    <mergeCell ref="N5:N6"/>
    <mergeCell ref="O5:O6"/>
    <mergeCell ref="F5:F6"/>
    <mergeCell ref="G5:G6"/>
    <mergeCell ref="H5:H6"/>
    <mergeCell ref="I5:I6"/>
    <mergeCell ref="J5:J6"/>
    <mergeCell ref="K5:K6"/>
    <mergeCell ref="A5:A6"/>
    <mergeCell ref="B5:B6"/>
    <mergeCell ref="C5:C6"/>
    <mergeCell ref="D5:D6"/>
    <mergeCell ref="E5:E6"/>
  </mergeCells>
  <conditionalFormatting sqref="N8:N53">
    <cfRule type="cellIs" dxfId="680" priority="2420" operator="greaterThan">
      <formula>E8</formula>
    </cfRule>
  </conditionalFormatting>
  <conditionalFormatting sqref="O1:P5 O7:P1048576">
    <cfRule type="cellIs" dxfId="679" priority="2941" operator="equal">
      <formula>1</formula>
    </cfRule>
    <cfRule type="cellIs" dxfId="678" priority="2940" operator="lessThan">
      <formula>1</formula>
    </cfRule>
  </conditionalFormatting>
  <conditionalFormatting sqref="O8:P27 O9:O53">
    <cfRule type="dataBar" priority="2939">
      <dataBar>
        <cfvo type="num" val="0"/>
        <cfvo type="num" val="1"/>
        <color rgb="FFFFB628"/>
      </dataBar>
      <extLst>
        <ext xmlns:x14="http://schemas.microsoft.com/office/spreadsheetml/2009/9/main" uri="{B025F937-C7B1-47D3-B67F-A62EFF666E3E}">
          <x14:id>{7FA1C1C0-B75C-4866-8FA6-86B7ADFD93D3}</x14:id>
        </ext>
      </extLst>
    </cfRule>
  </conditionalFormatting>
  <conditionalFormatting sqref="O28:P28">
    <cfRule type="dataBar" priority="2911">
      <dataBar>
        <cfvo type="num" val="0"/>
        <cfvo type="num" val="1"/>
        <color rgb="FFFFB628"/>
      </dataBar>
      <extLst>
        <ext xmlns:x14="http://schemas.microsoft.com/office/spreadsheetml/2009/9/main" uri="{B025F937-C7B1-47D3-B67F-A62EFF666E3E}">
          <x14:id>{A92596A8-6F5A-4093-88BD-E9456143D6E5}</x14:id>
        </ext>
      </extLst>
    </cfRule>
  </conditionalFormatting>
  <conditionalFormatting sqref="O29:P32">
    <cfRule type="dataBar" priority="2907">
      <dataBar>
        <cfvo type="num" val="0"/>
        <cfvo type="num" val="1"/>
        <color rgb="FFFFB628"/>
      </dataBar>
      <extLst>
        <ext xmlns:x14="http://schemas.microsoft.com/office/spreadsheetml/2009/9/main" uri="{B025F937-C7B1-47D3-B67F-A62EFF666E3E}">
          <x14:id>{05976A3D-9B97-4057-B41D-1D40F1F5D324}</x14:id>
        </ext>
      </extLst>
    </cfRule>
  </conditionalFormatting>
  <conditionalFormatting sqref="O33:P37">
    <cfRule type="dataBar" priority="424">
      <dataBar>
        <cfvo type="num" val="0"/>
        <cfvo type="num" val="1"/>
        <color rgb="FFFFB628"/>
      </dataBar>
      <extLst>
        <ext xmlns:x14="http://schemas.microsoft.com/office/spreadsheetml/2009/9/main" uri="{B025F937-C7B1-47D3-B67F-A62EFF666E3E}">
          <x14:id>{3FF6784D-8E85-4FB8-BDE1-6D64B4D0D600}</x14:id>
        </ext>
      </extLst>
    </cfRule>
  </conditionalFormatting>
  <conditionalFormatting sqref="O38:P38">
    <cfRule type="dataBar" priority="402">
      <dataBar>
        <cfvo type="num" val="0"/>
        <cfvo type="num" val="1"/>
        <color rgb="FFFFB628"/>
      </dataBar>
      <extLst>
        <ext xmlns:x14="http://schemas.microsoft.com/office/spreadsheetml/2009/9/main" uri="{B025F937-C7B1-47D3-B67F-A62EFF666E3E}">
          <x14:id>{35466FB6-908B-48F7-BEF8-0877BF55B082}</x14:id>
        </ext>
      </extLst>
    </cfRule>
  </conditionalFormatting>
  <conditionalFormatting sqref="O39:P39">
    <cfRule type="dataBar" priority="380">
      <dataBar>
        <cfvo type="num" val="0"/>
        <cfvo type="num" val="1"/>
        <color rgb="FFFFB628"/>
      </dataBar>
      <extLst>
        <ext xmlns:x14="http://schemas.microsoft.com/office/spreadsheetml/2009/9/main" uri="{B025F937-C7B1-47D3-B67F-A62EFF666E3E}">
          <x14:id>{F32FA361-6DBD-4C34-86E9-DF6C2D541B0C}</x14:id>
        </ext>
      </extLst>
    </cfRule>
  </conditionalFormatting>
  <conditionalFormatting sqref="O40:P40">
    <cfRule type="dataBar" priority="358">
      <dataBar>
        <cfvo type="num" val="0"/>
        <cfvo type="num" val="1"/>
        <color rgb="FFFFB628"/>
      </dataBar>
      <extLst>
        <ext xmlns:x14="http://schemas.microsoft.com/office/spreadsheetml/2009/9/main" uri="{B025F937-C7B1-47D3-B67F-A62EFF666E3E}">
          <x14:id>{5CF17A5E-053E-4C00-B24C-74E633AE7F9F}</x14:id>
        </ext>
      </extLst>
    </cfRule>
  </conditionalFormatting>
  <conditionalFormatting sqref="O41:P41">
    <cfRule type="dataBar" priority="336">
      <dataBar>
        <cfvo type="num" val="0"/>
        <cfvo type="num" val="1"/>
        <color rgb="FFFFB628"/>
      </dataBar>
      <extLst>
        <ext xmlns:x14="http://schemas.microsoft.com/office/spreadsheetml/2009/9/main" uri="{B025F937-C7B1-47D3-B67F-A62EFF666E3E}">
          <x14:id>{84A45AEA-4C34-4F9C-B9BC-2F4B3313B7BA}</x14:id>
        </ext>
      </extLst>
    </cfRule>
  </conditionalFormatting>
  <conditionalFormatting sqref="O42:P44">
    <cfRule type="dataBar" priority="314">
      <dataBar>
        <cfvo type="num" val="0"/>
        <cfvo type="num" val="1"/>
        <color rgb="FFFFB628"/>
      </dataBar>
      <extLst>
        <ext xmlns:x14="http://schemas.microsoft.com/office/spreadsheetml/2009/9/main" uri="{B025F937-C7B1-47D3-B67F-A62EFF666E3E}">
          <x14:id>{72201CC6-072C-489C-B37C-99B7899DFF8A}</x14:id>
        </ext>
      </extLst>
    </cfRule>
  </conditionalFormatting>
  <conditionalFormatting sqref="O45:P45">
    <cfRule type="dataBar" priority="292">
      <dataBar>
        <cfvo type="num" val="0"/>
        <cfvo type="num" val="1"/>
        <color rgb="FFFFB628"/>
      </dataBar>
      <extLst>
        <ext xmlns:x14="http://schemas.microsoft.com/office/spreadsheetml/2009/9/main" uri="{B025F937-C7B1-47D3-B67F-A62EFF666E3E}">
          <x14:id>{45F0F370-5A53-4137-9320-0FC6C98338FB}</x14:id>
        </ext>
      </extLst>
    </cfRule>
  </conditionalFormatting>
  <conditionalFormatting sqref="O46:P49">
    <cfRule type="dataBar" priority="271">
      <dataBar>
        <cfvo type="num" val="0"/>
        <cfvo type="num" val="1"/>
        <color rgb="FFFFB628"/>
      </dataBar>
      <extLst>
        <ext xmlns:x14="http://schemas.microsoft.com/office/spreadsheetml/2009/9/main" uri="{B025F937-C7B1-47D3-B67F-A62EFF666E3E}">
          <x14:id>{81E73D5B-8A9C-4C47-BF56-1EA4CE43274D}</x14:id>
        </ext>
      </extLst>
    </cfRule>
  </conditionalFormatting>
  <conditionalFormatting sqref="O50:P52">
    <cfRule type="dataBar" priority="250">
      <dataBar>
        <cfvo type="num" val="0"/>
        <cfvo type="num" val="1"/>
        <color rgb="FFFFB628"/>
      </dataBar>
      <extLst>
        <ext xmlns:x14="http://schemas.microsoft.com/office/spreadsheetml/2009/9/main" uri="{B025F937-C7B1-47D3-B67F-A62EFF666E3E}">
          <x14:id>{9622C8BB-3A84-46DC-BEEE-6E58417C5126}</x14:id>
        </ext>
      </extLst>
    </cfRule>
  </conditionalFormatting>
  <conditionalFormatting sqref="O53:P53">
    <cfRule type="dataBar" priority="19">
      <dataBar>
        <cfvo type="num" val="0"/>
        <cfvo type="num" val="1"/>
        <color rgb="FFFFB628"/>
      </dataBar>
      <extLst>
        <ext xmlns:x14="http://schemas.microsoft.com/office/spreadsheetml/2009/9/main" uri="{B025F937-C7B1-47D3-B67F-A62EFF666E3E}">
          <x14:id>{6CE30E30-4A7D-4882-81FA-D35B98D35E29}</x14:id>
        </ext>
      </extLst>
    </cfRule>
  </conditionalFormatting>
  <conditionalFormatting sqref="Q8:BE27">
    <cfRule type="cellIs" dxfId="677" priority="2937" operator="equal">
      <formula>1</formula>
    </cfRule>
    <cfRule type="cellIs" dxfId="676" priority="2938" operator="equal">
      <formula>1</formula>
    </cfRule>
  </conditionalFormatting>
  <conditionalFormatting sqref="Q28:BE28">
    <cfRule type="cellIs" dxfId="675" priority="2910" operator="equal">
      <formula>1</formula>
    </cfRule>
  </conditionalFormatting>
  <conditionalFormatting sqref="Q28:BE53">
    <cfRule type="cellIs" dxfId="674" priority="8" operator="equal">
      <formula>1</formula>
    </cfRule>
  </conditionalFormatting>
  <conditionalFormatting sqref="Q29:BE53">
    <cfRule type="cellIs" dxfId="673" priority="9" operator="equal">
      <formula>1</formula>
    </cfRule>
  </conditionalFormatting>
  <conditionalFormatting sqref="Q8:BF27 Q29:CD32 Q45:CD45 Q53:CD53">
    <cfRule type="expression" dxfId="672" priority="2916">
      <formula>IF(AND($M8&lt;=Q$3,$N8&gt;=Q$3),1,"")</formula>
    </cfRule>
  </conditionalFormatting>
  <conditionalFormatting sqref="Q1:CD1">
    <cfRule type="cellIs" dxfId="671" priority="2652" operator="notEqual">
      <formula>0</formula>
    </cfRule>
  </conditionalFormatting>
  <conditionalFormatting sqref="Q28:CD28">
    <cfRule type="expression" dxfId="670" priority="2908">
      <formula>IF(AND($M28&lt;=Q$3,$N28&gt;=Q$3),1,"")</formula>
    </cfRule>
  </conditionalFormatting>
  <conditionalFormatting sqref="Q33:CD37">
    <cfRule type="expression" dxfId="669" priority="426">
      <formula>IF(AND($M33&lt;=Q$3,$N33&gt;=Q$3),1,"")</formula>
    </cfRule>
  </conditionalFormatting>
  <conditionalFormatting sqref="Q38:CD38">
    <cfRule type="expression" dxfId="668" priority="404">
      <formula>IF(AND($M38&lt;=Q$3,$N38&gt;=Q$3),1,"")</formula>
    </cfRule>
  </conditionalFormatting>
  <conditionalFormatting sqref="Q39:CD39">
    <cfRule type="expression" dxfId="667" priority="382">
      <formula>IF(AND($M39&lt;=Q$3,$N39&gt;=Q$3),1,"")</formula>
    </cfRule>
  </conditionalFormatting>
  <conditionalFormatting sqref="Q40:CD40">
    <cfRule type="expression" dxfId="666" priority="360">
      <formula>IF(AND($M40&lt;=Q$3,$N40&gt;=Q$3),1,"")</formula>
    </cfRule>
  </conditionalFormatting>
  <conditionalFormatting sqref="Q41:CD41">
    <cfRule type="expression" dxfId="665" priority="338">
      <formula>IF(AND($M41&lt;=Q$3,$N41&gt;=Q$3),1,"")</formula>
    </cfRule>
  </conditionalFormatting>
  <conditionalFormatting sqref="Q42:CD44">
    <cfRule type="expression" dxfId="664" priority="316">
      <formula>IF(AND($M42&lt;=Q$3,$N42&gt;=Q$3),1,"")</formula>
    </cfRule>
  </conditionalFormatting>
  <conditionalFormatting sqref="Q46:CD49">
    <cfRule type="expression" dxfId="663" priority="273">
      <formula>IF(AND($M46&lt;=Q$3,$N46&gt;=Q$3),1,"")</formula>
    </cfRule>
  </conditionalFormatting>
  <conditionalFormatting sqref="Q50:CD52">
    <cfRule type="expression" dxfId="662" priority="252">
      <formula>IF(AND($M50&lt;=Q$3,$N50&gt;=Q$3),1,"")</formula>
    </cfRule>
  </conditionalFormatting>
  <conditionalFormatting sqref="AV8:BE32">
    <cfRule type="cellIs" dxfId="661" priority="2918" operator="equal">
      <formula>1</formula>
    </cfRule>
  </conditionalFormatting>
  <conditionalFormatting sqref="AV33:BE37">
    <cfRule type="cellIs" dxfId="660" priority="427" operator="equal">
      <formula>1</formula>
    </cfRule>
  </conditionalFormatting>
  <conditionalFormatting sqref="AV38:BE38">
    <cfRule type="cellIs" dxfId="659" priority="405" operator="equal">
      <formula>1</formula>
    </cfRule>
  </conditionalFormatting>
  <conditionalFormatting sqref="AV39:BE39">
    <cfRule type="cellIs" dxfId="658" priority="383" operator="equal">
      <formula>1</formula>
    </cfRule>
  </conditionalFormatting>
  <conditionalFormatting sqref="AV40:BE40">
    <cfRule type="cellIs" dxfId="657" priority="361" operator="equal">
      <formula>1</formula>
    </cfRule>
  </conditionalFormatting>
  <conditionalFormatting sqref="AV41:BE41">
    <cfRule type="cellIs" dxfId="656" priority="339" operator="equal">
      <formula>1</formula>
    </cfRule>
  </conditionalFormatting>
  <conditionalFormatting sqref="AV42:BE44">
    <cfRule type="cellIs" dxfId="655" priority="317" operator="equal">
      <formula>1</formula>
    </cfRule>
  </conditionalFormatting>
  <conditionalFormatting sqref="AV45:BE45">
    <cfRule type="cellIs" dxfId="654" priority="295" operator="equal">
      <formula>1</formula>
    </cfRule>
  </conditionalFormatting>
  <conditionalFormatting sqref="AV46:BE49">
    <cfRule type="cellIs" dxfId="653" priority="272" operator="equal">
      <formula>1</formula>
    </cfRule>
  </conditionalFormatting>
  <conditionalFormatting sqref="AV50:BE52">
    <cfRule type="cellIs" dxfId="652" priority="251" operator="equal">
      <formula>1</formula>
    </cfRule>
  </conditionalFormatting>
  <conditionalFormatting sqref="AV53:BE53">
    <cfRule type="cellIs" dxfId="651" priority="20" operator="equal">
      <formula>1</formula>
    </cfRule>
  </conditionalFormatting>
  <conditionalFormatting sqref="AV8:BF32">
    <cfRule type="cellIs" dxfId="650" priority="2914" operator="equal">
      <formula>1</formula>
    </cfRule>
  </conditionalFormatting>
  <conditionalFormatting sqref="AV33:BL37">
    <cfRule type="cellIs" dxfId="649" priority="422" operator="equal">
      <formula>1</formula>
    </cfRule>
  </conditionalFormatting>
  <conditionalFormatting sqref="AV38:BL38">
    <cfRule type="cellIs" dxfId="648" priority="400" operator="equal">
      <formula>1</formula>
    </cfRule>
  </conditionalFormatting>
  <conditionalFormatting sqref="AV39:BL39">
    <cfRule type="cellIs" dxfId="647" priority="378" operator="equal">
      <formula>1</formula>
    </cfRule>
  </conditionalFormatting>
  <conditionalFormatting sqref="AV40:BL40">
    <cfRule type="cellIs" dxfId="646" priority="356" operator="equal">
      <formula>1</formula>
    </cfRule>
  </conditionalFormatting>
  <conditionalFormatting sqref="AV41:BL41">
    <cfRule type="cellIs" dxfId="645" priority="334" operator="equal">
      <formula>1</formula>
    </cfRule>
  </conditionalFormatting>
  <conditionalFormatting sqref="AV42:BL44">
    <cfRule type="cellIs" dxfId="644" priority="312" operator="equal">
      <formula>1</formula>
    </cfRule>
  </conditionalFormatting>
  <conditionalFormatting sqref="AV45:BL45">
    <cfRule type="cellIs" dxfId="643" priority="290" operator="equal">
      <formula>1</formula>
    </cfRule>
  </conditionalFormatting>
  <conditionalFormatting sqref="AV46:BL49">
    <cfRule type="cellIs" dxfId="642" priority="269" operator="equal">
      <formula>1</formula>
    </cfRule>
  </conditionalFormatting>
  <conditionalFormatting sqref="AV50:BL52">
    <cfRule type="cellIs" dxfId="641" priority="248" operator="equal">
      <formula>1</formula>
    </cfRule>
  </conditionalFormatting>
  <conditionalFormatting sqref="AV53:BL53">
    <cfRule type="cellIs" dxfId="640" priority="17" operator="equal">
      <formula>1</formula>
    </cfRule>
  </conditionalFormatting>
  <conditionalFormatting sqref="BF8:BF53">
    <cfRule type="cellIs" dxfId="639" priority="2915" operator="equal">
      <formula>1</formula>
    </cfRule>
    <cfRule type="cellIs" dxfId="638" priority="2913" operator="equal">
      <formula>1</formula>
    </cfRule>
  </conditionalFormatting>
  <conditionalFormatting sqref="BF8:BL32">
    <cfRule type="cellIs" dxfId="637" priority="2886" operator="equal">
      <formula>1</formula>
    </cfRule>
  </conditionalFormatting>
  <conditionalFormatting sqref="BG8:BK27">
    <cfRule type="cellIs" dxfId="636" priority="2900" operator="equal">
      <formula>1</formula>
    </cfRule>
    <cfRule type="cellIs" dxfId="635" priority="2899" operator="equal">
      <formula>1</formula>
    </cfRule>
  </conditionalFormatting>
  <conditionalFormatting sqref="BG8:BK32">
    <cfRule type="cellIs" dxfId="634" priority="2890" operator="equal">
      <formula>1</formula>
    </cfRule>
  </conditionalFormatting>
  <conditionalFormatting sqref="BG28:BK37">
    <cfRule type="cellIs" dxfId="633" priority="423" operator="equal">
      <formula>1</formula>
    </cfRule>
  </conditionalFormatting>
  <conditionalFormatting sqref="BG28:BK53">
    <cfRule type="cellIs" dxfId="632" priority="7" operator="equal">
      <formula>1</formula>
    </cfRule>
  </conditionalFormatting>
  <conditionalFormatting sqref="BG33:BK38">
    <cfRule type="cellIs" dxfId="631" priority="401" operator="equal">
      <formula>1</formula>
    </cfRule>
  </conditionalFormatting>
  <conditionalFormatting sqref="BG38:BK39">
    <cfRule type="cellIs" dxfId="630" priority="379" operator="equal">
      <formula>1</formula>
    </cfRule>
  </conditionalFormatting>
  <conditionalFormatting sqref="BG39:BK40">
    <cfRule type="cellIs" dxfId="629" priority="357" operator="equal">
      <formula>1</formula>
    </cfRule>
  </conditionalFormatting>
  <conditionalFormatting sqref="BG40:BK41">
    <cfRule type="cellIs" dxfId="628" priority="335" operator="equal">
      <formula>1</formula>
    </cfRule>
  </conditionalFormatting>
  <conditionalFormatting sqref="BG41:BK44">
    <cfRule type="cellIs" dxfId="627" priority="313" operator="equal">
      <formula>1</formula>
    </cfRule>
  </conditionalFormatting>
  <conditionalFormatting sqref="BG42:BK45">
    <cfRule type="cellIs" dxfId="626" priority="291" operator="equal">
      <formula>1</formula>
    </cfRule>
  </conditionalFormatting>
  <conditionalFormatting sqref="BG45:BK49">
    <cfRule type="cellIs" dxfId="625" priority="270" operator="equal">
      <formula>1</formula>
    </cfRule>
  </conditionalFormatting>
  <conditionalFormatting sqref="BG46:BK52">
    <cfRule type="cellIs" dxfId="624" priority="249" operator="equal">
      <formula>1</formula>
    </cfRule>
  </conditionalFormatting>
  <conditionalFormatting sqref="BG50:BK53">
    <cfRule type="cellIs" dxfId="623" priority="18" operator="equal">
      <formula>1</formula>
    </cfRule>
  </conditionalFormatting>
  <conditionalFormatting sqref="BG8:BL27">
    <cfRule type="expression" dxfId="622" priority="2888">
      <formula>IF(AND($M8&lt;=BG$3,$N8&gt;=BG$3),1,"")</formula>
    </cfRule>
  </conditionalFormatting>
  <conditionalFormatting sqref="BG53:BQ53">
    <cfRule type="cellIs" dxfId="621" priority="15" operator="equal">
      <formula>1</formula>
    </cfRule>
  </conditionalFormatting>
  <conditionalFormatting sqref="BL8:BL53">
    <cfRule type="cellIs" dxfId="620" priority="2887" operator="equal">
      <formula>1</formula>
    </cfRule>
  </conditionalFormatting>
  <conditionalFormatting sqref="BL8:BQ32">
    <cfRule type="cellIs" dxfId="619" priority="2866" operator="equal">
      <formula>1</formula>
    </cfRule>
  </conditionalFormatting>
  <conditionalFormatting sqref="BL33:BQ52">
    <cfRule type="cellIs" dxfId="618" priority="37" operator="equal">
      <formula>1</formula>
    </cfRule>
  </conditionalFormatting>
  <conditionalFormatting sqref="BL8:BR32">
    <cfRule type="cellIs" dxfId="617" priority="2862" operator="equal">
      <formula>1</formula>
    </cfRule>
  </conditionalFormatting>
  <conditionalFormatting sqref="BL33:BR53">
    <cfRule type="cellIs" dxfId="616" priority="14" operator="equal">
      <formula>1</formula>
    </cfRule>
  </conditionalFormatting>
  <conditionalFormatting sqref="BM8:BQ27">
    <cfRule type="cellIs" dxfId="615" priority="2875" operator="equal">
      <formula>1</formula>
    </cfRule>
    <cfRule type="cellIs" dxfId="614" priority="2876" operator="equal">
      <formula>1</formula>
    </cfRule>
  </conditionalFormatting>
  <conditionalFormatting sqref="BM28:BQ53">
    <cfRule type="cellIs" dxfId="613" priority="5" operator="equal">
      <formula>1</formula>
    </cfRule>
    <cfRule type="cellIs" dxfId="612" priority="6" operator="equal">
      <formula>1</formula>
    </cfRule>
  </conditionalFormatting>
  <conditionalFormatting sqref="BM8:BR27">
    <cfRule type="expression" dxfId="611" priority="2864">
      <formula>IF(AND($M8&lt;=BM$3,$N8&gt;=BM$3),1,"")</formula>
    </cfRule>
  </conditionalFormatting>
  <conditionalFormatting sqref="BR8:BR53">
    <cfRule type="cellIs" dxfId="610" priority="2863" operator="equal">
      <formula>1</formula>
    </cfRule>
  </conditionalFormatting>
  <conditionalFormatting sqref="BR8:BW32">
    <cfRule type="cellIs" dxfId="609" priority="2842" operator="equal">
      <formula>1</formula>
    </cfRule>
  </conditionalFormatting>
  <conditionalFormatting sqref="BR33:BW53">
    <cfRule type="cellIs" dxfId="608" priority="13" operator="equal">
      <formula>1</formula>
    </cfRule>
  </conditionalFormatting>
  <conditionalFormatting sqref="BR8:BX32">
    <cfRule type="cellIs" dxfId="607" priority="2838" operator="equal">
      <formula>1</formula>
    </cfRule>
  </conditionalFormatting>
  <conditionalFormatting sqref="BR33:BX53">
    <cfRule type="cellIs" dxfId="606" priority="12" operator="equal">
      <formula>1</formula>
    </cfRule>
  </conditionalFormatting>
  <conditionalFormatting sqref="BS8:BW27">
    <cfRule type="cellIs" dxfId="605" priority="2852" operator="equal">
      <formula>1</formula>
    </cfRule>
    <cfRule type="cellIs" dxfId="604" priority="2851" operator="equal">
      <formula>1</formula>
    </cfRule>
  </conditionalFormatting>
  <conditionalFormatting sqref="BS28:BW53">
    <cfRule type="cellIs" dxfId="603" priority="4" operator="equal">
      <formula>1</formula>
    </cfRule>
    <cfRule type="cellIs" dxfId="602" priority="3" operator="equal">
      <formula>1</formula>
    </cfRule>
  </conditionalFormatting>
  <conditionalFormatting sqref="BS8:BX27">
    <cfRule type="expression" dxfId="601" priority="2840">
      <formula>IF(AND($M8&lt;=BS$3,$N8&gt;=BS$3),1,"")</formula>
    </cfRule>
  </conditionalFormatting>
  <conditionalFormatting sqref="BX8:BX53">
    <cfRule type="cellIs" dxfId="600" priority="2839" operator="equal">
      <formula>1</formula>
    </cfRule>
  </conditionalFormatting>
  <conditionalFormatting sqref="BX8:CC32">
    <cfRule type="cellIs" dxfId="599" priority="2818" operator="equal">
      <formula>1</formula>
    </cfRule>
  </conditionalFormatting>
  <conditionalFormatting sqref="BX33:CC53">
    <cfRule type="cellIs" dxfId="598" priority="11" operator="equal">
      <formula>1</formula>
    </cfRule>
  </conditionalFormatting>
  <conditionalFormatting sqref="BX8:CD32">
    <cfRule type="cellIs" dxfId="597" priority="2814" operator="equal">
      <formula>1</formula>
    </cfRule>
  </conditionalFormatting>
  <conditionalFormatting sqref="BX33:CD53">
    <cfRule type="cellIs" dxfId="596" priority="10" operator="equal">
      <formula>1</formula>
    </cfRule>
  </conditionalFormatting>
  <conditionalFormatting sqref="BY8:CC27">
    <cfRule type="cellIs" dxfId="595" priority="2827" operator="equal">
      <formula>1</formula>
    </cfRule>
    <cfRule type="cellIs" dxfId="594" priority="2828" operator="equal">
      <formula>1</formula>
    </cfRule>
  </conditionalFormatting>
  <conditionalFormatting sqref="BY28:CC53">
    <cfRule type="cellIs" dxfId="593" priority="1" operator="equal">
      <formula>1</formula>
    </cfRule>
    <cfRule type="cellIs" dxfId="592" priority="2" operator="equal">
      <formula>1</formula>
    </cfRule>
  </conditionalFormatting>
  <conditionalFormatting sqref="BY8:CD27">
    <cfRule type="expression" dxfId="591" priority="2816">
      <formula>IF(AND($M8&lt;=BY$3,$N8&gt;=BY$3),1,"")</formula>
    </cfRule>
  </conditionalFormatting>
  <conditionalFormatting sqref="CD8:CD53">
    <cfRule type="cellIs" dxfId="590" priority="2815" operator="equal">
      <formula>1</formula>
    </cfRule>
    <cfRule type="cellIs" dxfId="589" priority="2813" operator="equal">
      <formula>1</formula>
    </cfRule>
    <cfRule type="cellIs" dxfId="588" priority="2812" operator="equal">
      <formula>1</formula>
    </cfRule>
  </conditionalFormatting>
  <pageMargins left="0.7" right="0.7" top="0.75" bottom="0.75" header="0.3" footer="0.3"/>
  <pageSetup paperSize="9" orientation="portrait" horizontalDpi="0" verticalDpi="0" r:id="rId1"/>
  <extLst>
    <ext xmlns:x14="http://schemas.microsoft.com/office/spreadsheetml/2009/9/main" uri="{78C0D931-6437-407d-A8EE-F0AAD7539E65}">
      <x14:conditionalFormattings>
        <x14:conditionalFormatting xmlns:xm="http://schemas.microsoft.com/office/excel/2006/main">
          <x14:cfRule type="dataBar" id="{7FA1C1C0-B75C-4866-8FA6-86B7ADFD93D3}">
            <x14:dataBar minLength="0" maxLength="100" gradient="0">
              <x14:cfvo type="num">
                <xm:f>0</xm:f>
              </x14:cfvo>
              <x14:cfvo type="num">
                <xm:f>1</xm:f>
              </x14:cfvo>
              <x14:negativeFillColor rgb="FFFF0000"/>
              <x14:axisColor rgb="FF000000"/>
            </x14:dataBar>
          </x14:cfRule>
          <xm:sqref>O8:P27 O9:O53</xm:sqref>
        </x14:conditionalFormatting>
        <x14:conditionalFormatting xmlns:xm="http://schemas.microsoft.com/office/excel/2006/main">
          <x14:cfRule type="dataBar" id="{A92596A8-6F5A-4093-88BD-E9456143D6E5}">
            <x14:dataBar minLength="0" maxLength="100" gradient="0">
              <x14:cfvo type="num">
                <xm:f>0</xm:f>
              </x14:cfvo>
              <x14:cfvo type="num">
                <xm:f>1</xm:f>
              </x14:cfvo>
              <x14:negativeFillColor rgb="FFFF0000"/>
              <x14:axisColor rgb="FF000000"/>
            </x14:dataBar>
          </x14:cfRule>
          <xm:sqref>O28:P28</xm:sqref>
        </x14:conditionalFormatting>
        <x14:conditionalFormatting xmlns:xm="http://schemas.microsoft.com/office/excel/2006/main">
          <x14:cfRule type="dataBar" id="{05976A3D-9B97-4057-B41D-1D40F1F5D324}">
            <x14:dataBar minLength="0" maxLength="100" gradient="0">
              <x14:cfvo type="num">
                <xm:f>0</xm:f>
              </x14:cfvo>
              <x14:cfvo type="num">
                <xm:f>1</xm:f>
              </x14:cfvo>
              <x14:negativeFillColor rgb="FFFF0000"/>
              <x14:axisColor rgb="FF000000"/>
            </x14:dataBar>
          </x14:cfRule>
          <xm:sqref>O29:P32</xm:sqref>
        </x14:conditionalFormatting>
        <x14:conditionalFormatting xmlns:xm="http://schemas.microsoft.com/office/excel/2006/main">
          <x14:cfRule type="dataBar" id="{3FF6784D-8E85-4FB8-BDE1-6D64B4D0D600}">
            <x14:dataBar minLength="0" maxLength="100" gradient="0">
              <x14:cfvo type="num">
                <xm:f>0</xm:f>
              </x14:cfvo>
              <x14:cfvo type="num">
                <xm:f>1</xm:f>
              </x14:cfvo>
              <x14:negativeFillColor rgb="FFFF0000"/>
              <x14:axisColor rgb="FF000000"/>
            </x14:dataBar>
          </x14:cfRule>
          <xm:sqref>O33:P37</xm:sqref>
        </x14:conditionalFormatting>
        <x14:conditionalFormatting xmlns:xm="http://schemas.microsoft.com/office/excel/2006/main">
          <x14:cfRule type="dataBar" id="{35466FB6-908B-48F7-BEF8-0877BF55B082}">
            <x14:dataBar minLength="0" maxLength="100" gradient="0">
              <x14:cfvo type="num">
                <xm:f>0</xm:f>
              </x14:cfvo>
              <x14:cfvo type="num">
                <xm:f>1</xm:f>
              </x14:cfvo>
              <x14:negativeFillColor rgb="FFFF0000"/>
              <x14:axisColor rgb="FF000000"/>
            </x14:dataBar>
          </x14:cfRule>
          <xm:sqref>O38:P38</xm:sqref>
        </x14:conditionalFormatting>
        <x14:conditionalFormatting xmlns:xm="http://schemas.microsoft.com/office/excel/2006/main">
          <x14:cfRule type="dataBar" id="{F32FA361-6DBD-4C34-86E9-DF6C2D541B0C}">
            <x14:dataBar minLength="0" maxLength="100" gradient="0">
              <x14:cfvo type="num">
                <xm:f>0</xm:f>
              </x14:cfvo>
              <x14:cfvo type="num">
                <xm:f>1</xm:f>
              </x14:cfvo>
              <x14:negativeFillColor rgb="FFFF0000"/>
              <x14:axisColor rgb="FF000000"/>
            </x14:dataBar>
          </x14:cfRule>
          <xm:sqref>O39:P39</xm:sqref>
        </x14:conditionalFormatting>
        <x14:conditionalFormatting xmlns:xm="http://schemas.microsoft.com/office/excel/2006/main">
          <x14:cfRule type="dataBar" id="{5CF17A5E-053E-4C00-B24C-74E633AE7F9F}">
            <x14:dataBar minLength="0" maxLength="100" gradient="0">
              <x14:cfvo type="num">
                <xm:f>0</xm:f>
              </x14:cfvo>
              <x14:cfvo type="num">
                <xm:f>1</xm:f>
              </x14:cfvo>
              <x14:negativeFillColor rgb="FFFF0000"/>
              <x14:axisColor rgb="FF000000"/>
            </x14:dataBar>
          </x14:cfRule>
          <xm:sqref>O40:P40</xm:sqref>
        </x14:conditionalFormatting>
        <x14:conditionalFormatting xmlns:xm="http://schemas.microsoft.com/office/excel/2006/main">
          <x14:cfRule type="dataBar" id="{84A45AEA-4C34-4F9C-B9BC-2F4B3313B7BA}">
            <x14:dataBar minLength="0" maxLength="100" gradient="0">
              <x14:cfvo type="num">
                <xm:f>0</xm:f>
              </x14:cfvo>
              <x14:cfvo type="num">
                <xm:f>1</xm:f>
              </x14:cfvo>
              <x14:negativeFillColor rgb="FFFF0000"/>
              <x14:axisColor rgb="FF000000"/>
            </x14:dataBar>
          </x14:cfRule>
          <xm:sqref>O41:P41</xm:sqref>
        </x14:conditionalFormatting>
        <x14:conditionalFormatting xmlns:xm="http://schemas.microsoft.com/office/excel/2006/main">
          <x14:cfRule type="dataBar" id="{72201CC6-072C-489C-B37C-99B7899DFF8A}">
            <x14:dataBar minLength="0" maxLength="100" gradient="0">
              <x14:cfvo type="num">
                <xm:f>0</xm:f>
              </x14:cfvo>
              <x14:cfvo type="num">
                <xm:f>1</xm:f>
              </x14:cfvo>
              <x14:negativeFillColor rgb="FFFF0000"/>
              <x14:axisColor rgb="FF000000"/>
            </x14:dataBar>
          </x14:cfRule>
          <xm:sqref>O42:P44</xm:sqref>
        </x14:conditionalFormatting>
        <x14:conditionalFormatting xmlns:xm="http://schemas.microsoft.com/office/excel/2006/main">
          <x14:cfRule type="dataBar" id="{45F0F370-5A53-4137-9320-0FC6C98338FB}">
            <x14:dataBar minLength="0" maxLength="100" gradient="0">
              <x14:cfvo type="num">
                <xm:f>0</xm:f>
              </x14:cfvo>
              <x14:cfvo type="num">
                <xm:f>1</xm:f>
              </x14:cfvo>
              <x14:negativeFillColor rgb="FFFF0000"/>
              <x14:axisColor rgb="FF000000"/>
            </x14:dataBar>
          </x14:cfRule>
          <xm:sqref>O45:P45</xm:sqref>
        </x14:conditionalFormatting>
        <x14:conditionalFormatting xmlns:xm="http://schemas.microsoft.com/office/excel/2006/main">
          <x14:cfRule type="dataBar" id="{81E73D5B-8A9C-4C47-BF56-1EA4CE43274D}">
            <x14:dataBar minLength="0" maxLength="100" gradient="0">
              <x14:cfvo type="num">
                <xm:f>0</xm:f>
              </x14:cfvo>
              <x14:cfvo type="num">
                <xm:f>1</xm:f>
              </x14:cfvo>
              <x14:negativeFillColor rgb="FFFF0000"/>
              <x14:axisColor rgb="FF000000"/>
            </x14:dataBar>
          </x14:cfRule>
          <xm:sqref>O46:P49</xm:sqref>
        </x14:conditionalFormatting>
        <x14:conditionalFormatting xmlns:xm="http://schemas.microsoft.com/office/excel/2006/main">
          <x14:cfRule type="dataBar" id="{9622C8BB-3A84-46DC-BEEE-6E58417C5126}">
            <x14:dataBar minLength="0" maxLength="100" gradient="0">
              <x14:cfvo type="num">
                <xm:f>0</xm:f>
              </x14:cfvo>
              <x14:cfvo type="num">
                <xm:f>1</xm:f>
              </x14:cfvo>
              <x14:negativeFillColor rgb="FFFF0000"/>
              <x14:axisColor rgb="FF000000"/>
            </x14:dataBar>
          </x14:cfRule>
          <xm:sqref>O50:P52</xm:sqref>
        </x14:conditionalFormatting>
        <x14:conditionalFormatting xmlns:xm="http://schemas.microsoft.com/office/excel/2006/main">
          <x14:cfRule type="dataBar" id="{6CE30E30-4A7D-4882-81FA-D35B98D35E29}">
            <x14:dataBar minLength="0" maxLength="100" gradient="0">
              <x14:cfvo type="num">
                <xm:f>0</xm:f>
              </x14:cfvo>
              <x14:cfvo type="num">
                <xm:f>1</xm:f>
              </x14:cfvo>
              <x14:negativeFillColor rgb="FFFF0000"/>
              <x14:axisColor rgb="FF000000"/>
            </x14:dataBar>
          </x14:cfRule>
          <xm:sqref>O53:P53</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2" filterMode="1"/>
  <dimension ref="A1:CD53"/>
  <sheetViews>
    <sheetView showGridLines="0" zoomScaleNormal="100" workbookViewId="0">
      <pane xSplit="15" ySplit="7" topLeftCell="P8" activePane="bottomRight" state="frozen"/>
      <selection pane="topRight" activeCell="P1" sqref="P1"/>
      <selection pane="bottomLeft" activeCell="A8" sqref="A8"/>
      <selection pane="bottomRight" activeCell="K3" sqref="K3"/>
    </sheetView>
  </sheetViews>
  <sheetFormatPr defaultColWidth="9.28515625" defaultRowHeight="12.75" outlineLevelCol="1" x14ac:dyDescent="0.2"/>
  <cols>
    <col min="1" max="1" width="12.28515625" style="72" customWidth="1"/>
    <col min="2" max="2" width="21.7109375" style="71" customWidth="1"/>
    <col min="3" max="3" width="7.28515625" style="71" customWidth="1"/>
    <col min="4" max="4" width="7.7109375" style="71" customWidth="1"/>
    <col min="5" max="5" width="9.7109375" style="174" customWidth="1"/>
    <col min="6" max="6" width="11.5703125" style="74" hidden="1" customWidth="1" outlineLevel="1"/>
    <col min="7" max="7" width="11.7109375" style="75" hidden="1" customWidth="1" outlineLevel="1"/>
    <col min="8" max="8" width="11.28515625" style="74" hidden="1" customWidth="1" outlineLevel="1"/>
    <col min="9" max="9" width="8.7109375" style="76" hidden="1" customWidth="1" outlineLevel="1"/>
    <col min="10" max="10" width="7.7109375" style="76" hidden="1" customWidth="1" outlineLevel="1"/>
    <col min="11" max="11" width="9" style="74" customWidth="1" collapsed="1"/>
    <col min="12" max="12" width="9" style="74" hidden="1" customWidth="1" outlineLevel="1"/>
    <col min="13" max="13" width="7.42578125" style="174" hidden="1" customWidth="1" outlineLevel="1"/>
    <col min="14" max="14" width="8.28515625" style="174" customWidth="1" collapsed="1"/>
    <col min="15" max="16" width="11.28515625" style="78" customWidth="1"/>
    <col min="17" max="31" width="6.5703125" style="71" bestFit="1" customWidth="1"/>
    <col min="32" max="82" width="7.28515625" style="71" bestFit="1" customWidth="1"/>
    <col min="83" max="16384" width="9.28515625" style="71"/>
  </cols>
  <sheetData>
    <row r="1" spans="1:82" x14ac:dyDescent="0.2">
      <c r="Q1" s="105">
        <f>'T&amp;D'!Q1</f>
        <v>0</v>
      </c>
      <c r="R1" s="105">
        <f>'T&amp;D'!R1</f>
        <v>0</v>
      </c>
      <c r="S1" s="105">
        <f>'T&amp;D'!S1</f>
        <v>0</v>
      </c>
      <c r="T1" s="105">
        <f>'T&amp;D'!T1</f>
        <v>0</v>
      </c>
      <c r="U1" s="105">
        <f>'T&amp;D'!U1</f>
        <v>0</v>
      </c>
      <c r="V1" s="105">
        <f>'T&amp;D'!V1</f>
        <v>0</v>
      </c>
      <c r="W1" s="105">
        <f>'T&amp;D'!W1</f>
        <v>0</v>
      </c>
      <c r="X1" s="105">
        <f>'T&amp;D'!X1</f>
        <v>0</v>
      </c>
      <c r="Y1" s="105">
        <f>'T&amp;D'!Y1</f>
        <v>0</v>
      </c>
      <c r="Z1" s="105">
        <f>'T&amp;D'!Z1</f>
        <v>0</v>
      </c>
      <c r="AA1" s="105">
        <f>'T&amp;D'!AA1</f>
        <v>0</v>
      </c>
      <c r="AB1" s="105">
        <f>'T&amp;D'!AB1</f>
        <v>0</v>
      </c>
      <c r="AC1" s="105">
        <f>'T&amp;D'!AC1</f>
        <v>0</v>
      </c>
      <c r="AD1" s="105">
        <f>'T&amp;D'!AD1</f>
        <v>0</v>
      </c>
      <c r="AE1" s="105">
        <f>'T&amp;D'!AE1</f>
        <v>0</v>
      </c>
      <c r="AF1" s="105">
        <f>'T&amp;D'!AF1</f>
        <v>0</v>
      </c>
      <c r="AG1" s="105">
        <f>'T&amp;D'!AG1</f>
        <v>0</v>
      </c>
      <c r="AH1" s="105">
        <f>'T&amp;D'!AH1</f>
        <v>0</v>
      </c>
      <c r="AI1" s="105">
        <f>'T&amp;D'!AI1</f>
        <v>0</v>
      </c>
      <c r="AJ1" s="105">
        <f>'T&amp;D'!AJ1</f>
        <v>0</v>
      </c>
      <c r="AK1" s="105">
        <f>'T&amp;D'!AK1</f>
        <v>0</v>
      </c>
      <c r="AL1" s="105">
        <f>'T&amp;D'!AL1</f>
        <v>0</v>
      </c>
      <c r="AM1" s="105">
        <f>'T&amp;D'!AM1</f>
        <v>0</v>
      </c>
      <c r="AN1" s="105">
        <f>'T&amp;D'!AN1</f>
        <v>0</v>
      </c>
      <c r="AO1" s="105">
        <f>'T&amp;D'!AO1</f>
        <v>0</v>
      </c>
      <c r="AP1" s="105">
        <f>'T&amp;D'!AP1</f>
        <v>0</v>
      </c>
      <c r="AQ1" s="105">
        <f>'T&amp;D'!AQ1</f>
        <v>0</v>
      </c>
      <c r="AR1" s="105">
        <f>'T&amp;D'!AR1</f>
        <v>0</v>
      </c>
      <c r="AS1" s="105">
        <f>'T&amp;D'!AS1</f>
        <v>0</v>
      </c>
      <c r="AT1" s="105">
        <f>'T&amp;D'!AT1</f>
        <v>0</v>
      </c>
      <c r="AU1" s="105">
        <f>'T&amp;D'!AU1</f>
        <v>0</v>
      </c>
      <c r="AV1" s="105">
        <f>'T&amp;D'!AV1</f>
        <v>0</v>
      </c>
      <c r="AW1" s="105">
        <f>'T&amp;D'!AW1</f>
        <v>0</v>
      </c>
      <c r="AX1" s="105">
        <f>'T&amp;D'!AX1</f>
        <v>0</v>
      </c>
      <c r="AY1" s="105">
        <f>'T&amp;D'!AY1</f>
        <v>0</v>
      </c>
      <c r="AZ1" s="105">
        <f>'T&amp;D'!AZ1</f>
        <v>0</v>
      </c>
      <c r="BA1" s="105">
        <f>'T&amp;D'!BA1</f>
        <v>0</v>
      </c>
      <c r="BB1" s="105">
        <f>'T&amp;D'!BB1</f>
        <v>0</v>
      </c>
      <c r="BC1" s="105">
        <f>'T&amp;D'!BC1</f>
        <v>0</v>
      </c>
      <c r="BD1" s="105">
        <f>'T&amp;D'!BD1</f>
        <v>0</v>
      </c>
      <c r="BE1" s="105">
        <f>'T&amp;D'!BE1</f>
        <v>0</v>
      </c>
      <c r="BF1" s="105">
        <f>'T&amp;D'!BF1</f>
        <v>0</v>
      </c>
      <c r="BG1" s="105">
        <f>'T&amp;D'!BG1</f>
        <v>0</v>
      </c>
      <c r="BH1" s="105">
        <f>'T&amp;D'!BH1</f>
        <v>0</v>
      </c>
      <c r="BI1" s="105">
        <f>'T&amp;D'!BI1</f>
        <v>0</v>
      </c>
      <c r="BJ1" s="105">
        <f>'T&amp;D'!BJ1</f>
        <v>0</v>
      </c>
      <c r="BK1" s="105">
        <f>'T&amp;D'!BK1</f>
        <v>0</v>
      </c>
      <c r="BL1" s="105">
        <f>'T&amp;D'!BL1</f>
        <v>0</v>
      </c>
      <c r="BM1" s="105">
        <f>'T&amp;D'!BM1</f>
        <v>0</v>
      </c>
      <c r="BN1" s="105">
        <f>'T&amp;D'!BN1</f>
        <v>0</v>
      </c>
      <c r="BO1" s="105">
        <f>'T&amp;D'!BO1</f>
        <v>0</v>
      </c>
      <c r="BP1" s="105">
        <f>'T&amp;D'!BP1</f>
        <v>0</v>
      </c>
      <c r="BQ1" s="105">
        <f>'T&amp;D'!BQ1</f>
        <v>0</v>
      </c>
      <c r="BR1" s="105">
        <f>'T&amp;D'!BR1</f>
        <v>0</v>
      </c>
      <c r="BS1" s="105">
        <f>'T&amp;D'!BS1</f>
        <v>0</v>
      </c>
      <c r="BT1" s="105">
        <f>'T&amp;D'!BT1</f>
        <v>0</v>
      </c>
      <c r="BU1" s="105">
        <f>'T&amp;D'!BU1</f>
        <v>0</v>
      </c>
      <c r="BV1" s="105">
        <f>'T&amp;D'!BV1</f>
        <v>0</v>
      </c>
      <c r="BW1" s="105">
        <f>'T&amp;D'!BW1</f>
        <v>0</v>
      </c>
      <c r="BX1" s="105">
        <f>'T&amp;D'!BX1</f>
        <v>0</v>
      </c>
      <c r="BY1" s="105">
        <f>'T&amp;D'!BY1</f>
        <v>0</v>
      </c>
      <c r="BZ1" s="105">
        <f>'T&amp;D'!BZ1</f>
        <v>0</v>
      </c>
      <c r="CA1" s="105">
        <f>'T&amp;D'!CA1</f>
        <v>0</v>
      </c>
      <c r="CB1" s="105">
        <f>'T&amp;D'!CB1</f>
        <v>0</v>
      </c>
      <c r="CC1" s="105">
        <f>'T&amp;D'!CC1</f>
        <v>0</v>
      </c>
      <c r="CD1" s="105">
        <f>'T&amp;D'!CD1</f>
        <v>0</v>
      </c>
    </row>
    <row r="2" spans="1:82" x14ac:dyDescent="0.2">
      <c r="A2" s="103" t="s">
        <v>217</v>
      </c>
      <c r="D2" s="75"/>
      <c r="K2" s="142">
        <f>K4-K3</f>
        <v>5.7356483516483522E-2</v>
      </c>
      <c r="Q2" s="105" t="str">
        <f>'T&amp;D'!Q2</f>
        <v>w/O OT</v>
      </c>
      <c r="R2" s="105" t="str">
        <f>'T&amp;D'!R2</f>
        <v>w/O OT</v>
      </c>
      <c r="S2" s="105" t="str">
        <f>'T&amp;D'!S2</f>
        <v>w/O OT</v>
      </c>
      <c r="T2" s="105" t="str">
        <f>'T&amp;D'!T2</f>
        <v>w/O OT</v>
      </c>
      <c r="U2" s="105" t="str">
        <f>'T&amp;D'!U2</f>
        <v>Fri</v>
      </c>
      <c r="V2" s="105" t="str">
        <f>'T&amp;D'!V2</f>
        <v>Sat</v>
      </c>
      <c r="W2" s="105" t="str">
        <f>'T&amp;D'!W2</f>
        <v>w/O OT</v>
      </c>
      <c r="X2" s="105" t="str">
        <f>'T&amp;D'!X2</f>
        <v>w/O OT</v>
      </c>
      <c r="Y2" s="105" t="str">
        <f>'T&amp;D'!Y2</f>
        <v>w/O OT</v>
      </c>
      <c r="Z2" s="105" t="str">
        <f>'T&amp;D'!Z2</f>
        <v>w/O OT</v>
      </c>
      <c r="AA2" s="105" t="str">
        <f>'T&amp;D'!AA2</f>
        <v>Fri</v>
      </c>
      <c r="AB2" s="105" t="str">
        <f>'T&amp;D'!AB2</f>
        <v>Sat</v>
      </c>
      <c r="AC2" s="105" t="str">
        <f>'T&amp;D'!AC2</f>
        <v>w/O OT</v>
      </c>
      <c r="AD2" s="105" t="str">
        <f>'T&amp;D'!AD2</f>
        <v>w/O OT</v>
      </c>
      <c r="AE2" s="105" t="str">
        <f>'T&amp;D'!AE2</f>
        <v>w/O OT</v>
      </c>
      <c r="AF2" s="105" t="str">
        <f>'T&amp;D'!AF2</f>
        <v>w/O OT</v>
      </c>
      <c r="AG2" s="105" t="str">
        <f>'T&amp;D'!AG2</f>
        <v>Fri</v>
      </c>
      <c r="AH2" s="105" t="str">
        <f>'T&amp;D'!AH2</f>
        <v>Sat</v>
      </c>
      <c r="AI2" s="105" t="str">
        <f>'T&amp;D'!AI2</f>
        <v>w/O OT</v>
      </c>
      <c r="AJ2" s="105" t="str">
        <f>'T&amp;D'!AJ2</f>
        <v>w/O OT</v>
      </c>
      <c r="AK2" s="105" t="str">
        <f>'T&amp;D'!AK2</f>
        <v>w/O OT</v>
      </c>
      <c r="AL2" s="105" t="str">
        <f>'T&amp;D'!AL2</f>
        <v>w/O OT</v>
      </c>
      <c r="AM2" s="105" t="str">
        <f>'T&amp;D'!AM2</f>
        <v>Fri</v>
      </c>
      <c r="AN2" s="105" t="str">
        <f>'T&amp;D'!AN2</f>
        <v>Sat</v>
      </c>
      <c r="AO2" s="105" t="str">
        <f>'T&amp;D'!AO2</f>
        <v>w/O OT</v>
      </c>
      <c r="AP2" s="105" t="str">
        <f>'T&amp;D'!AP2</f>
        <v>w/O OT</v>
      </c>
      <c r="AQ2" s="105" t="str">
        <f>'T&amp;D'!AQ2</f>
        <v>w/O OT</v>
      </c>
      <c r="AR2" s="105" t="str">
        <f>'T&amp;D'!AR2</f>
        <v>w/O OT</v>
      </c>
      <c r="AS2" s="105" t="str">
        <f>'T&amp;D'!AS2</f>
        <v>Fri</v>
      </c>
      <c r="AT2" s="105" t="str">
        <f>'T&amp;D'!AT2</f>
        <v>Sat</v>
      </c>
      <c r="AU2" s="105" t="str">
        <f>'T&amp;D'!AU2</f>
        <v>w/O OT</v>
      </c>
      <c r="AV2" s="105" t="str">
        <f>'T&amp;D'!AV2</f>
        <v>w/O OT</v>
      </c>
      <c r="AW2" s="105" t="str">
        <f>'T&amp;D'!AW2</f>
        <v>w/O OT</v>
      </c>
      <c r="AX2" s="105" t="str">
        <f>'T&amp;D'!AX2</f>
        <v>w/O OT</v>
      </c>
      <c r="AY2" s="105" t="str">
        <f>'T&amp;D'!AY2</f>
        <v>Fri</v>
      </c>
      <c r="AZ2" s="105" t="str">
        <f>'T&amp;D'!AZ2</f>
        <v>Sat</v>
      </c>
      <c r="BA2" s="105" t="str">
        <f>'T&amp;D'!BA2</f>
        <v>w/O OT</v>
      </c>
      <c r="BB2" s="105" t="str">
        <f>'T&amp;D'!BB2</f>
        <v>w/O OT</v>
      </c>
      <c r="BC2" s="105" t="str">
        <f>'T&amp;D'!BC2</f>
        <v>w/O OT</v>
      </c>
      <c r="BD2" s="105" t="str">
        <f>'T&amp;D'!BD2</f>
        <v>w/O OT</v>
      </c>
      <c r="BE2" s="105" t="str">
        <f>'T&amp;D'!BE2</f>
        <v>Fri</v>
      </c>
      <c r="BF2" s="105" t="str">
        <f>'T&amp;D'!BF2</f>
        <v>Sat</v>
      </c>
      <c r="BG2" s="105" t="str">
        <f>'T&amp;D'!BG2</f>
        <v>w/O OT</v>
      </c>
      <c r="BH2" s="105" t="str">
        <f>'T&amp;D'!BH2</f>
        <v>w/O OT</v>
      </c>
      <c r="BI2" s="105" t="str">
        <f>'T&amp;D'!BI2</f>
        <v>w/O OT</v>
      </c>
      <c r="BJ2" s="105" t="str">
        <f>'T&amp;D'!BJ2</f>
        <v>w/O OT</v>
      </c>
      <c r="BK2" s="105" t="str">
        <f>'T&amp;D'!BK2</f>
        <v>Fri</v>
      </c>
      <c r="BL2" s="105" t="str">
        <f>'T&amp;D'!BL2</f>
        <v>Sat</v>
      </c>
      <c r="BM2" s="105" t="str">
        <f>'T&amp;D'!BM2</f>
        <v>w/O OT</v>
      </c>
      <c r="BN2" s="105" t="str">
        <f>'T&amp;D'!BN2</f>
        <v>w/O OT</v>
      </c>
      <c r="BO2" s="105" t="str">
        <f>'T&amp;D'!BO2</f>
        <v>w/O OT</v>
      </c>
      <c r="BP2" s="105" t="str">
        <f>'T&amp;D'!BP2</f>
        <v>w/O OT</v>
      </c>
      <c r="BQ2" s="105" t="str">
        <f>'T&amp;D'!BQ2</f>
        <v>Fri</v>
      </c>
      <c r="BR2" s="105" t="str">
        <f>'T&amp;D'!BR2</f>
        <v>Sat</v>
      </c>
      <c r="BS2" s="105" t="str">
        <f>'T&amp;D'!BS2</f>
        <v>w/O OT</v>
      </c>
      <c r="BT2" s="105" t="str">
        <f>'T&amp;D'!BT2</f>
        <v>w/O OT</v>
      </c>
      <c r="BU2" s="105" t="str">
        <f>'T&amp;D'!BU2</f>
        <v>w/O OT</v>
      </c>
      <c r="BV2" s="105" t="str">
        <f>'T&amp;D'!BV2</f>
        <v>w/O OT</v>
      </c>
      <c r="BW2" s="105" t="str">
        <f>'T&amp;D'!BW2</f>
        <v>Fri</v>
      </c>
      <c r="BX2" s="105" t="str">
        <f>'T&amp;D'!BX2</f>
        <v>Sat</v>
      </c>
      <c r="BY2" s="105" t="str">
        <f>'T&amp;D'!BY2</f>
        <v>w/O OT</v>
      </c>
      <c r="BZ2" s="105" t="str">
        <f>'T&amp;D'!BZ2</f>
        <v>w/O OT</v>
      </c>
      <c r="CA2" s="105" t="str">
        <f>'T&amp;D'!CA2</f>
        <v>w/O OT</v>
      </c>
      <c r="CB2" s="105" t="str">
        <f>'T&amp;D'!CB2</f>
        <v>w/O OT</v>
      </c>
      <c r="CC2" s="105" t="str">
        <f>'T&amp;D'!CC2</f>
        <v>Fri</v>
      </c>
      <c r="CD2" s="105" t="str">
        <f>'T&amp;D'!CD2</f>
        <v>Sat</v>
      </c>
    </row>
    <row r="3" spans="1:82" s="80" customFormat="1" ht="12" customHeight="1" x14ac:dyDescent="0.2">
      <c r="A3" s="79"/>
      <c r="C3" s="71" t="s">
        <v>109</v>
      </c>
      <c r="D3" s="75" t="s">
        <v>110</v>
      </c>
      <c r="E3" s="174" t="s">
        <v>90</v>
      </c>
      <c r="K3" s="85">
        <f>K41+K43</f>
        <v>0</v>
      </c>
      <c r="L3" s="85"/>
      <c r="M3" s="177"/>
      <c r="N3" s="240" t="s">
        <v>415</v>
      </c>
      <c r="O3" s="81"/>
      <c r="P3" s="81"/>
      <c r="Q3" s="82">
        <f>'T&amp;D'!Q3</f>
        <v>46314</v>
      </c>
      <c r="R3" s="82">
        <f>'T&amp;D'!R3</f>
        <v>46315</v>
      </c>
      <c r="S3" s="82">
        <f>'T&amp;D'!S3</f>
        <v>46316</v>
      </c>
      <c r="T3" s="82">
        <f>'T&amp;D'!T3</f>
        <v>46317</v>
      </c>
      <c r="U3" s="82">
        <f>'T&amp;D'!U3</f>
        <v>46318</v>
      </c>
      <c r="V3" s="82">
        <f>'T&amp;D'!V3</f>
        <v>46319</v>
      </c>
      <c r="W3" s="82">
        <f>'T&amp;D'!W3</f>
        <v>46321</v>
      </c>
      <c r="X3" s="82">
        <f>'T&amp;D'!X3</f>
        <v>46322</v>
      </c>
      <c r="Y3" s="82">
        <f>'T&amp;D'!Y3</f>
        <v>46323</v>
      </c>
      <c r="Z3" s="82">
        <f>'T&amp;D'!Z3</f>
        <v>46324</v>
      </c>
      <c r="AA3" s="82">
        <f>'T&amp;D'!AA3</f>
        <v>46325</v>
      </c>
      <c r="AB3" s="82">
        <f>'T&amp;D'!AB3</f>
        <v>46326</v>
      </c>
      <c r="AC3" s="82">
        <f>'T&amp;D'!AC3</f>
        <v>46328</v>
      </c>
      <c r="AD3" s="82">
        <f>'T&amp;D'!AD3</f>
        <v>46329</v>
      </c>
      <c r="AE3" s="82">
        <f>'T&amp;D'!AE3</f>
        <v>46330</v>
      </c>
      <c r="AF3" s="82">
        <f>'T&amp;D'!AF3</f>
        <v>46331</v>
      </c>
      <c r="AG3" s="82">
        <f>'T&amp;D'!AG3</f>
        <v>46332</v>
      </c>
      <c r="AH3" s="82">
        <f>'T&amp;D'!AH3</f>
        <v>46333</v>
      </c>
      <c r="AI3" s="82">
        <f>'T&amp;D'!AI3</f>
        <v>46335</v>
      </c>
      <c r="AJ3" s="82">
        <f>'T&amp;D'!AJ3</f>
        <v>46336</v>
      </c>
      <c r="AK3" s="82">
        <f>'T&amp;D'!AK3</f>
        <v>46337</v>
      </c>
      <c r="AL3" s="82">
        <f>'T&amp;D'!AL3</f>
        <v>46338</v>
      </c>
      <c r="AM3" s="82">
        <f>'T&amp;D'!AM3</f>
        <v>46339</v>
      </c>
      <c r="AN3" s="82">
        <f>'T&amp;D'!AN3</f>
        <v>46340</v>
      </c>
      <c r="AO3" s="82">
        <f>'T&amp;D'!AO3</f>
        <v>46342</v>
      </c>
      <c r="AP3" s="82">
        <f>'T&amp;D'!AP3</f>
        <v>46343</v>
      </c>
      <c r="AQ3" s="82">
        <f>'T&amp;D'!AQ3</f>
        <v>46344</v>
      </c>
      <c r="AR3" s="82">
        <f>'T&amp;D'!AR3</f>
        <v>46345</v>
      </c>
      <c r="AS3" s="82">
        <f>'T&amp;D'!AS3</f>
        <v>46346</v>
      </c>
      <c r="AT3" s="82">
        <f>'T&amp;D'!AT3</f>
        <v>46347</v>
      </c>
      <c r="AU3" s="82">
        <f>'T&amp;D'!AU3</f>
        <v>46349</v>
      </c>
      <c r="AV3" s="82">
        <f>'T&amp;D'!AV3</f>
        <v>46350</v>
      </c>
      <c r="AW3" s="82">
        <f>'T&amp;D'!AW3</f>
        <v>46351</v>
      </c>
      <c r="AX3" s="82">
        <f>'T&amp;D'!AX3</f>
        <v>46352</v>
      </c>
      <c r="AY3" s="82">
        <f>'T&amp;D'!AY3</f>
        <v>46353</v>
      </c>
      <c r="AZ3" s="82">
        <f>'T&amp;D'!AZ3</f>
        <v>46354</v>
      </c>
      <c r="BA3" s="82">
        <f>'T&amp;D'!BA3</f>
        <v>46356</v>
      </c>
      <c r="BB3" s="82">
        <f>'T&amp;D'!BB3</f>
        <v>46357</v>
      </c>
      <c r="BC3" s="82">
        <f>'T&amp;D'!BC3</f>
        <v>46358</v>
      </c>
      <c r="BD3" s="82">
        <f>'T&amp;D'!BD3</f>
        <v>46359</v>
      </c>
      <c r="BE3" s="82">
        <f>'T&amp;D'!BE3</f>
        <v>46360</v>
      </c>
      <c r="BF3" s="82">
        <f>'T&amp;D'!BF3</f>
        <v>46361</v>
      </c>
      <c r="BG3" s="82">
        <f>'T&amp;D'!BG3</f>
        <v>46363</v>
      </c>
      <c r="BH3" s="82">
        <f>'T&amp;D'!BH3</f>
        <v>46364</v>
      </c>
      <c r="BI3" s="82">
        <f>'T&amp;D'!BI3</f>
        <v>46365</v>
      </c>
      <c r="BJ3" s="82">
        <f>'T&amp;D'!BJ3</f>
        <v>46366</v>
      </c>
      <c r="BK3" s="82">
        <f>'T&amp;D'!BK3</f>
        <v>46367</v>
      </c>
      <c r="BL3" s="82">
        <f>'T&amp;D'!BL3</f>
        <v>46368</v>
      </c>
      <c r="BM3" s="82">
        <f>'T&amp;D'!BM3</f>
        <v>46370</v>
      </c>
      <c r="BN3" s="82">
        <f>'T&amp;D'!BN3</f>
        <v>46371</v>
      </c>
      <c r="BO3" s="82">
        <f>'T&amp;D'!BO3</f>
        <v>46372</v>
      </c>
      <c r="BP3" s="82">
        <f>'T&amp;D'!BP3</f>
        <v>46373</v>
      </c>
      <c r="BQ3" s="82">
        <f>'T&amp;D'!BQ3</f>
        <v>46374</v>
      </c>
      <c r="BR3" s="82">
        <f>'T&amp;D'!BR3</f>
        <v>46375</v>
      </c>
      <c r="BS3" s="82">
        <f>'T&amp;D'!BS3</f>
        <v>46377</v>
      </c>
      <c r="BT3" s="82">
        <f>'T&amp;D'!BT3</f>
        <v>46378</v>
      </c>
      <c r="BU3" s="82">
        <f>'T&amp;D'!BU3</f>
        <v>46379</v>
      </c>
      <c r="BV3" s="82">
        <f>'T&amp;D'!BV3</f>
        <v>46380</v>
      </c>
      <c r="BW3" s="82">
        <f>'T&amp;D'!BW3</f>
        <v>46381</v>
      </c>
      <c r="BX3" s="82">
        <f>'T&amp;D'!BX3</f>
        <v>46382</v>
      </c>
      <c r="BY3" s="82">
        <f>'T&amp;D'!BY3</f>
        <v>46384</v>
      </c>
      <c r="BZ3" s="82">
        <f>'T&amp;D'!BZ3</f>
        <v>46385</v>
      </c>
      <c r="CA3" s="82">
        <f>'T&amp;D'!CA3</f>
        <v>46386</v>
      </c>
      <c r="CB3" s="82">
        <f>'T&amp;D'!CB3</f>
        <v>46387</v>
      </c>
      <c r="CC3" s="82">
        <f>'T&amp;D'!CC3</f>
        <v>46388</v>
      </c>
      <c r="CD3" s="82">
        <f>'T&amp;D'!CD3</f>
        <v>46389</v>
      </c>
    </row>
    <row r="4" spans="1:82" s="84" customFormat="1" ht="12" customHeight="1" x14ac:dyDescent="0.2">
      <c r="A4" s="83"/>
      <c r="D4" s="173"/>
      <c r="E4" s="174" t="s">
        <v>228</v>
      </c>
      <c r="H4" s="85">
        <f>45.5/5</f>
        <v>9.1</v>
      </c>
      <c r="K4" s="85">
        <f>SUM(K8:K4656)</f>
        <v>5.7356483516483522E-2</v>
      </c>
      <c r="L4" s="85"/>
      <c r="M4" s="178">
        <f>'T&amp;D'!M4</f>
        <v>46314</v>
      </c>
      <c r="N4" s="177"/>
      <c r="O4" s="81"/>
      <c r="P4" s="81"/>
      <c r="Q4" s="104">
        <f>'T&amp;D'!Q4</f>
        <v>45817</v>
      </c>
      <c r="R4" s="104">
        <f>'T&amp;D'!R4</f>
        <v>45818</v>
      </c>
      <c r="S4" s="104">
        <f>'T&amp;D'!S4</f>
        <v>45819</v>
      </c>
      <c r="T4" s="104">
        <f>'T&amp;D'!T4</f>
        <v>45820</v>
      </c>
      <c r="U4" s="104">
        <f>'T&amp;D'!U4</f>
        <v>45821</v>
      </c>
      <c r="V4" s="104">
        <f>'T&amp;D'!V4</f>
        <v>45822</v>
      </c>
      <c r="W4" s="104">
        <f>'T&amp;D'!W4</f>
        <v>45824</v>
      </c>
      <c r="X4" s="104">
        <f>'T&amp;D'!X4</f>
        <v>45825</v>
      </c>
      <c r="Y4" s="104">
        <f>'T&amp;D'!Y4</f>
        <v>45826</v>
      </c>
      <c r="Z4" s="104">
        <f>'T&amp;D'!Z4</f>
        <v>45827</v>
      </c>
      <c r="AA4" s="104">
        <f>'T&amp;D'!AA4</f>
        <v>45828</v>
      </c>
      <c r="AB4" s="104">
        <f>'T&amp;D'!AB4</f>
        <v>45829</v>
      </c>
      <c r="AC4" s="104">
        <f>'T&amp;D'!AC4</f>
        <v>45831</v>
      </c>
      <c r="AD4" s="104">
        <f>'T&amp;D'!AD4</f>
        <v>45832</v>
      </c>
      <c r="AE4" s="104">
        <f>'T&amp;D'!AE4</f>
        <v>45833</v>
      </c>
      <c r="AF4" s="104">
        <f>'T&amp;D'!AF4</f>
        <v>45834</v>
      </c>
      <c r="AG4" s="104">
        <f>'T&amp;D'!AG4</f>
        <v>45835</v>
      </c>
      <c r="AH4" s="104">
        <f>'T&amp;D'!AH4</f>
        <v>45836</v>
      </c>
      <c r="AI4" s="104">
        <f>'T&amp;D'!AI4</f>
        <v>45838</v>
      </c>
      <c r="AJ4" s="104">
        <f>'T&amp;D'!AJ4</f>
        <v>45839</v>
      </c>
      <c r="AK4" s="104">
        <f>'T&amp;D'!AK4</f>
        <v>45840</v>
      </c>
      <c r="AL4" s="104">
        <f>'T&amp;D'!AL4</f>
        <v>45841</v>
      </c>
      <c r="AM4" s="104">
        <f>'T&amp;D'!AM4</f>
        <v>45842</v>
      </c>
      <c r="AN4" s="104">
        <f>'T&amp;D'!AN4</f>
        <v>45843</v>
      </c>
      <c r="AO4" s="104">
        <f>'T&amp;D'!AO4</f>
        <v>45845</v>
      </c>
      <c r="AP4" s="104">
        <f>'T&amp;D'!AP4</f>
        <v>45846</v>
      </c>
      <c r="AQ4" s="104">
        <f>'T&amp;D'!AQ4</f>
        <v>45847</v>
      </c>
      <c r="AR4" s="104">
        <f>'T&amp;D'!AR4</f>
        <v>45848</v>
      </c>
      <c r="AS4" s="104">
        <f>'T&amp;D'!AS4</f>
        <v>45849</v>
      </c>
      <c r="AT4" s="104">
        <f>'T&amp;D'!AT4</f>
        <v>45850</v>
      </c>
      <c r="AU4" s="104">
        <f>'T&amp;D'!AU4</f>
        <v>45852</v>
      </c>
      <c r="AV4" s="104">
        <f>'T&amp;D'!AV4</f>
        <v>45853</v>
      </c>
      <c r="AW4" s="104">
        <f>'T&amp;D'!AW4</f>
        <v>45854</v>
      </c>
      <c r="AX4" s="104">
        <f>'T&amp;D'!AX4</f>
        <v>45855</v>
      </c>
      <c r="AY4" s="104">
        <f>'T&amp;D'!AY4</f>
        <v>45856</v>
      </c>
      <c r="AZ4" s="104">
        <f>'T&amp;D'!AZ4</f>
        <v>45857</v>
      </c>
      <c r="BA4" s="104">
        <f>'T&amp;D'!BA4</f>
        <v>45859</v>
      </c>
      <c r="BB4" s="104">
        <f>'T&amp;D'!BB4</f>
        <v>45860</v>
      </c>
      <c r="BC4" s="104">
        <f>'T&amp;D'!BC4</f>
        <v>45861</v>
      </c>
      <c r="BD4" s="104">
        <f>'T&amp;D'!BD4</f>
        <v>45862</v>
      </c>
      <c r="BE4" s="104">
        <f>'T&amp;D'!BE4</f>
        <v>45863</v>
      </c>
      <c r="BF4" s="104">
        <f>'T&amp;D'!BF4</f>
        <v>45864</v>
      </c>
      <c r="BG4" s="104">
        <f>'T&amp;D'!BG4</f>
        <v>45866</v>
      </c>
      <c r="BH4" s="104">
        <f>'T&amp;D'!BH4</f>
        <v>45867</v>
      </c>
      <c r="BI4" s="104">
        <f>'T&amp;D'!BI4</f>
        <v>45868</v>
      </c>
      <c r="BJ4" s="104">
        <f>'T&amp;D'!BJ4</f>
        <v>45869</v>
      </c>
      <c r="BK4" s="104">
        <f>'T&amp;D'!BK4</f>
        <v>45870</v>
      </c>
      <c r="BL4" s="104">
        <f>'T&amp;D'!BL4</f>
        <v>45871</v>
      </c>
      <c r="BM4" s="104">
        <f>'T&amp;D'!BM4</f>
        <v>45873</v>
      </c>
      <c r="BN4" s="104">
        <f>'T&amp;D'!BN4</f>
        <v>45874</v>
      </c>
      <c r="BO4" s="104">
        <f>'T&amp;D'!BO4</f>
        <v>45875</v>
      </c>
      <c r="BP4" s="104">
        <f>'T&amp;D'!BP4</f>
        <v>45876</v>
      </c>
      <c r="BQ4" s="104">
        <f>'T&amp;D'!BQ4</f>
        <v>45877</v>
      </c>
      <c r="BR4" s="104">
        <f>'T&amp;D'!BR4</f>
        <v>45878</v>
      </c>
      <c r="BS4" s="104">
        <f>'T&amp;D'!BS4</f>
        <v>45880</v>
      </c>
      <c r="BT4" s="104">
        <f>'T&amp;D'!BT4</f>
        <v>45881</v>
      </c>
      <c r="BU4" s="104">
        <f>'T&amp;D'!BU4</f>
        <v>45882</v>
      </c>
      <c r="BV4" s="104">
        <f>'T&amp;D'!BV4</f>
        <v>45883</v>
      </c>
      <c r="BW4" s="104">
        <f>'T&amp;D'!BW4</f>
        <v>45884</v>
      </c>
      <c r="BX4" s="104">
        <f>'T&amp;D'!BX4</f>
        <v>45885</v>
      </c>
      <c r="BY4" s="104">
        <f>'T&amp;D'!BY4</f>
        <v>45887</v>
      </c>
      <c r="BZ4" s="104">
        <f>'T&amp;D'!BZ4</f>
        <v>45888</v>
      </c>
      <c r="CA4" s="104">
        <f>'T&amp;D'!CA4</f>
        <v>45889</v>
      </c>
      <c r="CB4" s="104">
        <f>'T&amp;D'!CB4</f>
        <v>45890</v>
      </c>
      <c r="CC4" s="104">
        <f>'T&amp;D'!CC4</f>
        <v>45891</v>
      </c>
      <c r="CD4" s="104">
        <f>'T&amp;D'!CD4</f>
        <v>45892</v>
      </c>
    </row>
    <row r="5" spans="1:82" s="84" customFormat="1" ht="15" customHeight="1" x14ac:dyDescent="0.2">
      <c r="A5" s="386" t="s">
        <v>385</v>
      </c>
      <c r="B5" s="386" t="s">
        <v>214</v>
      </c>
      <c r="C5" s="387" t="s">
        <v>91</v>
      </c>
      <c r="D5" s="388" t="s">
        <v>0</v>
      </c>
      <c r="E5" s="389" t="s">
        <v>103</v>
      </c>
      <c r="F5" s="392" t="s">
        <v>93</v>
      </c>
      <c r="G5" s="388" t="s">
        <v>94</v>
      </c>
      <c r="H5" s="390" t="s">
        <v>95</v>
      </c>
      <c r="I5" s="393" t="s">
        <v>519</v>
      </c>
      <c r="J5" s="393" t="s">
        <v>520</v>
      </c>
      <c r="K5" s="390" t="s">
        <v>241</v>
      </c>
      <c r="L5" s="390" t="s">
        <v>240</v>
      </c>
      <c r="M5" s="389" t="s">
        <v>98</v>
      </c>
      <c r="N5" s="389" t="s">
        <v>99</v>
      </c>
      <c r="O5" s="391" t="s">
        <v>102</v>
      </c>
      <c r="P5" s="125" t="s">
        <v>106</v>
      </c>
      <c r="Q5" s="126" cm="1">
        <f t="array" ref="Q5">_xlfn.IFS(Q2="w/ OT",12.25,Q2="w/o OT",9.5,Q2="FRI",7.5,Q2="SAT",7.5,Q2="SUN",7.5,Q2="OFF",0)</f>
        <v>9.5</v>
      </c>
      <c r="R5" s="126" cm="1">
        <f t="array" ref="R5">_xlfn.IFS(R2="w/ OT",12.25,R2="w/o OT",9.5,R2="FRI",7.5,R2="SAT",7.5,R2="SUN",7.5,R2="OFF",0)</f>
        <v>9.5</v>
      </c>
      <c r="S5" s="126" cm="1">
        <f t="array" ref="S5">_xlfn.IFS(S2="w/ OT",12.25,S2="w/o OT",9.5,S2="FRI",7.5,S2="SAT",7.5,S2="SUN",7.5,S2="OFF",0)</f>
        <v>9.5</v>
      </c>
      <c r="T5" s="126" cm="1">
        <f t="array" ref="T5">_xlfn.IFS(T2="w/ OT",12.25,T2="w/o OT",9.5,T2="FRI",7.5,T2="SAT",7.5,T2="SUN",7.5,T2="OFF",0)</f>
        <v>9.5</v>
      </c>
      <c r="U5" s="126" cm="1">
        <f t="array" ref="U5">_xlfn.IFS(U2="w/ OT",12.25,U2="w/o OT",9.5,U2="FRI",7.5,U2="SAT",7.5,U2="SUN",7.5,U2="OFF",0)</f>
        <v>7.5</v>
      </c>
      <c r="V5" s="126" cm="1">
        <f t="array" ref="V5">_xlfn.IFS(V2="w/ OT",12.25,V2="w/o OT",9.5,V2="FRI",7.5,V2="SAT",7.5,V2="SUN",7.5,V2="OFF",0)</f>
        <v>7.5</v>
      </c>
      <c r="W5" s="126" cm="1">
        <f t="array" ref="W5">_xlfn.IFS(W2="w/ OT",12.25,W2="w/o OT",9.5,W2="FRI",7.5,W2="SAT",7.5,W2="SUN",7.5,W2="OFF",0)</f>
        <v>9.5</v>
      </c>
      <c r="X5" s="126" cm="1">
        <f t="array" ref="X5">_xlfn.IFS(X2="w/ OT",12.25,X2="w/o OT",9.5,X2="FRI",7.5,X2="SAT",7.5,X2="SUN",7.5,X2="OFF",0)</f>
        <v>9.5</v>
      </c>
      <c r="Y5" s="126" cm="1">
        <f t="array" ref="Y5">_xlfn.IFS(Y2="w/ OT",12.25,Y2="w/o OT",9.5,Y2="FRI",7.5,Y2="SAT",7.5,Y2="SUN",7.5,Y2="OFF",0)</f>
        <v>9.5</v>
      </c>
      <c r="Z5" s="126" cm="1">
        <f t="array" ref="Z5">_xlfn.IFS(Z2="w/ OT",12.25,Z2="w/o OT",9.5,Z2="FRI",7.5,Z2="SAT",7.5,Z2="SUN",7.5,Z2="OFF",0)</f>
        <v>9.5</v>
      </c>
      <c r="AA5" s="126" cm="1">
        <f t="array" ref="AA5">_xlfn.IFS(AA2="w/ OT",12.25,AA2="w/o OT",9.5,AA2="FRI",7.5,AA2="SAT",7.5,AA2="SUN",7.5,AA2="OFF",0)</f>
        <v>7.5</v>
      </c>
      <c r="AB5" s="126" cm="1">
        <f t="array" ref="AB5">_xlfn.IFS(AB2="w/ OT",12.25,AB2="w/o OT",9.5,AB2="FRI",7.5,AB2="SAT",7.5,AB2="SUN",7.5,AB2="OFF",0)</f>
        <v>7.5</v>
      </c>
      <c r="AC5" s="126" cm="1">
        <f t="array" ref="AC5">_xlfn.IFS(AC2="w/ OT",12.25,AC2="w/o OT",9.5,AC2="FRI",7.5,AC2="SAT",7.5,AC2="SUN",7.5,AC2="OFF",0)</f>
        <v>9.5</v>
      </c>
      <c r="AD5" s="126" cm="1">
        <f t="array" ref="AD5">_xlfn.IFS(AD2="w/ OT",12.25,AD2="w/o OT",9.5,AD2="FRI",7.5,AD2="SAT",7.5,AD2="SUN",7.5,AD2="OFF",0)</f>
        <v>9.5</v>
      </c>
      <c r="AE5" s="126" cm="1">
        <f t="array" ref="AE5">_xlfn.IFS(AE2="w/ OT",12.25,AE2="w/o OT",9.5,AE2="FRI",7.5,AE2="SAT",7.5,AE2="SUN",7.5,AE2="OFF",0)</f>
        <v>9.5</v>
      </c>
      <c r="AF5" s="126" cm="1">
        <f t="array" ref="AF5">_xlfn.IFS(AF2="w/ OT",12.25,AF2="w/o OT",9.5,AF2="FRI",7.5,AF2="SAT",7.5,AF2="SUN",7.5,AF2="OFF",0)</f>
        <v>9.5</v>
      </c>
      <c r="AG5" s="126" cm="1">
        <f t="array" ref="AG5">_xlfn.IFS(AG2="w/ OT",12.25,AG2="w/o OT",9.5,AG2="FRI",7.5,AG2="SAT",7.5,AG2="SUN",7.5,AG2="OFF",0)</f>
        <v>7.5</v>
      </c>
      <c r="AH5" s="126" cm="1">
        <f t="array" ref="AH5">_xlfn.IFS(AH2="w/ OT",12.25,AH2="w/o OT",9.5,AH2="FRI",7.5,AH2="SAT",7.5,AH2="SUN",7.5,AH2="OFF",0)</f>
        <v>7.5</v>
      </c>
      <c r="AI5" s="126" cm="1">
        <f t="array" ref="AI5">_xlfn.IFS(AI2="w/ OT",12.25,AI2="w/o OT",9.5,AI2="FRI",7.5,AI2="SAT",7.5,AI2="SUN",7.5,AI2="OFF",0)</f>
        <v>9.5</v>
      </c>
      <c r="AJ5" s="126" cm="1">
        <f t="array" ref="AJ5">_xlfn.IFS(AJ2="w/ OT",12.25,AJ2="w/o OT",9.5,AJ2="FRI",7.5,AJ2="SAT",7.5,AJ2="SUN",7.5,AJ2="OFF",0)</f>
        <v>9.5</v>
      </c>
      <c r="AK5" s="126" cm="1">
        <f t="array" ref="AK5">_xlfn.IFS(AK2="w/ OT",12.25,AK2="w/o OT",9.5,AK2="FRI",7.5,AK2="SAT",7.5,AK2="SUN",7.5,AK2="OFF",0)</f>
        <v>9.5</v>
      </c>
      <c r="AL5" s="126" cm="1">
        <f t="array" ref="AL5">_xlfn.IFS(AL2="w/ OT",12.25,AL2="w/o OT",9.5,AL2="FRI",7.5,AL2="SAT",7.5,AL2="SUN",7.5,AL2="OFF",0)</f>
        <v>9.5</v>
      </c>
      <c r="AM5" s="126" cm="1">
        <f t="array" ref="AM5">_xlfn.IFS(AM2="w/ OT",12.25,AM2="w/o OT",9.5,AM2="FRI",7.5,AM2="SAT",7.5,AM2="SUN",7.5,AM2="OFF",0)</f>
        <v>7.5</v>
      </c>
      <c r="AN5" s="126" cm="1">
        <f t="array" ref="AN5">_xlfn.IFS(AN2="w/ OT",12.25,AN2="w/o OT",9.5,AN2="FRI",7.5,AN2="SAT",7.5,AN2="SUN",7.5,AN2="OFF",0)</f>
        <v>7.5</v>
      </c>
      <c r="AO5" s="126" cm="1">
        <f t="array" ref="AO5">_xlfn.IFS(AO2="w/ OT",12.25,AO2="w/o OT",9.5,AO2="FRI",7.5,AO2="SAT",7.5,AO2="SUN",7.5,AO2="OFF",0)</f>
        <v>9.5</v>
      </c>
      <c r="AP5" s="126" cm="1">
        <f t="array" ref="AP5">_xlfn.IFS(AP2="w/ OT",12.25,AP2="w/o OT",9.5,AP2="FRI",7.5,AP2="SAT",7.5,AP2="SUN",7.5,AP2="OFF",0)</f>
        <v>9.5</v>
      </c>
      <c r="AQ5" s="126" cm="1">
        <f t="array" ref="AQ5">_xlfn.IFS(AQ2="w/ OT",12.25,AQ2="w/o OT",9.5,AQ2="FRI",7.5,AQ2="SAT",7.5,AQ2="SUN",7.5,AQ2="OFF",0)</f>
        <v>9.5</v>
      </c>
      <c r="AR5" s="126" cm="1">
        <f t="array" ref="AR5">_xlfn.IFS(AR2="w/ OT",12.25,AR2="w/o OT",9.5,AR2="FRI",7.5,AR2="SAT",7.5,AR2="SUN",7.5,AR2="OFF",0)</f>
        <v>9.5</v>
      </c>
      <c r="AS5" s="126" cm="1">
        <f t="array" ref="AS5">_xlfn.IFS(AS2="w/ OT",12.25,AS2="w/o OT",9.5,AS2="FRI",7.5,AS2="SAT",7.5,AS2="SUN",7.5,AS2="OFF",0)</f>
        <v>7.5</v>
      </c>
      <c r="AT5" s="126" cm="1">
        <f t="array" ref="AT5">_xlfn.IFS(AT2="w/ OT",12.25,AT2="w/o OT",9.5,AT2="FRI",7.5,AT2="SAT",7.5,AT2="SUN",7.5,AT2="OFF",0)</f>
        <v>7.5</v>
      </c>
      <c r="AU5" s="126" cm="1">
        <f t="array" ref="AU5">_xlfn.IFS(AU2="w/ OT",12.25,AU2="w/o OT",9.5,AU2="FRI",7.5,AU2="SAT",7.5,AU2="SUN",7.5,AU2="OFF",0)</f>
        <v>9.5</v>
      </c>
      <c r="AV5" s="126" cm="1">
        <f t="array" ref="AV5">_xlfn.IFS(AV2="w/ OT",12.25,AV2="w/o OT",9.5,AV2="FRI",7.5,AV2="SAT",7.5,AV2="SUN",7.5,AV2="OFF",0)</f>
        <v>9.5</v>
      </c>
      <c r="AW5" s="126" cm="1">
        <f t="array" ref="AW5">_xlfn.IFS(AW2="w/ OT",12.25,AW2="w/o OT",9.5,AW2="FRI",7.5,AW2="SAT",7.5,AW2="SUN",7.5,AW2="OFF",0)</f>
        <v>9.5</v>
      </c>
      <c r="AX5" s="126" cm="1">
        <f t="array" ref="AX5">_xlfn.IFS(AX2="w/ OT",12.25,AX2="w/o OT",9.5,AX2="FRI",7.5,AX2="SAT",7.5,AX2="SUN",7.5,AX2="OFF",0)</f>
        <v>9.5</v>
      </c>
      <c r="AY5" s="126" cm="1">
        <f t="array" ref="AY5">_xlfn.IFS(AY2="w/ OT",12.25,AY2="w/o OT",9.5,AY2="FRI",7.5,AY2="SAT",7.5,AY2="SUN",7.5,AY2="OFF",0)</f>
        <v>7.5</v>
      </c>
      <c r="AZ5" s="126" cm="1">
        <f t="array" ref="AZ5">_xlfn.IFS(AZ2="w/ OT",12.25,AZ2="w/o OT",9.5,AZ2="FRI",7.5,AZ2="SAT",7.5,AZ2="SUN",7.5,AZ2="OFF",0)</f>
        <v>7.5</v>
      </c>
      <c r="BA5" s="126" cm="1">
        <f t="array" ref="BA5">_xlfn.IFS(BA2="w/ OT",12.25,BA2="w/o OT",9.5,BA2="FRI",7.5,BA2="SAT",7.5,BA2="SUN",7.5,BA2="OFF",0)</f>
        <v>9.5</v>
      </c>
      <c r="BB5" s="126" cm="1">
        <f t="array" ref="BB5">_xlfn.IFS(BB2="w/ OT",12.25,BB2="w/o OT",9.5,BB2="FRI",7.5,BB2="SAT",7.5,BB2="SUN",7.5,BB2="OFF",0)</f>
        <v>9.5</v>
      </c>
      <c r="BC5" s="126" cm="1">
        <f t="array" ref="BC5">_xlfn.IFS(BC2="w/ OT",12.25,BC2="w/o OT",9.5,BC2="FRI",7.5,BC2="SAT",7.5,BC2="SUN",7.5,BC2="OFF",0)</f>
        <v>9.5</v>
      </c>
      <c r="BD5" s="126" cm="1">
        <f t="array" ref="BD5">_xlfn.IFS(BD2="w/ OT",12.25,BD2="w/o OT",9.5,BD2="FRI",7.5,BD2="SAT",7.5,BD2="SUN",7.5,BD2="OFF",0)</f>
        <v>9.5</v>
      </c>
      <c r="BE5" s="126" cm="1">
        <f t="array" ref="BE5">_xlfn.IFS(BE2="w/ OT",12.25,BE2="w/o OT",9.5,BE2="FRI",7.5,BE2="SAT",7.5,BE2="SUN",7.5,BE2="OFF",0)</f>
        <v>7.5</v>
      </c>
      <c r="BF5" s="126" cm="1">
        <f t="array" ref="BF5">_xlfn.IFS(BF2="w/ OT",12.25,BF2="w/o OT",9.5,BF2="FRI",7.5,BF2="SAT",7.5,BF2="SUN",7.5,BF2="OFF",0)</f>
        <v>7.5</v>
      </c>
      <c r="BG5" s="126" cm="1">
        <f t="array" ref="BG5">_xlfn.IFS(BG2="w/ OT",12.25,BG2="w/o OT",9.5,BG2="FRI",7.5,BG2="SAT",7.5,BG2="SUN",7.5,BG2="OFF",0)</f>
        <v>9.5</v>
      </c>
      <c r="BH5" s="126" cm="1">
        <f t="array" ref="BH5">_xlfn.IFS(BH2="w/ OT",12.25,BH2="w/o OT",9.5,BH2="FRI",7.5,BH2="SAT",7.5,BH2="SUN",7.5,BH2="OFF",0)</f>
        <v>9.5</v>
      </c>
      <c r="BI5" s="126" cm="1">
        <f t="array" ref="BI5">_xlfn.IFS(BI2="w/ OT",12.25,BI2="w/o OT",9.5,BI2="FRI",7.5,BI2="SAT",7.5,BI2="SUN",7.5,BI2="OFF",0)</f>
        <v>9.5</v>
      </c>
      <c r="BJ5" s="126" cm="1">
        <f t="array" ref="BJ5">_xlfn.IFS(BJ2="w/ OT",12.25,BJ2="w/o OT",9.5,BJ2="FRI",7.5,BJ2="SAT",7.5,BJ2="SUN",7.5,BJ2="OFF",0)</f>
        <v>9.5</v>
      </c>
      <c r="BK5" s="126" cm="1">
        <f t="array" ref="BK5">_xlfn.IFS(BK2="w/ OT",12.25,BK2="w/o OT",9.5,BK2="FRI",7.5,BK2="SAT",7.5,BK2="SUN",7.5,BK2="OFF",0)</f>
        <v>7.5</v>
      </c>
      <c r="BL5" s="126" cm="1">
        <f t="array" ref="BL5">_xlfn.IFS(BL2="w/ OT",12.25,BL2="w/o OT",9.5,BL2="FRI",7.5,BL2="SAT",7.5,BL2="SUN",7.5,BL2="OFF",0)</f>
        <v>7.5</v>
      </c>
      <c r="BM5" s="126" cm="1">
        <f t="array" ref="BM5">_xlfn.IFS(BM2="w/ OT",12.25,BM2="w/o OT",9.5,BM2="FRI",7.5,BM2="SAT",7.5,BM2="SUN",7.5,BM2="OFF",0)</f>
        <v>9.5</v>
      </c>
      <c r="BN5" s="126" cm="1">
        <f t="array" ref="BN5">_xlfn.IFS(BN2="w/ OT",12.25,BN2="w/o OT",9.5,BN2="FRI",7.5,BN2="SAT",7.5,BN2="SUN",7.5,BN2="OFF",0)</f>
        <v>9.5</v>
      </c>
      <c r="BO5" s="126" cm="1">
        <f t="array" ref="BO5">_xlfn.IFS(BO2="w/ OT",12.25,BO2="w/o OT",9.5,BO2="FRI",7.5,BO2="SAT",7.5,BO2="SUN",7.5,BO2="OFF",0)</f>
        <v>9.5</v>
      </c>
      <c r="BP5" s="126" cm="1">
        <f t="array" ref="BP5">_xlfn.IFS(BP2="w/ OT",12.25,BP2="w/o OT",9.5,BP2="FRI",7.5,BP2="SAT",7.5,BP2="SUN",7.5,BP2="OFF",0)</f>
        <v>9.5</v>
      </c>
      <c r="BQ5" s="126" cm="1">
        <f t="array" ref="BQ5">_xlfn.IFS(BQ2="w/ OT",12.25,BQ2="w/o OT",9.5,BQ2="FRI",7.5,BQ2="SAT",7.5,BQ2="SUN",7.5,BQ2="OFF",0)</f>
        <v>7.5</v>
      </c>
      <c r="BR5" s="126" cm="1">
        <f t="array" ref="BR5">_xlfn.IFS(BR2="w/ OT",12.25,BR2="w/o OT",9.5,BR2="FRI",7.5,BR2="SAT",7.5,BR2="SUN",7.5,BR2="OFF",0)</f>
        <v>7.5</v>
      </c>
      <c r="BS5" s="126" cm="1">
        <f t="array" ref="BS5">_xlfn.IFS(BS2="w/ OT",12.25,BS2="w/o OT",9.5,BS2="FRI",7.5,BS2="SAT",7.5,BS2="SUN",7.5,BS2="OFF",0)</f>
        <v>9.5</v>
      </c>
      <c r="BT5" s="126" cm="1">
        <f t="array" ref="BT5">_xlfn.IFS(BT2="w/ OT",12.25,BT2="w/o OT",9.5,BT2="FRI",7.5,BT2="SAT",7.5,BT2="SUN",7.5,BT2="OFF",0)</f>
        <v>9.5</v>
      </c>
      <c r="BU5" s="126" cm="1">
        <f t="array" ref="BU5">_xlfn.IFS(BU2="w/ OT",12.25,BU2="w/o OT",9.5,BU2="FRI",7.5,BU2="SAT",7.5,BU2="SUN",7.5,BU2="OFF",0)</f>
        <v>9.5</v>
      </c>
      <c r="BV5" s="126" cm="1">
        <f t="array" ref="BV5">_xlfn.IFS(BV2="w/ OT",12.25,BV2="w/o OT",9.5,BV2="FRI",7.5,BV2="SAT",7.5,BV2="SUN",7.5,BV2="OFF",0)</f>
        <v>9.5</v>
      </c>
      <c r="BW5" s="126" cm="1">
        <f t="array" ref="BW5">_xlfn.IFS(BW2="w/ OT",12.25,BW2="w/o OT",9.5,BW2="FRI",7.5,BW2="SAT",7.5,BW2="SUN",7.5,BW2="OFF",0)</f>
        <v>7.5</v>
      </c>
      <c r="BX5" s="126" cm="1">
        <f t="array" ref="BX5">_xlfn.IFS(BX2="w/ OT",12.25,BX2="w/o OT",9.5,BX2="FRI",7.5,BX2="SAT",7.5,BX2="SUN",7.5,BX2="OFF",0)</f>
        <v>7.5</v>
      </c>
      <c r="BY5" s="126" cm="1">
        <f t="array" ref="BY5">_xlfn.IFS(BY2="w/ OT",12.25,BY2="w/o OT",9.5,BY2="FRI",7.5,BY2="SAT",7.5,BY2="SUN",7.5,BY2="OFF",0)</f>
        <v>9.5</v>
      </c>
      <c r="BZ5" s="126" cm="1">
        <f t="array" ref="BZ5">_xlfn.IFS(BZ2="w/ OT",12.25,BZ2="w/o OT",9.5,BZ2="FRI",7.5,BZ2="SAT",7.5,BZ2="SUN",7.5,BZ2="OFF",0)</f>
        <v>9.5</v>
      </c>
      <c r="CA5" s="126" cm="1">
        <f t="array" ref="CA5">_xlfn.IFS(CA2="w/ OT",12.25,CA2="w/o OT",9.5,CA2="FRI",7.5,CA2="SAT",7.5,CA2="SUN",7.5,CA2="OFF",0)</f>
        <v>9.5</v>
      </c>
      <c r="CB5" s="126" cm="1">
        <f t="array" ref="CB5">_xlfn.IFS(CB2="w/ OT",12.25,CB2="w/o OT",9.5,CB2="FRI",7.5,CB2="SAT",7.5,CB2="SUN",7.5,CB2="OFF",0)</f>
        <v>9.5</v>
      </c>
      <c r="CC5" s="126" cm="1">
        <f t="array" ref="CC5">_xlfn.IFS(CC2="w/ OT",12.25,CC2="w/o OT",9.5,CC2="FRI",7.5,CC2="SAT",7.5,CC2="SUN",7.5,CC2="OFF",0)</f>
        <v>7.5</v>
      </c>
      <c r="CD5" s="126" cm="1">
        <f t="array" ref="CD5">_xlfn.IFS(CD2="w/ OT",12.25,CD2="w/o OT",9.5,CD2="FRI",7.5,CD2="SAT",7.5,CD2="SUN",7.5,CD2="OFF",0)</f>
        <v>7.5</v>
      </c>
    </row>
    <row r="6" spans="1:82" ht="15" customHeight="1" x14ac:dyDescent="0.2">
      <c r="A6" s="386"/>
      <c r="B6" s="386"/>
      <c r="C6" s="387"/>
      <c r="D6" s="388"/>
      <c r="E6" s="389"/>
      <c r="F6" s="392"/>
      <c r="G6" s="388"/>
      <c r="H6" s="390"/>
      <c r="I6" s="393"/>
      <c r="J6" s="393"/>
      <c r="K6" s="390"/>
      <c r="L6" s="390"/>
      <c r="M6" s="389"/>
      <c r="N6" s="389"/>
      <c r="O6" s="391"/>
      <c r="P6" s="123" t="s">
        <v>107</v>
      </c>
      <c r="Q6" s="124"/>
      <c r="R6" s="124"/>
      <c r="S6" s="124"/>
      <c r="T6" s="124"/>
      <c r="U6" s="124"/>
      <c r="V6" s="124"/>
      <c r="W6" s="124"/>
      <c r="X6" s="124"/>
      <c r="Y6" s="124"/>
      <c r="Z6" s="124"/>
      <c r="AA6" s="124"/>
      <c r="AB6" s="124"/>
      <c r="AC6" s="124"/>
      <c r="AD6" s="124"/>
      <c r="AE6" s="124"/>
      <c r="AF6" s="124"/>
      <c r="AG6" s="124"/>
      <c r="AH6" s="124"/>
      <c r="AI6" s="124"/>
      <c r="AJ6" s="124"/>
      <c r="AK6" s="124"/>
      <c r="AL6" s="124"/>
      <c r="AM6" s="124"/>
      <c r="AN6" s="124"/>
      <c r="AO6" s="124"/>
      <c r="AP6" s="124"/>
      <c r="AQ6" s="124"/>
      <c r="AR6" s="124"/>
      <c r="AS6" s="124"/>
      <c r="AT6" s="124"/>
      <c r="AU6" s="124"/>
      <c r="AV6" s="124"/>
      <c r="AW6" s="124"/>
      <c r="AX6" s="124"/>
      <c r="AY6" s="124"/>
      <c r="AZ6" s="124"/>
      <c r="BA6" s="124"/>
      <c r="BB6" s="124"/>
      <c r="BC6" s="124"/>
      <c r="BD6" s="124"/>
      <c r="BE6" s="124"/>
      <c r="BF6" s="124"/>
      <c r="BG6" s="124"/>
      <c r="BH6" s="124"/>
      <c r="BI6" s="124"/>
      <c r="BJ6" s="124"/>
      <c r="BK6" s="124"/>
      <c r="BL6" s="124"/>
      <c r="BM6" s="124"/>
      <c r="BN6" s="124"/>
      <c r="BO6" s="124"/>
      <c r="BP6" s="124"/>
      <c r="BQ6" s="124"/>
      <c r="BR6" s="124"/>
      <c r="BS6" s="124"/>
      <c r="BT6" s="124"/>
      <c r="BU6" s="124"/>
      <c r="BV6" s="124"/>
      <c r="BW6" s="124"/>
      <c r="BX6" s="124"/>
      <c r="BY6" s="124"/>
      <c r="BZ6" s="124"/>
      <c r="CA6" s="124"/>
      <c r="CB6" s="124"/>
      <c r="CC6" s="124"/>
      <c r="CD6" s="124"/>
    </row>
    <row r="7" spans="1:82" ht="9" customHeight="1" x14ac:dyDescent="0.2">
      <c r="A7" s="113"/>
      <c r="B7" s="114"/>
      <c r="C7" s="115"/>
      <c r="D7" s="116"/>
      <c r="E7" s="175"/>
      <c r="F7" s="117"/>
      <c r="G7" s="116"/>
      <c r="H7" s="118"/>
      <c r="I7" s="119"/>
      <c r="J7" s="119"/>
      <c r="K7" s="186"/>
      <c r="L7" s="186"/>
      <c r="M7" s="179"/>
      <c r="N7" s="179"/>
      <c r="O7" s="120"/>
      <c r="P7" s="120"/>
      <c r="Q7" s="121"/>
      <c r="R7" s="121"/>
      <c r="S7" s="121"/>
      <c r="T7" s="121"/>
      <c r="U7" s="121"/>
      <c r="V7" s="121"/>
      <c r="W7" s="121"/>
      <c r="X7" s="121"/>
      <c r="Y7" s="121"/>
      <c r="Z7" s="121"/>
      <c r="AA7" s="121"/>
      <c r="AB7" s="121"/>
      <c r="AC7" s="121"/>
      <c r="AD7" s="121"/>
      <c r="AE7" s="121"/>
      <c r="AF7" s="121"/>
      <c r="AG7" s="121"/>
      <c r="AH7" s="121"/>
      <c r="AI7" s="121"/>
      <c r="AJ7" s="121"/>
      <c r="AK7" s="121"/>
      <c r="AL7" s="121"/>
      <c r="AM7" s="121"/>
      <c r="AN7" s="121"/>
      <c r="AO7" s="121"/>
      <c r="AP7" s="121"/>
      <c r="AQ7" s="121"/>
      <c r="AR7" s="121"/>
      <c r="AS7" s="121"/>
      <c r="AT7" s="121"/>
      <c r="AU7" s="121"/>
    </row>
    <row r="8" spans="1:82" ht="12.6" customHeight="1" x14ac:dyDescent="0.2">
      <c r="A8" s="106">
        <f>SHIPMENTS!A14</f>
        <v>9296</v>
      </c>
      <c r="B8" s="106" t="str">
        <f>SHIPMENTS!B14</f>
        <v>15900- Makati |Techiron Resources Inc.</v>
      </c>
      <c r="C8" s="132">
        <f>SHIPMENTS!F14</f>
        <v>0.05</v>
      </c>
      <c r="D8" s="107" t="str">
        <f>IF((SHIPMENTS!I14)=0,"",SHIPMENTS!I14)</f>
        <v/>
      </c>
      <c r="E8" s="176">
        <f>IF((SHIPMENTS!G14)=0,"",SHIPMENTS!G14)</f>
        <v>46314</v>
      </c>
      <c r="F8" s="98">
        <f>VLOOKUP(A8,load!$A$4:$U$5001,19,0)</f>
        <v>0</v>
      </c>
      <c r="G8" s="109">
        <f>Manhours!$C$10</f>
        <v>2.5</v>
      </c>
      <c r="H8" s="110">
        <f t="shared" ref="H8" si="0">+G8*$H$4</f>
        <v>22.75</v>
      </c>
      <c r="I8" s="111">
        <f>F8/H8</f>
        <v>0</v>
      </c>
      <c r="J8" s="111">
        <f t="shared" ref="J8" si="1">+I8*$H$4</f>
        <v>0</v>
      </c>
      <c r="K8" s="110">
        <f>IFERROR(I8-(I8*O8),0)</f>
        <v>0</v>
      </c>
      <c r="L8" s="110">
        <f>IFERROR(J8-(J8*O8),0)</f>
        <v>0</v>
      </c>
      <c r="M8" s="180">
        <f>M4</f>
        <v>46314</v>
      </c>
      <c r="N8" s="181">
        <f>M8+K8</f>
        <v>46314</v>
      </c>
      <c r="O8" s="112">
        <f>VLOOKUP(A8,SHIPMENTS!$A$7:$AP$76,11,0)</f>
        <v>0</v>
      </c>
      <c r="P8" s="112"/>
      <c r="Q8" s="127" t="str">
        <f t="shared" ref="Q8:AF23" si="2">IF($E8=Q$3,"▲","")</f>
        <v>▲</v>
      </c>
      <c r="R8" s="127" t="str">
        <f t="shared" si="2"/>
        <v/>
      </c>
      <c r="S8" s="127" t="str">
        <f t="shared" si="2"/>
        <v/>
      </c>
      <c r="T8" s="127" t="str">
        <f t="shared" si="2"/>
        <v/>
      </c>
      <c r="U8" s="127" t="str">
        <f t="shared" si="2"/>
        <v/>
      </c>
      <c r="V8" s="127" t="str">
        <f t="shared" si="2"/>
        <v/>
      </c>
      <c r="W8" s="127" t="str">
        <f t="shared" si="2"/>
        <v/>
      </c>
      <c r="X8" s="127" t="str">
        <f t="shared" si="2"/>
        <v/>
      </c>
      <c r="Y8" s="127" t="str">
        <f t="shared" si="2"/>
        <v/>
      </c>
      <c r="Z8" s="127" t="str">
        <f t="shared" si="2"/>
        <v/>
      </c>
      <c r="AA8" s="127" t="str">
        <f t="shared" si="2"/>
        <v/>
      </c>
      <c r="AB8" s="127" t="str">
        <f t="shared" si="2"/>
        <v/>
      </c>
      <c r="AC8" s="127" t="str">
        <f t="shared" si="2"/>
        <v/>
      </c>
      <c r="AD8" s="127" t="str">
        <f t="shared" si="2"/>
        <v/>
      </c>
      <c r="AE8" s="127" t="str">
        <f t="shared" si="2"/>
        <v/>
      </c>
      <c r="AF8" s="127" t="str">
        <f t="shared" si="2"/>
        <v/>
      </c>
      <c r="AG8" s="127" t="str">
        <f t="shared" ref="AG8:BF17" si="3">IF($E8=AG$3,"▲","")</f>
        <v/>
      </c>
      <c r="AH8" s="127" t="str">
        <f t="shared" si="3"/>
        <v/>
      </c>
      <c r="AI8" s="127" t="str">
        <f t="shared" si="3"/>
        <v/>
      </c>
      <c r="AJ8" s="127" t="str">
        <f t="shared" si="3"/>
        <v/>
      </c>
      <c r="AK8" s="127" t="str">
        <f t="shared" si="3"/>
        <v/>
      </c>
      <c r="AL8" s="127" t="str">
        <f t="shared" si="3"/>
        <v/>
      </c>
      <c r="AM8" s="127" t="str">
        <f t="shared" si="3"/>
        <v/>
      </c>
      <c r="AN8" s="127" t="str">
        <f t="shared" si="3"/>
        <v/>
      </c>
      <c r="AO8" s="127" t="str">
        <f t="shared" si="3"/>
        <v/>
      </c>
      <c r="AP8" s="127" t="str">
        <f t="shared" si="3"/>
        <v/>
      </c>
      <c r="AQ8" s="127" t="str">
        <f t="shared" si="3"/>
        <v/>
      </c>
      <c r="AR8" s="127" t="str">
        <f t="shared" si="3"/>
        <v/>
      </c>
      <c r="AS8" s="127" t="str">
        <f t="shared" si="3"/>
        <v/>
      </c>
      <c r="AT8" s="127" t="str">
        <f t="shared" si="3"/>
        <v/>
      </c>
      <c r="AU8" s="127" t="str">
        <f t="shared" si="3"/>
        <v/>
      </c>
      <c r="AV8" s="127" t="str">
        <f t="shared" si="3"/>
        <v/>
      </c>
      <c r="AW8" s="127" t="str">
        <f t="shared" si="3"/>
        <v/>
      </c>
      <c r="AX8" s="127" t="str">
        <f t="shared" si="3"/>
        <v/>
      </c>
      <c r="AY8" s="127" t="str">
        <f t="shared" si="3"/>
        <v/>
      </c>
      <c r="AZ8" s="127" t="str">
        <f t="shared" si="3"/>
        <v/>
      </c>
      <c r="BA8" s="127" t="str">
        <f t="shared" si="3"/>
        <v/>
      </c>
      <c r="BB8" s="127" t="str">
        <f t="shared" si="3"/>
        <v/>
      </c>
      <c r="BC8" s="127" t="str">
        <f t="shared" si="3"/>
        <v/>
      </c>
      <c r="BD8" s="127" t="str">
        <f t="shared" si="3"/>
        <v/>
      </c>
      <c r="BE8" s="127" t="str">
        <f t="shared" si="3"/>
        <v/>
      </c>
      <c r="BF8" s="127" t="str">
        <f t="shared" si="3"/>
        <v/>
      </c>
      <c r="BG8" s="127" t="str">
        <f t="shared" ref="BG8:BV17" si="4">IF($E8=BG$3,"▲","")</f>
        <v/>
      </c>
      <c r="BH8" s="127" t="str">
        <f t="shared" si="4"/>
        <v/>
      </c>
      <c r="BI8" s="127" t="str">
        <f t="shared" si="4"/>
        <v/>
      </c>
      <c r="BJ8" s="127" t="str">
        <f t="shared" si="4"/>
        <v/>
      </c>
      <c r="BK8" s="127" t="str">
        <f t="shared" si="4"/>
        <v/>
      </c>
      <c r="BL8" s="127" t="str">
        <f t="shared" si="4"/>
        <v/>
      </c>
      <c r="BM8" s="127" t="str">
        <f t="shared" si="4"/>
        <v/>
      </c>
      <c r="BN8" s="127" t="str">
        <f t="shared" si="4"/>
        <v/>
      </c>
      <c r="BO8" s="127" t="str">
        <f t="shared" si="4"/>
        <v/>
      </c>
      <c r="BP8" s="127" t="str">
        <f t="shared" si="4"/>
        <v/>
      </c>
      <c r="BQ8" s="127" t="str">
        <f t="shared" si="4"/>
        <v/>
      </c>
      <c r="BR8" s="127" t="str">
        <f t="shared" si="4"/>
        <v/>
      </c>
      <c r="BS8" s="127" t="str">
        <f t="shared" si="4"/>
        <v/>
      </c>
      <c r="BT8" s="127" t="str">
        <f t="shared" si="4"/>
        <v/>
      </c>
      <c r="BU8" s="127" t="str">
        <f t="shared" si="4"/>
        <v/>
      </c>
      <c r="BV8" s="127" t="str">
        <f t="shared" si="4"/>
        <v/>
      </c>
      <c r="BW8" s="127" t="str">
        <f t="shared" ref="BS8:CD23" si="5">IF($E8=BW$3,"▲","")</f>
        <v/>
      </c>
      <c r="BX8" s="127" t="str">
        <f t="shared" si="5"/>
        <v/>
      </c>
      <c r="BY8" s="127" t="str">
        <f t="shared" si="5"/>
        <v/>
      </c>
      <c r="BZ8" s="127" t="str">
        <f t="shared" si="5"/>
        <v/>
      </c>
      <c r="CA8" s="127" t="str">
        <f t="shared" si="5"/>
        <v/>
      </c>
      <c r="CB8" s="127" t="str">
        <f t="shared" si="5"/>
        <v/>
      </c>
      <c r="CC8" s="127" t="str">
        <f t="shared" si="5"/>
        <v/>
      </c>
      <c r="CD8" s="127" t="str">
        <f t="shared" si="5"/>
        <v/>
      </c>
    </row>
    <row r="9" spans="1:82" ht="12.6" customHeight="1" x14ac:dyDescent="0.2">
      <c r="A9" s="106">
        <f>SHIPMENTS!A15</f>
        <v>9309</v>
      </c>
      <c r="B9" s="106" t="str">
        <f>SHIPMENTS!B15</f>
        <v>43940-THAILAND</v>
      </c>
      <c r="C9" s="132">
        <f>SHIPMENTS!F15</f>
        <v>6.4030000000000004E-2</v>
      </c>
      <c r="D9" s="107" t="str">
        <f>IF((SHIPMENTS!I15)=0,"",SHIPMENTS!I15)</f>
        <v>AIR</v>
      </c>
      <c r="E9" s="176">
        <f>IF((SHIPMENTS!G15)=0,"",SHIPMENTS!G15)</f>
        <v>46314</v>
      </c>
      <c r="F9" s="98">
        <f>VLOOKUP(A9,load!$A$4:$U$5001,19,0)</f>
        <v>0</v>
      </c>
      <c r="G9" s="109">
        <f>Manhours!$C$10</f>
        <v>2.5</v>
      </c>
      <c r="H9" s="110">
        <f t="shared" ref="H9:H32" si="6">+G9*$H$4</f>
        <v>22.75</v>
      </c>
      <c r="I9" s="111">
        <f t="shared" ref="I9:I32" si="7">F9/H9</f>
        <v>0</v>
      </c>
      <c r="J9" s="111">
        <f t="shared" ref="J9:J32" si="8">+I9*$H$4</f>
        <v>0</v>
      </c>
      <c r="K9" s="110">
        <f t="shared" ref="K9:K32" si="9">IFERROR(I9-(I9*O9),0)</f>
        <v>0</v>
      </c>
      <c r="L9" s="110">
        <f t="shared" ref="L9:L32" si="10">IFERROR(J9-(J9*O9),0)</f>
        <v>0</v>
      </c>
      <c r="M9" s="180">
        <f t="shared" ref="M9" si="11">N8</f>
        <v>46314</v>
      </c>
      <c r="N9" s="181">
        <f t="shared" ref="N9:N32" si="12">M9+K9</f>
        <v>46314</v>
      </c>
      <c r="O9" s="112">
        <f>VLOOKUP(A9,SHIPMENTS!$A$7:$AP$76,11,0)</f>
        <v>0</v>
      </c>
      <c r="P9" s="101"/>
      <c r="Q9" s="127" t="str">
        <f t="shared" si="2"/>
        <v>▲</v>
      </c>
      <c r="R9" s="127" t="str">
        <f t="shared" si="2"/>
        <v/>
      </c>
      <c r="S9" s="127" t="str">
        <f t="shared" si="2"/>
        <v/>
      </c>
      <c r="T9" s="127" t="str">
        <f t="shared" si="2"/>
        <v/>
      </c>
      <c r="U9" s="127" t="str">
        <f t="shared" si="2"/>
        <v/>
      </c>
      <c r="V9" s="127" t="str">
        <f t="shared" si="2"/>
        <v/>
      </c>
      <c r="W9" s="127" t="str">
        <f t="shared" si="2"/>
        <v/>
      </c>
      <c r="X9" s="127" t="str">
        <f t="shared" si="2"/>
        <v/>
      </c>
      <c r="Y9" s="127" t="str">
        <f t="shared" si="2"/>
        <v/>
      </c>
      <c r="Z9" s="127" t="str">
        <f t="shared" si="2"/>
        <v/>
      </c>
      <c r="AA9" s="127" t="str">
        <f t="shared" si="2"/>
        <v/>
      </c>
      <c r="AB9" s="127" t="str">
        <f t="shared" si="2"/>
        <v/>
      </c>
      <c r="AC9" s="127" t="str">
        <f t="shared" si="2"/>
        <v/>
      </c>
      <c r="AD9" s="127" t="str">
        <f t="shared" si="2"/>
        <v/>
      </c>
      <c r="AE9" s="127" t="str">
        <f t="shared" si="2"/>
        <v/>
      </c>
      <c r="AF9" s="127" t="str">
        <f t="shared" si="2"/>
        <v/>
      </c>
      <c r="AG9" s="127" t="str">
        <f t="shared" si="3"/>
        <v/>
      </c>
      <c r="AH9" s="127" t="str">
        <f t="shared" si="3"/>
        <v/>
      </c>
      <c r="AI9" s="127" t="str">
        <f t="shared" si="3"/>
        <v/>
      </c>
      <c r="AJ9" s="127" t="str">
        <f t="shared" si="3"/>
        <v/>
      </c>
      <c r="AK9" s="127" t="str">
        <f t="shared" si="3"/>
        <v/>
      </c>
      <c r="AL9" s="127" t="str">
        <f t="shared" si="3"/>
        <v/>
      </c>
      <c r="AM9" s="127" t="str">
        <f t="shared" si="3"/>
        <v/>
      </c>
      <c r="AN9" s="127" t="str">
        <f t="shared" si="3"/>
        <v/>
      </c>
      <c r="AO9" s="127" t="str">
        <f t="shared" si="3"/>
        <v/>
      </c>
      <c r="AP9" s="127" t="str">
        <f t="shared" si="3"/>
        <v/>
      </c>
      <c r="AQ9" s="127" t="str">
        <f t="shared" si="3"/>
        <v/>
      </c>
      <c r="AR9" s="127" t="str">
        <f t="shared" si="3"/>
        <v/>
      </c>
      <c r="AS9" s="127" t="str">
        <f t="shared" si="3"/>
        <v/>
      </c>
      <c r="AT9" s="127" t="str">
        <f t="shared" si="3"/>
        <v/>
      </c>
      <c r="AU9" s="127" t="str">
        <f t="shared" si="3"/>
        <v/>
      </c>
      <c r="AV9" s="127" t="str">
        <f t="shared" si="3"/>
        <v/>
      </c>
      <c r="AW9" s="127" t="str">
        <f t="shared" si="3"/>
        <v/>
      </c>
      <c r="AX9" s="127" t="str">
        <f t="shared" si="3"/>
        <v/>
      </c>
      <c r="AY9" s="127" t="str">
        <f t="shared" si="3"/>
        <v/>
      </c>
      <c r="AZ9" s="127" t="str">
        <f t="shared" si="3"/>
        <v/>
      </c>
      <c r="BA9" s="127" t="str">
        <f t="shared" si="3"/>
        <v/>
      </c>
      <c r="BB9" s="127" t="str">
        <f t="shared" si="3"/>
        <v/>
      </c>
      <c r="BC9" s="127" t="str">
        <f t="shared" si="3"/>
        <v/>
      </c>
      <c r="BD9" s="127" t="str">
        <f t="shared" si="3"/>
        <v/>
      </c>
      <c r="BE9" s="127" t="str">
        <f t="shared" si="3"/>
        <v/>
      </c>
      <c r="BF9" s="127" t="str">
        <f t="shared" si="3"/>
        <v/>
      </c>
      <c r="BG9" s="127" t="str">
        <f t="shared" si="4"/>
        <v/>
      </c>
      <c r="BH9" s="127" t="str">
        <f t="shared" si="4"/>
        <v/>
      </c>
      <c r="BI9" s="127" t="str">
        <f t="shared" si="4"/>
        <v/>
      </c>
      <c r="BJ9" s="127" t="str">
        <f t="shared" si="4"/>
        <v/>
      </c>
      <c r="BK9" s="127" t="str">
        <f t="shared" si="4"/>
        <v/>
      </c>
      <c r="BL9" s="127" t="str">
        <f t="shared" si="4"/>
        <v/>
      </c>
      <c r="BM9" s="127" t="str">
        <f t="shared" si="4"/>
        <v/>
      </c>
      <c r="BN9" s="127" t="str">
        <f t="shared" si="4"/>
        <v/>
      </c>
      <c r="BO9" s="127" t="str">
        <f t="shared" si="4"/>
        <v/>
      </c>
      <c r="BP9" s="127" t="str">
        <f t="shared" si="4"/>
        <v/>
      </c>
      <c r="BQ9" s="127" t="str">
        <f t="shared" si="4"/>
        <v/>
      </c>
      <c r="BR9" s="127" t="str">
        <f t="shared" si="4"/>
        <v/>
      </c>
      <c r="BS9" s="127" t="str">
        <f t="shared" si="5"/>
        <v/>
      </c>
      <c r="BT9" s="127" t="str">
        <f t="shared" si="5"/>
        <v/>
      </c>
      <c r="BU9" s="127" t="str">
        <f t="shared" si="5"/>
        <v/>
      </c>
      <c r="BV9" s="127" t="str">
        <f t="shared" si="5"/>
        <v/>
      </c>
      <c r="BW9" s="127" t="str">
        <f t="shared" si="5"/>
        <v/>
      </c>
      <c r="BX9" s="127" t="str">
        <f t="shared" si="5"/>
        <v/>
      </c>
      <c r="BY9" s="127" t="str">
        <f t="shared" si="5"/>
        <v/>
      </c>
      <c r="BZ9" s="127" t="str">
        <f t="shared" si="5"/>
        <v/>
      </c>
      <c r="CA9" s="127" t="str">
        <f t="shared" si="5"/>
        <v/>
      </c>
      <c r="CB9" s="127" t="str">
        <f t="shared" si="5"/>
        <v/>
      </c>
      <c r="CC9" s="127" t="str">
        <f t="shared" si="5"/>
        <v/>
      </c>
      <c r="CD9" s="127" t="str">
        <f t="shared" si="5"/>
        <v/>
      </c>
    </row>
    <row r="10" spans="1:82" ht="12.6" hidden="1" customHeight="1" x14ac:dyDescent="0.2">
      <c r="A10" s="106">
        <f>SHIPMENTS!A16</f>
        <v>9117</v>
      </c>
      <c r="B10" s="106" t="str">
        <f>SHIPMENTS!B16</f>
        <v>41700-CANADA BSAUNAS</v>
      </c>
      <c r="C10" s="132">
        <f>SHIPMENTS!F16</f>
        <v>83.268000000000001</v>
      </c>
      <c r="D10" s="107" t="str">
        <f>IF((SHIPMENTS!I16)=0,"",SHIPMENTS!I16)</f>
        <v>1X40HC</v>
      </c>
      <c r="E10" s="176">
        <f>IF((SHIPMENTS!G16)=0,"",SHIPMENTS!G16)</f>
        <v>46315</v>
      </c>
      <c r="F10" s="98">
        <f>VLOOKUP(A10,load!$A$4:$U$5001,19,0)</f>
        <v>0</v>
      </c>
      <c r="G10" s="109">
        <f>Manhours!$C$10</f>
        <v>2.5</v>
      </c>
      <c r="H10" s="110">
        <f t="shared" si="6"/>
        <v>22.75</v>
      </c>
      <c r="I10" s="111">
        <f t="shared" si="7"/>
        <v>0</v>
      </c>
      <c r="J10" s="111">
        <f t="shared" si="8"/>
        <v>0</v>
      </c>
      <c r="K10" s="110">
        <f t="shared" si="9"/>
        <v>0</v>
      </c>
      <c r="L10" s="110">
        <f t="shared" si="10"/>
        <v>0</v>
      </c>
      <c r="M10" s="180">
        <f t="shared" ref="M10:M32" si="13">N9</f>
        <v>46314</v>
      </c>
      <c r="N10" s="181">
        <f t="shared" si="12"/>
        <v>46314</v>
      </c>
      <c r="O10" s="112" t="str">
        <f>VLOOKUP(A10,SHIPMENTS!$A$7:$AP$76,11,0)</f>
        <v>n/a</v>
      </c>
      <c r="P10" s="101"/>
      <c r="Q10" s="127" t="str">
        <f t="shared" si="2"/>
        <v/>
      </c>
      <c r="R10" s="127" t="str">
        <f t="shared" si="2"/>
        <v>▲</v>
      </c>
      <c r="S10" s="127" t="str">
        <f t="shared" si="2"/>
        <v/>
      </c>
      <c r="T10" s="127" t="str">
        <f t="shared" si="2"/>
        <v/>
      </c>
      <c r="U10" s="127" t="str">
        <f t="shared" si="2"/>
        <v/>
      </c>
      <c r="V10" s="127" t="str">
        <f t="shared" si="2"/>
        <v/>
      </c>
      <c r="W10" s="127" t="str">
        <f t="shared" si="2"/>
        <v/>
      </c>
      <c r="X10" s="127" t="str">
        <f t="shared" si="2"/>
        <v/>
      </c>
      <c r="Y10" s="127" t="str">
        <f t="shared" si="2"/>
        <v/>
      </c>
      <c r="Z10" s="127" t="str">
        <f t="shared" si="2"/>
        <v/>
      </c>
      <c r="AA10" s="127" t="str">
        <f t="shared" si="2"/>
        <v/>
      </c>
      <c r="AB10" s="127" t="str">
        <f t="shared" si="2"/>
        <v/>
      </c>
      <c r="AC10" s="127" t="str">
        <f t="shared" si="2"/>
        <v/>
      </c>
      <c r="AD10" s="127" t="str">
        <f t="shared" si="2"/>
        <v/>
      </c>
      <c r="AE10" s="127" t="str">
        <f t="shared" si="2"/>
        <v/>
      </c>
      <c r="AF10" s="127" t="str">
        <f t="shared" si="2"/>
        <v/>
      </c>
      <c r="AG10" s="127" t="str">
        <f t="shared" si="3"/>
        <v/>
      </c>
      <c r="AH10" s="127" t="str">
        <f t="shared" si="3"/>
        <v/>
      </c>
      <c r="AI10" s="127" t="str">
        <f t="shared" si="3"/>
        <v/>
      </c>
      <c r="AJ10" s="127" t="str">
        <f t="shared" si="3"/>
        <v/>
      </c>
      <c r="AK10" s="127" t="str">
        <f t="shared" si="3"/>
        <v/>
      </c>
      <c r="AL10" s="127" t="str">
        <f t="shared" si="3"/>
        <v/>
      </c>
      <c r="AM10" s="127" t="str">
        <f t="shared" si="3"/>
        <v/>
      </c>
      <c r="AN10" s="127" t="str">
        <f t="shared" si="3"/>
        <v/>
      </c>
      <c r="AO10" s="127" t="str">
        <f t="shared" si="3"/>
        <v/>
      </c>
      <c r="AP10" s="127" t="str">
        <f t="shared" si="3"/>
        <v/>
      </c>
      <c r="AQ10" s="127" t="str">
        <f t="shared" si="3"/>
        <v/>
      </c>
      <c r="AR10" s="127" t="str">
        <f t="shared" si="3"/>
        <v/>
      </c>
      <c r="AS10" s="127" t="str">
        <f t="shared" si="3"/>
        <v/>
      </c>
      <c r="AT10" s="127" t="str">
        <f t="shared" si="3"/>
        <v/>
      </c>
      <c r="AU10" s="127" t="str">
        <f t="shared" si="3"/>
        <v/>
      </c>
      <c r="AV10" s="127" t="str">
        <f t="shared" si="3"/>
        <v/>
      </c>
      <c r="AW10" s="127" t="str">
        <f t="shared" si="3"/>
        <v/>
      </c>
      <c r="AX10" s="127" t="str">
        <f t="shared" si="3"/>
        <v/>
      </c>
      <c r="AY10" s="127" t="str">
        <f t="shared" si="3"/>
        <v/>
      </c>
      <c r="AZ10" s="127" t="str">
        <f t="shared" si="3"/>
        <v/>
      </c>
      <c r="BA10" s="127" t="str">
        <f t="shared" si="3"/>
        <v/>
      </c>
      <c r="BB10" s="127" t="str">
        <f t="shared" si="3"/>
        <v/>
      </c>
      <c r="BC10" s="127" t="str">
        <f t="shared" si="3"/>
        <v/>
      </c>
      <c r="BD10" s="127" t="str">
        <f t="shared" si="3"/>
        <v/>
      </c>
      <c r="BE10" s="127" t="str">
        <f t="shared" si="3"/>
        <v/>
      </c>
      <c r="BF10" s="127" t="str">
        <f t="shared" si="3"/>
        <v/>
      </c>
      <c r="BG10" s="127" t="str">
        <f t="shared" si="4"/>
        <v/>
      </c>
      <c r="BH10" s="127" t="str">
        <f t="shared" si="4"/>
        <v/>
      </c>
      <c r="BI10" s="127" t="str">
        <f t="shared" si="4"/>
        <v/>
      </c>
      <c r="BJ10" s="127" t="str">
        <f t="shared" si="4"/>
        <v/>
      </c>
      <c r="BK10" s="127" t="str">
        <f t="shared" si="4"/>
        <v/>
      </c>
      <c r="BL10" s="127" t="str">
        <f t="shared" si="4"/>
        <v/>
      </c>
      <c r="BM10" s="127" t="str">
        <f t="shared" si="4"/>
        <v/>
      </c>
      <c r="BN10" s="127" t="str">
        <f t="shared" si="4"/>
        <v/>
      </c>
      <c r="BO10" s="127" t="str">
        <f t="shared" si="4"/>
        <v/>
      </c>
      <c r="BP10" s="127" t="str">
        <f t="shared" si="4"/>
        <v/>
      </c>
      <c r="BQ10" s="127" t="str">
        <f t="shared" si="4"/>
        <v/>
      </c>
      <c r="BR10" s="127" t="str">
        <f t="shared" si="4"/>
        <v/>
      </c>
      <c r="BS10" s="127" t="str">
        <f t="shared" si="5"/>
        <v/>
      </c>
      <c r="BT10" s="127" t="str">
        <f t="shared" si="5"/>
        <v/>
      </c>
      <c r="BU10" s="127" t="str">
        <f t="shared" si="5"/>
        <v/>
      </c>
      <c r="BV10" s="127" t="str">
        <f t="shared" si="5"/>
        <v/>
      </c>
      <c r="BW10" s="127" t="str">
        <f t="shared" si="5"/>
        <v/>
      </c>
      <c r="BX10" s="127" t="str">
        <f t="shared" si="5"/>
        <v/>
      </c>
      <c r="BY10" s="127" t="str">
        <f t="shared" si="5"/>
        <v/>
      </c>
      <c r="BZ10" s="127" t="str">
        <f t="shared" si="5"/>
        <v/>
      </c>
      <c r="CA10" s="127" t="str">
        <f t="shared" si="5"/>
        <v/>
      </c>
      <c r="CB10" s="127" t="str">
        <f t="shared" si="5"/>
        <v/>
      </c>
      <c r="CC10" s="127" t="str">
        <f t="shared" si="5"/>
        <v/>
      </c>
      <c r="CD10" s="127" t="str">
        <f t="shared" si="5"/>
        <v/>
      </c>
    </row>
    <row r="11" spans="1:82" ht="12.6" hidden="1" customHeight="1" x14ac:dyDescent="0.2">
      <c r="A11" s="106">
        <f>SHIPMENTS!A17</f>
        <v>8641</v>
      </c>
      <c r="B11" s="106" t="str">
        <f>SHIPMENTS!B17</f>
        <v>41700-CANADA BSAUNAS BACKLOG</v>
      </c>
      <c r="C11" s="132">
        <f>SHIPMENTS!F17</f>
        <v>0</v>
      </c>
      <c r="D11" s="107" t="str">
        <f>IF((SHIPMENTS!I17)=0,"",SHIPMENTS!I17)</f>
        <v/>
      </c>
      <c r="E11" s="176">
        <f>IF((SHIPMENTS!G17)=0,"",SHIPMENTS!G17)</f>
        <v>46315</v>
      </c>
      <c r="F11" s="98">
        <f>VLOOKUP(A11,load!$A$4:$U$5001,19,0)</f>
        <v>0</v>
      </c>
      <c r="G11" s="109">
        <f>Manhours!$C$10</f>
        <v>2.5</v>
      </c>
      <c r="H11" s="110">
        <f t="shared" si="6"/>
        <v>22.75</v>
      </c>
      <c r="I11" s="111">
        <f t="shared" si="7"/>
        <v>0</v>
      </c>
      <c r="J11" s="111">
        <f t="shared" si="8"/>
        <v>0</v>
      </c>
      <c r="K11" s="110">
        <f t="shared" si="9"/>
        <v>0</v>
      </c>
      <c r="L11" s="110">
        <f t="shared" si="10"/>
        <v>0</v>
      </c>
      <c r="M11" s="180">
        <f t="shared" si="13"/>
        <v>46314</v>
      </c>
      <c r="N11" s="181">
        <f t="shared" si="12"/>
        <v>46314</v>
      </c>
      <c r="O11" s="112" t="str">
        <f>VLOOKUP(A11,SHIPMENTS!$A$7:$AP$76,11,0)</f>
        <v>n/a</v>
      </c>
      <c r="P11" s="101"/>
      <c r="Q11" s="127" t="str">
        <f t="shared" si="2"/>
        <v/>
      </c>
      <c r="R11" s="127" t="str">
        <f t="shared" si="2"/>
        <v>▲</v>
      </c>
      <c r="S11" s="127" t="str">
        <f t="shared" si="2"/>
        <v/>
      </c>
      <c r="T11" s="127" t="str">
        <f t="shared" si="2"/>
        <v/>
      </c>
      <c r="U11" s="127" t="str">
        <f t="shared" si="2"/>
        <v/>
      </c>
      <c r="V11" s="127" t="str">
        <f t="shared" si="2"/>
        <v/>
      </c>
      <c r="W11" s="127" t="str">
        <f t="shared" si="2"/>
        <v/>
      </c>
      <c r="X11" s="127" t="str">
        <f t="shared" si="2"/>
        <v/>
      </c>
      <c r="Y11" s="127" t="str">
        <f t="shared" si="2"/>
        <v/>
      </c>
      <c r="Z11" s="127" t="str">
        <f t="shared" si="2"/>
        <v/>
      </c>
      <c r="AA11" s="127" t="str">
        <f t="shared" si="2"/>
        <v/>
      </c>
      <c r="AB11" s="127" t="str">
        <f t="shared" si="2"/>
        <v/>
      </c>
      <c r="AC11" s="127" t="str">
        <f t="shared" si="2"/>
        <v/>
      </c>
      <c r="AD11" s="127" t="str">
        <f t="shared" si="2"/>
        <v/>
      </c>
      <c r="AE11" s="127" t="str">
        <f t="shared" si="2"/>
        <v/>
      </c>
      <c r="AF11" s="127" t="str">
        <f t="shared" si="2"/>
        <v/>
      </c>
      <c r="AG11" s="127" t="str">
        <f t="shared" si="3"/>
        <v/>
      </c>
      <c r="AH11" s="127" t="str">
        <f t="shared" si="3"/>
        <v/>
      </c>
      <c r="AI11" s="127" t="str">
        <f t="shared" si="3"/>
        <v/>
      </c>
      <c r="AJ11" s="127" t="str">
        <f t="shared" si="3"/>
        <v/>
      </c>
      <c r="AK11" s="127" t="str">
        <f t="shared" si="3"/>
        <v/>
      </c>
      <c r="AL11" s="127" t="str">
        <f t="shared" si="3"/>
        <v/>
      </c>
      <c r="AM11" s="127" t="str">
        <f t="shared" si="3"/>
        <v/>
      </c>
      <c r="AN11" s="127" t="str">
        <f t="shared" si="3"/>
        <v/>
      </c>
      <c r="AO11" s="127" t="str">
        <f t="shared" si="3"/>
        <v/>
      </c>
      <c r="AP11" s="127" t="str">
        <f t="shared" si="3"/>
        <v/>
      </c>
      <c r="AQ11" s="127" t="str">
        <f t="shared" si="3"/>
        <v/>
      </c>
      <c r="AR11" s="127" t="str">
        <f t="shared" si="3"/>
        <v/>
      </c>
      <c r="AS11" s="127" t="str">
        <f t="shared" si="3"/>
        <v/>
      </c>
      <c r="AT11" s="127" t="str">
        <f t="shared" si="3"/>
        <v/>
      </c>
      <c r="AU11" s="127" t="str">
        <f t="shared" si="3"/>
        <v/>
      </c>
      <c r="AV11" s="127" t="str">
        <f t="shared" si="3"/>
        <v/>
      </c>
      <c r="AW11" s="127" t="str">
        <f t="shared" si="3"/>
        <v/>
      </c>
      <c r="AX11" s="127" t="str">
        <f t="shared" si="3"/>
        <v/>
      </c>
      <c r="AY11" s="127" t="str">
        <f t="shared" si="3"/>
        <v/>
      </c>
      <c r="AZ11" s="127" t="str">
        <f t="shared" si="3"/>
        <v/>
      </c>
      <c r="BA11" s="127" t="str">
        <f t="shared" si="3"/>
        <v/>
      </c>
      <c r="BB11" s="127" t="str">
        <f t="shared" si="3"/>
        <v/>
      </c>
      <c r="BC11" s="127" t="str">
        <f t="shared" si="3"/>
        <v/>
      </c>
      <c r="BD11" s="127" t="str">
        <f t="shared" si="3"/>
        <v/>
      </c>
      <c r="BE11" s="127" t="str">
        <f t="shared" si="3"/>
        <v/>
      </c>
      <c r="BF11" s="127" t="str">
        <f t="shared" si="3"/>
        <v/>
      </c>
      <c r="BG11" s="127" t="str">
        <f t="shared" si="4"/>
        <v/>
      </c>
      <c r="BH11" s="127" t="str">
        <f t="shared" si="4"/>
        <v/>
      </c>
      <c r="BI11" s="127" t="str">
        <f t="shared" si="4"/>
        <v/>
      </c>
      <c r="BJ11" s="127" t="str">
        <f t="shared" si="4"/>
        <v/>
      </c>
      <c r="BK11" s="127" t="str">
        <f t="shared" si="4"/>
        <v/>
      </c>
      <c r="BL11" s="127" t="str">
        <f t="shared" si="4"/>
        <v/>
      </c>
      <c r="BM11" s="127" t="str">
        <f t="shared" si="4"/>
        <v/>
      </c>
      <c r="BN11" s="127" t="str">
        <f t="shared" si="4"/>
        <v/>
      </c>
      <c r="BO11" s="127" t="str">
        <f t="shared" si="4"/>
        <v/>
      </c>
      <c r="BP11" s="127" t="str">
        <f t="shared" si="4"/>
        <v/>
      </c>
      <c r="BQ11" s="127" t="str">
        <f t="shared" si="4"/>
        <v/>
      </c>
      <c r="BR11" s="127" t="str">
        <f t="shared" si="4"/>
        <v/>
      </c>
      <c r="BS11" s="127" t="str">
        <f t="shared" si="5"/>
        <v/>
      </c>
      <c r="BT11" s="127" t="str">
        <f t="shared" si="5"/>
        <v/>
      </c>
      <c r="BU11" s="127" t="str">
        <f t="shared" si="5"/>
        <v/>
      </c>
      <c r="BV11" s="127" t="str">
        <f t="shared" si="5"/>
        <v/>
      </c>
      <c r="BW11" s="127" t="str">
        <f t="shared" si="5"/>
        <v/>
      </c>
      <c r="BX11" s="127" t="str">
        <f t="shared" si="5"/>
        <v/>
      </c>
      <c r="BY11" s="127" t="str">
        <f t="shared" si="5"/>
        <v/>
      </c>
      <c r="BZ11" s="127" t="str">
        <f t="shared" si="5"/>
        <v/>
      </c>
      <c r="CA11" s="127" t="str">
        <f t="shared" si="5"/>
        <v/>
      </c>
      <c r="CB11" s="127" t="str">
        <f t="shared" si="5"/>
        <v/>
      </c>
      <c r="CC11" s="127" t="str">
        <f t="shared" si="5"/>
        <v/>
      </c>
      <c r="CD11" s="127" t="str">
        <f t="shared" si="5"/>
        <v/>
      </c>
    </row>
    <row r="12" spans="1:82" ht="12.6" hidden="1" customHeight="1" x14ac:dyDescent="0.2">
      <c r="A12" s="106">
        <f>SHIPMENTS!A18</f>
        <v>8102</v>
      </c>
      <c r="B12" s="106" t="str">
        <f>SHIPMENTS!B18</f>
        <v>41700-CANADA BSAUNAS BACKLOG</v>
      </c>
      <c r="C12" s="132">
        <f>SHIPMENTS!F18</f>
        <v>0</v>
      </c>
      <c r="D12" s="107" t="str">
        <f>IF((SHIPMENTS!I18)=0,"",SHIPMENTS!I18)</f>
        <v/>
      </c>
      <c r="E12" s="176">
        <f>IF((SHIPMENTS!G18)=0,"",SHIPMENTS!G18)</f>
        <v>46315</v>
      </c>
      <c r="F12" s="98">
        <f>VLOOKUP(A12,load!$A$4:$U$5001,19,0)</f>
        <v>0</v>
      </c>
      <c r="G12" s="109">
        <f>Manhours!$C$10</f>
        <v>2.5</v>
      </c>
      <c r="H12" s="110">
        <f t="shared" si="6"/>
        <v>22.75</v>
      </c>
      <c r="I12" s="111">
        <f t="shared" si="7"/>
        <v>0</v>
      </c>
      <c r="J12" s="111">
        <f t="shared" si="8"/>
        <v>0</v>
      </c>
      <c r="K12" s="110">
        <f t="shared" si="9"/>
        <v>0</v>
      </c>
      <c r="L12" s="110">
        <f t="shared" si="10"/>
        <v>0</v>
      </c>
      <c r="M12" s="180">
        <f t="shared" si="13"/>
        <v>46314</v>
      </c>
      <c r="N12" s="181">
        <f t="shared" si="12"/>
        <v>46314</v>
      </c>
      <c r="O12" s="112" t="str">
        <f>VLOOKUP(A12,SHIPMENTS!$A$7:$AP$76,11,0)</f>
        <v>n/a</v>
      </c>
      <c r="P12" s="101"/>
      <c r="Q12" s="127" t="str">
        <f t="shared" si="2"/>
        <v/>
      </c>
      <c r="R12" s="127" t="str">
        <f t="shared" si="2"/>
        <v>▲</v>
      </c>
      <c r="S12" s="127" t="str">
        <f t="shared" si="2"/>
        <v/>
      </c>
      <c r="T12" s="127" t="str">
        <f t="shared" si="2"/>
        <v/>
      </c>
      <c r="U12" s="127" t="str">
        <f t="shared" si="2"/>
        <v/>
      </c>
      <c r="V12" s="127" t="str">
        <f t="shared" si="2"/>
        <v/>
      </c>
      <c r="W12" s="127" t="str">
        <f t="shared" si="2"/>
        <v/>
      </c>
      <c r="X12" s="127" t="str">
        <f t="shared" si="2"/>
        <v/>
      </c>
      <c r="Y12" s="127" t="str">
        <f t="shared" si="2"/>
        <v/>
      </c>
      <c r="Z12" s="127" t="str">
        <f t="shared" si="2"/>
        <v/>
      </c>
      <c r="AA12" s="127" t="str">
        <f t="shared" si="2"/>
        <v/>
      </c>
      <c r="AB12" s="127" t="str">
        <f t="shared" si="2"/>
        <v/>
      </c>
      <c r="AC12" s="127" t="str">
        <f t="shared" si="2"/>
        <v/>
      </c>
      <c r="AD12" s="127" t="str">
        <f t="shared" si="2"/>
        <v/>
      </c>
      <c r="AE12" s="127" t="str">
        <f t="shared" si="2"/>
        <v/>
      </c>
      <c r="AF12" s="127" t="str">
        <f t="shared" si="2"/>
        <v/>
      </c>
      <c r="AG12" s="127" t="str">
        <f t="shared" si="3"/>
        <v/>
      </c>
      <c r="AH12" s="127" t="str">
        <f t="shared" si="3"/>
        <v/>
      </c>
      <c r="AI12" s="127" t="str">
        <f t="shared" si="3"/>
        <v/>
      </c>
      <c r="AJ12" s="127" t="str">
        <f t="shared" si="3"/>
        <v/>
      </c>
      <c r="AK12" s="127" t="str">
        <f t="shared" si="3"/>
        <v/>
      </c>
      <c r="AL12" s="127" t="str">
        <f t="shared" si="3"/>
        <v/>
      </c>
      <c r="AM12" s="127" t="str">
        <f t="shared" si="3"/>
        <v/>
      </c>
      <c r="AN12" s="127" t="str">
        <f t="shared" si="3"/>
        <v/>
      </c>
      <c r="AO12" s="127" t="str">
        <f t="shared" si="3"/>
        <v/>
      </c>
      <c r="AP12" s="127" t="str">
        <f t="shared" si="3"/>
        <v/>
      </c>
      <c r="AQ12" s="127" t="str">
        <f t="shared" si="3"/>
        <v/>
      </c>
      <c r="AR12" s="127" t="str">
        <f t="shared" si="3"/>
        <v/>
      </c>
      <c r="AS12" s="127" t="str">
        <f t="shared" si="3"/>
        <v/>
      </c>
      <c r="AT12" s="127" t="str">
        <f t="shared" si="3"/>
        <v/>
      </c>
      <c r="AU12" s="127" t="str">
        <f t="shared" si="3"/>
        <v/>
      </c>
      <c r="AV12" s="127" t="str">
        <f t="shared" si="3"/>
        <v/>
      </c>
      <c r="AW12" s="127" t="str">
        <f t="shared" si="3"/>
        <v/>
      </c>
      <c r="AX12" s="127" t="str">
        <f t="shared" si="3"/>
        <v/>
      </c>
      <c r="AY12" s="127" t="str">
        <f t="shared" si="3"/>
        <v/>
      </c>
      <c r="AZ12" s="127" t="str">
        <f t="shared" si="3"/>
        <v/>
      </c>
      <c r="BA12" s="127" t="str">
        <f t="shared" si="3"/>
        <v/>
      </c>
      <c r="BB12" s="127" t="str">
        <f t="shared" si="3"/>
        <v/>
      </c>
      <c r="BC12" s="127" t="str">
        <f t="shared" si="3"/>
        <v/>
      </c>
      <c r="BD12" s="127" t="str">
        <f t="shared" si="3"/>
        <v/>
      </c>
      <c r="BE12" s="127" t="str">
        <f t="shared" si="3"/>
        <v/>
      </c>
      <c r="BF12" s="127" t="str">
        <f t="shared" si="3"/>
        <v/>
      </c>
      <c r="BG12" s="127" t="str">
        <f t="shared" si="4"/>
        <v/>
      </c>
      <c r="BH12" s="127" t="str">
        <f t="shared" si="4"/>
        <v/>
      </c>
      <c r="BI12" s="127" t="str">
        <f t="shared" si="4"/>
        <v/>
      </c>
      <c r="BJ12" s="127" t="str">
        <f t="shared" si="4"/>
        <v/>
      </c>
      <c r="BK12" s="127" t="str">
        <f t="shared" si="4"/>
        <v/>
      </c>
      <c r="BL12" s="127" t="str">
        <f t="shared" si="4"/>
        <v/>
      </c>
      <c r="BM12" s="127" t="str">
        <f t="shared" si="4"/>
        <v/>
      </c>
      <c r="BN12" s="127" t="str">
        <f t="shared" si="4"/>
        <v/>
      </c>
      <c r="BO12" s="127" t="str">
        <f t="shared" si="4"/>
        <v/>
      </c>
      <c r="BP12" s="127" t="str">
        <f t="shared" si="4"/>
        <v/>
      </c>
      <c r="BQ12" s="127" t="str">
        <f t="shared" si="4"/>
        <v/>
      </c>
      <c r="BR12" s="127" t="str">
        <f t="shared" si="4"/>
        <v/>
      </c>
      <c r="BS12" s="127" t="str">
        <f t="shared" si="5"/>
        <v/>
      </c>
      <c r="BT12" s="127" t="str">
        <f t="shared" si="5"/>
        <v/>
      </c>
      <c r="BU12" s="127" t="str">
        <f t="shared" si="5"/>
        <v/>
      </c>
      <c r="BV12" s="127" t="str">
        <f t="shared" si="5"/>
        <v/>
      </c>
      <c r="BW12" s="127" t="str">
        <f t="shared" si="5"/>
        <v/>
      </c>
      <c r="BX12" s="127" t="str">
        <f t="shared" si="5"/>
        <v/>
      </c>
      <c r="BY12" s="127" t="str">
        <f t="shared" si="5"/>
        <v/>
      </c>
      <c r="BZ12" s="127" t="str">
        <f t="shared" si="5"/>
        <v/>
      </c>
      <c r="CA12" s="127" t="str">
        <f t="shared" si="5"/>
        <v/>
      </c>
      <c r="CB12" s="127" t="str">
        <f t="shared" si="5"/>
        <v/>
      </c>
      <c r="CC12" s="127" t="str">
        <f t="shared" si="5"/>
        <v/>
      </c>
      <c r="CD12" s="127" t="str">
        <f t="shared" si="5"/>
        <v/>
      </c>
    </row>
    <row r="13" spans="1:82" ht="12.6" hidden="1" customHeight="1" x14ac:dyDescent="0.2">
      <c r="A13" s="106">
        <f>SHIPMENTS!A19</f>
        <v>5928</v>
      </c>
      <c r="B13" s="106" t="str">
        <f>SHIPMENTS!B19</f>
        <v>41700-CANADA BSAUNAS BACKLOG</v>
      </c>
      <c r="C13" s="132">
        <f>SHIPMENTS!F19</f>
        <v>0</v>
      </c>
      <c r="D13" s="107" t="str">
        <f>IF((SHIPMENTS!I19)=0,"",SHIPMENTS!I19)</f>
        <v/>
      </c>
      <c r="E13" s="176" t="str">
        <f>IF((SHIPMENTS!G19)=0,"",SHIPMENTS!G19)</f>
        <v/>
      </c>
      <c r="F13" s="98">
        <f>VLOOKUP(A13,load!$A$4:$U$5001,19,0)</f>
        <v>0</v>
      </c>
      <c r="G13" s="109">
        <f>Manhours!$C$10</f>
        <v>2.5</v>
      </c>
      <c r="H13" s="110">
        <f t="shared" si="6"/>
        <v>22.75</v>
      </c>
      <c r="I13" s="111">
        <f t="shared" si="7"/>
        <v>0</v>
      </c>
      <c r="J13" s="111">
        <f t="shared" si="8"/>
        <v>0</v>
      </c>
      <c r="K13" s="110">
        <f t="shared" si="9"/>
        <v>0</v>
      </c>
      <c r="L13" s="110">
        <f t="shared" si="10"/>
        <v>0</v>
      </c>
      <c r="M13" s="180">
        <f t="shared" si="13"/>
        <v>46314</v>
      </c>
      <c r="N13" s="181">
        <f t="shared" si="12"/>
        <v>46314</v>
      </c>
      <c r="O13" s="112" t="str">
        <f>VLOOKUP(A13,SHIPMENTS!$A$7:$AP$76,11,0)</f>
        <v>n/a</v>
      </c>
      <c r="P13" s="101"/>
      <c r="Q13" s="127" t="str">
        <f t="shared" si="2"/>
        <v/>
      </c>
      <c r="R13" s="127" t="str">
        <f t="shared" si="2"/>
        <v/>
      </c>
      <c r="S13" s="127" t="str">
        <f t="shared" si="2"/>
        <v/>
      </c>
      <c r="T13" s="127" t="str">
        <f t="shared" si="2"/>
        <v/>
      </c>
      <c r="U13" s="127" t="str">
        <f t="shared" si="2"/>
        <v/>
      </c>
      <c r="V13" s="127" t="str">
        <f t="shared" si="2"/>
        <v/>
      </c>
      <c r="W13" s="127" t="str">
        <f t="shared" si="2"/>
        <v/>
      </c>
      <c r="X13" s="127" t="str">
        <f t="shared" si="2"/>
        <v/>
      </c>
      <c r="Y13" s="127" t="str">
        <f t="shared" si="2"/>
        <v/>
      </c>
      <c r="Z13" s="127" t="str">
        <f t="shared" si="2"/>
        <v/>
      </c>
      <c r="AA13" s="127" t="str">
        <f t="shared" si="2"/>
        <v/>
      </c>
      <c r="AB13" s="127" t="str">
        <f t="shared" si="2"/>
        <v/>
      </c>
      <c r="AC13" s="127" t="str">
        <f t="shared" si="2"/>
        <v/>
      </c>
      <c r="AD13" s="127" t="str">
        <f t="shared" si="2"/>
        <v/>
      </c>
      <c r="AE13" s="127" t="str">
        <f t="shared" si="2"/>
        <v/>
      </c>
      <c r="AF13" s="127" t="str">
        <f t="shared" si="2"/>
        <v/>
      </c>
      <c r="AG13" s="127" t="str">
        <f t="shared" si="3"/>
        <v/>
      </c>
      <c r="AH13" s="127" t="str">
        <f t="shared" si="3"/>
        <v/>
      </c>
      <c r="AI13" s="127" t="str">
        <f t="shared" si="3"/>
        <v/>
      </c>
      <c r="AJ13" s="127" t="str">
        <f t="shared" si="3"/>
        <v/>
      </c>
      <c r="AK13" s="127" t="str">
        <f t="shared" si="3"/>
        <v/>
      </c>
      <c r="AL13" s="127" t="str">
        <f t="shared" si="3"/>
        <v/>
      </c>
      <c r="AM13" s="127" t="str">
        <f t="shared" si="3"/>
        <v/>
      </c>
      <c r="AN13" s="127" t="str">
        <f t="shared" si="3"/>
        <v/>
      </c>
      <c r="AO13" s="127" t="str">
        <f t="shared" si="3"/>
        <v/>
      </c>
      <c r="AP13" s="127" t="str">
        <f t="shared" si="3"/>
        <v/>
      </c>
      <c r="AQ13" s="127" t="str">
        <f t="shared" si="3"/>
        <v/>
      </c>
      <c r="AR13" s="127" t="str">
        <f t="shared" si="3"/>
        <v/>
      </c>
      <c r="AS13" s="127" t="str">
        <f t="shared" si="3"/>
        <v/>
      </c>
      <c r="AT13" s="127" t="str">
        <f t="shared" si="3"/>
        <v/>
      </c>
      <c r="AU13" s="127" t="str">
        <f t="shared" si="3"/>
        <v/>
      </c>
      <c r="AV13" s="127" t="str">
        <f t="shared" si="3"/>
        <v/>
      </c>
      <c r="AW13" s="127" t="str">
        <f t="shared" si="3"/>
        <v/>
      </c>
      <c r="AX13" s="127" t="str">
        <f t="shared" si="3"/>
        <v/>
      </c>
      <c r="AY13" s="127" t="str">
        <f t="shared" si="3"/>
        <v/>
      </c>
      <c r="AZ13" s="127" t="str">
        <f t="shared" si="3"/>
        <v/>
      </c>
      <c r="BA13" s="127" t="str">
        <f t="shared" si="3"/>
        <v/>
      </c>
      <c r="BB13" s="127" t="str">
        <f t="shared" si="3"/>
        <v/>
      </c>
      <c r="BC13" s="127" t="str">
        <f t="shared" si="3"/>
        <v/>
      </c>
      <c r="BD13" s="127" t="str">
        <f t="shared" si="3"/>
        <v/>
      </c>
      <c r="BE13" s="127" t="str">
        <f t="shared" si="3"/>
        <v/>
      </c>
      <c r="BF13" s="127" t="str">
        <f t="shared" si="3"/>
        <v/>
      </c>
      <c r="BG13" s="127" t="str">
        <f t="shared" si="4"/>
        <v/>
      </c>
      <c r="BH13" s="127" t="str">
        <f t="shared" si="4"/>
        <v/>
      </c>
      <c r="BI13" s="127" t="str">
        <f t="shared" si="4"/>
        <v/>
      </c>
      <c r="BJ13" s="127" t="str">
        <f t="shared" si="4"/>
        <v/>
      </c>
      <c r="BK13" s="127" t="str">
        <f t="shared" si="4"/>
        <v/>
      </c>
      <c r="BL13" s="127" t="str">
        <f t="shared" si="4"/>
        <v/>
      </c>
      <c r="BM13" s="127" t="str">
        <f t="shared" si="4"/>
        <v/>
      </c>
      <c r="BN13" s="127" t="str">
        <f t="shared" si="4"/>
        <v/>
      </c>
      <c r="BO13" s="127" t="str">
        <f t="shared" si="4"/>
        <v/>
      </c>
      <c r="BP13" s="127" t="str">
        <f t="shared" si="4"/>
        <v/>
      </c>
      <c r="BQ13" s="127" t="str">
        <f t="shared" si="4"/>
        <v/>
      </c>
      <c r="BR13" s="127" t="str">
        <f t="shared" si="4"/>
        <v/>
      </c>
      <c r="BS13" s="127" t="str">
        <f t="shared" si="5"/>
        <v/>
      </c>
      <c r="BT13" s="127" t="str">
        <f t="shared" si="5"/>
        <v/>
      </c>
      <c r="BU13" s="127" t="str">
        <f t="shared" si="5"/>
        <v/>
      </c>
      <c r="BV13" s="127" t="str">
        <f t="shared" si="5"/>
        <v/>
      </c>
      <c r="BW13" s="127" t="str">
        <f t="shared" si="5"/>
        <v/>
      </c>
      <c r="BX13" s="127" t="str">
        <f t="shared" si="5"/>
        <v/>
      </c>
      <c r="BY13" s="127" t="str">
        <f t="shared" si="5"/>
        <v/>
      </c>
      <c r="BZ13" s="127" t="str">
        <f t="shared" si="5"/>
        <v/>
      </c>
      <c r="CA13" s="127" t="str">
        <f t="shared" si="5"/>
        <v/>
      </c>
      <c r="CB13" s="127" t="str">
        <f t="shared" si="5"/>
        <v/>
      </c>
      <c r="CC13" s="127" t="str">
        <f t="shared" si="5"/>
        <v/>
      </c>
      <c r="CD13" s="127" t="str">
        <f t="shared" si="5"/>
        <v/>
      </c>
    </row>
    <row r="14" spans="1:82" ht="12.6" hidden="1" customHeight="1" x14ac:dyDescent="0.2">
      <c r="A14" s="106">
        <f>SHIPMENTS!A20</f>
        <v>4781</v>
      </c>
      <c r="B14" s="106" t="str">
        <f>SHIPMENTS!B20</f>
        <v>41700-CANADA BSAUNAS BACKLOG</v>
      </c>
      <c r="C14" s="132">
        <f>SHIPMENTS!F20</f>
        <v>0</v>
      </c>
      <c r="D14" s="107" t="str">
        <f>IF((SHIPMENTS!I20)=0,"",SHIPMENTS!I20)</f>
        <v/>
      </c>
      <c r="E14" s="176" t="str">
        <f>IF((SHIPMENTS!G20)=0,"",SHIPMENTS!G20)</f>
        <v/>
      </c>
      <c r="F14" s="98">
        <f>VLOOKUP(A14,load!$A$4:$U$5001,19,0)</f>
        <v>0</v>
      </c>
      <c r="G14" s="109">
        <f>Manhours!$C$10</f>
        <v>2.5</v>
      </c>
      <c r="H14" s="110">
        <f t="shared" si="6"/>
        <v>22.75</v>
      </c>
      <c r="I14" s="111">
        <f t="shared" si="7"/>
        <v>0</v>
      </c>
      <c r="J14" s="111">
        <f t="shared" si="8"/>
        <v>0</v>
      </c>
      <c r="K14" s="110">
        <f t="shared" si="9"/>
        <v>0</v>
      </c>
      <c r="L14" s="110">
        <f t="shared" si="10"/>
        <v>0</v>
      </c>
      <c r="M14" s="180">
        <f t="shared" si="13"/>
        <v>46314</v>
      </c>
      <c r="N14" s="181">
        <f t="shared" si="12"/>
        <v>46314</v>
      </c>
      <c r="O14" s="112" t="str">
        <f>VLOOKUP(A14,SHIPMENTS!$A$7:$AP$76,11,0)</f>
        <v>n/a</v>
      </c>
      <c r="P14" s="101"/>
      <c r="Q14" s="127" t="str">
        <f t="shared" si="2"/>
        <v/>
      </c>
      <c r="R14" s="127" t="str">
        <f t="shared" si="2"/>
        <v/>
      </c>
      <c r="S14" s="127" t="str">
        <f t="shared" si="2"/>
        <v/>
      </c>
      <c r="T14" s="127" t="str">
        <f t="shared" si="2"/>
        <v/>
      </c>
      <c r="U14" s="127" t="str">
        <f t="shared" si="2"/>
        <v/>
      </c>
      <c r="V14" s="127" t="str">
        <f t="shared" si="2"/>
        <v/>
      </c>
      <c r="W14" s="127" t="str">
        <f t="shared" si="2"/>
        <v/>
      </c>
      <c r="X14" s="127" t="str">
        <f t="shared" si="2"/>
        <v/>
      </c>
      <c r="Y14" s="127" t="str">
        <f t="shared" si="2"/>
        <v/>
      </c>
      <c r="Z14" s="127" t="str">
        <f t="shared" si="2"/>
        <v/>
      </c>
      <c r="AA14" s="127" t="str">
        <f t="shared" si="2"/>
        <v/>
      </c>
      <c r="AB14" s="127" t="str">
        <f t="shared" si="2"/>
        <v/>
      </c>
      <c r="AC14" s="127" t="str">
        <f t="shared" si="2"/>
        <v/>
      </c>
      <c r="AD14" s="127" t="str">
        <f t="shared" si="2"/>
        <v/>
      </c>
      <c r="AE14" s="127" t="str">
        <f t="shared" si="2"/>
        <v/>
      </c>
      <c r="AF14" s="127" t="str">
        <f t="shared" si="2"/>
        <v/>
      </c>
      <c r="AG14" s="127" t="str">
        <f t="shared" si="3"/>
        <v/>
      </c>
      <c r="AH14" s="127" t="str">
        <f t="shared" si="3"/>
        <v/>
      </c>
      <c r="AI14" s="127" t="str">
        <f t="shared" si="3"/>
        <v/>
      </c>
      <c r="AJ14" s="127" t="str">
        <f t="shared" si="3"/>
        <v/>
      </c>
      <c r="AK14" s="127" t="str">
        <f t="shared" si="3"/>
        <v/>
      </c>
      <c r="AL14" s="127" t="str">
        <f t="shared" si="3"/>
        <v/>
      </c>
      <c r="AM14" s="127" t="str">
        <f t="shared" si="3"/>
        <v/>
      </c>
      <c r="AN14" s="127" t="str">
        <f t="shared" si="3"/>
        <v/>
      </c>
      <c r="AO14" s="127" t="str">
        <f t="shared" si="3"/>
        <v/>
      </c>
      <c r="AP14" s="127" t="str">
        <f t="shared" si="3"/>
        <v/>
      </c>
      <c r="AQ14" s="127" t="str">
        <f t="shared" si="3"/>
        <v/>
      </c>
      <c r="AR14" s="127" t="str">
        <f t="shared" si="3"/>
        <v/>
      </c>
      <c r="AS14" s="127" t="str">
        <f t="shared" si="3"/>
        <v/>
      </c>
      <c r="AT14" s="127" t="str">
        <f t="shared" si="3"/>
        <v/>
      </c>
      <c r="AU14" s="127" t="str">
        <f t="shared" si="3"/>
        <v/>
      </c>
      <c r="AV14" s="127" t="str">
        <f t="shared" si="3"/>
        <v/>
      </c>
      <c r="AW14" s="127" t="str">
        <f t="shared" si="3"/>
        <v/>
      </c>
      <c r="AX14" s="127" t="str">
        <f t="shared" si="3"/>
        <v/>
      </c>
      <c r="AY14" s="127" t="str">
        <f t="shared" si="3"/>
        <v/>
      </c>
      <c r="AZ14" s="127" t="str">
        <f t="shared" si="3"/>
        <v/>
      </c>
      <c r="BA14" s="127" t="str">
        <f t="shared" si="3"/>
        <v/>
      </c>
      <c r="BB14" s="127" t="str">
        <f t="shared" si="3"/>
        <v/>
      </c>
      <c r="BC14" s="127" t="str">
        <f t="shared" si="3"/>
        <v/>
      </c>
      <c r="BD14" s="127" t="str">
        <f t="shared" si="3"/>
        <v/>
      </c>
      <c r="BE14" s="127" t="str">
        <f t="shared" si="3"/>
        <v/>
      </c>
      <c r="BF14" s="127" t="str">
        <f t="shared" si="3"/>
        <v/>
      </c>
      <c r="BG14" s="127" t="str">
        <f t="shared" si="4"/>
        <v/>
      </c>
      <c r="BH14" s="127" t="str">
        <f t="shared" si="4"/>
        <v/>
      </c>
      <c r="BI14" s="127" t="str">
        <f t="shared" si="4"/>
        <v/>
      </c>
      <c r="BJ14" s="127" t="str">
        <f t="shared" si="4"/>
        <v/>
      </c>
      <c r="BK14" s="127" t="str">
        <f t="shared" si="4"/>
        <v/>
      </c>
      <c r="BL14" s="127" t="str">
        <f t="shared" si="4"/>
        <v/>
      </c>
      <c r="BM14" s="127" t="str">
        <f t="shared" si="4"/>
        <v/>
      </c>
      <c r="BN14" s="127" t="str">
        <f t="shared" si="4"/>
        <v/>
      </c>
      <c r="BO14" s="127" t="str">
        <f t="shared" si="4"/>
        <v/>
      </c>
      <c r="BP14" s="127" t="str">
        <f t="shared" si="4"/>
        <v/>
      </c>
      <c r="BQ14" s="127" t="str">
        <f t="shared" si="4"/>
        <v/>
      </c>
      <c r="BR14" s="127" t="str">
        <f t="shared" si="4"/>
        <v/>
      </c>
      <c r="BS14" s="127" t="str">
        <f t="shared" si="5"/>
        <v/>
      </c>
      <c r="BT14" s="127" t="str">
        <f t="shared" si="5"/>
        <v/>
      </c>
      <c r="BU14" s="127" t="str">
        <f t="shared" si="5"/>
        <v/>
      </c>
      <c r="BV14" s="127" t="str">
        <f t="shared" si="5"/>
        <v/>
      </c>
      <c r="BW14" s="127" t="str">
        <f t="shared" si="5"/>
        <v/>
      </c>
      <c r="BX14" s="127" t="str">
        <f t="shared" si="5"/>
        <v/>
      </c>
      <c r="BY14" s="127" t="str">
        <f t="shared" si="5"/>
        <v/>
      </c>
      <c r="BZ14" s="127" t="str">
        <f t="shared" si="5"/>
        <v/>
      </c>
      <c r="CA14" s="127" t="str">
        <f t="shared" si="5"/>
        <v/>
      </c>
      <c r="CB14" s="127" t="str">
        <f t="shared" si="5"/>
        <v/>
      </c>
      <c r="CC14" s="127" t="str">
        <f t="shared" si="5"/>
        <v/>
      </c>
      <c r="CD14" s="127" t="str">
        <f t="shared" si="5"/>
        <v/>
      </c>
    </row>
    <row r="15" spans="1:82" ht="12.6" customHeight="1" x14ac:dyDescent="0.2">
      <c r="A15" s="106">
        <f>SHIPMENTS!A21</f>
        <v>9259</v>
      </c>
      <c r="B15" s="106" t="str">
        <f>SHIPMENTS!B21</f>
        <v>27200-UAE</v>
      </c>
      <c r="C15" s="132">
        <f>SHIPMENTS!F21</f>
        <v>7.0000000000000007E-2</v>
      </c>
      <c r="D15" s="107" t="str">
        <f>IF((SHIPMENTS!I21)=0,"",SHIPMENTS!I21)</f>
        <v>AIR</v>
      </c>
      <c r="E15" s="176">
        <f>IF((SHIPMENTS!G21)=0,"",SHIPMENTS!G21)</f>
        <v>46316</v>
      </c>
      <c r="F15" s="98">
        <f>VLOOKUP(A15,load!$A$4:$U$5001,19,0)</f>
        <v>0</v>
      </c>
      <c r="G15" s="109">
        <f>Manhours!$C$10</f>
        <v>2.5</v>
      </c>
      <c r="H15" s="110">
        <f t="shared" si="6"/>
        <v>22.75</v>
      </c>
      <c r="I15" s="111">
        <f t="shared" si="7"/>
        <v>0</v>
      </c>
      <c r="J15" s="111">
        <f t="shared" si="8"/>
        <v>0</v>
      </c>
      <c r="K15" s="110">
        <f t="shared" si="9"/>
        <v>0</v>
      </c>
      <c r="L15" s="110">
        <f t="shared" si="10"/>
        <v>0</v>
      </c>
      <c r="M15" s="180">
        <f t="shared" si="13"/>
        <v>46314</v>
      </c>
      <c r="N15" s="181">
        <f t="shared" si="12"/>
        <v>46314</v>
      </c>
      <c r="O15" s="112">
        <f>VLOOKUP(A15,SHIPMENTS!$A$7:$AP$76,11,0)</f>
        <v>0</v>
      </c>
      <c r="P15" s="101"/>
      <c r="Q15" s="127" t="str">
        <f t="shared" si="2"/>
        <v/>
      </c>
      <c r="R15" s="127" t="str">
        <f t="shared" si="2"/>
        <v/>
      </c>
      <c r="S15" s="127" t="str">
        <f t="shared" si="2"/>
        <v>▲</v>
      </c>
      <c r="T15" s="127" t="str">
        <f t="shared" si="2"/>
        <v/>
      </c>
      <c r="U15" s="127" t="str">
        <f t="shared" si="2"/>
        <v/>
      </c>
      <c r="V15" s="127" t="str">
        <f t="shared" si="2"/>
        <v/>
      </c>
      <c r="W15" s="127" t="str">
        <f t="shared" si="2"/>
        <v/>
      </c>
      <c r="X15" s="127" t="str">
        <f t="shared" si="2"/>
        <v/>
      </c>
      <c r="Y15" s="127" t="str">
        <f t="shared" si="2"/>
        <v/>
      </c>
      <c r="Z15" s="127" t="str">
        <f t="shared" si="2"/>
        <v/>
      </c>
      <c r="AA15" s="127" t="str">
        <f t="shared" si="2"/>
        <v/>
      </c>
      <c r="AB15" s="127" t="str">
        <f t="shared" si="2"/>
        <v/>
      </c>
      <c r="AC15" s="127" t="str">
        <f t="shared" si="2"/>
        <v/>
      </c>
      <c r="AD15" s="127" t="str">
        <f t="shared" si="2"/>
        <v/>
      </c>
      <c r="AE15" s="127" t="str">
        <f t="shared" si="2"/>
        <v/>
      </c>
      <c r="AF15" s="127" t="str">
        <f t="shared" si="2"/>
        <v/>
      </c>
      <c r="AG15" s="127" t="str">
        <f t="shared" si="3"/>
        <v/>
      </c>
      <c r="AH15" s="127" t="str">
        <f t="shared" si="3"/>
        <v/>
      </c>
      <c r="AI15" s="127" t="str">
        <f t="shared" si="3"/>
        <v/>
      </c>
      <c r="AJ15" s="127" t="str">
        <f t="shared" si="3"/>
        <v/>
      </c>
      <c r="AK15" s="127" t="str">
        <f t="shared" si="3"/>
        <v/>
      </c>
      <c r="AL15" s="127" t="str">
        <f t="shared" si="3"/>
        <v/>
      </c>
      <c r="AM15" s="127" t="str">
        <f t="shared" si="3"/>
        <v/>
      </c>
      <c r="AN15" s="127" t="str">
        <f t="shared" si="3"/>
        <v/>
      </c>
      <c r="AO15" s="127" t="str">
        <f t="shared" si="3"/>
        <v/>
      </c>
      <c r="AP15" s="127" t="str">
        <f t="shared" si="3"/>
        <v/>
      </c>
      <c r="AQ15" s="127" t="str">
        <f t="shared" si="3"/>
        <v/>
      </c>
      <c r="AR15" s="127" t="str">
        <f t="shared" si="3"/>
        <v/>
      </c>
      <c r="AS15" s="127" t="str">
        <f t="shared" si="3"/>
        <v/>
      </c>
      <c r="AT15" s="127" t="str">
        <f t="shared" si="3"/>
        <v/>
      </c>
      <c r="AU15" s="127" t="str">
        <f t="shared" si="3"/>
        <v/>
      </c>
      <c r="AV15" s="127" t="str">
        <f t="shared" si="3"/>
        <v/>
      </c>
      <c r="AW15" s="127" t="str">
        <f t="shared" si="3"/>
        <v/>
      </c>
      <c r="AX15" s="127" t="str">
        <f t="shared" si="3"/>
        <v/>
      </c>
      <c r="AY15" s="127" t="str">
        <f t="shared" si="3"/>
        <v/>
      </c>
      <c r="AZ15" s="127" t="str">
        <f t="shared" si="3"/>
        <v/>
      </c>
      <c r="BA15" s="127" t="str">
        <f t="shared" si="3"/>
        <v/>
      </c>
      <c r="BB15" s="127" t="str">
        <f t="shared" si="3"/>
        <v/>
      </c>
      <c r="BC15" s="127" t="str">
        <f t="shared" si="3"/>
        <v/>
      </c>
      <c r="BD15" s="127" t="str">
        <f t="shared" si="3"/>
        <v/>
      </c>
      <c r="BE15" s="127" t="str">
        <f t="shared" si="3"/>
        <v/>
      </c>
      <c r="BF15" s="127" t="str">
        <f t="shared" si="3"/>
        <v/>
      </c>
      <c r="BG15" s="127" t="str">
        <f t="shared" si="4"/>
        <v/>
      </c>
      <c r="BH15" s="127" t="str">
        <f t="shared" si="4"/>
        <v/>
      </c>
      <c r="BI15" s="127" t="str">
        <f t="shared" si="4"/>
        <v/>
      </c>
      <c r="BJ15" s="127" t="str">
        <f t="shared" si="4"/>
        <v/>
      </c>
      <c r="BK15" s="127" t="str">
        <f t="shared" si="4"/>
        <v/>
      </c>
      <c r="BL15" s="127" t="str">
        <f t="shared" si="4"/>
        <v/>
      </c>
      <c r="BM15" s="127" t="str">
        <f t="shared" si="4"/>
        <v/>
      </c>
      <c r="BN15" s="127" t="str">
        <f t="shared" si="4"/>
        <v/>
      </c>
      <c r="BO15" s="127" t="str">
        <f t="shared" si="4"/>
        <v/>
      </c>
      <c r="BP15" s="127" t="str">
        <f t="shared" si="4"/>
        <v/>
      </c>
      <c r="BQ15" s="127" t="str">
        <f t="shared" si="4"/>
        <v/>
      </c>
      <c r="BR15" s="127" t="str">
        <f t="shared" si="4"/>
        <v/>
      </c>
      <c r="BS15" s="127" t="str">
        <f t="shared" si="5"/>
        <v/>
      </c>
      <c r="BT15" s="127" t="str">
        <f t="shared" si="5"/>
        <v/>
      </c>
      <c r="BU15" s="127" t="str">
        <f t="shared" si="5"/>
        <v/>
      </c>
      <c r="BV15" s="127" t="str">
        <f t="shared" si="5"/>
        <v/>
      </c>
      <c r="BW15" s="127" t="str">
        <f t="shared" si="5"/>
        <v/>
      </c>
      <c r="BX15" s="127" t="str">
        <f t="shared" si="5"/>
        <v/>
      </c>
      <c r="BY15" s="127" t="str">
        <f t="shared" si="5"/>
        <v/>
      </c>
      <c r="BZ15" s="127" t="str">
        <f t="shared" si="5"/>
        <v/>
      </c>
      <c r="CA15" s="127" t="str">
        <f t="shared" si="5"/>
        <v/>
      </c>
      <c r="CB15" s="127" t="str">
        <f t="shared" si="5"/>
        <v/>
      </c>
      <c r="CC15" s="127" t="str">
        <f t="shared" si="5"/>
        <v/>
      </c>
      <c r="CD15" s="127" t="str">
        <f t="shared" si="5"/>
        <v/>
      </c>
    </row>
    <row r="16" spans="1:82" ht="12.6" customHeight="1" x14ac:dyDescent="0.2">
      <c r="A16" s="106">
        <f>SHIPMENTS!A22</f>
        <v>8765</v>
      </c>
      <c r="B16" s="106" t="str">
        <f>SHIPMENTS!B22</f>
        <v>8200-AUSTRALIA</v>
      </c>
      <c r="C16" s="132">
        <f>SHIPMENTS!F22</f>
        <v>64.930000000000007</v>
      </c>
      <c r="D16" s="107" t="str">
        <f>IF((SHIPMENTS!I22)=0,"",SHIPMENTS!I22)</f>
        <v>1X40HC</v>
      </c>
      <c r="E16" s="176">
        <f>IF((SHIPMENTS!G22)=0,"",SHIPMENTS!G22)</f>
        <v>46316</v>
      </c>
      <c r="F16" s="98">
        <f>VLOOKUP(A16,load!$A$4:$U$5001,19,0)</f>
        <v>0</v>
      </c>
      <c r="G16" s="109">
        <f>Manhours!$C$10</f>
        <v>2.5</v>
      </c>
      <c r="H16" s="110">
        <f t="shared" si="6"/>
        <v>22.75</v>
      </c>
      <c r="I16" s="111">
        <f t="shared" si="7"/>
        <v>0</v>
      </c>
      <c r="J16" s="111">
        <f t="shared" si="8"/>
        <v>0</v>
      </c>
      <c r="K16" s="110">
        <f t="shared" si="9"/>
        <v>0</v>
      </c>
      <c r="L16" s="110">
        <f t="shared" si="10"/>
        <v>0</v>
      </c>
      <c r="M16" s="180">
        <f t="shared" si="13"/>
        <v>46314</v>
      </c>
      <c r="N16" s="181">
        <f t="shared" si="12"/>
        <v>46314</v>
      </c>
      <c r="O16" s="112">
        <f>VLOOKUP(A16,SHIPMENTS!$A$7:$AP$76,11,0)</f>
        <v>0.87</v>
      </c>
      <c r="P16" s="101"/>
      <c r="Q16" s="127" t="str">
        <f t="shared" si="2"/>
        <v/>
      </c>
      <c r="R16" s="127" t="str">
        <f t="shared" si="2"/>
        <v/>
      </c>
      <c r="S16" s="127" t="str">
        <f t="shared" si="2"/>
        <v>▲</v>
      </c>
      <c r="T16" s="127" t="str">
        <f t="shared" si="2"/>
        <v/>
      </c>
      <c r="U16" s="127" t="str">
        <f t="shared" si="2"/>
        <v/>
      </c>
      <c r="V16" s="127" t="str">
        <f t="shared" si="2"/>
        <v/>
      </c>
      <c r="W16" s="127" t="str">
        <f t="shared" si="2"/>
        <v/>
      </c>
      <c r="X16" s="127" t="str">
        <f t="shared" si="2"/>
        <v/>
      </c>
      <c r="Y16" s="127" t="str">
        <f t="shared" si="2"/>
        <v/>
      </c>
      <c r="Z16" s="127" t="str">
        <f t="shared" si="2"/>
        <v/>
      </c>
      <c r="AA16" s="127" t="str">
        <f t="shared" si="2"/>
        <v/>
      </c>
      <c r="AB16" s="127" t="str">
        <f t="shared" si="2"/>
        <v/>
      </c>
      <c r="AC16" s="127" t="str">
        <f t="shared" si="2"/>
        <v/>
      </c>
      <c r="AD16" s="127" t="str">
        <f t="shared" si="2"/>
        <v/>
      </c>
      <c r="AE16" s="127" t="str">
        <f t="shared" si="2"/>
        <v/>
      </c>
      <c r="AF16" s="127" t="str">
        <f t="shared" si="2"/>
        <v/>
      </c>
      <c r="AG16" s="127" t="str">
        <f t="shared" si="3"/>
        <v/>
      </c>
      <c r="AH16" s="127" t="str">
        <f t="shared" si="3"/>
        <v/>
      </c>
      <c r="AI16" s="127" t="str">
        <f t="shared" si="3"/>
        <v/>
      </c>
      <c r="AJ16" s="127" t="str">
        <f t="shared" si="3"/>
        <v/>
      </c>
      <c r="AK16" s="127" t="str">
        <f t="shared" si="3"/>
        <v/>
      </c>
      <c r="AL16" s="127" t="str">
        <f t="shared" si="3"/>
        <v/>
      </c>
      <c r="AM16" s="127" t="str">
        <f t="shared" si="3"/>
        <v/>
      </c>
      <c r="AN16" s="127" t="str">
        <f t="shared" si="3"/>
        <v/>
      </c>
      <c r="AO16" s="127" t="str">
        <f t="shared" si="3"/>
        <v/>
      </c>
      <c r="AP16" s="127" t="str">
        <f t="shared" si="3"/>
        <v/>
      </c>
      <c r="AQ16" s="127" t="str">
        <f t="shared" si="3"/>
        <v/>
      </c>
      <c r="AR16" s="127" t="str">
        <f t="shared" si="3"/>
        <v/>
      </c>
      <c r="AS16" s="127" t="str">
        <f t="shared" si="3"/>
        <v/>
      </c>
      <c r="AT16" s="127" t="str">
        <f t="shared" si="3"/>
        <v/>
      </c>
      <c r="AU16" s="127" t="str">
        <f t="shared" si="3"/>
        <v/>
      </c>
      <c r="AV16" s="127" t="str">
        <f t="shared" si="3"/>
        <v/>
      </c>
      <c r="AW16" s="127" t="str">
        <f t="shared" si="3"/>
        <v/>
      </c>
      <c r="AX16" s="127" t="str">
        <f t="shared" si="3"/>
        <v/>
      </c>
      <c r="AY16" s="127" t="str">
        <f t="shared" si="3"/>
        <v/>
      </c>
      <c r="AZ16" s="127" t="str">
        <f t="shared" si="3"/>
        <v/>
      </c>
      <c r="BA16" s="127" t="str">
        <f t="shared" si="3"/>
        <v/>
      </c>
      <c r="BB16" s="127" t="str">
        <f t="shared" si="3"/>
        <v/>
      </c>
      <c r="BC16" s="127" t="str">
        <f t="shared" si="3"/>
        <v/>
      </c>
      <c r="BD16" s="127" t="str">
        <f t="shared" si="3"/>
        <v/>
      </c>
      <c r="BE16" s="127" t="str">
        <f t="shared" si="3"/>
        <v/>
      </c>
      <c r="BF16" s="127" t="str">
        <f t="shared" si="3"/>
        <v/>
      </c>
      <c r="BG16" s="127" t="str">
        <f t="shared" si="4"/>
        <v/>
      </c>
      <c r="BH16" s="127" t="str">
        <f t="shared" si="4"/>
        <v/>
      </c>
      <c r="BI16" s="127" t="str">
        <f t="shared" si="4"/>
        <v/>
      </c>
      <c r="BJ16" s="127" t="str">
        <f t="shared" si="4"/>
        <v/>
      </c>
      <c r="BK16" s="127" t="str">
        <f t="shared" si="4"/>
        <v/>
      </c>
      <c r="BL16" s="127" t="str">
        <f t="shared" si="4"/>
        <v/>
      </c>
      <c r="BM16" s="127" t="str">
        <f t="shared" si="4"/>
        <v/>
      </c>
      <c r="BN16" s="127" t="str">
        <f t="shared" si="4"/>
        <v/>
      </c>
      <c r="BO16" s="127" t="str">
        <f t="shared" si="4"/>
        <v/>
      </c>
      <c r="BP16" s="127" t="str">
        <f t="shared" si="4"/>
        <v/>
      </c>
      <c r="BQ16" s="127" t="str">
        <f t="shared" si="4"/>
        <v/>
      </c>
      <c r="BR16" s="127" t="str">
        <f t="shared" si="4"/>
        <v/>
      </c>
      <c r="BS16" s="127" t="str">
        <f t="shared" si="5"/>
        <v/>
      </c>
      <c r="BT16" s="127" t="str">
        <f t="shared" si="5"/>
        <v/>
      </c>
      <c r="BU16" s="127" t="str">
        <f t="shared" si="5"/>
        <v/>
      </c>
      <c r="BV16" s="127" t="str">
        <f t="shared" si="5"/>
        <v/>
      </c>
      <c r="BW16" s="127" t="str">
        <f t="shared" si="5"/>
        <v/>
      </c>
      <c r="BX16" s="127" t="str">
        <f t="shared" si="5"/>
        <v/>
      </c>
      <c r="BY16" s="127" t="str">
        <f t="shared" si="5"/>
        <v/>
      </c>
      <c r="BZ16" s="127" t="str">
        <f t="shared" si="5"/>
        <v/>
      </c>
      <c r="CA16" s="127" t="str">
        <f t="shared" si="5"/>
        <v/>
      </c>
      <c r="CB16" s="127" t="str">
        <f t="shared" si="5"/>
        <v/>
      </c>
      <c r="CC16" s="127" t="str">
        <f t="shared" si="5"/>
        <v/>
      </c>
      <c r="CD16" s="127" t="str">
        <f t="shared" si="5"/>
        <v/>
      </c>
    </row>
    <row r="17" spans="1:82" ht="12.6" customHeight="1" x14ac:dyDescent="0.2">
      <c r="A17" s="106">
        <f>SHIPMENTS!A23</f>
        <v>7919</v>
      </c>
      <c r="B17" s="106" t="str">
        <f>SHIPMENTS!B23</f>
        <v>8200-AUSTRALIA</v>
      </c>
      <c r="C17" s="132">
        <f>SHIPMENTS!F23</f>
        <v>0</v>
      </c>
      <c r="D17" s="107" t="str">
        <f>IF((SHIPMENTS!I23)=0,"",SHIPMENTS!I23)</f>
        <v/>
      </c>
      <c r="E17" s="176" t="str">
        <f>IF((SHIPMENTS!G23)=0,"",SHIPMENTS!G23)</f>
        <v/>
      </c>
      <c r="F17" s="98">
        <f>VLOOKUP(A17,load!$A$4:$U$5001,19,0)</f>
        <v>0</v>
      </c>
      <c r="G17" s="109">
        <f>Manhours!$C$10</f>
        <v>2.5</v>
      </c>
      <c r="H17" s="110">
        <f t="shared" si="6"/>
        <v>22.75</v>
      </c>
      <c r="I17" s="111">
        <f t="shared" si="7"/>
        <v>0</v>
      </c>
      <c r="J17" s="111">
        <f t="shared" si="8"/>
        <v>0</v>
      </c>
      <c r="K17" s="110">
        <f t="shared" si="9"/>
        <v>0</v>
      </c>
      <c r="L17" s="110">
        <f t="shared" si="10"/>
        <v>0</v>
      </c>
      <c r="M17" s="180">
        <f t="shared" si="13"/>
        <v>46314</v>
      </c>
      <c r="N17" s="181">
        <f t="shared" si="12"/>
        <v>46314</v>
      </c>
      <c r="O17" s="112">
        <f>VLOOKUP(A17,SHIPMENTS!$A$7:$AP$76,11,0)</f>
        <v>1</v>
      </c>
      <c r="P17" s="101"/>
      <c r="Q17" s="127" t="str">
        <f t="shared" si="2"/>
        <v/>
      </c>
      <c r="R17" s="127" t="str">
        <f t="shared" si="2"/>
        <v/>
      </c>
      <c r="S17" s="127" t="str">
        <f t="shared" si="2"/>
        <v/>
      </c>
      <c r="T17" s="127" t="str">
        <f t="shared" si="2"/>
        <v/>
      </c>
      <c r="U17" s="127" t="str">
        <f t="shared" si="2"/>
        <v/>
      </c>
      <c r="V17" s="127" t="str">
        <f t="shared" si="2"/>
        <v/>
      </c>
      <c r="W17" s="127" t="str">
        <f t="shared" si="2"/>
        <v/>
      </c>
      <c r="X17" s="127" t="str">
        <f t="shared" si="2"/>
        <v/>
      </c>
      <c r="Y17" s="127" t="str">
        <f t="shared" si="2"/>
        <v/>
      </c>
      <c r="Z17" s="127" t="str">
        <f t="shared" si="2"/>
        <v/>
      </c>
      <c r="AA17" s="127" t="str">
        <f t="shared" si="2"/>
        <v/>
      </c>
      <c r="AB17" s="127" t="str">
        <f t="shared" si="2"/>
        <v/>
      </c>
      <c r="AC17" s="127" t="str">
        <f t="shared" si="2"/>
        <v/>
      </c>
      <c r="AD17" s="127" t="str">
        <f t="shared" si="2"/>
        <v/>
      </c>
      <c r="AE17" s="127" t="str">
        <f t="shared" si="2"/>
        <v/>
      </c>
      <c r="AF17" s="127" t="str">
        <f t="shared" si="2"/>
        <v/>
      </c>
      <c r="AG17" s="127" t="str">
        <f t="shared" si="3"/>
        <v/>
      </c>
      <c r="AH17" s="127" t="str">
        <f t="shared" si="3"/>
        <v/>
      </c>
      <c r="AI17" s="127" t="str">
        <f t="shared" si="3"/>
        <v/>
      </c>
      <c r="AJ17" s="127" t="str">
        <f t="shared" si="3"/>
        <v/>
      </c>
      <c r="AK17" s="127" t="str">
        <f t="shared" si="3"/>
        <v/>
      </c>
      <c r="AL17" s="127" t="str">
        <f t="shared" si="3"/>
        <v/>
      </c>
      <c r="AM17" s="127" t="str">
        <f t="shared" si="3"/>
        <v/>
      </c>
      <c r="AN17" s="127" t="str">
        <f t="shared" si="3"/>
        <v/>
      </c>
      <c r="AO17" s="127" t="str">
        <f t="shared" si="3"/>
        <v/>
      </c>
      <c r="AP17" s="127" t="str">
        <f t="shared" si="3"/>
        <v/>
      </c>
      <c r="AQ17" s="127" t="str">
        <f t="shared" si="3"/>
        <v/>
      </c>
      <c r="AR17" s="127" t="str">
        <f t="shared" si="3"/>
        <v/>
      </c>
      <c r="AS17" s="127" t="str">
        <f t="shared" si="3"/>
        <v/>
      </c>
      <c r="AT17" s="127" t="str">
        <f t="shared" si="3"/>
        <v/>
      </c>
      <c r="AU17" s="127" t="str">
        <f t="shared" si="3"/>
        <v/>
      </c>
      <c r="AV17" s="127" t="str">
        <f t="shared" si="3"/>
        <v/>
      </c>
      <c r="AW17" s="127" t="str">
        <f t="shared" si="3"/>
        <v/>
      </c>
      <c r="AX17" s="127" t="str">
        <f t="shared" si="3"/>
        <v/>
      </c>
      <c r="AY17" s="127" t="str">
        <f t="shared" si="3"/>
        <v/>
      </c>
      <c r="AZ17" s="127" t="str">
        <f t="shared" si="3"/>
        <v/>
      </c>
      <c r="BA17" s="127" t="str">
        <f t="shared" si="3"/>
        <v/>
      </c>
      <c r="BB17" s="127" t="str">
        <f t="shared" ref="BB17:CD33" si="14">IF($E17=BB$3,"▲","")</f>
        <v/>
      </c>
      <c r="BC17" s="127" t="str">
        <f t="shared" si="14"/>
        <v/>
      </c>
      <c r="BD17" s="127" t="str">
        <f t="shared" si="14"/>
        <v/>
      </c>
      <c r="BE17" s="127" t="str">
        <f t="shared" si="14"/>
        <v/>
      </c>
      <c r="BF17" s="127" t="str">
        <f t="shared" si="14"/>
        <v/>
      </c>
      <c r="BG17" s="127" t="str">
        <f t="shared" si="4"/>
        <v/>
      </c>
      <c r="BH17" s="127" t="str">
        <f t="shared" si="14"/>
        <v/>
      </c>
      <c r="BI17" s="127" t="str">
        <f t="shared" si="14"/>
        <v/>
      </c>
      <c r="BJ17" s="127" t="str">
        <f t="shared" si="14"/>
        <v/>
      </c>
      <c r="BK17" s="127" t="str">
        <f t="shared" si="14"/>
        <v/>
      </c>
      <c r="BL17" s="127" t="str">
        <f t="shared" si="14"/>
        <v/>
      </c>
      <c r="BM17" s="127" t="str">
        <f t="shared" si="4"/>
        <v/>
      </c>
      <c r="BN17" s="127" t="str">
        <f t="shared" si="14"/>
        <v/>
      </c>
      <c r="BO17" s="127" t="str">
        <f t="shared" si="14"/>
        <v/>
      </c>
      <c r="BP17" s="127" t="str">
        <f t="shared" si="14"/>
        <v/>
      </c>
      <c r="BQ17" s="127" t="str">
        <f t="shared" si="14"/>
        <v/>
      </c>
      <c r="BR17" s="127" t="str">
        <f t="shared" si="14"/>
        <v/>
      </c>
      <c r="BS17" s="127" t="str">
        <f t="shared" si="5"/>
        <v/>
      </c>
      <c r="BT17" s="127" t="str">
        <f t="shared" si="14"/>
        <v/>
      </c>
      <c r="BU17" s="127" t="str">
        <f t="shared" si="14"/>
        <v/>
      </c>
      <c r="BV17" s="127" t="str">
        <f t="shared" si="14"/>
        <v/>
      </c>
      <c r="BW17" s="127" t="str">
        <f t="shared" si="14"/>
        <v/>
      </c>
      <c r="BX17" s="127" t="str">
        <f t="shared" si="14"/>
        <v/>
      </c>
      <c r="BY17" s="127" t="str">
        <f t="shared" si="5"/>
        <v/>
      </c>
      <c r="BZ17" s="127" t="str">
        <f t="shared" si="14"/>
        <v/>
      </c>
      <c r="CA17" s="127" t="str">
        <f t="shared" si="14"/>
        <v/>
      </c>
      <c r="CB17" s="127" t="str">
        <f t="shared" si="14"/>
        <v/>
      </c>
      <c r="CC17" s="127" t="str">
        <f t="shared" si="14"/>
        <v/>
      </c>
      <c r="CD17" s="127" t="str">
        <f t="shared" si="14"/>
        <v/>
      </c>
    </row>
    <row r="18" spans="1:82" ht="12.6" customHeight="1" x14ac:dyDescent="0.2">
      <c r="A18" s="106">
        <f>SHIPMENTS!A24</f>
        <v>9015</v>
      </c>
      <c r="B18" s="106" t="str">
        <f>SHIPMENTS!B24</f>
        <v>15900- Mandaue City | Atty. Brando Raya</v>
      </c>
      <c r="C18" s="132">
        <f>SHIPMENTS!F24</f>
        <v>0.25600000000000001</v>
      </c>
      <c r="D18" s="107" t="str">
        <f>IF((SHIPMENTS!I24)=0,"",SHIPMENTS!I24)</f>
        <v>LCL</v>
      </c>
      <c r="E18" s="176">
        <f>IF((SHIPMENTS!G24)=0,"",SHIPMENTS!G24)</f>
        <v>46323</v>
      </c>
      <c r="F18" s="98">
        <f>VLOOKUP(A18,load!$A$4:$U$5001,19,0)</f>
        <v>0.50683333333333336</v>
      </c>
      <c r="G18" s="109">
        <f>Manhours!$C$10</f>
        <v>2.5</v>
      </c>
      <c r="H18" s="110">
        <f t="shared" si="6"/>
        <v>22.75</v>
      </c>
      <c r="I18" s="111">
        <f t="shared" si="7"/>
        <v>2.2278388278388281E-2</v>
      </c>
      <c r="J18" s="111">
        <f t="shared" si="8"/>
        <v>0.20273333333333335</v>
      </c>
      <c r="K18" s="110">
        <f t="shared" si="9"/>
        <v>0</v>
      </c>
      <c r="L18" s="110">
        <f t="shared" si="10"/>
        <v>0</v>
      </c>
      <c r="M18" s="180">
        <f t="shared" si="13"/>
        <v>46314</v>
      </c>
      <c r="N18" s="181">
        <f t="shared" si="12"/>
        <v>46314</v>
      </c>
      <c r="O18" s="112">
        <f>VLOOKUP(A18,SHIPMENTS!$A$7:$AP$76,11,0)</f>
        <v>1</v>
      </c>
      <c r="P18" s="101"/>
      <c r="Q18" s="127" t="str">
        <f t="shared" si="2"/>
        <v/>
      </c>
      <c r="R18" s="127" t="str">
        <f t="shared" si="2"/>
        <v/>
      </c>
      <c r="S18" s="127" t="str">
        <f t="shared" si="2"/>
        <v/>
      </c>
      <c r="T18" s="127" t="str">
        <f t="shared" si="2"/>
        <v/>
      </c>
      <c r="U18" s="127" t="str">
        <f t="shared" si="2"/>
        <v/>
      </c>
      <c r="V18" s="127" t="str">
        <f t="shared" si="2"/>
        <v/>
      </c>
      <c r="W18" s="127" t="str">
        <f t="shared" si="2"/>
        <v/>
      </c>
      <c r="X18" s="127" t="str">
        <f t="shared" si="2"/>
        <v/>
      </c>
      <c r="Y18" s="127" t="str">
        <f t="shared" si="2"/>
        <v>▲</v>
      </c>
      <c r="Z18" s="127" t="str">
        <f t="shared" si="2"/>
        <v/>
      </c>
      <c r="AA18" s="127" t="str">
        <f t="shared" si="2"/>
        <v/>
      </c>
      <c r="AB18" s="127" t="str">
        <f t="shared" si="2"/>
        <v/>
      </c>
      <c r="AC18" s="127" t="str">
        <f t="shared" si="2"/>
        <v/>
      </c>
      <c r="AD18" s="127" t="str">
        <f t="shared" si="2"/>
        <v/>
      </c>
      <c r="AE18" s="127" t="str">
        <f t="shared" si="2"/>
        <v/>
      </c>
      <c r="AF18" s="127" t="str">
        <f t="shared" si="2"/>
        <v/>
      </c>
      <c r="AG18" s="127" t="str">
        <f t="shared" ref="AG18:BQ32" si="15">IF($E18=AG$3,"▲","")</f>
        <v/>
      </c>
      <c r="AH18" s="127" t="str">
        <f t="shared" si="15"/>
        <v/>
      </c>
      <c r="AI18" s="127" t="str">
        <f t="shared" si="15"/>
        <v/>
      </c>
      <c r="AJ18" s="127" t="str">
        <f t="shared" si="15"/>
        <v/>
      </c>
      <c r="AK18" s="127" t="str">
        <f t="shared" si="15"/>
        <v/>
      </c>
      <c r="AL18" s="127" t="str">
        <f t="shared" si="15"/>
        <v/>
      </c>
      <c r="AM18" s="127" t="str">
        <f t="shared" si="15"/>
        <v/>
      </c>
      <c r="AN18" s="127" t="str">
        <f t="shared" si="15"/>
        <v/>
      </c>
      <c r="AO18" s="127" t="str">
        <f t="shared" si="15"/>
        <v/>
      </c>
      <c r="AP18" s="127" t="str">
        <f t="shared" si="15"/>
        <v/>
      </c>
      <c r="AQ18" s="127" t="str">
        <f t="shared" si="15"/>
        <v/>
      </c>
      <c r="AR18" s="127" t="str">
        <f t="shared" si="15"/>
        <v/>
      </c>
      <c r="AS18" s="127" t="str">
        <f t="shared" si="15"/>
        <v/>
      </c>
      <c r="AT18" s="127" t="str">
        <f t="shared" si="15"/>
        <v/>
      </c>
      <c r="AU18" s="127" t="str">
        <f t="shared" si="15"/>
        <v/>
      </c>
      <c r="AV18" s="127" t="str">
        <f t="shared" si="15"/>
        <v/>
      </c>
      <c r="AW18" s="127" t="str">
        <f t="shared" si="15"/>
        <v/>
      </c>
      <c r="AX18" s="127" t="str">
        <f t="shared" si="15"/>
        <v/>
      </c>
      <c r="AY18" s="127" t="str">
        <f t="shared" si="15"/>
        <v/>
      </c>
      <c r="AZ18" s="127" t="str">
        <f t="shared" si="15"/>
        <v/>
      </c>
      <c r="BA18" s="127" t="str">
        <f t="shared" si="15"/>
        <v/>
      </c>
      <c r="BB18" s="127" t="str">
        <f t="shared" si="15"/>
        <v/>
      </c>
      <c r="BC18" s="127" t="str">
        <f t="shared" si="15"/>
        <v/>
      </c>
      <c r="BD18" s="127" t="str">
        <f t="shared" si="15"/>
        <v/>
      </c>
      <c r="BE18" s="127" t="str">
        <f t="shared" si="15"/>
        <v/>
      </c>
      <c r="BF18" s="127" t="str">
        <f t="shared" si="14"/>
        <v/>
      </c>
      <c r="BG18" s="127" t="str">
        <f t="shared" si="15"/>
        <v/>
      </c>
      <c r="BH18" s="127" t="str">
        <f t="shared" si="15"/>
        <v/>
      </c>
      <c r="BI18" s="127" t="str">
        <f t="shared" si="15"/>
        <v/>
      </c>
      <c r="BJ18" s="127" t="str">
        <f t="shared" si="15"/>
        <v/>
      </c>
      <c r="BK18" s="127" t="str">
        <f t="shared" si="15"/>
        <v/>
      </c>
      <c r="BL18" s="127" t="str">
        <f t="shared" si="14"/>
        <v/>
      </c>
      <c r="BM18" s="127" t="str">
        <f t="shared" si="15"/>
        <v/>
      </c>
      <c r="BN18" s="127" t="str">
        <f t="shared" si="15"/>
        <v/>
      </c>
      <c r="BO18" s="127" t="str">
        <f t="shared" si="15"/>
        <v/>
      </c>
      <c r="BP18" s="127" t="str">
        <f t="shared" si="15"/>
        <v/>
      </c>
      <c r="BQ18" s="127" t="str">
        <f t="shared" si="15"/>
        <v/>
      </c>
      <c r="BR18" s="127" t="str">
        <f t="shared" si="14"/>
        <v/>
      </c>
      <c r="BS18" s="127" t="str">
        <f t="shared" si="5"/>
        <v/>
      </c>
      <c r="BT18" s="127" t="str">
        <f t="shared" si="5"/>
        <v/>
      </c>
      <c r="BU18" s="127" t="str">
        <f t="shared" si="5"/>
        <v/>
      </c>
      <c r="BV18" s="127" t="str">
        <f t="shared" si="5"/>
        <v/>
      </c>
      <c r="BW18" s="127" t="str">
        <f t="shared" si="5"/>
        <v/>
      </c>
      <c r="BX18" s="127" t="str">
        <f t="shared" si="14"/>
        <v/>
      </c>
      <c r="BY18" s="127" t="str">
        <f t="shared" si="5"/>
        <v/>
      </c>
      <c r="BZ18" s="127" t="str">
        <f t="shared" si="5"/>
        <v/>
      </c>
      <c r="CA18" s="127" t="str">
        <f t="shared" si="5"/>
        <v/>
      </c>
      <c r="CB18" s="127" t="str">
        <f t="shared" si="5"/>
        <v/>
      </c>
      <c r="CC18" s="127" t="str">
        <f t="shared" si="5"/>
        <v/>
      </c>
      <c r="CD18" s="127" t="str">
        <f t="shared" si="14"/>
        <v/>
      </c>
    </row>
    <row r="19" spans="1:82" ht="12.6" customHeight="1" x14ac:dyDescent="0.2">
      <c r="A19" s="106">
        <f>SHIPMENTS!A25</f>
        <v>9063</v>
      </c>
      <c r="B19" s="106" t="str">
        <f>SHIPMENTS!B25</f>
        <v>15900- Borongan City | Kookie Lim Uy / 3K Salon And Spa</v>
      </c>
      <c r="C19" s="132">
        <f>SHIPMENTS!F25</f>
        <v>0.12</v>
      </c>
      <c r="D19" s="107" t="str">
        <f>IF((SHIPMENTS!I25)=0,"",SHIPMENTS!I25)</f>
        <v/>
      </c>
      <c r="E19" s="176">
        <f>IF((SHIPMENTS!G25)=0,"",SHIPMENTS!G25)</f>
        <v>46323</v>
      </c>
      <c r="F19" s="98">
        <f>VLOOKUP(A19,load!$A$4:$U$5001,19,0)</f>
        <v>0</v>
      </c>
      <c r="G19" s="109">
        <f>Manhours!$C$10</f>
        <v>2.5</v>
      </c>
      <c r="H19" s="110">
        <f t="shared" si="6"/>
        <v>22.75</v>
      </c>
      <c r="I19" s="111">
        <f t="shared" si="7"/>
        <v>0</v>
      </c>
      <c r="J19" s="111">
        <f t="shared" si="8"/>
        <v>0</v>
      </c>
      <c r="K19" s="110">
        <f t="shared" si="9"/>
        <v>0</v>
      </c>
      <c r="L19" s="110">
        <f t="shared" si="10"/>
        <v>0</v>
      </c>
      <c r="M19" s="180">
        <f t="shared" si="13"/>
        <v>46314</v>
      </c>
      <c r="N19" s="181">
        <f t="shared" si="12"/>
        <v>46314</v>
      </c>
      <c r="O19" s="112">
        <f>VLOOKUP(A19,SHIPMENTS!$A$7:$AP$76,11,0)</f>
        <v>1</v>
      </c>
      <c r="P19" s="101"/>
      <c r="Q19" s="127" t="str">
        <f t="shared" si="2"/>
        <v/>
      </c>
      <c r="R19" s="127" t="str">
        <f t="shared" si="2"/>
        <v/>
      </c>
      <c r="S19" s="127" t="str">
        <f t="shared" si="2"/>
        <v/>
      </c>
      <c r="T19" s="127" t="str">
        <f t="shared" si="2"/>
        <v/>
      </c>
      <c r="U19" s="127" t="str">
        <f t="shared" si="2"/>
        <v/>
      </c>
      <c r="V19" s="127" t="str">
        <f t="shared" si="2"/>
        <v/>
      </c>
      <c r="W19" s="127" t="str">
        <f t="shared" si="2"/>
        <v/>
      </c>
      <c r="X19" s="127" t="str">
        <f t="shared" si="2"/>
        <v/>
      </c>
      <c r="Y19" s="127" t="str">
        <f t="shared" si="2"/>
        <v>▲</v>
      </c>
      <c r="Z19" s="127" t="str">
        <f t="shared" si="2"/>
        <v/>
      </c>
      <c r="AA19" s="127" t="str">
        <f t="shared" si="2"/>
        <v/>
      </c>
      <c r="AB19" s="127" t="str">
        <f t="shared" si="2"/>
        <v/>
      </c>
      <c r="AC19" s="127" t="str">
        <f t="shared" si="2"/>
        <v/>
      </c>
      <c r="AD19" s="127" t="str">
        <f t="shared" si="2"/>
        <v/>
      </c>
      <c r="AE19" s="127" t="str">
        <f t="shared" si="2"/>
        <v/>
      </c>
      <c r="AF19" s="127" t="str">
        <f t="shared" si="2"/>
        <v/>
      </c>
      <c r="AG19" s="127" t="str">
        <f t="shared" si="15"/>
        <v/>
      </c>
      <c r="AH19" s="127" t="str">
        <f t="shared" si="15"/>
        <v/>
      </c>
      <c r="AI19" s="127" t="str">
        <f t="shared" si="15"/>
        <v/>
      </c>
      <c r="AJ19" s="127" t="str">
        <f t="shared" si="15"/>
        <v/>
      </c>
      <c r="AK19" s="127" t="str">
        <f t="shared" si="15"/>
        <v/>
      </c>
      <c r="AL19" s="127" t="str">
        <f t="shared" si="15"/>
        <v/>
      </c>
      <c r="AM19" s="127" t="str">
        <f t="shared" si="15"/>
        <v/>
      </c>
      <c r="AN19" s="127" t="str">
        <f t="shared" si="15"/>
        <v/>
      </c>
      <c r="AO19" s="127" t="str">
        <f t="shared" si="15"/>
        <v/>
      </c>
      <c r="AP19" s="127" t="str">
        <f t="shared" si="15"/>
        <v/>
      </c>
      <c r="AQ19" s="127" t="str">
        <f t="shared" si="15"/>
        <v/>
      </c>
      <c r="AR19" s="127" t="str">
        <f t="shared" si="15"/>
        <v/>
      </c>
      <c r="AS19" s="127" t="str">
        <f t="shared" si="15"/>
        <v/>
      </c>
      <c r="AT19" s="127" t="str">
        <f t="shared" si="15"/>
        <v/>
      </c>
      <c r="AU19" s="127" t="str">
        <f t="shared" si="15"/>
        <v/>
      </c>
      <c r="AV19" s="127" t="str">
        <f t="shared" si="15"/>
        <v/>
      </c>
      <c r="AW19" s="127" t="str">
        <f t="shared" si="15"/>
        <v/>
      </c>
      <c r="AX19" s="127" t="str">
        <f t="shared" si="15"/>
        <v/>
      </c>
      <c r="AY19" s="127" t="str">
        <f t="shared" si="15"/>
        <v/>
      </c>
      <c r="AZ19" s="127" t="str">
        <f t="shared" si="15"/>
        <v/>
      </c>
      <c r="BA19" s="127" t="str">
        <f t="shared" si="15"/>
        <v/>
      </c>
      <c r="BB19" s="127" t="str">
        <f t="shared" si="15"/>
        <v/>
      </c>
      <c r="BC19" s="127" t="str">
        <f t="shared" si="15"/>
        <v/>
      </c>
      <c r="BD19" s="127" t="str">
        <f t="shared" si="15"/>
        <v/>
      </c>
      <c r="BE19" s="127" t="str">
        <f t="shared" si="15"/>
        <v/>
      </c>
      <c r="BF19" s="127" t="str">
        <f t="shared" si="14"/>
        <v/>
      </c>
      <c r="BG19" s="127" t="str">
        <f t="shared" si="15"/>
        <v/>
      </c>
      <c r="BH19" s="127" t="str">
        <f t="shared" si="15"/>
        <v/>
      </c>
      <c r="BI19" s="127" t="str">
        <f t="shared" si="15"/>
        <v/>
      </c>
      <c r="BJ19" s="127" t="str">
        <f t="shared" si="15"/>
        <v/>
      </c>
      <c r="BK19" s="127" t="str">
        <f t="shared" si="15"/>
        <v/>
      </c>
      <c r="BL19" s="127" t="str">
        <f t="shared" si="14"/>
        <v/>
      </c>
      <c r="BM19" s="127" t="str">
        <f t="shared" si="15"/>
        <v/>
      </c>
      <c r="BN19" s="127" t="str">
        <f t="shared" si="15"/>
        <v/>
      </c>
      <c r="BO19" s="127" t="str">
        <f t="shared" si="15"/>
        <v/>
      </c>
      <c r="BP19" s="127" t="str">
        <f t="shared" si="15"/>
        <v/>
      </c>
      <c r="BQ19" s="127" t="str">
        <f t="shared" si="15"/>
        <v/>
      </c>
      <c r="BR19" s="127" t="str">
        <f t="shared" si="14"/>
        <v/>
      </c>
      <c r="BS19" s="127" t="str">
        <f t="shared" si="5"/>
        <v/>
      </c>
      <c r="BT19" s="127" t="str">
        <f t="shared" si="5"/>
        <v/>
      </c>
      <c r="BU19" s="127" t="str">
        <f t="shared" si="5"/>
        <v/>
      </c>
      <c r="BV19" s="127" t="str">
        <f t="shared" si="5"/>
        <v/>
      </c>
      <c r="BW19" s="127" t="str">
        <f t="shared" si="5"/>
        <v/>
      </c>
      <c r="BX19" s="127" t="str">
        <f t="shared" si="14"/>
        <v/>
      </c>
      <c r="BY19" s="127" t="str">
        <f t="shared" si="5"/>
        <v/>
      </c>
      <c r="BZ19" s="127" t="str">
        <f t="shared" si="5"/>
        <v/>
      </c>
      <c r="CA19" s="127" t="str">
        <f t="shared" si="5"/>
        <v/>
      </c>
      <c r="CB19" s="127" t="str">
        <f t="shared" si="5"/>
        <v/>
      </c>
      <c r="CC19" s="127" t="str">
        <f t="shared" si="5"/>
        <v/>
      </c>
      <c r="CD19" s="127" t="str">
        <f t="shared" si="14"/>
        <v/>
      </c>
    </row>
    <row r="20" spans="1:82" ht="12.6" customHeight="1" x14ac:dyDescent="0.2">
      <c r="A20" s="106">
        <f>SHIPMENTS!A26</f>
        <v>9131</v>
      </c>
      <c r="B20" s="106" t="str">
        <f>SHIPMENTS!B26</f>
        <v>15900- Cagayan De Oro |Kevin Anthony Pilapil Lagumbay</v>
      </c>
      <c r="C20" s="132">
        <f>SHIPMENTS!F26</f>
        <v>0.12</v>
      </c>
      <c r="D20" s="107" t="str">
        <f>IF((SHIPMENTS!I26)=0,"",SHIPMENTS!I26)</f>
        <v/>
      </c>
      <c r="E20" s="176">
        <f>IF((SHIPMENTS!G26)=0,"",SHIPMENTS!G26)</f>
        <v>46323</v>
      </c>
      <c r="F20" s="98">
        <f>VLOOKUP(A20,load!$A$4:$U$5001,19,0)</f>
        <v>4.6833333333333331E-2</v>
      </c>
      <c r="G20" s="109">
        <f>Manhours!$C$10</f>
        <v>2.5</v>
      </c>
      <c r="H20" s="110">
        <f t="shared" si="6"/>
        <v>22.75</v>
      </c>
      <c r="I20" s="111">
        <f t="shared" si="7"/>
        <v>2.0586080586080585E-3</v>
      </c>
      <c r="J20" s="111">
        <f t="shared" si="8"/>
        <v>1.8733333333333331E-2</v>
      </c>
      <c r="K20" s="110">
        <f t="shared" si="9"/>
        <v>0</v>
      </c>
      <c r="L20" s="110">
        <f t="shared" si="10"/>
        <v>0</v>
      </c>
      <c r="M20" s="180">
        <f t="shared" si="13"/>
        <v>46314</v>
      </c>
      <c r="N20" s="181">
        <f t="shared" si="12"/>
        <v>46314</v>
      </c>
      <c r="O20" s="112">
        <f>VLOOKUP(A20,SHIPMENTS!$A$7:$AP$76,11,0)</f>
        <v>1</v>
      </c>
      <c r="P20" s="101"/>
      <c r="Q20" s="127" t="str">
        <f t="shared" si="2"/>
        <v/>
      </c>
      <c r="R20" s="127" t="str">
        <f t="shared" si="2"/>
        <v/>
      </c>
      <c r="S20" s="127" t="str">
        <f t="shared" si="2"/>
        <v/>
      </c>
      <c r="T20" s="127" t="str">
        <f t="shared" si="2"/>
        <v/>
      </c>
      <c r="U20" s="127" t="str">
        <f t="shared" si="2"/>
        <v/>
      </c>
      <c r="V20" s="127" t="str">
        <f t="shared" si="2"/>
        <v/>
      </c>
      <c r="W20" s="127" t="str">
        <f t="shared" si="2"/>
        <v/>
      </c>
      <c r="X20" s="127" t="str">
        <f t="shared" si="2"/>
        <v/>
      </c>
      <c r="Y20" s="127" t="str">
        <f t="shared" si="2"/>
        <v>▲</v>
      </c>
      <c r="Z20" s="127" t="str">
        <f t="shared" si="2"/>
        <v/>
      </c>
      <c r="AA20" s="127" t="str">
        <f t="shared" si="2"/>
        <v/>
      </c>
      <c r="AB20" s="127" t="str">
        <f t="shared" si="2"/>
        <v/>
      </c>
      <c r="AC20" s="127" t="str">
        <f t="shared" si="2"/>
        <v/>
      </c>
      <c r="AD20" s="127" t="str">
        <f t="shared" si="2"/>
        <v/>
      </c>
      <c r="AE20" s="127" t="str">
        <f t="shared" si="2"/>
        <v/>
      </c>
      <c r="AF20" s="127" t="str">
        <f t="shared" si="2"/>
        <v/>
      </c>
      <c r="AG20" s="127" t="str">
        <f t="shared" si="15"/>
        <v/>
      </c>
      <c r="AH20" s="127" t="str">
        <f t="shared" si="15"/>
        <v/>
      </c>
      <c r="AI20" s="127" t="str">
        <f t="shared" si="15"/>
        <v/>
      </c>
      <c r="AJ20" s="127" t="str">
        <f t="shared" si="15"/>
        <v/>
      </c>
      <c r="AK20" s="127" t="str">
        <f t="shared" si="15"/>
        <v/>
      </c>
      <c r="AL20" s="127" t="str">
        <f t="shared" si="15"/>
        <v/>
      </c>
      <c r="AM20" s="127" t="str">
        <f t="shared" si="15"/>
        <v/>
      </c>
      <c r="AN20" s="127" t="str">
        <f t="shared" si="15"/>
        <v/>
      </c>
      <c r="AO20" s="127" t="str">
        <f t="shared" si="15"/>
        <v/>
      </c>
      <c r="AP20" s="127" t="str">
        <f t="shared" si="15"/>
        <v/>
      </c>
      <c r="AQ20" s="127" t="str">
        <f t="shared" si="15"/>
        <v/>
      </c>
      <c r="AR20" s="127" t="str">
        <f t="shared" si="15"/>
        <v/>
      </c>
      <c r="AS20" s="127" t="str">
        <f t="shared" si="15"/>
        <v/>
      </c>
      <c r="AT20" s="127" t="str">
        <f t="shared" si="15"/>
        <v/>
      </c>
      <c r="AU20" s="127" t="str">
        <f t="shared" si="15"/>
        <v/>
      </c>
      <c r="AV20" s="127" t="str">
        <f t="shared" si="15"/>
        <v/>
      </c>
      <c r="AW20" s="127" t="str">
        <f t="shared" si="15"/>
        <v/>
      </c>
      <c r="AX20" s="127" t="str">
        <f t="shared" si="15"/>
        <v/>
      </c>
      <c r="AY20" s="127" t="str">
        <f t="shared" si="15"/>
        <v/>
      </c>
      <c r="AZ20" s="127" t="str">
        <f t="shared" si="15"/>
        <v/>
      </c>
      <c r="BA20" s="127" t="str">
        <f t="shared" si="15"/>
        <v/>
      </c>
      <c r="BB20" s="127" t="str">
        <f t="shared" si="15"/>
        <v/>
      </c>
      <c r="BC20" s="127" t="str">
        <f t="shared" si="15"/>
        <v/>
      </c>
      <c r="BD20" s="127" t="str">
        <f t="shared" si="15"/>
        <v/>
      </c>
      <c r="BE20" s="127" t="str">
        <f t="shared" si="15"/>
        <v/>
      </c>
      <c r="BF20" s="127" t="str">
        <f t="shared" si="14"/>
        <v/>
      </c>
      <c r="BG20" s="127" t="str">
        <f t="shared" si="15"/>
        <v/>
      </c>
      <c r="BH20" s="127" t="str">
        <f t="shared" si="15"/>
        <v/>
      </c>
      <c r="BI20" s="127" t="str">
        <f t="shared" si="15"/>
        <v/>
      </c>
      <c r="BJ20" s="127" t="str">
        <f t="shared" si="15"/>
        <v/>
      </c>
      <c r="BK20" s="127" t="str">
        <f t="shared" si="15"/>
        <v/>
      </c>
      <c r="BL20" s="127" t="str">
        <f t="shared" si="14"/>
        <v/>
      </c>
      <c r="BM20" s="127" t="str">
        <f t="shared" si="15"/>
        <v/>
      </c>
      <c r="BN20" s="127" t="str">
        <f t="shared" si="15"/>
        <v/>
      </c>
      <c r="BO20" s="127" t="str">
        <f t="shared" si="15"/>
        <v/>
      </c>
      <c r="BP20" s="127" t="str">
        <f t="shared" si="15"/>
        <v/>
      </c>
      <c r="BQ20" s="127" t="str">
        <f t="shared" si="15"/>
        <v/>
      </c>
      <c r="BR20" s="127" t="str">
        <f t="shared" si="14"/>
        <v/>
      </c>
      <c r="BS20" s="127" t="str">
        <f t="shared" si="5"/>
        <v/>
      </c>
      <c r="BT20" s="127" t="str">
        <f t="shared" si="5"/>
        <v/>
      </c>
      <c r="BU20" s="127" t="str">
        <f t="shared" si="5"/>
        <v/>
      </c>
      <c r="BV20" s="127" t="str">
        <f t="shared" si="5"/>
        <v/>
      </c>
      <c r="BW20" s="127" t="str">
        <f t="shared" si="5"/>
        <v/>
      </c>
      <c r="BX20" s="127" t="str">
        <f t="shared" si="14"/>
        <v/>
      </c>
      <c r="BY20" s="127" t="str">
        <f t="shared" si="5"/>
        <v/>
      </c>
      <c r="BZ20" s="127" t="str">
        <f t="shared" si="5"/>
        <v/>
      </c>
      <c r="CA20" s="127" t="str">
        <f t="shared" si="5"/>
        <v/>
      </c>
      <c r="CB20" s="127" t="str">
        <f t="shared" si="5"/>
        <v/>
      </c>
      <c r="CC20" s="127" t="str">
        <f t="shared" si="5"/>
        <v/>
      </c>
      <c r="CD20" s="127" t="str">
        <f t="shared" si="14"/>
        <v/>
      </c>
    </row>
    <row r="21" spans="1:82" ht="12.6" customHeight="1" x14ac:dyDescent="0.2">
      <c r="A21" s="106">
        <f>SHIPMENTS!A27</f>
        <v>9228</v>
      </c>
      <c r="B21" s="106" t="str">
        <f>SHIPMENTS!B27</f>
        <v>15900- Cebu City |Stephanie Sarmiento</v>
      </c>
      <c r="C21" s="132">
        <f>SHIPMENTS!F27</f>
        <v>0.16</v>
      </c>
      <c r="D21" s="107" t="str">
        <f>IF((SHIPMENTS!I27)=0,"",SHIPMENTS!I27)</f>
        <v/>
      </c>
      <c r="E21" s="176">
        <f>IF((SHIPMENTS!G27)=0,"",SHIPMENTS!G27)</f>
        <v>46323</v>
      </c>
      <c r="F21" s="98">
        <f>VLOOKUP(A21,load!$A$4:$U$5001,19,0)</f>
        <v>0</v>
      </c>
      <c r="G21" s="109">
        <f>Manhours!$C$10</f>
        <v>2.5</v>
      </c>
      <c r="H21" s="110">
        <f t="shared" si="6"/>
        <v>22.75</v>
      </c>
      <c r="I21" s="111">
        <f t="shared" si="7"/>
        <v>0</v>
      </c>
      <c r="J21" s="111">
        <f t="shared" si="8"/>
        <v>0</v>
      </c>
      <c r="K21" s="110">
        <f t="shared" si="9"/>
        <v>0</v>
      </c>
      <c r="L21" s="110">
        <f t="shared" si="10"/>
        <v>0</v>
      </c>
      <c r="M21" s="180">
        <f t="shared" si="13"/>
        <v>46314</v>
      </c>
      <c r="N21" s="181">
        <f t="shared" si="12"/>
        <v>46314</v>
      </c>
      <c r="O21" s="112">
        <f>VLOOKUP(A21,SHIPMENTS!$A$7:$AP$76,11,0)</f>
        <v>1</v>
      </c>
      <c r="P21" s="101"/>
      <c r="Q21" s="127" t="str">
        <f t="shared" si="2"/>
        <v/>
      </c>
      <c r="R21" s="127" t="str">
        <f t="shared" si="2"/>
        <v/>
      </c>
      <c r="S21" s="127" t="str">
        <f t="shared" si="2"/>
        <v/>
      </c>
      <c r="T21" s="127" t="str">
        <f t="shared" si="2"/>
        <v/>
      </c>
      <c r="U21" s="127" t="str">
        <f t="shared" si="2"/>
        <v/>
      </c>
      <c r="V21" s="127" t="str">
        <f t="shared" si="2"/>
        <v/>
      </c>
      <c r="W21" s="127" t="str">
        <f t="shared" si="2"/>
        <v/>
      </c>
      <c r="X21" s="127" t="str">
        <f t="shared" si="2"/>
        <v/>
      </c>
      <c r="Y21" s="127" t="str">
        <f t="shared" si="2"/>
        <v>▲</v>
      </c>
      <c r="Z21" s="127" t="str">
        <f t="shared" si="2"/>
        <v/>
      </c>
      <c r="AA21" s="127" t="str">
        <f t="shared" si="2"/>
        <v/>
      </c>
      <c r="AB21" s="127" t="str">
        <f t="shared" si="2"/>
        <v/>
      </c>
      <c r="AC21" s="127" t="str">
        <f t="shared" si="2"/>
        <v/>
      </c>
      <c r="AD21" s="127" t="str">
        <f t="shared" si="2"/>
        <v/>
      </c>
      <c r="AE21" s="127" t="str">
        <f t="shared" si="2"/>
        <v/>
      </c>
      <c r="AF21" s="127" t="str">
        <f t="shared" si="2"/>
        <v/>
      </c>
      <c r="AG21" s="127" t="str">
        <f t="shared" si="15"/>
        <v/>
      </c>
      <c r="AH21" s="127" t="str">
        <f t="shared" si="15"/>
        <v/>
      </c>
      <c r="AI21" s="127" t="str">
        <f t="shared" si="15"/>
        <v/>
      </c>
      <c r="AJ21" s="127" t="str">
        <f t="shared" si="15"/>
        <v/>
      </c>
      <c r="AK21" s="127" t="str">
        <f t="shared" si="15"/>
        <v/>
      </c>
      <c r="AL21" s="127" t="str">
        <f t="shared" si="15"/>
        <v/>
      </c>
      <c r="AM21" s="127" t="str">
        <f t="shared" si="15"/>
        <v/>
      </c>
      <c r="AN21" s="127" t="str">
        <f t="shared" si="15"/>
        <v/>
      </c>
      <c r="AO21" s="127" t="str">
        <f t="shared" si="15"/>
        <v/>
      </c>
      <c r="AP21" s="127" t="str">
        <f t="shared" si="15"/>
        <v/>
      </c>
      <c r="AQ21" s="127" t="str">
        <f t="shared" si="15"/>
        <v/>
      </c>
      <c r="AR21" s="127" t="str">
        <f t="shared" si="15"/>
        <v/>
      </c>
      <c r="AS21" s="127" t="str">
        <f t="shared" si="15"/>
        <v/>
      </c>
      <c r="AT21" s="127" t="str">
        <f t="shared" si="15"/>
        <v/>
      </c>
      <c r="AU21" s="127" t="str">
        <f t="shared" si="15"/>
        <v/>
      </c>
      <c r="AV21" s="127" t="str">
        <f t="shared" si="15"/>
        <v/>
      </c>
      <c r="AW21" s="127" t="str">
        <f t="shared" si="15"/>
        <v/>
      </c>
      <c r="AX21" s="127" t="str">
        <f t="shared" si="15"/>
        <v/>
      </c>
      <c r="AY21" s="127" t="str">
        <f t="shared" si="15"/>
        <v/>
      </c>
      <c r="AZ21" s="127" t="str">
        <f t="shared" si="15"/>
        <v/>
      </c>
      <c r="BA21" s="127" t="str">
        <f t="shared" si="15"/>
        <v/>
      </c>
      <c r="BB21" s="127" t="str">
        <f t="shared" si="15"/>
        <v/>
      </c>
      <c r="BC21" s="127" t="str">
        <f t="shared" si="15"/>
        <v/>
      </c>
      <c r="BD21" s="127" t="str">
        <f t="shared" si="15"/>
        <v/>
      </c>
      <c r="BE21" s="127" t="str">
        <f t="shared" si="15"/>
        <v/>
      </c>
      <c r="BF21" s="127" t="str">
        <f t="shared" si="14"/>
        <v/>
      </c>
      <c r="BG21" s="127" t="str">
        <f t="shared" si="15"/>
        <v/>
      </c>
      <c r="BH21" s="127" t="str">
        <f t="shared" si="15"/>
        <v/>
      </c>
      <c r="BI21" s="127" t="str">
        <f t="shared" si="15"/>
        <v/>
      </c>
      <c r="BJ21" s="127" t="str">
        <f t="shared" si="15"/>
        <v/>
      </c>
      <c r="BK21" s="127" t="str">
        <f t="shared" si="15"/>
        <v/>
      </c>
      <c r="BL21" s="127" t="str">
        <f t="shared" si="14"/>
        <v/>
      </c>
      <c r="BM21" s="127" t="str">
        <f t="shared" si="15"/>
        <v/>
      </c>
      <c r="BN21" s="127" t="str">
        <f t="shared" si="15"/>
        <v/>
      </c>
      <c r="BO21" s="127" t="str">
        <f t="shared" si="15"/>
        <v/>
      </c>
      <c r="BP21" s="127" t="str">
        <f t="shared" si="15"/>
        <v/>
      </c>
      <c r="BQ21" s="127" t="str">
        <f t="shared" si="15"/>
        <v/>
      </c>
      <c r="BR21" s="127" t="str">
        <f t="shared" si="14"/>
        <v/>
      </c>
      <c r="BS21" s="127" t="str">
        <f t="shared" si="5"/>
        <v/>
      </c>
      <c r="BT21" s="127" t="str">
        <f t="shared" si="5"/>
        <v/>
      </c>
      <c r="BU21" s="127" t="str">
        <f t="shared" si="5"/>
        <v/>
      </c>
      <c r="BV21" s="127" t="str">
        <f t="shared" si="5"/>
        <v/>
      </c>
      <c r="BW21" s="127" t="str">
        <f t="shared" si="5"/>
        <v/>
      </c>
      <c r="BX21" s="127" t="str">
        <f t="shared" si="14"/>
        <v/>
      </c>
      <c r="BY21" s="127" t="str">
        <f t="shared" si="5"/>
        <v/>
      </c>
      <c r="BZ21" s="127" t="str">
        <f t="shared" si="5"/>
        <v/>
      </c>
      <c r="CA21" s="127" t="str">
        <f t="shared" si="5"/>
        <v/>
      </c>
      <c r="CB21" s="127" t="str">
        <f t="shared" si="5"/>
        <v/>
      </c>
      <c r="CC21" s="127" t="str">
        <f t="shared" si="5"/>
        <v/>
      </c>
      <c r="CD21" s="127" t="str">
        <f t="shared" si="14"/>
        <v/>
      </c>
    </row>
    <row r="22" spans="1:82" ht="12.6" customHeight="1" x14ac:dyDescent="0.2">
      <c r="A22" s="106">
        <f>SHIPMENTS!A28</f>
        <v>9279</v>
      </c>
      <c r="B22" s="106" t="str">
        <f>SHIPMENTS!B28</f>
        <v>15900- Iloilo |Rocky Go</v>
      </c>
      <c r="C22" s="132">
        <f>SHIPMENTS!F28</f>
        <v>0.34820000000000001</v>
      </c>
      <c r="D22" s="107" t="str">
        <f>IF((SHIPMENTS!I28)=0,"",SHIPMENTS!I28)</f>
        <v/>
      </c>
      <c r="E22" s="176">
        <f>IF((SHIPMENTS!G28)=0,"",SHIPMENTS!G28)</f>
        <v>46323</v>
      </c>
      <c r="F22" s="98">
        <f>VLOOKUP(A22,load!$A$4:$U$5001,19,0)</f>
        <v>1.1433333333333333</v>
      </c>
      <c r="G22" s="109">
        <f>Manhours!$C$10</f>
        <v>2.5</v>
      </c>
      <c r="H22" s="110">
        <f t="shared" si="6"/>
        <v>22.75</v>
      </c>
      <c r="I22" s="111">
        <f t="shared" si="7"/>
        <v>5.0256410256410255E-2</v>
      </c>
      <c r="J22" s="111">
        <f t="shared" si="8"/>
        <v>0.45733333333333331</v>
      </c>
      <c r="K22" s="110">
        <f t="shared" si="9"/>
        <v>5.0256410256410255E-2</v>
      </c>
      <c r="L22" s="110">
        <f t="shared" si="10"/>
        <v>0.45733333333333331</v>
      </c>
      <c r="M22" s="180">
        <f t="shared" si="13"/>
        <v>46314</v>
      </c>
      <c r="N22" s="181">
        <f t="shared" si="12"/>
        <v>46314.050256410257</v>
      </c>
      <c r="O22" s="112">
        <f>VLOOKUP(A22,SHIPMENTS!$A$7:$AP$76,11,0)</f>
        <v>0</v>
      </c>
      <c r="P22" s="101"/>
      <c r="Q22" s="127" t="str">
        <f t="shared" si="2"/>
        <v/>
      </c>
      <c r="R22" s="127" t="str">
        <f t="shared" si="2"/>
        <v/>
      </c>
      <c r="S22" s="127" t="str">
        <f t="shared" si="2"/>
        <v/>
      </c>
      <c r="T22" s="127" t="str">
        <f t="shared" si="2"/>
        <v/>
      </c>
      <c r="U22" s="127" t="str">
        <f t="shared" si="2"/>
        <v/>
      </c>
      <c r="V22" s="127" t="str">
        <f t="shared" si="2"/>
        <v/>
      </c>
      <c r="W22" s="127" t="str">
        <f t="shared" si="2"/>
        <v/>
      </c>
      <c r="X22" s="127" t="str">
        <f t="shared" si="2"/>
        <v/>
      </c>
      <c r="Y22" s="127" t="str">
        <f t="shared" si="2"/>
        <v>▲</v>
      </c>
      <c r="Z22" s="127" t="str">
        <f t="shared" si="2"/>
        <v/>
      </c>
      <c r="AA22" s="127" t="str">
        <f t="shared" si="2"/>
        <v/>
      </c>
      <c r="AB22" s="127" t="str">
        <f t="shared" si="2"/>
        <v/>
      </c>
      <c r="AC22" s="127" t="str">
        <f t="shared" si="2"/>
        <v/>
      </c>
      <c r="AD22" s="127" t="str">
        <f t="shared" si="2"/>
        <v/>
      </c>
      <c r="AE22" s="127" t="str">
        <f t="shared" si="2"/>
        <v/>
      </c>
      <c r="AF22" s="127" t="str">
        <f t="shared" si="2"/>
        <v/>
      </c>
      <c r="AG22" s="127" t="str">
        <f t="shared" si="15"/>
        <v/>
      </c>
      <c r="AH22" s="127" t="str">
        <f t="shared" si="15"/>
        <v/>
      </c>
      <c r="AI22" s="127" t="str">
        <f t="shared" si="15"/>
        <v/>
      </c>
      <c r="AJ22" s="127" t="str">
        <f t="shared" si="15"/>
        <v/>
      </c>
      <c r="AK22" s="127" t="str">
        <f t="shared" si="15"/>
        <v/>
      </c>
      <c r="AL22" s="127" t="str">
        <f t="shared" si="15"/>
        <v/>
      </c>
      <c r="AM22" s="127" t="str">
        <f t="shared" si="15"/>
        <v/>
      </c>
      <c r="AN22" s="127" t="str">
        <f t="shared" si="15"/>
        <v/>
      </c>
      <c r="AO22" s="127" t="str">
        <f t="shared" si="15"/>
        <v/>
      </c>
      <c r="AP22" s="127" t="str">
        <f t="shared" si="15"/>
        <v/>
      </c>
      <c r="AQ22" s="127" t="str">
        <f t="shared" si="15"/>
        <v/>
      </c>
      <c r="AR22" s="127" t="str">
        <f t="shared" si="15"/>
        <v/>
      </c>
      <c r="AS22" s="127" t="str">
        <f t="shared" si="15"/>
        <v/>
      </c>
      <c r="AT22" s="127" t="str">
        <f t="shared" si="15"/>
        <v/>
      </c>
      <c r="AU22" s="127" t="str">
        <f t="shared" si="15"/>
        <v/>
      </c>
      <c r="AV22" s="127" t="str">
        <f t="shared" si="15"/>
        <v/>
      </c>
      <c r="AW22" s="127" t="str">
        <f t="shared" si="15"/>
        <v/>
      </c>
      <c r="AX22" s="127" t="str">
        <f t="shared" si="15"/>
        <v/>
      </c>
      <c r="AY22" s="127" t="str">
        <f t="shared" si="15"/>
        <v/>
      </c>
      <c r="AZ22" s="127" t="str">
        <f t="shared" si="15"/>
        <v/>
      </c>
      <c r="BA22" s="127" t="str">
        <f t="shared" si="15"/>
        <v/>
      </c>
      <c r="BB22" s="127" t="str">
        <f t="shared" si="15"/>
        <v/>
      </c>
      <c r="BC22" s="127" t="str">
        <f t="shared" si="15"/>
        <v/>
      </c>
      <c r="BD22" s="127" t="str">
        <f t="shared" si="15"/>
        <v/>
      </c>
      <c r="BE22" s="127" t="str">
        <f t="shared" si="15"/>
        <v/>
      </c>
      <c r="BF22" s="127" t="str">
        <f t="shared" si="14"/>
        <v/>
      </c>
      <c r="BG22" s="127" t="str">
        <f t="shared" si="15"/>
        <v/>
      </c>
      <c r="BH22" s="127" t="str">
        <f t="shared" si="15"/>
        <v/>
      </c>
      <c r="BI22" s="127" t="str">
        <f t="shared" si="15"/>
        <v/>
      </c>
      <c r="BJ22" s="127" t="str">
        <f t="shared" si="15"/>
        <v/>
      </c>
      <c r="BK22" s="127" t="str">
        <f t="shared" si="15"/>
        <v/>
      </c>
      <c r="BL22" s="127" t="str">
        <f t="shared" si="14"/>
        <v/>
      </c>
      <c r="BM22" s="127" t="str">
        <f t="shared" si="15"/>
        <v/>
      </c>
      <c r="BN22" s="127" t="str">
        <f t="shared" si="15"/>
        <v/>
      </c>
      <c r="BO22" s="127" t="str">
        <f t="shared" si="15"/>
        <v/>
      </c>
      <c r="BP22" s="127" t="str">
        <f t="shared" si="15"/>
        <v/>
      </c>
      <c r="BQ22" s="127" t="str">
        <f t="shared" si="15"/>
        <v/>
      </c>
      <c r="BR22" s="127" t="str">
        <f t="shared" si="14"/>
        <v/>
      </c>
      <c r="BS22" s="127" t="str">
        <f t="shared" si="5"/>
        <v/>
      </c>
      <c r="BT22" s="127" t="str">
        <f t="shared" si="5"/>
        <v/>
      </c>
      <c r="BU22" s="127" t="str">
        <f t="shared" si="5"/>
        <v/>
      </c>
      <c r="BV22" s="127" t="str">
        <f t="shared" si="5"/>
        <v/>
      </c>
      <c r="BW22" s="127" t="str">
        <f t="shared" si="5"/>
        <v/>
      </c>
      <c r="BX22" s="127" t="str">
        <f t="shared" si="14"/>
        <v/>
      </c>
      <c r="BY22" s="127" t="str">
        <f t="shared" si="5"/>
        <v/>
      </c>
      <c r="BZ22" s="127" t="str">
        <f t="shared" si="5"/>
        <v/>
      </c>
      <c r="CA22" s="127" t="str">
        <f t="shared" si="5"/>
        <v/>
      </c>
      <c r="CB22" s="127" t="str">
        <f t="shared" si="5"/>
        <v/>
      </c>
      <c r="CC22" s="127" t="str">
        <f t="shared" si="5"/>
        <v/>
      </c>
      <c r="CD22" s="127" t="str">
        <f t="shared" si="14"/>
        <v/>
      </c>
    </row>
    <row r="23" spans="1:82" ht="12.6" customHeight="1" x14ac:dyDescent="0.2">
      <c r="A23" s="106">
        <f>SHIPMENTS!A29</f>
        <v>8964</v>
      </c>
      <c r="B23" s="106" t="str">
        <f>SHIPMENTS!B29</f>
        <v>15900- Mandaue Warehouse</v>
      </c>
      <c r="C23" s="132">
        <f>SHIPMENTS!F29</f>
        <v>0.11</v>
      </c>
      <c r="D23" s="107" t="str">
        <f>IF((SHIPMENTS!I29)=0,"",SHIPMENTS!I29)</f>
        <v/>
      </c>
      <c r="E23" s="176">
        <f>IF((SHIPMENTS!G29)=0,"",SHIPMENTS!G29)</f>
        <v>46323</v>
      </c>
      <c r="F23" s="98">
        <f>VLOOKUP(A23,load!$A$4:$U$5001,19,0)</f>
        <v>0</v>
      </c>
      <c r="G23" s="109">
        <f>Manhours!$C$10</f>
        <v>2.5</v>
      </c>
      <c r="H23" s="110">
        <f t="shared" si="6"/>
        <v>22.75</v>
      </c>
      <c r="I23" s="111">
        <f t="shared" si="7"/>
        <v>0</v>
      </c>
      <c r="J23" s="111">
        <f t="shared" si="8"/>
        <v>0</v>
      </c>
      <c r="K23" s="110">
        <f t="shared" si="9"/>
        <v>0</v>
      </c>
      <c r="L23" s="110">
        <f t="shared" si="10"/>
        <v>0</v>
      </c>
      <c r="M23" s="180">
        <f t="shared" si="13"/>
        <v>46314.050256410257</v>
      </c>
      <c r="N23" s="181">
        <f t="shared" si="12"/>
        <v>46314.050256410257</v>
      </c>
      <c r="O23" s="112">
        <f>VLOOKUP(A23,SHIPMENTS!$A$7:$AP$76,11,0)</f>
        <v>1</v>
      </c>
      <c r="P23" s="101"/>
      <c r="Q23" s="127" t="str">
        <f t="shared" si="2"/>
        <v/>
      </c>
      <c r="R23" s="127" t="str">
        <f t="shared" si="2"/>
        <v/>
      </c>
      <c r="S23" s="127" t="str">
        <f t="shared" si="2"/>
        <v/>
      </c>
      <c r="T23" s="127" t="str">
        <f t="shared" si="2"/>
        <v/>
      </c>
      <c r="U23" s="127" t="str">
        <f t="shared" si="2"/>
        <v/>
      </c>
      <c r="V23" s="127" t="str">
        <f t="shared" si="2"/>
        <v/>
      </c>
      <c r="W23" s="127" t="str">
        <f t="shared" si="2"/>
        <v/>
      </c>
      <c r="X23" s="127" t="str">
        <f t="shared" si="2"/>
        <v/>
      </c>
      <c r="Y23" s="127" t="str">
        <f t="shared" si="2"/>
        <v>▲</v>
      </c>
      <c r="Z23" s="127" t="str">
        <f t="shared" si="2"/>
        <v/>
      </c>
      <c r="AA23" s="127" t="str">
        <f t="shared" si="2"/>
        <v/>
      </c>
      <c r="AB23" s="127" t="str">
        <f t="shared" si="2"/>
        <v/>
      </c>
      <c r="AC23" s="127" t="str">
        <f t="shared" si="2"/>
        <v/>
      </c>
      <c r="AD23" s="127" t="str">
        <f t="shared" si="2"/>
        <v/>
      </c>
      <c r="AE23" s="127" t="str">
        <f t="shared" si="2"/>
        <v/>
      </c>
      <c r="AF23" s="127" t="str">
        <f t="shared" ref="AF23:BE33" si="16">IF($E23=AF$3,"▲","")</f>
        <v/>
      </c>
      <c r="AG23" s="127" t="str">
        <f t="shared" si="16"/>
        <v/>
      </c>
      <c r="AH23" s="127" t="str">
        <f t="shared" si="16"/>
        <v/>
      </c>
      <c r="AI23" s="127" t="str">
        <f t="shared" si="16"/>
        <v/>
      </c>
      <c r="AJ23" s="127" t="str">
        <f t="shared" si="16"/>
        <v/>
      </c>
      <c r="AK23" s="127" t="str">
        <f t="shared" si="16"/>
        <v/>
      </c>
      <c r="AL23" s="127" t="str">
        <f t="shared" si="16"/>
        <v/>
      </c>
      <c r="AM23" s="127" t="str">
        <f t="shared" si="16"/>
        <v/>
      </c>
      <c r="AN23" s="127" t="str">
        <f t="shared" si="16"/>
        <v/>
      </c>
      <c r="AO23" s="127" t="str">
        <f t="shared" si="16"/>
        <v/>
      </c>
      <c r="AP23" s="127" t="str">
        <f t="shared" si="16"/>
        <v/>
      </c>
      <c r="AQ23" s="127" t="str">
        <f t="shared" si="16"/>
        <v/>
      </c>
      <c r="AR23" s="127" t="str">
        <f t="shared" si="16"/>
        <v/>
      </c>
      <c r="AS23" s="127" t="str">
        <f t="shared" si="16"/>
        <v/>
      </c>
      <c r="AT23" s="127" t="str">
        <f t="shared" si="16"/>
        <v/>
      </c>
      <c r="AU23" s="127" t="str">
        <f t="shared" si="16"/>
        <v/>
      </c>
      <c r="AV23" s="127" t="str">
        <f t="shared" si="16"/>
        <v/>
      </c>
      <c r="AW23" s="127" t="str">
        <f t="shared" si="16"/>
        <v/>
      </c>
      <c r="AX23" s="127" t="str">
        <f t="shared" si="16"/>
        <v/>
      </c>
      <c r="AY23" s="127" t="str">
        <f t="shared" si="16"/>
        <v/>
      </c>
      <c r="AZ23" s="127" t="str">
        <f t="shared" si="16"/>
        <v/>
      </c>
      <c r="BA23" s="127" t="str">
        <f t="shared" si="16"/>
        <v/>
      </c>
      <c r="BB23" s="127" t="str">
        <f t="shared" si="16"/>
        <v/>
      </c>
      <c r="BC23" s="127" t="str">
        <f t="shared" si="16"/>
        <v/>
      </c>
      <c r="BD23" s="127" t="str">
        <f t="shared" si="16"/>
        <v/>
      </c>
      <c r="BE23" s="127" t="str">
        <f t="shared" si="16"/>
        <v/>
      </c>
      <c r="BF23" s="127" t="str">
        <f t="shared" si="14"/>
        <v/>
      </c>
      <c r="BG23" s="127" t="str">
        <f t="shared" si="15"/>
        <v/>
      </c>
      <c r="BH23" s="127" t="str">
        <f t="shared" si="15"/>
        <v/>
      </c>
      <c r="BI23" s="127" t="str">
        <f t="shared" si="15"/>
        <v/>
      </c>
      <c r="BJ23" s="127" t="str">
        <f t="shared" si="15"/>
        <v/>
      </c>
      <c r="BK23" s="127" t="str">
        <f t="shared" si="15"/>
        <v/>
      </c>
      <c r="BL23" s="127" t="str">
        <f t="shared" si="14"/>
        <v/>
      </c>
      <c r="BM23" s="127" t="str">
        <f t="shared" si="15"/>
        <v/>
      </c>
      <c r="BN23" s="127" t="str">
        <f t="shared" si="15"/>
        <v/>
      </c>
      <c r="BO23" s="127" t="str">
        <f t="shared" si="15"/>
        <v/>
      </c>
      <c r="BP23" s="127" t="str">
        <f t="shared" si="15"/>
        <v/>
      </c>
      <c r="BQ23" s="127" t="str">
        <f t="shared" si="15"/>
        <v/>
      </c>
      <c r="BR23" s="127" t="str">
        <f t="shared" si="14"/>
        <v/>
      </c>
      <c r="BS23" s="127" t="str">
        <f t="shared" si="5"/>
        <v/>
      </c>
      <c r="BT23" s="127" t="str">
        <f t="shared" si="5"/>
        <v/>
      </c>
      <c r="BU23" s="127" t="str">
        <f t="shared" si="5"/>
        <v/>
      </c>
      <c r="BV23" s="127" t="str">
        <f t="shared" si="5"/>
        <v/>
      </c>
      <c r="BW23" s="127" t="str">
        <f t="shared" si="5"/>
        <v/>
      </c>
      <c r="BX23" s="127" t="str">
        <f t="shared" si="14"/>
        <v/>
      </c>
      <c r="BY23" s="127" t="str">
        <f t="shared" si="5"/>
        <v/>
      </c>
      <c r="BZ23" s="127" t="str">
        <f t="shared" si="5"/>
        <v/>
      </c>
      <c r="CA23" s="127" t="str">
        <f t="shared" si="5"/>
        <v/>
      </c>
      <c r="CB23" s="127" t="str">
        <f t="shared" si="5"/>
        <v/>
      </c>
      <c r="CC23" s="127" t="str">
        <f t="shared" si="5"/>
        <v/>
      </c>
      <c r="CD23" s="127" t="str">
        <f t="shared" si="14"/>
        <v/>
      </c>
    </row>
    <row r="24" spans="1:82" ht="12.6" hidden="1" customHeight="1" x14ac:dyDescent="0.2">
      <c r="A24" s="106">
        <f>SHIPMENTS!A30</f>
        <v>9023</v>
      </c>
      <c r="B24" s="106" t="str">
        <f>SHIPMENTS!B30</f>
        <v>15900- Ubay | Danilo Varela</v>
      </c>
      <c r="C24" s="132">
        <f>SHIPMENTS!F30</f>
        <v>3.0849999999999999E-2</v>
      </c>
      <c r="D24" s="107" t="str">
        <f>IF((SHIPMENTS!I30)=0,"",SHIPMENTS!I30)</f>
        <v/>
      </c>
      <c r="E24" s="176">
        <f>IF((SHIPMENTS!G30)=0,"",SHIPMENTS!G30)</f>
        <v>46323</v>
      </c>
      <c r="F24" s="98">
        <f>VLOOKUP(A24,load!$A$4:$U$5001,19,0)</f>
        <v>0</v>
      </c>
      <c r="G24" s="109">
        <f>Manhours!$C$10</f>
        <v>2.5</v>
      </c>
      <c r="H24" s="110">
        <f t="shared" si="6"/>
        <v>22.75</v>
      </c>
      <c r="I24" s="111">
        <f t="shared" si="7"/>
        <v>0</v>
      </c>
      <c r="J24" s="111">
        <f t="shared" si="8"/>
        <v>0</v>
      </c>
      <c r="K24" s="110">
        <f t="shared" si="9"/>
        <v>0</v>
      </c>
      <c r="L24" s="110">
        <f t="shared" si="10"/>
        <v>0</v>
      </c>
      <c r="M24" s="180">
        <f t="shared" si="13"/>
        <v>46314.050256410257</v>
      </c>
      <c r="N24" s="181">
        <f t="shared" si="12"/>
        <v>46314.050256410257</v>
      </c>
      <c r="O24" s="112" t="str">
        <f>VLOOKUP(A24,SHIPMENTS!$A$7:$AP$76,11,0)</f>
        <v>n/a</v>
      </c>
      <c r="P24" s="101"/>
      <c r="Q24" s="127" t="str">
        <f t="shared" ref="Q24:AF39" si="17">IF($E24=Q$3,"▲","")</f>
        <v/>
      </c>
      <c r="R24" s="127" t="str">
        <f t="shared" si="17"/>
        <v/>
      </c>
      <c r="S24" s="127" t="str">
        <f t="shared" si="17"/>
        <v/>
      </c>
      <c r="T24" s="127" t="str">
        <f t="shared" si="17"/>
        <v/>
      </c>
      <c r="U24" s="127" t="str">
        <f t="shared" si="17"/>
        <v/>
      </c>
      <c r="V24" s="127" t="str">
        <f t="shared" si="17"/>
        <v/>
      </c>
      <c r="W24" s="127" t="str">
        <f t="shared" si="17"/>
        <v/>
      </c>
      <c r="X24" s="127" t="str">
        <f t="shared" si="17"/>
        <v/>
      </c>
      <c r="Y24" s="127" t="str">
        <f t="shared" si="17"/>
        <v>▲</v>
      </c>
      <c r="Z24" s="127" t="str">
        <f t="shared" si="17"/>
        <v/>
      </c>
      <c r="AA24" s="127" t="str">
        <f t="shared" si="17"/>
        <v/>
      </c>
      <c r="AB24" s="127" t="str">
        <f t="shared" si="17"/>
        <v/>
      </c>
      <c r="AC24" s="127" t="str">
        <f t="shared" si="17"/>
        <v/>
      </c>
      <c r="AD24" s="127" t="str">
        <f t="shared" si="17"/>
        <v/>
      </c>
      <c r="AE24" s="127" t="str">
        <f t="shared" si="17"/>
        <v/>
      </c>
      <c r="AF24" s="127" t="str">
        <f t="shared" si="17"/>
        <v/>
      </c>
      <c r="AG24" s="127" t="str">
        <f t="shared" si="16"/>
        <v/>
      </c>
      <c r="AH24" s="127" t="str">
        <f t="shared" si="16"/>
        <v/>
      </c>
      <c r="AI24" s="127" t="str">
        <f t="shared" si="16"/>
        <v/>
      </c>
      <c r="AJ24" s="127" t="str">
        <f t="shared" si="16"/>
        <v/>
      </c>
      <c r="AK24" s="127" t="str">
        <f t="shared" si="16"/>
        <v/>
      </c>
      <c r="AL24" s="127" t="str">
        <f t="shared" si="16"/>
        <v/>
      </c>
      <c r="AM24" s="127" t="str">
        <f t="shared" si="16"/>
        <v/>
      </c>
      <c r="AN24" s="127" t="str">
        <f t="shared" si="16"/>
        <v/>
      </c>
      <c r="AO24" s="127" t="str">
        <f t="shared" si="16"/>
        <v/>
      </c>
      <c r="AP24" s="127" t="str">
        <f t="shared" si="16"/>
        <v/>
      </c>
      <c r="AQ24" s="127" t="str">
        <f t="shared" si="16"/>
        <v/>
      </c>
      <c r="AR24" s="127" t="str">
        <f t="shared" si="16"/>
        <v/>
      </c>
      <c r="AS24" s="127" t="str">
        <f t="shared" si="16"/>
        <v/>
      </c>
      <c r="AT24" s="127" t="str">
        <f t="shared" si="16"/>
        <v/>
      </c>
      <c r="AU24" s="127" t="str">
        <f t="shared" si="16"/>
        <v/>
      </c>
      <c r="AV24" s="127" t="str">
        <f t="shared" si="16"/>
        <v/>
      </c>
      <c r="AW24" s="127" t="str">
        <f t="shared" si="16"/>
        <v/>
      </c>
      <c r="AX24" s="127" t="str">
        <f t="shared" si="16"/>
        <v/>
      </c>
      <c r="AY24" s="127" t="str">
        <f t="shared" si="16"/>
        <v/>
      </c>
      <c r="AZ24" s="127" t="str">
        <f t="shared" si="16"/>
        <v/>
      </c>
      <c r="BA24" s="127" t="str">
        <f t="shared" si="16"/>
        <v/>
      </c>
      <c r="BB24" s="127" t="str">
        <f t="shared" si="16"/>
        <v/>
      </c>
      <c r="BC24" s="127" t="str">
        <f t="shared" si="16"/>
        <v/>
      </c>
      <c r="BD24" s="127" t="str">
        <f t="shared" si="16"/>
        <v/>
      </c>
      <c r="BE24" s="127" t="str">
        <f t="shared" si="16"/>
        <v/>
      </c>
      <c r="BF24" s="127" t="str">
        <f t="shared" si="14"/>
        <v/>
      </c>
      <c r="BG24" s="127" t="str">
        <f t="shared" si="15"/>
        <v/>
      </c>
      <c r="BH24" s="127" t="str">
        <f t="shared" si="15"/>
        <v/>
      </c>
      <c r="BI24" s="127" t="str">
        <f t="shared" si="15"/>
        <v/>
      </c>
      <c r="BJ24" s="127" t="str">
        <f t="shared" si="15"/>
        <v/>
      </c>
      <c r="BK24" s="127" t="str">
        <f t="shared" si="15"/>
        <v/>
      </c>
      <c r="BL24" s="127" t="str">
        <f t="shared" si="14"/>
        <v/>
      </c>
      <c r="BM24" s="127" t="str">
        <f t="shared" si="15"/>
        <v/>
      </c>
      <c r="BN24" s="127" t="str">
        <f t="shared" si="15"/>
        <v/>
      </c>
      <c r="BO24" s="127" t="str">
        <f t="shared" si="15"/>
        <v/>
      </c>
      <c r="BP24" s="127" t="str">
        <f t="shared" si="15"/>
        <v/>
      </c>
      <c r="BQ24" s="127" t="str">
        <f t="shared" si="15"/>
        <v/>
      </c>
      <c r="BR24" s="127" t="str">
        <f t="shared" si="14"/>
        <v/>
      </c>
      <c r="BS24" s="127" t="str">
        <f t="shared" si="14"/>
        <v/>
      </c>
      <c r="BT24" s="127" t="str">
        <f t="shared" si="14"/>
        <v/>
      </c>
      <c r="BU24" s="127" t="str">
        <f t="shared" si="14"/>
        <v/>
      </c>
      <c r="BV24" s="127" t="str">
        <f t="shared" si="14"/>
        <v/>
      </c>
      <c r="BW24" s="127" t="str">
        <f t="shared" si="14"/>
        <v/>
      </c>
      <c r="BX24" s="127" t="str">
        <f t="shared" si="14"/>
        <v/>
      </c>
      <c r="BY24" s="127" t="str">
        <f t="shared" si="14"/>
        <v/>
      </c>
      <c r="BZ24" s="127" t="str">
        <f t="shared" si="14"/>
        <v/>
      </c>
      <c r="CA24" s="127" t="str">
        <f t="shared" si="14"/>
        <v/>
      </c>
      <c r="CB24" s="127" t="str">
        <f t="shared" si="14"/>
        <v/>
      </c>
      <c r="CC24" s="127" t="str">
        <f t="shared" si="14"/>
        <v/>
      </c>
      <c r="CD24" s="127" t="str">
        <f t="shared" si="14"/>
        <v/>
      </c>
    </row>
    <row r="25" spans="1:82" ht="12.6" hidden="1" customHeight="1" x14ac:dyDescent="0.2">
      <c r="A25" s="106">
        <f>SHIPMENTS!A31</f>
        <v>9105</v>
      </c>
      <c r="B25" s="106" t="str">
        <f>SHIPMENTS!B31</f>
        <v>15900- Cebu City |Nelsar Alvar</v>
      </c>
      <c r="C25" s="132">
        <f>SHIPMENTS!F31</f>
        <v>1.35E-2</v>
      </c>
      <c r="D25" s="107" t="str">
        <f>IF((SHIPMENTS!I31)=0,"",SHIPMENTS!I31)</f>
        <v/>
      </c>
      <c r="E25" s="176">
        <f>IF((SHIPMENTS!G31)=0,"",SHIPMENTS!G31)</f>
        <v>46323</v>
      </c>
      <c r="F25" s="98">
        <f>VLOOKUP(A25,load!$A$4:$U$5001,19,0)</f>
        <v>0</v>
      </c>
      <c r="G25" s="109">
        <f>Manhours!$C$10</f>
        <v>2.5</v>
      </c>
      <c r="H25" s="110">
        <f t="shared" si="6"/>
        <v>22.75</v>
      </c>
      <c r="I25" s="111">
        <f t="shared" si="7"/>
        <v>0</v>
      </c>
      <c r="J25" s="111">
        <f t="shared" si="8"/>
        <v>0</v>
      </c>
      <c r="K25" s="110">
        <f t="shared" si="9"/>
        <v>0</v>
      </c>
      <c r="L25" s="110">
        <f t="shared" si="10"/>
        <v>0</v>
      </c>
      <c r="M25" s="180">
        <f t="shared" si="13"/>
        <v>46314.050256410257</v>
      </c>
      <c r="N25" s="181">
        <f t="shared" si="12"/>
        <v>46314.050256410257</v>
      </c>
      <c r="O25" s="112" t="str">
        <f>VLOOKUP(A25,SHIPMENTS!$A$7:$AP$76,11,0)</f>
        <v>n/a</v>
      </c>
      <c r="P25" s="101"/>
      <c r="Q25" s="127" t="str">
        <f t="shared" si="17"/>
        <v/>
      </c>
      <c r="R25" s="127" t="str">
        <f t="shared" si="17"/>
        <v/>
      </c>
      <c r="S25" s="127" t="str">
        <f t="shared" si="17"/>
        <v/>
      </c>
      <c r="T25" s="127" t="str">
        <f t="shared" si="17"/>
        <v/>
      </c>
      <c r="U25" s="127" t="str">
        <f t="shared" si="17"/>
        <v/>
      </c>
      <c r="V25" s="127" t="str">
        <f t="shared" si="17"/>
        <v/>
      </c>
      <c r="W25" s="127" t="str">
        <f t="shared" si="17"/>
        <v/>
      </c>
      <c r="X25" s="127" t="str">
        <f t="shared" si="17"/>
        <v/>
      </c>
      <c r="Y25" s="127" t="str">
        <f t="shared" si="17"/>
        <v>▲</v>
      </c>
      <c r="Z25" s="127" t="str">
        <f t="shared" si="17"/>
        <v/>
      </c>
      <c r="AA25" s="127" t="str">
        <f t="shared" si="17"/>
        <v/>
      </c>
      <c r="AB25" s="127" t="str">
        <f t="shared" si="17"/>
        <v/>
      </c>
      <c r="AC25" s="127" t="str">
        <f t="shared" si="17"/>
        <v/>
      </c>
      <c r="AD25" s="127" t="str">
        <f t="shared" si="17"/>
        <v/>
      </c>
      <c r="AE25" s="127" t="str">
        <f t="shared" si="17"/>
        <v/>
      </c>
      <c r="AF25" s="127" t="str">
        <f t="shared" si="17"/>
        <v/>
      </c>
      <c r="AG25" s="127" t="str">
        <f t="shared" si="16"/>
        <v/>
      </c>
      <c r="AH25" s="127" t="str">
        <f t="shared" si="16"/>
        <v/>
      </c>
      <c r="AI25" s="127" t="str">
        <f t="shared" si="16"/>
        <v/>
      </c>
      <c r="AJ25" s="127" t="str">
        <f t="shared" si="16"/>
        <v/>
      </c>
      <c r="AK25" s="127" t="str">
        <f t="shared" si="16"/>
        <v/>
      </c>
      <c r="AL25" s="127" t="str">
        <f t="shared" si="16"/>
        <v/>
      </c>
      <c r="AM25" s="127" t="str">
        <f t="shared" si="16"/>
        <v/>
      </c>
      <c r="AN25" s="127" t="str">
        <f t="shared" si="16"/>
        <v/>
      </c>
      <c r="AO25" s="127" t="str">
        <f t="shared" si="16"/>
        <v/>
      </c>
      <c r="AP25" s="127" t="str">
        <f t="shared" si="16"/>
        <v/>
      </c>
      <c r="AQ25" s="127" t="str">
        <f t="shared" si="16"/>
        <v/>
      </c>
      <c r="AR25" s="127" t="str">
        <f t="shared" si="16"/>
        <v/>
      </c>
      <c r="AS25" s="127" t="str">
        <f t="shared" si="16"/>
        <v/>
      </c>
      <c r="AT25" s="127" t="str">
        <f t="shared" si="16"/>
        <v/>
      </c>
      <c r="AU25" s="127" t="str">
        <f t="shared" si="16"/>
        <v/>
      </c>
      <c r="AV25" s="127" t="str">
        <f t="shared" si="16"/>
        <v/>
      </c>
      <c r="AW25" s="127" t="str">
        <f t="shared" si="16"/>
        <v/>
      </c>
      <c r="AX25" s="127" t="str">
        <f t="shared" si="16"/>
        <v/>
      </c>
      <c r="AY25" s="127" t="str">
        <f t="shared" si="16"/>
        <v/>
      </c>
      <c r="AZ25" s="127" t="str">
        <f t="shared" si="16"/>
        <v/>
      </c>
      <c r="BA25" s="127" t="str">
        <f t="shared" si="16"/>
        <v/>
      </c>
      <c r="BB25" s="127" t="str">
        <f t="shared" si="16"/>
        <v/>
      </c>
      <c r="BC25" s="127" t="str">
        <f t="shared" si="16"/>
        <v/>
      </c>
      <c r="BD25" s="127" t="str">
        <f t="shared" si="16"/>
        <v/>
      </c>
      <c r="BE25" s="127" t="str">
        <f t="shared" si="16"/>
        <v/>
      </c>
      <c r="BF25" s="127" t="str">
        <f t="shared" si="14"/>
        <v/>
      </c>
      <c r="BG25" s="127" t="str">
        <f t="shared" si="15"/>
        <v/>
      </c>
      <c r="BH25" s="127" t="str">
        <f t="shared" si="15"/>
        <v/>
      </c>
      <c r="BI25" s="127" t="str">
        <f t="shared" si="15"/>
        <v/>
      </c>
      <c r="BJ25" s="127" t="str">
        <f t="shared" si="15"/>
        <v/>
      </c>
      <c r="BK25" s="127" t="str">
        <f t="shared" si="15"/>
        <v/>
      </c>
      <c r="BL25" s="127" t="str">
        <f t="shared" si="14"/>
        <v/>
      </c>
      <c r="BM25" s="127" t="str">
        <f t="shared" si="15"/>
        <v/>
      </c>
      <c r="BN25" s="127" t="str">
        <f t="shared" si="15"/>
        <v/>
      </c>
      <c r="BO25" s="127" t="str">
        <f t="shared" si="15"/>
        <v/>
      </c>
      <c r="BP25" s="127" t="str">
        <f t="shared" si="15"/>
        <v/>
      </c>
      <c r="BQ25" s="127" t="str">
        <f t="shared" si="15"/>
        <v/>
      </c>
      <c r="BR25" s="127" t="str">
        <f t="shared" si="14"/>
        <v/>
      </c>
      <c r="BS25" s="127" t="str">
        <f t="shared" si="14"/>
        <v/>
      </c>
      <c r="BT25" s="127" t="str">
        <f t="shared" si="14"/>
        <v/>
      </c>
      <c r="BU25" s="127" t="str">
        <f t="shared" si="14"/>
        <v/>
      </c>
      <c r="BV25" s="127" t="str">
        <f t="shared" si="14"/>
        <v/>
      </c>
      <c r="BW25" s="127" t="str">
        <f t="shared" si="14"/>
        <v/>
      </c>
      <c r="BX25" s="127" t="str">
        <f t="shared" si="14"/>
        <v/>
      </c>
      <c r="BY25" s="127" t="str">
        <f t="shared" si="14"/>
        <v/>
      </c>
      <c r="BZ25" s="127" t="str">
        <f t="shared" si="14"/>
        <v/>
      </c>
      <c r="CA25" s="127" t="str">
        <f t="shared" si="14"/>
        <v/>
      </c>
      <c r="CB25" s="127" t="str">
        <f t="shared" si="14"/>
        <v/>
      </c>
      <c r="CC25" s="127" t="str">
        <f t="shared" si="14"/>
        <v/>
      </c>
      <c r="CD25" s="127" t="str">
        <f t="shared" si="14"/>
        <v/>
      </c>
    </row>
    <row r="26" spans="1:82" ht="12.6" customHeight="1" x14ac:dyDescent="0.2">
      <c r="A26" s="106">
        <f>SHIPMENTS!A32</f>
        <v>9292</v>
      </c>
      <c r="B26" s="106" t="str">
        <f>SHIPMENTS!B32</f>
        <v>15900- Mandaue Warehouse</v>
      </c>
      <c r="C26" s="132">
        <f>SHIPMENTS!F32</f>
        <v>0.51459999999999995</v>
      </c>
      <c r="D26" s="107" t="str">
        <f>IF((SHIPMENTS!I32)=0,"",SHIPMENTS!I32)</f>
        <v/>
      </c>
      <c r="E26" s="176">
        <f>IF((SHIPMENTS!G32)=0,"",SHIPMENTS!G32)</f>
        <v>46323</v>
      </c>
      <c r="F26" s="98">
        <f>VLOOKUP(A26,load!$A$4:$U$5001,19,0)</f>
        <v>0</v>
      </c>
      <c r="G26" s="109">
        <f>Manhours!$C$10</f>
        <v>2.5</v>
      </c>
      <c r="H26" s="110">
        <f t="shared" si="6"/>
        <v>22.75</v>
      </c>
      <c r="I26" s="111">
        <f t="shared" si="7"/>
        <v>0</v>
      </c>
      <c r="J26" s="111">
        <f t="shared" si="8"/>
        <v>0</v>
      </c>
      <c r="K26" s="110">
        <f t="shared" si="9"/>
        <v>0</v>
      </c>
      <c r="L26" s="110">
        <f t="shared" si="10"/>
        <v>0</v>
      </c>
      <c r="M26" s="180">
        <f t="shared" si="13"/>
        <v>46314.050256410257</v>
      </c>
      <c r="N26" s="181">
        <f t="shared" si="12"/>
        <v>46314.050256410257</v>
      </c>
      <c r="O26" s="112">
        <f>VLOOKUP(A26,SHIPMENTS!$A$7:$AP$76,11,0)</f>
        <v>0</v>
      </c>
      <c r="P26" s="101"/>
      <c r="Q26" s="127" t="str">
        <f t="shared" si="17"/>
        <v/>
      </c>
      <c r="R26" s="127" t="str">
        <f t="shared" si="17"/>
        <v/>
      </c>
      <c r="S26" s="127" t="str">
        <f t="shared" si="17"/>
        <v/>
      </c>
      <c r="T26" s="127" t="str">
        <f t="shared" si="17"/>
        <v/>
      </c>
      <c r="U26" s="127" t="str">
        <f t="shared" si="17"/>
        <v/>
      </c>
      <c r="V26" s="127" t="str">
        <f t="shared" si="17"/>
        <v/>
      </c>
      <c r="W26" s="127" t="str">
        <f t="shared" si="17"/>
        <v/>
      </c>
      <c r="X26" s="127" t="str">
        <f t="shared" si="17"/>
        <v/>
      </c>
      <c r="Y26" s="127" t="str">
        <f t="shared" si="17"/>
        <v>▲</v>
      </c>
      <c r="Z26" s="127" t="str">
        <f t="shared" si="17"/>
        <v/>
      </c>
      <c r="AA26" s="127" t="str">
        <f t="shared" si="17"/>
        <v/>
      </c>
      <c r="AB26" s="127" t="str">
        <f t="shared" si="17"/>
        <v/>
      </c>
      <c r="AC26" s="127" t="str">
        <f t="shared" si="17"/>
        <v/>
      </c>
      <c r="AD26" s="127" t="str">
        <f t="shared" si="17"/>
        <v/>
      </c>
      <c r="AE26" s="127" t="str">
        <f t="shared" si="17"/>
        <v/>
      </c>
      <c r="AF26" s="127" t="str">
        <f t="shared" si="17"/>
        <v/>
      </c>
      <c r="AG26" s="127" t="str">
        <f t="shared" si="16"/>
        <v/>
      </c>
      <c r="AH26" s="127" t="str">
        <f t="shared" si="16"/>
        <v/>
      </c>
      <c r="AI26" s="127" t="str">
        <f t="shared" si="16"/>
        <v/>
      </c>
      <c r="AJ26" s="127" t="str">
        <f t="shared" si="16"/>
        <v/>
      </c>
      <c r="AK26" s="127" t="str">
        <f t="shared" si="16"/>
        <v/>
      </c>
      <c r="AL26" s="127" t="str">
        <f t="shared" si="16"/>
        <v/>
      </c>
      <c r="AM26" s="127" t="str">
        <f t="shared" si="16"/>
        <v/>
      </c>
      <c r="AN26" s="127" t="str">
        <f t="shared" si="16"/>
        <v/>
      </c>
      <c r="AO26" s="127" t="str">
        <f t="shared" si="16"/>
        <v/>
      </c>
      <c r="AP26" s="127" t="str">
        <f t="shared" si="16"/>
        <v/>
      </c>
      <c r="AQ26" s="127" t="str">
        <f t="shared" si="16"/>
        <v/>
      </c>
      <c r="AR26" s="127" t="str">
        <f t="shared" si="16"/>
        <v/>
      </c>
      <c r="AS26" s="127" t="str">
        <f t="shared" si="16"/>
        <v/>
      </c>
      <c r="AT26" s="127" t="str">
        <f t="shared" si="16"/>
        <v/>
      </c>
      <c r="AU26" s="127" t="str">
        <f t="shared" si="16"/>
        <v/>
      </c>
      <c r="AV26" s="127" t="str">
        <f t="shared" si="16"/>
        <v/>
      </c>
      <c r="AW26" s="127" t="str">
        <f t="shared" si="16"/>
        <v/>
      </c>
      <c r="AX26" s="127" t="str">
        <f t="shared" si="16"/>
        <v/>
      </c>
      <c r="AY26" s="127" t="str">
        <f t="shared" si="16"/>
        <v/>
      </c>
      <c r="AZ26" s="127" t="str">
        <f t="shared" si="16"/>
        <v/>
      </c>
      <c r="BA26" s="127" t="str">
        <f t="shared" si="16"/>
        <v/>
      </c>
      <c r="BB26" s="127" t="str">
        <f t="shared" si="16"/>
        <v/>
      </c>
      <c r="BC26" s="127" t="str">
        <f t="shared" si="16"/>
        <v/>
      </c>
      <c r="BD26" s="127" t="str">
        <f t="shared" si="16"/>
        <v/>
      </c>
      <c r="BE26" s="127" t="str">
        <f t="shared" si="16"/>
        <v/>
      </c>
      <c r="BF26" s="127" t="str">
        <f t="shared" si="14"/>
        <v/>
      </c>
      <c r="BG26" s="127" t="str">
        <f t="shared" si="15"/>
        <v/>
      </c>
      <c r="BH26" s="127" t="str">
        <f t="shared" si="15"/>
        <v/>
      </c>
      <c r="BI26" s="127" t="str">
        <f t="shared" si="15"/>
        <v/>
      </c>
      <c r="BJ26" s="127" t="str">
        <f t="shared" si="15"/>
        <v/>
      </c>
      <c r="BK26" s="127" t="str">
        <f t="shared" si="15"/>
        <v/>
      </c>
      <c r="BL26" s="127" t="str">
        <f t="shared" si="14"/>
        <v/>
      </c>
      <c r="BM26" s="127" t="str">
        <f t="shared" si="15"/>
        <v/>
      </c>
      <c r="BN26" s="127" t="str">
        <f t="shared" si="15"/>
        <v/>
      </c>
      <c r="BO26" s="127" t="str">
        <f t="shared" si="15"/>
        <v/>
      </c>
      <c r="BP26" s="127" t="str">
        <f t="shared" si="15"/>
        <v/>
      </c>
      <c r="BQ26" s="127" t="str">
        <f t="shared" si="15"/>
        <v/>
      </c>
      <c r="BR26" s="127" t="str">
        <f t="shared" si="14"/>
        <v/>
      </c>
      <c r="BS26" s="127" t="str">
        <f t="shared" si="14"/>
        <v/>
      </c>
      <c r="BT26" s="127" t="str">
        <f t="shared" si="14"/>
        <v/>
      </c>
      <c r="BU26" s="127" t="str">
        <f t="shared" si="14"/>
        <v/>
      </c>
      <c r="BV26" s="127" t="str">
        <f t="shared" si="14"/>
        <v/>
      </c>
      <c r="BW26" s="127" t="str">
        <f t="shared" si="14"/>
        <v/>
      </c>
      <c r="BX26" s="127" t="str">
        <f t="shared" si="14"/>
        <v/>
      </c>
      <c r="BY26" s="127" t="str">
        <f t="shared" si="14"/>
        <v/>
      </c>
      <c r="BZ26" s="127" t="str">
        <f t="shared" si="14"/>
        <v/>
      </c>
      <c r="CA26" s="127" t="str">
        <f t="shared" si="14"/>
        <v/>
      </c>
      <c r="CB26" s="127" t="str">
        <f t="shared" si="14"/>
        <v/>
      </c>
      <c r="CC26" s="127" t="str">
        <f t="shared" si="14"/>
        <v/>
      </c>
      <c r="CD26" s="127" t="str">
        <f t="shared" si="14"/>
        <v/>
      </c>
    </row>
    <row r="27" spans="1:82" ht="12.6" customHeight="1" x14ac:dyDescent="0.2">
      <c r="A27" s="106">
        <f>SHIPMENTS!A33</f>
        <v>9116</v>
      </c>
      <c r="B27" s="106" t="str">
        <f>SHIPMENTS!B33</f>
        <v>15900- Dagupan City |Kerwin Fernandez</v>
      </c>
      <c r="C27" s="132">
        <f>SHIPMENTS!F33</f>
        <v>0.17</v>
      </c>
      <c r="D27" s="107" t="str">
        <f>IF((SHIPMENTS!I33)=0,"",SHIPMENTS!I33)</f>
        <v>1X20</v>
      </c>
      <c r="E27" s="176">
        <f>IF((SHIPMENTS!G33)=0,"",SHIPMENTS!G33)</f>
        <v>46323</v>
      </c>
      <c r="F27" s="98">
        <f>VLOOKUP(A27,load!$A$4:$U$5001,19,0)</f>
        <v>4.6833333333333331E-2</v>
      </c>
      <c r="G27" s="109">
        <f>Manhours!$C$10</f>
        <v>2.5</v>
      </c>
      <c r="H27" s="110">
        <f t="shared" si="6"/>
        <v>22.75</v>
      </c>
      <c r="I27" s="111">
        <f t="shared" si="7"/>
        <v>2.0586080586080585E-3</v>
      </c>
      <c r="J27" s="111">
        <f t="shared" si="8"/>
        <v>1.8733333333333331E-2</v>
      </c>
      <c r="K27" s="110">
        <f t="shared" si="9"/>
        <v>0</v>
      </c>
      <c r="L27" s="110">
        <f t="shared" si="10"/>
        <v>0</v>
      </c>
      <c r="M27" s="180">
        <f t="shared" si="13"/>
        <v>46314.050256410257</v>
      </c>
      <c r="N27" s="181">
        <f t="shared" si="12"/>
        <v>46314.050256410257</v>
      </c>
      <c r="O27" s="112">
        <f>VLOOKUP(A27,SHIPMENTS!$A$7:$AP$76,11,0)</f>
        <v>1</v>
      </c>
      <c r="P27" s="101"/>
      <c r="Q27" s="127" t="str">
        <f t="shared" si="17"/>
        <v/>
      </c>
      <c r="R27" s="127" t="str">
        <f t="shared" si="17"/>
        <v/>
      </c>
      <c r="S27" s="127" t="str">
        <f t="shared" si="17"/>
        <v/>
      </c>
      <c r="T27" s="127" t="str">
        <f t="shared" si="17"/>
        <v/>
      </c>
      <c r="U27" s="127" t="str">
        <f t="shared" si="17"/>
        <v/>
      </c>
      <c r="V27" s="127" t="str">
        <f t="shared" si="17"/>
        <v/>
      </c>
      <c r="W27" s="127" t="str">
        <f t="shared" si="17"/>
        <v/>
      </c>
      <c r="X27" s="127" t="str">
        <f t="shared" si="17"/>
        <v/>
      </c>
      <c r="Y27" s="127" t="str">
        <f t="shared" si="17"/>
        <v>▲</v>
      </c>
      <c r="Z27" s="127" t="str">
        <f t="shared" si="17"/>
        <v/>
      </c>
      <c r="AA27" s="127" t="str">
        <f t="shared" si="17"/>
        <v/>
      </c>
      <c r="AB27" s="127" t="str">
        <f t="shared" si="17"/>
        <v/>
      </c>
      <c r="AC27" s="127" t="str">
        <f t="shared" si="17"/>
        <v/>
      </c>
      <c r="AD27" s="127" t="str">
        <f t="shared" si="17"/>
        <v/>
      </c>
      <c r="AE27" s="127" t="str">
        <f t="shared" si="17"/>
        <v/>
      </c>
      <c r="AF27" s="127" t="str">
        <f t="shared" si="17"/>
        <v/>
      </c>
      <c r="AG27" s="127" t="str">
        <f t="shared" si="16"/>
        <v/>
      </c>
      <c r="AH27" s="127" t="str">
        <f t="shared" si="16"/>
        <v/>
      </c>
      <c r="AI27" s="127" t="str">
        <f t="shared" si="16"/>
        <v/>
      </c>
      <c r="AJ27" s="127" t="str">
        <f t="shared" si="16"/>
        <v/>
      </c>
      <c r="AK27" s="127" t="str">
        <f t="shared" si="16"/>
        <v/>
      </c>
      <c r="AL27" s="127" t="str">
        <f t="shared" si="16"/>
        <v/>
      </c>
      <c r="AM27" s="127" t="str">
        <f t="shared" si="16"/>
        <v/>
      </c>
      <c r="AN27" s="127" t="str">
        <f t="shared" si="16"/>
        <v/>
      </c>
      <c r="AO27" s="127" t="str">
        <f t="shared" si="16"/>
        <v/>
      </c>
      <c r="AP27" s="127" t="str">
        <f t="shared" si="16"/>
        <v/>
      </c>
      <c r="AQ27" s="127" t="str">
        <f t="shared" si="16"/>
        <v/>
      </c>
      <c r="AR27" s="127" t="str">
        <f t="shared" si="16"/>
        <v/>
      </c>
      <c r="AS27" s="127" t="str">
        <f t="shared" si="16"/>
        <v/>
      </c>
      <c r="AT27" s="127" t="str">
        <f t="shared" si="16"/>
        <v/>
      </c>
      <c r="AU27" s="127" t="str">
        <f t="shared" si="16"/>
        <v/>
      </c>
      <c r="AV27" s="127" t="str">
        <f t="shared" si="16"/>
        <v/>
      </c>
      <c r="AW27" s="127" t="str">
        <f t="shared" si="16"/>
        <v/>
      </c>
      <c r="AX27" s="127" t="str">
        <f t="shared" si="16"/>
        <v/>
      </c>
      <c r="AY27" s="127" t="str">
        <f t="shared" si="16"/>
        <v/>
      </c>
      <c r="AZ27" s="127" t="str">
        <f t="shared" si="16"/>
        <v/>
      </c>
      <c r="BA27" s="127" t="str">
        <f t="shared" si="16"/>
        <v/>
      </c>
      <c r="BB27" s="127" t="str">
        <f t="shared" si="16"/>
        <v/>
      </c>
      <c r="BC27" s="127" t="str">
        <f t="shared" si="16"/>
        <v/>
      </c>
      <c r="BD27" s="127" t="str">
        <f t="shared" si="16"/>
        <v/>
      </c>
      <c r="BE27" s="127" t="str">
        <f t="shared" si="16"/>
        <v/>
      </c>
      <c r="BF27" s="127" t="str">
        <f t="shared" si="14"/>
        <v/>
      </c>
      <c r="BG27" s="127" t="str">
        <f t="shared" si="15"/>
        <v/>
      </c>
      <c r="BH27" s="127" t="str">
        <f t="shared" si="15"/>
        <v/>
      </c>
      <c r="BI27" s="127" t="str">
        <f t="shared" si="15"/>
        <v/>
      </c>
      <c r="BJ27" s="127" t="str">
        <f t="shared" si="15"/>
        <v/>
      </c>
      <c r="BK27" s="127" t="str">
        <f t="shared" si="15"/>
        <v/>
      </c>
      <c r="BL27" s="127" t="str">
        <f t="shared" si="14"/>
        <v/>
      </c>
      <c r="BM27" s="127" t="str">
        <f t="shared" si="15"/>
        <v/>
      </c>
      <c r="BN27" s="127" t="str">
        <f t="shared" si="15"/>
        <v/>
      </c>
      <c r="BO27" s="127" t="str">
        <f t="shared" si="15"/>
        <v/>
      </c>
      <c r="BP27" s="127" t="str">
        <f t="shared" si="15"/>
        <v/>
      </c>
      <c r="BQ27" s="127" t="str">
        <f t="shared" si="15"/>
        <v/>
      </c>
      <c r="BR27" s="127" t="str">
        <f t="shared" si="14"/>
        <v/>
      </c>
      <c r="BS27" s="127" t="str">
        <f t="shared" si="14"/>
        <v/>
      </c>
      <c r="BT27" s="127" t="str">
        <f t="shared" si="14"/>
        <v/>
      </c>
      <c r="BU27" s="127" t="str">
        <f t="shared" si="14"/>
        <v/>
      </c>
      <c r="BV27" s="127" t="str">
        <f t="shared" si="14"/>
        <v/>
      </c>
      <c r="BW27" s="127" t="str">
        <f t="shared" si="14"/>
        <v/>
      </c>
      <c r="BX27" s="127" t="str">
        <f t="shared" si="14"/>
        <v/>
      </c>
      <c r="BY27" s="127" t="str">
        <f t="shared" si="14"/>
        <v/>
      </c>
      <c r="BZ27" s="127" t="str">
        <f t="shared" si="14"/>
        <v/>
      </c>
      <c r="CA27" s="127" t="str">
        <f t="shared" si="14"/>
        <v/>
      </c>
      <c r="CB27" s="127" t="str">
        <f t="shared" si="14"/>
        <v/>
      </c>
      <c r="CC27" s="127" t="str">
        <f t="shared" si="14"/>
        <v/>
      </c>
      <c r="CD27" s="127" t="str">
        <f t="shared" si="14"/>
        <v/>
      </c>
    </row>
    <row r="28" spans="1:82" ht="12.6" customHeight="1" x14ac:dyDescent="0.2">
      <c r="A28" s="106">
        <f>SHIPMENTS!A34</f>
        <v>9247</v>
      </c>
      <c r="B28" s="106" t="str">
        <f>SHIPMENTS!B34</f>
        <v>15900- Batangas City |Angela Joy Medes Mandigma</v>
      </c>
      <c r="C28" s="132">
        <f>SHIPMENTS!F34</f>
        <v>0.188</v>
      </c>
      <c r="D28" s="107" t="str">
        <f>IF((SHIPMENTS!I34)=0,"",SHIPMENTS!I34)</f>
        <v/>
      </c>
      <c r="E28" s="176">
        <f>IF((SHIPMENTS!G34)=0,"",SHIPMENTS!G34)</f>
        <v>46323</v>
      </c>
      <c r="F28" s="98">
        <f>VLOOKUP(A28,load!$A$4:$U$5001,19,0)</f>
        <v>4.6833333333333331E-2</v>
      </c>
      <c r="G28" s="109">
        <f>Manhours!$C$10</f>
        <v>2.5</v>
      </c>
      <c r="H28" s="110">
        <f t="shared" si="6"/>
        <v>22.75</v>
      </c>
      <c r="I28" s="111">
        <f t="shared" si="7"/>
        <v>2.0586080586080585E-3</v>
      </c>
      <c r="J28" s="111">
        <f t="shared" si="8"/>
        <v>1.8733333333333331E-2</v>
      </c>
      <c r="K28" s="110">
        <f t="shared" si="9"/>
        <v>2.0586080586080585E-3</v>
      </c>
      <c r="L28" s="110">
        <f t="shared" si="10"/>
        <v>1.8733333333333331E-2</v>
      </c>
      <c r="M28" s="180">
        <f t="shared" si="13"/>
        <v>46314.050256410257</v>
      </c>
      <c r="N28" s="181">
        <f t="shared" si="12"/>
        <v>46314.052315018314</v>
      </c>
      <c r="O28" s="112">
        <f>VLOOKUP(A28,SHIPMENTS!$A$7:$AP$76,11,0)</f>
        <v>0</v>
      </c>
      <c r="P28" s="101"/>
      <c r="Q28" s="127" t="str">
        <f t="shared" si="17"/>
        <v/>
      </c>
      <c r="R28" s="127" t="str">
        <f t="shared" si="17"/>
        <v/>
      </c>
      <c r="S28" s="127" t="str">
        <f t="shared" si="17"/>
        <v/>
      </c>
      <c r="T28" s="127" t="str">
        <f t="shared" si="17"/>
        <v/>
      </c>
      <c r="U28" s="127" t="str">
        <f t="shared" si="17"/>
        <v/>
      </c>
      <c r="V28" s="127" t="str">
        <f t="shared" si="17"/>
        <v/>
      </c>
      <c r="W28" s="127" t="str">
        <f t="shared" si="17"/>
        <v/>
      </c>
      <c r="X28" s="127" t="str">
        <f t="shared" si="17"/>
        <v/>
      </c>
      <c r="Y28" s="127" t="str">
        <f t="shared" si="17"/>
        <v>▲</v>
      </c>
      <c r="Z28" s="127" t="str">
        <f t="shared" si="17"/>
        <v/>
      </c>
      <c r="AA28" s="127" t="str">
        <f t="shared" si="17"/>
        <v/>
      </c>
      <c r="AB28" s="127" t="str">
        <f t="shared" si="17"/>
        <v/>
      </c>
      <c r="AC28" s="127" t="str">
        <f t="shared" si="17"/>
        <v/>
      </c>
      <c r="AD28" s="127" t="str">
        <f t="shared" si="17"/>
        <v/>
      </c>
      <c r="AE28" s="127" t="str">
        <f t="shared" si="17"/>
        <v/>
      </c>
      <c r="AF28" s="127" t="str">
        <f t="shared" si="17"/>
        <v/>
      </c>
      <c r="AG28" s="127" t="str">
        <f t="shared" si="16"/>
        <v/>
      </c>
      <c r="AH28" s="127" t="str">
        <f t="shared" si="16"/>
        <v/>
      </c>
      <c r="AI28" s="127" t="str">
        <f t="shared" si="16"/>
        <v/>
      </c>
      <c r="AJ28" s="127" t="str">
        <f t="shared" si="16"/>
        <v/>
      </c>
      <c r="AK28" s="127" t="str">
        <f t="shared" si="16"/>
        <v/>
      </c>
      <c r="AL28" s="127" t="str">
        <f t="shared" si="16"/>
        <v/>
      </c>
      <c r="AM28" s="127" t="str">
        <f t="shared" si="16"/>
        <v/>
      </c>
      <c r="AN28" s="127" t="str">
        <f t="shared" si="16"/>
        <v/>
      </c>
      <c r="AO28" s="127" t="str">
        <f t="shared" si="16"/>
        <v/>
      </c>
      <c r="AP28" s="127" t="str">
        <f t="shared" si="16"/>
        <v/>
      </c>
      <c r="AQ28" s="127" t="str">
        <f t="shared" si="16"/>
        <v/>
      </c>
      <c r="AR28" s="127" t="str">
        <f t="shared" si="16"/>
        <v/>
      </c>
      <c r="AS28" s="127" t="str">
        <f t="shared" si="16"/>
        <v/>
      </c>
      <c r="AT28" s="127" t="str">
        <f t="shared" si="16"/>
        <v/>
      </c>
      <c r="AU28" s="127" t="str">
        <f t="shared" si="16"/>
        <v/>
      </c>
      <c r="AV28" s="127" t="str">
        <f t="shared" si="16"/>
        <v/>
      </c>
      <c r="AW28" s="127" t="str">
        <f t="shared" si="16"/>
        <v/>
      </c>
      <c r="AX28" s="127" t="str">
        <f t="shared" si="16"/>
        <v/>
      </c>
      <c r="AY28" s="127" t="str">
        <f t="shared" si="16"/>
        <v/>
      </c>
      <c r="AZ28" s="127" t="str">
        <f t="shared" si="16"/>
        <v/>
      </c>
      <c r="BA28" s="127" t="str">
        <f t="shared" si="16"/>
        <v/>
      </c>
      <c r="BB28" s="127" t="str">
        <f t="shared" si="16"/>
        <v/>
      </c>
      <c r="BC28" s="127" t="str">
        <f t="shared" si="16"/>
        <v/>
      </c>
      <c r="BD28" s="127" t="str">
        <f t="shared" si="16"/>
        <v/>
      </c>
      <c r="BE28" s="127" t="str">
        <f t="shared" si="16"/>
        <v/>
      </c>
      <c r="BF28" s="127" t="str">
        <f t="shared" si="14"/>
        <v/>
      </c>
      <c r="BG28" s="127" t="str">
        <f t="shared" si="15"/>
        <v/>
      </c>
      <c r="BH28" s="127" t="str">
        <f t="shared" si="15"/>
        <v/>
      </c>
      <c r="BI28" s="127" t="str">
        <f t="shared" si="15"/>
        <v/>
      </c>
      <c r="BJ28" s="127" t="str">
        <f t="shared" si="15"/>
        <v/>
      </c>
      <c r="BK28" s="127" t="str">
        <f t="shared" si="15"/>
        <v/>
      </c>
      <c r="BL28" s="127" t="str">
        <f t="shared" si="14"/>
        <v/>
      </c>
      <c r="BM28" s="127" t="str">
        <f t="shared" si="15"/>
        <v/>
      </c>
      <c r="BN28" s="127" t="str">
        <f t="shared" si="15"/>
        <v/>
      </c>
      <c r="BO28" s="127" t="str">
        <f t="shared" si="15"/>
        <v/>
      </c>
      <c r="BP28" s="127" t="str">
        <f t="shared" si="15"/>
        <v/>
      </c>
      <c r="BQ28" s="127" t="str">
        <f t="shared" si="15"/>
        <v/>
      </c>
      <c r="BR28" s="127" t="str">
        <f t="shared" si="14"/>
        <v/>
      </c>
      <c r="BS28" s="127" t="str">
        <f t="shared" si="14"/>
        <v/>
      </c>
      <c r="BT28" s="127" t="str">
        <f t="shared" si="14"/>
        <v/>
      </c>
      <c r="BU28" s="127" t="str">
        <f t="shared" si="14"/>
        <v/>
      </c>
      <c r="BV28" s="127" t="str">
        <f t="shared" si="14"/>
        <v/>
      </c>
      <c r="BW28" s="127" t="str">
        <f t="shared" si="14"/>
        <v/>
      </c>
      <c r="BX28" s="127" t="str">
        <f t="shared" si="14"/>
        <v/>
      </c>
      <c r="BY28" s="127" t="str">
        <f t="shared" si="14"/>
        <v/>
      </c>
      <c r="BZ28" s="127" t="str">
        <f t="shared" si="14"/>
        <v/>
      </c>
      <c r="CA28" s="127" t="str">
        <f t="shared" si="14"/>
        <v/>
      </c>
      <c r="CB28" s="127" t="str">
        <f t="shared" si="14"/>
        <v/>
      </c>
      <c r="CC28" s="127" t="str">
        <f t="shared" si="14"/>
        <v/>
      </c>
      <c r="CD28" s="127" t="str">
        <f t="shared" si="14"/>
        <v/>
      </c>
    </row>
    <row r="29" spans="1:82" ht="12.6" customHeight="1" x14ac:dyDescent="0.2">
      <c r="A29" s="106">
        <f>SHIPMENTS!A35</f>
        <v>9302</v>
      </c>
      <c r="B29" s="106" t="str">
        <f>SHIPMENTS!B35</f>
        <v>15900- Binangonan Rizal |Dr. Jonathan Emmanuel Sandejas</v>
      </c>
      <c r="C29" s="132">
        <f>SHIPMENTS!F35</f>
        <v>0.14499999999999999</v>
      </c>
      <c r="D29" s="107" t="str">
        <f>IF((SHIPMENTS!I35)=0,"",SHIPMENTS!I35)</f>
        <v/>
      </c>
      <c r="E29" s="176">
        <f>IF((SHIPMENTS!G35)=0,"",SHIPMENTS!G35)</f>
        <v>46323</v>
      </c>
      <c r="F29" s="98">
        <f>VLOOKUP(A29,load!$A$4:$U$5001,19,0)</f>
        <v>4.6833333333333331E-2</v>
      </c>
      <c r="G29" s="109">
        <f>Manhours!$C$10</f>
        <v>2.5</v>
      </c>
      <c r="H29" s="110">
        <f t="shared" si="6"/>
        <v>22.75</v>
      </c>
      <c r="I29" s="111">
        <f t="shared" si="7"/>
        <v>2.0586080586080585E-3</v>
      </c>
      <c r="J29" s="111">
        <f t="shared" si="8"/>
        <v>1.8733333333333331E-2</v>
      </c>
      <c r="K29" s="110">
        <f t="shared" si="9"/>
        <v>2.0586080586080585E-3</v>
      </c>
      <c r="L29" s="110">
        <f t="shared" si="10"/>
        <v>1.8733333333333331E-2</v>
      </c>
      <c r="M29" s="180">
        <f t="shared" si="13"/>
        <v>46314.052315018314</v>
      </c>
      <c r="N29" s="181">
        <f t="shared" si="12"/>
        <v>46314.054373626372</v>
      </c>
      <c r="O29" s="112">
        <f>VLOOKUP(A29,SHIPMENTS!$A$7:$AP$76,11,0)</f>
        <v>0</v>
      </c>
      <c r="P29" s="101"/>
      <c r="Q29" s="127" t="str">
        <f t="shared" si="17"/>
        <v/>
      </c>
      <c r="R29" s="127" t="str">
        <f t="shared" si="17"/>
        <v/>
      </c>
      <c r="S29" s="127" t="str">
        <f t="shared" si="17"/>
        <v/>
      </c>
      <c r="T29" s="127" t="str">
        <f t="shared" si="17"/>
        <v/>
      </c>
      <c r="U29" s="127" t="str">
        <f t="shared" si="17"/>
        <v/>
      </c>
      <c r="V29" s="127" t="str">
        <f t="shared" si="17"/>
        <v/>
      </c>
      <c r="W29" s="127" t="str">
        <f t="shared" si="17"/>
        <v/>
      </c>
      <c r="X29" s="127" t="str">
        <f t="shared" si="17"/>
        <v/>
      </c>
      <c r="Y29" s="127" t="str">
        <f t="shared" si="17"/>
        <v>▲</v>
      </c>
      <c r="Z29" s="127" t="str">
        <f t="shared" si="17"/>
        <v/>
      </c>
      <c r="AA29" s="127" t="str">
        <f t="shared" si="17"/>
        <v/>
      </c>
      <c r="AB29" s="127" t="str">
        <f t="shared" si="17"/>
        <v/>
      </c>
      <c r="AC29" s="127" t="str">
        <f t="shared" si="17"/>
        <v/>
      </c>
      <c r="AD29" s="127" t="str">
        <f t="shared" si="17"/>
        <v/>
      </c>
      <c r="AE29" s="127" t="str">
        <f t="shared" si="17"/>
        <v/>
      </c>
      <c r="AF29" s="127" t="str">
        <f t="shared" si="17"/>
        <v/>
      </c>
      <c r="AG29" s="127" t="str">
        <f t="shared" si="16"/>
        <v/>
      </c>
      <c r="AH29" s="127" t="str">
        <f t="shared" si="16"/>
        <v/>
      </c>
      <c r="AI29" s="127" t="str">
        <f t="shared" si="16"/>
        <v/>
      </c>
      <c r="AJ29" s="127" t="str">
        <f t="shared" si="16"/>
        <v/>
      </c>
      <c r="AK29" s="127" t="str">
        <f t="shared" si="16"/>
        <v/>
      </c>
      <c r="AL29" s="127" t="str">
        <f t="shared" si="16"/>
        <v/>
      </c>
      <c r="AM29" s="127" t="str">
        <f t="shared" si="16"/>
        <v/>
      </c>
      <c r="AN29" s="127" t="str">
        <f t="shared" si="16"/>
        <v/>
      </c>
      <c r="AO29" s="127" t="str">
        <f t="shared" si="16"/>
        <v/>
      </c>
      <c r="AP29" s="127" t="str">
        <f t="shared" si="16"/>
        <v/>
      </c>
      <c r="AQ29" s="127" t="str">
        <f t="shared" si="16"/>
        <v/>
      </c>
      <c r="AR29" s="127" t="str">
        <f t="shared" si="16"/>
        <v/>
      </c>
      <c r="AS29" s="127" t="str">
        <f t="shared" si="16"/>
        <v/>
      </c>
      <c r="AT29" s="127" t="str">
        <f t="shared" si="16"/>
        <v/>
      </c>
      <c r="AU29" s="127" t="str">
        <f t="shared" si="16"/>
        <v/>
      </c>
      <c r="AV29" s="127" t="str">
        <f t="shared" si="16"/>
        <v/>
      </c>
      <c r="AW29" s="127" t="str">
        <f t="shared" si="16"/>
        <v/>
      </c>
      <c r="AX29" s="127" t="str">
        <f t="shared" si="16"/>
        <v/>
      </c>
      <c r="AY29" s="127" t="str">
        <f t="shared" si="16"/>
        <v/>
      </c>
      <c r="AZ29" s="127" t="str">
        <f t="shared" si="16"/>
        <v/>
      </c>
      <c r="BA29" s="127" t="str">
        <f t="shared" si="16"/>
        <v/>
      </c>
      <c r="BB29" s="127" t="str">
        <f t="shared" si="16"/>
        <v/>
      </c>
      <c r="BC29" s="127" t="str">
        <f t="shared" si="16"/>
        <v/>
      </c>
      <c r="BD29" s="127" t="str">
        <f t="shared" si="16"/>
        <v/>
      </c>
      <c r="BE29" s="127" t="str">
        <f t="shared" si="16"/>
        <v/>
      </c>
      <c r="BF29" s="127" t="str">
        <f t="shared" si="14"/>
        <v/>
      </c>
      <c r="BG29" s="127" t="str">
        <f t="shared" si="15"/>
        <v/>
      </c>
      <c r="BH29" s="127" t="str">
        <f t="shared" si="15"/>
        <v/>
      </c>
      <c r="BI29" s="127" t="str">
        <f t="shared" si="15"/>
        <v/>
      </c>
      <c r="BJ29" s="127" t="str">
        <f t="shared" si="15"/>
        <v/>
      </c>
      <c r="BK29" s="127" t="str">
        <f t="shared" si="15"/>
        <v/>
      </c>
      <c r="BL29" s="127" t="str">
        <f t="shared" si="14"/>
        <v/>
      </c>
      <c r="BM29" s="127" t="str">
        <f t="shared" si="14"/>
        <v/>
      </c>
      <c r="BN29" s="127" t="str">
        <f t="shared" si="14"/>
        <v/>
      </c>
      <c r="BO29" s="127" t="str">
        <f t="shared" si="14"/>
        <v/>
      </c>
      <c r="BP29" s="127" t="str">
        <f t="shared" si="14"/>
        <v/>
      </c>
      <c r="BQ29" s="127" t="str">
        <f t="shared" si="14"/>
        <v/>
      </c>
      <c r="BR29" s="127" t="str">
        <f t="shared" si="14"/>
        <v/>
      </c>
      <c r="BS29" s="127" t="str">
        <f t="shared" si="14"/>
        <v/>
      </c>
      <c r="BT29" s="127" t="str">
        <f t="shared" si="14"/>
        <v/>
      </c>
      <c r="BU29" s="127" t="str">
        <f t="shared" si="14"/>
        <v/>
      </c>
      <c r="BV29" s="127" t="str">
        <f t="shared" si="14"/>
        <v/>
      </c>
      <c r="BW29" s="127" t="str">
        <f t="shared" si="14"/>
        <v/>
      </c>
      <c r="BX29" s="127" t="str">
        <f t="shared" si="14"/>
        <v/>
      </c>
      <c r="BY29" s="127" t="str">
        <f t="shared" si="14"/>
        <v/>
      </c>
      <c r="BZ29" s="127" t="str">
        <f t="shared" si="14"/>
        <v/>
      </c>
      <c r="CA29" s="127" t="str">
        <f t="shared" si="14"/>
        <v/>
      </c>
      <c r="CB29" s="127" t="str">
        <f t="shared" si="14"/>
        <v/>
      </c>
      <c r="CC29" s="127" t="str">
        <f t="shared" si="14"/>
        <v/>
      </c>
      <c r="CD29" s="127" t="str">
        <f t="shared" si="14"/>
        <v/>
      </c>
    </row>
    <row r="30" spans="1:82" ht="12.6" hidden="1" customHeight="1" x14ac:dyDescent="0.2">
      <c r="A30" s="106">
        <f>SHIPMENTS!A36</f>
        <v>8954</v>
      </c>
      <c r="B30" s="106" t="str">
        <f>SHIPMENTS!B36</f>
        <v>15900- Cainta Rizal | Mary Baquiran</v>
      </c>
      <c r="C30" s="132">
        <f>SHIPMENTS!F36</f>
        <v>6.4999999999999997E-3</v>
      </c>
      <c r="D30" s="107" t="str">
        <f>IF((SHIPMENTS!I36)=0,"",SHIPMENTS!I36)</f>
        <v/>
      </c>
      <c r="E30" s="176">
        <f>IF((SHIPMENTS!G36)=0,"",SHIPMENTS!G36)</f>
        <v>46323</v>
      </c>
      <c r="F30" s="98">
        <f>VLOOKUP(A30,load!$A$4:$U$5001,19,0)</f>
        <v>0</v>
      </c>
      <c r="G30" s="109">
        <f>Manhours!$C$10</f>
        <v>2.5</v>
      </c>
      <c r="H30" s="110">
        <f t="shared" si="6"/>
        <v>22.75</v>
      </c>
      <c r="I30" s="111">
        <f t="shared" si="7"/>
        <v>0</v>
      </c>
      <c r="J30" s="111">
        <f t="shared" si="8"/>
        <v>0</v>
      </c>
      <c r="K30" s="110">
        <f t="shared" si="9"/>
        <v>0</v>
      </c>
      <c r="L30" s="110">
        <f t="shared" si="10"/>
        <v>0</v>
      </c>
      <c r="M30" s="180">
        <f t="shared" si="13"/>
        <v>46314.054373626372</v>
      </c>
      <c r="N30" s="181">
        <f t="shared" si="12"/>
        <v>46314.054373626372</v>
      </c>
      <c r="O30" s="112" t="str">
        <f>VLOOKUP(A30,SHIPMENTS!$A$7:$AP$76,11,0)</f>
        <v>n/a</v>
      </c>
      <c r="P30" s="101"/>
      <c r="Q30" s="127" t="str">
        <f t="shared" si="17"/>
        <v/>
      </c>
      <c r="R30" s="127" t="str">
        <f t="shared" si="17"/>
        <v/>
      </c>
      <c r="S30" s="127" t="str">
        <f t="shared" si="17"/>
        <v/>
      </c>
      <c r="T30" s="127" t="str">
        <f t="shared" si="17"/>
        <v/>
      </c>
      <c r="U30" s="127" t="str">
        <f t="shared" si="17"/>
        <v/>
      </c>
      <c r="V30" s="127" t="str">
        <f t="shared" si="17"/>
        <v/>
      </c>
      <c r="W30" s="127" t="str">
        <f t="shared" si="17"/>
        <v/>
      </c>
      <c r="X30" s="127" t="str">
        <f t="shared" si="17"/>
        <v/>
      </c>
      <c r="Y30" s="127" t="str">
        <f t="shared" si="17"/>
        <v>▲</v>
      </c>
      <c r="Z30" s="127" t="str">
        <f t="shared" si="17"/>
        <v/>
      </c>
      <c r="AA30" s="127" t="str">
        <f t="shared" si="17"/>
        <v/>
      </c>
      <c r="AB30" s="127" t="str">
        <f t="shared" si="17"/>
        <v/>
      </c>
      <c r="AC30" s="127" t="str">
        <f t="shared" si="17"/>
        <v/>
      </c>
      <c r="AD30" s="127" t="str">
        <f t="shared" si="17"/>
        <v/>
      </c>
      <c r="AE30" s="127" t="str">
        <f t="shared" si="17"/>
        <v/>
      </c>
      <c r="AF30" s="127" t="str">
        <f t="shared" si="17"/>
        <v/>
      </c>
      <c r="AG30" s="127" t="str">
        <f t="shared" si="16"/>
        <v/>
      </c>
      <c r="AH30" s="127" t="str">
        <f t="shared" si="16"/>
        <v/>
      </c>
      <c r="AI30" s="127" t="str">
        <f t="shared" si="16"/>
        <v/>
      </c>
      <c r="AJ30" s="127" t="str">
        <f t="shared" si="16"/>
        <v/>
      </c>
      <c r="AK30" s="127" t="str">
        <f t="shared" si="16"/>
        <v/>
      </c>
      <c r="AL30" s="127" t="str">
        <f t="shared" si="16"/>
        <v/>
      </c>
      <c r="AM30" s="127" t="str">
        <f t="shared" si="16"/>
        <v/>
      </c>
      <c r="AN30" s="127" t="str">
        <f t="shared" si="16"/>
        <v/>
      </c>
      <c r="AO30" s="127" t="str">
        <f t="shared" si="16"/>
        <v/>
      </c>
      <c r="AP30" s="127" t="str">
        <f t="shared" si="16"/>
        <v/>
      </c>
      <c r="AQ30" s="127" t="str">
        <f t="shared" si="16"/>
        <v/>
      </c>
      <c r="AR30" s="127" t="str">
        <f t="shared" si="16"/>
        <v/>
      </c>
      <c r="AS30" s="127" t="str">
        <f t="shared" si="16"/>
        <v/>
      </c>
      <c r="AT30" s="127" t="str">
        <f t="shared" si="16"/>
        <v/>
      </c>
      <c r="AU30" s="127" t="str">
        <f t="shared" si="16"/>
        <v/>
      </c>
      <c r="AV30" s="127" t="str">
        <f t="shared" si="16"/>
        <v/>
      </c>
      <c r="AW30" s="127" t="str">
        <f t="shared" si="16"/>
        <v/>
      </c>
      <c r="AX30" s="127" t="str">
        <f t="shared" si="16"/>
        <v/>
      </c>
      <c r="AY30" s="127" t="str">
        <f t="shared" si="16"/>
        <v/>
      </c>
      <c r="AZ30" s="127" t="str">
        <f t="shared" si="16"/>
        <v/>
      </c>
      <c r="BA30" s="127" t="str">
        <f t="shared" si="16"/>
        <v/>
      </c>
      <c r="BB30" s="127" t="str">
        <f t="shared" si="16"/>
        <v/>
      </c>
      <c r="BC30" s="127" t="str">
        <f t="shared" si="16"/>
        <v/>
      </c>
      <c r="BD30" s="127" t="str">
        <f t="shared" si="16"/>
        <v/>
      </c>
      <c r="BE30" s="127" t="str">
        <f t="shared" si="16"/>
        <v/>
      </c>
      <c r="BF30" s="127" t="str">
        <f t="shared" si="14"/>
        <v/>
      </c>
      <c r="BG30" s="127" t="str">
        <f t="shared" si="15"/>
        <v/>
      </c>
      <c r="BH30" s="127" t="str">
        <f t="shared" si="15"/>
        <v/>
      </c>
      <c r="BI30" s="127" t="str">
        <f t="shared" si="15"/>
        <v/>
      </c>
      <c r="BJ30" s="127" t="str">
        <f t="shared" si="15"/>
        <v/>
      </c>
      <c r="BK30" s="127" t="str">
        <f t="shared" si="15"/>
        <v/>
      </c>
      <c r="BL30" s="127" t="str">
        <f t="shared" si="14"/>
        <v/>
      </c>
      <c r="BM30" s="127" t="str">
        <f t="shared" si="14"/>
        <v/>
      </c>
      <c r="BN30" s="127" t="str">
        <f t="shared" si="14"/>
        <v/>
      </c>
      <c r="BO30" s="127" t="str">
        <f t="shared" si="14"/>
        <v/>
      </c>
      <c r="BP30" s="127" t="str">
        <f t="shared" si="14"/>
        <v/>
      </c>
      <c r="BQ30" s="127" t="str">
        <f t="shared" si="14"/>
        <v/>
      </c>
      <c r="BR30" s="127" t="str">
        <f t="shared" si="14"/>
        <v/>
      </c>
      <c r="BS30" s="127" t="str">
        <f t="shared" si="14"/>
        <v/>
      </c>
      <c r="BT30" s="127" t="str">
        <f t="shared" si="14"/>
        <v/>
      </c>
      <c r="BU30" s="127" t="str">
        <f t="shared" si="14"/>
        <v/>
      </c>
      <c r="BV30" s="127" t="str">
        <f t="shared" si="14"/>
        <v/>
      </c>
      <c r="BW30" s="127" t="str">
        <f t="shared" si="14"/>
        <v/>
      </c>
      <c r="BX30" s="127" t="str">
        <f t="shared" si="14"/>
        <v/>
      </c>
      <c r="BY30" s="127" t="str">
        <f t="shared" si="14"/>
        <v/>
      </c>
      <c r="BZ30" s="127" t="str">
        <f t="shared" si="14"/>
        <v/>
      </c>
      <c r="CA30" s="127" t="str">
        <f t="shared" si="14"/>
        <v/>
      </c>
      <c r="CB30" s="127" t="str">
        <f t="shared" si="14"/>
        <v/>
      </c>
      <c r="CC30" s="127" t="str">
        <f t="shared" si="14"/>
        <v/>
      </c>
      <c r="CD30" s="127" t="str">
        <f t="shared" si="14"/>
        <v/>
      </c>
    </row>
    <row r="31" spans="1:82" ht="12.6" hidden="1" customHeight="1" x14ac:dyDescent="0.2">
      <c r="A31" s="106">
        <f>SHIPMENTS!A37</f>
        <v>9064</v>
      </c>
      <c r="B31" s="106" t="str">
        <f>SHIPMENTS!B37</f>
        <v>15900- Quezon City | Hans Jason Tan</v>
      </c>
      <c r="C31" s="132">
        <f>SHIPMENTS!F37</f>
        <v>6.4999999999999997E-3</v>
      </c>
      <c r="D31" s="107" t="str">
        <f>IF((SHIPMENTS!I37)=0,"",SHIPMENTS!I37)</f>
        <v/>
      </c>
      <c r="E31" s="176">
        <f>IF((SHIPMENTS!G37)=0,"",SHIPMENTS!G37)</f>
        <v>46323</v>
      </c>
      <c r="F31" s="98">
        <f>VLOOKUP(A31,load!$A$4:$U$5001,19,0)</f>
        <v>0</v>
      </c>
      <c r="G31" s="109">
        <f>Manhours!$C$10</f>
        <v>2.5</v>
      </c>
      <c r="H31" s="110">
        <f t="shared" si="6"/>
        <v>22.75</v>
      </c>
      <c r="I31" s="111">
        <f t="shared" si="7"/>
        <v>0</v>
      </c>
      <c r="J31" s="111">
        <f t="shared" si="8"/>
        <v>0</v>
      </c>
      <c r="K31" s="110">
        <f t="shared" si="9"/>
        <v>0</v>
      </c>
      <c r="L31" s="110">
        <f t="shared" si="10"/>
        <v>0</v>
      </c>
      <c r="M31" s="180">
        <f t="shared" si="13"/>
        <v>46314.054373626372</v>
      </c>
      <c r="N31" s="181">
        <f t="shared" si="12"/>
        <v>46314.054373626372</v>
      </c>
      <c r="O31" s="112" t="str">
        <f>VLOOKUP(A31,SHIPMENTS!$A$7:$AP$76,11,0)</f>
        <v>n/a</v>
      </c>
      <c r="P31" s="101"/>
      <c r="Q31" s="127" t="str">
        <f t="shared" si="17"/>
        <v/>
      </c>
      <c r="R31" s="127" t="str">
        <f t="shared" si="17"/>
        <v/>
      </c>
      <c r="S31" s="127" t="str">
        <f t="shared" si="17"/>
        <v/>
      </c>
      <c r="T31" s="127" t="str">
        <f t="shared" si="17"/>
        <v/>
      </c>
      <c r="U31" s="127" t="str">
        <f t="shared" si="17"/>
        <v/>
      </c>
      <c r="V31" s="127" t="str">
        <f t="shared" si="17"/>
        <v/>
      </c>
      <c r="W31" s="127" t="str">
        <f t="shared" si="17"/>
        <v/>
      </c>
      <c r="X31" s="127" t="str">
        <f t="shared" si="17"/>
        <v/>
      </c>
      <c r="Y31" s="127" t="str">
        <f t="shared" si="17"/>
        <v>▲</v>
      </c>
      <c r="Z31" s="127" t="str">
        <f t="shared" si="17"/>
        <v/>
      </c>
      <c r="AA31" s="127" t="str">
        <f t="shared" si="17"/>
        <v/>
      </c>
      <c r="AB31" s="127" t="str">
        <f t="shared" si="17"/>
        <v/>
      </c>
      <c r="AC31" s="127" t="str">
        <f t="shared" si="17"/>
        <v/>
      </c>
      <c r="AD31" s="127" t="str">
        <f t="shared" si="17"/>
        <v/>
      </c>
      <c r="AE31" s="127" t="str">
        <f t="shared" si="17"/>
        <v/>
      </c>
      <c r="AF31" s="127" t="str">
        <f t="shared" si="17"/>
        <v/>
      </c>
      <c r="AG31" s="127" t="str">
        <f t="shared" si="16"/>
        <v/>
      </c>
      <c r="AH31" s="127" t="str">
        <f t="shared" si="16"/>
        <v/>
      </c>
      <c r="AI31" s="127" t="str">
        <f t="shared" si="16"/>
        <v/>
      </c>
      <c r="AJ31" s="127" t="str">
        <f t="shared" si="16"/>
        <v/>
      </c>
      <c r="AK31" s="127" t="str">
        <f t="shared" si="16"/>
        <v/>
      </c>
      <c r="AL31" s="127" t="str">
        <f t="shared" si="16"/>
        <v/>
      </c>
      <c r="AM31" s="127" t="str">
        <f t="shared" si="16"/>
        <v/>
      </c>
      <c r="AN31" s="127" t="str">
        <f t="shared" si="16"/>
        <v/>
      </c>
      <c r="AO31" s="127" t="str">
        <f t="shared" si="16"/>
        <v/>
      </c>
      <c r="AP31" s="127" t="str">
        <f t="shared" si="16"/>
        <v/>
      </c>
      <c r="AQ31" s="127" t="str">
        <f t="shared" si="16"/>
        <v/>
      </c>
      <c r="AR31" s="127" t="str">
        <f t="shared" si="16"/>
        <v/>
      </c>
      <c r="AS31" s="127" t="str">
        <f t="shared" si="16"/>
        <v/>
      </c>
      <c r="AT31" s="127" t="str">
        <f t="shared" si="16"/>
        <v/>
      </c>
      <c r="AU31" s="127" t="str">
        <f t="shared" si="16"/>
        <v/>
      </c>
      <c r="AV31" s="127" t="str">
        <f t="shared" si="16"/>
        <v/>
      </c>
      <c r="AW31" s="127" t="str">
        <f t="shared" si="16"/>
        <v/>
      </c>
      <c r="AX31" s="127" t="str">
        <f t="shared" si="16"/>
        <v/>
      </c>
      <c r="AY31" s="127" t="str">
        <f t="shared" si="16"/>
        <v/>
      </c>
      <c r="AZ31" s="127" t="str">
        <f t="shared" si="16"/>
        <v/>
      </c>
      <c r="BA31" s="127" t="str">
        <f t="shared" si="16"/>
        <v/>
      </c>
      <c r="BB31" s="127" t="str">
        <f t="shared" si="16"/>
        <v/>
      </c>
      <c r="BC31" s="127" t="str">
        <f t="shared" si="16"/>
        <v/>
      </c>
      <c r="BD31" s="127" t="str">
        <f t="shared" si="16"/>
        <v/>
      </c>
      <c r="BE31" s="127" t="str">
        <f t="shared" si="16"/>
        <v/>
      </c>
      <c r="BF31" s="127" t="str">
        <f t="shared" si="14"/>
        <v/>
      </c>
      <c r="BG31" s="127" t="str">
        <f t="shared" si="15"/>
        <v/>
      </c>
      <c r="BH31" s="127" t="str">
        <f t="shared" si="15"/>
        <v/>
      </c>
      <c r="BI31" s="127" t="str">
        <f t="shared" si="15"/>
        <v/>
      </c>
      <c r="BJ31" s="127" t="str">
        <f t="shared" si="15"/>
        <v/>
      </c>
      <c r="BK31" s="127" t="str">
        <f t="shared" si="15"/>
        <v/>
      </c>
      <c r="BL31" s="127" t="str">
        <f t="shared" si="14"/>
        <v/>
      </c>
      <c r="BM31" s="127" t="str">
        <f t="shared" si="14"/>
        <v/>
      </c>
      <c r="BN31" s="127" t="str">
        <f t="shared" si="14"/>
        <v/>
      </c>
      <c r="BO31" s="127" t="str">
        <f t="shared" si="14"/>
        <v/>
      </c>
      <c r="BP31" s="127" t="str">
        <f t="shared" si="14"/>
        <v/>
      </c>
      <c r="BQ31" s="127" t="str">
        <f t="shared" si="14"/>
        <v/>
      </c>
      <c r="BR31" s="127" t="str">
        <f t="shared" si="14"/>
        <v/>
      </c>
      <c r="BS31" s="127" t="str">
        <f t="shared" si="14"/>
        <v/>
      </c>
      <c r="BT31" s="127" t="str">
        <f t="shared" si="14"/>
        <v/>
      </c>
      <c r="BU31" s="127" t="str">
        <f t="shared" si="14"/>
        <v/>
      </c>
      <c r="BV31" s="127" t="str">
        <f t="shared" si="14"/>
        <v/>
      </c>
      <c r="BW31" s="127" t="str">
        <f t="shared" si="14"/>
        <v/>
      </c>
      <c r="BX31" s="127" t="str">
        <f t="shared" si="14"/>
        <v/>
      </c>
      <c r="BY31" s="127" t="str">
        <f t="shared" si="14"/>
        <v/>
      </c>
      <c r="BZ31" s="127" t="str">
        <f t="shared" si="14"/>
        <v/>
      </c>
      <c r="CA31" s="127" t="str">
        <f t="shared" si="14"/>
        <v/>
      </c>
      <c r="CB31" s="127" t="str">
        <f t="shared" si="14"/>
        <v/>
      </c>
      <c r="CC31" s="127" t="str">
        <f t="shared" si="14"/>
        <v/>
      </c>
      <c r="CD31" s="127" t="str">
        <f t="shared" si="14"/>
        <v/>
      </c>
    </row>
    <row r="32" spans="1:82" ht="12.6" hidden="1" customHeight="1" x14ac:dyDescent="0.2">
      <c r="A32" s="106">
        <f>SHIPMENTS!A38</f>
        <v>9065</v>
      </c>
      <c r="B32" s="106" t="str">
        <f>SHIPMENTS!B38</f>
        <v>15900- Cavite | Kristine Austria</v>
      </c>
      <c r="C32" s="132">
        <f>SHIPMENTS!F38</f>
        <v>0</v>
      </c>
      <c r="D32" s="107" t="str">
        <f>IF((SHIPMENTS!I38)=0,"",SHIPMENTS!I38)</f>
        <v/>
      </c>
      <c r="E32" s="176">
        <f>IF((SHIPMENTS!G38)=0,"",SHIPMENTS!G38)</f>
        <v>46323</v>
      </c>
      <c r="F32" s="98">
        <f>VLOOKUP(A32,load!$A$4:$U$5001,19,0)</f>
        <v>0</v>
      </c>
      <c r="G32" s="109">
        <f>Manhours!$C$10</f>
        <v>2.5</v>
      </c>
      <c r="H32" s="110">
        <f t="shared" si="6"/>
        <v>22.75</v>
      </c>
      <c r="I32" s="111">
        <f t="shared" si="7"/>
        <v>0</v>
      </c>
      <c r="J32" s="111">
        <f t="shared" si="8"/>
        <v>0</v>
      </c>
      <c r="K32" s="110">
        <f t="shared" si="9"/>
        <v>0</v>
      </c>
      <c r="L32" s="110">
        <f t="shared" si="10"/>
        <v>0</v>
      </c>
      <c r="M32" s="180">
        <f t="shared" si="13"/>
        <v>46314.054373626372</v>
      </c>
      <c r="N32" s="181">
        <f t="shared" si="12"/>
        <v>46314.054373626372</v>
      </c>
      <c r="O32" s="112" t="str">
        <f>VLOOKUP(A32,SHIPMENTS!$A$7:$AP$76,11,0)</f>
        <v>n/a</v>
      </c>
      <c r="P32" s="101"/>
      <c r="Q32" s="127" t="str">
        <f t="shared" si="17"/>
        <v/>
      </c>
      <c r="R32" s="127" t="str">
        <f t="shared" si="17"/>
        <v/>
      </c>
      <c r="S32" s="127" t="str">
        <f t="shared" si="17"/>
        <v/>
      </c>
      <c r="T32" s="127" t="str">
        <f t="shared" si="17"/>
        <v/>
      </c>
      <c r="U32" s="127" t="str">
        <f t="shared" si="17"/>
        <v/>
      </c>
      <c r="V32" s="127" t="str">
        <f t="shared" si="17"/>
        <v/>
      </c>
      <c r="W32" s="127" t="str">
        <f t="shared" si="17"/>
        <v/>
      </c>
      <c r="X32" s="127" t="str">
        <f t="shared" si="17"/>
        <v/>
      </c>
      <c r="Y32" s="127" t="str">
        <f t="shared" si="17"/>
        <v>▲</v>
      </c>
      <c r="Z32" s="127" t="str">
        <f t="shared" si="17"/>
        <v/>
      </c>
      <c r="AA32" s="127" t="str">
        <f t="shared" si="17"/>
        <v/>
      </c>
      <c r="AB32" s="127" t="str">
        <f t="shared" si="17"/>
        <v/>
      </c>
      <c r="AC32" s="127" t="str">
        <f t="shared" si="17"/>
        <v/>
      </c>
      <c r="AD32" s="127" t="str">
        <f t="shared" si="17"/>
        <v/>
      </c>
      <c r="AE32" s="127" t="str">
        <f t="shared" si="17"/>
        <v/>
      </c>
      <c r="AF32" s="127" t="str">
        <f t="shared" si="17"/>
        <v/>
      </c>
      <c r="AG32" s="127" t="str">
        <f t="shared" si="16"/>
        <v/>
      </c>
      <c r="AH32" s="127" t="str">
        <f t="shared" si="16"/>
        <v/>
      </c>
      <c r="AI32" s="127" t="str">
        <f t="shared" si="16"/>
        <v/>
      </c>
      <c r="AJ32" s="127" t="str">
        <f t="shared" si="16"/>
        <v/>
      </c>
      <c r="AK32" s="127" t="str">
        <f t="shared" si="16"/>
        <v/>
      </c>
      <c r="AL32" s="127" t="str">
        <f t="shared" si="16"/>
        <v/>
      </c>
      <c r="AM32" s="127" t="str">
        <f t="shared" si="16"/>
        <v/>
      </c>
      <c r="AN32" s="127" t="str">
        <f t="shared" si="16"/>
        <v/>
      </c>
      <c r="AO32" s="127" t="str">
        <f t="shared" si="16"/>
        <v/>
      </c>
      <c r="AP32" s="127" t="str">
        <f t="shared" si="16"/>
        <v/>
      </c>
      <c r="AQ32" s="127" t="str">
        <f t="shared" si="16"/>
        <v/>
      </c>
      <c r="AR32" s="127" t="str">
        <f t="shared" si="16"/>
        <v/>
      </c>
      <c r="AS32" s="127" t="str">
        <f t="shared" si="16"/>
        <v/>
      </c>
      <c r="AT32" s="127" t="str">
        <f t="shared" si="16"/>
        <v/>
      </c>
      <c r="AU32" s="127" t="str">
        <f t="shared" si="16"/>
        <v/>
      </c>
      <c r="AV32" s="127" t="str">
        <f t="shared" si="16"/>
        <v/>
      </c>
      <c r="AW32" s="127" t="str">
        <f t="shared" si="16"/>
        <v/>
      </c>
      <c r="AX32" s="127" t="str">
        <f t="shared" si="16"/>
        <v/>
      </c>
      <c r="AY32" s="127" t="str">
        <f t="shared" si="16"/>
        <v/>
      </c>
      <c r="AZ32" s="127" t="str">
        <f t="shared" si="16"/>
        <v/>
      </c>
      <c r="BA32" s="127" t="str">
        <f t="shared" si="16"/>
        <v/>
      </c>
      <c r="BB32" s="127" t="str">
        <f t="shared" si="16"/>
        <v/>
      </c>
      <c r="BC32" s="127" t="str">
        <f t="shared" si="16"/>
        <v/>
      </c>
      <c r="BD32" s="127" t="str">
        <f t="shared" si="16"/>
        <v/>
      </c>
      <c r="BE32" s="127" t="str">
        <f t="shared" si="16"/>
        <v/>
      </c>
      <c r="BF32" s="127" t="str">
        <f t="shared" si="14"/>
        <v/>
      </c>
      <c r="BG32" s="127" t="str">
        <f t="shared" si="15"/>
        <v/>
      </c>
      <c r="BH32" s="127" t="str">
        <f t="shared" si="15"/>
        <v/>
      </c>
      <c r="BI32" s="127" t="str">
        <f t="shared" si="15"/>
        <v/>
      </c>
      <c r="BJ32" s="127" t="str">
        <f t="shared" si="15"/>
        <v/>
      </c>
      <c r="BK32" s="127" t="str">
        <f t="shared" si="15"/>
        <v/>
      </c>
      <c r="BL32" s="127" t="str">
        <f t="shared" si="14"/>
        <v/>
      </c>
      <c r="BM32" s="127" t="str">
        <f t="shared" si="14"/>
        <v/>
      </c>
      <c r="BN32" s="127" t="str">
        <f t="shared" si="14"/>
        <v/>
      </c>
      <c r="BO32" s="127" t="str">
        <f t="shared" si="14"/>
        <v/>
      </c>
      <c r="BP32" s="127" t="str">
        <f t="shared" si="14"/>
        <v/>
      </c>
      <c r="BQ32" s="127" t="str">
        <f t="shared" si="14"/>
        <v/>
      </c>
      <c r="BR32" s="127" t="str">
        <f t="shared" si="14"/>
        <v/>
      </c>
      <c r="BS32" s="127" t="str">
        <f t="shared" si="14"/>
        <v/>
      </c>
      <c r="BT32" s="127" t="str">
        <f t="shared" si="14"/>
        <v/>
      </c>
      <c r="BU32" s="127" t="str">
        <f t="shared" si="14"/>
        <v/>
      </c>
      <c r="BV32" s="127" t="str">
        <f t="shared" si="14"/>
        <v/>
      </c>
      <c r="BW32" s="127" t="str">
        <f t="shared" si="14"/>
        <v/>
      </c>
      <c r="BX32" s="127" t="str">
        <f t="shared" si="14"/>
        <v/>
      </c>
      <c r="BY32" s="127" t="str">
        <f t="shared" si="14"/>
        <v/>
      </c>
      <c r="BZ32" s="127" t="str">
        <f t="shared" si="14"/>
        <v/>
      </c>
      <c r="CA32" s="127" t="str">
        <f t="shared" si="14"/>
        <v/>
      </c>
      <c r="CB32" s="127" t="str">
        <f t="shared" si="14"/>
        <v/>
      </c>
      <c r="CC32" s="127" t="str">
        <f t="shared" si="14"/>
        <v/>
      </c>
      <c r="CD32" s="127" t="str">
        <f t="shared" si="14"/>
        <v/>
      </c>
    </row>
    <row r="33" spans="1:82" ht="12.6" customHeight="1" x14ac:dyDescent="0.2">
      <c r="A33" s="106">
        <f>SHIPMENTS!A39</f>
        <v>9303</v>
      </c>
      <c r="B33" s="106" t="str">
        <f>SHIPMENTS!B39</f>
        <v>15900- Manila Office Stocking</v>
      </c>
      <c r="C33" s="132">
        <f>SHIPMENTS!F39</f>
        <v>0.63700000000000001</v>
      </c>
      <c r="D33" s="107" t="str">
        <f>IF((SHIPMENTS!I39)=0,"",SHIPMENTS!I39)</f>
        <v/>
      </c>
      <c r="E33" s="176">
        <f>IF((SHIPMENTS!G39)=0,"",SHIPMENTS!G39)</f>
        <v>46323</v>
      </c>
      <c r="F33" s="98">
        <f>VLOOKUP(A33,load!$A$4:$U$5001,19,0)</f>
        <v>0</v>
      </c>
      <c r="G33" s="109">
        <f>Manhours!$C$10</f>
        <v>2.5</v>
      </c>
      <c r="H33" s="110">
        <f t="shared" ref="H33:H45" si="18">+G33*$H$4</f>
        <v>22.75</v>
      </c>
      <c r="I33" s="111">
        <f t="shared" ref="I33:I45" si="19">F33/H33</f>
        <v>0</v>
      </c>
      <c r="J33" s="111">
        <f t="shared" ref="J33:J45" si="20">+I33*$H$4</f>
        <v>0</v>
      </c>
      <c r="K33" s="110">
        <f t="shared" ref="K33:K45" si="21">IFERROR(I33-(I33*O33),0)</f>
        <v>0</v>
      </c>
      <c r="L33" s="110">
        <f t="shared" ref="L33:L45" si="22">IFERROR(J33-(J33*O33),0)</f>
        <v>0</v>
      </c>
      <c r="M33" s="180">
        <f t="shared" ref="M33:M45" si="23">N32</f>
        <v>46314.054373626372</v>
      </c>
      <c r="N33" s="181">
        <f t="shared" ref="N33:N45" si="24">M33+K33</f>
        <v>46314.054373626372</v>
      </c>
      <c r="O33" s="112">
        <f>VLOOKUP(A33,SHIPMENTS!$A$7:$AP$76,11,0)</f>
        <v>0</v>
      </c>
      <c r="P33" s="101"/>
      <c r="Q33" s="127" t="str">
        <f t="shared" si="17"/>
        <v/>
      </c>
      <c r="R33" s="127" t="str">
        <f t="shared" si="17"/>
        <v/>
      </c>
      <c r="S33" s="127" t="str">
        <f t="shared" si="17"/>
        <v/>
      </c>
      <c r="T33" s="127" t="str">
        <f t="shared" si="17"/>
        <v/>
      </c>
      <c r="U33" s="127" t="str">
        <f t="shared" si="17"/>
        <v/>
      </c>
      <c r="V33" s="127" t="str">
        <f t="shared" si="17"/>
        <v/>
      </c>
      <c r="W33" s="127" t="str">
        <f t="shared" si="17"/>
        <v/>
      </c>
      <c r="X33" s="127" t="str">
        <f t="shared" si="17"/>
        <v/>
      </c>
      <c r="Y33" s="127" t="str">
        <f t="shared" si="17"/>
        <v>▲</v>
      </c>
      <c r="Z33" s="127" t="str">
        <f t="shared" si="17"/>
        <v/>
      </c>
      <c r="AA33" s="127" t="str">
        <f t="shared" si="17"/>
        <v/>
      </c>
      <c r="AB33" s="127" t="str">
        <f t="shared" si="17"/>
        <v/>
      </c>
      <c r="AC33" s="127" t="str">
        <f t="shared" si="17"/>
        <v/>
      </c>
      <c r="AD33" s="127" t="str">
        <f t="shared" si="17"/>
        <v/>
      </c>
      <c r="AE33" s="127" t="str">
        <f t="shared" si="17"/>
        <v/>
      </c>
      <c r="AF33" s="127" t="str">
        <f t="shared" si="17"/>
        <v/>
      </c>
      <c r="AG33" s="127" t="str">
        <f t="shared" si="16"/>
        <v/>
      </c>
      <c r="AH33" s="127" t="str">
        <f t="shared" si="16"/>
        <v/>
      </c>
      <c r="AI33" s="127" t="str">
        <f t="shared" si="16"/>
        <v/>
      </c>
      <c r="AJ33" s="127" t="str">
        <f t="shared" si="16"/>
        <v/>
      </c>
      <c r="AK33" s="127" t="str">
        <f t="shared" ref="AK33:AZ48" si="25">IF($E33=AK$3,"▲","")</f>
        <v/>
      </c>
      <c r="AL33" s="127" t="str">
        <f t="shared" si="25"/>
        <v/>
      </c>
      <c r="AM33" s="127" t="str">
        <f t="shared" si="25"/>
        <v/>
      </c>
      <c r="AN33" s="127" t="str">
        <f t="shared" si="25"/>
        <v/>
      </c>
      <c r="AO33" s="127" t="str">
        <f t="shared" si="25"/>
        <v/>
      </c>
      <c r="AP33" s="127" t="str">
        <f t="shared" si="25"/>
        <v/>
      </c>
      <c r="AQ33" s="127" t="str">
        <f t="shared" si="25"/>
        <v/>
      </c>
      <c r="AR33" s="127" t="str">
        <f t="shared" si="25"/>
        <v/>
      </c>
      <c r="AS33" s="127" t="str">
        <f t="shared" si="25"/>
        <v/>
      </c>
      <c r="AT33" s="127" t="str">
        <f t="shared" si="25"/>
        <v/>
      </c>
      <c r="AU33" s="127" t="str">
        <f t="shared" si="25"/>
        <v/>
      </c>
      <c r="AV33" s="127" t="str">
        <f t="shared" si="25"/>
        <v/>
      </c>
      <c r="AW33" s="127" t="str">
        <f t="shared" si="25"/>
        <v/>
      </c>
      <c r="AX33" s="127" t="str">
        <f t="shared" si="25"/>
        <v/>
      </c>
      <c r="AY33" s="127" t="str">
        <f t="shared" si="25"/>
        <v/>
      </c>
      <c r="AZ33" s="127" t="str">
        <f t="shared" si="25"/>
        <v/>
      </c>
      <c r="BA33" s="127" t="str">
        <f t="shared" ref="BA33:BP48" si="26">IF($E33=BA$3,"▲","")</f>
        <v/>
      </c>
      <c r="BB33" s="127" t="str">
        <f t="shared" si="26"/>
        <v/>
      </c>
      <c r="BC33" s="127" t="str">
        <f t="shared" si="26"/>
        <v/>
      </c>
      <c r="BD33" s="127" t="str">
        <f t="shared" si="26"/>
        <v/>
      </c>
      <c r="BE33" s="127" t="str">
        <f t="shared" si="26"/>
        <v/>
      </c>
      <c r="BF33" s="127" t="str">
        <f t="shared" si="14"/>
        <v/>
      </c>
      <c r="BG33" s="127" t="str">
        <f t="shared" si="14"/>
        <v/>
      </c>
      <c r="BH33" s="127" t="str">
        <f t="shared" si="14"/>
        <v/>
      </c>
      <c r="BI33" s="127" t="str">
        <f t="shared" si="14"/>
        <v/>
      </c>
      <c r="BJ33" s="127" t="str">
        <f t="shared" si="14"/>
        <v/>
      </c>
      <c r="BK33" s="127" t="str">
        <f t="shared" si="14"/>
        <v/>
      </c>
      <c r="BL33" s="127" t="str">
        <f t="shared" si="14"/>
        <v/>
      </c>
      <c r="BM33" s="127" t="str">
        <f t="shared" si="14"/>
        <v/>
      </c>
      <c r="BN33" s="127" t="str">
        <f t="shared" si="14"/>
        <v/>
      </c>
      <c r="BO33" s="127" t="str">
        <f t="shared" si="14"/>
        <v/>
      </c>
      <c r="BP33" s="127" t="str">
        <f t="shared" si="14"/>
        <v/>
      </c>
      <c r="BQ33" s="127" t="str">
        <f t="shared" si="14"/>
        <v/>
      </c>
      <c r="BR33" s="127" t="str">
        <f t="shared" si="14"/>
        <v/>
      </c>
      <c r="BS33" s="127" t="str">
        <f t="shared" si="14"/>
        <v/>
      </c>
      <c r="BT33" s="127" t="str">
        <f t="shared" si="14"/>
        <v/>
      </c>
      <c r="BU33" s="127" t="str">
        <f t="shared" si="14"/>
        <v/>
      </c>
      <c r="BV33" s="127" t="str">
        <f t="shared" si="14"/>
        <v/>
      </c>
      <c r="BW33" s="127" t="str">
        <f t="shared" si="14"/>
        <v/>
      </c>
      <c r="BX33" s="127" t="str">
        <f t="shared" si="14"/>
        <v/>
      </c>
      <c r="BY33" s="127" t="str">
        <f t="shared" si="14"/>
        <v/>
      </c>
      <c r="BZ33" s="127" t="str">
        <f t="shared" si="14"/>
        <v/>
      </c>
      <c r="CA33" s="127" t="str">
        <f t="shared" si="14"/>
        <v/>
      </c>
      <c r="CB33" s="127" t="str">
        <f t="shared" si="14"/>
        <v/>
      </c>
      <c r="CC33" s="127" t="str">
        <f t="shared" si="14"/>
        <v/>
      </c>
      <c r="CD33" s="127" t="str">
        <f t="shared" si="14"/>
        <v/>
      </c>
    </row>
    <row r="34" spans="1:82" ht="12.6" hidden="1" customHeight="1" x14ac:dyDescent="0.2">
      <c r="A34" s="106">
        <f>SHIPMENTS!A40</f>
        <v>9204</v>
      </c>
      <c r="B34" s="106" t="str">
        <f>SHIPMENTS!B40</f>
        <v>2300-HONGKONG</v>
      </c>
      <c r="C34" s="132">
        <f>SHIPMENTS!F40</f>
        <v>3.1</v>
      </c>
      <c r="D34" s="107" t="str">
        <f>IF((SHIPMENTS!I40)=0,"",SHIPMENTS!I40)</f>
        <v/>
      </c>
      <c r="E34" s="176">
        <f>IF((SHIPMENTS!G40)=0,"",SHIPMENTS!G40)</f>
        <v>46324</v>
      </c>
      <c r="F34" s="98">
        <f>VLOOKUP(A34,load!$A$4:$U$5001,19,0)</f>
        <v>0</v>
      </c>
      <c r="G34" s="109">
        <f>Manhours!$C$10</f>
        <v>2.5</v>
      </c>
      <c r="H34" s="110">
        <f t="shared" si="18"/>
        <v>22.75</v>
      </c>
      <c r="I34" s="111">
        <f t="shared" si="19"/>
        <v>0</v>
      </c>
      <c r="J34" s="111">
        <f t="shared" si="20"/>
        <v>0</v>
      </c>
      <c r="K34" s="110">
        <f t="shared" si="21"/>
        <v>0</v>
      </c>
      <c r="L34" s="110">
        <f t="shared" si="22"/>
        <v>0</v>
      </c>
      <c r="M34" s="180">
        <f t="shared" si="23"/>
        <v>46314.054373626372</v>
      </c>
      <c r="N34" s="181">
        <f t="shared" si="24"/>
        <v>46314.054373626372</v>
      </c>
      <c r="O34" s="112" t="str">
        <f>VLOOKUP(A34,SHIPMENTS!$A$7:$AP$76,11,0)</f>
        <v>n/a</v>
      </c>
      <c r="P34" s="101"/>
      <c r="Q34" s="127" t="str">
        <f t="shared" si="17"/>
        <v/>
      </c>
      <c r="R34" s="127" t="str">
        <f t="shared" si="17"/>
        <v/>
      </c>
      <c r="S34" s="127" t="str">
        <f t="shared" si="17"/>
        <v/>
      </c>
      <c r="T34" s="127" t="str">
        <f t="shared" si="17"/>
        <v/>
      </c>
      <c r="U34" s="127" t="str">
        <f t="shared" si="17"/>
        <v/>
      </c>
      <c r="V34" s="127" t="str">
        <f t="shared" si="17"/>
        <v/>
      </c>
      <c r="W34" s="127" t="str">
        <f t="shared" si="17"/>
        <v/>
      </c>
      <c r="X34" s="127" t="str">
        <f t="shared" si="17"/>
        <v/>
      </c>
      <c r="Y34" s="127" t="str">
        <f t="shared" si="17"/>
        <v/>
      </c>
      <c r="Z34" s="127" t="str">
        <f t="shared" si="17"/>
        <v>▲</v>
      </c>
      <c r="AA34" s="127" t="str">
        <f t="shared" si="17"/>
        <v/>
      </c>
      <c r="AB34" s="127" t="str">
        <f t="shared" si="17"/>
        <v/>
      </c>
      <c r="AC34" s="127" t="str">
        <f t="shared" si="17"/>
        <v/>
      </c>
      <c r="AD34" s="127" t="str">
        <f t="shared" si="17"/>
        <v/>
      </c>
      <c r="AE34" s="127" t="str">
        <f t="shared" si="17"/>
        <v/>
      </c>
      <c r="AF34" s="127" t="str">
        <f t="shared" si="17"/>
        <v/>
      </c>
      <c r="AG34" s="127" t="str">
        <f t="shared" ref="AG34:AV49" si="27">IF($E34=AG$3,"▲","")</f>
        <v/>
      </c>
      <c r="AH34" s="127" t="str">
        <f t="shared" si="27"/>
        <v/>
      </c>
      <c r="AI34" s="127" t="str">
        <f t="shared" si="27"/>
        <v/>
      </c>
      <c r="AJ34" s="127" t="str">
        <f t="shared" si="27"/>
        <v/>
      </c>
      <c r="AK34" s="127" t="str">
        <f t="shared" si="27"/>
        <v/>
      </c>
      <c r="AL34" s="127" t="str">
        <f t="shared" si="27"/>
        <v/>
      </c>
      <c r="AM34" s="127" t="str">
        <f t="shared" si="27"/>
        <v/>
      </c>
      <c r="AN34" s="127" t="str">
        <f t="shared" si="27"/>
        <v/>
      </c>
      <c r="AO34" s="127" t="str">
        <f t="shared" si="27"/>
        <v/>
      </c>
      <c r="AP34" s="127" t="str">
        <f t="shared" si="27"/>
        <v/>
      </c>
      <c r="AQ34" s="127" t="str">
        <f t="shared" si="27"/>
        <v/>
      </c>
      <c r="AR34" s="127" t="str">
        <f t="shared" si="27"/>
        <v/>
      </c>
      <c r="AS34" s="127" t="str">
        <f t="shared" si="27"/>
        <v/>
      </c>
      <c r="AT34" s="127" t="str">
        <f t="shared" si="27"/>
        <v/>
      </c>
      <c r="AU34" s="127" t="str">
        <f t="shared" si="27"/>
        <v/>
      </c>
      <c r="AV34" s="127" t="str">
        <f t="shared" si="27"/>
        <v/>
      </c>
      <c r="AW34" s="127" t="str">
        <f t="shared" si="25"/>
        <v/>
      </c>
      <c r="AX34" s="127" t="str">
        <f t="shared" si="25"/>
        <v/>
      </c>
      <c r="AY34" s="127" t="str">
        <f t="shared" si="25"/>
        <v/>
      </c>
      <c r="AZ34" s="127" t="str">
        <f t="shared" si="25"/>
        <v/>
      </c>
      <c r="BA34" s="127" t="str">
        <f t="shared" si="26"/>
        <v/>
      </c>
      <c r="BB34" s="127" t="str">
        <f t="shared" si="26"/>
        <v/>
      </c>
      <c r="BC34" s="127" t="str">
        <f t="shared" si="26"/>
        <v/>
      </c>
      <c r="BD34" s="127" t="str">
        <f t="shared" si="26"/>
        <v/>
      </c>
      <c r="BE34" s="127" t="str">
        <f t="shared" si="26"/>
        <v/>
      </c>
      <c r="BF34" s="127" t="str">
        <f t="shared" si="26"/>
        <v/>
      </c>
      <c r="BG34" s="127" t="str">
        <f t="shared" si="26"/>
        <v/>
      </c>
      <c r="BH34" s="127" t="str">
        <f t="shared" si="26"/>
        <v/>
      </c>
      <c r="BI34" s="127" t="str">
        <f t="shared" si="26"/>
        <v/>
      </c>
      <c r="BJ34" s="127" t="str">
        <f t="shared" si="26"/>
        <v/>
      </c>
      <c r="BK34" s="127" t="str">
        <f t="shared" si="26"/>
        <v/>
      </c>
      <c r="BL34" s="127" t="str">
        <f t="shared" si="26"/>
        <v/>
      </c>
      <c r="BM34" s="127" t="str">
        <f t="shared" si="26"/>
        <v/>
      </c>
      <c r="BN34" s="127" t="str">
        <f t="shared" si="26"/>
        <v/>
      </c>
      <c r="BO34" s="127" t="str">
        <f t="shared" si="26"/>
        <v/>
      </c>
      <c r="BP34" s="127" t="str">
        <f t="shared" si="26"/>
        <v/>
      </c>
      <c r="BQ34" s="127" t="str">
        <f t="shared" ref="BQ34:CD49" si="28">IF($E34=BQ$3,"▲","")</f>
        <v/>
      </c>
      <c r="BR34" s="127" t="str">
        <f t="shared" si="28"/>
        <v/>
      </c>
      <c r="BS34" s="127" t="str">
        <f t="shared" si="28"/>
        <v/>
      </c>
      <c r="BT34" s="127" t="str">
        <f t="shared" si="28"/>
        <v/>
      </c>
      <c r="BU34" s="127" t="str">
        <f t="shared" si="28"/>
        <v/>
      </c>
      <c r="BV34" s="127" t="str">
        <f t="shared" si="28"/>
        <v/>
      </c>
      <c r="BW34" s="127" t="str">
        <f t="shared" si="28"/>
        <v/>
      </c>
      <c r="BX34" s="127" t="str">
        <f t="shared" si="28"/>
        <v/>
      </c>
      <c r="BY34" s="127" t="str">
        <f t="shared" si="28"/>
        <v/>
      </c>
      <c r="BZ34" s="127" t="str">
        <f t="shared" si="28"/>
        <v/>
      </c>
      <c r="CA34" s="127" t="str">
        <f t="shared" si="28"/>
        <v/>
      </c>
      <c r="CB34" s="127" t="str">
        <f t="shared" si="28"/>
        <v/>
      </c>
      <c r="CC34" s="127" t="str">
        <f t="shared" si="28"/>
        <v/>
      </c>
      <c r="CD34" s="127" t="str">
        <f t="shared" si="28"/>
        <v/>
      </c>
    </row>
    <row r="35" spans="1:82" ht="12.6" hidden="1" customHeight="1" x14ac:dyDescent="0.2">
      <c r="A35" s="106">
        <f>SHIPMENTS!A41</f>
        <v>9005</v>
      </c>
      <c r="B35" s="106" t="str">
        <f>SHIPMENTS!B41</f>
        <v>28100-AUSTRIA HARVIA</v>
      </c>
      <c r="C35" s="132">
        <f>SHIPMENTS!F41</f>
        <v>44.15</v>
      </c>
      <c r="D35" s="107" t="str">
        <f>IF((SHIPMENTS!I41)=0,"",SHIPMENTS!I41)</f>
        <v>1X20</v>
      </c>
      <c r="E35" s="176">
        <f>IF((SHIPMENTS!G41)=0,"",SHIPMENTS!G41)</f>
        <v>46325</v>
      </c>
      <c r="F35" s="98">
        <f>VLOOKUP(A35,load!$A$4:$U$5001,19,0)</f>
        <v>0</v>
      </c>
      <c r="G35" s="109">
        <f>Manhours!$C$10</f>
        <v>2.5</v>
      </c>
      <c r="H35" s="110">
        <f t="shared" si="18"/>
        <v>22.75</v>
      </c>
      <c r="I35" s="111">
        <f t="shared" si="19"/>
        <v>0</v>
      </c>
      <c r="J35" s="111">
        <f t="shared" si="20"/>
        <v>0</v>
      </c>
      <c r="K35" s="110">
        <f t="shared" si="21"/>
        <v>0</v>
      </c>
      <c r="L35" s="110">
        <f t="shared" si="22"/>
        <v>0</v>
      </c>
      <c r="M35" s="180">
        <f t="shared" si="23"/>
        <v>46314.054373626372</v>
      </c>
      <c r="N35" s="181">
        <f t="shared" si="24"/>
        <v>46314.054373626372</v>
      </c>
      <c r="O35" s="112" t="str">
        <f>VLOOKUP(A35,SHIPMENTS!$A$7:$AP$76,11,0)</f>
        <v>n/a</v>
      </c>
      <c r="P35" s="101"/>
      <c r="Q35" s="127" t="str">
        <f t="shared" si="17"/>
        <v/>
      </c>
      <c r="R35" s="127" t="str">
        <f t="shared" si="17"/>
        <v/>
      </c>
      <c r="S35" s="127" t="str">
        <f t="shared" si="17"/>
        <v/>
      </c>
      <c r="T35" s="127" t="str">
        <f t="shared" si="17"/>
        <v/>
      </c>
      <c r="U35" s="127" t="str">
        <f t="shared" si="17"/>
        <v/>
      </c>
      <c r="V35" s="127" t="str">
        <f t="shared" si="17"/>
        <v/>
      </c>
      <c r="W35" s="127" t="str">
        <f t="shared" si="17"/>
        <v/>
      </c>
      <c r="X35" s="127" t="str">
        <f t="shared" si="17"/>
        <v/>
      </c>
      <c r="Y35" s="127" t="str">
        <f t="shared" si="17"/>
        <v/>
      </c>
      <c r="Z35" s="127" t="str">
        <f t="shared" si="17"/>
        <v/>
      </c>
      <c r="AA35" s="127" t="str">
        <f t="shared" si="17"/>
        <v>▲</v>
      </c>
      <c r="AB35" s="127" t="str">
        <f t="shared" si="17"/>
        <v/>
      </c>
      <c r="AC35" s="127" t="str">
        <f t="shared" si="17"/>
        <v/>
      </c>
      <c r="AD35" s="127" t="str">
        <f t="shared" si="17"/>
        <v/>
      </c>
      <c r="AE35" s="127" t="str">
        <f t="shared" si="17"/>
        <v/>
      </c>
      <c r="AF35" s="127" t="str">
        <f t="shared" si="17"/>
        <v/>
      </c>
      <c r="AG35" s="127" t="str">
        <f t="shared" si="27"/>
        <v/>
      </c>
      <c r="AH35" s="127" t="str">
        <f t="shared" si="27"/>
        <v/>
      </c>
      <c r="AI35" s="127" t="str">
        <f t="shared" si="27"/>
        <v/>
      </c>
      <c r="AJ35" s="127" t="str">
        <f t="shared" si="27"/>
        <v/>
      </c>
      <c r="AK35" s="127" t="str">
        <f t="shared" si="27"/>
        <v/>
      </c>
      <c r="AL35" s="127" t="str">
        <f t="shared" si="27"/>
        <v/>
      </c>
      <c r="AM35" s="127" t="str">
        <f t="shared" si="27"/>
        <v/>
      </c>
      <c r="AN35" s="127" t="str">
        <f t="shared" si="27"/>
        <v/>
      </c>
      <c r="AO35" s="127" t="str">
        <f t="shared" si="27"/>
        <v/>
      </c>
      <c r="AP35" s="127" t="str">
        <f t="shared" si="27"/>
        <v/>
      </c>
      <c r="AQ35" s="127" t="str">
        <f t="shared" si="27"/>
        <v/>
      </c>
      <c r="AR35" s="127" t="str">
        <f t="shared" si="27"/>
        <v/>
      </c>
      <c r="AS35" s="127" t="str">
        <f t="shared" si="27"/>
        <v/>
      </c>
      <c r="AT35" s="127" t="str">
        <f t="shared" si="27"/>
        <v/>
      </c>
      <c r="AU35" s="127" t="str">
        <f t="shared" si="27"/>
        <v/>
      </c>
      <c r="AV35" s="127" t="str">
        <f t="shared" si="27"/>
        <v/>
      </c>
      <c r="AW35" s="127" t="str">
        <f t="shared" si="25"/>
        <v/>
      </c>
      <c r="AX35" s="127" t="str">
        <f t="shared" si="25"/>
        <v/>
      </c>
      <c r="AY35" s="127" t="str">
        <f t="shared" si="25"/>
        <v/>
      </c>
      <c r="AZ35" s="127" t="str">
        <f t="shared" si="25"/>
        <v/>
      </c>
      <c r="BA35" s="127" t="str">
        <f t="shared" si="26"/>
        <v/>
      </c>
      <c r="BB35" s="127" t="str">
        <f t="shared" si="26"/>
        <v/>
      </c>
      <c r="BC35" s="127" t="str">
        <f t="shared" si="26"/>
        <v/>
      </c>
      <c r="BD35" s="127" t="str">
        <f t="shared" si="26"/>
        <v/>
      </c>
      <c r="BE35" s="127" t="str">
        <f t="shared" si="26"/>
        <v/>
      </c>
      <c r="BF35" s="127" t="str">
        <f t="shared" si="26"/>
        <v/>
      </c>
      <c r="BG35" s="127" t="str">
        <f t="shared" si="26"/>
        <v/>
      </c>
      <c r="BH35" s="127" t="str">
        <f t="shared" si="26"/>
        <v/>
      </c>
      <c r="BI35" s="127" t="str">
        <f t="shared" si="26"/>
        <v/>
      </c>
      <c r="BJ35" s="127" t="str">
        <f t="shared" si="26"/>
        <v/>
      </c>
      <c r="BK35" s="127" t="str">
        <f t="shared" si="26"/>
        <v/>
      </c>
      <c r="BL35" s="127" t="str">
        <f t="shared" si="26"/>
        <v/>
      </c>
      <c r="BM35" s="127" t="str">
        <f t="shared" si="26"/>
        <v/>
      </c>
      <c r="BN35" s="127" t="str">
        <f t="shared" si="26"/>
        <v/>
      </c>
      <c r="BO35" s="127" t="str">
        <f t="shared" si="26"/>
        <v/>
      </c>
      <c r="BP35" s="127" t="str">
        <f t="shared" si="26"/>
        <v/>
      </c>
      <c r="BQ35" s="127" t="str">
        <f t="shared" si="28"/>
        <v/>
      </c>
      <c r="BR35" s="127" t="str">
        <f t="shared" si="28"/>
        <v/>
      </c>
      <c r="BS35" s="127" t="str">
        <f t="shared" si="28"/>
        <v/>
      </c>
      <c r="BT35" s="127" t="str">
        <f t="shared" si="28"/>
        <v/>
      </c>
      <c r="BU35" s="127" t="str">
        <f t="shared" si="28"/>
        <v/>
      </c>
      <c r="BV35" s="127" t="str">
        <f t="shared" si="28"/>
        <v/>
      </c>
      <c r="BW35" s="127" t="str">
        <f t="shared" si="28"/>
        <v/>
      </c>
      <c r="BX35" s="127" t="str">
        <f t="shared" si="28"/>
        <v/>
      </c>
      <c r="BY35" s="127" t="str">
        <f t="shared" si="28"/>
        <v/>
      </c>
      <c r="BZ35" s="127" t="str">
        <f t="shared" si="28"/>
        <v/>
      </c>
      <c r="CA35" s="127" t="str">
        <f t="shared" si="28"/>
        <v/>
      </c>
      <c r="CB35" s="127" t="str">
        <f t="shared" si="28"/>
        <v/>
      </c>
      <c r="CC35" s="127" t="str">
        <f t="shared" si="28"/>
        <v/>
      </c>
      <c r="CD35" s="127" t="str">
        <f t="shared" si="28"/>
        <v/>
      </c>
    </row>
    <row r="36" spans="1:82" ht="12.6" hidden="1" customHeight="1" x14ac:dyDescent="0.2">
      <c r="A36" s="106">
        <f>SHIPMENTS!A42</f>
        <v>8952</v>
      </c>
      <c r="B36" s="106" t="str">
        <f>SHIPMENTS!B42</f>
        <v>41300-CANADA SAUNAFIN</v>
      </c>
      <c r="C36" s="132">
        <f>SHIPMENTS!F42</f>
        <v>70.45</v>
      </c>
      <c r="D36" s="107" t="str">
        <f>IF((SHIPMENTS!I42)=0,"",SHIPMENTS!I42)</f>
        <v>1x40HC</v>
      </c>
      <c r="E36" s="176">
        <f>IF((SHIPMENTS!G42)=0,"",SHIPMENTS!G42)</f>
        <v>46332</v>
      </c>
      <c r="F36" s="98">
        <f>VLOOKUP(A36,load!$A$4:$U$5001,19,0)</f>
        <v>0</v>
      </c>
      <c r="G36" s="109">
        <f>Manhours!$C$10</f>
        <v>2.5</v>
      </c>
      <c r="H36" s="110">
        <f t="shared" si="18"/>
        <v>22.75</v>
      </c>
      <c r="I36" s="111">
        <f t="shared" si="19"/>
        <v>0</v>
      </c>
      <c r="J36" s="111">
        <f t="shared" si="20"/>
        <v>0</v>
      </c>
      <c r="K36" s="110">
        <f t="shared" si="21"/>
        <v>0</v>
      </c>
      <c r="L36" s="110">
        <f t="shared" si="22"/>
        <v>0</v>
      </c>
      <c r="M36" s="180">
        <f t="shared" si="23"/>
        <v>46314.054373626372</v>
      </c>
      <c r="N36" s="181">
        <f t="shared" si="24"/>
        <v>46314.054373626372</v>
      </c>
      <c r="O36" s="112" t="str">
        <f>VLOOKUP(A36,SHIPMENTS!$A$7:$AP$76,11,0)</f>
        <v>n/a</v>
      </c>
      <c r="P36" s="101"/>
      <c r="Q36" s="127" t="str">
        <f t="shared" si="17"/>
        <v/>
      </c>
      <c r="R36" s="127" t="str">
        <f t="shared" si="17"/>
        <v/>
      </c>
      <c r="S36" s="127" t="str">
        <f t="shared" si="17"/>
        <v/>
      </c>
      <c r="T36" s="127" t="str">
        <f t="shared" si="17"/>
        <v/>
      </c>
      <c r="U36" s="127" t="str">
        <f t="shared" si="17"/>
        <v/>
      </c>
      <c r="V36" s="127" t="str">
        <f t="shared" si="17"/>
        <v/>
      </c>
      <c r="W36" s="127" t="str">
        <f t="shared" si="17"/>
        <v/>
      </c>
      <c r="X36" s="127" t="str">
        <f t="shared" si="17"/>
        <v/>
      </c>
      <c r="Y36" s="127" t="str">
        <f t="shared" si="17"/>
        <v/>
      </c>
      <c r="Z36" s="127" t="str">
        <f t="shared" si="17"/>
        <v/>
      </c>
      <c r="AA36" s="127" t="str">
        <f t="shared" si="17"/>
        <v/>
      </c>
      <c r="AB36" s="127" t="str">
        <f t="shared" si="17"/>
        <v/>
      </c>
      <c r="AC36" s="127" t="str">
        <f t="shared" si="17"/>
        <v/>
      </c>
      <c r="AD36" s="127" t="str">
        <f t="shared" si="17"/>
        <v/>
      </c>
      <c r="AE36" s="127" t="str">
        <f t="shared" si="17"/>
        <v/>
      </c>
      <c r="AF36" s="127" t="str">
        <f t="shared" si="17"/>
        <v/>
      </c>
      <c r="AG36" s="127" t="str">
        <f t="shared" si="27"/>
        <v>▲</v>
      </c>
      <c r="AH36" s="127" t="str">
        <f t="shared" si="27"/>
        <v/>
      </c>
      <c r="AI36" s="127" t="str">
        <f t="shared" si="27"/>
        <v/>
      </c>
      <c r="AJ36" s="127" t="str">
        <f t="shared" si="27"/>
        <v/>
      </c>
      <c r="AK36" s="127" t="str">
        <f t="shared" si="27"/>
        <v/>
      </c>
      <c r="AL36" s="127" t="str">
        <f t="shared" si="27"/>
        <v/>
      </c>
      <c r="AM36" s="127" t="str">
        <f t="shared" si="27"/>
        <v/>
      </c>
      <c r="AN36" s="127" t="str">
        <f t="shared" si="27"/>
        <v/>
      </c>
      <c r="AO36" s="127" t="str">
        <f t="shared" si="27"/>
        <v/>
      </c>
      <c r="AP36" s="127" t="str">
        <f t="shared" si="27"/>
        <v/>
      </c>
      <c r="AQ36" s="127" t="str">
        <f t="shared" si="27"/>
        <v/>
      </c>
      <c r="AR36" s="127" t="str">
        <f t="shared" si="27"/>
        <v/>
      </c>
      <c r="AS36" s="127" t="str">
        <f t="shared" si="27"/>
        <v/>
      </c>
      <c r="AT36" s="127" t="str">
        <f t="shared" si="27"/>
        <v/>
      </c>
      <c r="AU36" s="127" t="str">
        <f t="shared" si="27"/>
        <v/>
      </c>
      <c r="AV36" s="127" t="str">
        <f t="shared" si="27"/>
        <v/>
      </c>
      <c r="AW36" s="127" t="str">
        <f t="shared" si="25"/>
        <v/>
      </c>
      <c r="AX36" s="127" t="str">
        <f t="shared" si="25"/>
        <v/>
      </c>
      <c r="AY36" s="127" t="str">
        <f t="shared" si="25"/>
        <v/>
      </c>
      <c r="AZ36" s="127" t="str">
        <f t="shared" si="25"/>
        <v/>
      </c>
      <c r="BA36" s="127" t="str">
        <f t="shared" si="26"/>
        <v/>
      </c>
      <c r="BB36" s="127" t="str">
        <f t="shared" si="26"/>
        <v/>
      </c>
      <c r="BC36" s="127" t="str">
        <f t="shared" si="26"/>
        <v/>
      </c>
      <c r="BD36" s="127" t="str">
        <f t="shared" si="26"/>
        <v/>
      </c>
      <c r="BE36" s="127" t="str">
        <f t="shared" si="26"/>
        <v/>
      </c>
      <c r="BF36" s="127" t="str">
        <f t="shared" si="26"/>
        <v/>
      </c>
      <c r="BG36" s="127" t="str">
        <f t="shared" si="26"/>
        <v/>
      </c>
      <c r="BH36" s="127" t="str">
        <f t="shared" si="26"/>
        <v/>
      </c>
      <c r="BI36" s="127" t="str">
        <f t="shared" si="26"/>
        <v/>
      </c>
      <c r="BJ36" s="127" t="str">
        <f t="shared" si="26"/>
        <v/>
      </c>
      <c r="BK36" s="127" t="str">
        <f t="shared" si="26"/>
        <v/>
      </c>
      <c r="BL36" s="127" t="str">
        <f t="shared" si="26"/>
        <v/>
      </c>
      <c r="BM36" s="127" t="str">
        <f t="shared" si="26"/>
        <v/>
      </c>
      <c r="BN36" s="127" t="str">
        <f t="shared" si="26"/>
        <v/>
      </c>
      <c r="BO36" s="127" t="str">
        <f t="shared" si="26"/>
        <v/>
      </c>
      <c r="BP36" s="127" t="str">
        <f t="shared" si="26"/>
        <v/>
      </c>
      <c r="BQ36" s="127" t="str">
        <f t="shared" si="28"/>
        <v/>
      </c>
      <c r="BR36" s="127" t="str">
        <f t="shared" si="28"/>
        <v/>
      </c>
      <c r="BS36" s="127" t="str">
        <f t="shared" si="28"/>
        <v/>
      </c>
      <c r="BT36" s="127" t="str">
        <f t="shared" si="28"/>
        <v/>
      </c>
      <c r="BU36" s="127" t="str">
        <f t="shared" si="28"/>
        <v/>
      </c>
      <c r="BV36" s="127" t="str">
        <f t="shared" si="28"/>
        <v/>
      </c>
      <c r="BW36" s="127" t="str">
        <f t="shared" si="28"/>
        <v/>
      </c>
      <c r="BX36" s="127" t="str">
        <f t="shared" si="28"/>
        <v/>
      </c>
      <c r="BY36" s="127" t="str">
        <f t="shared" si="28"/>
        <v/>
      </c>
      <c r="BZ36" s="127" t="str">
        <f t="shared" si="28"/>
        <v/>
      </c>
      <c r="CA36" s="127" t="str">
        <f t="shared" si="28"/>
        <v/>
      </c>
      <c r="CB36" s="127" t="str">
        <f t="shared" si="28"/>
        <v/>
      </c>
      <c r="CC36" s="127" t="str">
        <f t="shared" si="28"/>
        <v/>
      </c>
      <c r="CD36" s="127" t="str">
        <f t="shared" si="28"/>
        <v/>
      </c>
    </row>
    <row r="37" spans="1:82" ht="12.6" customHeight="1" x14ac:dyDescent="0.2">
      <c r="A37" s="106">
        <f>SHIPMENTS!A43</f>
        <v>9158</v>
      </c>
      <c r="B37" s="106" t="str">
        <f>SHIPMENTS!B43</f>
        <v>43300-THAILAND</v>
      </c>
      <c r="C37" s="132">
        <f>SHIPMENTS!F43</f>
        <v>0.10299999999999999</v>
      </c>
      <c r="D37" s="107" t="str">
        <f>IF((SHIPMENTS!I43)=0,"",SHIPMENTS!I43)</f>
        <v>LCL</v>
      </c>
      <c r="E37" s="176">
        <f>IF((SHIPMENTS!G43)=0,"",SHIPMENTS!G43)</f>
        <v>46332</v>
      </c>
      <c r="F37" s="98">
        <f>VLOOKUP(A37,load!$A$4:$U$5001,19,0)</f>
        <v>0</v>
      </c>
      <c r="G37" s="109">
        <f>Manhours!$C$10</f>
        <v>2.5</v>
      </c>
      <c r="H37" s="110">
        <f t="shared" si="18"/>
        <v>22.75</v>
      </c>
      <c r="I37" s="111">
        <f t="shared" si="19"/>
        <v>0</v>
      </c>
      <c r="J37" s="111">
        <f t="shared" si="20"/>
        <v>0</v>
      </c>
      <c r="K37" s="110">
        <f t="shared" si="21"/>
        <v>0</v>
      </c>
      <c r="L37" s="110">
        <f t="shared" si="22"/>
        <v>0</v>
      </c>
      <c r="M37" s="180">
        <f t="shared" si="23"/>
        <v>46314.054373626372</v>
      </c>
      <c r="N37" s="181">
        <f t="shared" si="24"/>
        <v>46314.054373626372</v>
      </c>
      <c r="O37" s="112">
        <f>VLOOKUP(A37,SHIPMENTS!$A$7:$AP$76,11,0)</f>
        <v>1</v>
      </c>
      <c r="P37" s="101"/>
      <c r="Q37" s="127" t="str">
        <f t="shared" si="17"/>
        <v/>
      </c>
      <c r="R37" s="127" t="str">
        <f t="shared" si="17"/>
        <v/>
      </c>
      <c r="S37" s="127" t="str">
        <f t="shared" si="17"/>
        <v/>
      </c>
      <c r="T37" s="127" t="str">
        <f t="shared" si="17"/>
        <v/>
      </c>
      <c r="U37" s="127" t="str">
        <f t="shared" si="17"/>
        <v/>
      </c>
      <c r="V37" s="127" t="str">
        <f t="shared" si="17"/>
        <v/>
      </c>
      <c r="W37" s="127" t="str">
        <f t="shared" si="17"/>
        <v/>
      </c>
      <c r="X37" s="127" t="str">
        <f t="shared" si="17"/>
        <v/>
      </c>
      <c r="Y37" s="127" t="str">
        <f t="shared" si="17"/>
        <v/>
      </c>
      <c r="Z37" s="127" t="str">
        <f t="shared" si="17"/>
        <v/>
      </c>
      <c r="AA37" s="127" t="str">
        <f t="shared" si="17"/>
        <v/>
      </c>
      <c r="AB37" s="127" t="str">
        <f t="shared" si="17"/>
        <v/>
      </c>
      <c r="AC37" s="127" t="str">
        <f t="shared" si="17"/>
        <v/>
      </c>
      <c r="AD37" s="127" t="str">
        <f t="shared" si="17"/>
        <v/>
      </c>
      <c r="AE37" s="127" t="str">
        <f t="shared" si="17"/>
        <v/>
      </c>
      <c r="AF37" s="127" t="str">
        <f t="shared" si="17"/>
        <v/>
      </c>
      <c r="AG37" s="127" t="str">
        <f t="shared" si="27"/>
        <v>▲</v>
      </c>
      <c r="AH37" s="127" t="str">
        <f t="shared" si="27"/>
        <v/>
      </c>
      <c r="AI37" s="127" t="str">
        <f t="shared" si="27"/>
        <v/>
      </c>
      <c r="AJ37" s="127" t="str">
        <f t="shared" si="27"/>
        <v/>
      </c>
      <c r="AK37" s="127" t="str">
        <f t="shared" si="27"/>
        <v/>
      </c>
      <c r="AL37" s="127" t="str">
        <f t="shared" si="27"/>
        <v/>
      </c>
      <c r="AM37" s="127" t="str">
        <f t="shared" si="27"/>
        <v/>
      </c>
      <c r="AN37" s="127" t="str">
        <f t="shared" si="27"/>
        <v/>
      </c>
      <c r="AO37" s="127" t="str">
        <f t="shared" si="27"/>
        <v/>
      </c>
      <c r="AP37" s="127" t="str">
        <f t="shared" si="27"/>
        <v/>
      </c>
      <c r="AQ37" s="127" t="str">
        <f t="shared" si="27"/>
        <v/>
      </c>
      <c r="AR37" s="127" t="str">
        <f t="shared" si="27"/>
        <v/>
      </c>
      <c r="AS37" s="127" t="str">
        <f t="shared" si="27"/>
        <v/>
      </c>
      <c r="AT37" s="127" t="str">
        <f t="shared" si="27"/>
        <v/>
      </c>
      <c r="AU37" s="127" t="str">
        <f t="shared" si="27"/>
        <v/>
      </c>
      <c r="AV37" s="127" t="str">
        <f t="shared" si="27"/>
        <v/>
      </c>
      <c r="AW37" s="127" t="str">
        <f t="shared" si="25"/>
        <v/>
      </c>
      <c r="AX37" s="127" t="str">
        <f t="shared" si="25"/>
        <v/>
      </c>
      <c r="AY37" s="127" t="str">
        <f t="shared" si="25"/>
        <v/>
      </c>
      <c r="AZ37" s="127" t="str">
        <f t="shared" si="25"/>
        <v/>
      </c>
      <c r="BA37" s="127" t="str">
        <f t="shared" si="26"/>
        <v/>
      </c>
      <c r="BB37" s="127" t="str">
        <f t="shared" si="26"/>
        <v/>
      </c>
      <c r="BC37" s="127" t="str">
        <f t="shared" si="26"/>
        <v/>
      </c>
      <c r="BD37" s="127" t="str">
        <f t="shared" si="26"/>
        <v/>
      </c>
      <c r="BE37" s="127" t="str">
        <f t="shared" si="26"/>
        <v/>
      </c>
      <c r="BF37" s="127" t="str">
        <f t="shared" si="26"/>
        <v/>
      </c>
      <c r="BG37" s="127" t="str">
        <f t="shared" si="26"/>
        <v/>
      </c>
      <c r="BH37" s="127" t="str">
        <f t="shared" si="26"/>
        <v/>
      </c>
      <c r="BI37" s="127" t="str">
        <f t="shared" si="26"/>
        <v/>
      </c>
      <c r="BJ37" s="127" t="str">
        <f t="shared" si="26"/>
        <v/>
      </c>
      <c r="BK37" s="127" t="str">
        <f t="shared" si="26"/>
        <v/>
      </c>
      <c r="BL37" s="127" t="str">
        <f t="shared" si="26"/>
        <v/>
      </c>
      <c r="BM37" s="127" t="str">
        <f t="shared" si="26"/>
        <v/>
      </c>
      <c r="BN37" s="127" t="str">
        <f t="shared" si="26"/>
        <v/>
      </c>
      <c r="BO37" s="127" t="str">
        <f t="shared" si="26"/>
        <v/>
      </c>
      <c r="BP37" s="127" t="str">
        <f t="shared" si="26"/>
        <v/>
      </c>
      <c r="BQ37" s="127" t="str">
        <f t="shared" si="28"/>
        <v/>
      </c>
      <c r="BR37" s="127" t="str">
        <f t="shared" si="28"/>
        <v/>
      </c>
      <c r="BS37" s="127" t="str">
        <f t="shared" si="28"/>
        <v/>
      </c>
      <c r="BT37" s="127" t="str">
        <f t="shared" si="28"/>
        <v/>
      </c>
      <c r="BU37" s="127" t="str">
        <f t="shared" si="28"/>
        <v/>
      </c>
      <c r="BV37" s="127" t="str">
        <f t="shared" si="28"/>
        <v/>
      </c>
      <c r="BW37" s="127" t="str">
        <f t="shared" si="28"/>
        <v/>
      </c>
      <c r="BX37" s="127" t="str">
        <f t="shared" si="28"/>
        <v/>
      </c>
      <c r="BY37" s="127" t="str">
        <f t="shared" si="28"/>
        <v/>
      </c>
      <c r="BZ37" s="127" t="str">
        <f t="shared" si="28"/>
        <v/>
      </c>
      <c r="CA37" s="127" t="str">
        <f t="shared" si="28"/>
        <v/>
      </c>
      <c r="CB37" s="127" t="str">
        <f t="shared" si="28"/>
        <v/>
      </c>
      <c r="CC37" s="127" t="str">
        <f t="shared" si="28"/>
        <v/>
      </c>
      <c r="CD37" s="127" t="str">
        <f t="shared" si="28"/>
        <v/>
      </c>
    </row>
    <row r="38" spans="1:82" ht="12.6" customHeight="1" x14ac:dyDescent="0.2">
      <c r="A38" s="106">
        <f>SHIPMENTS!A44</f>
        <v>8814</v>
      </c>
      <c r="B38" s="106" t="str">
        <f>SHIPMENTS!B44</f>
        <v>27200-UAE</v>
      </c>
      <c r="C38" s="132">
        <f>SHIPMENTS!F44</f>
        <v>0.06</v>
      </c>
      <c r="D38" s="107" t="str">
        <f>IF((SHIPMENTS!I44)=0,"",SHIPMENTS!I44)</f>
        <v>LCL</v>
      </c>
      <c r="E38" s="176">
        <f>IF((SHIPMENTS!G44)=0,"",SHIPMENTS!G44)</f>
        <v>46332</v>
      </c>
      <c r="F38" s="98">
        <f>VLOOKUP(A38,load!$A$4:$U$5001,19,0)</f>
        <v>0</v>
      </c>
      <c r="G38" s="109">
        <f>Manhours!$C$10</f>
        <v>2.5</v>
      </c>
      <c r="H38" s="110">
        <f t="shared" si="18"/>
        <v>22.75</v>
      </c>
      <c r="I38" s="111">
        <f t="shared" si="19"/>
        <v>0</v>
      </c>
      <c r="J38" s="111">
        <f t="shared" si="20"/>
        <v>0</v>
      </c>
      <c r="K38" s="110">
        <f t="shared" si="21"/>
        <v>0</v>
      </c>
      <c r="L38" s="110">
        <f t="shared" si="22"/>
        <v>0</v>
      </c>
      <c r="M38" s="180">
        <f t="shared" si="23"/>
        <v>46314.054373626372</v>
      </c>
      <c r="N38" s="181">
        <f t="shared" si="24"/>
        <v>46314.054373626372</v>
      </c>
      <c r="O38" s="112">
        <f>VLOOKUP(A38,SHIPMENTS!$A$7:$AP$76,11,0)</f>
        <v>0</v>
      </c>
      <c r="P38" s="101"/>
      <c r="Q38" s="127" t="str">
        <f t="shared" si="17"/>
        <v/>
      </c>
      <c r="R38" s="127" t="str">
        <f t="shared" si="17"/>
        <v/>
      </c>
      <c r="S38" s="127" t="str">
        <f t="shared" si="17"/>
        <v/>
      </c>
      <c r="T38" s="127" t="str">
        <f t="shared" si="17"/>
        <v/>
      </c>
      <c r="U38" s="127" t="str">
        <f t="shared" si="17"/>
        <v/>
      </c>
      <c r="V38" s="127" t="str">
        <f t="shared" si="17"/>
        <v/>
      </c>
      <c r="W38" s="127" t="str">
        <f t="shared" si="17"/>
        <v/>
      </c>
      <c r="X38" s="127" t="str">
        <f t="shared" si="17"/>
        <v/>
      </c>
      <c r="Y38" s="127" t="str">
        <f t="shared" si="17"/>
        <v/>
      </c>
      <c r="Z38" s="127" t="str">
        <f t="shared" si="17"/>
        <v/>
      </c>
      <c r="AA38" s="127" t="str">
        <f t="shared" si="17"/>
        <v/>
      </c>
      <c r="AB38" s="127" t="str">
        <f t="shared" si="17"/>
        <v/>
      </c>
      <c r="AC38" s="127" t="str">
        <f t="shared" si="17"/>
        <v/>
      </c>
      <c r="AD38" s="127" t="str">
        <f t="shared" si="17"/>
        <v/>
      </c>
      <c r="AE38" s="127" t="str">
        <f t="shared" si="17"/>
        <v/>
      </c>
      <c r="AF38" s="127" t="str">
        <f t="shared" si="17"/>
        <v/>
      </c>
      <c r="AG38" s="127" t="str">
        <f t="shared" si="27"/>
        <v>▲</v>
      </c>
      <c r="AH38" s="127" t="str">
        <f t="shared" si="27"/>
        <v/>
      </c>
      <c r="AI38" s="127" t="str">
        <f t="shared" si="27"/>
        <v/>
      </c>
      <c r="AJ38" s="127" t="str">
        <f t="shared" si="27"/>
        <v/>
      </c>
      <c r="AK38" s="127" t="str">
        <f t="shared" si="27"/>
        <v/>
      </c>
      <c r="AL38" s="127" t="str">
        <f t="shared" si="27"/>
        <v/>
      </c>
      <c r="AM38" s="127" t="str">
        <f t="shared" si="27"/>
        <v/>
      </c>
      <c r="AN38" s="127" t="str">
        <f t="shared" si="27"/>
        <v/>
      </c>
      <c r="AO38" s="127" t="str">
        <f t="shared" si="27"/>
        <v/>
      </c>
      <c r="AP38" s="127" t="str">
        <f t="shared" si="27"/>
        <v/>
      </c>
      <c r="AQ38" s="127" t="str">
        <f t="shared" si="27"/>
        <v/>
      </c>
      <c r="AR38" s="127" t="str">
        <f t="shared" si="27"/>
        <v/>
      </c>
      <c r="AS38" s="127" t="str">
        <f t="shared" si="27"/>
        <v/>
      </c>
      <c r="AT38" s="127" t="str">
        <f t="shared" si="27"/>
        <v/>
      </c>
      <c r="AU38" s="127" t="str">
        <f t="shared" si="27"/>
        <v/>
      </c>
      <c r="AV38" s="127" t="str">
        <f t="shared" si="27"/>
        <v/>
      </c>
      <c r="AW38" s="127" t="str">
        <f t="shared" si="25"/>
        <v/>
      </c>
      <c r="AX38" s="127" t="str">
        <f t="shared" si="25"/>
        <v/>
      </c>
      <c r="AY38" s="127" t="str">
        <f t="shared" si="25"/>
        <v/>
      </c>
      <c r="AZ38" s="127" t="str">
        <f t="shared" si="25"/>
        <v/>
      </c>
      <c r="BA38" s="127" t="str">
        <f t="shared" si="26"/>
        <v/>
      </c>
      <c r="BB38" s="127" t="str">
        <f t="shared" si="26"/>
        <v/>
      </c>
      <c r="BC38" s="127" t="str">
        <f t="shared" si="26"/>
        <v/>
      </c>
      <c r="BD38" s="127" t="str">
        <f t="shared" si="26"/>
        <v/>
      </c>
      <c r="BE38" s="127" t="str">
        <f t="shared" si="26"/>
        <v/>
      </c>
      <c r="BF38" s="127" t="str">
        <f t="shared" si="26"/>
        <v/>
      </c>
      <c r="BG38" s="127" t="str">
        <f t="shared" si="26"/>
        <v/>
      </c>
      <c r="BH38" s="127" t="str">
        <f t="shared" si="26"/>
        <v/>
      </c>
      <c r="BI38" s="127" t="str">
        <f t="shared" si="26"/>
        <v/>
      </c>
      <c r="BJ38" s="127" t="str">
        <f t="shared" si="26"/>
        <v/>
      </c>
      <c r="BK38" s="127" t="str">
        <f t="shared" si="26"/>
        <v/>
      </c>
      <c r="BL38" s="127" t="str">
        <f t="shared" si="26"/>
        <v/>
      </c>
      <c r="BM38" s="127" t="str">
        <f t="shared" si="26"/>
        <v/>
      </c>
      <c r="BN38" s="127" t="str">
        <f t="shared" si="26"/>
        <v/>
      </c>
      <c r="BO38" s="127" t="str">
        <f t="shared" si="26"/>
        <v/>
      </c>
      <c r="BP38" s="127" t="str">
        <f t="shared" si="26"/>
        <v/>
      </c>
      <c r="BQ38" s="127" t="str">
        <f t="shared" si="28"/>
        <v/>
      </c>
      <c r="BR38" s="127" t="str">
        <f t="shared" si="28"/>
        <v/>
      </c>
      <c r="BS38" s="127" t="str">
        <f t="shared" si="28"/>
        <v/>
      </c>
      <c r="BT38" s="127" t="str">
        <f t="shared" si="28"/>
        <v/>
      </c>
      <c r="BU38" s="127" t="str">
        <f t="shared" si="28"/>
        <v/>
      </c>
      <c r="BV38" s="127" t="str">
        <f t="shared" si="28"/>
        <v/>
      </c>
      <c r="BW38" s="127" t="str">
        <f t="shared" si="28"/>
        <v/>
      </c>
      <c r="BX38" s="127" t="str">
        <f t="shared" si="28"/>
        <v/>
      </c>
      <c r="BY38" s="127" t="str">
        <f t="shared" si="28"/>
        <v/>
      </c>
      <c r="BZ38" s="127" t="str">
        <f t="shared" si="28"/>
        <v/>
      </c>
      <c r="CA38" s="127" t="str">
        <f t="shared" si="28"/>
        <v/>
      </c>
      <c r="CB38" s="127" t="str">
        <f t="shared" si="28"/>
        <v/>
      </c>
      <c r="CC38" s="127" t="str">
        <f t="shared" si="28"/>
        <v/>
      </c>
      <c r="CD38" s="127" t="str">
        <f t="shared" si="28"/>
        <v/>
      </c>
    </row>
    <row r="39" spans="1:82" ht="12.6" customHeight="1" x14ac:dyDescent="0.2">
      <c r="A39" s="106">
        <f>SHIPMENTS!A45</f>
        <v>9143</v>
      </c>
      <c r="B39" s="106" t="str">
        <f>SHIPMENTS!B45</f>
        <v>43301-THAILAND</v>
      </c>
      <c r="C39" s="132">
        <f>SHIPMENTS!F45</f>
        <v>4.75</v>
      </c>
      <c r="D39" s="107" t="str">
        <f>IF((SHIPMENTS!I45)=0,"",SHIPMENTS!I45)</f>
        <v>1x20</v>
      </c>
      <c r="E39" s="176">
        <f>IF((SHIPMENTS!G45)=0,"",SHIPMENTS!G45)</f>
        <v>46332</v>
      </c>
      <c r="F39" s="98">
        <f>VLOOKUP(A39,load!$A$4:$U$5001,19,0)</f>
        <v>0</v>
      </c>
      <c r="G39" s="109">
        <f>Manhours!$C$10</f>
        <v>2.5</v>
      </c>
      <c r="H39" s="110">
        <f t="shared" si="18"/>
        <v>22.75</v>
      </c>
      <c r="I39" s="111">
        <f t="shared" si="19"/>
        <v>0</v>
      </c>
      <c r="J39" s="111">
        <f t="shared" si="20"/>
        <v>0</v>
      </c>
      <c r="K39" s="110">
        <f t="shared" si="21"/>
        <v>0</v>
      </c>
      <c r="L39" s="110">
        <f t="shared" si="22"/>
        <v>0</v>
      </c>
      <c r="M39" s="180">
        <f t="shared" si="23"/>
        <v>46314.054373626372</v>
      </c>
      <c r="N39" s="181">
        <f t="shared" si="24"/>
        <v>46314.054373626372</v>
      </c>
      <c r="O39" s="112">
        <f>VLOOKUP(A39,SHIPMENTS!$A$7:$AP$76,11,0)</f>
        <v>1</v>
      </c>
      <c r="P39" s="101"/>
      <c r="Q39" s="127" t="str">
        <f t="shared" si="17"/>
        <v/>
      </c>
      <c r="R39" s="127" t="str">
        <f t="shared" si="17"/>
        <v/>
      </c>
      <c r="S39" s="127" t="str">
        <f t="shared" si="17"/>
        <v/>
      </c>
      <c r="T39" s="127" t="str">
        <f t="shared" si="17"/>
        <v/>
      </c>
      <c r="U39" s="127" t="str">
        <f t="shared" si="17"/>
        <v/>
      </c>
      <c r="V39" s="127" t="str">
        <f t="shared" si="17"/>
        <v/>
      </c>
      <c r="W39" s="127" t="str">
        <f t="shared" si="17"/>
        <v/>
      </c>
      <c r="X39" s="127" t="str">
        <f t="shared" si="17"/>
        <v/>
      </c>
      <c r="Y39" s="127" t="str">
        <f t="shared" si="17"/>
        <v/>
      </c>
      <c r="Z39" s="127" t="str">
        <f t="shared" si="17"/>
        <v/>
      </c>
      <c r="AA39" s="127" t="str">
        <f t="shared" si="17"/>
        <v/>
      </c>
      <c r="AB39" s="127" t="str">
        <f t="shared" si="17"/>
        <v/>
      </c>
      <c r="AC39" s="127" t="str">
        <f t="shared" si="17"/>
        <v/>
      </c>
      <c r="AD39" s="127" t="str">
        <f t="shared" si="17"/>
        <v/>
      </c>
      <c r="AE39" s="127" t="str">
        <f t="shared" si="17"/>
        <v/>
      </c>
      <c r="AF39" s="127" t="str">
        <f t="shared" ref="Q39:AF53" si="29">IF($E39=AF$3,"▲","")</f>
        <v/>
      </c>
      <c r="AG39" s="127" t="str">
        <f t="shared" si="27"/>
        <v>▲</v>
      </c>
      <c r="AH39" s="127" t="str">
        <f t="shared" si="27"/>
        <v/>
      </c>
      <c r="AI39" s="127" t="str">
        <f t="shared" si="27"/>
        <v/>
      </c>
      <c r="AJ39" s="127" t="str">
        <f t="shared" si="27"/>
        <v/>
      </c>
      <c r="AK39" s="127" t="str">
        <f t="shared" si="27"/>
        <v/>
      </c>
      <c r="AL39" s="127" t="str">
        <f t="shared" si="27"/>
        <v/>
      </c>
      <c r="AM39" s="127" t="str">
        <f t="shared" si="27"/>
        <v/>
      </c>
      <c r="AN39" s="127" t="str">
        <f t="shared" si="27"/>
        <v/>
      </c>
      <c r="AO39" s="127" t="str">
        <f t="shared" si="27"/>
        <v/>
      </c>
      <c r="AP39" s="127" t="str">
        <f t="shared" si="27"/>
        <v/>
      </c>
      <c r="AQ39" s="127" t="str">
        <f t="shared" si="27"/>
        <v/>
      </c>
      <c r="AR39" s="127" t="str">
        <f t="shared" si="27"/>
        <v/>
      </c>
      <c r="AS39" s="127" t="str">
        <f t="shared" si="27"/>
        <v/>
      </c>
      <c r="AT39" s="127" t="str">
        <f t="shared" si="27"/>
        <v/>
      </c>
      <c r="AU39" s="127" t="str">
        <f t="shared" si="27"/>
        <v/>
      </c>
      <c r="AV39" s="127" t="str">
        <f t="shared" si="27"/>
        <v/>
      </c>
      <c r="AW39" s="127" t="str">
        <f t="shared" si="25"/>
        <v/>
      </c>
      <c r="AX39" s="127" t="str">
        <f t="shared" si="25"/>
        <v/>
      </c>
      <c r="AY39" s="127" t="str">
        <f t="shared" si="25"/>
        <v/>
      </c>
      <c r="AZ39" s="127" t="str">
        <f t="shared" si="25"/>
        <v/>
      </c>
      <c r="BA39" s="127" t="str">
        <f t="shared" si="26"/>
        <v/>
      </c>
      <c r="BB39" s="127" t="str">
        <f t="shared" si="26"/>
        <v/>
      </c>
      <c r="BC39" s="127" t="str">
        <f t="shared" si="26"/>
        <v/>
      </c>
      <c r="BD39" s="127" t="str">
        <f t="shared" si="26"/>
        <v/>
      </c>
      <c r="BE39" s="127" t="str">
        <f t="shared" si="26"/>
        <v/>
      </c>
      <c r="BF39" s="127" t="str">
        <f t="shared" si="26"/>
        <v/>
      </c>
      <c r="BG39" s="127" t="str">
        <f t="shared" si="26"/>
        <v/>
      </c>
      <c r="BH39" s="127" t="str">
        <f t="shared" si="26"/>
        <v/>
      </c>
      <c r="BI39" s="127" t="str">
        <f t="shared" si="26"/>
        <v/>
      </c>
      <c r="BJ39" s="127" t="str">
        <f t="shared" si="26"/>
        <v/>
      </c>
      <c r="BK39" s="127" t="str">
        <f t="shared" si="26"/>
        <v/>
      </c>
      <c r="BL39" s="127" t="str">
        <f t="shared" si="26"/>
        <v/>
      </c>
      <c r="BM39" s="127" t="str">
        <f t="shared" si="26"/>
        <v/>
      </c>
      <c r="BN39" s="127" t="str">
        <f t="shared" si="26"/>
        <v/>
      </c>
      <c r="BO39" s="127" t="str">
        <f t="shared" si="26"/>
        <v/>
      </c>
      <c r="BP39" s="127" t="str">
        <f t="shared" si="26"/>
        <v/>
      </c>
      <c r="BQ39" s="127" t="str">
        <f t="shared" si="28"/>
        <v/>
      </c>
      <c r="BR39" s="127" t="str">
        <f t="shared" si="28"/>
        <v/>
      </c>
      <c r="BS39" s="127" t="str">
        <f t="shared" si="28"/>
        <v/>
      </c>
      <c r="BT39" s="127" t="str">
        <f t="shared" si="28"/>
        <v/>
      </c>
      <c r="BU39" s="127" t="str">
        <f t="shared" si="28"/>
        <v/>
      </c>
      <c r="BV39" s="127" t="str">
        <f t="shared" si="28"/>
        <v/>
      </c>
      <c r="BW39" s="127" t="str">
        <f t="shared" si="28"/>
        <v/>
      </c>
      <c r="BX39" s="127" t="str">
        <f t="shared" si="28"/>
        <v/>
      </c>
      <c r="BY39" s="127" t="str">
        <f t="shared" si="28"/>
        <v/>
      </c>
      <c r="BZ39" s="127" t="str">
        <f t="shared" si="28"/>
        <v/>
      </c>
      <c r="CA39" s="127" t="str">
        <f t="shared" si="28"/>
        <v/>
      </c>
      <c r="CB39" s="127" t="str">
        <f t="shared" si="28"/>
        <v/>
      </c>
      <c r="CC39" s="127" t="str">
        <f t="shared" si="28"/>
        <v/>
      </c>
      <c r="CD39" s="127" t="str">
        <f t="shared" si="28"/>
        <v/>
      </c>
    </row>
    <row r="40" spans="1:82" ht="12.6" customHeight="1" x14ac:dyDescent="0.2">
      <c r="A40" s="106">
        <f>SHIPMENTS!A46</f>
        <v>9160</v>
      </c>
      <c r="B40" s="106" t="str">
        <f>SHIPMENTS!B46</f>
        <v>51700-MAURITIUS</v>
      </c>
      <c r="C40" s="132">
        <f>SHIPMENTS!F46</f>
        <v>0.97</v>
      </c>
      <c r="D40" s="107" t="str">
        <f>IF((SHIPMENTS!I46)=0,"",SHIPMENTS!I46)</f>
        <v>1x20</v>
      </c>
      <c r="E40" s="176">
        <f>IF((SHIPMENTS!G46)=0,"",SHIPMENTS!G46)</f>
        <v>46332</v>
      </c>
      <c r="F40" s="98">
        <f>VLOOKUP(A40,load!$A$4:$U$5001,19,0)</f>
        <v>0</v>
      </c>
      <c r="G40" s="109">
        <f>Manhours!$C$10</f>
        <v>2.5</v>
      </c>
      <c r="H40" s="110">
        <f t="shared" si="18"/>
        <v>22.75</v>
      </c>
      <c r="I40" s="111">
        <f t="shared" si="19"/>
        <v>0</v>
      </c>
      <c r="J40" s="111">
        <f t="shared" si="20"/>
        <v>0</v>
      </c>
      <c r="K40" s="110">
        <f t="shared" si="21"/>
        <v>0</v>
      </c>
      <c r="L40" s="110">
        <f t="shared" si="22"/>
        <v>0</v>
      </c>
      <c r="M40" s="180">
        <f t="shared" si="23"/>
        <v>46314.054373626372</v>
      </c>
      <c r="N40" s="181">
        <f t="shared" si="24"/>
        <v>46314.054373626372</v>
      </c>
      <c r="O40" s="112">
        <f>VLOOKUP(A40,SHIPMENTS!$A$7:$AP$76,11,0)</f>
        <v>1</v>
      </c>
      <c r="P40" s="101"/>
      <c r="Q40" s="127" t="str">
        <f t="shared" si="29"/>
        <v/>
      </c>
      <c r="R40" s="127" t="str">
        <f t="shared" si="29"/>
        <v/>
      </c>
      <c r="S40" s="127" t="str">
        <f t="shared" si="29"/>
        <v/>
      </c>
      <c r="T40" s="127" t="str">
        <f t="shared" si="29"/>
        <v/>
      </c>
      <c r="U40" s="127" t="str">
        <f t="shared" si="29"/>
        <v/>
      </c>
      <c r="V40" s="127" t="str">
        <f t="shared" si="29"/>
        <v/>
      </c>
      <c r="W40" s="127" t="str">
        <f t="shared" si="29"/>
        <v/>
      </c>
      <c r="X40" s="127" t="str">
        <f t="shared" si="29"/>
        <v/>
      </c>
      <c r="Y40" s="127" t="str">
        <f t="shared" si="29"/>
        <v/>
      </c>
      <c r="Z40" s="127" t="str">
        <f t="shared" si="29"/>
        <v/>
      </c>
      <c r="AA40" s="127" t="str">
        <f t="shared" si="29"/>
        <v/>
      </c>
      <c r="AB40" s="127" t="str">
        <f t="shared" si="29"/>
        <v/>
      </c>
      <c r="AC40" s="127" t="str">
        <f t="shared" si="29"/>
        <v/>
      </c>
      <c r="AD40" s="127" t="str">
        <f t="shared" si="29"/>
        <v/>
      </c>
      <c r="AE40" s="127" t="str">
        <f t="shared" si="29"/>
        <v/>
      </c>
      <c r="AF40" s="127" t="str">
        <f t="shared" si="29"/>
        <v/>
      </c>
      <c r="AG40" s="127" t="str">
        <f t="shared" si="27"/>
        <v>▲</v>
      </c>
      <c r="AH40" s="127" t="str">
        <f t="shared" si="27"/>
        <v/>
      </c>
      <c r="AI40" s="127" t="str">
        <f t="shared" si="27"/>
        <v/>
      </c>
      <c r="AJ40" s="127" t="str">
        <f t="shared" si="27"/>
        <v/>
      </c>
      <c r="AK40" s="127" t="str">
        <f t="shared" si="27"/>
        <v/>
      </c>
      <c r="AL40" s="127" t="str">
        <f t="shared" si="27"/>
        <v/>
      </c>
      <c r="AM40" s="127" t="str">
        <f t="shared" si="27"/>
        <v/>
      </c>
      <c r="AN40" s="127" t="str">
        <f t="shared" si="27"/>
        <v/>
      </c>
      <c r="AO40" s="127" t="str">
        <f t="shared" si="27"/>
        <v/>
      </c>
      <c r="AP40" s="127" t="str">
        <f t="shared" si="27"/>
        <v/>
      </c>
      <c r="AQ40" s="127" t="str">
        <f t="shared" si="27"/>
        <v/>
      </c>
      <c r="AR40" s="127" t="str">
        <f t="shared" si="27"/>
        <v/>
      </c>
      <c r="AS40" s="127" t="str">
        <f t="shared" si="27"/>
        <v/>
      </c>
      <c r="AT40" s="127" t="str">
        <f t="shared" si="27"/>
        <v/>
      </c>
      <c r="AU40" s="127" t="str">
        <f t="shared" si="27"/>
        <v/>
      </c>
      <c r="AV40" s="127" t="str">
        <f t="shared" si="27"/>
        <v/>
      </c>
      <c r="AW40" s="127" t="str">
        <f t="shared" si="25"/>
        <v/>
      </c>
      <c r="AX40" s="127" t="str">
        <f t="shared" si="25"/>
        <v/>
      </c>
      <c r="AY40" s="127" t="str">
        <f t="shared" si="25"/>
        <v/>
      </c>
      <c r="AZ40" s="127" t="str">
        <f t="shared" si="25"/>
        <v/>
      </c>
      <c r="BA40" s="127" t="str">
        <f t="shared" si="26"/>
        <v/>
      </c>
      <c r="BB40" s="127" t="str">
        <f t="shared" si="26"/>
        <v/>
      </c>
      <c r="BC40" s="127" t="str">
        <f t="shared" si="26"/>
        <v/>
      </c>
      <c r="BD40" s="127" t="str">
        <f t="shared" si="26"/>
        <v/>
      </c>
      <c r="BE40" s="127" t="str">
        <f t="shared" si="26"/>
        <v/>
      </c>
      <c r="BF40" s="127" t="str">
        <f t="shared" si="26"/>
        <v/>
      </c>
      <c r="BG40" s="127" t="str">
        <f t="shared" si="26"/>
        <v/>
      </c>
      <c r="BH40" s="127" t="str">
        <f t="shared" si="26"/>
        <v/>
      </c>
      <c r="BI40" s="127" t="str">
        <f t="shared" si="26"/>
        <v/>
      </c>
      <c r="BJ40" s="127" t="str">
        <f t="shared" si="26"/>
        <v/>
      </c>
      <c r="BK40" s="127" t="str">
        <f t="shared" si="26"/>
        <v/>
      </c>
      <c r="BL40" s="127" t="str">
        <f t="shared" si="26"/>
        <v/>
      </c>
      <c r="BM40" s="127" t="str">
        <f t="shared" si="26"/>
        <v/>
      </c>
      <c r="BN40" s="127" t="str">
        <f t="shared" si="26"/>
        <v/>
      </c>
      <c r="BO40" s="127" t="str">
        <f t="shared" si="26"/>
        <v/>
      </c>
      <c r="BP40" s="127" t="str">
        <f t="shared" si="26"/>
        <v/>
      </c>
      <c r="BQ40" s="127" t="str">
        <f t="shared" si="28"/>
        <v/>
      </c>
      <c r="BR40" s="127" t="str">
        <f t="shared" si="28"/>
        <v/>
      </c>
      <c r="BS40" s="127" t="str">
        <f t="shared" si="28"/>
        <v/>
      </c>
      <c r="BT40" s="127" t="str">
        <f t="shared" si="28"/>
        <v/>
      </c>
      <c r="BU40" s="127" t="str">
        <f t="shared" si="28"/>
        <v/>
      </c>
      <c r="BV40" s="127" t="str">
        <f t="shared" si="28"/>
        <v/>
      </c>
      <c r="BW40" s="127" t="str">
        <f t="shared" si="28"/>
        <v/>
      </c>
      <c r="BX40" s="127" t="str">
        <f t="shared" si="28"/>
        <v/>
      </c>
      <c r="BY40" s="127" t="str">
        <f t="shared" si="28"/>
        <v/>
      </c>
      <c r="BZ40" s="127" t="str">
        <f t="shared" si="28"/>
        <v/>
      </c>
      <c r="CA40" s="127" t="str">
        <f t="shared" si="28"/>
        <v/>
      </c>
      <c r="CB40" s="127" t="str">
        <f t="shared" si="28"/>
        <v/>
      </c>
      <c r="CC40" s="127" t="str">
        <f t="shared" si="28"/>
        <v/>
      </c>
      <c r="CD40" s="127" t="str">
        <f t="shared" si="28"/>
        <v/>
      </c>
    </row>
    <row r="41" spans="1:82" ht="12.6" hidden="1" customHeight="1" x14ac:dyDescent="0.2">
      <c r="A41" s="106">
        <f>SHIPMENTS!A47</f>
        <v>9164</v>
      </c>
      <c r="B41" s="106" t="str">
        <f>SHIPMENTS!B47</f>
        <v>1500-SAWO SAUNA EUROPE BV BACKLOG</v>
      </c>
      <c r="C41" s="132">
        <f>SHIPMENTS!F47</f>
        <v>100.97952000000001</v>
      </c>
      <c r="D41" s="107" t="str">
        <f>IF((SHIPMENTS!I47)=0,"",SHIPMENTS!I47)</f>
        <v>1X40HC</v>
      </c>
      <c r="E41" s="176">
        <f>IF((SHIPMENTS!G47)=0,"",SHIPMENTS!G47)</f>
        <v>46339</v>
      </c>
      <c r="F41" s="98">
        <f>VLOOKUP(A41,load!$A$4:$U$5001,19,0)</f>
        <v>0</v>
      </c>
      <c r="G41" s="109">
        <f>Manhours!$C$10</f>
        <v>2.5</v>
      </c>
      <c r="H41" s="110">
        <f t="shared" si="18"/>
        <v>22.75</v>
      </c>
      <c r="I41" s="111">
        <f t="shared" si="19"/>
        <v>0</v>
      </c>
      <c r="J41" s="111">
        <f t="shared" si="20"/>
        <v>0</v>
      </c>
      <c r="K41" s="110">
        <f t="shared" si="21"/>
        <v>0</v>
      </c>
      <c r="L41" s="110">
        <f t="shared" si="22"/>
        <v>0</v>
      </c>
      <c r="M41" s="180">
        <f t="shared" si="23"/>
        <v>46314.054373626372</v>
      </c>
      <c r="N41" s="181">
        <f t="shared" si="24"/>
        <v>46314.054373626372</v>
      </c>
      <c r="O41" s="112">
        <f>VLOOKUP(A41,SHIPMENTS!$A$7:$AP$76,11,0)</f>
        <v>1</v>
      </c>
      <c r="P41" s="101"/>
      <c r="Q41" s="127" t="str">
        <f t="shared" si="29"/>
        <v/>
      </c>
      <c r="R41" s="127" t="str">
        <f t="shared" si="29"/>
        <v/>
      </c>
      <c r="S41" s="127" t="str">
        <f t="shared" si="29"/>
        <v/>
      </c>
      <c r="T41" s="127" t="str">
        <f t="shared" si="29"/>
        <v/>
      </c>
      <c r="U41" s="127" t="str">
        <f t="shared" si="29"/>
        <v/>
      </c>
      <c r="V41" s="127" t="str">
        <f t="shared" si="29"/>
        <v/>
      </c>
      <c r="W41" s="127" t="str">
        <f t="shared" si="29"/>
        <v/>
      </c>
      <c r="X41" s="127" t="str">
        <f t="shared" si="29"/>
        <v/>
      </c>
      <c r="Y41" s="127" t="str">
        <f t="shared" si="29"/>
        <v/>
      </c>
      <c r="Z41" s="127" t="str">
        <f t="shared" si="29"/>
        <v/>
      </c>
      <c r="AA41" s="127" t="str">
        <f t="shared" si="29"/>
        <v/>
      </c>
      <c r="AB41" s="127" t="str">
        <f t="shared" si="29"/>
        <v/>
      </c>
      <c r="AC41" s="127" t="str">
        <f t="shared" si="29"/>
        <v/>
      </c>
      <c r="AD41" s="127" t="str">
        <f t="shared" si="29"/>
        <v/>
      </c>
      <c r="AE41" s="127" t="str">
        <f t="shared" si="29"/>
        <v/>
      </c>
      <c r="AF41" s="127" t="str">
        <f t="shared" si="29"/>
        <v/>
      </c>
      <c r="AG41" s="127" t="str">
        <f t="shared" si="27"/>
        <v/>
      </c>
      <c r="AH41" s="127" t="str">
        <f t="shared" si="27"/>
        <v/>
      </c>
      <c r="AI41" s="127" t="str">
        <f t="shared" si="27"/>
        <v/>
      </c>
      <c r="AJ41" s="127" t="str">
        <f t="shared" si="27"/>
        <v/>
      </c>
      <c r="AK41" s="127" t="str">
        <f t="shared" si="27"/>
        <v/>
      </c>
      <c r="AL41" s="127" t="str">
        <f t="shared" si="27"/>
        <v/>
      </c>
      <c r="AM41" s="127" t="str">
        <f t="shared" si="27"/>
        <v>▲</v>
      </c>
      <c r="AN41" s="127" t="str">
        <f t="shared" si="27"/>
        <v/>
      </c>
      <c r="AO41" s="127" t="str">
        <f t="shared" si="27"/>
        <v/>
      </c>
      <c r="AP41" s="127" t="str">
        <f t="shared" si="27"/>
        <v/>
      </c>
      <c r="AQ41" s="127" t="str">
        <f t="shared" si="27"/>
        <v/>
      </c>
      <c r="AR41" s="127" t="str">
        <f t="shared" si="27"/>
        <v/>
      </c>
      <c r="AS41" s="127" t="str">
        <f t="shared" si="27"/>
        <v/>
      </c>
      <c r="AT41" s="127" t="str">
        <f t="shared" si="27"/>
        <v/>
      </c>
      <c r="AU41" s="127" t="str">
        <f t="shared" si="27"/>
        <v/>
      </c>
      <c r="AV41" s="127" t="str">
        <f t="shared" si="27"/>
        <v/>
      </c>
      <c r="AW41" s="127" t="str">
        <f t="shared" si="25"/>
        <v/>
      </c>
      <c r="AX41" s="127" t="str">
        <f t="shared" si="25"/>
        <v/>
      </c>
      <c r="AY41" s="127" t="str">
        <f t="shared" si="25"/>
        <v/>
      </c>
      <c r="AZ41" s="127" t="str">
        <f t="shared" si="25"/>
        <v/>
      </c>
      <c r="BA41" s="127" t="str">
        <f t="shared" si="26"/>
        <v/>
      </c>
      <c r="BB41" s="127" t="str">
        <f t="shared" si="26"/>
        <v/>
      </c>
      <c r="BC41" s="127" t="str">
        <f t="shared" si="26"/>
        <v/>
      </c>
      <c r="BD41" s="127" t="str">
        <f t="shared" si="26"/>
        <v/>
      </c>
      <c r="BE41" s="127" t="str">
        <f t="shared" si="26"/>
        <v/>
      </c>
      <c r="BF41" s="127" t="str">
        <f t="shared" si="26"/>
        <v/>
      </c>
      <c r="BG41" s="127" t="str">
        <f t="shared" si="26"/>
        <v/>
      </c>
      <c r="BH41" s="127" t="str">
        <f t="shared" si="26"/>
        <v/>
      </c>
      <c r="BI41" s="127" t="str">
        <f t="shared" si="26"/>
        <v/>
      </c>
      <c r="BJ41" s="127" t="str">
        <f t="shared" si="26"/>
        <v/>
      </c>
      <c r="BK41" s="127" t="str">
        <f t="shared" si="26"/>
        <v/>
      </c>
      <c r="BL41" s="127" t="str">
        <f t="shared" si="26"/>
        <v/>
      </c>
      <c r="BM41" s="127" t="str">
        <f t="shared" si="26"/>
        <v/>
      </c>
      <c r="BN41" s="127" t="str">
        <f t="shared" si="26"/>
        <v/>
      </c>
      <c r="BO41" s="127" t="str">
        <f t="shared" si="26"/>
        <v/>
      </c>
      <c r="BP41" s="127" t="str">
        <f t="shared" si="26"/>
        <v/>
      </c>
      <c r="BQ41" s="127" t="str">
        <f t="shared" si="28"/>
        <v/>
      </c>
      <c r="BR41" s="127" t="str">
        <f t="shared" si="28"/>
        <v/>
      </c>
      <c r="BS41" s="127" t="str">
        <f t="shared" si="28"/>
        <v/>
      </c>
      <c r="BT41" s="127" t="str">
        <f t="shared" si="28"/>
        <v/>
      </c>
      <c r="BU41" s="127" t="str">
        <f t="shared" si="28"/>
        <v/>
      </c>
      <c r="BV41" s="127" t="str">
        <f t="shared" si="28"/>
        <v/>
      </c>
      <c r="BW41" s="127" t="str">
        <f t="shared" si="28"/>
        <v/>
      </c>
      <c r="BX41" s="127" t="str">
        <f t="shared" si="28"/>
        <v/>
      </c>
      <c r="BY41" s="127" t="str">
        <f t="shared" si="28"/>
        <v/>
      </c>
      <c r="BZ41" s="127" t="str">
        <f t="shared" si="28"/>
        <v/>
      </c>
      <c r="CA41" s="127" t="str">
        <f t="shared" si="28"/>
        <v/>
      </c>
      <c r="CB41" s="127" t="str">
        <f t="shared" si="28"/>
        <v/>
      </c>
      <c r="CC41" s="127" t="str">
        <f t="shared" si="28"/>
        <v/>
      </c>
      <c r="CD41" s="127" t="str">
        <f t="shared" si="28"/>
        <v/>
      </c>
    </row>
    <row r="42" spans="1:82" ht="12.6" hidden="1" customHeight="1" x14ac:dyDescent="0.2">
      <c r="A42" s="106">
        <f>SHIPMENTS!A48</f>
        <v>9288</v>
      </c>
      <c r="B42" s="106" t="str">
        <f>SHIPMENTS!B48</f>
        <v>12100-HOLLAND HALU</v>
      </c>
      <c r="C42" s="132">
        <f>SHIPMENTS!F48</f>
        <v>0</v>
      </c>
      <c r="D42" s="107" t="str">
        <f>IF((SHIPMENTS!I48)=0,"",SHIPMENTS!I48)</f>
        <v/>
      </c>
      <c r="E42" s="176">
        <f>IF((SHIPMENTS!G48)=0,"",SHIPMENTS!G48)</f>
        <v>46339</v>
      </c>
      <c r="F42" s="98">
        <f>VLOOKUP(A42,load!$A$4:$U$5001,19,0)</f>
        <v>0</v>
      </c>
      <c r="G42" s="109">
        <f>Manhours!$C$10</f>
        <v>2.5</v>
      </c>
      <c r="H42" s="110">
        <f t="shared" si="18"/>
        <v>22.75</v>
      </c>
      <c r="I42" s="111">
        <f t="shared" si="19"/>
        <v>0</v>
      </c>
      <c r="J42" s="111">
        <f t="shared" si="20"/>
        <v>0</v>
      </c>
      <c r="K42" s="110">
        <f t="shared" si="21"/>
        <v>0</v>
      </c>
      <c r="L42" s="110">
        <f t="shared" si="22"/>
        <v>0</v>
      </c>
      <c r="M42" s="180">
        <f t="shared" si="23"/>
        <v>46314.054373626372</v>
      </c>
      <c r="N42" s="181">
        <f t="shared" si="24"/>
        <v>46314.054373626372</v>
      </c>
      <c r="O42" s="112" t="str">
        <f>VLOOKUP(A42,SHIPMENTS!$A$7:$AP$76,11,0)</f>
        <v>n/a</v>
      </c>
      <c r="P42" s="101"/>
      <c r="Q42" s="127" t="str">
        <f t="shared" si="29"/>
        <v/>
      </c>
      <c r="R42" s="127" t="str">
        <f t="shared" si="29"/>
        <v/>
      </c>
      <c r="S42" s="127" t="str">
        <f t="shared" si="29"/>
        <v/>
      </c>
      <c r="T42" s="127" t="str">
        <f t="shared" si="29"/>
        <v/>
      </c>
      <c r="U42" s="127" t="str">
        <f t="shared" si="29"/>
        <v/>
      </c>
      <c r="V42" s="127" t="str">
        <f t="shared" si="29"/>
        <v/>
      </c>
      <c r="W42" s="127" t="str">
        <f t="shared" si="29"/>
        <v/>
      </c>
      <c r="X42" s="127" t="str">
        <f t="shared" si="29"/>
        <v/>
      </c>
      <c r="Y42" s="127" t="str">
        <f t="shared" si="29"/>
        <v/>
      </c>
      <c r="Z42" s="127" t="str">
        <f t="shared" si="29"/>
        <v/>
      </c>
      <c r="AA42" s="127" t="str">
        <f t="shared" si="29"/>
        <v/>
      </c>
      <c r="AB42" s="127" t="str">
        <f t="shared" si="29"/>
        <v/>
      </c>
      <c r="AC42" s="127" t="str">
        <f t="shared" si="29"/>
        <v/>
      </c>
      <c r="AD42" s="127" t="str">
        <f t="shared" si="29"/>
        <v/>
      </c>
      <c r="AE42" s="127" t="str">
        <f t="shared" si="29"/>
        <v/>
      </c>
      <c r="AF42" s="127" t="str">
        <f t="shared" si="29"/>
        <v/>
      </c>
      <c r="AG42" s="127" t="str">
        <f t="shared" si="27"/>
        <v/>
      </c>
      <c r="AH42" s="127" t="str">
        <f t="shared" si="27"/>
        <v/>
      </c>
      <c r="AI42" s="127" t="str">
        <f t="shared" si="27"/>
        <v/>
      </c>
      <c r="AJ42" s="127" t="str">
        <f t="shared" si="27"/>
        <v/>
      </c>
      <c r="AK42" s="127" t="str">
        <f t="shared" si="27"/>
        <v/>
      </c>
      <c r="AL42" s="127" t="str">
        <f t="shared" si="27"/>
        <v/>
      </c>
      <c r="AM42" s="127" t="str">
        <f t="shared" si="27"/>
        <v>▲</v>
      </c>
      <c r="AN42" s="127" t="str">
        <f t="shared" si="27"/>
        <v/>
      </c>
      <c r="AO42" s="127" t="str">
        <f t="shared" si="27"/>
        <v/>
      </c>
      <c r="AP42" s="127" t="str">
        <f t="shared" si="27"/>
        <v/>
      </c>
      <c r="AQ42" s="127" t="str">
        <f t="shared" si="27"/>
        <v/>
      </c>
      <c r="AR42" s="127" t="str">
        <f t="shared" si="27"/>
        <v/>
      </c>
      <c r="AS42" s="127" t="str">
        <f t="shared" si="27"/>
        <v/>
      </c>
      <c r="AT42" s="127" t="str">
        <f t="shared" si="27"/>
        <v/>
      </c>
      <c r="AU42" s="127" t="str">
        <f t="shared" si="27"/>
        <v/>
      </c>
      <c r="AV42" s="127" t="str">
        <f t="shared" si="27"/>
        <v/>
      </c>
      <c r="AW42" s="127" t="str">
        <f t="shared" si="25"/>
        <v/>
      </c>
      <c r="AX42" s="127" t="str">
        <f t="shared" si="25"/>
        <v/>
      </c>
      <c r="AY42" s="127" t="str">
        <f t="shared" si="25"/>
        <v/>
      </c>
      <c r="AZ42" s="127" t="str">
        <f t="shared" si="25"/>
        <v/>
      </c>
      <c r="BA42" s="127" t="str">
        <f t="shared" si="26"/>
        <v/>
      </c>
      <c r="BB42" s="127" t="str">
        <f t="shared" si="26"/>
        <v/>
      </c>
      <c r="BC42" s="127" t="str">
        <f t="shared" si="26"/>
        <v/>
      </c>
      <c r="BD42" s="127" t="str">
        <f t="shared" si="26"/>
        <v/>
      </c>
      <c r="BE42" s="127" t="str">
        <f t="shared" si="26"/>
        <v/>
      </c>
      <c r="BF42" s="127" t="str">
        <f t="shared" si="26"/>
        <v/>
      </c>
      <c r="BG42" s="127" t="str">
        <f t="shared" si="26"/>
        <v/>
      </c>
      <c r="BH42" s="127" t="str">
        <f t="shared" si="26"/>
        <v/>
      </c>
      <c r="BI42" s="127" t="str">
        <f t="shared" si="26"/>
        <v/>
      </c>
      <c r="BJ42" s="127" t="str">
        <f t="shared" si="26"/>
        <v/>
      </c>
      <c r="BK42" s="127" t="str">
        <f t="shared" si="26"/>
        <v/>
      </c>
      <c r="BL42" s="127" t="str">
        <f t="shared" si="26"/>
        <v/>
      </c>
      <c r="BM42" s="127" t="str">
        <f t="shared" si="26"/>
        <v/>
      </c>
      <c r="BN42" s="127" t="str">
        <f t="shared" si="26"/>
        <v/>
      </c>
      <c r="BO42" s="127" t="str">
        <f t="shared" si="26"/>
        <v/>
      </c>
      <c r="BP42" s="127" t="str">
        <f t="shared" si="26"/>
        <v/>
      </c>
      <c r="BQ42" s="127" t="str">
        <f t="shared" si="28"/>
        <v/>
      </c>
      <c r="BR42" s="127" t="str">
        <f t="shared" si="28"/>
        <v/>
      </c>
      <c r="BS42" s="127" t="str">
        <f t="shared" si="28"/>
        <v/>
      </c>
      <c r="BT42" s="127" t="str">
        <f t="shared" si="28"/>
        <v/>
      </c>
      <c r="BU42" s="127" t="str">
        <f t="shared" si="28"/>
        <v/>
      </c>
      <c r="BV42" s="127" t="str">
        <f t="shared" si="28"/>
        <v/>
      </c>
      <c r="BW42" s="127" t="str">
        <f t="shared" si="28"/>
        <v/>
      </c>
      <c r="BX42" s="127" t="str">
        <f t="shared" si="28"/>
        <v/>
      </c>
      <c r="BY42" s="127" t="str">
        <f t="shared" si="28"/>
        <v/>
      </c>
      <c r="BZ42" s="127" t="str">
        <f t="shared" si="28"/>
        <v/>
      </c>
      <c r="CA42" s="127" t="str">
        <f t="shared" si="28"/>
        <v/>
      </c>
      <c r="CB42" s="127" t="str">
        <f t="shared" si="28"/>
        <v/>
      </c>
      <c r="CC42" s="127" t="str">
        <f t="shared" si="28"/>
        <v/>
      </c>
      <c r="CD42" s="127" t="str">
        <f t="shared" si="28"/>
        <v/>
      </c>
    </row>
    <row r="43" spans="1:82" ht="12.6" customHeight="1" x14ac:dyDescent="0.2">
      <c r="A43" s="106" t="str">
        <f>SHIPMENTS!A49</f>
        <v>SSE BACKLOG</v>
      </c>
      <c r="B43" s="106" t="str">
        <f>SHIPMENTS!B49</f>
        <v>11500-SAWO SAUNA EUROPE BV</v>
      </c>
      <c r="C43" s="132">
        <f>SHIPMENTS!F49</f>
        <v>0</v>
      </c>
      <c r="D43" s="107" t="str">
        <f>IF((SHIPMENTS!I49)=0,"",SHIPMENTS!I49)</f>
        <v/>
      </c>
      <c r="E43" s="176">
        <f>IF((SHIPMENTS!G49)=0,"",SHIPMENTS!G49)</f>
        <v>46339</v>
      </c>
      <c r="F43" s="98">
        <f>VLOOKUP(A43,load!$A$4:$U$5001,19,0)</f>
        <v>0</v>
      </c>
      <c r="G43" s="109">
        <f>Manhours!$C$10</f>
        <v>2.5</v>
      </c>
      <c r="H43" s="110">
        <f t="shared" si="18"/>
        <v>22.75</v>
      </c>
      <c r="I43" s="111">
        <f t="shared" si="19"/>
        <v>0</v>
      </c>
      <c r="J43" s="111">
        <f t="shared" si="20"/>
        <v>0</v>
      </c>
      <c r="K43" s="110">
        <f t="shared" si="21"/>
        <v>0</v>
      </c>
      <c r="L43" s="110">
        <f t="shared" si="22"/>
        <v>0</v>
      </c>
      <c r="M43" s="180">
        <f t="shared" si="23"/>
        <v>46314.054373626372</v>
      </c>
      <c r="N43" s="181">
        <f t="shared" si="24"/>
        <v>46314.054373626372</v>
      </c>
      <c r="O43" s="112">
        <f>VLOOKUP(A43,SHIPMENTS!$A$7:$AP$76,11,0)</f>
        <v>0.96</v>
      </c>
      <c r="P43" s="101"/>
      <c r="Q43" s="127" t="str">
        <f t="shared" si="29"/>
        <v/>
      </c>
      <c r="R43" s="127" t="str">
        <f t="shared" si="29"/>
        <v/>
      </c>
      <c r="S43" s="127" t="str">
        <f t="shared" si="29"/>
        <v/>
      </c>
      <c r="T43" s="127" t="str">
        <f t="shared" si="29"/>
        <v/>
      </c>
      <c r="U43" s="127" t="str">
        <f t="shared" si="29"/>
        <v/>
      </c>
      <c r="V43" s="127" t="str">
        <f t="shared" si="29"/>
        <v/>
      </c>
      <c r="W43" s="127" t="str">
        <f t="shared" si="29"/>
        <v/>
      </c>
      <c r="X43" s="127" t="str">
        <f t="shared" si="29"/>
        <v/>
      </c>
      <c r="Y43" s="127" t="str">
        <f t="shared" si="29"/>
        <v/>
      </c>
      <c r="Z43" s="127" t="str">
        <f t="shared" si="29"/>
        <v/>
      </c>
      <c r="AA43" s="127" t="str">
        <f t="shared" si="29"/>
        <v/>
      </c>
      <c r="AB43" s="127" t="str">
        <f t="shared" si="29"/>
        <v/>
      </c>
      <c r="AC43" s="127" t="str">
        <f t="shared" si="29"/>
        <v/>
      </c>
      <c r="AD43" s="127" t="str">
        <f t="shared" si="29"/>
        <v/>
      </c>
      <c r="AE43" s="127" t="str">
        <f t="shared" si="29"/>
        <v/>
      </c>
      <c r="AF43" s="127" t="str">
        <f t="shared" si="29"/>
        <v/>
      </c>
      <c r="AG43" s="127" t="str">
        <f t="shared" si="27"/>
        <v/>
      </c>
      <c r="AH43" s="127" t="str">
        <f t="shared" si="27"/>
        <v/>
      </c>
      <c r="AI43" s="127" t="str">
        <f t="shared" si="27"/>
        <v/>
      </c>
      <c r="AJ43" s="127" t="str">
        <f t="shared" si="27"/>
        <v/>
      </c>
      <c r="AK43" s="127" t="str">
        <f t="shared" si="27"/>
        <v/>
      </c>
      <c r="AL43" s="127" t="str">
        <f t="shared" si="27"/>
        <v/>
      </c>
      <c r="AM43" s="127" t="str">
        <f t="shared" si="27"/>
        <v>▲</v>
      </c>
      <c r="AN43" s="127" t="str">
        <f t="shared" si="27"/>
        <v/>
      </c>
      <c r="AO43" s="127" t="str">
        <f t="shared" si="27"/>
        <v/>
      </c>
      <c r="AP43" s="127" t="str">
        <f t="shared" si="27"/>
        <v/>
      </c>
      <c r="AQ43" s="127" t="str">
        <f t="shared" si="27"/>
        <v/>
      </c>
      <c r="AR43" s="127" t="str">
        <f t="shared" si="27"/>
        <v/>
      </c>
      <c r="AS43" s="127" t="str">
        <f t="shared" si="27"/>
        <v/>
      </c>
      <c r="AT43" s="127" t="str">
        <f t="shared" si="27"/>
        <v/>
      </c>
      <c r="AU43" s="127" t="str">
        <f t="shared" si="27"/>
        <v/>
      </c>
      <c r="AV43" s="127" t="str">
        <f t="shared" si="27"/>
        <v/>
      </c>
      <c r="AW43" s="127" t="str">
        <f t="shared" si="25"/>
        <v/>
      </c>
      <c r="AX43" s="127" t="str">
        <f t="shared" si="25"/>
        <v/>
      </c>
      <c r="AY43" s="127" t="str">
        <f t="shared" si="25"/>
        <v/>
      </c>
      <c r="AZ43" s="127" t="str">
        <f t="shared" si="25"/>
        <v/>
      </c>
      <c r="BA43" s="127" t="str">
        <f t="shared" si="26"/>
        <v/>
      </c>
      <c r="BB43" s="127" t="str">
        <f t="shared" si="26"/>
        <v/>
      </c>
      <c r="BC43" s="127" t="str">
        <f t="shared" si="26"/>
        <v/>
      </c>
      <c r="BD43" s="127" t="str">
        <f t="shared" si="26"/>
        <v/>
      </c>
      <c r="BE43" s="127" t="str">
        <f t="shared" si="26"/>
        <v/>
      </c>
      <c r="BF43" s="127" t="str">
        <f t="shared" si="26"/>
        <v/>
      </c>
      <c r="BG43" s="127" t="str">
        <f t="shared" si="26"/>
        <v/>
      </c>
      <c r="BH43" s="127" t="str">
        <f t="shared" si="26"/>
        <v/>
      </c>
      <c r="BI43" s="127" t="str">
        <f t="shared" si="26"/>
        <v/>
      </c>
      <c r="BJ43" s="127" t="str">
        <f t="shared" si="26"/>
        <v/>
      </c>
      <c r="BK43" s="127" t="str">
        <f t="shared" si="26"/>
        <v/>
      </c>
      <c r="BL43" s="127" t="str">
        <f t="shared" si="26"/>
        <v/>
      </c>
      <c r="BM43" s="127" t="str">
        <f t="shared" si="26"/>
        <v/>
      </c>
      <c r="BN43" s="127" t="str">
        <f t="shared" si="26"/>
        <v/>
      </c>
      <c r="BO43" s="127" t="str">
        <f t="shared" si="26"/>
        <v/>
      </c>
      <c r="BP43" s="127" t="str">
        <f t="shared" si="26"/>
        <v/>
      </c>
      <c r="BQ43" s="127" t="str">
        <f t="shared" si="28"/>
        <v/>
      </c>
      <c r="BR43" s="127" t="str">
        <f t="shared" si="28"/>
        <v/>
      </c>
      <c r="BS43" s="127" t="str">
        <f t="shared" si="28"/>
        <v/>
      </c>
      <c r="BT43" s="127" t="str">
        <f t="shared" si="28"/>
        <v/>
      </c>
      <c r="BU43" s="127" t="str">
        <f t="shared" si="28"/>
        <v/>
      </c>
      <c r="BV43" s="127" t="str">
        <f t="shared" si="28"/>
        <v/>
      </c>
      <c r="BW43" s="127" t="str">
        <f t="shared" si="28"/>
        <v/>
      </c>
      <c r="BX43" s="127" t="str">
        <f t="shared" si="28"/>
        <v/>
      </c>
      <c r="BY43" s="127" t="str">
        <f t="shared" si="28"/>
        <v/>
      </c>
      <c r="BZ43" s="127" t="str">
        <f t="shared" si="28"/>
        <v/>
      </c>
      <c r="CA43" s="127" t="str">
        <f t="shared" si="28"/>
        <v/>
      </c>
      <c r="CB43" s="127" t="str">
        <f t="shared" si="28"/>
        <v/>
      </c>
      <c r="CC43" s="127" t="str">
        <f t="shared" si="28"/>
        <v/>
      </c>
      <c r="CD43" s="127" t="str">
        <f t="shared" si="28"/>
        <v/>
      </c>
    </row>
    <row r="44" spans="1:82" ht="12.6" customHeight="1" x14ac:dyDescent="0.2">
      <c r="A44" s="106">
        <f>SHIPMENTS!A50</f>
        <v>9113</v>
      </c>
      <c r="B44" s="106" t="str">
        <f>SHIPMENTS!B50</f>
        <v>15900- Mandaue |Stephen Chian</v>
      </c>
      <c r="C44" s="132">
        <f>SHIPMENTS!F50</f>
        <v>0.34</v>
      </c>
      <c r="D44" s="107" t="str">
        <f>IF((SHIPMENTS!I50)=0,"",SHIPMENTS!I50)</f>
        <v/>
      </c>
      <c r="E44" s="176">
        <f>IF((SHIPMENTS!G50)=0,"",SHIPMENTS!G50)</f>
        <v>46351</v>
      </c>
      <c r="F44" s="98">
        <f>VLOOKUP(A44,load!$A$4:$U$5001,19,0)</f>
        <v>4.6833333333333331E-2</v>
      </c>
      <c r="G44" s="109">
        <f>Manhours!$C$10</f>
        <v>2.5</v>
      </c>
      <c r="H44" s="110">
        <f t="shared" si="18"/>
        <v>22.75</v>
      </c>
      <c r="I44" s="111">
        <f t="shared" si="19"/>
        <v>2.0586080586080585E-3</v>
      </c>
      <c r="J44" s="111">
        <f t="shared" si="20"/>
        <v>1.8733333333333331E-2</v>
      </c>
      <c r="K44" s="110">
        <f t="shared" si="21"/>
        <v>0</v>
      </c>
      <c r="L44" s="110">
        <f t="shared" si="22"/>
        <v>0</v>
      </c>
      <c r="M44" s="180">
        <f t="shared" si="23"/>
        <v>46314.054373626372</v>
      </c>
      <c r="N44" s="181">
        <f t="shared" si="24"/>
        <v>46314.054373626372</v>
      </c>
      <c r="O44" s="112">
        <f>VLOOKUP(A44,SHIPMENTS!$A$7:$AP$76,11,0)</f>
        <v>1</v>
      </c>
      <c r="P44" s="101"/>
      <c r="Q44" s="127" t="str">
        <f t="shared" si="29"/>
        <v/>
      </c>
      <c r="R44" s="127" t="str">
        <f t="shared" si="29"/>
        <v/>
      </c>
      <c r="S44" s="127" t="str">
        <f t="shared" si="29"/>
        <v/>
      </c>
      <c r="T44" s="127" t="str">
        <f t="shared" si="29"/>
        <v/>
      </c>
      <c r="U44" s="127" t="str">
        <f t="shared" si="29"/>
        <v/>
      </c>
      <c r="V44" s="127" t="str">
        <f t="shared" si="29"/>
        <v/>
      </c>
      <c r="W44" s="127" t="str">
        <f t="shared" si="29"/>
        <v/>
      </c>
      <c r="X44" s="127" t="str">
        <f t="shared" si="29"/>
        <v/>
      </c>
      <c r="Y44" s="127" t="str">
        <f t="shared" si="29"/>
        <v/>
      </c>
      <c r="Z44" s="127" t="str">
        <f t="shared" si="29"/>
        <v/>
      </c>
      <c r="AA44" s="127" t="str">
        <f t="shared" si="29"/>
        <v/>
      </c>
      <c r="AB44" s="127" t="str">
        <f t="shared" si="29"/>
        <v/>
      </c>
      <c r="AC44" s="127" t="str">
        <f t="shared" si="29"/>
        <v/>
      </c>
      <c r="AD44" s="127" t="str">
        <f t="shared" si="29"/>
        <v/>
      </c>
      <c r="AE44" s="127" t="str">
        <f t="shared" si="29"/>
        <v/>
      </c>
      <c r="AF44" s="127" t="str">
        <f t="shared" si="29"/>
        <v/>
      </c>
      <c r="AG44" s="127" t="str">
        <f t="shared" si="27"/>
        <v/>
      </c>
      <c r="AH44" s="127" t="str">
        <f t="shared" si="27"/>
        <v/>
      </c>
      <c r="AI44" s="127" t="str">
        <f t="shared" si="27"/>
        <v/>
      </c>
      <c r="AJ44" s="127" t="str">
        <f t="shared" si="27"/>
        <v/>
      </c>
      <c r="AK44" s="127" t="str">
        <f t="shared" si="27"/>
        <v/>
      </c>
      <c r="AL44" s="127" t="str">
        <f t="shared" si="27"/>
        <v/>
      </c>
      <c r="AM44" s="127" t="str">
        <f t="shared" si="27"/>
        <v/>
      </c>
      <c r="AN44" s="127" t="str">
        <f t="shared" si="27"/>
        <v/>
      </c>
      <c r="AO44" s="127" t="str">
        <f t="shared" si="27"/>
        <v/>
      </c>
      <c r="AP44" s="127" t="str">
        <f t="shared" si="27"/>
        <v/>
      </c>
      <c r="AQ44" s="127" t="str">
        <f t="shared" si="27"/>
        <v/>
      </c>
      <c r="AR44" s="127" t="str">
        <f t="shared" si="27"/>
        <v/>
      </c>
      <c r="AS44" s="127" t="str">
        <f t="shared" si="27"/>
        <v/>
      </c>
      <c r="AT44" s="127" t="str">
        <f t="shared" si="27"/>
        <v/>
      </c>
      <c r="AU44" s="127" t="str">
        <f t="shared" si="27"/>
        <v/>
      </c>
      <c r="AV44" s="127" t="str">
        <f t="shared" si="27"/>
        <v/>
      </c>
      <c r="AW44" s="127" t="str">
        <f t="shared" si="25"/>
        <v>▲</v>
      </c>
      <c r="AX44" s="127" t="str">
        <f t="shared" si="25"/>
        <v/>
      </c>
      <c r="AY44" s="127" t="str">
        <f t="shared" si="25"/>
        <v/>
      </c>
      <c r="AZ44" s="127" t="str">
        <f t="shared" si="25"/>
        <v/>
      </c>
      <c r="BA44" s="127" t="str">
        <f t="shared" si="26"/>
        <v/>
      </c>
      <c r="BB44" s="127" t="str">
        <f t="shared" si="26"/>
        <v/>
      </c>
      <c r="BC44" s="127" t="str">
        <f t="shared" si="26"/>
        <v/>
      </c>
      <c r="BD44" s="127" t="str">
        <f t="shared" si="26"/>
        <v/>
      </c>
      <c r="BE44" s="127" t="str">
        <f t="shared" si="26"/>
        <v/>
      </c>
      <c r="BF44" s="127" t="str">
        <f t="shared" si="26"/>
        <v/>
      </c>
      <c r="BG44" s="127" t="str">
        <f t="shared" si="26"/>
        <v/>
      </c>
      <c r="BH44" s="127" t="str">
        <f t="shared" si="26"/>
        <v/>
      </c>
      <c r="BI44" s="127" t="str">
        <f t="shared" si="26"/>
        <v/>
      </c>
      <c r="BJ44" s="127" t="str">
        <f t="shared" si="26"/>
        <v/>
      </c>
      <c r="BK44" s="127" t="str">
        <f t="shared" si="26"/>
        <v/>
      </c>
      <c r="BL44" s="127" t="str">
        <f t="shared" si="26"/>
        <v/>
      </c>
      <c r="BM44" s="127" t="str">
        <f t="shared" si="26"/>
        <v/>
      </c>
      <c r="BN44" s="127" t="str">
        <f t="shared" si="26"/>
        <v/>
      </c>
      <c r="BO44" s="127" t="str">
        <f t="shared" si="26"/>
        <v/>
      </c>
      <c r="BP44" s="127" t="str">
        <f t="shared" si="26"/>
        <v/>
      </c>
      <c r="BQ44" s="127" t="str">
        <f t="shared" si="28"/>
        <v/>
      </c>
      <c r="BR44" s="127" t="str">
        <f t="shared" si="28"/>
        <v/>
      </c>
      <c r="BS44" s="127" t="str">
        <f t="shared" si="28"/>
        <v/>
      </c>
      <c r="BT44" s="127" t="str">
        <f t="shared" si="28"/>
        <v/>
      </c>
      <c r="BU44" s="127" t="str">
        <f t="shared" si="28"/>
        <v/>
      </c>
      <c r="BV44" s="127" t="str">
        <f t="shared" si="28"/>
        <v/>
      </c>
      <c r="BW44" s="127" t="str">
        <f t="shared" si="28"/>
        <v/>
      </c>
      <c r="BX44" s="127" t="str">
        <f t="shared" si="28"/>
        <v/>
      </c>
      <c r="BY44" s="127" t="str">
        <f t="shared" si="28"/>
        <v/>
      </c>
      <c r="BZ44" s="127" t="str">
        <f t="shared" si="28"/>
        <v/>
      </c>
      <c r="CA44" s="127" t="str">
        <f t="shared" si="28"/>
        <v/>
      </c>
      <c r="CB44" s="127" t="str">
        <f t="shared" si="28"/>
        <v/>
      </c>
      <c r="CC44" s="127" t="str">
        <f t="shared" si="28"/>
        <v/>
      </c>
      <c r="CD44" s="127" t="str">
        <f t="shared" si="28"/>
        <v/>
      </c>
    </row>
    <row r="45" spans="1:82" ht="12.6" customHeight="1" x14ac:dyDescent="0.2">
      <c r="A45" s="106">
        <f>SHIPMENTS!A51</f>
        <v>8938</v>
      </c>
      <c r="B45" s="106" t="str">
        <f>SHIPMENTS!B51</f>
        <v>9600-NEW ZEALAND</v>
      </c>
      <c r="C45" s="132">
        <f>SHIPMENTS!F51</f>
        <v>36.496094285714285</v>
      </c>
      <c r="D45" s="107" t="str">
        <f>IF((SHIPMENTS!I51)=0,"",SHIPMENTS!I51)</f>
        <v>1X20</v>
      </c>
      <c r="E45" s="176" t="str">
        <f>IF((SHIPMENTS!G51)=0,"",SHIPMENTS!G51)</f>
        <v>TBA</v>
      </c>
      <c r="F45" s="98">
        <f>VLOOKUP(A45,load!$A$4:$U$5001,19,0)</f>
        <v>1.6964999999999999</v>
      </c>
      <c r="G45" s="109">
        <f>Manhours!$C$10</f>
        <v>2.5</v>
      </c>
      <c r="H45" s="110">
        <f t="shared" si="18"/>
        <v>22.75</v>
      </c>
      <c r="I45" s="111">
        <f t="shared" si="19"/>
        <v>7.4571428571428566E-2</v>
      </c>
      <c r="J45" s="111">
        <f t="shared" si="20"/>
        <v>0.67859999999999998</v>
      </c>
      <c r="K45" s="110">
        <f t="shared" si="21"/>
        <v>2.9828571428571482E-3</v>
      </c>
      <c r="L45" s="110">
        <f t="shared" si="22"/>
        <v>2.7144000000000057E-2</v>
      </c>
      <c r="M45" s="180">
        <f t="shared" si="23"/>
        <v>46314.054373626372</v>
      </c>
      <c r="N45" s="181">
        <f t="shared" si="24"/>
        <v>46314.057356483514</v>
      </c>
      <c r="O45" s="112">
        <f>VLOOKUP(A45,SHIPMENTS!$A$7:$AP$76,11,0)</f>
        <v>0.96</v>
      </c>
      <c r="P45" s="101"/>
      <c r="Q45" s="127" t="str">
        <f t="shared" si="29"/>
        <v/>
      </c>
      <c r="R45" s="127" t="str">
        <f t="shared" si="29"/>
        <v/>
      </c>
      <c r="S45" s="127" t="str">
        <f t="shared" si="29"/>
        <v/>
      </c>
      <c r="T45" s="127" t="str">
        <f t="shared" si="29"/>
        <v/>
      </c>
      <c r="U45" s="127" t="str">
        <f t="shared" si="29"/>
        <v/>
      </c>
      <c r="V45" s="127" t="str">
        <f t="shared" si="29"/>
        <v/>
      </c>
      <c r="W45" s="127" t="str">
        <f t="shared" si="29"/>
        <v/>
      </c>
      <c r="X45" s="127" t="str">
        <f t="shared" si="29"/>
        <v/>
      </c>
      <c r="Y45" s="127" t="str">
        <f t="shared" si="29"/>
        <v/>
      </c>
      <c r="Z45" s="127" t="str">
        <f t="shared" si="29"/>
        <v/>
      </c>
      <c r="AA45" s="127" t="str">
        <f t="shared" si="29"/>
        <v/>
      </c>
      <c r="AB45" s="127" t="str">
        <f t="shared" si="29"/>
        <v/>
      </c>
      <c r="AC45" s="127" t="str">
        <f t="shared" si="29"/>
        <v/>
      </c>
      <c r="AD45" s="127" t="str">
        <f t="shared" si="29"/>
        <v/>
      </c>
      <c r="AE45" s="127" t="str">
        <f t="shared" si="29"/>
        <v/>
      </c>
      <c r="AF45" s="127" t="str">
        <f t="shared" si="29"/>
        <v/>
      </c>
      <c r="AG45" s="127" t="str">
        <f t="shared" si="27"/>
        <v/>
      </c>
      <c r="AH45" s="127" t="str">
        <f t="shared" si="27"/>
        <v/>
      </c>
      <c r="AI45" s="127" t="str">
        <f t="shared" si="27"/>
        <v/>
      </c>
      <c r="AJ45" s="127" t="str">
        <f t="shared" si="27"/>
        <v/>
      </c>
      <c r="AK45" s="127" t="str">
        <f t="shared" si="27"/>
        <v/>
      </c>
      <c r="AL45" s="127" t="str">
        <f t="shared" si="27"/>
        <v/>
      </c>
      <c r="AM45" s="127" t="str">
        <f t="shared" si="27"/>
        <v/>
      </c>
      <c r="AN45" s="127" t="str">
        <f t="shared" si="27"/>
        <v/>
      </c>
      <c r="AO45" s="127" t="str">
        <f t="shared" si="27"/>
        <v/>
      </c>
      <c r="AP45" s="127" t="str">
        <f t="shared" si="27"/>
        <v/>
      </c>
      <c r="AQ45" s="127" t="str">
        <f t="shared" si="27"/>
        <v/>
      </c>
      <c r="AR45" s="127" t="str">
        <f t="shared" si="27"/>
        <v/>
      </c>
      <c r="AS45" s="127" t="str">
        <f t="shared" si="27"/>
        <v/>
      </c>
      <c r="AT45" s="127" t="str">
        <f t="shared" si="27"/>
        <v/>
      </c>
      <c r="AU45" s="127" t="str">
        <f t="shared" si="27"/>
        <v/>
      </c>
      <c r="AV45" s="127" t="str">
        <f t="shared" si="27"/>
        <v/>
      </c>
      <c r="AW45" s="127" t="str">
        <f t="shared" si="25"/>
        <v/>
      </c>
      <c r="AX45" s="127" t="str">
        <f t="shared" si="25"/>
        <v/>
      </c>
      <c r="AY45" s="127" t="str">
        <f t="shared" si="25"/>
        <v/>
      </c>
      <c r="AZ45" s="127" t="str">
        <f t="shared" si="25"/>
        <v/>
      </c>
      <c r="BA45" s="127" t="str">
        <f t="shared" si="26"/>
        <v/>
      </c>
      <c r="BB45" s="127" t="str">
        <f t="shared" si="26"/>
        <v/>
      </c>
      <c r="BC45" s="127" t="str">
        <f t="shared" si="26"/>
        <v/>
      </c>
      <c r="BD45" s="127" t="str">
        <f t="shared" si="26"/>
        <v/>
      </c>
      <c r="BE45" s="127" t="str">
        <f t="shared" si="26"/>
        <v/>
      </c>
      <c r="BF45" s="127" t="str">
        <f t="shared" si="26"/>
        <v/>
      </c>
      <c r="BG45" s="127" t="str">
        <f t="shared" si="26"/>
        <v/>
      </c>
      <c r="BH45" s="127" t="str">
        <f t="shared" si="26"/>
        <v/>
      </c>
      <c r="BI45" s="127" t="str">
        <f t="shared" si="26"/>
        <v/>
      </c>
      <c r="BJ45" s="127" t="str">
        <f t="shared" si="26"/>
        <v/>
      </c>
      <c r="BK45" s="127" t="str">
        <f t="shared" si="26"/>
        <v/>
      </c>
      <c r="BL45" s="127" t="str">
        <f t="shared" si="26"/>
        <v/>
      </c>
      <c r="BM45" s="127" t="str">
        <f t="shared" si="26"/>
        <v/>
      </c>
      <c r="BN45" s="127" t="str">
        <f t="shared" si="26"/>
        <v/>
      </c>
      <c r="BO45" s="127" t="str">
        <f t="shared" si="26"/>
        <v/>
      </c>
      <c r="BP45" s="127" t="str">
        <f t="shared" si="26"/>
        <v/>
      </c>
      <c r="BQ45" s="127" t="str">
        <f t="shared" si="28"/>
        <v/>
      </c>
      <c r="BR45" s="127" t="str">
        <f t="shared" si="28"/>
        <v/>
      </c>
      <c r="BS45" s="127" t="str">
        <f t="shared" si="28"/>
        <v/>
      </c>
      <c r="BT45" s="127" t="str">
        <f t="shared" si="28"/>
        <v/>
      </c>
      <c r="BU45" s="127" t="str">
        <f t="shared" si="28"/>
        <v/>
      </c>
      <c r="BV45" s="127" t="str">
        <f t="shared" si="28"/>
        <v/>
      </c>
      <c r="BW45" s="127" t="str">
        <f t="shared" si="28"/>
        <v/>
      </c>
      <c r="BX45" s="127" t="str">
        <f t="shared" si="28"/>
        <v/>
      </c>
      <c r="BY45" s="127" t="str">
        <f t="shared" si="28"/>
        <v/>
      </c>
      <c r="BZ45" s="127" t="str">
        <f t="shared" si="28"/>
        <v/>
      </c>
      <c r="CA45" s="127" t="str">
        <f t="shared" si="28"/>
        <v/>
      </c>
      <c r="CB45" s="127" t="str">
        <f t="shared" si="28"/>
        <v/>
      </c>
      <c r="CC45" s="127" t="str">
        <f t="shared" si="28"/>
        <v/>
      </c>
      <c r="CD45" s="127" t="str">
        <f t="shared" si="28"/>
        <v/>
      </c>
    </row>
    <row r="46" spans="1:82" ht="12.6" customHeight="1" x14ac:dyDescent="0.2">
      <c r="A46" s="106">
        <f>SHIPMENTS!A52</f>
        <v>9153</v>
      </c>
      <c r="B46" s="106" t="str">
        <f>SHIPMENTS!B52</f>
        <v>9600-NEW ZEALAND</v>
      </c>
      <c r="C46" s="132">
        <f>SHIPMENTS!F52</f>
        <v>0</v>
      </c>
      <c r="D46" s="107" t="str">
        <f>IF((SHIPMENTS!I52)=0,"",SHIPMENTS!I52)</f>
        <v/>
      </c>
      <c r="E46" s="176" t="str">
        <f>IF((SHIPMENTS!G52)=0,"",SHIPMENTS!G52)</f>
        <v>TBA</v>
      </c>
      <c r="F46" s="98">
        <f>VLOOKUP(A46,load!$A$4:$U$5001,19,0)</f>
        <v>0</v>
      </c>
      <c r="G46" s="109">
        <f>Manhours!$C$10</f>
        <v>2.5</v>
      </c>
      <c r="H46" s="110">
        <f t="shared" ref="H46:H52" si="30">+G46*$H$4</f>
        <v>22.75</v>
      </c>
      <c r="I46" s="111">
        <f t="shared" ref="I46:I52" si="31">F46/H46</f>
        <v>0</v>
      </c>
      <c r="J46" s="111">
        <f t="shared" ref="J46:J52" si="32">+I46*$H$4</f>
        <v>0</v>
      </c>
      <c r="K46" s="110">
        <f t="shared" ref="K46:K52" si="33">IFERROR(I46-(I46*O46),0)</f>
        <v>0</v>
      </c>
      <c r="L46" s="110">
        <f t="shared" ref="L46:L52" si="34">IFERROR(J46-(J46*O46),0)</f>
        <v>0</v>
      </c>
      <c r="M46" s="180">
        <f t="shared" ref="M46:M52" si="35">N45</f>
        <v>46314.057356483514</v>
      </c>
      <c r="N46" s="181">
        <f t="shared" ref="N46:N52" si="36">M46+K46</f>
        <v>46314.057356483514</v>
      </c>
      <c r="O46" s="112">
        <f>VLOOKUP(A46,SHIPMENTS!$A$7:$AP$76,11,0)</f>
        <v>0</v>
      </c>
      <c r="P46" s="101"/>
      <c r="Q46" s="127" t="str">
        <f t="shared" si="29"/>
        <v/>
      </c>
      <c r="R46" s="127" t="str">
        <f t="shared" si="29"/>
        <v/>
      </c>
      <c r="S46" s="127" t="str">
        <f t="shared" si="29"/>
        <v/>
      </c>
      <c r="T46" s="127" t="str">
        <f t="shared" si="29"/>
        <v/>
      </c>
      <c r="U46" s="127" t="str">
        <f t="shared" si="29"/>
        <v/>
      </c>
      <c r="V46" s="127" t="str">
        <f t="shared" si="29"/>
        <v/>
      </c>
      <c r="W46" s="127" t="str">
        <f t="shared" si="29"/>
        <v/>
      </c>
      <c r="X46" s="127" t="str">
        <f t="shared" si="29"/>
        <v/>
      </c>
      <c r="Y46" s="127" t="str">
        <f t="shared" si="29"/>
        <v/>
      </c>
      <c r="Z46" s="127" t="str">
        <f t="shared" si="29"/>
        <v/>
      </c>
      <c r="AA46" s="127" t="str">
        <f t="shared" si="29"/>
        <v/>
      </c>
      <c r="AB46" s="127" t="str">
        <f t="shared" si="29"/>
        <v/>
      </c>
      <c r="AC46" s="127" t="str">
        <f t="shared" si="29"/>
        <v/>
      </c>
      <c r="AD46" s="127" t="str">
        <f t="shared" si="29"/>
        <v/>
      </c>
      <c r="AE46" s="127" t="str">
        <f t="shared" si="29"/>
        <v/>
      </c>
      <c r="AF46" s="127" t="str">
        <f t="shared" si="29"/>
        <v/>
      </c>
      <c r="AG46" s="127" t="str">
        <f t="shared" si="27"/>
        <v/>
      </c>
      <c r="AH46" s="127" t="str">
        <f t="shared" si="27"/>
        <v/>
      </c>
      <c r="AI46" s="127" t="str">
        <f t="shared" si="27"/>
        <v/>
      </c>
      <c r="AJ46" s="127" t="str">
        <f t="shared" si="27"/>
        <v/>
      </c>
      <c r="AK46" s="127" t="str">
        <f t="shared" si="27"/>
        <v/>
      </c>
      <c r="AL46" s="127" t="str">
        <f t="shared" si="27"/>
        <v/>
      </c>
      <c r="AM46" s="127" t="str">
        <f t="shared" si="27"/>
        <v/>
      </c>
      <c r="AN46" s="127" t="str">
        <f t="shared" si="27"/>
        <v/>
      </c>
      <c r="AO46" s="127" t="str">
        <f t="shared" si="27"/>
        <v/>
      </c>
      <c r="AP46" s="127" t="str">
        <f t="shared" si="27"/>
        <v/>
      </c>
      <c r="AQ46" s="127" t="str">
        <f t="shared" si="27"/>
        <v/>
      </c>
      <c r="AR46" s="127" t="str">
        <f t="shared" si="27"/>
        <v/>
      </c>
      <c r="AS46" s="127" t="str">
        <f t="shared" si="27"/>
        <v/>
      </c>
      <c r="AT46" s="127" t="str">
        <f t="shared" si="27"/>
        <v/>
      </c>
      <c r="AU46" s="127" t="str">
        <f t="shared" si="27"/>
        <v/>
      </c>
      <c r="AV46" s="127" t="str">
        <f t="shared" si="27"/>
        <v/>
      </c>
      <c r="AW46" s="127" t="str">
        <f t="shared" si="25"/>
        <v/>
      </c>
      <c r="AX46" s="127" t="str">
        <f t="shared" si="25"/>
        <v/>
      </c>
      <c r="AY46" s="127" t="str">
        <f t="shared" si="25"/>
        <v/>
      </c>
      <c r="AZ46" s="127" t="str">
        <f t="shared" si="25"/>
        <v/>
      </c>
      <c r="BA46" s="127" t="str">
        <f t="shared" si="26"/>
        <v/>
      </c>
      <c r="BB46" s="127" t="str">
        <f t="shared" si="26"/>
        <v/>
      </c>
      <c r="BC46" s="127" t="str">
        <f t="shared" si="26"/>
        <v/>
      </c>
      <c r="BD46" s="127" t="str">
        <f t="shared" si="26"/>
        <v/>
      </c>
      <c r="BE46" s="127" t="str">
        <f t="shared" si="26"/>
        <v/>
      </c>
      <c r="BF46" s="127" t="str">
        <f t="shared" si="26"/>
        <v/>
      </c>
      <c r="BG46" s="127" t="str">
        <f t="shared" si="26"/>
        <v/>
      </c>
      <c r="BH46" s="127" t="str">
        <f t="shared" si="26"/>
        <v/>
      </c>
      <c r="BI46" s="127" t="str">
        <f t="shared" si="26"/>
        <v/>
      </c>
      <c r="BJ46" s="127" t="str">
        <f t="shared" si="26"/>
        <v/>
      </c>
      <c r="BK46" s="127" t="str">
        <f t="shared" si="26"/>
        <v/>
      </c>
      <c r="BL46" s="127" t="str">
        <f t="shared" si="26"/>
        <v/>
      </c>
      <c r="BM46" s="127" t="str">
        <f t="shared" si="26"/>
        <v/>
      </c>
      <c r="BN46" s="127" t="str">
        <f t="shared" si="26"/>
        <v/>
      </c>
      <c r="BO46" s="127" t="str">
        <f t="shared" si="26"/>
        <v/>
      </c>
      <c r="BP46" s="127" t="str">
        <f t="shared" si="26"/>
        <v/>
      </c>
      <c r="BQ46" s="127" t="str">
        <f t="shared" si="28"/>
        <v/>
      </c>
      <c r="BR46" s="127" t="str">
        <f t="shared" si="28"/>
        <v/>
      </c>
      <c r="BS46" s="127" t="str">
        <f t="shared" si="28"/>
        <v/>
      </c>
      <c r="BT46" s="127" t="str">
        <f t="shared" si="28"/>
        <v/>
      </c>
      <c r="BU46" s="127" t="str">
        <f t="shared" si="28"/>
        <v/>
      </c>
      <c r="BV46" s="127" t="str">
        <f t="shared" si="28"/>
        <v/>
      </c>
      <c r="BW46" s="127" t="str">
        <f t="shared" si="28"/>
        <v/>
      </c>
      <c r="BX46" s="127" t="str">
        <f t="shared" si="28"/>
        <v/>
      </c>
      <c r="BY46" s="127" t="str">
        <f t="shared" si="28"/>
        <v/>
      </c>
      <c r="BZ46" s="127" t="str">
        <f t="shared" si="28"/>
        <v/>
      </c>
      <c r="CA46" s="127" t="str">
        <f t="shared" si="28"/>
        <v/>
      </c>
      <c r="CB46" s="127" t="str">
        <f t="shared" si="28"/>
        <v/>
      </c>
      <c r="CC46" s="127" t="str">
        <f t="shared" si="28"/>
        <v/>
      </c>
      <c r="CD46" s="127" t="str">
        <f t="shared" si="28"/>
        <v/>
      </c>
    </row>
    <row r="47" spans="1:82" ht="12.6" hidden="1" customHeight="1" x14ac:dyDescent="0.2">
      <c r="A47" s="106">
        <f>SHIPMENTS!A53</f>
        <v>8294</v>
      </c>
      <c r="B47" s="106" t="str">
        <f>SHIPMENTS!B53</f>
        <v>9600-NEW ZEALAND BACKLOG</v>
      </c>
      <c r="C47" s="132">
        <f>SHIPMENTS!F53</f>
        <v>0</v>
      </c>
      <c r="D47" s="107" t="str">
        <f>IF((SHIPMENTS!I53)=0,"",SHIPMENTS!I53)</f>
        <v/>
      </c>
      <c r="E47" s="176" t="str">
        <f>IF((SHIPMENTS!G53)=0,"",SHIPMENTS!G53)</f>
        <v>TBA</v>
      </c>
      <c r="F47" s="98">
        <f>VLOOKUP(A47,load!$A$4:$U$5001,19,0)</f>
        <v>0</v>
      </c>
      <c r="G47" s="109">
        <f>Manhours!$C$10</f>
        <v>2.5</v>
      </c>
      <c r="H47" s="110">
        <f t="shared" si="30"/>
        <v>22.75</v>
      </c>
      <c r="I47" s="111">
        <f t="shared" si="31"/>
        <v>0</v>
      </c>
      <c r="J47" s="111">
        <f t="shared" si="32"/>
        <v>0</v>
      </c>
      <c r="K47" s="110">
        <f t="shared" si="33"/>
        <v>0</v>
      </c>
      <c r="L47" s="110">
        <f t="shared" si="34"/>
        <v>0</v>
      </c>
      <c r="M47" s="180">
        <f t="shared" si="35"/>
        <v>46314.057356483514</v>
      </c>
      <c r="N47" s="181">
        <f t="shared" si="36"/>
        <v>46314.057356483514</v>
      </c>
      <c r="O47" s="112" t="str">
        <f>VLOOKUP(A47,SHIPMENTS!$A$7:$AP$76,11,0)</f>
        <v>n/a</v>
      </c>
      <c r="P47" s="101"/>
      <c r="Q47" s="127" t="str">
        <f t="shared" si="29"/>
        <v/>
      </c>
      <c r="R47" s="127" t="str">
        <f t="shared" si="29"/>
        <v/>
      </c>
      <c r="S47" s="127" t="str">
        <f t="shared" si="29"/>
        <v/>
      </c>
      <c r="T47" s="127" t="str">
        <f t="shared" si="29"/>
        <v/>
      </c>
      <c r="U47" s="127" t="str">
        <f t="shared" si="29"/>
        <v/>
      </c>
      <c r="V47" s="127" t="str">
        <f t="shared" si="29"/>
        <v/>
      </c>
      <c r="W47" s="127" t="str">
        <f t="shared" si="29"/>
        <v/>
      </c>
      <c r="X47" s="127" t="str">
        <f t="shared" si="29"/>
        <v/>
      </c>
      <c r="Y47" s="127" t="str">
        <f t="shared" si="29"/>
        <v/>
      </c>
      <c r="Z47" s="127" t="str">
        <f t="shared" si="29"/>
        <v/>
      </c>
      <c r="AA47" s="127" t="str">
        <f t="shared" si="29"/>
        <v/>
      </c>
      <c r="AB47" s="127" t="str">
        <f t="shared" si="29"/>
        <v/>
      </c>
      <c r="AC47" s="127" t="str">
        <f t="shared" si="29"/>
        <v/>
      </c>
      <c r="AD47" s="127" t="str">
        <f t="shared" si="29"/>
        <v/>
      </c>
      <c r="AE47" s="127" t="str">
        <f t="shared" si="29"/>
        <v/>
      </c>
      <c r="AF47" s="127" t="str">
        <f t="shared" si="29"/>
        <v/>
      </c>
      <c r="AG47" s="127" t="str">
        <f t="shared" si="27"/>
        <v/>
      </c>
      <c r="AH47" s="127" t="str">
        <f t="shared" si="27"/>
        <v/>
      </c>
      <c r="AI47" s="127" t="str">
        <f t="shared" si="27"/>
        <v/>
      </c>
      <c r="AJ47" s="127" t="str">
        <f t="shared" si="27"/>
        <v/>
      </c>
      <c r="AK47" s="127" t="str">
        <f t="shared" si="27"/>
        <v/>
      </c>
      <c r="AL47" s="127" t="str">
        <f t="shared" si="27"/>
        <v/>
      </c>
      <c r="AM47" s="127" t="str">
        <f t="shared" si="27"/>
        <v/>
      </c>
      <c r="AN47" s="127" t="str">
        <f t="shared" si="27"/>
        <v/>
      </c>
      <c r="AO47" s="127" t="str">
        <f t="shared" si="27"/>
        <v/>
      </c>
      <c r="AP47" s="127" t="str">
        <f t="shared" si="27"/>
        <v/>
      </c>
      <c r="AQ47" s="127" t="str">
        <f t="shared" si="27"/>
        <v/>
      </c>
      <c r="AR47" s="127" t="str">
        <f t="shared" si="27"/>
        <v/>
      </c>
      <c r="AS47" s="127" t="str">
        <f t="shared" si="27"/>
        <v/>
      </c>
      <c r="AT47" s="127" t="str">
        <f t="shared" si="27"/>
        <v/>
      </c>
      <c r="AU47" s="127" t="str">
        <f t="shared" si="27"/>
        <v/>
      </c>
      <c r="AV47" s="127" t="str">
        <f t="shared" si="27"/>
        <v/>
      </c>
      <c r="AW47" s="127" t="str">
        <f t="shared" si="25"/>
        <v/>
      </c>
      <c r="AX47" s="127" t="str">
        <f t="shared" si="25"/>
        <v/>
      </c>
      <c r="AY47" s="127" t="str">
        <f t="shared" si="25"/>
        <v/>
      </c>
      <c r="AZ47" s="127" t="str">
        <f t="shared" si="25"/>
        <v/>
      </c>
      <c r="BA47" s="127" t="str">
        <f t="shared" si="26"/>
        <v/>
      </c>
      <c r="BB47" s="127" t="str">
        <f t="shared" si="26"/>
        <v/>
      </c>
      <c r="BC47" s="127" t="str">
        <f t="shared" si="26"/>
        <v/>
      </c>
      <c r="BD47" s="127" t="str">
        <f t="shared" si="26"/>
        <v/>
      </c>
      <c r="BE47" s="127" t="str">
        <f t="shared" si="26"/>
        <v/>
      </c>
      <c r="BF47" s="127" t="str">
        <f t="shared" si="26"/>
        <v/>
      </c>
      <c r="BG47" s="127" t="str">
        <f t="shared" si="26"/>
        <v/>
      </c>
      <c r="BH47" s="127" t="str">
        <f t="shared" si="26"/>
        <v/>
      </c>
      <c r="BI47" s="127" t="str">
        <f t="shared" si="26"/>
        <v/>
      </c>
      <c r="BJ47" s="127" t="str">
        <f t="shared" si="26"/>
        <v/>
      </c>
      <c r="BK47" s="127" t="str">
        <f t="shared" si="26"/>
        <v/>
      </c>
      <c r="BL47" s="127" t="str">
        <f t="shared" si="26"/>
        <v/>
      </c>
      <c r="BM47" s="127" t="str">
        <f t="shared" si="26"/>
        <v/>
      </c>
      <c r="BN47" s="127" t="str">
        <f t="shared" si="26"/>
        <v/>
      </c>
      <c r="BO47" s="127" t="str">
        <f t="shared" si="26"/>
        <v/>
      </c>
      <c r="BP47" s="127" t="str">
        <f t="shared" si="26"/>
        <v/>
      </c>
      <c r="BQ47" s="127" t="str">
        <f t="shared" si="28"/>
        <v/>
      </c>
      <c r="BR47" s="127" t="str">
        <f t="shared" si="28"/>
        <v/>
      </c>
      <c r="BS47" s="127" t="str">
        <f t="shared" si="28"/>
        <v/>
      </c>
      <c r="BT47" s="127" t="str">
        <f t="shared" si="28"/>
        <v/>
      </c>
      <c r="BU47" s="127" t="str">
        <f t="shared" si="28"/>
        <v/>
      </c>
      <c r="BV47" s="127" t="str">
        <f t="shared" si="28"/>
        <v/>
      </c>
      <c r="BW47" s="127" t="str">
        <f t="shared" si="28"/>
        <v/>
      </c>
      <c r="BX47" s="127" t="str">
        <f t="shared" si="28"/>
        <v/>
      </c>
      <c r="BY47" s="127" t="str">
        <f t="shared" si="28"/>
        <v/>
      </c>
      <c r="BZ47" s="127" t="str">
        <f t="shared" si="28"/>
        <v/>
      </c>
      <c r="CA47" s="127" t="str">
        <f t="shared" si="28"/>
        <v/>
      </c>
      <c r="CB47" s="127" t="str">
        <f t="shared" si="28"/>
        <v/>
      </c>
      <c r="CC47" s="127" t="str">
        <f t="shared" si="28"/>
        <v/>
      </c>
      <c r="CD47" s="127" t="str">
        <f t="shared" si="28"/>
        <v/>
      </c>
    </row>
    <row r="48" spans="1:82" ht="12.6" hidden="1" customHeight="1" x14ac:dyDescent="0.2">
      <c r="A48" s="106">
        <f>SHIPMENTS!A54</f>
        <v>7114</v>
      </c>
      <c r="B48" s="106" t="str">
        <f>SHIPMENTS!B54</f>
        <v>9600-NEW ZEALAND BACKLOG</v>
      </c>
      <c r="C48" s="132">
        <f>SHIPMENTS!F54</f>
        <v>0</v>
      </c>
      <c r="D48" s="107" t="str">
        <f>IF((SHIPMENTS!I54)=0,"",SHIPMENTS!I54)</f>
        <v/>
      </c>
      <c r="E48" s="176" t="str">
        <f>IF((SHIPMENTS!G54)=0,"",SHIPMENTS!G54)</f>
        <v/>
      </c>
      <c r="F48" s="98">
        <f>VLOOKUP(A48,load!$A$4:$U$5001,19,0)</f>
        <v>0</v>
      </c>
      <c r="G48" s="109">
        <f>Manhours!$C$10</f>
        <v>2.5</v>
      </c>
      <c r="H48" s="110">
        <f t="shared" si="30"/>
        <v>22.75</v>
      </c>
      <c r="I48" s="111">
        <f t="shared" si="31"/>
        <v>0</v>
      </c>
      <c r="J48" s="111">
        <f t="shared" si="32"/>
        <v>0</v>
      </c>
      <c r="K48" s="110">
        <f t="shared" si="33"/>
        <v>0</v>
      </c>
      <c r="L48" s="110">
        <f t="shared" si="34"/>
        <v>0</v>
      </c>
      <c r="M48" s="180">
        <f t="shared" si="35"/>
        <v>46314.057356483514</v>
      </c>
      <c r="N48" s="181">
        <f t="shared" si="36"/>
        <v>46314.057356483514</v>
      </c>
      <c r="O48" s="112" t="str">
        <f>VLOOKUP(A48,SHIPMENTS!$A$7:$AP$76,11,0)</f>
        <v>n/a</v>
      </c>
      <c r="P48" s="101"/>
      <c r="Q48" s="127" t="str">
        <f t="shared" si="29"/>
        <v/>
      </c>
      <c r="R48" s="127" t="str">
        <f t="shared" si="29"/>
        <v/>
      </c>
      <c r="S48" s="127" t="str">
        <f t="shared" si="29"/>
        <v/>
      </c>
      <c r="T48" s="127" t="str">
        <f t="shared" si="29"/>
        <v/>
      </c>
      <c r="U48" s="127" t="str">
        <f t="shared" si="29"/>
        <v/>
      </c>
      <c r="V48" s="127" t="str">
        <f t="shared" si="29"/>
        <v/>
      </c>
      <c r="W48" s="127" t="str">
        <f t="shared" si="29"/>
        <v/>
      </c>
      <c r="X48" s="127" t="str">
        <f t="shared" si="29"/>
        <v/>
      </c>
      <c r="Y48" s="127" t="str">
        <f t="shared" si="29"/>
        <v/>
      </c>
      <c r="Z48" s="127" t="str">
        <f t="shared" si="29"/>
        <v/>
      </c>
      <c r="AA48" s="127" t="str">
        <f t="shared" si="29"/>
        <v/>
      </c>
      <c r="AB48" s="127" t="str">
        <f t="shared" si="29"/>
        <v/>
      </c>
      <c r="AC48" s="127" t="str">
        <f t="shared" si="29"/>
        <v/>
      </c>
      <c r="AD48" s="127" t="str">
        <f t="shared" si="29"/>
        <v/>
      </c>
      <c r="AE48" s="127" t="str">
        <f t="shared" si="29"/>
        <v/>
      </c>
      <c r="AF48" s="127" t="str">
        <f t="shared" si="29"/>
        <v/>
      </c>
      <c r="AG48" s="127" t="str">
        <f t="shared" si="27"/>
        <v/>
      </c>
      <c r="AH48" s="127" t="str">
        <f t="shared" si="27"/>
        <v/>
      </c>
      <c r="AI48" s="127" t="str">
        <f t="shared" si="27"/>
        <v/>
      </c>
      <c r="AJ48" s="127" t="str">
        <f t="shared" si="27"/>
        <v/>
      </c>
      <c r="AK48" s="127" t="str">
        <f t="shared" si="27"/>
        <v/>
      </c>
      <c r="AL48" s="127" t="str">
        <f t="shared" si="27"/>
        <v/>
      </c>
      <c r="AM48" s="127" t="str">
        <f t="shared" si="27"/>
        <v/>
      </c>
      <c r="AN48" s="127" t="str">
        <f t="shared" si="27"/>
        <v/>
      </c>
      <c r="AO48" s="127" t="str">
        <f t="shared" si="27"/>
        <v/>
      </c>
      <c r="AP48" s="127" t="str">
        <f t="shared" si="27"/>
        <v/>
      </c>
      <c r="AQ48" s="127" t="str">
        <f t="shared" si="27"/>
        <v/>
      </c>
      <c r="AR48" s="127" t="str">
        <f t="shared" si="27"/>
        <v/>
      </c>
      <c r="AS48" s="127" t="str">
        <f t="shared" si="27"/>
        <v/>
      </c>
      <c r="AT48" s="127" t="str">
        <f t="shared" si="27"/>
        <v/>
      </c>
      <c r="AU48" s="127" t="str">
        <f t="shared" si="27"/>
        <v/>
      </c>
      <c r="AV48" s="127" t="str">
        <f t="shared" si="27"/>
        <v/>
      </c>
      <c r="AW48" s="127" t="str">
        <f t="shared" si="25"/>
        <v/>
      </c>
      <c r="AX48" s="127" t="str">
        <f t="shared" si="25"/>
        <v/>
      </c>
      <c r="AY48" s="127" t="str">
        <f t="shared" si="25"/>
        <v/>
      </c>
      <c r="AZ48" s="127" t="str">
        <f t="shared" si="25"/>
        <v/>
      </c>
      <c r="BA48" s="127" t="str">
        <f t="shared" si="26"/>
        <v/>
      </c>
      <c r="BB48" s="127" t="str">
        <f t="shared" si="26"/>
        <v/>
      </c>
      <c r="BC48" s="127" t="str">
        <f t="shared" si="26"/>
        <v/>
      </c>
      <c r="BD48" s="127" t="str">
        <f t="shared" si="26"/>
        <v/>
      </c>
      <c r="BE48" s="127" t="str">
        <f t="shared" si="26"/>
        <v/>
      </c>
      <c r="BF48" s="127" t="str">
        <f t="shared" si="26"/>
        <v/>
      </c>
      <c r="BG48" s="127" t="str">
        <f t="shared" si="26"/>
        <v/>
      </c>
      <c r="BH48" s="127" t="str">
        <f t="shared" si="26"/>
        <v/>
      </c>
      <c r="BI48" s="127" t="str">
        <f t="shared" si="26"/>
        <v/>
      </c>
      <c r="BJ48" s="127" t="str">
        <f t="shared" si="26"/>
        <v/>
      </c>
      <c r="BK48" s="127" t="str">
        <f t="shared" si="26"/>
        <v/>
      </c>
      <c r="BL48" s="127" t="str">
        <f t="shared" si="26"/>
        <v/>
      </c>
      <c r="BM48" s="127" t="str">
        <f t="shared" si="26"/>
        <v/>
      </c>
      <c r="BN48" s="127" t="str">
        <f t="shared" si="26"/>
        <v/>
      </c>
      <c r="BO48" s="127" t="str">
        <f t="shared" si="26"/>
        <v/>
      </c>
      <c r="BP48" s="127" t="str">
        <f t="shared" si="26"/>
        <v/>
      </c>
      <c r="BQ48" s="127" t="str">
        <f t="shared" si="28"/>
        <v/>
      </c>
      <c r="BR48" s="127" t="str">
        <f t="shared" si="28"/>
        <v/>
      </c>
      <c r="BS48" s="127" t="str">
        <f t="shared" si="28"/>
        <v/>
      </c>
      <c r="BT48" s="127" t="str">
        <f t="shared" si="28"/>
        <v/>
      </c>
      <c r="BU48" s="127" t="str">
        <f t="shared" si="28"/>
        <v/>
      </c>
      <c r="BV48" s="127" t="str">
        <f t="shared" si="28"/>
        <v/>
      </c>
      <c r="BW48" s="127" t="str">
        <f t="shared" si="28"/>
        <v/>
      </c>
      <c r="BX48" s="127" t="str">
        <f t="shared" si="28"/>
        <v/>
      </c>
      <c r="BY48" s="127" t="str">
        <f t="shared" si="28"/>
        <v/>
      </c>
      <c r="BZ48" s="127" t="str">
        <f t="shared" si="28"/>
        <v/>
      </c>
      <c r="CA48" s="127" t="str">
        <f t="shared" si="28"/>
        <v/>
      </c>
      <c r="CB48" s="127" t="str">
        <f t="shared" si="28"/>
        <v/>
      </c>
      <c r="CC48" s="127" t="str">
        <f t="shared" si="28"/>
        <v/>
      </c>
      <c r="CD48" s="127" t="str">
        <f t="shared" si="28"/>
        <v/>
      </c>
    </row>
    <row r="49" spans="1:82" ht="12.6" hidden="1" customHeight="1" x14ac:dyDescent="0.2">
      <c r="A49" s="106">
        <f>SHIPMENTS!A55</f>
        <v>6967</v>
      </c>
      <c r="B49" s="106" t="str">
        <f>SHIPMENTS!B55</f>
        <v>9600-NEW ZEALAND BACKLOG</v>
      </c>
      <c r="C49" s="132">
        <f>SHIPMENTS!F55</f>
        <v>0</v>
      </c>
      <c r="D49" s="107" t="str">
        <f>IF((SHIPMENTS!I55)=0,"",SHIPMENTS!I55)</f>
        <v/>
      </c>
      <c r="E49" s="176" t="str">
        <f>IF((SHIPMENTS!G55)=0,"",SHIPMENTS!G55)</f>
        <v/>
      </c>
      <c r="F49" s="98">
        <f>VLOOKUP(A49,load!$A$4:$U$5001,19,0)</f>
        <v>0</v>
      </c>
      <c r="G49" s="109">
        <f>Manhours!$C$10</f>
        <v>2.5</v>
      </c>
      <c r="H49" s="110">
        <f t="shared" si="30"/>
        <v>22.75</v>
      </c>
      <c r="I49" s="111">
        <f t="shared" si="31"/>
        <v>0</v>
      </c>
      <c r="J49" s="111">
        <f t="shared" si="32"/>
        <v>0</v>
      </c>
      <c r="K49" s="110">
        <f t="shared" si="33"/>
        <v>0</v>
      </c>
      <c r="L49" s="110">
        <f t="shared" si="34"/>
        <v>0</v>
      </c>
      <c r="M49" s="180">
        <f t="shared" si="35"/>
        <v>46314.057356483514</v>
      </c>
      <c r="N49" s="181">
        <f t="shared" si="36"/>
        <v>46314.057356483514</v>
      </c>
      <c r="O49" s="112" t="str">
        <f>VLOOKUP(A49,SHIPMENTS!$A$7:$AP$76,11,0)</f>
        <v>n/a</v>
      </c>
      <c r="P49" s="101"/>
      <c r="Q49" s="127" t="str">
        <f t="shared" si="29"/>
        <v/>
      </c>
      <c r="R49" s="127" t="str">
        <f t="shared" si="29"/>
        <v/>
      </c>
      <c r="S49" s="127" t="str">
        <f t="shared" si="29"/>
        <v/>
      </c>
      <c r="T49" s="127" t="str">
        <f t="shared" si="29"/>
        <v/>
      </c>
      <c r="U49" s="127" t="str">
        <f t="shared" si="29"/>
        <v/>
      </c>
      <c r="V49" s="127" t="str">
        <f t="shared" si="29"/>
        <v/>
      </c>
      <c r="W49" s="127" t="str">
        <f t="shared" si="29"/>
        <v/>
      </c>
      <c r="X49" s="127" t="str">
        <f t="shared" si="29"/>
        <v/>
      </c>
      <c r="Y49" s="127" t="str">
        <f t="shared" si="29"/>
        <v/>
      </c>
      <c r="Z49" s="127" t="str">
        <f t="shared" si="29"/>
        <v/>
      </c>
      <c r="AA49" s="127" t="str">
        <f t="shared" si="29"/>
        <v/>
      </c>
      <c r="AB49" s="127" t="str">
        <f t="shared" si="29"/>
        <v/>
      </c>
      <c r="AC49" s="127" t="str">
        <f t="shared" si="29"/>
        <v/>
      </c>
      <c r="AD49" s="127" t="str">
        <f t="shared" si="29"/>
        <v/>
      </c>
      <c r="AE49" s="127" t="str">
        <f t="shared" si="29"/>
        <v/>
      </c>
      <c r="AF49" s="127" t="str">
        <f t="shared" si="29"/>
        <v/>
      </c>
      <c r="AG49" s="127" t="str">
        <f t="shared" si="27"/>
        <v/>
      </c>
      <c r="AH49" s="127" t="str">
        <f t="shared" si="27"/>
        <v/>
      </c>
      <c r="AI49" s="127" t="str">
        <f t="shared" si="27"/>
        <v/>
      </c>
      <c r="AJ49" s="127" t="str">
        <f t="shared" si="27"/>
        <v/>
      </c>
      <c r="AK49" s="127" t="str">
        <f t="shared" si="27"/>
        <v/>
      </c>
      <c r="AL49" s="127" t="str">
        <f t="shared" si="27"/>
        <v/>
      </c>
      <c r="AM49" s="127" t="str">
        <f t="shared" si="27"/>
        <v/>
      </c>
      <c r="AN49" s="127" t="str">
        <f t="shared" si="27"/>
        <v/>
      </c>
      <c r="AO49" s="127" t="str">
        <f t="shared" si="27"/>
        <v/>
      </c>
      <c r="AP49" s="127" t="str">
        <f t="shared" si="27"/>
        <v/>
      </c>
      <c r="AQ49" s="127" t="str">
        <f t="shared" si="27"/>
        <v/>
      </c>
      <c r="AR49" s="127" t="str">
        <f t="shared" si="27"/>
        <v/>
      </c>
      <c r="AS49" s="127" t="str">
        <f t="shared" si="27"/>
        <v/>
      </c>
      <c r="AT49" s="127" t="str">
        <f t="shared" si="27"/>
        <v/>
      </c>
      <c r="AU49" s="127" t="str">
        <f t="shared" si="27"/>
        <v/>
      </c>
      <c r="AV49" s="127" t="str">
        <f t="shared" ref="AV49:BK53" si="37">IF($E49=AV$3,"▲","")</f>
        <v/>
      </c>
      <c r="AW49" s="127" t="str">
        <f t="shared" si="37"/>
        <v/>
      </c>
      <c r="AX49" s="127" t="str">
        <f t="shared" si="37"/>
        <v/>
      </c>
      <c r="AY49" s="127" t="str">
        <f t="shared" si="37"/>
        <v/>
      </c>
      <c r="AZ49" s="127" t="str">
        <f t="shared" si="37"/>
        <v/>
      </c>
      <c r="BA49" s="127" t="str">
        <f t="shared" si="37"/>
        <v/>
      </c>
      <c r="BB49" s="127" t="str">
        <f t="shared" si="37"/>
        <v/>
      </c>
      <c r="BC49" s="127" t="str">
        <f t="shared" si="37"/>
        <v/>
      </c>
      <c r="BD49" s="127" t="str">
        <f t="shared" si="37"/>
        <v/>
      </c>
      <c r="BE49" s="127" t="str">
        <f t="shared" si="37"/>
        <v/>
      </c>
      <c r="BF49" s="127" t="str">
        <f t="shared" si="37"/>
        <v/>
      </c>
      <c r="BG49" s="127" t="str">
        <f t="shared" si="37"/>
        <v/>
      </c>
      <c r="BH49" s="127" t="str">
        <f t="shared" si="37"/>
        <v/>
      </c>
      <c r="BI49" s="127" t="str">
        <f t="shared" si="37"/>
        <v/>
      </c>
      <c r="BJ49" s="127" t="str">
        <f t="shared" si="37"/>
        <v/>
      </c>
      <c r="BK49" s="127" t="str">
        <f t="shared" si="37"/>
        <v/>
      </c>
      <c r="BL49" s="127" t="str">
        <f t="shared" ref="BA49:BP53" si="38">IF($E49=BL$3,"▲","")</f>
        <v/>
      </c>
      <c r="BM49" s="127" t="str">
        <f t="shared" si="38"/>
        <v/>
      </c>
      <c r="BN49" s="127" t="str">
        <f t="shared" si="38"/>
        <v/>
      </c>
      <c r="BO49" s="127" t="str">
        <f t="shared" si="38"/>
        <v/>
      </c>
      <c r="BP49" s="127" t="str">
        <f t="shared" si="38"/>
        <v/>
      </c>
      <c r="BQ49" s="127" t="str">
        <f t="shared" si="28"/>
        <v/>
      </c>
      <c r="BR49" s="127" t="str">
        <f t="shared" si="28"/>
        <v/>
      </c>
      <c r="BS49" s="127" t="str">
        <f t="shared" si="28"/>
        <v/>
      </c>
      <c r="BT49" s="127" t="str">
        <f t="shared" si="28"/>
        <v/>
      </c>
      <c r="BU49" s="127" t="str">
        <f t="shared" si="28"/>
        <v/>
      </c>
      <c r="BV49" s="127" t="str">
        <f t="shared" si="28"/>
        <v/>
      </c>
      <c r="BW49" s="127" t="str">
        <f t="shared" si="28"/>
        <v/>
      </c>
      <c r="BX49" s="127" t="str">
        <f t="shared" si="28"/>
        <v/>
      </c>
      <c r="BY49" s="127" t="str">
        <f t="shared" si="28"/>
        <v/>
      </c>
      <c r="BZ49" s="127" t="str">
        <f t="shared" si="28"/>
        <v/>
      </c>
      <c r="CA49" s="127" t="str">
        <f t="shared" si="28"/>
        <v/>
      </c>
      <c r="CB49" s="127" t="str">
        <f t="shared" si="28"/>
        <v/>
      </c>
      <c r="CC49" s="127" t="str">
        <f t="shared" si="28"/>
        <v/>
      </c>
      <c r="CD49" s="127" t="str">
        <f t="shared" si="28"/>
        <v/>
      </c>
    </row>
    <row r="50" spans="1:82" ht="12.6" hidden="1" customHeight="1" x14ac:dyDescent="0.2">
      <c r="A50" s="106">
        <f>SHIPMENTS!A56</f>
        <v>6646</v>
      </c>
      <c r="B50" s="106" t="str">
        <f>SHIPMENTS!B56</f>
        <v>9600-NEW ZEALAND BACKLOG</v>
      </c>
      <c r="C50" s="132">
        <f>SHIPMENTS!F56</f>
        <v>0</v>
      </c>
      <c r="D50" s="107" t="str">
        <f>IF((SHIPMENTS!I56)=0,"",SHIPMENTS!I56)</f>
        <v/>
      </c>
      <c r="E50" s="176" t="str">
        <f>IF((SHIPMENTS!G56)=0,"",SHIPMENTS!G56)</f>
        <v/>
      </c>
      <c r="F50" s="98">
        <f>VLOOKUP(A50,load!$A$4:$U$5001,19,0)</f>
        <v>0</v>
      </c>
      <c r="G50" s="109">
        <f>Manhours!$C$10</f>
        <v>2.5</v>
      </c>
      <c r="H50" s="110">
        <f t="shared" si="30"/>
        <v>22.75</v>
      </c>
      <c r="I50" s="111">
        <f t="shared" si="31"/>
        <v>0</v>
      </c>
      <c r="J50" s="111">
        <f t="shared" si="32"/>
        <v>0</v>
      </c>
      <c r="K50" s="110">
        <f t="shared" si="33"/>
        <v>0</v>
      </c>
      <c r="L50" s="110">
        <f t="shared" si="34"/>
        <v>0</v>
      </c>
      <c r="M50" s="180">
        <f t="shared" si="35"/>
        <v>46314.057356483514</v>
      </c>
      <c r="N50" s="181">
        <f t="shared" si="36"/>
        <v>46314.057356483514</v>
      </c>
      <c r="O50" s="112" t="str">
        <f>VLOOKUP(A50,SHIPMENTS!$A$7:$AP$76,11,0)</f>
        <v>n/a</v>
      </c>
      <c r="P50" s="101"/>
      <c r="Q50" s="127" t="str">
        <f t="shared" si="29"/>
        <v/>
      </c>
      <c r="R50" s="127" t="str">
        <f t="shared" si="29"/>
        <v/>
      </c>
      <c r="S50" s="127" t="str">
        <f t="shared" si="29"/>
        <v/>
      </c>
      <c r="T50" s="127" t="str">
        <f t="shared" si="29"/>
        <v/>
      </c>
      <c r="U50" s="127" t="str">
        <f t="shared" si="29"/>
        <v/>
      </c>
      <c r="V50" s="127" t="str">
        <f t="shared" si="29"/>
        <v/>
      </c>
      <c r="W50" s="127" t="str">
        <f t="shared" si="29"/>
        <v/>
      </c>
      <c r="X50" s="127" t="str">
        <f t="shared" si="29"/>
        <v/>
      </c>
      <c r="Y50" s="127" t="str">
        <f t="shared" si="29"/>
        <v/>
      </c>
      <c r="Z50" s="127" t="str">
        <f t="shared" si="29"/>
        <v/>
      </c>
      <c r="AA50" s="127" t="str">
        <f t="shared" si="29"/>
        <v/>
      </c>
      <c r="AB50" s="127" t="str">
        <f t="shared" si="29"/>
        <v/>
      </c>
      <c r="AC50" s="127" t="str">
        <f t="shared" si="29"/>
        <v/>
      </c>
      <c r="AD50" s="127" t="str">
        <f t="shared" si="29"/>
        <v/>
      </c>
      <c r="AE50" s="127" t="str">
        <f t="shared" si="29"/>
        <v/>
      </c>
      <c r="AF50" s="127" t="str">
        <f t="shared" si="29"/>
        <v/>
      </c>
      <c r="AG50" s="127" t="str">
        <f t="shared" ref="AG50:AV53" si="39">IF($E50=AG$3,"▲","")</f>
        <v/>
      </c>
      <c r="AH50" s="127" t="str">
        <f t="shared" si="39"/>
        <v/>
      </c>
      <c r="AI50" s="127" t="str">
        <f t="shared" si="39"/>
        <v/>
      </c>
      <c r="AJ50" s="127" t="str">
        <f t="shared" si="39"/>
        <v/>
      </c>
      <c r="AK50" s="127" t="str">
        <f t="shared" si="39"/>
        <v/>
      </c>
      <c r="AL50" s="127" t="str">
        <f t="shared" si="39"/>
        <v/>
      </c>
      <c r="AM50" s="127" t="str">
        <f t="shared" si="39"/>
        <v/>
      </c>
      <c r="AN50" s="127" t="str">
        <f t="shared" si="39"/>
        <v/>
      </c>
      <c r="AO50" s="127" t="str">
        <f t="shared" si="39"/>
        <v/>
      </c>
      <c r="AP50" s="127" t="str">
        <f t="shared" si="39"/>
        <v/>
      </c>
      <c r="AQ50" s="127" t="str">
        <f t="shared" si="39"/>
        <v/>
      </c>
      <c r="AR50" s="127" t="str">
        <f t="shared" si="39"/>
        <v/>
      </c>
      <c r="AS50" s="127" t="str">
        <f t="shared" si="39"/>
        <v/>
      </c>
      <c r="AT50" s="127" t="str">
        <f t="shared" si="39"/>
        <v/>
      </c>
      <c r="AU50" s="127" t="str">
        <f t="shared" si="39"/>
        <v/>
      </c>
      <c r="AV50" s="127" t="str">
        <f t="shared" si="39"/>
        <v/>
      </c>
      <c r="AW50" s="127" t="str">
        <f t="shared" si="37"/>
        <v/>
      </c>
      <c r="AX50" s="127" t="str">
        <f t="shared" si="37"/>
        <v/>
      </c>
      <c r="AY50" s="127" t="str">
        <f t="shared" si="37"/>
        <v/>
      </c>
      <c r="AZ50" s="127" t="str">
        <f t="shared" si="37"/>
        <v/>
      </c>
      <c r="BA50" s="127" t="str">
        <f t="shared" si="38"/>
        <v/>
      </c>
      <c r="BB50" s="127" t="str">
        <f t="shared" si="38"/>
        <v/>
      </c>
      <c r="BC50" s="127" t="str">
        <f t="shared" si="38"/>
        <v/>
      </c>
      <c r="BD50" s="127" t="str">
        <f t="shared" si="38"/>
        <v/>
      </c>
      <c r="BE50" s="127" t="str">
        <f t="shared" si="38"/>
        <v/>
      </c>
      <c r="BF50" s="127" t="str">
        <f t="shared" si="38"/>
        <v/>
      </c>
      <c r="BG50" s="127" t="str">
        <f t="shared" si="38"/>
        <v/>
      </c>
      <c r="BH50" s="127" t="str">
        <f t="shared" si="38"/>
        <v/>
      </c>
      <c r="BI50" s="127" t="str">
        <f t="shared" si="38"/>
        <v/>
      </c>
      <c r="BJ50" s="127" t="str">
        <f t="shared" si="38"/>
        <v/>
      </c>
      <c r="BK50" s="127" t="str">
        <f t="shared" si="38"/>
        <v/>
      </c>
      <c r="BL50" s="127" t="str">
        <f t="shared" si="38"/>
        <v/>
      </c>
      <c r="BM50" s="127" t="str">
        <f t="shared" si="38"/>
        <v/>
      </c>
      <c r="BN50" s="127" t="str">
        <f t="shared" si="38"/>
        <v/>
      </c>
      <c r="BO50" s="127" t="str">
        <f t="shared" si="38"/>
        <v/>
      </c>
      <c r="BP50" s="127" t="str">
        <f t="shared" si="38"/>
        <v/>
      </c>
      <c r="BQ50" s="127" t="str">
        <f t="shared" ref="BQ50:CD53" si="40">IF($E50=BQ$3,"▲","")</f>
        <v/>
      </c>
      <c r="BR50" s="127" t="str">
        <f t="shared" si="40"/>
        <v/>
      </c>
      <c r="BS50" s="127" t="str">
        <f t="shared" si="40"/>
        <v/>
      </c>
      <c r="BT50" s="127" t="str">
        <f t="shared" si="40"/>
        <v/>
      </c>
      <c r="BU50" s="127" t="str">
        <f t="shared" si="40"/>
        <v/>
      </c>
      <c r="BV50" s="127" t="str">
        <f t="shared" si="40"/>
        <v/>
      </c>
      <c r="BW50" s="127" t="str">
        <f t="shared" si="40"/>
        <v/>
      </c>
      <c r="BX50" s="127" t="str">
        <f t="shared" si="40"/>
        <v/>
      </c>
      <c r="BY50" s="127" t="str">
        <f t="shared" si="40"/>
        <v/>
      </c>
      <c r="BZ50" s="127" t="str">
        <f t="shared" si="40"/>
        <v/>
      </c>
      <c r="CA50" s="127" t="str">
        <f t="shared" si="40"/>
        <v/>
      </c>
      <c r="CB50" s="127" t="str">
        <f t="shared" si="40"/>
        <v/>
      </c>
      <c r="CC50" s="127" t="str">
        <f t="shared" si="40"/>
        <v/>
      </c>
      <c r="CD50" s="127" t="str">
        <f t="shared" si="40"/>
        <v/>
      </c>
    </row>
    <row r="51" spans="1:82" ht="12.6" hidden="1" customHeight="1" x14ac:dyDescent="0.2">
      <c r="A51" s="106">
        <f>SHIPMENTS!A57</f>
        <v>9122</v>
      </c>
      <c r="B51" s="106" t="str">
        <f>SHIPMENTS!B57</f>
        <v>19300-USA SUPERIOR SAUNA</v>
      </c>
      <c r="C51" s="132">
        <f>SHIPMENTS!F57</f>
        <v>69.539999999999992</v>
      </c>
      <c r="D51" s="107" t="str">
        <f>IF((SHIPMENTS!I57)=0,"",SHIPMENTS!I57)</f>
        <v>1x40HC</v>
      </c>
      <c r="E51" s="176" t="str">
        <f>IF((SHIPMENTS!G57)=0,"",SHIPMENTS!G57)</f>
        <v>TBA</v>
      </c>
      <c r="F51" s="98">
        <f>VLOOKUP(A51,load!$A$4:$U$5001,19,0)</f>
        <v>0</v>
      </c>
      <c r="G51" s="109">
        <f>Manhours!$C$10</f>
        <v>2.5</v>
      </c>
      <c r="H51" s="110">
        <f t="shared" si="30"/>
        <v>22.75</v>
      </c>
      <c r="I51" s="111">
        <f t="shared" si="31"/>
        <v>0</v>
      </c>
      <c r="J51" s="111">
        <f t="shared" si="32"/>
        <v>0</v>
      </c>
      <c r="K51" s="110">
        <f t="shared" si="33"/>
        <v>0</v>
      </c>
      <c r="L51" s="110">
        <f t="shared" si="34"/>
        <v>0</v>
      </c>
      <c r="M51" s="180">
        <f t="shared" si="35"/>
        <v>46314.057356483514</v>
      </c>
      <c r="N51" s="181">
        <f t="shared" si="36"/>
        <v>46314.057356483514</v>
      </c>
      <c r="O51" s="112" t="str">
        <f>VLOOKUP(A51,SHIPMENTS!$A$7:$AP$76,11,0)</f>
        <v>n/a</v>
      </c>
      <c r="P51" s="101"/>
      <c r="Q51" s="127" t="str">
        <f t="shared" si="29"/>
        <v/>
      </c>
      <c r="R51" s="127" t="str">
        <f t="shared" si="29"/>
        <v/>
      </c>
      <c r="S51" s="127" t="str">
        <f t="shared" si="29"/>
        <v/>
      </c>
      <c r="T51" s="127" t="str">
        <f t="shared" si="29"/>
        <v/>
      </c>
      <c r="U51" s="127" t="str">
        <f t="shared" si="29"/>
        <v/>
      </c>
      <c r="V51" s="127" t="str">
        <f t="shared" si="29"/>
        <v/>
      </c>
      <c r="W51" s="127" t="str">
        <f t="shared" si="29"/>
        <v/>
      </c>
      <c r="X51" s="127" t="str">
        <f t="shared" si="29"/>
        <v/>
      </c>
      <c r="Y51" s="127" t="str">
        <f t="shared" si="29"/>
        <v/>
      </c>
      <c r="Z51" s="127" t="str">
        <f t="shared" si="29"/>
        <v/>
      </c>
      <c r="AA51" s="127" t="str">
        <f t="shared" si="29"/>
        <v/>
      </c>
      <c r="AB51" s="127" t="str">
        <f t="shared" si="29"/>
        <v/>
      </c>
      <c r="AC51" s="127" t="str">
        <f t="shared" si="29"/>
        <v/>
      </c>
      <c r="AD51" s="127" t="str">
        <f t="shared" si="29"/>
        <v/>
      </c>
      <c r="AE51" s="127" t="str">
        <f t="shared" si="29"/>
        <v/>
      </c>
      <c r="AF51" s="127" t="str">
        <f t="shared" si="29"/>
        <v/>
      </c>
      <c r="AG51" s="127" t="str">
        <f t="shared" si="39"/>
        <v/>
      </c>
      <c r="AH51" s="127" t="str">
        <f t="shared" si="39"/>
        <v/>
      </c>
      <c r="AI51" s="127" t="str">
        <f t="shared" si="39"/>
        <v/>
      </c>
      <c r="AJ51" s="127" t="str">
        <f t="shared" si="39"/>
        <v/>
      </c>
      <c r="AK51" s="127" t="str">
        <f t="shared" si="39"/>
        <v/>
      </c>
      <c r="AL51" s="127" t="str">
        <f t="shared" si="39"/>
        <v/>
      </c>
      <c r="AM51" s="127" t="str">
        <f t="shared" si="39"/>
        <v/>
      </c>
      <c r="AN51" s="127" t="str">
        <f t="shared" si="39"/>
        <v/>
      </c>
      <c r="AO51" s="127" t="str">
        <f t="shared" si="39"/>
        <v/>
      </c>
      <c r="AP51" s="127" t="str">
        <f t="shared" si="39"/>
        <v/>
      </c>
      <c r="AQ51" s="127" t="str">
        <f t="shared" si="39"/>
        <v/>
      </c>
      <c r="AR51" s="127" t="str">
        <f t="shared" si="39"/>
        <v/>
      </c>
      <c r="AS51" s="127" t="str">
        <f t="shared" si="39"/>
        <v/>
      </c>
      <c r="AT51" s="127" t="str">
        <f t="shared" si="39"/>
        <v/>
      </c>
      <c r="AU51" s="127" t="str">
        <f t="shared" si="39"/>
        <v/>
      </c>
      <c r="AV51" s="127" t="str">
        <f t="shared" si="39"/>
        <v/>
      </c>
      <c r="AW51" s="127" t="str">
        <f t="shared" si="37"/>
        <v/>
      </c>
      <c r="AX51" s="127" t="str">
        <f t="shared" si="37"/>
        <v/>
      </c>
      <c r="AY51" s="127" t="str">
        <f t="shared" si="37"/>
        <v/>
      </c>
      <c r="AZ51" s="127" t="str">
        <f t="shared" si="37"/>
        <v/>
      </c>
      <c r="BA51" s="127" t="str">
        <f t="shared" si="38"/>
        <v/>
      </c>
      <c r="BB51" s="127" t="str">
        <f t="shared" si="38"/>
        <v/>
      </c>
      <c r="BC51" s="127" t="str">
        <f t="shared" si="38"/>
        <v/>
      </c>
      <c r="BD51" s="127" t="str">
        <f t="shared" si="38"/>
        <v/>
      </c>
      <c r="BE51" s="127" t="str">
        <f t="shared" si="38"/>
        <v/>
      </c>
      <c r="BF51" s="127" t="str">
        <f t="shared" si="38"/>
        <v/>
      </c>
      <c r="BG51" s="127" t="str">
        <f t="shared" si="38"/>
        <v/>
      </c>
      <c r="BH51" s="127" t="str">
        <f t="shared" si="38"/>
        <v/>
      </c>
      <c r="BI51" s="127" t="str">
        <f t="shared" si="38"/>
        <v/>
      </c>
      <c r="BJ51" s="127" t="str">
        <f t="shared" si="38"/>
        <v/>
      </c>
      <c r="BK51" s="127" t="str">
        <f t="shared" si="38"/>
        <v/>
      </c>
      <c r="BL51" s="127" t="str">
        <f t="shared" si="38"/>
        <v/>
      </c>
      <c r="BM51" s="127" t="str">
        <f t="shared" si="38"/>
        <v/>
      </c>
      <c r="BN51" s="127" t="str">
        <f t="shared" si="38"/>
        <v/>
      </c>
      <c r="BO51" s="127" t="str">
        <f t="shared" si="38"/>
        <v/>
      </c>
      <c r="BP51" s="127" t="str">
        <f t="shared" si="38"/>
        <v/>
      </c>
      <c r="BQ51" s="127" t="str">
        <f t="shared" si="40"/>
        <v/>
      </c>
      <c r="BR51" s="127" t="str">
        <f t="shared" si="40"/>
        <v/>
      </c>
      <c r="BS51" s="127" t="str">
        <f t="shared" si="40"/>
        <v/>
      </c>
      <c r="BT51" s="127" t="str">
        <f t="shared" si="40"/>
        <v/>
      </c>
      <c r="BU51" s="127" t="str">
        <f t="shared" si="40"/>
        <v/>
      </c>
      <c r="BV51" s="127" t="str">
        <f t="shared" si="40"/>
        <v/>
      </c>
      <c r="BW51" s="127" t="str">
        <f t="shared" si="40"/>
        <v/>
      </c>
      <c r="BX51" s="127" t="str">
        <f t="shared" si="40"/>
        <v/>
      </c>
      <c r="BY51" s="127" t="str">
        <f t="shared" si="40"/>
        <v/>
      </c>
      <c r="BZ51" s="127" t="str">
        <f t="shared" si="40"/>
        <v/>
      </c>
      <c r="CA51" s="127" t="str">
        <f t="shared" si="40"/>
        <v/>
      </c>
      <c r="CB51" s="127" t="str">
        <f t="shared" si="40"/>
        <v/>
      </c>
      <c r="CC51" s="127" t="str">
        <f t="shared" si="40"/>
        <v/>
      </c>
      <c r="CD51" s="127" t="str">
        <f t="shared" si="40"/>
        <v/>
      </c>
    </row>
    <row r="52" spans="1:82" ht="12.6" hidden="1" customHeight="1" x14ac:dyDescent="0.2">
      <c r="A52" s="106">
        <f>SHIPMENTS!A58</f>
        <v>9197</v>
      </c>
      <c r="B52" s="106" t="str">
        <f>SHIPMENTS!B58</f>
        <v>19300-USA SUPERIOR SAUNA</v>
      </c>
      <c r="C52" s="132">
        <f>SHIPMENTS!F58</f>
        <v>0</v>
      </c>
      <c r="D52" s="107" t="str">
        <f>IF((SHIPMENTS!I58)=0,"",SHIPMENTS!I58)</f>
        <v/>
      </c>
      <c r="E52" s="176" t="str">
        <f>IF((SHIPMENTS!G58)=0,"",SHIPMENTS!G58)</f>
        <v>TBA</v>
      </c>
      <c r="F52" s="98">
        <f>VLOOKUP(A52,load!$A$4:$U$5001,19,0)</f>
        <v>0</v>
      </c>
      <c r="G52" s="109">
        <f>Manhours!$C$10</f>
        <v>2.5</v>
      </c>
      <c r="H52" s="110">
        <f t="shared" si="30"/>
        <v>22.75</v>
      </c>
      <c r="I52" s="111">
        <f t="shared" si="31"/>
        <v>0</v>
      </c>
      <c r="J52" s="111">
        <f t="shared" si="32"/>
        <v>0</v>
      </c>
      <c r="K52" s="110">
        <f t="shared" si="33"/>
        <v>0</v>
      </c>
      <c r="L52" s="110">
        <f t="shared" si="34"/>
        <v>0</v>
      </c>
      <c r="M52" s="180">
        <f t="shared" si="35"/>
        <v>46314.057356483514</v>
      </c>
      <c r="N52" s="181">
        <f t="shared" si="36"/>
        <v>46314.057356483514</v>
      </c>
      <c r="O52" s="112" t="str">
        <f>VLOOKUP(A52,SHIPMENTS!$A$7:$AP$76,11,0)</f>
        <v>n/a</v>
      </c>
      <c r="P52" s="101"/>
      <c r="Q52" s="127" t="str">
        <f t="shared" si="29"/>
        <v/>
      </c>
      <c r="R52" s="127" t="str">
        <f t="shared" si="29"/>
        <v/>
      </c>
      <c r="S52" s="127" t="str">
        <f t="shared" si="29"/>
        <v/>
      </c>
      <c r="T52" s="127" t="str">
        <f t="shared" si="29"/>
        <v/>
      </c>
      <c r="U52" s="127" t="str">
        <f t="shared" si="29"/>
        <v/>
      </c>
      <c r="V52" s="127" t="str">
        <f t="shared" si="29"/>
        <v/>
      </c>
      <c r="W52" s="127" t="str">
        <f t="shared" si="29"/>
        <v/>
      </c>
      <c r="X52" s="127" t="str">
        <f t="shared" si="29"/>
        <v/>
      </c>
      <c r="Y52" s="127" t="str">
        <f t="shared" si="29"/>
        <v/>
      </c>
      <c r="Z52" s="127" t="str">
        <f t="shared" si="29"/>
        <v/>
      </c>
      <c r="AA52" s="127" t="str">
        <f t="shared" si="29"/>
        <v/>
      </c>
      <c r="AB52" s="127" t="str">
        <f t="shared" si="29"/>
        <v/>
      </c>
      <c r="AC52" s="127" t="str">
        <f t="shared" si="29"/>
        <v/>
      </c>
      <c r="AD52" s="127" t="str">
        <f t="shared" si="29"/>
        <v/>
      </c>
      <c r="AE52" s="127" t="str">
        <f t="shared" si="29"/>
        <v/>
      </c>
      <c r="AF52" s="127" t="str">
        <f t="shared" si="29"/>
        <v/>
      </c>
      <c r="AG52" s="127" t="str">
        <f t="shared" si="39"/>
        <v/>
      </c>
      <c r="AH52" s="127" t="str">
        <f t="shared" si="39"/>
        <v/>
      </c>
      <c r="AI52" s="127" t="str">
        <f t="shared" si="39"/>
        <v/>
      </c>
      <c r="AJ52" s="127" t="str">
        <f t="shared" si="39"/>
        <v/>
      </c>
      <c r="AK52" s="127" t="str">
        <f t="shared" si="39"/>
        <v/>
      </c>
      <c r="AL52" s="127" t="str">
        <f t="shared" si="39"/>
        <v/>
      </c>
      <c r="AM52" s="127" t="str">
        <f t="shared" si="39"/>
        <v/>
      </c>
      <c r="AN52" s="127" t="str">
        <f t="shared" si="39"/>
        <v/>
      </c>
      <c r="AO52" s="127" t="str">
        <f t="shared" si="39"/>
        <v/>
      </c>
      <c r="AP52" s="127" t="str">
        <f t="shared" si="39"/>
        <v/>
      </c>
      <c r="AQ52" s="127" t="str">
        <f t="shared" si="39"/>
        <v/>
      </c>
      <c r="AR52" s="127" t="str">
        <f t="shared" si="39"/>
        <v/>
      </c>
      <c r="AS52" s="127" t="str">
        <f t="shared" si="39"/>
        <v/>
      </c>
      <c r="AT52" s="127" t="str">
        <f t="shared" si="39"/>
        <v/>
      </c>
      <c r="AU52" s="127" t="str">
        <f t="shared" si="39"/>
        <v/>
      </c>
      <c r="AV52" s="127" t="str">
        <f t="shared" si="39"/>
        <v/>
      </c>
      <c r="AW52" s="127" t="str">
        <f t="shared" si="37"/>
        <v/>
      </c>
      <c r="AX52" s="127" t="str">
        <f t="shared" si="37"/>
        <v/>
      </c>
      <c r="AY52" s="127" t="str">
        <f t="shared" si="37"/>
        <v/>
      </c>
      <c r="AZ52" s="127" t="str">
        <f t="shared" si="37"/>
        <v/>
      </c>
      <c r="BA52" s="127" t="str">
        <f t="shared" si="38"/>
        <v/>
      </c>
      <c r="BB52" s="127" t="str">
        <f t="shared" si="38"/>
        <v/>
      </c>
      <c r="BC52" s="127" t="str">
        <f t="shared" si="38"/>
        <v/>
      </c>
      <c r="BD52" s="127" t="str">
        <f t="shared" si="38"/>
        <v/>
      </c>
      <c r="BE52" s="127" t="str">
        <f t="shared" si="38"/>
        <v/>
      </c>
      <c r="BF52" s="127" t="str">
        <f t="shared" si="38"/>
        <v/>
      </c>
      <c r="BG52" s="127" t="str">
        <f t="shared" si="38"/>
        <v/>
      </c>
      <c r="BH52" s="127" t="str">
        <f t="shared" si="38"/>
        <v/>
      </c>
      <c r="BI52" s="127" t="str">
        <f t="shared" si="38"/>
        <v/>
      </c>
      <c r="BJ52" s="127" t="str">
        <f t="shared" si="38"/>
        <v/>
      </c>
      <c r="BK52" s="127" t="str">
        <f t="shared" si="38"/>
        <v/>
      </c>
      <c r="BL52" s="127" t="str">
        <f t="shared" si="38"/>
        <v/>
      </c>
      <c r="BM52" s="127" t="str">
        <f t="shared" si="38"/>
        <v/>
      </c>
      <c r="BN52" s="127" t="str">
        <f t="shared" si="38"/>
        <v/>
      </c>
      <c r="BO52" s="127" t="str">
        <f t="shared" si="38"/>
        <v/>
      </c>
      <c r="BP52" s="127" t="str">
        <f t="shared" si="38"/>
        <v/>
      </c>
      <c r="BQ52" s="127" t="str">
        <f t="shared" si="40"/>
        <v/>
      </c>
      <c r="BR52" s="127" t="str">
        <f t="shared" si="40"/>
        <v/>
      </c>
      <c r="BS52" s="127" t="str">
        <f t="shared" si="40"/>
        <v/>
      </c>
      <c r="BT52" s="127" t="str">
        <f t="shared" si="40"/>
        <v/>
      </c>
      <c r="BU52" s="127" t="str">
        <f t="shared" si="40"/>
        <v/>
      </c>
      <c r="BV52" s="127" t="str">
        <f t="shared" si="40"/>
        <v/>
      </c>
      <c r="BW52" s="127" t="str">
        <f t="shared" si="40"/>
        <v/>
      </c>
      <c r="BX52" s="127" t="str">
        <f t="shared" si="40"/>
        <v/>
      </c>
      <c r="BY52" s="127" t="str">
        <f t="shared" si="40"/>
        <v/>
      </c>
      <c r="BZ52" s="127" t="str">
        <f t="shared" si="40"/>
        <v/>
      </c>
      <c r="CA52" s="127" t="str">
        <f t="shared" si="40"/>
        <v/>
      </c>
      <c r="CB52" s="127" t="str">
        <f t="shared" si="40"/>
        <v/>
      </c>
      <c r="CC52" s="127" t="str">
        <f t="shared" si="40"/>
        <v/>
      </c>
      <c r="CD52" s="127" t="str">
        <f t="shared" si="40"/>
        <v/>
      </c>
    </row>
    <row r="53" spans="1:82" ht="12.6" hidden="1" customHeight="1" x14ac:dyDescent="0.2">
      <c r="A53" s="106">
        <f>SHIPMENTS!A59</f>
        <v>6542</v>
      </c>
      <c r="B53" s="106" t="str">
        <f>SHIPMENTS!B59</f>
        <v>75100-JORDAN
BACKLOG</v>
      </c>
      <c r="C53" s="132">
        <f>SHIPMENTS!F59</f>
        <v>2.9600000000000001E-2</v>
      </c>
      <c r="D53" s="107" t="str">
        <f>IF((SHIPMENTS!I59)=0,"",SHIPMENTS!I59)</f>
        <v/>
      </c>
      <c r="E53" s="176" t="str">
        <f>IF((SHIPMENTS!G59)=0,"",SHIPMENTS!G59)</f>
        <v>TBA</v>
      </c>
      <c r="F53" s="98">
        <f>VLOOKUP(A53,load!$A$4:$U$5001,19,0)</f>
        <v>0</v>
      </c>
      <c r="G53" s="109">
        <f>Manhours!$C$10</f>
        <v>2.5</v>
      </c>
      <c r="H53" s="110">
        <f t="shared" ref="H53" si="41">+G53*$H$4</f>
        <v>22.75</v>
      </c>
      <c r="I53" s="111">
        <f t="shared" ref="I53" si="42">F53/H53</f>
        <v>0</v>
      </c>
      <c r="J53" s="111">
        <f t="shared" ref="J53" si="43">+I53*$H$4</f>
        <v>0</v>
      </c>
      <c r="K53" s="110">
        <f t="shared" ref="K53" si="44">IFERROR(I53-(I53*O53),0)</f>
        <v>0</v>
      </c>
      <c r="L53" s="110">
        <f t="shared" ref="L53" si="45">IFERROR(J53-(J53*O53),0)</f>
        <v>0</v>
      </c>
      <c r="M53" s="180">
        <f t="shared" ref="M53" si="46">N52</f>
        <v>46314.057356483514</v>
      </c>
      <c r="N53" s="181">
        <f t="shared" ref="N53" si="47">M53+K53</f>
        <v>46314.057356483514</v>
      </c>
      <c r="O53" s="112" t="str">
        <f>VLOOKUP(A53,SHIPMENTS!$A$7:$AP$76,11,0)</f>
        <v>n/a</v>
      </c>
      <c r="P53" s="101"/>
      <c r="Q53" s="127" t="str">
        <f t="shared" si="29"/>
        <v/>
      </c>
      <c r="R53" s="127" t="str">
        <f t="shared" si="29"/>
        <v/>
      </c>
      <c r="S53" s="127" t="str">
        <f t="shared" si="29"/>
        <v/>
      </c>
      <c r="T53" s="127" t="str">
        <f t="shared" si="29"/>
        <v/>
      </c>
      <c r="U53" s="127" t="str">
        <f t="shared" si="29"/>
        <v/>
      </c>
      <c r="V53" s="127" t="str">
        <f t="shared" si="29"/>
        <v/>
      </c>
      <c r="W53" s="127" t="str">
        <f t="shared" si="29"/>
        <v/>
      </c>
      <c r="X53" s="127" t="str">
        <f t="shared" si="29"/>
        <v/>
      </c>
      <c r="Y53" s="127" t="str">
        <f t="shared" si="29"/>
        <v/>
      </c>
      <c r="Z53" s="127" t="str">
        <f t="shared" si="29"/>
        <v/>
      </c>
      <c r="AA53" s="127" t="str">
        <f t="shared" si="29"/>
        <v/>
      </c>
      <c r="AB53" s="127" t="str">
        <f t="shared" si="29"/>
        <v/>
      </c>
      <c r="AC53" s="127" t="str">
        <f t="shared" si="29"/>
        <v/>
      </c>
      <c r="AD53" s="127" t="str">
        <f t="shared" si="29"/>
        <v/>
      </c>
      <c r="AE53" s="127" t="str">
        <f t="shared" si="29"/>
        <v/>
      </c>
      <c r="AF53" s="127" t="str">
        <f t="shared" si="29"/>
        <v/>
      </c>
      <c r="AG53" s="127" t="str">
        <f t="shared" si="39"/>
        <v/>
      </c>
      <c r="AH53" s="127" t="str">
        <f t="shared" si="39"/>
        <v/>
      </c>
      <c r="AI53" s="127" t="str">
        <f t="shared" si="39"/>
        <v/>
      </c>
      <c r="AJ53" s="127" t="str">
        <f t="shared" si="39"/>
        <v/>
      </c>
      <c r="AK53" s="127" t="str">
        <f t="shared" si="39"/>
        <v/>
      </c>
      <c r="AL53" s="127" t="str">
        <f t="shared" si="39"/>
        <v/>
      </c>
      <c r="AM53" s="127" t="str">
        <f t="shared" si="39"/>
        <v/>
      </c>
      <c r="AN53" s="127" t="str">
        <f t="shared" si="39"/>
        <v/>
      </c>
      <c r="AO53" s="127" t="str">
        <f t="shared" si="39"/>
        <v/>
      </c>
      <c r="AP53" s="127" t="str">
        <f t="shared" si="39"/>
        <v/>
      </c>
      <c r="AQ53" s="127" t="str">
        <f t="shared" si="39"/>
        <v/>
      </c>
      <c r="AR53" s="127" t="str">
        <f t="shared" si="39"/>
        <v/>
      </c>
      <c r="AS53" s="127" t="str">
        <f t="shared" si="39"/>
        <v/>
      </c>
      <c r="AT53" s="127" t="str">
        <f t="shared" si="39"/>
        <v/>
      </c>
      <c r="AU53" s="127" t="str">
        <f t="shared" si="39"/>
        <v/>
      </c>
      <c r="AV53" s="127" t="str">
        <f t="shared" si="39"/>
        <v/>
      </c>
      <c r="AW53" s="127" t="str">
        <f t="shared" si="37"/>
        <v/>
      </c>
      <c r="AX53" s="127" t="str">
        <f t="shared" si="37"/>
        <v/>
      </c>
      <c r="AY53" s="127" t="str">
        <f t="shared" si="37"/>
        <v/>
      </c>
      <c r="AZ53" s="127" t="str">
        <f t="shared" si="37"/>
        <v/>
      </c>
      <c r="BA53" s="127" t="str">
        <f t="shared" si="38"/>
        <v/>
      </c>
      <c r="BB53" s="127" t="str">
        <f t="shared" si="38"/>
        <v/>
      </c>
      <c r="BC53" s="127" t="str">
        <f t="shared" si="38"/>
        <v/>
      </c>
      <c r="BD53" s="127" t="str">
        <f t="shared" si="38"/>
        <v/>
      </c>
      <c r="BE53" s="127" t="str">
        <f t="shared" si="38"/>
        <v/>
      </c>
      <c r="BF53" s="127" t="str">
        <f t="shared" si="38"/>
        <v/>
      </c>
      <c r="BG53" s="127" t="str">
        <f t="shared" si="38"/>
        <v/>
      </c>
      <c r="BH53" s="127" t="str">
        <f t="shared" si="38"/>
        <v/>
      </c>
      <c r="BI53" s="127" t="str">
        <f t="shared" si="38"/>
        <v/>
      </c>
      <c r="BJ53" s="127" t="str">
        <f t="shared" si="38"/>
        <v/>
      </c>
      <c r="BK53" s="127" t="str">
        <f t="shared" si="38"/>
        <v/>
      </c>
      <c r="BL53" s="127" t="str">
        <f t="shared" si="38"/>
        <v/>
      </c>
      <c r="BM53" s="127" t="str">
        <f t="shared" si="38"/>
        <v/>
      </c>
      <c r="BN53" s="127" t="str">
        <f t="shared" si="38"/>
        <v/>
      </c>
      <c r="BO53" s="127" t="str">
        <f t="shared" si="38"/>
        <v/>
      </c>
      <c r="BP53" s="127" t="str">
        <f t="shared" si="38"/>
        <v/>
      </c>
      <c r="BQ53" s="127" t="str">
        <f t="shared" si="40"/>
        <v/>
      </c>
      <c r="BR53" s="127" t="str">
        <f t="shared" si="40"/>
        <v/>
      </c>
      <c r="BS53" s="127" t="str">
        <f t="shared" si="40"/>
        <v/>
      </c>
      <c r="BT53" s="127" t="str">
        <f t="shared" si="40"/>
        <v/>
      </c>
      <c r="BU53" s="127" t="str">
        <f t="shared" si="40"/>
        <v/>
      </c>
      <c r="BV53" s="127" t="str">
        <f t="shared" si="40"/>
        <v/>
      </c>
      <c r="BW53" s="127" t="str">
        <f t="shared" si="40"/>
        <v/>
      </c>
      <c r="BX53" s="127" t="str">
        <f t="shared" si="40"/>
        <v/>
      </c>
      <c r="BY53" s="127" t="str">
        <f t="shared" si="40"/>
        <v/>
      </c>
      <c r="BZ53" s="127" t="str">
        <f t="shared" si="40"/>
        <v/>
      </c>
      <c r="CA53" s="127" t="str">
        <f t="shared" si="40"/>
        <v/>
      </c>
      <c r="CB53" s="127" t="str">
        <f t="shared" si="40"/>
        <v/>
      </c>
      <c r="CC53" s="127" t="str">
        <f t="shared" si="40"/>
        <v/>
      </c>
      <c r="CD53" s="127" t="str">
        <f t="shared" si="40"/>
        <v/>
      </c>
    </row>
  </sheetData>
  <autoFilter ref="A7:BL53" xr:uid="{00000000-0009-0000-0000-000003000000}">
    <filterColumn colId="14">
      <filters>
        <filter val="0%"/>
        <filter val="100%"/>
        <filter val="64%"/>
        <filter val="87%"/>
        <filter val="96%"/>
      </filters>
    </filterColumn>
  </autoFilter>
  <mergeCells count="15">
    <mergeCell ref="L5:L6"/>
    <mergeCell ref="M5:M6"/>
    <mergeCell ref="N5:N6"/>
    <mergeCell ref="O5:O6"/>
    <mergeCell ref="F5:F6"/>
    <mergeCell ref="G5:G6"/>
    <mergeCell ref="H5:H6"/>
    <mergeCell ref="I5:I6"/>
    <mergeCell ref="J5:J6"/>
    <mergeCell ref="K5:K6"/>
    <mergeCell ref="A5:A6"/>
    <mergeCell ref="B5:B6"/>
    <mergeCell ref="C5:C6"/>
    <mergeCell ref="D5:D6"/>
    <mergeCell ref="E5:E6"/>
  </mergeCells>
  <conditionalFormatting sqref="N8:N53">
    <cfRule type="cellIs" dxfId="587" priority="834" operator="greaterThan">
      <formula>E8</formula>
    </cfRule>
  </conditionalFormatting>
  <conditionalFormatting sqref="O8:O53">
    <cfRule type="dataBar" priority="1280">
      <dataBar>
        <cfvo type="num" val="0"/>
        <cfvo type="num" val="1"/>
        <color rgb="FFFFB628"/>
      </dataBar>
      <extLst>
        <ext xmlns:x14="http://schemas.microsoft.com/office/spreadsheetml/2009/9/main" uri="{B025F937-C7B1-47D3-B67F-A62EFF666E3E}">
          <x14:id>{9CB83161-A127-4870-9004-4F773B7B4362}</x14:id>
        </ext>
      </extLst>
    </cfRule>
  </conditionalFormatting>
  <conditionalFormatting sqref="O1:P5 O7:P1048576">
    <cfRule type="cellIs" dxfId="586" priority="183" operator="lessThan">
      <formula>1</formula>
    </cfRule>
    <cfRule type="cellIs" dxfId="585" priority="184" operator="equal">
      <formula>1</formula>
    </cfRule>
  </conditionalFormatting>
  <conditionalFormatting sqref="P8:P27">
    <cfRule type="dataBar" priority="1668">
      <dataBar>
        <cfvo type="num" val="0"/>
        <cfvo type="num" val="1"/>
        <color rgb="FFFFB628"/>
      </dataBar>
      <extLst>
        <ext xmlns:x14="http://schemas.microsoft.com/office/spreadsheetml/2009/9/main" uri="{B025F937-C7B1-47D3-B67F-A62EFF666E3E}">
          <x14:id>{6339413E-F012-435B-BAB0-615FF8E79ACA}</x14:id>
        </ext>
      </extLst>
    </cfRule>
  </conditionalFormatting>
  <conditionalFormatting sqref="P28">
    <cfRule type="dataBar" priority="1640">
      <dataBar>
        <cfvo type="num" val="0"/>
        <cfvo type="num" val="1"/>
        <color rgb="FFFFB628"/>
      </dataBar>
      <extLst>
        <ext xmlns:x14="http://schemas.microsoft.com/office/spreadsheetml/2009/9/main" uri="{B025F937-C7B1-47D3-B67F-A62EFF666E3E}">
          <x14:id>{53B05334-D600-419D-B2BE-EBD7050FD655}</x14:id>
        </ext>
      </extLst>
    </cfRule>
  </conditionalFormatting>
  <conditionalFormatting sqref="P29:P53">
    <cfRule type="dataBar" priority="1636">
      <dataBar>
        <cfvo type="num" val="0"/>
        <cfvo type="num" val="1"/>
        <color rgb="FFFFB628"/>
      </dataBar>
      <extLst>
        <ext xmlns:x14="http://schemas.microsoft.com/office/spreadsheetml/2009/9/main" uri="{B025F937-C7B1-47D3-B67F-A62EFF666E3E}">
          <x14:id>{19C8D68B-8E57-49F9-B66F-25E4A7268E4A}</x14:id>
        </ext>
      </extLst>
    </cfRule>
  </conditionalFormatting>
  <conditionalFormatting sqref="Q8:BE27">
    <cfRule type="cellIs" dxfId="584" priority="1667" operator="equal">
      <formula>1</formula>
    </cfRule>
    <cfRule type="cellIs" dxfId="583" priority="1666" operator="equal">
      <formula>1</formula>
    </cfRule>
  </conditionalFormatting>
  <conditionalFormatting sqref="Q28:BE28">
    <cfRule type="cellIs" dxfId="582" priority="1639" operator="equal">
      <formula>1</formula>
    </cfRule>
  </conditionalFormatting>
  <conditionalFormatting sqref="Q28:BE53">
    <cfRule type="cellIs" dxfId="581" priority="8" operator="equal">
      <formula>1</formula>
    </cfRule>
  </conditionalFormatting>
  <conditionalFormatting sqref="Q29:BE53">
    <cfRule type="cellIs" dxfId="580" priority="9" operator="equal">
      <formula>1</formula>
    </cfRule>
  </conditionalFormatting>
  <conditionalFormatting sqref="Q8:BF27 Q29:CD32 Q46:CD52">
    <cfRule type="expression" dxfId="579" priority="1645">
      <formula>IF(AND($M8&lt;=Q$3,$N8&gt;=Q$3),1,"")</formula>
    </cfRule>
  </conditionalFormatting>
  <conditionalFormatting sqref="Q1:CD1">
    <cfRule type="cellIs" dxfId="578" priority="1355" operator="notEqual">
      <formula>0</formula>
    </cfRule>
  </conditionalFormatting>
  <conditionalFormatting sqref="Q28:CD28">
    <cfRule type="expression" dxfId="577" priority="1637">
      <formula>IF(AND($M28&lt;=Q$3,$N28&gt;=Q$3),1,"")</formula>
    </cfRule>
  </conditionalFormatting>
  <conditionalFormatting sqref="Q33:CD37">
    <cfRule type="expression" dxfId="576" priority="181">
      <formula>IF(AND($M33&lt;=Q$3,$N33&gt;=Q$3),1,"")</formula>
    </cfRule>
  </conditionalFormatting>
  <conditionalFormatting sqref="Q38:CD45">
    <cfRule type="expression" dxfId="575" priority="160">
      <formula>IF(AND($M38&lt;=Q$3,$N38&gt;=Q$3),1,"")</formula>
    </cfRule>
  </conditionalFormatting>
  <conditionalFormatting sqref="Q53:CD53">
    <cfRule type="expression" dxfId="574" priority="20">
      <formula>IF(AND($M53&lt;=Q$3,$N53&gt;=Q$3),1,"")</formula>
    </cfRule>
  </conditionalFormatting>
  <conditionalFormatting sqref="AV8:BE32">
    <cfRule type="cellIs" dxfId="573" priority="1647" operator="equal">
      <formula>1</formula>
    </cfRule>
  </conditionalFormatting>
  <conditionalFormatting sqref="AV33:BE37">
    <cfRule type="cellIs" dxfId="572" priority="182" operator="equal">
      <formula>1</formula>
    </cfRule>
  </conditionalFormatting>
  <conditionalFormatting sqref="AV38:BE45">
    <cfRule type="cellIs" dxfId="571" priority="161" operator="equal">
      <formula>1</formula>
    </cfRule>
  </conditionalFormatting>
  <conditionalFormatting sqref="AV46:BE52">
    <cfRule type="cellIs" dxfId="570" priority="140" operator="equal">
      <formula>1</formula>
    </cfRule>
  </conditionalFormatting>
  <conditionalFormatting sqref="AV53:BE53">
    <cfRule type="cellIs" dxfId="569" priority="19" operator="equal">
      <formula>1</formula>
    </cfRule>
  </conditionalFormatting>
  <conditionalFormatting sqref="AV8:BF32">
    <cfRule type="cellIs" dxfId="568" priority="1643" operator="equal">
      <formula>1</formula>
    </cfRule>
  </conditionalFormatting>
  <conditionalFormatting sqref="AV33:BL37">
    <cfRule type="cellIs" dxfId="567" priority="178" operator="equal">
      <formula>1</formula>
    </cfRule>
  </conditionalFormatting>
  <conditionalFormatting sqref="AV38:BL45">
    <cfRule type="cellIs" dxfId="566" priority="157" operator="equal">
      <formula>1</formula>
    </cfRule>
  </conditionalFormatting>
  <conditionalFormatting sqref="AV46:BL52">
    <cfRule type="cellIs" dxfId="565" priority="137" operator="equal">
      <formula>1</formula>
    </cfRule>
  </conditionalFormatting>
  <conditionalFormatting sqref="AV53:BL53">
    <cfRule type="cellIs" dxfId="564" priority="17" operator="equal">
      <formula>1</formula>
    </cfRule>
  </conditionalFormatting>
  <conditionalFormatting sqref="BF8:BF53">
    <cfRule type="cellIs" dxfId="563" priority="1642" operator="equal">
      <formula>1</formula>
    </cfRule>
    <cfRule type="cellIs" dxfId="562" priority="1644" operator="equal">
      <formula>1</formula>
    </cfRule>
  </conditionalFormatting>
  <conditionalFormatting sqref="BF8:BL32">
    <cfRule type="cellIs" dxfId="561" priority="1615" operator="equal">
      <formula>1</formula>
    </cfRule>
  </conditionalFormatting>
  <conditionalFormatting sqref="BG8:BK27">
    <cfRule type="cellIs" dxfId="560" priority="1629" operator="equal">
      <formula>1</formula>
    </cfRule>
    <cfRule type="cellIs" dxfId="559" priority="1628" operator="equal">
      <formula>1</formula>
    </cfRule>
  </conditionalFormatting>
  <conditionalFormatting sqref="BG8:BK32">
    <cfRule type="cellIs" dxfId="558" priority="1619" operator="equal">
      <formula>1</formula>
    </cfRule>
  </conditionalFormatting>
  <conditionalFormatting sqref="BG28:BK37">
    <cfRule type="cellIs" dxfId="557" priority="179" operator="equal">
      <formula>1</formula>
    </cfRule>
  </conditionalFormatting>
  <conditionalFormatting sqref="BG28:BK53">
    <cfRule type="cellIs" dxfId="556" priority="7" operator="equal">
      <formula>1</formula>
    </cfRule>
  </conditionalFormatting>
  <conditionalFormatting sqref="BG33:BK45">
    <cfRule type="cellIs" dxfId="555" priority="158" operator="equal">
      <formula>1</formula>
    </cfRule>
  </conditionalFormatting>
  <conditionalFormatting sqref="BG38:BK52">
    <cfRule type="cellIs" dxfId="554" priority="138" operator="equal">
      <formula>1</formula>
    </cfRule>
  </conditionalFormatting>
  <conditionalFormatting sqref="BG46:BK53">
    <cfRule type="cellIs" dxfId="553" priority="18" operator="equal">
      <formula>1</formula>
    </cfRule>
  </conditionalFormatting>
  <conditionalFormatting sqref="BG8:BL27">
    <cfRule type="expression" dxfId="552" priority="1617">
      <formula>IF(AND($M8&lt;=BG$3,$N8&gt;=BG$3),1,"")</formula>
    </cfRule>
  </conditionalFormatting>
  <conditionalFormatting sqref="BG53:BQ53">
    <cfRule type="cellIs" dxfId="551" priority="15" operator="equal">
      <formula>1</formula>
    </cfRule>
  </conditionalFormatting>
  <conditionalFormatting sqref="BL8:BL53">
    <cfRule type="cellIs" dxfId="550" priority="1616" operator="equal">
      <formula>1</formula>
    </cfRule>
  </conditionalFormatting>
  <conditionalFormatting sqref="BL8:BQ32">
    <cfRule type="cellIs" dxfId="549" priority="1595" operator="equal">
      <formula>1</formula>
    </cfRule>
  </conditionalFormatting>
  <conditionalFormatting sqref="BL33:BQ52">
    <cfRule type="cellIs" dxfId="548" priority="36" operator="equal">
      <formula>1</formula>
    </cfRule>
  </conditionalFormatting>
  <conditionalFormatting sqref="BL8:BR32">
    <cfRule type="cellIs" dxfId="547" priority="1591" operator="equal">
      <formula>1</formula>
    </cfRule>
  </conditionalFormatting>
  <conditionalFormatting sqref="BL33:BR53">
    <cfRule type="cellIs" dxfId="546" priority="14" operator="equal">
      <formula>1</formula>
    </cfRule>
  </conditionalFormatting>
  <conditionalFormatting sqref="BM8:BQ27">
    <cfRule type="cellIs" dxfId="545" priority="1604" operator="equal">
      <formula>1</formula>
    </cfRule>
    <cfRule type="cellIs" dxfId="544" priority="1605" operator="equal">
      <formula>1</formula>
    </cfRule>
  </conditionalFormatting>
  <conditionalFormatting sqref="BM28:BQ53">
    <cfRule type="cellIs" dxfId="543" priority="6" operator="equal">
      <formula>1</formula>
    </cfRule>
    <cfRule type="cellIs" dxfId="542" priority="5" operator="equal">
      <formula>1</formula>
    </cfRule>
  </conditionalFormatting>
  <conditionalFormatting sqref="BM8:BR27">
    <cfRule type="expression" dxfId="541" priority="1593">
      <formula>IF(AND($M8&lt;=BM$3,$N8&gt;=BM$3),1,"")</formula>
    </cfRule>
  </conditionalFormatting>
  <conditionalFormatting sqref="BR8:BR53">
    <cfRule type="cellIs" dxfId="540" priority="1592" operator="equal">
      <formula>1</formula>
    </cfRule>
  </conditionalFormatting>
  <conditionalFormatting sqref="BR8:BW32">
    <cfRule type="cellIs" dxfId="539" priority="1571" operator="equal">
      <formula>1</formula>
    </cfRule>
  </conditionalFormatting>
  <conditionalFormatting sqref="BR33:BW53">
    <cfRule type="cellIs" dxfId="538" priority="13" operator="equal">
      <formula>1</formula>
    </cfRule>
  </conditionalFormatting>
  <conditionalFormatting sqref="BR8:BX32">
    <cfRule type="cellIs" dxfId="537" priority="1567" operator="equal">
      <formula>1</formula>
    </cfRule>
  </conditionalFormatting>
  <conditionalFormatting sqref="BR33:BX53">
    <cfRule type="cellIs" dxfId="536" priority="12" operator="equal">
      <formula>1</formula>
    </cfRule>
  </conditionalFormatting>
  <conditionalFormatting sqref="BS8:BW27">
    <cfRule type="cellIs" dxfId="535" priority="1580" operator="equal">
      <formula>1</formula>
    </cfRule>
    <cfRule type="cellIs" dxfId="534" priority="1581" operator="equal">
      <formula>1</formula>
    </cfRule>
  </conditionalFormatting>
  <conditionalFormatting sqref="BS28:BW53">
    <cfRule type="cellIs" dxfId="533" priority="4" operator="equal">
      <formula>1</formula>
    </cfRule>
    <cfRule type="cellIs" dxfId="532" priority="3" operator="equal">
      <formula>1</formula>
    </cfRule>
  </conditionalFormatting>
  <conditionalFormatting sqref="BS8:BX27">
    <cfRule type="expression" dxfId="531" priority="1569">
      <formula>IF(AND($M8&lt;=BS$3,$N8&gt;=BS$3),1,"")</formula>
    </cfRule>
  </conditionalFormatting>
  <conditionalFormatting sqref="BX8:BX53">
    <cfRule type="cellIs" dxfId="530" priority="1568" operator="equal">
      <formula>1</formula>
    </cfRule>
  </conditionalFormatting>
  <conditionalFormatting sqref="BX8:CC32">
    <cfRule type="cellIs" dxfId="529" priority="1547" operator="equal">
      <formula>1</formula>
    </cfRule>
  </conditionalFormatting>
  <conditionalFormatting sqref="BX33:CC53">
    <cfRule type="cellIs" dxfId="528" priority="11" operator="equal">
      <formula>1</formula>
    </cfRule>
  </conditionalFormatting>
  <conditionalFormatting sqref="BX8:CD32">
    <cfRule type="cellIs" dxfId="527" priority="1543" operator="equal">
      <formula>1</formula>
    </cfRule>
  </conditionalFormatting>
  <conditionalFormatting sqref="BX33:CD53">
    <cfRule type="cellIs" dxfId="526" priority="10" operator="equal">
      <formula>1</formula>
    </cfRule>
  </conditionalFormatting>
  <conditionalFormatting sqref="BY8:CC27">
    <cfRule type="cellIs" dxfId="525" priority="1556" operator="equal">
      <formula>1</formula>
    </cfRule>
    <cfRule type="cellIs" dxfId="524" priority="1557" operator="equal">
      <formula>1</formula>
    </cfRule>
  </conditionalFormatting>
  <conditionalFormatting sqref="BY28:CC53">
    <cfRule type="cellIs" dxfId="523" priority="2" operator="equal">
      <formula>1</formula>
    </cfRule>
    <cfRule type="cellIs" dxfId="522" priority="1" operator="equal">
      <formula>1</formula>
    </cfRule>
  </conditionalFormatting>
  <conditionalFormatting sqref="BY8:CD27">
    <cfRule type="expression" dxfId="521" priority="1545">
      <formula>IF(AND($M8&lt;=BY$3,$N8&gt;=BY$3),1,"")</formula>
    </cfRule>
  </conditionalFormatting>
  <conditionalFormatting sqref="CD8:CD53">
    <cfRule type="cellIs" dxfId="520" priority="1544" operator="equal">
      <formula>1</formula>
    </cfRule>
    <cfRule type="cellIs" dxfId="519" priority="1541" operator="equal">
      <formula>1</formula>
    </cfRule>
    <cfRule type="cellIs" dxfId="518" priority="1542" operator="equal">
      <formula>1</formula>
    </cfRule>
  </conditionalFormatting>
  <pageMargins left="0.7" right="0.7" top="0.75" bottom="0.75" header="0.3" footer="0.3"/>
  <pageSetup paperSize="9" orientation="portrait" horizontalDpi="0" verticalDpi="0" r:id="rId1"/>
  <extLst>
    <ext xmlns:x14="http://schemas.microsoft.com/office/spreadsheetml/2009/9/main" uri="{78C0D931-6437-407d-A8EE-F0AAD7539E65}">
      <x14:conditionalFormattings>
        <x14:conditionalFormatting xmlns:xm="http://schemas.microsoft.com/office/excel/2006/main">
          <x14:cfRule type="dataBar" id="{9CB83161-A127-4870-9004-4F773B7B4362}">
            <x14:dataBar minLength="0" maxLength="100" gradient="0">
              <x14:cfvo type="num">
                <xm:f>0</xm:f>
              </x14:cfvo>
              <x14:cfvo type="num">
                <xm:f>1</xm:f>
              </x14:cfvo>
              <x14:negativeFillColor rgb="FFFF0000"/>
              <x14:axisColor rgb="FF000000"/>
            </x14:dataBar>
          </x14:cfRule>
          <xm:sqref>O8:O53</xm:sqref>
        </x14:conditionalFormatting>
        <x14:conditionalFormatting xmlns:xm="http://schemas.microsoft.com/office/excel/2006/main">
          <x14:cfRule type="dataBar" id="{6339413E-F012-435B-BAB0-615FF8E79ACA}">
            <x14:dataBar minLength="0" maxLength="100" gradient="0">
              <x14:cfvo type="num">
                <xm:f>0</xm:f>
              </x14:cfvo>
              <x14:cfvo type="num">
                <xm:f>1</xm:f>
              </x14:cfvo>
              <x14:negativeFillColor rgb="FFFF0000"/>
              <x14:axisColor rgb="FF000000"/>
            </x14:dataBar>
          </x14:cfRule>
          <xm:sqref>P8:P27</xm:sqref>
        </x14:conditionalFormatting>
        <x14:conditionalFormatting xmlns:xm="http://schemas.microsoft.com/office/excel/2006/main">
          <x14:cfRule type="dataBar" id="{53B05334-D600-419D-B2BE-EBD7050FD655}">
            <x14:dataBar minLength="0" maxLength="100" gradient="0">
              <x14:cfvo type="num">
                <xm:f>0</xm:f>
              </x14:cfvo>
              <x14:cfvo type="num">
                <xm:f>1</xm:f>
              </x14:cfvo>
              <x14:negativeFillColor rgb="FFFF0000"/>
              <x14:axisColor rgb="FF000000"/>
            </x14:dataBar>
          </x14:cfRule>
          <xm:sqref>P28</xm:sqref>
        </x14:conditionalFormatting>
        <x14:conditionalFormatting xmlns:xm="http://schemas.microsoft.com/office/excel/2006/main">
          <x14:cfRule type="dataBar" id="{19C8D68B-8E57-49F9-B66F-25E4A7268E4A}">
            <x14:dataBar minLength="0" maxLength="100" gradient="0">
              <x14:cfvo type="num">
                <xm:f>0</xm:f>
              </x14:cfvo>
              <x14:cfvo type="num">
                <xm:f>1</xm:f>
              </x14:cfvo>
              <x14:negativeFillColor rgb="FFFF0000"/>
              <x14:axisColor rgb="FF000000"/>
            </x14:dataBar>
          </x14:cfRule>
          <xm:sqref>P29:P53</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3" filterMode="1"/>
  <dimension ref="A1:CD53"/>
  <sheetViews>
    <sheetView showGridLines="0" zoomScaleNormal="100" workbookViewId="0">
      <pane xSplit="15" ySplit="7" topLeftCell="P16" activePane="bottomRight" state="frozen"/>
      <selection pane="topRight" activeCell="P1" sqref="P1"/>
      <selection pane="bottomLeft" activeCell="A8" sqref="A8"/>
      <selection pane="bottomRight" activeCell="O16" sqref="O16"/>
    </sheetView>
  </sheetViews>
  <sheetFormatPr defaultColWidth="9.28515625" defaultRowHeight="12.75" outlineLevelCol="1" x14ac:dyDescent="0.2"/>
  <cols>
    <col min="1" max="1" width="12.28515625" style="72" customWidth="1"/>
    <col min="2" max="2" width="21.7109375" style="71" customWidth="1"/>
    <col min="3" max="3" width="7.28515625" style="71" customWidth="1"/>
    <col min="4" max="4" width="7.7109375" style="71" customWidth="1"/>
    <col min="5" max="5" width="9.7109375" style="174" customWidth="1"/>
    <col min="6" max="6" width="11.5703125" style="74" hidden="1" customWidth="1" outlineLevel="1"/>
    <col min="7" max="7" width="11.7109375" style="75" hidden="1" customWidth="1" outlineLevel="1"/>
    <col min="8" max="8" width="11.28515625" style="74" hidden="1" customWidth="1" outlineLevel="1"/>
    <col min="9" max="9" width="8.7109375" style="76" hidden="1" customWidth="1" outlineLevel="1"/>
    <col min="10" max="10" width="7.7109375" style="76" hidden="1" customWidth="1" outlineLevel="1"/>
    <col min="11" max="11" width="9" style="74" customWidth="1" collapsed="1"/>
    <col min="12" max="12" width="9" style="74" hidden="1" customWidth="1" outlineLevel="1"/>
    <col min="13" max="13" width="7.42578125" style="174" hidden="1" customWidth="1" outlineLevel="1"/>
    <col min="14" max="14" width="8.28515625" style="174" customWidth="1" collapsed="1"/>
    <col min="15" max="16" width="11.28515625" style="78" customWidth="1"/>
    <col min="17" max="31" width="6.5703125" style="71" bestFit="1" customWidth="1"/>
    <col min="32" max="82" width="7.28515625" style="71" bestFit="1" customWidth="1"/>
    <col min="83" max="16384" width="9.28515625" style="71"/>
  </cols>
  <sheetData>
    <row r="1" spans="1:82" x14ac:dyDescent="0.2">
      <c r="Q1" s="105">
        <f>'T&amp;D'!Q1</f>
        <v>0</v>
      </c>
      <c r="R1" s="105">
        <f>'T&amp;D'!R1</f>
        <v>0</v>
      </c>
      <c r="S1" s="105">
        <f>'T&amp;D'!S1</f>
        <v>0</v>
      </c>
      <c r="T1" s="105">
        <f>'T&amp;D'!T1</f>
        <v>0</v>
      </c>
      <c r="U1" s="105">
        <f>'T&amp;D'!U1</f>
        <v>0</v>
      </c>
      <c r="V1" s="105">
        <f>'T&amp;D'!V1</f>
        <v>0</v>
      </c>
      <c r="W1" s="105">
        <f>'T&amp;D'!W1</f>
        <v>0</v>
      </c>
      <c r="X1" s="105">
        <f>'T&amp;D'!X1</f>
        <v>0</v>
      </c>
      <c r="Y1" s="105">
        <f>'T&amp;D'!Y1</f>
        <v>0</v>
      </c>
      <c r="Z1" s="105">
        <f>'T&amp;D'!Z1</f>
        <v>0</v>
      </c>
      <c r="AA1" s="105">
        <f>'T&amp;D'!AA1</f>
        <v>0</v>
      </c>
      <c r="AB1" s="105">
        <f>'T&amp;D'!AB1</f>
        <v>0</v>
      </c>
      <c r="AC1" s="105">
        <f>'T&amp;D'!AC1</f>
        <v>0</v>
      </c>
      <c r="AD1" s="105">
        <f>'T&amp;D'!AD1</f>
        <v>0</v>
      </c>
      <c r="AE1" s="105">
        <f>'T&amp;D'!AE1</f>
        <v>0</v>
      </c>
      <c r="AF1" s="105">
        <f>'T&amp;D'!AF1</f>
        <v>0</v>
      </c>
      <c r="AG1" s="105">
        <f>'T&amp;D'!AG1</f>
        <v>0</v>
      </c>
      <c r="AH1" s="105">
        <f>'T&amp;D'!AH1</f>
        <v>0</v>
      </c>
      <c r="AI1" s="105">
        <f>'T&amp;D'!AI1</f>
        <v>0</v>
      </c>
      <c r="AJ1" s="105">
        <f>'T&amp;D'!AJ1</f>
        <v>0</v>
      </c>
      <c r="AK1" s="105">
        <f>'T&amp;D'!AK1</f>
        <v>0</v>
      </c>
      <c r="AL1" s="105">
        <f>'T&amp;D'!AL1</f>
        <v>0</v>
      </c>
      <c r="AM1" s="105">
        <f>'T&amp;D'!AM1</f>
        <v>0</v>
      </c>
      <c r="AN1" s="105">
        <f>'T&amp;D'!AN1</f>
        <v>0</v>
      </c>
      <c r="AO1" s="105">
        <f>'T&amp;D'!AO1</f>
        <v>0</v>
      </c>
      <c r="AP1" s="105">
        <f>'T&amp;D'!AP1</f>
        <v>0</v>
      </c>
      <c r="AQ1" s="105">
        <f>'T&amp;D'!AQ1</f>
        <v>0</v>
      </c>
      <c r="AR1" s="105">
        <f>'T&amp;D'!AR1</f>
        <v>0</v>
      </c>
      <c r="AS1" s="105">
        <f>'T&amp;D'!AS1</f>
        <v>0</v>
      </c>
      <c r="AT1" s="105">
        <f>'T&amp;D'!AT1</f>
        <v>0</v>
      </c>
      <c r="AU1" s="105">
        <f>'T&amp;D'!AU1</f>
        <v>0</v>
      </c>
      <c r="AV1" s="105">
        <f>'T&amp;D'!AV1</f>
        <v>0</v>
      </c>
      <c r="AW1" s="105">
        <f>'T&amp;D'!AW1</f>
        <v>0</v>
      </c>
      <c r="AX1" s="105">
        <f>'T&amp;D'!AX1</f>
        <v>0</v>
      </c>
      <c r="AY1" s="105">
        <f>'T&amp;D'!AY1</f>
        <v>0</v>
      </c>
      <c r="AZ1" s="105">
        <f>'T&amp;D'!AZ1</f>
        <v>0</v>
      </c>
      <c r="BA1" s="105">
        <f>'T&amp;D'!BA1</f>
        <v>0</v>
      </c>
      <c r="BB1" s="105">
        <f>'T&amp;D'!BB1</f>
        <v>0</v>
      </c>
      <c r="BC1" s="105">
        <f>'T&amp;D'!BC1</f>
        <v>0</v>
      </c>
      <c r="BD1" s="105">
        <f>'T&amp;D'!BD1</f>
        <v>0</v>
      </c>
      <c r="BE1" s="105">
        <f>'T&amp;D'!BE1</f>
        <v>0</v>
      </c>
      <c r="BF1" s="105">
        <f>'T&amp;D'!BF1</f>
        <v>0</v>
      </c>
      <c r="BG1" s="105">
        <f>'T&amp;D'!BG1</f>
        <v>0</v>
      </c>
      <c r="BH1" s="105">
        <f>'T&amp;D'!BH1</f>
        <v>0</v>
      </c>
      <c r="BI1" s="105">
        <f>'T&amp;D'!BI1</f>
        <v>0</v>
      </c>
      <c r="BJ1" s="105">
        <f>'T&amp;D'!BJ1</f>
        <v>0</v>
      </c>
      <c r="BK1" s="105">
        <f>'T&amp;D'!BK1</f>
        <v>0</v>
      </c>
      <c r="BL1" s="105">
        <f>'T&amp;D'!BL1</f>
        <v>0</v>
      </c>
      <c r="BM1" s="105">
        <f>'T&amp;D'!BM1</f>
        <v>0</v>
      </c>
      <c r="BN1" s="105">
        <f>'T&amp;D'!BN1</f>
        <v>0</v>
      </c>
      <c r="BO1" s="105">
        <f>'T&amp;D'!BO1</f>
        <v>0</v>
      </c>
      <c r="BP1" s="105">
        <f>'T&amp;D'!BP1</f>
        <v>0</v>
      </c>
      <c r="BQ1" s="105">
        <f>'T&amp;D'!BQ1</f>
        <v>0</v>
      </c>
      <c r="BR1" s="105">
        <f>'T&amp;D'!BR1</f>
        <v>0</v>
      </c>
      <c r="BS1" s="105">
        <f>'T&amp;D'!BS1</f>
        <v>0</v>
      </c>
      <c r="BT1" s="105">
        <f>'T&amp;D'!BT1</f>
        <v>0</v>
      </c>
      <c r="BU1" s="105">
        <f>'T&amp;D'!BU1</f>
        <v>0</v>
      </c>
      <c r="BV1" s="105">
        <f>'T&amp;D'!BV1</f>
        <v>0</v>
      </c>
      <c r="BW1" s="105">
        <f>'T&amp;D'!BW1</f>
        <v>0</v>
      </c>
      <c r="BX1" s="105">
        <f>'T&amp;D'!BX1</f>
        <v>0</v>
      </c>
      <c r="BY1" s="105">
        <f>'T&amp;D'!BY1</f>
        <v>0</v>
      </c>
      <c r="BZ1" s="105">
        <f>'T&amp;D'!BZ1</f>
        <v>0</v>
      </c>
      <c r="CA1" s="105">
        <f>'T&amp;D'!CA1</f>
        <v>0</v>
      </c>
      <c r="CB1" s="105">
        <f>'T&amp;D'!CB1</f>
        <v>0</v>
      </c>
      <c r="CC1" s="105">
        <f>'T&amp;D'!CC1</f>
        <v>0</v>
      </c>
      <c r="CD1" s="105">
        <f>'T&amp;D'!CD1</f>
        <v>0</v>
      </c>
    </row>
    <row r="2" spans="1:82" x14ac:dyDescent="0.2">
      <c r="A2" s="103" t="s">
        <v>218</v>
      </c>
      <c r="D2" s="75"/>
      <c r="K2" s="142">
        <f>K4-K3</f>
        <v>0.45953502238502253</v>
      </c>
      <c r="Q2" s="105" t="str">
        <f>'T&amp;D'!Q2</f>
        <v>w/O OT</v>
      </c>
      <c r="R2" s="105" t="str">
        <f>'T&amp;D'!R2</f>
        <v>w/O OT</v>
      </c>
      <c r="S2" s="105" t="str">
        <f>'T&amp;D'!S2</f>
        <v>w/O OT</v>
      </c>
      <c r="T2" s="105" t="str">
        <f>'T&amp;D'!T2</f>
        <v>w/O OT</v>
      </c>
      <c r="U2" s="105" t="str">
        <f>'T&amp;D'!U2</f>
        <v>Fri</v>
      </c>
      <c r="V2" s="105" t="str">
        <f>'T&amp;D'!V2</f>
        <v>Sat</v>
      </c>
      <c r="W2" s="105" t="str">
        <f>'T&amp;D'!W2</f>
        <v>w/O OT</v>
      </c>
      <c r="X2" s="105" t="str">
        <f>'T&amp;D'!X2</f>
        <v>w/O OT</v>
      </c>
      <c r="Y2" s="105" t="str">
        <f>'T&amp;D'!Y2</f>
        <v>w/O OT</v>
      </c>
      <c r="Z2" s="105" t="str">
        <f>'T&amp;D'!Z2</f>
        <v>w/O OT</v>
      </c>
      <c r="AA2" s="105" t="str">
        <f>'T&amp;D'!AA2</f>
        <v>Fri</v>
      </c>
      <c r="AB2" s="105" t="str">
        <f>'T&amp;D'!AB2</f>
        <v>Sat</v>
      </c>
      <c r="AC2" s="105" t="str">
        <f>'T&amp;D'!AC2</f>
        <v>w/O OT</v>
      </c>
      <c r="AD2" s="105" t="str">
        <f>'T&amp;D'!AD2</f>
        <v>w/O OT</v>
      </c>
      <c r="AE2" s="105" t="str">
        <f>'T&amp;D'!AE2</f>
        <v>w/O OT</v>
      </c>
      <c r="AF2" s="105" t="str">
        <f>'T&amp;D'!AF2</f>
        <v>w/O OT</v>
      </c>
      <c r="AG2" s="105" t="str">
        <f>'T&amp;D'!AG2</f>
        <v>Fri</v>
      </c>
      <c r="AH2" s="105" t="str">
        <f>'T&amp;D'!AH2</f>
        <v>Sat</v>
      </c>
      <c r="AI2" s="105" t="str">
        <f>'T&amp;D'!AI2</f>
        <v>w/O OT</v>
      </c>
      <c r="AJ2" s="105" t="str">
        <f>'T&amp;D'!AJ2</f>
        <v>w/O OT</v>
      </c>
      <c r="AK2" s="105" t="str">
        <f>'T&amp;D'!AK2</f>
        <v>w/O OT</v>
      </c>
      <c r="AL2" s="105" t="str">
        <f>'T&amp;D'!AL2</f>
        <v>w/O OT</v>
      </c>
      <c r="AM2" s="105" t="str">
        <f>'T&amp;D'!AM2</f>
        <v>Fri</v>
      </c>
      <c r="AN2" s="105" t="str">
        <f>'T&amp;D'!AN2</f>
        <v>Sat</v>
      </c>
      <c r="AO2" s="105" t="str">
        <f>'T&amp;D'!AO2</f>
        <v>w/O OT</v>
      </c>
      <c r="AP2" s="105" t="str">
        <f>'T&amp;D'!AP2</f>
        <v>w/O OT</v>
      </c>
      <c r="AQ2" s="105" t="str">
        <f>'T&amp;D'!AQ2</f>
        <v>w/O OT</v>
      </c>
      <c r="AR2" s="105" t="str">
        <f>'T&amp;D'!AR2</f>
        <v>w/O OT</v>
      </c>
      <c r="AS2" s="105" t="str">
        <f>'T&amp;D'!AS2</f>
        <v>Fri</v>
      </c>
      <c r="AT2" s="105" t="str">
        <f>'T&amp;D'!AT2</f>
        <v>Sat</v>
      </c>
      <c r="AU2" s="105" t="str">
        <f>'T&amp;D'!AU2</f>
        <v>w/O OT</v>
      </c>
      <c r="AV2" s="105" t="str">
        <f>'T&amp;D'!AV2</f>
        <v>w/O OT</v>
      </c>
      <c r="AW2" s="105" t="str">
        <f>'T&amp;D'!AW2</f>
        <v>w/O OT</v>
      </c>
      <c r="AX2" s="105" t="str">
        <f>'T&amp;D'!AX2</f>
        <v>w/O OT</v>
      </c>
      <c r="AY2" s="105" t="str">
        <f>'T&amp;D'!AY2</f>
        <v>Fri</v>
      </c>
      <c r="AZ2" s="105" t="str">
        <f>'T&amp;D'!AZ2</f>
        <v>Sat</v>
      </c>
      <c r="BA2" s="105" t="str">
        <f>'T&amp;D'!BA2</f>
        <v>w/O OT</v>
      </c>
      <c r="BB2" s="105" t="str">
        <f>'T&amp;D'!BB2</f>
        <v>w/O OT</v>
      </c>
      <c r="BC2" s="105" t="str">
        <f>'T&amp;D'!BC2</f>
        <v>w/O OT</v>
      </c>
      <c r="BD2" s="105" t="str">
        <f>'T&amp;D'!BD2</f>
        <v>w/O OT</v>
      </c>
      <c r="BE2" s="105" t="str">
        <f>'T&amp;D'!BE2</f>
        <v>Fri</v>
      </c>
      <c r="BF2" s="105" t="str">
        <f>'T&amp;D'!BF2</f>
        <v>Sat</v>
      </c>
      <c r="BG2" s="105" t="str">
        <f>'T&amp;D'!BG2</f>
        <v>w/O OT</v>
      </c>
      <c r="BH2" s="105" t="str">
        <f>'T&amp;D'!BH2</f>
        <v>w/O OT</v>
      </c>
      <c r="BI2" s="105" t="str">
        <f>'T&amp;D'!BI2</f>
        <v>w/O OT</v>
      </c>
      <c r="BJ2" s="105" t="str">
        <f>'T&amp;D'!BJ2</f>
        <v>w/O OT</v>
      </c>
      <c r="BK2" s="105" t="str">
        <f>'T&amp;D'!BK2</f>
        <v>Fri</v>
      </c>
      <c r="BL2" s="105" t="str">
        <f>'T&amp;D'!BL2</f>
        <v>Sat</v>
      </c>
      <c r="BM2" s="105" t="str">
        <f>'T&amp;D'!BM2</f>
        <v>w/O OT</v>
      </c>
      <c r="BN2" s="105" t="str">
        <f>'T&amp;D'!BN2</f>
        <v>w/O OT</v>
      </c>
      <c r="BO2" s="105" t="str">
        <f>'T&amp;D'!BO2</f>
        <v>w/O OT</v>
      </c>
      <c r="BP2" s="105" t="str">
        <f>'T&amp;D'!BP2</f>
        <v>w/O OT</v>
      </c>
      <c r="BQ2" s="105" t="str">
        <f>'T&amp;D'!BQ2</f>
        <v>Fri</v>
      </c>
      <c r="BR2" s="105" t="str">
        <f>'T&amp;D'!BR2</f>
        <v>Sat</v>
      </c>
      <c r="BS2" s="105" t="str">
        <f>'T&amp;D'!BS2</f>
        <v>w/O OT</v>
      </c>
      <c r="BT2" s="105" t="str">
        <f>'T&amp;D'!BT2</f>
        <v>w/O OT</v>
      </c>
      <c r="BU2" s="105" t="str">
        <f>'T&amp;D'!BU2</f>
        <v>w/O OT</v>
      </c>
      <c r="BV2" s="105" t="str">
        <f>'T&amp;D'!BV2</f>
        <v>w/O OT</v>
      </c>
      <c r="BW2" s="105" t="str">
        <f>'T&amp;D'!BW2</f>
        <v>Fri</v>
      </c>
      <c r="BX2" s="105" t="str">
        <f>'T&amp;D'!BX2</f>
        <v>Sat</v>
      </c>
      <c r="BY2" s="105" t="str">
        <f>'T&amp;D'!BY2</f>
        <v>w/O OT</v>
      </c>
      <c r="BZ2" s="105" t="str">
        <f>'T&amp;D'!BZ2</f>
        <v>w/O OT</v>
      </c>
      <c r="CA2" s="105" t="str">
        <f>'T&amp;D'!CA2</f>
        <v>w/O OT</v>
      </c>
      <c r="CB2" s="105" t="str">
        <f>'T&amp;D'!CB2</f>
        <v>w/O OT</v>
      </c>
      <c r="CC2" s="105" t="str">
        <f>'T&amp;D'!CC2</f>
        <v>Fri</v>
      </c>
      <c r="CD2" s="105" t="str">
        <f>'T&amp;D'!CD2</f>
        <v>Sat</v>
      </c>
    </row>
    <row r="3" spans="1:82" s="80" customFormat="1" ht="12" customHeight="1" x14ac:dyDescent="0.2">
      <c r="A3" s="79"/>
      <c r="C3" s="71" t="s">
        <v>109</v>
      </c>
      <c r="D3" s="75" t="s">
        <v>110</v>
      </c>
      <c r="E3" s="174" t="s">
        <v>90</v>
      </c>
      <c r="K3" s="85">
        <f>K41+K43</f>
        <v>0.16780341880341876</v>
      </c>
      <c r="L3" s="85"/>
      <c r="M3" s="177"/>
      <c r="N3" s="240" t="s">
        <v>415</v>
      </c>
      <c r="O3" s="81"/>
      <c r="P3" s="81"/>
      <c r="Q3" s="82">
        <f>'T&amp;D'!Q3</f>
        <v>46314</v>
      </c>
      <c r="R3" s="82">
        <f>'T&amp;D'!R3</f>
        <v>46315</v>
      </c>
      <c r="S3" s="82">
        <f>'T&amp;D'!S3</f>
        <v>46316</v>
      </c>
      <c r="T3" s="82">
        <f>'T&amp;D'!T3</f>
        <v>46317</v>
      </c>
      <c r="U3" s="82">
        <f>'T&amp;D'!U3</f>
        <v>46318</v>
      </c>
      <c r="V3" s="82">
        <f>'T&amp;D'!V3</f>
        <v>46319</v>
      </c>
      <c r="W3" s="82">
        <f>'T&amp;D'!W3</f>
        <v>46321</v>
      </c>
      <c r="X3" s="82">
        <f>'T&amp;D'!X3</f>
        <v>46322</v>
      </c>
      <c r="Y3" s="82">
        <f>'T&amp;D'!Y3</f>
        <v>46323</v>
      </c>
      <c r="Z3" s="82">
        <f>'T&amp;D'!Z3</f>
        <v>46324</v>
      </c>
      <c r="AA3" s="82">
        <f>'T&amp;D'!AA3</f>
        <v>46325</v>
      </c>
      <c r="AB3" s="82">
        <f>'T&amp;D'!AB3</f>
        <v>46326</v>
      </c>
      <c r="AC3" s="82">
        <f>'T&amp;D'!AC3</f>
        <v>46328</v>
      </c>
      <c r="AD3" s="82">
        <f>'T&amp;D'!AD3</f>
        <v>46329</v>
      </c>
      <c r="AE3" s="82">
        <f>'T&amp;D'!AE3</f>
        <v>46330</v>
      </c>
      <c r="AF3" s="82">
        <f>'T&amp;D'!AF3</f>
        <v>46331</v>
      </c>
      <c r="AG3" s="82">
        <f>'T&amp;D'!AG3</f>
        <v>46332</v>
      </c>
      <c r="AH3" s="82">
        <f>'T&amp;D'!AH3</f>
        <v>46333</v>
      </c>
      <c r="AI3" s="82">
        <f>'T&amp;D'!AI3</f>
        <v>46335</v>
      </c>
      <c r="AJ3" s="82">
        <f>'T&amp;D'!AJ3</f>
        <v>46336</v>
      </c>
      <c r="AK3" s="82">
        <f>'T&amp;D'!AK3</f>
        <v>46337</v>
      </c>
      <c r="AL3" s="82">
        <f>'T&amp;D'!AL3</f>
        <v>46338</v>
      </c>
      <c r="AM3" s="82">
        <f>'T&amp;D'!AM3</f>
        <v>46339</v>
      </c>
      <c r="AN3" s="82">
        <f>'T&amp;D'!AN3</f>
        <v>46340</v>
      </c>
      <c r="AO3" s="82">
        <f>'T&amp;D'!AO3</f>
        <v>46342</v>
      </c>
      <c r="AP3" s="82">
        <f>'T&amp;D'!AP3</f>
        <v>46343</v>
      </c>
      <c r="AQ3" s="82">
        <f>'T&amp;D'!AQ3</f>
        <v>46344</v>
      </c>
      <c r="AR3" s="82">
        <f>'T&amp;D'!AR3</f>
        <v>46345</v>
      </c>
      <c r="AS3" s="82">
        <f>'T&amp;D'!AS3</f>
        <v>46346</v>
      </c>
      <c r="AT3" s="82">
        <f>'T&amp;D'!AT3</f>
        <v>46347</v>
      </c>
      <c r="AU3" s="82">
        <f>'T&amp;D'!AU3</f>
        <v>46349</v>
      </c>
      <c r="AV3" s="82">
        <f>'T&amp;D'!AV3</f>
        <v>46350</v>
      </c>
      <c r="AW3" s="82">
        <f>'T&amp;D'!AW3</f>
        <v>46351</v>
      </c>
      <c r="AX3" s="82">
        <f>'T&amp;D'!AX3</f>
        <v>46352</v>
      </c>
      <c r="AY3" s="82">
        <f>'T&amp;D'!AY3</f>
        <v>46353</v>
      </c>
      <c r="AZ3" s="82">
        <f>'T&amp;D'!AZ3</f>
        <v>46354</v>
      </c>
      <c r="BA3" s="82">
        <f>'T&amp;D'!BA3</f>
        <v>46356</v>
      </c>
      <c r="BB3" s="82">
        <f>'T&amp;D'!BB3</f>
        <v>46357</v>
      </c>
      <c r="BC3" s="82">
        <f>'T&amp;D'!BC3</f>
        <v>46358</v>
      </c>
      <c r="BD3" s="82">
        <f>'T&amp;D'!BD3</f>
        <v>46359</v>
      </c>
      <c r="BE3" s="82">
        <f>'T&amp;D'!BE3</f>
        <v>46360</v>
      </c>
      <c r="BF3" s="82">
        <f>'T&amp;D'!BF3</f>
        <v>46361</v>
      </c>
      <c r="BG3" s="82">
        <f>'T&amp;D'!BG3</f>
        <v>46363</v>
      </c>
      <c r="BH3" s="82">
        <f>'T&amp;D'!BH3</f>
        <v>46364</v>
      </c>
      <c r="BI3" s="82">
        <f>'T&amp;D'!BI3</f>
        <v>46365</v>
      </c>
      <c r="BJ3" s="82">
        <f>'T&amp;D'!BJ3</f>
        <v>46366</v>
      </c>
      <c r="BK3" s="82">
        <f>'T&amp;D'!BK3</f>
        <v>46367</v>
      </c>
      <c r="BL3" s="82">
        <f>'T&amp;D'!BL3</f>
        <v>46368</v>
      </c>
      <c r="BM3" s="82">
        <f>'T&amp;D'!BM3</f>
        <v>46370</v>
      </c>
      <c r="BN3" s="82">
        <f>'T&amp;D'!BN3</f>
        <v>46371</v>
      </c>
      <c r="BO3" s="82">
        <f>'T&amp;D'!BO3</f>
        <v>46372</v>
      </c>
      <c r="BP3" s="82">
        <f>'T&amp;D'!BP3</f>
        <v>46373</v>
      </c>
      <c r="BQ3" s="82">
        <f>'T&amp;D'!BQ3</f>
        <v>46374</v>
      </c>
      <c r="BR3" s="82">
        <f>'T&amp;D'!BR3</f>
        <v>46375</v>
      </c>
      <c r="BS3" s="82">
        <f>'T&amp;D'!BS3</f>
        <v>46377</v>
      </c>
      <c r="BT3" s="82">
        <f>'T&amp;D'!BT3</f>
        <v>46378</v>
      </c>
      <c r="BU3" s="82">
        <f>'T&amp;D'!BU3</f>
        <v>46379</v>
      </c>
      <c r="BV3" s="82">
        <f>'T&amp;D'!BV3</f>
        <v>46380</v>
      </c>
      <c r="BW3" s="82">
        <f>'T&amp;D'!BW3</f>
        <v>46381</v>
      </c>
      <c r="BX3" s="82">
        <f>'T&amp;D'!BX3</f>
        <v>46382</v>
      </c>
      <c r="BY3" s="82">
        <f>'T&amp;D'!BY3</f>
        <v>46384</v>
      </c>
      <c r="BZ3" s="82">
        <f>'T&amp;D'!BZ3</f>
        <v>46385</v>
      </c>
      <c r="CA3" s="82">
        <f>'T&amp;D'!CA3</f>
        <v>46386</v>
      </c>
      <c r="CB3" s="82">
        <f>'T&amp;D'!CB3</f>
        <v>46387</v>
      </c>
      <c r="CC3" s="82">
        <f>'T&amp;D'!CC3</f>
        <v>46388</v>
      </c>
      <c r="CD3" s="82">
        <f>'T&amp;D'!CD3</f>
        <v>46389</v>
      </c>
    </row>
    <row r="4" spans="1:82" s="84" customFormat="1" ht="12" customHeight="1" x14ac:dyDescent="0.2">
      <c r="A4" s="83"/>
      <c r="D4" s="173"/>
      <c r="E4" s="174" t="s">
        <v>228</v>
      </c>
      <c r="H4" s="85">
        <f>45.5/5</f>
        <v>9.1</v>
      </c>
      <c r="K4" s="85">
        <f>SUM(K8:K4655)</f>
        <v>0.62733844118844129</v>
      </c>
      <c r="L4" s="85"/>
      <c r="M4" s="178">
        <f>'T&amp;D'!M4</f>
        <v>46314</v>
      </c>
      <c r="N4" s="177"/>
      <c r="O4" s="81"/>
      <c r="P4" s="81"/>
      <c r="Q4" s="104">
        <f>'T&amp;D'!Q4</f>
        <v>45817</v>
      </c>
      <c r="R4" s="104">
        <f>'T&amp;D'!R4</f>
        <v>45818</v>
      </c>
      <c r="S4" s="104">
        <f>'T&amp;D'!S4</f>
        <v>45819</v>
      </c>
      <c r="T4" s="104">
        <f>'T&amp;D'!T4</f>
        <v>45820</v>
      </c>
      <c r="U4" s="104">
        <f>'T&amp;D'!U4</f>
        <v>45821</v>
      </c>
      <c r="V4" s="104">
        <f>'T&amp;D'!V4</f>
        <v>45822</v>
      </c>
      <c r="W4" s="104">
        <f>'T&amp;D'!W4</f>
        <v>45824</v>
      </c>
      <c r="X4" s="104">
        <f>'T&amp;D'!X4</f>
        <v>45825</v>
      </c>
      <c r="Y4" s="104">
        <f>'T&amp;D'!Y4</f>
        <v>45826</v>
      </c>
      <c r="Z4" s="104">
        <f>'T&amp;D'!Z4</f>
        <v>45827</v>
      </c>
      <c r="AA4" s="104">
        <f>'T&amp;D'!AA4</f>
        <v>45828</v>
      </c>
      <c r="AB4" s="104">
        <f>'T&amp;D'!AB4</f>
        <v>45829</v>
      </c>
      <c r="AC4" s="104">
        <f>'T&amp;D'!AC4</f>
        <v>45831</v>
      </c>
      <c r="AD4" s="104">
        <f>'T&amp;D'!AD4</f>
        <v>45832</v>
      </c>
      <c r="AE4" s="104">
        <f>'T&amp;D'!AE4</f>
        <v>45833</v>
      </c>
      <c r="AF4" s="104">
        <f>'T&amp;D'!AF4</f>
        <v>45834</v>
      </c>
      <c r="AG4" s="104">
        <f>'T&amp;D'!AG4</f>
        <v>45835</v>
      </c>
      <c r="AH4" s="104">
        <f>'T&amp;D'!AH4</f>
        <v>45836</v>
      </c>
      <c r="AI4" s="104">
        <f>'T&amp;D'!AI4</f>
        <v>45838</v>
      </c>
      <c r="AJ4" s="104">
        <f>'T&amp;D'!AJ4</f>
        <v>45839</v>
      </c>
      <c r="AK4" s="104">
        <f>'T&amp;D'!AK4</f>
        <v>45840</v>
      </c>
      <c r="AL4" s="104">
        <f>'T&amp;D'!AL4</f>
        <v>45841</v>
      </c>
      <c r="AM4" s="104">
        <f>'T&amp;D'!AM4</f>
        <v>45842</v>
      </c>
      <c r="AN4" s="104">
        <f>'T&amp;D'!AN4</f>
        <v>45843</v>
      </c>
      <c r="AO4" s="104">
        <f>'T&amp;D'!AO4</f>
        <v>45845</v>
      </c>
      <c r="AP4" s="104">
        <f>'T&amp;D'!AP4</f>
        <v>45846</v>
      </c>
      <c r="AQ4" s="104">
        <f>'T&amp;D'!AQ4</f>
        <v>45847</v>
      </c>
      <c r="AR4" s="104">
        <f>'T&amp;D'!AR4</f>
        <v>45848</v>
      </c>
      <c r="AS4" s="104">
        <f>'T&amp;D'!AS4</f>
        <v>45849</v>
      </c>
      <c r="AT4" s="104">
        <f>'T&amp;D'!AT4</f>
        <v>45850</v>
      </c>
      <c r="AU4" s="104">
        <f>'T&amp;D'!AU4</f>
        <v>45852</v>
      </c>
      <c r="AV4" s="104">
        <f>'T&amp;D'!AV4</f>
        <v>45853</v>
      </c>
      <c r="AW4" s="104">
        <f>'T&amp;D'!AW4</f>
        <v>45854</v>
      </c>
      <c r="AX4" s="104">
        <f>'T&amp;D'!AX4</f>
        <v>45855</v>
      </c>
      <c r="AY4" s="104">
        <f>'T&amp;D'!AY4</f>
        <v>45856</v>
      </c>
      <c r="AZ4" s="104">
        <f>'T&amp;D'!AZ4</f>
        <v>45857</v>
      </c>
      <c r="BA4" s="104">
        <f>'T&amp;D'!BA4</f>
        <v>45859</v>
      </c>
      <c r="BB4" s="104">
        <f>'T&amp;D'!BB4</f>
        <v>45860</v>
      </c>
      <c r="BC4" s="104">
        <f>'T&amp;D'!BC4</f>
        <v>45861</v>
      </c>
      <c r="BD4" s="104">
        <f>'T&amp;D'!BD4</f>
        <v>45862</v>
      </c>
      <c r="BE4" s="104">
        <f>'T&amp;D'!BE4</f>
        <v>45863</v>
      </c>
      <c r="BF4" s="104">
        <f>'T&amp;D'!BF4</f>
        <v>45864</v>
      </c>
      <c r="BG4" s="104">
        <f>'T&amp;D'!BG4</f>
        <v>45866</v>
      </c>
      <c r="BH4" s="104">
        <f>'T&amp;D'!BH4</f>
        <v>45867</v>
      </c>
      <c r="BI4" s="104">
        <f>'T&amp;D'!BI4</f>
        <v>45868</v>
      </c>
      <c r="BJ4" s="104">
        <f>'T&amp;D'!BJ4</f>
        <v>45869</v>
      </c>
      <c r="BK4" s="104">
        <f>'T&amp;D'!BK4</f>
        <v>45870</v>
      </c>
      <c r="BL4" s="104">
        <f>'T&amp;D'!BL4</f>
        <v>45871</v>
      </c>
      <c r="BM4" s="104">
        <f>'T&amp;D'!BM4</f>
        <v>45873</v>
      </c>
      <c r="BN4" s="104">
        <f>'T&amp;D'!BN4</f>
        <v>45874</v>
      </c>
      <c r="BO4" s="104">
        <f>'T&amp;D'!BO4</f>
        <v>45875</v>
      </c>
      <c r="BP4" s="104">
        <f>'T&amp;D'!BP4</f>
        <v>45876</v>
      </c>
      <c r="BQ4" s="104">
        <f>'T&amp;D'!BQ4</f>
        <v>45877</v>
      </c>
      <c r="BR4" s="104">
        <f>'T&amp;D'!BR4</f>
        <v>45878</v>
      </c>
      <c r="BS4" s="104">
        <f>'T&amp;D'!BS4</f>
        <v>45880</v>
      </c>
      <c r="BT4" s="104">
        <f>'T&amp;D'!BT4</f>
        <v>45881</v>
      </c>
      <c r="BU4" s="104">
        <f>'T&amp;D'!BU4</f>
        <v>45882</v>
      </c>
      <c r="BV4" s="104">
        <f>'T&amp;D'!BV4</f>
        <v>45883</v>
      </c>
      <c r="BW4" s="104">
        <f>'T&amp;D'!BW4</f>
        <v>45884</v>
      </c>
      <c r="BX4" s="104">
        <f>'T&amp;D'!BX4</f>
        <v>45885</v>
      </c>
      <c r="BY4" s="104">
        <f>'T&amp;D'!BY4</f>
        <v>45887</v>
      </c>
      <c r="BZ4" s="104">
        <f>'T&amp;D'!BZ4</f>
        <v>45888</v>
      </c>
      <c r="CA4" s="104">
        <f>'T&amp;D'!CA4</f>
        <v>45889</v>
      </c>
      <c r="CB4" s="104">
        <f>'T&amp;D'!CB4</f>
        <v>45890</v>
      </c>
      <c r="CC4" s="104">
        <f>'T&amp;D'!CC4</f>
        <v>45891</v>
      </c>
      <c r="CD4" s="104">
        <f>'T&amp;D'!CD4</f>
        <v>45892</v>
      </c>
    </row>
    <row r="5" spans="1:82" s="84" customFormat="1" ht="15" customHeight="1" x14ac:dyDescent="0.2">
      <c r="A5" s="386" t="s">
        <v>385</v>
      </c>
      <c r="B5" s="386" t="s">
        <v>214</v>
      </c>
      <c r="C5" s="387" t="s">
        <v>91</v>
      </c>
      <c r="D5" s="388" t="s">
        <v>0</v>
      </c>
      <c r="E5" s="389" t="s">
        <v>103</v>
      </c>
      <c r="F5" s="392" t="s">
        <v>93</v>
      </c>
      <c r="G5" s="388" t="s">
        <v>94</v>
      </c>
      <c r="H5" s="390" t="s">
        <v>95</v>
      </c>
      <c r="I5" s="393" t="s">
        <v>519</v>
      </c>
      <c r="J5" s="393" t="s">
        <v>520</v>
      </c>
      <c r="K5" s="390" t="s">
        <v>241</v>
      </c>
      <c r="L5" s="390" t="s">
        <v>240</v>
      </c>
      <c r="M5" s="389" t="s">
        <v>98</v>
      </c>
      <c r="N5" s="389" t="s">
        <v>99</v>
      </c>
      <c r="O5" s="391" t="s">
        <v>102</v>
      </c>
      <c r="P5" s="125" t="s">
        <v>106</v>
      </c>
      <c r="Q5" s="126" cm="1">
        <f t="array" ref="Q5">_xlfn.IFS(Q2="w/ OT",12.25,Q2="w/o OT",9.5,Q2="FRI",7.5,Q2="SAT",7.5,Q2="SUN",7.5,Q2="OFF",0)</f>
        <v>9.5</v>
      </c>
      <c r="R5" s="126" cm="1">
        <f t="array" ref="R5">_xlfn.IFS(R2="w/ OT",12.25,R2="w/o OT",9.5,R2="FRI",7.5,R2="SAT",7.5,R2="SUN",7.5,R2="OFF",0)</f>
        <v>9.5</v>
      </c>
      <c r="S5" s="126" cm="1">
        <f t="array" ref="S5">_xlfn.IFS(S2="w/ OT",12.25,S2="w/o OT",9.5,S2="FRI",7.5,S2="SAT",7.5,S2="SUN",7.5,S2="OFF",0)</f>
        <v>9.5</v>
      </c>
      <c r="T5" s="126" cm="1">
        <f t="array" ref="T5">_xlfn.IFS(T2="w/ OT",12.25,T2="w/o OT",9.5,T2="FRI",7.5,T2="SAT",7.5,T2="SUN",7.5,T2="OFF",0)</f>
        <v>9.5</v>
      </c>
      <c r="U5" s="126" cm="1">
        <f t="array" ref="U5">_xlfn.IFS(U2="w/ OT",12.25,U2="w/o OT",9.5,U2="FRI",7.5,U2="SAT",7.5,U2="SUN",7.5,U2="OFF",0)</f>
        <v>7.5</v>
      </c>
      <c r="V5" s="126" cm="1">
        <f t="array" ref="V5">_xlfn.IFS(V2="w/ OT",12.25,V2="w/o OT",9.5,V2="FRI",7.5,V2="SAT",7.5,V2="SUN",7.5,V2="OFF",0)</f>
        <v>7.5</v>
      </c>
      <c r="W5" s="126" cm="1">
        <f t="array" ref="W5">_xlfn.IFS(W2="w/ OT",12.25,W2="w/o OT",9.5,W2="FRI",7.5,W2="SAT",7.5,W2="SUN",7.5,W2="OFF",0)</f>
        <v>9.5</v>
      </c>
      <c r="X5" s="126" cm="1">
        <f t="array" ref="X5">_xlfn.IFS(X2="w/ OT",12.25,X2="w/o OT",9.5,X2="FRI",7.5,X2="SAT",7.5,X2="SUN",7.5,X2="OFF",0)</f>
        <v>9.5</v>
      </c>
      <c r="Y5" s="126" cm="1">
        <f t="array" ref="Y5">_xlfn.IFS(Y2="w/ OT",12.25,Y2="w/o OT",9.5,Y2="FRI",7.5,Y2="SAT",7.5,Y2="SUN",7.5,Y2="OFF",0)</f>
        <v>9.5</v>
      </c>
      <c r="Z5" s="126" cm="1">
        <f t="array" ref="Z5">_xlfn.IFS(Z2="w/ OT",12.25,Z2="w/o OT",9.5,Z2="FRI",7.5,Z2="SAT",7.5,Z2="SUN",7.5,Z2="OFF",0)</f>
        <v>9.5</v>
      </c>
      <c r="AA5" s="126" cm="1">
        <f t="array" ref="AA5">_xlfn.IFS(AA2="w/ OT",12.25,AA2="w/o OT",9.5,AA2="FRI",7.5,AA2="SAT",7.5,AA2="SUN",7.5,AA2="OFF",0)</f>
        <v>7.5</v>
      </c>
      <c r="AB5" s="126" cm="1">
        <f t="array" ref="AB5">_xlfn.IFS(AB2="w/ OT",12.25,AB2="w/o OT",9.5,AB2="FRI",7.5,AB2="SAT",7.5,AB2="SUN",7.5,AB2="OFF",0)</f>
        <v>7.5</v>
      </c>
      <c r="AC5" s="126" cm="1">
        <f t="array" ref="AC5">_xlfn.IFS(AC2="w/ OT",12.25,AC2="w/o OT",9.5,AC2="FRI",7.5,AC2="SAT",7.5,AC2="SUN",7.5,AC2="OFF",0)</f>
        <v>9.5</v>
      </c>
      <c r="AD5" s="126" cm="1">
        <f t="array" ref="AD5">_xlfn.IFS(AD2="w/ OT",12.25,AD2="w/o OT",9.5,AD2="FRI",7.5,AD2="SAT",7.5,AD2="SUN",7.5,AD2="OFF",0)</f>
        <v>9.5</v>
      </c>
      <c r="AE5" s="126" cm="1">
        <f t="array" ref="AE5">_xlfn.IFS(AE2="w/ OT",12.25,AE2="w/o OT",9.5,AE2="FRI",7.5,AE2="SAT",7.5,AE2="SUN",7.5,AE2="OFF",0)</f>
        <v>9.5</v>
      </c>
      <c r="AF5" s="126" cm="1">
        <f t="array" ref="AF5">_xlfn.IFS(AF2="w/ OT",12.25,AF2="w/o OT",9.5,AF2="FRI",7.5,AF2="SAT",7.5,AF2="SUN",7.5,AF2="OFF",0)</f>
        <v>9.5</v>
      </c>
      <c r="AG5" s="126" cm="1">
        <f t="array" ref="AG5">_xlfn.IFS(AG2="w/ OT",12.25,AG2="w/o OT",9.5,AG2="FRI",7.5,AG2="SAT",7.5,AG2="SUN",7.5,AG2="OFF",0)</f>
        <v>7.5</v>
      </c>
      <c r="AH5" s="126" cm="1">
        <f t="array" ref="AH5">_xlfn.IFS(AH2="w/ OT",12.25,AH2="w/o OT",9.5,AH2="FRI",7.5,AH2="SAT",7.5,AH2="SUN",7.5,AH2="OFF",0)</f>
        <v>7.5</v>
      </c>
      <c r="AI5" s="126" cm="1">
        <f t="array" ref="AI5">_xlfn.IFS(AI2="w/ OT",12.25,AI2="w/o OT",9.5,AI2="FRI",7.5,AI2="SAT",7.5,AI2="SUN",7.5,AI2="OFF",0)</f>
        <v>9.5</v>
      </c>
      <c r="AJ5" s="126" cm="1">
        <f t="array" ref="AJ5">_xlfn.IFS(AJ2="w/ OT",12.25,AJ2="w/o OT",9.5,AJ2="FRI",7.5,AJ2="SAT",7.5,AJ2="SUN",7.5,AJ2="OFF",0)</f>
        <v>9.5</v>
      </c>
      <c r="AK5" s="126" cm="1">
        <f t="array" ref="AK5">_xlfn.IFS(AK2="w/ OT",12.25,AK2="w/o OT",9.5,AK2="FRI",7.5,AK2="SAT",7.5,AK2="SUN",7.5,AK2="OFF",0)</f>
        <v>9.5</v>
      </c>
      <c r="AL5" s="126" cm="1">
        <f t="array" ref="AL5">_xlfn.IFS(AL2="w/ OT",12.25,AL2="w/o OT",9.5,AL2="FRI",7.5,AL2="SAT",7.5,AL2="SUN",7.5,AL2="OFF",0)</f>
        <v>9.5</v>
      </c>
      <c r="AM5" s="126" cm="1">
        <f t="array" ref="AM5">_xlfn.IFS(AM2="w/ OT",12.25,AM2="w/o OT",9.5,AM2="FRI",7.5,AM2="SAT",7.5,AM2="SUN",7.5,AM2="OFF",0)</f>
        <v>7.5</v>
      </c>
      <c r="AN5" s="126" cm="1">
        <f t="array" ref="AN5">_xlfn.IFS(AN2="w/ OT",12.25,AN2="w/o OT",9.5,AN2="FRI",7.5,AN2="SAT",7.5,AN2="SUN",7.5,AN2="OFF",0)</f>
        <v>7.5</v>
      </c>
      <c r="AO5" s="126" cm="1">
        <f t="array" ref="AO5">_xlfn.IFS(AO2="w/ OT",12.25,AO2="w/o OT",9.5,AO2="FRI",7.5,AO2="SAT",7.5,AO2="SUN",7.5,AO2="OFF",0)</f>
        <v>9.5</v>
      </c>
      <c r="AP5" s="126" cm="1">
        <f t="array" ref="AP5">_xlfn.IFS(AP2="w/ OT",12.25,AP2="w/o OT",9.5,AP2="FRI",7.5,AP2="SAT",7.5,AP2="SUN",7.5,AP2="OFF",0)</f>
        <v>9.5</v>
      </c>
      <c r="AQ5" s="126" cm="1">
        <f t="array" ref="AQ5">_xlfn.IFS(AQ2="w/ OT",12.25,AQ2="w/o OT",9.5,AQ2="FRI",7.5,AQ2="SAT",7.5,AQ2="SUN",7.5,AQ2="OFF",0)</f>
        <v>9.5</v>
      </c>
      <c r="AR5" s="126" cm="1">
        <f t="array" ref="AR5">_xlfn.IFS(AR2="w/ OT",12.25,AR2="w/o OT",9.5,AR2="FRI",7.5,AR2="SAT",7.5,AR2="SUN",7.5,AR2="OFF",0)</f>
        <v>9.5</v>
      </c>
      <c r="AS5" s="126" cm="1">
        <f t="array" ref="AS5">_xlfn.IFS(AS2="w/ OT",12.25,AS2="w/o OT",9.5,AS2="FRI",7.5,AS2="SAT",7.5,AS2="SUN",7.5,AS2="OFF",0)</f>
        <v>7.5</v>
      </c>
      <c r="AT5" s="126" cm="1">
        <f t="array" ref="AT5">_xlfn.IFS(AT2="w/ OT",12.25,AT2="w/o OT",9.5,AT2="FRI",7.5,AT2="SAT",7.5,AT2="SUN",7.5,AT2="OFF",0)</f>
        <v>7.5</v>
      </c>
      <c r="AU5" s="126" cm="1">
        <f t="array" ref="AU5">_xlfn.IFS(AU2="w/ OT",12.25,AU2="w/o OT",9.5,AU2="FRI",7.5,AU2="SAT",7.5,AU2="SUN",7.5,AU2="OFF",0)</f>
        <v>9.5</v>
      </c>
      <c r="AV5" s="126" cm="1">
        <f t="array" ref="AV5">_xlfn.IFS(AV2="w/ OT",12.25,AV2="w/o OT",9.5,AV2="FRI",7.5,AV2="SAT",7.5,AV2="SUN",7.5,AV2="OFF",0)</f>
        <v>9.5</v>
      </c>
      <c r="AW5" s="126" cm="1">
        <f t="array" ref="AW5">_xlfn.IFS(AW2="w/ OT",12.25,AW2="w/o OT",9.5,AW2="FRI",7.5,AW2="SAT",7.5,AW2="SUN",7.5,AW2="OFF",0)</f>
        <v>9.5</v>
      </c>
      <c r="AX5" s="126" cm="1">
        <f t="array" ref="AX5">_xlfn.IFS(AX2="w/ OT",12.25,AX2="w/o OT",9.5,AX2="FRI",7.5,AX2="SAT",7.5,AX2="SUN",7.5,AX2="OFF",0)</f>
        <v>9.5</v>
      </c>
      <c r="AY5" s="126" cm="1">
        <f t="array" ref="AY5">_xlfn.IFS(AY2="w/ OT",12.25,AY2="w/o OT",9.5,AY2="FRI",7.5,AY2="SAT",7.5,AY2="SUN",7.5,AY2="OFF",0)</f>
        <v>7.5</v>
      </c>
      <c r="AZ5" s="126" cm="1">
        <f t="array" ref="AZ5">_xlfn.IFS(AZ2="w/ OT",12.25,AZ2="w/o OT",9.5,AZ2="FRI",7.5,AZ2="SAT",7.5,AZ2="SUN",7.5,AZ2="OFF",0)</f>
        <v>7.5</v>
      </c>
      <c r="BA5" s="126" cm="1">
        <f t="array" ref="BA5">_xlfn.IFS(BA2="w/ OT",12.25,BA2="w/o OT",9.5,BA2="FRI",7.5,BA2="SAT",7.5,BA2="SUN",7.5,BA2="OFF",0)</f>
        <v>9.5</v>
      </c>
      <c r="BB5" s="126" cm="1">
        <f t="array" ref="BB5">_xlfn.IFS(BB2="w/ OT",12.25,BB2="w/o OT",9.5,BB2="FRI",7.5,BB2="SAT",7.5,BB2="SUN",7.5,BB2="OFF",0)</f>
        <v>9.5</v>
      </c>
      <c r="BC5" s="126" cm="1">
        <f t="array" ref="BC5">_xlfn.IFS(BC2="w/ OT",12.25,BC2="w/o OT",9.5,BC2="FRI",7.5,BC2="SAT",7.5,BC2="SUN",7.5,BC2="OFF",0)</f>
        <v>9.5</v>
      </c>
      <c r="BD5" s="126" cm="1">
        <f t="array" ref="BD5">_xlfn.IFS(BD2="w/ OT",12.25,BD2="w/o OT",9.5,BD2="FRI",7.5,BD2="SAT",7.5,BD2="SUN",7.5,BD2="OFF",0)</f>
        <v>9.5</v>
      </c>
      <c r="BE5" s="126" cm="1">
        <f t="array" ref="BE5">_xlfn.IFS(BE2="w/ OT",12.25,BE2="w/o OT",9.5,BE2="FRI",7.5,BE2="SAT",7.5,BE2="SUN",7.5,BE2="OFF",0)</f>
        <v>7.5</v>
      </c>
      <c r="BF5" s="126" cm="1">
        <f t="array" ref="BF5">_xlfn.IFS(BF2="w/ OT",12.25,BF2="w/o OT",9.5,BF2="FRI",7.5,BF2="SAT",7.5,BF2="SUN",7.5,BF2="OFF",0)</f>
        <v>7.5</v>
      </c>
      <c r="BG5" s="126" cm="1">
        <f t="array" ref="BG5">_xlfn.IFS(BG2="w/ OT",12.25,BG2="w/o OT",9.5,BG2="FRI",7.5,BG2="SAT",7.5,BG2="SUN",7.5,BG2="OFF",0)</f>
        <v>9.5</v>
      </c>
      <c r="BH5" s="126" cm="1">
        <f t="array" ref="BH5">_xlfn.IFS(BH2="w/ OT",12.25,BH2="w/o OT",9.5,BH2="FRI",7.5,BH2="SAT",7.5,BH2="SUN",7.5,BH2="OFF",0)</f>
        <v>9.5</v>
      </c>
      <c r="BI5" s="126" cm="1">
        <f t="array" ref="BI5">_xlfn.IFS(BI2="w/ OT",12.25,BI2="w/o OT",9.5,BI2="FRI",7.5,BI2="SAT",7.5,BI2="SUN",7.5,BI2="OFF",0)</f>
        <v>9.5</v>
      </c>
      <c r="BJ5" s="126" cm="1">
        <f t="array" ref="BJ5">_xlfn.IFS(BJ2="w/ OT",12.25,BJ2="w/o OT",9.5,BJ2="FRI",7.5,BJ2="SAT",7.5,BJ2="SUN",7.5,BJ2="OFF",0)</f>
        <v>9.5</v>
      </c>
      <c r="BK5" s="126" cm="1">
        <f t="array" ref="BK5">_xlfn.IFS(BK2="w/ OT",12.25,BK2="w/o OT",9.5,BK2="FRI",7.5,BK2="SAT",7.5,BK2="SUN",7.5,BK2="OFF",0)</f>
        <v>7.5</v>
      </c>
      <c r="BL5" s="126" cm="1">
        <f t="array" ref="BL5">_xlfn.IFS(BL2="w/ OT",12.25,BL2="w/o OT",9.5,BL2="FRI",7.5,BL2="SAT",7.5,BL2="SUN",7.5,BL2="OFF",0)</f>
        <v>7.5</v>
      </c>
      <c r="BM5" s="126" cm="1">
        <f t="array" ref="BM5">_xlfn.IFS(BM2="w/ OT",12.25,BM2="w/o OT",9.5,BM2="FRI",7.5,BM2="SAT",7.5,BM2="SUN",7.5,BM2="OFF",0)</f>
        <v>9.5</v>
      </c>
      <c r="BN5" s="126" cm="1">
        <f t="array" ref="BN5">_xlfn.IFS(BN2="w/ OT",12.25,BN2="w/o OT",9.5,BN2="FRI",7.5,BN2="SAT",7.5,BN2="SUN",7.5,BN2="OFF",0)</f>
        <v>9.5</v>
      </c>
      <c r="BO5" s="126" cm="1">
        <f t="array" ref="BO5">_xlfn.IFS(BO2="w/ OT",12.25,BO2="w/o OT",9.5,BO2="FRI",7.5,BO2="SAT",7.5,BO2="SUN",7.5,BO2="OFF",0)</f>
        <v>9.5</v>
      </c>
      <c r="BP5" s="126" cm="1">
        <f t="array" ref="BP5">_xlfn.IFS(BP2="w/ OT",12.25,BP2="w/o OT",9.5,BP2="FRI",7.5,BP2="SAT",7.5,BP2="SUN",7.5,BP2="OFF",0)</f>
        <v>9.5</v>
      </c>
      <c r="BQ5" s="126" cm="1">
        <f t="array" ref="BQ5">_xlfn.IFS(BQ2="w/ OT",12.25,BQ2="w/o OT",9.5,BQ2="FRI",7.5,BQ2="SAT",7.5,BQ2="SUN",7.5,BQ2="OFF",0)</f>
        <v>7.5</v>
      </c>
      <c r="BR5" s="126" cm="1">
        <f t="array" ref="BR5">_xlfn.IFS(BR2="w/ OT",12.25,BR2="w/o OT",9.5,BR2="FRI",7.5,BR2="SAT",7.5,BR2="SUN",7.5,BR2="OFF",0)</f>
        <v>7.5</v>
      </c>
      <c r="BS5" s="126" cm="1">
        <f t="array" ref="BS5">_xlfn.IFS(BS2="w/ OT",12.25,BS2="w/o OT",9.5,BS2="FRI",7.5,BS2="SAT",7.5,BS2="SUN",7.5,BS2="OFF",0)</f>
        <v>9.5</v>
      </c>
      <c r="BT5" s="126" cm="1">
        <f t="array" ref="BT5">_xlfn.IFS(BT2="w/ OT",12.25,BT2="w/o OT",9.5,BT2="FRI",7.5,BT2="SAT",7.5,BT2="SUN",7.5,BT2="OFF",0)</f>
        <v>9.5</v>
      </c>
      <c r="BU5" s="126" cm="1">
        <f t="array" ref="BU5">_xlfn.IFS(BU2="w/ OT",12.25,BU2="w/o OT",9.5,BU2="FRI",7.5,BU2="SAT",7.5,BU2="SUN",7.5,BU2="OFF",0)</f>
        <v>9.5</v>
      </c>
      <c r="BV5" s="126" cm="1">
        <f t="array" ref="BV5">_xlfn.IFS(BV2="w/ OT",12.25,BV2="w/o OT",9.5,BV2="FRI",7.5,BV2="SAT",7.5,BV2="SUN",7.5,BV2="OFF",0)</f>
        <v>9.5</v>
      </c>
      <c r="BW5" s="126" cm="1">
        <f t="array" ref="BW5">_xlfn.IFS(BW2="w/ OT",12.25,BW2="w/o OT",9.5,BW2="FRI",7.5,BW2="SAT",7.5,BW2="SUN",7.5,BW2="OFF",0)</f>
        <v>7.5</v>
      </c>
      <c r="BX5" s="126" cm="1">
        <f t="array" ref="BX5">_xlfn.IFS(BX2="w/ OT",12.25,BX2="w/o OT",9.5,BX2="FRI",7.5,BX2="SAT",7.5,BX2="SUN",7.5,BX2="OFF",0)</f>
        <v>7.5</v>
      </c>
      <c r="BY5" s="126" cm="1">
        <f t="array" ref="BY5">_xlfn.IFS(BY2="w/ OT",12.25,BY2="w/o OT",9.5,BY2="FRI",7.5,BY2="SAT",7.5,BY2="SUN",7.5,BY2="OFF",0)</f>
        <v>9.5</v>
      </c>
      <c r="BZ5" s="126" cm="1">
        <f t="array" ref="BZ5">_xlfn.IFS(BZ2="w/ OT",12.25,BZ2="w/o OT",9.5,BZ2="FRI",7.5,BZ2="SAT",7.5,BZ2="SUN",7.5,BZ2="OFF",0)</f>
        <v>9.5</v>
      </c>
      <c r="CA5" s="126" cm="1">
        <f t="array" ref="CA5">_xlfn.IFS(CA2="w/ OT",12.25,CA2="w/o OT",9.5,CA2="FRI",7.5,CA2="SAT",7.5,CA2="SUN",7.5,CA2="OFF",0)</f>
        <v>9.5</v>
      </c>
      <c r="CB5" s="126" cm="1">
        <f t="array" ref="CB5">_xlfn.IFS(CB2="w/ OT",12.25,CB2="w/o OT",9.5,CB2="FRI",7.5,CB2="SAT",7.5,CB2="SUN",7.5,CB2="OFF",0)</f>
        <v>9.5</v>
      </c>
      <c r="CC5" s="126" cm="1">
        <f t="array" ref="CC5">_xlfn.IFS(CC2="w/ OT",12.25,CC2="w/o OT",9.5,CC2="FRI",7.5,CC2="SAT",7.5,CC2="SUN",7.5,CC2="OFF",0)</f>
        <v>7.5</v>
      </c>
      <c r="CD5" s="126" cm="1">
        <f t="array" ref="CD5">_xlfn.IFS(CD2="w/ OT",12.25,CD2="w/o OT",9.5,CD2="FRI",7.5,CD2="SAT",7.5,CD2="SUN",7.5,CD2="OFF",0)</f>
        <v>7.5</v>
      </c>
    </row>
    <row r="6" spans="1:82" ht="15" customHeight="1" x14ac:dyDescent="0.2">
      <c r="A6" s="386"/>
      <c r="B6" s="386"/>
      <c r="C6" s="387"/>
      <c r="D6" s="388"/>
      <c r="E6" s="389"/>
      <c r="F6" s="392"/>
      <c r="G6" s="388"/>
      <c r="H6" s="390"/>
      <c r="I6" s="393"/>
      <c r="J6" s="393"/>
      <c r="K6" s="390"/>
      <c r="L6" s="390"/>
      <c r="M6" s="389"/>
      <c r="N6" s="389"/>
      <c r="O6" s="391"/>
      <c r="P6" s="123" t="s">
        <v>107</v>
      </c>
      <c r="Q6" s="124"/>
      <c r="R6" s="124"/>
      <c r="S6" s="124"/>
      <c r="T6" s="124"/>
      <c r="U6" s="124"/>
      <c r="V6" s="124"/>
      <c r="W6" s="124"/>
      <c r="X6" s="124"/>
      <c r="Y6" s="124"/>
      <c r="Z6" s="124"/>
      <c r="AA6" s="124"/>
      <c r="AB6" s="124"/>
      <c r="AC6" s="124"/>
      <c r="AD6" s="124"/>
      <c r="AE6" s="124"/>
      <c r="AF6" s="124"/>
      <c r="AG6" s="124"/>
      <c r="AH6" s="124"/>
      <c r="AI6" s="124"/>
      <c r="AJ6" s="124"/>
      <c r="AK6" s="124"/>
      <c r="AL6" s="124"/>
      <c r="AM6" s="124"/>
      <c r="AN6" s="124"/>
      <c r="AO6" s="124"/>
      <c r="AP6" s="124"/>
      <c r="AQ6" s="124"/>
      <c r="AR6" s="124"/>
      <c r="AS6" s="124"/>
      <c r="AT6" s="124"/>
      <c r="AU6" s="124"/>
      <c r="AV6" s="124"/>
      <c r="AW6" s="124"/>
      <c r="AX6" s="124"/>
      <c r="AY6" s="124"/>
      <c r="AZ6" s="124"/>
      <c r="BA6" s="124"/>
      <c r="BB6" s="124"/>
      <c r="BC6" s="124"/>
      <c r="BD6" s="124"/>
      <c r="BE6" s="124"/>
      <c r="BF6" s="124"/>
      <c r="BG6" s="124"/>
      <c r="BH6" s="124"/>
      <c r="BI6" s="124"/>
      <c r="BJ6" s="124"/>
      <c r="BK6" s="124"/>
      <c r="BL6" s="124"/>
      <c r="BM6" s="124"/>
      <c r="BN6" s="124"/>
      <c r="BO6" s="124"/>
      <c r="BP6" s="124"/>
      <c r="BQ6" s="124"/>
      <c r="BR6" s="124"/>
      <c r="BS6" s="124"/>
      <c r="BT6" s="124"/>
      <c r="BU6" s="124"/>
      <c r="BV6" s="124"/>
      <c r="BW6" s="124"/>
      <c r="BX6" s="124"/>
      <c r="BY6" s="124"/>
      <c r="BZ6" s="124"/>
      <c r="CA6" s="124"/>
      <c r="CB6" s="124"/>
      <c r="CC6" s="124"/>
      <c r="CD6" s="124"/>
    </row>
    <row r="7" spans="1:82" ht="9" customHeight="1" x14ac:dyDescent="0.2">
      <c r="A7" s="113"/>
      <c r="B7" s="114"/>
      <c r="C7" s="115"/>
      <c r="D7" s="116"/>
      <c r="E7" s="175"/>
      <c r="F7" s="117"/>
      <c r="G7" s="116"/>
      <c r="H7" s="118"/>
      <c r="I7" s="119"/>
      <c r="J7" s="119"/>
      <c r="K7" s="186"/>
      <c r="L7" s="186"/>
      <c r="M7" s="179"/>
      <c r="N7" s="179"/>
      <c r="O7" s="120"/>
      <c r="P7" s="120"/>
      <c r="Q7" s="121"/>
      <c r="R7" s="121"/>
      <c r="S7" s="121"/>
      <c r="T7" s="121"/>
      <c r="U7" s="121"/>
      <c r="V7" s="121"/>
      <c r="W7" s="121"/>
      <c r="X7" s="121"/>
      <c r="Y7" s="121"/>
      <c r="Z7" s="121"/>
      <c r="AA7" s="121"/>
      <c r="AB7" s="121"/>
      <c r="AC7" s="121"/>
      <c r="AD7" s="121"/>
      <c r="AE7" s="121"/>
      <c r="AF7" s="121"/>
      <c r="AG7" s="121"/>
      <c r="AH7" s="121"/>
      <c r="AI7" s="121"/>
      <c r="AJ7" s="121"/>
      <c r="AK7" s="121"/>
      <c r="AL7" s="121"/>
      <c r="AM7" s="121"/>
      <c r="AN7" s="121"/>
      <c r="AO7" s="121"/>
      <c r="AP7" s="121"/>
      <c r="AQ7" s="121"/>
      <c r="AR7" s="121"/>
      <c r="AS7" s="121"/>
      <c r="AT7" s="121"/>
      <c r="AU7" s="121"/>
    </row>
    <row r="8" spans="1:82" ht="12.6" customHeight="1" x14ac:dyDescent="0.2">
      <c r="A8" s="106">
        <f>SHIPMENTS!A14</f>
        <v>9296</v>
      </c>
      <c r="B8" s="106" t="str">
        <f>SHIPMENTS!B14</f>
        <v>15900- Makati |Techiron Resources Inc.</v>
      </c>
      <c r="C8" s="132">
        <f>SHIPMENTS!F14</f>
        <v>0.05</v>
      </c>
      <c r="D8" s="107" t="str">
        <f>IF((SHIPMENTS!I14)=0,"",SHIPMENTS!I14)</f>
        <v/>
      </c>
      <c r="E8" s="176">
        <f>IF((SHIPMENTS!G14)=0,"",SHIPMENTS!G14)</f>
        <v>46314</v>
      </c>
      <c r="F8" s="98">
        <f>VLOOKUP(A8,load!$A$4:$U$5001,20,0)</f>
        <v>0.52966666666666673</v>
      </c>
      <c r="G8" s="109">
        <f>Manhours!$C$7</f>
        <v>9</v>
      </c>
      <c r="H8" s="110">
        <f t="shared" ref="H8:H32" si="0">+G8*$H$4</f>
        <v>81.899999999999991</v>
      </c>
      <c r="I8" s="111">
        <f>F8/H8</f>
        <v>6.4672364672364686E-3</v>
      </c>
      <c r="J8" s="111">
        <f t="shared" ref="J8:J32" si="1">+I8*$H$4</f>
        <v>5.8851851851851864E-2</v>
      </c>
      <c r="K8" s="110">
        <f>IFERROR(I8-(I8*O8),0)</f>
        <v>6.4672364672364686E-3</v>
      </c>
      <c r="L8" s="110">
        <f>IFERROR(J8-(J8*O8),0)</f>
        <v>5.8851851851851864E-2</v>
      </c>
      <c r="M8" s="180">
        <f>M4</f>
        <v>46314</v>
      </c>
      <c r="N8" s="181">
        <f>M8+K8</f>
        <v>46314.006467236468</v>
      </c>
      <c r="O8" s="112">
        <f>VLOOKUP(A8,SHIPMENTS!$A$7:$AP$76,11,0)</f>
        <v>0</v>
      </c>
      <c r="P8" s="112"/>
      <c r="Q8" s="127" t="str">
        <f t="shared" ref="Q8:AF23" si="2">IF($E8=Q$3,"▲","")</f>
        <v>▲</v>
      </c>
      <c r="R8" s="127" t="str">
        <f t="shared" si="2"/>
        <v/>
      </c>
      <c r="S8" s="127" t="str">
        <f t="shared" si="2"/>
        <v/>
      </c>
      <c r="T8" s="127" t="str">
        <f t="shared" si="2"/>
        <v/>
      </c>
      <c r="U8" s="127" t="str">
        <f t="shared" si="2"/>
        <v/>
      </c>
      <c r="V8" s="127" t="str">
        <f t="shared" si="2"/>
        <v/>
      </c>
      <c r="W8" s="127" t="str">
        <f t="shared" si="2"/>
        <v/>
      </c>
      <c r="X8" s="127" t="str">
        <f t="shared" si="2"/>
        <v/>
      </c>
      <c r="Y8" s="127" t="str">
        <f t="shared" si="2"/>
        <v/>
      </c>
      <c r="Z8" s="127" t="str">
        <f t="shared" si="2"/>
        <v/>
      </c>
      <c r="AA8" s="127" t="str">
        <f t="shared" si="2"/>
        <v/>
      </c>
      <c r="AB8" s="127" t="str">
        <f t="shared" si="2"/>
        <v/>
      </c>
      <c r="AC8" s="127" t="str">
        <f t="shared" si="2"/>
        <v/>
      </c>
      <c r="AD8" s="127" t="str">
        <f t="shared" si="2"/>
        <v/>
      </c>
      <c r="AE8" s="127" t="str">
        <f t="shared" si="2"/>
        <v/>
      </c>
      <c r="AF8" s="127" t="str">
        <f t="shared" si="2"/>
        <v/>
      </c>
      <c r="AG8" s="127" t="str">
        <f t="shared" ref="AG8:BF17" si="3">IF($E8=AG$3,"▲","")</f>
        <v/>
      </c>
      <c r="AH8" s="127" t="str">
        <f t="shared" si="3"/>
        <v/>
      </c>
      <c r="AI8" s="127" t="str">
        <f t="shared" si="3"/>
        <v/>
      </c>
      <c r="AJ8" s="127" t="str">
        <f t="shared" si="3"/>
        <v/>
      </c>
      <c r="AK8" s="127" t="str">
        <f t="shared" si="3"/>
        <v/>
      </c>
      <c r="AL8" s="127" t="str">
        <f t="shared" si="3"/>
        <v/>
      </c>
      <c r="AM8" s="127" t="str">
        <f t="shared" si="3"/>
        <v/>
      </c>
      <c r="AN8" s="127" t="str">
        <f t="shared" si="3"/>
        <v/>
      </c>
      <c r="AO8" s="127" t="str">
        <f t="shared" si="3"/>
        <v/>
      </c>
      <c r="AP8" s="127" t="str">
        <f t="shared" si="3"/>
        <v/>
      </c>
      <c r="AQ8" s="127" t="str">
        <f t="shared" si="3"/>
        <v/>
      </c>
      <c r="AR8" s="127" t="str">
        <f t="shared" si="3"/>
        <v/>
      </c>
      <c r="AS8" s="127" t="str">
        <f t="shared" si="3"/>
        <v/>
      </c>
      <c r="AT8" s="127" t="str">
        <f t="shared" si="3"/>
        <v/>
      </c>
      <c r="AU8" s="127" t="str">
        <f t="shared" si="3"/>
        <v/>
      </c>
      <c r="AV8" s="127" t="str">
        <f t="shared" si="3"/>
        <v/>
      </c>
      <c r="AW8" s="127" t="str">
        <f t="shared" si="3"/>
        <v/>
      </c>
      <c r="AX8" s="127" t="str">
        <f t="shared" si="3"/>
        <v/>
      </c>
      <c r="AY8" s="127" t="str">
        <f t="shared" si="3"/>
        <v/>
      </c>
      <c r="AZ8" s="127" t="str">
        <f t="shared" si="3"/>
        <v/>
      </c>
      <c r="BA8" s="127" t="str">
        <f t="shared" si="3"/>
        <v/>
      </c>
      <c r="BB8" s="127" t="str">
        <f t="shared" si="3"/>
        <v/>
      </c>
      <c r="BC8" s="127" t="str">
        <f t="shared" si="3"/>
        <v/>
      </c>
      <c r="BD8" s="127" t="str">
        <f t="shared" si="3"/>
        <v/>
      </c>
      <c r="BE8" s="127" t="str">
        <f t="shared" si="3"/>
        <v/>
      </c>
      <c r="BF8" s="127" t="str">
        <f t="shared" si="3"/>
        <v/>
      </c>
      <c r="BG8" s="127" t="str">
        <f t="shared" ref="BG8:BV17" si="4">IF($E8=BG$3,"▲","")</f>
        <v/>
      </c>
      <c r="BH8" s="127" t="str">
        <f t="shared" si="4"/>
        <v/>
      </c>
      <c r="BI8" s="127" t="str">
        <f t="shared" si="4"/>
        <v/>
      </c>
      <c r="BJ8" s="127" t="str">
        <f t="shared" si="4"/>
        <v/>
      </c>
      <c r="BK8" s="127" t="str">
        <f t="shared" si="4"/>
        <v/>
      </c>
      <c r="BL8" s="127" t="str">
        <f t="shared" si="4"/>
        <v/>
      </c>
      <c r="BM8" s="127" t="str">
        <f t="shared" si="4"/>
        <v/>
      </c>
      <c r="BN8" s="127" t="str">
        <f t="shared" si="4"/>
        <v/>
      </c>
      <c r="BO8" s="127" t="str">
        <f t="shared" si="4"/>
        <v/>
      </c>
      <c r="BP8" s="127" t="str">
        <f t="shared" si="4"/>
        <v/>
      </c>
      <c r="BQ8" s="127" t="str">
        <f t="shared" si="4"/>
        <v/>
      </c>
      <c r="BR8" s="127" t="str">
        <f t="shared" si="4"/>
        <v/>
      </c>
      <c r="BS8" s="127" t="str">
        <f t="shared" si="4"/>
        <v/>
      </c>
      <c r="BT8" s="127" t="str">
        <f t="shared" si="4"/>
        <v/>
      </c>
      <c r="BU8" s="127" t="str">
        <f t="shared" si="4"/>
        <v/>
      </c>
      <c r="BV8" s="127" t="str">
        <f t="shared" si="4"/>
        <v/>
      </c>
      <c r="BW8" s="127" t="str">
        <f t="shared" ref="BS8:CD23" si="5">IF($E8=BW$3,"▲","")</f>
        <v/>
      </c>
      <c r="BX8" s="127" t="str">
        <f t="shared" si="5"/>
        <v/>
      </c>
      <c r="BY8" s="127" t="str">
        <f t="shared" si="5"/>
        <v/>
      </c>
      <c r="BZ8" s="127" t="str">
        <f t="shared" si="5"/>
        <v/>
      </c>
      <c r="CA8" s="127" t="str">
        <f t="shared" si="5"/>
        <v/>
      </c>
      <c r="CB8" s="127" t="str">
        <f t="shared" si="5"/>
        <v/>
      </c>
      <c r="CC8" s="127" t="str">
        <f t="shared" si="5"/>
        <v/>
      </c>
      <c r="CD8" s="127" t="str">
        <f t="shared" si="5"/>
        <v/>
      </c>
    </row>
    <row r="9" spans="1:82" ht="12.6" customHeight="1" x14ac:dyDescent="0.2">
      <c r="A9" s="106">
        <f>SHIPMENTS!A15</f>
        <v>9309</v>
      </c>
      <c r="B9" s="106" t="str">
        <f>SHIPMENTS!B15</f>
        <v>43940-THAILAND</v>
      </c>
      <c r="C9" s="132">
        <f>SHIPMENTS!F15</f>
        <v>6.4030000000000004E-2</v>
      </c>
      <c r="D9" s="107" t="str">
        <f>IF((SHIPMENTS!I15)=0,"",SHIPMENTS!I15)</f>
        <v>AIR</v>
      </c>
      <c r="E9" s="176">
        <f>IF((SHIPMENTS!G15)=0,"",SHIPMENTS!G15)</f>
        <v>46314</v>
      </c>
      <c r="F9" s="98">
        <f>VLOOKUP(A9,load!$A$4:$U$5001,20,0)</f>
        <v>1.0868333333333333</v>
      </c>
      <c r="G9" s="109">
        <f>Manhours!$C$7</f>
        <v>9</v>
      </c>
      <c r="H9" s="98">
        <f t="shared" si="0"/>
        <v>81.899999999999991</v>
      </c>
      <c r="I9" s="99">
        <f t="shared" ref="I9:I32" si="6">F9/H9</f>
        <v>1.3270248270248272E-2</v>
      </c>
      <c r="J9" s="99">
        <f t="shared" si="1"/>
        <v>0.12075925925925927</v>
      </c>
      <c r="K9" s="110">
        <f t="shared" ref="K9:K32" si="7">IFERROR(I9-(I9*O9),0)</f>
        <v>1.3270248270248272E-2</v>
      </c>
      <c r="L9" s="98">
        <f t="shared" ref="L9:L32" si="8">IFERROR(J9-(J9*O9),0)</f>
        <v>0.12075925925925927</v>
      </c>
      <c r="M9" s="181">
        <f t="shared" ref="M9" si="9">N8</f>
        <v>46314.006467236468</v>
      </c>
      <c r="N9" s="181">
        <f t="shared" ref="N9:N32" si="10">M9+K9</f>
        <v>46314.019737484741</v>
      </c>
      <c r="O9" s="112">
        <f>VLOOKUP(A9,SHIPMENTS!$A$7:$AP$76,11,0)</f>
        <v>0</v>
      </c>
      <c r="P9" s="101"/>
      <c r="Q9" s="127" t="str">
        <f t="shared" si="2"/>
        <v>▲</v>
      </c>
      <c r="R9" s="127" t="str">
        <f t="shared" si="2"/>
        <v/>
      </c>
      <c r="S9" s="127" t="str">
        <f t="shared" si="2"/>
        <v/>
      </c>
      <c r="T9" s="127" t="str">
        <f t="shared" si="2"/>
        <v/>
      </c>
      <c r="U9" s="127" t="str">
        <f t="shared" si="2"/>
        <v/>
      </c>
      <c r="V9" s="127" t="str">
        <f t="shared" si="2"/>
        <v/>
      </c>
      <c r="W9" s="127" t="str">
        <f t="shared" si="2"/>
        <v/>
      </c>
      <c r="X9" s="127" t="str">
        <f t="shared" si="2"/>
        <v/>
      </c>
      <c r="Y9" s="127" t="str">
        <f t="shared" si="2"/>
        <v/>
      </c>
      <c r="Z9" s="127" t="str">
        <f t="shared" si="2"/>
        <v/>
      </c>
      <c r="AA9" s="127" t="str">
        <f t="shared" si="2"/>
        <v/>
      </c>
      <c r="AB9" s="127" t="str">
        <f t="shared" si="2"/>
        <v/>
      </c>
      <c r="AC9" s="127" t="str">
        <f t="shared" si="2"/>
        <v/>
      </c>
      <c r="AD9" s="127" t="str">
        <f t="shared" si="2"/>
        <v/>
      </c>
      <c r="AE9" s="127" t="str">
        <f t="shared" si="2"/>
        <v/>
      </c>
      <c r="AF9" s="127" t="str">
        <f t="shared" si="2"/>
        <v/>
      </c>
      <c r="AG9" s="127" t="str">
        <f t="shared" si="3"/>
        <v/>
      </c>
      <c r="AH9" s="127" t="str">
        <f t="shared" si="3"/>
        <v/>
      </c>
      <c r="AI9" s="127" t="str">
        <f t="shared" si="3"/>
        <v/>
      </c>
      <c r="AJ9" s="127" t="str">
        <f t="shared" si="3"/>
        <v/>
      </c>
      <c r="AK9" s="127" t="str">
        <f t="shared" si="3"/>
        <v/>
      </c>
      <c r="AL9" s="127" t="str">
        <f t="shared" si="3"/>
        <v/>
      </c>
      <c r="AM9" s="127" t="str">
        <f t="shared" si="3"/>
        <v/>
      </c>
      <c r="AN9" s="127" t="str">
        <f t="shared" si="3"/>
        <v/>
      </c>
      <c r="AO9" s="127" t="str">
        <f t="shared" si="3"/>
        <v/>
      </c>
      <c r="AP9" s="127" t="str">
        <f t="shared" si="3"/>
        <v/>
      </c>
      <c r="AQ9" s="127" t="str">
        <f t="shared" si="3"/>
        <v/>
      </c>
      <c r="AR9" s="127" t="str">
        <f t="shared" si="3"/>
        <v/>
      </c>
      <c r="AS9" s="127" t="str">
        <f t="shared" si="3"/>
        <v/>
      </c>
      <c r="AT9" s="127" t="str">
        <f t="shared" si="3"/>
        <v/>
      </c>
      <c r="AU9" s="127" t="str">
        <f t="shared" si="3"/>
        <v/>
      </c>
      <c r="AV9" s="127" t="str">
        <f t="shared" si="3"/>
        <v/>
      </c>
      <c r="AW9" s="127" t="str">
        <f t="shared" si="3"/>
        <v/>
      </c>
      <c r="AX9" s="127" t="str">
        <f t="shared" si="3"/>
        <v/>
      </c>
      <c r="AY9" s="127" t="str">
        <f t="shared" si="3"/>
        <v/>
      </c>
      <c r="AZ9" s="127" t="str">
        <f t="shared" si="3"/>
        <v/>
      </c>
      <c r="BA9" s="127" t="str">
        <f t="shared" si="3"/>
        <v/>
      </c>
      <c r="BB9" s="127" t="str">
        <f t="shared" si="3"/>
        <v/>
      </c>
      <c r="BC9" s="127" t="str">
        <f t="shared" si="3"/>
        <v/>
      </c>
      <c r="BD9" s="127" t="str">
        <f t="shared" si="3"/>
        <v/>
      </c>
      <c r="BE9" s="127" t="str">
        <f t="shared" si="3"/>
        <v/>
      </c>
      <c r="BF9" s="127" t="str">
        <f t="shared" si="3"/>
        <v/>
      </c>
      <c r="BG9" s="127" t="str">
        <f t="shared" si="4"/>
        <v/>
      </c>
      <c r="BH9" s="127" t="str">
        <f t="shared" si="4"/>
        <v/>
      </c>
      <c r="BI9" s="127" t="str">
        <f t="shared" si="4"/>
        <v/>
      </c>
      <c r="BJ9" s="127" t="str">
        <f t="shared" si="4"/>
        <v/>
      </c>
      <c r="BK9" s="127" t="str">
        <f t="shared" si="4"/>
        <v/>
      </c>
      <c r="BL9" s="127" t="str">
        <f t="shared" si="4"/>
        <v/>
      </c>
      <c r="BM9" s="127" t="str">
        <f t="shared" si="4"/>
        <v/>
      </c>
      <c r="BN9" s="127" t="str">
        <f t="shared" si="4"/>
        <v/>
      </c>
      <c r="BO9" s="127" t="str">
        <f t="shared" si="4"/>
        <v/>
      </c>
      <c r="BP9" s="127" t="str">
        <f t="shared" si="4"/>
        <v/>
      </c>
      <c r="BQ9" s="127" t="str">
        <f t="shared" si="4"/>
        <v/>
      </c>
      <c r="BR9" s="127" t="str">
        <f t="shared" si="4"/>
        <v/>
      </c>
      <c r="BS9" s="127" t="str">
        <f t="shared" si="5"/>
        <v/>
      </c>
      <c r="BT9" s="127" t="str">
        <f t="shared" si="5"/>
        <v/>
      </c>
      <c r="BU9" s="127" t="str">
        <f t="shared" si="5"/>
        <v/>
      </c>
      <c r="BV9" s="127" t="str">
        <f t="shared" si="5"/>
        <v/>
      </c>
      <c r="BW9" s="127" t="str">
        <f t="shared" si="5"/>
        <v/>
      </c>
      <c r="BX9" s="127" t="str">
        <f t="shared" si="5"/>
        <v/>
      </c>
      <c r="BY9" s="127" t="str">
        <f t="shared" si="5"/>
        <v/>
      </c>
      <c r="BZ9" s="127" t="str">
        <f t="shared" si="5"/>
        <v/>
      </c>
      <c r="CA9" s="127" t="str">
        <f t="shared" si="5"/>
        <v/>
      </c>
      <c r="CB9" s="127" t="str">
        <f t="shared" si="5"/>
        <v/>
      </c>
      <c r="CC9" s="127" t="str">
        <f t="shared" si="5"/>
        <v/>
      </c>
      <c r="CD9" s="127" t="str">
        <f t="shared" si="5"/>
        <v/>
      </c>
    </row>
    <row r="10" spans="1:82" ht="12.6" hidden="1" customHeight="1" x14ac:dyDescent="0.2">
      <c r="A10" s="106">
        <f>SHIPMENTS!A16</f>
        <v>9117</v>
      </c>
      <c r="B10" s="106" t="str">
        <f>SHIPMENTS!B16</f>
        <v>41700-CANADA BSAUNAS</v>
      </c>
      <c r="C10" s="132">
        <f>SHIPMENTS!F16</f>
        <v>83.268000000000001</v>
      </c>
      <c r="D10" s="107" t="str">
        <f>IF((SHIPMENTS!I16)=0,"",SHIPMENTS!I16)</f>
        <v>1X40HC</v>
      </c>
      <c r="E10" s="176">
        <f>IF((SHIPMENTS!G16)=0,"",SHIPMENTS!G16)</f>
        <v>46315</v>
      </c>
      <c r="F10" s="98">
        <f>VLOOKUP(A10,load!$A$4:$U$5001,20,0)</f>
        <v>1.96</v>
      </c>
      <c r="G10" s="109">
        <f>Manhours!$C$7</f>
        <v>9</v>
      </c>
      <c r="H10" s="98">
        <f t="shared" si="0"/>
        <v>81.899999999999991</v>
      </c>
      <c r="I10" s="99">
        <f t="shared" si="6"/>
        <v>2.3931623931623933E-2</v>
      </c>
      <c r="J10" s="99">
        <f t="shared" si="1"/>
        <v>0.21777777777777779</v>
      </c>
      <c r="K10" s="110">
        <f t="shared" si="7"/>
        <v>0</v>
      </c>
      <c r="L10" s="98">
        <f t="shared" si="8"/>
        <v>0</v>
      </c>
      <c r="M10" s="181">
        <f t="shared" ref="M10:M32" si="11">N9</f>
        <v>46314.019737484741</v>
      </c>
      <c r="N10" s="181">
        <f t="shared" si="10"/>
        <v>46314.019737484741</v>
      </c>
      <c r="O10" s="112" t="str">
        <f>VLOOKUP(A10,SHIPMENTS!$A$7:$AP$76,11,0)</f>
        <v>n/a</v>
      </c>
      <c r="P10" s="101"/>
      <c r="Q10" s="127" t="str">
        <f t="shared" si="2"/>
        <v/>
      </c>
      <c r="R10" s="127" t="str">
        <f t="shared" si="2"/>
        <v>▲</v>
      </c>
      <c r="S10" s="127" t="str">
        <f t="shared" si="2"/>
        <v/>
      </c>
      <c r="T10" s="127" t="str">
        <f t="shared" si="2"/>
        <v/>
      </c>
      <c r="U10" s="127" t="str">
        <f t="shared" si="2"/>
        <v/>
      </c>
      <c r="V10" s="127" t="str">
        <f t="shared" si="2"/>
        <v/>
      </c>
      <c r="W10" s="127" t="str">
        <f t="shared" si="2"/>
        <v/>
      </c>
      <c r="X10" s="127" t="str">
        <f t="shared" si="2"/>
        <v/>
      </c>
      <c r="Y10" s="127" t="str">
        <f t="shared" si="2"/>
        <v/>
      </c>
      <c r="Z10" s="127" t="str">
        <f t="shared" si="2"/>
        <v/>
      </c>
      <c r="AA10" s="127" t="str">
        <f t="shared" si="2"/>
        <v/>
      </c>
      <c r="AB10" s="127" t="str">
        <f t="shared" si="2"/>
        <v/>
      </c>
      <c r="AC10" s="127" t="str">
        <f t="shared" si="2"/>
        <v/>
      </c>
      <c r="AD10" s="127" t="str">
        <f t="shared" si="2"/>
        <v/>
      </c>
      <c r="AE10" s="127" t="str">
        <f t="shared" si="2"/>
        <v/>
      </c>
      <c r="AF10" s="127" t="str">
        <f t="shared" si="2"/>
        <v/>
      </c>
      <c r="AG10" s="127" t="str">
        <f t="shared" si="3"/>
        <v/>
      </c>
      <c r="AH10" s="127" t="str">
        <f t="shared" si="3"/>
        <v/>
      </c>
      <c r="AI10" s="127" t="str">
        <f t="shared" si="3"/>
        <v/>
      </c>
      <c r="AJ10" s="127" t="str">
        <f t="shared" si="3"/>
        <v/>
      </c>
      <c r="AK10" s="127" t="str">
        <f t="shared" si="3"/>
        <v/>
      </c>
      <c r="AL10" s="127" t="str">
        <f t="shared" si="3"/>
        <v/>
      </c>
      <c r="AM10" s="127" t="str">
        <f t="shared" si="3"/>
        <v/>
      </c>
      <c r="AN10" s="127" t="str">
        <f t="shared" si="3"/>
        <v/>
      </c>
      <c r="AO10" s="127" t="str">
        <f t="shared" si="3"/>
        <v/>
      </c>
      <c r="AP10" s="127" t="str">
        <f t="shared" si="3"/>
        <v/>
      </c>
      <c r="AQ10" s="127" t="str">
        <f t="shared" si="3"/>
        <v/>
      </c>
      <c r="AR10" s="127" t="str">
        <f t="shared" si="3"/>
        <v/>
      </c>
      <c r="AS10" s="127" t="str">
        <f t="shared" si="3"/>
        <v/>
      </c>
      <c r="AT10" s="127" t="str">
        <f t="shared" si="3"/>
        <v/>
      </c>
      <c r="AU10" s="127" t="str">
        <f t="shared" si="3"/>
        <v/>
      </c>
      <c r="AV10" s="127" t="str">
        <f t="shared" si="3"/>
        <v/>
      </c>
      <c r="AW10" s="127" t="str">
        <f t="shared" si="3"/>
        <v/>
      </c>
      <c r="AX10" s="127" t="str">
        <f t="shared" si="3"/>
        <v/>
      </c>
      <c r="AY10" s="127" t="str">
        <f t="shared" si="3"/>
        <v/>
      </c>
      <c r="AZ10" s="127" t="str">
        <f t="shared" si="3"/>
        <v/>
      </c>
      <c r="BA10" s="127" t="str">
        <f t="shared" si="3"/>
        <v/>
      </c>
      <c r="BB10" s="127" t="str">
        <f t="shared" si="3"/>
        <v/>
      </c>
      <c r="BC10" s="127" t="str">
        <f t="shared" si="3"/>
        <v/>
      </c>
      <c r="BD10" s="127" t="str">
        <f t="shared" si="3"/>
        <v/>
      </c>
      <c r="BE10" s="127" t="str">
        <f t="shared" si="3"/>
        <v/>
      </c>
      <c r="BF10" s="127" t="str">
        <f t="shared" si="3"/>
        <v/>
      </c>
      <c r="BG10" s="127" t="str">
        <f t="shared" si="4"/>
        <v/>
      </c>
      <c r="BH10" s="127" t="str">
        <f t="shared" si="4"/>
        <v/>
      </c>
      <c r="BI10" s="127" t="str">
        <f t="shared" si="4"/>
        <v/>
      </c>
      <c r="BJ10" s="127" t="str">
        <f t="shared" si="4"/>
        <v/>
      </c>
      <c r="BK10" s="127" t="str">
        <f t="shared" si="4"/>
        <v/>
      </c>
      <c r="BL10" s="127" t="str">
        <f t="shared" si="4"/>
        <v/>
      </c>
      <c r="BM10" s="127" t="str">
        <f t="shared" si="4"/>
        <v/>
      </c>
      <c r="BN10" s="127" t="str">
        <f t="shared" si="4"/>
        <v/>
      </c>
      <c r="BO10" s="127" t="str">
        <f t="shared" si="4"/>
        <v/>
      </c>
      <c r="BP10" s="127" t="str">
        <f t="shared" si="4"/>
        <v/>
      </c>
      <c r="BQ10" s="127" t="str">
        <f t="shared" si="4"/>
        <v/>
      </c>
      <c r="BR10" s="127" t="str">
        <f t="shared" si="4"/>
        <v/>
      </c>
      <c r="BS10" s="127" t="str">
        <f t="shared" si="5"/>
        <v/>
      </c>
      <c r="BT10" s="127" t="str">
        <f t="shared" si="5"/>
        <v/>
      </c>
      <c r="BU10" s="127" t="str">
        <f t="shared" si="5"/>
        <v/>
      </c>
      <c r="BV10" s="127" t="str">
        <f t="shared" si="5"/>
        <v/>
      </c>
      <c r="BW10" s="127" t="str">
        <f t="shared" si="5"/>
        <v/>
      </c>
      <c r="BX10" s="127" t="str">
        <f t="shared" si="5"/>
        <v/>
      </c>
      <c r="BY10" s="127" t="str">
        <f t="shared" si="5"/>
        <v/>
      </c>
      <c r="BZ10" s="127" t="str">
        <f t="shared" si="5"/>
        <v/>
      </c>
      <c r="CA10" s="127" t="str">
        <f t="shared" si="5"/>
        <v/>
      </c>
      <c r="CB10" s="127" t="str">
        <f t="shared" si="5"/>
        <v/>
      </c>
      <c r="CC10" s="127" t="str">
        <f t="shared" si="5"/>
        <v/>
      </c>
      <c r="CD10" s="127" t="str">
        <f t="shared" si="5"/>
        <v/>
      </c>
    </row>
    <row r="11" spans="1:82" ht="12.6" hidden="1" customHeight="1" x14ac:dyDescent="0.2">
      <c r="A11" s="106">
        <f>SHIPMENTS!A17</f>
        <v>8641</v>
      </c>
      <c r="B11" s="106" t="str">
        <f>SHIPMENTS!B17</f>
        <v>41700-CANADA BSAUNAS BACKLOG</v>
      </c>
      <c r="C11" s="132">
        <f>SHIPMENTS!F17</f>
        <v>0</v>
      </c>
      <c r="D11" s="107" t="str">
        <f>IF((SHIPMENTS!I17)=0,"",SHIPMENTS!I17)</f>
        <v/>
      </c>
      <c r="E11" s="176">
        <f>IF((SHIPMENTS!G17)=0,"",SHIPMENTS!G17)</f>
        <v>46315</v>
      </c>
      <c r="F11" s="98">
        <f>VLOOKUP(A11,load!$A$4:$U$5001,20,0)</f>
        <v>74.713333333333338</v>
      </c>
      <c r="G11" s="109">
        <f>Manhours!$C$7</f>
        <v>9</v>
      </c>
      <c r="H11" s="98">
        <f t="shared" si="0"/>
        <v>81.899999999999991</v>
      </c>
      <c r="I11" s="99">
        <f t="shared" si="6"/>
        <v>0.91225071225071241</v>
      </c>
      <c r="J11" s="99">
        <f t="shared" si="1"/>
        <v>8.301481481481483</v>
      </c>
      <c r="K11" s="110">
        <f t="shared" si="7"/>
        <v>0</v>
      </c>
      <c r="L11" s="98">
        <f t="shared" si="8"/>
        <v>0</v>
      </c>
      <c r="M11" s="181">
        <f t="shared" si="11"/>
        <v>46314.019737484741</v>
      </c>
      <c r="N11" s="181">
        <f t="shared" si="10"/>
        <v>46314.019737484741</v>
      </c>
      <c r="O11" s="112" t="str">
        <f>VLOOKUP(A11,SHIPMENTS!$A$7:$AP$76,11,0)</f>
        <v>n/a</v>
      </c>
      <c r="P11" s="101"/>
      <c r="Q11" s="127" t="str">
        <f t="shared" si="2"/>
        <v/>
      </c>
      <c r="R11" s="127" t="str">
        <f t="shared" si="2"/>
        <v>▲</v>
      </c>
      <c r="S11" s="127" t="str">
        <f t="shared" si="2"/>
        <v/>
      </c>
      <c r="T11" s="127" t="str">
        <f t="shared" si="2"/>
        <v/>
      </c>
      <c r="U11" s="127" t="str">
        <f t="shared" si="2"/>
        <v/>
      </c>
      <c r="V11" s="127" t="str">
        <f t="shared" si="2"/>
        <v/>
      </c>
      <c r="W11" s="127" t="str">
        <f t="shared" si="2"/>
        <v/>
      </c>
      <c r="X11" s="127" t="str">
        <f t="shared" si="2"/>
        <v/>
      </c>
      <c r="Y11" s="127" t="str">
        <f t="shared" si="2"/>
        <v/>
      </c>
      <c r="Z11" s="127" t="str">
        <f t="shared" si="2"/>
        <v/>
      </c>
      <c r="AA11" s="127" t="str">
        <f t="shared" si="2"/>
        <v/>
      </c>
      <c r="AB11" s="127" t="str">
        <f t="shared" si="2"/>
        <v/>
      </c>
      <c r="AC11" s="127" t="str">
        <f t="shared" si="2"/>
        <v/>
      </c>
      <c r="AD11" s="127" t="str">
        <f t="shared" si="2"/>
        <v/>
      </c>
      <c r="AE11" s="127" t="str">
        <f t="shared" si="2"/>
        <v/>
      </c>
      <c r="AF11" s="127" t="str">
        <f t="shared" si="2"/>
        <v/>
      </c>
      <c r="AG11" s="127" t="str">
        <f t="shared" si="3"/>
        <v/>
      </c>
      <c r="AH11" s="127" t="str">
        <f t="shared" si="3"/>
        <v/>
      </c>
      <c r="AI11" s="127" t="str">
        <f t="shared" si="3"/>
        <v/>
      </c>
      <c r="AJ11" s="127" t="str">
        <f t="shared" si="3"/>
        <v/>
      </c>
      <c r="AK11" s="127" t="str">
        <f t="shared" si="3"/>
        <v/>
      </c>
      <c r="AL11" s="127" t="str">
        <f t="shared" si="3"/>
        <v/>
      </c>
      <c r="AM11" s="127" t="str">
        <f t="shared" si="3"/>
        <v/>
      </c>
      <c r="AN11" s="127" t="str">
        <f t="shared" si="3"/>
        <v/>
      </c>
      <c r="AO11" s="127" t="str">
        <f t="shared" si="3"/>
        <v/>
      </c>
      <c r="AP11" s="127" t="str">
        <f t="shared" si="3"/>
        <v/>
      </c>
      <c r="AQ11" s="127" t="str">
        <f t="shared" si="3"/>
        <v/>
      </c>
      <c r="AR11" s="127" t="str">
        <f t="shared" si="3"/>
        <v/>
      </c>
      <c r="AS11" s="127" t="str">
        <f t="shared" si="3"/>
        <v/>
      </c>
      <c r="AT11" s="127" t="str">
        <f t="shared" si="3"/>
        <v/>
      </c>
      <c r="AU11" s="127" t="str">
        <f t="shared" si="3"/>
        <v/>
      </c>
      <c r="AV11" s="127" t="str">
        <f t="shared" si="3"/>
        <v/>
      </c>
      <c r="AW11" s="127" t="str">
        <f t="shared" si="3"/>
        <v/>
      </c>
      <c r="AX11" s="127" t="str">
        <f t="shared" si="3"/>
        <v/>
      </c>
      <c r="AY11" s="127" t="str">
        <f t="shared" si="3"/>
        <v/>
      </c>
      <c r="AZ11" s="127" t="str">
        <f t="shared" si="3"/>
        <v/>
      </c>
      <c r="BA11" s="127" t="str">
        <f t="shared" si="3"/>
        <v/>
      </c>
      <c r="BB11" s="127" t="str">
        <f t="shared" si="3"/>
        <v/>
      </c>
      <c r="BC11" s="127" t="str">
        <f t="shared" si="3"/>
        <v/>
      </c>
      <c r="BD11" s="127" t="str">
        <f t="shared" si="3"/>
        <v/>
      </c>
      <c r="BE11" s="127" t="str">
        <f t="shared" si="3"/>
        <v/>
      </c>
      <c r="BF11" s="127" t="str">
        <f t="shared" si="3"/>
        <v/>
      </c>
      <c r="BG11" s="127" t="str">
        <f t="shared" si="4"/>
        <v/>
      </c>
      <c r="BH11" s="127" t="str">
        <f t="shared" si="4"/>
        <v/>
      </c>
      <c r="BI11" s="127" t="str">
        <f t="shared" si="4"/>
        <v/>
      </c>
      <c r="BJ11" s="127" t="str">
        <f t="shared" si="4"/>
        <v/>
      </c>
      <c r="BK11" s="127" t="str">
        <f t="shared" si="4"/>
        <v/>
      </c>
      <c r="BL11" s="127" t="str">
        <f t="shared" si="4"/>
        <v/>
      </c>
      <c r="BM11" s="127" t="str">
        <f t="shared" si="4"/>
        <v/>
      </c>
      <c r="BN11" s="127" t="str">
        <f t="shared" si="4"/>
        <v/>
      </c>
      <c r="BO11" s="127" t="str">
        <f t="shared" si="4"/>
        <v/>
      </c>
      <c r="BP11" s="127" t="str">
        <f t="shared" si="4"/>
        <v/>
      </c>
      <c r="BQ11" s="127" t="str">
        <f t="shared" si="4"/>
        <v/>
      </c>
      <c r="BR11" s="127" t="str">
        <f t="shared" si="4"/>
        <v/>
      </c>
      <c r="BS11" s="127" t="str">
        <f t="shared" si="5"/>
        <v/>
      </c>
      <c r="BT11" s="127" t="str">
        <f t="shared" si="5"/>
        <v/>
      </c>
      <c r="BU11" s="127" t="str">
        <f t="shared" si="5"/>
        <v/>
      </c>
      <c r="BV11" s="127" t="str">
        <f t="shared" si="5"/>
        <v/>
      </c>
      <c r="BW11" s="127" t="str">
        <f t="shared" si="5"/>
        <v/>
      </c>
      <c r="BX11" s="127" t="str">
        <f t="shared" si="5"/>
        <v/>
      </c>
      <c r="BY11" s="127" t="str">
        <f t="shared" si="5"/>
        <v/>
      </c>
      <c r="BZ11" s="127" t="str">
        <f t="shared" si="5"/>
        <v/>
      </c>
      <c r="CA11" s="127" t="str">
        <f t="shared" si="5"/>
        <v/>
      </c>
      <c r="CB11" s="127" t="str">
        <f t="shared" si="5"/>
        <v/>
      </c>
      <c r="CC11" s="127" t="str">
        <f t="shared" si="5"/>
        <v/>
      </c>
      <c r="CD11" s="127" t="str">
        <f t="shared" si="5"/>
        <v/>
      </c>
    </row>
    <row r="12" spans="1:82" ht="12.6" hidden="1" customHeight="1" x14ac:dyDescent="0.2">
      <c r="A12" s="106">
        <f>SHIPMENTS!A18</f>
        <v>8102</v>
      </c>
      <c r="B12" s="106" t="str">
        <f>SHIPMENTS!B18</f>
        <v>41700-CANADA BSAUNAS BACKLOG</v>
      </c>
      <c r="C12" s="132">
        <f>SHIPMENTS!F18</f>
        <v>0</v>
      </c>
      <c r="D12" s="107" t="str">
        <f>IF((SHIPMENTS!I18)=0,"",SHIPMENTS!I18)</f>
        <v/>
      </c>
      <c r="E12" s="176">
        <f>IF((SHIPMENTS!G18)=0,"",SHIPMENTS!G18)</f>
        <v>46315</v>
      </c>
      <c r="F12" s="98">
        <f>VLOOKUP(A12,load!$A$4:$U$5001,20,0)</f>
        <v>0</v>
      </c>
      <c r="G12" s="109">
        <f>Manhours!$C$7</f>
        <v>9</v>
      </c>
      <c r="H12" s="98">
        <f t="shared" si="0"/>
        <v>81.899999999999991</v>
      </c>
      <c r="I12" s="99">
        <f t="shared" si="6"/>
        <v>0</v>
      </c>
      <c r="J12" s="99">
        <f t="shared" si="1"/>
        <v>0</v>
      </c>
      <c r="K12" s="110">
        <f t="shared" si="7"/>
        <v>0</v>
      </c>
      <c r="L12" s="98">
        <f t="shared" si="8"/>
        <v>0</v>
      </c>
      <c r="M12" s="181">
        <f t="shared" si="11"/>
        <v>46314.019737484741</v>
      </c>
      <c r="N12" s="181">
        <f t="shared" si="10"/>
        <v>46314.019737484741</v>
      </c>
      <c r="O12" s="112" t="str">
        <f>VLOOKUP(A12,SHIPMENTS!$A$7:$AP$76,11,0)</f>
        <v>n/a</v>
      </c>
      <c r="P12" s="101"/>
      <c r="Q12" s="127" t="str">
        <f t="shared" si="2"/>
        <v/>
      </c>
      <c r="R12" s="127" t="str">
        <f t="shared" si="2"/>
        <v>▲</v>
      </c>
      <c r="S12" s="127" t="str">
        <f t="shared" si="2"/>
        <v/>
      </c>
      <c r="T12" s="127" t="str">
        <f t="shared" si="2"/>
        <v/>
      </c>
      <c r="U12" s="127" t="str">
        <f t="shared" si="2"/>
        <v/>
      </c>
      <c r="V12" s="127" t="str">
        <f t="shared" si="2"/>
        <v/>
      </c>
      <c r="W12" s="127" t="str">
        <f t="shared" si="2"/>
        <v/>
      </c>
      <c r="X12" s="127" t="str">
        <f t="shared" si="2"/>
        <v/>
      </c>
      <c r="Y12" s="127" t="str">
        <f t="shared" si="2"/>
        <v/>
      </c>
      <c r="Z12" s="127" t="str">
        <f t="shared" si="2"/>
        <v/>
      </c>
      <c r="AA12" s="127" t="str">
        <f t="shared" si="2"/>
        <v/>
      </c>
      <c r="AB12" s="127" t="str">
        <f t="shared" si="2"/>
        <v/>
      </c>
      <c r="AC12" s="127" t="str">
        <f t="shared" si="2"/>
        <v/>
      </c>
      <c r="AD12" s="127" t="str">
        <f t="shared" si="2"/>
        <v/>
      </c>
      <c r="AE12" s="127" t="str">
        <f t="shared" si="2"/>
        <v/>
      </c>
      <c r="AF12" s="127" t="str">
        <f t="shared" si="2"/>
        <v/>
      </c>
      <c r="AG12" s="127" t="str">
        <f t="shared" si="3"/>
        <v/>
      </c>
      <c r="AH12" s="127" t="str">
        <f t="shared" si="3"/>
        <v/>
      </c>
      <c r="AI12" s="127" t="str">
        <f t="shared" si="3"/>
        <v/>
      </c>
      <c r="AJ12" s="127" t="str">
        <f t="shared" si="3"/>
        <v/>
      </c>
      <c r="AK12" s="127" t="str">
        <f t="shared" si="3"/>
        <v/>
      </c>
      <c r="AL12" s="127" t="str">
        <f t="shared" si="3"/>
        <v/>
      </c>
      <c r="AM12" s="127" t="str">
        <f t="shared" si="3"/>
        <v/>
      </c>
      <c r="AN12" s="127" t="str">
        <f t="shared" si="3"/>
        <v/>
      </c>
      <c r="AO12" s="127" t="str">
        <f t="shared" si="3"/>
        <v/>
      </c>
      <c r="AP12" s="127" t="str">
        <f t="shared" si="3"/>
        <v/>
      </c>
      <c r="AQ12" s="127" t="str">
        <f t="shared" si="3"/>
        <v/>
      </c>
      <c r="AR12" s="127" t="str">
        <f t="shared" si="3"/>
        <v/>
      </c>
      <c r="AS12" s="127" t="str">
        <f t="shared" si="3"/>
        <v/>
      </c>
      <c r="AT12" s="127" t="str">
        <f t="shared" si="3"/>
        <v/>
      </c>
      <c r="AU12" s="127" t="str">
        <f t="shared" si="3"/>
        <v/>
      </c>
      <c r="AV12" s="127" t="str">
        <f t="shared" si="3"/>
        <v/>
      </c>
      <c r="AW12" s="127" t="str">
        <f t="shared" si="3"/>
        <v/>
      </c>
      <c r="AX12" s="127" t="str">
        <f t="shared" si="3"/>
        <v/>
      </c>
      <c r="AY12" s="127" t="str">
        <f t="shared" si="3"/>
        <v/>
      </c>
      <c r="AZ12" s="127" t="str">
        <f t="shared" si="3"/>
        <v/>
      </c>
      <c r="BA12" s="127" t="str">
        <f t="shared" si="3"/>
        <v/>
      </c>
      <c r="BB12" s="127" t="str">
        <f t="shared" si="3"/>
        <v/>
      </c>
      <c r="BC12" s="127" t="str">
        <f t="shared" si="3"/>
        <v/>
      </c>
      <c r="BD12" s="127" t="str">
        <f t="shared" si="3"/>
        <v/>
      </c>
      <c r="BE12" s="127" t="str">
        <f t="shared" si="3"/>
        <v/>
      </c>
      <c r="BF12" s="127" t="str">
        <f t="shared" si="3"/>
        <v/>
      </c>
      <c r="BG12" s="127" t="str">
        <f t="shared" si="4"/>
        <v/>
      </c>
      <c r="BH12" s="127" t="str">
        <f t="shared" si="4"/>
        <v/>
      </c>
      <c r="BI12" s="127" t="str">
        <f t="shared" si="4"/>
        <v/>
      </c>
      <c r="BJ12" s="127" t="str">
        <f t="shared" si="4"/>
        <v/>
      </c>
      <c r="BK12" s="127" t="str">
        <f t="shared" si="4"/>
        <v/>
      </c>
      <c r="BL12" s="127" t="str">
        <f t="shared" si="4"/>
        <v/>
      </c>
      <c r="BM12" s="127" t="str">
        <f t="shared" si="4"/>
        <v/>
      </c>
      <c r="BN12" s="127" t="str">
        <f t="shared" si="4"/>
        <v/>
      </c>
      <c r="BO12" s="127" t="str">
        <f t="shared" si="4"/>
        <v/>
      </c>
      <c r="BP12" s="127" t="str">
        <f t="shared" si="4"/>
        <v/>
      </c>
      <c r="BQ12" s="127" t="str">
        <f t="shared" si="4"/>
        <v/>
      </c>
      <c r="BR12" s="127" t="str">
        <f t="shared" si="4"/>
        <v/>
      </c>
      <c r="BS12" s="127" t="str">
        <f t="shared" si="5"/>
        <v/>
      </c>
      <c r="BT12" s="127" t="str">
        <f t="shared" si="5"/>
        <v/>
      </c>
      <c r="BU12" s="127" t="str">
        <f t="shared" si="5"/>
        <v/>
      </c>
      <c r="BV12" s="127" t="str">
        <f t="shared" si="5"/>
        <v/>
      </c>
      <c r="BW12" s="127" t="str">
        <f t="shared" si="5"/>
        <v/>
      </c>
      <c r="BX12" s="127" t="str">
        <f t="shared" si="5"/>
        <v/>
      </c>
      <c r="BY12" s="127" t="str">
        <f t="shared" si="5"/>
        <v/>
      </c>
      <c r="BZ12" s="127" t="str">
        <f t="shared" si="5"/>
        <v/>
      </c>
      <c r="CA12" s="127" t="str">
        <f t="shared" si="5"/>
        <v/>
      </c>
      <c r="CB12" s="127" t="str">
        <f t="shared" si="5"/>
        <v/>
      </c>
      <c r="CC12" s="127" t="str">
        <f t="shared" si="5"/>
        <v/>
      </c>
      <c r="CD12" s="127" t="str">
        <f t="shared" si="5"/>
        <v/>
      </c>
    </row>
    <row r="13" spans="1:82" ht="12.6" hidden="1" customHeight="1" x14ac:dyDescent="0.2">
      <c r="A13" s="106">
        <f>SHIPMENTS!A19</f>
        <v>5928</v>
      </c>
      <c r="B13" s="106" t="str">
        <f>SHIPMENTS!B19</f>
        <v>41700-CANADA BSAUNAS BACKLOG</v>
      </c>
      <c r="C13" s="132">
        <f>SHIPMENTS!F19</f>
        <v>0</v>
      </c>
      <c r="D13" s="107" t="str">
        <f>IF((SHIPMENTS!I19)=0,"",SHIPMENTS!I19)</f>
        <v/>
      </c>
      <c r="E13" s="176" t="str">
        <f>IF((SHIPMENTS!G19)=0,"",SHIPMENTS!G19)</f>
        <v/>
      </c>
      <c r="F13" s="98">
        <f>VLOOKUP(A13,load!$A$4:$U$5001,20,0)</f>
        <v>1.5699999999999998</v>
      </c>
      <c r="G13" s="109">
        <f>Manhours!$C$7</f>
        <v>9</v>
      </c>
      <c r="H13" s="98">
        <f t="shared" si="0"/>
        <v>81.899999999999991</v>
      </c>
      <c r="I13" s="99">
        <f t="shared" si="6"/>
        <v>1.9169719169719171E-2</v>
      </c>
      <c r="J13" s="99">
        <f t="shared" si="1"/>
        <v>0.17444444444444446</v>
      </c>
      <c r="K13" s="110">
        <f t="shared" si="7"/>
        <v>0</v>
      </c>
      <c r="L13" s="98">
        <f t="shared" si="8"/>
        <v>0</v>
      </c>
      <c r="M13" s="181">
        <f t="shared" si="11"/>
        <v>46314.019737484741</v>
      </c>
      <c r="N13" s="181">
        <f t="shared" si="10"/>
        <v>46314.019737484741</v>
      </c>
      <c r="O13" s="112" t="str">
        <f>VLOOKUP(A13,SHIPMENTS!$A$7:$AP$76,11,0)</f>
        <v>n/a</v>
      </c>
      <c r="P13" s="101"/>
      <c r="Q13" s="127" t="str">
        <f t="shared" si="2"/>
        <v/>
      </c>
      <c r="R13" s="127" t="str">
        <f t="shared" si="2"/>
        <v/>
      </c>
      <c r="S13" s="127" t="str">
        <f t="shared" si="2"/>
        <v/>
      </c>
      <c r="T13" s="127" t="str">
        <f t="shared" si="2"/>
        <v/>
      </c>
      <c r="U13" s="127" t="str">
        <f t="shared" si="2"/>
        <v/>
      </c>
      <c r="V13" s="127" t="str">
        <f t="shared" si="2"/>
        <v/>
      </c>
      <c r="W13" s="127" t="str">
        <f t="shared" si="2"/>
        <v/>
      </c>
      <c r="X13" s="127" t="str">
        <f t="shared" si="2"/>
        <v/>
      </c>
      <c r="Y13" s="127" t="str">
        <f t="shared" si="2"/>
        <v/>
      </c>
      <c r="Z13" s="127" t="str">
        <f t="shared" si="2"/>
        <v/>
      </c>
      <c r="AA13" s="127" t="str">
        <f t="shared" si="2"/>
        <v/>
      </c>
      <c r="AB13" s="127" t="str">
        <f t="shared" si="2"/>
        <v/>
      </c>
      <c r="AC13" s="127" t="str">
        <f t="shared" si="2"/>
        <v/>
      </c>
      <c r="AD13" s="127" t="str">
        <f t="shared" si="2"/>
        <v/>
      </c>
      <c r="AE13" s="127" t="str">
        <f t="shared" si="2"/>
        <v/>
      </c>
      <c r="AF13" s="127" t="str">
        <f t="shared" si="2"/>
        <v/>
      </c>
      <c r="AG13" s="127" t="str">
        <f t="shared" si="3"/>
        <v/>
      </c>
      <c r="AH13" s="127" t="str">
        <f t="shared" si="3"/>
        <v/>
      </c>
      <c r="AI13" s="127" t="str">
        <f t="shared" si="3"/>
        <v/>
      </c>
      <c r="AJ13" s="127" t="str">
        <f t="shared" si="3"/>
        <v/>
      </c>
      <c r="AK13" s="127" t="str">
        <f t="shared" si="3"/>
        <v/>
      </c>
      <c r="AL13" s="127" t="str">
        <f t="shared" si="3"/>
        <v/>
      </c>
      <c r="AM13" s="127" t="str">
        <f t="shared" si="3"/>
        <v/>
      </c>
      <c r="AN13" s="127" t="str">
        <f t="shared" si="3"/>
        <v/>
      </c>
      <c r="AO13" s="127" t="str">
        <f t="shared" si="3"/>
        <v/>
      </c>
      <c r="AP13" s="127" t="str">
        <f t="shared" si="3"/>
        <v/>
      </c>
      <c r="AQ13" s="127" t="str">
        <f t="shared" si="3"/>
        <v/>
      </c>
      <c r="AR13" s="127" t="str">
        <f t="shared" si="3"/>
        <v/>
      </c>
      <c r="AS13" s="127" t="str">
        <f t="shared" si="3"/>
        <v/>
      </c>
      <c r="AT13" s="127" t="str">
        <f t="shared" si="3"/>
        <v/>
      </c>
      <c r="AU13" s="127" t="str">
        <f t="shared" si="3"/>
        <v/>
      </c>
      <c r="AV13" s="127" t="str">
        <f t="shared" si="3"/>
        <v/>
      </c>
      <c r="AW13" s="127" t="str">
        <f t="shared" si="3"/>
        <v/>
      </c>
      <c r="AX13" s="127" t="str">
        <f t="shared" si="3"/>
        <v/>
      </c>
      <c r="AY13" s="127" t="str">
        <f t="shared" si="3"/>
        <v/>
      </c>
      <c r="AZ13" s="127" t="str">
        <f t="shared" si="3"/>
        <v/>
      </c>
      <c r="BA13" s="127" t="str">
        <f t="shared" si="3"/>
        <v/>
      </c>
      <c r="BB13" s="127" t="str">
        <f t="shared" si="3"/>
        <v/>
      </c>
      <c r="BC13" s="127" t="str">
        <f t="shared" si="3"/>
        <v/>
      </c>
      <c r="BD13" s="127" t="str">
        <f t="shared" si="3"/>
        <v/>
      </c>
      <c r="BE13" s="127" t="str">
        <f t="shared" si="3"/>
        <v/>
      </c>
      <c r="BF13" s="127" t="str">
        <f t="shared" si="3"/>
        <v/>
      </c>
      <c r="BG13" s="127" t="str">
        <f t="shared" si="4"/>
        <v/>
      </c>
      <c r="BH13" s="127" t="str">
        <f t="shared" si="4"/>
        <v/>
      </c>
      <c r="BI13" s="127" t="str">
        <f t="shared" si="4"/>
        <v/>
      </c>
      <c r="BJ13" s="127" t="str">
        <f t="shared" si="4"/>
        <v/>
      </c>
      <c r="BK13" s="127" t="str">
        <f t="shared" si="4"/>
        <v/>
      </c>
      <c r="BL13" s="127" t="str">
        <f t="shared" si="4"/>
        <v/>
      </c>
      <c r="BM13" s="127" t="str">
        <f t="shared" si="4"/>
        <v/>
      </c>
      <c r="BN13" s="127" t="str">
        <f t="shared" si="4"/>
        <v/>
      </c>
      <c r="BO13" s="127" t="str">
        <f t="shared" si="4"/>
        <v/>
      </c>
      <c r="BP13" s="127" t="str">
        <f t="shared" si="4"/>
        <v/>
      </c>
      <c r="BQ13" s="127" t="str">
        <f t="shared" si="4"/>
        <v/>
      </c>
      <c r="BR13" s="127" t="str">
        <f t="shared" si="4"/>
        <v/>
      </c>
      <c r="BS13" s="127" t="str">
        <f t="shared" si="5"/>
        <v/>
      </c>
      <c r="BT13" s="127" t="str">
        <f t="shared" si="5"/>
        <v/>
      </c>
      <c r="BU13" s="127" t="str">
        <f t="shared" si="5"/>
        <v/>
      </c>
      <c r="BV13" s="127" t="str">
        <f t="shared" si="5"/>
        <v/>
      </c>
      <c r="BW13" s="127" t="str">
        <f t="shared" si="5"/>
        <v/>
      </c>
      <c r="BX13" s="127" t="str">
        <f t="shared" si="5"/>
        <v/>
      </c>
      <c r="BY13" s="127" t="str">
        <f t="shared" si="5"/>
        <v/>
      </c>
      <c r="BZ13" s="127" t="str">
        <f t="shared" si="5"/>
        <v/>
      </c>
      <c r="CA13" s="127" t="str">
        <f t="shared" si="5"/>
        <v/>
      </c>
      <c r="CB13" s="127" t="str">
        <f t="shared" si="5"/>
        <v/>
      </c>
      <c r="CC13" s="127" t="str">
        <f t="shared" si="5"/>
        <v/>
      </c>
      <c r="CD13" s="127" t="str">
        <f t="shared" si="5"/>
        <v/>
      </c>
    </row>
    <row r="14" spans="1:82" ht="12.6" hidden="1" customHeight="1" x14ac:dyDescent="0.2">
      <c r="A14" s="106">
        <f>SHIPMENTS!A20</f>
        <v>4781</v>
      </c>
      <c r="B14" s="106" t="str">
        <f>SHIPMENTS!B20</f>
        <v>41700-CANADA BSAUNAS BACKLOG</v>
      </c>
      <c r="C14" s="132">
        <f>SHIPMENTS!F20</f>
        <v>0</v>
      </c>
      <c r="D14" s="107" t="str">
        <f>IF((SHIPMENTS!I20)=0,"",SHIPMENTS!I20)</f>
        <v/>
      </c>
      <c r="E14" s="176" t="str">
        <f>IF((SHIPMENTS!G20)=0,"",SHIPMENTS!G20)</f>
        <v/>
      </c>
      <c r="F14" s="98">
        <f>VLOOKUP(A14,load!$A$4:$U$5001,20,0)</f>
        <v>1.1700000000000002</v>
      </c>
      <c r="G14" s="109">
        <f>Manhours!$C$7</f>
        <v>9</v>
      </c>
      <c r="H14" s="98">
        <f t="shared" si="0"/>
        <v>81.899999999999991</v>
      </c>
      <c r="I14" s="99">
        <f t="shared" si="6"/>
        <v>1.4285714285714289E-2</v>
      </c>
      <c r="J14" s="99">
        <f t="shared" si="1"/>
        <v>0.13000000000000003</v>
      </c>
      <c r="K14" s="110">
        <f t="shared" si="7"/>
        <v>0</v>
      </c>
      <c r="L14" s="98">
        <f t="shared" si="8"/>
        <v>0</v>
      </c>
      <c r="M14" s="181">
        <f t="shared" si="11"/>
        <v>46314.019737484741</v>
      </c>
      <c r="N14" s="181">
        <f t="shared" si="10"/>
        <v>46314.019737484741</v>
      </c>
      <c r="O14" s="112" t="str">
        <f>VLOOKUP(A14,SHIPMENTS!$A$7:$AP$76,11,0)</f>
        <v>n/a</v>
      </c>
      <c r="P14" s="101"/>
      <c r="Q14" s="127" t="str">
        <f t="shared" si="2"/>
        <v/>
      </c>
      <c r="R14" s="127" t="str">
        <f t="shared" si="2"/>
        <v/>
      </c>
      <c r="S14" s="127" t="str">
        <f t="shared" si="2"/>
        <v/>
      </c>
      <c r="T14" s="127" t="str">
        <f t="shared" si="2"/>
        <v/>
      </c>
      <c r="U14" s="127" t="str">
        <f t="shared" si="2"/>
        <v/>
      </c>
      <c r="V14" s="127" t="str">
        <f t="shared" si="2"/>
        <v/>
      </c>
      <c r="W14" s="127" t="str">
        <f t="shared" si="2"/>
        <v/>
      </c>
      <c r="X14" s="127" t="str">
        <f t="shared" si="2"/>
        <v/>
      </c>
      <c r="Y14" s="127" t="str">
        <f t="shared" si="2"/>
        <v/>
      </c>
      <c r="Z14" s="127" t="str">
        <f t="shared" si="2"/>
        <v/>
      </c>
      <c r="AA14" s="127" t="str">
        <f t="shared" si="2"/>
        <v/>
      </c>
      <c r="AB14" s="127" t="str">
        <f t="shared" si="2"/>
        <v/>
      </c>
      <c r="AC14" s="127" t="str">
        <f t="shared" si="2"/>
        <v/>
      </c>
      <c r="AD14" s="127" t="str">
        <f t="shared" si="2"/>
        <v/>
      </c>
      <c r="AE14" s="127" t="str">
        <f t="shared" si="2"/>
        <v/>
      </c>
      <c r="AF14" s="127" t="str">
        <f t="shared" si="2"/>
        <v/>
      </c>
      <c r="AG14" s="127" t="str">
        <f t="shared" si="3"/>
        <v/>
      </c>
      <c r="AH14" s="127" t="str">
        <f t="shared" si="3"/>
        <v/>
      </c>
      <c r="AI14" s="127" t="str">
        <f t="shared" si="3"/>
        <v/>
      </c>
      <c r="AJ14" s="127" t="str">
        <f t="shared" si="3"/>
        <v/>
      </c>
      <c r="AK14" s="127" t="str">
        <f t="shared" si="3"/>
        <v/>
      </c>
      <c r="AL14" s="127" t="str">
        <f t="shared" si="3"/>
        <v/>
      </c>
      <c r="AM14" s="127" t="str">
        <f t="shared" si="3"/>
        <v/>
      </c>
      <c r="AN14" s="127" t="str">
        <f t="shared" si="3"/>
        <v/>
      </c>
      <c r="AO14" s="127" t="str">
        <f t="shared" si="3"/>
        <v/>
      </c>
      <c r="AP14" s="127" t="str">
        <f t="shared" si="3"/>
        <v/>
      </c>
      <c r="AQ14" s="127" t="str">
        <f t="shared" si="3"/>
        <v/>
      </c>
      <c r="AR14" s="127" t="str">
        <f t="shared" si="3"/>
        <v/>
      </c>
      <c r="AS14" s="127" t="str">
        <f t="shared" si="3"/>
        <v/>
      </c>
      <c r="AT14" s="127" t="str">
        <f t="shared" si="3"/>
        <v/>
      </c>
      <c r="AU14" s="127" t="str">
        <f t="shared" si="3"/>
        <v/>
      </c>
      <c r="AV14" s="127" t="str">
        <f t="shared" si="3"/>
        <v/>
      </c>
      <c r="AW14" s="127" t="str">
        <f t="shared" si="3"/>
        <v/>
      </c>
      <c r="AX14" s="127" t="str">
        <f t="shared" si="3"/>
        <v/>
      </c>
      <c r="AY14" s="127" t="str">
        <f t="shared" si="3"/>
        <v/>
      </c>
      <c r="AZ14" s="127" t="str">
        <f t="shared" si="3"/>
        <v/>
      </c>
      <c r="BA14" s="127" t="str">
        <f t="shared" si="3"/>
        <v/>
      </c>
      <c r="BB14" s="127" t="str">
        <f t="shared" si="3"/>
        <v/>
      </c>
      <c r="BC14" s="127" t="str">
        <f t="shared" si="3"/>
        <v/>
      </c>
      <c r="BD14" s="127" t="str">
        <f t="shared" si="3"/>
        <v/>
      </c>
      <c r="BE14" s="127" t="str">
        <f t="shared" si="3"/>
        <v/>
      </c>
      <c r="BF14" s="127" t="str">
        <f t="shared" si="3"/>
        <v/>
      </c>
      <c r="BG14" s="127" t="str">
        <f t="shared" si="4"/>
        <v/>
      </c>
      <c r="BH14" s="127" t="str">
        <f t="shared" si="4"/>
        <v/>
      </c>
      <c r="BI14" s="127" t="str">
        <f t="shared" si="4"/>
        <v/>
      </c>
      <c r="BJ14" s="127" t="str">
        <f t="shared" si="4"/>
        <v/>
      </c>
      <c r="BK14" s="127" t="str">
        <f t="shared" si="4"/>
        <v/>
      </c>
      <c r="BL14" s="127" t="str">
        <f t="shared" si="4"/>
        <v/>
      </c>
      <c r="BM14" s="127" t="str">
        <f t="shared" si="4"/>
        <v/>
      </c>
      <c r="BN14" s="127" t="str">
        <f t="shared" si="4"/>
        <v/>
      </c>
      <c r="BO14" s="127" t="str">
        <f t="shared" si="4"/>
        <v/>
      </c>
      <c r="BP14" s="127" t="str">
        <f t="shared" si="4"/>
        <v/>
      </c>
      <c r="BQ14" s="127" t="str">
        <f t="shared" si="4"/>
        <v/>
      </c>
      <c r="BR14" s="127" t="str">
        <f t="shared" si="4"/>
        <v/>
      </c>
      <c r="BS14" s="127" t="str">
        <f t="shared" si="5"/>
        <v/>
      </c>
      <c r="BT14" s="127" t="str">
        <f t="shared" si="5"/>
        <v/>
      </c>
      <c r="BU14" s="127" t="str">
        <f t="shared" si="5"/>
        <v/>
      </c>
      <c r="BV14" s="127" t="str">
        <f t="shared" si="5"/>
        <v/>
      </c>
      <c r="BW14" s="127" t="str">
        <f t="shared" si="5"/>
        <v/>
      </c>
      <c r="BX14" s="127" t="str">
        <f t="shared" si="5"/>
        <v/>
      </c>
      <c r="BY14" s="127" t="str">
        <f t="shared" si="5"/>
        <v/>
      </c>
      <c r="BZ14" s="127" t="str">
        <f t="shared" si="5"/>
        <v/>
      </c>
      <c r="CA14" s="127" t="str">
        <f t="shared" si="5"/>
        <v/>
      </c>
      <c r="CB14" s="127" t="str">
        <f t="shared" si="5"/>
        <v/>
      </c>
      <c r="CC14" s="127" t="str">
        <f t="shared" si="5"/>
        <v/>
      </c>
      <c r="CD14" s="127" t="str">
        <f t="shared" si="5"/>
        <v/>
      </c>
    </row>
    <row r="15" spans="1:82" ht="12.6" customHeight="1" x14ac:dyDescent="0.2">
      <c r="A15" s="106">
        <f>SHIPMENTS!A21</f>
        <v>9259</v>
      </c>
      <c r="B15" s="106" t="str">
        <f>SHIPMENTS!B21</f>
        <v>27200-UAE</v>
      </c>
      <c r="C15" s="132">
        <f>SHIPMENTS!F21</f>
        <v>7.0000000000000007E-2</v>
      </c>
      <c r="D15" s="107" t="str">
        <f>IF((SHIPMENTS!I21)=0,"",SHIPMENTS!I21)</f>
        <v>AIR</v>
      </c>
      <c r="E15" s="176">
        <f>IF((SHIPMENTS!G21)=0,"",SHIPMENTS!G21)</f>
        <v>46316</v>
      </c>
      <c r="F15" s="98">
        <f>VLOOKUP(A15,load!$A$4:$U$5001,20,0)</f>
        <v>0</v>
      </c>
      <c r="G15" s="109">
        <f>Manhours!$C$7</f>
        <v>9</v>
      </c>
      <c r="H15" s="98">
        <f t="shared" si="0"/>
        <v>81.899999999999991</v>
      </c>
      <c r="I15" s="99">
        <f t="shared" si="6"/>
        <v>0</v>
      </c>
      <c r="J15" s="99">
        <f t="shared" si="1"/>
        <v>0</v>
      </c>
      <c r="K15" s="110">
        <f t="shared" si="7"/>
        <v>0</v>
      </c>
      <c r="L15" s="98">
        <f t="shared" si="8"/>
        <v>0</v>
      </c>
      <c r="M15" s="181">
        <f t="shared" si="11"/>
        <v>46314.019737484741</v>
      </c>
      <c r="N15" s="181">
        <f t="shared" si="10"/>
        <v>46314.019737484741</v>
      </c>
      <c r="O15" s="112">
        <f>VLOOKUP(A15,SHIPMENTS!$A$7:$AP$76,11,0)</f>
        <v>0</v>
      </c>
      <c r="P15" s="101"/>
      <c r="Q15" s="127" t="str">
        <f t="shared" si="2"/>
        <v/>
      </c>
      <c r="R15" s="127" t="str">
        <f t="shared" si="2"/>
        <v/>
      </c>
      <c r="S15" s="127" t="str">
        <f t="shared" si="2"/>
        <v>▲</v>
      </c>
      <c r="T15" s="127" t="str">
        <f t="shared" si="2"/>
        <v/>
      </c>
      <c r="U15" s="127" t="str">
        <f t="shared" si="2"/>
        <v/>
      </c>
      <c r="V15" s="127" t="str">
        <f t="shared" si="2"/>
        <v/>
      </c>
      <c r="W15" s="127" t="str">
        <f t="shared" si="2"/>
        <v/>
      </c>
      <c r="X15" s="127" t="str">
        <f t="shared" si="2"/>
        <v/>
      </c>
      <c r="Y15" s="127" t="str">
        <f t="shared" si="2"/>
        <v/>
      </c>
      <c r="Z15" s="127" t="str">
        <f t="shared" si="2"/>
        <v/>
      </c>
      <c r="AA15" s="127" t="str">
        <f t="shared" si="2"/>
        <v/>
      </c>
      <c r="AB15" s="127" t="str">
        <f t="shared" si="2"/>
        <v/>
      </c>
      <c r="AC15" s="127" t="str">
        <f t="shared" si="2"/>
        <v/>
      </c>
      <c r="AD15" s="127" t="str">
        <f t="shared" si="2"/>
        <v/>
      </c>
      <c r="AE15" s="127" t="str">
        <f t="shared" si="2"/>
        <v/>
      </c>
      <c r="AF15" s="127" t="str">
        <f t="shared" si="2"/>
        <v/>
      </c>
      <c r="AG15" s="127" t="str">
        <f t="shared" si="3"/>
        <v/>
      </c>
      <c r="AH15" s="127" t="str">
        <f t="shared" si="3"/>
        <v/>
      </c>
      <c r="AI15" s="127" t="str">
        <f t="shared" si="3"/>
        <v/>
      </c>
      <c r="AJ15" s="127" t="str">
        <f t="shared" si="3"/>
        <v/>
      </c>
      <c r="AK15" s="127" t="str">
        <f t="shared" si="3"/>
        <v/>
      </c>
      <c r="AL15" s="127" t="str">
        <f t="shared" si="3"/>
        <v/>
      </c>
      <c r="AM15" s="127" t="str">
        <f t="shared" si="3"/>
        <v/>
      </c>
      <c r="AN15" s="127" t="str">
        <f t="shared" si="3"/>
        <v/>
      </c>
      <c r="AO15" s="127" t="str">
        <f t="shared" si="3"/>
        <v/>
      </c>
      <c r="AP15" s="127" t="str">
        <f t="shared" si="3"/>
        <v/>
      </c>
      <c r="AQ15" s="127" t="str">
        <f t="shared" si="3"/>
        <v/>
      </c>
      <c r="AR15" s="127" t="str">
        <f t="shared" si="3"/>
        <v/>
      </c>
      <c r="AS15" s="127" t="str">
        <f t="shared" si="3"/>
        <v/>
      </c>
      <c r="AT15" s="127" t="str">
        <f t="shared" si="3"/>
        <v/>
      </c>
      <c r="AU15" s="127" t="str">
        <f t="shared" si="3"/>
        <v/>
      </c>
      <c r="AV15" s="127" t="str">
        <f t="shared" si="3"/>
        <v/>
      </c>
      <c r="AW15" s="127" t="str">
        <f t="shared" si="3"/>
        <v/>
      </c>
      <c r="AX15" s="127" t="str">
        <f t="shared" si="3"/>
        <v/>
      </c>
      <c r="AY15" s="127" t="str">
        <f t="shared" si="3"/>
        <v/>
      </c>
      <c r="AZ15" s="127" t="str">
        <f t="shared" si="3"/>
        <v/>
      </c>
      <c r="BA15" s="127" t="str">
        <f t="shared" si="3"/>
        <v/>
      </c>
      <c r="BB15" s="127" t="str">
        <f t="shared" si="3"/>
        <v/>
      </c>
      <c r="BC15" s="127" t="str">
        <f t="shared" si="3"/>
        <v/>
      </c>
      <c r="BD15" s="127" t="str">
        <f t="shared" si="3"/>
        <v/>
      </c>
      <c r="BE15" s="127" t="str">
        <f t="shared" si="3"/>
        <v/>
      </c>
      <c r="BF15" s="127" t="str">
        <f t="shared" si="3"/>
        <v/>
      </c>
      <c r="BG15" s="127" t="str">
        <f t="shared" si="4"/>
        <v/>
      </c>
      <c r="BH15" s="127" t="str">
        <f t="shared" si="4"/>
        <v/>
      </c>
      <c r="BI15" s="127" t="str">
        <f t="shared" si="4"/>
        <v/>
      </c>
      <c r="BJ15" s="127" t="str">
        <f t="shared" si="4"/>
        <v/>
      </c>
      <c r="BK15" s="127" t="str">
        <f t="shared" si="4"/>
        <v/>
      </c>
      <c r="BL15" s="127" t="str">
        <f t="shared" si="4"/>
        <v/>
      </c>
      <c r="BM15" s="127" t="str">
        <f t="shared" si="4"/>
        <v/>
      </c>
      <c r="BN15" s="127" t="str">
        <f t="shared" si="4"/>
        <v/>
      </c>
      <c r="BO15" s="127" t="str">
        <f t="shared" si="4"/>
        <v/>
      </c>
      <c r="BP15" s="127" t="str">
        <f t="shared" si="4"/>
        <v/>
      </c>
      <c r="BQ15" s="127" t="str">
        <f t="shared" si="4"/>
        <v/>
      </c>
      <c r="BR15" s="127" t="str">
        <f t="shared" si="4"/>
        <v/>
      </c>
      <c r="BS15" s="127" t="str">
        <f t="shared" si="5"/>
        <v/>
      </c>
      <c r="BT15" s="127" t="str">
        <f t="shared" si="5"/>
        <v/>
      </c>
      <c r="BU15" s="127" t="str">
        <f t="shared" si="5"/>
        <v/>
      </c>
      <c r="BV15" s="127" t="str">
        <f t="shared" si="5"/>
        <v/>
      </c>
      <c r="BW15" s="127" t="str">
        <f t="shared" si="5"/>
        <v/>
      </c>
      <c r="BX15" s="127" t="str">
        <f t="shared" si="5"/>
        <v/>
      </c>
      <c r="BY15" s="127" t="str">
        <f t="shared" si="5"/>
        <v/>
      </c>
      <c r="BZ15" s="127" t="str">
        <f t="shared" si="5"/>
        <v/>
      </c>
      <c r="CA15" s="127" t="str">
        <f t="shared" si="5"/>
        <v/>
      </c>
      <c r="CB15" s="127" t="str">
        <f t="shared" si="5"/>
        <v/>
      </c>
      <c r="CC15" s="127" t="str">
        <f t="shared" si="5"/>
        <v/>
      </c>
      <c r="CD15" s="127" t="str">
        <f t="shared" si="5"/>
        <v/>
      </c>
    </row>
    <row r="16" spans="1:82" ht="12.6" customHeight="1" x14ac:dyDescent="0.2">
      <c r="A16" s="106">
        <f>SHIPMENTS!A22</f>
        <v>8765</v>
      </c>
      <c r="B16" s="106" t="str">
        <f>SHIPMENTS!B22</f>
        <v>8200-AUSTRALIA</v>
      </c>
      <c r="C16" s="132">
        <f>SHIPMENTS!F22</f>
        <v>64.930000000000007</v>
      </c>
      <c r="D16" s="107" t="str">
        <f>IF((SHIPMENTS!I22)=0,"",SHIPMENTS!I22)</f>
        <v>1X40HC</v>
      </c>
      <c r="E16" s="176">
        <f>IF((SHIPMENTS!G22)=0,"",SHIPMENTS!G22)</f>
        <v>46316</v>
      </c>
      <c r="F16" s="98">
        <f>VLOOKUP(A16,load!$A$4:$U$5001,20,0)</f>
        <v>119.61116666666666</v>
      </c>
      <c r="G16" s="109">
        <f>Manhours!$C$7</f>
        <v>9</v>
      </c>
      <c r="H16" s="98">
        <f t="shared" si="0"/>
        <v>81.899999999999991</v>
      </c>
      <c r="I16" s="99">
        <f t="shared" si="6"/>
        <v>1.4604538054538057</v>
      </c>
      <c r="J16" s="99">
        <f t="shared" si="1"/>
        <v>13.290129629629631</v>
      </c>
      <c r="K16" s="110">
        <f t="shared" si="7"/>
        <v>0.18985899470899481</v>
      </c>
      <c r="L16" s="98">
        <f t="shared" si="8"/>
        <v>1.7277168518518522</v>
      </c>
      <c r="M16" s="181">
        <f t="shared" si="11"/>
        <v>46314.019737484741</v>
      </c>
      <c r="N16" s="181">
        <f t="shared" si="10"/>
        <v>46314.20959647945</v>
      </c>
      <c r="O16" s="112">
        <f>VLOOKUP(A16,SHIPMENTS!$A$7:$AP$76,11,0)</f>
        <v>0.87</v>
      </c>
      <c r="P16" s="101"/>
      <c r="Q16" s="127" t="str">
        <f t="shared" si="2"/>
        <v/>
      </c>
      <c r="R16" s="127" t="str">
        <f t="shared" si="2"/>
        <v/>
      </c>
      <c r="S16" s="127" t="str">
        <f t="shared" si="2"/>
        <v>▲</v>
      </c>
      <c r="T16" s="127" t="str">
        <f t="shared" si="2"/>
        <v/>
      </c>
      <c r="U16" s="127" t="str">
        <f t="shared" si="2"/>
        <v/>
      </c>
      <c r="V16" s="127" t="str">
        <f t="shared" si="2"/>
        <v/>
      </c>
      <c r="W16" s="127" t="str">
        <f t="shared" si="2"/>
        <v/>
      </c>
      <c r="X16" s="127" t="str">
        <f t="shared" si="2"/>
        <v/>
      </c>
      <c r="Y16" s="127" t="str">
        <f t="shared" si="2"/>
        <v/>
      </c>
      <c r="Z16" s="127" t="str">
        <f t="shared" si="2"/>
        <v/>
      </c>
      <c r="AA16" s="127" t="str">
        <f t="shared" si="2"/>
        <v/>
      </c>
      <c r="AB16" s="127" t="str">
        <f t="shared" si="2"/>
        <v/>
      </c>
      <c r="AC16" s="127" t="str">
        <f t="shared" si="2"/>
        <v/>
      </c>
      <c r="AD16" s="127" t="str">
        <f t="shared" si="2"/>
        <v/>
      </c>
      <c r="AE16" s="127" t="str">
        <f t="shared" si="2"/>
        <v/>
      </c>
      <c r="AF16" s="127" t="str">
        <f t="shared" si="2"/>
        <v/>
      </c>
      <c r="AG16" s="127" t="str">
        <f t="shared" si="3"/>
        <v/>
      </c>
      <c r="AH16" s="127" t="str">
        <f t="shared" si="3"/>
        <v/>
      </c>
      <c r="AI16" s="127" t="str">
        <f t="shared" si="3"/>
        <v/>
      </c>
      <c r="AJ16" s="127" t="str">
        <f t="shared" si="3"/>
        <v/>
      </c>
      <c r="AK16" s="127" t="str">
        <f t="shared" si="3"/>
        <v/>
      </c>
      <c r="AL16" s="127" t="str">
        <f t="shared" si="3"/>
        <v/>
      </c>
      <c r="AM16" s="127" t="str">
        <f t="shared" si="3"/>
        <v/>
      </c>
      <c r="AN16" s="127" t="str">
        <f t="shared" si="3"/>
        <v/>
      </c>
      <c r="AO16" s="127" t="str">
        <f t="shared" si="3"/>
        <v/>
      </c>
      <c r="AP16" s="127" t="str">
        <f t="shared" si="3"/>
        <v/>
      </c>
      <c r="AQ16" s="127" t="str">
        <f t="shared" si="3"/>
        <v/>
      </c>
      <c r="AR16" s="127" t="str">
        <f t="shared" si="3"/>
        <v/>
      </c>
      <c r="AS16" s="127" t="str">
        <f t="shared" si="3"/>
        <v/>
      </c>
      <c r="AT16" s="127" t="str">
        <f t="shared" si="3"/>
        <v/>
      </c>
      <c r="AU16" s="127" t="str">
        <f t="shared" si="3"/>
        <v/>
      </c>
      <c r="AV16" s="127" t="str">
        <f t="shared" si="3"/>
        <v/>
      </c>
      <c r="AW16" s="127" t="str">
        <f t="shared" si="3"/>
        <v/>
      </c>
      <c r="AX16" s="127" t="str">
        <f t="shared" si="3"/>
        <v/>
      </c>
      <c r="AY16" s="127" t="str">
        <f t="shared" si="3"/>
        <v/>
      </c>
      <c r="AZ16" s="127" t="str">
        <f t="shared" si="3"/>
        <v/>
      </c>
      <c r="BA16" s="127" t="str">
        <f t="shared" si="3"/>
        <v/>
      </c>
      <c r="BB16" s="127" t="str">
        <f t="shared" si="3"/>
        <v/>
      </c>
      <c r="BC16" s="127" t="str">
        <f t="shared" si="3"/>
        <v/>
      </c>
      <c r="BD16" s="127" t="str">
        <f t="shared" si="3"/>
        <v/>
      </c>
      <c r="BE16" s="127" t="str">
        <f t="shared" si="3"/>
        <v/>
      </c>
      <c r="BF16" s="127" t="str">
        <f t="shared" si="3"/>
        <v/>
      </c>
      <c r="BG16" s="127" t="str">
        <f t="shared" si="4"/>
        <v/>
      </c>
      <c r="BH16" s="127" t="str">
        <f t="shared" si="4"/>
        <v/>
      </c>
      <c r="BI16" s="127" t="str">
        <f t="shared" si="4"/>
        <v/>
      </c>
      <c r="BJ16" s="127" t="str">
        <f t="shared" si="4"/>
        <v/>
      </c>
      <c r="BK16" s="127" t="str">
        <f t="shared" si="4"/>
        <v/>
      </c>
      <c r="BL16" s="127" t="str">
        <f t="shared" si="4"/>
        <v/>
      </c>
      <c r="BM16" s="127" t="str">
        <f t="shared" si="4"/>
        <v/>
      </c>
      <c r="BN16" s="127" t="str">
        <f t="shared" si="4"/>
        <v/>
      </c>
      <c r="BO16" s="127" t="str">
        <f t="shared" si="4"/>
        <v/>
      </c>
      <c r="BP16" s="127" t="str">
        <f t="shared" si="4"/>
        <v/>
      </c>
      <c r="BQ16" s="127" t="str">
        <f t="shared" si="4"/>
        <v/>
      </c>
      <c r="BR16" s="127" t="str">
        <f t="shared" si="4"/>
        <v/>
      </c>
      <c r="BS16" s="127" t="str">
        <f t="shared" si="5"/>
        <v/>
      </c>
      <c r="BT16" s="127" t="str">
        <f t="shared" si="5"/>
        <v/>
      </c>
      <c r="BU16" s="127" t="str">
        <f t="shared" si="5"/>
        <v/>
      </c>
      <c r="BV16" s="127" t="str">
        <f t="shared" si="5"/>
        <v/>
      </c>
      <c r="BW16" s="127" t="str">
        <f t="shared" si="5"/>
        <v/>
      </c>
      <c r="BX16" s="127" t="str">
        <f t="shared" si="5"/>
        <v/>
      </c>
      <c r="BY16" s="127" t="str">
        <f t="shared" si="5"/>
        <v/>
      </c>
      <c r="BZ16" s="127" t="str">
        <f t="shared" si="5"/>
        <v/>
      </c>
      <c r="CA16" s="127" t="str">
        <f t="shared" si="5"/>
        <v/>
      </c>
      <c r="CB16" s="127" t="str">
        <f t="shared" si="5"/>
        <v/>
      </c>
      <c r="CC16" s="127" t="str">
        <f t="shared" si="5"/>
        <v/>
      </c>
      <c r="CD16" s="127" t="str">
        <f t="shared" si="5"/>
        <v/>
      </c>
    </row>
    <row r="17" spans="1:82" ht="12.6" customHeight="1" x14ac:dyDescent="0.2">
      <c r="A17" s="106">
        <f>SHIPMENTS!A23</f>
        <v>7919</v>
      </c>
      <c r="B17" s="106" t="str">
        <f>SHIPMENTS!B23</f>
        <v>8200-AUSTRALIA</v>
      </c>
      <c r="C17" s="132">
        <f>SHIPMENTS!F23</f>
        <v>0</v>
      </c>
      <c r="D17" s="107" t="str">
        <f>IF((SHIPMENTS!I23)=0,"",SHIPMENTS!I23)</f>
        <v/>
      </c>
      <c r="E17" s="176" t="str">
        <f>IF((SHIPMENTS!G23)=0,"",SHIPMENTS!G23)</f>
        <v/>
      </c>
      <c r="F17" s="98">
        <f>VLOOKUP(A17,load!$A$4:$U$5001,20,0)</f>
        <v>3.0000000000000002E-2</v>
      </c>
      <c r="G17" s="109">
        <f>Manhours!$C$7</f>
        <v>9</v>
      </c>
      <c r="H17" s="98">
        <f t="shared" si="0"/>
        <v>81.899999999999991</v>
      </c>
      <c r="I17" s="99">
        <f t="shared" si="6"/>
        <v>3.6630036630036635E-4</v>
      </c>
      <c r="J17" s="99">
        <f t="shared" si="1"/>
        <v>3.3333333333333335E-3</v>
      </c>
      <c r="K17" s="110">
        <f t="shared" si="7"/>
        <v>0</v>
      </c>
      <c r="L17" s="98">
        <f t="shared" si="8"/>
        <v>0</v>
      </c>
      <c r="M17" s="181">
        <f t="shared" si="11"/>
        <v>46314.20959647945</v>
      </c>
      <c r="N17" s="181">
        <f t="shared" si="10"/>
        <v>46314.20959647945</v>
      </c>
      <c r="O17" s="112">
        <f>VLOOKUP(A17,SHIPMENTS!$A$7:$AP$76,11,0)</f>
        <v>1</v>
      </c>
      <c r="P17" s="101"/>
      <c r="Q17" s="127" t="str">
        <f t="shared" si="2"/>
        <v/>
      </c>
      <c r="R17" s="127" t="str">
        <f t="shared" si="2"/>
        <v/>
      </c>
      <c r="S17" s="127" t="str">
        <f t="shared" si="2"/>
        <v/>
      </c>
      <c r="T17" s="127" t="str">
        <f t="shared" si="2"/>
        <v/>
      </c>
      <c r="U17" s="127" t="str">
        <f t="shared" si="2"/>
        <v/>
      </c>
      <c r="V17" s="127" t="str">
        <f t="shared" si="2"/>
        <v/>
      </c>
      <c r="W17" s="127" t="str">
        <f t="shared" si="2"/>
        <v/>
      </c>
      <c r="X17" s="127" t="str">
        <f t="shared" si="2"/>
        <v/>
      </c>
      <c r="Y17" s="127" t="str">
        <f t="shared" si="2"/>
        <v/>
      </c>
      <c r="Z17" s="127" t="str">
        <f t="shared" si="2"/>
        <v/>
      </c>
      <c r="AA17" s="127" t="str">
        <f t="shared" si="2"/>
        <v/>
      </c>
      <c r="AB17" s="127" t="str">
        <f t="shared" si="2"/>
        <v/>
      </c>
      <c r="AC17" s="127" t="str">
        <f t="shared" si="2"/>
        <v/>
      </c>
      <c r="AD17" s="127" t="str">
        <f t="shared" si="2"/>
        <v/>
      </c>
      <c r="AE17" s="127" t="str">
        <f t="shared" si="2"/>
        <v/>
      </c>
      <c r="AF17" s="127" t="str">
        <f t="shared" si="2"/>
        <v/>
      </c>
      <c r="AG17" s="127" t="str">
        <f t="shared" si="3"/>
        <v/>
      </c>
      <c r="AH17" s="127" t="str">
        <f t="shared" si="3"/>
        <v/>
      </c>
      <c r="AI17" s="127" t="str">
        <f t="shared" si="3"/>
        <v/>
      </c>
      <c r="AJ17" s="127" t="str">
        <f t="shared" si="3"/>
        <v/>
      </c>
      <c r="AK17" s="127" t="str">
        <f t="shared" si="3"/>
        <v/>
      </c>
      <c r="AL17" s="127" t="str">
        <f t="shared" si="3"/>
        <v/>
      </c>
      <c r="AM17" s="127" t="str">
        <f t="shared" si="3"/>
        <v/>
      </c>
      <c r="AN17" s="127" t="str">
        <f t="shared" si="3"/>
        <v/>
      </c>
      <c r="AO17" s="127" t="str">
        <f t="shared" si="3"/>
        <v/>
      </c>
      <c r="AP17" s="127" t="str">
        <f t="shared" si="3"/>
        <v/>
      </c>
      <c r="AQ17" s="127" t="str">
        <f t="shared" si="3"/>
        <v/>
      </c>
      <c r="AR17" s="127" t="str">
        <f t="shared" si="3"/>
        <v/>
      </c>
      <c r="AS17" s="127" t="str">
        <f t="shared" si="3"/>
        <v/>
      </c>
      <c r="AT17" s="127" t="str">
        <f t="shared" si="3"/>
        <v/>
      </c>
      <c r="AU17" s="127" t="str">
        <f t="shared" si="3"/>
        <v/>
      </c>
      <c r="AV17" s="127" t="str">
        <f t="shared" si="3"/>
        <v/>
      </c>
      <c r="AW17" s="127" t="str">
        <f t="shared" si="3"/>
        <v/>
      </c>
      <c r="AX17" s="127" t="str">
        <f t="shared" si="3"/>
        <v/>
      </c>
      <c r="AY17" s="127" t="str">
        <f t="shared" si="3"/>
        <v/>
      </c>
      <c r="AZ17" s="127" t="str">
        <f t="shared" si="3"/>
        <v/>
      </c>
      <c r="BA17" s="127" t="str">
        <f t="shared" si="3"/>
        <v/>
      </c>
      <c r="BB17" s="127" t="str">
        <f t="shared" ref="BB17:CD33" si="12">IF($E17=BB$3,"▲","")</f>
        <v/>
      </c>
      <c r="BC17" s="127" t="str">
        <f t="shared" si="12"/>
        <v/>
      </c>
      <c r="BD17" s="127" t="str">
        <f t="shared" si="12"/>
        <v/>
      </c>
      <c r="BE17" s="127" t="str">
        <f t="shared" si="12"/>
        <v/>
      </c>
      <c r="BF17" s="127" t="str">
        <f t="shared" si="12"/>
        <v/>
      </c>
      <c r="BG17" s="127" t="str">
        <f t="shared" si="4"/>
        <v/>
      </c>
      <c r="BH17" s="127" t="str">
        <f t="shared" si="12"/>
        <v/>
      </c>
      <c r="BI17" s="127" t="str">
        <f t="shared" si="12"/>
        <v/>
      </c>
      <c r="BJ17" s="127" t="str">
        <f t="shared" si="12"/>
        <v/>
      </c>
      <c r="BK17" s="127" t="str">
        <f t="shared" si="12"/>
        <v/>
      </c>
      <c r="BL17" s="127" t="str">
        <f t="shared" si="12"/>
        <v/>
      </c>
      <c r="BM17" s="127" t="str">
        <f t="shared" si="4"/>
        <v/>
      </c>
      <c r="BN17" s="127" t="str">
        <f t="shared" si="12"/>
        <v/>
      </c>
      <c r="BO17" s="127" t="str">
        <f t="shared" si="12"/>
        <v/>
      </c>
      <c r="BP17" s="127" t="str">
        <f t="shared" si="12"/>
        <v/>
      </c>
      <c r="BQ17" s="127" t="str">
        <f t="shared" si="12"/>
        <v/>
      </c>
      <c r="BR17" s="127" t="str">
        <f t="shared" si="12"/>
        <v/>
      </c>
      <c r="BS17" s="127" t="str">
        <f t="shared" si="5"/>
        <v/>
      </c>
      <c r="BT17" s="127" t="str">
        <f t="shared" si="12"/>
        <v/>
      </c>
      <c r="BU17" s="127" t="str">
        <f t="shared" si="12"/>
        <v/>
      </c>
      <c r="BV17" s="127" t="str">
        <f t="shared" si="12"/>
        <v/>
      </c>
      <c r="BW17" s="127" t="str">
        <f t="shared" si="12"/>
        <v/>
      </c>
      <c r="BX17" s="127" t="str">
        <f t="shared" si="12"/>
        <v/>
      </c>
      <c r="BY17" s="127" t="str">
        <f t="shared" si="5"/>
        <v/>
      </c>
      <c r="BZ17" s="127" t="str">
        <f t="shared" si="12"/>
        <v/>
      </c>
      <c r="CA17" s="127" t="str">
        <f t="shared" si="12"/>
        <v/>
      </c>
      <c r="CB17" s="127" t="str">
        <f t="shared" si="12"/>
        <v/>
      </c>
      <c r="CC17" s="127" t="str">
        <f t="shared" si="12"/>
        <v/>
      </c>
      <c r="CD17" s="127" t="str">
        <f t="shared" si="12"/>
        <v/>
      </c>
    </row>
    <row r="18" spans="1:82" ht="12.6" customHeight="1" x14ac:dyDescent="0.2">
      <c r="A18" s="106">
        <f>SHIPMENTS!A24</f>
        <v>9015</v>
      </c>
      <c r="B18" s="106" t="str">
        <f>SHIPMENTS!B24</f>
        <v>15900- Mandaue City | Atty. Brando Raya</v>
      </c>
      <c r="C18" s="132">
        <f>SHIPMENTS!F24</f>
        <v>0.25600000000000001</v>
      </c>
      <c r="D18" s="107" t="str">
        <f>IF((SHIPMENTS!I24)=0,"",SHIPMENTS!I24)</f>
        <v>LCL</v>
      </c>
      <c r="E18" s="176">
        <f>IF((SHIPMENTS!G24)=0,"",SHIPMENTS!G24)</f>
        <v>46323</v>
      </c>
      <c r="F18" s="98">
        <f>VLOOKUP(A18,load!$A$4:$U$5001,20,0)</f>
        <v>3.79</v>
      </c>
      <c r="G18" s="109">
        <f>Manhours!$C$7</f>
        <v>9</v>
      </c>
      <c r="H18" s="98">
        <f t="shared" si="0"/>
        <v>81.899999999999991</v>
      </c>
      <c r="I18" s="99">
        <f t="shared" si="6"/>
        <v>4.6275946275946278E-2</v>
      </c>
      <c r="J18" s="99">
        <f t="shared" si="1"/>
        <v>0.4211111111111111</v>
      </c>
      <c r="K18" s="110">
        <f t="shared" si="7"/>
        <v>0</v>
      </c>
      <c r="L18" s="98">
        <f t="shared" si="8"/>
        <v>0</v>
      </c>
      <c r="M18" s="181">
        <f t="shared" si="11"/>
        <v>46314.20959647945</v>
      </c>
      <c r="N18" s="181">
        <f t="shared" si="10"/>
        <v>46314.20959647945</v>
      </c>
      <c r="O18" s="112">
        <f>VLOOKUP(A18,SHIPMENTS!$A$7:$AP$76,11,0)</f>
        <v>1</v>
      </c>
      <c r="P18" s="101"/>
      <c r="Q18" s="127" t="str">
        <f t="shared" si="2"/>
        <v/>
      </c>
      <c r="R18" s="127" t="str">
        <f t="shared" si="2"/>
        <v/>
      </c>
      <c r="S18" s="127" t="str">
        <f t="shared" si="2"/>
        <v/>
      </c>
      <c r="T18" s="127" t="str">
        <f t="shared" si="2"/>
        <v/>
      </c>
      <c r="U18" s="127" t="str">
        <f t="shared" si="2"/>
        <v/>
      </c>
      <c r="V18" s="127" t="str">
        <f t="shared" si="2"/>
        <v/>
      </c>
      <c r="W18" s="127" t="str">
        <f t="shared" si="2"/>
        <v/>
      </c>
      <c r="X18" s="127" t="str">
        <f t="shared" si="2"/>
        <v/>
      </c>
      <c r="Y18" s="127" t="str">
        <f t="shared" si="2"/>
        <v>▲</v>
      </c>
      <c r="Z18" s="127" t="str">
        <f t="shared" si="2"/>
        <v/>
      </c>
      <c r="AA18" s="127" t="str">
        <f t="shared" si="2"/>
        <v/>
      </c>
      <c r="AB18" s="127" t="str">
        <f t="shared" si="2"/>
        <v/>
      </c>
      <c r="AC18" s="127" t="str">
        <f t="shared" si="2"/>
        <v/>
      </c>
      <c r="AD18" s="127" t="str">
        <f t="shared" si="2"/>
        <v/>
      </c>
      <c r="AE18" s="127" t="str">
        <f t="shared" si="2"/>
        <v/>
      </c>
      <c r="AF18" s="127" t="str">
        <f t="shared" si="2"/>
        <v/>
      </c>
      <c r="AG18" s="127" t="str">
        <f t="shared" ref="AG18:BQ32" si="13">IF($E18=AG$3,"▲","")</f>
        <v/>
      </c>
      <c r="AH18" s="127" t="str">
        <f t="shared" si="13"/>
        <v/>
      </c>
      <c r="AI18" s="127" t="str">
        <f t="shared" si="13"/>
        <v/>
      </c>
      <c r="AJ18" s="127" t="str">
        <f t="shared" si="13"/>
        <v/>
      </c>
      <c r="AK18" s="127" t="str">
        <f t="shared" si="13"/>
        <v/>
      </c>
      <c r="AL18" s="127" t="str">
        <f t="shared" si="13"/>
        <v/>
      </c>
      <c r="AM18" s="127" t="str">
        <f t="shared" si="13"/>
        <v/>
      </c>
      <c r="AN18" s="127" t="str">
        <f t="shared" si="13"/>
        <v/>
      </c>
      <c r="AO18" s="127" t="str">
        <f t="shared" si="13"/>
        <v/>
      </c>
      <c r="AP18" s="127" t="str">
        <f t="shared" si="13"/>
        <v/>
      </c>
      <c r="AQ18" s="127" t="str">
        <f t="shared" si="13"/>
        <v/>
      </c>
      <c r="AR18" s="127" t="str">
        <f t="shared" si="13"/>
        <v/>
      </c>
      <c r="AS18" s="127" t="str">
        <f t="shared" si="13"/>
        <v/>
      </c>
      <c r="AT18" s="127" t="str">
        <f t="shared" si="13"/>
        <v/>
      </c>
      <c r="AU18" s="127" t="str">
        <f t="shared" si="13"/>
        <v/>
      </c>
      <c r="AV18" s="127" t="str">
        <f t="shared" si="13"/>
        <v/>
      </c>
      <c r="AW18" s="127" t="str">
        <f t="shared" si="13"/>
        <v/>
      </c>
      <c r="AX18" s="127" t="str">
        <f t="shared" si="13"/>
        <v/>
      </c>
      <c r="AY18" s="127" t="str">
        <f t="shared" si="13"/>
        <v/>
      </c>
      <c r="AZ18" s="127" t="str">
        <f t="shared" si="13"/>
        <v/>
      </c>
      <c r="BA18" s="127" t="str">
        <f t="shared" si="13"/>
        <v/>
      </c>
      <c r="BB18" s="127" t="str">
        <f t="shared" si="13"/>
        <v/>
      </c>
      <c r="BC18" s="127" t="str">
        <f t="shared" si="13"/>
        <v/>
      </c>
      <c r="BD18" s="127" t="str">
        <f t="shared" si="13"/>
        <v/>
      </c>
      <c r="BE18" s="127" t="str">
        <f t="shared" si="13"/>
        <v/>
      </c>
      <c r="BF18" s="127" t="str">
        <f t="shared" si="12"/>
        <v/>
      </c>
      <c r="BG18" s="127" t="str">
        <f t="shared" si="13"/>
        <v/>
      </c>
      <c r="BH18" s="127" t="str">
        <f t="shared" si="13"/>
        <v/>
      </c>
      <c r="BI18" s="127" t="str">
        <f t="shared" si="13"/>
        <v/>
      </c>
      <c r="BJ18" s="127" t="str">
        <f t="shared" si="13"/>
        <v/>
      </c>
      <c r="BK18" s="127" t="str">
        <f t="shared" si="13"/>
        <v/>
      </c>
      <c r="BL18" s="127" t="str">
        <f t="shared" si="12"/>
        <v/>
      </c>
      <c r="BM18" s="127" t="str">
        <f t="shared" si="13"/>
        <v/>
      </c>
      <c r="BN18" s="127" t="str">
        <f t="shared" si="13"/>
        <v/>
      </c>
      <c r="BO18" s="127" t="str">
        <f t="shared" si="13"/>
        <v/>
      </c>
      <c r="BP18" s="127" t="str">
        <f t="shared" si="13"/>
        <v/>
      </c>
      <c r="BQ18" s="127" t="str">
        <f t="shared" si="13"/>
        <v/>
      </c>
      <c r="BR18" s="127" t="str">
        <f t="shared" si="12"/>
        <v/>
      </c>
      <c r="BS18" s="127" t="str">
        <f t="shared" si="5"/>
        <v/>
      </c>
      <c r="BT18" s="127" t="str">
        <f t="shared" si="5"/>
        <v/>
      </c>
      <c r="BU18" s="127" t="str">
        <f t="shared" si="5"/>
        <v/>
      </c>
      <c r="BV18" s="127" t="str">
        <f t="shared" si="5"/>
        <v/>
      </c>
      <c r="BW18" s="127" t="str">
        <f t="shared" si="5"/>
        <v/>
      </c>
      <c r="BX18" s="127" t="str">
        <f t="shared" si="12"/>
        <v/>
      </c>
      <c r="BY18" s="127" t="str">
        <f t="shared" si="5"/>
        <v/>
      </c>
      <c r="BZ18" s="127" t="str">
        <f t="shared" si="5"/>
        <v/>
      </c>
      <c r="CA18" s="127" t="str">
        <f t="shared" si="5"/>
        <v/>
      </c>
      <c r="CB18" s="127" t="str">
        <f t="shared" si="5"/>
        <v/>
      </c>
      <c r="CC18" s="127" t="str">
        <f t="shared" si="5"/>
        <v/>
      </c>
      <c r="CD18" s="127" t="str">
        <f t="shared" si="12"/>
        <v/>
      </c>
    </row>
    <row r="19" spans="1:82" ht="12.6" customHeight="1" x14ac:dyDescent="0.2">
      <c r="A19" s="106">
        <f>SHIPMENTS!A25</f>
        <v>9063</v>
      </c>
      <c r="B19" s="106" t="str">
        <f>SHIPMENTS!B25</f>
        <v>15900- Borongan City | Kookie Lim Uy / 3K Salon And Spa</v>
      </c>
      <c r="C19" s="132">
        <f>SHIPMENTS!F25</f>
        <v>0.12</v>
      </c>
      <c r="D19" s="107" t="str">
        <f>IF((SHIPMENTS!I25)=0,"",SHIPMENTS!I25)</f>
        <v/>
      </c>
      <c r="E19" s="176">
        <f>IF((SHIPMENTS!G25)=0,"",SHIPMENTS!G25)</f>
        <v>46323</v>
      </c>
      <c r="F19" s="98">
        <f>VLOOKUP(A19,load!$A$4:$U$5001,20,0)</f>
        <v>1.502</v>
      </c>
      <c r="G19" s="109">
        <f>Manhours!$C$7</f>
        <v>9</v>
      </c>
      <c r="H19" s="98">
        <f t="shared" si="0"/>
        <v>81.899999999999991</v>
      </c>
      <c r="I19" s="99">
        <f t="shared" si="6"/>
        <v>1.8339438339438342E-2</v>
      </c>
      <c r="J19" s="99">
        <f t="shared" si="1"/>
        <v>0.16688888888888889</v>
      </c>
      <c r="K19" s="110">
        <f t="shared" si="7"/>
        <v>0</v>
      </c>
      <c r="L19" s="98">
        <f t="shared" si="8"/>
        <v>0</v>
      </c>
      <c r="M19" s="181">
        <f t="shared" si="11"/>
        <v>46314.20959647945</v>
      </c>
      <c r="N19" s="181">
        <f t="shared" si="10"/>
        <v>46314.20959647945</v>
      </c>
      <c r="O19" s="112">
        <f>VLOOKUP(A19,SHIPMENTS!$A$7:$AP$76,11,0)</f>
        <v>1</v>
      </c>
      <c r="P19" s="101"/>
      <c r="Q19" s="127" t="str">
        <f t="shared" si="2"/>
        <v/>
      </c>
      <c r="R19" s="127" t="str">
        <f t="shared" si="2"/>
        <v/>
      </c>
      <c r="S19" s="127" t="str">
        <f t="shared" si="2"/>
        <v/>
      </c>
      <c r="T19" s="127" t="str">
        <f t="shared" si="2"/>
        <v/>
      </c>
      <c r="U19" s="127" t="str">
        <f t="shared" si="2"/>
        <v/>
      </c>
      <c r="V19" s="127" t="str">
        <f t="shared" si="2"/>
        <v/>
      </c>
      <c r="W19" s="127" t="str">
        <f t="shared" si="2"/>
        <v/>
      </c>
      <c r="X19" s="127" t="str">
        <f t="shared" si="2"/>
        <v/>
      </c>
      <c r="Y19" s="127" t="str">
        <f t="shared" si="2"/>
        <v>▲</v>
      </c>
      <c r="Z19" s="127" t="str">
        <f t="shared" si="2"/>
        <v/>
      </c>
      <c r="AA19" s="127" t="str">
        <f t="shared" si="2"/>
        <v/>
      </c>
      <c r="AB19" s="127" t="str">
        <f t="shared" si="2"/>
        <v/>
      </c>
      <c r="AC19" s="127" t="str">
        <f t="shared" si="2"/>
        <v/>
      </c>
      <c r="AD19" s="127" t="str">
        <f t="shared" si="2"/>
        <v/>
      </c>
      <c r="AE19" s="127" t="str">
        <f t="shared" si="2"/>
        <v/>
      </c>
      <c r="AF19" s="127" t="str">
        <f t="shared" si="2"/>
        <v/>
      </c>
      <c r="AG19" s="127" t="str">
        <f t="shared" si="13"/>
        <v/>
      </c>
      <c r="AH19" s="127" t="str">
        <f t="shared" si="13"/>
        <v/>
      </c>
      <c r="AI19" s="127" t="str">
        <f t="shared" si="13"/>
        <v/>
      </c>
      <c r="AJ19" s="127" t="str">
        <f t="shared" si="13"/>
        <v/>
      </c>
      <c r="AK19" s="127" t="str">
        <f t="shared" si="13"/>
        <v/>
      </c>
      <c r="AL19" s="127" t="str">
        <f t="shared" si="13"/>
        <v/>
      </c>
      <c r="AM19" s="127" t="str">
        <f t="shared" si="13"/>
        <v/>
      </c>
      <c r="AN19" s="127" t="str">
        <f t="shared" si="13"/>
        <v/>
      </c>
      <c r="AO19" s="127" t="str">
        <f t="shared" si="13"/>
        <v/>
      </c>
      <c r="AP19" s="127" t="str">
        <f t="shared" si="13"/>
        <v/>
      </c>
      <c r="AQ19" s="127" t="str">
        <f t="shared" si="13"/>
        <v/>
      </c>
      <c r="AR19" s="127" t="str">
        <f t="shared" si="13"/>
        <v/>
      </c>
      <c r="AS19" s="127" t="str">
        <f t="shared" si="13"/>
        <v/>
      </c>
      <c r="AT19" s="127" t="str">
        <f t="shared" si="13"/>
        <v/>
      </c>
      <c r="AU19" s="127" t="str">
        <f t="shared" si="13"/>
        <v/>
      </c>
      <c r="AV19" s="127" t="str">
        <f t="shared" si="13"/>
        <v/>
      </c>
      <c r="AW19" s="127" t="str">
        <f t="shared" si="13"/>
        <v/>
      </c>
      <c r="AX19" s="127" t="str">
        <f t="shared" si="13"/>
        <v/>
      </c>
      <c r="AY19" s="127" t="str">
        <f t="shared" si="13"/>
        <v/>
      </c>
      <c r="AZ19" s="127" t="str">
        <f t="shared" si="13"/>
        <v/>
      </c>
      <c r="BA19" s="127" t="str">
        <f t="shared" si="13"/>
        <v/>
      </c>
      <c r="BB19" s="127" t="str">
        <f t="shared" si="13"/>
        <v/>
      </c>
      <c r="BC19" s="127" t="str">
        <f t="shared" si="13"/>
        <v/>
      </c>
      <c r="BD19" s="127" t="str">
        <f t="shared" si="13"/>
        <v/>
      </c>
      <c r="BE19" s="127" t="str">
        <f t="shared" si="13"/>
        <v/>
      </c>
      <c r="BF19" s="127" t="str">
        <f t="shared" si="12"/>
        <v/>
      </c>
      <c r="BG19" s="127" t="str">
        <f t="shared" si="13"/>
        <v/>
      </c>
      <c r="BH19" s="127" t="str">
        <f t="shared" si="13"/>
        <v/>
      </c>
      <c r="BI19" s="127" t="str">
        <f t="shared" si="13"/>
        <v/>
      </c>
      <c r="BJ19" s="127" t="str">
        <f t="shared" si="13"/>
        <v/>
      </c>
      <c r="BK19" s="127" t="str">
        <f t="shared" si="13"/>
        <v/>
      </c>
      <c r="BL19" s="127" t="str">
        <f t="shared" si="12"/>
        <v/>
      </c>
      <c r="BM19" s="127" t="str">
        <f t="shared" si="13"/>
        <v/>
      </c>
      <c r="BN19" s="127" t="str">
        <f t="shared" si="13"/>
        <v/>
      </c>
      <c r="BO19" s="127" t="str">
        <f t="shared" si="13"/>
        <v/>
      </c>
      <c r="BP19" s="127" t="str">
        <f t="shared" si="13"/>
        <v/>
      </c>
      <c r="BQ19" s="127" t="str">
        <f t="shared" si="13"/>
        <v/>
      </c>
      <c r="BR19" s="127" t="str">
        <f t="shared" si="12"/>
        <v/>
      </c>
      <c r="BS19" s="127" t="str">
        <f t="shared" si="5"/>
        <v/>
      </c>
      <c r="BT19" s="127" t="str">
        <f t="shared" si="5"/>
        <v/>
      </c>
      <c r="BU19" s="127" t="str">
        <f t="shared" si="5"/>
        <v/>
      </c>
      <c r="BV19" s="127" t="str">
        <f t="shared" si="5"/>
        <v/>
      </c>
      <c r="BW19" s="127" t="str">
        <f t="shared" si="5"/>
        <v/>
      </c>
      <c r="BX19" s="127" t="str">
        <f t="shared" si="12"/>
        <v/>
      </c>
      <c r="BY19" s="127" t="str">
        <f t="shared" si="5"/>
        <v/>
      </c>
      <c r="BZ19" s="127" t="str">
        <f t="shared" si="5"/>
        <v/>
      </c>
      <c r="CA19" s="127" t="str">
        <f t="shared" si="5"/>
        <v/>
      </c>
      <c r="CB19" s="127" t="str">
        <f t="shared" si="5"/>
        <v/>
      </c>
      <c r="CC19" s="127" t="str">
        <f t="shared" si="5"/>
        <v/>
      </c>
      <c r="CD19" s="127" t="str">
        <f t="shared" si="12"/>
        <v/>
      </c>
    </row>
    <row r="20" spans="1:82" ht="12.6" customHeight="1" x14ac:dyDescent="0.2">
      <c r="A20" s="106">
        <f>SHIPMENTS!A26</f>
        <v>9131</v>
      </c>
      <c r="B20" s="106" t="str">
        <f>SHIPMENTS!B26</f>
        <v>15900- Cagayan De Oro |Kevin Anthony Pilapil Lagumbay</v>
      </c>
      <c r="C20" s="132">
        <f>SHIPMENTS!F26</f>
        <v>0.12</v>
      </c>
      <c r="D20" s="107" t="str">
        <f>IF((SHIPMENTS!I26)=0,"",SHIPMENTS!I26)</f>
        <v/>
      </c>
      <c r="E20" s="176">
        <f>IF((SHIPMENTS!G26)=0,"",SHIPMENTS!G26)</f>
        <v>46323</v>
      </c>
      <c r="F20" s="98">
        <f>VLOOKUP(A20,load!$A$4:$U$5001,20,0)</f>
        <v>1.5243333333333335</v>
      </c>
      <c r="G20" s="109">
        <f>Manhours!$C$7</f>
        <v>9</v>
      </c>
      <c r="H20" s="98">
        <f t="shared" si="0"/>
        <v>81.899999999999991</v>
      </c>
      <c r="I20" s="99">
        <f t="shared" si="6"/>
        <v>1.8612128612128617E-2</v>
      </c>
      <c r="J20" s="99">
        <f t="shared" si="1"/>
        <v>0.16937037037037042</v>
      </c>
      <c r="K20" s="110">
        <f t="shared" si="7"/>
        <v>0</v>
      </c>
      <c r="L20" s="98">
        <f t="shared" si="8"/>
        <v>0</v>
      </c>
      <c r="M20" s="181">
        <f t="shared" si="11"/>
        <v>46314.20959647945</v>
      </c>
      <c r="N20" s="181">
        <f t="shared" si="10"/>
        <v>46314.20959647945</v>
      </c>
      <c r="O20" s="112">
        <f>VLOOKUP(A20,SHIPMENTS!$A$7:$AP$76,11,0)</f>
        <v>1</v>
      </c>
      <c r="P20" s="101"/>
      <c r="Q20" s="127" t="str">
        <f t="shared" si="2"/>
        <v/>
      </c>
      <c r="R20" s="127" t="str">
        <f t="shared" si="2"/>
        <v/>
      </c>
      <c r="S20" s="127" t="str">
        <f t="shared" si="2"/>
        <v/>
      </c>
      <c r="T20" s="127" t="str">
        <f t="shared" si="2"/>
        <v/>
      </c>
      <c r="U20" s="127" t="str">
        <f t="shared" si="2"/>
        <v/>
      </c>
      <c r="V20" s="127" t="str">
        <f t="shared" si="2"/>
        <v/>
      </c>
      <c r="W20" s="127" t="str">
        <f t="shared" si="2"/>
        <v/>
      </c>
      <c r="X20" s="127" t="str">
        <f t="shared" si="2"/>
        <v/>
      </c>
      <c r="Y20" s="127" t="str">
        <f t="shared" si="2"/>
        <v>▲</v>
      </c>
      <c r="Z20" s="127" t="str">
        <f t="shared" si="2"/>
        <v/>
      </c>
      <c r="AA20" s="127" t="str">
        <f t="shared" si="2"/>
        <v/>
      </c>
      <c r="AB20" s="127" t="str">
        <f t="shared" si="2"/>
        <v/>
      </c>
      <c r="AC20" s="127" t="str">
        <f t="shared" si="2"/>
        <v/>
      </c>
      <c r="AD20" s="127" t="str">
        <f t="shared" si="2"/>
        <v/>
      </c>
      <c r="AE20" s="127" t="str">
        <f t="shared" si="2"/>
        <v/>
      </c>
      <c r="AF20" s="127" t="str">
        <f t="shared" si="2"/>
        <v/>
      </c>
      <c r="AG20" s="127" t="str">
        <f t="shared" si="13"/>
        <v/>
      </c>
      <c r="AH20" s="127" t="str">
        <f t="shared" si="13"/>
        <v/>
      </c>
      <c r="AI20" s="127" t="str">
        <f t="shared" si="13"/>
        <v/>
      </c>
      <c r="AJ20" s="127" t="str">
        <f t="shared" si="13"/>
        <v/>
      </c>
      <c r="AK20" s="127" t="str">
        <f t="shared" si="13"/>
        <v/>
      </c>
      <c r="AL20" s="127" t="str">
        <f t="shared" si="13"/>
        <v/>
      </c>
      <c r="AM20" s="127" t="str">
        <f t="shared" si="13"/>
        <v/>
      </c>
      <c r="AN20" s="127" t="str">
        <f t="shared" si="13"/>
        <v/>
      </c>
      <c r="AO20" s="127" t="str">
        <f t="shared" si="13"/>
        <v/>
      </c>
      <c r="AP20" s="127" t="str">
        <f t="shared" si="13"/>
        <v/>
      </c>
      <c r="AQ20" s="127" t="str">
        <f t="shared" si="13"/>
        <v/>
      </c>
      <c r="AR20" s="127" t="str">
        <f t="shared" si="13"/>
        <v/>
      </c>
      <c r="AS20" s="127" t="str">
        <f t="shared" si="13"/>
        <v/>
      </c>
      <c r="AT20" s="127" t="str">
        <f t="shared" si="13"/>
        <v/>
      </c>
      <c r="AU20" s="127" t="str">
        <f t="shared" si="13"/>
        <v/>
      </c>
      <c r="AV20" s="127" t="str">
        <f t="shared" si="13"/>
        <v/>
      </c>
      <c r="AW20" s="127" t="str">
        <f t="shared" si="13"/>
        <v/>
      </c>
      <c r="AX20" s="127" t="str">
        <f t="shared" si="13"/>
        <v/>
      </c>
      <c r="AY20" s="127" t="str">
        <f t="shared" si="13"/>
        <v/>
      </c>
      <c r="AZ20" s="127" t="str">
        <f t="shared" si="13"/>
        <v/>
      </c>
      <c r="BA20" s="127" t="str">
        <f t="shared" si="13"/>
        <v/>
      </c>
      <c r="BB20" s="127" t="str">
        <f t="shared" si="13"/>
        <v/>
      </c>
      <c r="BC20" s="127" t="str">
        <f t="shared" si="13"/>
        <v/>
      </c>
      <c r="BD20" s="127" t="str">
        <f t="shared" si="13"/>
        <v/>
      </c>
      <c r="BE20" s="127" t="str">
        <f t="shared" si="13"/>
        <v/>
      </c>
      <c r="BF20" s="127" t="str">
        <f t="shared" si="12"/>
        <v/>
      </c>
      <c r="BG20" s="127" t="str">
        <f t="shared" si="13"/>
        <v/>
      </c>
      <c r="BH20" s="127" t="str">
        <f t="shared" si="13"/>
        <v/>
      </c>
      <c r="BI20" s="127" t="str">
        <f t="shared" si="13"/>
        <v/>
      </c>
      <c r="BJ20" s="127" t="str">
        <f t="shared" si="13"/>
        <v/>
      </c>
      <c r="BK20" s="127" t="str">
        <f t="shared" si="13"/>
        <v/>
      </c>
      <c r="BL20" s="127" t="str">
        <f t="shared" si="12"/>
        <v/>
      </c>
      <c r="BM20" s="127" t="str">
        <f t="shared" si="13"/>
        <v/>
      </c>
      <c r="BN20" s="127" t="str">
        <f t="shared" si="13"/>
        <v/>
      </c>
      <c r="BO20" s="127" t="str">
        <f t="shared" si="13"/>
        <v/>
      </c>
      <c r="BP20" s="127" t="str">
        <f t="shared" si="13"/>
        <v/>
      </c>
      <c r="BQ20" s="127" t="str">
        <f t="shared" si="13"/>
        <v/>
      </c>
      <c r="BR20" s="127" t="str">
        <f t="shared" si="12"/>
        <v/>
      </c>
      <c r="BS20" s="127" t="str">
        <f t="shared" si="5"/>
        <v/>
      </c>
      <c r="BT20" s="127" t="str">
        <f t="shared" si="5"/>
        <v/>
      </c>
      <c r="BU20" s="127" t="str">
        <f t="shared" si="5"/>
        <v/>
      </c>
      <c r="BV20" s="127" t="str">
        <f t="shared" si="5"/>
        <v/>
      </c>
      <c r="BW20" s="127" t="str">
        <f t="shared" si="5"/>
        <v/>
      </c>
      <c r="BX20" s="127" t="str">
        <f t="shared" si="12"/>
        <v/>
      </c>
      <c r="BY20" s="127" t="str">
        <f t="shared" si="5"/>
        <v/>
      </c>
      <c r="BZ20" s="127" t="str">
        <f t="shared" si="5"/>
        <v/>
      </c>
      <c r="CA20" s="127" t="str">
        <f t="shared" si="5"/>
        <v/>
      </c>
      <c r="CB20" s="127" t="str">
        <f t="shared" si="5"/>
        <v/>
      </c>
      <c r="CC20" s="127" t="str">
        <f t="shared" si="5"/>
        <v/>
      </c>
      <c r="CD20" s="127" t="str">
        <f t="shared" si="12"/>
        <v/>
      </c>
    </row>
    <row r="21" spans="1:82" ht="12.6" customHeight="1" x14ac:dyDescent="0.2">
      <c r="A21" s="106">
        <f>SHIPMENTS!A27</f>
        <v>9228</v>
      </c>
      <c r="B21" s="106" t="str">
        <f>SHIPMENTS!B27</f>
        <v>15900- Cebu City |Stephanie Sarmiento</v>
      </c>
      <c r="C21" s="132">
        <f>SHIPMENTS!F27</f>
        <v>0.16</v>
      </c>
      <c r="D21" s="107" t="str">
        <f>IF((SHIPMENTS!I27)=0,"",SHIPMENTS!I27)</f>
        <v/>
      </c>
      <c r="E21" s="176">
        <f>IF((SHIPMENTS!G27)=0,"",SHIPMENTS!G27)</f>
        <v>46323</v>
      </c>
      <c r="F21" s="98">
        <f>VLOOKUP(A21,load!$A$4:$U$5001,20,0)</f>
        <v>1.9791666666666667</v>
      </c>
      <c r="G21" s="109">
        <f>Manhours!$C$7</f>
        <v>9</v>
      </c>
      <c r="H21" s="98">
        <f t="shared" si="0"/>
        <v>81.899999999999991</v>
      </c>
      <c r="I21" s="99">
        <f t="shared" si="6"/>
        <v>2.4165649165649169E-2</v>
      </c>
      <c r="J21" s="99">
        <f t="shared" si="1"/>
        <v>0.21990740740740744</v>
      </c>
      <c r="K21" s="110">
        <f t="shared" si="7"/>
        <v>0</v>
      </c>
      <c r="L21" s="98">
        <f t="shared" si="8"/>
        <v>0</v>
      </c>
      <c r="M21" s="181">
        <f t="shared" si="11"/>
        <v>46314.20959647945</v>
      </c>
      <c r="N21" s="181">
        <f t="shared" si="10"/>
        <v>46314.20959647945</v>
      </c>
      <c r="O21" s="112">
        <f>VLOOKUP(A21,SHIPMENTS!$A$7:$AP$76,11,0)</f>
        <v>1</v>
      </c>
      <c r="P21" s="101"/>
      <c r="Q21" s="127" t="str">
        <f t="shared" si="2"/>
        <v/>
      </c>
      <c r="R21" s="127" t="str">
        <f t="shared" si="2"/>
        <v/>
      </c>
      <c r="S21" s="127" t="str">
        <f t="shared" si="2"/>
        <v/>
      </c>
      <c r="T21" s="127" t="str">
        <f t="shared" si="2"/>
        <v/>
      </c>
      <c r="U21" s="127" t="str">
        <f t="shared" si="2"/>
        <v/>
      </c>
      <c r="V21" s="127" t="str">
        <f t="shared" si="2"/>
        <v/>
      </c>
      <c r="W21" s="127" t="str">
        <f t="shared" si="2"/>
        <v/>
      </c>
      <c r="X21" s="127" t="str">
        <f t="shared" si="2"/>
        <v/>
      </c>
      <c r="Y21" s="127" t="str">
        <f t="shared" si="2"/>
        <v>▲</v>
      </c>
      <c r="Z21" s="127" t="str">
        <f t="shared" si="2"/>
        <v/>
      </c>
      <c r="AA21" s="127" t="str">
        <f t="shared" si="2"/>
        <v/>
      </c>
      <c r="AB21" s="127" t="str">
        <f t="shared" si="2"/>
        <v/>
      </c>
      <c r="AC21" s="127" t="str">
        <f t="shared" si="2"/>
        <v/>
      </c>
      <c r="AD21" s="127" t="str">
        <f t="shared" si="2"/>
        <v/>
      </c>
      <c r="AE21" s="127" t="str">
        <f t="shared" si="2"/>
        <v/>
      </c>
      <c r="AF21" s="127" t="str">
        <f t="shared" si="2"/>
        <v/>
      </c>
      <c r="AG21" s="127" t="str">
        <f t="shared" si="13"/>
        <v/>
      </c>
      <c r="AH21" s="127" t="str">
        <f t="shared" si="13"/>
        <v/>
      </c>
      <c r="AI21" s="127" t="str">
        <f t="shared" si="13"/>
        <v/>
      </c>
      <c r="AJ21" s="127" t="str">
        <f t="shared" si="13"/>
        <v/>
      </c>
      <c r="AK21" s="127" t="str">
        <f t="shared" si="13"/>
        <v/>
      </c>
      <c r="AL21" s="127" t="str">
        <f t="shared" si="13"/>
        <v/>
      </c>
      <c r="AM21" s="127" t="str">
        <f t="shared" si="13"/>
        <v/>
      </c>
      <c r="AN21" s="127" t="str">
        <f t="shared" si="13"/>
        <v/>
      </c>
      <c r="AO21" s="127" t="str">
        <f t="shared" si="13"/>
        <v/>
      </c>
      <c r="AP21" s="127" t="str">
        <f t="shared" si="13"/>
        <v/>
      </c>
      <c r="AQ21" s="127" t="str">
        <f t="shared" si="13"/>
        <v/>
      </c>
      <c r="AR21" s="127" t="str">
        <f t="shared" si="13"/>
        <v/>
      </c>
      <c r="AS21" s="127" t="str">
        <f t="shared" si="13"/>
        <v/>
      </c>
      <c r="AT21" s="127" t="str">
        <f t="shared" si="13"/>
        <v/>
      </c>
      <c r="AU21" s="127" t="str">
        <f t="shared" si="13"/>
        <v/>
      </c>
      <c r="AV21" s="127" t="str">
        <f t="shared" si="13"/>
        <v/>
      </c>
      <c r="AW21" s="127" t="str">
        <f t="shared" si="13"/>
        <v/>
      </c>
      <c r="AX21" s="127" t="str">
        <f t="shared" si="13"/>
        <v/>
      </c>
      <c r="AY21" s="127" t="str">
        <f t="shared" si="13"/>
        <v/>
      </c>
      <c r="AZ21" s="127" t="str">
        <f t="shared" si="13"/>
        <v/>
      </c>
      <c r="BA21" s="127" t="str">
        <f t="shared" si="13"/>
        <v/>
      </c>
      <c r="BB21" s="127" t="str">
        <f t="shared" si="13"/>
        <v/>
      </c>
      <c r="BC21" s="127" t="str">
        <f t="shared" si="13"/>
        <v/>
      </c>
      <c r="BD21" s="127" t="str">
        <f t="shared" si="13"/>
        <v/>
      </c>
      <c r="BE21" s="127" t="str">
        <f t="shared" si="13"/>
        <v/>
      </c>
      <c r="BF21" s="127" t="str">
        <f t="shared" si="12"/>
        <v/>
      </c>
      <c r="BG21" s="127" t="str">
        <f t="shared" si="13"/>
        <v/>
      </c>
      <c r="BH21" s="127" t="str">
        <f t="shared" si="13"/>
        <v/>
      </c>
      <c r="BI21" s="127" t="str">
        <f t="shared" si="13"/>
        <v/>
      </c>
      <c r="BJ21" s="127" t="str">
        <f t="shared" si="13"/>
        <v/>
      </c>
      <c r="BK21" s="127" t="str">
        <f t="shared" si="13"/>
        <v/>
      </c>
      <c r="BL21" s="127" t="str">
        <f t="shared" si="12"/>
        <v/>
      </c>
      <c r="BM21" s="127" t="str">
        <f t="shared" si="13"/>
        <v/>
      </c>
      <c r="BN21" s="127" t="str">
        <f t="shared" si="13"/>
        <v/>
      </c>
      <c r="BO21" s="127" t="str">
        <f t="shared" si="13"/>
        <v/>
      </c>
      <c r="BP21" s="127" t="str">
        <f t="shared" si="13"/>
        <v/>
      </c>
      <c r="BQ21" s="127" t="str">
        <f t="shared" si="13"/>
        <v/>
      </c>
      <c r="BR21" s="127" t="str">
        <f t="shared" si="12"/>
        <v/>
      </c>
      <c r="BS21" s="127" t="str">
        <f t="shared" si="5"/>
        <v/>
      </c>
      <c r="BT21" s="127" t="str">
        <f t="shared" si="5"/>
        <v/>
      </c>
      <c r="BU21" s="127" t="str">
        <f t="shared" si="5"/>
        <v/>
      </c>
      <c r="BV21" s="127" t="str">
        <f t="shared" si="5"/>
        <v/>
      </c>
      <c r="BW21" s="127" t="str">
        <f t="shared" si="5"/>
        <v/>
      </c>
      <c r="BX21" s="127" t="str">
        <f t="shared" si="12"/>
        <v/>
      </c>
      <c r="BY21" s="127" t="str">
        <f t="shared" si="5"/>
        <v/>
      </c>
      <c r="BZ21" s="127" t="str">
        <f t="shared" si="5"/>
        <v/>
      </c>
      <c r="CA21" s="127" t="str">
        <f t="shared" si="5"/>
        <v/>
      </c>
      <c r="CB21" s="127" t="str">
        <f t="shared" si="5"/>
        <v/>
      </c>
      <c r="CC21" s="127" t="str">
        <f t="shared" si="5"/>
        <v/>
      </c>
      <c r="CD21" s="127" t="str">
        <f t="shared" si="12"/>
        <v/>
      </c>
    </row>
    <row r="22" spans="1:82" ht="12.6" customHeight="1" x14ac:dyDescent="0.2">
      <c r="A22" s="106">
        <f>SHIPMENTS!A28</f>
        <v>9279</v>
      </c>
      <c r="B22" s="106" t="str">
        <f>SHIPMENTS!B28</f>
        <v>15900- Iloilo |Rocky Go</v>
      </c>
      <c r="C22" s="132">
        <f>SHIPMENTS!F28</f>
        <v>0.34820000000000001</v>
      </c>
      <c r="D22" s="107" t="str">
        <f>IF((SHIPMENTS!I28)=0,"",SHIPMENTS!I28)</f>
        <v/>
      </c>
      <c r="E22" s="176">
        <f>IF((SHIPMENTS!G28)=0,"",SHIPMENTS!G28)</f>
        <v>46323</v>
      </c>
      <c r="F22" s="98">
        <f>VLOOKUP(A22,load!$A$4:$U$5001,20,0)</f>
        <v>2.1028333333333338</v>
      </c>
      <c r="G22" s="109">
        <f>Manhours!$C$7</f>
        <v>9</v>
      </c>
      <c r="H22" s="98">
        <f t="shared" si="0"/>
        <v>81.899999999999991</v>
      </c>
      <c r="I22" s="99">
        <f t="shared" si="6"/>
        <v>2.5675620675620684E-2</v>
      </c>
      <c r="J22" s="99">
        <f t="shared" si="1"/>
        <v>0.23364814814814822</v>
      </c>
      <c r="K22" s="110">
        <f t="shared" si="7"/>
        <v>2.5675620675620684E-2</v>
      </c>
      <c r="L22" s="98">
        <f t="shared" si="8"/>
        <v>0.23364814814814822</v>
      </c>
      <c r="M22" s="181">
        <f t="shared" si="11"/>
        <v>46314.20959647945</v>
      </c>
      <c r="N22" s="181">
        <f t="shared" si="10"/>
        <v>46314.235272100123</v>
      </c>
      <c r="O22" s="112">
        <f>VLOOKUP(A22,SHIPMENTS!$A$7:$AP$76,11,0)</f>
        <v>0</v>
      </c>
      <c r="P22" s="101"/>
      <c r="Q22" s="127" t="str">
        <f t="shared" si="2"/>
        <v/>
      </c>
      <c r="R22" s="127" t="str">
        <f t="shared" si="2"/>
        <v/>
      </c>
      <c r="S22" s="127" t="str">
        <f t="shared" si="2"/>
        <v/>
      </c>
      <c r="T22" s="127" t="str">
        <f t="shared" si="2"/>
        <v/>
      </c>
      <c r="U22" s="127" t="str">
        <f t="shared" si="2"/>
        <v/>
      </c>
      <c r="V22" s="127" t="str">
        <f t="shared" si="2"/>
        <v/>
      </c>
      <c r="W22" s="127" t="str">
        <f t="shared" si="2"/>
        <v/>
      </c>
      <c r="X22" s="127" t="str">
        <f t="shared" si="2"/>
        <v/>
      </c>
      <c r="Y22" s="127" t="str">
        <f t="shared" si="2"/>
        <v>▲</v>
      </c>
      <c r="Z22" s="127" t="str">
        <f t="shared" si="2"/>
        <v/>
      </c>
      <c r="AA22" s="127" t="str">
        <f t="shared" si="2"/>
        <v/>
      </c>
      <c r="AB22" s="127" t="str">
        <f t="shared" si="2"/>
        <v/>
      </c>
      <c r="AC22" s="127" t="str">
        <f t="shared" si="2"/>
        <v/>
      </c>
      <c r="AD22" s="127" t="str">
        <f t="shared" si="2"/>
        <v/>
      </c>
      <c r="AE22" s="127" t="str">
        <f t="shared" si="2"/>
        <v/>
      </c>
      <c r="AF22" s="127" t="str">
        <f t="shared" si="2"/>
        <v/>
      </c>
      <c r="AG22" s="127" t="str">
        <f t="shared" si="13"/>
        <v/>
      </c>
      <c r="AH22" s="127" t="str">
        <f t="shared" si="13"/>
        <v/>
      </c>
      <c r="AI22" s="127" t="str">
        <f t="shared" si="13"/>
        <v/>
      </c>
      <c r="AJ22" s="127" t="str">
        <f t="shared" si="13"/>
        <v/>
      </c>
      <c r="AK22" s="127" t="str">
        <f t="shared" si="13"/>
        <v/>
      </c>
      <c r="AL22" s="127" t="str">
        <f t="shared" si="13"/>
        <v/>
      </c>
      <c r="AM22" s="127" t="str">
        <f t="shared" si="13"/>
        <v/>
      </c>
      <c r="AN22" s="127" t="str">
        <f t="shared" si="13"/>
        <v/>
      </c>
      <c r="AO22" s="127" t="str">
        <f t="shared" si="13"/>
        <v/>
      </c>
      <c r="AP22" s="127" t="str">
        <f t="shared" si="13"/>
        <v/>
      </c>
      <c r="AQ22" s="127" t="str">
        <f t="shared" si="13"/>
        <v/>
      </c>
      <c r="AR22" s="127" t="str">
        <f t="shared" si="13"/>
        <v/>
      </c>
      <c r="AS22" s="127" t="str">
        <f t="shared" si="13"/>
        <v/>
      </c>
      <c r="AT22" s="127" t="str">
        <f t="shared" si="13"/>
        <v/>
      </c>
      <c r="AU22" s="127" t="str">
        <f t="shared" si="13"/>
        <v/>
      </c>
      <c r="AV22" s="127" t="str">
        <f t="shared" si="13"/>
        <v/>
      </c>
      <c r="AW22" s="127" t="str">
        <f t="shared" si="13"/>
        <v/>
      </c>
      <c r="AX22" s="127" t="str">
        <f t="shared" si="13"/>
        <v/>
      </c>
      <c r="AY22" s="127" t="str">
        <f t="shared" si="13"/>
        <v/>
      </c>
      <c r="AZ22" s="127" t="str">
        <f t="shared" si="13"/>
        <v/>
      </c>
      <c r="BA22" s="127" t="str">
        <f t="shared" si="13"/>
        <v/>
      </c>
      <c r="BB22" s="127" t="str">
        <f t="shared" si="13"/>
        <v/>
      </c>
      <c r="BC22" s="127" t="str">
        <f t="shared" si="13"/>
        <v/>
      </c>
      <c r="BD22" s="127" t="str">
        <f t="shared" si="13"/>
        <v/>
      </c>
      <c r="BE22" s="127" t="str">
        <f t="shared" si="13"/>
        <v/>
      </c>
      <c r="BF22" s="127" t="str">
        <f t="shared" si="12"/>
        <v/>
      </c>
      <c r="BG22" s="127" t="str">
        <f t="shared" si="13"/>
        <v/>
      </c>
      <c r="BH22" s="127" t="str">
        <f t="shared" si="13"/>
        <v/>
      </c>
      <c r="BI22" s="127" t="str">
        <f t="shared" si="13"/>
        <v/>
      </c>
      <c r="BJ22" s="127" t="str">
        <f t="shared" si="13"/>
        <v/>
      </c>
      <c r="BK22" s="127" t="str">
        <f t="shared" si="13"/>
        <v/>
      </c>
      <c r="BL22" s="127" t="str">
        <f t="shared" si="12"/>
        <v/>
      </c>
      <c r="BM22" s="127" t="str">
        <f t="shared" si="13"/>
        <v/>
      </c>
      <c r="BN22" s="127" t="str">
        <f t="shared" si="13"/>
        <v/>
      </c>
      <c r="BO22" s="127" t="str">
        <f t="shared" si="13"/>
        <v/>
      </c>
      <c r="BP22" s="127" t="str">
        <f t="shared" si="13"/>
        <v/>
      </c>
      <c r="BQ22" s="127" t="str">
        <f t="shared" si="13"/>
        <v/>
      </c>
      <c r="BR22" s="127" t="str">
        <f t="shared" si="12"/>
        <v/>
      </c>
      <c r="BS22" s="127" t="str">
        <f t="shared" si="5"/>
        <v/>
      </c>
      <c r="BT22" s="127" t="str">
        <f t="shared" si="5"/>
        <v/>
      </c>
      <c r="BU22" s="127" t="str">
        <f t="shared" si="5"/>
        <v/>
      </c>
      <c r="BV22" s="127" t="str">
        <f t="shared" si="5"/>
        <v/>
      </c>
      <c r="BW22" s="127" t="str">
        <f t="shared" si="5"/>
        <v/>
      </c>
      <c r="BX22" s="127" t="str">
        <f t="shared" si="12"/>
        <v/>
      </c>
      <c r="BY22" s="127" t="str">
        <f t="shared" si="5"/>
        <v/>
      </c>
      <c r="BZ22" s="127" t="str">
        <f t="shared" si="5"/>
        <v/>
      </c>
      <c r="CA22" s="127" t="str">
        <f t="shared" si="5"/>
        <v/>
      </c>
      <c r="CB22" s="127" t="str">
        <f t="shared" si="5"/>
        <v/>
      </c>
      <c r="CC22" s="127" t="str">
        <f t="shared" si="5"/>
        <v/>
      </c>
      <c r="CD22" s="127" t="str">
        <f t="shared" si="12"/>
        <v/>
      </c>
    </row>
    <row r="23" spans="1:82" ht="12.6" customHeight="1" x14ac:dyDescent="0.2">
      <c r="A23" s="106">
        <f>SHIPMENTS!A29</f>
        <v>8964</v>
      </c>
      <c r="B23" s="106" t="str">
        <f>SHIPMENTS!B29</f>
        <v>15900- Mandaue Warehouse</v>
      </c>
      <c r="C23" s="132">
        <f>SHIPMENTS!F29</f>
        <v>0.11</v>
      </c>
      <c r="D23" s="107" t="str">
        <f>IF((SHIPMENTS!I29)=0,"",SHIPMENTS!I29)</f>
        <v/>
      </c>
      <c r="E23" s="176">
        <f>IF((SHIPMENTS!G29)=0,"",SHIPMENTS!G29)</f>
        <v>46323</v>
      </c>
      <c r="F23" s="98">
        <f>VLOOKUP(A23,load!$A$4:$U$5001,20,0)</f>
        <v>0</v>
      </c>
      <c r="G23" s="109">
        <f>Manhours!$C$7</f>
        <v>9</v>
      </c>
      <c r="H23" s="98">
        <f t="shared" si="0"/>
        <v>81.899999999999991</v>
      </c>
      <c r="I23" s="99">
        <f t="shared" si="6"/>
        <v>0</v>
      </c>
      <c r="J23" s="99">
        <f t="shared" si="1"/>
        <v>0</v>
      </c>
      <c r="K23" s="110">
        <f t="shared" si="7"/>
        <v>0</v>
      </c>
      <c r="L23" s="98">
        <f t="shared" si="8"/>
        <v>0</v>
      </c>
      <c r="M23" s="181">
        <f t="shared" si="11"/>
        <v>46314.235272100123</v>
      </c>
      <c r="N23" s="181">
        <f t="shared" si="10"/>
        <v>46314.235272100123</v>
      </c>
      <c r="O23" s="112">
        <f>VLOOKUP(A23,SHIPMENTS!$A$7:$AP$76,11,0)</f>
        <v>1</v>
      </c>
      <c r="P23" s="101"/>
      <c r="Q23" s="127" t="str">
        <f t="shared" si="2"/>
        <v/>
      </c>
      <c r="R23" s="127" t="str">
        <f t="shared" si="2"/>
        <v/>
      </c>
      <c r="S23" s="127" t="str">
        <f t="shared" si="2"/>
        <v/>
      </c>
      <c r="T23" s="127" t="str">
        <f t="shared" si="2"/>
        <v/>
      </c>
      <c r="U23" s="127" t="str">
        <f t="shared" si="2"/>
        <v/>
      </c>
      <c r="V23" s="127" t="str">
        <f t="shared" si="2"/>
        <v/>
      </c>
      <c r="W23" s="127" t="str">
        <f t="shared" si="2"/>
        <v/>
      </c>
      <c r="X23" s="127" t="str">
        <f t="shared" si="2"/>
        <v/>
      </c>
      <c r="Y23" s="127" t="str">
        <f t="shared" si="2"/>
        <v>▲</v>
      </c>
      <c r="Z23" s="127" t="str">
        <f t="shared" si="2"/>
        <v/>
      </c>
      <c r="AA23" s="127" t="str">
        <f t="shared" si="2"/>
        <v/>
      </c>
      <c r="AB23" s="127" t="str">
        <f t="shared" si="2"/>
        <v/>
      </c>
      <c r="AC23" s="127" t="str">
        <f t="shared" si="2"/>
        <v/>
      </c>
      <c r="AD23" s="127" t="str">
        <f t="shared" si="2"/>
        <v/>
      </c>
      <c r="AE23" s="127" t="str">
        <f t="shared" si="2"/>
        <v/>
      </c>
      <c r="AF23" s="127" t="str">
        <f t="shared" ref="AF23:BE33" si="14">IF($E23=AF$3,"▲","")</f>
        <v/>
      </c>
      <c r="AG23" s="127" t="str">
        <f t="shared" si="14"/>
        <v/>
      </c>
      <c r="AH23" s="127" t="str">
        <f t="shared" si="14"/>
        <v/>
      </c>
      <c r="AI23" s="127" t="str">
        <f t="shared" si="14"/>
        <v/>
      </c>
      <c r="AJ23" s="127" t="str">
        <f t="shared" si="14"/>
        <v/>
      </c>
      <c r="AK23" s="127" t="str">
        <f t="shared" si="14"/>
        <v/>
      </c>
      <c r="AL23" s="127" t="str">
        <f t="shared" si="14"/>
        <v/>
      </c>
      <c r="AM23" s="127" t="str">
        <f t="shared" si="14"/>
        <v/>
      </c>
      <c r="AN23" s="127" t="str">
        <f t="shared" si="14"/>
        <v/>
      </c>
      <c r="AO23" s="127" t="str">
        <f t="shared" si="14"/>
        <v/>
      </c>
      <c r="AP23" s="127" t="str">
        <f t="shared" si="14"/>
        <v/>
      </c>
      <c r="AQ23" s="127" t="str">
        <f t="shared" si="14"/>
        <v/>
      </c>
      <c r="AR23" s="127" t="str">
        <f t="shared" si="14"/>
        <v/>
      </c>
      <c r="AS23" s="127" t="str">
        <f t="shared" si="14"/>
        <v/>
      </c>
      <c r="AT23" s="127" t="str">
        <f t="shared" si="14"/>
        <v/>
      </c>
      <c r="AU23" s="127" t="str">
        <f t="shared" si="14"/>
        <v/>
      </c>
      <c r="AV23" s="127" t="str">
        <f t="shared" si="14"/>
        <v/>
      </c>
      <c r="AW23" s="127" t="str">
        <f t="shared" si="14"/>
        <v/>
      </c>
      <c r="AX23" s="127" t="str">
        <f t="shared" si="14"/>
        <v/>
      </c>
      <c r="AY23" s="127" t="str">
        <f t="shared" si="14"/>
        <v/>
      </c>
      <c r="AZ23" s="127" t="str">
        <f t="shared" si="14"/>
        <v/>
      </c>
      <c r="BA23" s="127" t="str">
        <f t="shared" si="14"/>
        <v/>
      </c>
      <c r="BB23" s="127" t="str">
        <f t="shared" si="14"/>
        <v/>
      </c>
      <c r="BC23" s="127" t="str">
        <f t="shared" si="14"/>
        <v/>
      </c>
      <c r="BD23" s="127" t="str">
        <f t="shared" si="14"/>
        <v/>
      </c>
      <c r="BE23" s="127" t="str">
        <f t="shared" si="14"/>
        <v/>
      </c>
      <c r="BF23" s="127" t="str">
        <f t="shared" si="12"/>
        <v/>
      </c>
      <c r="BG23" s="127" t="str">
        <f t="shared" si="13"/>
        <v/>
      </c>
      <c r="BH23" s="127" t="str">
        <f t="shared" si="13"/>
        <v/>
      </c>
      <c r="BI23" s="127" t="str">
        <f t="shared" si="13"/>
        <v/>
      </c>
      <c r="BJ23" s="127" t="str">
        <f t="shared" si="13"/>
        <v/>
      </c>
      <c r="BK23" s="127" t="str">
        <f t="shared" si="13"/>
        <v/>
      </c>
      <c r="BL23" s="127" t="str">
        <f t="shared" si="12"/>
        <v/>
      </c>
      <c r="BM23" s="127" t="str">
        <f t="shared" si="13"/>
        <v/>
      </c>
      <c r="BN23" s="127" t="str">
        <f t="shared" si="13"/>
        <v/>
      </c>
      <c r="BO23" s="127" t="str">
        <f t="shared" si="13"/>
        <v/>
      </c>
      <c r="BP23" s="127" t="str">
        <f t="shared" si="13"/>
        <v/>
      </c>
      <c r="BQ23" s="127" t="str">
        <f t="shared" si="13"/>
        <v/>
      </c>
      <c r="BR23" s="127" t="str">
        <f t="shared" si="12"/>
        <v/>
      </c>
      <c r="BS23" s="127" t="str">
        <f t="shared" si="5"/>
        <v/>
      </c>
      <c r="BT23" s="127" t="str">
        <f t="shared" si="5"/>
        <v/>
      </c>
      <c r="BU23" s="127" t="str">
        <f t="shared" si="5"/>
        <v/>
      </c>
      <c r="BV23" s="127" t="str">
        <f t="shared" si="5"/>
        <v/>
      </c>
      <c r="BW23" s="127" t="str">
        <f t="shared" si="5"/>
        <v/>
      </c>
      <c r="BX23" s="127" t="str">
        <f t="shared" si="12"/>
        <v/>
      </c>
      <c r="BY23" s="127" t="str">
        <f t="shared" si="5"/>
        <v/>
      </c>
      <c r="BZ23" s="127" t="str">
        <f t="shared" si="5"/>
        <v/>
      </c>
      <c r="CA23" s="127" t="str">
        <f t="shared" si="5"/>
        <v/>
      </c>
      <c r="CB23" s="127" t="str">
        <f t="shared" si="5"/>
        <v/>
      </c>
      <c r="CC23" s="127" t="str">
        <f t="shared" si="5"/>
        <v/>
      </c>
      <c r="CD23" s="127" t="str">
        <f t="shared" si="12"/>
        <v/>
      </c>
    </row>
    <row r="24" spans="1:82" ht="12.6" hidden="1" customHeight="1" x14ac:dyDescent="0.2">
      <c r="A24" s="106">
        <f>SHIPMENTS!A30</f>
        <v>9023</v>
      </c>
      <c r="B24" s="106" t="str">
        <f>SHIPMENTS!B30</f>
        <v>15900- Ubay | Danilo Varela</v>
      </c>
      <c r="C24" s="132">
        <f>SHIPMENTS!F30</f>
        <v>3.0849999999999999E-2</v>
      </c>
      <c r="D24" s="107" t="str">
        <f>IF((SHIPMENTS!I30)=0,"",SHIPMENTS!I30)</f>
        <v/>
      </c>
      <c r="E24" s="176">
        <f>IF((SHIPMENTS!G30)=0,"",SHIPMENTS!G30)</f>
        <v>46323</v>
      </c>
      <c r="F24" s="98">
        <f>VLOOKUP(A24,load!$A$4:$U$5001,20,0)</f>
        <v>0.10666666666666667</v>
      </c>
      <c r="G24" s="109">
        <f>Manhours!$C$7</f>
        <v>9</v>
      </c>
      <c r="H24" s="98">
        <f t="shared" si="0"/>
        <v>81.899999999999991</v>
      </c>
      <c r="I24" s="99">
        <f t="shared" si="6"/>
        <v>1.3024013024013027E-3</v>
      </c>
      <c r="J24" s="99">
        <f t="shared" si="1"/>
        <v>1.1851851851851855E-2</v>
      </c>
      <c r="K24" s="110">
        <f t="shared" si="7"/>
        <v>0</v>
      </c>
      <c r="L24" s="98">
        <f t="shared" si="8"/>
        <v>0</v>
      </c>
      <c r="M24" s="181">
        <f t="shared" si="11"/>
        <v>46314.235272100123</v>
      </c>
      <c r="N24" s="181">
        <f t="shared" si="10"/>
        <v>46314.235272100123</v>
      </c>
      <c r="O24" s="112" t="str">
        <f>VLOOKUP(A24,SHIPMENTS!$A$7:$AP$76,11,0)</f>
        <v>n/a</v>
      </c>
      <c r="P24" s="101"/>
      <c r="Q24" s="127" t="str">
        <f t="shared" ref="Q24:AF39" si="15">IF($E24=Q$3,"▲","")</f>
        <v/>
      </c>
      <c r="R24" s="127" t="str">
        <f t="shared" si="15"/>
        <v/>
      </c>
      <c r="S24" s="127" t="str">
        <f t="shared" si="15"/>
        <v/>
      </c>
      <c r="T24" s="127" t="str">
        <f t="shared" si="15"/>
        <v/>
      </c>
      <c r="U24" s="127" t="str">
        <f t="shared" si="15"/>
        <v/>
      </c>
      <c r="V24" s="127" t="str">
        <f t="shared" si="15"/>
        <v/>
      </c>
      <c r="W24" s="127" t="str">
        <f t="shared" si="15"/>
        <v/>
      </c>
      <c r="X24" s="127" t="str">
        <f t="shared" si="15"/>
        <v/>
      </c>
      <c r="Y24" s="127" t="str">
        <f t="shared" si="15"/>
        <v>▲</v>
      </c>
      <c r="Z24" s="127" t="str">
        <f t="shared" si="15"/>
        <v/>
      </c>
      <c r="AA24" s="127" t="str">
        <f t="shared" si="15"/>
        <v/>
      </c>
      <c r="AB24" s="127" t="str">
        <f t="shared" si="15"/>
        <v/>
      </c>
      <c r="AC24" s="127" t="str">
        <f t="shared" si="15"/>
        <v/>
      </c>
      <c r="AD24" s="127" t="str">
        <f t="shared" si="15"/>
        <v/>
      </c>
      <c r="AE24" s="127" t="str">
        <f t="shared" si="15"/>
        <v/>
      </c>
      <c r="AF24" s="127" t="str">
        <f t="shared" si="15"/>
        <v/>
      </c>
      <c r="AG24" s="127" t="str">
        <f t="shared" si="14"/>
        <v/>
      </c>
      <c r="AH24" s="127" t="str">
        <f t="shared" si="14"/>
        <v/>
      </c>
      <c r="AI24" s="127" t="str">
        <f t="shared" si="14"/>
        <v/>
      </c>
      <c r="AJ24" s="127" t="str">
        <f t="shared" si="14"/>
        <v/>
      </c>
      <c r="AK24" s="127" t="str">
        <f t="shared" si="14"/>
        <v/>
      </c>
      <c r="AL24" s="127" t="str">
        <f t="shared" si="14"/>
        <v/>
      </c>
      <c r="AM24" s="127" t="str">
        <f t="shared" si="14"/>
        <v/>
      </c>
      <c r="AN24" s="127" t="str">
        <f t="shared" si="14"/>
        <v/>
      </c>
      <c r="AO24" s="127" t="str">
        <f t="shared" si="14"/>
        <v/>
      </c>
      <c r="AP24" s="127" t="str">
        <f t="shared" si="14"/>
        <v/>
      </c>
      <c r="AQ24" s="127" t="str">
        <f t="shared" si="14"/>
        <v/>
      </c>
      <c r="AR24" s="127" t="str">
        <f t="shared" si="14"/>
        <v/>
      </c>
      <c r="AS24" s="127" t="str">
        <f t="shared" si="14"/>
        <v/>
      </c>
      <c r="AT24" s="127" t="str">
        <f t="shared" si="14"/>
        <v/>
      </c>
      <c r="AU24" s="127" t="str">
        <f t="shared" si="14"/>
        <v/>
      </c>
      <c r="AV24" s="127" t="str">
        <f t="shared" si="14"/>
        <v/>
      </c>
      <c r="AW24" s="127" t="str">
        <f t="shared" si="14"/>
        <v/>
      </c>
      <c r="AX24" s="127" t="str">
        <f t="shared" si="14"/>
        <v/>
      </c>
      <c r="AY24" s="127" t="str">
        <f t="shared" si="14"/>
        <v/>
      </c>
      <c r="AZ24" s="127" t="str">
        <f t="shared" si="14"/>
        <v/>
      </c>
      <c r="BA24" s="127" t="str">
        <f t="shared" si="14"/>
        <v/>
      </c>
      <c r="BB24" s="127" t="str">
        <f t="shared" si="14"/>
        <v/>
      </c>
      <c r="BC24" s="127" t="str">
        <f t="shared" si="14"/>
        <v/>
      </c>
      <c r="BD24" s="127" t="str">
        <f t="shared" si="14"/>
        <v/>
      </c>
      <c r="BE24" s="127" t="str">
        <f t="shared" si="14"/>
        <v/>
      </c>
      <c r="BF24" s="127" t="str">
        <f t="shared" si="12"/>
        <v/>
      </c>
      <c r="BG24" s="127" t="str">
        <f t="shared" si="13"/>
        <v/>
      </c>
      <c r="BH24" s="127" t="str">
        <f t="shared" si="13"/>
        <v/>
      </c>
      <c r="BI24" s="127" t="str">
        <f t="shared" si="13"/>
        <v/>
      </c>
      <c r="BJ24" s="127" t="str">
        <f t="shared" si="13"/>
        <v/>
      </c>
      <c r="BK24" s="127" t="str">
        <f t="shared" si="13"/>
        <v/>
      </c>
      <c r="BL24" s="127" t="str">
        <f t="shared" si="12"/>
        <v/>
      </c>
      <c r="BM24" s="127" t="str">
        <f t="shared" si="13"/>
        <v/>
      </c>
      <c r="BN24" s="127" t="str">
        <f t="shared" si="13"/>
        <v/>
      </c>
      <c r="BO24" s="127" t="str">
        <f t="shared" si="13"/>
        <v/>
      </c>
      <c r="BP24" s="127" t="str">
        <f t="shared" si="13"/>
        <v/>
      </c>
      <c r="BQ24" s="127" t="str">
        <f t="shared" si="13"/>
        <v/>
      </c>
      <c r="BR24" s="127" t="str">
        <f t="shared" si="12"/>
        <v/>
      </c>
      <c r="BS24" s="127" t="str">
        <f t="shared" si="12"/>
        <v/>
      </c>
      <c r="BT24" s="127" t="str">
        <f t="shared" si="12"/>
        <v/>
      </c>
      <c r="BU24" s="127" t="str">
        <f t="shared" si="12"/>
        <v/>
      </c>
      <c r="BV24" s="127" t="str">
        <f t="shared" si="12"/>
        <v/>
      </c>
      <c r="BW24" s="127" t="str">
        <f t="shared" si="12"/>
        <v/>
      </c>
      <c r="BX24" s="127" t="str">
        <f t="shared" si="12"/>
        <v/>
      </c>
      <c r="BY24" s="127" t="str">
        <f t="shared" si="12"/>
        <v/>
      </c>
      <c r="BZ24" s="127" t="str">
        <f t="shared" si="12"/>
        <v/>
      </c>
      <c r="CA24" s="127" t="str">
        <f t="shared" si="12"/>
        <v/>
      </c>
      <c r="CB24" s="127" t="str">
        <f t="shared" si="12"/>
        <v/>
      </c>
      <c r="CC24" s="127" t="str">
        <f t="shared" si="12"/>
        <v/>
      </c>
      <c r="CD24" s="127" t="str">
        <f t="shared" si="12"/>
        <v/>
      </c>
    </row>
    <row r="25" spans="1:82" ht="12.6" hidden="1" customHeight="1" x14ac:dyDescent="0.2">
      <c r="A25" s="106">
        <f>SHIPMENTS!A31</f>
        <v>9105</v>
      </c>
      <c r="B25" s="106" t="str">
        <f>SHIPMENTS!B31</f>
        <v>15900- Cebu City |Nelsar Alvar</v>
      </c>
      <c r="C25" s="132">
        <f>SHIPMENTS!F31</f>
        <v>1.35E-2</v>
      </c>
      <c r="D25" s="107" t="str">
        <f>IF((SHIPMENTS!I31)=0,"",SHIPMENTS!I31)</f>
        <v/>
      </c>
      <c r="E25" s="176">
        <f>IF((SHIPMENTS!G31)=0,"",SHIPMENTS!G31)</f>
        <v>46323</v>
      </c>
      <c r="F25" s="98">
        <f>VLOOKUP(A25,load!$A$4:$U$5001,20,0)</f>
        <v>0.65333333333333332</v>
      </c>
      <c r="G25" s="109">
        <f>Manhours!$C$7</f>
        <v>9</v>
      </c>
      <c r="H25" s="98">
        <f t="shared" si="0"/>
        <v>81.899999999999991</v>
      </c>
      <c r="I25" s="99">
        <f t="shared" si="6"/>
        <v>7.9772079772079778E-3</v>
      </c>
      <c r="J25" s="99">
        <f t="shared" si="1"/>
        <v>7.2592592592592597E-2</v>
      </c>
      <c r="K25" s="110">
        <f t="shared" si="7"/>
        <v>0</v>
      </c>
      <c r="L25" s="98">
        <f t="shared" si="8"/>
        <v>0</v>
      </c>
      <c r="M25" s="181">
        <f t="shared" si="11"/>
        <v>46314.235272100123</v>
      </c>
      <c r="N25" s="181">
        <f t="shared" si="10"/>
        <v>46314.235272100123</v>
      </c>
      <c r="O25" s="112" t="str">
        <f>VLOOKUP(A25,SHIPMENTS!$A$7:$AP$76,11,0)</f>
        <v>n/a</v>
      </c>
      <c r="P25" s="101"/>
      <c r="Q25" s="127" t="str">
        <f t="shared" si="15"/>
        <v/>
      </c>
      <c r="R25" s="127" t="str">
        <f t="shared" si="15"/>
        <v/>
      </c>
      <c r="S25" s="127" t="str">
        <f t="shared" si="15"/>
        <v/>
      </c>
      <c r="T25" s="127" t="str">
        <f t="shared" si="15"/>
        <v/>
      </c>
      <c r="U25" s="127" t="str">
        <f t="shared" si="15"/>
        <v/>
      </c>
      <c r="V25" s="127" t="str">
        <f t="shared" si="15"/>
        <v/>
      </c>
      <c r="W25" s="127" t="str">
        <f t="shared" si="15"/>
        <v/>
      </c>
      <c r="X25" s="127" t="str">
        <f t="shared" si="15"/>
        <v/>
      </c>
      <c r="Y25" s="127" t="str">
        <f t="shared" si="15"/>
        <v>▲</v>
      </c>
      <c r="Z25" s="127" t="str">
        <f t="shared" si="15"/>
        <v/>
      </c>
      <c r="AA25" s="127" t="str">
        <f t="shared" si="15"/>
        <v/>
      </c>
      <c r="AB25" s="127" t="str">
        <f t="shared" si="15"/>
        <v/>
      </c>
      <c r="AC25" s="127" t="str">
        <f t="shared" si="15"/>
        <v/>
      </c>
      <c r="AD25" s="127" t="str">
        <f t="shared" si="15"/>
        <v/>
      </c>
      <c r="AE25" s="127" t="str">
        <f t="shared" si="15"/>
        <v/>
      </c>
      <c r="AF25" s="127" t="str">
        <f t="shared" si="15"/>
        <v/>
      </c>
      <c r="AG25" s="127" t="str">
        <f t="shared" si="14"/>
        <v/>
      </c>
      <c r="AH25" s="127" t="str">
        <f t="shared" si="14"/>
        <v/>
      </c>
      <c r="AI25" s="127" t="str">
        <f t="shared" si="14"/>
        <v/>
      </c>
      <c r="AJ25" s="127" t="str">
        <f t="shared" si="14"/>
        <v/>
      </c>
      <c r="AK25" s="127" t="str">
        <f t="shared" si="14"/>
        <v/>
      </c>
      <c r="AL25" s="127" t="str">
        <f t="shared" si="14"/>
        <v/>
      </c>
      <c r="AM25" s="127" t="str">
        <f t="shared" si="14"/>
        <v/>
      </c>
      <c r="AN25" s="127" t="str">
        <f t="shared" si="14"/>
        <v/>
      </c>
      <c r="AO25" s="127" t="str">
        <f t="shared" si="14"/>
        <v/>
      </c>
      <c r="AP25" s="127" t="str">
        <f t="shared" si="14"/>
        <v/>
      </c>
      <c r="AQ25" s="127" t="str">
        <f t="shared" si="14"/>
        <v/>
      </c>
      <c r="AR25" s="127" t="str">
        <f t="shared" si="14"/>
        <v/>
      </c>
      <c r="AS25" s="127" t="str">
        <f t="shared" si="14"/>
        <v/>
      </c>
      <c r="AT25" s="127" t="str">
        <f t="shared" si="14"/>
        <v/>
      </c>
      <c r="AU25" s="127" t="str">
        <f t="shared" si="14"/>
        <v/>
      </c>
      <c r="AV25" s="127" t="str">
        <f t="shared" si="14"/>
        <v/>
      </c>
      <c r="AW25" s="127" t="str">
        <f t="shared" si="14"/>
        <v/>
      </c>
      <c r="AX25" s="127" t="str">
        <f t="shared" si="14"/>
        <v/>
      </c>
      <c r="AY25" s="127" t="str">
        <f t="shared" si="14"/>
        <v/>
      </c>
      <c r="AZ25" s="127" t="str">
        <f t="shared" si="14"/>
        <v/>
      </c>
      <c r="BA25" s="127" t="str">
        <f t="shared" si="14"/>
        <v/>
      </c>
      <c r="BB25" s="127" t="str">
        <f t="shared" si="14"/>
        <v/>
      </c>
      <c r="BC25" s="127" t="str">
        <f t="shared" si="14"/>
        <v/>
      </c>
      <c r="BD25" s="127" t="str">
        <f t="shared" si="14"/>
        <v/>
      </c>
      <c r="BE25" s="127" t="str">
        <f t="shared" si="14"/>
        <v/>
      </c>
      <c r="BF25" s="127" t="str">
        <f t="shared" si="12"/>
        <v/>
      </c>
      <c r="BG25" s="127" t="str">
        <f t="shared" si="13"/>
        <v/>
      </c>
      <c r="BH25" s="127" t="str">
        <f t="shared" si="13"/>
        <v/>
      </c>
      <c r="BI25" s="127" t="str">
        <f t="shared" si="13"/>
        <v/>
      </c>
      <c r="BJ25" s="127" t="str">
        <f t="shared" si="13"/>
        <v/>
      </c>
      <c r="BK25" s="127" t="str">
        <f t="shared" si="13"/>
        <v/>
      </c>
      <c r="BL25" s="127" t="str">
        <f t="shared" si="12"/>
        <v/>
      </c>
      <c r="BM25" s="127" t="str">
        <f t="shared" si="13"/>
        <v/>
      </c>
      <c r="BN25" s="127" t="str">
        <f t="shared" si="13"/>
        <v/>
      </c>
      <c r="BO25" s="127" t="str">
        <f t="shared" si="13"/>
        <v/>
      </c>
      <c r="BP25" s="127" t="str">
        <f t="shared" si="13"/>
        <v/>
      </c>
      <c r="BQ25" s="127" t="str">
        <f t="shared" si="13"/>
        <v/>
      </c>
      <c r="BR25" s="127" t="str">
        <f t="shared" si="12"/>
        <v/>
      </c>
      <c r="BS25" s="127" t="str">
        <f t="shared" si="12"/>
        <v/>
      </c>
      <c r="BT25" s="127" t="str">
        <f t="shared" si="12"/>
        <v/>
      </c>
      <c r="BU25" s="127" t="str">
        <f t="shared" si="12"/>
        <v/>
      </c>
      <c r="BV25" s="127" t="str">
        <f t="shared" si="12"/>
        <v/>
      </c>
      <c r="BW25" s="127" t="str">
        <f t="shared" si="12"/>
        <v/>
      </c>
      <c r="BX25" s="127" t="str">
        <f t="shared" si="12"/>
        <v/>
      </c>
      <c r="BY25" s="127" t="str">
        <f t="shared" si="12"/>
        <v/>
      </c>
      <c r="BZ25" s="127" t="str">
        <f t="shared" si="12"/>
        <v/>
      </c>
      <c r="CA25" s="127" t="str">
        <f t="shared" si="12"/>
        <v/>
      </c>
      <c r="CB25" s="127" t="str">
        <f t="shared" si="12"/>
        <v/>
      </c>
      <c r="CC25" s="127" t="str">
        <f t="shared" si="12"/>
        <v/>
      </c>
      <c r="CD25" s="127" t="str">
        <f t="shared" si="12"/>
        <v/>
      </c>
    </row>
    <row r="26" spans="1:82" ht="12.6" customHeight="1" x14ac:dyDescent="0.2">
      <c r="A26" s="106">
        <f>SHIPMENTS!A32</f>
        <v>9292</v>
      </c>
      <c r="B26" s="106" t="str">
        <f>SHIPMENTS!B32</f>
        <v>15900- Mandaue Warehouse</v>
      </c>
      <c r="C26" s="132">
        <f>SHIPMENTS!F32</f>
        <v>0.51459999999999995</v>
      </c>
      <c r="D26" s="107" t="str">
        <f>IF((SHIPMENTS!I32)=0,"",SHIPMENTS!I32)</f>
        <v/>
      </c>
      <c r="E26" s="176">
        <f>IF((SHIPMENTS!G32)=0,"",SHIPMENTS!G32)</f>
        <v>46323</v>
      </c>
      <c r="F26" s="98">
        <f>VLOOKUP(A26,load!$A$4:$U$5001,20,0)</f>
        <v>11.508166666666666</v>
      </c>
      <c r="G26" s="109">
        <f>Manhours!$C$7</f>
        <v>9</v>
      </c>
      <c r="H26" s="98">
        <f t="shared" si="0"/>
        <v>81.899999999999991</v>
      </c>
      <c r="I26" s="99">
        <f t="shared" si="6"/>
        <v>0.14051485551485551</v>
      </c>
      <c r="J26" s="99">
        <f t="shared" si="1"/>
        <v>1.278685185185185</v>
      </c>
      <c r="K26" s="110">
        <f t="shared" si="7"/>
        <v>0.14051485551485551</v>
      </c>
      <c r="L26" s="98">
        <f t="shared" si="8"/>
        <v>1.278685185185185</v>
      </c>
      <c r="M26" s="181">
        <f t="shared" si="11"/>
        <v>46314.235272100123</v>
      </c>
      <c r="N26" s="181">
        <f t="shared" si="10"/>
        <v>46314.375786955636</v>
      </c>
      <c r="O26" s="112">
        <f>VLOOKUP(A26,SHIPMENTS!$A$7:$AP$76,11,0)</f>
        <v>0</v>
      </c>
      <c r="P26" s="101"/>
      <c r="Q26" s="127" t="str">
        <f t="shared" si="15"/>
        <v/>
      </c>
      <c r="R26" s="127" t="str">
        <f t="shared" si="15"/>
        <v/>
      </c>
      <c r="S26" s="127" t="str">
        <f t="shared" si="15"/>
        <v/>
      </c>
      <c r="T26" s="127" t="str">
        <f t="shared" si="15"/>
        <v/>
      </c>
      <c r="U26" s="127" t="str">
        <f t="shared" si="15"/>
        <v/>
      </c>
      <c r="V26" s="127" t="str">
        <f t="shared" si="15"/>
        <v/>
      </c>
      <c r="W26" s="127" t="str">
        <f t="shared" si="15"/>
        <v/>
      </c>
      <c r="X26" s="127" t="str">
        <f t="shared" si="15"/>
        <v/>
      </c>
      <c r="Y26" s="127" t="str">
        <f t="shared" si="15"/>
        <v>▲</v>
      </c>
      <c r="Z26" s="127" t="str">
        <f t="shared" si="15"/>
        <v/>
      </c>
      <c r="AA26" s="127" t="str">
        <f t="shared" si="15"/>
        <v/>
      </c>
      <c r="AB26" s="127" t="str">
        <f t="shared" si="15"/>
        <v/>
      </c>
      <c r="AC26" s="127" t="str">
        <f t="shared" si="15"/>
        <v/>
      </c>
      <c r="AD26" s="127" t="str">
        <f t="shared" si="15"/>
        <v/>
      </c>
      <c r="AE26" s="127" t="str">
        <f t="shared" si="15"/>
        <v/>
      </c>
      <c r="AF26" s="127" t="str">
        <f t="shared" si="15"/>
        <v/>
      </c>
      <c r="AG26" s="127" t="str">
        <f t="shared" si="14"/>
        <v/>
      </c>
      <c r="AH26" s="127" t="str">
        <f t="shared" si="14"/>
        <v/>
      </c>
      <c r="AI26" s="127" t="str">
        <f t="shared" si="14"/>
        <v/>
      </c>
      <c r="AJ26" s="127" t="str">
        <f t="shared" si="14"/>
        <v/>
      </c>
      <c r="AK26" s="127" t="str">
        <f t="shared" si="14"/>
        <v/>
      </c>
      <c r="AL26" s="127" t="str">
        <f t="shared" si="14"/>
        <v/>
      </c>
      <c r="AM26" s="127" t="str">
        <f t="shared" si="14"/>
        <v/>
      </c>
      <c r="AN26" s="127" t="str">
        <f t="shared" si="14"/>
        <v/>
      </c>
      <c r="AO26" s="127" t="str">
        <f t="shared" si="14"/>
        <v/>
      </c>
      <c r="AP26" s="127" t="str">
        <f t="shared" si="14"/>
        <v/>
      </c>
      <c r="AQ26" s="127" t="str">
        <f t="shared" si="14"/>
        <v/>
      </c>
      <c r="AR26" s="127" t="str">
        <f t="shared" si="14"/>
        <v/>
      </c>
      <c r="AS26" s="127" t="str">
        <f t="shared" si="14"/>
        <v/>
      </c>
      <c r="AT26" s="127" t="str">
        <f t="shared" si="14"/>
        <v/>
      </c>
      <c r="AU26" s="127" t="str">
        <f t="shared" si="14"/>
        <v/>
      </c>
      <c r="AV26" s="127" t="str">
        <f t="shared" si="14"/>
        <v/>
      </c>
      <c r="AW26" s="127" t="str">
        <f t="shared" si="14"/>
        <v/>
      </c>
      <c r="AX26" s="127" t="str">
        <f t="shared" si="14"/>
        <v/>
      </c>
      <c r="AY26" s="127" t="str">
        <f t="shared" si="14"/>
        <v/>
      </c>
      <c r="AZ26" s="127" t="str">
        <f t="shared" si="14"/>
        <v/>
      </c>
      <c r="BA26" s="127" t="str">
        <f t="shared" si="14"/>
        <v/>
      </c>
      <c r="BB26" s="127" t="str">
        <f t="shared" si="14"/>
        <v/>
      </c>
      <c r="BC26" s="127" t="str">
        <f t="shared" si="14"/>
        <v/>
      </c>
      <c r="BD26" s="127" t="str">
        <f t="shared" si="14"/>
        <v/>
      </c>
      <c r="BE26" s="127" t="str">
        <f t="shared" si="14"/>
        <v/>
      </c>
      <c r="BF26" s="127" t="str">
        <f t="shared" si="12"/>
        <v/>
      </c>
      <c r="BG26" s="127" t="str">
        <f t="shared" si="13"/>
        <v/>
      </c>
      <c r="BH26" s="127" t="str">
        <f t="shared" si="13"/>
        <v/>
      </c>
      <c r="BI26" s="127" t="str">
        <f t="shared" si="13"/>
        <v/>
      </c>
      <c r="BJ26" s="127" t="str">
        <f t="shared" si="13"/>
        <v/>
      </c>
      <c r="BK26" s="127" t="str">
        <f t="shared" si="13"/>
        <v/>
      </c>
      <c r="BL26" s="127" t="str">
        <f t="shared" si="12"/>
        <v/>
      </c>
      <c r="BM26" s="127" t="str">
        <f t="shared" si="13"/>
        <v/>
      </c>
      <c r="BN26" s="127" t="str">
        <f t="shared" si="13"/>
        <v/>
      </c>
      <c r="BO26" s="127" t="str">
        <f t="shared" si="13"/>
        <v/>
      </c>
      <c r="BP26" s="127" t="str">
        <f t="shared" si="13"/>
        <v/>
      </c>
      <c r="BQ26" s="127" t="str">
        <f t="shared" si="13"/>
        <v/>
      </c>
      <c r="BR26" s="127" t="str">
        <f t="shared" si="12"/>
        <v/>
      </c>
      <c r="BS26" s="127" t="str">
        <f t="shared" si="12"/>
        <v/>
      </c>
      <c r="BT26" s="127" t="str">
        <f t="shared" si="12"/>
        <v/>
      </c>
      <c r="BU26" s="127" t="str">
        <f t="shared" si="12"/>
        <v/>
      </c>
      <c r="BV26" s="127" t="str">
        <f t="shared" si="12"/>
        <v/>
      </c>
      <c r="BW26" s="127" t="str">
        <f t="shared" si="12"/>
        <v/>
      </c>
      <c r="BX26" s="127" t="str">
        <f t="shared" si="12"/>
        <v/>
      </c>
      <c r="BY26" s="127" t="str">
        <f t="shared" si="12"/>
        <v/>
      </c>
      <c r="BZ26" s="127" t="str">
        <f t="shared" si="12"/>
        <v/>
      </c>
      <c r="CA26" s="127" t="str">
        <f t="shared" si="12"/>
        <v/>
      </c>
      <c r="CB26" s="127" t="str">
        <f t="shared" si="12"/>
        <v/>
      </c>
      <c r="CC26" s="127" t="str">
        <f t="shared" si="12"/>
        <v/>
      </c>
      <c r="CD26" s="127" t="str">
        <f t="shared" si="12"/>
        <v/>
      </c>
    </row>
    <row r="27" spans="1:82" ht="12.6" customHeight="1" x14ac:dyDescent="0.2">
      <c r="A27" s="106">
        <f>SHIPMENTS!A33</f>
        <v>9116</v>
      </c>
      <c r="B27" s="106" t="str">
        <f>SHIPMENTS!B33</f>
        <v>15900- Dagupan City |Kerwin Fernandez</v>
      </c>
      <c r="C27" s="132">
        <f>SHIPMENTS!F33</f>
        <v>0.17</v>
      </c>
      <c r="D27" s="107" t="str">
        <f>IF((SHIPMENTS!I33)=0,"",SHIPMENTS!I33)</f>
        <v>1X20</v>
      </c>
      <c r="E27" s="176">
        <f>IF((SHIPMENTS!G33)=0,"",SHIPMENTS!G33)</f>
        <v>46323</v>
      </c>
      <c r="F27" s="98">
        <f>VLOOKUP(A27,load!$A$4:$U$5001,20,0)</f>
        <v>1.5863333333333334</v>
      </c>
      <c r="G27" s="109">
        <f>Manhours!$C$7</f>
        <v>9</v>
      </c>
      <c r="H27" s="98">
        <f t="shared" si="0"/>
        <v>81.899999999999991</v>
      </c>
      <c r="I27" s="99">
        <f t="shared" si="6"/>
        <v>1.9369149369149373E-2</v>
      </c>
      <c r="J27" s="99">
        <f t="shared" si="1"/>
        <v>0.17625925925925928</v>
      </c>
      <c r="K27" s="110">
        <f t="shared" si="7"/>
        <v>0</v>
      </c>
      <c r="L27" s="98">
        <f t="shared" si="8"/>
        <v>0</v>
      </c>
      <c r="M27" s="181">
        <f t="shared" si="11"/>
        <v>46314.375786955636</v>
      </c>
      <c r="N27" s="181">
        <f t="shared" si="10"/>
        <v>46314.375786955636</v>
      </c>
      <c r="O27" s="112">
        <f>VLOOKUP(A27,SHIPMENTS!$A$7:$AP$76,11,0)</f>
        <v>1</v>
      </c>
      <c r="P27" s="101"/>
      <c r="Q27" s="127" t="str">
        <f t="shared" si="15"/>
        <v/>
      </c>
      <c r="R27" s="127" t="str">
        <f t="shared" si="15"/>
        <v/>
      </c>
      <c r="S27" s="127" t="str">
        <f t="shared" si="15"/>
        <v/>
      </c>
      <c r="T27" s="127" t="str">
        <f t="shared" si="15"/>
        <v/>
      </c>
      <c r="U27" s="127" t="str">
        <f t="shared" si="15"/>
        <v/>
      </c>
      <c r="V27" s="127" t="str">
        <f t="shared" si="15"/>
        <v/>
      </c>
      <c r="W27" s="127" t="str">
        <f t="shared" si="15"/>
        <v/>
      </c>
      <c r="X27" s="127" t="str">
        <f t="shared" si="15"/>
        <v/>
      </c>
      <c r="Y27" s="127" t="str">
        <f t="shared" si="15"/>
        <v>▲</v>
      </c>
      <c r="Z27" s="127" t="str">
        <f t="shared" si="15"/>
        <v/>
      </c>
      <c r="AA27" s="127" t="str">
        <f t="shared" si="15"/>
        <v/>
      </c>
      <c r="AB27" s="127" t="str">
        <f t="shared" si="15"/>
        <v/>
      </c>
      <c r="AC27" s="127" t="str">
        <f t="shared" si="15"/>
        <v/>
      </c>
      <c r="AD27" s="127" t="str">
        <f t="shared" si="15"/>
        <v/>
      </c>
      <c r="AE27" s="127" t="str">
        <f t="shared" si="15"/>
        <v/>
      </c>
      <c r="AF27" s="127" t="str">
        <f t="shared" si="15"/>
        <v/>
      </c>
      <c r="AG27" s="127" t="str">
        <f t="shared" si="14"/>
        <v/>
      </c>
      <c r="AH27" s="127" t="str">
        <f t="shared" si="14"/>
        <v/>
      </c>
      <c r="AI27" s="127" t="str">
        <f t="shared" si="14"/>
        <v/>
      </c>
      <c r="AJ27" s="127" t="str">
        <f t="shared" si="14"/>
        <v/>
      </c>
      <c r="AK27" s="127" t="str">
        <f t="shared" si="14"/>
        <v/>
      </c>
      <c r="AL27" s="127" t="str">
        <f t="shared" si="14"/>
        <v/>
      </c>
      <c r="AM27" s="127" t="str">
        <f t="shared" si="14"/>
        <v/>
      </c>
      <c r="AN27" s="127" t="str">
        <f t="shared" si="14"/>
        <v/>
      </c>
      <c r="AO27" s="127" t="str">
        <f t="shared" si="14"/>
        <v/>
      </c>
      <c r="AP27" s="127" t="str">
        <f t="shared" si="14"/>
        <v/>
      </c>
      <c r="AQ27" s="127" t="str">
        <f t="shared" si="14"/>
        <v/>
      </c>
      <c r="AR27" s="127" t="str">
        <f t="shared" si="14"/>
        <v/>
      </c>
      <c r="AS27" s="127" t="str">
        <f t="shared" si="14"/>
        <v/>
      </c>
      <c r="AT27" s="127" t="str">
        <f t="shared" si="14"/>
        <v/>
      </c>
      <c r="AU27" s="127" t="str">
        <f t="shared" si="14"/>
        <v/>
      </c>
      <c r="AV27" s="127" t="str">
        <f t="shared" si="14"/>
        <v/>
      </c>
      <c r="AW27" s="127" t="str">
        <f t="shared" si="14"/>
        <v/>
      </c>
      <c r="AX27" s="127" t="str">
        <f t="shared" si="14"/>
        <v/>
      </c>
      <c r="AY27" s="127" t="str">
        <f t="shared" si="14"/>
        <v/>
      </c>
      <c r="AZ27" s="127" t="str">
        <f t="shared" si="14"/>
        <v/>
      </c>
      <c r="BA27" s="127" t="str">
        <f t="shared" si="14"/>
        <v/>
      </c>
      <c r="BB27" s="127" t="str">
        <f t="shared" si="14"/>
        <v/>
      </c>
      <c r="BC27" s="127" t="str">
        <f t="shared" si="14"/>
        <v/>
      </c>
      <c r="BD27" s="127" t="str">
        <f t="shared" si="14"/>
        <v/>
      </c>
      <c r="BE27" s="127" t="str">
        <f t="shared" si="14"/>
        <v/>
      </c>
      <c r="BF27" s="127" t="str">
        <f t="shared" si="12"/>
        <v/>
      </c>
      <c r="BG27" s="127" t="str">
        <f t="shared" si="13"/>
        <v/>
      </c>
      <c r="BH27" s="127" t="str">
        <f t="shared" si="13"/>
        <v/>
      </c>
      <c r="BI27" s="127" t="str">
        <f t="shared" si="13"/>
        <v/>
      </c>
      <c r="BJ27" s="127" t="str">
        <f t="shared" si="13"/>
        <v/>
      </c>
      <c r="BK27" s="127" t="str">
        <f t="shared" si="13"/>
        <v/>
      </c>
      <c r="BL27" s="127" t="str">
        <f t="shared" si="12"/>
        <v/>
      </c>
      <c r="BM27" s="127" t="str">
        <f t="shared" si="13"/>
        <v/>
      </c>
      <c r="BN27" s="127" t="str">
        <f t="shared" si="13"/>
        <v/>
      </c>
      <c r="BO27" s="127" t="str">
        <f t="shared" si="13"/>
        <v/>
      </c>
      <c r="BP27" s="127" t="str">
        <f t="shared" si="13"/>
        <v/>
      </c>
      <c r="BQ27" s="127" t="str">
        <f t="shared" si="13"/>
        <v/>
      </c>
      <c r="BR27" s="127" t="str">
        <f t="shared" si="12"/>
        <v/>
      </c>
      <c r="BS27" s="127" t="str">
        <f t="shared" si="12"/>
        <v/>
      </c>
      <c r="BT27" s="127" t="str">
        <f t="shared" si="12"/>
        <v/>
      </c>
      <c r="BU27" s="127" t="str">
        <f t="shared" si="12"/>
        <v/>
      </c>
      <c r="BV27" s="127" t="str">
        <f t="shared" si="12"/>
        <v/>
      </c>
      <c r="BW27" s="127" t="str">
        <f t="shared" si="12"/>
        <v/>
      </c>
      <c r="BX27" s="127" t="str">
        <f t="shared" si="12"/>
        <v/>
      </c>
      <c r="BY27" s="127" t="str">
        <f t="shared" si="12"/>
        <v/>
      </c>
      <c r="BZ27" s="127" t="str">
        <f t="shared" si="12"/>
        <v/>
      </c>
      <c r="CA27" s="127" t="str">
        <f t="shared" si="12"/>
        <v/>
      </c>
      <c r="CB27" s="127" t="str">
        <f t="shared" si="12"/>
        <v/>
      </c>
      <c r="CC27" s="127" t="str">
        <f t="shared" si="12"/>
        <v/>
      </c>
      <c r="CD27" s="127" t="str">
        <f t="shared" si="12"/>
        <v/>
      </c>
    </row>
    <row r="28" spans="1:82" ht="12.6" customHeight="1" x14ac:dyDescent="0.2">
      <c r="A28" s="106">
        <f>SHIPMENTS!A34</f>
        <v>9247</v>
      </c>
      <c r="B28" s="106" t="str">
        <f>SHIPMENTS!B34</f>
        <v>15900- Batangas City |Angela Joy Medes Mandigma</v>
      </c>
      <c r="C28" s="132">
        <f>SHIPMENTS!F34</f>
        <v>0.188</v>
      </c>
      <c r="D28" s="107" t="str">
        <f>IF((SHIPMENTS!I34)=0,"",SHIPMENTS!I34)</f>
        <v/>
      </c>
      <c r="E28" s="176">
        <f>IF((SHIPMENTS!G34)=0,"",SHIPMENTS!G34)</f>
        <v>46323</v>
      </c>
      <c r="F28" s="98">
        <f>VLOOKUP(A28,load!$A$4:$U$5001,20,0)</f>
        <v>2.6901666666666673</v>
      </c>
      <c r="G28" s="109">
        <f>Manhours!$C$7</f>
        <v>9</v>
      </c>
      <c r="H28" s="98">
        <f t="shared" si="0"/>
        <v>81.899999999999991</v>
      </c>
      <c r="I28" s="99">
        <f t="shared" si="6"/>
        <v>3.2846967846967855E-2</v>
      </c>
      <c r="J28" s="99">
        <f t="shared" si="1"/>
        <v>0.29890740740740745</v>
      </c>
      <c r="K28" s="110">
        <f t="shared" si="7"/>
        <v>3.2846967846967855E-2</v>
      </c>
      <c r="L28" s="98">
        <f t="shared" si="8"/>
        <v>0.29890740740740745</v>
      </c>
      <c r="M28" s="181">
        <f t="shared" si="11"/>
        <v>46314.375786955636</v>
      </c>
      <c r="N28" s="181">
        <f t="shared" si="10"/>
        <v>46314.408633923485</v>
      </c>
      <c r="O28" s="112">
        <f>VLOOKUP(A28,SHIPMENTS!$A$7:$AP$76,11,0)</f>
        <v>0</v>
      </c>
      <c r="P28" s="101"/>
      <c r="Q28" s="127" t="str">
        <f t="shared" si="15"/>
        <v/>
      </c>
      <c r="R28" s="127" t="str">
        <f t="shared" si="15"/>
        <v/>
      </c>
      <c r="S28" s="127" t="str">
        <f t="shared" si="15"/>
        <v/>
      </c>
      <c r="T28" s="127" t="str">
        <f t="shared" si="15"/>
        <v/>
      </c>
      <c r="U28" s="127" t="str">
        <f t="shared" si="15"/>
        <v/>
      </c>
      <c r="V28" s="127" t="str">
        <f t="shared" si="15"/>
        <v/>
      </c>
      <c r="W28" s="127" t="str">
        <f t="shared" si="15"/>
        <v/>
      </c>
      <c r="X28" s="127" t="str">
        <f t="shared" si="15"/>
        <v/>
      </c>
      <c r="Y28" s="127" t="str">
        <f t="shared" si="15"/>
        <v>▲</v>
      </c>
      <c r="Z28" s="127" t="str">
        <f t="shared" si="15"/>
        <v/>
      </c>
      <c r="AA28" s="127" t="str">
        <f t="shared" si="15"/>
        <v/>
      </c>
      <c r="AB28" s="127" t="str">
        <f t="shared" si="15"/>
        <v/>
      </c>
      <c r="AC28" s="127" t="str">
        <f t="shared" si="15"/>
        <v/>
      </c>
      <c r="AD28" s="127" t="str">
        <f t="shared" si="15"/>
        <v/>
      </c>
      <c r="AE28" s="127" t="str">
        <f t="shared" si="15"/>
        <v/>
      </c>
      <c r="AF28" s="127" t="str">
        <f t="shared" si="15"/>
        <v/>
      </c>
      <c r="AG28" s="127" t="str">
        <f t="shared" si="14"/>
        <v/>
      </c>
      <c r="AH28" s="127" t="str">
        <f t="shared" si="14"/>
        <v/>
      </c>
      <c r="AI28" s="127" t="str">
        <f t="shared" si="14"/>
        <v/>
      </c>
      <c r="AJ28" s="127" t="str">
        <f t="shared" si="14"/>
        <v/>
      </c>
      <c r="AK28" s="127" t="str">
        <f t="shared" si="14"/>
        <v/>
      </c>
      <c r="AL28" s="127" t="str">
        <f t="shared" si="14"/>
        <v/>
      </c>
      <c r="AM28" s="127" t="str">
        <f t="shared" si="14"/>
        <v/>
      </c>
      <c r="AN28" s="127" t="str">
        <f t="shared" si="14"/>
        <v/>
      </c>
      <c r="AO28" s="127" t="str">
        <f t="shared" si="14"/>
        <v/>
      </c>
      <c r="AP28" s="127" t="str">
        <f t="shared" si="14"/>
        <v/>
      </c>
      <c r="AQ28" s="127" t="str">
        <f t="shared" si="14"/>
        <v/>
      </c>
      <c r="AR28" s="127" t="str">
        <f t="shared" si="14"/>
        <v/>
      </c>
      <c r="AS28" s="127" t="str">
        <f t="shared" si="14"/>
        <v/>
      </c>
      <c r="AT28" s="127" t="str">
        <f t="shared" si="14"/>
        <v/>
      </c>
      <c r="AU28" s="127" t="str">
        <f t="shared" si="14"/>
        <v/>
      </c>
      <c r="AV28" s="127" t="str">
        <f t="shared" si="14"/>
        <v/>
      </c>
      <c r="AW28" s="127" t="str">
        <f t="shared" si="14"/>
        <v/>
      </c>
      <c r="AX28" s="127" t="str">
        <f t="shared" si="14"/>
        <v/>
      </c>
      <c r="AY28" s="127" t="str">
        <f t="shared" si="14"/>
        <v/>
      </c>
      <c r="AZ28" s="127" t="str">
        <f t="shared" si="14"/>
        <v/>
      </c>
      <c r="BA28" s="127" t="str">
        <f t="shared" si="14"/>
        <v/>
      </c>
      <c r="BB28" s="127" t="str">
        <f t="shared" si="14"/>
        <v/>
      </c>
      <c r="BC28" s="127" t="str">
        <f t="shared" si="14"/>
        <v/>
      </c>
      <c r="BD28" s="127" t="str">
        <f t="shared" si="14"/>
        <v/>
      </c>
      <c r="BE28" s="127" t="str">
        <f t="shared" si="14"/>
        <v/>
      </c>
      <c r="BF28" s="127" t="str">
        <f t="shared" si="12"/>
        <v/>
      </c>
      <c r="BG28" s="127" t="str">
        <f t="shared" si="13"/>
        <v/>
      </c>
      <c r="BH28" s="127" t="str">
        <f t="shared" si="13"/>
        <v/>
      </c>
      <c r="BI28" s="127" t="str">
        <f t="shared" si="13"/>
        <v/>
      </c>
      <c r="BJ28" s="127" t="str">
        <f t="shared" si="13"/>
        <v/>
      </c>
      <c r="BK28" s="127" t="str">
        <f t="shared" si="13"/>
        <v/>
      </c>
      <c r="BL28" s="127" t="str">
        <f t="shared" si="12"/>
        <v/>
      </c>
      <c r="BM28" s="127" t="str">
        <f t="shared" si="13"/>
        <v/>
      </c>
      <c r="BN28" s="127" t="str">
        <f t="shared" si="13"/>
        <v/>
      </c>
      <c r="BO28" s="127" t="str">
        <f t="shared" si="13"/>
        <v/>
      </c>
      <c r="BP28" s="127" t="str">
        <f t="shared" si="13"/>
        <v/>
      </c>
      <c r="BQ28" s="127" t="str">
        <f t="shared" si="13"/>
        <v/>
      </c>
      <c r="BR28" s="127" t="str">
        <f t="shared" si="12"/>
        <v/>
      </c>
      <c r="BS28" s="127" t="str">
        <f t="shared" si="12"/>
        <v/>
      </c>
      <c r="BT28" s="127" t="str">
        <f t="shared" si="12"/>
        <v/>
      </c>
      <c r="BU28" s="127" t="str">
        <f t="shared" si="12"/>
        <v/>
      </c>
      <c r="BV28" s="127" t="str">
        <f t="shared" si="12"/>
        <v/>
      </c>
      <c r="BW28" s="127" t="str">
        <f t="shared" si="12"/>
        <v/>
      </c>
      <c r="BX28" s="127" t="str">
        <f t="shared" si="12"/>
        <v/>
      </c>
      <c r="BY28" s="127" t="str">
        <f t="shared" si="12"/>
        <v/>
      </c>
      <c r="BZ28" s="127" t="str">
        <f t="shared" si="12"/>
        <v/>
      </c>
      <c r="CA28" s="127" t="str">
        <f t="shared" si="12"/>
        <v/>
      </c>
      <c r="CB28" s="127" t="str">
        <f t="shared" si="12"/>
        <v/>
      </c>
      <c r="CC28" s="127" t="str">
        <f t="shared" si="12"/>
        <v/>
      </c>
      <c r="CD28" s="127" t="str">
        <f t="shared" si="12"/>
        <v/>
      </c>
    </row>
    <row r="29" spans="1:82" ht="12.6" customHeight="1" x14ac:dyDescent="0.2">
      <c r="A29" s="106">
        <f>SHIPMENTS!A35</f>
        <v>9302</v>
      </c>
      <c r="B29" s="106" t="str">
        <f>SHIPMENTS!B35</f>
        <v>15900- Binangonan Rizal |Dr. Jonathan Emmanuel Sandejas</v>
      </c>
      <c r="C29" s="132">
        <f>SHIPMENTS!F35</f>
        <v>0.14499999999999999</v>
      </c>
      <c r="D29" s="107" t="str">
        <f>IF((SHIPMENTS!I35)=0,"",SHIPMENTS!I35)</f>
        <v/>
      </c>
      <c r="E29" s="176">
        <f>IF((SHIPMENTS!G35)=0,"",SHIPMENTS!G35)</f>
        <v>46323</v>
      </c>
      <c r="F29" s="98">
        <f>VLOOKUP(A29,load!$A$4:$U$5001,20,0)</f>
        <v>1.5886666666666669</v>
      </c>
      <c r="G29" s="109">
        <f>Manhours!$C$7</f>
        <v>9</v>
      </c>
      <c r="H29" s="98">
        <f t="shared" si="0"/>
        <v>81.899999999999991</v>
      </c>
      <c r="I29" s="99">
        <f t="shared" si="6"/>
        <v>1.9397639397639402E-2</v>
      </c>
      <c r="J29" s="99">
        <f t="shared" si="1"/>
        <v>0.17651851851851855</v>
      </c>
      <c r="K29" s="110">
        <f t="shared" si="7"/>
        <v>1.9397639397639402E-2</v>
      </c>
      <c r="L29" s="98">
        <f t="shared" si="8"/>
        <v>0.17651851851851855</v>
      </c>
      <c r="M29" s="181">
        <f t="shared" si="11"/>
        <v>46314.408633923485</v>
      </c>
      <c r="N29" s="181">
        <f t="shared" si="10"/>
        <v>46314.428031562886</v>
      </c>
      <c r="O29" s="112">
        <f>VLOOKUP(A29,SHIPMENTS!$A$7:$AP$76,11,0)</f>
        <v>0</v>
      </c>
      <c r="P29" s="101"/>
      <c r="Q29" s="127" t="str">
        <f t="shared" si="15"/>
        <v/>
      </c>
      <c r="R29" s="127" t="str">
        <f t="shared" si="15"/>
        <v/>
      </c>
      <c r="S29" s="127" t="str">
        <f t="shared" si="15"/>
        <v/>
      </c>
      <c r="T29" s="127" t="str">
        <f t="shared" si="15"/>
        <v/>
      </c>
      <c r="U29" s="127" t="str">
        <f t="shared" si="15"/>
        <v/>
      </c>
      <c r="V29" s="127" t="str">
        <f t="shared" si="15"/>
        <v/>
      </c>
      <c r="W29" s="127" t="str">
        <f t="shared" si="15"/>
        <v/>
      </c>
      <c r="X29" s="127" t="str">
        <f t="shared" si="15"/>
        <v/>
      </c>
      <c r="Y29" s="127" t="str">
        <f t="shared" si="15"/>
        <v>▲</v>
      </c>
      <c r="Z29" s="127" t="str">
        <f t="shared" si="15"/>
        <v/>
      </c>
      <c r="AA29" s="127" t="str">
        <f t="shared" si="15"/>
        <v/>
      </c>
      <c r="AB29" s="127" t="str">
        <f t="shared" si="15"/>
        <v/>
      </c>
      <c r="AC29" s="127" t="str">
        <f t="shared" si="15"/>
        <v/>
      </c>
      <c r="AD29" s="127" t="str">
        <f t="shared" si="15"/>
        <v/>
      </c>
      <c r="AE29" s="127" t="str">
        <f t="shared" si="15"/>
        <v/>
      </c>
      <c r="AF29" s="127" t="str">
        <f t="shared" si="15"/>
        <v/>
      </c>
      <c r="AG29" s="127" t="str">
        <f t="shared" si="14"/>
        <v/>
      </c>
      <c r="AH29" s="127" t="str">
        <f t="shared" si="14"/>
        <v/>
      </c>
      <c r="AI29" s="127" t="str">
        <f t="shared" si="14"/>
        <v/>
      </c>
      <c r="AJ29" s="127" t="str">
        <f t="shared" si="14"/>
        <v/>
      </c>
      <c r="AK29" s="127" t="str">
        <f t="shared" si="14"/>
        <v/>
      </c>
      <c r="AL29" s="127" t="str">
        <f t="shared" si="14"/>
        <v/>
      </c>
      <c r="AM29" s="127" t="str">
        <f t="shared" si="14"/>
        <v/>
      </c>
      <c r="AN29" s="127" t="str">
        <f t="shared" si="14"/>
        <v/>
      </c>
      <c r="AO29" s="127" t="str">
        <f t="shared" si="14"/>
        <v/>
      </c>
      <c r="AP29" s="127" t="str">
        <f t="shared" si="14"/>
        <v/>
      </c>
      <c r="AQ29" s="127" t="str">
        <f t="shared" si="14"/>
        <v/>
      </c>
      <c r="AR29" s="127" t="str">
        <f t="shared" si="14"/>
        <v/>
      </c>
      <c r="AS29" s="127" t="str">
        <f t="shared" si="14"/>
        <v/>
      </c>
      <c r="AT29" s="127" t="str">
        <f t="shared" si="14"/>
        <v/>
      </c>
      <c r="AU29" s="127" t="str">
        <f t="shared" si="14"/>
        <v/>
      </c>
      <c r="AV29" s="127" t="str">
        <f t="shared" si="14"/>
        <v/>
      </c>
      <c r="AW29" s="127" t="str">
        <f t="shared" si="14"/>
        <v/>
      </c>
      <c r="AX29" s="127" t="str">
        <f t="shared" si="14"/>
        <v/>
      </c>
      <c r="AY29" s="127" t="str">
        <f t="shared" si="14"/>
        <v/>
      </c>
      <c r="AZ29" s="127" t="str">
        <f t="shared" si="14"/>
        <v/>
      </c>
      <c r="BA29" s="127" t="str">
        <f t="shared" si="14"/>
        <v/>
      </c>
      <c r="BB29" s="127" t="str">
        <f t="shared" si="14"/>
        <v/>
      </c>
      <c r="BC29" s="127" t="str">
        <f t="shared" si="14"/>
        <v/>
      </c>
      <c r="BD29" s="127" t="str">
        <f t="shared" si="14"/>
        <v/>
      </c>
      <c r="BE29" s="127" t="str">
        <f t="shared" si="14"/>
        <v/>
      </c>
      <c r="BF29" s="127" t="str">
        <f t="shared" si="12"/>
        <v/>
      </c>
      <c r="BG29" s="127" t="str">
        <f t="shared" si="13"/>
        <v/>
      </c>
      <c r="BH29" s="127" t="str">
        <f t="shared" si="13"/>
        <v/>
      </c>
      <c r="BI29" s="127" t="str">
        <f t="shared" si="13"/>
        <v/>
      </c>
      <c r="BJ29" s="127" t="str">
        <f t="shared" si="13"/>
        <v/>
      </c>
      <c r="BK29" s="127" t="str">
        <f t="shared" si="13"/>
        <v/>
      </c>
      <c r="BL29" s="127" t="str">
        <f t="shared" si="12"/>
        <v/>
      </c>
      <c r="BM29" s="127" t="str">
        <f t="shared" si="12"/>
        <v/>
      </c>
      <c r="BN29" s="127" t="str">
        <f t="shared" si="12"/>
        <v/>
      </c>
      <c r="BO29" s="127" t="str">
        <f t="shared" si="12"/>
        <v/>
      </c>
      <c r="BP29" s="127" t="str">
        <f t="shared" si="12"/>
        <v/>
      </c>
      <c r="BQ29" s="127" t="str">
        <f t="shared" si="12"/>
        <v/>
      </c>
      <c r="BR29" s="127" t="str">
        <f t="shared" si="12"/>
        <v/>
      </c>
      <c r="BS29" s="127" t="str">
        <f t="shared" si="12"/>
        <v/>
      </c>
      <c r="BT29" s="127" t="str">
        <f t="shared" si="12"/>
        <v/>
      </c>
      <c r="BU29" s="127" t="str">
        <f t="shared" si="12"/>
        <v/>
      </c>
      <c r="BV29" s="127" t="str">
        <f t="shared" si="12"/>
        <v/>
      </c>
      <c r="BW29" s="127" t="str">
        <f t="shared" si="12"/>
        <v/>
      </c>
      <c r="BX29" s="127" t="str">
        <f t="shared" si="12"/>
        <v/>
      </c>
      <c r="BY29" s="127" t="str">
        <f t="shared" si="12"/>
        <v/>
      </c>
      <c r="BZ29" s="127" t="str">
        <f t="shared" si="12"/>
        <v/>
      </c>
      <c r="CA29" s="127" t="str">
        <f t="shared" si="12"/>
        <v/>
      </c>
      <c r="CB29" s="127" t="str">
        <f t="shared" si="12"/>
        <v/>
      </c>
      <c r="CC29" s="127" t="str">
        <f t="shared" si="12"/>
        <v/>
      </c>
      <c r="CD29" s="127" t="str">
        <f t="shared" si="12"/>
        <v/>
      </c>
    </row>
    <row r="30" spans="1:82" ht="12.6" hidden="1" customHeight="1" x14ac:dyDescent="0.2">
      <c r="A30" s="106">
        <f>SHIPMENTS!A36</f>
        <v>8954</v>
      </c>
      <c r="B30" s="106" t="str">
        <f>SHIPMENTS!B36</f>
        <v>15900- Cainta Rizal | Mary Baquiran</v>
      </c>
      <c r="C30" s="132">
        <f>SHIPMENTS!F36</f>
        <v>6.4999999999999997E-3</v>
      </c>
      <c r="D30" s="107" t="str">
        <f>IF((SHIPMENTS!I36)=0,"",SHIPMENTS!I36)</f>
        <v/>
      </c>
      <c r="E30" s="176">
        <f>IF((SHIPMENTS!G36)=0,"",SHIPMENTS!G36)</f>
        <v>46323</v>
      </c>
      <c r="F30" s="98">
        <f>VLOOKUP(A30,load!$A$4:$U$5001,20,0)</f>
        <v>0</v>
      </c>
      <c r="G30" s="109">
        <f>Manhours!$C$7</f>
        <v>9</v>
      </c>
      <c r="H30" s="98">
        <f t="shared" si="0"/>
        <v>81.899999999999991</v>
      </c>
      <c r="I30" s="99">
        <f t="shared" si="6"/>
        <v>0</v>
      </c>
      <c r="J30" s="99">
        <f t="shared" si="1"/>
        <v>0</v>
      </c>
      <c r="K30" s="110">
        <f t="shared" si="7"/>
        <v>0</v>
      </c>
      <c r="L30" s="98">
        <f t="shared" si="8"/>
        <v>0</v>
      </c>
      <c r="M30" s="181">
        <f t="shared" si="11"/>
        <v>46314.428031562886</v>
      </c>
      <c r="N30" s="181">
        <f t="shared" si="10"/>
        <v>46314.428031562886</v>
      </c>
      <c r="O30" s="112" t="str">
        <f>VLOOKUP(A30,SHIPMENTS!$A$7:$AP$76,11,0)</f>
        <v>n/a</v>
      </c>
      <c r="P30" s="101"/>
      <c r="Q30" s="127" t="str">
        <f t="shared" si="15"/>
        <v/>
      </c>
      <c r="R30" s="127" t="str">
        <f t="shared" si="15"/>
        <v/>
      </c>
      <c r="S30" s="127" t="str">
        <f t="shared" si="15"/>
        <v/>
      </c>
      <c r="T30" s="127" t="str">
        <f t="shared" si="15"/>
        <v/>
      </c>
      <c r="U30" s="127" t="str">
        <f t="shared" si="15"/>
        <v/>
      </c>
      <c r="V30" s="127" t="str">
        <f t="shared" si="15"/>
        <v/>
      </c>
      <c r="W30" s="127" t="str">
        <f t="shared" si="15"/>
        <v/>
      </c>
      <c r="X30" s="127" t="str">
        <f t="shared" si="15"/>
        <v/>
      </c>
      <c r="Y30" s="127" t="str">
        <f t="shared" si="15"/>
        <v>▲</v>
      </c>
      <c r="Z30" s="127" t="str">
        <f t="shared" si="15"/>
        <v/>
      </c>
      <c r="AA30" s="127" t="str">
        <f t="shared" si="15"/>
        <v/>
      </c>
      <c r="AB30" s="127" t="str">
        <f t="shared" si="15"/>
        <v/>
      </c>
      <c r="AC30" s="127" t="str">
        <f t="shared" si="15"/>
        <v/>
      </c>
      <c r="AD30" s="127" t="str">
        <f t="shared" si="15"/>
        <v/>
      </c>
      <c r="AE30" s="127" t="str">
        <f t="shared" si="15"/>
        <v/>
      </c>
      <c r="AF30" s="127" t="str">
        <f t="shared" si="15"/>
        <v/>
      </c>
      <c r="AG30" s="127" t="str">
        <f t="shared" si="14"/>
        <v/>
      </c>
      <c r="AH30" s="127" t="str">
        <f t="shared" si="14"/>
        <v/>
      </c>
      <c r="AI30" s="127" t="str">
        <f t="shared" si="14"/>
        <v/>
      </c>
      <c r="AJ30" s="127" t="str">
        <f t="shared" si="14"/>
        <v/>
      </c>
      <c r="AK30" s="127" t="str">
        <f t="shared" si="14"/>
        <v/>
      </c>
      <c r="AL30" s="127" t="str">
        <f t="shared" si="14"/>
        <v/>
      </c>
      <c r="AM30" s="127" t="str">
        <f t="shared" si="14"/>
        <v/>
      </c>
      <c r="AN30" s="127" t="str">
        <f t="shared" si="14"/>
        <v/>
      </c>
      <c r="AO30" s="127" t="str">
        <f t="shared" si="14"/>
        <v/>
      </c>
      <c r="AP30" s="127" t="str">
        <f t="shared" si="14"/>
        <v/>
      </c>
      <c r="AQ30" s="127" t="str">
        <f t="shared" si="14"/>
        <v/>
      </c>
      <c r="AR30" s="127" t="str">
        <f t="shared" si="14"/>
        <v/>
      </c>
      <c r="AS30" s="127" t="str">
        <f t="shared" si="14"/>
        <v/>
      </c>
      <c r="AT30" s="127" t="str">
        <f t="shared" si="14"/>
        <v/>
      </c>
      <c r="AU30" s="127" t="str">
        <f t="shared" si="14"/>
        <v/>
      </c>
      <c r="AV30" s="127" t="str">
        <f t="shared" si="14"/>
        <v/>
      </c>
      <c r="AW30" s="127" t="str">
        <f t="shared" si="14"/>
        <v/>
      </c>
      <c r="AX30" s="127" t="str">
        <f t="shared" si="14"/>
        <v/>
      </c>
      <c r="AY30" s="127" t="str">
        <f t="shared" si="14"/>
        <v/>
      </c>
      <c r="AZ30" s="127" t="str">
        <f t="shared" si="14"/>
        <v/>
      </c>
      <c r="BA30" s="127" t="str">
        <f t="shared" si="14"/>
        <v/>
      </c>
      <c r="BB30" s="127" t="str">
        <f t="shared" si="14"/>
        <v/>
      </c>
      <c r="BC30" s="127" t="str">
        <f t="shared" si="14"/>
        <v/>
      </c>
      <c r="BD30" s="127" t="str">
        <f t="shared" si="14"/>
        <v/>
      </c>
      <c r="BE30" s="127" t="str">
        <f t="shared" si="14"/>
        <v/>
      </c>
      <c r="BF30" s="127" t="str">
        <f t="shared" si="12"/>
        <v/>
      </c>
      <c r="BG30" s="127" t="str">
        <f t="shared" si="13"/>
        <v/>
      </c>
      <c r="BH30" s="127" t="str">
        <f t="shared" si="13"/>
        <v/>
      </c>
      <c r="BI30" s="127" t="str">
        <f t="shared" si="13"/>
        <v/>
      </c>
      <c r="BJ30" s="127" t="str">
        <f t="shared" si="13"/>
        <v/>
      </c>
      <c r="BK30" s="127" t="str">
        <f t="shared" si="13"/>
        <v/>
      </c>
      <c r="BL30" s="127" t="str">
        <f t="shared" si="12"/>
        <v/>
      </c>
      <c r="BM30" s="127" t="str">
        <f t="shared" si="12"/>
        <v/>
      </c>
      <c r="BN30" s="127" t="str">
        <f t="shared" si="12"/>
        <v/>
      </c>
      <c r="BO30" s="127" t="str">
        <f t="shared" si="12"/>
        <v/>
      </c>
      <c r="BP30" s="127" t="str">
        <f t="shared" si="12"/>
        <v/>
      </c>
      <c r="BQ30" s="127" t="str">
        <f t="shared" si="12"/>
        <v/>
      </c>
      <c r="BR30" s="127" t="str">
        <f t="shared" si="12"/>
        <v/>
      </c>
      <c r="BS30" s="127" t="str">
        <f t="shared" si="12"/>
        <v/>
      </c>
      <c r="BT30" s="127" t="str">
        <f t="shared" si="12"/>
        <v/>
      </c>
      <c r="BU30" s="127" t="str">
        <f t="shared" si="12"/>
        <v/>
      </c>
      <c r="BV30" s="127" t="str">
        <f t="shared" si="12"/>
        <v/>
      </c>
      <c r="BW30" s="127" t="str">
        <f t="shared" si="12"/>
        <v/>
      </c>
      <c r="BX30" s="127" t="str">
        <f t="shared" si="12"/>
        <v/>
      </c>
      <c r="BY30" s="127" t="str">
        <f t="shared" si="12"/>
        <v/>
      </c>
      <c r="BZ30" s="127" t="str">
        <f t="shared" si="12"/>
        <v/>
      </c>
      <c r="CA30" s="127" t="str">
        <f t="shared" si="12"/>
        <v/>
      </c>
      <c r="CB30" s="127" t="str">
        <f t="shared" si="12"/>
        <v/>
      </c>
      <c r="CC30" s="127" t="str">
        <f t="shared" si="12"/>
        <v/>
      </c>
      <c r="CD30" s="127" t="str">
        <f t="shared" si="12"/>
        <v/>
      </c>
    </row>
    <row r="31" spans="1:82" ht="12.6" hidden="1" customHeight="1" x14ac:dyDescent="0.2">
      <c r="A31" s="106">
        <f>SHIPMENTS!A37</f>
        <v>9064</v>
      </c>
      <c r="B31" s="106" t="str">
        <f>SHIPMENTS!B37</f>
        <v>15900- Quezon City | Hans Jason Tan</v>
      </c>
      <c r="C31" s="132">
        <f>SHIPMENTS!F37</f>
        <v>6.4999999999999997E-3</v>
      </c>
      <c r="D31" s="107" t="str">
        <f>IF((SHIPMENTS!I37)=0,"",SHIPMENTS!I37)</f>
        <v/>
      </c>
      <c r="E31" s="176">
        <f>IF((SHIPMENTS!G37)=0,"",SHIPMENTS!G37)</f>
        <v>46323</v>
      </c>
      <c r="F31" s="98">
        <f>VLOOKUP(A31,load!$A$4:$U$5001,20,0)</f>
        <v>0</v>
      </c>
      <c r="G31" s="109">
        <f>Manhours!$C$7</f>
        <v>9</v>
      </c>
      <c r="H31" s="98">
        <f t="shared" si="0"/>
        <v>81.899999999999991</v>
      </c>
      <c r="I31" s="99">
        <f t="shared" si="6"/>
        <v>0</v>
      </c>
      <c r="J31" s="99">
        <f t="shared" si="1"/>
        <v>0</v>
      </c>
      <c r="K31" s="110">
        <f t="shared" si="7"/>
        <v>0</v>
      </c>
      <c r="L31" s="98">
        <f t="shared" si="8"/>
        <v>0</v>
      </c>
      <c r="M31" s="181">
        <f t="shared" si="11"/>
        <v>46314.428031562886</v>
      </c>
      <c r="N31" s="181">
        <f t="shared" si="10"/>
        <v>46314.428031562886</v>
      </c>
      <c r="O31" s="112" t="str">
        <f>VLOOKUP(A31,SHIPMENTS!$A$7:$AP$76,11,0)</f>
        <v>n/a</v>
      </c>
      <c r="P31" s="101"/>
      <c r="Q31" s="127" t="str">
        <f t="shared" si="15"/>
        <v/>
      </c>
      <c r="R31" s="127" t="str">
        <f t="shared" si="15"/>
        <v/>
      </c>
      <c r="S31" s="127" t="str">
        <f t="shared" si="15"/>
        <v/>
      </c>
      <c r="T31" s="127" t="str">
        <f t="shared" si="15"/>
        <v/>
      </c>
      <c r="U31" s="127" t="str">
        <f t="shared" si="15"/>
        <v/>
      </c>
      <c r="V31" s="127" t="str">
        <f t="shared" si="15"/>
        <v/>
      </c>
      <c r="W31" s="127" t="str">
        <f t="shared" si="15"/>
        <v/>
      </c>
      <c r="X31" s="127" t="str">
        <f t="shared" si="15"/>
        <v/>
      </c>
      <c r="Y31" s="127" t="str">
        <f t="shared" si="15"/>
        <v>▲</v>
      </c>
      <c r="Z31" s="127" t="str">
        <f t="shared" si="15"/>
        <v/>
      </c>
      <c r="AA31" s="127" t="str">
        <f t="shared" si="15"/>
        <v/>
      </c>
      <c r="AB31" s="127" t="str">
        <f t="shared" si="15"/>
        <v/>
      </c>
      <c r="AC31" s="127" t="str">
        <f t="shared" si="15"/>
        <v/>
      </c>
      <c r="AD31" s="127" t="str">
        <f t="shared" si="15"/>
        <v/>
      </c>
      <c r="AE31" s="127" t="str">
        <f t="shared" si="15"/>
        <v/>
      </c>
      <c r="AF31" s="127" t="str">
        <f t="shared" si="15"/>
        <v/>
      </c>
      <c r="AG31" s="127" t="str">
        <f t="shared" si="14"/>
        <v/>
      </c>
      <c r="AH31" s="127" t="str">
        <f t="shared" si="14"/>
        <v/>
      </c>
      <c r="AI31" s="127" t="str">
        <f t="shared" si="14"/>
        <v/>
      </c>
      <c r="AJ31" s="127" t="str">
        <f t="shared" si="14"/>
        <v/>
      </c>
      <c r="AK31" s="127" t="str">
        <f t="shared" si="14"/>
        <v/>
      </c>
      <c r="AL31" s="127" t="str">
        <f t="shared" si="14"/>
        <v/>
      </c>
      <c r="AM31" s="127" t="str">
        <f t="shared" si="14"/>
        <v/>
      </c>
      <c r="AN31" s="127" t="str">
        <f t="shared" si="14"/>
        <v/>
      </c>
      <c r="AO31" s="127" t="str">
        <f t="shared" si="14"/>
        <v/>
      </c>
      <c r="AP31" s="127" t="str">
        <f t="shared" si="14"/>
        <v/>
      </c>
      <c r="AQ31" s="127" t="str">
        <f t="shared" si="14"/>
        <v/>
      </c>
      <c r="AR31" s="127" t="str">
        <f t="shared" si="14"/>
        <v/>
      </c>
      <c r="AS31" s="127" t="str">
        <f t="shared" si="14"/>
        <v/>
      </c>
      <c r="AT31" s="127" t="str">
        <f t="shared" si="14"/>
        <v/>
      </c>
      <c r="AU31" s="127" t="str">
        <f t="shared" si="14"/>
        <v/>
      </c>
      <c r="AV31" s="127" t="str">
        <f t="shared" si="14"/>
        <v/>
      </c>
      <c r="AW31" s="127" t="str">
        <f t="shared" si="14"/>
        <v/>
      </c>
      <c r="AX31" s="127" t="str">
        <f t="shared" si="14"/>
        <v/>
      </c>
      <c r="AY31" s="127" t="str">
        <f t="shared" si="14"/>
        <v/>
      </c>
      <c r="AZ31" s="127" t="str">
        <f t="shared" si="14"/>
        <v/>
      </c>
      <c r="BA31" s="127" t="str">
        <f t="shared" si="14"/>
        <v/>
      </c>
      <c r="BB31" s="127" t="str">
        <f t="shared" si="14"/>
        <v/>
      </c>
      <c r="BC31" s="127" t="str">
        <f t="shared" si="14"/>
        <v/>
      </c>
      <c r="BD31" s="127" t="str">
        <f t="shared" si="14"/>
        <v/>
      </c>
      <c r="BE31" s="127" t="str">
        <f t="shared" si="14"/>
        <v/>
      </c>
      <c r="BF31" s="127" t="str">
        <f t="shared" si="12"/>
        <v/>
      </c>
      <c r="BG31" s="127" t="str">
        <f t="shared" si="13"/>
        <v/>
      </c>
      <c r="BH31" s="127" t="str">
        <f t="shared" si="13"/>
        <v/>
      </c>
      <c r="BI31" s="127" t="str">
        <f t="shared" si="13"/>
        <v/>
      </c>
      <c r="BJ31" s="127" t="str">
        <f t="shared" si="13"/>
        <v/>
      </c>
      <c r="BK31" s="127" t="str">
        <f t="shared" si="13"/>
        <v/>
      </c>
      <c r="BL31" s="127" t="str">
        <f t="shared" si="12"/>
        <v/>
      </c>
      <c r="BM31" s="127" t="str">
        <f t="shared" si="12"/>
        <v/>
      </c>
      <c r="BN31" s="127" t="str">
        <f t="shared" si="12"/>
        <v/>
      </c>
      <c r="BO31" s="127" t="str">
        <f t="shared" si="12"/>
        <v/>
      </c>
      <c r="BP31" s="127" t="str">
        <f t="shared" si="12"/>
        <v/>
      </c>
      <c r="BQ31" s="127" t="str">
        <f t="shared" si="12"/>
        <v/>
      </c>
      <c r="BR31" s="127" t="str">
        <f t="shared" si="12"/>
        <v/>
      </c>
      <c r="BS31" s="127" t="str">
        <f t="shared" si="12"/>
        <v/>
      </c>
      <c r="BT31" s="127" t="str">
        <f t="shared" si="12"/>
        <v/>
      </c>
      <c r="BU31" s="127" t="str">
        <f t="shared" si="12"/>
        <v/>
      </c>
      <c r="BV31" s="127" t="str">
        <f t="shared" si="12"/>
        <v/>
      </c>
      <c r="BW31" s="127" t="str">
        <f t="shared" si="12"/>
        <v/>
      </c>
      <c r="BX31" s="127" t="str">
        <f t="shared" si="12"/>
        <v/>
      </c>
      <c r="BY31" s="127" t="str">
        <f t="shared" si="12"/>
        <v/>
      </c>
      <c r="BZ31" s="127" t="str">
        <f t="shared" si="12"/>
        <v/>
      </c>
      <c r="CA31" s="127" t="str">
        <f t="shared" si="12"/>
        <v/>
      </c>
      <c r="CB31" s="127" t="str">
        <f t="shared" si="12"/>
        <v/>
      </c>
      <c r="CC31" s="127" t="str">
        <f t="shared" si="12"/>
        <v/>
      </c>
      <c r="CD31" s="127" t="str">
        <f t="shared" si="12"/>
        <v/>
      </c>
    </row>
    <row r="32" spans="1:82" ht="12.6" hidden="1" customHeight="1" x14ac:dyDescent="0.2">
      <c r="A32" s="106">
        <f>SHIPMENTS!A38</f>
        <v>9065</v>
      </c>
      <c r="B32" s="106" t="str">
        <f>SHIPMENTS!B38</f>
        <v>15900- Cavite | Kristine Austria</v>
      </c>
      <c r="C32" s="132">
        <f>SHIPMENTS!F38</f>
        <v>0</v>
      </c>
      <c r="D32" s="107" t="str">
        <f>IF((SHIPMENTS!I38)=0,"",SHIPMENTS!I38)</f>
        <v/>
      </c>
      <c r="E32" s="176">
        <f>IF((SHIPMENTS!G38)=0,"",SHIPMENTS!G38)</f>
        <v>46323</v>
      </c>
      <c r="F32" s="98">
        <f>VLOOKUP(A32,load!$A$4:$U$5001,20,0)</f>
        <v>0</v>
      </c>
      <c r="G32" s="109">
        <f>Manhours!$C$7</f>
        <v>9</v>
      </c>
      <c r="H32" s="98">
        <f t="shared" si="0"/>
        <v>81.899999999999991</v>
      </c>
      <c r="I32" s="99">
        <f t="shared" si="6"/>
        <v>0</v>
      </c>
      <c r="J32" s="99">
        <f t="shared" si="1"/>
        <v>0</v>
      </c>
      <c r="K32" s="110">
        <f t="shared" si="7"/>
        <v>0</v>
      </c>
      <c r="L32" s="98">
        <f t="shared" si="8"/>
        <v>0</v>
      </c>
      <c r="M32" s="181">
        <f t="shared" si="11"/>
        <v>46314.428031562886</v>
      </c>
      <c r="N32" s="181">
        <f t="shared" si="10"/>
        <v>46314.428031562886</v>
      </c>
      <c r="O32" s="112" t="str">
        <f>VLOOKUP(A32,SHIPMENTS!$A$7:$AP$76,11,0)</f>
        <v>n/a</v>
      </c>
      <c r="P32" s="101"/>
      <c r="Q32" s="127" t="str">
        <f t="shared" si="15"/>
        <v/>
      </c>
      <c r="R32" s="127" t="str">
        <f t="shared" si="15"/>
        <v/>
      </c>
      <c r="S32" s="127" t="str">
        <f t="shared" si="15"/>
        <v/>
      </c>
      <c r="T32" s="127" t="str">
        <f t="shared" si="15"/>
        <v/>
      </c>
      <c r="U32" s="127" t="str">
        <f t="shared" si="15"/>
        <v/>
      </c>
      <c r="V32" s="127" t="str">
        <f t="shared" si="15"/>
        <v/>
      </c>
      <c r="W32" s="127" t="str">
        <f t="shared" si="15"/>
        <v/>
      </c>
      <c r="X32" s="127" t="str">
        <f t="shared" si="15"/>
        <v/>
      </c>
      <c r="Y32" s="127" t="str">
        <f t="shared" si="15"/>
        <v>▲</v>
      </c>
      <c r="Z32" s="127" t="str">
        <f t="shared" si="15"/>
        <v/>
      </c>
      <c r="AA32" s="127" t="str">
        <f t="shared" si="15"/>
        <v/>
      </c>
      <c r="AB32" s="127" t="str">
        <f t="shared" si="15"/>
        <v/>
      </c>
      <c r="AC32" s="127" t="str">
        <f t="shared" si="15"/>
        <v/>
      </c>
      <c r="AD32" s="127" t="str">
        <f t="shared" si="15"/>
        <v/>
      </c>
      <c r="AE32" s="127" t="str">
        <f t="shared" si="15"/>
        <v/>
      </c>
      <c r="AF32" s="127" t="str">
        <f t="shared" si="15"/>
        <v/>
      </c>
      <c r="AG32" s="127" t="str">
        <f t="shared" si="14"/>
        <v/>
      </c>
      <c r="AH32" s="127" t="str">
        <f t="shared" si="14"/>
        <v/>
      </c>
      <c r="AI32" s="127" t="str">
        <f t="shared" si="14"/>
        <v/>
      </c>
      <c r="AJ32" s="127" t="str">
        <f t="shared" si="14"/>
        <v/>
      </c>
      <c r="AK32" s="127" t="str">
        <f t="shared" si="14"/>
        <v/>
      </c>
      <c r="AL32" s="127" t="str">
        <f t="shared" si="14"/>
        <v/>
      </c>
      <c r="AM32" s="127" t="str">
        <f t="shared" si="14"/>
        <v/>
      </c>
      <c r="AN32" s="127" t="str">
        <f t="shared" si="14"/>
        <v/>
      </c>
      <c r="AO32" s="127" t="str">
        <f t="shared" si="14"/>
        <v/>
      </c>
      <c r="AP32" s="127" t="str">
        <f t="shared" si="14"/>
        <v/>
      </c>
      <c r="AQ32" s="127" t="str">
        <f t="shared" si="14"/>
        <v/>
      </c>
      <c r="AR32" s="127" t="str">
        <f t="shared" si="14"/>
        <v/>
      </c>
      <c r="AS32" s="127" t="str">
        <f t="shared" si="14"/>
        <v/>
      </c>
      <c r="AT32" s="127" t="str">
        <f t="shared" si="14"/>
        <v/>
      </c>
      <c r="AU32" s="127" t="str">
        <f t="shared" si="14"/>
        <v/>
      </c>
      <c r="AV32" s="127" t="str">
        <f t="shared" si="14"/>
        <v/>
      </c>
      <c r="AW32" s="127" t="str">
        <f t="shared" si="14"/>
        <v/>
      </c>
      <c r="AX32" s="127" t="str">
        <f t="shared" si="14"/>
        <v/>
      </c>
      <c r="AY32" s="127" t="str">
        <f t="shared" si="14"/>
        <v/>
      </c>
      <c r="AZ32" s="127" t="str">
        <f t="shared" si="14"/>
        <v/>
      </c>
      <c r="BA32" s="127" t="str">
        <f t="shared" si="14"/>
        <v/>
      </c>
      <c r="BB32" s="127" t="str">
        <f t="shared" si="14"/>
        <v/>
      </c>
      <c r="BC32" s="127" t="str">
        <f t="shared" si="14"/>
        <v/>
      </c>
      <c r="BD32" s="127" t="str">
        <f t="shared" si="14"/>
        <v/>
      </c>
      <c r="BE32" s="127" t="str">
        <f t="shared" si="14"/>
        <v/>
      </c>
      <c r="BF32" s="127" t="str">
        <f t="shared" si="12"/>
        <v/>
      </c>
      <c r="BG32" s="127" t="str">
        <f t="shared" si="13"/>
        <v/>
      </c>
      <c r="BH32" s="127" t="str">
        <f t="shared" si="13"/>
        <v/>
      </c>
      <c r="BI32" s="127" t="str">
        <f t="shared" si="13"/>
        <v/>
      </c>
      <c r="BJ32" s="127" t="str">
        <f t="shared" si="13"/>
        <v/>
      </c>
      <c r="BK32" s="127" t="str">
        <f t="shared" si="13"/>
        <v/>
      </c>
      <c r="BL32" s="127" t="str">
        <f t="shared" si="12"/>
        <v/>
      </c>
      <c r="BM32" s="127" t="str">
        <f t="shared" si="12"/>
        <v/>
      </c>
      <c r="BN32" s="127" t="str">
        <f t="shared" si="12"/>
        <v/>
      </c>
      <c r="BO32" s="127" t="str">
        <f t="shared" si="12"/>
        <v/>
      </c>
      <c r="BP32" s="127" t="str">
        <f t="shared" si="12"/>
        <v/>
      </c>
      <c r="BQ32" s="127" t="str">
        <f t="shared" si="12"/>
        <v/>
      </c>
      <c r="BR32" s="127" t="str">
        <f t="shared" si="12"/>
        <v/>
      </c>
      <c r="BS32" s="127" t="str">
        <f t="shared" si="12"/>
        <v/>
      </c>
      <c r="BT32" s="127" t="str">
        <f t="shared" si="12"/>
        <v/>
      </c>
      <c r="BU32" s="127" t="str">
        <f t="shared" si="12"/>
        <v/>
      </c>
      <c r="BV32" s="127" t="str">
        <f t="shared" si="12"/>
        <v/>
      </c>
      <c r="BW32" s="127" t="str">
        <f t="shared" si="12"/>
        <v/>
      </c>
      <c r="BX32" s="127" t="str">
        <f t="shared" si="12"/>
        <v/>
      </c>
      <c r="BY32" s="127" t="str">
        <f t="shared" si="12"/>
        <v/>
      </c>
      <c r="BZ32" s="127" t="str">
        <f t="shared" si="12"/>
        <v/>
      </c>
      <c r="CA32" s="127" t="str">
        <f t="shared" si="12"/>
        <v/>
      </c>
      <c r="CB32" s="127" t="str">
        <f t="shared" si="12"/>
        <v/>
      </c>
      <c r="CC32" s="127" t="str">
        <f t="shared" si="12"/>
        <v/>
      </c>
      <c r="CD32" s="127" t="str">
        <f t="shared" si="12"/>
        <v/>
      </c>
    </row>
    <row r="33" spans="1:82" ht="12.6" customHeight="1" x14ac:dyDescent="0.2">
      <c r="A33" s="106">
        <f>SHIPMENTS!A39</f>
        <v>9303</v>
      </c>
      <c r="B33" s="106" t="str">
        <f>SHIPMENTS!B39</f>
        <v>15900- Manila Office Stocking</v>
      </c>
      <c r="C33" s="132">
        <f>SHIPMENTS!F39</f>
        <v>0.63700000000000001</v>
      </c>
      <c r="D33" s="107" t="str">
        <f>IF((SHIPMENTS!I39)=0,"",SHIPMENTS!I39)</f>
        <v/>
      </c>
      <c r="E33" s="176">
        <f>IF((SHIPMENTS!G39)=0,"",SHIPMENTS!G39)</f>
        <v>46323</v>
      </c>
      <c r="F33" s="98">
        <f>VLOOKUP(A33,load!$A$4:$U$5001,20,0)</f>
        <v>0</v>
      </c>
      <c r="G33" s="109">
        <f>Manhours!$C$7</f>
        <v>9</v>
      </c>
      <c r="H33" s="98">
        <f t="shared" ref="H33:H45" si="16">+G33*$H$4</f>
        <v>81.899999999999991</v>
      </c>
      <c r="I33" s="99">
        <f t="shared" ref="I33:I45" si="17">F33/H33</f>
        <v>0</v>
      </c>
      <c r="J33" s="99">
        <f t="shared" ref="J33:J45" si="18">+I33*$H$4</f>
        <v>0</v>
      </c>
      <c r="K33" s="110">
        <f t="shared" ref="K33:K45" si="19">IFERROR(I33-(I33*O33),0)</f>
        <v>0</v>
      </c>
      <c r="L33" s="98">
        <f t="shared" ref="L33:L45" si="20">IFERROR(J33-(J33*O33),0)</f>
        <v>0</v>
      </c>
      <c r="M33" s="181">
        <f t="shared" ref="M33:M45" si="21">N32</f>
        <v>46314.428031562886</v>
      </c>
      <c r="N33" s="181">
        <f t="shared" ref="N33:N45" si="22">M33+K33</f>
        <v>46314.428031562886</v>
      </c>
      <c r="O33" s="112">
        <f>VLOOKUP(A33,SHIPMENTS!$A$7:$AP$76,11,0)</f>
        <v>0</v>
      </c>
      <c r="P33" s="101"/>
      <c r="Q33" s="127" t="str">
        <f t="shared" si="15"/>
        <v/>
      </c>
      <c r="R33" s="127" t="str">
        <f t="shared" si="15"/>
        <v/>
      </c>
      <c r="S33" s="127" t="str">
        <f t="shared" si="15"/>
        <v/>
      </c>
      <c r="T33" s="127" t="str">
        <f t="shared" si="15"/>
        <v/>
      </c>
      <c r="U33" s="127" t="str">
        <f t="shared" si="15"/>
        <v/>
      </c>
      <c r="V33" s="127" t="str">
        <f t="shared" si="15"/>
        <v/>
      </c>
      <c r="W33" s="127" t="str">
        <f t="shared" si="15"/>
        <v/>
      </c>
      <c r="X33" s="127" t="str">
        <f t="shared" si="15"/>
        <v/>
      </c>
      <c r="Y33" s="127" t="str">
        <f t="shared" si="15"/>
        <v>▲</v>
      </c>
      <c r="Z33" s="127" t="str">
        <f t="shared" si="15"/>
        <v/>
      </c>
      <c r="AA33" s="127" t="str">
        <f t="shared" si="15"/>
        <v/>
      </c>
      <c r="AB33" s="127" t="str">
        <f t="shared" si="15"/>
        <v/>
      </c>
      <c r="AC33" s="127" t="str">
        <f t="shared" si="15"/>
        <v/>
      </c>
      <c r="AD33" s="127" t="str">
        <f t="shared" si="15"/>
        <v/>
      </c>
      <c r="AE33" s="127" t="str">
        <f t="shared" si="15"/>
        <v/>
      </c>
      <c r="AF33" s="127" t="str">
        <f t="shared" si="15"/>
        <v/>
      </c>
      <c r="AG33" s="127" t="str">
        <f t="shared" si="14"/>
        <v/>
      </c>
      <c r="AH33" s="127" t="str">
        <f t="shared" si="14"/>
        <v/>
      </c>
      <c r="AI33" s="127" t="str">
        <f t="shared" si="14"/>
        <v/>
      </c>
      <c r="AJ33" s="127" t="str">
        <f t="shared" si="14"/>
        <v/>
      </c>
      <c r="AK33" s="127" t="str">
        <f t="shared" ref="AK33:AZ48" si="23">IF($E33=AK$3,"▲","")</f>
        <v/>
      </c>
      <c r="AL33" s="127" t="str">
        <f t="shared" si="23"/>
        <v/>
      </c>
      <c r="AM33" s="127" t="str">
        <f t="shared" si="23"/>
        <v/>
      </c>
      <c r="AN33" s="127" t="str">
        <f t="shared" si="23"/>
        <v/>
      </c>
      <c r="AO33" s="127" t="str">
        <f t="shared" si="23"/>
        <v/>
      </c>
      <c r="AP33" s="127" t="str">
        <f t="shared" si="23"/>
        <v/>
      </c>
      <c r="AQ33" s="127" t="str">
        <f t="shared" si="23"/>
        <v/>
      </c>
      <c r="AR33" s="127" t="str">
        <f t="shared" si="23"/>
        <v/>
      </c>
      <c r="AS33" s="127" t="str">
        <f t="shared" si="23"/>
        <v/>
      </c>
      <c r="AT33" s="127" t="str">
        <f t="shared" si="23"/>
        <v/>
      </c>
      <c r="AU33" s="127" t="str">
        <f t="shared" si="23"/>
        <v/>
      </c>
      <c r="AV33" s="127" t="str">
        <f t="shared" si="23"/>
        <v/>
      </c>
      <c r="AW33" s="127" t="str">
        <f t="shared" si="23"/>
        <v/>
      </c>
      <c r="AX33" s="127" t="str">
        <f t="shared" si="23"/>
        <v/>
      </c>
      <c r="AY33" s="127" t="str">
        <f t="shared" si="23"/>
        <v/>
      </c>
      <c r="AZ33" s="127" t="str">
        <f t="shared" si="23"/>
        <v/>
      </c>
      <c r="BA33" s="127" t="str">
        <f t="shared" ref="BA33:BP48" si="24">IF($E33=BA$3,"▲","")</f>
        <v/>
      </c>
      <c r="BB33" s="127" t="str">
        <f t="shared" si="24"/>
        <v/>
      </c>
      <c r="BC33" s="127" t="str">
        <f t="shared" si="24"/>
        <v/>
      </c>
      <c r="BD33" s="127" t="str">
        <f t="shared" si="24"/>
        <v/>
      </c>
      <c r="BE33" s="127" t="str">
        <f t="shared" si="24"/>
        <v/>
      </c>
      <c r="BF33" s="127" t="str">
        <f t="shared" si="12"/>
        <v/>
      </c>
      <c r="BG33" s="127" t="str">
        <f t="shared" si="12"/>
        <v/>
      </c>
      <c r="BH33" s="127" t="str">
        <f t="shared" si="12"/>
        <v/>
      </c>
      <c r="BI33" s="127" t="str">
        <f t="shared" si="12"/>
        <v/>
      </c>
      <c r="BJ33" s="127" t="str">
        <f t="shared" si="12"/>
        <v/>
      </c>
      <c r="BK33" s="127" t="str">
        <f t="shared" si="12"/>
        <v/>
      </c>
      <c r="BL33" s="127" t="str">
        <f t="shared" si="12"/>
        <v/>
      </c>
      <c r="BM33" s="127" t="str">
        <f t="shared" si="12"/>
        <v/>
      </c>
      <c r="BN33" s="127" t="str">
        <f t="shared" si="12"/>
        <v/>
      </c>
      <c r="BO33" s="127" t="str">
        <f t="shared" si="12"/>
        <v/>
      </c>
      <c r="BP33" s="127" t="str">
        <f t="shared" si="12"/>
        <v/>
      </c>
      <c r="BQ33" s="127" t="str">
        <f t="shared" si="12"/>
        <v/>
      </c>
      <c r="BR33" s="127" t="str">
        <f t="shared" si="12"/>
        <v/>
      </c>
      <c r="BS33" s="127" t="str">
        <f t="shared" si="12"/>
        <v/>
      </c>
      <c r="BT33" s="127" t="str">
        <f t="shared" si="12"/>
        <v/>
      </c>
      <c r="BU33" s="127" t="str">
        <f t="shared" si="12"/>
        <v/>
      </c>
      <c r="BV33" s="127" t="str">
        <f t="shared" si="12"/>
        <v/>
      </c>
      <c r="BW33" s="127" t="str">
        <f t="shared" si="12"/>
        <v/>
      </c>
      <c r="BX33" s="127" t="str">
        <f t="shared" si="12"/>
        <v/>
      </c>
      <c r="BY33" s="127" t="str">
        <f t="shared" si="12"/>
        <v/>
      </c>
      <c r="BZ33" s="127" t="str">
        <f t="shared" si="12"/>
        <v/>
      </c>
      <c r="CA33" s="127" t="str">
        <f t="shared" si="12"/>
        <v/>
      </c>
      <c r="CB33" s="127" t="str">
        <f t="shared" si="12"/>
        <v/>
      </c>
      <c r="CC33" s="127" t="str">
        <f t="shared" si="12"/>
        <v/>
      </c>
      <c r="CD33" s="127" t="str">
        <f t="shared" si="12"/>
        <v/>
      </c>
    </row>
    <row r="34" spans="1:82" ht="12.6" hidden="1" customHeight="1" x14ac:dyDescent="0.2">
      <c r="A34" s="106">
        <f>SHIPMENTS!A40</f>
        <v>9204</v>
      </c>
      <c r="B34" s="106" t="str">
        <f>SHIPMENTS!B40</f>
        <v>2300-HONGKONG</v>
      </c>
      <c r="C34" s="132">
        <f>SHIPMENTS!F40</f>
        <v>3.1</v>
      </c>
      <c r="D34" s="107" t="str">
        <f>IF((SHIPMENTS!I40)=0,"",SHIPMENTS!I40)</f>
        <v/>
      </c>
      <c r="E34" s="176">
        <f>IF((SHIPMENTS!G40)=0,"",SHIPMENTS!G40)</f>
        <v>46324</v>
      </c>
      <c r="F34" s="98">
        <f>VLOOKUP(A34,load!$A$4:$U$5001,20,0)</f>
        <v>13.466666666666665</v>
      </c>
      <c r="G34" s="109">
        <f>Manhours!$C$7</f>
        <v>9</v>
      </c>
      <c r="H34" s="98">
        <f t="shared" si="16"/>
        <v>81.899999999999991</v>
      </c>
      <c r="I34" s="99">
        <f t="shared" si="17"/>
        <v>0.16442816442816444</v>
      </c>
      <c r="J34" s="99">
        <f t="shared" si="18"/>
        <v>1.4962962962962962</v>
      </c>
      <c r="K34" s="110">
        <f t="shared" si="19"/>
        <v>0</v>
      </c>
      <c r="L34" s="98">
        <f t="shared" si="20"/>
        <v>0</v>
      </c>
      <c r="M34" s="181">
        <f t="shared" si="21"/>
        <v>46314.428031562886</v>
      </c>
      <c r="N34" s="181">
        <f t="shared" si="22"/>
        <v>46314.428031562886</v>
      </c>
      <c r="O34" s="112" t="str">
        <f>VLOOKUP(A34,SHIPMENTS!$A$7:$AP$76,11,0)</f>
        <v>n/a</v>
      </c>
      <c r="P34" s="101"/>
      <c r="Q34" s="127" t="str">
        <f t="shared" si="15"/>
        <v/>
      </c>
      <c r="R34" s="127" t="str">
        <f t="shared" si="15"/>
        <v/>
      </c>
      <c r="S34" s="127" t="str">
        <f t="shared" si="15"/>
        <v/>
      </c>
      <c r="T34" s="127" t="str">
        <f t="shared" si="15"/>
        <v/>
      </c>
      <c r="U34" s="127" t="str">
        <f t="shared" si="15"/>
        <v/>
      </c>
      <c r="V34" s="127" t="str">
        <f t="shared" si="15"/>
        <v/>
      </c>
      <c r="W34" s="127" t="str">
        <f t="shared" si="15"/>
        <v/>
      </c>
      <c r="X34" s="127" t="str">
        <f t="shared" si="15"/>
        <v/>
      </c>
      <c r="Y34" s="127" t="str">
        <f t="shared" si="15"/>
        <v/>
      </c>
      <c r="Z34" s="127" t="str">
        <f t="shared" si="15"/>
        <v>▲</v>
      </c>
      <c r="AA34" s="127" t="str">
        <f t="shared" si="15"/>
        <v/>
      </c>
      <c r="AB34" s="127" t="str">
        <f t="shared" si="15"/>
        <v/>
      </c>
      <c r="AC34" s="127" t="str">
        <f t="shared" si="15"/>
        <v/>
      </c>
      <c r="AD34" s="127" t="str">
        <f t="shared" si="15"/>
        <v/>
      </c>
      <c r="AE34" s="127" t="str">
        <f t="shared" si="15"/>
        <v/>
      </c>
      <c r="AF34" s="127" t="str">
        <f t="shared" si="15"/>
        <v/>
      </c>
      <c r="AG34" s="127" t="str">
        <f t="shared" ref="AG34:AV49" si="25">IF($E34=AG$3,"▲","")</f>
        <v/>
      </c>
      <c r="AH34" s="127" t="str">
        <f t="shared" si="25"/>
        <v/>
      </c>
      <c r="AI34" s="127" t="str">
        <f t="shared" si="25"/>
        <v/>
      </c>
      <c r="AJ34" s="127" t="str">
        <f t="shared" si="25"/>
        <v/>
      </c>
      <c r="AK34" s="127" t="str">
        <f t="shared" si="25"/>
        <v/>
      </c>
      <c r="AL34" s="127" t="str">
        <f t="shared" si="25"/>
        <v/>
      </c>
      <c r="AM34" s="127" t="str">
        <f t="shared" si="25"/>
        <v/>
      </c>
      <c r="AN34" s="127" t="str">
        <f t="shared" si="25"/>
        <v/>
      </c>
      <c r="AO34" s="127" t="str">
        <f t="shared" si="25"/>
        <v/>
      </c>
      <c r="AP34" s="127" t="str">
        <f t="shared" si="25"/>
        <v/>
      </c>
      <c r="AQ34" s="127" t="str">
        <f t="shared" si="25"/>
        <v/>
      </c>
      <c r="AR34" s="127" t="str">
        <f t="shared" si="25"/>
        <v/>
      </c>
      <c r="AS34" s="127" t="str">
        <f t="shared" si="25"/>
        <v/>
      </c>
      <c r="AT34" s="127" t="str">
        <f t="shared" si="25"/>
        <v/>
      </c>
      <c r="AU34" s="127" t="str">
        <f t="shared" si="25"/>
        <v/>
      </c>
      <c r="AV34" s="127" t="str">
        <f t="shared" si="25"/>
        <v/>
      </c>
      <c r="AW34" s="127" t="str">
        <f t="shared" si="23"/>
        <v/>
      </c>
      <c r="AX34" s="127" t="str">
        <f t="shared" si="23"/>
        <v/>
      </c>
      <c r="AY34" s="127" t="str">
        <f t="shared" si="23"/>
        <v/>
      </c>
      <c r="AZ34" s="127" t="str">
        <f t="shared" si="23"/>
        <v/>
      </c>
      <c r="BA34" s="127" t="str">
        <f t="shared" si="24"/>
        <v/>
      </c>
      <c r="BB34" s="127" t="str">
        <f t="shared" si="24"/>
        <v/>
      </c>
      <c r="BC34" s="127" t="str">
        <f t="shared" si="24"/>
        <v/>
      </c>
      <c r="BD34" s="127" t="str">
        <f t="shared" si="24"/>
        <v/>
      </c>
      <c r="BE34" s="127" t="str">
        <f t="shared" si="24"/>
        <v/>
      </c>
      <c r="BF34" s="127" t="str">
        <f t="shared" si="24"/>
        <v/>
      </c>
      <c r="BG34" s="127" t="str">
        <f t="shared" si="24"/>
        <v/>
      </c>
      <c r="BH34" s="127" t="str">
        <f t="shared" si="24"/>
        <v/>
      </c>
      <c r="BI34" s="127" t="str">
        <f t="shared" si="24"/>
        <v/>
      </c>
      <c r="BJ34" s="127" t="str">
        <f t="shared" si="24"/>
        <v/>
      </c>
      <c r="BK34" s="127" t="str">
        <f t="shared" si="24"/>
        <v/>
      </c>
      <c r="BL34" s="127" t="str">
        <f t="shared" si="24"/>
        <v/>
      </c>
      <c r="BM34" s="127" t="str">
        <f t="shared" si="24"/>
        <v/>
      </c>
      <c r="BN34" s="127" t="str">
        <f t="shared" si="24"/>
        <v/>
      </c>
      <c r="BO34" s="127" t="str">
        <f t="shared" si="24"/>
        <v/>
      </c>
      <c r="BP34" s="127" t="str">
        <f t="shared" si="24"/>
        <v/>
      </c>
      <c r="BQ34" s="127" t="str">
        <f t="shared" ref="BQ34:CD49" si="26">IF($E34=BQ$3,"▲","")</f>
        <v/>
      </c>
      <c r="BR34" s="127" t="str">
        <f t="shared" si="26"/>
        <v/>
      </c>
      <c r="BS34" s="127" t="str">
        <f t="shared" si="26"/>
        <v/>
      </c>
      <c r="BT34" s="127" t="str">
        <f t="shared" si="26"/>
        <v/>
      </c>
      <c r="BU34" s="127" t="str">
        <f t="shared" si="26"/>
        <v/>
      </c>
      <c r="BV34" s="127" t="str">
        <f t="shared" si="26"/>
        <v/>
      </c>
      <c r="BW34" s="127" t="str">
        <f t="shared" si="26"/>
        <v/>
      </c>
      <c r="BX34" s="127" t="str">
        <f t="shared" si="26"/>
        <v/>
      </c>
      <c r="BY34" s="127" t="str">
        <f t="shared" si="26"/>
        <v/>
      </c>
      <c r="BZ34" s="127" t="str">
        <f t="shared" si="26"/>
        <v/>
      </c>
      <c r="CA34" s="127" t="str">
        <f t="shared" si="26"/>
        <v/>
      </c>
      <c r="CB34" s="127" t="str">
        <f t="shared" si="26"/>
        <v/>
      </c>
      <c r="CC34" s="127" t="str">
        <f t="shared" si="26"/>
        <v/>
      </c>
      <c r="CD34" s="127" t="str">
        <f t="shared" si="26"/>
        <v/>
      </c>
    </row>
    <row r="35" spans="1:82" ht="12.6" hidden="1" customHeight="1" x14ac:dyDescent="0.2">
      <c r="A35" s="106">
        <f>SHIPMENTS!A41</f>
        <v>9005</v>
      </c>
      <c r="B35" s="106" t="str">
        <f>SHIPMENTS!B41</f>
        <v>28100-AUSTRIA HARVIA</v>
      </c>
      <c r="C35" s="132">
        <f>SHIPMENTS!F41</f>
        <v>44.15</v>
      </c>
      <c r="D35" s="107" t="str">
        <f>IF((SHIPMENTS!I41)=0,"",SHIPMENTS!I41)</f>
        <v>1X20</v>
      </c>
      <c r="E35" s="176">
        <f>IF((SHIPMENTS!G41)=0,"",SHIPMENTS!G41)</f>
        <v>46325</v>
      </c>
      <c r="F35" s="98">
        <f>VLOOKUP(A35,load!$A$4:$U$5001,20,0)</f>
        <v>22.67</v>
      </c>
      <c r="G35" s="109">
        <f>Manhours!$C$7</f>
        <v>9</v>
      </c>
      <c r="H35" s="98">
        <f t="shared" si="16"/>
        <v>81.899999999999991</v>
      </c>
      <c r="I35" s="99">
        <f t="shared" si="17"/>
        <v>0.27680097680097687</v>
      </c>
      <c r="J35" s="99">
        <f t="shared" si="18"/>
        <v>2.5188888888888896</v>
      </c>
      <c r="K35" s="110">
        <f t="shared" si="19"/>
        <v>0</v>
      </c>
      <c r="L35" s="98">
        <f t="shared" si="20"/>
        <v>0</v>
      </c>
      <c r="M35" s="181">
        <f t="shared" si="21"/>
        <v>46314.428031562886</v>
      </c>
      <c r="N35" s="181">
        <f t="shared" si="22"/>
        <v>46314.428031562886</v>
      </c>
      <c r="O35" s="112" t="str">
        <f>VLOOKUP(A35,SHIPMENTS!$A$7:$AP$76,11,0)</f>
        <v>n/a</v>
      </c>
      <c r="P35" s="101"/>
      <c r="Q35" s="127" t="str">
        <f t="shared" si="15"/>
        <v/>
      </c>
      <c r="R35" s="127" t="str">
        <f t="shared" si="15"/>
        <v/>
      </c>
      <c r="S35" s="127" t="str">
        <f t="shared" si="15"/>
        <v/>
      </c>
      <c r="T35" s="127" t="str">
        <f t="shared" si="15"/>
        <v/>
      </c>
      <c r="U35" s="127" t="str">
        <f t="shared" si="15"/>
        <v/>
      </c>
      <c r="V35" s="127" t="str">
        <f t="shared" si="15"/>
        <v/>
      </c>
      <c r="W35" s="127" t="str">
        <f t="shared" si="15"/>
        <v/>
      </c>
      <c r="X35" s="127" t="str">
        <f t="shared" si="15"/>
        <v/>
      </c>
      <c r="Y35" s="127" t="str">
        <f t="shared" si="15"/>
        <v/>
      </c>
      <c r="Z35" s="127" t="str">
        <f t="shared" si="15"/>
        <v/>
      </c>
      <c r="AA35" s="127" t="str">
        <f t="shared" si="15"/>
        <v>▲</v>
      </c>
      <c r="AB35" s="127" t="str">
        <f t="shared" si="15"/>
        <v/>
      </c>
      <c r="AC35" s="127" t="str">
        <f t="shared" si="15"/>
        <v/>
      </c>
      <c r="AD35" s="127" t="str">
        <f t="shared" si="15"/>
        <v/>
      </c>
      <c r="AE35" s="127" t="str">
        <f t="shared" si="15"/>
        <v/>
      </c>
      <c r="AF35" s="127" t="str">
        <f t="shared" si="15"/>
        <v/>
      </c>
      <c r="AG35" s="127" t="str">
        <f t="shared" si="25"/>
        <v/>
      </c>
      <c r="AH35" s="127" t="str">
        <f t="shared" si="25"/>
        <v/>
      </c>
      <c r="AI35" s="127" t="str">
        <f t="shared" si="25"/>
        <v/>
      </c>
      <c r="AJ35" s="127" t="str">
        <f t="shared" si="25"/>
        <v/>
      </c>
      <c r="AK35" s="127" t="str">
        <f t="shared" si="25"/>
        <v/>
      </c>
      <c r="AL35" s="127" t="str">
        <f t="shared" si="25"/>
        <v/>
      </c>
      <c r="AM35" s="127" t="str">
        <f t="shared" si="25"/>
        <v/>
      </c>
      <c r="AN35" s="127" t="str">
        <f t="shared" si="25"/>
        <v/>
      </c>
      <c r="AO35" s="127" t="str">
        <f t="shared" si="25"/>
        <v/>
      </c>
      <c r="AP35" s="127" t="str">
        <f t="shared" si="25"/>
        <v/>
      </c>
      <c r="AQ35" s="127" t="str">
        <f t="shared" si="25"/>
        <v/>
      </c>
      <c r="AR35" s="127" t="str">
        <f t="shared" si="25"/>
        <v/>
      </c>
      <c r="AS35" s="127" t="str">
        <f t="shared" si="25"/>
        <v/>
      </c>
      <c r="AT35" s="127" t="str">
        <f t="shared" si="25"/>
        <v/>
      </c>
      <c r="AU35" s="127" t="str">
        <f t="shared" si="25"/>
        <v/>
      </c>
      <c r="AV35" s="127" t="str">
        <f t="shared" si="25"/>
        <v/>
      </c>
      <c r="AW35" s="127" t="str">
        <f t="shared" si="23"/>
        <v/>
      </c>
      <c r="AX35" s="127" t="str">
        <f t="shared" si="23"/>
        <v/>
      </c>
      <c r="AY35" s="127" t="str">
        <f t="shared" si="23"/>
        <v/>
      </c>
      <c r="AZ35" s="127" t="str">
        <f t="shared" si="23"/>
        <v/>
      </c>
      <c r="BA35" s="127" t="str">
        <f t="shared" si="24"/>
        <v/>
      </c>
      <c r="BB35" s="127" t="str">
        <f t="shared" si="24"/>
        <v/>
      </c>
      <c r="BC35" s="127" t="str">
        <f t="shared" si="24"/>
        <v/>
      </c>
      <c r="BD35" s="127" t="str">
        <f t="shared" si="24"/>
        <v/>
      </c>
      <c r="BE35" s="127" t="str">
        <f t="shared" si="24"/>
        <v/>
      </c>
      <c r="BF35" s="127" t="str">
        <f t="shared" si="24"/>
        <v/>
      </c>
      <c r="BG35" s="127" t="str">
        <f t="shared" si="24"/>
        <v/>
      </c>
      <c r="BH35" s="127" t="str">
        <f t="shared" si="24"/>
        <v/>
      </c>
      <c r="BI35" s="127" t="str">
        <f t="shared" si="24"/>
        <v/>
      </c>
      <c r="BJ35" s="127" t="str">
        <f t="shared" si="24"/>
        <v/>
      </c>
      <c r="BK35" s="127" t="str">
        <f t="shared" si="24"/>
        <v/>
      </c>
      <c r="BL35" s="127" t="str">
        <f t="shared" si="24"/>
        <v/>
      </c>
      <c r="BM35" s="127" t="str">
        <f t="shared" si="24"/>
        <v/>
      </c>
      <c r="BN35" s="127" t="str">
        <f t="shared" si="24"/>
        <v/>
      </c>
      <c r="BO35" s="127" t="str">
        <f t="shared" si="24"/>
        <v/>
      </c>
      <c r="BP35" s="127" t="str">
        <f t="shared" si="24"/>
        <v/>
      </c>
      <c r="BQ35" s="127" t="str">
        <f t="shared" si="26"/>
        <v/>
      </c>
      <c r="BR35" s="127" t="str">
        <f t="shared" si="26"/>
        <v/>
      </c>
      <c r="BS35" s="127" t="str">
        <f t="shared" si="26"/>
        <v/>
      </c>
      <c r="BT35" s="127" t="str">
        <f t="shared" si="26"/>
        <v/>
      </c>
      <c r="BU35" s="127" t="str">
        <f t="shared" si="26"/>
        <v/>
      </c>
      <c r="BV35" s="127" t="str">
        <f t="shared" si="26"/>
        <v/>
      </c>
      <c r="BW35" s="127" t="str">
        <f t="shared" si="26"/>
        <v/>
      </c>
      <c r="BX35" s="127" t="str">
        <f t="shared" si="26"/>
        <v/>
      </c>
      <c r="BY35" s="127" t="str">
        <f t="shared" si="26"/>
        <v/>
      </c>
      <c r="BZ35" s="127" t="str">
        <f t="shared" si="26"/>
        <v/>
      </c>
      <c r="CA35" s="127" t="str">
        <f t="shared" si="26"/>
        <v/>
      </c>
      <c r="CB35" s="127" t="str">
        <f t="shared" si="26"/>
        <v/>
      </c>
      <c r="CC35" s="127" t="str">
        <f t="shared" si="26"/>
        <v/>
      </c>
      <c r="CD35" s="127" t="str">
        <f t="shared" si="26"/>
        <v/>
      </c>
    </row>
    <row r="36" spans="1:82" ht="12.6" hidden="1" customHeight="1" x14ac:dyDescent="0.2">
      <c r="A36" s="106">
        <f>SHIPMENTS!A42</f>
        <v>8952</v>
      </c>
      <c r="B36" s="106" t="str">
        <f>SHIPMENTS!B42</f>
        <v>41300-CANADA SAUNAFIN</v>
      </c>
      <c r="C36" s="132">
        <f>SHIPMENTS!F42</f>
        <v>70.45</v>
      </c>
      <c r="D36" s="107" t="str">
        <f>IF((SHIPMENTS!I42)=0,"",SHIPMENTS!I42)</f>
        <v>1x40HC</v>
      </c>
      <c r="E36" s="176">
        <f>IF((SHIPMENTS!G42)=0,"",SHIPMENTS!G42)</f>
        <v>46332</v>
      </c>
      <c r="F36" s="98">
        <f>VLOOKUP(A36,load!$A$4:$U$5001,20,0)</f>
        <v>22.404999999999998</v>
      </c>
      <c r="G36" s="109">
        <f>Manhours!$C$7</f>
        <v>9</v>
      </c>
      <c r="H36" s="98">
        <f t="shared" si="16"/>
        <v>81.899999999999991</v>
      </c>
      <c r="I36" s="99">
        <f t="shared" si="17"/>
        <v>0.27356532356532354</v>
      </c>
      <c r="J36" s="99">
        <f t="shared" si="18"/>
        <v>2.4894444444444441</v>
      </c>
      <c r="K36" s="110">
        <f t="shared" si="19"/>
        <v>0</v>
      </c>
      <c r="L36" s="98">
        <f t="shared" si="20"/>
        <v>0</v>
      </c>
      <c r="M36" s="181">
        <f t="shared" si="21"/>
        <v>46314.428031562886</v>
      </c>
      <c r="N36" s="181">
        <f t="shared" si="22"/>
        <v>46314.428031562886</v>
      </c>
      <c r="O36" s="112" t="str">
        <f>VLOOKUP(A36,SHIPMENTS!$A$7:$AP$76,11,0)</f>
        <v>n/a</v>
      </c>
      <c r="P36" s="101"/>
      <c r="Q36" s="127" t="str">
        <f t="shared" si="15"/>
        <v/>
      </c>
      <c r="R36" s="127" t="str">
        <f t="shared" si="15"/>
        <v/>
      </c>
      <c r="S36" s="127" t="str">
        <f t="shared" si="15"/>
        <v/>
      </c>
      <c r="T36" s="127" t="str">
        <f t="shared" si="15"/>
        <v/>
      </c>
      <c r="U36" s="127" t="str">
        <f t="shared" si="15"/>
        <v/>
      </c>
      <c r="V36" s="127" t="str">
        <f t="shared" si="15"/>
        <v/>
      </c>
      <c r="W36" s="127" t="str">
        <f t="shared" si="15"/>
        <v/>
      </c>
      <c r="X36" s="127" t="str">
        <f t="shared" si="15"/>
        <v/>
      </c>
      <c r="Y36" s="127" t="str">
        <f t="shared" si="15"/>
        <v/>
      </c>
      <c r="Z36" s="127" t="str">
        <f t="shared" si="15"/>
        <v/>
      </c>
      <c r="AA36" s="127" t="str">
        <f t="shared" si="15"/>
        <v/>
      </c>
      <c r="AB36" s="127" t="str">
        <f t="shared" si="15"/>
        <v/>
      </c>
      <c r="AC36" s="127" t="str">
        <f t="shared" si="15"/>
        <v/>
      </c>
      <c r="AD36" s="127" t="str">
        <f t="shared" si="15"/>
        <v/>
      </c>
      <c r="AE36" s="127" t="str">
        <f t="shared" si="15"/>
        <v/>
      </c>
      <c r="AF36" s="127" t="str">
        <f t="shared" si="15"/>
        <v/>
      </c>
      <c r="AG36" s="127" t="str">
        <f t="shared" si="25"/>
        <v>▲</v>
      </c>
      <c r="AH36" s="127" t="str">
        <f t="shared" si="25"/>
        <v/>
      </c>
      <c r="AI36" s="127" t="str">
        <f t="shared" si="25"/>
        <v/>
      </c>
      <c r="AJ36" s="127" t="str">
        <f t="shared" si="25"/>
        <v/>
      </c>
      <c r="AK36" s="127" t="str">
        <f t="shared" si="25"/>
        <v/>
      </c>
      <c r="AL36" s="127" t="str">
        <f t="shared" si="25"/>
        <v/>
      </c>
      <c r="AM36" s="127" t="str">
        <f t="shared" si="25"/>
        <v/>
      </c>
      <c r="AN36" s="127" t="str">
        <f t="shared" si="25"/>
        <v/>
      </c>
      <c r="AO36" s="127" t="str">
        <f t="shared" si="25"/>
        <v/>
      </c>
      <c r="AP36" s="127" t="str">
        <f t="shared" si="25"/>
        <v/>
      </c>
      <c r="AQ36" s="127" t="str">
        <f t="shared" si="25"/>
        <v/>
      </c>
      <c r="AR36" s="127" t="str">
        <f t="shared" si="25"/>
        <v/>
      </c>
      <c r="AS36" s="127" t="str">
        <f t="shared" si="25"/>
        <v/>
      </c>
      <c r="AT36" s="127" t="str">
        <f t="shared" si="25"/>
        <v/>
      </c>
      <c r="AU36" s="127" t="str">
        <f t="shared" si="25"/>
        <v/>
      </c>
      <c r="AV36" s="127" t="str">
        <f t="shared" si="25"/>
        <v/>
      </c>
      <c r="AW36" s="127" t="str">
        <f t="shared" si="23"/>
        <v/>
      </c>
      <c r="AX36" s="127" t="str">
        <f t="shared" si="23"/>
        <v/>
      </c>
      <c r="AY36" s="127" t="str">
        <f t="shared" si="23"/>
        <v/>
      </c>
      <c r="AZ36" s="127" t="str">
        <f t="shared" si="23"/>
        <v/>
      </c>
      <c r="BA36" s="127" t="str">
        <f t="shared" si="24"/>
        <v/>
      </c>
      <c r="BB36" s="127" t="str">
        <f t="shared" si="24"/>
        <v/>
      </c>
      <c r="BC36" s="127" t="str">
        <f t="shared" si="24"/>
        <v/>
      </c>
      <c r="BD36" s="127" t="str">
        <f t="shared" si="24"/>
        <v/>
      </c>
      <c r="BE36" s="127" t="str">
        <f t="shared" si="24"/>
        <v/>
      </c>
      <c r="BF36" s="127" t="str">
        <f t="shared" si="24"/>
        <v/>
      </c>
      <c r="BG36" s="127" t="str">
        <f t="shared" si="24"/>
        <v/>
      </c>
      <c r="BH36" s="127" t="str">
        <f t="shared" si="24"/>
        <v/>
      </c>
      <c r="BI36" s="127" t="str">
        <f t="shared" si="24"/>
        <v/>
      </c>
      <c r="BJ36" s="127" t="str">
        <f t="shared" si="24"/>
        <v/>
      </c>
      <c r="BK36" s="127" t="str">
        <f t="shared" si="24"/>
        <v/>
      </c>
      <c r="BL36" s="127" t="str">
        <f t="shared" si="24"/>
        <v/>
      </c>
      <c r="BM36" s="127" t="str">
        <f t="shared" si="24"/>
        <v/>
      </c>
      <c r="BN36" s="127" t="str">
        <f t="shared" si="24"/>
        <v/>
      </c>
      <c r="BO36" s="127" t="str">
        <f t="shared" si="24"/>
        <v/>
      </c>
      <c r="BP36" s="127" t="str">
        <f t="shared" si="24"/>
        <v/>
      </c>
      <c r="BQ36" s="127" t="str">
        <f t="shared" si="26"/>
        <v/>
      </c>
      <c r="BR36" s="127" t="str">
        <f t="shared" si="26"/>
        <v/>
      </c>
      <c r="BS36" s="127" t="str">
        <f t="shared" si="26"/>
        <v/>
      </c>
      <c r="BT36" s="127" t="str">
        <f t="shared" si="26"/>
        <v/>
      </c>
      <c r="BU36" s="127" t="str">
        <f t="shared" si="26"/>
        <v/>
      </c>
      <c r="BV36" s="127" t="str">
        <f t="shared" si="26"/>
        <v/>
      </c>
      <c r="BW36" s="127" t="str">
        <f t="shared" si="26"/>
        <v/>
      </c>
      <c r="BX36" s="127" t="str">
        <f t="shared" si="26"/>
        <v/>
      </c>
      <c r="BY36" s="127" t="str">
        <f t="shared" si="26"/>
        <v/>
      </c>
      <c r="BZ36" s="127" t="str">
        <f t="shared" si="26"/>
        <v/>
      </c>
      <c r="CA36" s="127" t="str">
        <f t="shared" si="26"/>
        <v/>
      </c>
      <c r="CB36" s="127" t="str">
        <f t="shared" si="26"/>
        <v/>
      </c>
      <c r="CC36" s="127" t="str">
        <f t="shared" si="26"/>
        <v/>
      </c>
      <c r="CD36" s="127" t="str">
        <f t="shared" si="26"/>
        <v/>
      </c>
    </row>
    <row r="37" spans="1:82" ht="12.6" customHeight="1" x14ac:dyDescent="0.2">
      <c r="A37" s="106">
        <f>SHIPMENTS!A43</f>
        <v>9158</v>
      </c>
      <c r="B37" s="106" t="str">
        <f>SHIPMENTS!B43</f>
        <v>43300-THAILAND</v>
      </c>
      <c r="C37" s="132">
        <f>SHIPMENTS!F43</f>
        <v>0.10299999999999999</v>
      </c>
      <c r="D37" s="107" t="str">
        <f>IF((SHIPMENTS!I43)=0,"",SHIPMENTS!I43)</f>
        <v>LCL</v>
      </c>
      <c r="E37" s="176">
        <f>IF((SHIPMENTS!G43)=0,"",SHIPMENTS!G43)</f>
        <v>46332</v>
      </c>
      <c r="F37" s="98">
        <f>VLOOKUP(A37,load!$A$4:$U$5001,20,0)</f>
        <v>1.6883333333333335</v>
      </c>
      <c r="G37" s="109">
        <f>Manhours!$C$7</f>
        <v>9</v>
      </c>
      <c r="H37" s="98">
        <f t="shared" si="16"/>
        <v>81.899999999999991</v>
      </c>
      <c r="I37" s="99">
        <f t="shared" si="17"/>
        <v>2.0614570614570619E-2</v>
      </c>
      <c r="J37" s="99">
        <f t="shared" si="18"/>
        <v>0.18759259259259262</v>
      </c>
      <c r="K37" s="110">
        <f t="shared" si="19"/>
        <v>0</v>
      </c>
      <c r="L37" s="98">
        <f t="shared" si="20"/>
        <v>0</v>
      </c>
      <c r="M37" s="181">
        <f t="shared" si="21"/>
        <v>46314.428031562886</v>
      </c>
      <c r="N37" s="181">
        <f t="shared" si="22"/>
        <v>46314.428031562886</v>
      </c>
      <c r="O37" s="112">
        <f>VLOOKUP(A37,SHIPMENTS!$A$7:$AP$76,11,0)</f>
        <v>1</v>
      </c>
      <c r="P37" s="101"/>
      <c r="Q37" s="127" t="str">
        <f t="shared" si="15"/>
        <v/>
      </c>
      <c r="R37" s="127" t="str">
        <f t="shared" si="15"/>
        <v/>
      </c>
      <c r="S37" s="127" t="str">
        <f t="shared" si="15"/>
        <v/>
      </c>
      <c r="T37" s="127" t="str">
        <f t="shared" si="15"/>
        <v/>
      </c>
      <c r="U37" s="127" t="str">
        <f t="shared" si="15"/>
        <v/>
      </c>
      <c r="V37" s="127" t="str">
        <f t="shared" si="15"/>
        <v/>
      </c>
      <c r="W37" s="127" t="str">
        <f t="shared" si="15"/>
        <v/>
      </c>
      <c r="X37" s="127" t="str">
        <f t="shared" si="15"/>
        <v/>
      </c>
      <c r="Y37" s="127" t="str">
        <f t="shared" si="15"/>
        <v/>
      </c>
      <c r="Z37" s="127" t="str">
        <f t="shared" si="15"/>
        <v/>
      </c>
      <c r="AA37" s="127" t="str">
        <f t="shared" si="15"/>
        <v/>
      </c>
      <c r="AB37" s="127" t="str">
        <f t="shared" si="15"/>
        <v/>
      </c>
      <c r="AC37" s="127" t="str">
        <f t="shared" si="15"/>
        <v/>
      </c>
      <c r="AD37" s="127" t="str">
        <f t="shared" si="15"/>
        <v/>
      </c>
      <c r="AE37" s="127" t="str">
        <f t="shared" si="15"/>
        <v/>
      </c>
      <c r="AF37" s="127" t="str">
        <f t="shared" si="15"/>
        <v/>
      </c>
      <c r="AG37" s="127" t="str">
        <f t="shared" si="25"/>
        <v>▲</v>
      </c>
      <c r="AH37" s="127" t="str">
        <f t="shared" si="25"/>
        <v/>
      </c>
      <c r="AI37" s="127" t="str">
        <f t="shared" si="25"/>
        <v/>
      </c>
      <c r="AJ37" s="127" t="str">
        <f t="shared" si="25"/>
        <v/>
      </c>
      <c r="AK37" s="127" t="str">
        <f t="shared" si="25"/>
        <v/>
      </c>
      <c r="AL37" s="127" t="str">
        <f t="shared" si="25"/>
        <v/>
      </c>
      <c r="AM37" s="127" t="str">
        <f t="shared" si="25"/>
        <v/>
      </c>
      <c r="AN37" s="127" t="str">
        <f t="shared" si="25"/>
        <v/>
      </c>
      <c r="AO37" s="127" t="str">
        <f t="shared" si="25"/>
        <v/>
      </c>
      <c r="AP37" s="127" t="str">
        <f t="shared" si="25"/>
        <v/>
      </c>
      <c r="AQ37" s="127" t="str">
        <f t="shared" si="25"/>
        <v/>
      </c>
      <c r="AR37" s="127" t="str">
        <f t="shared" si="25"/>
        <v/>
      </c>
      <c r="AS37" s="127" t="str">
        <f t="shared" si="25"/>
        <v/>
      </c>
      <c r="AT37" s="127" t="str">
        <f t="shared" si="25"/>
        <v/>
      </c>
      <c r="AU37" s="127" t="str">
        <f t="shared" si="25"/>
        <v/>
      </c>
      <c r="AV37" s="127" t="str">
        <f t="shared" si="25"/>
        <v/>
      </c>
      <c r="AW37" s="127" t="str">
        <f t="shared" si="23"/>
        <v/>
      </c>
      <c r="AX37" s="127" t="str">
        <f t="shared" si="23"/>
        <v/>
      </c>
      <c r="AY37" s="127" t="str">
        <f t="shared" si="23"/>
        <v/>
      </c>
      <c r="AZ37" s="127" t="str">
        <f t="shared" si="23"/>
        <v/>
      </c>
      <c r="BA37" s="127" t="str">
        <f t="shared" si="24"/>
        <v/>
      </c>
      <c r="BB37" s="127" t="str">
        <f t="shared" si="24"/>
        <v/>
      </c>
      <c r="BC37" s="127" t="str">
        <f t="shared" si="24"/>
        <v/>
      </c>
      <c r="BD37" s="127" t="str">
        <f t="shared" si="24"/>
        <v/>
      </c>
      <c r="BE37" s="127" t="str">
        <f t="shared" si="24"/>
        <v/>
      </c>
      <c r="BF37" s="127" t="str">
        <f t="shared" si="24"/>
        <v/>
      </c>
      <c r="BG37" s="127" t="str">
        <f t="shared" si="24"/>
        <v/>
      </c>
      <c r="BH37" s="127" t="str">
        <f t="shared" si="24"/>
        <v/>
      </c>
      <c r="BI37" s="127" t="str">
        <f t="shared" si="24"/>
        <v/>
      </c>
      <c r="BJ37" s="127" t="str">
        <f t="shared" si="24"/>
        <v/>
      </c>
      <c r="BK37" s="127" t="str">
        <f t="shared" si="24"/>
        <v/>
      </c>
      <c r="BL37" s="127" t="str">
        <f t="shared" si="24"/>
        <v/>
      </c>
      <c r="BM37" s="127" t="str">
        <f t="shared" si="24"/>
        <v/>
      </c>
      <c r="BN37" s="127" t="str">
        <f t="shared" si="24"/>
        <v/>
      </c>
      <c r="BO37" s="127" t="str">
        <f t="shared" si="24"/>
        <v/>
      </c>
      <c r="BP37" s="127" t="str">
        <f t="shared" si="24"/>
        <v/>
      </c>
      <c r="BQ37" s="127" t="str">
        <f t="shared" si="26"/>
        <v/>
      </c>
      <c r="BR37" s="127" t="str">
        <f t="shared" si="26"/>
        <v/>
      </c>
      <c r="BS37" s="127" t="str">
        <f t="shared" si="26"/>
        <v/>
      </c>
      <c r="BT37" s="127" t="str">
        <f t="shared" si="26"/>
        <v/>
      </c>
      <c r="BU37" s="127" t="str">
        <f t="shared" si="26"/>
        <v/>
      </c>
      <c r="BV37" s="127" t="str">
        <f t="shared" si="26"/>
        <v/>
      </c>
      <c r="BW37" s="127" t="str">
        <f t="shared" si="26"/>
        <v/>
      </c>
      <c r="BX37" s="127" t="str">
        <f t="shared" si="26"/>
        <v/>
      </c>
      <c r="BY37" s="127" t="str">
        <f t="shared" si="26"/>
        <v/>
      </c>
      <c r="BZ37" s="127" t="str">
        <f t="shared" si="26"/>
        <v/>
      </c>
      <c r="CA37" s="127" t="str">
        <f t="shared" si="26"/>
        <v/>
      </c>
      <c r="CB37" s="127" t="str">
        <f t="shared" si="26"/>
        <v/>
      </c>
      <c r="CC37" s="127" t="str">
        <f t="shared" si="26"/>
        <v/>
      </c>
      <c r="CD37" s="127" t="str">
        <f t="shared" si="26"/>
        <v/>
      </c>
    </row>
    <row r="38" spans="1:82" ht="12.6" customHeight="1" x14ac:dyDescent="0.2">
      <c r="A38" s="106">
        <f>SHIPMENTS!A44</f>
        <v>8814</v>
      </c>
      <c r="B38" s="106" t="str">
        <f>SHIPMENTS!B44</f>
        <v>27200-UAE</v>
      </c>
      <c r="C38" s="132">
        <f>SHIPMENTS!F44</f>
        <v>0.06</v>
      </c>
      <c r="D38" s="107" t="str">
        <f>IF((SHIPMENTS!I44)=0,"",SHIPMENTS!I44)</f>
        <v>LCL</v>
      </c>
      <c r="E38" s="176">
        <f>IF((SHIPMENTS!G44)=0,"",SHIPMENTS!G44)</f>
        <v>46332</v>
      </c>
      <c r="F38" s="98">
        <f>VLOOKUP(A38,load!$A$4:$U$5001,20,0)</f>
        <v>0.58399999999999996</v>
      </c>
      <c r="G38" s="109">
        <f>Manhours!$C$7</f>
        <v>9</v>
      </c>
      <c r="H38" s="98">
        <f t="shared" si="16"/>
        <v>81.899999999999991</v>
      </c>
      <c r="I38" s="99">
        <f t="shared" si="17"/>
        <v>7.1306471306471306E-3</v>
      </c>
      <c r="J38" s="99">
        <f t="shared" si="18"/>
        <v>6.4888888888888885E-2</v>
      </c>
      <c r="K38" s="110">
        <f t="shared" si="19"/>
        <v>7.1306471306471306E-3</v>
      </c>
      <c r="L38" s="98">
        <f t="shared" si="20"/>
        <v>6.4888888888888885E-2</v>
      </c>
      <c r="M38" s="181">
        <f t="shared" si="21"/>
        <v>46314.428031562886</v>
      </c>
      <c r="N38" s="181">
        <f t="shared" si="22"/>
        <v>46314.435162210015</v>
      </c>
      <c r="O38" s="112">
        <f>VLOOKUP(A38,SHIPMENTS!$A$7:$AP$76,11,0)</f>
        <v>0</v>
      </c>
      <c r="P38" s="101"/>
      <c r="Q38" s="127" t="str">
        <f t="shared" si="15"/>
        <v/>
      </c>
      <c r="R38" s="127" t="str">
        <f t="shared" si="15"/>
        <v/>
      </c>
      <c r="S38" s="127" t="str">
        <f t="shared" si="15"/>
        <v/>
      </c>
      <c r="T38" s="127" t="str">
        <f t="shared" si="15"/>
        <v/>
      </c>
      <c r="U38" s="127" t="str">
        <f t="shared" si="15"/>
        <v/>
      </c>
      <c r="V38" s="127" t="str">
        <f t="shared" si="15"/>
        <v/>
      </c>
      <c r="W38" s="127" t="str">
        <f t="shared" si="15"/>
        <v/>
      </c>
      <c r="X38" s="127" t="str">
        <f t="shared" si="15"/>
        <v/>
      </c>
      <c r="Y38" s="127" t="str">
        <f t="shared" si="15"/>
        <v/>
      </c>
      <c r="Z38" s="127" t="str">
        <f t="shared" si="15"/>
        <v/>
      </c>
      <c r="AA38" s="127" t="str">
        <f t="shared" si="15"/>
        <v/>
      </c>
      <c r="AB38" s="127" t="str">
        <f t="shared" si="15"/>
        <v/>
      </c>
      <c r="AC38" s="127" t="str">
        <f t="shared" si="15"/>
        <v/>
      </c>
      <c r="AD38" s="127" t="str">
        <f t="shared" si="15"/>
        <v/>
      </c>
      <c r="AE38" s="127" t="str">
        <f t="shared" si="15"/>
        <v/>
      </c>
      <c r="AF38" s="127" t="str">
        <f t="shared" si="15"/>
        <v/>
      </c>
      <c r="AG38" s="127" t="str">
        <f t="shared" si="25"/>
        <v>▲</v>
      </c>
      <c r="AH38" s="127" t="str">
        <f t="shared" si="25"/>
        <v/>
      </c>
      <c r="AI38" s="127" t="str">
        <f t="shared" si="25"/>
        <v/>
      </c>
      <c r="AJ38" s="127" t="str">
        <f t="shared" si="25"/>
        <v/>
      </c>
      <c r="AK38" s="127" t="str">
        <f t="shared" si="25"/>
        <v/>
      </c>
      <c r="AL38" s="127" t="str">
        <f t="shared" si="25"/>
        <v/>
      </c>
      <c r="AM38" s="127" t="str">
        <f t="shared" si="25"/>
        <v/>
      </c>
      <c r="AN38" s="127" t="str">
        <f t="shared" si="25"/>
        <v/>
      </c>
      <c r="AO38" s="127" t="str">
        <f t="shared" si="25"/>
        <v/>
      </c>
      <c r="AP38" s="127" t="str">
        <f t="shared" si="25"/>
        <v/>
      </c>
      <c r="AQ38" s="127" t="str">
        <f t="shared" si="25"/>
        <v/>
      </c>
      <c r="AR38" s="127" t="str">
        <f t="shared" si="25"/>
        <v/>
      </c>
      <c r="AS38" s="127" t="str">
        <f t="shared" si="25"/>
        <v/>
      </c>
      <c r="AT38" s="127" t="str">
        <f t="shared" si="25"/>
        <v/>
      </c>
      <c r="AU38" s="127" t="str">
        <f t="shared" si="25"/>
        <v/>
      </c>
      <c r="AV38" s="127" t="str">
        <f t="shared" si="25"/>
        <v/>
      </c>
      <c r="AW38" s="127" t="str">
        <f t="shared" si="23"/>
        <v/>
      </c>
      <c r="AX38" s="127" t="str">
        <f t="shared" si="23"/>
        <v/>
      </c>
      <c r="AY38" s="127" t="str">
        <f t="shared" si="23"/>
        <v/>
      </c>
      <c r="AZ38" s="127" t="str">
        <f t="shared" si="23"/>
        <v/>
      </c>
      <c r="BA38" s="127" t="str">
        <f t="shared" si="24"/>
        <v/>
      </c>
      <c r="BB38" s="127" t="str">
        <f t="shared" si="24"/>
        <v/>
      </c>
      <c r="BC38" s="127" t="str">
        <f t="shared" si="24"/>
        <v/>
      </c>
      <c r="BD38" s="127" t="str">
        <f t="shared" si="24"/>
        <v/>
      </c>
      <c r="BE38" s="127" t="str">
        <f t="shared" si="24"/>
        <v/>
      </c>
      <c r="BF38" s="127" t="str">
        <f t="shared" si="24"/>
        <v/>
      </c>
      <c r="BG38" s="127" t="str">
        <f t="shared" si="24"/>
        <v/>
      </c>
      <c r="BH38" s="127" t="str">
        <f t="shared" si="24"/>
        <v/>
      </c>
      <c r="BI38" s="127" t="str">
        <f t="shared" si="24"/>
        <v/>
      </c>
      <c r="BJ38" s="127" t="str">
        <f t="shared" si="24"/>
        <v/>
      </c>
      <c r="BK38" s="127" t="str">
        <f t="shared" si="24"/>
        <v/>
      </c>
      <c r="BL38" s="127" t="str">
        <f t="shared" si="24"/>
        <v/>
      </c>
      <c r="BM38" s="127" t="str">
        <f t="shared" si="24"/>
        <v/>
      </c>
      <c r="BN38" s="127" t="str">
        <f t="shared" si="24"/>
        <v/>
      </c>
      <c r="BO38" s="127" t="str">
        <f t="shared" si="24"/>
        <v/>
      </c>
      <c r="BP38" s="127" t="str">
        <f t="shared" si="24"/>
        <v/>
      </c>
      <c r="BQ38" s="127" t="str">
        <f t="shared" si="26"/>
        <v/>
      </c>
      <c r="BR38" s="127" t="str">
        <f t="shared" si="26"/>
        <v/>
      </c>
      <c r="BS38" s="127" t="str">
        <f t="shared" si="26"/>
        <v/>
      </c>
      <c r="BT38" s="127" t="str">
        <f t="shared" si="26"/>
        <v/>
      </c>
      <c r="BU38" s="127" t="str">
        <f t="shared" si="26"/>
        <v/>
      </c>
      <c r="BV38" s="127" t="str">
        <f t="shared" si="26"/>
        <v/>
      </c>
      <c r="BW38" s="127" t="str">
        <f t="shared" si="26"/>
        <v/>
      </c>
      <c r="BX38" s="127" t="str">
        <f t="shared" si="26"/>
        <v/>
      </c>
      <c r="BY38" s="127" t="str">
        <f t="shared" si="26"/>
        <v/>
      </c>
      <c r="BZ38" s="127" t="str">
        <f t="shared" si="26"/>
        <v/>
      </c>
      <c r="CA38" s="127" t="str">
        <f t="shared" si="26"/>
        <v/>
      </c>
      <c r="CB38" s="127" t="str">
        <f t="shared" si="26"/>
        <v/>
      </c>
      <c r="CC38" s="127" t="str">
        <f t="shared" si="26"/>
        <v/>
      </c>
      <c r="CD38" s="127" t="str">
        <f t="shared" si="26"/>
        <v/>
      </c>
    </row>
    <row r="39" spans="1:82" ht="12.6" customHeight="1" x14ac:dyDescent="0.2">
      <c r="A39" s="106">
        <f>SHIPMENTS!A45</f>
        <v>9143</v>
      </c>
      <c r="B39" s="106" t="str">
        <f>SHIPMENTS!B45</f>
        <v>43301-THAILAND</v>
      </c>
      <c r="C39" s="132">
        <f>SHIPMENTS!F45</f>
        <v>4.75</v>
      </c>
      <c r="D39" s="107" t="str">
        <f>IF((SHIPMENTS!I45)=0,"",SHIPMENTS!I45)</f>
        <v>1x20</v>
      </c>
      <c r="E39" s="176">
        <f>IF((SHIPMENTS!G45)=0,"",SHIPMENTS!G45)</f>
        <v>46332</v>
      </c>
      <c r="F39" s="98">
        <f>VLOOKUP(A39,load!$A$4:$U$5001,20,0)</f>
        <v>23.574333333333339</v>
      </c>
      <c r="G39" s="109">
        <f>Manhours!$C$7</f>
        <v>9</v>
      </c>
      <c r="H39" s="98">
        <f t="shared" si="16"/>
        <v>81.899999999999991</v>
      </c>
      <c r="I39" s="99">
        <f t="shared" si="17"/>
        <v>0.28784289784289796</v>
      </c>
      <c r="J39" s="99">
        <f t="shared" si="18"/>
        <v>2.6193703703703712</v>
      </c>
      <c r="K39" s="110">
        <f t="shared" si="19"/>
        <v>0</v>
      </c>
      <c r="L39" s="98">
        <f t="shared" si="20"/>
        <v>0</v>
      </c>
      <c r="M39" s="181">
        <f t="shared" si="21"/>
        <v>46314.435162210015</v>
      </c>
      <c r="N39" s="181">
        <f t="shared" si="22"/>
        <v>46314.435162210015</v>
      </c>
      <c r="O39" s="112">
        <f>VLOOKUP(A39,SHIPMENTS!$A$7:$AP$76,11,0)</f>
        <v>1</v>
      </c>
      <c r="P39" s="101"/>
      <c r="Q39" s="127" t="str">
        <f t="shared" si="15"/>
        <v/>
      </c>
      <c r="R39" s="127" t="str">
        <f t="shared" si="15"/>
        <v/>
      </c>
      <c r="S39" s="127" t="str">
        <f t="shared" si="15"/>
        <v/>
      </c>
      <c r="T39" s="127" t="str">
        <f t="shared" si="15"/>
        <v/>
      </c>
      <c r="U39" s="127" t="str">
        <f t="shared" si="15"/>
        <v/>
      </c>
      <c r="V39" s="127" t="str">
        <f t="shared" si="15"/>
        <v/>
      </c>
      <c r="W39" s="127" t="str">
        <f t="shared" si="15"/>
        <v/>
      </c>
      <c r="X39" s="127" t="str">
        <f t="shared" si="15"/>
        <v/>
      </c>
      <c r="Y39" s="127" t="str">
        <f t="shared" si="15"/>
        <v/>
      </c>
      <c r="Z39" s="127" t="str">
        <f t="shared" si="15"/>
        <v/>
      </c>
      <c r="AA39" s="127" t="str">
        <f t="shared" si="15"/>
        <v/>
      </c>
      <c r="AB39" s="127" t="str">
        <f t="shared" si="15"/>
        <v/>
      </c>
      <c r="AC39" s="127" t="str">
        <f t="shared" si="15"/>
        <v/>
      </c>
      <c r="AD39" s="127" t="str">
        <f t="shared" si="15"/>
        <v/>
      </c>
      <c r="AE39" s="127" t="str">
        <f t="shared" si="15"/>
        <v/>
      </c>
      <c r="AF39" s="127" t="str">
        <f t="shared" ref="Q39:AF53" si="27">IF($E39=AF$3,"▲","")</f>
        <v/>
      </c>
      <c r="AG39" s="127" t="str">
        <f t="shared" si="25"/>
        <v>▲</v>
      </c>
      <c r="AH39" s="127" t="str">
        <f t="shared" si="25"/>
        <v/>
      </c>
      <c r="AI39" s="127" t="str">
        <f t="shared" si="25"/>
        <v/>
      </c>
      <c r="AJ39" s="127" t="str">
        <f t="shared" si="25"/>
        <v/>
      </c>
      <c r="AK39" s="127" t="str">
        <f t="shared" si="25"/>
        <v/>
      </c>
      <c r="AL39" s="127" t="str">
        <f t="shared" si="25"/>
        <v/>
      </c>
      <c r="AM39" s="127" t="str">
        <f t="shared" si="25"/>
        <v/>
      </c>
      <c r="AN39" s="127" t="str">
        <f t="shared" si="25"/>
        <v/>
      </c>
      <c r="AO39" s="127" t="str">
        <f t="shared" si="25"/>
        <v/>
      </c>
      <c r="AP39" s="127" t="str">
        <f t="shared" si="25"/>
        <v/>
      </c>
      <c r="AQ39" s="127" t="str">
        <f t="shared" si="25"/>
        <v/>
      </c>
      <c r="AR39" s="127" t="str">
        <f t="shared" si="25"/>
        <v/>
      </c>
      <c r="AS39" s="127" t="str">
        <f t="shared" si="25"/>
        <v/>
      </c>
      <c r="AT39" s="127" t="str">
        <f t="shared" si="25"/>
        <v/>
      </c>
      <c r="AU39" s="127" t="str">
        <f t="shared" si="25"/>
        <v/>
      </c>
      <c r="AV39" s="127" t="str">
        <f t="shared" si="25"/>
        <v/>
      </c>
      <c r="AW39" s="127" t="str">
        <f t="shared" si="23"/>
        <v/>
      </c>
      <c r="AX39" s="127" t="str">
        <f t="shared" si="23"/>
        <v/>
      </c>
      <c r="AY39" s="127" t="str">
        <f t="shared" si="23"/>
        <v/>
      </c>
      <c r="AZ39" s="127" t="str">
        <f t="shared" si="23"/>
        <v/>
      </c>
      <c r="BA39" s="127" t="str">
        <f t="shared" si="24"/>
        <v/>
      </c>
      <c r="BB39" s="127" t="str">
        <f t="shared" si="24"/>
        <v/>
      </c>
      <c r="BC39" s="127" t="str">
        <f t="shared" si="24"/>
        <v/>
      </c>
      <c r="BD39" s="127" t="str">
        <f t="shared" si="24"/>
        <v/>
      </c>
      <c r="BE39" s="127" t="str">
        <f t="shared" si="24"/>
        <v/>
      </c>
      <c r="BF39" s="127" t="str">
        <f t="shared" si="24"/>
        <v/>
      </c>
      <c r="BG39" s="127" t="str">
        <f t="shared" si="24"/>
        <v/>
      </c>
      <c r="BH39" s="127" t="str">
        <f t="shared" si="24"/>
        <v/>
      </c>
      <c r="BI39" s="127" t="str">
        <f t="shared" si="24"/>
        <v/>
      </c>
      <c r="BJ39" s="127" t="str">
        <f t="shared" si="24"/>
        <v/>
      </c>
      <c r="BK39" s="127" t="str">
        <f t="shared" si="24"/>
        <v/>
      </c>
      <c r="BL39" s="127" t="str">
        <f t="shared" si="24"/>
        <v/>
      </c>
      <c r="BM39" s="127" t="str">
        <f t="shared" si="24"/>
        <v/>
      </c>
      <c r="BN39" s="127" t="str">
        <f t="shared" si="24"/>
        <v/>
      </c>
      <c r="BO39" s="127" t="str">
        <f t="shared" si="24"/>
        <v/>
      </c>
      <c r="BP39" s="127" t="str">
        <f t="shared" si="24"/>
        <v/>
      </c>
      <c r="BQ39" s="127" t="str">
        <f t="shared" si="26"/>
        <v/>
      </c>
      <c r="BR39" s="127" t="str">
        <f t="shared" si="26"/>
        <v/>
      </c>
      <c r="BS39" s="127" t="str">
        <f t="shared" si="26"/>
        <v/>
      </c>
      <c r="BT39" s="127" t="str">
        <f t="shared" si="26"/>
        <v/>
      </c>
      <c r="BU39" s="127" t="str">
        <f t="shared" si="26"/>
        <v/>
      </c>
      <c r="BV39" s="127" t="str">
        <f t="shared" si="26"/>
        <v/>
      </c>
      <c r="BW39" s="127" t="str">
        <f t="shared" si="26"/>
        <v/>
      </c>
      <c r="BX39" s="127" t="str">
        <f t="shared" si="26"/>
        <v/>
      </c>
      <c r="BY39" s="127" t="str">
        <f t="shared" si="26"/>
        <v/>
      </c>
      <c r="BZ39" s="127" t="str">
        <f t="shared" si="26"/>
        <v/>
      </c>
      <c r="CA39" s="127" t="str">
        <f t="shared" si="26"/>
        <v/>
      </c>
      <c r="CB39" s="127" t="str">
        <f t="shared" si="26"/>
        <v/>
      </c>
      <c r="CC39" s="127" t="str">
        <f t="shared" si="26"/>
        <v/>
      </c>
      <c r="CD39" s="127" t="str">
        <f t="shared" si="26"/>
        <v/>
      </c>
    </row>
    <row r="40" spans="1:82" ht="12.6" customHeight="1" x14ac:dyDescent="0.2">
      <c r="A40" s="106">
        <f>SHIPMENTS!A46</f>
        <v>9160</v>
      </c>
      <c r="B40" s="106" t="str">
        <f>SHIPMENTS!B46</f>
        <v>51700-MAURITIUS</v>
      </c>
      <c r="C40" s="132">
        <f>SHIPMENTS!F46</f>
        <v>0.97</v>
      </c>
      <c r="D40" s="107" t="str">
        <f>IF((SHIPMENTS!I46)=0,"",SHIPMENTS!I46)</f>
        <v>1x20</v>
      </c>
      <c r="E40" s="176">
        <f>IF((SHIPMENTS!G46)=0,"",SHIPMENTS!G46)</f>
        <v>46332</v>
      </c>
      <c r="F40" s="98">
        <f>VLOOKUP(A40,load!$A$4:$U$5001,20,0)</f>
        <v>12.82</v>
      </c>
      <c r="G40" s="109">
        <f>Manhours!$C$7</f>
        <v>9</v>
      </c>
      <c r="H40" s="98">
        <f t="shared" si="16"/>
        <v>81.899999999999991</v>
      </c>
      <c r="I40" s="99">
        <f t="shared" si="17"/>
        <v>0.15653235653235656</v>
      </c>
      <c r="J40" s="99">
        <f t="shared" si="18"/>
        <v>1.4244444444444446</v>
      </c>
      <c r="K40" s="110">
        <f t="shared" si="19"/>
        <v>0</v>
      </c>
      <c r="L40" s="98">
        <f t="shared" si="20"/>
        <v>0</v>
      </c>
      <c r="M40" s="181">
        <f t="shared" si="21"/>
        <v>46314.435162210015</v>
      </c>
      <c r="N40" s="181">
        <f t="shared" si="22"/>
        <v>46314.435162210015</v>
      </c>
      <c r="O40" s="112">
        <f>VLOOKUP(A40,SHIPMENTS!$A$7:$AP$76,11,0)</f>
        <v>1</v>
      </c>
      <c r="P40" s="101"/>
      <c r="Q40" s="127" t="str">
        <f t="shared" si="27"/>
        <v/>
      </c>
      <c r="R40" s="127" t="str">
        <f t="shared" si="27"/>
        <v/>
      </c>
      <c r="S40" s="127" t="str">
        <f t="shared" si="27"/>
        <v/>
      </c>
      <c r="T40" s="127" t="str">
        <f t="shared" si="27"/>
        <v/>
      </c>
      <c r="U40" s="127" t="str">
        <f t="shared" si="27"/>
        <v/>
      </c>
      <c r="V40" s="127" t="str">
        <f t="shared" si="27"/>
        <v/>
      </c>
      <c r="W40" s="127" t="str">
        <f t="shared" si="27"/>
        <v/>
      </c>
      <c r="X40" s="127" t="str">
        <f t="shared" si="27"/>
        <v/>
      </c>
      <c r="Y40" s="127" t="str">
        <f t="shared" si="27"/>
        <v/>
      </c>
      <c r="Z40" s="127" t="str">
        <f t="shared" si="27"/>
        <v/>
      </c>
      <c r="AA40" s="127" t="str">
        <f t="shared" si="27"/>
        <v/>
      </c>
      <c r="AB40" s="127" t="str">
        <f t="shared" si="27"/>
        <v/>
      </c>
      <c r="AC40" s="127" t="str">
        <f t="shared" si="27"/>
        <v/>
      </c>
      <c r="AD40" s="127" t="str">
        <f t="shared" si="27"/>
        <v/>
      </c>
      <c r="AE40" s="127" t="str">
        <f t="shared" si="27"/>
        <v/>
      </c>
      <c r="AF40" s="127" t="str">
        <f t="shared" si="27"/>
        <v/>
      </c>
      <c r="AG40" s="127" t="str">
        <f t="shared" si="25"/>
        <v>▲</v>
      </c>
      <c r="AH40" s="127" t="str">
        <f t="shared" si="25"/>
        <v/>
      </c>
      <c r="AI40" s="127" t="str">
        <f t="shared" si="25"/>
        <v/>
      </c>
      <c r="AJ40" s="127" t="str">
        <f t="shared" si="25"/>
        <v/>
      </c>
      <c r="AK40" s="127" t="str">
        <f t="shared" si="25"/>
        <v/>
      </c>
      <c r="AL40" s="127" t="str">
        <f t="shared" si="25"/>
        <v/>
      </c>
      <c r="AM40" s="127" t="str">
        <f t="shared" si="25"/>
        <v/>
      </c>
      <c r="AN40" s="127" t="str">
        <f t="shared" si="25"/>
        <v/>
      </c>
      <c r="AO40" s="127" t="str">
        <f t="shared" si="25"/>
        <v/>
      </c>
      <c r="AP40" s="127" t="str">
        <f t="shared" si="25"/>
        <v/>
      </c>
      <c r="AQ40" s="127" t="str">
        <f t="shared" si="25"/>
        <v/>
      </c>
      <c r="AR40" s="127" t="str">
        <f t="shared" si="25"/>
        <v/>
      </c>
      <c r="AS40" s="127" t="str">
        <f t="shared" si="25"/>
        <v/>
      </c>
      <c r="AT40" s="127" t="str">
        <f t="shared" si="25"/>
        <v/>
      </c>
      <c r="AU40" s="127" t="str">
        <f t="shared" si="25"/>
        <v/>
      </c>
      <c r="AV40" s="127" t="str">
        <f t="shared" si="25"/>
        <v/>
      </c>
      <c r="AW40" s="127" t="str">
        <f t="shared" si="23"/>
        <v/>
      </c>
      <c r="AX40" s="127" t="str">
        <f t="shared" si="23"/>
        <v/>
      </c>
      <c r="AY40" s="127" t="str">
        <f t="shared" si="23"/>
        <v/>
      </c>
      <c r="AZ40" s="127" t="str">
        <f t="shared" si="23"/>
        <v/>
      </c>
      <c r="BA40" s="127" t="str">
        <f t="shared" si="24"/>
        <v/>
      </c>
      <c r="BB40" s="127" t="str">
        <f t="shared" si="24"/>
        <v/>
      </c>
      <c r="BC40" s="127" t="str">
        <f t="shared" si="24"/>
        <v/>
      </c>
      <c r="BD40" s="127" t="str">
        <f t="shared" si="24"/>
        <v/>
      </c>
      <c r="BE40" s="127" t="str">
        <f t="shared" si="24"/>
        <v/>
      </c>
      <c r="BF40" s="127" t="str">
        <f t="shared" si="24"/>
        <v/>
      </c>
      <c r="BG40" s="127" t="str">
        <f t="shared" si="24"/>
        <v/>
      </c>
      <c r="BH40" s="127" t="str">
        <f t="shared" si="24"/>
        <v/>
      </c>
      <c r="BI40" s="127" t="str">
        <f t="shared" si="24"/>
        <v/>
      </c>
      <c r="BJ40" s="127" t="str">
        <f t="shared" si="24"/>
        <v/>
      </c>
      <c r="BK40" s="127" t="str">
        <f t="shared" si="24"/>
        <v/>
      </c>
      <c r="BL40" s="127" t="str">
        <f t="shared" si="24"/>
        <v/>
      </c>
      <c r="BM40" s="127" t="str">
        <f t="shared" si="24"/>
        <v/>
      </c>
      <c r="BN40" s="127" t="str">
        <f t="shared" si="24"/>
        <v/>
      </c>
      <c r="BO40" s="127" t="str">
        <f t="shared" si="24"/>
        <v/>
      </c>
      <c r="BP40" s="127" t="str">
        <f t="shared" si="24"/>
        <v/>
      </c>
      <c r="BQ40" s="127" t="str">
        <f t="shared" si="26"/>
        <v/>
      </c>
      <c r="BR40" s="127" t="str">
        <f t="shared" si="26"/>
        <v/>
      </c>
      <c r="BS40" s="127" t="str">
        <f t="shared" si="26"/>
        <v/>
      </c>
      <c r="BT40" s="127" t="str">
        <f t="shared" si="26"/>
        <v/>
      </c>
      <c r="BU40" s="127" t="str">
        <f t="shared" si="26"/>
        <v/>
      </c>
      <c r="BV40" s="127" t="str">
        <f t="shared" si="26"/>
        <v/>
      </c>
      <c r="BW40" s="127" t="str">
        <f t="shared" si="26"/>
        <v/>
      </c>
      <c r="BX40" s="127" t="str">
        <f t="shared" si="26"/>
        <v/>
      </c>
      <c r="BY40" s="127" t="str">
        <f t="shared" si="26"/>
        <v/>
      </c>
      <c r="BZ40" s="127" t="str">
        <f t="shared" si="26"/>
        <v/>
      </c>
      <c r="CA40" s="127" t="str">
        <f t="shared" si="26"/>
        <v/>
      </c>
      <c r="CB40" s="127" t="str">
        <f t="shared" si="26"/>
        <v/>
      </c>
      <c r="CC40" s="127" t="str">
        <f t="shared" si="26"/>
        <v/>
      </c>
      <c r="CD40" s="127" t="str">
        <f t="shared" si="26"/>
        <v/>
      </c>
    </row>
    <row r="41" spans="1:82" ht="12.6" hidden="1" customHeight="1" x14ac:dyDescent="0.2">
      <c r="A41" s="106">
        <f>SHIPMENTS!A47</f>
        <v>9164</v>
      </c>
      <c r="B41" s="106" t="str">
        <f>SHIPMENTS!B47</f>
        <v>1500-SAWO SAUNA EUROPE BV BACKLOG</v>
      </c>
      <c r="C41" s="132">
        <f>SHIPMENTS!F47</f>
        <v>100.97952000000001</v>
      </c>
      <c r="D41" s="107" t="str">
        <f>IF((SHIPMENTS!I47)=0,"",SHIPMENTS!I47)</f>
        <v>1X40HC</v>
      </c>
      <c r="E41" s="176">
        <f>IF((SHIPMENTS!G47)=0,"",SHIPMENTS!G47)</f>
        <v>46339</v>
      </c>
      <c r="F41" s="98">
        <f>VLOOKUP(A41,load!$A$4:$U$5001,20,0)</f>
        <v>9.8666666666666671</v>
      </c>
      <c r="G41" s="109">
        <f>Manhours!$C$7</f>
        <v>9</v>
      </c>
      <c r="H41" s="98">
        <f t="shared" si="16"/>
        <v>81.899999999999991</v>
      </c>
      <c r="I41" s="99">
        <f t="shared" si="17"/>
        <v>0.12047212047212048</v>
      </c>
      <c r="J41" s="99">
        <f t="shared" si="18"/>
        <v>1.0962962962962963</v>
      </c>
      <c r="K41" s="110">
        <f t="shared" si="19"/>
        <v>0</v>
      </c>
      <c r="L41" s="98">
        <f t="shared" si="20"/>
        <v>0</v>
      </c>
      <c r="M41" s="181">
        <f t="shared" si="21"/>
        <v>46314.435162210015</v>
      </c>
      <c r="N41" s="181">
        <f t="shared" si="22"/>
        <v>46314.435162210015</v>
      </c>
      <c r="O41" s="112">
        <f>VLOOKUP(A41,SHIPMENTS!$A$7:$AP$76,11,0)</f>
        <v>1</v>
      </c>
      <c r="P41" s="101"/>
      <c r="Q41" s="127" t="str">
        <f t="shared" si="27"/>
        <v/>
      </c>
      <c r="R41" s="127" t="str">
        <f t="shared" si="27"/>
        <v/>
      </c>
      <c r="S41" s="127" t="str">
        <f t="shared" si="27"/>
        <v/>
      </c>
      <c r="T41" s="127" t="str">
        <f t="shared" si="27"/>
        <v/>
      </c>
      <c r="U41" s="127" t="str">
        <f t="shared" si="27"/>
        <v/>
      </c>
      <c r="V41" s="127" t="str">
        <f t="shared" si="27"/>
        <v/>
      </c>
      <c r="W41" s="127" t="str">
        <f t="shared" si="27"/>
        <v/>
      </c>
      <c r="X41" s="127" t="str">
        <f t="shared" si="27"/>
        <v/>
      </c>
      <c r="Y41" s="127" t="str">
        <f t="shared" si="27"/>
        <v/>
      </c>
      <c r="Z41" s="127" t="str">
        <f t="shared" si="27"/>
        <v/>
      </c>
      <c r="AA41" s="127" t="str">
        <f t="shared" si="27"/>
        <v/>
      </c>
      <c r="AB41" s="127" t="str">
        <f t="shared" si="27"/>
        <v/>
      </c>
      <c r="AC41" s="127" t="str">
        <f t="shared" si="27"/>
        <v/>
      </c>
      <c r="AD41" s="127" t="str">
        <f t="shared" si="27"/>
        <v/>
      </c>
      <c r="AE41" s="127" t="str">
        <f t="shared" si="27"/>
        <v/>
      </c>
      <c r="AF41" s="127" t="str">
        <f t="shared" si="27"/>
        <v/>
      </c>
      <c r="AG41" s="127" t="str">
        <f t="shared" si="25"/>
        <v/>
      </c>
      <c r="AH41" s="127" t="str">
        <f t="shared" si="25"/>
        <v/>
      </c>
      <c r="AI41" s="127" t="str">
        <f t="shared" si="25"/>
        <v/>
      </c>
      <c r="AJ41" s="127" t="str">
        <f t="shared" si="25"/>
        <v/>
      </c>
      <c r="AK41" s="127" t="str">
        <f t="shared" si="25"/>
        <v/>
      </c>
      <c r="AL41" s="127" t="str">
        <f t="shared" si="25"/>
        <v/>
      </c>
      <c r="AM41" s="127" t="str">
        <f t="shared" si="25"/>
        <v>▲</v>
      </c>
      <c r="AN41" s="127" t="str">
        <f t="shared" si="25"/>
        <v/>
      </c>
      <c r="AO41" s="127" t="str">
        <f t="shared" si="25"/>
        <v/>
      </c>
      <c r="AP41" s="127" t="str">
        <f t="shared" si="25"/>
        <v/>
      </c>
      <c r="AQ41" s="127" t="str">
        <f t="shared" si="25"/>
        <v/>
      </c>
      <c r="AR41" s="127" t="str">
        <f t="shared" si="25"/>
        <v/>
      </c>
      <c r="AS41" s="127" t="str">
        <f t="shared" si="25"/>
        <v/>
      </c>
      <c r="AT41" s="127" t="str">
        <f t="shared" si="25"/>
        <v/>
      </c>
      <c r="AU41" s="127" t="str">
        <f t="shared" si="25"/>
        <v/>
      </c>
      <c r="AV41" s="127" t="str">
        <f t="shared" si="25"/>
        <v/>
      </c>
      <c r="AW41" s="127" t="str">
        <f t="shared" si="23"/>
        <v/>
      </c>
      <c r="AX41" s="127" t="str">
        <f t="shared" si="23"/>
        <v/>
      </c>
      <c r="AY41" s="127" t="str">
        <f t="shared" si="23"/>
        <v/>
      </c>
      <c r="AZ41" s="127" t="str">
        <f t="shared" si="23"/>
        <v/>
      </c>
      <c r="BA41" s="127" t="str">
        <f t="shared" si="24"/>
        <v/>
      </c>
      <c r="BB41" s="127" t="str">
        <f t="shared" si="24"/>
        <v/>
      </c>
      <c r="BC41" s="127" t="str">
        <f t="shared" si="24"/>
        <v/>
      </c>
      <c r="BD41" s="127" t="str">
        <f t="shared" si="24"/>
        <v/>
      </c>
      <c r="BE41" s="127" t="str">
        <f t="shared" si="24"/>
        <v/>
      </c>
      <c r="BF41" s="127" t="str">
        <f t="shared" si="24"/>
        <v/>
      </c>
      <c r="BG41" s="127" t="str">
        <f t="shared" si="24"/>
        <v/>
      </c>
      <c r="BH41" s="127" t="str">
        <f t="shared" si="24"/>
        <v/>
      </c>
      <c r="BI41" s="127" t="str">
        <f t="shared" si="24"/>
        <v/>
      </c>
      <c r="BJ41" s="127" t="str">
        <f t="shared" si="24"/>
        <v/>
      </c>
      <c r="BK41" s="127" t="str">
        <f t="shared" si="24"/>
        <v/>
      </c>
      <c r="BL41" s="127" t="str">
        <f t="shared" si="24"/>
        <v/>
      </c>
      <c r="BM41" s="127" t="str">
        <f t="shared" si="24"/>
        <v/>
      </c>
      <c r="BN41" s="127" t="str">
        <f t="shared" si="24"/>
        <v/>
      </c>
      <c r="BO41" s="127" t="str">
        <f t="shared" si="24"/>
        <v/>
      </c>
      <c r="BP41" s="127" t="str">
        <f t="shared" si="24"/>
        <v/>
      </c>
      <c r="BQ41" s="127" t="str">
        <f t="shared" si="26"/>
        <v/>
      </c>
      <c r="BR41" s="127" t="str">
        <f t="shared" si="26"/>
        <v/>
      </c>
      <c r="BS41" s="127" t="str">
        <f t="shared" si="26"/>
        <v/>
      </c>
      <c r="BT41" s="127" t="str">
        <f t="shared" si="26"/>
        <v/>
      </c>
      <c r="BU41" s="127" t="str">
        <f t="shared" si="26"/>
        <v/>
      </c>
      <c r="BV41" s="127" t="str">
        <f t="shared" si="26"/>
        <v/>
      </c>
      <c r="BW41" s="127" t="str">
        <f t="shared" si="26"/>
        <v/>
      </c>
      <c r="BX41" s="127" t="str">
        <f t="shared" si="26"/>
        <v/>
      </c>
      <c r="BY41" s="127" t="str">
        <f t="shared" si="26"/>
        <v/>
      </c>
      <c r="BZ41" s="127" t="str">
        <f t="shared" si="26"/>
        <v/>
      </c>
      <c r="CA41" s="127" t="str">
        <f t="shared" si="26"/>
        <v/>
      </c>
      <c r="CB41" s="127" t="str">
        <f t="shared" si="26"/>
        <v/>
      </c>
      <c r="CC41" s="127" t="str">
        <f t="shared" si="26"/>
        <v/>
      </c>
      <c r="CD41" s="127" t="str">
        <f t="shared" si="26"/>
        <v/>
      </c>
    </row>
    <row r="42" spans="1:82" ht="12.6" hidden="1" customHeight="1" x14ac:dyDescent="0.2">
      <c r="A42" s="106">
        <f>SHIPMENTS!A48</f>
        <v>9288</v>
      </c>
      <c r="B42" s="106" t="str">
        <f>SHIPMENTS!B48</f>
        <v>12100-HOLLAND HALU</v>
      </c>
      <c r="C42" s="132">
        <f>SHIPMENTS!F48</f>
        <v>0</v>
      </c>
      <c r="D42" s="107" t="str">
        <f>IF((SHIPMENTS!I48)=0,"",SHIPMENTS!I48)</f>
        <v/>
      </c>
      <c r="E42" s="176">
        <f>IF((SHIPMENTS!G48)=0,"",SHIPMENTS!G48)</f>
        <v>46339</v>
      </c>
      <c r="F42" s="98">
        <f>VLOOKUP(A42,load!$A$4:$U$5001,20,0)</f>
        <v>0</v>
      </c>
      <c r="G42" s="109">
        <f>Manhours!$C$7</f>
        <v>9</v>
      </c>
      <c r="H42" s="98">
        <f t="shared" si="16"/>
        <v>81.899999999999991</v>
      </c>
      <c r="I42" s="99">
        <f t="shared" si="17"/>
        <v>0</v>
      </c>
      <c r="J42" s="99">
        <f t="shared" si="18"/>
        <v>0</v>
      </c>
      <c r="K42" s="110">
        <f t="shared" si="19"/>
        <v>0</v>
      </c>
      <c r="L42" s="98">
        <f t="shared" si="20"/>
        <v>0</v>
      </c>
      <c r="M42" s="181">
        <f t="shared" si="21"/>
        <v>46314.435162210015</v>
      </c>
      <c r="N42" s="181">
        <f t="shared" si="22"/>
        <v>46314.435162210015</v>
      </c>
      <c r="O42" s="112" t="str">
        <f>VLOOKUP(A42,SHIPMENTS!$A$7:$AP$76,11,0)</f>
        <v>n/a</v>
      </c>
      <c r="P42" s="101"/>
      <c r="Q42" s="127" t="str">
        <f t="shared" si="27"/>
        <v/>
      </c>
      <c r="R42" s="127" t="str">
        <f t="shared" si="27"/>
        <v/>
      </c>
      <c r="S42" s="127" t="str">
        <f t="shared" si="27"/>
        <v/>
      </c>
      <c r="T42" s="127" t="str">
        <f t="shared" si="27"/>
        <v/>
      </c>
      <c r="U42" s="127" t="str">
        <f t="shared" si="27"/>
        <v/>
      </c>
      <c r="V42" s="127" t="str">
        <f t="shared" si="27"/>
        <v/>
      </c>
      <c r="W42" s="127" t="str">
        <f t="shared" si="27"/>
        <v/>
      </c>
      <c r="X42" s="127" t="str">
        <f t="shared" si="27"/>
        <v/>
      </c>
      <c r="Y42" s="127" t="str">
        <f t="shared" si="27"/>
        <v/>
      </c>
      <c r="Z42" s="127" t="str">
        <f t="shared" si="27"/>
        <v/>
      </c>
      <c r="AA42" s="127" t="str">
        <f t="shared" si="27"/>
        <v/>
      </c>
      <c r="AB42" s="127" t="str">
        <f t="shared" si="27"/>
        <v/>
      </c>
      <c r="AC42" s="127" t="str">
        <f t="shared" si="27"/>
        <v/>
      </c>
      <c r="AD42" s="127" t="str">
        <f t="shared" si="27"/>
        <v/>
      </c>
      <c r="AE42" s="127" t="str">
        <f t="shared" si="27"/>
        <v/>
      </c>
      <c r="AF42" s="127" t="str">
        <f t="shared" si="27"/>
        <v/>
      </c>
      <c r="AG42" s="127" t="str">
        <f t="shared" si="25"/>
        <v/>
      </c>
      <c r="AH42" s="127" t="str">
        <f t="shared" si="25"/>
        <v/>
      </c>
      <c r="AI42" s="127" t="str">
        <f t="shared" si="25"/>
        <v/>
      </c>
      <c r="AJ42" s="127" t="str">
        <f t="shared" si="25"/>
        <v/>
      </c>
      <c r="AK42" s="127" t="str">
        <f t="shared" si="25"/>
        <v/>
      </c>
      <c r="AL42" s="127" t="str">
        <f t="shared" si="25"/>
        <v/>
      </c>
      <c r="AM42" s="127" t="str">
        <f t="shared" si="25"/>
        <v>▲</v>
      </c>
      <c r="AN42" s="127" t="str">
        <f t="shared" si="25"/>
        <v/>
      </c>
      <c r="AO42" s="127" t="str">
        <f t="shared" si="25"/>
        <v/>
      </c>
      <c r="AP42" s="127" t="str">
        <f t="shared" si="25"/>
        <v/>
      </c>
      <c r="AQ42" s="127" t="str">
        <f t="shared" si="25"/>
        <v/>
      </c>
      <c r="AR42" s="127" t="str">
        <f t="shared" si="25"/>
        <v/>
      </c>
      <c r="AS42" s="127" t="str">
        <f t="shared" si="25"/>
        <v/>
      </c>
      <c r="AT42" s="127" t="str">
        <f t="shared" si="25"/>
        <v/>
      </c>
      <c r="AU42" s="127" t="str">
        <f t="shared" si="25"/>
        <v/>
      </c>
      <c r="AV42" s="127" t="str">
        <f t="shared" si="25"/>
        <v/>
      </c>
      <c r="AW42" s="127" t="str">
        <f t="shared" si="23"/>
        <v/>
      </c>
      <c r="AX42" s="127" t="str">
        <f t="shared" si="23"/>
        <v/>
      </c>
      <c r="AY42" s="127" t="str">
        <f t="shared" si="23"/>
        <v/>
      </c>
      <c r="AZ42" s="127" t="str">
        <f t="shared" si="23"/>
        <v/>
      </c>
      <c r="BA42" s="127" t="str">
        <f t="shared" si="24"/>
        <v/>
      </c>
      <c r="BB42" s="127" t="str">
        <f t="shared" si="24"/>
        <v/>
      </c>
      <c r="BC42" s="127" t="str">
        <f t="shared" si="24"/>
        <v/>
      </c>
      <c r="BD42" s="127" t="str">
        <f t="shared" si="24"/>
        <v/>
      </c>
      <c r="BE42" s="127" t="str">
        <f t="shared" si="24"/>
        <v/>
      </c>
      <c r="BF42" s="127" t="str">
        <f t="shared" si="24"/>
        <v/>
      </c>
      <c r="BG42" s="127" t="str">
        <f t="shared" si="24"/>
        <v/>
      </c>
      <c r="BH42" s="127" t="str">
        <f t="shared" si="24"/>
        <v/>
      </c>
      <c r="BI42" s="127" t="str">
        <f t="shared" si="24"/>
        <v/>
      </c>
      <c r="BJ42" s="127" t="str">
        <f t="shared" si="24"/>
        <v/>
      </c>
      <c r="BK42" s="127" t="str">
        <f t="shared" si="24"/>
        <v/>
      </c>
      <c r="BL42" s="127" t="str">
        <f t="shared" si="24"/>
        <v/>
      </c>
      <c r="BM42" s="127" t="str">
        <f t="shared" si="24"/>
        <v/>
      </c>
      <c r="BN42" s="127" t="str">
        <f t="shared" si="24"/>
        <v/>
      </c>
      <c r="BO42" s="127" t="str">
        <f t="shared" si="24"/>
        <v/>
      </c>
      <c r="BP42" s="127" t="str">
        <f t="shared" si="24"/>
        <v/>
      </c>
      <c r="BQ42" s="127" t="str">
        <f t="shared" si="26"/>
        <v/>
      </c>
      <c r="BR42" s="127" t="str">
        <f t="shared" si="26"/>
        <v/>
      </c>
      <c r="BS42" s="127" t="str">
        <f t="shared" si="26"/>
        <v/>
      </c>
      <c r="BT42" s="127" t="str">
        <f t="shared" si="26"/>
        <v/>
      </c>
      <c r="BU42" s="127" t="str">
        <f t="shared" si="26"/>
        <v/>
      </c>
      <c r="BV42" s="127" t="str">
        <f t="shared" si="26"/>
        <v/>
      </c>
      <c r="BW42" s="127" t="str">
        <f t="shared" si="26"/>
        <v/>
      </c>
      <c r="BX42" s="127" t="str">
        <f t="shared" si="26"/>
        <v/>
      </c>
      <c r="BY42" s="127" t="str">
        <f t="shared" si="26"/>
        <v/>
      </c>
      <c r="BZ42" s="127" t="str">
        <f t="shared" si="26"/>
        <v/>
      </c>
      <c r="CA42" s="127" t="str">
        <f t="shared" si="26"/>
        <v/>
      </c>
      <c r="CB42" s="127" t="str">
        <f t="shared" si="26"/>
        <v/>
      </c>
      <c r="CC42" s="127" t="str">
        <f t="shared" si="26"/>
        <v/>
      </c>
      <c r="CD42" s="127" t="str">
        <f t="shared" si="26"/>
        <v/>
      </c>
    </row>
    <row r="43" spans="1:82" ht="12.6" customHeight="1" x14ac:dyDescent="0.2">
      <c r="A43" s="106" t="str">
        <f>SHIPMENTS!A49</f>
        <v>SSE BACKLOG</v>
      </c>
      <c r="B43" s="106" t="str">
        <f>SHIPMENTS!B49</f>
        <v>11500-SAWO SAUNA EUROPE BV</v>
      </c>
      <c r="C43" s="132">
        <f>SHIPMENTS!F49</f>
        <v>0</v>
      </c>
      <c r="D43" s="107" t="str">
        <f>IF((SHIPMENTS!I49)=0,"",SHIPMENTS!I49)</f>
        <v/>
      </c>
      <c r="E43" s="176">
        <f>IF((SHIPMENTS!G49)=0,"",SHIPMENTS!G49)</f>
        <v>46339</v>
      </c>
      <c r="F43" s="98">
        <f>VLOOKUP(A43,load!$A$4:$U$5001,20,0)</f>
        <v>343.57749999999999</v>
      </c>
      <c r="G43" s="109">
        <f>Manhours!$C$7</f>
        <v>9</v>
      </c>
      <c r="H43" s="98">
        <f t="shared" si="16"/>
        <v>81.899999999999991</v>
      </c>
      <c r="I43" s="99">
        <f t="shared" si="17"/>
        <v>4.1950854700854707</v>
      </c>
      <c r="J43" s="99">
        <f t="shared" si="18"/>
        <v>38.175277777777779</v>
      </c>
      <c r="K43" s="110">
        <f t="shared" si="19"/>
        <v>0.16780341880341876</v>
      </c>
      <c r="L43" s="98">
        <f t="shared" si="20"/>
        <v>1.5270111111111149</v>
      </c>
      <c r="M43" s="181">
        <f t="shared" si="21"/>
        <v>46314.435162210015</v>
      </c>
      <c r="N43" s="181">
        <f t="shared" si="22"/>
        <v>46314.602965628816</v>
      </c>
      <c r="O43" s="112">
        <f>VLOOKUP(A43,SHIPMENTS!$A$7:$AP$76,11,0)</f>
        <v>0.96</v>
      </c>
      <c r="P43" s="101"/>
      <c r="Q43" s="127" t="str">
        <f t="shared" si="27"/>
        <v/>
      </c>
      <c r="R43" s="127" t="str">
        <f t="shared" si="27"/>
        <v/>
      </c>
      <c r="S43" s="127" t="str">
        <f t="shared" si="27"/>
        <v/>
      </c>
      <c r="T43" s="127" t="str">
        <f t="shared" si="27"/>
        <v/>
      </c>
      <c r="U43" s="127" t="str">
        <f t="shared" si="27"/>
        <v/>
      </c>
      <c r="V43" s="127" t="str">
        <f t="shared" si="27"/>
        <v/>
      </c>
      <c r="W43" s="127" t="str">
        <f t="shared" si="27"/>
        <v/>
      </c>
      <c r="X43" s="127" t="str">
        <f t="shared" si="27"/>
        <v/>
      </c>
      <c r="Y43" s="127" t="str">
        <f t="shared" si="27"/>
        <v/>
      </c>
      <c r="Z43" s="127" t="str">
        <f t="shared" si="27"/>
        <v/>
      </c>
      <c r="AA43" s="127" t="str">
        <f t="shared" si="27"/>
        <v/>
      </c>
      <c r="AB43" s="127" t="str">
        <f t="shared" si="27"/>
        <v/>
      </c>
      <c r="AC43" s="127" t="str">
        <f t="shared" si="27"/>
        <v/>
      </c>
      <c r="AD43" s="127" t="str">
        <f t="shared" si="27"/>
        <v/>
      </c>
      <c r="AE43" s="127" t="str">
        <f t="shared" si="27"/>
        <v/>
      </c>
      <c r="AF43" s="127" t="str">
        <f t="shared" si="27"/>
        <v/>
      </c>
      <c r="AG43" s="127" t="str">
        <f t="shared" si="25"/>
        <v/>
      </c>
      <c r="AH43" s="127" t="str">
        <f t="shared" si="25"/>
        <v/>
      </c>
      <c r="AI43" s="127" t="str">
        <f t="shared" si="25"/>
        <v/>
      </c>
      <c r="AJ43" s="127" t="str">
        <f t="shared" si="25"/>
        <v/>
      </c>
      <c r="AK43" s="127" t="str">
        <f t="shared" si="25"/>
        <v/>
      </c>
      <c r="AL43" s="127" t="str">
        <f t="shared" si="25"/>
        <v/>
      </c>
      <c r="AM43" s="127" t="str">
        <f t="shared" si="25"/>
        <v>▲</v>
      </c>
      <c r="AN43" s="127" t="str">
        <f t="shared" si="25"/>
        <v/>
      </c>
      <c r="AO43" s="127" t="str">
        <f t="shared" si="25"/>
        <v/>
      </c>
      <c r="AP43" s="127" t="str">
        <f t="shared" si="25"/>
        <v/>
      </c>
      <c r="AQ43" s="127" t="str">
        <f t="shared" si="25"/>
        <v/>
      </c>
      <c r="AR43" s="127" t="str">
        <f t="shared" si="25"/>
        <v/>
      </c>
      <c r="AS43" s="127" t="str">
        <f t="shared" si="25"/>
        <v/>
      </c>
      <c r="AT43" s="127" t="str">
        <f t="shared" si="25"/>
        <v/>
      </c>
      <c r="AU43" s="127" t="str">
        <f t="shared" si="25"/>
        <v/>
      </c>
      <c r="AV43" s="127" t="str">
        <f t="shared" si="25"/>
        <v/>
      </c>
      <c r="AW43" s="127" t="str">
        <f t="shared" si="23"/>
        <v/>
      </c>
      <c r="AX43" s="127" t="str">
        <f t="shared" si="23"/>
        <v/>
      </c>
      <c r="AY43" s="127" t="str">
        <f t="shared" si="23"/>
        <v/>
      </c>
      <c r="AZ43" s="127" t="str">
        <f t="shared" si="23"/>
        <v/>
      </c>
      <c r="BA43" s="127" t="str">
        <f t="shared" si="24"/>
        <v/>
      </c>
      <c r="BB43" s="127" t="str">
        <f t="shared" si="24"/>
        <v/>
      </c>
      <c r="BC43" s="127" t="str">
        <f t="shared" si="24"/>
        <v/>
      </c>
      <c r="BD43" s="127" t="str">
        <f t="shared" si="24"/>
        <v/>
      </c>
      <c r="BE43" s="127" t="str">
        <f t="shared" si="24"/>
        <v/>
      </c>
      <c r="BF43" s="127" t="str">
        <f t="shared" si="24"/>
        <v/>
      </c>
      <c r="BG43" s="127" t="str">
        <f t="shared" si="24"/>
        <v/>
      </c>
      <c r="BH43" s="127" t="str">
        <f t="shared" si="24"/>
        <v/>
      </c>
      <c r="BI43" s="127" t="str">
        <f t="shared" si="24"/>
        <v/>
      </c>
      <c r="BJ43" s="127" t="str">
        <f t="shared" si="24"/>
        <v/>
      </c>
      <c r="BK43" s="127" t="str">
        <f t="shared" si="24"/>
        <v/>
      </c>
      <c r="BL43" s="127" t="str">
        <f t="shared" si="24"/>
        <v/>
      </c>
      <c r="BM43" s="127" t="str">
        <f t="shared" si="24"/>
        <v/>
      </c>
      <c r="BN43" s="127" t="str">
        <f t="shared" si="24"/>
        <v/>
      </c>
      <c r="BO43" s="127" t="str">
        <f t="shared" si="24"/>
        <v/>
      </c>
      <c r="BP43" s="127" t="str">
        <f t="shared" si="24"/>
        <v/>
      </c>
      <c r="BQ43" s="127" t="str">
        <f t="shared" si="26"/>
        <v/>
      </c>
      <c r="BR43" s="127" t="str">
        <f t="shared" si="26"/>
        <v/>
      </c>
      <c r="BS43" s="127" t="str">
        <f t="shared" si="26"/>
        <v/>
      </c>
      <c r="BT43" s="127" t="str">
        <f t="shared" si="26"/>
        <v/>
      </c>
      <c r="BU43" s="127" t="str">
        <f t="shared" si="26"/>
        <v/>
      </c>
      <c r="BV43" s="127" t="str">
        <f t="shared" si="26"/>
        <v/>
      </c>
      <c r="BW43" s="127" t="str">
        <f t="shared" si="26"/>
        <v/>
      </c>
      <c r="BX43" s="127" t="str">
        <f t="shared" si="26"/>
        <v/>
      </c>
      <c r="BY43" s="127" t="str">
        <f t="shared" si="26"/>
        <v/>
      </c>
      <c r="BZ43" s="127" t="str">
        <f t="shared" si="26"/>
        <v/>
      </c>
      <c r="CA43" s="127" t="str">
        <f t="shared" si="26"/>
        <v/>
      </c>
      <c r="CB43" s="127" t="str">
        <f t="shared" si="26"/>
        <v/>
      </c>
      <c r="CC43" s="127" t="str">
        <f t="shared" si="26"/>
        <v/>
      </c>
      <c r="CD43" s="127" t="str">
        <f t="shared" si="26"/>
        <v/>
      </c>
    </row>
    <row r="44" spans="1:82" ht="12.6" customHeight="1" x14ac:dyDescent="0.2">
      <c r="A44" s="106">
        <f>SHIPMENTS!A50</f>
        <v>9113</v>
      </c>
      <c r="B44" s="106" t="str">
        <f>SHIPMENTS!B50</f>
        <v>15900- Mandaue |Stephen Chian</v>
      </c>
      <c r="C44" s="132">
        <f>SHIPMENTS!F50</f>
        <v>0.34</v>
      </c>
      <c r="D44" s="107" t="str">
        <f>IF((SHIPMENTS!I50)=0,"",SHIPMENTS!I50)</f>
        <v/>
      </c>
      <c r="E44" s="176">
        <f>IF((SHIPMENTS!G50)=0,"",SHIPMENTS!G50)</f>
        <v>46351</v>
      </c>
      <c r="F44" s="98">
        <f>VLOOKUP(A44,load!$A$4:$U$5001,20,0)</f>
        <v>3.0668333333333333</v>
      </c>
      <c r="G44" s="109">
        <f>Manhours!$C$7</f>
        <v>9</v>
      </c>
      <c r="H44" s="98">
        <f t="shared" si="16"/>
        <v>81.899999999999991</v>
      </c>
      <c r="I44" s="99">
        <f t="shared" si="17"/>
        <v>3.7446072446072447E-2</v>
      </c>
      <c r="J44" s="99">
        <f t="shared" si="18"/>
        <v>0.34075925925925926</v>
      </c>
      <c r="K44" s="110">
        <f t="shared" si="19"/>
        <v>0</v>
      </c>
      <c r="L44" s="98">
        <f t="shared" si="20"/>
        <v>0</v>
      </c>
      <c r="M44" s="181">
        <f t="shared" si="21"/>
        <v>46314.602965628816</v>
      </c>
      <c r="N44" s="181">
        <f t="shared" si="22"/>
        <v>46314.602965628816</v>
      </c>
      <c r="O44" s="112">
        <f>VLOOKUP(A44,SHIPMENTS!$A$7:$AP$76,11,0)</f>
        <v>1</v>
      </c>
      <c r="P44" s="101"/>
      <c r="Q44" s="127" t="str">
        <f t="shared" si="27"/>
        <v/>
      </c>
      <c r="R44" s="127" t="str">
        <f t="shared" si="27"/>
        <v/>
      </c>
      <c r="S44" s="127" t="str">
        <f t="shared" si="27"/>
        <v/>
      </c>
      <c r="T44" s="127" t="str">
        <f t="shared" si="27"/>
        <v/>
      </c>
      <c r="U44" s="127" t="str">
        <f t="shared" si="27"/>
        <v/>
      </c>
      <c r="V44" s="127" t="str">
        <f t="shared" si="27"/>
        <v/>
      </c>
      <c r="W44" s="127" t="str">
        <f t="shared" si="27"/>
        <v/>
      </c>
      <c r="X44" s="127" t="str">
        <f t="shared" si="27"/>
        <v/>
      </c>
      <c r="Y44" s="127" t="str">
        <f t="shared" si="27"/>
        <v/>
      </c>
      <c r="Z44" s="127" t="str">
        <f t="shared" si="27"/>
        <v/>
      </c>
      <c r="AA44" s="127" t="str">
        <f t="shared" si="27"/>
        <v/>
      </c>
      <c r="AB44" s="127" t="str">
        <f t="shared" si="27"/>
        <v/>
      </c>
      <c r="AC44" s="127" t="str">
        <f t="shared" si="27"/>
        <v/>
      </c>
      <c r="AD44" s="127" t="str">
        <f t="shared" si="27"/>
        <v/>
      </c>
      <c r="AE44" s="127" t="str">
        <f t="shared" si="27"/>
        <v/>
      </c>
      <c r="AF44" s="127" t="str">
        <f t="shared" si="27"/>
        <v/>
      </c>
      <c r="AG44" s="127" t="str">
        <f t="shared" si="25"/>
        <v/>
      </c>
      <c r="AH44" s="127" t="str">
        <f t="shared" si="25"/>
        <v/>
      </c>
      <c r="AI44" s="127" t="str">
        <f t="shared" si="25"/>
        <v/>
      </c>
      <c r="AJ44" s="127" t="str">
        <f t="shared" si="25"/>
        <v/>
      </c>
      <c r="AK44" s="127" t="str">
        <f t="shared" si="25"/>
        <v/>
      </c>
      <c r="AL44" s="127" t="str">
        <f t="shared" si="25"/>
        <v/>
      </c>
      <c r="AM44" s="127" t="str">
        <f t="shared" si="25"/>
        <v/>
      </c>
      <c r="AN44" s="127" t="str">
        <f t="shared" si="25"/>
        <v/>
      </c>
      <c r="AO44" s="127" t="str">
        <f t="shared" si="25"/>
        <v/>
      </c>
      <c r="AP44" s="127" t="str">
        <f t="shared" si="25"/>
        <v/>
      </c>
      <c r="AQ44" s="127" t="str">
        <f t="shared" si="25"/>
        <v/>
      </c>
      <c r="AR44" s="127" t="str">
        <f t="shared" si="25"/>
        <v/>
      </c>
      <c r="AS44" s="127" t="str">
        <f t="shared" si="25"/>
        <v/>
      </c>
      <c r="AT44" s="127" t="str">
        <f t="shared" si="25"/>
        <v/>
      </c>
      <c r="AU44" s="127" t="str">
        <f t="shared" si="25"/>
        <v/>
      </c>
      <c r="AV44" s="127" t="str">
        <f t="shared" si="25"/>
        <v/>
      </c>
      <c r="AW44" s="127" t="str">
        <f t="shared" si="23"/>
        <v>▲</v>
      </c>
      <c r="AX44" s="127" t="str">
        <f t="shared" si="23"/>
        <v/>
      </c>
      <c r="AY44" s="127" t="str">
        <f t="shared" si="23"/>
        <v/>
      </c>
      <c r="AZ44" s="127" t="str">
        <f t="shared" si="23"/>
        <v/>
      </c>
      <c r="BA44" s="127" t="str">
        <f t="shared" si="24"/>
        <v/>
      </c>
      <c r="BB44" s="127" t="str">
        <f t="shared" si="24"/>
        <v/>
      </c>
      <c r="BC44" s="127" t="str">
        <f t="shared" si="24"/>
        <v/>
      </c>
      <c r="BD44" s="127" t="str">
        <f t="shared" si="24"/>
        <v/>
      </c>
      <c r="BE44" s="127" t="str">
        <f t="shared" si="24"/>
        <v/>
      </c>
      <c r="BF44" s="127" t="str">
        <f t="shared" si="24"/>
        <v/>
      </c>
      <c r="BG44" s="127" t="str">
        <f t="shared" si="24"/>
        <v/>
      </c>
      <c r="BH44" s="127" t="str">
        <f t="shared" si="24"/>
        <v/>
      </c>
      <c r="BI44" s="127" t="str">
        <f t="shared" si="24"/>
        <v/>
      </c>
      <c r="BJ44" s="127" t="str">
        <f t="shared" si="24"/>
        <v/>
      </c>
      <c r="BK44" s="127" t="str">
        <f t="shared" si="24"/>
        <v/>
      </c>
      <c r="BL44" s="127" t="str">
        <f t="shared" si="24"/>
        <v/>
      </c>
      <c r="BM44" s="127" t="str">
        <f t="shared" si="24"/>
        <v/>
      </c>
      <c r="BN44" s="127" t="str">
        <f t="shared" si="24"/>
        <v/>
      </c>
      <c r="BO44" s="127" t="str">
        <f t="shared" si="24"/>
        <v/>
      </c>
      <c r="BP44" s="127" t="str">
        <f t="shared" si="24"/>
        <v/>
      </c>
      <c r="BQ44" s="127" t="str">
        <f t="shared" si="26"/>
        <v/>
      </c>
      <c r="BR44" s="127" t="str">
        <f t="shared" si="26"/>
        <v/>
      </c>
      <c r="BS44" s="127" t="str">
        <f t="shared" si="26"/>
        <v/>
      </c>
      <c r="BT44" s="127" t="str">
        <f t="shared" si="26"/>
        <v/>
      </c>
      <c r="BU44" s="127" t="str">
        <f t="shared" si="26"/>
        <v/>
      </c>
      <c r="BV44" s="127" t="str">
        <f t="shared" si="26"/>
        <v/>
      </c>
      <c r="BW44" s="127" t="str">
        <f t="shared" si="26"/>
        <v/>
      </c>
      <c r="BX44" s="127" t="str">
        <f t="shared" si="26"/>
        <v/>
      </c>
      <c r="BY44" s="127" t="str">
        <f t="shared" si="26"/>
        <v/>
      </c>
      <c r="BZ44" s="127" t="str">
        <f t="shared" si="26"/>
        <v/>
      </c>
      <c r="CA44" s="127" t="str">
        <f t="shared" si="26"/>
        <v/>
      </c>
      <c r="CB44" s="127" t="str">
        <f t="shared" si="26"/>
        <v/>
      </c>
      <c r="CC44" s="127" t="str">
        <f t="shared" si="26"/>
        <v/>
      </c>
      <c r="CD44" s="127" t="str">
        <f t="shared" si="26"/>
        <v/>
      </c>
    </row>
    <row r="45" spans="1:82" ht="12.6" customHeight="1" x14ac:dyDescent="0.2">
      <c r="A45" s="106">
        <f>SHIPMENTS!A51</f>
        <v>8938</v>
      </c>
      <c r="B45" s="106" t="str">
        <f>SHIPMENTS!B51</f>
        <v>9600-NEW ZEALAND</v>
      </c>
      <c r="C45" s="132">
        <f>SHIPMENTS!F51</f>
        <v>36.496094285714285</v>
      </c>
      <c r="D45" s="107" t="str">
        <f>IF((SHIPMENTS!I51)=0,"",SHIPMENTS!I51)</f>
        <v>1X20</v>
      </c>
      <c r="E45" s="176" t="str">
        <f>IF((SHIPMENTS!G51)=0,"",SHIPMENTS!G51)</f>
        <v>TBA</v>
      </c>
      <c r="F45" s="98">
        <f>VLOOKUP(A45,load!$A$4:$U$5001,20,0)</f>
        <v>40.545000000000002</v>
      </c>
      <c r="G45" s="109">
        <f>Manhours!$C$7</f>
        <v>9</v>
      </c>
      <c r="H45" s="98">
        <f t="shared" si="16"/>
        <v>81.899999999999991</v>
      </c>
      <c r="I45" s="99">
        <f t="shared" si="17"/>
        <v>0.49505494505494513</v>
      </c>
      <c r="J45" s="99">
        <f t="shared" si="18"/>
        <v>4.5050000000000008</v>
      </c>
      <c r="K45" s="110">
        <f t="shared" si="19"/>
        <v>1.980219780219783E-2</v>
      </c>
      <c r="L45" s="98">
        <f t="shared" si="20"/>
        <v>0.18020000000000014</v>
      </c>
      <c r="M45" s="181">
        <f t="shared" si="21"/>
        <v>46314.602965628816</v>
      </c>
      <c r="N45" s="181">
        <f t="shared" si="22"/>
        <v>46314.622767826615</v>
      </c>
      <c r="O45" s="112">
        <f>VLOOKUP(A45,SHIPMENTS!$A$7:$AP$76,11,0)</f>
        <v>0.96</v>
      </c>
      <c r="P45" s="101"/>
      <c r="Q45" s="127" t="str">
        <f t="shared" si="27"/>
        <v/>
      </c>
      <c r="R45" s="127" t="str">
        <f t="shared" si="27"/>
        <v/>
      </c>
      <c r="S45" s="127" t="str">
        <f t="shared" si="27"/>
        <v/>
      </c>
      <c r="T45" s="127" t="str">
        <f t="shared" si="27"/>
        <v/>
      </c>
      <c r="U45" s="127" t="str">
        <f t="shared" si="27"/>
        <v/>
      </c>
      <c r="V45" s="127" t="str">
        <f t="shared" si="27"/>
        <v/>
      </c>
      <c r="W45" s="127" t="str">
        <f t="shared" si="27"/>
        <v/>
      </c>
      <c r="X45" s="127" t="str">
        <f t="shared" si="27"/>
        <v/>
      </c>
      <c r="Y45" s="127" t="str">
        <f t="shared" si="27"/>
        <v/>
      </c>
      <c r="Z45" s="127" t="str">
        <f t="shared" si="27"/>
        <v/>
      </c>
      <c r="AA45" s="127" t="str">
        <f t="shared" si="27"/>
        <v/>
      </c>
      <c r="AB45" s="127" t="str">
        <f t="shared" si="27"/>
        <v/>
      </c>
      <c r="AC45" s="127" t="str">
        <f t="shared" si="27"/>
        <v/>
      </c>
      <c r="AD45" s="127" t="str">
        <f t="shared" si="27"/>
        <v/>
      </c>
      <c r="AE45" s="127" t="str">
        <f t="shared" si="27"/>
        <v/>
      </c>
      <c r="AF45" s="127" t="str">
        <f t="shared" si="27"/>
        <v/>
      </c>
      <c r="AG45" s="127" t="str">
        <f t="shared" si="25"/>
        <v/>
      </c>
      <c r="AH45" s="127" t="str">
        <f t="shared" si="25"/>
        <v/>
      </c>
      <c r="AI45" s="127" t="str">
        <f t="shared" si="25"/>
        <v/>
      </c>
      <c r="AJ45" s="127" t="str">
        <f t="shared" si="25"/>
        <v/>
      </c>
      <c r="AK45" s="127" t="str">
        <f t="shared" si="25"/>
        <v/>
      </c>
      <c r="AL45" s="127" t="str">
        <f t="shared" si="25"/>
        <v/>
      </c>
      <c r="AM45" s="127" t="str">
        <f t="shared" si="25"/>
        <v/>
      </c>
      <c r="AN45" s="127" t="str">
        <f t="shared" si="25"/>
        <v/>
      </c>
      <c r="AO45" s="127" t="str">
        <f t="shared" si="25"/>
        <v/>
      </c>
      <c r="AP45" s="127" t="str">
        <f t="shared" si="25"/>
        <v/>
      </c>
      <c r="AQ45" s="127" t="str">
        <f t="shared" si="25"/>
        <v/>
      </c>
      <c r="AR45" s="127" t="str">
        <f t="shared" si="25"/>
        <v/>
      </c>
      <c r="AS45" s="127" t="str">
        <f t="shared" si="25"/>
        <v/>
      </c>
      <c r="AT45" s="127" t="str">
        <f t="shared" si="25"/>
        <v/>
      </c>
      <c r="AU45" s="127" t="str">
        <f t="shared" si="25"/>
        <v/>
      </c>
      <c r="AV45" s="127" t="str">
        <f t="shared" si="25"/>
        <v/>
      </c>
      <c r="AW45" s="127" t="str">
        <f t="shared" si="23"/>
        <v/>
      </c>
      <c r="AX45" s="127" t="str">
        <f t="shared" si="23"/>
        <v/>
      </c>
      <c r="AY45" s="127" t="str">
        <f t="shared" si="23"/>
        <v/>
      </c>
      <c r="AZ45" s="127" t="str">
        <f t="shared" si="23"/>
        <v/>
      </c>
      <c r="BA45" s="127" t="str">
        <f t="shared" si="24"/>
        <v/>
      </c>
      <c r="BB45" s="127" t="str">
        <f t="shared" si="24"/>
        <v/>
      </c>
      <c r="BC45" s="127" t="str">
        <f t="shared" si="24"/>
        <v/>
      </c>
      <c r="BD45" s="127" t="str">
        <f t="shared" si="24"/>
        <v/>
      </c>
      <c r="BE45" s="127" t="str">
        <f t="shared" si="24"/>
        <v/>
      </c>
      <c r="BF45" s="127" t="str">
        <f t="shared" si="24"/>
        <v/>
      </c>
      <c r="BG45" s="127" t="str">
        <f t="shared" si="24"/>
        <v/>
      </c>
      <c r="BH45" s="127" t="str">
        <f t="shared" si="24"/>
        <v/>
      </c>
      <c r="BI45" s="127" t="str">
        <f t="shared" si="24"/>
        <v/>
      </c>
      <c r="BJ45" s="127" t="str">
        <f t="shared" si="24"/>
        <v/>
      </c>
      <c r="BK45" s="127" t="str">
        <f t="shared" si="24"/>
        <v/>
      </c>
      <c r="BL45" s="127" t="str">
        <f t="shared" si="24"/>
        <v/>
      </c>
      <c r="BM45" s="127" t="str">
        <f t="shared" si="24"/>
        <v/>
      </c>
      <c r="BN45" s="127" t="str">
        <f t="shared" si="24"/>
        <v/>
      </c>
      <c r="BO45" s="127" t="str">
        <f t="shared" si="24"/>
        <v/>
      </c>
      <c r="BP45" s="127" t="str">
        <f t="shared" si="24"/>
        <v/>
      </c>
      <c r="BQ45" s="127" t="str">
        <f t="shared" si="26"/>
        <v/>
      </c>
      <c r="BR45" s="127" t="str">
        <f t="shared" si="26"/>
        <v/>
      </c>
      <c r="BS45" s="127" t="str">
        <f t="shared" si="26"/>
        <v/>
      </c>
      <c r="BT45" s="127" t="str">
        <f t="shared" si="26"/>
        <v/>
      </c>
      <c r="BU45" s="127" t="str">
        <f t="shared" si="26"/>
        <v/>
      </c>
      <c r="BV45" s="127" t="str">
        <f t="shared" si="26"/>
        <v/>
      </c>
      <c r="BW45" s="127" t="str">
        <f t="shared" si="26"/>
        <v/>
      </c>
      <c r="BX45" s="127" t="str">
        <f t="shared" si="26"/>
        <v/>
      </c>
      <c r="BY45" s="127" t="str">
        <f t="shared" si="26"/>
        <v/>
      </c>
      <c r="BZ45" s="127" t="str">
        <f t="shared" si="26"/>
        <v/>
      </c>
      <c r="CA45" s="127" t="str">
        <f t="shared" si="26"/>
        <v/>
      </c>
      <c r="CB45" s="127" t="str">
        <f t="shared" si="26"/>
        <v/>
      </c>
      <c r="CC45" s="127" t="str">
        <f t="shared" si="26"/>
        <v/>
      </c>
      <c r="CD45" s="127" t="str">
        <f t="shared" si="26"/>
        <v/>
      </c>
    </row>
    <row r="46" spans="1:82" ht="12.6" customHeight="1" x14ac:dyDescent="0.2">
      <c r="A46" s="106">
        <f>SHIPMENTS!A52</f>
        <v>9153</v>
      </c>
      <c r="B46" s="106" t="str">
        <f>SHIPMENTS!B52</f>
        <v>9600-NEW ZEALAND</v>
      </c>
      <c r="C46" s="132">
        <f>SHIPMENTS!F52</f>
        <v>0</v>
      </c>
      <c r="D46" s="107" t="str">
        <f>IF((SHIPMENTS!I52)=0,"",SHIPMENTS!I52)</f>
        <v/>
      </c>
      <c r="E46" s="176" t="str">
        <f>IF((SHIPMENTS!G52)=0,"",SHIPMENTS!G52)</f>
        <v>TBA</v>
      </c>
      <c r="F46" s="98">
        <f>VLOOKUP(A46,load!$A$4:$U$5001,20,0)</f>
        <v>0.37433333333333335</v>
      </c>
      <c r="G46" s="109">
        <f>Manhours!$C$7</f>
        <v>9</v>
      </c>
      <c r="H46" s="98">
        <f t="shared" ref="H46:H52" si="28">+G46*$H$4</f>
        <v>81.899999999999991</v>
      </c>
      <c r="I46" s="99">
        <f t="shared" ref="I46:I52" si="29">F46/H46</f>
        <v>4.570614570614571E-3</v>
      </c>
      <c r="J46" s="99">
        <f t="shared" ref="J46:J52" si="30">+I46*$H$4</f>
        <v>4.1592592592592598E-2</v>
      </c>
      <c r="K46" s="110">
        <f t="shared" ref="K46:K52" si="31">IFERROR(I46-(I46*O46),0)</f>
        <v>4.570614570614571E-3</v>
      </c>
      <c r="L46" s="98">
        <f t="shared" ref="L46:L52" si="32">IFERROR(J46-(J46*O46),0)</f>
        <v>4.1592592592592598E-2</v>
      </c>
      <c r="M46" s="181">
        <f t="shared" ref="M46:M52" si="33">N45</f>
        <v>46314.622767826615</v>
      </c>
      <c r="N46" s="181">
        <f t="shared" ref="N46:N52" si="34">M46+K46</f>
        <v>46314.627338441183</v>
      </c>
      <c r="O46" s="112">
        <f>VLOOKUP(A46,SHIPMENTS!$A$7:$AP$76,11,0)</f>
        <v>0</v>
      </c>
      <c r="P46" s="101"/>
      <c r="Q46" s="127" t="str">
        <f t="shared" si="27"/>
        <v/>
      </c>
      <c r="R46" s="127" t="str">
        <f t="shared" si="27"/>
        <v/>
      </c>
      <c r="S46" s="127" t="str">
        <f t="shared" si="27"/>
        <v/>
      </c>
      <c r="T46" s="127" t="str">
        <f t="shared" si="27"/>
        <v/>
      </c>
      <c r="U46" s="127" t="str">
        <f t="shared" si="27"/>
        <v/>
      </c>
      <c r="V46" s="127" t="str">
        <f t="shared" si="27"/>
        <v/>
      </c>
      <c r="W46" s="127" t="str">
        <f t="shared" si="27"/>
        <v/>
      </c>
      <c r="X46" s="127" t="str">
        <f t="shared" si="27"/>
        <v/>
      </c>
      <c r="Y46" s="127" t="str">
        <f t="shared" si="27"/>
        <v/>
      </c>
      <c r="Z46" s="127" t="str">
        <f t="shared" si="27"/>
        <v/>
      </c>
      <c r="AA46" s="127" t="str">
        <f t="shared" si="27"/>
        <v/>
      </c>
      <c r="AB46" s="127" t="str">
        <f t="shared" si="27"/>
        <v/>
      </c>
      <c r="AC46" s="127" t="str">
        <f t="shared" si="27"/>
        <v/>
      </c>
      <c r="AD46" s="127" t="str">
        <f t="shared" si="27"/>
        <v/>
      </c>
      <c r="AE46" s="127" t="str">
        <f t="shared" si="27"/>
        <v/>
      </c>
      <c r="AF46" s="127" t="str">
        <f t="shared" si="27"/>
        <v/>
      </c>
      <c r="AG46" s="127" t="str">
        <f t="shared" si="25"/>
        <v/>
      </c>
      <c r="AH46" s="127" t="str">
        <f t="shared" si="25"/>
        <v/>
      </c>
      <c r="AI46" s="127" t="str">
        <f t="shared" si="25"/>
        <v/>
      </c>
      <c r="AJ46" s="127" t="str">
        <f t="shared" si="25"/>
        <v/>
      </c>
      <c r="AK46" s="127" t="str">
        <f t="shared" si="25"/>
        <v/>
      </c>
      <c r="AL46" s="127" t="str">
        <f t="shared" si="25"/>
        <v/>
      </c>
      <c r="AM46" s="127" t="str">
        <f t="shared" si="25"/>
        <v/>
      </c>
      <c r="AN46" s="127" t="str">
        <f t="shared" si="25"/>
        <v/>
      </c>
      <c r="AO46" s="127" t="str">
        <f t="shared" si="25"/>
        <v/>
      </c>
      <c r="AP46" s="127" t="str">
        <f t="shared" si="25"/>
        <v/>
      </c>
      <c r="AQ46" s="127" t="str">
        <f t="shared" si="25"/>
        <v/>
      </c>
      <c r="AR46" s="127" t="str">
        <f t="shared" si="25"/>
        <v/>
      </c>
      <c r="AS46" s="127" t="str">
        <f t="shared" si="25"/>
        <v/>
      </c>
      <c r="AT46" s="127" t="str">
        <f t="shared" si="25"/>
        <v/>
      </c>
      <c r="AU46" s="127" t="str">
        <f t="shared" si="25"/>
        <v/>
      </c>
      <c r="AV46" s="127" t="str">
        <f t="shared" si="25"/>
        <v/>
      </c>
      <c r="AW46" s="127" t="str">
        <f t="shared" si="23"/>
        <v/>
      </c>
      <c r="AX46" s="127" t="str">
        <f t="shared" si="23"/>
        <v/>
      </c>
      <c r="AY46" s="127" t="str">
        <f t="shared" si="23"/>
        <v/>
      </c>
      <c r="AZ46" s="127" t="str">
        <f t="shared" si="23"/>
        <v/>
      </c>
      <c r="BA46" s="127" t="str">
        <f t="shared" si="24"/>
        <v/>
      </c>
      <c r="BB46" s="127" t="str">
        <f t="shared" si="24"/>
        <v/>
      </c>
      <c r="BC46" s="127" t="str">
        <f t="shared" si="24"/>
        <v/>
      </c>
      <c r="BD46" s="127" t="str">
        <f t="shared" si="24"/>
        <v/>
      </c>
      <c r="BE46" s="127" t="str">
        <f t="shared" si="24"/>
        <v/>
      </c>
      <c r="BF46" s="127" t="str">
        <f t="shared" si="24"/>
        <v/>
      </c>
      <c r="BG46" s="127" t="str">
        <f t="shared" si="24"/>
        <v/>
      </c>
      <c r="BH46" s="127" t="str">
        <f t="shared" si="24"/>
        <v/>
      </c>
      <c r="BI46" s="127" t="str">
        <f t="shared" si="24"/>
        <v/>
      </c>
      <c r="BJ46" s="127" t="str">
        <f t="shared" si="24"/>
        <v/>
      </c>
      <c r="BK46" s="127" t="str">
        <f t="shared" si="24"/>
        <v/>
      </c>
      <c r="BL46" s="127" t="str">
        <f t="shared" si="24"/>
        <v/>
      </c>
      <c r="BM46" s="127" t="str">
        <f t="shared" si="24"/>
        <v/>
      </c>
      <c r="BN46" s="127" t="str">
        <f t="shared" si="24"/>
        <v/>
      </c>
      <c r="BO46" s="127" t="str">
        <f t="shared" si="24"/>
        <v/>
      </c>
      <c r="BP46" s="127" t="str">
        <f t="shared" si="24"/>
        <v/>
      </c>
      <c r="BQ46" s="127" t="str">
        <f t="shared" si="26"/>
        <v/>
      </c>
      <c r="BR46" s="127" t="str">
        <f t="shared" si="26"/>
        <v/>
      </c>
      <c r="BS46" s="127" t="str">
        <f t="shared" si="26"/>
        <v/>
      </c>
      <c r="BT46" s="127" t="str">
        <f t="shared" si="26"/>
        <v/>
      </c>
      <c r="BU46" s="127" t="str">
        <f t="shared" si="26"/>
        <v/>
      </c>
      <c r="BV46" s="127" t="str">
        <f t="shared" si="26"/>
        <v/>
      </c>
      <c r="BW46" s="127" t="str">
        <f t="shared" si="26"/>
        <v/>
      </c>
      <c r="BX46" s="127" t="str">
        <f t="shared" si="26"/>
        <v/>
      </c>
      <c r="BY46" s="127" t="str">
        <f t="shared" si="26"/>
        <v/>
      </c>
      <c r="BZ46" s="127" t="str">
        <f t="shared" si="26"/>
        <v/>
      </c>
      <c r="CA46" s="127" t="str">
        <f t="shared" si="26"/>
        <v/>
      </c>
      <c r="CB46" s="127" t="str">
        <f t="shared" si="26"/>
        <v/>
      </c>
      <c r="CC46" s="127" t="str">
        <f t="shared" si="26"/>
        <v/>
      </c>
      <c r="CD46" s="127" t="str">
        <f t="shared" si="26"/>
        <v/>
      </c>
    </row>
    <row r="47" spans="1:82" ht="12.6" hidden="1" customHeight="1" x14ac:dyDescent="0.2">
      <c r="A47" s="106">
        <f>SHIPMENTS!A53</f>
        <v>8294</v>
      </c>
      <c r="B47" s="106" t="str">
        <f>SHIPMENTS!B53</f>
        <v>9600-NEW ZEALAND BACKLOG</v>
      </c>
      <c r="C47" s="132">
        <f>SHIPMENTS!F53</f>
        <v>0</v>
      </c>
      <c r="D47" s="107" t="str">
        <f>IF((SHIPMENTS!I53)=0,"",SHIPMENTS!I53)</f>
        <v/>
      </c>
      <c r="E47" s="176" t="str">
        <f>IF((SHIPMENTS!G53)=0,"",SHIPMENTS!G53)</f>
        <v>TBA</v>
      </c>
      <c r="F47" s="98">
        <f>VLOOKUP(A47,load!$A$4:$U$5001,20,0)</f>
        <v>0</v>
      </c>
      <c r="G47" s="109">
        <f>Manhours!$C$7</f>
        <v>9</v>
      </c>
      <c r="H47" s="98">
        <f t="shared" si="28"/>
        <v>81.899999999999991</v>
      </c>
      <c r="I47" s="99">
        <f t="shared" si="29"/>
        <v>0</v>
      </c>
      <c r="J47" s="99">
        <f t="shared" si="30"/>
        <v>0</v>
      </c>
      <c r="K47" s="110">
        <f t="shared" si="31"/>
        <v>0</v>
      </c>
      <c r="L47" s="98">
        <f t="shared" si="32"/>
        <v>0</v>
      </c>
      <c r="M47" s="181">
        <f t="shared" si="33"/>
        <v>46314.627338441183</v>
      </c>
      <c r="N47" s="181">
        <f t="shared" si="34"/>
        <v>46314.627338441183</v>
      </c>
      <c r="O47" s="112" t="str">
        <f>VLOOKUP(A47,SHIPMENTS!$A$7:$AP$76,11,0)</f>
        <v>n/a</v>
      </c>
      <c r="P47" s="101"/>
      <c r="Q47" s="127" t="str">
        <f t="shared" si="27"/>
        <v/>
      </c>
      <c r="R47" s="127" t="str">
        <f t="shared" si="27"/>
        <v/>
      </c>
      <c r="S47" s="127" t="str">
        <f t="shared" si="27"/>
        <v/>
      </c>
      <c r="T47" s="127" t="str">
        <f t="shared" si="27"/>
        <v/>
      </c>
      <c r="U47" s="127" t="str">
        <f t="shared" si="27"/>
        <v/>
      </c>
      <c r="V47" s="127" t="str">
        <f t="shared" si="27"/>
        <v/>
      </c>
      <c r="W47" s="127" t="str">
        <f t="shared" si="27"/>
        <v/>
      </c>
      <c r="X47" s="127" t="str">
        <f t="shared" si="27"/>
        <v/>
      </c>
      <c r="Y47" s="127" t="str">
        <f t="shared" si="27"/>
        <v/>
      </c>
      <c r="Z47" s="127" t="str">
        <f t="shared" si="27"/>
        <v/>
      </c>
      <c r="AA47" s="127" t="str">
        <f t="shared" si="27"/>
        <v/>
      </c>
      <c r="AB47" s="127" t="str">
        <f t="shared" si="27"/>
        <v/>
      </c>
      <c r="AC47" s="127" t="str">
        <f t="shared" si="27"/>
        <v/>
      </c>
      <c r="AD47" s="127" t="str">
        <f t="shared" si="27"/>
        <v/>
      </c>
      <c r="AE47" s="127" t="str">
        <f t="shared" si="27"/>
        <v/>
      </c>
      <c r="AF47" s="127" t="str">
        <f t="shared" si="27"/>
        <v/>
      </c>
      <c r="AG47" s="127" t="str">
        <f t="shared" si="25"/>
        <v/>
      </c>
      <c r="AH47" s="127" t="str">
        <f t="shared" si="25"/>
        <v/>
      </c>
      <c r="AI47" s="127" t="str">
        <f t="shared" si="25"/>
        <v/>
      </c>
      <c r="AJ47" s="127" t="str">
        <f t="shared" si="25"/>
        <v/>
      </c>
      <c r="AK47" s="127" t="str">
        <f t="shared" si="25"/>
        <v/>
      </c>
      <c r="AL47" s="127" t="str">
        <f t="shared" si="25"/>
        <v/>
      </c>
      <c r="AM47" s="127" t="str">
        <f t="shared" si="25"/>
        <v/>
      </c>
      <c r="AN47" s="127" t="str">
        <f t="shared" si="25"/>
        <v/>
      </c>
      <c r="AO47" s="127" t="str">
        <f t="shared" si="25"/>
        <v/>
      </c>
      <c r="AP47" s="127" t="str">
        <f t="shared" si="25"/>
        <v/>
      </c>
      <c r="AQ47" s="127" t="str">
        <f t="shared" si="25"/>
        <v/>
      </c>
      <c r="AR47" s="127" t="str">
        <f t="shared" si="25"/>
        <v/>
      </c>
      <c r="AS47" s="127" t="str">
        <f t="shared" si="25"/>
        <v/>
      </c>
      <c r="AT47" s="127" t="str">
        <f t="shared" si="25"/>
        <v/>
      </c>
      <c r="AU47" s="127" t="str">
        <f t="shared" si="25"/>
        <v/>
      </c>
      <c r="AV47" s="127" t="str">
        <f t="shared" si="25"/>
        <v/>
      </c>
      <c r="AW47" s="127" t="str">
        <f t="shared" si="23"/>
        <v/>
      </c>
      <c r="AX47" s="127" t="str">
        <f t="shared" si="23"/>
        <v/>
      </c>
      <c r="AY47" s="127" t="str">
        <f t="shared" si="23"/>
        <v/>
      </c>
      <c r="AZ47" s="127" t="str">
        <f t="shared" si="23"/>
        <v/>
      </c>
      <c r="BA47" s="127" t="str">
        <f t="shared" si="24"/>
        <v/>
      </c>
      <c r="BB47" s="127" t="str">
        <f t="shared" si="24"/>
        <v/>
      </c>
      <c r="BC47" s="127" t="str">
        <f t="shared" si="24"/>
        <v/>
      </c>
      <c r="BD47" s="127" t="str">
        <f t="shared" si="24"/>
        <v/>
      </c>
      <c r="BE47" s="127" t="str">
        <f t="shared" si="24"/>
        <v/>
      </c>
      <c r="BF47" s="127" t="str">
        <f t="shared" si="24"/>
        <v/>
      </c>
      <c r="BG47" s="127" t="str">
        <f t="shared" si="24"/>
        <v/>
      </c>
      <c r="BH47" s="127" t="str">
        <f t="shared" si="24"/>
        <v/>
      </c>
      <c r="BI47" s="127" t="str">
        <f t="shared" si="24"/>
        <v/>
      </c>
      <c r="BJ47" s="127" t="str">
        <f t="shared" si="24"/>
        <v/>
      </c>
      <c r="BK47" s="127" t="str">
        <f t="shared" si="24"/>
        <v/>
      </c>
      <c r="BL47" s="127" t="str">
        <f t="shared" si="24"/>
        <v/>
      </c>
      <c r="BM47" s="127" t="str">
        <f t="shared" si="24"/>
        <v/>
      </c>
      <c r="BN47" s="127" t="str">
        <f t="shared" si="24"/>
        <v/>
      </c>
      <c r="BO47" s="127" t="str">
        <f t="shared" si="24"/>
        <v/>
      </c>
      <c r="BP47" s="127" t="str">
        <f t="shared" si="24"/>
        <v/>
      </c>
      <c r="BQ47" s="127" t="str">
        <f t="shared" si="26"/>
        <v/>
      </c>
      <c r="BR47" s="127" t="str">
        <f t="shared" si="26"/>
        <v/>
      </c>
      <c r="BS47" s="127" t="str">
        <f t="shared" si="26"/>
        <v/>
      </c>
      <c r="BT47" s="127" t="str">
        <f t="shared" si="26"/>
        <v/>
      </c>
      <c r="BU47" s="127" t="str">
        <f t="shared" si="26"/>
        <v/>
      </c>
      <c r="BV47" s="127" t="str">
        <f t="shared" si="26"/>
        <v/>
      </c>
      <c r="BW47" s="127" t="str">
        <f t="shared" si="26"/>
        <v/>
      </c>
      <c r="BX47" s="127" t="str">
        <f t="shared" si="26"/>
        <v/>
      </c>
      <c r="BY47" s="127" t="str">
        <f t="shared" si="26"/>
        <v/>
      </c>
      <c r="BZ47" s="127" t="str">
        <f t="shared" si="26"/>
        <v/>
      </c>
      <c r="CA47" s="127" t="str">
        <f t="shared" si="26"/>
        <v/>
      </c>
      <c r="CB47" s="127" t="str">
        <f t="shared" si="26"/>
        <v/>
      </c>
      <c r="CC47" s="127" t="str">
        <f t="shared" si="26"/>
        <v/>
      </c>
      <c r="CD47" s="127" t="str">
        <f t="shared" si="26"/>
        <v/>
      </c>
    </row>
    <row r="48" spans="1:82" ht="12.6" hidden="1" customHeight="1" x14ac:dyDescent="0.2">
      <c r="A48" s="106">
        <f>SHIPMENTS!A54</f>
        <v>7114</v>
      </c>
      <c r="B48" s="106" t="str">
        <f>SHIPMENTS!B54</f>
        <v>9600-NEW ZEALAND BACKLOG</v>
      </c>
      <c r="C48" s="132">
        <f>SHIPMENTS!F54</f>
        <v>0</v>
      </c>
      <c r="D48" s="107" t="str">
        <f>IF((SHIPMENTS!I54)=0,"",SHIPMENTS!I54)</f>
        <v/>
      </c>
      <c r="E48" s="176" t="str">
        <f>IF((SHIPMENTS!G54)=0,"",SHIPMENTS!G54)</f>
        <v/>
      </c>
      <c r="F48" s="98">
        <f>VLOOKUP(A48,load!$A$4:$U$5001,20,0)</f>
        <v>0</v>
      </c>
      <c r="G48" s="109">
        <f>Manhours!$C$7</f>
        <v>9</v>
      </c>
      <c r="H48" s="98">
        <f t="shared" si="28"/>
        <v>81.899999999999991</v>
      </c>
      <c r="I48" s="99">
        <f t="shared" si="29"/>
        <v>0</v>
      </c>
      <c r="J48" s="99">
        <f t="shared" si="30"/>
        <v>0</v>
      </c>
      <c r="K48" s="110">
        <f t="shared" si="31"/>
        <v>0</v>
      </c>
      <c r="L48" s="98">
        <f t="shared" si="32"/>
        <v>0</v>
      </c>
      <c r="M48" s="181">
        <f t="shared" si="33"/>
        <v>46314.627338441183</v>
      </c>
      <c r="N48" s="181">
        <f t="shared" si="34"/>
        <v>46314.627338441183</v>
      </c>
      <c r="O48" s="112" t="str">
        <f>VLOOKUP(A48,SHIPMENTS!$A$7:$AP$76,11,0)</f>
        <v>n/a</v>
      </c>
      <c r="P48" s="101"/>
      <c r="Q48" s="127" t="str">
        <f t="shared" si="27"/>
        <v/>
      </c>
      <c r="R48" s="127" t="str">
        <f t="shared" si="27"/>
        <v/>
      </c>
      <c r="S48" s="127" t="str">
        <f t="shared" si="27"/>
        <v/>
      </c>
      <c r="T48" s="127" t="str">
        <f t="shared" si="27"/>
        <v/>
      </c>
      <c r="U48" s="127" t="str">
        <f t="shared" si="27"/>
        <v/>
      </c>
      <c r="V48" s="127" t="str">
        <f t="shared" si="27"/>
        <v/>
      </c>
      <c r="W48" s="127" t="str">
        <f t="shared" si="27"/>
        <v/>
      </c>
      <c r="X48" s="127" t="str">
        <f t="shared" si="27"/>
        <v/>
      </c>
      <c r="Y48" s="127" t="str">
        <f t="shared" si="27"/>
        <v/>
      </c>
      <c r="Z48" s="127" t="str">
        <f t="shared" si="27"/>
        <v/>
      </c>
      <c r="AA48" s="127" t="str">
        <f t="shared" si="27"/>
        <v/>
      </c>
      <c r="AB48" s="127" t="str">
        <f t="shared" si="27"/>
        <v/>
      </c>
      <c r="AC48" s="127" t="str">
        <f t="shared" si="27"/>
        <v/>
      </c>
      <c r="AD48" s="127" t="str">
        <f t="shared" si="27"/>
        <v/>
      </c>
      <c r="AE48" s="127" t="str">
        <f t="shared" si="27"/>
        <v/>
      </c>
      <c r="AF48" s="127" t="str">
        <f t="shared" si="27"/>
        <v/>
      </c>
      <c r="AG48" s="127" t="str">
        <f t="shared" si="25"/>
        <v/>
      </c>
      <c r="AH48" s="127" t="str">
        <f t="shared" si="25"/>
        <v/>
      </c>
      <c r="AI48" s="127" t="str">
        <f t="shared" si="25"/>
        <v/>
      </c>
      <c r="AJ48" s="127" t="str">
        <f t="shared" si="25"/>
        <v/>
      </c>
      <c r="AK48" s="127" t="str">
        <f t="shared" si="25"/>
        <v/>
      </c>
      <c r="AL48" s="127" t="str">
        <f t="shared" si="25"/>
        <v/>
      </c>
      <c r="AM48" s="127" t="str">
        <f t="shared" si="25"/>
        <v/>
      </c>
      <c r="AN48" s="127" t="str">
        <f t="shared" si="25"/>
        <v/>
      </c>
      <c r="AO48" s="127" t="str">
        <f t="shared" si="25"/>
        <v/>
      </c>
      <c r="AP48" s="127" t="str">
        <f t="shared" si="25"/>
        <v/>
      </c>
      <c r="AQ48" s="127" t="str">
        <f t="shared" si="25"/>
        <v/>
      </c>
      <c r="AR48" s="127" t="str">
        <f t="shared" si="25"/>
        <v/>
      </c>
      <c r="AS48" s="127" t="str">
        <f t="shared" si="25"/>
        <v/>
      </c>
      <c r="AT48" s="127" t="str">
        <f t="shared" si="25"/>
        <v/>
      </c>
      <c r="AU48" s="127" t="str">
        <f t="shared" si="25"/>
        <v/>
      </c>
      <c r="AV48" s="127" t="str">
        <f t="shared" si="25"/>
        <v/>
      </c>
      <c r="AW48" s="127" t="str">
        <f t="shared" si="23"/>
        <v/>
      </c>
      <c r="AX48" s="127" t="str">
        <f t="shared" si="23"/>
        <v/>
      </c>
      <c r="AY48" s="127" t="str">
        <f t="shared" si="23"/>
        <v/>
      </c>
      <c r="AZ48" s="127" t="str">
        <f t="shared" si="23"/>
        <v/>
      </c>
      <c r="BA48" s="127" t="str">
        <f t="shared" si="24"/>
        <v/>
      </c>
      <c r="BB48" s="127" t="str">
        <f t="shared" si="24"/>
        <v/>
      </c>
      <c r="BC48" s="127" t="str">
        <f t="shared" si="24"/>
        <v/>
      </c>
      <c r="BD48" s="127" t="str">
        <f t="shared" si="24"/>
        <v/>
      </c>
      <c r="BE48" s="127" t="str">
        <f t="shared" si="24"/>
        <v/>
      </c>
      <c r="BF48" s="127" t="str">
        <f t="shared" si="24"/>
        <v/>
      </c>
      <c r="BG48" s="127" t="str">
        <f t="shared" si="24"/>
        <v/>
      </c>
      <c r="BH48" s="127" t="str">
        <f t="shared" si="24"/>
        <v/>
      </c>
      <c r="BI48" s="127" t="str">
        <f t="shared" si="24"/>
        <v/>
      </c>
      <c r="BJ48" s="127" t="str">
        <f t="shared" si="24"/>
        <v/>
      </c>
      <c r="BK48" s="127" t="str">
        <f t="shared" si="24"/>
        <v/>
      </c>
      <c r="BL48" s="127" t="str">
        <f t="shared" si="24"/>
        <v/>
      </c>
      <c r="BM48" s="127" t="str">
        <f t="shared" si="24"/>
        <v/>
      </c>
      <c r="BN48" s="127" t="str">
        <f t="shared" si="24"/>
        <v/>
      </c>
      <c r="BO48" s="127" t="str">
        <f t="shared" si="24"/>
        <v/>
      </c>
      <c r="BP48" s="127" t="str">
        <f t="shared" si="24"/>
        <v/>
      </c>
      <c r="BQ48" s="127" t="str">
        <f t="shared" si="26"/>
        <v/>
      </c>
      <c r="BR48" s="127" t="str">
        <f t="shared" si="26"/>
        <v/>
      </c>
      <c r="BS48" s="127" t="str">
        <f t="shared" si="26"/>
        <v/>
      </c>
      <c r="BT48" s="127" t="str">
        <f t="shared" si="26"/>
        <v/>
      </c>
      <c r="BU48" s="127" t="str">
        <f t="shared" si="26"/>
        <v/>
      </c>
      <c r="BV48" s="127" t="str">
        <f t="shared" si="26"/>
        <v/>
      </c>
      <c r="BW48" s="127" t="str">
        <f t="shared" si="26"/>
        <v/>
      </c>
      <c r="BX48" s="127" t="str">
        <f t="shared" si="26"/>
        <v/>
      </c>
      <c r="BY48" s="127" t="str">
        <f t="shared" si="26"/>
        <v/>
      </c>
      <c r="BZ48" s="127" t="str">
        <f t="shared" si="26"/>
        <v/>
      </c>
      <c r="CA48" s="127" t="str">
        <f t="shared" si="26"/>
        <v/>
      </c>
      <c r="CB48" s="127" t="str">
        <f t="shared" si="26"/>
        <v/>
      </c>
      <c r="CC48" s="127" t="str">
        <f t="shared" si="26"/>
        <v/>
      </c>
      <c r="CD48" s="127" t="str">
        <f t="shared" si="26"/>
        <v/>
      </c>
    </row>
    <row r="49" spans="1:82" ht="12.6" hidden="1" customHeight="1" x14ac:dyDescent="0.2">
      <c r="A49" s="106">
        <f>SHIPMENTS!A55</f>
        <v>6967</v>
      </c>
      <c r="B49" s="106" t="str">
        <f>SHIPMENTS!B55</f>
        <v>9600-NEW ZEALAND BACKLOG</v>
      </c>
      <c r="C49" s="132">
        <f>SHIPMENTS!F55</f>
        <v>0</v>
      </c>
      <c r="D49" s="107" t="str">
        <f>IF((SHIPMENTS!I55)=0,"",SHIPMENTS!I55)</f>
        <v/>
      </c>
      <c r="E49" s="176" t="str">
        <f>IF((SHIPMENTS!G55)=0,"",SHIPMENTS!G55)</f>
        <v/>
      </c>
      <c r="F49" s="98">
        <f>VLOOKUP(A49,load!$A$4:$U$5001,20,0)</f>
        <v>0</v>
      </c>
      <c r="G49" s="109">
        <f>Manhours!$C$7</f>
        <v>9</v>
      </c>
      <c r="H49" s="98">
        <f t="shared" si="28"/>
        <v>81.899999999999991</v>
      </c>
      <c r="I49" s="99">
        <f t="shared" si="29"/>
        <v>0</v>
      </c>
      <c r="J49" s="99">
        <f t="shared" si="30"/>
        <v>0</v>
      </c>
      <c r="K49" s="110">
        <f t="shared" si="31"/>
        <v>0</v>
      </c>
      <c r="L49" s="98">
        <f t="shared" si="32"/>
        <v>0</v>
      </c>
      <c r="M49" s="181">
        <f t="shared" si="33"/>
        <v>46314.627338441183</v>
      </c>
      <c r="N49" s="181">
        <f t="shared" si="34"/>
        <v>46314.627338441183</v>
      </c>
      <c r="O49" s="112" t="str">
        <f>VLOOKUP(A49,SHIPMENTS!$A$7:$AP$76,11,0)</f>
        <v>n/a</v>
      </c>
      <c r="P49" s="101"/>
      <c r="Q49" s="127" t="str">
        <f t="shared" si="27"/>
        <v/>
      </c>
      <c r="R49" s="127" t="str">
        <f t="shared" si="27"/>
        <v/>
      </c>
      <c r="S49" s="127" t="str">
        <f t="shared" si="27"/>
        <v/>
      </c>
      <c r="T49" s="127" t="str">
        <f t="shared" si="27"/>
        <v/>
      </c>
      <c r="U49" s="127" t="str">
        <f t="shared" si="27"/>
        <v/>
      </c>
      <c r="V49" s="127" t="str">
        <f t="shared" si="27"/>
        <v/>
      </c>
      <c r="W49" s="127" t="str">
        <f t="shared" si="27"/>
        <v/>
      </c>
      <c r="X49" s="127" t="str">
        <f t="shared" si="27"/>
        <v/>
      </c>
      <c r="Y49" s="127" t="str">
        <f t="shared" si="27"/>
        <v/>
      </c>
      <c r="Z49" s="127" t="str">
        <f t="shared" si="27"/>
        <v/>
      </c>
      <c r="AA49" s="127" t="str">
        <f t="shared" si="27"/>
        <v/>
      </c>
      <c r="AB49" s="127" t="str">
        <f t="shared" si="27"/>
        <v/>
      </c>
      <c r="AC49" s="127" t="str">
        <f t="shared" si="27"/>
        <v/>
      </c>
      <c r="AD49" s="127" t="str">
        <f t="shared" si="27"/>
        <v/>
      </c>
      <c r="AE49" s="127" t="str">
        <f t="shared" si="27"/>
        <v/>
      </c>
      <c r="AF49" s="127" t="str">
        <f t="shared" si="27"/>
        <v/>
      </c>
      <c r="AG49" s="127" t="str">
        <f t="shared" si="25"/>
        <v/>
      </c>
      <c r="AH49" s="127" t="str">
        <f t="shared" si="25"/>
        <v/>
      </c>
      <c r="AI49" s="127" t="str">
        <f t="shared" si="25"/>
        <v/>
      </c>
      <c r="AJ49" s="127" t="str">
        <f t="shared" si="25"/>
        <v/>
      </c>
      <c r="AK49" s="127" t="str">
        <f t="shared" si="25"/>
        <v/>
      </c>
      <c r="AL49" s="127" t="str">
        <f t="shared" si="25"/>
        <v/>
      </c>
      <c r="AM49" s="127" t="str">
        <f t="shared" si="25"/>
        <v/>
      </c>
      <c r="AN49" s="127" t="str">
        <f t="shared" si="25"/>
        <v/>
      </c>
      <c r="AO49" s="127" t="str">
        <f t="shared" si="25"/>
        <v/>
      </c>
      <c r="AP49" s="127" t="str">
        <f t="shared" si="25"/>
        <v/>
      </c>
      <c r="AQ49" s="127" t="str">
        <f t="shared" si="25"/>
        <v/>
      </c>
      <c r="AR49" s="127" t="str">
        <f t="shared" si="25"/>
        <v/>
      </c>
      <c r="AS49" s="127" t="str">
        <f t="shared" si="25"/>
        <v/>
      </c>
      <c r="AT49" s="127" t="str">
        <f t="shared" si="25"/>
        <v/>
      </c>
      <c r="AU49" s="127" t="str">
        <f t="shared" si="25"/>
        <v/>
      </c>
      <c r="AV49" s="127" t="str">
        <f t="shared" ref="AV49:BK53" si="35">IF($E49=AV$3,"▲","")</f>
        <v/>
      </c>
      <c r="AW49" s="127" t="str">
        <f t="shared" si="35"/>
        <v/>
      </c>
      <c r="AX49" s="127" t="str">
        <f t="shared" si="35"/>
        <v/>
      </c>
      <c r="AY49" s="127" t="str">
        <f t="shared" si="35"/>
        <v/>
      </c>
      <c r="AZ49" s="127" t="str">
        <f t="shared" si="35"/>
        <v/>
      </c>
      <c r="BA49" s="127" t="str">
        <f t="shared" si="35"/>
        <v/>
      </c>
      <c r="BB49" s="127" t="str">
        <f t="shared" si="35"/>
        <v/>
      </c>
      <c r="BC49" s="127" t="str">
        <f t="shared" si="35"/>
        <v/>
      </c>
      <c r="BD49" s="127" t="str">
        <f t="shared" si="35"/>
        <v/>
      </c>
      <c r="BE49" s="127" t="str">
        <f t="shared" si="35"/>
        <v/>
      </c>
      <c r="BF49" s="127" t="str">
        <f t="shared" si="35"/>
        <v/>
      </c>
      <c r="BG49" s="127" t="str">
        <f t="shared" si="35"/>
        <v/>
      </c>
      <c r="BH49" s="127" t="str">
        <f t="shared" si="35"/>
        <v/>
      </c>
      <c r="BI49" s="127" t="str">
        <f t="shared" si="35"/>
        <v/>
      </c>
      <c r="BJ49" s="127" t="str">
        <f t="shared" si="35"/>
        <v/>
      </c>
      <c r="BK49" s="127" t="str">
        <f t="shared" si="35"/>
        <v/>
      </c>
      <c r="BL49" s="127" t="str">
        <f t="shared" ref="BA49:BP53" si="36">IF($E49=BL$3,"▲","")</f>
        <v/>
      </c>
      <c r="BM49" s="127" t="str">
        <f t="shared" si="36"/>
        <v/>
      </c>
      <c r="BN49" s="127" t="str">
        <f t="shared" si="36"/>
        <v/>
      </c>
      <c r="BO49" s="127" t="str">
        <f t="shared" si="36"/>
        <v/>
      </c>
      <c r="BP49" s="127" t="str">
        <f t="shared" si="36"/>
        <v/>
      </c>
      <c r="BQ49" s="127" t="str">
        <f t="shared" si="26"/>
        <v/>
      </c>
      <c r="BR49" s="127" t="str">
        <f t="shared" si="26"/>
        <v/>
      </c>
      <c r="BS49" s="127" t="str">
        <f t="shared" si="26"/>
        <v/>
      </c>
      <c r="BT49" s="127" t="str">
        <f t="shared" si="26"/>
        <v/>
      </c>
      <c r="BU49" s="127" t="str">
        <f t="shared" si="26"/>
        <v/>
      </c>
      <c r="BV49" s="127" t="str">
        <f t="shared" si="26"/>
        <v/>
      </c>
      <c r="BW49" s="127" t="str">
        <f t="shared" si="26"/>
        <v/>
      </c>
      <c r="BX49" s="127" t="str">
        <f t="shared" si="26"/>
        <v/>
      </c>
      <c r="BY49" s="127" t="str">
        <f t="shared" si="26"/>
        <v/>
      </c>
      <c r="BZ49" s="127" t="str">
        <f t="shared" si="26"/>
        <v/>
      </c>
      <c r="CA49" s="127" t="str">
        <f t="shared" si="26"/>
        <v/>
      </c>
      <c r="CB49" s="127" t="str">
        <f t="shared" si="26"/>
        <v/>
      </c>
      <c r="CC49" s="127" t="str">
        <f t="shared" si="26"/>
        <v/>
      </c>
      <c r="CD49" s="127" t="str">
        <f t="shared" si="26"/>
        <v/>
      </c>
    </row>
    <row r="50" spans="1:82" ht="12.6" hidden="1" customHeight="1" x14ac:dyDescent="0.2">
      <c r="A50" s="106">
        <f>SHIPMENTS!A56</f>
        <v>6646</v>
      </c>
      <c r="B50" s="106" t="str">
        <f>SHIPMENTS!B56</f>
        <v>9600-NEW ZEALAND BACKLOG</v>
      </c>
      <c r="C50" s="132">
        <f>SHIPMENTS!F56</f>
        <v>0</v>
      </c>
      <c r="D50" s="107" t="str">
        <f>IF((SHIPMENTS!I56)=0,"",SHIPMENTS!I56)</f>
        <v/>
      </c>
      <c r="E50" s="176" t="str">
        <f>IF((SHIPMENTS!G56)=0,"",SHIPMENTS!G56)</f>
        <v/>
      </c>
      <c r="F50" s="98">
        <f>VLOOKUP(A50,load!$A$4:$U$5001,20,0)</f>
        <v>0</v>
      </c>
      <c r="G50" s="109">
        <f>Manhours!$C$7</f>
        <v>9</v>
      </c>
      <c r="H50" s="98">
        <f t="shared" si="28"/>
        <v>81.899999999999991</v>
      </c>
      <c r="I50" s="99">
        <f t="shared" si="29"/>
        <v>0</v>
      </c>
      <c r="J50" s="99">
        <f t="shared" si="30"/>
        <v>0</v>
      </c>
      <c r="K50" s="110">
        <f t="shared" si="31"/>
        <v>0</v>
      </c>
      <c r="L50" s="98">
        <f t="shared" si="32"/>
        <v>0</v>
      </c>
      <c r="M50" s="181">
        <f t="shared" si="33"/>
        <v>46314.627338441183</v>
      </c>
      <c r="N50" s="181">
        <f t="shared" si="34"/>
        <v>46314.627338441183</v>
      </c>
      <c r="O50" s="112" t="str">
        <f>VLOOKUP(A50,SHIPMENTS!$A$7:$AP$76,11,0)</f>
        <v>n/a</v>
      </c>
      <c r="P50" s="101"/>
      <c r="Q50" s="127" t="str">
        <f t="shared" si="27"/>
        <v/>
      </c>
      <c r="R50" s="127" t="str">
        <f t="shared" si="27"/>
        <v/>
      </c>
      <c r="S50" s="127" t="str">
        <f t="shared" si="27"/>
        <v/>
      </c>
      <c r="T50" s="127" t="str">
        <f t="shared" si="27"/>
        <v/>
      </c>
      <c r="U50" s="127" t="str">
        <f t="shared" si="27"/>
        <v/>
      </c>
      <c r="V50" s="127" t="str">
        <f t="shared" si="27"/>
        <v/>
      </c>
      <c r="W50" s="127" t="str">
        <f t="shared" si="27"/>
        <v/>
      </c>
      <c r="X50" s="127" t="str">
        <f t="shared" si="27"/>
        <v/>
      </c>
      <c r="Y50" s="127" t="str">
        <f t="shared" si="27"/>
        <v/>
      </c>
      <c r="Z50" s="127" t="str">
        <f t="shared" si="27"/>
        <v/>
      </c>
      <c r="AA50" s="127" t="str">
        <f t="shared" si="27"/>
        <v/>
      </c>
      <c r="AB50" s="127" t="str">
        <f t="shared" si="27"/>
        <v/>
      </c>
      <c r="AC50" s="127" t="str">
        <f t="shared" si="27"/>
        <v/>
      </c>
      <c r="AD50" s="127" t="str">
        <f t="shared" si="27"/>
        <v/>
      </c>
      <c r="AE50" s="127" t="str">
        <f t="shared" si="27"/>
        <v/>
      </c>
      <c r="AF50" s="127" t="str">
        <f t="shared" si="27"/>
        <v/>
      </c>
      <c r="AG50" s="127" t="str">
        <f t="shared" ref="AG50:AV53" si="37">IF($E50=AG$3,"▲","")</f>
        <v/>
      </c>
      <c r="AH50" s="127" t="str">
        <f t="shared" si="37"/>
        <v/>
      </c>
      <c r="AI50" s="127" t="str">
        <f t="shared" si="37"/>
        <v/>
      </c>
      <c r="AJ50" s="127" t="str">
        <f t="shared" si="37"/>
        <v/>
      </c>
      <c r="AK50" s="127" t="str">
        <f t="shared" si="37"/>
        <v/>
      </c>
      <c r="AL50" s="127" t="str">
        <f t="shared" si="37"/>
        <v/>
      </c>
      <c r="AM50" s="127" t="str">
        <f t="shared" si="37"/>
        <v/>
      </c>
      <c r="AN50" s="127" t="str">
        <f t="shared" si="37"/>
        <v/>
      </c>
      <c r="AO50" s="127" t="str">
        <f t="shared" si="37"/>
        <v/>
      </c>
      <c r="AP50" s="127" t="str">
        <f t="shared" si="37"/>
        <v/>
      </c>
      <c r="AQ50" s="127" t="str">
        <f t="shared" si="37"/>
        <v/>
      </c>
      <c r="AR50" s="127" t="str">
        <f t="shared" si="37"/>
        <v/>
      </c>
      <c r="AS50" s="127" t="str">
        <f t="shared" si="37"/>
        <v/>
      </c>
      <c r="AT50" s="127" t="str">
        <f t="shared" si="37"/>
        <v/>
      </c>
      <c r="AU50" s="127" t="str">
        <f t="shared" si="37"/>
        <v/>
      </c>
      <c r="AV50" s="127" t="str">
        <f t="shared" si="37"/>
        <v/>
      </c>
      <c r="AW50" s="127" t="str">
        <f t="shared" si="35"/>
        <v/>
      </c>
      <c r="AX50" s="127" t="str">
        <f t="shared" si="35"/>
        <v/>
      </c>
      <c r="AY50" s="127" t="str">
        <f t="shared" si="35"/>
        <v/>
      </c>
      <c r="AZ50" s="127" t="str">
        <f t="shared" si="35"/>
        <v/>
      </c>
      <c r="BA50" s="127" t="str">
        <f t="shared" si="36"/>
        <v/>
      </c>
      <c r="BB50" s="127" t="str">
        <f t="shared" si="36"/>
        <v/>
      </c>
      <c r="BC50" s="127" t="str">
        <f t="shared" si="36"/>
        <v/>
      </c>
      <c r="BD50" s="127" t="str">
        <f t="shared" si="36"/>
        <v/>
      </c>
      <c r="BE50" s="127" t="str">
        <f t="shared" si="36"/>
        <v/>
      </c>
      <c r="BF50" s="127" t="str">
        <f t="shared" si="36"/>
        <v/>
      </c>
      <c r="BG50" s="127" t="str">
        <f t="shared" si="36"/>
        <v/>
      </c>
      <c r="BH50" s="127" t="str">
        <f t="shared" si="36"/>
        <v/>
      </c>
      <c r="BI50" s="127" t="str">
        <f t="shared" si="36"/>
        <v/>
      </c>
      <c r="BJ50" s="127" t="str">
        <f t="shared" si="36"/>
        <v/>
      </c>
      <c r="BK50" s="127" t="str">
        <f t="shared" si="36"/>
        <v/>
      </c>
      <c r="BL50" s="127" t="str">
        <f t="shared" si="36"/>
        <v/>
      </c>
      <c r="BM50" s="127" t="str">
        <f t="shared" si="36"/>
        <v/>
      </c>
      <c r="BN50" s="127" t="str">
        <f t="shared" si="36"/>
        <v/>
      </c>
      <c r="BO50" s="127" t="str">
        <f t="shared" si="36"/>
        <v/>
      </c>
      <c r="BP50" s="127" t="str">
        <f t="shared" si="36"/>
        <v/>
      </c>
      <c r="BQ50" s="127" t="str">
        <f t="shared" ref="BQ50:CD53" si="38">IF($E50=BQ$3,"▲","")</f>
        <v/>
      </c>
      <c r="BR50" s="127" t="str">
        <f t="shared" si="38"/>
        <v/>
      </c>
      <c r="BS50" s="127" t="str">
        <f t="shared" si="38"/>
        <v/>
      </c>
      <c r="BT50" s="127" t="str">
        <f t="shared" si="38"/>
        <v/>
      </c>
      <c r="BU50" s="127" t="str">
        <f t="shared" si="38"/>
        <v/>
      </c>
      <c r="BV50" s="127" t="str">
        <f t="shared" si="38"/>
        <v/>
      </c>
      <c r="BW50" s="127" t="str">
        <f t="shared" si="38"/>
        <v/>
      </c>
      <c r="BX50" s="127" t="str">
        <f t="shared" si="38"/>
        <v/>
      </c>
      <c r="BY50" s="127" t="str">
        <f t="shared" si="38"/>
        <v/>
      </c>
      <c r="BZ50" s="127" t="str">
        <f t="shared" si="38"/>
        <v/>
      </c>
      <c r="CA50" s="127" t="str">
        <f t="shared" si="38"/>
        <v/>
      </c>
      <c r="CB50" s="127" t="str">
        <f t="shared" si="38"/>
        <v/>
      </c>
      <c r="CC50" s="127" t="str">
        <f t="shared" si="38"/>
        <v/>
      </c>
      <c r="CD50" s="127" t="str">
        <f t="shared" si="38"/>
        <v/>
      </c>
    </row>
    <row r="51" spans="1:82" ht="12.6" hidden="1" customHeight="1" x14ac:dyDescent="0.2">
      <c r="A51" s="106">
        <f>SHIPMENTS!A57</f>
        <v>9122</v>
      </c>
      <c r="B51" s="106" t="str">
        <f>SHIPMENTS!B57</f>
        <v>19300-USA SUPERIOR SAUNA</v>
      </c>
      <c r="C51" s="132">
        <f>SHIPMENTS!F57</f>
        <v>69.539999999999992</v>
      </c>
      <c r="D51" s="107" t="str">
        <f>IF((SHIPMENTS!I57)=0,"",SHIPMENTS!I57)</f>
        <v>1x40HC</v>
      </c>
      <c r="E51" s="176" t="str">
        <f>IF((SHIPMENTS!G57)=0,"",SHIPMENTS!G57)</f>
        <v>TBA</v>
      </c>
      <c r="F51" s="98">
        <f>VLOOKUP(A51,load!$A$4:$U$5001,20,0)</f>
        <v>19.896666666666672</v>
      </c>
      <c r="G51" s="109">
        <f>Manhours!$C$7</f>
        <v>9</v>
      </c>
      <c r="H51" s="98">
        <f t="shared" si="28"/>
        <v>81.899999999999991</v>
      </c>
      <c r="I51" s="99">
        <f t="shared" si="29"/>
        <v>0.24293854293854303</v>
      </c>
      <c r="J51" s="99">
        <f t="shared" si="30"/>
        <v>2.2107407407407416</v>
      </c>
      <c r="K51" s="110">
        <f t="shared" si="31"/>
        <v>0</v>
      </c>
      <c r="L51" s="98">
        <f t="shared" si="32"/>
        <v>0</v>
      </c>
      <c r="M51" s="181">
        <f t="shared" si="33"/>
        <v>46314.627338441183</v>
      </c>
      <c r="N51" s="181">
        <f t="shared" si="34"/>
        <v>46314.627338441183</v>
      </c>
      <c r="O51" s="112" t="str">
        <f>VLOOKUP(A51,SHIPMENTS!$A$7:$AP$76,11,0)</f>
        <v>n/a</v>
      </c>
      <c r="P51" s="101"/>
      <c r="Q51" s="127" t="str">
        <f t="shared" si="27"/>
        <v/>
      </c>
      <c r="R51" s="127" t="str">
        <f t="shared" si="27"/>
        <v/>
      </c>
      <c r="S51" s="127" t="str">
        <f t="shared" si="27"/>
        <v/>
      </c>
      <c r="T51" s="127" t="str">
        <f t="shared" si="27"/>
        <v/>
      </c>
      <c r="U51" s="127" t="str">
        <f t="shared" si="27"/>
        <v/>
      </c>
      <c r="V51" s="127" t="str">
        <f t="shared" si="27"/>
        <v/>
      </c>
      <c r="W51" s="127" t="str">
        <f t="shared" si="27"/>
        <v/>
      </c>
      <c r="X51" s="127" t="str">
        <f t="shared" si="27"/>
        <v/>
      </c>
      <c r="Y51" s="127" t="str">
        <f t="shared" si="27"/>
        <v/>
      </c>
      <c r="Z51" s="127" t="str">
        <f t="shared" si="27"/>
        <v/>
      </c>
      <c r="AA51" s="127" t="str">
        <f t="shared" si="27"/>
        <v/>
      </c>
      <c r="AB51" s="127" t="str">
        <f t="shared" si="27"/>
        <v/>
      </c>
      <c r="AC51" s="127" t="str">
        <f t="shared" si="27"/>
        <v/>
      </c>
      <c r="AD51" s="127" t="str">
        <f t="shared" si="27"/>
        <v/>
      </c>
      <c r="AE51" s="127" t="str">
        <f t="shared" si="27"/>
        <v/>
      </c>
      <c r="AF51" s="127" t="str">
        <f t="shared" si="27"/>
        <v/>
      </c>
      <c r="AG51" s="127" t="str">
        <f t="shared" si="37"/>
        <v/>
      </c>
      <c r="AH51" s="127" t="str">
        <f t="shared" si="37"/>
        <v/>
      </c>
      <c r="AI51" s="127" t="str">
        <f t="shared" si="37"/>
        <v/>
      </c>
      <c r="AJ51" s="127" t="str">
        <f t="shared" si="37"/>
        <v/>
      </c>
      <c r="AK51" s="127" t="str">
        <f t="shared" si="37"/>
        <v/>
      </c>
      <c r="AL51" s="127" t="str">
        <f t="shared" si="37"/>
        <v/>
      </c>
      <c r="AM51" s="127" t="str">
        <f t="shared" si="37"/>
        <v/>
      </c>
      <c r="AN51" s="127" t="str">
        <f t="shared" si="37"/>
        <v/>
      </c>
      <c r="AO51" s="127" t="str">
        <f t="shared" si="37"/>
        <v/>
      </c>
      <c r="AP51" s="127" t="str">
        <f t="shared" si="37"/>
        <v/>
      </c>
      <c r="AQ51" s="127" t="str">
        <f t="shared" si="37"/>
        <v/>
      </c>
      <c r="AR51" s="127" t="str">
        <f t="shared" si="37"/>
        <v/>
      </c>
      <c r="AS51" s="127" t="str">
        <f t="shared" si="37"/>
        <v/>
      </c>
      <c r="AT51" s="127" t="str">
        <f t="shared" si="37"/>
        <v/>
      </c>
      <c r="AU51" s="127" t="str">
        <f t="shared" si="37"/>
        <v/>
      </c>
      <c r="AV51" s="127" t="str">
        <f t="shared" si="37"/>
        <v/>
      </c>
      <c r="AW51" s="127" t="str">
        <f t="shared" si="35"/>
        <v/>
      </c>
      <c r="AX51" s="127" t="str">
        <f t="shared" si="35"/>
        <v/>
      </c>
      <c r="AY51" s="127" t="str">
        <f t="shared" si="35"/>
        <v/>
      </c>
      <c r="AZ51" s="127" t="str">
        <f t="shared" si="35"/>
        <v/>
      </c>
      <c r="BA51" s="127" t="str">
        <f t="shared" si="36"/>
        <v/>
      </c>
      <c r="BB51" s="127" t="str">
        <f t="shared" si="36"/>
        <v/>
      </c>
      <c r="BC51" s="127" t="str">
        <f t="shared" si="36"/>
        <v/>
      </c>
      <c r="BD51" s="127" t="str">
        <f t="shared" si="36"/>
        <v/>
      </c>
      <c r="BE51" s="127" t="str">
        <f t="shared" si="36"/>
        <v/>
      </c>
      <c r="BF51" s="127" t="str">
        <f t="shared" si="36"/>
        <v/>
      </c>
      <c r="BG51" s="127" t="str">
        <f t="shared" si="36"/>
        <v/>
      </c>
      <c r="BH51" s="127" t="str">
        <f t="shared" si="36"/>
        <v/>
      </c>
      <c r="BI51" s="127" t="str">
        <f t="shared" si="36"/>
        <v/>
      </c>
      <c r="BJ51" s="127" t="str">
        <f t="shared" si="36"/>
        <v/>
      </c>
      <c r="BK51" s="127" t="str">
        <f t="shared" si="36"/>
        <v/>
      </c>
      <c r="BL51" s="127" t="str">
        <f t="shared" si="36"/>
        <v/>
      </c>
      <c r="BM51" s="127" t="str">
        <f t="shared" si="36"/>
        <v/>
      </c>
      <c r="BN51" s="127" t="str">
        <f t="shared" si="36"/>
        <v/>
      </c>
      <c r="BO51" s="127" t="str">
        <f t="shared" si="36"/>
        <v/>
      </c>
      <c r="BP51" s="127" t="str">
        <f t="shared" si="36"/>
        <v/>
      </c>
      <c r="BQ51" s="127" t="str">
        <f t="shared" si="38"/>
        <v/>
      </c>
      <c r="BR51" s="127" t="str">
        <f t="shared" si="38"/>
        <v/>
      </c>
      <c r="BS51" s="127" t="str">
        <f t="shared" si="38"/>
        <v/>
      </c>
      <c r="BT51" s="127" t="str">
        <f t="shared" si="38"/>
        <v/>
      </c>
      <c r="BU51" s="127" t="str">
        <f t="shared" si="38"/>
        <v/>
      </c>
      <c r="BV51" s="127" t="str">
        <f t="shared" si="38"/>
        <v/>
      </c>
      <c r="BW51" s="127" t="str">
        <f t="shared" si="38"/>
        <v/>
      </c>
      <c r="BX51" s="127" t="str">
        <f t="shared" si="38"/>
        <v/>
      </c>
      <c r="BY51" s="127" t="str">
        <f t="shared" si="38"/>
        <v/>
      </c>
      <c r="BZ51" s="127" t="str">
        <f t="shared" si="38"/>
        <v/>
      </c>
      <c r="CA51" s="127" t="str">
        <f t="shared" si="38"/>
        <v/>
      </c>
      <c r="CB51" s="127" t="str">
        <f t="shared" si="38"/>
        <v/>
      </c>
      <c r="CC51" s="127" t="str">
        <f t="shared" si="38"/>
        <v/>
      </c>
      <c r="CD51" s="127" t="str">
        <f t="shared" si="38"/>
        <v/>
      </c>
    </row>
    <row r="52" spans="1:82" ht="12.6" hidden="1" customHeight="1" x14ac:dyDescent="0.2">
      <c r="A52" s="106">
        <f>SHIPMENTS!A58</f>
        <v>9197</v>
      </c>
      <c r="B52" s="106" t="str">
        <f>SHIPMENTS!B58</f>
        <v>19300-USA SUPERIOR SAUNA</v>
      </c>
      <c r="C52" s="132">
        <f>SHIPMENTS!F58</f>
        <v>0</v>
      </c>
      <c r="D52" s="107" t="str">
        <f>IF((SHIPMENTS!I58)=0,"",SHIPMENTS!I58)</f>
        <v/>
      </c>
      <c r="E52" s="176" t="str">
        <f>IF((SHIPMENTS!G58)=0,"",SHIPMENTS!G58)</f>
        <v>TBA</v>
      </c>
      <c r="F52" s="98">
        <f>VLOOKUP(A52,load!$A$4:$U$5001,20,0)</f>
        <v>0.75200000000000011</v>
      </c>
      <c r="G52" s="109">
        <f>Manhours!$C$7</f>
        <v>9</v>
      </c>
      <c r="H52" s="98">
        <f t="shared" si="28"/>
        <v>81.899999999999991</v>
      </c>
      <c r="I52" s="99">
        <f t="shared" si="29"/>
        <v>9.1819291819291837E-3</v>
      </c>
      <c r="J52" s="99">
        <f t="shared" si="30"/>
        <v>8.3555555555555563E-2</v>
      </c>
      <c r="K52" s="110">
        <f t="shared" si="31"/>
        <v>0</v>
      </c>
      <c r="L52" s="98">
        <f t="shared" si="32"/>
        <v>0</v>
      </c>
      <c r="M52" s="181">
        <f t="shared" si="33"/>
        <v>46314.627338441183</v>
      </c>
      <c r="N52" s="181">
        <f t="shared" si="34"/>
        <v>46314.627338441183</v>
      </c>
      <c r="O52" s="112" t="str">
        <f>VLOOKUP(A52,SHIPMENTS!$A$7:$AP$76,11,0)</f>
        <v>n/a</v>
      </c>
      <c r="P52" s="101"/>
      <c r="Q52" s="127" t="str">
        <f t="shared" si="27"/>
        <v/>
      </c>
      <c r="R52" s="127" t="str">
        <f t="shared" si="27"/>
        <v/>
      </c>
      <c r="S52" s="127" t="str">
        <f t="shared" si="27"/>
        <v/>
      </c>
      <c r="T52" s="127" t="str">
        <f t="shared" si="27"/>
        <v/>
      </c>
      <c r="U52" s="127" t="str">
        <f t="shared" si="27"/>
        <v/>
      </c>
      <c r="V52" s="127" t="str">
        <f t="shared" si="27"/>
        <v/>
      </c>
      <c r="W52" s="127" t="str">
        <f t="shared" si="27"/>
        <v/>
      </c>
      <c r="X52" s="127" t="str">
        <f t="shared" si="27"/>
        <v/>
      </c>
      <c r="Y52" s="127" t="str">
        <f t="shared" si="27"/>
        <v/>
      </c>
      <c r="Z52" s="127" t="str">
        <f t="shared" si="27"/>
        <v/>
      </c>
      <c r="AA52" s="127" t="str">
        <f t="shared" si="27"/>
        <v/>
      </c>
      <c r="AB52" s="127" t="str">
        <f t="shared" si="27"/>
        <v/>
      </c>
      <c r="AC52" s="127" t="str">
        <f t="shared" si="27"/>
        <v/>
      </c>
      <c r="AD52" s="127" t="str">
        <f t="shared" si="27"/>
        <v/>
      </c>
      <c r="AE52" s="127" t="str">
        <f t="shared" si="27"/>
        <v/>
      </c>
      <c r="AF52" s="127" t="str">
        <f t="shared" si="27"/>
        <v/>
      </c>
      <c r="AG52" s="127" t="str">
        <f t="shared" si="37"/>
        <v/>
      </c>
      <c r="AH52" s="127" t="str">
        <f t="shared" si="37"/>
        <v/>
      </c>
      <c r="AI52" s="127" t="str">
        <f t="shared" si="37"/>
        <v/>
      </c>
      <c r="AJ52" s="127" t="str">
        <f t="shared" si="37"/>
        <v/>
      </c>
      <c r="AK52" s="127" t="str">
        <f t="shared" si="37"/>
        <v/>
      </c>
      <c r="AL52" s="127" t="str">
        <f t="shared" si="37"/>
        <v/>
      </c>
      <c r="AM52" s="127" t="str">
        <f t="shared" si="37"/>
        <v/>
      </c>
      <c r="AN52" s="127" t="str">
        <f t="shared" si="37"/>
        <v/>
      </c>
      <c r="AO52" s="127" t="str">
        <f t="shared" si="37"/>
        <v/>
      </c>
      <c r="AP52" s="127" t="str">
        <f t="shared" si="37"/>
        <v/>
      </c>
      <c r="AQ52" s="127" t="str">
        <f t="shared" si="37"/>
        <v/>
      </c>
      <c r="AR52" s="127" t="str">
        <f t="shared" si="37"/>
        <v/>
      </c>
      <c r="AS52" s="127" t="str">
        <f t="shared" si="37"/>
        <v/>
      </c>
      <c r="AT52" s="127" t="str">
        <f t="shared" si="37"/>
        <v/>
      </c>
      <c r="AU52" s="127" t="str">
        <f t="shared" si="37"/>
        <v/>
      </c>
      <c r="AV52" s="127" t="str">
        <f t="shared" si="37"/>
        <v/>
      </c>
      <c r="AW52" s="127" t="str">
        <f t="shared" si="35"/>
        <v/>
      </c>
      <c r="AX52" s="127" t="str">
        <f t="shared" si="35"/>
        <v/>
      </c>
      <c r="AY52" s="127" t="str">
        <f t="shared" si="35"/>
        <v/>
      </c>
      <c r="AZ52" s="127" t="str">
        <f t="shared" si="35"/>
        <v/>
      </c>
      <c r="BA52" s="127" t="str">
        <f t="shared" si="36"/>
        <v/>
      </c>
      <c r="BB52" s="127" t="str">
        <f t="shared" si="36"/>
        <v/>
      </c>
      <c r="BC52" s="127" t="str">
        <f t="shared" si="36"/>
        <v/>
      </c>
      <c r="BD52" s="127" t="str">
        <f t="shared" si="36"/>
        <v/>
      </c>
      <c r="BE52" s="127" t="str">
        <f t="shared" si="36"/>
        <v/>
      </c>
      <c r="BF52" s="127" t="str">
        <f t="shared" si="36"/>
        <v/>
      </c>
      <c r="BG52" s="127" t="str">
        <f t="shared" si="36"/>
        <v/>
      </c>
      <c r="BH52" s="127" t="str">
        <f t="shared" si="36"/>
        <v/>
      </c>
      <c r="BI52" s="127" t="str">
        <f t="shared" si="36"/>
        <v/>
      </c>
      <c r="BJ52" s="127" t="str">
        <f t="shared" si="36"/>
        <v/>
      </c>
      <c r="BK52" s="127" t="str">
        <f t="shared" si="36"/>
        <v/>
      </c>
      <c r="BL52" s="127" t="str">
        <f t="shared" si="36"/>
        <v/>
      </c>
      <c r="BM52" s="127" t="str">
        <f t="shared" si="36"/>
        <v/>
      </c>
      <c r="BN52" s="127" t="str">
        <f t="shared" si="36"/>
        <v/>
      </c>
      <c r="BO52" s="127" t="str">
        <f t="shared" si="36"/>
        <v/>
      </c>
      <c r="BP52" s="127" t="str">
        <f t="shared" si="36"/>
        <v/>
      </c>
      <c r="BQ52" s="127" t="str">
        <f t="shared" si="38"/>
        <v/>
      </c>
      <c r="BR52" s="127" t="str">
        <f t="shared" si="38"/>
        <v/>
      </c>
      <c r="BS52" s="127" t="str">
        <f t="shared" si="38"/>
        <v/>
      </c>
      <c r="BT52" s="127" t="str">
        <f t="shared" si="38"/>
        <v/>
      </c>
      <c r="BU52" s="127" t="str">
        <f t="shared" si="38"/>
        <v/>
      </c>
      <c r="BV52" s="127" t="str">
        <f t="shared" si="38"/>
        <v/>
      </c>
      <c r="BW52" s="127" t="str">
        <f t="shared" si="38"/>
        <v/>
      </c>
      <c r="BX52" s="127" t="str">
        <f t="shared" si="38"/>
        <v/>
      </c>
      <c r="BY52" s="127" t="str">
        <f t="shared" si="38"/>
        <v/>
      </c>
      <c r="BZ52" s="127" t="str">
        <f t="shared" si="38"/>
        <v/>
      </c>
      <c r="CA52" s="127" t="str">
        <f t="shared" si="38"/>
        <v/>
      </c>
      <c r="CB52" s="127" t="str">
        <f t="shared" si="38"/>
        <v/>
      </c>
      <c r="CC52" s="127" t="str">
        <f t="shared" si="38"/>
        <v/>
      </c>
      <c r="CD52" s="127" t="str">
        <f t="shared" si="38"/>
        <v/>
      </c>
    </row>
    <row r="53" spans="1:82" ht="12.6" hidden="1" customHeight="1" x14ac:dyDescent="0.2">
      <c r="A53" s="106">
        <f>SHIPMENTS!A59</f>
        <v>6542</v>
      </c>
      <c r="B53" s="106" t="str">
        <f>SHIPMENTS!B59</f>
        <v>75100-JORDAN
BACKLOG</v>
      </c>
      <c r="C53" s="132">
        <f>SHIPMENTS!F59</f>
        <v>2.9600000000000001E-2</v>
      </c>
      <c r="D53" s="107" t="str">
        <f>IF((SHIPMENTS!I59)=0,"",SHIPMENTS!I59)</f>
        <v/>
      </c>
      <c r="E53" s="176" t="str">
        <f>IF((SHIPMENTS!G59)=0,"",SHIPMENTS!G59)</f>
        <v>TBA</v>
      </c>
      <c r="F53" s="98">
        <f>VLOOKUP(A53,load!$A$4:$U$5001,20,0)</f>
        <v>0</v>
      </c>
      <c r="G53" s="109">
        <f>Manhours!$C$7</f>
        <v>9</v>
      </c>
      <c r="H53" s="98">
        <f t="shared" ref="H53" si="39">+G53*$H$4</f>
        <v>81.899999999999991</v>
      </c>
      <c r="I53" s="99">
        <f t="shared" ref="I53" si="40">F53/H53</f>
        <v>0</v>
      </c>
      <c r="J53" s="99">
        <f t="shared" ref="J53" si="41">+I53*$H$4</f>
        <v>0</v>
      </c>
      <c r="K53" s="110">
        <f t="shared" ref="K53" si="42">IFERROR(I53-(I53*O53),0)</f>
        <v>0</v>
      </c>
      <c r="L53" s="98">
        <f t="shared" ref="L53" si="43">IFERROR(J53-(J53*O53),0)</f>
        <v>0</v>
      </c>
      <c r="M53" s="181">
        <f t="shared" ref="M53" si="44">N52</f>
        <v>46314.627338441183</v>
      </c>
      <c r="N53" s="181">
        <f t="shared" ref="N53" si="45">M53+K53</f>
        <v>46314.627338441183</v>
      </c>
      <c r="O53" s="112" t="str">
        <f>VLOOKUP(A53,SHIPMENTS!$A$7:$AP$76,11,0)</f>
        <v>n/a</v>
      </c>
      <c r="P53" s="101"/>
      <c r="Q53" s="127" t="str">
        <f t="shared" si="27"/>
        <v/>
      </c>
      <c r="R53" s="127" t="str">
        <f t="shared" si="27"/>
        <v/>
      </c>
      <c r="S53" s="127" t="str">
        <f t="shared" si="27"/>
        <v/>
      </c>
      <c r="T53" s="127" t="str">
        <f t="shared" si="27"/>
        <v/>
      </c>
      <c r="U53" s="127" t="str">
        <f t="shared" si="27"/>
        <v/>
      </c>
      <c r="V53" s="127" t="str">
        <f t="shared" si="27"/>
        <v/>
      </c>
      <c r="W53" s="127" t="str">
        <f t="shared" si="27"/>
        <v/>
      </c>
      <c r="X53" s="127" t="str">
        <f t="shared" si="27"/>
        <v/>
      </c>
      <c r="Y53" s="127" t="str">
        <f t="shared" si="27"/>
        <v/>
      </c>
      <c r="Z53" s="127" t="str">
        <f t="shared" si="27"/>
        <v/>
      </c>
      <c r="AA53" s="127" t="str">
        <f t="shared" si="27"/>
        <v/>
      </c>
      <c r="AB53" s="127" t="str">
        <f t="shared" si="27"/>
        <v/>
      </c>
      <c r="AC53" s="127" t="str">
        <f t="shared" si="27"/>
        <v/>
      </c>
      <c r="AD53" s="127" t="str">
        <f t="shared" si="27"/>
        <v/>
      </c>
      <c r="AE53" s="127" t="str">
        <f t="shared" si="27"/>
        <v/>
      </c>
      <c r="AF53" s="127" t="str">
        <f t="shared" si="27"/>
        <v/>
      </c>
      <c r="AG53" s="127" t="str">
        <f t="shared" si="37"/>
        <v/>
      </c>
      <c r="AH53" s="127" t="str">
        <f t="shared" si="37"/>
        <v/>
      </c>
      <c r="AI53" s="127" t="str">
        <f t="shared" si="37"/>
        <v/>
      </c>
      <c r="AJ53" s="127" t="str">
        <f t="shared" si="37"/>
        <v/>
      </c>
      <c r="AK53" s="127" t="str">
        <f t="shared" si="37"/>
        <v/>
      </c>
      <c r="AL53" s="127" t="str">
        <f t="shared" si="37"/>
        <v/>
      </c>
      <c r="AM53" s="127" t="str">
        <f t="shared" si="37"/>
        <v/>
      </c>
      <c r="AN53" s="127" t="str">
        <f t="shared" si="37"/>
        <v/>
      </c>
      <c r="AO53" s="127" t="str">
        <f t="shared" si="37"/>
        <v/>
      </c>
      <c r="AP53" s="127" t="str">
        <f t="shared" si="37"/>
        <v/>
      </c>
      <c r="AQ53" s="127" t="str">
        <f t="shared" si="37"/>
        <v/>
      </c>
      <c r="AR53" s="127" t="str">
        <f t="shared" si="37"/>
        <v/>
      </c>
      <c r="AS53" s="127" t="str">
        <f t="shared" si="37"/>
        <v/>
      </c>
      <c r="AT53" s="127" t="str">
        <f t="shared" si="37"/>
        <v/>
      </c>
      <c r="AU53" s="127" t="str">
        <f t="shared" si="37"/>
        <v/>
      </c>
      <c r="AV53" s="127" t="str">
        <f t="shared" si="37"/>
        <v/>
      </c>
      <c r="AW53" s="127" t="str">
        <f t="shared" si="35"/>
        <v/>
      </c>
      <c r="AX53" s="127" t="str">
        <f t="shared" si="35"/>
        <v/>
      </c>
      <c r="AY53" s="127" t="str">
        <f t="shared" si="35"/>
        <v/>
      </c>
      <c r="AZ53" s="127" t="str">
        <f t="shared" si="35"/>
        <v/>
      </c>
      <c r="BA53" s="127" t="str">
        <f t="shared" si="36"/>
        <v/>
      </c>
      <c r="BB53" s="127" t="str">
        <f t="shared" si="36"/>
        <v/>
      </c>
      <c r="BC53" s="127" t="str">
        <f t="shared" si="36"/>
        <v/>
      </c>
      <c r="BD53" s="127" t="str">
        <f t="shared" si="36"/>
        <v/>
      </c>
      <c r="BE53" s="127" t="str">
        <f t="shared" si="36"/>
        <v/>
      </c>
      <c r="BF53" s="127" t="str">
        <f t="shared" si="36"/>
        <v/>
      </c>
      <c r="BG53" s="127" t="str">
        <f t="shared" si="36"/>
        <v/>
      </c>
      <c r="BH53" s="127" t="str">
        <f t="shared" si="36"/>
        <v/>
      </c>
      <c r="BI53" s="127" t="str">
        <f t="shared" si="36"/>
        <v/>
      </c>
      <c r="BJ53" s="127" t="str">
        <f t="shared" si="36"/>
        <v/>
      </c>
      <c r="BK53" s="127" t="str">
        <f t="shared" si="36"/>
        <v/>
      </c>
      <c r="BL53" s="127" t="str">
        <f t="shared" si="36"/>
        <v/>
      </c>
      <c r="BM53" s="127" t="str">
        <f t="shared" si="36"/>
        <v/>
      </c>
      <c r="BN53" s="127" t="str">
        <f t="shared" si="36"/>
        <v/>
      </c>
      <c r="BO53" s="127" t="str">
        <f t="shared" si="36"/>
        <v/>
      </c>
      <c r="BP53" s="127" t="str">
        <f t="shared" si="36"/>
        <v/>
      </c>
      <c r="BQ53" s="127" t="str">
        <f t="shared" si="38"/>
        <v/>
      </c>
      <c r="BR53" s="127" t="str">
        <f t="shared" si="38"/>
        <v/>
      </c>
      <c r="BS53" s="127" t="str">
        <f t="shared" si="38"/>
        <v/>
      </c>
      <c r="BT53" s="127" t="str">
        <f t="shared" si="38"/>
        <v/>
      </c>
      <c r="BU53" s="127" t="str">
        <f t="shared" si="38"/>
        <v/>
      </c>
      <c r="BV53" s="127" t="str">
        <f t="shared" si="38"/>
        <v/>
      </c>
      <c r="BW53" s="127" t="str">
        <f t="shared" si="38"/>
        <v/>
      </c>
      <c r="BX53" s="127" t="str">
        <f t="shared" si="38"/>
        <v/>
      </c>
      <c r="BY53" s="127" t="str">
        <f t="shared" si="38"/>
        <v/>
      </c>
      <c r="BZ53" s="127" t="str">
        <f t="shared" si="38"/>
        <v/>
      </c>
      <c r="CA53" s="127" t="str">
        <f t="shared" si="38"/>
        <v/>
      </c>
      <c r="CB53" s="127" t="str">
        <f t="shared" si="38"/>
        <v/>
      </c>
      <c r="CC53" s="127" t="str">
        <f t="shared" si="38"/>
        <v/>
      </c>
      <c r="CD53" s="127" t="str">
        <f t="shared" si="38"/>
        <v/>
      </c>
    </row>
  </sheetData>
  <autoFilter ref="A7:BL53" xr:uid="{00000000-0009-0000-0000-000004000000}">
    <filterColumn colId="14">
      <filters>
        <filter val="0%"/>
        <filter val="100%"/>
        <filter val="64%"/>
        <filter val="87%"/>
        <filter val="96%"/>
      </filters>
    </filterColumn>
  </autoFilter>
  <mergeCells count="15">
    <mergeCell ref="L5:L6"/>
    <mergeCell ref="M5:M6"/>
    <mergeCell ref="N5:N6"/>
    <mergeCell ref="O5:O6"/>
    <mergeCell ref="F5:F6"/>
    <mergeCell ref="G5:G6"/>
    <mergeCell ref="H5:H6"/>
    <mergeCell ref="I5:I6"/>
    <mergeCell ref="J5:J6"/>
    <mergeCell ref="K5:K6"/>
    <mergeCell ref="A5:A6"/>
    <mergeCell ref="B5:B6"/>
    <mergeCell ref="C5:C6"/>
    <mergeCell ref="D5:D6"/>
    <mergeCell ref="E5:E6"/>
  </mergeCells>
  <conditionalFormatting sqref="N8:N53">
    <cfRule type="cellIs" dxfId="517" priority="515" operator="greaterThan">
      <formula>E8</formula>
    </cfRule>
  </conditionalFormatting>
  <conditionalFormatting sqref="O8:O53">
    <cfRule type="dataBar" priority="226">
      <dataBar>
        <cfvo type="num" val="0"/>
        <cfvo type="num" val="1"/>
        <color rgb="FFFFB628"/>
      </dataBar>
      <extLst>
        <ext xmlns:x14="http://schemas.microsoft.com/office/spreadsheetml/2009/9/main" uri="{B025F937-C7B1-47D3-B67F-A62EFF666E3E}">
          <x14:id>{2A501453-0A46-4B77-80DF-B70E784B6504}</x14:id>
        </ext>
      </extLst>
    </cfRule>
  </conditionalFormatting>
  <conditionalFormatting sqref="O1:P5 O7:P1048576">
    <cfRule type="cellIs" dxfId="516" priority="105" operator="lessThan">
      <formula>1</formula>
    </cfRule>
    <cfRule type="cellIs" dxfId="515" priority="106" operator="equal">
      <formula>1</formula>
    </cfRule>
  </conditionalFormatting>
  <conditionalFormatting sqref="P8:P27">
    <cfRule type="dataBar" priority="1070">
      <dataBar>
        <cfvo type="num" val="0"/>
        <cfvo type="num" val="1"/>
        <color rgb="FFFFB628"/>
      </dataBar>
      <extLst>
        <ext xmlns:x14="http://schemas.microsoft.com/office/spreadsheetml/2009/9/main" uri="{B025F937-C7B1-47D3-B67F-A62EFF666E3E}">
          <x14:id>{1488E670-E71E-43BC-AEDA-6CDEF634D312}</x14:id>
        </ext>
      </extLst>
    </cfRule>
  </conditionalFormatting>
  <conditionalFormatting sqref="P28">
    <cfRule type="dataBar" priority="1042">
      <dataBar>
        <cfvo type="num" val="0"/>
        <cfvo type="num" val="1"/>
        <color rgb="FFFFB628"/>
      </dataBar>
      <extLst>
        <ext xmlns:x14="http://schemas.microsoft.com/office/spreadsheetml/2009/9/main" uri="{B025F937-C7B1-47D3-B67F-A62EFF666E3E}">
          <x14:id>{A81AFFB9-6ED6-4A2B-B741-026FB90B2FA5}</x14:id>
        </ext>
      </extLst>
    </cfRule>
  </conditionalFormatting>
  <conditionalFormatting sqref="P29:P53">
    <cfRule type="dataBar" priority="1038">
      <dataBar>
        <cfvo type="num" val="0"/>
        <cfvo type="num" val="1"/>
        <color rgb="FFFFB628"/>
      </dataBar>
      <extLst>
        <ext xmlns:x14="http://schemas.microsoft.com/office/spreadsheetml/2009/9/main" uri="{B025F937-C7B1-47D3-B67F-A62EFF666E3E}">
          <x14:id>{93391DE0-773F-42AB-ABD0-BB36C001AFD7}</x14:id>
        </ext>
      </extLst>
    </cfRule>
  </conditionalFormatting>
  <conditionalFormatting sqref="Q8:BE27 AV8:CD32">
    <cfRule type="cellIs" dxfId="514" priority="1069" operator="equal">
      <formula>1</formula>
    </cfRule>
  </conditionalFormatting>
  <conditionalFormatting sqref="Q8:BE53">
    <cfRule type="cellIs" dxfId="513" priority="6" operator="equal">
      <formula>1</formula>
    </cfRule>
  </conditionalFormatting>
  <conditionalFormatting sqref="Q28:BE28">
    <cfRule type="cellIs" dxfId="512" priority="1041" operator="equal">
      <formula>1</formula>
    </cfRule>
  </conditionalFormatting>
  <conditionalFormatting sqref="Q29:BE53">
    <cfRule type="cellIs" dxfId="511" priority="7" operator="equal">
      <formula>1</formula>
    </cfRule>
  </conditionalFormatting>
  <conditionalFormatting sqref="Q1:CD1">
    <cfRule type="cellIs" dxfId="510" priority="770" operator="notEqual">
      <formula>0</formula>
    </cfRule>
  </conditionalFormatting>
  <conditionalFormatting sqref="Q8:CD53">
    <cfRule type="expression" dxfId="509" priority="8">
      <formula>IF(AND($M8&lt;=Q$3,$N8&gt;=Q$3),1,"")</formula>
    </cfRule>
  </conditionalFormatting>
  <conditionalFormatting sqref="AV8:CD32">
    <cfRule type="cellIs" dxfId="508" priority="1068" operator="equal">
      <formula>1</formula>
    </cfRule>
  </conditionalFormatting>
  <conditionalFormatting sqref="AV33:CD53">
    <cfRule type="cellIs" dxfId="507" priority="12" operator="equal">
      <formula>1</formula>
    </cfRule>
    <cfRule type="cellIs" dxfId="506" priority="13" operator="equal">
      <formula>1</formula>
    </cfRule>
  </conditionalFormatting>
  <conditionalFormatting sqref="BG8:BK53">
    <cfRule type="cellIs" dxfId="505" priority="5" operator="equal">
      <formula>1</formula>
    </cfRule>
    <cfRule type="cellIs" dxfId="504" priority="11" operator="equal">
      <formula>1</formula>
    </cfRule>
  </conditionalFormatting>
  <conditionalFormatting sqref="BM8:BQ53">
    <cfRule type="cellIs" dxfId="503" priority="4" operator="equal">
      <formula>1</formula>
    </cfRule>
    <cfRule type="cellIs" dxfId="502" priority="10" operator="equal">
      <formula>1</formula>
    </cfRule>
  </conditionalFormatting>
  <conditionalFormatting sqref="BS8:BW53">
    <cfRule type="cellIs" dxfId="501" priority="3" operator="equal">
      <formula>1</formula>
    </cfRule>
    <cfRule type="cellIs" dxfId="500" priority="9" operator="equal">
      <formula>1</formula>
    </cfRule>
  </conditionalFormatting>
  <conditionalFormatting sqref="BY8:CC27">
    <cfRule type="cellIs" dxfId="499" priority="959" operator="equal">
      <formula>1</formula>
    </cfRule>
  </conditionalFormatting>
  <conditionalFormatting sqref="BY8:CC53">
    <cfRule type="cellIs" dxfId="498" priority="1" operator="equal">
      <formula>1</formula>
    </cfRule>
  </conditionalFormatting>
  <conditionalFormatting sqref="BY28:CC53">
    <cfRule type="cellIs" dxfId="497" priority="2" operator="equal">
      <formula>1</formula>
    </cfRule>
  </conditionalFormatting>
  <pageMargins left="0.7" right="0.7" top="0.75" bottom="0.75" header="0.3" footer="0.3"/>
  <pageSetup paperSize="9" orientation="portrait" horizontalDpi="0" verticalDpi="0" r:id="rId1"/>
  <extLst>
    <ext xmlns:x14="http://schemas.microsoft.com/office/spreadsheetml/2009/9/main" uri="{78C0D931-6437-407d-A8EE-F0AAD7539E65}">
      <x14:conditionalFormattings>
        <x14:conditionalFormatting xmlns:xm="http://schemas.microsoft.com/office/excel/2006/main">
          <x14:cfRule type="dataBar" id="{2A501453-0A46-4B77-80DF-B70E784B6504}">
            <x14:dataBar minLength="0" maxLength="100" gradient="0">
              <x14:cfvo type="num">
                <xm:f>0</xm:f>
              </x14:cfvo>
              <x14:cfvo type="num">
                <xm:f>1</xm:f>
              </x14:cfvo>
              <x14:negativeFillColor rgb="FFFF0000"/>
              <x14:axisColor rgb="FF000000"/>
            </x14:dataBar>
          </x14:cfRule>
          <xm:sqref>O8:O53</xm:sqref>
        </x14:conditionalFormatting>
        <x14:conditionalFormatting xmlns:xm="http://schemas.microsoft.com/office/excel/2006/main">
          <x14:cfRule type="dataBar" id="{1488E670-E71E-43BC-AEDA-6CDEF634D312}">
            <x14:dataBar minLength="0" maxLength="100" gradient="0">
              <x14:cfvo type="num">
                <xm:f>0</xm:f>
              </x14:cfvo>
              <x14:cfvo type="num">
                <xm:f>1</xm:f>
              </x14:cfvo>
              <x14:negativeFillColor rgb="FFFF0000"/>
              <x14:axisColor rgb="FF000000"/>
            </x14:dataBar>
          </x14:cfRule>
          <xm:sqref>P8:P27</xm:sqref>
        </x14:conditionalFormatting>
        <x14:conditionalFormatting xmlns:xm="http://schemas.microsoft.com/office/excel/2006/main">
          <x14:cfRule type="dataBar" id="{A81AFFB9-6ED6-4A2B-B741-026FB90B2FA5}">
            <x14:dataBar minLength="0" maxLength="100" gradient="0">
              <x14:cfvo type="num">
                <xm:f>0</xm:f>
              </x14:cfvo>
              <x14:cfvo type="num">
                <xm:f>1</xm:f>
              </x14:cfvo>
              <x14:negativeFillColor rgb="FFFF0000"/>
              <x14:axisColor rgb="FF000000"/>
            </x14:dataBar>
          </x14:cfRule>
          <xm:sqref>P28</xm:sqref>
        </x14:conditionalFormatting>
        <x14:conditionalFormatting xmlns:xm="http://schemas.microsoft.com/office/excel/2006/main">
          <x14:cfRule type="dataBar" id="{93391DE0-773F-42AB-ABD0-BB36C001AFD7}">
            <x14:dataBar minLength="0" maxLength="100" gradient="0">
              <x14:cfvo type="num">
                <xm:f>0</xm:f>
              </x14:cfvo>
              <x14:cfvo type="num">
                <xm:f>1</xm:f>
              </x14:cfvo>
              <x14:negativeFillColor rgb="FFFF0000"/>
              <x14:axisColor rgb="FF000000"/>
            </x14:dataBar>
          </x14:cfRule>
          <xm:sqref>P29:P53</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4" filterMode="1"/>
  <dimension ref="A1:CD53"/>
  <sheetViews>
    <sheetView showGridLines="0" zoomScaleNormal="100" workbookViewId="0">
      <pane xSplit="15" ySplit="7" topLeftCell="P9" activePane="bottomRight" state="frozen"/>
      <selection pane="topRight" activeCell="P1" sqref="P1"/>
      <selection pane="bottomLeft" activeCell="A8" sqref="A8"/>
      <selection pane="bottomRight" activeCell="K3" sqref="K3"/>
    </sheetView>
  </sheetViews>
  <sheetFormatPr defaultColWidth="9.28515625" defaultRowHeight="12.75" outlineLevelCol="1" x14ac:dyDescent="0.2"/>
  <cols>
    <col min="1" max="1" width="12.28515625" style="72" customWidth="1"/>
    <col min="2" max="2" width="21.7109375" style="71" customWidth="1"/>
    <col min="3" max="3" width="7.28515625" style="71" customWidth="1"/>
    <col min="4" max="4" width="7.7109375" style="71" customWidth="1"/>
    <col min="5" max="5" width="9.7109375" style="174" customWidth="1"/>
    <col min="6" max="6" width="11.5703125" style="74" hidden="1" customWidth="1" outlineLevel="1"/>
    <col min="7" max="7" width="11.7109375" style="75" hidden="1" customWidth="1" outlineLevel="1"/>
    <col min="8" max="8" width="11.28515625" style="74" hidden="1" customWidth="1" outlineLevel="1"/>
    <col min="9" max="9" width="8.7109375" style="76" hidden="1" customWidth="1" outlineLevel="1"/>
    <col min="10" max="10" width="7.7109375" style="76" hidden="1" customWidth="1" outlineLevel="1"/>
    <col min="11" max="11" width="9" style="74" customWidth="1" collapsed="1"/>
    <col min="12" max="12" width="9" style="74" hidden="1" customWidth="1" outlineLevel="1"/>
    <col min="13" max="13" width="7.42578125" style="174" hidden="1" customWidth="1" outlineLevel="1"/>
    <col min="14" max="14" width="8.28515625" style="174" customWidth="1" collapsed="1"/>
    <col min="15" max="16" width="11.28515625" style="78" customWidth="1"/>
    <col min="17" max="31" width="6.5703125" style="71" bestFit="1" customWidth="1"/>
    <col min="32" max="82" width="7.28515625" style="71" bestFit="1" customWidth="1"/>
    <col min="83" max="16384" width="9.28515625" style="71"/>
  </cols>
  <sheetData>
    <row r="1" spans="1:82" x14ac:dyDescent="0.2">
      <c r="Q1" s="105">
        <f>'T&amp;D'!Q1</f>
        <v>0</v>
      </c>
      <c r="R1" s="105">
        <f>'T&amp;D'!R1</f>
        <v>0</v>
      </c>
      <c r="S1" s="105">
        <f>'T&amp;D'!S1</f>
        <v>0</v>
      </c>
      <c r="T1" s="105">
        <f>'T&amp;D'!T1</f>
        <v>0</v>
      </c>
      <c r="U1" s="105">
        <f>'T&amp;D'!U1</f>
        <v>0</v>
      </c>
      <c r="V1" s="105">
        <f>'T&amp;D'!V1</f>
        <v>0</v>
      </c>
      <c r="W1" s="105">
        <f>'T&amp;D'!W1</f>
        <v>0</v>
      </c>
      <c r="X1" s="105">
        <f>'T&amp;D'!X1</f>
        <v>0</v>
      </c>
      <c r="Y1" s="105">
        <f>'T&amp;D'!Y1</f>
        <v>0</v>
      </c>
      <c r="Z1" s="105">
        <f>'T&amp;D'!Z1</f>
        <v>0</v>
      </c>
      <c r="AA1" s="105">
        <f>'T&amp;D'!AA1</f>
        <v>0</v>
      </c>
      <c r="AB1" s="105">
        <f>'T&amp;D'!AB1</f>
        <v>0</v>
      </c>
      <c r="AC1" s="105">
        <f>'T&amp;D'!AC1</f>
        <v>0</v>
      </c>
      <c r="AD1" s="105">
        <f>'T&amp;D'!AD1</f>
        <v>0</v>
      </c>
      <c r="AE1" s="105">
        <f>'T&amp;D'!AE1</f>
        <v>0</v>
      </c>
      <c r="AF1" s="105">
        <f>'T&amp;D'!AF1</f>
        <v>0</v>
      </c>
      <c r="AG1" s="105">
        <f>'T&amp;D'!AG1</f>
        <v>0</v>
      </c>
      <c r="AH1" s="105">
        <f>'T&amp;D'!AH1</f>
        <v>0</v>
      </c>
      <c r="AI1" s="105">
        <f>'T&amp;D'!AI1</f>
        <v>0</v>
      </c>
      <c r="AJ1" s="105">
        <f>'T&amp;D'!AJ1</f>
        <v>0</v>
      </c>
      <c r="AK1" s="105">
        <f>'T&amp;D'!AK1</f>
        <v>0</v>
      </c>
      <c r="AL1" s="105">
        <f>'T&amp;D'!AL1</f>
        <v>0</v>
      </c>
      <c r="AM1" s="105">
        <f>'T&amp;D'!AM1</f>
        <v>0</v>
      </c>
      <c r="AN1" s="105">
        <f>'T&amp;D'!AN1</f>
        <v>0</v>
      </c>
      <c r="AO1" s="105">
        <f>'T&amp;D'!AO1</f>
        <v>0</v>
      </c>
      <c r="AP1" s="105">
        <f>'T&amp;D'!AP1</f>
        <v>0</v>
      </c>
      <c r="AQ1" s="105">
        <f>'T&amp;D'!AQ1</f>
        <v>0</v>
      </c>
      <c r="AR1" s="105">
        <f>'T&amp;D'!AR1</f>
        <v>0</v>
      </c>
      <c r="AS1" s="105">
        <f>'T&amp;D'!AS1</f>
        <v>0</v>
      </c>
      <c r="AT1" s="105">
        <f>'T&amp;D'!AT1</f>
        <v>0</v>
      </c>
      <c r="AU1" s="105">
        <f>'T&amp;D'!AU1</f>
        <v>0</v>
      </c>
      <c r="AV1" s="105">
        <f>'T&amp;D'!AV1</f>
        <v>0</v>
      </c>
      <c r="AW1" s="105">
        <f>'T&amp;D'!AW1</f>
        <v>0</v>
      </c>
      <c r="AX1" s="105">
        <f>'T&amp;D'!AX1</f>
        <v>0</v>
      </c>
      <c r="AY1" s="105">
        <f>'T&amp;D'!AY1</f>
        <v>0</v>
      </c>
      <c r="AZ1" s="105">
        <f>'T&amp;D'!AZ1</f>
        <v>0</v>
      </c>
      <c r="BA1" s="105">
        <f>'T&amp;D'!BA1</f>
        <v>0</v>
      </c>
      <c r="BB1" s="105">
        <f>'T&amp;D'!BB1</f>
        <v>0</v>
      </c>
      <c r="BC1" s="105">
        <f>'T&amp;D'!BC1</f>
        <v>0</v>
      </c>
      <c r="BD1" s="105">
        <f>'T&amp;D'!BD1</f>
        <v>0</v>
      </c>
      <c r="BE1" s="105">
        <f>'T&amp;D'!BE1</f>
        <v>0</v>
      </c>
      <c r="BF1" s="105">
        <f>'T&amp;D'!BF1</f>
        <v>0</v>
      </c>
      <c r="BG1" s="105">
        <f>'T&amp;D'!BG1</f>
        <v>0</v>
      </c>
      <c r="BH1" s="105">
        <f>'T&amp;D'!BH1</f>
        <v>0</v>
      </c>
      <c r="BI1" s="105">
        <f>'T&amp;D'!BI1</f>
        <v>0</v>
      </c>
      <c r="BJ1" s="105">
        <f>'T&amp;D'!BJ1</f>
        <v>0</v>
      </c>
      <c r="BK1" s="105">
        <f>'T&amp;D'!BK1</f>
        <v>0</v>
      </c>
      <c r="BL1" s="105">
        <f>'T&amp;D'!BL1</f>
        <v>0</v>
      </c>
      <c r="BM1" s="105">
        <f>'T&amp;D'!BM1</f>
        <v>0</v>
      </c>
      <c r="BN1" s="105">
        <f>'T&amp;D'!BN1</f>
        <v>0</v>
      </c>
      <c r="BO1" s="105">
        <f>'T&amp;D'!BO1</f>
        <v>0</v>
      </c>
      <c r="BP1" s="105">
        <f>'T&amp;D'!BP1</f>
        <v>0</v>
      </c>
      <c r="BQ1" s="105">
        <f>'T&amp;D'!BQ1</f>
        <v>0</v>
      </c>
      <c r="BR1" s="105">
        <f>'T&amp;D'!BR1</f>
        <v>0</v>
      </c>
      <c r="BS1" s="105">
        <f>'T&amp;D'!BS1</f>
        <v>0</v>
      </c>
      <c r="BT1" s="105">
        <f>'T&amp;D'!BT1</f>
        <v>0</v>
      </c>
      <c r="BU1" s="105">
        <f>'T&amp;D'!BU1</f>
        <v>0</v>
      </c>
      <c r="BV1" s="105">
        <f>'T&amp;D'!BV1</f>
        <v>0</v>
      </c>
      <c r="BW1" s="105">
        <f>'T&amp;D'!BW1</f>
        <v>0</v>
      </c>
      <c r="BX1" s="105">
        <f>'T&amp;D'!BX1</f>
        <v>0</v>
      </c>
      <c r="BY1" s="105">
        <f>'T&amp;D'!BY1</f>
        <v>0</v>
      </c>
      <c r="BZ1" s="105">
        <f>'T&amp;D'!BZ1</f>
        <v>0</v>
      </c>
      <c r="CA1" s="105">
        <f>'T&amp;D'!CA1</f>
        <v>0</v>
      </c>
      <c r="CB1" s="105">
        <f>'T&amp;D'!CB1</f>
        <v>0</v>
      </c>
      <c r="CC1" s="105">
        <f>'T&amp;D'!CC1</f>
        <v>0</v>
      </c>
      <c r="CD1" s="105">
        <f>'T&amp;D'!CD1</f>
        <v>0</v>
      </c>
    </row>
    <row r="2" spans="1:82" x14ac:dyDescent="0.2">
      <c r="A2" s="103" t="s">
        <v>219</v>
      </c>
      <c r="D2" s="75"/>
      <c r="K2" s="142">
        <f>K4-K3</f>
        <v>0.22432125686813192</v>
      </c>
      <c r="Q2" s="105" t="str">
        <f>'T&amp;D'!Q2</f>
        <v>w/O OT</v>
      </c>
      <c r="R2" s="105" t="str">
        <f>'T&amp;D'!R2</f>
        <v>w/O OT</v>
      </c>
      <c r="S2" s="105" t="str">
        <f>'T&amp;D'!S2</f>
        <v>w/O OT</v>
      </c>
      <c r="T2" s="105" t="str">
        <f>'T&amp;D'!T2</f>
        <v>w/O OT</v>
      </c>
      <c r="U2" s="105" t="str">
        <f>'T&amp;D'!U2</f>
        <v>Fri</v>
      </c>
      <c r="V2" s="105" t="str">
        <f>'T&amp;D'!V2</f>
        <v>Sat</v>
      </c>
      <c r="W2" s="105" t="str">
        <f>'T&amp;D'!W2</f>
        <v>w/O OT</v>
      </c>
      <c r="X2" s="105" t="str">
        <f>'T&amp;D'!X2</f>
        <v>w/O OT</v>
      </c>
      <c r="Y2" s="105" t="str">
        <f>'T&amp;D'!Y2</f>
        <v>w/O OT</v>
      </c>
      <c r="Z2" s="105" t="str">
        <f>'T&amp;D'!Z2</f>
        <v>w/O OT</v>
      </c>
      <c r="AA2" s="105" t="str">
        <f>'T&amp;D'!AA2</f>
        <v>Fri</v>
      </c>
      <c r="AB2" s="105" t="str">
        <f>'T&amp;D'!AB2</f>
        <v>Sat</v>
      </c>
      <c r="AC2" s="105" t="str">
        <f>'T&amp;D'!AC2</f>
        <v>w/O OT</v>
      </c>
      <c r="AD2" s="105" t="str">
        <f>'T&amp;D'!AD2</f>
        <v>w/O OT</v>
      </c>
      <c r="AE2" s="105" t="str">
        <f>'T&amp;D'!AE2</f>
        <v>w/O OT</v>
      </c>
      <c r="AF2" s="105" t="str">
        <f>'T&amp;D'!AF2</f>
        <v>w/O OT</v>
      </c>
      <c r="AG2" s="105" t="str">
        <f>'T&amp;D'!AG2</f>
        <v>Fri</v>
      </c>
      <c r="AH2" s="105" t="str">
        <f>'T&amp;D'!AH2</f>
        <v>Sat</v>
      </c>
      <c r="AI2" s="105" t="str">
        <f>'T&amp;D'!AI2</f>
        <v>w/O OT</v>
      </c>
      <c r="AJ2" s="105" t="str">
        <f>'T&amp;D'!AJ2</f>
        <v>w/O OT</v>
      </c>
      <c r="AK2" s="105" t="str">
        <f>'T&amp;D'!AK2</f>
        <v>w/O OT</v>
      </c>
      <c r="AL2" s="105" t="str">
        <f>'T&amp;D'!AL2</f>
        <v>w/O OT</v>
      </c>
      <c r="AM2" s="105" t="str">
        <f>'T&amp;D'!AM2</f>
        <v>Fri</v>
      </c>
      <c r="AN2" s="105" t="str">
        <f>'T&amp;D'!AN2</f>
        <v>Sat</v>
      </c>
      <c r="AO2" s="105" t="str">
        <f>'T&amp;D'!AO2</f>
        <v>w/O OT</v>
      </c>
      <c r="AP2" s="105" t="str">
        <f>'T&amp;D'!AP2</f>
        <v>w/O OT</v>
      </c>
      <c r="AQ2" s="105" t="str">
        <f>'T&amp;D'!AQ2</f>
        <v>w/O OT</v>
      </c>
      <c r="AR2" s="105" t="str">
        <f>'T&amp;D'!AR2</f>
        <v>w/O OT</v>
      </c>
      <c r="AS2" s="105" t="str">
        <f>'T&amp;D'!AS2</f>
        <v>Fri</v>
      </c>
      <c r="AT2" s="105" t="str">
        <f>'T&amp;D'!AT2</f>
        <v>Sat</v>
      </c>
      <c r="AU2" s="105" t="str">
        <f>'T&amp;D'!AU2</f>
        <v>w/O OT</v>
      </c>
      <c r="AV2" s="105" t="str">
        <f>'T&amp;D'!AV2</f>
        <v>w/O OT</v>
      </c>
      <c r="AW2" s="105" t="str">
        <f>'T&amp;D'!AW2</f>
        <v>w/O OT</v>
      </c>
      <c r="AX2" s="105" t="str">
        <f>'T&amp;D'!AX2</f>
        <v>w/O OT</v>
      </c>
      <c r="AY2" s="105" t="str">
        <f>'T&amp;D'!AY2</f>
        <v>Fri</v>
      </c>
      <c r="AZ2" s="105" t="str">
        <f>'T&amp;D'!AZ2</f>
        <v>Sat</v>
      </c>
      <c r="BA2" s="105" t="str">
        <f>'T&amp;D'!BA2</f>
        <v>w/O OT</v>
      </c>
      <c r="BB2" s="105" t="str">
        <f>'T&amp;D'!BB2</f>
        <v>w/O OT</v>
      </c>
      <c r="BC2" s="105" t="str">
        <f>'T&amp;D'!BC2</f>
        <v>w/O OT</v>
      </c>
      <c r="BD2" s="105" t="str">
        <f>'T&amp;D'!BD2</f>
        <v>w/O OT</v>
      </c>
      <c r="BE2" s="105" t="str">
        <f>'T&amp;D'!BE2</f>
        <v>Fri</v>
      </c>
      <c r="BF2" s="105" t="str">
        <f>'T&amp;D'!BF2</f>
        <v>Sat</v>
      </c>
      <c r="BG2" s="105" t="str">
        <f>'T&amp;D'!BG2</f>
        <v>w/O OT</v>
      </c>
      <c r="BH2" s="105" t="str">
        <f>'T&amp;D'!BH2</f>
        <v>w/O OT</v>
      </c>
      <c r="BI2" s="105" t="str">
        <f>'T&amp;D'!BI2</f>
        <v>w/O OT</v>
      </c>
      <c r="BJ2" s="105" t="str">
        <f>'T&amp;D'!BJ2</f>
        <v>w/O OT</v>
      </c>
      <c r="BK2" s="105" t="str">
        <f>'T&amp;D'!BK2</f>
        <v>Fri</v>
      </c>
      <c r="BL2" s="105" t="str">
        <f>'T&amp;D'!BL2</f>
        <v>Sat</v>
      </c>
      <c r="BM2" s="105" t="str">
        <f>'T&amp;D'!BM2</f>
        <v>w/O OT</v>
      </c>
      <c r="BN2" s="105" t="str">
        <f>'T&amp;D'!BN2</f>
        <v>w/O OT</v>
      </c>
      <c r="BO2" s="105" t="str">
        <f>'T&amp;D'!BO2</f>
        <v>w/O OT</v>
      </c>
      <c r="BP2" s="105" t="str">
        <f>'T&amp;D'!BP2</f>
        <v>w/O OT</v>
      </c>
      <c r="BQ2" s="105" t="str">
        <f>'T&amp;D'!BQ2</f>
        <v>Fri</v>
      </c>
      <c r="BR2" s="105" t="str">
        <f>'T&amp;D'!BR2</f>
        <v>Sat</v>
      </c>
      <c r="BS2" s="105" t="str">
        <f>'T&amp;D'!BS2</f>
        <v>w/O OT</v>
      </c>
      <c r="BT2" s="105" t="str">
        <f>'T&amp;D'!BT2</f>
        <v>w/O OT</v>
      </c>
      <c r="BU2" s="105" t="str">
        <f>'T&amp;D'!BU2</f>
        <v>w/O OT</v>
      </c>
      <c r="BV2" s="105" t="str">
        <f>'T&amp;D'!BV2</f>
        <v>w/O OT</v>
      </c>
      <c r="BW2" s="105" t="str">
        <f>'T&amp;D'!BW2</f>
        <v>Fri</v>
      </c>
      <c r="BX2" s="105" t="str">
        <f>'T&amp;D'!BX2</f>
        <v>Sat</v>
      </c>
      <c r="BY2" s="105" t="str">
        <f>'T&amp;D'!BY2</f>
        <v>w/O OT</v>
      </c>
      <c r="BZ2" s="105" t="str">
        <f>'T&amp;D'!BZ2</f>
        <v>w/O OT</v>
      </c>
      <c r="CA2" s="105" t="str">
        <f>'T&amp;D'!CA2</f>
        <v>w/O OT</v>
      </c>
      <c r="CB2" s="105" t="str">
        <f>'T&amp;D'!CB2</f>
        <v>w/O OT</v>
      </c>
      <c r="CC2" s="105" t="str">
        <f>'T&amp;D'!CC2</f>
        <v>Fri</v>
      </c>
      <c r="CD2" s="105" t="str">
        <f>'T&amp;D'!CD2</f>
        <v>Sat</v>
      </c>
    </row>
    <row r="3" spans="1:82" s="80" customFormat="1" ht="12" customHeight="1" x14ac:dyDescent="0.2">
      <c r="A3" s="79"/>
      <c r="C3" s="71" t="s">
        <v>109</v>
      </c>
      <c r="D3" s="75" t="s">
        <v>110</v>
      </c>
      <c r="E3" s="174" t="s">
        <v>90</v>
      </c>
      <c r="K3" s="85">
        <f>K41+K43</f>
        <v>6.0582142857142918E-2</v>
      </c>
      <c r="L3" s="85"/>
      <c r="M3" s="177"/>
      <c r="N3" s="240" t="s">
        <v>415</v>
      </c>
      <c r="O3" s="81"/>
      <c r="P3" s="81"/>
      <c r="Q3" s="82">
        <f>'T&amp;D'!Q3</f>
        <v>46314</v>
      </c>
      <c r="R3" s="82">
        <f>'T&amp;D'!R3</f>
        <v>46315</v>
      </c>
      <c r="S3" s="82">
        <f>'T&amp;D'!S3</f>
        <v>46316</v>
      </c>
      <c r="T3" s="82">
        <f>'T&amp;D'!T3</f>
        <v>46317</v>
      </c>
      <c r="U3" s="82">
        <f>'T&amp;D'!U3</f>
        <v>46318</v>
      </c>
      <c r="V3" s="82">
        <f>'T&amp;D'!V3</f>
        <v>46319</v>
      </c>
      <c r="W3" s="82">
        <f>'T&amp;D'!W3</f>
        <v>46321</v>
      </c>
      <c r="X3" s="82">
        <f>'T&amp;D'!X3</f>
        <v>46322</v>
      </c>
      <c r="Y3" s="82">
        <f>'T&amp;D'!Y3</f>
        <v>46323</v>
      </c>
      <c r="Z3" s="82">
        <f>'T&amp;D'!Z3</f>
        <v>46324</v>
      </c>
      <c r="AA3" s="82">
        <f>'T&amp;D'!AA3</f>
        <v>46325</v>
      </c>
      <c r="AB3" s="82">
        <f>'T&amp;D'!AB3</f>
        <v>46326</v>
      </c>
      <c r="AC3" s="82">
        <f>'T&amp;D'!AC3</f>
        <v>46328</v>
      </c>
      <c r="AD3" s="82">
        <f>'T&amp;D'!AD3</f>
        <v>46329</v>
      </c>
      <c r="AE3" s="82">
        <f>'T&amp;D'!AE3</f>
        <v>46330</v>
      </c>
      <c r="AF3" s="82">
        <f>'T&amp;D'!AF3</f>
        <v>46331</v>
      </c>
      <c r="AG3" s="82">
        <f>'T&amp;D'!AG3</f>
        <v>46332</v>
      </c>
      <c r="AH3" s="82">
        <f>'T&amp;D'!AH3</f>
        <v>46333</v>
      </c>
      <c r="AI3" s="82">
        <f>'T&amp;D'!AI3</f>
        <v>46335</v>
      </c>
      <c r="AJ3" s="82">
        <f>'T&amp;D'!AJ3</f>
        <v>46336</v>
      </c>
      <c r="AK3" s="82">
        <f>'T&amp;D'!AK3</f>
        <v>46337</v>
      </c>
      <c r="AL3" s="82">
        <f>'T&amp;D'!AL3</f>
        <v>46338</v>
      </c>
      <c r="AM3" s="82">
        <f>'T&amp;D'!AM3</f>
        <v>46339</v>
      </c>
      <c r="AN3" s="82">
        <f>'T&amp;D'!AN3</f>
        <v>46340</v>
      </c>
      <c r="AO3" s="82">
        <f>'T&amp;D'!AO3</f>
        <v>46342</v>
      </c>
      <c r="AP3" s="82">
        <f>'T&amp;D'!AP3</f>
        <v>46343</v>
      </c>
      <c r="AQ3" s="82">
        <f>'T&amp;D'!AQ3</f>
        <v>46344</v>
      </c>
      <c r="AR3" s="82">
        <f>'T&amp;D'!AR3</f>
        <v>46345</v>
      </c>
      <c r="AS3" s="82">
        <f>'T&amp;D'!AS3</f>
        <v>46346</v>
      </c>
      <c r="AT3" s="82">
        <f>'T&amp;D'!AT3</f>
        <v>46347</v>
      </c>
      <c r="AU3" s="82">
        <f>'T&amp;D'!AU3</f>
        <v>46349</v>
      </c>
      <c r="AV3" s="82">
        <f>'T&amp;D'!AV3</f>
        <v>46350</v>
      </c>
      <c r="AW3" s="82">
        <f>'T&amp;D'!AW3</f>
        <v>46351</v>
      </c>
      <c r="AX3" s="82">
        <f>'T&amp;D'!AX3</f>
        <v>46352</v>
      </c>
      <c r="AY3" s="82">
        <f>'T&amp;D'!AY3</f>
        <v>46353</v>
      </c>
      <c r="AZ3" s="82">
        <f>'T&amp;D'!AZ3</f>
        <v>46354</v>
      </c>
      <c r="BA3" s="82">
        <f>'T&amp;D'!BA3</f>
        <v>46356</v>
      </c>
      <c r="BB3" s="82">
        <f>'T&amp;D'!BB3</f>
        <v>46357</v>
      </c>
      <c r="BC3" s="82">
        <f>'T&amp;D'!BC3</f>
        <v>46358</v>
      </c>
      <c r="BD3" s="82">
        <f>'T&amp;D'!BD3</f>
        <v>46359</v>
      </c>
      <c r="BE3" s="82">
        <f>'T&amp;D'!BE3</f>
        <v>46360</v>
      </c>
      <c r="BF3" s="82">
        <f>'T&amp;D'!BF3</f>
        <v>46361</v>
      </c>
      <c r="BG3" s="82">
        <f>'T&amp;D'!BG3</f>
        <v>46363</v>
      </c>
      <c r="BH3" s="82">
        <f>'T&amp;D'!BH3</f>
        <v>46364</v>
      </c>
      <c r="BI3" s="82">
        <f>'T&amp;D'!BI3</f>
        <v>46365</v>
      </c>
      <c r="BJ3" s="82">
        <f>'T&amp;D'!BJ3</f>
        <v>46366</v>
      </c>
      <c r="BK3" s="82">
        <f>'T&amp;D'!BK3</f>
        <v>46367</v>
      </c>
      <c r="BL3" s="82">
        <f>'T&amp;D'!BL3</f>
        <v>46368</v>
      </c>
      <c r="BM3" s="82">
        <f>'T&amp;D'!BM3</f>
        <v>46370</v>
      </c>
      <c r="BN3" s="82">
        <f>'T&amp;D'!BN3</f>
        <v>46371</v>
      </c>
      <c r="BO3" s="82">
        <f>'T&amp;D'!BO3</f>
        <v>46372</v>
      </c>
      <c r="BP3" s="82">
        <f>'T&amp;D'!BP3</f>
        <v>46373</v>
      </c>
      <c r="BQ3" s="82">
        <f>'T&amp;D'!BQ3</f>
        <v>46374</v>
      </c>
      <c r="BR3" s="82">
        <f>'T&amp;D'!BR3</f>
        <v>46375</v>
      </c>
      <c r="BS3" s="82">
        <f>'T&amp;D'!BS3</f>
        <v>46377</v>
      </c>
      <c r="BT3" s="82">
        <f>'T&amp;D'!BT3</f>
        <v>46378</v>
      </c>
      <c r="BU3" s="82">
        <f>'T&amp;D'!BU3</f>
        <v>46379</v>
      </c>
      <c r="BV3" s="82">
        <f>'T&amp;D'!BV3</f>
        <v>46380</v>
      </c>
      <c r="BW3" s="82">
        <f>'T&amp;D'!BW3</f>
        <v>46381</v>
      </c>
      <c r="BX3" s="82">
        <f>'T&amp;D'!BX3</f>
        <v>46382</v>
      </c>
      <c r="BY3" s="82">
        <f>'T&amp;D'!BY3</f>
        <v>46384</v>
      </c>
      <c r="BZ3" s="82">
        <f>'T&amp;D'!BZ3</f>
        <v>46385</v>
      </c>
      <c r="CA3" s="82">
        <f>'T&amp;D'!CA3</f>
        <v>46386</v>
      </c>
      <c r="CB3" s="82">
        <f>'T&amp;D'!CB3</f>
        <v>46387</v>
      </c>
      <c r="CC3" s="82">
        <f>'T&amp;D'!CC3</f>
        <v>46388</v>
      </c>
      <c r="CD3" s="82">
        <f>'T&amp;D'!CD3</f>
        <v>46389</v>
      </c>
    </row>
    <row r="4" spans="1:82" s="84" customFormat="1" ht="12" customHeight="1" x14ac:dyDescent="0.2">
      <c r="A4" s="83"/>
      <c r="D4" s="173"/>
      <c r="E4" s="174" t="s">
        <v>228</v>
      </c>
      <c r="H4" s="85">
        <f>45.5/5</f>
        <v>9.1</v>
      </c>
      <c r="K4" s="85">
        <f>SUM(K8:K4652)</f>
        <v>0.28490339972527484</v>
      </c>
      <c r="L4" s="85"/>
      <c r="M4" s="178">
        <f>'T&amp;D'!M4</f>
        <v>46314</v>
      </c>
      <c r="N4" s="177"/>
      <c r="O4" s="81"/>
      <c r="P4" s="81"/>
      <c r="Q4" s="104">
        <f>'T&amp;D'!Q4</f>
        <v>45817</v>
      </c>
      <c r="R4" s="104">
        <f>'T&amp;D'!R4</f>
        <v>45818</v>
      </c>
      <c r="S4" s="104">
        <f>'T&amp;D'!S4</f>
        <v>45819</v>
      </c>
      <c r="T4" s="104">
        <f>'T&amp;D'!T4</f>
        <v>45820</v>
      </c>
      <c r="U4" s="104">
        <f>'T&amp;D'!U4</f>
        <v>45821</v>
      </c>
      <c r="V4" s="104">
        <f>'T&amp;D'!V4</f>
        <v>45822</v>
      </c>
      <c r="W4" s="104">
        <f>'T&amp;D'!W4</f>
        <v>45824</v>
      </c>
      <c r="X4" s="104">
        <f>'T&amp;D'!X4</f>
        <v>45825</v>
      </c>
      <c r="Y4" s="104">
        <f>'T&amp;D'!Y4</f>
        <v>45826</v>
      </c>
      <c r="Z4" s="104">
        <f>'T&amp;D'!Z4</f>
        <v>45827</v>
      </c>
      <c r="AA4" s="104">
        <f>'T&amp;D'!AA4</f>
        <v>45828</v>
      </c>
      <c r="AB4" s="104">
        <f>'T&amp;D'!AB4</f>
        <v>45829</v>
      </c>
      <c r="AC4" s="104">
        <f>'T&amp;D'!AC4</f>
        <v>45831</v>
      </c>
      <c r="AD4" s="104">
        <f>'T&amp;D'!AD4</f>
        <v>45832</v>
      </c>
      <c r="AE4" s="104">
        <f>'T&amp;D'!AE4</f>
        <v>45833</v>
      </c>
      <c r="AF4" s="104">
        <f>'T&amp;D'!AF4</f>
        <v>45834</v>
      </c>
      <c r="AG4" s="104">
        <f>'T&amp;D'!AG4</f>
        <v>45835</v>
      </c>
      <c r="AH4" s="104">
        <f>'T&amp;D'!AH4</f>
        <v>45836</v>
      </c>
      <c r="AI4" s="104">
        <f>'T&amp;D'!AI4</f>
        <v>45838</v>
      </c>
      <c r="AJ4" s="104">
        <f>'T&amp;D'!AJ4</f>
        <v>45839</v>
      </c>
      <c r="AK4" s="104">
        <f>'T&amp;D'!AK4</f>
        <v>45840</v>
      </c>
      <c r="AL4" s="104">
        <f>'T&amp;D'!AL4</f>
        <v>45841</v>
      </c>
      <c r="AM4" s="104">
        <f>'T&amp;D'!AM4</f>
        <v>45842</v>
      </c>
      <c r="AN4" s="104">
        <f>'T&amp;D'!AN4</f>
        <v>45843</v>
      </c>
      <c r="AO4" s="104">
        <f>'T&amp;D'!AO4</f>
        <v>45845</v>
      </c>
      <c r="AP4" s="104">
        <f>'T&amp;D'!AP4</f>
        <v>45846</v>
      </c>
      <c r="AQ4" s="104">
        <f>'T&amp;D'!AQ4</f>
        <v>45847</v>
      </c>
      <c r="AR4" s="104">
        <f>'T&amp;D'!AR4</f>
        <v>45848</v>
      </c>
      <c r="AS4" s="104">
        <f>'T&amp;D'!AS4</f>
        <v>45849</v>
      </c>
      <c r="AT4" s="104">
        <f>'T&amp;D'!AT4</f>
        <v>45850</v>
      </c>
      <c r="AU4" s="104">
        <f>'T&amp;D'!AU4</f>
        <v>45852</v>
      </c>
      <c r="AV4" s="104">
        <f>'T&amp;D'!AV4</f>
        <v>45853</v>
      </c>
      <c r="AW4" s="104">
        <f>'T&amp;D'!AW4</f>
        <v>45854</v>
      </c>
      <c r="AX4" s="104">
        <f>'T&amp;D'!AX4</f>
        <v>45855</v>
      </c>
      <c r="AY4" s="104">
        <f>'T&amp;D'!AY4</f>
        <v>45856</v>
      </c>
      <c r="AZ4" s="104">
        <f>'T&amp;D'!AZ4</f>
        <v>45857</v>
      </c>
      <c r="BA4" s="104">
        <f>'T&amp;D'!BA4</f>
        <v>45859</v>
      </c>
      <c r="BB4" s="104">
        <f>'T&amp;D'!BB4</f>
        <v>45860</v>
      </c>
      <c r="BC4" s="104">
        <f>'T&amp;D'!BC4</f>
        <v>45861</v>
      </c>
      <c r="BD4" s="104">
        <f>'T&amp;D'!BD4</f>
        <v>45862</v>
      </c>
      <c r="BE4" s="104">
        <f>'T&amp;D'!BE4</f>
        <v>45863</v>
      </c>
      <c r="BF4" s="104">
        <f>'T&amp;D'!BF4</f>
        <v>45864</v>
      </c>
      <c r="BG4" s="104">
        <f>'T&amp;D'!BG4</f>
        <v>45866</v>
      </c>
      <c r="BH4" s="104">
        <f>'T&amp;D'!BH4</f>
        <v>45867</v>
      </c>
      <c r="BI4" s="104">
        <f>'T&amp;D'!BI4</f>
        <v>45868</v>
      </c>
      <c r="BJ4" s="104">
        <f>'T&amp;D'!BJ4</f>
        <v>45869</v>
      </c>
      <c r="BK4" s="104">
        <f>'T&amp;D'!BK4</f>
        <v>45870</v>
      </c>
      <c r="BL4" s="104">
        <f>'T&amp;D'!BL4</f>
        <v>45871</v>
      </c>
      <c r="BM4" s="104">
        <f>'T&amp;D'!BM4</f>
        <v>45873</v>
      </c>
      <c r="BN4" s="104">
        <f>'T&amp;D'!BN4</f>
        <v>45874</v>
      </c>
      <c r="BO4" s="104">
        <f>'T&amp;D'!BO4</f>
        <v>45875</v>
      </c>
      <c r="BP4" s="104">
        <f>'T&amp;D'!BP4</f>
        <v>45876</v>
      </c>
      <c r="BQ4" s="104">
        <f>'T&amp;D'!BQ4</f>
        <v>45877</v>
      </c>
      <c r="BR4" s="104">
        <f>'T&amp;D'!BR4</f>
        <v>45878</v>
      </c>
      <c r="BS4" s="104">
        <f>'T&amp;D'!BS4</f>
        <v>45880</v>
      </c>
      <c r="BT4" s="104">
        <f>'T&amp;D'!BT4</f>
        <v>45881</v>
      </c>
      <c r="BU4" s="104">
        <f>'T&amp;D'!BU4</f>
        <v>45882</v>
      </c>
      <c r="BV4" s="104">
        <f>'T&amp;D'!BV4</f>
        <v>45883</v>
      </c>
      <c r="BW4" s="104">
        <f>'T&amp;D'!BW4</f>
        <v>45884</v>
      </c>
      <c r="BX4" s="104">
        <f>'T&amp;D'!BX4</f>
        <v>45885</v>
      </c>
      <c r="BY4" s="104">
        <f>'T&amp;D'!BY4</f>
        <v>45887</v>
      </c>
      <c r="BZ4" s="104">
        <f>'T&amp;D'!BZ4</f>
        <v>45888</v>
      </c>
      <c r="CA4" s="104">
        <f>'T&amp;D'!CA4</f>
        <v>45889</v>
      </c>
      <c r="CB4" s="104">
        <f>'T&amp;D'!CB4</f>
        <v>45890</v>
      </c>
      <c r="CC4" s="104">
        <f>'T&amp;D'!CC4</f>
        <v>45891</v>
      </c>
      <c r="CD4" s="104">
        <f>'T&amp;D'!CD4</f>
        <v>45892</v>
      </c>
    </row>
    <row r="5" spans="1:82" s="84" customFormat="1" ht="15" customHeight="1" x14ac:dyDescent="0.2">
      <c r="A5" s="386" t="s">
        <v>385</v>
      </c>
      <c r="B5" s="386" t="s">
        <v>214</v>
      </c>
      <c r="C5" s="387" t="s">
        <v>91</v>
      </c>
      <c r="D5" s="388" t="s">
        <v>0</v>
      </c>
      <c r="E5" s="389" t="s">
        <v>103</v>
      </c>
      <c r="F5" s="392" t="s">
        <v>93</v>
      </c>
      <c r="G5" s="388" t="s">
        <v>94</v>
      </c>
      <c r="H5" s="390" t="s">
        <v>95</v>
      </c>
      <c r="I5" s="393" t="s">
        <v>519</v>
      </c>
      <c r="J5" s="393" t="s">
        <v>520</v>
      </c>
      <c r="K5" s="390" t="s">
        <v>241</v>
      </c>
      <c r="L5" s="390" t="s">
        <v>240</v>
      </c>
      <c r="M5" s="389" t="s">
        <v>98</v>
      </c>
      <c r="N5" s="389" t="s">
        <v>99</v>
      </c>
      <c r="O5" s="391" t="s">
        <v>102</v>
      </c>
      <c r="P5" s="125" t="s">
        <v>106</v>
      </c>
      <c r="Q5" s="126" cm="1">
        <f t="array" ref="Q5">_xlfn.IFS(Q2="w/ OT",12.25,Q2="w/o OT",9.5,Q2="FRI",7.5,Q2="SAT",7.5,Q2="SUN",7.5,Q2="OFF",0)</f>
        <v>9.5</v>
      </c>
      <c r="R5" s="126" cm="1">
        <f t="array" ref="R5">_xlfn.IFS(R2="w/ OT",12.25,R2="w/o OT",9.5,R2="FRI",7.5,R2="SAT",7.5,R2="SUN",7.5,R2="OFF",0)</f>
        <v>9.5</v>
      </c>
      <c r="S5" s="126" cm="1">
        <f t="array" ref="S5">_xlfn.IFS(S2="w/ OT",12.25,S2="w/o OT",9.5,S2="FRI",7.5,S2="SAT",7.5,S2="SUN",7.5,S2="OFF",0)</f>
        <v>9.5</v>
      </c>
      <c r="T5" s="126" cm="1">
        <f t="array" ref="T5">_xlfn.IFS(T2="w/ OT",12.25,T2="w/o OT",9.5,T2="FRI",7.5,T2="SAT",7.5,T2="SUN",7.5,T2="OFF",0)</f>
        <v>9.5</v>
      </c>
      <c r="U5" s="126" cm="1">
        <f t="array" ref="U5">_xlfn.IFS(U2="w/ OT",12.25,U2="w/o OT",9.5,U2="FRI",7.5,U2="SAT",7.5,U2="SUN",7.5,U2="OFF",0)</f>
        <v>7.5</v>
      </c>
      <c r="V5" s="126" cm="1">
        <f t="array" ref="V5">_xlfn.IFS(V2="w/ OT",12.25,V2="w/o OT",9.5,V2="FRI",7.5,V2="SAT",7.5,V2="SUN",7.5,V2="OFF",0)</f>
        <v>7.5</v>
      </c>
      <c r="W5" s="126" cm="1">
        <f t="array" ref="W5">_xlfn.IFS(W2="w/ OT",12.25,W2="w/o OT",9.5,W2="FRI",7.5,W2="SAT",7.5,W2="SUN",7.5,W2="OFF",0)</f>
        <v>9.5</v>
      </c>
      <c r="X5" s="126" cm="1">
        <f t="array" ref="X5">_xlfn.IFS(X2="w/ OT",12.25,X2="w/o OT",9.5,X2="FRI",7.5,X2="SAT",7.5,X2="SUN",7.5,X2="OFF",0)</f>
        <v>9.5</v>
      </c>
      <c r="Y5" s="126" cm="1">
        <f t="array" ref="Y5">_xlfn.IFS(Y2="w/ OT",12.25,Y2="w/o OT",9.5,Y2="FRI",7.5,Y2="SAT",7.5,Y2="SUN",7.5,Y2="OFF",0)</f>
        <v>9.5</v>
      </c>
      <c r="Z5" s="126" cm="1">
        <f t="array" ref="Z5">_xlfn.IFS(Z2="w/ OT",12.25,Z2="w/o OT",9.5,Z2="FRI",7.5,Z2="SAT",7.5,Z2="SUN",7.5,Z2="OFF",0)</f>
        <v>9.5</v>
      </c>
      <c r="AA5" s="126" cm="1">
        <f t="array" ref="AA5">_xlfn.IFS(AA2="w/ OT",12.25,AA2="w/o OT",9.5,AA2="FRI",7.5,AA2="SAT",7.5,AA2="SUN",7.5,AA2="OFF",0)</f>
        <v>7.5</v>
      </c>
      <c r="AB5" s="126" cm="1">
        <f t="array" ref="AB5">_xlfn.IFS(AB2="w/ OT",12.25,AB2="w/o OT",9.5,AB2="FRI",7.5,AB2="SAT",7.5,AB2="SUN",7.5,AB2="OFF",0)</f>
        <v>7.5</v>
      </c>
      <c r="AC5" s="126" cm="1">
        <f t="array" ref="AC5">_xlfn.IFS(AC2="w/ OT",12.25,AC2="w/o OT",9.5,AC2="FRI",7.5,AC2="SAT",7.5,AC2="SUN",7.5,AC2="OFF",0)</f>
        <v>9.5</v>
      </c>
      <c r="AD5" s="126" cm="1">
        <f t="array" ref="AD5">_xlfn.IFS(AD2="w/ OT",12.25,AD2="w/o OT",9.5,AD2="FRI",7.5,AD2="SAT",7.5,AD2="SUN",7.5,AD2="OFF",0)</f>
        <v>9.5</v>
      </c>
      <c r="AE5" s="126" cm="1">
        <f t="array" ref="AE5">_xlfn.IFS(AE2="w/ OT",12.25,AE2="w/o OT",9.5,AE2="FRI",7.5,AE2="SAT",7.5,AE2="SUN",7.5,AE2="OFF",0)</f>
        <v>9.5</v>
      </c>
      <c r="AF5" s="126" cm="1">
        <f t="array" ref="AF5">_xlfn.IFS(AF2="w/ OT",12.25,AF2="w/o OT",9.5,AF2="FRI",7.5,AF2="SAT",7.5,AF2="SUN",7.5,AF2="OFF",0)</f>
        <v>9.5</v>
      </c>
      <c r="AG5" s="126" cm="1">
        <f t="array" ref="AG5">_xlfn.IFS(AG2="w/ OT",12.25,AG2="w/o OT",9.5,AG2="FRI",7.5,AG2="SAT",7.5,AG2="SUN",7.5,AG2="OFF",0)</f>
        <v>7.5</v>
      </c>
      <c r="AH5" s="126" cm="1">
        <f t="array" ref="AH5">_xlfn.IFS(AH2="w/ OT",12.25,AH2="w/o OT",9.5,AH2="FRI",7.5,AH2="SAT",7.5,AH2="SUN",7.5,AH2="OFF",0)</f>
        <v>7.5</v>
      </c>
      <c r="AI5" s="126" cm="1">
        <f t="array" ref="AI5">_xlfn.IFS(AI2="w/ OT",12.25,AI2="w/o OT",9.5,AI2="FRI",7.5,AI2="SAT",7.5,AI2="SUN",7.5,AI2="OFF",0)</f>
        <v>9.5</v>
      </c>
      <c r="AJ5" s="126" cm="1">
        <f t="array" ref="AJ5">_xlfn.IFS(AJ2="w/ OT",12.25,AJ2="w/o OT",9.5,AJ2="FRI",7.5,AJ2="SAT",7.5,AJ2="SUN",7.5,AJ2="OFF",0)</f>
        <v>9.5</v>
      </c>
      <c r="AK5" s="126" cm="1">
        <f t="array" ref="AK5">_xlfn.IFS(AK2="w/ OT",12.25,AK2="w/o OT",9.5,AK2="FRI",7.5,AK2="SAT",7.5,AK2="SUN",7.5,AK2="OFF",0)</f>
        <v>9.5</v>
      </c>
      <c r="AL5" s="126" cm="1">
        <f t="array" ref="AL5">_xlfn.IFS(AL2="w/ OT",12.25,AL2="w/o OT",9.5,AL2="FRI",7.5,AL2="SAT",7.5,AL2="SUN",7.5,AL2="OFF",0)</f>
        <v>9.5</v>
      </c>
      <c r="AM5" s="126" cm="1">
        <f t="array" ref="AM5">_xlfn.IFS(AM2="w/ OT",12.25,AM2="w/o OT",9.5,AM2="FRI",7.5,AM2="SAT",7.5,AM2="SUN",7.5,AM2="OFF",0)</f>
        <v>7.5</v>
      </c>
      <c r="AN5" s="126" cm="1">
        <f t="array" ref="AN5">_xlfn.IFS(AN2="w/ OT",12.25,AN2="w/o OT",9.5,AN2="FRI",7.5,AN2="SAT",7.5,AN2="SUN",7.5,AN2="OFF",0)</f>
        <v>7.5</v>
      </c>
      <c r="AO5" s="126" cm="1">
        <f t="array" ref="AO5">_xlfn.IFS(AO2="w/ OT",12.25,AO2="w/o OT",9.5,AO2="FRI",7.5,AO2="SAT",7.5,AO2="SUN",7.5,AO2="OFF",0)</f>
        <v>9.5</v>
      </c>
      <c r="AP5" s="126" cm="1">
        <f t="array" ref="AP5">_xlfn.IFS(AP2="w/ OT",12.25,AP2="w/o OT",9.5,AP2="FRI",7.5,AP2="SAT",7.5,AP2="SUN",7.5,AP2="OFF",0)</f>
        <v>9.5</v>
      </c>
      <c r="AQ5" s="126" cm="1">
        <f t="array" ref="AQ5">_xlfn.IFS(AQ2="w/ OT",12.25,AQ2="w/o OT",9.5,AQ2="FRI",7.5,AQ2="SAT",7.5,AQ2="SUN",7.5,AQ2="OFF",0)</f>
        <v>9.5</v>
      </c>
      <c r="AR5" s="126" cm="1">
        <f t="array" ref="AR5">_xlfn.IFS(AR2="w/ OT",12.25,AR2="w/o OT",9.5,AR2="FRI",7.5,AR2="SAT",7.5,AR2="SUN",7.5,AR2="OFF",0)</f>
        <v>9.5</v>
      </c>
      <c r="AS5" s="126" cm="1">
        <f t="array" ref="AS5">_xlfn.IFS(AS2="w/ OT",12.25,AS2="w/o OT",9.5,AS2="FRI",7.5,AS2="SAT",7.5,AS2="SUN",7.5,AS2="OFF",0)</f>
        <v>7.5</v>
      </c>
      <c r="AT5" s="126" cm="1">
        <f t="array" ref="AT5">_xlfn.IFS(AT2="w/ OT",12.25,AT2="w/o OT",9.5,AT2="FRI",7.5,AT2="SAT",7.5,AT2="SUN",7.5,AT2="OFF",0)</f>
        <v>7.5</v>
      </c>
      <c r="AU5" s="126" cm="1">
        <f t="array" ref="AU5">_xlfn.IFS(AU2="w/ OT",12.25,AU2="w/o OT",9.5,AU2="FRI",7.5,AU2="SAT",7.5,AU2="SUN",7.5,AU2="OFF",0)</f>
        <v>9.5</v>
      </c>
      <c r="AV5" s="126" cm="1">
        <f t="array" ref="AV5">_xlfn.IFS(AV2="w/ OT",12.25,AV2="w/o OT",9.5,AV2="FRI",7.5,AV2="SAT",7.5,AV2="SUN",7.5,AV2="OFF",0)</f>
        <v>9.5</v>
      </c>
      <c r="AW5" s="126" cm="1">
        <f t="array" ref="AW5">_xlfn.IFS(AW2="w/ OT",12.25,AW2="w/o OT",9.5,AW2="FRI",7.5,AW2="SAT",7.5,AW2="SUN",7.5,AW2="OFF",0)</f>
        <v>9.5</v>
      </c>
      <c r="AX5" s="126" cm="1">
        <f t="array" ref="AX5">_xlfn.IFS(AX2="w/ OT",12.25,AX2="w/o OT",9.5,AX2="FRI",7.5,AX2="SAT",7.5,AX2="SUN",7.5,AX2="OFF",0)</f>
        <v>9.5</v>
      </c>
      <c r="AY5" s="126" cm="1">
        <f t="array" ref="AY5">_xlfn.IFS(AY2="w/ OT",12.25,AY2="w/o OT",9.5,AY2="FRI",7.5,AY2="SAT",7.5,AY2="SUN",7.5,AY2="OFF",0)</f>
        <v>7.5</v>
      </c>
      <c r="AZ5" s="126" cm="1">
        <f t="array" ref="AZ5">_xlfn.IFS(AZ2="w/ OT",12.25,AZ2="w/o OT",9.5,AZ2="FRI",7.5,AZ2="SAT",7.5,AZ2="SUN",7.5,AZ2="OFF",0)</f>
        <v>7.5</v>
      </c>
      <c r="BA5" s="126" cm="1">
        <f t="array" ref="BA5">_xlfn.IFS(BA2="w/ OT",12.25,BA2="w/o OT",9.5,BA2="FRI",7.5,BA2="SAT",7.5,BA2="SUN",7.5,BA2="OFF",0)</f>
        <v>9.5</v>
      </c>
      <c r="BB5" s="126" cm="1">
        <f t="array" ref="BB5">_xlfn.IFS(BB2="w/ OT",12.25,BB2="w/o OT",9.5,BB2="FRI",7.5,BB2="SAT",7.5,BB2="SUN",7.5,BB2="OFF",0)</f>
        <v>9.5</v>
      </c>
      <c r="BC5" s="126" cm="1">
        <f t="array" ref="BC5">_xlfn.IFS(BC2="w/ OT",12.25,BC2="w/o OT",9.5,BC2="FRI",7.5,BC2="SAT",7.5,BC2="SUN",7.5,BC2="OFF",0)</f>
        <v>9.5</v>
      </c>
      <c r="BD5" s="126" cm="1">
        <f t="array" ref="BD5">_xlfn.IFS(BD2="w/ OT",12.25,BD2="w/o OT",9.5,BD2="FRI",7.5,BD2="SAT",7.5,BD2="SUN",7.5,BD2="OFF",0)</f>
        <v>9.5</v>
      </c>
      <c r="BE5" s="126" cm="1">
        <f t="array" ref="BE5">_xlfn.IFS(BE2="w/ OT",12.25,BE2="w/o OT",9.5,BE2="FRI",7.5,BE2="SAT",7.5,BE2="SUN",7.5,BE2="OFF",0)</f>
        <v>7.5</v>
      </c>
      <c r="BF5" s="126" cm="1">
        <f t="array" ref="BF5">_xlfn.IFS(BF2="w/ OT",12.25,BF2="w/o OT",9.5,BF2="FRI",7.5,BF2="SAT",7.5,BF2="SUN",7.5,BF2="OFF",0)</f>
        <v>7.5</v>
      </c>
      <c r="BG5" s="126" cm="1">
        <f t="array" ref="BG5">_xlfn.IFS(BG2="w/ OT",12.25,BG2="w/o OT",9.5,BG2="FRI",7.5,BG2="SAT",7.5,BG2="SUN",7.5,BG2="OFF",0)</f>
        <v>9.5</v>
      </c>
      <c r="BH5" s="126" cm="1">
        <f t="array" ref="BH5">_xlfn.IFS(BH2="w/ OT",12.25,BH2="w/o OT",9.5,BH2="FRI",7.5,BH2="SAT",7.5,BH2="SUN",7.5,BH2="OFF",0)</f>
        <v>9.5</v>
      </c>
      <c r="BI5" s="126" cm="1">
        <f t="array" ref="BI5">_xlfn.IFS(BI2="w/ OT",12.25,BI2="w/o OT",9.5,BI2="FRI",7.5,BI2="SAT",7.5,BI2="SUN",7.5,BI2="OFF",0)</f>
        <v>9.5</v>
      </c>
      <c r="BJ5" s="126" cm="1">
        <f t="array" ref="BJ5">_xlfn.IFS(BJ2="w/ OT",12.25,BJ2="w/o OT",9.5,BJ2="FRI",7.5,BJ2="SAT",7.5,BJ2="SUN",7.5,BJ2="OFF",0)</f>
        <v>9.5</v>
      </c>
      <c r="BK5" s="126" cm="1">
        <f t="array" ref="BK5">_xlfn.IFS(BK2="w/ OT",12.25,BK2="w/o OT",9.5,BK2="FRI",7.5,BK2="SAT",7.5,BK2="SUN",7.5,BK2="OFF",0)</f>
        <v>7.5</v>
      </c>
      <c r="BL5" s="126" cm="1">
        <f t="array" ref="BL5">_xlfn.IFS(BL2="w/ OT",12.25,BL2="w/o OT",9.5,BL2="FRI",7.5,BL2="SAT",7.5,BL2="SUN",7.5,BL2="OFF",0)</f>
        <v>7.5</v>
      </c>
      <c r="BM5" s="126" cm="1">
        <f t="array" ref="BM5">_xlfn.IFS(BM2="w/ OT",12.25,BM2="w/o OT",9.5,BM2="FRI",7.5,BM2="SAT",7.5,BM2="SUN",7.5,BM2="OFF",0)</f>
        <v>9.5</v>
      </c>
      <c r="BN5" s="126" cm="1">
        <f t="array" ref="BN5">_xlfn.IFS(BN2="w/ OT",12.25,BN2="w/o OT",9.5,BN2="FRI",7.5,BN2="SAT",7.5,BN2="SUN",7.5,BN2="OFF",0)</f>
        <v>9.5</v>
      </c>
      <c r="BO5" s="126" cm="1">
        <f t="array" ref="BO5">_xlfn.IFS(BO2="w/ OT",12.25,BO2="w/o OT",9.5,BO2="FRI",7.5,BO2="SAT",7.5,BO2="SUN",7.5,BO2="OFF",0)</f>
        <v>9.5</v>
      </c>
      <c r="BP5" s="126" cm="1">
        <f t="array" ref="BP5">_xlfn.IFS(BP2="w/ OT",12.25,BP2="w/o OT",9.5,BP2="FRI",7.5,BP2="SAT",7.5,BP2="SUN",7.5,BP2="OFF",0)</f>
        <v>9.5</v>
      </c>
      <c r="BQ5" s="126" cm="1">
        <f t="array" ref="BQ5">_xlfn.IFS(BQ2="w/ OT",12.25,BQ2="w/o OT",9.5,BQ2="FRI",7.5,BQ2="SAT",7.5,BQ2="SUN",7.5,BQ2="OFF",0)</f>
        <v>7.5</v>
      </c>
      <c r="BR5" s="126" cm="1">
        <f t="array" ref="BR5">_xlfn.IFS(BR2="w/ OT",12.25,BR2="w/o OT",9.5,BR2="FRI",7.5,BR2="SAT",7.5,BR2="SUN",7.5,BR2="OFF",0)</f>
        <v>7.5</v>
      </c>
      <c r="BS5" s="126" cm="1">
        <f t="array" ref="BS5">_xlfn.IFS(BS2="w/ OT",12.25,BS2="w/o OT",9.5,BS2="FRI",7.5,BS2="SAT",7.5,BS2="SUN",7.5,BS2="OFF",0)</f>
        <v>9.5</v>
      </c>
      <c r="BT5" s="126" cm="1">
        <f t="array" ref="BT5">_xlfn.IFS(BT2="w/ OT",12.25,BT2="w/o OT",9.5,BT2="FRI",7.5,BT2="SAT",7.5,BT2="SUN",7.5,BT2="OFF",0)</f>
        <v>9.5</v>
      </c>
      <c r="BU5" s="126" cm="1">
        <f t="array" ref="BU5">_xlfn.IFS(BU2="w/ OT",12.25,BU2="w/o OT",9.5,BU2="FRI",7.5,BU2="SAT",7.5,BU2="SUN",7.5,BU2="OFF",0)</f>
        <v>9.5</v>
      </c>
      <c r="BV5" s="126" cm="1">
        <f t="array" ref="BV5">_xlfn.IFS(BV2="w/ OT",12.25,BV2="w/o OT",9.5,BV2="FRI",7.5,BV2="SAT",7.5,BV2="SUN",7.5,BV2="OFF",0)</f>
        <v>9.5</v>
      </c>
      <c r="BW5" s="126" cm="1">
        <f t="array" ref="BW5">_xlfn.IFS(BW2="w/ OT",12.25,BW2="w/o OT",9.5,BW2="FRI",7.5,BW2="SAT",7.5,BW2="SUN",7.5,BW2="OFF",0)</f>
        <v>7.5</v>
      </c>
      <c r="BX5" s="126" cm="1">
        <f t="array" ref="BX5">_xlfn.IFS(BX2="w/ OT",12.25,BX2="w/o OT",9.5,BX2="FRI",7.5,BX2="SAT",7.5,BX2="SUN",7.5,BX2="OFF",0)</f>
        <v>7.5</v>
      </c>
      <c r="BY5" s="126" cm="1">
        <f t="array" ref="BY5">_xlfn.IFS(BY2="w/ OT",12.25,BY2="w/o OT",9.5,BY2="FRI",7.5,BY2="SAT",7.5,BY2="SUN",7.5,BY2="OFF",0)</f>
        <v>9.5</v>
      </c>
      <c r="BZ5" s="126" cm="1">
        <f t="array" ref="BZ5">_xlfn.IFS(BZ2="w/ OT",12.25,BZ2="w/o OT",9.5,BZ2="FRI",7.5,BZ2="SAT",7.5,BZ2="SUN",7.5,BZ2="OFF",0)</f>
        <v>9.5</v>
      </c>
      <c r="CA5" s="126" cm="1">
        <f t="array" ref="CA5">_xlfn.IFS(CA2="w/ OT",12.25,CA2="w/o OT",9.5,CA2="FRI",7.5,CA2="SAT",7.5,CA2="SUN",7.5,CA2="OFF",0)</f>
        <v>9.5</v>
      </c>
      <c r="CB5" s="126" cm="1">
        <f t="array" ref="CB5">_xlfn.IFS(CB2="w/ OT",12.25,CB2="w/o OT",9.5,CB2="FRI",7.5,CB2="SAT",7.5,CB2="SUN",7.5,CB2="OFF",0)</f>
        <v>9.5</v>
      </c>
      <c r="CC5" s="126" cm="1">
        <f t="array" ref="CC5">_xlfn.IFS(CC2="w/ OT",12.25,CC2="w/o OT",9.5,CC2="FRI",7.5,CC2="SAT",7.5,CC2="SUN",7.5,CC2="OFF",0)</f>
        <v>7.5</v>
      </c>
      <c r="CD5" s="126" cm="1">
        <f t="array" ref="CD5">_xlfn.IFS(CD2="w/ OT",12.25,CD2="w/o OT",9.5,CD2="FRI",7.5,CD2="SAT",7.5,CD2="SUN",7.5,CD2="OFF",0)</f>
        <v>7.5</v>
      </c>
    </row>
    <row r="6" spans="1:82" ht="15" customHeight="1" x14ac:dyDescent="0.2">
      <c r="A6" s="386"/>
      <c r="B6" s="386"/>
      <c r="C6" s="387"/>
      <c r="D6" s="388"/>
      <c r="E6" s="389"/>
      <c r="F6" s="392"/>
      <c r="G6" s="388"/>
      <c r="H6" s="390"/>
      <c r="I6" s="393"/>
      <c r="J6" s="393"/>
      <c r="K6" s="390"/>
      <c r="L6" s="390"/>
      <c r="M6" s="389"/>
      <c r="N6" s="389"/>
      <c r="O6" s="391"/>
      <c r="P6" s="123" t="s">
        <v>107</v>
      </c>
      <c r="Q6" s="124"/>
      <c r="R6" s="124"/>
      <c r="S6" s="124"/>
      <c r="T6" s="124"/>
      <c r="U6" s="124"/>
      <c r="V6" s="124"/>
      <c r="W6" s="124"/>
      <c r="X6" s="124"/>
      <c r="Y6" s="124"/>
      <c r="Z6" s="124"/>
      <c r="AA6" s="124"/>
      <c r="AB6" s="124"/>
      <c r="AC6" s="124"/>
      <c r="AD6" s="124"/>
      <c r="AE6" s="124"/>
      <c r="AF6" s="124"/>
      <c r="AG6" s="124"/>
      <c r="AH6" s="124"/>
      <c r="AI6" s="124"/>
      <c r="AJ6" s="124"/>
      <c r="AK6" s="124"/>
      <c r="AL6" s="124"/>
      <c r="AM6" s="124"/>
      <c r="AN6" s="124"/>
      <c r="AO6" s="124"/>
      <c r="AP6" s="124"/>
      <c r="AQ6" s="124"/>
      <c r="AR6" s="124"/>
      <c r="AS6" s="124"/>
      <c r="AT6" s="124"/>
      <c r="AU6" s="124"/>
      <c r="AV6" s="124"/>
      <c r="AW6" s="124"/>
      <c r="AX6" s="124"/>
      <c r="AY6" s="124"/>
      <c r="AZ6" s="124"/>
      <c r="BA6" s="124"/>
      <c r="BB6" s="124"/>
      <c r="BC6" s="124"/>
      <c r="BD6" s="124"/>
      <c r="BE6" s="124"/>
      <c r="BF6" s="124"/>
      <c r="BG6" s="124"/>
      <c r="BH6" s="124"/>
      <c r="BI6" s="124"/>
      <c r="BJ6" s="124"/>
      <c r="BK6" s="124"/>
      <c r="BL6" s="124"/>
      <c r="BM6" s="124"/>
      <c r="BN6" s="124"/>
      <c r="BO6" s="124"/>
      <c r="BP6" s="124"/>
      <c r="BQ6" s="124"/>
      <c r="BR6" s="124"/>
      <c r="BS6" s="124"/>
      <c r="BT6" s="124"/>
      <c r="BU6" s="124"/>
      <c r="BV6" s="124"/>
      <c r="BW6" s="124"/>
      <c r="BX6" s="124"/>
      <c r="BY6" s="124"/>
      <c r="BZ6" s="124"/>
      <c r="CA6" s="124"/>
      <c r="CB6" s="124"/>
      <c r="CC6" s="124"/>
      <c r="CD6" s="124"/>
    </row>
    <row r="7" spans="1:82" ht="9" customHeight="1" x14ac:dyDescent="0.2">
      <c r="A7" s="113"/>
      <c r="B7" s="114"/>
      <c r="C7" s="115"/>
      <c r="D7" s="116"/>
      <c r="E7" s="175"/>
      <c r="F7" s="117"/>
      <c r="G7" s="116"/>
      <c r="H7" s="118"/>
      <c r="I7" s="119"/>
      <c r="J7" s="119"/>
      <c r="K7" s="186"/>
      <c r="L7" s="186"/>
      <c r="M7" s="179"/>
      <c r="N7" s="179"/>
      <c r="O7" s="120"/>
      <c r="P7" s="120"/>
      <c r="Q7" s="121"/>
      <c r="R7" s="121"/>
      <c r="S7" s="121"/>
      <c r="T7" s="121"/>
      <c r="U7" s="121"/>
      <c r="V7" s="121"/>
      <c r="W7" s="121"/>
      <c r="X7" s="121"/>
      <c r="Y7" s="121"/>
      <c r="Z7" s="121"/>
      <c r="AA7" s="121"/>
      <c r="AB7" s="121"/>
      <c r="AC7" s="121"/>
      <c r="AD7" s="121"/>
      <c r="AE7" s="121"/>
      <c r="AF7" s="121"/>
      <c r="AG7" s="121"/>
      <c r="AH7" s="121"/>
      <c r="AI7" s="121"/>
      <c r="AJ7" s="121"/>
      <c r="AK7" s="121"/>
      <c r="AL7" s="121"/>
      <c r="AM7" s="121"/>
      <c r="AN7" s="121"/>
      <c r="AO7" s="121"/>
      <c r="AP7" s="121"/>
      <c r="AQ7" s="121"/>
      <c r="AR7" s="121"/>
      <c r="AS7" s="121"/>
      <c r="AT7" s="121"/>
      <c r="AU7" s="121"/>
    </row>
    <row r="8" spans="1:82" ht="12.6" customHeight="1" x14ac:dyDescent="0.2">
      <c r="A8" s="106">
        <f>SHIPMENTS!A14</f>
        <v>9296</v>
      </c>
      <c r="B8" s="106" t="str">
        <f>SHIPMENTS!B14</f>
        <v>15900- Makati |Techiron Resources Inc.</v>
      </c>
      <c r="C8" s="132">
        <f>SHIPMENTS!F14</f>
        <v>0.05</v>
      </c>
      <c r="D8" s="107" t="str">
        <f>IF((SHIPMENTS!I14)=0,"",SHIPMENTS!I14)</f>
        <v/>
      </c>
      <c r="E8" s="176">
        <f>IF((SHIPMENTS!G14)=0,"",SHIPMENTS!G14)</f>
        <v>46314</v>
      </c>
      <c r="F8" s="98">
        <f>VLOOKUP(A8,load!$A$4:$Y$5001,24,0)</f>
        <v>1.1906666666666665</v>
      </c>
      <c r="G8" s="109">
        <f>Manhours!$C$8</f>
        <v>16</v>
      </c>
      <c r="H8" s="98">
        <f t="shared" ref="H8" si="0">+G8*$H$4</f>
        <v>145.6</v>
      </c>
      <c r="I8" s="99">
        <f t="shared" ref="I8" si="1">F8/H8</f>
        <v>8.1776556776556771E-3</v>
      </c>
      <c r="J8" s="99">
        <f t="shared" ref="J8" si="2">+I8*$H$4</f>
        <v>7.4416666666666659E-2</v>
      </c>
      <c r="K8" s="98">
        <f t="shared" ref="K8:K32" si="3">IFERROR(I8-(I8*O8),0)</f>
        <v>8.1776556776556771E-3</v>
      </c>
      <c r="L8" s="98">
        <f t="shared" ref="L8" si="4">IFERROR(J8-(J8*O8),0)</f>
        <v>7.4416666666666659E-2</v>
      </c>
      <c r="M8" s="181">
        <f>IF(F8&gt;0,(MS!M8+2),M4)</f>
        <v>46316</v>
      </c>
      <c r="N8" s="181">
        <f>M8+K8</f>
        <v>46316.008177655676</v>
      </c>
      <c r="O8" s="112">
        <f>VLOOKUP(A8,SHIPMENTS!$A$7:$AP$76,11,0)</f>
        <v>0</v>
      </c>
      <c r="P8" s="101"/>
      <c r="Q8" s="127" t="str">
        <f t="shared" ref="Q8:CB11" si="5">IF($E8=Q$3,"▲","")</f>
        <v>▲</v>
      </c>
      <c r="R8" s="127" t="str">
        <f t="shared" si="5"/>
        <v/>
      </c>
      <c r="S8" s="127" t="str">
        <f t="shared" si="5"/>
        <v/>
      </c>
      <c r="T8" s="127" t="str">
        <f t="shared" si="5"/>
        <v/>
      </c>
      <c r="U8" s="127" t="str">
        <f t="shared" si="5"/>
        <v/>
      </c>
      <c r="V8" s="127" t="str">
        <f t="shared" si="5"/>
        <v/>
      </c>
      <c r="W8" s="127" t="str">
        <f t="shared" si="5"/>
        <v/>
      </c>
      <c r="X8" s="127" t="str">
        <f t="shared" si="5"/>
        <v/>
      </c>
      <c r="Y8" s="127" t="str">
        <f t="shared" si="5"/>
        <v/>
      </c>
      <c r="Z8" s="127" t="str">
        <f t="shared" si="5"/>
        <v/>
      </c>
      <c r="AA8" s="127" t="str">
        <f t="shared" si="5"/>
        <v/>
      </c>
      <c r="AB8" s="127" t="str">
        <f t="shared" si="5"/>
        <v/>
      </c>
      <c r="AC8" s="127" t="str">
        <f t="shared" si="5"/>
        <v/>
      </c>
      <c r="AD8" s="127" t="str">
        <f t="shared" si="5"/>
        <v/>
      </c>
      <c r="AE8" s="127" t="str">
        <f t="shared" si="5"/>
        <v/>
      </c>
      <c r="AF8" s="127" t="str">
        <f t="shared" si="5"/>
        <v/>
      </c>
      <c r="AG8" s="127" t="str">
        <f t="shared" si="5"/>
        <v/>
      </c>
      <c r="AH8" s="127" t="str">
        <f t="shared" si="5"/>
        <v/>
      </c>
      <c r="AI8" s="127" t="str">
        <f t="shared" si="5"/>
        <v/>
      </c>
      <c r="AJ8" s="127" t="str">
        <f t="shared" si="5"/>
        <v/>
      </c>
      <c r="AK8" s="127" t="str">
        <f t="shared" si="5"/>
        <v/>
      </c>
      <c r="AL8" s="127" t="str">
        <f t="shared" si="5"/>
        <v/>
      </c>
      <c r="AM8" s="127" t="str">
        <f t="shared" si="5"/>
        <v/>
      </c>
      <c r="AN8" s="127" t="str">
        <f t="shared" si="5"/>
        <v/>
      </c>
      <c r="AO8" s="127" t="str">
        <f t="shared" si="5"/>
        <v/>
      </c>
      <c r="AP8" s="127" t="str">
        <f t="shared" si="5"/>
        <v/>
      </c>
      <c r="AQ8" s="127" t="str">
        <f t="shared" si="5"/>
        <v/>
      </c>
      <c r="AR8" s="127" t="str">
        <f t="shared" si="5"/>
        <v/>
      </c>
      <c r="AS8" s="127" t="str">
        <f t="shared" si="5"/>
        <v/>
      </c>
      <c r="AT8" s="127" t="str">
        <f t="shared" si="5"/>
        <v/>
      </c>
      <c r="AU8" s="127" t="str">
        <f t="shared" si="5"/>
        <v/>
      </c>
      <c r="AV8" s="127" t="str">
        <f t="shared" si="5"/>
        <v/>
      </c>
      <c r="AW8" s="127" t="str">
        <f t="shared" si="5"/>
        <v/>
      </c>
      <c r="AX8" s="127" t="str">
        <f t="shared" si="5"/>
        <v/>
      </c>
      <c r="AY8" s="127" t="str">
        <f t="shared" si="5"/>
        <v/>
      </c>
      <c r="AZ8" s="127" t="str">
        <f t="shared" si="5"/>
        <v/>
      </c>
      <c r="BA8" s="127" t="str">
        <f t="shared" si="5"/>
        <v/>
      </c>
      <c r="BB8" s="127" t="str">
        <f t="shared" si="5"/>
        <v/>
      </c>
      <c r="BC8" s="127" t="str">
        <f t="shared" si="5"/>
        <v/>
      </c>
      <c r="BD8" s="127" t="str">
        <f t="shared" si="5"/>
        <v/>
      </c>
      <c r="BE8" s="127" t="str">
        <f t="shared" si="5"/>
        <v/>
      </c>
      <c r="BF8" s="127" t="str">
        <f t="shared" si="5"/>
        <v/>
      </c>
      <c r="BG8" s="127" t="str">
        <f t="shared" si="5"/>
        <v/>
      </c>
      <c r="BH8" s="127" t="str">
        <f t="shared" si="5"/>
        <v/>
      </c>
      <c r="BI8" s="127" t="str">
        <f t="shared" si="5"/>
        <v/>
      </c>
      <c r="BJ8" s="127" t="str">
        <f t="shared" si="5"/>
        <v/>
      </c>
      <c r="BK8" s="127" t="str">
        <f t="shared" si="5"/>
        <v/>
      </c>
      <c r="BL8" s="127" t="str">
        <f t="shared" si="5"/>
        <v/>
      </c>
      <c r="BM8" s="127" t="str">
        <f t="shared" si="5"/>
        <v/>
      </c>
      <c r="BN8" s="127" t="str">
        <f t="shared" si="5"/>
        <v/>
      </c>
      <c r="BO8" s="127" t="str">
        <f t="shared" si="5"/>
        <v/>
      </c>
      <c r="BP8" s="127" t="str">
        <f t="shared" si="5"/>
        <v/>
      </c>
      <c r="BQ8" s="127" t="str">
        <f t="shared" si="5"/>
        <v/>
      </c>
      <c r="BR8" s="127" t="str">
        <f t="shared" si="5"/>
        <v/>
      </c>
      <c r="BS8" s="127" t="str">
        <f t="shared" si="5"/>
        <v/>
      </c>
      <c r="BT8" s="127" t="str">
        <f t="shared" si="5"/>
        <v/>
      </c>
      <c r="BU8" s="127" t="str">
        <f t="shared" si="5"/>
        <v/>
      </c>
      <c r="BV8" s="127" t="str">
        <f t="shared" si="5"/>
        <v/>
      </c>
      <c r="BW8" s="127" t="str">
        <f t="shared" si="5"/>
        <v/>
      </c>
      <c r="BX8" s="127" t="str">
        <f t="shared" si="5"/>
        <v/>
      </c>
      <c r="BY8" s="127" t="str">
        <f t="shared" si="5"/>
        <v/>
      </c>
      <c r="BZ8" s="127" t="str">
        <f t="shared" si="5"/>
        <v/>
      </c>
      <c r="CA8" s="127" t="str">
        <f t="shared" si="5"/>
        <v/>
      </c>
      <c r="CB8" s="127" t="str">
        <f t="shared" si="5"/>
        <v/>
      </c>
      <c r="CC8" s="127" t="str">
        <f t="shared" ref="CC8:CD23" si="6">IF($E8=CC$3,"▲","")</f>
        <v/>
      </c>
      <c r="CD8" s="127" t="str">
        <f t="shared" si="6"/>
        <v/>
      </c>
    </row>
    <row r="9" spans="1:82" ht="12.6" customHeight="1" x14ac:dyDescent="0.2">
      <c r="A9" s="106">
        <f>SHIPMENTS!A15</f>
        <v>9309</v>
      </c>
      <c r="B9" s="106" t="str">
        <f>SHIPMENTS!B15</f>
        <v>43940-THAILAND</v>
      </c>
      <c r="C9" s="132">
        <f>SHIPMENTS!F15</f>
        <v>6.4030000000000004E-2</v>
      </c>
      <c r="D9" s="107" t="str">
        <f>IF((SHIPMENTS!I15)=0,"",SHIPMENTS!I15)</f>
        <v>AIR</v>
      </c>
      <c r="E9" s="176">
        <f>IF((SHIPMENTS!G15)=0,"",SHIPMENTS!G15)</f>
        <v>46314</v>
      </c>
      <c r="F9" s="98">
        <f>VLOOKUP(A9,load!$A$4:$Y$5001,24,0)</f>
        <v>0.80966666666666665</v>
      </c>
      <c r="G9" s="109">
        <f>Manhours!$C$8</f>
        <v>16</v>
      </c>
      <c r="H9" s="98">
        <f t="shared" ref="H9:H32" si="7">+G9*$H$4</f>
        <v>145.6</v>
      </c>
      <c r="I9" s="99">
        <f t="shared" ref="I9:I32" si="8">F9/H9</f>
        <v>5.5608974358974357E-3</v>
      </c>
      <c r="J9" s="99">
        <f t="shared" ref="J9:J32" si="9">+I9*$H$4</f>
        <v>5.0604166666666665E-2</v>
      </c>
      <c r="K9" s="98">
        <f t="shared" si="3"/>
        <v>5.5608974358974357E-3</v>
      </c>
      <c r="L9" s="98">
        <f t="shared" ref="L9:L32" si="10">IFERROR(J9-(J9*O9),0)</f>
        <v>5.0604166666666665E-2</v>
      </c>
      <c r="M9" s="181">
        <f>IF(F9&gt;0,(MS!M9+2),N8)</f>
        <v>46316.006467236468</v>
      </c>
      <c r="N9" s="181">
        <f t="shared" ref="N9:N32" si="11">M9+K9</f>
        <v>46316.012028133904</v>
      </c>
      <c r="O9" s="112">
        <f>VLOOKUP(A9,SHIPMENTS!$A$7:$AP$76,11,0)</f>
        <v>0</v>
      </c>
      <c r="P9" s="101"/>
      <c r="Q9" s="127" t="str">
        <f t="shared" si="5"/>
        <v>▲</v>
      </c>
      <c r="R9" s="127" t="str">
        <f t="shared" si="5"/>
        <v/>
      </c>
      <c r="S9" s="127" t="str">
        <f t="shared" si="5"/>
        <v/>
      </c>
      <c r="T9" s="127" t="str">
        <f t="shared" si="5"/>
        <v/>
      </c>
      <c r="U9" s="127" t="str">
        <f t="shared" si="5"/>
        <v/>
      </c>
      <c r="V9" s="127" t="str">
        <f t="shared" si="5"/>
        <v/>
      </c>
      <c r="W9" s="127" t="str">
        <f t="shared" si="5"/>
        <v/>
      </c>
      <c r="X9" s="127" t="str">
        <f t="shared" si="5"/>
        <v/>
      </c>
      <c r="Y9" s="127" t="str">
        <f t="shared" si="5"/>
        <v/>
      </c>
      <c r="Z9" s="127" t="str">
        <f t="shared" si="5"/>
        <v/>
      </c>
      <c r="AA9" s="127" t="str">
        <f t="shared" si="5"/>
        <v/>
      </c>
      <c r="AB9" s="127" t="str">
        <f t="shared" si="5"/>
        <v/>
      </c>
      <c r="AC9" s="127" t="str">
        <f t="shared" si="5"/>
        <v/>
      </c>
      <c r="AD9" s="127" t="str">
        <f t="shared" si="5"/>
        <v/>
      </c>
      <c r="AE9" s="127" t="str">
        <f t="shared" si="5"/>
        <v/>
      </c>
      <c r="AF9" s="127" t="str">
        <f t="shared" si="5"/>
        <v/>
      </c>
      <c r="AG9" s="127" t="str">
        <f t="shared" si="5"/>
        <v/>
      </c>
      <c r="AH9" s="127" t="str">
        <f t="shared" si="5"/>
        <v/>
      </c>
      <c r="AI9" s="127" t="str">
        <f t="shared" si="5"/>
        <v/>
      </c>
      <c r="AJ9" s="127" t="str">
        <f t="shared" si="5"/>
        <v/>
      </c>
      <c r="AK9" s="127" t="str">
        <f t="shared" si="5"/>
        <v/>
      </c>
      <c r="AL9" s="127" t="str">
        <f t="shared" si="5"/>
        <v/>
      </c>
      <c r="AM9" s="127" t="str">
        <f t="shared" si="5"/>
        <v/>
      </c>
      <c r="AN9" s="127" t="str">
        <f t="shared" si="5"/>
        <v/>
      </c>
      <c r="AO9" s="127" t="str">
        <f t="shared" si="5"/>
        <v/>
      </c>
      <c r="AP9" s="127" t="str">
        <f t="shared" si="5"/>
        <v/>
      </c>
      <c r="AQ9" s="127" t="str">
        <f t="shared" si="5"/>
        <v/>
      </c>
      <c r="AR9" s="127" t="str">
        <f t="shared" si="5"/>
        <v/>
      </c>
      <c r="AS9" s="127" t="str">
        <f t="shared" si="5"/>
        <v/>
      </c>
      <c r="AT9" s="127" t="str">
        <f t="shared" si="5"/>
        <v/>
      </c>
      <c r="AU9" s="127" t="str">
        <f t="shared" si="5"/>
        <v/>
      </c>
      <c r="AV9" s="127" t="str">
        <f t="shared" si="5"/>
        <v/>
      </c>
      <c r="AW9" s="127" t="str">
        <f t="shared" si="5"/>
        <v/>
      </c>
      <c r="AX9" s="127" t="str">
        <f t="shared" si="5"/>
        <v/>
      </c>
      <c r="AY9" s="127" t="str">
        <f t="shared" si="5"/>
        <v/>
      </c>
      <c r="AZ9" s="127" t="str">
        <f t="shared" si="5"/>
        <v/>
      </c>
      <c r="BA9" s="127" t="str">
        <f t="shared" si="5"/>
        <v/>
      </c>
      <c r="BB9" s="127" t="str">
        <f t="shared" si="5"/>
        <v/>
      </c>
      <c r="BC9" s="127" t="str">
        <f t="shared" si="5"/>
        <v/>
      </c>
      <c r="BD9" s="127" t="str">
        <f t="shared" si="5"/>
        <v/>
      </c>
      <c r="BE9" s="127" t="str">
        <f t="shared" si="5"/>
        <v/>
      </c>
      <c r="BF9" s="127" t="str">
        <f t="shared" si="5"/>
        <v/>
      </c>
      <c r="BG9" s="127" t="str">
        <f t="shared" si="5"/>
        <v/>
      </c>
      <c r="BH9" s="127" t="str">
        <f t="shared" si="5"/>
        <v/>
      </c>
      <c r="BI9" s="127" t="str">
        <f t="shared" si="5"/>
        <v/>
      </c>
      <c r="BJ9" s="127" t="str">
        <f t="shared" si="5"/>
        <v/>
      </c>
      <c r="BK9" s="127" t="str">
        <f t="shared" si="5"/>
        <v/>
      </c>
      <c r="BL9" s="127" t="str">
        <f t="shared" si="5"/>
        <v/>
      </c>
      <c r="BM9" s="127" t="str">
        <f t="shared" si="5"/>
        <v/>
      </c>
      <c r="BN9" s="127" t="str">
        <f t="shared" si="5"/>
        <v/>
      </c>
      <c r="BO9" s="127" t="str">
        <f t="shared" si="5"/>
        <v/>
      </c>
      <c r="BP9" s="127" t="str">
        <f t="shared" si="5"/>
        <v/>
      </c>
      <c r="BQ9" s="127" t="str">
        <f t="shared" si="5"/>
        <v/>
      </c>
      <c r="BR9" s="127" t="str">
        <f t="shared" si="5"/>
        <v/>
      </c>
      <c r="BS9" s="127" t="str">
        <f t="shared" si="5"/>
        <v/>
      </c>
      <c r="BT9" s="127" t="str">
        <f t="shared" si="5"/>
        <v/>
      </c>
      <c r="BU9" s="127" t="str">
        <f t="shared" si="5"/>
        <v/>
      </c>
      <c r="BV9" s="127" t="str">
        <f t="shared" si="5"/>
        <v/>
      </c>
      <c r="BW9" s="127" t="str">
        <f t="shared" si="5"/>
        <v/>
      </c>
      <c r="BX9" s="127" t="str">
        <f t="shared" si="5"/>
        <v/>
      </c>
      <c r="BY9" s="127" t="str">
        <f t="shared" si="5"/>
        <v/>
      </c>
      <c r="BZ9" s="127" t="str">
        <f t="shared" si="5"/>
        <v/>
      </c>
      <c r="CA9" s="127" t="str">
        <f t="shared" si="5"/>
        <v/>
      </c>
      <c r="CB9" s="127" t="str">
        <f t="shared" si="5"/>
        <v/>
      </c>
      <c r="CC9" s="127" t="str">
        <f t="shared" si="6"/>
        <v/>
      </c>
      <c r="CD9" s="127" t="str">
        <f t="shared" si="6"/>
        <v/>
      </c>
    </row>
    <row r="10" spans="1:82" ht="12.6" hidden="1" customHeight="1" x14ac:dyDescent="0.2">
      <c r="A10" s="106">
        <f>SHIPMENTS!A16</f>
        <v>9117</v>
      </c>
      <c r="B10" s="106" t="str">
        <f>SHIPMENTS!B16</f>
        <v>41700-CANADA BSAUNAS</v>
      </c>
      <c r="C10" s="132">
        <f>SHIPMENTS!F16</f>
        <v>83.268000000000001</v>
      </c>
      <c r="D10" s="107" t="str">
        <f>IF((SHIPMENTS!I16)=0,"",SHIPMENTS!I16)</f>
        <v>1X40HC</v>
      </c>
      <c r="E10" s="176">
        <f>IF((SHIPMENTS!G16)=0,"",SHIPMENTS!G16)</f>
        <v>46315</v>
      </c>
      <c r="F10" s="98">
        <f>VLOOKUP(A10,load!$A$4:$Y$5001,24,0)</f>
        <v>18.22</v>
      </c>
      <c r="G10" s="109">
        <f>Manhours!$C$8</f>
        <v>16</v>
      </c>
      <c r="H10" s="98">
        <f t="shared" si="7"/>
        <v>145.6</v>
      </c>
      <c r="I10" s="99">
        <f t="shared" si="8"/>
        <v>0.12513736263736264</v>
      </c>
      <c r="J10" s="99">
        <f t="shared" si="9"/>
        <v>1.1387499999999999</v>
      </c>
      <c r="K10" s="98">
        <f t="shared" si="3"/>
        <v>0</v>
      </c>
      <c r="L10" s="98">
        <f t="shared" si="10"/>
        <v>0</v>
      </c>
      <c r="M10" s="181">
        <f>IF(F10&gt;0,(MS!M10+2),N9)</f>
        <v>46316.019737484741</v>
      </c>
      <c r="N10" s="181">
        <f t="shared" si="11"/>
        <v>46316.019737484741</v>
      </c>
      <c r="O10" s="112" t="str">
        <f>VLOOKUP(A10,SHIPMENTS!$A$7:$AP$76,11,0)</f>
        <v>n/a</v>
      </c>
      <c r="P10" s="101"/>
      <c r="Q10" s="127" t="str">
        <f t="shared" si="5"/>
        <v/>
      </c>
      <c r="R10" s="127" t="str">
        <f t="shared" si="5"/>
        <v>▲</v>
      </c>
      <c r="S10" s="127" t="str">
        <f t="shared" si="5"/>
        <v/>
      </c>
      <c r="T10" s="127" t="str">
        <f t="shared" si="5"/>
        <v/>
      </c>
      <c r="U10" s="127" t="str">
        <f t="shared" si="5"/>
        <v/>
      </c>
      <c r="V10" s="127" t="str">
        <f t="shared" si="5"/>
        <v/>
      </c>
      <c r="W10" s="127" t="str">
        <f t="shared" si="5"/>
        <v/>
      </c>
      <c r="X10" s="127" t="str">
        <f t="shared" si="5"/>
        <v/>
      </c>
      <c r="Y10" s="127" t="str">
        <f t="shared" si="5"/>
        <v/>
      </c>
      <c r="Z10" s="127" t="str">
        <f t="shared" si="5"/>
        <v/>
      </c>
      <c r="AA10" s="127" t="str">
        <f t="shared" si="5"/>
        <v/>
      </c>
      <c r="AB10" s="127" t="str">
        <f t="shared" si="5"/>
        <v/>
      </c>
      <c r="AC10" s="127" t="str">
        <f t="shared" si="5"/>
        <v/>
      </c>
      <c r="AD10" s="127" t="str">
        <f t="shared" si="5"/>
        <v/>
      </c>
      <c r="AE10" s="127" t="str">
        <f t="shared" si="5"/>
        <v/>
      </c>
      <c r="AF10" s="127" t="str">
        <f t="shared" si="5"/>
        <v/>
      </c>
      <c r="AG10" s="127" t="str">
        <f t="shared" si="5"/>
        <v/>
      </c>
      <c r="AH10" s="127" t="str">
        <f t="shared" si="5"/>
        <v/>
      </c>
      <c r="AI10" s="127" t="str">
        <f t="shared" si="5"/>
        <v/>
      </c>
      <c r="AJ10" s="127" t="str">
        <f t="shared" si="5"/>
        <v/>
      </c>
      <c r="AK10" s="127" t="str">
        <f t="shared" si="5"/>
        <v/>
      </c>
      <c r="AL10" s="127" t="str">
        <f t="shared" si="5"/>
        <v/>
      </c>
      <c r="AM10" s="127" t="str">
        <f t="shared" si="5"/>
        <v/>
      </c>
      <c r="AN10" s="127" t="str">
        <f t="shared" si="5"/>
        <v/>
      </c>
      <c r="AO10" s="127" t="str">
        <f t="shared" si="5"/>
        <v/>
      </c>
      <c r="AP10" s="127" t="str">
        <f t="shared" si="5"/>
        <v/>
      </c>
      <c r="AQ10" s="127" t="str">
        <f t="shared" si="5"/>
        <v/>
      </c>
      <c r="AR10" s="127" t="str">
        <f t="shared" si="5"/>
        <v/>
      </c>
      <c r="AS10" s="127" t="str">
        <f t="shared" si="5"/>
        <v/>
      </c>
      <c r="AT10" s="127" t="str">
        <f t="shared" si="5"/>
        <v/>
      </c>
      <c r="AU10" s="127" t="str">
        <f t="shared" si="5"/>
        <v/>
      </c>
      <c r="AV10" s="127" t="str">
        <f t="shared" si="5"/>
        <v/>
      </c>
      <c r="AW10" s="127" t="str">
        <f t="shared" si="5"/>
        <v/>
      </c>
      <c r="AX10" s="127" t="str">
        <f t="shared" si="5"/>
        <v/>
      </c>
      <c r="AY10" s="127" t="str">
        <f t="shared" si="5"/>
        <v/>
      </c>
      <c r="AZ10" s="127" t="str">
        <f t="shared" si="5"/>
        <v/>
      </c>
      <c r="BA10" s="127" t="str">
        <f t="shared" si="5"/>
        <v/>
      </c>
      <c r="BB10" s="127" t="str">
        <f t="shared" si="5"/>
        <v/>
      </c>
      <c r="BC10" s="127" t="str">
        <f t="shared" si="5"/>
        <v/>
      </c>
      <c r="BD10" s="127" t="str">
        <f t="shared" si="5"/>
        <v/>
      </c>
      <c r="BE10" s="127" t="str">
        <f t="shared" si="5"/>
        <v/>
      </c>
      <c r="BF10" s="127" t="str">
        <f t="shared" si="5"/>
        <v/>
      </c>
      <c r="BG10" s="127" t="str">
        <f t="shared" si="5"/>
        <v/>
      </c>
      <c r="BH10" s="127" t="str">
        <f t="shared" si="5"/>
        <v/>
      </c>
      <c r="BI10" s="127" t="str">
        <f t="shared" si="5"/>
        <v/>
      </c>
      <c r="BJ10" s="127" t="str">
        <f t="shared" si="5"/>
        <v/>
      </c>
      <c r="BK10" s="127" t="str">
        <f t="shared" si="5"/>
        <v/>
      </c>
      <c r="BL10" s="127" t="str">
        <f t="shared" si="5"/>
        <v/>
      </c>
      <c r="BM10" s="127" t="str">
        <f t="shared" si="5"/>
        <v/>
      </c>
      <c r="BN10" s="127" t="str">
        <f t="shared" si="5"/>
        <v/>
      </c>
      <c r="BO10" s="127" t="str">
        <f t="shared" si="5"/>
        <v/>
      </c>
      <c r="BP10" s="127" t="str">
        <f t="shared" si="5"/>
        <v/>
      </c>
      <c r="BQ10" s="127" t="str">
        <f t="shared" si="5"/>
        <v/>
      </c>
      <c r="BR10" s="127" t="str">
        <f t="shared" si="5"/>
        <v/>
      </c>
      <c r="BS10" s="127" t="str">
        <f t="shared" si="5"/>
        <v/>
      </c>
      <c r="BT10" s="127" t="str">
        <f t="shared" si="5"/>
        <v/>
      </c>
      <c r="BU10" s="127" t="str">
        <f t="shared" si="5"/>
        <v/>
      </c>
      <c r="BV10" s="127" t="str">
        <f t="shared" si="5"/>
        <v/>
      </c>
      <c r="BW10" s="127" t="str">
        <f t="shared" si="5"/>
        <v/>
      </c>
      <c r="BX10" s="127" t="str">
        <f t="shared" si="5"/>
        <v/>
      </c>
      <c r="BY10" s="127" t="str">
        <f t="shared" si="5"/>
        <v/>
      </c>
      <c r="BZ10" s="127" t="str">
        <f t="shared" si="5"/>
        <v/>
      </c>
      <c r="CA10" s="127" t="str">
        <f t="shared" si="5"/>
        <v/>
      </c>
      <c r="CB10" s="127" t="str">
        <f t="shared" si="5"/>
        <v/>
      </c>
      <c r="CC10" s="127" t="str">
        <f t="shared" si="6"/>
        <v/>
      </c>
      <c r="CD10" s="127" t="str">
        <f t="shared" si="6"/>
        <v/>
      </c>
    </row>
    <row r="11" spans="1:82" ht="12.6" hidden="1" customHeight="1" x14ac:dyDescent="0.2">
      <c r="A11" s="106">
        <f>SHIPMENTS!A17</f>
        <v>8641</v>
      </c>
      <c r="B11" s="106" t="str">
        <f>SHIPMENTS!B17</f>
        <v>41700-CANADA BSAUNAS BACKLOG</v>
      </c>
      <c r="C11" s="132">
        <f>SHIPMENTS!F17</f>
        <v>0</v>
      </c>
      <c r="D11" s="107" t="str">
        <f>IF((SHIPMENTS!I17)=0,"",SHIPMENTS!I17)</f>
        <v/>
      </c>
      <c r="E11" s="176">
        <f>IF((SHIPMENTS!G17)=0,"",SHIPMENTS!G17)</f>
        <v>46315</v>
      </c>
      <c r="F11" s="98">
        <f>VLOOKUP(A11,load!$A$4:$Y$5001,24,0)</f>
        <v>22.91333333333333</v>
      </c>
      <c r="G11" s="109">
        <f>Manhours!$C$8</f>
        <v>16</v>
      </c>
      <c r="H11" s="98">
        <f t="shared" si="7"/>
        <v>145.6</v>
      </c>
      <c r="I11" s="99">
        <f t="shared" si="8"/>
        <v>0.15737179487179487</v>
      </c>
      <c r="J11" s="99">
        <f t="shared" si="9"/>
        <v>1.4320833333333332</v>
      </c>
      <c r="K11" s="98">
        <f t="shared" si="3"/>
        <v>0</v>
      </c>
      <c r="L11" s="98">
        <f t="shared" si="10"/>
        <v>0</v>
      </c>
      <c r="M11" s="181">
        <f>IF(F11&gt;0,(MS!M11+2),N10)</f>
        <v>46316.019737484741</v>
      </c>
      <c r="N11" s="181">
        <f t="shared" si="11"/>
        <v>46316.019737484741</v>
      </c>
      <c r="O11" s="112" t="str">
        <f>VLOOKUP(A11,SHIPMENTS!$A$7:$AP$76,11,0)</f>
        <v>n/a</v>
      </c>
      <c r="P11" s="101"/>
      <c r="Q11" s="127" t="str">
        <f t="shared" si="5"/>
        <v/>
      </c>
      <c r="R11" s="127" t="str">
        <f t="shared" si="5"/>
        <v>▲</v>
      </c>
      <c r="S11" s="127" t="str">
        <f t="shared" si="5"/>
        <v/>
      </c>
      <c r="T11" s="127" t="str">
        <f t="shared" si="5"/>
        <v/>
      </c>
      <c r="U11" s="127" t="str">
        <f t="shared" si="5"/>
        <v/>
      </c>
      <c r="V11" s="127" t="str">
        <f t="shared" si="5"/>
        <v/>
      </c>
      <c r="W11" s="127" t="str">
        <f t="shared" si="5"/>
        <v/>
      </c>
      <c r="X11" s="127" t="str">
        <f t="shared" si="5"/>
        <v/>
      </c>
      <c r="Y11" s="127" t="str">
        <f t="shared" si="5"/>
        <v/>
      </c>
      <c r="Z11" s="127" t="str">
        <f t="shared" si="5"/>
        <v/>
      </c>
      <c r="AA11" s="127" t="str">
        <f t="shared" si="5"/>
        <v/>
      </c>
      <c r="AB11" s="127" t="str">
        <f t="shared" si="5"/>
        <v/>
      </c>
      <c r="AC11" s="127" t="str">
        <f t="shared" si="5"/>
        <v/>
      </c>
      <c r="AD11" s="127" t="str">
        <f t="shared" si="5"/>
        <v/>
      </c>
      <c r="AE11" s="127" t="str">
        <f t="shared" si="5"/>
        <v/>
      </c>
      <c r="AF11" s="127" t="str">
        <f t="shared" si="5"/>
        <v/>
      </c>
      <c r="AG11" s="127" t="str">
        <f t="shared" si="5"/>
        <v/>
      </c>
      <c r="AH11" s="127" t="str">
        <f t="shared" si="5"/>
        <v/>
      </c>
      <c r="AI11" s="127" t="str">
        <f t="shared" si="5"/>
        <v/>
      </c>
      <c r="AJ11" s="127" t="str">
        <f t="shared" si="5"/>
        <v/>
      </c>
      <c r="AK11" s="127" t="str">
        <f t="shared" si="5"/>
        <v/>
      </c>
      <c r="AL11" s="127" t="str">
        <f t="shared" si="5"/>
        <v/>
      </c>
      <c r="AM11" s="127" t="str">
        <f t="shared" si="5"/>
        <v/>
      </c>
      <c r="AN11" s="127" t="str">
        <f t="shared" si="5"/>
        <v/>
      </c>
      <c r="AO11" s="127" t="str">
        <f t="shared" si="5"/>
        <v/>
      </c>
      <c r="AP11" s="127" t="str">
        <f t="shared" si="5"/>
        <v/>
      </c>
      <c r="AQ11" s="127" t="str">
        <f t="shared" si="5"/>
        <v/>
      </c>
      <c r="AR11" s="127" t="str">
        <f t="shared" si="5"/>
        <v/>
      </c>
      <c r="AS11" s="127" t="str">
        <f t="shared" si="5"/>
        <v/>
      </c>
      <c r="AT11" s="127" t="str">
        <f t="shared" si="5"/>
        <v/>
      </c>
      <c r="AU11" s="127" t="str">
        <f t="shared" si="5"/>
        <v/>
      </c>
      <c r="AV11" s="127" t="str">
        <f t="shared" si="5"/>
        <v/>
      </c>
      <c r="AW11" s="127" t="str">
        <f t="shared" si="5"/>
        <v/>
      </c>
      <c r="AX11" s="127" t="str">
        <f t="shared" si="5"/>
        <v/>
      </c>
      <c r="AY11" s="127" t="str">
        <f t="shared" si="5"/>
        <v/>
      </c>
      <c r="AZ11" s="127" t="str">
        <f t="shared" si="5"/>
        <v/>
      </c>
      <c r="BA11" s="127" t="str">
        <f t="shared" si="5"/>
        <v/>
      </c>
      <c r="BB11" s="127" t="str">
        <f t="shared" si="5"/>
        <v/>
      </c>
      <c r="BC11" s="127" t="str">
        <f t="shared" si="5"/>
        <v/>
      </c>
      <c r="BD11" s="127" t="str">
        <f t="shared" si="5"/>
        <v/>
      </c>
      <c r="BE11" s="127" t="str">
        <f t="shared" si="5"/>
        <v/>
      </c>
      <c r="BF11" s="127" t="str">
        <f t="shared" si="5"/>
        <v/>
      </c>
      <c r="BG11" s="127" t="str">
        <f t="shared" si="5"/>
        <v/>
      </c>
      <c r="BH11" s="127" t="str">
        <f t="shared" si="5"/>
        <v/>
      </c>
      <c r="BI11" s="127" t="str">
        <f t="shared" si="5"/>
        <v/>
      </c>
      <c r="BJ11" s="127" t="str">
        <f t="shared" si="5"/>
        <v/>
      </c>
      <c r="BK11" s="127" t="str">
        <f t="shared" si="5"/>
        <v/>
      </c>
      <c r="BL11" s="127" t="str">
        <f t="shared" si="5"/>
        <v/>
      </c>
      <c r="BM11" s="127" t="str">
        <f t="shared" si="5"/>
        <v/>
      </c>
      <c r="BN11" s="127" t="str">
        <f t="shared" si="5"/>
        <v/>
      </c>
      <c r="BO11" s="127" t="str">
        <f t="shared" si="5"/>
        <v/>
      </c>
      <c r="BP11" s="127" t="str">
        <f t="shared" si="5"/>
        <v/>
      </c>
      <c r="BQ11" s="127" t="str">
        <f t="shared" si="5"/>
        <v/>
      </c>
      <c r="BR11" s="127" t="str">
        <f t="shared" si="5"/>
        <v/>
      </c>
      <c r="BS11" s="127" t="str">
        <f t="shared" si="5"/>
        <v/>
      </c>
      <c r="BT11" s="127" t="str">
        <f t="shared" si="5"/>
        <v/>
      </c>
      <c r="BU11" s="127" t="str">
        <f t="shared" si="5"/>
        <v/>
      </c>
      <c r="BV11" s="127" t="str">
        <f t="shared" si="5"/>
        <v/>
      </c>
      <c r="BW11" s="127" t="str">
        <f t="shared" si="5"/>
        <v/>
      </c>
      <c r="BX11" s="127" t="str">
        <f t="shared" si="5"/>
        <v/>
      </c>
      <c r="BY11" s="127" t="str">
        <f t="shared" si="5"/>
        <v/>
      </c>
      <c r="BZ11" s="127" t="str">
        <f t="shared" si="5"/>
        <v/>
      </c>
      <c r="CA11" s="127" t="str">
        <f t="shared" si="5"/>
        <v/>
      </c>
      <c r="CB11" s="127" t="str">
        <f t="shared" ref="Q11:CB15" si="12">IF($E11=CB$3,"▲","")</f>
        <v/>
      </c>
      <c r="CC11" s="127" t="str">
        <f t="shared" si="6"/>
        <v/>
      </c>
      <c r="CD11" s="127" t="str">
        <f t="shared" si="6"/>
        <v/>
      </c>
    </row>
    <row r="12" spans="1:82" ht="12.6" hidden="1" customHeight="1" x14ac:dyDescent="0.2">
      <c r="A12" s="106">
        <f>SHIPMENTS!A18</f>
        <v>8102</v>
      </c>
      <c r="B12" s="106" t="str">
        <f>SHIPMENTS!B18</f>
        <v>41700-CANADA BSAUNAS BACKLOG</v>
      </c>
      <c r="C12" s="132">
        <f>SHIPMENTS!F18</f>
        <v>0</v>
      </c>
      <c r="D12" s="107" t="str">
        <f>IF((SHIPMENTS!I18)=0,"",SHIPMENTS!I18)</f>
        <v/>
      </c>
      <c r="E12" s="176">
        <f>IF((SHIPMENTS!G18)=0,"",SHIPMENTS!G18)</f>
        <v>46315</v>
      </c>
      <c r="F12" s="98">
        <f>VLOOKUP(A12,load!$A$4:$Y$5001,24,0)</f>
        <v>0</v>
      </c>
      <c r="G12" s="109">
        <f>Manhours!$C$8</f>
        <v>16</v>
      </c>
      <c r="H12" s="98">
        <f t="shared" si="7"/>
        <v>145.6</v>
      </c>
      <c r="I12" s="99">
        <f t="shared" si="8"/>
        <v>0</v>
      </c>
      <c r="J12" s="99">
        <f t="shared" si="9"/>
        <v>0</v>
      </c>
      <c r="K12" s="98">
        <f t="shared" si="3"/>
        <v>0</v>
      </c>
      <c r="L12" s="98">
        <f t="shared" si="10"/>
        <v>0</v>
      </c>
      <c r="M12" s="181">
        <f>IF(F12&gt;0,(MS!M12+2),N11)</f>
        <v>46316.019737484741</v>
      </c>
      <c r="N12" s="181">
        <f t="shared" si="11"/>
        <v>46316.019737484741</v>
      </c>
      <c r="O12" s="112" t="str">
        <f>VLOOKUP(A12,SHIPMENTS!$A$7:$AP$76,11,0)</f>
        <v>n/a</v>
      </c>
      <c r="P12" s="101"/>
      <c r="Q12" s="127" t="str">
        <f t="shared" si="12"/>
        <v/>
      </c>
      <c r="R12" s="127" t="str">
        <f t="shared" si="12"/>
        <v>▲</v>
      </c>
      <c r="S12" s="127" t="str">
        <f t="shared" si="12"/>
        <v/>
      </c>
      <c r="T12" s="127" t="str">
        <f t="shared" si="12"/>
        <v/>
      </c>
      <c r="U12" s="127" t="str">
        <f t="shared" si="12"/>
        <v/>
      </c>
      <c r="V12" s="127" t="str">
        <f t="shared" si="12"/>
        <v/>
      </c>
      <c r="W12" s="127" t="str">
        <f t="shared" si="12"/>
        <v/>
      </c>
      <c r="X12" s="127" t="str">
        <f t="shared" si="12"/>
        <v/>
      </c>
      <c r="Y12" s="127" t="str">
        <f t="shared" si="12"/>
        <v/>
      </c>
      <c r="Z12" s="127" t="str">
        <f t="shared" si="12"/>
        <v/>
      </c>
      <c r="AA12" s="127" t="str">
        <f t="shared" si="12"/>
        <v/>
      </c>
      <c r="AB12" s="127" t="str">
        <f t="shared" si="12"/>
        <v/>
      </c>
      <c r="AC12" s="127" t="str">
        <f t="shared" si="12"/>
        <v/>
      </c>
      <c r="AD12" s="127" t="str">
        <f t="shared" si="12"/>
        <v/>
      </c>
      <c r="AE12" s="127" t="str">
        <f t="shared" si="12"/>
        <v/>
      </c>
      <c r="AF12" s="127" t="str">
        <f t="shared" si="12"/>
        <v/>
      </c>
      <c r="AG12" s="127" t="str">
        <f t="shared" si="12"/>
        <v/>
      </c>
      <c r="AH12" s="127" t="str">
        <f t="shared" si="12"/>
        <v/>
      </c>
      <c r="AI12" s="127" t="str">
        <f t="shared" si="12"/>
        <v/>
      </c>
      <c r="AJ12" s="127" t="str">
        <f t="shared" si="12"/>
        <v/>
      </c>
      <c r="AK12" s="127" t="str">
        <f t="shared" si="12"/>
        <v/>
      </c>
      <c r="AL12" s="127" t="str">
        <f t="shared" si="12"/>
        <v/>
      </c>
      <c r="AM12" s="127" t="str">
        <f t="shared" si="12"/>
        <v/>
      </c>
      <c r="AN12" s="127" t="str">
        <f t="shared" si="12"/>
        <v/>
      </c>
      <c r="AO12" s="127" t="str">
        <f t="shared" si="12"/>
        <v/>
      </c>
      <c r="AP12" s="127" t="str">
        <f t="shared" si="12"/>
        <v/>
      </c>
      <c r="AQ12" s="127" t="str">
        <f t="shared" si="12"/>
        <v/>
      </c>
      <c r="AR12" s="127" t="str">
        <f t="shared" si="12"/>
        <v/>
      </c>
      <c r="AS12" s="127" t="str">
        <f t="shared" si="12"/>
        <v/>
      </c>
      <c r="AT12" s="127" t="str">
        <f t="shared" si="12"/>
        <v/>
      </c>
      <c r="AU12" s="127" t="str">
        <f t="shared" si="12"/>
        <v/>
      </c>
      <c r="AV12" s="127" t="str">
        <f t="shared" si="12"/>
        <v/>
      </c>
      <c r="AW12" s="127" t="str">
        <f t="shared" si="12"/>
        <v/>
      </c>
      <c r="AX12" s="127" t="str">
        <f t="shared" si="12"/>
        <v/>
      </c>
      <c r="AY12" s="127" t="str">
        <f t="shared" si="12"/>
        <v/>
      </c>
      <c r="AZ12" s="127" t="str">
        <f t="shared" si="12"/>
        <v/>
      </c>
      <c r="BA12" s="127" t="str">
        <f t="shared" si="12"/>
        <v/>
      </c>
      <c r="BB12" s="127" t="str">
        <f t="shared" si="12"/>
        <v/>
      </c>
      <c r="BC12" s="127" t="str">
        <f t="shared" si="12"/>
        <v/>
      </c>
      <c r="BD12" s="127" t="str">
        <f t="shared" si="12"/>
        <v/>
      </c>
      <c r="BE12" s="127" t="str">
        <f t="shared" si="12"/>
        <v/>
      </c>
      <c r="BF12" s="127" t="str">
        <f t="shared" si="12"/>
        <v/>
      </c>
      <c r="BG12" s="127" t="str">
        <f t="shared" si="12"/>
        <v/>
      </c>
      <c r="BH12" s="127" t="str">
        <f t="shared" si="12"/>
        <v/>
      </c>
      <c r="BI12" s="127" t="str">
        <f t="shared" si="12"/>
        <v/>
      </c>
      <c r="BJ12" s="127" t="str">
        <f t="shared" si="12"/>
        <v/>
      </c>
      <c r="BK12" s="127" t="str">
        <f t="shared" si="12"/>
        <v/>
      </c>
      <c r="BL12" s="127" t="str">
        <f t="shared" si="12"/>
        <v/>
      </c>
      <c r="BM12" s="127" t="str">
        <f t="shared" si="12"/>
        <v/>
      </c>
      <c r="BN12" s="127" t="str">
        <f t="shared" si="12"/>
        <v/>
      </c>
      <c r="BO12" s="127" t="str">
        <f t="shared" si="12"/>
        <v/>
      </c>
      <c r="BP12" s="127" t="str">
        <f t="shared" si="12"/>
        <v/>
      </c>
      <c r="BQ12" s="127" t="str">
        <f t="shared" si="12"/>
        <v/>
      </c>
      <c r="BR12" s="127" t="str">
        <f t="shared" si="12"/>
        <v/>
      </c>
      <c r="BS12" s="127" t="str">
        <f t="shared" si="12"/>
        <v/>
      </c>
      <c r="BT12" s="127" t="str">
        <f t="shared" si="12"/>
        <v/>
      </c>
      <c r="BU12" s="127" t="str">
        <f t="shared" si="12"/>
        <v/>
      </c>
      <c r="BV12" s="127" t="str">
        <f t="shared" si="12"/>
        <v/>
      </c>
      <c r="BW12" s="127" t="str">
        <f t="shared" si="12"/>
        <v/>
      </c>
      <c r="BX12" s="127" t="str">
        <f t="shared" si="12"/>
        <v/>
      </c>
      <c r="BY12" s="127" t="str">
        <f t="shared" si="12"/>
        <v/>
      </c>
      <c r="BZ12" s="127" t="str">
        <f t="shared" si="12"/>
        <v/>
      </c>
      <c r="CA12" s="127" t="str">
        <f t="shared" si="12"/>
        <v/>
      </c>
      <c r="CB12" s="127" t="str">
        <f t="shared" si="12"/>
        <v/>
      </c>
      <c r="CC12" s="127" t="str">
        <f t="shared" si="6"/>
        <v/>
      </c>
      <c r="CD12" s="127" t="str">
        <f t="shared" si="6"/>
        <v/>
      </c>
    </row>
    <row r="13" spans="1:82" ht="12.6" hidden="1" customHeight="1" x14ac:dyDescent="0.2">
      <c r="A13" s="106">
        <f>SHIPMENTS!A19</f>
        <v>5928</v>
      </c>
      <c r="B13" s="106" t="str">
        <f>SHIPMENTS!B19</f>
        <v>41700-CANADA BSAUNAS BACKLOG</v>
      </c>
      <c r="C13" s="132">
        <f>SHIPMENTS!F19</f>
        <v>0</v>
      </c>
      <c r="D13" s="107" t="str">
        <f>IF((SHIPMENTS!I19)=0,"",SHIPMENTS!I19)</f>
        <v/>
      </c>
      <c r="E13" s="176" t="str">
        <f>IF((SHIPMENTS!G19)=0,"",SHIPMENTS!G19)</f>
        <v/>
      </c>
      <c r="F13" s="98">
        <f>VLOOKUP(A13,load!$A$4:$Y$5001,24,0)</f>
        <v>4.5549999999999997</v>
      </c>
      <c r="G13" s="109">
        <f>Manhours!$C$8</f>
        <v>16</v>
      </c>
      <c r="H13" s="98">
        <f t="shared" si="7"/>
        <v>145.6</v>
      </c>
      <c r="I13" s="99">
        <f t="shared" si="8"/>
        <v>3.1284340659340659E-2</v>
      </c>
      <c r="J13" s="99">
        <f t="shared" si="9"/>
        <v>0.28468749999999998</v>
      </c>
      <c r="K13" s="98">
        <f t="shared" si="3"/>
        <v>0</v>
      </c>
      <c r="L13" s="98">
        <f t="shared" si="10"/>
        <v>0</v>
      </c>
      <c r="M13" s="181">
        <f>IF(F13&gt;0,(MS!M13+2),N12)</f>
        <v>46316.019737484741</v>
      </c>
      <c r="N13" s="181">
        <f t="shared" si="11"/>
        <v>46316.019737484741</v>
      </c>
      <c r="O13" s="112" t="str">
        <f>VLOOKUP(A13,SHIPMENTS!$A$7:$AP$76,11,0)</f>
        <v>n/a</v>
      </c>
      <c r="P13" s="101"/>
      <c r="Q13" s="127" t="str">
        <f t="shared" si="12"/>
        <v/>
      </c>
      <c r="R13" s="127" t="str">
        <f t="shared" si="12"/>
        <v/>
      </c>
      <c r="S13" s="127" t="str">
        <f t="shared" si="12"/>
        <v/>
      </c>
      <c r="T13" s="127" t="str">
        <f t="shared" si="12"/>
        <v/>
      </c>
      <c r="U13" s="127" t="str">
        <f t="shared" si="12"/>
        <v/>
      </c>
      <c r="V13" s="127" t="str">
        <f t="shared" si="12"/>
        <v/>
      </c>
      <c r="W13" s="127" t="str">
        <f t="shared" si="12"/>
        <v/>
      </c>
      <c r="X13" s="127" t="str">
        <f t="shared" si="12"/>
        <v/>
      </c>
      <c r="Y13" s="127" t="str">
        <f t="shared" si="12"/>
        <v/>
      </c>
      <c r="Z13" s="127" t="str">
        <f t="shared" si="12"/>
        <v/>
      </c>
      <c r="AA13" s="127" t="str">
        <f t="shared" si="12"/>
        <v/>
      </c>
      <c r="AB13" s="127" t="str">
        <f t="shared" si="12"/>
        <v/>
      </c>
      <c r="AC13" s="127" t="str">
        <f t="shared" si="12"/>
        <v/>
      </c>
      <c r="AD13" s="127" t="str">
        <f t="shared" si="12"/>
        <v/>
      </c>
      <c r="AE13" s="127" t="str">
        <f t="shared" si="12"/>
        <v/>
      </c>
      <c r="AF13" s="127" t="str">
        <f t="shared" si="12"/>
        <v/>
      </c>
      <c r="AG13" s="127" t="str">
        <f t="shared" si="12"/>
        <v/>
      </c>
      <c r="AH13" s="127" t="str">
        <f t="shared" si="12"/>
        <v/>
      </c>
      <c r="AI13" s="127" t="str">
        <f t="shared" si="12"/>
        <v/>
      </c>
      <c r="AJ13" s="127" t="str">
        <f t="shared" si="12"/>
        <v/>
      </c>
      <c r="AK13" s="127" t="str">
        <f t="shared" si="12"/>
        <v/>
      </c>
      <c r="AL13" s="127" t="str">
        <f t="shared" si="12"/>
        <v/>
      </c>
      <c r="AM13" s="127" t="str">
        <f t="shared" si="12"/>
        <v/>
      </c>
      <c r="AN13" s="127" t="str">
        <f t="shared" si="12"/>
        <v/>
      </c>
      <c r="AO13" s="127" t="str">
        <f t="shared" si="12"/>
        <v/>
      </c>
      <c r="AP13" s="127" t="str">
        <f t="shared" si="12"/>
        <v/>
      </c>
      <c r="AQ13" s="127" t="str">
        <f t="shared" si="12"/>
        <v/>
      </c>
      <c r="AR13" s="127" t="str">
        <f t="shared" si="12"/>
        <v/>
      </c>
      <c r="AS13" s="127" t="str">
        <f t="shared" si="12"/>
        <v/>
      </c>
      <c r="AT13" s="127" t="str">
        <f t="shared" si="12"/>
        <v/>
      </c>
      <c r="AU13" s="127" t="str">
        <f t="shared" si="12"/>
        <v/>
      </c>
      <c r="AV13" s="127" t="str">
        <f t="shared" si="12"/>
        <v/>
      </c>
      <c r="AW13" s="127" t="str">
        <f t="shared" si="12"/>
        <v/>
      </c>
      <c r="AX13" s="127" t="str">
        <f t="shared" si="12"/>
        <v/>
      </c>
      <c r="AY13" s="127" t="str">
        <f t="shared" si="12"/>
        <v/>
      </c>
      <c r="AZ13" s="127" t="str">
        <f t="shared" si="12"/>
        <v/>
      </c>
      <c r="BA13" s="127" t="str">
        <f t="shared" si="12"/>
        <v/>
      </c>
      <c r="BB13" s="127" t="str">
        <f t="shared" si="12"/>
        <v/>
      </c>
      <c r="BC13" s="127" t="str">
        <f t="shared" si="12"/>
        <v/>
      </c>
      <c r="BD13" s="127" t="str">
        <f t="shared" si="12"/>
        <v/>
      </c>
      <c r="BE13" s="127" t="str">
        <f t="shared" si="12"/>
        <v/>
      </c>
      <c r="BF13" s="127" t="str">
        <f t="shared" si="12"/>
        <v/>
      </c>
      <c r="BG13" s="127" t="str">
        <f t="shared" si="12"/>
        <v/>
      </c>
      <c r="BH13" s="127" t="str">
        <f t="shared" si="12"/>
        <v/>
      </c>
      <c r="BI13" s="127" t="str">
        <f t="shared" si="12"/>
        <v/>
      </c>
      <c r="BJ13" s="127" t="str">
        <f t="shared" si="12"/>
        <v/>
      </c>
      <c r="BK13" s="127" t="str">
        <f t="shared" si="12"/>
        <v/>
      </c>
      <c r="BL13" s="127" t="str">
        <f t="shared" si="12"/>
        <v/>
      </c>
      <c r="BM13" s="127" t="str">
        <f t="shared" si="12"/>
        <v/>
      </c>
      <c r="BN13" s="127" t="str">
        <f t="shared" si="12"/>
        <v/>
      </c>
      <c r="BO13" s="127" t="str">
        <f t="shared" si="12"/>
        <v/>
      </c>
      <c r="BP13" s="127" t="str">
        <f t="shared" si="12"/>
        <v/>
      </c>
      <c r="BQ13" s="127" t="str">
        <f t="shared" si="12"/>
        <v/>
      </c>
      <c r="BR13" s="127" t="str">
        <f t="shared" si="12"/>
        <v/>
      </c>
      <c r="BS13" s="127" t="str">
        <f t="shared" si="12"/>
        <v/>
      </c>
      <c r="BT13" s="127" t="str">
        <f t="shared" si="12"/>
        <v/>
      </c>
      <c r="BU13" s="127" t="str">
        <f t="shared" si="12"/>
        <v/>
      </c>
      <c r="BV13" s="127" t="str">
        <f t="shared" si="12"/>
        <v/>
      </c>
      <c r="BW13" s="127" t="str">
        <f t="shared" si="12"/>
        <v/>
      </c>
      <c r="BX13" s="127" t="str">
        <f t="shared" si="12"/>
        <v/>
      </c>
      <c r="BY13" s="127" t="str">
        <f t="shared" si="12"/>
        <v/>
      </c>
      <c r="BZ13" s="127" t="str">
        <f t="shared" si="12"/>
        <v/>
      </c>
      <c r="CA13" s="127" t="str">
        <f t="shared" si="12"/>
        <v/>
      </c>
      <c r="CB13" s="127" t="str">
        <f t="shared" si="12"/>
        <v/>
      </c>
      <c r="CC13" s="127" t="str">
        <f t="shared" si="6"/>
        <v/>
      </c>
      <c r="CD13" s="127" t="str">
        <f t="shared" si="6"/>
        <v/>
      </c>
    </row>
    <row r="14" spans="1:82" ht="12.6" hidden="1" customHeight="1" x14ac:dyDescent="0.2">
      <c r="A14" s="106">
        <f>SHIPMENTS!A20</f>
        <v>4781</v>
      </c>
      <c r="B14" s="106" t="str">
        <f>SHIPMENTS!B20</f>
        <v>41700-CANADA BSAUNAS BACKLOG</v>
      </c>
      <c r="C14" s="132">
        <f>SHIPMENTS!F20</f>
        <v>0</v>
      </c>
      <c r="D14" s="107" t="str">
        <f>IF((SHIPMENTS!I20)=0,"",SHIPMENTS!I20)</f>
        <v/>
      </c>
      <c r="E14" s="176" t="str">
        <f>IF((SHIPMENTS!G20)=0,"",SHIPMENTS!G20)</f>
        <v/>
      </c>
      <c r="F14" s="98">
        <f>VLOOKUP(A14,load!$A$4:$Y$5001,24,0)</f>
        <v>0</v>
      </c>
      <c r="G14" s="109">
        <f>Manhours!$C$8</f>
        <v>16</v>
      </c>
      <c r="H14" s="98">
        <f t="shared" si="7"/>
        <v>145.6</v>
      </c>
      <c r="I14" s="99">
        <f t="shared" si="8"/>
        <v>0</v>
      </c>
      <c r="J14" s="99">
        <f t="shared" si="9"/>
        <v>0</v>
      </c>
      <c r="K14" s="98">
        <f t="shared" si="3"/>
        <v>0</v>
      </c>
      <c r="L14" s="98">
        <f t="shared" si="10"/>
        <v>0</v>
      </c>
      <c r="M14" s="181">
        <f>IF(F14&gt;0,(MS!M14+2),N13)</f>
        <v>46316.019737484741</v>
      </c>
      <c r="N14" s="181">
        <f t="shared" si="11"/>
        <v>46316.019737484741</v>
      </c>
      <c r="O14" s="112" t="str">
        <f>VLOOKUP(A14,SHIPMENTS!$A$7:$AP$76,11,0)</f>
        <v>n/a</v>
      </c>
      <c r="P14" s="101"/>
      <c r="Q14" s="127" t="str">
        <f t="shared" si="12"/>
        <v/>
      </c>
      <c r="R14" s="127" t="str">
        <f t="shared" si="12"/>
        <v/>
      </c>
      <c r="S14" s="127" t="str">
        <f t="shared" si="12"/>
        <v/>
      </c>
      <c r="T14" s="127" t="str">
        <f t="shared" si="12"/>
        <v/>
      </c>
      <c r="U14" s="127" t="str">
        <f t="shared" si="12"/>
        <v/>
      </c>
      <c r="V14" s="127" t="str">
        <f t="shared" si="12"/>
        <v/>
      </c>
      <c r="W14" s="127" t="str">
        <f t="shared" si="12"/>
        <v/>
      </c>
      <c r="X14" s="127" t="str">
        <f t="shared" si="12"/>
        <v/>
      </c>
      <c r="Y14" s="127" t="str">
        <f t="shared" si="12"/>
        <v/>
      </c>
      <c r="Z14" s="127" t="str">
        <f t="shared" si="12"/>
        <v/>
      </c>
      <c r="AA14" s="127" t="str">
        <f t="shared" si="12"/>
        <v/>
      </c>
      <c r="AB14" s="127" t="str">
        <f t="shared" si="12"/>
        <v/>
      </c>
      <c r="AC14" s="127" t="str">
        <f t="shared" si="12"/>
        <v/>
      </c>
      <c r="AD14" s="127" t="str">
        <f t="shared" si="12"/>
        <v/>
      </c>
      <c r="AE14" s="127" t="str">
        <f t="shared" si="12"/>
        <v/>
      </c>
      <c r="AF14" s="127" t="str">
        <f t="shared" si="12"/>
        <v/>
      </c>
      <c r="AG14" s="127" t="str">
        <f t="shared" si="12"/>
        <v/>
      </c>
      <c r="AH14" s="127" t="str">
        <f t="shared" si="12"/>
        <v/>
      </c>
      <c r="AI14" s="127" t="str">
        <f t="shared" si="12"/>
        <v/>
      </c>
      <c r="AJ14" s="127" t="str">
        <f t="shared" si="12"/>
        <v/>
      </c>
      <c r="AK14" s="127" t="str">
        <f t="shared" si="12"/>
        <v/>
      </c>
      <c r="AL14" s="127" t="str">
        <f t="shared" si="12"/>
        <v/>
      </c>
      <c r="AM14" s="127" t="str">
        <f t="shared" si="12"/>
        <v/>
      </c>
      <c r="AN14" s="127" t="str">
        <f t="shared" si="12"/>
        <v/>
      </c>
      <c r="AO14" s="127" t="str">
        <f t="shared" si="12"/>
        <v/>
      </c>
      <c r="AP14" s="127" t="str">
        <f t="shared" si="12"/>
        <v/>
      </c>
      <c r="AQ14" s="127" t="str">
        <f t="shared" si="12"/>
        <v/>
      </c>
      <c r="AR14" s="127" t="str">
        <f t="shared" si="12"/>
        <v/>
      </c>
      <c r="AS14" s="127" t="str">
        <f t="shared" si="12"/>
        <v/>
      </c>
      <c r="AT14" s="127" t="str">
        <f t="shared" si="12"/>
        <v/>
      </c>
      <c r="AU14" s="127" t="str">
        <f t="shared" si="12"/>
        <v/>
      </c>
      <c r="AV14" s="127" t="str">
        <f t="shared" si="12"/>
        <v/>
      </c>
      <c r="AW14" s="127" t="str">
        <f t="shared" si="12"/>
        <v/>
      </c>
      <c r="AX14" s="127" t="str">
        <f t="shared" si="12"/>
        <v/>
      </c>
      <c r="AY14" s="127" t="str">
        <f t="shared" si="12"/>
        <v/>
      </c>
      <c r="AZ14" s="127" t="str">
        <f t="shared" si="12"/>
        <v/>
      </c>
      <c r="BA14" s="127" t="str">
        <f t="shared" si="12"/>
        <v/>
      </c>
      <c r="BB14" s="127" t="str">
        <f t="shared" si="12"/>
        <v/>
      </c>
      <c r="BC14" s="127" t="str">
        <f t="shared" si="12"/>
        <v/>
      </c>
      <c r="BD14" s="127" t="str">
        <f t="shared" si="12"/>
        <v/>
      </c>
      <c r="BE14" s="127" t="str">
        <f t="shared" si="12"/>
        <v/>
      </c>
      <c r="BF14" s="127" t="str">
        <f t="shared" si="12"/>
        <v/>
      </c>
      <c r="BG14" s="127" t="str">
        <f t="shared" si="12"/>
        <v/>
      </c>
      <c r="BH14" s="127" t="str">
        <f t="shared" si="12"/>
        <v/>
      </c>
      <c r="BI14" s="127" t="str">
        <f t="shared" si="12"/>
        <v/>
      </c>
      <c r="BJ14" s="127" t="str">
        <f t="shared" si="12"/>
        <v/>
      </c>
      <c r="BK14" s="127" t="str">
        <f t="shared" si="12"/>
        <v/>
      </c>
      <c r="BL14" s="127" t="str">
        <f t="shared" si="12"/>
        <v/>
      </c>
      <c r="BM14" s="127" t="str">
        <f t="shared" si="12"/>
        <v/>
      </c>
      <c r="BN14" s="127" t="str">
        <f t="shared" si="12"/>
        <v/>
      </c>
      <c r="BO14" s="127" t="str">
        <f t="shared" si="12"/>
        <v/>
      </c>
      <c r="BP14" s="127" t="str">
        <f t="shared" si="12"/>
        <v/>
      </c>
      <c r="BQ14" s="127" t="str">
        <f t="shared" si="12"/>
        <v/>
      </c>
      <c r="BR14" s="127" t="str">
        <f t="shared" si="12"/>
        <v/>
      </c>
      <c r="BS14" s="127" t="str">
        <f t="shared" si="12"/>
        <v/>
      </c>
      <c r="BT14" s="127" t="str">
        <f t="shared" si="12"/>
        <v/>
      </c>
      <c r="BU14" s="127" t="str">
        <f t="shared" si="12"/>
        <v/>
      </c>
      <c r="BV14" s="127" t="str">
        <f t="shared" si="12"/>
        <v/>
      </c>
      <c r="BW14" s="127" t="str">
        <f t="shared" si="12"/>
        <v/>
      </c>
      <c r="BX14" s="127" t="str">
        <f t="shared" si="12"/>
        <v/>
      </c>
      <c r="BY14" s="127" t="str">
        <f t="shared" si="12"/>
        <v/>
      </c>
      <c r="BZ14" s="127" t="str">
        <f t="shared" si="12"/>
        <v/>
      </c>
      <c r="CA14" s="127" t="str">
        <f t="shared" si="12"/>
        <v/>
      </c>
      <c r="CB14" s="127" t="str">
        <f t="shared" si="12"/>
        <v/>
      </c>
      <c r="CC14" s="127" t="str">
        <f t="shared" si="6"/>
        <v/>
      </c>
      <c r="CD14" s="127" t="str">
        <f t="shared" si="6"/>
        <v/>
      </c>
    </row>
    <row r="15" spans="1:82" ht="12.6" customHeight="1" x14ac:dyDescent="0.2">
      <c r="A15" s="106">
        <f>SHIPMENTS!A21</f>
        <v>9259</v>
      </c>
      <c r="B15" s="106" t="str">
        <f>SHIPMENTS!B21</f>
        <v>27200-UAE</v>
      </c>
      <c r="C15" s="132">
        <f>SHIPMENTS!F21</f>
        <v>7.0000000000000007E-2</v>
      </c>
      <c r="D15" s="107" t="str">
        <f>IF((SHIPMENTS!I21)=0,"",SHIPMENTS!I21)</f>
        <v>AIR</v>
      </c>
      <c r="E15" s="176">
        <f>IF((SHIPMENTS!G21)=0,"",SHIPMENTS!G21)</f>
        <v>46316</v>
      </c>
      <c r="F15" s="98">
        <f>VLOOKUP(A15,load!$A$4:$Y$5001,24,0)</f>
        <v>0</v>
      </c>
      <c r="G15" s="109">
        <f>Manhours!$C$8</f>
        <v>16</v>
      </c>
      <c r="H15" s="98">
        <f t="shared" si="7"/>
        <v>145.6</v>
      </c>
      <c r="I15" s="99">
        <f t="shared" si="8"/>
        <v>0</v>
      </c>
      <c r="J15" s="99">
        <f t="shared" si="9"/>
        <v>0</v>
      </c>
      <c r="K15" s="98">
        <f t="shared" si="3"/>
        <v>0</v>
      </c>
      <c r="L15" s="98">
        <f t="shared" si="10"/>
        <v>0</v>
      </c>
      <c r="M15" s="181">
        <f>IF(F15&gt;0,(MS!M15+2),N14)</f>
        <v>46316.019737484741</v>
      </c>
      <c r="N15" s="181">
        <f t="shared" si="11"/>
        <v>46316.019737484741</v>
      </c>
      <c r="O15" s="112">
        <f>VLOOKUP(A15,SHIPMENTS!$A$7:$AP$76,11,0)</f>
        <v>0</v>
      </c>
      <c r="P15" s="101"/>
      <c r="Q15" s="127" t="str">
        <f t="shared" si="12"/>
        <v/>
      </c>
      <c r="R15" s="127" t="str">
        <f t="shared" si="12"/>
        <v/>
      </c>
      <c r="S15" s="127" t="str">
        <f t="shared" si="12"/>
        <v>▲</v>
      </c>
      <c r="T15" s="127" t="str">
        <f t="shared" si="12"/>
        <v/>
      </c>
      <c r="U15" s="127" t="str">
        <f t="shared" si="12"/>
        <v/>
      </c>
      <c r="V15" s="127" t="str">
        <f t="shared" si="12"/>
        <v/>
      </c>
      <c r="W15" s="127" t="str">
        <f t="shared" si="12"/>
        <v/>
      </c>
      <c r="X15" s="127" t="str">
        <f t="shared" si="12"/>
        <v/>
      </c>
      <c r="Y15" s="127" t="str">
        <f t="shared" si="12"/>
        <v/>
      </c>
      <c r="Z15" s="127" t="str">
        <f t="shared" si="12"/>
        <v/>
      </c>
      <c r="AA15" s="127" t="str">
        <f t="shared" si="12"/>
        <v/>
      </c>
      <c r="AB15" s="127" t="str">
        <f t="shared" si="12"/>
        <v/>
      </c>
      <c r="AC15" s="127" t="str">
        <f t="shared" si="12"/>
        <v/>
      </c>
      <c r="AD15" s="127" t="str">
        <f t="shared" si="12"/>
        <v/>
      </c>
      <c r="AE15" s="127" t="str">
        <f t="shared" si="12"/>
        <v/>
      </c>
      <c r="AF15" s="127" t="str">
        <f t="shared" si="12"/>
        <v/>
      </c>
      <c r="AG15" s="127" t="str">
        <f t="shared" si="12"/>
        <v/>
      </c>
      <c r="AH15" s="127" t="str">
        <f t="shared" si="12"/>
        <v/>
      </c>
      <c r="AI15" s="127" t="str">
        <f t="shared" si="12"/>
        <v/>
      </c>
      <c r="AJ15" s="127" t="str">
        <f t="shared" si="12"/>
        <v/>
      </c>
      <c r="AK15" s="127" t="str">
        <f t="shared" si="12"/>
        <v/>
      </c>
      <c r="AL15" s="127" t="str">
        <f t="shared" si="12"/>
        <v/>
      </c>
      <c r="AM15" s="127" t="str">
        <f t="shared" si="12"/>
        <v/>
      </c>
      <c r="AN15" s="127" t="str">
        <f t="shared" si="12"/>
        <v/>
      </c>
      <c r="AO15" s="127" t="str">
        <f t="shared" si="12"/>
        <v/>
      </c>
      <c r="AP15" s="127" t="str">
        <f t="shared" si="12"/>
        <v/>
      </c>
      <c r="AQ15" s="127" t="str">
        <f t="shared" si="12"/>
        <v/>
      </c>
      <c r="AR15" s="127" t="str">
        <f t="shared" si="12"/>
        <v/>
      </c>
      <c r="AS15" s="127" t="str">
        <f t="shared" si="12"/>
        <v/>
      </c>
      <c r="AT15" s="127" t="str">
        <f t="shared" si="12"/>
        <v/>
      </c>
      <c r="AU15" s="127" t="str">
        <f t="shared" si="12"/>
        <v/>
      </c>
      <c r="AV15" s="127" t="str">
        <f t="shared" si="12"/>
        <v/>
      </c>
      <c r="AW15" s="127" t="str">
        <f t="shared" si="12"/>
        <v/>
      </c>
      <c r="AX15" s="127" t="str">
        <f t="shared" si="12"/>
        <v/>
      </c>
      <c r="AY15" s="127" t="str">
        <f t="shared" si="12"/>
        <v/>
      </c>
      <c r="AZ15" s="127" t="str">
        <f t="shared" si="12"/>
        <v/>
      </c>
      <c r="BA15" s="127" t="str">
        <f t="shared" si="12"/>
        <v/>
      </c>
      <c r="BB15" s="127" t="str">
        <f t="shared" si="12"/>
        <v/>
      </c>
      <c r="BC15" s="127" t="str">
        <f t="shared" si="12"/>
        <v/>
      </c>
      <c r="BD15" s="127" t="str">
        <f t="shared" si="12"/>
        <v/>
      </c>
      <c r="BE15" s="127" t="str">
        <f t="shared" si="12"/>
        <v/>
      </c>
      <c r="BF15" s="127" t="str">
        <f t="shared" si="12"/>
        <v/>
      </c>
      <c r="BG15" s="127" t="str">
        <f t="shared" si="12"/>
        <v/>
      </c>
      <c r="BH15" s="127" t="str">
        <f t="shared" si="12"/>
        <v/>
      </c>
      <c r="BI15" s="127" t="str">
        <f t="shared" si="12"/>
        <v/>
      </c>
      <c r="BJ15" s="127" t="str">
        <f t="shared" si="12"/>
        <v/>
      </c>
      <c r="BK15" s="127" t="str">
        <f t="shared" si="12"/>
        <v/>
      </c>
      <c r="BL15" s="127" t="str">
        <f t="shared" si="12"/>
        <v/>
      </c>
      <c r="BM15" s="127" t="str">
        <f t="shared" si="12"/>
        <v/>
      </c>
      <c r="BN15" s="127" t="str">
        <f t="shared" si="12"/>
        <v/>
      </c>
      <c r="BO15" s="127" t="str">
        <f t="shared" si="12"/>
        <v/>
      </c>
      <c r="BP15" s="127" t="str">
        <f t="shared" si="12"/>
        <v/>
      </c>
      <c r="BQ15" s="127" t="str">
        <f t="shared" si="12"/>
        <v/>
      </c>
      <c r="BR15" s="127" t="str">
        <f t="shared" si="12"/>
        <v/>
      </c>
      <c r="BS15" s="127" t="str">
        <f t="shared" si="12"/>
        <v/>
      </c>
      <c r="BT15" s="127" t="str">
        <f t="shared" si="12"/>
        <v/>
      </c>
      <c r="BU15" s="127" t="str">
        <f t="shared" si="12"/>
        <v/>
      </c>
      <c r="BV15" s="127" t="str">
        <f t="shared" si="12"/>
        <v/>
      </c>
      <c r="BW15" s="127" t="str">
        <f t="shared" si="12"/>
        <v/>
      </c>
      <c r="BX15" s="127" t="str">
        <f t="shared" si="12"/>
        <v/>
      </c>
      <c r="BY15" s="127" t="str">
        <f t="shared" si="12"/>
        <v/>
      </c>
      <c r="BZ15" s="127" t="str">
        <f t="shared" si="12"/>
        <v/>
      </c>
      <c r="CA15" s="127" t="str">
        <f t="shared" ref="CA15:CB15" si="13">IF($E15=CA$3,"▲","")</f>
        <v/>
      </c>
      <c r="CB15" s="127" t="str">
        <f t="shared" si="13"/>
        <v/>
      </c>
      <c r="CC15" s="127" t="str">
        <f t="shared" si="6"/>
        <v/>
      </c>
      <c r="CD15" s="127" t="str">
        <f t="shared" si="6"/>
        <v/>
      </c>
    </row>
    <row r="16" spans="1:82" ht="12.6" customHeight="1" x14ac:dyDescent="0.2">
      <c r="A16" s="106">
        <f>SHIPMENTS!A22</f>
        <v>8765</v>
      </c>
      <c r="B16" s="106" t="str">
        <f>SHIPMENTS!B22</f>
        <v>8200-AUSTRALIA</v>
      </c>
      <c r="C16" s="132">
        <f>SHIPMENTS!F22</f>
        <v>64.930000000000007</v>
      </c>
      <c r="D16" s="107" t="str">
        <f>IF((SHIPMENTS!I22)=0,"",SHIPMENTS!I22)</f>
        <v>1X40HC</v>
      </c>
      <c r="E16" s="176">
        <f>IF((SHIPMENTS!G22)=0,"",SHIPMENTS!G22)</f>
        <v>46316</v>
      </c>
      <c r="F16" s="98">
        <f>VLOOKUP(A16,load!$A$4:$Y$5001,24,0)</f>
        <v>123.94683333333332</v>
      </c>
      <c r="G16" s="109">
        <f>Manhours!$C$8</f>
        <v>16</v>
      </c>
      <c r="H16" s="98">
        <f t="shared" si="7"/>
        <v>145.6</v>
      </c>
      <c r="I16" s="99">
        <f t="shared" si="8"/>
        <v>0.85128319597069591</v>
      </c>
      <c r="J16" s="99">
        <f t="shared" si="9"/>
        <v>7.7466770833333323</v>
      </c>
      <c r="K16" s="98">
        <f t="shared" si="3"/>
        <v>0.11066681547619051</v>
      </c>
      <c r="L16" s="98">
        <f t="shared" si="10"/>
        <v>1.0070680208333336</v>
      </c>
      <c r="M16" s="181">
        <f>IF(F16&gt;0,(MS!M16+2),N15)</f>
        <v>46316.019737484741</v>
      </c>
      <c r="N16" s="181">
        <f t="shared" si="11"/>
        <v>46316.130404300216</v>
      </c>
      <c r="O16" s="112">
        <f>VLOOKUP(A16,SHIPMENTS!$A$7:$AP$76,11,0)</f>
        <v>0.87</v>
      </c>
      <c r="P16" s="101"/>
      <c r="Q16" s="127" t="str">
        <f t="shared" ref="Q16:AF31" si="14">IF($E16=Q$3,"▲","")</f>
        <v/>
      </c>
      <c r="R16" s="127" t="str">
        <f t="shared" si="14"/>
        <v/>
      </c>
      <c r="S16" s="127" t="str">
        <f t="shared" si="14"/>
        <v>▲</v>
      </c>
      <c r="T16" s="127" t="str">
        <f t="shared" si="14"/>
        <v/>
      </c>
      <c r="U16" s="127" t="str">
        <f t="shared" si="14"/>
        <v/>
      </c>
      <c r="V16" s="127" t="str">
        <f t="shared" si="14"/>
        <v/>
      </c>
      <c r="W16" s="127" t="str">
        <f t="shared" si="14"/>
        <v/>
      </c>
      <c r="X16" s="127" t="str">
        <f t="shared" si="14"/>
        <v/>
      </c>
      <c r="Y16" s="127" t="str">
        <f t="shared" si="14"/>
        <v/>
      </c>
      <c r="Z16" s="127" t="str">
        <f t="shared" si="14"/>
        <v/>
      </c>
      <c r="AA16" s="127" t="str">
        <f t="shared" si="14"/>
        <v/>
      </c>
      <c r="AB16" s="127" t="str">
        <f t="shared" si="14"/>
        <v/>
      </c>
      <c r="AC16" s="127" t="str">
        <f t="shared" si="14"/>
        <v/>
      </c>
      <c r="AD16" s="127" t="str">
        <f t="shared" si="14"/>
        <v/>
      </c>
      <c r="AE16" s="127" t="str">
        <f t="shared" si="14"/>
        <v/>
      </c>
      <c r="AF16" s="127" t="str">
        <f t="shared" si="14"/>
        <v/>
      </c>
      <c r="AG16" s="127" t="str">
        <f t="shared" ref="AG16:AV33" si="15">IF($E16=AG$3,"▲","")</f>
        <v/>
      </c>
      <c r="AH16" s="127" t="str">
        <f t="shared" si="15"/>
        <v/>
      </c>
      <c r="AI16" s="127" t="str">
        <f t="shared" si="15"/>
        <v/>
      </c>
      <c r="AJ16" s="127" t="str">
        <f t="shared" si="15"/>
        <v/>
      </c>
      <c r="AK16" s="127" t="str">
        <f t="shared" si="15"/>
        <v/>
      </c>
      <c r="AL16" s="127" t="str">
        <f t="shared" si="15"/>
        <v/>
      </c>
      <c r="AM16" s="127" t="str">
        <f t="shared" si="15"/>
        <v/>
      </c>
      <c r="AN16" s="127" t="str">
        <f t="shared" si="15"/>
        <v/>
      </c>
      <c r="AO16" s="127" t="str">
        <f t="shared" si="15"/>
        <v/>
      </c>
      <c r="AP16" s="127" t="str">
        <f t="shared" si="15"/>
        <v/>
      </c>
      <c r="AQ16" s="127" t="str">
        <f t="shared" si="15"/>
        <v/>
      </c>
      <c r="AR16" s="127" t="str">
        <f t="shared" si="15"/>
        <v/>
      </c>
      <c r="AS16" s="127" t="str">
        <f t="shared" si="15"/>
        <v/>
      </c>
      <c r="AT16" s="127" t="str">
        <f t="shared" si="15"/>
        <v/>
      </c>
      <c r="AU16" s="127" t="str">
        <f t="shared" si="15"/>
        <v/>
      </c>
      <c r="AV16" s="127" t="str">
        <f t="shared" si="15"/>
        <v/>
      </c>
      <c r="AW16" s="127" t="str">
        <f t="shared" ref="AW16:BL31" si="16">IF($E16=AW$3,"▲","")</f>
        <v/>
      </c>
      <c r="AX16" s="127" t="str">
        <f t="shared" si="16"/>
        <v/>
      </c>
      <c r="AY16" s="127" t="str">
        <f t="shared" si="16"/>
        <v/>
      </c>
      <c r="AZ16" s="127" t="str">
        <f t="shared" si="16"/>
        <v/>
      </c>
      <c r="BA16" s="127" t="str">
        <f t="shared" si="16"/>
        <v/>
      </c>
      <c r="BB16" s="127" t="str">
        <f t="shared" si="16"/>
        <v/>
      </c>
      <c r="BC16" s="127" t="str">
        <f t="shared" si="16"/>
        <v/>
      </c>
      <c r="BD16" s="127" t="str">
        <f t="shared" si="16"/>
        <v/>
      </c>
      <c r="BE16" s="127" t="str">
        <f t="shared" si="16"/>
        <v/>
      </c>
      <c r="BF16" s="127" t="str">
        <f t="shared" si="16"/>
        <v/>
      </c>
      <c r="BG16" s="127" t="str">
        <f t="shared" si="16"/>
        <v/>
      </c>
      <c r="BH16" s="127" t="str">
        <f t="shared" si="16"/>
        <v/>
      </c>
      <c r="BI16" s="127" t="str">
        <f t="shared" si="16"/>
        <v/>
      </c>
      <c r="BJ16" s="127" t="str">
        <f t="shared" si="16"/>
        <v/>
      </c>
      <c r="BK16" s="127" t="str">
        <f t="shared" si="16"/>
        <v/>
      </c>
      <c r="BL16" s="127" t="str">
        <f t="shared" si="16"/>
        <v/>
      </c>
      <c r="BM16" s="127" t="str">
        <f t="shared" ref="BM16:CB33" si="17">IF($E16=BM$3,"▲","")</f>
        <v/>
      </c>
      <c r="BN16" s="127" t="str">
        <f t="shared" si="17"/>
        <v/>
      </c>
      <c r="BO16" s="127" t="str">
        <f t="shared" si="17"/>
        <v/>
      </c>
      <c r="BP16" s="127" t="str">
        <f t="shared" si="17"/>
        <v/>
      </c>
      <c r="BQ16" s="127" t="str">
        <f t="shared" si="17"/>
        <v/>
      </c>
      <c r="BR16" s="127" t="str">
        <f t="shared" si="17"/>
        <v/>
      </c>
      <c r="BS16" s="127" t="str">
        <f t="shared" si="17"/>
        <v/>
      </c>
      <c r="BT16" s="127" t="str">
        <f t="shared" si="17"/>
        <v/>
      </c>
      <c r="BU16" s="127" t="str">
        <f t="shared" si="17"/>
        <v/>
      </c>
      <c r="BV16" s="127" t="str">
        <f t="shared" si="17"/>
        <v/>
      </c>
      <c r="BW16" s="127" t="str">
        <f t="shared" si="17"/>
        <v/>
      </c>
      <c r="BX16" s="127" t="str">
        <f t="shared" si="17"/>
        <v/>
      </c>
      <c r="BY16" s="127" t="str">
        <f t="shared" si="17"/>
        <v/>
      </c>
      <c r="BZ16" s="127" t="str">
        <f t="shared" si="17"/>
        <v/>
      </c>
      <c r="CA16" s="127" t="str">
        <f t="shared" si="17"/>
        <v/>
      </c>
      <c r="CB16" s="127" t="str">
        <f t="shared" si="17"/>
        <v/>
      </c>
      <c r="CC16" s="127" t="str">
        <f t="shared" si="6"/>
        <v/>
      </c>
      <c r="CD16" s="127" t="str">
        <f t="shared" si="6"/>
        <v/>
      </c>
    </row>
    <row r="17" spans="1:82" ht="12.6" customHeight="1" x14ac:dyDescent="0.2">
      <c r="A17" s="106">
        <f>SHIPMENTS!A23</f>
        <v>7919</v>
      </c>
      <c r="B17" s="106" t="str">
        <f>SHIPMENTS!B23</f>
        <v>8200-AUSTRALIA</v>
      </c>
      <c r="C17" s="132">
        <f>SHIPMENTS!F23</f>
        <v>0</v>
      </c>
      <c r="D17" s="107" t="str">
        <f>IF((SHIPMENTS!I23)=0,"",SHIPMENTS!I23)</f>
        <v/>
      </c>
      <c r="E17" s="176" t="str">
        <f>IF((SHIPMENTS!G23)=0,"",SHIPMENTS!G23)</f>
        <v/>
      </c>
      <c r="F17" s="98">
        <f>VLOOKUP(A17,load!$A$4:$Y$5001,24,0)</f>
        <v>0</v>
      </c>
      <c r="G17" s="109">
        <f>Manhours!$C$8</f>
        <v>16</v>
      </c>
      <c r="H17" s="98">
        <f t="shared" si="7"/>
        <v>145.6</v>
      </c>
      <c r="I17" s="99">
        <f t="shared" si="8"/>
        <v>0</v>
      </c>
      <c r="J17" s="99">
        <f t="shared" si="9"/>
        <v>0</v>
      </c>
      <c r="K17" s="98">
        <f t="shared" si="3"/>
        <v>0</v>
      </c>
      <c r="L17" s="98">
        <f t="shared" si="10"/>
        <v>0</v>
      </c>
      <c r="M17" s="181">
        <f>IF(F17&gt;0,(MS!M17+2),N16)</f>
        <v>46316.130404300216</v>
      </c>
      <c r="N17" s="181">
        <f t="shared" si="11"/>
        <v>46316.130404300216</v>
      </c>
      <c r="O17" s="112">
        <f>VLOOKUP(A17,SHIPMENTS!$A$7:$AP$76,11,0)</f>
        <v>1</v>
      </c>
      <c r="P17" s="101"/>
      <c r="Q17" s="127" t="str">
        <f t="shared" si="14"/>
        <v/>
      </c>
      <c r="R17" s="127" t="str">
        <f t="shared" si="14"/>
        <v/>
      </c>
      <c r="S17" s="127" t="str">
        <f t="shared" si="14"/>
        <v/>
      </c>
      <c r="T17" s="127" t="str">
        <f t="shared" si="14"/>
        <v/>
      </c>
      <c r="U17" s="127" t="str">
        <f t="shared" si="14"/>
        <v/>
      </c>
      <c r="V17" s="127" t="str">
        <f t="shared" si="14"/>
        <v/>
      </c>
      <c r="W17" s="127" t="str">
        <f t="shared" si="14"/>
        <v/>
      </c>
      <c r="X17" s="127" t="str">
        <f t="shared" si="14"/>
        <v/>
      </c>
      <c r="Y17" s="127" t="str">
        <f t="shared" si="14"/>
        <v/>
      </c>
      <c r="Z17" s="127" t="str">
        <f t="shared" si="14"/>
        <v/>
      </c>
      <c r="AA17" s="127" t="str">
        <f t="shared" si="14"/>
        <v/>
      </c>
      <c r="AB17" s="127" t="str">
        <f t="shared" si="14"/>
        <v/>
      </c>
      <c r="AC17" s="127" t="str">
        <f t="shared" si="14"/>
        <v/>
      </c>
      <c r="AD17" s="127" t="str">
        <f t="shared" si="14"/>
        <v/>
      </c>
      <c r="AE17" s="127" t="str">
        <f t="shared" si="14"/>
        <v/>
      </c>
      <c r="AF17" s="127" t="str">
        <f t="shared" si="14"/>
        <v/>
      </c>
      <c r="AG17" s="127" t="str">
        <f t="shared" si="15"/>
        <v/>
      </c>
      <c r="AH17" s="127" t="str">
        <f t="shared" si="15"/>
        <v/>
      </c>
      <c r="AI17" s="127" t="str">
        <f t="shared" si="15"/>
        <v/>
      </c>
      <c r="AJ17" s="127" t="str">
        <f t="shared" si="15"/>
        <v/>
      </c>
      <c r="AK17" s="127" t="str">
        <f t="shared" si="15"/>
        <v/>
      </c>
      <c r="AL17" s="127" t="str">
        <f t="shared" si="15"/>
        <v/>
      </c>
      <c r="AM17" s="127" t="str">
        <f t="shared" si="15"/>
        <v/>
      </c>
      <c r="AN17" s="127" t="str">
        <f t="shared" si="15"/>
        <v/>
      </c>
      <c r="AO17" s="127" t="str">
        <f t="shared" si="15"/>
        <v/>
      </c>
      <c r="AP17" s="127" t="str">
        <f t="shared" si="15"/>
        <v/>
      </c>
      <c r="AQ17" s="127" t="str">
        <f t="shared" si="15"/>
        <v/>
      </c>
      <c r="AR17" s="127" t="str">
        <f t="shared" si="15"/>
        <v/>
      </c>
      <c r="AS17" s="127" t="str">
        <f t="shared" si="15"/>
        <v/>
      </c>
      <c r="AT17" s="127" t="str">
        <f t="shared" si="15"/>
        <v/>
      </c>
      <c r="AU17" s="127" t="str">
        <f t="shared" si="15"/>
        <v/>
      </c>
      <c r="AV17" s="127" t="str">
        <f t="shared" si="15"/>
        <v/>
      </c>
      <c r="AW17" s="127" t="str">
        <f t="shared" si="16"/>
        <v/>
      </c>
      <c r="AX17" s="127" t="str">
        <f t="shared" si="16"/>
        <v/>
      </c>
      <c r="AY17" s="127" t="str">
        <f t="shared" si="16"/>
        <v/>
      </c>
      <c r="AZ17" s="127" t="str">
        <f t="shared" si="16"/>
        <v/>
      </c>
      <c r="BA17" s="127" t="str">
        <f t="shared" si="16"/>
        <v/>
      </c>
      <c r="BB17" s="127" t="str">
        <f t="shared" si="16"/>
        <v/>
      </c>
      <c r="BC17" s="127" t="str">
        <f t="shared" si="16"/>
        <v/>
      </c>
      <c r="BD17" s="127" t="str">
        <f t="shared" si="16"/>
        <v/>
      </c>
      <c r="BE17" s="127" t="str">
        <f t="shared" si="16"/>
        <v/>
      </c>
      <c r="BF17" s="127" t="str">
        <f t="shared" si="16"/>
        <v/>
      </c>
      <c r="BG17" s="127" t="str">
        <f t="shared" si="16"/>
        <v/>
      </c>
      <c r="BH17" s="127" t="str">
        <f t="shared" si="16"/>
        <v/>
      </c>
      <c r="BI17" s="127" t="str">
        <f t="shared" si="16"/>
        <v/>
      </c>
      <c r="BJ17" s="127" t="str">
        <f t="shared" si="16"/>
        <v/>
      </c>
      <c r="BK17" s="127" t="str">
        <f t="shared" si="16"/>
        <v/>
      </c>
      <c r="BL17" s="127" t="str">
        <f t="shared" si="16"/>
        <v/>
      </c>
      <c r="BM17" s="127" t="str">
        <f t="shared" si="17"/>
        <v/>
      </c>
      <c r="BN17" s="127" t="str">
        <f t="shared" si="17"/>
        <v/>
      </c>
      <c r="BO17" s="127" t="str">
        <f t="shared" si="17"/>
        <v/>
      </c>
      <c r="BP17" s="127" t="str">
        <f t="shared" si="17"/>
        <v/>
      </c>
      <c r="BQ17" s="127" t="str">
        <f t="shared" si="17"/>
        <v/>
      </c>
      <c r="BR17" s="127" t="str">
        <f t="shared" si="17"/>
        <v/>
      </c>
      <c r="BS17" s="127" t="str">
        <f t="shared" si="17"/>
        <v/>
      </c>
      <c r="BT17" s="127" t="str">
        <f t="shared" si="17"/>
        <v/>
      </c>
      <c r="BU17" s="127" t="str">
        <f t="shared" si="17"/>
        <v/>
      </c>
      <c r="BV17" s="127" t="str">
        <f t="shared" si="17"/>
        <v/>
      </c>
      <c r="BW17" s="127" t="str">
        <f t="shared" si="17"/>
        <v/>
      </c>
      <c r="BX17" s="127" t="str">
        <f t="shared" si="17"/>
        <v/>
      </c>
      <c r="BY17" s="127" t="str">
        <f t="shared" si="17"/>
        <v/>
      </c>
      <c r="BZ17" s="127" t="str">
        <f t="shared" si="17"/>
        <v/>
      </c>
      <c r="CA17" s="127" t="str">
        <f t="shared" si="17"/>
        <v/>
      </c>
      <c r="CB17" s="127" t="str">
        <f t="shared" si="17"/>
        <v/>
      </c>
      <c r="CC17" s="127" t="str">
        <f t="shared" si="6"/>
        <v/>
      </c>
      <c r="CD17" s="127" t="str">
        <f t="shared" si="6"/>
        <v/>
      </c>
    </row>
    <row r="18" spans="1:82" ht="12.6" customHeight="1" x14ac:dyDescent="0.2">
      <c r="A18" s="106">
        <f>SHIPMENTS!A24</f>
        <v>9015</v>
      </c>
      <c r="B18" s="106" t="str">
        <f>SHIPMENTS!B24</f>
        <v>15900- Mandaue City | Atty. Brando Raya</v>
      </c>
      <c r="C18" s="132">
        <f>SHIPMENTS!F24</f>
        <v>0.25600000000000001</v>
      </c>
      <c r="D18" s="107" t="str">
        <f>IF((SHIPMENTS!I24)=0,"",SHIPMENTS!I24)</f>
        <v>LCL</v>
      </c>
      <c r="E18" s="176">
        <f>IF((SHIPMENTS!G24)=0,"",SHIPMENTS!G24)</f>
        <v>46323</v>
      </c>
      <c r="F18" s="98">
        <f>VLOOKUP(A18,load!$A$4:$Y$5001,24,0)</f>
        <v>9.8008333333333333</v>
      </c>
      <c r="G18" s="109">
        <f>Manhours!$C$8</f>
        <v>16</v>
      </c>
      <c r="H18" s="98">
        <f t="shared" si="7"/>
        <v>145.6</v>
      </c>
      <c r="I18" s="99">
        <f t="shared" si="8"/>
        <v>6.7313415750915748E-2</v>
      </c>
      <c r="J18" s="99">
        <f t="shared" si="9"/>
        <v>0.61255208333333333</v>
      </c>
      <c r="K18" s="98">
        <f t="shared" si="3"/>
        <v>0</v>
      </c>
      <c r="L18" s="98">
        <f t="shared" si="10"/>
        <v>0</v>
      </c>
      <c r="M18" s="181">
        <f>IF(F18&gt;0,(MS!M18+2),N17)</f>
        <v>46316.20959647945</v>
      </c>
      <c r="N18" s="181">
        <f t="shared" si="11"/>
        <v>46316.20959647945</v>
      </c>
      <c r="O18" s="112">
        <f>VLOOKUP(A18,SHIPMENTS!$A$7:$AP$76,11,0)</f>
        <v>1</v>
      </c>
      <c r="P18" s="101"/>
      <c r="Q18" s="127" t="str">
        <f t="shared" si="14"/>
        <v/>
      </c>
      <c r="R18" s="127" t="str">
        <f t="shared" si="14"/>
        <v/>
      </c>
      <c r="S18" s="127" t="str">
        <f t="shared" si="14"/>
        <v/>
      </c>
      <c r="T18" s="127" t="str">
        <f t="shared" si="14"/>
        <v/>
      </c>
      <c r="U18" s="127" t="str">
        <f t="shared" si="14"/>
        <v/>
      </c>
      <c r="V18" s="127" t="str">
        <f t="shared" si="14"/>
        <v/>
      </c>
      <c r="W18" s="127" t="str">
        <f t="shared" si="14"/>
        <v/>
      </c>
      <c r="X18" s="127" t="str">
        <f t="shared" si="14"/>
        <v/>
      </c>
      <c r="Y18" s="127" t="str">
        <f t="shared" si="14"/>
        <v>▲</v>
      </c>
      <c r="Z18" s="127" t="str">
        <f t="shared" si="14"/>
        <v/>
      </c>
      <c r="AA18" s="127" t="str">
        <f t="shared" si="14"/>
        <v/>
      </c>
      <c r="AB18" s="127" t="str">
        <f t="shared" si="14"/>
        <v/>
      </c>
      <c r="AC18" s="127" t="str">
        <f t="shared" si="14"/>
        <v/>
      </c>
      <c r="AD18" s="127" t="str">
        <f t="shared" si="14"/>
        <v/>
      </c>
      <c r="AE18" s="127" t="str">
        <f t="shared" si="14"/>
        <v/>
      </c>
      <c r="AF18" s="127" t="str">
        <f t="shared" si="14"/>
        <v/>
      </c>
      <c r="AG18" s="127" t="str">
        <f t="shared" si="15"/>
        <v/>
      </c>
      <c r="AH18" s="127" t="str">
        <f t="shared" si="15"/>
        <v/>
      </c>
      <c r="AI18" s="127" t="str">
        <f t="shared" si="15"/>
        <v/>
      </c>
      <c r="AJ18" s="127" t="str">
        <f t="shared" si="15"/>
        <v/>
      </c>
      <c r="AK18" s="127" t="str">
        <f t="shared" si="15"/>
        <v/>
      </c>
      <c r="AL18" s="127" t="str">
        <f t="shared" si="15"/>
        <v/>
      </c>
      <c r="AM18" s="127" t="str">
        <f t="shared" si="15"/>
        <v/>
      </c>
      <c r="AN18" s="127" t="str">
        <f t="shared" si="15"/>
        <v/>
      </c>
      <c r="AO18" s="127" t="str">
        <f t="shared" si="15"/>
        <v/>
      </c>
      <c r="AP18" s="127" t="str">
        <f t="shared" si="15"/>
        <v/>
      </c>
      <c r="AQ18" s="127" t="str">
        <f t="shared" si="15"/>
        <v/>
      </c>
      <c r="AR18" s="127" t="str">
        <f t="shared" si="15"/>
        <v/>
      </c>
      <c r="AS18" s="127" t="str">
        <f t="shared" si="15"/>
        <v/>
      </c>
      <c r="AT18" s="127" t="str">
        <f t="shared" si="15"/>
        <v/>
      </c>
      <c r="AU18" s="127" t="str">
        <f t="shared" si="15"/>
        <v/>
      </c>
      <c r="AV18" s="127" t="str">
        <f t="shared" si="15"/>
        <v/>
      </c>
      <c r="AW18" s="127" t="str">
        <f t="shared" si="16"/>
        <v/>
      </c>
      <c r="AX18" s="127" t="str">
        <f t="shared" si="16"/>
        <v/>
      </c>
      <c r="AY18" s="127" t="str">
        <f t="shared" si="16"/>
        <v/>
      </c>
      <c r="AZ18" s="127" t="str">
        <f t="shared" si="16"/>
        <v/>
      </c>
      <c r="BA18" s="127" t="str">
        <f t="shared" si="16"/>
        <v/>
      </c>
      <c r="BB18" s="127" t="str">
        <f t="shared" si="16"/>
        <v/>
      </c>
      <c r="BC18" s="127" t="str">
        <f t="shared" si="16"/>
        <v/>
      </c>
      <c r="BD18" s="127" t="str">
        <f t="shared" si="16"/>
        <v/>
      </c>
      <c r="BE18" s="127" t="str">
        <f t="shared" si="16"/>
        <v/>
      </c>
      <c r="BF18" s="127" t="str">
        <f t="shared" si="16"/>
        <v/>
      </c>
      <c r="BG18" s="127" t="str">
        <f t="shared" si="16"/>
        <v/>
      </c>
      <c r="BH18" s="127" t="str">
        <f t="shared" si="16"/>
        <v/>
      </c>
      <c r="BI18" s="127" t="str">
        <f t="shared" si="16"/>
        <v/>
      </c>
      <c r="BJ18" s="127" t="str">
        <f t="shared" si="16"/>
        <v/>
      </c>
      <c r="BK18" s="127" t="str">
        <f t="shared" si="16"/>
        <v/>
      </c>
      <c r="BL18" s="127" t="str">
        <f t="shared" si="16"/>
        <v/>
      </c>
      <c r="BM18" s="127" t="str">
        <f t="shared" si="17"/>
        <v/>
      </c>
      <c r="BN18" s="127" t="str">
        <f t="shared" si="17"/>
        <v/>
      </c>
      <c r="BO18" s="127" t="str">
        <f t="shared" si="17"/>
        <v/>
      </c>
      <c r="BP18" s="127" t="str">
        <f t="shared" si="17"/>
        <v/>
      </c>
      <c r="BQ18" s="127" t="str">
        <f t="shared" si="17"/>
        <v/>
      </c>
      <c r="BR18" s="127" t="str">
        <f t="shared" si="17"/>
        <v/>
      </c>
      <c r="BS18" s="127" t="str">
        <f t="shared" si="17"/>
        <v/>
      </c>
      <c r="BT18" s="127" t="str">
        <f t="shared" si="17"/>
        <v/>
      </c>
      <c r="BU18" s="127" t="str">
        <f t="shared" si="17"/>
        <v/>
      </c>
      <c r="BV18" s="127" t="str">
        <f t="shared" si="17"/>
        <v/>
      </c>
      <c r="BW18" s="127" t="str">
        <f t="shared" si="17"/>
        <v/>
      </c>
      <c r="BX18" s="127" t="str">
        <f t="shared" si="17"/>
        <v/>
      </c>
      <c r="BY18" s="127" t="str">
        <f t="shared" si="17"/>
        <v/>
      </c>
      <c r="BZ18" s="127" t="str">
        <f t="shared" si="17"/>
        <v/>
      </c>
      <c r="CA18" s="127" t="str">
        <f t="shared" si="17"/>
        <v/>
      </c>
      <c r="CB18" s="127" t="str">
        <f t="shared" si="17"/>
        <v/>
      </c>
      <c r="CC18" s="127" t="str">
        <f t="shared" si="6"/>
        <v/>
      </c>
      <c r="CD18" s="127" t="str">
        <f t="shared" si="6"/>
        <v/>
      </c>
    </row>
    <row r="19" spans="1:82" ht="12.6" customHeight="1" x14ac:dyDescent="0.2">
      <c r="A19" s="106">
        <f>SHIPMENTS!A25</f>
        <v>9063</v>
      </c>
      <c r="B19" s="106" t="str">
        <f>SHIPMENTS!B25</f>
        <v>15900- Borongan City | Kookie Lim Uy / 3K Salon And Spa</v>
      </c>
      <c r="C19" s="132">
        <f>SHIPMENTS!F25</f>
        <v>0.12</v>
      </c>
      <c r="D19" s="107" t="str">
        <f>IF((SHIPMENTS!I25)=0,"",SHIPMENTS!I25)</f>
        <v/>
      </c>
      <c r="E19" s="176">
        <f>IF((SHIPMENTS!G25)=0,"",SHIPMENTS!G25)</f>
        <v>46323</v>
      </c>
      <c r="F19" s="98">
        <f>VLOOKUP(A19,load!$A$4:$Y$5001,24,0)</f>
        <v>0.70633333333333326</v>
      </c>
      <c r="G19" s="109">
        <f>Manhours!$C$8</f>
        <v>16</v>
      </c>
      <c r="H19" s="98">
        <f t="shared" si="7"/>
        <v>145.6</v>
      </c>
      <c r="I19" s="99">
        <f t="shared" si="8"/>
        <v>4.851190476190476E-3</v>
      </c>
      <c r="J19" s="99">
        <f t="shared" si="9"/>
        <v>4.4145833333333329E-2</v>
      </c>
      <c r="K19" s="98">
        <f t="shared" si="3"/>
        <v>0</v>
      </c>
      <c r="L19" s="98">
        <f t="shared" si="10"/>
        <v>0</v>
      </c>
      <c r="M19" s="181">
        <f>IF(F19&gt;0,(MS!M19+2),N18)</f>
        <v>46316.20959647945</v>
      </c>
      <c r="N19" s="181">
        <f t="shared" si="11"/>
        <v>46316.20959647945</v>
      </c>
      <c r="O19" s="112">
        <f>VLOOKUP(A19,SHIPMENTS!$A$7:$AP$76,11,0)</f>
        <v>1</v>
      </c>
      <c r="P19" s="101"/>
      <c r="Q19" s="127" t="str">
        <f t="shared" si="14"/>
        <v/>
      </c>
      <c r="R19" s="127" t="str">
        <f t="shared" si="14"/>
        <v/>
      </c>
      <c r="S19" s="127" t="str">
        <f t="shared" si="14"/>
        <v/>
      </c>
      <c r="T19" s="127" t="str">
        <f t="shared" si="14"/>
        <v/>
      </c>
      <c r="U19" s="127" t="str">
        <f t="shared" si="14"/>
        <v/>
      </c>
      <c r="V19" s="127" t="str">
        <f t="shared" si="14"/>
        <v/>
      </c>
      <c r="W19" s="127" t="str">
        <f t="shared" si="14"/>
        <v/>
      </c>
      <c r="X19" s="127" t="str">
        <f t="shared" si="14"/>
        <v/>
      </c>
      <c r="Y19" s="127" t="str">
        <f t="shared" si="14"/>
        <v>▲</v>
      </c>
      <c r="Z19" s="127" t="str">
        <f t="shared" si="14"/>
        <v/>
      </c>
      <c r="AA19" s="127" t="str">
        <f t="shared" si="14"/>
        <v/>
      </c>
      <c r="AB19" s="127" t="str">
        <f t="shared" si="14"/>
        <v/>
      </c>
      <c r="AC19" s="127" t="str">
        <f t="shared" si="14"/>
        <v/>
      </c>
      <c r="AD19" s="127" t="str">
        <f t="shared" si="14"/>
        <v/>
      </c>
      <c r="AE19" s="127" t="str">
        <f t="shared" si="14"/>
        <v/>
      </c>
      <c r="AF19" s="127" t="str">
        <f t="shared" si="14"/>
        <v/>
      </c>
      <c r="AG19" s="127" t="str">
        <f t="shared" si="15"/>
        <v/>
      </c>
      <c r="AH19" s="127" t="str">
        <f t="shared" si="15"/>
        <v/>
      </c>
      <c r="AI19" s="127" t="str">
        <f t="shared" si="15"/>
        <v/>
      </c>
      <c r="AJ19" s="127" t="str">
        <f t="shared" si="15"/>
        <v/>
      </c>
      <c r="AK19" s="127" t="str">
        <f t="shared" si="15"/>
        <v/>
      </c>
      <c r="AL19" s="127" t="str">
        <f t="shared" si="15"/>
        <v/>
      </c>
      <c r="AM19" s="127" t="str">
        <f t="shared" si="15"/>
        <v/>
      </c>
      <c r="AN19" s="127" t="str">
        <f t="shared" si="15"/>
        <v/>
      </c>
      <c r="AO19" s="127" t="str">
        <f t="shared" si="15"/>
        <v/>
      </c>
      <c r="AP19" s="127" t="str">
        <f t="shared" si="15"/>
        <v/>
      </c>
      <c r="AQ19" s="127" t="str">
        <f t="shared" si="15"/>
        <v/>
      </c>
      <c r="AR19" s="127" t="str">
        <f t="shared" si="15"/>
        <v/>
      </c>
      <c r="AS19" s="127" t="str">
        <f t="shared" si="15"/>
        <v/>
      </c>
      <c r="AT19" s="127" t="str">
        <f t="shared" si="15"/>
        <v/>
      </c>
      <c r="AU19" s="127" t="str">
        <f t="shared" si="15"/>
        <v/>
      </c>
      <c r="AV19" s="127" t="str">
        <f t="shared" si="15"/>
        <v/>
      </c>
      <c r="AW19" s="127" t="str">
        <f t="shared" si="16"/>
        <v/>
      </c>
      <c r="AX19" s="127" t="str">
        <f t="shared" si="16"/>
        <v/>
      </c>
      <c r="AY19" s="127" t="str">
        <f t="shared" si="16"/>
        <v/>
      </c>
      <c r="AZ19" s="127" t="str">
        <f t="shared" si="16"/>
        <v/>
      </c>
      <c r="BA19" s="127" t="str">
        <f t="shared" si="16"/>
        <v/>
      </c>
      <c r="BB19" s="127" t="str">
        <f t="shared" si="16"/>
        <v/>
      </c>
      <c r="BC19" s="127" t="str">
        <f t="shared" si="16"/>
        <v/>
      </c>
      <c r="BD19" s="127" t="str">
        <f t="shared" si="16"/>
        <v/>
      </c>
      <c r="BE19" s="127" t="str">
        <f t="shared" si="16"/>
        <v/>
      </c>
      <c r="BF19" s="127" t="str">
        <f t="shared" si="16"/>
        <v/>
      </c>
      <c r="BG19" s="127" t="str">
        <f t="shared" si="16"/>
        <v/>
      </c>
      <c r="BH19" s="127" t="str">
        <f t="shared" si="16"/>
        <v/>
      </c>
      <c r="BI19" s="127" t="str">
        <f t="shared" si="16"/>
        <v/>
      </c>
      <c r="BJ19" s="127" t="str">
        <f t="shared" si="16"/>
        <v/>
      </c>
      <c r="BK19" s="127" t="str">
        <f t="shared" si="16"/>
        <v/>
      </c>
      <c r="BL19" s="127" t="str">
        <f t="shared" si="16"/>
        <v/>
      </c>
      <c r="BM19" s="127" t="str">
        <f t="shared" si="17"/>
        <v/>
      </c>
      <c r="BN19" s="127" t="str">
        <f t="shared" si="17"/>
        <v/>
      </c>
      <c r="BO19" s="127" t="str">
        <f t="shared" si="17"/>
        <v/>
      </c>
      <c r="BP19" s="127" t="str">
        <f t="shared" si="17"/>
        <v/>
      </c>
      <c r="BQ19" s="127" t="str">
        <f t="shared" si="17"/>
        <v/>
      </c>
      <c r="BR19" s="127" t="str">
        <f t="shared" si="17"/>
        <v/>
      </c>
      <c r="BS19" s="127" t="str">
        <f t="shared" si="17"/>
        <v/>
      </c>
      <c r="BT19" s="127" t="str">
        <f t="shared" si="17"/>
        <v/>
      </c>
      <c r="BU19" s="127" t="str">
        <f t="shared" si="17"/>
        <v/>
      </c>
      <c r="BV19" s="127" t="str">
        <f t="shared" si="17"/>
        <v/>
      </c>
      <c r="BW19" s="127" t="str">
        <f t="shared" si="17"/>
        <v/>
      </c>
      <c r="BX19" s="127" t="str">
        <f t="shared" si="17"/>
        <v/>
      </c>
      <c r="BY19" s="127" t="str">
        <f t="shared" si="17"/>
        <v/>
      </c>
      <c r="BZ19" s="127" t="str">
        <f t="shared" si="17"/>
        <v/>
      </c>
      <c r="CA19" s="127" t="str">
        <f t="shared" si="17"/>
        <v/>
      </c>
      <c r="CB19" s="127" t="str">
        <f t="shared" si="17"/>
        <v/>
      </c>
      <c r="CC19" s="127" t="str">
        <f t="shared" si="6"/>
        <v/>
      </c>
      <c r="CD19" s="127" t="str">
        <f t="shared" si="6"/>
        <v/>
      </c>
    </row>
    <row r="20" spans="1:82" ht="12.6" customHeight="1" x14ac:dyDescent="0.2">
      <c r="A20" s="106">
        <f>SHIPMENTS!A26</f>
        <v>9131</v>
      </c>
      <c r="B20" s="106" t="str">
        <f>SHIPMENTS!B26</f>
        <v>15900- Cagayan De Oro |Kevin Anthony Pilapil Lagumbay</v>
      </c>
      <c r="C20" s="132">
        <f>SHIPMENTS!F26</f>
        <v>0.12</v>
      </c>
      <c r="D20" s="107" t="str">
        <f>IF((SHIPMENTS!I26)=0,"",SHIPMENTS!I26)</f>
        <v/>
      </c>
      <c r="E20" s="176">
        <f>IF((SHIPMENTS!G26)=0,"",SHIPMENTS!G26)</f>
        <v>46323</v>
      </c>
      <c r="F20" s="98">
        <f>VLOOKUP(A20,load!$A$4:$Y$5001,24,0)</f>
        <v>0.79099999999999993</v>
      </c>
      <c r="G20" s="109">
        <f>Manhours!$C$8</f>
        <v>16</v>
      </c>
      <c r="H20" s="98">
        <f t="shared" si="7"/>
        <v>145.6</v>
      </c>
      <c r="I20" s="99">
        <f t="shared" si="8"/>
        <v>5.4326923076923076E-3</v>
      </c>
      <c r="J20" s="99">
        <f t="shared" si="9"/>
        <v>4.9437499999999995E-2</v>
      </c>
      <c r="K20" s="98">
        <f t="shared" si="3"/>
        <v>0</v>
      </c>
      <c r="L20" s="98">
        <f t="shared" si="10"/>
        <v>0</v>
      </c>
      <c r="M20" s="181">
        <f>IF(F20&gt;0,(MS!M20+2),N19)</f>
        <v>46316.20959647945</v>
      </c>
      <c r="N20" s="181">
        <f t="shared" si="11"/>
        <v>46316.20959647945</v>
      </c>
      <c r="O20" s="112">
        <f>VLOOKUP(A20,SHIPMENTS!$A$7:$AP$76,11,0)</f>
        <v>1</v>
      </c>
      <c r="P20" s="101"/>
      <c r="Q20" s="127" t="str">
        <f t="shared" si="14"/>
        <v/>
      </c>
      <c r="R20" s="127" t="str">
        <f t="shared" si="14"/>
        <v/>
      </c>
      <c r="S20" s="127" t="str">
        <f t="shared" si="14"/>
        <v/>
      </c>
      <c r="T20" s="127" t="str">
        <f t="shared" si="14"/>
        <v/>
      </c>
      <c r="U20" s="127" t="str">
        <f t="shared" si="14"/>
        <v/>
      </c>
      <c r="V20" s="127" t="str">
        <f t="shared" si="14"/>
        <v/>
      </c>
      <c r="W20" s="127" t="str">
        <f t="shared" si="14"/>
        <v/>
      </c>
      <c r="X20" s="127" t="str">
        <f t="shared" si="14"/>
        <v/>
      </c>
      <c r="Y20" s="127" t="str">
        <f t="shared" si="14"/>
        <v>▲</v>
      </c>
      <c r="Z20" s="127" t="str">
        <f t="shared" si="14"/>
        <v/>
      </c>
      <c r="AA20" s="127" t="str">
        <f t="shared" si="14"/>
        <v/>
      </c>
      <c r="AB20" s="127" t="str">
        <f t="shared" si="14"/>
        <v/>
      </c>
      <c r="AC20" s="127" t="str">
        <f t="shared" si="14"/>
        <v/>
      </c>
      <c r="AD20" s="127" t="str">
        <f t="shared" si="14"/>
        <v/>
      </c>
      <c r="AE20" s="127" t="str">
        <f t="shared" si="14"/>
        <v/>
      </c>
      <c r="AF20" s="127" t="str">
        <f t="shared" si="14"/>
        <v/>
      </c>
      <c r="AG20" s="127" t="str">
        <f t="shared" si="15"/>
        <v/>
      </c>
      <c r="AH20" s="127" t="str">
        <f t="shared" si="15"/>
        <v/>
      </c>
      <c r="AI20" s="127" t="str">
        <f t="shared" si="15"/>
        <v/>
      </c>
      <c r="AJ20" s="127" t="str">
        <f t="shared" si="15"/>
        <v/>
      </c>
      <c r="AK20" s="127" t="str">
        <f t="shared" si="15"/>
        <v/>
      </c>
      <c r="AL20" s="127" t="str">
        <f t="shared" si="15"/>
        <v/>
      </c>
      <c r="AM20" s="127" t="str">
        <f t="shared" si="15"/>
        <v/>
      </c>
      <c r="AN20" s="127" t="str">
        <f t="shared" si="15"/>
        <v/>
      </c>
      <c r="AO20" s="127" t="str">
        <f t="shared" si="15"/>
        <v/>
      </c>
      <c r="AP20" s="127" t="str">
        <f t="shared" si="15"/>
        <v/>
      </c>
      <c r="AQ20" s="127" t="str">
        <f t="shared" si="15"/>
        <v/>
      </c>
      <c r="AR20" s="127" t="str">
        <f t="shared" si="15"/>
        <v/>
      </c>
      <c r="AS20" s="127" t="str">
        <f t="shared" si="15"/>
        <v/>
      </c>
      <c r="AT20" s="127" t="str">
        <f t="shared" si="15"/>
        <v/>
      </c>
      <c r="AU20" s="127" t="str">
        <f t="shared" si="15"/>
        <v/>
      </c>
      <c r="AV20" s="127" t="str">
        <f t="shared" si="15"/>
        <v/>
      </c>
      <c r="AW20" s="127" t="str">
        <f t="shared" si="16"/>
        <v/>
      </c>
      <c r="AX20" s="127" t="str">
        <f t="shared" si="16"/>
        <v/>
      </c>
      <c r="AY20" s="127" t="str">
        <f t="shared" si="16"/>
        <v/>
      </c>
      <c r="AZ20" s="127" t="str">
        <f t="shared" si="16"/>
        <v/>
      </c>
      <c r="BA20" s="127" t="str">
        <f t="shared" si="16"/>
        <v/>
      </c>
      <c r="BB20" s="127" t="str">
        <f t="shared" si="16"/>
        <v/>
      </c>
      <c r="BC20" s="127" t="str">
        <f t="shared" si="16"/>
        <v/>
      </c>
      <c r="BD20" s="127" t="str">
        <f t="shared" si="16"/>
        <v/>
      </c>
      <c r="BE20" s="127" t="str">
        <f t="shared" si="16"/>
        <v/>
      </c>
      <c r="BF20" s="127" t="str">
        <f t="shared" si="16"/>
        <v/>
      </c>
      <c r="BG20" s="127" t="str">
        <f t="shared" si="16"/>
        <v/>
      </c>
      <c r="BH20" s="127" t="str">
        <f t="shared" si="16"/>
        <v/>
      </c>
      <c r="BI20" s="127" t="str">
        <f t="shared" si="16"/>
        <v/>
      </c>
      <c r="BJ20" s="127" t="str">
        <f t="shared" si="16"/>
        <v/>
      </c>
      <c r="BK20" s="127" t="str">
        <f t="shared" si="16"/>
        <v/>
      </c>
      <c r="BL20" s="127" t="str">
        <f t="shared" si="16"/>
        <v/>
      </c>
      <c r="BM20" s="127" t="str">
        <f t="shared" si="17"/>
        <v/>
      </c>
      <c r="BN20" s="127" t="str">
        <f t="shared" si="17"/>
        <v/>
      </c>
      <c r="BO20" s="127" t="str">
        <f t="shared" si="17"/>
        <v/>
      </c>
      <c r="BP20" s="127" t="str">
        <f t="shared" si="17"/>
        <v/>
      </c>
      <c r="BQ20" s="127" t="str">
        <f t="shared" si="17"/>
        <v/>
      </c>
      <c r="BR20" s="127" t="str">
        <f t="shared" si="17"/>
        <v/>
      </c>
      <c r="BS20" s="127" t="str">
        <f t="shared" si="17"/>
        <v/>
      </c>
      <c r="BT20" s="127" t="str">
        <f t="shared" si="17"/>
        <v/>
      </c>
      <c r="BU20" s="127" t="str">
        <f t="shared" si="17"/>
        <v/>
      </c>
      <c r="BV20" s="127" t="str">
        <f t="shared" si="17"/>
        <v/>
      </c>
      <c r="BW20" s="127" t="str">
        <f t="shared" si="17"/>
        <v/>
      </c>
      <c r="BX20" s="127" t="str">
        <f t="shared" si="17"/>
        <v/>
      </c>
      <c r="BY20" s="127" t="str">
        <f t="shared" si="17"/>
        <v/>
      </c>
      <c r="BZ20" s="127" t="str">
        <f t="shared" si="17"/>
        <v/>
      </c>
      <c r="CA20" s="127" t="str">
        <f t="shared" si="17"/>
        <v/>
      </c>
      <c r="CB20" s="127" t="str">
        <f t="shared" si="17"/>
        <v/>
      </c>
      <c r="CC20" s="127" t="str">
        <f t="shared" si="6"/>
        <v/>
      </c>
      <c r="CD20" s="127" t="str">
        <f t="shared" si="6"/>
        <v/>
      </c>
    </row>
    <row r="21" spans="1:82" ht="12.6" customHeight="1" x14ac:dyDescent="0.2">
      <c r="A21" s="106">
        <f>SHIPMENTS!A27</f>
        <v>9228</v>
      </c>
      <c r="B21" s="106" t="str">
        <f>SHIPMENTS!B27</f>
        <v>15900- Cebu City |Stephanie Sarmiento</v>
      </c>
      <c r="C21" s="132">
        <f>SHIPMENTS!F27</f>
        <v>0.16</v>
      </c>
      <c r="D21" s="107" t="str">
        <f>IF((SHIPMENTS!I27)=0,"",SHIPMENTS!I27)</f>
        <v/>
      </c>
      <c r="E21" s="176">
        <f>IF((SHIPMENTS!G27)=0,"",SHIPMENTS!G27)</f>
        <v>46323</v>
      </c>
      <c r="F21" s="98">
        <f>VLOOKUP(A21,load!$A$4:$Y$5001,24,0)</f>
        <v>0.70516666666666672</v>
      </c>
      <c r="G21" s="109">
        <f>Manhours!$C$8</f>
        <v>16</v>
      </c>
      <c r="H21" s="98">
        <f t="shared" si="7"/>
        <v>145.6</v>
      </c>
      <c r="I21" s="99">
        <f t="shared" si="8"/>
        <v>4.843177655677656E-3</v>
      </c>
      <c r="J21" s="99">
        <f t="shared" si="9"/>
        <v>4.407291666666667E-2</v>
      </c>
      <c r="K21" s="98">
        <f t="shared" si="3"/>
        <v>0</v>
      </c>
      <c r="L21" s="98">
        <f t="shared" si="10"/>
        <v>0</v>
      </c>
      <c r="M21" s="181">
        <f>IF(F21&gt;0,(MS!M21+2),N20)</f>
        <v>46316.20959647945</v>
      </c>
      <c r="N21" s="181">
        <f t="shared" si="11"/>
        <v>46316.20959647945</v>
      </c>
      <c r="O21" s="112">
        <f>VLOOKUP(A21,SHIPMENTS!$A$7:$AP$76,11,0)</f>
        <v>1</v>
      </c>
      <c r="P21" s="101"/>
      <c r="Q21" s="127" t="str">
        <f t="shared" si="14"/>
        <v/>
      </c>
      <c r="R21" s="127" t="str">
        <f t="shared" si="14"/>
        <v/>
      </c>
      <c r="S21" s="127" t="str">
        <f t="shared" si="14"/>
        <v/>
      </c>
      <c r="T21" s="127" t="str">
        <f t="shared" si="14"/>
        <v/>
      </c>
      <c r="U21" s="127" t="str">
        <f t="shared" si="14"/>
        <v/>
      </c>
      <c r="V21" s="127" t="str">
        <f t="shared" si="14"/>
        <v/>
      </c>
      <c r="W21" s="127" t="str">
        <f t="shared" si="14"/>
        <v/>
      </c>
      <c r="X21" s="127" t="str">
        <f t="shared" si="14"/>
        <v/>
      </c>
      <c r="Y21" s="127" t="str">
        <f t="shared" si="14"/>
        <v>▲</v>
      </c>
      <c r="Z21" s="127" t="str">
        <f t="shared" si="14"/>
        <v/>
      </c>
      <c r="AA21" s="127" t="str">
        <f t="shared" si="14"/>
        <v/>
      </c>
      <c r="AB21" s="127" t="str">
        <f t="shared" si="14"/>
        <v/>
      </c>
      <c r="AC21" s="127" t="str">
        <f t="shared" si="14"/>
        <v/>
      </c>
      <c r="AD21" s="127" t="str">
        <f t="shared" si="14"/>
        <v/>
      </c>
      <c r="AE21" s="127" t="str">
        <f t="shared" si="14"/>
        <v/>
      </c>
      <c r="AF21" s="127" t="str">
        <f t="shared" si="14"/>
        <v/>
      </c>
      <c r="AG21" s="127" t="str">
        <f t="shared" si="15"/>
        <v/>
      </c>
      <c r="AH21" s="127" t="str">
        <f t="shared" si="15"/>
        <v/>
      </c>
      <c r="AI21" s="127" t="str">
        <f t="shared" si="15"/>
        <v/>
      </c>
      <c r="AJ21" s="127" t="str">
        <f t="shared" si="15"/>
        <v/>
      </c>
      <c r="AK21" s="127" t="str">
        <f t="shared" si="15"/>
        <v/>
      </c>
      <c r="AL21" s="127" t="str">
        <f t="shared" si="15"/>
        <v/>
      </c>
      <c r="AM21" s="127" t="str">
        <f t="shared" si="15"/>
        <v/>
      </c>
      <c r="AN21" s="127" t="str">
        <f t="shared" si="15"/>
        <v/>
      </c>
      <c r="AO21" s="127" t="str">
        <f t="shared" si="15"/>
        <v/>
      </c>
      <c r="AP21" s="127" t="str">
        <f t="shared" si="15"/>
        <v/>
      </c>
      <c r="AQ21" s="127" t="str">
        <f t="shared" si="15"/>
        <v/>
      </c>
      <c r="AR21" s="127" t="str">
        <f t="shared" si="15"/>
        <v/>
      </c>
      <c r="AS21" s="127" t="str">
        <f t="shared" si="15"/>
        <v/>
      </c>
      <c r="AT21" s="127" t="str">
        <f t="shared" si="15"/>
        <v/>
      </c>
      <c r="AU21" s="127" t="str">
        <f t="shared" si="15"/>
        <v/>
      </c>
      <c r="AV21" s="127" t="str">
        <f t="shared" si="15"/>
        <v/>
      </c>
      <c r="AW21" s="127" t="str">
        <f t="shared" si="16"/>
        <v/>
      </c>
      <c r="AX21" s="127" t="str">
        <f t="shared" si="16"/>
        <v/>
      </c>
      <c r="AY21" s="127" t="str">
        <f t="shared" si="16"/>
        <v/>
      </c>
      <c r="AZ21" s="127" t="str">
        <f t="shared" si="16"/>
        <v/>
      </c>
      <c r="BA21" s="127" t="str">
        <f t="shared" si="16"/>
        <v/>
      </c>
      <c r="BB21" s="127" t="str">
        <f t="shared" si="16"/>
        <v/>
      </c>
      <c r="BC21" s="127" t="str">
        <f t="shared" si="16"/>
        <v/>
      </c>
      <c r="BD21" s="127" t="str">
        <f t="shared" si="16"/>
        <v/>
      </c>
      <c r="BE21" s="127" t="str">
        <f t="shared" si="16"/>
        <v/>
      </c>
      <c r="BF21" s="127" t="str">
        <f t="shared" si="16"/>
        <v/>
      </c>
      <c r="BG21" s="127" t="str">
        <f t="shared" si="16"/>
        <v/>
      </c>
      <c r="BH21" s="127" t="str">
        <f t="shared" si="16"/>
        <v/>
      </c>
      <c r="BI21" s="127" t="str">
        <f t="shared" si="16"/>
        <v/>
      </c>
      <c r="BJ21" s="127" t="str">
        <f t="shared" si="16"/>
        <v/>
      </c>
      <c r="BK21" s="127" t="str">
        <f t="shared" si="16"/>
        <v/>
      </c>
      <c r="BL21" s="127" t="str">
        <f t="shared" si="16"/>
        <v/>
      </c>
      <c r="BM21" s="127" t="str">
        <f t="shared" si="17"/>
        <v/>
      </c>
      <c r="BN21" s="127" t="str">
        <f t="shared" si="17"/>
        <v/>
      </c>
      <c r="BO21" s="127" t="str">
        <f t="shared" si="17"/>
        <v/>
      </c>
      <c r="BP21" s="127" t="str">
        <f t="shared" si="17"/>
        <v/>
      </c>
      <c r="BQ21" s="127" t="str">
        <f t="shared" si="17"/>
        <v/>
      </c>
      <c r="BR21" s="127" t="str">
        <f t="shared" si="17"/>
        <v/>
      </c>
      <c r="BS21" s="127" t="str">
        <f t="shared" si="17"/>
        <v/>
      </c>
      <c r="BT21" s="127" t="str">
        <f t="shared" si="17"/>
        <v/>
      </c>
      <c r="BU21" s="127" t="str">
        <f t="shared" si="17"/>
        <v/>
      </c>
      <c r="BV21" s="127" t="str">
        <f t="shared" si="17"/>
        <v/>
      </c>
      <c r="BW21" s="127" t="str">
        <f t="shared" si="17"/>
        <v/>
      </c>
      <c r="BX21" s="127" t="str">
        <f t="shared" si="17"/>
        <v/>
      </c>
      <c r="BY21" s="127" t="str">
        <f t="shared" si="17"/>
        <v/>
      </c>
      <c r="BZ21" s="127" t="str">
        <f t="shared" si="17"/>
        <v/>
      </c>
      <c r="CA21" s="127" t="str">
        <f t="shared" si="17"/>
        <v/>
      </c>
      <c r="CB21" s="127" t="str">
        <f t="shared" si="17"/>
        <v/>
      </c>
      <c r="CC21" s="127" t="str">
        <f t="shared" si="6"/>
        <v/>
      </c>
      <c r="CD21" s="127" t="str">
        <f t="shared" si="6"/>
        <v/>
      </c>
    </row>
    <row r="22" spans="1:82" ht="12.6" customHeight="1" x14ac:dyDescent="0.2">
      <c r="A22" s="106">
        <f>SHIPMENTS!A28</f>
        <v>9279</v>
      </c>
      <c r="B22" s="106" t="str">
        <f>SHIPMENTS!B28</f>
        <v>15900- Iloilo |Rocky Go</v>
      </c>
      <c r="C22" s="132">
        <f>SHIPMENTS!F28</f>
        <v>0.34820000000000001</v>
      </c>
      <c r="D22" s="107" t="str">
        <f>IF((SHIPMENTS!I28)=0,"",SHIPMENTS!I28)</f>
        <v/>
      </c>
      <c r="E22" s="176">
        <f>IF((SHIPMENTS!G28)=0,"",SHIPMENTS!G28)</f>
        <v>46323</v>
      </c>
      <c r="F22" s="98">
        <f>VLOOKUP(A22,load!$A$4:$Y$5001,24,0)</f>
        <v>0.8158333333333333</v>
      </c>
      <c r="G22" s="109">
        <f>Manhours!$C$8</f>
        <v>16</v>
      </c>
      <c r="H22" s="98">
        <f t="shared" si="7"/>
        <v>145.6</v>
      </c>
      <c r="I22" s="99">
        <f t="shared" si="8"/>
        <v>5.6032509157509158E-3</v>
      </c>
      <c r="J22" s="99">
        <f t="shared" si="9"/>
        <v>5.0989583333333331E-2</v>
      </c>
      <c r="K22" s="98">
        <f t="shared" si="3"/>
        <v>5.6032509157509158E-3</v>
      </c>
      <c r="L22" s="98">
        <f t="shared" si="10"/>
        <v>5.0989583333333331E-2</v>
      </c>
      <c r="M22" s="181">
        <f>IF(F22&gt;0,(MS!M22+2),N21)</f>
        <v>46316.20959647945</v>
      </c>
      <c r="N22" s="181">
        <f t="shared" si="11"/>
        <v>46316.215199730366</v>
      </c>
      <c r="O22" s="112">
        <f>VLOOKUP(A22,SHIPMENTS!$A$7:$AP$76,11,0)</f>
        <v>0</v>
      </c>
      <c r="P22" s="101"/>
      <c r="Q22" s="127" t="str">
        <f t="shared" si="14"/>
        <v/>
      </c>
      <c r="R22" s="127" t="str">
        <f t="shared" si="14"/>
        <v/>
      </c>
      <c r="S22" s="127" t="str">
        <f t="shared" si="14"/>
        <v/>
      </c>
      <c r="T22" s="127" t="str">
        <f t="shared" si="14"/>
        <v/>
      </c>
      <c r="U22" s="127" t="str">
        <f t="shared" si="14"/>
        <v/>
      </c>
      <c r="V22" s="127" t="str">
        <f t="shared" si="14"/>
        <v/>
      </c>
      <c r="W22" s="127" t="str">
        <f t="shared" si="14"/>
        <v/>
      </c>
      <c r="X22" s="127" t="str">
        <f t="shared" si="14"/>
        <v/>
      </c>
      <c r="Y22" s="127" t="str">
        <f t="shared" si="14"/>
        <v>▲</v>
      </c>
      <c r="Z22" s="127" t="str">
        <f t="shared" si="14"/>
        <v/>
      </c>
      <c r="AA22" s="127" t="str">
        <f t="shared" si="14"/>
        <v/>
      </c>
      <c r="AB22" s="127" t="str">
        <f t="shared" si="14"/>
        <v/>
      </c>
      <c r="AC22" s="127" t="str">
        <f t="shared" si="14"/>
        <v/>
      </c>
      <c r="AD22" s="127" t="str">
        <f t="shared" si="14"/>
        <v/>
      </c>
      <c r="AE22" s="127" t="str">
        <f t="shared" si="14"/>
        <v/>
      </c>
      <c r="AF22" s="127" t="str">
        <f t="shared" si="14"/>
        <v/>
      </c>
      <c r="AG22" s="127" t="str">
        <f t="shared" si="15"/>
        <v/>
      </c>
      <c r="AH22" s="127" t="str">
        <f t="shared" si="15"/>
        <v/>
      </c>
      <c r="AI22" s="127" t="str">
        <f t="shared" si="15"/>
        <v/>
      </c>
      <c r="AJ22" s="127" t="str">
        <f t="shared" si="15"/>
        <v/>
      </c>
      <c r="AK22" s="127" t="str">
        <f t="shared" si="15"/>
        <v/>
      </c>
      <c r="AL22" s="127" t="str">
        <f t="shared" si="15"/>
        <v/>
      </c>
      <c r="AM22" s="127" t="str">
        <f t="shared" si="15"/>
        <v/>
      </c>
      <c r="AN22" s="127" t="str">
        <f t="shared" si="15"/>
        <v/>
      </c>
      <c r="AO22" s="127" t="str">
        <f t="shared" si="15"/>
        <v/>
      </c>
      <c r="AP22" s="127" t="str">
        <f t="shared" si="15"/>
        <v/>
      </c>
      <c r="AQ22" s="127" t="str">
        <f t="shared" si="15"/>
        <v/>
      </c>
      <c r="AR22" s="127" t="str">
        <f t="shared" si="15"/>
        <v/>
      </c>
      <c r="AS22" s="127" t="str">
        <f t="shared" si="15"/>
        <v/>
      </c>
      <c r="AT22" s="127" t="str">
        <f t="shared" si="15"/>
        <v/>
      </c>
      <c r="AU22" s="127" t="str">
        <f t="shared" si="15"/>
        <v/>
      </c>
      <c r="AV22" s="127" t="str">
        <f t="shared" si="15"/>
        <v/>
      </c>
      <c r="AW22" s="127" t="str">
        <f t="shared" si="16"/>
        <v/>
      </c>
      <c r="AX22" s="127" t="str">
        <f t="shared" si="16"/>
        <v/>
      </c>
      <c r="AY22" s="127" t="str">
        <f t="shared" si="16"/>
        <v/>
      </c>
      <c r="AZ22" s="127" t="str">
        <f t="shared" si="16"/>
        <v/>
      </c>
      <c r="BA22" s="127" t="str">
        <f t="shared" si="16"/>
        <v/>
      </c>
      <c r="BB22" s="127" t="str">
        <f t="shared" si="16"/>
        <v/>
      </c>
      <c r="BC22" s="127" t="str">
        <f t="shared" si="16"/>
        <v/>
      </c>
      <c r="BD22" s="127" t="str">
        <f t="shared" si="16"/>
        <v/>
      </c>
      <c r="BE22" s="127" t="str">
        <f t="shared" si="16"/>
        <v/>
      </c>
      <c r="BF22" s="127" t="str">
        <f t="shared" si="16"/>
        <v/>
      </c>
      <c r="BG22" s="127" t="str">
        <f t="shared" si="16"/>
        <v/>
      </c>
      <c r="BH22" s="127" t="str">
        <f t="shared" si="16"/>
        <v/>
      </c>
      <c r="BI22" s="127" t="str">
        <f t="shared" si="16"/>
        <v/>
      </c>
      <c r="BJ22" s="127" t="str">
        <f t="shared" si="16"/>
        <v/>
      </c>
      <c r="BK22" s="127" t="str">
        <f t="shared" si="16"/>
        <v/>
      </c>
      <c r="BL22" s="127" t="str">
        <f t="shared" si="16"/>
        <v/>
      </c>
      <c r="BM22" s="127" t="str">
        <f t="shared" si="17"/>
        <v/>
      </c>
      <c r="BN22" s="127" t="str">
        <f t="shared" si="17"/>
        <v/>
      </c>
      <c r="BO22" s="127" t="str">
        <f t="shared" si="17"/>
        <v/>
      </c>
      <c r="BP22" s="127" t="str">
        <f t="shared" si="17"/>
        <v/>
      </c>
      <c r="BQ22" s="127" t="str">
        <f t="shared" si="17"/>
        <v/>
      </c>
      <c r="BR22" s="127" t="str">
        <f t="shared" si="17"/>
        <v/>
      </c>
      <c r="BS22" s="127" t="str">
        <f t="shared" si="17"/>
        <v/>
      </c>
      <c r="BT22" s="127" t="str">
        <f t="shared" si="17"/>
        <v/>
      </c>
      <c r="BU22" s="127" t="str">
        <f t="shared" si="17"/>
        <v/>
      </c>
      <c r="BV22" s="127" t="str">
        <f t="shared" si="17"/>
        <v/>
      </c>
      <c r="BW22" s="127" t="str">
        <f t="shared" si="17"/>
        <v/>
      </c>
      <c r="BX22" s="127" t="str">
        <f t="shared" si="17"/>
        <v/>
      </c>
      <c r="BY22" s="127" t="str">
        <f t="shared" si="17"/>
        <v/>
      </c>
      <c r="BZ22" s="127" t="str">
        <f t="shared" si="17"/>
        <v/>
      </c>
      <c r="CA22" s="127" t="str">
        <f t="shared" si="17"/>
        <v/>
      </c>
      <c r="CB22" s="127" t="str">
        <f t="shared" si="17"/>
        <v/>
      </c>
      <c r="CC22" s="127" t="str">
        <f t="shared" si="6"/>
        <v/>
      </c>
      <c r="CD22" s="127" t="str">
        <f t="shared" si="6"/>
        <v/>
      </c>
    </row>
    <row r="23" spans="1:82" ht="12.6" customHeight="1" x14ac:dyDescent="0.2">
      <c r="A23" s="106">
        <f>SHIPMENTS!A29</f>
        <v>8964</v>
      </c>
      <c r="B23" s="106" t="str">
        <f>SHIPMENTS!B29</f>
        <v>15900- Mandaue Warehouse</v>
      </c>
      <c r="C23" s="132">
        <f>SHIPMENTS!F29</f>
        <v>0.11</v>
      </c>
      <c r="D23" s="107" t="str">
        <f>IF((SHIPMENTS!I29)=0,"",SHIPMENTS!I29)</f>
        <v/>
      </c>
      <c r="E23" s="176">
        <f>IF((SHIPMENTS!G29)=0,"",SHIPMENTS!G29)</f>
        <v>46323</v>
      </c>
      <c r="F23" s="98">
        <f>VLOOKUP(A23,load!$A$4:$Y$5001,24,0)</f>
        <v>0</v>
      </c>
      <c r="G23" s="109">
        <f>Manhours!$C$8</f>
        <v>16</v>
      </c>
      <c r="H23" s="98">
        <f t="shared" si="7"/>
        <v>145.6</v>
      </c>
      <c r="I23" s="99">
        <f t="shared" si="8"/>
        <v>0</v>
      </c>
      <c r="J23" s="99">
        <f t="shared" si="9"/>
        <v>0</v>
      </c>
      <c r="K23" s="98">
        <f t="shared" si="3"/>
        <v>0</v>
      </c>
      <c r="L23" s="98">
        <f t="shared" si="10"/>
        <v>0</v>
      </c>
      <c r="M23" s="181">
        <f>IF(F23&gt;0,(MS!M23+2),N22)</f>
        <v>46316.215199730366</v>
      </c>
      <c r="N23" s="181">
        <f t="shared" si="11"/>
        <v>46316.215199730366</v>
      </c>
      <c r="O23" s="112">
        <f>VLOOKUP(A23,SHIPMENTS!$A$7:$AP$76,11,0)</f>
        <v>1</v>
      </c>
      <c r="P23" s="101"/>
      <c r="Q23" s="127" t="str">
        <f t="shared" si="14"/>
        <v/>
      </c>
      <c r="R23" s="127" t="str">
        <f t="shared" si="14"/>
        <v/>
      </c>
      <c r="S23" s="127" t="str">
        <f t="shared" si="14"/>
        <v/>
      </c>
      <c r="T23" s="127" t="str">
        <f t="shared" si="14"/>
        <v/>
      </c>
      <c r="U23" s="127" t="str">
        <f t="shared" si="14"/>
        <v/>
      </c>
      <c r="V23" s="127" t="str">
        <f t="shared" si="14"/>
        <v/>
      </c>
      <c r="W23" s="127" t="str">
        <f t="shared" si="14"/>
        <v/>
      </c>
      <c r="X23" s="127" t="str">
        <f t="shared" si="14"/>
        <v/>
      </c>
      <c r="Y23" s="127" t="str">
        <f t="shared" si="14"/>
        <v>▲</v>
      </c>
      <c r="Z23" s="127" t="str">
        <f t="shared" si="14"/>
        <v/>
      </c>
      <c r="AA23" s="127" t="str">
        <f t="shared" si="14"/>
        <v/>
      </c>
      <c r="AB23" s="127" t="str">
        <f t="shared" si="14"/>
        <v/>
      </c>
      <c r="AC23" s="127" t="str">
        <f t="shared" si="14"/>
        <v/>
      </c>
      <c r="AD23" s="127" t="str">
        <f t="shared" si="14"/>
        <v/>
      </c>
      <c r="AE23" s="127" t="str">
        <f t="shared" si="14"/>
        <v/>
      </c>
      <c r="AF23" s="127" t="str">
        <f t="shared" si="14"/>
        <v/>
      </c>
      <c r="AG23" s="127" t="str">
        <f t="shared" si="15"/>
        <v/>
      </c>
      <c r="AH23" s="127" t="str">
        <f t="shared" si="15"/>
        <v/>
      </c>
      <c r="AI23" s="127" t="str">
        <f t="shared" si="15"/>
        <v/>
      </c>
      <c r="AJ23" s="127" t="str">
        <f t="shared" si="15"/>
        <v/>
      </c>
      <c r="AK23" s="127" t="str">
        <f t="shared" si="15"/>
        <v/>
      </c>
      <c r="AL23" s="127" t="str">
        <f t="shared" si="15"/>
        <v/>
      </c>
      <c r="AM23" s="127" t="str">
        <f t="shared" si="15"/>
        <v/>
      </c>
      <c r="AN23" s="127" t="str">
        <f t="shared" si="15"/>
        <v/>
      </c>
      <c r="AO23" s="127" t="str">
        <f t="shared" si="15"/>
        <v/>
      </c>
      <c r="AP23" s="127" t="str">
        <f t="shared" si="15"/>
        <v/>
      </c>
      <c r="AQ23" s="127" t="str">
        <f t="shared" si="15"/>
        <v/>
      </c>
      <c r="AR23" s="127" t="str">
        <f t="shared" si="15"/>
        <v/>
      </c>
      <c r="AS23" s="127" t="str">
        <f t="shared" si="15"/>
        <v/>
      </c>
      <c r="AT23" s="127" t="str">
        <f t="shared" si="15"/>
        <v/>
      </c>
      <c r="AU23" s="127" t="str">
        <f t="shared" si="15"/>
        <v/>
      </c>
      <c r="AV23" s="127" t="str">
        <f t="shared" si="15"/>
        <v/>
      </c>
      <c r="AW23" s="127" t="str">
        <f t="shared" si="16"/>
        <v/>
      </c>
      <c r="AX23" s="127" t="str">
        <f t="shared" si="16"/>
        <v/>
      </c>
      <c r="AY23" s="127" t="str">
        <f t="shared" si="16"/>
        <v/>
      </c>
      <c r="AZ23" s="127" t="str">
        <f t="shared" si="16"/>
        <v/>
      </c>
      <c r="BA23" s="127" t="str">
        <f t="shared" si="16"/>
        <v/>
      </c>
      <c r="BB23" s="127" t="str">
        <f t="shared" si="16"/>
        <v/>
      </c>
      <c r="BC23" s="127" t="str">
        <f t="shared" si="16"/>
        <v/>
      </c>
      <c r="BD23" s="127" t="str">
        <f t="shared" si="16"/>
        <v/>
      </c>
      <c r="BE23" s="127" t="str">
        <f t="shared" si="16"/>
        <v/>
      </c>
      <c r="BF23" s="127" t="str">
        <f t="shared" si="16"/>
        <v/>
      </c>
      <c r="BG23" s="127" t="str">
        <f t="shared" si="16"/>
        <v/>
      </c>
      <c r="BH23" s="127" t="str">
        <f t="shared" si="16"/>
        <v/>
      </c>
      <c r="BI23" s="127" t="str">
        <f t="shared" si="16"/>
        <v/>
      </c>
      <c r="BJ23" s="127" t="str">
        <f t="shared" si="16"/>
        <v/>
      </c>
      <c r="BK23" s="127" t="str">
        <f t="shared" si="16"/>
        <v/>
      </c>
      <c r="BL23" s="127" t="str">
        <f t="shared" si="16"/>
        <v/>
      </c>
      <c r="BM23" s="127" t="str">
        <f t="shared" si="17"/>
        <v/>
      </c>
      <c r="BN23" s="127" t="str">
        <f t="shared" si="17"/>
        <v/>
      </c>
      <c r="BO23" s="127" t="str">
        <f t="shared" si="17"/>
        <v/>
      </c>
      <c r="BP23" s="127" t="str">
        <f t="shared" si="17"/>
        <v/>
      </c>
      <c r="BQ23" s="127" t="str">
        <f t="shared" si="17"/>
        <v/>
      </c>
      <c r="BR23" s="127" t="str">
        <f t="shared" si="17"/>
        <v/>
      </c>
      <c r="BS23" s="127" t="str">
        <f t="shared" si="17"/>
        <v/>
      </c>
      <c r="BT23" s="127" t="str">
        <f t="shared" si="17"/>
        <v/>
      </c>
      <c r="BU23" s="127" t="str">
        <f t="shared" si="17"/>
        <v/>
      </c>
      <c r="BV23" s="127" t="str">
        <f t="shared" si="17"/>
        <v/>
      </c>
      <c r="BW23" s="127" t="str">
        <f t="shared" si="17"/>
        <v/>
      </c>
      <c r="BX23" s="127" t="str">
        <f t="shared" si="17"/>
        <v/>
      </c>
      <c r="BY23" s="127" t="str">
        <f t="shared" si="17"/>
        <v/>
      </c>
      <c r="BZ23" s="127" t="str">
        <f t="shared" si="17"/>
        <v/>
      </c>
      <c r="CA23" s="127" t="str">
        <f t="shared" si="17"/>
        <v/>
      </c>
      <c r="CB23" s="127" t="str">
        <f t="shared" si="17"/>
        <v/>
      </c>
      <c r="CC23" s="127" t="str">
        <f t="shared" si="6"/>
        <v/>
      </c>
      <c r="CD23" s="127" t="str">
        <f t="shared" si="6"/>
        <v/>
      </c>
    </row>
    <row r="24" spans="1:82" ht="12.6" hidden="1" customHeight="1" x14ac:dyDescent="0.2">
      <c r="A24" s="106">
        <f>SHIPMENTS!A30</f>
        <v>9023</v>
      </c>
      <c r="B24" s="106" t="str">
        <f>SHIPMENTS!B30</f>
        <v>15900- Ubay | Danilo Varela</v>
      </c>
      <c r="C24" s="132">
        <f>SHIPMENTS!F30</f>
        <v>3.0849999999999999E-2</v>
      </c>
      <c r="D24" s="107" t="str">
        <f>IF((SHIPMENTS!I30)=0,"",SHIPMENTS!I30)</f>
        <v/>
      </c>
      <c r="E24" s="176">
        <f>IF((SHIPMENTS!G30)=0,"",SHIPMENTS!G30)</f>
        <v>46323</v>
      </c>
      <c r="F24" s="98">
        <f>VLOOKUP(A24,load!$A$4:$Y$5001,24,0)</f>
        <v>0.24800000000000003</v>
      </c>
      <c r="G24" s="109">
        <f>Manhours!$C$8</f>
        <v>16</v>
      </c>
      <c r="H24" s="98">
        <f t="shared" si="7"/>
        <v>145.6</v>
      </c>
      <c r="I24" s="99">
        <f t="shared" si="8"/>
        <v>1.7032967032967036E-3</v>
      </c>
      <c r="J24" s="99">
        <f t="shared" si="9"/>
        <v>1.5500000000000002E-2</v>
      </c>
      <c r="K24" s="98">
        <f t="shared" si="3"/>
        <v>0</v>
      </c>
      <c r="L24" s="98">
        <f t="shared" si="10"/>
        <v>0</v>
      </c>
      <c r="M24" s="181">
        <f>IF(F24&gt;0,(MS!M24+2),N23)</f>
        <v>46316.235272100123</v>
      </c>
      <c r="N24" s="181">
        <f t="shared" si="11"/>
        <v>46316.235272100123</v>
      </c>
      <c r="O24" s="112" t="str">
        <f>VLOOKUP(A24,SHIPMENTS!$A$7:$AP$76,11,0)</f>
        <v>n/a</v>
      </c>
      <c r="P24" s="101"/>
      <c r="Q24" s="127" t="str">
        <f t="shared" si="14"/>
        <v/>
      </c>
      <c r="R24" s="127" t="str">
        <f t="shared" si="14"/>
        <v/>
      </c>
      <c r="S24" s="127" t="str">
        <f t="shared" si="14"/>
        <v/>
      </c>
      <c r="T24" s="127" t="str">
        <f t="shared" si="14"/>
        <v/>
      </c>
      <c r="U24" s="127" t="str">
        <f t="shared" si="14"/>
        <v/>
      </c>
      <c r="V24" s="127" t="str">
        <f t="shared" si="14"/>
        <v/>
      </c>
      <c r="W24" s="127" t="str">
        <f t="shared" si="14"/>
        <v/>
      </c>
      <c r="X24" s="127" t="str">
        <f t="shared" si="14"/>
        <v/>
      </c>
      <c r="Y24" s="127" t="str">
        <f t="shared" si="14"/>
        <v>▲</v>
      </c>
      <c r="Z24" s="127" t="str">
        <f t="shared" si="14"/>
        <v/>
      </c>
      <c r="AA24" s="127" t="str">
        <f t="shared" si="14"/>
        <v/>
      </c>
      <c r="AB24" s="127" t="str">
        <f t="shared" si="14"/>
        <v/>
      </c>
      <c r="AC24" s="127" t="str">
        <f t="shared" si="14"/>
        <v/>
      </c>
      <c r="AD24" s="127" t="str">
        <f t="shared" si="14"/>
        <v/>
      </c>
      <c r="AE24" s="127" t="str">
        <f t="shared" si="14"/>
        <v/>
      </c>
      <c r="AF24" s="127" t="str">
        <f t="shared" si="14"/>
        <v/>
      </c>
      <c r="AG24" s="127" t="str">
        <f t="shared" si="15"/>
        <v/>
      </c>
      <c r="AH24" s="127" t="str">
        <f t="shared" si="15"/>
        <v/>
      </c>
      <c r="AI24" s="127" t="str">
        <f t="shared" si="15"/>
        <v/>
      </c>
      <c r="AJ24" s="127" t="str">
        <f t="shared" si="15"/>
        <v/>
      </c>
      <c r="AK24" s="127" t="str">
        <f t="shared" si="15"/>
        <v/>
      </c>
      <c r="AL24" s="127" t="str">
        <f t="shared" si="15"/>
        <v/>
      </c>
      <c r="AM24" s="127" t="str">
        <f t="shared" si="15"/>
        <v/>
      </c>
      <c r="AN24" s="127" t="str">
        <f t="shared" si="15"/>
        <v/>
      </c>
      <c r="AO24" s="127" t="str">
        <f t="shared" si="15"/>
        <v/>
      </c>
      <c r="AP24" s="127" t="str">
        <f t="shared" si="15"/>
        <v/>
      </c>
      <c r="AQ24" s="127" t="str">
        <f t="shared" si="15"/>
        <v/>
      </c>
      <c r="AR24" s="127" t="str">
        <f t="shared" si="15"/>
        <v/>
      </c>
      <c r="AS24" s="127" t="str">
        <f t="shared" si="15"/>
        <v/>
      </c>
      <c r="AT24" s="127" t="str">
        <f t="shared" si="15"/>
        <v/>
      </c>
      <c r="AU24" s="127" t="str">
        <f t="shared" si="15"/>
        <v/>
      </c>
      <c r="AV24" s="127" t="str">
        <f t="shared" si="15"/>
        <v/>
      </c>
      <c r="AW24" s="127" t="str">
        <f t="shared" si="16"/>
        <v/>
      </c>
      <c r="AX24" s="127" t="str">
        <f t="shared" si="16"/>
        <v/>
      </c>
      <c r="AY24" s="127" t="str">
        <f t="shared" si="16"/>
        <v/>
      </c>
      <c r="AZ24" s="127" t="str">
        <f t="shared" si="16"/>
        <v/>
      </c>
      <c r="BA24" s="127" t="str">
        <f t="shared" si="16"/>
        <v/>
      </c>
      <c r="BB24" s="127" t="str">
        <f t="shared" si="16"/>
        <v/>
      </c>
      <c r="BC24" s="127" t="str">
        <f t="shared" si="16"/>
        <v/>
      </c>
      <c r="BD24" s="127" t="str">
        <f t="shared" si="16"/>
        <v/>
      </c>
      <c r="BE24" s="127" t="str">
        <f t="shared" si="16"/>
        <v/>
      </c>
      <c r="BF24" s="127" t="str">
        <f t="shared" si="16"/>
        <v/>
      </c>
      <c r="BG24" s="127" t="str">
        <f t="shared" si="16"/>
        <v/>
      </c>
      <c r="BH24" s="127" t="str">
        <f t="shared" si="16"/>
        <v/>
      </c>
      <c r="BI24" s="127" t="str">
        <f t="shared" si="16"/>
        <v/>
      </c>
      <c r="BJ24" s="127" t="str">
        <f t="shared" si="16"/>
        <v/>
      </c>
      <c r="BK24" s="127" t="str">
        <f t="shared" si="16"/>
        <v/>
      </c>
      <c r="BL24" s="127" t="str">
        <f t="shared" si="16"/>
        <v/>
      </c>
      <c r="BM24" s="127" t="str">
        <f t="shared" si="17"/>
        <v/>
      </c>
      <c r="BN24" s="127" t="str">
        <f t="shared" si="17"/>
        <v/>
      </c>
      <c r="BO24" s="127" t="str">
        <f t="shared" si="17"/>
        <v/>
      </c>
      <c r="BP24" s="127" t="str">
        <f t="shared" si="17"/>
        <v/>
      </c>
      <c r="BQ24" s="127" t="str">
        <f t="shared" si="17"/>
        <v/>
      </c>
      <c r="BR24" s="127" t="str">
        <f t="shared" si="17"/>
        <v/>
      </c>
      <c r="BS24" s="127" t="str">
        <f t="shared" si="17"/>
        <v/>
      </c>
      <c r="BT24" s="127" t="str">
        <f t="shared" si="17"/>
        <v/>
      </c>
      <c r="BU24" s="127" t="str">
        <f t="shared" si="17"/>
        <v/>
      </c>
      <c r="BV24" s="127" t="str">
        <f t="shared" si="17"/>
        <v/>
      </c>
      <c r="BW24" s="127" t="str">
        <f t="shared" si="17"/>
        <v/>
      </c>
      <c r="BX24" s="127" t="str">
        <f t="shared" si="17"/>
        <v/>
      </c>
      <c r="BY24" s="127" t="str">
        <f t="shared" si="17"/>
        <v/>
      </c>
      <c r="BZ24" s="127" t="str">
        <f t="shared" si="17"/>
        <v/>
      </c>
      <c r="CA24" s="127" t="str">
        <f t="shared" si="17"/>
        <v/>
      </c>
      <c r="CB24" s="127" t="str">
        <f t="shared" si="17"/>
        <v/>
      </c>
      <c r="CC24" s="127" t="str">
        <f t="shared" ref="CC24:CD39" si="18">IF($E24=CC$3,"▲","")</f>
        <v/>
      </c>
      <c r="CD24" s="127" t="str">
        <f t="shared" si="18"/>
        <v/>
      </c>
    </row>
    <row r="25" spans="1:82" ht="12.6" hidden="1" customHeight="1" x14ac:dyDescent="0.2">
      <c r="A25" s="106">
        <f>SHIPMENTS!A31</f>
        <v>9105</v>
      </c>
      <c r="B25" s="106" t="str">
        <f>SHIPMENTS!B31</f>
        <v>15900- Cebu City |Nelsar Alvar</v>
      </c>
      <c r="C25" s="132">
        <f>SHIPMENTS!F31</f>
        <v>1.35E-2</v>
      </c>
      <c r="D25" s="107" t="str">
        <f>IF((SHIPMENTS!I31)=0,"",SHIPMENTS!I31)</f>
        <v/>
      </c>
      <c r="E25" s="176">
        <f>IF((SHIPMENTS!G31)=0,"",SHIPMENTS!G31)</f>
        <v>46323</v>
      </c>
      <c r="F25" s="98">
        <f>VLOOKUP(A25,load!$A$4:$Y$5001,24,0)</f>
        <v>0</v>
      </c>
      <c r="G25" s="109">
        <f>Manhours!$C$8</f>
        <v>16</v>
      </c>
      <c r="H25" s="98">
        <f t="shared" si="7"/>
        <v>145.6</v>
      </c>
      <c r="I25" s="99">
        <f t="shared" si="8"/>
        <v>0</v>
      </c>
      <c r="J25" s="99">
        <f t="shared" si="9"/>
        <v>0</v>
      </c>
      <c r="K25" s="98">
        <f t="shared" si="3"/>
        <v>0</v>
      </c>
      <c r="L25" s="98">
        <f t="shared" si="10"/>
        <v>0</v>
      </c>
      <c r="M25" s="181">
        <f>IF(F25&gt;0,(MS!M25+2),N24)</f>
        <v>46316.235272100123</v>
      </c>
      <c r="N25" s="181">
        <f t="shared" si="11"/>
        <v>46316.235272100123</v>
      </c>
      <c r="O25" s="112" t="str">
        <f>VLOOKUP(A25,SHIPMENTS!$A$7:$AP$76,11,0)</f>
        <v>n/a</v>
      </c>
      <c r="P25" s="101"/>
      <c r="Q25" s="127" t="str">
        <f t="shared" si="14"/>
        <v/>
      </c>
      <c r="R25" s="127" t="str">
        <f t="shared" si="14"/>
        <v/>
      </c>
      <c r="S25" s="127" t="str">
        <f t="shared" si="14"/>
        <v/>
      </c>
      <c r="T25" s="127" t="str">
        <f t="shared" si="14"/>
        <v/>
      </c>
      <c r="U25" s="127" t="str">
        <f t="shared" si="14"/>
        <v/>
      </c>
      <c r="V25" s="127" t="str">
        <f t="shared" si="14"/>
        <v/>
      </c>
      <c r="W25" s="127" t="str">
        <f t="shared" si="14"/>
        <v/>
      </c>
      <c r="X25" s="127" t="str">
        <f t="shared" si="14"/>
        <v/>
      </c>
      <c r="Y25" s="127" t="str">
        <f t="shared" si="14"/>
        <v>▲</v>
      </c>
      <c r="Z25" s="127" t="str">
        <f t="shared" si="14"/>
        <v/>
      </c>
      <c r="AA25" s="127" t="str">
        <f t="shared" si="14"/>
        <v/>
      </c>
      <c r="AB25" s="127" t="str">
        <f t="shared" si="14"/>
        <v/>
      </c>
      <c r="AC25" s="127" t="str">
        <f t="shared" si="14"/>
        <v/>
      </c>
      <c r="AD25" s="127" t="str">
        <f t="shared" si="14"/>
        <v/>
      </c>
      <c r="AE25" s="127" t="str">
        <f t="shared" si="14"/>
        <v/>
      </c>
      <c r="AF25" s="127" t="str">
        <f t="shared" si="14"/>
        <v/>
      </c>
      <c r="AG25" s="127" t="str">
        <f t="shared" si="15"/>
        <v/>
      </c>
      <c r="AH25" s="127" t="str">
        <f t="shared" si="15"/>
        <v/>
      </c>
      <c r="AI25" s="127" t="str">
        <f t="shared" si="15"/>
        <v/>
      </c>
      <c r="AJ25" s="127" t="str">
        <f t="shared" si="15"/>
        <v/>
      </c>
      <c r="AK25" s="127" t="str">
        <f t="shared" si="15"/>
        <v/>
      </c>
      <c r="AL25" s="127" t="str">
        <f t="shared" si="15"/>
        <v/>
      </c>
      <c r="AM25" s="127" t="str">
        <f t="shared" si="15"/>
        <v/>
      </c>
      <c r="AN25" s="127" t="str">
        <f t="shared" si="15"/>
        <v/>
      </c>
      <c r="AO25" s="127" t="str">
        <f t="shared" si="15"/>
        <v/>
      </c>
      <c r="AP25" s="127" t="str">
        <f t="shared" si="15"/>
        <v/>
      </c>
      <c r="AQ25" s="127" t="str">
        <f t="shared" si="15"/>
        <v/>
      </c>
      <c r="AR25" s="127" t="str">
        <f t="shared" si="15"/>
        <v/>
      </c>
      <c r="AS25" s="127" t="str">
        <f t="shared" si="15"/>
        <v/>
      </c>
      <c r="AT25" s="127" t="str">
        <f t="shared" si="15"/>
        <v/>
      </c>
      <c r="AU25" s="127" t="str">
        <f t="shared" si="15"/>
        <v/>
      </c>
      <c r="AV25" s="127" t="str">
        <f t="shared" si="15"/>
        <v/>
      </c>
      <c r="AW25" s="127" t="str">
        <f t="shared" si="16"/>
        <v/>
      </c>
      <c r="AX25" s="127" t="str">
        <f t="shared" si="16"/>
        <v/>
      </c>
      <c r="AY25" s="127" t="str">
        <f t="shared" si="16"/>
        <v/>
      </c>
      <c r="AZ25" s="127" t="str">
        <f t="shared" si="16"/>
        <v/>
      </c>
      <c r="BA25" s="127" t="str">
        <f t="shared" si="16"/>
        <v/>
      </c>
      <c r="BB25" s="127" t="str">
        <f t="shared" si="16"/>
        <v/>
      </c>
      <c r="BC25" s="127" t="str">
        <f t="shared" si="16"/>
        <v/>
      </c>
      <c r="BD25" s="127" t="str">
        <f t="shared" si="16"/>
        <v/>
      </c>
      <c r="BE25" s="127" t="str">
        <f t="shared" si="16"/>
        <v/>
      </c>
      <c r="BF25" s="127" t="str">
        <f t="shared" si="16"/>
        <v/>
      </c>
      <c r="BG25" s="127" t="str">
        <f t="shared" si="16"/>
        <v/>
      </c>
      <c r="BH25" s="127" t="str">
        <f t="shared" si="16"/>
        <v/>
      </c>
      <c r="BI25" s="127" t="str">
        <f t="shared" si="16"/>
        <v/>
      </c>
      <c r="BJ25" s="127" t="str">
        <f t="shared" si="16"/>
        <v/>
      </c>
      <c r="BK25" s="127" t="str">
        <f t="shared" si="16"/>
        <v/>
      </c>
      <c r="BL25" s="127" t="str">
        <f t="shared" si="16"/>
        <v/>
      </c>
      <c r="BM25" s="127" t="str">
        <f t="shared" si="17"/>
        <v/>
      </c>
      <c r="BN25" s="127" t="str">
        <f t="shared" si="17"/>
        <v/>
      </c>
      <c r="BO25" s="127" t="str">
        <f t="shared" si="17"/>
        <v/>
      </c>
      <c r="BP25" s="127" t="str">
        <f t="shared" si="17"/>
        <v/>
      </c>
      <c r="BQ25" s="127" t="str">
        <f t="shared" si="17"/>
        <v/>
      </c>
      <c r="BR25" s="127" t="str">
        <f t="shared" si="17"/>
        <v/>
      </c>
      <c r="BS25" s="127" t="str">
        <f t="shared" si="17"/>
        <v/>
      </c>
      <c r="BT25" s="127" t="str">
        <f t="shared" si="17"/>
        <v/>
      </c>
      <c r="BU25" s="127" t="str">
        <f t="shared" si="17"/>
        <v/>
      </c>
      <c r="BV25" s="127" t="str">
        <f t="shared" si="17"/>
        <v/>
      </c>
      <c r="BW25" s="127" t="str">
        <f t="shared" si="17"/>
        <v/>
      </c>
      <c r="BX25" s="127" t="str">
        <f t="shared" si="17"/>
        <v/>
      </c>
      <c r="BY25" s="127" t="str">
        <f t="shared" si="17"/>
        <v/>
      </c>
      <c r="BZ25" s="127" t="str">
        <f t="shared" si="17"/>
        <v/>
      </c>
      <c r="CA25" s="127" t="str">
        <f t="shared" si="17"/>
        <v/>
      </c>
      <c r="CB25" s="127" t="str">
        <f t="shared" si="17"/>
        <v/>
      </c>
      <c r="CC25" s="127" t="str">
        <f t="shared" si="18"/>
        <v/>
      </c>
      <c r="CD25" s="127" t="str">
        <f t="shared" si="18"/>
        <v/>
      </c>
    </row>
    <row r="26" spans="1:82" ht="12.6" customHeight="1" x14ac:dyDescent="0.2">
      <c r="A26" s="106">
        <f>SHIPMENTS!A32</f>
        <v>9292</v>
      </c>
      <c r="B26" s="106" t="str">
        <f>SHIPMENTS!B32</f>
        <v>15900- Mandaue Warehouse</v>
      </c>
      <c r="C26" s="132">
        <f>SHIPMENTS!F32</f>
        <v>0.51459999999999995</v>
      </c>
      <c r="D26" s="107" t="str">
        <f>IF((SHIPMENTS!I32)=0,"",SHIPMENTS!I32)</f>
        <v/>
      </c>
      <c r="E26" s="176">
        <f>IF((SHIPMENTS!G32)=0,"",SHIPMENTS!G32)</f>
        <v>46323</v>
      </c>
      <c r="F26" s="98">
        <f>VLOOKUP(A26,load!$A$4:$Y$5001,24,0)</f>
        <v>9.6643333333333334</v>
      </c>
      <c r="G26" s="109">
        <f>Manhours!$C$8</f>
        <v>16</v>
      </c>
      <c r="H26" s="98">
        <f t="shared" si="7"/>
        <v>145.6</v>
      </c>
      <c r="I26" s="99">
        <f t="shared" si="8"/>
        <v>6.6375915750915754E-2</v>
      </c>
      <c r="J26" s="99">
        <f t="shared" si="9"/>
        <v>0.60402083333333334</v>
      </c>
      <c r="K26" s="98">
        <f t="shared" si="3"/>
        <v>6.6375915750915754E-2</v>
      </c>
      <c r="L26" s="98">
        <f t="shared" si="10"/>
        <v>0.60402083333333334</v>
      </c>
      <c r="M26" s="181">
        <f>IF(F26&gt;0,(MS!M26+2),N25)</f>
        <v>46316.235272100123</v>
      </c>
      <c r="N26" s="181">
        <f t="shared" si="11"/>
        <v>46316.301648015877</v>
      </c>
      <c r="O26" s="112">
        <f>VLOOKUP(A26,SHIPMENTS!$A$7:$AP$76,11,0)</f>
        <v>0</v>
      </c>
      <c r="P26" s="101"/>
      <c r="Q26" s="127" t="str">
        <f t="shared" si="14"/>
        <v/>
      </c>
      <c r="R26" s="127" t="str">
        <f t="shared" si="14"/>
        <v/>
      </c>
      <c r="S26" s="127" t="str">
        <f t="shared" si="14"/>
        <v/>
      </c>
      <c r="T26" s="127" t="str">
        <f t="shared" si="14"/>
        <v/>
      </c>
      <c r="U26" s="127" t="str">
        <f t="shared" si="14"/>
        <v/>
      </c>
      <c r="V26" s="127" t="str">
        <f t="shared" si="14"/>
        <v/>
      </c>
      <c r="W26" s="127" t="str">
        <f t="shared" si="14"/>
        <v/>
      </c>
      <c r="X26" s="127" t="str">
        <f t="shared" si="14"/>
        <v/>
      </c>
      <c r="Y26" s="127" t="str">
        <f t="shared" si="14"/>
        <v>▲</v>
      </c>
      <c r="Z26" s="127" t="str">
        <f t="shared" si="14"/>
        <v/>
      </c>
      <c r="AA26" s="127" t="str">
        <f t="shared" si="14"/>
        <v/>
      </c>
      <c r="AB26" s="127" t="str">
        <f t="shared" si="14"/>
        <v/>
      </c>
      <c r="AC26" s="127" t="str">
        <f t="shared" si="14"/>
        <v/>
      </c>
      <c r="AD26" s="127" t="str">
        <f t="shared" si="14"/>
        <v/>
      </c>
      <c r="AE26" s="127" t="str">
        <f t="shared" si="14"/>
        <v/>
      </c>
      <c r="AF26" s="127" t="str">
        <f t="shared" si="14"/>
        <v/>
      </c>
      <c r="AG26" s="127" t="str">
        <f t="shared" si="15"/>
        <v/>
      </c>
      <c r="AH26" s="127" t="str">
        <f t="shared" si="15"/>
        <v/>
      </c>
      <c r="AI26" s="127" t="str">
        <f t="shared" si="15"/>
        <v/>
      </c>
      <c r="AJ26" s="127" t="str">
        <f t="shared" si="15"/>
        <v/>
      </c>
      <c r="AK26" s="127" t="str">
        <f t="shared" si="15"/>
        <v/>
      </c>
      <c r="AL26" s="127" t="str">
        <f t="shared" si="15"/>
        <v/>
      </c>
      <c r="AM26" s="127" t="str">
        <f t="shared" si="15"/>
        <v/>
      </c>
      <c r="AN26" s="127" t="str">
        <f t="shared" si="15"/>
        <v/>
      </c>
      <c r="AO26" s="127" t="str">
        <f t="shared" si="15"/>
        <v/>
      </c>
      <c r="AP26" s="127" t="str">
        <f t="shared" si="15"/>
        <v/>
      </c>
      <c r="AQ26" s="127" t="str">
        <f t="shared" si="15"/>
        <v/>
      </c>
      <c r="AR26" s="127" t="str">
        <f t="shared" si="15"/>
        <v/>
      </c>
      <c r="AS26" s="127" t="str">
        <f t="shared" si="15"/>
        <v/>
      </c>
      <c r="AT26" s="127" t="str">
        <f t="shared" si="15"/>
        <v/>
      </c>
      <c r="AU26" s="127" t="str">
        <f t="shared" si="15"/>
        <v/>
      </c>
      <c r="AV26" s="127" t="str">
        <f t="shared" si="15"/>
        <v/>
      </c>
      <c r="AW26" s="127" t="str">
        <f t="shared" si="16"/>
        <v/>
      </c>
      <c r="AX26" s="127" t="str">
        <f t="shared" si="16"/>
        <v/>
      </c>
      <c r="AY26" s="127" t="str">
        <f t="shared" si="16"/>
        <v/>
      </c>
      <c r="AZ26" s="127" t="str">
        <f t="shared" si="16"/>
        <v/>
      </c>
      <c r="BA26" s="127" t="str">
        <f t="shared" si="16"/>
        <v/>
      </c>
      <c r="BB26" s="127" t="str">
        <f t="shared" si="16"/>
        <v/>
      </c>
      <c r="BC26" s="127" t="str">
        <f t="shared" si="16"/>
        <v/>
      </c>
      <c r="BD26" s="127" t="str">
        <f t="shared" si="16"/>
        <v/>
      </c>
      <c r="BE26" s="127" t="str">
        <f t="shared" si="16"/>
        <v/>
      </c>
      <c r="BF26" s="127" t="str">
        <f t="shared" si="16"/>
        <v/>
      </c>
      <c r="BG26" s="127" t="str">
        <f t="shared" si="16"/>
        <v/>
      </c>
      <c r="BH26" s="127" t="str">
        <f t="shared" si="16"/>
        <v/>
      </c>
      <c r="BI26" s="127" t="str">
        <f t="shared" si="16"/>
        <v/>
      </c>
      <c r="BJ26" s="127" t="str">
        <f t="shared" si="16"/>
        <v/>
      </c>
      <c r="BK26" s="127" t="str">
        <f t="shared" si="16"/>
        <v/>
      </c>
      <c r="BL26" s="127" t="str">
        <f t="shared" si="16"/>
        <v/>
      </c>
      <c r="BM26" s="127" t="str">
        <f t="shared" si="17"/>
        <v/>
      </c>
      <c r="BN26" s="127" t="str">
        <f t="shared" si="17"/>
        <v/>
      </c>
      <c r="BO26" s="127" t="str">
        <f t="shared" si="17"/>
        <v/>
      </c>
      <c r="BP26" s="127" t="str">
        <f t="shared" si="17"/>
        <v/>
      </c>
      <c r="BQ26" s="127" t="str">
        <f t="shared" si="17"/>
        <v/>
      </c>
      <c r="BR26" s="127" t="str">
        <f t="shared" si="17"/>
        <v/>
      </c>
      <c r="BS26" s="127" t="str">
        <f t="shared" si="17"/>
        <v/>
      </c>
      <c r="BT26" s="127" t="str">
        <f t="shared" si="17"/>
        <v/>
      </c>
      <c r="BU26" s="127" t="str">
        <f t="shared" si="17"/>
        <v/>
      </c>
      <c r="BV26" s="127" t="str">
        <f t="shared" si="17"/>
        <v/>
      </c>
      <c r="BW26" s="127" t="str">
        <f t="shared" si="17"/>
        <v/>
      </c>
      <c r="BX26" s="127" t="str">
        <f t="shared" si="17"/>
        <v/>
      </c>
      <c r="BY26" s="127" t="str">
        <f t="shared" si="17"/>
        <v/>
      </c>
      <c r="BZ26" s="127" t="str">
        <f t="shared" si="17"/>
        <v/>
      </c>
      <c r="CA26" s="127" t="str">
        <f t="shared" si="17"/>
        <v/>
      </c>
      <c r="CB26" s="127" t="str">
        <f t="shared" si="17"/>
        <v/>
      </c>
      <c r="CC26" s="127" t="str">
        <f t="shared" si="18"/>
        <v/>
      </c>
      <c r="CD26" s="127" t="str">
        <f t="shared" si="18"/>
        <v/>
      </c>
    </row>
    <row r="27" spans="1:82" ht="12.6" customHeight="1" x14ac:dyDescent="0.2">
      <c r="A27" s="106">
        <f>SHIPMENTS!A33</f>
        <v>9116</v>
      </c>
      <c r="B27" s="106" t="str">
        <f>SHIPMENTS!B33</f>
        <v>15900- Dagupan City |Kerwin Fernandez</v>
      </c>
      <c r="C27" s="132">
        <f>SHIPMENTS!F33</f>
        <v>0.17</v>
      </c>
      <c r="D27" s="107" t="str">
        <f>IF((SHIPMENTS!I33)=0,"",SHIPMENTS!I33)</f>
        <v>1X20</v>
      </c>
      <c r="E27" s="176">
        <f>IF((SHIPMENTS!G33)=0,"",SHIPMENTS!G33)</f>
        <v>46323</v>
      </c>
      <c r="F27" s="98">
        <f>VLOOKUP(A27,load!$A$4:$Y$5001,24,0)</f>
        <v>0.79899999999999993</v>
      </c>
      <c r="G27" s="109">
        <f>Manhours!$C$8</f>
        <v>16</v>
      </c>
      <c r="H27" s="98">
        <f t="shared" si="7"/>
        <v>145.6</v>
      </c>
      <c r="I27" s="99">
        <f t="shared" si="8"/>
        <v>5.487637362637362E-3</v>
      </c>
      <c r="J27" s="99">
        <f t="shared" si="9"/>
        <v>4.9937499999999996E-2</v>
      </c>
      <c r="K27" s="98">
        <f t="shared" si="3"/>
        <v>0</v>
      </c>
      <c r="L27" s="98">
        <f t="shared" si="10"/>
        <v>0</v>
      </c>
      <c r="M27" s="181">
        <f>IF(F27&gt;0,(MS!M27+2),N26)</f>
        <v>46316.375786955636</v>
      </c>
      <c r="N27" s="181">
        <f t="shared" si="11"/>
        <v>46316.375786955636</v>
      </c>
      <c r="O27" s="112">
        <f>VLOOKUP(A27,SHIPMENTS!$A$7:$AP$76,11,0)</f>
        <v>1</v>
      </c>
      <c r="P27" s="101"/>
      <c r="Q27" s="127" t="str">
        <f t="shared" si="14"/>
        <v/>
      </c>
      <c r="R27" s="127" t="str">
        <f t="shared" si="14"/>
        <v/>
      </c>
      <c r="S27" s="127" t="str">
        <f t="shared" si="14"/>
        <v/>
      </c>
      <c r="T27" s="127" t="str">
        <f t="shared" si="14"/>
        <v/>
      </c>
      <c r="U27" s="127" t="str">
        <f t="shared" si="14"/>
        <v/>
      </c>
      <c r="V27" s="127" t="str">
        <f t="shared" si="14"/>
        <v/>
      </c>
      <c r="W27" s="127" t="str">
        <f t="shared" si="14"/>
        <v/>
      </c>
      <c r="X27" s="127" t="str">
        <f t="shared" si="14"/>
        <v/>
      </c>
      <c r="Y27" s="127" t="str">
        <f t="shared" si="14"/>
        <v>▲</v>
      </c>
      <c r="Z27" s="127" t="str">
        <f t="shared" si="14"/>
        <v/>
      </c>
      <c r="AA27" s="127" t="str">
        <f t="shared" si="14"/>
        <v/>
      </c>
      <c r="AB27" s="127" t="str">
        <f t="shared" si="14"/>
        <v/>
      </c>
      <c r="AC27" s="127" t="str">
        <f t="shared" si="14"/>
        <v/>
      </c>
      <c r="AD27" s="127" t="str">
        <f t="shared" si="14"/>
        <v/>
      </c>
      <c r="AE27" s="127" t="str">
        <f t="shared" si="14"/>
        <v/>
      </c>
      <c r="AF27" s="127" t="str">
        <f t="shared" si="14"/>
        <v/>
      </c>
      <c r="AG27" s="127" t="str">
        <f t="shared" si="15"/>
        <v/>
      </c>
      <c r="AH27" s="127" t="str">
        <f t="shared" si="15"/>
        <v/>
      </c>
      <c r="AI27" s="127" t="str">
        <f t="shared" si="15"/>
        <v/>
      </c>
      <c r="AJ27" s="127" t="str">
        <f t="shared" si="15"/>
        <v/>
      </c>
      <c r="AK27" s="127" t="str">
        <f t="shared" si="15"/>
        <v/>
      </c>
      <c r="AL27" s="127" t="str">
        <f t="shared" si="15"/>
        <v/>
      </c>
      <c r="AM27" s="127" t="str">
        <f t="shared" si="15"/>
        <v/>
      </c>
      <c r="AN27" s="127" t="str">
        <f t="shared" si="15"/>
        <v/>
      </c>
      <c r="AO27" s="127" t="str">
        <f t="shared" si="15"/>
        <v/>
      </c>
      <c r="AP27" s="127" t="str">
        <f t="shared" si="15"/>
        <v/>
      </c>
      <c r="AQ27" s="127" t="str">
        <f t="shared" si="15"/>
        <v/>
      </c>
      <c r="AR27" s="127" t="str">
        <f t="shared" si="15"/>
        <v/>
      </c>
      <c r="AS27" s="127" t="str">
        <f t="shared" si="15"/>
        <v/>
      </c>
      <c r="AT27" s="127" t="str">
        <f t="shared" si="15"/>
        <v/>
      </c>
      <c r="AU27" s="127" t="str">
        <f t="shared" si="15"/>
        <v/>
      </c>
      <c r="AV27" s="127" t="str">
        <f t="shared" si="15"/>
        <v/>
      </c>
      <c r="AW27" s="127" t="str">
        <f t="shared" si="16"/>
        <v/>
      </c>
      <c r="AX27" s="127" t="str">
        <f t="shared" si="16"/>
        <v/>
      </c>
      <c r="AY27" s="127" t="str">
        <f t="shared" si="16"/>
        <v/>
      </c>
      <c r="AZ27" s="127" t="str">
        <f t="shared" si="16"/>
        <v/>
      </c>
      <c r="BA27" s="127" t="str">
        <f t="shared" si="16"/>
        <v/>
      </c>
      <c r="BB27" s="127" t="str">
        <f t="shared" si="16"/>
        <v/>
      </c>
      <c r="BC27" s="127" t="str">
        <f t="shared" si="16"/>
        <v/>
      </c>
      <c r="BD27" s="127" t="str">
        <f t="shared" si="16"/>
        <v/>
      </c>
      <c r="BE27" s="127" t="str">
        <f t="shared" si="16"/>
        <v/>
      </c>
      <c r="BF27" s="127" t="str">
        <f t="shared" si="16"/>
        <v/>
      </c>
      <c r="BG27" s="127" t="str">
        <f t="shared" si="16"/>
        <v/>
      </c>
      <c r="BH27" s="127" t="str">
        <f t="shared" si="16"/>
        <v/>
      </c>
      <c r="BI27" s="127" t="str">
        <f t="shared" si="16"/>
        <v/>
      </c>
      <c r="BJ27" s="127" t="str">
        <f t="shared" si="16"/>
        <v/>
      </c>
      <c r="BK27" s="127" t="str">
        <f t="shared" si="16"/>
        <v/>
      </c>
      <c r="BL27" s="127" t="str">
        <f t="shared" si="16"/>
        <v/>
      </c>
      <c r="BM27" s="127" t="str">
        <f t="shared" si="17"/>
        <v/>
      </c>
      <c r="BN27" s="127" t="str">
        <f t="shared" si="17"/>
        <v/>
      </c>
      <c r="BO27" s="127" t="str">
        <f t="shared" si="17"/>
        <v/>
      </c>
      <c r="BP27" s="127" t="str">
        <f t="shared" si="17"/>
        <v/>
      </c>
      <c r="BQ27" s="127" t="str">
        <f t="shared" si="17"/>
        <v/>
      </c>
      <c r="BR27" s="127" t="str">
        <f t="shared" si="17"/>
        <v/>
      </c>
      <c r="BS27" s="127" t="str">
        <f t="shared" si="17"/>
        <v/>
      </c>
      <c r="BT27" s="127" t="str">
        <f t="shared" si="17"/>
        <v/>
      </c>
      <c r="BU27" s="127" t="str">
        <f t="shared" si="17"/>
        <v/>
      </c>
      <c r="BV27" s="127" t="str">
        <f t="shared" si="17"/>
        <v/>
      </c>
      <c r="BW27" s="127" t="str">
        <f t="shared" si="17"/>
        <v/>
      </c>
      <c r="BX27" s="127" t="str">
        <f t="shared" si="17"/>
        <v/>
      </c>
      <c r="BY27" s="127" t="str">
        <f t="shared" si="17"/>
        <v/>
      </c>
      <c r="BZ27" s="127" t="str">
        <f t="shared" si="17"/>
        <v/>
      </c>
      <c r="CA27" s="127" t="str">
        <f t="shared" si="17"/>
        <v/>
      </c>
      <c r="CB27" s="127" t="str">
        <f t="shared" si="17"/>
        <v/>
      </c>
      <c r="CC27" s="127" t="str">
        <f t="shared" si="18"/>
        <v/>
      </c>
      <c r="CD27" s="127" t="str">
        <f t="shared" si="18"/>
        <v/>
      </c>
    </row>
    <row r="28" spans="1:82" ht="12.6" customHeight="1" x14ac:dyDescent="0.2">
      <c r="A28" s="106">
        <f>SHIPMENTS!A34</f>
        <v>9247</v>
      </c>
      <c r="B28" s="106" t="str">
        <f>SHIPMENTS!B34</f>
        <v>15900- Batangas City |Angela Joy Medes Mandigma</v>
      </c>
      <c r="C28" s="132">
        <f>SHIPMENTS!F34</f>
        <v>0.188</v>
      </c>
      <c r="D28" s="107" t="str">
        <f>IF((SHIPMENTS!I34)=0,"",SHIPMENTS!I34)</f>
        <v/>
      </c>
      <c r="E28" s="176">
        <f>IF((SHIPMENTS!G34)=0,"",SHIPMENTS!G34)</f>
        <v>46323</v>
      </c>
      <c r="F28" s="98">
        <f>VLOOKUP(A28,load!$A$4:$Y$5001,24,0)</f>
        <v>1.3058333333333334</v>
      </c>
      <c r="G28" s="109">
        <f>Manhours!$C$8</f>
        <v>16</v>
      </c>
      <c r="H28" s="98">
        <f t="shared" si="7"/>
        <v>145.6</v>
      </c>
      <c r="I28" s="99">
        <f t="shared" si="8"/>
        <v>8.9686355311355322E-3</v>
      </c>
      <c r="J28" s="99">
        <f t="shared" si="9"/>
        <v>8.1614583333333338E-2</v>
      </c>
      <c r="K28" s="98">
        <f t="shared" si="3"/>
        <v>8.9686355311355322E-3</v>
      </c>
      <c r="L28" s="98">
        <f t="shared" si="10"/>
        <v>8.1614583333333338E-2</v>
      </c>
      <c r="M28" s="181">
        <f>IF(F28&gt;0,(MS!M28+2),N27)</f>
        <v>46316.375786955636</v>
      </c>
      <c r="N28" s="181">
        <f t="shared" si="11"/>
        <v>46316.384755591163</v>
      </c>
      <c r="O28" s="112">
        <f>VLOOKUP(A28,SHIPMENTS!$A$7:$AP$76,11,0)</f>
        <v>0</v>
      </c>
      <c r="P28" s="101"/>
      <c r="Q28" s="127" t="str">
        <f t="shared" si="14"/>
        <v/>
      </c>
      <c r="R28" s="127" t="str">
        <f t="shared" si="14"/>
        <v/>
      </c>
      <c r="S28" s="127" t="str">
        <f t="shared" si="14"/>
        <v/>
      </c>
      <c r="T28" s="127" t="str">
        <f t="shared" si="14"/>
        <v/>
      </c>
      <c r="U28" s="127" t="str">
        <f t="shared" si="14"/>
        <v/>
      </c>
      <c r="V28" s="127" t="str">
        <f t="shared" si="14"/>
        <v/>
      </c>
      <c r="W28" s="127" t="str">
        <f t="shared" si="14"/>
        <v/>
      </c>
      <c r="X28" s="127" t="str">
        <f t="shared" si="14"/>
        <v/>
      </c>
      <c r="Y28" s="127" t="str">
        <f t="shared" si="14"/>
        <v>▲</v>
      </c>
      <c r="Z28" s="127" t="str">
        <f t="shared" si="14"/>
        <v/>
      </c>
      <c r="AA28" s="127" t="str">
        <f t="shared" si="14"/>
        <v/>
      </c>
      <c r="AB28" s="127" t="str">
        <f t="shared" si="14"/>
        <v/>
      </c>
      <c r="AC28" s="127" t="str">
        <f t="shared" si="14"/>
        <v/>
      </c>
      <c r="AD28" s="127" t="str">
        <f t="shared" si="14"/>
        <v/>
      </c>
      <c r="AE28" s="127" t="str">
        <f t="shared" si="14"/>
        <v/>
      </c>
      <c r="AF28" s="127" t="str">
        <f t="shared" si="14"/>
        <v/>
      </c>
      <c r="AG28" s="127" t="str">
        <f t="shared" si="15"/>
        <v/>
      </c>
      <c r="AH28" s="127" t="str">
        <f t="shared" si="15"/>
        <v/>
      </c>
      <c r="AI28" s="127" t="str">
        <f t="shared" si="15"/>
        <v/>
      </c>
      <c r="AJ28" s="127" t="str">
        <f t="shared" si="15"/>
        <v/>
      </c>
      <c r="AK28" s="127" t="str">
        <f t="shared" si="15"/>
        <v/>
      </c>
      <c r="AL28" s="127" t="str">
        <f t="shared" si="15"/>
        <v/>
      </c>
      <c r="AM28" s="127" t="str">
        <f t="shared" si="15"/>
        <v/>
      </c>
      <c r="AN28" s="127" t="str">
        <f t="shared" si="15"/>
        <v/>
      </c>
      <c r="AO28" s="127" t="str">
        <f t="shared" si="15"/>
        <v/>
      </c>
      <c r="AP28" s="127" t="str">
        <f t="shared" si="15"/>
        <v/>
      </c>
      <c r="AQ28" s="127" t="str">
        <f t="shared" si="15"/>
        <v/>
      </c>
      <c r="AR28" s="127" t="str">
        <f t="shared" si="15"/>
        <v/>
      </c>
      <c r="AS28" s="127" t="str">
        <f t="shared" si="15"/>
        <v/>
      </c>
      <c r="AT28" s="127" t="str">
        <f t="shared" si="15"/>
        <v/>
      </c>
      <c r="AU28" s="127" t="str">
        <f t="shared" si="15"/>
        <v/>
      </c>
      <c r="AV28" s="127" t="str">
        <f t="shared" si="15"/>
        <v/>
      </c>
      <c r="AW28" s="127" t="str">
        <f t="shared" si="16"/>
        <v/>
      </c>
      <c r="AX28" s="127" t="str">
        <f t="shared" si="16"/>
        <v/>
      </c>
      <c r="AY28" s="127" t="str">
        <f t="shared" si="16"/>
        <v/>
      </c>
      <c r="AZ28" s="127" t="str">
        <f t="shared" si="16"/>
        <v/>
      </c>
      <c r="BA28" s="127" t="str">
        <f t="shared" si="16"/>
        <v/>
      </c>
      <c r="BB28" s="127" t="str">
        <f t="shared" si="16"/>
        <v/>
      </c>
      <c r="BC28" s="127" t="str">
        <f t="shared" si="16"/>
        <v/>
      </c>
      <c r="BD28" s="127" t="str">
        <f t="shared" si="16"/>
        <v/>
      </c>
      <c r="BE28" s="127" t="str">
        <f t="shared" si="16"/>
        <v/>
      </c>
      <c r="BF28" s="127" t="str">
        <f t="shared" si="16"/>
        <v/>
      </c>
      <c r="BG28" s="127" t="str">
        <f t="shared" si="16"/>
        <v/>
      </c>
      <c r="BH28" s="127" t="str">
        <f t="shared" si="16"/>
        <v/>
      </c>
      <c r="BI28" s="127" t="str">
        <f t="shared" si="16"/>
        <v/>
      </c>
      <c r="BJ28" s="127" t="str">
        <f t="shared" si="16"/>
        <v/>
      </c>
      <c r="BK28" s="127" t="str">
        <f t="shared" si="16"/>
        <v/>
      </c>
      <c r="BL28" s="127" t="str">
        <f t="shared" si="16"/>
        <v/>
      </c>
      <c r="BM28" s="127" t="str">
        <f t="shared" si="17"/>
        <v/>
      </c>
      <c r="BN28" s="127" t="str">
        <f t="shared" si="17"/>
        <v/>
      </c>
      <c r="BO28" s="127" t="str">
        <f t="shared" si="17"/>
        <v/>
      </c>
      <c r="BP28" s="127" t="str">
        <f t="shared" si="17"/>
        <v/>
      </c>
      <c r="BQ28" s="127" t="str">
        <f t="shared" si="17"/>
        <v/>
      </c>
      <c r="BR28" s="127" t="str">
        <f t="shared" si="17"/>
        <v/>
      </c>
      <c r="BS28" s="127" t="str">
        <f t="shared" si="17"/>
        <v/>
      </c>
      <c r="BT28" s="127" t="str">
        <f t="shared" si="17"/>
        <v/>
      </c>
      <c r="BU28" s="127" t="str">
        <f t="shared" si="17"/>
        <v/>
      </c>
      <c r="BV28" s="127" t="str">
        <f t="shared" si="17"/>
        <v/>
      </c>
      <c r="BW28" s="127" t="str">
        <f t="shared" si="17"/>
        <v/>
      </c>
      <c r="BX28" s="127" t="str">
        <f t="shared" si="17"/>
        <v/>
      </c>
      <c r="BY28" s="127" t="str">
        <f t="shared" si="17"/>
        <v/>
      </c>
      <c r="BZ28" s="127" t="str">
        <f t="shared" si="17"/>
        <v/>
      </c>
      <c r="CA28" s="127" t="str">
        <f t="shared" si="17"/>
        <v/>
      </c>
      <c r="CB28" s="127" t="str">
        <f t="shared" si="17"/>
        <v/>
      </c>
      <c r="CC28" s="127" t="str">
        <f t="shared" si="18"/>
        <v/>
      </c>
      <c r="CD28" s="127" t="str">
        <f t="shared" si="18"/>
        <v/>
      </c>
    </row>
    <row r="29" spans="1:82" ht="12.6" customHeight="1" x14ac:dyDescent="0.2">
      <c r="A29" s="106">
        <f>SHIPMENTS!A35</f>
        <v>9302</v>
      </c>
      <c r="B29" s="106" t="str">
        <f>SHIPMENTS!B35</f>
        <v>15900- Binangonan Rizal |Dr. Jonathan Emmanuel Sandejas</v>
      </c>
      <c r="C29" s="132">
        <f>SHIPMENTS!F35</f>
        <v>0.14499999999999999</v>
      </c>
      <c r="D29" s="107" t="str">
        <f>IF((SHIPMENTS!I35)=0,"",SHIPMENTS!I35)</f>
        <v/>
      </c>
      <c r="E29" s="176">
        <f>IF((SHIPMENTS!G35)=0,"",SHIPMENTS!G35)</f>
        <v>46323</v>
      </c>
      <c r="F29" s="98">
        <f>VLOOKUP(A29,load!$A$4:$Y$5001,24,0)</f>
        <v>0.79899999999999993</v>
      </c>
      <c r="G29" s="109">
        <f>Manhours!$C$8</f>
        <v>16</v>
      </c>
      <c r="H29" s="98">
        <f t="shared" si="7"/>
        <v>145.6</v>
      </c>
      <c r="I29" s="99">
        <f t="shared" si="8"/>
        <v>5.487637362637362E-3</v>
      </c>
      <c r="J29" s="99">
        <f t="shared" si="9"/>
        <v>4.9937499999999996E-2</v>
      </c>
      <c r="K29" s="98">
        <f t="shared" si="3"/>
        <v>5.487637362637362E-3</v>
      </c>
      <c r="L29" s="98">
        <f t="shared" si="10"/>
        <v>4.9937499999999996E-2</v>
      </c>
      <c r="M29" s="181">
        <f>IF(F29&gt;0,(MS!M29+2),N28)</f>
        <v>46316.408633923485</v>
      </c>
      <c r="N29" s="181">
        <f t="shared" si="11"/>
        <v>46316.414121560847</v>
      </c>
      <c r="O29" s="112">
        <f>VLOOKUP(A29,SHIPMENTS!$A$7:$AP$76,11,0)</f>
        <v>0</v>
      </c>
      <c r="P29" s="101"/>
      <c r="Q29" s="127" t="str">
        <f t="shared" si="14"/>
        <v/>
      </c>
      <c r="R29" s="127" t="str">
        <f t="shared" si="14"/>
        <v/>
      </c>
      <c r="S29" s="127" t="str">
        <f t="shared" si="14"/>
        <v/>
      </c>
      <c r="T29" s="127" t="str">
        <f t="shared" si="14"/>
        <v/>
      </c>
      <c r="U29" s="127" t="str">
        <f t="shared" si="14"/>
        <v/>
      </c>
      <c r="V29" s="127" t="str">
        <f t="shared" si="14"/>
        <v/>
      </c>
      <c r="W29" s="127" t="str">
        <f t="shared" si="14"/>
        <v/>
      </c>
      <c r="X29" s="127" t="str">
        <f t="shared" si="14"/>
        <v/>
      </c>
      <c r="Y29" s="127" t="str">
        <f t="shared" si="14"/>
        <v>▲</v>
      </c>
      <c r="Z29" s="127" t="str">
        <f t="shared" si="14"/>
        <v/>
      </c>
      <c r="AA29" s="127" t="str">
        <f t="shared" si="14"/>
        <v/>
      </c>
      <c r="AB29" s="127" t="str">
        <f t="shared" si="14"/>
        <v/>
      </c>
      <c r="AC29" s="127" t="str">
        <f t="shared" si="14"/>
        <v/>
      </c>
      <c r="AD29" s="127" t="str">
        <f t="shared" si="14"/>
        <v/>
      </c>
      <c r="AE29" s="127" t="str">
        <f t="shared" si="14"/>
        <v/>
      </c>
      <c r="AF29" s="127" t="str">
        <f t="shared" si="14"/>
        <v/>
      </c>
      <c r="AG29" s="127" t="str">
        <f t="shared" si="15"/>
        <v/>
      </c>
      <c r="AH29" s="127" t="str">
        <f t="shared" si="15"/>
        <v/>
      </c>
      <c r="AI29" s="127" t="str">
        <f t="shared" si="15"/>
        <v/>
      </c>
      <c r="AJ29" s="127" t="str">
        <f t="shared" si="15"/>
        <v/>
      </c>
      <c r="AK29" s="127" t="str">
        <f t="shared" si="15"/>
        <v/>
      </c>
      <c r="AL29" s="127" t="str">
        <f t="shared" si="15"/>
        <v/>
      </c>
      <c r="AM29" s="127" t="str">
        <f t="shared" si="15"/>
        <v/>
      </c>
      <c r="AN29" s="127" t="str">
        <f t="shared" si="15"/>
        <v/>
      </c>
      <c r="AO29" s="127" t="str">
        <f t="shared" si="15"/>
        <v/>
      </c>
      <c r="AP29" s="127" t="str">
        <f t="shared" si="15"/>
        <v/>
      </c>
      <c r="AQ29" s="127" t="str">
        <f t="shared" si="15"/>
        <v/>
      </c>
      <c r="AR29" s="127" t="str">
        <f t="shared" si="15"/>
        <v/>
      </c>
      <c r="AS29" s="127" t="str">
        <f t="shared" si="15"/>
        <v/>
      </c>
      <c r="AT29" s="127" t="str">
        <f t="shared" si="15"/>
        <v/>
      </c>
      <c r="AU29" s="127" t="str">
        <f t="shared" si="15"/>
        <v/>
      </c>
      <c r="AV29" s="127" t="str">
        <f t="shared" si="15"/>
        <v/>
      </c>
      <c r="AW29" s="127" t="str">
        <f t="shared" si="16"/>
        <v/>
      </c>
      <c r="AX29" s="127" t="str">
        <f t="shared" si="16"/>
        <v/>
      </c>
      <c r="AY29" s="127" t="str">
        <f t="shared" si="16"/>
        <v/>
      </c>
      <c r="AZ29" s="127" t="str">
        <f t="shared" si="16"/>
        <v/>
      </c>
      <c r="BA29" s="127" t="str">
        <f t="shared" si="16"/>
        <v/>
      </c>
      <c r="BB29" s="127" t="str">
        <f t="shared" si="16"/>
        <v/>
      </c>
      <c r="BC29" s="127" t="str">
        <f t="shared" si="16"/>
        <v/>
      </c>
      <c r="BD29" s="127" t="str">
        <f t="shared" si="16"/>
        <v/>
      </c>
      <c r="BE29" s="127" t="str">
        <f t="shared" si="16"/>
        <v/>
      </c>
      <c r="BF29" s="127" t="str">
        <f t="shared" si="16"/>
        <v/>
      </c>
      <c r="BG29" s="127" t="str">
        <f t="shared" si="16"/>
        <v/>
      </c>
      <c r="BH29" s="127" t="str">
        <f t="shared" si="16"/>
        <v/>
      </c>
      <c r="BI29" s="127" t="str">
        <f t="shared" si="16"/>
        <v/>
      </c>
      <c r="BJ29" s="127" t="str">
        <f t="shared" si="16"/>
        <v/>
      </c>
      <c r="BK29" s="127" t="str">
        <f t="shared" si="16"/>
        <v/>
      </c>
      <c r="BL29" s="127" t="str">
        <f t="shared" si="16"/>
        <v/>
      </c>
      <c r="BM29" s="127" t="str">
        <f t="shared" si="17"/>
        <v/>
      </c>
      <c r="BN29" s="127" t="str">
        <f t="shared" si="17"/>
        <v/>
      </c>
      <c r="BO29" s="127" t="str">
        <f t="shared" si="17"/>
        <v/>
      </c>
      <c r="BP29" s="127" t="str">
        <f t="shared" si="17"/>
        <v/>
      </c>
      <c r="BQ29" s="127" t="str">
        <f t="shared" si="17"/>
        <v/>
      </c>
      <c r="BR29" s="127" t="str">
        <f t="shared" si="17"/>
        <v/>
      </c>
      <c r="BS29" s="127" t="str">
        <f t="shared" si="17"/>
        <v/>
      </c>
      <c r="BT29" s="127" t="str">
        <f t="shared" si="17"/>
        <v/>
      </c>
      <c r="BU29" s="127" t="str">
        <f t="shared" si="17"/>
        <v/>
      </c>
      <c r="BV29" s="127" t="str">
        <f t="shared" si="17"/>
        <v/>
      </c>
      <c r="BW29" s="127" t="str">
        <f t="shared" si="17"/>
        <v/>
      </c>
      <c r="BX29" s="127" t="str">
        <f t="shared" si="17"/>
        <v/>
      </c>
      <c r="BY29" s="127" t="str">
        <f t="shared" si="17"/>
        <v/>
      </c>
      <c r="BZ29" s="127" t="str">
        <f t="shared" si="17"/>
        <v/>
      </c>
      <c r="CA29" s="127" t="str">
        <f t="shared" si="17"/>
        <v/>
      </c>
      <c r="CB29" s="127" t="str">
        <f t="shared" si="17"/>
        <v/>
      </c>
      <c r="CC29" s="127" t="str">
        <f t="shared" si="18"/>
        <v/>
      </c>
      <c r="CD29" s="127" t="str">
        <f t="shared" si="18"/>
        <v/>
      </c>
    </row>
    <row r="30" spans="1:82" ht="12.6" hidden="1" customHeight="1" x14ac:dyDescent="0.2">
      <c r="A30" s="106">
        <f>SHIPMENTS!A36</f>
        <v>8954</v>
      </c>
      <c r="B30" s="106" t="str">
        <f>SHIPMENTS!B36</f>
        <v>15900- Cainta Rizal | Mary Baquiran</v>
      </c>
      <c r="C30" s="132">
        <f>SHIPMENTS!F36</f>
        <v>6.4999999999999997E-3</v>
      </c>
      <c r="D30" s="107" t="str">
        <f>IF((SHIPMENTS!I36)=0,"",SHIPMENTS!I36)</f>
        <v/>
      </c>
      <c r="E30" s="176">
        <f>IF((SHIPMENTS!G36)=0,"",SHIPMENTS!G36)</f>
        <v>46323</v>
      </c>
      <c r="F30" s="98">
        <f>VLOOKUP(A30,load!$A$4:$Y$5001,24,0)</f>
        <v>0</v>
      </c>
      <c r="G30" s="109">
        <f>Manhours!$C$8</f>
        <v>16</v>
      </c>
      <c r="H30" s="98">
        <f t="shared" si="7"/>
        <v>145.6</v>
      </c>
      <c r="I30" s="99">
        <f t="shared" si="8"/>
        <v>0</v>
      </c>
      <c r="J30" s="99">
        <f t="shared" si="9"/>
        <v>0</v>
      </c>
      <c r="K30" s="98">
        <f t="shared" si="3"/>
        <v>0</v>
      </c>
      <c r="L30" s="98">
        <f t="shared" si="10"/>
        <v>0</v>
      </c>
      <c r="M30" s="181">
        <f>IF(F30&gt;0,(MS!M30+2),N29)</f>
        <v>46316.414121560847</v>
      </c>
      <c r="N30" s="181">
        <f t="shared" si="11"/>
        <v>46316.414121560847</v>
      </c>
      <c r="O30" s="112" t="str">
        <f>VLOOKUP(A30,SHIPMENTS!$A$7:$AP$76,11,0)</f>
        <v>n/a</v>
      </c>
      <c r="P30" s="101"/>
      <c r="Q30" s="127" t="str">
        <f t="shared" si="14"/>
        <v/>
      </c>
      <c r="R30" s="127" t="str">
        <f t="shared" si="14"/>
        <v/>
      </c>
      <c r="S30" s="127" t="str">
        <f t="shared" si="14"/>
        <v/>
      </c>
      <c r="T30" s="127" t="str">
        <f t="shared" si="14"/>
        <v/>
      </c>
      <c r="U30" s="127" t="str">
        <f t="shared" si="14"/>
        <v/>
      </c>
      <c r="V30" s="127" t="str">
        <f t="shared" si="14"/>
        <v/>
      </c>
      <c r="W30" s="127" t="str">
        <f t="shared" si="14"/>
        <v/>
      </c>
      <c r="X30" s="127" t="str">
        <f t="shared" si="14"/>
        <v/>
      </c>
      <c r="Y30" s="127" t="str">
        <f t="shared" si="14"/>
        <v>▲</v>
      </c>
      <c r="Z30" s="127" t="str">
        <f t="shared" si="14"/>
        <v/>
      </c>
      <c r="AA30" s="127" t="str">
        <f t="shared" si="14"/>
        <v/>
      </c>
      <c r="AB30" s="127" t="str">
        <f t="shared" si="14"/>
        <v/>
      </c>
      <c r="AC30" s="127" t="str">
        <f t="shared" si="14"/>
        <v/>
      </c>
      <c r="AD30" s="127" t="str">
        <f t="shared" si="14"/>
        <v/>
      </c>
      <c r="AE30" s="127" t="str">
        <f t="shared" si="14"/>
        <v/>
      </c>
      <c r="AF30" s="127" t="str">
        <f t="shared" si="14"/>
        <v/>
      </c>
      <c r="AG30" s="127" t="str">
        <f t="shared" si="15"/>
        <v/>
      </c>
      <c r="AH30" s="127" t="str">
        <f t="shared" si="15"/>
        <v/>
      </c>
      <c r="AI30" s="127" t="str">
        <f t="shared" si="15"/>
        <v/>
      </c>
      <c r="AJ30" s="127" t="str">
        <f t="shared" si="15"/>
        <v/>
      </c>
      <c r="AK30" s="127" t="str">
        <f t="shared" si="15"/>
        <v/>
      </c>
      <c r="AL30" s="127" t="str">
        <f t="shared" si="15"/>
        <v/>
      </c>
      <c r="AM30" s="127" t="str">
        <f t="shared" si="15"/>
        <v/>
      </c>
      <c r="AN30" s="127" t="str">
        <f t="shared" si="15"/>
        <v/>
      </c>
      <c r="AO30" s="127" t="str">
        <f t="shared" si="15"/>
        <v/>
      </c>
      <c r="AP30" s="127" t="str">
        <f t="shared" si="15"/>
        <v/>
      </c>
      <c r="AQ30" s="127" t="str">
        <f t="shared" si="15"/>
        <v/>
      </c>
      <c r="AR30" s="127" t="str">
        <f t="shared" si="15"/>
        <v/>
      </c>
      <c r="AS30" s="127" t="str">
        <f t="shared" si="15"/>
        <v/>
      </c>
      <c r="AT30" s="127" t="str">
        <f t="shared" si="15"/>
        <v/>
      </c>
      <c r="AU30" s="127" t="str">
        <f t="shared" si="15"/>
        <v/>
      </c>
      <c r="AV30" s="127" t="str">
        <f t="shared" si="15"/>
        <v/>
      </c>
      <c r="AW30" s="127" t="str">
        <f t="shared" si="16"/>
        <v/>
      </c>
      <c r="AX30" s="127" t="str">
        <f t="shared" si="16"/>
        <v/>
      </c>
      <c r="AY30" s="127" t="str">
        <f t="shared" si="16"/>
        <v/>
      </c>
      <c r="AZ30" s="127" t="str">
        <f t="shared" si="16"/>
        <v/>
      </c>
      <c r="BA30" s="127" t="str">
        <f t="shared" si="16"/>
        <v/>
      </c>
      <c r="BB30" s="127" t="str">
        <f t="shared" si="16"/>
        <v/>
      </c>
      <c r="BC30" s="127" t="str">
        <f t="shared" si="16"/>
        <v/>
      </c>
      <c r="BD30" s="127" t="str">
        <f t="shared" si="16"/>
        <v/>
      </c>
      <c r="BE30" s="127" t="str">
        <f t="shared" si="16"/>
        <v/>
      </c>
      <c r="BF30" s="127" t="str">
        <f t="shared" si="16"/>
        <v/>
      </c>
      <c r="BG30" s="127" t="str">
        <f t="shared" si="16"/>
        <v/>
      </c>
      <c r="BH30" s="127" t="str">
        <f t="shared" si="16"/>
        <v/>
      </c>
      <c r="BI30" s="127" t="str">
        <f t="shared" si="16"/>
        <v/>
      </c>
      <c r="BJ30" s="127" t="str">
        <f t="shared" si="16"/>
        <v/>
      </c>
      <c r="BK30" s="127" t="str">
        <f t="shared" si="16"/>
        <v/>
      </c>
      <c r="BL30" s="127" t="str">
        <f t="shared" si="16"/>
        <v/>
      </c>
      <c r="BM30" s="127" t="str">
        <f t="shared" si="17"/>
        <v/>
      </c>
      <c r="BN30" s="127" t="str">
        <f t="shared" si="17"/>
        <v/>
      </c>
      <c r="BO30" s="127" t="str">
        <f t="shared" si="17"/>
        <v/>
      </c>
      <c r="BP30" s="127" t="str">
        <f t="shared" si="17"/>
        <v/>
      </c>
      <c r="BQ30" s="127" t="str">
        <f t="shared" si="17"/>
        <v/>
      </c>
      <c r="BR30" s="127" t="str">
        <f t="shared" si="17"/>
        <v/>
      </c>
      <c r="BS30" s="127" t="str">
        <f t="shared" si="17"/>
        <v/>
      </c>
      <c r="BT30" s="127" t="str">
        <f t="shared" si="17"/>
        <v/>
      </c>
      <c r="BU30" s="127" t="str">
        <f t="shared" si="17"/>
        <v/>
      </c>
      <c r="BV30" s="127" t="str">
        <f t="shared" si="17"/>
        <v/>
      </c>
      <c r="BW30" s="127" t="str">
        <f t="shared" si="17"/>
        <v/>
      </c>
      <c r="BX30" s="127" t="str">
        <f t="shared" si="17"/>
        <v/>
      </c>
      <c r="BY30" s="127" t="str">
        <f t="shared" si="17"/>
        <v/>
      </c>
      <c r="BZ30" s="127" t="str">
        <f t="shared" si="17"/>
        <v/>
      </c>
      <c r="CA30" s="127" t="str">
        <f t="shared" si="17"/>
        <v/>
      </c>
      <c r="CB30" s="127" t="str">
        <f t="shared" si="17"/>
        <v/>
      </c>
      <c r="CC30" s="127" t="str">
        <f t="shared" si="18"/>
        <v/>
      </c>
      <c r="CD30" s="127" t="str">
        <f t="shared" si="18"/>
        <v/>
      </c>
    </row>
    <row r="31" spans="1:82" ht="12.6" hidden="1" customHeight="1" x14ac:dyDescent="0.2">
      <c r="A31" s="106">
        <f>SHIPMENTS!A37</f>
        <v>9064</v>
      </c>
      <c r="B31" s="106" t="str">
        <f>SHIPMENTS!B37</f>
        <v>15900- Quezon City | Hans Jason Tan</v>
      </c>
      <c r="C31" s="132">
        <f>SHIPMENTS!F37</f>
        <v>6.4999999999999997E-3</v>
      </c>
      <c r="D31" s="107" t="str">
        <f>IF((SHIPMENTS!I37)=0,"",SHIPMENTS!I37)</f>
        <v/>
      </c>
      <c r="E31" s="176">
        <f>IF((SHIPMENTS!G37)=0,"",SHIPMENTS!G37)</f>
        <v>46323</v>
      </c>
      <c r="F31" s="98">
        <f>VLOOKUP(A31,load!$A$4:$Y$5001,24,0)</f>
        <v>0</v>
      </c>
      <c r="G31" s="109">
        <f>Manhours!$C$8</f>
        <v>16</v>
      </c>
      <c r="H31" s="98">
        <f t="shared" si="7"/>
        <v>145.6</v>
      </c>
      <c r="I31" s="99">
        <f t="shared" si="8"/>
        <v>0</v>
      </c>
      <c r="J31" s="99">
        <f t="shared" si="9"/>
        <v>0</v>
      </c>
      <c r="K31" s="98">
        <f t="shared" si="3"/>
        <v>0</v>
      </c>
      <c r="L31" s="98">
        <f t="shared" si="10"/>
        <v>0</v>
      </c>
      <c r="M31" s="181">
        <f>IF(F31&gt;0,(MS!M31+2),N30)</f>
        <v>46316.414121560847</v>
      </c>
      <c r="N31" s="181">
        <f t="shared" si="11"/>
        <v>46316.414121560847</v>
      </c>
      <c r="O31" s="112" t="str">
        <f>VLOOKUP(A31,SHIPMENTS!$A$7:$AP$76,11,0)</f>
        <v>n/a</v>
      </c>
      <c r="P31" s="101"/>
      <c r="Q31" s="127" t="str">
        <f t="shared" si="14"/>
        <v/>
      </c>
      <c r="R31" s="127" t="str">
        <f t="shared" si="14"/>
        <v/>
      </c>
      <c r="S31" s="127" t="str">
        <f t="shared" si="14"/>
        <v/>
      </c>
      <c r="T31" s="127" t="str">
        <f t="shared" si="14"/>
        <v/>
      </c>
      <c r="U31" s="127" t="str">
        <f t="shared" si="14"/>
        <v/>
      </c>
      <c r="V31" s="127" t="str">
        <f t="shared" si="14"/>
        <v/>
      </c>
      <c r="W31" s="127" t="str">
        <f t="shared" si="14"/>
        <v/>
      </c>
      <c r="X31" s="127" t="str">
        <f t="shared" si="14"/>
        <v/>
      </c>
      <c r="Y31" s="127" t="str">
        <f t="shared" si="14"/>
        <v>▲</v>
      </c>
      <c r="Z31" s="127" t="str">
        <f t="shared" si="14"/>
        <v/>
      </c>
      <c r="AA31" s="127" t="str">
        <f t="shared" si="14"/>
        <v/>
      </c>
      <c r="AB31" s="127" t="str">
        <f t="shared" si="14"/>
        <v/>
      </c>
      <c r="AC31" s="127" t="str">
        <f t="shared" si="14"/>
        <v/>
      </c>
      <c r="AD31" s="127" t="str">
        <f t="shared" si="14"/>
        <v/>
      </c>
      <c r="AE31" s="127" t="str">
        <f t="shared" si="14"/>
        <v/>
      </c>
      <c r="AF31" s="127" t="str">
        <f t="shared" ref="AF31:AU46" si="19">IF($E31=AF$3,"▲","")</f>
        <v/>
      </c>
      <c r="AG31" s="127" t="str">
        <f t="shared" si="19"/>
        <v/>
      </c>
      <c r="AH31" s="127" t="str">
        <f t="shared" si="19"/>
        <v/>
      </c>
      <c r="AI31" s="127" t="str">
        <f t="shared" si="19"/>
        <v/>
      </c>
      <c r="AJ31" s="127" t="str">
        <f t="shared" si="19"/>
        <v/>
      </c>
      <c r="AK31" s="127" t="str">
        <f t="shared" si="19"/>
        <v/>
      </c>
      <c r="AL31" s="127" t="str">
        <f t="shared" si="19"/>
        <v/>
      </c>
      <c r="AM31" s="127" t="str">
        <f t="shared" si="19"/>
        <v/>
      </c>
      <c r="AN31" s="127" t="str">
        <f t="shared" si="19"/>
        <v/>
      </c>
      <c r="AO31" s="127" t="str">
        <f t="shared" si="19"/>
        <v/>
      </c>
      <c r="AP31" s="127" t="str">
        <f t="shared" si="19"/>
        <v/>
      </c>
      <c r="AQ31" s="127" t="str">
        <f t="shared" si="19"/>
        <v/>
      </c>
      <c r="AR31" s="127" t="str">
        <f t="shared" si="19"/>
        <v/>
      </c>
      <c r="AS31" s="127" t="str">
        <f t="shared" si="19"/>
        <v/>
      </c>
      <c r="AT31" s="127" t="str">
        <f t="shared" si="19"/>
        <v/>
      </c>
      <c r="AU31" s="127" t="str">
        <f t="shared" si="19"/>
        <v/>
      </c>
      <c r="AV31" s="127" t="str">
        <f t="shared" si="15"/>
        <v/>
      </c>
      <c r="AW31" s="127" t="str">
        <f t="shared" si="16"/>
        <v/>
      </c>
      <c r="AX31" s="127" t="str">
        <f t="shared" si="16"/>
        <v/>
      </c>
      <c r="AY31" s="127" t="str">
        <f t="shared" si="16"/>
        <v/>
      </c>
      <c r="AZ31" s="127" t="str">
        <f t="shared" si="16"/>
        <v/>
      </c>
      <c r="BA31" s="127" t="str">
        <f t="shared" si="16"/>
        <v/>
      </c>
      <c r="BB31" s="127" t="str">
        <f t="shared" si="16"/>
        <v/>
      </c>
      <c r="BC31" s="127" t="str">
        <f t="shared" si="16"/>
        <v/>
      </c>
      <c r="BD31" s="127" t="str">
        <f t="shared" si="16"/>
        <v/>
      </c>
      <c r="BE31" s="127" t="str">
        <f t="shared" si="16"/>
        <v/>
      </c>
      <c r="BF31" s="127" t="str">
        <f t="shared" si="16"/>
        <v/>
      </c>
      <c r="BG31" s="127" t="str">
        <f t="shared" si="16"/>
        <v/>
      </c>
      <c r="BH31" s="127" t="str">
        <f t="shared" si="16"/>
        <v/>
      </c>
      <c r="BI31" s="127" t="str">
        <f t="shared" si="16"/>
        <v/>
      </c>
      <c r="BJ31" s="127" t="str">
        <f t="shared" si="16"/>
        <v/>
      </c>
      <c r="BK31" s="127" t="str">
        <f t="shared" si="16"/>
        <v/>
      </c>
      <c r="BL31" s="127" t="str">
        <f t="shared" ref="BL31:CA46" si="20">IF($E31=BL$3,"▲","")</f>
        <v/>
      </c>
      <c r="BM31" s="127" t="str">
        <f t="shared" si="20"/>
        <v/>
      </c>
      <c r="BN31" s="127" t="str">
        <f t="shared" si="20"/>
        <v/>
      </c>
      <c r="BO31" s="127" t="str">
        <f t="shared" si="20"/>
        <v/>
      </c>
      <c r="BP31" s="127" t="str">
        <f t="shared" si="20"/>
        <v/>
      </c>
      <c r="BQ31" s="127" t="str">
        <f t="shared" si="20"/>
        <v/>
      </c>
      <c r="BR31" s="127" t="str">
        <f t="shared" si="20"/>
        <v/>
      </c>
      <c r="BS31" s="127" t="str">
        <f t="shared" si="20"/>
        <v/>
      </c>
      <c r="BT31" s="127" t="str">
        <f t="shared" si="20"/>
        <v/>
      </c>
      <c r="BU31" s="127" t="str">
        <f t="shared" si="20"/>
        <v/>
      </c>
      <c r="BV31" s="127" t="str">
        <f t="shared" si="20"/>
        <v/>
      </c>
      <c r="BW31" s="127" t="str">
        <f t="shared" si="20"/>
        <v/>
      </c>
      <c r="BX31" s="127" t="str">
        <f t="shared" si="20"/>
        <v/>
      </c>
      <c r="BY31" s="127" t="str">
        <f t="shared" si="20"/>
        <v/>
      </c>
      <c r="BZ31" s="127" t="str">
        <f t="shared" si="20"/>
        <v/>
      </c>
      <c r="CA31" s="127" t="str">
        <f t="shared" si="20"/>
        <v/>
      </c>
      <c r="CB31" s="127" t="str">
        <f t="shared" si="17"/>
        <v/>
      </c>
      <c r="CC31" s="127" t="str">
        <f t="shared" si="18"/>
        <v/>
      </c>
      <c r="CD31" s="127" t="str">
        <f t="shared" si="18"/>
        <v/>
      </c>
    </row>
    <row r="32" spans="1:82" ht="12.6" hidden="1" customHeight="1" x14ac:dyDescent="0.2">
      <c r="A32" s="106">
        <f>SHIPMENTS!A38</f>
        <v>9065</v>
      </c>
      <c r="B32" s="106" t="str">
        <f>SHIPMENTS!B38</f>
        <v>15900- Cavite | Kristine Austria</v>
      </c>
      <c r="C32" s="132">
        <f>SHIPMENTS!F38</f>
        <v>0</v>
      </c>
      <c r="D32" s="107" t="str">
        <f>IF((SHIPMENTS!I38)=0,"",SHIPMENTS!I38)</f>
        <v/>
      </c>
      <c r="E32" s="176">
        <f>IF((SHIPMENTS!G38)=0,"",SHIPMENTS!G38)</f>
        <v>46323</v>
      </c>
      <c r="F32" s="98">
        <f>VLOOKUP(A32,load!$A$4:$Y$5001,24,0)</f>
        <v>0</v>
      </c>
      <c r="G32" s="109">
        <f>Manhours!$C$8</f>
        <v>16</v>
      </c>
      <c r="H32" s="98">
        <f t="shared" si="7"/>
        <v>145.6</v>
      </c>
      <c r="I32" s="99">
        <f t="shared" si="8"/>
        <v>0</v>
      </c>
      <c r="J32" s="99">
        <f t="shared" si="9"/>
        <v>0</v>
      </c>
      <c r="K32" s="98">
        <f t="shared" si="3"/>
        <v>0</v>
      </c>
      <c r="L32" s="98">
        <f t="shared" si="10"/>
        <v>0</v>
      </c>
      <c r="M32" s="181">
        <f>IF(F32&gt;0,(MS!M32+2),N31)</f>
        <v>46316.414121560847</v>
      </c>
      <c r="N32" s="181">
        <f t="shared" si="11"/>
        <v>46316.414121560847</v>
      </c>
      <c r="O32" s="112" t="str">
        <f>VLOOKUP(A32,SHIPMENTS!$A$7:$AP$76,11,0)</f>
        <v>n/a</v>
      </c>
      <c r="P32" s="101"/>
      <c r="Q32" s="127" t="str">
        <f t="shared" ref="Q32:AF47" si="21">IF($E32=Q$3,"▲","")</f>
        <v/>
      </c>
      <c r="R32" s="127" t="str">
        <f t="shared" si="21"/>
        <v/>
      </c>
      <c r="S32" s="127" t="str">
        <f t="shared" si="21"/>
        <v/>
      </c>
      <c r="T32" s="127" t="str">
        <f t="shared" si="21"/>
        <v/>
      </c>
      <c r="U32" s="127" t="str">
        <f t="shared" si="21"/>
        <v/>
      </c>
      <c r="V32" s="127" t="str">
        <f t="shared" si="21"/>
        <v/>
      </c>
      <c r="W32" s="127" t="str">
        <f t="shared" si="21"/>
        <v/>
      </c>
      <c r="X32" s="127" t="str">
        <f t="shared" si="21"/>
        <v/>
      </c>
      <c r="Y32" s="127" t="str">
        <f t="shared" si="21"/>
        <v>▲</v>
      </c>
      <c r="Z32" s="127" t="str">
        <f t="shared" si="21"/>
        <v/>
      </c>
      <c r="AA32" s="127" t="str">
        <f t="shared" si="21"/>
        <v/>
      </c>
      <c r="AB32" s="127" t="str">
        <f t="shared" si="21"/>
        <v/>
      </c>
      <c r="AC32" s="127" t="str">
        <f t="shared" si="21"/>
        <v/>
      </c>
      <c r="AD32" s="127" t="str">
        <f t="shared" si="21"/>
        <v/>
      </c>
      <c r="AE32" s="127" t="str">
        <f t="shared" si="21"/>
        <v/>
      </c>
      <c r="AF32" s="127" t="str">
        <f t="shared" si="21"/>
        <v/>
      </c>
      <c r="AG32" s="127" t="str">
        <f t="shared" si="19"/>
        <v/>
      </c>
      <c r="AH32" s="127" t="str">
        <f t="shared" si="19"/>
        <v/>
      </c>
      <c r="AI32" s="127" t="str">
        <f t="shared" si="19"/>
        <v/>
      </c>
      <c r="AJ32" s="127" t="str">
        <f t="shared" si="19"/>
        <v/>
      </c>
      <c r="AK32" s="127" t="str">
        <f t="shared" si="19"/>
        <v/>
      </c>
      <c r="AL32" s="127" t="str">
        <f t="shared" si="19"/>
        <v/>
      </c>
      <c r="AM32" s="127" t="str">
        <f t="shared" si="19"/>
        <v/>
      </c>
      <c r="AN32" s="127" t="str">
        <f t="shared" si="19"/>
        <v/>
      </c>
      <c r="AO32" s="127" t="str">
        <f t="shared" si="19"/>
        <v/>
      </c>
      <c r="AP32" s="127" t="str">
        <f t="shared" si="19"/>
        <v/>
      </c>
      <c r="AQ32" s="127" t="str">
        <f t="shared" si="19"/>
        <v/>
      </c>
      <c r="AR32" s="127" t="str">
        <f t="shared" si="19"/>
        <v/>
      </c>
      <c r="AS32" s="127" t="str">
        <f t="shared" si="19"/>
        <v/>
      </c>
      <c r="AT32" s="127" t="str">
        <f t="shared" si="19"/>
        <v/>
      </c>
      <c r="AU32" s="127" t="str">
        <f t="shared" si="19"/>
        <v/>
      </c>
      <c r="AV32" s="127" t="str">
        <f t="shared" si="15"/>
        <v/>
      </c>
      <c r="AW32" s="127" t="str">
        <f t="shared" ref="AW32:BL47" si="22">IF($E32=AW$3,"▲","")</f>
        <v/>
      </c>
      <c r="AX32" s="127" t="str">
        <f t="shared" si="22"/>
        <v/>
      </c>
      <c r="AY32" s="127" t="str">
        <f t="shared" si="22"/>
        <v/>
      </c>
      <c r="AZ32" s="127" t="str">
        <f t="shared" si="22"/>
        <v/>
      </c>
      <c r="BA32" s="127" t="str">
        <f t="shared" si="22"/>
        <v/>
      </c>
      <c r="BB32" s="127" t="str">
        <f t="shared" si="22"/>
        <v/>
      </c>
      <c r="BC32" s="127" t="str">
        <f t="shared" si="22"/>
        <v/>
      </c>
      <c r="BD32" s="127" t="str">
        <f t="shared" si="22"/>
        <v/>
      </c>
      <c r="BE32" s="127" t="str">
        <f t="shared" si="22"/>
        <v/>
      </c>
      <c r="BF32" s="127" t="str">
        <f t="shared" si="22"/>
        <v/>
      </c>
      <c r="BG32" s="127" t="str">
        <f t="shared" si="22"/>
        <v/>
      </c>
      <c r="BH32" s="127" t="str">
        <f t="shared" si="22"/>
        <v/>
      </c>
      <c r="BI32" s="127" t="str">
        <f t="shared" si="22"/>
        <v/>
      </c>
      <c r="BJ32" s="127" t="str">
        <f t="shared" si="22"/>
        <v/>
      </c>
      <c r="BK32" s="127" t="str">
        <f t="shared" si="22"/>
        <v/>
      </c>
      <c r="BL32" s="127" t="str">
        <f t="shared" si="22"/>
        <v/>
      </c>
      <c r="BM32" s="127" t="str">
        <f t="shared" si="20"/>
        <v/>
      </c>
      <c r="BN32" s="127" t="str">
        <f t="shared" si="20"/>
        <v/>
      </c>
      <c r="BO32" s="127" t="str">
        <f t="shared" si="20"/>
        <v/>
      </c>
      <c r="BP32" s="127" t="str">
        <f t="shared" si="20"/>
        <v/>
      </c>
      <c r="BQ32" s="127" t="str">
        <f t="shared" si="20"/>
        <v/>
      </c>
      <c r="BR32" s="127" t="str">
        <f t="shared" si="20"/>
        <v/>
      </c>
      <c r="BS32" s="127" t="str">
        <f t="shared" si="20"/>
        <v/>
      </c>
      <c r="BT32" s="127" t="str">
        <f t="shared" si="20"/>
        <v/>
      </c>
      <c r="BU32" s="127" t="str">
        <f t="shared" si="20"/>
        <v/>
      </c>
      <c r="BV32" s="127" t="str">
        <f t="shared" si="20"/>
        <v/>
      </c>
      <c r="BW32" s="127" t="str">
        <f t="shared" si="20"/>
        <v/>
      </c>
      <c r="BX32" s="127" t="str">
        <f t="shared" si="20"/>
        <v/>
      </c>
      <c r="BY32" s="127" t="str">
        <f t="shared" si="20"/>
        <v/>
      </c>
      <c r="BZ32" s="127" t="str">
        <f t="shared" si="20"/>
        <v/>
      </c>
      <c r="CA32" s="127" t="str">
        <f t="shared" si="20"/>
        <v/>
      </c>
      <c r="CB32" s="127" t="str">
        <f t="shared" si="17"/>
        <v/>
      </c>
      <c r="CC32" s="127" t="str">
        <f t="shared" si="18"/>
        <v/>
      </c>
      <c r="CD32" s="127" t="str">
        <f t="shared" si="18"/>
        <v/>
      </c>
    </row>
    <row r="33" spans="1:82" ht="12.6" customHeight="1" x14ac:dyDescent="0.2">
      <c r="A33" s="106">
        <f>SHIPMENTS!A39</f>
        <v>9303</v>
      </c>
      <c r="B33" s="106" t="str">
        <f>SHIPMENTS!B39</f>
        <v>15900- Manila Office Stocking</v>
      </c>
      <c r="C33" s="132">
        <f>SHIPMENTS!F39</f>
        <v>0.63700000000000001</v>
      </c>
      <c r="D33" s="107" t="str">
        <f>IF((SHIPMENTS!I39)=0,"",SHIPMENTS!I39)</f>
        <v/>
      </c>
      <c r="E33" s="176">
        <f>IF((SHIPMENTS!G39)=0,"",SHIPMENTS!G39)</f>
        <v>46323</v>
      </c>
      <c r="F33" s="98">
        <f>VLOOKUP(A33,load!$A$4:$Y$5001,24,0)</f>
        <v>0</v>
      </c>
      <c r="G33" s="109">
        <f>Manhours!$C$8</f>
        <v>16</v>
      </c>
      <c r="H33" s="98">
        <f t="shared" ref="H33:H45" si="23">+G33*$H$4</f>
        <v>145.6</v>
      </c>
      <c r="I33" s="99">
        <f t="shared" ref="I33:I45" si="24">F33/H33</f>
        <v>0</v>
      </c>
      <c r="J33" s="99">
        <f t="shared" ref="J33:J45" si="25">+I33*$H$4</f>
        <v>0</v>
      </c>
      <c r="K33" s="98">
        <f t="shared" ref="K33:K45" si="26">IFERROR(I33-(I33*O33),0)</f>
        <v>0</v>
      </c>
      <c r="L33" s="98">
        <f t="shared" ref="L33:L45" si="27">IFERROR(J33-(J33*O33),0)</f>
        <v>0</v>
      </c>
      <c r="M33" s="181">
        <f>IF(F33&gt;0,(MS!M33+2),N32)</f>
        <v>46316.414121560847</v>
      </c>
      <c r="N33" s="181">
        <f t="shared" ref="N33:N45" si="28">M33+K33</f>
        <v>46316.414121560847</v>
      </c>
      <c r="O33" s="112">
        <f>VLOOKUP(A33,SHIPMENTS!$A$7:$AP$76,11,0)</f>
        <v>0</v>
      </c>
      <c r="P33" s="101"/>
      <c r="Q33" s="127" t="str">
        <f t="shared" si="21"/>
        <v/>
      </c>
      <c r="R33" s="127" t="str">
        <f t="shared" si="21"/>
        <v/>
      </c>
      <c r="S33" s="127" t="str">
        <f t="shared" si="21"/>
        <v/>
      </c>
      <c r="T33" s="127" t="str">
        <f t="shared" si="21"/>
        <v/>
      </c>
      <c r="U33" s="127" t="str">
        <f t="shared" si="21"/>
        <v/>
      </c>
      <c r="V33" s="127" t="str">
        <f t="shared" si="21"/>
        <v/>
      </c>
      <c r="W33" s="127" t="str">
        <f t="shared" si="21"/>
        <v/>
      </c>
      <c r="X33" s="127" t="str">
        <f t="shared" si="21"/>
        <v/>
      </c>
      <c r="Y33" s="127" t="str">
        <f t="shared" si="21"/>
        <v>▲</v>
      </c>
      <c r="Z33" s="127" t="str">
        <f t="shared" si="21"/>
        <v/>
      </c>
      <c r="AA33" s="127" t="str">
        <f t="shared" si="21"/>
        <v/>
      </c>
      <c r="AB33" s="127" t="str">
        <f t="shared" si="21"/>
        <v/>
      </c>
      <c r="AC33" s="127" t="str">
        <f t="shared" si="21"/>
        <v/>
      </c>
      <c r="AD33" s="127" t="str">
        <f t="shared" si="21"/>
        <v/>
      </c>
      <c r="AE33" s="127" t="str">
        <f t="shared" si="21"/>
        <v/>
      </c>
      <c r="AF33" s="127" t="str">
        <f t="shared" si="21"/>
        <v/>
      </c>
      <c r="AG33" s="127" t="str">
        <f t="shared" si="19"/>
        <v/>
      </c>
      <c r="AH33" s="127" t="str">
        <f t="shared" si="19"/>
        <v/>
      </c>
      <c r="AI33" s="127" t="str">
        <f t="shared" si="19"/>
        <v/>
      </c>
      <c r="AJ33" s="127" t="str">
        <f t="shared" si="19"/>
        <v/>
      </c>
      <c r="AK33" s="127" t="str">
        <f t="shared" si="19"/>
        <v/>
      </c>
      <c r="AL33" s="127" t="str">
        <f t="shared" si="19"/>
        <v/>
      </c>
      <c r="AM33" s="127" t="str">
        <f t="shared" si="19"/>
        <v/>
      </c>
      <c r="AN33" s="127" t="str">
        <f t="shared" si="19"/>
        <v/>
      </c>
      <c r="AO33" s="127" t="str">
        <f t="shared" si="19"/>
        <v/>
      </c>
      <c r="AP33" s="127" t="str">
        <f t="shared" si="19"/>
        <v/>
      </c>
      <c r="AQ33" s="127" t="str">
        <f t="shared" si="19"/>
        <v/>
      </c>
      <c r="AR33" s="127" t="str">
        <f t="shared" si="19"/>
        <v/>
      </c>
      <c r="AS33" s="127" t="str">
        <f t="shared" si="19"/>
        <v/>
      </c>
      <c r="AT33" s="127" t="str">
        <f t="shared" si="19"/>
        <v/>
      </c>
      <c r="AU33" s="127" t="str">
        <f t="shared" si="19"/>
        <v/>
      </c>
      <c r="AV33" s="127" t="str">
        <f t="shared" si="15"/>
        <v/>
      </c>
      <c r="AW33" s="127" t="str">
        <f t="shared" si="22"/>
        <v/>
      </c>
      <c r="AX33" s="127" t="str">
        <f t="shared" si="22"/>
        <v/>
      </c>
      <c r="AY33" s="127" t="str">
        <f t="shared" si="22"/>
        <v/>
      </c>
      <c r="AZ33" s="127" t="str">
        <f t="shared" si="22"/>
        <v/>
      </c>
      <c r="BA33" s="127" t="str">
        <f t="shared" si="22"/>
        <v/>
      </c>
      <c r="BB33" s="127" t="str">
        <f t="shared" si="22"/>
        <v/>
      </c>
      <c r="BC33" s="127" t="str">
        <f t="shared" si="22"/>
        <v/>
      </c>
      <c r="BD33" s="127" t="str">
        <f t="shared" si="22"/>
        <v/>
      </c>
      <c r="BE33" s="127" t="str">
        <f t="shared" si="22"/>
        <v/>
      </c>
      <c r="BF33" s="127" t="str">
        <f t="shared" si="22"/>
        <v/>
      </c>
      <c r="BG33" s="127" t="str">
        <f t="shared" si="22"/>
        <v/>
      </c>
      <c r="BH33" s="127" t="str">
        <f t="shared" si="22"/>
        <v/>
      </c>
      <c r="BI33" s="127" t="str">
        <f t="shared" si="22"/>
        <v/>
      </c>
      <c r="BJ33" s="127" t="str">
        <f t="shared" si="22"/>
        <v/>
      </c>
      <c r="BK33" s="127" t="str">
        <f t="shared" si="22"/>
        <v/>
      </c>
      <c r="BL33" s="127" t="str">
        <f t="shared" si="22"/>
        <v/>
      </c>
      <c r="BM33" s="127" t="str">
        <f t="shared" si="20"/>
        <v/>
      </c>
      <c r="BN33" s="127" t="str">
        <f t="shared" si="20"/>
        <v/>
      </c>
      <c r="BO33" s="127" t="str">
        <f t="shared" si="20"/>
        <v/>
      </c>
      <c r="BP33" s="127" t="str">
        <f t="shared" si="20"/>
        <v/>
      </c>
      <c r="BQ33" s="127" t="str">
        <f t="shared" si="20"/>
        <v/>
      </c>
      <c r="BR33" s="127" t="str">
        <f t="shared" si="20"/>
        <v/>
      </c>
      <c r="BS33" s="127" t="str">
        <f t="shared" si="20"/>
        <v/>
      </c>
      <c r="BT33" s="127" t="str">
        <f t="shared" si="20"/>
        <v/>
      </c>
      <c r="BU33" s="127" t="str">
        <f t="shared" si="20"/>
        <v/>
      </c>
      <c r="BV33" s="127" t="str">
        <f t="shared" si="20"/>
        <v/>
      </c>
      <c r="BW33" s="127" t="str">
        <f t="shared" si="20"/>
        <v/>
      </c>
      <c r="BX33" s="127" t="str">
        <f t="shared" si="20"/>
        <v/>
      </c>
      <c r="BY33" s="127" t="str">
        <f t="shared" si="20"/>
        <v/>
      </c>
      <c r="BZ33" s="127" t="str">
        <f t="shared" si="20"/>
        <v/>
      </c>
      <c r="CA33" s="127" t="str">
        <f t="shared" si="20"/>
        <v/>
      </c>
      <c r="CB33" s="127" t="str">
        <f t="shared" si="17"/>
        <v/>
      </c>
      <c r="CC33" s="127" t="str">
        <f t="shared" si="18"/>
        <v/>
      </c>
      <c r="CD33" s="127" t="str">
        <f t="shared" si="18"/>
        <v/>
      </c>
    </row>
    <row r="34" spans="1:82" ht="12.6" hidden="1" customHeight="1" x14ac:dyDescent="0.2">
      <c r="A34" s="106">
        <f>SHIPMENTS!A40</f>
        <v>9204</v>
      </c>
      <c r="B34" s="106" t="str">
        <f>SHIPMENTS!B40</f>
        <v>2300-HONGKONG</v>
      </c>
      <c r="C34" s="132">
        <f>SHIPMENTS!F40</f>
        <v>3.1</v>
      </c>
      <c r="D34" s="107" t="str">
        <f>IF((SHIPMENTS!I40)=0,"",SHIPMENTS!I40)</f>
        <v/>
      </c>
      <c r="E34" s="176">
        <f>IF((SHIPMENTS!G40)=0,"",SHIPMENTS!G40)</f>
        <v>46324</v>
      </c>
      <c r="F34" s="98">
        <f>VLOOKUP(A34,load!$A$4:$Y$5001,24,0)</f>
        <v>49.600000000000009</v>
      </c>
      <c r="G34" s="109">
        <f>Manhours!$C$8</f>
        <v>16</v>
      </c>
      <c r="H34" s="98">
        <f t="shared" si="23"/>
        <v>145.6</v>
      </c>
      <c r="I34" s="99">
        <f t="shared" si="24"/>
        <v>0.34065934065934073</v>
      </c>
      <c r="J34" s="99">
        <f t="shared" si="25"/>
        <v>3.1000000000000005</v>
      </c>
      <c r="K34" s="98">
        <f t="shared" si="26"/>
        <v>0</v>
      </c>
      <c r="L34" s="98">
        <f t="shared" si="27"/>
        <v>0</v>
      </c>
      <c r="M34" s="181">
        <f>IF(F34&gt;0,(MS!M34+2),N33)</f>
        <v>46316.428031562886</v>
      </c>
      <c r="N34" s="181">
        <f t="shared" si="28"/>
        <v>46316.428031562886</v>
      </c>
      <c r="O34" s="112" t="str">
        <f>VLOOKUP(A34,SHIPMENTS!$A$7:$AP$76,11,0)</f>
        <v>n/a</v>
      </c>
      <c r="P34" s="101"/>
      <c r="Q34" s="127" t="str">
        <f t="shared" si="21"/>
        <v/>
      </c>
      <c r="R34" s="127" t="str">
        <f t="shared" si="21"/>
        <v/>
      </c>
      <c r="S34" s="127" t="str">
        <f t="shared" si="21"/>
        <v/>
      </c>
      <c r="T34" s="127" t="str">
        <f t="shared" si="21"/>
        <v/>
      </c>
      <c r="U34" s="127" t="str">
        <f t="shared" si="21"/>
        <v/>
      </c>
      <c r="V34" s="127" t="str">
        <f t="shared" si="21"/>
        <v/>
      </c>
      <c r="W34" s="127" t="str">
        <f t="shared" si="21"/>
        <v/>
      </c>
      <c r="X34" s="127" t="str">
        <f t="shared" si="21"/>
        <v/>
      </c>
      <c r="Y34" s="127" t="str">
        <f t="shared" si="21"/>
        <v/>
      </c>
      <c r="Z34" s="127" t="str">
        <f t="shared" si="21"/>
        <v>▲</v>
      </c>
      <c r="AA34" s="127" t="str">
        <f t="shared" si="21"/>
        <v/>
      </c>
      <c r="AB34" s="127" t="str">
        <f t="shared" si="21"/>
        <v/>
      </c>
      <c r="AC34" s="127" t="str">
        <f t="shared" si="21"/>
        <v/>
      </c>
      <c r="AD34" s="127" t="str">
        <f t="shared" si="21"/>
        <v/>
      </c>
      <c r="AE34" s="127" t="str">
        <f t="shared" si="21"/>
        <v/>
      </c>
      <c r="AF34" s="127" t="str">
        <f t="shared" si="21"/>
        <v/>
      </c>
      <c r="AG34" s="127" t="str">
        <f t="shared" si="19"/>
        <v/>
      </c>
      <c r="AH34" s="127" t="str">
        <f t="shared" si="19"/>
        <v/>
      </c>
      <c r="AI34" s="127" t="str">
        <f t="shared" si="19"/>
        <v/>
      </c>
      <c r="AJ34" s="127" t="str">
        <f t="shared" si="19"/>
        <v/>
      </c>
      <c r="AK34" s="127" t="str">
        <f t="shared" si="19"/>
        <v/>
      </c>
      <c r="AL34" s="127" t="str">
        <f t="shared" si="19"/>
        <v/>
      </c>
      <c r="AM34" s="127" t="str">
        <f t="shared" si="19"/>
        <v/>
      </c>
      <c r="AN34" s="127" t="str">
        <f t="shared" si="19"/>
        <v/>
      </c>
      <c r="AO34" s="127" t="str">
        <f t="shared" si="19"/>
        <v/>
      </c>
      <c r="AP34" s="127" t="str">
        <f t="shared" si="19"/>
        <v/>
      </c>
      <c r="AQ34" s="127" t="str">
        <f t="shared" si="19"/>
        <v/>
      </c>
      <c r="AR34" s="127" t="str">
        <f t="shared" si="19"/>
        <v/>
      </c>
      <c r="AS34" s="127" t="str">
        <f t="shared" si="19"/>
        <v/>
      </c>
      <c r="AT34" s="127" t="str">
        <f t="shared" si="19"/>
        <v/>
      </c>
      <c r="AU34" s="127" t="str">
        <f t="shared" si="19"/>
        <v/>
      </c>
      <c r="AV34" s="127" t="str">
        <f t="shared" ref="AV34:BK49" si="29">IF($E34=AV$3,"▲","")</f>
        <v/>
      </c>
      <c r="AW34" s="127" t="str">
        <f t="shared" si="22"/>
        <v/>
      </c>
      <c r="AX34" s="127" t="str">
        <f t="shared" si="22"/>
        <v/>
      </c>
      <c r="AY34" s="127" t="str">
        <f t="shared" si="22"/>
        <v/>
      </c>
      <c r="AZ34" s="127" t="str">
        <f t="shared" si="22"/>
        <v/>
      </c>
      <c r="BA34" s="127" t="str">
        <f t="shared" si="22"/>
        <v/>
      </c>
      <c r="BB34" s="127" t="str">
        <f t="shared" si="22"/>
        <v/>
      </c>
      <c r="BC34" s="127" t="str">
        <f t="shared" si="22"/>
        <v/>
      </c>
      <c r="BD34" s="127" t="str">
        <f t="shared" si="22"/>
        <v/>
      </c>
      <c r="BE34" s="127" t="str">
        <f t="shared" si="22"/>
        <v/>
      </c>
      <c r="BF34" s="127" t="str">
        <f t="shared" si="22"/>
        <v/>
      </c>
      <c r="BG34" s="127" t="str">
        <f t="shared" si="22"/>
        <v/>
      </c>
      <c r="BH34" s="127" t="str">
        <f t="shared" si="22"/>
        <v/>
      </c>
      <c r="BI34" s="127" t="str">
        <f t="shared" si="22"/>
        <v/>
      </c>
      <c r="BJ34" s="127" t="str">
        <f t="shared" si="22"/>
        <v/>
      </c>
      <c r="BK34" s="127" t="str">
        <f t="shared" si="22"/>
        <v/>
      </c>
      <c r="BL34" s="127" t="str">
        <f t="shared" si="22"/>
        <v/>
      </c>
      <c r="BM34" s="127" t="str">
        <f t="shared" si="20"/>
        <v/>
      </c>
      <c r="BN34" s="127" t="str">
        <f t="shared" si="20"/>
        <v/>
      </c>
      <c r="BO34" s="127" t="str">
        <f t="shared" si="20"/>
        <v/>
      </c>
      <c r="BP34" s="127" t="str">
        <f t="shared" si="20"/>
        <v/>
      </c>
      <c r="BQ34" s="127" t="str">
        <f t="shared" si="20"/>
        <v/>
      </c>
      <c r="BR34" s="127" t="str">
        <f t="shared" si="20"/>
        <v/>
      </c>
      <c r="BS34" s="127" t="str">
        <f t="shared" si="20"/>
        <v/>
      </c>
      <c r="BT34" s="127" t="str">
        <f t="shared" si="20"/>
        <v/>
      </c>
      <c r="BU34" s="127" t="str">
        <f t="shared" si="20"/>
        <v/>
      </c>
      <c r="BV34" s="127" t="str">
        <f t="shared" si="20"/>
        <v/>
      </c>
      <c r="BW34" s="127" t="str">
        <f t="shared" si="20"/>
        <v/>
      </c>
      <c r="BX34" s="127" t="str">
        <f t="shared" si="20"/>
        <v/>
      </c>
      <c r="BY34" s="127" t="str">
        <f t="shared" si="20"/>
        <v/>
      </c>
      <c r="BZ34" s="127" t="str">
        <f t="shared" si="20"/>
        <v/>
      </c>
      <c r="CA34" s="127" t="str">
        <f t="shared" si="20"/>
        <v/>
      </c>
      <c r="CB34" s="127" t="str">
        <f t="shared" ref="CB34:CD49" si="30">IF($E34=CB$3,"▲","")</f>
        <v/>
      </c>
      <c r="CC34" s="127" t="str">
        <f t="shared" si="18"/>
        <v/>
      </c>
      <c r="CD34" s="127" t="str">
        <f t="shared" si="18"/>
        <v/>
      </c>
    </row>
    <row r="35" spans="1:82" ht="12.6" hidden="1" customHeight="1" x14ac:dyDescent="0.2">
      <c r="A35" s="106">
        <f>SHIPMENTS!A41</f>
        <v>9005</v>
      </c>
      <c r="B35" s="106" t="str">
        <f>SHIPMENTS!B41</f>
        <v>28100-AUSTRIA HARVIA</v>
      </c>
      <c r="C35" s="132">
        <f>SHIPMENTS!F41</f>
        <v>44.15</v>
      </c>
      <c r="D35" s="107" t="str">
        <f>IF((SHIPMENTS!I41)=0,"",SHIPMENTS!I41)</f>
        <v>1X20</v>
      </c>
      <c r="E35" s="176">
        <f>IF((SHIPMENTS!G41)=0,"",SHIPMENTS!G41)</f>
        <v>46325</v>
      </c>
      <c r="F35" s="98">
        <f>VLOOKUP(A35,load!$A$4:$Y$5001,24,0)</f>
        <v>0</v>
      </c>
      <c r="G35" s="109">
        <f>Manhours!$C$8</f>
        <v>16</v>
      </c>
      <c r="H35" s="98">
        <f t="shared" si="23"/>
        <v>145.6</v>
      </c>
      <c r="I35" s="99">
        <f t="shared" si="24"/>
        <v>0</v>
      </c>
      <c r="J35" s="99">
        <f t="shared" si="25"/>
        <v>0</v>
      </c>
      <c r="K35" s="98">
        <f t="shared" si="26"/>
        <v>0</v>
      </c>
      <c r="L35" s="98">
        <f t="shared" si="27"/>
        <v>0</v>
      </c>
      <c r="M35" s="181">
        <f>IF(F35&gt;0,(MS!M35+2),N34)</f>
        <v>46316.428031562886</v>
      </c>
      <c r="N35" s="181">
        <f t="shared" si="28"/>
        <v>46316.428031562886</v>
      </c>
      <c r="O35" s="112" t="str">
        <f>VLOOKUP(A35,SHIPMENTS!$A$7:$AP$76,11,0)</f>
        <v>n/a</v>
      </c>
      <c r="P35" s="101"/>
      <c r="Q35" s="127" t="str">
        <f t="shared" si="21"/>
        <v/>
      </c>
      <c r="R35" s="127" t="str">
        <f t="shared" si="21"/>
        <v/>
      </c>
      <c r="S35" s="127" t="str">
        <f t="shared" si="21"/>
        <v/>
      </c>
      <c r="T35" s="127" t="str">
        <f t="shared" si="21"/>
        <v/>
      </c>
      <c r="U35" s="127" t="str">
        <f t="shared" si="21"/>
        <v/>
      </c>
      <c r="V35" s="127" t="str">
        <f t="shared" si="21"/>
        <v/>
      </c>
      <c r="W35" s="127" t="str">
        <f t="shared" si="21"/>
        <v/>
      </c>
      <c r="X35" s="127" t="str">
        <f t="shared" si="21"/>
        <v/>
      </c>
      <c r="Y35" s="127" t="str">
        <f t="shared" si="21"/>
        <v/>
      </c>
      <c r="Z35" s="127" t="str">
        <f t="shared" si="21"/>
        <v/>
      </c>
      <c r="AA35" s="127" t="str">
        <f t="shared" si="21"/>
        <v>▲</v>
      </c>
      <c r="AB35" s="127" t="str">
        <f t="shared" si="21"/>
        <v/>
      </c>
      <c r="AC35" s="127" t="str">
        <f t="shared" si="21"/>
        <v/>
      </c>
      <c r="AD35" s="127" t="str">
        <f t="shared" si="21"/>
        <v/>
      </c>
      <c r="AE35" s="127" t="str">
        <f t="shared" si="21"/>
        <v/>
      </c>
      <c r="AF35" s="127" t="str">
        <f t="shared" si="21"/>
        <v/>
      </c>
      <c r="AG35" s="127" t="str">
        <f t="shared" si="19"/>
        <v/>
      </c>
      <c r="AH35" s="127" t="str">
        <f t="shared" si="19"/>
        <v/>
      </c>
      <c r="AI35" s="127" t="str">
        <f t="shared" si="19"/>
        <v/>
      </c>
      <c r="AJ35" s="127" t="str">
        <f t="shared" si="19"/>
        <v/>
      </c>
      <c r="AK35" s="127" t="str">
        <f t="shared" si="19"/>
        <v/>
      </c>
      <c r="AL35" s="127" t="str">
        <f t="shared" si="19"/>
        <v/>
      </c>
      <c r="AM35" s="127" t="str">
        <f t="shared" si="19"/>
        <v/>
      </c>
      <c r="AN35" s="127" t="str">
        <f t="shared" si="19"/>
        <v/>
      </c>
      <c r="AO35" s="127" t="str">
        <f t="shared" si="19"/>
        <v/>
      </c>
      <c r="AP35" s="127" t="str">
        <f t="shared" si="19"/>
        <v/>
      </c>
      <c r="AQ35" s="127" t="str">
        <f t="shared" si="19"/>
        <v/>
      </c>
      <c r="AR35" s="127" t="str">
        <f t="shared" si="19"/>
        <v/>
      </c>
      <c r="AS35" s="127" t="str">
        <f t="shared" si="19"/>
        <v/>
      </c>
      <c r="AT35" s="127" t="str">
        <f t="shared" si="19"/>
        <v/>
      </c>
      <c r="AU35" s="127" t="str">
        <f t="shared" si="19"/>
        <v/>
      </c>
      <c r="AV35" s="127" t="str">
        <f t="shared" si="29"/>
        <v/>
      </c>
      <c r="AW35" s="127" t="str">
        <f t="shared" si="22"/>
        <v/>
      </c>
      <c r="AX35" s="127" t="str">
        <f t="shared" si="22"/>
        <v/>
      </c>
      <c r="AY35" s="127" t="str">
        <f t="shared" si="22"/>
        <v/>
      </c>
      <c r="AZ35" s="127" t="str">
        <f t="shared" si="22"/>
        <v/>
      </c>
      <c r="BA35" s="127" t="str">
        <f t="shared" si="22"/>
        <v/>
      </c>
      <c r="BB35" s="127" t="str">
        <f t="shared" si="22"/>
        <v/>
      </c>
      <c r="BC35" s="127" t="str">
        <f t="shared" si="22"/>
        <v/>
      </c>
      <c r="BD35" s="127" t="str">
        <f t="shared" si="22"/>
        <v/>
      </c>
      <c r="BE35" s="127" t="str">
        <f t="shared" si="22"/>
        <v/>
      </c>
      <c r="BF35" s="127" t="str">
        <f t="shared" si="22"/>
        <v/>
      </c>
      <c r="BG35" s="127" t="str">
        <f t="shared" si="22"/>
        <v/>
      </c>
      <c r="BH35" s="127" t="str">
        <f t="shared" si="22"/>
        <v/>
      </c>
      <c r="BI35" s="127" t="str">
        <f t="shared" si="22"/>
        <v/>
      </c>
      <c r="BJ35" s="127" t="str">
        <f t="shared" si="22"/>
        <v/>
      </c>
      <c r="BK35" s="127" t="str">
        <f t="shared" si="22"/>
        <v/>
      </c>
      <c r="BL35" s="127" t="str">
        <f t="shared" si="22"/>
        <v/>
      </c>
      <c r="BM35" s="127" t="str">
        <f t="shared" si="20"/>
        <v/>
      </c>
      <c r="BN35" s="127" t="str">
        <f t="shared" si="20"/>
        <v/>
      </c>
      <c r="BO35" s="127" t="str">
        <f t="shared" si="20"/>
        <v/>
      </c>
      <c r="BP35" s="127" t="str">
        <f t="shared" si="20"/>
        <v/>
      </c>
      <c r="BQ35" s="127" t="str">
        <f t="shared" si="20"/>
        <v/>
      </c>
      <c r="BR35" s="127" t="str">
        <f t="shared" si="20"/>
        <v/>
      </c>
      <c r="BS35" s="127" t="str">
        <f t="shared" si="20"/>
        <v/>
      </c>
      <c r="BT35" s="127" t="str">
        <f t="shared" si="20"/>
        <v/>
      </c>
      <c r="BU35" s="127" t="str">
        <f t="shared" si="20"/>
        <v/>
      </c>
      <c r="BV35" s="127" t="str">
        <f t="shared" si="20"/>
        <v/>
      </c>
      <c r="BW35" s="127" t="str">
        <f t="shared" si="20"/>
        <v/>
      </c>
      <c r="BX35" s="127" t="str">
        <f t="shared" si="20"/>
        <v/>
      </c>
      <c r="BY35" s="127" t="str">
        <f t="shared" si="20"/>
        <v/>
      </c>
      <c r="BZ35" s="127" t="str">
        <f t="shared" si="20"/>
        <v/>
      </c>
      <c r="CA35" s="127" t="str">
        <f t="shared" si="20"/>
        <v/>
      </c>
      <c r="CB35" s="127" t="str">
        <f t="shared" si="30"/>
        <v/>
      </c>
      <c r="CC35" s="127" t="str">
        <f t="shared" si="18"/>
        <v/>
      </c>
      <c r="CD35" s="127" t="str">
        <f t="shared" si="18"/>
        <v/>
      </c>
    </row>
    <row r="36" spans="1:82" ht="12.6" hidden="1" customHeight="1" x14ac:dyDescent="0.2">
      <c r="A36" s="106">
        <f>SHIPMENTS!A42</f>
        <v>8952</v>
      </c>
      <c r="B36" s="106" t="str">
        <f>SHIPMENTS!B42</f>
        <v>41300-CANADA SAUNAFIN</v>
      </c>
      <c r="C36" s="132">
        <f>SHIPMENTS!F42</f>
        <v>70.45</v>
      </c>
      <c r="D36" s="107" t="str">
        <f>IF((SHIPMENTS!I42)=0,"",SHIPMENTS!I42)</f>
        <v>1x40HC</v>
      </c>
      <c r="E36" s="176">
        <f>IF((SHIPMENTS!G42)=0,"",SHIPMENTS!G42)</f>
        <v>46332</v>
      </c>
      <c r="F36" s="98">
        <f>VLOOKUP(A36,load!$A$4:$Y$5001,24,0)</f>
        <v>302.9083333333333</v>
      </c>
      <c r="G36" s="109">
        <f>Manhours!$C$8</f>
        <v>16</v>
      </c>
      <c r="H36" s="98">
        <f t="shared" si="23"/>
        <v>145.6</v>
      </c>
      <c r="I36" s="99">
        <f t="shared" si="24"/>
        <v>2.0804143772893773</v>
      </c>
      <c r="J36" s="99">
        <f t="shared" si="25"/>
        <v>18.931770833333331</v>
      </c>
      <c r="K36" s="98">
        <f t="shared" si="26"/>
        <v>0</v>
      </c>
      <c r="L36" s="98">
        <f t="shared" si="27"/>
        <v>0</v>
      </c>
      <c r="M36" s="181">
        <f>IF(F36&gt;0,(MS!M36+2),N35)</f>
        <v>46316.428031562886</v>
      </c>
      <c r="N36" s="181">
        <f t="shared" si="28"/>
        <v>46316.428031562886</v>
      </c>
      <c r="O36" s="112" t="str">
        <f>VLOOKUP(A36,SHIPMENTS!$A$7:$AP$76,11,0)</f>
        <v>n/a</v>
      </c>
      <c r="P36" s="101"/>
      <c r="Q36" s="127" t="str">
        <f t="shared" si="21"/>
        <v/>
      </c>
      <c r="R36" s="127" t="str">
        <f t="shared" si="21"/>
        <v/>
      </c>
      <c r="S36" s="127" t="str">
        <f t="shared" si="21"/>
        <v/>
      </c>
      <c r="T36" s="127" t="str">
        <f t="shared" si="21"/>
        <v/>
      </c>
      <c r="U36" s="127" t="str">
        <f t="shared" si="21"/>
        <v/>
      </c>
      <c r="V36" s="127" t="str">
        <f t="shared" si="21"/>
        <v/>
      </c>
      <c r="W36" s="127" t="str">
        <f t="shared" si="21"/>
        <v/>
      </c>
      <c r="X36" s="127" t="str">
        <f t="shared" si="21"/>
        <v/>
      </c>
      <c r="Y36" s="127" t="str">
        <f t="shared" si="21"/>
        <v/>
      </c>
      <c r="Z36" s="127" t="str">
        <f t="shared" si="21"/>
        <v/>
      </c>
      <c r="AA36" s="127" t="str">
        <f t="shared" si="21"/>
        <v/>
      </c>
      <c r="AB36" s="127" t="str">
        <f t="shared" si="21"/>
        <v/>
      </c>
      <c r="AC36" s="127" t="str">
        <f t="shared" si="21"/>
        <v/>
      </c>
      <c r="AD36" s="127" t="str">
        <f t="shared" si="21"/>
        <v/>
      </c>
      <c r="AE36" s="127" t="str">
        <f t="shared" si="21"/>
        <v/>
      </c>
      <c r="AF36" s="127" t="str">
        <f t="shared" si="21"/>
        <v/>
      </c>
      <c r="AG36" s="127" t="str">
        <f t="shared" si="19"/>
        <v>▲</v>
      </c>
      <c r="AH36" s="127" t="str">
        <f t="shared" si="19"/>
        <v/>
      </c>
      <c r="AI36" s="127" t="str">
        <f t="shared" si="19"/>
        <v/>
      </c>
      <c r="AJ36" s="127" t="str">
        <f t="shared" si="19"/>
        <v/>
      </c>
      <c r="AK36" s="127" t="str">
        <f t="shared" si="19"/>
        <v/>
      </c>
      <c r="AL36" s="127" t="str">
        <f t="shared" si="19"/>
        <v/>
      </c>
      <c r="AM36" s="127" t="str">
        <f t="shared" si="19"/>
        <v/>
      </c>
      <c r="AN36" s="127" t="str">
        <f t="shared" si="19"/>
        <v/>
      </c>
      <c r="AO36" s="127" t="str">
        <f t="shared" si="19"/>
        <v/>
      </c>
      <c r="AP36" s="127" t="str">
        <f t="shared" si="19"/>
        <v/>
      </c>
      <c r="AQ36" s="127" t="str">
        <f t="shared" si="19"/>
        <v/>
      </c>
      <c r="AR36" s="127" t="str">
        <f t="shared" si="19"/>
        <v/>
      </c>
      <c r="AS36" s="127" t="str">
        <f t="shared" si="19"/>
        <v/>
      </c>
      <c r="AT36" s="127" t="str">
        <f t="shared" si="19"/>
        <v/>
      </c>
      <c r="AU36" s="127" t="str">
        <f t="shared" si="19"/>
        <v/>
      </c>
      <c r="AV36" s="127" t="str">
        <f t="shared" si="29"/>
        <v/>
      </c>
      <c r="AW36" s="127" t="str">
        <f t="shared" si="22"/>
        <v/>
      </c>
      <c r="AX36" s="127" t="str">
        <f t="shared" si="22"/>
        <v/>
      </c>
      <c r="AY36" s="127" t="str">
        <f t="shared" si="22"/>
        <v/>
      </c>
      <c r="AZ36" s="127" t="str">
        <f t="shared" si="22"/>
        <v/>
      </c>
      <c r="BA36" s="127" t="str">
        <f t="shared" si="22"/>
        <v/>
      </c>
      <c r="BB36" s="127" t="str">
        <f t="shared" si="22"/>
        <v/>
      </c>
      <c r="BC36" s="127" t="str">
        <f t="shared" si="22"/>
        <v/>
      </c>
      <c r="BD36" s="127" t="str">
        <f t="shared" si="22"/>
        <v/>
      </c>
      <c r="BE36" s="127" t="str">
        <f t="shared" si="22"/>
        <v/>
      </c>
      <c r="BF36" s="127" t="str">
        <f t="shared" si="22"/>
        <v/>
      </c>
      <c r="BG36" s="127" t="str">
        <f t="shared" si="22"/>
        <v/>
      </c>
      <c r="BH36" s="127" t="str">
        <f t="shared" si="22"/>
        <v/>
      </c>
      <c r="BI36" s="127" t="str">
        <f t="shared" si="22"/>
        <v/>
      </c>
      <c r="BJ36" s="127" t="str">
        <f t="shared" si="22"/>
        <v/>
      </c>
      <c r="BK36" s="127" t="str">
        <f t="shared" si="22"/>
        <v/>
      </c>
      <c r="BL36" s="127" t="str">
        <f t="shared" si="22"/>
        <v/>
      </c>
      <c r="BM36" s="127" t="str">
        <f t="shared" si="20"/>
        <v/>
      </c>
      <c r="BN36" s="127" t="str">
        <f t="shared" si="20"/>
        <v/>
      </c>
      <c r="BO36" s="127" t="str">
        <f t="shared" si="20"/>
        <v/>
      </c>
      <c r="BP36" s="127" t="str">
        <f t="shared" si="20"/>
        <v/>
      </c>
      <c r="BQ36" s="127" t="str">
        <f t="shared" si="20"/>
        <v/>
      </c>
      <c r="BR36" s="127" t="str">
        <f t="shared" si="20"/>
        <v/>
      </c>
      <c r="BS36" s="127" t="str">
        <f t="shared" si="20"/>
        <v/>
      </c>
      <c r="BT36" s="127" t="str">
        <f t="shared" si="20"/>
        <v/>
      </c>
      <c r="BU36" s="127" t="str">
        <f t="shared" si="20"/>
        <v/>
      </c>
      <c r="BV36" s="127" t="str">
        <f t="shared" si="20"/>
        <v/>
      </c>
      <c r="BW36" s="127" t="str">
        <f t="shared" si="20"/>
        <v/>
      </c>
      <c r="BX36" s="127" t="str">
        <f t="shared" si="20"/>
        <v/>
      </c>
      <c r="BY36" s="127" t="str">
        <f t="shared" si="20"/>
        <v/>
      </c>
      <c r="BZ36" s="127" t="str">
        <f t="shared" si="20"/>
        <v/>
      </c>
      <c r="CA36" s="127" t="str">
        <f t="shared" si="20"/>
        <v/>
      </c>
      <c r="CB36" s="127" t="str">
        <f t="shared" si="30"/>
        <v/>
      </c>
      <c r="CC36" s="127" t="str">
        <f t="shared" si="18"/>
        <v/>
      </c>
      <c r="CD36" s="127" t="str">
        <f t="shared" si="18"/>
        <v/>
      </c>
    </row>
    <row r="37" spans="1:82" ht="12.6" customHeight="1" x14ac:dyDescent="0.2">
      <c r="A37" s="106">
        <f>SHIPMENTS!A43</f>
        <v>9158</v>
      </c>
      <c r="B37" s="106" t="str">
        <f>SHIPMENTS!B43</f>
        <v>43300-THAILAND</v>
      </c>
      <c r="C37" s="132">
        <f>SHIPMENTS!F43</f>
        <v>0.10299999999999999</v>
      </c>
      <c r="D37" s="107" t="str">
        <f>IF((SHIPMENTS!I43)=0,"",SHIPMENTS!I43)</f>
        <v>LCL</v>
      </c>
      <c r="E37" s="176">
        <f>IF((SHIPMENTS!G43)=0,"",SHIPMENTS!G43)</f>
        <v>46332</v>
      </c>
      <c r="F37" s="98">
        <f>VLOOKUP(A37,load!$A$4:$Y$5001,24,0)</f>
        <v>0.5043333333333333</v>
      </c>
      <c r="G37" s="109">
        <f>Manhours!$C$8</f>
        <v>16</v>
      </c>
      <c r="H37" s="98">
        <f t="shared" si="23"/>
        <v>145.6</v>
      </c>
      <c r="I37" s="99">
        <f t="shared" si="24"/>
        <v>3.4638278388278388E-3</v>
      </c>
      <c r="J37" s="99">
        <f t="shared" si="25"/>
        <v>3.1520833333333331E-2</v>
      </c>
      <c r="K37" s="98">
        <f t="shared" si="26"/>
        <v>0</v>
      </c>
      <c r="L37" s="98">
        <f t="shared" si="27"/>
        <v>0</v>
      </c>
      <c r="M37" s="181">
        <f>IF(F37&gt;0,(MS!M37+2),N36)</f>
        <v>46316.428031562886</v>
      </c>
      <c r="N37" s="181">
        <f t="shared" si="28"/>
        <v>46316.428031562886</v>
      </c>
      <c r="O37" s="112">
        <f>VLOOKUP(A37,SHIPMENTS!$A$7:$AP$76,11,0)</f>
        <v>1</v>
      </c>
      <c r="P37" s="101"/>
      <c r="Q37" s="127" t="str">
        <f t="shared" si="21"/>
        <v/>
      </c>
      <c r="R37" s="127" t="str">
        <f t="shared" si="21"/>
        <v/>
      </c>
      <c r="S37" s="127" t="str">
        <f t="shared" si="21"/>
        <v/>
      </c>
      <c r="T37" s="127" t="str">
        <f t="shared" si="21"/>
        <v/>
      </c>
      <c r="U37" s="127" t="str">
        <f t="shared" si="21"/>
        <v/>
      </c>
      <c r="V37" s="127" t="str">
        <f t="shared" si="21"/>
        <v/>
      </c>
      <c r="W37" s="127" t="str">
        <f t="shared" si="21"/>
        <v/>
      </c>
      <c r="X37" s="127" t="str">
        <f t="shared" si="21"/>
        <v/>
      </c>
      <c r="Y37" s="127" t="str">
        <f t="shared" si="21"/>
        <v/>
      </c>
      <c r="Z37" s="127" t="str">
        <f t="shared" si="21"/>
        <v/>
      </c>
      <c r="AA37" s="127" t="str">
        <f t="shared" si="21"/>
        <v/>
      </c>
      <c r="AB37" s="127" t="str">
        <f t="shared" si="21"/>
        <v/>
      </c>
      <c r="AC37" s="127" t="str">
        <f t="shared" si="21"/>
        <v/>
      </c>
      <c r="AD37" s="127" t="str">
        <f t="shared" si="21"/>
        <v/>
      </c>
      <c r="AE37" s="127" t="str">
        <f t="shared" si="21"/>
        <v/>
      </c>
      <c r="AF37" s="127" t="str">
        <f t="shared" si="21"/>
        <v/>
      </c>
      <c r="AG37" s="127" t="str">
        <f t="shared" si="19"/>
        <v>▲</v>
      </c>
      <c r="AH37" s="127" t="str">
        <f t="shared" si="19"/>
        <v/>
      </c>
      <c r="AI37" s="127" t="str">
        <f t="shared" si="19"/>
        <v/>
      </c>
      <c r="AJ37" s="127" t="str">
        <f t="shared" si="19"/>
        <v/>
      </c>
      <c r="AK37" s="127" t="str">
        <f t="shared" si="19"/>
        <v/>
      </c>
      <c r="AL37" s="127" t="str">
        <f t="shared" si="19"/>
        <v/>
      </c>
      <c r="AM37" s="127" t="str">
        <f t="shared" si="19"/>
        <v/>
      </c>
      <c r="AN37" s="127" t="str">
        <f t="shared" si="19"/>
        <v/>
      </c>
      <c r="AO37" s="127" t="str">
        <f t="shared" si="19"/>
        <v/>
      </c>
      <c r="AP37" s="127" t="str">
        <f t="shared" si="19"/>
        <v/>
      </c>
      <c r="AQ37" s="127" t="str">
        <f t="shared" si="19"/>
        <v/>
      </c>
      <c r="AR37" s="127" t="str">
        <f t="shared" si="19"/>
        <v/>
      </c>
      <c r="AS37" s="127" t="str">
        <f t="shared" si="19"/>
        <v/>
      </c>
      <c r="AT37" s="127" t="str">
        <f t="shared" si="19"/>
        <v/>
      </c>
      <c r="AU37" s="127" t="str">
        <f t="shared" si="19"/>
        <v/>
      </c>
      <c r="AV37" s="127" t="str">
        <f t="shared" si="29"/>
        <v/>
      </c>
      <c r="AW37" s="127" t="str">
        <f t="shared" si="22"/>
        <v/>
      </c>
      <c r="AX37" s="127" t="str">
        <f t="shared" si="22"/>
        <v/>
      </c>
      <c r="AY37" s="127" t="str">
        <f t="shared" si="22"/>
        <v/>
      </c>
      <c r="AZ37" s="127" t="str">
        <f t="shared" si="22"/>
        <v/>
      </c>
      <c r="BA37" s="127" t="str">
        <f t="shared" si="22"/>
        <v/>
      </c>
      <c r="BB37" s="127" t="str">
        <f t="shared" si="22"/>
        <v/>
      </c>
      <c r="BC37" s="127" t="str">
        <f t="shared" si="22"/>
        <v/>
      </c>
      <c r="BD37" s="127" t="str">
        <f t="shared" si="22"/>
        <v/>
      </c>
      <c r="BE37" s="127" t="str">
        <f t="shared" si="22"/>
        <v/>
      </c>
      <c r="BF37" s="127" t="str">
        <f t="shared" si="22"/>
        <v/>
      </c>
      <c r="BG37" s="127" t="str">
        <f t="shared" si="22"/>
        <v/>
      </c>
      <c r="BH37" s="127" t="str">
        <f t="shared" si="22"/>
        <v/>
      </c>
      <c r="BI37" s="127" t="str">
        <f t="shared" si="22"/>
        <v/>
      </c>
      <c r="BJ37" s="127" t="str">
        <f t="shared" si="22"/>
        <v/>
      </c>
      <c r="BK37" s="127" t="str">
        <f t="shared" si="22"/>
        <v/>
      </c>
      <c r="BL37" s="127" t="str">
        <f t="shared" si="22"/>
        <v/>
      </c>
      <c r="BM37" s="127" t="str">
        <f t="shared" si="20"/>
        <v/>
      </c>
      <c r="BN37" s="127" t="str">
        <f t="shared" si="20"/>
        <v/>
      </c>
      <c r="BO37" s="127" t="str">
        <f t="shared" si="20"/>
        <v/>
      </c>
      <c r="BP37" s="127" t="str">
        <f t="shared" si="20"/>
        <v/>
      </c>
      <c r="BQ37" s="127" t="str">
        <f t="shared" si="20"/>
        <v/>
      </c>
      <c r="BR37" s="127" t="str">
        <f t="shared" si="20"/>
        <v/>
      </c>
      <c r="BS37" s="127" t="str">
        <f t="shared" si="20"/>
        <v/>
      </c>
      <c r="BT37" s="127" t="str">
        <f t="shared" si="20"/>
        <v/>
      </c>
      <c r="BU37" s="127" t="str">
        <f t="shared" si="20"/>
        <v/>
      </c>
      <c r="BV37" s="127" t="str">
        <f t="shared" si="20"/>
        <v/>
      </c>
      <c r="BW37" s="127" t="str">
        <f t="shared" si="20"/>
        <v/>
      </c>
      <c r="BX37" s="127" t="str">
        <f t="shared" si="20"/>
        <v/>
      </c>
      <c r="BY37" s="127" t="str">
        <f t="shared" si="20"/>
        <v/>
      </c>
      <c r="BZ37" s="127" t="str">
        <f t="shared" si="20"/>
        <v/>
      </c>
      <c r="CA37" s="127" t="str">
        <f t="shared" si="20"/>
        <v/>
      </c>
      <c r="CB37" s="127" t="str">
        <f t="shared" si="30"/>
        <v/>
      </c>
      <c r="CC37" s="127" t="str">
        <f t="shared" si="18"/>
        <v/>
      </c>
      <c r="CD37" s="127" t="str">
        <f t="shared" si="18"/>
        <v/>
      </c>
    </row>
    <row r="38" spans="1:82" ht="12.6" customHeight="1" x14ac:dyDescent="0.2">
      <c r="A38" s="106">
        <f>SHIPMENTS!A44</f>
        <v>8814</v>
      </c>
      <c r="B38" s="106" t="str">
        <f>SHIPMENTS!B44</f>
        <v>27200-UAE</v>
      </c>
      <c r="C38" s="132">
        <f>SHIPMENTS!F44</f>
        <v>0.06</v>
      </c>
      <c r="D38" s="107" t="str">
        <f>IF((SHIPMENTS!I44)=0,"",SHIPMENTS!I44)</f>
        <v>LCL</v>
      </c>
      <c r="E38" s="176">
        <f>IF((SHIPMENTS!G44)=0,"",SHIPMENTS!G44)</f>
        <v>46332</v>
      </c>
      <c r="F38" s="98">
        <f>VLOOKUP(A38,load!$A$4:$Y$5001,24,0)</f>
        <v>0.254</v>
      </c>
      <c r="G38" s="109">
        <f>Manhours!$C$8</f>
        <v>16</v>
      </c>
      <c r="H38" s="98">
        <f t="shared" si="23"/>
        <v>145.6</v>
      </c>
      <c r="I38" s="99">
        <f t="shared" si="24"/>
        <v>1.7445054945054946E-3</v>
      </c>
      <c r="J38" s="99">
        <f t="shared" si="25"/>
        <v>1.5875E-2</v>
      </c>
      <c r="K38" s="98">
        <f t="shared" si="26"/>
        <v>1.7445054945054946E-3</v>
      </c>
      <c r="L38" s="98">
        <f t="shared" si="27"/>
        <v>1.5875E-2</v>
      </c>
      <c r="M38" s="181">
        <f>IF(F38&gt;0,(MS!M38+2),N37)</f>
        <v>46316.428031562886</v>
      </c>
      <c r="N38" s="181">
        <f t="shared" si="28"/>
        <v>46316.429776068377</v>
      </c>
      <c r="O38" s="112">
        <f>VLOOKUP(A38,SHIPMENTS!$A$7:$AP$76,11,0)</f>
        <v>0</v>
      </c>
      <c r="P38" s="101"/>
      <c r="Q38" s="127" t="str">
        <f t="shared" si="21"/>
        <v/>
      </c>
      <c r="R38" s="127" t="str">
        <f t="shared" si="21"/>
        <v/>
      </c>
      <c r="S38" s="127" t="str">
        <f t="shared" si="21"/>
        <v/>
      </c>
      <c r="T38" s="127" t="str">
        <f t="shared" si="21"/>
        <v/>
      </c>
      <c r="U38" s="127" t="str">
        <f t="shared" si="21"/>
        <v/>
      </c>
      <c r="V38" s="127" t="str">
        <f t="shared" si="21"/>
        <v/>
      </c>
      <c r="W38" s="127" t="str">
        <f t="shared" si="21"/>
        <v/>
      </c>
      <c r="X38" s="127" t="str">
        <f t="shared" si="21"/>
        <v/>
      </c>
      <c r="Y38" s="127" t="str">
        <f t="shared" si="21"/>
        <v/>
      </c>
      <c r="Z38" s="127" t="str">
        <f t="shared" si="21"/>
        <v/>
      </c>
      <c r="AA38" s="127" t="str">
        <f t="shared" si="21"/>
        <v/>
      </c>
      <c r="AB38" s="127" t="str">
        <f t="shared" si="21"/>
        <v/>
      </c>
      <c r="AC38" s="127" t="str">
        <f t="shared" si="21"/>
        <v/>
      </c>
      <c r="AD38" s="127" t="str">
        <f t="shared" si="21"/>
        <v/>
      </c>
      <c r="AE38" s="127" t="str">
        <f t="shared" si="21"/>
        <v/>
      </c>
      <c r="AF38" s="127" t="str">
        <f t="shared" si="21"/>
        <v/>
      </c>
      <c r="AG38" s="127" t="str">
        <f t="shared" si="19"/>
        <v>▲</v>
      </c>
      <c r="AH38" s="127" t="str">
        <f t="shared" si="19"/>
        <v/>
      </c>
      <c r="AI38" s="127" t="str">
        <f t="shared" si="19"/>
        <v/>
      </c>
      <c r="AJ38" s="127" t="str">
        <f t="shared" si="19"/>
        <v/>
      </c>
      <c r="AK38" s="127" t="str">
        <f t="shared" si="19"/>
        <v/>
      </c>
      <c r="AL38" s="127" t="str">
        <f t="shared" si="19"/>
        <v/>
      </c>
      <c r="AM38" s="127" t="str">
        <f t="shared" si="19"/>
        <v/>
      </c>
      <c r="AN38" s="127" t="str">
        <f t="shared" si="19"/>
        <v/>
      </c>
      <c r="AO38" s="127" t="str">
        <f t="shared" si="19"/>
        <v/>
      </c>
      <c r="AP38" s="127" t="str">
        <f t="shared" si="19"/>
        <v/>
      </c>
      <c r="AQ38" s="127" t="str">
        <f t="shared" si="19"/>
        <v/>
      </c>
      <c r="AR38" s="127" t="str">
        <f t="shared" si="19"/>
        <v/>
      </c>
      <c r="AS38" s="127" t="str">
        <f t="shared" si="19"/>
        <v/>
      </c>
      <c r="AT38" s="127" t="str">
        <f t="shared" si="19"/>
        <v/>
      </c>
      <c r="AU38" s="127" t="str">
        <f t="shared" si="19"/>
        <v/>
      </c>
      <c r="AV38" s="127" t="str">
        <f t="shared" si="29"/>
        <v/>
      </c>
      <c r="AW38" s="127" t="str">
        <f t="shared" si="22"/>
        <v/>
      </c>
      <c r="AX38" s="127" t="str">
        <f t="shared" si="22"/>
        <v/>
      </c>
      <c r="AY38" s="127" t="str">
        <f t="shared" si="22"/>
        <v/>
      </c>
      <c r="AZ38" s="127" t="str">
        <f t="shared" si="22"/>
        <v/>
      </c>
      <c r="BA38" s="127" t="str">
        <f t="shared" si="22"/>
        <v/>
      </c>
      <c r="BB38" s="127" t="str">
        <f t="shared" si="22"/>
        <v/>
      </c>
      <c r="BC38" s="127" t="str">
        <f t="shared" si="22"/>
        <v/>
      </c>
      <c r="BD38" s="127" t="str">
        <f t="shared" si="22"/>
        <v/>
      </c>
      <c r="BE38" s="127" t="str">
        <f t="shared" si="22"/>
        <v/>
      </c>
      <c r="BF38" s="127" t="str">
        <f t="shared" si="22"/>
        <v/>
      </c>
      <c r="BG38" s="127" t="str">
        <f t="shared" si="22"/>
        <v/>
      </c>
      <c r="BH38" s="127" t="str">
        <f t="shared" si="22"/>
        <v/>
      </c>
      <c r="BI38" s="127" t="str">
        <f t="shared" si="22"/>
        <v/>
      </c>
      <c r="BJ38" s="127" t="str">
        <f t="shared" si="22"/>
        <v/>
      </c>
      <c r="BK38" s="127" t="str">
        <f t="shared" si="22"/>
        <v/>
      </c>
      <c r="BL38" s="127" t="str">
        <f t="shared" si="22"/>
        <v/>
      </c>
      <c r="BM38" s="127" t="str">
        <f t="shared" si="20"/>
        <v/>
      </c>
      <c r="BN38" s="127" t="str">
        <f t="shared" si="20"/>
        <v/>
      </c>
      <c r="BO38" s="127" t="str">
        <f t="shared" si="20"/>
        <v/>
      </c>
      <c r="BP38" s="127" t="str">
        <f t="shared" si="20"/>
        <v/>
      </c>
      <c r="BQ38" s="127" t="str">
        <f t="shared" si="20"/>
        <v/>
      </c>
      <c r="BR38" s="127" t="str">
        <f t="shared" si="20"/>
        <v/>
      </c>
      <c r="BS38" s="127" t="str">
        <f t="shared" si="20"/>
        <v/>
      </c>
      <c r="BT38" s="127" t="str">
        <f t="shared" si="20"/>
        <v/>
      </c>
      <c r="BU38" s="127" t="str">
        <f t="shared" si="20"/>
        <v/>
      </c>
      <c r="BV38" s="127" t="str">
        <f t="shared" si="20"/>
        <v/>
      </c>
      <c r="BW38" s="127" t="str">
        <f t="shared" si="20"/>
        <v/>
      </c>
      <c r="BX38" s="127" t="str">
        <f t="shared" si="20"/>
        <v/>
      </c>
      <c r="BY38" s="127" t="str">
        <f t="shared" si="20"/>
        <v/>
      </c>
      <c r="BZ38" s="127" t="str">
        <f t="shared" si="20"/>
        <v/>
      </c>
      <c r="CA38" s="127" t="str">
        <f t="shared" si="20"/>
        <v/>
      </c>
      <c r="CB38" s="127" t="str">
        <f t="shared" si="30"/>
        <v/>
      </c>
      <c r="CC38" s="127" t="str">
        <f t="shared" si="18"/>
        <v/>
      </c>
      <c r="CD38" s="127" t="str">
        <f t="shared" si="18"/>
        <v/>
      </c>
    </row>
    <row r="39" spans="1:82" ht="12.6" customHeight="1" x14ac:dyDescent="0.2">
      <c r="A39" s="106">
        <f>SHIPMENTS!A45</f>
        <v>9143</v>
      </c>
      <c r="B39" s="106" t="str">
        <f>SHIPMENTS!B45</f>
        <v>43301-THAILAND</v>
      </c>
      <c r="C39" s="132">
        <f>SHIPMENTS!F45</f>
        <v>4.75</v>
      </c>
      <c r="D39" s="107" t="str">
        <f>IF((SHIPMENTS!I45)=0,"",SHIPMENTS!I45)</f>
        <v>1x20</v>
      </c>
      <c r="E39" s="176">
        <f>IF((SHIPMENTS!G45)=0,"",SHIPMENTS!G45)</f>
        <v>46332</v>
      </c>
      <c r="F39" s="98">
        <f>VLOOKUP(A39,load!$A$4:$Y$5001,24,0)</f>
        <v>22.099333333333334</v>
      </c>
      <c r="G39" s="109">
        <f>Manhours!$C$8</f>
        <v>16</v>
      </c>
      <c r="H39" s="98">
        <f t="shared" si="23"/>
        <v>145.6</v>
      </c>
      <c r="I39" s="99">
        <f t="shared" si="24"/>
        <v>0.15178113553113554</v>
      </c>
      <c r="J39" s="99">
        <f t="shared" si="25"/>
        <v>1.3812083333333334</v>
      </c>
      <c r="K39" s="98">
        <f t="shared" si="26"/>
        <v>0</v>
      </c>
      <c r="L39" s="98">
        <f t="shared" si="27"/>
        <v>0</v>
      </c>
      <c r="M39" s="181">
        <f>IF(F39&gt;0,(MS!M39+2),N38)</f>
        <v>46316.435162210015</v>
      </c>
      <c r="N39" s="181">
        <f t="shared" si="28"/>
        <v>46316.435162210015</v>
      </c>
      <c r="O39" s="112">
        <f>VLOOKUP(A39,SHIPMENTS!$A$7:$AP$76,11,0)</f>
        <v>1</v>
      </c>
      <c r="P39" s="101"/>
      <c r="Q39" s="127" t="str">
        <f t="shared" si="21"/>
        <v/>
      </c>
      <c r="R39" s="127" t="str">
        <f t="shared" si="21"/>
        <v/>
      </c>
      <c r="S39" s="127" t="str">
        <f t="shared" si="21"/>
        <v/>
      </c>
      <c r="T39" s="127" t="str">
        <f t="shared" si="21"/>
        <v/>
      </c>
      <c r="U39" s="127" t="str">
        <f t="shared" si="21"/>
        <v/>
      </c>
      <c r="V39" s="127" t="str">
        <f t="shared" si="21"/>
        <v/>
      </c>
      <c r="W39" s="127" t="str">
        <f t="shared" si="21"/>
        <v/>
      </c>
      <c r="X39" s="127" t="str">
        <f t="shared" si="21"/>
        <v/>
      </c>
      <c r="Y39" s="127" t="str">
        <f t="shared" si="21"/>
        <v/>
      </c>
      <c r="Z39" s="127" t="str">
        <f t="shared" si="21"/>
        <v/>
      </c>
      <c r="AA39" s="127" t="str">
        <f t="shared" si="21"/>
        <v/>
      </c>
      <c r="AB39" s="127" t="str">
        <f t="shared" si="21"/>
        <v/>
      </c>
      <c r="AC39" s="127" t="str">
        <f t="shared" si="21"/>
        <v/>
      </c>
      <c r="AD39" s="127" t="str">
        <f t="shared" si="21"/>
        <v/>
      </c>
      <c r="AE39" s="127" t="str">
        <f t="shared" si="21"/>
        <v/>
      </c>
      <c r="AF39" s="127" t="str">
        <f t="shared" si="21"/>
        <v/>
      </c>
      <c r="AG39" s="127" t="str">
        <f t="shared" si="19"/>
        <v>▲</v>
      </c>
      <c r="AH39" s="127" t="str">
        <f t="shared" si="19"/>
        <v/>
      </c>
      <c r="AI39" s="127" t="str">
        <f t="shared" si="19"/>
        <v/>
      </c>
      <c r="AJ39" s="127" t="str">
        <f t="shared" si="19"/>
        <v/>
      </c>
      <c r="AK39" s="127" t="str">
        <f t="shared" si="19"/>
        <v/>
      </c>
      <c r="AL39" s="127" t="str">
        <f t="shared" si="19"/>
        <v/>
      </c>
      <c r="AM39" s="127" t="str">
        <f t="shared" si="19"/>
        <v/>
      </c>
      <c r="AN39" s="127" t="str">
        <f t="shared" si="19"/>
        <v/>
      </c>
      <c r="AO39" s="127" t="str">
        <f t="shared" si="19"/>
        <v/>
      </c>
      <c r="AP39" s="127" t="str">
        <f t="shared" si="19"/>
        <v/>
      </c>
      <c r="AQ39" s="127" t="str">
        <f t="shared" si="19"/>
        <v/>
      </c>
      <c r="AR39" s="127" t="str">
        <f t="shared" si="19"/>
        <v/>
      </c>
      <c r="AS39" s="127" t="str">
        <f t="shared" si="19"/>
        <v/>
      </c>
      <c r="AT39" s="127" t="str">
        <f t="shared" si="19"/>
        <v/>
      </c>
      <c r="AU39" s="127" t="str">
        <f t="shared" si="19"/>
        <v/>
      </c>
      <c r="AV39" s="127" t="str">
        <f t="shared" si="29"/>
        <v/>
      </c>
      <c r="AW39" s="127" t="str">
        <f t="shared" si="22"/>
        <v/>
      </c>
      <c r="AX39" s="127" t="str">
        <f t="shared" si="22"/>
        <v/>
      </c>
      <c r="AY39" s="127" t="str">
        <f t="shared" si="22"/>
        <v/>
      </c>
      <c r="AZ39" s="127" t="str">
        <f t="shared" si="22"/>
        <v/>
      </c>
      <c r="BA39" s="127" t="str">
        <f t="shared" si="22"/>
        <v/>
      </c>
      <c r="BB39" s="127" t="str">
        <f t="shared" si="22"/>
        <v/>
      </c>
      <c r="BC39" s="127" t="str">
        <f t="shared" si="22"/>
        <v/>
      </c>
      <c r="BD39" s="127" t="str">
        <f t="shared" si="22"/>
        <v/>
      </c>
      <c r="BE39" s="127" t="str">
        <f t="shared" si="22"/>
        <v/>
      </c>
      <c r="BF39" s="127" t="str">
        <f t="shared" si="22"/>
        <v/>
      </c>
      <c r="BG39" s="127" t="str">
        <f t="shared" si="22"/>
        <v/>
      </c>
      <c r="BH39" s="127" t="str">
        <f t="shared" si="22"/>
        <v/>
      </c>
      <c r="BI39" s="127" t="str">
        <f t="shared" si="22"/>
        <v/>
      </c>
      <c r="BJ39" s="127" t="str">
        <f t="shared" si="22"/>
        <v/>
      </c>
      <c r="BK39" s="127" t="str">
        <f t="shared" si="22"/>
        <v/>
      </c>
      <c r="BL39" s="127" t="str">
        <f t="shared" si="22"/>
        <v/>
      </c>
      <c r="BM39" s="127" t="str">
        <f t="shared" si="20"/>
        <v/>
      </c>
      <c r="BN39" s="127" t="str">
        <f t="shared" si="20"/>
        <v/>
      </c>
      <c r="BO39" s="127" t="str">
        <f t="shared" si="20"/>
        <v/>
      </c>
      <c r="BP39" s="127" t="str">
        <f t="shared" si="20"/>
        <v/>
      </c>
      <c r="BQ39" s="127" t="str">
        <f t="shared" si="20"/>
        <v/>
      </c>
      <c r="BR39" s="127" t="str">
        <f t="shared" si="20"/>
        <v/>
      </c>
      <c r="BS39" s="127" t="str">
        <f t="shared" si="20"/>
        <v/>
      </c>
      <c r="BT39" s="127" t="str">
        <f t="shared" si="20"/>
        <v/>
      </c>
      <c r="BU39" s="127" t="str">
        <f t="shared" si="20"/>
        <v/>
      </c>
      <c r="BV39" s="127" t="str">
        <f t="shared" si="20"/>
        <v/>
      </c>
      <c r="BW39" s="127" t="str">
        <f t="shared" si="20"/>
        <v/>
      </c>
      <c r="BX39" s="127" t="str">
        <f t="shared" si="20"/>
        <v/>
      </c>
      <c r="BY39" s="127" t="str">
        <f t="shared" si="20"/>
        <v/>
      </c>
      <c r="BZ39" s="127" t="str">
        <f t="shared" si="20"/>
        <v/>
      </c>
      <c r="CA39" s="127" t="str">
        <f t="shared" si="20"/>
        <v/>
      </c>
      <c r="CB39" s="127" t="str">
        <f t="shared" si="30"/>
        <v/>
      </c>
      <c r="CC39" s="127" t="str">
        <f t="shared" si="18"/>
        <v/>
      </c>
      <c r="CD39" s="127" t="str">
        <f t="shared" si="18"/>
        <v/>
      </c>
    </row>
    <row r="40" spans="1:82" ht="12.6" customHeight="1" x14ac:dyDescent="0.2">
      <c r="A40" s="106">
        <f>SHIPMENTS!A46</f>
        <v>9160</v>
      </c>
      <c r="B40" s="106" t="str">
        <f>SHIPMENTS!B46</f>
        <v>51700-MAURITIUS</v>
      </c>
      <c r="C40" s="132">
        <f>SHIPMENTS!F46</f>
        <v>0.97</v>
      </c>
      <c r="D40" s="107" t="str">
        <f>IF((SHIPMENTS!I46)=0,"",SHIPMENTS!I46)</f>
        <v>1x20</v>
      </c>
      <c r="E40" s="176">
        <f>IF((SHIPMENTS!G46)=0,"",SHIPMENTS!G46)</f>
        <v>46332</v>
      </c>
      <c r="F40" s="98">
        <f>VLOOKUP(A40,load!$A$4:$Y$5001,24,0)</f>
        <v>6.019166666666667</v>
      </c>
      <c r="G40" s="109">
        <f>Manhours!$C$8</f>
        <v>16</v>
      </c>
      <c r="H40" s="98">
        <f t="shared" si="23"/>
        <v>145.6</v>
      </c>
      <c r="I40" s="99">
        <f t="shared" si="24"/>
        <v>4.1340430402930409E-2</v>
      </c>
      <c r="J40" s="99">
        <f t="shared" si="25"/>
        <v>0.37619791666666669</v>
      </c>
      <c r="K40" s="98">
        <f t="shared" si="26"/>
        <v>0</v>
      </c>
      <c r="L40" s="98">
        <f t="shared" si="27"/>
        <v>0</v>
      </c>
      <c r="M40" s="181">
        <f>IF(F40&gt;0,(MS!M40+2),N39)</f>
        <v>46316.435162210015</v>
      </c>
      <c r="N40" s="181">
        <f t="shared" si="28"/>
        <v>46316.435162210015</v>
      </c>
      <c r="O40" s="112">
        <f>VLOOKUP(A40,SHIPMENTS!$A$7:$AP$76,11,0)</f>
        <v>1</v>
      </c>
      <c r="P40" s="101"/>
      <c r="Q40" s="127" t="str">
        <f t="shared" si="21"/>
        <v/>
      </c>
      <c r="R40" s="127" t="str">
        <f t="shared" si="21"/>
        <v/>
      </c>
      <c r="S40" s="127" t="str">
        <f t="shared" si="21"/>
        <v/>
      </c>
      <c r="T40" s="127" t="str">
        <f t="shared" si="21"/>
        <v/>
      </c>
      <c r="U40" s="127" t="str">
        <f t="shared" si="21"/>
        <v/>
      </c>
      <c r="V40" s="127" t="str">
        <f t="shared" si="21"/>
        <v/>
      </c>
      <c r="W40" s="127" t="str">
        <f t="shared" si="21"/>
        <v/>
      </c>
      <c r="X40" s="127" t="str">
        <f t="shared" si="21"/>
        <v/>
      </c>
      <c r="Y40" s="127" t="str">
        <f t="shared" si="21"/>
        <v/>
      </c>
      <c r="Z40" s="127" t="str">
        <f t="shared" si="21"/>
        <v/>
      </c>
      <c r="AA40" s="127" t="str">
        <f t="shared" si="21"/>
        <v/>
      </c>
      <c r="AB40" s="127" t="str">
        <f t="shared" si="21"/>
        <v/>
      </c>
      <c r="AC40" s="127" t="str">
        <f t="shared" si="21"/>
        <v/>
      </c>
      <c r="AD40" s="127" t="str">
        <f t="shared" si="21"/>
        <v/>
      </c>
      <c r="AE40" s="127" t="str">
        <f t="shared" si="21"/>
        <v/>
      </c>
      <c r="AF40" s="127" t="str">
        <f t="shared" si="21"/>
        <v/>
      </c>
      <c r="AG40" s="127" t="str">
        <f t="shared" si="19"/>
        <v>▲</v>
      </c>
      <c r="AH40" s="127" t="str">
        <f t="shared" si="19"/>
        <v/>
      </c>
      <c r="AI40" s="127" t="str">
        <f t="shared" si="19"/>
        <v/>
      </c>
      <c r="AJ40" s="127" t="str">
        <f t="shared" si="19"/>
        <v/>
      </c>
      <c r="AK40" s="127" t="str">
        <f t="shared" si="19"/>
        <v/>
      </c>
      <c r="AL40" s="127" t="str">
        <f t="shared" si="19"/>
        <v/>
      </c>
      <c r="AM40" s="127" t="str">
        <f t="shared" si="19"/>
        <v/>
      </c>
      <c r="AN40" s="127" t="str">
        <f t="shared" si="19"/>
        <v/>
      </c>
      <c r="AO40" s="127" t="str">
        <f t="shared" si="19"/>
        <v/>
      </c>
      <c r="AP40" s="127" t="str">
        <f t="shared" si="19"/>
        <v/>
      </c>
      <c r="AQ40" s="127" t="str">
        <f t="shared" si="19"/>
        <v/>
      </c>
      <c r="AR40" s="127" t="str">
        <f t="shared" si="19"/>
        <v/>
      </c>
      <c r="AS40" s="127" t="str">
        <f t="shared" si="19"/>
        <v/>
      </c>
      <c r="AT40" s="127" t="str">
        <f t="shared" si="19"/>
        <v/>
      </c>
      <c r="AU40" s="127" t="str">
        <f t="shared" si="19"/>
        <v/>
      </c>
      <c r="AV40" s="127" t="str">
        <f t="shared" si="29"/>
        <v/>
      </c>
      <c r="AW40" s="127" t="str">
        <f t="shared" si="22"/>
        <v/>
      </c>
      <c r="AX40" s="127" t="str">
        <f t="shared" si="22"/>
        <v/>
      </c>
      <c r="AY40" s="127" t="str">
        <f t="shared" si="22"/>
        <v/>
      </c>
      <c r="AZ40" s="127" t="str">
        <f t="shared" si="22"/>
        <v/>
      </c>
      <c r="BA40" s="127" t="str">
        <f t="shared" si="22"/>
        <v/>
      </c>
      <c r="BB40" s="127" t="str">
        <f t="shared" si="22"/>
        <v/>
      </c>
      <c r="BC40" s="127" t="str">
        <f t="shared" si="22"/>
        <v/>
      </c>
      <c r="BD40" s="127" t="str">
        <f t="shared" si="22"/>
        <v/>
      </c>
      <c r="BE40" s="127" t="str">
        <f t="shared" si="22"/>
        <v/>
      </c>
      <c r="BF40" s="127" t="str">
        <f t="shared" si="22"/>
        <v/>
      </c>
      <c r="BG40" s="127" t="str">
        <f t="shared" si="22"/>
        <v/>
      </c>
      <c r="BH40" s="127" t="str">
        <f t="shared" si="22"/>
        <v/>
      </c>
      <c r="BI40" s="127" t="str">
        <f t="shared" si="22"/>
        <v/>
      </c>
      <c r="BJ40" s="127" t="str">
        <f t="shared" si="22"/>
        <v/>
      </c>
      <c r="BK40" s="127" t="str">
        <f t="shared" si="22"/>
        <v/>
      </c>
      <c r="BL40" s="127" t="str">
        <f t="shared" si="22"/>
        <v/>
      </c>
      <c r="BM40" s="127" t="str">
        <f t="shared" si="20"/>
        <v/>
      </c>
      <c r="BN40" s="127" t="str">
        <f t="shared" si="20"/>
        <v/>
      </c>
      <c r="BO40" s="127" t="str">
        <f t="shared" si="20"/>
        <v/>
      </c>
      <c r="BP40" s="127" t="str">
        <f t="shared" si="20"/>
        <v/>
      </c>
      <c r="BQ40" s="127" t="str">
        <f t="shared" si="20"/>
        <v/>
      </c>
      <c r="BR40" s="127" t="str">
        <f t="shared" si="20"/>
        <v/>
      </c>
      <c r="BS40" s="127" t="str">
        <f t="shared" si="20"/>
        <v/>
      </c>
      <c r="BT40" s="127" t="str">
        <f t="shared" si="20"/>
        <v/>
      </c>
      <c r="BU40" s="127" t="str">
        <f t="shared" si="20"/>
        <v/>
      </c>
      <c r="BV40" s="127" t="str">
        <f t="shared" si="20"/>
        <v/>
      </c>
      <c r="BW40" s="127" t="str">
        <f t="shared" si="20"/>
        <v/>
      </c>
      <c r="BX40" s="127" t="str">
        <f t="shared" si="20"/>
        <v/>
      </c>
      <c r="BY40" s="127" t="str">
        <f t="shared" si="20"/>
        <v/>
      </c>
      <c r="BZ40" s="127" t="str">
        <f t="shared" si="20"/>
        <v/>
      </c>
      <c r="CA40" s="127" t="str">
        <f t="shared" si="20"/>
        <v/>
      </c>
      <c r="CB40" s="127" t="str">
        <f t="shared" si="30"/>
        <v/>
      </c>
      <c r="CC40" s="127" t="str">
        <f t="shared" si="30"/>
        <v/>
      </c>
      <c r="CD40" s="127" t="str">
        <f t="shared" si="30"/>
        <v/>
      </c>
    </row>
    <row r="41" spans="1:82" ht="12.6" hidden="1" customHeight="1" x14ac:dyDescent="0.2">
      <c r="A41" s="106">
        <f>SHIPMENTS!A47</f>
        <v>9164</v>
      </c>
      <c r="B41" s="106" t="str">
        <f>SHIPMENTS!B47</f>
        <v>1500-SAWO SAUNA EUROPE BV BACKLOG</v>
      </c>
      <c r="C41" s="132">
        <f>SHIPMENTS!F47</f>
        <v>100.97952000000001</v>
      </c>
      <c r="D41" s="107" t="str">
        <f>IF((SHIPMENTS!I47)=0,"",SHIPMENTS!I47)</f>
        <v>1X40HC</v>
      </c>
      <c r="E41" s="176">
        <f>IF((SHIPMENTS!G47)=0,"",SHIPMENTS!G47)</f>
        <v>46339</v>
      </c>
      <c r="F41" s="98">
        <f>VLOOKUP(A41,load!$A$4:$Y$5001,24,0)</f>
        <v>0</v>
      </c>
      <c r="G41" s="109">
        <f>Manhours!$C$8</f>
        <v>16</v>
      </c>
      <c r="H41" s="98">
        <f t="shared" si="23"/>
        <v>145.6</v>
      </c>
      <c r="I41" s="99">
        <f t="shared" si="24"/>
        <v>0</v>
      </c>
      <c r="J41" s="99">
        <f t="shared" si="25"/>
        <v>0</v>
      </c>
      <c r="K41" s="98">
        <f t="shared" si="26"/>
        <v>0</v>
      </c>
      <c r="L41" s="98">
        <f t="shared" si="27"/>
        <v>0</v>
      </c>
      <c r="M41" s="181">
        <f>IF(F41&gt;0,(MS!M41+2),N40)</f>
        <v>46316.435162210015</v>
      </c>
      <c r="N41" s="181">
        <f t="shared" si="28"/>
        <v>46316.435162210015</v>
      </c>
      <c r="O41" s="112">
        <f>VLOOKUP(A41,SHIPMENTS!$A$7:$AP$76,11,0)</f>
        <v>1</v>
      </c>
      <c r="P41" s="101"/>
      <c r="Q41" s="127" t="str">
        <f t="shared" si="21"/>
        <v/>
      </c>
      <c r="R41" s="127" t="str">
        <f t="shared" si="21"/>
        <v/>
      </c>
      <c r="S41" s="127" t="str">
        <f t="shared" si="21"/>
        <v/>
      </c>
      <c r="T41" s="127" t="str">
        <f t="shared" si="21"/>
        <v/>
      </c>
      <c r="U41" s="127" t="str">
        <f t="shared" si="21"/>
        <v/>
      </c>
      <c r="V41" s="127" t="str">
        <f t="shared" si="21"/>
        <v/>
      </c>
      <c r="W41" s="127" t="str">
        <f t="shared" si="21"/>
        <v/>
      </c>
      <c r="X41" s="127" t="str">
        <f t="shared" si="21"/>
        <v/>
      </c>
      <c r="Y41" s="127" t="str">
        <f t="shared" si="21"/>
        <v/>
      </c>
      <c r="Z41" s="127" t="str">
        <f t="shared" si="21"/>
        <v/>
      </c>
      <c r="AA41" s="127" t="str">
        <f t="shared" si="21"/>
        <v/>
      </c>
      <c r="AB41" s="127" t="str">
        <f t="shared" si="21"/>
        <v/>
      </c>
      <c r="AC41" s="127" t="str">
        <f t="shared" si="21"/>
        <v/>
      </c>
      <c r="AD41" s="127" t="str">
        <f t="shared" si="21"/>
        <v/>
      </c>
      <c r="AE41" s="127" t="str">
        <f t="shared" si="21"/>
        <v/>
      </c>
      <c r="AF41" s="127" t="str">
        <f t="shared" si="21"/>
        <v/>
      </c>
      <c r="AG41" s="127" t="str">
        <f t="shared" si="19"/>
        <v/>
      </c>
      <c r="AH41" s="127" t="str">
        <f t="shared" si="19"/>
        <v/>
      </c>
      <c r="AI41" s="127" t="str">
        <f t="shared" si="19"/>
        <v/>
      </c>
      <c r="AJ41" s="127" t="str">
        <f t="shared" si="19"/>
        <v/>
      </c>
      <c r="AK41" s="127" t="str">
        <f t="shared" si="19"/>
        <v/>
      </c>
      <c r="AL41" s="127" t="str">
        <f t="shared" si="19"/>
        <v/>
      </c>
      <c r="AM41" s="127" t="str">
        <f t="shared" si="19"/>
        <v>▲</v>
      </c>
      <c r="AN41" s="127" t="str">
        <f t="shared" si="19"/>
        <v/>
      </c>
      <c r="AO41" s="127" t="str">
        <f t="shared" si="19"/>
        <v/>
      </c>
      <c r="AP41" s="127" t="str">
        <f t="shared" si="19"/>
        <v/>
      </c>
      <c r="AQ41" s="127" t="str">
        <f t="shared" si="19"/>
        <v/>
      </c>
      <c r="AR41" s="127" t="str">
        <f t="shared" si="19"/>
        <v/>
      </c>
      <c r="AS41" s="127" t="str">
        <f t="shared" si="19"/>
        <v/>
      </c>
      <c r="AT41" s="127" t="str">
        <f t="shared" si="19"/>
        <v/>
      </c>
      <c r="AU41" s="127" t="str">
        <f t="shared" si="19"/>
        <v/>
      </c>
      <c r="AV41" s="127" t="str">
        <f t="shared" si="29"/>
        <v/>
      </c>
      <c r="AW41" s="127" t="str">
        <f t="shared" si="22"/>
        <v/>
      </c>
      <c r="AX41" s="127" t="str">
        <f t="shared" si="22"/>
        <v/>
      </c>
      <c r="AY41" s="127" t="str">
        <f t="shared" si="22"/>
        <v/>
      </c>
      <c r="AZ41" s="127" t="str">
        <f t="shared" si="22"/>
        <v/>
      </c>
      <c r="BA41" s="127" t="str">
        <f t="shared" si="22"/>
        <v/>
      </c>
      <c r="BB41" s="127" t="str">
        <f t="shared" si="22"/>
        <v/>
      </c>
      <c r="BC41" s="127" t="str">
        <f t="shared" si="22"/>
        <v/>
      </c>
      <c r="BD41" s="127" t="str">
        <f t="shared" si="22"/>
        <v/>
      </c>
      <c r="BE41" s="127" t="str">
        <f t="shared" si="22"/>
        <v/>
      </c>
      <c r="BF41" s="127" t="str">
        <f t="shared" si="22"/>
        <v/>
      </c>
      <c r="BG41" s="127" t="str">
        <f t="shared" si="22"/>
        <v/>
      </c>
      <c r="BH41" s="127" t="str">
        <f t="shared" si="22"/>
        <v/>
      </c>
      <c r="BI41" s="127" t="str">
        <f t="shared" si="22"/>
        <v/>
      </c>
      <c r="BJ41" s="127" t="str">
        <f t="shared" si="22"/>
        <v/>
      </c>
      <c r="BK41" s="127" t="str">
        <f t="shared" si="22"/>
        <v/>
      </c>
      <c r="BL41" s="127" t="str">
        <f t="shared" si="22"/>
        <v/>
      </c>
      <c r="BM41" s="127" t="str">
        <f t="shared" si="20"/>
        <v/>
      </c>
      <c r="BN41" s="127" t="str">
        <f t="shared" si="20"/>
        <v/>
      </c>
      <c r="BO41" s="127" t="str">
        <f t="shared" si="20"/>
        <v/>
      </c>
      <c r="BP41" s="127" t="str">
        <f t="shared" si="20"/>
        <v/>
      </c>
      <c r="BQ41" s="127" t="str">
        <f t="shared" si="20"/>
        <v/>
      </c>
      <c r="BR41" s="127" t="str">
        <f t="shared" si="20"/>
        <v/>
      </c>
      <c r="BS41" s="127" t="str">
        <f t="shared" si="20"/>
        <v/>
      </c>
      <c r="BT41" s="127" t="str">
        <f t="shared" si="20"/>
        <v/>
      </c>
      <c r="BU41" s="127" t="str">
        <f t="shared" si="20"/>
        <v/>
      </c>
      <c r="BV41" s="127" t="str">
        <f t="shared" si="20"/>
        <v/>
      </c>
      <c r="BW41" s="127" t="str">
        <f t="shared" si="20"/>
        <v/>
      </c>
      <c r="BX41" s="127" t="str">
        <f t="shared" si="20"/>
        <v/>
      </c>
      <c r="BY41" s="127" t="str">
        <f t="shared" si="20"/>
        <v/>
      </c>
      <c r="BZ41" s="127" t="str">
        <f t="shared" si="20"/>
        <v/>
      </c>
      <c r="CA41" s="127" t="str">
        <f t="shared" si="20"/>
        <v/>
      </c>
      <c r="CB41" s="127" t="str">
        <f t="shared" si="30"/>
        <v/>
      </c>
      <c r="CC41" s="127" t="str">
        <f t="shared" si="30"/>
        <v/>
      </c>
      <c r="CD41" s="127" t="str">
        <f t="shared" si="30"/>
        <v/>
      </c>
    </row>
    <row r="42" spans="1:82" ht="12.6" hidden="1" customHeight="1" x14ac:dyDescent="0.2">
      <c r="A42" s="106">
        <f>SHIPMENTS!A48</f>
        <v>9288</v>
      </c>
      <c r="B42" s="106" t="str">
        <f>SHIPMENTS!B48</f>
        <v>12100-HOLLAND HALU</v>
      </c>
      <c r="C42" s="132">
        <f>SHIPMENTS!F48</f>
        <v>0</v>
      </c>
      <c r="D42" s="107" t="str">
        <f>IF((SHIPMENTS!I48)=0,"",SHIPMENTS!I48)</f>
        <v/>
      </c>
      <c r="E42" s="176">
        <f>IF((SHIPMENTS!G48)=0,"",SHIPMENTS!G48)</f>
        <v>46339</v>
      </c>
      <c r="F42" s="98">
        <f>VLOOKUP(A42,load!$A$4:$Y$5001,24,0)</f>
        <v>0</v>
      </c>
      <c r="G42" s="109">
        <f>Manhours!$C$8</f>
        <v>16</v>
      </c>
      <c r="H42" s="98">
        <f t="shared" si="23"/>
        <v>145.6</v>
      </c>
      <c r="I42" s="99">
        <f t="shared" si="24"/>
        <v>0</v>
      </c>
      <c r="J42" s="99">
        <f t="shared" si="25"/>
        <v>0</v>
      </c>
      <c r="K42" s="98">
        <f t="shared" si="26"/>
        <v>0</v>
      </c>
      <c r="L42" s="98">
        <f t="shared" si="27"/>
        <v>0</v>
      </c>
      <c r="M42" s="181">
        <f>IF(F42&gt;0,(MS!M42+2),N41)</f>
        <v>46316.435162210015</v>
      </c>
      <c r="N42" s="181">
        <f t="shared" si="28"/>
        <v>46316.435162210015</v>
      </c>
      <c r="O42" s="112" t="str">
        <f>VLOOKUP(A42,SHIPMENTS!$A$7:$AP$76,11,0)</f>
        <v>n/a</v>
      </c>
      <c r="P42" s="101"/>
      <c r="Q42" s="127" t="str">
        <f t="shared" si="21"/>
        <v/>
      </c>
      <c r="R42" s="127" t="str">
        <f t="shared" si="21"/>
        <v/>
      </c>
      <c r="S42" s="127" t="str">
        <f t="shared" si="21"/>
        <v/>
      </c>
      <c r="T42" s="127" t="str">
        <f t="shared" si="21"/>
        <v/>
      </c>
      <c r="U42" s="127" t="str">
        <f t="shared" si="21"/>
        <v/>
      </c>
      <c r="V42" s="127" t="str">
        <f t="shared" si="21"/>
        <v/>
      </c>
      <c r="W42" s="127" t="str">
        <f t="shared" si="21"/>
        <v/>
      </c>
      <c r="X42" s="127" t="str">
        <f t="shared" si="21"/>
        <v/>
      </c>
      <c r="Y42" s="127" t="str">
        <f t="shared" si="21"/>
        <v/>
      </c>
      <c r="Z42" s="127" t="str">
        <f t="shared" si="21"/>
        <v/>
      </c>
      <c r="AA42" s="127" t="str">
        <f t="shared" si="21"/>
        <v/>
      </c>
      <c r="AB42" s="127" t="str">
        <f t="shared" si="21"/>
        <v/>
      </c>
      <c r="AC42" s="127" t="str">
        <f t="shared" si="21"/>
        <v/>
      </c>
      <c r="AD42" s="127" t="str">
        <f t="shared" si="21"/>
        <v/>
      </c>
      <c r="AE42" s="127" t="str">
        <f t="shared" si="21"/>
        <v/>
      </c>
      <c r="AF42" s="127" t="str">
        <f t="shared" si="21"/>
        <v/>
      </c>
      <c r="AG42" s="127" t="str">
        <f t="shared" si="19"/>
        <v/>
      </c>
      <c r="AH42" s="127" t="str">
        <f t="shared" si="19"/>
        <v/>
      </c>
      <c r="AI42" s="127" t="str">
        <f t="shared" si="19"/>
        <v/>
      </c>
      <c r="AJ42" s="127" t="str">
        <f t="shared" si="19"/>
        <v/>
      </c>
      <c r="AK42" s="127" t="str">
        <f t="shared" si="19"/>
        <v/>
      </c>
      <c r="AL42" s="127" t="str">
        <f t="shared" si="19"/>
        <v/>
      </c>
      <c r="AM42" s="127" t="str">
        <f t="shared" si="19"/>
        <v>▲</v>
      </c>
      <c r="AN42" s="127" t="str">
        <f t="shared" si="19"/>
        <v/>
      </c>
      <c r="AO42" s="127" t="str">
        <f t="shared" si="19"/>
        <v/>
      </c>
      <c r="AP42" s="127" t="str">
        <f t="shared" si="19"/>
        <v/>
      </c>
      <c r="AQ42" s="127" t="str">
        <f t="shared" si="19"/>
        <v/>
      </c>
      <c r="AR42" s="127" t="str">
        <f t="shared" si="19"/>
        <v/>
      </c>
      <c r="AS42" s="127" t="str">
        <f t="shared" si="19"/>
        <v/>
      </c>
      <c r="AT42" s="127" t="str">
        <f t="shared" si="19"/>
        <v/>
      </c>
      <c r="AU42" s="127" t="str">
        <f t="shared" si="19"/>
        <v/>
      </c>
      <c r="AV42" s="127" t="str">
        <f t="shared" si="29"/>
        <v/>
      </c>
      <c r="AW42" s="127" t="str">
        <f t="shared" si="22"/>
        <v/>
      </c>
      <c r="AX42" s="127" t="str">
        <f t="shared" si="22"/>
        <v/>
      </c>
      <c r="AY42" s="127" t="str">
        <f t="shared" si="22"/>
        <v/>
      </c>
      <c r="AZ42" s="127" t="str">
        <f t="shared" si="22"/>
        <v/>
      </c>
      <c r="BA42" s="127" t="str">
        <f t="shared" si="22"/>
        <v/>
      </c>
      <c r="BB42" s="127" t="str">
        <f t="shared" si="22"/>
        <v/>
      </c>
      <c r="BC42" s="127" t="str">
        <f t="shared" si="22"/>
        <v/>
      </c>
      <c r="BD42" s="127" t="str">
        <f t="shared" si="22"/>
        <v/>
      </c>
      <c r="BE42" s="127" t="str">
        <f t="shared" si="22"/>
        <v/>
      </c>
      <c r="BF42" s="127" t="str">
        <f t="shared" si="22"/>
        <v/>
      </c>
      <c r="BG42" s="127" t="str">
        <f t="shared" si="22"/>
        <v/>
      </c>
      <c r="BH42" s="127" t="str">
        <f t="shared" si="22"/>
        <v/>
      </c>
      <c r="BI42" s="127" t="str">
        <f t="shared" si="22"/>
        <v/>
      </c>
      <c r="BJ42" s="127" t="str">
        <f t="shared" si="22"/>
        <v/>
      </c>
      <c r="BK42" s="127" t="str">
        <f t="shared" si="22"/>
        <v/>
      </c>
      <c r="BL42" s="127" t="str">
        <f t="shared" si="22"/>
        <v/>
      </c>
      <c r="BM42" s="127" t="str">
        <f t="shared" si="20"/>
        <v/>
      </c>
      <c r="BN42" s="127" t="str">
        <f t="shared" si="20"/>
        <v/>
      </c>
      <c r="BO42" s="127" t="str">
        <f t="shared" si="20"/>
        <v/>
      </c>
      <c r="BP42" s="127" t="str">
        <f t="shared" si="20"/>
        <v/>
      </c>
      <c r="BQ42" s="127" t="str">
        <f t="shared" si="20"/>
        <v/>
      </c>
      <c r="BR42" s="127" t="str">
        <f t="shared" si="20"/>
        <v/>
      </c>
      <c r="BS42" s="127" t="str">
        <f t="shared" si="20"/>
        <v/>
      </c>
      <c r="BT42" s="127" t="str">
        <f t="shared" si="20"/>
        <v/>
      </c>
      <c r="BU42" s="127" t="str">
        <f t="shared" si="20"/>
        <v/>
      </c>
      <c r="BV42" s="127" t="str">
        <f t="shared" si="20"/>
        <v/>
      </c>
      <c r="BW42" s="127" t="str">
        <f t="shared" si="20"/>
        <v/>
      </c>
      <c r="BX42" s="127" t="str">
        <f t="shared" si="20"/>
        <v/>
      </c>
      <c r="BY42" s="127" t="str">
        <f t="shared" si="20"/>
        <v/>
      </c>
      <c r="BZ42" s="127" t="str">
        <f t="shared" si="20"/>
        <v/>
      </c>
      <c r="CA42" s="127" t="str">
        <f t="shared" si="20"/>
        <v/>
      </c>
      <c r="CB42" s="127" t="str">
        <f t="shared" si="30"/>
        <v/>
      </c>
      <c r="CC42" s="127" t="str">
        <f t="shared" si="30"/>
        <v/>
      </c>
      <c r="CD42" s="127" t="str">
        <f t="shared" si="30"/>
        <v/>
      </c>
    </row>
    <row r="43" spans="1:82" ht="12.6" customHeight="1" x14ac:dyDescent="0.2">
      <c r="A43" s="106" t="str">
        <f>SHIPMENTS!A49</f>
        <v>SSE BACKLOG</v>
      </c>
      <c r="B43" s="106" t="str">
        <f>SHIPMENTS!B49</f>
        <v>11500-SAWO SAUNA EUROPE BV</v>
      </c>
      <c r="C43" s="132">
        <f>SHIPMENTS!F49</f>
        <v>0</v>
      </c>
      <c r="D43" s="107" t="str">
        <f>IF((SHIPMENTS!I49)=0,"",SHIPMENTS!I49)</f>
        <v/>
      </c>
      <c r="E43" s="176">
        <f>IF((SHIPMENTS!G49)=0,"",SHIPMENTS!G49)</f>
        <v>46339</v>
      </c>
      <c r="F43" s="98">
        <f>VLOOKUP(A43,load!$A$4:$Y$5001,24,0)</f>
        <v>220.51900000000001</v>
      </c>
      <c r="G43" s="109">
        <f>Manhours!$C$8</f>
        <v>16</v>
      </c>
      <c r="H43" s="98">
        <f t="shared" si="23"/>
        <v>145.6</v>
      </c>
      <c r="I43" s="99">
        <f t="shared" si="24"/>
        <v>1.5145535714285716</v>
      </c>
      <c r="J43" s="99">
        <f t="shared" si="25"/>
        <v>13.7824375</v>
      </c>
      <c r="K43" s="98">
        <f t="shared" si="26"/>
        <v>6.0582142857142918E-2</v>
      </c>
      <c r="L43" s="98">
        <f t="shared" si="27"/>
        <v>0.55129750000000044</v>
      </c>
      <c r="M43" s="181">
        <f>IF(F43&gt;0,(MS!M43+2),N42)</f>
        <v>46316.435162210015</v>
      </c>
      <c r="N43" s="181">
        <f t="shared" si="28"/>
        <v>46316.495744352869</v>
      </c>
      <c r="O43" s="112">
        <f>VLOOKUP(A43,SHIPMENTS!$A$7:$AP$76,11,0)</f>
        <v>0.96</v>
      </c>
      <c r="P43" s="101"/>
      <c r="Q43" s="127" t="str">
        <f t="shared" si="21"/>
        <v/>
      </c>
      <c r="R43" s="127" t="str">
        <f t="shared" si="21"/>
        <v/>
      </c>
      <c r="S43" s="127" t="str">
        <f t="shared" si="21"/>
        <v/>
      </c>
      <c r="T43" s="127" t="str">
        <f t="shared" si="21"/>
        <v/>
      </c>
      <c r="U43" s="127" t="str">
        <f t="shared" si="21"/>
        <v/>
      </c>
      <c r="V43" s="127" t="str">
        <f t="shared" si="21"/>
        <v/>
      </c>
      <c r="W43" s="127" t="str">
        <f t="shared" si="21"/>
        <v/>
      </c>
      <c r="X43" s="127" t="str">
        <f t="shared" si="21"/>
        <v/>
      </c>
      <c r="Y43" s="127" t="str">
        <f t="shared" si="21"/>
        <v/>
      </c>
      <c r="Z43" s="127" t="str">
        <f t="shared" si="21"/>
        <v/>
      </c>
      <c r="AA43" s="127" t="str">
        <f t="shared" si="21"/>
        <v/>
      </c>
      <c r="AB43" s="127" t="str">
        <f t="shared" si="21"/>
        <v/>
      </c>
      <c r="AC43" s="127" t="str">
        <f t="shared" si="21"/>
        <v/>
      </c>
      <c r="AD43" s="127" t="str">
        <f t="shared" si="21"/>
        <v/>
      </c>
      <c r="AE43" s="127" t="str">
        <f t="shared" si="21"/>
        <v/>
      </c>
      <c r="AF43" s="127" t="str">
        <f t="shared" si="21"/>
        <v/>
      </c>
      <c r="AG43" s="127" t="str">
        <f t="shared" si="19"/>
        <v/>
      </c>
      <c r="AH43" s="127" t="str">
        <f t="shared" si="19"/>
        <v/>
      </c>
      <c r="AI43" s="127" t="str">
        <f t="shared" si="19"/>
        <v/>
      </c>
      <c r="AJ43" s="127" t="str">
        <f t="shared" si="19"/>
        <v/>
      </c>
      <c r="AK43" s="127" t="str">
        <f t="shared" si="19"/>
        <v/>
      </c>
      <c r="AL43" s="127" t="str">
        <f t="shared" si="19"/>
        <v/>
      </c>
      <c r="AM43" s="127" t="str">
        <f t="shared" si="19"/>
        <v>▲</v>
      </c>
      <c r="AN43" s="127" t="str">
        <f t="shared" si="19"/>
        <v/>
      </c>
      <c r="AO43" s="127" t="str">
        <f t="shared" si="19"/>
        <v/>
      </c>
      <c r="AP43" s="127" t="str">
        <f t="shared" si="19"/>
        <v/>
      </c>
      <c r="AQ43" s="127" t="str">
        <f t="shared" si="19"/>
        <v/>
      </c>
      <c r="AR43" s="127" t="str">
        <f t="shared" si="19"/>
        <v/>
      </c>
      <c r="AS43" s="127" t="str">
        <f t="shared" si="19"/>
        <v/>
      </c>
      <c r="AT43" s="127" t="str">
        <f t="shared" si="19"/>
        <v/>
      </c>
      <c r="AU43" s="127" t="str">
        <f t="shared" si="19"/>
        <v/>
      </c>
      <c r="AV43" s="127" t="str">
        <f t="shared" si="29"/>
        <v/>
      </c>
      <c r="AW43" s="127" t="str">
        <f t="shared" si="22"/>
        <v/>
      </c>
      <c r="AX43" s="127" t="str">
        <f t="shared" si="22"/>
        <v/>
      </c>
      <c r="AY43" s="127" t="str">
        <f t="shared" si="22"/>
        <v/>
      </c>
      <c r="AZ43" s="127" t="str">
        <f t="shared" si="22"/>
        <v/>
      </c>
      <c r="BA43" s="127" t="str">
        <f t="shared" si="22"/>
        <v/>
      </c>
      <c r="BB43" s="127" t="str">
        <f t="shared" si="22"/>
        <v/>
      </c>
      <c r="BC43" s="127" t="str">
        <f t="shared" si="22"/>
        <v/>
      </c>
      <c r="BD43" s="127" t="str">
        <f t="shared" si="22"/>
        <v/>
      </c>
      <c r="BE43" s="127" t="str">
        <f t="shared" si="22"/>
        <v/>
      </c>
      <c r="BF43" s="127" t="str">
        <f t="shared" si="22"/>
        <v/>
      </c>
      <c r="BG43" s="127" t="str">
        <f t="shared" si="22"/>
        <v/>
      </c>
      <c r="BH43" s="127" t="str">
        <f t="shared" si="22"/>
        <v/>
      </c>
      <c r="BI43" s="127" t="str">
        <f t="shared" si="22"/>
        <v/>
      </c>
      <c r="BJ43" s="127" t="str">
        <f t="shared" si="22"/>
        <v/>
      </c>
      <c r="BK43" s="127" t="str">
        <f t="shared" si="22"/>
        <v/>
      </c>
      <c r="BL43" s="127" t="str">
        <f t="shared" si="22"/>
        <v/>
      </c>
      <c r="BM43" s="127" t="str">
        <f t="shared" si="20"/>
        <v/>
      </c>
      <c r="BN43" s="127" t="str">
        <f t="shared" si="20"/>
        <v/>
      </c>
      <c r="BO43" s="127" t="str">
        <f t="shared" si="20"/>
        <v/>
      </c>
      <c r="BP43" s="127" t="str">
        <f t="shared" si="20"/>
        <v/>
      </c>
      <c r="BQ43" s="127" t="str">
        <f t="shared" si="20"/>
        <v/>
      </c>
      <c r="BR43" s="127" t="str">
        <f t="shared" si="20"/>
        <v/>
      </c>
      <c r="BS43" s="127" t="str">
        <f t="shared" si="20"/>
        <v/>
      </c>
      <c r="BT43" s="127" t="str">
        <f t="shared" si="20"/>
        <v/>
      </c>
      <c r="BU43" s="127" t="str">
        <f t="shared" si="20"/>
        <v/>
      </c>
      <c r="BV43" s="127" t="str">
        <f t="shared" si="20"/>
        <v/>
      </c>
      <c r="BW43" s="127" t="str">
        <f t="shared" si="20"/>
        <v/>
      </c>
      <c r="BX43" s="127" t="str">
        <f t="shared" si="20"/>
        <v/>
      </c>
      <c r="BY43" s="127" t="str">
        <f t="shared" si="20"/>
        <v/>
      </c>
      <c r="BZ43" s="127" t="str">
        <f t="shared" si="20"/>
        <v/>
      </c>
      <c r="CA43" s="127" t="str">
        <f t="shared" si="20"/>
        <v/>
      </c>
      <c r="CB43" s="127" t="str">
        <f t="shared" si="30"/>
        <v/>
      </c>
      <c r="CC43" s="127" t="str">
        <f t="shared" si="30"/>
        <v/>
      </c>
      <c r="CD43" s="127" t="str">
        <f t="shared" si="30"/>
        <v/>
      </c>
    </row>
    <row r="44" spans="1:82" ht="12.6" customHeight="1" x14ac:dyDescent="0.2">
      <c r="A44" s="106">
        <f>SHIPMENTS!A50</f>
        <v>9113</v>
      </c>
      <c r="B44" s="106" t="str">
        <f>SHIPMENTS!B50</f>
        <v>15900- Mandaue |Stephen Chian</v>
      </c>
      <c r="C44" s="132">
        <f>SHIPMENTS!F50</f>
        <v>0.34</v>
      </c>
      <c r="D44" s="107" t="str">
        <f>IF((SHIPMENTS!I50)=0,"",SHIPMENTS!I50)</f>
        <v/>
      </c>
      <c r="E44" s="176">
        <f>IF((SHIPMENTS!G50)=0,"",SHIPMENTS!G50)</f>
        <v>46351</v>
      </c>
      <c r="F44" s="98">
        <f>VLOOKUP(A44,load!$A$4:$Y$5001,24,0)</f>
        <v>3.6478333333333324</v>
      </c>
      <c r="G44" s="109">
        <f>Manhours!$C$8</f>
        <v>16</v>
      </c>
      <c r="H44" s="98">
        <f t="shared" si="23"/>
        <v>145.6</v>
      </c>
      <c r="I44" s="99">
        <f t="shared" si="24"/>
        <v>2.5053800366300359E-2</v>
      </c>
      <c r="J44" s="99">
        <f t="shared" si="25"/>
        <v>0.22798958333333327</v>
      </c>
      <c r="K44" s="98">
        <f t="shared" si="26"/>
        <v>0</v>
      </c>
      <c r="L44" s="98">
        <f t="shared" si="27"/>
        <v>0</v>
      </c>
      <c r="M44" s="181">
        <f>IF(F44&gt;0,(MS!M44+2),N43)</f>
        <v>46316.602965628816</v>
      </c>
      <c r="N44" s="181">
        <f t="shared" si="28"/>
        <v>46316.602965628816</v>
      </c>
      <c r="O44" s="112">
        <f>VLOOKUP(A44,SHIPMENTS!$A$7:$AP$76,11,0)</f>
        <v>1</v>
      </c>
      <c r="P44" s="101"/>
      <c r="Q44" s="127" t="str">
        <f t="shared" si="21"/>
        <v/>
      </c>
      <c r="R44" s="127" t="str">
        <f t="shared" si="21"/>
        <v/>
      </c>
      <c r="S44" s="127" t="str">
        <f t="shared" si="21"/>
        <v/>
      </c>
      <c r="T44" s="127" t="str">
        <f t="shared" si="21"/>
        <v/>
      </c>
      <c r="U44" s="127" t="str">
        <f t="shared" si="21"/>
        <v/>
      </c>
      <c r="V44" s="127" t="str">
        <f t="shared" si="21"/>
        <v/>
      </c>
      <c r="W44" s="127" t="str">
        <f t="shared" si="21"/>
        <v/>
      </c>
      <c r="X44" s="127" t="str">
        <f t="shared" si="21"/>
        <v/>
      </c>
      <c r="Y44" s="127" t="str">
        <f t="shared" si="21"/>
        <v/>
      </c>
      <c r="Z44" s="127" t="str">
        <f t="shared" si="21"/>
        <v/>
      </c>
      <c r="AA44" s="127" t="str">
        <f t="shared" si="21"/>
        <v/>
      </c>
      <c r="AB44" s="127" t="str">
        <f t="shared" si="21"/>
        <v/>
      </c>
      <c r="AC44" s="127" t="str">
        <f t="shared" si="21"/>
        <v/>
      </c>
      <c r="AD44" s="127" t="str">
        <f t="shared" si="21"/>
        <v/>
      </c>
      <c r="AE44" s="127" t="str">
        <f t="shared" si="21"/>
        <v/>
      </c>
      <c r="AF44" s="127" t="str">
        <f t="shared" si="21"/>
        <v/>
      </c>
      <c r="AG44" s="127" t="str">
        <f t="shared" si="19"/>
        <v/>
      </c>
      <c r="AH44" s="127" t="str">
        <f t="shared" si="19"/>
        <v/>
      </c>
      <c r="AI44" s="127" t="str">
        <f t="shared" si="19"/>
        <v/>
      </c>
      <c r="AJ44" s="127" t="str">
        <f t="shared" si="19"/>
        <v/>
      </c>
      <c r="AK44" s="127" t="str">
        <f t="shared" si="19"/>
        <v/>
      </c>
      <c r="AL44" s="127" t="str">
        <f t="shared" si="19"/>
        <v/>
      </c>
      <c r="AM44" s="127" t="str">
        <f t="shared" si="19"/>
        <v/>
      </c>
      <c r="AN44" s="127" t="str">
        <f t="shared" si="19"/>
        <v/>
      </c>
      <c r="AO44" s="127" t="str">
        <f t="shared" si="19"/>
        <v/>
      </c>
      <c r="AP44" s="127" t="str">
        <f t="shared" si="19"/>
        <v/>
      </c>
      <c r="AQ44" s="127" t="str">
        <f t="shared" si="19"/>
        <v/>
      </c>
      <c r="AR44" s="127" t="str">
        <f t="shared" si="19"/>
        <v/>
      </c>
      <c r="AS44" s="127" t="str">
        <f t="shared" si="19"/>
        <v/>
      </c>
      <c r="AT44" s="127" t="str">
        <f t="shared" si="19"/>
        <v/>
      </c>
      <c r="AU44" s="127" t="str">
        <f t="shared" si="19"/>
        <v/>
      </c>
      <c r="AV44" s="127" t="str">
        <f t="shared" si="29"/>
        <v/>
      </c>
      <c r="AW44" s="127" t="str">
        <f t="shared" si="22"/>
        <v>▲</v>
      </c>
      <c r="AX44" s="127" t="str">
        <f t="shared" si="22"/>
        <v/>
      </c>
      <c r="AY44" s="127" t="str">
        <f t="shared" si="22"/>
        <v/>
      </c>
      <c r="AZ44" s="127" t="str">
        <f t="shared" si="22"/>
        <v/>
      </c>
      <c r="BA44" s="127" t="str">
        <f t="shared" si="22"/>
        <v/>
      </c>
      <c r="BB44" s="127" t="str">
        <f t="shared" si="22"/>
        <v/>
      </c>
      <c r="BC44" s="127" t="str">
        <f t="shared" si="22"/>
        <v/>
      </c>
      <c r="BD44" s="127" t="str">
        <f t="shared" si="22"/>
        <v/>
      </c>
      <c r="BE44" s="127" t="str">
        <f t="shared" si="22"/>
        <v/>
      </c>
      <c r="BF44" s="127" t="str">
        <f t="shared" si="22"/>
        <v/>
      </c>
      <c r="BG44" s="127" t="str">
        <f t="shared" si="22"/>
        <v/>
      </c>
      <c r="BH44" s="127" t="str">
        <f t="shared" si="22"/>
        <v/>
      </c>
      <c r="BI44" s="127" t="str">
        <f t="shared" si="22"/>
        <v/>
      </c>
      <c r="BJ44" s="127" t="str">
        <f t="shared" si="22"/>
        <v/>
      </c>
      <c r="BK44" s="127" t="str">
        <f t="shared" si="22"/>
        <v/>
      </c>
      <c r="BL44" s="127" t="str">
        <f t="shared" si="22"/>
        <v/>
      </c>
      <c r="BM44" s="127" t="str">
        <f t="shared" si="20"/>
        <v/>
      </c>
      <c r="BN44" s="127" t="str">
        <f t="shared" si="20"/>
        <v/>
      </c>
      <c r="BO44" s="127" t="str">
        <f t="shared" si="20"/>
        <v/>
      </c>
      <c r="BP44" s="127" t="str">
        <f t="shared" si="20"/>
        <v/>
      </c>
      <c r="BQ44" s="127" t="str">
        <f t="shared" si="20"/>
        <v/>
      </c>
      <c r="BR44" s="127" t="str">
        <f t="shared" si="20"/>
        <v/>
      </c>
      <c r="BS44" s="127" t="str">
        <f t="shared" si="20"/>
        <v/>
      </c>
      <c r="BT44" s="127" t="str">
        <f t="shared" si="20"/>
        <v/>
      </c>
      <c r="BU44" s="127" t="str">
        <f t="shared" si="20"/>
        <v/>
      </c>
      <c r="BV44" s="127" t="str">
        <f t="shared" si="20"/>
        <v/>
      </c>
      <c r="BW44" s="127" t="str">
        <f t="shared" si="20"/>
        <v/>
      </c>
      <c r="BX44" s="127" t="str">
        <f t="shared" si="20"/>
        <v/>
      </c>
      <c r="BY44" s="127" t="str">
        <f t="shared" si="20"/>
        <v/>
      </c>
      <c r="BZ44" s="127" t="str">
        <f t="shared" si="20"/>
        <v/>
      </c>
      <c r="CA44" s="127" t="str">
        <f t="shared" si="20"/>
        <v/>
      </c>
      <c r="CB44" s="127" t="str">
        <f t="shared" si="30"/>
        <v/>
      </c>
      <c r="CC44" s="127" t="str">
        <f t="shared" si="30"/>
        <v/>
      </c>
      <c r="CD44" s="127" t="str">
        <f t="shared" si="30"/>
        <v/>
      </c>
    </row>
    <row r="45" spans="1:82" ht="12.6" customHeight="1" x14ac:dyDescent="0.2">
      <c r="A45" s="106">
        <f>SHIPMENTS!A51</f>
        <v>8938</v>
      </c>
      <c r="B45" s="106" t="str">
        <f>SHIPMENTS!B51</f>
        <v>9600-NEW ZEALAND</v>
      </c>
      <c r="C45" s="132">
        <f>SHIPMENTS!F51</f>
        <v>36.496094285714285</v>
      </c>
      <c r="D45" s="107" t="str">
        <f>IF((SHIPMENTS!I51)=0,"",SHIPMENTS!I51)</f>
        <v>1X20</v>
      </c>
      <c r="E45" s="176" t="str">
        <f>IF((SHIPMENTS!G51)=0,"",SHIPMENTS!G51)</f>
        <v>TBA</v>
      </c>
      <c r="F45" s="98">
        <f>VLOOKUP(A45,load!$A$4:$Y$5001,24,0)</f>
        <v>41.160499999999992</v>
      </c>
      <c r="G45" s="109">
        <f>Manhours!$C$8</f>
        <v>16</v>
      </c>
      <c r="H45" s="98">
        <f t="shared" si="23"/>
        <v>145.6</v>
      </c>
      <c r="I45" s="99">
        <f t="shared" si="24"/>
        <v>0.28269574175824169</v>
      </c>
      <c r="J45" s="99">
        <f t="shared" si="25"/>
        <v>2.5725312499999995</v>
      </c>
      <c r="K45" s="98">
        <f t="shared" si="26"/>
        <v>1.1307829670329672E-2</v>
      </c>
      <c r="L45" s="98">
        <f t="shared" si="27"/>
        <v>0.10290124999999994</v>
      </c>
      <c r="M45" s="181">
        <f>IF(F45&gt;0,(MS!M45+2),N44)</f>
        <v>46316.602965628816</v>
      </c>
      <c r="N45" s="181">
        <f t="shared" si="28"/>
        <v>46316.614273458486</v>
      </c>
      <c r="O45" s="112">
        <f>VLOOKUP(A45,SHIPMENTS!$A$7:$AP$76,11,0)</f>
        <v>0.96</v>
      </c>
      <c r="P45" s="101"/>
      <c r="Q45" s="127" t="str">
        <f t="shared" si="21"/>
        <v/>
      </c>
      <c r="R45" s="127" t="str">
        <f t="shared" si="21"/>
        <v/>
      </c>
      <c r="S45" s="127" t="str">
        <f t="shared" si="21"/>
        <v/>
      </c>
      <c r="T45" s="127" t="str">
        <f t="shared" si="21"/>
        <v/>
      </c>
      <c r="U45" s="127" t="str">
        <f t="shared" si="21"/>
        <v/>
      </c>
      <c r="V45" s="127" t="str">
        <f t="shared" si="21"/>
        <v/>
      </c>
      <c r="W45" s="127" t="str">
        <f t="shared" si="21"/>
        <v/>
      </c>
      <c r="X45" s="127" t="str">
        <f t="shared" si="21"/>
        <v/>
      </c>
      <c r="Y45" s="127" t="str">
        <f t="shared" si="21"/>
        <v/>
      </c>
      <c r="Z45" s="127" t="str">
        <f t="shared" si="21"/>
        <v/>
      </c>
      <c r="AA45" s="127" t="str">
        <f t="shared" si="21"/>
        <v/>
      </c>
      <c r="AB45" s="127" t="str">
        <f t="shared" si="21"/>
        <v/>
      </c>
      <c r="AC45" s="127" t="str">
        <f t="shared" si="21"/>
        <v/>
      </c>
      <c r="AD45" s="127" t="str">
        <f t="shared" si="21"/>
        <v/>
      </c>
      <c r="AE45" s="127" t="str">
        <f t="shared" si="21"/>
        <v/>
      </c>
      <c r="AF45" s="127" t="str">
        <f t="shared" si="21"/>
        <v/>
      </c>
      <c r="AG45" s="127" t="str">
        <f t="shared" si="19"/>
        <v/>
      </c>
      <c r="AH45" s="127" t="str">
        <f t="shared" si="19"/>
        <v/>
      </c>
      <c r="AI45" s="127" t="str">
        <f t="shared" si="19"/>
        <v/>
      </c>
      <c r="AJ45" s="127" t="str">
        <f t="shared" si="19"/>
        <v/>
      </c>
      <c r="AK45" s="127" t="str">
        <f t="shared" si="19"/>
        <v/>
      </c>
      <c r="AL45" s="127" t="str">
        <f t="shared" si="19"/>
        <v/>
      </c>
      <c r="AM45" s="127" t="str">
        <f t="shared" si="19"/>
        <v/>
      </c>
      <c r="AN45" s="127" t="str">
        <f t="shared" si="19"/>
        <v/>
      </c>
      <c r="AO45" s="127" t="str">
        <f t="shared" si="19"/>
        <v/>
      </c>
      <c r="AP45" s="127" t="str">
        <f t="shared" si="19"/>
        <v/>
      </c>
      <c r="AQ45" s="127" t="str">
        <f t="shared" si="19"/>
        <v/>
      </c>
      <c r="AR45" s="127" t="str">
        <f t="shared" si="19"/>
        <v/>
      </c>
      <c r="AS45" s="127" t="str">
        <f t="shared" si="19"/>
        <v/>
      </c>
      <c r="AT45" s="127" t="str">
        <f t="shared" si="19"/>
        <v/>
      </c>
      <c r="AU45" s="127" t="str">
        <f t="shared" si="19"/>
        <v/>
      </c>
      <c r="AV45" s="127" t="str">
        <f t="shared" si="29"/>
        <v/>
      </c>
      <c r="AW45" s="127" t="str">
        <f t="shared" si="22"/>
        <v/>
      </c>
      <c r="AX45" s="127" t="str">
        <f t="shared" si="22"/>
        <v/>
      </c>
      <c r="AY45" s="127" t="str">
        <f t="shared" si="22"/>
        <v/>
      </c>
      <c r="AZ45" s="127" t="str">
        <f t="shared" si="22"/>
        <v/>
      </c>
      <c r="BA45" s="127" t="str">
        <f t="shared" si="22"/>
        <v/>
      </c>
      <c r="BB45" s="127" t="str">
        <f t="shared" si="22"/>
        <v/>
      </c>
      <c r="BC45" s="127" t="str">
        <f t="shared" si="22"/>
        <v/>
      </c>
      <c r="BD45" s="127" t="str">
        <f t="shared" si="22"/>
        <v/>
      </c>
      <c r="BE45" s="127" t="str">
        <f t="shared" si="22"/>
        <v/>
      </c>
      <c r="BF45" s="127" t="str">
        <f t="shared" si="22"/>
        <v/>
      </c>
      <c r="BG45" s="127" t="str">
        <f t="shared" si="22"/>
        <v/>
      </c>
      <c r="BH45" s="127" t="str">
        <f t="shared" si="22"/>
        <v/>
      </c>
      <c r="BI45" s="127" t="str">
        <f t="shared" si="22"/>
        <v/>
      </c>
      <c r="BJ45" s="127" t="str">
        <f t="shared" si="22"/>
        <v/>
      </c>
      <c r="BK45" s="127" t="str">
        <f t="shared" si="22"/>
        <v/>
      </c>
      <c r="BL45" s="127" t="str">
        <f t="shared" si="22"/>
        <v/>
      </c>
      <c r="BM45" s="127" t="str">
        <f t="shared" si="20"/>
        <v/>
      </c>
      <c r="BN45" s="127" t="str">
        <f t="shared" si="20"/>
        <v/>
      </c>
      <c r="BO45" s="127" t="str">
        <f t="shared" si="20"/>
        <v/>
      </c>
      <c r="BP45" s="127" t="str">
        <f t="shared" si="20"/>
        <v/>
      </c>
      <c r="BQ45" s="127" t="str">
        <f t="shared" si="20"/>
        <v/>
      </c>
      <c r="BR45" s="127" t="str">
        <f t="shared" si="20"/>
        <v/>
      </c>
      <c r="BS45" s="127" t="str">
        <f t="shared" si="20"/>
        <v/>
      </c>
      <c r="BT45" s="127" t="str">
        <f t="shared" si="20"/>
        <v/>
      </c>
      <c r="BU45" s="127" t="str">
        <f t="shared" si="20"/>
        <v/>
      </c>
      <c r="BV45" s="127" t="str">
        <f t="shared" si="20"/>
        <v/>
      </c>
      <c r="BW45" s="127" t="str">
        <f t="shared" si="20"/>
        <v/>
      </c>
      <c r="BX45" s="127" t="str">
        <f t="shared" si="20"/>
        <v/>
      </c>
      <c r="BY45" s="127" t="str">
        <f t="shared" si="20"/>
        <v/>
      </c>
      <c r="BZ45" s="127" t="str">
        <f t="shared" si="20"/>
        <v/>
      </c>
      <c r="CA45" s="127" t="str">
        <f t="shared" si="20"/>
        <v/>
      </c>
      <c r="CB45" s="127" t="str">
        <f t="shared" si="30"/>
        <v/>
      </c>
      <c r="CC45" s="127" t="str">
        <f t="shared" si="30"/>
        <v/>
      </c>
      <c r="CD45" s="127" t="str">
        <f t="shared" si="30"/>
        <v/>
      </c>
    </row>
    <row r="46" spans="1:82" ht="12.6" customHeight="1" x14ac:dyDescent="0.2">
      <c r="A46" s="106">
        <f>SHIPMENTS!A52</f>
        <v>9153</v>
      </c>
      <c r="B46" s="106" t="str">
        <f>SHIPMENTS!B52</f>
        <v>9600-NEW ZEALAND</v>
      </c>
      <c r="C46" s="132">
        <f>SHIPMENTS!F52</f>
        <v>0</v>
      </c>
      <c r="D46" s="107" t="str">
        <f>IF((SHIPMENTS!I52)=0,"",SHIPMENTS!I52)</f>
        <v/>
      </c>
      <c r="E46" s="176" t="str">
        <f>IF((SHIPMENTS!G52)=0,"",SHIPMENTS!G52)</f>
        <v>TBA</v>
      </c>
      <c r="F46" s="98">
        <f>VLOOKUP(A46,load!$A$4:$Y$5001,24,0)</f>
        <v>6.2333333333333338E-2</v>
      </c>
      <c r="G46" s="109">
        <f>Manhours!$C$8</f>
        <v>16</v>
      </c>
      <c r="H46" s="98">
        <f t="shared" ref="H46:H52" si="31">+G46*$H$4</f>
        <v>145.6</v>
      </c>
      <c r="I46" s="99">
        <f t="shared" ref="I46:I52" si="32">F46/H46</f>
        <v>4.2811355311355315E-4</v>
      </c>
      <c r="J46" s="99">
        <f t="shared" ref="J46:J52" si="33">+I46*$H$4</f>
        <v>3.8958333333333336E-3</v>
      </c>
      <c r="K46" s="98">
        <f t="shared" ref="K46:K52" si="34">IFERROR(I46-(I46*O46),0)</f>
        <v>4.2811355311355315E-4</v>
      </c>
      <c r="L46" s="98">
        <f t="shared" ref="L46:L52" si="35">IFERROR(J46-(J46*O46),0)</f>
        <v>3.8958333333333336E-3</v>
      </c>
      <c r="M46" s="181">
        <f>IF(F46&gt;0,(MS!M46+2),N45)</f>
        <v>46316.622767826615</v>
      </c>
      <c r="N46" s="181">
        <f t="shared" ref="N46:N52" si="36">M46+K46</f>
        <v>46316.62319594017</v>
      </c>
      <c r="O46" s="112">
        <f>VLOOKUP(A46,SHIPMENTS!$A$7:$AP$76,11,0)</f>
        <v>0</v>
      </c>
      <c r="P46" s="101"/>
      <c r="Q46" s="127" t="str">
        <f t="shared" si="21"/>
        <v/>
      </c>
      <c r="R46" s="127" t="str">
        <f t="shared" si="21"/>
        <v/>
      </c>
      <c r="S46" s="127" t="str">
        <f t="shared" si="21"/>
        <v/>
      </c>
      <c r="T46" s="127" t="str">
        <f t="shared" si="21"/>
        <v/>
      </c>
      <c r="U46" s="127" t="str">
        <f t="shared" si="21"/>
        <v/>
      </c>
      <c r="V46" s="127" t="str">
        <f t="shared" si="21"/>
        <v/>
      </c>
      <c r="W46" s="127" t="str">
        <f t="shared" si="21"/>
        <v/>
      </c>
      <c r="X46" s="127" t="str">
        <f t="shared" si="21"/>
        <v/>
      </c>
      <c r="Y46" s="127" t="str">
        <f t="shared" si="21"/>
        <v/>
      </c>
      <c r="Z46" s="127" t="str">
        <f t="shared" si="21"/>
        <v/>
      </c>
      <c r="AA46" s="127" t="str">
        <f t="shared" si="21"/>
        <v/>
      </c>
      <c r="AB46" s="127" t="str">
        <f t="shared" si="21"/>
        <v/>
      </c>
      <c r="AC46" s="127" t="str">
        <f t="shared" si="21"/>
        <v/>
      </c>
      <c r="AD46" s="127" t="str">
        <f t="shared" si="21"/>
        <v/>
      </c>
      <c r="AE46" s="127" t="str">
        <f t="shared" si="21"/>
        <v/>
      </c>
      <c r="AF46" s="127" t="str">
        <f t="shared" si="21"/>
        <v/>
      </c>
      <c r="AG46" s="127" t="str">
        <f t="shared" si="19"/>
        <v/>
      </c>
      <c r="AH46" s="127" t="str">
        <f t="shared" si="19"/>
        <v/>
      </c>
      <c r="AI46" s="127" t="str">
        <f t="shared" si="19"/>
        <v/>
      </c>
      <c r="AJ46" s="127" t="str">
        <f t="shared" si="19"/>
        <v/>
      </c>
      <c r="AK46" s="127" t="str">
        <f t="shared" si="19"/>
        <v/>
      </c>
      <c r="AL46" s="127" t="str">
        <f t="shared" si="19"/>
        <v/>
      </c>
      <c r="AM46" s="127" t="str">
        <f t="shared" si="19"/>
        <v/>
      </c>
      <c r="AN46" s="127" t="str">
        <f t="shared" si="19"/>
        <v/>
      </c>
      <c r="AO46" s="127" t="str">
        <f t="shared" si="19"/>
        <v/>
      </c>
      <c r="AP46" s="127" t="str">
        <f t="shared" si="19"/>
        <v/>
      </c>
      <c r="AQ46" s="127" t="str">
        <f t="shared" si="19"/>
        <v/>
      </c>
      <c r="AR46" s="127" t="str">
        <f t="shared" si="19"/>
        <v/>
      </c>
      <c r="AS46" s="127" t="str">
        <f t="shared" si="19"/>
        <v/>
      </c>
      <c r="AT46" s="127" t="str">
        <f t="shared" si="19"/>
        <v/>
      </c>
      <c r="AU46" s="127" t="str">
        <f t="shared" si="19"/>
        <v/>
      </c>
      <c r="AV46" s="127" t="str">
        <f t="shared" si="29"/>
        <v/>
      </c>
      <c r="AW46" s="127" t="str">
        <f t="shared" si="22"/>
        <v/>
      </c>
      <c r="AX46" s="127" t="str">
        <f t="shared" si="22"/>
        <v/>
      </c>
      <c r="AY46" s="127" t="str">
        <f t="shared" si="22"/>
        <v/>
      </c>
      <c r="AZ46" s="127" t="str">
        <f t="shared" si="22"/>
        <v/>
      </c>
      <c r="BA46" s="127" t="str">
        <f t="shared" si="22"/>
        <v/>
      </c>
      <c r="BB46" s="127" t="str">
        <f t="shared" si="22"/>
        <v/>
      </c>
      <c r="BC46" s="127" t="str">
        <f t="shared" si="22"/>
        <v/>
      </c>
      <c r="BD46" s="127" t="str">
        <f t="shared" si="22"/>
        <v/>
      </c>
      <c r="BE46" s="127" t="str">
        <f t="shared" si="22"/>
        <v/>
      </c>
      <c r="BF46" s="127" t="str">
        <f t="shared" si="22"/>
        <v/>
      </c>
      <c r="BG46" s="127" t="str">
        <f t="shared" si="22"/>
        <v/>
      </c>
      <c r="BH46" s="127" t="str">
        <f t="shared" si="22"/>
        <v/>
      </c>
      <c r="BI46" s="127" t="str">
        <f t="shared" si="22"/>
        <v/>
      </c>
      <c r="BJ46" s="127" t="str">
        <f t="shared" si="22"/>
        <v/>
      </c>
      <c r="BK46" s="127" t="str">
        <f t="shared" si="22"/>
        <v/>
      </c>
      <c r="BL46" s="127" t="str">
        <f t="shared" si="22"/>
        <v/>
      </c>
      <c r="BM46" s="127" t="str">
        <f t="shared" si="20"/>
        <v/>
      </c>
      <c r="BN46" s="127" t="str">
        <f t="shared" si="20"/>
        <v/>
      </c>
      <c r="BO46" s="127" t="str">
        <f t="shared" si="20"/>
        <v/>
      </c>
      <c r="BP46" s="127" t="str">
        <f t="shared" si="20"/>
        <v/>
      </c>
      <c r="BQ46" s="127" t="str">
        <f t="shared" si="20"/>
        <v/>
      </c>
      <c r="BR46" s="127" t="str">
        <f t="shared" si="20"/>
        <v/>
      </c>
      <c r="BS46" s="127" t="str">
        <f t="shared" si="20"/>
        <v/>
      </c>
      <c r="BT46" s="127" t="str">
        <f t="shared" si="20"/>
        <v/>
      </c>
      <c r="BU46" s="127" t="str">
        <f t="shared" si="20"/>
        <v/>
      </c>
      <c r="BV46" s="127" t="str">
        <f t="shared" si="20"/>
        <v/>
      </c>
      <c r="BW46" s="127" t="str">
        <f t="shared" si="20"/>
        <v/>
      </c>
      <c r="BX46" s="127" t="str">
        <f t="shared" si="20"/>
        <v/>
      </c>
      <c r="BY46" s="127" t="str">
        <f t="shared" si="20"/>
        <v/>
      </c>
      <c r="BZ46" s="127" t="str">
        <f t="shared" si="20"/>
        <v/>
      </c>
      <c r="CA46" s="127" t="str">
        <f t="shared" si="20"/>
        <v/>
      </c>
      <c r="CB46" s="127" t="str">
        <f t="shared" si="30"/>
        <v/>
      </c>
      <c r="CC46" s="127" t="str">
        <f t="shared" si="30"/>
        <v/>
      </c>
      <c r="CD46" s="127" t="str">
        <f t="shared" si="30"/>
        <v/>
      </c>
    </row>
    <row r="47" spans="1:82" ht="12.6" hidden="1" customHeight="1" x14ac:dyDescent="0.2">
      <c r="A47" s="106">
        <f>SHIPMENTS!A53</f>
        <v>8294</v>
      </c>
      <c r="B47" s="106" t="str">
        <f>SHIPMENTS!B53</f>
        <v>9600-NEW ZEALAND BACKLOG</v>
      </c>
      <c r="C47" s="132">
        <f>SHIPMENTS!F53</f>
        <v>0</v>
      </c>
      <c r="D47" s="107" t="str">
        <f>IF((SHIPMENTS!I53)=0,"",SHIPMENTS!I53)</f>
        <v/>
      </c>
      <c r="E47" s="176" t="str">
        <f>IF((SHIPMENTS!G53)=0,"",SHIPMENTS!G53)</f>
        <v>TBA</v>
      </c>
      <c r="F47" s="98">
        <f>VLOOKUP(A47,load!$A$4:$Y$5001,24,0)</f>
        <v>0</v>
      </c>
      <c r="G47" s="109">
        <f>Manhours!$C$8</f>
        <v>16</v>
      </c>
      <c r="H47" s="98">
        <f t="shared" si="31"/>
        <v>145.6</v>
      </c>
      <c r="I47" s="99">
        <f t="shared" si="32"/>
        <v>0</v>
      </c>
      <c r="J47" s="99">
        <f t="shared" si="33"/>
        <v>0</v>
      </c>
      <c r="K47" s="98">
        <f t="shared" si="34"/>
        <v>0</v>
      </c>
      <c r="L47" s="98">
        <f t="shared" si="35"/>
        <v>0</v>
      </c>
      <c r="M47" s="181">
        <f>IF(F47&gt;0,(MS!M47+2),N46)</f>
        <v>46316.62319594017</v>
      </c>
      <c r="N47" s="85">
        <f>N73+N76</f>
        <v>0</v>
      </c>
      <c r="O47" s="112" t="str">
        <f>VLOOKUP(A47,SHIPMENTS!$A$7:$AP$76,11,0)</f>
        <v>n/a</v>
      </c>
      <c r="P47" s="101"/>
      <c r="Q47" s="127" t="str">
        <f t="shared" si="21"/>
        <v/>
      </c>
      <c r="R47" s="127" t="str">
        <f t="shared" si="21"/>
        <v/>
      </c>
      <c r="S47" s="127" t="str">
        <f t="shared" si="21"/>
        <v/>
      </c>
      <c r="T47" s="127" t="str">
        <f t="shared" si="21"/>
        <v/>
      </c>
      <c r="U47" s="127" t="str">
        <f t="shared" si="21"/>
        <v/>
      </c>
      <c r="V47" s="127" t="str">
        <f t="shared" si="21"/>
        <v/>
      </c>
      <c r="W47" s="127" t="str">
        <f t="shared" si="21"/>
        <v/>
      </c>
      <c r="X47" s="127" t="str">
        <f t="shared" si="21"/>
        <v/>
      </c>
      <c r="Y47" s="127" t="str">
        <f t="shared" si="21"/>
        <v/>
      </c>
      <c r="Z47" s="127" t="str">
        <f t="shared" si="21"/>
        <v/>
      </c>
      <c r="AA47" s="127" t="str">
        <f t="shared" si="21"/>
        <v/>
      </c>
      <c r="AB47" s="127" t="str">
        <f t="shared" si="21"/>
        <v/>
      </c>
      <c r="AC47" s="127" t="str">
        <f t="shared" si="21"/>
        <v/>
      </c>
      <c r="AD47" s="127" t="str">
        <f t="shared" si="21"/>
        <v/>
      </c>
      <c r="AE47" s="127" t="str">
        <f t="shared" si="21"/>
        <v/>
      </c>
      <c r="AF47" s="127" t="str">
        <f t="shared" ref="AF47:AU53" si="37">IF($E47=AF$3,"▲","")</f>
        <v/>
      </c>
      <c r="AG47" s="127" t="str">
        <f t="shared" si="37"/>
        <v/>
      </c>
      <c r="AH47" s="127" t="str">
        <f t="shared" si="37"/>
        <v/>
      </c>
      <c r="AI47" s="127" t="str">
        <f t="shared" si="37"/>
        <v/>
      </c>
      <c r="AJ47" s="127" t="str">
        <f t="shared" si="37"/>
        <v/>
      </c>
      <c r="AK47" s="127" t="str">
        <f t="shared" si="37"/>
        <v/>
      </c>
      <c r="AL47" s="127" t="str">
        <f t="shared" si="37"/>
        <v/>
      </c>
      <c r="AM47" s="127" t="str">
        <f t="shared" si="37"/>
        <v/>
      </c>
      <c r="AN47" s="127" t="str">
        <f t="shared" si="37"/>
        <v/>
      </c>
      <c r="AO47" s="127" t="str">
        <f t="shared" si="37"/>
        <v/>
      </c>
      <c r="AP47" s="127" t="str">
        <f t="shared" si="37"/>
        <v/>
      </c>
      <c r="AQ47" s="127" t="str">
        <f t="shared" si="37"/>
        <v/>
      </c>
      <c r="AR47" s="127" t="str">
        <f t="shared" si="37"/>
        <v/>
      </c>
      <c r="AS47" s="127" t="str">
        <f t="shared" si="37"/>
        <v/>
      </c>
      <c r="AT47" s="127" t="str">
        <f t="shared" si="37"/>
        <v/>
      </c>
      <c r="AU47" s="127" t="str">
        <f t="shared" si="37"/>
        <v/>
      </c>
      <c r="AV47" s="127" t="str">
        <f t="shared" si="29"/>
        <v/>
      </c>
      <c r="AW47" s="127" t="str">
        <f t="shared" si="22"/>
        <v/>
      </c>
      <c r="AX47" s="127" t="str">
        <f t="shared" si="22"/>
        <v/>
      </c>
      <c r="AY47" s="127" t="str">
        <f t="shared" si="22"/>
        <v/>
      </c>
      <c r="AZ47" s="127" t="str">
        <f t="shared" si="22"/>
        <v/>
      </c>
      <c r="BA47" s="127" t="str">
        <f t="shared" si="22"/>
        <v/>
      </c>
      <c r="BB47" s="127" t="str">
        <f t="shared" si="22"/>
        <v/>
      </c>
      <c r="BC47" s="127" t="str">
        <f t="shared" si="22"/>
        <v/>
      </c>
      <c r="BD47" s="127" t="str">
        <f t="shared" si="22"/>
        <v/>
      </c>
      <c r="BE47" s="127" t="str">
        <f t="shared" si="22"/>
        <v/>
      </c>
      <c r="BF47" s="127" t="str">
        <f t="shared" si="22"/>
        <v/>
      </c>
      <c r="BG47" s="127" t="str">
        <f t="shared" si="22"/>
        <v/>
      </c>
      <c r="BH47" s="127" t="str">
        <f t="shared" si="22"/>
        <v/>
      </c>
      <c r="BI47" s="127" t="str">
        <f t="shared" si="22"/>
        <v/>
      </c>
      <c r="BJ47" s="127" t="str">
        <f t="shared" si="22"/>
        <v/>
      </c>
      <c r="BK47" s="127" t="str">
        <f t="shared" si="22"/>
        <v/>
      </c>
      <c r="BL47" s="127" t="str">
        <f t="shared" ref="BL47:CA53" si="38">IF($E47=BL$3,"▲","")</f>
        <v/>
      </c>
      <c r="BM47" s="127" t="str">
        <f t="shared" si="38"/>
        <v/>
      </c>
      <c r="BN47" s="127" t="str">
        <f t="shared" si="38"/>
        <v/>
      </c>
      <c r="BO47" s="127" t="str">
        <f t="shared" si="38"/>
        <v/>
      </c>
      <c r="BP47" s="127" t="str">
        <f t="shared" si="38"/>
        <v/>
      </c>
      <c r="BQ47" s="127" t="str">
        <f t="shared" si="38"/>
        <v/>
      </c>
      <c r="BR47" s="127" t="str">
        <f t="shared" si="38"/>
        <v/>
      </c>
      <c r="BS47" s="127" t="str">
        <f t="shared" si="38"/>
        <v/>
      </c>
      <c r="BT47" s="127" t="str">
        <f t="shared" si="38"/>
        <v/>
      </c>
      <c r="BU47" s="127" t="str">
        <f t="shared" si="38"/>
        <v/>
      </c>
      <c r="BV47" s="127" t="str">
        <f t="shared" si="38"/>
        <v/>
      </c>
      <c r="BW47" s="127" t="str">
        <f t="shared" si="38"/>
        <v/>
      </c>
      <c r="BX47" s="127" t="str">
        <f t="shared" si="38"/>
        <v/>
      </c>
      <c r="BY47" s="127" t="str">
        <f t="shared" si="38"/>
        <v/>
      </c>
      <c r="BZ47" s="127" t="str">
        <f t="shared" si="38"/>
        <v/>
      </c>
      <c r="CA47" s="127" t="str">
        <f t="shared" si="38"/>
        <v/>
      </c>
      <c r="CB47" s="127" t="str">
        <f t="shared" si="30"/>
        <v/>
      </c>
      <c r="CC47" s="127" t="str">
        <f t="shared" si="30"/>
        <v/>
      </c>
      <c r="CD47" s="127" t="str">
        <f t="shared" si="30"/>
        <v/>
      </c>
    </row>
    <row r="48" spans="1:82" ht="12.6" hidden="1" customHeight="1" x14ac:dyDescent="0.2">
      <c r="A48" s="106">
        <f>SHIPMENTS!A54</f>
        <v>7114</v>
      </c>
      <c r="B48" s="106" t="str">
        <f>SHIPMENTS!B54</f>
        <v>9600-NEW ZEALAND BACKLOG</v>
      </c>
      <c r="C48" s="132">
        <f>SHIPMENTS!F54</f>
        <v>0</v>
      </c>
      <c r="D48" s="107" t="str">
        <f>IF((SHIPMENTS!I54)=0,"",SHIPMENTS!I54)</f>
        <v/>
      </c>
      <c r="E48" s="176" t="str">
        <f>IF((SHIPMENTS!G54)=0,"",SHIPMENTS!G54)</f>
        <v/>
      </c>
      <c r="F48" s="98">
        <f>VLOOKUP(A48,load!$A$4:$Y$5001,24,0)</f>
        <v>0</v>
      </c>
      <c r="G48" s="109">
        <f>Manhours!$C$8</f>
        <v>16</v>
      </c>
      <c r="H48" s="98">
        <f t="shared" si="31"/>
        <v>145.6</v>
      </c>
      <c r="I48" s="99">
        <f t="shared" si="32"/>
        <v>0</v>
      </c>
      <c r="J48" s="99">
        <f t="shared" si="33"/>
        <v>0</v>
      </c>
      <c r="K48" s="98">
        <f t="shared" si="34"/>
        <v>0</v>
      </c>
      <c r="L48" s="98">
        <f t="shared" si="35"/>
        <v>0</v>
      </c>
      <c r="M48" s="181">
        <f>IF(F48&gt;0,(MS!M48+2),N47)</f>
        <v>0</v>
      </c>
      <c r="N48" s="181">
        <f t="shared" si="36"/>
        <v>0</v>
      </c>
      <c r="O48" s="112" t="str">
        <f>VLOOKUP(A48,SHIPMENTS!$A$7:$AP$76,11,0)</f>
        <v>n/a</v>
      </c>
      <c r="P48" s="101"/>
      <c r="Q48" s="127" t="str">
        <f t="shared" ref="Q48:AF53" si="39">IF($E48=Q$3,"▲","")</f>
        <v/>
      </c>
      <c r="R48" s="127" t="str">
        <f t="shared" si="39"/>
        <v/>
      </c>
      <c r="S48" s="127" t="str">
        <f t="shared" si="39"/>
        <v/>
      </c>
      <c r="T48" s="127" t="str">
        <f t="shared" si="39"/>
        <v/>
      </c>
      <c r="U48" s="127" t="str">
        <f t="shared" si="39"/>
        <v/>
      </c>
      <c r="V48" s="127" t="str">
        <f t="shared" si="39"/>
        <v/>
      </c>
      <c r="W48" s="127" t="str">
        <f t="shared" si="39"/>
        <v/>
      </c>
      <c r="X48" s="127" t="str">
        <f t="shared" si="39"/>
        <v/>
      </c>
      <c r="Y48" s="127" t="str">
        <f t="shared" si="39"/>
        <v/>
      </c>
      <c r="Z48" s="127" t="str">
        <f t="shared" si="39"/>
        <v/>
      </c>
      <c r="AA48" s="127" t="str">
        <f t="shared" si="39"/>
        <v/>
      </c>
      <c r="AB48" s="127" t="str">
        <f t="shared" si="39"/>
        <v/>
      </c>
      <c r="AC48" s="127" t="str">
        <f t="shared" si="39"/>
        <v/>
      </c>
      <c r="AD48" s="127" t="str">
        <f t="shared" si="39"/>
        <v/>
      </c>
      <c r="AE48" s="127" t="str">
        <f t="shared" si="39"/>
        <v/>
      </c>
      <c r="AF48" s="127" t="str">
        <f t="shared" si="39"/>
        <v/>
      </c>
      <c r="AG48" s="127" t="str">
        <f t="shared" si="37"/>
        <v/>
      </c>
      <c r="AH48" s="127" t="str">
        <f t="shared" si="37"/>
        <v/>
      </c>
      <c r="AI48" s="127" t="str">
        <f t="shared" si="37"/>
        <v/>
      </c>
      <c r="AJ48" s="127" t="str">
        <f t="shared" si="37"/>
        <v/>
      </c>
      <c r="AK48" s="127" t="str">
        <f t="shared" si="37"/>
        <v/>
      </c>
      <c r="AL48" s="127" t="str">
        <f t="shared" si="37"/>
        <v/>
      </c>
      <c r="AM48" s="127" t="str">
        <f t="shared" si="37"/>
        <v/>
      </c>
      <c r="AN48" s="127" t="str">
        <f t="shared" si="37"/>
        <v/>
      </c>
      <c r="AO48" s="127" t="str">
        <f t="shared" si="37"/>
        <v/>
      </c>
      <c r="AP48" s="127" t="str">
        <f t="shared" si="37"/>
        <v/>
      </c>
      <c r="AQ48" s="127" t="str">
        <f t="shared" si="37"/>
        <v/>
      </c>
      <c r="AR48" s="127" t="str">
        <f t="shared" si="37"/>
        <v/>
      </c>
      <c r="AS48" s="127" t="str">
        <f t="shared" si="37"/>
        <v/>
      </c>
      <c r="AT48" s="127" t="str">
        <f t="shared" si="37"/>
        <v/>
      </c>
      <c r="AU48" s="127" t="str">
        <f t="shared" si="37"/>
        <v/>
      </c>
      <c r="AV48" s="127" t="str">
        <f t="shared" si="29"/>
        <v/>
      </c>
      <c r="AW48" s="127" t="str">
        <f t="shared" si="29"/>
        <v/>
      </c>
      <c r="AX48" s="127" t="str">
        <f t="shared" si="29"/>
        <v/>
      </c>
      <c r="AY48" s="127" t="str">
        <f t="shared" si="29"/>
        <v/>
      </c>
      <c r="AZ48" s="127" t="str">
        <f t="shared" si="29"/>
        <v/>
      </c>
      <c r="BA48" s="127" t="str">
        <f t="shared" si="29"/>
        <v/>
      </c>
      <c r="BB48" s="127" t="str">
        <f t="shared" si="29"/>
        <v/>
      </c>
      <c r="BC48" s="127" t="str">
        <f t="shared" si="29"/>
        <v/>
      </c>
      <c r="BD48" s="127" t="str">
        <f t="shared" si="29"/>
        <v/>
      </c>
      <c r="BE48" s="127" t="str">
        <f t="shared" si="29"/>
        <v/>
      </c>
      <c r="BF48" s="127" t="str">
        <f t="shared" si="29"/>
        <v/>
      </c>
      <c r="BG48" s="127" t="str">
        <f t="shared" si="29"/>
        <v/>
      </c>
      <c r="BH48" s="127" t="str">
        <f t="shared" si="29"/>
        <v/>
      </c>
      <c r="BI48" s="127" t="str">
        <f t="shared" si="29"/>
        <v/>
      </c>
      <c r="BJ48" s="127" t="str">
        <f t="shared" si="29"/>
        <v/>
      </c>
      <c r="BK48" s="127" t="str">
        <f t="shared" si="29"/>
        <v/>
      </c>
      <c r="BL48" s="127" t="str">
        <f t="shared" si="38"/>
        <v/>
      </c>
      <c r="BM48" s="127" t="str">
        <f t="shared" si="38"/>
        <v/>
      </c>
      <c r="BN48" s="127" t="str">
        <f t="shared" si="38"/>
        <v/>
      </c>
      <c r="BO48" s="127" t="str">
        <f t="shared" si="38"/>
        <v/>
      </c>
      <c r="BP48" s="127" t="str">
        <f t="shared" si="38"/>
        <v/>
      </c>
      <c r="BQ48" s="127" t="str">
        <f t="shared" si="38"/>
        <v/>
      </c>
      <c r="BR48" s="127" t="str">
        <f t="shared" si="38"/>
        <v/>
      </c>
      <c r="BS48" s="127" t="str">
        <f t="shared" si="38"/>
        <v/>
      </c>
      <c r="BT48" s="127" t="str">
        <f t="shared" si="38"/>
        <v/>
      </c>
      <c r="BU48" s="127" t="str">
        <f t="shared" si="38"/>
        <v/>
      </c>
      <c r="BV48" s="127" t="str">
        <f t="shared" si="38"/>
        <v/>
      </c>
      <c r="BW48" s="127" t="str">
        <f t="shared" si="38"/>
        <v/>
      </c>
      <c r="BX48" s="127" t="str">
        <f t="shared" si="38"/>
        <v/>
      </c>
      <c r="BY48" s="127" t="str">
        <f t="shared" si="38"/>
        <v/>
      </c>
      <c r="BZ48" s="127" t="str">
        <f t="shared" si="38"/>
        <v/>
      </c>
      <c r="CA48" s="127" t="str">
        <f t="shared" si="38"/>
        <v/>
      </c>
      <c r="CB48" s="127" t="str">
        <f t="shared" si="30"/>
        <v/>
      </c>
      <c r="CC48" s="127" t="str">
        <f t="shared" si="30"/>
        <v/>
      </c>
      <c r="CD48" s="127" t="str">
        <f t="shared" si="30"/>
        <v/>
      </c>
    </row>
    <row r="49" spans="1:82" ht="12.6" hidden="1" customHeight="1" x14ac:dyDescent="0.2">
      <c r="A49" s="106">
        <f>SHIPMENTS!A55</f>
        <v>6967</v>
      </c>
      <c r="B49" s="106" t="str">
        <f>SHIPMENTS!B55</f>
        <v>9600-NEW ZEALAND BACKLOG</v>
      </c>
      <c r="C49" s="132">
        <f>SHIPMENTS!F55</f>
        <v>0</v>
      </c>
      <c r="D49" s="107" t="str">
        <f>IF((SHIPMENTS!I55)=0,"",SHIPMENTS!I55)</f>
        <v/>
      </c>
      <c r="E49" s="176" t="str">
        <f>IF((SHIPMENTS!G55)=0,"",SHIPMENTS!G55)</f>
        <v/>
      </c>
      <c r="F49" s="98">
        <f>VLOOKUP(A49,load!$A$4:$Y$5001,24,0)</f>
        <v>0</v>
      </c>
      <c r="G49" s="109">
        <f>Manhours!$C$8</f>
        <v>16</v>
      </c>
      <c r="H49" s="98">
        <f t="shared" si="31"/>
        <v>145.6</v>
      </c>
      <c r="I49" s="99">
        <f t="shared" si="32"/>
        <v>0</v>
      </c>
      <c r="J49" s="99">
        <f t="shared" si="33"/>
        <v>0</v>
      </c>
      <c r="K49" s="98">
        <f t="shared" si="34"/>
        <v>0</v>
      </c>
      <c r="L49" s="98">
        <f t="shared" si="35"/>
        <v>0</v>
      </c>
      <c r="M49" s="181">
        <f>IF(F49&gt;0,(MS!M49+2),N48)</f>
        <v>0</v>
      </c>
      <c r="N49" s="181">
        <f t="shared" si="36"/>
        <v>0</v>
      </c>
      <c r="O49" s="112" t="str">
        <f>VLOOKUP(A49,SHIPMENTS!$A$7:$AP$76,11,0)</f>
        <v>n/a</v>
      </c>
      <c r="P49" s="101"/>
      <c r="Q49" s="127" t="str">
        <f t="shared" si="39"/>
        <v/>
      </c>
      <c r="R49" s="127" t="str">
        <f t="shared" si="39"/>
        <v/>
      </c>
      <c r="S49" s="127" t="str">
        <f t="shared" si="39"/>
        <v/>
      </c>
      <c r="T49" s="127" t="str">
        <f t="shared" si="39"/>
        <v/>
      </c>
      <c r="U49" s="127" t="str">
        <f t="shared" si="39"/>
        <v/>
      </c>
      <c r="V49" s="127" t="str">
        <f t="shared" si="39"/>
        <v/>
      </c>
      <c r="W49" s="127" t="str">
        <f t="shared" si="39"/>
        <v/>
      </c>
      <c r="X49" s="127" t="str">
        <f t="shared" si="39"/>
        <v/>
      </c>
      <c r="Y49" s="127" t="str">
        <f t="shared" si="39"/>
        <v/>
      </c>
      <c r="Z49" s="127" t="str">
        <f t="shared" si="39"/>
        <v/>
      </c>
      <c r="AA49" s="127" t="str">
        <f t="shared" si="39"/>
        <v/>
      </c>
      <c r="AB49" s="127" t="str">
        <f t="shared" si="39"/>
        <v/>
      </c>
      <c r="AC49" s="127" t="str">
        <f t="shared" si="39"/>
        <v/>
      </c>
      <c r="AD49" s="127" t="str">
        <f t="shared" si="39"/>
        <v/>
      </c>
      <c r="AE49" s="127" t="str">
        <f t="shared" si="39"/>
        <v/>
      </c>
      <c r="AF49" s="127" t="str">
        <f t="shared" si="39"/>
        <v/>
      </c>
      <c r="AG49" s="127" t="str">
        <f t="shared" si="37"/>
        <v/>
      </c>
      <c r="AH49" s="127" t="str">
        <f t="shared" si="37"/>
        <v/>
      </c>
      <c r="AI49" s="127" t="str">
        <f t="shared" si="37"/>
        <v/>
      </c>
      <c r="AJ49" s="127" t="str">
        <f t="shared" si="37"/>
        <v/>
      </c>
      <c r="AK49" s="127" t="str">
        <f t="shared" si="37"/>
        <v/>
      </c>
      <c r="AL49" s="127" t="str">
        <f t="shared" si="37"/>
        <v/>
      </c>
      <c r="AM49" s="127" t="str">
        <f t="shared" si="37"/>
        <v/>
      </c>
      <c r="AN49" s="127" t="str">
        <f t="shared" si="37"/>
        <v/>
      </c>
      <c r="AO49" s="127" t="str">
        <f t="shared" si="37"/>
        <v/>
      </c>
      <c r="AP49" s="127" t="str">
        <f t="shared" si="37"/>
        <v/>
      </c>
      <c r="AQ49" s="127" t="str">
        <f t="shared" si="37"/>
        <v/>
      </c>
      <c r="AR49" s="127" t="str">
        <f t="shared" si="37"/>
        <v/>
      </c>
      <c r="AS49" s="127" t="str">
        <f t="shared" si="37"/>
        <v/>
      </c>
      <c r="AT49" s="127" t="str">
        <f t="shared" si="37"/>
        <v/>
      </c>
      <c r="AU49" s="127" t="str">
        <f t="shared" si="37"/>
        <v/>
      </c>
      <c r="AV49" s="127" t="str">
        <f t="shared" si="29"/>
        <v/>
      </c>
      <c r="AW49" s="127" t="str">
        <f t="shared" si="29"/>
        <v/>
      </c>
      <c r="AX49" s="127" t="str">
        <f t="shared" si="29"/>
        <v/>
      </c>
      <c r="AY49" s="127" t="str">
        <f t="shared" si="29"/>
        <v/>
      </c>
      <c r="AZ49" s="127" t="str">
        <f t="shared" si="29"/>
        <v/>
      </c>
      <c r="BA49" s="127" t="str">
        <f t="shared" si="29"/>
        <v/>
      </c>
      <c r="BB49" s="127" t="str">
        <f t="shared" si="29"/>
        <v/>
      </c>
      <c r="BC49" s="127" t="str">
        <f t="shared" si="29"/>
        <v/>
      </c>
      <c r="BD49" s="127" t="str">
        <f t="shared" si="29"/>
        <v/>
      </c>
      <c r="BE49" s="127" t="str">
        <f t="shared" si="29"/>
        <v/>
      </c>
      <c r="BF49" s="127" t="str">
        <f t="shared" si="29"/>
        <v/>
      </c>
      <c r="BG49" s="127" t="str">
        <f t="shared" si="29"/>
        <v/>
      </c>
      <c r="BH49" s="127" t="str">
        <f t="shared" si="29"/>
        <v/>
      </c>
      <c r="BI49" s="127" t="str">
        <f t="shared" si="29"/>
        <v/>
      </c>
      <c r="BJ49" s="127" t="str">
        <f t="shared" si="29"/>
        <v/>
      </c>
      <c r="BK49" s="127" t="str">
        <f t="shared" si="29"/>
        <v/>
      </c>
      <c r="BL49" s="127" t="str">
        <f t="shared" si="38"/>
        <v/>
      </c>
      <c r="BM49" s="127" t="str">
        <f t="shared" si="38"/>
        <v/>
      </c>
      <c r="BN49" s="127" t="str">
        <f t="shared" si="38"/>
        <v/>
      </c>
      <c r="BO49" s="127" t="str">
        <f t="shared" si="38"/>
        <v/>
      </c>
      <c r="BP49" s="127" t="str">
        <f t="shared" si="38"/>
        <v/>
      </c>
      <c r="BQ49" s="127" t="str">
        <f t="shared" si="38"/>
        <v/>
      </c>
      <c r="BR49" s="127" t="str">
        <f t="shared" si="38"/>
        <v/>
      </c>
      <c r="BS49" s="127" t="str">
        <f t="shared" si="38"/>
        <v/>
      </c>
      <c r="BT49" s="127" t="str">
        <f t="shared" si="38"/>
        <v/>
      </c>
      <c r="BU49" s="127" t="str">
        <f t="shared" si="38"/>
        <v/>
      </c>
      <c r="BV49" s="127" t="str">
        <f t="shared" si="38"/>
        <v/>
      </c>
      <c r="BW49" s="127" t="str">
        <f t="shared" si="38"/>
        <v/>
      </c>
      <c r="BX49" s="127" t="str">
        <f t="shared" si="38"/>
        <v/>
      </c>
      <c r="BY49" s="127" t="str">
        <f t="shared" si="38"/>
        <v/>
      </c>
      <c r="BZ49" s="127" t="str">
        <f t="shared" si="38"/>
        <v/>
      </c>
      <c r="CA49" s="127" t="str">
        <f t="shared" si="38"/>
        <v/>
      </c>
      <c r="CB49" s="127" t="str">
        <f t="shared" si="30"/>
        <v/>
      </c>
      <c r="CC49" s="127" t="str">
        <f t="shared" si="30"/>
        <v/>
      </c>
      <c r="CD49" s="127" t="str">
        <f t="shared" si="30"/>
        <v/>
      </c>
    </row>
    <row r="50" spans="1:82" ht="12.6" hidden="1" customHeight="1" x14ac:dyDescent="0.2">
      <c r="A50" s="106">
        <f>SHIPMENTS!A56</f>
        <v>6646</v>
      </c>
      <c r="B50" s="106" t="str">
        <f>SHIPMENTS!B56</f>
        <v>9600-NEW ZEALAND BACKLOG</v>
      </c>
      <c r="C50" s="132">
        <f>SHIPMENTS!F56</f>
        <v>0</v>
      </c>
      <c r="D50" s="107" t="str">
        <f>IF((SHIPMENTS!I56)=0,"",SHIPMENTS!I56)</f>
        <v/>
      </c>
      <c r="E50" s="176" t="str">
        <f>IF((SHIPMENTS!G56)=0,"",SHIPMENTS!G56)</f>
        <v/>
      </c>
      <c r="F50" s="98">
        <f>VLOOKUP(A50,load!$A$4:$Y$5001,24,0)</f>
        <v>0</v>
      </c>
      <c r="G50" s="109">
        <f>Manhours!$C$8</f>
        <v>16</v>
      </c>
      <c r="H50" s="98">
        <f t="shared" si="31"/>
        <v>145.6</v>
      </c>
      <c r="I50" s="99">
        <f t="shared" si="32"/>
        <v>0</v>
      </c>
      <c r="J50" s="99">
        <f t="shared" si="33"/>
        <v>0</v>
      </c>
      <c r="K50" s="98">
        <f t="shared" si="34"/>
        <v>0</v>
      </c>
      <c r="L50" s="98">
        <f t="shared" si="35"/>
        <v>0</v>
      </c>
      <c r="M50" s="181">
        <f>IF(F50&gt;0,(MS!M50+2),N49)</f>
        <v>0</v>
      </c>
      <c r="N50" s="181">
        <f t="shared" si="36"/>
        <v>0</v>
      </c>
      <c r="O50" s="112" t="str">
        <f>VLOOKUP(A50,SHIPMENTS!$A$7:$AP$76,11,0)</f>
        <v>n/a</v>
      </c>
      <c r="P50" s="101"/>
      <c r="Q50" s="127" t="str">
        <f t="shared" si="39"/>
        <v/>
      </c>
      <c r="R50" s="127" t="str">
        <f t="shared" si="39"/>
        <v/>
      </c>
      <c r="S50" s="127" t="str">
        <f t="shared" si="39"/>
        <v/>
      </c>
      <c r="T50" s="127" t="str">
        <f t="shared" si="39"/>
        <v/>
      </c>
      <c r="U50" s="127" t="str">
        <f t="shared" si="39"/>
        <v/>
      </c>
      <c r="V50" s="127" t="str">
        <f t="shared" si="39"/>
        <v/>
      </c>
      <c r="W50" s="127" t="str">
        <f t="shared" si="39"/>
        <v/>
      </c>
      <c r="X50" s="127" t="str">
        <f t="shared" si="39"/>
        <v/>
      </c>
      <c r="Y50" s="127" t="str">
        <f t="shared" si="39"/>
        <v/>
      </c>
      <c r="Z50" s="127" t="str">
        <f t="shared" si="39"/>
        <v/>
      </c>
      <c r="AA50" s="127" t="str">
        <f t="shared" si="39"/>
        <v/>
      </c>
      <c r="AB50" s="127" t="str">
        <f t="shared" si="39"/>
        <v/>
      </c>
      <c r="AC50" s="127" t="str">
        <f t="shared" si="39"/>
        <v/>
      </c>
      <c r="AD50" s="127" t="str">
        <f t="shared" si="39"/>
        <v/>
      </c>
      <c r="AE50" s="127" t="str">
        <f t="shared" si="39"/>
        <v/>
      </c>
      <c r="AF50" s="127" t="str">
        <f t="shared" si="39"/>
        <v/>
      </c>
      <c r="AG50" s="127" t="str">
        <f t="shared" si="37"/>
        <v/>
      </c>
      <c r="AH50" s="127" t="str">
        <f t="shared" si="37"/>
        <v/>
      </c>
      <c r="AI50" s="127" t="str">
        <f t="shared" si="37"/>
        <v/>
      </c>
      <c r="AJ50" s="127" t="str">
        <f t="shared" si="37"/>
        <v/>
      </c>
      <c r="AK50" s="127" t="str">
        <f t="shared" si="37"/>
        <v/>
      </c>
      <c r="AL50" s="127" t="str">
        <f t="shared" si="37"/>
        <v/>
      </c>
      <c r="AM50" s="127" t="str">
        <f t="shared" si="37"/>
        <v/>
      </c>
      <c r="AN50" s="127" t="str">
        <f t="shared" si="37"/>
        <v/>
      </c>
      <c r="AO50" s="127" t="str">
        <f t="shared" si="37"/>
        <v/>
      </c>
      <c r="AP50" s="127" t="str">
        <f t="shared" si="37"/>
        <v/>
      </c>
      <c r="AQ50" s="127" t="str">
        <f t="shared" si="37"/>
        <v/>
      </c>
      <c r="AR50" s="127" t="str">
        <f t="shared" si="37"/>
        <v/>
      </c>
      <c r="AS50" s="127" t="str">
        <f t="shared" si="37"/>
        <v/>
      </c>
      <c r="AT50" s="127" t="str">
        <f t="shared" si="37"/>
        <v/>
      </c>
      <c r="AU50" s="127" t="str">
        <f t="shared" si="37"/>
        <v/>
      </c>
      <c r="AV50" s="127" t="str">
        <f t="shared" ref="AV50:BK53" si="40">IF($E50=AV$3,"▲","")</f>
        <v/>
      </c>
      <c r="AW50" s="127" t="str">
        <f t="shared" si="40"/>
        <v/>
      </c>
      <c r="AX50" s="127" t="str">
        <f t="shared" si="40"/>
        <v/>
      </c>
      <c r="AY50" s="127" t="str">
        <f t="shared" si="40"/>
        <v/>
      </c>
      <c r="AZ50" s="127" t="str">
        <f t="shared" si="40"/>
        <v/>
      </c>
      <c r="BA50" s="127" t="str">
        <f t="shared" si="40"/>
        <v/>
      </c>
      <c r="BB50" s="127" t="str">
        <f t="shared" si="40"/>
        <v/>
      </c>
      <c r="BC50" s="127" t="str">
        <f t="shared" si="40"/>
        <v/>
      </c>
      <c r="BD50" s="127" t="str">
        <f t="shared" si="40"/>
        <v/>
      </c>
      <c r="BE50" s="127" t="str">
        <f t="shared" si="40"/>
        <v/>
      </c>
      <c r="BF50" s="127" t="str">
        <f t="shared" si="40"/>
        <v/>
      </c>
      <c r="BG50" s="127" t="str">
        <f t="shared" si="40"/>
        <v/>
      </c>
      <c r="BH50" s="127" t="str">
        <f t="shared" si="40"/>
        <v/>
      </c>
      <c r="BI50" s="127" t="str">
        <f t="shared" si="40"/>
        <v/>
      </c>
      <c r="BJ50" s="127" t="str">
        <f t="shared" si="40"/>
        <v/>
      </c>
      <c r="BK50" s="127" t="str">
        <f t="shared" si="40"/>
        <v/>
      </c>
      <c r="BL50" s="127" t="str">
        <f t="shared" si="38"/>
        <v/>
      </c>
      <c r="BM50" s="127" t="str">
        <f t="shared" si="38"/>
        <v/>
      </c>
      <c r="BN50" s="127" t="str">
        <f t="shared" si="38"/>
        <v/>
      </c>
      <c r="BO50" s="127" t="str">
        <f t="shared" si="38"/>
        <v/>
      </c>
      <c r="BP50" s="127" t="str">
        <f t="shared" si="38"/>
        <v/>
      </c>
      <c r="BQ50" s="127" t="str">
        <f t="shared" si="38"/>
        <v/>
      </c>
      <c r="BR50" s="127" t="str">
        <f t="shared" si="38"/>
        <v/>
      </c>
      <c r="BS50" s="127" t="str">
        <f t="shared" si="38"/>
        <v/>
      </c>
      <c r="BT50" s="127" t="str">
        <f t="shared" si="38"/>
        <v/>
      </c>
      <c r="BU50" s="127" t="str">
        <f t="shared" si="38"/>
        <v/>
      </c>
      <c r="BV50" s="127" t="str">
        <f t="shared" si="38"/>
        <v/>
      </c>
      <c r="BW50" s="127" t="str">
        <f t="shared" si="38"/>
        <v/>
      </c>
      <c r="BX50" s="127" t="str">
        <f t="shared" si="38"/>
        <v/>
      </c>
      <c r="BY50" s="127" t="str">
        <f t="shared" si="38"/>
        <v/>
      </c>
      <c r="BZ50" s="127" t="str">
        <f t="shared" si="38"/>
        <v/>
      </c>
      <c r="CA50" s="127" t="str">
        <f t="shared" si="38"/>
        <v/>
      </c>
      <c r="CB50" s="127" t="str">
        <f t="shared" ref="CB50:CD53" si="41">IF($E50=CB$3,"▲","")</f>
        <v/>
      </c>
      <c r="CC50" s="127" t="str">
        <f t="shared" si="41"/>
        <v/>
      </c>
      <c r="CD50" s="127" t="str">
        <f t="shared" si="41"/>
        <v/>
      </c>
    </row>
    <row r="51" spans="1:82" ht="12.6" hidden="1" customHeight="1" x14ac:dyDescent="0.2">
      <c r="A51" s="106">
        <f>SHIPMENTS!A57</f>
        <v>9122</v>
      </c>
      <c r="B51" s="106" t="str">
        <f>SHIPMENTS!B57</f>
        <v>19300-USA SUPERIOR SAUNA</v>
      </c>
      <c r="C51" s="132">
        <f>SHIPMENTS!F57</f>
        <v>69.539999999999992</v>
      </c>
      <c r="D51" s="107" t="str">
        <f>IF((SHIPMENTS!I57)=0,"",SHIPMENTS!I57)</f>
        <v>1x40HC</v>
      </c>
      <c r="E51" s="176" t="str">
        <f>IF((SHIPMENTS!G57)=0,"",SHIPMENTS!G57)</f>
        <v>TBA</v>
      </c>
      <c r="F51" s="98">
        <f>VLOOKUP(A51,load!$A$4:$Y$5001,24,0)</f>
        <v>86.117666666666665</v>
      </c>
      <c r="G51" s="109">
        <f>Manhours!$C$8</f>
        <v>16</v>
      </c>
      <c r="H51" s="98">
        <f t="shared" si="31"/>
        <v>145.6</v>
      </c>
      <c r="I51" s="99">
        <f t="shared" si="32"/>
        <v>0.59146749084249084</v>
      </c>
      <c r="J51" s="99">
        <f t="shared" si="33"/>
        <v>5.3823541666666666</v>
      </c>
      <c r="K51" s="98">
        <f t="shared" si="34"/>
        <v>0</v>
      </c>
      <c r="L51" s="98">
        <f t="shared" si="35"/>
        <v>0</v>
      </c>
      <c r="M51" s="181">
        <f>IF(F51&gt;0,(MS!M51+2),N50)</f>
        <v>46316.627338441183</v>
      </c>
      <c r="N51" s="181">
        <f t="shared" si="36"/>
        <v>46316.627338441183</v>
      </c>
      <c r="O51" s="112" t="str">
        <f>VLOOKUP(A51,SHIPMENTS!$A$7:$AP$76,11,0)</f>
        <v>n/a</v>
      </c>
      <c r="P51" s="101"/>
      <c r="Q51" s="127" t="str">
        <f t="shared" si="39"/>
        <v/>
      </c>
      <c r="R51" s="127" t="str">
        <f t="shared" si="39"/>
        <v/>
      </c>
      <c r="S51" s="127" t="str">
        <f t="shared" si="39"/>
        <v/>
      </c>
      <c r="T51" s="127" t="str">
        <f t="shared" si="39"/>
        <v/>
      </c>
      <c r="U51" s="127" t="str">
        <f t="shared" si="39"/>
        <v/>
      </c>
      <c r="V51" s="127" t="str">
        <f t="shared" si="39"/>
        <v/>
      </c>
      <c r="W51" s="127" t="str">
        <f t="shared" si="39"/>
        <v/>
      </c>
      <c r="X51" s="127" t="str">
        <f t="shared" si="39"/>
        <v/>
      </c>
      <c r="Y51" s="127" t="str">
        <f t="shared" si="39"/>
        <v/>
      </c>
      <c r="Z51" s="127" t="str">
        <f t="shared" si="39"/>
        <v/>
      </c>
      <c r="AA51" s="127" t="str">
        <f t="shared" si="39"/>
        <v/>
      </c>
      <c r="AB51" s="127" t="str">
        <f t="shared" si="39"/>
        <v/>
      </c>
      <c r="AC51" s="127" t="str">
        <f t="shared" si="39"/>
        <v/>
      </c>
      <c r="AD51" s="127" t="str">
        <f t="shared" si="39"/>
        <v/>
      </c>
      <c r="AE51" s="127" t="str">
        <f t="shared" si="39"/>
        <v/>
      </c>
      <c r="AF51" s="127" t="str">
        <f t="shared" si="39"/>
        <v/>
      </c>
      <c r="AG51" s="127" t="str">
        <f t="shared" si="37"/>
        <v/>
      </c>
      <c r="AH51" s="127" t="str">
        <f t="shared" si="37"/>
        <v/>
      </c>
      <c r="AI51" s="127" t="str">
        <f t="shared" si="37"/>
        <v/>
      </c>
      <c r="AJ51" s="127" t="str">
        <f t="shared" si="37"/>
        <v/>
      </c>
      <c r="AK51" s="127" t="str">
        <f t="shared" si="37"/>
        <v/>
      </c>
      <c r="AL51" s="127" t="str">
        <f t="shared" si="37"/>
        <v/>
      </c>
      <c r="AM51" s="127" t="str">
        <f t="shared" si="37"/>
        <v/>
      </c>
      <c r="AN51" s="127" t="str">
        <f t="shared" si="37"/>
        <v/>
      </c>
      <c r="AO51" s="127" t="str">
        <f t="shared" si="37"/>
        <v/>
      </c>
      <c r="AP51" s="127" t="str">
        <f t="shared" si="37"/>
        <v/>
      </c>
      <c r="AQ51" s="127" t="str">
        <f t="shared" si="37"/>
        <v/>
      </c>
      <c r="AR51" s="127" t="str">
        <f t="shared" si="37"/>
        <v/>
      </c>
      <c r="AS51" s="127" t="str">
        <f t="shared" si="37"/>
        <v/>
      </c>
      <c r="AT51" s="127" t="str">
        <f t="shared" si="37"/>
        <v/>
      </c>
      <c r="AU51" s="127" t="str">
        <f t="shared" si="37"/>
        <v/>
      </c>
      <c r="AV51" s="127" t="str">
        <f t="shared" si="40"/>
        <v/>
      </c>
      <c r="AW51" s="127" t="str">
        <f t="shared" si="40"/>
        <v/>
      </c>
      <c r="AX51" s="127" t="str">
        <f t="shared" si="40"/>
        <v/>
      </c>
      <c r="AY51" s="127" t="str">
        <f t="shared" si="40"/>
        <v/>
      </c>
      <c r="AZ51" s="127" t="str">
        <f t="shared" si="40"/>
        <v/>
      </c>
      <c r="BA51" s="127" t="str">
        <f t="shared" si="40"/>
        <v/>
      </c>
      <c r="BB51" s="127" t="str">
        <f t="shared" si="40"/>
        <v/>
      </c>
      <c r="BC51" s="127" t="str">
        <f t="shared" si="40"/>
        <v/>
      </c>
      <c r="BD51" s="127" t="str">
        <f t="shared" si="40"/>
        <v/>
      </c>
      <c r="BE51" s="127" t="str">
        <f t="shared" si="40"/>
        <v/>
      </c>
      <c r="BF51" s="127" t="str">
        <f t="shared" si="40"/>
        <v/>
      </c>
      <c r="BG51" s="127" t="str">
        <f t="shared" si="40"/>
        <v/>
      </c>
      <c r="BH51" s="127" t="str">
        <f t="shared" si="40"/>
        <v/>
      </c>
      <c r="BI51" s="127" t="str">
        <f t="shared" si="40"/>
        <v/>
      </c>
      <c r="BJ51" s="127" t="str">
        <f t="shared" si="40"/>
        <v/>
      </c>
      <c r="BK51" s="127" t="str">
        <f t="shared" si="40"/>
        <v/>
      </c>
      <c r="BL51" s="127" t="str">
        <f t="shared" si="38"/>
        <v/>
      </c>
      <c r="BM51" s="127" t="str">
        <f t="shared" si="38"/>
        <v/>
      </c>
      <c r="BN51" s="127" t="str">
        <f t="shared" si="38"/>
        <v/>
      </c>
      <c r="BO51" s="127" t="str">
        <f t="shared" si="38"/>
        <v/>
      </c>
      <c r="BP51" s="127" t="str">
        <f t="shared" si="38"/>
        <v/>
      </c>
      <c r="BQ51" s="127" t="str">
        <f t="shared" si="38"/>
        <v/>
      </c>
      <c r="BR51" s="127" t="str">
        <f t="shared" si="38"/>
        <v/>
      </c>
      <c r="BS51" s="127" t="str">
        <f t="shared" si="38"/>
        <v/>
      </c>
      <c r="BT51" s="127" t="str">
        <f t="shared" si="38"/>
        <v/>
      </c>
      <c r="BU51" s="127" t="str">
        <f t="shared" si="38"/>
        <v/>
      </c>
      <c r="BV51" s="127" t="str">
        <f t="shared" si="38"/>
        <v/>
      </c>
      <c r="BW51" s="127" t="str">
        <f t="shared" si="38"/>
        <v/>
      </c>
      <c r="BX51" s="127" t="str">
        <f t="shared" si="38"/>
        <v/>
      </c>
      <c r="BY51" s="127" t="str">
        <f t="shared" si="38"/>
        <v/>
      </c>
      <c r="BZ51" s="127" t="str">
        <f t="shared" si="38"/>
        <v/>
      </c>
      <c r="CA51" s="127" t="str">
        <f t="shared" si="38"/>
        <v/>
      </c>
      <c r="CB51" s="127" t="str">
        <f t="shared" si="41"/>
        <v/>
      </c>
      <c r="CC51" s="127" t="str">
        <f t="shared" si="41"/>
        <v/>
      </c>
      <c r="CD51" s="127" t="str">
        <f t="shared" si="41"/>
        <v/>
      </c>
    </row>
    <row r="52" spans="1:82" ht="12.6" hidden="1" customHeight="1" x14ac:dyDescent="0.2">
      <c r="A52" s="106">
        <f>SHIPMENTS!A58</f>
        <v>9197</v>
      </c>
      <c r="B52" s="106" t="str">
        <f>SHIPMENTS!B58</f>
        <v>19300-USA SUPERIOR SAUNA</v>
      </c>
      <c r="C52" s="132">
        <f>SHIPMENTS!F58</f>
        <v>0</v>
      </c>
      <c r="D52" s="107" t="str">
        <f>IF((SHIPMENTS!I58)=0,"",SHIPMENTS!I58)</f>
        <v/>
      </c>
      <c r="E52" s="176" t="str">
        <f>IF((SHIPMENTS!G58)=0,"",SHIPMENTS!G58)</f>
        <v>TBA</v>
      </c>
      <c r="F52" s="98">
        <f>VLOOKUP(A52,load!$A$4:$Y$5001,24,0)</f>
        <v>3.6439999999999997</v>
      </c>
      <c r="G52" s="109">
        <f>Manhours!$C$8</f>
        <v>16</v>
      </c>
      <c r="H52" s="98">
        <f t="shared" si="31"/>
        <v>145.6</v>
      </c>
      <c r="I52" s="99">
        <f t="shared" si="32"/>
        <v>2.5027472527472526E-2</v>
      </c>
      <c r="J52" s="99">
        <f t="shared" si="33"/>
        <v>0.22774999999999998</v>
      </c>
      <c r="K52" s="98">
        <f t="shared" si="34"/>
        <v>0</v>
      </c>
      <c r="L52" s="98">
        <f t="shared" si="35"/>
        <v>0</v>
      </c>
      <c r="M52" s="181">
        <f>IF(F52&gt;0,(MS!M52+2),N51)</f>
        <v>46316.627338441183</v>
      </c>
      <c r="N52" s="181">
        <f t="shared" si="36"/>
        <v>46316.627338441183</v>
      </c>
      <c r="O52" s="112" t="str">
        <f>VLOOKUP(A52,SHIPMENTS!$A$7:$AP$76,11,0)</f>
        <v>n/a</v>
      </c>
      <c r="P52" s="101"/>
      <c r="Q52" s="127" t="str">
        <f t="shared" si="39"/>
        <v/>
      </c>
      <c r="R52" s="127" t="str">
        <f t="shared" si="39"/>
        <v/>
      </c>
      <c r="S52" s="127" t="str">
        <f t="shared" si="39"/>
        <v/>
      </c>
      <c r="T52" s="127" t="str">
        <f t="shared" si="39"/>
        <v/>
      </c>
      <c r="U52" s="127" t="str">
        <f t="shared" si="39"/>
        <v/>
      </c>
      <c r="V52" s="127" t="str">
        <f t="shared" si="39"/>
        <v/>
      </c>
      <c r="W52" s="127" t="str">
        <f t="shared" si="39"/>
        <v/>
      </c>
      <c r="X52" s="127" t="str">
        <f t="shared" si="39"/>
        <v/>
      </c>
      <c r="Y52" s="127" t="str">
        <f t="shared" si="39"/>
        <v/>
      </c>
      <c r="Z52" s="127" t="str">
        <f t="shared" si="39"/>
        <v/>
      </c>
      <c r="AA52" s="127" t="str">
        <f t="shared" si="39"/>
        <v/>
      </c>
      <c r="AB52" s="127" t="str">
        <f t="shared" si="39"/>
        <v/>
      </c>
      <c r="AC52" s="127" t="str">
        <f t="shared" si="39"/>
        <v/>
      </c>
      <c r="AD52" s="127" t="str">
        <f t="shared" si="39"/>
        <v/>
      </c>
      <c r="AE52" s="127" t="str">
        <f t="shared" si="39"/>
        <v/>
      </c>
      <c r="AF52" s="127" t="str">
        <f t="shared" si="39"/>
        <v/>
      </c>
      <c r="AG52" s="127" t="str">
        <f t="shared" si="37"/>
        <v/>
      </c>
      <c r="AH52" s="127" t="str">
        <f t="shared" si="37"/>
        <v/>
      </c>
      <c r="AI52" s="127" t="str">
        <f t="shared" si="37"/>
        <v/>
      </c>
      <c r="AJ52" s="127" t="str">
        <f t="shared" si="37"/>
        <v/>
      </c>
      <c r="AK52" s="127" t="str">
        <f t="shared" si="37"/>
        <v/>
      </c>
      <c r="AL52" s="127" t="str">
        <f t="shared" si="37"/>
        <v/>
      </c>
      <c r="AM52" s="127" t="str">
        <f t="shared" si="37"/>
        <v/>
      </c>
      <c r="AN52" s="127" t="str">
        <f t="shared" si="37"/>
        <v/>
      </c>
      <c r="AO52" s="127" t="str">
        <f t="shared" si="37"/>
        <v/>
      </c>
      <c r="AP52" s="127" t="str">
        <f t="shared" si="37"/>
        <v/>
      </c>
      <c r="AQ52" s="127" t="str">
        <f t="shared" si="37"/>
        <v/>
      </c>
      <c r="AR52" s="127" t="str">
        <f t="shared" si="37"/>
        <v/>
      </c>
      <c r="AS52" s="127" t="str">
        <f t="shared" si="37"/>
        <v/>
      </c>
      <c r="AT52" s="127" t="str">
        <f t="shared" si="37"/>
        <v/>
      </c>
      <c r="AU52" s="127" t="str">
        <f t="shared" si="37"/>
        <v/>
      </c>
      <c r="AV52" s="127" t="str">
        <f t="shared" si="40"/>
        <v/>
      </c>
      <c r="AW52" s="127" t="str">
        <f t="shared" si="40"/>
        <v/>
      </c>
      <c r="AX52" s="127" t="str">
        <f t="shared" si="40"/>
        <v/>
      </c>
      <c r="AY52" s="127" t="str">
        <f t="shared" si="40"/>
        <v/>
      </c>
      <c r="AZ52" s="127" t="str">
        <f t="shared" si="40"/>
        <v/>
      </c>
      <c r="BA52" s="127" t="str">
        <f t="shared" si="40"/>
        <v/>
      </c>
      <c r="BB52" s="127" t="str">
        <f t="shared" si="40"/>
        <v/>
      </c>
      <c r="BC52" s="127" t="str">
        <f t="shared" si="40"/>
        <v/>
      </c>
      <c r="BD52" s="127" t="str">
        <f t="shared" si="40"/>
        <v/>
      </c>
      <c r="BE52" s="127" t="str">
        <f t="shared" si="40"/>
        <v/>
      </c>
      <c r="BF52" s="127" t="str">
        <f t="shared" si="40"/>
        <v/>
      </c>
      <c r="BG52" s="127" t="str">
        <f t="shared" si="40"/>
        <v/>
      </c>
      <c r="BH52" s="127" t="str">
        <f t="shared" si="40"/>
        <v/>
      </c>
      <c r="BI52" s="127" t="str">
        <f t="shared" si="40"/>
        <v/>
      </c>
      <c r="BJ52" s="127" t="str">
        <f t="shared" si="40"/>
        <v/>
      </c>
      <c r="BK52" s="127" t="str">
        <f t="shared" si="40"/>
        <v/>
      </c>
      <c r="BL52" s="127" t="str">
        <f t="shared" si="38"/>
        <v/>
      </c>
      <c r="BM52" s="127" t="str">
        <f t="shared" si="38"/>
        <v/>
      </c>
      <c r="BN52" s="127" t="str">
        <f t="shared" si="38"/>
        <v/>
      </c>
      <c r="BO52" s="127" t="str">
        <f t="shared" si="38"/>
        <v/>
      </c>
      <c r="BP52" s="127" t="str">
        <f t="shared" si="38"/>
        <v/>
      </c>
      <c r="BQ52" s="127" t="str">
        <f t="shared" si="38"/>
        <v/>
      </c>
      <c r="BR52" s="127" t="str">
        <f t="shared" si="38"/>
        <v/>
      </c>
      <c r="BS52" s="127" t="str">
        <f t="shared" si="38"/>
        <v/>
      </c>
      <c r="BT52" s="127" t="str">
        <f t="shared" si="38"/>
        <v/>
      </c>
      <c r="BU52" s="127" t="str">
        <f t="shared" si="38"/>
        <v/>
      </c>
      <c r="BV52" s="127" t="str">
        <f t="shared" si="38"/>
        <v/>
      </c>
      <c r="BW52" s="127" t="str">
        <f t="shared" si="38"/>
        <v/>
      </c>
      <c r="BX52" s="127" t="str">
        <f t="shared" si="38"/>
        <v/>
      </c>
      <c r="BY52" s="127" t="str">
        <f t="shared" si="38"/>
        <v/>
      </c>
      <c r="BZ52" s="127" t="str">
        <f t="shared" si="38"/>
        <v/>
      </c>
      <c r="CA52" s="127" t="str">
        <f t="shared" si="38"/>
        <v/>
      </c>
      <c r="CB52" s="127" t="str">
        <f t="shared" si="41"/>
        <v/>
      </c>
      <c r="CC52" s="127" t="str">
        <f t="shared" si="41"/>
        <v/>
      </c>
      <c r="CD52" s="127" t="str">
        <f t="shared" si="41"/>
        <v/>
      </c>
    </row>
    <row r="53" spans="1:82" ht="12.6" hidden="1" customHeight="1" x14ac:dyDescent="0.2">
      <c r="A53" s="106">
        <f>SHIPMENTS!A59</f>
        <v>6542</v>
      </c>
      <c r="B53" s="106" t="str">
        <f>SHIPMENTS!B59</f>
        <v>75100-JORDAN
BACKLOG</v>
      </c>
      <c r="C53" s="132">
        <f>SHIPMENTS!F59</f>
        <v>2.9600000000000001E-2</v>
      </c>
      <c r="D53" s="107" t="str">
        <f>IF((SHIPMENTS!I59)=0,"",SHIPMENTS!I59)</f>
        <v/>
      </c>
      <c r="E53" s="176" t="str">
        <f>IF((SHIPMENTS!G59)=0,"",SHIPMENTS!G59)</f>
        <v>TBA</v>
      </c>
      <c r="F53" s="98">
        <f>VLOOKUP(A53,load!$A$4:$Y$5001,24,0)</f>
        <v>0</v>
      </c>
      <c r="G53" s="109">
        <f>Manhours!$C$8</f>
        <v>16</v>
      </c>
      <c r="H53" s="98">
        <f t="shared" ref="H53" si="42">+G53*$H$4</f>
        <v>145.6</v>
      </c>
      <c r="I53" s="99">
        <f t="shared" ref="I53" si="43">F53/H53</f>
        <v>0</v>
      </c>
      <c r="J53" s="99">
        <f t="shared" ref="J53" si="44">+I53*$H$4</f>
        <v>0</v>
      </c>
      <c r="K53" s="98">
        <f t="shared" ref="K53" si="45">IFERROR(I53-(I53*O53),0)</f>
        <v>0</v>
      </c>
      <c r="L53" s="98">
        <f t="shared" ref="L53" si="46">IFERROR(J53-(J53*O53),0)</f>
        <v>0</v>
      </c>
      <c r="M53" s="181">
        <f>IF(F53&gt;0,(MS!M53+2),N52)</f>
        <v>46316.627338441183</v>
      </c>
      <c r="N53" s="181">
        <f t="shared" ref="N53" si="47">M53+K53</f>
        <v>46316.627338441183</v>
      </c>
      <c r="O53" s="112" t="str">
        <f>VLOOKUP(A53,SHIPMENTS!$A$7:$AP$76,11,0)</f>
        <v>n/a</v>
      </c>
      <c r="P53" s="101"/>
      <c r="Q53" s="127" t="str">
        <f t="shared" si="39"/>
        <v/>
      </c>
      <c r="R53" s="127" t="str">
        <f t="shared" si="39"/>
        <v/>
      </c>
      <c r="S53" s="127" t="str">
        <f t="shared" si="39"/>
        <v/>
      </c>
      <c r="T53" s="127" t="str">
        <f t="shared" si="39"/>
        <v/>
      </c>
      <c r="U53" s="127" t="str">
        <f t="shared" si="39"/>
        <v/>
      </c>
      <c r="V53" s="127" t="str">
        <f t="shared" si="39"/>
        <v/>
      </c>
      <c r="W53" s="127" t="str">
        <f t="shared" si="39"/>
        <v/>
      </c>
      <c r="X53" s="127" t="str">
        <f t="shared" si="39"/>
        <v/>
      </c>
      <c r="Y53" s="127" t="str">
        <f t="shared" si="39"/>
        <v/>
      </c>
      <c r="Z53" s="127" t="str">
        <f t="shared" si="39"/>
        <v/>
      </c>
      <c r="AA53" s="127" t="str">
        <f t="shared" si="39"/>
        <v/>
      </c>
      <c r="AB53" s="127" t="str">
        <f t="shared" si="39"/>
        <v/>
      </c>
      <c r="AC53" s="127" t="str">
        <f t="shared" si="39"/>
        <v/>
      </c>
      <c r="AD53" s="127" t="str">
        <f t="shared" si="39"/>
        <v/>
      </c>
      <c r="AE53" s="127" t="str">
        <f t="shared" si="39"/>
        <v/>
      </c>
      <c r="AF53" s="127" t="str">
        <f t="shared" si="39"/>
        <v/>
      </c>
      <c r="AG53" s="127" t="str">
        <f t="shared" si="37"/>
        <v/>
      </c>
      <c r="AH53" s="127" t="str">
        <f t="shared" si="37"/>
        <v/>
      </c>
      <c r="AI53" s="127" t="str">
        <f t="shared" si="37"/>
        <v/>
      </c>
      <c r="AJ53" s="127" t="str">
        <f t="shared" si="37"/>
        <v/>
      </c>
      <c r="AK53" s="127" t="str">
        <f t="shared" si="37"/>
        <v/>
      </c>
      <c r="AL53" s="127" t="str">
        <f t="shared" si="37"/>
        <v/>
      </c>
      <c r="AM53" s="127" t="str">
        <f t="shared" si="37"/>
        <v/>
      </c>
      <c r="AN53" s="127" t="str">
        <f t="shared" si="37"/>
        <v/>
      </c>
      <c r="AO53" s="127" t="str">
        <f t="shared" si="37"/>
        <v/>
      </c>
      <c r="AP53" s="127" t="str">
        <f t="shared" si="37"/>
        <v/>
      </c>
      <c r="AQ53" s="127" t="str">
        <f t="shared" si="37"/>
        <v/>
      </c>
      <c r="AR53" s="127" t="str">
        <f t="shared" si="37"/>
        <v/>
      </c>
      <c r="AS53" s="127" t="str">
        <f t="shared" si="37"/>
        <v/>
      </c>
      <c r="AT53" s="127" t="str">
        <f t="shared" si="37"/>
        <v/>
      </c>
      <c r="AU53" s="127" t="str">
        <f t="shared" si="37"/>
        <v/>
      </c>
      <c r="AV53" s="127" t="str">
        <f t="shared" si="40"/>
        <v/>
      </c>
      <c r="AW53" s="127" t="str">
        <f t="shared" si="40"/>
        <v/>
      </c>
      <c r="AX53" s="127" t="str">
        <f t="shared" si="40"/>
        <v/>
      </c>
      <c r="AY53" s="127" t="str">
        <f t="shared" si="40"/>
        <v/>
      </c>
      <c r="AZ53" s="127" t="str">
        <f t="shared" si="40"/>
        <v/>
      </c>
      <c r="BA53" s="127" t="str">
        <f t="shared" si="40"/>
        <v/>
      </c>
      <c r="BB53" s="127" t="str">
        <f t="shared" si="40"/>
        <v/>
      </c>
      <c r="BC53" s="127" t="str">
        <f t="shared" si="40"/>
        <v/>
      </c>
      <c r="BD53" s="127" t="str">
        <f t="shared" si="40"/>
        <v/>
      </c>
      <c r="BE53" s="127" t="str">
        <f t="shared" si="40"/>
        <v/>
      </c>
      <c r="BF53" s="127" t="str">
        <f t="shared" si="40"/>
        <v/>
      </c>
      <c r="BG53" s="127" t="str">
        <f t="shared" si="40"/>
        <v/>
      </c>
      <c r="BH53" s="127" t="str">
        <f t="shared" si="40"/>
        <v/>
      </c>
      <c r="BI53" s="127" t="str">
        <f t="shared" si="40"/>
        <v/>
      </c>
      <c r="BJ53" s="127" t="str">
        <f t="shared" si="40"/>
        <v/>
      </c>
      <c r="BK53" s="127" t="str">
        <f t="shared" si="40"/>
        <v/>
      </c>
      <c r="BL53" s="127" t="str">
        <f t="shared" si="38"/>
        <v/>
      </c>
      <c r="BM53" s="127" t="str">
        <f t="shared" si="38"/>
        <v/>
      </c>
      <c r="BN53" s="127" t="str">
        <f t="shared" si="38"/>
        <v/>
      </c>
      <c r="BO53" s="127" t="str">
        <f t="shared" si="38"/>
        <v/>
      </c>
      <c r="BP53" s="127" t="str">
        <f t="shared" si="38"/>
        <v/>
      </c>
      <c r="BQ53" s="127" t="str">
        <f t="shared" si="38"/>
        <v/>
      </c>
      <c r="BR53" s="127" t="str">
        <f t="shared" si="38"/>
        <v/>
      </c>
      <c r="BS53" s="127" t="str">
        <f t="shared" si="38"/>
        <v/>
      </c>
      <c r="BT53" s="127" t="str">
        <f t="shared" si="38"/>
        <v/>
      </c>
      <c r="BU53" s="127" t="str">
        <f t="shared" si="38"/>
        <v/>
      </c>
      <c r="BV53" s="127" t="str">
        <f t="shared" si="38"/>
        <v/>
      </c>
      <c r="BW53" s="127" t="str">
        <f t="shared" si="38"/>
        <v/>
      </c>
      <c r="BX53" s="127" t="str">
        <f t="shared" si="38"/>
        <v/>
      </c>
      <c r="BY53" s="127" t="str">
        <f t="shared" si="38"/>
        <v/>
      </c>
      <c r="BZ53" s="127" t="str">
        <f t="shared" si="38"/>
        <v/>
      </c>
      <c r="CA53" s="127" t="str">
        <f t="shared" si="38"/>
        <v/>
      </c>
      <c r="CB53" s="127" t="str">
        <f t="shared" si="41"/>
        <v/>
      </c>
      <c r="CC53" s="127" t="str">
        <f t="shared" si="41"/>
        <v/>
      </c>
      <c r="CD53" s="127" t="str">
        <f t="shared" si="41"/>
        <v/>
      </c>
    </row>
  </sheetData>
  <autoFilter ref="A7:BL53" xr:uid="{00000000-0009-0000-0000-000005000000}">
    <filterColumn colId="14">
      <filters>
        <filter val="0%"/>
        <filter val="100%"/>
        <filter val="64%"/>
        <filter val="87%"/>
        <filter val="96%"/>
      </filters>
    </filterColumn>
  </autoFilter>
  <mergeCells count="15">
    <mergeCell ref="L5:L6"/>
    <mergeCell ref="M5:M6"/>
    <mergeCell ref="N5:N6"/>
    <mergeCell ref="O5:O6"/>
    <mergeCell ref="F5:F6"/>
    <mergeCell ref="G5:G6"/>
    <mergeCell ref="H5:H6"/>
    <mergeCell ref="I5:I6"/>
    <mergeCell ref="J5:J6"/>
    <mergeCell ref="K5:K6"/>
    <mergeCell ref="A5:A6"/>
    <mergeCell ref="B5:B6"/>
    <mergeCell ref="C5:C6"/>
    <mergeCell ref="D5:D6"/>
    <mergeCell ref="E5:E6"/>
  </mergeCells>
  <conditionalFormatting sqref="N8:N46 N48:N53">
    <cfRule type="cellIs" dxfId="496" priority="593" operator="greaterThan">
      <formula>E8</formula>
    </cfRule>
  </conditionalFormatting>
  <conditionalFormatting sqref="O8:O53">
    <cfRule type="dataBar" priority="980">
      <dataBar>
        <cfvo type="num" val="0"/>
        <cfvo type="num" val="1"/>
        <color rgb="FFFFB628"/>
      </dataBar>
      <extLst>
        <ext xmlns:x14="http://schemas.microsoft.com/office/spreadsheetml/2009/9/main" uri="{B025F937-C7B1-47D3-B67F-A62EFF666E3E}">
          <x14:id>{B0C42C14-EF64-4F24-8F47-F58A9D2BCEF3}</x14:id>
        </ext>
      </extLst>
    </cfRule>
  </conditionalFormatting>
  <conditionalFormatting sqref="O1:P5 O7:P1048576">
    <cfRule type="cellIs" dxfId="495" priority="113" operator="lessThan">
      <formula>1</formula>
    </cfRule>
    <cfRule type="cellIs" dxfId="494" priority="114" operator="equal">
      <formula>1</formula>
    </cfRule>
  </conditionalFormatting>
  <conditionalFormatting sqref="P8:P53">
    <cfRule type="dataBar" priority="675">
      <dataBar>
        <cfvo type="num" val="0"/>
        <cfvo type="num" val="1"/>
        <color rgb="FFFFB628"/>
      </dataBar>
      <extLst>
        <ext xmlns:x14="http://schemas.microsoft.com/office/spreadsheetml/2009/9/main" uri="{B025F937-C7B1-47D3-B67F-A62EFF666E3E}">
          <x14:id>{9A6AEE72-FE89-40BB-A507-32D799E23EE9}</x14:id>
        </ext>
      </extLst>
    </cfRule>
  </conditionalFormatting>
  <conditionalFormatting sqref="Q8:BE53">
    <cfRule type="cellIs" dxfId="493" priority="8" operator="equal">
      <formula>1</formula>
    </cfRule>
    <cfRule type="cellIs" dxfId="492" priority="9" operator="equal">
      <formula>1</formula>
    </cfRule>
  </conditionalFormatting>
  <conditionalFormatting sqref="Q1:CD1">
    <cfRule type="cellIs" dxfId="491" priority="1015" operator="notEqual">
      <formula>0</formula>
    </cfRule>
  </conditionalFormatting>
  <conditionalFormatting sqref="Q8:CD53">
    <cfRule type="expression" dxfId="490" priority="14">
      <formula>IF(AND($M8&lt;=Q$3,$N8&gt;=Q$3),1,"")</formula>
    </cfRule>
  </conditionalFormatting>
  <conditionalFormatting sqref="AV8:BE53">
    <cfRule type="cellIs" dxfId="489" priority="13" operator="equal">
      <formula>1</formula>
    </cfRule>
  </conditionalFormatting>
  <conditionalFormatting sqref="AV8:BL53">
    <cfRule type="cellIs" dxfId="488" priority="11" operator="equal">
      <formula>1</formula>
    </cfRule>
  </conditionalFormatting>
  <conditionalFormatting sqref="BF8:BF53">
    <cfRule type="cellIs" dxfId="487" priority="1383" operator="equal">
      <formula>1</formula>
    </cfRule>
  </conditionalFormatting>
  <conditionalFormatting sqref="BG8:BK53">
    <cfRule type="cellIs" dxfId="486" priority="12" operator="equal">
      <formula>1</formula>
    </cfRule>
  </conditionalFormatting>
  <conditionalFormatting sqref="BG8:BQ53">
    <cfRule type="cellIs" dxfId="485" priority="10" operator="equal">
      <formula>1</formula>
    </cfRule>
  </conditionalFormatting>
  <conditionalFormatting sqref="BG8:BR53">
    <cfRule type="cellIs" dxfId="484" priority="7" operator="equal">
      <formula>1</formula>
    </cfRule>
  </conditionalFormatting>
  <conditionalFormatting sqref="BL8:BL53">
    <cfRule type="cellIs" dxfId="483" priority="1357" operator="equal">
      <formula>1</formula>
    </cfRule>
  </conditionalFormatting>
  <conditionalFormatting sqref="BM8:BW53">
    <cfRule type="cellIs" dxfId="482" priority="6" operator="equal">
      <formula>1</formula>
    </cfRule>
  </conditionalFormatting>
  <conditionalFormatting sqref="BM8:BX53">
    <cfRule type="cellIs" dxfId="481" priority="5" operator="equal">
      <formula>1</formula>
    </cfRule>
  </conditionalFormatting>
  <conditionalFormatting sqref="BR8:BR53">
    <cfRule type="cellIs" dxfId="480" priority="1333" operator="equal">
      <formula>1</formula>
    </cfRule>
  </conditionalFormatting>
  <conditionalFormatting sqref="BS8:CC53">
    <cfRule type="cellIs" dxfId="479" priority="4" operator="equal">
      <formula>1</formula>
    </cfRule>
  </conditionalFormatting>
  <conditionalFormatting sqref="BS8:CD53">
    <cfRule type="cellIs" dxfId="478" priority="3" operator="equal">
      <formula>1</formula>
    </cfRule>
  </conditionalFormatting>
  <conditionalFormatting sqref="BX8:BX53">
    <cfRule type="cellIs" dxfId="477" priority="1309" operator="equal">
      <formula>1</formula>
    </cfRule>
  </conditionalFormatting>
  <conditionalFormatting sqref="BY8:CC53">
    <cfRule type="cellIs" dxfId="476" priority="2" operator="equal">
      <formula>1</formula>
    </cfRule>
  </conditionalFormatting>
  <conditionalFormatting sqref="BY8:CD53">
    <cfRule type="cellIs" dxfId="475" priority="1" operator="equal">
      <formula>1</formula>
    </cfRule>
  </conditionalFormatting>
  <conditionalFormatting sqref="CD8:CD53">
    <cfRule type="cellIs" dxfId="474" priority="1283" operator="equal">
      <formula>1</formula>
    </cfRule>
  </conditionalFormatting>
  <pageMargins left="0.7" right="0.7" top="0.75" bottom="0.75" header="0.3" footer="0.3"/>
  <pageSetup paperSize="9" orientation="portrait" horizontalDpi="0" verticalDpi="0" r:id="rId1"/>
  <extLst>
    <ext xmlns:x14="http://schemas.microsoft.com/office/spreadsheetml/2009/9/main" uri="{78C0D931-6437-407d-A8EE-F0AAD7539E65}">
      <x14:conditionalFormattings>
        <x14:conditionalFormatting xmlns:xm="http://schemas.microsoft.com/office/excel/2006/main">
          <x14:cfRule type="dataBar" id="{B0C42C14-EF64-4F24-8F47-F58A9D2BCEF3}">
            <x14:dataBar minLength="0" maxLength="100" gradient="0">
              <x14:cfvo type="num">
                <xm:f>0</xm:f>
              </x14:cfvo>
              <x14:cfvo type="num">
                <xm:f>1</xm:f>
              </x14:cfvo>
              <x14:negativeFillColor rgb="FFFF0000"/>
              <x14:axisColor rgb="FF000000"/>
            </x14:dataBar>
          </x14:cfRule>
          <xm:sqref>O8:O53</xm:sqref>
        </x14:conditionalFormatting>
        <x14:conditionalFormatting xmlns:xm="http://schemas.microsoft.com/office/excel/2006/main">
          <x14:cfRule type="dataBar" id="{9A6AEE72-FE89-40BB-A507-32D799E23EE9}">
            <x14:dataBar minLength="0" maxLength="100" gradient="0">
              <x14:cfvo type="num">
                <xm:f>0</xm:f>
              </x14:cfvo>
              <x14:cfvo type="num">
                <xm:f>1</xm:f>
              </x14:cfvo>
              <x14:negativeFillColor rgb="FFFF0000"/>
              <x14:axisColor rgb="FF000000"/>
            </x14:dataBar>
          </x14:cfRule>
          <xm:sqref>P8:P53</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6" filterMode="1"/>
  <dimension ref="A1:CE53"/>
  <sheetViews>
    <sheetView showGridLines="0" zoomScaleNormal="100" workbookViewId="0">
      <pane xSplit="16" ySplit="7" topLeftCell="Q8" activePane="bottomRight" state="frozen"/>
      <selection activeCell="K19" sqref="K19"/>
      <selection pane="topRight" activeCell="K19" sqref="K19"/>
      <selection pane="bottomLeft" activeCell="K19" sqref="K19"/>
      <selection pane="bottomRight" activeCell="B26" sqref="B26"/>
    </sheetView>
  </sheetViews>
  <sheetFormatPr defaultColWidth="9.28515625" defaultRowHeight="12.75" outlineLevelCol="1" x14ac:dyDescent="0.2"/>
  <cols>
    <col min="1" max="1" width="12.42578125" style="72" customWidth="1"/>
    <col min="2" max="2" width="21.7109375" style="71" customWidth="1"/>
    <col min="3" max="3" width="7.28515625" style="71" customWidth="1"/>
    <col min="4" max="4" width="7.7109375" style="71" customWidth="1"/>
    <col min="5" max="5" width="9.7109375" style="174" customWidth="1"/>
    <col min="6" max="6" width="7.5703125" style="71" customWidth="1"/>
    <col min="7" max="7" width="11.5703125" style="74" hidden="1" customWidth="1" outlineLevel="1"/>
    <col min="8" max="8" width="11.7109375" style="75" hidden="1" customWidth="1" outlineLevel="1"/>
    <col min="9" max="9" width="11.28515625" style="74" hidden="1" customWidth="1" outlineLevel="1"/>
    <col min="10" max="10" width="8.7109375" style="76" hidden="1" customWidth="1" outlineLevel="1"/>
    <col min="11" max="11" width="7.7109375" style="76" hidden="1" customWidth="1" outlineLevel="1"/>
    <col min="12" max="12" width="9" style="74" customWidth="1" collapsed="1"/>
    <col min="13" max="13" width="9" style="74" hidden="1" customWidth="1" outlineLevel="1"/>
    <col min="14" max="14" width="7.42578125" style="174" hidden="1" customWidth="1" outlineLevel="1"/>
    <col min="15" max="15" width="8.28515625" style="174" customWidth="1" collapsed="1"/>
    <col min="16" max="17" width="11.28515625" style="78" customWidth="1"/>
    <col min="18" max="32" width="6.5703125" style="71" bestFit="1" customWidth="1"/>
    <col min="33" max="83" width="7.28515625" style="71" bestFit="1" customWidth="1"/>
    <col min="84" max="16384" width="9.28515625" style="71"/>
  </cols>
  <sheetData>
    <row r="1" spans="1:83" x14ac:dyDescent="0.2">
      <c r="R1" s="105">
        <f>'T&amp;D'!Q1</f>
        <v>0</v>
      </c>
      <c r="S1" s="105">
        <f>'T&amp;D'!R1</f>
        <v>0</v>
      </c>
      <c r="T1" s="105">
        <f>'T&amp;D'!S1</f>
        <v>0</v>
      </c>
      <c r="U1" s="105">
        <f>'T&amp;D'!T1</f>
        <v>0</v>
      </c>
      <c r="V1" s="105">
        <f>'T&amp;D'!U1</f>
        <v>0</v>
      </c>
      <c r="W1" s="105">
        <f>'T&amp;D'!V1</f>
        <v>0</v>
      </c>
      <c r="X1" s="105">
        <f>'T&amp;D'!W1</f>
        <v>0</v>
      </c>
      <c r="Y1" s="105">
        <f>'T&amp;D'!X1</f>
        <v>0</v>
      </c>
      <c r="Z1" s="105">
        <f>'T&amp;D'!Y1</f>
        <v>0</v>
      </c>
      <c r="AA1" s="105">
        <f>'T&amp;D'!Z1</f>
        <v>0</v>
      </c>
      <c r="AB1" s="105">
        <f>'T&amp;D'!AA1</f>
        <v>0</v>
      </c>
      <c r="AC1" s="105">
        <f>'T&amp;D'!AB1</f>
        <v>0</v>
      </c>
      <c r="AD1" s="105">
        <f>'T&amp;D'!AC1</f>
        <v>0</v>
      </c>
      <c r="AE1" s="105">
        <f>'T&amp;D'!AD1</f>
        <v>0</v>
      </c>
      <c r="AF1" s="105">
        <f>'T&amp;D'!AE1</f>
        <v>0</v>
      </c>
      <c r="AG1" s="105">
        <f>'T&amp;D'!AF1</f>
        <v>0</v>
      </c>
      <c r="AH1" s="105">
        <f>'T&amp;D'!AG1</f>
        <v>0</v>
      </c>
      <c r="AI1" s="105">
        <f>'T&amp;D'!AH1</f>
        <v>0</v>
      </c>
      <c r="AJ1" s="105">
        <f>'T&amp;D'!AI1</f>
        <v>0</v>
      </c>
      <c r="AK1" s="105">
        <f>'T&amp;D'!AJ1</f>
        <v>0</v>
      </c>
      <c r="AL1" s="105">
        <f>'T&amp;D'!AK1</f>
        <v>0</v>
      </c>
      <c r="AM1" s="105">
        <f>'T&amp;D'!AL1</f>
        <v>0</v>
      </c>
      <c r="AN1" s="105">
        <f>'T&amp;D'!AM1</f>
        <v>0</v>
      </c>
      <c r="AO1" s="105">
        <f>'T&amp;D'!AN1</f>
        <v>0</v>
      </c>
      <c r="AP1" s="105">
        <f>'T&amp;D'!AO1</f>
        <v>0</v>
      </c>
      <c r="AQ1" s="105">
        <f>'T&amp;D'!AP1</f>
        <v>0</v>
      </c>
      <c r="AR1" s="105">
        <f>'T&amp;D'!AQ1</f>
        <v>0</v>
      </c>
      <c r="AS1" s="105">
        <f>'T&amp;D'!AR1</f>
        <v>0</v>
      </c>
      <c r="AT1" s="105">
        <f>'T&amp;D'!AS1</f>
        <v>0</v>
      </c>
      <c r="AU1" s="105">
        <f>'T&amp;D'!AT1</f>
        <v>0</v>
      </c>
      <c r="AV1" s="105">
        <f>'T&amp;D'!AU1</f>
        <v>0</v>
      </c>
      <c r="AW1" s="105">
        <f>'T&amp;D'!AV1</f>
        <v>0</v>
      </c>
      <c r="AX1" s="105">
        <f>'T&amp;D'!AW1</f>
        <v>0</v>
      </c>
      <c r="AY1" s="105">
        <f>'T&amp;D'!AX1</f>
        <v>0</v>
      </c>
      <c r="AZ1" s="105">
        <f>'T&amp;D'!AY1</f>
        <v>0</v>
      </c>
      <c r="BA1" s="105">
        <f>'T&amp;D'!AZ1</f>
        <v>0</v>
      </c>
      <c r="BB1" s="105">
        <f>'T&amp;D'!BA1</f>
        <v>0</v>
      </c>
      <c r="BC1" s="105">
        <f>'T&amp;D'!BB1</f>
        <v>0</v>
      </c>
      <c r="BD1" s="105">
        <f>'T&amp;D'!BC1</f>
        <v>0</v>
      </c>
      <c r="BE1" s="105">
        <f>'T&amp;D'!BD1</f>
        <v>0</v>
      </c>
      <c r="BF1" s="105">
        <f>'T&amp;D'!BE1</f>
        <v>0</v>
      </c>
      <c r="BG1" s="105">
        <f>'T&amp;D'!BF1</f>
        <v>0</v>
      </c>
      <c r="BH1" s="105">
        <f>'T&amp;D'!BG1</f>
        <v>0</v>
      </c>
      <c r="BI1" s="105">
        <f>'T&amp;D'!BH1</f>
        <v>0</v>
      </c>
      <c r="BJ1" s="105">
        <f>'T&amp;D'!BI1</f>
        <v>0</v>
      </c>
      <c r="BK1" s="105">
        <f>'T&amp;D'!BJ1</f>
        <v>0</v>
      </c>
      <c r="BL1" s="105">
        <f>'T&amp;D'!BK1</f>
        <v>0</v>
      </c>
      <c r="BM1" s="105">
        <f>'T&amp;D'!BL1</f>
        <v>0</v>
      </c>
      <c r="BN1" s="105">
        <f>'T&amp;D'!BM1</f>
        <v>0</v>
      </c>
      <c r="BO1" s="105">
        <f>'T&amp;D'!BN1</f>
        <v>0</v>
      </c>
      <c r="BP1" s="105">
        <f>'T&amp;D'!BO1</f>
        <v>0</v>
      </c>
      <c r="BQ1" s="105">
        <f>'T&amp;D'!BP1</f>
        <v>0</v>
      </c>
      <c r="BR1" s="105">
        <f>'T&amp;D'!BQ1</f>
        <v>0</v>
      </c>
      <c r="BS1" s="105">
        <f>'T&amp;D'!BR1</f>
        <v>0</v>
      </c>
      <c r="BT1" s="105">
        <f>'T&amp;D'!BS1</f>
        <v>0</v>
      </c>
      <c r="BU1" s="105">
        <f>'T&amp;D'!BT1</f>
        <v>0</v>
      </c>
      <c r="BV1" s="105">
        <f>'T&amp;D'!BU1</f>
        <v>0</v>
      </c>
      <c r="BW1" s="105">
        <f>'T&amp;D'!BV1</f>
        <v>0</v>
      </c>
      <c r="BX1" s="105">
        <f>'T&amp;D'!BW1</f>
        <v>0</v>
      </c>
      <c r="BY1" s="105">
        <f>'T&amp;D'!BX1</f>
        <v>0</v>
      </c>
      <c r="BZ1" s="105">
        <f>'T&amp;D'!BY1</f>
        <v>0</v>
      </c>
      <c r="CA1" s="105">
        <f>'T&amp;D'!BZ1</f>
        <v>0</v>
      </c>
      <c r="CB1" s="105">
        <f>'T&amp;D'!CA1</f>
        <v>0</v>
      </c>
      <c r="CC1" s="105">
        <f>'T&amp;D'!CB1</f>
        <v>0</v>
      </c>
      <c r="CD1" s="105">
        <f>'T&amp;D'!CC1</f>
        <v>0</v>
      </c>
      <c r="CE1" s="105">
        <f>'T&amp;D'!CD1</f>
        <v>0</v>
      </c>
    </row>
    <row r="2" spans="1:83" x14ac:dyDescent="0.2">
      <c r="A2" s="103" t="s">
        <v>220</v>
      </c>
      <c r="D2" s="75"/>
      <c r="F2" s="204">
        <f>F4-F3</f>
        <v>71</v>
      </c>
      <c r="L2" s="142">
        <f>L4-L3</f>
        <v>2.1252597726190476</v>
      </c>
      <c r="R2" s="105" t="str">
        <f>'T&amp;D'!Q2</f>
        <v>w/O OT</v>
      </c>
      <c r="S2" s="105" t="str">
        <f>'T&amp;D'!R2</f>
        <v>w/O OT</v>
      </c>
      <c r="T2" s="105" t="str">
        <f>'T&amp;D'!S2</f>
        <v>w/O OT</v>
      </c>
      <c r="U2" s="105" t="str">
        <f>'T&amp;D'!T2</f>
        <v>w/O OT</v>
      </c>
      <c r="V2" s="105" t="str">
        <f>'T&amp;D'!U2</f>
        <v>Fri</v>
      </c>
      <c r="W2" s="105" t="str">
        <f>'T&amp;D'!V2</f>
        <v>Sat</v>
      </c>
      <c r="X2" s="105" t="str">
        <f>'T&amp;D'!W2</f>
        <v>w/O OT</v>
      </c>
      <c r="Y2" s="105" t="str">
        <f>'T&amp;D'!X2</f>
        <v>w/O OT</v>
      </c>
      <c r="Z2" s="105" t="str">
        <f>'T&amp;D'!Y2</f>
        <v>w/O OT</v>
      </c>
      <c r="AA2" s="105" t="str">
        <f>'T&amp;D'!Z2</f>
        <v>w/O OT</v>
      </c>
      <c r="AB2" s="105" t="str">
        <f>'T&amp;D'!AA2</f>
        <v>Fri</v>
      </c>
      <c r="AC2" s="105" t="str">
        <f>'T&amp;D'!AB2</f>
        <v>Sat</v>
      </c>
      <c r="AD2" s="105" t="str">
        <f>'T&amp;D'!AC2</f>
        <v>w/O OT</v>
      </c>
      <c r="AE2" s="105" t="str">
        <f>'T&amp;D'!AD2</f>
        <v>w/O OT</v>
      </c>
      <c r="AF2" s="105" t="str">
        <f>'T&amp;D'!AE2</f>
        <v>w/O OT</v>
      </c>
      <c r="AG2" s="105" t="str">
        <f>'T&amp;D'!AF2</f>
        <v>w/O OT</v>
      </c>
      <c r="AH2" s="105" t="str">
        <f>'T&amp;D'!AG2</f>
        <v>Fri</v>
      </c>
      <c r="AI2" s="105" t="str">
        <f>'T&amp;D'!AH2</f>
        <v>Sat</v>
      </c>
      <c r="AJ2" s="105" t="str">
        <f>'T&amp;D'!AI2</f>
        <v>w/O OT</v>
      </c>
      <c r="AK2" s="105" t="str">
        <f>'T&amp;D'!AJ2</f>
        <v>w/O OT</v>
      </c>
      <c r="AL2" s="105" t="str">
        <f>'T&amp;D'!AK2</f>
        <v>w/O OT</v>
      </c>
      <c r="AM2" s="105" t="str">
        <f>'T&amp;D'!AL2</f>
        <v>w/O OT</v>
      </c>
      <c r="AN2" s="105" t="str">
        <f>'T&amp;D'!AM2</f>
        <v>Fri</v>
      </c>
      <c r="AO2" s="105" t="str">
        <f>'T&amp;D'!AN2</f>
        <v>Sat</v>
      </c>
      <c r="AP2" s="105" t="str">
        <f>'T&amp;D'!AO2</f>
        <v>w/O OT</v>
      </c>
      <c r="AQ2" s="105" t="str">
        <f>'T&amp;D'!AP2</f>
        <v>w/O OT</v>
      </c>
      <c r="AR2" s="105" t="str">
        <f>'T&amp;D'!AQ2</f>
        <v>w/O OT</v>
      </c>
      <c r="AS2" s="105" t="str">
        <f>'T&amp;D'!AR2</f>
        <v>w/O OT</v>
      </c>
      <c r="AT2" s="105" t="str">
        <f>'T&amp;D'!AS2</f>
        <v>Fri</v>
      </c>
      <c r="AU2" s="105" t="str">
        <f>'T&amp;D'!AT2</f>
        <v>Sat</v>
      </c>
      <c r="AV2" s="105" t="str">
        <f>'T&amp;D'!AU2</f>
        <v>w/O OT</v>
      </c>
      <c r="AW2" s="105" t="str">
        <f>'T&amp;D'!AV2</f>
        <v>w/O OT</v>
      </c>
      <c r="AX2" s="105" t="str">
        <f>'T&amp;D'!AW2</f>
        <v>w/O OT</v>
      </c>
      <c r="AY2" s="105" t="str">
        <f>'T&amp;D'!AX2</f>
        <v>w/O OT</v>
      </c>
      <c r="AZ2" s="105" t="str">
        <f>'T&amp;D'!AY2</f>
        <v>Fri</v>
      </c>
      <c r="BA2" s="105" t="str">
        <f>'T&amp;D'!AZ2</f>
        <v>Sat</v>
      </c>
      <c r="BB2" s="105" t="str">
        <f>'T&amp;D'!BA2</f>
        <v>w/O OT</v>
      </c>
      <c r="BC2" s="105" t="str">
        <f>'T&amp;D'!BB2</f>
        <v>w/O OT</v>
      </c>
      <c r="BD2" s="105" t="str">
        <f>'T&amp;D'!BC2</f>
        <v>w/O OT</v>
      </c>
      <c r="BE2" s="105" t="str">
        <f>'T&amp;D'!BD2</f>
        <v>w/O OT</v>
      </c>
      <c r="BF2" s="105" t="str">
        <f>'T&amp;D'!BE2</f>
        <v>Fri</v>
      </c>
      <c r="BG2" s="105" t="str">
        <f>'T&amp;D'!BF2</f>
        <v>Sat</v>
      </c>
      <c r="BH2" s="105" t="str">
        <f>'T&amp;D'!BG2</f>
        <v>w/O OT</v>
      </c>
      <c r="BI2" s="105" t="str">
        <f>'T&amp;D'!BH2</f>
        <v>w/O OT</v>
      </c>
      <c r="BJ2" s="105" t="str">
        <f>'T&amp;D'!BI2</f>
        <v>w/O OT</v>
      </c>
      <c r="BK2" s="105" t="str">
        <f>'T&amp;D'!BJ2</f>
        <v>w/O OT</v>
      </c>
      <c r="BL2" s="105" t="str">
        <f>'T&amp;D'!BK2</f>
        <v>Fri</v>
      </c>
      <c r="BM2" s="105" t="str">
        <f>'T&amp;D'!BL2</f>
        <v>Sat</v>
      </c>
      <c r="BN2" s="105" t="str">
        <f>'T&amp;D'!BM2</f>
        <v>w/O OT</v>
      </c>
      <c r="BO2" s="105" t="str">
        <f>'T&amp;D'!BN2</f>
        <v>w/O OT</v>
      </c>
      <c r="BP2" s="105" t="str">
        <f>'T&amp;D'!BO2</f>
        <v>w/O OT</v>
      </c>
      <c r="BQ2" s="105" t="str">
        <f>'T&amp;D'!BP2</f>
        <v>w/O OT</v>
      </c>
      <c r="BR2" s="105" t="str">
        <f>'T&amp;D'!BQ2</f>
        <v>Fri</v>
      </c>
      <c r="BS2" s="105" t="str">
        <f>'T&amp;D'!BR2</f>
        <v>Sat</v>
      </c>
      <c r="BT2" s="105" t="str">
        <f>'T&amp;D'!BS2</f>
        <v>w/O OT</v>
      </c>
      <c r="BU2" s="105" t="str">
        <f>'T&amp;D'!BT2</f>
        <v>w/O OT</v>
      </c>
      <c r="BV2" s="105" t="str">
        <f>'T&amp;D'!BU2</f>
        <v>w/O OT</v>
      </c>
      <c r="BW2" s="105" t="str">
        <f>'T&amp;D'!BV2</f>
        <v>w/O OT</v>
      </c>
      <c r="BX2" s="105" t="str">
        <f>'T&amp;D'!BW2</f>
        <v>Fri</v>
      </c>
      <c r="BY2" s="105" t="str">
        <f>'T&amp;D'!BX2</f>
        <v>Sat</v>
      </c>
      <c r="BZ2" s="105" t="str">
        <f>'T&amp;D'!BY2</f>
        <v>w/O OT</v>
      </c>
      <c r="CA2" s="105" t="str">
        <f>'T&amp;D'!BZ2</f>
        <v>w/O OT</v>
      </c>
      <c r="CB2" s="105" t="str">
        <f>'T&amp;D'!CA2</f>
        <v>w/O OT</v>
      </c>
      <c r="CC2" s="105" t="str">
        <f>'T&amp;D'!CB2</f>
        <v>w/O OT</v>
      </c>
      <c r="CD2" s="105" t="str">
        <f>'T&amp;D'!CC2</f>
        <v>Fri</v>
      </c>
      <c r="CE2" s="105" t="str">
        <f>'T&amp;D'!CD2</f>
        <v>Sat</v>
      </c>
    </row>
    <row r="3" spans="1:83" s="80" customFormat="1" ht="12" customHeight="1" x14ac:dyDescent="0.2">
      <c r="A3" s="79"/>
      <c r="C3" s="71" t="s">
        <v>109</v>
      </c>
      <c r="D3" s="75" t="s">
        <v>110</v>
      </c>
      <c r="E3" s="174" t="s">
        <v>90</v>
      </c>
      <c r="F3" s="157">
        <f>F41+F43</f>
        <v>683</v>
      </c>
      <c r="L3" s="85">
        <f>L41+L43</f>
        <v>5.9779365842490844</v>
      </c>
      <c r="M3" s="85"/>
      <c r="N3" s="177"/>
      <c r="O3" s="240" t="s">
        <v>415</v>
      </c>
      <c r="P3" s="81"/>
      <c r="Q3" s="81"/>
      <c r="R3" s="82">
        <f>'T&amp;D'!Q3</f>
        <v>46314</v>
      </c>
      <c r="S3" s="82">
        <f>'T&amp;D'!R3</f>
        <v>46315</v>
      </c>
      <c r="T3" s="82">
        <f>'T&amp;D'!S3</f>
        <v>46316</v>
      </c>
      <c r="U3" s="82">
        <f>'T&amp;D'!T3</f>
        <v>46317</v>
      </c>
      <c r="V3" s="82">
        <f>'T&amp;D'!U3</f>
        <v>46318</v>
      </c>
      <c r="W3" s="82">
        <f>'T&amp;D'!V3</f>
        <v>46319</v>
      </c>
      <c r="X3" s="82">
        <f>'T&amp;D'!W3</f>
        <v>46321</v>
      </c>
      <c r="Y3" s="82">
        <f>'T&amp;D'!X3</f>
        <v>46322</v>
      </c>
      <c r="Z3" s="82">
        <f>'T&amp;D'!Y3</f>
        <v>46323</v>
      </c>
      <c r="AA3" s="82">
        <f>'T&amp;D'!Z3</f>
        <v>46324</v>
      </c>
      <c r="AB3" s="82">
        <f>'T&amp;D'!AA3</f>
        <v>46325</v>
      </c>
      <c r="AC3" s="82">
        <f>'T&amp;D'!AB3</f>
        <v>46326</v>
      </c>
      <c r="AD3" s="82">
        <f>'T&amp;D'!AC3</f>
        <v>46328</v>
      </c>
      <c r="AE3" s="82">
        <f>'T&amp;D'!AD3</f>
        <v>46329</v>
      </c>
      <c r="AF3" s="82">
        <f>'T&amp;D'!AE3</f>
        <v>46330</v>
      </c>
      <c r="AG3" s="82">
        <f>'T&amp;D'!AF3</f>
        <v>46331</v>
      </c>
      <c r="AH3" s="82">
        <f>'T&amp;D'!AG3</f>
        <v>46332</v>
      </c>
      <c r="AI3" s="82">
        <f>'T&amp;D'!AH3</f>
        <v>46333</v>
      </c>
      <c r="AJ3" s="82">
        <f>'T&amp;D'!AI3</f>
        <v>46335</v>
      </c>
      <c r="AK3" s="82">
        <f>'T&amp;D'!AJ3</f>
        <v>46336</v>
      </c>
      <c r="AL3" s="82">
        <f>'T&amp;D'!AK3</f>
        <v>46337</v>
      </c>
      <c r="AM3" s="82">
        <f>'T&amp;D'!AL3</f>
        <v>46338</v>
      </c>
      <c r="AN3" s="82">
        <f>'T&amp;D'!AM3</f>
        <v>46339</v>
      </c>
      <c r="AO3" s="82">
        <f>'T&amp;D'!AN3</f>
        <v>46340</v>
      </c>
      <c r="AP3" s="82">
        <f>'T&amp;D'!AO3</f>
        <v>46342</v>
      </c>
      <c r="AQ3" s="82">
        <f>'T&amp;D'!AP3</f>
        <v>46343</v>
      </c>
      <c r="AR3" s="82">
        <f>'T&amp;D'!AQ3</f>
        <v>46344</v>
      </c>
      <c r="AS3" s="82">
        <f>'T&amp;D'!AR3</f>
        <v>46345</v>
      </c>
      <c r="AT3" s="82">
        <f>'T&amp;D'!AS3</f>
        <v>46346</v>
      </c>
      <c r="AU3" s="82">
        <f>'T&amp;D'!AT3</f>
        <v>46347</v>
      </c>
      <c r="AV3" s="82">
        <f>'T&amp;D'!AU3</f>
        <v>46349</v>
      </c>
      <c r="AW3" s="82">
        <f>'T&amp;D'!AV3</f>
        <v>46350</v>
      </c>
      <c r="AX3" s="82">
        <f>'T&amp;D'!AW3</f>
        <v>46351</v>
      </c>
      <c r="AY3" s="82">
        <f>'T&amp;D'!AX3</f>
        <v>46352</v>
      </c>
      <c r="AZ3" s="82">
        <f>'T&amp;D'!AY3</f>
        <v>46353</v>
      </c>
      <c r="BA3" s="82">
        <f>'T&amp;D'!AZ3</f>
        <v>46354</v>
      </c>
      <c r="BB3" s="82">
        <f>'T&amp;D'!BA3</f>
        <v>46356</v>
      </c>
      <c r="BC3" s="82">
        <f>'T&amp;D'!BB3</f>
        <v>46357</v>
      </c>
      <c r="BD3" s="82">
        <f>'T&amp;D'!BC3</f>
        <v>46358</v>
      </c>
      <c r="BE3" s="82">
        <f>'T&amp;D'!BD3</f>
        <v>46359</v>
      </c>
      <c r="BF3" s="82">
        <f>'T&amp;D'!BE3</f>
        <v>46360</v>
      </c>
      <c r="BG3" s="82">
        <f>'T&amp;D'!BF3</f>
        <v>46361</v>
      </c>
      <c r="BH3" s="82">
        <f>'T&amp;D'!BG3</f>
        <v>46363</v>
      </c>
      <c r="BI3" s="82">
        <f>'T&amp;D'!BH3</f>
        <v>46364</v>
      </c>
      <c r="BJ3" s="82">
        <f>'T&amp;D'!BI3</f>
        <v>46365</v>
      </c>
      <c r="BK3" s="82">
        <f>'T&amp;D'!BJ3</f>
        <v>46366</v>
      </c>
      <c r="BL3" s="82">
        <f>'T&amp;D'!BK3</f>
        <v>46367</v>
      </c>
      <c r="BM3" s="82">
        <f>'T&amp;D'!BL3</f>
        <v>46368</v>
      </c>
      <c r="BN3" s="82">
        <f>'T&amp;D'!BM3</f>
        <v>46370</v>
      </c>
      <c r="BO3" s="82">
        <f>'T&amp;D'!BN3</f>
        <v>46371</v>
      </c>
      <c r="BP3" s="82">
        <f>'T&amp;D'!BO3</f>
        <v>46372</v>
      </c>
      <c r="BQ3" s="82">
        <f>'T&amp;D'!BP3</f>
        <v>46373</v>
      </c>
      <c r="BR3" s="82">
        <f>'T&amp;D'!BQ3</f>
        <v>46374</v>
      </c>
      <c r="BS3" s="82">
        <f>'T&amp;D'!BR3</f>
        <v>46375</v>
      </c>
      <c r="BT3" s="82">
        <f>'T&amp;D'!BS3</f>
        <v>46377</v>
      </c>
      <c r="BU3" s="82">
        <f>'T&amp;D'!BT3</f>
        <v>46378</v>
      </c>
      <c r="BV3" s="82">
        <f>'T&amp;D'!BU3</f>
        <v>46379</v>
      </c>
      <c r="BW3" s="82">
        <f>'T&amp;D'!BV3</f>
        <v>46380</v>
      </c>
      <c r="BX3" s="82">
        <f>'T&amp;D'!BW3</f>
        <v>46381</v>
      </c>
      <c r="BY3" s="82">
        <f>'T&amp;D'!BX3</f>
        <v>46382</v>
      </c>
      <c r="BZ3" s="82">
        <f>'T&amp;D'!BY3</f>
        <v>46384</v>
      </c>
      <c r="CA3" s="82">
        <f>'T&amp;D'!BZ3</f>
        <v>46385</v>
      </c>
      <c r="CB3" s="82">
        <f>'T&amp;D'!CA3</f>
        <v>46386</v>
      </c>
      <c r="CC3" s="82">
        <f>'T&amp;D'!CB3</f>
        <v>46387</v>
      </c>
      <c r="CD3" s="82">
        <f>'T&amp;D'!CC3</f>
        <v>46388</v>
      </c>
      <c r="CE3" s="82">
        <f>'T&amp;D'!CD3</f>
        <v>46389</v>
      </c>
    </row>
    <row r="4" spans="1:83" s="84" customFormat="1" ht="12" customHeight="1" x14ac:dyDescent="0.2">
      <c r="A4" s="83"/>
      <c r="D4" s="173"/>
      <c r="E4" s="174" t="s">
        <v>228</v>
      </c>
      <c r="F4" s="157">
        <f>SUM(F8:F4660)</f>
        <v>754</v>
      </c>
      <c r="I4" s="85">
        <f>45.5/5</f>
        <v>9.1</v>
      </c>
      <c r="L4" s="85">
        <f>SUM(L8:L4660)</f>
        <v>8.103196356868132</v>
      </c>
      <c r="M4" s="85"/>
      <c r="N4" s="178">
        <f>'T&amp;D'!M4</f>
        <v>46314</v>
      </c>
      <c r="O4" s="177"/>
      <c r="P4" s="81"/>
      <c r="Q4" s="81"/>
      <c r="R4" s="104">
        <f>'T&amp;D'!Q4</f>
        <v>45817</v>
      </c>
      <c r="S4" s="104">
        <f>'T&amp;D'!R4</f>
        <v>45818</v>
      </c>
      <c r="T4" s="104">
        <f>'T&amp;D'!S4</f>
        <v>45819</v>
      </c>
      <c r="U4" s="104">
        <f>'T&amp;D'!T4</f>
        <v>45820</v>
      </c>
      <c r="V4" s="104">
        <f>'T&amp;D'!U4</f>
        <v>45821</v>
      </c>
      <c r="W4" s="104">
        <f>'T&amp;D'!V4</f>
        <v>45822</v>
      </c>
      <c r="X4" s="104">
        <f>'T&amp;D'!W4</f>
        <v>45824</v>
      </c>
      <c r="Y4" s="104">
        <f>'T&amp;D'!X4</f>
        <v>45825</v>
      </c>
      <c r="Z4" s="104">
        <f>'T&amp;D'!Y4</f>
        <v>45826</v>
      </c>
      <c r="AA4" s="104">
        <f>'T&amp;D'!Z4</f>
        <v>45827</v>
      </c>
      <c r="AB4" s="104">
        <f>'T&amp;D'!AA4</f>
        <v>45828</v>
      </c>
      <c r="AC4" s="104">
        <f>'T&amp;D'!AB4</f>
        <v>45829</v>
      </c>
      <c r="AD4" s="104">
        <f>'T&amp;D'!AC4</f>
        <v>45831</v>
      </c>
      <c r="AE4" s="104">
        <f>'T&amp;D'!AD4</f>
        <v>45832</v>
      </c>
      <c r="AF4" s="104">
        <f>'T&amp;D'!AE4</f>
        <v>45833</v>
      </c>
      <c r="AG4" s="104">
        <f>'T&amp;D'!AF4</f>
        <v>45834</v>
      </c>
      <c r="AH4" s="104">
        <f>'T&amp;D'!AG4</f>
        <v>45835</v>
      </c>
      <c r="AI4" s="104">
        <f>'T&amp;D'!AH4</f>
        <v>45836</v>
      </c>
      <c r="AJ4" s="104">
        <f>'T&amp;D'!AI4</f>
        <v>45838</v>
      </c>
      <c r="AK4" s="104">
        <f>'T&amp;D'!AJ4</f>
        <v>45839</v>
      </c>
      <c r="AL4" s="104">
        <f>'T&amp;D'!AK4</f>
        <v>45840</v>
      </c>
      <c r="AM4" s="104">
        <f>'T&amp;D'!AL4</f>
        <v>45841</v>
      </c>
      <c r="AN4" s="104">
        <f>'T&amp;D'!AM4</f>
        <v>45842</v>
      </c>
      <c r="AO4" s="104">
        <f>'T&amp;D'!AN4</f>
        <v>45843</v>
      </c>
      <c r="AP4" s="104">
        <f>'T&amp;D'!AO4</f>
        <v>45845</v>
      </c>
      <c r="AQ4" s="104">
        <f>'T&amp;D'!AP4</f>
        <v>45846</v>
      </c>
      <c r="AR4" s="104">
        <f>'T&amp;D'!AQ4</f>
        <v>45847</v>
      </c>
      <c r="AS4" s="104">
        <f>'T&amp;D'!AR4</f>
        <v>45848</v>
      </c>
      <c r="AT4" s="104">
        <f>'T&amp;D'!AS4</f>
        <v>45849</v>
      </c>
      <c r="AU4" s="104">
        <f>'T&amp;D'!AT4</f>
        <v>45850</v>
      </c>
      <c r="AV4" s="104">
        <f>'T&amp;D'!AU4</f>
        <v>45852</v>
      </c>
      <c r="AW4" s="104">
        <f>'T&amp;D'!AV4</f>
        <v>45853</v>
      </c>
      <c r="AX4" s="104">
        <f>'T&amp;D'!AW4</f>
        <v>45854</v>
      </c>
      <c r="AY4" s="104">
        <f>'T&amp;D'!AX4</f>
        <v>45855</v>
      </c>
      <c r="AZ4" s="104">
        <f>'T&amp;D'!AY4</f>
        <v>45856</v>
      </c>
      <c r="BA4" s="104">
        <f>'T&amp;D'!AZ4</f>
        <v>45857</v>
      </c>
      <c r="BB4" s="104">
        <f>'T&amp;D'!BA4</f>
        <v>45859</v>
      </c>
      <c r="BC4" s="104">
        <f>'T&amp;D'!BB4</f>
        <v>45860</v>
      </c>
      <c r="BD4" s="104">
        <f>'T&amp;D'!BC4</f>
        <v>45861</v>
      </c>
      <c r="BE4" s="104">
        <f>'T&amp;D'!BD4</f>
        <v>45862</v>
      </c>
      <c r="BF4" s="104">
        <f>'T&amp;D'!BE4</f>
        <v>45863</v>
      </c>
      <c r="BG4" s="104">
        <f>'T&amp;D'!BF4</f>
        <v>45864</v>
      </c>
      <c r="BH4" s="104">
        <f>'T&amp;D'!BG4</f>
        <v>45866</v>
      </c>
      <c r="BI4" s="104">
        <f>'T&amp;D'!BH4</f>
        <v>45867</v>
      </c>
      <c r="BJ4" s="104">
        <f>'T&amp;D'!BI4</f>
        <v>45868</v>
      </c>
      <c r="BK4" s="104">
        <f>'T&amp;D'!BJ4</f>
        <v>45869</v>
      </c>
      <c r="BL4" s="104">
        <f>'T&amp;D'!BK4</f>
        <v>45870</v>
      </c>
      <c r="BM4" s="104">
        <f>'T&amp;D'!BL4</f>
        <v>45871</v>
      </c>
      <c r="BN4" s="104">
        <f>'T&amp;D'!BM4</f>
        <v>45873</v>
      </c>
      <c r="BO4" s="104">
        <f>'T&amp;D'!BN4</f>
        <v>45874</v>
      </c>
      <c r="BP4" s="104">
        <f>'T&amp;D'!BO4</f>
        <v>45875</v>
      </c>
      <c r="BQ4" s="104">
        <f>'T&amp;D'!BP4</f>
        <v>45876</v>
      </c>
      <c r="BR4" s="104">
        <f>'T&amp;D'!BQ4</f>
        <v>45877</v>
      </c>
      <c r="BS4" s="104">
        <f>'T&amp;D'!BR4</f>
        <v>45878</v>
      </c>
      <c r="BT4" s="104">
        <f>'T&amp;D'!BS4</f>
        <v>45880</v>
      </c>
      <c r="BU4" s="104">
        <f>'T&amp;D'!BT4</f>
        <v>45881</v>
      </c>
      <c r="BV4" s="104">
        <f>'T&amp;D'!BU4</f>
        <v>45882</v>
      </c>
      <c r="BW4" s="104">
        <f>'T&amp;D'!BV4</f>
        <v>45883</v>
      </c>
      <c r="BX4" s="104">
        <f>'T&amp;D'!BW4</f>
        <v>45884</v>
      </c>
      <c r="BY4" s="104">
        <f>'T&amp;D'!BX4</f>
        <v>45885</v>
      </c>
      <c r="BZ4" s="104">
        <f>'T&amp;D'!BY4</f>
        <v>45887</v>
      </c>
      <c r="CA4" s="104">
        <f>'T&amp;D'!BZ4</f>
        <v>45888</v>
      </c>
      <c r="CB4" s="104">
        <f>'T&amp;D'!CA4</f>
        <v>45889</v>
      </c>
      <c r="CC4" s="104">
        <f>'T&amp;D'!CB4</f>
        <v>45890</v>
      </c>
      <c r="CD4" s="104">
        <f>'T&amp;D'!CC4</f>
        <v>45891</v>
      </c>
      <c r="CE4" s="104">
        <f>'T&amp;D'!CD4</f>
        <v>45892</v>
      </c>
    </row>
    <row r="5" spans="1:83" s="84" customFormat="1" ht="15" customHeight="1" x14ac:dyDescent="0.2">
      <c r="A5" s="386" t="s">
        <v>385</v>
      </c>
      <c r="B5" s="386" t="s">
        <v>214</v>
      </c>
      <c r="C5" s="387" t="s">
        <v>91</v>
      </c>
      <c r="D5" s="388" t="s">
        <v>0</v>
      </c>
      <c r="E5" s="389" t="s">
        <v>103</v>
      </c>
      <c r="F5" s="388" t="s">
        <v>89</v>
      </c>
      <c r="G5" s="392" t="s">
        <v>93</v>
      </c>
      <c r="H5" s="388" t="s">
        <v>94</v>
      </c>
      <c r="I5" s="390" t="s">
        <v>95</v>
      </c>
      <c r="J5" s="393" t="s">
        <v>519</v>
      </c>
      <c r="K5" s="393" t="s">
        <v>520</v>
      </c>
      <c r="L5" s="390" t="s">
        <v>241</v>
      </c>
      <c r="M5" s="390" t="s">
        <v>240</v>
      </c>
      <c r="N5" s="389" t="s">
        <v>98</v>
      </c>
      <c r="O5" s="389" t="s">
        <v>99</v>
      </c>
      <c r="P5" s="391" t="s">
        <v>102</v>
      </c>
      <c r="Q5" s="125" t="s">
        <v>106</v>
      </c>
      <c r="R5" s="126" cm="1">
        <f t="array" ref="R5">_xlfn.IFS(R2="w/ OT",12.25,R2="w/o OT",9.5,R2="FRI",7.5,R2="SAT",7.5,R2="SUN",7.5,R2="OFF",0)</f>
        <v>9.5</v>
      </c>
      <c r="S5" s="126" cm="1">
        <f t="array" ref="S5">_xlfn.IFS(S2="w/ OT",12.25,S2="w/o OT",9.5,S2="FRI",7.5,S2="SAT",7.5,S2="SUN",7.5,S2="OFF",0)</f>
        <v>9.5</v>
      </c>
      <c r="T5" s="126" cm="1">
        <f t="array" ref="T5">_xlfn.IFS(T2="w/ OT",12.25,T2="w/o OT",9.5,T2="FRI",7.5,T2="SAT",7.5,T2="SUN",7.5,T2="OFF",0)</f>
        <v>9.5</v>
      </c>
      <c r="U5" s="126" cm="1">
        <f t="array" ref="U5">_xlfn.IFS(U2="w/ OT",12.25,U2="w/o OT",9.5,U2="FRI",7.5,U2="SAT",7.5,U2="SUN",7.5,U2="OFF",0)</f>
        <v>9.5</v>
      </c>
      <c r="V5" s="126" cm="1">
        <f t="array" ref="V5">_xlfn.IFS(V2="w/ OT",12.25,V2="w/o OT",9.5,V2="FRI",7.5,V2="SAT",7.5,V2="SUN",7.5,V2="OFF",0)</f>
        <v>7.5</v>
      </c>
      <c r="W5" s="126" cm="1">
        <f t="array" ref="W5">_xlfn.IFS(W2="w/ OT",12.25,W2="w/o OT",9.5,W2="FRI",7.5,W2="SAT",7.5,W2="SUN",7.5,W2="OFF",0)</f>
        <v>7.5</v>
      </c>
      <c r="X5" s="126" cm="1">
        <f t="array" ref="X5">_xlfn.IFS(X2="w/ OT",12.25,X2="w/o OT",9.5,X2="FRI",7.5,X2="SAT",7.5,X2="SUN",7.5,X2="OFF",0)</f>
        <v>9.5</v>
      </c>
      <c r="Y5" s="126" cm="1">
        <f t="array" ref="Y5">_xlfn.IFS(Y2="w/ OT",12.25,Y2="w/o OT",9.5,Y2="FRI",7.5,Y2="SAT",7.5,Y2="SUN",7.5,Y2="OFF",0)</f>
        <v>9.5</v>
      </c>
      <c r="Z5" s="126" cm="1">
        <f t="array" ref="Z5">_xlfn.IFS(Z2="w/ OT",12.25,Z2="w/o OT",9.5,Z2="FRI",7.5,Z2="SAT",7.5,Z2="SUN",7.5,Z2="OFF",0)</f>
        <v>9.5</v>
      </c>
      <c r="AA5" s="126" cm="1">
        <f t="array" ref="AA5">_xlfn.IFS(AA2="w/ OT",12.25,AA2="w/o OT",9.5,AA2="FRI",7.5,AA2="SAT",7.5,AA2="SUN",7.5,AA2="OFF",0)</f>
        <v>9.5</v>
      </c>
      <c r="AB5" s="126" cm="1">
        <f t="array" ref="AB5">_xlfn.IFS(AB2="w/ OT",12.25,AB2="w/o OT",9.5,AB2="FRI",7.5,AB2="SAT",7.5,AB2="SUN",7.5,AB2="OFF",0)</f>
        <v>7.5</v>
      </c>
      <c r="AC5" s="126" cm="1">
        <f t="array" ref="AC5">_xlfn.IFS(AC2="w/ OT",12.25,AC2="w/o OT",9.5,AC2="FRI",7.5,AC2="SAT",7.5,AC2="SUN",7.5,AC2="OFF",0)</f>
        <v>7.5</v>
      </c>
      <c r="AD5" s="126" cm="1">
        <f t="array" ref="AD5">_xlfn.IFS(AD2="w/ OT",12.25,AD2="w/o OT",9.5,AD2="FRI",7.5,AD2="SAT",7.5,AD2="SUN",7.5,AD2="OFF",0)</f>
        <v>9.5</v>
      </c>
      <c r="AE5" s="126" cm="1">
        <f t="array" ref="AE5">_xlfn.IFS(AE2="w/ OT",12.25,AE2="w/o OT",9.5,AE2="FRI",7.5,AE2="SAT",7.5,AE2="SUN",7.5,AE2="OFF",0)</f>
        <v>9.5</v>
      </c>
      <c r="AF5" s="126" cm="1">
        <f t="array" ref="AF5">_xlfn.IFS(AF2="w/ OT",12.25,AF2="w/o OT",9.5,AF2="FRI",7.5,AF2="SAT",7.5,AF2="SUN",7.5,AF2="OFF",0)</f>
        <v>9.5</v>
      </c>
      <c r="AG5" s="126" cm="1">
        <f t="array" ref="AG5">_xlfn.IFS(AG2="w/ OT",12.25,AG2="w/o OT",9.5,AG2="FRI",7.5,AG2="SAT",7.5,AG2="SUN",7.5,AG2="OFF",0)</f>
        <v>9.5</v>
      </c>
      <c r="AH5" s="126" cm="1">
        <f t="array" ref="AH5">_xlfn.IFS(AH2="w/ OT",12.25,AH2="w/o OT",9.5,AH2="FRI",7.5,AH2="SAT",7.5,AH2="SUN",7.5,AH2="OFF",0)</f>
        <v>7.5</v>
      </c>
      <c r="AI5" s="126" cm="1">
        <f t="array" ref="AI5">_xlfn.IFS(AI2="w/ OT",12.25,AI2="w/o OT",9.5,AI2="FRI",7.5,AI2="SAT",7.5,AI2="SUN",7.5,AI2="OFF",0)</f>
        <v>7.5</v>
      </c>
      <c r="AJ5" s="126" cm="1">
        <f t="array" ref="AJ5">_xlfn.IFS(AJ2="w/ OT",12.25,AJ2="w/o OT",9.5,AJ2="FRI",7.5,AJ2="SAT",7.5,AJ2="SUN",7.5,AJ2="OFF",0)</f>
        <v>9.5</v>
      </c>
      <c r="AK5" s="126" cm="1">
        <f t="array" ref="AK5">_xlfn.IFS(AK2="w/ OT",12.25,AK2="w/o OT",9.5,AK2="FRI",7.5,AK2="SAT",7.5,AK2="SUN",7.5,AK2="OFF",0)</f>
        <v>9.5</v>
      </c>
      <c r="AL5" s="126" cm="1">
        <f t="array" ref="AL5">_xlfn.IFS(AL2="w/ OT",12.25,AL2="w/o OT",9.5,AL2="FRI",7.5,AL2="SAT",7.5,AL2="SUN",7.5,AL2="OFF",0)</f>
        <v>9.5</v>
      </c>
      <c r="AM5" s="126" cm="1">
        <f t="array" ref="AM5">_xlfn.IFS(AM2="w/ OT",12.25,AM2="w/o OT",9.5,AM2="FRI",7.5,AM2="SAT",7.5,AM2="SUN",7.5,AM2="OFF",0)</f>
        <v>9.5</v>
      </c>
      <c r="AN5" s="126" cm="1">
        <f t="array" ref="AN5">_xlfn.IFS(AN2="w/ OT",12.25,AN2="w/o OT",9.5,AN2="FRI",7.5,AN2="SAT",7.5,AN2="SUN",7.5,AN2="OFF",0)</f>
        <v>7.5</v>
      </c>
      <c r="AO5" s="126" cm="1">
        <f t="array" ref="AO5">_xlfn.IFS(AO2="w/ OT",12.25,AO2="w/o OT",9.5,AO2="FRI",7.5,AO2="SAT",7.5,AO2="SUN",7.5,AO2="OFF",0)</f>
        <v>7.5</v>
      </c>
      <c r="AP5" s="126" cm="1">
        <f t="array" ref="AP5">_xlfn.IFS(AP2="w/ OT",12.25,AP2="w/o OT",9.5,AP2="FRI",7.5,AP2="SAT",7.5,AP2="SUN",7.5,AP2="OFF",0)</f>
        <v>9.5</v>
      </c>
      <c r="AQ5" s="126" cm="1">
        <f t="array" ref="AQ5">_xlfn.IFS(AQ2="w/ OT",12.25,AQ2="w/o OT",9.5,AQ2="FRI",7.5,AQ2="SAT",7.5,AQ2="SUN",7.5,AQ2="OFF",0)</f>
        <v>9.5</v>
      </c>
      <c r="AR5" s="126" cm="1">
        <f t="array" ref="AR5">_xlfn.IFS(AR2="w/ OT",12.25,AR2="w/o OT",9.5,AR2="FRI",7.5,AR2="SAT",7.5,AR2="SUN",7.5,AR2="OFF",0)</f>
        <v>9.5</v>
      </c>
      <c r="AS5" s="126" cm="1">
        <f t="array" ref="AS5">_xlfn.IFS(AS2="w/ OT",12.25,AS2="w/o OT",9.5,AS2="FRI",7.5,AS2="SAT",7.5,AS2="SUN",7.5,AS2="OFF",0)</f>
        <v>9.5</v>
      </c>
      <c r="AT5" s="126" cm="1">
        <f t="array" ref="AT5">_xlfn.IFS(AT2="w/ OT",12.25,AT2="w/o OT",9.5,AT2="FRI",7.5,AT2="SAT",7.5,AT2="SUN",7.5,AT2="OFF",0)</f>
        <v>7.5</v>
      </c>
      <c r="AU5" s="126" cm="1">
        <f t="array" ref="AU5">_xlfn.IFS(AU2="w/ OT",12.25,AU2="w/o OT",9.5,AU2="FRI",7.5,AU2="SAT",7.5,AU2="SUN",7.5,AU2="OFF",0)</f>
        <v>7.5</v>
      </c>
      <c r="AV5" s="126" cm="1">
        <f t="array" ref="AV5">_xlfn.IFS(AV2="w/ OT",12.25,AV2="w/o OT",9.5,AV2="FRI",7.5,AV2="SAT",7.5,AV2="SUN",7.5,AV2="OFF",0)</f>
        <v>9.5</v>
      </c>
      <c r="AW5" s="126" cm="1">
        <f t="array" ref="AW5">_xlfn.IFS(AW2="w/ OT",12.25,AW2="w/o OT",9.5,AW2="FRI",7.5,AW2="SAT",7.5,AW2="SUN",7.5,AW2="OFF",0)</f>
        <v>9.5</v>
      </c>
      <c r="AX5" s="126" cm="1">
        <f t="array" ref="AX5">_xlfn.IFS(AX2="w/ OT",12.25,AX2="w/o OT",9.5,AX2="FRI",7.5,AX2="SAT",7.5,AX2="SUN",7.5,AX2="OFF",0)</f>
        <v>9.5</v>
      </c>
      <c r="AY5" s="126" cm="1">
        <f t="array" ref="AY5">_xlfn.IFS(AY2="w/ OT",12.25,AY2="w/o OT",9.5,AY2="FRI",7.5,AY2="SAT",7.5,AY2="SUN",7.5,AY2="OFF",0)</f>
        <v>9.5</v>
      </c>
      <c r="AZ5" s="126" cm="1">
        <f t="array" ref="AZ5">_xlfn.IFS(AZ2="w/ OT",12.25,AZ2="w/o OT",9.5,AZ2="FRI",7.5,AZ2="SAT",7.5,AZ2="SUN",7.5,AZ2="OFF",0)</f>
        <v>7.5</v>
      </c>
      <c r="BA5" s="126" cm="1">
        <f t="array" ref="BA5">_xlfn.IFS(BA2="w/ OT",12.25,BA2="w/o OT",9.5,BA2="FRI",7.5,BA2="SAT",7.5,BA2="SUN",7.5,BA2="OFF",0)</f>
        <v>7.5</v>
      </c>
      <c r="BB5" s="126" cm="1">
        <f t="array" ref="BB5">_xlfn.IFS(BB2="w/ OT",12.25,BB2="w/o OT",9.5,BB2="FRI",7.5,BB2="SAT",7.5,BB2="SUN",7.5,BB2="OFF",0)</f>
        <v>9.5</v>
      </c>
      <c r="BC5" s="126" cm="1">
        <f t="array" ref="BC5">_xlfn.IFS(BC2="w/ OT",12.25,BC2="w/o OT",9.5,BC2="FRI",7.5,BC2="SAT",7.5,BC2="SUN",7.5,BC2="OFF",0)</f>
        <v>9.5</v>
      </c>
      <c r="BD5" s="126" cm="1">
        <f t="array" ref="BD5">_xlfn.IFS(BD2="w/ OT",12.25,BD2="w/o OT",9.5,BD2="FRI",7.5,BD2="SAT",7.5,BD2="SUN",7.5,BD2="OFF",0)</f>
        <v>9.5</v>
      </c>
      <c r="BE5" s="126" cm="1">
        <f t="array" ref="BE5">_xlfn.IFS(BE2="w/ OT",12.25,BE2="w/o OT",9.5,BE2="FRI",7.5,BE2="SAT",7.5,BE2="SUN",7.5,BE2="OFF",0)</f>
        <v>9.5</v>
      </c>
      <c r="BF5" s="126" cm="1">
        <f t="array" ref="BF5">_xlfn.IFS(BF2="w/ OT",12.25,BF2="w/o OT",9.5,BF2="FRI",7.5,BF2="SAT",7.5,BF2="SUN",7.5,BF2="OFF",0)</f>
        <v>7.5</v>
      </c>
      <c r="BG5" s="126" cm="1">
        <f t="array" ref="BG5">_xlfn.IFS(BG2="w/ OT",12.25,BG2="w/o OT",9.5,BG2="FRI",7.5,BG2="SAT",7.5,BG2="SUN",7.5,BG2="OFF",0)</f>
        <v>7.5</v>
      </c>
      <c r="BH5" s="126" cm="1">
        <f t="array" ref="BH5">_xlfn.IFS(BH2="w/ OT",12.25,BH2="w/o OT",9.5,BH2="FRI",7.5,BH2="SAT",7.5,BH2="SUN",7.5,BH2="OFF",0)</f>
        <v>9.5</v>
      </c>
      <c r="BI5" s="126" cm="1">
        <f t="array" ref="BI5">_xlfn.IFS(BI2="w/ OT",12.25,BI2="w/o OT",9.5,BI2="FRI",7.5,BI2="SAT",7.5,BI2="SUN",7.5,BI2="OFF",0)</f>
        <v>9.5</v>
      </c>
      <c r="BJ5" s="126" cm="1">
        <f t="array" ref="BJ5">_xlfn.IFS(BJ2="w/ OT",12.25,BJ2="w/o OT",9.5,BJ2="FRI",7.5,BJ2="SAT",7.5,BJ2="SUN",7.5,BJ2="OFF",0)</f>
        <v>9.5</v>
      </c>
      <c r="BK5" s="126" cm="1">
        <f t="array" ref="BK5">_xlfn.IFS(BK2="w/ OT",12.25,BK2="w/o OT",9.5,BK2="FRI",7.5,BK2="SAT",7.5,BK2="SUN",7.5,BK2="OFF",0)</f>
        <v>9.5</v>
      </c>
      <c r="BL5" s="126" cm="1">
        <f t="array" ref="BL5">_xlfn.IFS(BL2="w/ OT",12.25,BL2="w/o OT",9.5,BL2="FRI",7.5,BL2="SAT",7.5,BL2="SUN",7.5,BL2="OFF",0)</f>
        <v>7.5</v>
      </c>
      <c r="BM5" s="126" cm="1">
        <f t="array" ref="BM5">_xlfn.IFS(BM2="w/ OT",12.25,BM2="w/o OT",9.5,BM2="FRI",7.5,BM2="SAT",7.5,BM2="SUN",7.5,BM2="OFF",0)</f>
        <v>7.5</v>
      </c>
      <c r="BN5" s="126" cm="1">
        <f t="array" ref="BN5">_xlfn.IFS(BN2="w/ OT",12.25,BN2="w/o OT",9.5,BN2="FRI",7.5,BN2="SAT",7.5,BN2="SUN",7.5,BN2="OFF",0)</f>
        <v>9.5</v>
      </c>
      <c r="BO5" s="126" cm="1">
        <f t="array" ref="BO5">_xlfn.IFS(BO2="w/ OT",12.25,BO2="w/o OT",9.5,BO2="FRI",7.5,BO2="SAT",7.5,BO2="SUN",7.5,BO2="OFF",0)</f>
        <v>9.5</v>
      </c>
      <c r="BP5" s="126" cm="1">
        <f t="array" ref="BP5">_xlfn.IFS(BP2="w/ OT",12.25,BP2="w/o OT",9.5,BP2="FRI",7.5,BP2="SAT",7.5,BP2="SUN",7.5,BP2="OFF",0)</f>
        <v>9.5</v>
      </c>
      <c r="BQ5" s="126" cm="1">
        <f t="array" ref="BQ5">_xlfn.IFS(BQ2="w/ OT",12.25,BQ2="w/o OT",9.5,BQ2="FRI",7.5,BQ2="SAT",7.5,BQ2="SUN",7.5,BQ2="OFF",0)</f>
        <v>9.5</v>
      </c>
      <c r="BR5" s="126" cm="1">
        <f t="array" ref="BR5">_xlfn.IFS(BR2="w/ OT",12.25,BR2="w/o OT",9.5,BR2="FRI",7.5,BR2="SAT",7.5,BR2="SUN",7.5,BR2="OFF",0)</f>
        <v>7.5</v>
      </c>
      <c r="BS5" s="126" cm="1">
        <f t="array" ref="BS5">_xlfn.IFS(BS2="w/ OT",12.25,BS2="w/o OT",9.5,BS2="FRI",7.5,BS2="SAT",7.5,BS2="SUN",7.5,BS2="OFF",0)</f>
        <v>7.5</v>
      </c>
      <c r="BT5" s="126" cm="1">
        <f t="array" ref="BT5">_xlfn.IFS(BT2="w/ OT",12.25,BT2="w/o OT",9.5,BT2="FRI",7.5,BT2="SAT",7.5,BT2="SUN",7.5,BT2="OFF",0)</f>
        <v>9.5</v>
      </c>
      <c r="BU5" s="126" cm="1">
        <f t="array" ref="BU5">_xlfn.IFS(BU2="w/ OT",12.25,BU2="w/o OT",9.5,BU2="FRI",7.5,BU2="SAT",7.5,BU2="SUN",7.5,BU2="OFF",0)</f>
        <v>9.5</v>
      </c>
      <c r="BV5" s="126" cm="1">
        <f t="array" ref="BV5">_xlfn.IFS(BV2="w/ OT",12.25,BV2="w/o OT",9.5,BV2="FRI",7.5,BV2="SAT",7.5,BV2="SUN",7.5,BV2="OFF",0)</f>
        <v>9.5</v>
      </c>
      <c r="BW5" s="126" cm="1">
        <f t="array" ref="BW5">_xlfn.IFS(BW2="w/ OT",12.25,BW2="w/o OT",9.5,BW2="FRI",7.5,BW2="SAT",7.5,BW2="SUN",7.5,BW2="OFF",0)</f>
        <v>9.5</v>
      </c>
      <c r="BX5" s="126" cm="1">
        <f t="array" ref="BX5">_xlfn.IFS(BX2="w/ OT",12.25,BX2="w/o OT",9.5,BX2="FRI",7.5,BX2="SAT",7.5,BX2="SUN",7.5,BX2="OFF",0)</f>
        <v>7.5</v>
      </c>
      <c r="BY5" s="126" cm="1">
        <f t="array" ref="BY5">_xlfn.IFS(BY2="w/ OT",12.25,BY2="w/o OT",9.5,BY2="FRI",7.5,BY2="SAT",7.5,BY2="SUN",7.5,BY2="OFF",0)</f>
        <v>7.5</v>
      </c>
      <c r="BZ5" s="126" cm="1">
        <f t="array" ref="BZ5">_xlfn.IFS(BZ2="w/ OT",12.25,BZ2="w/o OT",9.5,BZ2="FRI",7.5,BZ2="SAT",7.5,BZ2="SUN",7.5,BZ2="OFF",0)</f>
        <v>9.5</v>
      </c>
      <c r="CA5" s="126" cm="1">
        <f t="array" ref="CA5">_xlfn.IFS(CA2="w/ OT",12.25,CA2="w/o OT",9.5,CA2="FRI",7.5,CA2="SAT",7.5,CA2="SUN",7.5,CA2="OFF",0)</f>
        <v>9.5</v>
      </c>
      <c r="CB5" s="126" cm="1">
        <f t="array" ref="CB5">_xlfn.IFS(CB2="w/ OT",12.25,CB2="w/o OT",9.5,CB2="FRI",7.5,CB2="SAT",7.5,CB2="SUN",7.5,CB2="OFF",0)</f>
        <v>9.5</v>
      </c>
      <c r="CC5" s="126" cm="1">
        <f t="array" ref="CC5">_xlfn.IFS(CC2="w/ OT",12.25,CC2="w/o OT",9.5,CC2="FRI",7.5,CC2="SAT",7.5,CC2="SUN",7.5,CC2="OFF",0)</f>
        <v>9.5</v>
      </c>
      <c r="CD5" s="126" cm="1">
        <f t="array" ref="CD5">_xlfn.IFS(CD2="w/ OT",12.25,CD2="w/o OT",9.5,CD2="FRI",7.5,CD2="SAT",7.5,CD2="SUN",7.5,CD2="OFF",0)</f>
        <v>7.5</v>
      </c>
      <c r="CE5" s="126" cm="1">
        <f t="array" ref="CE5">_xlfn.IFS(CE2="w/ OT",12.25,CE2="w/o OT",9.5,CE2="FRI",7.5,CE2="SAT",7.5,CE2="SUN",7.5,CE2="OFF",0)</f>
        <v>7.5</v>
      </c>
    </row>
    <row r="6" spans="1:83" ht="15" customHeight="1" x14ac:dyDescent="0.2">
      <c r="A6" s="386"/>
      <c r="B6" s="386"/>
      <c r="C6" s="387"/>
      <c r="D6" s="388"/>
      <c r="E6" s="389"/>
      <c r="F6" s="388"/>
      <c r="G6" s="392"/>
      <c r="H6" s="388"/>
      <c r="I6" s="390"/>
      <c r="J6" s="393"/>
      <c r="K6" s="393"/>
      <c r="L6" s="390"/>
      <c r="M6" s="390"/>
      <c r="N6" s="389"/>
      <c r="O6" s="389"/>
      <c r="P6" s="391"/>
      <c r="Q6" s="123" t="s">
        <v>107</v>
      </c>
      <c r="R6" s="124"/>
      <c r="S6" s="124"/>
      <c r="T6" s="124"/>
      <c r="U6" s="124"/>
      <c r="V6" s="124"/>
      <c r="W6" s="124"/>
      <c r="X6" s="124"/>
      <c r="Y6" s="124"/>
      <c r="Z6" s="124"/>
      <c r="AA6" s="124"/>
      <c r="AB6" s="124"/>
      <c r="AC6" s="124"/>
      <c r="AD6" s="124"/>
      <c r="AE6" s="124"/>
      <c r="AF6" s="124"/>
      <c r="AG6" s="124"/>
      <c r="AH6" s="124"/>
      <c r="AI6" s="124"/>
      <c r="AJ6" s="124"/>
      <c r="AK6" s="124"/>
      <c r="AL6" s="124"/>
      <c r="AM6" s="124"/>
      <c r="AN6" s="124"/>
      <c r="AO6" s="124"/>
      <c r="AP6" s="124"/>
      <c r="AQ6" s="124"/>
      <c r="AR6" s="124"/>
      <c r="AS6" s="124"/>
      <c r="AT6" s="124"/>
      <c r="AU6" s="124"/>
      <c r="AV6" s="124"/>
      <c r="AW6" s="124"/>
      <c r="AX6" s="124"/>
      <c r="AY6" s="124"/>
      <c r="AZ6" s="124"/>
      <c r="BA6" s="124"/>
      <c r="BB6" s="124"/>
      <c r="BC6" s="124"/>
      <c r="BD6" s="124"/>
      <c r="BE6" s="124"/>
      <c r="BF6" s="124"/>
      <c r="BG6" s="124"/>
      <c r="BH6" s="124"/>
      <c r="BI6" s="124"/>
      <c r="BJ6" s="124"/>
      <c r="BK6" s="124"/>
      <c r="BL6" s="124"/>
      <c r="BM6" s="124"/>
      <c r="BN6" s="124"/>
      <c r="BO6" s="124"/>
      <c r="BP6" s="124"/>
      <c r="BQ6" s="124"/>
      <c r="BR6" s="124"/>
      <c r="BS6" s="124"/>
      <c r="BT6" s="124"/>
      <c r="BU6" s="124"/>
      <c r="BV6" s="124"/>
      <c r="BW6" s="124"/>
      <c r="BX6" s="124"/>
      <c r="BY6" s="124"/>
      <c r="BZ6" s="124"/>
      <c r="CA6" s="124"/>
      <c r="CB6" s="124"/>
      <c r="CC6" s="124"/>
      <c r="CD6" s="124"/>
      <c r="CE6" s="124"/>
    </row>
    <row r="7" spans="1:83" ht="9" customHeight="1" x14ac:dyDescent="0.2">
      <c r="A7" s="113"/>
      <c r="B7" s="114"/>
      <c r="C7" s="115"/>
      <c r="D7" s="116"/>
      <c r="E7" s="175"/>
      <c r="F7" s="116"/>
      <c r="G7" s="117"/>
      <c r="H7" s="116"/>
      <c r="I7" s="118"/>
      <c r="J7" s="119"/>
      <c r="K7" s="119"/>
      <c r="L7" s="186"/>
      <c r="M7" s="186"/>
      <c r="N7" s="179"/>
      <c r="O7" s="183"/>
      <c r="P7" s="120"/>
      <c r="Q7" s="120"/>
      <c r="R7" s="121"/>
      <c r="S7" s="121"/>
      <c r="T7" s="121"/>
      <c r="U7" s="121"/>
      <c r="V7" s="121"/>
      <c r="W7" s="121"/>
      <c r="X7" s="121"/>
      <c r="Y7" s="121"/>
      <c r="Z7" s="121"/>
      <c r="AA7" s="121"/>
      <c r="AB7" s="121"/>
      <c r="AC7" s="121"/>
      <c r="AD7" s="121"/>
      <c r="AE7" s="121"/>
      <c r="AF7" s="121"/>
      <c r="AG7" s="121"/>
      <c r="AH7" s="121"/>
      <c r="AI7" s="121"/>
      <c r="AJ7" s="121"/>
      <c r="AK7" s="121"/>
      <c r="AL7" s="121"/>
      <c r="AM7" s="121"/>
      <c r="AN7" s="121"/>
      <c r="AO7" s="121"/>
      <c r="AP7" s="121"/>
      <c r="AQ7" s="121"/>
      <c r="AR7" s="121"/>
      <c r="AS7" s="121"/>
      <c r="AT7" s="121"/>
      <c r="AU7" s="121"/>
      <c r="AV7" s="121"/>
    </row>
    <row r="8" spans="1:83" ht="12.6" hidden="1" customHeight="1" x14ac:dyDescent="0.2">
      <c r="A8" s="106">
        <f>SHIPMENTS!A14</f>
        <v>9296</v>
      </c>
      <c r="B8" s="106" t="str">
        <f>SHIPMENTS!B14</f>
        <v>15900- Makati |Techiron Resources Inc.</v>
      </c>
      <c r="C8" s="132">
        <f>SHIPMENTS!F14</f>
        <v>0.05</v>
      </c>
      <c r="D8" s="107" t="str">
        <f>IF((SHIPMENTS!I14)=0,"",SHIPMENTS!I14)</f>
        <v/>
      </c>
      <c r="E8" s="176">
        <f>IF((SHIPMENTS!G14)=0,"",SHIPMENTS!G14)</f>
        <v>46314</v>
      </c>
      <c r="F8" s="109">
        <f>VLOOKUP(A8,Items!$A$5:$J$1000,8,0)</f>
        <v>0</v>
      </c>
      <c r="G8" s="98">
        <f>VLOOKUP(A8,load!$A$4:$U$5001,3,0)</f>
        <v>0</v>
      </c>
      <c r="H8" s="109">
        <f>Manhours!$C$20</f>
        <v>4</v>
      </c>
      <c r="I8" s="110">
        <f t="shared" ref="I8:I27" si="0">+H8*$I$4</f>
        <v>36.4</v>
      </c>
      <c r="J8" s="111">
        <f>G8/I8</f>
        <v>0</v>
      </c>
      <c r="K8" s="111">
        <f t="shared" ref="K8:K27" si="1">+J8*$I$4</f>
        <v>0</v>
      </c>
      <c r="L8" s="110">
        <f>IFERROR(J8-(J8*P8),0)</f>
        <v>0</v>
      </c>
      <c r="M8" s="110">
        <f>IFERROR(K8-(K8*P8),0)</f>
        <v>0</v>
      </c>
      <c r="N8" s="181">
        <f>N4</f>
        <v>46314</v>
      </c>
      <c r="O8" s="181">
        <f>N8+L8</f>
        <v>46314</v>
      </c>
      <c r="P8" s="112" t="str">
        <f>VLOOKUP(A8,SHIPMENTS!$A$7:$AP$76,10,0)</f>
        <v>n/a</v>
      </c>
      <c r="Q8" s="112"/>
      <c r="R8" s="127" t="str">
        <f t="shared" ref="R8:AG29" si="2">IF($E8=R$3,"▲","")</f>
        <v>▲</v>
      </c>
      <c r="S8" s="127" t="str">
        <f t="shared" ref="S8:BF14" si="3">IF($E8=S$3,"▲","")</f>
        <v/>
      </c>
      <c r="T8" s="127" t="str">
        <f t="shared" si="3"/>
        <v/>
      </c>
      <c r="U8" s="127" t="str">
        <f t="shared" si="3"/>
        <v/>
      </c>
      <c r="V8" s="127" t="str">
        <f t="shared" si="3"/>
        <v/>
      </c>
      <c r="W8" s="127" t="str">
        <f t="shared" si="3"/>
        <v/>
      </c>
      <c r="X8" s="127" t="str">
        <f t="shared" si="3"/>
        <v/>
      </c>
      <c r="Y8" s="127" t="str">
        <f t="shared" si="3"/>
        <v/>
      </c>
      <c r="Z8" s="127" t="str">
        <f t="shared" si="3"/>
        <v/>
      </c>
      <c r="AA8" s="127" t="str">
        <f t="shared" si="3"/>
        <v/>
      </c>
      <c r="AB8" s="127" t="str">
        <f t="shared" si="3"/>
        <v/>
      </c>
      <c r="AC8" s="127" t="str">
        <f t="shared" si="3"/>
        <v/>
      </c>
      <c r="AD8" s="127" t="str">
        <f t="shared" si="3"/>
        <v/>
      </c>
      <c r="AE8" s="127" t="str">
        <f t="shared" si="3"/>
        <v/>
      </c>
      <c r="AF8" s="127" t="str">
        <f t="shared" si="3"/>
        <v/>
      </c>
      <c r="AG8" s="127" t="str">
        <f t="shared" si="3"/>
        <v/>
      </c>
      <c r="AH8" s="127" t="str">
        <f t="shared" si="3"/>
        <v/>
      </c>
      <c r="AI8" s="127" t="str">
        <f t="shared" si="3"/>
        <v/>
      </c>
      <c r="AJ8" s="127" t="str">
        <f t="shared" si="3"/>
        <v/>
      </c>
      <c r="AK8" s="127" t="str">
        <f t="shared" si="3"/>
        <v/>
      </c>
      <c r="AL8" s="127" t="str">
        <f t="shared" si="3"/>
        <v/>
      </c>
      <c r="AM8" s="127" t="str">
        <f t="shared" si="3"/>
        <v/>
      </c>
      <c r="AN8" s="127" t="str">
        <f t="shared" si="3"/>
        <v/>
      </c>
      <c r="AO8" s="127" t="str">
        <f t="shared" si="3"/>
        <v/>
      </c>
      <c r="AP8" s="127" t="str">
        <f t="shared" si="3"/>
        <v/>
      </c>
      <c r="AQ8" s="127" t="str">
        <f t="shared" si="3"/>
        <v/>
      </c>
      <c r="AR8" s="127" t="str">
        <f t="shared" si="3"/>
        <v/>
      </c>
      <c r="AS8" s="127" t="str">
        <f t="shared" si="3"/>
        <v/>
      </c>
      <c r="AT8" s="127" t="str">
        <f t="shared" si="3"/>
        <v/>
      </c>
      <c r="AU8" s="127" t="str">
        <f t="shared" si="3"/>
        <v/>
      </c>
      <c r="AV8" s="127" t="str">
        <f t="shared" si="3"/>
        <v/>
      </c>
      <c r="AW8" s="127" t="str">
        <f t="shared" si="3"/>
        <v/>
      </c>
      <c r="AX8" s="127" t="str">
        <f t="shared" si="3"/>
        <v/>
      </c>
      <c r="AY8" s="127" t="str">
        <f t="shared" si="3"/>
        <v/>
      </c>
      <c r="AZ8" s="127" t="str">
        <f t="shared" si="3"/>
        <v/>
      </c>
      <c r="BA8" s="127" t="str">
        <f t="shared" si="3"/>
        <v/>
      </c>
      <c r="BB8" s="127" t="str">
        <f t="shared" si="3"/>
        <v/>
      </c>
      <c r="BC8" s="127" t="str">
        <f t="shared" si="3"/>
        <v/>
      </c>
      <c r="BD8" s="127" t="str">
        <f t="shared" si="3"/>
        <v/>
      </c>
      <c r="BE8" s="127" t="str">
        <f t="shared" si="3"/>
        <v/>
      </c>
      <c r="BF8" s="127" t="str">
        <f t="shared" si="3"/>
        <v/>
      </c>
      <c r="BG8" s="127" t="str">
        <f t="shared" ref="BG8:BS33" si="4">IF($E8=BG$3,"▲","")</f>
        <v/>
      </c>
      <c r="BH8" s="127" t="str">
        <f t="shared" si="4"/>
        <v/>
      </c>
      <c r="BI8" s="127" t="str">
        <f t="shared" si="4"/>
        <v/>
      </c>
      <c r="BJ8" s="127" t="str">
        <f t="shared" si="4"/>
        <v/>
      </c>
      <c r="BK8" s="127" t="str">
        <f t="shared" si="4"/>
        <v/>
      </c>
      <c r="BL8" s="127" t="str">
        <f t="shared" si="4"/>
        <v/>
      </c>
      <c r="BM8" s="127" t="str">
        <f t="shared" si="4"/>
        <v/>
      </c>
      <c r="BN8" s="127" t="str">
        <f t="shared" si="4"/>
        <v/>
      </c>
      <c r="BO8" s="127" t="str">
        <f t="shared" si="4"/>
        <v/>
      </c>
      <c r="BP8" s="127" t="str">
        <f t="shared" si="4"/>
        <v/>
      </c>
      <c r="BQ8" s="127" t="str">
        <f t="shared" si="4"/>
        <v/>
      </c>
      <c r="BR8" s="127" t="str">
        <f t="shared" si="4"/>
        <v/>
      </c>
      <c r="BS8" s="127" t="str">
        <f t="shared" si="4"/>
        <v/>
      </c>
      <c r="BT8" s="127" t="str">
        <f t="shared" ref="BT8:CE23" si="5">IF($E8=BT$3,"▲","")</f>
        <v/>
      </c>
      <c r="BU8" s="127" t="str">
        <f t="shared" si="5"/>
        <v/>
      </c>
      <c r="BV8" s="127" t="str">
        <f t="shared" si="5"/>
        <v/>
      </c>
      <c r="BW8" s="127" t="str">
        <f t="shared" si="5"/>
        <v/>
      </c>
      <c r="BX8" s="127" t="str">
        <f t="shared" si="5"/>
        <v/>
      </c>
      <c r="BY8" s="127" t="str">
        <f t="shared" si="5"/>
        <v/>
      </c>
      <c r="BZ8" s="127" t="str">
        <f t="shared" si="5"/>
        <v/>
      </c>
      <c r="CA8" s="127" t="str">
        <f t="shared" si="5"/>
        <v/>
      </c>
      <c r="CB8" s="127" t="str">
        <f t="shared" si="5"/>
        <v/>
      </c>
      <c r="CC8" s="127" t="str">
        <f t="shared" si="5"/>
        <v/>
      </c>
      <c r="CD8" s="127" t="str">
        <f t="shared" si="5"/>
        <v/>
      </c>
      <c r="CE8" s="127" t="str">
        <f t="shared" si="5"/>
        <v/>
      </c>
    </row>
    <row r="9" spans="1:83" ht="12.6" hidden="1" customHeight="1" x14ac:dyDescent="0.2">
      <c r="A9" s="106">
        <f>SHIPMENTS!A15</f>
        <v>9309</v>
      </c>
      <c r="B9" s="106" t="str">
        <f>SHIPMENTS!B15</f>
        <v>43940-THAILAND</v>
      </c>
      <c r="C9" s="132">
        <f>SHIPMENTS!F15</f>
        <v>6.4030000000000004E-2</v>
      </c>
      <c r="D9" s="107" t="str">
        <f>IF((SHIPMENTS!I15)=0,"",SHIPMENTS!I15)</f>
        <v>AIR</v>
      </c>
      <c r="E9" s="176">
        <f>IF((SHIPMENTS!G15)=0,"",SHIPMENTS!G15)</f>
        <v>46314</v>
      </c>
      <c r="F9" s="109">
        <f>VLOOKUP(A9,Items!$A$5:$J$1000,8,0)</f>
        <v>0</v>
      </c>
      <c r="G9" s="98">
        <f>VLOOKUP(A9,load!$A$4:$U$5001,3,0)</f>
        <v>0</v>
      </c>
      <c r="H9" s="97">
        <f>Manhours!$C$20</f>
        <v>4</v>
      </c>
      <c r="I9" s="98">
        <f t="shared" si="0"/>
        <v>36.4</v>
      </c>
      <c r="J9" s="99">
        <f t="shared" ref="J9:J18" si="6">G9/I9</f>
        <v>0</v>
      </c>
      <c r="K9" s="99">
        <f t="shared" si="1"/>
        <v>0</v>
      </c>
      <c r="L9" s="98">
        <f t="shared" ref="L9:L19" si="7">IFERROR(J9-(J9*P9),0)</f>
        <v>0</v>
      </c>
      <c r="M9" s="98">
        <f t="shared" ref="M9:M19" si="8">IFERROR(K9-(K9*P9),0)</f>
        <v>0</v>
      </c>
      <c r="N9" s="181">
        <f>O8</f>
        <v>46314</v>
      </c>
      <c r="O9" s="181">
        <f>N9+L9</f>
        <v>46314</v>
      </c>
      <c r="P9" s="112" t="str">
        <f>VLOOKUP(A9,SHIPMENTS!$A$7:$AP$76,10,0)</f>
        <v>n/a</v>
      </c>
      <c r="Q9" s="101"/>
      <c r="R9" s="127" t="str">
        <f t="shared" si="2"/>
        <v>▲</v>
      </c>
      <c r="S9" s="127" t="str">
        <f t="shared" ref="S9:AG9" si="9">IF($E9=S$3,"▲","")</f>
        <v/>
      </c>
      <c r="T9" s="127" t="str">
        <f t="shared" si="9"/>
        <v/>
      </c>
      <c r="U9" s="127" t="str">
        <f t="shared" si="9"/>
        <v/>
      </c>
      <c r="V9" s="127" t="str">
        <f t="shared" si="9"/>
        <v/>
      </c>
      <c r="W9" s="127" t="str">
        <f t="shared" si="9"/>
        <v/>
      </c>
      <c r="X9" s="127" t="str">
        <f t="shared" si="9"/>
        <v/>
      </c>
      <c r="Y9" s="127" t="str">
        <f t="shared" si="9"/>
        <v/>
      </c>
      <c r="Z9" s="127" t="str">
        <f t="shared" si="9"/>
        <v/>
      </c>
      <c r="AA9" s="127" t="str">
        <f t="shared" si="9"/>
        <v/>
      </c>
      <c r="AB9" s="127" t="str">
        <f t="shared" si="9"/>
        <v/>
      </c>
      <c r="AC9" s="127" t="str">
        <f t="shared" si="9"/>
        <v/>
      </c>
      <c r="AD9" s="127" t="str">
        <f t="shared" si="9"/>
        <v/>
      </c>
      <c r="AE9" s="127" t="str">
        <f t="shared" si="9"/>
        <v/>
      </c>
      <c r="AF9" s="127" t="str">
        <f t="shared" si="9"/>
        <v/>
      </c>
      <c r="AG9" s="127" t="str">
        <f t="shared" si="9"/>
        <v/>
      </c>
      <c r="AH9" s="127" t="str">
        <f t="shared" si="3"/>
        <v/>
      </c>
      <c r="AI9" s="127" t="str">
        <f t="shared" si="3"/>
        <v/>
      </c>
      <c r="AJ9" s="127" t="str">
        <f t="shared" si="3"/>
        <v/>
      </c>
      <c r="AK9" s="127" t="str">
        <f t="shared" si="3"/>
        <v/>
      </c>
      <c r="AL9" s="127" t="str">
        <f t="shared" si="3"/>
        <v/>
      </c>
      <c r="AM9" s="127" t="str">
        <f t="shared" si="3"/>
        <v/>
      </c>
      <c r="AN9" s="127" t="str">
        <f t="shared" si="3"/>
        <v/>
      </c>
      <c r="AO9" s="127" t="str">
        <f t="shared" si="3"/>
        <v/>
      </c>
      <c r="AP9" s="127" t="str">
        <f t="shared" si="3"/>
        <v/>
      </c>
      <c r="AQ9" s="127" t="str">
        <f t="shared" si="3"/>
        <v/>
      </c>
      <c r="AR9" s="127" t="str">
        <f t="shared" si="3"/>
        <v/>
      </c>
      <c r="AS9" s="127" t="str">
        <f t="shared" si="3"/>
        <v/>
      </c>
      <c r="AT9" s="127" t="str">
        <f t="shared" si="3"/>
        <v/>
      </c>
      <c r="AU9" s="127" t="str">
        <f t="shared" si="3"/>
        <v/>
      </c>
      <c r="AV9" s="127" t="str">
        <f t="shared" si="3"/>
        <v/>
      </c>
      <c r="AW9" s="127" t="str">
        <f t="shared" si="3"/>
        <v/>
      </c>
      <c r="AX9" s="127" t="str">
        <f t="shared" si="3"/>
        <v/>
      </c>
      <c r="AY9" s="127" t="str">
        <f t="shared" si="3"/>
        <v/>
      </c>
      <c r="AZ9" s="127" t="str">
        <f t="shared" si="3"/>
        <v/>
      </c>
      <c r="BA9" s="127" t="str">
        <f t="shared" si="3"/>
        <v/>
      </c>
      <c r="BB9" s="127" t="str">
        <f t="shared" si="3"/>
        <v/>
      </c>
      <c r="BC9" s="127" t="str">
        <f t="shared" si="3"/>
        <v/>
      </c>
      <c r="BD9" s="127" t="str">
        <f t="shared" si="3"/>
        <v/>
      </c>
      <c r="BE9" s="127" t="str">
        <f t="shared" si="3"/>
        <v/>
      </c>
      <c r="BF9" s="127" t="str">
        <f t="shared" si="3"/>
        <v/>
      </c>
      <c r="BG9" s="127" t="str">
        <f t="shared" si="4"/>
        <v/>
      </c>
      <c r="BH9" s="127" t="str">
        <f t="shared" si="4"/>
        <v/>
      </c>
      <c r="BI9" s="127" t="str">
        <f t="shared" si="4"/>
        <v/>
      </c>
      <c r="BJ9" s="127" t="str">
        <f t="shared" si="4"/>
        <v/>
      </c>
      <c r="BK9" s="127" t="str">
        <f t="shared" si="4"/>
        <v/>
      </c>
      <c r="BL9" s="127" t="str">
        <f t="shared" si="4"/>
        <v/>
      </c>
      <c r="BM9" s="127" t="str">
        <f t="shared" si="4"/>
        <v/>
      </c>
      <c r="BN9" s="127" t="str">
        <f t="shared" si="4"/>
        <v/>
      </c>
      <c r="BO9" s="127" t="str">
        <f t="shared" si="4"/>
        <v/>
      </c>
      <c r="BP9" s="127" t="str">
        <f t="shared" si="4"/>
        <v/>
      </c>
      <c r="BQ9" s="127" t="str">
        <f t="shared" si="4"/>
        <v/>
      </c>
      <c r="BR9" s="127" t="str">
        <f t="shared" si="4"/>
        <v/>
      </c>
      <c r="BS9" s="127" t="str">
        <f t="shared" si="4"/>
        <v/>
      </c>
      <c r="BT9" s="127" t="str">
        <f t="shared" si="5"/>
        <v/>
      </c>
      <c r="BU9" s="127" t="str">
        <f t="shared" si="5"/>
        <v/>
      </c>
      <c r="BV9" s="127" t="str">
        <f t="shared" si="5"/>
        <v/>
      </c>
      <c r="BW9" s="127" t="str">
        <f t="shared" si="5"/>
        <v/>
      </c>
      <c r="BX9" s="127" t="str">
        <f t="shared" si="5"/>
        <v/>
      </c>
      <c r="BY9" s="127" t="str">
        <f t="shared" si="5"/>
        <v/>
      </c>
      <c r="BZ9" s="127" t="str">
        <f t="shared" si="5"/>
        <v/>
      </c>
      <c r="CA9" s="127" t="str">
        <f t="shared" si="5"/>
        <v/>
      </c>
      <c r="CB9" s="127" t="str">
        <f t="shared" si="5"/>
        <v/>
      </c>
      <c r="CC9" s="127" t="str">
        <f t="shared" si="5"/>
        <v/>
      </c>
      <c r="CD9" s="127" t="str">
        <f t="shared" si="5"/>
        <v/>
      </c>
      <c r="CE9" s="127" t="str">
        <f t="shared" si="5"/>
        <v/>
      </c>
    </row>
    <row r="10" spans="1:83" ht="12.6" hidden="1" customHeight="1" x14ac:dyDescent="0.2">
      <c r="A10" s="106">
        <f>SHIPMENTS!A16</f>
        <v>9117</v>
      </c>
      <c r="B10" s="106" t="str">
        <f>SHIPMENTS!B16</f>
        <v>41700-CANADA BSAUNAS</v>
      </c>
      <c r="C10" s="132">
        <f>SHIPMENTS!F16</f>
        <v>83.268000000000001</v>
      </c>
      <c r="D10" s="107" t="str">
        <f>IF((SHIPMENTS!I16)=0,"",SHIPMENTS!I16)</f>
        <v>1X40HC</v>
      </c>
      <c r="E10" s="176">
        <f>IF((SHIPMENTS!G16)=0,"",SHIPMENTS!G16)</f>
        <v>46315</v>
      </c>
      <c r="F10" s="109">
        <f>VLOOKUP(A10,Items!$A$5:$J$1000,8,0)</f>
        <v>0</v>
      </c>
      <c r="G10" s="98">
        <f>VLOOKUP(A10,load!$A$4:$U$5001,3,0)</f>
        <v>0</v>
      </c>
      <c r="H10" s="97">
        <f>Manhours!$C$20</f>
        <v>4</v>
      </c>
      <c r="I10" s="98">
        <f t="shared" si="0"/>
        <v>36.4</v>
      </c>
      <c r="J10" s="99">
        <f t="shared" si="6"/>
        <v>0</v>
      </c>
      <c r="K10" s="99">
        <f t="shared" si="1"/>
        <v>0</v>
      </c>
      <c r="L10" s="98">
        <f t="shared" si="7"/>
        <v>0</v>
      </c>
      <c r="M10" s="98">
        <f t="shared" si="8"/>
        <v>0</v>
      </c>
      <c r="N10" s="181">
        <f t="shared" ref="N10:N32" si="10">O9</f>
        <v>46314</v>
      </c>
      <c r="O10" s="181">
        <f t="shared" ref="O10:O32" si="11">N10+L10</f>
        <v>46314</v>
      </c>
      <c r="P10" s="112" t="str">
        <f>VLOOKUP(A10,SHIPMENTS!$A$7:$AP$76,10,0)</f>
        <v>n/a</v>
      </c>
      <c r="Q10" s="101"/>
      <c r="R10" s="127" t="str">
        <f t="shared" si="2"/>
        <v/>
      </c>
      <c r="S10" s="127" t="str">
        <f t="shared" si="3"/>
        <v>▲</v>
      </c>
      <c r="T10" s="127" t="str">
        <f t="shared" si="3"/>
        <v/>
      </c>
      <c r="U10" s="127" t="str">
        <f t="shared" si="3"/>
        <v/>
      </c>
      <c r="V10" s="127" t="str">
        <f t="shared" si="3"/>
        <v/>
      </c>
      <c r="W10" s="127" t="str">
        <f t="shared" si="3"/>
        <v/>
      </c>
      <c r="X10" s="127" t="str">
        <f t="shared" si="3"/>
        <v/>
      </c>
      <c r="Y10" s="127" t="str">
        <f t="shared" si="3"/>
        <v/>
      </c>
      <c r="Z10" s="127" t="str">
        <f t="shared" si="3"/>
        <v/>
      </c>
      <c r="AA10" s="127" t="str">
        <f t="shared" si="3"/>
        <v/>
      </c>
      <c r="AB10" s="127" t="str">
        <f t="shared" si="3"/>
        <v/>
      </c>
      <c r="AC10" s="127" t="str">
        <f t="shared" si="3"/>
        <v/>
      </c>
      <c r="AD10" s="127" t="str">
        <f t="shared" si="3"/>
        <v/>
      </c>
      <c r="AE10" s="127" t="str">
        <f t="shared" si="3"/>
        <v/>
      </c>
      <c r="AF10" s="127" t="str">
        <f t="shared" si="3"/>
        <v/>
      </c>
      <c r="AG10" s="127" t="str">
        <f t="shared" si="3"/>
        <v/>
      </c>
      <c r="AH10" s="127" t="str">
        <f t="shared" si="3"/>
        <v/>
      </c>
      <c r="AI10" s="127" t="str">
        <f t="shared" si="3"/>
        <v/>
      </c>
      <c r="AJ10" s="127" t="str">
        <f t="shared" si="3"/>
        <v/>
      </c>
      <c r="AK10" s="127" t="str">
        <f t="shared" si="3"/>
        <v/>
      </c>
      <c r="AL10" s="127" t="str">
        <f t="shared" si="3"/>
        <v/>
      </c>
      <c r="AM10" s="127" t="str">
        <f t="shared" si="3"/>
        <v/>
      </c>
      <c r="AN10" s="127" t="str">
        <f t="shared" si="3"/>
        <v/>
      </c>
      <c r="AO10" s="127" t="str">
        <f t="shared" si="3"/>
        <v/>
      </c>
      <c r="AP10" s="127" t="str">
        <f t="shared" si="3"/>
        <v/>
      </c>
      <c r="AQ10" s="127" t="str">
        <f t="shared" si="3"/>
        <v/>
      </c>
      <c r="AR10" s="127" t="str">
        <f t="shared" si="3"/>
        <v/>
      </c>
      <c r="AS10" s="127" t="str">
        <f t="shared" si="3"/>
        <v/>
      </c>
      <c r="AT10" s="127" t="str">
        <f t="shared" si="3"/>
        <v/>
      </c>
      <c r="AU10" s="127" t="str">
        <f t="shared" si="3"/>
        <v/>
      </c>
      <c r="AV10" s="127" t="str">
        <f t="shared" si="3"/>
        <v/>
      </c>
      <c r="AW10" s="127" t="str">
        <f t="shared" si="3"/>
        <v/>
      </c>
      <c r="AX10" s="127" t="str">
        <f t="shared" si="3"/>
        <v/>
      </c>
      <c r="AY10" s="127" t="str">
        <f t="shared" si="3"/>
        <v/>
      </c>
      <c r="AZ10" s="127" t="str">
        <f t="shared" si="3"/>
        <v/>
      </c>
      <c r="BA10" s="127" t="str">
        <f t="shared" si="3"/>
        <v/>
      </c>
      <c r="BB10" s="127" t="str">
        <f t="shared" si="3"/>
        <v/>
      </c>
      <c r="BC10" s="127" t="str">
        <f t="shared" si="3"/>
        <v/>
      </c>
      <c r="BD10" s="127" t="str">
        <f t="shared" si="3"/>
        <v/>
      </c>
      <c r="BE10" s="127" t="str">
        <f t="shared" si="3"/>
        <v/>
      </c>
      <c r="BF10" s="127" t="str">
        <f t="shared" si="3"/>
        <v/>
      </c>
      <c r="BG10" s="127" t="str">
        <f t="shared" si="4"/>
        <v/>
      </c>
      <c r="BH10" s="127" t="str">
        <f t="shared" si="4"/>
        <v/>
      </c>
      <c r="BI10" s="127" t="str">
        <f t="shared" si="4"/>
        <v/>
      </c>
      <c r="BJ10" s="127" t="str">
        <f t="shared" si="4"/>
        <v/>
      </c>
      <c r="BK10" s="127" t="str">
        <f t="shared" si="4"/>
        <v/>
      </c>
      <c r="BL10" s="127" t="str">
        <f t="shared" si="4"/>
        <v/>
      </c>
      <c r="BM10" s="127" t="str">
        <f t="shared" si="4"/>
        <v/>
      </c>
      <c r="BN10" s="127" t="str">
        <f t="shared" si="4"/>
        <v/>
      </c>
      <c r="BO10" s="127" t="str">
        <f t="shared" si="4"/>
        <v/>
      </c>
      <c r="BP10" s="127" t="str">
        <f t="shared" si="4"/>
        <v/>
      </c>
      <c r="BQ10" s="127" t="str">
        <f t="shared" si="4"/>
        <v/>
      </c>
      <c r="BR10" s="127" t="str">
        <f t="shared" si="4"/>
        <v/>
      </c>
      <c r="BS10" s="127" t="str">
        <f t="shared" si="4"/>
        <v/>
      </c>
      <c r="BT10" s="127" t="str">
        <f t="shared" si="5"/>
        <v/>
      </c>
      <c r="BU10" s="127" t="str">
        <f t="shared" si="5"/>
        <v/>
      </c>
      <c r="BV10" s="127" t="str">
        <f t="shared" si="5"/>
        <v/>
      </c>
      <c r="BW10" s="127" t="str">
        <f t="shared" si="5"/>
        <v/>
      </c>
      <c r="BX10" s="127" t="str">
        <f t="shared" si="5"/>
        <v/>
      </c>
      <c r="BY10" s="127" t="str">
        <f t="shared" si="5"/>
        <v/>
      </c>
      <c r="BZ10" s="127" t="str">
        <f t="shared" si="5"/>
        <v/>
      </c>
      <c r="CA10" s="127" t="str">
        <f t="shared" si="5"/>
        <v/>
      </c>
      <c r="CB10" s="127" t="str">
        <f t="shared" si="5"/>
        <v/>
      </c>
      <c r="CC10" s="127" t="str">
        <f t="shared" si="5"/>
        <v/>
      </c>
      <c r="CD10" s="127" t="str">
        <f t="shared" si="5"/>
        <v/>
      </c>
      <c r="CE10" s="127" t="str">
        <f t="shared" si="5"/>
        <v/>
      </c>
    </row>
    <row r="11" spans="1:83" ht="11.25" hidden="1" customHeight="1" x14ac:dyDescent="0.2">
      <c r="A11" s="106">
        <f>SHIPMENTS!A17</f>
        <v>8641</v>
      </c>
      <c r="B11" s="106" t="str">
        <f>SHIPMENTS!B17</f>
        <v>41700-CANADA BSAUNAS BACKLOG</v>
      </c>
      <c r="C11" s="132">
        <f>SHIPMENTS!F17</f>
        <v>0</v>
      </c>
      <c r="D11" s="107" t="str">
        <f>IF((SHIPMENTS!I17)=0,"",SHIPMENTS!I17)</f>
        <v/>
      </c>
      <c r="E11" s="176">
        <f>IF((SHIPMENTS!G17)=0,"",SHIPMENTS!G17)</f>
        <v>46315</v>
      </c>
      <c r="F11" s="109">
        <f>VLOOKUP(A11,Items!$A$5:$J$1000,8,0)</f>
        <v>0</v>
      </c>
      <c r="G11" s="98">
        <f>VLOOKUP(A11,load!$A$4:$U$5001,3,0)</f>
        <v>0</v>
      </c>
      <c r="H11" s="97">
        <f>Manhours!$C$20</f>
        <v>4</v>
      </c>
      <c r="I11" s="98">
        <f t="shared" si="0"/>
        <v>36.4</v>
      </c>
      <c r="J11" s="99">
        <f t="shared" si="6"/>
        <v>0</v>
      </c>
      <c r="K11" s="99">
        <f t="shared" si="1"/>
        <v>0</v>
      </c>
      <c r="L11" s="98">
        <f t="shared" si="7"/>
        <v>0</v>
      </c>
      <c r="M11" s="98">
        <f t="shared" si="8"/>
        <v>0</v>
      </c>
      <c r="N11" s="181">
        <f t="shared" si="10"/>
        <v>46314</v>
      </c>
      <c r="O11" s="181">
        <f t="shared" si="11"/>
        <v>46314</v>
      </c>
      <c r="P11" s="112" t="str">
        <f>VLOOKUP(A11,SHIPMENTS!$A$7:$AP$76,10,0)</f>
        <v>n/a</v>
      </c>
      <c r="Q11" s="101"/>
      <c r="R11" s="127" t="str">
        <f t="shared" si="2"/>
        <v/>
      </c>
      <c r="S11" s="127" t="str">
        <f t="shared" si="3"/>
        <v>▲</v>
      </c>
      <c r="T11" s="127" t="str">
        <f t="shared" si="3"/>
        <v/>
      </c>
      <c r="U11" s="127" t="str">
        <f t="shared" si="3"/>
        <v/>
      </c>
      <c r="V11" s="127" t="str">
        <f t="shared" si="3"/>
        <v/>
      </c>
      <c r="W11" s="127" t="str">
        <f t="shared" si="3"/>
        <v/>
      </c>
      <c r="X11" s="127" t="str">
        <f t="shared" si="3"/>
        <v/>
      </c>
      <c r="Y11" s="127" t="str">
        <f t="shared" si="3"/>
        <v/>
      </c>
      <c r="Z11" s="127" t="str">
        <f t="shared" si="3"/>
        <v/>
      </c>
      <c r="AA11" s="127" t="str">
        <f t="shared" si="3"/>
        <v/>
      </c>
      <c r="AB11" s="127" t="str">
        <f t="shared" si="3"/>
        <v/>
      </c>
      <c r="AC11" s="127" t="str">
        <f t="shared" si="3"/>
        <v/>
      </c>
      <c r="AD11" s="127" t="str">
        <f t="shared" si="3"/>
        <v/>
      </c>
      <c r="AE11" s="127" t="str">
        <f t="shared" si="3"/>
        <v/>
      </c>
      <c r="AF11" s="127" t="str">
        <f t="shared" si="3"/>
        <v/>
      </c>
      <c r="AG11" s="127" t="str">
        <f t="shared" si="3"/>
        <v/>
      </c>
      <c r="AH11" s="127" t="str">
        <f t="shared" si="3"/>
        <v/>
      </c>
      <c r="AI11" s="127" t="str">
        <f t="shared" si="3"/>
        <v/>
      </c>
      <c r="AJ11" s="127" t="str">
        <f t="shared" si="3"/>
        <v/>
      </c>
      <c r="AK11" s="127" t="str">
        <f t="shared" si="3"/>
        <v/>
      </c>
      <c r="AL11" s="127" t="str">
        <f t="shared" si="3"/>
        <v/>
      </c>
      <c r="AM11" s="127" t="str">
        <f t="shared" si="3"/>
        <v/>
      </c>
      <c r="AN11" s="127" t="str">
        <f t="shared" si="3"/>
        <v/>
      </c>
      <c r="AO11" s="127" t="str">
        <f t="shared" si="3"/>
        <v/>
      </c>
      <c r="AP11" s="127" t="str">
        <f t="shared" si="3"/>
        <v/>
      </c>
      <c r="AQ11" s="127" t="str">
        <f t="shared" si="3"/>
        <v/>
      </c>
      <c r="AR11" s="127" t="str">
        <f t="shared" si="3"/>
        <v/>
      </c>
      <c r="AS11" s="127" t="str">
        <f t="shared" si="3"/>
        <v/>
      </c>
      <c r="AT11" s="127" t="str">
        <f t="shared" si="3"/>
        <v/>
      </c>
      <c r="AU11" s="127" t="str">
        <f t="shared" si="3"/>
        <v/>
      </c>
      <c r="AV11" s="127" t="str">
        <f t="shared" si="3"/>
        <v/>
      </c>
      <c r="AW11" s="127" t="str">
        <f t="shared" si="3"/>
        <v/>
      </c>
      <c r="AX11" s="127" t="str">
        <f t="shared" si="3"/>
        <v/>
      </c>
      <c r="AY11" s="127" t="str">
        <f t="shared" si="3"/>
        <v/>
      </c>
      <c r="AZ11" s="127" t="str">
        <f t="shared" si="3"/>
        <v/>
      </c>
      <c r="BA11" s="127" t="str">
        <f t="shared" si="3"/>
        <v/>
      </c>
      <c r="BB11" s="127" t="str">
        <f t="shared" si="3"/>
        <v/>
      </c>
      <c r="BC11" s="127" t="str">
        <f t="shared" si="3"/>
        <v/>
      </c>
      <c r="BD11" s="127" t="str">
        <f t="shared" si="3"/>
        <v/>
      </c>
      <c r="BE11" s="127" t="str">
        <f t="shared" si="3"/>
        <v/>
      </c>
      <c r="BF11" s="127" t="str">
        <f t="shared" si="3"/>
        <v/>
      </c>
      <c r="BG11" s="127" t="str">
        <f t="shared" si="4"/>
        <v/>
      </c>
      <c r="BH11" s="127" t="str">
        <f t="shared" si="4"/>
        <v/>
      </c>
      <c r="BI11" s="127" t="str">
        <f t="shared" si="4"/>
        <v/>
      </c>
      <c r="BJ11" s="127" t="str">
        <f t="shared" si="4"/>
        <v/>
      </c>
      <c r="BK11" s="127" t="str">
        <f t="shared" si="4"/>
        <v/>
      </c>
      <c r="BL11" s="127" t="str">
        <f t="shared" si="4"/>
        <v/>
      </c>
      <c r="BM11" s="127" t="str">
        <f t="shared" si="4"/>
        <v/>
      </c>
      <c r="BN11" s="127" t="str">
        <f t="shared" si="4"/>
        <v/>
      </c>
      <c r="BO11" s="127" t="str">
        <f t="shared" si="4"/>
        <v/>
      </c>
      <c r="BP11" s="127" t="str">
        <f t="shared" si="4"/>
        <v/>
      </c>
      <c r="BQ11" s="127" t="str">
        <f t="shared" si="4"/>
        <v/>
      </c>
      <c r="BR11" s="127" t="str">
        <f t="shared" si="4"/>
        <v/>
      </c>
      <c r="BS11" s="127" t="str">
        <f t="shared" si="4"/>
        <v/>
      </c>
      <c r="BT11" s="127" t="str">
        <f t="shared" si="5"/>
        <v/>
      </c>
      <c r="BU11" s="127" t="str">
        <f t="shared" si="5"/>
        <v/>
      </c>
      <c r="BV11" s="127" t="str">
        <f t="shared" si="5"/>
        <v/>
      </c>
      <c r="BW11" s="127" t="str">
        <f t="shared" si="5"/>
        <v/>
      </c>
      <c r="BX11" s="127" t="str">
        <f t="shared" si="5"/>
        <v/>
      </c>
      <c r="BY11" s="127" t="str">
        <f t="shared" si="5"/>
        <v/>
      </c>
      <c r="BZ11" s="127" t="str">
        <f t="shared" si="5"/>
        <v/>
      </c>
      <c r="CA11" s="127" t="str">
        <f t="shared" si="5"/>
        <v/>
      </c>
      <c r="CB11" s="127" t="str">
        <f t="shared" si="5"/>
        <v/>
      </c>
      <c r="CC11" s="127" t="str">
        <f t="shared" si="5"/>
        <v/>
      </c>
      <c r="CD11" s="127" t="str">
        <f t="shared" si="5"/>
        <v/>
      </c>
      <c r="CE11" s="127" t="str">
        <f t="shared" si="5"/>
        <v/>
      </c>
    </row>
    <row r="12" spans="1:83" ht="12.6" hidden="1" customHeight="1" x14ac:dyDescent="0.2">
      <c r="A12" s="106">
        <f>SHIPMENTS!A18</f>
        <v>8102</v>
      </c>
      <c r="B12" s="106" t="str">
        <f>SHIPMENTS!B18</f>
        <v>41700-CANADA BSAUNAS BACKLOG</v>
      </c>
      <c r="C12" s="132">
        <f>SHIPMENTS!F18</f>
        <v>0</v>
      </c>
      <c r="D12" s="107" t="str">
        <f>IF((SHIPMENTS!I18)=0,"",SHIPMENTS!I18)</f>
        <v/>
      </c>
      <c r="E12" s="176">
        <f>IF((SHIPMENTS!G18)=0,"",SHIPMENTS!G18)</f>
        <v>46315</v>
      </c>
      <c r="F12" s="109">
        <f>VLOOKUP(A12,Items!$A$5:$J$1000,8,0)</f>
        <v>0</v>
      </c>
      <c r="G12" s="98">
        <f>VLOOKUP(A12,load!$A$4:$U$5001,3,0)</f>
        <v>0</v>
      </c>
      <c r="H12" s="97">
        <f>Manhours!$C$20</f>
        <v>4</v>
      </c>
      <c r="I12" s="98">
        <f t="shared" si="0"/>
        <v>36.4</v>
      </c>
      <c r="J12" s="99">
        <f t="shared" si="6"/>
        <v>0</v>
      </c>
      <c r="K12" s="99">
        <f t="shared" si="1"/>
        <v>0</v>
      </c>
      <c r="L12" s="98">
        <f t="shared" si="7"/>
        <v>0</v>
      </c>
      <c r="M12" s="98">
        <f t="shared" si="8"/>
        <v>0</v>
      </c>
      <c r="N12" s="181">
        <f t="shared" si="10"/>
        <v>46314</v>
      </c>
      <c r="O12" s="181">
        <f t="shared" si="11"/>
        <v>46314</v>
      </c>
      <c r="P12" s="112" t="str">
        <f>VLOOKUP(A12,SHIPMENTS!$A$7:$AP$76,10,0)</f>
        <v>n/a</v>
      </c>
      <c r="Q12" s="101"/>
      <c r="R12" s="127" t="str">
        <f t="shared" si="2"/>
        <v/>
      </c>
      <c r="S12" s="127" t="str">
        <f t="shared" si="3"/>
        <v>▲</v>
      </c>
      <c r="T12" s="127"/>
      <c r="U12" s="127" t="str">
        <f t="shared" si="3"/>
        <v/>
      </c>
      <c r="V12" s="127" t="str">
        <f t="shared" si="3"/>
        <v/>
      </c>
      <c r="W12" s="127" t="str">
        <f t="shared" si="3"/>
        <v/>
      </c>
      <c r="X12" s="127" t="str">
        <f t="shared" si="3"/>
        <v/>
      </c>
      <c r="Y12" s="127" t="str">
        <f t="shared" si="3"/>
        <v/>
      </c>
      <c r="Z12" s="127" t="str">
        <f t="shared" si="3"/>
        <v/>
      </c>
      <c r="AA12" s="127" t="str">
        <f t="shared" si="3"/>
        <v/>
      </c>
      <c r="AB12" s="127" t="str">
        <f t="shared" si="3"/>
        <v/>
      </c>
      <c r="AC12" s="127" t="str">
        <f t="shared" si="3"/>
        <v/>
      </c>
      <c r="AD12" s="127" t="str">
        <f t="shared" si="3"/>
        <v/>
      </c>
      <c r="AE12" s="127" t="str">
        <f t="shared" si="3"/>
        <v/>
      </c>
      <c r="AF12" s="127" t="str">
        <f t="shared" si="3"/>
        <v/>
      </c>
      <c r="AG12" s="127" t="str">
        <f t="shared" si="3"/>
        <v/>
      </c>
      <c r="AH12" s="127" t="str">
        <f t="shared" si="3"/>
        <v/>
      </c>
      <c r="AI12" s="127" t="str">
        <f t="shared" si="3"/>
        <v/>
      </c>
      <c r="AJ12" s="127" t="str">
        <f t="shared" si="3"/>
        <v/>
      </c>
      <c r="AK12" s="127" t="str">
        <f t="shared" si="3"/>
        <v/>
      </c>
      <c r="AL12" s="127" t="str">
        <f t="shared" si="3"/>
        <v/>
      </c>
      <c r="AM12" s="127" t="str">
        <f t="shared" si="3"/>
        <v/>
      </c>
      <c r="AN12" s="127" t="str">
        <f t="shared" si="3"/>
        <v/>
      </c>
      <c r="AO12" s="127" t="str">
        <f t="shared" si="3"/>
        <v/>
      </c>
      <c r="AP12" s="127" t="str">
        <f t="shared" si="3"/>
        <v/>
      </c>
      <c r="AQ12" s="127" t="str">
        <f t="shared" si="3"/>
        <v/>
      </c>
      <c r="AR12" s="127" t="str">
        <f t="shared" si="3"/>
        <v/>
      </c>
      <c r="AS12" s="127" t="str">
        <f t="shared" si="3"/>
        <v/>
      </c>
      <c r="AT12" s="127" t="str">
        <f t="shared" si="3"/>
        <v/>
      </c>
      <c r="AU12" s="127" t="str">
        <f t="shared" si="3"/>
        <v/>
      </c>
      <c r="AV12" s="127" t="str">
        <f t="shared" si="3"/>
        <v/>
      </c>
      <c r="AW12" s="127" t="str">
        <f t="shared" si="3"/>
        <v/>
      </c>
      <c r="AX12" s="127" t="str">
        <f t="shared" si="3"/>
        <v/>
      </c>
      <c r="AY12" s="127" t="str">
        <f t="shared" si="3"/>
        <v/>
      </c>
      <c r="AZ12" s="127" t="str">
        <f t="shared" si="3"/>
        <v/>
      </c>
      <c r="BA12" s="127" t="str">
        <f t="shared" si="3"/>
        <v/>
      </c>
      <c r="BB12" s="127" t="str">
        <f t="shared" si="3"/>
        <v/>
      </c>
      <c r="BC12" s="127" t="str">
        <f t="shared" si="3"/>
        <v/>
      </c>
      <c r="BD12" s="127" t="str">
        <f t="shared" si="3"/>
        <v/>
      </c>
      <c r="BE12" s="127" t="str">
        <f t="shared" si="3"/>
        <v/>
      </c>
      <c r="BF12" s="127" t="str">
        <f t="shared" si="3"/>
        <v/>
      </c>
      <c r="BG12" s="127" t="str">
        <f t="shared" si="4"/>
        <v/>
      </c>
      <c r="BH12" s="127" t="str">
        <f t="shared" si="4"/>
        <v/>
      </c>
      <c r="BI12" s="127" t="str">
        <f t="shared" si="4"/>
        <v/>
      </c>
      <c r="BJ12" s="127" t="str">
        <f t="shared" si="4"/>
        <v/>
      </c>
      <c r="BK12" s="127" t="str">
        <f t="shared" si="4"/>
        <v/>
      </c>
      <c r="BL12" s="127" t="str">
        <f t="shared" si="4"/>
        <v/>
      </c>
      <c r="BM12" s="127" t="str">
        <f t="shared" si="4"/>
        <v/>
      </c>
      <c r="BN12" s="127" t="str">
        <f t="shared" si="4"/>
        <v/>
      </c>
      <c r="BO12" s="127" t="str">
        <f t="shared" si="4"/>
        <v/>
      </c>
      <c r="BP12" s="127" t="str">
        <f t="shared" si="4"/>
        <v/>
      </c>
      <c r="BQ12" s="127" t="str">
        <f t="shared" si="4"/>
        <v/>
      </c>
      <c r="BR12" s="127" t="str">
        <f t="shared" si="4"/>
        <v/>
      </c>
      <c r="BS12" s="127" t="str">
        <f t="shared" si="4"/>
        <v/>
      </c>
      <c r="BT12" s="127" t="str">
        <f t="shared" si="5"/>
        <v/>
      </c>
      <c r="BU12" s="127" t="str">
        <f t="shared" si="5"/>
        <v/>
      </c>
      <c r="BV12" s="127" t="str">
        <f t="shared" si="5"/>
        <v/>
      </c>
      <c r="BW12" s="127" t="str">
        <f t="shared" si="5"/>
        <v/>
      </c>
      <c r="BX12" s="127" t="str">
        <f t="shared" si="5"/>
        <v/>
      </c>
      <c r="BY12" s="127" t="str">
        <f t="shared" si="5"/>
        <v/>
      </c>
      <c r="BZ12" s="127" t="str">
        <f t="shared" si="5"/>
        <v/>
      </c>
      <c r="CA12" s="127" t="str">
        <f t="shared" si="5"/>
        <v/>
      </c>
      <c r="CB12" s="127" t="str">
        <f t="shared" si="5"/>
        <v/>
      </c>
      <c r="CC12" s="127" t="str">
        <f t="shared" si="5"/>
        <v/>
      </c>
      <c r="CD12" s="127" t="str">
        <f t="shared" si="5"/>
        <v/>
      </c>
      <c r="CE12" s="127" t="str">
        <f t="shared" si="5"/>
        <v/>
      </c>
    </row>
    <row r="13" spans="1:83" ht="12.6" hidden="1" customHeight="1" x14ac:dyDescent="0.2">
      <c r="A13" s="106">
        <f>SHIPMENTS!A19</f>
        <v>5928</v>
      </c>
      <c r="B13" s="106" t="str">
        <f>SHIPMENTS!B19</f>
        <v>41700-CANADA BSAUNAS BACKLOG</v>
      </c>
      <c r="C13" s="132">
        <f>SHIPMENTS!F19</f>
        <v>0</v>
      </c>
      <c r="D13" s="107" t="str">
        <f>IF((SHIPMENTS!I19)=0,"",SHIPMENTS!I19)</f>
        <v/>
      </c>
      <c r="E13" s="176" t="str">
        <f>IF((SHIPMENTS!G19)=0,"",SHIPMENTS!G19)</f>
        <v/>
      </c>
      <c r="F13" s="109">
        <f>VLOOKUP(A13,Items!$A$5:$J$1000,8,0)</f>
        <v>0</v>
      </c>
      <c r="G13" s="98">
        <f>VLOOKUP(A13,load!$A$4:$U$5001,3,0)</f>
        <v>0</v>
      </c>
      <c r="H13" s="97">
        <f>Manhours!$C$20</f>
        <v>4</v>
      </c>
      <c r="I13" s="98">
        <f t="shared" si="0"/>
        <v>36.4</v>
      </c>
      <c r="J13" s="99">
        <f t="shared" si="6"/>
        <v>0</v>
      </c>
      <c r="K13" s="99">
        <f t="shared" si="1"/>
        <v>0</v>
      </c>
      <c r="L13" s="98">
        <f t="shared" si="7"/>
        <v>0</v>
      </c>
      <c r="M13" s="98">
        <f t="shared" si="8"/>
        <v>0</v>
      </c>
      <c r="N13" s="181">
        <f t="shared" si="10"/>
        <v>46314</v>
      </c>
      <c r="O13" s="181">
        <f t="shared" si="11"/>
        <v>46314</v>
      </c>
      <c r="P13" s="112" t="str">
        <f>VLOOKUP(A13,SHIPMENTS!$A$7:$AP$76,10,0)</f>
        <v>n/a</v>
      </c>
      <c r="Q13" s="101"/>
      <c r="R13" s="127" t="str">
        <f t="shared" si="2"/>
        <v/>
      </c>
      <c r="S13" s="127" t="str">
        <f t="shared" si="3"/>
        <v/>
      </c>
      <c r="T13" s="127" t="str">
        <f t="shared" si="3"/>
        <v/>
      </c>
      <c r="U13" s="127" t="str">
        <f t="shared" si="3"/>
        <v/>
      </c>
      <c r="V13" s="127" t="str">
        <f t="shared" si="3"/>
        <v/>
      </c>
      <c r="W13" s="127" t="str">
        <f t="shared" si="3"/>
        <v/>
      </c>
      <c r="X13" s="127" t="str">
        <f t="shared" si="3"/>
        <v/>
      </c>
      <c r="Y13" s="127" t="str">
        <f t="shared" si="3"/>
        <v/>
      </c>
      <c r="Z13" s="127" t="str">
        <f t="shared" si="3"/>
        <v/>
      </c>
      <c r="AA13" s="127" t="str">
        <f t="shared" si="3"/>
        <v/>
      </c>
      <c r="AB13" s="127" t="str">
        <f t="shared" si="3"/>
        <v/>
      </c>
      <c r="AC13" s="127" t="str">
        <f t="shared" si="3"/>
        <v/>
      </c>
      <c r="AD13" s="127" t="str">
        <f t="shared" si="3"/>
        <v/>
      </c>
      <c r="AE13" s="127" t="str">
        <f t="shared" si="3"/>
        <v/>
      </c>
      <c r="AF13" s="127" t="str">
        <f t="shared" si="3"/>
        <v/>
      </c>
      <c r="AG13" s="127" t="str">
        <f t="shared" si="3"/>
        <v/>
      </c>
      <c r="AH13" s="127" t="str">
        <f t="shared" si="3"/>
        <v/>
      </c>
      <c r="AI13" s="127" t="str">
        <f t="shared" si="3"/>
        <v/>
      </c>
      <c r="AJ13" s="127" t="str">
        <f t="shared" si="3"/>
        <v/>
      </c>
      <c r="AK13" s="127" t="str">
        <f t="shared" si="3"/>
        <v/>
      </c>
      <c r="AL13" s="127" t="str">
        <f t="shared" si="3"/>
        <v/>
      </c>
      <c r="AM13" s="127" t="str">
        <f t="shared" si="3"/>
        <v/>
      </c>
      <c r="AN13" s="127" t="str">
        <f t="shared" si="3"/>
        <v/>
      </c>
      <c r="AO13" s="127" t="str">
        <f t="shared" si="3"/>
        <v/>
      </c>
      <c r="AP13" s="127" t="str">
        <f t="shared" si="3"/>
        <v/>
      </c>
      <c r="AQ13" s="127" t="str">
        <f t="shared" si="3"/>
        <v/>
      </c>
      <c r="AR13" s="127" t="str">
        <f t="shared" si="3"/>
        <v/>
      </c>
      <c r="AS13" s="127" t="str">
        <f t="shared" si="3"/>
        <v/>
      </c>
      <c r="AT13" s="127" t="str">
        <f t="shared" si="3"/>
        <v/>
      </c>
      <c r="AU13" s="127" t="str">
        <f t="shared" si="3"/>
        <v/>
      </c>
      <c r="AV13" s="127" t="str">
        <f t="shared" si="3"/>
        <v/>
      </c>
      <c r="AW13" s="127" t="str">
        <f t="shared" si="3"/>
        <v/>
      </c>
      <c r="AX13" s="127" t="str">
        <f t="shared" si="3"/>
        <v/>
      </c>
      <c r="AY13" s="127" t="str">
        <f t="shared" si="3"/>
        <v/>
      </c>
      <c r="AZ13" s="127" t="str">
        <f t="shared" si="3"/>
        <v/>
      </c>
      <c r="BA13" s="127" t="str">
        <f t="shared" si="3"/>
        <v/>
      </c>
      <c r="BB13" s="127" t="str">
        <f t="shared" si="3"/>
        <v/>
      </c>
      <c r="BC13" s="127" t="str">
        <f t="shared" si="3"/>
        <v/>
      </c>
      <c r="BD13" s="127" t="str">
        <f t="shared" si="3"/>
        <v/>
      </c>
      <c r="BE13" s="127" t="str">
        <f t="shared" si="3"/>
        <v/>
      </c>
      <c r="BF13" s="127" t="str">
        <f t="shared" si="3"/>
        <v/>
      </c>
      <c r="BG13" s="127" t="str">
        <f t="shared" si="4"/>
        <v/>
      </c>
      <c r="BH13" s="127" t="str">
        <f t="shared" si="4"/>
        <v/>
      </c>
      <c r="BI13" s="127" t="str">
        <f t="shared" si="4"/>
        <v/>
      </c>
      <c r="BJ13" s="127" t="str">
        <f t="shared" si="4"/>
        <v/>
      </c>
      <c r="BK13" s="127" t="str">
        <f t="shared" si="4"/>
        <v/>
      </c>
      <c r="BL13" s="127" t="str">
        <f t="shared" si="4"/>
        <v/>
      </c>
      <c r="BM13" s="127" t="str">
        <f t="shared" si="4"/>
        <v/>
      </c>
      <c r="BN13" s="127" t="str">
        <f t="shared" si="4"/>
        <v/>
      </c>
      <c r="BO13" s="127" t="str">
        <f t="shared" si="4"/>
        <v/>
      </c>
      <c r="BP13" s="127" t="str">
        <f t="shared" si="4"/>
        <v/>
      </c>
      <c r="BQ13" s="127" t="str">
        <f t="shared" si="4"/>
        <v/>
      </c>
      <c r="BR13" s="127" t="str">
        <f t="shared" si="4"/>
        <v/>
      </c>
      <c r="BS13" s="127" t="str">
        <f t="shared" si="4"/>
        <v/>
      </c>
      <c r="BT13" s="127" t="str">
        <f t="shared" si="5"/>
        <v/>
      </c>
      <c r="BU13" s="127" t="str">
        <f t="shared" si="5"/>
        <v/>
      </c>
      <c r="BV13" s="127" t="str">
        <f t="shared" si="5"/>
        <v/>
      </c>
      <c r="BW13" s="127" t="str">
        <f t="shared" si="5"/>
        <v/>
      </c>
      <c r="BX13" s="127" t="str">
        <f t="shared" si="5"/>
        <v/>
      </c>
      <c r="BY13" s="127" t="str">
        <f t="shared" si="5"/>
        <v/>
      </c>
      <c r="BZ13" s="127" t="str">
        <f t="shared" si="5"/>
        <v/>
      </c>
      <c r="CA13" s="127" t="str">
        <f t="shared" si="5"/>
        <v/>
      </c>
      <c r="CB13" s="127" t="str">
        <f t="shared" si="5"/>
        <v/>
      </c>
      <c r="CC13" s="127" t="str">
        <f t="shared" si="5"/>
        <v/>
      </c>
      <c r="CD13" s="127" t="str">
        <f t="shared" si="5"/>
        <v/>
      </c>
      <c r="CE13" s="127" t="str">
        <f t="shared" si="5"/>
        <v/>
      </c>
    </row>
    <row r="14" spans="1:83" ht="12.6" hidden="1" customHeight="1" x14ac:dyDescent="0.2">
      <c r="A14" s="106">
        <f>SHIPMENTS!A20</f>
        <v>4781</v>
      </c>
      <c r="B14" s="106" t="str">
        <f>SHIPMENTS!B20</f>
        <v>41700-CANADA BSAUNAS BACKLOG</v>
      </c>
      <c r="C14" s="132">
        <f>SHIPMENTS!F20</f>
        <v>0</v>
      </c>
      <c r="D14" s="107" t="str">
        <f>IF((SHIPMENTS!I20)=0,"",SHIPMENTS!I20)</f>
        <v/>
      </c>
      <c r="E14" s="176" t="str">
        <f>IF((SHIPMENTS!G20)=0,"",SHIPMENTS!G20)</f>
        <v/>
      </c>
      <c r="F14" s="109">
        <f>VLOOKUP(A14,Items!$A$5:$J$1000,8,0)</f>
        <v>0</v>
      </c>
      <c r="G14" s="98">
        <f>VLOOKUP(A14,load!$A$4:$U$5001,3,0)</f>
        <v>0</v>
      </c>
      <c r="H14" s="97">
        <f>Manhours!$C$20</f>
        <v>4</v>
      </c>
      <c r="I14" s="98">
        <f t="shared" si="0"/>
        <v>36.4</v>
      </c>
      <c r="J14" s="99">
        <f t="shared" si="6"/>
        <v>0</v>
      </c>
      <c r="K14" s="99">
        <f t="shared" si="1"/>
        <v>0</v>
      </c>
      <c r="L14" s="98">
        <f t="shared" si="7"/>
        <v>0</v>
      </c>
      <c r="M14" s="98">
        <f t="shared" si="8"/>
        <v>0</v>
      </c>
      <c r="N14" s="181">
        <f t="shared" si="10"/>
        <v>46314</v>
      </c>
      <c r="O14" s="181">
        <f t="shared" si="11"/>
        <v>46314</v>
      </c>
      <c r="P14" s="112" t="str">
        <f>VLOOKUP(A14,SHIPMENTS!$A$7:$AP$76,10,0)</f>
        <v>n/a</v>
      </c>
      <c r="Q14" s="101"/>
      <c r="R14" s="127" t="str">
        <f t="shared" si="2"/>
        <v/>
      </c>
      <c r="S14" s="127" t="str">
        <f t="shared" si="3"/>
        <v/>
      </c>
      <c r="T14" s="127" t="str">
        <f t="shared" si="3"/>
        <v/>
      </c>
      <c r="U14" s="127" t="str">
        <f t="shared" si="3"/>
        <v/>
      </c>
      <c r="V14" s="127" t="str">
        <f t="shared" si="3"/>
        <v/>
      </c>
      <c r="W14" s="127" t="str">
        <f t="shared" si="3"/>
        <v/>
      </c>
      <c r="X14" s="127" t="str">
        <f t="shared" si="3"/>
        <v/>
      </c>
      <c r="Y14" s="127" t="str">
        <f t="shared" si="3"/>
        <v/>
      </c>
      <c r="Z14" s="127" t="str">
        <f t="shared" si="3"/>
        <v/>
      </c>
      <c r="AA14" s="127" t="str">
        <f t="shared" si="3"/>
        <v/>
      </c>
      <c r="AB14" s="127" t="str">
        <f t="shared" si="3"/>
        <v/>
      </c>
      <c r="AC14" s="127" t="str">
        <f t="shared" si="3"/>
        <v/>
      </c>
      <c r="AD14" s="127" t="str">
        <f t="shared" si="3"/>
        <v/>
      </c>
      <c r="AE14" s="127" t="str">
        <f t="shared" si="3"/>
        <v/>
      </c>
      <c r="AF14" s="127" t="str">
        <f t="shared" si="3"/>
        <v/>
      </c>
      <c r="AG14" s="127" t="str">
        <f t="shared" si="3"/>
        <v/>
      </c>
      <c r="AH14" s="127" t="str">
        <f t="shared" si="3"/>
        <v/>
      </c>
      <c r="AI14" s="127" t="str">
        <f t="shared" si="3"/>
        <v/>
      </c>
      <c r="AJ14" s="127" t="str">
        <f t="shared" si="3"/>
        <v/>
      </c>
      <c r="AK14" s="127" t="str">
        <f t="shared" si="3"/>
        <v/>
      </c>
      <c r="AL14" s="127" t="str">
        <f t="shared" si="3"/>
        <v/>
      </c>
      <c r="AM14" s="127" t="str">
        <f t="shared" si="3"/>
        <v/>
      </c>
      <c r="AN14" s="127" t="str">
        <f t="shared" si="3"/>
        <v/>
      </c>
      <c r="AO14" s="127" t="str">
        <f t="shared" si="3"/>
        <v/>
      </c>
      <c r="AP14" s="127" t="str">
        <f t="shared" si="3"/>
        <v/>
      </c>
      <c r="AQ14" s="127" t="str">
        <f t="shared" si="3"/>
        <v/>
      </c>
      <c r="AR14" s="127" t="str">
        <f t="shared" si="3"/>
        <v/>
      </c>
      <c r="AS14" s="127" t="str">
        <f t="shared" si="3"/>
        <v/>
      </c>
      <c r="AT14" s="127" t="str">
        <f t="shared" si="3"/>
        <v/>
      </c>
      <c r="AU14" s="127" t="str">
        <f t="shared" si="3"/>
        <v/>
      </c>
      <c r="AV14" s="127" t="str">
        <f t="shared" si="3"/>
        <v/>
      </c>
      <c r="AW14" s="127" t="str">
        <f t="shared" ref="S14:BF21" si="12">IF($E14=AW$3,"▲","")</f>
        <v/>
      </c>
      <c r="AX14" s="127" t="str">
        <f t="shared" si="12"/>
        <v/>
      </c>
      <c r="AY14" s="127" t="str">
        <f t="shared" si="12"/>
        <v/>
      </c>
      <c r="AZ14" s="127" t="str">
        <f t="shared" si="12"/>
        <v/>
      </c>
      <c r="BA14" s="127" t="str">
        <f t="shared" si="12"/>
        <v/>
      </c>
      <c r="BB14" s="127" t="str">
        <f t="shared" si="12"/>
        <v/>
      </c>
      <c r="BC14" s="127" t="str">
        <f t="shared" si="12"/>
        <v/>
      </c>
      <c r="BD14" s="127" t="str">
        <f t="shared" si="12"/>
        <v/>
      </c>
      <c r="BE14" s="127" t="str">
        <f t="shared" si="12"/>
        <v/>
      </c>
      <c r="BF14" s="127" t="str">
        <f t="shared" si="12"/>
        <v/>
      </c>
      <c r="BG14" s="127" t="str">
        <f t="shared" si="4"/>
        <v/>
      </c>
      <c r="BH14" s="127" t="str">
        <f t="shared" si="4"/>
        <v/>
      </c>
      <c r="BI14" s="127" t="str">
        <f t="shared" si="4"/>
        <v/>
      </c>
      <c r="BJ14" s="127" t="str">
        <f t="shared" si="4"/>
        <v/>
      </c>
      <c r="BK14" s="127" t="str">
        <f t="shared" si="4"/>
        <v/>
      </c>
      <c r="BL14" s="127" t="str">
        <f t="shared" si="4"/>
        <v/>
      </c>
      <c r="BM14" s="127" t="str">
        <f t="shared" si="4"/>
        <v/>
      </c>
      <c r="BN14" s="127" t="str">
        <f t="shared" si="4"/>
        <v/>
      </c>
      <c r="BO14" s="127" t="str">
        <f t="shared" si="4"/>
        <v/>
      </c>
      <c r="BP14" s="127" t="str">
        <f t="shared" si="4"/>
        <v/>
      </c>
      <c r="BQ14" s="127" t="str">
        <f t="shared" si="4"/>
        <v/>
      </c>
      <c r="BR14" s="127" t="str">
        <f t="shared" ref="BN14:CC29" si="13">IF($E14=BR$3,"▲","")</f>
        <v/>
      </c>
      <c r="BS14" s="127" t="str">
        <f t="shared" si="13"/>
        <v/>
      </c>
      <c r="BT14" s="127" t="str">
        <f t="shared" si="5"/>
        <v/>
      </c>
      <c r="BU14" s="127" t="str">
        <f t="shared" si="5"/>
        <v/>
      </c>
      <c r="BV14" s="127" t="str">
        <f t="shared" si="5"/>
        <v/>
      </c>
      <c r="BW14" s="127" t="str">
        <f t="shared" si="5"/>
        <v/>
      </c>
      <c r="BX14" s="127" t="str">
        <f t="shared" si="5"/>
        <v/>
      </c>
      <c r="BY14" s="127" t="str">
        <f t="shared" si="5"/>
        <v/>
      </c>
      <c r="BZ14" s="127" t="str">
        <f t="shared" si="5"/>
        <v/>
      </c>
      <c r="CA14" s="127" t="str">
        <f t="shared" si="5"/>
        <v/>
      </c>
      <c r="CB14" s="127" t="str">
        <f t="shared" si="5"/>
        <v/>
      </c>
      <c r="CC14" s="127" t="str">
        <f t="shared" si="5"/>
        <v/>
      </c>
      <c r="CD14" s="127" t="str">
        <f t="shared" si="5"/>
        <v/>
      </c>
      <c r="CE14" s="127" t="str">
        <f t="shared" si="5"/>
        <v/>
      </c>
    </row>
    <row r="15" spans="1:83" ht="12.6" hidden="1" customHeight="1" x14ac:dyDescent="0.2">
      <c r="A15" s="106">
        <f>SHIPMENTS!A21</f>
        <v>9259</v>
      </c>
      <c r="B15" s="106" t="str">
        <f>SHIPMENTS!B21</f>
        <v>27200-UAE</v>
      </c>
      <c r="C15" s="132">
        <f>SHIPMENTS!F21</f>
        <v>7.0000000000000007E-2</v>
      </c>
      <c r="D15" s="107" t="str">
        <f>IF((SHIPMENTS!I21)=0,"",SHIPMENTS!I21)</f>
        <v>AIR</v>
      </c>
      <c r="E15" s="176">
        <f>IF((SHIPMENTS!G21)=0,"",SHIPMENTS!G21)</f>
        <v>46316</v>
      </c>
      <c r="F15" s="109">
        <f>VLOOKUP(A15,Items!$A$5:$J$1000,8,0)</f>
        <v>0</v>
      </c>
      <c r="G15" s="98">
        <f>VLOOKUP(A15,load!$A$4:$U$5001,3,0)</f>
        <v>0</v>
      </c>
      <c r="H15" s="97">
        <f>Manhours!$C$20</f>
        <v>4</v>
      </c>
      <c r="I15" s="98">
        <f t="shared" si="0"/>
        <v>36.4</v>
      </c>
      <c r="J15" s="99">
        <f t="shared" si="6"/>
        <v>0</v>
      </c>
      <c r="K15" s="99">
        <f t="shared" si="1"/>
        <v>0</v>
      </c>
      <c r="L15" s="98">
        <f t="shared" si="7"/>
        <v>0</v>
      </c>
      <c r="M15" s="98">
        <f t="shared" si="8"/>
        <v>0</v>
      </c>
      <c r="N15" s="181">
        <f t="shared" si="10"/>
        <v>46314</v>
      </c>
      <c r="O15" s="181">
        <f t="shared" si="11"/>
        <v>46314</v>
      </c>
      <c r="P15" s="112" t="str">
        <f>VLOOKUP(A15,SHIPMENTS!$A$7:$AP$76,10,0)</f>
        <v>n/a</v>
      </c>
      <c r="Q15" s="101"/>
      <c r="R15" s="127" t="str">
        <f t="shared" si="2"/>
        <v/>
      </c>
      <c r="S15" s="127" t="str">
        <f t="shared" si="12"/>
        <v/>
      </c>
      <c r="T15" s="127" t="str">
        <f t="shared" si="12"/>
        <v>▲</v>
      </c>
      <c r="U15" s="127" t="str">
        <f t="shared" si="12"/>
        <v/>
      </c>
      <c r="V15" s="127" t="str">
        <f t="shared" si="12"/>
        <v/>
      </c>
      <c r="W15" s="127" t="str">
        <f t="shared" si="12"/>
        <v/>
      </c>
      <c r="X15" s="127" t="str">
        <f t="shared" si="12"/>
        <v/>
      </c>
      <c r="Y15" s="127" t="str">
        <f t="shared" si="12"/>
        <v/>
      </c>
      <c r="Z15" s="127" t="str">
        <f t="shared" si="12"/>
        <v/>
      </c>
      <c r="AA15" s="127" t="str">
        <f t="shared" si="12"/>
        <v/>
      </c>
      <c r="AB15" s="127" t="str">
        <f t="shared" si="12"/>
        <v/>
      </c>
      <c r="AC15" s="127" t="str">
        <f t="shared" si="12"/>
        <v/>
      </c>
      <c r="AD15" s="127" t="str">
        <f t="shared" si="12"/>
        <v/>
      </c>
      <c r="AE15" s="127" t="str">
        <f t="shared" si="12"/>
        <v/>
      </c>
      <c r="AF15" s="127" t="str">
        <f t="shared" si="12"/>
        <v/>
      </c>
      <c r="AG15" s="127" t="str">
        <f t="shared" si="12"/>
        <v/>
      </c>
      <c r="AH15" s="127" t="str">
        <f t="shared" si="12"/>
        <v/>
      </c>
      <c r="AI15" s="127" t="str">
        <f t="shared" si="12"/>
        <v/>
      </c>
      <c r="AJ15" s="127" t="str">
        <f t="shared" si="12"/>
        <v/>
      </c>
      <c r="AK15" s="127" t="str">
        <f t="shared" si="12"/>
        <v/>
      </c>
      <c r="AL15" s="127" t="str">
        <f t="shared" si="12"/>
        <v/>
      </c>
      <c r="AM15" s="127" t="str">
        <f t="shared" si="12"/>
        <v/>
      </c>
      <c r="AN15" s="127" t="str">
        <f t="shared" si="12"/>
        <v/>
      </c>
      <c r="AO15" s="127" t="str">
        <f t="shared" si="12"/>
        <v/>
      </c>
      <c r="AP15" s="127" t="str">
        <f t="shared" si="12"/>
        <v/>
      </c>
      <c r="AQ15" s="127" t="str">
        <f t="shared" si="12"/>
        <v/>
      </c>
      <c r="AR15" s="127" t="str">
        <f t="shared" si="12"/>
        <v/>
      </c>
      <c r="AS15" s="127" t="str">
        <f t="shared" si="12"/>
        <v/>
      </c>
      <c r="AT15" s="127" t="str">
        <f t="shared" si="12"/>
        <v/>
      </c>
      <c r="AU15" s="127" t="str">
        <f t="shared" si="12"/>
        <v/>
      </c>
      <c r="AV15" s="127" t="str">
        <f t="shared" si="12"/>
        <v/>
      </c>
      <c r="AW15" s="127" t="str">
        <f t="shared" si="12"/>
        <v/>
      </c>
      <c r="AX15" s="127" t="str">
        <f t="shared" si="12"/>
        <v/>
      </c>
      <c r="AY15" s="127" t="str">
        <f t="shared" si="12"/>
        <v/>
      </c>
      <c r="AZ15" s="127" t="str">
        <f t="shared" si="12"/>
        <v/>
      </c>
      <c r="BA15" s="127" t="str">
        <f t="shared" si="12"/>
        <v/>
      </c>
      <c r="BB15" s="127" t="str">
        <f t="shared" si="12"/>
        <v/>
      </c>
      <c r="BC15" s="127" t="str">
        <f t="shared" si="12"/>
        <v/>
      </c>
      <c r="BD15" s="127" t="str">
        <f t="shared" si="12"/>
        <v/>
      </c>
      <c r="BE15" s="127" t="str">
        <f t="shared" si="12"/>
        <v/>
      </c>
      <c r="BF15" s="127" t="str">
        <f t="shared" si="12"/>
        <v/>
      </c>
      <c r="BG15" s="127" t="str">
        <f t="shared" si="4"/>
        <v/>
      </c>
      <c r="BH15" s="127" t="str">
        <f t="shared" si="4"/>
        <v/>
      </c>
      <c r="BI15" s="127" t="str">
        <f t="shared" si="4"/>
        <v/>
      </c>
      <c r="BJ15" s="127" t="str">
        <f t="shared" si="4"/>
        <v/>
      </c>
      <c r="BK15" s="127" t="str">
        <f t="shared" si="4"/>
        <v/>
      </c>
      <c r="BL15" s="127" t="str">
        <f t="shared" si="4"/>
        <v/>
      </c>
      <c r="BM15" s="127" t="str">
        <f t="shared" si="4"/>
        <v/>
      </c>
      <c r="BN15" s="127" t="str">
        <f t="shared" si="13"/>
        <v/>
      </c>
      <c r="BO15" s="127" t="str">
        <f t="shared" si="13"/>
        <v/>
      </c>
      <c r="BP15" s="127" t="str">
        <f t="shared" si="13"/>
        <v/>
      </c>
      <c r="BQ15" s="127" t="str">
        <f t="shared" si="13"/>
        <v/>
      </c>
      <c r="BR15" s="127" t="str">
        <f t="shared" si="13"/>
        <v/>
      </c>
      <c r="BS15" s="127" t="str">
        <f t="shared" si="13"/>
        <v/>
      </c>
      <c r="BT15" s="127" t="str">
        <f t="shared" si="5"/>
        <v/>
      </c>
      <c r="BU15" s="127" t="str">
        <f t="shared" si="5"/>
        <v/>
      </c>
      <c r="BV15" s="127" t="str">
        <f t="shared" si="5"/>
        <v/>
      </c>
      <c r="BW15" s="127" t="str">
        <f t="shared" si="5"/>
        <v/>
      </c>
      <c r="BX15" s="127" t="str">
        <f t="shared" si="5"/>
        <v/>
      </c>
      <c r="BY15" s="127" t="str">
        <f t="shared" si="5"/>
        <v/>
      </c>
      <c r="BZ15" s="127" t="str">
        <f t="shared" si="5"/>
        <v/>
      </c>
      <c r="CA15" s="127" t="str">
        <f t="shared" si="5"/>
        <v/>
      </c>
      <c r="CB15" s="127" t="str">
        <f t="shared" si="5"/>
        <v/>
      </c>
      <c r="CC15" s="127" t="str">
        <f t="shared" si="5"/>
        <v/>
      </c>
      <c r="CD15" s="127" t="str">
        <f t="shared" si="5"/>
        <v/>
      </c>
      <c r="CE15" s="127" t="str">
        <f t="shared" si="5"/>
        <v/>
      </c>
    </row>
    <row r="16" spans="1:83" ht="12.6" customHeight="1" x14ac:dyDescent="0.2">
      <c r="A16" s="106">
        <f>SHIPMENTS!A22</f>
        <v>8765</v>
      </c>
      <c r="B16" s="106" t="str">
        <f>SHIPMENTS!B22</f>
        <v>8200-AUSTRALIA</v>
      </c>
      <c r="C16" s="132">
        <f>SHIPMENTS!F22</f>
        <v>64.930000000000007</v>
      </c>
      <c r="D16" s="107" t="str">
        <f>IF((SHIPMENTS!I22)=0,"",SHIPMENTS!I22)</f>
        <v>1X40HC</v>
      </c>
      <c r="E16" s="176">
        <f>IF((SHIPMENTS!G22)=0,"",SHIPMENTS!G22)</f>
        <v>46316</v>
      </c>
      <c r="F16" s="109">
        <f>VLOOKUP(A16,Items!$A$5:$J$1000,8,0)</f>
        <v>9</v>
      </c>
      <c r="G16" s="98">
        <f>VLOOKUP(A16,load!$A$4:$U$5001,3,0)</f>
        <v>7.8478683333333334</v>
      </c>
      <c r="H16" s="97">
        <f>Manhours!$C$20</f>
        <v>4</v>
      </c>
      <c r="I16" s="98">
        <f t="shared" si="0"/>
        <v>36.4</v>
      </c>
      <c r="J16" s="99">
        <f t="shared" si="6"/>
        <v>0.2156007783882784</v>
      </c>
      <c r="K16" s="99">
        <f t="shared" si="1"/>
        <v>1.9619670833333334</v>
      </c>
      <c r="L16" s="98">
        <f t="shared" si="7"/>
        <v>3.8592539331501835E-2</v>
      </c>
      <c r="M16" s="98">
        <f t="shared" si="8"/>
        <v>0.35119210791666666</v>
      </c>
      <c r="N16" s="181">
        <f t="shared" si="10"/>
        <v>46314</v>
      </c>
      <c r="O16" s="181">
        <f t="shared" si="11"/>
        <v>46314.038592539335</v>
      </c>
      <c r="P16" s="112">
        <f>VLOOKUP(A16,SHIPMENTS!$A$7:$AP$76,10,0)</f>
        <v>0.82099999999999995</v>
      </c>
      <c r="Q16" s="101"/>
      <c r="R16" s="127" t="str">
        <f t="shared" si="2"/>
        <v/>
      </c>
      <c r="S16" s="127" t="str">
        <f t="shared" si="12"/>
        <v/>
      </c>
      <c r="T16" s="127" t="str">
        <f t="shared" si="12"/>
        <v>▲</v>
      </c>
      <c r="U16" s="127" t="str">
        <f t="shared" si="12"/>
        <v/>
      </c>
      <c r="V16" s="127" t="str">
        <f t="shared" si="12"/>
        <v/>
      </c>
      <c r="W16" s="127" t="str">
        <f t="shared" si="12"/>
        <v/>
      </c>
      <c r="X16" s="127" t="str">
        <f t="shared" si="12"/>
        <v/>
      </c>
      <c r="Y16" s="127" t="str">
        <f t="shared" si="12"/>
        <v/>
      </c>
      <c r="Z16" s="127" t="str">
        <f t="shared" si="12"/>
        <v/>
      </c>
      <c r="AA16" s="127" t="str">
        <f t="shared" si="12"/>
        <v/>
      </c>
      <c r="AB16" s="127" t="str">
        <f t="shared" si="12"/>
        <v/>
      </c>
      <c r="AC16" s="127" t="str">
        <f t="shared" si="12"/>
        <v/>
      </c>
      <c r="AD16" s="127" t="str">
        <f t="shared" si="12"/>
        <v/>
      </c>
      <c r="AE16" s="127" t="str">
        <f t="shared" si="12"/>
        <v/>
      </c>
      <c r="AF16" s="127" t="str">
        <f t="shared" si="12"/>
        <v/>
      </c>
      <c r="AG16" s="127" t="str">
        <f t="shared" si="12"/>
        <v/>
      </c>
      <c r="AH16" s="127" t="str">
        <f t="shared" si="12"/>
        <v/>
      </c>
      <c r="AI16" s="127" t="str">
        <f t="shared" si="12"/>
        <v/>
      </c>
      <c r="AJ16" s="127" t="str">
        <f t="shared" si="12"/>
        <v/>
      </c>
      <c r="AK16" s="127" t="str">
        <f t="shared" si="12"/>
        <v/>
      </c>
      <c r="AL16" s="127" t="str">
        <f t="shared" si="12"/>
        <v/>
      </c>
      <c r="AM16" s="127" t="str">
        <f t="shared" si="12"/>
        <v/>
      </c>
      <c r="AN16" s="127" t="str">
        <f t="shared" si="12"/>
        <v/>
      </c>
      <c r="AO16" s="127" t="str">
        <f t="shared" si="12"/>
        <v/>
      </c>
      <c r="AP16" s="127" t="str">
        <f t="shared" si="12"/>
        <v/>
      </c>
      <c r="AQ16" s="127" t="str">
        <f t="shared" si="12"/>
        <v/>
      </c>
      <c r="AR16" s="127" t="str">
        <f t="shared" si="12"/>
        <v/>
      </c>
      <c r="AS16" s="127" t="str">
        <f t="shared" si="12"/>
        <v/>
      </c>
      <c r="AT16" s="127" t="str">
        <f t="shared" si="12"/>
        <v/>
      </c>
      <c r="AU16" s="127" t="str">
        <f t="shared" si="12"/>
        <v/>
      </c>
      <c r="AV16" s="127" t="str">
        <f t="shared" si="12"/>
        <v/>
      </c>
      <c r="AW16" s="127" t="str">
        <f t="shared" si="12"/>
        <v/>
      </c>
      <c r="AX16" s="127" t="str">
        <f t="shared" si="12"/>
        <v/>
      </c>
      <c r="AY16" s="127" t="str">
        <f t="shared" si="12"/>
        <v/>
      </c>
      <c r="AZ16" s="127" t="str">
        <f t="shared" si="12"/>
        <v/>
      </c>
      <c r="BA16" s="127" t="str">
        <f t="shared" si="12"/>
        <v/>
      </c>
      <c r="BB16" s="127" t="str">
        <f t="shared" si="12"/>
        <v/>
      </c>
      <c r="BC16" s="127" t="str">
        <f t="shared" si="12"/>
        <v/>
      </c>
      <c r="BD16" s="127" t="str">
        <f t="shared" si="12"/>
        <v/>
      </c>
      <c r="BE16" s="127" t="str">
        <f t="shared" si="12"/>
        <v/>
      </c>
      <c r="BF16" s="127" t="str">
        <f t="shared" si="12"/>
        <v/>
      </c>
      <c r="BG16" s="127" t="str">
        <f t="shared" si="4"/>
        <v/>
      </c>
      <c r="BH16" s="127" t="str">
        <f t="shared" si="4"/>
        <v/>
      </c>
      <c r="BI16" s="127" t="str">
        <f t="shared" si="4"/>
        <v/>
      </c>
      <c r="BJ16" s="127" t="str">
        <f t="shared" si="4"/>
        <v/>
      </c>
      <c r="BK16" s="127" t="str">
        <f t="shared" si="4"/>
        <v/>
      </c>
      <c r="BL16" s="127" t="str">
        <f t="shared" si="4"/>
        <v/>
      </c>
      <c r="BM16" s="127" t="str">
        <f t="shared" si="4"/>
        <v/>
      </c>
      <c r="BN16" s="127" t="str">
        <f t="shared" si="13"/>
        <v/>
      </c>
      <c r="BO16" s="127" t="str">
        <f t="shared" si="13"/>
        <v/>
      </c>
      <c r="BP16" s="127" t="str">
        <f t="shared" si="13"/>
        <v/>
      </c>
      <c r="BQ16" s="127" t="str">
        <f t="shared" si="13"/>
        <v/>
      </c>
      <c r="BR16" s="127" t="str">
        <f t="shared" si="13"/>
        <v/>
      </c>
      <c r="BS16" s="127" t="str">
        <f t="shared" si="13"/>
        <v/>
      </c>
      <c r="BT16" s="127" t="str">
        <f t="shared" si="5"/>
        <v/>
      </c>
      <c r="BU16" s="127" t="str">
        <f t="shared" si="5"/>
        <v/>
      </c>
      <c r="BV16" s="127" t="str">
        <f t="shared" si="5"/>
        <v/>
      </c>
      <c r="BW16" s="127" t="str">
        <f t="shared" si="5"/>
        <v/>
      </c>
      <c r="BX16" s="127" t="str">
        <f t="shared" si="5"/>
        <v/>
      </c>
      <c r="BY16" s="127" t="str">
        <f t="shared" si="5"/>
        <v/>
      </c>
      <c r="BZ16" s="127" t="str">
        <f t="shared" si="5"/>
        <v/>
      </c>
      <c r="CA16" s="127" t="str">
        <f t="shared" si="5"/>
        <v/>
      </c>
      <c r="CB16" s="127" t="str">
        <f t="shared" si="5"/>
        <v/>
      </c>
      <c r="CC16" s="127" t="str">
        <f t="shared" si="5"/>
        <v/>
      </c>
      <c r="CD16" s="127" t="str">
        <f t="shared" si="5"/>
        <v/>
      </c>
      <c r="CE16" s="127" t="str">
        <f t="shared" si="5"/>
        <v/>
      </c>
    </row>
    <row r="17" spans="1:83" ht="12.6" customHeight="1" x14ac:dyDescent="0.2">
      <c r="A17" s="106">
        <f>SHIPMENTS!A23</f>
        <v>7919</v>
      </c>
      <c r="B17" s="106" t="str">
        <f>SHIPMENTS!B23</f>
        <v>8200-AUSTRALIA</v>
      </c>
      <c r="C17" s="132">
        <f>SHIPMENTS!F23</f>
        <v>0</v>
      </c>
      <c r="D17" s="107" t="str">
        <f>IF((SHIPMENTS!I23)=0,"",SHIPMENTS!I23)</f>
        <v/>
      </c>
      <c r="E17" s="176" t="str">
        <f>IF((SHIPMENTS!G23)=0,"",SHIPMENTS!G23)</f>
        <v/>
      </c>
      <c r="F17" s="109">
        <f>VLOOKUP(A17,Items!$A$5:$J$1000,8,0)</f>
        <v>0</v>
      </c>
      <c r="G17" s="98">
        <f>VLOOKUP(A17,load!$A$4:$U$5001,3,0)</f>
        <v>0</v>
      </c>
      <c r="H17" s="97">
        <f>Manhours!$C$20</f>
        <v>4</v>
      </c>
      <c r="I17" s="98">
        <f t="shared" si="0"/>
        <v>36.4</v>
      </c>
      <c r="J17" s="99">
        <f t="shared" si="6"/>
        <v>0</v>
      </c>
      <c r="K17" s="99">
        <f t="shared" si="1"/>
        <v>0</v>
      </c>
      <c r="L17" s="98">
        <f t="shared" si="7"/>
        <v>0</v>
      </c>
      <c r="M17" s="98">
        <f t="shared" si="8"/>
        <v>0</v>
      </c>
      <c r="N17" s="181">
        <f t="shared" si="10"/>
        <v>46314.038592539335</v>
      </c>
      <c r="O17" s="181">
        <f t="shared" si="11"/>
        <v>46314.038592539335</v>
      </c>
      <c r="P17" s="112">
        <f>VLOOKUP(A17,SHIPMENTS!$A$7:$AP$76,10,0)</f>
        <v>1</v>
      </c>
      <c r="Q17" s="101"/>
      <c r="R17" s="127" t="str">
        <f t="shared" si="2"/>
        <v/>
      </c>
      <c r="S17" s="127" t="str">
        <f t="shared" si="12"/>
        <v/>
      </c>
      <c r="T17" s="127" t="str">
        <f t="shared" si="12"/>
        <v/>
      </c>
      <c r="U17" s="127" t="str">
        <f t="shared" si="12"/>
        <v/>
      </c>
      <c r="V17" s="127" t="str">
        <f t="shared" si="12"/>
        <v/>
      </c>
      <c r="W17" s="127" t="str">
        <f t="shared" si="12"/>
        <v/>
      </c>
      <c r="X17" s="127" t="str">
        <f t="shared" si="12"/>
        <v/>
      </c>
      <c r="Y17" s="127" t="str">
        <f t="shared" si="12"/>
        <v/>
      </c>
      <c r="Z17" s="127" t="str">
        <f t="shared" si="12"/>
        <v/>
      </c>
      <c r="AA17" s="127" t="str">
        <f t="shared" si="12"/>
        <v/>
      </c>
      <c r="AB17" s="127" t="str">
        <f t="shared" si="12"/>
        <v/>
      </c>
      <c r="AC17" s="127" t="str">
        <f t="shared" si="12"/>
        <v/>
      </c>
      <c r="AD17" s="127" t="str">
        <f t="shared" si="12"/>
        <v/>
      </c>
      <c r="AE17" s="127" t="str">
        <f t="shared" si="12"/>
        <v/>
      </c>
      <c r="AF17" s="127" t="str">
        <f t="shared" si="12"/>
        <v/>
      </c>
      <c r="AG17" s="127" t="str">
        <f t="shared" si="12"/>
        <v/>
      </c>
      <c r="AH17" s="127" t="str">
        <f t="shared" si="12"/>
        <v/>
      </c>
      <c r="AI17" s="127" t="str">
        <f t="shared" si="12"/>
        <v/>
      </c>
      <c r="AJ17" s="127" t="str">
        <f t="shared" si="12"/>
        <v/>
      </c>
      <c r="AK17" s="127" t="str">
        <f t="shared" si="12"/>
        <v/>
      </c>
      <c r="AL17" s="127" t="str">
        <f t="shared" si="12"/>
        <v/>
      </c>
      <c r="AM17" s="127" t="str">
        <f t="shared" si="12"/>
        <v/>
      </c>
      <c r="AN17" s="127" t="str">
        <f t="shared" si="12"/>
        <v/>
      </c>
      <c r="AO17" s="127" t="str">
        <f t="shared" si="12"/>
        <v/>
      </c>
      <c r="AP17" s="127" t="str">
        <f t="shared" si="12"/>
        <v/>
      </c>
      <c r="AQ17" s="127" t="str">
        <f t="shared" si="12"/>
        <v/>
      </c>
      <c r="AR17" s="127" t="str">
        <f t="shared" si="12"/>
        <v/>
      </c>
      <c r="AS17" s="127" t="str">
        <f t="shared" si="12"/>
        <v/>
      </c>
      <c r="AT17" s="127" t="str">
        <f t="shared" si="12"/>
        <v/>
      </c>
      <c r="AU17" s="127" t="str">
        <f t="shared" si="12"/>
        <v/>
      </c>
      <c r="AV17" s="127" t="str">
        <f t="shared" si="12"/>
        <v/>
      </c>
      <c r="AW17" s="127" t="str">
        <f t="shared" si="12"/>
        <v/>
      </c>
      <c r="AX17" s="127" t="str">
        <f t="shared" si="12"/>
        <v/>
      </c>
      <c r="AY17" s="127" t="str">
        <f t="shared" si="12"/>
        <v/>
      </c>
      <c r="AZ17" s="127" t="str">
        <f t="shared" si="12"/>
        <v/>
      </c>
      <c r="BA17" s="127" t="str">
        <f t="shared" si="12"/>
        <v/>
      </c>
      <c r="BB17" s="127" t="str">
        <f t="shared" si="12"/>
        <v/>
      </c>
      <c r="BC17" s="127" t="str">
        <f t="shared" si="12"/>
        <v/>
      </c>
      <c r="BD17" s="127" t="str">
        <f t="shared" si="12"/>
        <v/>
      </c>
      <c r="BE17" s="127" t="str">
        <f t="shared" si="12"/>
        <v/>
      </c>
      <c r="BF17" s="127" t="str">
        <f t="shared" si="12"/>
        <v/>
      </c>
      <c r="BG17" s="127" t="str">
        <f t="shared" si="4"/>
        <v/>
      </c>
      <c r="BH17" s="127" t="str">
        <f t="shared" si="4"/>
        <v/>
      </c>
      <c r="BI17" s="127" t="str">
        <f t="shared" si="4"/>
        <v/>
      </c>
      <c r="BJ17" s="127" t="str">
        <f t="shared" si="4"/>
        <v/>
      </c>
      <c r="BK17" s="127" t="str">
        <f t="shared" si="4"/>
        <v/>
      </c>
      <c r="BL17" s="127" t="str">
        <f t="shared" si="4"/>
        <v/>
      </c>
      <c r="BM17" s="127" t="str">
        <f t="shared" si="4"/>
        <v/>
      </c>
      <c r="BN17" s="127" t="str">
        <f t="shared" si="13"/>
        <v/>
      </c>
      <c r="BO17" s="127" t="str">
        <f t="shared" si="13"/>
        <v/>
      </c>
      <c r="BP17" s="127" t="str">
        <f t="shared" si="13"/>
        <v/>
      </c>
      <c r="BQ17" s="127" t="str">
        <f t="shared" si="13"/>
        <v/>
      </c>
      <c r="BR17" s="127" t="str">
        <f t="shared" si="13"/>
        <v/>
      </c>
      <c r="BS17" s="127" t="str">
        <f t="shared" si="13"/>
        <v/>
      </c>
      <c r="BT17" s="127" t="str">
        <f t="shared" si="5"/>
        <v/>
      </c>
      <c r="BU17" s="127" t="str">
        <f t="shared" si="5"/>
        <v/>
      </c>
      <c r="BV17" s="127" t="str">
        <f t="shared" si="5"/>
        <v/>
      </c>
      <c r="BW17" s="127" t="str">
        <f t="shared" si="5"/>
        <v/>
      </c>
      <c r="BX17" s="127" t="str">
        <f t="shared" si="5"/>
        <v/>
      </c>
      <c r="BY17" s="127" t="str">
        <f t="shared" si="5"/>
        <v/>
      </c>
      <c r="BZ17" s="127" t="str">
        <f t="shared" si="5"/>
        <v/>
      </c>
      <c r="CA17" s="127" t="str">
        <f t="shared" si="5"/>
        <v/>
      </c>
      <c r="CB17" s="127" t="str">
        <f t="shared" si="5"/>
        <v/>
      </c>
      <c r="CC17" s="127" t="str">
        <f t="shared" si="5"/>
        <v/>
      </c>
      <c r="CD17" s="127" t="str">
        <f t="shared" si="5"/>
        <v/>
      </c>
      <c r="CE17" s="127" t="str">
        <f t="shared" si="5"/>
        <v/>
      </c>
    </row>
    <row r="18" spans="1:83" ht="12.6" customHeight="1" x14ac:dyDescent="0.2">
      <c r="A18" s="106">
        <f>SHIPMENTS!A24</f>
        <v>9015</v>
      </c>
      <c r="B18" s="106" t="str">
        <f>SHIPMENTS!B24</f>
        <v>15900- Mandaue City | Atty. Brando Raya</v>
      </c>
      <c r="C18" s="132">
        <f>SHIPMENTS!F24</f>
        <v>0.25600000000000001</v>
      </c>
      <c r="D18" s="107" t="str">
        <f>IF((SHIPMENTS!I24)=0,"",SHIPMENTS!I24)</f>
        <v>LCL</v>
      </c>
      <c r="E18" s="176">
        <f>IF((SHIPMENTS!G24)=0,"",SHIPMENTS!G24)</f>
        <v>46323</v>
      </c>
      <c r="F18" s="109">
        <f>VLOOKUP(A18,Items!$A$5:$J$1000,8,0)</f>
        <v>2</v>
      </c>
      <c r="G18" s="98">
        <f>VLOOKUP(A18,load!$A$4:$U$5001,3,0)</f>
        <v>1.5248333333333333</v>
      </c>
      <c r="H18" s="97">
        <f>Manhours!$C$20</f>
        <v>4</v>
      </c>
      <c r="I18" s="98">
        <f t="shared" si="0"/>
        <v>36.4</v>
      </c>
      <c r="J18" s="99">
        <f t="shared" si="6"/>
        <v>4.1891025641025641E-2</v>
      </c>
      <c r="K18" s="99">
        <f t="shared" si="1"/>
        <v>0.38120833333333332</v>
      </c>
      <c r="L18" s="98">
        <f t="shared" si="7"/>
        <v>4.1891025641025641E-2</v>
      </c>
      <c r="M18" s="98">
        <f t="shared" si="8"/>
        <v>0.38120833333333332</v>
      </c>
      <c r="N18" s="181">
        <f t="shared" si="10"/>
        <v>46314.038592539335</v>
      </c>
      <c r="O18" s="181">
        <f t="shared" si="11"/>
        <v>46314.080483564976</v>
      </c>
      <c r="P18" s="112">
        <f>VLOOKUP(A18,SHIPMENTS!$A$7:$AP$76,10,0)</f>
        <v>0</v>
      </c>
      <c r="Q18" s="101"/>
      <c r="R18" s="127" t="str">
        <f t="shared" si="2"/>
        <v/>
      </c>
      <c r="S18" s="127" t="str">
        <f t="shared" si="12"/>
        <v/>
      </c>
      <c r="T18" s="127" t="str">
        <f t="shared" si="12"/>
        <v/>
      </c>
      <c r="U18" s="127" t="str">
        <f t="shared" si="12"/>
        <v/>
      </c>
      <c r="V18" s="127" t="str">
        <f t="shared" si="12"/>
        <v/>
      </c>
      <c r="W18" s="127" t="str">
        <f t="shared" si="12"/>
        <v/>
      </c>
      <c r="X18" s="127" t="str">
        <f t="shared" si="12"/>
        <v/>
      </c>
      <c r="Y18" s="127" t="str">
        <f t="shared" si="12"/>
        <v/>
      </c>
      <c r="Z18" s="127" t="str">
        <f t="shared" si="12"/>
        <v>▲</v>
      </c>
      <c r="AA18" s="127" t="str">
        <f t="shared" si="12"/>
        <v/>
      </c>
      <c r="AB18" s="127" t="str">
        <f t="shared" si="12"/>
        <v/>
      </c>
      <c r="AC18" s="127" t="str">
        <f t="shared" si="12"/>
        <v/>
      </c>
      <c r="AD18" s="127" t="str">
        <f t="shared" si="12"/>
        <v/>
      </c>
      <c r="AE18" s="127" t="str">
        <f t="shared" si="12"/>
        <v/>
      </c>
      <c r="AF18" s="127" t="str">
        <f t="shared" si="12"/>
        <v/>
      </c>
      <c r="AG18" s="127" t="str">
        <f t="shared" si="12"/>
        <v/>
      </c>
      <c r="AH18" s="127" t="str">
        <f t="shared" si="12"/>
        <v/>
      </c>
      <c r="AI18" s="127" t="str">
        <f t="shared" si="12"/>
        <v/>
      </c>
      <c r="AJ18" s="127" t="str">
        <f t="shared" si="12"/>
        <v/>
      </c>
      <c r="AK18" s="127" t="str">
        <f t="shared" si="12"/>
        <v/>
      </c>
      <c r="AL18" s="127" t="str">
        <f t="shared" si="12"/>
        <v/>
      </c>
      <c r="AM18" s="127" t="str">
        <f t="shared" si="12"/>
        <v/>
      </c>
      <c r="AN18" s="127" t="str">
        <f t="shared" si="12"/>
        <v/>
      </c>
      <c r="AO18" s="127" t="str">
        <f t="shared" si="12"/>
        <v/>
      </c>
      <c r="AP18" s="127" t="str">
        <f t="shared" si="12"/>
        <v/>
      </c>
      <c r="AQ18" s="127" t="str">
        <f t="shared" si="12"/>
        <v/>
      </c>
      <c r="AR18" s="127" t="str">
        <f t="shared" si="12"/>
        <v/>
      </c>
      <c r="AS18" s="127" t="str">
        <f t="shared" si="12"/>
        <v/>
      </c>
      <c r="AT18" s="127" t="str">
        <f t="shared" si="12"/>
        <v/>
      </c>
      <c r="AU18" s="127" t="str">
        <f t="shared" si="12"/>
        <v/>
      </c>
      <c r="AV18" s="127" t="str">
        <f t="shared" si="12"/>
        <v/>
      </c>
      <c r="AW18" s="127" t="str">
        <f t="shared" si="12"/>
        <v/>
      </c>
      <c r="AX18" s="127" t="str">
        <f t="shared" si="12"/>
        <v/>
      </c>
      <c r="AY18" s="127" t="str">
        <f t="shared" si="12"/>
        <v/>
      </c>
      <c r="AZ18" s="127" t="str">
        <f t="shared" si="12"/>
        <v/>
      </c>
      <c r="BA18" s="127" t="str">
        <f t="shared" si="12"/>
        <v/>
      </c>
      <c r="BB18" s="127" t="str">
        <f t="shared" si="12"/>
        <v/>
      </c>
      <c r="BC18" s="127" t="str">
        <f t="shared" si="12"/>
        <v/>
      </c>
      <c r="BD18" s="127" t="str">
        <f t="shared" si="12"/>
        <v/>
      </c>
      <c r="BE18" s="127" t="str">
        <f t="shared" si="12"/>
        <v/>
      </c>
      <c r="BF18" s="127" t="str">
        <f t="shared" si="12"/>
        <v/>
      </c>
      <c r="BG18" s="127" t="str">
        <f t="shared" si="4"/>
        <v/>
      </c>
      <c r="BH18" s="127" t="str">
        <f t="shared" si="4"/>
        <v/>
      </c>
      <c r="BI18" s="127" t="str">
        <f t="shared" si="4"/>
        <v/>
      </c>
      <c r="BJ18" s="127" t="str">
        <f t="shared" si="4"/>
        <v/>
      </c>
      <c r="BK18" s="127" t="str">
        <f t="shared" si="4"/>
        <v/>
      </c>
      <c r="BL18" s="127" t="str">
        <f t="shared" si="4"/>
        <v/>
      </c>
      <c r="BM18" s="127" t="str">
        <f t="shared" si="4"/>
        <v/>
      </c>
      <c r="BN18" s="127" t="str">
        <f t="shared" si="13"/>
        <v/>
      </c>
      <c r="BO18" s="127" t="str">
        <f t="shared" si="13"/>
        <v/>
      </c>
      <c r="BP18" s="127" t="str">
        <f t="shared" si="13"/>
        <v/>
      </c>
      <c r="BQ18" s="127" t="str">
        <f t="shared" si="13"/>
        <v/>
      </c>
      <c r="BR18" s="127" t="str">
        <f t="shared" si="13"/>
        <v/>
      </c>
      <c r="BS18" s="127" t="str">
        <f t="shared" si="13"/>
        <v/>
      </c>
      <c r="BT18" s="127" t="str">
        <f t="shared" si="5"/>
        <v/>
      </c>
      <c r="BU18" s="127" t="str">
        <f t="shared" si="5"/>
        <v/>
      </c>
      <c r="BV18" s="127" t="str">
        <f t="shared" si="5"/>
        <v/>
      </c>
      <c r="BW18" s="127" t="str">
        <f t="shared" si="5"/>
        <v/>
      </c>
      <c r="BX18" s="127" t="str">
        <f t="shared" si="5"/>
        <v/>
      </c>
      <c r="BY18" s="127" t="str">
        <f t="shared" si="5"/>
        <v/>
      </c>
      <c r="BZ18" s="127" t="str">
        <f t="shared" si="5"/>
        <v/>
      </c>
      <c r="CA18" s="127" t="str">
        <f t="shared" si="5"/>
        <v/>
      </c>
      <c r="CB18" s="127" t="str">
        <f t="shared" si="5"/>
        <v/>
      </c>
      <c r="CC18" s="127" t="str">
        <f t="shared" si="5"/>
        <v/>
      </c>
      <c r="CD18" s="127" t="str">
        <f t="shared" si="5"/>
        <v/>
      </c>
      <c r="CE18" s="127" t="str">
        <f t="shared" si="5"/>
        <v/>
      </c>
    </row>
    <row r="19" spans="1:83" ht="12.6" customHeight="1" x14ac:dyDescent="0.2">
      <c r="A19" s="106">
        <f>SHIPMENTS!A25</f>
        <v>9063</v>
      </c>
      <c r="B19" s="106" t="str">
        <f>SHIPMENTS!B25</f>
        <v>15900- Borongan City | Kookie Lim Uy / 3K Salon And Spa</v>
      </c>
      <c r="C19" s="132">
        <f>SHIPMENTS!F25</f>
        <v>0.12</v>
      </c>
      <c r="D19" s="107" t="str">
        <f>IF((SHIPMENTS!I25)=0,"",SHIPMENTS!I25)</f>
        <v/>
      </c>
      <c r="E19" s="176">
        <f>IF((SHIPMENTS!G25)=0,"",SHIPMENTS!G25)</f>
        <v>46323</v>
      </c>
      <c r="F19" s="109">
        <f>VLOOKUP(A19,Items!$A$5:$J$1000,8,0)</f>
        <v>2</v>
      </c>
      <c r="G19" s="98">
        <f>VLOOKUP(A19,load!$A$4:$U$5001,3,0)</f>
        <v>1.75475</v>
      </c>
      <c r="H19" s="97">
        <f>Manhours!$C$20</f>
        <v>4</v>
      </c>
      <c r="I19" s="98">
        <f t="shared" si="0"/>
        <v>36.4</v>
      </c>
      <c r="J19" s="99">
        <f t="shared" ref="J19:J27" si="14">G19/I19</f>
        <v>4.8207417582417582E-2</v>
      </c>
      <c r="K19" s="99">
        <f t="shared" si="1"/>
        <v>0.43868749999999995</v>
      </c>
      <c r="L19" s="98">
        <f t="shared" si="7"/>
        <v>4.8207417582417582E-2</v>
      </c>
      <c r="M19" s="98">
        <f t="shared" si="8"/>
        <v>0.43868749999999995</v>
      </c>
      <c r="N19" s="181">
        <f t="shared" si="10"/>
        <v>46314.080483564976</v>
      </c>
      <c r="O19" s="181">
        <f t="shared" si="11"/>
        <v>46314.128690982558</v>
      </c>
      <c r="P19" s="112">
        <f>VLOOKUP(A19,SHIPMENTS!$A$7:$AP$76,10,0)</f>
        <v>0</v>
      </c>
      <c r="Q19" s="101"/>
      <c r="R19" s="127" t="str">
        <f t="shared" si="2"/>
        <v/>
      </c>
      <c r="S19" s="127" t="str">
        <f t="shared" si="12"/>
        <v/>
      </c>
      <c r="T19" s="127" t="str">
        <f t="shared" si="12"/>
        <v/>
      </c>
      <c r="U19" s="127" t="str">
        <f t="shared" si="12"/>
        <v/>
      </c>
      <c r="V19" s="127" t="str">
        <f t="shared" si="12"/>
        <v/>
      </c>
      <c r="W19" s="127" t="str">
        <f t="shared" si="12"/>
        <v/>
      </c>
      <c r="X19" s="127" t="str">
        <f t="shared" si="12"/>
        <v/>
      </c>
      <c r="Y19" s="127" t="str">
        <f t="shared" si="12"/>
        <v/>
      </c>
      <c r="Z19" s="127" t="str">
        <f t="shared" si="12"/>
        <v>▲</v>
      </c>
      <c r="AA19" s="127" t="str">
        <f t="shared" si="12"/>
        <v/>
      </c>
      <c r="AB19" s="127" t="str">
        <f t="shared" si="12"/>
        <v/>
      </c>
      <c r="AC19" s="127" t="str">
        <f t="shared" si="12"/>
        <v/>
      </c>
      <c r="AD19" s="127" t="str">
        <f t="shared" si="12"/>
        <v/>
      </c>
      <c r="AE19" s="127" t="str">
        <f t="shared" si="12"/>
        <v/>
      </c>
      <c r="AF19" s="127" t="str">
        <f t="shared" si="12"/>
        <v/>
      </c>
      <c r="AG19" s="127" t="str">
        <f t="shared" si="12"/>
        <v/>
      </c>
      <c r="AH19" s="127" t="str">
        <f t="shared" si="12"/>
        <v/>
      </c>
      <c r="AI19" s="127" t="str">
        <f t="shared" si="12"/>
        <v/>
      </c>
      <c r="AJ19" s="127" t="str">
        <f t="shared" si="12"/>
        <v/>
      </c>
      <c r="AK19" s="127" t="str">
        <f t="shared" si="12"/>
        <v/>
      </c>
      <c r="AL19" s="127" t="str">
        <f t="shared" si="12"/>
        <v/>
      </c>
      <c r="AM19" s="127" t="str">
        <f t="shared" si="12"/>
        <v/>
      </c>
      <c r="AN19" s="127" t="str">
        <f t="shared" si="12"/>
        <v/>
      </c>
      <c r="AO19" s="127" t="str">
        <f t="shared" si="12"/>
        <v/>
      </c>
      <c r="AP19" s="127" t="str">
        <f t="shared" si="12"/>
        <v/>
      </c>
      <c r="AQ19" s="127" t="str">
        <f t="shared" si="12"/>
        <v/>
      </c>
      <c r="AR19" s="127" t="str">
        <f t="shared" si="12"/>
        <v/>
      </c>
      <c r="AS19" s="127" t="str">
        <f t="shared" si="12"/>
        <v/>
      </c>
      <c r="AT19" s="127" t="str">
        <f t="shared" si="12"/>
        <v/>
      </c>
      <c r="AU19" s="127" t="str">
        <f t="shared" si="12"/>
        <v/>
      </c>
      <c r="AV19" s="127" t="str">
        <f t="shared" si="12"/>
        <v/>
      </c>
      <c r="AW19" s="127" t="str">
        <f t="shared" si="12"/>
        <v/>
      </c>
      <c r="AX19" s="127" t="str">
        <f t="shared" si="12"/>
        <v/>
      </c>
      <c r="AY19" s="127" t="str">
        <f t="shared" si="12"/>
        <v/>
      </c>
      <c r="AZ19" s="127" t="str">
        <f t="shared" si="12"/>
        <v/>
      </c>
      <c r="BA19" s="127" t="str">
        <f t="shared" si="12"/>
        <v/>
      </c>
      <c r="BB19" s="127" t="str">
        <f t="shared" si="12"/>
        <v/>
      </c>
      <c r="BC19" s="127" t="str">
        <f t="shared" si="12"/>
        <v/>
      </c>
      <c r="BD19" s="127" t="str">
        <f t="shared" si="12"/>
        <v/>
      </c>
      <c r="BE19" s="127" t="str">
        <f t="shared" si="12"/>
        <v/>
      </c>
      <c r="BF19" s="127" t="str">
        <f t="shared" si="12"/>
        <v/>
      </c>
      <c r="BG19" s="127" t="str">
        <f t="shared" si="4"/>
        <v/>
      </c>
      <c r="BH19" s="127" t="str">
        <f t="shared" si="4"/>
        <v/>
      </c>
      <c r="BI19" s="127" t="str">
        <f t="shared" si="4"/>
        <v/>
      </c>
      <c r="BJ19" s="127" t="str">
        <f t="shared" si="4"/>
        <v/>
      </c>
      <c r="BK19" s="127" t="str">
        <f t="shared" si="4"/>
        <v/>
      </c>
      <c r="BL19" s="127" t="str">
        <f t="shared" si="4"/>
        <v/>
      </c>
      <c r="BM19" s="127" t="str">
        <f t="shared" si="4"/>
        <v/>
      </c>
      <c r="BN19" s="127" t="str">
        <f t="shared" si="13"/>
        <v/>
      </c>
      <c r="BO19" s="127" t="str">
        <f t="shared" si="13"/>
        <v/>
      </c>
      <c r="BP19" s="127" t="str">
        <f t="shared" si="13"/>
        <v/>
      </c>
      <c r="BQ19" s="127" t="str">
        <f t="shared" si="13"/>
        <v/>
      </c>
      <c r="BR19" s="127" t="str">
        <f t="shared" si="13"/>
        <v/>
      </c>
      <c r="BS19" s="127" t="str">
        <f t="shared" si="13"/>
        <v/>
      </c>
      <c r="BT19" s="127" t="str">
        <f t="shared" si="5"/>
        <v/>
      </c>
      <c r="BU19" s="127" t="str">
        <f t="shared" si="5"/>
        <v/>
      </c>
      <c r="BV19" s="127" t="str">
        <f t="shared" si="5"/>
        <v/>
      </c>
      <c r="BW19" s="127" t="str">
        <f t="shared" si="5"/>
        <v/>
      </c>
      <c r="BX19" s="127" t="str">
        <f t="shared" si="5"/>
        <v/>
      </c>
      <c r="BY19" s="127" t="str">
        <f t="shared" si="5"/>
        <v/>
      </c>
      <c r="BZ19" s="127" t="str">
        <f t="shared" si="5"/>
        <v/>
      </c>
      <c r="CA19" s="127" t="str">
        <f t="shared" si="5"/>
        <v/>
      </c>
      <c r="CB19" s="127" t="str">
        <f t="shared" si="5"/>
        <v/>
      </c>
      <c r="CC19" s="127" t="str">
        <f t="shared" si="5"/>
        <v/>
      </c>
      <c r="CD19" s="127" t="str">
        <f t="shared" si="5"/>
        <v/>
      </c>
      <c r="CE19" s="127" t="str">
        <f t="shared" si="5"/>
        <v/>
      </c>
    </row>
    <row r="20" spans="1:83" ht="12.6" customHeight="1" x14ac:dyDescent="0.2">
      <c r="A20" s="106">
        <f>SHIPMENTS!A26</f>
        <v>9131</v>
      </c>
      <c r="B20" s="106" t="str">
        <f>SHIPMENTS!B26</f>
        <v>15900- Cagayan De Oro |Kevin Anthony Pilapil Lagumbay</v>
      </c>
      <c r="C20" s="132">
        <f>SHIPMENTS!F26</f>
        <v>0.12</v>
      </c>
      <c r="D20" s="107" t="str">
        <f>IF((SHIPMENTS!I26)=0,"",SHIPMENTS!I26)</f>
        <v/>
      </c>
      <c r="E20" s="176">
        <f>IF((SHIPMENTS!G26)=0,"",SHIPMENTS!G26)</f>
        <v>46323</v>
      </c>
      <c r="F20" s="109">
        <f>VLOOKUP(A20,Items!$A$5:$J$1000,8,0)</f>
        <v>2</v>
      </c>
      <c r="G20" s="98">
        <f>VLOOKUP(A20,load!$A$4:$U$5001,3,0)</f>
        <v>1.8490833333333334</v>
      </c>
      <c r="H20" s="97">
        <f>Manhours!$C$20</f>
        <v>4</v>
      </c>
      <c r="I20" s="98">
        <f t="shared" si="0"/>
        <v>36.4</v>
      </c>
      <c r="J20" s="99">
        <f t="shared" si="14"/>
        <v>5.0798992673992675E-2</v>
      </c>
      <c r="K20" s="99">
        <f t="shared" si="1"/>
        <v>0.46227083333333335</v>
      </c>
      <c r="L20" s="98">
        <f t="shared" ref="L20:L27" si="15">IFERROR(J20-(J20*P20),0)</f>
        <v>5.0798992673992675E-2</v>
      </c>
      <c r="M20" s="98">
        <f t="shared" ref="M20:M27" si="16">IFERROR(K20-(K20*P20),0)</f>
        <v>0.46227083333333335</v>
      </c>
      <c r="N20" s="181">
        <f t="shared" si="10"/>
        <v>46314.128690982558</v>
      </c>
      <c r="O20" s="181">
        <f t="shared" si="11"/>
        <v>46314.179489975235</v>
      </c>
      <c r="P20" s="112">
        <f>VLOOKUP(A20,SHIPMENTS!$A$7:$AP$76,10,0)</f>
        <v>0</v>
      </c>
      <c r="Q20" s="101"/>
      <c r="R20" s="127" t="str">
        <f t="shared" si="2"/>
        <v/>
      </c>
      <c r="S20" s="127" t="str">
        <f t="shared" si="12"/>
        <v/>
      </c>
      <c r="T20" s="127" t="str">
        <f t="shared" si="12"/>
        <v/>
      </c>
      <c r="U20" s="127" t="str">
        <f t="shared" si="12"/>
        <v/>
      </c>
      <c r="V20" s="127" t="str">
        <f t="shared" si="12"/>
        <v/>
      </c>
      <c r="W20" s="127" t="str">
        <f t="shared" si="12"/>
        <v/>
      </c>
      <c r="X20" s="127" t="str">
        <f t="shared" si="12"/>
        <v/>
      </c>
      <c r="Y20" s="127" t="str">
        <f t="shared" si="12"/>
        <v/>
      </c>
      <c r="Z20" s="127" t="str">
        <f t="shared" si="12"/>
        <v>▲</v>
      </c>
      <c r="AA20" s="127" t="str">
        <f t="shared" si="12"/>
        <v/>
      </c>
      <c r="AB20" s="127" t="str">
        <f t="shared" si="12"/>
        <v/>
      </c>
      <c r="AC20" s="127" t="str">
        <f t="shared" si="12"/>
        <v/>
      </c>
      <c r="AD20" s="127" t="str">
        <f t="shared" si="12"/>
        <v/>
      </c>
      <c r="AE20" s="127" t="str">
        <f t="shared" si="12"/>
        <v/>
      </c>
      <c r="AF20" s="127" t="str">
        <f t="shared" si="12"/>
        <v/>
      </c>
      <c r="AG20" s="127" t="str">
        <f t="shared" si="12"/>
        <v/>
      </c>
      <c r="AH20" s="127" t="str">
        <f t="shared" si="12"/>
        <v/>
      </c>
      <c r="AI20" s="127" t="str">
        <f t="shared" si="12"/>
        <v/>
      </c>
      <c r="AJ20" s="127" t="str">
        <f t="shared" si="12"/>
        <v/>
      </c>
      <c r="AK20" s="127" t="str">
        <f t="shared" si="12"/>
        <v/>
      </c>
      <c r="AL20" s="127" t="str">
        <f t="shared" si="12"/>
        <v/>
      </c>
      <c r="AM20" s="127" t="str">
        <f t="shared" si="12"/>
        <v/>
      </c>
      <c r="AN20" s="127" t="str">
        <f t="shared" si="12"/>
        <v/>
      </c>
      <c r="AO20" s="127" t="str">
        <f t="shared" si="12"/>
        <v/>
      </c>
      <c r="AP20" s="127" t="str">
        <f t="shared" si="12"/>
        <v/>
      </c>
      <c r="AQ20" s="127" t="str">
        <f t="shared" si="12"/>
        <v/>
      </c>
      <c r="AR20" s="127" t="str">
        <f t="shared" si="12"/>
        <v/>
      </c>
      <c r="AS20" s="127" t="str">
        <f t="shared" si="12"/>
        <v/>
      </c>
      <c r="AT20" s="127" t="str">
        <f t="shared" si="12"/>
        <v/>
      </c>
      <c r="AU20" s="127" t="str">
        <f t="shared" si="12"/>
        <v/>
      </c>
      <c r="AV20" s="127" t="str">
        <f t="shared" si="12"/>
        <v/>
      </c>
      <c r="AW20" s="127" t="str">
        <f t="shared" si="12"/>
        <v/>
      </c>
      <c r="AX20" s="127" t="str">
        <f t="shared" si="12"/>
        <v/>
      </c>
      <c r="AY20" s="127" t="str">
        <f t="shared" si="12"/>
        <v/>
      </c>
      <c r="AZ20" s="127" t="str">
        <f t="shared" si="12"/>
        <v/>
      </c>
      <c r="BA20" s="127" t="str">
        <f t="shared" si="12"/>
        <v/>
      </c>
      <c r="BB20" s="127" t="str">
        <f t="shared" si="12"/>
        <v/>
      </c>
      <c r="BC20" s="127" t="str">
        <f t="shared" si="12"/>
        <v/>
      </c>
      <c r="BD20" s="127" t="str">
        <f t="shared" si="12"/>
        <v/>
      </c>
      <c r="BE20" s="127" t="str">
        <f t="shared" si="12"/>
        <v/>
      </c>
      <c r="BF20" s="127" t="str">
        <f t="shared" si="12"/>
        <v/>
      </c>
      <c r="BG20" s="127" t="str">
        <f t="shared" si="4"/>
        <v/>
      </c>
      <c r="BH20" s="127" t="str">
        <f t="shared" si="4"/>
        <v/>
      </c>
      <c r="BI20" s="127" t="str">
        <f t="shared" si="4"/>
        <v/>
      </c>
      <c r="BJ20" s="127" t="str">
        <f t="shared" si="4"/>
        <v/>
      </c>
      <c r="BK20" s="127" t="str">
        <f t="shared" si="4"/>
        <v/>
      </c>
      <c r="BL20" s="127" t="str">
        <f t="shared" si="4"/>
        <v/>
      </c>
      <c r="BM20" s="127" t="str">
        <f t="shared" si="4"/>
        <v/>
      </c>
      <c r="BN20" s="127" t="str">
        <f t="shared" si="13"/>
        <v/>
      </c>
      <c r="BO20" s="127" t="str">
        <f t="shared" si="13"/>
        <v/>
      </c>
      <c r="BP20" s="127" t="str">
        <f t="shared" si="13"/>
        <v/>
      </c>
      <c r="BQ20" s="127" t="str">
        <f t="shared" si="13"/>
        <v/>
      </c>
      <c r="BR20" s="127" t="str">
        <f t="shared" si="13"/>
        <v/>
      </c>
      <c r="BS20" s="127" t="str">
        <f t="shared" si="13"/>
        <v/>
      </c>
      <c r="BT20" s="127" t="str">
        <f t="shared" si="5"/>
        <v/>
      </c>
      <c r="BU20" s="127" t="str">
        <f t="shared" si="5"/>
        <v/>
      </c>
      <c r="BV20" s="127" t="str">
        <f t="shared" si="5"/>
        <v/>
      </c>
      <c r="BW20" s="127" t="str">
        <f t="shared" si="5"/>
        <v/>
      </c>
      <c r="BX20" s="127" t="str">
        <f t="shared" si="5"/>
        <v/>
      </c>
      <c r="BY20" s="127" t="str">
        <f t="shared" si="5"/>
        <v/>
      </c>
      <c r="BZ20" s="127" t="str">
        <f t="shared" si="5"/>
        <v/>
      </c>
      <c r="CA20" s="127" t="str">
        <f t="shared" si="5"/>
        <v/>
      </c>
      <c r="CB20" s="127" t="str">
        <f t="shared" si="5"/>
        <v/>
      </c>
      <c r="CC20" s="127" t="str">
        <f t="shared" si="5"/>
        <v/>
      </c>
      <c r="CD20" s="127" t="str">
        <f t="shared" si="5"/>
        <v/>
      </c>
      <c r="CE20" s="127" t="str">
        <f t="shared" si="5"/>
        <v/>
      </c>
    </row>
    <row r="21" spans="1:83" ht="12.6" customHeight="1" x14ac:dyDescent="0.2">
      <c r="A21" s="106">
        <f>SHIPMENTS!A27</f>
        <v>9228</v>
      </c>
      <c r="B21" s="106" t="str">
        <f>SHIPMENTS!B27</f>
        <v>15900- Cebu City |Stephanie Sarmiento</v>
      </c>
      <c r="C21" s="132">
        <f>SHIPMENTS!F27</f>
        <v>0.16</v>
      </c>
      <c r="D21" s="107" t="str">
        <f>IF((SHIPMENTS!I27)=0,"",SHIPMENTS!I27)</f>
        <v/>
      </c>
      <c r="E21" s="176">
        <f>IF((SHIPMENTS!G27)=0,"",SHIPMENTS!G27)</f>
        <v>46323</v>
      </c>
      <c r="F21" s="109">
        <f>VLOOKUP(A21,Items!$A$5:$J$1000,8,0)</f>
        <v>2</v>
      </c>
      <c r="G21" s="98">
        <f>VLOOKUP(A21,load!$A$4:$U$5001,3,0)</f>
        <v>1.8490833333333334</v>
      </c>
      <c r="H21" s="97">
        <f>Manhours!$C$20</f>
        <v>4</v>
      </c>
      <c r="I21" s="98">
        <f t="shared" si="0"/>
        <v>36.4</v>
      </c>
      <c r="J21" s="99">
        <f t="shared" si="14"/>
        <v>5.0798992673992675E-2</v>
      </c>
      <c r="K21" s="99">
        <f t="shared" si="1"/>
        <v>0.46227083333333335</v>
      </c>
      <c r="L21" s="98">
        <f t="shared" si="15"/>
        <v>5.0798992673992675E-2</v>
      </c>
      <c r="M21" s="98">
        <f t="shared" si="16"/>
        <v>0.46227083333333335</v>
      </c>
      <c r="N21" s="181">
        <f t="shared" si="10"/>
        <v>46314.179489975235</v>
      </c>
      <c r="O21" s="181">
        <f t="shared" si="11"/>
        <v>46314.230288967912</v>
      </c>
      <c r="P21" s="112">
        <f>VLOOKUP(A21,SHIPMENTS!$A$7:$AP$76,10,0)</f>
        <v>0</v>
      </c>
      <c r="Q21" s="101"/>
      <c r="R21" s="127" t="str">
        <f t="shared" si="2"/>
        <v/>
      </c>
      <c r="S21" s="127" t="str">
        <f t="shared" si="12"/>
        <v/>
      </c>
      <c r="T21" s="127" t="str">
        <f t="shared" si="12"/>
        <v/>
      </c>
      <c r="U21" s="127" t="str">
        <f t="shared" si="12"/>
        <v/>
      </c>
      <c r="V21" s="127" t="str">
        <f t="shared" si="12"/>
        <v/>
      </c>
      <c r="W21" s="127" t="str">
        <f t="shared" si="12"/>
        <v/>
      </c>
      <c r="X21" s="127" t="str">
        <f t="shared" ref="S21:BF27" si="17">IF($E21=X$3,"▲","")</f>
        <v/>
      </c>
      <c r="Y21" s="127" t="str">
        <f t="shared" si="17"/>
        <v/>
      </c>
      <c r="Z21" s="127" t="str">
        <f t="shared" si="17"/>
        <v>▲</v>
      </c>
      <c r="AA21" s="127" t="str">
        <f t="shared" si="17"/>
        <v/>
      </c>
      <c r="AB21" s="127" t="str">
        <f t="shared" si="17"/>
        <v/>
      </c>
      <c r="AC21" s="127" t="str">
        <f t="shared" si="17"/>
        <v/>
      </c>
      <c r="AD21" s="127" t="str">
        <f t="shared" si="17"/>
        <v/>
      </c>
      <c r="AE21" s="127" t="str">
        <f t="shared" si="17"/>
        <v/>
      </c>
      <c r="AF21" s="127" t="str">
        <f t="shared" si="17"/>
        <v/>
      </c>
      <c r="AG21" s="127" t="str">
        <f t="shared" si="17"/>
        <v/>
      </c>
      <c r="AH21" s="127" t="str">
        <f t="shared" si="17"/>
        <v/>
      </c>
      <c r="AI21" s="127" t="str">
        <f t="shared" si="17"/>
        <v/>
      </c>
      <c r="AJ21" s="127" t="str">
        <f t="shared" si="17"/>
        <v/>
      </c>
      <c r="AK21" s="127" t="str">
        <f t="shared" si="17"/>
        <v/>
      </c>
      <c r="AL21" s="127" t="str">
        <f t="shared" si="17"/>
        <v/>
      </c>
      <c r="AM21" s="127" t="str">
        <f t="shared" si="17"/>
        <v/>
      </c>
      <c r="AN21" s="127" t="str">
        <f t="shared" si="17"/>
        <v/>
      </c>
      <c r="AO21" s="127" t="str">
        <f t="shared" si="17"/>
        <v/>
      </c>
      <c r="AP21" s="127" t="str">
        <f t="shared" si="17"/>
        <v/>
      </c>
      <c r="AQ21" s="127" t="str">
        <f t="shared" si="17"/>
        <v/>
      </c>
      <c r="AR21" s="127" t="str">
        <f t="shared" si="17"/>
        <v/>
      </c>
      <c r="AS21" s="127" t="str">
        <f t="shared" si="17"/>
        <v/>
      </c>
      <c r="AT21" s="127" t="str">
        <f t="shared" si="17"/>
        <v/>
      </c>
      <c r="AU21" s="127" t="str">
        <f t="shared" si="17"/>
        <v/>
      </c>
      <c r="AV21" s="127" t="str">
        <f t="shared" si="17"/>
        <v/>
      </c>
      <c r="AW21" s="127" t="str">
        <f t="shared" si="17"/>
        <v/>
      </c>
      <c r="AX21" s="127" t="str">
        <f t="shared" si="17"/>
        <v/>
      </c>
      <c r="AY21" s="127" t="str">
        <f t="shared" si="17"/>
        <v/>
      </c>
      <c r="AZ21" s="127" t="str">
        <f t="shared" si="17"/>
        <v/>
      </c>
      <c r="BA21" s="127" t="str">
        <f t="shared" si="17"/>
        <v/>
      </c>
      <c r="BB21" s="127" t="str">
        <f t="shared" si="17"/>
        <v/>
      </c>
      <c r="BC21" s="127" t="str">
        <f t="shared" si="17"/>
        <v/>
      </c>
      <c r="BD21" s="127" t="str">
        <f t="shared" si="17"/>
        <v/>
      </c>
      <c r="BE21" s="127" t="str">
        <f t="shared" si="17"/>
        <v/>
      </c>
      <c r="BF21" s="127" t="str">
        <f t="shared" si="17"/>
        <v/>
      </c>
      <c r="BG21" s="127" t="str">
        <f t="shared" si="4"/>
        <v/>
      </c>
      <c r="BH21" s="127" t="str">
        <f t="shared" si="4"/>
        <v/>
      </c>
      <c r="BI21" s="127" t="str">
        <f t="shared" si="4"/>
        <v/>
      </c>
      <c r="BJ21" s="127" t="str">
        <f t="shared" si="4"/>
        <v/>
      </c>
      <c r="BK21" s="127" t="str">
        <f t="shared" si="4"/>
        <v/>
      </c>
      <c r="BL21" s="127" t="str">
        <f t="shared" si="4"/>
        <v/>
      </c>
      <c r="BM21" s="127" t="str">
        <f t="shared" si="4"/>
        <v/>
      </c>
      <c r="BN21" s="127" t="str">
        <f t="shared" si="13"/>
        <v/>
      </c>
      <c r="BO21" s="127" t="str">
        <f t="shared" si="13"/>
        <v/>
      </c>
      <c r="BP21" s="127" t="str">
        <f t="shared" si="13"/>
        <v/>
      </c>
      <c r="BQ21" s="127" t="str">
        <f t="shared" si="13"/>
        <v/>
      </c>
      <c r="BR21" s="127" t="str">
        <f t="shared" si="13"/>
        <v/>
      </c>
      <c r="BS21" s="127" t="str">
        <f t="shared" si="13"/>
        <v/>
      </c>
      <c r="BT21" s="127" t="str">
        <f t="shared" si="5"/>
        <v/>
      </c>
      <c r="BU21" s="127" t="str">
        <f t="shared" si="5"/>
        <v/>
      </c>
      <c r="BV21" s="127" t="str">
        <f t="shared" si="5"/>
        <v/>
      </c>
      <c r="BW21" s="127" t="str">
        <f t="shared" si="5"/>
        <v/>
      </c>
      <c r="BX21" s="127" t="str">
        <f t="shared" si="5"/>
        <v/>
      </c>
      <c r="BY21" s="127" t="str">
        <f t="shared" si="5"/>
        <v/>
      </c>
      <c r="BZ21" s="127" t="str">
        <f t="shared" si="5"/>
        <v/>
      </c>
      <c r="CA21" s="127" t="str">
        <f t="shared" si="5"/>
        <v/>
      </c>
      <c r="CB21" s="127" t="str">
        <f t="shared" si="5"/>
        <v/>
      </c>
      <c r="CC21" s="127" t="str">
        <f t="shared" si="5"/>
        <v/>
      </c>
      <c r="CD21" s="127" t="str">
        <f t="shared" si="5"/>
        <v/>
      </c>
      <c r="CE21" s="127" t="str">
        <f t="shared" si="5"/>
        <v/>
      </c>
    </row>
    <row r="22" spans="1:83" ht="12.6" customHeight="1" x14ac:dyDescent="0.2">
      <c r="A22" s="106">
        <f>SHIPMENTS!A28</f>
        <v>9279</v>
      </c>
      <c r="B22" s="106" t="str">
        <f>SHIPMENTS!B28</f>
        <v>15900- Iloilo |Rocky Go</v>
      </c>
      <c r="C22" s="132">
        <f>SHIPMENTS!F28</f>
        <v>0.34820000000000001</v>
      </c>
      <c r="D22" s="107" t="str">
        <f>IF((SHIPMENTS!I28)=0,"",SHIPMENTS!I28)</f>
        <v/>
      </c>
      <c r="E22" s="176">
        <f>IF((SHIPMENTS!G28)=0,"",SHIPMENTS!G28)</f>
        <v>46323</v>
      </c>
      <c r="F22" s="109">
        <f>VLOOKUP(A22,Items!$A$5:$J$1000,8,0)</f>
        <v>2</v>
      </c>
      <c r="G22" s="98">
        <f>VLOOKUP(A22,load!$A$4:$U$5001,3,0)</f>
        <v>1.8490833333333334</v>
      </c>
      <c r="H22" s="97">
        <f>Manhours!$C$20</f>
        <v>4</v>
      </c>
      <c r="I22" s="98">
        <f t="shared" si="0"/>
        <v>36.4</v>
      </c>
      <c r="J22" s="99">
        <f t="shared" si="14"/>
        <v>5.0798992673992675E-2</v>
      </c>
      <c r="K22" s="99">
        <f t="shared" si="1"/>
        <v>0.46227083333333335</v>
      </c>
      <c r="L22" s="98">
        <f t="shared" si="15"/>
        <v>5.0798992673992675E-2</v>
      </c>
      <c r="M22" s="98">
        <f t="shared" si="16"/>
        <v>0.46227083333333335</v>
      </c>
      <c r="N22" s="181">
        <f t="shared" si="10"/>
        <v>46314.230288967912</v>
      </c>
      <c r="O22" s="181">
        <f t="shared" si="11"/>
        <v>46314.28108796059</v>
      </c>
      <c r="P22" s="112">
        <f>VLOOKUP(A22,SHIPMENTS!$A$7:$AP$76,10,0)</f>
        <v>0</v>
      </c>
      <c r="Q22" s="101"/>
      <c r="R22" s="127" t="str">
        <f t="shared" si="2"/>
        <v/>
      </c>
      <c r="S22" s="127" t="str">
        <f t="shared" si="17"/>
        <v/>
      </c>
      <c r="T22" s="127" t="str">
        <f t="shared" si="17"/>
        <v/>
      </c>
      <c r="U22" s="127" t="str">
        <f t="shared" si="17"/>
        <v/>
      </c>
      <c r="V22" s="127" t="str">
        <f t="shared" si="17"/>
        <v/>
      </c>
      <c r="W22" s="127" t="str">
        <f t="shared" si="17"/>
        <v/>
      </c>
      <c r="X22" s="127" t="str">
        <f t="shared" si="17"/>
        <v/>
      </c>
      <c r="Y22" s="127" t="str">
        <f t="shared" si="17"/>
        <v/>
      </c>
      <c r="Z22" s="127" t="str">
        <f t="shared" si="17"/>
        <v>▲</v>
      </c>
      <c r="AA22" s="127" t="str">
        <f t="shared" si="17"/>
        <v/>
      </c>
      <c r="AB22" s="127" t="str">
        <f t="shared" si="17"/>
        <v/>
      </c>
      <c r="AC22" s="127" t="str">
        <f t="shared" si="17"/>
        <v/>
      </c>
      <c r="AD22" s="127" t="str">
        <f t="shared" si="17"/>
        <v/>
      </c>
      <c r="AE22" s="127" t="str">
        <f t="shared" si="17"/>
        <v/>
      </c>
      <c r="AF22" s="127" t="str">
        <f t="shared" si="17"/>
        <v/>
      </c>
      <c r="AG22" s="127" t="str">
        <f t="shared" si="17"/>
        <v/>
      </c>
      <c r="AH22" s="127" t="str">
        <f t="shared" si="17"/>
        <v/>
      </c>
      <c r="AI22" s="127" t="str">
        <f t="shared" si="17"/>
        <v/>
      </c>
      <c r="AJ22" s="127" t="str">
        <f t="shared" si="17"/>
        <v/>
      </c>
      <c r="AK22" s="127" t="str">
        <f t="shared" si="17"/>
        <v/>
      </c>
      <c r="AL22" s="127" t="str">
        <f t="shared" si="17"/>
        <v/>
      </c>
      <c r="AM22" s="127" t="str">
        <f t="shared" si="17"/>
        <v/>
      </c>
      <c r="AN22" s="127" t="str">
        <f t="shared" si="17"/>
        <v/>
      </c>
      <c r="AO22" s="127" t="str">
        <f t="shared" si="17"/>
        <v/>
      </c>
      <c r="AP22" s="127" t="str">
        <f t="shared" si="17"/>
        <v/>
      </c>
      <c r="AQ22" s="127" t="str">
        <f t="shared" si="17"/>
        <v/>
      </c>
      <c r="AR22" s="127" t="str">
        <f t="shared" si="17"/>
        <v/>
      </c>
      <c r="AS22" s="127" t="str">
        <f t="shared" si="17"/>
        <v/>
      </c>
      <c r="AT22" s="127" t="str">
        <f t="shared" si="17"/>
        <v/>
      </c>
      <c r="AU22" s="127" t="str">
        <f t="shared" si="17"/>
        <v/>
      </c>
      <c r="AV22" s="127" t="str">
        <f t="shared" si="17"/>
        <v/>
      </c>
      <c r="AW22" s="127" t="str">
        <f t="shared" si="17"/>
        <v/>
      </c>
      <c r="AX22" s="127" t="str">
        <f t="shared" si="17"/>
        <v/>
      </c>
      <c r="AY22" s="127" t="str">
        <f t="shared" si="17"/>
        <v/>
      </c>
      <c r="AZ22" s="127" t="str">
        <f t="shared" si="17"/>
        <v/>
      </c>
      <c r="BA22" s="127" t="str">
        <f t="shared" si="17"/>
        <v/>
      </c>
      <c r="BB22" s="127" t="str">
        <f t="shared" si="17"/>
        <v/>
      </c>
      <c r="BC22" s="127" t="str">
        <f t="shared" si="17"/>
        <v/>
      </c>
      <c r="BD22" s="127" t="str">
        <f t="shared" si="17"/>
        <v/>
      </c>
      <c r="BE22" s="127" t="str">
        <f t="shared" si="17"/>
        <v/>
      </c>
      <c r="BF22" s="127" t="str">
        <f t="shared" si="17"/>
        <v/>
      </c>
      <c r="BG22" s="127" t="str">
        <f t="shared" si="4"/>
        <v/>
      </c>
      <c r="BH22" s="127" t="str">
        <f t="shared" si="4"/>
        <v/>
      </c>
      <c r="BI22" s="127" t="str">
        <f t="shared" si="4"/>
        <v/>
      </c>
      <c r="BJ22" s="127" t="str">
        <f t="shared" si="4"/>
        <v/>
      </c>
      <c r="BK22" s="127" t="str">
        <f t="shared" si="4"/>
        <v/>
      </c>
      <c r="BL22" s="127" t="str">
        <f t="shared" si="4"/>
        <v/>
      </c>
      <c r="BM22" s="127" t="str">
        <f t="shared" si="4"/>
        <v/>
      </c>
      <c r="BN22" s="127" t="str">
        <f t="shared" si="13"/>
        <v/>
      </c>
      <c r="BO22" s="127" t="str">
        <f t="shared" si="13"/>
        <v/>
      </c>
      <c r="BP22" s="127" t="str">
        <f t="shared" si="13"/>
        <v/>
      </c>
      <c r="BQ22" s="127" t="str">
        <f t="shared" si="13"/>
        <v/>
      </c>
      <c r="BR22" s="127" t="str">
        <f t="shared" si="13"/>
        <v/>
      </c>
      <c r="BS22" s="127" t="str">
        <f t="shared" si="13"/>
        <v/>
      </c>
      <c r="BT22" s="127" t="str">
        <f t="shared" si="5"/>
        <v/>
      </c>
      <c r="BU22" s="127" t="str">
        <f t="shared" si="5"/>
        <v/>
      </c>
      <c r="BV22" s="127" t="str">
        <f t="shared" si="5"/>
        <v/>
      </c>
      <c r="BW22" s="127" t="str">
        <f t="shared" si="5"/>
        <v/>
      </c>
      <c r="BX22" s="127" t="str">
        <f t="shared" si="5"/>
        <v/>
      </c>
      <c r="BY22" s="127" t="str">
        <f t="shared" si="5"/>
        <v/>
      </c>
      <c r="BZ22" s="127" t="str">
        <f t="shared" si="5"/>
        <v/>
      </c>
      <c r="CA22" s="127" t="str">
        <f t="shared" si="5"/>
        <v/>
      </c>
      <c r="CB22" s="127" t="str">
        <f t="shared" si="5"/>
        <v/>
      </c>
      <c r="CC22" s="127" t="str">
        <f t="shared" si="5"/>
        <v/>
      </c>
      <c r="CD22" s="127" t="str">
        <f t="shared" si="5"/>
        <v/>
      </c>
      <c r="CE22" s="127" t="str">
        <f t="shared" si="5"/>
        <v/>
      </c>
    </row>
    <row r="23" spans="1:83" ht="12.6" hidden="1" customHeight="1" x14ac:dyDescent="0.2">
      <c r="A23" s="106">
        <f>SHIPMENTS!A29</f>
        <v>8964</v>
      </c>
      <c r="B23" s="106" t="str">
        <f>SHIPMENTS!B29</f>
        <v>15900- Mandaue Warehouse</v>
      </c>
      <c r="C23" s="132">
        <f>SHIPMENTS!F29</f>
        <v>0.11</v>
      </c>
      <c r="D23" s="107" t="str">
        <f>IF((SHIPMENTS!I29)=0,"",SHIPMENTS!I29)</f>
        <v/>
      </c>
      <c r="E23" s="176">
        <f>IF((SHIPMENTS!G29)=0,"",SHIPMENTS!G29)</f>
        <v>46323</v>
      </c>
      <c r="F23" s="109">
        <f>VLOOKUP(A23,Items!$A$5:$J$1000,8,0)</f>
        <v>0</v>
      </c>
      <c r="G23" s="98">
        <f>VLOOKUP(A23,load!$A$4:$U$5001,3,0)</f>
        <v>0</v>
      </c>
      <c r="H23" s="97">
        <f>Manhours!$C$20</f>
        <v>4</v>
      </c>
      <c r="I23" s="98">
        <f t="shared" si="0"/>
        <v>36.4</v>
      </c>
      <c r="J23" s="99">
        <f t="shared" si="14"/>
        <v>0</v>
      </c>
      <c r="K23" s="99">
        <f t="shared" si="1"/>
        <v>0</v>
      </c>
      <c r="L23" s="98">
        <f t="shared" si="15"/>
        <v>0</v>
      </c>
      <c r="M23" s="98">
        <f t="shared" si="16"/>
        <v>0</v>
      </c>
      <c r="N23" s="181">
        <f t="shared" si="10"/>
        <v>46314.28108796059</v>
      </c>
      <c r="O23" s="181">
        <f t="shared" si="11"/>
        <v>46314.28108796059</v>
      </c>
      <c r="P23" s="112" t="str">
        <f>VLOOKUP(A23,SHIPMENTS!$A$7:$AP$76,10,0)</f>
        <v>n/a</v>
      </c>
      <c r="Q23" s="101"/>
      <c r="R23" s="127" t="str">
        <f t="shared" si="2"/>
        <v/>
      </c>
      <c r="S23" s="127" t="str">
        <f t="shared" si="17"/>
        <v/>
      </c>
      <c r="T23" s="127" t="str">
        <f t="shared" si="17"/>
        <v/>
      </c>
      <c r="U23" s="127" t="str">
        <f t="shared" si="17"/>
        <v/>
      </c>
      <c r="V23" s="127" t="str">
        <f t="shared" si="17"/>
        <v/>
      </c>
      <c r="W23" s="127" t="str">
        <f t="shared" si="17"/>
        <v/>
      </c>
      <c r="X23" s="127" t="str">
        <f t="shared" si="17"/>
        <v/>
      </c>
      <c r="Y23" s="127" t="str">
        <f t="shared" si="17"/>
        <v/>
      </c>
      <c r="Z23" s="127" t="str">
        <f t="shared" si="17"/>
        <v>▲</v>
      </c>
      <c r="AA23" s="127" t="str">
        <f t="shared" si="17"/>
        <v/>
      </c>
      <c r="AB23" s="127" t="str">
        <f t="shared" si="17"/>
        <v/>
      </c>
      <c r="AC23" s="127" t="str">
        <f t="shared" si="17"/>
        <v/>
      </c>
      <c r="AD23" s="127" t="str">
        <f t="shared" si="17"/>
        <v/>
      </c>
      <c r="AE23" s="127" t="str">
        <f t="shared" si="17"/>
        <v/>
      </c>
      <c r="AF23" s="127" t="str">
        <f t="shared" si="17"/>
        <v/>
      </c>
      <c r="AG23" s="127" t="str">
        <f t="shared" si="17"/>
        <v/>
      </c>
      <c r="AH23" s="127" t="str">
        <f t="shared" si="17"/>
        <v/>
      </c>
      <c r="AI23" s="127" t="str">
        <f t="shared" si="17"/>
        <v/>
      </c>
      <c r="AJ23" s="127" t="str">
        <f t="shared" si="17"/>
        <v/>
      </c>
      <c r="AK23" s="127" t="str">
        <f t="shared" si="17"/>
        <v/>
      </c>
      <c r="AL23" s="127" t="str">
        <f t="shared" si="17"/>
        <v/>
      </c>
      <c r="AM23" s="127" t="str">
        <f t="shared" si="17"/>
        <v/>
      </c>
      <c r="AN23" s="127" t="str">
        <f t="shared" si="17"/>
        <v/>
      </c>
      <c r="AO23" s="127" t="str">
        <f t="shared" si="17"/>
        <v/>
      </c>
      <c r="AP23" s="127" t="str">
        <f t="shared" si="17"/>
        <v/>
      </c>
      <c r="AQ23" s="127" t="str">
        <f t="shared" si="17"/>
        <v/>
      </c>
      <c r="AR23" s="127" t="str">
        <f t="shared" si="17"/>
        <v/>
      </c>
      <c r="AS23" s="127" t="str">
        <f t="shared" si="17"/>
        <v/>
      </c>
      <c r="AT23" s="127" t="str">
        <f t="shared" si="17"/>
        <v/>
      </c>
      <c r="AU23" s="127" t="str">
        <f t="shared" si="17"/>
        <v/>
      </c>
      <c r="AV23" s="127" t="str">
        <f t="shared" si="17"/>
        <v/>
      </c>
      <c r="AW23" s="127" t="str">
        <f t="shared" si="17"/>
        <v/>
      </c>
      <c r="AX23" s="127" t="str">
        <f t="shared" si="17"/>
        <v/>
      </c>
      <c r="AY23" s="127" t="str">
        <f t="shared" si="17"/>
        <v/>
      </c>
      <c r="AZ23" s="127" t="str">
        <f t="shared" si="17"/>
        <v/>
      </c>
      <c r="BA23" s="127" t="str">
        <f t="shared" si="17"/>
        <v/>
      </c>
      <c r="BB23" s="127" t="str">
        <f t="shared" si="17"/>
        <v/>
      </c>
      <c r="BC23" s="127" t="str">
        <f t="shared" si="17"/>
        <v/>
      </c>
      <c r="BD23" s="127" t="str">
        <f t="shared" si="17"/>
        <v/>
      </c>
      <c r="BE23" s="127" t="str">
        <f t="shared" si="17"/>
        <v/>
      </c>
      <c r="BF23" s="127" t="str">
        <f t="shared" si="17"/>
        <v/>
      </c>
      <c r="BG23" s="127" t="str">
        <f t="shared" si="4"/>
        <v/>
      </c>
      <c r="BH23" s="127" t="str">
        <f t="shared" si="4"/>
        <v/>
      </c>
      <c r="BI23" s="127" t="str">
        <f t="shared" si="4"/>
        <v/>
      </c>
      <c r="BJ23" s="127" t="str">
        <f t="shared" si="4"/>
        <v/>
      </c>
      <c r="BK23" s="127" t="str">
        <f t="shared" si="4"/>
        <v/>
      </c>
      <c r="BL23" s="127" t="str">
        <f t="shared" si="4"/>
        <v/>
      </c>
      <c r="BM23" s="127" t="str">
        <f t="shared" si="4"/>
        <v/>
      </c>
      <c r="BN23" s="127" t="str">
        <f t="shared" si="13"/>
        <v/>
      </c>
      <c r="BO23" s="127" t="str">
        <f t="shared" si="13"/>
        <v/>
      </c>
      <c r="BP23" s="127" t="str">
        <f t="shared" si="13"/>
        <v/>
      </c>
      <c r="BQ23" s="127" t="str">
        <f t="shared" si="13"/>
        <v/>
      </c>
      <c r="BR23" s="127" t="str">
        <f t="shared" si="13"/>
        <v/>
      </c>
      <c r="BS23" s="127" t="str">
        <f t="shared" si="13"/>
        <v/>
      </c>
      <c r="BT23" s="127" t="str">
        <f t="shared" si="5"/>
        <v/>
      </c>
      <c r="BU23" s="127" t="str">
        <f t="shared" si="5"/>
        <v/>
      </c>
      <c r="BV23" s="127" t="str">
        <f t="shared" si="5"/>
        <v/>
      </c>
      <c r="BW23" s="127" t="str">
        <f t="shared" si="5"/>
        <v/>
      </c>
      <c r="BX23" s="127" t="str">
        <f t="shared" si="5"/>
        <v/>
      </c>
      <c r="BY23" s="127" t="str">
        <f t="shared" si="5"/>
        <v/>
      </c>
      <c r="BZ23" s="127" t="str">
        <f t="shared" si="5"/>
        <v/>
      </c>
      <c r="CA23" s="127" t="str">
        <f t="shared" si="5"/>
        <v/>
      </c>
      <c r="CB23" s="127" t="str">
        <f t="shared" si="5"/>
        <v/>
      </c>
      <c r="CC23" s="127" t="str">
        <f t="shared" si="5"/>
        <v/>
      </c>
      <c r="CD23" s="127" t="str">
        <f t="shared" si="5"/>
        <v/>
      </c>
      <c r="CE23" s="127" t="str">
        <f t="shared" si="5"/>
        <v/>
      </c>
    </row>
    <row r="24" spans="1:83" ht="12.6" hidden="1" customHeight="1" x14ac:dyDescent="0.2">
      <c r="A24" s="106">
        <f>SHIPMENTS!A30</f>
        <v>9023</v>
      </c>
      <c r="B24" s="106" t="str">
        <f>SHIPMENTS!B30</f>
        <v>15900- Ubay | Danilo Varela</v>
      </c>
      <c r="C24" s="132">
        <f>SHIPMENTS!F30</f>
        <v>3.0849999999999999E-2</v>
      </c>
      <c r="D24" s="107" t="str">
        <f>IF((SHIPMENTS!I30)=0,"",SHIPMENTS!I30)</f>
        <v/>
      </c>
      <c r="E24" s="176">
        <f>IF((SHIPMENTS!G30)=0,"",SHIPMENTS!G30)</f>
        <v>46323</v>
      </c>
      <c r="F24" s="109">
        <f>VLOOKUP(A24,Items!$A$5:$J$1000,8,0)</f>
        <v>0</v>
      </c>
      <c r="G24" s="98">
        <f>VLOOKUP(A24,load!$A$4:$U$5001,3,0)</f>
        <v>0</v>
      </c>
      <c r="H24" s="97">
        <f>Manhours!$C$20</f>
        <v>4</v>
      </c>
      <c r="I24" s="98">
        <f t="shared" si="0"/>
        <v>36.4</v>
      </c>
      <c r="J24" s="99">
        <f t="shared" si="14"/>
        <v>0</v>
      </c>
      <c r="K24" s="99">
        <f t="shared" si="1"/>
        <v>0</v>
      </c>
      <c r="L24" s="98">
        <f t="shared" si="15"/>
        <v>0</v>
      </c>
      <c r="M24" s="98">
        <f t="shared" si="16"/>
        <v>0</v>
      </c>
      <c r="N24" s="181">
        <f t="shared" si="10"/>
        <v>46314.28108796059</v>
      </c>
      <c r="O24" s="181">
        <f t="shared" si="11"/>
        <v>46314.28108796059</v>
      </c>
      <c r="P24" s="112" t="str">
        <f>VLOOKUP(A24,SHIPMENTS!$A$7:$AP$76,10,0)</f>
        <v>n/a</v>
      </c>
      <c r="Q24" s="101"/>
      <c r="R24" s="127" t="str">
        <f t="shared" si="2"/>
        <v/>
      </c>
      <c r="S24" s="127" t="str">
        <f t="shared" si="17"/>
        <v/>
      </c>
      <c r="T24" s="127" t="str">
        <f t="shared" si="17"/>
        <v/>
      </c>
      <c r="U24" s="127" t="str">
        <f t="shared" si="17"/>
        <v/>
      </c>
      <c r="V24" s="127" t="str">
        <f t="shared" si="17"/>
        <v/>
      </c>
      <c r="W24" s="127" t="str">
        <f t="shared" si="17"/>
        <v/>
      </c>
      <c r="X24" s="127" t="str">
        <f t="shared" si="17"/>
        <v/>
      </c>
      <c r="Y24" s="127" t="str">
        <f t="shared" si="17"/>
        <v/>
      </c>
      <c r="Z24" s="127" t="str">
        <f t="shared" si="17"/>
        <v>▲</v>
      </c>
      <c r="AA24" s="127" t="str">
        <f t="shared" si="17"/>
        <v/>
      </c>
      <c r="AB24" s="127" t="str">
        <f t="shared" si="17"/>
        <v/>
      </c>
      <c r="AC24" s="127" t="str">
        <f t="shared" si="17"/>
        <v/>
      </c>
      <c r="AD24" s="127" t="str">
        <f t="shared" si="17"/>
        <v/>
      </c>
      <c r="AE24" s="127" t="str">
        <f t="shared" si="17"/>
        <v/>
      </c>
      <c r="AF24" s="127" t="str">
        <f t="shared" si="17"/>
        <v/>
      </c>
      <c r="AG24" s="127" t="str">
        <f t="shared" si="17"/>
        <v/>
      </c>
      <c r="AH24" s="127" t="str">
        <f t="shared" si="17"/>
        <v/>
      </c>
      <c r="AI24" s="127" t="str">
        <f t="shared" si="17"/>
        <v/>
      </c>
      <c r="AJ24" s="127" t="str">
        <f t="shared" si="17"/>
        <v/>
      </c>
      <c r="AK24" s="127" t="str">
        <f t="shared" si="17"/>
        <v/>
      </c>
      <c r="AL24" s="127" t="str">
        <f t="shared" si="17"/>
        <v/>
      </c>
      <c r="AM24" s="127" t="str">
        <f t="shared" si="17"/>
        <v/>
      </c>
      <c r="AN24" s="127" t="str">
        <f t="shared" si="17"/>
        <v/>
      </c>
      <c r="AO24" s="127" t="str">
        <f t="shared" si="17"/>
        <v/>
      </c>
      <c r="AP24" s="127" t="str">
        <f t="shared" si="17"/>
        <v/>
      </c>
      <c r="AQ24" s="127" t="str">
        <f t="shared" si="17"/>
        <v/>
      </c>
      <c r="AR24" s="127" t="str">
        <f t="shared" si="17"/>
        <v/>
      </c>
      <c r="AS24" s="127" t="str">
        <f t="shared" si="17"/>
        <v/>
      </c>
      <c r="AT24" s="127" t="str">
        <f t="shared" si="17"/>
        <v/>
      </c>
      <c r="AU24" s="127" t="str">
        <f t="shared" si="17"/>
        <v/>
      </c>
      <c r="AV24" s="127" t="str">
        <f t="shared" si="17"/>
        <v/>
      </c>
      <c r="AW24" s="127" t="str">
        <f t="shared" si="17"/>
        <v/>
      </c>
      <c r="AX24" s="127" t="str">
        <f t="shared" si="17"/>
        <v/>
      </c>
      <c r="AY24" s="127" t="str">
        <f t="shared" si="17"/>
        <v/>
      </c>
      <c r="AZ24" s="127" t="str">
        <f t="shared" si="17"/>
        <v/>
      </c>
      <c r="BA24" s="127" t="str">
        <f t="shared" si="17"/>
        <v/>
      </c>
      <c r="BB24" s="127" t="str">
        <f t="shared" si="17"/>
        <v/>
      </c>
      <c r="BC24" s="127" t="str">
        <f t="shared" si="17"/>
        <v/>
      </c>
      <c r="BD24" s="127" t="str">
        <f t="shared" si="17"/>
        <v/>
      </c>
      <c r="BE24" s="127" t="str">
        <f t="shared" si="17"/>
        <v/>
      </c>
      <c r="BF24" s="127" t="str">
        <f t="shared" si="17"/>
        <v/>
      </c>
      <c r="BG24" s="127" t="str">
        <f t="shared" si="4"/>
        <v/>
      </c>
      <c r="BH24" s="127" t="str">
        <f t="shared" si="4"/>
        <v/>
      </c>
      <c r="BI24" s="127" t="str">
        <f t="shared" si="4"/>
        <v/>
      </c>
      <c r="BJ24" s="127" t="str">
        <f t="shared" si="4"/>
        <v/>
      </c>
      <c r="BK24" s="127" t="str">
        <f t="shared" si="4"/>
        <v/>
      </c>
      <c r="BL24" s="127" t="str">
        <f t="shared" si="4"/>
        <v/>
      </c>
      <c r="BM24" s="127" t="str">
        <f t="shared" si="4"/>
        <v/>
      </c>
      <c r="BN24" s="127" t="str">
        <f t="shared" si="13"/>
        <v/>
      </c>
      <c r="BO24" s="127" t="str">
        <f t="shared" si="13"/>
        <v/>
      </c>
      <c r="BP24" s="127" t="str">
        <f t="shared" si="13"/>
        <v/>
      </c>
      <c r="BQ24" s="127" t="str">
        <f t="shared" si="13"/>
        <v/>
      </c>
      <c r="BR24" s="127" t="str">
        <f t="shared" si="13"/>
        <v/>
      </c>
      <c r="BS24" s="127" t="str">
        <f t="shared" si="13"/>
        <v/>
      </c>
      <c r="BT24" s="127" t="str">
        <f t="shared" si="13"/>
        <v/>
      </c>
      <c r="BU24" s="127" t="str">
        <f t="shared" si="13"/>
        <v/>
      </c>
      <c r="BV24" s="127" t="str">
        <f t="shared" si="13"/>
        <v/>
      </c>
      <c r="BW24" s="127" t="str">
        <f t="shared" si="13"/>
        <v/>
      </c>
      <c r="BX24" s="127" t="str">
        <f t="shared" si="13"/>
        <v/>
      </c>
      <c r="BY24" s="127" t="str">
        <f t="shared" si="13"/>
        <v/>
      </c>
      <c r="BZ24" s="127" t="str">
        <f t="shared" si="13"/>
        <v/>
      </c>
      <c r="CA24" s="127" t="str">
        <f t="shared" si="13"/>
        <v/>
      </c>
      <c r="CB24" s="127" t="str">
        <f t="shared" si="13"/>
        <v/>
      </c>
      <c r="CC24" s="127" t="str">
        <f t="shared" si="13"/>
        <v/>
      </c>
      <c r="CD24" s="127" t="str">
        <f t="shared" ref="BZ24:CE39" si="18">IF($E24=CD$3,"▲","")</f>
        <v/>
      </c>
      <c r="CE24" s="127" t="str">
        <f t="shared" si="18"/>
        <v/>
      </c>
    </row>
    <row r="25" spans="1:83" ht="12.6" hidden="1" customHeight="1" x14ac:dyDescent="0.2">
      <c r="A25" s="106">
        <f>SHIPMENTS!A31</f>
        <v>9105</v>
      </c>
      <c r="B25" s="106" t="str">
        <f>SHIPMENTS!B31</f>
        <v>15900- Cebu City |Nelsar Alvar</v>
      </c>
      <c r="C25" s="132">
        <f>SHIPMENTS!F31</f>
        <v>1.35E-2</v>
      </c>
      <c r="D25" s="107" t="str">
        <f>IF((SHIPMENTS!I31)=0,"",SHIPMENTS!I31)</f>
        <v/>
      </c>
      <c r="E25" s="176">
        <f>IF((SHIPMENTS!G31)=0,"",SHIPMENTS!G31)</f>
        <v>46323</v>
      </c>
      <c r="F25" s="109">
        <f>VLOOKUP(A25,Items!$A$5:$J$1000,8,0)</f>
        <v>0</v>
      </c>
      <c r="G25" s="98">
        <f>VLOOKUP(A25,load!$A$4:$U$5001,3,0)</f>
        <v>0</v>
      </c>
      <c r="H25" s="97">
        <f>Manhours!$C$20</f>
        <v>4</v>
      </c>
      <c r="I25" s="98">
        <f t="shared" si="0"/>
        <v>36.4</v>
      </c>
      <c r="J25" s="99">
        <f t="shared" si="14"/>
        <v>0</v>
      </c>
      <c r="K25" s="99">
        <f t="shared" si="1"/>
        <v>0</v>
      </c>
      <c r="L25" s="98">
        <f t="shared" si="15"/>
        <v>0</v>
      </c>
      <c r="M25" s="98">
        <f t="shared" si="16"/>
        <v>0</v>
      </c>
      <c r="N25" s="181">
        <f t="shared" si="10"/>
        <v>46314.28108796059</v>
      </c>
      <c r="O25" s="181">
        <f t="shared" si="11"/>
        <v>46314.28108796059</v>
      </c>
      <c r="P25" s="112" t="str">
        <f>VLOOKUP(A25,SHIPMENTS!$A$7:$AP$76,10,0)</f>
        <v>n/a</v>
      </c>
      <c r="Q25" s="101"/>
      <c r="R25" s="127" t="str">
        <f t="shared" si="2"/>
        <v/>
      </c>
      <c r="S25" s="127" t="str">
        <f t="shared" si="17"/>
        <v/>
      </c>
      <c r="T25" s="127" t="str">
        <f t="shared" si="17"/>
        <v/>
      </c>
      <c r="U25" s="127" t="str">
        <f t="shared" si="17"/>
        <v/>
      </c>
      <c r="V25" s="127" t="str">
        <f t="shared" si="17"/>
        <v/>
      </c>
      <c r="W25" s="127" t="str">
        <f t="shared" si="17"/>
        <v/>
      </c>
      <c r="X25" s="127" t="str">
        <f t="shared" si="17"/>
        <v/>
      </c>
      <c r="Y25" s="127" t="str">
        <f t="shared" si="17"/>
        <v/>
      </c>
      <c r="Z25" s="127" t="str">
        <f t="shared" si="17"/>
        <v>▲</v>
      </c>
      <c r="AA25" s="127" t="str">
        <f t="shared" si="17"/>
        <v/>
      </c>
      <c r="AB25" s="127" t="str">
        <f t="shared" si="17"/>
        <v/>
      </c>
      <c r="AC25" s="127" t="str">
        <f t="shared" si="17"/>
        <v/>
      </c>
      <c r="AD25" s="127" t="str">
        <f t="shared" si="17"/>
        <v/>
      </c>
      <c r="AE25" s="127" t="str">
        <f t="shared" si="17"/>
        <v/>
      </c>
      <c r="AF25" s="127" t="str">
        <f t="shared" si="17"/>
        <v/>
      </c>
      <c r="AG25" s="127" t="str">
        <f t="shared" si="17"/>
        <v/>
      </c>
      <c r="AH25" s="127" t="str">
        <f t="shared" si="17"/>
        <v/>
      </c>
      <c r="AI25" s="127" t="str">
        <f t="shared" si="17"/>
        <v/>
      </c>
      <c r="AJ25" s="127" t="str">
        <f t="shared" si="17"/>
        <v/>
      </c>
      <c r="AK25" s="127" t="str">
        <f t="shared" si="17"/>
        <v/>
      </c>
      <c r="AL25" s="127" t="str">
        <f t="shared" si="17"/>
        <v/>
      </c>
      <c r="AM25" s="127" t="str">
        <f t="shared" si="17"/>
        <v/>
      </c>
      <c r="AN25" s="127" t="str">
        <f t="shared" si="17"/>
        <v/>
      </c>
      <c r="AO25" s="127" t="str">
        <f t="shared" si="17"/>
        <v/>
      </c>
      <c r="AP25" s="127" t="str">
        <f t="shared" si="17"/>
        <v/>
      </c>
      <c r="AQ25" s="127" t="str">
        <f t="shared" si="17"/>
        <v/>
      </c>
      <c r="AR25" s="127" t="str">
        <f t="shared" si="17"/>
        <v/>
      </c>
      <c r="AS25" s="127" t="str">
        <f t="shared" si="17"/>
        <v/>
      </c>
      <c r="AT25" s="127" t="str">
        <f t="shared" si="17"/>
        <v/>
      </c>
      <c r="AU25" s="127" t="str">
        <f t="shared" si="17"/>
        <v/>
      </c>
      <c r="AV25" s="127" t="str">
        <f t="shared" si="17"/>
        <v/>
      </c>
      <c r="AW25" s="127" t="str">
        <f t="shared" si="17"/>
        <v/>
      </c>
      <c r="AX25" s="127" t="str">
        <f t="shared" si="17"/>
        <v/>
      </c>
      <c r="AY25" s="127" t="str">
        <f t="shared" si="17"/>
        <v/>
      </c>
      <c r="AZ25" s="127" t="str">
        <f t="shared" si="17"/>
        <v/>
      </c>
      <c r="BA25" s="127" t="str">
        <f t="shared" si="17"/>
        <v/>
      </c>
      <c r="BB25" s="127" t="str">
        <f t="shared" si="17"/>
        <v/>
      </c>
      <c r="BC25" s="127" t="str">
        <f t="shared" si="17"/>
        <v/>
      </c>
      <c r="BD25" s="127" t="str">
        <f t="shared" si="17"/>
        <v/>
      </c>
      <c r="BE25" s="127" t="str">
        <f t="shared" si="17"/>
        <v/>
      </c>
      <c r="BF25" s="127" t="str">
        <f t="shared" si="17"/>
        <v/>
      </c>
      <c r="BG25" s="127" t="str">
        <f t="shared" si="4"/>
        <v/>
      </c>
      <c r="BH25" s="127" t="str">
        <f t="shared" si="4"/>
        <v/>
      </c>
      <c r="BI25" s="127" t="str">
        <f t="shared" si="4"/>
        <v/>
      </c>
      <c r="BJ25" s="127" t="str">
        <f t="shared" si="4"/>
        <v/>
      </c>
      <c r="BK25" s="127" t="str">
        <f t="shared" si="4"/>
        <v/>
      </c>
      <c r="BL25" s="127" t="str">
        <f t="shared" si="4"/>
        <v/>
      </c>
      <c r="BM25" s="127" t="str">
        <f t="shared" si="4"/>
        <v/>
      </c>
      <c r="BN25" s="127" t="str">
        <f t="shared" si="13"/>
        <v/>
      </c>
      <c r="BO25" s="127" t="str">
        <f t="shared" si="13"/>
        <v/>
      </c>
      <c r="BP25" s="127" t="str">
        <f t="shared" si="13"/>
        <v/>
      </c>
      <c r="BQ25" s="127" t="str">
        <f t="shared" si="13"/>
        <v/>
      </c>
      <c r="BR25" s="127" t="str">
        <f t="shared" si="13"/>
        <v/>
      </c>
      <c r="BS25" s="127" t="str">
        <f t="shared" si="13"/>
        <v/>
      </c>
      <c r="BT25" s="127" t="str">
        <f t="shared" si="13"/>
        <v/>
      </c>
      <c r="BU25" s="127" t="str">
        <f t="shared" si="13"/>
        <v/>
      </c>
      <c r="BV25" s="127" t="str">
        <f t="shared" si="13"/>
        <v/>
      </c>
      <c r="BW25" s="127" t="str">
        <f t="shared" si="13"/>
        <v/>
      </c>
      <c r="BX25" s="127" t="str">
        <f t="shared" si="13"/>
        <v/>
      </c>
      <c r="BY25" s="127" t="str">
        <f t="shared" si="13"/>
        <v/>
      </c>
      <c r="BZ25" s="127" t="str">
        <f t="shared" si="18"/>
        <v/>
      </c>
      <c r="CA25" s="127" t="str">
        <f t="shared" si="18"/>
        <v/>
      </c>
      <c r="CB25" s="127" t="str">
        <f t="shared" si="18"/>
        <v/>
      </c>
      <c r="CC25" s="127" t="str">
        <f t="shared" si="18"/>
        <v/>
      </c>
      <c r="CD25" s="127" t="str">
        <f t="shared" si="18"/>
        <v/>
      </c>
      <c r="CE25" s="127" t="str">
        <f t="shared" si="18"/>
        <v/>
      </c>
    </row>
    <row r="26" spans="1:83" ht="12.6" hidden="1" customHeight="1" x14ac:dyDescent="0.2">
      <c r="A26" s="106">
        <f>SHIPMENTS!A32</f>
        <v>9292</v>
      </c>
      <c r="B26" s="106" t="str">
        <f>SHIPMENTS!B32</f>
        <v>15900- Mandaue Warehouse</v>
      </c>
      <c r="C26" s="132">
        <f>SHIPMENTS!F32</f>
        <v>0.51459999999999995</v>
      </c>
      <c r="D26" s="107" t="str">
        <f>IF((SHIPMENTS!I32)=0,"",SHIPMENTS!I32)</f>
        <v/>
      </c>
      <c r="E26" s="176">
        <f>IF((SHIPMENTS!G32)=0,"",SHIPMENTS!G32)</f>
        <v>46323</v>
      </c>
      <c r="F26" s="109">
        <f>VLOOKUP(A26,Items!$A$5:$J$1000,8,0)</f>
        <v>0</v>
      </c>
      <c r="G26" s="98">
        <f>VLOOKUP(A26,load!$A$4:$U$5001,3,0)</f>
        <v>0</v>
      </c>
      <c r="H26" s="97">
        <f>Manhours!$C$20</f>
        <v>4</v>
      </c>
      <c r="I26" s="98">
        <f t="shared" si="0"/>
        <v>36.4</v>
      </c>
      <c r="J26" s="99">
        <f t="shared" si="14"/>
        <v>0</v>
      </c>
      <c r="K26" s="99">
        <f t="shared" si="1"/>
        <v>0</v>
      </c>
      <c r="L26" s="98">
        <f t="shared" si="15"/>
        <v>0</v>
      </c>
      <c r="M26" s="98">
        <f t="shared" si="16"/>
        <v>0</v>
      </c>
      <c r="N26" s="181">
        <f t="shared" si="10"/>
        <v>46314.28108796059</v>
      </c>
      <c r="O26" s="181">
        <f t="shared" si="11"/>
        <v>46314.28108796059</v>
      </c>
      <c r="P26" s="112" t="str">
        <f>VLOOKUP(A26,SHIPMENTS!$A$7:$AP$76,10,0)</f>
        <v>n/a</v>
      </c>
      <c r="Q26" s="101"/>
      <c r="R26" s="127" t="str">
        <f t="shared" si="2"/>
        <v/>
      </c>
      <c r="S26" s="127" t="str">
        <f t="shared" si="17"/>
        <v/>
      </c>
      <c r="T26" s="127" t="str">
        <f t="shared" si="17"/>
        <v/>
      </c>
      <c r="U26" s="127" t="str">
        <f t="shared" si="17"/>
        <v/>
      </c>
      <c r="V26" s="127" t="str">
        <f t="shared" si="17"/>
        <v/>
      </c>
      <c r="W26" s="127" t="str">
        <f t="shared" si="17"/>
        <v/>
      </c>
      <c r="X26" s="127" t="str">
        <f t="shared" si="17"/>
        <v/>
      </c>
      <c r="Y26" s="127" t="str">
        <f t="shared" si="17"/>
        <v/>
      </c>
      <c r="Z26" s="127" t="str">
        <f t="shared" si="17"/>
        <v>▲</v>
      </c>
      <c r="AA26" s="127" t="str">
        <f t="shared" si="17"/>
        <v/>
      </c>
      <c r="AB26" s="127" t="str">
        <f t="shared" si="17"/>
        <v/>
      </c>
      <c r="AC26" s="127" t="str">
        <f t="shared" si="17"/>
        <v/>
      </c>
      <c r="AD26" s="127" t="str">
        <f t="shared" si="17"/>
        <v/>
      </c>
      <c r="AE26" s="127" t="str">
        <f t="shared" si="17"/>
        <v/>
      </c>
      <c r="AF26" s="127" t="str">
        <f t="shared" si="17"/>
        <v/>
      </c>
      <c r="AG26" s="127" t="str">
        <f t="shared" si="17"/>
        <v/>
      </c>
      <c r="AH26" s="127" t="str">
        <f t="shared" si="17"/>
        <v/>
      </c>
      <c r="AI26" s="127" t="str">
        <f t="shared" si="17"/>
        <v/>
      </c>
      <c r="AJ26" s="127" t="str">
        <f t="shared" si="17"/>
        <v/>
      </c>
      <c r="AK26" s="127" t="str">
        <f t="shared" si="17"/>
        <v/>
      </c>
      <c r="AL26" s="127" t="str">
        <f t="shared" si="17"/>
        <v/>
      </c>
      <c r="AM26" s="127" t="str">
        <f t="shared" si="17"/>
        <v/>
      </c>
      <c r="AN26" s="127" t="str">
        <f t="shared" si="17"/>
        <v/>
      </c>
      <c r="AO26" s="127" t="str">
        <f t="shared" si="17"/>
        <v/>
      </c>
      <c r="AP26" s="127" t="str">
        <f t="shared" si="17"/>
        <v/>
      </c>
      <c r="AQ26" s="127" t="str">
        <f t="shared" si="17"/>
        <v/>
      </c>
      <c r="AR26" s="127" t="str">
        <f t="shared" si="17"/>
        <v/>
      </c>
      <c r="AS26" s="127" t="str">
        <f t="shared" si="17"/>
        <v/>
      </c>
      <c r="AT26" s="127" t="str">
        <f t="shared" si="17"/>
        <v/>
      </c>
      <c r="AU26" s="127" t="str">
        <f t="shared" si="17"/>
        <v/>
      </c>
      <c r="AV26" s="127" t="str">
        <f t="shared" si="17"/>
        <v/>
      </c>
      <c r="AW26" s="127" t="str">
        <f t="shared" si="17"/>
        <v/>
      </c>
      <c r="AX26" s="127" t="str">
        <f t="shared" si="17"/>
        <v/>
      </c>
      <c r="AY26" s="127" t="str">
        <f t="shared" si="17"/>
        <v/>
      </c>
      <c r="AZ26" s="127" t="str">
        <f t="shared" si="17"/>
        <v/>
      </c>
      <c r="BA26" s="127" t="str">
        <f t="shared" si="17"/>
        <v/>
      </c>
      <c r="BB26" s="127" t="str">
        <f t="shared" si="17"/>
        <v/>
      </c>
      <c r="BC26" s="127" t="str">
        <f t="shared" si="17"/>
        <v/>
      </c>
      <c r="BD26" s="127" t="str">
        <f t="shared" si="17"/>
        <v/>
      </c>
      <c r="BE26" s="127" t="str">
        <f t="shared" si="17"/>
        <v/>
      </c>
      <c r="BF26" s="127" t="str">
        <f t="shared" si="17"/>
        <v/>
      </c>
      <c r="BG26" s="127" t="str">
        <f t="shared" si="4"/>
        <v/>
      </c>
      <c r="BH26" s="127" t="str">
        <f t="shared" si="4"/>
        <v/>
      </c>
      <c r="BI26" s="127" t="str">
        <f t="shared" si="4"/>
        <v/>
      </c>
      <c r="BJ26" s="127" t="str">
        <f t="shared" si="4"/>
        <v/>
      </c>
      <c r="BK26" s="127" t="str">
        <f t="shared" si="4"/>
        <v/>
      </c>
      <c r="BL26" s="127" t="str">
        <f t="shared" si="4"/>
        <v/>
      </c>
      <c r="BM26" s="127" t="str">
        <f t="shared" si="4"/>
        <v/>
      </c>
      <c r="BN26" s="127" t="str">
        <f t="shared" si="13"/>
        <v/>
      </c>
      <c r="BO26" s="127" t="str">
        <f t="shared" si="13"/>
        <v/>
      </c>
      <c r="BP26" s="127" t="str">
        <f t="shared" si="13"/>
        <v/>
      </c>
      <c r="BQ26" s="127" t="str">
        <f t="shared" si="13"/>
        <v/>
      </c>
      <c r="BR26" s="127" t="str">
        <f t="shared" si="13"/>
        <v/>
      </c>
      <c r="BS26" s="127" t="str">
        <f t="shared" si="13"/>
        <v/>
      </c>
      <c r="BT26" s="127" t="str">
        <f t="shared" si="13"/>
        <v/>
      </c>
      <c r="BU26" s="127" t="str">
        <f t="shared" si="13"/>
        <v/>
      </c>
      <c r="BV26" s="127" t="str">
        <f t="shared" si="13"/>
        <v/>
      </c>
      <c r="BW26" s="127" t="str">
        <f t="shared" si="13"/>
        <v/>
      </c>
      <c r="BX26" s="127" t="str">
        <f t="shared" si="13"/>
        <v/>
      </c>
      <c r="BY26" s="127" t="str">
        <f t="shared" si="13"/>
        <v/>
      </c>
      <c r="BZ26" s="127" t="str">
        <f t="shared" si="18"/>
        <v/>
      </c>
      <c r="CA26" s="127" t="str">
        <f t="shared" si="18"/>
        <v/>
      </c>
      <c r="CB26" s="127" t="str">
        <f t="shared" si="18"/>
        <v/>
      </c>
      <c r="CC26" s="127" t="str">
        <f t="shared" si="18"/>
        <v/>
      </c>
      <c r="CD26" s="127" t="str">
        <f t="shared" si="18"/>
        <v/>
      </c>
      <c r="CE26" s="127" t="str">
        <f t="shared" si="18"/>
        <v/>
      </c>
    </row>
    <row r="27" spans="1:83" ht="12.6" customHeight="1" x14ac:dyDescent="0.2">
      <c r="A27" s="106">
        <f>SHIPMENTS!A33</f>
        <v>9116</v>
      </c>
      <c r="B27" s="106" t="str">
        <f>SHIPMENTS!B33</f>
        <v>15900- Dagupan City |Kerwin Fernandez</v>
      </c>
      <c r="C27" s="132">
        <f>SHIPMENTS!F33</f>
        <v>0.17</v>
      </c>
      <c r="D27" s="107" t="str">
        <f>IF((SHIPMENTS!I33)=0,"",SHIPMENTS!I33)</f>
        <v>1X20</v>
      </c>
      <c r="E27" s="176">
        <f>IF((SHIPMENTS!G33)=0,"",SHIPMENTS!G33)</f>
        <v>46323</v>
      </c>
      <c r="F27" s="109">
        <f>VLOOKUP(A27,Items!$A$5:$J$1000,8,0)</f>
        <v>2</v>
      </c>
      <c r="G27" s="98">
        <f>VLOOKUP(A27,load!$A$4:$U$5001,3,0)</f>
        <v>1.8490833333333334</v>
      </c>
      <c r="H27" s="97">
        <f>Manhours!$C$20</f>
        <v>4</v>
      </c>
      <c r="I27" s="98">
        <f t="shared" si="0"/>
        <v>36.4</v>
      </c>
      <c r="J27" s="99">
        <f t="shared" si="14"/>
        <v>5.0798992673992675E-2</v>
      </c>
      <c r="K27" s="99">
        <f t="shared" si="1"/>
        <v>0.46227083333333335</v>
      </c>
      <c r="L27" s="98">
        <f t="shared" si="15"/>
        <v>5.0798992673992675E-2</v>
      </c>
      <c r="M27" s="98">
        <f t="shared" si="16"/>
        <v>0.46227083333333335</v>
      </c>
      <c r="N27" s="181">
        <f t="shared" si="10"/>
        <v>46314.28108796059</v>
      </c>
      <c r="O27" s="181">
        <f t="shared" si="11"/>
        <v>46314.331886953267</v>
      </c>
      <c r="P27" s="112">
        <f>VLOOKUP(A27,SHIPMENTS!$A$7:$AP$76,10,0)</f>
        <v>0</v>
      </c>
      <c r="Q27" s="101"/>
      <c r="R27" s="127" t="str">
        <f t="shared" si="2"/>
        <v/>
      </c>
      <c r="S27" s="127" t="str">
        <f t="shared" si="17"/>
        <v/>
      </c>
      <c r="T27" s="127" t="str">
        <f t="shared" si="17"/>
        <v/>
      </c>
      <c r="U27" s="127" t="str">
        <f t="shared" si="17"/>
        <v/>
      </c>
      <c r="V27" s="127" t="str">
        <f t="shared" si="17"/>
        <v/>
      </c>
      <c r="W27" s="127" t="str">
        <f t="shared" si="17"/>
        <v/>
      </c>
      <c r="X27" s="127" t="str">
        <f t="shared" si="17"/>
        <v/>
      </c>
      <c r="Y27" s="127" t="str">
        <f t="shared" si="17"/>
        <v/>
      </c>
      <c r="Z27" s="127" t="str">
        <f t="shared" si="17"/>
        <v>▲</v>
      </c>
      <c r="AA27" s="127" t="str">
        <f t="shared" si="17"/>
        <v/>
      </c>
      <c r="AB27" s="127" t="str">
        <f t="shared" si="17"/>
        <v/>
      </c>
      <c r="AC27" s="127" t="str">
        <f t="shared" si="17"/>
        <v/>
      </c>
      <c r="AD27" s="127" t="str">
        <f t="shared" si="17"/>
        <v/>
      </c>
      <c r="AE27" s="127" t="str">
        <f t="shared" si="17"/>
        <v/>
      </c>
      <c r="AF27" s="127" t="str">
        <f t="shared" si="17"/>
        <v/>
      </c>
      <c r="AG27" s="127" t="str">
        <f t="shared" si="17"/>
        <v/>
      </c>
      <c r="AH27" s="127" t="str">
        <f t="shared" si="17"/>
        <v/>
      </c>
      <c r="AI27" s="127" t="str">
        <f t="shared" si="17"/>
        <v/>
      </c>
      <c r="AJ27" s="127" t="str">
        <f t="shared" si="17"/>
        <v/>
      </c>
      <c r="AK27" s="127" t="str">
        <f t="shared" si="17"/>
        <v/>
      </c>
      <c r="AL27" s="127" t="str">
        <f t="shared" si="17"/>
        <v/>
      </c>
      <c r="AM27" s="127" t="str">
        <f t="shared" ref="AM27:BH40" si="19">IF($E27=AM$3,"▲","")</f>
        <v/>
      </c>
      <c r="AN27" s="127" t="str">
        <f t="shared" si="19"/>
        <v/>
      </c>
      <c r="AO27" s="127" t="str">
        <f t="shared" si="19"/>
        <v/>
      </c>
      <c r="AP27" s="127" t="str">
        <f t="shared" si="19"/>
        <v/>
      </c>
      <c r="AQ27" s="127" t="str">
        <f t="shared" si="19"/>
        <v/>
      </c>
      <c r="AR27" s="127" t="str">
        <f t="shared" si="19"/>
        <v/>
      </c>
      <c r="AS27" s="127" t="str">
        <f t="shared" si="19"/>
        <v/>
      </c>
      <c r="AT27" s="127" t="str">
        <f t="shared" si="19"/>
        <v/>
      </c>
      <c r="AU27" s="127" t="str">
        <f t="shared" si="19"/>
        <v/>
      </c>
      <c r="AV27" s="127" t="str">
        <f t="shared" si="19"/>
        <v/>
      </c>
      <c r="AW27" s="127" t="str">
        <f t="shared" si="19"/>
        <v/>
      </c>
      <c r="AX27" s="127" t="str">
        <f t="shared" si="19"/>
        <v/>
      </c>
      <c r="AY27" s="127" t="str">
        <f t="shared" si="19"/>
        <v/>
      </c>
      <c r="AZ27" s="127" t="str">
        <f t="shared" si="19"/>
        <v/>
      </c>
      <c r="BA27" s="127" t="str">
        <f t="shared" si="19"/>
        <v/>
      </c>
      <c r="BB27" s="127" t="str">
        <f t="shared" si="19"/>
        <v/>
      </c>
      <c r="BC27" s="127" t="str">
        <f t="shared" si="19"/>
        <v/>
      </c>
      <c r="BD27" s="127" t="str">
        <f t="shared" si="19"/>
        <v/>
      </c>
      <c r="BE27" s="127" t="str">
        <f t="shared" si="19"/>
        <v/>
      </c>
      <c r="BF27" s="127" t="str">
        <f t="shared" si="19"/>
        <v/>
      </c>
      <c r="BG27" s="127" t="str">
        <f t="shared" si="4"/>
        <v/>
      </c>
      <c r="BH27" s="127" t="str">
        <f t="shared" si="19"/>
        <v/>
      </c>
      <c r="BI27" s="127" t="str">
        <f t="shared" si="4"/>
        <v/>
      </c>
      <c r="BJ27" s="127" t="str">
        <f t="shared" si="4"/>
        <v/>
      </c>
      <c r="BK27" s="127" t="str">
        <f t="shared" si="4"/>
        <v/>
      </c>
      <c r="BL27" s="127" t="str">
        <f t="shared" si="4"/>
        <v/>
      </c>
      <c r="BM27" s="127" t="str">
        <f t="shared" si="4"/>
        <v/>
      </c>
      <c r="BN27" s="127" t="str">
        <f t="shared" si="13"/>
        <v/>
      </c>
      <c r="BO27" s="127" t="str">
        <f t="shared" si="13"/>
        <v/>
      </c>
      <c r="BP27" s="127" t="str">
        <f t="shared" si="13"/>
        <v/>
      </c>
      <c r="BQ27" s="127" t="str">
        <f t="shared" si="13"/>
        <v/>
      </c>
      <c r="BR27" s="127" t="str">
        <f t="shared" si="13"/>
        <v/>
      </c>
      <c r="BS27" s="127" t="str">
        <f t="shared" si="13"/>
        <v/>
      </c>
      <c r="BT27" s="127" t="str">
        <f t="shared" si="13"/>
        <v/>
      </c>
      <c r="BU27" s="127" t="str">
        <f t="shared" si="13"/>
        <v/>
      </c>
      <c r="BV27" s="127" t="str">
        <f t="shared" si="13"/>
        <v/>
      </c>
      <c r="BW27" s="127" t="str">
        <f t="shared" si="13"/>
        <v/>
      </c>
      <c r="BX27" s="127" t="str">
        <f t="shared" si="13"/>
        <v/>
      </c>
      <c r="BY27" s="127" t="str">
        <f t="shared" si="13"/>
        <v/>
      </c>
      <c r="BZ27" s="127" t="str">
        <f t="shared" si="18"/>
        <v/>
      </c>
      <c r="CA27" s="127" t="str">
        <f t="shared" si="18"/>
        <v/>
      </c>
      <c r="CB27" s="127" t="str">
        <f t="shared" si="18"/>
        <v/>
      </c>
      <c r="CC27" s="127" t="str">
        <f t="shared" si="18"/>
        <v/>
      </c>
      <c r="CD27" s="127" t="str">
        <f t="shared" si="18"/>
        <v/>
      </c>
      <c r="CE27" s="127" t="str">
        <f t="shared" si="18"/>
        <v/>
      </c>
    </row>
    <row r="28" spans="1:83" ht="12.6" customHeight="1" x14ac:dyDescent="0.2">
      <c r="A28" s="106">
        <f>SHIPMENTS!A34</f>
        <v>9247</v>
      </c>
      <c r="B28" s="106" t="str">
        <f>SHIPMENTS!B34</f>
        <v>15900- Batangas City |Angela Joy Medes Mandigma</v>
      </c>
      <c r="C28" s="132">
        <f>SHIPMENTS!F34</f>
        <v>0.188</v>
      </c>
      <c r="D28" s="107" t="str">
        <f>IF((SHIPMENTS!I34)=0,"",SHIPMENTS!I34)</f>
        <v/>
      </c>
      <c r="E28" s="176">
        <f>IF((SHIPMENTS!G34)=0,"",SHIPMENTS!G34)</f>
        <v>46323</v>
      </c>
      <c r="F28" s="109">
        <f>VLOOKUP(A28,Items!$A$5:$J$1000,8,0)</f>
        <v>2</v>
      </c>
      <c r="G28" s="98">
        <f>VLOOKUP(A28,load!$A$4:$U$5001,3,0)</f>
        <v>1.8490833333333334</v>
      </c>
      <c r="H28" s="97">
        <f>Manhours!$C$20</f>
        <v>4</v>
      </c>
      <c r="I28" s="98">
        <f t="shared" ref="I28" si="20">+H28*$I$4</f>
        <v>36.4</v>
      </c>
      <c r="J28" s="99">
        <f t="shared" ref="J28" si="21">G28/I28</f>
        <v>5.0798992673992675E-2</v>
      </c>
      <c r="K28" s="99">
        <f t="shared" ref="K28" si="22">+J28*$I$4</f>
        <v>0.46227083333333335</v>
      </c>
      <c r="L28" s="98">
        <v>1</v>
      </c>
      <c r="M28" s="98">
        <f t="shared" ref="M28" si="23">IFERROR(K28-(K28*P28),0)</f>
        <v>0.46227083333333335</v>
      </c>
      <c r="N28" s="181">
        <f t="shared" si="10"/>
        <v>46314.331886953267</v>
      </c>
      <c r="O28" s="181">
        <f t="shared" si="11"/>
        <v>46315.331886953267</v>
      </c>
      <c r="P28" s="112">
        <f>VLOOKUP(A28,SHIPMENTS!$A$7:$AP$76,10,0)</f>
        <v>0</v>
      </c>
      <c r="Q28" s="101"/>
      <c r="R28" s="127" t="str">
        <f t="shared" si="2"/>
        <v/>
      </c>
      <c r="S28" s="127" t="str">
        <f t="shared" si="2"/>
        <v/>
      </c>
      <c r="T28" s="127" t="str">
        <f t="shared" si="2"/>
        <v/>
      </c>
      <c r="U28" s="127" t="str">
        <f t="shared" si="2"/>
        <v/>
      </c>
      <c r="V28" s="127" t="str">
        <f t="shared" si="2"/>
        <v/>
      </c>
      <c r="W28" s="127" t="str">
        <f t="shared" si="2"/>
        <v/>
      </c>
      <c r="X28" s="127" t="str">
        <f t="shared" si="2"/>
        <v/>
      </c>
      <c r="Y28" s="127" t="str">
        <f t="shared" si="2"/>
        <v/>
      </c>
      <c r="Z28" s="127" t="str">
        <f t="shared" si="2"/>
        <v>▲</v>
      </c>
      <c r="AA28" s="127" t="str">
        <f t="shared" si="2"/>
        <v/>
      </c>
      <c r="AB28" s="127" t="str">
        <f t="shared" si="2"/>
        <v/>
      </c>
      <c r="AC28" s="127" t="str">
        <f t="shared" si="2"/>
        <v/>
      </c>
      <c r="AD28" s="127" t="str">
        <f t="shared" si="2"/>
        <v/>
      </c>
      <c r="AE28" s="127" t="str">
        <f t="shared" si="2"/>
        <v/>
      </c>
      <c r="AF28" s="127" t="str">
        <f t="shared" si="2"/>
        <v/>
      </c>
      <c r="AG28" s="127" t="str">
        <f t="shared" si="2"/>
        <v/>
      </c>
      <c r="AH28" s="127" t="str">
        <f t="shared" ref="AH28:AW43" si="24">IF($E28=AH$3,"▲","")</f>
        <v/>
      </c>
      <c r="AI28" s="127" t="str">
        <f t="shared" si="24"/>
        <v/>
      </c>
      <c r="AJ28" s="127" t="str">
        <f t="shared" si="24"/>
        <v/>
      </c>
      <c r="AK28" s="127" t="str">
        <f t="shared" si="24"/>
        <v/>
      </c>
      <c r="AL28" s="127" t="str">
        <f t="shared" si="24"/>
        <v/>
      </c>
      <c r="AM28" s="127" t="str">
        <f t="shared" si="19"/>
        <v/>
      </c>
      <c r="AN28" s="127" t="str">
        <f t="shared" si="19"/>
        <v/>
      </c>
      <c r="AO28" s="127" t="str">
        <f t="shared" si="19"/>
        <v/>
      </c>
      <c r="AP28" s="127" t="str">
        <f t="shared" si="19"/>
        <v/>
      </c>
      <c r="AQ28" s="127" t="str">
        <f t="shared" si="19"/>
        <v/>
      </c>
      <c r="AR28" s="127" t="str">
        <f t="shared" si="19"/>
        <v/>
      </c>
      <c r="AS28" s="127" t="str">
        <f t="shared" si="19"/>
        <v/>
      </c>
      <c r="AT28" s="127" t="str">
        <f t="shared" si="19"/>
        <v/>
      </c>
      <c r="AU28" s="127" t="str">
        <f t="shared" si="19"/>
        <v/>
      </c>
      <c r="AV28" s="127" t="str">
        <f t="shared" si="19"/>
        <v/>
      </c>
      <c r="AW28" s="127" t="str">
        <f t="shared" si="19"/>
        <v/>
      </c>
      <c r="AX28" s="127" t="str">
        <f t="shared" si="19"/>
        <v/>
      </c>
      <c r="AY28" s="127" t="str">
        <f t="shared" si="19"/>
        <v/>
      </c>
      <c r="AZ28" s="127" t="str">
        <f t="shared" si="19"/>
        <v/>
      </c>
      <c r="BA28" s="127" t="str">
        <f t="shared" si="19"/>
        <v/>
      </c>
      <c r="BB28" s="127" t="str">
        <f t="shared" si="19"/>
        <v/>
      </c>
      <c r="BC28" s="127" t="str">
        <f t="shared" si="19"/>
        <v/>
      </c>
      <c r="BD28" s="127" t="str">
        <f t="shared" si="19"/>
        <v/>
      </c>
      <c r="BE28" s="127" t="str">
        <f t="shared" si="19"/>
        <v/>
      </c>
      <c r="BF28" s="127" t="str">
        <f t="shared" si="19"/>
        <v/>
      </c>
      <c r="BG28" s="127" t="str">
        <f t="shared" si="4"/>
        <v/>
      </c>
      <c r="BH28" s="127" t="str">
        <f t="shared" si="4"/>
        <v/>
      </c>
      <c r="BI28" s="127" t="str">
        <f t="shared" si="4"/>
        <v/>
      </c>
      <c r="BJ28" s="127" t="str">
        <f t="shared" si="4"/>
        <v/>
      </c>
      <c r="BK28" s="127" t="str">
        <f t="shared" si="4"/>
        <v/>
      </c>
      <c r="BL28" s="127" t="str">
        <f t="shared" si="4"/>
        <v/>
      </c>
      <c r="BM28" s="127" t="str">
        <f t="shared" si="4"/>
        <v/>
      </c>
      <c r="BN28" s="127" t="str">
        <f t="shared" si="13"/>
        <v/>
      </c>
      <c r="BO28" s="127" t="str">
        <f t="shared" si="13"/>
        <v/>
      </c>
      <c r="BP28" s="127" t="str">
        <f t="shared" si="13"/>
        <v/>
      </c>
      <c r="BQ28" s="127" t="str">
        <f t="shared" si="13"/>
        <v/>
      </c>
      <c r="BR28" s="127" t="str">
        <f t="shared" si="13"/>
        <v/>
      </c>
      <c r="BS28" s="127" t="str">
        <f t="shared" si="13"/>
        <v/>
      </c>
      <c r="BT28" s="127" t="str">
        <f t="shared" si="13"/>
        <v/>
      </c>
      <c r="BU28" s="127" t="str">
        <f t="shared" si="13"/>
        <v/>
      </c>
      <c r="BV28" s="127" t="str">
        <f t="shared" si="13"/>
        <v/>
      </c>
      <c r="BW28" s="127" t="str">
        <f t="shared" si="13"/>
        <v/>
      </c>
      <c r="BX28" s="127" t="str">
        <f t="shared" si="13"/>
        <v/>
      </c>
      <c r="BY28" s="127" t="str">
        <f t="shared" si="13"/>
        <v/>
      </c>
      <c r="BZ28" s="127" t="str">
        <f t="shared" si="18"/>
        <v/>
      </c>
      <c r="CA28" s="127" t="str">
        <f t="shared" si="18"/>
        <v/>
      </c>
      <c r="CB28" s="127" t="str">
        <f t="shared" si="18"/>
        <v/>
      </c>
      <c r="CC28" s="127" t="str">
        <f t="shared" si="18"/>
        <v/>
      </c>
      <c r="CD28" s="127" t="str">
        <f t="shared" si="18"/>
        <v/>
      </c>
      <c r="CE28" s="127" t="str">
        <f t="shared" si="18"/>
        <v/>
      </c>
    </row>
    <row r="29" spans="1:83" ht="12.6" customHeight="1" x14ac:dyDescent="0.2">
      <c r="A29" s="106">
        <f>SHIPMENTS!A35</f>
        <v>9302</v>
      </c>
      <c r="B29" s="106" t="str">
        <f>SHIPMENTS!B35</f>
        <v>15900- Binangonan Rizal |Dr. Jonathan Emmanuel Sandejas</v>
      </c>
      <c r="C29" s="132">
        <f>SHIPMENTS!F35</f>
        <v>0.14499999999999999</v>
      </c>
      <c r="D29" s="107" t="str">
        <f>IF((SHIPMENTS!I35)=0,"",SHIPMENTS!I35)</f>
        <v/>
      </c>
      <c r="E29" s="176">
        <f>IF((SHIPMENTS!G35)=0,"",SHIPMENTS!G35)</f>
        <v>46323</v>
      </c>
      <c r="F29" s="109">
        <f>VLOOKUP(A29,Items!$A$5:$J$1000,8,0)</f>
        <v>2</v>
      </c>
      <c r="G29" s="98">
        <f>VLOOKUP(A29,load!$A$4:$U$5001,3,0)</f>
        <v>1.75475</v>
      </c>
      <c r="H29" s="97">
        <f>Manhours!$C$20</f>
        <v>4</v>
      </c>
      <c r="I29" s="98">
        <f t="shared" ref="I29:I32" si="25">+H29*$I$4</f>
        <v>36.4</v>
      </c>
      <c r="J29" s="99">
        <f t="shared" ref="J29:J32" si="26">G29/I29</f>
        <v>4.8207417582417582E-2</v>
      </c>
      <c r="K29" s="99">
        <v>0.11</v>
      </c>
      <c r="L29" s="98">
        <f t="shared" ref="L29:L32" si="27">IFERROR(J29-(J29*P29),0)</f>
        <v>4.8207417582417582E-2</v>
      </c>
      <c r="M29" s="98">
        <f t="shared" ref="M29:M32" si="28">IFERROR(K29-(K29*P29),0)</f>
        <v>0.11</v>
      </c>
      <c r="N29" s="181">
        <f t="shared" si="10"/>
        <v>46315.331886953267</v>
      </c>
      <c r="O29" s="181">
        <f t="shared" si="11"/>
        <v>46315.380094370848</v>
      </c>
      <c r="P29" s="112">
        <f>VLOOKUP(A29,SHIPMENTS!$A$7:$AP$76,10,0)</f>
        <v>0</v>
      </c>
      <c r="Q29" s="101"/>
      <c r="R29" s="127" t="str">
        <f t="shared" si="2"/>
        <v/>
      </c>
      <c r="S29" s="127" t="str">
        <f t="shared" si="2"/>
        <v/>
      </c>
      <c r="T29" s="127" t="str">
        <f t="shared" si="2"/>
        <v/>
      </c>
      <c r="U29" s="127" t="str">
        <f t="shared" si="2"/>
        <v/>
      </c>
      <c r="V29" s="127" t="str">
        <f t="shared" si="2"/>
        <v/>
      </c>
      <c r="W29" s="127" t="str">
        <f t="shared" si="2"/>
        <v/>
      </c>
      <c r="X29" s="127" t="str">
        <f t="shared" si="2"/>
        <v/>
      </c>
      <c r="Y29" s="127" t="str">
        <f t="shared" si="2"/>
        <v/>
      </c>
      <c r="Z29" s="127" t="str">
        <f t="shared" si="2"/>
        <v>▲</v>
      </c>
      <c r="AA29" s="127" t="str">
        <f t="shared" si="2"/>
        <v/>
      </c>
      <c r="AB29" s="127" t="str">
        <f t="shared" si="2"/>
        <v/>
      </c>
      <c r="AC29" s="127" t="str">
        <f t="shared" si="2"/>
        <v/>
      </c>
      <c r="AD29" s="127" t="str">
        <f t="shared" si="2"/>
        <v/>
      </c>
      <c r="AE29" s="127" t="str">
        <f t="shared" si="2"/>
        <v/>
      </c>
      <c r="AF29" s="127" t="str">
        <f t="shared" si="2"/>
        <v/>
      </c>
      <c r="AG29" s="127" t="str">
        <f t="shared" si="2"/>
        <v/>
      </c>
      <c r="AH29" s="127" t="str">
        <f t="shared" si="24"/>
        <v/>
      </c>
      <c r="AI29" s="127" t="str">
        <f t="shared" si="24"/>
        <v/>
      </c>
      <c r="AJ29" s="127" t="str">
        <f t="shared" si="24"/>
        <v/>
      </c>
      <c r="AK29" s="127" t="str">
        <f t="shared" si="24"/>
        <v/>
      </c>
      <c r="AL29" s="127" t="str">
        <f t="shared" si="24"/>
        <v/>
      </c>
      <c r="AM29" s="127" t="str">
        <f t="shared" si="19"/>
        <v/>
      </c>
      <c r="AN29" s="127" t="str">
        <f t="shared" si="19"/>
        <v/>
      </c>
      <c r="AO29" s="127" t="str">
        <f t="shared" si="19"/>
        <v/>
      </c>
      <c r="AP29" s="127" t="str">
        <f t="shared" si="19"/>
        <v/>
      </c>
      <c r="AQ29" s="127" t="str">
        <f t="shared" si="19"/>
        <v/>
      </c>
      <c r="AR29" s="127" t="str">
        <f t="shared" si="19"/>
        <v/>
      </c>
      <c r="AS29" s="127" t="str">
        <f t="shared" si="19"/>
        <v/>
      </c>
      <c r="AT29" s="127" t="str">
        <f t="shared" si="19"/>
        <v/>
      </c>
      <c r="AU29" s="127" t="str">
        <f t="shared" si="19"/>
        <v/>
      </c>
      <c r="AV29" s="127" t="str">
        <f t="shared" si="19"/>
        <v/>
      </c>
      <c r="AW29" s="127" t="str">
        <f t="shared" si="19"/>
        <v/>
      </c>
      <c r="AX29" s="127" t="str">
        <f t="shared" si="19"/>
        <v/>
      </c>
      <c r="AY29" s="127" t="str">
        <f t="shared" si="19"/>
        <v/>
      </c>
      <c r="AZ29" s="127" t="str">
        <f t="shared" si="19"/>
        <v/>
      </c>
      <c r="BA29" s="127" t="str">
        <f t="shared" si="19"/>
        <v/>
      </c>
      <c r="BB29" s="127" t="str">
        <f t="shared" si="19"/>
        <v/>
      </c>
      <c r="BC29" s="127" t="str">
        <f t="shared" si="19"/>
        <v/>
      </c>
      <c r="BD29" s="127" t="str">
        <f t="shared" si="19"/>
        <v/>
      </c>
      <c r="BE29" s="127" t="str">
        <f t="shared" si="19"/>
        <v/>
      </c>
      <c r="BF29" s="127" t="str">
        <f t="shared" si="19"/>
        <v/>
      </c>
      <c r="BG29" s="127" t="str">
        <f t="shared" si="4"/>
        <v/>
      </c>
      <c r="BH29" s="127" t="str">
        <f t="shared" si="4"/>
        <v/>
      </c>
      <c r="BI29" s="127" t="str">
        <f t="shared" si="4"/>
        <v/>
      </c>
      <c r="BJ29" s="127" t="str">
        <f t="shared" si="4"/>
        <v/>
      </c>
      <c r="BK29" s="127" t="str">
        <f t="shared" si="4"/>
        <v/>
      </c>
      <c r="BL29" s="127" t="str">
        <f t="shared" si="4"/>
        <v/>
      </c>
      <c r="BM29" s="127" t="str">
        <f t="shared" si="4"/>
        <v/>
      </c>
      <c r="BN29" s="127" t="str">
        <f t="shared" si="13"/>
        <v/>
      </c>
      <c r="BO29" s="127" t="str">
        <f t="shared" si="13"/>
        <v/>
      </c>
      <c r="BP29" s="127" t="str">
        <f t="shared" si="13"/>
        <v/>
      </c>
      <c r="BQ29" s="127" t="str">
        <f t="shared" si="13"/>
        <v/>
      </c>
      <c r="BR29" s="127" t="str">
        <f t="shared" si="13"/>
        <v/>
      </c>
      <c r="BS29" s="127" t="str">
        <f t="shared" si="13"/>
        <v/>
      </c>
      <c r="BT29" s="127" t="str">
        <f t="shared" si="13"/>
        <v/>
      </c>
      <c r="BU29" s="127" t="str">
        <f t="shared" si="13"/>
        <v/>
      </c>
      <c r="BV29" s="127" t="str">
        <f t="shared" si="13"/>
        <v/>
      </c>
      <c r="BW29" s="127" t="str">
        <f t="shared" si="13"/>
        <v/>
      </c>
      <c r="BX29" s="127" t="str">
        <f t="shared" si="13"/>
        <v/>
      </c>
      <c r="BY29" s="127" t="str">
        <f t="shared" si="13"/>
        <v/>
      </c>
      <c r="BZ29" s="127" t="str">
        <f t="shared" si="18"/>
        <v/>
      </c>
      <c r="CA29" s="127" t="str">
        <f t="shared" si="18"/>
        <v/>
      </c>
      <c r="CB29" s="127" t="str">
        <f t="shared" si="18"/>
        <v/>
      </c>
      <c r="CC29" s="127" t="str">
        <f t="shared" si="18"/>
        <v/>
      </c>
      <c r="CD29" s="127" t="str">
        <f t="shared" si="18"/>
        <v/>
      </c>
      <c r="CE29" s="127" t="str">
        <f t="shared" si="18"/>
        <v/>
      </c>
    </row>
    <row r="30" spans="1:83" ht="12.6" hidden="1" customHeight="1" x14ac:dyDescent="0.2">
      <c r="A30" s="106">
        <f>SHIPMENTS!A36</f>
        <v>8954</v>
      </c>
      <c r="B30" s="106" t="str">
        <f>SHIPMENTS!B36</f>
        <v>15900- Cainta Rizal | Mary Baquiran</v>
      </c>
      <c r="C30" s="132">
        <f>SHIPMENTS!F36</f>
        <v>6.4999999999999997E-3</v>
      </c>
      <c r="D30" s="107" t="str">
        <f>IF((SHIPMENTS!I36)=0,"",SHIPMENTS!I36)</f>
        <v/>
      </c>
      <c r="E30" s="176">
        <f>IF((SHIPMENTS!G36)=0,"",SHIPMENTS!G36)</f>
        <v>46323</v>
      </c>
      <c r="F30" s="109">
        <f>VLOOKUP(A30,Items!$A$5:$J$1000,8,0)</f>
        <v>0</v>
      </c>
      <c r="G30" s="98">
        <f>VLOOKUP(A30,load!$A$4:$U$5001,3,0)</f>
        <v>0</v>
      </c>
      <c r="H30" s="97">
        <f>Manhours!$C$20</f>
        <v>4</v>
      </c>
      <c r="I30" s="98">
        <f t="shared" si="25"/>
        <v>36.4</v>
      </c>
      <c r="J30" s="99">
        <f t="shared" si="26"/>
        <v>0</v>
      </c>
      <c r="K30" s="99">
        <f t="shared" ref="K30:K32" si="29">+J30*$I$4</f>
        <v>0</v>
      </c>
      <c r="L30" s="98">
        <f t="shared" si="27"/>
        <v>0</v>
      </c>
      <c r="M30" s="98">
        <f t="shared" si="28"/>
        <v>0</v>
      </c>
      <c r="N30" s="181">
        <f t="shared" si="10"/>
        <v>46315.380094370848</v>
      </c>
      <c r="O30" s="181">
        <f t="shared" si="11"/>
        <v>46315.380094370848</v>
      </c>
      <c r="P30" s="112" t="str">
        <f>VLOOKUP(A30,SHIPMENTS!$A$7:$AP$76,10,0)</f>
        <v>n/a</v>
      </c>
      <c r="Q30" s="101"/>
      <c r="R30" s="127" t="str">
        <f t="shared" ref="R30:AG45" si="30">IF($E30=R$3,"▲","")</f>
        <v/>
      </c>
      <c r="S30" s="127" t="str">
        <f t="shared" si="30"/>
        <v/>
      </c>
      <c r="T30" s="127" t="str">
        <f t="shared" si="30"/>
        <v/>
      </c>
      <c r="U30" s="127" t="str">
        <f t="shared" si="30"/>
        <v/>
      </c>
      <c r="V30" s="127" t="str">
        <f t="shared" si="30"/>
        <v/>
      </c>
      <c r="W30" s="127" t="str">
        <f t="shared" si="30"/>
        <v/>
      </c>
      <c r="X30" s="127" t="str">
        <f t="shared" si="30"/>
        <v/>
      </c>
      <c r="Y30" s="127" t="str">
        <f t="shared" si="30"/>
        <v/>
      </c>
      <c r="Z30" s="127" t="str">
        <f t="shared" si="30"/>
        <v>▲</v>
      </c>
      <c r="AA30" s="127" t="str">
        <f t="shared" si="30"/>
        <v/>
      </c>
      <c r="AB30" s="127" t="str">
        <f t="shared" si="30"/>
        <v/>
      </c>
      <c r="AC30" s="127" t="str">
        <f t="shared" si="30"/>
        <v/>
      </c>
      <c r="AD30" s="127" t="str">
        <f t="shared" si="30"/>
        <v/>
      </c>
      <c r="AE30" s="127" t="str">
        <f t="shared" si="30"/>
        <v/>
      </c>
      <c r="AF30" s="127" t="str">
        <f t="shared" si="30"/>
        <v/>
      </c>
      <c r="AG30" s="127" t="str">
        <f t="shared" si="30"/>
        <v/>
      </c>
      <c r="AH30" s="127" t="str">
        <f t="shared" si="24"/>
        <v/>
      </c>
      <c r="AI30" s="127" t="str">
        <f t="shared" si="24"/>
        <v/>
      </c>
      <c r="AJ30" s="127" t="str">
        <f t="shared" si="24"/>
        <v/>
      </c>
      <c r="AK30" s="127" t="str">
        <f t="shared" si="24"/>
        <v/>
      </c>
      <c r="AL30" s="127" t="str">
        <f t="shared" si="24"/>
        <v/>
      </c>
      <c r="AM30" s="127" t="str">
        <f t="shared" si="19"/>
        <v/>
      </c>
      <c r="AN30" s="127" t="str">
        <f t="shared" si="19"/>
        <v/>
      </c>
      <c r="AO30" s="127" t="str">
        <f t="shared" si="19"/>
        <v/>
      </c>
      <c r="AP30" s="127" t="str">
        <f t="shared" si="19"/>
        <v/>
      </c>
      <c r="AQ30" s="127" t="str">
        <f t="shared" si="19"/>
        <v/>
      </c>
      <c r="AR30" s="127" t="str">
        <f t="shared" si="19"/>
        <v/>
      </c>
      <c r="AS30" s="127" t="str">
        <f t="shared" si="19"/>
        <v/>
      </c>
      <c r="AT30" s="127" t="str">
        <f t="shared" si="19"/>
        <v/>
      </c>
      <c r="AU30" s="127" t="str">
        <f t="shared" si="19"/>
        <v/>
      </c>
      <c r="AV30" s="127" t="str">
        <f t="shared" si="19"/>
        <v/>
      </c>
      <c r="AW30" s="127" t="str">
        <f t="shared" si="19"/>
        <v/>
      </c>
      <c r="AX30" s="127" t="str">
        <f t="shared" si="19"/>
        <v/>
      </c>
      <c r="AY30" s="127" t="str">
        <f t="shared" si="19"/>
        <v/>
      </c>
      <c r="AZ30" s="127" t="str">
        <f t="shared" si="19"/>
        <v/>
      </c>
      <c r="BA30" s="127" t="str">
        <f t="shared" si="19"/>
        <v/>
      </c>
      <c r="BB30" s="127" t="str">
        <f t="shared" si="19"/>
        <v/>
      </c>
      <c r="BC30" s="127" t="str">
        <f t="shared" si="19"/>
        <v/>
      </c>
      <c r="BD30" s="127" t="str">
        <f t="shared" si="19"/>
        <v/>
      </c>
      <c r="BE30" s="127" t="str">
        <f t="shared" si="19"/>
        <v/>
      </c>
      <c r="BF30" s="127" t="str">
        <f t="shared" si="19"/>
        <v/>
      </c>
      <c r="BG30" s="127" t="str">
        <f t="shared" si="4"/>
        <v/>
      </c>
      <c r="BH30" s="127" t="str">
        <f t="shared" si="4"/>
        <v/>
      </c>
      <c r="BI30" s="127" t="str">
        <f t="shared" si="4"/>
        <v/>
      </c>
      <c r="BJ30" s="127" t="str">
        <f t="shared" si="4"/>
        <v/>
      </c>
      <c r="BK30" s="127" t="str">
        <f t="shared" si="4"/>
        <v/>
      </c>
      <c r="BL30" s="127" t="str">
        <f t="shared" si="4"/>
        <v/>
      </c>
      <c r="BM30" s="127" t="str">
        <f t="shared" si="4"/>
        <v/>
      </c>
      <c r="BN30" s="127" t="str">
        <f t="shared" ref="BN30:CC46" si="31">IF($E30=BN$3,"▲","")</f>
        <v/>
      </c>
      <c r="BO30" s="127" t="str">
        <f t="shared" si="31"/>
        <v/>
      </c>
      <c r="BP30" s="127" t="str">
        <f t="shared" si="31"/>
        <v/>
      </c>
      <c r="BQ30" s="127" t="str">
        <f t="shared" si="31"/>
        <v/>
      </c>
      <c r="BR30" s="127" t="str">
        <f t="shared" si="31"/>
        <v/>
      </c>
      <c r="BS30" s="127" t="str">
        <f t="shared" si="31"/>
        <v/>
      </c>
      <c r="BT30" s="127" t="str">
        <f t="shared" si="31"/>
        <v/>
      </c>
      <c r="BU30" s="127" t="str">
        <f t="shared" si="31"/>
        <v/>
      </c>
      <c r="BV30" s="127" t="str">
        <f t="shared" si="31"/>
        <v/>
      </c>
      <c r="BW30" s="127" t="str">
        <f t="shared" si="31"/>
        <v/>
      </c>
      <c r="BX30" s="127" t="str">
        <f t="shared" si="31"/>
        <v/>
      </c>
      <c r="BY30" s="127" t="str">
        <f t="shared" si="31"/>
        <v/>
      </c>
      <c r="BZ30" s="127" t="str">
        <f t="shared" si="18"/>
        <v/>
      </c>
      <c r="CA30" s="127" t="str">
        <f t="shared" si="18"/>
        <v/>
      </c>
      <c r="CB30" s="127" t="str">
        <f t="shared" si="18"/>
        <v/>
      </c>
      <c r="CC30" s="127" t="str">
        <f t="shared" si="18"/>
        <v/>
      </c>
      <c r="CD30" s="127" t="str">
        <f t="shared" si="18"/>
        <v/>
      </c>
      <c r="CE30" s="127" t="str">
        <f t="shared" si="18"/>
        <v/>
      </c>
    </row>
    <row r="31" spans="1:83" ht="12.6" hidden="1" customHeight="1" x14ac:dyDescent="0.2">
      <c r="A31" s="106">
        <f>SHIPMENTS!A37</f>
        <v>9064</v>
      </c>
      <c r="B31" s="106" t="str">
        <f>SHIPMENTS!B37</f>
        <v>15900- Quezon City | Hans Jason Tan</v>
      </c>
      <c r="C31" s="132">
        <f>SHIPMENTS!F37</f>
        <v>6.4999999999999997E-3</v>
      </c>
      <c r="D31" s="107" t="str">
        <f>IF((SHIPMENTS!I37)=0,"",SHIPMENTS!I37)</f>
        <v/>
      </c>
      <c r="E31" s="176">
        <f>IF((SHIPMENTS!G37)=0,"",SHIPMENTS!G37)</f>
        <v>46323</v>
      </c>
      <c r="F31" s="109">
        <f>VLOOKUP(A31,Items!$A$5:$J$1000,8,0)</f>
        <v>0</v>
      </c>
      <c r="G31" s="98">
        <f>VLOOKUP(A31,load!$A$4:$U$5001,3,0)</f>
        <v>0</v>
      </c>
      <c r="H31" s="97">
        <f>Manhours!$C$20</f>
        <v>4</v>
      </c>
      <c r="I31" s="98">
        <f t="shared" si="25"/>
        <v>36.4</v>
      </c>
      <c r="J31" s="99">
        <f t="shared" si="26"/>
        <v>0</v>
      </c>
      <c r="K31" s="99">
        <f t="shared" si="29"/>
        <v>0</v>
      </c>
      <c r="L31" s="98">
        <f t="shared" si="27"/>
        <v>0</v>
      </c>
      <c r="M31" s="98">
        <f t="shared" si="28"/>
        <v>0</v>
      </c>
      <c r="N31" s="181">
        <f t="shared" si="10"/>
        <v>46315.380094370848</v>
      </c>
      <c r="O31" s="181">
        <f t="shared" si="11"/>
        <v>46315.380094370848</v>
      </c>
      <c r="P31" s="112" t="str">
        <f>VLOOKUP(A31,SHIPMENTS!$A$7:$AP$76,10,0)</f>
        <v>n/a</v>
      </c>
      <c r="Q31" s="101"/>
      <c r="R31" s="127" t="str">
        <f t="shared" si="30"/>
        <v/>
      </c>
      <c r="S31" s="127" t="str">
        <f t="shared" si="30"/>
        <v/>
      </c>
      <c r="T31" s="127" t="str">
        <f t="shared" si="30"/>
        <v/>
      </c>
      <c r="U31" s="127" t="str">
        <f t="shared" si="30"/>
        <v/>
      </c>
      <c r="V31" s="127" t="str">
        <f t="shared" si="30"/>
        <v/>
      </c>
      <c r="W31" s="127" t="str">
        <f t="shared" si="30"/>
        <v/>
      </c>
      <c r="X31" s="127" t="str">
        <f t="shared" si="30"/>
        <v/>
      </c>
      <c r="Y31" s="127" t="str">
        <f t="shared" si="30"/>
        <v/>
      </c>
      <c r="Z31" s="127" t="str">
        <f t="shared" si="30"/>
        <v>▲</v>
      </c>
      <c r="AA31" s="127" t="str">
        <f t="shared" si="30"/>
        <v/>
      </c>
      <c r="AB31" s="127" t="str">
        <f t="shared" si="30"/>
        <v/>
      </c>
      <c r="AC31" s="127" t="str">
        <f t="shared" si="30"/>
        <v/>
      </c>
      <c r="AD31" s="127" t="str">
        <f t="shared" si="30"/>
        <v/>
      </c>
      <c r="AE31" s="127" t="str">
        <f t="shared" si="30"/>
        <v/>
      </c>
      <c r="AF31" s="127" t="str">
        <f t="shared" si="30"/>
        <v/>
      </c>
      <c r="AG31" s="127" t="str">
        <f t="shared" si="30"/>
        <v/>
      </c>
      <c r="AH31" s="127" t="str">
        <f t="shared" si="24"/>
        <v/>
      </c>
      <c r="AI31" s="127" t="str">
        <f t="shared" si="24"/>
        <v/>
      </c>
      <c r="AJ31" s="127" t="str">
        <f t="shared" si="24"/>
        <v/>
      </c>
      <c r="AK31" s="127" t="str">
        <f t="shared" si="24"/>
        <v/>
      </c>
      <c r="AL31" s="127" t="str">
        <f t="shared" si="24"/>
        <v/>
      </c>
      <c r="AM31" s="127" t="str">
        <f t="shared" si="19"/>
        <v/>
      </c>
      <c r="AN31" s="127" t="str">
        <f t="shared" si="19"/>
        <v/>
      </c>
      <c r="AO31" s="127" t="str">
        <f t="shared" si="19"/>
        <v/>
      </c>
      <c r="AP31" s="127" t="str">
        <f t="shared" si="19"/>
        <v/>
      </c>
      <c r="AQ31" s="127" t="str">
        <f t="shared" si="19"/>
        <v/>
      </c>
      <c r="AR31" s="127" t="str">
        <f t="shared" si="19"/>
        <v/>
      </c>
      <c r="AS31" s="127" t="str">
        <f t="shared" si="19"/>
        <v/>
      </c>
      <c r="AT31" s="127" t="str">
        <f t="shared" si="19"/>
        <v/>
      </c>
      <c r="AU31" s="214">
        <v>1</v>
      </c>
      <c r="AV31" s="127" t="str">
        <f t="shared" si="19"/>
        <v/>
      </c>
      <c r="AW31" s="127" t="str">
        <f t="shared" si="19"/>
        <v/>
      </c>
      <c r="AX31" s="127" t="str">
        <f t="shared" si="19"/>
        <v/>
      </c>
      <c r="AY31" s="127" t="str">
        <f t="shared" si="19"/>
        <v/>
      </c>
      <c r="AZ31" s="127" t="str">
        <f t="shared" si="19"/>
        <v/>
      </c>
      <c r="BA31" s="127" t="str">
        <f t="shared" si="19"/>
        <v/>
      </c>
      <c r="BB31" s="127" t="str">
        <f t="shared" si="19"/>
        <v/>
      </c>
      <c r="BC31" s="127" t="str">
        <f t="shared" si="19"/>
        <v/>
      </c>
      <c r="BD31" s="127" t="str">
        <f t="shared" si="19"/>
        <v/>
      </c>
      <c r="BE31" s="127" t="str">
        <f t="shared" si="19"/>
        <v/>
      </c>
      <c r="BF31" s="127" t="str">
        <f t="shared" si="19"/>
        <v/>
      </c>
      <c r="BG31" s="127" t="str">
        <f t="shared" si="4"/>
        <v/>
      </c>
      <c r="BH31" s="127" t="str">
        <f t="shared" si="4"/>
        <v/>
      </c>
      <c r="BI31" s="127" t="str">
        <f t="shared" si="4"/>
        <v/>
      </c>
      <c r="BJ31" s="127" t="str">
        <f t="shared" si="4"/>
        <v/>
      </c>
      <c r="BK31" s="127" t="str">
        <f t="shared" si="4"/>
        <v/>
      </c>
      <c r="BL31" s="127" t="str">
        <f t="shared" si="4"/>
        <v/>
      </c>
      <c r="BM31" s="127" t="str">
        <f t="shared" si="4"/>
        <v/>
      </c>
      <c r="BN31" s="127" t="str">
        <f t="shared" si="31"/>
        <v/>
      </c>
      <c r="BO31" s="127" t="str">
        <f t="shared" si="31"/>
        <v/>
      </c>
      <c r="BP31" s="127" t="str">
        <f t="shared" si="31"/>
        <v/>
      </c>
      <c r="BQ31" s="127" t="str">
        <f t="shared" si="31"/>
        <v/>
      </c>
      <c r="BR31" s="127" t="str">
        <f t="shared" si="31"/>
        <v/>
      </c>
      <c r="BS31" s="127" t="str">
        <f t="shared" si="31"/>
        <v/>
      </c>
      <c r="BT31" s="127" t="str">
        <f t="shared" si="31"/>
        <v/>
      </c>
      <c r="BU31" s="127" t="str">
        <f t="shared" si="31"/>
        <v/>
      </c>
      <c r="BV31" s="127" t="str">
        <f t="shared" si="31"/>
        <v/>
      </c>
      <c r="BW31" s="127" t="str">
        <f t="shared" si="31"/>
        <v/>
      </c>
      <c r="BX31" s="127" t="str">
        <f t="shared" si="31"/>
        <v/>
      </c>
      <c r="BY31" s="127" t="str">
        <f t="shared" si="31"/>
        <v/>
      </c>
      <c r="BZ31" s="127" t="str">
        <f t="shared" si="18"/>
        <v/>
      </c>
      <c r="CA31" s="127" t="str">
        <f t="shared" si="18"/>
        <v/>
      </c>
      <c r="CB31" s="127" t="str">
        <f t="shared" si="18"/>
        <v/>
      </c>
      <c r="CC31" s="127" t="str">
        <f t="shared" si="18"/>
        <v/>
      </c>
      <c r="CD31" s="127" t="str">
        <f t="shared" si="18"/>
        <v/>
      </c>
      <c r="CE31" s="127" t="str">
        <f t="shared" si="18"/>
        <v/>
      </c>
    </row>
    <row r="32" spans="1:83" ht="12.6" hidden="1" customHeight="1" x14ac:dyDescent="0.2">
      <c r="A32" s="106">
        <f>SHIPMENTS!A38</f>
        <v>9065</v>
      </c>
      <c r="B32" s="106" t="str">
        <f>SHIPMENTS!B38</f>
        <v>15900- Cavite | Kristine Austria</v>
      </c>
      <c r="C32" s="132">
        <f>SHIPMENTS!F38</f>
        <v>0</v>
      </c>
      <c r="D32" s="107" t="str">
        <f>IF((SHIPMENTS!I38)=0,"",SHIPMENTS!I38)</f>
        <v/>
      </c>
      <c r="E32" s="176">
        <f>IF((SHIPMENTS!G38)=0,"",SHIPMENTS!G38)</f>
        <v>46323</v>
      </c>
      <c r="F32" s="109">
        <f>VLOOKUP(A32,Items!$A$5:$J$1000,8,0)</f>
        <v>0</v>
      </c>
      <c r="G32" s="98">
        <f>VLOOKUP(A32,load!$A$4:$U$5001,3,0)</f>
        <v>0</v>
      </c>
      <c r="H32" s="97">
        <f>Manhours!$C$20</f>
        <v>4</v>
      </c>
      <c r="I32" s="98">
        <f t="shared" si="25"/>
        <v>36.4</v>
      </c>
      <c r="J32" s="99">
        <f t="shared" si="26"/>
        <v>0</v>
      </c>
      <c r="K32" s="99">
        <f t="shared" si="29"/>
        <v>0</v>
      </c>
      <c r="L32" s="98">
        <f t="shared" si="27"/>
        <v>0</v>
      </c>
      <c r="M32" s="98">
        <f t="shared" si="28"/>
        <v>0</v>
      </c>
      <c r="N32" s="181">
        <f t="shared" si="10"/>
        <v>46315.380094370848</v>
      </c>
      <c r="O32" s="181">
        <f t="shared" si="11"/>
        <v>46315.380094370848</v>
      </c>
      <c r="P32" s="112" t="str">
        <f>VLOOKUP(A32,SHIPMENTS!$A$7:$AP$76,10,0)</f>
        <v>n/a</v>
      </c>
      <c r="Q32" s="101"/>
      <c r="R32" s="127" t="str">
        <f t="shared" si="30"/>
        <v/>
      </c>
      <c r="S32" s="127" t="str">
        <f t="shared" si="30"/>
        <v/>
      </c>
      <c r="T32" s="127" t="str">
        <f t="shared" si="30"/>
        <v/>
      </c>
      <c r="U32" s="127" t="str">
        <f t="shared" si="30"/>
        <v/>
      </c>
      <c r="V32" s="127" t="str">
        <f t="shared" si="30"/>
        <v/>
      </c>
      <c r="W32" s="127" t="str">
        <f t="shared" si="30"/>
        <v/>
      </c>
      <c r="X32" s="127" t="str">
        <f t="shared" si="30"/>
        <v/>
      </c>
      <c r="Y32" s="127" t="str">
        <f t="shared" si="30"/>
        <v/>
      </c>
      <c r="Z32" s="127" t="str">
        <f t="shared" si="30"/>
        <v>▲</v>
      </c>
      <c r="AA32" s="127" t="str">
        <f t="shared" si="30"/>
        <v/>
      </c>
      <c r="AB32" s="127" t="str">
        <f t="shared" si="30"/>
        <v/>
      </c>
      <c r="AC32" s="127" t="str">
        <f t="shared" si="30"/>
        <v/>
      </c>
      <c r="AD32" s="127" t="str">
        <f t="shared" si="30"/>
        <v/>
      </c>
      <c r="AE32" s="127" t="str">
        <f t="shared" si="30"/>
        <v/>
      </c>
      <c r="AF32" s="127" t="str">
        <f t="shared" si="30"/>
        <v/>
      </c>
      <c r="AG32" s="127" t="str">
        <f t="shared" si="30"/>
        <v/>
      </c>
      <c r="AH32" s="127" t="str">
        <f t="shared" si="24"/>
        <v/>
      </c>
      <c r="AI32" s="127" t="str">
        <f t="shared" si="24"/>
        <v/>
      </c>
      <c r="AJ32" s="127" t="str">
        <f t="shared" si="24"/>
        <v/>
      </c>
      <c r="AK32" s="127" t="str">
        <f t="shared" si="24"/>
        <v/>
      </c>
      <c r="AL32" s="127" t="str">
        <f t="shared" si="24"/>
        <v/>
      </c>
      <c r="AM32" s="127" t="str">
        <f t="shared" si="19"/>
        <v/>
      </c>
      <c r="AN32" s="127" t="str">
        <f t="shared" si="19"/>
        <v/>
      </c>
      <c r="AO32" s="127" t="str">
        <f t="shared" si="19"/>
        <v/>
      </c>
      <c r="AP32" s="127" t="str">
        <f t="shared" si="19"/>
        <v/>
      </c>
      <c r="AQ32" s="127" t="str">
        <f t="shared" si="19"/>
        <v/>
      </c>
      <c r="AR32" s="127" t="str">
        <f t="shared" si="19"/>
        <v/>
      </c>
      <c r="AS32" s="127" t="str">
        <f t="shared" si="19"/>
        <v/>
      </c>
      <c r="AT32" s="127" t="str">
        <f t="shared" si="19"/>
        <v/>
      </c>
      <c r="AU32" s="214">
        <v>1</v>
      </c>
      <c r="AV32" s="127" t="str">
        <f t="shared" si="19"/>
        <v/>
      </c>
      <c r="AW32" s="127" t="str">
        <f t="shared" si="19"/>
        <v/>
      </c>
      <c r="AX32" s="127" t="str">
        <f t="shared" si="19"/>
        <v/>
      </c>
      <c r="AY32" s="127" t="str">
        <f t="shared" si="19"/>
        <v/>
      </c>
      <c r="AZ32" s="127" t="str">
        <f t="shared" si="19"/>
        <v/>
      </c>
      <c r="BA32" s="127" t="str">
        <f t="shared" si="19"/>
        <v/>
      </c>
      <c r="BB32" s="127" t="str">
        <f t="shared" si="19"/>
        <v/>
      </c>
      <c r="BC32" s="127" t="str">
        <f t="shared" si="19"/>
        <v/>
      </c>
      <c r="BD32" s="127" t="str">
        <f t="shared" si="19"/>
        <v/>
      </c>
      <c r="BE32" s="127" t="str">
        <f t="shared" si="19"/>
        <v/>
      </c>
      <c r="BF32" s="127" t="str">
        <f t="shared" si="19"/>
        <v/>
      </c>
      <c r="BG32" s="127" t="str">
        <f t="shared" si="4"/>
        <v/>
      </c>
      <c r="BH32" s="127" t="str">
        <f t="shared" si="4"/>
        <v/>
      </c>
      <c r="BI32" s="127" t="str">
        <f t="shared" si="4"/>
        <v/>
      </c>
      <c r="BJ32" s="127" t="str">
        <f t="shared" si="4"/>
        <v/>
      </c>
      <c r="BK32" s="127" t="str">
        <f t="shared" si="4"/>
        <v/>
      </c>
      <c r="BL32" s="127" t="str">
        <f t="shared" si="4"/>
        <v/>
      </c>
      <c r="BM32" s="127" t="str">
        <f t="shared" si="4"/>
        <v/>
      </c>
      <c r="BN32" s="127" t="str">
        <f t="shared" si="31"/>
        <v/>
      </c>
      <c r="BO32" s="127" t="str">
        <f t="shared" si="31"/>
        <v/>
      </c>
      <c r="BP32" s="127" t="str">
        <f t="shared" si="31"/>
        <v/>
      </c>
      <c r="BQ32" s="127" t="str">
        <f t="shared" si="31"/>
        <v/>
      </c>
      <c r="BR32" s="127" t="str">
        <f t="shared" si="31"/>
        <v/>
      </c>
      <c r="BS32" s="127" t="str">
        <f t="shared" si="31"/>
        <v/>
      </c>
      <c r="BT32" s="127" t="str">
        <f t="shared" si="31"/>
        <v/>
      </c>
      <c r="BU32" s="127" t="str">
        <f t="shared" si="31"/>
        <v/>
      </c>
      <c r="BV32" s="127" t="str">
        <f t="shared" si="31"/>
        <v/>
      </c>
      <c r="BW32" s="127" t="str">
        <f t="shared" si="31"/>
        <v/>
      </c>
      <c r="BX32" s="127" t="str">
        <f t="shared" si="31"/>
        <v/>
      </c>
      <c r="BY32" s="127" t="str">
        <f t="shared" si="31"/>
        <v/>
      </c>
      <c r="BZ32" s="127" t="str">
        <f t="shared" si="18"/>
        <v/>
      </c>
      <c r="CA32" s="127" t="str">
        <f t="shared" si="18"/>
        <v/>
      </c>
      <c r="CB32" s="127" t="str">
        <f t="shared" si="18"/>
        <v/>
      </c>
      <c r="CC32" s="127" t="str">
        <f t="shared" si="18"/>
        <v/>
      </c>
      <c r="CD32" s="127" t="str">
        <f t="shared" si="18"/>
        <v/>
      </c>
      <c r="CE32" s="127" t="str">
        <f t="shared" si="18"/>
        <v/>
      </c>
    </row>
    <row r="33" spans="1:83" ht="12.6" hidden="1" customHeight="1" x14ac:dyDescent="0.2">
      <c r="A33" s="106">
        <f>SHIPMENTS!A39</f>
        <v>9303</v>
      </c>
      <c r="B33" s="106" t="str">
        <f>SHIPMENTS!B39</f>
        <v>15900- Manila Office Stocking</v>
      </c>
      <c r="C33" s="132">
        <f>SHIPMENTS!F39</f>
        <v>0.63700000000000001</v>
      </c>
      <c r="D33" s="107" t="str">
        <f>IF((SHIPMENTS!I39)=0,"",SHIPMENTS!I39)</f>
        <v/>
      </c>
      <c r="E33" s="176">
        <f>IF((SHIPMENTS!G39)=0,"",SHIPMENTS!G39)</f>
        <v>46323</v>
      </c>
      <c r="F33" s="109">
        <f>VLOOKUP(A33,Items!$A$5:$J$1000,8,0)</f>
        <v>0</v>
      </c>
      <c r="G33" s="98">
        <f>VLOOKUP(A33,load!$A$4:$U$5001,3,0)</f>
        <v>0</v>
      </c>
      <c r="H33" s="97">
        <f>Manhours!$C$20</f>
        <v>4</v>
      </c>
      <c r="I33" s="98">
        <f t="shared" ref="I33:I45" si="32">+H33*$I$4</f>
        <v>36.4</v>
      </c>
      <c r="J33" s="99">
        <f t="shared" ref="J33:J45" si="33">G33/I33</f>
        <v>0</v>
      </c>
      <c r="K33" s="99">
        <f t="shared" ref="K33:K45" si="34">+J33*$I$4</f>
        <v>0</v>
      </c>
      <c r="L33" s="98">
        <f t="shared" ref="L33:L45" si="35">IFERROR(J33-(J33*P33),0)</f>
        <v>0</v>
      </c>
      <c r="M33" s="98">
        <f t="shared" ref="M33:M45" si="36">IFERROR(K33-(K33*P33),0)</f>
        <v>0</v>
      </c>
      <c r="N33" s="181">
        <f t="shared" ref="N33:N45" si="37">O32</f>
        <v>46315.380094370848</v>
      </c>
      <c r="O33" s="181">
        <f t="shared" ref="O33:O45" si="38">N33+L33</f>
        <v>46315.380094370848</v>
      </c>
      <c r="P33" s="112" t="str">
        <f>VLOOKUP(A33,SHIPMENTS!$A$7:$AP$76,10,0)</f>
        <v>n/a</v>
      </c>
      <c r="Q33" s="101"/>
      <c r="R33" s="127" t="str">
        <f t="shared" si="30"/>
        <v/>
      </c>
      <c r="S33" s="127" t="str">
        <f t="shared" si="30"/>
        <v/>
      </c>
      <c r="T33" s="127" t="str">
        <f t="shared" si="30"/>
        <v/>
      </c>
      <c r="U33" s="127" t="str">
        <f t="shared" si="30"/>
        <v/>
      </c>
      <c r="V33" s="127" t="str">
        <f t="shared" si="30"/>
        <v/>
      </c>
      <c r="W33" s="127" t="str">
        <f t="shared" si="30"/>
        <v/>
      </c>
      <c r="X33" s="127" t="str">
        <f t="shared" si="30"/>
        <v/>
      </c>
      <c r="Y33" s="127" t="str">
        <f t="shared" si="30"/>
        <v/>
      </c>
      <c r="Z33" s="127" t="str">
        <f t="shared" si="30"/>
        <v>▲</v>
      </c>
      <c r="AA33" s="127" t="str">
        <f t="shared" si="30"/>
        <v/>
      </c>
      <c r="AB33" s="127" t="str">
        <f t="shared" si="30"/>
        <v/>
      </c>
      <c r="AC33" s="127" t="str">
        <f t="shared" si="30"/>
        <v/>
      </c>
      <c r="AD33" s="127" t="str">
        <f t="shared" si="30"/>
        <v/>
      </c>
      <c r="AE33" s="127" t="str">
        <f t="shared" si="30"/>
        <v/>
      </c>
      <c r="AF33" s="127" t="str">
        <f t="shared" si="30"/>
        <v/>
      </c>
      <c r="AG33" s="127" t="str">
        <f t="shared" si="30"/>
        <v/>
      </c>
      <c r="AH33" s="127" t="str">
        <f t="shared" si="24"/>
        <v/>
      </c>
      <c r="AI33" s="127" t="str">
        <f t="shared" si="24"/>
        <v/>
      </c>
      <c r="AJ33" s="127" t="str">
        <f t="shared" si="24"/>
        <v/>
      </c>
      <c r="AK33" s="127" t="str">
        <f t="shared" si="24"/>
        <v/>
      </c>
      <c r="AL33" s="127" t="str">
        <f t="shared" si="24"/>
        <v/>
      </c>
      <c r="AM33" s="127" t="str">
        <f t="shared" si="19"/>
        <v/>
      </c>
      <c r="AN33" s="127" t="str">
        <f t="shared" si="19"/>
        <v/>
      </c>
      <c r="AO33" s="127" t="str">
        <f t="shared" si="19"/>
        <v/>
      </c>
      <c r="AP33" s="127" t="str">
        <f t="shared" si="19"/>
        <v/>
      </c>
      <c r="AQ33" s="127" t="str">
        <f t="shared" si="19"/>
        <v/>
      </c>
      <c r="AR33" s="127" t="str">
        <f t="shared" si="19"/>
        <v/>
      </c>
      <c r="AS33" s="127" t="str">
        <f t="shared" si="19"/>
        <v/>
      </c>
      <c r="AT33" s="127" t="str">
        <f t="shared" si="19"/>
        <v/>
      </c>
      <c r="AU33" s="214">
        <v>1</v>
      </c>
      <c r="AV33" s="127" t="str">
        <f t="shared" si="19"/>
        <v/>
      </c>
      <c r="AW33" s="127" t="str">
        <f t="shared" si="19"/>
        <v/>
      </c>
      <c r="AX33" s="127" t="str">
        <f t="shared" si="19"/>
        <v/>
      </c>
      <c r="AY33" s="127" t="str">
        <f t="shared" si="19"/>
        <v/>
      </c>
      <c r="AZ33" s="127" t="str">
        <f t="shared" si="19"/>
        <v/>
      </c>
      <c r="BA33" s="127" t="str">
        <f t="shared" si="19"/>
        <v/>
      </c>
      <c r="BB33" s="127" t="str">
        <f t="shared" si="19"/>
        <v/>
      </c>
      <c r="BC33" s="127" t="str">
        <f t="shared" si="19"/>
        <v/>
      </c>
      <c r="BD33" s="127" t="str">
        <f t="shared" si="19"/>
        <v/>
      </c>
      <c r="BE33" s="127" t="str">
        <f t="shared" si="19"/>
        <v/>
      </c>
      <c r="BF33" s="127" t="str">
        <f t="shared" si="19"/>
        <v/>
      </c>
      <c r="BG33" s="127" t="str">
        <f t="shared" si="4"/>
        <v/>
      </c>
      <c r="BH33" s="127" t="str">
        <f t="shared" si="4"/>
        <v/>
      </c>
      <c r="BI33" s="127" t="str">
        <f t="shared" si="4"/>
        <v/>
      </c>
      <c r="BJ33" s="127" t="str">
        <f t="shared" si="4"/>
        <v/>
      </c>
      <c r="BK33" s="127" t="str">
        <f t="shared" si="4"/>
        <v/>
      </c>
      <c r="BL33" s="127" t="str">
        <f t="shared" si="4"/>
        <v/>
      </c>
      <c r="BM33" s="127" t="str">
        <f t="shared" si="4"/>
        <v/>
      </c>
      <c r="BN33" s="127" t="str">
        <f t="shared" si="31"/>
        <v/>
      </c>
      <c r="BO33" s="127" t="str">
        <f t="shared" si="31"/>
        <v/>
      </c>
      <c r="BP33" s="127" t="str">
        <f t="shared" si="31"/>
        <v/>
      </c>
      <c r="BQ33" s="127" t="str">
        <f t="shared" si="31"/>
        <v/>
      </c>
      <c r="BR33" s="127" t="str">
        <f t="shared" si="31"/>
        <v/>
      </c>
      <c r="BS33" s="127" t="str">
        <f t="shared" si="31"/>
        <v/>
      </c>
      <c r="BT33" s="127" t="str">
        <f t="shared" si="31"/>
        <v/>
      </c>
      <c r="BU33" s="127" t="str">
        <f t="shared" si="31"/>
        <v/>
      </c>
      <c r="BV33" s="127" t="str">
        <f t="shared" si="31"/>
        <v/>
      </c>
      <c r="BW33" s="127" t="str">
        <f t="shared" si="31"/>
        <v/>
      </c>
      <c r="BX33" s="127" t="str">
        <f t="shared" si="31"/>
        <v/>
      </c>
      <c r="BY33" s="127" t="str">
        <f t="shared" si="31"/>
        <v/>
      </c>
      <c r="BZ33" s="127" t="str">
        <f t="shared" si="18"/>
        <v/>
      </c>
      <c r="CA33" s="127" t="str">
        <f t="shared" si="18"/>
        <v/>
      </c>
      <c r="CB33" s="127" t="str">
        <f t="shared" si="18"/>
        <v/>
      </c>
      <c r="CC33" s="127" t="str">
        <f t="shared" si="18"/>
        <v/>
      </c>
      <c r="CD33" s="127" t="str">
        <f t="shared" si="18"/>
        <v/>
      </c>
      <c r="CE33" s="127" t="str">
        <f t="shared" si="18"/>
        <v/>
      </c>
    </row>
    <row r="34" spans="1:83" ht="12.6" hidden="1" customHeight="1" x14ac:dyDescent="0.2">
      <c r="A34" s="106">
        <f>SHIPMENTS!A40</f>
        <v>9204</v>
      </c>
      <c r="B34" s="106" t="str">
        <f>SHIPMENTS!B40</f>
        <v>2300-HONGKONG</v>
      </c>
      <c r="C34" s="132">
        <f>SHIPMENTS!F40</f>
        <v>3.1</v>
      </c>
      <c r="D34" s="107" t="str">
        <f>IF((SHIPMENTS!I40)=0,"",SHIPMENTS!I40)</f>
        <v/>
      </c>
      <c r="E34" s="176">
        <f>IF((SHIPMENTS!G40)=0,"",SHIPMENTS!G40)</f>
        <v>46324</v>
      </c>
      <c r="F34" s="109">
        <f>VLOOKUP(A34,Items!$A$5:$J$1000,8,0)</f>
        <v>0</v>
      </c>
      <c r="G34" s="98">
        <f>VLOOKUP(A34,load!$A$4:$U$5001,3,0)</f>
        <v>0</v>
      </c>
      <c r="H34" s="97">
        <f>Manhours!$C$20</f>
        <v>4</v>
      </c>
      <c r="I34" s="98">
        <f t="shared" si="32"/>
        <v>36.4</v>
      </c>
      <c r="J34" s="99">
        <f t="shared" si="33"/>
        <v>0</v>
      </c>
      <c r="K34" s="99">
        <f t="shared" si="34"/>
        <v>0</v>
      </c>
      <c r="L34" s="98">
        <f t="shared" si="35"/>
        <v>0</v>
      </c>
      <c r="M34" s="98">
        <f t="shared" si="36"/>
        <v>0</v>
      </c>
      <c r="N34" s="181">
        <f t="shared" si="37"/>
        <v>46315.380094370848</v>
      </c>
      <c r="O34" s="181">
        <f t="shared" si="38"/>
        <v>46315.380094370848</v>
      </c>
      <c r="P34" s="112" t="str">
        <f>VLOOKUP(A34,SHIPMENTS!$A$7:$AP$76,10,0)</f>
        <v>n/a</v>
      </c>
      <c r="Q34" s="101"/>
      <c r="R34" s="127" t="str">
        <f t="shared" si="30"/>
        <v/>
      </c>
      <c r="S34" s="127" t="str">
        <f t="shared" si="30"/>
        <v/>
      </c>
      <c r="T34" s="127" t="str">
        <f t="shared" si="30"/>
        <v/>
      </c>
      <c r="U34" s="127" t="str">
        <f t="shared" si="30"/>
        <v/>
      </c>
      <c r="V34" s="127" t="str">
        <f t="shared" si="30"/>
        <v/>
      </c>
      <c r="W34" s="127" t="str">
        <f t="shared" si="30"/>
        <v/>
      </c>
      <c r="X34" s="127" t="str">
        <f t="shared" si="30"/>
        <v/>
      </c>
      <c r="Y34" s="127" t="str">
        <f t="shared" si="30"/>
        <v/>
      </c>
      <c r="Z34" s="127" t="str">
        <f t="shared" si="30"/>
        <v/>
      </c>
      <c r="AA34" s="127" t="str">
        <f t="shared" si="30"/>
        <v>▲</v>
      </c>
      <c r="AB34" s="127" t="str">
        <f t="shared" si="30"/>
        <v/>
      </c>
      <c r="AC34" s="127" t="str">
        <f t="shared" si="30"/>
        <v/>
      </c>
      <c r="AD34" s="127" t="str">
        <f t="shared" si="30"/>
        <v/>
      </c>
      <c r="AE34" s="127" t="str">
        <f t="shared" si="30"/>
        <v/>
      </c>
      <c r="AF34" s="127" t="str">
        <f t="shared" si="30"/>
        <v/>
      </c>
      <c r="AG34" s="127" t="str">
        <f t="shared" si="30"/>
        <v/>
      </c>
      <c r="AH34" s="127" t="str">
        <f t="shared" si="24"/>
        <v/>
      </c>
      <c r="AI34" s="127" t="str">
        <f t="shared" si="24"/>
        <v/>
      </c>
      <c r="AJ34" s="127" t="str">
        <f t="shared" si="24"/>
        <v/>
      </c>
      <c r="AK34" s="127" t="str">
        <f t="shared" si="24"/>
        <v/>
      </c>
      <c r="AL34" s="127" t="str">
        <f t="shared" si="24"/>
        <v/>
      </c>
      <c r="AM34" s="127" t="str">
        <f t="shared" si="19"/>
        <v/>
      </c>
      <c r="AN34" s="127" t="str">
        <f t="shared" si="19"/>
        <v/>
      </c>
      <c r="AO34" s="127" t="str">
        <f t="shared" si="19"/>
        <v/>
      </c>
      <c r="AP34" s="127" t="str">
        <f t="shared" si="19"/>
        <v/>
      </c>
      <c r="AQ34" s="127" t="str">
        <f t="shared" si="19"/>
        <v/>
      </c>
      <c r="AR34" s="127" t="str">
        <f t="shared" si="19"/>
        <v/>
      </c>
      <c r="AS34" s="127" t="str">
        <f t="shared" si="19"/>
        <v/>
      </c>
      <c r="AT34" s="127" t="str">
        <f t="shared" si="19"/>
        <v/>
      </c>
      <c r="AU34" s="214">
        <v>1</v>
      </c>
      <c r="AV34" s="127" t="str">
        <f t="shared" si="19"/>
        <v/>
      </c>
      <c r="AW34" s="127" t="str">
        <f t="shared" si="19"/>
        <v/>
      </c>
      <c r="AX34" s="127" t="str">
        <f t="shared" si="19"/>
        <v/>
      </c>
      <c r="AY34" s="127" t="str">
        <f t="shared" si="19"/>
        <v/>
      </c>
      <c r="AZ34" s="127" t="str">
        <f t="shared" si="19"/>
        <v/>
      </c>
      <c r="BA34" s="127" t="str">
        <f t="shared" si="19"/>
        <v/>
      </c>
      <c r="BB34" s="127" t="str">
        <f t="shared" si="19"/>
        <v/>
      </c>
      <c r="BC34" s="127" t="str">
        <f t="shared" si="19"/>
        <v/>
      </c>
      <c r="BD34" s="127" t="str">
        <f t="shared" si="19"/>
        <v/>
      </c>
      <c r="BE34" s="127" t="str">
        <f t="shared" si="19"/>
        <v/>
      </c>
      <c r="BF34" s="127" t="str">
        <f t="shared" si="19"/>
        <v/>
      </c>
      <c r="BG34" s="127" t="str">
        <f t="shared" si="19"/>
        <v/>
      </c>
      <c r="BH34" s="127" t="str">
        <f t="shared" si="19"/>
        <v/>
      </c>
      <c r="BI34" s="127" t="str">
        <f t="shared" ref="BG34:BV49" si="39">IF($E34=BI$3,"▲","")</f>
        <v/>
      </c>
      <c r="BJ34" s="127" t="str">
        <f t="shared" si="39"/>
        <v/>
      </c>
      <c r="BK34" s="127" t="str">
        <f t="shared" si="39"/>
        <v/>
      </c>
      <c r="BL34" s="127" t="str">
        <f t="shared" si="39"/>
        <v/>
      </c>
      <c r="BM34" s="127" t="str">
        <f t="shared" si="39"/>
        <v/>
      </c>
      <c r="BN34" s="127" t="str">
        <f t="shared" si="31"/>
        <v/>
      </c>
      <c r="BO34" s="127" t="str">
        <f t="shared" si="31"/>
        <v/>
      </c>
      <c r="BP34" s="127" t="str">
        <f t="shared" si="31"/>
        <v/>
      </c>
      <c r="BQ34" s="127" t="str">
        <f t="shared" si="31"/>
        <v/>
      </c>
      <c r="BR34" s="127" t="str">
        <f t="shared" si="31"/>
        <v/>
      </c>
      <c r="BS34" s="127" t="str">
        <f t="shared" si="31"/>
        <v/>
      </c>
      <c r="BT34" s="127" t="str">
        <f t="shared" si="31"/>
        <v/>
      </c>
      <c r="BU34" s="127" t="str">
        <f t="shared" si="31"/>
        <v/>
      </c>
      <c r="BV34" s="127" t="str">
        <f t="shared" si="31"/>
        <v/>
      </c>
      <c r="BW34" s="127" t="str">
        <f t="shared" si="31"/>
        <v/>
      </c>
      <c r="BX34" s="127" t="str">
        <f t="shared" si="31"/>
        <v/>
      </c>
      <c r="BY34" s="127" t="str">
        <f t="shared" si="31"/>
        <v/>
      </c>
      <c r="BZ34" s="127" t="str">
        <f t="shared" si="18"/>
        <v/>
      </c>
      <c r="CA34" s="127" t="str">
        <f t="shared" si="18"/>
        <v/>
      </c>
      <c r="CB34" s="127" t="str">
        <f t="shared" si="18"/>
        <v/>
      </c>
      <c r="CC34" s="127" t="str">
        <f t="shared" si="18"/>
        <v/>
      </c>
      <c r="CD34" s="127" t="str">
        <f t="shared" si="18"/>
        <v/>
      </c>
      <c r="CE34" s="127" t="str">
        <f t="shared" si="18"/>
        <v/>
      </c>
    </row>
    <row r="35" spans="1:83" ht="12.6" hidden="1" customHeight="1" x14ac:dyDescent="0.2">
      <c r="A35" s="106">
        <f>SHIPMENTS!A41</f>
        <v>9005</v>
      </c>
      <c r="B35" s="106" t="str">
        <f>SHIPMENTS!B41</f>
        <v>28100-AUSTRIA HARVIA</v>
      </c>
      <c r="C35" s="132">
        <f>SHIPMENTS!F41</f>
        <v>44.15</v>
      </c>
      <c r="D35" s="107" t="str">
        <f>IF((SHIPMENTS!I41)=0,"",SHIPMENTS!I41)</f>
        <v>1X20</v>
      </c>
      <c r="E35" s="176">
        <f>IF((SHIPMENTS!G41)=0,"",SHIPMENTS!G41)</f>
        <v>46325</v>
      </c>
      <c r="F35" s="109">
        <f>VLOOKUP(A35,Items!$A$5:$J$1000,8,0)</f>
        <v>0</v>
      </c>
      <c r="G35" s="98">
        <f>VLOOKUP(A35,load!$A$4:$U$5001,3,0)</f>
        <v>0</v>
      </c>
      <c r="H35" s="97">
        <f>Manhours!$C$20</f>
        <v>4</v>
      </c>
      <c r="I35" s="98">
        <f t="shared" si="32"/>
        <v>36.4</v>
      </c>
      <c r="J35" s="99">
        <f t="shared" si="33"/>
        <v>0</v>
      </c>
      <c r="K35" s="99">
        <f t="shared" si="34"/>
        <v>0</v>
      </c>
      <c r="L35" s="98">
        <f t="shared" si="35"/>
        <v>0</v>
      </c>
      <c r="M35" s="98">
        <f t="shared" si="36"/>
        <v>0</v>
      </c>
      <c r="N35" s="181">
        <f t="shared" si="37"/>
        <v>46315.380094370848</v>
      </c>
      <c r="O35" s="181">
        <f t="shared" si="38"/>
        <v>46315.380094370848</v>
      </c>
      <c r="P35" s="112" t="str">
        <f>VLOOKUP(A35,SHIPMENTS!$A$7:$AP$76,10,0)</f>
        <v>n/a</v>
      </c>
      <c r="Q35" s="101"/>
      <c r="R35" s="127" t="str">
        <f t="shared" si="30"/>
        <v/>
      </c>
      <c r="S35" s="127" t="str">
        <f t="shared" si="30"/>
        <v/>
      </c>
      <c r="T35" s="127" t="str">
        <f t="shared" si="30"/>
        <v/>
      </c>
      <c r="U35" s="127" t="str">
        <f t="shared" si="30"/>
        <v/>
      </c>
      <c r="V35" s="127" t="str">
        <f t="shared" si="30"/>
        <v/>
      </c>
      <c r="W35" s="127" t="str">
        <f t="shared" si="30"/>
        <v/>
      </c>
      <c r="X35" s="127" t="str">
        <f t="shared" si="30"/>
        <v/>
      </c>
      <c r="Y35" s="127" t="str">
        <f t="shared" si="30"/>
        <v/>
      </c>
      <c r="Z35" s="127" t="str">
        <f t="shared" si="30"/>
        <v/>
      </c>
      <c r="AA35" s="127" t="str">
        <f t="shared" si="30"/>
        <v/>
      </c>
      <c r="AB35" s="127" t="str">
        <f t="shared" si="30"/>
        <v>▲</v>
      </c>
      <c r="AC35" s="127" t="str">
        <f t="shared" si="30"/>
        <v/>
      </c>
      <c r="AD35" s="127" t="str">
        <f t="shared" si="30"/>
        <v/>
      </c>
      <c r="AE35" s="127" t="str">
        <f t="shared" si="30"/>
        <v/>
      </c>
      <c r="AF35" s="127" t="str">
        <f t="shared" si="30"/>
        <v/>
      </c>
      <c r="AG35" s="127" t="str">
        <f t="shared" si="30"/>
        <v/>
      </c>
      <c r="AH35" s="127" t="str">
        <f t="shared" si="24"/>
        <v/>
      </c>
      <c r="AI35" s="127" t="str">
        <f t="shared" si="24"/>
        <v/>
      </c>
      <c r="AJ35" s="127" t="str">
        <f t="shared" si="24"/>
        <v/>
      </c>
      <c r="AK35" s="127" t="str">
        <f t="shared" si="24"/>
        <v/>
      </c>
      <c r="AL35" s="127" t="str">
        <f t="shared" si="24"/>
        <v/>
      </c>
      <c r="AM35" s="127" t="str">
        <f t="shared" si="19"/>
        <v/>
      </c>
      <c r="AN35" s="127" t="str">
        <f t="shared" si="19"/>
        <v/>
      </c>
      <c r="AO35" s="127" t="str">
        <f t="shared" si="19"/>
        <v/>
      </c>
      <c r="AP35" s="127" t="str">
        <f t="shared" si="19"/>
        <v/>
      </c>
      <c r="AQ35" s="127" t="str">
        <f t="shared" si="19"/>
        <v/>
      </c>
      <c r="AR35" s="127" t="str">
        <f t="shared" si="19"/>
        <v/>
      </c>
      <c r="AS35" s="127" t="str">
        <f t="shared" si="19"/>
        <v/>
      </c>
      <c r="AT35" s="127" t="str">
        <f t="shared" si="19"/>
        <v/>
      </c>
      <c r="AU35" s="214">
        <v>1</v>
      </c>
      <c r="AV35" s="127" t="str">
        <f t="shared" si="19"/>
        <v/>
      </c>
      <c r="AW35" s="127" t="str">
        <f t="shared" si="19"/>
        <v/>
      </c>
      <c r="AX35" s="127" t="str">
        <f t="shared" si="19"/>
        <v/>
      </c>
      <c r="AY35" s="127" t="str">
        <f t="shared" si="19"/>
        <v/>
      </c>
      <c r="AZ35" s="127" t="str">
        <f t="shared" si="19"/>
        <v/>
      </c>
      <c r="BA35" s="127" t="str">
        <f t="shared" si="19"/>
        <v/>
      </c>
      <c r="BB35" s="127" t="str">
        <f t="shared" si="19"/>
        <v/>
      </c>
      <c r="BC35" s="127" t="str">
        <f t="shared" si="19"/>
        <v/>
      </c>
      <c r="BD35" s="127" t="str">
        <f t="shared" si="19"/>
        <v/>
      </c>
      <c r="BE35" s="127" t="str">
        <f t="shared" si="19"/>
        <v/>
      </c>
      <c r="BF35" s="127" t="str">
        <f t="shared" si="19"/>
        <v/>
      </c>
      <c r="BG35" s="127" t="str">
        <f t="shared" si="39"/>
        <v/>
      </c>
      <c r="BH35" s="127" t="str">
        <f t="shared" si="39"/>
        <v/>
      </c>
      <c r="BI35" s="127" t="str">
        <f t="shared" si="39"/>
        <v/>
      </c>
      <c r="BJ35" s="127" t="str">
        <f t="shared" si="39"/>
        <v/>
      </c>
      <c r="BK35" s="127" t="str">
        <f t="shared" si="39"/>
        <v/>
      </c>
      <c r="BL35" s="127" t="str">
        <f t="shared" si="39"/>
        <v/>
      </c>
      <c r="BM35" s="127" t="str">
        <f t="shared" si="39"/>
        <v/>
      </c>
      <c r="BN35" s="127" t="str">
        <f t="shared" si="31"/>
        <v/>
      </c>
      <c r="BO35" s="127" t="str">
        <f t="shared" si="31"/>
        <v/>
      </c>
      <c r="BP35" s="127" t="str">
        <f t="shared" si="31"/>
        <v/>
      </c>
      <c r="BQ35" s="127" t="str">
        <f t="shared" si="31"/>
        <v/>
      </c>
      <c r="BR35" s="127" t="str">
        <f t="shared" si="31"/>
        <v/>
      </c>
      <c r="BS35" s="127" t="str">
        <f t="shared" si="31"/>
        <v/>
      </c>
      <c r="BT35" s="127" t="str">
        <f t="shared" si="31"/>
        <v/>
      </c>
      <c r="BU35" s="127" t="str">
        <f t="shared" si="31"/>
        <v/>
      </c>
      <c r="BV35" s="127" t="str">
        <f t="shared" si="31"/>
        <v/>
      </c>
      <c r="BW35" s="127" t="str">
        <f t="shared" si="31"/>
        <v/>
      </c>
      <c r="BX35" s="127" t="str">
        <f t="shared" si="31"/>
        <v/>
      </c>
      <c r="BY35" s="127" t="str">
        <f t="shared" si="31"/>
        <v/>
      </c>
      <c r="BZ35" s="127" t="str">
        <f t="shared" si="18"/>
        <v/>
      </c>
      <c r="CA35" s="127" t="str">
        <f t="shared" si="18"/>
        <v/>
      </c>
      <c r="CB35" s="127" t="str">
        <f t="shared" si="18"/>
        <v/>
      </c>
      <c r="CC35" s="127" t="str">
        <f t="shared" si="18"/>
        <v/>
      </c>
      <c r="CD35" s="127" t="str">
        <f t="shared" si="18"/>
        <v/>
      </c>
      <c r="CE35" s="127" t="str">
        <f t="shared" si="18"/>
        <v/>
      </c>
    </row>
    <row r="36" spans="1:83" ht="12.6" hidden="1" customHeight="1" x14ac:dyDescent="0.2">
      <c r="A36" s="106">
        <f>SHIPMENTS!A42</f>
        <v>8952</v>
      </c>
      <c r="B36" s="106" t="str">
        <f>SHIPMENTS!B42</f>
        <v>41300-CANADA SAUNAFIN</v>
      </c>
      <c r="C36" s="132">
        <f>SHIPMENTS!F42</f>
        <v>70.45</v>
      </c>
      <c r="D36" s="107" t="str">
        <f>IF((SHIPMENTS!I42)=0,"",SHIPMENTS!I42)</f>
        <v>1x40HC</v>
      </c>
      <c r="E36" s="176">
        <f>IF((SHIPMENTS!G42)=0,"",SHIPMENTS!G42)</f>
        <v>46332</v>
      </c>
      <c r="F36" s="109">
        <f>VLOOKUP(A36,Items!$A$5:$J$1000,8,0)</f>
        <v>0</v>
      </c>
      <c r="G36" s="98">
        <f>VLOOKUP(A36,load!$A$4:$U$5001,3,0)</f>
        <v>0</v>
      </c>
      <c r="H36" s="97">
        <f>Manhours!$C$20</f>
        <v>4</v>
      </c>
      <c r="I36" s="98">
        <f t="shared" si="32"/>
        <v>36.4</v>
      </c>
      <c r="J36" s="99">
        <f t="shared" si="33"/>
        <v>0</v>
      </c>
      <c r="K36" s="99">
        <f t="shared" si="34"/>
        <v>0</v>
      </c>
      <c r="L36" s="98">
        <f t="shared" si="35"/>
        <v>0</v>
      </c>
      <c r="M36" s="98">
        <f t="shared" si="36"/>
        <v>0</v>
      </c>
      <c r="N36" s="181">
        <f t="shared" si="37"/>
        <v>46315.380094370848</v>
      </c>
      <c r="O36" s="181">
        <f t="shared" si="38"/>
        <v>46315.380094370848</v>
      </c>
      <c r="P36" s="112" t="str">
        <f>VLOOKUP(A36,SHIPMENTS!$A$7:$AP$76,10,0)</f>
        <v>n/a</v>
      </c>
      <c r="Q36" s="101"/>
      <c r="R36" s="127" t="str">
        <f t="shared" si="30"/>
        <v/>
      </c>
      <c r="S36" s="127" t="str">
        <f t="shared" si="30"/>
        <v/>
      </c>
      <c r="T36" s="127" t="str">
        <f t="shared" si="30"/>
        <v/>
      </c>
      <c r="U36" s="127" t="str">
        <f t="shared" si="30"/>
        <v/>
      </c>
      <c r="V36" s="127" t="str">
        <f t="shared" si="30"/>
        <v/>
      </c>
      <c r="W36" s="127" t="str">
        <f t="shared" si="30"/>
        <v/>
      </c>
      <c r="X36" s="127" t="str">
        <f t="shared" si="30"/>
        <v/>
      </c>
      <c r="Y36" s="127" t="str">
        <f t="shared" si="30"/>
        <v/>
      </c>
      <c r="Z36" s="127" t="str">
        <f t="shared" si="30"/>
        <v/>
      </c>
      <c r="AA36" s="127" t="str">
        <f t="shared" si="30"/>
        <v/>
      </c>
      <c r="AB36" s="127" t="str">
        <f t="shared" si="30"/>
        <v/>
      </c>
      <c r="AC36" s="127" t="str">
        <f t="shared" si="30"/>
        <v/>
      </c>
      <c r="AD36" s="127" t="str">
        <f t="shared" si="30"/>
        <v/>
      </c>
      <c r="AE36" s="127" t="str">
        <f t="shared" si="30"/>
        <v/>
      </c>
      <c r="AF36" s="127" t="str">
        <f t="shared" si="30"/>
        <v/>
      </c>
      <c r="AG36" s="127" t="str">
        <f t="shared" si="30"/>
        <v/>
      </c>
      <c r="AH36" s="127" t="str">
        <f t="shared" si="24"/>
        <v>▲</v>
      </c>
      <c r="AI36" s="127" t="str">
        <f t="shared" si="24"/>
        <v/>
      </c>
      <c r="AJ36" s="127" t="str">
        <f t="shared" si="24"/>
        <v/>
      </c>
      <c r="AK36" s="127" t="str">
        <f t="shared" si="24"/>
        <v/>
      </c>
      <c r="AL36" s="127" t="str">
        <f t="shared" si="24"/>
        <v/>
      </c>
      <c r="AM36" s="127" t="str">
        <f t="shared" si="19"/>
        <v/>
      </c>
      <c r="AN36" s="127" t="str">
        <f t="shared" si="19"/>
        <v/>
      </c>
      <c r="AO36" s="127" t="str">
        <f t="shared" si="19"/>
        <v/>
      </c>
      <c r="AP36" s="127" t="str">
        <f t="shared" si="19"/>
        <v/>
      </c>
      <c r="AQ36" s="127" t="str">
        <f t="shared" si="19"/>
        <v/>
      </c>
      <c r="AR36" s="127" t="str">
        <f t="shared" si="19"/>
        <v/>
      </c>
      <c r="AS36" s="127" t="str">
        <f t="shared" si="19"/>
        <v/>
      </c>
      <c r="AT36" s="127" t="str">
        <f t="shared" si="19"/>
        <v/>
      </c>
      <c r="AU36" s="214">
        <v>1</v>
      </c>
      <c r="AV36" s="127" t="str">
        <f t="shared" si="19"/>
        <v/>
      </c>
      <c r="AW36" s="127" t="str">
        <f t="shared" si="19"/>
        <v/>
      </c>
      <c r="AX36" s="127" t="str">
        <f t="shared" si="19"/>
        <v/>
      </c>
      <c r="AY36" s="127" t="str">
        <f t="shared" si="19"/>
        <v/>
      </c>
      <c r="AZ36" s="127" t="str">
        <f t="shared" si="19"/>
        <v/>
      </c>
      <c r="BA36" s="127" t="str">
        <f t="shared" si="19"/>
        <v/>
      </c>
      <c r="BB36" s="127" t="str">
        <f t="shared" si="19"/>
        <v/>
      </c>
      <c r="BC36" s="127" t="str">
        <f t="shared" si="19"/>
        <v/>
      </c>
      <c r="BD36" s="127" t="str">
        <f t="shared" si="19"/>
        <v/>
      </c>
      <c r="BE36" s="127" t="str">
        <f t="shared" si="19"/>
        <v/>
      </c>
      <c r="BF36" s="127" t="str">
        <f t="shared" si="19"/>
        <v/>
      </c>
      <c r="BG36" s="127" t="str">
        <f t="shared" si="39"/>
        <v/>
      </c>
      <c r="BH36" s="127" t="str">
        <f t="shared" si="39"/>
        <v/>
      </c>
      <c r="BI36" s="127" t="str">
        <f t="shared" si="39"/>
        <v/>
      </c>
      <c r="BJ36" s="127" t="str">
        <f t="shared" si="39"/>
        <v/>
      </c>
      <c r="BK36" s="127" t="str">
        <f t="shared" si="39"/>
        <v/>
      </c>
      <c r="BL36" s="127" t="str">
        <f t="shared" si="39"/>
        <v/>
      </c>
      <c r="BM36" s="127" t="str">
        <f t="shared" si="39"/>
        <v/>
      </c>
      <c r="BN36" s="127" t="str">
        <f t="shared" si="31"/>
        <v/>
      </c>
      <c r="BO36" s="127" t="str">
        <f t="shared" si="31"/>
        <v/>
      </c>
      <c r="BP36" s="127" t="str">
        <f t="shared" si="31"/>
        <v/>
      </c>
      <c r="BQ36" s="127" t="str">
        <f t="shared" si="31"/>
        <v/>
      </c>
      <c r="BR36" s="127" t="str">
        <f t="shared" si="31"/>
        <v/>
      </c>
      <c r="BS36" s="127" t="str">
        <f t="shared" si="31"/>
        <v/>
      </c>
      <c r="BT36" s="127" t="str">
        <f t="shared" si="31"/>
        <v/>
      </c>
      <c r="BU36" s="127" t="str">
        <f t="shared" si="31"/>
        <v/>
      </c>
      <c r="BV36" s="127" t="str">
        <f t="shared" si="31"/>
        <v/>
      </c>
      <c r="BW36" s="127" t="str">
        <f t="shared" si="31"/>
        <v/>
      </c>
      <c r="BX36" s="127" t="str">
        <f t="shared" si="31"/>
        <v/>
      </c>
      <c r="BY36" s="127" t="str">
        <f t="shared" si="31"/>
        <v/>
      </c>
      <c r="BZ36" s="127" t="str">
        <f t="shared" si="18"/>
        <v/>
      </c>
      <c r="CA36" s="127" t="str">
        <f t="shared" si="18"/>
        <v/>
      </c>
      <c r="CB36" s="127" t="str">
        <f t="shared" si="18"/>
        <v/>
      </c>
      <c r="CC36" s="127" t="str">
        <f t="shared" si="18"/>
        <v/>
      </c>
      <c r="CD36" s="127" t="str">
        <f t="shared" si="18"/>
        <v/>
      </c>
      <c r="CE36" s="127" t="str">
        <f t="shared" si="18"/>
        <v/>
      </c>
    </row>
    <row r="37" spans="1:83" ht="12.6" hidden="1" customHeight="1" x14ac:dyDescent="0.2">
      <c r="A37" s="106">
        <f>SHIPMENTS!A43</f>
        <v>9158</v>
      </c>
      <c r="B37" s="106" t="str">
        <f>SHIPMENTS!B43</f>
        <v>43300-THAILAND</v>
      </c>
      <c r="C37" s="132">
        <f>SHIPMENTS!F43</f>
        <v>0.10299999999999999</v>
      </c>
      <c r="D37" s="107" t="str">
        <f>IF((SHIPMENTS!I43)=0,"",SHIPMENTS!I43)</f>
        <v>LCL</v>
      </c>
      <c r="E37" s="176">
        <f>IF((SHIPMENTS!G43)=0,"",SHIPMENTS!G43)</f>
        <v>46332</v>
      </c>
      <c r="F37" s="109">
        <f>VLOOKUP(A37,Items!$A$5:$J$1000,8,0)</f>
        <v>0</v>
      </c>
      <c r="G37" s="98">
        <f>VLOOKUP(A37,load!$A$4:$U$5001,3,0)</f>
        <v>0</v>
      </c>
      <c r="H37" s="97">
        <f>Manhours!$C$20</f>
        <v>4</v>
      </c>
      <c r="I37" s="98">
        <f t="shared" si="32"/>
        <v>36.4</v>
      </c>
      <c r="J37" s="99">
        <f t="shared" si="33"/>
        <v>0</v>
      </c>
      <c r="K37" s="99">
        <f t="shared" si="34"/>
        <v>0</v>
      </c>
      <c r="L37" s="98">
        <f t="shared" si="35"/>
        <v>0</v>
      </c>
      <c r="M37" s="98">
        <f t="shared" si="36"/>
        <v>0</v>
      </c>
      <c r="N37" s="181">
        <f t="shared" si="37"/>
        <v>46315.380094370848</v>
      </c>
      <c r="O37" s="181">
        <f t="shared" si="38"/>
        <v>46315.380094370848</v>
      </c>
      <c r="P37" s="112" t="str">
        <f>VLOOKUP(A37,SHIPMENTS!$A$7:$AP$76,10,0)</f>
        <v>n/a</v>
      </c>
      <c r="Q37" s="101"/>
      <c r="R37" s="127" t="str">
        <f t="shared" si="30"/>
        <v/>
      </c>
      <c r="S37" s="127" t="str">
        <f t="shared" si="30"/>
        <v/>
      </c>
      <c r="T37" s="127" t="str">
        <f t="shared" si="30"/>
        <v/>
      </c>
      <c r="U37" s="127" t="str">
        <f t="shared" si="30"/>
        <v/>
      </c>
      <c r="V37" s="127" t="str">
        <f t="shared" si="30"/>
        <v/>
      </c>
      <c r="W37" s="127" t="str">
        <f t="shared" si="30"/>
        <v/>
      </c>
      <c r="X37" s="127" t="str">
        <f t="shared" si="30"/>
        <v/>
      </c>
      <c r="Y37" s="127" t="str">
        <f t="shared" si="30"/>
        <v/>
      </c>
      <c r="Z37" s="127" t="str">
        <f t="shared" si="30"/>
        <v/>
      </c>
      <c r="AA37" s="127" t="str">
        <f t="shared" si="30"/>
        <v/>
      </c>
      <c r="AB37" s="127" t="str">
        <f t="shared" si="30"/>
        <v/>
      </c>
      <c r="AC37" s="127" t="str">
        <f t="shared" si="30"/>
        <v/>
      </c>
      <c r="AD37" s="127" t="str">
        <f t="shared" si="30"/>
        <v/>
      </c>
      <c r="AE37" s="127" t="str">
        <f t="shared" si="30"/>
        <v/>
      </c>
      <c r="AF37" s="127" t="str">
        <f t="shared" si="30"/>
        <v/>
      </c>
      <c r="AG37" s="127" t="str">
        <f t="shared" si="30"/>
        <v/>
      </c>
      <c r="AH37" s="127" t="str">
        <f t="shared" si="24"/>
        <v>▲</v>
      </c>
      <c r="AI37" s="127" t="str">
        <f t="shared" si="24"/>
        <v/>
      </c>
      <c r="AJ37" s="127" t="str">
        <f t="shared" si="24"/>
        <v/>
      </c>
      <c r="AK37" s="127" t="str">
        <f t="shared" si="24"/>
        <v/>
      </c>
      <c r="AL37" s="127" t="str">
        <f t="shared" si="24"/>
        <v/>
      </c>
      <c r="AM37" s="127" t="str">
        <f t="shared" si="19"/>
        <v/>
      </c>
      <c r="AN37" s="127" t="str">
        <f t="shared" si="19"/>
        <v/>
      </c>
      <c r="AO37" s="127" t="str">
        <f t="shared" si="19"/>
        <v/>
      </c>
      <c r="AP37" s="127" t="str">
        <f t="shared" si="19"/>
        <v/>
      </c>
      <c r="AQ37" s="127" t="str">
        <f t="shared" si="19"/>
        <v/>
      </c>
      <c r="AR37" s="127" t="str">
        <f t="shared" si="19"/>
        <v/>
      </c>
      <c r="AS37" s="127" t="str">
        <f t="shared" si="19"/>
        <v/>
      </c>
      <c r="AT37" s="127" t="str">
        <f t="shared" si="19"/>
        <v/>
      </c>
      <c r="AU37" s="214">
        <v>1</v>
      </c>
      <c r="AV37" s="127" t="str">
        <f t="shared" si="19"/>
        <v/>
      </c>
      <c r="AW37" s="127" t="str">
        <f t="shared" si="19"/>
        <v/>
      </c>
      <c r="AX37" s="127" t="str">
        <f t="shared" si="19"/>
        <v/>
      </c>
      <c r="AY37" s="127" t="str">
        <f t="shared" si="19"/>
        <v/>
      </c>
      <c r="AZ37" s="127" t="str">
        <f t="shared" si="19"/>
        <v/>
      </c>
      <c r="BA37" s="127" t="str">
        <f t="shared" si="19"/>
        <v/>
      </c>
      <c r="BB37" s="127" t="str">
        <f t="shared" si="19"/>
        <v/>
      </c>
      <c r="BC37" s="127" t="str">
        <f t="shared" si="19"/>
        <v/>
      </c>
      <c r="BD37" s="127" t="str">
        <f t="shared" si="19"/>
        <v/>
      </c>
      <c r="BE37" s="127" t="str">
        <f t="shared" si="19"/>
        <v/>
      </c>
      <c r="BF37" s="127" t="str">
        <f t="shared" si="19"/>
        <v/>
      </c>
      <c r="BG37" s="127" t="str">
        <f t="shared" si="39"/>
        <v/>
      </c>
      <c r="BH37" s="127" t="str">
        <f t="shared" si="39"/>
        <v/>
      </c>
      <c r="BI37" s="127" t="str">
        <f t="shared" si="39"/>
        <v/>
      </c>
      <c r="BJ37" s="127" t="str">
        <f t="shared" si="39"/>
        <v/>
      </c>
      <c r="BK37" s="127" t="str">
        <f t="shared" si="39"/>
        <v/>
      </c>
      <c r="BL37" s="127" t="str">
        <f t="shared" si="39"/>
        <v/>
      </c>
      <c r="BM37" s="127" t="str">
        <f t="shared" si="39"/>
        <v/>
      </c>
      <c r="BN37" s="127" t="str">
        <f t="shared" si="31"/>
        <v/>
      </c>
      <c r="BO37" s="127" t="str">
        <f t="shared" si="31"/>
        <v/>
      </c>
      <c r="BP37" s="127" t="str">
        <f t="shared" si="31"/>
        <v/>
      </c>
      <c r="BQ37" s="127" t="str">
        <f t="shared" si="31"/>
        <v/>
      </c>
      <c r="BR37" s="127" t="str">
        <f t="shared" si="31"/>
        <v/>
      </c>
      <c r="BS37" s="127" t="str">
        <f t="shared" si="31"/>
        <v/>
      </c>
      <c r="BT37" s="127" t="str">
        <f t="shared" si="31"/>
        <v/>
      </c>
      <c r="BU37" s="127" t="str">
        <f t="shared" si="31"/>
        <v/>
      </c>
      <c r="BV37" s="127" t="str">
        <f t="shared" si="31"/>
        <v/>
      </c>
      <c r="BW37" s="127" t="str">
        <f t="shared" si="31"/>
        <v/>
      </c>
      <c r="BX37" s="127" t="str">
        <f t="shared" si="31"/>
        <v/>
      </c>
      <c r="BY37" s="127" t="str">
        <f t="shared" si="31"/>
        <v/>
      </c>
      <c r="BZ37" s="127" t="str">
        <f t="shared" si="18"/>
        <v/>
      </c>
      <c r="CA37" s="127" t="str">
        <f t="shared" si="18"/>
        <v/>
      </c>
      <c r="CB37" s="127" t="str">
        <f t="shared" si="18"/>
        <v/>
      </c>
      <c r="CC37" s="127" t="str">
        <f t="shared" si="18"/>
        <v/>
      </c>
      <c r="CD37" s="127" t="str">
        <f t="shared" si="18"/>
        <v/>
      </c>
      <c r="CE37" s="127" t="str">
        <f t="shared" si="18"/>
        <v/>
      </c>
    </row>
    <row r="38" spans="1:83" ht="12.6" hidden="1" customHeight="1" x14ac:dyDescent="0.2">
      <c r="A38" s="106">
        <f>SHIPMENTS!A44</f>
        <v>8814</v>
      </c>
      <c r="B38" s="106" t="str">
        <f>SHIPMENTS!B44</f>
        <v>27200-UAE</v>
      </c>
      <c r="C38" s="132">
        <f>SHIPMENTS!F44</f>
        <v>0.06</v>
      </c>
      <c r="D38" s="107" t="str">
        <f>IF((SHIPMENTS!I44)=0,"",SHIPMENTS!I44)</f>
        <v>LCL</v>
      </c>
      <c r="E38" s="176">
        <f>IF((SHIPMENTS!G44)=0,"",SHIPMENTS!G44)</f>
        <v>46332</v>
      </c>
      <c r="F38" s="109">
        <f>VLOOKUP(A38,Items!$A$5:$J$1000,8,0)</f>
        <v>0</v>
      </c>
      <c r="G38" s="98">
        <f>VLOOKUP(A38,load!$A$4:$U$5001,3,0)</f>
        <v>0</v>
      </c>
      <c r="H38" s="97">
        <f>Manhours!$C$20</f>
        <v>4</v>
      </c>
      <c r="I38" s="98">
        <f t="shared" si="32"/>
        <v>36.4</v>
      </c>
      <c r="J38" s="99">
        <f t="shared" si="33"/>
        <v>0</v>
      </c>
      <c r="K38" s="99">
        <f t="shared" si="34"/>
        <v>0</v>
      </c>
      <c r="L38" s="98">
        <f t="shared" si="35"/>
        <v>0</v>
      </c>
      <c r="M38" s="98">
        <f t="shared" si="36"/>
        <v>0</v>
      </c>
      <c r="N38" s="181">
        <f t="shared" si="37"/>
        <v>46315.380094370848</v>
      </c>
      <c r="O38" s="181">
        <f t="shared" si="38"/>
        <v>46315.380094370848</v>
      </c>
      <c r="P38" s="112" t="str">
        <f>VLOOKUP(A38,SHIPMENTS!$A$7:$AP$76,10,0)</f>
        <v>n/a</v>
      </c>
      <c r="Q38" s="101"/>
      <c r="R38" s="127" t="str">
        <f t="shared" si="30"/>
        <v/>
      </c>
      <c r="S38" s="127" t="str">
        <f t="shared" si="30"/>
        <v/>
      </c>
      <c r="T38" s="127" t="str">
        <f t="shared" si="30"/>
        <v/>
      </c>
      <c r="U38" s="127" t="str">
        <f t="shared" si="30"/>
        <v/>
      </c>
      <c r="V38" s="127" t="str">
        <f t="shared" si="30"/>
        <v/>
      </c>
      <c r="W38" s="127" t="str">
        <f t="shared" si="30"/>
        <v/>
      </c>
      <c r="X38" s="127" t="str">
        <f t="shared" si="30"/>
        <v/>
      </c>
      <c r="Y38" s="127" t="str">
        <f t="shared" si="30"/>
        <v/>
      </c>
      <c r="Z38" s="127" t="str">
        <f t="shared" si="30"/>
        <v/>
      </c>
      <c r="AA38" s="127" t="str">
        <f t="shared" si="30"/>
        <v/>
      </c>
      <c r="AB38" s="127" t="str">
        <f t="shared" si="30"/>
        <v/>
      </c>
      <c r="AC38" s="127" t="str">
        <f t="shared" si="30"/>
        <v/>
      </c>
      <c r="AD38" s="127" t="str">
        <f t="shared" si="30"/>
        <v/>
      </c>
      <c r="AE38" s="127" t="str">
        <f t="shared" si="30"/>
        <v/>
      </c>
      <c r="AF38" s="127" t="str">
        <f t="shared" si="30"/>
        <v/>
      </c>
      <c r="AG38" s="127" t="str">
        <f t="shared" si="30"/>
        <v/>
      </c>
      <c r="AH38" s="127" t="str">
        <f t="shared" si="24"/>
        <v>▲</v>
      </c>
      <c r="AI38" s="127" t="str">
        <f t="shared" si="24"/>
        <v/>
      </c>
      <c r="AJ38" s="127" t="str">
        <f t="shared" si="24"/>
        <v/>
      </c>
      <c r="AK38" s="127" t="str">
        <f t="shared" si="24"/>
        <v/>
      </c>
      <c r="AL38" s="127" t="str">
        <f t="shared" si="24"/>
        <v/>
      </c>
      <c r="AM38" s="127" t="str">
        <f t="shared" si="19"/>
        <v/>
      </c>
      <c r="AN38" s="127" t="str">
        <f t="shared" si="19"/>
        <v/>
      </c>
      <c r="AO38" s="127" t="str">
        <f t="shared" si="19"/>
        <v/>
      </c>
      <c r="AP38" s="127" t="str">
        <f t="shared" si="19"/>
        <v/>
      </c>
      <c r="AQ38" s="127" t="str">
        <f t="shared" si="19"/>
        <v/>
      </c>
      <c r="AR38" s="127" t="str">
        <f t="shared" si="19"/>
        <v/>
      </c>
      <c r="AS38" s="127" t="str">
        <f t="shared" si="19"/>
        <v/>
      </c>
      <c r="AT38" s="127" t="str">
        <f t="shared" si="19"/>
        <v/>
      </c>
      <c r="AU38" s="214">
        <v>1</v>
      </c>
      <c r="AV38" s="127" t="str">
        <f t="shared" si="19"/>
        <v/>
      </c>
      <c r="AW38" s="127" t="str">
        <f t="shared" si="19"/>
        <v/>
      </c>
      <c r="AX38" s="127" t="str">
        <f t="shared" si="19"/>
        <v/>
      </c>
      <c r="AY38" s="127" t="str">
        <f t="shared" si="19"/>
        <v/>
      </c>
      <c r="AZ38" s="127" t="str">
        <f t="shared" si="19"/>
        <v/>
      </c>
      <c r="BA38" s="127" t="str">
        <f t="shared" si="19"/>
        <v/>
      </c>
      <c r="BB38" s="127" t="str">
        <f t="shared" si="19"/>
        <v/>
      </c>
      <c r="BC38" s="127" t="str">
        <f t="shared" si="19"/>
        <v/>
      </c>
      <c r="BD38" s="127" t="str">
        <f t="shared" si="19"/>
        <v/>
      </c>
      <c r="BE38" s="127" t="str">
        <f t="shared" si="19"/>
        <v/>
      </c>
      <c r="BF38" s="127" t="str">
        <f t="shared" si="19"/>
        <v/>
      </c>
      <c r="BG38" s="127" t="str">
        <f t="shared" si="39"/>
        <v/>
      </c>
      <c r="BH38" s="127" t="str">
        <f t="shared" si="39"/>
        <v/>
      </c>
      <c r="BI38" s="127" t="str">
        <f t="shared" si="39"/>
        <v/>
      </c>
      <c r="BJ38" s="127" t="str">
        <f t="shared" si="39"/>
        <v/>
      </c>
      <c r="BK38" s="127" t="str">
        <f t="shared" si="39"/>
        <v/>
      </c>
      <c r="BL38" s="127" t="str">
        <f t="shared" si="39"/>
        <v/>
      </c>
      <c r="BM38" s="127" t="str">
        <f t="shared" si="39"/>
        <v/>
      </c>
      <c r="BN38" s="127" t="str">
        <f t="shared" si="31"/>
        <v/>
      </c>
      <c r="BO38" s="127" t="str">
        <f t="shared" si="31"/>
        <v/>
      </c>
      <c r="BP38" s="127" t="str">
        <f t="shared" si="31"/>
        <v/>
      </c>
      <c r="BQ38" s="127" t="str">
        <f t="shared" si="31"/>
        <v/>
      </c>
      <c r="BR38" s="127" t="str">
        <f t="shared" si="31"/>
        <v/>
      </c>
      <c r="BS38" s="127" t="str">
        <f t="shared" si="31"/>
        <v/>
      </c>
      <c r="BT38" s="127" t="str">
        <f t="shared" si="31"/>
        <v/>
      </c>
      <c r="BU38" s="127" t="str">
        <f t="shared" si="31"/>
        <v/>
      </c>
      <c r="BV38" s="127" t="str">
        <f t="shared" si="31"/>
        <v/>
      </c>
      <c r="BW38" s="127" t="str">
        <f t="shared" si="31"/>
        <v/>
      </c>
      <c r="BX38" s="127" t="str">
        <f t="shared" si="31"/>
        <v/>
      </c>
      <c r="BY38" s="127" t="str">
        <f t="shared" si="31"/>
        <v/>
      </c>
      <c r="BZ38" s="127" t="str">
        <f t="shared" si="18"/>
        <v/>
      </c>
      <c r="CA38" s="127" t="str">
        <f t="shared" si="18"/>
        <v/>
      </c>
      <c r="CB38" s="127" t="str">
        <f t="shared" si="18"/>
        <v/>
      </c>
      <c r="CC38" s="127" t="str">
        <f t="shared" si="18"/>
        <v/>
      </c>
      <c r="CD38" s="127" t="str">
        <f t="shared" si="18"/>
        <v/>
      </c>
      <c r="CE38" s="127" t="str">
        <f t="shared" si="18"/>
        <v/>
      </c>
    </row>
    <row r="39" spans="1:83" ht="12.6" customHeight="1" x14ac:dyDescent="0.2">
      <c r="A39" s="106">
        <f>SHIPMENTS!A45</f>
        <v>9143</v>
      </c>
      <c r="B39" s="106" t="str">
        <f>SHIPMENTS!B45</f>
        <v>43301-THAILAND</v>
      </c>
      <c r="C39" s="132">
        <f>SHIPMENTS!F45</f>
        <v>4.75</v>
      </c>
      <c r="D39" s="107" t="str">
        <f>IF((SHIPMENTS!I45)=0,"",SHIPMENTS!I45)</f>
        <v>1x20</v>
      </c>
      <c r="E39" s="176">
        <f>IF((SHIPMENTS!G45)=0,"",SHIPMENTS!G45)</f>
        <v>46332</v>
      </c>
      <c r="F39" s="109">
        <f>VLOOKUP(A39,Items!$A$5:$J$1000,8,0)</f>
        <v>14</v>
      </c>
      <c r="G39" s="98">
        <f>VLOOKUP(A39,load!$A$4:$U$5001,3,0)</f>
        <v>10.971495555555556</v>
      </c>
      <c r="H39" s="97">
        <f>Manhours!$C$20</f>
        <v>4</v>
      </c>
      <c r="I39" s="98">
        <f t="shared" si="32"/>
        <v>36.4</v>
      </c>
      <c r="J39" s="99">
        <f t="shared" si="33"/>
        <v>0.30141471306471307</v>
      </c>
      <c r="K39" s="99">
        <f t="shared" si="34"/>
        <v>2.7428738888888886</v>
      </c>
      <c r="L39" s="98">
        <f t="shared" si="35"/>
        <v>0.30141471306471307</v>
      </c>
      <c r="M39" s="98">
        <f t="shared" si="36"/>
        <v>2.7428738888888886</v>
      </c>
      <c r="N39" s="181">
        <f t="shared" si="37"/>
        <v>46315.380094370848</v>
      </c>
      <c r="O39" s="181">
        <f t="shared" si="38"/>
        <v>46315.681509083915</v>
      </c>
      <c r="P39" s="112">
        <f>VLOOKUP(A39,SHIPMENTS!$A$7:$AP$76,10,0)</f>
        <v>0</v>
      </c>
      <c r="Q39" s="101"/>
      <c r="R39" s="127" t="str">
        <f t="shared" si="30"/>
        <v/>
      </c>
      <c r="S39" s="127" t="str">
        <f t="shared" si="30"/>
        <v/>
      </c>
      <c r="T39" s="127" t="str">
        <f t="shared" si="30"/>
        <v/>
      </c>
      <c r="U39" s="127" t="str">
        <f t="shared" si="30"/>
        <v/>
      </c>
      <c r="V39" s="127" t="str">
        <f t="shared" si="30"/>
        <v/>
      </c>
      <c r="W39" s="127" t="str">
        <f t="shared" si="30"/>
        <v/>
      </c>
      <c r="X39" s="127" t="str">
        <f t="shared" si="30"/>
        <v/>
      </c>
      <c r="Y39" s="127" t="str">
        <f t="shared" si="30"/>
        <v/>
      </c>
      <c r="Z39" s="127" t="str">
        <f t="shared" si="30"/>
        <v/>
      </c>
      <c r="AA39" s="127" t="str">
        <f t="shared" si="30"/>
        <v/>
      </c>
      <c r="AB39" s="127" t="str">
        <f t="shared" si="30"/>
        <v/>
      </c>
      <c r="AC39" s="127" t="str">
        <f t="shared" si="30"/>
        <v/>
      </c>
      <c r="AD39" s="127" t="str">
        <f t="shared" si="30"/>
        <v/>
      </c>
      <c r="AE39" s="127" t="str">
        <f t="shared" si="30"/>
        <v/>
      </c>
      <c r="AF39" s="127" t="str">
        <f t="shared" si="30"/>
        <v/>
      </c>
      <c r="AG39" s="127" t="str">
        <f t="shared" si="30"/>
        <v/>
      </c>
      <c r="AH39" s="127" t="str">
        <f t="shared" si="24"/>
        <v>▲</v>
      </c>
      <c r="AI39" s="127" t="str">
        <f t="shared" si="24"/>
        <v/>
      </c>
      <c r="AJ39" s="127" t="str">
        <f t="shared" si="24"/>
        <v/>
      </c>
      <c r="AK39" s="127" t="str">
        <f t="shared" si="24"/>
        <v/>
      </c>
      <c r="AL39" s="127" t="str">
        <f t="shared" si="24"/>
        <v/>
      </c>
      <c r="AM39" s="127" t="str">
        <f t="shared" si="19"/>
        <v/>
      </c>
      <c r="AN39" s="127" t="str">
        <f t="shared" si="19"/>
        <v/>
      </c>
      <c r="AO39" s="127" t="str">
        <f t="shared" si="19"/>
        <v/>
      </c>
      <c r="AP39" s="127" t="str">
        <f t="shared" si="19"/>
        <v/>
      </c>
      <c r="AQ39" s="127" t="str">
        <f t="shared" si="19"/>
        <v/>
      </c>
      <c r="AR39" s="127" t="str">
        <f t="shared" si="19"/>
        <v/>
      </c>
      <c r="AS39" s="127" t="str">
        <f t="shared" si="19"/>
        <v/>
      </c>
      <c r="AT39" s="127" t="str">
        <f t="shared" si="19"/>
        <v/>
      </c>
      <c r="AU39" s="214">
        <v>1</v>
      </c>
      <c r="AV39" s="127" t="str">
        <f t="shared" si="19"/>
        <v/>
      </c>
      <c r="AW39" s="127" t="str">
        <f t="shared" si="19"/>
        <v/>
      </c>
      <c r="AX39" s="127" t="str">
        <f t="shared" si="19"/>
        <v/>
      </c>
      <c r="AY39" s="127" t="str">
        <f t="shared" si="19"/>
        <v/>
      </c>
      <c r="AZ39" s="127" t="str">
        <f t="shared" si="19"/>
        <v/>
      </c>
      <c r="BA39" s="127" t="str">
        <f t="shared" si="19"/>
        <v/>
      </c>
      <c r="BB39" s="127" t="str">
        <f t="shared" si="19"/>
        <v/>
      </c>
      <c r="BC39" s="127" t="str">
        <f t="shared" si="19"/>
        <v/>
      </c>
      <c r="BD39" s="127" t="str">
        <f t="shared" si="19"/>
        <v/>
      </c>
      <c r="BE39" s="127" t="str">
        <f t="shared" si="19"/>
        <v/>
      </c>
      <c r="BF39" s="127" t="str">
        <f t="shared" si="19"/>
        <v/>
      </c>
      <c r="BG39" s="127" t="str">
        <f t="shared" si="39"/>
        <v/>
      </c>
      <c r="BH39" s="127" t="str">
        <f t="shared" si="39"/>
        <v/>
      </c>
      <c r="BI39" s="127" t="str">
        <f t="shared" si="39"/>
        <v/>
      </c>
      <c r="BJ39" s="127" t="str">
        <f t="shared" si="39"/>
        <v/>
      </c>
      <c r="BK39" s="127" t="str">
        <f t="shared" si="39"/>
        <v/>
      </c>
      <c r="BL39" s="127" t="str">
        <f t="shared" si="39"/>
        <v/>
      </c>
      <c r="BM39" s="127" t="str">
        <f t="shared" si="39"/>
        <v/>
      </c>
      <c r="BN39" s="127" t="str">
        <f t="shared" si="31"/>
        <v/>
      </c>
      <c r="BO39" s="127" t="str">
        <f t="shared" si="31"/>
        <v/>
      </c>
      <c r="BP39" s="127" t="str">
        <f t="shared" si="31"/>
        <v/>
      </c>
      <c r="BQ39" s="127" t="str">
        <f t="shared" si="31"/>
        <v/>
      </c>
      <c r="BR39" s="127" t="str">
        <f t="shared" si="31"/>
        <v/>
      </c>
      <c r="BS39" s="127" t="str">
        <f t="shared" si="31"/>
        <v/>
      </c>
      <c r="BT39" s="127" t="str">
        <f t="shared" si="31"/>
        <v/>
      </c>
      <c r="BU39" s="127" t="str">
        <f t="shared" si="31"/>
        <v/>
      </c>
      <c r="BV39" s="127" t="str">
        <f t="shared" si="31"/>
        <v/>
      </c>
      <c r="BW39" s="127" t="str">
        <f t="shared" si="31"/>
        <v/>
      </c>
      <c r="BX39" s="127" t="str">
        <f t="shared" si="31"/>
        <v/>
      </c>
      <c r="BY39" s="127" t="str">
        <f t="shared" si="31"/>
        <v/>
      </c>
      <c r="BZ39" s="127" t="str">
        <f t="shared" si="18"/>
        <v/>
      </c>
      <c r="CA39" s="127" t="str">
        <f t="shared" si="18"/>
        <v/>
      </c>
      <c r="CB39" s="127" t="str">
        <f t="shared" si="18"/>
        <v/>
      </c>
      <c r="CC39" s="127" t="str">
        <f t="shared" si="18"/>
        <v/>
      </c>
      <c r="CD39" s="127" t="str">
        <f t="shared" si="18"/>
        <v/>
      </c>
      <c r="CE39" s="127" t="str">
        <f t="shared" si="18"/>
        <v/>
      </c>
    </row>
    <row r="40" spans="1:83" ht="12.6" customHeight="1" x14ac:dyDescent="0.2">
      <c r="A40" s="106">
        <f>SHIPMENTS!A46</f>
        <v>9160</v>
      </c>
      <c r="B40" s="106" t="str">
        <f>SHIPMENTS!B46</f>
        <v>51700-MAURITIUS</v>
      </c>
      <c r="C40" s="132">
        <f>SHIPMENTS!F46</f>
        <v>0.97</v>
      </c>
      <c r="D40" s="107" t="str">
        <f>IF((SHIPMENTS!I46)=0,"",SHIPMENTS!I46)</f>
        <v>1x20</v>
      </c>
      <c r="E40" s="176">
        <f>IF((SHIPMENTS!G46)=0,"",SHIPMENTS!G46)</f>
        <v>46332</v>
      </c>
      <c r="F40" s="109">
        <f>VLOOKUP(A40,Items!$A$5:$J$1000,8,0)</f>
        <v>10</v>
      </c>
      <c r="G40" s="98">
        <f>VLOOKUP(A40,load!$A$4:$U$5001,3,0)</f>
        <v>6.5519444444444446</v>
      </c>
      <c r="H40" s="97">
        <f>Manhours!$C$20</f>
        <v>4</v>
      </c>
      <c r="I40" s="98">
        <f t="shared" si="32"/>
        <v>36.4</v>
      </c>
      <c r="J40" s="99">
        <f t="shared" si="33"/>
        <v>0.17999847374847375</v>
      </c>
      <c r="K40" s="99">
        <f t="shared" si="34"/>
        <v>1.6379861111111111</v>
      </c>
      <c r="L40" s="98">
        <f t="shared" si="35"/>
        <v>0.17999847374847375</v>
      </c>
      <c r="M40" s="98">
        <f t="shared" si="36"/>
        <v>1.6379861111111111</v>
      </c>
      <c r="N40" s="181">
        <f t="shared" si="37"/>
        <v>46315.681509083915</v>
      </c>
      <c r="O40" s="181">
        <f t="shared" si="38"/>
        <v>46315.861507557667</v>
      </c>
      <c r="P40" s="112">
        <f>VLOOKUP(A40,SHIPMENTS!$A$7:$AP$76,10,0)</f>
        <v>0</v>
      </c>
      <c r="Q40" s="101"/>
      <c r="R40" s="127" t="str">
        <f t="shared" si="30"/>
        <v/>
      </c>
      <c r="S40" s="127" t="str">
        <f t="shared" si="30"/>
        <v/>
      </c>
      <c r="T40" s="127" t="str">
        <f t="shared" si="30"/>
        <v/>
      </c>
      <c r="U40" s="127" t="str">
        <f t="shared" si="30"/>
        <v/>
      </c>
      <c r="V40" s="127" t="str">
        <f t="shared" si="30"/>
        <v/>
      </c>
      <c r="W40" s="127" t="str">
        <f t="shared" si="30"/>
        <v/>
      </c>
      <c r="X40" s="127" t="str">
        <f t="shared" si="30"/>
        <v/>
      </c>
      <c r="Y40" s="127" t="str">
        <f t="shared" si="30"/>
        <v/>
      </c>
      <c r="Z40" s="127" t="str">
        <f t="shared" si="30"/>
        <v/>
      </c>
      <c r="AA40" s="127" t="str">
        <f t="shared" si="30"/>
        <v/>
      </c>
      <c r="AB40" s="127" t="str">
        <f t="shared" si="30"/>
        <v/>
      </c>
      <c r="AC40" s="127" t="str">
        <f t="shared" si="30"/>
        <v/>
      </c>
      <c r="AD40" s="127" t="str">
        <f t="shared" si="30"/>
        <v/>
      </c>
      <c r="AE40" s="127" t="str">
        <f t="shared" si="30"/>
        <v/>
      </c>
      <c r="AF40" s="127" t="str">
        <f t="shared" si="30"/>
        <v/>
      </c>
      <c r="AG40" s="127" t="str">
        <f t="shared" si="30"/>
        <v/>
      </c>
      <c r="AH40" s="127" t="str">
        <f t="shared" si="24"/>
        <v>▲</v>
      </c>
      <c r="AI40" s="127" t="str">
        <f t="shared" si="24"/>
        <v/>
      </c>
      <c r="AJ40" s="127" t="str">
        <f t="shared" si="24"/>
        <v/>
      </c>
      <c r="AK40" s="127" t="str">
        <f t="shared" si="24"/>
        <v/>
      </c>
      <c r="AL40" s="127" t="str">
        <f t="shared" si="24"/>
        <v/>
      </c>
      <c r="AM40" s="127" t="str">
        <f t="shared" si="19"/>
        <v/>
      </c>
      <c r="AN40" s="127" t="str">
        <f t="shared" ref="AN40:BC53" si="40">IF($E40=AN$3,"▲","")</f>
        <v/>
      </c>
      <c r="AO40" s="127" t="str">
        <f t="shared" si="40"/>
        <v/>
      </c>
      <c r="AP40" s="127" t="str">
        <f t="shared" si="40"/>
        <v/>
      </c>
      <c r="AQ40" s="127" t="str">
        <f t="shared" si="40"/>
        <v/>
      </c>
      <c r="AR40" s="127" t="str">
        <f t="shared" si="40"/>
        <v/>
      </c>
      <c r="AS40" s="127" t="str">
        <f t="shared" si="40"/>
        <v/>
      </c>
      <c r="AT40" s="127" t="str">
        <f t="shared" si="40"/>
        <v/>
      </c>
      <c r="AU40" s="214">
        <v>1</v>
      </c>
      <c r="AV40" s="127" t="str">
        <f t="shared" si="40"/>
        <v/>
      </c>
      <c r="AW40" s="127" t="str">
        <f t="shared" si="40"/>
        <v/>
      </c>
      <c r="AX40" s="127" t="str">
        <f t="shared" si="40"/>
        <v/>
      </c>
      <c r="AY40" s="127" t="str">
        <f t="shared" si="40"/>
        <v/>
      </c>
      <c r="AZ40" s="127" t="str">
        <f t="shared" si="40"/>
        <v/>
      </c>
      <c r="BA40" s="127" t="str">
        <f t="shared" si="40"/>
        <v/>
      </c>
      <c r="BB40" s="127" t="str">
        <f t="shared" si="40"/>
        <v/>
      </c>
      <c r="BC40" s="127" t="str">
        <f t="shared" si="40"/>
        <v/>
      </c>
      <c r="BD40" s="127" t="str">
        <f t="shared" ref="BD40:BM53" si="41">IF($E40=BD$3,"▲","")</f>
        <v/>
      </c>
      <c r="BE40" s="127" t="str">
        <f t="shared" si="41"/>
        <v/>
      </c>
      <c r="BF40" s="127" t="str">
        <f t="shared" si="41"/>
        <v/>
      </c>
      <c r="BG40" s="127" t="str">
        <f t="shared" si="39"/>
        <v/>
      </c>
      <c r="BH40" s="127" t="str">
        <f t="shared" si="39"/>
        <v/>
      </c>
      <c r="BI40" s="127" t="str">
        <f t="shared" si="39"/>
        <v/>
      </c>
      <c r="BJ40" s="127" t="str">
        <f t="shared" si="39"/>
        <v/>
      </c>
      <c r="BK40" s="127" t="str">
        <f t="shared" si="39"/>
        <v/>
      </c>
      <c r="BL40" s="127" t="str">
        <f t="shared" si="39"/>
        <v/>
      </c>
      <c r="BM40" s="127" t="str">
        <f t="shared" si="39"/>
        <v/>
      </c>
      <c r="BN40" s="127" t="str">
        <f t="shared" si="31"/>
        <v/>
      </c>
      <c r="BO40" s="127" t="str">
        <f t="shared" si="31"/>
        <v/>
      </c>
      <c r="BP40" s="127" t="str">
        <f t="shared" si="31"/>
        <v/>
      </c>
      <c r="BQ40" s="127" t="str">
        <f t="shared" si="31"/>
        <v/>
      </c>
      <c r="BR40" s="127" t="str">
        <f t="shared" si="31"/>
        <v/>
      </c>
      <c r="BS40" s="127" t="str">
        <f t="shared" si="31"/>
        <v/>
      </c>
      <c r="BT40" s="127" t="str">
        <f t="shared" si="31"/>
        <v/>
      </c>
      <c r="BU40" s="127" t="str">
        <f t="shared" si="31"/>
        <v/>
      </c>
      <c r="BV40" s="127" t="str">
        <f t="shared" si="31"/>
        <v/>
      </c>
      <c r="BW40" s="127" t="str">
        <f t="shared" si="31"/>
        <v/>
      </c>
      <c r="BX40" s="127" t="str">
        <f t="shared" si="31"/>
        <v/>
      </c>
      <c r="BY40" s="127" t="str">
        <f t="shared" si="31"/>
        <v/>
      </c>
      <c r="BZ40" s="127" t="str">
        <f t="shared" si="31"/>
        <v/>
      </c>
      <c r="CA40" s="127" t="str">
        <f t="shared" si="31"/>
        <v/>
      </c>
      <c r="CB40" s="127" t="str">
        <f t="shared" si="31"/>
        <v/>
      </c>
      <c r="CC40" s="127" t="str">
        <f t="shared" si="31"/>
        <v/>
      </c>
      <c r="CD40" s="127" t="str">
        <f t="shared" ref="BZ40:CE53" si="42">IF($E40=CD$3,"▲","")</f>
        <v/>
      </c>
      <c r="CE40" s="127" t="str">
        <f t="shared" si="42"/>
        <v/>
      </c>
    </row>
    <row r="41" spans="1:83" ht="12.6" customHeight="1" x14ac:dyDescent="0.2">
      <c r="A41" s="106">
        <f>SHIPMENTS!A47</f>
        <v>9164</v>
      </c>
      <c r="B41" s="106" t="str">
        <f>SHIPMENTS!B47</f>
        <v>1500-SAWO SAUNA EUROPE BV BACKLOG</v>
      </c>
      <c r="C41" s="132">
        <f>SHIPMENTS!F47</f>
        <v>100.97952000000001</v>
      </c>
      <c r="D41" s="107" t="str">
        <f>IF((SHIPMENTS!I47)=0,"",SHIPMENTS!I47)</f>
        <v>1X40HC</v>
      </c>
      <c r="E41" s="176">
        <f>IF((SHIPMENTS!G47)=0,"",SHIPMENTS!G47)</f>
        <v>46339</v>
      </c>
      <c r="F41" s="109">
        <f>VLOOKUP(A41,Items!$A$5:$J$1000,8,0)</f>
        <v>683</v>
      </c>
      <c r="G41" s="98">
        <f>VLOOKUP(A41,load!$A$4:$U$5001,3,0)</f>
        <v>451.44583333333333</v>
      </c>
      <c r="H41" s="97">
        <f>Manhours!$C$20</f>
        <v>4</v>
      </c>
      <c r="I41" s="98">
        <f t="shared" si="32"/>
        <v>36.4</v>
      </c>
      <c r="J41" s="99">
        <f t="shared" si="33"/>
        <v>12.402358058608058</v>
      </c>
      <c r="K41" s="99">
        <f t="shared" si="34"/>
        <v>112.86145833333333</v>
      </c>
      <c r="L41" s="98">
        <f t="shared" si="35"/>
        <v>5.9779365842490844</v>
      </c>
      <c r="M41" s="98">
        <f t="shared" si="36"/>
        <v>54.399222916666666</v>
      </c>
      <c r="N41" s="181">
        <f t="shared" si="37"/>
        <v>46315.861507557667</v>
      </c>
      <c r="O41" s="181">
        <f t="shared" si="38"/>
        <v>46321.839444141915</v>
      </c>
      <c r="P41" s="112">
        <f>VLOOKUP(A41,SHIPMENTS!$A$7:$AP$76,10,0)</f>
        <v>0.51800000000000002</v>
      </c>
      <c r="Q41" s="101"/>
      <c r="R41" s="127" t="str">
        <f t="shared" si="30"/>
        <v/>
      </c>
      <c r="S41" s="127" t="str">
        <f t="shared" si="30"/>
        <v/>
      </c>
      <c r="T41" s="127" t="str">
        <f t="shared" si="30"/>
        <v/>
      </c>
      <c r="U41" s="127" t="str">
        <f t="shared" si="30"/>
        <v/>
      </c>
      <c r="V41" s="127" t="str">
        <f t="shared" si="30"/>
        <v/>
      </c>
      <c r="W41" s="127" t="str">
        <f t="shared" si="30"/>
        <v/>
      </c>
      <c r="X41" s="127" t="str">
        <f t="shared" si="30"/>
        <v/>
      </c>
      <c r="Y41" s="127" t="str">
        <f t="shared" si="30"/>
        <v/>
      </c>
      <c r="Z41" s="127" t="str">
        <f t="shared" si="30"/>
        <v/>
      </c>
      <c r="AA41" s="127" t="str">
        <f t="shared" si="30"/>
        <v/>
      </c>
      <c r="AB41" s="127" t="str">
        <f t="shared" si="30"/>
        <v/>
      </c>
      <c r="AC41" s="127" t="str">
        <f t="shared" si="30"/>
        <v/>
      </c>
      <c r="AD41" s="127" t="str">
        <f t="shared" si="30"/>
        <v/>
      </c>
      <c r="AE41" s="127" t="str">
        <f t="shared" si="30"/>
        <v/>
      </c>
      <c r="AF41" s="127" t="str">
        <f t="shared" si="30"/>
        <v/>
      </c>
      <c r="AG41" s="127" t="str">
        <f t="shared" si="30"/>
        <v/>
      </c>
      <c r="AH41" s="127" t="str">
        <f t="shared" si="24"/>
        <v/>
      </c>
      <c r="AI41" s="127" t="str">
        <f t="shared" si="24"/>
        <v/>
      </c>
      <c r="AJ41" s="127" t="str">
        <f t="shared" si="24"/>
        <v/>
      </c>
      <c r="AK41" s="127" t="str">
        <f t="shared" si="24"/>
        <v/>
      </c>
      <c r="AL41" s="127" t="str">
        <f t="shared" si="24"/>
        <v/>
      </c>
      <c r="AM41" s="127" t="str">
        <f t="shared" si="24"/>
        <v/>
      </c>
      <c r="AN41" s="127" t="str">
        <f t="shared" si="24"/>
        <v>▲</v>
      </c>
      <c r="AO41" s="127" t="str">
        <f t="shared" si="24"/>
        <v/>
      </c>
      <c r="AP41" s="127" t="str">
        <f t="shared" si="24"/>
        <v/>
      </c>
      <c r="AQ41" s="127" t="str">
        <f t="shared" si="24"/>
        <v/>
      </c>
      <c r="AR41" s="127" t="str">
        <f t="shared" si="24"/>
        <v/>
      </c>
      <c r="AS41" s="127" t="str">
        <f t="shared" si="24"/>
        <v/>
      </c>
      <c r="AT41" s="127" t="str">
        <f t="shared" si="24"/>
        <v/>
      </c>
      <c r="AU41" s="214">
        <v>1</v>
      </c>
      <c r="AV41" s="127" t="str">
        <f t="shared" si="24"/>
        <v/>
      </c>
      <c r="AW41" s="127" t="str">
        <f t="shared" si="24"/>
        <v/>
      </c>
      <c r="AX41" s="127" t="str">
        <f t="shared" si="40"/>
        <v/>
      </c>
      <c r="AY41" s="127" t="str">
        <f t="shared" si="40"/>
        <v/>
      </c>
      <c r="AZ41" s="127" t="str">
        <f t="shared" si="40"/>
        <v/>
      </c>
      <c r="BA41" s="127" t="str">
        <f t="shared" si="40"/>
        <v/>
      </c>
      <c r="BB41" s="127" t="str">
        <f t="shared" si="40"/>
        <v/>
      </c>
      <c r="BC41" s="127" t="str">
        <f t="shared" si="40"/>
        <v/>
      </c>
      <c r="BD41" s="127" t="str">
        <f t="shared" si="41"/>
        <v/>
      </c>
      <c r="BE41" s="127" t="str">
        <f t="shared" si="41"/>
        <v/>
      </c>
      <c r="BF41" s="127" t="str">
        <f t="shared" si="41"/>
        <v/>
      </c>
      <c r="BG41" s="127" t="str">
        <f t="shared" si="39"/>
        <v/>
      </c>
      <c r="BH41" s="127" t="str">
        <f t="shared" si="39"/>
        <v/>
      </c>
      <c r="BI41" s="127" t="str">
        <f t="shared" si="39"/>
        <v/>
      </c>
      <c r="BJ41" s="127" t="str">
        <f t="shared" si="39"/>
        <v/>
      </c>
      <c r="BK41" s="127" t="str">
        <f t="shared" si="39"/>
        <v/>
      </c>
      <c r="BL41" s="127" t="str">
        <f t="shared" si="39"/>
        <v/>
      </c>
      <c r="BM41" s="127" t="str">
        <f t="shared" si="39"/>
        <v/>
      </c>
      <c r="BN41" s="127" t="str">
        <f t="shared" si="31"/>
        <v/>
      </c>
      <c r="BO41" s="127" t="str">
        <f t="shared" si="31"/>
        <v/>
      </c>
      <c r="BP41" s="127" t="str">
        <f t="shared" si="31"/>
        <v/>
      </c>
      <c r="BQ41" s="127" t="str">
        <f t="shared" si="31"/>
        <v/>
      </c>
      <c r="BR41" s="127" t="str">
        <f t="shared" si="31"/>
        <v/>
      </c>
      <c r="BS41" s="127" t="str">
        <f t="shared" si="31"/>
        <v/>
      </c>
      <c r="BT41" s="127" t="str">
        <f t="shared" si="31"/>
        <v/>
      </c>
      <c r="BU41" s="127" t="str">
        <f t="shared" si="31"/>
        <v/>
      </c>
      <c r="BV41" s="127" t="str">
        <f t="shared" si="31"/>
        <v/>
      </c>
      <c r="BW41" s="127" t="str">
        <f t="shared" si="31"/>
        <v/>
      </c>
      <c r="BX41" s="127" t="str">
        <f t="shared" si="31"/>
        <v/>
      </c>
      <c r="BY41" s="127" t="str">
        <f t="shared" si="31"/>
        <v/>
      </c>
      <c r="BZ41" s="127" t="str">
        <f t="shared" si="42"/>
        <v/>
      </c>
      <c r="CA41" s="127" t="str">
        <f t="shared" si="42"/>
        <v/>
      </c>
      <c r="CB41" s="127" t="str">
        <f t="shared" si="42"/>
        <v/>
      </c>
      <c r="CC41" s="127" t="str">
        <f t="shared" si="42"/>
        <v/>
      </c>
      <c r="CD41" s="127" t="str">
        <f t="shared" si="42"/>
        <v/>
      </c>
      <c r="CE41" s="127" t="str">
        <f t="shared" si="42"/>
        <v/>
      </c>
    </row>
    <row r="42" spans="1:83" ht="12.6" hidden="1" customHeight="1" x14ac:dyDescent="0.2">
      <c r="A42" s="106">
        <f>SHIPMENTS!A48</f>
        <v>9288</v>
      </c>
      <c r="B42" s="106" t="str">
        <f>SHIPMENTS!B48</f>
        <v>12100-HOLLAND HALU</v>
      </c>
      <c r="C42" s="132">
        <f>SHIPMENTS!F48</f>
        <v>0</v>
      </c>
      <c r="D42" s="107" t="str">
        <f>IF((SHIPMENTS!I48)=0,"",SHIPMENTS!I48)</f>
        <v/>
      </c>
      <c r="E42" s="176">
        <f>IF((SHIPMENTS!G48)=0,"",SHIPMENTS!G48)</f>
        <v>46339</v>
      </c>
      <c r="F42" s="109">
        <f>VLOOKUP(A42,Items!$A$5:$J$1000,8,0)</f>
        <v>0</v>
      </c>
      <c r="G42" s="98">
        <f>VLOOKUP(A42,load!$A$4:$U$5001,3,0)</f>
        <v>0</v>
      </c>
      <c r="H42" s="97">
        <f>Manhours!$C$20</f>
        <v>4</v>
      </c>
      <c r="I42" s="98">
        <f t="shared" si="32"/>
        <v>36.4</v>
      </c>
      <c r="J42" s="99">
        <f t="shared" si="33"/>
        <v>0</v>
      </c>
      <c r="K42" s="99">
        <f t="shared" si="34"/>
        <v>0</v>
      </c>
      <c r="L42" s="98">
        <f t="shared" si="35"/>
        <v>0</v>
      </c>
      <c r="M42" s="98">
        <f t="shared" si="36"/>
        <v>0</v>
      </c>
      <c r="N42" s="181">
        <f t="shared" si="37"/>
        <v>46321.839444141915</v>
      </c>
      <c r="O42" s="181">
        <f t="shared" si="38"/>
        <v>46321.839444141915</v>
      </c>
      <c r="P42" s="112" t="str">
        <f>VLOOKUP(A42,SHIPMENTS!$A$7:$AP$76,10,0)</f>
        <v>n/a</v>
      </c>
      <c r="Q42" s="101"/>
      <c r="R42" s="127" t="str">
        <f t="shared" si="30"/>
        <v/>
      </c>
      <c r="S42" s="127" t="str">
        <f t="shared" si="30"/>
        <v/>
      </c>
      <c r="T42" s="127" t="str">
        <f t="shared" si="30"/>
        <v/>
      </c>
      <c r="U42" s="127" t="str">
        <f t="shared" si="30"/>
        <v/>
      </c>
      <c r="V42" s="127" t="str">
        <f t="shared" si="30"/>
        <v/>
      </c>
      <c r="W42" s="127" t="str">
        <f t="shared" si="30"/>
        <v/>
      </c>
      <c r="X42" s="127" t="str">
        <f t="shared" si="30"/>
        <v/>
      </c>
      <c r="Y42" s="127" t="str">
        <f t="shared" si="30"/>
        <v/>
      </c>
      <c r="Z42" s="127" t="str">
        <f t="shared" si="30"/>
        <v/>
      </c>
      <c r="AA42" s="127" t="str">
        <f t="shared" si="30"/>
        <v/>
      </c>
      <c r="AB42" s="127" t="str">
        <f t="shared" si="30"/>
        <v/>
      </c>
      <c r="AC42" s="127" t="str">
        <f t="shared" si="30"/>
        <v/>
      </c>
      <c r="AD42" s="127" t="str">
        <f t="shared" si="30"/>
        <v/>
      </c>
      <c r="AE42" s="127" t="str">
        <f t="shared" si="30"/>
        <v/>
      </c>
      <c r="AF42" s="127" t="str">
        <f t="shared" si="30"/>
        <v/>
      </c>
      <c r="AG42" s="127" t="str">
        <f t="shared" si="30"/>
        <v/>
      </c>
      <c r="AH42" s="127" t="str">
        <f t="shared" si="24"/>
        <v/>
      </c>
      <c r="AI42" s="127" t="str">
        <f t="shared" si="24"/>
        <v/>
      </c>
      <c r="AJ42" s="127" t="str">
        <f t="shared" si="24"/>
        <v/>
      </c>
      <c r="AK42" s="127" t="str">
        <f t="shared" si="24"/>
        <v/>
      </c>
      <c r="AL42" s="127" t="str">
        <f t="shared" si="24"/>
        <v/>
      </c>
      <c r="AM42" s="127" t="str">
        <f t="shared" si="24"/>
        <v/>
      </c>
      <c r="AN42" s="127" t="str">
        <f t="shared" si="24"/>
        <v>▲</v>
      </c>
      <c r="AO42" s="127" t="str">
        <f t="shared" si="24"/>
        <v/>
      </c>
      <c r="AP42" s="127" t="str">
        <f t="shared" si="24"/>
        <v/>
      </c>
      <c r="AQ42" s="127" t="str">
        <f t="shared" si="24"/>
        <v/>
      </c>
      <c r="AR42" s="127" t="str">
        <f t="shared" si="24"/>
        <v/>
      </c>
      <c r="AS42" s="127" t="str">
        <f t="shared" si="24"/>
        <v/>
      </c>
      <c r="AT42" s="127" t="str">
        <f t="shared" si="24"/>
        <v/>
      </c>
      <c r="AU42" s="214">
        <v>1</v>
      </c>
      <c r="AV42" s="127" t="str">
        <f t="shared" si="24"/>
        <v/>
      </c>
      <c r="AW42" s="127" t="str">
        <f t="shared" si="24"/>
        <v/>
      </c>
      <c r="AX42" s="127" t="str">
        <f t="shared" si="40"/>
        <v/>
      </c>
      <c r="AY42" s="127" t="str">
        <f t="shared" si="40"/>
        <v/>
      </c>
      <c r="AZ42" s="127" t="str">
        <f t="shared" si="40"/>
        <v/>
      </c>
      <c r="BA42" s="127" t="str">
        <f t="shared" si="40"/>
        <v/>
      </c>
      <c r="BB42" s="127" t="str">
        <f t="shared" si="40"/>
        <v/>
      </c>
      <c r="BC42" s="127" t="str">
        <f t="shared" si="40"/>
        <v/>
      </c>
      <c r="BD42" s="127" t="str">
        <f t="shared" si="41"/>
        <v/>
      </c>
      <c r="BE42" s="127" t="str">
        <f t="shared" si="41"/>
        <v/>
      </c>
      <c r="BF42" s="127" t="str">
        <f t="shared" si="41"/>
        <v/>
      </c>
      <c r="BG42" s="127" t="str">
        <f t="shared" si="39"/>
        <v/>
      </c>
      <c r="BH42" s="127" t="str">
        <f t="shared" si="39"/>
        <v/>
      </c>
      <c r="BI42" s="127" t="str">
        <f t="shared" si="39"/>
        <v/>
      </c>
      <c r="BJ42" s="127" t="str">
        <f t="shared" si="39"/>
        <v/>
      </c>
      <c r="BK42" s="127" t="str">
        <f t="shared" si="39"/>
        <v/>
      </c>
      <c r="BL42" s="127" t="str">
        <f t="shared" si="39"/>
        <v/>
      </c>
      <c r="BM42" s="127" t="str">
        <f t="shared" si="39"/>
        <v/>
      </c>
      <c r="BN42" s="127" t="str">
        <f t="shared" si="31"/>
        <v/>
      </c>
      <c r="BO42" s="127" t="str">
        <f t="shared" si="31"/>
        <v/>
      </c>
      <c r="BP42" s="127" t="str">
        <f t="shared" si="31"/>
        <v/>
      </c>
      <c r="BQ42" s="127" t="str">
        <f t="shared" si="31"/>
        <v/>
      </c>
      <c r="BR42" s="127" t="str">
        <f t="shared" si="31"/>
        <v/>
      </c>
      <c r="BS42" s="127" t="str">
        <f t="shared" si="31"/>
        <v/>
      </c>
      <c r="BT42" s="127" t="str">
        <f t="shared" si="31"/>
        <v/>
      </c>
      <c r="BU42" s="127" t="str">
        <f t="shared" si="31"/>
        <v/>
      </c>
      <c r="BV42" s="127" t="str">
        <f t="shared" si="31"/>
        <v/>
      </c>
      <c r="BW42" s="127" t="str">
        <f t="shared" si="31"/>
        <v/>
      </c>
      <c r="BX42" s="127" t="str">
        <f t="shared" si="31"/>
        <v/>
      </c>
      <c r="BY42" s="127" t="str">
        <f t="shared" si="31"/>
        <v/>
      </c>
      <c r="BZ42" s="127" t="str">
        <f t="shared" si="42"/>
        <v/>
      </c>
      <c r="CA42" s="127" t="str">
        <f t="shared" si="42"/>
        <v/>
      </c>
      <c r="CB42" s="127" t="str">
        <f t="shared" si="42"/>
        <v/>
      </c>
      <c r="CC42" s="127" t="str">
        <f t="shared" si="42"/>
        <v/>
      </c>
      <c r="CD42" s="127" t="str">
        <f t="shared" si="42"/>
        <v/>
      </c>
      <c r="CE42" s="127" t="str">
        <f t="shared" si="42"/>
        <v/>
      </c>
    </row>
    <row r="43" spans="1:83" ht="12.6" hidden="1" customHeight="1" x14ac:dyDescent="0.2">
      <c r="A43" s="106" t="str">
        <f>SHIPMENTS!A49</f>
        <v>SSE BACKLOG</v>
      </c>
      <c r="B43" s="106" t="str">
        <f>SHIPMENTS!B49</f>
        <v>11500-SAWO SAUNA EUROPE BV</v>
      </c>
      <c r="C43" s="132">
        <f>SHIPMENTS!F49</f>
        <v>0</v>
      </c>
      <c r="D43" s="107" t="str">
        <f>IF((SHIPMENTS!I49)=0,"",SHIPMENTS!I49)</f>
        <v/>
      </c>
      <c r="E43" s="176">
        <f>IF((SHIPMENTS!G49)=0,"",SHIPMENTS!G49)</f>
        <v>46339</v>
      </c>
      <c r="F43" s="109">
        <f>VLOOKUP(A43,Items!$A$5:$J$1000,8,0)</f>
        <v>0</v>
      </c>
      <c r="G43" s="98">
        <f>VLOOKUP(A43,load!$A$4:$U$5001,3,0)</f>
        <v>0</v>
      </c>
      <c r="H43" s="97">
        <f>Manhours!$C$20</f>
        <v>4</v>
      </c>
      <c r="I43" s="98">
        <f t="shared" si="32"/>
        <v>36.4</v>
      </c>
      <c r="J43" s="99">
        <f t="shared" si="33"/>
        <v>0</v>
      </c>
      <c r="K43" s="99">
        <f t="shared" si="34"/>
        <v>0</v>
      </c>
      <c r="L43" s="98">
        <f t="shared" si="35"/>
        <v>0</v>
      </c>
      <c r="M43" s="98">
        <f t="shared" si="36"/>
        <v>0</v>
      </c>
      <c r="N43" s="181">
        <f t="shared" si="37"/>
        <v>46321.839444141915</v>
      </c>
      <c r="O43" s="181">
        <f t="shared" si="38"/>
        <v>46321.839444141915</v>
      </c>
      <c r="P43" s="112" t="str">
        <f>VLOOKUP(A43,SHIPMENTS!$A$7:$AP$76,10,0)</f>
        <v>n/a</v>
      </c>
      <c r="Q43" s="101"/>
      <c r="R43" s="127" t="str">
        <f t="shared" si="30"/>
        <v/>
      </c>
      <c r="S43" s="127" t="str">
        <f t="shared" si="30"/>
        <v/>
      </c>
      <c r="T43" s="127" t="str">
        <f t="shared" si="30"/>
        <v/>
      </c>
      <c r="U43" s="127" t="str">
        <f t="shared" si="30"/>
        <v/>
      </c>
      <c r="V43" s="127" t="str">
        <f t="shared" si="30"/>
        <v/>
      </c>
      <c r="W43" s="127" t="str">
        <f t="shared" si="30"/>
        <v/>
      </c>
      <c r="X43" s="127" t="str">
        <f t="shared" si="30"/>
        <v/>
      </c>
      <c r="Y43" s="127" t="str">
        <f t="shared" si="30"/>
        <v/>
      </c>
      <c r="Z43" s="127" t="str">
        <f t="shared" si="30"/>
        <v/>
      </c>
      <c r="AA43" s="127" t="str">
        <f t="shared" si="30"/>
        <v/>
      </c>
      <c r="AB43" s="127" t="str">
        <f t="shared" si="30"/>
        <v/>
      </c>
      <c r="AC43" s="127" t="str">
        <f t="shared" si="30"/>
        <v/>
      </c>
      <c r="AD43" s="127" t="str">
        <f t="shared" si="30"/>
        <v/>
      </c>
      <c r="AE43" s="127" t="str">
        <f t="shared" si="30"/>
        <v/>
      </c>
      <c r="AF43" s="127" t="str">
        <f t="shared" si="30"/>
        <v/>
      </c>
      <c r="AG43" s="127" t="str">
        <f t="shared" si="30"/>
        <v/>
      </c>
      <c r="AH43" s="127" t="str">
        <f t="shared" si="24"/>
        <v/>
      </c>
      <c r="AI43" s="127" t="str">
        <f t="shared" si="24"/>
        <v/>
      </c>
      <c r="AJ43" s="127" t="str">
        <f t="shared" si="24"/>
        <v/>
      </c>
      <c r="AK43" s="127" t="str">
        <f t="shared" si="24"/>
        <v/>
      </c>
      <c r="AL43" s="127" t="str">
        <f t="shared" si="24"/>
        <v/>
      </c>
      <c r="AM43" s="127" t="str">
        <f t="shared" si="24"/>
        <v/>
      </c>
      <c r="AN43" s="127" t="str">
        <f t="shared" si="24"/>
        <v>▲</v>
      </c>
      <c r="AO43" s="127" t="str">
        <f t="shared" si="24"/>
        <v/>
      </c>
      <c r="AP43" s="127" t="str">
        <f t="shared" si="24"/>
        <v/>
      </c>
      <c r="AQ43" s="127" t="str">
        <f t="shared" si="24"/>
        <v/>
      </c>
      <c r="AR43" s="127" t="str">
        <f t="shared" si="24"/>
        <v/>
      </c>
      <c r="AS43" s="127" t="str">
        <f t="shared" si="24"/>
        <v/>
      </c>
      <c r="AT43" s="127" t="str">
        <f t="shared" si="24"/>
        <v/>
      </c>
      <c r="AU43" s="214">
        <v>1</v>
      </c>
      <c r="AV43" s="127" t="str">
        <f t="shared" si="24"/>
        <v/>
      </c>
      <c r="AW43" s="127" t="str">
        <f t="shared" si="24"/>
        <v/>
      </c>
      <c r="AX43" s="127" t="str">
        <f t="shared" si="40"/>
        <v/>
      </c>
      <c r="AY43" s="127" t="str">
        <f t="shared" si="40"/>
        <v/>
      </c>
      <c r="AZ43" s="127" t="str">
        <f t="shared" si="40"/>
        <v/>
      </c>
      <c r="BA43" s="127" t="str">
        <f t="shared" si="40"/>
        <v/>
      </c>
      <c r="BB43" s="127" t="str">
        <f t="shared" si="40"/>
        <v/>
      </c>
      <c r="BC43" s="127" t="str">
        <f t="shared" si="40"/>
        <v/>
      </c>
      <c r="BD43" s="127" t="str">
        <f t="shared" si="41"/>
        <v/>
      </c>
      <c r="BE43" s="127" t="str">
        <f t="shared" si="41"/>
        <v/>
      </c>
      <c r="BF43" s="127" t="str">
        <f t="shared" si="41"/>
        <v/>
      </c>
      <c r="BG43" s="127" t="str">
        <f t="shared" si="39"/>
        <v/>
      </c>
      <c r="BH43" s="127" t="str">
        <f t="shared" si="39"/>
        <v/>
      </c>
      <c r="BI43" s="127" t="str">
        <f t="shared" si="39"/>
        <v/>
      </c>
      <c r="BJ43" s="127" t="str">
        <f t="shared" si="39"/>
        <v/>
      </c>
      <c r="BK43" s="127" t="str">
        <f t="shared" si="39"/>
        <v/>
      </c>
      <c r="BL43" s="127" t="str">
        <f t="shared" si="39"/>
        <v/>
      </c>
      <c r="BM43" s="127" t="str">
        <f t="shared" si="39"/>
        <v/>
      </c>
      <c r="BN43" s="127" t="str">
        <f t="shared" si="31"/>
        <v/>
      </c>
      <c r="BO43" s="127" t="str">
        <f t="shared" si="31"/>
        <v/>
      </c>
      <c r="BP43" s="127" t="str">
        <f t="shared" si="31"/>
        <v/>
      </c>
      <c r="BQ43" s="127" t="str">
        <f t="shared" si="31"/>
        <v/>
      </c>
      <c r="BR43" s="127" t="str">
        <f t="shared" si="31"/>
        <v/>
      </c>
      <c r="BS43" s="127" t="str">
        <f t="shared" si="31"/>
        <v/>
      </c>
      <c r="BT43" s="127" t="str">
        <f t="shared" si="31"/>
        <v/>
      </c>
      <c r="BU43" s="127" t="str">
        <f t="shared" si="31"/>
        <v/>
      </c>
      <c r="BV43" s="127" t="str">
        <f t="shared" si="31"/>
        <v/>
      </c>
      <c r="BW43" s="127" t="str">
        <f t="shared" si="31"/>
        <v/>
      </c>
      <c r="BX43" s="127" t="str">
        <f t="shared" si="31"/>
        <v/>
      </c>
      <c r="BY43" s="127" t="str">
        <f t="shared" si="31"/>
        <v/>
      </c>
      <c r="BZ43" s="127" t="str">
        <f t="shared" si="42"/>
        <v/>
      </c>
      <c r="CA43" s="127" t="str">
        <f t="shared" si="42"/>
        <v/>
      </c>
      <c r="CB43" s="127" t="str">
        <f t="shared" si="42"/>
        <v/>
      </c>
      <c r="CC43" s="127" t="str">
        <f t="shared" si="42"/>
        <v/>
      </c>
      <c r="CD43" s="127" t="str">
        <f t="shared" si="42"/>
        <v/>
      </c>
      <c r="CE43" s="127" t="str">
        <f t="shared" si="42"/>
        <v/>
      </c>
    </row>
    <row r="44" spans="1:83" ht="12.6" customHeight="1" x14ac:dyDescent="0.2">
      <c r="A44" s="106">
        <f>SHIPMENTS!A50</f>
        <v>9113</v>
      </c>
      <c r="B44" s="106" t="str">
        <f>SHIPMENTS!B50</f>
        <v>15900- Mandaue |Stephen Chian</v>
      </c>
      <c r="C44" s="132">
        <f>SHIPMENTS!F50</f>
        <v>0.34</v>
      </c>
      <c r="D44" s="107" t="str">
        <f>IF((SHIPMENTS!I50)=0,"",SHIPMENTS!I50)</f>
        <v/>
      </c>
      <c r="E44" s="176">
        <f>IF((SHIPMENTS!G50)=0,"",SHIPMENTS!G50)</f>
        <v>46351</v>
      </c>
      <c r="F44" s="109">
        <f>VLOOKUP(A44,Items!$A$5:$J$1000,8,0)</f>
        <v>2</v>
      </c>
      <c r="G44" s="98">
        <f>VLOOKUP(A44,load!$A$4:$U$5001,3,0)</f>
        <v>1.9172499999999999</v>
      </c>
      <c r="H44" s="97">
        <f>Manhours!$C$20</f>
        <v>4</v>
      </c>
      <c r="I44" s="98">
        <f t="shared" si="32"/>
        <v>36.4</v>
      </c>
      <c r="J44" s="99">
        <f t="shared" si="33"/>
        <v>5.2671703296703294E-2</v>
      </c>
      <c r="K44" s="99">
        <f t="shared" si="34"/>
        <v>0.47931249999999997</v>
      </c>
      <c r="L44" s="98">
        <f t="shared" si="35"/>
        <v>5.2671703296703294E-2</v>
      </c>
      <c r="M44" s="98">
        <f t="shared" si="36"/>
        <v>0.47931249999999997</v>
      </c>
      <c r="N44" s="181">
        <f t="shared" si="37"/>
        <v>46321.839444141915</v>
      </c>
      <c r="O44" s="181">
        <f t="shared" si="38"/>
        <v>46321.892115845214</v>
      </c>
      <c r="P44" s="112">
        <f>VLOOKUP(A44,SHIPMENTS!$A$7:$AP$76,10,0)</f>
        <v>0</v>
      </c>
      <c r="Q44" s="101"/>
      <c r="R44" s="127" t="str">
        <f t="shared" si="30"/>
        <v/>
      </c>
      <c r="S44" s="127" t="str">
        <f t="shared" si="30"/>
        <v/>
      </c>
      <c r="T44" s="127" t="str">
        <f t="shared" si="30"/>
        <v/>
      </c>
      <c r="U44" s="127" t="str">
        <f t="shared" si="30"/>
        <v/>
      </c>
      <c r="V44" s="127" t="str">
        <f t="shared" si="30"/>
        <v/>
      </c>
      <c r="W44" s="127" t="str">
        <f t="shared" si="30"/>
        <v/>
      </c>
      <c r="X44" s="127" t="str">
        <f t="shared" si="30"/>
        <v/>
      </c>
      <c r="Y44" s="127" t="str">
        <f t="shared" si="30"/>
        <v/>
      </c>
      <c r="Z44" s="127" t="str">
        <f t="shared" si="30"/>
        <v/>
      </c>
      <c r="AA44" s="127" t="str">
        <f t="shared" si="30"/>
        <v/>
      </c>
      <c r="AB44" s="127" t="str">
        <f t="shared" si="30"/>
        <v/>
      </c>
      <c r="AC44" s="127" t="str">
        <f t="shared" si="30"/>
        <v/>
      </c>
      <c r="AD44" s="127" t="str">
        <f t="shared" si="30"/>
        <v/>
      </c>
      <c r="AE44" s="127" t="str">
        <f t="shared" si="30"/>
        <v/>
      </c>
      <c r="AF44" s="127" t="str">
        <f t="shared" si="30"/>
        <v/>
      </c>
      <c r="AG44" s="127" t="str">
        <f t="shared" si="30"/>
        <v/>
      </c>
      <c r="AH44" s="127" t="str">
        <f t="shared" ref="AH44:AW53" si="43">IF($E44=AH$3,"▲","")</f>
        <v/>
      </c>
      <c r="AI44" s="127" t="str">
        <f t="shared" si="43"/>
        <v/>
      </c>
      <c r="AJ44" s="127" t="str">
        <f t="shared" si="43"/>
        <v/>
      </c>
      <c r="AK44" s="127" t="str">
        <f t="shared" si="43"/>
        <v/>
      </c>
      <c r="AL44" s="127" t="str">
        <f t="shared" si="43"/>
        <v/>
      </c>
      <c r="AM44" s="127" t="str">
        <f t="shared" si="43"/>
        <v/>
      </c>
      <c r="AN44" s="127" t="str">
        <f t="shared" si="43"/>
        <v/>
      </c>
      <c r="AO44" s="127" t="str">
        <f t="shared" si="43"/>
        <v/>
      </c>
      <c r="AP44" s="127" t="str">
        <f t="shared" si="43"/>
        <v/>
      </c>
      <c r="AQ44" s="127" t="str">
        <f t="shared" si="43"/>
        <v/>
      </c>
      <c r="AR44" s="127" t="str">
        <f t="shared" si="43"/>
        <v/>
      </c>
      <c r="AS44" s="127" t="str">
        <f t="shared" si="43"/>
        <v/>
      </c>
      <c r="AT44" s="127" t="str">
        <f t="shared" si="43"/>
        <v/>
      </c>
      <c r="AU44" s="214">
        <v>1</v>
      </c>
      <c r="AV44" s="127" t="str">
        <f t="shared" si="43"/>
        <v/>
      </c>
      <c r="AW44" s="127" t="str">
        <f t="shared" si="43"/>
        <v/>
      </c>
      <c r="AX44" s="127" t="str">
        <f t="shared" si="40"/>
        <v>▲</v>
      </c>
      <c r="AY44" s="127" t="str">
        <f t="shared" si="40"/>
        <v/>
      </c>
      <c r="AZ44" s="127" t="str">
        <f t="shared" si="40"/>
        <v/>
      </c>
      <c r="BA44" s="127" t="str">
        <f t="shared" si="40"/>
        <v/>
      </c>
      <c r="BB44" s="127" t="str">
        <f t="shared" si="40"/>
        <v/>
      </c>
      <c r="BC44" s="127" t="str">
        <f t="shared" si="40"/>
        <v/>
      </c>
      <c r="BD44" s="127" t="str">
        <f t="shared" si="41"/>
        <v/>
      </c>
      <c r="BE44" s="127" t="str">
        <f t="shared" si="41"/>
        <v/>
      </c>
      <c r="BF44" s="127" t="str">
        <f t="shared" si="41"/>
        <v/>
      </c>
      <c r="BG44" s="127" t="str">
        <f t="shared" si="39"/>
        <v/>
      </c>
      <c r="BH44" s="127" t="str">
        <f t="shared" si="39"/>
        <v/>
      </c>
      <c r="BI44" s="127" t="str">
        <f t="shared" si="39"/>
        <v/>
      </c>
      <c r="BJ44" s="127" t="str">
        <f t="shared" si="39"/>
        <v/>
      </c>
      <c r="BK44" s="127" t="str">
        <f t="shared" si="39"/>
        <v/>
      </c>
      <c r="BL44" s="127" t="str">
        <f t="shared" si="39"/>
        <v/>
      </c>
      <c r="BM44" s="127" t="str">
        <f t="shared" si="39"/>
        <v/>
      </c>
      <c r="BN44" s="127" t="str">
        <f t="shared" si="31"/>
        <v/>
      </c>
      <c r="BO44" s="127" t="str">
        <f t="shared" si="31"/>
        <v/>
      </c>
      <c r="BP44" s="127" t="str">
        <f t="shared" si="31"/>
        <v/>
      </c>
      <c r="BQ44" s="127" t="str">
        <f t="shared" si="31"/>
        <v/>
      </c>
      <c r="BR44" s="127" t="str">
        <f t="shared" si="31"/>
        <v/>
      </c>
      <c r="BS44" s="127" t="str">
        <f t="shared" si="31"/>
        <v/>
      </c>
      <c r="BT44" s="127" t="str">
        <f t="shared" si="31"/>
        <v/>
      </c>
      <c r="BU44" s="127" t="str">
        <f t="shared" si="31"/>
        <v/>
      </c>
      <c r="BV44" s="127" t="str">
        <f t="shared" si="31"/>
        <v/>
      </c>
      <c r="BW44" s="127" t="str">
        <f t="shared" si="31"/>
        <v/>
      </c>
      <c r="BX44" s="127" t="str">
        <f t="shared" si="31"/>
        <v/>
      </c>
      <c r="BY44" s="127" t="str">
        <f t="shared" si="31"/>
        <v/>
      </c>
      <c r="BZ44" s="127" t="str">
        <f t="shared" si="42"/>
        <v/>
      </c>
      <c r="CA44" s="127" t="str">
        <f t="shared" si="42"/>
        <v/>
      </c>
      <c r="CB44" s="127" t="str">
        <f t="shared" si="42"/>
        <v/>
      </c>
      <c r="CC44" s="127" t="str">
        <f t="shared" si="42"/>
        <v/>
      </c>
      <c r="CD44" s="127" t="str">
        <f t="shared" si="42"/>
        <v/>
      </c>
      <c r="CE44" s="127" t="str">
        <f t="shared" si="42"/>
        <v/>
      </c>
    </row>
    <row r="45" spans="1:83" ht="12.6" customHeight="1" x14ac:dyDescent="0.2">
      <c r="A45" s="106">
        <f>SHIPMENTS!A51</f>
        <v>8938</v>
      </c>
      <c r="B45" s="106" t="str">
        <f>SHIPMENTS!B51</f>
        <v>9600-NEW ZEALAND</v>
      </c>
      <c r="C45" s="132">
        <f>SHIPMENTS!F51</f>
        <v>36.496094285714285</v>
      </c>
      <c r="D45" s="107" t="str">
        <f>IF((SHIPMENTS!I51)=0,"",SHIPMENTS!I51)</f>
        <v>1X20</v>
      </c>
      <c r="E45" s="176" t="str">
        <f>IF((SHIPMENTS!G51)=0,"",SHIPMENTS!G51)</f>
        <v>TBA</v>
      </c>
      <c r="F45" s="109">
        <f>VLOOKUP(A45,Items!$A$5:$J$1000,8,0)</f>
        <v>20</v>
      </c>
      <c r="G45" s="98">
        <f>VLOOKUP(A45,load!$A$4:$U$5001,3,0)</f>
        <v>20.488881666666668</v>
      </c>
      <c r="H45" s="97">
        <f>Manhours!$C$20</f>
        <v>4</v>
      </c>
      <c r="I45" s="98">
        <f t="shared" si="32"/>
        <v>36.4</v>
      </c>
      <c r="J45" s="99">
        <f t="shared" si="33"/>
        <v>0.5628813644688645</v>
      </c>
      <c r="K45" s="99">
        <f t="shared" si="34"/>
        <v>5.1222204166666669</v>
      </c>
      <c r="L45" s="98">
        <f t="shared" si="35"/>
        <v>0.2110805116758242</v>
      </c>
      <c r="M45" s="98">
        <f t="shared" si="36"/>
        <v>1.92083265625</v>
      </c>
      <c r="N45" s="181">
        <f t="shared" si="37"/>
        <v>46321.892115845214</v>
      </c>
      <c r="O45" s="181">
        <f t="shared" si="38"/>
        <v>46322.103196356889</v>
      </c>
      <c r="P45" s="112">
        <f>VLOOKUP(A45,SHIPMENTS!$A$7:$AP$76,10,0)</f>
        <v>0.625</v>
      </c>
      <c r="Q45" s="101"/>
      <c r="R45" s="127" t="str">
        <f t="shared" si="30"/>
        <v/>
      </c>
      <c r="S45" s="127" t="str">
        <f t="shared" si="30"/>
        <v/>
      </c>
      <c r="T45" s="127" t="str">
        <f t="shared" si="30"/>
        <v/>
      </c>
      <c r="U45" s="127" t="str">
        <f t="shared" si="30"/>
        <v/>
      </c>
      <c r="V45" s="127" t="str">
        <f t="shared" si="30"/>
        <v/>
      </c>
      <c r="W45" s="127" t="str">
        <f t="shared" si="30"/>
        <v/>
      </c>
      <c r="X45" s="127" t="str">
        <f t="shared" si="30"/>
        <v/>
      </c>
      <c r="Y45" s="127" t="str">
        <f t="shared" si="30"/>
        <v/>
      </c>
      <c r="Z45" s="127" t="str">
        <f t="shared" si="30"/>
        <v/>
      </c>
      <c r="AA45" s="127" t="str">
        <f t="shared" si="30"/>
        <v/>
      </c>
      <c r="AB45" s="127" t="str">
        <f t="shared" si="30"/>
        <v/>
      </c>
      <c r="AC45" s="127" t="str">
        <f t="shared" si="30"/>
        <v/>
      </c>
      <c r="AD45" s="127" t="str">
        <f t="shared" si="30"/>
        <v/>
      </c>
      <c r="AE45" s="127" t="str">
        <f t="shared" si="30"/>
        <v/>
      </c>
      <c r="AF45" s="127" t="str">
        <f t="shared" si="30"/>
        <v/>
      </c>
      <c r="AG45" s="127" t="str">
        <f t="shared" ref="AG45:AG53" si="44">IF($E45=AG$3,"▲","")</f>
        <v/>
      </c>
      <c r="AH45" s="127" t="str">
        <f t="shared" si="43"/>
        <v/>
      </c>
      <c r="AI45" s="127" t="str">
        <f t="shared" si="43"/>
        <v/>
      </c>
      <c r="AJ45" s="127" t="str">
        <f t="shared" si="43"/>
        <v/>
      </c>
      <c r="AK45" s="127" t="str">
        <f t="shared" si="43"/>
        <v/>
      </c>
      <c r="AL45" s="127" t="str">
        <f t="shared" si="43"/>
        <v/>
      </c>
      <c r="AM45" s="127" t="str">
        <f t="shared" si="43"/>
        <v/>
      </c>
      <c r="AN45" s="127" t="str">
        <f t="shared" si="43"/>
        <v/>
      </c>
      <c r="AO45" s="127" t="str">
        <f t="shared" si="43"/>
        <v/>
      </c>
      <c r="AP45" s="127" t="str">
        <f t="shared" si="43"/>
        <v/>
      </c>
      <c r="AQ45" s="127" t="str">
        <f t="shared" si="43"/>
        <v/>
      </c>
      <c r="AR45" s="127" t="str">
        <f t="shared" si="43"/>
        <v/>
      </c>
      <c r="AS45" s="127" t="str">
        <f t="shared" si="43"/>
        <v/>
      </c>
      <c r="AT45" s="127" t="str">
        <f t="shared" si="43"/>
        <v/>
      </c>
      <c r="AU45" s="214">
        <v>1</v>
      </c>
      <c r="AV45" s="127" t="str">
        <f t="shared" si="43"/>
        <v/>
      </c>
      <c r="AW45" s="127" t="str">
        <f t="shared" si="43"/>
        <v/>
      </c>
      <c r="AX45" s="127" t="str">
        <f t="shared" si="40"/>
        <v/>
      </c>
      <c r="AY45" s="127" t="str">
        <f t="shared" si="40"/>
        <v/>
      </c>
      <c r="AZ45" s="127" t="str">
        <f t="shared" si="40"/>
        <v/>
      </c>
      <c r="BA45" s="127" t="str">
        <f t="shared" si="40"/>
        <v/>
      </c>
      <c r="BB45" s="127" t="str">
        <f t="shared" si="40"/>
        <v/>
      </c>
      <c r="BC45" s="127" t="str">
        <f t="shared" si="40"/>
        <v/>
      </c>
      <c r="BD45" s="127" t="str">
        <f t="shared" si="41"/>
        <v/>
      </c>
      <c r="BE45" s="127" t="str">
        <f t="shared" si="41"/>
        <v/>
      </c>
      <c r="BF45" s="127" t="str">
        <f t="shared" si="41"/>
        <v/>
      </c>
      <c r="BG45" s="127" t="str">
        <f t="shared" si="39"/>
        <v/>
      </c>
      <c r="BH45" s="127" t="str">
        <f t="shared" si="39"/>
        <v/>
      </c>
      <c r="BI45" s="127" t="str">
        <f t="shared" si="39"/>
        <v/>
      </c>
      <c r="BJ45" s="127" t="str">
        <f t="shared" si="39"/>
        <v/>
      </c>
      <c r="BK45" s="127" t="str">
        <f t="shared" si="39"/>
        <v/>
      </c>
      <c r="BL45" s="127" t="str">
        <f t="shared" si="39"/>
        <v/>
      </c>
      <c r="BM45" s="127" t="str">
        <f t="shared" si="39"/>
        <v/>
      </c>
      <c r="BN45" s="127" t="str">
        <f t="shared" si="31"/>
        <v/>
      </c>
      <c r="BO45" s="127" t="str">
        <f t="shared" si="31"/>
        <v/>
      </c>
      <c r="BP45" s="127" t="str">
        <f t="shared" si="31"/>
        <v/>
      </c>
      <c r="BQ45" s="127" t="str">
        <f t="shared" si="31"/>
        <v/>
      </c>
      <c r="BR45" s="127" t="str">
        <f t="shared" si="31"/>
        <v/>
      </c>
      <c r="BS45" s="127" t="str">
        <f t="shared" si="31"/>
        <v/>
      </c>
      <c r="BT45" s="127" t="str">
        <f t="shared" si="31"/>
        <v/>
      </c>
      <c r="BU45" s="127" t="str">
        <f t="shared" si="31"/>
        <v/>
      </c>
      <c r="BV45" s="127" t="str">
        <f t="shared" si="31"/>
        <v/>
      </c>
      <c r="BW45" s="127" t="str">
        <f t="shared" si="31"/>
        <v/>
      </c>
      <c r="BX45" s="127" t="str">
        <f t="shared" si="31"/>
        <v/>
      </c>
      <c r="BY45" s="127" t="str">
        <f t="shared" si="31"/>
        <v/>
      </c>
      <c r="BZ45" s="127" t="str">
        <f t="shared" si="42"/>
        <v/>
      </c>
      <c r="CA45" s="127" t="str">
        <f t="shared" si="42"/>
        <v/>
      </c>
      <c r="CB45" s="127" t="str">
        <f t="shared" si="42"/>
        <v/>
      </c>
      <c r="CC45" s="127" t="str">
        <f t="shared" si="42"/>
        <v/>
      </c>
      <c r="CD45" s="127" t="str">
        <f t="shared" si="42"/>
        <v/>
      </c>
      <c r="CE45" s="127" t="str">
        <f t="shared" si="42"/>
        <v/>
      </c>
    </row>
    <row r="46" spans="1:83" ht="12.6" hidden="1" customHeight="1" x14ac:dyDescent="0.2">
      <c r="A46" s="106">
        <f>SHIPMENTS!A52</f>
        <v>9153</v>
      </c>
      <c r="B46" s="106" t="str">
        <f>SHIPMENTS!B52</f>
        <v>9600-NEW ZEALAND</v>
      </c>
      <c r="C46" s="132">
        <f>SHIPMENTS!F52</f>
        <v>0</v>
      </c>
      <c r="D46" s="107" t="str">
        <f>IF((SHIPMENTS!I52)=0,"",SHIPMENTS!I52)</f>
        <v/>
      </c>
      <c r="E46" s="176" t="str">
        <f>IF((SHIPMENTS!G52)=0,"",SHIPMENTS!G52)</f>
        <v>TBA</v>
      </c>
      <c r="F46" s="109">
        <f>VLOOKUP(A46,Items!$A$5:$J$1000,8,0)</f>
        <v>0</v>
      </c>
      <c r="G46" s="98">
        <f>VLOOKUP(A46,load!$A$4:$U$5001,3,0)</f>
        <v>1.7640866666666666</v>
      </c>
      <c r="H46" s="97">
        <f>Manhours!$C$20</f>
        <v>4</v>
      </c>
      <c r="I46" s="98">
        <f t="shared" ref="I46:I52" si="45">+H46*$I$4</f>
        <v>36.4</v>
      </c>
      <c r="J46" s="99">
        <f t="shared" ref="J46:J52" si="46">G46/I46</f>
        <v>4.8463919413919414E-2</v>
      </c>
      <c r="K46" s="99">
        <f t="shared" ref="K46:K52" si="47">+J46*$I$4</f>
        <v>0.44102166666666665</v>
      </c>
      <c r="L46" s="98">
        <f t="shared" ref="L46:L52" si="48">IFERROR(J46-(J46*P46),0)</f>
        <v>0</v>
      </c>
      <c r="M46" s="98">
        <f t="shared" ref="M46:M52" si="49">IFERROR(K46-(K46*P46),0)</f>
        <v>0</v>
      </c>
      <c r="N46" s="181">
        <f t="shared" ref="N46:N52" si="50">O45</f>
        <v>46322.103196356889</v>
      </c>
      <c r="O46" s="181">
        <f t="shared" ref="O46:O52" si="51">N46+L46</f>
        <v>46322.103196356889</v>
      </c>
      <c r="P46" s="112" t="str">
        <f>VLOOKUP(A46,SHIPMENTS!$A$7:$AP$76,10,0)</f>
        <v>n/a</v>
      </c>
      <c r="Q46" s="101"/>
      <c r="R46" s="127" t="str">
        <f t="shared" ref="R46:AF53" si="52">IF($E46=R$3,"▲","")</f>
        <v/>
      </c>
      <c r="S46" s="127" t="str">
        <f t="shared" si="52"/>
        <v/>
      </c>
      <c r="T46" s="127" t="str">
        <f t="shared" si="52"/>
        <v/>
      </c>
      <c r="U46" s="127" t="str">
        <f t="shared" si="52"/>
        <v/>
      </c>
      <c r="V46" s="127" t="str">
        <f t="shared" si="52"/>
        <v/>
      </c>
      <c r="W46" s="127" t="str">
        <f t="shared" si="52"/>
        <v/>
      </c>
      <c r="X46" s="127" t="str">
        <f t="shared" si="52"/>
        <v/>
      </c>
      <c r="Y46" s="127" t="str">
        <f t="shared" si="52"/>
        <v/>
      </c>
      <c r="Z46" s="127" t="str">
        <f t="shared" si="52"/>
        <v/>
      </c>
      <c r="AA46" s="127" t="str">
        <f t="shared" si="52"/>
        <v/>
      </c>
      <c r="AB46" s="127" t="str">
        <f t="shared" si="52"/>
        <v/>
      </c>
      <c r="AC46" s="127" t="str">
        <f t="shared" si="52"/>
        <v/>
      </c>
      <c r="AD46" s="127" t="str">
        <f t="shared" si="52"/>
        <v/>
      </c>
      <c r="AE46" s="127" t="str">
        <f t="shared" si="52"/>
        <v/>
      </c>
      <c r="AF46" s="127" t="str">
        <f t="shared" si="52"/>
        <v/>
      </c>
      <c r="AG46" s="127" t="str">
        <f t="shared" si="44"/>
        <v/>
      </c>
      <c r="AH46" s="127" t="str">
        <f t="shared" si="43"/>
        <v/>
      </c>
      <c r="AI46" s="127" t="str">
        <f t="shared" si="43"/>
        <v/>
      </c>
      <c r="AJ46" s="127" t="str">
        <f t="shared" si="43"/>
        <v/>
      </c>
      <c r="AK46" s="127" t="str">
        <f t="shared" si="43"/>
        <v/>
      </c>
      <c r="AL46" s="127" t="str">
        <f t="shared" si="43"/>
        <v/>
      </c>
      <c r="AM46" s="127" t="str">
        <f t="shared" si="43"/>
        <v/>
      </c>
      <c r="AN46" s="127" t="str">
        <f t="shared" si="43"/>
        <v/>
      </c>
      <c r="AO46" s="127" t="str">
        <f t="shared" si="43"/>
        <v/>
      </c>
      <c r="AP46" s="127" t="str">
        <f t="shared" si="43"/>
        <v/>
      </c>
      <c r="AQ46" s="127" t="str">
        <f t="shared" si="43"/>
        <v/>
      </c>
      <c r="AR46" s="127" t="str">
        <f t="shared" si="43"/>
        <v/>
      </c>
      <c r="AS46" s="127" t="str">
        <f t="shared" si="43"/>
        <v/>
      </c>
      <c r="AT46" s="127" t="str">
        <f t="shared" si="43"/>
        <v/>
      </c>
      <c r="AU46" s="214">
        <v>1</v>
      </c>
      <c r="AV46" s="127" t="str">
        <f t="shared" si="43"/>
        <v/>
      </c>
      <c r="AW46" s="127" t="str">
        <f t="shared" si="43"/>
        <v/>
      </c>
      <c r="AX46" s="127" t="str">
        <f t="shared" si="40"/>
        <v/>
      </c>
      <c r="AY46" s="127" t="str">
        <f t="shared" si="40"/>
        <v/>
      </c>
      <c r="AZ46" s="127" t="str">
        <f t="shared" si="40"/>
        <v/>
      </c>
      <c r="BA46" s="127" t="str">
        <f t="shared" si="40"/>
        <v/>
      </c>
      <c r="BB46" s="127" t="str">
        <f t="shared" si="40"/>
        <v/>
      </c>
      <c r="BC46" s="127" t="str">
        <f t="shared" si="40"/>
        <v/>
      </c>
      <c r="BD46" s="127" t="str">
        <f t="shared" si="41"/>
        <v/>
      </c>
      <c r="BE46" s="127" t="str">
        <f t="shared" si="41"/>
        <v/>
      </c>
      <c r="BF46" s="127" t="str">
        <f t="shared" si="41"/>
        <v/>
      </c>
      <c r="BG46" s="127" t="str">
        <f t="shared" si="39"/>
        <v/>
      </c>
      <c r="BH46" s="127" t="str">
        <f t="shared" si="39"/>
        <v/>
      </c>
      <c r="BI46" s="127" t="str">
        <f t="shared" si="39"/>
        <v/>
      </c>
      <c r="BJ46" s="127" t="str">
        <f t="shared" si="39"/>
        <v/>
      </c>
      <c r="BK46" s="127" t="str">
        <f t="shared" si="39"/>
        <v/>
      </c>
      <c r="BL46" s="127" t="str">
        <f t="shared" si="39"/>
        <v/>
      </c>
      <c r="BM46" s="127" t="str">
        <f t="shared" si="39"/>
        <v/>
      </c>
      <c r="BN46" s="127" t="str">
        <f t="shared" si="31"/>
        <v/>
      </c>
      <c r="BO46" s="127" t="str">
        <f t="shared" si="31"/>
        <v/>
      </c>
      <c r="BP46" s="127" t="str">
        <f t="shared" si="31"/>
        <v/>
      </c>
      <c r="BQ46" s="127" t="str">
        <f t="shared" si="31"/>
        <v/>
      </c>
      <c r="BR46" s="127" t="str">
        <f t="shared" si="31"/>
        <v/>
      </c>
      <c r="BS46" s="127" t="str">
        <f t="shared" si="31"/>
        <v/>
      </c>
      <c r="BT46" s="127" t="str">
        <f t="shared" si="31"/>
        <v/>
      </c>
      <c r="BU46" s="127" t="str">
        <f t="shared" si="31"/>
        <v/>
      </c>
      <c r="BV46" s="127" t="str">
        <f t="shared" si="31"/>
        <v/>
      </c>
      <c r="BW46" s="127" t="str">
        <f t="shared" si="31"/>
        <v/>
      </c>
      <c r="BX46" s="127" t="str">
        <f t="shared" si="31"/>
        <v/>
      </c>
      <c r="BY46" s="127" t="str">
        <f t="shared" si="31"/>
        <v/>
      </c>
      <c r="BZ46" s="127" t="str">
        <f t="shared" si="42"/>
        <v/>
      </c>
      <c r="CA46" s="127" t="str">
        <f t="shared" si="42"/>
        <v/>
      </c>
      <c r="CB46" s="127" t="str">
        <f t="shared" si="42"/>
        <v/>
      </c>
      <c r="CC46" s="127" t="str">
        <f t="shared" si="42"/>
        <v/>
      </c>
      <c r="CD46" s="127" t="str">
        <f t="shared" si="42"/>
        <v/>
      </c>
      <c r="CE46" s="127" t="str">
        <f t="shared" si="42"/>
        <v/>
      </c>
    </row>
    <row r="47" spans="1:83" ht="12.6" hidden="1" customHeight="1" x14ac:dyDescent="0.2">
      <c r="A47" s="106">
        <f>SHIPMENTS!A53</f>
        <v>8294</v>
      </c>
      <c r="B47" s="106" t="str">
        <f>SHIPMENTS!B53</f>
        <v>9600-NEW ZEALAND BACKLOG</v>
      </c>
      <c r="C47" s="132">
        <f>SHIPMENTS!F53</f>
        <v>0</v>
      </c>
      <c r="D47" s="107" t="str">
        <f>IF((SHIPMENTS!I53)=0,"",SHIPMENTS!I53)</f>
        <v/>
      </c>
      <c r="E47" s="176" t="str">
        <f>IF((SHIPMENTS!G53)=0,"",SHIPMENTS!G53)</f>
        <v>TBA</v>
      </c>
      <c r="F47" s="109">
        <f>VLOOKUP(A47,Items!$A$5:$J$1000,8,0)</f>
        <v>0</v>
      </c>
      <c r="G47" s="98">
        <f>VLOOKUP(A47,load!$A$4:$U$5001,3,0)</f>
        <v>0</v>
      </c>
      <c r="H47" s="97">
        <f>Manhours!$C$20</f>
        <v>4</v>
      </c>
      <c r="I47" s="98">
        <f t="shared" si="45"/>
        <v>36.4</v>
      </c>
      <c r="J47" s="99">
        <f t="shared" si="46"/>
        <v>0</v>
      </c>
      <c r="K47" s="99">
        <f t="shared" si="47"/>
        <v>0</v>
      </c>
      <c r="L47" s="98">
        <f t="shared" si="48"/>
        <v>0</v>
      </c>
      <c r="M47" s="98">
        <f t="shared" si="49"/>
        <v>0</v>
      </c>
      <c r="N47" s="181">
        <f t="shared" si="50"/>
        <v>46322.103196356889</v>
      </c>
      <c r="O47" s="181">
        <f t="shared" si="51"/>
        <v>46322.103196356889</v>
      </c>
      <c r="P47" s="112" t="str">
        <f>VLOOKUP(A47,SHIPMENTS!$A$7:$AP$76,10,0)</f>
        <v>n/a</v>
      </c>
      <c r="Q47" s="101"/>
      <c r="R47" s="127" t="str">
        <f t="shared" si="52"/>
        <v/>
      </c>
      <c r="S47" s="127" t="str">
        <f t="shared" si="52"/>
        <v/>
      </c>
      <c r="T47" s="127" t="str">
        <f t="shared" si="52"/>
        <v/>
      </c>
      <c r="U47" s="127" t="str">
        <f t="shared" si="52"/>
        <v/>
      </c>
      <c r="V47" s="127" t="str">
        <f t="shared" si="52"/>
        <v/>
      </c>
      <c r="W47" s="127" t="str">
        <f t="shared" si="52"/>
        <v/>
      </c>
      <c r="X47" s="127" t="str">
        <f t="shared" si="52"/>
        <v/>
      </c>
      <c r="Y47" s="127" t="str">
        <f t="shared" si="52"/>
        <v/>
      </c>
      <c r="Z47" s="127" t="str">
        <f t="shared" si="52"/>
        <v/>
      </c>
      <c r="AA47" s="127" t="str">
        <f t="shared" si="52"/>
        <v/>
      </c>
      <c r="AB47" s="127" t="str">
        <f t="shared" si="52"/>
        <v/>
      </c>
      <c r="AC47" s="127" t="str">
        <f t="shared" si="52"/>
        <v/>
      </c>
      <c r="AD47" s="127" t="str">
        <f t="shared" si="52"/>
        <v/>
      </c>
      <c r="AE47" s="127" t="str">
        <f t="shared" si="52"/>
        <v/>
      </c>
      <c r="AF47" s="127" t="str">
        <f t="shared" si="52"/>
        <v/>
      </c>
      <c r="AG47" s="127" t="str">
        <f t="shared" si="44"/>
        <v/>
      </c>
      <c r="AH47" s="127" t="str">
        <f t="shared" si="43"/>
        <v/>
      </c>
      <c r="AI47" s="127" t="str">
        <f t="shared" si="43"/>
        <v/>
      </c>
      <c r="AJ47" s="127" t="str">
        <f t="shared" si="43"/>
        <v/>
      </c>
      <c r="AK47" s="127" t="str">
        <f t="shared" si="43"/>
        <v/>
      </c>
      <c r="AL47" s="127" t="str">
        <f t="shared" si="43"/>
        <v/>
      </c>
      <c r="AM47" s="127" t="str">
        <f t="shared" si="43"/>
        <v/>
      </c>
      <c r="AN47" s="127" t="str">
        <f t="shared" si="43"/>
        <v/>
      </c>
      <c r="AO47" s="127" t="str">
        <f t="shared" si="43"/>
        <v/>
      </c>
      <c r="AP47" s="127" t="str">
        <f t="shared" si="43"/>
        <v/>
      </c>
      <c r="AQ47" s="127" t="str">
        <f t="shared" si="43"/>
        <v/>
      </c>
      <c r="AR47" s="127" t="str">
        <f t="shared" si="43"/>
        <v/>
      </c>
      <c r="AS47" s="127" t="str">
        <f t="shared" si="43"/>
        <v/>
      </c>
      <c r="AT47" s="127" t="str">
        <f t="shared" si="43"/>
        <v/>
      </c>
      <c r="AU47" s="214">
        <v>1</v>
      </c>
      <c r="AV47" s="127" t="str">
        <f t="shared" si="43"/>
        <v/>
      </c>
      <c r="AW47" s="127" t="str">
        <f t="shared" si="43"/>
        <v/>
      </c>
      <c r="AX47" s="127" t="str">
        <f t="shared" si="40"/>
        <v/>
      </c>
      <c r="AY47" s="127" t="str">
        <f t="shared" si="40"/>
        <v/>
      </c>
      <c r="AZ47" s="127" t="str">
        <f t="shared" si="40"/>
        <v/>
      </c>
      <c r="BA47" s="127" t="str">
        <f t="shared" si="40"/>
        <v/>
      </c>
      <c r="BB47" s="127" t="str">
        <f t="shared" si="40"/>
        <v/>
      </c>
      <c r="BC47" s="127" t="str">
        <f t="shared" si="40"/>
        <v/>
      </c>
      <c r="BD47" s="127" t="str">
        <f t="shared" si="41"/>
        <v/>
      </c>
      <c r="BE47" s="127" t="str">
        <f t="shared" si="41"/>
        <v/>
      </c>
      <c r="BF47" s="127" t="str">
        <f t="shared" si="41"/>
        <v/>
      </c>
      <c r="BG47" s="127" t="str">
        <f t="shared" si="39"/>
        <v/>
      </c>
      <c r="BH47" s="127" t="str">
        <f t="shared" si="39"/>
        <v/>
      </c>
      <c r="BI47" s="127" t="str">
        <f t="shared" si="39"/>
        <v/>
      </c>
      <c r="BJ47" s="127" t="str">
        <f t="shared" si="39"/>
        <v/>
      </c>
      <c r="BK47" s="127" t="str">
        <f t="shared" si="39"/>
        <v/>
      </c>
      <c r="BL47" s="127" t="str">
        <f t="shared" si="39"/>
        <v/>
      </c>
      <c r="BM47" s="127" t="str">
        <f t="shared" si="39"/>
        <v/>
      </c>
      <c r="BN47" s="127" t="str">
        <f t="shared" si="39"/>
        <v/>
      </c>
      <c r="BO47" s="127" t="str">
        <f t="shared" si="39"/>
        <v/>
      </c>
      <c r="BP47" s="127" t="str">
        <f t="shared" si="39"/>
        <v/>
      </c>
      <c r="BQ47" s="127" t="str">
        <f t="shared" si="39"/>
        <v/>
      </c>
      <c r="BR47" s="127" t="str">
        <f t="shared" si="39"/>
        <v/>
      </c>
      <c r="BS47" s="127" t="str">
        <f t="shared" si="39"/>
        <v/>
      </c>
      <c r="BT47" s="127" t="str">
        <f t="shared" si="39"/>
        <v/>
      </c>
      <c r="BU47" s="127" t="str">
        <f t="shared" si="39"/>
        <v/>
      </c>
      <c r="BV47" s="127" t="str">
        <f t="shared" si="39"/>
        <v/>
      </c>
      <c r="BW47" s="127" t="str">
        <f t="shared" ref="BN47:BY53" si="53">IF($E47=BW$3,"▲","")</f>
        <v/>
      </c>
      <c r="BX47" s="127" t="str">
        <f t="shared" si="53"/>
        <v/>
      </c>
      <c r="BY47" s="127" t="str">
        <f t="shared" si="53"/>
        <v/>
      </c>
      <c r="BZ47" s="127" t="str">
        <f t="shared" si="42"/>
        <v/>
      </c>
      <c r="CA47" s="127" t="str">
        <f t="shared" si="42"/>
        <v/>
      </c>
      <c r="CB47" s="127" t="str">
        <f t="shared" si="42"/>
        <v/>
      </c>
      <c r="CC47" s="127" t="str">
        <f t="shared" si="42"/>
        <v/>
      </c>
      <c r="CD47" s="127" t="str">
        <f t="shared" si="42"/>
        <v/>
      </c>
      <c r="CE47" s="127" t="str">
        <f t="shared" si="42"/>
        <v/>
      </c>
    </row>
    <row r="48" spans="1:83" ht="12.6" hidden="1" customHeight="1" x14ac:dyDescent="0.2">
      <c r="A48" s="106">
        <f>SHIPMENTS!A54</f>
        <v>7114</v>
      </c>
      <c r="B48" s="106" t="str">
        <f>SHIPMENTS!B54</f>
        <v>9600-NEW ZEALAND BACKLOG</v>
      </c>
      <c r="C48" s="132">
        <f>SHIPMENTS!F54</f>
        <v>0</v>
      </c>
      <c r="D48" s="107" t="str">
        <f>IF((SHIPMENTS!I54)=0,"",SHIPMENTS!I54)</f>
        <v/>
      </c>
      <c r="E48" s="176" t="str">
        <f>IF((SHIPMENTS!G54)=0,"",SHIPMENTS!G54)</f>
        <v/>
      </c>
      <c r="F48" s="109">
        <f>VLOOKUP(A48,Items!$A$5:$J$1000,8,0)</f>
        <v>0</v>
      </c>
      <c r="G48" s="98">
        <f>VLOOKUP(A48,load!$A$4:$U$5001,3,0)</f>
        <v>0</v>
      </c>
      <c r="H48" s="97">
        <f>Manhours!$C$20</f>
        <v>4</v>
      </c>
      <c r="I48" s="98">
        <f t="shared" si="45"/>
        <v>36.4</v>
      </c>
      <c r="J48" s="99">
        <f t="shared" si="46"/>
        <v>0</v>
      </c>
      <c r="K48" s="99">
        <f t="shared" si="47"/>
        <v>0</v>
      </c>
      <c r="L48" s="98">
        <f t="shared" si="48"/>
        <v>0</v>
      </c>
      <c r="M48" s="98">
        <f t="shared" si="49"/>
        <v>0</v>
      </c>
      <c r="N48" s="181">
        <f t="shared" si="50"/>
        <v>46322.103196356889</v>
      </c>
      <c r="O48" s="181">
        <f t="shared" si="51"/>
        <v>46322.103196356889</v>
      </c>
      <c r="P48" s="112" t="str">
        <f>VLOOKUP(A48,SHIPMENTS!$A$7:$AP$76,10,0)</f>
        <v>n/a</v>
      </c>
      <c r="Q48" s="101"/>
      <c r="R48" s="127" t="str">
        <f t="shared" si="52"/>
        <v/>
      </c>
      <c r="S48" s="127" t="str">
        <f t="shared" si="52"/>
        <v/>
      </c>
      <c r="T48" s="127" t="str">
        <f t="shared" si="52"/>
        <v/>
      </c>
      <c r="U48" s="127" t="str">
        <f t="shared" si="52"/>
        <v/>
      </c>
      <c r="V48" s="127" t="str">
        <f t="shared" si="52"/>
        <v/>
      </c>
      <c r="W48" s="127" t="str">
        <f t="shared" si="52"/>
        <v/>
      </c>
      <c r="X48" s="127" t="str">
        <f t="shared" si="52"/>
        <v/>
      </c>
      <c r="Y48" s="127" t="str">
        <f t="shared" si="52"/>
        <v/>
      </c>
      <c r="Z48" s="127" t="str">
        <f t="shared" si="52"/>
        <v/>
      </c>
      <c r="AA48" s="127" t="str">
        <f t="shared" si="52"/>
        <v/>
      </c>
      <c r="AB48" s="127" t="str">
        <f t="shared" si="52"/>
        <v/>
      </c>
      <c r="AC48" s="127" t="str">
        <f t="shared" si="52"/>
        <v/>
      </c>
      <c r="AD48" s="127" t="str">
        <f t="shared" si="52"/>
        <v/>
      </c>
      <c r="AE48" s="127" t="str">
        <f t="shared" si="52"/>
        <v/>
      </c>
      <c r="AF48" s="127" t="str">
        <f t="shared" si="52"/>
        <v/>
      </c>
      <c r="AG48" s="127" t="str">
        <f t="shared" si="44"/>
        <v/>
      </c>
      <c r="AH48" s="127" t="str">
        <f t="shared" si="43"/>
        <v/>
      </c>
      <c r="AI48" s="127" t="str">
        <f t="shared" si="43"/>
        <v/>
      </c>
      <c r="AJ48" s="127" t="str">
        <f t="shared" si="43"/>
        <v/>
      </c>
      <c r="AK48" s="127" t="str">
        <f t="shared" si="43"/>
        <v/>
      </c>
      <c r="AL48" s="127" t="str">
        <f t="shared" si="43"/>
        <v/>
      </c>
      <c r="AM48" s="127" t="str">
        <f t="shared" si="43"/>
        <v/>
      </c>
      <c r="AN48" s="127" t="str">
        <f t="shared" si="43"/>
        <v/>
      </c>
      <c r="AO48" s="127" t="str">
        <f t="shared" si="43"/>
        <v/>
      </c>
      <c r="AP48" s="127" t="str">
        <f t="shared" si="43"/>
        <v/>
      </c>
      <c r="AQ48" s="127" t="str">
        <f t="shared" si="43"/>
        <v/>
      </c>
      <c r="AR48" s="127" t="str">
        <f t="shared" si="43"/>
        <v/>
      </c>
      <c r="AS48" s="127" t="str">
        <f t="shared" si="43"/>
        <v/>
      </c>
      <c r="AT48" s="127" t="str">
        <f t="shared" si="43"/>
        <v/>
      </c>
      <c r="AU48" s="214">
        <v>1</v>
      </c>
      <c r="AV48" s="127" t="str">
        <f t="shared" si="43"/>
        <v/>
      </c>
      <c r="AW48" s="127" t="str">
        <f t="shared" si="43"/>
        <v/>
      </c>
      <c r="AX48" s="127" t="str">
        <f t="shared" si="40"/>
        <v/>
      </c>
      <c r="AY48" s="127" t="str">
        <f t="shared" si="40"/>
        <v/>
      </c>
      <c r="AZ48" s="127" t="str">
        <f t="shared" si="40"/>
        <v/>
      </c>
      <c r="BA48" s="127" t="str">
        <f t="shared" si="40"/>
        <v/>
      </c>
      <c r="BB48" s="127" t="str">
        <f t="shared" si="40"/>
        <v/>
      </c>
      <c r="BC48" s="127" t="str">
        <f t="shared" si="40"/>
        <v/>
      </c>
      <c r="BD48" s="127" t="str">
        <f t="shared" si="41"/>
        <v/>
      </c>
      <c r="BE48" s="127" t="str">
        <f t="shared" si="41"/>
        <v/>
      </c>
      <c r="BF48" s="127" t="str">
        <f t="shared" si="41"/>
        <v/>
      </c>
      <c r="BG48" s="127" t="str">
        <f t="shared" si="39"/>
        <v/>
      </c>
      <c r="BH48" s="127" t="str">
        <f t="shared" si="39"/>
        <v/>
      </c>
      <c r="BI48" s="127" t="str">
        <f t="shared" si="39"/>
        <v/>
      </c>
      <c r="BJ48" s="127" t="str">
        <f t="shared" si="39"/>
        <v/>
      </c>
      <c r="BK48" s="127" t="str">
        <f t="shared" si="39"/>
        <v/>
      </c>
      <c r="BL48" s="127" t="str">
        <f t="shared" si="39"/>
        <v/>
      </c>
      <c r="BM48" s="127" t="str">
        <f t="shared" si="39"/>
        <v/>
      </c>
      <c r="BN48" s="127" t="str">
        <f t="shared" si="53"/>
        <v/>
      </c>
      <c r="BO48" s="127" t="str">
        <f t="shared" si="53"/>
        <v/>
      </c>
      <c r="BP48" s="127" t="str">
        <f t="shared" si="53"/>
        <v/>
      </c>
      <c r="BQ48" s="127" t="str">
        <f t="shared" si="53"/>
        <v/>
      </c>
      <c r="BR48" s="127" t="str">
        <f t="shared" si="53"/>
        <v/>
      </c>
      <c r="BS48" s="127" t="str">
        <f t="shared" si="53"/>
        <v/>
      </c>
      <c r="BT48" s="127" t="str">
        <f t="shared" si="53"/>
        <v/>
      </c>
      <c r="BU48" s="127" t="str">
        <f t="shared" si="53"/>
        <v/>
      </c>
      <c r="BV48" s="127" t="str">
        <f t="shared" si="53"/>
        <v/>
      </c>
      <c r="BW48" s="127" t="str">
        <f t="shared" si="53"/>
        <v/>
      </c>
      <c r="BX48" s="127" t="str">
        <f t="shared" si="53"/>
        <v/>
      </c>
      <c r="BY48" s="127" t="str">
        <f t="shared" si="53"/>
        <v/>
      </c>
      <c r="BZ48" s="127" t="str">
        <f t="shared" si="42"/>
        <v/>
      </c>
      <c r="CA48" s="127" t="str">
        <f t="shared" si="42"/>
        <v/>
      </c>
      <c r="CB48" s="127" t="str">
        <f t="shared" si="42"/>
        <v/>
      </c>
      <c r="CC48" s="127" t="str">
        <f t="shared" si="42"/>
        <v/>
      </c>
      <c r="CD48" s="127" t="str">
        <f t="shared" si="42"/>
        <v/>
      </c>
      <c r="CE48" s="127" t="str">
        <f t="shared" si="42"/>
        <v/>
      </c>
    </row>
    <row r="49" spans="1:83" ht="12.6" hidden="1" customHeight="1" x14ac:dyDescent="0.2">
      <c r="A49" s="106">
        <f>SHIPMENTS!A55</f>
        <v>6967</v>
      </c>
      <c r="B49" s="106" t="str">
        <f>SHIPMENTS!B55</f>
        <v>9600-NEW ZEALAND BACKLOG</v>
      </c>
      <c r="C49" s="132">
        <f>SHIPMENTS!F55</f>
        <v>0</v>
      </c>
      <c r="D49" s="107" t="str">
        <f>IF((SHIPMENTS!I55)=0,"",SHIPMENTS!I55)</f>
        <v/>
      </c>
      <c r="E49" s="176" t="str">
        <f>IF((SHIPMENTS!G55)=0,"",SHIPMENTS!G55)</f>
        <v/>
      </c>
      <c r="F49" s="109">
        <f>VLOOKUP(A49,Items!$A$5:$J$1000,8,0)</f>
        <v>0</v>
      </c>
      <c r="G49" s="98">
        <f>VLOOKUP(A49,load!$A$4:$U$5001,3,0)</f>
        <v>0</v>
      </c>
      <c r="H49" s="97">
        <f>Manhours!$C$20</f>
        <v>4</v>
      </c>
      <c r="I49" s="98">
        <f t="shared" si="45"/>
        <v>36.4</v>
      </c>
      <c r="J49" s="99">
        <f t="shared" si="46"/>
        <v>0</v>
      </c>
      <c r="K49" s="99">
        <f t="shared" si="47"/>
        <v>0</v>
      </c>
      <c r="L49" s="98">
        <f t="shared" si="48"/>
        <v>0</v>
      </c>
      <c r="M49" s="98">
        <f t="shared" si="49"/>
        <v>0</v>
      </c>
      <c r="N49" s="181">
        <f t="shared" si="50"/>
        <v>46322.103196356889</v>
      </c>
      <c r="O49" s="181">
        <f t="shared" si="51"/>
        <v>46322.103196356889</v>
      </c>
      <c r="P49" s="112" t="str">
        <f>VLOOKUP(A49,SHIPMENTS!$A$7:$AP$76,10,0)</f>
        <v>n/a</v>
      </c>
      <c r="Q49" s="101"/>
      <c r="R49" s="127" t="str">
        <f t="shared" si="52"/>
        <v/>
      </c>
      <c r="S49" s="127" t="str">
        <f t="shared" si="52"/>
        <v/>
      </c>
      <c r="T49" s="127" t="str">
        <f t="shared" si="52"/>
        <v/>
      </c>
      <c r="U49" s="127" t="str">
        <f t="shared" si="52"/>
        <v/>
      </c>
      <c r="V49" s="127" t="str">
        <f t="shared" si="52"/>
        <v/>
      </c>
      <c r="W49" s="127" t="str">
        <f t="shared" si="52"/>
        <v/>
      </c>
      <c r="X49" s="127" t="str">
        <f t="shared" si="52"/>
        <v/>
      </c>
      <c r="Y49" s="127" t="str">
        <f t="shared" si="52"/>
        <v/>
      </c>
      <c r="Z49" s="127" t="str">
        <f t="shared" si="52"/>
        <v/>
      </c>
      <c r="AA49" s="127" t="str">
        <f t="shared" si="52"/>
        <v/>
      </c>
      <c r="AB49" s="127" t="str">
        <f t="shared" si="52"/>
        <v/>
      </c>
      <c r="AC49" s="127" t="str">
        <f t="shared" si="52"/>
        <v/>
      </c>
      <c r="AD49" s="127" t="str">
        <f t="shared" si="52"/>
        <v/>
      </c>
      <c r="AE49" s="127" t="str">
        <f t="shared" si="52"/>
        <v/>
      </c>
      <c r="AF49" s="127" t="str">
        <f t="shared" si="52"/>
        <v/>
      </c>
      <c r="AG49" s="127" t="str">
        <f t="shared" si="44"/>
        <v/>
      </c>
      <c r="AH49" s="127" t="str">
        <f t="shared" si="43"/>
        <v/>
      </c>
      <c r="AI49" s="127" t="str">
        <f t="shared" si="43"/>
        <v/>
      </c>
      <c r="AJ49" s="127" t="str">
        <f t="shared" si="43"/>
        <v/>
      </c>
      <c r="AK49" s="127" t="str">
        <f t="shared" si="43"/>
        <v/>
      </c>
      <c r="AL49" s="127" t="str">
        <f t="shared" si="43"/>
        <v/>
      </c>
      <c r="AM49" s="127" t="str">
        <f t="shared" si="43"/>
        <v/>
      </c>
      <c r="AN49" s="127" t="str">
        <f t="shared" si="43"/>
        <v/>
      </c>
      <c r="AO49" s="127" t="str">
        <f t="shared" si="43"/>
        <v/>
      </c>
      <c r="AP49" s="127" t="str">
        <f t="shared" si="43"/>
        <v/>
      </c>
      <c r="AQ49" s="127" t="str">
        <f t="shared" si="43"/>
        <v/>
      </c>
      <c r="AR49" s="127" t="str">
        <f t="shared" si="43"/>
        <v/>
      </c>
      <c r="AS49" s="127" t="str">
        <f t="shared" si="43"/>
        <v/>
      </c>
      <c r="AT49" s="127" t="str">
        <f t="shared" si="43"/>
        <v/>
      </c>
      <c r="AU49" s="214">
        <v>1</v>
      </c>
      <c r="AV49" s="127" t="str">
        <f t="shared" si="43"/>
        <v/>
      </c>
      <c r="AW49" s="127" t="str">
        <f t="shared" si="43"/>
        <v/>
      </c>
      <c r="AX49" s="127" t="str">
        <f t="shared" si="40"/>
        <v/>
      </c>
      <c r="AY49" s="127" t="str">
        <f t="shared" si="40"/>
        <v/>
      </c>
      <c r="AZ49" s="127" t="str">
        <f t="shared" si="40"/>
        <v/>
      </c>
      <c r="BA49" s="127" t="str">
        <f t="shared" si="40"/>
        <v/>
      </c>
      <c r="BB49" s="127" t="str">
        <f t="shared" si="40"/>
        <v/>
      </c>
      <c r="BC49" s="127" t="str">
        <f t="shared" si="40"/>
        <v/>
      </c>
      <c r="BD49" s="127" t="str">
        <f t="shared" si="41"/>
        <v/>
      </c>
      <c r="BE49" s="127" t="str">
        <f t="shared" si="41"/>
        <v/>
      </c>
      <c r="BF49" s="127" t="str">
        <f t="shared" si="41"/>
        <v/>
      </c>
      <c r="BG49" s="127" t="str">
        <f t="shared" si="39"/>
        <v/>
      </c>
      <c r="BH49" s="127" t="str">
        <f t="shared" si="39"/>
        <v/>
      </c>
      <c r="BI49" s="127" t="str">
        <f t="shared" si="39"/>
        <v/>
      </c>
      <c r="BJ49" s="127" t="str">
        <f t="shared" si="39"/>
        <v/>
      </c>
      <c r="BK49" s="127" t="str">
        <f t="shared" si="39"/>
        <v/>
      </c>
      <c r="BL49" s="127" t="str">
        <f t="shared" si="39"/>
        <v/>
      </c>
      <c r="BM49" s="127" t="str">
        <f t="shared" si="39"/>
        <v/>
      </c>
      <c r="BN49" s="127" t="str">
        <f t="shared" si="53"/>
        <v/>
      </c>
      <c r="BO49" s="127" t="str">
        <f t="shared" si="53"/>
        <v/>
      </c>
      <c r="BP49" s="127" t="str">
        <f t="shared" si="53"/>
        <v/>
      </c>
      <c r="BQ49" s="127" t="str">
        <f t="shared" si="53"/>
        <v/>
      </c>
      <c r="BR49" s="127" t="str">
        <f t="shared" si="53"/>
        <v/>
      </c>
      <c r="BS49" s="127" t="str">
        <f t="shared" si="53"/>
        <v/>
      </c>
      <c r="BT49" s="127" t="str">
        <f t="shared" si="53"/>
        <v/>
      </c>
      <c r="BU49" s="127" t="str">
        <f t="shared" si="53"/>
        <v/>
      </c>
      <c r="BV49" s="127" t="str">
        <f t="shared" si="53"/>
        <v/>
      </c>
      <c r="BW49" s="127" t="str">
        <f t="shared" si="53"/>
        <v/>
      </c>
      <c r="BX49" s="127" t="str">
        <f t="shared" si="53"/>
        <v/>
      </c>
      <c r="BY49" s="127" t="str">
        <f t="shared" si="53"/>
        <v/>
      </c>
      <c r="BZ49" s="127" t="str">
        <f t="shared" si="42"/>
        <v/>
      </c>
      <c r="CA49" s="127" t="str">
        <f t="shared" si="42"/>
        <v/>
      </c>
      <c r="CB49" s="127" t="str">
        <f t="shared" si="42"/>
        <v/>
      </c>
      <c r="CC49" s="127" t="str">
        <f t="shared" si="42"/>
        <v/>
      </c>
      <c r="CD49" s="127" t="str">
        <f t="shared" si="42"/>
        <v/>
      </c>
      <c r="CE49" s="127" t="str">
        <f t="shared" si="42"/>
        <v/>
      </c>
    </row>
    <row r="50" spans="1:83" ht="12.6" hidden="1" customHeight="1" x14ac:dyDescent="0.2">
      <c r="A50" s="106">
        <f>SHIPMENTS!A56</f>
        <v>6646</v>
      </c>
      <c r="B50" s="106" t="str">
        <f>SHIPMENTS!B56</f>
        <v>9600-NEW ZEALAND BACKLOG</v>
      </c>
      <c r="C50" s="132">
        <f>SHIPMENTS!F56</f>
        <v>0</v>
      </c>
      <c r="D50" s="107" t="str">
        <f>IF((SHIPMENTS!I56)=0,"",SHIPMENTS!I56)</f>
        <v/>
      </c>
      <c r="E50" s="176" t="str">
        <f>IF((SHIPMENTS!G56)=0,"",SHIPMENTS!G56)</f>
        <v/>
      </c>
      <c r="F50" s="109">
        <f>VLOOKUP(A50,Items!$A$5:$J$1000,8,0)</f>
        <v>0</v>
      </c>
      <c r="G50" s="98">
        <f>VLOOKUP(A50,load!$A$4:$U$5001,3,0)</f>
        <v>0</v>
      </c>
      <c r="H50" s="97">
        <f>Manhours!$C$20</f>
        <v>4</v>
      </c>
      <c r="I50" s="98">
        <f t="shared" si="45"/>
        <v>36.4</v>
      </c>
      <c r="J50" s="99">
        <f t="shared" si="46"/>
        <v>0</v>
      </c>
      <c r="K50" s="99">
        <f t="shared" si="47"/>
        <v>0</v>
      </c>
      <c r="L50" s="98">
        <f t="shared" si="48"/>
        <v>0</v>
      </c>
      <c r="M50" s="98">
        <f t="shared" si="49"/>
        <v>0</v>
      </c>
      <c r="N50" s="181">
        <f t="shared" si="50"/>
        <v>46322.103196356889</v>
      </c>
      <c r="O50" s="181">
        <f t="shared" si="51"/>
        <v>46322.103196356889</v>
      </c>
      <c r="P50" s="112" t="str">
        <f>VLOOKUP(A50,SHIPMENTS!$A$7:$AP$76,10,0)</f>
        <v>n/a</v>
      </c>
      <c r="Q50" s="101"/>
      <c r="R50" s="127" t="str">
        <f t="shared" si="52"/>
        <v/>
      </c>
      <c r="S50" s="127" t="str">
        <f t="shared" si="52"/>
        <v/>
      </c>
      <c r="T50" s="127" t="str">
        <f t="shared" si="52"/>
        <v/>
      </c>
      <c r="U50" s="127" t="str">
        <f t="shared" si="52"/>
        <v/>
      </c>
      <c r="V50" s="127" t="str">
        <f t="shared" si="52"/>
        <v/>
      </c>
      <c r="W50" s="127" t="str">
        <f t="shared" si="52"/>
        <v/>
      </c>
      <c r="X50" s="127" t="str">
        <f t="shared" si="52"/>
        <v/>
      </c>
      <c r="Y50" s="127" t="str">
        <f t="shared" si="52"/>
        <v/>
      </c>
      <c r="Z50" s="127" t="str">
        <f t="shared" si="52"/>
        <v/>
      </c>
      <c r="AA50" s="127" t="str">
        <f t="shared" si="52"/>
        <v/>
      </c>
      <c r="AB50" s="127" t="str">
        <f t="shared" si="52"/>
        <v/>
      </c>
      <c r="AC50" s="127" t="str">
        <f t="shared" si="52"/>
        <v/>
      </c>
      <c r="AD50" s="127" t="str">
        <f t="shared" si="52"/>
        <v/>
      </c>
      <c r="AE50" s="127" t="str">
        <f t="shared" si="52"/>
        <v/>
      </c>
      <c r="AF50" s="127" t="str">
        <f t="shared" si="52"/>
        <v/>
      </c>
      <c r="AG50" s="127" t="str">
        <f t="shared" si="44"/>
        <v/>
      </c>
      <c r="AH50" s="127" t="str">
        <f t="shared" si="43"/>
        <v/>
      </c>
      <c r="AI50" s="127" t="str">
        <f t="shared" si="43"/>
        <v/>
      </c>
      <c r="AJ50" s="127" t="str">
        <f t="shared" si="43"/>
        <v/>
      </c>
      <c r="AK50" s="127" t="str">
        <f t="shared" si="43"/>
        <v/>
      </c>
      <c r="AL50" s="127" t="str">
        <f t="shared" si="43"/>
        <v/>
      </c>
      <c r="AM50" s="127" t="str">
        <f t="shared" si="43"/>
        <v/>
      </c>
      <c r="AN50" s="127" t="str">
        <f t="shared" si="43"/>
        <v/>
      </c>
      <c r="AO50" s="127" t="str">
        <f t="shared" si="43"/>
        <v/>
      </c>
      <c r="AP50" s="127" t="str">
        <f t="shared" si="43"/>
        <v/>
      </c>
      <c r="AQ50" s="127" t="str">
        <f t="shared" si="43"/>
        <v/>
      </c>
      <c r="AR50" s="127" t="str">
        <f t="shared" si="43"/>
        <v/>
      </c>
      <c r="AS50" s="127" t="str">
        <f t="shared" si="43"/>
        <v/>
      </c>
      <c r="AT50" s="127" t="str">
        <f t="shared" si="43"/>
        <v/>
      </c>
      <c r="AU50" s="214">
        <v>1</v>
      </c>
      <c r="AV50" s="127" t="str">
        <f t="shared" si="43"/>
        <v/>
      </c>
      <c r="AW50" s="127" t="str">
        <f t="shared" si="43"/>
        <v/>
      </c>
      <c r="AX50" s="127" t="str">
        <f t="shared" si="40"/>
        <v/>
      </c>
      <c r="AY50" s="127" t="str">
        <f t="shared" si="40"/>
        <v/>
      </c>
      <c r="AZ50" s="127" t="str">
        <f t="shared" si="40"/>
        <v/>
      </c>
      <c r="BA50" s="127" t="str">
        <f t="shared" si="40"/>
        <v/>
      </c>
      <c r="BB50" s="127" t="str">
        <f t="shared" si="40"/>
        <v/>
      </c>
      <c r="BC50" s="127" t="str">
        <f t="shared" si="40"/>
        <v/>
      </c>
      <c r="BD50" s="127" t="str">
        <f t="shared" si="41"/>
        <v/>
      </c>
      <c r="BE50" s="127" t="str">
        <f t="shared" si="41"/>
        <v/>
      </c>
      <c r="BF50" s="127" t="str">
        <f t="shared" si="41"/>
        <v/>
      </c>
      <c r="BG50" s="127" t="str">
        <f t="shared" si="41"/>
        <v/>
      </c>
      <c r="BH50" s="127" t="str">
        <f t="shared" si="41"/>
        <v/>
      </c>
      <c r="BI50" s="127" t="str">
        <f t="shared" si="41"/>
        <v/>
      </c>
      <c r="BJ50" s="127" t="str">
        <f t="shared" si="41"/>
        <v/>
      </c>
      <c r="BK50" s="127" t="str">
        <f t="shared" si="41"/>
        <v/>
      </c>
      <c r="BL50" s="127" t="str">
        <f t="shared" si="41"/>
        <v/>
      </c>
      <c r="BM50" s="127" t="str">
        <f t="shared" si="41"/>
        <v/>
      </c>
      <c r="BN50" s="127" t="str">
        <f t="shared" si="53"/>
        <v/>
      </c>
      <c r="BO50" s="127" t="str">
        <f t="shared" si="53"/>
        <v/>
      </c>
      <c r="BP50" s="127" t="str">
        <f t="shared" si="53"/>
        <v/>
      </c>
      <c r="BQ50" s="127" t="str">
        <f t="shared" si="53"/>
        <v/>
      </c>
      <c r="BR50" s="127" t="str">
        <f t="shared" si="53"/>
        <v/>
      </c>
      <c r="BS50" s="127" t="str">
        <f t="shared" si="53"/>
        <v/>
      </c>
      <c r="BT50" s="127" t="str">
        <f t="shared" si="53"/>
        <v/>
      </c>
      <c r="BU50" s="127" t="str">
        <f t="shared" si="53"/>
        <v/>
      </c>
      <c r="BV50" s="127" t="str">
        <f t="shared" si="53"/>
        <v/>
      </c>
      <c r="BW50" s="127" t="str">
        <f t="shared" si="53"/>
        <v/>
      </c>
      <c r="BX50" s="127" t="str">
        <f t="shared" si="53"/>
        <v/>
      </c>
      <c r="BY50" s="127" t="str">
        <f t="shared" si="53"/>
        <v/>
      </c>
      <c r="BZ50" s="127" t="str">
        <f t="shared" si="42"/>
        <v/>
      </c>
      <c r="CA50" s="127" t="str">
        <f t="shared" si="42"/>
        <v/>
      </c>
      <c r="CB50" s="127" t="str">
        <f t="shared" si="42"/>
        <v/>
      </c>
      <c r="CC50" s="127" t="str">
        <f t="shared" si="42"/>
        <v/>
      </c>
      <c r="CD50" s="127" t="str">
        <f t="shared" si="42"/>
        <v/>
      </c>
      <c r="CE50" s="127" t="str">
        <f t="shared" si="42"/>
        <v/>
      </c>
    </row>
    <row r="51" spans="1:83" ht="12.6" hidden="1" customHeight="1" x14ac:dyDescent="0.2">
      <c r="A51" s="106">
        <f>SHIPMENTS!A57</f>
        <v>9122</v>
      </c>
      <c r="B51" s="106" t="str">
        <f>SHIPMENTS!B57</f>
        <v>19300-USA SUPERIOR SAUNA</v>
      </c>
      <c r="C51" s="132">
        <f>SHIPMENTS!F57</f>
        <v>69.539999999999992</v>
      </c>
      <c r="D51" s="107" t="str">
        <f>IF((SHIPMENTS!I57)=0,"",SHIPMENTS!I57)</f>
        <v>1x40HC</v>
      </c>
      <c r="E51" s="176" t="str">
        <f>IF((SHIPMENTS!G57)=0,"",SHIPMENTS!G57)</f>
        <v>TBA</v>
      </c>
      <c r="F51" s="109">
        <f>VLOOKUP(A51,Items!$A$5:$J$1000,8,0)</f>
        <v>0</v>
      </c>
      <c r="G51" s="98">
        <f>VLOOKUP(A51,load!$A$4:$U$5001,3,0)</f>
        <v>0</v>
      </c>
      <c r="H51" s="97">
        <f>Manhours!$C$20</f>
        <v>4</v>
      </c>
      <c r="I51" s="98">
        <f t="shared" si="45"/>
        <v>36.4</v>
      </c>
      <c r="J51" s="99">
        <f t="shared" si="46"/>
        <v>0</v>
      </c>
      <c r="K51" s="99">
        <f t="shared" si="47"/>
        <v>0</v>
      </c>
      <c r="L51" s="98">
        <f t="shared" si="48"/>
        <v>0</v>
      </c>
      <c r="M51" s="98">
        <f t="shared" si="49"/>
        <v>0</v>
      </c>
      <c r="N51" s="181">
        <f t="shared" si="50"/>
        <v>46322.103196356889</v>
      </c>
      <c r="O51" s="181">
        <f t="shared" si="51"/>
        <v>46322.103196356889</v>
      </c>
      <c r="P51" s="112" t="str">
        <f>VLOOKUP(A51,SHIPMENTS!$A$7:$AP$76,10,0)</f>
        <v>n/a</v>
      </c>
      <c r="Q51" s="101"/>
      <c r="R51" s="127" t="str">
        <f t="shared" si="52"/>
        <v/>
      </c>
      <c r="S51" s="127" t="str">
        <f t="shared" si="52"/>
        <v/>
      </c>
      <c r="T51" s="127" t="str">
        <f t="shared" si="52"/>
        <v/>
      </c>
      <c r="U51" s="127" t="str">
        <f t="shared" si="52"/>
        <v/>
      </c>
      <c r="V51" s="127" t="str">
        <f t="shared" si="52"/>
        <v/>
      </c>
      <c r="W51" s="127" t="str">
        <f t="shared" si="52"/>
        <v/>
      </c>
      <c r="X51" s="127" t="str">
        <f t="shared" si="52"/>
        <v/>
      </c>
      <c r="Y51" s="127" t="str">
        <f t="shared" si="52"/>
        <v/>
      </c>
      <c r="Z51" s="127" t="str">
        <f t="shared" si="52"/>
        <v/>
      </c>
      <c r="AA51" s="127" t="str">
        <f t="shared" si="52"/>
        <v/>
      </c>
      <c r="AB51" s="127" t="str">
        <f t="shared" si="52"/>
        <v/>
      </c>
      <c r="AC51" s="127" t="str">
        <f t="shared" si="52"/>
        <v/>
      </c>
      <c r="AD51" s="127" t="str">
        <f t="shared" si="52"/>
        <v/>
      </c>
      <c r="AE51" s="127" t="str">
        <f t="shared" si="52"/>
        <v/>
      </c>
      <c r="AF51" s="127" t="str">
        <f t="shared" si="52"/>
        <v/>
      </c>
      <c r="AG51" s="127" t="str">
        <f t="shared" si="44"/>
        <v/>
      </c>
      <c r="AH51" s="127" t="str">
        <f t="shared" si="43"/>
        <v/>
      </c>
      <c r="AI51" s="127" t="str">
        <f t="shared" si="43"/>
        <v/>
      </c>
      <c r="AJ51" s="127" t="str">
        <f t="shared" si="43"/>
        <v/>
      </c>
      <c r="AK51" s="127" t="str">
        <f t="shared" si="43"/>
        <v/>
      </c>
      <c r="AL51" s="127" t="str">
        <f t="shared" si="43"/>
        <v/>
      </c>
      <c r="AM51" s="127" t="str">
        <f t="shared" si="43"/>
        <v/>
      </c>
      <c r="AN51" s="127" t="str">
        <f t="shared" si="43"/>
        <v/>
      </c>
      <c r="AO51" s="127" t="str">
        <f t="shared" si="43"/>
        <v/>
      </c>
      <c r="AP51" s="127" t="str">
        <f t="shared" si="43"/>
        <v/>
      </c>
      <c r="AQ51" s="127" t="str">
        <f t="shared" si="43"/>
        <v/>
      </c>
      <c r="AR51" s="127" t="str">
        <f t="shared" si="43"/>
        <v/>
      </c>
      <c r="AS51" s="127" t="str">
        <f t="shared" si="43"/>
        <v/>
      </c>
      <c r="AT51" s="127" t="str">
        <f t="shared" si="43"/>
        <v/>
      </c>
      <c r="AU51" s="214">
        <v>1</v>
      </c>
      <c r="AV51" s="127" t="str">
        <f t="shared" si="43"/>
        <v/>
      </c>
      <c r="AW51" s="127" t="str">
        <f t="shared" si="43"/>
        <v/>
      </c>
      <c r="AX51" s="127" t="str">
        <f t="shared" si="40"/>
        <v/>
      </c>
      <c r="AY51" s="127" t="str">
        <f t="shared" si="40"/>
        <v/>
      </c>
      <c r="AZ51" s="127" t="str">
        <f t="shared" si="40"/>
        <v/>
      </c>
      <c r="BA51" s="127" t="str">
        <f t="shared" si="40"/>
        <v/>
      </c>
      <c r="BB51" s="127" t="str">
        <f t="shared" si="40"/>
        <v/>
      </c>
      <c r="BC51" s="127" t="str">
        <f t="shared" si="40"/>
        <v/>
      </c>
      <c r="BD51" s="127" t="str">
        <f t="shared" si="41"/>
        <v/>
      </c>
      <c r="BE51" s="127" t="str">
        <f t="shared" si="41"/>
        <v/>
      </c>
      <c r="BF51" s="127" t="str">
        <f t="shared" si="41"/>
        <v/>
      </c>
      <c r="BG51" s="127" t="str">
        <f t="shared" si="41"/>
        <v/>
      </c>
      <c r="BH51" s="127" t="str">
        <f t="shared" si="41"/>
        <v/>
      </c>
      <c r="BI51" s="127" t="str">
        <f t="shared" si="41"/>
        <v/>
      </c>
      <c r="BJ51" s="127" t="str">
        <f t="shared" si="41"/>
        <v/>
      </c>
      <c r="BK51" s="127" t="str">
        <f t="shared" si="41"/>
        <v/>
      </c>
      <c r="BL51" s="127" t="str">
        <f t="shared" si="41"/>
        <v/>
      </c>
      <c r="BM51" s="127" t="str">
        <f t="shared" si="41"/>
        <v/>
      </c>
      <c r="BN51" s="127" t="str">
        <f t="shared" si="53"/>
        <v/>
      </c>
      <c r="BO51" s="127" t="str">
        <f t="shared" si="53"/>
        <v/>
      </c>
      <c r="BP51" s="127" t="str">
        <f t="shared" si="53"/>
        <v/>
      </c>
      <c r="BQ51" s="127" t="str">
        <f t="shared" si="53"/>
        <v/>
      </c>
      <c r="BR51" s="127" t="str">
        <f t="shared" si="53"/>
        <v/>
      </c>
      <c r="BS51" s="127" t="str">
        <f t="shared" si="53"/>
        <v/>
      </c>
      <c r="BT51" s="127" t="str">
        <f t="shared" si="53"/>
        <v/>
      </c>
      <c r="BU51" s="127" t="str">
        <f t="shared" si="53"/>
        <v/>
      </c>
      <c r="BV51" s="127" t="str">
        <f t="shared" si="53"/>
        <v/>
      </c>
      <c r="BW51" s="127" t="str">
        <f t="shared" si="53"/>
        <v/>
      </c>
      <c r="BX51" s="127" t="str">
        <f t="shared" si="53"/>
        <v/>
      </c>
      <c r="BY51" s="127" t="str">
        <f t="shared" si="53"/>
        <v/>
      </c>
      <c r="BZ51" s="127" t="str">
        <f t="shared" si="42"/>
        <v/>
      </c>
      <c r="CA51" s="127" t="str">
        <f t="shared" si="42"/>
        <v/>
      </c>
      <c r="CB51" s="127" t="str">
        <f t="shared" si="42"/>
        <v/>
      </c>
      <c r="CC51" s="127" t="str">
        <f t="shared" si="42"/>
        <v/>
      </c>
      <c r="CD51" s="127" t="str">
        <f t="shared" si="42"/>
        <v/>
      </c>
      <c r="CE51" s="127" t="str">
        <f t="shared" si="42"/>
        <v/>
      </c>
    </row>
    <row r="52" spans="1:83" ht="12.6" hidden="1" customHeight="1" x14ac:dyDescent="0.2">
      <c r="A52" s="106">
        <f>SHIPMENTS!A58</f>
        <v>9197</v>
      </c>
      <c r="B52" s="106" t="str">
        <f>SHIPMENTS!B58</f>
        <v>19300-USA SUPERIOR SAUNA</v>
      </c>
      <c r="C52" s="132">
        <f>SHIPMENTS!F58</f>
        <v>0</v>
      </c>
      <c r="D52" s="107" t="str">
        <f>IF((SHIPMENTS!I58)=0,"",SHIPMENTS!I58)</f>
        <v/>
      </c>
      <c r="E52" s="176" t="str">
        <f>IF((SHIPMENTS!G58)=0,"",SHIPMENTS!G58)</f>
        <v>TBA</v>
      </c>
      <c r="F52" s="109">
        <f>VLOOKUP(A52,Items!$A$5:$J$1000,8,0)</f>
        <v>0</v>
      </c>
      <c r="G52" s="98">
        <f>VLOOKUP(A52,load!$A$4:$U$5001,3,0)</f>
        <v>0</v>
      </c>
      <c r="H52" s="97">
        <f>Manhours!$C$20</f>
        <v>4</v>
      </c>
      <c r="I52" s="98">
        <f t="shared" si="45"/>
        <v>36.4</v>
      </c>
      <c r="J52" s="99">
        <f t="shared" si="46"/>
        <v>0</v>
      </c>
      <c r="K52" s="99">
        <f t="shared" si="47"/>
        <v>0</v>
      </c>
      <c r="L52" s="98">
        <f t="shared" si="48"/>
        <v>0</v>
      </c>
      <c r="M52" s="98">
        <f t="shared" si="49"/>
        <v>0</v>
      </c>
      <c r="N52" s="181">
        <f t="shared" si="50"/>
        <v>46322.103196356889</v>
      </c>
      <c r="O52" s="181">
        <f t="shared" si="51"/>
        <v>46322.103196356889</v>
      </c>
      <c r="P52" s="112" t="str">
        <f>VLOOKUP(A52,SHIPMENTS!$A$7:$AP$76,10,0)</f>
        <v>n/a</v>
      </c>
      <c r="Q52" s="101"/>
      <c r="R52" s="127" t="str">
        <f t="shared" si="52"/>
        <v/>
      </c>
      <c r="S52" s="127" t="str">
        <f t="shared" si="52"/>
        <v/>
      </c>
      <c r="T52" s="127" t="str">
        <f t="shared" si="52"/>
        <v/>
      </c>
      <c r="U52" s="127" t="str">
        <f t="shared" si="52"/>
        <v/>
      </c>
      <c r="V52" s="127" t="str">
        <f t="shared" si="52"/>
        <v/>
      </c>
      <c r="W52" s="127" t="str">
        <f t="shared" si="52"/>
        <v/>
      </c>
      <c r="X52" s="127" t="str">
        <f t="shared" si="52"/>
        <v/>
      </c>
      <c r="Y52" s="127" t="str">
        <f t="shared" si="52"/>
        <v/>
      </c>
      <c r="Z52" s="127" t="str">
        <f t="shared" si="52"/>
        <v/>
      </c>
      <c r="AA52" s="127" t="str">
        <f t="shared" si="52"/>
        <v/>
      </c>
      <c r="AB52" s="127" t="str">
        <f t="shared" si="52"/>
        <v/>
      </c>
      <c r="AC52" s="127" t="str">
        <f t="shared" si="52"/>
        <v/>
      </c>
      <c r="AD52" s="127" t="str">
        <f t="shared" si="52"/>
        <v/>
      </c>
      <c r="AE52" s="127" t="str">
        <f t="shared" si="52"/>
        <v/>
      </c>
      <c r="AF52" s="127" t="str">
        <f t="shared" si="52"/>
        <v/>
      </c>
      <c r="AG52" s="127" t="str">
        <f t="shared" si="44"/>
        <v/>
      </c>
      <c r="AH52" s="127" t="str">
        <f t="shared" si="43"/>
        <v/>
      </c>
      <c r="AI52" s="127" t="str">
        <f t="shared" si="43"/>
        <v/>
      </c>
      <c r="AJ52" s="127" t="str">
        <f t="shared" si="43"/>
        <v/>
      </c>
      <c r="AK52" s="127" t="str">
        <f t="shared" si="43"/>
        <v/>
      </c>
      <c r="AL52" s="127" t="str">
        <f t="shared" si="43"/>
        <v/>
      </c>
      <c r="AM52" s="127" t="str">
        <f t="shared" si="43"/>
        <v/>
      </c>
      <c r="AN52" s="127" t="str">
        <f t="shared" si="43"/>
        <v/>
      </c>
      <c r="AO52" s="127" t="str">
        <f t="shared" si="43"/>
        <v/>
      </c>
      <c r="AP52" s="127" t="str">
        <f t="shared" si="43"/>
        <v/>
      </c>
      <c r="AQ52" s="127" t="str">
        <f t="shared" si="43"/>
        <v/>
      </c>
      <c r="AR52" s="127" t="str">
        <f t="shared" si="43"/>
        <v/>
      </c>
      <c r="AS52" s="127" t="str">
        <f t="shared" si="43"/>
        <v/>
      </c>
      <c r="AT52" s="127" t="str">
        <f t="shared" si="43"/>
        <v/>
      </c>
      <c r="AU52" s="214">
        <v>1</v>
      </c>
      <c r="AV52" s="127" t="str">
        <f t="shared" si="43"/>
        <v/>
      </c>
      <c r="AW52" s="127" t="str">
        <f t="shared" si="43"/>
        <v/>
      </c>
      <c r="AX52" s="127" t="str">
        <f t="shared" si="40"/>
        <v/>
      </c>
      <c r="AY52" s="127" t="str">
        <f t="shared" si="40"/>
        <v/>
      </c>
      <c r="AZ52" s="127" t="str">
        <f t="shared" si="40"/>
        <v/>
      </c>
      <c r="BA52" s="127" t="str">
        <f t="shared" si="40"/>
        <v/>
      </c>
      <c r="BB52" s="127" t="str">
        <f t="shared" si="40"/>
        <v/>
      </c>
      <c r="BC52" s="127" t="str">
        <f t="shared" si="40"/>
        <v/>
      </c>
      <c r="BD52" s="127" t="str">
        <f t="shared" si="41"/>
        <v/>
      </c>
      <c r="BE52" s="127" t="str">
        <f t="shared" si="41"/>
        <v/>
      </c>
      <c r="BF52" s="127" t="str">
        <f t="shared" si="41"/>
        <v/>
      </c>
      <c r="BG52" s="127" t="str">
        <f t="shared" si="41"/>
        <v/>
      </c>
      <c r="BH52" s="127" t="str">
        <f t="shared" si="41"/>
        <v/>
      </c>
      <c r="BI52" s="127" t="str">
        <f t="shared" si="41"/>
        <v/>
      </c>
      <c r="BJ52" s="127" t="str">
        <f t="shared" si="41"/>
        <v/>
      </c>
      <c r="BK52" s="127" t="str">
        <f t="shared" si="41"/>
        <v/>
      </c>
      <c r="BL52" s="127" t="str">
        <f t="shared" si="41"/>
        <v/>
      </c>
      <c r="BM52" s="127" t="str">
        <f t="shared" si="41"/>
        <v/>
      </c>
      <c r="BN52" s="127" t="str">
        <f t="shared" si="53"/>
        <v/>
      </c>
      <c r="BO52" s="127" t="str">
        <f t="shared" si="53"/>
        <v/>
      </c>
      <c r="BP52" s="127" t="str">
        <f t="shared" si="53"/>
        <v/>
      </c>
      <c r="BQ52" s="127" t="str">
        <f t="shared" si="53"/>
        <v/>
      </c>
      <c r="BR52" s="127" t="str">
        <f t="shared" si="53"/>
        <v/>
      </c>
      <c r="BS52" s="127" t="str">
        <f t="shared" si="53"/>
        <v/>
      </c>
      <c r="BT52" s="127" t="str">
        <f t="shared" si="53"/>
        <v/>
      </c>
      <c r="BU52" s="127" t="str">
        <f t="shared" si="53"/>
        <v/>
      </c>
      <c r="BV52" s="127" t="str">
        <f t="shared" si="53"/>
        <v/>
      </c>
      <c r="BW52" s="127" t="str">
        <f t="shared" si="53"/>
        <v/>
      </c>
      <c r="BX52" s="127" t="str">
        <f t="shared" si="53"/>
        <v/>
      </c>
      <c r="BY52" s="127" t="str">
        <f t="shared" si="53"/>
        <v/>
      </c>
      <c r="BZ52" s="127" t="str">
        <f t="shared" si="42"/>
        <v/>
      </c>
      <c r="CA52" s="127" t="str">
        <f t="shared" si="42"/>
        <v/>
      </c>
      <c r="CB52" s="127" t="str">
        <f t="shared" si="42"/>
        <v/>
      </c>
      <c r="CC52" s="127" t="str">
        <f t="shared" si="42"/>
        <v/>
      </c>
      <c r="CD52" s="127" t="str">
        <f t="shared" si="42"/>
        <v/>
      </c>
      <c r="CE52" s="127" t="str">
        <f t="shared" si="42"/>
        <v/>
      </c>
    </row>
    <row r="53" spans="1:83" ht="12.6" hidden="1" customHeight="1" x14ac:dyDescent="0.2">
      <c r="A53" s="106">
        <f>SHIPMENTS!A59</f>
        <v>6542</v>
      </c>
      <c r="B53" s="106" t="str">
        <f>SHIPMENTS!B59</f>
        <v>75100-JORDAN
BACKLOG</v>
      </c>
      <c r="C53" s="132">
        <f>SHIPMENTS!F59</f>
        <v>2.9600000000000001E-2</v>
      </c>
      <c r="D53" s="107" t="str">
        <f>IF((SHIPMENTS!I59)=0,"",SHIPMENTS!I59)</f>
        <v/>
      </c>
      <c r="E53" s="176" t="str">
        <f>IF((SHIPMENTS!G59)=0,"",SHIPMENTS!G59)</f>
        <v>TBA</v>
      </c>
      <c r="F53" s="109">
        <f>VLOOKUP(A53,Items!$A$5:$J$1000,8,0)</f>
        <v>0</v>
      </c>
      <c r="G53" s="98">
        <f>VLOOKUP(A53,load!$A$4:$U$5001,3,0)</f>
        <v>0</v>
      </c>
      <c r="H53" s="97">
        <f>Manhours!$C$20</f>
        <v>4</v>
      </c>
      <c r="I53" s="98">
        <f t="shared" ref="I53" si="54">+H53*$I$4</f>
        <v>36.4</v>
      </c>
      <c r="J53" s="99">
        <f t="shared" ref="J53" si="55">G53/I53</f>
        <v>0</v>
      </c>
      <c r="K53" s="99">
        <f t="shared" ref="K53" si="56">+J53*$I$4</f>
        <v>0</v>
      </c>
      <c r="L53" s="98">
        <f t="shared" ref="L53" si="57">IFERROR(J53-(J53*P53),0)</f>
        <v>0</v>
      </c>
      <c r="M53" s="98">
        <f t="shared" ref="M53" si="58">IFERROR(K53-(K53*P53),0)</f>
        <v>0</v>
      </c>
      <c r="N53" s="181">
        <f t="shared" ref="N53" si="59">O52</f>
        <v>46322.103196356889</v>
      </c>
      <c r="O53" s="181">
        <f t="shared" ref="O53" si="60">N53+L53</f>
        <v>46322.103196356889</v>
      </c>
      <c r="P53" s="112" t="str">
        <f>VLOOKUP(A53,SHIPMENTS!$A$7:$AP$76,10,0)</f>
        <v>n/a</v>
      </c>
      <c r="Q53" s="101"/>
      <c r="R53" s="127" t="str">
        <f t="shared" si="52"/>
        <v/>
      </c>
      <c r="S53" s="127" t="str">
        <f t="shared" si="52"/>
        <v/>
      </c>
      <c r="T53" s="127" t="str">
        <f t="shared" si="52"/>
        <v/>
      </c>
      <c r="U53" s="127" t="str">
        <f t="shared" si="52"/>
        <v/>
      </c>
      <c r="V53" s="127" t="str">
        <f t="shared" si="52"/>
        <v/>
      </c>
      <c r="W53" s="127" t="str">
        <f t="shared" si="52"/>
        <v/>
      </c>
      <c r="X53" s="127" t="str">
        <f t="shared" si="52"/>
        <v/>
      </c>
      <c r="Y53" s="127" t="str">
        <f t="shared" si="52"/>
        <v/>
      </c>
      <c r="Z53" s="127" t="str">
        <f t="shared" si="52"/>
        <v/>
      </c>
      <c r="AA53" s="127" t="str">
        <f t="shared" si="52"/>
        <v/>
      </c>
      <c r="AB53" s="127" t="str">
        <f t="shared" si="52"/>
        <v/>
      </c>
      <c r="AC53" s="127" t="str">
        <f t="shared" si="52"/>
        <v/>
      </c>
      <c r="AD53" s="127" t="str">
        <f t="shared" si="52"/>
        <v/>
      </c>
      <c r="AE53" s="127" t="str">
        <f t="shared" si="52"/>
        <v/>
      </c>
      <c r="AF53" s="127" t="str">
        <f t="shared" si="52"/>
        <v/>
      </c>
      <c r="AG53" s="127" t="str">
        <f t="shared" si="44"/>
        <v/>
      </c>
      <c r="AH53" s="127" t="str">
        <f t="shared" si="43"/>
        <v/>
      </c>
      <c r="AI53" s="127" t="str">
        <f t="shared" si="43"/>
        <v/>
      </c>
      <c r="AJ53" s="127" t="str">
        <f t="shared" si="43"/>
        <v/>
      </c>
      <c r="AK53" s="127" t="str">
        <f t="shared" si="43"/>
        <v/>
      </c>
      <c r="AL53" s="127" t="str">
        <f t="shared" si="43"/>
        <v/>
      </c>
      <c r="AM53" s="127" t="str">
        <f t="shared" si="43"/>
        <v/>
      </c>
      <c r="AN53" s="127" t="str">
        <f t="shared" si="43"/>
        <v/>
      </c>
      <c r="AO53" s="127" t="str">
        <f t="shared" si="43"/>
        <v/>
      </c>
      <c r="AP53" s="127" t="str">
        <f t="shared" si="43"/>
        <v/>
      </c>
      <c r="AQ53" s="127" t="str">
        <f t="shared" si="43"/>
        <v/>
      </c>
      <c r="AR53" s="127" t="str">
        <f t="shared" si="43"/>
        <v/>
      </c>
      <c r="AS53" s="127" t="str">
        <f t="shared" si="43"/>
        <v/>
      </c>
      <c r="AT53" s="127" t="str">
        <f t="shared" si="43"/>
        <v/>
      </c>
      <c r="AU53" s="214">
        <v>1</v>
      </c>
      <c r="AV53" s="127" t="str">
        <f t="shared" si="43"/>
        <v/>
      </c>
      <c r="AW53" s="127" t="str">
        <f t="shared" si="43"/>
        <v/>
      </c>
      <c r="AX53" s="127" t="str">
        <f t="shared" si="40"/>
        <v/>
      </c>
      <c r="AY53" s="127" t="str">
        <f t="shared" si="40"/>
        <v/>
      </c>
      <c r="AZ53" s="127" t="str">
        <f t="shared" si="40"/>
        <v/>
      </c>
      <c r="BA53" s="127" t="str">
        <f t="shared" si="40"/>
        <v/>
      </c>
      <c r="BB53" s="127" t="str">
        <f t="shared" si="40"/>
        <v/>
      </c>
      <c r="BC53" s="127" t="str">
        <f t="shared" si="40"/>
        <v/>
      </c>
      <c r="BD53" s="127" t="str">
        <f t="shared" si="41"/>
        <v/>
      </c>
      <c r="BE53" s="127" t="str">
        <f t="shared" si="41"/>
        <v/>
      </c>
      <c r="BF53" s="127" t="str">
        <f t="shared" si="41"/>
        <v/>
      </c>
      <c r="BG53" s="127" t="str">
        <f t="shared" si="41"/>
        <v/>
      </c>
      <c r="BH53" s="127" t="str">
        <f t="shared" si="41"/>
        <v/>
      </c>
      <c r="BI53" s="127" t="str">
        <f t="shared" si="41"/>
        <v/>
      </c>
      <c r="BJ53" s="127" t="str">
        <f t="shared" si="41"/>
        <v/>
      </c>
      <c r="BK53" s="127" t="str">
        <f t="shared" si="41"/>
        <v/>
      </c>
      <c r="BL53" s="127" t="str">
        <f t="shared" si="41"/>
        <v/>
      </c>
      <c r="BM53" s="127" t="str">
        <f t="shared" si="41"/>
        <v/>
      </c>
      <c r="BN53" s="127" t="str">
        <f t="shared" si="53"/>
        <v/>
      </c>
      <c r="BO53" s="127" t="str">
        <f t="shared" si="53"/>
        <v/>
      </c>
      <c r="BP53" s="127" t="str">
        <f t="shared" si="53"/>
        <v/>
      </c>
      <c r="BQ53" s="127" t="str">
        <f t="shared" si="53"/>
        <v/>
      </c>
      <c r="BR53" s="127" t="str">
        <f t="shared" si="53"/>
        <v/>
      </c>
      <c r="BS53" s="127" t="str">
        <f t="shared" si="53"/>
        <v/>
      </c>
      <c r="BT53" s="127" t="str">
        <f t="shared" si="53"/>
        <v/>
      </c>
      <c r="BU53" s="127" t="str">
        <f t="shared" si="53"/>
        <v/>
      </c>
      <c r="BV53" s="127" t="str">
        <f t="shared" si="53"/>
        <v/>
      </c>
      <c r="BW53" s="127" t="str">
        <f t="shared" si="53"/>
        <v/>
      </c>
      <c r="BX53" s="127" t="str">
        <f t="shared" si="53"/>
        <v/>
      </c>
      <c r="BY53" s="127" t="str">
        <f t="shared" si="53"/>
        <v/>
      </c>
      <c r="BZ53" s="127" t="str">
        <f t="shared" si="42"/>
        <v/>
      </c>
      <c r="CA53" s="127" t="str">
        <f t="shared" si="42"/>
        <v/>
      </c>
      <c r="CB53" s="127" t="str">
        <f t="shared" si="42"/>
        <v/>
      </c>
      <c r="CC53" s="127" t="str">
        <f t="shared" si="42"/>
        <v/>
      </c>
      <c r="CD53" s="127" t="str">
        <f t="shared" si="42"/>
        <v/>
      </c>
      <c r="CE53" s="127" t="str">
        <f t="shared" si="42"/>
        <v/>
      </c>
    </row>
  </sheetData>
  <autoFilter ref="A7:CE53" xr:uid="{00000000-0001-0000-0600-000000000000}">
    <filterColumn colId="15">
      <filters>
        <filter val="0%"/>
        <filter val="100%"/>
        <filter val="63%"/>
        <filter val="82%"/>
      </filters>
    </filterColumn>
  </autoFilter>
  <mergeCells count="16">
    <mergeCell ref="J5:J6"/>
    <mergeCell ref="P5:P6"/>
    <mergeCell ref="F5:F6"/>
    <mergeCell ref="E5:E6"/>
    <mergeCell ref="D5:D6"/>
    <mergeCell ref="K5:K6"/>
    <mergeCell ref="L5:L6"/>
    <mergeCell ref="M5:M6"/>
    <mergeCell ref="N5:N6"/>
    <mergeCell ref="O5:O6"/>
    <mergeCell ref="B5:B6"/>
    <mergeCell ref="A5:A6"/>
    <mergeCell ref="G5:G6"/>
    <mergeCell ref="H5:H6"/>
    <mergeCell ref="I5:I6"/>
    <mergeCell ref="C5:C6"/>
  </mergeCells>
  <conditionalFormatting sqref="N8:N53">
    <cfRule type="cellIs" dxfId="473" priority="843" operator="greaterThan">
      <formula>E8</formula>
    </cfRule>
  </conditionalFormatting>
  <conditionalFormatting sqref="O8:O53">
    <cfRule type="cellIs" dxfId="472" priority="801" operator="greaterThan">
      <formula>E8</formula>
    </cfRule>
  </conditionalFormatting>
  <conditionalFormatting sqref="P8:P53">
    <cfRule type="dataBar" priority="1206">
      <dataBar>
        <cfvo type="num" val="0"/>
        <cfvo type="num" val="1"/>
        <color rgb="FFFFB628"/>
      </dataBar>
      <extLst>
        <ext xmlns:x14="http://schemas.microsoft.com/office/spreadsheetml/2009/9/main" uri="{B025F937-C7B1-47D3-B67F-A62EFF666E3E}">
          <x14:id>{0D566295-993D-4A4F-92FB-876807D7F060}</x14:id>
        </ext>
      </extLst>
    </cfRule>
  </conditionalFormatting>
  <conditionalFormatting sqref="P1:Q5 P7:Q1048576">
    <cfRule type="cellIs" dxfId="471" priority="191" operator="equal">
      <formula>1</formula>
    </cfRule>
    <cfRule type="cellIs" dxfId="470" priority="190" operator="lessThan">
      <formula>1</formula>
    </cfRule>
  </conditionalFormatting>
  <conditionalFormatting sqref="Q8:Q27">
    <cfRule type="dataBar" priority="1647">
      <dataBar>
        <cfvo type="num" val="0"/>
        <cfvo type="num" val="1"/>
        <color rgb="FFFFB628"/>
      </dataBar>
      <extLst>
        <ext xmlns:x14="http://schemas.microsoft.com/office/spreadsheetml/2009/9/main" uri="{B025F937-C7B1-47D3-B67F-A62EFF666E3E}">
          <x14:id>{13CC74D7-B1C3-47C1-959A-EEB230C9AA21}</x14:id>
        </ext>
      </extLst>
    </cfRule>
  </conditionalFormatting>
  <conditionalFormatting sqref="Q28">
    <cfRule type="dataBar" priority="1576">
      <dataBar>
        <cfvo type="num" val="0"/>
        <cfvo type="num" val="1"/>
        <color rgb="FFFFB628"/>
      </dataBar>
      <extLst>
        <ext xmlns:x14="http://schemas.microsoft.com/office/spreadsheetml/2009/9/main" uri="{B025F937-C7B1-47D3-B67F-A62EFF666E3E}">
          <x14:id>{F3C1ED34-072D-434E-A0A7-11AFCDDADB31}</x14:id>
        </ext>
      </extLst>
    </cfRule>
  </conditionalFormatting>
  <conditionalFormatting sqref="Q29:Q53">
    <cfRule type="dataBar" priority="1572">
      <dataBar>
        <cfvo type="num" val="0"/>
        <cfvo type="num" val="1"/>
        <color rgb="FFFFB628"/>
      </dataBar>
      <extLst>
        <ext xmlns:x14="http://schemas.microsoft.com/office/spreadsheetml/2009/9/main" uri="{B025F937-C7B1-47D3-B67F-A62EFF666E3E}">
          <x14:id>{BA42B7D1-439F-45E1-AAF2-220A73C99130}</x14:id>
        </ext>
      </extLst>
    </cfRule>
  </conditionalFormatting>
  <conditionalFormatting sqref="R8:BF27">
    <cfRule type="cellIs" dxfId="469" priority="1645" operator="equal">
      <formula>1</formula>
    </cfRule>
    <cfRule type="cellIs" dxfId="468" priority="1646" operator="equal">
      <formula>1</formula>
    </cfRule>
  </conditionalFormatting>
  <conditionalFormatting sqref="R28:BF53">
    <cfRule type="cellIs" dxfId="467" priority="8" operator="equal">
      <formula>1</formula>
    </cfRule>
    <cfRule type="cellIs" dxfId="466" priority="9" operator="equal">
      <formula>1</formula>
    </cfRule>
  </conditionalFormatting>
  <conditionalFormatting sqref="R1:CE1">
    <cfRule type="cellIs" dxfId="465" priority="1289" operator="notEqual">
      <formula>0</formula>
    </cfRule>
  </conditionalFormatting>
  <conditionalFormatting sqref="R8:CE52">
    <cfRule type="expression" dxfId="464" priority="1598">
      <formula>IF(AND($N8&lt;=R$3,$O8&gt;=R$3),1,"")</formula>
    </cfRule>
  </conditionalFormatting>
  <conditionalFormatting sqref="R53:CE53">
    <cfRule type="expression" dxfId="463" priority="21">
      <formula>IF(AND($N53&lt;=R$3,$O53&gt;=R$3),1,"")</formula>
    </cfRule>
  </conditionalFormatting>
  <conditionalFormatting sqref="AW8:BF32">
    <cfRule type="cellIs" dxfId="462" priority="1605" operator="equal">
      <formula>1</formula>
    </cfRule>
  </conditionalFormatting>
  <conditionalFormatting sqref="AW33:BF53">
    <cfRule type="cellIs" dxfId="461" priority="20" operator="equal">
      <formula>1</formula>
    </cfRule>
  </conditionalFormatting>
  <conditionalFormatting sqref="AW8:BG32">
    <cfRule type="cellIs" dxfId="460" priority="1584" operator="equal">
      <formula>1</formula>
    </cfRule>
  </conditionalFormatting>
  <conditionalFormatting sqref="AW33:BG53">
    <cfRule type="cellIs" dxfId="459" priority="19" operator="equal">
      <formula>1</formula>
    </cfRule>
  </conditionalFormatting>
  <conditionalFormatting sqref="BG8:BG53">
    <cfRule type="cellIs" dxfId="458" priority="1585" operator="equal">
      <formula>1</formula>
    </cfRule>
  </conditionalFormatting>
  <conditionalFormatting sqref="BG8:BM32">
    <cfRule type="cellIs" dxfId="457" priority="1550" operator="equal">
      <formula>1</formula>
    </cfRule>
    <cfRule type="cellIs" dxfId="456" priority="1551" operator="equal">
      <formula>1</formula>
    </cfRule>
  </conditionalFormatting>
  <conditionalFormatting sqref="BG33:BM53">
    <cfRule type="cellIs" dxfId="455" priority="18" operator="equal">
      <formula>1</formula>
    </cfRule>
    <cfRule type="cellIs" dxfId="454" priority="17" operator="equal">
      <formula>1</formula>
    </cfRule>
  </conditionalFormatting>
  <conditionalFormatting sqref="BH8:BL27">
    <cfRule type="cellIs" dxfId="453" priority="1564" operator="equal">
      <formula>1</formula>
    </cfRule>
    <cfRule type="cellIs" dxfId="452" priority="1563" operator="equal">
      <formula>1</formula>
    </cfRule>
  </conditionalFormatting>
  <conditionalFormatting sqref="BH28:BL53">
    <cfRule type="cellIs" dxfId="451" priority="10" operator="equal">
      <formula>1</formula>
    </cfRule>
    <cfRule type="cellIs" dxfId="450" priority="7" operator="equal">
      <formula>1</formula>
    </cfRule>
  </conditionalFormatting>
  <conditionalFormatting sqref="BM8:BS32">
    <cfRule type="cellIs" dxfId="449" priority="1526" operator="equal">
      <formula>1</formula>
    </cfRule>
    <cfRule type="cellIs" dxfId="448" priority="1527" operator="equal">
      <formula>1</formula>
    </cfRule>
  </conditionalFormatting>
  <conditionalFormatting sqref="BM33:BS53">
    <cfRule type="cellIs" dxfId="447" priority="15" operator="equal">
      <formula>1</formula>
    </cfRule>
    <cfRule type="cellIs" dxfId="446" priority="16" operator="equal">
      <formula>1</formula>
    </cfRule>
  </conditionalFormatting>
  <conditionalFormatting sqref="BN8:BR27">
    <cfRule type="cellIs" dxfId="445" priority="1539" operator="equal">
      <formula>1</formula>
    </cfRule>
    <cfRule type="cellIs" dxfId="444" priority="1540" operator="equal">
      <formula>1</formula>
    </cfRule>
  </conditionalFormatting>
  <conditionalFormatting sqref="BN28:BR53">
    <cfRule type="cellIs" dxfId="443" priority="6" operator="equal">
      <formula>1</formula>
    </cfRule>
    <cfRule type="cellIs" dxfId="442" priority="5" operator="equal">
      <formula>1</formula>
    </cfRule>
  </conditionalFormatting>
  <conditionalFormatting sqref="BS8:BY32">
    <cfRule type="cellIs" dxfId="441" priority="1503" operator="equal">
      <formula>1</formula>
    </cfRule>
    <cfRule type="cellIs" dxfId="440" priority="1502" operator="equal">
      <formula>1</formula>
    </cfRule>
  </conditionalFormatting>
  <conditionalFormatting sqref="BS33:BY53">
    <cfRule type="cellIs" dxfId="439" priority="13" operator="equal">
      <formula>1</formula>
    </cfRule>
    <cfRule type="cellIs" dxfId="438" priority="14" operator="equal">
      <formula>1</formula>
    </cfRule>
  </conditionalFormatting>
  <conditionalFormatting sqref="BT8:BX27">
    <cfRule type="cellIs" dxfId="437" priority="1515" operator="equal">
      <formula>1</formula>
    </cfRule>
    <cfRule type="cellIs" dxfId="436" priority="1516" operator="equal">
      <formula>1</formula>
    </cfRule>
  </conditionalFormatting>
  <conditionalFormatting sqref="BT28:BX53">
    <cfRule type="cellIs" dxfId="435" priority="4" operator="equal">
      <formula>1</formula>
    </cfRule>
    <cfRule type="cellIs" dxfId="434" priority="3" operator="equal">
      <formula>1</formula>
    </cfRule>
  </conditionalFormatting>
  <conditionalFormatting sqref="BY8:CE32">
    <cfRule type="cellIs" dxfId="433" priority="1478" operator="equal">
      <formula>1</formula>
    </cfRule>
    <cfRule type="cellIs" dxfId="432" priority="1479" operator="equal">
      <formula>1</formula>
    </cfRule>
  </conditionalFormatting>
  <conditionalFormatting sqref="BY33:CE53">
    <cfRule type="cellIs" dxfId="431" priority="12" operator="equal">
      <formula>1</formula>
    </cfRule>
    <cfRule type="cellIs" dxfId="430" priority="11" operator="equal">
      <formula>1</formula>
    </cfRule>
  </conditionalFormatting>
  <conditionalFormatting sqref="BZ8:CD27">
    <cfRule type="cellIs" dxfId="429" priority="1491" operator="equal">
      <formula>1</formula>
    </cfRule>
    <cfRule type="cellIs" dxfId="428" priority="1492" operator="equal">
      <formula>1</formula>
    </cfRule>
  </conditionalFormatting>
  <conditionalFormatting sqref="BZ28:CD53">
    <cfRule type="cellIs" dxfId="427" priority="1" operator="equal">
      <formula>1</formula>
    </cfRule>
    <cfRule type="cellIs" dxfId="426" priority="2" operator="equal">
      <formula>1</formula>
    </cfRule>
  </conditionalFormatting>
  <conditionalFormatting sqref="CE8:CE53">
    <cfRule type="cellIs" dxfId="425" priority="1476" operator="equal">
      <formula>1</formula>
    </cfRule>
    <cfRule type="cellIs" dxfId="424" priority="1477" operator="equal">
      <formula>1</formula>
    </cfRule>
  </conditionalFormatting>
  <pageMargins left="0.7" right="0.7" top="0.75" bottom="0.75" header="0.3" footer="0.3"/>
  <pageSetup paperSize="9" orientation="portrait" horizontalDpi="0" verticalDpi="0" r:id="rId1"/>
  <extLst>
    <ext xmlns:x14="http://schemas.microsoft.com/office/spreadsheetml/2009/9/main" uri="{78C0D931-6437-407d-A8EE-F0AAD7539E65}">
      <x14:conditionalFormattings>
        <x14:conditionalFormatting xmlns:xm="http://schemas.microsoft.com/office/excel/2006/main">
          <x14:cfRule type="dataBar" id="{0D566295-993D-4A4F-92FB-876807D7F060}">
            <x14:dataBar minLength="0" maxLength="100" gradient="0">
              <x14:cfvo type="num">
                <xm:f>0</xm:f>
              </x14:cfvo>
              <x14:cfvo type="num">
                <xm:f>1</xm:f>
              </x14:cfvo>
              <x14:negativeFillColor rgb="FFFF0000"/>
              <x14:axisColor rgb="FF000000"/>
            </x14:dataBar>
          </x14:cfRule>
          <xm:sqref>P8:P53</xm:sqref>
        </x14:conditionalFormatting>
        <x14:conditionalFormatting xmlns:xm="http://schemas.microsoft.com/office/excel/2006/main">
          <x14:cfRule type="dataBar" id="{13CC74D7-B1C3-47C1-959A-EEB230C9AA21}">
            <x14:dataBar minLength="0" maxLength="100" gradient="0">
              <x14:cfvo type="num">
                <xm:f>0</xm:f>
              </x14:cfvo>
              <x14:cfvo type="num">
                <xm:f>1</xm:f>
              </x14:cfvo>
              <x14:negativeFillColor rgb="FFFF0000"/>
              <x14:axisColor rgb="FF000000"/>
            </x14:dataBar>
          </x14:cfRule>
          <xm:sqref>Q8:Q27</xm:sqref>
        </x14:conditionalFormatting>
        <x14:conditionalFormatting xmlns:xm="http://schemas.microsoft.com/office/excel/2006/main">
          <x14:cfRule type="dataBar" id="{F3C1ED34-072D-434E-A0A7-11AFCDDADB31}">
            <x14:dataBar minLength="0" maxLength="100" gradient="0">
              <x14:cfvo type="num">
                <xm:f>0</xm:f>
              </x14:cfvo>
              <x14:cfvo type="num">
                <xm:f>1</xm:f>
              </x14:cfvo>
              <x14:negativeFillColor rgb="FFFF0000"/>
              <x14:axisColor rgb="FF000000"/>
            </x14:dataBar>
          </x14:cfRule>
          <xm:sqref>Q28</xm:sqref>
        </x14:conditionalFormatting>
        <x14:conditionalFormatting xmlns:xm="http://schemas.microsoft.com/office/excel/2006/main">
          <x14:cfRule type="dataBar" id="{BA42B7D1-439F-45E1-AAF2-220A73C99130}">
            <x14:dataBar minLength="0" maxLength="100" gradient="0">
              <x14:cfvo type="num">
                <xm:f>0</xm:f>
              </x14:cfvo>
              <x14:cfvo type="num">
                <xm:f>1</xm:f>
              </x14:cfvo>
              <x14:negativeFillColor rgb="FFFF0000"/>
              <x14:axisColor rgb="FF000000"/>
            </x14:dataBar>
          </x14:cfRule>
          <xm:sqref>Q29:Q53</xm:sqref>
        </x14:conditionalFormatting>
      </x14:conditionalFormatting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7" filterMode="1"/>
  <dimension ref="A1:CE53"/>
  <sheetViews>
    <sheetView showGridLines="0" zoomScaleNormal="100" workbookViewId="0">
      <pane xSplit="16" ySplit="7" topLeftCell="Q9" activePane="bottomRight" state="frozen"/>
      <selection pane="topRight" activeCell="Q1" sqref="Q1"/>
      <selection pane="bottomLeft" activeCell="A8" sqref="A8"/>
      <selection pane="bottomRight" activeCell="F3" sqref="F3"/>
    </sheetView>
  </sheetViews>
  <sheetFormatPr defaultColWidth="9.28515625" defaultRowHeight="12.75" outlineLevelCol="1" x14ac:dyDescent="0.2"/>
  <cols>
    <col min="1" max="1" width="12.7109375" style="72" customWidth="1"/>
    <col min="2" max="2" width="21.7109375" style="71" customWidth="1"/>
    <col min="3" max="3" width="7.28515625" style="71" customWidth="1"/>
    <col min="4" max="4" width="7.7109375" style="71" customWidth="1"/>
    <col min="5" max="5" width="9.7109375" style="174" customWidth="1"/>
    <col min="6" max="6" width="7.5703125" style="71" customWidth="1"/>
    <col min="7" max="7" width="11.5703125" style="74" hidden="1" customWidth="1" outlineLevel="1"/>
    <col min="8" max="8" width="11.7109375" style="75" hidden="1" customWidth="1" outlineLevel="1"/>
    <col min="9" max="9" width="11.28515625" style="74" hidden="1" customWidth="1" outlineLevel="1"/>
    <col min="10" max="10" width="8.7109375" style="76" hidden="1" customWidth="1" outlineLevel="1"/>
    <col min="11" max="11" width="7.7109375" style="76" hidden="1" customWidth="1" outlineLevel="1"/>
    <col min="12" max="12" width="9" style="74" customWidth="1" collapsed="1"/>
    <col min="13" max="13" width="9" style="74" hidden="1" customWidth="1" outlineLevel="1"/>
    <col min="14" max="14" width="7.42578125" style="174" hidden="1" customWidth="1" outlineLevel="1"/>
    <col min="15" max="15" width="8.28515625" style="174" customWidth="1" collapsed="1"/>
    <col min="16" max="17" width="11.28515625" style="78" customWidth="1"/>
    <col min="18" max="32" width="6.5703125" style="71" bestFit="1" customWidth="1"/>
    <col min="33" max="83" width="7.28515625" style="71" bestFit="1" customWidth="1"/>
    <col min="84" max="16384" width="9.28515625" style="71"/>
  </cols>
  <sheetData>
    <row r="1" spans="1:83" x14ac:dyDescent="0.2">
      <c r="R1" s="105">
        <f>'T&amp;D'!Q1</f>
        <v>0</v>
      </c>
      <c r="S1" s="105">
        <f>'T&amp;D'!R1</f>
        <v>0</v>
      </c>
      <c r="T1" s="105">
        <f>'T&amp;D'!S1</f>
        <v>0</v>
      </c>
      <c r="U1" s="105">
        <f>'T&amp;D'!T1</f>
        <v>0</v>
      </c>
      <c r="V1" s="105">
        <f>'T&amp;D'!U1</f>
        <v>0</v>
      </c>
      <c r="W1" s="105">
        <f>'T&amp;D'!V1</f>
        <v>0</v>
      </c>
      <c r="X1" s="105">
        <f>'T&amp;D'!W1</f>
        <v>0</v>
      </c>
      <c r="Y1" s="105">
        <f>'T&amp;D'!X1</f>
        <v>0</v>
      </c>
      <c r="Z1" s="105">
        <f>'T&amp;D'!Y1</f>
        <v>0</v>
      </c>
      <c r="AA1" s="105">
        <f>'T&amp;D'!Z1</f>
        <v>0</v>
      </c>
      <c r="AB1" s="105">
        <f>'T&amp;D'!AA1</f>
        <v>0</v>
      </c>
      <c r="AC1" s="105">
        <f>'T&amp;D'!AB1</f>
        <v>0</v>
      </c>
      <c r="AD1" s="105">
        <f>'T&amp;D'!AC1</f>
        <v>0</v>
      </c>
      <c r="AE1" s="105">
        <f>'T&amp;D'!AD1</f>
        <v>0</v>
      </c>
      <c r="AF1" s="105">
        <f>'T&amp;D'!AE1</f>
        <v>0</v>
      </c>
      <c r="AG1" s="105">
        <f>'T&amp;D'!AF1</f>
        <v>0</v>
      </c>
      <c r="AH1" s="105">
        <f>'T&amp;D'!AG1</f>
        <v>0</v>
      </c>
      <c r="AI1" s="105">
        <f>'T&amp;D'!AH1</f>
        <v>0</v>
      </c>
      <c r="AJ1" s="105">
        <f>'T&amp;D'!AI1</f>
        <v>0</v>
      </c>
      <c r="AK1" s="105">
        <f>'T&amp;D'!AJ1</f>
        <v>0</v>
      </c>
      <c r="AL1" s="105">
        <f>'T&amp;D'!AK1</f>
        <v>0</v>
      </c>
      <c r="AM1" s="105">
        <f>'T&amp;D'!AL1</f>
        <v>0</v>
      </c>
      <c r="AN1" s="105">
        <f>'T&amp;D'!AM1</f>
        <v>0</v>
      </c>
      <c r="AO1" s="105">
        <f>'T&amp;D'!AN1</f>
        <v>0</v>
      </c>
      <c r="AP1" s="105">
        <f>'T&amp;D'!AO1</f>
        <v>0</v>
      </c>
      <c r="AQ1" s="105">
        <f>'T&amp;D'!AP1</f>
        <v>0</v>
      </c>
      <c r="AR1" s="105">
        <f>'T&amp;D'!AQ1</f>
        <v>0</v>
      </c>
      <c r="AS1" s="105">
        <f>'T&amp;D'!AR1</f>
        <v>0</v>
      </c>
      <c r="AT1" s="105">
        <f>'T&amp;D'!AS1</f>
        <v>0</v>
      </c>
      <c r="AU1" s="105">
        <f>'T&amp;D'!AT1</f>
        <v>0</v>
      </c>
      <c r="AV1" s="105">
        <f>'T&amp;D'!AU1</f>
        <v>0</v>
      </c>
      <c r="AW1" s="105">
        <f>'T&amp;D'!AV1</f>
        <v>0</v>
      </c>
      <c r="AX1" s="105">
        <f>'T&amp;D'!AW1</f>
        <v>0</v>
      </c>
      <c r="AY1" s="105">
        <f>'T&amp;D'!AX1</f>
        <v>0</v>
      </c>
      <c r="AZ1" s="105">
        <f>'T&amp;D'!AY1</f>
        <v>0</v>
      </c>
      <c r="BA1" s="105">
        <f>'T&amp;D'!AZ1</f>
        <v>0</v>
      </c>
      <c r="BB1" s="105">
        <f>'T&amp;D'!BA1</f>
        <v>0</v>
      </c>
      <c r="BC1" s="105">
        <f>'T&amp;D'!BB1</f>
        <v>0</v>
      </c>
      <c r="BD1" s="105">
        <f>'T&amp;D'!BC1</f>
        <v>0</v>
      </c>
      <c r="BE1" s="105">
        <f>'T&amp;D'!BD1</f>
        <v>0</v>
      </c>
      <c r="BF1" s="105">
        <f>'T&amp;D'!BE1</f>
        <v>0</v>
      </c>
      <c r="BG1" s="105">
        <f>'T&amp;D'!BF1</f>
        <v>0</v>
      </c>
      <c r="BH1" s="105">
        <f>'T&amp;D'!BG1</f>
        <v>0</v>
      </c>
      <c r="BI1" s="105">
        <f>'T&amp;D'!BH1</f>
        <v>0</v>
      </c>
      <c r="BJ1" s="105">
        <f>'T&amp;D'!BI1</f>
        <v>0</v>
      </c>
      <c r="BK1" s="105">
        <f>'T&amp;D'!BJ1</f>
        <v>0</v>
      </c>
      <c r="BL1" s="105">
        <f>'T&amp;D'!BK1</f>
        <v>0</v>
      </c>
      <c r="BM1" s="105">
        <f>'T&amp;D'!BL1</f>
        <v>0</v>
      </c>
      <c r="BN1" s="105">
        <f>'T&amp;D'!BM1</f>
        <v>0</v>
      </c>
      <c r="BO1" s="105">
        <f>'T&amp;D'!BN1</f>
        <v>0</v>
      </c>
      <c r="BP1" s="105">
        <f>'T&amp;D'!BO1</f>
        <v>0</v>
      </c>
      <c r="BQ1" s="105">
        <f>'T&amp;D'!BP1</f>
        <v>0</v>
      </c>
      <c r="BR1" s="105">
        <f>'T&amp;D'!BQ1</f>
        <v>0</v>
      </c>
      <c r="BS1" s="105">
        <f>'T&amp;D'!BR1</f>
        <v>0</v>
      </c>
      <c r="BT1" s="105">
        <f>'T&amp;D'!BS1</f>
        <v>0</v>
      </c>
      <c r="BU1" s="105">
        <f>'T&amp;D'!BT1</f>
        <v>0</v>
      </c>
      <c r="BV1" s="105">
        <f>'T&amp;D'!BU1</f>
        <v>0</v>
      </c>
      <c r="BW1" s="105">
        <f>'T&amp;D'!BV1</f>
        <v>0</v>
      </c>
      <c r="BX1" s="105">
        <f>'T&amp;D'!BW1</f>
        <v>0</v>
      </c>
      <c r="BY1" s="105">
        <f>'T&amp;D'!BX1</f>
        <v>0</v>
      </c>
      <c r="BZ1" s="105">
        <f>'T&amp;D'!BY1</f>
        <v>0</v>
      </c>
      <c r="CA1" s="105">
        <f>'T&amp;D'!BZ1</f>
        <v>0</v>
      </c>
      <c r="CB1" s="105">
        <f>'T&amp;D'!CA1</f>
        <v>0</v>
      </c>
      <c r="CC1" s="105">
        <f>'T&amp;D'!CB1</f>
        <v>0</v>
      </c>
      <c r="CD1" s="105">
        <f>'T&amp;D'!CC1</f>
        <v>0</v>
      </c>
      <c r="CE1" s="105">
        <f>'T&amp;D'!CD1</f>
        <v>0</v>
      </c>
    </row>
    <row r="2" spans="1:83" x14ac:dyDescent="0.2">
      <c r="A2" s="103" t="s">
        <v>221</v>
      </c>
      <c r="F2" s="204">
        <f>F4-F3</f>
        <v>128</v>
      </c>
      <c r="L2" s="142">
        <f>L4-L3</f>
        <v>0.40422847985347982</v>
      </c>
      <c r="R2" s="105" t="str">
        <f>'T&amp;D'!Q2</f>
        <v>w/O OT</v>
      </c>
      <c r="S2" s="105" t="str">
        <f>'T&amp;D'!R2</f>
        <v>w/O OT</v>
      </c>
      <c r="T2" s="105" t="str">
        <f>'T&amp;D'!S2</f>
        <v>w/O OT</v>
      </c>
      <c r="U2" s="105" t="str">
        <f>'T&amp;D'!T2</f>
        <v>w/O OT</v>
      </c>
      <c r="V2" s="105" t="str">
        <f>'T&amp;D'!U2</f>
        <v>Fri</v>
      </c>
      <c r="W2" s="105" t="str">
        <f>'T&amp;D'!V2</f>
        <v>Sat</v>
      </c>
      <c r="X2" s="105" t="str">
        <f>'T&amp;D'!W2</f>
        <v>w/O OT</v>
      </c>
      <c r="Y2" s="105" t="str">
        <f>'T&amp;D'!X2</f>
        <v>w/O OT</v>
      </c>
      <c r="Z2" s="105" t="str">
        <f>'T&amp;D'!Y2</f>
        <v>w/O OT</v>
      </c>
      <c r="AA2" s="105" t="str">
        <f>'T&amp;D'!Z2</f>
        <v>w/O OT</v>
      </c>
      <c r="AB2" s="105" t="str">
        <f>'T&amp;D'!AA2</f>
        <v>Fri</v>
      </c>
      <c r="AC2" s="105" t="str">
        <f>'T&amp;D'!AB2</f>
        <v>Sat</v>
      </c>
      <c r="AD2" s="105" t="str">
        <f>'T&amp;D'!AC2</f>
        <v>w/O OT</v>
      </c>
      <c r="AE2" s="105" t="str">
        <f>'T&amp;D'!AD2</f>
        <v>w/O OT</v>
      </c>
      <c r="AF2" s="105" t="str">
        <f>'T&amp;D'!AE2</f>
        <v>w/O OT</v>
      </c>
      <c r="AG2" s="105" t="str">
        <f>'T&amp;D'!AF2</f>
        <v>w/O OT</v>
      </c>
      <c r="AH2" s="105" t="str">
        <f>'T&amp;D'!AG2</f>
        <v>Fri</v>
      </c>
      <c r="AI2" s="105" t="str">
        <f>'T&amp;D'!AH2</f>
        <v>Sat</v>
      </c>
      <c r="AJ2" s="105" t="str">
        <f>'T&amp;D'!AI2</f>
        <v>w/O OT</v>
      </c>
      <c r="AK2" s="105" t="str">
        <f>'T&amp;D'!AJ2</f>
        <v>w/O OT</v>
      </c>
      <c r="AL2" s="105" t="str">
        <f>'T&amp;D'!AK2</f>
        <v>w/O OT</v>
      </c>
      <c r="AM2" s="105" t="str">
        <f>'T&amp;D'!AL2</f>
        <v>w/O OT</v>
      </c>
      <c r="AN2" s="105" t="str">
        <f>'T&amp;D'!AM2</f>
        <v>Fri</v>
      </c>
      <c r="AO2" s="105" t="str">
        <f>'T&amp;D'!AN2</f>
        <v>Sat</v>
      </c>
      <c r="AP2" s="105" t="str">
        <f>'T&amp;D'!AO2</f>
        <v>w/O OT</v>
      </c>
      <c r="AQ2" s="105" t="str">
        <f>'T&amp;D'!AP2</f>
        <v>w/O OT</v>
      </c>
      <c r="AR2" s="105" t="str">
        <f>'T&amp;D'!AQ2</f>
        <v>w/O OT</v>
      </c>
      <c r="AS2" s="105" t="str">
        <f>'T&amp;D'!AR2</f>
        <v>w/O OT</v>
      </c>
      <c r="AT2" s="105" t="str">
        <f>'T&amp;D'!AS2</f>
        <v>Fri</v>
      </c>
      <c r="AU2" s="105" t="str">
        <f>'T&amp;D'!AT2</f>
        <v>Sat</v>
      </c>
      <c r="AV2" s="105" t="str">
        <f>'T&amp;D'!AU2</f>
        <v>w/O OT</v>
      </c>
      <c r="AW2" s="105" t="str">
        <f>'T&amp;D'!AV2</f>
        <v>w/O OT</v>
      </c>
      <c r="AX2" s="105" t="str">
        <f>'T&amp;D'!AW2</f>
        <v>w/O OT</v>
      </c>
      <c r="AY2" s="105" t="str">
        <f>'T&amp;D'!AX2</f>
        <v>w/O OT</v>
      </c>
      <c r="AZ2" s="105" t="str">
        <f>'T&amp;D'!AY2</f>
        <v>Fri</v>
      </c>
      <c r="BA2" s="105" t="str">
        <f>'T&amp;D'!AZ2</f>
        <v>Sat</v>
      </c>
      <c r="BB2" s="105" t="str">
        <f>'T&amp;D'!BA2</f>
        <v>w/O OT</v>
      </c>
      <c r="BC2" s="105" t="str">
        <f>'T&amp;D'!BB2</f>
        <v>w/O OT</v>
      </c>
      <c r="BD2" s="105" t="str">
        <f>'T&amp;D'!BC2</f>
        <v>w/O OT</v>
      </c>
      <c r="BE2" s="105" t="str">
        <f>'T&amp;D'!BD2</f>
        <v>w/O OT</v>
      </c>
      <c r="BF2" s="105" t="str">
        <f>'T&amp;D'!BE2</f>
        <v>Fri</v>
      </c>
      <c r="BG2" s="105" t="str">
        <f>'T&amp;D'!BF2</f>
        <v>Sat</v>
      </c>
      <c r="BH2" s="105" t="str">
        <f>'T&amp;D'!BG2</f>
        <v>w/O OT</v>
      </c>
      <c r="BI2" s="105" t="str">
        <f>'T&amp;D'!BH2</f>
        <v>w/O OT</v>
      </c>
      <c r="BJ2" s="105" t="str">
        <f>'T&amp;D'!BI2</f>
        <v>w/O OT</v>
      </c>
      <c r="BK2" s="105" t="str">
        <f>'T&amp;D'!BJ2</f>
        <v>w/O OT</v>
      </c>
      <c r="BL2" s="105" t="str">
        <f>'T&amp;D'!BK2</f>
        <v>Fri</v>
      </c>
      <c r="BM2" s="105" t="str">
        <f>'T&amp;D'!BL2</f>
        <v>Sat</v>
      </c>
      <c r="BN2" s="105" t="str">
        <f>'T&amp;D'!BM2</f>
        <v>w/O OT</v>
      </c>
      <c r="BO2" s="105" t="str">
        <f>'T&amp;D'!BN2</f>
        <v>w/O OT</v>
      </c>
      <c r="BP2" s="105" t="str">
        <f>'T&amp;D'!BO2</f>
        <v>w/O OT</v>
      </c>
      <c r="BQ2" s="105" t="str">
        <f>'T&amp;D'!BP2</f>
        <v>w/O OT</v>
      </c>
      <c r="BR2" s="105" t="str">
        <f>'T&amp;D'!BQ2</f>
        <v>Fri</v>
      </c>
      <c r="BS2" s="105" t="str">
        <f>'T&amp;D'!BR2</f>
        <v>Sat</v>
      </c>
      <c r="BT2" s="105" t="str">
        <f>'T&amp;D'!BS2</f>
        <v>w/O OT</v>
      </c>
      <c r="BU2" s="105" t="str">
        <f>'T&amp;D'!BT2</f>
        <v>w/O OT</v>
      </c>
      <c r="BV2" s="105" t="str">
        <f>'T&amp;D'!BU2</f>
        <v>w/O OT</v>
      </c>
      <c r="BW2" s="105" t="str">
        <f>'T&amp;D'!BV2</f>
        <v>w/O OT</v>
      </c>
      <c r="BX2" s="105" t="str">
        <f>'T&amp;D'!BW2</f>
        <v>Fri</v>
      </c>
      <c r="BY2" s="105" t="str">
        <f>'T&amp;D'!BX2</f>
        <v>Sat</v>
      </c>
      <c r="BZ2" s="105" t="str">
        <f>'T&amp;D'!BY2</f>
        <v>w/O OT</v>
      </c>
      <c r="CA2" s="105" t="str">
        <f>'T&amp;D'!BZ2</f>
        <v>w/O OT</v>
      </c>
      <c r="CB2" s="105" t="str">
        <f>'T&amp;D'!CA2</f>
        <v>w/O OT</v>
      </c>
      <c r="CC2" s="105" t="str">
        <f>'T&amp;D'!CB2</f>
        <v>w/O OT</v>
      </c>
      <c r="CD2" s="105" t="str">
        <f>'T&amp;D'!CC2</f>
        <v>Fri</v>
      </c>
      <c r="CE2" s="105" t="str">
        <f>'T&amp;D'!CD2</f>
        <v>Sat</v>
      </c>
    </row>
    <row r="3" spans="1:83" s="80" customFormat="1" x14ac:dyDescent="0.2">
      <c r="A3" s="79"/>
      <c r="C3" s="71" t="s">
        <v>109</v>
      </c>
      <c r="D3" s="75" t="s">
        <v>110</v>
      </c>
      <c r="E3" s="174" t="s">
        <v>90</v>
      </c>
      <c r="F3" s="157">
        <f>F41+F43</f>
        <v>269</v>
      </c>
      <c r="L3" s="85">
        <f>L41+L43</f>
        <v>9.0603174603174352E-3</v>
      </c>
      <c r="M3" s="85"/>
      <c r="N3" s="177"/>
      <c r="O3" s="240" t="s">
        <v>415</v>
      </c>
      <c r="P3" s="81"/>
      <c r="Q3" s="81"/>
      <c r="R3" s="82">
        <f>'T&amp;D'!Q3</f>
        <v>46314</v>
      </c>
      <c r="S3" s="82">
        <f>'T&amp;D'!R3</f>
        <v>46315</v>
      </c>
      <c r="T3" s="82">
        <f>'T&amp;D'!S3</f>
        <v>46316</v>
      </c>
      <c r="U3" s="82">
        <f>'T&amp;D'!T3</f>
        <v>46317</v>
      </c>
      <c r="V3" s="82">
        <f>'T&amp;D'!U3</f>
        <v>46318</v>
      </c>
      <c r="W3" s="82">
        <f>'T&amp;D'!V3</f>
        <v>46319</v>
      </c>
      <c r="X3" s="82">
        <f>'T&amp;D'!W3</f>
        <v>46321</v>
      </c>
      <c r="Y3" s="82">
        <f>'T&amp;D'!X3</f>
        <v>46322</v>
      </c>
      <c r="Z3" s="82">
        <f>'T&amp;D'!Y3</f>
        <v>46323</v>
      </c>
      <c r="AA3" s="82">
        <f>'T&amp;D'!Z3</f>
        <v>46324</v>
      </c>
      <c r="AB3" s="82">
        <f>'T&amp;D'!AA3</f>
        <v>46325</v>
      </c>
      <c r="AC3" s="82">
        <f>'T&amp;D'!AB3</f>
        <v>46326</v>
      </c>
      <c r="AD3" s="82">
        <f>'T&amp;D'!AC3</f>
        <v>46328</v>
      </c>
      <c r="AE3" s="82">
        <f>'T&amp;D'!AD3</f>
        <v>46329</v>
      </c>
      <c r="AF3" s="82">
        <f>'T&amp;D'!AE3</f>
        <v>46330</v>
      </c>
      <c r="AG3" s="82">
        <f>'T&amp;D'!AF3</f>
        <v>46331</v>
      </c>
      <c r="AH3" s="82">
        <f>'T&amp;D'!AG3</f>
        <v>46332</v>
      </c>
      <c r="AI3" s="82">
        <f>'T&amp;D'!AH3</f>
        <v>46333</v>
      </c>
      <c r="AJ3" s="82">
        <f>'T&amp;D'!AI3</f>
        <v>46335</v>
      </c>
      <c r="AK3" s="82">
        <f>'T&amp;D'!AJ3</f>
        <v>46336</v>
      </c>
      <c r="AL3" s="82">
        <f>'T&amp;D'!AK3</f>
        <v>46337</v>
      </c>
      <c r="AM3" s="82">
        <f>'T&amp;D'!AL3</f>
        <v>46338</v>
      </c>
      <c r="AN3" s="82">
        <f>'T&amp;D'!AM3</f>
        <v>46339</v>
      </c>
      <c r="AO3" s="82">
        <f>'T&amp;D'!AN3</f>
        <v>46340</v>
      </c>
      <c r="AP3" s="82">
        <f>'T&amp;D'!AO3</f>
        <v>46342</v>
      </c>
      <c r="AQ3" s="82">
        <f>'T&amp;D'!AP3</f>
        <v>46343</v>
      </c>
      <c r="AR3" s="82">
        <f>'T&amp;D'!AQ3</f>
        <v>46344</v>
      </c>
      <c r="AS3" s="82">
        <f>'T&amp;D'!AR3</f>
        <v>46345</v>
      </c>
      <c r="AT3" s="82">
        <f>'T&amp;D'!AS3</f>
        <v>46346</v>
      </c>
      <c r="AU3" s="82">
        <f>'T&amp;D'!AT3</f>
        <v>46347</v>
      </c>
      <c r="AV3" s="82">
        <f>'T&amp;D'!AU3</f>
        <v>46349</v>
      </c>
      <c r="AW3" s="82">
        <f>'T&amp;D'!AV3</f>
        <v>46350</v>
      </c>
      <c r="AX3" s="82">
        <f>'T&amp;D'!AW3</f>
        <v>46351</v>
      </c>
      <c r="AY3" s="82">
        <f>'T&amp;D'!AX3</f>
        <v>46352</v>
      </c>
      <c r="AZ3" s="82">
        <f>'T&amp;D'!AY3</f>
        <v>46353</v>
      </c>
      <c r="BA3" s="82">
        <f>'T&amp;D'!AZ3</f>
        <v>46354</v>
      </c>
      <c r="BB3" s="82">
        <f>'T&amp;D'!BA3</f>
        <v>46356</v>
      </c>
      <c r="BC3" s="82">
        <f>'T&amp;D'!BB3</f>
        <v>46357</v>
      </c>
      <c r="BD3" s="82">
        <f>'T&amp;D'!BC3</f>
        <v>46358</v>
      </c>
      <c r="BE3" s="82">
        <f>'T&amp;D'!BD3</f>
        <v>46359</v>
      </c>
      <c r="BF3" s="82">
        <f>'T&amp;D'!BE3</f>
        <v>46360</v>
      </c>
      <c r="BG3" s="82">
        <f>'T&amp;D'!BF3</f>
        <v>46361</v>
      </c>
      <c r="BH3" s="82">
        <f>'T&amp;D'!BG3</f>
        <v>46363</v>
      </c>
      <c r="BI3" s="82">
        <f>'T&amp;D'!BH3</f>
        <v>46364</v>
      </c>
      <c r="BJ3" s="82">
        <f>'T&amp;D'!BI3</f>
        <v>46365</v>
      </c>
      <c r="BK3" s="82">
        <f>'T&amp;D'!BJ3</f>
        <v>46366</v>
      </c>
      <c r="BL3" s="82">
        <f>'T&amp;D'!BK3</f>
        <v>46367</v>
      </c>
      <c r="BM3" s="82">
        <f>'T&amp;D'!BL3</f>
        <v>46368</v>
      </c>
      <c r="BN3" s="82">
        <f>'T&amp;D'!BM3</f>
        <v>46370</v>
      </c>
      <c r="BO3" s="82">
        <f>'T&amp;D'!BN3</f>
        <v>46371</v>
      </c>
      <c r="BP3" s="82">
        <f>'T&amp;D'!BO3</f>
        <v>46372</v>
      </c>
      <c r="BQ3" s="82">
        <f>'T&amp;D'!BP3</f>
        <v>46373</v>
      </c>
      <c r="BR3" s="82">
        <f>'T&amp;D'!BQ3</f>
        <v>46374</v>
      </c>
      <c r="BS3" s="82">
        <f>'T&amp;D'!BR3</f>
        <v>46375</v>
      </c>
      <c r="BT3" s="82">
        <f>'T&amp;D'!BS3</f>
        <v>46377</v>
      </c>
      <c r="BU3" s="82">
        <f>'T&amp;D'!BT3</f>
        <v>46378</v>
      </c>
      <c r="BV3" s="82">
        <f>'T&amp;D'!BU3</f>
        <v>46379</v>
      </c>
      <c r="BW3" s="82">
        <f>'T&amp;D'!BV3</f>
        <v>46380</v>
      </c>
      <c r="BX3" s="82">
        <f>'T&amp;D'!BW3</f>
        <v>46381</v>
      </c>
      <c r="BY3" s="82">
        <f>'T&amp;D'!BX3</f>
        <v>46382</v>
      </c>
      <c r="BZ3" s="82">
        <f>'T&amp;D'!BY3</f>
        <v>46384</v>
      </c>
      <c r="CA3" s="82">
        <f>'T&amp;D'!BZ3</f>
        <v>46385</v>
      </c>
      <c r="CB3" s="82">
        <f>'T&amp;D'!CA3</f>
        <v>46386</v>
      </c>
      <c r="CC3" s="82">
        <f>'T&amp;D'!CB3</f>
        <v>46387</v>
      </c>
      <c r="CD3" s="82">
        <f>'T&amp;D'!CC3</f>
        <v>46388</v>
      </c>
      <c r="CE3" s="82">
        <f>'T&amp;D'!CD3</f>
        <v>46389</v>
      </c>
    </row>
    <row r="4" spans="1:83" s="84" customFormat="1" x14ac:dyDescent="0.2">
      <c r="A4" s="83"/>
      <c r="D4" s="173"/>
      <c r="E4" s="174" t="s">
        <v>228</v>
      </c>
      <c r="F4" s="157">
        <f>SUM(F8:F4661)</f>
        <v>397</v>
      </c>
      <c r="G4" s="85"/>
      <c r="I4" s="85">
        <f>45.5/5</f>
        <v>9.1</v>
      </c>
      <c r="L4" s="85">
        <f>SUM(L8:L4661)</f>
        <v>0.41328879731379725</v>
      </c>
      <c r="M4" s="85"/>
      <c r="N4" s="178">
        <f>'T&amp;D'!M4</f>
        <v>46314</v>
      </c>
      <c r="O4" s="177"/>
      <c r="P4" s="81"/>
      <c r="Q4" s="81"/>
      <c r="R4" s="104">
        <f>'T&amp;D'!Q4</f>
        <v>45817</v>
      </c>
      <c r="S4" s="104">
        <f>'T&amp;D'!R4</f>
        <v>45818</v>
      </c>
      <c r="T4" s="104">
        <f>'T&amp;D'!S4</f>
        <v>45819</v>
      </c>
      <c r="U4" s="104">
        <f>'T&amp;D'!T4</f>
        <v>45820</v>
      </c>
      <c r="V4" s="104">
        <f>'T&amp;D'!U4</f>
        <v>45821</v>
      </c>
      <c r="W4" s="104">
        <f>'T&amp;D'!V4</f>
        <v>45822</v>
      </c>
      <c r="X4" s="104">
        <f>'T&amp;D'!W4</f>
        <v>45824</v>
      </c>
      <c r="Y4" s="104">
        <f>'T&amp;D'!X4</f>
        <v>45825</v>
      </c>
      <c r="Z4" s="104">
        <f>'T&amp;D'!Y4</f>
        <v>45826</v>
      </c>
      <c r="AA4" s="104">
        <f>'T&amp;D'!Z4</f>
        <v>45827</v>
      </c>
      <c r="AB4" s="104">
        <f>'T&amp;D'!AA4</f>
        <v>45828</v>
      </c>
      <c r="AC4" s="104">
        <f>'T&amp;D'!AB4</f>
        <v>45829</v>
      </c>
      <c r="AD4" s="104">
        <f>'T&amp;D'!AC4</f>
        <v>45831</v>
      </c>
      <c r="AE4" s="104">
        <f>'T&amp;D'!AD4</f>
        <v>45832</v>
      </c>
      <c r="AF4" s="104">
        <f>'T&amp;D'!AE4</f>
        <v>45833</v>
      </c>
      <c r="AG4" s="104">
        <f>'T&amp;D'!AF4</f>
        <v>45834</v>
      </c>
      <c r="AH4" s="104">
        <f>'T&amp;D'!AG4</f>
        <v>45835</v>
      </c>
      <c r="AI4" s="104">
        <f>'T&amp;D'!AH4</f>
        <v>45836</v>
      </c>
      <c r="AJ4" s="104">
        <f>'T&amp;D'!AI4</f>
        <v>45838</v>
      </c>
      <c r="AK4" s="104">
        <f>'T&amp;D'!AJ4</f>
        <v>45839</v>
      </c>
      <c r="AL4" s="104">
        <f>'T&amp;D'!AK4</f>
        <v>45840</v>
      </c>
      <c r="AM4" s="104">
        <f>'T&amp;D'!AL4</f>
        <v>45841</v>
      </c>
      <c r="AN4" s="104">
        <f>'T&amp;D'!AM4</f>
        <v>45842</v>
      </c>
      <c r="AO4" s="104">
        <f>'T&amp;D'!AN4</f>
        <v>45843</v>
      </c>
      <c r="AP4" s="104">
        <f>'T&amp;D'!AO4</f>
        <v>45845</v>
      </c>
      <c r="AQ4" s="104">
        <f>'T&amp;D'!AP4</f>
        <v>45846</v>
      </c>
      <c r="AR4" s="104">
        <f>'T&amp;D'!AQ4</f>
        <v>45847</v>
      </c>
      <c r="AS4" s="104">
        <f>'T&amp;D'!AR4</f>
        <v>45848</v>
      </c>
      <c r="AT4" s="104">
        <f>'T&amp;D'!AS4</f>
        <v>45849</v>
      </c>
      <c r="AU4" s="104">
        <f>'T&amp;D'!AT4</f>
        <v>45850</v>
      </c>
      <c r="AV4" s="104">
        <f>'T&amp;D'!AU4</f>
        <v>45852</v>
      </c>
      <c r="AW4" s="104">
        <f>'T&amp;D'!AV4</f>
        <v>45853</v>
      </c>
      <c r="AX4" s="104">
        <f>'T&amp;D'!AW4</f>
        <v>45854</v>
      </c>
      <c r="AY4" s="104">
        <f>'T&amp;D'!AX4</f>
        <v>45855</v>
      </c>
      <c r="AZ4" s="104">
        <f>'T&amp;D'!AY4</f>
        <v>45856</v>
      </c>
      <c r="BA4" s="104">
        <f>'T&amp;D'!AZ4</f>
        <v>45857</v>
      </c>
      <c r="BB4" s="104">
        <f>'T&amp;D'!BA4</f>
        <v>45859</v>
      </c>
      <c r="BC4" s="104">
        <f>'T&amp;D'!BB4</f>
        <v>45860</v>
      </c>
      <c r="BD4" s="104">
        <f>'T&amp;D'!BC4</f>
        <v>45861</v>
      </c>
      <c r="BE4" s="104">
        <f>'T&amp;D'!BD4</f>
        <v>45862</v>
      </c>
      <c r="BF4" s="104">
        <f>'T&amp;D'!BE4</f>
        <v>45863</v>
      </c>
      <c r="BG4" s="104">
        <f>'T&amp;D'!BF4</f>
        <v>45864</v>
      </c>
      <c r="BH4" s="104">
        <f>'T&amp;D'!BG4</f>
        <v>45866</v>
      </c>
      <c r="BI4" s="104">
        <f>'T&amp;D'!BH4</f>
        <v>45867</v>
      </c>
      <c r="BJ4" s="104">
        <f>'T&amp;D'!BI4</f>
        <v>45868</v>
      </c>
      <c r="BK4" s="104">
        <f>'T&amp;D'!BJ4</f>
        <v>45869</v>
      </c>
      <c r="BL4" s="104">
        <f>'T&amp;D'!BK4</f>
        <v>45870</v>
      </c>
      <c r="BM4" s="104">
        <f>'T&amp;D'!BL4</f>
        <v>45871</v>
      </c>
      <c r="BN4" s="104">
        <f>'T&amp;D'!BM4</f>
        <v>45873</v>
      </c>
      <c r="BO4" s="104">
        <f>'T&amp;D'!BN4</f>
        <v>45874</v>
      </c>
      <c r="BP4" s="104">
        <f>'T&amp;D'!BO4</f>
        <v>45875</v>
      </c>
      <c r="BQ4" s="104">
        <f>'T&amp;D'!BP4</f>
        <v>45876</v>
      </c>
      <c r="BR4" s="104">
        <f>'T&amp;D'!BQ4</f>
        <v>45877</v>
      </c>
      <c r="BS4" s="104">
        <f>'T&amp;D'!BR4</f>
        <v>45878</v>
      </c>
      <c r="BT4" s="104">
        <f>'T&amp;D'!BS4</f>
        <v>45880</v>
      </c>
      <c r="BU4" s="104">
        <f>'T&amp;D'!BT4</f>
        <v>45881</v>
      </c>
      <c r="BV4" s="104">
        <f>'T&amp;D'!BU4</f>
        <v>45882</v>
      </c>
      <c r="BW4" s="104">
        <f>'T&amp;D'!BV4</f>
        <v>45883</v>
      </c>
      <c r="BX4" s="104">
        <f>'T&amp;D'!BW4</f>
        <v>45884</v>
      </c>
      <c r="BY4" s="104">
        <f>'T&amp;D'!BX4</f>
        <v>45885</v>
      </c>
      <c r="BZ4" s="104">
        <f>'T&amp;D'!BY4</f>
        <v>45887</v>
      </c>
      <c r="CA4" s="104">
        <f>'T&amp;D'!BZ4</f>
        <v>45888</v>
      </c>
      <c r="CB4" s="104">
        <f>'T&amp;D'!CA4</f>
        <v>45889</v>
      </c>
      <c r="CC4" s="104">
        <f>'T&amp;D'!CB4</f>
        <v>45890</v>
      </c>
      <c r="CD4" s="104">
        <f>'T&amp;D'!CC4</f>
        <v>45891</v>
      </c>
      <c r="CE4" s="104">
        <f>'T&amp;D'!CD4</f>
        <v>45892</v>
      </c>
    </row>
    <row r="5" spans="1:83" s="84" customFormat="1" ht="12.75" customHeight="1" x14ac:dyDescent="0.2">
      <c r="A5" s="386" t="s">
        <v>385</v>
      </c>
      <c r="B5" s="386" t="s">
        <v>214</v>
      </c>
      <c r="C5" s="387" t="s">
        <v>91</v>
      </c>
      <c r="D5" s="388" t="s">
        <v>0</v>
      </c>
      <c r="E5" s="389" t="s">
        <v>103</v>
      </c>
      <c r="F5" s="388" t="s">
        <v>89</v>
      </c>
      <c r="G5" s="392" t="s">
        <v>93</v>
      </c>
      <c r="H5" s="388" t="s">
        <v>94</v>
      </c>
      <c r="I5" s="390" t="s">
        <v>95</v>
      </c>
      <c r="J5" s="393" t="s">
        <v>519</v>
      </c>
      <c r="K5" s="393" t="s">
        <v>520</v>
      </c>
      <c r="L5" s="390" t="s">
        <v>241</v>
      </c>
      <c r="M5" s="390" t="s">
        <v>240</v>
      </c>
      <c r="N5" s="389" t="s">
        <v>98</v>
      </c>
      <c r="O5" s="389" t="s">
        <v>99</v>
      </c>
      <c r="P5" s="391" t="s">
        <v>102</v>
      </c>
      <c r="Q5" s="125" t="s">
        <v>106</v>
      </c>
      <c r="R5" s="126" cm="1">
        <f t="array" ref="R5">_xlfn.IFS(R2="w/ OT",12.25,R2="w/o OT",9.5,R2="FRI",7.5,R2="SAT",7.5,R2="SUN",7.5,R2="OFF",0)</f>
        <v>9.5</v>
      </c>
      <c r="S5" s="126" cm="1">
        <f t="array" ref="S5">_xlfn.IFS(S2="w/ OT",12.25,S2="w/o OT",9.5,S2="FRI",7.5,S2="SAT",7.5,S2="SUN",7.5,S2="OFF",0)</f>
        <v>9.5</v>
      </c>
      <c r="T5" s="126" cm="1">
        <f t="array" ref="T5">_xlfn.IFS(T2="w/ OT",12.25,T2="w/o OT",9.5,T2="FRI",7.5,T2="SAT",7.5,T2="SUN",7.5,T2="OFF",0)</f>
        <v>9.5</v>
      </c>
      <c r="U5" s="126" cm="1">
        <f t="array" ref="U5">_xlfn.IFS(U2="w/ OT",12.25,U2="w/o OT",9.5,U2="FRI",7.5,U2="SAT",7.5,U2="SUN",7.5,U2="OFF",0)</f>
        <v>9.5</v>
      </c>
      <c r="V5" s="126" cm="1">
        <f t="array" ref="V5">_xlfn.IFS(V2="w/ OT",12.25,V2="w/o OT",9.5,V2="FRI",7.5,V2="SAT",7.5,V2="SUN",7.5,V2="OFF",0)</f>
        <v>7.5</v>
      </c>
      <c r="W5" s="126" cm="1">
        <f t="array" ref="W5">_xlfn.IFS(W2="w/ OT",12.25,W2="w/o OT",9.5,W2="FRI",7.5,W2="SAT",7.5,W2="SUN",7.5,W2="OFF",0)</f>
        <v>7.5</v>
      </c>
      <c r="X5" s="126" cm="1">
        <f t="array" ref="X5">_xlfn.IFS(X2="w/ OT",12.25,X2="w/o OT",9.5,X2="FRI",7.5,X2="SAT",7.5,X2="SUN",7.5,X2="OFF",0)</f>
        <v>9.5</v>
      </c>
      <c r="Y5" s="126" cm="1">
        <f t="array" ref="Y5">_xlfn.IFS(Y2="w/ OT",12.25,Y2="w/o OT",9.5,Y2="FRI",7.5,Y2="SAT",7.5,Y2="SUN",7.5,Y2="OFF",0)</f>
        <v>9.5</v>
      </c>
      <c r="Z5" s="126" cm="1">
        <f t="array" ref="Z5">_xlfn.IFS(Z2="w/ OT",12.25,Z2="w/o OT",9.5,Z2="FRI",7.5,Z2="SAT",7.5,Z2="SUN",7.5,Z2="OFF",0)</f>
        <v>9.5</v>
      </c>
      <c r="AA5" s="126" cm="1">
        <f t="array" ref="AA5">_xlfn.IFS(AA2="w/ OT",12.25,AA2="w/o OT",9.5,AA2="FRI",7.5,AA2="SAT",7.5,AA2="SUN",7.5,AA2="OFF",0)</f>
        <v>9.5</v>
      </c>
      <c r="AB5" s="126" cm="1">
        <f t="array" ref="AB5">_xlfn.IFS(AB2="w/ OT",12.25,AB2="w/o OT",9.5,AB2="FRI",7.5,AB2="SAT",7.5,AB2="SUN",7.5,AB2="OFF",0)</f>
        <v>7.5</v>
      </c>
      <c r="AC5" s="126" cm="1">
        <f t="array" ref="AC5">_xlfn.IFS(AC2="w/ OT",12.25,AC2="w/o OT",9.5,AC2="FRI",7.5,AC2="SAT",7.5,AC2="SUN",7.5,AC2="OFF",0)</f>
        <v>7.5</v>
      </c>
      <c r="AD5" s="126" cm="1">
        <f t="array" ref="AD5">_xlfn.IFS(AD2="w/ OT",12.25,AD2="w/o OT",9.5,AD2="FRI",7.5,AD2="SAT",7.5,AD2="SUN",7.5,AD2="OFF",0)</f>
        <v>9.5</v>
      </c>
      <c r="AE5" s="126" cm="1">
        <f t="array" ref="AE5">_xlfn.IFS(AE2="w/ OT",12.25,AE2="w/o OT",9.5,AE2="FRI",7.5,AE2="SAT",7.5,AE2="SUN",7.5,AE2="OFF",0)</f>
        <v>9.5</v>
      </c>
      <c r="AF5" s="126" cm="1">
        <f t="array" ref="AF5">_xlfn.IFS(AF2="w/ OT",12.25,AF2="w/o OT",9.5,AF2="FRI",7.5,AF2="SAT",7.5,AF2="SUN",7.5,AF2="OFF",0)</f>
        <v>9.5</v>
      </c>
      <c r="AG5" s="126" cm="1">
        <f t="array" ref="AG5">_xlfn.IFS(AG2="w/ OT",12.25,AG2="w/o OT",9.5,AG2="FRI",7.5,AG2="SAT",7.5,AG2="SUN",7.5,AG2="OFF",0)</f>
        <v>9.5</v>
      </c>
      <c r="AH5" s="126" cm="1">
        <f t="array" ref="AH5">_xlfn.IFS(AH2="w/ OT",12.25,AH2="w/o OT",9.5,AH2="FRI",7.5,AH2="SAT",7.5,AH2="SUN",7.5,AH2="OFF",0)</f>
        <v>7.5</v>
      </c>
      <c r="AI5" s="126" cm="1">
        <f t="array" ref="AI5">_xlfn.IFS(AI2="w/ OT",12.25,AI2="w/o OT",9.5,AI2="FRI",7.5,AI2="SAT",7.5,AI2="SUN",7.5,AI2="OFF",0)</f>
        <v>7.5</v>
      </c>
      <c r="AJ5" s="126" cm="1">
        <f t="array" ref="AJ5">_xlfn.IFS(AJ2="w/ OT",12.25,AJ2="w/o OT",9.5,AJ2="FRI",7.5,AJ2="SAT",7.5,AJ2="SUN",7.5,AJ2="OFF",0)</f>
        <v>9.5</v>
      </c>
      <c r="AK5" s="126" cm="1">
        <f t="array" ref="AK5">_xlfn.IFS(AK2="w/ OT",12.25,AK2="w/o OT",9.5,AK2="FRI",7.5,AK2="SAT",7.5,AK2="SUN",7.5,AK2="OFF",0)</f>
        <v>9.5</v>
      </c>
      <c r="AL5" s="126" cm="1">
        <f t="array" ref="AL5">_xlfn.IFS(AL2="w/ OT",12.25,AL2="w/o OT",9.5,AL2="FRI",7.5,AL2="SAT",7.5,AL2="SUN",7.5,AL2="OFF",0)</f>
        <v>9.5</v>
      </c>
      <c r="AM5" s="126" cm="1">
        <f t="array" ref="AM5">_xlfn.IFS(AM2="w/ OT",12.25,AM2="w/o OT",9.5,AM2="FRI",7.5,AM2="SAT",7.5,AM2="SUN",7.5,AM2="OFF",0)</f>
        <v>9.5</v>
      </c>
      <c r="AN5" s="126" cm="1">
        <f t="array" ref="AN5">_xlfn.IFS(AN2="w/ OT",12.25,AN2="w/o OT",9.5,AN2="FRI",7.5,AN2="SAT",7.5,AN2="SUN",7.5,AN2="OFF",0)</f>
        <v>7.5</v>
      </c>
      <c r="AO5" s="126" cm="1">
        <f t="array" ref="AO5">_xlfn.IFS(AO2="w/ OT",12.25,AO2="w/o OT",9.5,AO2="FRI",7.5,AO2="SAT",7.5,AO2="SUN",7.5,AO2="OFF",0)</f>
        <v>7.5</v>
      </c>
      <c r="AP5" s="126" cm="1">
        <f t="array" ref="AP5">_xlfn.IFS(AP2="w/ OT",12.25,AP2="w/o OT",9.5,AP2="FRI",7.5,AP2="SAT",7.5,AP2="SUN",7.5,AP2="OFF",0)</f>
        <v>9.5</v>
      </c>
      <c r="AQ5" s="126" cm="1">
        <f t="array" ref="AQ5">_xlfn.IFS(AQ2="w/ OT",12.25,AQ2="w/o OT",9.5,AQ2="FRI",7.5,AQ2="SAT",7.5,AQ2="SUN",7.5,AQ2="OFF",0)</f>
        <v>9.5</v>
      </c>
      <c r="AR5" s="126" cm="1">
        <f t="array" ref="AR5">_xlfn.IFS(AR2="w/ OT",12.25,AR2="w/o OT",9.5,AR2="FRI",7.5,AR2="SAT",7.5,AR2="SUN",7.5,AR2="OFF",0)</f>
        <v>9.5</v>
      </c>
      <c r="AS5" s="126" cm="1">
        <f t="array" ref="AS5">_xlfn.IFS(AS2="w/ OT",12.25,AS2="w/o OT",9.5,AS2="FRI",7.5,AS2="SAT",7.5,AS2="SUN",7.5,AS2="OFF",0)</f>
        <v>9.5</v>
      </c>
      <c r="AT5" s="126" cm="1">
        <f t="array" ref="AT5">_xlfn.IFS(AT2="w/ OT",12.25,AT2="w/o OT",9.5,AT2="FRI",7.5,AT2="SAT",7.5,AT2="SUN",7.5,AT2="OFF",0)</f>
        <v>7.5</v>
      </c>
      <c r="AU5" s="126" cm="1">
        <f t="array" ref="AU5">_xlfn.IFS(AU2="w/ OT",12.25,AU2="w/o OT",9.5,AU2="FRI",7.5,AU2="SAT",7.5,AU2="SUN",7.5,AU2="OFF",0)</f>
        <v>7.5</v>
      </c>
      <c r="AV5" s="126" cm="1">
        <f t="array" ref="AV5">_xlfn.IFS(AV2="w/ OT",12.25,AV2="w/o OT",9.5,AV2="FRI",7.5,AV2="SAT",7.5,AV2="SUN",7.5,AV2="OFF",0)</f>
        <v>9.5</v>
      </c>
      <c r="AW5" s="126" cm="1">
        <f t="array" ref="AW5">_xlfn.IFS(AW2="w/ OT",12.25,AW2="w/o OT",9.5,AW2="FRI",7.5,AW2="SAT",7.5,AW2="SUN",7.5,AW2="OFF",0)</f>
        <v>9.5</v>
      </c>
      <c r="AX5" s="126" cm="1">
        <f t="array" ref="AX5">_xlfn.IFS(AX2="w/ OT",12.25,AX2="w/o OT",9.5,AX2="FRI",7.5,AX2="SAT",7.5,AX2="SUN",7.5,AX2="OFF",0)</f>
        <v>9.5</v>
      </c>
      <c r="AY5" s="126" cm="1">
        <f t="array" ref="AY5">_xlfn.IFS(AY2="w/ OT",12.25,AY2="w/o OT",9.5,AY2="FRI",7.5,AY2="SAT",7.5,AY2="SUN",7.5,AY2="OFF",0)</f>
        <v>9.5</v>
      </c>
      <c r="AZ5" s="126" cm="1">
        <f t="array" ref="AZ5">_xlfn.IFS(AZ2="w/ OT",12.25,AZ2="w/o OT",9.5,AZ2="FRI",7.5,AZ2="SAT",7.5,AZ2="SUN",7.5,AZ2="OFF",0)</f>
        <v>7.5</v>
      </c>
      <c r="BA5" s="126" cm="1">
        <f t="array" ref="BA5">_xlfn.IFS(BA2="w/ OT",12.25,BA2="w/o OT",9.5,BA2="FRI",7.5,BA2="SAT",7.5,BA2="SUN",7.5,BA2="OFF",0)</f>
        <v>7.5</v>
      </c>
      <c r="BB5" s="126" cm="1">
        <f t="array" ref="BB5">_xlfn.IFS(BB2="w/ OT",12.25,BB2="w/o OT",9.5,BB2="FRI",7.5,BB2="SAT",7.5,BB2="SUN",7.5,BB2="OFF",0)</f>
        <v>9.5</v>
      </c>
      <c r="BC5" s="126" cm="1">
        <f t="array" ref="BC5">_xlfn.IFS(BC2="w/ OT",12.25,BC2="w/o OT",9.5,BC2="FRI",7.5,BC2="SAT",7.5,BC2="SUN",7.5,BC2="OFF",0)</f>
        <v>9.5</v>
      </c>
      <c r="BD5" s="126" cm="1">
        <f t="array" ref="BD5">_xlfn.IFS(BD2="w/ OT",12.25,BD2="w/o OT",9.5,BD2="FRI",7.5,BD2="SAT",7.5,BD2="SUN",7.5,BD2="OFF",0)</f>
        <v>9.5</v>
      </c>
      <c r="BE5" s="126" cm="1">
        <f t="array" ref="BE5">_xlfn.IFS(BE2="w/ OT",12.25,BE2="w/o OT",9.5,BE2="FRI",7.5,BE2="SAT",7.5,BE2="SUN",7.5,BE2="OFF",0)</f>
        <v>9.5</v>
      </c>
      <c r="BF5" s="126" cm="1">
        <f t="array" ref="BF5">_xlfn.IFS(BF2="w/ OT",12.25,BF2="w/o OT",9.5,BF2="FRI",7.5,BF2="SAT",7.5,BF2="SUN",7.5,BF2="OFF",0)</f>
        <v>7.5</v>
      </c>
      <c r="BG5" s="126" cm="1">
        <f t="array" ref="BG5">_xlfn.IFS(BG2="w/ OT",12.25,BG2="w/o OT",9.5,BG2="FRI",7.5,BG2="SAT",7.5,BG2="SUN",7.5,BG2="OFF",0)</f>
        <v>7.5</v>
      </c>
      <c r="BH5" s="126" cm="1">
        <f t="array" ref="BH5">_xlfn.IFS(BH2="w/ OT",12.25,BH2="w/o OT",9.5,BH2="FRI",7.5,BH2="SAT",7.5,BH2="SUN",7.5,BH2="OFF",0)</f>
        <v>9.5</v>
      </c>
      <c r="BI5" s="126" cm="1">
        <f t="array" ref="BI5">_xlfn.IFS(BI2="w/ OT",12.25,BI2="w/o OT",9.5,BI2="FRI",7.5,BI2="SAT",7.5,BI2="SUN",7.5,BI2="OFF",0)</f>
        <v>9.5</v>
      </c>
      <c r="BJ5" s="126" cm="1">
        <f t="array" ref="BJ5">_xlfn.IFS(BJ2="w/ OT",12.25,BJ2="w/o OT",9.5,BJ2="FRI",7.5,BJ2="SAT",7.5,BJ2="SUN",7.5,BJ2="OFF",0)</f>
        <v>9.5</v>
      </c>
      <c r="BK5" s="126" cm="1">
        <f t="array" ref="BK5">_xlfn.IFS(BK2="w/ OT",12.25,BK2="w/o OT",9.5,BK2="FRI",7.5,BK2="SAT",7.5,BK2="SUN",7.5,BK2="OFF",0)</f>
        <v>9.5</v>
      </c>
      <c r="BL5" s="126" cm="1">
        <f t="array" ref="BL5">_xlfn.IFS(BL2="w/ OT",12.25,BL2="w/o OT",9.5,BL2="FRI",7.5,BL2="SAT",7.5,BL2="SUN",7.5,BL2="OFF",0)</f>
        <v>7.5</v>
      </c>
      <c r="BM5" s="126" cm="1">
        <f t="array" ref="BM5">_xlfn.IFS(BM2="w/ OT",12.25,BM2="w/o OT",9.5,BM2="FRI",7.5,BM2="SAT",7.5,BM2="SUN",7.5,BM2="OFF",0)</f>
        <v>7.5</v>
      </c>
      <c r="BN5" s="126" cm="1">
        <f t="array" ref="BN5">_xlfn.IFS(BN2="w/ OT",12.25,BN2="w/o OT",9.5,BN2="FRI",7.5,BN2="SAT",7.5,BN2="SUN",7.5,BN2="OFF",0)</f>
        <v>9.5</v>
      </c>
      <c r="BO5" s="126" cm="1">
        <f t="array" ref="BO5">_xlfn.IFS(BO2="w/ OT",12.25,BO2="w/o OT",9.5,BO2="FRI",7.5,BO2="SAT",7.5,BO2="SUN",7.5,BO2="OFF",0)</f>
        <v>9.5</v>
      </c>
      <c r="BP5" s="126" cm="1">
        <f t="array" ref="BP5">_xlfn.IFS(BP2="w/ OT",12.25,BP2="w/o OT",9.5,BP2="FRI",7.5,BP2="SAT",7.5,BP2="SUN",7.5,BP2="OFF",0)</f>
        <v>9.5</v>
      </c>
      <c r="BQ5" s="126" cm="1">
        <f t="array" ref="BQ5">_xlfn.IFS(BQ2="w/ OT",12.25,BQ2="w/o OT",9.5,BQ2="FRI",7.5,BQ2="SAT",7.5,BQ2="SUN",7.5,BQ2="OFF",0)</f>
        <v>9.5</v>
      </c>
      <c r="BR5" s="126" cm="1">
        <f t="array" ref="BR5">_xlfn.IFS(BR2="w/ OT",12.25,BR2="w/o OT",9.5,BR2="FRI",7.5,BR2="SAT",7.5,BR2="SUN",7.5,BR2="OFF",0)</f>
        <v>7.5</v>
      </c>
      <c r="BS5" s="126" cm="1">
        <f t="array" ref="BS5">_xlfn.IFS(BS2="w/ OT",12.25,BS2="w/o OT",9.5,BS2="FRI",7.5,BS2="SAT",7.5,BS2="SUN",7.5,BS2="OFF",0)</f>
        <v>7.5</v>
      </c>
      <c r="BT5" s="126" cm="1">
        <f t="array" ref="BT5">_xlfn.IFS(BT2="w/ OT",12.25,BT2="w/o OT",9.5,BT2="FRI",7.5,BT2="SAT",7.5,BT2="SUN",7.5,BT2="OFF",0)</f>
        <v>9.5</v>
      </c>
      <c r="BU5" s="126" cm="1">
        <f t="array" ref="BU5">_xlfn.IFS(BU2="w/ OT",12.25,BU2="w/o OT",9.5,BU2="FRI",7.5,BU2="SAT",7.5,BU2="SUN",7.5,BU2="OFF",0)</f>
        <v>9.5</v>
      </c>
      <c r="BV5" s="126" cm="1">
        <f t="array" ref="BV5">_xlfn.IFS(BV2="w/ OT",12.25,BV2="w/o OT",9.5,BV2="FRI",7.5,BV2="SAT",7.5,BV2="SUN",7.5,BV2="OFF",0)</f>
        <v>9.5</v>
      </c>
      <c r="BW5" s="126" cm="1">
        <f t="array" ref="BW5">_xlfn.IFS(BW2="w/ OT",12.25,BW2="w/o OT",9.5,BW2="FRI",7.5,BW2="SAT",7.5,BW2="SUN",7.5,BW2="OFF",0)</f>
        <v>9.5</v>
      </c>
      <c r="BX5" s="126" cm="1">
        <f t="array" ref="BX5">_xlfn.IFS(BX2="w/ OT",12.25,BX2="w/o OT",9.5,BX2="FRI",7.5,BX2="SAT",7.5,BX2="SUN",7.5,BX2="OFF",0)</f>
        <v>7.5</v>
      </c>
      <c r="BY5" s="126" cm="1">
        <f t="array" ref="BY5">_xlfn.IFS(BY2="w/ OT",12.25,BY2="w/o OT",9.5,BY2="FRI",7.5,BY2="SAT",7.5,BY2="SUN",7.5,BY2="OFF",0)</f>
        <v>7.5</v>
      </c>
      <c r="BZ5" s="126" cm="1">
        <f t="array" ref="BZ5">_xlfn.IFS(BZ2="w/ OT",12.25,BZ2="w/o OT",9.5,BZ2="FRI",7.5,BZ2="SAT",7.5,BZ2="SUN",7.5,BZ2="OFF",0)</f>
        <v>9.5</v>
      </c>
      <c r="CA5" s="126" cm="1">
        <f t="array" ref="CA5">_xlfn.IFS(CA2="w/ OT",12.25,CA2="w/o OT",9.5,CA2="FRI",7.5,CA2="SAT",7.5,CA2="SUN",7.5,CA2="OFF",0)</f>
        <v>9.5</v>
      </c>
      <c r="CB5" s="126" cm="1">
        <f t="array" ref="CB5">_xlfn.IFS(CB2="w/ OT",12.25,CB2="w/o OT",9.5,CB2="FRI",7.5,CB2="SAT",7.5,CB2="SUN",7.5,CB2="OFF",0)</f>
        <v>9.5</v>
      </c>
      <c r="CC5" s="126" cm="1">
        <f t="array" ref="CC5">_xlfn.IFS(CC2="w/ OT",12.25,CC2="w/o OT",9.5,CC2="FRI",7.5,CC2="SAT",7.5,CC2="SUN",7.5,CC2="OFF",0)</f>
        <v>9.5</v>
      </c>
      <c r="CD5" s="126" cm="1">
        <f t="array" ref="CD5">_xlfn.IFS(CD2="w/ OT",12.25,CD2="w/o OT",9.5,CD2="FRI",7.5,CD2="SAT",7.5,CD2="SUN",7.5,CD2="OFF",0)</f>
        <v>7.5</v>
      </c>
      <c r="CE5" s="126" cm="1">
        <f t="array" ref="CE5">_xlfn.IFS(CE2="w/ OT",12.25,CE2="w/o OT",9.5,CE2="FRI",7.5,CE2="SAT",7.5,CE2="SUN",7.5,CE2="OFF",0)</f>
        <v>7.5</v>
      </c>
    </row>
    <row r="6" spans="1:83" ht="33.75" customHeight="1" x14ac:dyDescent="0.2">
      <c r="A6" s="386"/>
      <c r="B6" s="386"/>
      <c r="C6" s="387"/>
      <c r="D6" s="388"/>
      <c r="E6" s="389"/>
      <c r="F6" s="388"/>
      <c r="G6" s="392"/>
      <c r="H6" s="388"/>
      <c r="I6" s="390"/>
      <c r="J6" s="393"/>
      <c r="K6" s="393"/>
      <c r="L6" s="390"/>
      <c r="M6" s="390"/>
      <c r="N6" s="389"/>
      <c r="O6" s="389"/>
      <c r="P6" s="391"/>
      <c r="Q6" s="123" t="s">
        <v>107</v>
      </c>
      <c r="R6" s="124"/>
      <c r="S6" s="124"/>
      <c r="T6" s="124"/>
      <c r="U6" s="124"/>
      <c r="V6" s="124"/>
      <c r="W6" s="124"/>
      <c r="X6" s="124"/>
      <c r="Y6" s="124"/>
      <c r="Z6" s="124"/>
      <c r="AA6" s="124"/>
      <c r="AB6" s="124"/>
      <c r="AC6" s="124"/>
      <c r="AD6" s="124"/>
      <c r="AE6" s="124"/>
      <c r="AF6" s="124"/>
      <c r="AG6" s="124"/>
      <c r="AH6" s="124"/>
      <c r="AI6" s="124"/>
      <c r="AJ6" s="124"/>
      <c r="AK6" s="124"/>
      <c r="AL6" s="124"/>
      <c r="AM6" s="124"/>
      <c r="AN6" s="124"/>
      <c r="AO6" s="124"/>
      <c r="AP6" s="124"/>
      <c r="AQ6" s="124"/>
      <c r="AR6" s="124"/>
      <c r="AS6" s="124"/>
      <c r="AT6" s="124"/>
      <c r="AU6" s="124"/>
      <c r="AV6" s="124"/>
      <c r="AW6" s="124"/>
      <c r="AX6" s="124"/>
      <c r="AY6" s="124"/>
      <c r="AZ6" s="124"/>
      <c r="BA6" s="124"/>
      <c r="BB6" s="124"/>
      <c r="BC6" s="124"/>
      <c r="BD6" s="124"/>
      <c r="BE6" s="124"/>
      <c r="BF6" s="124"/>
      <c r="BG6" s="124"/>
      <c r="BH6" s="124"/>
      <c r="BI6" s="124"/>
      <c r="BJ6" s="124"/>
      <c r="BK6" s="124"/>
      <c r="BL6" s="124"/>
      <c r="BM6" s="124"/>
      <c r="BN6" s="124"/>
      <c r="BO6" s="124"/>
      <c r="BP6" s="124"/>
      <c r="BQ6" s="124"/>
      <c r="BR6" s="124"/>
      <c r="BS6" s="124"/>
      <c r="BT6" s="124"/>
      <c r="BU6" s="124"/>
      <c r="BV6" s="124"/>
      <c r="BW6" s="124"/>
      <c r="BX6" s="124"/>
      <c r="BY6" s="124"/>
      <c r="BZ6" s="124"/>
      <c r="CA6" s="124"/>
      <c r="CB6" s="124"/>
      <c r="CC6" s="124"/>
      <c r="CD6" s="124"/>
      <c r="CE6" s="124"/>
    </row>
    <row r="7" spans="1:83" ht="9" customHeight="1" x14ac:dyDescent="0.2">
      <c r="A7" s="86"/>
      <c r="B7" s="87"/>
      <c r="C7" s="88"/>
      <c r="D7" s="89"/>
      <c r="E7" s="182"/>
      <c r="F7" s="89"/>
      <c r="G7" s="91"/>
      <c r="H7" s="89"/>
      <c r="I7" s="92"/>
      <c r="J7" s="93"/>
      <c r="K7" s="93"/>
      <c r="L7" s="185"/>
      <c r="M7" s="185"/>
      <c r="N7" s="183"/>
      <c r="O7" s="183"/>
      <c r="P7" s="96"/>
      <c r="Q7" s="102"/>
    </row>
    <row r="8" spans="1:83" ht="12.75" hidden="1" customHeight="1" x14ac:dyDescent="0.2">
      <c r="A8" s="106">
        <f>SHIPMENTS!A14</f>
        <v>9296</v>
      </c>
      <c r="B8" s="106" t="str">
        <f>SHIPMENTS!B14</f>
        <v>15900- Makati |Techiron Resources Inc.</v>
      </c>
      <c r="C8" s="132">
        <f>SHIPMENTS!F14</f>
        <v>0.05</v>
      </c>
      <c r="D8" s="107" t="str">
        <f>IF((SHIPMENTS!I14)=0,"",SHIPMENTS!I14)</f>
        <v/>
      </c>
      <c r="E8" s="176">
        <f>IF((SHIPMENTS!G14)=0,"",SHIPMENTS!G14)</f>
        <v>46314</v>
      </c>
      <c r="F8" s="109">
        <f>VLOOKUP(A8,Items!$A$5:$J$1000,3,0)</f>
        <v>0</v>
      </c>
      <c r="G8" s="98">
        <f>VLOOKUP(A8,load!$A$4:$U$5001,4,0)</f>
        <v>0</v>
      </c>
      <c r="H8" s="97">
        <f>Manhours!$C$19</f>
        <v>6</v>
      </c>
      <c r="I8" s="98">
        <f>+H8*$I$4</f>
        <v>54.599999999999994</v>
      </c>
      <c r="J8" s="99">
        <f t="shared" ref="J8" si="0">G8/I8</f>
        <v>0</v>
      </c>
      <c r="K8" s="99">
        <f>+J8*$I$4</f>
        <v>0</v>
      </c>
      <c r="L8" s="98">
        <f>IFERROR(J8-(J8*P8),0)</f>
        <v>0</v>
      </c>
      <c r="M8" s="98">
        <f>IFERROR(K8-(K8*P8),0)</f>
        <v>0</v>
      </c>
      <c r="N8" s="181">
        <f>IF(F8&gt;0,(PA!M8+1),N4)</f>
        <v>46314</v>
      </c>
      <c r="O8" s="181">
        <f>N8+L8</f>
        <v>46314</v>
      </c>
      <c r="P8" s="112" t="str">
        <f>VLOOKUP(A8,SHIPMENTS!$A$7:$AP$76,40,0)</f>
        <v>n/a</v>
      </c>
      <c r="Q8" s="101"/>
      <c r="R8" s="128" t="str">
        <f t="shared" ref="R8:AG30" si="1">IF($E8=R$3,"▲","")</f>
        <v>▲</v>
      </c>
      <c r="S8" s="128" t="str">
        <f t="shared" ref="S8:BE14" si="2">IF($E8=S$3,"▲","")</f>
        <v/>
      </c>
      <c r="T8" s="128" t="str">
        <f t="shared" si="2"/>
        <v/>
      </c>
      <c r="U8" s="128" t="str">
        <f t="shared" si="2"/>
        <v/>
      </c>
      <c r="V8" s="128" t="str">
        <f t="shared" si="2"/>
        <v/>
      </c>
      <c r="W8" s="128" t="str">
        <f t="shared" si="2"/>
        <v/>
      </c>
      <c r="X8" s="128" t="str">
        <f t="shared" si="2"/>
        <v/>
      </c>
      <c r="Y8" s="128" t="str">
        <f t="shared" si="2"/>
        <v/>
      </c>
      <c r="Z8" s="128" t="str">
        <f t="shared" si="2"/>
        <v/>
      </c>
      <c r="AA8" s="128" t="str">
        <f t="shared" si="2"/>
        <v/>
      </c>
      <c r="AB8" s="128" t="str">
        <f t="shared" si="2"/>
        <v/>
      </c>
      <c r="AC8" s="128" t="str">
        <f t="shared" si="2"/>
        <v/>
      </c>
      <c r="AD8" s="128" t="str">
        <f t="shared" si="2"/>
        <v/>
      </c>
      <c r="AE8" s="128" t="str">
        <f t="shared" si="2"/>
        <v/>
      </c>
      <c r="AF8" s="128" t="str">
        <f t="shared" si="2"/>
        <v/>
      </c>
      <c r="AG8" s="128" t="str">
        <f t="shared" si="2"/>
        <v/>
      </c>
      <c r="AH8" s="128" t="str">
        <f t="shared" si="2"/>
        <v/>
      </c>
      <c r="AI8" s="128" t="str">
        <f t="shared" si="2"/>
        <v/>
      </c>
      <c r="AJ8" s="128" t="str">
        <f t="shared" si="2"/>
        <v/>
      </c>
      <c r="AK8" s="128" t="str">
        <f t="shared" si="2"/>
        <v/>
      </c>
      <c r="AL8" s="128" t="str">
        <f t="shared" si="2"/>
        <v/>
      </c>
      <c r="AM8" s="128" t="str">
        <f t="shared" si="2"/>
        <v/>
      </c>
      <c r="AN8" s="128" t="str">
        <f t="shared" si="2"/>
        <v/>
      </c>
      <c r="AO8" s="128" t="str">
        <f t="shared" si="2"/>
        <v/>
      </c>
      <c r="AP8" s="128" t="str">
        <f t="shared" si="2"/>
        <v/>
      </c>
      <c r="AQ8" s="128" t="str">
        <f t="shared" si="2"/>
        <v/>
      </c>
      <c r="AR8" s="128" t="str">
        <f t="shared" si="2"/>
        <v/>
      </c>
      <c r="AS8" s="128" t="str">
        <f t="shared" si="2"/>
        <v/>
      </c>
      <c r="AT8" s="128" t="str">
        <f t="shared" si="2"/>
        <v/>
      </c>
      <c r="AU8" s="128" t="str">
        <f t="shared" si="2"/>
        <v/>
      </c>
      <c r="AV8" s="128" t="str">
        <f t="shared" si="2"/>
        <v/>
      </c>
      <c r="AW8" s="128" t="str">
        <f t="shared" si="2"/>
        <v/>
      </c>
      <c r="AX8" s="128" t="str">
        <f t="shared" si="2"/>
        <v/>
      </c>
      <c r="AY8" s="128" t="str">
        <f t="shared" si="2"/>
        <v/>
      </c>
      <c r="AZ8" s="128" t="str">
        <f t="shared" si="2"/>
        <v/>
      </c>
      <c r="BA8" s="128" t="str">
        <f t="shared" si="2"/>
        <v/>
      </c>
      <c r="BB8" s="128" t="str">
        <f t="shared" si="2"/>
        <v/>
      </c>
      <c r="BC8" s="128" t="str">
        <f t="shared" si="2"/>
        <v/>
      </c>
      <c r="BD8" s="128" t="str">
        <f t="shared" si="2"/>
        <v/>
      </c>
      <c r="BE8" s="128" t="str">
        <f t="shared" si="2"/>
        <v/>
      </c>
      <c r="BF8" s="127" t="str">
        <f t="shared" ref="BF8:BS30" si="3">IF($E8=BF$3,"▲","")</f>
        <v/>
      </c>
      <c r="BG8" s="127" t="str">
        <f t="shared" si="3"/>
        <v/>
      </c>
      <c r="BH8" s="128" t="str">
        <f t="shared" si="3"/>
        <v/>
      </c>
      <c r="BI8" s="128" t="str">
        <f t="shared" si="3"/>
        <v/>
      </c>
      <c r="BJ8" s="128" t="str">
        <f t="shared" si="3"/>
        <v/>
      </c>
      <c r="BK8" s="128" t="str">
        <f t="shared" si="3"/>
        <v/>
      </c>
      <c r="BL8" s="127" t="str">
        <f t="shared" si="3"/>
        <v/>
      </c>
      <c r="BM8" s="127" t="str">
        <f t="shared" si="3"/>
        <v/>
      </c>
      <c r="BN8" s="128" t="str">
        <f t="shared" si="3"/>
        <v/>
      </c>
      <c r="BO8" s="128" t="str">
        <f t="shared" si="3"/>
        <v/>
      </c>
      <c r="BP8" s="128" t="str">
        <f t="shared" si="3"/>
        <v/>
      </c>
      <c r="BQ8" s="128" t="str">
        <f t="shared" si="3"/>
        <v/>
      </c>
      <c r="BR8" s="127" t="str">
        <f t="shared" si="3"/>
        <v/>
      </c>
      <c r="BS8" s="127" t="str">
        <f t="shared" si="3"/>
        <v/>
      </c>
      <c r="BT8" s="128" t="str">
        <f t="shared" ref="BT8:CE23" si="4">IF($E8=BT$3,"▲","")</f>
        <v/>
      </c>
      <c r="BU8" s="128" t="str">
        <f t="shared" si="4"/>
        <v/>
      </c>
      <c r="BV8" s="128" t="str">
        <f t="shared" si="4"/>
        <v/>
      </c>
      <c r="BW8" s="128" t="str">
        <f t="shared" si="4"/>
        <v/>
      </c>
      <c r="BX8" s="127" t="str">
        <f t="shared" si="4"/>
        <v/>
      </c>
      <c r="BY8" s="127" t="str">
        <f t="shared" si="4"/>
        <v/>
      </c>
      <c r="BZ8" s="128" t="str">
        <f t="shared" si="4"/>
        <v/>
      </c>
      <c r="CA8" s="128" t="str">
        <f t="shared" si="4"/>
        <v/>
      </c>
      <c r="CB8" s="128" t="str">
        <f t="shared" si="4"/>
        <v/>
      </c>
      <c r="CC8" s="128" t="str">
        <f t="shared" si="4"/>
        <v/>
      </c>
      <c r="CD8" s="127" t="str">
        <f t="shared" si="4"/>
        <v/>
      </c>
      <c r="CE8" s="127" t="str">
        <f t="shared" si="4"/>
        <v/>
      </c>
    </row>
    <row r="9" spans="1:83" ht="12.75" customHeight="1" x14ac:dyDescent="0.2">
      <c r="A9" s="106">
        <f>SHIPMENTS!A15</f>
        <v>9309</v>
      </c>
      <c r="B9" s="106" t="str">
        <f>SHIPMENTS!B15</f>
        <v>43940-THAILAND</v>
      </c>
      <c r="C9" s="132">
        <f>SHIPMENTS!F15</f>
        <v>6.4030000000000004E-2</v>
      </c>
      <c r="D9" s="107" t="str">
        <f>IF((SHIPMENTS!I15)=0,"",SHIPMENTS!I15)</f>
        <v>AIR</v>
      </c>
      <c r="E9" s="176">
        <f>IF((SHIPMENTS!G15)=0,"",SHIPMENTS!G15)</f>
        <v>46314</v>
      </c>
      <c r="F9" s="109">
        <f>VLOOKUP(A9,Items!$A$5:$J$1000,3,0)</f>
        <v>1</v>
      </c>
      <c r="G9" s="98">
        <f>VLOOKUP(A9,load!$A$4:$U$5001,4,0)</f>
        <v>9.9666666666666667E-2</v>
      </c>
      <c r="H9" s="97">
        <f>Manhours!$C$19</f>
        <v>6</v>
      </c>
      <c r="I9" s="98">
        <f t="shared" ref="I9:I27" si="5">+H9*$I$4</f>
        <v>54.599999999999994</v>
      </c>
      <c r="J9" s="99">
        <f t="shared" ref="J9:J27" si="6">G9/I9</f>
        <v>1.8253968253968255E-3</v>
      </c>
      <c r="K9" s="99">
        <f t="shared" ref="K9:K27" si="7">+J9*$I$4</f>
        <v>1.6611111111111111E-2</v>
      </c>
      <c r="L9" s="98">
        <f t="shared" ref="L9:L19" si="8">IFERROR(J9-(J9*P9),0)</f>
        <v>1.8253968253968255E-3</v>
      </c>
      <c r="M9" s="98">
        <f t="shared" ref="M9:M19" si="9">IFERROR(K9-(K9*P9),0)</f>
        <v>1.6611111111111111E-2</v>
      </c>
      <c r="N9" s="181">
        <f t="shared" ref="N9" si="10">O8</f>
        <v>46314</v>
      </c>
      <c r="O9" s="181">
        <f t="shared" ref="O9:O32" si="11">N9+L9</f>
        <v>46314.001825396823</v>
      </c>
      <c r="P9" s="112">
        <f>VLOOKUP(A9,SHIPMENTS!$A$7:$AP$76,40,0)</f>
        <v>0</v>
      </c>
      <c r="Q9" s="101"/>
      <c r="R9" s="127" t="str">
        <f t="shared" si="1"/>
        <v>▲</v>
      </c>
      <c r="S9" s="127" t="str">
        <f t="shared" si="2"/>
        <v/>
      </c>
      <c r="T9" s="127" t="str">
        <f t="shared" si="2"/>
        <v/>
      </c>
      <c r="U9" s="127" t="str">
        <f t="shared" si="2"/>
        <v/>
      </c>
      <c r="V9" s="127" t="str">
        <f t="shared" si="2"/>
        <v/>
      </c>
      <c r="W9" s="127" t="str">
        <f t="shared" si="2"/>
        <v/>
      </c>
      <c r="X9" s="127" t="str">
        <f t="shared" si="2"/>
        <v/>
      </c>
      <c r="Y9" s="127" t="str">
        <f t="shared" si="2"/>
        <v/>
      </c>
      <c r="Z9" s="127" t="str">
        <f t="shared" si="2"/>
        <v/>
      </c>
      <c r="AA9" s="127" t="str">
        <f t="shared" si="2"/>
        <v/>
      </c>
      <c r="AB9" s="127" t="str">
        <f t="shared" si="2"/>
        <v/>
      </c>
      <c r="AC9" s="127" t="str">
        <f t="shared" si="2"/>
        <v/>
      </c>
      <c r="AD9" s="127" t="str">
        <f t="shared" si="2"/>
        <v/>
      </c>
      <c r="AE9" s="127" t="str">
        <f t="shared" si="2"/>
        <v/>
      </c>
      <c r="AF9" s="127" t="str">
        <f t="shared" si="2"/>
        <v/>
      </c>
      <c r="AG9" s="127" t="str">
        <f t="shared" si="2"/>
        <v/>
      </c>
      <c r="AH9" s="127" t="str">
        <f t="shared" si="2"/>
        <v/>
      </c>
      <c r="AI9" s="127" t="str">
        <f t="shared" si="2"/>
        <v/>
      </c>
      <c r="AJ9" s="127" t="str">
        <f t="shared" si="2"/>
        <v/>
      </c>
      <c r="AK9" s="127" t="str">
        <f t="shared" si="2"/>
        <v/>
      </c>
      <c r="AL9" s="127" t="str">
        <f t="shared" si="2"/>
        <v/>
      </c>
      <c r="AM9" s="127" t="str">
        <f t="shared" si="2"/>
        <v/>
      </c>
      <c r="AN9" s="127" t="str">
        <f t="shared" si="2"/>
        <v/>
      </c>
      <c r="AO9" s="127" t="str">
        <f t="shared" si="2"/>
        <v/>
      </c>
      <c r="AP9" s="127" t="str">
        <f t="shared" si="2"/>
        <v/>
      </c>
      <c r="AQ9" s="127" t="str">
        <f t="shared" si="2"/>
        <v/>
      </c>
      <c r="AR9" s="127" t="str">
        <f t="shared" si="2"/>
        <v/>
      </c>
      <c r="AS9" s="127" t="str">
        <f t="shared" si="2"/>
        <v/>
      </c>
      <c r="AT9" s="127" t="str">
        <f t="shared" si="2"/>
        <v/>
      </c>
      <c r="AU9" s="127" t="str">
        <f t="shared" si="2"/>
        <v/>
      </c>
      <c r="AV9" s="127" t="str">
        <f t="shared" si="2"/>
        <v/>
      </c>
      <c r="AW9" s="127" t="str">
        <f t="shared" si="2"/>
        <v/>
      </c>
      <c r="AX9" s="127" t="str">
        <f t="shared" si="2"/>
        <v/>
      </c>
      <c r="AY9" s="127" t="str">
        <f t="shared" si="2"/>
        <v/>
      </c>
      <c r="AZ9" s="127" t="str">
        <f t="shared" si="2"/>
        <v/>
      </c>
      <c r="BA9" s="127" t="str">
        <f t="shared" si="2"/>
        <v/>
      </c>
      <c r="BB9" s="127" t="str">
        <f t="shared" si="2"/>
        <v/>
      </c>
      <c r="BC9" s="127" t="str">
        <f t="shared" si="2"/>
        <v/>
      </c>
      <c r="BD9" s="127" t="str">
        <f t="shared" si="2"/>
        <v/>
      </c>
      <c r="BE9" s="127" t="str">
        <f t="shared" si="2"/>
        <v/>
      </c>
      <c r="BF9" s="127" t="str">
        <f t="shared" si="3"/>
        <v/>
      </c>
      <c r="BG9" s="127" t="str">
        <f t="shared" si="3"/>
        <v/>
      </c>
      <c r="BH9" s="127" t="str">
        <f t="shared" si="3"/>
        <v/>
      </c>
      <c r="BI9" s="127" t="str">
        <f t="shared" si="3"/>
        <v/>
      </c>
      <c r="BJ9" s="127" t="str">
        <f t="shared" si="3"/>
        <v/>
      </c>
      <c r="BK9" s="127" t="str">
        <f t="shared" si="3"/>
        <v/>
      </c>
      <c r="BL9" s="127" t="str">
        <f t="shared" si="3"/>
        <v/>
      </c>
      <c r="BM9" s="127" t="str">
        <f t="shared" si="3"/>
        <v/>
      </c>
      <c r="BN9" s="127" t="str">
        <f t="shared" si="3"/>
        <v/>
      </c>
      <c r="BO9" s="127" t="str">
        <f t="shared" si="3"/>
        <v/>
      </c>
      <c r="BP9" s="127" t="str">
        <f t="shared" si="3"/>
        <v/>
      </c>
      <c r="BQ9" s="127" t="str">
        <f t="shared" si="3"/>
        <v/>
      </c>
      <c r="BR9" s="127" t="str">
        <f t="shared" si="3"/>
        <v/>
      </c>
      <c r="BS9" s="127" t="str">
        <f t="shared" si="3"/>
        <v/>
      </c>
      <c r="BT9" s="127" t="str">
        <f t="shared" si="4"/>
        <v/>
      </c>
      <c r="BU9" s="127" t="str">
        <f t="shared" si="4"/>
        <v/>
      </c>
      <c r="BV9" s="127" t="str">
        <f t="shared" si="4"/>
        <v/>
      </c>
      <c r="BW9" s="127" t="str">
        <f t="shared" si="4"/>
        <v/>
      </c>
      <c r="BX9" s="127" t="str">
        <f t="shared" si="4"/>
        <v/>
      </c>
      <c r="BY9" s="127" t="str">
        <f t="shared" si="4"/>
        <v/>
      </c>
      <c r="BZ9" s="127" t="str">
        <f t="shared" si="4"/>
        <v/>
      </c>
      <c r="CA9" s="127" t="str">
        <f t="shared" si="4"/>
        <v/>
      </c>
      <c r="CB9" s="127" t="str">
        <f t="shared" si="4"/>
        <v/>
      </c>
      <c r="CC9" s="127" t="str">
        <f t="shared" si="4"/>
        <v/>
      </c>
      <c r="CD9" s="127" t="str">
        <f t="shared" si="4"/>
        <v/>
      </c>
      <c r="CE9" s="127" t="str">
        <f t="shared" si="4"/>
        <v/>
      </c>
    </row>
    <row r="10" spans="1:83" ht="12.75" hidden="1" customHeight="1" x14ac:dyDescent="0.2">
      <c r="A10" s="106">
        <f>SHIPMENTS!A16</f>
        <v>9117</v>
      </c>
      <c r="B10" s="106" t="str">
        <f>SHIPMENTS!B16</f>
        <v>41700-CANADA BSAUNAS</v>
      </c>
      <c r="C10" s="132">
        <f>SHIPMENTS!F16</f>
        <v>83.268000000000001</v>
      </c>
      <c r="D10" s="107" t="str">
        <f>IF((SHIPMENTS!I16)=0,"",SHIPMENTS!I16)</f>
        <v>1X40HC</v>
      </c>
      <c r="E10" s="176">
        <f>IF((SHIPMENTS!G16)=0,"",SHIPMENTS!G16)</f>
        <v>46315</v>
      </c>
      <c r="F10" s="109">
        <f>VLOOKUP(A10,Items!$A$5:$J$1000,3,0)</f>
        <v>0</v>
      </c>
      <c r="G10" s="98">
        <f>VLOOKUP(A10,load!$A$4:$U$5001,4,0)</f>
        <v>0</v>
      </c>
      <c r="H10" s="97">
        <f>Manhours!$C$19</f>
        <v>6</v>
      </c>
      <c r="I10" s="98">
        <f t="shared" si="5"/>
        <v>54.599999999999994</v>
      </c>
      <c r="J10" s="99">
        <f t="shared" si="6"/>
        <v>0</v>
      </c>
      <c r="K10" s="99">
        <f t="shared" si="7"/>
        <v>0</v>
      </c>
      <c r="L10" s="98">
        <f t="shared" si="8"/>
        <v>0</v>
      </c>
      <c r="M10" s="98">
        <f t="shared" si="9"/>
        <v>0</v>
      </c>
      <c r="N10" s="181">
        <f t="shared" ref="N10:N32" si="12">O9</f>
        <v>46314.001825396823</v>
      </c>
      <c r="O10" s="181">
        <f t="shared" si="11"/>
        <v>46314.001825396823</v>
      </c>
      <c r="P10" s="112" t="str">
        <f>VLOOKUP(A10,SHIPMENTS!$A$7:$AP$76,40,0)</f>
        <v>n/a</v>
      </c>
      <c r="Q10" s="101"/>
      <c r="R10" s="127" t="str">
        <f t="shared" si="1"/>
        <v/>
      </c>
      <c r="S10" s="127" t="str">
        <f t="shared" si="2"/>
        <v>▲</v>
      </c>
      <c r="T10" s="127" t="str">
        <f t="shared" si="2"/>
        <v/>
      </c>
      <c r="U10" s="127" t="str">
        <f t="shared" si="2"/>
        <v/>
      </c>
      <c r="V10" s="127" t="str">
        <f t="shared" si="2"/>
        <v/>
      </c>
      <c r="W10" s="127" t="str">
        <f t="shared" si="2"/>
        <v/>
      </c>
      <c r="X10" s="127" t="str">
        <f t="shared" si="2"/>
        <v/>
      </c>
      <c r="Y10" s="127" t="str">
        <f t="shared" si="2"/>
        <v/>
      </c>
      <c r="Z10" s="127" t="str">
        <f t="shared" si="2"/>
        <v/>
      </c>
      <c r="AA10" s="127" t="str">
        <f t="shared" si="2"/>
        <v/>
      </c>
      <c r="AB10" s="127" t="str">
        <f t="shared" si="2"/>
        <v/>
      </c>
      <c r="AC10" s="127" t="str">
        <f t="shared" si="2"/>
        <v/>
      </c>
      <c r="AD10" s="127" t="str">
        <f t="shared" si="2"/>
        <v/>
      </c>
      <c r="AE10" s="127" t="str">
        <f t="shared" si="2"/>
        <v/>
      </c>
      <c r="AF10" s="127" t="str">
        <f t="shared" si="2"/>
        <v/>
      </c>
      <c r="AG10" s="127" t="str">
        <f t="shared" si="2"/>
        <v/>
      </c>
      <c r="AH10" s="127" t="str">
        <f t="shared" si="2"/>
        <v/>
      </c>
      <c r="AI10" s="127" t="str">
        <f t="shared" si="2"/>
        <v/>
      </c>
      <c r="AJ10" s="127" t="str">
        <f t="shared" si="2"/>
        <v/>
      </c>
      <c r="AK10" s="127" t="str">
        <f t="shared" si="2"/>
        <v/>
      </c>
      <c r="AL10" s="127" t="str">
        <f t="shared" si="2"/>
        <v/>
      </c>
      <c r="AM10" s="127" t="str">
        <f t="shared" si="2"/>
        <v/>
      </c>
      <c r="AN10" s="127" t="str">
        <f t="shared" si="2"/>
        <v/>
      </c>
      <c r="AO10" s="127" t="str">
        <f t="shared" si="2"/>
        <v/>
      </c>
      <c r="AP10" s="127" t="str">
        <f t="shared" si="2"/>
        <v/>
      </c>
      <c r="AQ10" s="127" t="str">
        <f t="shared" si="2"/>
        <v/>
      </c>
      <c r="AR10" s="127" t="str">
        <f t="shared" si="2"/>
        <v/>
      </c>
      <c r="AS10" s="127" t="str">
        <f t="shared" si="2"/>
        <v/>
      </c>
      <c r="AT10" s="127" t="str">
        <f t="shared" si="2"/>
        <v/>
      </c>
      <c r="AU10" s="127" t="str">
        <f t="shared" si="2"/>
        <v/>
      </c>
      <c r="AV10" s="127" t="str">
        <f t="shared" si="2"/>
        <v/>
      </c>
      <c r="AW10" s="127" t="str">
        <f t="shared" si="2"/>
        <v/>
      </c>
      <c r="AX10" s="127" t="str">
        <f t="shared" si="2"/>
        <v/>
      </c>
      <c r="AY10" s="127" t="str">
        <f t="shared" si="2"/>
        <v/>
      </c>
      <c r="AZ10" s="127" t="str">
        <f t="shared" si="2"/>
        <v/>
      </c>
      <c r="BA10" s="127" t="str">
        <f t="shared" si="2"/>
        <v/>
      </c>
      <c r="BB10" s="127" t="str">
        <f t="shared" si="2"/>
        <v/>
      </c>
      <c r="BC10" s="127" t="str">
        <f t="shared" si="2"/>
        <v/>
      </c>
      <c r="BD10" s="127" t="str">
        <f t="shared" si="2"/>
        <v/>
      </c>
      <c r="BE10" s="127" t="str">
        <f t="shared" si="2"/>
        <v/>
      </c>
      <c r="BF10" s="127" t="str">
        <f t="shared" si="3"/>
        <v/>
      </c>
      <c r="BG10" s="127" t="str">
        <f t="shared" si="3"/>
        <v/>
      </c>
      <c r="BH10" s="127" t="str">
        <f t="shared" si="3"/>
        <v/>
      </c>
      <c r="BI10" s="127" t="str">
        <f t="shared" si="3"/>
        <v/>
      </c>
      <c r="BJ10" s="127" t="str">
        <f t="shared" si="3"/>
        <v/>
      </c>
      <c r="BK10" s="127" t="str">
        <f t="shared" si="3"/>
        <v/>
      </c>
      <c r="BL10" s="127" t="str">
        <f t="shared" si="3"/>
        <v/>
      </c>
      <c r="BM10" s="127" t="str">
        <f t="shared" si="3"/>
        <v/>
      </c>
      <c r="BN10" s="127" t="str">
        <f t="shared" si="3"/>
        <v/>
      </c>
      <c r="BO10" s="127" t="str">
        <f t="shared" si="3"/>
        <v/>
      </c>
      <c r="BP10" s="127" t="str">
        <f t="shared" si="3"/>
        <v/>
      </c>
      <c r="BQ10" s="127" t="str">
        <f t="shared" si="3"/>
        <v/>
      </c>
      <c r="BR10" s="127" t="str">
        <f t="shared" si="3"/>
        <v/>
      </c>
      <c r="BS10" s="127" t="str">
        <f t="shared" si="3"/>
        <v/>
      </c>
      <c r="BT10" s="127" t="str">
        <f t="shared" si="4"/>
        <v/>
      </c>
      <c r="BU10" s="127" t="str">
        <f t="shared" si="4"/>
        <v/>
      </c>
      <c r="BV10" s="127" t="str">
        <f t="shared" si="4"/>
        <v/>
      </c>
      <c r="BW10" s="127" t="str">
        <f t="shared" si="4"/>
        <v/>
      </c>
      <c r="BX10" s="127" t="str">
        <f t="shared" si="4"/>
        <v/>
      </c>
      <c r="BY10" s="127" t="str">
        <f t="shared" si="4"/>
        <v/>
      </c>
      <c r="BZ10" s="127" t="str">
        <f t="shared" si="4"/>
        <v/>
      </c>
      <c r="CA10" s="127" t="str">
        <f t="shared" si="4"/>
        <v/>
      </c>
      <c r="CB10" s="127" t="str">
        <f t="shared" si="4"/>
        <v/>
      </c>
      <c r="CC10" s="127" t="str">
        <f t="shared" si="4"/>
        <v/>
      </c>
      <c r="CD10" s="127" t="str">
        <f t="shared" si="4"/>
        <v/>
      </c>
      <c r="CE10" s="127" t="str">
        <f t="shared" si="4"/>
        <v/>
      </c>
    </row>
    <row r="11" spans="1:83" ht="12.75" hidden="1" customHeight="1" x14ac:dyDescent="0.2">
      <c r="A11" s="106">
        <f>SHIPMENTS!A17</f>
        <v>8641</v>
      </c>
      <c r="B11" s="106" t="str">
        <f>SHIPMENTS!B17</f>
        <v>41700-CANADA BSAUNAS BACKLOG</v>
      </c>
      <c r="C11" s="132">
        <f>SHIPMENTS!F17</f>
        <v>0</v>
      </c>
      <c r="D11" s="107" t="str">
        <f>IF((SHIPMENTS!I17)=0,"",SHIPMENTS!I17)</f>
        <v/>
      </c>
      <c r="E11" s="176">
        <f>IF((SHIPMENTS!G17)=0,"",SHIPMENTS!G17)</f>
        <v>46315</v>
      </c>
      <c r="F11" s="109">
        <f>VLOOKUP(A11,Items!$A$5:$J$1000,3,0)</f>
        <v>0</v>
      </c>
      <c r="G11" s="98">
        <f>VLOOKUP(A11,load!$A$4:$U$5001,4,0)</f>
        <v>0</v>
      </c>
      <c r="H11" s="97">
        <f>Manhours!$C$19</f>
        <v>6</v>
      </c>
      <c r="I11" s="98">
        <f t="shared" si="5"/>
        <v>54.599999999999994</v>
      </c>
      <c r="J11" s="99">
        <f t="shared" si="6"/>
        <v>0</v>
      </c>
      <c r="K11" s="99">
        <f t="shared" si="7"/>
        <v>0</v>
      </c>
      <c r="L11" s="98">
        <f t="shared" si="8"/>
        <v>0</v>
      </c>
      <c r="M11" s="98">
        <f t="shared" si="9"/>
        <v>0</v>
      </c>
      <c r="N11" s="181">
        <f t="shared" si="12"/>
        <v>46314.001825396823</v>
      </c>
      <c r="O11" s="181">
        <f t="shared" si="11"/>
        <v>46314.001825396823</v>
      </c>
      <c r="P11" s="112" t="str">
        <f>VLOOKUP(A11,SHIPMENTS!$A$7:$AP$76,40,0)</f>
        <v>n/a</v>
      </c>
      <c r="Q11" s="101"/>
      <c r="R11" s="127" t="str">
        <f t="shared" si="1"/>
        <v/>
      </c>
      <c r="S11" s="127" t="str">
        <f t="shared" si="2"/>
        <v>▲</v>
      </c>
      <c r="T11" s="127" t="str">
        <f t="shared" si="2"/>
        <v/>
      </c>
      <c r="U11" s="127" t="str">
        <f t="shared" si="2"/>
        <v/>
      </c>
      <c r="V11" s="127" t="str">
        <f t="shared" si="2"/>
        <v/>
      </c>
      <c r="W11" s="127" t="str">
        <f t="shared" si="2"/>
        <v/>
      </c>
      <c r="X11" s="127" t="str">
        <f t="shared" si="2"/>
        <v/>
      </c>
      <c r="Y11" s="127" t="str">
        <f t="shared" si="2"/>
        <v/>
      </c>
      <c r="Z11" s="127" t="str">
        <f t="shared" si="2"/>
        <v/>
      </c>
      <c r="AA11" s="127" t="str">
        <f t="shared" si="2"/>
        <v/>
      </c>
      <c r="AB11" s="127" t="str">
        <f t="shared" si="2"/>
        <v/>
      </c>
      <c r="AC11" s="127" t="str">
        <f t="shared" si="2"/>
        <v/>
      </c>
      <c r="AD11" s="127" t="str">
        <f t="shared" si="2"/>
        <v/>
      </c>
      <c r="AE11" s="127" t="str">
        <f t="shared" si="2"/>
        <v/>
      </c>
      <c r="AF11" s="127" t="str">
        <f t="shared" si="2"/>
        <v/>
      </c>
      <c r="AG11" s="127" t="str">
        <f t="shared" si="2"/>
        <v/>
      </c>
      <c r="AH11" s="127" t="str">
        <f t="shared" si="2"/>
        <v/>
      </c>
      <c r="AI11" s="127" t="str">
        <f t="shared" si="2"/>
        <v/>
      </c>
      <c r="AJ11" s="127" t="str">
        <f t="shared" si="2"/>
        <v/>
      </c>
      <c r="AK11" s="127" t="str">
        <f t="shared" si="2"/>
        <v/>
      </c>
      <c r="AL11" s="127" t="str">
        <f t="shared" si="2"/>
        <v/>
      </c>
      <c r="AM11" s="127" t="str">
        <f t="shared" si="2"/>
        <v/>
      </c>
      <c r="AN11" s="127" t="str">
        <f t="shared" si="2"/>
        <v/>
      </c>
      <c r="AO11" s="127" t="str">
        <f t="shared" si="2"/>
        <v/>
      </c>
      <c r="AP11" s="127" t="str">
        <f t="shared" si="2"/>
        <v/>
      </c>
      <c r="AQ11" s="127" t="str">
        <f t="shared" si="2"/>
        <v/>
      </c>
      <c r="AR11" s="127" t="str">
        <f t="shared" si="2"/>
        <v/>
      </c>
      <c r="AS11" s="127" t="str">
        <f t="shared" si="2"/>
        <v/>
      </c>
      <c r="AT11" s="127" t="str">
        <f t="shared" si="2"/>
        <v/>
      </c>
      <c r="AU11" s="127" t="str">
        <f t="shared" si="2"/>
        <v/>
      </c>
      <c r="AV11" s="127" t="str">
        <f t="shared" si="2"/>
        <v/>
      </c>
      <c r="AW11" s="127" t="str">
        <f t="shared" si="2"/>
        <v/>
      </c>
      <c r="AX11" s="127" t="str">
        <f t="shared" si="2"/>
        <v/>
      </c>
      <c r="AY11" s="127" t="str">
        <f t="shared" si="2"/>
        <v/>
      </c>
      <c r="AZ11" s="127" t="str">
        <f t="shared" si="2"/>
        <v/>
      </c>
      <c r="BA11" s="127" t="str">
        <f t="shared" si="2"/>
        <v/>
      </c>
      <c r="BB11" s="127" t="str">
        <f t="shared" si="2"/>
        <v/>
      </c>
      <c r="BC11" s="127" t="str">
        <f t="shared" si="2"/>
        <v/>
      </c>
      <c r="BD11" s="127" t="str">
        <f t="shared" si="2"/>
        <v/>
      </c>
      <c r="BE11" s="127" t="str">
        <f t="shared" si="2"/>
        <v/>
      </c>
      <c r="BF11" s="127" t="str">
        <f t="shared" si="3"/>
        <v/>
      </c>
      <c r="BG11" s="127" t="str">
        <f t="shared" si="3"/>
        <v/>
      </c>
      <c r="BH11" s="127" t="str">
        <f t="shared" si="3"/>
        <v/>
      </c>
      <c r="BI11" s="127" t="str">
        <f t="shared" si="3"/>
        <v/>
      </c>
      <c r="BJ11" s="127" t="str">
        <f t="shared" si="3"/>
        <v/>
      </c>
      <c r="BK11" s="127" t="str">
        <f t="shared" si="3"/>
        <v/>
      </c>
      <c r="BL11" s="127" t="str">
        <f t="shared" si="3"/>
        <v/>
      </c>
      <c r="BM11" s="127" t="str">
        <f t="shared" si="3"/>
        <v/>
      </c>
      <c r="BN11" s="127" t="str">
        <f t="shared" si="3"/>
        <v/>
      </c>
      <c r="BO11" s="127" t="str">
        <f t="shared" si="3"/>
        <v/>
      </c>
      <c r="BP11" s="127" t="str">
        <f t="shared" si="3"/>
        <v/>
      </c>
      <c r="BQ11" s="127" t="str">
        <f t="shared" si="3"/>
        <v/>
      </c>
      <c r="BR11" s="127" t="str">
        <f t="shared" si="3"/>
        <v/>
      </c>
      <c r="BS11" s="127" t="str">
        <f t="shared" si="3"/>
        <v/>
      </c>
      <c r="BT11" s="127" t="str">
        <f t="shared" si="4"/>
        <v/>
      </c>
      <c r="BU11" s="127" t="str">
        <f t="shared" si="4"/>
        <v/>
      </c>
      <c r="BV11" s="127" t="str">
        <f t="shared" si="4"/>
        <v/>
      </c>
      <c r="BW11" s="127" t="str">
        <f t="shared" si="4"/>
        <v/>
      </c>
      <c r="BX11" s="127" t="str">
        <f t="shared" si="4"/>
        <v/>
      </c>
      <c r="BY11" s="127" t="str">
        <f t="shared" si="4"/>
        <v/>
      </c>
      <c r="BZ11" s="127" t="str">
        <f t="shared" si="4"/>
        <v/>
      </c>
      <c r="CA11" s="127" t="str">
        <f t="shared" si="4"/>
        <v/>
      </c>
      <c r="CB11" s="127" t="str">
        <f t="shared" si="4"/>
        <v/>
      </c>
      <c r="CC11" s="127" t="str">
        <f t="shared" si="4"/>
        <v/>
      </c>
      <c r="CD11" s="127" t="str">
        <f t="shared" si="4"/>
        <v/>
      </c>
      <c r="CE11" s="127" t="str">
        <f t="shared" si="4"/>
        <v/>
      </c>
    </row>
    <row r="12" spans="1:83" ht="12.75" hidden="1" customHeight="1" x14ac:dyDescent="0.2">
      <c r="A12" s="106">
        <f>SHIPMENTS!A18</f>
        <v>8102</v>
      </c>
      <c r="B12" s="106" t="str">
        <f>SHIPMENTS!B18</f>
        <v>41700-CANADA BSAUNAS BACKLOG</v>
      </c>
      <c r="C12" s="132">
        <f>SHIPMENTS!F18</f>
        <v>0</v>
      </c>
      <c r="D12" s="107" t="str">
        <f>IF((SHIPMENTS!I18)=0,"",SHIPMENTS!I18)</f>
        <v/>
      </c>
      <c r="E12" s="176">
        <f>IF((SHIPMENTS!G18)=0,"",SHIPMENTS!G18)</f>
        <v>46315</v>
      </c>
      <c r="F12" s="109">
        <f>VLOOKUP(A12,Items!$A$5:$J$1000,3,0)</f>
        <v>0</v>
      </c>
      <c r="G12" s="98">
        <f>VLOOKUP(A12,load!$A$4:$U$5001,4,0)</f>
        <v>0</v>
      </c>
      <c r="H12" s="97">
        <f>Manhours!$C$19</f>
        <v>6</v>
      </c>
      <c r="I12" s="98">
        <f t="shared" si="5"/>
        <v>54.599999999999994</v>
      </c>
      <c r="J12" s="99">
        <f t="shared" si="6"/>
        <v>0</v>
      </c>
      <c r="K12" s="99">
        <f t="shared" si="7"/>
        <v>0</v>
      </c>
      <c r="L12" s="98">
        <f t="shared" si="8"/>
        <v>0</v>
      </c>
      <c r="M12" s="98">
        <f t="shared" si="9"/>
        <v>0</v>
      </c>
      <c r="N12" s="181">
        <f t="shared" si="12"/>
        <v>46314.001825396823</v>
      </c>
      <c r="O12" s="181">
        <f t="shared" si="11"/>
        <v>46314.001825396823</v>
      </c>
      <c r="P12" s="112" t="str">
        <f>VLOOKUP(A12,SHIPMENTS!$A$7:$AP$76,40,0)</f>
        <v>n/a</v>
      </c>
      <c r="Q12" s="101"/>
      <c r="R12" s="127" t="str">
        <f t="shared" si="1"/>
        <v/>
      </c>
      <c r="S12" s="127" t="str">
        <f t="shared" si="2"/>
        <v>▲</v>
      </c>
      <c r="T12" s="127" t="str">
        <f t="shared" si="2"/>
        <v/>
      </c>
      <c r="U12" s="127" t="str">
        <f t="shared" si="2"/>
        <v/>
      </c>
      <c r="V12" s="127" t="str">
        <f t="shared" si="2"/>
        <v/>
      </c>
      <c r="W12" s="127" t="str">
        <f t="shared" si="2"/>
        <v/>
      </c>
      <c r="X12" s="127" t="str">
        <f t="shared" si="2"/>
        <v/>
      </c>
      <c r="Y12" s="127" t="str">
        <f t="shared" si="2"/>
        <v/>
      </c>
      <c r="Z12" s="127" t="str">
        <f t="shared" si="2"/>
        <v/>
      </c>
      <c r="AA12" s="127" t="str">
        <f t="shared" si="2"/>
        <v/>
      </c>
      <c r="AB12" s="127" t="str">
        <f t="shared" si="2"/>
        <v/>
      </c>
      <c r="AC12" s="127" t="str">
        <f t="shared" si="2"/>
        <v/>
      </c>
      <c r="AD12" s="127" t="str">
        <f t="shared" si="2"/>
        <v/>
      </c>
      <c r="AE12" s="127" t="str">
        <f t="shared" si="2"/>
        <v/>
      </c>
      <c r="AF12" s="127" t="str">
        <f t="shared" si="2"/>
        <v/>
      </c>
      <c r="AG12" s="127" t="str">
        <f t="shared" si="2"/>
        <v/>
      </c>
      <c r="AH12" s="127" t="str">
        <f t="shared" si="2"/>
        <v/>
      </c>
      <c r="AI12" s="127" t="str">
        <f t="shared" si="2"/>
        <v/>
      </c>
      <c r="AJ12" s="127" t="str">
        <f t="shared" si="2"/>
        <v/>
      </c>
      <c r="AK12" s="127" t="str">
        <f t="shared" si="2"/>
        <v/>
      </c>
      <c r="AL12" s="127" t="str">
        <f t="shared" si="2"/>
        <v/>
      </c>
      <c r="AM12" s="127" t="str">
        <f t="shared" si="2"/>
        <v/>
      </c>
      <c r="AN12" s="127" t="str">
        <f t="shared" si="2"/>
        <v/>
      </c>
      <c r="AO12" s="127" t="str">
        <f t="shared" si="2"/>
        <v/>
      </c>
      <c r="AP12" s="127" t="str">
        <f t="shared" si="2"/>
        <v/>
      </c>
      <c r="AQ12" s="127" t="str">
        <f t="shared" si="2"/>
        <v/>
      </c>
      <c r="AR12" s="127" t="str">
        <f t="shared" si="2"/>
        <v/>
      </c>
      <c r="AS12" s="127" t="str">
        <f t="shared" si="2"/>
        <v/>
      </c>
      <c r="AT12" s="127" t="str">
        <f t="shared" si="2"/>
        <v/>
      </c>
      <c r="AU12" s="127" t="str">
        <f t="shared" si="2"/>
        <v/>
      </c>
      <c r="AV12" s="127" t="str">
        <f t="shared" si="2"/>
        <v/>
      </c>
      <c r="AW12" s="127" t="str">
        <f t="shared" si="2"/>
        <v/>
      </c>
      <c r="AX12" s="127" t="str">
        <f t="shared" si="2"/>
        <v/>
      </c>
      <c r="AY12" s="127" t="str">
        <f t="shared" si="2"/>
        <v/>
      </c>
      <c r="AZ12" s="127" t="str">
        <f t="shared" si="2"/>
        <v/>
      </c>
      <c r="BA12" s="127" t="str">
        <f t="shared" si="2"/>
        <v/>
      </c>
      <c r="BB12" s="127" t="str">
        <f t="shared" si="2"/>
        <v/>
      </c>
      <c r="BC12" s="127" t="str">
        <f t="shared" si="2"/>
        <v/>
      </c>
      <c r="BD12" s="127" t="str">
        <f t="shared" si="2"/>
        <v/>
      </c>
      <c r="BE12" s="127" t="str">
        <f t="shared" si="2"/>
        <v/>
      </c>
      <c r="BF12" s="127" t="str">
        <f t="shared" si="3"/>
        <v/>
      </c>
      <c r="BG12" s="127" t="str">
        <f t="shared" si="3"/>
        <v/>
      </c>
      <c r="BH12" s="127" t="str">
        <f t="shared" si="3"/>
        <v/>
      </c>
      <c r="BI12" s="127" t="str">
        <f t="shared" si="3"/>
        <v/>
      </c>
      <c r="BJ12" s="127" t="str">
        <f t="shared" si="3"/>
        <v/>
      </c>
      <c r="BK12" s="127" t="str">
        <f t="shared" si="3"/>
        <v/>
      </c>
      <c r="BL12" s="127" t="str">
        <f t="shared" si="3"/>
        <v/>
      </c>
      <c r="BM12" s="127" t="str">
        <f t="shared" si="3"/>
        <v/>
      </c>
      <c r="BN12" s="127" t="str">
        <f t="shared" si="3"/>
        <v/>
      </c>
      <c r="BO12" s="127" t="str">
        <f t="shared" si="3"/>
        <v/>
      </c>
      <c r="BP12" s="127" t="str">
        <f t="shared" si="3"/>
        <v/>
      </c>
      <c r="BQ12" s="127" t="str">
        <f t="shared" si="3"/>
        <v/>
      </c>
      <c r="BR12" s="127" t="str">
        <f t="shared" si="3"/>
        <v/>
      </c>
      <c r="BS12" s="127" t="str">
        <f t="shared" si="3"/>
        <v/>
      </c>
      <c r="BT12" s="127" t="str">
        <f t="shared" si="4"/>
        <v/>
      </c>
      <c r="BU12" s="127" t="str">
        <f t="shared" si="4"/>
        <v/>
      </c>
      <c r="BV12" s="127" t="str">
        <f t="shared" si="4"/>
        <v/>
      </c>
      <c r="BW12" s="127" t="str">
        <f t="shared" si="4"/>
        <v/>
      </c>
      <c r="BX12" s="127" t="str">
        <f t="shared" si="4"/>
        <v/>
      </c>
      <c r="BY12" s="127" t="str">
        <f t="shared" si="4"/>
        <v/>
      </c>
      <c r="BZ12" s="127" t="str">
        <f t="shared" si="4"/>
        <v/>
      </c>
      <c r="CA12" s="127" t="str">
        <f t="shared" si="4"/>
        <v/>
      </c>
      <c r="CB12" s="127" t="str">
        <f t="shared" si="4"/>
        <v/>
      </c>
      <c r="CC12" s="127" t="str">
        <f t="shared" si="4"/>
        <v/>
      </c>
      <c r="CD12" s="127" t="str">
        <f t="shared" si="4"/>
        <v/>
      </c>
      <c r="CE12" s="127" t="str">
        <f t="shared" si="4"/>
        <v/>
      </c>
    </row>
    <row r="13" spans="1:83" ht="12.75" hidden="1" customHeight="1" x14ac:dyDescent="0.2">
      <c r="A13" s="106">
        <f>SHIPMENTS!A19</f>
        <v>5928</v>
      </c>
      <c r="B13" s="106" t="str">
        <f>SHIPMENTS!B19</f>
        <v>41700-CANADA BSAUNAS BACKLOG</v>
      </c>
      <c r="C13" s="132">
        <f>SHIPMENTS!F19</f>
        <v>0</v>
      </c>
      <c r="D13" s="107" t="str">
        <f>IF((SHIPMENTS!I19)=0,"",SHIPMENTS!I19)</f>
        <v/>
      </c>
      <c r="E13" s="176" t="str">
        <f>IF((SHIPMENTS!G19)=0,"",SHIPMENTS!G19)</f>
        <v/>
      </c>
      <c r="F13" s="109">
        <f>VLOOKUP(A13,Items!$A$5:$J$1000,3,0)</f>
        <v>0</v>
      </c>
      <c r="G13" s="98">
        <f>VLOOKUP(A13,load!$A$4:$U$5001,4,0)</f>
        <v>0</v>
      </c>
      <c r="H13" s="97">
        <f>Manhours!$C$19</f>
        <v>6</v>
      </c>
      <c r="I13" s="98">
        <f t="shared" si="5"/>
        <v>54.599999999999994</v>
      </c>
      <c r="J13" s="99">
        <f t="shared" si="6"/>
        <v>0</v>
      </c>
      <c r="K13" s="99">
        <f t="shared" si="7"/>
        <v>0</v>
      </c>
      <c r="L13" s="98">
        <f t="shared" si="8"/>
        <v>0</v>
      </c>
      <c r="M13" s="98">
        <f t="shared" si="9"/>
        <v>0</v>
      </c>
      <c r="N13" s="181">
        <f t="shared" si="12"/>
        <v>46314.001825396823</v>
      </c>
      <c r="O13" s="181">
        <f t="shared" si="11"/>
        <v>46314.001825396823</v>
      </c>
      <c r="P13" s="112" t="str">
        <f>VLOOKUP(A13,SHIPMENTS!$A$7:$AP$76,40,0)</f>
        <v>n/a</v>
      </c>
      <c r="Q13" s="101"/>
      <c r="R13" s="127" t="str">
        <f t="shared" si="1"/>
        <v/>
      </c>
      <c r="S13" s="127" t="str">
        <f t="shared" si="2"/>
        <v/>
      </c>
      <c r="T13" s="127" t="str">
        <f t="shared" si="2"/>
        <v/>
      </c>
      <c r="U13" s="127" t="str">
        <f t="shared" si="2"/>
        <v/>
      </c>
      <c r="V13" s="127" t="str">
        <f t="shared" si="2"/>
        <v/>
      </c>
      <c r="W13" s="127" t="str">
        <f t="shared" si="2"/>
        <v/>
      </c>
      <c r="X13" s="127" t="str">
        <f t="shared" si="2"/>
        <v/>
      </c>
      <c r="Y13" s="127" t="str">
        <f t="shared" si="2"/>
        <v/>
      </c>
      <c r="Z13" s="127" t="str">
        <f t="shared" si="2"/>
        <v/>
      </c>
      <c r="AA13" s="127" t="str">
        <f t="shared" si="2"/>
        <v/>
      </c>
      <c r="AB13" s="127" t="str">
        <f t="shared" si="2"/>
        <v/>
      </c>
      <c r="AC13" s="127" t="str">
        <f t="shared" si="2"/>
        <v/>
      </c>
      <c r="AD13" s="127" t="str">
        <f t="shared" si="2"/>
        <v/>
      </c>
      <c r="AE13" s="127" t="str">
        <f t="shared" si="2"/>
        <v/>
      </c>
      <c r="AF13" s="127" t="str">
        <f t="shared" si="2"/>
        <v/>
      </c>
      <c r="AG13" s="127" t="str">
        <f t="shared" si="2"/>
        <v/>
      </c>
      <c r="AH13" s="127" t="str">
        <f t="shared" si="2"/>
        <v/>
      </c>
      <c r="AI13" s="127" t="str">
        <f t="shared" si="2"/>
        <v/>
      </c>
      <c r="AJ13" s="127" t="str">
        <f t="shared" si="2"/>
        <v/>
      </c>
      <c r="AK13" s="127" t="str">
        <f t="shared" si="2"/>
        <v/>
      </c>
      <c r="AL13" s="127" t="str">
        <f t="shared" si="2"/>
        <v/>
      </c>
      <c r="AM13" s="127" t="str">
        <f t="shared" si="2"/>
        <v/>
      </c>
      <c r="AN13" s="127" t="str">
        <f t="shared" si="2"/>
        <v/>
      </c>
      <c r="AO13" s="127" t="str">
        <f t="shared" si="2"/>
        <v/>
      </c>
      <c r="AP13" s="127" t="str">
        <f t="shared" si="2"/>
        <v/>
      </c>
      <c r="AQ13" s="127" t="str">
        <f t="shared" si="2"/>
        <v/>
      </c>
      <c r="AR13" s="127" t="str">
        <f t="shared" si="2"/>
        <v/>
      </c>
      <c r="AS13" s="127" t="str">
        <f t="shared" si="2"/>
        <v/>
      </c>
      <c r="AT13" s="127" t="str">
        <f t="shared" si="2"/>
        <v/>
      </c>
      <c r="AU13" s="127" t="str">
        <f t="shared" si="2"/>
        <v/>
      </c>
      <c r="AV13" s="127" t="str">
        <f t="shared" si="2"/>
        <v/>
      </c>
      <c r="AW13" s="127" t="str">
        <f t="shared" si="2"/>
        <v/>
      </c>
      <c r="AX13" s="127" t="str">
        <f t="shared" si="2"/>
        <v/>
      </c>
      <c r="AY13" s="127" t="str">
        <f t="shared" si="2"/>
        <v/>
      </c>
      <c r="AZ13" s="127" t="str">
        <f t="shared" si="2"/>
        <v/>
      </c>
      <c r="BA13" s="127" t="str">
        <f t="shared" si="2"/>
        <v/>
      </c>
      <c r="BB13" s="127" t="str">
        <f t="shared" si="2"/>
        <v/>
      </c>
      <c r="BC13" s="127" t="str">
        <f t="shared" si="2"/>
        <v/>
      </c>
      <c r="BD13" s="127" t="str">
        <f t="shared" si="2"/>
        <v/>
      </c>
      <c r="BE13" s="127" t="str">
        <f t="shared" si="2"/>
        <v/>
      </c>
      <c r="BF13" s="127" t="str">
        <f t="shared" si="3"/>
        <v/>
      </c>
      <c r="BG13" s="127" t="str">
        <f t="shared" si="3"/>
        <v/>
      </c>
      <c r="BH13" s="127" t="str">
        <f t="shared" si="3"/>
        <v/>
      </c>
      <c r="BI13" s="127" t="str">
        <f t="shared" si="3"/>
        <v/>
      </c>
      <c r="BJ13" s="127" t="str">
        <f t="shared" si="3"/>
        <v/>
      </c>
      <c r="BK13" s="127" t="str">
        <f t="shared" si="3"/>
        <v/>
      </c>
      <c r="BL13" s="127" t="str">
        <f t="shared" si="3"/>
        <v/>
      </c>
      <c r="BM13" s="127" t="str">
        <f t="shared" si="3"/>
        <v/>
      </c>
      <c r="BN13" s="127" t="str">
        <f t="shared" si="3"/>
        <v/>
      </c>
      <c r="BO13" s="127" t="str">
        <f t="shared" si="3"/>
        <v/>
      </c>
      <c r="BP13" s="127" t="str">
        <f t="shared" si="3"/>
        <v/>
      </c>
      <c r="BQ13" s="127" t="str">
        <f t="shared" si="3"/>
        <v/>
      </c>
      <c r="BR13" s="127" t="str">
        <f t="shared" si="3"/>
        <v/>
      </c>
      <c r="BS13" s="127" t="str">
        <f t="shared" si="3"/>
        <v/>
      </c>
      <c r="BT13" s="127" t="str">
        <f t="shared" si="4"/>
        <v/>
      </c>
      <c r="BU13" s="127" t="str">
        <f t="shared" si="4"/>
        <v/>
      </c>
      <c r="BV13" s="127" t="str">
        <f t="shared" si="4"/>
        <v/>
      </c>
      <c r="BW13" s="127" t="str">
        <f t="shared" si="4"/>
        <v/>
      </c>
      <c r="BX13" s="127" t="str">
        <f t="shared" si="4"/>
        <v/>
      </c>
      <c r="BY13" s="127" t="str">
        <f t="shared" si="4"/>
        <v/>
      </c>
      <c r="BZ13" s="127" t="str">
        <f t="shared" si="4"/>
        <v/>
      </c>
      <c r="CA13" s="127" t="str">
        <f t="shared" si="4"/>
        <v/>
      </c>
      <c r="CB13" s="127" t="str">
        <f t="shared" si="4"/>
        <v/>
      </c>
      <c r="CC13" s="127" t="str">
        <f t="shared" si="4"/>
        <v/>
      </c>
      <c r="CD13" s="127" t="str">
        <f t="shared" si="4"/>
        <v/>
      </c>
      <c r="CE13" s="127" t="str">
        <f t="shared" si="4"/>
        <v/>
      </c>
    </row>
    <row r="14" spans="1:83" ht="12.75" hidden="1" customHeight="1" x14ac:dyDescent="0.2">
      <c r="A14" s="106">
        <f>SHIPMENTS!A20</f>
        <v>4781</v>
      </c>
      <c r="B14" s="106" t="str">
        <f>SHIPMENTS!B20</f>
        <v>41700-CANADA BSAUNAS BACKLOG</v>
      </c>
      <c r="C14" s="132">
        <f>SHIPMENTS!F20</f>
        <v>0</v>
      </c>
      <c r="D14" s="107" t="str">
        <f>IF((SHIPMENTS!I20)=0,"",SHIPMENTS!I20)</f>
        <v/>
      </c>
      <c r="E14" s="176" t="str">
        <f>IF((SHIPMENTS!G20)=0,"",SHIPMENTS!G20)</f>
        <v/>
      </c>
      <c r="F14" s="109">
        <f>VLOOKUP(A14,Items!$A$5:$J$1000,3,0)</f>
        <v>0</v>
      </c>
      <c r="G14" s="98">
        <f>VLOOKUP(A14,load!$A$4:$U$5001,4,0)</f>
        <v>0</v>
      </c>
      <c r="H14" s="97">
        <f>Manhours!$C$19</f>
        <v>6</v>
      </c>
      <c r="I14" s="98">
        <f t="shared" si="5"/>
        <v>54.599999999999994</v>
      </c>
      <c r="J14" s="99">
        <f t="shared" si="6"/>
        <v>0</v>
      </c>
      <c r="K14" s="99">
        <f t="shared" si="7"/>
        <v>0</v>
      </c>
      <c r="L14" s="98">
        <f t="shared" si="8"/>
        <v>0</v>
      </c>
      <c r="M14" s="98">
        <f t="shared" si="9"/>
        <v>0</v>
      </c>
      <c r="N14" s="181">
        <f t="shared" si="12"/>
        <v>46314.001825396823</v>
      </c>
      <c r="O14" s="181">
        <f t="shared" si="11"/>
        <v>46314.001825396823</v>
      </c>
      <c r="P14" s="112" t="str">
        <f>VLOOKUP(A14,SHIPMENTS!$A$7:$AP$76,40,0)</f>
        <v>n/a</v>
      </c>
      <c r="Q14" s="101"/>
      <c r="R14" s="127" t="str">
        <f t="shared" si="1"/>
        <v/>
      </c>
      <c r="S14" s="127" t="str">
        <f t="shared" si="2"/>
        <v/>
      </c>
      <c r="T14" s="127" t="str">
        <f t="shared" si="2"/>
        <v/>
      </c>
      <c r="U14" s="127" t="str">
        <f t="shared" si="2"/>
        <v/>
      </c>
      <c r="V14" s="127" t="str">
        <f t="shared" si="2"/>
        <v/>
      </c>
      <c r="W14" s="127" t="str">
        <f t="shared" si="2"/>
        <v/>
      </c>
      <c r="X14" s="127" t="str">
        <f t="shared" si="2"/>
        <v/>
      </c>
      <c r="Y14" s="127" t="str">
        <f t="shared" si="2"/>
        <v/>
      </c>
      <c r="Z14" s="127" t="str">
        <f t="shared" si="2"/>
        <v/>
      </c>
      <c r="AA14" s="127" t="str">
        <f t="shared" si="2"/>
        <v/>
      </c>
      <c r="AB14" s="127" t="str">
        <f t="shared" si="2"/>
        <v/>
      </c>
      <c r="AC14" s="127" t="str">
        <f t="shared" si="2"/>
        <v/>
      </c>
      <c r="AD14" s="127" t="str">
        <f t="shared" si="2"/>
        <v/>
      </c>
      <c r="AE14" s="127" t="str">
        <f t="shared" si="2"/>
        <v/>
      </c>
      <c r="AF14" s="127" t="str">
        <f t="shared" si="2"/>
        <v/>
      </c>
      <c r="AG14" s="127" t="str">
        <f t="shared" si="2"/>
        <v/>
      </c>
      <c r="AH14" s="127" t="str">
        <f t="shared" ref="AH14:BE14" si="13">IF($E14=AH$3,"▲","")</f>
        <v/>
      </c>
      <c r="AI14" s="127" t="str">
        <f t="shared" si="13"/>
        <v/>
      </c>
      <c r="AJ14" s="127" t="str">
        <f t="shared" si="13"/>
        <v/>
      </c>
      <c r="AK14" s="127" t="str">
        <f t="shared" si="13"/>
        <v/>
      </c>
      <c r="AL14" s="127" t="str">
        <f t="shared" si="13"/>
        <v/>
      </c>
      <c r="AM14" s="127" t="str">
        <f t="shared" si="13"/>
        <v/>
      </c>
      <c r="AN14" s="127" t="str">
        <f t="shared" si="13"/>
        <v/>
      </c>
      <c r="AO14" s="127" t="str">
        <f t="shared" si="13"/>
        <v/>
      </c>
      <c r="AP14" s="127" t="str">
        <f t="shared" si="13"/>
        <v/>
      </c>
      <c r="AQ14" s="127" t="str">
        <f t="shared" si="13"/>
        <v/>
      </c>
      <c r="AR14" s="127" t="str">
        <f t="shared" si="13"/>
        <v/>
      </c>
      <c r="AS14" s="127" t="str">
        <f t="shared" si="13"/>
        <v/>
      </c>
      <c r="AT14" s="127" t="str">
        <f t="shared" si="13"/>
        <v/>
      </c>
      <c r="AU14" s="127" t="str">
        <f t="shared" si="13"/>
        <v/>
      </c>
      <c r="AV14" s="127" t="str">
        <f t="shared" si="13"/>
        <v/>
      </c>
      <c r="AW14" s="127" t="str">
        <f t="shared" si="13"/>
        <v/>
      </c>
      <c r="AX14" s="127" t="str">
        <f t="shared" si="13"/>
        <v/>
      </c>
      <c r="AY14" s="127" t="str">
        <f t="shared" si="13"/>
        <v/>
      </c>
      <c r="AZ14" s="127" t="str">
        <f t="shared" si="13"/>
        <v/>
      </c>
      <c r="BA14" s="127" t="str">
        <f t="shared" si="13"/>
        <v/>
      </c>
      <c r="BB14" s="127" t="str">
        <f t="shared" si="13"/>
        <v/>
      </c>
      <c r="BC14" s="127" t="str">
        <f t="shared" si="13"/>
        <v/>
      </c>
      <c r="BD14" s="127" t="str">
        <f t="shared" si="13"/>
        <v/>
      </c>
      <c r="BE14" s="127" t="str">
        <f t="shared" si="13"/>
        <v/>
      </c>
      <c r="BF14" s="127" t="str">
        <f t="shared" si="3"/>
        <v/>
      </c>
      <c r="BG14" s="127" t="str">
        <f t="shared" si="3"/>
        <v/>
      </c>
      <c r="BH14" s="127" t="str">
        <f t="shared" si="3"/>
        <v/>
      </c>
      <c r="BI14" s="127" t="str">
        <f t="shared" si="3"/>
        <v/>
      </c>
      <c r="BJ14" s="127" t="str">
        <f t="shared" si="3"/>
        <v/>
      </c>
      <c r="BK14" s="127" t="str">
        <f t="shared" si="3"/>
        <v/>
      </c>
      <c r="BL14" s="127" t="str">
        <f t="shared" si="3"/>
        <v/>
      </c>
      <c r="BM14" s="127" t="str">
        <f t="shared" si="3"/>
        <v/>
      </c>
      <c r="BN14" s="127" t="str">
        <f t="shared" si="3"/>
        <v/>
      </c>
      <c r="BO14" s="127" t="str">
        <f t="shared" si="3"/>
        <v/>
      </c>
      <c r="BP14" s="127" t="str">
        <f t="shared" si="3"/>
        <v/>
      </c>
      <c r="BQ14" s="127" t="str">
        <f t="shared" si="3"/>
        <v/>
      </c>
      <c r="BR14" s="127" t="str">
        <f t="shared" si="3"/>
        <v/>
      </c>
      <c r="BS14" s="127" t="str">
        <f t="shared" si="3"/>
        <v/>
      </c>
      <c r="BT14" s="127" t="str">
        <f t="shared" si="4"/>
        <v/>
      </c>
      <c r="BU14" s="127" t="str">
        <f t="shared" si="4"/>
        <v/>
      </c>
      <c r="BV14" s="127" t="str">
        <f t="shared" si="4"/>
        <v/>
      </c>
      <c r="BW14" s="127" t="str">
        <f t="shared" si="4"/>
        <v/>
      </c>
      <c r="BX14" s="127" t="str">
        <f t="shared" si="4"/>
        <v/>
      </c>
      <c r="BY14" s="127" t="str">
        <f t="shared" si="4"/>
        <v/>
      </c>
      <c r="BZ14" s="127" t="str">
        <f t="shared" si="4"/>
        <v/>
      </c>
      <c r="CA14" s="127" t="str">
        <f t="shared" si="4"/>
        <v/>
      </c>
      <c r="CB14" s="127" t="str">
        <f t="shared" si="4"/>
        <v/>
      </c>
      <c r="CC14" s="127" t="str">
        <f t="shared" si="4"/>
        <v/>
      </c>
      <c r="CD14" s="127" t="str">
        <f t="shared" si="4"/>
        <v/>
      </c>
      <c r="CE14" s="127" t="str">
        <f t="shared" si="4"/>
        <v/>
      </c>
    </row>
    <row r="15" spans="1:83" ht="12.75" hidden="1" customHeight="1" x14ac:dyDescent="0.2">
      <c r="A15" s="106">
        <f>SHIPMENTS!A21</f>
        <v>9259</v>
      </c>
      <c r="B15" s="106" t="str">
        <f>SHIPMENTS!B21</f>
        <v>27200-UAE</v>
      </c>
      <c r="C15" s="132">
        <f>SHIPMENTS!F21</f>
        <v>7.0000000000000007E-2</v>
      </c>
      <c r="D15" s="107" t="str">
        <f>IF((SHIPMENTS!I21)=0,"",SHIPMENTS!I21)</f>
        <v>AIR</v>
      </c>
      <c r="E15" s="176">
        <f>IF((SHIPMENTS!G21)=0,"",SHIPMENTS!G21)</f>
        <v>46316</v>
      </c>
      <c r="F15" s="109">
        <f>VLOOKUP(A15,Items!$A$5:$J$1000,3,0)</f>
        <v>0</v>
      </c>
      <c r="G15" s="98">
        <f>VLOOKUP(A15,load!$A$4:$U$5001,4,0)</f>
        <v>0</v>
      </c>
      <c r="H15" s="97">
        <f>Manhours!$C$19</f>
        <v>6</v>
      </c>
      <c r="I15" s="98">
        <f t="shared" si="5"/>
        <v>54.599999999999994</v>
      </c>
      <c r="J15" s="99">
        <f t="shared" si="6"/>
        <v>0</v>
      </c>
      <c r="K15" s="99">
        <f t="shared" si="7"/>
        <v>0</v>
      </c>
      <c r="L15" s="98">
        <f t="shared" si="8"/>
        <v>0</v>
      </c>
      <c r="M15" s="98">
        <f t="shared" si="9"/>
        <v>0</v>
      </c>
      <c r="N15" s="181">
        <f t="shared" si="12"/>
        <v>46314.001825396823</v>
      </c>
      <c r="O15" s="181">
        <f t="shared" si="11"/>
        <v>46314.001825396823</v>
      </c>
      <c r="P15" s="112" t="str">
        <f>VLOOKUP(A15,SHIPMENTS!$A$7:$AP$76,40,0)</f>
        <v>n/a</v>
      </c>
      <c r="Q15" s="101"/>
      <c r="R15" s="127" t="str">
        <f t="shared" si="1"/>
        <v/>
      </c>
      <c r="S15" s="127" t="str">
        <f t="shared" ref="S15:BE21" si="14">IF($E15=S$3,"▲","")</f>
        <v/>
      </c>
      <c r="T15" s="127" t="str">
        <f t="shared" si="14"/>
        <v>▲</v>
      </c>
      <c r="U15" s="127" t="str">
        <f t="shared" si="14"/>
        <v/>
      </c>
      <c r="V15" s="127" t="str">
        <f t="shared" si="14"/>
        <v/>
      </c>
      <c r="W15" s="127" t="str">
        <f t="shared" si="14"/>
        <v/>
      </c>
      <c r="X15" s="127" t="str">
        <f t="shared" si="14"/>
        <v/>
      </c>
      <c r="Y15" s="127" t="str">
        <f t="shared" si="14"/>
        <v/>
      </c>
      <c r="Z15" s="127" t="str">
        <f t="shared" si="14"/>
        <v/>
      </c>
      <c r="AA15" s="127" t="str">
        <f t="shared" si="14"/>
        <v/>
      </c>
      <c r="AB15" s="127" t="str">
        <f t="shared" si="14"/>
        <v/>
      </c>
      <c r="AC15" s="127" t="str">
        <f t="shared" si="14"/>
        <v/>
      </c>
      <c r="AD15" s="127" t="str">
        <f t="shared" si="14"/>
        <v/>
      </c>
      <c r="AE15" s="127" t="str">
        <f t="shared" si="14"/>
        <v/>
      </c>
      <c r="AF15" s="127" t="str">
        <f t="shared" si="14"/>
        <v/>
      </c>
      <c r="AG15" s="127" t="str">
        <f t="shared" si="14"/>
        <v/>
      </c>
      <c r="AH15" s="127" t="str">
        <f t="shared" si="14"/>
        <v/>
      </c>
      <c r="AI15" s="127" t="str">
        <f t="shared" si="14"/>
        <v/>
      </c>
      <c r="AJ15" s="127" t="str">
        <f t="shared" si="14"/>
        <v/>
      </c>
      <c r="AK15" s="127" t="str">
        <f t="shared" si="14"/>
        <v/>
      </c>
      <c r="AL15" s="127" t="str">
        <f t="shared" si="14"/>
        <v/>
      </c>
      <c r="AM15" s="127" t="str">
        <f t="shared" si="14"/>
        <v/>
      </c>
      <c r="AN15" s="127" t="str">
        <f t="shared" si="14"/>
        <v/>
      </c>
      <c r="AO15" s="127" t="str">
        <f t="shared" si="14"/>
        <v/>
      </c>
      <c r="AP15" s="127" t="str">
        <f t="shared" si="14"/>
        <v/>
      </c>
      <c r="AQ15" s="127" t="str">
        <f t="shared" si="14"/>
        <v/>
      </c>
      <c r="AR15" s="127" t="str">
        <f t="shared" si="14"/>
        <v/>
      </c>
      <c r="AS15" s="127" t="str">
        <f t="shared" si="14"/>
        <v/>
      </c>
      <c r="AT15" s="127" t="str">
        <f t="shared" si="14"/>
        <v/>
      </c>
      <c r="AU15" s="127" t="str">
        <f t="shared" si="14"/>
        <v/>
      </c>
      <c r="AV15" s="127" t="str">
        <f t="shared" si="14"/>
        <v/>
      </c>
      <c r="AW15" s="127" t="str">
        <f t="shared" si="14"/>
        <v/>
      </c>
      <c r="AX15" s="127" t="str">
        <f t="shared" si="14"/>
        <v/>
      </c>
      <c r="AY15" s="127" t="str">
        <f t="shared" si="14"/>
        <v/>
      </c>
      <c r="AZ15" s="127" t="str">
        <f t="shared" si="14"/>
        <v/>
      </c>
      <c r="BA15" s="127" t="str">
        <f t="shared" si="14"/>
        <v/>
      </c>
      <c r="BB15" s="127" t="str">
        <f t="shared" si="14"/>
        <v/>
      </c>
      <c r="BC15" s="127" t="str">
        <f t="shared" si="14"/>
        <v/>
      </c>
      <c r="BD15" s="127" t="str">
        <f t="shared" si="14"/>
        <v/>
      </c>
      <c r="BE15" s="127" t="str">
        <f t="shared" si="14"/>
        <v/>
      </c>
      <c r="BF15" s="127" t="str">
        <f t="shared" si="3"/>
        <v/>
      </c>
      <c r="BG15" s="127" t="str">
        <f t="shared" si="3"/>
        <v/>
      </c>
      <c r="BH15" s="127" t="str">
        <f t="shared" si="3"/>
        <v/>
      </c>
      <c r="BI15" s="127" t="str">
        <f t="shared" si="3"/>
        <v/>
      </c>
      <c r="BJ15" s="127" t="str">
        <f t="shared" si="3"/>
        <v/>
      </c>
      <c r="BK15" s="127" t="str">
        <f t="shared" si="3"/>
        <v/>
      </c>
      <c r="BL15" s="127" t="str">
        <f t="shared" si="3"/>
        <v/>
      </c>
      <c r="BM15" s="127" t="str">
        <f t="shared" si="3"/>
        <v/>
      </c>
      <c r="BN15" s="127" t="str">
        <f t="shared" si="3"/>
        <v/>
      </c>
      <c r="BO15" s="127" t="str">
        <f t="shared" si="3"/>
        <v/>
      </c>
      <c r="BP15" s="127" t="str">
        <f t="shared" si="3"/>
        <v/>
      </c>
      <c r="BQ15" s="127" t="str">
        <f t="shared" si="3"/>
        <v/>
      </c>
      <c r="BR15" s="127" t="str">
        <f t="shared" si="3"/>
        <v/>
      </c>
      <c r="BS15" s="127" t="str">
        <f t="shared" si="3"/>
        <v/>
      </c>
      <c r="BT15" s="127" t="str">
        <f t="shared" si="4"/>
        <v/>
      </c>
      <c r="BU15" s="127" t="str">
        <f t="shared" si="4"/>
        <v/>
      </c>
      <c r="BV15" s="127" t="str">
        <f t="shared" si="4"/>
        <v/>
      </c>
      <c r="BW15" s="127" t="str">
        <f t="shared" si="4"/>
        <v/>
      </c>
      <c r="BX15" s="127" t="str">
        <f t="shared" si="4"/>
        <v/>
      </c>
      <c r="BY15" s="127" t="str">
        <f t="shared" si="4"/>
        <v/>
      </c>
      <c r="BZ15" s="127" t="str">
        <f t="shared" si="4"/>
        <v/>
      </c>
      <c r="CA15" s="127" t="str">
        <f t="shared" si="4"/>
        <v/>
      </c>
      <c r="CB15" s="127" t="str">
        <f t="shared" si="4"/>
        <v/>
      </c>
      <c r="CC15" s="127" t="str">
        <f t="shared" si="4"/>
        <v/>
      </c>
      <c r="CD15" s="127" t="str">
        <f t="shared" si="4"/>
        <v/>
      </c>
      <c r="CE15" s="127" t="str">
        <f t="shared" si="4"/>
        <v/>
      </c>
    </row>
    <row r="16" spans="1:83" ht="12.75" customHeight="1" x14ac:dyDescent="0.2">
      <c r="A16" s="106">
        <f>SHIPMENTS!A22</f>
        <v>8765</v>
      </c>
      <c r="B16" s="106" t="str">
        <f>SHIPMENTS!B22</f>
        <v>8200-AUSTRALIA</v>
      </c>
      <c r="C16" s="132">
        <f>SHIPMENTS!F22</f>
        <v>64.930000000000007</v>
      </c>
      <c r="D16" s="107" t="str">
        <f>IF((SHIPMENTS!I22)=0,"",SHIPMENTS!I22)</f>
        <v>1X40HC</v>
      </c>
      <c r="E16" s="176">
        <f>IF((SHIPMENTS!G22)=0,"",SHIPMENTS!G22)</f>
        <v>46316</v>
      </c>
      <c r="F16" s="109">
        <f>VLOOKUP(A16,Items!$A$5:$J$1000,3,0)</f>
        <v>75</v>
      </c>
      <c r="G16" s="98">
        <f>VLOOKUP(A16,load!$A$4:$U$5001,4,0)</f>
        <v>84.970833333333331</v>
      </c>
      <c r="H16" s="97">
        <f>Manhours!$C$19</f>
        <v>6</v>
      </c>
      <c r="I16" s="98">
        <f t="shared" si="5"/>
        <v>54.599999999999994</v>
      </c>
      <c r="J16" s="99">
        <f t="shared" si="6"/>
        <v>1.5562423687423688</v>
      </c>
      <c r="K16" s="99">
        <f t="shared" si="7"/>
        <v>14.161805555555555</v>
      </c>
      <c r="L16" s="98">
        <f t="shared" si="8"/>
        <v>0.20231150793650787</v>
      </c>
      <c r="M16" s="98">
        <f t="shared" si="9"/>
        <v>1.8410347222222221</v>
      </c>
      <c r="N16" s="181">
        <f t="shared" si="12"/>
        <v>46314.001825396823</v>
      </c>
      <c r="O16" s="181">
        <f t="shared" si="11"/>
        <v>46314.204136904758</v>
      </c>
      <c r="P16" s="112">
        <f>VLOOKUP(A16,SHIPMENTS!$A$7:$AP$76,40,0)</f>
        <v>0.87</v>
      </c>
      <c r="Q16" s="101"/>
      <c r="R16" s="127" t="str">
        <f t="shared" si="1"/>
        <v/>
      </c>
      <c r="S16" s="127" t="str">
        <f t="shared" si="14"/>
        <v/>
      </c>
      <c r="T16" s="127" t="str">
        <f t="shared" si="14"/>
        <v>▲</v>
      </c>
      <c r="U16" s="127" t="str">
        <f t="shared" si="14"/>
        <v/>
      </c>
      <c r="V16" s="127" t="str">
        <f t="shared" si="14"/>
        <v/>
      </c>
      <c r="W16" s="127" t="str">
        <f t="shared" si="14"/>
        <v/>
      </c>
      <c r="X16" s="127" t="str">
        <f t="shared" si="14"/>
        <v/>
      </c>
      <c r="Y16" s="127" t="str">
        <f t="shared" si="14"/>
        <v/>
      </c>
      <c r="Z16" s="127" t="str">
        <f t="shared" si="14"/>
        <v/>
      </c>
      <c r="AA16" s="127" t="str">
        <f t="shared" si="14"/>
        <v/>
      </c>
      <c r="AB16" s="127" t="str">
        <f t="shared" si="14"/>
        <v/>
      </c>
      <c r="AC16" s="127" t="str">
        <f t="shared" si="14"/>
        <v/>
      </c>
      <c r="AD16" s="127" t="str">
        <f t="shared" si="14"/>
        <v/>
      </c>
      <c r="AE16" s="127" t="str">
        <f t="shared" si="14"/>
        <v/>
      </c>
      <c r="AF16" s="127" t="str">
        <f t="shared" si="14"/>
        <v/>
      </c>
      <c r="AG16" s="127" t="str">
        <f t="shared" si="14"/>
        <v/>
      </c>
      <c r="AH16" s="127" t="str">
        <f t="shared" si="14"/>
        <v/>
      </c>
      <c r="AI16" s="127" t="str">
        <f t="shared" si="14"/>
        <v/>
      </c>
      <c r="AJ16" s="127" t="str">
        <f t="shared" si="14"/>
        <v/>
      </c>
      <c r="AK16" s="127" t="str">
        <f t="shared" si="14"/>
        <v/>
      </c>
      <c r="AL16" s="127" t="str">
        <f t="shared" si="14"/>
        <v/>
      </c>
      <c r="AM16" s="127" t="str">
        <f t="shared" si="14"/>
        <v/>
      </c>
      <c r="AN16" s="127" t="str">
        <f t="shared" si="14"/>
        <v/>
      </c>
      <c r="AO16" s="127" t="str">
        <f t="shared" si="14"/>
        <v/>
      </c>
      <c r="AP16" s="127" t="str">
        <f t="shared" si="14"/>
        <v/>
      </c>
      <c r="AQ16" s="127" t="str">
        <f t="shared" si="14"/>
        <v/>
      </c>
      <c r="AR16" s="127" t="str">
        <f t="shared" si="14"/>
        <v/>
      </c>
      <c r="AS16" s="127" t="str">
        <f t="shared" si="14"/>
        <v/>
      </c>
      <c r="AT16" s="127" t="str">
        <f t="shared" si="14"/>
        <v/>
      </c>
      <c r="AU16" s="127" t="str">
        <f t="shared" si="14"/>
        <v/>
      </c>
      <c r="AV16" s="127" t="str">
        <f t="shared" si="14"/>
        <v/>
      </c>
      <c r="AW16" s="127" t="str">
        <f t="shared" si="14"/>
        <v/>
      </c>
      <c r="AX16" s="127" t="str">
        <f t="shared" si="14"/>
        <v/>
      </c>
      <c r="AY16" s="127" t="str">
        <f t="shared" si="14"/>
        <v/>
      </c>
      <c r="AZ16" s="127" t="str">
        <f t="shared" si="14"/>
        <v/>
      </c>
      <c r="BA16" s="127" t="str">
        <f t="shared" si="14"/>
        <v/>
      </c>
      <c r="BB16" s="127" t="str">
        <f t="shared" si="14"/>
        <v/>
      </c>
      <c r="BC16" s="127" t="str">
        <f t="shared" si="14"/>
        <v/>
      </c>
      <c r="BD16" s="127" t="str">
        <f t="shared" si="14"/>
        <v/>
      </c>
      <c r="BE16" s="127" t="str">
        <f t="shared" si="14"/>
        <v/>
      </c>
      <c r="BF16" s="127" t="str">
        <f t="shared" si="3"/>
        <v/>
      </c>
      <c r="BG16" s="127" t="str">
        <f t="shared" si="3"/>
        <v/>
      </c>
      <c r="BH16" s="127" t="str">
        <f t="shared" si="3"/>
        <v/>
      </c>
      <c r="BI16" s="127" t="str">
        <f t="shared" si="3"/>
        <v/>
      </c>
      <c r="BJ16" s="127" t="str">
        <f t="shared" si="3"/>
        <v/>
      </c>
      <c r="BK16" s="127" t="str">
        <f t="shared" si="3"/>
        <v/>
      </c>
      <c r="BL16" s="127" t="str">
        <f t="shared" si="3"/>
        <v/>
      </c>
      <c r="BM16" s="127" t="str">
        <f t="shared" si="3"/>
        <v/>
      </c>
      <c r="BN16" s="127" t="str">
        <f t="shared" si="3"/>
        <v/>
      </c>
      <c r="BO16" s="127" t="str">
        <f t="shared" si="3"/>
        <v/>
      </c>
      <c r="BP16" s="127" t="str">
        <f t="shared" si="3"/>
        <v/>
      </c>
      <c r="BQ16" s="127" t="str">
        <f t="shared" si="3"/>
        <v/>
      </c>
      <c r="BR16" s="127" t="str">
        <f t="shared" si="3"/>
        <v/>
      </c>
      <c r="BS16" s="127" t="str">
        <f t="shared" si="3"/>
        <v/>
      </c>
      <c r="BT16" s="127" t="str">
        <f t="shared" si="4"/>
        <v/>
      </c>
      <c r="BU16" s="127" t="str">
        <f t="shared" si="4"/>
        <v/>
      </c>
      <c r="BV16" s="127" t="str">
        <f t="shared" si="4"/>
        <v/>
      </c>
      <c r="BW16" s="127" t="str">
        <f t="shared" si="4"/>
        <v/>
      </c>
      <c r="BX16" s="127" t="str">
        <f t="shared" si="4"/>
        <v/>
      </c>
      <c r="BY16" s="127" t="str">
        <f t="shared" si="4"/>
        <v/>
      </c>
      <c r="BZ16" s="127" t="str">
        <f t="shared" si="4"/>
        <v/>
      </c>
      <c r="CA16" s="127" t="str">
        <f t="shared" si="4"/>
        <v/>
      </c>
      <c r="CB16" s="127" t="str">
        <f t="shared" si="4"/>
        <v/>
      </c>
      <c r="CC16" s="127" t="str">
        <f t="shared" si="4"/>
        <v/>
      </c>
      <c r="CD16" s="127" t="str">
        <f t="shared" si="4"/>
        <v/>
      </c>
      <c r="CE16" s="127" t="str">
        <f t="shared" si="4"/>
        <v/>
      </c>
    </row>
    <row r="17" spans="1:83" ht="12.75" customHeight="1" x14ac:dyDescent="0.2">
      <c r="A17" s="106">
        <f>SHIPMENTS!A23</f>
        <v>7919</v>
      </c>
      <c r="B17" s="106" t="str">
        <f>SHIPMENTS!B23</f>
        <v>8200-AUSTRALIA</v>
      </c>
      <c r="C17" s="132">
        <f>SHIPMENTS!F23</f>
        <v>0</v>
      </c>
      <c r="D17" s="107" t="str">
        <f>IF((SHIPMENTS!I23)=0,"",SHIPMENTS!I23)</f>
        <v/>
      </c>
      <c r="E17" s="176" t="str">
        <f>IF((SHIPMENTS!G23)=0,"",SHIPMENTS!G23)</f>
        <v/>
      </c>
      <c r="F17" s="109">
        <f>VLOOKUP(A17,Items!$A$5:$J$1000,3,0)</f>
        <v>1</v>
      </c>
      <c r="G17" s="98">
        <f>VLOOKUP(A17,load!$A$4:$U$5001,4,0)</f>
        <v>0</v>
      </c>
      <c r="H17" s="97">
        <f>Manhours!$C$19</f>
        <v>6</v>
      </c>
      <c r="I17" s="98">
        <f t="shared" si="5"/>
        <v>54.599999999999994</v>
      </c>
      <c r="J17" s="99">
        <f t="shared" si="6"/>
        <v>0</v>
      </c>
      <c r="K17" s="99">
        <f t="shared" si="7"/>
        <v>0</v>
      </c>
      <c r="L17" s="98">
        <f t="shared" si="8"/>
        <v>0</v>
      </c>
      <c r="M17" s="98">
        <f t="shared" si="9"/>
        <v>0</v>
      </c>
      <c r="N17" s="181">
        <f t="shared" si="12"/>
        <v>46314.204136904758</v>
      </c>
      <c r="O17" s="181">
        <f t="shared" si="11"/>
        <v>46314.204136904758</v>
      </c>
      <c r="P17" s="112">
        <f>VLOOKUP(A17,SHIPMENTS!$A$7:$AP$76,40,0)</f>
        <v>1</v>
      </c>
      <c r="Q17" s="101"/>
      <c r="R17" s="127" t="str">
        <f t="shared" si="1"/>
        <v/>
      </c>
      <c r="S17" s="127" t="str">
        <f t="shared" si="14"/>
        <v/>
      </c>
      <c r="T17" s="127" t="str">
        <f t="shared" si="14"/>
        <v/>
      </c>
      <c r="U17" s="127" t="str">
        <f t="shared" si="14"/>
        <v/>
      </c>
      <c r="V17" s="127" t="str">
        <f t="shared" si="14"/>
        <v/>
      </c>
      <c r="W17" s="127" t="str">
        <f t="shared" si="14"/>
        <v/>
      </c>
      <c r="X17" s="127" t="str">
        <f t="shared" si="14"/>
        <v/>
      </c>
      <c r="Y17" s="127" t="str">
        <f t="shared" si="14"/>
        <v/>
      </c>
      <c r="Z17" s="127" t="str">
        <f t="shared" si="14"/>
        <v/>
      </c>
      <c r="AA17" s="127" t="str">
        <f t="shared" si="14"/>
        <v/>
      </c>
      <c r="AB17" s="127" t="str">
        <f t="shared" si="14"/>
        <v/>
      </c>
      <c r="AC17" s="127" t="str">
        <f t="shared" si="14"/>
        <v/>
      </c>
      <c r="AD17" s="127" t="str">
        <f t="shared" si="14"/>
        <v/>
      </c>
      <c r="AE17" s="127" t="str">
        <f t="shared" si="14"/>
        <v/>
      </c>
      <c r="AF17" s="127" t="str">
        <f t="shared" si="14"/>
        <v/>
      </c>
      <c r="AG17" s="127" t="str">
        <f t="shared" si="14"/>
        <v/>
      </c>
      <c r="AH17" s="127" t="str">
        <f t="shared" si="14"/>
        <v/>
      </c>
      <c r="AI17" s="127" t="str">
        <f t="shared" si="14"/>
        <v/>
      </c>
      <c r="AJ17" s="127" t="str">
        <f t="shared" si="14"/>
        <v/>
      </c>
      <c r="AK17" s="127" t="str">
        <f t="shared" si="14"/>
        <v/>
      </c>
      <c r="AL17" s="127" t="str">
        <f t="shared" si="14"/>
        <v/>
      </c>
      <c r="AM17" s="127" t="str">
        <f t="shared" si="14"/>
        <v/>
      </c>
      <c r="AN17" s="127" t="str">
        <f t="shared" si="14"/>
        <v/>
      </c>
      <c r="AO17" s="127" t="str">
        <f t="shared" si="14"/>
        <v/>
      </c>
      <c r="AP17" s="127" t="str">
        <f t="shared" si="14"/>
        <v/>
      </c>
      <c r="AQ17" s="127" t="str">
        <f t="shared" si="14"/>
        <v/>
      </c>
      <c r="AR17" s="127" t="str">
        <f t="shared" si="14"/>
        <v/>
      </c>
      <c r="AS17" s="127" t="str">
        <f t="shared" si="14"/>
        <v/>
      </c>
      <c r="AT17" s="127" t="str">
        <f t="shared" si="14"/>
        <v/>
      </c>
      <c r="AU17" s="127" t="str">
        <f t="shared" si="14"/>
        <v/>
      </c>
      <c r="AV17" s="127" t="str">
        <f t="shared" si="14"/>
        <v/>
      </c>
      <c r="AW17" s="127" t="str">
        <f t="shared" si="14"/>
        <v/>
      </c>
      <c r="AX17" s="127" t="str">
        <f t="shared" si="14"/>
        <v/>
      </c>
      <c r="AY17" s="127" t="str">
        <f t="shared" si="14"/>
        <v/>
      </c>
      <c r="AZ17" s="127" t="str">
        <f t="shared" si="14"/>
        <v/>
      </c>
      <c r="BA17" s="127" t="str">
        <f t="shared" si="14"/>
        <v/>
      </c>
      <c r="BB17" s="127" t="str">
        <f t="shared" si="14"/>
        <v/>
      </c>
      <c r="BC17" s="127" t="str">
        <f t="shared" si="14"/>
        <v/>
      </c>
      <c r="BD17" s="127" t="str">
        <f t="shared" si="14"/>
        <v/>
      </c>
      <c r="BE17" s="127" t="str">
        <f t="shared" si="14"/>
        <v/>
      </c>
      <c r="BF17" s="127" t="str">
        <f t="shared" si="3"/>
        <v/>
      </c>
      <c r="BG17" s="127" t="str">
        <f t="shared" si="3"/>
        <v/>
      </c>
      <c r="BH17" s="127" t="str">
        <f t="shared" si="3"/>
        <v/>
      </c>
      <c r="BI17" s="127" t="str">
        <f t="shared" si="3"/>
        <v/>
      </c>
      <c r="BJ17" s="127" t="str">
        <f t="shared" si="3"/>
        <v/>
      </c>
      <c r="BK17" s="127" t="str">
        <f t="shared" si="3"/>
        <v/>
      </c>
      <c r="BL17" s="127" t="str">
        <f t="shared" si="3"/>
        <v/>
      </c>
      <c r="BM17" s="127" t="str">
        <f t="shared" si="3"/>
        <v/>
      </c>
      <c r="BN17" s="127" t="str">
        <f t="shared" si="3"/>
        <v/>
      </c>
      <c r="BO17" s="127" t="str">
        <f t="shared" si="3"/>
        <v/>
      </c>
      <c r="BP17" s="127" t="str">
        <f t="shared" si="3"/>
        <v/>
      </c>
      <c r="BQ17" s="127" t="str">
        <f t="shared" si="3"/>
        <v/>
      </c>
      <c r="BR17" s="127" t="str">
        <f t="shared" si="3"/>
        <v/>
      </c>
      <c r="BS17" s="127" t="str">
        <f t="shared" si="3"/>
        <v/>
      </c>
      <c r="BT17" s="127" t="str">
        <f t="shared" si="4"/>
        <v/>
      </c>
      <c r="BU17" s="127" t="str">
        <f t="shared" si="4"/>
        <v/>
      </c>
      <c r="BV17" s="127" t="str">
        <f t="shared" si="4"/>
        <v/>
      </c>
      <c r="BW17" s="127" t="str">
        <f t="shared" si="4"/>
        <v/>
      </c>
      <c r="BX17" s="127" t="str">
        <f t="shared" si="4"/>
        <v/>
      </c>
      <c r="BY17" s="127" t="str">
        <f t="shared" si="4"/>
        <v/>
      </c>
      <c r="BZ17" s="127" t="str">
        <f t="shared" si="4"/>
        <v/>
      </c>
      <c r="CA17" s="127" t="str">
        <f t="shared" si="4"/>
        <v/>
      </c>
      <c r="CB17" s="127" t="str">
        <f t="shared" si="4"/>
        <v/>
      </c>
      <c r="CC17" s="127" t="str">
        <f t="shared" si="4"/>
        <v/>
      </c>
      <c r="CD17" s="127" t="str">
        <f t="shared" si="4"/>
        <v/>
      </c>
      <c r="CE17" s="127" t="str">
        <f t="shared" si="4"/>
        <v/>
      </c>
    </row>
    <row r="18" spans="1:83" ht="12.75" customHeight="1" x14ac:dyDescent="0.2">
      <c r="A18" s="106">
        <f>SHIPMENTS!A24</f>
        <v>9015</v>
      </c>
      <c r="B18" s="106" t="str">
        <f>SHIPMENTS!B24</f>
        <v>15900- Mandaue City | Atty. Brando Raya</v>
      </c>
      <c r="C18" s="132">
        <f>SHIPMENTS!F24</f>
        <v>0.25600000000000001</v>
      </c>
      <c r="D18" s="107" t="str">
        <f>IF((SHIPMENTS!I24)=0,"",SHIPMENTS!I24)</f>
        <v>LCL</v>
      </c>
      <c r="E18" s="176">
        <f>IF((SHIPMENTS!G24)=0,"",SHIPMENTS!G24)</f>
        <v>46323</v>
      </c>
      <c r="F18" s="109">
        <f>VLOOKUP(A18,Items!$A$5:$J$1000,3,0)</f>
        <v>1</v>
      </c>
      <c r="G18" s="98">
        <f>VLOOKUP(A18,load!$A$4:$U$5001,4,0)</f>
        <v>0.8623333333333334</v>
      </c>
      <c r="H18" s="97">
        <f>Manhours!$C$19</f>
        <v>6</v>
      </c>
      <c r="I18" s="98">
        <f t="shared" si="5"/>
        <v>54.599999999999994</v>
      </c>
      <c r="J18" s="99">
        <f t="shared" si="6"/>
        <v>1.5793650793650797E-2</v>
      </c>
      <c r="K18" s="99">
        <f t="shared" si="7"/>
        <v>0.14372222222222225</v>
      </c>
      <c r="L18" s="98">
        <f t="shared" si="8"/>
        <v>0</v>
      </c>
      <c r="M18" s="98">
        <f t="shared" si="9"/>
        <v>0</v>
      </c>
      <c r="N18" s="181">
        <f t="shared" si="12"/>
        <v>46314.204136904758</v>
      </c>
      <c r="O18" s="181">
        <f t="shared" si="11"/>
        <v>46314.204136904758</v>
      </c>
      <c r="P18" s="112">
        <f>VLOOKUP(A18,SHIPMENTS!$A$7:$AP$76,40,0)</f>
        <v>1</v>
      </c>
      <c r="Q18" s="101"/>
      <c r="R18" s="127" t="str">
        <f t="shared" si="1"/>
        <v/>
      </c>
      <c r="S18" s="127" t="str">
        <f t="shared" si="14"/>
        <v/>
      </c>
      <c r="T18" s="127" t="str">
        <f t="shared" si="14"/>
        <v/>
      </c>
      <c r="U18" s="127" t="str">
        <f t="shared" si="14"/>
        <v/>
      </c>
      <c r="V18" s="127" t="str">
        <f t="shared" si="14"/>
        <v/>
      </c>
      <c r="W18" s="127" t="str">
        <f t="shared" si="14"/>
        <v/>
      </c>
      <c r="X18" s="127" t="str">
        <f t="shared" si="14"/>
        <v/>
      </c>
      <c r="Y18" s="127" t="str">
        <f t="shared" si="14"/>
        <v/>
      </c>
      <c r="Z18" s="127" t="str">
        <f t="shared" si="14"/>
        <v>▲</v>
      </c>
      <c r="AA18" s="127" t="str">
        <f t="shared" si="14"/>
        <v/>
      </c>
      <c r="AB18" s="127" t="str">
        <f t="shared" si="14"/>
        <v/>
      </c>
      <c r="AC18" s="127" t="str">
        <f t="shared" si="14"/>
        <v/>
      </c>
      <c r="AD18" s="127" t="str">
        <f t="shared" si="14"/>
        <v/>
      </c>
      <c r="AE18" s="127" t="str">
        <f t="shared" si="14"/>
        <v/>
      </c>
      <c r="AF18" s="127" t="str">
        <f t="shared" si="14"/>
        <v/>
      </c>
      <c r="AG18" s="127" t="str">
        <f t="shared" si="14"/>
        <v/>
      </c>
      <c r="AH18" s="127" t="str">
        <f t="shared" si="14"/>
        <v/>
      </c>
      <c r="AI18" s="127" t="str">
        <f t="shared" si="14"/>
        <v/>
      </c>
      <c r="AJ18" s="127" t="str">
        <f t="shared" si="14"/>
        <v/>
      </c>
      <c r="AK18" s="127" t="str">
        <f t="shared" si="14"/>
        <v/>
      </c>
      <c r="AL18" s="127" t="str">
        <f t="shared" si="14"/>
        <v/>
      </c>
      <c r="AM18" s="127" t="str">
        <f t="shared" si="14"/>
        <v/>
      </c>
      <c r="AN18" s="127" t="str">
        <f t="shared" si="14"/>
        <v/>
      </c>
      <c r="AO18" s="127" t="str">
        <f t="shared" si="14"/>
        <v/>
      </c>
      <c r="AP18" s="127" t="str">
        <f t="shared" si="14"/>
        <v/>
      </c>
      <c r="AQ18" s="127" t="str">
        <f t="shared" si="14"/>
        <v/>
      </c>
      <c r="AR18" s="127" t="str">
        <f t="shared" si="14"/>
        <v/>
      </c>
      <c r="AS18" s="127" t="str">
        <f t="shared" si="14"/>
        <v/>
      </c>
      <c r="AT18" s="127" t="str">
        <f t="shared" si="14"/>
        <v/>
      </c>
      <c r="AU18" s="127" t="str">
        <f t="shared" si="14"/>
        <v/>
      </c>
      <c r="AV18" s="127" t="str">
        <f t="shared" si="14"/>
        <v/>
      </c>
      <c r="AW18" s="127" t="str">
        <f t="shared" si="14"/>
        <v/>
      </c>
      <c r="AX18" s="127" t="str">
        <f t="shared" si="14"/>
        <v/>
      </c>
      <c r="AY18" s="127" t="str">
        <f t="shared" si="14"/>
        <v/>
      </c>
      <c r="AZ18" s="127" t="str">
        <f t="shared" si="14"/>
        <v/>
      </c>
      <c r="BA18" s="127" t="str">
        <f t="shared" si="14"/>
        <v/>
      </c>
      <c r="BB18" s="127" t="str">
        <f t="shared" si="14"/>
        <v/>
      </c>
      <c r="BC18" s="127" t="str">
        <f t="shared" si="14"/>
        <v/>
      </c>
      <c r="BD18" s="127" t="str">
        <f t="shared" si="14"/>
        <v/>
      </c>
      <c r="BE18" s="127" t="str">
        <f t="shared" si="14"/>
        <v/>
      </c>
      <c r="BF18" s="127" t="str">
        <f t="shared" si="3"/>
        <v/>
      </c>
      <c r="BG18" s="127" t="str">
        <f t="shared" si="3"/>
        <v/>
      </c>
      <c r="BH18" s="127" t="str">
        <f t="shared" si="3"/>
        <v/>
      </c>
      <c r="BI18" s="127" t="str">
        <f t="shared" si="3"/>
        <v/>
      </c>
      <c r="BJ18" s="127" t="str">
        <f t="shared" si="3"/>
        <v/>
      </c>
      <c r="BK18" s="127" t="str">
        <f t="shared" si="3"/>
        <v/>
      </c>
      <c r="BL18" s="127" t="str">
        <f t="shared" si="3"/>
        <v/>
      </c>
      <c r="BM18" s="127" t="str">
        <f t="shared" si="3"/>
        <v/>
      </c>
      <c r="BN18" s="127" t="str">
        <f t="shared" si="3"/>
        <v/>
      </c>
      <c r="BO18" s="127" t="str">
        <f t="shared" si="3"/>
        <v/>
      </c>
      <c r="BP18" s="127" t="str">
        <f t="shared" si="3"/>
        <v/>
      </c>
      <c r="BQ18" s="127" t="str">
        <f t="shared" si="3"/>
        <v/>
      </c>
      <c r="BR18" s="127" t="str">
        <f t="shared" si="3"/>
        <v/>
      </c>
      <c r="BS18" s="127" t="str">
        <f t="shared" si="3"/>
        <v/>
      </c>
      <c r="BT18" s="127" t="str">
        <f t="shared" si="4"/>
        <v/>
      </c>
      <c r="BU18" s="127" t="str">
        <f t="shared" si="4"/>
        <v/>
      </c>
      <c r="BV18" s="127" t="str">
        <f t="shared" si="4"/>
        <v/>
      </c>
      <c r="BW18" s="127" t="str">
        <f t="shared" si="4"/>
        <v/>
      </c>
      <c r="BX18" s="127" t="str">
        <f t="shared" si="4"/>
        <v/>
      </c>
      <c r="BY18" s="127" t="str">
        <f t="shared" si="4"/>
        <v/>
      </c>
      <c r="BZ18" s="127" t="str">
        <f t="shared" si="4"/>
        <v/>
      </c>
      <c r="CA18" s="127" t="str">
        <f t="shared" si="4"/>
        <v/>
      </c>
      <c r="CB18" s="127" t="str">
        <f t="shared" si="4"/>
        <v/>
      </c>
      <c r="CC18" s="127" t="str">
        <f t="shared" si="4"/>
        <v/>
      </c>
      <c r="CD18" s="127" t="str">
        <f t="shared" si="4"/>
        <v/>
      </c>
      <c r="CE18" s="127" t="str">
        <f t="shared" si="4"/>
        <v/>
      </c>
    </row>
    <row r="19" spans="1:83" ht="12.75" customHeight="1" x14ac:dyDescent="0.2">
      <c r="A19" s="106">
        <f>SHIPMENTS!A25</f>
        <v>9063</v>
      </c>
      <c r="B19" s="106" t="str">
        <f>SHIPMENTS!B25</f>
        <v>15900- Borongan City | Kookie Lim Uy / 3K Salon And Spa</v>
      </c>
      <c r="C19" s="132">
        <f>SHIPMENTS!F25</f>
        <v>0.12</v>
      </c>
      <c r="D19" s="107" t="str">
        <f>IF((SHIPMENTS!I25)=0,"",SHIPMENTS!I25)</f>
        <v/>
      </c>
      <c r="E19" s="176">
        <f>IF((SHIPMENTS!G25)=0,"",SHIPMENTS!G25)</f>
        <v>46323</v>
      </c>
      <c r="F19" s="109">
        <f>VLOOKUP(A19,Items!$A$5:$J$1000,3,0)</f>
        <v>1</v>
      </c>
      <c r="G19" s="98">
        <f>VLOOKUP(A19,load!$A$4:$U$5001,4,0)</f>
        <v>1.0538333333333334</v>
      </c>
      <c r="H19" s="97">
        <f>Manhours!$C$19</f>
        <v>6</v>
      </c>
      <c r="I19" s="98">
        <f t="shared" si="5"/>
        <v>54.599999999999994</v>
      </c>
      <c r="J19" s="99">
        <f t="shared" si="6"/>
        <v>1.9300976800976803E-2</v>
      </c>
      <c r="K19" s="99">
        <f t="shared" si="7"/>
        <v>0.1756388888888889</v>
      </c>
      <c r="L19" s="98">
        <f t="shared" si="8"/>
        <v>0</v>
      </c>
      <c r="M19" s="98">
        <f t="shared" si="9"/>
        <v>0</v>
      </c>
      <c r="N19" s="181">
        <f t="shared" si="12"/>
        <v>46314.204136904758</v>
      </c>
      <c r="O19" s="181">
        <f t="shared" si="11"/>
        <v>46314.204136904758</v>
      </c>
      <c r="P19" s="112">
        <f>VLOOKUP(A19,SHIPMENTS!$A$7:$AP$76,40,0)</f>
        <v>1</v>
      </c>
      <c r="Q19" s="101"/>
      <c r="R19" s="127" t="str">
        <f t="shared" si="1"/>
        <v/>
      </c>
      <c r="S19" s="127" t="str">
        <f t="shared" si="14"/>
        <v/>
      </c>
      <c r="T19" s="127" t="str">
        <f t="shared" si="14"/>
        <v/>
      </c>
      <c r="U19" s="127" t="str">
        <f t="shared" si="14"/>
        <v/>
      </c>
      <c r="V19" s="127" t="str">
        <f t="shared" si="14"/>
        <v/>
      </c>
      <c r="W19" s="127" t="str">
        <f t="shared" si="14"/>
        <v/>
      </c>
      <c r="X19" s="127" t="str">
        <f t="shared" si="14"/>
        <v/>
      </c>
      <c r="Y19" s="127" t="str">
        <f t="shared" si="14"/>
        <v/>
      </c>
      <c r="Z19" s="127" t="str">
        <f t="shared" si="14"/>
        <v>▲</v>
      </c>
      <c r="AA19" s="127" t="str">
        <f t="shared" si="14"/>
        <v/>
      </c>
      <c r="AB19" s="127" t="str">
        <f t="shared" si="14"/>
        <v/>
      </c>
      <c r="AC19" s="127" t="str">
        <f t="shared" si="14"/>
        <v/>
      </c>
      <c r="AD19" s="127" t="str">
        <f t="shared" si="14"/>
        <v/>
      </c>
      <c r="AE19" s="127" t="str">
        <f t="shared" si="14"/>
        <v/>
      </c>
      <c r="AF19" s="127" t="str">
        <f t="shared" si="14"/>
        <v/>
      </c>
      <c r="AG19" s="127" t="str">
        <f t="shared" si="14"/>
        <v/>
      </c>
      <c r="AH19" s="127" t="str">
        <f t="shared" si="14"/>
        <v/>
      </c>
      <c r="AI19" s="127" t="str">
        <f t="shared" si="14"/>
        <v/>
      </c>
      <c r="AJ19" s="127" t="str">
        <f t="shared" si="14"/>
        <v/>
      </c>
      <c r="AK19" s="127" t="str">
        <f t="shared" si="14"/>
        <v/>
      </c>
      <c r="AL19" s="127" t="str">
        <f t="shared" si="14"/>
        <v/>
      </c>
      <c r="AM19" s="127" t="str">
        <f t="shared" si="14"/>
        <v/>
      </c>
      <c r="AN19" s="127" t="str">
        <f t="shared" si="14"/>
        <v/>
      </c>
      <c r="AO19" s="127" t="str">
        <f t="shared" si="14"/>
        <v/>
      </c>
      <c r="AP19" s="127" t="str">
        <f t="shared" si="14"/>
        <v/>
      </c>
      <c r="AQ19" s="127" t="str">
        <f t="shared" si="14"/>
        <v/>
      </c>
      <c r="AR19" s="127" t="str">
        <f t="shared" si="14"/>
        <v/>
      </c>
      <c r="AS19" s="127" t="str">
        <f t="shared" si="14"/>
        <v/>
      </c>
      <c r="AT19" s="127" t="str">
        <f t="shared" si="14"/>
        <v/>
      </c>
      <c r="AU19" s="127" t="str">
        <f t="shared" si="14"/>
        <v/>
      </c>
      <c r="AV19" s="127" t="str">
        <f t="shared" si="14"/>
        <v/>
      </c>
      <c r="AW19" s="127" t="str">
        <f t="shared" si="14"/>
        <v/>
      </c>
      <c r="AX19" s="127" t="str">
        <f t="shared" si="14"/>
        <v/>
      </c>
      <c r="AY19" s="127" t="str">
        <f t="shared" si="14"/>
        <v/>
      </c>
      <c r="AZ19" s="127" t="str">
        <f t="shared" si="14"/>
        <v/>
      </c>
      <c r="BA19" s="127" t="str">
        <f t="shared" si="14"/>
        <v/>
      </c>
      <c r="BB19" s="127" t="str">
        <f t="shared" si="14"/>
        <v/>
      </c>
      <c r="BC19" s="127" t="str">
        <f t="shared" si="14"/>
        <v/>
      </c>
      <c r="BD19" s="127" t="str">
        <f t="shared" si="14"/>
        <v/>
      </c>
      <c r="BE19" s="127" t="str">
        <f t="shared" si="14"/>
        <v/>
      </c>
      <c r="BF19" s="127" t="str">
        <f t="shared" si="3"/>
        <v/>
      </c>
      <c r="BG19" s="127" t="str">
        <f t="shared" si="3"/>
        <v/>
      </c>
      <c r="BH19" s="127" t="str">
        <f t="shared" si="3"/>
        <v/>
      </c>
      <c r="BI19" s="127" t="str">
        <f t="shared" si="3"/>
        <v/>
      </c>
      <c r="BJ19" s="127" t="str">
        <f t="shared" si="3"/>
        <v/>
      </c>
      <c r="BK19" s="127" t="str">
        <f t="shared" si="3"/>
        <v/>
      </c>
      <c r="BL19" s="127" t="str">
        <f t="shared" si="3"/>
        <v/>
      </c>
      <c r="BM19" s="127" t="str">
        <f t="shared" si="3"/>
        <v/>
      </c>
      <c r="BN19" s="127" t="str">
        <f t="shared" si="3"/>
        <v/>
      </c>
      <c r="BO19" s="127" t="str">
        <f t="shared" si="3"/>
        <v/>
      </c>
      <c r="BP19" s="127" t="str">
        <f t="shared" si="3"/>
        <v/>
      </c>
      <c r="BQ19" s="127" t="str">
        <f t="shared" si="3"/>
        <v/>
      </c>
      <c r="BR19" s="127" t="str">
        <f t="shared" si="3"/>
        <v/>
      </c>
      <c r="BS19" s="127" t="str">
        <f t="shared" ref="BR19:CE34" si="15">IF($E19=BS$3,"▲","")</f>
        <v/>
      </c>
      <c r="BT19" s="127" t="str">
        <f t="shared" si="4"/>
        <v/>
      </c>
      <c r="BU19" s="127" t="str">
        <f t="shared" si="4"/>
        <v/>
      </c>
      <c r="BV19" s="127" t="str">
        <f t="shared" si="4"/>
        <v/>
      </c>
      <c r="BW19" s="127" t="str">
        <f t="shared" si="4"/>
        <v/>
      </c>
      <c r="BX19" s="127" t="str">
        <f t="shared" si="4"/>
        <v/>
      </c>
      <c r="BY19" s="127" t="str">
        <f t="shared" si="4"/>
        <v/>
      </c>
      <c r="BZ19" s="127" t="str">
        <f t="shared" si="4"/>
        <v/>
      </c>
      <c r="CA19" s="127" t="str">
        <f t="shared" si="4"/>
        <v/>
      </c>
      <c r="CB19" s="127" t="str">
        <f t="shared" si="4"/>
        <v/>
      </c>
      <c r="CC19" s="127" t="str">
        <f t="shared" si="4"/>
        <v/>
      </c>
      <c r="CD19" s="127" t="str">
        <f t="shared" si="4"/>
        <v/>
      </c>
      <c r="CE19" s="127" t="str">
        <f t="shared" si="4"/>
        <v/>
      </c>
    </row>
    <row r="20" spans="1:83" ht="12.75" customHeight="1" x14ac:dyDescent="0.2">
      <c r="A20" s="106">
        <f>SHIPMENTS!A26</f>
        <v>9131</v>
      </c>
      <c r="B20" s="106" t="str">
        <f>SHIPMENTS!B26</f>
        <v>15900- Cagayan De Oro |Kevin Anthony Pilapil Lagumbay</v>
      </c>
      <c r="C20" s="132">
        <f>SHIPMENTS!F26</f>
        <v>0.12</v>
      </c>
      <c r="D20" s="107" t="str">
        <f>IF((SHIPMENTS!I26)=0,"",SHIPMENTS!I26)</f>
        <v/>
      </c>
      <c r="E20" s="176">
        <f>IF((SHIPMENTS!G26)=0,"",SHIPMENTS!G26)</f>
        <v>46323</v>
      </c>
      <c r="F20" s="109">
        <f>VLOOKUP(A20,Items!$A$5:$J$1000,3,0)</f>
        <v>1</v>
      </c>
      <c r="G20" s="98">
        <f>VLOOKUP(A20,load!$A$4:$U$5001,4,0)</f>
        <v>1.0538333333333334</v>
      </c>
      <c r="H20" s="97">
        <f>Manhours!$C$19</f>
        <v>6</v>
      </c>
      <c r="I20" s="98">
        <f t="shared" si="5"/>
        <v>54.599999999999994</v>
      </c>
      <c r="J20" s="99">
        <f t="shared" si="6"/>
        <v>1.9300976800976803E-2</v>
      </c>
      <c r="K20" s="99">
        <f t="shared" si="7"/>
        <v>0.1756388888888889</v>
      </c>
      <c r="L20" s="98">
        <f t="shared" ref="L20:L27" si="16">IFERROR(J20-(J20*P20),0)</f>
        <v>0</v>
      </c>
      <c r="M20" s="98">
        <f t="shared" ref="M20:M27" si="17">IFERROR(K20-(K20*P20),0)</f>
        <v>0</v>
      </c>
      <c r="N20" s="181">
        <f t="shared" si="12"/>
        <v>46314.204136904758</v>
      </c>
      <c r="O20" s="181">
        <f t="shared" si="11"/>
        <v>46314.204136904758</v>
      </c>
      <c r="P20" s="112">
        <f>VLOOKUP(A20,SHIPMENTS!$A$7:$AP$76,40,0)</f>
        <v>1</v>
      </c>
      <c r="Q20" s="101"/>
      <c r="R20" s="127" t="str">
        <f t="shared" si="1"/>
        <v/>
      </c>
      <c r="S20" s="127" t="str">
        <f t="shared" si="14"/>
        <v/>
      </c>
      <c r="T20" s="127" t="str">
        <f t="shared" si="14"/>
        <v/>
      </c>
      <c r="U20" s="127" t="str">
        <f t="shared" si="14"/>
        <v/>
      </c>
      <c r="V20" s="127" t="str">
        <f t="shared" si="14"/>
        <v/>
      </c>
      <c r="W20" s="127" t="str">
        <f t="shared" si="14"/>
        <v/>
      </c>
      <c r="X20" s="127" t="str">
        <f t="shared" si="14"/>
        <v/>
      </c>
      <c r="Y20" s="127" t="str">
        <f t="shared" si="14"/>
        <v/>
      </c>
      <c r="Z20" s="127" t="str">
        <f t="shared" si="14"/>
        <v>▲</v>
      </c>
      <c r="AA20" s="127" t="str">
        <f t="shared" si="14"/>
        <v/>
      </c>
      <c r="AB20" s="127" t="str">
        <f t="shared" si="14"/>
        <v/>
      </c>
      <c r="AC20" s="127" t="str">
        <f t="shared" si="14"/>
        <v/>
      </c>
      <c r="AD20" s="127" t="str">
        <f t="shared" si="14"/>
        <v/>
      </c>
      <c r="AE20" s="127" t="str">
        <f t="shared" si="14"/>
        <v/>
      </c>
      <c r="AF20" s="127" t="str">
        <f t="shared" si="14"/>
        <v/>
      </c>
      <c r="AG20" s="127" t="str">
        <f t="shared" si="14"/>
        <v/>
      </c>
      <c r="AH20" s="127" t="str">
        <f t="shared" si="14"/>
        <v/>
      </c>
      <c r="AI20" s="127" t="str">
        <f t="shared" si="14"/>
        <v/>
      </c>
      <c r="AJ20" s="127" t="str">
        <f t="shared" si="14"/>
        <v/>
      </c>
      <c r="AK20" s="127" t="str">
        <f t="shared" si="14"/>
        <v/>
      </c>
      <c r="AL20" s="127" t="str">
        <f t="shared" si="14"/>
        <v/>
      </c>
      <c r="AM20" s="127" t="str">
        <f t="shared" si="14"/>
        <v/>
      </c>
      <c r="AN20" s="127" t="str">
        <f t="shared" si="14"/>
        <v/>
      </c>
      <c r="AO20" s="127" t="str">
        <f t="shared" si="14"/>
        <v/>
      </c>
      <c r="AP20" s="127" t="str">
        <f t="shared" si="14"/>
        <v/>
      </c>
      <c r="AQ20" s="127" t="str">
        <f t="shared" si="14"/>
        <v/>
      </c>
      <c r="AR20" s="127" t="str">
        <f t="shared" si="14"/>
        <v/>
      </c>
      <c r="AS20" s="127" t="str">
        <f t="shared" si="14"/>
        <v/>
      </c>
      <c r="AT20" s="127" t="str">
        <f t="shared" si="14"/>
        <v/>
      </c>
      <c r="AU20" s="127" t="str">
        <f t="shared" si="14"/>
        <v/>
      </c>
      <c r="AV20" s="127" t="str">
        <f t="shared" si="14"/>
        <v/>
      </c>
      <c r="AW20" s="127" t="str">
        <f t="shared" si="14"/>
        <v/>
      </c>
      <c r="AX20" s="127" t="str">
        <f t="shared" si="14"/>
        <v/>
      </c>
      <c r="AY20" s="127" t="str">
        <f t="shared" si="14"/>
        <v/>
      </c>
      <c r="AZ20" s="127" t="str">
        <f t="shared" si="14"/>
        <v/>
      </c>
      <c r="BA20" s="127" t="str">
        <f t="shared" si="14"/>
        <v/>
      </c>
      <c r="BB20" s="127" t="str">
        <f t="shared" si="14"/>
        <v/>
      </c>
      <c r="BC20" s="127" t="str">
        <f t="shared" si="14"/>
        <v/>
      </c>
      <c r="BD20" s="127" t="str">
        <f t="shared" si="14"/>
        <v/>
      </c>
      <c r="BE20" s="127" t="str">
        <f t="shared" si="14"/>
        <v/>
      </c>
      <c r="BF20" s="127" t="str">
        <f t="shared" si="3"/>
        <v/>
      </c>
      <c r="BG20" s="127" t="str">
        <f t="shared" si="3"/>
        <v/>
      </c>
      <c r="BH20" s="127" t="str">
        <f t="shared" si="3"/>
        <v/>
      </c>
      <c r="BI20" s="127" t="str">
        <f t="shared" si="3"/>
        <v/>
      </c>
      <c r="BJ20" s="127" t="str">
        <f t="shared" si="3"/>
        <v/>
      </c>
      <c r="BK20" s="127" t="str">
        <f t="shared" si="3"/>
        <v/>
      </c>
      <c r="BL20" s="127" t="str">
        <f t="shared" si="3"/>
        <v/>
      </c>
      <c r="BM20" s="127" t="str">
        <f t="shared" si="3"/>
        <v/>
      </c>
      <c r="BN20" s="127" t="str">
        <f t="shared" ref="BN20:CC35" si="18">IF($E20=BN$3,"▲","")</f>
        <v/>
      </c>
      <c r="BO20" s="127" t="str">
        <f t="shared" si="18"/>
        <v/>
      </c>
      <c r="BP20" s="127" t="str">
        <f t="shared" si="18"/>
        <v/>
      </c>
      <c r="BQ20" s="127" t="str">
        <f t="shared" si="18"/>
        <v/>
      </c>
      <c r="BR20" s="127" t="str">
        <f t="shared" si="15"/>
        <v/>
      </c>
      <c r="BS20" s="127" t="str">
        <f t="shared" si="15"/>
        <v/>
      </c>
      <c r="BT20" s="127" t="str">
        <f t="shared" si="4"/>
        <v/>
      </c>
      <c r="BU20" s="127" t="str">
        <f t="shared" si="4"/>
        <v/>
      </c>
      <c r="BV20" s="127" t="str">
        <f t="shared" si="4"/>
        <v/>
      </c>
      <c r="BW20" s="127" t="str">
        <f t="shared" si="4"/>
        <v/>
      </c>
      <c r="BX20" s="127" t="str">
        <f t="shared" si="4"/>
        <v/>
      </c>
      <c r="BY20" s="127" t="str">
        <f t="shared" si="4"/>
        <v/>
      </c>
      <c r="BZ20" s="127" t="str">
        <f t="shared" si="4"/>
        <v/>
      </c>
      <c r="CA20" s="127" t="str">
        <f t="shared" si="4"/>
        <v/>
      </c>
      <c r="CB20" s="127" t="str">
        <f t="shared" si="4"/>
        <v/>
      </c>
      <c r="CC20" s="127" t="str">
        <f t="shared" si="4"/>
        <v/>
      </c>
      <c r="CD20" s="127" t="str">
        <f t="shared" si="4"/>
        <v/>
      </c>
      <c r="CE20" s="127" t="str">
        <f t="shared" si="4"/>
        <v/>
      </c>
    </row>
    <row r="21" spans="1:83" ht="12.75" customHeight="1" x14ac:dyDescent="0.2">
      <c r="A21" s="106">
        <f>SHIPMENTS!A27</f>
        <v>9228</v>
      </c>
      <c r="B21" s="106" t="str">
        <f>SHIPMENTS!B27</f>
        <v>15900- Cebu City |Stephanie Sarmiento</v>
      </c>
      <c r="C21" s="132">
        <f>SHIPMENTS!F27</f>
        <v>0.16</v>
      </c>
      <c r="D21" s="107" t="str">
        <f>IF((SHIPMENTS!I27)=0,"",SHIPMENTS!I27)</f>
        <v/>
      </c>
      <c r="E21" s="176">
        <f>IF((SHIPMENTS!G27)=0,"",SHIPMENTS!G27)</f>
        <v>46323</v>
      </c>
      <c r="F21" s="109">
        <f>VLOOKUP(A21,Items!$A$5:$J$1000,3,0)</f>
        <v>1</v>
      </c>
      <c r="G21" s="98">
        <f>VLOOKUP(A21,load!$A$4:$U$5001,4,0)</f>
        <v>1.0428333333333333</v>
      </c>
      <c r="H21" s="97">
        <f>Manhours!$C$19</f>
        <v>6</v>
      </c>
      <c r="I21" s="98">
        <f t="shared" si="5"/>
        <v>54.599999999999994</v>
      </c>
      <c r="J21" s="99">
        <f t="shared" si="6"/>
        <v>1.90995115995116E-2</v>
      </c>
      <c r="K21" s="99">
        <f t="shared" si="7"/>
        <v>0.17380555555555555</v>
      </c>
      <c r="L21" s="98">
        <f t="shared" si="16"/>
        <v>0</v>
      </c>
      <c r="M21" s="98">
        <f t="shared" si="17"/>
        <v>0</v>
      </c>
      <c r="N21" s="181">
        <f t="shared" si="12"/>
        <v>46314.204136904758</v>
      </c>
      <c r="O21" s="181">
        <f t="shared" si="11"/>
        <v>46314.204136904758</v>
      </c>
      <c r="P21" s="112">
        <f>VLOOKUP(A21,SHIPMENTS!$A$7:$AP$76,40,0)</f>
        <v>1</v>
      </c>
      <c r="Q21" s="101"/>
      <c r="R21" s="127" t="str">
        <f t="shared" si="1"/>
        <v/>
      </c>
      <c r="S21" s="127" t="str">
        <f t="shared" si="14"/>
        <v/>
      </c>
      <c r="T21" s="127" t="str">
        <f t="shared" si="14"/>
        <v/>
      </c>
      <c r="U21" s="127" t="str">
        <f t="shared" si="14"/>
        <v/>
      </c>
      <c r="V21" s="127" t="str">
        <f t="shared" si="14"/>
        <v/>
      </c>
      <c r="W21" s="127" t="str">
        <f t="shared" si="14"/>
        <v/>
      </c>
      <c r="X21" s="127" t="str">
        <f t="shared" si="14"/>
        <v/>
      </c>
      <c r="Y21" s="127" t="str">
        <f t="shared" si="14"/>
        <v/>
      </c>
      <c r="Z21" s="127" t="str">
        <f t="shared" si="14"/>
        <v>▲</v>
      </c>
      <c r="AA21" s="127" t="str">
        <f t="shared" si="14"/>
        <v/>
      </c>
      <c r="AB21" s="127" t="str">
        <f t="shared" si="14"/>
        <v/>
      </c>
      <c r="AC21" s="127" t="str">
        <f t="shared" si="14"/>
        <v/>
      </c>
      <c r="AD21" s="127" t="str">
        <f t="shared" si="14"/>
        <v/>
      </c>
      <c r="AE21" s="127" t="str">
        <f t="shared" si="14"/>
        <v/>
      </c>
      <c r="AF21" s="127" t="str">
        <f t="shared" si="14"/>
        <v/>
      </c>
      <c r="AG21" s="127" t="str">
        <f t="shared" si="14"/>
        <v/>
      </c>
      <c r="AH21" s="127" t="str">
        <f t="shared" ref="AH21:BE21" si="19">IF($E21=AH$3,"▲","")</f>
        <v/>
      </c>
      <c r="AI21" s="127" t="str">
        <f t="shared" si="19"/>
        <v/>
      </c>
      <c r="AJ21" s="127" t="str">
        <f t="shared" si="19"/>
        <v/>
      </c>
      <c r="AK21" s="127" t="str">
        <f t="shared" si="19"/>
        <v/>
      </c>
      <c r="AL21" s="127" t="str">
        <f t="shared" si="19"/>
        <v/>
      </c>
      <c r="AM21" s="127" t="str">
        <f t="shared" si="19"/>
        <v/>
      </c>
      <c r="AN21" s="127" t="str">
        <f t="shared" si="19"/>
        <v/>
      </c>
      <c r="AO21" s="127" t="str">
        <f t="shared" si="19"/>
        <v/>
      </c>
      <c r="AP21" s="127" t="str">
        <f t="shared" si="19"/>
        <v/>
      </c>
      <c r="AQ21" s="127" t="str">
        <f t="shared" si="19"/>
        <v/>
      </c>
      <c r="AR21" s="127" t="str">
        <f t="shared" si="19"/>
        <v/>
      </c>
      <c r="AS21" s="127" t="str">
        <f t="shared" si="19"/>
        <v/>
      </c>
      <c r="AT21" s="127" t="str">
        <f t="shared" si="19"/>
        <v/>
      </c>
      <c r="AU21" s="127" t="str">
        <f t="shared" si="19"/>
        <v/>
      </c>
      <c r="AV21" s="127" t="str">
        <f t="shared" si="19"/>
        <v/>
      </c>
      <c r="AW21" s="127" t="str">
        <f t="shared" si="19"/>
        <v/>
      </c>
      <c r="AX21" s="127" t="str">
        <f t="shared" si="19"/>
        <v/>
      </c>
      <c r="AY21" s="127" t="str">
        <f t="shared" si="19"/>
        <v/>
      </c>
      <c r="AZ21" s="127" t="str">
        <f t="shared" si="19"/>
        <v/>
      </c>
      <c r="BA21" s="127" t="str">
        <f t="shared" si="19"/>
        <v/>
      </c>
      <c r="BB21" s="127" t="str">
        <f t="shared" si="19"/>
        <v/>
      </c>
      <c r="BC21" s="127" t="str">
        <f t="shared" si="19"/>
        <v/>
      </c>
      <c r="BD21" s="127" t="str">
        <f t="shared" si="19"/>
        <v/>
      </c>
      <c r="BE21" s="127" t="str">
        <f t="shared" si="19"/>
        <v/>
      </c>
      <c r="BF21" s="127" t="str">
        <f t="shared" si="3"/>
        <v/>
      </c>
      <c r="BG21" s="127" t="str">
        <f t="shared" si="3"/>
        <v/>
      </c>
      <c r="BH21" s="127" t="str">
        <f t="shared" si="3"/>
        <v/>
      </c>
      <c r="BI21" s="127" t="str">
        <f t="shared" si="3"/>
        <v/>
      </c>
      <c r="BJ21" s="127" t="str">
        <f t="shared" si="3"/>
        <v/>
      </c>
      <c r="BK21" s="127" t="str">
        <f t="shared" si="3"/>
        <v/>
      </c>
      <c r="BL21" s="127" t="str">
        <f t="shared" si="3"/>
        <v/>
      </c>
      <c r="BM21" s="127" t="str">
        <f t="shared" si="3"/>
        <v/>
      </c>
      <c r="BN21" s="127" t="str">
        <f t="shared" si="18"/>
        <v/>
      </c>
      <c r="BO21" s="127" t="str">
        <f t="shared" si="18"/>
        <v/>
      </c>
      <c r="BP21" s="127" t="str">
        <f t="shared" si="18"/>
        <v/>
      </c>
      <c r="BQ21" s="127" t="str">
        <f t="shared" si="18"/>
        <v/>
      </c>
      <c r="BR21" s="127" t="str">
        <f t="shared" si="15"/>
        <v/>
      </c>
      <c r="BS21" s="127" t="str">
        <f t="shared" si="15"/>
        <v/>
      </c>
      <c r="BT21" s="127" t="str">
        <f t="shared" si="4"/>
        <v/>
      </c>
      <c r="BU21" s="127" t="str">
        <f t="shared" si="4"/>
        <v/>
      </c>
      <c r="BV21" s="127" t="str">
        <f t="shared" si="4"/>
        <v/>
      </c>
      <c r="BW21" s="127" t="str">
        <f t="shared" si="4"/>
        <v/>
      </c>
      <c r="BX21" s="127" t="str">
        <f t="shared" si="4"/>
        <v/>
      </c>
      <c r="BY21" s="127" t="str">
        <f t="shared" si="4"/>
        <v/>
      </c>
      <c r="BZ21" s="127" t="str">
        <f t="shared" si="4"/>
        <v/>
      </c>
      <c r="CA21" s="127" t="str">
        <f t="shared" si="4"/>
        <v/>
      </c>
      <c r="CB21" s="127" t="str">
        <f t="shared" si="4"/>
        <v/>
      </c>
      <c r="CC21" s="127" t="str">
        <f t="shared" si="4"/>
        <v/>
      </c>
      <c r="CD21" s="127" t="str">
        <f t="shared" si="4"/>
        <v/>
      </c>
      <c r="CE21" s="127" t="str">
        <f t="shared" si="4"/>
        <v/>
      </c>
    </row>
    <row r="22" spans="1:83" ht="12.75" customHeight="1" x14ac:dyDescent="0.2">
      <c r="A22" s="106">
        <f>SHIPMENTS!A28</f>
        <v>9279</v>
      </c>
      <c r="B22" s="106" t="str">
        <f>SHIPMENTS!B28</f>
        <v>15900- Iloilo |Rocky Go</v>
      </c>
      <c r="C22" s="132">
        <f>SHIPMENTS!F28</f>
        <v>0.34820000000000001</v>
      </c>
      <c r="D22" s="107" t="str">
        <f>IF((SHIPMENTS!I28)=0,"",SHIPMENTS!I28)</f>
        <v/>
      </c>
      <c r="E22" s="176">
        <f>IF((SHIPMENTS!G28)=0,"",SHIPMENTS!G28)</f>
        <v>46323</v>
      </c>
      <c r="F22" s="109">
        <f>VLOOKUP(A22,Items!$A$5:$J$1000,3,0)</f>
        <v>1</v>
      </c>
      <c r="G22" s="98">
        <f>VLOOKUP(A22,load!$A$4:$U$5001,4,0)</f>
        <v>1.0676666666666668</v>
      </c>
      <c r="H22" s="97">
        <f>Manhours!$C$19</f>
        <v>6</v>
      </c>
      <c r="I22" s="98">
        <f t="shared" si="5"/>
        <v>54.599999999999994</v>
      </c>
      <c r="J22" s="99">
        <f t="shared" si="6"/>
        <v>1.9554334554334557E-2</v>
      </c>
      <c r="K22" s="99">
        <f t="shared" si="7"/>
        <v>0.17794444444444446</v>
      </c>
      <c r="L22" s="98">
        <f t="shared" si="16"/>
        <v>9.7771672771672785E-3</v>
      </c>
      <c r="M22" s="98">
        <f t="shared" si="17"/>
        <v>8.897222222222223E-2</v>
      </c>
      <c r="N22" s="181">
        <f t="shared" si="12"/>
        <v>46314.204136904758</v>
      </c>
      <c r="O22" s="181">
        <f t="shared" si="11"/>
        <v>46314.213914072032</v>
      </c>
      <c r="P22" s="112">
        <f>VLOOKUP(A22,SHIPMENTS!$A$7:$AP$76,40,0)</f>
        <v>0.5</v>
      </c>
      <c r="Q22" s="101"/>
      <c r="R22" s="127" t="str">
        <f t="shared" si="1"/>
        <v/>
      </c>
      <c r="S22" s="127" t="str">
        <f t="shared" ref="S22:BE28" si="20">IF($E22=S$3,"▲","")</f>
        <v/>
      </c>
      <c r="T22" s="127" t="str">
        <f t="shared" si="20"/>
        <v/>
      </c>
      <c r="U22" s="127" t="str">
        <f t="shared" si="20"/>
        <v/>
      </c>
      <c r="V22" s="127" t="str">
        <f t="shared" si="20"/>
        <v/>
      </c>
      <c r="W22" s="127" t="str">
        <f t="shared" si="20"/>
        <v/>
      </c>
      <c r="X22" s="127" t="str">
        <f t="shared" si="20"/>
        <v/>
      </c>
      <c r="Y22" s="127" t="str">
        <f t="shared" si="20"/>
        <v/>
      </c>
      <c r="Z22" s="127" t="str">
        <f t="shared" si="20"/>
        <v>▲</v>
      </c>
      <c r="AA22" s="127" t="str">
        <f t="shared" si="20"/>
        <v/>
      </c>
      <c r="AB22" s="127" t="str">
        <f t="shared" si="20"/>
        <v/>
      </c>
      <c r="AC22" s="127" t="str">
        <f t="shared" si="20"/>
        <v/>
      </c>
      <c r="AD22" s="127" t="str">
        <f t="shared" si="20"/>
        <v/>
      </c>
      <c r="AE22" s="127" t="str">
        <f t="shared" si="20"/>
        <v/>
      </c>
      <c r="AF22" s="127" t="str">
        <f t="shared" si="20"/>
        <v/>
      </c>
      <c r="AG22" s="127" t="str">
        <f t="shared" si="20"/>
        <v/>
      </c>
      <c r="AH22" s="127" t="str">
        <f t="shared" si="20"/>
        <v/>
      </c>
      <c r="AI22" s="127" t="str">
        <f t="shared" si="20"/>
        <v/>
      </c>
      <c r="AJ22" s="127" t="str">
        <f t="shared" si="20"/>
        <v/>
      </c>
      <c r="AK22" s="127" t="str">
        <f t="shared" si="20"/>
        <v/>
      </c>
      <c r="AL22" s="127" t="str">
        <f t="shared" si="20"/>
        <v/>
      </c>
      <c r="AM22" s="127" t="str">
        <f t="shared" si="20"/>
        <v/>
      </c>
      <c r="AN22" s="127" t="str">
        <f t="shared" si="20"/>
        <v/>
      </c>
      <c r="AO22" s="127" t="str">
        <f t="shared" si="20"/>
        <v/>
      </c>
      <c r="AP22" s="127" t="str">
        <f t="shared" si="20"/>
        <v/>
      </c>
      <c r="AQ22" s="127" t="str">
        <f t="shared" si="20"/>
        <v/>
      </c>
      <c r="AR22" s="127" t="str">
        <f t="shared" si="20"/>
        <v/>
      </c>
      <c r="AS22" s="127" t="str">
        <f t="shared" si="20"/>
        <v/>
      </c>
      <c r="AT22" s="127" t="str">
        <f t="shared" si="20"/>
        <v/>
      </c>
      <c r="AU22" s="127" t="str">
        <f t="shared" si="20"/>
        <v/>
      </c>
      <c r="AV22" s="127" t="str">
        <f t="shared" si="20"/>
        <v/>
      </c>
      <c r="AW22" s="127" t="str">
        <f t="shared" si="20"/>
        <v/>
      </c>
      <c r="AX22" s="127" t="str">
        <f t="shared" si="20"/>
        <v/>
      </c>
      <c r="AY22" s="127" t="str">
        <f t="shared" si="20"/>
        <v/>
      </c>
      <c r="AZ22" s="127" t="str">
        <f t="shared" si="20"/>
        <v/>
      </c>
      <c r="BA22" s="127" t="str">
        <f t="shared" si="20"/>
        <v/>
      </c>
      <c r="BB22" s="127" t="str">
        <f t="shared" si="20"/>
        <v/>
      </c>
      <c r="BC22" s="127" t="str">
        <f t="shared" si="20"/>
        <v/>
      </c>
      <c r="BD22" s="127" t="str">
        <f t="shared" si="20"/>
        <v/>
      </c>
      <c r="BE22" s="127" t="str">
        <f t="shared" si="20"/>
        <v/>
      </c>
      <c r="BF22" s="127" t="str">
        <f t="shared" si="3"/>
        <v/>
      </c>
      <c r="BG22" s="127" t="str">
        <f t="shared" si="3"/>
        <v/>
      </c>
      <c r="BH22" s="127" t="str">
        <f t="shared" si="3"/>
        <v/>
      </c>
      <c r="BI22" s="127" t="str">
        <f t="shared" si="3"/>
        <v/>
      </c>
      <c r="BJ22" s="127" t="str">
        <f t="shared" si="3"/>
        <v/>
      </c>
      <c r="BK22" s="127" t="str">
        <f t="shared" si="3"/>
        <v/>
      </c>
      <c r="BL22" s="127" t="str">
        <f t="shared" si="3"/>
        <v/>
      </c>
      <c r="BM22" s="127" t="str">
        <f t="shared" si="3"/>
        <v/>
      </c>
      <c r="BN22" s="127" t="str">
        <f t="shared" si="18"/>
        <v/>
      </c>
      <c r="BO22" s="127" t="str">
        <f t="shared" si="18"/>
        <v/>
      </c>
      <c r="BP22" s="127" t="str">
        <f t="shared" si="18"/>
        <v/>
      </c>
      <c r="BQ22" s="127" t="str">
        <f t="shared" si="18"/>
        <v/>
      </c>
      <c r="BR22" s="127" t="str">
        <f t="shared" si="15"/>
        <v/>
      </c>
      <c r="BS22" s="127" t="str">
        <f t="shared" si="15"/>
        <v/>
      </c>
      <c r="BT22" s="127" t="str">
        <f t="shared" si="4"/>
        <v/>
      </c>
      <c r="BU22" s="127" t="str">
        <f t="shared" si="4"/>
        <v/>
      </c>
      <c r="BV22" s="127" t="str">
        <f t="shared" si="4"/>
        <v/>
      </c>
      <c r="BW22" s="127" t="str">
        <f t="shared" si="4"/>
        <v/>
      </c>
      <c r="BX22" s="127" t="str">
        <f t="shared" si="4"/>
        <v/>
      </c>
      <c r="BY22" s="127" t="str">
        <f t="shared" si="4"/>
        <v/>
      </c>
      <c r="BZ22" s="127" t="str">
        <f t="shared" si="4"/>
        <v/>
      </c>
      <c r="CA22" s="127" t="str">
        <f t="shared" si="4"/>
        <v/>
      </c>
      <c r="CB22" s="127" t="str">
        <f t="shared" si="4"/>
        <v/>
      </c>
      <c r="CC22" s="127" t="str">
        <f t="shared" si="4"/>
        <v/>
      </c>
      <c r="CD22" s="127" t="str">
        <f t="shared" si="4"/>
        <v/>
      </c>
      <c r="CE22" s="127" t="str">
        <f t="shared" si="4"/>
        <v/>
      </c>
    </row>
    <row r="23" spans="1:83" ht="12.75" customHeight="1" x14ac:dyDescent="0.2">
      <c r="A23" s="106">
        <f>SHIPMENTS!A29</f>
        <v>8964</v>
      </c>
      <c r="B23" s="106" t="str">
        <f>SHIPMENTS!B29</f>
        <v>15900- Mandaue Warehouse</v>
      </c>
      <c r="C23" s="132">
        <f>SHIPMENTS!F29</f>
        <v>0.11</v>
      </c>
      <c r="D23" s="107" t="str">
        <f>IF((SHIPMENTS!I29)=0,"",SHIPMENTS!I29)</f>
        <v/>
      </c>
      <c r="E23" s="176">
        <f>IF((SHIPMENTS!G29)=0,"",SHIPMENTS!G29)</f>
        <v>46323</v>
      </c>
      <c r="F23" s="109">
        <f>VLOOKUP(A23,Items!$A$5:$J$1000,3,0)</f>
        <v>0</v>
      </c>
      <c r="G23" s="98">
        <f>VLOOKUP(A23,load!$A$4:$U$5001,4,0)</f>
        <v>0</v>
      </c>
      <c r="H23" s="97">
        <f>Manhours!$C$19</f>
        <v>6</v>
      </c>
      <c r="I23" s="98">
        <f t="shared" si="5"/>
        <v>54.599999999999994</v>
      </c>
      <c r="J23" s="99">
        <f t="shared" si="6"/>
        <v>0</v>
      </c>
      <c r="K23" s="99">
        <f t="shared" si="7"/>
        <v>0</v>
      </c>
      <c r="L23" s="98">
        <f t="shared" si="16"/>
        <v>0</v>
      </c>
      <c r="M23" s="98">
        <f t="shared" si="17"/>
        <v>0</v>
      </c>
      <c r="N23" s="181">
        <f t="shared" si="12"/>
        <v>46314.213914072032</v>
      </c>
      <c r="O23" s="181">
        <f t="shared" si="11"/>
        <v>46314.213914072032</v>
      </c>
      <c r="P23" s="112">
        <f>VLOOKUP(A23,SHIPMENTS!$A$7:$AP$76,40,0)</f>
        <v>1</v>
      </c>
      <c r="Q23" s="101"/>
      <c r="R23" s="127" t="str">
        <f t="shared" si="1"/>
        <v/>
      </c>
      <c r="S23" s="127" t="str">
        <f t="shared" si="20"/>
        <v/>
      </c>
      <c r="T23" s="127" t="str">
        <f t="shared" si="20"/>
        <v/>
      </c>
      <c r="U23" s="127" t="str">
        <f t="shared" si="20"/>
        <v/>
      </c>
      <c r="V23" s="127" t="str">
        <f t="shared" si="20"/>
        <v/>
      </c>
      <c r="W23" s="127" t="str">
        <f t="shared" si="20"/>
        <v/>
      </c>
      <c r="X23" s="127" t="str">
        <f t="shared" si="20"/>
        <v/>
      </c>
      <c r="Y23" s="127" t="str">
        <f t="shared" si="20"/>
        <v/>
      </c>
      <c r="Z23" s="127" t="str">
        <f t="shared" si="20"/>
        <v>▲</v>
      </c>
      <c r="AA23" s="127" t="str">
        <f t="shared" si="20"/>
        <v/>
      </c>
      <c r="AB23" s="127" t="str">
        <f t="shared" si="20"/>
        <v/>
      </c>
      <c r="AC23" s="127" t="str">
        <f t="shared" si="20"/>
        <v/>
      </c>
      <c r="AD23" s="127" t="str">
        <f t="shared" si="20"/>
        <v/>
      </c>
      <c r="AE23" s="127" t="str">
        <f t="shared" si="20"/>
        <v/>
      </c>
      <c r="AF23" s="127" t="str">
        <f t="shared" si="20"/>
        <v/>
      </c>
      <c r="AG23" s="127" t="str">
        <f t="shared" si="20"/>
        <v/>
      </c>
      <c r="AH23" s="127" t="str">
        <f t="shared" si="20"/>
        <v/>
      </c>
      <c r="AI23" s="127" t="str">
        <f t="shared" si="20"/>
        <v/>
      </c>
      <c r="AJ23" s="127" t="str">
        <f t="shared" si="20"/>
        <v/>
      </c>
      <c r="AK23" s="127" t="str">
        <f t="shared" si="20"/>
        <v/>
      </c>
      <c r="AL23" s="127" t="str">
        <f t="shared" si="20"/>
        <v/>
      </c>
      <c r="AM23" s="127" t="str">
        <f t="shared" si="20"/>
        <v/>
      </c>
      <c r="AN23" s="127" t="str">
        <f t="shared" si="20"/>
        <v/>
      </c>
      <c r="AO23" s="127" t="str">
        <f t="shared" si="20"/>
        <v/>
      </c>
      <c r="AP23" s="127" t="str">
        <f t="shared" si="20"/>
        <v/>
      </c>
      <c r="AQ23" s="127" t="str">
        <f t="shared" si="20"/>
        <v/>
      </c>
      <c r="AR23" s="127" t="str">
        <f t="shared" si="20"/>
        <v/>
      </c>
      <c r="AS23" s="127" t="str">
        <f t="shared" si="20"/>
        <v/>
      </c>
      <c r="AT23" s="127" t="str">
        <f t="shared" si="20"/>
        <v/>
      </c>
      <c r="AU23" s="127" t="str">
        <f t="shared" si="20"/>
        <v/>
      </c>
      <c r="AV23" s="127" t="str">
        <f t="shared" si="20"/>
        <v/>
      </c>
      <c r="AW23" s="127" t="str">
        <f t="shared" si="20"/>
        <v/>
      </c>
      <c r="AX23" s="127" t="str">
        <f t="shared" si="20"/>
        <v/>
      </c>
      <c r="AY23" s="127" t="str">
        <f t="shared" si="20"/>
        <v/>
      </c>
      <c r="AZ23" s="127" t="str">
        <f t="shared" si="20"/>
        <v/>
      </c>
      <c r="BA23" s="127" t="str">
        <f t="shared" si="20"/>
        <v/>
      </c>
      <c r="BB23" s="127" t="str">
        <f t="shared" si="20"/>
        <v/>
      </c>
      <c r="BC23" s="127" t="str">
        <f t="shared" si="20"/>
        <v/>
      </c>
      <c r="BD23" s="127" t="str">
        <f t="shared" si="20"/>
        <v/>
      </c>
      <c r="BE23" s="127" t="str">
        <f t="shared" si="20"/>
        <v/>
      </c>
      <c r="BF23" s="127" t="str">
        <f t="shared" si="3"/>
        <v/>
      </c>
      <c r="BG23" s="127" t="str">
        <f t="shared" si="3"/>
        <v/>
      </c>
      <c r="BH23" s="127" t="str">
        <f t="shared" si="3"/>
        <v/>
      </c>
      <c r="BI23" s="127" t="str">
        <f t="shared" si="3"/>
        <v/>
      </c>
      <c r="BJ23" s="127" t="str">
        <f t="shared" si="3"/>
        <v/>
      </c>
      <c r="BK23" s="127" t="str">
        <f t="shared" si="3"/>
        <v/>
      </c>
      <c r="BL23" s="127" t="str">
        <f t="shared" si="3"/>
        <v/>
      </c>
      <c r="BM23" s="127" t="str">
        <f t="shared" si="3"/>
        <v/>
      </c>
      <c r="BN23" s="127" t="str">
        <f t="shared" si="18"/>
        <v/>
      </c>
      <c r="BO23" s="127" t="str">
        <f t="shared" si="18"/>
        <v/>
      </c>
      <c r="BP23" s="127" t="str">
        <f t="shared" si="18"/>
        <v/>
      </c>
      <c r="BQ23" s="127" t="str">
        <f t="shared" si="18"/>
        <v/>
      </c>
      <c r="BR23" s="127" t="str">
        <f t="shared" si="15"/>
        <v/>
      </c>
      <c r="BS23" s="127" t="str">
        <f t="shared" si="15"/>
        <v/>
      </c>
      <c r="BT23" s="127" t="str">
        <f t="shared" si="4"/>
        <v/>
      </c>
      <c r="BU23" s="127" t="str">
        <f t="shared" si="4"/>
        <v/>
      </c>
      <c r="BV23" s="127" t="str">
        <f t="shared" si="4"/>
        <v/>
      </c>
      <c r="BW23" s="127" t="str">
        <f t="shared" si="4"/>
        <v/>
      </c>
      <c r="BX23" s="127" t="str">
        <f t="shared" si="4"/>
        <v/>
      </c>
      <c r="BY23" s="127" t="str">
        <f t="shared" si="4"/>
        <v/>
      </c>
      <c r="BZ23" s="127" t="str">
        <f t="shared" si="4"/>
        <v/>
      </c>
      <c r="CA23" s="127" t="str">
        <f t="shared" si="4"/>
        <v/>
      </c>
      <c r="CB23" s="127" t="str">
        <f t="shared" si="4"/>
        <v/>
      </c>
      <c r="CC23" s="127" t="str">
        <f t="shared" si="4"/>
        <v/>
      </c>
      <c r="CD23" s="127" t="str">
        <f t="shared" si="4"/>
        <v/>
      </c>
      <c r="CE23" s="127" t="str">
        <f t="shared" si="4"/>
        <v/>
      </c>
    </row>
    <row r="24" spans="1:83" ht="12.75" hidden="1" customHeight="1" x14ac:dyDescent="0.2">
      <c r="A24" s="106">
        <f>SHIPMENTS!A30</f>
        <v>9023</v>
      </c>
      <c r="B24" s="106" t="str">
        <f>SHIPMENTS!B30</f>
        <v>15900- Ubay | Danilo Varela</v>
      </c>
      <c r="C24" s="132">
        <f>SHIPMENTS!F30</f>
        <v>3.0849999999999999E-2</v>
      </c>
      <c r="D24" s="107" t="str">
        <f>IF((SHIPMENTS!I30)=0,"",SHIPMENTS!I30)</f>
        <v/>
      </c>
      <c r="E24" s="176">
        <f>IF((SHIPMENTS!G30)=0,"",SHIPMENTS!G30)</f>
        <v>46323</v>
      </c>
      <c r="F24" s="109">
        <f>VLOOKUP(A24,Items!$A$5:$J$1000,3,0)</f>
        <v>0</v>
      </c>
      <c r="G24" s="98">
        <f>VLOOKUP(A24,load!$A$4:$U$5001,4,0)</f>
        <v>0.73949999999999994</v>
      </c>
      <c r="H24" s="97">
        <f>Manhours!$C$19</f>
        <v>6</v>
      </c>
      <c r="I24" s="98">
        <f t="shared" si="5"/>
        <v>54.599999999999994</v>
      </c>
      <c r="J24" s="99">
        <f t="shared" si="6"/>
        <v>1.3543956043956045E-2</v>
      </c>
      <c r="K24" s="99">
        <f t="shared" si="7"/>
        <v>0.12325</v>
      </c>
      <c r="L24" s="98">
        <f t="shared" si="16"/>
        <v>0</v>
      </c>
      <c r="M24" s="98">
        <f t="shared" si="17"/>
        <v>0</v>
      </c>
      <c r="N24" s="181">
        <f t="shared" si="12"/>
        <v>46314.213914072032</v>
      </c>
      <c r="O24" s="181">
        <f t="shared" si="11"/>
        <v>46314.213914072032</v>
      </c>
      <c r="P24" s="112" t="str">
        <f>VLOOKUP(A24,SHIPMENTS!$A$7:$AP$76,40,0)</f>
        <v>n/a</v>
      </c>
      <c r="Q24" s="101"/>
      <c r="R24" s="127" t="str">
        <f t="shared" si="1"/>
        <v/>
      </c>
      <c r="S24" s="127" t="str">
        <f t="shared" si="20"/>
        <v/>
      </c>
      <c r="T24" s="127" t="str">
        <f t="shared" si="20"/>
        <v/>
      </c>
      <c r="U24" s="127" t="str">
        <f t="shared" si="20"/>
        <v/>
      </c>
      <c r="V24" s="127" t="str">
        <f t="shared" si="20"/>
        <v/>
      </c>
      <c r="W24" s="127" t="str">
        <f t="shared" si="20"/>
        <v/>
      </c>
      <c r="X24" s="127" t="str">
        <f t="shared" si="20"/>
        <v/>
      </c>
      <c r="Y24" s="127" t="str">
        <f t="shared" si="20"/>
        <v/>
      </c>
      <c r="Z24" s="127" t="str">
        <f t="shared" si="20"/>
        <v>▲</v>
      </c>
      <c r="AA24" s="127" t="str">
        <f t="shared" si="20"/>
        <v/>
      </c>
      <c r="AB24" s="127" t="str">
        <f t="shared" si="20"/>
        <v/>
      </c>
      <c r="AC24" s="127" t="str">
        <f t="shared" si="20"/>
        <v/>
      </c>
      <c r="AD24" s="127" t="str">
        <f t="shared" si="20"/>
        <v/>
      </c>
      <c r="AE24" s="127" t="str">
        <f t="shared" si="20"/>
        <v/>
      </c>
      <c r="AF24" s="127" t="str">
        <f t="shared" si="20"/>
        <v/>
      </c>
      <c r="AG24" s="127" t="str">
        <f t="shared" si="20"/>
        <v/>
      </c>
      <c r="AH24" s="127" t="str">
        <f t="shared" si="20"/>
        <v/>
      </c>
      <c r="AI24" s="127" t="str">
        <f t="shared" si="20"/>
        <v/>
      </c>
      <c r="AJ24" s="127" t="str">
        <f t="shared" si="20"/>
        <v/>
      </c>
      <c r="AK24" s="127" t="str">
        <f t="shared" si="20"/>
        <v/>
      </c>
      <c r="AL24" s="127" t="str">
        <f t="shared" si="20"/>
        <v/>
      </c>
      <c r="AM24" s="127" t="str">
        <f t="shared" si="20"/>
        <v/>
      </c>
      <c r="AN24" s="127" t="str">
        <f t="shared" si="20"/>
        <v/>
      </c>
      <c r="AO24" s="127" t="str">
        <f t="shared" si="20"/>
        <v/>
      </c>
      <c r="AP24" s="127" t="str">
        <f t="shared" si="20"/>
        <v/>
      </c>
      <c r="AQ24" s="127" t="str">
        <f t="shared" si="20"/>
        <v/>
      </c>
      <c r="AR24" s="127" t="str">
        <f t="shared" si="20"/>
        <v/>
      </c>
      <c r="AS24" s="127" t="str">
        <f t="shared" si="20"/>
        <v/>
      </c>
      <c r="AT24" s="127" t="str">
        <f t="shared" si="20"/>
        <v/>
      </c>
      <c r="AU24" s="127" t="str">
        <f t="shared" si="20"/>
        <v/>
      </c>
      <c r="AV24" s="127" t="str">
        <f t="shared" si="20"/>
        <v/>
      </c>
      <c r="AW24" s="127" t="str">
        <f t="shared" si="20"/>
        <v/>
      </c>
      <c r="AX24" s="127" t="str">
        <f t="shared" si="20"/>
        <v/>
      </c>
      <c r="AY24" s="127" t="str">
        <f t="shared" si="20"/>
        <v/>
      </c>
      <c r="AZ24" s="127" t="str">
        <f t="shared" si="20"/>
        <v/>
      </c>
      <c r="BA24" s="127" t="str">
        <f t="shared" si="20"/>
        <v/>
      </c>
      <c r="BB24" s="127" t="str">
        <f t="shared" si="20"/>
        <v/>
      </c>
      <c r="BC24" s="127" t="str">
        <f t="shared" si="20"/>
        <v/>
      </c>
      <c r="BD24" s="127" t="str">
        <f t="shared" si="20"/>
        <v/>
      </c>
      <c r="BE24" s="127" t="str">
        <f t="shared" si="20"/>
        <v/>
      </c>
      <c r="BF24" s="127" t="str">
        <f t="shared" si="3"/>
        <v/>
      </c>
      <c r="BG24" s="127" t="str">
        <f t="shared" si="3"/>
        <v/>
      </c>
      <c r="BH24" s="127" t="str">
        <f t="shared" si="3"/>
        <v/>
      </c>
      <c r="BI24" s="127" t="str">
        <f t="shared" si="3"/>
        <v/>
      </c>
      <c r="BJ24" s="127" t="str">
        <f t="shared" si="3"/>
        <v/>
      </c>
      <c r="BK24" s="127" t="str">
        <f t="shared" si="3"/>
        <v/>
      </c>
      <c r="BL24" s="127" t="str">
        <f t="shared" si="3"/>
        <v/>
      </c>
      <c r="BM24" s="127" t="str">
        <f t="shared" si="3"/>
        <v/>
      </c>
      <c r="BN24" s="127" t="str">
        <f t="shared" si="18"/>
        <v/>
      </c>
      <c r="BO24" s="127" t="str">
        <f t="shared" si="18"/>
        <v/>
      </c>
      <c r="BP24" s="127" t="str">
        <f t="shared" si="18"/>
        <v/>
      </c>
      <c r="BQ24" s="127" t="str">
        <f t="shared" si="18"/>
        <v/>
      </c>
      <c r="BR24" s="127" t="str">
        <f t="shared" si="15"/>
        <v/>
      </c>
      <c r="BS24" s="127" t="str">
        <f t="shared" si="15"/>
        <v/>
      </c>
      <c r="BT24" s="127" t="str">
        <f t="shared" si="15"/>
        <v/>
      </c>
      <c r="BU24" s="127" t="str">
        <f t="shared" si="15"/>
        <v/>
      </c>
      <c r="BV24" s="127" t="str">
        <f t="shared" si="15"/>
        <v/>
      </c>
      <c r="BW24" s="127" t="str">
        <f t="shared" si="15"/>
        <v/>
      </c>
      <c r="BX24" s="127" t="str">
        <f t="shared" si="15"/>
        <v/>
      </c>
      <c r="BY24" s="127" t="str">
        <f t="shared" si="15"/>
        <v/>
      </c>
      <c r="BZ24" s="127" t="str">
        <f t="shared" si="15"/>
        <v/>
      </c>
      <c r="CA24" s="127" t="str">
        <f t="shared" si="15"/>
        <v/>
      </c>
      <c r="CB24" s="127" t="str">
        <f t="shared" si="15"/>
        <v/>
      </c>
      <c r="CC24" s="127" t="str">
        <f t="shared" si="15"/>
        <v/>
      </c>
      <c r="CD24" s="127" t="str">
        <f t="shared" si="15"/>
        <v/>
      </c>
      <c r="CE24" s="127" t="str">
        <f t="shared" si="15"/>
        <v/>
      </c>
    </row>
    <row r="25" spans="1:83" ht="12.75" hidden="1" customHeight="1" x14ac:dyDescent="0.2">
      <c r="A25" s="106">
        <f>SHIPMENTS!A31</f>
        <v>9105</v>
      </c>
      <c r="B25" s="106" t="str">
        <f>SHIPMENTS!B31</f>
        <v>15900- Cebu City |Nelsar Alvar</v>
      </c>
      <c r="C25" s="132">
        <f>SHIPMENTS!F31</f>
        <v>1.35E-2</v>
      </c>
      <c r="D25" s="107" t="str">
        <f>IF((SHIPMENTS!I31)=0,"",SHIPMENTS!I31)</f>
        <v/>
      </c>
      <c r="E25" s="176">
        <f>IF((SHIPMENTS!G31)=0,"",SHIPMENTS!G31)</f>
        <v>46323</v>
      </c>
      <c r="F25" s="109">
        <f>VLOOKUP(A25,Items!$A$5:$J$1000,3,0)</f>
        <v>0</v>
      </c>
      <c r="G25" s="98">
        <f>VLOOKUP(A25,load!$A$4:$U$5001,4,0)</f>
        <v>0</v>
      </c>
      <c r="H25" s="97">
        <f>Manhours!$C$19</f>
        <v>6</v>
      </c>
      <c r="I25" s="98">
        <f t="shared" si="5"/>
        <v>54.599999999999994</v>
      </c>
      <c r="J25" s="99">
        <f t="shared" si="6"/>
        <v>0</v>
      </c>
      <c r="K25" s="99">
        <f t="shared" si="7"/>
        <v>0</v>
      </c>
      <c r="L25" s="98">
        <f t="shared" si="16"/>
        <v>0</v>
      </c>
      <c r="M25" s="98">
        <f t="shared" si="17"/>
        <v>0</v>
      </c>
      <c r="N25" s="181">
        <f t="shared" si="12"/>
        <v>46314.213914072032</v>
      </c>
      <c r="O25" s="181">
        <f t="shared" si="11"/>
        <v>46314.213914072032</v>
      </c>
      <c r="P25" s="112" t="str">
        <f>VLOOKUP(A25,SHIPMENTS!$A$7:$AP$76,40,0)</f>
        <v>n/a</v>
      </c>
      <c r="Q25" s="101"/>
      <c r="R25" s="127" t="str">
        <f t="shared" si="1"/>
        <v/>
      </c>
      <c r="S25" s="127" t="str">
        <f t="shared" si="20"/>
        <v/>
      </c>
      <c r="T25" s="127" t="str">
        <f t="shared" si="20"/>
        <v/>
      </c>
      <c r="U25" s="127" t="str">
        <f t="shared" si="20"/>
        <v/>
      </c>
      <c r="V25" s="127" t="str">
        <f t="shared" si="20"/>
        <v/>
      </c>
      <c r="W25" s="127" t="str">
        <f t="shared" si="20"/>
        <v/>
      </c>
      <c r="X25" s="127" t="str">
        <f t="shared" si="20"/>
        <v/>
      </c>
      <c r="Y25" s="127" t="str">
        <f t="shared" si="20"/>
        <v/>
      </c>
      <c r="Z25" s="127" t="str">
        <f t="shared" si="20"/>
        <v>▲</v>
      </c>
      <c r="AA25" s="127" t="str">
        <f t="shared" si="20"/>
        <v/>
      </c>
      <c r="AB25" s="127" t="str">
        <f t="shared" si="20"/>
        <v/>
      </c>
      <c r="AC25" s="127" t="str">
        <f t="shared" si="20"/>
        <v/>
      </c>
      <c r="AD25" s="127" t="str">
        <f t="shared" si="20"/>
        <v/>
      </c>
      <c r="AE25" s="127" t="str">
        <f t="shared" si="20"/>
        <v/>
      </c>
      <c r="AF25" s="127" t="str">
        <f t="shared" si="20"/>
        <v/>
      </c>
      <c r="AG25" s="127" t="str">
        <f t="shared" si="20"/>
        <v/>
      </c>
      <c r="AH25" s="127" t="str">
        <f t="shared" si="20"/>
        <v/>
      </c>
      <c r="AI25" s="127" t="str">
        <f t="shared" si="20"/>
        <v/>
      </c>
      <c r="AJ25" s="127" t="str">
        <f t="shared" si="20"/>
        <v/>
      </c>
      <c r="AK25" s="127" t="str">
        <f t="shared" si="20"/>
        <v/>
      </c>
      <c r="AL25" s="127" t="str">
        <f t="shared" si="20"/>
        <v/>
      </c>
      <c r="AM25" s="127" t="str">
        <f t="shared" si="20"/>
        <v/>
      </c>
      <c r="AN25" s="127" t="str">
        <f t="shared" si="20"/>
        <v/>
      </c>
      <c r="AO25" s="127" t="str">
        <f t="shared" si="20"/>
        <v/>
      </c>
      <c r="AP25" s="127" t="str">
        <f t="shared" si="20"/>
        <v/>
      </c>
      <c r="AQ25" s="127" t="str">
        <f t="shared" si="20"/>
        <v/>
      </c>
      <c r="AR25" s="127" t="str">
        <f t="shared" si="20"/>
        <v/>
      </c>
      <c r="AS25" s="127" t="str">
        <f t="shared" si="20"/>
        <v/>
      </c>
      <c r="AT25" s="127" t="str">
        <f t="shared" si="20"/>
        <v/>
      </c>
      <c r="AU25" s="127" t="str">
        <f t="shared" si="20"/>
        <v/>
      </c>
      <c r="AV25" s="127" t="str">
        <f t="shared" si="20"/>
        <v/>
      </c>
      <c r="AW25" s="127" t="str">
        <f t="shared" si="20"/>
        <v/>
      </c>
      <c r="AX25" s="127" t="str">
        <f t="shared" si="20"/>
        <v/>
      </c>
      <c r="AY25" s="127" t="str">
        <f t="shared" si="20"/>
        <v/>
      </c>
      <c r="AZ25" s="127" t="str">
        <f t="shared" si="20"/>
        <v/>
      </c>
      <c r="BA25" s="127" t="str">
        <f t="shared" si="20"/>
        <v/>
      </c>
      <c r="BB25" s="127" t="str">
        <f t="shared" si="20"/>
        <v/>
      </c>
      <c r="BC25" s="127" t="str">
        <f t="shared" si="20"/>
        <v/>
      </c>
      <c r="BD25" s="127" t="str">
        <f t="shared" si="20"/>
        <v/>
      </c>
      <c r="BE25" s="127" t="str">
        <f t="shared" si="20"/>
        <v/>
      </c>
      <c r="BF25" s="127" t="str">
        <f t="shared" si="3"/>
        <v/>
      </c>
      <c r="BG25" s="127" t="str">
        <f t="shared" si="3"/>
        <v/>
      </c>
      <c r="BH25" s="127" t="str">
        <f t="shared" si="3"/>
        <v/>
      </c>
      <c r="BI25" s="127" t="str">
        <f t="shared" si="3"/>
        <v/>
      </c>
      <c r="BJ25" s="127" t="str">
        <f t="shared" si="3"/>
        <v/>
      </c>
      <c r="BK25" s="127" t="str">
        <f t="shared" si="3"/>
        <v/>
      </c>
      <c r="BL25" s="127" t="str">
        <f t="shared" si="3"/>
        <v/>
      </c>
      <c r="BM25" s="127" t="str">
        <f t="shared" si="3"/>
        <v/>
      </c>
      <c r="BN25" s="127" t="str">
        <f t="shared" si="18"/>
        <v/>
      </c>
      <c r="BO25" s="127" t="str">
        <f t="shared" si="18"/>
        <v/>
      </c>
      <c r="BP25" s="127" t="str">
        <f t="shared" si="18"/>
        <v/>
      </c>
      <c r="BQ25" s="127" t="str">
        <f t="shared" si="18"/>
        <v/>
      </c>
      <c r="BR25" s="127" t="str">
        <f t="shared" si="15"/>
        <v/>
      </c>
      <c r="BS25" s="127" t="str">
        <f t="shared" si="15"/>
        <v/>
      </c>
      <c r="BT25" s="127" t="str">
        <f t="shared" si="15"/>
        <v/>
      </c>
      <c r="BU25" s="127" t="str">
        <f t="shared" si="15"/>
        <v/>
      </c>
      <c r="BV25" s="127" t="str">
        <f t="shared" si="15"/>
        <v/>
      </c>
      <c r="BW25" s="127" t="str">
        <f t="shared" si="15"/>
        <v/>
      </c>
      <c r="BX25" s="127" t="str">
        <f t="shared" si="15"/>
        <v/>
      </c>
      <c r="BY25" s="127" t="str">
        <f t="shared" si="15"/>
        <v/>
      </c>
      <c r="BZ25" s="127" t="str">
        <f t="shared" si="15"/>
        <v/>
      </c>
      <c r="CA25" s="127" t="str">
        <f t="shared" si="15"/>
        <v/>
      </c>
      <c r="CB25" s="127" t="str">
        <f t="shared" si="15"/>
        <v/>
      </c>
      <c r="CC25" s="127" t="str">
        <f t="shared" si="15"/>
        <v/>
      </c>
      <c r="CD25" s="127" t="str">
        <f t="shared" si="15"/>
        <v/>
      </c>
      <c r="CE25" s="127" t="str">
        <f t="shared" si="15"/>
        <v/>
      </c>
    </row>
    <row r="26" spans="1:83" ht="12.75" customHeight="1" x14ac:dyDescent="0.2">
      <c r="A26" s="106">
        <f>SHIPMENTS!A32</f>
        <v>9292</v>
      </c>
      <c r="B26" s="106" t="str">
        <f>SHIPMENTS!B32</f>
        <v>15900- Mandaue Warehouse</v>
      </c>
      <c r="C26" s="132">
        <f>SHIPMENTS!F32</f>
        <v>0.51459999999999995</v>
      </c>
      <c r="D26" s="107" t="str">
        <f>IF((SHIPMENTS!I32)=0,"",SHIPMENTS!I32)</f>
        <v/>
      </c>
      <c r="E26" s="176">
        <f>IF((SHIPMENTS!G32)=0,"",SHIPMENTS!G32)</f>
        <v>46323</v>
      </c>
      <c r="F26" s="109">
        <f>VLOOKUP(A26,Items!$A$5:$J$1000,3,0)</f>
        <v>7</v>
      </c>
      <c r="G26" s="98">
        <f>VLOOKUP(A26,load!$A$4:$U$5001,4,0)</f>
        <v>7.1479999999999997</v>
      </c>
      <c r="H26" s="97">
        <f>Manhours!$C$19</f>
        <v>6</v>
      </c>
      <c r="I26" s="98">
        <f t="shared" si="5"/>
        <v>54.599999999999994</v>
      </c>
      <c r="J26" s="99">
        <f t="shared" si="6"/>
        <v>0.13091575091575092</v>
      </c>
      <c r="K26" s="99">
        <f t="shared" si="7"/>
        <v>1.1913333333333334</v>
      </c>
      <c r="L26" s="98">
        <f t="shared" si="16"/>
        <v>0.13091575091575092</v>
      </c>
      <c r="M26" s="98">
        <f t="shared" si="17"/>
        <v>1.1913333333333334</v>
      </c>
      <c r="N26" s="181">
        <f t="shared" si="12"/>
        <v>46314.213914072032</v>
      </c>
      <c r="O26" s="181">
        <f t="shared" si="11"/>
        <v>46314.344829822949</v>
      </c>
      <c r="P26" s="112">
        <f>VLOOKUP(A26,SHIPMENTS!$A$7:$AP$76,40,0)</f>
        <v>0</v>
      </c>
      <c r="Q26" s="101"/>
      <c r="R26" s="127" t="str">
        <f t="shared" si="1"/>
        <v/>
      </c>
      <c r="S26" s="127" t="str">
        <f t="shared" si="20"/>
        <v/>
      </c>
      <c r="T26" s="127" t="str">
        <f t="shared" si="20"/>
        <v/>
      </c>
      <c r="U26" s="127" t="str">
        <f t="shared" si="20"/>
        <v/>
      </c>
      <c r="V26" s="127" t="str">
        <f t="shared" si="20"/>
        <v/>
      </c>
      <c r="W26" s="127" t="str">
        <f t="shared" si="20"/>
        <v/>
      </c>
      <c r="X26" s="127" t="str">
        <f t="shared" si="20"/>
        <v/>
      </c>
      <c r="Y26" s="127" t="str">
        <f t="shared" si="20"/>
        <v/>
      </c>
      <c r="Z26" s="127" t="str">
        <f t="shared" si="20"/>
        <v>▲</v>
      </c>
      <c r="AA26" s="127" t="str">
        <f t="shared" si="20"/>
        <v/>
      </c>
      <c r="AB26" s="127" t="str">
        <f t="shared" si="20"/>
        <v/>
      </c>
      <c r="AC26" s="127" t="str">
        <f t="shared" si="20"/>
        <v/>
      </c>
      <c r="AD26" s="127" t="str">
        <f t="shared" si="20"/>
        <v/>
      </c>
      <c r="AE26" s="127" t="str">
        <f t="shared" si="20"/>
        <v/>
      </c>
      <c r="AF26" s="127" t="str">
        <f t="shared" si="20"/>
        <v/>
      </c>
      <c r="AG26" s="127" t="str">
        <f t="shared" si="20"/>
        <v/>
      </c>
      <c r="AH26" s="127" t="str">
        <f t="shared" si="20"/>
        <v/>
      </c>
      <c r="AI26" s="127" t="str">
        <f t="shared" si="20"/>
        <v/>
      </c>
      <c r="AJ26" s="127" t="str">
        <f t="shared" si="20"/>
        <v/>
      </c>
      <c r="AK26" s="127" t="str">
        <f t="shared" si="20"/>
        <v/>
      </c>
      <c r="AL26" s="127" t="str">
        <f t="shared" si="20"/>
        <v/>
      </c>
      <c r="AM26" s="127" t="str">
        <f t="shared" si="20"/>
        <v/>
      </c>
      <c r="AN26" s="127" t="str">
        <f t="shared" si="20"/>
        <v/>
      </c>
      <c r="AO26" s="127" t="str">
        <f t="shared" si="20"/>
        <v/>
      </c>
      <c r="AP26" s="127" t="str">
        <f t="shared" si="20"/>
        <v/>
      </c>
      <c r="AQ26" s="127" t="str">
        <f t="shared" si="20"/>
        <v/>
      </c>
      <c r="AR26" s="127" t="str">
        <f t="shared" si="20"/>
        <v/>
      </c>
      <c r="AS26" s="127" t="str">
        <f t="shared" si="20"/>
        <v/>
      </c>
      <c r="AT26" s="127" t="str">
        <f t="shared" si="20"/>
        <v/>
      </c>
      <c r="AU26" s="127" t="str">
        <f t="shared" si="20"/>
        <v/>
      </c>
      <c r="AV26" s="127" t="str">
        <f t="shared" si="20"/>
        <v/>
      </c>
      <c r="AW26" s="127" t="str">
        <f t="shared" si="20"/>
        <v/>
      </c>
      <c r="AX26" s="127" t="str">
        <f t="shared" si="20"/>
        <v/>
      </c>
      <c r="AY26" s="127" t="str">
        <f t="shared" si="20"/>
        <v/>
      </c>
      <c r="AZ26" s="127" t="str">
        <f t="shared" si="20"/>
        <v/>
      </c>
      <c r="BA26" s="127" t="str">
        <f t="shared" si="20"/>
        <v/>
      </c>
      <c r="BB26" s="127" t="str">
        <f t="shared" si="20"/>
        <v/>
      </c>
      <c r="BC26" s="127" t="str">
        <f t="shared" si="20"/>
        <v/>
      </c>
      <c r="BD26" s="127" t="str">
        <f t="shared" si="20"/>
        <v/>
      </c>
      <c r="BE26" s="127" t="str">
        <f t="shared" si="20"/>
        <v/>
      </c>
      <c r="BF26" s="127" t="str">
        <f t="shared" si="3"/>
        <v/>
      </c>
      <c r="BG26" s="127" t="str">
        <f t="shared" si="3"/>
        <v/>
      </c>
      <c r="BH26" s="127" t="str">
        <f t="shared" si="3"/>
        <v/>
      </c>
      <c r="BI26" s="127" t="str">
        <f t="shared" si="3"/>
        <v/>
      </c>
      <c r="BJ26" s="127" t="str">
        <f t="shared" si="3"/>
        <v/>
      </c>
      <c r="BK26" s="127" t="str">
        <f t="shared" si="3"/>
        <v/>
      </c>
      <c r="BL26" s="127" t="str">
        <f t="shared" si="3"/>
        <v/>
      </c>
      <c r="BM26" s="127" t="str">
        <f t="shared" si="3"/>
        <v/>
      </c>
      <c r="BN26" s="127" t="str">
        <f t="shared" si="18"/>
        <v/>
      </c>
      <c r="BO26" s="127" t="str">
        <f t="shared" si="18"/>
        <v/>
      </c>
      <c r="BP26" s="127" t="str">
        <f t="shared" si="18"/>
        <v/>
      </c>
      <c r="BQ26" s="127" t="str">
        <f t="shared" si="18"/>
        <v/>
      </c>
      <c r="BR26" s="127" t="str">
        <f t="shared" si="15"/>
        <v/>
      </c>
      <c r="BS26" s="127" t="str">
        <f t="shared" si="15"/>
        <v/>
      </c>
      <c r="BT26" s="127" t="str">
        <f t="shared" si="15"/>
        <v/>
      </c>
      <c r="BU26" s="127" t="str">
        <f t="shared" si="15"/>
        <v/>
      </c>
      <c r="BV26" s="127" t="str">
        <f t="shared" si="15"/>
        <v/>
      </c>
      <c r="BW26" s="127" t="str">
        <f t="shared" si="15"/>
        <v/>
      </c>
      <c r="BX26" s="127" t="str">
        <f t="shared" si="15"/>
        <v/>
      </c>
      <c r="BY26" s="127" t="str">
        <f t="shared" si="15"/>
        <v/>
      </c>
      <c r="BZ26" s="127" t="str">
        <f t="shared" si="15"/>
        <v/>
      </c>
      <c r="CA26" s="127" t="str">
        <f t="shared" si="15"/>
        <v/>
      </c>
      <c r="CB26" s="127" t="str">
        <f t="shared" si="15"/>
        <v/>
      </c>
      <c r="CC26" s="127" t="str">
        <f t="shared" si="15"/>
        <v/>
      </c>
      <c r="CD26" s="127" t="str">
        <f t="shared" si="15"/>
        <v/>
      </c>
      <c r="CE26" s="127" t="str">
        <f t="shared" si="15"/>
        <v/>
      </c>
    </row>
    <row r="27" spans="1:83" ht="12.75" customHeight="1" x14ac:dyDescent="0.2">
      <c r="A27" s="106">
        <f>SHIPMENTS!A33</f>
        <v>9116</v>
      </c>
      <c r="B27" s="106" t="str">
        <f>SHIPMENTS!B33</f>
        <v>15900- Dagupan City |Kerwin Fernandez</v>
      </c>
      <c r="C27" s="132">
        <f>SHIPMENTS!F33</f>
        <v>0.17</v>
      </c>
      <c r="D27" s="107" t="str">
        <f>IF((SHIPMENTS!I33)=0,"",SHIPMENTS!I33)</f>
        <v>1X20</v>
      </c>
      <c r="E27" s="176">
        <f>IF((SHIPMENTS!G33)=0,"",SHIPMENTS!G33)</f>
        <v>46323</v>
      </c>
      <c r="F27" s="109">
        <f>VLOOKUP(A27,Items!$A$5:$J$1000,3,0)</f>
        <v>1</v>
      </c>
      <c r="G27" s="98">
        <f>VLOOKUP(A27,load!$A$4:$U$5001,4,0)</f>
        <v>1.0673333333333335</v>
      </c>
      <c r="H27" s="97">
        <f>Manhours!$C$19</f>
        <v>6</v>
      </c>
      <c r="I27" s="98">
        <f t="shared" si="5"/>
        <v>54.599999999999994</v>
      </c>
      <c r="J27" s="99">
        <f t="shared" si="6"/>
        <v>1.9548229548229552E-2</v>
      </c>
      <c r="K27" s="99">
        <f t="shared" si="7"/>
        <v>0.17788888888888893</v>
      </c>
      <c r="L27" s="98">
        <f t="shared" si="16"/>
        <v>0</v>
      </c>
      <c r="M27" s="98">
        <f t="shared" si="17"/>
        <v>0</v>
      </c>
      <c r="N27" s="181">
        <f t="shared" si="12"/>
        <v>46314.344829822949</v>
      </c>
      <c r="O27" s="181">
        <f t="shared" si="11"/>
        <v>46314.344829822949</v>
      </c>
      <c r="P27" s="112">
        <f>VLOOKUP(A27,SHIPMENTS!$A$7:$AP$76,40,0)</f>
        <v>1</v>
      </c>
      <c r="Q27" s="101"/>
      <c r="R27" s="127" t="str">
        <f t="shared" si="1"/>
        <v/>
      </c>
      <c r="S27" s="127" t="str">
        <f t="shared" si="20"/>
        <v/>
      </c>
      <c r="T27" s="127" t="str">
        <f t="shared" si="20"/>
        <v/>
      </c>
      <c r="U27" s="127" t="str">
        <f t="shared" si="20"/>
        <v/>
      </c>
      <c r="V27" s="127" t="str">
        <f t="shared" si="20"/>
        <v/>
      </c>
      <c r="W27" s="127" t="str">
        <f t="shared" si="20"/>
        <v/>
      </c>
      <c r="X27" s="127" t="str">
        <f t="shared" si="20"/>
        <v/>
      </c>
      <c r="Y27" s="127" t="str">
        <f t="shared" si="20"/>
        <v/>
      </c>
      <c r="Z27" s="127" t="str">
        <f t="shared" si="20"/>
        <v>▲</v>
      </c>
      <c r="AA27" s="127" t="str">
        <f t="shared" si="20"/>
        <v/>
      </c>
      <c r="AB27" s="127" t="str">
        <f t="shared" si="20"/>
        <v/>
      </c>
      <c r="AC27" s="127" t="str">
        <f t="shared" si="20"/>
        <v/>
      </c>
      <c r="AD27" s="127" t="str">
        <f t="shared" si="20"/>
        <v/>
      </c>
      <c r="AE27" s="127" t="str">
        <f t="shared" si="20"/>
        <v/>
      </c>
      <c r="AF27" s="127" t="str">
        <f t="shared" si="20"/>
        <v/>
      </c>
      <c r="AG27" s="127" t="str">
        <f t="shared" si="20"/>
        <v/>
      </c>
      <c r="AH27" s="127" t="str">
        <f t="shared" si="20"/>
        <v/>
      </c>
      <c r="AI27" s="127" t="str">
        <f t="shared" si="20"/>
        <v/>
      </c>
      <c r="AJ27" s="127" t="str">
        <f t="shared" si="20"/>
        <v/>
      </c>
      <c r="AK27" s="127" t="str">
        <f t="shared" si="20"/>
        <v/>
      </c>
      <c r="AL27" s="127" t="str">
        <f t="shared" si="20"/>
        <v/>
      </c>
      <c r="AM27" s="127" t="str">
        <f t="shared" si="20"/>
        <v/>
      </c>
      <c r="AN27" s="127" t="str">
        <f t="shared" si="20"/>
        <v/>
      </c>
      <c r="AO27" s="127" t="str">
        <f t="shared" si="20"/>
        <v/>
      </c>
      <c r="AP27" s="127" t="str">
        <f t="shared" si="20"/>
        <v/>
      </c>
      <c r="AQ27" s="127" t="str">
        <f t="shared" si="20"/>
        <v/>
      </c>
      <c r="AR27" s="127" t="str">
        <f t="shared" si="20"/>
        <v/>
      </c>
      <c r="AS27" s="127" t="str">
        <f t="shared" si="20"/>
        <v/>
      </c>
      <c r="AT27" s="127" t="str">
        <f t="shared" si="20"/>
        <v/>
      </c>
      <c r="AU27" s="127" t="str">
        <f t="shared" si="20"/>
        <v/>
      </c>
      <c r="AV27" s="127" t="str">
        <f t="shared" si="20"/>
        <v/>
      </c>
      <c r="AW27" s="127" t="str">
        <f t="shared" si="20"/>
        <v/>
      </c>
      <c r="AX27" s="127" t="str">
        <f t="shared" si="20"/>
        <v/>
      </c>
      <c r="AY27" s="127" t="str">
        <f t="shared" si="20"/>
        <v/>
      </c>
      <c r="AZ27" s="127" t="str">
        <f t="shared" si="20"/>
        <v/>
      </c>
      <c r="BA27" s="127" t="str">
        <f t="shared" si="20"/>
        <v/>
      </c>
      <c r="BB27" s="127" t="str">
        <f t="shared" si="20"/>
        <v/>
      </c>
      <c r="BC27" s="127" t="str">
        <f t="shared" si="20"/>
        <v/>
      </c>
      <c r="BD27" s="127" t="str">
        <f t="shared" si="20"/>
        <v/>
      </c>
      <c r="BE27" s="127" t="str">
        <f t="shared" si="20"/>
        <v/>
      </c>
      <c r="BF27" s="127" t="str">
        <f t="shared" si="3"/>
        <v/>
      </c>
      <c r="BG27" s="127" t="str">
        <f t="shared" si="3"/>
        <v/>
      </c>
      <c r="BH27" s="127" t="str">
        <f t="shared" si="3"/>
        <v/>
      </c>
      <c r="BI27" s="127" t="str">
        <f t="shared" si="3"/>
        <v/>
      </c>
      <c r="BJ27" s="127" t="str">
        <f t="shared" si="3"/>
        <v/>
      </c>
      <c r="BK27" s="127" t="str">
        <f t="shared" si="3"/>
        <v/>
      </c>
      <c r="BL27" s="127" t="str">
        <f t="shared" si="3"/>
        <v/>
      </c>
      <c r="BM27" s="127" t="str">
        <f t="shared" si="3"/>
        <v/>
      </c>
      <c r="BN27" s="127" t="str">
        <f t="shared" si="18"/>
        <v/>
      </c>
      <c r="BO27" s="127" t="str">
        <f t="shared" si="18"/>
        <v/>
      </c>
      <c r="BP27" s="127" t="str">
        <f t="shared" si="18"/>
        <v/>
      </c>
      <c r="BQ27" s="127" t="str">
        <f t="shared" si="18"/>
        <v/>
      </c>
      <c r="BR27" s="127" t="str">
        <f t="shared" si="15"/>
        <v/>
      </c>
      <c r="BS27" s="127" t="str">
        <f t="shared" si="15"/>
        <v/>
      </c>
      <c r="BT27" s="127" t="str">
        <f t="shared" si="15"/>
        <v/>
      </c>
      <c r="BU27" s="127" t="str">
        <f t="shared" si="15"/>
        <v/>
      </c>
      <c r="BV27" s="127" t="str">
        <f t="shared" si="15"/>
        <v/>
      </c>
      <c r="BW27" s="127" t="str">
        <f t="shared" si="15"/>
        <v/>
      </c>
      <c r="BX27" s="127" t="str">
        <f t="shared" si="15"/>
        <v/>
      </c>
      <c r="BY27" s="127" t="str">
        <f t="shared" si="15"/>
        <v/>
      </c>
      <c r="BZ27" s="127" t="str">
        <f t="shared" si="15"/>
        <v/>
      </c>
      <c r="CA27" s="127" t="str">
        <f t="shared" si="15"/>
        <v/>
      </c>
      <c r="CB27" s="127" t="str">
        <f t="shared" si="15"/>
        <v/>
      </c>
      <c r="CC27" s="127" t="str">
        <f t="shared" si="15"/>
        <v/>
      </c>
      <c r="CD27" s="127" t="str">
        <f t="shared" si="15"/>
        <v/>
      </c>
      <c r="CE27" s="127" t="str">
        <f t="shared" si="15"/>
        <v/>
      </c>
    </row>
    <row r="28" spans="1:83" ht="12.75" customHeight="1" x14ac:dyDescent="0.2">
      <c r="A28" s="106">
        <f>SHIPMENTS!A34</f>
        <v>9247</v>
      </c>
      <c r="B28" s="106" t="str">
        <f>SHIPMENTS!B34</f>
        <v>15900- Batangas City |Angela Joy Medes Mandigma</v>
      </c>
      <c r="C28" s="132">
        <f>SHIPMENTS!F34</f>
        <v>0.188</v>
      </c>
      <c r="D28" s="107" t="str">
        <f>IF((SHIPMENTS!I34)=0,"",SHIPMENTS!I34)</f>
        <v/>
      </c>
      <c r="E28" s="176">
        <f>IF((SHIPMENTS!G34)=0,"",SHIPMENTS!G34)</f>
        <v>46323</v>
      </c>
      <c r="F28" s="109">
        <f>VLOOKUP(A28,Items!$A$5:$J$1000,3,0)</f>
        <v>1</v>
      </c>
      <c r="G28" s="98">
        <f>VLOOKUP(A28,load!$A$4:$U$5001,4,0)</f>
        <v>1.0678333333333334</v>
      </c>
      <c r="H28" s="97">
        <f>Manhours!$C$19</f>
        <v>6</v>
      </c>
      <c r="I28" s="98">
        <f t="shared" ref="I28" si="21">+H28*$I$4</f>
        <v>54.599999999999994</v>
      </c>
      <c r="J28" s="99">
        <f t="shared" ref="J28" si="22">G28/I28</f>
        <v>1.9557387057387059E-2</v>
      </c>
      <c r="K28" s="99">
        <f t="shared" ref="K28" si="23">+J28*$I$4</f>
        <v>0.17797222222222223</v>
      </c>
      <c r="L28" s="98">
        <f t="shared" ref="L28" si="24">IFERROR(J28-(J28*P28),0)</f>
        <v>1.9557387057387059E-2</v>
      </c>
      <c r="M28" s="98">
        <f t="shared" ref="M28" si="25">IFERROR(K28-(K28*P28),0)</f>
        <v>0.17797222222222223</v>
      </c>
      <c r="N28" s="181">
        <f t="shared" si="12"/>
        <v>46314.344829822949</v>
      </c>
      <c r="O28" s="181">
        <f t="shared" si="11"/>
        <v>46314.364387210007</v>
      </c>
      <c r="P28" s="112">
        <f>VLOOKUP(A28,SHIPMENTS!$A$7:$AP$76,40,0)</f>
        <v>0</v>
      </c>
      <c r="Q28" s="101"/>
      <c r="R28" s="127" t="str">
        <f t="shared" si="1"/>
        <v/>
      </c>
      <c r="S28" s="127" t="str">
        <f t="shared" si="20"/>
        <v/>
      </c>
      <c r="T28" s="127" t="str">
        <f t="shared" si="20"/>
        <v/>
      </c>
      <c r="U28" s="127" t="str">
        <f t="shared" si="20"/>
        <v/>
      </c>
      <c r="V28" s="127" t="str">
        <f t="shared" si="20"/>
        <v/>
      </c>
      <c r="W28" s="127" t="str">
        <f t="shared" si="20"/>
        <v/>
      </c>
      <c r="X28" s="127" t="str">
        <f t="shared" si="20"/>
        <v/>
      </c>
      <c r="Y28" s="127" t="str">
        <f t="shared" si="20"/>
        <v/>
      </c>
      <c r="Z28" s="127" t="str">
        <f t="shared" si="20"/>
        <v>▲</v>
      </c>
      <c r="AA28" s="127" t="str">
        <f t="shared" si="20"/>
        <v/>
      </c>
      <c r="AB28" s="127" t="str">
        <f t="shared" si="20"/>
        <v/>
      </c>
      <c r="AC28" s="127" t="str">
        <f t="shared" si="20"/>
        <v/>
      </c>
      <c r="AD28" s="127" t="str">
        <f t="shared" si="20"/>
        <v/>
      </c>
      <c r="AE28" s="127" t="str">
        <f t="shared" si="20"/>
        <v/>
      </c>
      <c r="AF28" s="127" t="str">
        <f t="shared" si="20"/>
        <v/>
      </c>
      <c r="AG28" s="127" t="str">
        <f t="shared" si="20"/>
        <v/>
      </c>
      <c r="AH28" s="127" t="str">
        <f t="shared" si="20"/>
        <v/>
      </c>
      <c r="AI28" s="127" t="str">
        <f t="shared" si="20"/>
        <v/>
      </c>
      <c r="AJ28" s="127" t="str">
        <f t="shared" si="20"/>
        <v/>
      </c>
      <c r="AK28" s="127" t="str">
        <f t="shared" si="20"/>
        <v/>
      </c>
      <c r="AL28" s="127" t="str">
        <f t="shared" si="20"/>
        <v/>
      </c>
      <c r="AM28" s="127" t="str">
        <f t="shared" si="20"/>
        <v/>
      </c>
      <c r="AN28" s="127" t="str">
        <f t="shared" ref="AN28:BE42" si="26">IF($E28=AN$3,"▲","")</f>
        <v/>
      </c>
      <c r="AO28" s="127" t="str">
        <f t="shared" si="26"/>
        <v/>
      </c>
      <c r="AP28" s="127" t="str">
        <f t="shared" si="26"/>
        <v/>
      </c>
      <c r="AQ28" s="127" t="str">
        <f t="shared" si="26"/>
        <v/>
      </c>
      <c r="AR28" s="127" t="str">
        <f t="shared" si="26"/>
        <v/>
      </c>
      <c r="AS28" s="127" t="str">
        <f t="shared" si="26"/>
        <v/>
      </c>
      <c r="AT28" s="127" t="str">
        <f t="shared" si="26"/>
        <v/>
      </c>
      <c r="AU28" s="127" t="str">
        <f t="shared" si="26"/>
        <v/>
      </c>
      <c r="AV28" s="127" t="str">
        <f t="shared" si="26"/>
        <v/>
      </c>
      <c r="AW28" s="127" t="str">
        <f t="shared" si="26"/>
        <v/>
      </c>
      <c r="AX28" s="127" t="str">
        <f t="shared" si="26"/>
        <v/>
      </c>
      <c r="AY28" s="127" t="str">
        <f t="shared" si="26"/>
        <v/>
      </c>
      <c r="AZ28" s="127" t="str">
        <f t="shared" si="26"/>
        <v/>
      </c>
      <c r="BA28" s="127" t="str">
        <f t="shared" si="26"/>
        <v/>
      </c>
      <c r="BB28" s="127" t="str">
        <f t="shared" si="26"/>
        <v/>
      </c>
      <c r="BC28" s="127" t="str">
        <f t="shared" si="26"/>
        <v/>
      </c>
      <c r="BD28" s="127" t="str">
        <f t="shared" si="26"/>
        <v/>
      </c>
      <c r="BE28" s="127" t="str">
        <f t="shared" si="26"/>
        <v/>
      </c>
      <c r="BF28" s="127" t="str">
        <f t="shared" si="3"/>
        <v/>
      </c>
      <c r="BG28" s="127" t="str">
        <f t="shared" si="3"/>
        <v/>
      </c>
      <c r="BH28" s="127" t="str">
        <f t="shared" si="3"/>
        <v/>
      </c>
      <c r="BI28" s="127" t="str">
        <f t="shared" si="3"/>
        <v/>
      </c>
      <c r="BJ28" s="127" t="str">
        <f t="shared" si="3"/>
        <v/>
      </c>
      <c r="BK28" s="127" t="str">
        <f t="shared" si="3"/>
        <v/>
      </c>
      <c r="BL28" s="127" t="str">
        <f t="shared" si="3"/>
        <v/>
      </c>
      <c r="BM28" s="127" t="str">
        <f t="shared" si="3"/>
        <v/>
      </c>
      <c r="BN28" s="127" t="str">
        <f t="shared" si="18"/>
        <v/>
      </c>
      <c r="BO28" s="127" t="str">
        <f t="shared" si="18"/>
        <v/>
      </c>
      <c r="BP28" s="127" t="str">
        <f t="shared" si="18"/>
        <v/>
      </c>
      <c r="BQ28" s="127" t="str">
        <f t="shared" si="18"/>
        <v/>
      </c>
      <c r="BR28" s="127" t="str">
        <f t="shared" si="15"/>
        <v/>
      </c>
      <c r="BS28" s="127" t="str">
        <f t="shared" si="15"/>
        <v/>
      </c>
      <c r="BT28" s="127" t="str">
        <f t="shared" si="15"/>
        <v/>
      </c>
      <c r="BU28" s="127" t="str">
        <f t="shared" si="15"/>
        <v/>
      </c>
      <c r="BV28" s="127" t="str">
        <f t="shared" si="15"/>
        <v/>
      </c>
      <c r="BW28" s="127" t="str">
        <f t="shared" si="15"/>
        <v/>
      </c>
      <c r="BX28" s="127" t="str">
        <f t="shared" si="15"/>
        <v/>
      </c>
      <c r="BY28" s="127" t="str">
        <f t="shared" si="15"/>
        <v/>
      </c>
      <c r="BZ28" s="127" t="str">
        <f t="shared" si="15"/>
        <v/>
      </c>
      <c r="CA28" s="127" t="str">
        <f t="shared" si="15"/>
        <v/>
      </c>
      <c r="CB28" s="127" t="str">
        <f t="shared" si="15"/>
        <v/>
      </c>
      <c r="CC28" s="127" t="str">
        <f t="shared" si="15"/>
        <v/>
      </c>
      <c r="CD28" s="127" t="str">
        <f t="shared" si="15"/>
        <v/>
      </c>
      <c r="CE28" s="127" t="str">
        <f t="shared" si="15"/>
        <v/>
      </c>
    </row>
    <row r="29" spans="1:83" ht="12.75" customHeight="1" x14ac:dyDescent="0.2">
      <c r="A29" s="106">
        <f>SHIPMENTS!A35</f>
        <v>9302</v>
      </c>
      <c r="B29" s="106" t="str">
        <f>SHIPMENTS!B35</f>
        <v>15900- Binangonan Rizal |Dr. Jonathan Emmanuel Sandejas</v>
      </c>
      <c r="C29" s="132">
        <f>SHIPMENTS!F35</f>
        <v>0.14499999999999999</v>
      </c>
      <c r="D29" s="107" t="str">
        <f>IF((SHIPMENTS!I35)=0,"",SHIPMENTS!I35)</f>
        <v/>
      </c>
      <c r="E29" s="176">
        <f>IF((SHIPMENTS!G35)=0,"",SHIPMENTS!G35)</f>
        <v>46323</v>
      </c>
      <c r="F29" s="109">
        <f>VLOOKUP(A29,Items!$A$5:$J$1000,3,0)</f>
        <v>1</v>
      </c>
      <c r="G29" s="98">
        <f>VLOOKUP(A29,load!$A$4:$U$5001,4,0)</f>
        <v>1.0673333333333335</v>
      </c>
      <c r="H29" s="97">
        <f>Manhours!$C$19</f>
        <v>6</v>
      </c>
      <c r="I29" s="98">
        <f t="shared" ref="I29" si="27">+H29*$I$4</f>
        <v>54.599999999999994</v>
      </c>
      <c r="J29" s="99">
        <f t="shared" ref="J29" si="28">G29/I29</f>
        <v>1.9548229548229552E-2</v>
      </c>
      <c r="K29" s="99">
        <f t="shared" ref="K29" si="29">+J29*$I$4</f>
        <v>0.17788888888888893</v>
      </c>
      <c r="L29" s="98">
        <f t="shared" ref="L29" si="30">IFERROR(J29-(J29*P29),0)</f>
        <v>1.9548229548229552E-2</v>
      </c>
      <c r="M29" s="98">
        <f t="shared" ref="M29" si="31">IFERROR(K29-(K29*P29),0)</f>
        <v>0.17788888888888893</v>
      </c>
      <c r="N29" s="181">
        <f t="shared" si="12"/>
        <v>46314.364387210007</v>
      </c>
      <c r="O29" s="181">
        <f t="shared" si="11"/>
        <v>46314.383935439553</v>
      </c>
      <c r="P29" s="112">
        <f>VLOOKUP(A29,SHIPMENTS!$A$7:$AP$76,40,0)</f>
        <v>0</v>
      </c>
      <c r="Q29" s="101"/>
      <c r="R29" s="127" t="str">
        <f t="shared" si="1"/>
        <v/>
      </c>
      <c r="S29" s="127" t="str">
        <f t="shared" si="1"/>
        <v/>
      </c>
      <c r="T29" s="127" t="str">
        <f t="shared" si="1"/>
        <v/>
      </c>
      <c r="U29" s="127" t="str">
        <f t="shared" si="1"/>
        <v/>
      </c>
      <c r="V29" s="127" t="str">
        <f t="shared" si="1"/>
        <v/>
      </c>
      <c r="W29" s="127" t="str">
        <f t="shared" si="1"/>
        <v/>
      </c>
      <c r="X29" s="127" t="str">
        <f t="shared" si="1"/>
        <v/>
      </c>
      <c r="Y29" s="127" t="str">
        <f t="shared" si="1"/>
        <v/>
      </c>
      <c r="Z29" s="127" t="str">
        <f t="shared" si="1"/>
        <v>▲</v>
      </c>
      <c r="AA29" s="127" t="str">
        <f t="shared" si="1"/>
        <v/>
      </c>
      <c r="AB29" s="127" t="str">
        <f t="shared" si="1"/>
        <v/>
      </c>
      <c r="AC29" s="127" t="str">
        <f t="shared" si="1"/>
        <v/>
      </c>
      <c r="AD29" s="127" t="str">
        <f t="shared" si="1"/>
        <v/>
      </c>
      <c r="AE29" s="127" t="str">
        <f t="shared" si="1"/>
        <v/>
      </c>
      <c r="AF29" s="127" t="str">
        <f t="shared" si="1"/>
        <v/>
      </c>
      <c r="AG29" s="127" t="str">
        <f t="shared" si="1"/>
        <v/>
      </c>
      <c r="AH29" s="127" t="str">
        <f t="shared" ref="AH29:AW44" si="32">IF($E29=AH$3,"▲","")</f>
        <v/>
      </c>
      <c r="AI29" s="127" t="str">
        <f t="shared" si="32"/>
        <v/>
      </c>
      <c r="AJ29" s="127" t="str">
        <f t="shared" si="32"/>
        <v/>
      </c>
      <c r="AK29" s="127" t="str">
        <f t="shared" si="32"/>
        <v/>
      </c>
      <c r="AL29" s="127" t="str">
        <f t="shared" si="32"/>
        <v/>
      </c>
      <c r="AM29" s="127" t="str">
        <f t="shared" si="32"/>
        <v/>
      </c>
      <c r="AN29" s="127" t="str">
        <f t="shared" si="26"/>
        <v/>
      </c>
      <c r="AO29" s="127" t="str">
        <f t="shared" si="26"/>
        <v/>
      </c>
      <c r="AP29" s="127" t="str">
        <f t="shared" si="26"/>
        <v/>
      </c>
      <c r="AQ29" s="127" t="str">
        <f t="shared" si="26"/>
        <v/>
      </c>
      <c r="AR29" s="127" t="str">
        <f t="shared" si="26"/>
        <v/>
      </c>
      <c r="AS29" s="127" t="str">
        <f t="shared" si="26"/>
        <v/>
      </c>
      <c r="AT29" s="127" t="str">
        <f t="shared" si="26"/>
        <v/>
      </c>
      <c r="AU29" s="127" t="str">
        <f t="shared" si="26"/>
        <v/>
      </c>
      <c r="AV29" s="127" t="str">
        <f t="shared" si="26"/>
        <v/>
      </c>
      <c r="AW29" s="127" t="str">
        <f t="shared" si="26"/>
        <v/>
      </c>
      <c r="AX29" s="127" t="str">
        <f t="shared" si="26"/>
        <v/>
      </c>
      <c r="AY29" s="127" t="str">
        <f t="shared" si="26"/>
        <v/>
      </c>
      <c r="AZ29" s="127" t="str">
        <f t="shared" si="26"/>
        <v/>
      </c>
      <c r="BA29" s="127" t="str">
        <f t="shared" si="26"/>
        <v/>
      </c>
      <c r="BB29" s="127" t="str">
        <f t="shared" si="26"/>
        <v/>
      </c>
      <c r="BC29" s="127" t="str">
        <f t="shared" si="26"/>
        <v/>
      </c>
      <c r="BD29" s="127" t="str">
        <f t="shared" si="26"/>
        <v/>
      </c>
      <c r="BE29" s="127" t="str">
        <f t="shared" si="26"/>
        <v/>
      </c>
      <c r="BF29" s="127" t="str">
        <f t="shared" si="3"/>
        <v/>
      </c>
      <c r="BG29" s="127" t="str">
        <f t="shared" si="3"/>
        <v/>
      </c>
      <c r="BH29" s="127" t="str">
        <f t="shared" si="3"/>
        <v/>
      </c>
      <c r="BI29" s="127" t="str">
        <f t="shared" si="3"/>
        <v/>
      </c>
      <c r="BJ29" s="127" t="str">
        <f t="shared" si="3"/>
        <v/>
      </c>
      <c r="BK29" s="127" t="str">
        <f t="shared" si="3"/>
        <v/>
      </c>
      <c r="BL29" s="127" t="str">
        <f t="shared" si="3"/>
        <v/>
      </c>
      <c r="BM29" s="127" t="str">
        <f t="shared" si="3"/>
        <v/>
      </c>
      <c r="BN29" s="127" t="str">
        <f t="shared" si="18"/>
        <v/>
      </c>
      <c r="BO29" s="127" t="str">
        <f t="shared" si="18"/>
        <v/>
      </c>
      <c r="BP29" s="127" t="str">
        <f t="shared" si="18"/>
        <v/>
      </c>
      <c r="BQ29" s="127" t="str">
        <f t="shared" si="18"/>
        <v/>
      </c>
      <c r="BR29" s="127" t="str">
        <f t="shared" si="15"/>
        <v/>
      </c>
      <c r="BS29" s="127" t="str">
        <f t="shared" si="15"/>
        <v/>
      </c>
      <c r="BT29" s="127" t="str">
        <f t="shared" si="15"/>
        <v/>
      </c>
      <c r="BU29" s="127" t="str">
        <f t="shared" si="15"/>
        <v/>
      </c>
      <c r="BV29" s="127" t="str">
        <f t="shared" si="15"/>
        <v/>
      </c>
      <c r="BW29" s="127" t="str">
        <f t="shared" si="15"/>
        <v/>
      </c>
      <c r="BX29" s="127" t="str">
        <f t="shared" si="15"/>
        <v/>
      </c>
      <c r="BY29" s="127" t="str">
        <f t="shared" si="15"/>
        <v/>
      </c>
      <c r="BZ29" s="127" t="str">
        <f t="shared" si="15"/>
        <v/>
      </c>
      <c r="CA29" s="127" t="str">
        <f t="shared" si="15"/>
        <v/>
      </c>
      <c r="CB29" s="127" t="str">
        <f t="shared" si="15"/>
        <v/>
      </c>
      <c r="CC29" s="127" t="str">
        <f t="shared" si="15"/>
        <v/>
      </c>
      <c r="CD29" s="127" t="str">
        <f t="shared" si="15"/>
        <v/>
      </c>
      <c r="CE29" s="127" t="str">
        <f t="shared" si="15"/>
        <v/>
      </c>
    </row>
    <row r="30" spans="1:83" ht="12.75" hidden="1" customHeight="1" x14ac:dyDescent="0.2">
      <c r="A30" s="106">
        <f>SHIPMENTS!A36</f>
        <v>8954</v>
      </c>
      <c r="B30" s="106" t="str">
        <f>SHIPMENTS!B36</f>
        <v>15900- Cainta Rizal | Mary Baquiran</v>
      </c>
      <c r="C30" s="132">
        <f>SHIPMENTS!F36</f>
        <v>6.4999999999999997E-3</v>
      </c>
      <c r="D30" s="107" t="str">
        <f>IF((SHIPMENTS!I36)=0,"",SHIPMENTS!I36)</f>
        <v/>
      </c>
      <c r="E30" s="176">
        <f>IF((SHIPMENTS!G36)=0,"",SHIPMENTS!G36)</f>
        <v>46323</v>
      </c>
      <c r="F30" s="109">
        <f>VLOOKUP(A30,Items!$A$5:$J$1000,3,0)</f>
        <v>0</v>
      </c>
      <c r="G30" s="98">
        <f>VLOOKUP(A30,load!$A$4:$U$5001,4,0)</f>
        <v>0</v>
      </c>
      <c r="H30" s="97">
        <f>Manhours!$C$19</f>
        <v>6</v>
      </c>
      <c r="I30" s="98">
        <f t="shared" ref="I30:I32" si="33">+H30*$I$4</f>
        <v>54.599999999999994</v>
      </c>
      <c r="J30" s="99">
        <f t="shared" ref="J30:J32" si="34">G30/I30</f>
        <v>0</v>
      </c>
      <c r="K30" s="99">
        <f t="shared" ref="K30:K32" si="35">+J30*$I$4</f>
        <v>0</v>
      </c>
      <c r="L30" s="98">
        <f t="shared" ref="L30:L32" si="36">IFERROR(J30-(J30*P30),0)</f>
        <v>0</v>
      </c>
      <c r="M30" s="98">
        <f t="shared" ref="M30:M32" si="37">IFERROR(K30-(K30*P30),0)</f>
        <v>0</v>
      </c>
      <c r="N30" s="181">
        <f t="shared" si="12"/>
        <v>46314.383935439553</v>
      </c>
      <c r="O30" s="181">
        <f t="shared" si="11"/>
        <v>46314.383935439553</v>
      </c>
      <c r="P30" s="112" t="str">
        <f>VLOOKUP(A30,SHIPMENTS!$A$7:$AP$76,40,0)</f>
        <v>n/a</v>
      </c>
      <c r="Q30" s="101"/>
      <c r="R30" s="127" t="str">
        <f t="shared" si="1"/>
        <v/>
      </c>
      <c r="S30" s="127" t="str">
        <f t="shared" si="1"/>
        <v/>
      </c>
      <c r="T30" s="127" t="str">
        <f t="shared" si="1"/>
        <v/>
      </c>
      <c r="U30" s="127" t="str">
        <f t="shared" si="1"/>
        <v/>
      </c>
      <c r="V30" s="127" t="str">
        <f t="shared" si="1"/>
        <v/>
      </c>
      <c r="W30" s="127" t="str">
        <f t="shared" si="1"/>
        <v/>
      </c>
      <c r="X30" s="127" t="str">
        <f t="shared" si="1"/>
        <v/>
      </c>
      <c r="Y30" s="127" t="str">
        <f t="shared" si="1"/>
        <v/>
      </c>
      <c r="Z30" s="127" t="str">
        <f t="shared" si="1"/>
        <v>▲</v>
      </c>
      <c r="AA30" s="127" t="str">
        <f t="shared" si="1"/>
        <v/>
      </c>
      <c r="AB30" s="127" t="str">
        <f t="shared" si="1"/>
        <v/>
      </c>
      <c r="AC30" s="127" t="str">
        <f t="shared" si="1"/>
        <v/>
      </c>
      <c r="AD30" s="127" t="str">
        <f t="shared" si="1"/>
        <v/>
      </c>
      <c r="AE30" s="127" t="str">
        <f t="shared" si="1"/>
        <v/>
      </c>
      <c r="AF30" s="127" t="str">
        <f t="shared" si="1"/>
        <v/>
      </c>
      <c r="AG30" s="127" t="str">
        <f t="shared" si="1"/>
        <v/>
      </c>
      <c r="AH30" s="127" t="str">
        <f t="shared" si="32"/>
        <v/>
      </c>
      <c r="AI30" s="127" t="str">
        <f t="shared" si="32"/>
        <v/>
      </c>
      <c r="AJ30" s="127" t="str">
        <f t="shared" si="32"/>
        <v/>
      </c>
      <c r="AK30" s="127" t="str">
        <f t="shared" si="32"/>
        <v/>
      </c>
      <c r="AL30" s="127" t="str">
        <f t="shared" si="32"/>
        <v/>
      </c>
      <c r="AM30" s="127" t="str">
        <f t="shared" si="32"/>
        <v/>
      </c>
      <c r="AN30" s="127" t="str">
        <f t="shared" si="26"/>
        <v/>
      </c>
      <c r="AO30" s="127" t="str">
        <f t="shared" si="26"/>
        <v/>
      </c>
      <c r="AP30" s="127" t="str">
        <f t="shared" si="26"/>
        <v/>
      </c>
      <c r="AQ30" s="127" t="str">
        <f t="shared" si="26"/>
        <v/>
      </c>
      <c r="AR30" s="127" t="str">
        <f t="shared" si="26"/>
        <v/>
      </c>
      <c r="AS30" s="127" t="str">
        <f t="shared" si="26"/>
        <v/>
      </c>
      <c r="AT30" s="127" t="str">
        <f t="shared" si="26"/>
        <v/>
      </c>
      <c r="AU30" s="127" t="str">
        <f t="shared" si="26"/>
        <v/>
      </c>
      <c r="AV30" s="127" t="str">
        <f t="shared" si="26"/>
        <v/>
      </c>
      <c r="AW30" s="127" t="str">
        <f t="shared" si="26"/>
        <v/>
      </c>
      <c r="AX30" s="127" t="str">
        <f t="shared" si="26"/>
        <v/>
      </c>
      <c r="AY30" s="127" t="str">
        <f t="shared" si="26"/>
        <v/>
      </c>
      <c r="AZ30" s="127" t="str">
        <f t="shared" si="26"/>
        <v/>
      </c>
      <c r="BA30" s="127" t="str">
        <f t="shared" si="26"/>
        <v/>
      </c>
      <c r="BB30" s="127" t="str">
        <f t="shared" si="26"/>
        <v/>
      </c>
      <c r="BC30" s="127" t="str">
        <f t="shared" si="26"/>
        <v/>
      </c>
      <c r="BD30" s="127" t="str">
        <f t="shared" si="26"/>
        <v/>
      </c>
      <c r="BE30" s="127" t="str">
        <f t="shared" si="26"/>
        <v/>
      </c>
      <c r="BF30" s="127" t="str">
        <f t="shared" si="3"/>
        <v/>
      </c>
      <c r="BG30" s="127" t="str">
        <f t="shared" si="3"/>
        <v/>
      </c>
      <c r="BH30" s="127" t="str">
        <f t="shared" si="3"/>
        <v/>
      </c>
      <c r="BI30" s="127" t="str">
        <f t="shared" si="3"/>
        <v/>
      </c>
      <c r="BJ30" s="127" t="str">
        <f t="shared" si="3"/>
        <v/>
      </c>
      <c r="BK30" s="127" t="str">
        <f t="shared" si="3"/>
        <v/>
      </c>
      <c r="BL30" s="127" t="str">
        <f t="shared" si="3"/>
        <v/>
      </c>
      <c r="BM30" s="127" t="str">
        <f t="shared" si="3"/>
        <v/>
      </c>
      <c r="BN30" s="127" t="str">
        <f t="shared" si="18"/>
        <v/>
      </c>
      <c r="BO30" s="127" t="str">
        <f t="shared" si="18"/>
        <v/>
      </c>
      <c r="BP30" s="127" t="str">
        <f t="shared" si="18"/>
        <v/>
      </c>
      <c r="BQ30" s="127" t="str">
        <f t="shared" si="18"/>
        <v/>
      </c>
      <c r="BR30" s="127" t="str">
        <f t="shared" si="15"/>
        <v/>
      </c>
      <c r="BS30" s="127" t="str">
        <f t="shared" si="15"/>
        <v/>
      </c>
      <c r="BT30" s="127" t="str">
        <f t="shared" si="15"/>
        <v/>
      </c>
      <c r="BU30" s="127" t="str">
        <f t="shared" si="15"/>
        <v/>
      </c>
      <c r="BV30" s="127" t="str">
        <f t="shared" si="15"/>
        <v/>
      </c>
      <c r="BW30" s="127" t="str">
        <f t="shared" si="15"/>
        <v/>
      </c>
      <c r="BX30" s="127" t="str">
        <f t="shared" si="15"/>
        <v/>
      </c>
      <c r="BY30" s="127" t="str">
        <f t="shared" si="15"/>
        <v/>
      </c>
      <c r="BZ30" s="127" t="str">
        <f t="shared" si="15"/>
        <v/>
      </c>
      <c r="CA30" s="127" t="str">
        <f t="shared" si="15"/>
        <v/>
      </c>
      <c r="CB30" s="127" t="str">
        <f t="shared" si="15"/>
        <v/>
      </c>
      <c r="CC30" s="127" t="str">
        <f t="shared" si="15"/>
        <v/>
      </c>
      <c r="CD30" s="127" t="str">
        <f t="shared" si="15"/>
        <v/>
      </c>
      <c r="CE30" s="127" t="str">
        <f t="shared" si="15"/>
        <v/>
      </c>
    </row>
    <row r="31" spans="1:83" ht="12.75" hidden="1" customHeight="1" x14ac:dyDescent="0.2">
      <c r="A31" s="106">
        <f>SHIPMENTS!A37</f>
        <v>9064</v>
      </c>
      <c r="B31" s="106" t="str">
        <f>SHIPMENTS!B37</f>
        <v>15900- Quezon City | Hans Jason Tan</v>
      </c>
      <c r="C31" s="132">
        <f>SHIPMENTS!F37</f>
        <v>6.4999999999999997E-3</v>
      </c>
      <c r="D31" s="107" t="str">
        <f>IF((SHIPMENTS!I37)=0,"",SHIPMENTS!I37)</f>
        <v/>
      </c>
      <c r="E31" s="176">
        <f>IF((SHIPMENTS!G37)=0,"",SHIPMENTS!G37)</f>
        <v>46323</v>
      </c>
      <c r="F31" s="109">
        <f>VLOOKUP(A31,Items!$A$5:$J$1000,3,0)</f>
        <v>0</v>
      </c>
      <c r="G31" s="98">
        <f>VLOOKUP(A31,load!$A$4:$U$5001,4,0)</f>
        <v>0</v>
      </c>
      <c r="H31" s="97">
        <f>Manhours!$C$19</f>
        <v>6</v>
      </c>
      <c r="I31" s="98">
        <f t="shared" si="33"/>
        <v>54.599999999999994</v>
      </c>
      <c r="J31" s="99">
        <f t="shared" si="34"/>
        <v>0</v>
      </c>
      <c r="K31" s="99">
        <f t="shared" si="35"/>
        <v>0</v>
      </c>
      <c r="L31" s="98">
        <f t="shared" si="36"/>
        <v>0</v>
      </c>
      <c r="M31" s="98">
        <f t="shared" si="37"/>
        <v>0</v>
      </c>
      <c r="N31" s="181">
        <f t="shared" si="12"/>
        <v>46314.383935439553</v>
      </c>
      <c r="O31" s="181">
        <f t="shared" si="11"/>
        <v>46314.383935439553</v>
      </c>
      <c r="P31" s="112" t="str">
        <f>VLOOKUP(A31,SHIPMENTS!$A$7:$AP$76,40,0)</f>
        <v>n/a</v>
      </c>
      <c r="Q31" s="101"/>
      <c r="R31" s="127" t="str">
        <f t="shared" ref="R31:AG46" si="38">IF($E31=R$3,"▲","")</f>
        <v/>
      </c>
      <c r="S31" s="127" t="str">
        <f t="shared" si="38"/>
        <v/>
      </c>
      <c r="T31" s="127" t="str">
        <f t="shared" si="38"/>
        <v/>
      </c>
      <c r="U31" s="127" t="str">
        <f t="shared" si="38"/>
        <v/>
      </c>
      <c r="V31" s="127" t="str">
        <f t="shared" si="38"/>
        <v/>
      </c>
      <c r="W31" s="127" t="str">
        <f t="shared" si="38"/>
        <v/>
      </c>
      <c r="X31" s="127" t="str">
        <f t="shared" si="38"/>
        <v/>
      </c>
      <c r="Y31" s="127" t="str">
        <f t="shared" si="38"/>
        <v/>
      </c>
      <c r="Z31" s="127" t="str">
        <f t="shared" si="38"/>
        <v>▲</v>
      </c>
      <c r="AA31" s="127" t="str">
        <f t="shared" si="38"/>
        <v/>
      </c>
      <c r="AB31" s="127" t="str">
        <f t="shared" si="38"/>
        <v/>
      </c>
      <c r="AC31" s="127" t="str">
        <f t="shared" si="38"/>
        <v/>
      </c>
      <c r="AD31" s="127" t="str">
        <f t="shared" si="38"/>
        <v/>
      </c>
      <c r="AE31" s="127" t="str">
        <f t="shared" si="38"/>
        <v/>
      </c>
      <c r="AF31" s="127" t="str">
        <f t="shared" si="38"/>
        <v/>
      </c>
      <c r="AG31" s="127" t="str">
        <f t="shared" si="38"/>
        <v/>
      </c>
      <c r="AH31" s="127" t="str">
        <f t="shared" si="32"/>
        <v/>
      </c>
      <c r="AI31" s="127" t="str">
        <f t="shared" si="32"/>
        <v/>
      </c>
      <c r="AJ31" s="127" t="str">
        <f t="shared" si="32"/>
        <v/>
      </c>
      <c r="AK31" s="127" t="str">
        <f t="shared" si="32"/>
        <v/>
      </c>
      <c r="AL31" s="127" t="str">
        <f t="shared" si="32"/>
        <v/>
      </c>
      <c r="AM31" s="127" t="str">
        <f t="shared" si="32"/>
        <v/>
      </c>
      <c r="AN31" s="127" t="str">
        <f t="shared" si="26"/>
        <v/>
      </c>
      <c r="AO31" s="127" t="str">
        <f t="shared" si="26"/>
        <v/>
      </c>
      <c r="AP31" s="127" t="str">
        <f t="shared" si="26"/>
        <v/>
      </c>
      <c r="AQ31" s="127" t="str">
        <f t="shared" si="26"/>
        <v/>
      </c>
      <c r="AR31" s="127" t="str">
        <f t="shared" si="26"/>
        <v/>
      </c>
      <c r="AS31" s="127" t="str">
        <f t="shared" si="26"/>
        <v/>
      </c>
      <c r="AT31" s="127" t="str">
        <f t="shared" si="26"/>
        <v/>
      </c>
      <c r="AU31" s="127" t="str">
        <f t="shared" si="26"/>
        <v/>
      </c>
      <c r="AV31" s="127" t="str">
        <f t="shared" si="26"/>
        <v/>
      </c>
      <c r="AW31" s="127" t="str">
        <f t="shared" si="26"/>
        <v/>
      </c>
      <c r="AX31" s="127" t="str">
        <f t="shared" si="26"/>
        <v/>
      </c>
      <c r="AY31" s="127" t="str">
        <f t="shared" si="26"/>
        <v/>
      </c>
      <c r="AZ31" s="127" t="str">
        <f t="shared" si="26"/>
        <v/>
      </c>
      <c r="BA31" s="127" t="str">
        <f t="shared" si="26"/>
        <v/>
      </c>
      <c r="BB31" s="127" t="str">
        <f t="shared" si="26"/>
        <v/>
      </c>
      <c r="BC31" s="127" t="str">
        <f t="shared" si="26"/>
        <v/>
      </c>
      <c r="BD31" s="127" t="str">
        <f t="shared" si="26"/>
        <v/>
      </c>
      <c r="BE31" s="127" t="str">
        <f t="shared" si="26"/>
        <v/>
      </c>
      <c r="BF31" s="127" t="str">
        <f t="shared" ref="BF31:BQ46" si="39">IF($E31=BF$3,"▲","")</f>
        <v/>
      </c>
      <c r="BG31" s="127" t="str">
        <f t="shared" si="39"/>
        <v/>
      </c>
      <c r="BH31" s="127" t="str">
        <f t="shared" si="39"/>
        <v/>
      </c>
      <c r="BI31" s="127" t="str">
        <f t="shared" si="39"/>
        <v/>
      </c>
      <c r="BJ31" s="127" t="str">
        <f t="shared" si="39"/>
        <v/>
      </c>
      <c r="BK31" s="127" t="str">
        <f t="shared" si="39"/>
        <v/>
      </c>
      <c r="BL31" s="127" t="str">
        <f t="shared" si="39"/>
        <v/>
      </c>
      <c r="BM31" s="127" t="str">
        <f t="shared" si="39"/>
        <v/>
      </c>
      <c r="BN31" s="127" t="str">
        <f t="shared" si="18"/>
        <v/>
      </c>
      <c r="BO31" s="127" t="str">
        <f t="shared" si="18"/>
        <v/>
      </c>
      <c r="BP31" s="127" t="str">
        <f t="shared" si="18"/>
        <v/>
      </c>
      <c r="BQ31" s="127" t="str">
        <f t="shared" si="18"/>
        <v/>
      </c>
      <c r="BR31" s="127" t="str">
        <f t="shared" si="15"/>
        <v/>
      </c>
      <c r="BS31" s="127" t="str">
        <f t="shared" si="15"/>
        <v/>
      </c>
      <c r="BT31" s="127" t="str">
        <f t="shared" si="15"/>
        <v/>
      </c>
      <c r="BU31" s="127" t="str">
        <f t="shared" si="15"/>
        <v/>
      </c>
      <c r="BV31" s="127" t="str">
        <f t="shared" si="15"/>
        <v/>
      </c>
      <c r="BW31" s="127" t="str">
        <f t="shared" si="15"/>
        <v/>
      </c>
      <c r="BX31" s="127" t="str">
        <f t="shared" si="15"/>
        <v/>
      </c>
      <c r="BY31" s="127" t="str">
        <f t="shared" si="15"/>
        <v/>
      </c>
      <c r="BZ31" s="127" t="str">
        <f t="shared" si="15"/>
        <v/>
      </c>
      <c r="CA31" s="127" t="str">
        <f t="shared" si="15"/>
        <v/>
      </c>
      <c r="CB31" s="127" t="str">
        <f t="shared" si="15"/>
        <v/>
      </c>
      <c r="CC31" s="127" t="str">
        <f t="shared" si="15"/>
        <v/>
      </c>
      <c r="CD31" s="127" t="str">
        <f t="shared" si="15"/>
        <v/>
      </c>
      <c r="CE31" s="127" t="str">
        <f t="shared" si="15"/>
        <v/>
      </c>
    </row>
    <row r="32" spans="1:83" ht="12.75" hidden="1" customHeight="1" x14ac:dyDescent="0.2">
      <c r="A32" s="106">
        <f>SHIPMENTS!A38</f>
        <v>9065</v>
      </c>
      <c r="B32" s="106" t="str">
        <f>SHIPMENTS!B38</f>
        <v>15900- Cavite | Kristine Austria</v>
      </c>
      <c r="C32" s="132">
        <f>SHIPMENTS!F38</f>
        <v>0</v>
      </c>
      <c r="D32" s="107" t="str">
        <f>IF((SHIPMENTS!I38)=0,"",SHIPMENTS!I38)</f>
        <v/>
      </c>
      <c r="E32" s="176">
        <f>IF((SHIPMENTS!G38)=0,"",SHIPMENTS!G38)</f>
        <v>46323</v>
      </c>
      <c r="F32" s="109">
        <f>VLOOKUP(A32,Items!$A$5:$J$1000,3,0)</f>
        <v>0</v>
      </c>
      <c r="G32" s="98">
        <f>VLOOKUP(A32,load!$A$4:$U$5001,4,0)</f>
        <v>0</v>
      </c>
      <c r="H32" s="97">
        <f>Manhours!$C$19</f>
        <v>6</v>
      </c>
      <c r="I32" s="98">
        <f t="shared" si="33"/>
        <v>54.599999999999994</v>
      </c>
      <c r="J32" s="99">
        <f t="shared" si="34"/>
        <v>0</v>
      </c>
      <c r="K32" s="99">
        <f t="shared" si="35"/>
        <v>0</v>
      </c>
      <c r="L32" s="98">
        <f t="shared" si="36"/>
        <v>0</v>
      </c>
      <c r="M32" s="98">
        <f t="shared" si="37"/>
        <v>0</v>
      </c>
      <c r="N32" s="181">
        <f t="shared" si="12"/>
        <v>46314.383935439553</v>
      </c>
      <c r="O32" s="181">
        <f t="shared" si="11"/>
        <v>46314.383935439553</v>
      </c>
      <c r="P32" s="112" t="str">
        <f>VLOOKUP(A32,SHIPMENTS!$A$7:$AP$76,40,0)</f>
        <v>n/a</v>
      </c>
      <c r="Q32" s="101"/>
      <c r="R32" s="127" t="str">
        <f t="shared" si="38"/>
        <v/>
      </c>
      <c r="S32" s="127" t="str">
        <f t="shared" si="38"/>
        <v/>
      </c>
      <c r="T32" s="127" t="str">
        <f t="shared" si="38"/>
        <v/>
      </c>
      <c r="U32" s="127" t="str">
        <f t="shared" si="38"/>
        <v/>
      </c>
      <c r="V32" s="127" t="str">
        <f t="shared" si="38"/>
        <v/>
      </c>
      <c r="W32" s="127" t="str">
        <f t="shared" si="38"/>
        <v/>
      </c>
      <c r="X32" s="127" t="str">
        <f t="shared" si="38"/>
        <v/>
      </c>
      <c r="Y32" s="127" t="str">
        <f t="shared" si="38"/>
        <v/>
      </c>
      <c r="Z32" s="127" t="str">
        <f t="shared" si="38"/>
        <v>▲</v>
      </c>
      <c r="AA32" s="127" t="str">
        <f t="shared" si="38"/>
        <v/>
      </c>
      <c r="AB32" s="127" t="str">
        <f t="shared" si="38"/>
        <v/>
      </c>
      <c r="AC32" s="127" t="str">
        <f t="shared" si="38"/>
        <v/>
      </c>
      <c r="AD32" s="127" t="str">
        <f t="shared" si="38"/>
        <v/>
      </c>
      <c r="AE32" s="127" t="str">
        <f t="shared" si="38"/>
        <v/>
      </c>
      <c r="AF32" s="127" t="str">
        <f t="shared" si="38"/>
        <v/>
      </c>
      <c r="AG32" s="127" t="str">
        <f t="shared" si="38"/>
        <v/>
      </c>
      <c r="AH32" s="127" t="str">
        <f t="shared" si="32"/>
        <v/>
      </c>
      <c r="AI32" s="127" t="str">
        <f t="shared" si="32"/>
        <v/>
      </c>
      <c r="AJ32" s="127" t="str">
        <f t="shared" si="32"/>
        <v/>
      </c>
      <c r="AK32" s="127" t="str">
        <f t="shared" si="32"/>
        <v/>
      </c>
      <c r="AL32" s="127" t="str">
        <f t="shared" si="32"/>
        <v/>
      </c>
      <c r="AM32" s="127" t="str">
        <f t="shared" si="32"/>
        <v/>
      </c>
      <c r="AN32" s="127" t="str">
        <f t="shared" si="26"/>
        <v/>
      </c>
      <c r="AO32" s="127" t="str">
        <f t="shared" si="26"/>
        <v/>
      </c>
      <c r="AP32" s="127" t="str">
        <f t="shared" si="26"/>
        <v/>
      </c>
      <c r="AQ32" s="127" t="str">
        <f t="shared" si="26"/>
        <v/>
      </c>
      <c r="AR32" s="127" t="str">
        <f t="shared" si="26"/>
        <v/>
      </c>
      <c r="AS32" s="127" t="str">
        <f t="shared" si="26"/>
        <v/>
      </c>
      <c r="AT32" s="127" t="str">
        <f t="shared" si="26"/>
        <v/>
      </c>
      <c r="AU32" s="127" t="str">
        <f t="shared" si="26"/>
        <v/>
      </c>
      <c r="AV32" s="127" t="str">
        <f t="shared" si="26"/>
        <v/>
      </c>
      <c r="AW32" s="127" t="str">
        <f t="shared" si="26"/>
        <v/>
      </c>
      <c r="AX32" s="127" t="str">
        <f t="shared" si="26"/>
        <v/>
      </c>
      <c r="AY32" s="127" t="str">
        <f t="shared" si="26"/>
        <v/>
      </c>
      <c r="AZ32" s="127" t="str">
        <f t="shared" si="26"/>
        <v/>
      </c>
      <c r="BA32" s="127" t="str">
        <f t="shared" si="26"/>
        <v/>
      </c>
      <c r="BB32" s="127" t="str">
        <f t="shared" si="26"/>
        <v/>
      </c>
      <c r="BC32" s="127" t="str">
        <f t="shared" si="26"/>
        <v/>
      </c>
      <c r="BD32" s="127" t="str">
        <f t="shared" si="26"/>
        <v/>
      </c>
      <c r="BE32" s="127" t="str">
        <f t="shared" si="26"/>
        <v/>
      </c>
      <c r="BF32" s="127" t="str">
        <f t="shared" si="39"/>
        <v/>
      </c>
      <c r="BG32" s="127" t="str">
        <f t="shared" si="39"/>
        <v/>
      </c>
      <c r="BH32" s="127" t="str">
        <f t="shared" si="39"/>
        <v/>
      </c>
      <c r="BI32" s="127" t="str">
        <f t="shared" si="39"/>
        <v/>
      </c>
      <c r="BJ32" s="127" t="str">
        <f t="shared" si="39"/>
        <v/>
      </c>
      <c r="BK32" s="127" t="str">
        <f t="shared" si="39"/>
        <v/>
      </c>
      <c r="BL32" s="127" t="str">
        <f t="shared" si="39"/>
        <v/>
      </c>
      <c r="BM32" s="127" t="str">
        <f t="shared" si="39"/>
        <v/>
      </c>
      <c r="BN32" s="127" t="str">
        <f t="shared" si="18"/>
        <v/>
      </c>
      <c r="BO32" s="127" t="str">
        <f t="shared" si="18"/>
        <v/>
      </c>
      <c r="BP32" s="127" t="str">
        <f t="shared" si="18"/>
        <v/>
      </c>
      <c r="BQ32" s="127" t="str">
        <f t="shared" si="18"/>
        <v/>
      </c>
      <c r="BR32" s="127" t="str">
        <f t="shared" si="15"/>
        <v/>
      </c>
      <c r="BS32" s="127" t="str">
        <f t="shared" si="15"/>
        <v/>
      </c>
      <c r="BT32" s="127" t="str">
        <f t="shared" si="15"/>
        <v/>
      </c>
      <c r="BU32" s="127" t="str">
        <f t="shared" si="15"/>
        <v/>
      </c>
      <c r="BV32" s="127" t="str">
        <f t="shared" si="15"/>
        <v/>
      </c>
      <c r="BW32" s="127" t="str">
        <f t="shared" si="15"/>
        <v/>
      </c>
      <c r="BX32" s="127" t="str">
        <f t="shared" si="15"/>
        <v/>
      </c>
      <c r="BY32" s="127" t="str">
        <f t="shared" si="15"/>
        <v/>
      </c>
      <c r="BZ32" s="127" t="str">
        <f t="shared" si="15"/>
        <v/>
      </c>
      <c r="CA32" s="127" t="str">
        <f t="shared" si="15"/>
        <v/>
      </c>
      <c r="CB32" s="127" t="str">
        <f t="shared" si="15"/>
        <v/>
      </c>
      <c r="CC32" s="127" t="str">
        <f t="shared" si="15"/>
        <v/>
      </c>
      <c r="CD32" s="127" t="str">
        <f t="shared" si="15"/>
        <v/>
      </c>
      <c r="CE32" s="127" t="str">
        <f t="shared" si="15"/>
        <v/>
      </c>
    </row>
    <row r="33" spans="1:83" ht="12.75" hidden="1" customHeight="1" x14ac:dyDescent="0.2">
      <c r="A33" s="106">
        <f>SHIPMENTS!A39</f>
        <v>9303</v>
      </c>
      <c r="B33" s="106" t="str">
        <f>SHIPMENTS!B39</f>
        <v>15900- Manila Office Stocking</v>
      </c>
      <c r="C33" s="132">
        <f>SHIPMENTS!F39</f>
        <v>0.63700000000000001</v>
      </c>
      <c r="D33" s="107" t="str">
        <f>IF((SHIPMENTS!I39)=0,"",SHIPMENTS!I39)</f>
        <v/>
      </c>
      <c r="E33" s="176">
        <f>IF((SHIPMENTS!G39)=0,"",SHIPMENTS!G39)</f>
        <v>46323</v>
      </c>
      <c r="F33" s="109">
        <f>VLOOKUP(A33,Items!$A$5:$J$1000,3,0)</f>
        <v>0</v>
      </c>
      <c r="G33" s="98">
        <f>VLOOKUP(A33,load!$A$4:$U$5001,4,0)</f>
        <v>0</v>
      </c>
      <c r="H33" s="97">
        <f>Manhours!$C$19</f>
        <v>6</v>
      </c>
      <c r="I33" s="98">
        <f t="shared" ref="I33:I45" si="40">+H33*$I$4</f>
        <v>54.599999999999994</v>
      </c>
      <c r="J33" s="99">
        <f t="shared" ref="J33:J45" si="41">G33/I33</f>
        <v>0</v>
      </c>
      <c r="K33" s="99">
        <f t="shared" ref="K33:K45" si="42">+J33*$I$4</f>
        <v>0</v>
      </c>
      <c r="L33" s="98">
        <f t="shared" ref="L33:L45" si="43">IFERROR(J33-(J33*P33),0)</f>
        <v>0</v>
      </c>
      <c r="M33" s="98">
        <f t="shared" ref="M33:M45" si="44">IFERROR(K33-(K33*P33),0)</f>
        <v>0</v>
      </c>
      <c r="N33" s="181">
        <f t="shared" ref="N33:N45" si="45">O32</f>
        <v>46314.383935439553</v>
      </c>
      <c r="O33" s="181">
        <f t="shared" ref="O33:O45" si="46">N33+L33</f>
        <v>46314.383935439553</v>
      </c>
      <c r="P33" s="112" t="str">
        <f>VLOOKUP(A33,SHIPMENTS!$A$7:$AP$76,40,0)</f>
        <v>n/a</v>
      </c>
      <c r="Q33" s="101"/>
      <c r="R33" s="127" t="str">
        <f t="shared" si="38"/>
        <v/>
      </c>
      <c r="S33" s="127" t="str">
        <f t="shared" si="38"/>
        <v/>
      </c>
      <c r="T33" s="127" t="str">
        <f t="shared" si="38"/>
        <v/>
      </c>
      <c r="U33" s="127" t="str">
        <f t="shared" si="38"/>
        <v/>
      </c>
      <c r="V33" s="127" t="str">
        <f t="shared" si="38"/>
        <v/>
      </c>
      <c r="W33" s="127" t="str">
        <f t="shared" si="38"/>
        <v/>
      </c>
      <c r="X33" s="127" t="str">
        <f t="shared" si="38"/>
        <v/>
      </c>
      <c r="Y33" s="127" t="str">
        <f t="shared" si="38"/>
        <v/>
      </c>
      <c r="Z33" s="127" t="str">
        <f t="shared" si="38"/>
        <v>▲</v>
      </c>
      <c r="AA33" s="127" t="str">
        <f t="shared" si="38"/>
        <v/>
      </c>
      <c r="AB33" s="127" t="str">
        <f t="shared" si="38"/>
        <v/>
      </c>
      <c r="AC33" s="127" t="str">
        <f t="shared" si="38"/>
        <v/>
      </c>
      <c r="AD33" s="127" t="str">
        <f t="shared" si="38"/>
        <v/>
      </c>
      <c r="AE33" s="127" t="str">
        <f t="shared" si="38"/>
        <v/>
      </c>
      <c r="AF33" s="127" t="str">
        <f t="shared" si="38"/>
        <v/>
      </c>
      <c r="AG33" s="127" t="str">
        <f t="shared" si="38"/>
        <v/>
      </c>
      <c r="AH33" s="127" t="str">
        <f t="shared" si="32"/>
        <v/>
      </c>
      <c r="AI33" s="127" t="str">
        <f t="shared" si="32"/>
        <v/>
      </c>
      <c r="AJ33" s="127" t="str">
        <f t="shared" si="32"/>
        <v/>
      </c>
      <c r="AK33" s="127" t="str">
        <f t="shared" si="32"/>
        <v/>
      </c>
      <c r="AL33" s="127" t="str">
        <f t="shared" si="32"/>
        <v/>
      </c>
      <c r="AM33" s="127" t="str">
        <f t="shared" si="32"/>
        <v/>
      </c>
      <c r="AN33" s="127" t="str">
        <f t="shared" si="26"/>
        <v/>
      </c>
      <c r="AO33" s="127" t="str">
        <f t="shared" si="26"/>
        <v/>
      </c>
      <c r="AP33" s="127" t="str">
        <f t="shared" si="26"/>
        <v/>
      </c>
      <c r="AQ33" s="127" t="str">
        <f t="shared" si="26"/>
        <v/>
      </c>
      <c r="AR33" s="127" t="str">
        <f t="shared" si="26"/>
        <v/>
      </c>
      <c r="AS33" s="127" t="str">
        <f t="shared" si="26"/>
        <v/>
      </c>
      <c r="AT33" s="127" t="str">
        <f t="shared" si="26"/>
        <v/>
      </c>
      <c r="AU33" s="127" t="str">
        <f t="shared" si="26"/>
        <v/>
      </c>
      <c r="AV33" s="127" t="str">
        <f t="shared" si="26"/>
        <v/>
      </c>
      <c r="AW33" s="127" t="str">
        <f t="shared" si="26"/>
        <v/>
      </c>
      <c r="AX33" s="127" t="str">
        <f t="shared" si="26"/>
        <v/>
      </c>
      <c r="AY33" s="127" t="str">
        <f t="shared" si="26"/>
        <v/>
      </c>
      <c r="AZ33" s="127" t="str">
        <f t="shared" si="26"/>
        <v/>
      </c>
      <c r="BA33" s="127" t="str">
        <f t="shared" si="26"/>
        <v/>
      </c>
      <c r="BB33" s="127" t="str">
        <f t="shared" si="26"/>
        <v/>
      </c>
      <c r="BC33" s="127" t="str">
        <f t="shared" si="26"/>
        <v/>
      </c>
      <c r="BD33" s="127" t="str">
        <f t="shared" si="26"/>
        <v/>
      </c>
      <c r="BE33" s="127" t="str">
        <f t="shared" si="26"/>
        <v/>
      </c>
      <c r="BF33" s="127" t="str">
        <f t="shared" si="39"/>
        <v/>
      </c>
      <c r="BG33" s="127" t="str">
        <f t="shared" si="39"/>
        <v/>
      </c>
      <c r="BH33" s="127" t="str">
        <f t="shared" si="39"/>
        <v/>
      </c>
      <c r="BI33" s="127" t="str">
        <f t="shared" si="39"/>
        <v/>
      </c>
      <c r="BJ33" s="127" t="str">
        <f t="shared" si="39"/>
        <v/>
      </c>
      <c r="BK33" s="127" t="str">
        <f t="shared" si="39"/>
        <v/>
      </c>
      <c r="BL33" s="127" t="str">
        <f t="shared" si="39"/>
        <v/>
      </c>
      <c r="BM33" s="127" t="str">
        <f t="shared" si="39"/>
        <v/>
      </c>
      <c r="BN33" s="127" t="str">
        <f t="shared" si="18"/>
        <v/>
      </c>
      <c r="BO33" s="127" t="str">
        <f t="shared" si="18"/>
        <v/>
      </c>
      <c r="BP33" s="127" t="str">
        <f t="shared" si="18"/>
        <v/>
      </c>
      <c r="BQ33" s="127" t="str">
        <f t="shared" si="18"/>
        <v/>
      </c>
      <c r="BR33" s="127" t="str">
        <f t="shared" si="15"/>
        <v/>
      </c>
      <c r="BS33" s="127" t="str">
        <f t="shared" si="15"/>
        <v/>
      </c>
      <c r="BT33" s="127" t="str">
        <f t="shared" si="15"/>
        <v/>
      </c>
      <c r="BU33" s="127" t="str">
        <f t="shared" si="15"/>
        <v/>
      </c>
      <c r="BV33" s="127" t="str">
        <f t="shared" si="15"/>
        <v/>
      </c>
      <c r="BW33" s="127" t="str">
        <f t="shared" si="15"/>
        <v/>
      </c>
      <c r="BX33" s="127" t="str">
        <f t="shared" si="15"/>
        <v/>
      </c>
      <c r="BY33" s="127" t="str">
        <f t="shared" si="15"/>
        <v/>
      </c>
      <c r="BZ33" s="127" t="str">
        <f t="shared" si="15"/>
        <v/>
      </c>
      <c r="CA33" s="127" t="str">
        <f t="shared" si="15"/>
        <v/>
      </c>
      <c r="CB33" s="127" t="str">
        <f t="shared" si="15"/>
        <v/>
      </c>
      <c r="CC33" s="127" t="str">
        <f t="shared" si="15"/>
        <v/>
      </c>
      <c r="CD33" s="127" t="str">
        <f t="shared" si="15"/>
        <v/>
      </c>
      <c r="CE33" s="127" t="str">
        <f t="shared" si="15"/>
        <v/>
      </c>
    </row>
    <row r="34" spans="1:83" ht="12.75" hidden="1" customHeight="1" x14ac:dyDescent="0.2">
      <c r="A34" s="106">
        <f>SHIPMENTS!A40</f>
        <v>9204</v>
      </c>
      <c r="B34" s="106" t="str">
        <f>SHIPMENTS!B40</f>
        <v>2300-HONGKONG</v>
      </c>
      <c r="C34" s="132">
        <f>SHIPMENTS!F40</f>
        <v>3.1</v>
      </c>
      <c r="D34" s="107" t="str">
        <f>IF((SHIPMENTS!I40)=0,"",SHIPMENTS!I40)</f>
        <v/>
      </c>
      <c r="E34" s="176">
        <f>IF((SHIPMENTS!G40)=0,"",SHIPMENTS!G40)</f>
        <v>46324</v>
      </c>
      <c r="F34" s="109">
        <f>VLOOKUP(A34,Items!$A$5:$J$1000,3,0)</f>
        <v>0</v>
      </c>
      <c r="G34" s="98">
        <f>VLOOKUP(A34,load!$A$4:$U$5001,4,0)</f>
        <v>147.89999999999998</v>
      </c>
      <c r="H34" s="97">
        <f>Manhours!$C$19</f>
        <v>6</v>
      </c>
      <c r="I34" s="98">
        <f t="shared" si="40"/>
        <v>54.599999999999994</v>
      </c>
      <c r="J34" s="99">
        <f t="shared" si="41"/>
        <v>2.7087912087912085</v>
      </c>
      <c r="K34" s="99">
        <f t="shared" si="42"/>
        <v>24.649999999999995</v>
      </c>
      <c r="L34" s="98">
        <f t="shared" si="43"/>
        <v>0</v>
      </c>
      <c r="M34" s="98">
        <f t="shared" si="44"/>
        <v>0</v>
      </c>
      <c r="N34" s="181">
        <f t="shared" si="45"/>
        <v>46314.383935439553</v>
      </c>
      <c r="O34" s="181">
        <f t="shared" si="46"/>
        <v>46314.383935439553</v>
      </c>
      <c r="P34" s="112" t="str">
        <f>VLOOKUP(A34,SHIPMENTS!$A$7:$AP$76,40,0)</f>
        <v>n/a</v>
      </c>
      <c r="Q34" s="101"/>
      <c r="R34" s="127" t="str">
        <f t="shared" si="38"/>
        <v/>
      </c>
      <c r="S34" s="127" t="str">
        <f t="shared" si="38"/>
        <v/>
      </c>
      <c r="T34" s="127" t="str">
        <f t="shared" si="38"/>
        <v/>
      </c>
      <c r="U34" s="127" t="str">
        <f t="shared" si="38"/>
        <v/>
      </c>
      <c r="V34" s="127" t="str">
        <f t="shared" si="38"/>
        <v/>
      </c>
      <c r="W34" s="127" t="str">
        <f t="shared" si="38"/>
        <v/>
      </c>
      <c r="X34" s="127" t="str">
        <f t="shared" si="38"/>
        <v/>
      </c>
      <c r="Y34" s="127" t="str">
        <f t="shared" si="38"/>
        <v/>
      </c>
      <c r="Z34" s="127" t="str">
        <f t="shared" si="38"/>
        <v/>
      </c>
      <c r="AA34" s="127" t="str">
        <f t="shared" si="38"/>
        <v>▲</v>
      </c>
      <c r="AB34" s="127" t="str">
        <f t="shared" si="38"/>
        <v/>
      </c>
      <c r="AC34" s="127" t="str">
        <f t="shared" si="38"/>
        <v/>
      </c>
      <c r="AD34" s="127" t="str">
        <f t="shared" si="38"/>
        <v/>
      </c>
      <c r="AE34" s="127" t="str">
        <f t="shared" si="38"/>
        <v/>
      </c>
      <c r="AF34" s="127" t="str">
        <f t="shared" si="38"/>
        <v/>
      </c>
      <c r="AG34" s="127" t="str">
        <f t="shared" si="38"/>
        <v/>
      </c>
      <c r="AH34" s="127" t="str">
        <f t="shared" si="32"/>
        <v/>
      </c>
      <c r="AI34" s="127" t="str">
        <f t="shared" si="32"/>
        <v/>
      </c>
      <c r="AJ34" s="127" t="str">
        <f t="shared" si="32"/>
        <v/>
      </c>
      <c r="AK34" s="127" t="str">
        <f t="shared" si="32"/>
        <v/>
      </c>
      <c r="AL34" s="127" t="str">
        <f t="shared" si="32"/>
        <v/>
      </c>
      <c r="AM34" s="127" t="str">
        <f t="shared" si="32"/>
        <v/>
      </c>
      <c r="AN34" s="127" t="str">
        <f t="shared" si="26"/>
        <v/>
      </c>
      <c r="AO34" s="127" t="str">
        <f t="shared" si="26"/>
        <v/>
      </c>
      <c r="AP34" s="127" t="str">
        <f t="shared" si="26"/>
        <v/>
      </c>
      <c r="AQ34" s="127" t="str">
        <f t="shared" si="26"/>
        <v/>
      </c>
      <c r="AR34" s="127" t="str">
        <f t="shared" si="26"/>
        <v/>
      </c>
      <c r="AS34" s="127" t="str">
        <f t="shared" si="26"/>
        <v/>
      </c>
      <c r="AT34" s="127" t="str">
        <f t="shared" si="26"/>
        <v/>
      </c>
      <c r="AU34" s="127" t="str">
        <f t="shared" si="26"/>
        <v/>
      </c>
      <c r="AV34" s="127" t="str">
        <f t="shared" si="26"/>
        <v/>
      </c>
      <c r="AW34" s="127" t="str">
        <f t="shared" si="26"/>
        <v/>
      </c>
      <c r="AX34" s="127" t="str">
        <f t="shared" si="26"/>
        <v/>
      </c>
      <c r="AY34" s="127" t="str">
        <f t="shared" si="26"/>
        <v/>
      </c>
      <c r="AZ34" s="127" t="str">
        <f t="shared" si="26"/>
        <v/>
      </c>
      <c r="BA34" s="127" t="str">
        <f t="shared" si="26"/>
        <v/>
      </c>
      <c r="BB34" s="127" t="str">
        <f t="shared" si="26"/>
        <v/>
      </c>
      <c r="BC34" s="127" t="str">
        <f t="shared" si="26"/>
        <v/>
      </c>
      <c r="BD34" s="127" t="str">
        <f t="shared" si="26"/>
        <v/>
      </c>
      <c r="BE34" s="127" t="str">
        <f t="shared" si="26"/>
        <v/>
      </c>
      <c r="BF34" s="127" t="str">
        <f t="shared" si="39"/>
        <v/>
      </c>
      <c r="BG34" s="127" t="str">
        <f t="shared" si="39"/>
        <v/>
      </c>
      <c r="BH34" s="127" t="str">
        <f t="shared" si="39"/>
        <v/>
      </c>
      <c r="BI34" s="127" t="str">
        <f t="shared" si="39"/>
        <v/>
      </c>
      <c r="BJ34" s="127" t="str">
        <f t="shared" si="39"/>
        <v/>
      </c>
      <c r="BK34" s="127" t="str">
        <f t="shared" si="39"/>
        <v/>
      </c>
      <c r="BL34" s="127" t="str">
        <f t="shared" si="39"/>
        <v/>
      </c>
      <c r="BM34" s="127" t="str">
        <f t="shared" si="39"/>
        <v/>
      </c>
      <c r="BN34" s="127" t="str">
        <f t="shared" si="18"/>
        <v/>
      </c>
      <c r="BO34" s="127" t="str">
        <f t="shared" si="18"/>
        <v/>
      </c>
      <c r="BP34" s="127" t="str">
        <f t="shared" si="18"/>
        <v/>
      </c>
      <c r="BQ34" s="127" t="str">
        <f t="shared" si="18"/>
        <v/>
      </c>
      <c r="BR34" s="127" t="str">
        <f t="shared" si="15"/>
        <v/>
      </c>
      <c r="BS34" s="127" t="str">
        <f t="shared" si="15"/>
        <v/>
      </c>
      <c r="BT34" s="127" t="str">
        <f t="shared" si="15"/>
        <v/>
      </c>
      <c r="BU34" s="127" t="str">
        <f t="shared" si="15"/>
        <v/>
      </c>
      <c r="BV34" s="127" t="str">
        <f t="shared" si="15"/>
        <v/>
      </c>
      <c r="BW34" s="127" t="str">
        <f t="shared" si="15"/>
        <v/>
      </c>
      <c r="BX34" s="127" t="str">
        <f t="shared" si="15"/>
        <v/>
      </c>
      <c r="BY34" s="127" t="str">
        <f t="shared" si="15"/>
        <v/>
      </c>
      <c r="BZ34" s="127" t="str">
        <f t="shared" si="15"/>
        <v/>
      </c>
      <c r="CA34" s="127" t="str">
        <f t="shared" si="15"/>
        <v/>
      </c>
      <c r="CB34" s="127" t="str">
        <f t="shared" si="15"/>
        <v/>
      </c>
      <c r="CC34" s="127" t="str">
        <f t="shared" si="15"/>
        <v/>
      </c>
      <c r="CD34" s="127" t="str">
        <f t="shared" si="15"/>
        <v/>
      </c>
      <c r="CE34" s="127" t="str">
        <f t="shared" si="15"/>
        <v/>
      </c>
    </row>
    <row r="35" spans="1:83" ht="12.75" hidden="1" customHeight="1" x14ac:dyDescent="0.2">
      <c r="A35" s="106">
        <f>SHIPMENTS!A41</f>
        <v>9005</v>
      </c>
      <c r="B35" s="106" t="str">
        <f>SHIPMENTS!B41</f>
        <v>28100-AUSTRIA HARVIA</v>
      </c>
      <c r="C35" s="132">
        <f>SHIPMENTS!F41</f>
        <v>44.15</v>
      </c>
      <c r="D35" s="107" t="str">
        <f>IF((SHIPMENTS!I41)=0,"",SHIPMENTS!I41)</f>
        <v>1X20</v>
      </c>
      <c r="E35" s="176">
        <f>IF((SHIPMENTS!G41)=0,"",SHIPMENTS!G41)</f>
        <v>46325</v>
      </c>
      <c r="F35" s="109">
        <f>VLOOKUP(A35,Items!$A$5:$J$1000,3,0)</f>
        <v>0</v>
      </c>
      <c r="G35" s="98">
        <f>VLOOKUP(A35,load!$A$4:$U$5001,4,0)</f>
        <v>0</v>
      </c>
      <c r="H35" s="97">
        <f>Manhours!$C$19</f>
        <v>6</v>
      </c>
      <c r="I35" s="98">
        <f t="shared" si="40"/>
        <v>54.599999999999994</v>
      </c>
      <c r="J35" s="99">
        <f t="shared" si="41"/>
        <v>0</v>
      </c>
      <c r="K35" s="99">
        <f t="shared" si="42"/>
        <v>0</v>
      </c>
      <c r="L35" s="98">
        <f t="shared" si="43"/>
        <v>0</v>
      </c>
      <c r="M35" s="98">
        <f t="shared" si="44"/>
        <v>0</v>
      </c>
      <c r="N35" s="181">
        <f t="shared" si="45"/>
        <v>46314.383935439553</v>
      </c>
      <c r="O35" s="181">
        <f t="shared" si="46"/>
        <v>46314.383935439553</v>
      </c>
      <c r="P35" s="112" t="str">
        <f>VLOOKUP(A35,SHIPMENTS!$A$7:$AP$76,40,0)</f>
        <v>n/a</v>
      </c>
      <c r="Q35" s="101"/>
      <c r="R35" s="127" t="str">
        <f t="shared" si="38"/>
        <v/>
      </c>
      <c r="S35" s="127" t="str">
        <f t="shared" si="38"/>
        <v/>
      </c>
      <c r="T35" s="127" t="str">
        <f t="shared" si="38"/>
        <v/>
      </c>
      <c r="U35" s="127" t="str">
        <f t="shared" si="38"/>
        <v/>
      </c>
      <c r="V35" s="127" t="str">
        <f t="shared" si="38"/>
        <v/>
      </c>
      <c r="W35" s="127" t="str">
        <f t="shared" si="38"/>
        <v/>
      </c>
      <c r="X35" s="127" t="str">
        <f t="shared" si="38"/>
        <v/>
      </c>
      <c r="Y35" s="127" t="str">
        <f t="shared" si="38"/>
        <v/>
      </c>
      <c r="Z35" s="127" t="str">
        <f t="shared" si="38"/>
        <v/>
      </c>
      <c r="AA35" s="127" t="str">
        <f t="shared" si="38"/>
        <v/>
      </c>
      <c r="AB35" s="127" t="str">
        <f t="shared" si="38"/>
        <v>▲</v>
      </c>
      <c r="AC35" s="127" t="str">
        <f t="shared" si="38"/>
        <v/>
      </c>
      <c r="AD35" s="127" t="str">
        <f t="shared" si="38"/>
        <v/>
      </c>
      <c r="AE35" s="127" t="str">
        <f t="shared" si="38"/>
        <v/>
      </c>
      <c r="AF35" s="127" t="str">
        <f t="shared" si="38"/>
        <v/>
      </c>
      <c r="AG35" s="127" t="str">
        <f t="shared" si="38"/>
        <v/>
      </c>
      <c r="AH35" s="127" t="str">
        <f t="shared" si="32"/>
        <v/>
      </c>
      <c r="AI35" s="127" t="str">
        <f t="shared" si="32"/>
        <v/>
      </c>
      <c r="AJ35" s="127" t="str">
        <f t="shared" si="32"/>
        <v/>
      </c>
      <c r="AK35" s="127" t="str">
        <f t="shared" si="32"/>
        <v/>
      </c>
      <c r="AL35" s="127" t="str">
        <f t="shared" si="32"/>
        <v/>
      </c>
      <c r="AM35" s="127" t="str">
        <f t="shared" si="32"/>
        <v/>
      </c>
      <c r="AN35" s="127" t="str">
        <f t="shared" si="26"/>
        <v/>
      </c>
      <c r="AO35" s="127" t="str">
        <f t="shared" si="26"/>
        <v/>
      </c>
      <c r="AP35" s="127" t="str">
        <f t="shared" si="26"/>
        <v/>
      </c>
      <c r="AQ35" s="127" t="str">
        <f t="shared" si="26"/>
        <v/>
      </c>
      <c r="AR35" s="127" t="str">
        <f t="shared" si="26"/>
        <v/>
      </c>
      <c r="AS35" s="127" t="str">
        <f t="shared" si="26"/>
        <v/>
      </c>
      <c r="AT35" s="127" t="str">
        <f t="shared" si="26"/>
        <v/>
      </c>
      <c r="AU35" s="127" t="str">
        <f t="shared" si="26"/>
        <v/>
      </c>
      <c r="AV35" s="127" t="str">
        <f t="shared" si="26"/>
        <v/>
      </c>
      <c r="AW35" s="127" t="str">
        <f t="shared" si="26"/>
        <v/>
      </c>
      <c r="AX35" s="127" t="str">
        <f t="shared" si="26"/>
        <v/>
      </c>
      <c r="AY35" s="127" t="str">
        <f t="shared" si="26"/>
        <v/>
      </c>
      <c r="AZ35" s="127" t="str">
        <f t="shared" si="26"/>
        <v/>
      </c>
      <c r="BA35" s="127" t="str">
        <f t="shared" si="26"/>
        <v/>
      </c>
      <c r="BB35" s="127" t="str">
        <f t="shared" si="26"/>
        <v/>
      </c>
      <c r="BC35" s="127" t="str">
        <f t="shared" si="26"/>
        <v/>
      </c>
      <c r="BD35" s="127" t="str">
        <f t="shared" si="26"/>
        <v/>
      </c>
      <c r="BE35" s="127" t="str">
        <f t="shared" si="26"/>
        <v/>
      </c>
      <c r="BF35" s="127" t="str">
        <f t="shared" si="39"/>
        <v/>
      </c>
      <c r="BG35" s="127" t="str">
        <f t="shared" si="39"/>
        <v/>
      </c>
      <c r="BH35" s="127" t="str">
        <f t="shared" si="39"/>
        <v/>
      </c>
      <c r="BI35" s="127" t="str">
        <f t="shared" si="39"/>
        <v/>
      </c>
      <c r="BJ35" s="127" t="str">
        <f t="shared" si="39"/>
        <v/>
      </c>
      <c r="BK35" s="127" t="str">
        <f t="shared" si="39"/>
        <v/>
      </c>
      <c r="BL35" s="127" t="str">
        <f t="shared" si="39"/>
        <v/>
      </c>
      <c r="BM35" s="127" t="str">
        <f t="shared" si="39"/>
        <v/>
      </c>
      <c r="BN35" s="127" t="str">
        <f t="shared" si="18"/>
        <v/>
      </c>
      <c r="BO35" s="127" t="str">
        <f t="shared" si="18"/>
        <v/>
      </c>
      <c r="BP35" s="127" t="str">
        <f t="shared" si="18"/>
        <v/>
      </c>
      <c r="BQ35" s="127" t="str">
        <f t="shared" si="18"/>
        <v/>
      </c>
      <c r="BR35" s="127" t="str">
        <f t="shared" si="18"/>
        <v/>
      </c>
      <c r="BS35" s="127" t="str">
        <f t="shared" si="18"/>
        <v/>
      </c>
      <c r="BT35" s="127" t="str">
        <f t="shared" si="18"/>
        <v/>
      </c>
      <c r="BU35" s="127" t="str">
        <f t="shared" si="18"/>
        <v/>
      </c>
      <c r="BV35" s="127" t="str">
        <f t="shared" si="18"/>
        <v/>
      </c>
      <c r="BW35" s="127" t="str">
        <f t="shared" si="18"/>
        <v/>
      </c>
      <c r="BX35" s="127" t="str">
        <f t="shared" si="18"/>
        <v/>
      </c>
      <c r="BY35" s="127" t="str">
        <f t="shared" si="18"/>
        <v/>
      </c>
      <c r="BZ35" s="127" t="str">
        <f t="shared" si="18"/>
        <v/>
      </c>
      <c r="CA35" s="127" t="str">
        <f t="shared" si="18"/>
        <v/>
      </c>
      <c r="CB35" s="127" t="str">
        <f t="shared" si="18"/>
        <v/>
      </c>
      <c r="CC35" s="127" t="str">
        <f t="shared" si="18"/>
        <v/>
      </c>
      <c r="CD35" s="127" t="str">
        <f t="shared" ref="BR35:CE50" si="47">IF($E35=CD$3,"▲","")</f>
        <v/>
      </c>
      <c r="CE35" s="127" t="str">
        <f t="shared" si="47"/>
        <v/>
      </c>
    </row>
    <row r="36" spans="1:83" ht="12.75" hidden="1" customHeight="1" x14ac:dyDescent="0.2">
      <c r="A36" s="106">
        <f>SHIPMENTS!A42</f>
        <v>8952</v>
      </c>
      <c r="B36" s="106" t="str">
        <f>SHIPMENTS!B42</f>
        <v>41300-CANADA SAUNAFIN</v>
      </c>
      <c r="C36" s="132">
        <f>SHIPMENTS!F42</f>
        <v>70.45</v>
      </c>
      <c r="D36" s="107" t="str">
        <f>IF((SHIPMENTS!I42)=0,"",SHIPMENTS!I42)</f>
        <v>1x40HC</v>
      </c>
      <c r="E36" s="176">
        <f>IF((SHIPMENTS!G42)=0,"",SHIPMENTS!G42)</f>
        <v>46332</v>
      </c>
      <c r="F36" s="109">
        <f>VLOOKUP(A36,Items!$A$5:$J$1000,3,0)</f>
        <v>0</v>
      </c>
      <c r="G36" s="98">
        <f>VLOOKUP(A36,load!$A$4:$U$5001,4,0)</f>
        <v>0</v>
      </c>
      <c r="H36" s="97">
        <f>Manhours!$C$19</f>
        <v>6</v>
      </c>
      <c r="I36" s="98">
        <f t="shared" si="40"/>
        <v>54.599999999999994</v>
      </c>
      <c r="J36" s="99">
        <f t="shared" si="41"/>
        <v>0</v>
      </c>
      <c r="K36" s="99">
        <f t="shared" si="42"/>
        <v>0</v>
      </c>
      <c r="L36" s="98">
        <f t="shared" si="43"/>
        <v>0</v>
      </c>
      <c r="M36" s="98">
        <f t="shared" si="44"/>
        <v>0</v>
      </c>
      <c r="N36" s="181">
        <f t="shared" si="45"/>
        <v>46314.383935439553</v>
      </c>
      <c r="O36" s="181">
        <f t="shared" si="46"/>
        <v>46314.383935439553</v>
      </c>
      <c r="P36" s="112" t="str">
        <f>VLOOKUP(A36,SHIPMENTS!$A$7:$AP$76,40,0)</f>
        <v>n/a</v>
      </c>
      <c r="Q36" s="101"/>
      <c r="R36" s="127" t="str">
        <f t="shared" si="38"/>
        <v/>
      </c>
      <c r="S36" s="127" t="str">
        <f t="shared" si="38"/>
        <v/>
      </c>
      <c r="T36" s="127" t="str">
        <f t="shared" si="38"/>
        <v/>
      </c>
      <c r="U36" s="127" t="str">
        <f t="shared" si="38"/>
        <v/>
      </c>
      <c r="V36" s="127" t="str">
        <f t="shared" si="38"/>
        <v/>
      </c>
      <c r="W36" s="127" t="str">
        <f t="shared" si="38"/>
        <v/>
      </c>
      <c r="X36" s="127" t="str">
        <f t="shared" si="38"/>
        <v/>
      </c>
      <c r="Y36" s="127" t="str">
        <f t="shared" si="38"/>
        <v/>
      </c>
      <c r="Z36" s="127" t="str">
        <f t="shared" si="38"/>
        <v/>
      </c>
      <c r="AA36" s="127" t="str">
        <f t="shared" si="38"/>
        <v/>
      </c>
      <c r="AB36" s="127" t="str">
        <f t="shared" si="38"/>
        <v/>
      </c>
      <c r="AC36" s="127" t="str">
        <f t="shared" si="38"/>
        <v/>
      </c>
      <c r="AD36" s="127" t="str">
        <f t="shared" si="38"/>
        <v/>
      </c>
      <c r="AE36" s="127" t="str">
        <f t="shared" si="38"/>
        <v/>
      </c>
      <c r="AF36" s="127" t="str">
        <f t="shared" si="38"/>
        <v/>
      </c>
      <c r="AG36" s="127" t="str">
        <f t="shared" si="38"/>
        <v/>
      </c>
      <c r="AH36" s="127" t="str">
        <f t="shared" si="32"/>
        <v>▲</v>
      </c>
      <c r="AI36" s="127" t="str">
        <f t="shared" si="32"/>
        <v/>
      </c>
      <c r="AJ36" s="127" t="str">
        <f t="shared" si="32"/>
        <v/>
      </c>
      <c r="AK36" s="127" t="str">
        <f t="shared" si="32"/>
        <v/>
      </c>
      <c r="AL36" s="127" t="str">
        <f t="shared" si="32"/>
        <v/>
      </c>
      <c r="AM36" s="127" t="str">
        <f t="shared" si="32"/>
        <v/>
      </c>
      <c r="AN36" s="127" t="str">
        <f t="shared" si="26"/>
        <v/>
      </c>
      <c r="AO36" s="127" t="str">
        <f t="shared" si="26"/>
        <v/>
      </c>
      <c r="AP36" s="127" t="str">
        <f t="shared" si="26"/>
        <v/>
      </c>
      <c r="AQ36" s="127" t="str">
        <f t="shared" si="26"/>
        <v/>
      </c>
      <c r="AR36" s="127" t="str">
        <f t="shared" si="26"/>
        <v/>
      </c>
      <c r="AS36" s="127" t="str">
        <f t="shared" si="26"/>
        <v/>
      </c>
      <c r="AT36" s="127" t="str">
        <f t="shared" si="26"/>
        <v/>
      </c>
      <c r="AU36" s="127" t="str">
        <f t="shared" si="26"/>
        <v/>
      </c>
      <c r="AV36" s="127" t="str">
        <f t="shared" si="26"/>
        <v/>
      </c>
      <c r="AW36" s="127" t="str">
        <f t="shared" si="26"/>
        <v/>
      </c>
      <c r="AX36" s="127" t="str">
        <f t="shared" si="26"/>
        <v/>
      </c>
      <c r="AY36" s="127" t="str">
        <f t="shared" si="26"/>
        <v/>
      </c>
      <c r="AZ36" s="127" t="str">
        <f t="shared" si="26"/>
        <v/>
      </c>
      <c r="BA36" s="127" t="str">
        <f t="shared" si="26"/>
        <v/>
      </c>
      <c r="BB36" s="127" t="str">
        <f t="shared" si="26"/>
        <v/>
      </c>
      <c r="BC36" s="127" t="str">
        <f t="shared" si="26"/>
        <v/>
      </c>
      <c r="BD36" s="127" t="str">
        <f t="shared" si="26"/>
        <v/>
      </c>
      <c r="BE36" s="127" t="str">
        <f t="shared" si="26"/>
        <v/>
      </c>
      <c r="BF36" s="127" t="str">
        <f t="shared" si="39"/>
        <v/>
      </c>
      <c r="BG36" s="127" t="str">
        <f t="shared" si="39"/>
        <v/>
      </c>
      <c r="BH36" s="127" t="str">
        <f t="shared" si="39"/>
        <v/>
      </c>
      <c r="BI36" s="127" t="str">
        <f t="shared" si="39"/>
        <v/>
      </c>
      <c r="BJ36" s="127" t="str">
        <f t="shared" si="39"/>
        <v/>
      </c>
      <c r="BK36" s="127" t="str">
        <f t="shared" si="39"/>
        <v/>
      </c>
      <c r="BL36" s="127" t="str">
        <f t="shared" si="39"/>
        <v/>
      </c>
      <c r="BM36" s="127" t="str">
        <f t="shared" si="39"/>
        <v/>
      </c>
      <c r="BN36" s="127" t="str">
        <f t="shared" si="39"/>
        <v/>
      </c>
      <c r="BO36" s="127" t="str">
        <f t="shared" si="39"/>
        <v/>
      </c>
      <c r="BP36" s="127" t="str">
        <f t="shared" si="39"/>
        <v/>
      </c>
      <c r="BQ36" s="127" t="str">
        <f t="shared" si="39"/>
        <v/>
      </c>
      <c r="BR36" s="127" t="str">
        <f t="shared" si="47"/>
        <v/>
      </c>
      <c r="BS36" s="127" t="str">
        <f t="shared" si="47"/>
        <v/>
      </c>
      <c r="BT36" s="127" t="str">
        <f t="shared" si="47"/>
        <v/>
      </c>
      <c r="BU36" s="127" t="str">
        <f t="shared" si="47"/>
        <v/>
      </c>
      <c r="BV36" s="127" t="str">
        <f t="shared" si="47"/>
        <v/>
      </c>
      <c r="BW36" s="127" t="str">
        <f t="shared" si="47"/>
        <v/>
      </c>
      <c r="BX36" s="127" t="str">
        <f t="shared" si="47"/>
        <v/>
      </c>
      <c r="BY36" s="127" t="str">
        <f t="shared" si="47"/>
        <v/>
      </c>
      <c r="BZ36" s="127" t="str">
        <f t="shared" si="47"/>
        <v/>
      </c>
      <c r="CA36" s="127" t="str">
        <f t="shared" si="47"/>
        <v/>
      </c>
      <c r="CB36" s="127" t="str">
        <f t="shared" si="47"/>
        <v/>
      </c>
      <c r="CC36" s="127" t="str">
        <f t="shared" si="47"/>
        <v/>
      </c>
      <c r="CD36" s="127" t="str">
        <f t="shared" si="47"/>
        <v/>
      </c>
      <c r="CE36" s="127" t="str">
        <f t="shared" si="47"/>
        <v/>
      </c>
    </row>
    <row r="37" spans="1:83" ht="12.75" customHeight="1" x14ac:dyDescent="0.2">
      <c r="A37" s="106">
        <f>SHIPMENTS!A43</f>
        <v>9158</v>
      </c>
      <c r="B37" s="106" t="str">
        <f>SHIPMENTS!B43</f>
        <v>43300-THAILAND</v>
      </c>
      <c r="C37" s="132">
        <f>SHIPMENTS!F43</f>
        <v>0.10299999999999999</v>
      </c>
      <c r="D37" s="107" t="str">
        <f>IF((SHIPMENTS!I43)=0,"",SHIPMENTS!I43)</f>
        <v>LCL</v>
      </c>
      <c r="E37" s="176">
        <f>IF((SHIPMENTS!G43)=0,"",SHIPMENTS!G43)</f>
        <v>46332</v>
      </c>
      <c r="F37" s="109">
        <f>VLOOKUP(A37,Items!$A$5:$J$1000,3,0)</f>
        <v>1</v>
      </c>
      <c r="G37" s="98">
        <f>VLOOKUP(A37,load!$A$4:$U$5001,4,0)</f>
        <v>0.83883333333333332</v>
      </c>
      <c r="H37" s="97">
        <f>Manhours!$C$19</f>
        <v>6</v>
      </c>
      <c r="I37" s="98">
        <f t="shared" si="40"/>
        <v>54.599999999999994</v>
      </c>
      <c r="J37" s="99">
        <f t="shared" si="41"/>
        <v>1.5363247863247864E-2</v>
      </c>
      <c r="K37" s="99">
        <f t="shared" si="42"/>
        <v>0.13980555555555554</v>
      </c>
      <c r="L37" s="98">
        <f t="shared" si="43"/>
        <v>0</v>
      </c>
      <c r="M37" s="98">
        <f t="shared" si="44"/>
        <v>0</v>
      </c>
      <c r="N37" s="181">
        <f t="shared" si="45"/>
        <v>46314.383935439553</v>
      </c>
      <c r="O37" s="181">
        <f t="shared" si="46"/>
        <v>46314.383935439553</v>
      </c>
      <c r="P37" s="112">
        <f>VLOOKUP(A37,SHIPMENTS!$A$7:$AP$76,40,0)</f>
        <v>1</v>
      </c>
      <c r="Q37" s="101"/>
      <c r="R37" s="127" t="str">
        <f t="shared" si="38"/>
        <v/>
      </c>
      <c r="S37" s="127" t="str">
        <f t="shared" si="38"/>
        <v/>
      </c>
      <c r="T37" s="127" t="str">
        <f t="shared" si="38"/>
        <v/>
      </c>
      <c r="U37" s="127" t="str">
        <f t="shared" si="38"/>
        <v/>
      </c>
      <c r="V37" s="127" t="str">
        <f t="shared" si="38"/>
        <v/>
      </c>
      <c r="W37" s="127" t="str">
        <f t="shared" si="38"/>
        <v/>
      </c>
      <c r="X37" s="127" t="str">
        <f t="shared" si="38"/>
        <v/>
      </c>
      <c r="Y37" s="127" t="str">
        <f t="shared" si="38"/>
        <v/>
      </c>
      <c r="Z37" s="127" t="str">
        <f t="shared" si="38"/>
        <v/>
      </c>
      <c r="AA37" s="127" t="str">
        <f t="shared" si="38"/>
        <v/>
      </c>
      <c r="AB37" s="127" t="str">
        <f t="shared" si="38"/>
        <v/>
      </c>
      <c r="AC37" s="127" t="str">
        <f t="shared" si="38"/>
        <v/>
      </c>
      <c r="AD37" s="127" t="str">
        <f t="shared" si="38"/>
        <v/>
      </c>
      <c r="AE37" s="127" t="str">
        <f t="shared" si="38"/>
        <v/>
      </c>
      <c r="AF37" s="127" t="str">
        <f t="shared" si="38"/>
        <v/>
      </c>
      <c r="AG37" s="127" t="str">
        <f t="shared" si="38"/>
        <v/>
      </c>
      <c r="AH37" s="127" t="str">
        <f t="shared" si="32"/>
        <v>▲</v>
      </c>
      <c r="AI37" s="127" t="str">
        <f t="shared" si="32"/>
        <v/>
      </c>
      <c r="AJ37" s="127" t="str">
        <f t="shared" si="32"/>
        <v/>
      </c>
      <c r="AK37" s="127" t="str">
        <f t="shared" si="32"/>
        <v/>
      </c>
      <c r="AL37" s="127" t="str">
        <f t="shared" si="32"/>
        <v/>
      </c>
      <c r="AM37" s="127" t="str">
        <f t="shared" si="32"/>
        <v/>
      </c>
      <c r="AN37" s="127" t="str">
        <f t="shared" si="26"/>
        <v/>
      </c>
      <c r="AO37" s="127" t="str">
        <f t="shared" si="26"/>
        <v/>
      </c>
      <c r="AP37" s="127" t="str">
        <f t="shared" si="26"/>
        <v/>
      </c>
      <c r="AQ37" s="127" t="str">
        <f t="shared" si="26"/>
        <v/>
      </c>
      <c r="AR37" s="127" t="str">
        <f t="shared" si="26"/>
        <v/>
      </c>
      <c r="AS37" s="127" t="str">
        <f t="shared" si="26"/>
        <v/>
      </c>
      <c r="AT37" s="127" t="str">
        <f t="shared" si="26"/>
        <v/>
      </c>
      <c r="AU37" s="127" t="str">
        <f t="shared" si="26"/>
        <v/>
      </c>
      <c r="AV37" s="127" t="str">
        <f t="shared" si="26"/>
        <v/>
      </c>
      <c r="AW37" s="127" t="str">
        <f t="shared" si="26"/>
        <v/>
      </c>
      <c r="AX37" s="127" t="str">
        <f t="shared" si="26"/>
        <v/>
      </c>
      <c r="AY37" s="127" t="str">
        <f t="shared" si="26"/>
        <v/>
      </c>
      <c r="AZ37" s="127" t="str">
        <f t="shared" si="26"/>
        <v/>
      </c>
      <c r="BA37" s="127" t="str">
        <f t="shared" si="26"/>
        <v/>
      </c>
      <c r="BB37" s="127" t="str">
        <f t="shared" si="26"/>
        <v/>
      </c>
      <c r="BC37" s="127" t="str">
        <f t="shared" si="26"/>
        <v/>
      </c>
      <c r="BD37" s="127" t="str">
        <f t="shared" si="26"/>
        <v/>
      </c>
      <c r="BE37" s="127" t="str">
        <f t="shared" si="26"/>
        <v/>
      </c>
      <c r="BF37" s="127" t="str">
        <f t="shared" si="39"/>
        <v/>
      </c>
      <c r="BG37" s="127" t="str">
        <f t="shared" si="39"/>
        <v/>
      </c>
      <c r="BH37" s="127" t="str">
        <f t="shared" si="39"/>
        <v/>
      </c>
      <c r="BI37" s="127" t="str">
        <f t="shared" si="39"/>
        <v/>
      </c>
      <c r="BJ37" s="127" t="str">
        <f t="shared" si="39"/>
        <v/>
      </c>
      <c r="BK37" s="127" t="str">
        <f t="shared" si="39"/>
        <v/>
      </c>
      <c r="BL37" s="127" t="str">
        <f t="shared" si="39"/>
        <v/>
      </c>
      <c r="BM37" s="127" t="str">
        <f t="shared" si="39"/>
        <v/>
      </c>
      <c r="BN37" s="127" t="str">
        <f t="shared" si="39"/>
        <v/>
      </c>
      <c r="BO37" s="127" t="str">
        <f t="shared" si="39"/>
        <v/>
      </c>
      <c r="BP37" s="127" t="str">
        <f t="shared" si="39"/>
        <v/>
      </c>
      <c r="BQ37" s="127" t="str">
        <f t="shared" si="39"/>
        <v/>
      </c>
      <c r="BR37" s="127" t="str">
        <f t="shared" si="47"/>
        <v/>
      </c>
      <c r="BS37" s="127" t="str">
        <f t="shared" si="47"/>
        <v/>
      </c>
      <c r="BT37" s="127" t="str">
        <f t="shared" si="47"/>
        <v/>
      </c>
      <c r="BU37" s="127" t="str">
        <f t="shared" si="47"/>
        <v/>
      </c>
      <c r="BV37" s="127" t="str">
        <f t="shared" si="47"/>
        <v/>
      </c>
      <c r="BW37" s="127" t="str">
        <f t="shared" si="47"/>
        <v/>
      </c>
      <c r="BX37" s="127" t="str">
        <f t="shared" si="47"/>
        <v/>
      </c>
      <c r="BY37" s="127" t="str">
        <f t="shared" si="47"/>
        <v/>
      </c>
      <c r="BZ37" s="127" t="str">
        <f t="shared" si="47"/>
        <v/>
      </c>
      <c r="CA37" s="127" t="str">
        <f t="shared" si="47"/>
        <v/>
      </c>
      <c r="CB37" s="127" t="str">
        <f t="shared" si="47"/>
        <v/>
      </c>
      <c r="CC37" s="127" t="str">
        <f t="shared" si="47"/>
        <v/>
      </c>
      <c r="CD37" s="127" t="str">
        <f t="shared" si="47"/>
        <v/>
      </c>
      <c r="CE37" s="127" t="str">
        <f t="shared" si="47"/>
        <v/>
      </c>
    </row>
    <row r="38" spans="1:83" ht="12.75" customHeight="1" x14ac:dyDescent="0.2">
      <c r="A38" s="106">
        <f>SHIPMENTS!A44</f>
        <v>8814</v>
      </c>
      <c r="B38" s="106" t="str">
        <f>SHIPMENTS!B44</f>
        <v>27200-UAE</v>
      </c>
      <c r="C38" s="132">
        <f>SHIPMENTS!F44</f>
        <v>0.06</v>
      </c>
      <c r="D38" s="107" t="str">
        <f>IF((SHIPMENTS!I44)=0,"",SHIPMENTS!I44)</f>
        <v>LCL</v>
      </c>
      <c r="E38" s="176">
        <f>IF((SHIPMENTS!G44)=0,"",SHIPMENTS!G44)</f>
        <v>46332</v>
      </c>
      <c r="F38" s="109">
        <f>VLOOKUP(A38,Items!$A$5:$J$1000,3,0)</f>
        <v>0</v>
      </c>
      <c r="G38" s="98">
        <f>VLOOKUP(A38,load!$A$4:$U$5001,4,0)</f>
        <v>1.1080000000000001</v>
      </c>
      <c r="H38" s="97">
        <f>Manhours!$C$19</f>
        <v>6</v>
      </c>
      <c r="I38" s="98">
        <f t="shared" si="40"/>
        <v>54.599999999999994</v>
      </c>
      <c r="J38" s="99">
        <f t="shared" si="41"/>
        <v>2.0293040293040295E-2</v>
      </c>
      <c r="K38" s="99">
        <f t="shared" si="42"/>
        <v>0.18466666666666667</v>
      </c>
      <c r="L38" s="98">
        <f t="shared" si="43"/>
        <v>2.0293040293040295E-2</v>
      </c>
      <c r="M38" s="98">
        <f t="shared" si="44"/>
        <v>0.18466666666666667</v>
      </c>
      <c r="N38" s="181">
        <f t="shared" si="45"/>
        <v>46314.383935439553</v>
      </c>
      <c r="O38" s="181">
        <f t="shared" si="46"/>
        <v>46314.404228479849</v>
      </c>
      <c r="P38" s="112">
        <f>VLOOKUP(A38,SHIPMENTS!$A$7:$AP$76,40,0)</f>
        <v>0</v>
      </c>
      <c r="Q38" s="101"/>
      <c r="R38" s="127" t="str">
        <f t="shared" si="38"/>
        <v/>
      </c>
      <c r="S38" s="127" t="str">
        <f t="shared" si="38"/>
        <v/>
      </c>
      <c r="T38" s="127" t="str">
        <f t="shared" si="38"/>
        <v/>
      </c>
      <c r="U38" s="127" t="str">
        <f t="shared" si="38"/>
        <v/>
      </c>
      <c r="V38" s="127" t="str">
        <f t="shared" si="38"/>
        <v/>
      </c>
      <c r="W38" s="127" t="str">
        <f t="shared" si="38"/>
        <v/>
      </c>
      <c r="X38" s="127" t="str">
        <f t="shared" si="38"/>
        <v/>
      </c>
      <c r="Y38" s="127" t="str">
        <f t="shared" si="38"/>
        <v/>
      </c>
      <c r="Z38" s="127" t="str">
        <f t="shared" si="38"/>
        <v/>
      </c>
      <c r="AA38" s="127" t="str">
        <f t="shared" si="38"/>
        <v/>
      </c>
      <c r="AB38" s="127" t="str">
        <f t="shared" si="38"/>
        <v/>
      </c>
      <c r="AC38" s="127" t="str">
        <f t="shared" si="38"/>
        <v/>
      </c>
      <c r="AD38" s="127" t="str">
        <f t="shared" si="38"/>
        <v/>
      </c>
      <c r="AE38" s="127" t="str">
        <f t="shared" si="38"/>
        <v/>
      </c>
      <c r="AF38" s="127" t="str">
        <f t="shared" si="38"/>
        <v/>
      </c>
      <c r="AG38" s="127" t="str">
        <f t="shared" si="38"/>
        <v/>
      </c>
      <c r="AH38" s="127" t="str">
        <f t="shared" si="32"/>
        <v>▲</v>
      </c>
      <c r="AI38" s="127" t="str">
        <f t="shared" si="32"/>
        <v/>
      </c>
      <c r="AJ38" s="127" t="str">
        <f t="shared" si="32"/>
        <v/>
      </c>
      <c r="AK38" s="127" t="str">
        <f t="shared" si="32"/>
        <v/>
      </c>
      <c r="AL38" s="127" t="str">
        <f t="shared" si="32"/>
        <v/>
      </c>
      <c r="AM38" s="127" t="str">
        <f t="shared" si="32"/>
        <v/>
      </c>
      <c r="AN38" s="127" t="str">
        <f t="shared" si="26"/>
        <v/>
      </c>
      <c r="AO38" s="127" t="str">
        <f t="shared" si="26"/>
        <v/>
      </c>
      <c r="AP38" s="127" t="str">
        <f t="shared" si="26"/>
        <v/>
      </c>
      <c r="AQ38" s="127" t="str">
        <f t="shared" si="26"/>
        <v/>
      </c>
      <c r="AR38" s="127" t="str">
        <f t="shared" si="26"/>
        <v/>
      </c>
      <c r="AS38" s="127" t="str">
        <f t="shared" si="26"/>
        <v/>
      </c>
      <c r="AT38" s="127" t="str">
        <f t="shared" si="26"/>
        <v/>
      </c>
      <c r="AU38" s="127" t="str">
        <f t="shared" si="26"/>
        <v/>
      </c>
      <c r="AV38" s="127" t="str">
        <f t="shared" si="26"/>
        <v/>
      </c>
      <c r="AW38" s="127" t="str">
        <f t="shared" si="26"/>
        <v/>
      </c>
      <c r="AX38" s="127" t="str">
        <f t="shared" si="26"/>
        <v/>
      </c>
      <c r="AY38" s="127" t="str">
        <f t="shared" si="26"/>
        <v/>
      </c>
      <c r="AZ38" s="127" t="str">
        <f t="shared" si="26"/>
        <v/>
      </c>
      <c r="BA38" s="127" t="str">
        <f t="shared" si="26"/>
        <v/>
      </c>
      <c r="BB38" s="127" t="str">
        <f t="shared" si="26"/>
        <v/>
      </c>
      <c r="BC38" s="127" t="str">
        <f t="shared" si="26"/>
        <v/>
      </c>
      <c r="BD38" s="127" t="str">
        <f t="shared" si="26"/>
        <v/>
      </c>
      <c r="BE38" s="127" t="str">
        <f t="shared" si="26"/>
        <v/>
      </c>
      <c r="BF38" s="127" t="str">
        <f t="shared" si="39"/>
        <v/>
      </c>
      <c r="BG38" s="127" t="str">
        <f t="shared" si="39"/>
        <v/>
      </c>
      <c r="BH38" s="127" t="str">
        <f t="shared" si="39"/>
        <v/>
      </c>
      <c r="BI38" s="127" t="str">
        <f t="shared" si="39"/>
        <v/>
      </c>
      <c r="BJ38" s="127" t="str">
        <f t="shared" si="39"/>
        <v/>
      </c>
      <c r="BK38" s="127" t="str">
        <f t="shared" si="39"/>
        <v/>
      </c>
      <c r="BL38" s="127" t="str">
        <f t="shared" si="39"/>
        <v/>
      </c>
      <c r="BM38" s="127" t="str">
        <f t="shared" si="39"/>
        <v/>
      </c>
      <c r="BN38" s="127" t="str">
        <f t="shared" si="39"/>
        <v/>
      </c>
      <c r="BO38" s="127" t="str">
        <f t="shared" si="39"/>
        <v/>
      </c>
      <c r="BP38" s="127" t="str">
        <f t="shared" si="39"/>
        <v/>
      </c>
      <c r="BQ38" s="127" t="str">
        <f t="shared" si="39"/>
        <v/>
      </c>
      <c r="BR38" s="127" t="str">
        <f t="shared" si="47"/>
        <v/>
      </c>
      <c r="BS38" s="127" t="str">
        <f t="shared" si="47"/>
        <v/>
      </c>
      <c r="BT38" s="127" t="str">
        <f t="shared" si="47"/>
        <v/>
      </c>
      <c r="BU38" s="127" t="str">
        <f t="shared" si="47"/>
        <v/>
      </c>
      <c r="BV38" s="127" t="str">
        <f t="shared" si="47"/>
        <v/>
      </c>
      <c r="BW38" s="127" t="str">
        <f t="shared" si="47"/>
        <v/>
      </c>
      <c r="BX38" s="127" t="str">
        <f t="shared" si="47"/>
        <v/>
      </c>
      <c r="BY38" s="127" t="str">
        <f t="shared" si="47"/>
        <v/>
      </c>
      <c r="BZ38" s="127" t="str">
        <f t="shared" si="47"/>
        <v/>
      </c>
      <c r="CA38" s="127" t="str">
        <f t="shared" si="47"/>
        <v/>
      </c>
      <c r="CB38" s="127" t="str">
        <f t="shared" si="47"/>
        <v/>
      </c>
      <c r="CC38" s="127" t="str">
        <f t="shared" si="47"/>
        <v/>
      </c>
      <c r="CD38" s="127" t="str">
        <f t="shared" si="47"/>
        <v/>
      </c>
      <c r="CE38" s="127" t="str">
        <f t="shared" si="47"/>
        <v/>
      </c>
    </row>
    <row r="39" spans="1:83" ht="12.75" customHeight="1" x14ac:dyDescent="0.2">
      <c r="A39" s="106">
        <f>SHIPMENTS!A45</f>
        <v>9143</v>
      </c>
      <c r="B39" s="106" t="str">
        <f>SHIPMENTS!B45</f>
        <v>43301-THAILAND</v>
      </c>
      <c r="C39" s="132">
        <f>SHIPMENTS!F45</f>
        <v>4.75</v>
      </c>
      <c r="D39" s="107" t="str">
        <f>IF((SHIPMENTS!I45)=0,"",SHIPMENTS!I45)</f>
        <v>1x20</v>
      </c>
      <c r="E39" s="176">
        <f>IF((SHIPMENTS!G45)=0,"",SHIPMENTS!G45)</f>
        <v>46332</v>
      </c>
      <c r="F39" s="109">
        <f>VLOOKUP(A39,Items!$A$5:$J$1000,3,0)</f>
        <v>12</v>
      </c>
      <c r="G39" s="98">
        <f>VLOOKUP(A39,load!$A$4:$U$5001,4,0)</f>
        <v>7.0283333333333333</v>
      </c>
      <c r="H39" s="97">
        <f>Manhours!$C$19</f>
        <v>6</v>
      </c>
      <c r="I39" s="98">
        <f t="shared" si="40"/>
        <v>54.599999999999994</v>
      </c>
      <c r="J39" s="99">
        <f t="shared" si="41"/>
        <v>0.12872405372405374</v>
      </c>
      <c r="K39" s="99">
        <f t="shared" si="42"/>
        <v>1.171388888888889</v>
      </c>
      <c r="L39" s="98">
        <f t="shared" si="43"/>
        <v>0</v>
      </c>
      <c r="M39" s="98">
        <f t="shared" si="44"/>
        <v>0</v>
      </c>
      <c r="N39" s="181">
        <f t="shared" si="45"/>
        <v>46314.404228479849</v>
      </c>
      <c r="O39" s="181">
        <f t="shared" si="46"/>
        <v>46314.404228479849</v>
      </c>
      <c r="P39" s="112">
        <f>VLOOKUP(A39,SHIPMENTS!$A$7:$AP$76,40,0)</f>
        <v>1</v>
      </c>
      <c r="Q39" s="101"/>
      <c r="R39" s="127" t="str">
        <f t="shared" si="38"/>
        <v/>
      </c>
      <c r="S39" s="127" t="str">
        <f t="shared" si="38"/>
        <v/>
      </c>
      <c r="T39" s="127" t="str">
        <f t="shared" si="38"/>
        <v/>
      </c>
      <c r="U39" s="127" t="str">
        <f t="shared" si="38"/>
        <v/>
      </c>
      <c r="V39" s="127" t="str">
        <f t="shared" si="38"/>
        <v/>
      </c>
      <c r="W39" s="127" t="str">
        <f t="shared" si="38"/>
        <v/>
      </c>
      <c r="X39" s="127" t="str">
        <f t="shared" si="38"/>
        <v/>
      </c>
      <c r="Y39" s="127" t="str">
        <f t="shared" si="38"/>
        <v/>
      </c>
      <c r="Z39" s="127" t="str">
        <f t="shared" si="38"/>
        <v/>
      </c>
      <c r="AA39" s="127" t="str">
        <f t="shared" si="38"/>
        <v/>
      </c>
      <c r="AB39" s="127" t="str">
        <f t="shared" si="38"/>
        <v/>
      </c>
      <c r="AC39" s="127" t="str">
        <f t="shared" si="38"/>
        <v/>
      </c>
      <c r="AD39" s="127" t="str">
        <f t="shared" si="38"/>
        <v/>
      </c>
      <c r="AE39" s="127" t="str">
        <f t="shared" si="38"/>
        <v/>
      </c>
      <c r="AF39" s="127" t="str">
        <f t="shared" si="38"/>
        <v/>
      </c>
      <c r="AG39" s="127" t="str">
        <f t="shared" si="38"/>
        <v/>
      </c>
      <c r="AH39" s="127" t="str">
        <f t="shared" si="32"/>
        <v>▲</v>
      </c>
      <c r="AI39" s="127" t="str">
        <f t="shared" si="32"/>
        <v/>
      </c>
      <c r="AJ39" s="127" t="str">
        <f t="shared" si="32"/>
        <v/>
      </c>
      <c r="AK39" s="127" t="str">
        <f t="shared" si="32"/>
        <v/>
      </c>
      <c r="AL39" s="127" t="str">
        <f t="shared" si="32"/>
        <v/>
      </c>
      <c r="AM39" s="127" t="str">
        <f t="shared" si="32"/>
        <v/>
      </c>
      <c r="AN39" s="127" t="str">
        <f t="shared" si="26"/>
        <v/>
      </c>
      <c r="AO39" s="127" t="str">
        <f t="shared" si="26"/>
        <v/>
      </c>
      <c r="AP39" s="127" t="str">
        <f t="shared" si="26"/>
        <v/>
      </c>
      <c r="AQ39" s="127" t="str">
        <f t="shared" si="26"/>
        <v/>
      </c>
      <c r="AR39" s="127" t="str">
        <f t="shared" si="26"/>
        <v/>
      </c>
      <c r="AS39" s="127" t="str">
        <f t="shared" si="26"/>
        <v/>
      </c>
      <c r="AT39" s="127" t="str">
        <f t="shared" si="26"/>
        <v/>
      </c>
      <c r="AU39" s="127" t="str">
        <f t="shared" si="26"/>
        <v/>
      </c>
      <c r="AV39" s="127" t="str">
        <f t="shared" si="26"/>
        <v/>
      </c>
      <c r="AW39" s="127" t="str">
        <f t="shared" si="26"/>
        <v/>
      </c>
      <c r="AX39" s="127" t="str">
        <f t="shared" si="26"/>
        <v/>
      </c>
      <c r="AY39" s="127" t="str">
        <f t="shared" si="26"/>
        <v/>
      </c>
      <c r="AZ39" s="127" t="str">
        <f t="shared" si="26"/>
        <v/>
      </c>
      <c r="BA39" s="127" t="str">
        <f t="shared" si="26"/>
        <v/>
      </c>
      <c r="BB39" s="127" t="str">
        <f t="shared" si="26"/>
        <v/>
      </c>
      <c r="BC39" s="127" t="str">
        <f t="shared" si="26"/>
        <v/>
      </c>
      <c r="BD39" s="127" t="str">
        <f t="shared" si="26"/>
        <v/>
      </c>
      <c r="BE39" s="127" t="str">
        <f t="shared" si="26"/>
        <v/>
      </c>
      <c r="BF39" s="127" t="str">
        <f t="shared" si="39"/>
        <v/>
      </c>
      <c r="BG39" s="127" t="str">
        <f t="shared" si="39"/>
        <v/>
      </c>
      <c r="BH39" s="127" t="str">
        <f t="shared" si="39"/>
        <v/>
      </c>
      <c r="BI39" s="127" t="str">
        <f t="shared" si="39"/>
        <v/>
      </c>
      <c r="BJ39" s="127" t="str">
        <f t="shared" si="39"/>
        <v/>
      </c>
      <c r="BK39" s="127" t="str">
        <f t="shared" si="39"/>
        <v/>
      </c>
      <c r="BL39" s="127" t="str">
        <f t="shared" si="39"/>
        <v/>
      </c>
      <c r="BM39" s="127" t="str">
        <f t="shared" si="39"/>
        <v/>
      </c>
      <c r="BN39" s="127" t="str">
        <f t="shared" si="39"/>
        <v/>
      </c>
      <c r="BO39" s="127" t="str">
        <f t="shared" si="39"/>
        <v/>
      </c>
      <c r="BP39" s="127" t="str">
        <f t="shared" si="39"/>
        <v/>
      </c>
      <c r="BQ39" s="127" t="str">
        <f t="shared" si="39"/>
        <v/>
      </c>
      <c r="BR39" s="127" t="str">
        <f t="shared" si="47"/>
        <v/>
      </c>
      <c r="BS39" s="127" t="str">
        <f t="shared" si="47"/>
        <v/>
      </c>
      <c r="BT39" s="127" t="str">
        <f t="shared" si="47"/>
        <v/>
      </c>
      <c r="BU39" s="127" t="str">
        <f t="shared" si="47"/>
        <v/>
      </c>
      <c r="BV39" s="127" t="str">
        <f t="shared" si="47"/>
        <v/>
      </c>
      <c r="BW39" s="127" t="str">
        <f t="shared" si="47"/>
        <v/>
      </c>
      <c r="BX39" s="127" t="str">
        <f t="shared" si="47"/>
        <v/>
      </c>
      <c r="BY39" s="127" t="str">
        <f t="shared" si="47"/>
        <v/>
      </c>
      <c r="BZ39" s="127" t="str">
        <f t="shared" si="47"/>
        <v/>
      </c>
      <c r="CA39" s="127" t="str">
        <f t="shared" si="47"/>
        <v/>
      </c>
      <c r="CB39" s="127" t="str">
        <f t="shared" si="47"/>
        <v/>
      </c>
      <c r="CC39" s="127" t="str">
        <f t="shared" si="47"/>
        <v/>
      </c>
      <c r="CD39" s="127" t="str">
        <f t="shared" si="47"/>
        <v/>
      </c>
      <c r="CE39" s="127" t="str">
        <f t="shared" si="47"/>
        <v/>
      </c>
    </row>
    <row r="40" spans="1:83" ht="12.75" customHeight="1" x14ac:dyDescent="0.2">
      <c r="A40" s="106">
        <f>SHIPMENTS!A46</f>
        <v>9160</v>
      </c>
      <c r="B40" s="106" t="str">
        <f>SHIPMENTS!B46</f>
        <v>51700-MAURITIUS</v>
      </c>
      <c r="C40" s="132">
        <f>SHIPMENTS!F46</f>
        <v>0.97</v>
      </c>
      <c r="D40" s="107" t="str">
        <f>IF((SHIPMENTS!I46)=0,"",SHIPMENTS!I46)</f>
        <v>1x20</v>
      </c>
      <c r="E40" s="176">
        <f>IF((SHIPMENTS!G46)=0,"",SHIPMENTS!G46)</f>
        <v>46332</v>
      </c>
      <c r="F40" s="109">
        <f>VLOOKUP(A40,Items!$A$5:$J$1000,3,0)</f>
        <v>5</v>
      </c>
      <c r="G40" s="98">
        <f>VLOOKUP(A40,load!$A$4:$U$5001,4,0)</f>
        <v>5.1950000000000003</v>
      </c>
      <c r="H40" s="97">
        <f>Manhours!$C$19</f>
        <v>6</v>
      </c>
      <c r="I40" s="98">
        <f t="shared" si="40"/>
        <v>54.599999999999994</v>
      </c>
      <c r="J40" s="99">
        <f t="shared" si="41"/>
        <v>9.5146520146520155E-2</v>
      </c>
      <c r="K40" s="99">
        <f t="shared" si="42"/>
        <v>0.86583333333333334</v>
      </c>
      <c r="L40" s="98">
        <f t="shared" si="43"/>
        <v>0</v>
      </c>
      <c r="M40" s="98">
        <f t="shared" si="44"/>
        <v>0</v>
      </c>
      <c r="N40" s="181">
        <f t="shared" si="45"/>
        <v>46314.404228479849</v>
      </c>
      <c r="O40" s="181">
        <f t="shared" si="46"/>
        <v>46314.404228479849</v>
      </c>
      <c r="P40" s="112">
        <f>VLOOKUP(A40,SHIPMENTS!$A$7:$AP$76,40,0)</f>
        <v>1</v>
      </c>
      <c r="Q40" s="101"/>
      <c r="R40" s="127" t="str">
        <f t="shared" si="38"/>
        <v/>
      </c>
      <c r="S40" s="127" t="str">
        <f t="shared" si="38"/>
        <v/>
      </c>
      <c r="T40" s="127" t="str">
        <f t="shared" si="38"/>
        <v/>
      </c>
      <c r="U40" s="127" t="str">
        <f t="shared" si="38"/>
        <v/>
      </c>
      <c r="V40" s="127" t="str">
        <f t="shared" si="38"/>
        <v/>
      </c>
      <c r="W40" s="127" t="str">
        <f t="shared" si="38"/>
        <v/>
      </c>
      <c r="X40" s="127" t="str">
        <f t="shared" si="38"/>
        <v/>
      </c>
      <c r="Y40" s="127" t="str">
        <f t="shared" si="38"/>
        <v/>
      </c>
      <c r="Z40" s="127" t="str">
        <f t="shared" si="38"/>
        <v/>
      </c>
      <c r="AA40" s="127" t="str">
        <f t="shared" si="38"/>
        <v/>
      </c>
      <c r="AB40" s="127" t="str">
        <f t="shared" si="38"/>
        <v/>
      </c>
      <c r="AC40" s="127" t="str">
        <f t="shared" si="38"/>
        <v/>
      </c>
      <c r="AD40" s="127" t="str">
        <f t="shared" si="38"/>
        <v/>
      </c>
      <c r="AE40" s="127" t="str">
        <f t="shared" si="38"/>
        <v/>
      </c>
      <c r="AF40" s="127" t="str">
        <f t="shared" si="38"/>
        <v/>
      </c>
      <c r="AG40" s="127" t="str">
        <f t="shared" si="38"/>
        <v/>
      </c>
      <c r="AH40" s="127" t="str">
        <f t="shared" si="32"/>
        <v>▲</v>
      </c>
      <c r="AI40" s="127" t="str">
        <f t="shared" si="32"/>
        <v/>
      </c>
      <c r="AJ40" s="127" t="str">
        <f t="shared" si="32"/>
        <v/>
      </c>
      <c r="AK40" s="127" t="str">
        <f t="shared" si="32"/>
        <v/>
      </c>
      <c r="AL40" s="127" t="str">
        <f t="shared" si="32"/>
        <v/>
      </c>
      <c r="AM40" s="127" t="str">
        <f t="shared" si="32"/>
        <v/>
      </c>
      <c r="AN40" s="127" t="str">
        <f t="shared" si="26"/>
        <v/>
      </c>
      <c r="AO40" s="127" t="str">
        <f t="shared" si="26"/>
        <v/>
      </c>
      <c r="AP40" s="127" t="str">
        <f t="shared" si="26"/>
        <v/>
      </c>
      <c r="AQ40" s="127" t="str">
        <f t="shared" si="26"/>
        <v/>
      </c>
      <c r="AR40" s="127" t="str">
        <f t="shared" si="26"/>
        <v/>
      </c>
      <c r="AS40" s="127" t="str">
        <f t="shared" si="26"/>
        <v/>
      </c>
      <c r="AT40" s="127" t="str">
        <f t="shared" si="26"/>
        <v/>
      </c>
      <c r="AU40" s="127" t="str">
        <f t="shared" si="26"/>
        <v/>
      </c>
      <c r="AV40" s="127" t="str">
        <f t="shared" si="26"/>
        <v/>
      </c>
      <c r="AW40" s="127" t="str">
        <f t="shared" si="26"/>
        <v/>
      </c>
      <c r="AX40" s="127" t="str">
        <f t="shared" si="26"/>
        <v/>
      </c>
      <c r="AY40" s="127" t="str">
        <f t="shared" si="26"/>
        <v/>
      </c>
      <c r="AZ40" s="127" t="str">
        <f t="shared" si="26"/>
        <v/>
      </c>
      <c r="BA40" s="127" t="str">
        <f t="shared" si="26"/>
        <v/>
      </c>
      <c r="BB40" s="127" t="str">
        <f t="shared" si="26"/>
        <v/>
      </c>
      <c r="BC40" s="127" t="str">
        <f t="shared" si="26"/>
        <v/>
      </c>
      <c r="BD40" s="127" t="str">
        <f t="shared" si="26"/>
        <v/>
      </c>
      <c r="BE40" s="127" t="str">
        <f t="shared" si="26"/>
        <v/>
      </c>
      <c r="BF40" s="127" t="str">
        <f t="shared" si="39"/>
        <v/>
      </c>
      <c r="BG40" s="127" t="str">
        <f t="shared" si="39"/>
        <v/>
      </c>
      <c r="BH40" s="127" t="str">
        <f t="shared" si="39"/>
        <v/>
      </c>
      <c r="BI40" s="127" t="str">
        <f t="shared" si="39"/>
        <v/>
      </c>
      <c r="BJ40" s="127" t="str">
        <f t="shared" si="39"/>
        <v/>
      </c>
      <c r="BK40" s="127" t="str">
        <f t="shared" si="39"/>
        <v/>
      </c>
      <c r="BL40" s="127" t="str">
        <f t="shared" si="39"/>
        <v/>
      </c>
      <c r="BM40" s="127" t="str">
        <f t="shared" si="39"/>
        <v/>
      </c>
      <c r="BN40" s="127" t="str">
        <f t="shared" si="39"/>
        <v/>
      </c>
      <c r="BO40" s="127" t="str">
        <f t="shared" si="39"/>
        <v/>
      </c>
      <c r="BP40" s="127" t="str">
        <f t="shared" si="39"/>
        <v/>
      </c>
      <c r="BQ40" s="127" t="str">
        <f t="shared" si="39"/>
        <v/>
      </c>
      <c r="BR40" s="127" t="str">
        <f t="shared" si="47"/>
        <v/>
      </c>
      <c r="BS40" s="127" t="str">
        <f t="shared" si="47"/>
        <v/>
      </c>
      <c r="BT40" s="127" t="str">
        <f t="shared" si="47"/>
        <v/>
      </c>
      <c r="BU40" s="127" t="str">
        <f t="shared" si="47"/>
        <v/>
      </c>
      <c r="BV40" s="127" t="str">
        <f t="shared" si="47"/>
        <v/>
      </c>
      <c r="BW40" s="127" t="str">
        <f t="shared" si="47"/>
        <v/>
      </c>
      <c r="BX40" s="127" t="str">
        <f t="shared" si="47"/>
        <v/>
      </c>
      <c r="BY40" s="127" t="str">
        <f t="shared" si="47"/>
        <v/>
      </c>
      <c r="BZ40" s="127" t="str">
        <f t="shared" si="47"/>
        <v/>
      </c>
      <c r="CA40" s="127" t="str">
        <f t="shared" si="47"/>
        <v/>
      </c>
      <c r="CB40" s="127" t="str">
        <f t="shared" si="47"/>
        <v/>
      </c>
      <c r="CC40" s="127" t="str">
        <f t="shared" si="47"/>
        <v/>
      </c>
      <c r="CD40" s="127" t="str">
        <f t="shared" si="47"/>
        <v/>
      </c>
      <c r="CE40" s="127" t="str">
        <f t="shared" si="47"/>
        <v/>
      </c>
    </row>
    <row r="41" spans="1:83" ht="12.75" hidden="1" customHeight="1" x14ac:dyDescent="0.2">
      <c r="A41" s="106">
        <f>SHIPMENTS!A47</f>
        <v>9164</v>
      </c>
      <c r="B41" s="106" t="str">
        <f>SHIPMENTS!B47</f>
        <v>1500-SAWO SAUNA EUROPE BV BACKLOG</v>
      </c>
      <c r="C41" s="132">
        <f>SHIPMENTS!F47</f>
        <v>100.97952000000001</v>
      </c>
      <c r="D41" s="107" t="str">
        <f>IF((SHIPMENTS!I47)=0,"",SHIPMENTS!I47)</f>
        <v>1X40HC</v>
      </c>
      <c r="E41" s="176">
        <f>IF((SHIPMENTS!G47)=0,"",SHIPMENTS!G47)</f>
        <v>46339</v>
      </c>
      <c r="F41" s="109">
        <f>VLOOKUP(A41,Items!$A$5:$J$1000,3,0)</f>
        <v>0</v>
      </c>
      <c r="G41" s="98">
        <f>VLOOKUP(A41,load!$A$4:$U$5001,4,0)</f>
        <v>32.482500000000002</v>
      </c>
      <c r="H41" s="97">
        <f>Manhours!$C$19</f>
        <v>6</v>
      </c>
      <c r="I41" s="98">
        <f t="shared" si="40"/>
        <v>54.599999999999994</v>
      </c>
      <c r="J41" s="99">
        <f t="shared" si="41"/>
        <v>0.59491758241758252</v>
      </c>
      <c r="K41" s="99">
        <f t="shared" si="42"/>
        <v>5.4137500000000012</v>
      </c>
      <c r="L41" s="98">
        <f t="shared" si="43"/>
        <v>0</v>
      </c>
      <c r="M41" s="98">
        <f t="shared" si="44"/>
        <v>0</v>
      </c>
      <c r="N41" s="181">
        <f t="shared" si="45"/>
        <v>46314.404228479849</v>
      </c>
      <c r="O41" s="181">
        <f t="shared" si="46"/>
        <v>46314.404228479849</v>
      </c>
      <c r="P41" s="112">
        <f>VLOOKUP(A41,SHIPMENTS!$A$7:$AP$76,40,0)</f>
        <v>1</v>
      </c>
      <c r="Q41" s="101"/>
      <c r="R41" s="127" t="str">
        <f t="shared" si="38"/>
        <v/>
      </c>
      <c r="S41" s="127" t="str">
        <f t="shared" si="38"/>
        <v/>
      </c>
      <c r="T41" s="127" t="str">
        <f t="shared" si="38"/>
        <v/>
      </c>
      <c r="U41" s="127" t="str">
        <f t="shared" si="38"/>
        <v/>
      </c>
      <c r="V41" s="127" t="str">
        <f t="shared" si="38"/>
        <v/>
      </c>
      <c r="W41" s="127" t="str">
        <f t="shared" si="38"/>
        <v/>
      </c>
      <c r="X41" s="127" t="str">
        <f t="shared" si="38"/>
        <v/>
      </c>
      <c r="Y41" s="127" t="str">
        <f t="shared" si="38"/>
        <v/>
      </c>
      <c r="Z41" s="127" t="str">
        <f t="shared" si="38"/>
        <v/>
      </c>
      <c r="AA41" s="127" t="str">
        <f t="shared" si="38"/>
        <v/>
      </c>
      <c r="AB41" s="127" t="str">
        <f t="shared" si="38"/>
        <v/>
      </c>
      <c r="AC41" s="127" t="str">
        <f t="shared" si="38"/>
        <v/>
      </c>
      <c r="AD41" s="127" t="str">
        <f t="shared" si="38"/>
        <v/>
      </c>
      <c r="AE41" s="127" t="str">
        <f t="shared" si="38"/>
        <v/>
      </c>
      <c r="AF41" s="127" t="str">
        <f t="shared" si="38"/>
        <v/>
      </c>
      <c r="AG41" s="127" t="str">
        <f t="shared" si="38"/>
        <v/>
      </c>
      <c r="AH41" s="127" t="str">
        <f t="shared" si="32"/>
        <v/>
      </c>
      <c r="AI41" s="127" t="str">
        <f t="shared" si="32"/>
        <v/>
      </c>
      <c r="AJ41" s="127" t="str">
        <f t="shared" si="32"/>
        <v/>
      </c>
      <c r="AK41" s="127" t="str">
        <f t="shared" si="32"/>
        <v/>
      </c>
      <c r="AL41" s="127" t="str">
        <f t="shared" si="32"/>
        <v/>
      </c>
      <c r="AM41" s="127" t="str">
        <f t="shared" si="32"/>
        <v/>
      </c>
      <c r="AN41" s="127" t="str">
        <f t="shared" si="26"/>
        <v>▲</v>
      </c>
      <c r="AO41" s="127" t="str">
        <f t="shared" si="26"/>
        <v/>
      </c>
      <c r="AP41" s="127" t="str">
        <f t="shared" si="26"/>
        <v/>
      </c>
      <c r="AQ41" s="127" t="str">
        <f t="shared" si="26"/>
        <v/>
      </c>
      <c r="AR41" s="127" t="str">
        <f t="shared" si="26"/>
        <v/>
      </c>
      <c r="AS41" s="127" t="str">
        <f t="shared" si="26"/>
        <v/>
      </c>
      <c r="AT41" s="127" t="str">
        <f t="shared" si="26"/>
        <v/>
      </c>
      <c r="AU41" s="127" t="str">
        <f t="shared" si="26"/>
        <v/>
      </c>
      <c r="AV41" s="127" t="str">
        <f t="shared" si="26"/>
        <v/>
      </c>
      <c r="AW41" s="127" t="str">
        <f t="shared" si="26"/>
        <v/>
      </c>
      <c r="AX41" s="127" t="str">
        <f t="shared" si="26"/>
        <v/>
      </c>
      <c r="AY41" s="127" t="str">
        <f t="shared" si="26"/>
        <v/>
      </c>
      <c r="AZ41" s="127" t="str">
        <f t="shared" si="26"/>
        <v/>
      </c>
      <c r="BA41" s="127" t="str">
        <f t="shared" si="26"/>
        <v/>
      </c>
      <c r="BB41" s="127" t="str">
        <f t="shared" si="26"/>
        <v/>
      </c>
      <c r="BC41" s="127" t="str">
        <f t="shared" si="26"/>
        <v/>
      </c>
      <c r="BD41" s="127" t="str">
        <f t="shared" si="26"/>
        <v/>
      </c>
      <c r="BE41" s="127" t="str">
        <f t="shared" si="26"/>
        <v/>
      </c>
      <c r="BF41" s="127" t="str">
        <f t="shared" si="39"/>
        <v/>
      </c>
      <c r="BG41" s="127" t="str">
        <f t="shared" si="39"/>
        <v/>
      </c>
      <c r="BH41" s="127" t="str">
        <f t="shared" si="39"/>
        <v/>
      </c>
      <c r="BI41" s="127" t="str">
        <f t="shared" si="39"/>
        <v/>
      </c>
      <c r="BJ41" s="127" t="str">
        <f t="shared" si="39"/>
        <v/>
      </c>
      <c r="BK41" s="127" t="str">
        <f t="shared" si="39"/>
        <v/>
      </c>
      <c r="BL41" s="127" t="str">
        <f t="shared" si="39"/>
        <v/>
      </c>
      <c r="BM41" s="127" t="str">
        <f t="shared" si="39"/>
        <v/>
      </c>
      <c r="BN41" s="127" t="str">
        <f t="shared" si="39"/>
        <v/>
      </c>
      <c r="BO41" s="127" t="str">
        <f t="shared" si="39"/>
        <v/>
      </c>
      <c r="BP41" s="127" t="str">
        <f t="shared" si="39"/>
        <v/>
      </c>
      <c r="BQ41" s="127" t="str">
        <f t="shared" si="39"/>
        <v/>
      </c>
      <c r="BR41" s="127" t="str">
        <f t="shared" si="47"/>
        <v/>
      </c>
      <c r="BS41" s="127" t="str">
        <f t="shared" si="47"/>
        <v/>
      </c>
      <c r="BT41" s="127" t="str">
        <f t="shared" si="47"/>
        <v/>
      </c>
      <c r="BU41" s="127" t="str">
        <f t="shared" si="47"/>
        <v/>
      </c>
      <c r="BV41" s="127" t="str">
        <f t="shared" si="47"/>
        <v/>
      </c>
      <c r="BW41" s="127" t="str">
        <f t="shared" si="47"/>
        <v/>
      </c>
      <c r="BX41" s="127" t="str">
        <f t="shared" si="47"/>
        <v/>
      </c>
      <c r="BY41" s="127" t="str">
        <f t="shared" si="47"/>
        <v/>
      </c>
      <c r="BZ41" s="127" t="str">
        <f t="shared" si="47"/>
        <v/>
      </c>
      <c r="CA41" s="127" t="str">
        <f t="shared" si="47"/>
        <v/>
      </c>
      <c r="CB41" s="127" t="str">
        <f t="shared" si="47"/>
        <v/>
      </c>
      <c r="CC41" s="127" t="str">
        <f t="shared" si="47"/>
        <v/>
      </c>
      <c r="CD41" s="127" t="str">
        <f t="shared" si="47"/>
        <v/>
      </c>
      <c r="CE41" s="127" t="str">
        <f t="shared" si="47"/>
        <v/>
      </c>
    </row>
    <row r="42" spans="1:83" ht="12.75" hidden="1" customHeight="1" x14ac:dyDescent="0.2">
      <c r="A42" s="106">
        <f>SHIPMENTS!A48</f>
        <v>9288</v>
      </c>
      <c r="B42" s="106" t="str">
        <f>SHIPMENTS!B48</f>
        <v>12100-HOLLAND HALU</v>
      </c>
      <c r="C42" s="132">
        <f>SHIPMENTS!F48</f>
        <v>0</v>
      </c>
      <c r="D42" s="107" t="str">
        <f>IF((SHIPMENTS!I48)=0,"",SHIPMENTS!I48)</f>
        <v/>
      </c>
      <c r="E42" s="176">
        <f>IF((SHIPMENTS!G48)=0,"",SHIPMENTS!G48)</f>
        <v>46339</v>
      </c>
      <c r="F42" s="109">
        <f>VLOOKUP(A42,Items!$A$5:$J$1000,3,0)</f>
        <v>0</v>
      </c>
      <c r="G42" s="98">
        <f>VLOOKUP(A42,load!$A$4:$U$5001,4,0)</f>
        <v>0</v>
      </c>
      <c r="H42" s="97">
        <f>Manhours!$C$19</f>
        <v>6</v>
      </c>
      <c r="I42" s="98">
        <f t="shared" si="40"/>
        <v>54.599999999999994</v>
      </c>
      <c r="J42" s="99">
        <f t="shared" si="41"/>
        <v>0</v>
      </c>
      <c r="K42" s="99">
        <f t="shared" si="42"/>
        <v>0</v>
      </c>
      <c r="L42" s="98">
        <f t="shared" si="43"/>
        <v>0</v>
      </c>
      <c r="M42" s="98">
        <f t="shared" si="44"/>
        <v>0</v>
      </c>
      <c r="N42" s="181">
        <f t="shared" si="45"/>
        <v>46314.404228479849</v>
      </c>
      <c r="O42" s="181">
        <f t="shared" si="46"/>
        <v>46314.404228479849</v>
      </c>
      <c r="P42" s="112" t="str">
        <f>VLOOKUP(A42,SHIPMENTS!$A$7:$AP$76,40,0)</f>
        <v>n/a</v>
      </c>
      <c r="Q42" s="101"/>
      <c r="R42" s="127" t="str">
        <f t="shared" si="38"/>
        <v/>
      </c>
      <c r="S42" s="127" t="str">
        <f t="shared" si="38"/>
        <v/>
      </c>
      <c r="T42" s="127" t="str">
        <f t="shared" si="38"/>
        <v/>
      </c>
      <c r="U42" s="127" t="str">
        <f t="shared" si="38"/>
        <v/>
      </c>
      <c r="V42" s="127" t="str">
        <f t="shared" si="38"/>
        <v/>
      </c>
      <c r="W42" s="127" t="str">
        <f t="shared" si="38"/>
        <v/>
      </c>
      <c r="X42" s="127" t="str">
        <f t="shared" si="38"/>
        <v/>
      </c>
      <c r="Y42" s="127" t="str">
        <f t="shared" si="38"/>
        <v/>
      </c>
      <c r="Z42" s="127" t="str">
        <f t="shared" si="38"/>
        <v/>
      </c>
      <c r="AA42" s="127" t="str">
        <f t="shared" si="38"/>
        <v/>
      </c>
      <c r="AB42" s="127" t="str">
        <f t="shared" si="38"/>
        <v/>
      </c>
      <c r="AC42" s="127" t="str">
        <f t="shared" si="38"/>
        <v/>
      </c>
      <c r="AD42" s="127" t="str">
        <f t="shared" si="38"/>
        <v/>
      </c>
      <c r="AE42" s="127" t="str">
        <f t="shared" si="38"/>
        <v/>
      </c>
      <c r="AF42" s="127" t="str">
        <f t="shared" si="38"/>
        <v/>
      </c>
      <c r="AG42" s="127" t="str">
        <f t="shared" si="38"/>
        <v/>
      </c>
      <c r="AH42" s="127" t="str">
        <f t="shared" si="32"/>
        <v/>
      </c>
      <c r="AI42" s="127" t="str">
        <f t="shared" si="32"/>
        <v/>
      </c>
      <c r="AJ42" s="127" t="str">
        <f t="shared" si="32"/>
        <v/>
      </c>
      <c r="AK42" s="127" t="str">
        <f t="shared" si="32"/>
        <v/>
      </c>
      <c r="AL42" s="127" t="str">
        <f t="shared" si="32"/>
        <v/>
      </c>
      <c r="AM42" s="127" t="str">
        <f t="shared" si="32"/>
        <v/>
      </c>
      <c r="AN42" s="127" t="str">
        <f t="shared" si="26"/>
        <v>▲</v>
      </c>
      <c r="AO42" s="127" t="str">
        <f t="shared" si="26"/>
        <v/>
      </c>
      <c r="AP42" s="127" t="str">
        <f t="shared" si="26"/>
        <v/>
      </c>
      <c r="AQ42" s="127" t="str">
        <f t="shared" ref="AQ42:BE44" si="48">IF($E42=AQ$3,"▲","")</f>
        <v/>
      </c>
      <c r="AR42" s="127" t="str">
        <f t="shared" si="48"/>
        <v/>
      </c>
      <c r="AS42" s="127" t="str">
        <f t="shared" si="48"/>
        <v/>
      </c>
      <c r="AT42" s="127" t="str">
        <f t="shared" si="48"/>
        <v/>
      </c>
      <c r="AU42" s="127" t="str">
        <f t="shared" si="48"/>
        <v/>
      </c>
      <c r="AV42" s="127" t="str">
        <f t="shared" si="48"/>
        <v/>
      </c>
      <c r="AW42" s="127" t="str">
        <f t="shared" si="48"/>
        <v/>
      </c>
      <c r="AX42" s="127" t="str">
        <f t="shared" si="48"/>
        <v/>
      </c>
      <c r="AY42" s="127" t="str">
        <f t="shared" si="48"/>
        <v/>
      </c>
      <c r="AZ42" s="127" t="str">
        <f t="shared" si="48"/>
        <v/>
      </c>
      <c r="BA42" s="127" t="str">
        <f t="shared" si="48"/>
        <v/>
      </c>
      <c r="BB42" s="127" t="str">
        <f t="shared" si="48"/>
        <v/>
      </c>
      <c r="BC42" s="127" t="str">
        <f t="shared" si="48"/>
        <v/>
      </c>
      <c r="BD42" s="127" t="str">
        <f t="shared" si="48"/>
        <v/>
      </c>
      <c r="BE42" s="127" t="str">
        <f t="shared" si="48"/>
        <v/>
      </c>
      <c r="BF42" s="127" t="str">
        <f t="shared" si="39"/>
        <v/>
      </c>
      <c r="BG42" s="127" t="str">
        <f t="shared" si="39"/>
        <v/>
      </c>
      <c r="BH42" s="127" t="str">
        <f t="shared" si="39"/>
        <v/>
      </c>
      <c r="BI42" s="127" t="str">
        <f t="shared" si="39"/>
        <v/>
      </c>
      <c r="BJ42" s="127" t="str">
        <f t="shared" si="39"/>
        <v/>
      </c>
      <c r="BK42" s="127" t="str">
        <f t="shared" si="39"/>
        <v/>
      </c>
      <c r="BL42" s="127" t="str">
        <f t="shared" si="39"/>
        <v/>
      </c>
      <c r="BM42" s="127" t="str">
        <f t="shared" si="39"/>
        <v/>
      </c>
      <c r="BN42" s="127" t="str">
        <f t="shared" si="39"/>
        <v/>
      </c>
      <c r="BO42" s="127" t="str">
        <f t="shared" si="39"/>
        <v/>
      </c>
      <c r="BP42" s="127" t="str">
        <f t="shared" si="39"/>
        <v/>
      </c>
      <c r="BQ42" s="127" t="str">
        <f t="shared" si="39"/>
        <v/>
      </c>
      <c r="BR42" s="127" t="str">
        <f t="shared" si="47"/>
        <v/>
      </c>
      <c r="BS42" s="127" t="str">
        <f t="shared" si="47"/>
        <v/>
      </c>
      <c r="BT42" s="127" t="str">
        <f t="shared" si="47"/>
        <v/>
      </c>
      <c r="BU42" s="127" t="str">
        <f t="shared" si="47"/>
        <v/>
      </c>
      <c r="BV42" s="127" t="str">
        <f t="shared" si="47"/>
        <v/>
      </c>
      <c r="BW42" s="127" t="str">
        <f t="shared" si="47"/>
        <v/>
      </c>
      <c r="BX42" s="127" t="str">
        <f t="shared" si="47"/>
        <v/>
      </c>
      <c r="BY42" s="127" t="str">
        <f t="shared" si="47"/>
        <v/>
      </c>
      <c r="BZ42" s="127" t="str">
        <f t="shared" si="47"/>
        <v/>
      </c>
      <c r="CA42" s="127" t="str">
        <f t="shared" si="47"/>
        <v/>
      </c>
      <c r="CB42" s="127" t="str">
        <f t="shared" si="47"/>
        <v/>
      </c>
      <c r="CC42" s="127" t="str">
        <f t="shared" si="47"/>
        <v/>
      </c>
      <c r="CD42" s="127" t="str">
        <f t="shared" si="47"/>
        <v/>
      </c>
      <c r="CE42" s="127" t="str">
        <f t="shared" si="47"/>
        <v/>
      </c>
    </row>
    <row r="43" spans="1:83" ht="12.75" customHeight="1" x14ac:dyDescent="0.2">
      <c r="A43" s="106" t="str">
        <f>SHIPMENTS!A49</f>
        <v>SSE BACKLOG</v>
      </c>
      <c r="B43" s="106" t="str">
        <f>SHIPMENTS!B49</f>
        <v>11500-SAWO SAUNA EUROPE BV</v>
      </c>
      <c r="C43" s="132">
        <f>SHIPMENTS!F49</f>
        <v>0</v>
      </c>
      <c r="D43" s="107" t="str">
        <f>IF((SHIPMENTS!I49)=0,"",SHIPMENTS!I49)</f>
        <v/>
      </c>
      <c r="E43" s="176">
        <f>IF((SHIPMENTS!G49)=0,"",SHIPMENTS!G49)</f>
        <v>46339</v>
      </c>
      <c r="F43" s="109">
        <f>VLOOKUP(A43,Items!$A$5:$J$1000,3,0)</f>
        <v>269</v>
      </c>
      <c r="G43" s="98">
        <f>VLOOKUP(A43,load!$A$4:$U$5001,4,0)</f>
        <v>49.469333333333331</v>
      </c>
      <c r="H43" s="97">
        <f>Manhours!$C$19</f>
        <v>6</v>
      </c>
      <c r="I43" s="98">
        <f t="shared" si="40"/>
        <v>54.599999999999994</v>
      </c>
      <c r="J43" s="99">
        <f t="shared" si="41"/>
        <v>0.90603174603174608</v>
      </c>
      <c r="K43" s="99">
        <f t="shared" si="42"/>
        <v>8.2448888888888892</v>
      </c>
      <c r="L43" s="98">
        <f t="shared" si="43"/>
        <v>9.0603174603174352E-3</v>
      </c>
      <c r="M43" s="98">
        <f t="shared" si="44"/>
        <v>8.2448888888889016E-2</v>
      </c>
      <c r="N43" s="181">
        <f t="shared" si="45"/>
        <v>46314.404228479849</v>
      </c>
      <c r="O43" s="181">
        <f t="shared" si="46"/>
        <v>46314.41328879731</v>
      </c>
      <c r="P43" s="112">
        <f>VLOOKUP(A43,SHIPMENTS!$A$7:$AP$76,40,0)</f>
        <v>0.99</v>
      </c>
      <c r="Q43" s="101"/>
      <c r="R43" s="127" t="str">
        <f t="shared" si="38"/>
        <v/>
      </c>
      <c r="S43" s="127" t="str">
        <f t="shared" si="38"/>
        <v/>
      </c>
      <c r="T43" s="127" t="str">
        <f t="shared" si="38"/>
        <v/>
      </c>
      <c r="U43" s="127" t="str">
        <f t="shared" si="38"/>
        <v/>
      </c>
      <c r="V43" s="127" t="str">
        <f t="shared" si="38"/>
        <v/>
      </c>
      <c r="W43" s="127" t="str">
        <f t="shared" si="38"/>
        <v/>
      </c>
      <c r="X43" s="127" t="str">
        <f t="shared" si="38"/>
        <v/>
      </c>
      <c r="Y43" s="127" t="str">
        <f t="shared" si="38"/>
        <v/>
      </c>
      <c r="Z43" s="127" t="str">
        <f t="shared" si="38"/>
        <v/>
      </c>
      <c r="AA43" s="127" t="str">
        <f t="shared" si="38"/>
        <v/>
      </c>
      <c r="AB43" s="127" t="str">
        <f t="shared" si="38"/>
        <v/>
      </c>
      <c r="AC43" s="127" t="str">
        <f t="shared" si="38"/>
        <v/>
      </c>
      <c r="AD43" s="127" t="str">
        <f t="shared" si="38"/>
        <v/>
      </c>
      <c r="AE43" s="127" t="str">
        <f t="shared" si="38"/>
        <v/>
      </c>
      <c r="AF43" s="127" t="str">
        <f t="shared" si="38"/>
        <v/>
      </c>
      <c r="AG43" s="127" t="str">
        <f t="shared" si="38"/>
        <v/>
      </c>
      <c r="AH43" s="127" t="str">
        <f t="shared" si="32"/>
        <v/>
      </c>
      <c r="AI43" s="127" t="str">
        <f t="shared" si="32"/>
        <v/>
      </c>
      <c r="AJ43" s="127" t="str">
        <f t="shared" si="32"/>
        <v/>
      </c>
      <c r="AK43" s="127" t="str">
        <f t="shared" si="32"/>
        <v/>
      </c>
      <c r="AL43" s="127" t="str">
        <f t="shared" si="32"/>
        <v/>
      </c>
      <c r="AM43" s="127" t="str">
        <f t="shared" si="32"/>
        <v/>
      </c>
      <c r="AN43" s="127" t="str">
        <f t="shared" si="32"/>
        <v>▲</v>
      </c>
      <c r="AO43" s="127" t="str">
        <f t="shared" si="32"/>
        <v/>
      </c>
      <c r="AP43" s="127" t="str">
        <f t="shared" si="32"/>
        <v/>
      </c>
      <c r="AQ43" s="127" t="str">
        <f t="shared" si="32"/>
        <v/>
      </c>
      <c r="AR43" s="127" t="str">
        <f t="shared" si="32"/>
        <v/>
      </c>
      <c r="AS43" s="127" t="str">
        <f t="shared" si="32"/>
        <v/>
      </c>
      <c r="AT43" s="127" t="str">
        <f t="shared" si="32"/>
        <v/>
      </c>
      <c r="AU43" s="127" t="str">
        <f t="shared" si="32"/>
        <v/>
      </c>
      <c r="AV43" s="127" t="str">
        <f t="shared" si="32"/>
        <v/>
      </c>
      <c r="AW43" s="127" t="str">
        <f t="shared" si="32"/>
        <v/>
      </c>
      <c r="AX43" s="127" t="str">
        <f t="shared" si="48"/>
        <v/>
      </c>
      <c r="AY43" s="127" t="str">
        <f t="shared" si="48"/>
        <v/>
      </c>
      <c r="AZ43" s="127" t="str">
        <f t="shared" si="48"/>
        <v/>
      </c>
      <c r="BA43" s="127" t="str">
        <f t="shared" si="48"/>
        <v/>
      </c>
      <c r="BB43" s="127" t="str">
        <f t="shared" si="48"/>
        <v/>
      </c>
      <c r="BC43" s="127" t="str">
        <f t="shared" si="48"/>
        <v/>
      </c>
      <c r="BD43" s="127" t="str">
        <f t="shared" si="48"/>
        <v/>
      </c>
      <c r="BE43" s="127" t="str">
        <f t="shared" si="48"/>
        <v/>
      </c>
      <c r="BF43" s="127" t="str">
        <f t="shared" si="39"/>
        <v/>
      </c>
      <c r="BG43" s="127" t="str">
        <f t="shared" si="39"/>
        <v/>
      </c>
      <c r="BH43" s="127" t="str">
        <f t="shared" si="39"/>
        <v/>
      </c>
      <c r="BI43" s="127" t="str">
        <f t="shared" si="39"/>
        <v/>
      </c>
      <c r="BJ43" s="127" t="str">
        <f t="shared" si="39"/>
        <v/>
      </c>
      <c r="BK43" s="127" t="str">
        <f t="shared" si="39"/>
        <v/>
      </c>
      <c r="BL43" s="127" t="str">
        <f t="shared" si="39"/>
        <v/>
      </c>
      <c r="BM43" s="127" t="str">
        <f t="shared" si="39"/>
        <v/>
      </c>
      <c r="BN43" s="127" t="str">
        <f t="shared" si="39"/>
        <v/>
      </c>
      <c r="BO43" s="127" t="str">
        <f t="shared" si="39"/>
        <v/>
      </c>
      <c r="BP43" s="127" t="str">
        <f t="shared" si="39"/>
        <v/>
      </c>
      <c r="BQ43" s="127" t="str">
        <f t="shared" si="39"/>
        <v/>
      </c>
      <c r="BR43" s="127" t="str">
        <f t="shared" si="47"/>
        <v/>
      </c>
      <c r="BS43" s="127" t="str">
        <f t="shared" si="47"/>
        <v/>
      </c>
      <c r="BT43" s="127" t="str">
        <f t="shared" si="47"/>
        <v/>
      </c>
      <c r="BU43" s="127" t="str">
        <f t="shared" si="47"/>
        <v/>
      </c>
      <c r="BV43" s="127" t="str">
        <f t="shared" si="47"/>
        <v/>
      </c>
      <c r="BW43" s="127" t="str">
        <f t="shared" si="47"/>
        <v/>
      </c>
      <c r="BX43" s="127" t="str">
        <f t="shared" si="47"/>
        <v/>
      </c>
      <c r="BY43" s="127" t="str">
        <f t="shared" si="47"/>
        <v/>
      </c>
      <c r="BZ43" s="127" t="str">
        <f t="shared" si="47"/>
        <v/>
      </c>
      <c r="CA43" s="127" t="str">
        <f t="shared" si="47"/>
        <v/>
      </c>
      <c r="CB43" s="127" t="str">
        <f t="shared" si="47"/>
        <v/>
      </c>
      <c r="CC43" s="127" t="str">
        <f t="shared" si="47"/>
        <v/>
      </c>
      <c r="CD43" s="127" t="str">
        <f t="shared" si="47"/>
        <v/>
      </c>
      <c r="CE43" s="127" t="str">
        <f t="shared" si="47"/>
        <v/>
      </c>
    </row>
    <row r="44" spans="1:83" ht="12.75" customHeight="1" x14ac:dyDescent="0.2">
      <c r="A44" s="106">
        <f>SHIPMENTS!A50</f>
        <v>9113</v>
      </c>
      <c r="B44" s="106" t="str">
        <f>SHIPMENTS!B50</f>
        <v>15900- Mandaue |Stephen Chian</v>
      </c>
      <c r="C44" s="132">
        <f>SHIPMENTS!F50</f>
        <v>0.34</v>
      </c>
      <c r="D44" s="107" t="str">
        <f>IF((SHIPMENTS!I50)=0,"",SHIPMENTS!I50)</f>
        <v/>
      </c>
      <c r="E44" s="176">
        <f>IF((SHIPMENTS!G50)=0,"",SHIPMENTS!G50)</f>
        <v>46351</v>
      </c>
      <c r="F44" s="109">
        <f>VLOOKUP(A44,Items!$A$5:$J$1000,3,0)</f>
        <v>1</v>
      </c>
      <c r="G44" s="98">
        <f>VLOOKUP(A44,load!$A$4:$U$5001,4,0)</f>
        <v>1.0585</v>
      </c>
      <c r="H44" s="97">
        <f>Manhours!$C$19</f>
        <v>6</v>
      </c>
      <c r="I44" s="98">
        <f t="shared" si="40"/>
        <v>54.599999999999994</v>
      </c>
      <c r="J44" s="99">
        <f t="shared" si="41"/>
        <v>1.938644688644689E-2</v>
      </c>
      <c r="K44" s="99">
        <f t="shared" si="42"/>
        <v>0.17641666666666669</v>
      </c>
      <c r="L44" s="98">
        <f t="shared" si="43"/>
        <v>0</v>
      </c>
      <c r="M44" s="98">
        <f t="shared" si="44"/>
        <v>0</v>
      </c>
      <c r="N44" s="181">
        <f t="shared" si="45"/>
        <v>46314.41328879731</v>
      </c>
      <c r="O44" s="181">
        <f t="shared" si="46"/>
        <v>46314.41328879731</v>
      </c>
      <c r="P44" s="112">
        <f>VLOOKUP(A44,SHIPMENTS!$A$7:$AP$76,40,0)</f>
        <v>1</v>
      </c>
      <c r="Q44" s="101"/>
      <c r="R44" s="127" t="str">
        <f t="shared" si="38"/>
        <v/>
      </c>
      <c r="S44" s="127" t="str">
        <f t="shared" si="38"/>
        <v/>
      </c>
      <c r="T44" s="127" t="str">
        <f t="shared" si="38"/>
        <v/>
      </c>
      <c r="U44" s="127" t="str">
        <f t="shared" si="38"/>
        <v/>
      </c>
      <c r="V44" s="127" t="str">
        <f t="shared" si="38"/>
        <v/>
      </c>
      <c r="W44" s="127" t="str">
        <f t="shared" si="38"/>
        <v/>
      </c>
      <c r="X44" s="127" t="str">
        <f t="shared" si="38"/>
        <v/>
      </c>
      <c r="Y44" s="127" t="str">
        <f t="shared" si="38"/>
        <v/>
      </c>
      <c r="Z44" s="127" t="str">
        <f t="shared" si="38"/>
        <v/>
      </c>
      <c r="AA44" s="127" t="str">
        <f t="shared" si="38"/>
        <v/>
      </c>
      <c r="AB44" s="127" t="str">
        <f t="shared" si="38"/>
        <v/>
      </c>
      <c r="AC44" s="127" t="str">
        <f t="shared" si="38"/>
        <v/>
      </c>
      <c r="AD44" s="127" t="str">
        <f t="shared" si="38"/>
        <v/>
      </c>
      <c r="AE44" s="127" t="str">
        <f t="shared" si="38"/>
        <v/>
      </c>
      <c r="AF44" s="127" t="str">
        <f t="shared" si="38"/>
        <v/>
      </c>
      <c r="AG44" s="127" t="str">
        <f t="shared" si="38"/>
        <v/>
      </c>
      <c r="AH44" s="127" t="str">
        <f t="shared" si="32"/>
        <v/>
      </c>
      <c r="AI44" s="127" t="str">
        <f t="shared" si="32"/>
        <v/>
      </c>
      <c r="AJ44" s="127" t="str">
        <f t="shared" si="32"/>
        <v/>
      </c>
      <c r="AK44" s="127" t="str">
        <f t="shared" si="32"/>
        <v/>
      </c>
      <c r="AL44" s="127" t="str">
        <f t="shared" si="32"/>
        <v/>
      </c>
      <c r="AM44" s="127" t="str">
        <f t="shared" si="32"/>
        <v/>
      </c>
      <c r="AN44" s="127" t="str">
        <f t="shared" si="32"/>
        <v/>
      </c>
      <c r="AO44" s="127" t="str">
        <f t="shared" si="32"/>
        <v/>
      </c>
      <c r="AP44" s="127" t="str">
        <f t="shared" si="32"/>
        <v/>
      </c>
      <c r="AQ44" s="127" t="str">
        <f t="shared" si="32"/>
        <v/>
      </c>
      <c r="AR44" s="127" t="str">
        <f t="shared" si="32"/>
        <v/>
      </c>
      <c r="AS44" s="127" t="str">
        <f t="shared" si="32"/>
        <v/>
      </c>
      <c r="AT44" s="127" t="str">
        <f t="shared" si="32"/>
        <v/>
      </c>
      <c r="AU44" s="127" t="str">
        <f t="shared" si="32"/>
        <v/>
      </c>
      <c r="AV44" s="127" t="str">
        <f t="shared" si="32"/>
        <v/>
      </c>
      <c r="AW44" s="127" t="str">
        <f t="shared" si="32"/>
        <v/>
      </c>
      <c r="AX44" s="127" t="str">
        <f t="shared" si="48"/>
        <v>▲</v>
      </c>
      <c r="AY44" s="127" t="str">
        <f t="shared" si="48"/>
        <v/>
      </c>
      <c r="AZ44" s="127" t="str">
        <f t="shared" si="48"/>
        <v/>
      </c>
      <c r="BA44" s="127" t="str">
        <f t="shared" si="48"/>
        <v/>
      </c>
      <c r="BB44" s="127" t="str">
        <f t="shared" si="48"/>
        <v/>
      </c>
      <c r="BC44" s="127" t="str">
        <f t="shared" si="48"/>
        <v/>
      </c>
      <c r="BD44" s="127" t="str">
        <f t="shared" si="48"/>
        <v/>
      </c>
      <c r="BE44" s="127" t="str">
        <f t="shared" si="48"/>
        <v/>
      </c>
      <c r="BF44" s="127" t="str">
        <f t="shared" si="39"/>
        <v/>
      </c>
      <c r="BG44" s="127" t="str">
        <f t="shared" si="39"/>
        <v/>
      </c>
      <c r="BH44" s="127" t="str">
        <f t="shared" si="39"/>
        <v/>
      </c>
      <c r="BI44" s="127" t="str">
        <f t="shared" si="39"/>
        <v/>
      </c>
      <c r="BJ44" s="127" t="str">
        <f t="shared" si="39"/>
        <v/>
      </c>
      <c r="BK44" s="127" t="str">
        <f t="shared" si="39"/>
        <v/>
      </c>
      <c r="BL44" s="127" t="str">
        <f t="shared" si="39"/>
        <v/>
      </c>
      <c r="BM44" s="127" t="str">
        <f t="shared" si="39"/>
        <v/>
      </c>
      <c r="BN44" s="127" t="str">
        <f t="shared" si="39"/>
        <v/>
      </c>
      <c r="BO44" s="127" t="str">
        <f t="shared" si="39"/>
        <v/>
      </c>
      <c r="BP44" s="127" t="str">
        <f t="shared" si="39"/>
        <v/>
      </c>
      <c r="BQ44" s="127" t="str">
        <f t="shared" si="39"/>
        <v/>
      </c>
      <c r="BR44" s="127" t="str">
        <f t="shared" si="47"/>
        <v/>
      </c>
      <c r="BS44" s="127" t="str">
        <f t="shared" si="47"/>
        <v/>
      </c>
      <c r="BT44" s="127" t="str">
        <f t="shared" si="47"/>
        <v/>
      </c>
      <c r="BU44" s="127" t="str">
        <f t="shared" si="47"/>
        <v/>
      </c>
      <c r="BV44" s="127" t="str">
        <f t="shared" si="47"/>
        <v/>
      </c>
      <c r="BW44" s="127" t="str">
        <f t="shared" si="47"/>
        <v/>
      </c>
      <c r="BX44" s="127" t="str">
        <f t="shared" si="47"/>
        <v/>
      </c>
      <c r="BY44" s="127" t="str">
        <f t="shared" si="47"/>
        <v/>
      </c>
      <c r="BZ44" s="127" t="str">
        <f t="shared" si="47"/>
        <v/>
      </c>
      <c r="CA44" s="127" t="str">
        <f t="shared" si="47"/>
        <v/>
      </c>
      <c r="CB44" s="127" t="str">
        <f t="shared" si="47"/>
        <v/>
      </c>
      <c r="CC44" s="127" t="str">
        <f t="shared" si="47"/>
        <v/>
      </c>
      <c r="CD44" s="127" t="str">
        <f t="shared" si="47"/>
        <v/>
      </c>
      <c r="CE44" s="127" t="str">
        <f t="shared" si="47"/>
        <v/>
      </c>
    </row>
    <row r="45" spans="1:83" ht="12.75" customHeight="1" x14ac:dyDescent="0.2">
      <c r="A45" s="106">
        <f>SHIPMENTS!A51</f>
        <v>8938</v>
      </c>
      <c r="B45" s="106" t="str">
        <f>SHIPMENTS!B51</f>
        <v>9600-NEW ZEALAND</v>
      </c>
      <c r="C45" s="132">
        <f>SHIPMENTS!F51</f>
        <v>36.496094285714285</v>
      </c>
      <c r="D45" s="107" t="str">
        <f>IF((SHIPMENTS!I51)=0,"",SHIPMENTS!I51)</f>
        <v>1X20</v>
      </c>
      <c r="E45" s="176" t="str">
        <f>IF((SHIPMENTS!G51)=0,"",SHIPMENTS!G51)</f>
        <v>TBA</v>
      </c>
      <c r="F45" s="109">
        <f>VLOOKUP(A45,Items!$A$5:$J$1000,3,0)</f>
        <v>17</v>
      </c>
      <c r="G45" s="98">
        <f>VLOOKUP(A45,load!$A$4:$U$5001,4,0)</f>
        <v>9.2681666666666693</v>
      </c>
      <c r="H45" s="97">
        <f>Manhours!$C$19</f>
        <v>6</v>
      </c>
      <c r="I45" s="98">
        <f t="shared" si="40"/>
        <v>54.599999999999994</v>
      </c>
      <c r="J45" s="99">
        <f t="shared" si="41"/>
        <v>0.16974664224664232</v>
      </c>
      <c r="K45" s="99">
        <f t="shared" si="42"/>
        <v>1.544694444444445</v>
      </c>
      <c r="L45" s="98">
        <f t="shared" si="43"/>
        <v>0</v>
      </c>
      <c r="M45" s="98">
        <f t="shared" si="44"/>
        <v>0</v>
      </c>
      <c r="N45" s="181">
        <f t="shared" si="45"/>
        <v>46314.41328879731</v>
      </c>
      <c r="O45" s="181">
        <f t="shared" si="46"/>
        <v>46314.41328879731</v>
      </c>
      <c r="P45" s="112">
        <f>VLOOKUP(A45,SHIPMENTS!$A$7:$AP$76,40,0)</f>
        <v>1</v>
      </c>
      <c r="Q45" s="101"/>
      <c r="R45" s="127" t="str">
        <f t="shared" si="38"/>
        <v/>
      </c>
      <c r="S45" s="127" t="str">
        <f t="shared" si="38"/>
        <v/>
      </c>
      <c r="T45" s="127" t="str">
        <f t="shared" si="38"/>
        <v/>
      </c>
      <c r="U45" s="127" t="str">
        <f t="shared" si="38"/>
        <v/>
      </c>
      <c r="V45" s="127" t="str">
        <f t="shared" si="38"/>
        <v/>
      </c>
      <c r="W45" s="127" t="str">
        <f t="shared" si="38"/>
        <v/>
      </c>
      <c r="X45" s="127" t="str">
        <f t="shared" si="38"/>
        <v/>
      </c>
      <c r="Y45" s="127" t="str">
        <f t="shared" si="38"/>
        <v/>
      </c>
      <c r="Z45" s="127" t="str">
        <f t="shared" si="38"/>
        <v/>
      </c>
      <c r="AA45" s="127" t="str">
        <f t="shared" si="38"/>
        <v/>
      </c>
      <c r="AB45" s="127" t="str">
        <f t="shared" si="38"/>
        <v/>
      </c>
      <c r="AC45" s="127" t="str">
        <f t="shared" si="38"/>
        <v/>
      </c>
      <c r="AD45" s="127" t="str">
        <f t="shared" si="38"/>
        <v/>
      </c>
      <c r="AE45" s="127" t="str">
        <f t="shared" si="38"/>
        <v/>
      </c>
      <c r="AF45" s="127" t="str">
        <f t="shared" si="38"/>
        <v/>
      </c>
      <c r="AG45" s="127" t="str">
        <f t="shared" si="38"/>
        <v/>
      </c>
      <c r="AH45" s="127" t="str">
        <f t="shared" ref="AH45:BE53" si="49">IF($E45=AH$3,"▲","")</f>
        <v/>
      </c>
      <c r="AI45" s="127" t="str">
        <f t="shared" si="49"/>
        <v/>
      </c>
      <c r="AJ45" s="127" t="str">
        <f t="shared" si="49"/>
        <v/>
      </c>
      <c r="AK45" s="127" t="str">
        <f t="shared" si="49"/>
        <v/>
      </c>
      <c r="AL45" s="127" t="str">
        <f t="shared" si="49"/>
        <v/>
      </c>
      <c r="AM45" s="127" t="str">
        <f t="shared" si="49"/>
        <v/>
      </c>
      <c r="AN45" s="127" t="str">
        <f t="shared" si="49"/>
        <v/>
      </c>
      <c r="AO45" s="127" t="str">
        <f t="shared" si="49"/>
        <v/>
      </c>
      <c r="AP45" s="127" t="str">
        <f t="shared" si="49"/>
        <v/>
      </c>
      <c r="AQ45" s="127" t="str">
        <f t="shared" si="49"/>
        <v/>
      </c>
      <c r="AR45" s="127" t="str">
        <f t="shared" si="49"/>
        <v/>
      </c>
      <c r="AS45" s="127" t="str">
        <f t="shared" si="49"/>
        <v/>
      </c>
      <c r="AT45" s="127" t="str">
        <f t="shared" si="49"/>
        <v/>
      </c>
      <c r="AU45" s="127" t="str">
        <f t="shared" si="49"/>
        <v/>
      </c>
      <c r="AV45" s="127" t="str">
        <f t="shared" si="49"/>
        <v/>
      </c>
      <c r="AW45" s="127" t="str">
        <f t="shared" si="49"/>
        <v/>
      </c>
      <c r="AX45" s="127" t="str">
        <f t="shared" si="49"/>
        <v/>
      </c>
      <c r="AY45" s="127" t="str">
        <f t="shared" si="49"/>
        <v/>
      </c>
      <c r="AZ45" s="127" t="str">
        <f t="shared" si="49"/>
        <v/>
      </c>
      <c r="BA45" s="127" t="str">
        <f t="shared" si="49"/>
        <v/>
      </c>
      <c r="BB45" s="127" t="str">
        <f t="shared" si="49"/>
        <v/>
      </c>
      <c r="BC45" s="127" t="str">
        <f t="shared" si="49"/>
        <v/>
      </c>
      <c r="BD45" s="127" t="str">
        <f t="shared" si="49"/>
        <v/>
      </c>
      <c r="BE45" s="127" t="str">
        <f t="shared" si="49"/>
        <v/>
      </c>
      <c r="BF45" s="127" t="str">
        <f t="shared" si="39"/>
        <v/>
      </c>
      <c r="BG45" s="127" t="str">
        <f t="shared" si="39"/>
        <v/>
      </c>
      <c r="BH45" s="127" t="str">
        <f t="shared" si="39"/>
        <v/>
      </c>
      <c r="BI45" s="127" t="str">
        <f t="shared" si="39"/>
        <v/>
      </c>
      <c r="BJ45" s="127" t="str">
        <f t="shared" si="39"/>
        <v/>
      </c>
      <c r="BK45" s="127" t="str">
        <f t="shared" si="39"/>
        <v/>
      </c>
      <c r="BL45" s="127" t="str">
        <f t="shared" si="39"/>
        <v/>
      </c>
      <c r="BM45" s="127" t="str">
        <f t="shared" si="39"/>
        <v/>
      </c>
      <c r="BN45" s="127" t="str">
        <f t="shared" si="39"/>
        <v/>
      </c>
      <c r="BO45" s="127" t="str">
        <f t="shared" si="39"/>
        <v/>
      </c>
      <c r="BP45" s="127" t="str">
        <f t="shared" si="39"/>
        <v/>
      </c>
      <c r="BQ45" s="127" t="str">
        <f t="shared" si="39"/>
        <v/>
      </c>
      <c r="BR45" s="127" t="str">
        <f t="shared" si="47"/>
        <v/>
      </c>
      <c r="BS45" s="127" t="str">
        <f t="shared" si="47"/>
        <v/>
      </c>
      <c r="BT45" s="127" t="str">
        <f t="shared" si="47"/>
        <v/>
      </c>
      <c r="BU45" s="127" t="str">
        <f t="shared" si="47"/>
        <v/>
      </c>
      <c r="BV45" s="127" t="str">
        <f t="shared" si="47"/>
        <v/>
      </c>
      <c r="BW45" s="127" t="str">
        <f t="shared" si="47"/>
        <v/>
      </c>
      <c r="BX45" s="127" t="str">
        <f t="shared" si="47"/>
        <v/>
      </c>
      <c r="BY45" s="127" t="str">
        <f t="shared" si="47"/>
        <v/>
      </c>
      <c r="BZ45" s="127" t="str">
        <f t="shared" si="47"/>
        <v/>
      </c>
      <c r="CA45" s="127" t="str">
        <f t="shared" si="47"/>
        <v/>
      </c>
      <c r="CB45" s="127" t="str">
        <f t="shared" si="47"/>
        <v/>
      </c>
      <c r="CC45" s="127" t="str">
        <f t="shared" si="47"/>
        <v/>
      </c>
      <c r="CD45" s="127" t="str">
        <f t="shared" si="47"/>
        <v/>
      </c>
      <c r="CE45" s="127" t="str">
        <f t="shared" si="47"/>
        <v/>
      </c>
    </row>
    <row r="46" spans="1:83" ht="12.75" hidden="1" customHeight="1" x14ac:dyDescent="0.2">
      <c r="A46" s="106">
        <f>SHIPMENTS!A52</f>
        <v>9153</v>
      </c>
      <c r="B46" s="106" t="str">
        <f>SHIPMENTS!B52</f>
        <v>9600-NEW ZEALAND</v>
      </c>
      <c r="C46" s="132">
        <f>SHIPMENTS!F52</f>
        <v>0</v>
      </c>
      <c r="D46" s="107" t="str">
        <f>IF((SHIPMENTS!I52)=0,"",SHIPMENTS!I52)</f>
        <v/>
      </c>
      <c r="E46" s="176" t="str">
        <f>IF((SHIPMENTS!G52)=0,"",SHIPMENTS!G52)</f>
        <v>TBA</v>
      </c>
      <c r="F46" s="109">
        <f>VLOOKUP(A46,Items!$A$5:$J$1000,3,0)</f>
        <v>0</v>
      </c>
      <c r="G46" s="98">
        <f>VLOOKUP(A46,load!$A$4:$U$5001,4,0)</f>
        <v>0.57933333333333326</v>
      </c>
      <c r="H46" s="97">
        <f>Manhours!$C$19</f>
        <v>6</v>
      </c>
      <c r="I46" s="98">
        <f t="shared" ref="I46:I52" si="50">+H46*$I$4</f>
        <v>54.599999999999994</v>
      </c>
      <c r="J46" s="99">
        <f t="shared" ref="J46:J52" si="51">G46/I46</f>
        <v>1.061050061050061E-2</v>
      </c>
      <c r="K46" s="99">
        <f t="shared" ref="K46:K52" si="52">+J46*$I$4</f>
        <v>9.6555555555555547E-2</v>
      </c>
      <c r="L46" s="98">
        <f t="shared" ref="L46:L52" si="53">IFERROR(J46-(J46*P46),0)</f>
        <v>0</v>
      </c>
      <c r="M46" s="98">
        <f t="shared" ref="M46:M52" si="54">IFERROR(K46-(K46*P46),0)</f>
        <v>0</v>
      </c>
      <c r="N46" s="181">
        <f t="shared" ref="N46:N52" si="55">O45</f>
        <v>46314.41328879731</v>
      </c>
      <c r="O46" s="181">
        <f t="shared" ref="O46:O52" si="56">N46+L46</f>
        <v>46314.41328879731</v>
      </c>
      <c r="P46" s="112" t="str">
        <f>VLOOKUP(A46,SHIPMENTS!$A$7:$AP$76,40,0)</f>
        <v>n/a</v>
      </c>
      <c r="Q46" s="101"/>
      <c r="R46" s="127" t="str">
        <f t="shared" si="38"/>
        <v/>
      </c>
      <c r="S46" s="127" t="str">
        <f t="shared" si="38"/>
        <v/>
      </c>
      <c r="T46" s="127" t="str">
        <f t="shared" si="38"/>
        <v/>
      </c>
      <c r="U46" s="127" t="str">
        <f t="shared" si="38"/>
        <v/>
      </c>
      <c r="V46" s="127" t="str">
        <f t="shared" si="38"/>
        <v/>
      </c>
      <c r="W46" s="127" t="str">
        <f t="shared" si="38"/>
        <v/>
      </c>
      <c r="X46" s="127" t="str">
        <f t="shared" si="38"/>
        <v/>
      </c>
      <c r="Y46" s="127" t="str">
        <f t="shared" si="38"/>
        <v/>
      </c>
      <c r="Z46" s="127" t="str">
        <f t="shared" si="38"/>
        <v/>
      </c>
      <c r="AA46" s="127" t="str">
        <f t="shared" si="38"/>
        <v/>
      </c>
      <c r="AB46" s="127" t="str">
        <f t="shared" si="38"/>
        <v/>
      </c>
      <c r="AC46" s="127" t="str">
        <f t="shared" si="38"/>
        <v/>
      </c>
      <c r="AD46" s="127" t="str">
        <f t="shared" si="38"/>
        <v/>
      </c>
      <c r="AE46" s="127" t="str">
        <f t="shared" si="38"/>
        <v/>
      </c>
      <c r="AF46" s="127" t="str">
        <f t="shared" si="38"/>
        <v/>
      </c>
      <c r="AG46" s="127" t="str">
        <f t="shared" ref="R46:AG53" si="57">IF($E46=AG$3,"▲","")</f>
        <v/>
      </c>
      <c r="AH46" s="127" t="str">
        <f t="shared" si="49"/>
        <v/>
      </c>
      <c r="AI46" s="127" t="str">
        <f t="shared" si="49"/>
        <v/>
      </c>
      <c r="AJ46" s="127" t="str">
        <f t="shared" si="49"/>
        <v/>
      </c>
      <c r="AK46" s="127" t="str">
        <f t="shared" si="49"/>
        <v/>
      </c>
      <c r="AL46" s="127" t="str">
        <f t="shared" si="49"/>
        <v/>
      </c>
      <c r="AM46" s="127" t="str">
        <f t="shared" si="49"/>
        <v/>
      </c>
      <c r="AN46" s="127" t="str">
        <f t="shared" si="49"/>
        <v/>
      </c>
      <c r="AO46" s="127" t="str">
        <f t="shared" si="49"/>
        <v/>
      </c>
      <c r="AP46" s="127" t="str">
        <f t="shared" si="49"/>
        <v/>
      </c>
      <c r="AQ46" s="127" t="str">
        <f t="shared" si="49"/>
        <v/>
      </c>
      <c r="AR46" s="127" t="str">
        <f t="shared" si="49"/>
        <v/>
      </c>
      <c r="AS46" s="127" t="str">
        <f t="shared" si="49"/>
        <v/>
      </c>
      <c r="AT46" s="127" t="str">
        <f t="shared" si="49"/>
        <v/>
      </c>
      <c r="AU46" s="127" t="str">
        <f t="shared" si="49"/>
        <v/>
      </c>
      <c r="AV46" s="127" t="str">
        <f t="shared" si="49"/>
        <v/>
      </c>
      <c r="AW46" s="127" t="str">
        <f t="shared" si="49"/>
        <v/>
      </c>
      <c r="AX46" s="127" t="str">
        <f t="shared" si="49"/>
        <v/>
      </c>
      <c r="AY46" s="127" t="str">
        <f t="shared" si="49"/>
        <v/>
      </c>
      <c r="AZ46" s="127" t="str">
        <f t="shared" si="49"/>
        <v/>
      </c>
      <c r="BA46" s="127" t="str">
        <f t="shared" si="49"/>
        <v/>
      </c>
      <c r="BB46" s="127" t="str">
        <f t="shared" si="49"/>
        <v/>
      </c>
      <c r="BC46" s="127" t="str">
        <f t="shared" si="49"/>
        <v/>
      </c>
      <c r="BD46" s="127" t="str">
        <f t="shared" si="49"/>
        <v/>
      </c>
      <c r="BE46" s="127" t="str">
        <f t="shared" si="49"/>
        <v/>
      </c>
      <c r="BF46" s="127" t="str">
        <f t="shared" si="39"/>
        <v/>
      </c>
      <c r="BG46" s="127" t="str">
        <f t="shared" si="39"/>
        <v/>
      </c>
      <c r="BH46" s="127" t="str">
        <f t="shared" si="39"/>
        <v/>
      </c>
      <c r="BI46" s="127" t="str">
        <f t="shared" si="39"/>
        <v/>
      </c>
      <c r="BJ46" s="127" t="str">
        <f t="shared" si="39"/>
        <v/>
      </c>
      <c r="BK46" s="127" t="str">
        <f t="shared" si="39"/>
        <v/>
      </c>
      <c r="BL46" s="127" t="str">
        <f t="shared" si="39"/>
        <v/>
      </c>
      <c r="BM46" s="127" t="str">
        <f t="shared" si="39"/>
        <v/>
      </c>
      <c r="BN46" s="127" t="str">
        <f t="shared" si="39"/>
        <v/>
      </c>
      <c r="BO46" s="127" t="str">
        <f t="shared" si="39"/>
        <v/>
      </c>
      <c r="BP46" s="127" t="str">
        <f t="shared" si="39"/>
        <v/>
      </c>
      <c r="BQ46" s="127" t="str">
        <f t="shared" si="39"/>
        <v/>
      </c>
      <c r="BR46" s="127" t="str">
        <f t="shared" si="47"/>
        <v/>
      </c>
      <c r="BS46" s="127" t="str">
        <f t="shared" si="47"/>
        <v/>
      </c>
      <c r="BT46" s="127" t="str">
        <f t="shared" si="47"/>
        <v/>
      </c>
      <c r="BU46" s="127" t="str">
        <f t="shared" si="47"/>
        <v/>
      </c>
      <c r="BV46" s="127" t="str">
        <f t="shared" si="47"/>
        <v/>
      </c>
      <c r="BW46" s="127" t="str">
        <f t="shared" si="47"/>
        <v/>
      </c>
      <c r="BX46" s="127" t="str">
        <f t="shared" si="47"/>
        <v/>
      </c>
      <c r="BY46" s="127" t="str">
        <f t="shared" si="47"/>
        <v/>
      </c>
      <c r="BZ46" s="127" t="str">
        <f t="shared" si="47"/>
        <v/>
      </c>
      <c r="CA46" s="127" t="str">
        <f t="shared" si="47"/>
        <v/>
      </c>
      <c r="CB46" s="127" t="str">
        <f t="shared" si="47"/>
        <v/>
      </c>
      <c r="CC46" s="127" t="str">
        <f t="shared" si="47"/>
        <v/>
      </c>
      <c r="CD46" s="127" t="str">
        <f t="shared" si="47"/>
        <v/>
      </c>
      <c r="CE46" s="127" t="str">
        <f t="shared" si="47"/>
        <v/>
      </c>
    </row>
    <row r="47" spans="1:83" ht="12.75" hidden="1" customHeight="1" x14ac:dyDescent="0.2">
      <c r="A47" s="106">
        <f>SHIPMENTS!A53</f>
        <v>8294</v>
      </c>
      <c r="B47" s="106" t="str">
        <f>SHIPMENTS!B53</f>
        <v>9600-NEW ZEALAND BACKLOG</v>
      </c>
      <c r="C47" s="132">
        <f>SHIPMENTS!F53</f>
        <v>0</v>
      </c>
      <c r="D47" s="107" t="str">
        <f>IF((SHIPMENTS!I53)=0,"",SHIPMENTS!I53)</f>
        <v/>
      </c>
      <c r="E47" s="176" t="str">
        <f>IF((SHIPMENTS!G53)=0,"",SHIPMENTS!G53)</f>
        <v>TBA</v>
      </c>
      <c r="F47" s="109">
        <f>VLOOKUP(A47,Items!$A$5:$J$1000,3,0)</f>
        <v>0</v>
      </c>
      <c r="G47" s="98">
        <f>VLOOKUP(A47,load!$A$4:$U$5001,4,0)</f>
        <v>0</v>
      </c>
      <c r="H47" s="97">
        <f>Manhours!$C$19</f>
        <v>6</v>
      </c>
      <c r="I47" s="98">
        <f t="shared" si="50"/>
        <v>54.599999999999994</v>
      </c>
      <c r="J47" s="99">
        <f t="shared" si="51"/>
        <v>0</v>
      </c>
      <c r="K47" s="99">
        <f t="shared" si="52"/>
        <v>0</v>
      </c>
      <c r="L47" s="98">
        <f t="shared" si="53"/>
        <v>0</v>
      </c>
      <c r="M47" s="98">
        <f t="shared" si="54"/>
        <v>0</v>
      </c>
      <c r="N47" s="181">
        <f t="shared" si="55"/>
        <v>46314.41328879731</v>
      </c>
      <c r="O47" s="181">
        <f t="shared" si="56"/>
        <v>46314.41328879731</v>
      </c>
      <c r="P47" s="112" t="str">
        <f>VLOOKUP(A47,SHIPMENTS!$A$7:$AP$76,40,0)</f>
        <v>n/a</v>
      </c>
      <c r="Q47" s="101"/>
      <c r="R47" s="127" t="str">
        <f t="shared" si="57"/>
        <v/>
      </c>
      <c r="S47" s="127" t="str">
        <f t="shared" si="57"/>
        <v/>
      </c>
      <c r="T47" s="127" t="str">
        <f t="shared" si="57"/>
        <v/>
      </c>
      <c r="U47" s="127" t="str">
        <f t="shared" si="57"/>
        <v/>
      </c>
      <c r="V47" s="127" t="str">
        <f t="shared" si="57"/>
        <v/>
      </c>
      <c r="W47" s="127" t="str">
        <f t="shared" si="57"/>
        <v/>
      </c>
      <c r="X47" s="127" t="str">
        <f t="shared" si="57"/>
        <v/>
      </c>
      <c r="Y47" s="127" t="str">
        <f t="shared" si="57"/>
        <v/>
      </c>
      <c r="Z47" s="127" t="str">
        <f t="shared" si="57"/>
        <v/>
      </c>
      <c r="AA47" s="127" t="str">
        <f t="shared" si="57"/>
        <v/>
      </c>
      <c r="AB47" s="127" t="str">
        <f t="shared" si="57"/>
        <v/>
      </c>
      <c r="AC47" s="127" t="str">
        <f t="shared" si="57"/>
        <v/>
      </c>
      <c r="AD47" s="127" t="str">
        <f t="shared" si="57"/>
        <v/>
      </c>
      <c r="AE47" s="127" t="str">
        <f t="shared" si="57"/>
        <v/>
      </c>
      <c r="AF47" s="127" t="str">
        <f t="shared" si="57"/>
        <v/>
      </c>
      <c r="AG47" s="127" t="str">
        <f t="shared" si="57"/>
        <v/>
      </c>
      <c r="AH47" s="127" t="str">
        <f t="shared" si="49"/>
        <v/>
      </c>
      <c r="AI47" s="127" t="str">
        <f t="shared" si="49"/>
        <v/>
      </c>
      <c r="AJ47" s="127" t="str">
        <f t="shared" si="49"/>
        <v/>
      </c>
      <c r="AK47" s="127" t="str">
        <f t="shared" si="49"/>
        <v/>
      </c>
      <c r="AL47" s="127" t="str">
        <f t="shared" si="49"/>
        <v/>
      </c>
      <c r="AM47" s="127" t="str">
        <f t="shared" si="49"/>
        <v/>
      </c>
      <c r="AN47" s="127" t="str">
        <f t="shared" si="49"/>
        <v/>
      </c>
      <c r="AO47" s="127" t="str">
        <f t="shared" si="49"/>
        <v/>
      </c>
      <c r="AP47" s="127" t="str">
        <f t="shared" si="49"/>
        <v/>
      </c>
      <c r="AQ47" s="127" t="str">
        <f t="shared" si="49"/>
        <v/>
      </c>
      <c r="AR47" s="127" t="str">
        <f t="shared" si="49"/>
        <v/>
      </c>
      <c r="AS47" s="127" t="str">
        <f t="shared" si="49"/>
        <v/>
      </c>
      <c r="AT47" s="127" t="str">
        <f t="shared" si="49"/>
        <v/>
      </c>
      <c r="AU47" s="127" t="str">
        <f t="shared" si="49"/>
        <v/>
      </c>
      <c r="AV47" s="127" t="str">
        <f t="shared" si="49"/>
        <v/>
      </c>
      <c r="AW47" s="127" t="str">
        <f t="shared" si="49"/>
        <v/>
      </c>
      <c r="AX47" s="127" t="str">
        <f t="shared" si="49"/>
        <v/>
      </c>
      <c r="AY47" s="127" t="str">
        <f t="shared" si="49"/>
        <v/>
      </c>
      <c r="AZ47" s="127" t="str">
        <f t="shared" si="49"/>
        <v/>
      </c>
      <c r="BA47" s="127" t="str">
        <f t="shared" si="49"/>
        <v/>
      </c>
      <c r="BB47" s="127" t="str">
        <f t="shared" si="49"/>
        <v/>
      </c>
      <c r="BC47" s="127" t="str">
        <f t="shared" si="49"/>
        <v/>
      </c>
      <c r="BD47" s="127" t="str">
        <f t="shared" si="49"/>
        <v/>
      </c>
      <c r="BE47" s="127" t="str">
        <f t="shared" si="49"/>
        <v/>
      </c>
      <c r="BF47" s="127" t="str">
        <f t="shared" ref="BF47:BU53" si="58">IF($E47=BF$3,"▲","")</f>
        <v/>
      </c>
      <c r="BG47" s="127" t="str">
        <f t="shared" si="58"/>
        <v/>
      </c>
      <c r="BH47" s="127" t="str">
        <f t="shared" si="58"/>
        <v/>
      </c>
      <c r="BI47" s="127" t="str">
        <f t="shared" si="58"/>
        <v/>
      </c>
      <c r="BJ47" s="127" t="str">
        <f t="shared" si="58"/>
        <v/>
      </c>
      <c r="BK47" s="127" t="str">
        <f t="shared" si="58"/>
        <v/>
      </c>
      <c r="BL47" s="127" t="str">
        <f t="shared" si="58"/>
        <v/>
      </c>
      <c r="BM47" s="127" t="str">
        <f t="shared" si="58"/>
        <v/>
      </c>
      <c r="BN47" s="127" t="str">
        <f t="shared" si="58"/>
        <v/>
      </c>
      <c r="BO47" s="127" t="str">
        <f t="shared" si="58"/>
        <v/>
      </c>
      <c r="BP47" s="127" t="str">
        <f t="shared" si="58"/>
        <v/>
      </c>
      <c r="BQ47" s="127" t="str">
        <f t="shared" si="58"/>
        <v/>
      </c>
      <c r="BR47" s="127" t="str">
        <f t="shared" si="47"/>
        <v/>
      </c>
      <c r="BS47" s="127" t="str">
        <f t="shared" si="47"/>
        <v/>
      </c>
      <c r="BT47" s="127" t="str">
        <f t="shared" si="47"/>
        <v/>
      </c>
      <c r="BU47" s="127" t="str">
        <f t="shared" si="47"/>
        <v/>
      </c>
      <c r="BV47" s="127" t="str">
        <f t="shared" si="47"/>
        <v/>
      </c>
      <c r="BW47" s="127" t="str">
        <f t="shared" si="47"/>
        <v/>
      </c>
      <c r="BX47" s="127" t="str">
        <f t="shared" si="47"/>
        <v/>
      </c>
      <c r="BY47" s="127" t="str">
        <f t="shared" si="47"/>
        <v/>
      </c>
      <c r="BZ47" s="127" t="str">
        <f t="shared" si="47"/>
        <v/>
      </c>
      <c r="CA47" s="127" t="str">
        <f t="shared" si="47"/>
        <v/>
      </c>
      <c r="CB47" s="127" t="str">
        <f t="shared" si="47"/>
        <v/>
      </c>
      <c r="CC47" s="127" t="str">
        <f t="shared" si="47"/>
        <v/>
      </c>
      <c r="CD47" s="127" t="str">
        <f t="shared" si="47"/>
        <v/>
      </c>
      <c r="CE47" s="127" t="str">
        <f t="shared" si="47"/>
        <v/>
      </c>
    </row>
    <row r="48" spans="1:83" ht="12.75" hidden="1" customHeight="1" x14ac:dyDescent="0.2">
      <c r="A48" s="106">
        <f>SHIPMENTS!A54</f>
        <v>7114</v>
      </c>
      <c r="B48" s="106" t="str">
        <f>SHIPMENTS!B54</f>
        <v>9600-NEW ZEALAND BACKLOG</v>
      </c>
      <c r="C48" s="132">
        <f>SHIPMENTS!F54</f>
        <v>0</v>
      </c>
      <c r="D48" s="107" t="str">
        <f>IF((SHIPMENTS!I54)=0,"",SHIPMENTS!I54)</f>
        <v/>
      </c>
      <c r="E48" s="176" t="str">
        <f>IF((SHIPMENTS!G54)=0,"",SHIPMENTS!G54)</f>
        <v/>
      </c>
      <c r="F48" s="109">
        <f>VLOOKUP(A48,Items!$A$5:$J$1000,3,0)</f>
        <v>0</v>
      </c>
      <c r="G48" s="98">
        <f>VLOOKUP(A48,load!$A$4:$U$5001,4,0)</f>
        <v>0</v>
      </c>
      <c r="H48" s="97">
        <f>Manhours!$C$19</f>
        <v>6</v>
      </c>
      <c r="I48" s="98">
        <f t="shared" si="50"/>
        <v>54.599999999999994</v>
      </c>
      <c r="J48" s="99">
        <f t="shared" si="51"/>
        <v>0</v>
      </c>
      <c r="K48" s="99">
        <f t="shared" si="52"/>
        <v>0</v>
      </c>
      <c r="L48" s="98">
        <f t="shared" si="53"/>
        <v>0</v>
      </c>
      <c r="M48" s="98">
        <f t="shared" si="54"/>
        <v>0</v>
      </c>
      <c r="N48" s="181">
        <f t="shared" si="55"/>
        <v>46314.41328879731</v>
      </c>
      <c r="O48" s="181">
        <f t="shared" si="56"/>
        <v>46314.41328879731</v>
      </c>
      <c r="P48" s="112" t="str">
        <f>VLOOKUP(A48,SHIPMENTS!$A$7:$AP$76,40,0)</f>
        <v>n/a</v>
      </c>
      <c r="Q48" s="101"/>
      <c r="R48" s="127" t="str">
        <f t="shared" si="57"/>
        <v/>
      </c>
      <c r="S48" s="127" t="str">
        <f t="shared" si="57"/>
        <v/>
      </c>
      <c r="T48" s="127" t="str">
        <f t="shared" si="57"/>
        <v/>
      </c>
      <c r="U48" s="127" t="str">
        <f t="shared" si="57"/>
        <v/>
      </c>
      <c r="V48" s="127" t="str">
        <f t="shared" si="57"/>
        <v/>
      </c>
      <c r="W48" s="127" t="str">
        <f t="shared" si="57"/>
        <v/>
      </c>
      <c r="X48" s="127" t="str">
        <f t="shared" si="57"/>
        <v/>
      </c>
      <c r="Y48" s="127" t="str">
        <f t="shared" si="57"/>
        <v/>
      </c>
      <c r="Z48" s="127" t="str">
        <f t="shared" si="57"/>
        <v/>
      </c>
      <c r="AA48" s="127" t="str">
        <f t="shared" si="57"/>
        <v/>
      </c>
      <c r="AB48" s="127" t="str">
        <f t="shared" si="57"/>
        <v/>
      </c>
      <c r="AC48" s="127" t="str">
        <f t="shared" si="57"/>
        <v/>
      </c>
      <c r="AD48" s="127" t="str">
        <f t="shared" si="57"/>
        <v/>
      </c>
      <c r="AE48" s="127" t="str">
        <f t="shared" si="57"/>
        <v/>
      </c>
      <c r="AF48" s="127" t="str">
        <f t="shared" si="57"/>
        <v/>
      </c>
      <c r="AG48" s="127" t="str">
        <f t="shared" si="57"/>
        <v/>
      </c>
      <c r="AH48" s="127" t="str">
        <f t="shared" si="49"/>
        <v/>
      </c>
      <c r="AI48" s="127" t="str">
        <f t="shared" si="49"/>
        <v/>
      </c>
      <c r="AJ48" s="127" t="str">
        <f t="shared" si="49"/>
        <v/>
      </c>
      <c r="AK48" s="127" t="str">
        <f t="shared" si="49"/>
        <v/>
      </c>
      <c r="AL48" s="127" t="str">
        <f t="shared" si="49"/>
        <v/>
      </c>
      <c r="AM48" s="127" t="str">
        <f t="shared" si="49"/>
        <v/>
      </c>
      <c r="AN48" s="127" t="str">
        <f t="shared" si="49"/>
        <v/>
      </c>
      <c r="AO48" s="127" t="str">
        <f t="shared" si="49"/>
        <v/>
      </c>
      <c r="AP48" s="127" t="str">
        <f t="shared" si="49"/>
        <v/>
      </c>
      <c r="AQ48" s="127" t="str">
        <f t="shared" si="49"/>
        <v/>
      </c>
      <c r="AR48" s="127" t="str">
        <f t="shared" si="49"/>
        <v/>
      </c>
      <c r="AS48" s="127" t="str">
        <f t="shared" si="49"/>
        <v/>
      </c>
      <c r="AT48" s="127" t="str">
        <f t="shared" si="49"/>
        <v/>
      </c>
      <c r="AU48" s="127" t="str">
        <f t="shared" si="49"/>
        <v/>
      </c>
      <c r="AV48" s="127" t="str">
        <f t="shared" si="49"/>
        <v/>
      </c>
      <c r="AW48" s="127" t="str">
        <f t="shared" si="49"/>
        <v/>
      </c>
      <c r="AX48" s="127" t="str">
        <f t="shared" si="49"/>
        <v/>
      </c>
      <c r="AY48" s="127" t="str">
        <f t="shared" si="49"/>
        <v/>
      </c>
      <c r="AZ48" s="127" t="str">
        <f t="shared" si="49"/>
        <v/>
      </c>
      <c r="BA48" s="127" t="str">
        <f t="shared" si="49"/>
        <v/>
      </c>
      <c r="BB48" s="127" t="str">
        <f t="shared" si="49"/>
        <v/>
      </c>
      <c r="BC48" s="127" t="str">
        <f t="shared" si="49"/>
        <v/>
      </c>
      <c r="BD48" s="127" t="str">
        <f t="shared" si="49"/>
        <v/>
      </c>
      <c r="BE48" s="127" t="str">
        <f t="shared" si="49"/>
        <v/>
      </c>
      <c r="BF48" s="127" t="str">
        <f t="shared" si="58"/>
        <v/>
      </c>
      <c r="BG48" s="127" t="str">
        <f t="shared" si="58"/>
        <v/>
      </c>
      <c r="BH48" s="127" t="str">
        <f t="shared" si="58"/>
        <v/>
      </c>
      <c r="BI48" s="127" t="str">
        <f t="shared" si="58"/>
        <v/>
      </c>
      <c r="BJ48" s="127" t="str">
        <f t="shared" si="58"/>
        <v/>
      </c>
      <c r="BK48" s="127" t="str">
        <f t="shared" si="58"/>
        <v/>
      </c>
      <c r="BL48" s="127" t="str">
        <f t="shared" si="58"/>
        <v/>
      </c>
      <c r="BM48" s="127" t="str">
        <f t="shared" si="58"/>
        <v/>
      </c>
      <c r="BN48" s="127" t="str">
        <f t="shared" si="58"/>
        <v/>
      </c>
      <c r="BO48" s="127" t="str">
        <f t="shared" si="58"/>
        <v/>
      </c>
      <c r="BP48" s="127" t="str">
        <f t="shared" si="58"/>
        <v/>
      </c>
      <c r="BQ48" s="127" t="str">
        <f t="shared" si="58"/>
        <v/>
      </c>
      <c r="BR48" s="127" t="str">
        <f t="shared" si="47"/>
        <v/>
      </c>
      <c r="BS48" s="127" t="str">
        <f t="shared" si="47"/>
        <v/>
      </c>
      <c r="BT48" s="127" t="str">
        <f t="shared" si="47"/>
        <v/>
      </c>
      <c r="BU48" s="127" t="str">
        <f t="shared" si="47"/>
        <v/>
      </c>
      <c r="BV48" s="127" t="str">
        <f t="shared" si="47"/>
        <v/>
      </c>
      <c r="BW48" s="127" t="str">
        <f t="shared" si="47"/>
        <v/>
      </c>
      <c r="BX48" s="127" t="str">
        <f t="shared" si="47"/>
        <v/>
      </c>
      <c r="BY48" s="127" t="str">
        <f t="shared" si="47"/>
        <v/>
      </c>
      <c r="BZ48" s="127" t="str">
        <f t="shared" si="47"/>
        <v/>
      </c>
      <c r="CA48" s="127" t="str">
        <f t="shared" si="47"/>
        <v/>
      </c>
      <c r="CB48" s="127" t="str">
        <f t="shared" si="47"/>
        <v/>
      </c>
      <c r="CC48" s="127" t="str">
        <f t="shared" si="47"/>
        <v/>
      </c>
      <c r="CD48" s="127" t="str">
        <f t="shared" si="47"/>
        <v/>
      </c>
      <c r="CE48" s="127" t="str">
        <f t="shared" si="47"/>
        <v/>
      </c>
    </row>
    <row r="49" spans="1:83" ht="12.75" hidden="1" customHeight="1" x14ac:dyDescent="0.2">
      <c r="A49" s="106">
        <f>SHIPMENTS!A55</f>
        <v>6967</v>
      </c>
      <c r="B49" s="106" t="str">
        <f>SHIPMENTS!B55</f>
        <v>9600-NEW ZEALAND BACKLOG</v>
      </c>
      <c r="C49" s="132">
        <f>SHIPMENTS!F55</f>
        <v>0</v>
      </c>
      <c r="D49" s="107" t="str">
        <f>IF((SHIPMENTS!I55)=0,"",SHIPMENTS!I55)</f>
        <v/>
      </c>
      <c r="E49" s="176" t="str">
        <f>IF((SHIPMENTS!G55)=0,"",SHIPMENTS!G55)</f>
        <v/>
      </c>
      <c r="F49" s="109">
        <f>VLOOKUP(A49,Items!$A$5:$J$1000,3,0)</f>
        <v>0</v>
      </c>
      <c r="G49" s="98">
        <f>VLOOKUP(A49,load!$A$4:$U$5001,4,0)</f>
        <v>0</v>
      </c>
      <c r="H49" s="97">
        <f>Manhours!$C$19</f>
        <v>6</v>
      </c>
      <c r="I49" s="98">
        <f t="shared" si="50"/>
        <v>54.599999999999994</v>
      </c>
      <c r="J49" s="99">
        <f t="shared" si="51"/>
        <v>0</v>
      </c>
      <c r="K49" s="99">
        <f t="shared" si="52"/>
        <v>0</v>
      </c>
      <c r="L49" s="98">
        <f t="shared" si="53"/>
        <v>0</v>
      </c>
      <c r="M49" s="98">
        <f t="shared" si="54"/>
        <v>0</v>
      </c>
      <c r="N49" s="181">
        <f t="shared" si="55"/>
        <v>46314.41328879731</v>
      </c>
      <c r="O49" s="181">
        <f t="shared" si="56"/>
        <v>46314.41328879731</v>
      </c>
      <c r="P49" s="112" t="str">
        <f>VLOOKUP(A49,SHIPMENTS!$A$7:$AP$76,40,0)</f>
        <v>n/a</v>
      </c>
      <c r="Q49" s="101"/>
      <c r="R49" s="127" t="str">
        <f t="shared" si="57"/>
        <v/>
      </c>
      <c r="S49" s="127" t="str">
        <f t="shared" si="57"/>
        <v/>
      </c>
      <c r="T49" s="127" t="str">
        <f t="shared" si="57"/>
        <v/>
      </c>
      <c r="U49" s="127" t="str">
        <f t="shared" si="57"/>
        <v/>
      </c>
      <c r="V49" s="127" t="str">
        <f t="shared" si="57"/>
        <v/>
      </c>
      <c r="W49" s="127" t="str">
        <f t="shared" si="57"/>
        <v/>
      </c>
      <c r="X49" s="127" t="str">
        <f t="shared" si="57"/>
        <v/>
      </c>
      <c r="Y49" s="127" t="str">
        <f t="shared" si="57"/>
        <v/>
      </c>
      <c r="Z49" s="127" t="str">
        <f t="shared" si="57"/>
        <v/>
      </c>
      <c r="AA49" s="127" t="str">
        <f t="shared" si="57"/>
        <v/>
      </c>
      <c r="AB49" s="127" t="str">
        <f t="shared" si="57"/>
        <v/>
      </c>
      <c r="AC49" s="127" t="str">
        <f t="shared" si="57"/>
        <v/>
      </c>
      <c r="AD49" s="127" t="str">
        <f t="shared" si="57"/>
        <v/>
      </c>
      <c r="AE49" s="127" t="str">
        <f t="shared" si="57"/>
        <v/>
      </c>
      <c r="AF49" s="127" t="str">
        <f t="shared" si="57"/>
        <v/>
      </c>
      <c r="AG49" s="127" t="str">
        <f t="shared" si="57"/>
        <v/>
      </c>
      <c r="AH49" s="127" t="str">
        <f t="shared" si="49"/>
        <v/>
      </c>
      <c r="AI49" s="127" t="str">
        <f t="shared" si="49"/>
        <v/>
      </c>
      <c r="AJ49" s="127" t="str">
        <f t="shared" si="49"/>
        <v/>
      </c>
      <c r="AK49" s="127" t="str">
        <f t="shared" si="49"/>
        <v/>
      </c>
      <c r="AL49" s="127" t="str">
        <f t="shared" si="49"/>
        <v/>
      </c>
      <c r="AM49" s="127" t="str">
        <f t="shared" si="49"/>
        <v/>
      </c>
      <c r="AN49" s="127" t="str">
        <f t="shared" si="49"/>
        <v/>
      </c>
      <c r="AO49" s="127" t="str">
        <f t="shared" si="49"/>
        <v/>
      </c>
      <c r="AP49" s="127" t="str">
        <f t="shared" si="49"/>
        <v/>
      </c>
      <c r="AQ49" s="127" t="str">
        <f t="shared" si="49"/>
        <v/>
      </c>
      <c r="AR49" s="127" t="str">
        <f t="shared" si="49"/>
        <v/>
      </c>
      <c r="AS49" s="127" t="str">
        <f t="shared" si="49"/>
        <v/>
      </c>
      <c r="AT49" s="127" t="str">
        <f t="shared" si="49"/>
        <v/>
      </c>
      <c r="AU49" s="127" t="str">
        <f t="shared" si="49"/>
        <v/>
      </c>
      <c r="AV49" s="127" t="str">
        <f t="shared" si="49"/>
        <v/>
      </c>
      <c r="AW49" s="127" t="str">
        <f t="shared" si="49"/>
        <v/>
      </c>
      <c r="AX49" s="127" t="str">
        <f t="shared" si="49"/>
        <v/>
      </c>
      <c r="AY49" s="127" t="str">
        <f t="shared" si="49"/>
        <v/>
      </c>
      <c r="AZ49" s="127" t="str">
        <f t="shared" si="49"/>
        <v/>
      </c>
      <c r="BA49" s="127" t="str">
        <f t="shared" si="49"/>
        <v/>
      </c>
      <c r="BB49" s="127" t="str">
        <f t="shared" si="49"/>
        <v/>
      </c>
      <c r="BC49" s="127" t="str">
        <f t="shared" si="49"/>
        <v/>
      </c>
      <c r="BD49" s="127" t="str">
        <f t="shared" si="49"/>
        <v/>
      </c>
      <c r="BE49" s="127" t="str">
        <f t="shared" si="49"/>
        <v/>
      </c>
      <c r="BF49" s="127" t="str">
        <f t="shared" si="58"/>
        <v/>
      </c>
      <c r="BG49" s="127" t="str">
        <f t="shared" si="58"/>
        <v/>
      </c>
      <c r="BH49" s="127" t="str">
        <f t="shared" si="58"/>
        <v/>
      </c>
      <c r="BI49" s="127" t="str">
        <f t="shared" si="58"/>
        <v/>
      </c>
      <c r="BJ49" s="127" t="str">
        <f t="shared" si="58"/>
        <v/>
      </c>
      <c r="BK49" s="127" t="str">
        <f t="shared" si="58"/>
        <v/>
      </c>
      <c r="BL49" s="127" t="str">
        <f t="shared" si="58"/>
        <v/>
      </c>
      <c r="BM49" s="127" t="str">
        <f t="shared" si="58"/>
        <v/>
      </c>
      <c r="BN49" s="127" t="str">
        <f t="shared" si="58"/>
        <v/>
      </c>
      <c r="BO49" s="127" t="str">
        <f t="shared" si="58"/>
        <v/>
      </c>
      <c r="BP49" s="127" t="str">
        <f t="shared" si="58"/>
        <v/>
      </c>
      <c r="BQ49" s="127" t="str">
        <f t="shared" si="58"/>
        <v/>
      </c>
      <c r="BR49" s="127" t="str">
        <f t="shared" si="47"/>
        <v/>
      </c>
      <c r="BS49" s="127" t="str">
        <f t="shared" si="47"/>
        <v/>
      </c>
      <c r="BT49" s="127" t="str">
        <f t="shared" si="47"/>
        <v/>
      </c>
      <c r="BU49" s="127" t="str">
        <f t="shared" si="47"/>
        <v/>
      </c>
      <c r="BV49" s="127" t="str">
        <f t="shared" si="47"/>
        <v/>
      </c>
      <c r="BW49" s="127" t="str">
        <f t="shared" si="47"/>
        <v/>
      </c>
      <c r="BX49" s="127" t="str">
        <f t="shared" si="47"/>
        <v/>
      </c>
      <c r="BY49" s="127" t="str">
        <f t="shared" si="47"/>
        <v/>
      </c>
      <c r="BZ49" s="127" t="str">
        <f t="shared" si="47"/>
        <v/>
      </c>
      <c r="CA49" s="127" t="str">
        <f t="shared" si="47"/>
        <v/>
      </c>
      <c r="CB49" s="127" t="str">
        <f t="shared" si="47"/>
        <v/>
      </c>
      <c r="CC49" s="127" t="str">
        <f t="shared" si="47"/>
        <v/>
      </c>
      <c r="CD49" s="127" t="str">
        <f t="shared" si="47"/>
        <v/>
      </c>
      <c r="CE49" s="127" t="str">
        <f t="shared" si="47"/>
        <v/>
      </c>
    </row>
    <row r="50" spans="1:83" ht="12.75" hidden="1" customHeight="1" x14ac:dyDescent="0.2">
      <c r="A50" s="106">
        <f>SHIPMENTS!A56</f>
        <v>6646</v>
      </c>
      <c r="B50" s="106" t="str">
        <f>SHIPMENTS!B56</f>
        <v>9600-NEW ZEALAND BACKLOG</v>
      </c>
      <c r="C50" s="132">
        <f>SHIPMENTS!F56</f>
        <v>0</v>
      </c>
      <c r="D50" s="107" t="str">
        <f>IF((SHIPMENTS!I56)=0,"",SHIPMENTS!I56)</f>
        <v/>
      </c>
      <c r="E50" s="176" t="str">
        <f>IF((SHIPMENTS!G56)=0,"",SHIPMENTS!G56)</f>
        <v/>
      </c>
      <c r="F50" s="109">
        <f>VLOOKUP(A50,Items!$A$5:$J$1000,3,0)</f>
        <v>0</v>
      </c>
      <c r="G50" s="98">
        <f>VLOOKUP(A50,load!$A$4:$U$5001,4,0)</f>
        <v>0</v>
      </c>
      <c r="H50" s="97">
        <f>Manhours!$C$19</f>
        <v>6</v>
      </c>
      <c r="I50" s="98">
        <f t="shared" si="50"/>
        <v>54.599999999999994</v>
      </c>
      <c r="J50" s="99">
        <f t="shared" si="51"/>
        <v>0</v>
      </c>
      <c r="K50" s="99">
        <f t="shared" si="52"/>
        <v>0</v>
      </c>
      <c r="L50" s="98">
        <f t="shared" si="53"/>
        <v>0</v>
      </c>
      <c r="M50" s="98">
        <f t="shared" si="54"/>
        <v>0</v>
      </c>
      <c r="N50" s="181">
        <f t="shared" si="55"/>
        <v>46314.41328879731</v>
      </c>
      <c r="O50" s="181">
        <f t="shared" si="56"/>
        <v>46314.41328879731</v>
      </c>
      <c r="P50" s="112" t="str">
        <f>VLOOKUP(A50,SHIPMENTS!$A$7:$AP$76,40,0)</f>
        <v>n/a</v>
      </c>
      <c r="Q50" s="101"/>
      <c r="R50" s="127" t="str">
        <f t="shared" si="57"/>
        <v/>
      </c>
      <c r="S50" s="127" t="str">
        <f t="shared" si="57"/>
        <v/>
      </c>
      <c r="T50" s="127" t="str">
        <f t="shared" si="57"/>
        <v/>
      </c>
      <c r="U50" s="127" t="str">
        <f t="shared" si="57"/>
        <v/>
      </c>
      <c r="V50" s="127" t="str">
        <f t="shared" si="57"/>
        <v/>
      </c>
      <c r="W50" s="127" t="str">
        <f t="shared" si="57"/>
        <v/>
      </c>
      <c r="X50" s="127" t="str">
        <f t="shared" si="57"/>
        <v/>
      </c>
      <c r="Y50" s="127" t="str">
        <f t="shared" si="57"/>
        <v/>
      </c>
      <c r="Z50" s="127" t="str">
        <f t="shared" si="57"/>
        <v/>
      </c>
      <c r="AA50" s="127" t="str">
        <f t="shared" si="57"/>
        <v/>
      </c>
      <c r="AB50" s="127" t="str">
        <f t="shared" si="57"/>
        <v/>
      </c>
      <c r="AC50" s="127" t="str">
        <f t="shared" si="57"/>
        <v/>
      </c>
      <c r="AD50" s="127" t="str">
        <f t="shared" si="57"/>
        <v/>
      </c>
      <c r="AE50" s="127" t="str">
        <f t="shared" si="57"/>
        <v/>
      </c>
      <c r="AF50" s="127" t="str">
        <f t="shared" si="57"/>
        <v/>
      </c>
      <c r="AG50" s="127" t="str">
        <f t="shared" si="57"/>
        <v/>
      </c>
      <c r="AH50" s="127" t="str">
        <f t="shared" si="49"/>
        <v/>
      </c>
      <c r="AI50" s="127" t="str">
        <f t="shared" si="49"/>
        <v/>
      </c>
      <c r="AJ50" s="127" t="str">
        <f t="shared" si="49"/>
        <v/>
      </c>
      <c r="AK50" s="127" t="str">
        <f t="shared" si="49"/>
        <v/>
      </c>
      <c r="AL50" s="127" t="str">
        <f t="shared" si="49"/>
        <v/>
      </c>
      <c r="AM50" s="127" t="str">
        <f t="shared" si="49"/>
        <v/>
      </c>
      <c r="AN50" s="127" t="str">
        <f t="shared" si="49"/>
        <v/>
      </c>
      <c r="AO50" s="127" t="str">
        <f t="shared" si="49"/>
        <v/>
      </c>
      <c r="AP50" s="127" t="str">
        <f t="shared" si="49"/>
        <v/>
      </c>
      <c r="AQ50" s="127" t="str">
        <f t="shared" si="49"/>
        <v/>
      </c>
      <c r="AR50" s="127" t="str">
        <f t="shared" si="49"/>
        <v/>
      </c>
      <c r="AS50" s="127" t="str">
        <f t="shared" si="49"/>
        <v/>
      </c>
      <c r="AT50" s="127" t="str">
        <f t="shared" si="49"/>
        <v/>
      </c>
      <c r="AU50" s="127" t="str">
        <f t="shared" si="49"/>
        <v/>
      </c>
      <c r="AV50" s="127" t="str">
        <f t="shared" si="49"/>
        <v/>
      </c>
      <c r="AW50" s="127" t="str">
        <f t="shared" si="49"/>
        <v/>
      </c>
      <c r="AX50" s="127" t="str">
        <f t="shared" si="49"/>
        <v/>
      </c>
      <c r="AY50" s="127" t="str">
        <f t="shared" si="49"/>
        <v/>
      </c>
      <c r="AZ50" s="127" t="str">
        <f t="shared" si="49"/>
        <v/>
      </c>
      <c r="BA50" s="127" t="str">
        <f t="shared" si="49"/>
        <v/>
      </c>
      <c r="BB50" s="127" t="str">
        <f t="shared" si="49"/>
        <v/>
      </c>
      <c r="BC50" s="127" t="str">
        <f t="shared" si="49"/>
        <v/>
      </c>
      <c r="BD50" s="127" t="str">
        <f t="shared" si="49"/>
        <v/>
      </c>
      <c r="BE50" s="127" t="str">
        <f t="shared" si="49"/>
        <v/>
      </c>
      <c r="BF50" s="127" t="str">
        <f t="shared" si="58"/>
        <v/>
      </c>
      <c r="BG50" s="127" t="str">
        <f t="shared" si="58"/>
        <v/>
      </c>
      <c r="BH50" s="127" t="str">
        <f t="shared" si="58"/>
        <v/>
      </c>
      <c r="BI50" s="127" t="str">
        <f t="shared" si="58"/>
        <v/>
      </c>
      <c r="BJ50" s="127" t="str">
        <f t="shared" si="58"/>
        <v/>
      </c>
      <c r="BK50" s="127" t="str">
        <f t="shared" si="58"/>
        <v/>
      </c>
      <c r="BL50" s="127" t="str">
        <f t="shared" si="58"/>
        <v/>
      </c>
      <c r="BM50" s="127" t="str">
        <f t="shared" si="58"/>
        <v/>
      </c>
      <c r="BN50" s="127" t="str">
        <f t="shared" si="58"/>
        <v/>
      </c>
      <c r="BO50" s="127" t="str">
        <f t="shared" si="58"/>
        <v/>
      </c>
      <c r="BP50" s="127" t="str">
        <f t="shared" si="58"/>
        <v/>
      </c>
      <c r="BQ50" s="127" t="str">
        <f t="shared" si="58"/>
        <v/>
      </c>
      <c r="BR50" s="127" t="str">
        <f t="shared" si="47"/>
        <v/>
      </c>
      <c r="BS50" s="127" t="str">
        <f t="shared" si="47"/>
        <v/>
      </c>
      <c r="BT50" s="127" t="str">
        <f t="shared" si="47"/>
        <v/>
      </c>
      <c r="BU50" s="127" t="str">
        <f t="shared" si="47"/>
        <v/>
      </c>
      <c r="BV50" s="127" t="str">
        <f t="shared" si="47"/>
        <v/>
      </c>
      <c r="BW50" s="127" t="str">
        <f t="shared" si="47"/>
        <v/>
      </c>
      <c r="BX50" s="127" t="str">
        <f t="shared" si="47"/>
        <v/>
      </c>
      <c r="BY50" s="127" t="str">
        <f t="shared" si="47"/>
        <v/>
      </c>
      <c r="BZ50" s="127" t="str">
        <f t="shared" si="47"/>
        <v/>
      </c>
      <c r="CA50" s="127" t="str">
        <f t="shared" si="47"/>
        <v/>
      </c>
      <c r="CB50" s="127" t="str">
        <f t="shared" si="47"/>
        <v/>
      </c>
      <c r="CC50" s="127" t="str">
        <f t="shared" si="47"/>
        <v/>
      </c>
      <c r="CD50" s="127" t="str">
        <f t="shared" si="47"/>
        <v/>
      </c>
      <c r="CE50" s="127" t="str">
        <f t="shared" si="47"/>
        <v/>
      </c>
    </row>
    <row r="51" spans="1:83" ht="12.75" hidden="1" customHeight="1" x14ac:dyDescent="0.2">
      <c r="A51" s="106">
        <f>SHIPMENTS!A57</f>
        <v>9122</v>
      </c>
      <c r="B51" s="106" t="str">
        <f>SHIPMENTS!B57</f>
        <v>19300-USA SUPERIOR SAUNA</v>
      </c>
      <c r="C51" s="132">
        <f>SHIPMENTS!F57</f>
        <v>69.539999999999992</v>
      </c>
      <c r="D51" s="107" t="str">
        <f>IF((SHIPMENTS!I57)=0,"",SHIPMENTS!I57)</f>
        <v>1x40HC</v>
      </c>
      <c r="E51" s="176" t="str">
        <f>IF((SHIPMENTS!G57)=0,"",SHIPMENTS!G57)</f>
        <v>TBA</v>
      </c>
      <c r="F51" s="109">
        <f>VLOOKUP(A51,Items!$A$5:$J$1000,3,0)</f>
        <v>0</v>
      </c>
      <c r="G51" s="98">
        <f>VLOOKUP(A51,load!$A$4:$U$5001,4,0)</f>
        <v>0</v>
      </c>
      <c r="H51" s="97">
        <f>Manhours!$C$19</f>
        <v>6</v>
      </c>
      <c r="I51" s="98">
        <f t="shared" si="50"/>
        <v>54.599999999999994</v>
      </c>
      <c r="J51" s="99">
        <f t="shared" si="51"/>
        <v>0</v>
      </c>
      <c r="K51" s="99">
        <f t="shared" si="52"/>
        <v>0</v>
      </c>
      <c r="L51" s="98">
        <f t="shared" si="53"/>
        <v>0</v>
      </c>
      <c r="M51" s="98">
        <f t="shared" si="54"/>
        <v>0</v>
      </c>
      <c r="N51" s="181">
        <f t="shared" si="55"/>
        <v>46314.41328879731</v>
      </c>
      <c r="O51" s="181">
        <f t="shared" si="56"/>
        <v>46314.41328879731</v>
      </c>
      <c r="P51" s="112" t="str">
        <f>VLOOKUP(A51,SHIPMENTS!$A$7:$AP$76,40,0)</f>
        <v>n/a</v>
      </c>
      <c r="Q51" s="101"/>
      <c r="R51" s="127" t="str">
        <f t="shared" si="57"/>
        <v/>
      </c>
      <c r="S51" s="127" t="str">
        <f t="shared" si="57"/>
        <v/>
      </c>
      <c r="T51" s="127" t="str">
        <f t="shared" si="57"/>
        <v/>
      </c>
      <c r="U51" s="127" t="str">
        <f t="shared" si="57"/>
        <v/>
      </c>
      <c r="V51" s="127" t="str">
        <f t="shared" si="57"/>
        <v/>
      </c>
      <c r="W51" s="127" t="str">
        <f t="shared" si="57"/>
        <v/>
      </c>
      <c r="X51" s="127" t="str">
        <f t="shared" si="57"/>
        <v/>
      </c>
      <c r="Y51" s="127" t="str">
        <f t="shared" si="57"/>
        <v/>
      </c>
      <c r="Z51" s="127" t="str">
        <f t="shared" si="57"/>
        <v/>
      </c>
      <c r="AA51" s="127" t="str">
        <f t="shared" si="57"/>
        <v/>
      </c>
      <c r="AB51" s="127" t="str">
        <f t="shared" si="57"/>
        <v/>
      </c>
      <c r="AC51" s="127" t="str">
        <f t="shared" si="57"/>
        <v/>
      </c>
      <c r="AD51" s="127" t="str">
        <f t="shared" si="57"/>
        <v/>
      </c>
      <c r="AE51" s="127" t="str">
        <f t="shared" si="57"/>
        <v/>
      </c>
      <c r="AF51" s="127" t="str">
        <f t="shared" si="57"/>
        <v/>
      </c>
      <c r="AG51" s="127" t="str">
        <f t="shared" si="57"/>
        <v/>
      </c>
      <c r="AH51" s="127" t="str">
        <f t="shared" si="49"/>
        <v/>
      </c>
      <c r="AI51" s="127" t="str">
        <f t="shared" si="49"/>
        <v/>
      </c>
      <c r="AJ51" s="127" t="str">
        <f t="shared" si="49"/>
        <v/>
      </c>
      <c r="AK51" s="127" t="str">
        <f t="shared" si="49"/>
        <v/>
      </c>
      <c r="AL51" s="127" t="str">
        <f t="shared" si="49"/>
        <v/>
      </c>
      <c r="AM51" s="127" t="str">
        <f t="shared" si="49"/>
        <v/>
      </c>
      <c r="AN51" s="127" t="str">
        <f t="shared" si="49"/>
        <v/>
      </c>
      <c r="AO51" s="127" t="str">
        <f t="shared" si="49"/>
        <v/>
      </c>
      <c r="AP51" s="127" t="str">
        <f t="shared" si="49"/>
        <v/>
      </c>
      <c r="AQ51" s="127" t="str">
        <f t="shared" si="49"/>
        <v/>
      </c>
      <c r="AR51" s="127" t="str">
        <f t="shared" si="49"/>
        <v/>
      </c>
      <c r="AS51" s="127" t="str">
        <f t="shared" si="49"/>
        <v/>
      </c>
      <c r="AT51" s="127" t="str">
        <f t="shared" si="49"/>
        <v/>
      </c>
      <c r="AU51" s="127" t="str">
        <f t="shared" si="49"/>
        <v/>
      </c>
      <c r="AV51" s="127" t="str">
        <f t="shared" si="49"/>
        <v/>
      </c>
      <c r="AW51" s="127" t="str">
        <f t="shared" si="49"/>
        <v/>
      </c>
      <c r="AX51" s="127" t="str">
        <f t="shared" si="49"/>
        <v/>
      </c>
      <c r="AY51" s="127" t="str">
        <f t="shared" si="49"/>
        <v/>
      </c>
      <c r="AZ51" s="127" t="str">
        <f t="shared" si="49"/>
        <v/>
      </c>
      <c r="BA51" s="127" t="str">
        <f t="shared" si="49"/>
        <v/>
      </c>
      <c r="BB51" s="127" t="str">
        <f t="shared" si="49"/>
        <v/>
      </c>
      <c r="BC51" s="127" t="str">
        <f t="shared" si="49"/>
        <v/>
      </c>
      <c r="BD51" s="127" t="str">
        <f t="shared" si="49"/>
        <v/>
      </c>
      <c r="BE51" s="127" t="str">
        <f t="shared" si="49"/>
        <v/>
      </c>
      <c r="BF51" s="127" t="str">
        <f t="shared" si="58"/>
        <v/>
      </c>
      <c r="BG51" s="127" t="str">
        <f t="shared" si="58"/>
        <v/>
      </c>
      <c r="BH51" s="127" t="str">
        <f t="shared" si="58"/>
        <v/>
      </c>
      <c r="BI51" s="127" t="str">
        <f t="shared" si="58"/>
        <v/>
      </c>
      <c r="BJ51" s="127" t="str">
        <f t="shared" si="58"/>
        <v/>
      </c>
      <c r="BK51" s="127" t="str">
        <f t="shared" si="58"/>
        <v/>
      </c>
      <c r="BL51" s="127" t="str">
        <f t="shared" si="58"/>
        <v/>
      </c>
      <c r="BM51" s="127" t="str">
        <f t="shared" si="58"/>
        <v/>
      </c>
      <c r="BN51" s="127" t="str">
        <f t="shared" si="58"/>
        <v/>
      </c>
      <c r="BO51" s="127" t="str">
        <f t="shared" si="58"/>
        <v/>
      </c>
      <c r="BP51" s="127" t="str">
        <f t="shared" si="58"/>
        <v/>
      </c>
      <c r="BQ51" s="127" t="str">
        <f t="shared" si="58"/>
        <v/>
      </c>
      <c r="BR51" s="127" t="str">
        <f t="shared" si="58"/>
        <v/>
      </c>
      <c r="BS51" s="127" t="str">
        <f t="shared" si="58"/>
        <v/>
      </c>
      <c r="BT51" s="127" t="str">
        <f t="shared" si="58"/>
        <v/>
      </c>
      <c r="BU51" s="127" t="str">
        <f t="shared" si="58"/>
        <v/>
      </c>
      <c r="BV51" s="127" t="str">
        <f t="shared" ref="BR51:CE53" si="59">IF($E51=BV$3,"▲","")</f>
        <v/>
      </c>
      <c r="BW51" s="127" t="str">
        <f t="shared" si="59"/>
        <v/>
      </c>
      <c r="BX51" s="127" t="str">
        <f t="shared" si="59"/>
        <v/>
      </c>
      <c r="BY51" s="127" t="str">
        <f t="shared" si="59"/>
        <v/>
      </c>
      <c r="BZ51" s="127" t="str">
        <f t="shared" si="59"/>
        <v/>
      </c>
      <c r="CA51" s="127" t="str">
        <f t="shared" si="59"/>
        <v/>
      </c>
      <c r="CB51" s="127" t="str">
        <f t="shared" si="59"/>
        <v/>
      </c>
      <c r="CC51" s="127" t="str">
        <f t="shared" si="59"/>
        <v/>
      </c>
      <c r="CD51" s="127" t="str">
        <f t="shared" si="59"/>
        <v/>
      </c>
      <c r="CE51" s="127" t="str">
        <f t="shared" si="59"/>
        <v/>
      </c>
    </row>
    <row r="52" spans="1:83" ht="12.75" hidden="1" customHeight="1" x14ac:dyDescent="0.2">
      <c r="A52" s="106">
        <f>SHIPMENTS!A58</f>
        <v>9197</v>
      </c>
      <c r="B52" s="106" t="str">
        <f>SHIPMENTS!B58</f>
        <v>19300-USA SUPERIOR SAUNA</v>
      </c>
      <c r="C52" s="132">
        <f>SHIPMENTS!F58</f>
        <v>0</v>
      </c>
      <c r="D52" s="107" t="str">
        <f>IF((SHIPMENTS!I58)=0,"",SHIPMENTS!I58)</f>
        <v/>
      </c>
      <c r="E52" s="176" t="str">
        <f>IF((SHIPMENTS!G58)=0,"",SHIPMENTS!G58)</f>
        <v>TBA</v>
      </c>
      <c r="F52" s="109">
        <f>VLOOKUP(A52,Items!$A$5:$J$1000,3,0)</f>
        <v>0</v>
      </c>
      <c r="G52" s="98">
        <f>VLOOKUP(A52,load!$A$4:$U$5001,4,0)</f>
        <v>0</v>
      </c>
      <c r="H52" s="97">
        <f>Manhours!$C$19</f>
        <v>6</v>
      </c>
      <c r="I52" s="98">
        <f t="shared" si="50"/>
        <v>54.599999999999994</v>
      </c>
      <c r="J52" s="99">
        <f t="shared" si="51"/>
        <v>0</v>
      </c>
      <c r="K52" s="99">
        <f t="shared" si="52"/>
        <v>0</v>
      </c>
      <c r="L52" s="98">
        <f t="shared" si="53"/>
        <v>0</v>
      </c>
      <c r="M52" s="98">
        <f t="shared" si="54"/>
        <v>0</v>
      </c>
      <c r="N52" s="181">
        <f t="shared" si="55"/>
        <v>46314.41328879731</v>
      </c>
      <c r="O52" s="181">
        <f t="shared" si="56"/>
        <v>46314.41328879731</v>
      </c>
      <c r="P52" s="112" t="str">
        <f>VLOOKUP(A52,SHIPMENTS!$A$7:$AP$76,40,0)</f>
        <v>n/a</v>
      </c>
      <c r="Q52" s="101"/>
      <c r="R52" s="127" t="str">
        <f t="shared" si="57"/>
        <v/>
      </c>
      <c r="S52" s="127" t="str">
        <f t="shared" si="57"/>
        <v/>
      </c>
      <c r="T52" s="127" t="str">
        <f t="shared" si="57"/>
        <v/>
      </c>
      <c r="U52" s="127" t="str">
        <f t="shared" si="57"/>
        <v/>
      </c>
      <c r="V52" s="127" t="str">
        <f t="shared" si="57"/>
        <v/>
      </c>
      <c r="W52" s="127" t="str">
        <f t="shared" si="57"/>
        <v/>
      </c>
      <c r="X52" s="127" t="str">
        <f t="shared" si="57"/>
        <v/>
      </c>
      <c r="Y52" s="127" t="str">
        <f t="shared" si="57"/>
        <v/>
      </c>
      <c r="Z52" s="127" t="str">
        <f t="shared" si="57"/>
        <v/>
      </c>
      <c r="AA52" s="127" t="str">
        <f t="shared" si="57"/>
        <v/>
      </c>
      <c r="AB52" s="127" t="str">
        <f t="shared" si="57"/>
        <v/>
      </c>
      <c r="AC52" s="127" t="str">
        <f t="shared" si="57"/>
        <v/>
      </c>
      <c r="AD52" s="127" t="str">
        <f t="shared" si="57"/>
        <v/>
      </c>
      <c r="AE52" s="127" t="str">
        <f t="shared" si="57"/>
        <v/>
      </c>
      <c r="AF52" s="127" t="str">
        <f t="shared" si="57"/>
        <v/>
      </c>
      <c r="AG52" s="127" t="str">
        <f t="shared" si="57"/>
        <v/>
      </c>
      <c r="AH52" s="127" t="str">
        <f t="shared" si="49"/>
        <v/>
      </c>
      <c r="AI52" s="127" t="str">
        <f t="shared" si="49"/>
        <v/>
      </c>
      <c r="AJ52" s="127" t="str">
        <f t="shared" si="49"/>
        <v/>
      </c>
      <c r="AK52" s="127" t="str">
        <f t="shared" si="49"/>
        <v/>
      </c>
      <c r="AL52" s="127" t="str">
        <f t="shared" si="49"/>
        <v/>
      </c>
      <c r="AM52" s="127" t="str">
        <f t="shared" si="49"/>
        <v/>
      </c>
      <c r="AN52" s="127" t="str">
        <f t="shared" si="49"/>
        <v/>
      </c>
      <c r="AO52" s="127" t="str">
        <f t="shared" si="49"/>
        <v/>
      </c>
      <c r="AP52" s="127" t="str">
        <f t="shared" si="49"/>
        <v/>
      </c>
      <c r="AQ52" s="127" t="str">
        <f t="shared" si="49"/>
        <v/>
      </c>
      <c r="AR52" s="127" t="str">
        <f t="shared" si="49"/>
        <v/>
      </c>
      <c r="AS52" s="127" t="str">
        <f t="shared" si="49"/>
        <v/>
      </c>
      <c r="AT52" s="127" t="str">
        <f t="shared" si="49"/>
        <v/>
      </c>
      <c r="AU52" s="127" t="str">
        <f t="shared" si="49"/>
        <v/>
      </c>
      <c r="AV52" s="127" t="str">
        <f t="shared" si="49"/>
        <v/>
      </c>
      <c r="AW52" s="127" t="str">
        <f t="shared" si="49"/>
        <v/>
      </c>
      <c r="AX52" s="127" t="str">
        <f t="shared" si="49"/>
        <v/>
      </c>
      <c r="AY52" s="127" t="str">
        <f t="shared" si="49"/>
        <v/>
      </c>
      <c r="AZ52" s="127" t="str">
        <f t="shared" si="49"/>
        <v/>
      </c>
      <c r="BA52" s="127" t="str">
        <f t="shared" si="49"/>
        <v/>
      </c>
      <c r="BB52" s="127" t="str">
        <f t="shared" si="49"/>
        <v/>
      </c>
      <c r="BC52" s="127" t="str">
        <f t="shared" si="49"/>
        <v/>
      </c>
      <c r="BD52" s="127" t="str">
        <f t="shared" si="49"/>
        <v/>
      </c>
      <c r="BE52" s="127" t="str">
        <f t="shared" si="49"/>
        <v/>
      </c>
      <c r="BF52" s="127" t="str">
        <f t="shared" si="58"/>
        <v/>
      </c>
      <c r="BG52" s="127" t="str">
        <f t="shared" si="58"/>
        <v/>
      </c>
      <c r="BH52" s="127" t="str">
        <f t="shared" si="58"/>
        <v/>
      </c>
      <c r="BI52" s="127" t="str">
        <f t="shared" si="58"/>
        <v/>
      </c>
      <c r="BJ52" s="127" t="str">
        <f t="shared" si="58"/>
        <v/>
      </c>
      <c r="BK52" s="127" t="str">
        <f t="shared" si="58"/>
        <v/>
      </c>
      <c r="BL52" s="127" t="str">
        <f t="shared" si="58"/>
        <v/>
      </c>
      <c r="BM52" s="127" t="str">
        <f t="shared" si="58"/>
        <v/>
      </c>
      <c r="BN52" s="127" t="str">
        <f t="shared" si="58"/>
        <v/>
      </c>
      <c r="BO52" s="127" t="str">
        <f t="shared" si="58"/>
        <v/>
      </c>
      <c r="BP52" s="127" t="str">
        <f t="shared" si="58"/>
        <v/>
      </c>
      <c r="BQ52" s="127" t="str">
        <f t="shared" si="58"/>
        <v/>
      </c>
      <c r="BR52" s="127" t="str">
        <f t="shared" si="59"/>
        <v/>
      </c>
      <c r="BS52" s="127" t="str">
        <f t="shared" si="59"/>
        <v/>
      </c>
      <c r="BT52" s="127" t="str">
        <f t="shared" si="59"/>
        <v/>
      </c>
      <c r="BU52" s="127" t="str">
        <f t="shared" si="59"/>
        <v/>
      </c>
      <c r="BV52" s="127" t="str">
        <f t="shared" si="59"/>
        <v/>
      </c>
      <c r="BW52" s="127" t="str">
        <f t="shared" si="59"/>
        <v/>
      </c>
      <c r="BX52" s="127" t="str">
        <f t="shared" si="59"/>
        <v/>
      </c>
      <c r="BY52" s="127" t="str">
        <f t="shared" si="59"/>
        <v/>
      </c>
      <c r="BZ52" s="127" t="str">
        <f t="shared" si="59"/>
        <v/>
      </c>
      <c r="CA52" s="127" t="str">
        <f t="shared" si="59"/>
        <v/>
      </c>
      <c r="CB52" s="127" t="str">
        <f t="shared" si="59"/>
        <v/>
      </c>
      <c r="CC52" s="127" t="str">
        <f t="shared" si="59"/>
        <v/>
      </c>
      <c r="CD52" s="127" t="str">
        <f t="shared" si="59"/>
        <v/>
      </c>
      <c r="CE52" s="127" t="str">
        <f t="shared" si="59"/>
        <v/>
      </c>
    </row>
    <row r="53" spans="1:83" ht="12.75" hidden="1" customHeight="1" x14ac:dyDescent="0.2">
      <c r="A53" s="106">
        <f>SHIPMENTS!A59</f>
        <v>6542</v>
      </c>
      <c r="B53" s="106" t="str">
        <f>SHIPMENTS!B59</f>
        <v>75100-JORDAN
BACKLOG</v>
      </c>
      <c r="C53" s="132">
        <f>SHIPMENTS!F59</f>
        <v>2.9600000000000001E-2</v>
      </c>
      <c r="D53" s="107" t="str">
        <f>IF((SHIPMENTS!I59)=0,"",SHIPMENTS!I59)</f>
        <v/>
      </c>
      <c r="E53" s="176" t="str">
        <f>IF((SHIPMENTS!G59)=0,"",SHIPMENTS!G59)</f>
        <v>TBA</v>
      </c>
      <c r="F53" s="109">
        <f>VLOOKUP(A53,Items!$A$5:$J$1000,3,0)</f>
        <v>0</v>
      </c>
      <c r="G53" s="98">
        <f>VLOOKUP(A53,load!$A$4:$U$5001,4,0)</f>
        <v>0</v>
      </c>
      <c r="H53" s="97">
        <f>Manhours!$C$19</f>
        <v>6</v>
      </c>
      <c r="I53" s="98">
        <f t="shared" ref="I53" si="60">+H53*$I$4</f>
        <v>54.599999999999994</v>
      </c>
      <c r="J53" s="99">
        <f t="shared" ref="J53" si="61">G53/I53</f>
        <v>0</v>
      </c>
      <c r="K53" s="99">
        <f t="shared" ref="K53" si="62">+J53*$I$4</f>
        <v>0</v>
      </c>
      <c r="L53" s="98">
        <f t="shared" ref="L53" si="63">IFERROR(J53-(J53*P53),0)</f>
        <v>0</v>
      </c>
      <c r="M53" s="98">
        <f t="shared" ref="M53" si="64">IFERROR(K53-(K53*P53),0)</f>
        <v>0</v>
      </c>
      <c r="N53" s="181">
        <f t="shared" ref="N53" si="65">O52</f>
        <v>46314.41328879731</v>
      </c>
      <c r="O53" s="181">
        <f t="shared" ref="O53" si="66">N53+L53</f>
        <v>46314.41328879731</v>
      </c>
      <c r="P53" s="112" t="str">
        <f>VLOOKUP(A53,SHIPMENTS!$A$7:$AP$76,40,0)</f>
        <v>n/a</v>
      </c>
      <c r="Q53" s="101"/>
      <c r="R53" s="127" t="str">
        <f t="shared" si="57"/>
        <v/>
      </c>
      <c r="S53" s="127" t="str">
        <f t="shared" si="57"/>
        <v/>
      </c>
      <c r="T53" s="127" t="str">
        <f t="shared" si="57"/>
        <v/>
      </c>
      <c r="U53" s="127" t="str">
        <f t="shared" si="57"/>
        <v/>
      </c>
      <c r="V53" s="127" t="str">
        <f t="shared" si="57"/>
        <v/>
      </c>
      <c r="W53" s="127" t="str">
        <f t="shared" si="57"/>
        <v/>
      </c>
      <c r="X53" s="127" t="str">
        <f t="shared" si="57"/>
        <v/>
      </c>
      <c r="Y53" s="127" t="str">
        <f t="shared" si="57"/>
        <v/>
      </c>
      <c r="Z53" s="127" t="str">
        <f t="shared" si="57"/>
        <v/>
      </c>
      <c r="AA53" s="127" t="str">
        <f t="shared" si="57"/>
        <v/>
      </c>
      <c r="AB53" s="127" t="str">
        <f t="shared" si="57"/>
        <v/>
      </c>
      <c r="AC53" s="127" t="str">
        <f t="shared" si="57"/>
        <v/>
      </c>
      <c r="AD53" s="127" t="str">
        <f t="shared" si="57"/>
        <v/>
      </c>
      <c r="AE53" s="127" t="str">
        <f t="shared" si="57"/>
        <v/>
      </c>
      <c r="AF53" s="127" t="str">
        <f t="shared" si="57"/>
        <v/>
      </c>
      <c r="AG53" s="127" t="str">
        <f t="shared" si="57"/>
        <v/>
      </c>
      <c r="AH53" s="127" t="str">
        <f t="shared" si="49"/>
        <v/>
      </c>
      <c r="AI53" s="127" t="str">
        <f t="shared" si="49"/>
        <v/>
      </c>
      <c r="AJ53" s="127" t="str">
        <f t="shared" si="49"/>
        <v/>
      </c>
      <c r="AK53" s="127" t="str">
        <f t="shared" si="49"/>
        <v/>
      </c>
      <c r="AL53" s="127" t="str">
        <f t="shared" si="49"/>
        <v/>
      </c>
      <c r="AM53" s="127" t="str">
        <f t="shared" si="49"/>
        <v/>
      </c>
      <c r="AN53" s="127" t="str">
        <f t="shared" si="49"/>
        <v/>
      </c>
      <c r="AO53" s="127" t="str">
        <f t="shared" si="49"/>
        <v/>
      </c>
      <c r="AP53" s="127" t="str">
        <f t="shared" si="49"/>
        <v/>
      </c>
      <c r="AQ53" s="127" t="str">
        <f t="shared" si="49"/>
        <v/>
      </c>
      <c r="AR53" s="127" t="str">
        <f t="shared" si="49"/>
        <v/>
      </c>
      <c r="AS53" s="127" t="str">
        <f t="shared" si="49"/>
        <v/>
      </c>
      <c r="AT53" s="127" t="str">
        <f t="shared" si="49"/>
        <v/>
      </c>
      <c r="AU53" s="127" t="str">
        <f t="shared" si="49"/>
        <v/>
      </c>
      <c r="AV53" s="127" t="str">
        <f t="shared" si="49"/>
        <v/>
      </c>
      <c r="AW53" s="127" t="str">
        <f t="shared" si="49"/>
        <v/>
      </c>
      <c r="AX53" s="127" t="str">
        <f t="shared" si="49"/>
        <v/>
      </c>
      <c r="AY53" s="127" t="str">
        <f t="shared" si="49"/>
        <v/>
      </c>
      <c r="AZ53" s="127" t="str">
        <f t="shared" si="49"/>
        <v/>
      </c>
      <c r="BA53" s="127" t="str">
        <f t="shared" si="49"/>
        <v/>
      </c>
      <c r="BB53" s="127" t="str">
        <f t="shared" si="49"/>
        <v/>
      </c>
      <c r="BC53" s="127" t="str">
        <f t="shared" si="49"/>
        <v/>
      </c>
      <c r="BD53" s="127" t="str">
        <f t="shared" si="49"/>
        <v/>
      </c>
      <c r="BE53" s="127" t="str">
        <f t="shared" si="49"/>
        <v/>
      </c>
      <c r="BF53" s="127" t="str">
        <f t="shared" si="58"/>
        <v/>
      </c>
      <c r="BG53" s="127" t="str">
        <f t="shared" si="58"/>
        <v/>
      </c>
      <c r="BH53" s="127" t="str">
        <f t="shared" si="58"/>
        <v/>
      </c>
      <c r="BI53" s="127" t="str">
        <f t="shared" si="58"/>
        <v/>
      </c>
      <c r="BJ53" s="127" t="str">
        <f t="shared" si="58"/>
        <v/>
      </c>
      <c r="BK53" s="127" t="str">
        <f t="shared" si="58"/>
        <v/>
      </c>
      <c r="BL53" s="127" t="str">
        <f t="shared" si="58"/>
        <v/>
      </c>
      <c r="BM53" s="127" t="str">
        <f t="shared" si="58"/>
        <v/>
      </c>
      <c r="BN53" s="127" t="str">
        <f t="shared" si="58"/>
        <v/>
      </c>
      <c r="BO53" s="127" t="str">
        <f t="shared" si="58"/>
        <v/>
      </c>
      <c r="BP53" s="127" t="str">
        <f t="shared" si="58"/>
        <v/>
      </c>
      <c r="BQ53" s="127" t="str">
        <f t="shared" si="58"/>
        <v/>
      </c>
      <c r="BR53" s="127" t="str">
        <f t="shared" si="59"/>
        <v/>
      </c>
      <c r="BS53" s="127" t="str">
        <f t="shared" si="59"/>
        <v/>
      </c>
      <c r="BT53" s="127" t="str">
        <f t="shared" si="59"/>
        <v/>
      </c>
      <c r="BU53" s="127" t="str">
        <f t="shared" si="59"/>
        <v/>
      </c>
      <c r="BV53" s="127" t="str">
        <f t="shared" si="59"/>
        <v/>
      </c>
      <c r="BW53" s="127" t="str">
        <f t="shared" si="59"/>
        <v/>
      </c>
      <c r="BX53" s="127" t="str">
        <f t="shared" si="59"/>
        <v/>
      </c>
      <c r="BY53" s="127" t="str">
        <f t="shared" si="59"/>
        <v/>
      </c>
      <c r="BZ53" s="127" t="str">
        <f t="shared" si="59"/>
        <v/>
      </c>
      <c r="CA53" s="127" t="str">
        <f t="shared" si="59"/>
        <v/>
      </c>
      <c r="CB53" s="127" t="str">
        <f t="shared" si="59"/>
        <v/>
      </c>
      <c r="CC53" s="127" t="str">
        <f t="shared" si="59"/>
        <v/>
      </c>
      <c r="CD53" s="127" t="str">
        <f t="shared" si="59"/>
        <v/>
      </c>
      <c r="CE53" s="127" t="str">
        <f t="shared" si="59"/>
        <v/>
      </c>
    </row>
  </sheetData>
  <autoFilter ref="A7:AV53" xr:uid="{00000000-0009-0000-0000-000007000000}">
    <filterColumn colId="15">
      <filters>
        <filter val="0%"/>
        <filter val="100%"/>
        <filter val="87%"/>
        <filter val="99%"/>
      </filters>
    </filterColumn>
  </autoFilter>
  <mergeCells count="16">
    <mergeCell ref="P5:P6"/>
    <mergeCell ref="N5:N6"/>
    <mergeCell ref="O5:O6"/>
    <mergeCell ref="A5:A6"/>
    <mergeCell ref="B5:B6"/>
    <mergeCell ref="C5:C6"/>
    <mergeCell ref="D5:D6"/>
    <mergeCell ref="E5:E6"/>
    <mergeCell ref="F5:F6"/>
    <mergeCell ref="G5:G6"/>
    <mergeCell ref="H5:H6"/>
    <mergeCell ref="I5:I6"/>
    <mergeCell ref="J5:J6"/>
    <mergeCell ref="K5:K6"/>
    <mergeCell ref="L5:L6"/>
    <mergeCell ref="M5:M6"/>
  </mergeCells>
  <conditionalFormatting sqref="O8:O53">
    <cfRule type="cellIs" dxfId="423" priority="525" operator="greaterThan">
      <formula>E8</formula>
    </cfRule>
  </conditionalFormatting>
  <conditionalFormatting sqref="P8:P53">
    <cfRule type="dataBar" priority="736">
      <dataBar>
        <cfvo type="num" val="0"/>
        <cfvo type="num" val="1"/>
        <color rgb="FFFFB628"/>
      </dataBar>
      <extLst>
        <ext xmlns:x14="http://schemas.microsoft.com/office/spreadsheetml/2009/9/main" uri="{B025F937-C7B1-47D3-B67F-A62EFF666E3E}">
          <x14:id>{EDF0D366-22FC-45E8-8B57-82A393CB3DA5}</x14:id>
        </ext>
      </extLst>
    </cfRule>
  </conditionalFormatting>
  <conditionalFormatting sqref="P1:Q5 P7:Q1048576">
    <cfRule type="cellIs" dxfId="422" priority="105" operator="lessThan">
      <formula>1</formula>
    </cfRule>
    <cfRule type="cellIs" dxfId="421" priority="106" operator="equal">
      <formula>1</formula>
    </cfRule>
  </conditionalFormatting>
  <conditionalFormatting sqref="Q8:Q27">
    <cfRule type="dataBar" priority="1347">
      <dataBar>
        <cfvo type="num" val="0"/>
        <cfvo type="num" val="1"/>
        <color rgb="FFFFB628"/>
      </dataBar>
      <extLst>
        <ext xmlns:x14="http://schemas.microsoft.com/office/spreadsheetml/2009/9/main" uri="{B025F937-C7B1-47D3-B67F-A62EFF666E3E}">
          <x14:id>{2F158E05-6264-4901-AD32-4A6A7E164986}</x14:id>
        </ext>
      </extLst>
    </cfRule>
  </conditionalFormatting>
  <conditionalFormatting sqref="Q28">
    <cfRule type="dataBar" priority="1206">
      <dataBar>
        <cfvo type="num" val="0"/>
        <cfvo type="num" val="1"/>
        <color rgb="FFFFB628"/>
      </dataBar>
      <extLst>
        <ext xmlns:x14="http://schemas.microsoft.com/office/spreadsheetml/2009/9/main" uri="{B025F937-C7B1-47D3-B67F-A62EFF666E3E}">
          <x14:id>{8176035D-5150-423A-97FB-08C9829DD0A6}</x14:id>
        </ext>
      </extLst>
    </cfRule>
  </conditionalFormatting>
  <conditionalFormatting sqref="Q29">
    <cfRule type="dataBar" priority="1202">
      <dataBar>
        <cfvo type="num" val="0"/>
        <cfvo type="num" val="1"/>
        <color rgb="FFFFB628"/>
      </dataBar>
      <extLst>
        <ext xmlns:x14="http://schemas.microsoft.com/office/spreadsheetml/2009/9/main" uri="{B025F937-C7B1-47D3-B67F-A62EFF666E3E}">
          <x14:id>{F69BA5E3-463B-41D3-9767-23A067956C1C}</x14:id>
        </ext>
      </extLst>
    </cfRule>
  </conditionalFormatting>
  <conditionalFormatting sqref="Q30:Q53">
    <cfRule type="dataBar" priority="1198">
      <dataBar>
        <cfvo type="num" val="0"/>
        <cfvo type="num" val="1"/>
        <color rgb="FFFFB628"/>
      </dataBar>
      <extLst>
        <ext xmlns:x14="http://schemas.microsoft.com/office/spreadsheetml/2009/9/main" uri="{B025F937-C7B1-47D3-B67F-A62EFF666E3E}">
          <x14:id>{E2307BB6-0076-4AAE-A718-2CA7F05896D9}</x14:id>
        </ext>
      </extLst>
    </cfRule>
  </conditionalFormatting>
  <conditionalFormatting sqref="R8:BE27 AW8:CE32">
    <cfRule type="cellIs" dxfId="420" priority="1294" operator="equal">
      <formula>1</formula>
    </cfRule>
  </conditionalFormatting>
  <conditionalFormatting sqref="R8:BE53">
    <cfRule type="cellIs" dxfId="419" priority="6" operator="equal">
      <formula>1</formula>
    </cfRule>
  </conditionalFormatting>
  <conditionalFormatting sqref="R28:BE29">
    <cfRule type="cellIs" dxfId="418" priority="1201" operator="equal">
      <formula>1</formula>
    </cfRule>
  </conditionalFormatting>
  <conditionalFormatting sqref="R30:BE53">
    <cfRule type="cellIs" dxfId="417" priority="7" operator="equal">
      <formula>1</formula>
    </cfRule>
  </conditionalFormatting>
  <conditionalFormatting sqref="R1:CE1">
    <cfRule type="cellIs" dxfId="416" priority="762" operator="notEqual">
      <formula>0</formula>
    </cfRule>
  </conditionalFormatting>
  <conditionalFormatting sqref="R8:CE53">
    <cfRule type="expression" dxfId="415" priority="13">
      <formula>IF(AND($N8&lt;=R$3,$O8&gt;=R$3),1,"")</formula>
    </cfRule>
  </conditionalFormatting>
  <conditionalFormatting sqref="AW8:CE32">
    <cfRule type="cellIs" dxfId="414" priority="1293" operator="equal">
      <formula>1</formula>
    </cfRule>
  </conditionalFormatting>
  <conditionalFormatting sqref="AW33:CE45">
    <cfRule type="cellIs" dxfId="413" priority="103" operator="equal">
      <formula>1</formula>
    </cfRule>
    <cfRule type="cellIs" dxfId="412" priority="104" operator="equal">
      <formula>1</formula>
    </cfRule>
  </conditionalFormatting>
  <conditionalFormatting sqref="AW46:CE53">
    <cfRule type="cellIs" dxfId="411" priority="11" operator="equal">
      <formula>1</formula>
    </cfRule>
    <cfRule type="cellIs" dxfId="410" priority="12" operator="equal">
      <formula>1</formula>
    </cfRule>
  </conditionalFormatting>
  <conditionalFormatting sqref="BH8:BK45">
    <cfRule type="cellIs" dxfId="409" priority="102" operator="equal">
      <formula>1</formula>
    </cfRule>
  </conditionalFormatting>
  <conditionalFormatting sqref="BH8:BK53">
    <cfRule type="cellIs" dxfId="408" priority="5" operator="equal">
      <formula>1</formula>
    </cfRule>
  </conditionalFormatting>
  <conditionalFormatting sqref="BH46:BK53">
    <cfRule type="cellIs" dxfId="407" priority="10" operator="equal">
      <formula>1</formula>
    </cfRule>
  </conditionalFormatting>
  <conditionalFormatting sqref="BN8:BQ45">
    <cfRule type="cellIs" dxfId="406" priority="101" operator="equal">
      <formula>1</formula>
    </cfRule>
  </conditionalFormatting>
  <conditionalFormatting sqref="BN8:BQ53">
    <cfRule type="cellIs" dxfId="405" priority="4" operator="equal">
      <formula>1</formula>
    </cfRule>
  </conditionalFormatting>
  <conditionalFormatting sqref="BN46:BQ53">
    <cfRule type="cellIs" dxfId="404" priority="9" operator="equal">
      <formula>1</formula>
    </cfRule>
  </conditionalFormatting>
  <conditionalFormatting sqref="BT8:BW45">
    <cfRule type="cellIs" dxfId="403" priority="100" operator="equal">
      <formula>1</formula>
    </cfRule>
  </conditionalFormatting>
  <conditionalFormatting sqref="BT8:BW53">
    <cfRule type="cellIs" dxfId="402" priority="3" operator="equal">
      <formula>1</formula>
    </cfRule>
  </conditionalFormatting>
  <conditionalFormatting sqref="BT46:BW53">
    <cfRule type="cellIs" dxfId="401" priority="8" operator="equal">
      <formula>1</formula>
    </cfRule>
  </conditionalFormatting>
  <conditionalFormatting sqref="BZ8:CC27">
    <cfRule type="cellIs" dxfId="400" priority="1084" operator="equal">
      <formula>1</formula>
    </cfRule>
  </conditionalFormatting>
  <conditionalFormatting sqref="BZ8:CC53">
    <cfRule type="cellIs" dxfId="399" priority="1" operator="equal">
      <formula>1</formula>
    </cfRule>
  </conditionalFormatting>
  <conditionalFormatting sqref="BZ28:CC53">
    <cfRule type="cellIs" dxfId="398" priority="2" operator="equal">
      <formula>1</formula>
    </cfRule>
  </conditionalFormatting>
  <pageMargins left="0.7" right="0.7" top="0.75" bottom="0.75" header="0.3" footer="0.3"/>
  <pageSetup paperSize="9" orientation="portrait" horizontalDpi="0" verticalDpi="0" r:id="rId1"/>
  <extLst>
    <ext xmlns:x14="http://schemas.microsoft.com/office/spreadsheetml/2009/9/main" uri="{78C0D931-6437-407d-A8EE-F0AAD7539E65}">
      <x14:conditionalFormattings>
        <x14:conditionalFormatting xmlns:xm="http://schemas.microsoft.com/office/excel/2006/main">
          <x14:cfRule type="dataBar" id="{EDF0D366-22FC-45E8-8B57-82A393CB3DA5}">
            <x14:dataBar minLength="0" maxLength="100" gradient="0">
              <x14:cfvo type="num">
                <xm:f>0</xm:f>
              </x14:cfvo>
              <x14:cfvo type="num">
                <xm:f>1</xm:f>
              </x14:cfvo>
              <x14:negativeFillColor rgb="FFFF0000"/>
              <x14:axisColor rgb="FF000000"/>
            </x14:dataBar>
          </x14:cfRule>
          <xm:sqref>P8:P53</xm:sqref>
        </x14:conditionalFormatting>
        <x14:conditionalFormatting xmlns:xm="http://schemas.microsoft.com/office/excel/2006/main">
          <x14:cfRule type="dataBar" id="{2F158E05-6264-4901-AD32-4A6A7E164986}">
            <x14:dataBar minLength="0" maxLength="100" gradient="0">
              <x14:cfvo type="num">
                <xm:f>0</xm:f>
              </x14:cfvo>
              <x14:cfvo type="num">
                <xm:f>1</xm:f>
              </x14:cfvo>
              <x14:negativeFillColor rgb="FFFF0000"/>
              <x14:axisColor rgb="FF000000"/>
            </x14:dataBar>
          </x14:cfRule>
          <xm:sqref>Q8:Q27</xm:sqref>
        </x14:conditionalFormatting>
        <x14:conditionalFormatting xmlns:xm="http://schemas.microsoft.com/office/excel/2006/main">
          <x14:cfRule type="dataBar" id="{8176035D-5150-423A-97FB-08C9829DD0A6}">
            <x14:dataBar minLength="0" maxLength="100" gradient="0">
              <x14:cfvo type="num">
                <xm:f>0</xm:f>
              </x14:cfvo>
              <x14:cfvo type="num">
                <xm:f>1</xm:f>
              </x14:cfvo>
              <x14:negativeFillColor rgb="FFFF0000"/>
              <x14:axisColor rgb="FF000000"/>
            </x14:dataBar>
          </x14:cfRule>
          <xm:sqref>Q28</xm:sqref>
        </x14:conditionalFormatting>
        <x14:conditionalFormatting xmlns:xm="http://schemas.microsoft.com/office/excel/2006/main">
          <x14:cfRule type="dataBar" id="{F69BA5E3-463B-41D3-9767-23A067956C1C}">
            <x14:dataBar minLength="0" maxLength="100" gradient="0">
              <x14:cfvo type="num">
                <xm:f>0</xm:f>
              </x14:cfvo>
              <x14:cfvo type="num">
                <xm:f>1</xm:f>
              </x14:cfvo>
              <x14:negativeFillColor rgb="FFFF0000"/>
              <x14:axisColor rgb="FF000000"/>
            </x14:dataBar>
          </x14:cfRule>
          <xm:sqref>Q29</xm:sqref>
        </x14:conditionalFormatting>
        <x14:conditionalFormatting xmlns:xm="http://schemas.microsoft.com/office/excel/2006/main">
          <x14:cfRule type="dataBar" id="{E2307BB6-0076-4AAE-A718-2CA7F05896D9}">
            <x14:dataBar minLength="0" maxLength="100" gradient="0">
              <x14:cfvo type="num">
                <xm:f>0</xm:f>
              </x14:cfvo>
              <x14:cfvo type="num">
                <xm:f>1</xm:f>
              </x14:cfvo>
              <x14:negativeFillColor rgb="FFFF0000"/>
              <x14:axisColor rgb="FF000000"/>
            </x14:dataBar>
          </x14:cfRule>
          <xm:sqref>Q30:Q53</xm:sqref>
        </x14:conditionalFormatting>
      </x14:conditionalFormatting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8" filterMode="1"/>
  <dimension ref="A1:CE4785"/>
  <sheetViews>
    <sheetView showGridLines="0" zoomScaleNormal="100" zoomScaleSheetLayoutView="80" workbookViewId="0">
      <pane xSplit="16" ySplit="7" topLeftCell="Q8" activePane="bottomRight" state="frozen"/>
      <selection pane="topRight" activeCell="Q1" sqref="Q1"/>
      <selection pane="bottomLeft" activeCell="A8" sqref="A8"/>
      <selection pane="bottomRight" activeCell="F19" sqref="F19"/>
    </sheetView>
  </sheetViews>
  <sheetFormatPr defaultColWidth="9.28515625" defaultRowHeight="12.75" outlineLevelCol="1" x14ac:dyDescent="0.2"/>
  <cols>
    <col min="1" max="1" width="12.28515625" style="72" customWidth="1"/>
    <col min="2" max="2" width="21.7109375" style="71" customWidth="1"/>
    <col min="3" max="3" width="7.28515625" style="71" customWidth="1"/>
    <col min="4" max="4" width="7.7109375" style="71" customWidth="1"/>
    <col min="5" max="5" width="9.7109375" style="174" customWidth="1"/>
    <col min="6" max="6" width="7.5703125" style="71" customWidth="1"/>
    <col min="7" max="7" width="11.5703125" style="74" hidden="1" customWidth="1" outlineLevel="1"/>
    <col min="8" max="8" width="11.7109375" style="75" hidden="1" customWidth="1" outlineLevel="1"/>
    <col min="9" max="9" width="11.28515625" style="74" hidden="1" customWidth="1" outlineLevel="1"/>
    <col min="10" max="10" width="8.7109375" style="76" hidden="1" customWidth="1" outlineLevel="1"/>
    <col min="11" max="11" width="7.7109375" style="76" hidden="1" customWidth="1" outlineLevel="1"/>
    <col min="12" max="12" width="9" style="74" customWidth="1" collapsed="1"/>
    <col min="13" max="13" width="9" style="74" hidden="1" customWidth="1" outlineLevel="1"/>
    <col min="14" max="14" width="7.42578125" style="174" hidden="1" customWidth="1" outlineLevel="1"/>
    <col min="15" max="15" width="8.28515625" style="174" customWidth="1" collapsed="1"/>
    <col min="16" max="16" width="11.28515625" style="78" customWidth="1"/>
    <col min="17" max="17" width="11.28515625" style="152" customWidth="1"/>
    <col min="18" max="32" width="6.5703125" style="71" bestFit="1" customWidth="1"/>
    <col min="33" max="83" width="7.28515625" style="71" bestFit="1" customWidth="1"/>
    <col min="84" max="16384" width="9.28515625" style="71"/>
  </cols>
  <sheetData>
    <row r="1" spans="1:83" x14ac:dyDescent="0.2">
      <c r="P1" s="241"/>
      <c r="R1" s="105">
        <f>'T&amp;D'!Q1</f>
        <v>0</v>
      </c>
      <c r="S1" s="105">
        <f>'T&amp;D'!R1</f>
        <v>0</v>
      </c>
      <c r="T1" s="105">
        <f>'T&amp;D'!S1</f>
        <v>0</v>
      </c>
      <c r="U1" s="105">
        <f>'T&amp;D'!T1</f>
        <v>0</v>
      </c>
      <c r="V1" s="105">
        <f>'T&amp;D'!U1</f>
        <v>0</v>
      </c>
      <c r="W1" s="105">
        <f>'T&amp;D'!V1</f>
        <v>0</v>
      </c>
      <c r="X1" s="105">
        <f>'T&amp;D'!W1</f>
        <v>0</v>
      </c>
      <c r="Y1" s="105">
        <f>'T&amp;D'!X1</f>
        <v>0</v>
      </c>
      <c r="Z1" s="105">
        <f>'T&amp;D'!Y1</f>
        <v>0</v>
      </c>
      <c r="AA1" s="105">
        <f>'T&amp;D'!Z1</f>
        <v>0</v>
      </c>
      <c r="AB1" s="105">
        <f>'T&amp;D'!AA1</f>
        <v>0</v>
      </c>
      <c r="AC1" s="105">
        <f>'T&amp;D'!AB1</f>
        <v>0</v>
      </c>
      <c r="AD1" s="105">
        <f>'T&amp;D'!AC1</f>
        <v>0</v>
      </c>
      <c r="AE1" s="105">
        <f>'T&amp;D'!AD1</f>
        <v>0</v>
      </c>
      <c r="AF1" s="105">
        <f>'T&amp;D'!AE1</f>
        <v>0</v>
      </c>
      <c r="AG1" s="105">
        <f>'T&amp;D'!AF1</f>
        <v>0</v>
      </c>
      <c r="AH1" s="105">
        <f>'T&amp;D'!AG1</f>
        <v>0</v>
      </c>
      <c r="AI1" s="105">
        <f>'T&amp;D'!AH1</f>
        <v>0</v>
      </c>
      <c r="AJ1" s="105">
        <f>'T&amp;D'!AI1</f>
        <v>0</v>
      </c>
      <c r="AK1" s="105">
        <f>'T&amp;D'!AJ1</f>
        <v>0</v>
      </c>
      <c r="AL1" s="105">
        <f>'T&amp;D'!AK1</f>
        <v>0</v>
      </c>
      <c r="AM1" s="105">
        <f>'T&amp;D'!AL1</f>
        <v>0</v>
      </c>
      <c r="AN1" s="105">
        <f>'T&amp;D'!AM1</f>
        <v>0</v>
      </c>
      <c r="AO1" s="105">
        <f>'T&amp;D'!AN1</f>
        <v>0</v>
      </c>
      <c r="AP1" s="105">
        <f>'T&amp;D'!AO1</f>
        <v>0</v>
      </c>
      <c r="AQ1" s="105">
        <f>'T&amp;D'!AP1</f>
        <v>0</v>
      </c>
      <c r="AR1" s="105">
        <f>'T&amp;D'!AQ1</f>
        <v>0</v>
      </c>
      <c r="AS1" s="105">
        <f>'T&amp;D'!AR1</f>
        <v>0</v>
      </c>
      <c r="AT1" s="105">
        <f>'T&amp;D'!AS1</f>
        <v>0</v>
      </c>
      <c r="AU1" s="105">
        <f>'T&amp;D'!AT1</f>
        <v>0</v>
      </c>
      <c r="AV1" s="105">
        <f>'T&amp;D'!AU1</f>
        <v>0</v>
      </c>
      <c r="AW1" s="105">
        <f>'T&amp;D'!AV1</f>
        <v>0</v>
      </c>
      <c r="AX1" s="105">
        <f>'T&amp;D'!AW1</f>
        <v>0</v>
      </c>
      <c r="AY1" s="105">
        <f>'T&amp;D'!AX1</f>
        <v>0</v>
      </c>
      <c r="AZ1" s="105">
        <f>'T&amp;D'!AY1</f>
        <v>0</v>
      </c>
      <c r="BA1" s="105">
        <f>'T&amp;D'!AZ1</f>
        <v>0</v>
      </c>
      <c r="BB1" s="105">
        <f>'T&amp;D'!BA1</f>
        <v>0</v>
      </c>
      <c r="BC1" s="105">
        <f>'T&amp;D'!BB1</f>
        <v>0</v>
      </c>
      <c r="BD1" s="105">
        <f>'T&amp;D'!BC1</f>
        <v>0</v>
      </c>
      <c r="BE1" s="105">
        <f>'T&amp;D'!BD1</f>
        <v>0</v>
      </c>
      <c r="BF1" s="105">
        <f>'T&amp;D'!BE1</f>
        <v>0</v>
      </c>
      <c r="BG1" s="105">
        <f>'T&amp;D'!BF1</f>
        <v>0</v>
      </c>
      <c r="BH1" s="105">
        <f>'T&amp;D'!BG1</f>
        <v>0</v>
      </c>
      <c r="BI1" s="105">
        <f>'T&amp;D'!BH1</f>
        <v>0</v>
      </c>
      <c r="BJ1" s="105">
        <f>'T&amp;D'!BI1</f>
        <v>0</v>
      </c>
      <c r="BK1" s="105">
        <f>'T&amp;D'!BJ1</f>
        <v>0</v>
      </c>
      <c r="BL1" s="105">
        <f>'T&amp;D'!BK1</f>
        <v>0</v>
      </c>
      <c r="BM1" s="105">
        <f>'T&amp;D'!BL1</f>
        <v>0</v>
      </c>
      <c r="BN1" s="105">
        <f>'T&amp;D'!BM1</f>
        <v>0</v>
      </c>
      <c r="BO1" s="105">
        <f>'T&amp;D'!BN1</f>
        <v>0</v>
      </c>
      <c r="BP1" s="105">
        <f>'T&amp;D'!BO1</f>
        <v>0</v>
      </c>
      <c r="BQ1" s="105">
        <f>'T&amp;D'!BP1</f>
        <v>0</v>
      </c>
      <c r="BR1" s="105">
        <f>'T&amp;D'!BQ1</f>
        <v>0</v>
      </c>
      <c r="BS1" s="105">
        <f>'T&amp;D'!BR1</f>
        <v>0</v>
      </c>
      <c r="BT1" s="105">
        <f>'T&amp;D'!BS1</f>
        <v>0</v>
      </c>
      <c r="BU1" s="105">
        <f>'T&amp;D'!BT1</f>
        <v>0</v>
      </c>
      <c r="BV1" s="105">
        <f>'T&amp;D'!BU1</f>
        <v>0</v>
      </c>
      <c r="BW1" s="105">
        <f>'T&amp;D'!BV1</f>
        <v>0</v>
      </c>
      <c r="BX1" s="105">
        <f>'T&amp;D'!BW1</f>
        <v>0</v>
      </c>
      <c r="BY1" s="105">
        <f>'T&amp;D'!BX1</f>
        <v>0</v>
      </c>
      <c r="BZ1" s="105">
        <f>'T&amp;D'!BY1</f>
        <v>0</v>
      </c>
      <c r="CA1" s="105">
        <f>'T&amp;D'!BZ1</f>
        <v>0</v>
      </c>
      <c r="CB1" s="105">
        <f>'T&amp;D'!CA1</f>
        <v>0</v>
      </c>
      <c r="CC1" s="105">
        <f>'T&amp;D'!CB1</f>
        <v>0</v>
      </c>
      <c r="CD1" s="105">
        <f>'T&amp;D'!CC1</f>
        <v>0</v>
      </c>
      <c r="CE1" s="105">
        <f>'T&amp;D'!CD1</f>
        <v>0</v>
      </c>
    </row>
    <row r="2" spans="1:83" x14ac:dyDescent="0.2">
      <c r="A2" s="103" t="s">
        <v>222</v>
      </c>
      <c r="D2" s="80"/>
      <c r="E2" s="184"/>
      <c r="F2" s="204">
        <f>F4-F3</f>
        <v>128</v>
      </c>
      <c r="L2" s="142">
        <f>L4-L3</f>
        <v>0.3899422766720933</v>
      </c>
      <c r="R2" s="105" t="str">
        <f>'T&amp;D'!Q2</f>
        <v>w/O OT</v>
      </c>
      <c r="S2" s="105" t="str">
        <f>'T&amp;D'!R2</f>
        <v>w/O OT</v>
      </c>
      <c r="T2" s="105" t="str">
        <f>'T&amp;D'!S2</f>
        <v>w/O OT</v>
      </c>
      <c r="U2" s="105" t="str">
        <f>'T&amp;D'!T2</f>
        <v>w/O OT</v>
      </c>
      <c r="V2" s="105" t="str">
        <f>'T&amp;D'!U2</f>
        <v>Fri</v>
      </c>
      <c r="W2" s="105" t="str">
        <f>'T&amp;D'!V2</f>
        <v>Sat</v>
      </c>
      <c r="X2" s="105" t="str">
        <f>'T&amp;D'!W2</f>
        <v>w/O OT</v>
      </c>
      <c r="Y2" s="105" t="str">
        <f>'T&amp;D'!X2</f>
        <v>w/O OT</v>
      </c>
      <c r="Z2" s="105" t="str">
        <f>'T&amp;D'!Y2</f>
        <v>w/O OT</v>
      </c>
      <c r="AA2" s="105" t="str">
        <f>'T&amp;D'!Z2</f>
        <v>w/O OT</v>
      </c>
      <c r="AB2" s="105" t="str">
        <f>'T&amp;D'!AA2</f>
        <v>Fri</v>
      </c>
      <c r="AC2" s="105" t="str">
        <f>'T&amp;D'!AB2</f>
        <v>Sat</v>
      </c>
      <c r="AD2" s="105" t="str">
        <f>'T&amp;D'!AC2</f>
        <v>w/O OT</v>
      </c>
      <c r="AE2" s="105" t="str">
        <f>'T&amp;D'!AD2</f>
        <v>w/O OT</v>
      </c>
      <c r="AF2" s="105" t="str">
        <f>'T&amp;D'!AE2</f>
        <v>w/O OT</v>
      </c>
      <c r="AG2" s="105" t="str">
        <f>'T&amp;D'!AF2</f>
        <v>w/O OT</v>
      </c>
      <c r="AH2" s="105" t="str">
        <f>'T&amp;D'!AG2</f>
        <v>Fri</v>
      </c>
      <c r="AI2" s="105" t="str">
        <f>'T&amp;D'!AH2</f>
        <v>Sat</v>
      </c>
      <c r="AJ2" s="105" t="str">
        <f>'T&amp;D'!AI2</f>
        <v>w/O OT</v>
      </c>
      <c r="AK2" s="105" t="str">
        <f>'T&amp;D'!AJ2</f>
        <v>w/O OT</v>
      </c>
      <c r="AL2" s="105" t="str">
        <f>'T&amp;D'!AK2</f>
        <v>w/O OT</v>
      </c>
      <c r="AM2" s="105" t="str">
        <f>'T&amp;D'!AL2</f>
        <v>w/O OT</v>
      </c>
      <c r="AN2" s="105" t="str">
        <f>'T&amp;D'!AM2</f>
        <v>Fri</v>
      </c>
      <c r="AO2" s="105" t="str">
        <f>'T&amp;D'!AN2</f>
        <v>Sat</v>
      </c>
      <c r="AP2" s="105" t="str">
        <f>'T&amp;D'!AO2</f>
        <v>w/O OT</v>
      </c>
      <c r="AQ2" s="105" t="str">
        <f>'T&amp;D'!AP2</f>
        <v>w/O OT</v>
      </c>
      <c r="AR2" s="105" t="str">
        <f>'T&amp;D'!AQ2</f>
        <v>w/O OT</v>
      </c>
      <c r="AS2" s="105" t="str">
        <f>'T&amp;D'!AR2</f>
        <v>w/O OT</v>
      </c>
      <c r="AT2" s="105" t="str">
        <f>'T&amp;D'!AS2</f>
        <v>Fri</v>
      </c>
      <c r="AU2" s="105" t="str">
        <f>'T&amp;D'!AT2</f>
        <v>Sat</v>
      </c>
      <c r="AV2" s="105" t="str">
        <f>'T&amp;D'!AU2</f>
        <v>w/O OT</v>
      </c>
      <c r="AW2" s="105" t="str">
        <f>'T&amp;D'!AV2</f>
        <v>w/O OT</v>
      </c>
      <c r="AX2" s="105" t="str">
        <f>'T&amp;D'!AW2</f>
        <v>w/O OT</v>
      </c>
      <c r="AY2" s="105" t="str">
        <f>'T&amp;D'!AX2</f>
        <v>w/O OT</v>
      </c>
      <c r="AZ2" s="105" t="str">
        <f>'T&amp;D'!AY2</f>
        <v>Fri</v>
      </c>
      <c r="BA2" s="105" t="str">
        <f>'T&amp;D'!AZ2</f>
        <v>Sat</v>
      </c>
      <c r="BB2" s="105" t="str">
        <f>'T&amp;D'!BA2</f>
        <v>w/O OT</v>
      </c>
      <c r="BC2" s="105" t="str">
        <f>'T&amp;D'!BB2</f>
        <v>w/O OT</v>
      </c>
      <c r="BD2" s="105" t="str">
        <f>'T&amp;D'!BC2</f>
        <v>w/O OT</v>
      </c>
      <c r="BE2" s="105" t="str">
        <f>'T&amp;D'!BD2</f>
        <v>w/O OT</v>
      </c>
      <c r="BF2" s="105" t="str">
        <f>'T&amp;D'!BE2</f>
        <v>Fri</v>
      </c>
      <c r="BG2" s="105" t="str">
        <f>'T&amp;D'!BF2</f>
        <v>Sat</v>
      </c>
      <c r="BH2" s="105" t="str">
        <f>'T&amp;D'!BG2</f>
        <v>w/O OT</v>
      </c>
      <c r="BI2" s="105" t="str">
        <f>'T&amp;D'!BH2</f>
        <v>w/O OT</v>
      </c>
      <c r="BJ2" s="105" t="str">
        <f>'T&amp;D'!BI2</f>
        <v>w/O OT</v>
      </c>
      <c r="BK2" s="105" t="str">
        <f>'T&amp;D'!BJ2</f>
        <v>w/O OT</v>
      </c>
      <c r="BL2" s="105" t="str">
        <f>'T&amp;D'!BK2</f>
        <v>Fri</v>
      </c>
      <c r="BM2" s="105" t="str">
        <f>'T&amp;D'!BL2</f>
        <v>Sat</v>
      </c>
      <c r="BN2" s="105" t="str">
        <f>'T&amp;D'!BM2</f>
        <v>w/O OT</v>
      </c>
      <c r="BO2" s="105" t="str">
        <f>'T&amp;D'!BN2</f>
        <v>w/O OT</v>
      </c>
      <c r="BP2" s="105" t="str">
        <f>'T&amp;D'!BO2</f>
        <v>w/O OT</v>
      </c>
      <c r="BQ2" s="105" t="str">
        <f>'T&amp;D'!BP2</f>
        <v>w/O OT</v>
      </c>
      <c r="BR2" s="105" t="str">
        <f>'T&amp;D'!BQ2</f>
        <v>Fri</v>
      </c>
      <c r="BS2" s="105" t="str">
        <f>'T&amp;D'!BR2</f>
        <v>Sat</v>
      </c>
      <c r="BT2" s="105" t="str">
        <f>'T&amp;D'!BS2</f>
        <v>w/O OT</v>
      </c>
      <c r="BU2" s="105" t="str">
        <f>'T&amp;D'!BT2</f>
        <v>w/O OT</v>
      </c>
      <c r="BV2" s="105" t="str">
        <f>'T&amp;D'!BU2</f>
        <v>w/O OT</v>
      </c>
      <c r="BW2" s="105" t="str">
        <f>'T&amp;D'!BV2</f>
        <v>w/O OT</v>
      </c>
      <c r="BX2" s="105" t="str">
        <f>'T&amp;D'!BW2</f>
        <v>Fri</v>
      </c>
      <c r="BY2" s="105" t="str">
        <f>'T&amp;D'!BX2</f>
        <v>Sat</v>
      </c>
      <c r="BZ2" s="105" t="str">
        <f>'T&amp;D'!BY2</f>
        <v>w/O OT</v>
      </c>
      <c r="CA2" s="105" t="str">
        <f>'T&amp;D'!BZ2</f>
        <v>w/O OT</v>
      </c>
      <c r="CB2" s="105" t="str">
        <f>'T&amp;D'!CA2</f>
        <v>w/O OT</v>
      </c>
      <c r="CC2" s="105" t="str">
        <f>'T&amp;D'!CB2</f>
        <v>w/O OT</v>
      </c>
      <c r="CD2" s="105" t="str">
        <f>'T&amp;D'!CC2</f>
        <v>Fri</v>
      </c>
      <c r="CE2" s="105" t="str">
        <f>'T&amp;D'!CD2</f>
        <v>Sat</v>
      </c>
    </row>
    <row r="3" spans="1:83" s="80" customFormat="1" x14ac:dyDescent="0.2">
      <c r="A3" s="79"/>
      <c r="C3" s="71" t="s">
        <v>109</v>
      </c>
      <c r="D3" s="75" t="s">
        <v>110</v>
      </c>
      <c r="E3" s="174" t="s">
        <v>90</v>
      </c>
      <c r="F3" s="157">
        <f>F41+F43</f>
        <v>269</v>
      </c>
      <c r="L3" s="85">
        <f>L41+L43</f>
        <v>6.1438298738298869E-2</v>
      </c>
      <c r="M3" s="85"/>
      <c r="N3" s="177"/>
      <c r="O3" s="240" t="s">
        <v>415</v>
      </c>
      <c r="P3" s="81"/>
      <c r="Q3" s="153"/>
      <c r="R3" s="246">
        <f>'T&amp;D'!Q3</f>
        <v>46314</v>
      </c>
      <c r="S3" s="246">
        <f>'T&amp;D'!R3</f>
        <v>46315</v>
      </c>
      <c r="T3" s="246">
        <f>'T&amp;D'!S3</f>
        <v>46316</v>
      </c>
      <c r="U3" s="246">
        <f>'T&amp;D'!T3</f>
        <v>46317</v>
      </c>
      <c r="V3" s="246">
        <f>'T&amp;D'!U3</f>
        <v>46318</v>
      </c>
      <c r="W3" s="246">
        <f>'T&amp;D'!V3</f>
        <v>46319</v>
      </c>
      <c r="X3" s="246">
        <f>'T&amp;D'!W3</f>
        <v>46321</v>
      </c>
      <c r="Y3" s="246">
        <f>'T&amp;D'!X3</f>
        <v>46322</v>
      </c>
      <c r="Z3" s="246">
        <f>'T&amp;D'!Y3</f>
        <v>46323</v>
      </c>
      <c r="AA3" s="246">
        <f>'T&amp;D'!Z3</f>
        <v>46324</v>
      </c>
      <c r="AB3" s="246">
        <f>'T&amp;D'!AA3</f>
        <v>46325</v>
      </c>
      <c r="AC3" s="246">
        <f>'T&amp;D'!AB3</f>
        <v>46326</v>
      </c>
      <c r="AD3" s="246">
        <f>'T&amp;D'!AC3</f>
        <v>46328</v>
      </c>
      <c r="AE3" s="246">
        <f>'T&amp;D'!AD3</f>
        <v>46329</v>
      </c>
      <c r="AF3" s="246">
        <f>'T&amp;D'!AE3</f>
        <v>46330</v>
      </c>
      <c r="AG3" s="246">
        <f>'T&amp;D'!AF3</f>
        <v>46331</v>
      </c>
      <c r="AH3" s="246">
        <f>'T&amp;D'!AG3</f>
        <v>46332</v>
      </c>
      <c r="AI3" s="246">
        <f>'T&amp;D'!AH3</f>
        <v>46333</v>
      </c>
      <c r="AJ3" s="246">
        <f>'T&amp;D'!AI3</f>
        <v>46335</v>
      </c>
      <c r="AK3" s="246">
        <f>'T&amp;D'!AJ3</f>
        <v>46336</v>
      </c>
      <c r="AL3" s="246">
        <f>'T&amp;D'!AK3</f>
        <v>46337</v>
      </c>
      <c r="AM3" s="246">
        <f>'T&amp;D'!AL3</f>
        <v>46338</v>
      </c>
      <c r="AN3" s="246">
        <f>'T&amp;D'!AM3</f>
        <v>46339</v>
      </c>
      <c r="AO3" s="246">
        <f>'T&amp;D'!AN3</f>
        <v>46340</v>
      </c>
      <c r="AP3" s="246">
        <f>'T&amp;D'!AO3</f>
        <v>46342</v>
      </c>
      <c r="AQ3" s="246">
        <f>'T&amp;D'!AP3</f>
        <v>46343</v>
      </c>
      <c r="AR3" s="246">
        <f>'T&amp;D'!AQ3</f>
        <v>46344</v>
      </c>
      <c r="AS3" s="246">
        <f>'T&amp;D'!AR3</f>
        <v>46345</v>
      </c>
      <c r="AT3" s="246">
        <f>'T&amp;D'!AS3</f>
        <v>46346</v>
      </c>
      <c r="AU3" s="246">
        <f>'T&amp;D'!AT3</f>
        <v>46347</v>
      </c>
      <c r="AV3" s="246">
        <f>'T&amp;D'!AU3</f>
        <v>46349</v>
      </c>
      <c r="AW3" s="246">
        <f>'T&amp;D'!AV3</f>
        <v>46350</v>
      </c>
      <c r="AX3" s="246">
        <f>'T&amp;D'!AW3</f>
        <v>46351</v>
      </c>
      <c r="AY3" s="246">
        <f>'T&amp;D'!AX3</f>
        <v>46352</v>
      </c>
      <c r="AZ3" s="246">
        <f>'T&amp;D'!AY3</f>
        <v>46353</v>
      </c>
      <c r="BA3" s="246">
        <f>'T&amp;D'!AZ3</f>
        <v>46354</v>
      </c>
      <c r="BB3" s="246">
        <f>'T&amp;D'!BA3</f>
        <v>46356</v>
      </c>
      <c r="BC3" s="246">
        <f>'T&amp;D'!BB3</f>
        <v>46357</v>
      </c>
      <c r="BD3" s="246">
        <f>'T&amp;D'!BC3</f>
        <v>46358</v>
      </c>
      <c r="BE3" s="246">
        <f>'T&amp;D'!BD3</f>
        <v>46359</v>
      </c>
      <c r="BF3" s="246">
        <f>'T&amp;D'!BE3</f>
        <v>46360</v>
      </c>
      <c r="BG3" s="246">
        <f>'T&amp;D'!BF3</f>
        <v>46361</v>
      </c>
      <c r="BH3" s="246">
        <f>'T&amp;D'!BG3</f>
        <v>46363</v>
      </c>
      <c r="BI3" s="246">
        <f>'T&amp;D'!BH3</f>
        <v>46364</v>
      </c>
      <c r="BJ3" s="246">
        <f>'T&amp;D'!BI3</f>
        <v>46365</v>
      </c>
      <c r="BK3" s="246">
        <f>'T&amp;D'!BJ3</f>
        <v>46366</v>
      </c>
      <c r="BL3" s="246">
        <f>'T&amp;D'!BK3</f>
        <v>46367</v>
      </c>
      <c r="BM3" s="246">
        <f>'T&amp;D'!BL3</f>
        <v>46368</v>
      </c>
      <c r="BN3" s="246">
        <f>'T&amp;D'!BM3</f>
        <v>46370</v>
      </c>
      <c r="BO3" s="246">
        <f>'T&amp;D'!BN3</f>
        <v>46371</v>
      </c>
      <c r="BP3" s="246">
        <f>'T&amp;D'!BO3</f>
        <v>46372</v>
      </c>
      <c r="BQ3" s="246">
        <f>'T&amp;D'!BP3</f>
        <v>46373</v>
      </c>
      <c r="BR3" s="246">
        <f>'T&amp;D'!BQ3</f>
        <v>46374</v>
      </c>
      <c r="BS3" s="246">
        <f>'T&amp;D'!BR3</f>
        <v>46375</v>
      </c>
      <c r="BT3" s="246">
        <f>'T&amp;D'!BS3</f>
        <v>46377</v>
      </c>
      <c r="BU3" s="246">
        <f>'T&amp;D'!BT3</f>
        <v>46378</v>
      </c>
      <c r="BV3" s="246">
        <f>'T&amp;D'!BU3</f>
        <v>46379</v>
      </c>
      <c r="BW3" s="246">
        <f>'T&amp;D'!BV3</f>
        <v>46380</v>
      </c>
      <c r="BX3" s="246">
        <f>'T&amp;D'!BW3</f>
        <v>46381</v>
      </c>
      <c r="BY3" s="246">
        <f>'T&amp;D'!BX3</f>
        <v>46382</v>
      </c>
      <c r="BZ3" s="246">
        <f>'T&amp;D'!BY3</f>
        <v>46384</v>
      </c>
      <c r="CA3" s="246">
        <f>'T&amp;D'!BZ3</f>
        <v>46385</v>
      </c>
      <c r="CB3" s="246">
        <f>'T&amp;D'!CA3</f>
        <v>46386</v>
      </c>
      <c r="CC3" s="246">
        <f>'T&amp;D'!CB3</f>
        <v>46387</v>
      </c>
      <c r="CD3" s="246">
        <f>'T&amp;D'!CC3</f>
        <v>46388</v>
      </c>
      <c r="CE3" s="246">
        <f>'T&amp;D'!CD3</f>
        <v>46389</v>
      </c>
    </row>
    <row r="4" spans="1:83" s="84" customFormat="1" x14ac:dyDescent="0.2">
      <c r="A4" s="83"/>
      <c r="D4" s="173"/>
      <c r="E4" s="174" t="s">
        <v>228</v>
      </c>
      <c r="F4" s="157">
        <f>SUM(F8:F4664)</f>
        <v>397</v>
      </c>
      <c r="G4" s="85"/>
      <c r="I4" s="85">
        <f>45.5/5</f>
        <v>9.1</v>
      </c>
      <c r="L4" s="85">
        <f>SUM(L8:L4664)</f>
        <v>0.45138057541039217</v>
      </c>
      <c r="M4" s="85"/>
      <c r="N4" s="178">
        <f>'T&amp;D'!M4</f>
        <v>46314</v>
      </c>
      <c r="O4" s="177"/>
      <c r="P4" s="81"/>
      <c r="Q4" s="153"/>
      <c r="R4" s="247">
        <f>'T&amp;D'!Q4</f>
        <v>45817</v>
      </c>
      <c r="S4" s="247">
        <f>'T&amp;D'!R4</f>
        <v>45818</v>
      </c>
      <c r="T4" s="247">
        <f>'T&amp;D'!S4</f>
        <v>45819</v>
      </c>
      <c r="U4" s="247">
        <f>'T&amp;D'!T4</f>
        <v>45820</v>
      </c>
      <c r="V4" s="247">
        <f>'T&amp;D'!U4</f>
        <v>45821</v>
      </c>
      <c r="W4" s="247">
        <f>'T&amp;D'!V4</f>
        <v>45822</v>
      </c>
      <c r="X4" s="247">
        <f>'T&amp;D'!W4</f>
        <v>45824</v>
      </c>
      <c r="Y4" s="247">
        <f>'T&amp;D'!X4</f>
        <v>45825</v>
      </c>
      <c r="Z4" s="247">
        <f>'T&amp;D'!Y4</f>
        <v>45826</v>
      </c>
      <c r="AA4" s="247">
        <f>'T&amp;D'!Z4</f>
        <v>45827</v>
      </c>
      <c r="AB4" s="247">
        <f>'T&amp;D'!AA4</f>
        <v>45828</v>
      </c>
      <c r="AC4" s="247">
        <f>'T&amp;D'!AB4</f>
        <v>45829</v>
      </c>
      <c r="AD4" s="247">
        <f>'T&amp;D'!AC4</f>
        <v>45831</v>
      </c>
      <c r="AE4" s="247">
        <f>'T&amp;D'!AD4</f>
        <v>45832</v>
      </c>
      <c r="AF4" s="247">
        <f>'T&amp;D'!AE4</f>
        <v>45833</v>
      </c>
      <c r="AG4" s="247">
        <f>'T&amp;D'!AF4</f>
        <v>45834</v>
      </c>
      <c r="AH4" s="247">
        <f>'T&amp;D'!AG4</f>
        <v>45835</v>
      </c>
      <c r="AI4" s="247">
        <f>'T&amp;D'!AH4</f>
        <v>45836</v>
      </c>
      <c r="AJ4" s="247">
        <f>'T&amp;D'!AI4</f>
        <v>45838</v>
      </c>
      <c r="AK4" s="247">
        <f>'T&amp;D'!AJ4</f>
        <v>45839</v>
      </c>
      <c r="AL4" s="247">
        <f>'T&amp;D'!AK4</f>
        <v>45840</v>
      </c>
      <c r="AM4" s="247">
        <f>'T&amp;D'!AL4</f>
        <v>45841</v>
      </c>
      <c r="AN4" s="247">
        <f>'T&amp;D'!AM4</f>
        <v>45842</v>
      </c>
      <c r="AO4" s="247">
        <f>'T&amp;D'!AN4</f>
        <v>45843</v>
      </c>
      <c r="AP4" s="247">
        <f>'T&amp;D'!AO4</f>
        <v>45845</v>
      </c>
      <c r="AQ4" s="247">
        <f>'T&amp;D'!AP4</f>
        <v>45846</v>
      </c>
      <c r="AR4" s="247">
        <f>'T&amp;D'!AQ4</f>
        <v>45847</v>
      </c>
      <c r="AS4" s="247">
        <f>'T&amp;D'!AR4</f>
        <v>45848</v>
      </c>
      <c r="AT4" s="247">
        <f>'T&amp;D'!AS4</f>
        <v>45849</v>
      </c>
      <c r="AU4" s="247">
        <f>'T&amp;D'!AT4</f>
        <v>45850</v>
      </c>
      <c r="AV4" s="247">
        <f>'T&amp;D'!AU4</f>
        <v>45852</v>
      </c>
      <c r="AW4" s="247">
        <f>'T&amp;D'!AV4</f>
        <v>45853</v>
      </c>
      <c r="AX4" s="247">
        <f>'T&amp;D'!AW4</f>
        <v>45854</v>
      </c>
      <c r="AY4" s="247">
        <f>'T&amp;D'!AX4</f>
        <v>45855</v>
      </c>
      <c r="AZ4" s="247">
        <f>'T&amp;D'!AY4</f>
        <v>45856</v>
      </c>
      <c r="BA4" s="247">
        <f>'T&amp;D'!AZ4</f>
        <v>45857</v>
      </c>
      <c r="BB4" s="247">
        <f>'T&amp;D'!BA4</f>
        <v>45859</v>
      </c>
      <c r="BC4" s="247">
        <f>'T&amp;D'!BB4</f>
        <v>45860</v>
      </c>
      <c r="BD4" s="247">
        <f>'T&amp;D'!BC4</f>
        <v>45861</v>
      </c>
      <c r="BE4" s="247">
        <f>'T&amp;D'!BD4</f>
        <v>45862</v>
      </c>
      <c r="BF4" s="247">
        <f>'T&amp;D'!BE4</f>
        <v>45863</v>
      </c>
      <c r="BG4" s="247">
        <f>'T&amp;D'!BF4</f>
        <v>45864</v>
      </c>
      <c r="BH4" s="247">
        <f>'T&amp;D'!BG4</f>
        <v>45866</v>
      </c>
      <c r="BI4" s="247">
        <f>'T&amp;D'!BH4</f>
        <v>45867</v>
      </c>
      <c r="BJ4" s="247">
        <f>'T&amp;D'!BI4</f>
        <v>45868</v>
      </c>
      <c r="BK4" s="247">
        <f>'T&amp;D'!BJ4</f>
        <v>45869</v>
      </c>
      <c r="BL4" s="247">
        <f>'T&amp;D'!BK4</f>
        <v>45870</v>
      </c>
      <c r="BM4" s="247">
        <f>'T&amp;D'!BL4</f>
        <v>45871</v>
      </c>
      <c r="BN4" s="247">
        <f>'T&amp;D'!BM4</f>
        <v>45873</v>
      </c>
      <c r="BO4" s="247">
        <f>'T&amp;D'!BN4</f>
        <v>45874</v>
      </c>
      <c r="BP4" s="247">
        <f>'T&amp;D'!BO4</f>
        <v>45875</v>
      </c>
      <c r="BQ4" s="247">
        <f>'T&amp;D'!BP4</f>
        <v>45876</v>
      </c>
      <c r="BR4" s="247">
        <f>'T&amp;D'!BQ4</f>
        <v>45877</v>
      </c>
      <c r="BS4" s="247">
        <f>'T&amp;D'!BR4</f>
        <v>45878</v>
      </c>
      <c r="BT4" s="247">
        <f>'T&amp;D'!BS4</f>
        <v>45880</v>
      </c>
      <c r="BU4" s="247">
        <f>'T&amp;D'!BT4</f>
        <v>45881</v>
      </c>
      <c r="BV4" s="247">
        <f>'T&amp;D'!BU4</f>
        <v>45882</v>
      </c>
      <c r="BW4" s="247">
        <f>'T&amp;D'!BV4</f>
        <v>45883</v>
      </c>
      <c r="BX4" s="247">
        <f>'T&amp;D'!BW4</f>
        <v>45884</v>
      </c>
      <c r="BY4" s="247">
        <f>'T&amp;D'!BX4</f>
        <v>45885</v>
      </c>
      <c r="BZ4" s="247">
        <f>'T&amp;D'!BY4</f>
        <v>45887</v>
      </c>
      <c r="CA4" s="247">
        <f>'T&amp;D'!BZ4</f>
        <v>45888</v>
      </c>
      <c r="CB4" s="247">
        <f>'T&amp;D'!CA4</f>
        <v>45889</v>
      </c>
      <c r="CC4" s="247">
        <f>'T&amp;D'!CB4</f>
        <v>45890</v>
      </c>
      <c r="CD4" s="247">
        <f>'T&amp;D'!CC4</f>
        <v>45891</v>
      </c>
      <c r="CE4" s="247">
        <f>'T&amp;D'!CD4</f>
        <v>45892</v>
      </c>
    </row>
    <row r="5" spans="1:83" s="84" customFormat="1" ht="11.25" customHeight="1" x14ac:dyDescent="0.2">
      <c r="A5" s="386" t="s">
        <v>385</v>
      </c>
      <c r="B5" s="386" t="s">
        <v>214</v>
      </c>
      <c r="C5" s="387" t="s">
        <v>91</v>
      </c>
      <c r="D5" s="388" t="s">
        <v>0</v>
      </c>
      <c r="E5" s="389" t="s">
        <v>103</v>
      </c>
      <c r="F5" s="388" t="s">
        <v>89</v>
      </c>
      <c r="G5" s="392" t="s">
        <v>93</v>
      </c>
      <c r="H5" s="388" t="s">
        <v>94</v>
      </c>
      <c r="I5" s="390" t="s">
        <v>95</v>
      </c>
      <c r="J5" s="393" t="s">
        <v>519</v>
      </c>
      <c r="K5" s="393" t="s">
        <v>520</v>
      </c>
      <c r="L5" s="390" t="s">
        <v>241</v>
      </c>
      <c r="M5" s="390" t="s">
        <v>240</v>
      </c>
      <c r="N5" s="389" t="s">
        <v>98</v>
      </c>
      <c r="O5" s="389" t="s">
        <v>99</v>
      </c>
      <c r="P5" s="391" t="s">
        <v>102</v>
      </c>
      <c r="Q5" s="154" t="s">
        <v>106</v>
      </c>
      <c r="R5" s="248" cm="1">
        <f t="array" ref="R5">_xlfn.IFS(R2="w/ OT",12.25,R2="w/o OT",9.5,R2="FRI",7.5,R2="SAT",7.5,R2="SUN",7.5,R2="OFF",0)</f>
        <v>9.5</v>
      </c>
      <c r="S5" s="248" cm="1">
        <f t="array" ref="S5">_xlfn.IFS(S2="w/ OT",12.25,S2="w/o OT",9.5,S2="FRI",7.5,S2="SAT",7.5,S2="SUN",7.5,S2="OFF",0)</f>
        <v>9.5</v>
      </c>
      <c r="T5" s="248" cm="1">
        <f t="array" ref="T5">_xlfn.IFS(T2="w/ OT",12.25,T2="w/o OT",9.5,T2="FRI",7.5,T2="SAT",7.5,T2="SUN",7.5,T2="OFF",0)</f>
        <v>9.5</v>
      </c>
      <c r="U5" s="248" cm="1">
        <f t="array" ref="U5">_xlfn.IFS(U2="w/ OT",12.25,U2="w/o OT",9.5,U2="FRI",7.5,U2="SAT",7.5,U2="SUN",7.5,U2="OFF",0)</f>
        <v>9.5</v>
      </c>
      <c r="V5" s="248" cm="1">
        <f t="array" ref="V5">_xlfn.IFS(V2="w/ OT",12.25,V2="w/o OT",9.5,V2="FRI",7.5,V2="SAT",7.5,V2="SUN",7.5,V2="OFF",0)</f>
        <v>7.5</v>
      </c>
      <c r="W5" s="248" cm="1">
        <f t="array" ref="W5">_xlfn.IFS(W2="w/ OT",12.25,W2="w/o OT",9.5,W2="FRI",7.5,W2="SAT",7.5,W2="SUN",7.5,W2="OFF",0)</f>
        <v>7.5</v>
      </c>
      <c r="X5" s="248" cm="1">
        <f t="array" ref="X5">_xlfn.IFS(X2="w/ OT",12.25,X2="w/o OT",9.5,X2="FRI",7.5,X2="SAT",7.5,X2="SUN",7.5,X2="OFF",0)</f>
        <v>9.5</v>
      </c>
      <c r="Y5" s="248" cm="1">
        <f t="array" ref="Y5">_xlfn.IFS(Y2="w/ OT",12.25,Y2="w/o OT",9.5,Y2="FRI",7.5,Y2="SAT",7.5,Y2="SUN",7.5,Y2="OFF",0)</f>
        <v>9.5</v>
      </c>
      <c r="Z5" s="248" cm="1">
        <f t="array" ref="Z5">_xlfn.IFS(Z2="w/ OT",12.25,Z2="w/o OT",9.5,Z2="FRI",7.5,Z2="SAT",7.5,Z2="SUN",7.5,Z2="OFF",0)</f>
        <v>9.5</v>
      </c>
      <c r="AA5" s="248" cm="1">
        <f t="array" ref="AA5">_xlfn.IFS(AA2="w/ OT",12.25,AA2="w/o OT",9.5,AA2="FRI",7.5,AA2="SAT",7.5,AA2="SUN",7.5,AA2="OFF",0)</f>
        <v>9.5</v>
      </c>
      <c r="AB5" s="248" cm="1">
        <f t="array" ref="AB5">_xlfn.IFS(AB2="w/ OT",12.25,AB2="w/o OT",9.5,AB2="FRI",7.5,AB2="SAT",7.5,AB2="SUN",7.5,AB2="OFF",0)</f>
        <v>7.5</v>
      </c>
      <c r="AC5" s="248" cm="1">
        <f t="array" ref="AC5">_xlfn.IFS(AC2="w/ OT",12.25,AC2="w/o OT",9.5,AC2="FRI",7.5,AC2="SAT",7.5,AC2="SUN",7.5,AC2="OFF",0)</f>
        <v>7.5</v>
      </c>
      <c r="AD5" s="248" cm="1">
        <f t="array" ref="AD5">_xlfn.IFS(AD2="w/ OT",12.25,AD2="w/o OT",9.5,AD2="FRI",7.5,AD2="SAT",7.5,AD2="SUN",7.5,AD2="OFF",0)</f>
        <v>9.5</v>
      </c>
      <c r="AE5" s="248" cm="1">
        <f t="array" ref="AE5">_xlfn.IFS(AE2="w/ OT",12.25,AE2="w/o OT",9.5,AE2="FRI",7.5,AE2="SAT",7.5,AE2="SUN",7.5,AE2="OFF",0)</f>
        <v>9.5</v>
      </c>
      <c r="AF5" s="248" cm="1">
        <f t="array" ref="AF5">_xlfn.IFS(AF2="w/ OT",12.25,AF2="w/o OT",9.5,AF2="FRI",7.5,AF2="SAT",7.5,AF2="SUN",7.5,AF2="OFF",0)</f>
        <v>9.5</v>
      </c>
      <c r="AG5" s="248" cm="1">
        <f t="array" ref="AG5">_xlfn.IFS(AG2="w/ OT",12.25,AG2="w/o OT",9.5,AG2="FRI",7.5,AG2="SAT",7.5,AG2="SUN",7.5,AG2="OFF",0)</f>
        <v>9.5</v>
      </c>
      <c r="AH5" s="248" cm="1">
        <f t="array" ref="AH5">_xlfn.IFS(AH2="w/ OT",12.25,AH2="w/o OT",9.5,AH2="FRI",7.5,AH2="SAT",7.5,AH2="SUN",7.5,AH2="OFF",0)</f>
        <v>7.5</v>
      </c>
      <c r="AI5" s="248" cm="1">
        <f t="array" ref="AI5">_xlfn.IFS(AI2="w/ OT",12.25,AI2="w/o OT",9.5,AI2="FRI",7.5,AI2="SAT",7.5,AI2="SUN",7.5,AI2="OFF",0)</f>
        <v>7.5</v>
      </c>
      <c r="AJ5" s="248" cm="1">
        <f t="array" ref="AJ5">_xlfn.IFS(AJ2="w/ OT",12.25,AJ2="w/o OT",9.5,AJ2="FRI",7.5,AJ2="SAT",7.5,AJ2="SUN",7.5,AJ2="OFF",0)</f>
        <v>9.5</v>
      </c>
      <c r="AK5" s="248" cm="1">
        <f t="array" ref="AK5">_xlfn.IFS(AK2="w/ OT",12.25,AK2="w/o OT",9.5,AK2="FRI",7.5,AK2="SAT",7.5,AK2="SUN",7.5,AK2="OFF",0)</f>
        <v>9.5</v>
      </c>
      <c r="AL5" s="248" cm="1">
        <f t="array" ref="AL5">_xlfn.IFS(AL2="w/ OT",12.25,AL2="w/o OT",9.5,AL2="FRI",7.5,AL2="SAT",7.5,AL2="SUN",7.5,AL2="OFF",0)</f>
        <v>9.5</v>
      </c>
      <c r="AM5" s="248" cm="1">
        <f t="array" ref="AM5">_xlfn.IFS(AM2="w/ OT",12.25,AM2="w/o OT",9.5,AM2="FRI",7.5,AM2="SAT",7.5,AM2="SUN",7.5,AM2="OFF",0)</f>
        <v>9.5</v>
      </c>
      <c r="AN5" s="248" cm="1">
        <f t="array" ref="AN5">_xlfn.IFS(AN2="w/ OT",12.25,AN2="w/o OT",9.5,AN2="FRI",7.5,AN2="SAT",7.5,AN2="SUN",7.5,AN2="OFF",0)</f>
        <v>7.5</v>
      </c>
      <c r="AO5" s="248" cm="1">
        <f t="array" ref="AO5">_xlfn.IFS(AO2="w/ OT",12.25,AO2="w/o OT",9.5,AO2="FRI",7.5,AO2="SAT",7.5,AO2="SUN",7.5,AO2="OFF",0)</f>
        <v>7.5</v>
      </c>
      <c r="AP5" s="248" cm="1">
        <f t="array" ref="AP5">_xlfn.IFS(AP2="w/ OT",12.25,AP2="w/o OT",9.5,AP2="FRI",7.5,AP2="SAT",7.5,AP2="SUN",7.5,AP2="OFF",0)</f>
        <v>9.5</v>
      </c>
      <c r="AQ5" s="248" cm="1">
        <f t="array" ref="AQ5">_xlfn.IFS(AQ2="w/ OT",12.25,AQ2="w/o OT",9.5,AQ2="FRI",7.5,AQ2="SAT",7.5,AQ2="SUN",7.5,AQ2="OFF",0)</f>
        <v>9.5</v>
      </c>
      <c r="AR5" s="248" cm="1">
        <f t="array" ref="AR5">_xlfn.IFS(AR2="w/ OT",12.25,AR2="w/o OT",9.5,AR2="FRI",7.5,AR2="SAT",7.5,AR2="SUN",7.5,AR2="OFF",0)</f>
        <v>9.5</v>
      </c>
      <c r="AS5" s="248" cm="1">
        <f t="array" ref="AS5">_xlfn.IFS(AS2="w/ OT",12.25,AS2="w/o OT",9.5,AS2="FRI",7.5,AS2="SAT",7.5,AS2="SUN",7.5,AS2="OFF",0)</f>
        <v>9.5</v>
      </c>
      <c r="AT5" s="248" cm="1">
        <f t="array" ref="AT5">_xlfn.IFS(AT2="w/ OT",12.25,AT2="w/o OT",9.5,AT2="FRI",7.5,AT2="SAT",7.5,AT2="SUN",7.5,AT2="OFF",0)</f>
        <v>7.5</v>
      </c>
      <c r="AU5" s="248" cm="1">
        <f t="array" ref="AU5">_xlfn.IFS(AU2="w/ OT",12.25,AU2="w/o OT",9.5,AU2="FRI",7.5,AU2="SAT",7.5,AU2="SUN",7.5,AU2="OFF",0)</f>
        <v>7.5</v>
      </c>
      <c r="AV5" s="248" cm="1">
        <f t="array" ref="AV5">_xlfn.IFS(AV2="w/ OT",12.25,AV2="w/o OT",9.5,AV2="FRI",7.5,AV2="SAT",7.5,AV2="SUN",7.5,AV2="OFF",0)</f>
        <v>9.5</v>
      </c>
      <c r="AW5" s="248" cm="1">
        <f t="array" ref="AW5">_xlfn.IFS(AW2="w/ OT",12.25,AW2="w/o OT",9.5,AW2="FRI",7.5,AW2="SAT",7.5,AW2="SUN",7.5,AW2="OFF",0)</f>
        <v>9.5</v>
      </c>
      <c r="AX5" s="248" cm="1">
        <f t="array" ref="AX5">_xlfn.IFS(AX2="w/ OT",12.25,AX2="w/o OT",9.5,AX2="FRI",7.5,AX2="SAT",7.5,AX2="SUN",7.5,AX2="OFF",0)</f>
        <v>9.5</v>
      </c>
      <c r="AY5" s="248" cm="1">
        <f t="array" ref="AY5">_xlfn.IFS(AY2="w/ OT",12.25,AY2="w/o OT",9.5,AY2="FRI",7.5,AY2="SAT",7.5,AY2="SUN",7.5,AY2="OFF",0)</f>
        <v>9.5</v>
      </c>
      <c r="AZ5" s="248" cm="1">
        <f t="array" ref="AZ5">_xlfn.IFS(AZ2="w/ OT",12.25,AZ2="w/o OT",9.5,AZ2="FRI",7.5,AZ2="SAT",7.5,AZ2="SUN",7.5,AZ2="OFF",0)</f>
        <v>7.5</v>
      </c>
      <c r="BA5" s="248" cm="1">
        <f t="array" ref="BA5">_xlfn.IFS(BA2="w/ OT",12.25,BA2="w/o OT",9.5,BA2="FRI",7.5,BA2="SAT",7.5,BA2="SUN",7.5,BA2="OFF",0)</f>
        <v>7.5</v>
      </c>
      <c r="BB5" s="248" cm="1">
        <f t="array" ref="BB5">_xlfn.IFS(BB2="w/ OT",12.25,BB2="w/o OT",9.5,BB2="FRI",7.5,BB2="SAT",7.5,BB2="SUN",7.5,BB2="OFF",0)</f>
        <v>9.5</v>
      </c>
      <c r="BC5" s="248" cm="1">
        <f t="array" ref="BC5">_xlfn.IFS(BC2="w/ OT",12.25,BC2="w/o OT",9.5,BC2="FRI",7.5,BC2="SAT",7.5,BC2="SUN",7.5,BC2="OFF",0)</f>
        <v>9.5</v>
      </c>
      <c r="BD5" s="248" cm="1">
        <f t="array" ref="BD5">_xlfn.IFS(BD2="w/ OT",12.25,BD2="w/o OT",9.5,BD2="FRI",7.5,BD2="SAT",7.5,BD2="SUN",7.5,BD2="OFF",0)</f>
        <v>9.5</v>
      </c>
      <c r="BE5" s="248" cm="1">
        <f t="array" ref="BE5">_xlfn.IFS(BE2="w/ OT",12.25,BE2="w/o OT",9.5,BE2="FRI",7.5,BE2="SAT",7.5,BE2="SUN",7.5,BE2="OFF",0)</f>
        <v>9.5</v>
      </c>
      <c r="BF5" s="248" cm="1">
        <f t="array" ref="BF5">_xlfn.IFS(BF2="w/ OT",12.25,BF2="w/o OT",9.5,BF2="FRI",7.5,BF2="SAT",7.5,BF2="SUN",7.5,BF2="OFF",0)</f>
        <v>7.5</v>
      </c>
      <c r="BG5" s="248" cm="1">
        <f t="array" ref="BG5">_xlfn.IFS(BG2="w/ OT",12.25,BG2="w/o OT",9.5,BG2="FRI",7.5,BG2="SAT",7.5,BG2="SUN",7.5,BG2="OFF",0)</f>
        <v>7.5</v>
      </c>
      <c r="BH5" s="248" cm="1">
        <f t="array" ref="BH5">_xlfn.IFS(BH2="w/ OT",12.25,BH2="w/o OT",9.5,BH2="FRI",7.5,BH2="SAT",7.5,BH2="SUN",7.5,BH2="OFF",0)</f>
        <v>9.5</v>
      </c>
      <c r="BI5" s="248" cm="1">
        <f t="array" ref="BI5">_xlfn.IFS(BI2="w/ OT",12.25,BI2="w/o OT",9.5,BI2="FRI",7.5,BI2="SAT",7.5,BI2="SUN",7.5,BI2="OFF",0)</f>
        <v>9.5</v>
      </c>
      <c r="BJ5" s="248" cm="1">
        <f t="array" ref="BJ5">_xlfn.IFS(BJ2="w/ OT",12.25,BJ2="w/o OT",9.5,BJ2="FRI",7.5,BJ2="SAT",7.5,BJ2="SUN",7.5,BJ2="OFF",0)</f>
        <v>9.5</v>
      </c>
      <c r="BK5" s="248" cm="1">
        <f t="array" ref="BK5">_xlfn.IFS(BK2="w/ OT",12.25,BK2="w/o OT",9.5,BK2="FRI",7.5,BK2="SAT",7.5,BK2="SUN",7.5,BK2="OFF",0)</f>
        <v>9.5</v>
      </c>
      <c r="BL5" s="248" cm="1">
        <f t="array" ref="BL5">_xlfn.IFS(BL2="w/ OT",12.25,BL2="w/o OT",9.5,BL2="FRI",7.5,BL2="SAT",7.5,BL2="SUN",7.5,BL2="OFF",0)</f>
        <v>7.5</v>
      </c>
      <c r="BM5" s="248" cm="1">
        <f t="array" ref="BM5">_xlfn.IFS(BM2="w/ OT",12.25,BM2="w/o OT",9.5,BM2="FRI",7.5,BM2="SAT",7.5,BM2="SUN",7.5,BM2="OFF",0)</f>
        <v>7.5</v>
      </c>
      <c r="BN5" s="248" cm="1">
        <f t="array" ref="BN5">_xlfn.IFS(BN2="w/ OT",12.25,BN2="w/o OT",9.5,BN2="FRI",7.5,BN2="SAT",7.5,BN2="SUN",7.5,BN2="OFF",0)</f>
        <v>9.5</v>
      </c>
      <c r="BO5" s="248" cm="1">
        <f t="array" ref="BO5">_xlfn.IFS(BO2="w/ OT",12.25,BO2="w/o OT",9.5,BO2="FRI",7.5,BO2="SAT",7.5,BO2="SUN",7.5,BO2="OFF",0)</f>
        <v>9.5</v>
      </c>
      <c r="BP5" s="248" cm="1">
        <f t="array" ref="BP5">_xlfn.IFS(BP2="w/ OT",12.25,BP2="w/o OT",9.5,BP2="FRI",7.5,BP2="SAT",7.5,BP2="SUN",7.5,BP2="OFF",0)</f>
        <v>9.5</v>
      </c>
      <c r="BQ5" s="248" cm="1">
        <f t="array" ref="BQ5">_xlfn.IFS(BQ2="w/ OT",12.25,BQ2="w/o OT",9.5,BQ2="FRI",7.5,BQ2="SAT",7.5,BQ2="SUN",7.5,BQ2="OFF",0)</f>
        <v>9.5</v>
      </c>
      <c r="BR5" s="248" cm="1">
        <f t="array" ref="BR5">_xlfn.IFS(BR2="w/ OT",12.25,BR2="w/o OT",9.5,BR2="FRI",7.5,BR2="SAT",7.5,BR2="SUN",7.5,BR2="OFF",0)</f>
        <v>7.5</v>
      </c>
      <c r="BS5" s="248" cm="1">
        <f t="array" ref="BS5">_xlfn.IFS(BS2="w/ OT",12.25,BS2="w/o OT",9.5,BS2="FRI",7.5,BS2="SAT",7.5,BS2="SUN",7.5,BS2="OFF",0)</f>
        <v>7.5</v>
      </c>
      <c r="BT5" s="248" cm="1">
        <f t="array" ref="BT5">_xlfn.IFS(BT2="w/ OT",12.25,BT2="w/o OT",9.5,BT2="FRI",7.5,BT2="SAT",7.5,BT2="SUN",7.5,BT2="OFF",0)</f>
        <v>9.5</v>
      </c>
      <c r="BU5" s="248" cm="1">
        <f t="array" ref="BU5">_xlfn.IFS(BU2="w/ OT",12.25,BU2="w/o OT",9.5,BU2="FRI",7.5,BU2="SAT",7.5,BU2="SUN",7.5,BU2="OFF",0)</f>
        <v>9.5</v>
      </c>
      <c r="BV5" s="248" cm="1">
        <f t="array" ref="BV5">_xlfn.IFS(BV2="w/ OT",12.25,BV2="w/o OT",9.5,BV2="FRI",7.5,BV2="SAT",7.5,BV2="SUN",7.5,BV2="OFF",0)</f>
        <v>9.5</v>
      </c>
      <c r="BW5" s="248" cm="1">
        <f t="array" ref="BW5">_xlfn.IFS(BW2="w/ OT",12.25,BW2="w/o OT",9.5,BW2="FRI",7.5,BW2="SAT",7.5,BW2="SUN",7.5,BW2="OFF",0)</f>
        <v>9.5</v>
      </c>
      <c r="BX5" s="248" cm="1">
        <f t="array" ref="BX5">_xlfn.IFS(BX2="w/ OT",12.25,BX2="w/o OT",9.5,BX2="FRI",7.5,BX2="SAT",7.5,BX2="SUN",7.5,BX2="OFF",0)</f>
        <v>7.5</v>
      </c>
      <c r="BY5" s="248" cm="1">
        <f t="array" ref="BY5">_xlfn.IFS(BY2="w/ OT",12.25,BY2="w/o OT",9.5,BY2="FRI",7.5,BY2="SAT",7.5,BY2="SUN",7.5,BY2="OFF",0)</f>
        <v>7.5</v>
      </c>
      <c r="BZ5" s="248" cm="1">
        <f t="array" ref="BZ5">_xlfn.IFS(BZ2="w/ OT",12.25,BZ2="w/o OT",9.5,BZ2="FRI",7.5,BZ2="SAT",7.5,BZ2="SUN",7.5,BZ2="OFF",0)</f>
        <v>9.5</v>
      </c>
      <c r="CA5" s="248" cm="1">
        <f t="array" ref="CA5">_xlfn.IFS(CA2="w/ OT",12.25,CA2="w/o OT",9.5,CA2="FRI",7.5,CA2="SAT",7.5,CA2="SUN",7.5,CA2="OFF",0)</f>
        <v>9.5</v>
      </c>
      <c r="CB5" s="248" cm="1">
        <f t="array" ref="CB5">_xlfn.IFS(CB2="w/ OT",12.25,CB2="w/o OT",9.5,CB2="FRI",7.5,CB2="SAT",7.5,CB2="SUN",7.5,CB2="OFF",0)</f>
        <v>9.5</v>
      </c>
      <c r="CC5" s="248" cm="1">
        <f t="array" ref="CC5">_xlfn.IFS(CC2="w/ OT",12.25,CC2="w/o OT",9.5,CC2="FRI",7.5,CC2="SAT",7.5,CC2="SUN",7.5,CC2="OFF",0)</f>
        <v>9.5</v>
      </c>
      <c r="CD5" s="248" cm="1">
        <f t="array" ref="CD5">_xlfn.IFS(CD2="w/ OT",12.25,CD2="w/o OT",9.5,CD2="FRI",7.5,CD2="SAT",7.5,CD2="SUN",7.5,CD2="OFF",0)</f>
        <v>7.5</v>
      </c>
      <c r="CE5" s="248" cm="1">
        <f t="array" ref="CE5">_xlfn.IFS(CE2="w/ OT",12.25,CE2="w/o OT",9.5,CE2="FRI",7.5,CE2="SAT",7.5,CE2="SUN",7.5,CE2="OFF",0)</f>
        <v>7.5</v>
      </c>
    </row>
    <row r="6" spans="1:83" ht="33.75" customHeight="1" x14ac:dyDescent="0.2">
      <c r="A6" s="386"/>
      <c r="B6" s="386"/>
      <c r="C6" s="387"/>
      <c r="D6" s="388"/>
      <c r="E6" s="389"/>
      <c r="F6" s="388"/>
      <c r="G6" s="392"/>
      <c r="H6" s="388"/>
      <c r="I6" s="390"/>
      <c r="J6" s="393"/>
      <c r="K6" s="393"/>
      <c r="L6" s="390"/>
      <c r="M6" s="390"/>
      <c r="N6" s="389"/>
      <c r="O6" s="389"/>
      <c r="P6" s="391"/>
      <c r="Q6" s="123" t="s">
        <v>107</v>
      </c>
      <c r="R6" s="124"/>
      <c r="S6" s="124"/>
      <c r="T6" s="124"/>
      <c r="U6" s="124"/>
      <c r="V6" s="124"/>
      <c r="W6" s="124"/>
      <c r="X6" s="124"/>
      <c r="Y6" s="124"/>
      <c r="Z6" s="124"/>
      <c r="AA6" s="124"/>
      <c r="AB6" s="124"/>
      <c r="AC6" s="124"/>
      <c r="AD6" s="124"/>
      <c r="AE6" s="124"/>
      <c r="AF6" s="124"/>
      <c r="AG6" s="124"/>
      <c r="AH6" s="124"/>
      <c r="AI6" s="124"/>
      <c r="AJ6" s="124"/>
      <c r="AK6" s="124"/>
      <c r="AL6" s="124"/>
      <c r="AM6" s="124"/>
      <c r="AN6" s="124"/>
      <c r="AO6" s="124"/>
      <c r="AP6" s="124"/>
      <c r="AQ6" s="124"/>
      <c r="AR6" s="124"/>
      <c r="AS6" s="124"/>
      <c r="AT6" s="124"/>
      <c r="AU6" s="124"/>
      <c r="AV6" s="124"/>
      <c r="AW6" s="124"/>
      <c r="AX6" s="124"/>
      <c r="AY6" s="124"/>
      <c r="AZ6" s="124"/>
      <c r="BA6" s="124"/>
      <c r="BB6" s="124"/>
      <c r="BC6" s="124"/>
      <c r="BD6" s="124"/>
      <c r="BE6" s="124"/>
      <c r="BF6" s="124"/>
      <c r="BG6" s="124"/>
      <c r="BH6" s="124"/>
      <c r="BI6" s="124"/>
      <c r="BJ6" s="124"/>
      <c r="BK6" s="124"/>
      <c r="BL6" s="124"/>
      <c r="BM6" s="124"/>
      <c r="BN6" s="124"/>
      <c r="BO6" s="124"/>
      <c r="BP6" s="124"/>
      <c r="BQ6" s="124"/>
      <c r="BR6" s="124"/>
      <c r="BS6" s="124"/>
      <c r="BT6" s="124"/>
      <c r="BU6" s="124"/>
      <c r="BV6" s="124"/>
      <c r="BW6" s="124"/>
      <c r="BX6" s="124"/>
      <c r="BY6" s="124"/>
      <c r="BZ6" s="124"/>
      <c r="CA6" s="124"/>
      <c r="CB6" s="124"/>
      <c r="CC6" s="124"/>
      <c r="CD6" s="124"/>
      <c r="CE6" s="124"/>
    </row>
    <row r="7" spans="1:83" x14ac:dyDescent="0.2">
      <c r="A7" s="86"/>
      <c r="B7" s="87"/>
      <c r="C7" s="88"/>
      <c r="D7" s="89"/>
      <c r="E7" s="182"/>
      <c r="F7" s="89"/>
      <c r="G7" s="91"/>
      <c r="H7" s="89"/>
      <c r="I7" s="92"/>
      <c r="J7" s="93"/>
      <c r="K7" s="93"/>
      <c r="L7" s="185"/>
      <c r="M7" s="185"/>
      <c r="N7" s="183"/>
      <c r="O7" s="183"/>
      <c r="P7" s="96"/>
      <c r="Q7" s="155"/>
    </row>
    <row r="8" spans="1:83" ht="25.5" x14ac:dyDescent="0.2">
      <c r="A8" s="106">
        <f>SHIPMENTS!A14</f>
        <v>9296</v>
      </c>
      <c r="B8" s="106" t="str">
        <f>SHIPMENTS!B14</f>
        <v>15900- Makati |Techiron Resources Inc.</v>
      </c>
      <c r="C8" s="132">
        <f>SHIPMENTS!F14</f>
        <v>0.05</v>
      </c>
      <c r="D8" s="107" t="str">
        <f>IF((SHIPMENTS!I14)=0,"",SHIPMENTS!I14)</f>
        <v/>
      </c>
      <c r="E8" s="176">
        <f>IF((SHIPMENTS!G14)=0,"",SHIPMENTS!G14)</f>
        <v>46314</v>
      </c>
      <c r="F8" s="109">
        <f>VLOOKUP(A8,Items!$A$5:$J$1000,3,0)</f>
        <v>0</v>
      </c>
      <c r="G8" s="98">
        <f>VLOOKUP(A8,load!$A$4:$U$5001,5,0)</f>
        <v>0.16666666666666666</v>
      </c>
      <c r="H8" s="97">
        <f>Manhours!$C$9</f>
        <v>9</v>
      </c>
      <c r="I8" s="98">
        <f>+H8*$I$4</f>
        <v>81.899999999999991</v>
      </c>
      <c r="J8" s="99">
        <f t="shared" ref="J8:J18" si="0">G8/I8</f>
        <v>2.0350020350020353E-3</v>
      </c>
      <c r="K8" s="99">
        <f>+J8*$I$4</f>
        <v>1.8518518518518521E-2</v>
      </c>
      <c r="L8" s="98">
        <f t="shared" ref="L8:L19" si="1">IFERROR(J8-(J8*P8),0)</f>
        <v>2.0350020350020353E-3</v>
      </c>
      <c r="M8" s="98">
        <f t="shared" ref="M8:M19" si="2">IFERROR(K8-(K8*P8),0)</f>
        <v>1.8518518518518521E-2</v>
      </c>
      <c r="N8" s="181">
        <f>IF(G8&gt;0,(EA!N8+1),N4)</f>
        <v>46315</v>
      </c>
      <c r="O8" s="181">
        <f>N8+L8</f>
        <v>46315.002035002035</v>
      </c>
      <c r="P8" s="112">
        <f>VLOOKUP(A8,SHIPMENTS!$A$7:$AP$76,11,0)</f>
        <v>0</v>
      </c>
      <c r="Q8" s="156"/>
      <c r="R8" s="128" t="str">
        <f t="shared" ref="R8:AG29" si="3">IF($E8=R$3,"▲","")</f>
        <v>▲</v>
      </c>
      <c r="S8" s="128" t="str">
        <f t="shared" ref="S8:BF14" si="4">IF($E8=S$3,"▲","")</f>
        <v/>
      </c>
      <c r="T8" s="128" t="str">
        <f t="shared" si="4"/>
        <v/>
      </c>
      <c r="U8" s="128" t="str">
        <f t="shared" si="4"/>
        <v/>
      </c>
      <c r="V8" s="128" t="str">
        <f t="shared" si="4"/>
        <v/>
      </c>
      <c r="W8" s="128" t="str">
        <f t="shared" si="4"/>
        <v/>
      </c>
      <c r="X8" s="128" t="str">
        <f t="shared" si="4"/>
        <v/>
      </c>
      <c r="Y8" s="128" t="str">
        <f t="shared" si="4"/>
        <v/>
      </c>
      <c r="Z8" s="128" t="str">
        <f t="shared" si="4"/>
        <v/>
      </c>
      <c r="AA8" s="128" t="str">
        <f t="shared" si="4"/>
        <v/>
      </c>
      <c r="AB8" s="128" t="str">
        <f t="shared" si="4"/>
        <v/>
      </c>
      <c r="AC8" s="128" t="str">
        <f t="shared" si="4"/>
        <v/>
      </c>
      <c r="AD8" s="128" t="str">
        <f t="shared" si="4"/>
        <v/>
      </c>
      <c r="AE8" s="128" t="str">
        <f t="shared" si="4"/>
        <v/>
      </c>
      <c r="AF8" s="128" t="str">
        <f t="shared" si="4"/>
        <v/>
      </c>
      <c r="AG8" s="128" t="str">
        <f t="shared" si="4"/>
        <v/>
      </c>
      <c r="AH8" s="128" t="str">
        <f t="shared" si="4"/>
        <v/>
      </c>
      <c r="AI8" s="128" t="str">
        <f t="shared" si="4"/>
        <v/>
      </c>
      <c r="AJ8" s="128" t="str">
        <f t="shared" si="4"/>
        <v/>
      </c>
      <c r="AK8" s="128" t="str">
        <f t="shared" si="4"/>
        <v/>
      </c>
      <c r="AL8" s="128" t="str">
        <f t="shared" si="4"/>
        <v/>
      </c>
      <c r="AM8" s="128" t="str">
        <f t="shared" si="4"/>
        <v/>
      </c>
      <c r="AN8" s="128" t="str">
        <f t="shared" si="4"/>
        <v/>
      </c>
      <c r="AO8" s="128" t="str">
        <f t="shared" si="4"/>
        <v/>
      </c>
      <c r="AP8" s="128" t="str">
        <f t="shared" si="4"/>
        <v/>
      </c>
      <c r="AQ8" s="128" t="str">
        <f t="shared" si="4"/>
        <v/>
      </c>
      <c r="AR8" s="128" t="str">
        <f t="shared" si="4"/>
        <v/>
      </c>
      <c r="AS8" s="128" t="str">
        <f t="shared" si="4"/>
        <v/>
      </c>
      <c r="AT8" s="128" t="str">
        <f t="shared" si="4"/>
        <v/>
      </c>
      <c r="AU8" s="128" t="str">
        <f t="shared" si="4"/>
        <v/>
      </c>
      <c r="AV8" s="128" t="str">
        <f t="shared" si="4"/>
        <v/>
      </c>
      <c r="AW8" s="128" t="str">
        <f t="shared" si="4"/>
        <v/>
      </c>
      <c r="AX8" s="128" t="str">
        <f t="shared" si="4"/>
        <v/>
      </c>
      <c r="AY8" s="128" t="str">
        <f t="shared" si="4"/>
        <v/>
      </c>
      <c r="AZ8" s="128" t="str">
        <f t="shared" si="4"/>
        <v/>
      </c>
      <c r="BA8" s="128" t="str">
        <f t="shared" si="4"/>
        <v/>
      </c>
      <c r="BB8" s="128" t="str">
        <f t="shared" si="4"/>
        <v/>
      </c>
      <c r="BC8" s="128" t="str">
        <f t="shared" si="4"/>
        <v/>
      </c>
      <c r="BD8" s="128" t="str">
        <f t="shared" si="4"/>
        <v/>
      </c>
      <c r="BE8" s="128" t="str">
        <f t="shared" si="4"/>
        <v/>
      </c>
      <c r="BF8" s="128" t="str">
        <f t="shared" si="4"/>
        <v/>
      </c>
      <c r="BG8" s="128" t="str">
        <f t="shared" ref="BG8:BV23" si="5">IF($E8=BG$3,"▲","")</f>
        <v/>
      </c>
      <c r="BH8" s="128" t="str">
        <f t="shared" si="5"/>
        <v/>
      </c>
      <c r="BI8" s="128" t="str">
        <f t="shared" si="5"/>
        <v/>
      </c>
      <c r="BJ8" s="128" t="str">
        <f t="shared" si="5"/>
        <v/>
      </c>
      <c r="BK8" s="128" t="str">
        <f t="shared" si="5"/>
        <v/>
      </c>
      <c r="BL8" s="128" t="str">
        <f t="shared" si="5"/>
        <v/>
      </c>
      <c r="BM8" s="128" t="str">
        <f t="shared" si="5"/>
        <v/>
      </c>
      <c r="BN8" s="128" t="str">
        <f t="shared" si="5"/>
        <v/>
      </c>
      <c r="BO8" s="128" t="str">
        <f t="shared" si="5"/>
        <v/>
      </c>
      <c r="BP8" s="128" t="str">
        <f t="shared" si="5"/>
        <v/>
      </c>
      <c r="BQ8" s="128" t="str">
        <f t="shared" si="5"/>
        <v/>
      </c>
      <c r="BR8" s="128" t="str">
        <f t="shared" si="5"/>
        <v/>
      </c>
      <c r="BS8" s="128" t="str">
        <f t="shared" si="5"/>
        <v/>
      </c>
      <c r="BT8" s="128" t="str">
        <f t="shared" si="5"/>
        <v/>
      </c>
      <c r="BU8" s="128" t="str">
        <f t="shared" si="5"/>
        <v/>
      </c>
      <c r="BV8" s="128" t="str">
        <f t="shared" si="5"/>
        <v/>
      </c>
      <c r="BW8" s="128" t="str">
        <f t="shared" ref="BT8:CE23" si="6">IF($E8=BW$3,"▲","")</f>
        <v/>
      </c>
      <c r="BX8" s="128" t="str">
        <f t="shared" si="6"/>
        <v/>
      </c>
      <c r="BY8" s="128" t="str">
        <f t="shared" si="6"/>
        <v/>
      </c>
      <c r="BZ8" s="128" t="str">
        <f t="shared" si="6"/>
        <v/>
      </c>
      <c r="CA8" s="128" t="str">
        <f t="shared" si="6"/>
        <v/>
      </c>
      <c r="CB8" s="128" t="str">
        <f t="shared" si="6"/>
        <v/>
      </c>
      <c r="CC8" s="128" t="str">
        <f t="shared" si="6"/>
        <v/>
      </c>
      <c r="CD8" s="128" t="str">
        <f t="shared" si="6"/>
        <v/>
      </c>
      <c r="CE8" s="128" t="str">
        <f t="shared" si="6"/>
        <v/>
      </c>
    </row>
    <row r="9" spans="1:83" x14ac:dyDescent="0.2">
      <c r="A9" s="106">
        <f>SHIPMENTS!A15</f>
        <v>9309</v>
      </c>
      <c r="B9" s="106" t="str">
        <f>SHIPMENTS!B15</f>
        <v>43940-THAILAND</v>
      </c>
      <c r="C9" s="132">
        <f>SHIPMENTS!F15</f>
        <v>6.4030000000000004E-2</v>
      </c>
      <c r="D9" s="107" t="str">
        <f>IF((SHIPMENTS!I15)=0,"",SHIPMENTS!I15)</f>
        <v>AIR</v>
      </c>
      <c r="E9" s="176">
        <f>IF((SHIPMENTS!G15)=0,"",SHIPMENTS!G15)</f>
        <v>46314</v>
      </c>
      <c r="F9" s="109">
        <f>VLOOKUP(A9,Items!$A$5:$J$1000,3,0)</f>
        <v>1</v>
      </c>
      <c r="G9" s="98">
        <f>VLOOKUP(A9,load!$A$4:$U$5001,5,0)</f>
        <v>0.5024911666666666</v>
      </c>
      <c r="H9" s="97">
        <f>Manhours!$C$9</f>
        <v>9</v>
      </c>
      <c r="I9" s="98">
        <f t="shared" ref="I9:I27" si="7">+H9*$I$4</f>
        <v>81.899999999999991</v>
      </c>
      <c r="J9" s="99">
        <f t="shared" si="0"/>
        <v>6.1354232804232802E-3</v>
      </c>
      <c r="K9" s="99">
        <f t="shared" ref="K9:K27" si="8">+J9*$I$4</f>
        <v>5.5832351851851848E-2</v>
      </c>
      <c r="L9" s="98">
        <f t="shared" si="1"/>
        <v>6.1354232804232802E-3</v>
      </c>
      <c r="M9" s="98">
        <f t="shared" si="2"/>
        <v>5.5832351851851848E-2</v>
      </c>
      <c r="N9" s="181">
        <f>IF(G9&gt;0,(EA!N9+1),O8)</f>
        <v>46315</v>
      </c>
      <c r="O9" s="181">
        <f t="shared" ref="O9:O32" si="9">N9+L9</f>
        <v>46315.006135423282</v>
      </c>
      <c r="P9" s="112">
        <f>VLOOKUP(A9,SHIPMENTS!$A$7:$AP$76,11,0)</f>
        <v>0</v>
      </c>
      <c r="Q9" s="156"/>
      <c r="R9" s="127" t="str">
        <f t="shared" si="3"/>
        <v>▲</v>
      </c>
      <c r="S9" s="127" t="str">
        <f t="shared" si="4"/>
        <v/>
      </c>
      <c r="T9" s="127" t="str">
        <f t="shared" si="4"/>
        <v/>
      </c>
      <c r="U9" s="127" t="str">
        <f t="shared" si="4"/>
        <v/>
      </c>
      <c r="V9" s="127" t="str">
        <f t="shared" si="4"/>
        <v/>
      </c>
      <c r="W9" s="127" t="str">
        <f t="shared" si="4"/>
        <v/>
      </c>
      <c r="X9" s="127" t="str">
        <f t="shared" si="4"/>
        <v/>
      </c>
      <c r="Y9" s="127" t="str">
        <f t="shared" si="4"/>
        <v/>
      </c>
      <c r="Z9" s="127" t="str">
        <f t="shared" si="4"/>
        <v/>
      </c>
      <c r="AA9" s="127" t="str">
        <f t="shared" si="4"/>
        <v/>
      </c>
      <c r="AB9" s="127" t="str">
        <f t="shared" si="4"/>
        <v/>
      </c>
      <c r="AC9" s="127" t="str">
        <f t="shared" si="4"/>
        <v/>
      </c>
      <c r="AD9" s="127" t="str">
        <f t="shared" si="4"/>
        <v/>
      </c>
      <c r="AE9" s="127" t="str">
        <f t="shared" si="4"/>
        <v/>
      </c>
      <c r="AF9" s="127" t="str">
        <f t="shared" si="4"/>
        <v/>
      </c>
      <c r="AG9" s="127" t="str">
        <f t="shared" si="4"/>
        <v/>
      </c>
      <c r="AH9" s="127" t="str">
        <f t="shared" si="4"/>
        <v/>
      </c>
      <c r="AI9" s="127" t="str">
        <f t="shared" si="4"/>
        <v/>
      </c>
      <c r="AJ9" s="127" t="str">
        <f t="shared" si="4"/>
        <v/>
      </c>
      <c r="AK9" s="127" t="str">
        <f t="shared" si="4"/>
        <v/>
      </c>
      <c r="AL9" s="127" t="str">
        <f t="shared" si="4"/>
        <v/>
      </c>
      <c r="AM9" s="127" t="str">
        <f t="shared" si="4"/>
        <v/>
      </c>
      <c r="AN9" s="127" t="str">
        <f t="shared" si="4"/>
        <v/>
      </c>
      <c r="AO9" s="127" t="str">
        <f t="shared" si="4"/>
        <v/>
      </c>
      <c r="AP9" s="127" t="str">
        <f t="shared" si="4"/>
        <v/>
      </c>
      <c r="AQ9" s="127" t="str">
        <f t="shared" si="4"/>
        <v/>
      </c>
      <c r="AR9" s="127" t="str">
        <f t="shared" si="4"/>
        <v/>
      </c>
      <c r="AS9" s="127" t="str">
        <f t="shared" si="4"/>
        <v/>
      </c>
      <c r="AT9" s="127" t="str">
        <f t="shared" si="4"/>
        <v/>
      </c>
      <c r="AU9" s="127" t="str">
        <f t="shared" si="4"/>
        <v/>
      </c>
      <c r="AV9" s="127" t="str">
        <f t="shared" si="4"/>
        <v/>
      </c>
      <c r="AW9" s="127" t="str">
        <f t="shared" si="4"/>
        <v/>
      </c>
      <c r="AX9" s="127" t="str">
        <f t="shared" si="4"/>
        <v/>
      </c>
      <c r="AY9" s="127" t="str">
        <f t="shared" si="4"/>
        <v/>
      </c>
      <c r="AZ9" s="127" t="str">
        <f t="shared" si="4"/>
        <v/>
      </c>
      <c r="BA9" s="127" t="str">
        <f t="shared" si="4"/>
        <v/>
      </c>
      <c r="BB9" s="127" t="str">
        <f t="shared" si="4"/>
        <v/>
      </c>
      <c r="BC9" s="127" t="str">
        <f t="shared" si="4"/>
        <v/>
      </c>
      <c r="BD9" s="127" t="str">
        <f t="shared" si="4"/>
        <v/>
      </c>
      <c r="BE9" s="127" t="str">
        <f t="shared" si="4"/>
        <v/>
      </c>
      <c r="BF9" s="127" t="str">
        <f t="shared" si="4"/>
        <v/>
      </c>
      <c r="BG9" s="127" t="str">
        <f t="shared" si="5"/>
        <v/>
      </c>
      <c r="BH9" s="127" t="str">
        <f t="shared" si="5"/>
        <v/>
      </c>
      <c r="BI9" s="127" t="str">
        <f t="shared" si="5"/>
        <v/>
      </c>
      <c r="BJ9" s="127" t="str">
        <f t="shared" si="5"/>
        <v/>
      </c>
      <c r="BK9" s="127" t="str">
        <f t="shared" si="5"/>
        <v/>
      </c>
      <c r="BL9" s="127" t="str">
        <f t="shared" si="5"/>
        <v/>
      </c>
      <c r="BM9" s="127" t="str">
        <f t="shared" si="5"/>
        <v/>
      </c>
      <c r="BN9" s="127" t="str">
        <f t="shared" si="5"/>
        <v/>
      </c>
      <c r="BO9" s="127" t="str">
        <f t="shared" si="5"/>
        <v/>
      </c>
      <c r="BP9" s="127" t="str">
        <f t="shared" si="5"/>
        <v/>
      </c>
      <c r="BQ9" s="127" t="str">
        <f t="shared" si="5"/>
        <v/>
      </c>
      <c r="BR9" s="127" t="str">
        <f t="shared" si="5"/>
        <v/>
      </c>
      <c r="BS9" s="127" t="str">
        <f t="shared" si="5"/>
        <v/>
      </c>
      <c r="BT9" s="127" t="str">
        <f t="shared" si="6"/>
        <v/>
      </c>
      <c r="BU9" s="127" t="str">
        <f t="shared" si="6"/>
        <v/>
      </c>
      <c r="BV9" s="127" t="str">
        <f t="shared" si="6"/>
        <v/>
      </c>
      <c r="BW9" s="127" t="str">
        <f t="shared" si="6"/>
        <v/>
      </c>
      <c r="BX9" s="127" t="str">
        <f t="shared" si="6"/>
        <v/>
      </c>
      <c r="BY9" s="127" t="str">
        <f t="shared" si="6"/>
        <v/>
      </c>
      <c r="BZ9" s="127" t="str">
        <f t="shared" si="6"/>
        <v/>
      </c>
      <c r="CA9" s="127" t="str">
        <f t="shared" si="6"/>
        <v/>
      </c>
      <c r="CB9" s="127" t="str">
        <f t="shared" si="6"/>
        <v/>
      </c>
      <c r="CC9" s="127" t="str">
        <f t="shared" si="6"/>
        <v/>
      </c>
      <c r="CD9" s="127" t="str">
        <f t="shared" si="6"/>
        <v/>
      </c>
      <c r="CE9" s="127" t="str">
        <f t="shared" si="6"/>
        <v/>
      </c>
    </row>
    <row r="10" spans="1:83" hidden="1" x14ac:dyDescent="0.2">
      <c r="A10" s="106">
        <f>SHIPMENTS!A16</f>
        <v>9117</v>
      </c>
      <c r="B10" s="106" t="str">
        <f>SHIPMENTS!B16</f>
        <v>41700-CANADA BSAUNAS</v>
      </c>
      <c r="C10" s="132">
        <f>SHIPMENTS!F16</f>
        <v>83.268000000000001</v>
      </c>
      <c r="D10" s="107" t="str">
        <f>IF((SHIPMENTS!I16)=0,"",SHIPMENTS!I16)</f>
        <v>1X40HC</v>
      </c>
      <c r="E10" s="176">
        <f>IF((SHIPMENTS!G16)=0,"",SHIPMENTS!G16)</f>
        <v>46315</v>
      </c>
      <c r="F10" s="109">
        <f>VLOOKUP(A10,Items!$A$5:$J$1000,3,0)</f>
        <v>0</v>
      </c>
      <c r="G10" s="98">
        <f>VLOOKUP(A10,load!$A$4:$U$5001,5,0)</f>
        <v>0</v>
      </c>
      <c r="H10" s="97">
        <f>Manhours!$C$9</f>
        <v>9</v>
      </c>
      <c r="I10" s="98">
        <f t="shared" si="7"/>
        <v>81.899999999999991</v>
      </c>
      <c r="J10" s="99">
        <f t="shared" si="0"/>
        <v>0</v>
      </c>
      <c r="K10" s="99">
        <f t="shared" si="8"/>
        <v>0</v>
      </c>
      <c r="L10" s="98">
        <f t="shared" si="1"/>
        <v>0</v>
      </c>
      <c r="M10" s="98">
        <f t="shared" si="2"/>
        <v>0</v>
      </c>
      <c r="N10" s="181">
        <f>IF(G10&gt;0,(EA!N10+1),O9)</f>
        <v>46315.006135423282</v>
      </c>
      <c r="O10" s="181">
        <f>N10+L10</f>
        <v>46315.006135423282</v>
      </c>
      <c r="P10" s="112" t="str">
        <f>VLOOKUP(A10,SHIPMENTS!$A$7:$AP$76,11,0)</f>
        <v>n/a</v>
      </c>
      <c r="Q10" s="156"/>
      <c r="R10" s="127" t="str">
        <f t="shared" si="3"/>
        <v/>
      </c>
      <c r="S10" s="127" t="str">
        <f t="shared" si="4"/>
        <v>▲</v>
      </c>
      <c r="T10" s="127" t="str">
        <f t="shared" si="4"/>
        <v/>
      </c>
      <c r="U10" s="127" t="str">
        <f t="shared" si="4"/>
        <v/>
      </c>
      <c r="V10" s="127" t="str">
        <f t="shared" si="4"/>
        <v/>
      </c>
      <c r="W10" s="127" t="str">
        <f t="shared" si="4"/>
        <v/>
      </c>
      <c r="X10" s="127" t="str">
        <f t="shared" si="4"/>
        <v/>
      </c>
      <c r="Y10" s="127" t="str">
        <f t="shared" si="4"/>
        <v/>
      </c>
      <c r="Z10" s="127" t="str">
        <f t="shared" si="4"/>
        <v/>
      </c>
      <c r="AA10" s="127" t="str">
        <f t="shared" si="4"/>
        <v/>
      </c>
      <c r="AB10" s="127" t="str">
        <f t="shared" si="4"/>
        <v/>
      </c>
      <c r="AC10" s="127" t="str">
        <f t="shared" si="4"/>
        <v/>
      </c>
      <c r="AD10" s="127" t="str">
        <f t="shared" si="4"/>
        <v/>
      </c>
      <c r="AE10" s="127" t="str">
        <f t="shared" si="4"/>
        <v/>
      </c>
      <c r="AF10" s="127" t="str">
        <f t="shared" si="4"/>
        <v/>
      </c>
      <c r="AG10" s="127" t="str">
        <f t="shared" si="4"/>
        <v/>
      </c>
      <c r="AH10" s="127" t="str">
        <f t="shared" si="4"/>
        <v/>
      </c>
      <c r="AI10" s="127" t="str">
        <f t="shared" si="4"/>
        <v/>
      </c>
      <c r="AJ10" s="127" t="str">
        <f t="shared" si="4"/>
        <v/>
      </c>
      <c r="AK10" s="127" t="str">
        <f t="shared" si="4"/>
        <v/>
      </c>
      <c r="AL10" s="127" t="str">
        <f t="shared" si="4"/>
        <v/>
      </c>
      <c r="AM10" s="127" t="str">
        <f t="shared" si="4"/>
        <v/>
      </c>
      <c r="AN10" s="127" t="str">
        <f t="shared" si="4"/>
        <v/>
      </c>
      <c r="AO10" s="127" t="str">
        <f t="shared" si="4"/>
        <v/>
      </c>
      <c r="AP10" s="127" t="str">
        <f t="shared" si="4"/>
        <v/>
      </c>
      <c r="AQ10" s="127" t="str">
        <f t="shared" si="4"/>
        <v/>
      </c>
      <c r="AR10" s="127" t="str">
        <f t="shared" si="4"/>
        <v/>
      </c>
      <c r="AS10" s="127" t="str">
        <f t="shared" si="4"/>
        <v/>
      </c>
      <c r="AT10" s="127" t="str">
        <f t="shared" si="4"/>
        <v/>
      </c>
      <c r="AU10" s="127" t="str">
        <f t="shared" si="4"/>
        <v/>
      </c>
      <c r="AV10" s="127" t="str">
        <f t="shared" si="4"/>
        <v/>
      </c>
      <c r="AW10" s="127" t="str">
        <f t="shared" si="4"/>
        <v/>
      </c>
      <c r="AX10" s="127" t="str">
        <f t="shared" si="4"/>
        <v/>
      </c>
      <c r="AY10" s="127" t="str">
        <f t="shared" si="4"/>
        <v/>
      </c>
      <c r="AZ10" s="127" t="str">
        <f t="shared" si="4"/>
        <v/>
      </c>
      <c r="BA10" s="127" t="str">
        <f t="shared" si="4"/>
        <v/>
      </c>
      <c r="BB10" s="127" t="str">
        <f t="shared" si="4"/>
        <v/>
      </c>
      <c r="BC10" s="127" t="str">
        <f t="shared" si="4"/>
        <v/>
      </c>
      <c r="BD10" s="127" t="str">
        <f t="shared" si="4"/>
        <v/>
      </c>
      <c r="BE10" s="127" t="str">
        <f t="shared" si="4"/>
        <v/>
      </c>
      <c r="BF10" s="127" t="str">
        <f t="shared" si="4"/>
        <v/>
      </c>
      <c r="BG10" s="127" t="str">
        <f t="shared" si="5"/>
        <v/>
      </c>
      <c r="BH10" s="127" t="str">
        <f t="shared" si="5"/>
        <v/>
      </c>
      <c r="BI10" s="127" t="str">
        <f t="shared" si="5"/>
        <v/>
      </c>
      <c r="BJ10" s="127" t="str">
        <f t="shared" si="5"/>
        <v/>
      </c>
      <c r="BK10" s="127" t="str">
        <f t="shared" si="5"/>
        <v/>
      </c>
      <c r="BL10" s="127" t="str">
        <f t="shared" si="5"/>
        <v/>
      </c>
      <c r="BM10" s="127" t="str">
        <f t="shared" si="5"/>
        <v/>
      </c>
      <c r="BN10" s="127" t="str">
        <f t="shared" si="5"/>
        <v/>
      </c>
      <c r="BO10" s="127" t="str">
        <f t="shared" si="5"/>
        <v/>
      </c>
      <c r="BP10" s="127" t="str">
        <f t="shared" si="5"/>
        <v/>
      </c>
      <c r="BQ10" s="127" t="str">
        <f t="shared" si="5"/>
        <v/>
      </c>
      <c r="BR10" s="127" t="str">
        <f t="shared" si="5"/>
        <v/>
      </c>
      <c r="BS10" s="127" t="str">
        <f t="shared" si="5"/>
        <v/>
      </c>
      <c r="BT10" s="127" t="str">
        <f t="shared" si="6"/>
        <v/>
      </c>
      <c r="BU10" s="127" t="str">
        <f t="shared" si="6"/>
        <v/>
      </c>
      <c r="BV10" s="127" t="str">
        <f t="shared" si="6"/>
        <v/>
      </c>
      <c r="BW10" s="127" t="str">
        <f t="shared" si="6"/>
        <v/>
      </c>
      <c r="BX10" s="127" t="str">
        <f t="shared" si="6"/>
        <v/>
      </c>
      <c r="BY10" s="127" t="str">
        <f t="shared" si="6"/>
        <v/>
      </c>
      <c r="BZ10" s="127" t="str">
        <f t="shared" si="6"/>
        <v/>
      </c>
      <c r="CA10" s="127" t="str">
        <f t="shared" si="6"/>
        <v/>
      </c>
      <c r="CB10" s="127" t="str">
        <f t="shared" si="6"/>
        <v/>
      </c>
      <c r="CC10" s="127" t="str">
        <f t="shared" si="6"/>
        <v/>
      </c>
      <c r="CD10" s="127" t="str">
        <f t="shared" si="6"/>
        <v/>
      </c>
      <c r="CE10" s="127" t="str">
        <f t="shared" si="6"/>
        <v/>
      </c>
    </row>
    <row r="11" spans="1:83" ht="25.5" hidden="1" x14ac:dyDescent="0.2">
      <c r="A11" s="106">
        <f>SHIPMENTS!A17</f>
        <v>8641</v>
      </c>
      <c r="B11" s="106" t="str">
        <f>SHIPMENTS!B17</f>
        <v>41700-CANADA BSAUNAS BACKLOG</v>
      </c>
      <c r="C11" s="132">
        <f>SHIPMENTS!F17</f>
        <v>0</v>
      </c>
      <c r="D11" s="107" t="str">
        <f>IF((SHIPMENTS!I17)=0,"",SHIPMENTS!I17)</f>
        <v/>
      </c>
      <c r="E11" s="176">
        <f>IF((SHIPMENTS!G17)=0,"",SHIPMENTS!G17)</f>
        <v>46315</v>
      </c>
      <c r="F11" s="109">
        <f>VLOOKUP(A11,Items!$A$5:$J$1000,3,0)</f>
        <v>0</v>
      </c>
      <c r="G11" s="98">
        <f>VLOOKUP(A11,load!$A$4:$U$5001,5,0)</f>
        <v>0</v>
      </c>
      <c r="H11" s="97">
        <f>Manhours!$C$9</f>
        <v>9</v>
      </c>
      <c r="I11" s="98">
        <f t="shared" si="7"/>
        <v>81.899999999999991</v>
      </c>
      <c r="J11" s="99">
        <f t="shared" si="0"/>
        <v>0</v>
      </c>
      <c r="K11" s="99">
        <f t="shared" si="8"/>
        <v>0</v>
      </c>
      <c r="L11" s="98">
        <f t="shared" si="1"/>
        <v>0</v>
      </c>
      <c r="M11" s="98">
        <f t="shared" si="2"/>
        <v>0</v>
      </c>
      <c r="N11" s="181">
        <f>IF(G11&gt;0,(EA!N11+1),O10)</f>
        <v>46315.006135423282</v>
      </c>
      <c r="O11" s="181">
        <f t="shared" si="9"/>
        <v>46315.006135423282</v>
      </c>
      <c r="P11" s="112" t="str">
        <f>VLOOKUP(A11,SHIPMENTS!$A$7:$AP$76,11,0)</f>
        <v>n/a</v>
      </c>
      <c r="Q11" s="156"/>
      <c r="R11" s="127" t="str">
        <f t="shared" si="3"/>
        <v/>
      </c>
      <c r="S11" s="127" t="str">
        <f t="shared" si="4"/>
        <v>▲</v>
      </c>
      <c r="T11" s="127" t="str">
        <f t="shared" si="4"/>
        <v/>
      </c>
      <c r="U11" s="127" t="str">
        <f t="shared" si="4"/>
        <v/>
      </c>
      <c r="V11" s="127" t="str">
        <f t="shared" si="4"/>
        <v/>
      </c>
      <c r="W11" s="127" t="str">
        <f t="shared" si="4"/>
        <v/>
      </c>
      <c r="X11" s="127" t="str">
        <f t="shared" si="4"/>
        <v/>
      </c>
      <c r="Y11" s="127" t="str">
        <f t="shared" si="4"/>
        <v/>
      </c>
      <c r="Z11" s="127" t="str">
        <f t="shared" si="4"/>
        <v/>
      </c>
      <c r="AA11" s="127" t="str">
        <f t="shared" si="4"/>
        <v/>
      </c>
      <c r="AB11" s="127" t="str">
        <f t="shared" si="4"/>
        <v/>
      </c>
      <c r="AC11" s="127" t="str">
        <f t="shared" si="4"/>
        <v/>
      </c>
      <c r="AD11" s="127" t="str">
        <f t="shared" si="4"/>
        <v/>
      </c>
      <c r="AE11" s="127" t="str">
        <f t="shared" si="4"/>
        <v/>
      </c>
      <c r="AF11" s="127" t="str">
        <f t="shared" si="4"/>
        <v/>
      </c>
      <c r="AG11" s="127" t="str">
        <f t="shared" si="4"/>
        <v/>
      </c>
      <c r="AH11" s="127" t="str">
        <f t="shared" si="4"/>
        <v/>
      </c>
      <c r="AI11" s="127" t="str">
        <f t="shared" si="4"/>
        <v/>
      </c>
      <c r="AJ11" s="127" t="str">
        <f t="shared" si="4"/>
        <v/>
      </c>
      <c r="AK11" s="127" t="str">
        <f t="shared" si="4"/>
        <v/>
      </c>
      <c r="AL11" s="127" t="str">
        <f t="shared" si="4"/>
        <v/>
      </c>
      <c r="AM11" s="127" t="str">
        <f t="shared" si="4"/>
        <v/>
      </c>
      <c r="AN11" s="127" t="str">
        <f t="shared" si="4"/>
        <v/>
      </c>
      <c r="AO11" s="127" t="str">
        <f t="shared" si="4"/>
        <v/>
      </c>
      <c r="AP11" s="127" t="str">
        <f t="shared" si="4"/>
        <v/>
      </c>
      <c r="AQ11" s="127" t="str">
        <f t="shared" si="4"/>
        <v/>
      </c>
      <c r="AR11" s="127" t="str">
        <f t="shared" si="4"/>
        <v/>
      </c>
      <c r="AS11" s="127" t="str">
        <f t="shared" si="4"/>
        <v/>
      </c>
      <c r="AT11" s="127" t="str">
        <f t="shared" si="4"/>
        <v/>
      </c>
      <c r="AU11" s="127" t="str">
        <f t="shared" si="4"/>
        <v/>
      </c>
      <c r="AV11" s="127" t="str">
        <f t="shared" si="4"/>
        <v/>
      </c>
      <c r="AW11" s="127" t="str">
        <f t="shared" si="4"/>
        <v/>
      </c>
      <c r="AX11" s="127" t="str">
        <f t="shared" si="4"/>
        <v/>
      </c>
      <c r="AY11" s="127" t="str">
        <f t="shared" si="4"/>
        <v/>
      </c>
      <c r="AZ11" s="127" t="str">
        <f t="shared" si="4"/>
        <v/>
      </c>
      <c r="BA11" s="127" t="str">
        <f t="shared" si="4"/>
        <v/>
      </c>
      <c r="BB11" s="127" t="str">
        <f t="shared" si="4"/>
        <v/>
      </c>
      <c r="BC11" s="127" t="str">
        <f t="shared" si="4"/>
        <v/>
      </c>
      <c r="BD11" s="127" t="str">
        <f t="shared" si="4"/>
        <v/>
      </c>
      <c r="BE11" s="127" t="str">
        <f t="shared" si="4"/>
        <v/>
      </c>
      <c r="BF11" s="127" t="str">
        <f t="shared" si="4"/>
        <v/>
      </c>
      <c r="BG11" s="127" t="str">
        <f t="shared" si="5"/>
        <v/>
      </c>
      <c r="BH11" s="127" t="str">
        <f t="shared" si="5"/>
        <v/>
      </c>
      <c r="BI11" s="127" t="str">
        <f t="shared" si="5"/>
        <v/>
      </c>
      <c r="BJ11" s="127" t="str">
        <f t="shared" si="5"/>
        <v/>
      </c>
      <c r="BK11" s="127" t="str">
        <f t="shared" si="5"/>
        <v/>
      </c>
      <c r="BL11" s="127" t="str">
        <f t="shared" si="5"/>
        <v/>
      </c>
      <c r="BM11" s="127" t="str">
        <f t="shared" si="5"/>
        <v/>
      </c>
      <c r="BN11" s="127" t="str">
        <f t="shared" si="5"/>
        <v/>
      </c>
      <c r="BO11" s="127" t="str">
        <f t="shared" si="5"/>
        <v/>
      </c>
      <c r="BP11" s="127" t="str">
        <f t="shared" si="5"/>
        <v/>
      </c>
      <c r="BQ11" s="127" t="str">
        <f t="shared" si="5"/>
        <v/>
      </c>
      <c r="BR11" s="127" t="str">
        <f t="shared" si="5"/>
        <v/>
      </c>
      <c r="BS11" s="127" t="str">
        <f t="shared" si="5"/>
        <v/>
      </c>
      <c r="BT11" s="127" t="str">
        <f t="shared" si="6"/>
        <v/>
      </c>
      <c r="BU11" s="127" t="str">
        <f t="shared" si="6"/>
        <v/>
      </c>
      <c r="BV11" s="127" t="str">
        <f t="shared" si="6"/>
        <v/>
      </c>
      <c r="BW11" s="127" t="str">
        <f t="shared" si="6"/>
        <v/>
      </c>
      <c r="BX11" s="127" t="str">
        <f t="shared" si="6"/>
        <v/>
      </c>
      <c r="BY11" s="127" t="str">
        <f t="shared" si="6"/>
        <v/>
      </c>
      <c r="BZ11" s="127" t="str">
        <f t="shared" si="6"/>
        <v/>
      </c>
      <c r="CA11" s="127" t="str">
        <f t="shared" si="6"/>
        <v/>
      </c>
      <c r="CB11" s="127" t="str">
        <f t="shared" si="6"/>
        <v/>
      </c>
      <c r="CC11" s="127" t="str">
        <f t="shared" si="6"/>
        <v/>
      </c>
      <c r="CD11" s="127" t="str">
        <f t="shared" si="6"/>
        <v/>
      </c>
      <c r="CE11" s="127" t="str">
        <f t="shared" si="6"/>
        <v/>
      </c>
    </row>
    <row r="12" spans="1:83" ht="25.5" hidden="1" x14ac:dyDescent="0.2">
      <c r="A12" s="106">
        <f>SHIPMENTS!A18</f>
        <v>8102</v>
      </c>
      <c r="B12" s="106" t="str">
        <f>SHIPMENTS!B18</f>
        <v>41700-CANADA BSAUNAS BACKLOG</v>
      </c>
      <c r="C12" s="132">
        <f>SHIPMENTS!F18</f>
        <v>0</v>
      </c>
      <c r="D12" s="107" t="str">
        <f>IF((SHIPMENTS!I18)=0,"",SHIPMENTS!I18)</f>
        <v/>
      </c>
      <c r="E12" s="176">
        <f>IF((SHIPMENTS!G18)=0,"",SHIPMENTS!G18)</f>
        <v>46315</v>
      </c>
      <c r="F12" s="109">
        <f>VLOOKUP(A12,Items!$A$5:$J$1000,3,0)</f>
        <v>0</v>
      </c>
      <c r="G12" s="98">
        <f>VLOOKUP(A12,load!$A$4:$U$5001,5,0)</f>
        <v>0</v>
      </c>
      <c r="H12" s="97">
        <f>Manhours!$C$9</f>
        <v>9</v>
      </c>
      <c r="I12" s="98">
        <f t="shared" si="7"/>
        <v>81.899999999999991</v>
      </c>
      <c r="J12" s="99">
        <f t="shared" si="0"/>
        <v>0</v>
      </c>
      <c r="K12" s="99">
        <f t="shared" si="8"/>
        <v>0</v>
      </c>
      <c r="L12" s="98">
        <f t="shared" si="1"/>
        <v>0</v>
      </c>
      <c r="M12" s="98">
        <f t="shared" si="2"/>
        <v>0</v>
      </c>
      <c r="N12" s="181">
        <f>IF(G12&gt;0,(EA!N12+1),O11)</f>
        <v>46315.006135423282</v>
      </c>
      <c r="O12" s="181">
        <f t="shared" si="9"/>
        <v>46315.006135423282</v>
      </c>
      <c r="P12" s="112" t="str">
        <f>VLOOKUP(A12,SHIPMENTS!$A$7:$AP$76,11,0)</f>
        <v>n/a</v>
      </c>
      <c r="Q12" s="156"/>
      <c r="R12" s="127" t="str">
        <f t="shared" si="3"/>
        <v/>
      </c>
      <c r="S12" s="127" t="str">
        <f t="shared" si="4"/>
        <v>▲</v>
      </c>
      <c r="T12" s="127" t="str">
        <f t="shared" si="4"/>
        <v/>
      </c>
      <c r="U12" s="127" t="str">
        <f t="shared" si="4"/>
        <v/>
      </c>
      <c r="V12" s="127" t="str">
        <f t="shared" si="4"/>
        <v/>
      </c>
      <c r="W12" s="127" t="str">
        <f t="shared" si="4"/>
        <v/>
      </c>
      <c r="X12" s="127" t="str">
        <f t="shared" si="4"/>
        <v/>
      </c>
      <c r="Y12" s="127" t="str">
        <f t="shared" si="4"/>
        <v/>
      </c>
      <c r="Z12" s="127" t="str">
        <f t="shared" si="4"/>
        <v/>
      </c>
      <c r="AA12" s="127" t="str">
        <f t="shared" si="4"/>
        <v/>
      </c>
      <c r="AB12" s="127" t="str">
        <f t="shared" si="4"/>
        <v/>
      </c>
      <c r="AC12" s="127" t="str">
        <f t="shared" si="4"/>
        <v/>
      </c>
      <c r="AD12" s="127" t="str">
        <f t="shared" si="4"/>
        <v/>
      </c>
      <c r="AE12" s="127" t="str">
        <f t="shared" si="4"/>
        <v/>
      </c>
      <c r="AF12" s="127" t="str">
        <f t="shared" si="4"/>
        <v/>
      </c>
      <c r="AG12" s="127" t="str">
        <f t="shared" si="4"/>
        <v/>
      </c>
      <c r="AH12" s="127" t="str">
        <f t="shared" si="4"/>
        <v/>
      </c>
      <c r="AI12" s="127" t="str">
        <f t="shared" si="4"/>
        <v/>
      </c>
      <c r="AJ12" s="127" t="str">
        <f t="shared" si="4"/>
        <v/>
      </c>
      <c r="AK12" s="127" t="str">
        <f t="shared" si="4"/>
        <v/>
      </c>
      <c r="AL12" s="127" t="str">
        <f t="shared" si="4"/>
        <v/>
      </c>
      <c r="AM12" s="127" t="str">
        <f t="shared" si="4"/>
        <v/>
      </c>
      <c r="AN12" s="127" t="str">
        <f t="shared" si="4"/>
        <v/>
      </c>
      <c r="AO12" s="127" t="str">
        <f t="shared" si="4"/>
        <v/>
      </c>
      <c r="AP12" s="127" t="str">
        <f t="shared" si="4"/>
        <v/>
      </c>
      <c r="AQ12" s="127" t="str">
        <f t="shared" si="4"/>
        <v/>
      </c>
      <c r="AR12" s="127" t="str">
        <f t="shared" si="4"/>
        <v/>
      </c>
      <c r="AS12" s="127" t="str">
        <f t="shared" si="4"/>
        <v/>
      </c>
      <c r="AT12" s="127" t="str">
        <f t="shared" si="4"/>
        <v/>
      </c>
      <c r="AU12" s="127" t="str">
        <f t="shared" si="4"/>
        <v/>
      </c>
      <c r="AV12" s="127" t="str">
        <f t="shared" si="4"/>
        <v/>
      </c>
      <c r="AW12" s="127" t="str">
        <f t="shared" si="4"/>
        <v/>
      </c>
      <c r="AX12" s="127" t="str">
        <f t="shared" si="4"/>
        <v/>
      </c>
      <c r="AY12" s="127" t="str">
        <f t="shared" si="4"/>
        <v/>
      </c>
      <c r="AZ12" s="127" t="str">
        <f t="shared" si="4"/>
        <v/>
      </c>
      <c r="BA12" s="127" t="str">
        <f t="shared" si="4"/>
        <v/>
      </c>
      <c r="BB12" s="127" t="str">
        <f t="shared" si="4"/>
        <v/>
      </c>
      <c r="BC12" s="127" t="str">
        <f t="shared" si="4"/>
        <v/>
      </c>
      <c r="BD12" s="127" t="str">
        <f t="shared" si="4"/>
        <v/>
      </c>
      <c r="BE12" s="127" t="str">
        <f t="shared" si="4"/>
        <v/>
      </c>
      <c r="BF12" s="127" t="str">
        <f t="shared" si="4"/>
        <v/>
      </c>
      <c r="BG12" s="127" t="str">
        <f t="shared" si="5"/>
        <v/>
      </c>
      <c r="BH12" s="127" t="str">
        <f t="shared" si="5"/>
        <v/>
      </c>
      <c r="BI12" s="127" t="str">
        <f t="shared" si="5"/>
        <v/>
      </c>
      <c r="BJ12" s="127" t="str">
        <f t="shared" si="5"/>
        <v/>
      </c>
      <c r="BK12" s="127" t="str">
        <f t="shared" si="5"/>
        <v/>
      </c>
      <c r="BL12" s="127" t="str">
        <f t="shared" si="5"/>
        <v/>
      </c>
      <c r="BM12" s="127" t="str">
        <f t="shared" si="5"/>
        <v/>
      </c>
      <c r="BN12" s="127" t="str">
        <f t="shared" si="5"/>
        <v/>
      </c>
      <c r="BO12" s="127" t="str">
        <f t="shared" si="5"/>
        <v/>
      </c>
      <c r="BP12" s="127" t="str">
        <f t="shared" si="5"/>
        <v/>
      </c>
      <c r="BQ12" s="127" t="str">
        <f t="shared" si="5"/>
        <v/>
      </c>
      <c r="BR12" s="127" t="str">
        <f t="shared" si="5"/>
        <v/>
      </c>
      <c r="BS12" s="127" t="str">
        <f t="shared" si="5"/>
        <v/>
      </c>
      <c r="BT12" s="127" t="str">
        <f t="shared" si="6"/>
        <v/>
      </c>
      <c r="BU12" s="127" t="str">
        <f t="shared" si="6"/>
        <v/>
      </c>
      <c r="BV12" s="127" t="str">
        <f t="shared" si="6"/>
        <v/>
      </c>
      <c r="BW12" s="127" t="str">
        <f t="shared" si="6"/>
        <v/>
      </c>
      <c r="BX12" s="127" t="str">
        <f t="shared" si="6"/>
        <v/>
      </c>
      <c r="BY12" s="127" t="str">
        <f t="shared" si="6"/>
        <v/>
      </c>
      <c r="BZ12" s="127" t="str">
        <f t="shared" si="6"/>
        <v/>
      </c>
      <c r="CA12" s="127" t="str">
        <f t="shared" si="6"/>
        <v/>
      </c>
      <c r="CB12" s="127" t="str">
        <f t="shared" si="6"/>
        <v/>
      </c>
      <c r="CC12" s="127" t="str">
        <f t="shared" si="6"/>
        <v/>
      </c>
      <c r="CD12" s="127" t="str">
        <f t="shared" si="6"/>
        <v/>
      </c>
      <c r="CE12" s="127" t="str">
        <f t="shared" si="6"/>
        <v/>
      </c>
    </row>
    <row r="13" spans="1:83" ht="25.5" hidden="1" x14ac:dyDescent="0.2">
      <c r="A13" s="106">
        <f>SHIPMENTS!A19</f>
        <v>5928</v>
      </c>
      <c r="B13" s="106" t="str">
        <f>SHIPMENTS!B19</f>
        <v>41700-CANADA BSAUNAS BACKLOG</v>
      </c>
      <c r="C13" s="132">
        <f>SHIPMENTS!F19</f>
        <v>0</v>
      </c>
      <c r="D13" s="107" t="str">
        <f>IF((SHIPMENTS!I19)=0,"",SHIPMENTS!I19)</f>
        <v/>
      </c>
      <c r="E13" s="176" t="str">
        <f>IF((SHIPMENTS!G19)=0,"",SHIPMENTS!G19)</f>
        <v/>
      </c>
      <c r="F13" s="109">
        <f>VLOOKUP(A13,Items!$A$5:$J$1000,3,0)</f>
        <v>0</v>
      </c>
      <c r="G13" s="98">
        <f>VLOOKUP(A13,load!$A$4:$U$5001,5,0)</f>
        <v>0</v>
      </c>
      <c r="H13" s="97">
        <f>Manhours!$C$9</f>
        <v>9</v>
      </c>
      <c r="I13" s="98">
        <f t="shared" si="7"/>
        <v>81.899999999999991</v>
      </c>
      <c r="J13" s="99">
        <f t="shared" si="0"/>
        <v>0</v>
      </c>
      <c r="K13" s="99">
        <f t="shared" si="8"/>
        <v>0</v>
      </c>
      <c r="L13" s="98">
        <f t="shared" si="1"/>
        <v>0</v>
      </c>
      <c r="M13" s="98">
        <f t="shared" si="2"/>
        <v>0</v>
      </c>
      <c r="N13" s="181">
        <f>IF(G13&gt;0,(EA!N13+1),O12)</f>
        <v>46315.006135423282</v>
      </c>
      <c r="O13" s="181">
        <f t="shared" si="9"/>
        <v>46315.006135423282</v>
      </c>
      <c r="P13" s="112" t="str">
        <f>VLOOKUP(A13,SHIPMENTS!$A$7:$AP$76,11,0)</f>
        <v>n/a</v>
      </c>
      <c r="Q13" s="156"/>
      <c r="R13" s="127" t="str">
        <f t="shared" si="3"/>
        <v/>
      </c>
      <c r="S13" s="127" t="str">
        <f t="shared" si="4"/>
        <v/>
      </c>
      <c r="T13" s="127" t="str">
        <f t="shared" si="4"/>
        <v/>
      </c>
      <c r="U13" s="127" t="str">
        <f t="shared" si="4"/>
        <v/>
      </c>
      <c r="V13" s="127" t="str">
        <f t="shared" si="4"/>
        <v/>
      </c>
      <c r="W13" s="127" t="str">
        <f t="shared" si="4"/>
        <v/>
      </c>
      <c r="X13" s="127" t="str">
        <f t="shared" si="4"/>
        <v/>
      </c>
      <c r="Y13" s="127" t="str">
        <f t="shared" si="4"/>
        <v/>
      </c>
      <c r="Z13" s="127" t="str">
        <f t="shared" si="4"/>
        <v/>
      </c>
      <c r="AA13" s="127" t="str">
        <f t="shared" si="4"/>
        <v/>
      </c>
      <c r="AB13" s="127" t="str">
        <f t="shared" si="4"/>
        <v/>
      </c>
      <c r="AC13" s="127" t="str">
        <f t="shared" si="4"/>
        <v/>
      </c>
      <c r="AD13" s="127" t="str">
        <f t="shared" si="4"/>
        <v/>
      </c>
      <c r="AE13" s="127" t="str">
        <f t="shared" si="4"/>
        <v/>
      </c>
      <c r="AF13" s="127" t="str">
        <f t="shared" si="4"/>
        <v/>
      </c>
      <c r="AG13" s="127" t="str">
        <f t="shared" si="4"/>
        <v/>
      </c>
      <c r="AH13" s="127" t="str">
        <f t="shared" si="4"/>
        <v/>
      </c>
      <c r="AI13" s="127" t="str">
        <f t="shared" si="4"/>
        <v/>
      </c>
      <c r="AJ13" s="127" t="str">
        <f t="shared" si="4"/>
        <v/>
      </c>
      <c r="AK13" s="127" t="str">
        <f t="shared" si="4"/>
        <v/>
      </c>
      <c r="AL13" s="127" t="str">
        <f t="shared" si="4"/>
        <v/>
      </c>
      <c r="AM13" s="127" t="str">
        <f t="shared" si="4"/>
        <v/>
      </c>
      <c r="AN13" s="127" t="str">
        <f t="shared" si="4"/>
        <v/>
      </c>
      <c r="AO13" s="127" t="str">
        <f t="shared" si="4"/>
        <v/>
      </c>
      <c r="AP13" s="127" t="str">
        <f t="shared" si="4"/>
        <v/>
      </c>
      <c r="AQ13" s="127" t="str">
        <f t="shared" si="4"/>
        <v/>
      </c>
      <c r="AR13" s="127" t="str">
        <f t="shared" si="4"/>
        <v/>
      </c>
      <c r="AS13" s="127" t="str">
        <f t="shared" si="4"/>
        <v/>
      </c>
      <c r="AT13" s="127" t="str">
        <f t="shared" si="4"/>
        <v/>
      </c>
      <c r="AU13" s="127" t="str">
        <f t="shared" si="4"/>
        <v/>
      </c>
      <c r="AV13" s="127" t="str">
        <f t="shared" si="4"/>
        <v/>
      </c>
      <c r="AW13" s="127" t="str">
        <f t="shared" si="4"/>
        <v/>
      </c>
      <c r="AX13" s="127" t="str">
        <f t="shared" si="4"/>
        <v/>
      </c>
      <c r="AY13" s="127" t="str">
        <f t="shared" si="4"/>
        <v/>
      </c>
      <c r="AZ13" s="127" t="str">
        <f t="shared" si="4"/>
        <v/>
      </c>
      <c r="BA13" s="127" t="str">
        <f t="shared" si="4"/>
        <v/>
      </c>
      <c r="BB13" s="127" t="str">
        <f t="shared" si="4"/>
        <v/>
      </c>
      <c r="BC13" s="127" t="str">
        <f t="shared" si="4"/>
        <v/>
      </c>
      <c r="BD13" s="127" t="str">
        <f t="shared" si="4"/>
        <v/>
      </c>
      <c r="BE13" s="127" t="str">
        <f t="shared" si="4"/>
        <v/>
      </c>
      <c r="BF13" s="127" t="str">
        <f t="shared" si="4"/>
        <v/>
      </c>
      <c r="BG13" s="127" t="str">
        <f t="shared" si="5"/>
        <v/>
      </c>
      <c r="BH13" s="127" t="str">
        <f t="shared" si="5"/>
        <v/>
      </c>
      <c r="BI13" s="127" t="str">
        <f t="shared" si="5"/>
        <v/>
      </c>
      <c r="BJ13" s="127" t="str">
        <f t="shared" si="5"/>
        <v/>
      </c>
      <c r="BK13" s="127" t="str">
        <f t="shared" si="5"/>
        <v/>
      </c>
      <c r="BL13" s="127" t="str">
        <f t="shared" si="5"/>
        <v/>
      </c>
      <c r="BM13" s="127" t="str">
        <f t="shared" si="5"/>
        <v/>
      </c>
      <c r="BN13" s="127" t="str">
        <f t="shared" si="5"/>
        <v/>
      </c>
      <c r="BO13" s="127" t="str">
        <f t="shared" si="5"/>
        <v/>
      </c>
      <c r="BP13" s="127" t="str">
        <f t="shared" si="5"/>
        <v/>
      </c>
      <c r="BQ13" s="127" t="str">
        <f t="shared" si="5"/>
        <v/>
      </c>
      <c r="BR13" s="127" t="str">
        <f t="shared" si="5"/>
        <v/>
      </c>
      <c r="BS13" s="127" t="str">
        <f t="shared" si="5"/>
        <v/>
      </c>
      <c r="BT13" s="127" t="str">
        <f t="shared" si="6"/>
        <v/>
      </c>
      <c r="BU13" s="127" t="str">
        <f t="shared" si="6"/>
        <v/>
      </c>
      <c r="BV13" s="127" t="str">
        <f t="shared" si="6"/>
        <v/>
      </c>
      <c r="BW13" s="127" t="str">
        <f t="shared" si="6"/>
        <v/>
      </c>
      <c r="BX13" s="127" t="str">
        <f t="shared" si="6"/>
        <v/>
      </c>
      <c r="BY13" s="127" t="str">
        <f t="shared" si="6"/>
        <v/>
      </c>
      <c r="BZ13" s="127" t="str">
        <f t="shared" si="6"/>
        <v/>
      </c>
      <c r="CA13" s="127" t="str">
        <f t="shared" si="6"/>
        <v/>
      </c>
      <c r="CB13" s="127" t="str">
        <f t="shared" si="6"/>
        <v/>
      </c>
      <c r="CC13" s="127" t="str">
        <f t="shared" si="6"/>
        <v/>
      </c>
      <c r="CD13" s="127" t="str">
        <f t="shared" si="6"/>
        <v/>
      </c>
      <c r="CE13" s="127" t="str">
        <f t="shared" si="6"/>
        <v/>
      </c>
    </row>
    <row r="14" spans="1:83" ht="25.5" hidden="1" x14ac:dyDescent="0.2">
      <c r="A14" s="106">
        <f>SHIPMENTS!A20</f>
        <v>4781</v>
      </c>
      <c r="B14" s="106" t="str">
        <f>SHIPMENTS!B20</f>
        <v>41700-CANADA BSAUNAS BACKLOG</v>
      </c>
      <c r="C14" s="132">
        <f>SHIPMENTS!F20</f>
        <v>0</v>
      </c>
      <c r="D14" s="107" t="str">
        <f>IF((SHIPMENTS!I20)=0,"",SHIPMENTS!I20)</f>
        <v/>
      </c>
      <c r="E14" s="176" t="str">
        <f>IF((SHIPMENTS!G20)=0,"",SHIPMENTS!G20)</f>
        <v/>
      </c>
      <c r="F14" s="109">
        <f>VLOOKUP(A14,Items!$A$5:$J$1000,3,0)</f>
        <v>0</v>
      </c>
      <c r="G14" s="98">
        <f>VLOOKUP(A14,load!$A$4:$U$5001,5,0)</f>
        <v>0</v>
      </c>
      <c r="H14" s="97">
        <f>Manhours!$C$9</f>
        <v>9</v>
      </c>
      <c r="I14" s="98">
        <f t="shared" si="7"/>
        <v>81.899999999999991</v>
      </c>
      <c r="J14" s="99">
        <f t="shared" si="0"/>
        <v>0</v>
      </c>
      <c r="K14" s="99">
        <f t="shared" si="8"/>
        <v>0</v>
      </c>
      <c r="L14" s="98">
        <f t="shared" si="1"/>
        <v>0</v>
      </c>
      <c r="M14" s="98">
        <f t="shared" si="2"/>
        <v>0</v>
      </c>
      <c r="N14" s="181">
        <f>IF(G14&gt;0,(EA!N14+1),O13)</f>
        <v>46315.006135423282</v>
      </c>
      <c r="O14" s="181">
        <f t="shared" si="9"/>
        <v>46315.006135423282</v>
      </c>
      <c r="P14" s="112" t="str">
        <f>VLOOKUP(A14,SHIPMENTS!$A$7:$AP$76,11,0)</f>
        <v>n/a</v>
      </c>
      <c r="Q14" s="156"/>
      <c r="R14" s="127" t="str">
        <f t="shared" si="3"/>
        <v/>
      </c>
      <c r="S14" s="127" t="str">
        <f t="shared" si="4"/>
        <v/>
      </c>
      <c r="T14" s="127" t="str">
        <f t="shared" si="4"/>
        <v/>
      </c>
      <c r="U14" s="127" t="str">
        <f t="shared" si="4"/>
        <v/>
      </c>
      <c r="V14" s="127" t="str">
        <f t="shared" si="4"/>
        <v/>
      </c>
      <c r="W14" s="127" t="str">
        <f t="shared" si="4"/>
        <v/>
      </c>
      <c r="X14" s="127" t="str">
        <f t="shared" si="4"/>
        <v/>
      </c>
      <c r="Y14" s="127" t="str">
        <f t="shared" si="4"/>
        <v/>
      </c>
      <c r="Z14" s="127" t="str">
        <f t="shared" si="4"/>
        <v/>
      </c>
      <c r="AA14" s="127" t="str">
        <f t="shared" si="4"/>
        <v/>
      </c>
      <c r="AB14" s="127" t="str">
        <f t="shared" si="4"/>
        <v/>
      </c>
      <c r="AC14" s="127" t="str">
        <f t="shared" si="4"/>
        <v/>
      </c>
      <c r="AD14" s="127" t="str">
        <f t="shared" si="4"/>
        <v/>
      </c>
      <c r="AE14" s="127" t="str">
        <f t="shared" si="4"/>
        <v/>
      </c>
      <c r="AF14" s="127" t="str">
        <f t="shared" si="4"/>
        <v/>
      </c>
      <c r="AG14" s="127" t="str">
        <f t="shared" si="4"/>
        <v/>
      </c>
      <c r="AH14" s="127" t="str">
        <f t="shared" ref="AH14:BH20" si="10">IF($E14=AH$3,"▲","")</f>
        <v/>
      </c>
      <c r="AI14" s="127" t="str">
        <f t="shared" si="10"/>
        <v/>
      </c>
      <c r="AJ14" s="127" t="str">
        <f t="shared" si="10"/>
        <v/>
      </c>
      <c r="AK14" s="127" t="str">
        <f t="shared" si="10"/>
        <v/>
      </c>
      <c r="AL14" s="127" t="str">
        <f t="shared" si="10"/>
        <v/>
      </c>
      <c r="AM14" s="127" t="str">
        <f t="shared" si="10"/>
        <v/>
      </c>
      <c r="AN14" s="127" t="str">
        <f t="shared" si="10"/>
        <v/>
      </c>
      <c r="AO14" s="127" t="str">
        <f t="shared" si="10"/>
        <v/>
      </c>
      <c r="AP14" s="127" t="str">
        <f t="shared" si="10"/>
        <v/>
      </c>
      <c r="AQ14" s="127" t="str">
        <f t="shared" si="10"/>
        <v/>
      </c>
      <c r="AR14" s="127" t="str">
        <f t="shared" si="10"/>
        <v/>
      </c>
      <c r="AS14" s="127" t="str">
        <f t="shared" si="10"/>
        <v/>
      </c>
      <c r="AT14" s="127" t="str">
        <f t="shared" si="10"/>
        <v/>
      </c>
      <c r="AU14" s="127" t="str">
        <f t="shared" si="10"/>
        <v/>
      </c>
      <c r="AV14" s="127" t="str">
        <f t="shared" si="10"/>
        <v/>
      </c>
      <c r="AW14" s="127" t="str">
        <f t="shared" si="10"/>
        <v/>
      </c>
      <c r="AX14" s="127" t="str">
        <f t="shared" si="10"/>
        <v/>
      </c>
      <c r="AY14" s="127" t="str">
        <f t="shared" si="10"/>
        <v/>
      </c>
      <c r="AZ14" s="127" t="str">
        <f t="shared" si="10"/>
        <v/>
      </c>
      <c r="BA14" s="127" t="str">
        <f t="shared" si="10"/>
        <v/>
      </c>
      <c r="BB14" s="127" t="str">
        <f t="shared" si="10"/>
        <v/>
      </c>
      <c r="BC14" s="127" t="str">
        <f t="shared" si="10"/>
        <v/>
      </c>
      <c r="BD14" s="127" t="str">
        <f t="shared" si="10"/>
        <v/>
      </c>
      <c r="BE14" s="127" t="str">
        <f t="shared" si="10"/>
        <v/>
      </c>
      <c r="BF14" s="127" t="str">
        <f t="shared" si="10"/>
        <v/>
      </c>
      <c r="BG14" s="127" t="str">
        <f t="shared" si="10"/>
        <v/>
      </c>
      <c r="BH14" s="127" t="str">
        <f t="shared" si="10"/>
        <v/>
      </c>
      <c r="BI14" s="127" t="str">
        <f t="shared" si="5"/>
        <v/>
      </c>
      <c r="BJ14" s="127" t="str">
        <f t="shared" si="5"/>
        <v/>
      </c>
      <c r="BK14" s="127" t="str">
        <f t="shared" si="5"/>
        <v/>
      </c>
      <c r="BL14" s="127" t="str">
        <f t="shared" si="5"/>
        <v/>
      </c>
      <c r="BM14" s="127" t="str">
        <f t="shared" si="5"/>
        <v/>
      </c>
      <c r="BN14" s="127" t="str">
        <f t="shared" si="5"/>
        <v/>
      </c>
      <c r="BO14" s="127" t="str">
        <f t="shared" si="5"/>
        <v/>
      </c>
      <c r="BP14" s="127" t="str">
        <f t="shared" si="5"/>
        <v/>
      </c>
      <c r="BQ14" s="127" t="str">
        <f t="shared" si="5"/>
        <v/>
      </c>
      <c r="BR14" s="127" t="str">
        <f t="shared" si="5"/>
        <v/>
      </c>
      <c r="BS14" s="127" t="str">
        <f t="shared" si="5"/>
        <v/>
      </c>
      <c r="BT14" s="127" t="str">
        <f t="shared" si="6"/>
        <v/>
      </c>
      <c r="BU14" s="127" t="str">
        <f t="shared" si="6"/>
        <v/>
      </c>
      <c r="BV14" s="127" t="str">
        <f t="shared" si="6"/>
        <v/>
      </c>
      <c r="BW14" s="127" t="str">
        <f t="shared" si="6"/>
        <v/>
      </c>
      <c r="BX14" s="127" t="str">
        <f t="shared" si="6"/>
        <v/>
      </c>
      <c r="BY14" s="127" t="str">
        <f t="shared" si="6"/>
        <v/>
      </c>
      <c r="BZ14" s="127" t="str">
        <f t="shared" si="6"/>
        <v/>
      </c>
      <c r="CA14" s="127" t="str">
        <f t="shared" si="6"/>
        <v/>
      </c>
      <c r="CB14" s="127" t="str">
        <f t="shared" si="6"/>
        <v/>
      </c>
      <c r="CC14" s="127" t="str">
        <f t="shared" si="6"/>
        <v/>
      </c>
      <c r="CD14" s="127" t="str">
        <f t="shared" si="6"/>
        <v/>
      </c>
      <c r="CE14" s="127" t="str">
        <f t="shared" si="6"/>
        <v/>
      </c>
    </row>
    <row r="15" spans="1:83" x14ac:dyDescent="0.2">
      <c r="A15" s="106">
        <f>SHIPMENTS!A21</f>
        <v>9259</v>
      </c>
      <c r="B15" s="106" t="str">
        <f>SHIPMENTS!B21</f>
        <v>27200-UAE</v>
      </c>
      <c r="C15" s="132">
        <f>SHIPMENTS!F21</f>
        <v>7.0000000000000007E-2</v>
      </c>
      <c r="D15" s="107" t="str">
        <f>IF((SHIPMENTS!I21)=0,"",SHIPMENTS!I21)</f>
        <v>AIR</v>
      </c>
      <c r="E15" s="176">
        <f>IF((SHIPMENTS!G21)=0,"",SHIPMENTS!G21)</f>
        <v>46316</v>
      </c>
      <c r="F15" s="109">
        <f>VLOOKUP(A15,Items!$A$5:$J$1000,3,0)</f>
        <v>0</v>
      </c>
      <c r="G15" s="98">
        <f>VLOOKUP(A15,load!$A$4:$U$5001,5,0)</f>
        <v>0.68183333333333329</v>
      </c>
      <c r="H15" s="97">
        <f>Manhours!$C$9</f>
        <v>9</v>
      </c>
      <c r="I15" s="98">
        <f t="shared" si="7"/>
        <v>81.899999999999991</v>
      </c>
      <c r="J15" s="99">
        <f t="shared" si="0"/>
        <v>8.3251933251933252E-3</v>
      </c>
      <c r="K15" s="99">
        <f t="shared" si="8"/>
        <v>7.5759259259259262E-2</v>
      </c>
      <c r="L15" s="98">
        <f t="shared" si="1"/>
        <v>8.3251933251933252E-3</v>
      </c>
      <c r="M15" s="98">
        <f t="shared" si="2"/>
        <v>7.5759259259259262E-2</v>
      </c>
      <c r="N15" s="181">
        <f>IF(G15&gt;0,(EA!N15+1),O14)</f>
        <v>46315.001825396823</v>
      </c>
      <c r="O15" s="181">
        <f t="shared" si="9"/>
        <v>46315.010150590148</v>
      </c>
      <c r="P15" s="112">
        <f>VLOOKUP(A15,SHIPMENTS!$A$7:$AP$76,11,0)</f>
        <v>0</v>
      </c>
      <c r="Q15" s="156"/>
      <c r="R15" s="127" t="str">
        <f t="shared" si="3"/>
        <v/>
      </c>
      <c r="S15" s="127" t="str">
        <f t="shared" ref="S15:BF21" si="11">IF($E15=S$3,"▲","")</f>
        <v/>
      </c>
      <c r="T15" s="127" t="str">
        <f t="shared" si="11"/>
        <v>▲</v>
      </c>
      <c r="U15" s="127" t="str">
        <f t="shared" si="11"/>
        <v/>
      </c>
      <c r="V15" s="127" t="str">
        <f t="shared" si="11"/>
        <v/>
      </c>
      <c r="W15" s="127" t="str">
        <f t="shared" si="11"/>
        <v/>
      </c>
      <c r="X15" s="127" t="str">
        <f t="shared" si="11"/>
        <v/>
      </c>
      <c r="Y15" s="127" t="str">
        <f t="shared" si="11"/>
        <v/>
      </c>
      <c r="Z15" s="127" t="str">
        <f t="shared" si="11"/>
        <v/>
      </c>
      <c r="AA15" s="127" t="str">
        <f t="shared" si="11"/>
        <v/>
      </c>
      <c r="AB15" s="127" t="str">
        <f t="shared" si="11"/>
        <v/>
      </c>
      <c r="AC15" s="127" t="str">
        <f t="shared" si="11"/>
        <v/>
      </c>
      <c r="AD15" s="127" t="str">
        <f t="shared" si="11"/>
        <v/>
      </c>
      <c r="AE15" s="127" t="str">
        <f t="shared" si="11"/>
        <v/>
      </c>
      <c r="AF15" s="127" t="str">
        <f t="shared" si="11"/>
        <v/>
      </c>
      <c r="AG15" s="127" t="str">
        <f t="shared" si="11"/>
        <v/>
      </c>
      <c r="AH15" s="127" t="str">
        <f t="shared" si="11"/>
        <v/>
      </c>
      <c r="AI15" s="127" t="str">
        <f t="shared" si="11"/>
        <v/>
      </c>
      <c r="AJ15" s="127" t="str">
        <f t="shared" si="11"/>
        <v/>
      </c>
      <c r="AK15" s="127" t="str">
        <f t="shared" si="11"/>
        <v/>
      </c>
      <c r="AL15" s="127" t="str">
        <f t="shared" si="11"/>
        <v/>
      </c>
      <c r="AM15" s="127" t="str">
        <f t="shared" si="11"/>
        <v/>
      </c>
      <c r="AN15" s="127" t="str">
        <f t="shared" si="11"/>
        <v/>
      </c>
      <c r="AO15" s="127" t="str">
        <f t="shared" si="11"/>
        <v/>
      </c>
      <c r="AP15" s="127" t="str">
        <f t="shared" si="11"/>
        <v/>
      </c>
      <c r="AQ15" s="127" t="str">
        <f t="shared" si="11"/>
        <v/>
      </c>
      <c r="AR15" s="127" t="str">
        <f t="shared" si="11"/>
        <v/>
      </c>
      <c r="AS15" s="127" t="str">
        <f t="shared" si="11"/>
        <v/>
      </c>
      <c r="AT15" s="127" t="str">
        <f t="shared" si="11"/>
        <v/>
      </c>
      <c r="AU15" s="127" t="str">
        <f t="shared" si="11"/>
        <v/>
      </c>
      <c r="AV15" s="127" t="str">
        <f t="shared" si="11"/>
        <v/>
      </c>
      <c r="AW15" s="127" t="str">
        <f t="shared" si="11"/>
        <v/>
      </c>
      <c r="AX15" s="127" t="str">
        <f t="shared" si="11"/>
        <v/>
      </c>
      <c r="AY15" s="127" t="str">
        <f t="shared" si="11"/>
        <v/>
      </c>
      <c r="AZ15" s="127" t="str">
        <f t="shared" si="11"/>
        <v/>
      </c>
      <c r="BA15" s="127" t="str">
        <f t="shared" si="11"/>
        <v/>
      </c>
      <c r="BB15" s="127" t="str">
        <f t="shared" si="11"/>
        <v/>
      </c>
      <c r="BC15" s="127" t="str">
        <f t="shared" si="11"/>
        <v/>
      </c>
      <c r="BD15" s="127" t="str">
        <f t="shared" si="11"/>
        <v/>
      </c>
      <c r="BE15" s="127" t="str">
        <f t="shared" si="11"/>
        <v/>
      </c>
      <c r="BF15" s="127" t="str">
        <f t="shared" si="11"/>
        <v/>
      </c>
      <c r="BG15" s="127" t="str">
        <f t="shared" si="10"/>
        <v/>
      </c>
      <c r="BH15" s="127" t="str">
        <f t="shared" si="10"/>
        <v/>
      </c>
      <c r="BI15" s="127" t="str">
        <f t="shared" si="5"/>
        <v/>
      </c>
      <c r="BJ15" s="127" t="str">
        <f t="shared" si="5"/>
        <v/>
      </c>
      <c r="BK15" s="127" t="str">
        <f t="shared" si="5"/>
        <v/>
      </c>
      <c r="BL15" s="127" t="str">
        <f t="shared" si="5"/>
        <v/>
      </c>
      <c r="BM15" s="127" t="str">
        <f t="shared" si="5"/>
        <v/>
      </c>
      <c r="BN15" s="127" t="str">
        <f t="shared" si="5"/>
        <v/>
      </c>
      <c r="BO15" s="127" t="str">
        <f t="shared" si="5"/>
        <v/>
      </c>
      <c r="BP15" s="127" t="str">
        <f t="shared" si="5"/>
        <v/>
      </c>
      <c r="BQ15" s="127" t="str">
        <f t="shared" si="5"/>
        <v/>
      </c>
      <c r="BR15" s="127" t="str">
        <f t="shared" si="5"/>
        <v/>
      </c>
      <c r="BS15" s="127" t="str">
        <f t="shared" si="5"/>
        <v/>
      </c>
      <c r="BT15" s="127" t="str">
        <f t="shared" si="6"/>
        <v/>
      </c>
      <c r="BU15" s="127" t="str">
        <f t="shared" si="6"/>
        <v/>
      </c>
      <c r="BV15" s="127" t="str">
        <f t="shared" si="6"/>
        <v/>
      </c>
      <c r="BW15" s="127" t="str">
        <f t="shared" si="6"/>
        <v/>
      </c>
      <c r="BX15" s="127" t="str">
        <f t="shared" si="6"/>
        <v/>
      </c>
      <c r="BY15" s="127" t="str">
        <f t="shared" si="6"/>
        <v/>
      </c>
      <c r="BZ15" s="127" t="str">
        <f t="shared" si="6"/>
        <v/>
      </c>
      <c r="CA15" s="127" t="str">
        <f t="shared" si="6"/>
        <v/>
      </c>
      <c r="CB15" s="127" t="str">
        <f t="shared" si="6"/>
        <v/>
      </c>
      <c r="CC15" s="127" t="str">
        <f t="shared" si="6"/>
        <v/>
      </c>
      <c r="CD15" s="127" t="str">
        <f t="shared" si="6"/>
        <v/>
      </c>
      <c r="CE15" s="127" t="str">
        <f t="shared" si="6"/>
        <v/>
      </c>
    </row>
    <row r="16" spans="1:83" x14ac:dyDescent="0.2">
      <c r="A16" s="106">
        <f>SHIPMENTS!A22</f>
        <v>8765</v>
      </c>
      <c r="B16" s="106" t="str">
        <f>SHIPMENTS!B22</f>
        <v>8200-AUSTRALIA</v>
      </c>
      <c r="C16" s="132">
        <f>SHIPMENTS!F22</f>
        <v>64.930000000000007</v>
      </c>
      <c r="D16" s="107" t="str">
        <f>IF((SHIPMENTS!I22)=0,"",SHIPMENTS!I22)</f>
        <v>1X40HC</v>
      </c>
      <c r="E16" s="176">
        <f>IF((SHIPMENTS!G22)=0,"",SHIPMENTS!G22)</f>
        <v>46316</v>
      </c>
      <c r="F16" s="109">
        <f>VLOOKUP(A16,Items!$A$5:$J$1000,3,0)</f>
        <v>75</v>
      </c>
      <c r="G16" s="98">
        <f>VLOOKUP(A16,load!$A$4:$U$5001,5,0)</f>
        <v>134.19530327777778</v>
      </c>
      <c r="H16" s="97">
        <f>Manhours!$C$9</f>
        <v>9</v>
      </c>
      <c r="I16" s="98">
        <f t="shared" si="7"/>
        <v>81.899999999999991</v>
      </c>
      <c r="J16" s="99">
        <f t="shared" si="0"/>
        <v>1.6385262915479584</v>
      </c>
      <c r="K16" s="99">
        <f t="shared" si="8"/>
        <v>14.910589253086421</v>
      </c>
      <c r="L16" s="98">
        <f t="shared" si="1"/>
        <v>0.21300841790123459</v>
      </c>
      <c r="M16" s="98">
        <f t="shared" si="2"/>
        <v>1.9383766029012346</v>
      </c>
      <c r="N16" s="181">
        <f>IF(G16&gt;0,(EA!N16+1),O15)</f>
        <v>46315.001825396823</v>
      </c>
      <c r="O16" s="181">
        <f t="shared" si="9"/>
        <v>46315.214833814724</v>
      </c>
      <c r="P16" s="112">
        <f>VLOOKUP(A16,SHIPMENTS!$A$7:$AP$76,11,0)</f>
        <v>0.87</v>
      </c>
      <c r="Q16" s="156"/>
      <c r="R16" s="127" t="str">
        <f t="shared" si="3"/>
        <v/>
      </c>
      <c r="S16" s="127" t="str">
        <f t="shared" si="11"/>
        <v/>
      </c>
      <c r="T16" s="127" t="str">
        <f t="shared" si="11"/>
        <v>▲</v>
      </c>
      <c r="U16" s="127" t="str">
        <f t="shared" si="11"/>
        <v/>
      </c>
      <c r="V16" s="127" t="str">
        <f t="shared" si="11"/>
        <v/>
      </c>
      <c r="W16" s="127" t="str">
        <f t="shared" si="11"/>
        <v/>
      </c>
      <c r="X16" s="127" t="str">
        <f t="shared" si="11"/>
        <v/>
      </c>
      <c r="Y16" s="127" t="str">
        <f t="shared" si="11"/>
        <v/>
      </c>
      <c r="Z16" s="127" t="str">
        <f t="shared" si="11"/>
        <v/>
      </c>
      <c r="AA16" s="127" t="str">
        <f t="shared" si="11"/>
        <v/>
      </c>
      <c r="AB16" s="127" t="str">
        <f t="shared" si="11"/>
        <v/>
      </c>
      <c r="AC16" s="127" t="str">
        <f t="shared" si="11"/>
        <v/>
      </c>
      <c r="AD16" s="127" t="str">
        <f t="shared" si="11"/>
        <v/>
      </c>
      <c r="AE16" s="127" t="str">
        <f t="shared" si="11"/>
        <v/>
      </c>
      <c r="AF16" s="127" t="str">
        <f t="shared" si="11"/>
        <v/>
      </c>
      <c r="AG16" s="127" t="str">
        <f t="shared" si="11"/>
        <v/>
      </c>
      <c r="AH16" s="127" t="str">
        <f t="shared" si="11"/>
        <v/>
      </c>
      <c r="AI16" s="127" t="str">
        <f t="shared" si="11"/>
        <v/>
      </c>
      <c r="AJ16" s="127" t="str">
        <f t="shared" si="11"/>
        <v/>
      </c>
      <c r="AK16" s="127" t="str">
        <f t="shared" si="11"/>
        <v/>
      </c>
      <c r="AL16" s="127" t="str">
        <f t="shared" si="11"/>
        <v/>
      </c>
      <c r="AM16" s="127" t="str">
        <f t="shared" si="11"/>
        <v/>
      </c>
      <c r="AN16" s="127" t="str">
        <f t="shared" si="11"/>
        <v/>
      </c>
      <c r="AO16" s="127" t="str">
        <f t="shared" si="11"/>
        <v/>
      </c>
      <c r="AP16" s="127" t="str">
        <f t="shared" si="11"/>
        <v/>
      </c>
      <c r="AQ16" s="127" t="str">
        <f t="shared" si="11"/>
        <v/>
      </c>
      <c r="AR16" s="127" t="str">
        <f t="shared" si="11"/>
        <v/>
      </c>
      <c r="AS16" s="127" t="str">
        <f t="shared" si="11"/>
        <v/>
      </c>
      <c r="AT16" s="127" t="str">
        <f t="shared" si="11"/>
        <v/>
      </c>
      <c r="AU16" s="127" t="str">
        <f t="shared" si="11"/>
        <v/>
      </c>
      <c r="AV16" s="127" t="str">
        <f t="shared" si="11"/>
        <v/>
      </c>
      <c r="AW16" s="127" t="str">
        <f t="shared" si="11"/>
        <v/>
      </c>
      <c r="AX16" s="127" t="str">
        <f t="shared" si="11"/>
        <v/>
      </c>
      <c r="AY16" s="127" t="str">
        <f t="shared" si="11"/>
        <v/>
      </c>
      <c r="AZ16" s="127" t="str">
        <f t="shared" si="11"/>
        <v/>
      </c>
      <c r="BA16" s="127" t="str">
        <f t="shared" si="11"/>
        <v/>
      </c>
      <c r="BB16" s="127" t="str">
        <f t="shared" si="11"/>
        <v/>
      </c>
      <c r="BC16" s="127" t="str">
        <f t="shared" si="11"/>
        <v/>
      </c>
      <c r="BD16" s="127" t="str">
        <f t="shared" si="11"/>
        <v/>
      </c>
      <c r="BE16" s="127" t="str">
        <f t="shared" si="11"/>
        <v/>
      </c>
      <c r="BF16" s="127" t="str">
        <f t="shared" si="11"/>
        <v/>
      </c>
      <c r="BG16" s="127" t="str">
        <f t="shared" si="10"/>
        <v/>
      </c>
      <c r="BH16" s="127" t="str">
        <f t="shared" si="5"/>
        <v/>
      </c>
      <c r="BI16" s="127" t="str">
        <f t="shared" si="5"/>
        <v/>
      </c>
      <c r="BJ16" s="127" t="str">
        <f t="shared" si="5"/>
        <v/>
      </c>
      <c r="BK16" s="127" t="str">
        <f t="shared" si="5"/>
        <v/>
      </c>
      <c r="BL16" s="127" t="str">
        <f t="shared" si="5"/>
        <v/>
      </c>
      <c r="BM16" s="127" t="str">
        <f t="shared" si="5"/>
        <v/>
      </c>
      <c r="BN16" s="127" t="str">
        <f t="shared" si="5"/>
        <v/>
      </c>
      <c r="BO16" s="127" t="str">
        <f t="shared" si="5"/>
        <v/>
      </c>
      <c r="BP16" s="127" t="str">
        <f t="shared" si="5"/>
        <v/>
      </c>
      <c r="BQ16" s="127" t="str">
        <f t="shared" si="5"/>
        <v/>
      </c>
      <c r="BR16" s="127" t="str">
        <f t="shared" si="5"/>
        <v/>
      </c>
      <c r="BS16" s="127" t="str">
        <f t="shared" si="5"/>
        <v/>
      </c>
      <c r="BT16" s="127" t="str">
        <f t="shared" si="6"/>
        <v/>
      </c>
      <c r="BU16" s="127" t="str">
        <f t="shared" si="6"/>
        <v/>
      </c>
      <c r="BV16" s="127" t="str">
        <f t="shared" si="6"/>
        <v/>
      </c>
      <c r="BW16" s="127" t="str">
        <f t="shared" si="6"/>
        <v/>
      </c>
      <c r="BX16" s="127" t="str">
        <f t="shared" si="6"/>
        <v/>
      </c>
      <c r="BY16" s="127" t="str">
        <f t="shared" si="6"/>
        <v/>
      </c>
      <c r="BZ16" s="127" t="str">
        <f t="shared" si="6"/>
        <v/>
      </c>
      <c r="CA16" s="127" t="str">
        <f t="shared" si="6"/>
        <v/>
      </c>
      <c r="CB16" s="127" t="str">
        <f t="shared" si="6"/>
        <v/>
      </c>
      <c r="CC16" s="127" t="str">
        <f t="shared" si="6"/>
        <v/>
      </c>
      <c r="CD16" s="127" t="str">
        <f t="shared" si="6"/>
        <v/>
      </c>
      <c r="CE16" s="127" t="str">
        <f t="shared" si="6"/>
        <v/>
      </c>
    </row>
    <row r="17" spans="1:83" x14ac:dyDescent="0.2">
      <c r="A17" s="106">
        <f>SHIPMENTS!A23</f>
        <v>7919</v>
      </c>
      <c r="B17" s="106" t="str">
        <f>SHIPMENTS!B23</f>
        <v>8200-AUSTRALIA</v>
      </c>
      <c r="C17" s="132">
        <f>SHIPMENTS!F23</f>
        <v>0</v>
      </c>
      <c r="D17" s="107" t="str">
        <f>IF((SHIPMENTS!I23)=0,"",SHIPMENTS!I23)</f>
        <v/>
      </c>
      <c r="E17" s="176" t="str">
        <f>IF((SHIPMENTS!G23)=0,"",SHIPMENTS!G23)</f>
        <v/>
      </c>
      <c r="F17" s="109">
        <f>VLOOKUP(A17,Items!$A$5:$J$1000,3,0)</f>
        <v>1</v>
      </c>
      <c r="G17" s="98">
        <f>VLOOKUP(A17,load!$A$4:$U$5001,5,0)</f>
        <v>0.1305</v>
      </c>
      <c r="H17" s="97">
        <f>Manhours!$C$9</f>
        <v>9</v>
      </c>
      <c r="I17" s="98">
        <f t="shared" si="7"/>
        <v>81.899999999999991</v>
      </c>
      <c r="J17" s="99">
        <f t="shared" si="0"/>
        <v>1.5934065934065937E-3</v>
      </c>
      <c r="K17" s="99">
        <f t="shared" si="8"/>
        <v>1.4500000000000002E-2</v>
      </c>
      <c r="L17" s="98">
        <f t="shared" si="1"/>
        <v>0</v>
      </c>
      <c r="M17" s="98">
        <f t="shared" si="2"/>
        <v>0</v>
      </c>
      <c r="N17" s="181">
        <f>IF(G17&gt;0,(EA!N17+1),O16)</f>
        <v>46315.204136904758</v>
      </c>
      <c r="O17" s="181">
        <f t="shared" si="9"/>
        <v>46315.204136904758</v>
      </c>
      <c r="P17" s="112">
        <f>VLOOKUP(A17,SHIPMENTS!$A$7:$AP$76,11,0)</f>
        <v>1</v>
      </c>
      <c r="Q17" s="156"/>
      <c r="R17" s="127" t="str">
        <f t="shared" si="3"/>
        <v/>
      </c>
      <c r="S17" s="127" t="str">
        <f t="shared" si="11"/>
        <v/>
      </c>
      <c r="T17" s="127" t="str">
        <f t="shared" si="11"/>
        <v/>
      </c>
      <c r="U17" s="127" t="str">
        <f t="shared" si="11"/>
        <v/>
      </c>
      <c r="V17" s="127" t="str">
        <f t="shared" si="11"/>
        <v/>
      </c>
      <c r="W17" s="127" t="str">
        <f t="shared" si="11"/>
        <v/>
      </c>
      <c r="X17" s="127" t="str">
        <f t="shared" si="11"/>
        <v/>
      </c>
      <c r="Y17" s="127" t="str">
        <f t="shared" si="11"/>
        <v/>
      </c>
      <c r="Z17" s="127" t="str">
        <f t="shared" si="11"/>
        <v/>
      </c>
      <c r="AA17" s="127" t="str">
        <f t="shared" si="11"/>
        <v/>
      </c>
      <c r="AB17" s="127" t="str">
        <f t="shared" si="11"/>
        <v/>
      </c>
      <c r="AC17" s="127" t="str">
        <f t="shared" si="11"/>
        <v/>
      </c>
      <c r="AD17" s="127" t="str">
        <f t="shared" si="11"/>
        <v/>
      </c>
      <c r="AE17" s="127" t="str">
        <f t="shared" si="11"/>
        <v/>
      </c>
      <c r="AF17" s="127" t="str">
        <f t="shared" si="11"/>
        <v/>
      </c>
      <c r="AG17" s="127" t="str">
        <f t="shared" si="11"/>
        <v/>
      </c>
      <c r="AH17" s="127" t="str">
        <f t="shared" si="11"/>
        <v/>
      </c>
      <c r="AI17" s="127" t="str">
        <f t="shared" si="11"/>
        <v/>
      </c>
      <c r="AJ17" s="127" t="str">
        <f t="shared" si="11"/>
        <v/>
      </c>
      <c r="AK17" s="127" t="str">
        <f t="shared" si="11"/>
        <v/>
      </c>
      <c r="AL17" s="127" t="str">
        <f t="shared" si="11"/>
        <v/>
      </c>
      <c r="AM17" s="127" t="str">
        <f t="shared" si="11"/>
        <v/>
      </c>
      <c r="AN17" s="127" t="str">
        <f t="shared" si="11"/>
        <v/>
      </c>
      <c r="AO17" s="127" t="str">
        <f t="shared" si="11"/>
        <v/>
      </c>
      <c r="AP17" s="127" t="str">
        <f t="shared" si="11"/>
        <v/>
      </c>
      <c r="AQ17" s="127" t="str">
        <f t="shared" si="11"/>
        <v/>
      </c>
      <c r="AR17" s="127" t="str">
        <f t="shared" si="11"/>
        <v/>
      </c>
      <c r="AS17" s="127" t="str">
        <f t="shared" si="11"/>
        <v/>
      </c>
      <c r="AT17" s="127" t="str">
        <f t="shared" si="11"/>
        <v/>
      </c>
      <c r="AU17" s="127" t="str">
        <f t="shared" si="11"/>
        <v/>
      </c>
      <c r="AV17" s="127" t="str">
        <f t="shared" si="11"/>
        <v/>
      </c>
      <c r="AW17" s="127" t="str">
        <f t="shared" si="11"/>
        <v/>
      </c>
      <c r="AX17" s="127" t="str">
        <f t="shared" si="11"/>
        <v/>
      </c>
      <c r="AY17" s="127" t="str">
        <f t="shared" si="11"/>
        <v/>
      </c>
      <c r="AZ17" s="127" t="str">
        <f t="shared" si="11"/>
        <v/>
      </c>
      <c r="BA17" s="127" t="str">
        <f t="shared" si="11"/>
        <v/>
      </c>
      <c r="BB17" s="127" t="str">
        <f t="shared" si="11"/>
        <v/>
      </c>
      <c r="BC17" s="127" t="str">
        <f t="shared" si="11"/>
        <v/>
      </c>
      <c r="BD17" s="127" t="str">
        <f t="shared" si="11"/>
        <v/>
      </c>
      <c r="BE17" s="127" t="str">
        <f t="shared" si="11"/>
        <v/>
      </c>
      <c r="BF17" s="127" t="str">
        <f t="shared" si="11"/>
        <v/>
      </c>
      <c r="BG17" s="127" t="str">
        <f t="shared" si="10"/>
        <v/>
      </c>
      <c r="BH17" s="127" t="str">
        <f t="shared" si="5"/>
        <v/>
      </c>
      <c r="BI17" s="127" t="str">
        <f t="shared" si="5"/>
        <v/>
      </c>
      <c r="BJ17" s="127" t="str">
        <f t="shared" si="5"/>
        <v/>
      </c>
      <c r="BK17" s="127" t="str">
        <f t="shared" si="5"/>
        <v/>
      </c>
      <c r="BL17" s="127" t="str">
        <f t="shared" si="5"/>
        <v/>
      </c>
      <c r="BM17" s="127" t="str">
        <f t="shared" si="5"/>
        <v/>
      </c>
      <c r="BN17" s="127" t="str">
        <f t="shared" si="5"/>
        <v/>
      </c>
      <c r="BO17" s="127" t="str">
        <f t="shared" si="5"/>
        <v/>
      </c>
      <c r="BP17" s="127" t="str">
        <f t="shared" si="5"/>
        <v/>
      </c>
      <c r="BQ17" s="127" t="str">
        <f t="shared" si="5"/>
        <v/>
      </c>
      <c r="BR17" s="127" t="str">
        <f t="shared" si="5"/>
        <v/>
      </c>
      <c r="BS17" s="127" t="str">
        <f t="shared" si="5"/>
        <v/>
      </c>
      <c r="BT17" s="127" t="str">
        <f t="shared" si="6"/>
        <v/>
      </c>
      <c r="BU17" s="127" t="str">
        <f t="shared" si="6"/>
        <v/>
      </c>
      <c r="BV17" s="127" t="str">
        <f t="shared" si="6"/>
        <v/>
      </c>
      <c r="BW17" s="127" t="str">
        <f t="shared" si="6"/>
        <v/>
      </c>
      <c r="BX17" s="127" t="str">
        <f t="shared" si="6"/>
        <v/>
      </c>
      <c r="BY17" s="127" t="str">
        <f t="shared" si="6"/>
        <v/>
      </c>
      <c r="BZ17" s="127" t="str">
        <f t="shared" si="6"/>
        <v/>
      </c>
      <c r="CA17" s="127" t="str">
        <f t="shared" si="6"/>
        <v/>
      </c>
      <c r="CB17" s="127" t="str">
        <f t="shared" si="6"/>
        <v/>
      </c>
      <c r="CC17" s="127" t="str">
        <f t="shared" si="6"/>
        <v/>
      </c>
      <c r="CD17" s="127" t="str">
        <f t="shared" si="6"/>
        <v/>
      </c>
      <c r="CE17" s="127" t="str">
        <f t="shared" si="6"/>
        <v/>
      </c>
    </row>
    <row r="18" spans="1:83" ht="25.5" x14ac:dyDescent="0.2">
      <c r="A18" s="106">
        <f>SHIPMENTS!A24</f>
        <v>9015</v>
      </c>
      <c r="B18" s="106" t="str">
        <f>SHIPMENTS!B24</f>
        <v>15900- Mandaue City | Atty. Brando Raya</v>
      </c>
      <c r="C18" s="132">
        <f>SHIPMENTS!F24</f>
        <v>0.25600000000000001</v>
      </c>
      <c r="D18" s="107" t="str">
        <f>IF((SHIPMENTS!I24)=0,"",SHIPMENTS!I24)</f>
        <v>LCL</v>
      </c>
      <c r="E18" s="176">
        <f>IF((SHIPMENTS!G24)=0,"",SHIPMENTS!G24)</f>
        <v>46323</v>
      </c>
      <c r="F18" s="109">
        <f>VLOOKUP(A18,Items!$A$5:$J$1000,3,0)</f>
        <v>1</v>
      </c>
      <c r="G18" s="98">
        <f>VLOOKUP(A18,load!$A$4:$U$5001,5,0)</f>
        <v>0.96333333333333337</v>
      </c>
      <c r="H18" s="97">
        <f>Manhours!$C$9</f>
        <v>9</v>
      </c>
      <c r="I18" s="98">
        <f t="shared" si="7"/>
        <v>81.899999999999991</v>
      </c>
      <c r="J18" s="99">
        <f t="shared" si="0"/>
        <v>1.1762311762311763E-2</v>
      </c>
      <c r="K18" s="99">
        <f t="shared" si="8"/>
        <v>0.10703703703703704</v>
      </c>
      <c r="L18" s="98">
        <f t="shared" si="1"/>
        <v>0</v>
      </c>
      <c r="M18" s="98">
        <f t="shared" si="2"/>
        <v>0</v>
      </c>
      <c r="N18" s="181">
        <f>IF(G18&gt;0,(EA!N18+1),O17)</f>
        <v>46315.204136904758</v>
      </c>
      <c r="O18" s="181">
        <f t="shared" si="9"/>
        <v>46315.204136904758</v>
      </c>
      <c r="P18" s="112">
        <f>VLOOKUP(A18,SHIPMENTS!$A$7:$AP$76,11,0)</f>
        <v>1</v>
      </c>
      <c r="Q18" s="156"/>
      <c r="R18" s="127" t="str">
        <f t="shared" si="3"/>
        <v/>
      </c>
      <c r="S18" s="127" t="str">
        <f t="shared" si="11"/>
        <v/>
      </c>
      <c r="T18" s="127" t="str">
        <f t="shared" si="11"/>
        <v/>
      </c>
      <c r="U18" s="127" t="str">
        <f t="shared" si="11"/>
        <v/>
      </c>
      <c r="V18" s="127" t="str">
        <f t="shared" si="11"/>
        <v/>
      </c>
      <c r="W18" s="127" t="str">
        <f t="shared" si="11"/>
        <v/>
      </c>
      <c r="X18" s="127" t="str">
        <f t="shared" si="11"/>
        <v/>
      </c>
      <c r="Y18" s="127" t="str">
        <f t="shared" si="11"/>
        <v/>
      </c>
      <c r="Z18" s="127" t="str">
        <f t="shared" si="11"/>
        <v>▲</v>
      </c>
      <c r="AA18" s="127" t="str">
        <f t="shared" si="11"/>
        <v/>
      </c>
      <c r="AB18" s="127" t="str">
        <f t="shared" si="11"/>
        <v/>
      </c>
      <c r="AC18" s="127" t="str">
        <f t="shared" si="11"/>
        <v/>
      </c>
      <c r="AD18" s="127" t="str">
        <f t="shared" si="11"/>
        <v/>
      </c>
      <c r="AE18" s="127" t="str">
        <f t="shared" si="11"/>
        <v/>
      </c>
      <c r="AF18" s="127" t="str">
        <f t="shared" si="11"/>
        <v/>
      </c>
      <c r="AG18" s="127" t="str">
        <f t="shared" si="11"/>
        <v/>
      </c>
      <c r="AH18" s="127" t="str">
        <f t="shared" si="11"/>
        <v/>
      </c>
      <c r="AI18" s="127" t="str">
        <f t="shared" si="11"/>
        <v/>
      </c>
      <c r="AJ18" s="127" t="str">
        <f t="shared" si="11"/>
        <v/>
      </c>
      <c r="AK18" s="127" t="str">
        <f t="shared" si="11"/>
        <v/>
      </c>
      <c r="AL18" s="127" t="str">
        <f t="shared" si="11"/>
        <v/>
      </c>
      <c r="AM18" s="127" t="str">
        <f t="shared" si="11"/>
        <v/>
      </c>
      <c r="AN18" s="127" t="str">
        <f t="shared" si="11"/>
        <v/>
      </c>
      <c r="AO18" s="127" t="str">
        <f t="shared" si="11"/>
        <v/>
      </c>
      <c r="AP18" s="127" t="str">
        <f t="shared" si="11"/>
        <v/>
      </c>
      <c r="AQ18" s="127" t="str">
        <f t="shared" si="11"/>
        <v/>
      </c>
      <c r="AR18" s="127" t="str">
        <f t="shared" si="11"/>
        <v/>
      </c>
      <c r="AS18" s="127" t="str">
        <f t="shared" si="11"/>
        <v/>
      </c>
      <c r="AT18" s="127" t="str">
        <f t="shared" si="11"/>
        <v/>
      </c>
      <c r="AU18" s="127" t="str">
        <f t="shared" si="11"/>
        <v/>
      </c>
      <c r="AV18" s="127" t="str">
        <f t="shared" si="11"/>
        <v/>
      </c>
      <c r="AW18" s="127" t="str">
        <f t="shared" si="11"/>
        <v/>
      </c>
      <c r="AX18" s="127" t="str">
        <f t="shared" si="11"/>
        <v/>
      </c>
      <c r="AY18" s="127" t="str">
        <f t="shared" si="11"/>
        <v/>
      </c>
      <c r="AZ18" s="127" t="str">
        <f t="shared" si="11"/>
        <v/>
      </c>
      <c r="BA18" s="127" t="str">
        <f t="shared" si="11"/>
        <v/>
      </c>
      <c r="BB18" s="127" t="str">
        <f t="shared" si="11"/>
        <v/>
      </c>
      <c r="BC18" s="127" t="str">
        <f t="shared" si="11"/>
        <v/>
      </c>
      <c r="BD18" s="127" t="str">
        <f t="shared" si="11"/>
        <v/>
      </c>
      <c r="BE18" s="127" t="str">
        <f t="shared" si="11"/>
        <v/>
      </c>
      <c r="BF18" s="127" t="str">
        <f t="shared" si="11"/>
        <v/>
      </c>
      <c r="BG18" s="127" t="str">
        <f t="shared" si="10"/>
        <v/>
      </c>
      <c r="BH18" s="127" t="str">
        <f t="shared" si="5"/>
        <v/>
      </c>
      <c r="BI18" s="127" t="str">
        <f t="shared" si="5"/>
        <v/>
      </c>
      <c r="BJ18" s="127" t="str">
        <f t="shared" si="5"/>
        <v/>
      </c>
      <c r="BK18" s="127" t="str">
        <f t="shared" si="5"/>
        <v/>
      </c>
      <c r="BL18" s="127" t="str">
        <f t="shared" si="5"/>
        <v/>
      </c>
      <c r="BM18" s="127" t="str">
        <f t="shared" si="5"/>
        <v/>
      </c>
      <c r="BN18" s="127" t="str">
        <f t="shared" si="5"/>
        <v/>
      </c>
      <c r="BO18" s="127" t="str">
        <f t="shared" si="5"/>
        <v/>
      </c>
      <c r="BP18" s="127" t="str">
        <f t="shared" si="5"/>
        <v/>
      </c>
      <c r="BQ18" s="127" t="str">
        <f t="shared" si="5"/>
        <v/>
      </c>
      <c r="BR18" s="127" t="str">
        <f t="shared" si="5"/>
        <v/>
      </c>
      <c r="BS18" s="127" t="str">
        <f t="shared" si="5"/>
        <v/>
      </c>
      <c r="BT18" s="127" t="str">
        <f t="shared" si="6"/>
        <v/>
      </c>
      <c r="BU18" s="127" t="str">
        <f t="shared" si="6"/>
        <v/>
      </c>
      <c r="BV18" s="127" t="str">
        <f t="shared" si="6"/>
        <v/>
      </c>
      <c r="BW18" s="127" t="str">
        <f t="shared" si="6"/>
        <v/>
      </c>
      <c r="BX18" s="127" t="str">
        <f t="shared" si="6"/>
        <v/>
      </c>
      <c r="BY18" s="127" t="str">
        <f t="shared" si="6"/>
        <v/>
      </c>
      <c r="BZ18" s="127" t="str">
        <f t="shared" si="6"/>
        <v/>
      </c>
      <c r="CA18" s="127" t="str">
        <f t="shared" si="6"/>
        <v/>
      </c>
      <c r="CB18" s="127" t="str">
        <f t="shared" si="6"/>
        <v/>
      </c>
      <c r="CC18" s="127" t="str">
        <f t="shared" si="6"/>
        <v/>
      </c>
      <c r="CD18" s="127" t="str">
        <f t="shared" si="6"/>
        <v/>
      </c>
      <c r="CE18" s="127" t="str">
        <f t="shared" si="6"/>
        <v/>
      </c>
    </row>
    <row r="19" spans="1:83" ht="38.25" x14ac:dyDescent="0.2">
      <c r="A19" s="106">
        <f>SHIPMENTS!A25</f>
        <v>9063</v>
      </c>
      <c r="B19" s="106" t="str">
        <f>SHIPMENTS!B25</f>
        <v>15900- Borongan City | Kookie Lim Uy / 3K Salon And Spa</v>
      </c>
      <c r="C19" s="132">
        <f>SHIPMENTS!F25</f>
        <v>0.12</v>
      </c>
      <c r="D19" s="107" t="str">
        <f>IF((SHIPMENTS!I25)=0,"",SHIPMENTS!I25)</f>
        <v/>
      </c>
      <c r="E19" s="176">
        <f>IF((SHIPMENTS!G25)=0,"",SHIPMENTS!G25)</f>
        <v>46323</v>
      </c>
      <c r="F19" s="109">
        <f>VLOOKUP(A19,Items!$A$5:$J$1000,3,0)</f>
        <v>1</v>
      </c>
      <c r="G19" s="98">
        <f>VLOOKUP(A19,load!$A$4:$U$5001,5,0)</f>
        <v>0.47400000000000003</v>
      </c>
      <c r="H19" s="97">
        <f>Manhours!$C$9</f>
        <v>9</v>
      </c>
      <c r="I19" s="98">
        <f t="shared" si="7"/>
        <v>81.899999999999991</v>
      </c>
      <c r="J19" s="99">
        <f t="shared" ref="J19:J27" si="12">G19/I19</f>
        <v>5.7875457875457888E-3</v>
      </c>
      <c r="K19" s="99">
        <f t="shared" si="8"/>
        <v>5.2666666666666674E-2</v>
      </c>
      <c r="L19" s="98">
        <f t="shared" si="1"/>
        <v>0</v>
      </c>
      <c r="M19" s="98">
        <f t="shared" si="2"/>
        <v>0</v>
      </c>
      <c r="N19" s="181">
        <f>IF(G19&gt;0,(EA!N19+1),O18)</f>
        <v>46315.204136904758</v>
      </c>
      <c r="O19" s="181">
        <f t="shared" si="9"/>
        <v>46315.204136904758</v>
      </c>
      <c r="P19" s="112">
        <f>VLOOKUP(A19,SHIPMENTS!$A$7:$AP$76,11,0)</f>
        <v>1</v>
      </c>
      <c r="Q19" s="156"/>
      <c r="R19" s="127" t="str">
        <f t="shared" si="3"/>
        <v/>
      </c>
      <c r="S19" s="127" t="str">
        <f t="shared" si="11"/>
        <v/>
      </c>
      <c r="T19" s="127" t="str">
        <f t="shared" si="11"/>
        <v/>
      </c>
      <c r="U19" s="127" t="str">
        <f t="shared" si="11"/>
        <v/>
      </c>
      <c r="V19" s="127" t="str">
        <f t="shared" si="11"/>
        <v/>
      </c>
      <c r="W19" s="127" t="str">
        <f t="shared" si="11"/>
        <v/>
      </c>
      <c r="X19" s="127" t="str">
        <f t="shared" si="11"/>
        <v/>
      </c>
      <c r="Y19" s="127" t="str">
        <f t="shared" si="11"/>
        <v/>
      </c>
      <c r="Z19" s="127" t="str">
        <f t="shared" si="11"/>
        <v>▲</v>
      </c>
      <c r="AA19" s="127" t="str">
        <f t="shared" si="11"/>
        <v/>
      </c>
      <c r="AB19" s="127" t="str">
        <f t="shared" si="11"/>
        <v/>
      </c>
      <c r="AC19" s="127" t="str">
        <f t="shared" si="11"/>
        <v/>
      </c>
      <c r="AD19" s="127" t="str">
        <f t="shared" si="11"/>
        <v/>
      </c>
      <c r="AE19" s="127" t="str">
        <f t="shared" si="11"/>
        <v/>
      </c>
      <c r="AF19" s="127" t="str">
        <f t="shared" si="11"/>
        <v/>
      </c>
      <c r="AG19" s="127" t="str">
        <f t="shared" si="11"/>
        <v/>
      </c>
      <c r="AH19" s="127" t="str">
        <f t="shared" si="11"/>
        <v/>
      </c>
      <c r="AI19" s="127" t="str">
        <f t="shared" si="11"/>
        <v/>
      </c>
      <c r="AJ19" s="127" t="str">
        <f t="shared" si="11"/>
        <v/>
      </c>
      <c r="AK19" s="127" t="str">
        <f t="shared" si="11"/>
        <v/>
      </c>
      <c r="AL19" s="127" t="str">
        <f t="shared" si="11"/>
        <v/>
      </c>
      <c r="AM19" s="127" t="str">
        <f t="shared" si="11"/>
        <v/>
      </c>
      <c r="AN19" s="127" t="str">
        <f t="shared" si="11"/>
        <v/>
      </c>
      <c r="AO19" s="127" t="str">
        <f t="shared" si="11"/>
        <v/>
      </c>
      <c r="AP19" s="127" t="str">
        <f t="shared" si="11"/>
        <v/>
      </c>
      <c r="AQ19" s="127" t="str">
        <f t="shared" si="11"/>
        <v/>
      </c>
      <c r="AR19" s="127" t="str">
        <f t="shared" si="11"/>
        <v/>
      </c>
      <c r="AS19" s="127" t="str">
        <f t="shared" si="11"/>
        <v/>
      </c>
      <c r="AT19" s="127" t="str">
        <f t="shared" si="11"/>
        <v/>
      </c>
      <c r="AU19" s="127" t="str">
        <f t="shared" si="11"/>
        <v/>
      </c>
      <c r="AV19" s="127" t="str">
        <f t="shared" si="11"/>
        <v/>
      </c>
      <c r="AW19" s="127" t="str">
        <f t="shared" si="11"/>
        <v/>
      </c>
      <c r="AX19" s="127" t="str">
        <f t="shared" si="11"/>
        <v/>
      </c>
      <c r="AY19" s="127" t="str">
        <f t="shared" si="11"/>
        <v/>
      </c>
      <c r="AZ19" s="127" t="str">
        <f t="shared" si="11"/>
        <v/>
      </c>
      <c r="BA19" s="127" t="str">
        <f t="shared" si="11"/>
        <v/>
      </c>
      <c r="BB19" s="127" t="str">
        <f t="shared" si="11"/>
        <v/>
      </c>
      <c r="BC19" s="127" t="str">
        <f t="shared" si="11"/>
        <v/>
      </c>
      <c r="BD19" s="127" t="str">
        <f t="shared" si="11"/>
        <v/>
      </c>
      <c r="BE19" s="127" t="str">
        <f t="shared" si="11"/>
        <v/>
      </c>
      <c r="BF19" s="127" t="str">
        <f t="shared" si="11"/>
        <v/>
      </c>
      <c r="BG19" s="127" t="str">
        <f t="shared" si="10"/>
        <v/>
      </c>
      <c r="BH19" s="127" t="str">
        <f t="shared" si="5"/>
        <v/>
      </c>
      <c r="BI19" s="127" t="str">
        <f t="shared" si="5"/>
        <v/>
      </c>
      <c r="BJ19" s="127" t="str">
        <f t="shared" si="5"/>
        <v/>
      </c>
      <c r="BK19" s="127" t="str">
        <f t="shared" si="5"/>
        <v/>
      </c>
      <c r="BL19" s="127" t="str">
        <f t="shared" si="5"/>
        <v/>
      </c>
      <c r="BM19" s="127" t="str">
        <f t="shared" si="5"/>
        <v/>
      </c>
      <c r="BN19" s="127" t="str">
        <f t="shared" si="5"/>
        <v/>
      </c>
      <c r="BO19" s="127" t="str">
        <f t="shared" si="5"/>
        <v/>
      </c>
      <c r="BP19" s="127" t="str">
        <f t="shared" si="5"/>
        <v/>
      </c>
      <c r="BQ19" s="127" t="str">
        <f t="shared" si="5"/>
        <v/>
      </c>
      <c r="BR19" s="127" t="str">
        <f t="shared" si="5"/>
        <v/>
      </c>
      <c r="BS19" s="127" t="str">
        <f t="shared" si="5"/>
        <v/>
      </c>
      <c r="BT19" s="127" t="str">
        <f t="shared" si="6"/>
        <v/>
      </c>
      <c r="BU19" s="127" t="str">
        <f t="shared" si="6"/>
        <v/>
      </c>
      <c r="BV19" s="127" t="str">
        <f t="shared" si="6"/>
        <v/>
      </c>
      <c r="BW19" s="127" t="str">
        <f t="shared" si="6"/>
        <v/>
      </c>
      <c r="BX19" s="127" t="str">
        <f t="shared" si="6"/>
        <v/>
      </c>
      <c r="BY19" s="127" t="str">
        <f t="shared" si="6"/>
        <v/>
      </c>
      <c r="BZ19" s="127" t="str">
        <f t="shared" si="6"/>
        <v/>
      </c>
      <c r="CA19" s="127" t="str">
        <f t="shared" si="6"/>
        <v/>
      </c>
      <c r="CB19" s="127" t="str">
        <f t="shared" si="6"/>
        <v/>
      </c>
      <c r="CC19" s="127" t="str">
        <f t="shared" si="6"/>
        <v/>
      </c>
      <c r="CD19" s="127" t="str">
        <f t="shared" si="6"/>
        <v/>
      </c>
      <c r="CE19" s="127" t="str">
        <f t="shared" si="6"/>
        <v/>
      </c>
    </row>
    <row r="20" spans="1:83" ht="38.25" x14ac:dyDescent="0.2">
      <c r="A20" s="106">
        <f>SHIPMENTS!A26</f>
        <v>9131</v>
      </c>
      <c r="B20" s="106" t="str">
        <f>SHIPMENTS!B26</f>
        <v>15900- Cagayan De Oro |Kevin Anthony Pilapil Lagumbay</v>
      </c>
      <c r="C20" s="132">
        <f>SHIPMENTS!F26</f>
        <v>0.12</v>
      </c>
      <c r="D20" s="107" t="str">
        <f>IF((SHIPMENTS!I26)=0,"",SHIPMENTS!I26)</f>
        <v/>
      </c>
      <c r="E20" s="176">
        <f>IF((SHIPMENTS!G26)=0,"",SHIPMENTS!G26)</f>
        <v>46323</v>
      </c>
      <c r="F20" s="109">
        <f>VLOOKUP(A20,Items!$A$5:$J$1000,3,0)</f>
        <v>1</v>
      </c>
      <c r="G20" s="98">
        <f>VLOOKUP(A20,load!$A$4:$U$5001,5,0)</f>
        <v>0.47499999999999998</v>
      </c>
      <c r="H20" s="97">
        <f>Manhours!$C$9</f>
        <v>9</v>
      </c>
      <c r="I20" s="98">
        <f t="shared" si="7"/>
        <v>81.899999999999991</v>
      </c>
      <c r="J20" s="99">
        <f t="shared" si="12"/>
        <v>5.7997557997558E-3</v>
      </c>
      <c r="K20" s="99">
        <f t="shared" si="8"/>
        <v>5.2777777777777778E-2</v>
      </c>
      <c r="L20" s="98">
        <f t="shared" ref="L20:L27" si="13">IFERROR(J20-(J20*P20),0)</f>
        <v>0</v>
      </c>
      <c r="M20" s="98">
        <f t="shared" ref="M20:M27" si="14">IFERROR(K20-(K20*P20),0)</f>
        <v>0</v>
      </c>
      <c r="N20" s="181">
        <f>IF(G20&gt;0,(EA!N20+1),O19)</f>
        <v>46315.204136904758</v>
      </c>
      <c r="O20" s="181">
        <f t="shared" si="9"/>
        <v>46315.204136904758</v>
      </c>
      <c r="P20" s="112">
        <f>VLOOKUP(A20,SHIPMENTS!$A$7:$AP$76,11,0)</f>
        <v>1</v>
      </c>
      <c r="Q20" s="156"/>
      <c r="R20" s="127" t="str">
        <f t="shared" si="3"/>
        <v/>
      </c>
      <c r="S20" s="127" t="str">
        <f t="shared" si="11"/>
        <v/>
      </c>
      <c r="T20" s="127" t="str">
        <f t="shared" si="11"/>
        <v/>
      </c>
      <c r="U20" s="127" t="str">
        <f t="shared" si="11"/>
        <v/>
      </c>
      <c r="V20" s="127" t="str">
        <f t="shared" si="11"/>
        <v/>
      </c>
      <c r="W20" s="127" t="str">
        <f t="shared" si="11"/>
        <v/>
      </c>
      <c r="X20" s="127" t="str">
        <f t="shared" si="11"/>
        <v/>
      </c>
      <c r="Y20" s="127" t="str">
        <f t="shared" si="11"/>
        <v/>
      </c>
      <c r="Z20" s="127" t="str">
        <f t="shared" si="11"/>
        <v>▲</v>
      </c>
      <c r="AA20" s="127" t="str">
        <f t="shared" si="11"/>
        <v/>
      </c>
      <c r="AB20" s="127" t="str">
        <f t="shared" si="11"/>
        <v/>
      </c>
      <c r="AC20" s="127" t="str">
        <f t="shared" si="11"/>
        <v/>
      </c>
      <c r="AD20" s="127" t="str">
        <f t="shared" si="11"/>
        <v/>
      </c>
      <c r="AE20" s="127" t="str">
        <f t="shared" si="11"/>
        <v/>
      </c>
      <c r="AF20" s="127" t="str">
        <f t="shared" si="11"/>
        <v/>
      </c>
      <c r="AG20" s="127" t="str">
        <f t="shared" si="11"/>
        <v/>
      </c>
      <c r="AH20" s="127" t="str">
        <f t="shared" si="11"/>
        <v/>
      </c>
      <c r="AI20" s="127" t="str">
        <f t="shared" si="11"/>
        <v/>
      </c>
      <c r="AJ20" s="127" t="str">
        <f t="shared" si="11"/>
        <v/>
      </c>
      <c r="AK20" s="127" t="str">
        <f t="shared" si="11"/>
        <v/>
      </c>
      <c r="AL20" s="127" t="str">
        <f t="shared" si="11"/>
        <v/>
      </c>
      <c r="AM20" s="127" t="str">
        <f t="shared" si="11"/>
        <v/>
      </c>
      <c r="AN20" s="127" t="str">
        <f t="shared" si="11"/>
        <v/>
      </c>
      <c r="AO20" s="127" t="str">
        <f t="shared" si="11"/>
        <v/>
      </c>
      <c r="AP20" s="127" t="str">
        <f t="shared" si="11"/>
        <v/>
      </c>
      <c r="AQ20" s="127" t="str">
        <f t="shared" si="11"/>
        <v/>
      </c>
      <c r="AR20" s="127" t="str">
        <f t="shared" si="11"/>
        <v/>
      </c>
      <c r="AS20" s="127" t="str">
        <f t="shared" si="11"/>
        <v/>
      </c>
      <c r="AT20" s="127" t="str">
        <f t="shared" si="11"/>
        <v/>
      </c>
      <c r="AU20" s="127" t="str">
        <f t="shared" si="11"/>
        <v/>
      </c>
      <c r="AV20" s="127" t="str">
        <f t="shared" si="11"/>
        <v/>
      </c>
      <c r="AW20" s="127" t="str">
        <f t="shared" si="11"/>
        <v/>
      </c>
      <c r="AX20" s="127" t="str">
        <f t="shared" si="11"/>
        <v/>
      </c>
      <c r="AY20" s="127" t="str">
        <f t="shared" si="11"/>
        <v/>
      </c>
      <c r="AZ20" s="127" t="str">
        <f t="shared" si="11"/>
        <v/>
      </c>
      <c r="BA20" s="127" t="str">
        <f t="shared" si="11"/>
        <v/>
      </c>
      <c r="BB20" s="127" t="str">
        <f t="shared" si="11"/>
        <v/>
      </c>
      <c r="BC20" s="127" t="str">
        <f t="shared" si="11"/>
        <v/>
      </c>
      <c r="BD20" s="127" t="str">
        <f t="shared" si="11"/>
        <v/>
      </c>
      <c r="BE20" s="127" t="str">
        <f t="shared" si="11"/>
        <v/>
      </c>
      <c r="BF20" s="127" t="str">
        <f t="shared" si="11"/>
        <v/>
      </c>
      <c r="BG20" s="127" t="str">
        <f t="shared" si="10"/>
        <v/>
      </c>
      <c r="BH20" s="127" t="str">
        <f t="shared" si="5"/>
        <v/>
      </c>
      <c r="BI20" s="127" t="str">
        <f t="shared" si="5"/>
        <v/>
      </c>
      <c r="BJ20" s="127" t="str">
        <f t="shared" si="5"/>
        <v/>
      </c>
      <c r="BK20" s="127" t="str">
        <f t="shared" si="5"/>
        <v/>
      </c>
      <c r="BL20" s="127" t="str">
        <f t="shared" si="5"/>
        <v/>
      </c>
      <c r="BM20" s="127" t="str">
        <f t="shared" si="5"/>
        <v/>
      </c>
      <c r="BN20" s="127" t="str">
        <f t="shared" si="5"/>
        <v/>
      </c>
      <c r="BO20" s="127" t="str">
        <f t="shared" si="5"/>
        <v/>
      </c>
      <c r="BP20" s="127" t="str">
        <f t="shared" si="5"/>
        <v/>
      </c>
      <c r="BQ20" s="127" t="str">
        <f t="shared" si="5"/>
        <v/>
      </c>
      <c r="BR20" s="127" t="str">
        <f t="shared" si="5"/>
        <v/>
      </c>
      <c r="BS20" s="127" t="str">
        <f t="shared" si="5"/>
        <v/>
      </c>
      <c r="BT20" s="127" t="str">
        <f t="shared" si="6"/>
        <v/>
      </c>
      <c r="BU20" s="127" t="str">
        <f t="shared" si="6"/>
        <v/>
      </c>
      <c r="BV20" s="127" t="str">
        <f t="shared" si="6"/>
        <v/>
      </c>
      <c r="BW20" s="127" t="str">
        <f t="shared" si="6"/>
        <v/>
      </c>
      <c r="BX20" s="127" t="str">
        <f t="shared" si="6"/>
        <v/>
      </c>
      <c r="BY20" s="127" t="str">
        <f t="shared" si="6"/>
        <v/>
      </c>
      <c r="BZ20" s="127" t="str">
        <f t="shared" si="6"/>
        <v/>
      </c>
      <c r="CA20" s="127" t="str">
        <f t="shared" si="6"/>
        <v/>
      </c>
      <c r="CB20" s="127" t="str">
        <f t="shared" si="6"/>
        <v/>
      </c>
      <c r="CC20" s="127" t="str">
        <f t="shared" si="6"/>
        <v/>
      </c>
      <c r="CD20" s="127" t="str">
        <f t="shared" si="6"/>
        <v/>
      </c>
      <c r="CE20" s="127" t="str">
        <f t="shared" si="6"/>
        <v/>
      </c>
    </row>
    <row r="21" spans="1:83" ht="25.5" x14ac:dyDescent="0.2">
      <c r="A21" s="106">
        <f>SHIPMENTS!A27</f>
        <v>9228</v>
      </c>
      <c r="B21" s="106" t="str">
        <f>SHIPMENTS!B27</f>
        <v>15900- Cebu City |Stephanie Sarmiento</v>
      </c>
      <c r="C21" s="132">
        <f>SHIPMENTS!F27</f>
        <v>0.16</v>
      </c>
      <c r="D21" s="107" t="str">
        <f>IF((SHIPMENTS!I27)=0,"",SHIPMENTS!I27)</f>
        <v/>
      </c>
      <c r="E21" s="176">
        <f>IF((SHIPMENTS!G27)=0,"",SHIPMENTS!G27)</f>
        <v>46323</v>
      </c>
      <c r="F21" s="109">
        <f>VLOOKUP(A21,Items!$A$5:$J$1000,3,0)</f>
        <v>1</v>
      </c>
      <c r="G21" s="98">
        <f>VLOOKUP(A21,load!$A$4:$U$5001,5,0)</f>
        <v>0.49114999999999998</v>
      </c>
      <c r="H21" s="97">
        <f>Manhours!$C$9</f>
        <v>9</v>
      </c>
      <c r="I21" s="98">
        <f t="shared" si="7"/>
        <v>81.899999999999991</v>
      </c>
      <c r="J21" s="99">
        <f t="shared" si="12"/>
        <v>5.9969474969474969E-3</v>
      </c>
      <c r="K21" s="99">
        <f t="shared" si="8"/>
        <v>5.4572222222222216E-2</v>
      </c>
      <c r="L21" s="98">
        <f t="shared" si="13"/>
        <v>0</v>
      </c>
      <c r="M21" s="98">
        <f t="shared" si="14"/>
        <v>0</v>
      </c>
      <c r="N21" s="181">
        <f>IF(G21&gt;0,(EA!N21+1),O20)</f>
        <v>46315.204136904758</v>
      </c>
      <c r="O21" s="181">
        <f t="shared" si="9"/>
        <v>46315.204136904758</v>
      </c>
      <c r="P21" s="112">
        <f>VLOOKUP(A21,SHIPMENTS!$A$7:$AP$76,11,0)</f>
        <v>1</v>
      </c>
      <c r="Q21" s="156"/>
      <c r="R21" s="127" t="str">
        <f t="shared" si="3"/>
        <v/>
      </c>
      <c r="S21" s="127" t="str">
        <f t="shared" si="11"/>
        <v/>
      </c>
      <c r="T21" s="127" t="str">
        <f t="shared" si="11"/>
        <v/>
      </c>
      <c r="U21" s="127" t="str">
        <f t="shared" si="11"/>
        <v/>
      </c>
      <c r="V21" s="127" t="str">
        <f t="shared" si="11"/>
        <v/>
      </c>
      <c r="W21" s="127" t="str">
        <f t="shared" si="11"/>
        <v/>
      </c>
      <c r="X21" s="127" t="str">
        <f t="shared" si="11"/>
        <v/>
      </c>
      <c r="Y21" s="127" t="str">
        <f t="shared" si="11"/>
        <v/>
      </c>
      <c r="Z21" s="127" t="str">
        <f t="shared" si="11"/>
        <v>▲</v>
      </c>
      <c r="AA21" s="127" t="str">
        <f t="shared" si="11"/>
        <v/>
      </c>
      <c r="AB21" s="127" t="str">
        <f t="shared" si="11"/>
        <v/>
      </c>
      <c r="AC21" s="127" t="str">
        <f t="shared" si="11"/>
        <v/>
      </c>
      <c r="AD21" s="127" t="str">
        <f t="shared" si="11"/>
        <v/>
      </c>
      <c r="AE21" s="127" t="str">
        <f t="shared" si="11"/>
        <v/>
      </c>
      <c r="AF21" s="127" t="str">
        <f t="shared" si="11"/>
        <v/>
      </c>
      <c r="AG21" s="127" t="str">
        <f t="shared" si="11"/>
        <v/>
      </c>
      <c r="AH21" s="127" t="str">
        <f t="shared" ref="AH21:BH36" si="15">IF($E21=AH$3,"▲","")</f>
        <v/>
      </c>
      <c r="AI21" s="127" t="str">
        <f t="shared" si="15"/>
        <v/>
      </c>
      <c r="AJ21" s="127" t="str">
        <f t="shared" si="15"/>
        <v/>
      </c>
      <c r="AK21" s="127" t="str">
        <f t="shared" si="15"/>
        <v/>
      </c>
      <c r="AL21" s="127" t="str">
        <f t="shared" si="15"/>
        <v/>
      </c>
      <c r="AM21" s="127" t="str">
        <f t="shared" si="15"/>
        <v/>
      </c>
      <c r="AN21" s="127" t="str">
        <f t="shared" si="15"/>
        <v/>
      </c>
      <c r="AO21" s="127" t="str">
        <f t="shared" si="15"/>
        <v/>
      </c>
      <c r="AP21" s="127" t="str">
        <f t="shared" si="15"/>
        <v/>
      </c>
      <c r="AQ21" s="127" t="str">
        <f t="shared" si="15"/>
        <v/>
      </c>
      <c r="AR21" s="127" t="str">
        <f t="shared" si="15"/>
        <v/>
      </c>
      <c r="AS21" s="127" t="str">
        <f t="shared" si="15"/>
        <v/>
      </c>
      <c r="AT21" s="127" t="str">
        <f t="shared" si="15"/>
        <v/>
      </c>
      <c r="AU21" s="127" t="str">
        <f t="shared" si="15"/>
        <v/>
      </c>
      <c r="AV21" s="127" t="str">
        <f t="shared" si="15"/>
        <v/>
      </c>
      <c r="AW21" s="127" t="str">
        <f t="shared" si="15"/>
        <v/>
      </c>
      <c r="AX21" s="127" t="str">
        <f t="shared" si="15"/>
        <v/>
      </c>
      <c r="AY21" s="127" t="str">
        <f t="shared" si="15"/>
        <v/>
      </c>
      <c r="AZ21" s="127" t="str">
        <f t="shared" si="15"/>
        <v/>
      </c>
      <c r="BA21" s="127" t="str">
        <f t="shared" si="15"/>
        <v/>
      </c>
      <c r="BB21" s="127" t="str">
        <f t="shared" si="15"/>
        <v/>
      </c>
      <c r="BC21" s="127" t="str">
        <f t="shared" si="15"/>
        <v/>
      </c>
      <c r="BD21" s="127" t="str">
        <f t="shared" si="15"/>
        <v/>
      </c>
      <c r="BE21" s="127" t="str">
        <f t="shared" si="15"/>
        <v/>
      </c>
      <c r="BF21" s="127" t="str">
        <f t="shared" si="15"/>
        <v/>
      </c>
      <c r="BG21" s="127" t="str">
        <f t="shared" si="15"/>
        <v/>
      </c>
      <c r="BH21" s="127" t="str">
        <f t="shared" si="15"/>
        <v/>
      </c>
      <c r="BI21" s="127" t="str">
        <f t="shared" si="5"/>
        <v/>
      </c>
      <c r="BJ21" s="127" t="str">
        <f t="shared" si="5"/>
        <v/>
      </c>
      <c r="BK21" s="127" t="str">
        <f t="shared" si="5"/>
        <v/>
      </c>
      <c r="BL21" s="127" t="str">
        <f t="shared" si="5"/>
        <v/>
      </c>
      <c r="BM21" s="127" t="str">
        <f t="shared" si="5"/>
        <v/>
      </c>
      <c r="BN21" s="127" t="str">
        <f t="shared" si="5"/>
        <v/>
      </c>
      <c r="BO21" s="127" t="str">
        <f t="shared" si="5"/>
        <v/>
      </c>
      <c r="BP21" s="127" t="str">
        <f t="shared" si="5"/>
        <v/>
      </c>
      <c r="BQ21" s="127" t="str">
        <f t="shared" si="5"/>
        <v/>
      </c>
      <c r="BR21" s="127" t="str">
        <f t="shared" si="5"/>
        <v/>
      </c>
      <c r="BS21" s="127" t="str">
        <f t="shared" si="5"/>
        <v/>
      </c>
      <c r="BT21" s="127" t="str">
        <f t="shared" si="6"/>
        <v/>
      </c>
      <c r="BU21" s="127" t="str">
        <f t="shared" si="6"/>
        <v/>
      </c>
      <c r="BV21" s="127" t="str">
        <f t="shared" si="6"/>
        <v/>
      </c>
      <c r="BW21" s="127" t="str">
        <f t="shared" si="6"/>
        <v/>
      </c>
      <c r="BX21" s="127" t="str">
        <f t="shared" si="6"/>
        <v/>
      </c>
      <c r="BY21" s="127" t="str">
        <f t="shared" si="6"/>
        <v/>
      </c>
      <c r="BZ21" s="127" t="str">
        <f t="shared" si="6"/>
        <v/>
      </c>
      <c r="CA21" s="127" t="str">
        <f t="shared" si="6"/>
        <v/>
      </c>
      <c r="CB21" s="127" t="str">
        <f t="shared" si="6"/>
        <v/>
      </c>
      <c r="CC21" s="127" t="str">
        <f t="shared" si="6"/>
        <v/>
      </c>
      <c r="CD21" s="127" t="str">
        <f t="shared" si="6"/>
        <v/>
      </c>
      <c r="CE21" s="127" t="str">
        <f t="shared" si="6"/>
        <v/>
      </c>
    </row>
    <row r="22" spans="1:83" x14ac:dyDescent="0.2">
      <c r="A22" s="106">
        <f>SHIPMENTS!A28</f>
        <v>9279</v>
      </c>
      <c r="B22" s="106" t="str">
        <f>SHIPMENTS!B28</f>
        <v>15900- Iloilo |Rocky Go</v>
      </c>
      <c r="C22" s="132">
        <f>SHIPMENTS!F28</f>
        <v>0.34820000000000001</v>
      </c>
      <c r="D22" s="107" t="str">
        <f>IF((SHIPMENTS!I28)=0,"",SHIPMENTS!I28)</f>
        <v/>
      </c>
      <c r="E22" s="176">
        <f>IF((SHIPMENTS!G28)=0,"",SHIPMENTS!G28)</f>
        <v>46323</v>
      </c>
      <c r="F22" s="109">
        <f>VLOOKUP(A22,Items!$A$5:$J$1000,3,0)</f>
        <v>1</v>
      </c>
      <c r="G22" s="98">
        <f>VLOOKUP(A22,load!$A$4:$U$5001,5,0)</f>
        <v>0.45833333333333331</v>
      </c>
      <c r="H22" s="97">
        <f>Manhours!$C$9</f>
        <v>9</v>
      </c>
      <c r="I22" s="98">
        <f t="shared" si="7"/>
        <v>81.899999999999991</v>
      </c>
      <c r="J22" s="99">
        <f t="shared" si="12"/>
        <v>5.5962555962555966E-3</v>
      </c>
      <c r="K22" s="99">
        <f t="shared" si="8"/>
        <v>5.092592592592593E-2</v>
      </c>
      <c r="L22" s="98">
        <f t="shared" si="13"/>
        <v>5.5962555962555966E-3</v>
      </c>
      <c r="M22" s="98">
        <f t="shared" si="14"/>
        <v>5.092592592592593E-2</v>
      </c>
      <c r="N22" s="181">
        <f>IF(G22&gt;0,(EA!N22+1),O21)</f>
        <v>46315.204136904758</v>
      </c>
      <c r="O22" s="181">
        <f t="shared" si="9"/>
        <v>46315.209733160358</v>
      </c>
      <c r="P22" s="112">
        <f>VLOOKUP(A22,SHIPMENTS!$A$7:$AP$76,11,0)</f>
        <v>0</v>
      </c>
      <c r="Q22" s="156"/>
      <c r="R22" s="127" t="str">
        <f t="shared" si="3"/>
        <v/>
      </c>
      <c r="S22" s="127" t="str">
        <f t="shared" ref="S22:BF28" si="16">IF($E22=S$3,"▲","")</f>
        <v/>
      </c>
      <c r="T22" s="127" t="str">
        <f t="shared" si="16"/>
        <v/>
      </c>
      <c r="U22" s="127" t="str">
        <f t="shared" si="16"/>
        <v/>
      </c>
      <c r="V22" s="127" t="str">
        <f t="shared" si="16"/>
        <v/>
      </c>
      <c r="W22" s="127" t="str">
        <f t="shared" si="16"/>
        <v/>
      </c>
      <c r="X22" s="127" t="str">
        <f t="shared" si="16"/>
        <v/>
      </c>
      <c r="Y22" s="127" t="str">
        <f t="shared" si="16"/>
        <v/>
      </c>
      <c r="Z22" s="127" t="str">
        <f t="shared" si="16"/>
        <v>▲</v>
      </c>
      <c r="AA22" s="127" t="str">
        <f t="shared" si="16"/>
        <v/>
      </c>
      <c r="AB22" s="127" t="str">
        <f t="shared" si="16"/>
        <v/>
      </c>
      <c r="AC22" s="127" t="str">
        <f t="shared" si="16"/>
        <v/>
      </c>
      <c r="AD22" s="127" t="str">
        <f t="shared" si="16"/>
        <v/>
      </c>
      <c r="AE22" s="127" t="str">
        <f t="shared" si="16"/>
        <v/>
      </c>
      <c r="AF22" s="127" t="str">
        <f t="shared" si="16"/>
        <v/>
      </c>
      <c r="AG22" s="127" t="str">
        <f t="shared" si="16"/>
        <v/>
      </c>
      <c r="AH22" s="127" t="str">
        <f t="shared" si="16"/>
        <v/>
      </c>
      <c r="AI22" s="127" t="str">
        <f t="shared" si="16"/>
        <v/>
      </c>
      <c r="AJ22" s="127" t="str">
        <f t="shared" si="16"/>
        <v/>
      </c>
      <c r="AK22" s="127" t="str">
        <f t="shared" si="16"/>
        <v/>
      </c>
      <c r="AL22" s="127" t="str">
        <f t="shared" si="16"/>
        <v/>
      </c>
      <c r="AM22" s="127" t="str">
        <f t="shared" si="16"/>
        <v/>
      </c>
      <c r="AN22" s="127" t="str">
        <f t="shared" si="16"/>
        <v/>
      </c>
      <c r="AO22" s="127" t="str">
        <f t="shared" si="16"/>
        <v/>
      </c>
      <c r="AP22" s="127" t="str">
        <f t="shared" si="16"/>
        <v/>
      </c>
      <c r="AQ22" s="127" t="str">
        <f t="shared" si="16"/>
        <v/>
      </c>
      <c r="AR22" s="127" t="str">
        <f t="shared" si="16"/>
        <v/>
      </c>
      <c r="AS22" s="127" t="str">
        <f t="shared" si="16"/>
        <v/>
      </c>
      <c r="AT22" s="127" t="str">
        <f t="shared" si="16"/>
        <v/>
      </c>
      <c r="AU22" s="127" t="str">
        <f t="shared" si="16"/>
        <v/>
      </c>
      <c r="AV22" s="127" t="str">
        <f t="shared" si="16"/>
        <v/>
      </c>
      <c r="AW22" s="127" t="str">
        <f t="shared" si="16"/>
        <v/>
      </c>
      <c r="AX22" s="127" t="str">
        <f t="shared" si="16"/>
        <v/>
      </c>
      <c r="AY22" s="127" t="str">
        <f t="shared" si="16"/>
        <v/>
      </c>
      <c r="AZ22" s="127" t="str">
        <f t="shared" si="16"/>
        <v/>
      </c>
      <c r="BA22" s="127" t="str">
        <f t="shared" si="16"/>
        <v/>
      </c>
      <c r="BB22" s="127" t="str">
        <f t="shared" si="16"/>
        <v/>
      </c>
      <c r="BC22" s="127" t="str">
        <f t="shared" si="16"/>
        <v/>
      </c>
      <c r="BD22" s="127" t="str">
        <f t="shared" si="16"/>
        <v/>
      </c>
      <c r="BE22" s="127" t="str">
        <f t="shared" si="16"/>
        <v/>
      </c>
      <c r="BF22" s="127" t="str">
        <f t="shared" si="16"/>
        <v/>
      </c>
      <c r="BG22" s="127" t="str">
        <f t="shared" si="15"/>
        <v/>
      </c>
      <c r="BH22" s="127" t="str">
        <f t="shared" si="15"/>
        <v/>
      </c>
      <c r="BI22" s="127" t="str">
        <f t="shared" si="5"/>
        <v/>
      </c>
      <c r="BJ22" s="127" t="str">
        <f t="shared" si="5"/>
        <v/>
      </c>
      <c r="BK22" s="127" t="str">
        <f t="shared" si="5"/>
        <v/>
      </c>
      <c r="BL22" s="127" t="str">
        <f t="shared" si="5"/>
        <v/>
      </c>
      <c r="BM22" s="127" t="str">
        <f t="shared" si="5"/>
        <v/>
      </c>
      <c r="BN22" s="127" t="str">
        <f t="shared" si="5"/>
        <v/>
      </c>
      <c r="BO22" s="127" t="str">
        <f t="shared" si="5"/>
        <v/>
      </c>
      <c r="BP22" s="127" t="str">
        <f t="shared" si="5"/>
        <v/>
      </c>
      <c r="BQ22" s="127" t="str">
        <f t="shared" si="5"/>
        <v/>
      </c>
      <c r="BR22" s="127" t="str">
        <f t="shared" si="5"/>
        <v/>
      </c>
      <c r="BS22" s="127" t="str">
        <f t="shared" si="5"/>
        <v/>
      </c>
      <c r="BT22" s="127" t="str">
        <f t="shared" si="6"/>
        <v/>
      </c>
      <c r="BU22" s="127" t="str">
        <f t="shared" si="6"/>
        <v/>
      </c>
      <c r="BV22" s="127" t="str">
        <f t="shared" si="6"/>
        <v/>
      </c>
      <c r="BW22" s="127" t="str">
        <f t="shared" si="6"/>
        <v/>
      </c>
      <c r="BX22" s="127" t="str">
        <f t="shared" si="6"/>
        <v/>
      </c>
      <c r="BY22" s="127" t="str">
        <f t="shared" si="6"/>
        <v/>
      </c>
      <c r="BZ22" s="127" t="str">
        <f t="shared" si="6"/>
        <v/>
      </c>
      <c r="CA22" s="127" t="str">
        <f t="shared" si="6"/>
        <v/>
      </c>
      <c r="CB22" s="127" t="str">
        <f t="shared" si="6"/>
        <v/>
      </c>
      <c r="CC22" s="127" t="str">
        <f t="shared" si="6"/>
        <v/>
      </c>
      <c r="CD22" s="127" t="str">
        <f t="shared" si="6"/>
        <v/>
      </c>
      <c r="CE22" s="127" t="str">
        <f t="shared" si="6"/>
        <v/>
      </c>
    </row>
    <row r="23" spans="1:83" ht="25.5" x14ac:dyDescent="0.2">
      <c r="A23" s="106">
        <f>SHIPMENTS!A29</f>
        <v>8964</v>
      </c>
      <c r="B23" s="106" t="str">
        <f>SHIPMENTS!B29</f>
        <v>15900- Mandaue Warehouse</v>
      </c>
      <c r="C23" s="132">
        <f>SHIPMENTS!F29</f>
        <v>0.11</v>
      </c>
      <c r="D23" s="107" t="str">
        <f>IF((SHIPMENTS!I29)=0,"",SHIPMENTS!I29)</f>
        <v/>
      </c>
      <c r="E23" s="176">
        <f>IF((SHIPMENTS!G29)=0,"",SHIPMENTS!G29)</f>
        <v>46323</v>
      </c>
      <c r="F23" s="109">
        <f>VLOOKUP(A23,Items!$A$5:$J$1000,3,0)</f>
        <v>0</v>
      </c>
      <c r="G23" s="98">
        <f>VLOOKUP(A23,load!$A$4:$U$5001,5,0)</f>
        <v>0</v>
      </c>
      <c r="H23" s="97">
        <f>Manhours!$C$9</f>
        <v>9</v>
      </c>
      <c r="I23" s="98">
        <f t="shared" si="7"/>
        <v>81.899999999999991</v>
      </c>
      <c r="J23" s="99">
        <f t="shared" si="12"/>
        <v>0</v>
      </c>
      <c r="K23" s="99">
        <f t="shared" si="8"/>
        <v>0</v>
      </c>
      <c r="L23" s="98">
        <f t="shared" si="13"/>
        <v>0</v>
      </c>
      <c r="M23" s="98">
        <f t="shared" si="14"/>
        <v>0</v>
      </c>
      <c r="N23" s="181">
        <f>IF(G23&gt;0,(EA!N23+1),O22)</f>
        <v>46315.209733160358</v>
      </c>
      <c r="O23" s="181">
        <f t="shared" si="9"/>
        <v>46315.209733160358</v>
      </c>
      <c r="P23" s="112">
        <f>VLOOKUP(A23,SHIPMENTS!$A$7:$AP$76,11,0)</f>
        <v>1</v>
      </c>
      <c r="Q23" s="156"/>
      <c r="R23" s="127" t="str">
        <f t="shared" si="3"/>
        <v/>
      </c>
      <c r="S23" s="127" t="str">
        <f t="shared" si="16"/>
        <v/>
      </c>
      <c r="T23" s="127" t="str">
        <f t="shared" si="16"/>
        <v/>
      </c>
      <c r="U23" s="127" t="str">
        <f t="shared" si="16"/>
        <v/>
      </c>
      <c r="V23" s="127" t="str">
        <f t="shared" si="16"/>
        <v/>
      </c>
      <c r="W23" s="127" t="str">
        <f t="shared" si="16"/>
        <v/>
      </c>
      <c r="X23" s="127" t="str">
        <f t="shared" si="16"/>
        <v/>
      </c>
      <c r="Y23" s="127" t="str">
        <f t="shared" si="16"/>
        <v/>
      </c>
      <c r="Z23" s="127" t="str">
        <f t="shared" si="16"/>
        <v>▲</v>
      </c>
      <c r="AA23" s="127" t="str">
        <f t="shared" si="16"/>
        <v/>
      </c>
      <c r="AB23" s="127" t="str">
        <f t="shared" si="16"/>
        <v/>
      </c>
      <c r="AC23" s="127" t="str">
        <f t="shared" si="16"/>
        <v/>
      </c>
      <c r="AD23" s="127" t="str">
        <f t="shared" si="16"/>
        <v/>
      </c>
      <c r="AE23" s="127" t="str">
        <f t="shared" si="16"/>
        <v/>
      </c>
      <c r="AF23" s="127" t="str">
        <f t="shared" si="16"/>
        <v/>
      </c>
      <c r="AG23" s="127" t="str">
        <f t="shared" si="16"/>
        <v/>
      </c>
      <c r="AH23" s="127" t="str">
        <f t="shared" si="16"/>
        <v/>
      </c>
      <c r="AI23" s="127" t="str">
        <f t="shared" si="16"/>
        <v/>
      </c>
      <c r="AJ23" s="127" t="str">
        <f t="shared" si="16"/>
        <v/>
      </c>
      <c r="AK23" s="127" t="str">
        <f t="shared" si="16"/>
        <v/>
      </c>
      <c r="AL23" s="127" t="str">
        <f t="shared" si="16"/>
        <v/>
      </c>
      <c r="AM23" s="127" t="str">
        <f t="shared" si="16"/>
        <v/>
      </c>
      <c r="AN23" s="127" t="str">
        <f t="shared" si="16"/>
        <v/>
      </c>
      <c r="AO23" s="127" t="str">
        <f t="shared" si="16"/>
        <v/>
      </c>
      <c r="AP23" s="127" t="str">
        <f t="shared" si="16"/>
        <v/>
      </c>
      <c r="AQ23" s="127" t="str">
        <f t="shared" si="16"/>
        <v/>
      </c>
      <c r="AR23" s="127" t="str">
        <f t="shared" si="16"/>
        <v/>
      </c>
      <c r="AS23" s="127" t="str">
        <f t="shared" si="16"/>
        <v/>
      </c>
      <c r="AT23" s="127" t="str">
        <f t="shared" si="16"/>
        <v/>
      </c>
      <c r="AU23" s="127" t="str">
        <f t="shared" si="16"/>
        <v/>
      </c>
      <c r="AV23" s="127" t="str">
        <f t="shared" si="16"/>
        <v/>
      </c>
      <c r="AW23" s="127" t="str">
        <f t="shared" si="16"/>
        <v/>
      </c>
      <c r="AX23" s="127" t="str">
        <f t="shared" si="16"/>
        <v/>
      </c>
      <c r="AY23" s="127" t="str">
        <f t="shared" si="16"/>
        <v/>
      </c>
      <c r="AZ23" s="127" t="str">
        <f t="shared" si="16"/>
        <v/>
      </c>
      <c r="BA23" s="127" t="str">
        <f t="shared" si="16"/>
        <v/>
      </c>
      <c r="BB23" s="127" t="str">
        <f t="shared" si="16"/>
        <v/>
      </c>
      <c r="BC23" s="127" t="str">
        <f t="shared" si="16"/>
        <v/>
      </c>
      <c r="BD23" s="127" t="str">
        <f t="shared" si="16"/>
        <v/>
      </c>
      <c r="BE23" s="127" t="str">
        <f t="shared" si="16"/>
        <v/>
      </c>
      <c r="BF23" s="127" t="str">
        <f t="shared" si="16"/>
        <v/>
      </c>
      <c r="BG23" s="127" t="str">
        <f t="shared" si="15"/>
        <v/>
      </c>
      <c r="BH23" s="127" t="str">
        <f t="shared" si="5"/>
        <v/>
      </c>
      <c r="BI23" s="127" t="str">
        <f t="shared" si="5"/>
        <v/>
      </c>
      <c r="BJ23" s="127" t="str">
        <f t="shared" si="5"/>
        <v/>
      </c>
      <c r="BK23" s="127" t="str">
        <f t="shared" si="5"/>
        <v/>
      </c>
      <c r="BL23" s="127" t="str">
        <f t="shared" si="5"/>
        <v/>
      </c>
      <c r="BM23" s="127" t="str">
        <f t="shared" si="5"/>
        <v/>
      </c>
      <c r="BN23" s="127" t="str">
        <f t="shared" si="5"/>
        <v/>
      </c>
      <c r="BO23" s="127" t="str">
        <f t="shared" si="5"/>
        <v/>
      </c>
      <c r="BP23" s="127" t="str">
        <f t="shared" si="5"/>
        <v/>
      </c>
      <c r="BQ23" s="127" t="str">
        <f t="shared" si="5"/>
        <v/>
      </c>
      <c r="BR23" s="127" t="str">
        <f t="shared" si="5"/>
        <v/>
      </c>
      <c r="BS23" s="127" t="str">
        <f t="shared" si="5"/>
        <v/>
      </c>
      <c r="BT23" s="127" t="str">
        <f t="shared" si="6"/>
        <v/>
      </c>
      <c r="BU23" s="127" t="str">
        <f t="shared" si="6"/>
        <v/>
      </c>
      <c r="BV23" s="127" t="str">
        <f t="shared" si="6"/>
        <v/>
      </c>
      <c r="BW23" s="127" t="str">
        <f t="shared" si="6"/>
        <v/>
      </c>
      <c r="BX23" s="127" t="str">
        <f t="shared" si="6"/>
        <v/>
      </c>
      <c r="BY23" s="127" t="str">
        <f t="shared" si="6"/>
        <v/>
      </c>
      <c r="BZ23" s="127" t="str">
        <f t="shared" si="6"/>
        <v/>
      </c>
      <c r="CA23" s="127" t="str">
        <f t="shared" si="6"/>
        <v/>
      </c>
      <c r="CB23" s="127" t="str">
        <f t="shared" si="6"/>
        <v/>
      </c>
      <c r="CC23" s="127" t="str">
        <f t="shared" si="6"/>
        <v/>
      </c>
      <c r="CD23" s="127" t="str">
        <f t="shared" si="6"/>
        <v/>
      </c>
      <c r="CE23" s="127" t="str">
        <f t="shared" si="6"/>
        <v/>
      </c>
    </row>
    <row r="24" spans="1:83" ht="25.5" hidden="1" x14ac:dyDescent="0.2">
      <c r="A24" s="106">
        <f>SHIPMENTS!A30</f>
        <v>9023</v>
      </c>
      <c r="B24" s="106" t="str">
        <f>SHIPMENTS!B30</f>
        <v>15900- Ubay | Danilo Varela</v>
      </c>
      <c r="C24" s="132">
        <f>SHIPMENTS!F30</f>
        <v>3.0849999999999999E-2</v>
      </c>
      <c r="D24" s="107" t="str">
        <f>IF((SHIPMENTS!I30)=0,"",SHIPMENTS!I30)</f>
        <v/>
      </c>
      <c r="E24" s="176">
        <f>IF((SHIPMENTS!G30)=0,"",SHIPMENTS!G30)</f>
        <v>46323</v>
      </c>
      <c r="F24" s="109">
        <f>VLOOKUP(A24,Items!$A$5:$J$1000,3,0)</f>
        <v>0</v>
      </c>
      <c r="G24" s="98">
        <f>VLOOKUP(A24,load!$A$4:$U$5001,5,0)</f>
        <v>0</v>
      </c>
      <c r="H24" s="97">
        <f>Manhours!$C$9</f>
        <v>9</v>
      </c>
      <c r="I24" s="98">
        <f t="shared" si="7"/>
        <v>81.899999999999991</v>
      </c>
      <c r="J24" s="99">
        <f t="shared" si="12"/>
        <v>0</v>
      </c>
      <c r="K24" s="99">
        <f t="shared" si="8"/>
        <v>0</v>
      </c>
      <c r="L24" s="98">
        <f t="shared" si="13"/>
        <v>0</v>
      </c>
      <c r="M24" s="98">
        <f t="shared" si="14"/>
        <v>0</v>
      </c>
      <c r="N24" s="181">
        <f>IF(G24&gt;0,(EA!N24+1),O23)</f>
        <v>46315.209733160358</v>
      </c>
      <c r="O24" s="181">
        <f t="shared" si="9"/>
        <v>46315.209733160358</v>
      </c>
      <c r="P24" s="112" t="str">
        <f>VLOOKUP(A24,SHIPMENTS!$A$7:$AP$76,11,0)</f>
        <v>n/a</v>
      </c>
      <c r="Q24" s="156"/>
      <c r="R24" s="127" t="str">
        <f t="shared" si="3"/>
        <v/>
      </c>
      <c r="S24" s="127" t="str">
        <f t="shared" si="16"/>
        <v/>
      </c>
      <c r="T24" s="127" t="str">
        <f t="shared" si="16"/>
        <v/>
      </c>
      <c r="U24" s="127" t="str">
        <f t="shared" si="16"/>
        <v/>
      </c>
      <c r="V24" s="127" t="str">
        <f t="shared" si="16"/>
        <v/>
      </c>
      <c r="W24" s="127" t="str">
        <f t="shared" si="16"/>
        <v/>
      </c>
      <c r="X24" s="127" t="str">
        <f t="shared" si="16"/>
        <v/>
      </c>
      <c r="Y24" s="127" t="str">
        <f t="shared" si="16"/>
        <v/>
      </c>
      <c r="Z24" s="127" t="str">
        <f t="shared" si="16"/>
        <v>▲</v>
      </c>
      <c r="AA24" s="127" t="str">
        <f t="shared" si="16"/>
        <v/>
      </c>
      <c r="AB24" s="127" t="str">
        <f t="shared" si="16"/>
        <v/>
      </c>
      <c r="AC24" s="127" t="str">
        <f t="shared" si="16"/>
        <v/>
      </c>
      <c r="AD24" s="127" t="str">
        <f t="shared" si="16"/>
        <v/>
      </c>
      <c r="AE24" s="127" t="str">
        <f t="shared" si="16"/>
        <v/>
      </c>
      <c r="AF24" s="127" t="str">
        <f t="shared" si="16"/>
        <v/>
      </c>
      <c r="AG24" s="127" t="str">
        <f t="shared" si="16"/>
        <v/>
      </c>
      <c r="AH24" s="127" t="str">
        <f t="shared" si="16"/>
        <v/>
      </c>
      <c r="AI24" s="127" t="str">
        <f t="shared" si="16"/>
        <v/>
      </c>
      <c r="AJ24" s="127" t="str">
        <f t="shared" si="16"/>
        <v/>
      </c>
      <c r="AK24" s="127" t="str">
        <f t="shared" si="16"/>
        <v/>
      </c>
      <c r="AL24" s="127" t="str">
        <f t="shared" si="16"/>
        <v/>
      </c>
      <c r="AM24" s="127" t="str">
        <f t="shared" si="16"/>
        <v/>
      </c>
      <c r="AN24" s="127" t="str">
        <f t="shared" si="16"/>
        <v/>
      </c>
      <c r="AO24" s="127" t="str">
        <f t="shared" si="16"/>
        <v/>
      </c>
      <c r="AP24" s="127" t="str">
        <f t="shared" si="16"/>
        <v/>
      </c>
      <c r="AQ24" s="127" t="str">
        <f t="shared" si="16"/>
        <v/>
      </c>
      <c r="AR24" s="127" t="str">
        <f t="shared" si="16"/>
        <v/>
      </c>
      <c r="AS24" s="127" t="str">
        <f t="shared" si="16"/>
        <v/>
      </c>
      <c r="AT24" s="127" t="str">
        <f t="shared" si="16"/>
        <v/>
      </c>
      <c r="AU24" s="127" t="str">
        <f t="shared" si="16"/>
        <v/>
      </c>
      <c r="AV24" s="127" t="str">
        <f t="shared" si="16"/>
        <v/>
      </c>
      <c r="AW24" s="127" t="str">
        <f t="shared" si="16"/>
        <v/>
      </c>
      <c r="AX24" s="127" t="str">
        <f t="shared" si="16"/>
        <v/>
      </c>
      <c r="AY24" s="127" t="str">
        <f t="shared" si="16"/>
        <v/>
      </c>
      <c r="AZ24" s="127" t="str">
        <f t="shared" si="16"/>
        <v/>
      </c>
      <c r="BA24" s="127" t="str">
        <f t="shared" si="16"/>
        <v/>
      </c>
      <c r="BB24" s="127" t="str">
        <f t="shared" si="16"/>
        <v/>
      </c>
      <c r="BC24" s="127" t="str">
        <f t="shared" si="16"/>
        <v/>
      </c>
      <c r="BD24" s="127" t="str">
        <f t="shared" si="16"/>
        <v/>
      </c>
      <c r="BE24" s="127" t="str">
        <f t="shared" si="16"/>
        <v/>
      </c>
      <c r="BF24" s="127" t="str">
        <f t="shared" si="16"/>
        <v/>
      </c>
      <c r="BG24" s="127" t="str">
        <f t="shared" si="15"/>
        <v/>
      </c>
      <c r="BH24" s="127" t="str">
        <f t="shared" si="15"/>
        <v/>
      </c>
      <c r="BI24" s="127" t="str">
        <f t="shared" ref="BH24:BW39" si="17">IF($E24=BI$3,"▲","")</f>
        <v/>
      </c>
      <c r="BJ24" s="127" t="str">
        <f t="shared" si="17"/>
        <v/>
      </c>
      <c r="BK24" s="127" t="str">
        <f t="shared" si="17"/>
        <v/>
      </c>
      <c r="BL24" s="127" t="str">
        <f t="shared" si="17"/>
        <v/>
      </c>
      <c r="BM24" s="127" t="str">
        <f t="shared" si="17"/>
        <v/>
      </c>
      <c r="BN24" s="127" t="str">
        <f t="shared" si="17"/>
        <v/>
      </c>
      <c r="BO24" s="127" t="str">
        <f t="shared" si="17"/>
        <v/>
      </c>
      <c r="BP24" s="127" t="str">
        <f t="shared" si="17"/>
        <v/>
      </c>
      <c r="BQ24" s="127" t="str">
        <f t="shared" si="17"/>
        <v/>
      </c>
      <c r="BR24" s="127" t="str">
        <f t="shared" si="17"/>
        <v/>
      </c>
      <c r="BS24" s="127" t="str">
        <f t="shared" si="17"/>
        <v/>
      </c>
      <c r="BT24" s="127" t="str">
        <f t="shared" si="17"/>
        <v/>
      </c>
      <c r="BU24" s="127" t="str">
        <f t="shared" si="17"/>
        <v/>
      </c>
      <c r="BV24" s="127" t="str">
        <f t="shared" si="17"/>
        <v/>
      </c>
      <c r="BW24" s="127" t="str">
        <f t="shared" si="17"/>
        <v/>
      </c>
      <c r="BX24" s="127" t="str">
        <f t="shared" ref="BT24:CE39" si="18">IF($E24=BX$3,"▲","")</f>
        <v/>
      </c>
      <c r="BY24" s="127" t="str">
        <f t="shared" si="18"/>
        <v/>
      </c>
      <c r="BZ24" s="127" t="str">
        <f t="shared" si="18"/>
        <v/>
      </c>
      <c r="CA24" s="127" t="str">
        <f t="shared" si="18"/>
        <v/>
      </c>
      <c r="CB24" s="127" t="str">
        <f t="shared" si="18"/>
        <v/>
      </c>
      <c r="CC24" s="127" t="str">
        <f t="shared" si="18"/>
        <v/>
      </c>
      <c r="CD24" s="127" t="str">
        <f t="shared" si="18"/>
        <v/>
      </c>
      <c r="CE24" s="127" t="str">
        <f t="shared" si="18"/>
        <v/>
      </c>
    </row>
    <row r="25" spans="1:83" ht="25.5" hidden="1" x14ac:dyDescent="0.2">
      <c r="A25" s="106">
        <f>SHIPMENTS!A31</f>
        <v>9105</v>
      </c>
      <c r="B25" s="106" t="str">
        <f>SHIPMENTS!B31</f>
        <v>15900- Cebu City |Nelsar Alvar</v>
      </c>
      <c r="C25" s="132">
        <f>SHIPMENTS!F31</f>
        <v>1.35E-2</v>
      </c>
      <c r="D25" s="107" t="str">
        <f>IF((SHIPMENTS!I31)=0,"",SHIPMENTS!I31)</f>
        <v/>
      </c>
      <c r="E25" s="176">
        <f>IF((SHIPMENTS!G31)=0,"",SHIPMENTS!G31)</f>
        <v>46323</v>
      </c>
      <c r="F25" s="109">
        <f>VLOOKUP(A25,Items!$A$5:$J$1000,3,0)</f>
        <v>0</v>
      </c>
      <c r="G25" s="98">
        <f>VLOOKUP(A25,load!$A$4:$U$5001,5,0)</f>
        <v>0</v>
      </c>
      <c r="H25" s="97">
        <f>Manhours!$C$9</f>
        <v>9</v>
      </c>
      <c r="I25" s="98">
        <f t="shared" si="7"/>
        <v>81.899999999999991</v>
      </c>
      <c r="J25" s="99">
        <f t="shared" si="12"/>
        <v>0</v>
      </c>
      <c r="K25" s="99">
        <f t="shared" si="8"/>
        <v>0</v>
      </c>
      <c r="L25" s="98">
        <f t="shared" si="13"/>
        <v>0</v>
      </c>
      <c r="M25" s="98">
        <f t="shared" si="14"/>
        <v>0</v>
      </c>
      <c r="N25" s="181">
        <f>IF(G25&gt;0,(EA!N25+1),O24)</f>
        <v>46315.209733160358</v>
      </c>
      <c r="O25" s="181">
        <f t="shared" si="9"/>
        <v>46315.209733160358</v>
      </c>
      <c r="P25" s="112" t="str">
        <f>VLOOKUP(A25,SHIPMENTS!$A$7:$AP$76,11,0)</f>
        <v>n/a</v>
      </c>
      <c r="Q25" s="156"/>
      <c r="R25" s="127" t="str">
        <f t="shared" si="3"/>
        <v/>
      </c>
      <c r="S25" s="127" t="str">
        <f t="shared" si="16"/>
        <v/>
      </c>
      <c r="T25" s="127" t="str">
        <f t="shared" si="16"/>
        <v/>
      </c>
      <c r="U25" s="127" t="str">
        <f t="shared" si="16"/>
        <v/>
      </c>
      <c r="V25" s="127" t="str">
        <f t="shared" si="16"/>
        <v/>
      </c>
      <c r="W25" s="127" t="str">
        <f t="shared" si="16"/>
        <v/>
      </c>
      <c r="X25" s="127" t="str">
        <f t="shared" si="16"/>
        <v/>
      </c>
      <c r="Y25" s="127" t="str">
        <f t="shared" si="16"/>
        <v/>
      </c>
      <c r="Z25" s="127" t="str">
        <f t="shared" si="16"/>
        <v>▲</v>
      </c>
      <c r="AA25" s="127" t="str">
        <f t="shared" si="16"/>
        <v/>
      </c>
      <c r="AB25" s="127" t="str">
        <f t="shared" si="16"/>
        <v/>
      </c>
      <c r="AC25" s="127" t="str">
        <f t="shared" si="16"/>
        <v/>
      </c>
      <c r="AD25" s="127" t="str">
        <f t="shared" si="16"/>
        <v/>
      </c>
      <c r="AE25" s="127" t="str">
        <f t="shared" si="16"/>
        <v/>
      </c>
      <c r="AF25" s="127" t="str">
        <f t="shared" si="16"/>
        <v/>
      </c>
      <c r="AG25" s="127" t="str">
        <f t="shared" si="16"/>
        <v/>
      </c>
      <c r="AH25" s="127" t="str">
        <f t="shared" si="16"/>
        <v/>
      </c>
      <c r="AI25" s="127" t="str">
        <f t="shared" si="16"/>
        <v/>
      </c>
      <c r="AJ25" s="127" t="str">
        <f t="shared" si="16"/>
        <v/>
      </c>
      <c r="AK25" s="127" t="str">
        <f t="shared" si="16"/>
        <v/>
      </c>
      <c r="AL25" s="127" t="str">
        <f t="shared" si="16"/>
        <v/>
      </c>
      <c r="AM25" s="127" t="str">
        <f t="shared" si="16"/>
        <v/>
      </c>
      <c r="AN25" s="127" t="str">
        <f t="shared" si="16"/>
        <v/>
      </c>
      <c r="AO25" s="127" t="str">
        <f t="shared" si="16"/>
        <v/>
      </c>
      <c r="AP25" s="127" t="str">
        <f t="shared" si="16"/>
        <v/>
      </c>
      <c r="AQ25" s="127" t="str">
        <f t="shared" si="16"/>
        <v/>
      </c>
      <c r="AR25" s="127" t="str">
        <f t="shared" si="16"/>
        <v/>
      </c>
      <c r="AS25" s="127" t="str">
        <f t="shared" si="16"/>
        <v/>
      </c>
      <c r="AT25" s="127" t="str">
        <f t="shared" si="16"/>
        <v/>
      </c>
      <c r="AU25" s="127" t="str">
        <f t="shared" si="16"/>
        <v/>
      </c>
      <c r="AV25" s="127" t="str">
        <f t="shared" si="16"/>
        <v/>
      </c>
      <c r="AW25" s="127" t="str">
        <f t="shared" si="16"/>
        <v/>
      </c>
      <c r="AX25" s="127" t="str">
        <f t="shared" si="16"/>
        <v/>
      </c>
      <c r="AY25" s="127" t="str">
        <f t="shared" si="16"/>
        <v/>
      </c>
      <c r="AZ25" s="127" t="str">
        <f t="shared" si="16"/>
        <v/>
      </c>
      <c r="BA25" s="127" t="str">
        <f t="shared" si="16"/>
        <v/>
      </c>
      <c r="BB25" s="127" t="str">
        <f t="shared" si="16"/>
        <v/>
      </c>
      <c r="BC25" s="127" t="str">
        <f t="shared" si="16"/>
        <v/>
      </c>
      <c r="BD25" s="127" t="str">
        <f t="shared" si="16"/>
        <v/>
      </c>
      <c r="BE25" s="127" t="str">
        <f t="shared" si="16"/>
        <v/>
      </c>
      <c r="BF25" s="127" t="str">
        <f t="shared" si="16"/>
        <v/>
      </c>
      <c r="BG25" s="127" t="str">
        <f t="shared" si="15"/>
        <v/>
      </c>
      <c r="BH25" s="127" t="str">
        <f t="shared" si="17"/>
        <v/>
      </c>
      <c r="BI25" s="127" t="str">
        <f t="shared" si="17"/>
        <v/>
      </c>
      <c r="BJ25" s="127" t="str">
        <f t="shared" si="17"/>
        <v/>
      </c>
      <c r="BK25" s="127" t="str">
        <f t="shared" si="17"/>
        <v/>
      </c>
      <c r="BL25" s="127" t="str">
        <f t="shared" si="17"/>
        <v/>
      </c>
      <c r="BM25" s="127" t="str">
        <f t="shared" si="17"/>
        <v/>
      </c>
      <c r="BN25" s="127" t="str">
        <f t="shared" si="17"/>
        <v/>
      </c>
      <c r="BO25" s="127" t="str">
        <f t="shared" si="17"/>
        <v/>
      </c>
      <c r="BP25" s="127" t="str">
        <f t="shared" si="17"/>
        <v/>
      </c>
      <c r="BQ25" s="127" t="str">
        <f t="shared" si="17"/>
        <v/>
      </c>
      <c r="BR25" s="127" t="str">
        <f t="shared" si="17"/>
        <v/>
      </c>
      <c r="BS25" s="127" t="str">
        <f t="shared" si="17"/>
        <v/>
      </c>
      <c r="BT25" s="127" t="str">
        <f t="shared" si="18"/>
        <v/>
      </c>
      <c r="BU25" s="127" t="str">
        <f t="shared" si="18"/>
        <v/>
      </c>
      <c r="BV25" s="127" t="str">
        <f t="shared" si="18"/>
        <v/>
      </c>
      <c r="BW25" s="127" t="str">
        <f t="shared" si="18"/>
        <v/>
      </c>
      <c r="BX25" s="127" t="str">
        <f t="shared" si="18"/>
        <v/>
      </c>
      <c r="BY25" s="127" t="str">
        <f t="shared" si="18"/>
        <v/>
      </c>
      <c r="BZ25" s="127" t="str">
        <f t="shared" si="18"/>
        <v/>
      </c>
      <c r="CA25" s="127" t="str">
        <f t="shared" si="18"/>
        <v/>
      </c>
      <c r="CB25" s="127" t="str">
        <f t="shared" si="18"/>
        <v/>
      </c>
      <c r="CC25" s="127" t="str">
        <f t="shared" si="18"/>
        <v/>
      </c>
      <c r="CD25" s="127" t="str">
        <f t="shared" si="18"/>
        <v/>
      </c>
      <c r="CE25" s="127" t="str">
        <f t="shared" si="18"/>
        <v/>
      </c>
    </row>
    <row r="26" spans="1:83" ht="25.5" x14ac:dyDescent="0.2">
      <c r="A26" s="106">
        <f>SHIPMENTS!A32</f>
        <v>9292</v>
      </c>
      <c r="B26" s="106" t="str">
        <f>SHIPMENTS!B32</f>
        <v>15900- Mandaue Warehouse</v>
      </c>
      <c r="C26" s="132">
        <f>SHIPMENTS!F32</f>
        <v>0.51459999999999995</v>
      </c>
      <c r="D26" s="107" t="str">
        <f>IF((SHIPMENTS!I32)=0,"",SHIPMENTS!I32)</f>
        <v/>
      </c>
      <c r="E26" s="176">
        <f>IF((SHIPMENTS!G32)=0,"",SHIPMENTS!G32)</f>
        <v>46323</v>
      </c>
      <c r="F26" s="109">
        <f>VLOOKUP(A26,Items!$A$5:$J$1000,3,0)</f>
        <v>7</v>
      </c>
      <c r="G26" s="98">
        <f>VLOOKUP(A26,load!$A$4:$U$5001,5,0)</f>
        <v>9.4267933333333325</v>
      </c>
      <c r="H26" s="97">
        <f>Manhours!$C$9</f>
        <v>9</v>
      </c>
      <c r="I26" s="98">
        <f t="shared" si="7"/>
        <v>81.899999999999991</v>
      </c>
      <c r="J26" s="99">
        <f t="shared" si="12"/>
        <v>0.1151012617012617</v>
      </c>
      <c r="K26" s="99">
        <f t="shared" si="8"/>
        <v>1.0474214814814815</v>
      </c>
      <c r="L26" s="98">
        <f t="shared" si="13"/>
        <v>0.1151012617012617</v>
      </c>
      <c r="M26" s="98">
        <f t="shared" si="14"/>
        <v>1.0474214814814815</v>
      </c>
      <c r="N26" s="181">
        <f>IF(G26&gt;0,(EA!N26+1),O25)</f>
        <v>46315.213914072032</v>
      </c>
      <c r="O26" s="181">
        <f t="shared" si="9"/>
        <v>46315.329015333737</v>
      </c>
      <c r="P26" s="112">
        <f>VLOOKUP(A26,SHIPMENTS!$A$7:$AP$76,11,0)</f>
        <v>0</v>
      </c>
      <c r="Q26" s="156"/>
      <c r="R26" s="127" t="str">
        <f t="shared" si="3"/>
        <v/>
      </c>
      <c r="S26" s="127" t="str">
        <f t="shared" si="16"/>
        <v/>
      </c>
      <c r="T26" s="127" t="str">
        <f t="shared" si="16"/>
        <v/>
      </c>
      <c r="U26" s="127" t="str">
        <f t="shared" si="16"/>
        <v/>
      </c>
      <c r="V26" s="127" t="str">
        <f t="shared" si="16"/>
        <v/>
      </c>
      <c r="W26" s="127" t="str">
        <f t="shared" si="16"/>
        <v/>
      </c>
      <c r="X26" s="127" t="str">
        <f t="shared" si="16"/>
        <v/>
      </c>
      <c r="Y26" s="127" t="str">
        <f t="shared" si="16"/>
        <v/>
      </c>
      <c r="Z26" s="127" t="str">
        <f t="shared" si="16"/>
        <v>▲</v>
      </c>
      <c r="AA26" s="127" t="str">
        <f t="shared" si="16"/>
        <v/>
      </c>
      <c r="AB26" s="127" t="str">
        <f t="shared" si="16"/>
        <v/>
      </c>
      <c r="AC26" s="127" t="str">
        <f t="shared" si="16"/>
        <v/>
      </c>
      <c r="AD26" s="127" t="str">
        <f t="shared" si="16"/>
        <v/>
      </c>
      <c r="AE26" s="127" t="str">
        <f t="shared" si="16"/>
        <v/>
      </c>
      <c r="AF26" s="127" t="str">
        <f t="shared" si="16"/>
        <v/>
      </c>
      <c r="AG26" s="127" t="str">
        <f t="shared" si="16"/>
        <v/>
      </c>
      <c r="AH26" s="127" t="str">
        <f t="shared" si="16"/>
        <v/>
      </c>
      <c r="AI26" s="127" t="str">
        <f t="shared" si="16"/>
        <v/>
      </c>
      <c r="AJ26" s="127" t="str">
        <f t="shared" si="16"/>
        <v/>
      </c>
      <c r="AK26" s="127" t="str">
        <f t="shared" si="16"/>
        <v/>
      </c>
      <c r="AL26" s="127" t="str">
        <f t="shared" si="16"/>
        <v/>
      </c>
      <c r="AM26" s="127" t="str">
        <f t="shared" si="16"/>
        <v/>
      </c>
      <c r="AN26" s="127" t="str">
        <f t="shared" si="16"/>
        <v/>
      </c>
      <c r="AO26" s="127" t="str">
        <f t="shared" si="16"/>
        <v/>
      </c>
      <c r="AP26" s="127" t="str">
        <f t="shared" si="16"/>
        <v/>
      </c>
      <c r="AQ26" s="127" t="str">
        <f t="shared" si="16"/>
        <v/>
      </c>
      <c r="AR26" s="127" t="str">
        <f t="shared" si="16"/>
        <v/>
      </c>
      <c r="AS26" s="127" t="str">
        <f t="shared" si="16"/>
        <v/>
      </c>
      <c r="AT26" s="127" t="str">
        <f t="shared" si="16"/>
        <v/>
      </c>
      <c r="AU26" s="127" t="str">
        <f t="shared" si="16"/>
        <v/>
      </c>
      <c r="AV26" s="127" t="str">
        <f t="shared" si="16"/>
        <v/>
      </c>
      <c r="AW26" s="127" t="str">
        <f t="shared" si="16"/>
        <v/>
      </c>
      <c r="AX26" s="127" t="str">
        <f t="shared" si="16"/>
        <v/>
      </c>
      <c r="AY26" s="127" t="str">
        <f t="shared" si="16"/>
        <v/>
      </c>
      <c r="AZ26" s="127" t="str">
        <f t="shared" si="16"/>
        <v/>
      </c>
      <c r="BA26" s="127" t="str">
        <f t="shared" si="16"/>
        <v/>
      </c>
      <c r="BB26" s="127" t="str">
        <f t="shared" si="16"/>
        <v/>
      </c>
      <c r="BC26" s="127" t="str">
        <f t="shared" si="16"/>
        <v/>
      </c>
      <c r="BD26" s="127" t="str">
        <f t="shared" si="16"/>
        <v/>
      </c>
      <c r="BE26" s="127" t="str">
        <f t="shared" si="16"/>
        <v/>
      </c>
      <c r="BF26" s="127" t="str">
        <f t="shared" si="16"/>
        <v/>
      </c>
      <c r="BG26" s="127" t="str">
        <f t="shared" si="15"/>
        <v/>
      </c>
      <c r="BH26" s="127" t="str">
        <f t="shared" si="17"/>
        <v/>
      </c>
      <c r="BI26" s="127" t="str">
        <f t="shared" si="17"/>
        <v/>
      </c>
      <c r="BJ26" s="127" t="str">
        <f t="shared" si="17"/>
        <v/>
      </c>
      <c r="BK26" s="127" t="str">
        <f t="shared" si="17"/>
        <v/>
      </c>
      <c r="BL26" s="127" t="str">
        <f t="shared" si="17"/>
        <v/>
      </c>
      <c r="BM26" s="127" t="str">
        <f t="shared" si="17"/>
        <v/>
      </c>
      <c r="BN26" s="127" t="str">
        <f t="shared" si="17"/>
        <v/>
      </c>
      <c r="BO26" s="127" t="str">
        <f t="shared" si="17"/>
        <v/>
      </c>
      <c r="BP26" s="127" t="str">
        <f t="shared" si="17"/>
        <v/>
      </c>
      <c r="BQ26" s="127" t="str">
        <f t="shared" si="17"/>
        <v/>
      </c>
      <c r="BR26" s="127" t="str">
        <f t="shared" si="17"/>
        <v/>
      </c>
      <c r="BS26" s="127" t="str">
        <f t="shared" si="17"/>
        <v/>
      </c>
      <c r="BT26" s="127" t="str">
        <f t="shared" si="18"/>
        <v/>
      </c>
      <c r="BU26" s="127" t="str">
        <f t="shared" si="18"/>
        <v/>
      </c>
      <c r="BV26" s="127" t="str">
        <f t="shared" si="18"/>
        <v/>
      </c>
      <c r="BW26" s="127" t="str">
        <f t="shared" si="18"/>
        <v/>
      </c>
      <c r="BX26" s="127" t="str">
        <f t="shared" si="18"/>
        <v/>
      </c>
      <c r="BY26" s="127" t="str">
        <f t="shared" si="18"/>
        <v/>
      </c>
      <c r="BZ26" s="127" t="str">
        <f t="shared" si="18"/>
        <v/>
      </c>
      <c r="CA26" s="127" t="str">
        <f t="shared" si="18"/>
        <v/>
      </c>
      <c r="CB26" s="127" t="str">
        <f t="shared" si="18"/>
        <v/>
      </c>
      <c r="CC26" s="127" t="str">
        <f t="shared" si="18"/>
        <v/>
      </c>
      <c r="CD26" s="127" t="str">
        <f t="shared" si="18"/>
        <v/>
      </c>
      <c r="CE26" s="127" t="str">
        <f t="shared" si="18"/>
        <v/>
      </c>
    </row>
    <row r="27" spans="1:83" ht="25.5" x14ac:dyDescent="0.2">
      <c r="A27" s="106">
        <f>SHIPMENTS!A33</f>
        <v>9116</v>
      </c>
      <c r="B27" s="106" t="str">
        <f>SHIPMENTS!B33</f>
        <v>15900- Dagupan City |Kerwin Fernandez</v>
      </c>
      <c r="C27" s="132">
        <f>SHIPMENTS!F33</f>
        <v>0.17</v>
      </c>
      <c r="D27" s="107" t="str">
        <f>IF((SHIPMENTS!I33)=0,"",SHIPMENTS!I33)</f>
        <v>1X20</v>
      </c>
      <c r="E27" s="176">
        <f>IF((SHIPMENTS!G33)=0,"",SHIPMENTS!G33)</f>
        <v>46323</v>
      </c>
      <c r="F27" s="109">
        <f>VLOOKUP(A27,Items!$A$5:$J$1000,3,0)</f>
        <v>1</v>
      </c>
      <c r="G27" s="98">
        <f>VLOOKUP(A27,load!$A$4:$U$5001,5,0)</f>
        <v>0.51366666666666672</v>
      </c>
      <c r="H27" s="97">
        <f>Manhours!$C$9</f>
        <v>9</v>
      </c>
      <c r="I27" s="98">
        <f t="shared" si="7"/>
        <v>81.899999999999991</v>
      </c>
      <c r="J27" s="99">
        <f t="shared" si="12"/>
        <v>6.2718762718762732E-3</v>
      </c>
      <c r="K27" s="99">
        <f t="shared" si="8"/>
        <v>5.7074074074074083E-2</v>
      </c>
      <c r="L27" s="98">
        <f t="shared" si="13"/>
        <v>0</v>
      </c>
      <c r="M27" s="98">
        <f t="shared" si="14"/>
        <v>0</v>
      </c>
      <c r="N27" s="181">
        <f>IF(G27&gt;0,(EA!N27+1),O26)</f>
        <v>46315.344829822949</v>
      </c>
      <c r="O27" s="181">
        <f t="shared" si="9"/>
        <v>46315.344829822949</v>
      </c>
      <c r="P27" s="112">
        <f>VLOOKUP(A27,SHIPMENTS!$A$7:$AP$76,11,0)</f>
        <v>1</v>
      </c>
      <c r="Q27" s="156"/>
      <c r="R27" s="127" t="str">
        <f t="shared" si="3"/>
        <v/>
      </c>
      <c r="S27" s="127" t="str">
        <f t="shared" si="16"/>
        <v/>
      </c>
      <c r="T27" s="127" t="str">
        <f t="shared" si="16"/>
        <v/>
      </c>
      <c r="U27" s="127" t="str">
        <f t="shared" si="16"/>
        <v/>
      </c>
      <c r="V27" s="127" t="str">
        <f t="shared" si="16"/>
        <v/>
      </c>
      <c r="W27" s="127" t="str">
        <f t="shared" si="16"/>
        <v/>
      </c>
      <c r="X27" s="127" t="str">
        <f t="shared" si="16"/>
        <v/>
      </c>
      <c r="Y27" s="127" t="str">
        <f t="shared" si="16"/>
        <v/>
      </c>
      <c r="Z27" s="127" t="str">
        <f t="shared" si="16"/>
        <v>▲</v>
      </c>
      <c r="AA27" s="127" t="str">
        <f t="shared" si="16"/>
        <v/>
      </c>
      <c r="AB27" s="127" t="str">
        <f t="shared" si="16"/>
        <v/>
      </c>
      <c r="AC27" s="127" t="str">
        <f t="shared" si="16"/>
        <v/>
      </c>
      <c r="AD27" s="127" t="str">
        <f t="shared" si="16"/>
        <v/>
      </c>
      <c r="AE27" s="127" t="str">
        <f t="shared" si="16"/>
        <v/>
      </c>
      <c r="AF27" s="127" t="str">
        <f t="shared" si="16"/>
        <v/>
      </c>
      <c r="AG27" s="127" t="str">
        <f t="shared" si="16"/>
        <v/>
      </c>
      <c r="AH27" s="127" t="str">
        <f t="shared" si="16"/>
        <v/>
      </c>
      <c r="AI27" s="127" t="str">
        <f t="shared" si="16"/>
        <v/>
      </c>
      <c r="AJ27" s="127" t="str">
        <f t="shared" si="16"/>
        <v/>
      </c>
      <c r="AK27" s="127" t="str">
        <f t="shared" si="16"/>
        <v/>
      </c>
      <c r="AL27" s="127" t="str">
        <f t="shared" si="16"/>
        <v/>
      </c>
      <c r="AM27" s="127" t="str">
        <f t="shared" si="16"/>
        <v/>
      </c>
      <c r="AN27" s="127" t="str">
        <f t="shared" si="16"/>
        <v/>
      </c>
      <c r="AO27" s="127" t="str">
        <f t="shared" si="16"/>
        <v/>
      </c>
      <c r="AP27" s="127" t="str">
        <f t="shared" si="16"/>
        <v/>
      </c>
      <c r="AQ27" s="127" t="str">
        <f t="shared" si="16"/>
        <v/>
      </c>
      <c r="AR27" s="127" t="str">
        <f t="shared" si="16"/>
        <v/>
      </c>
      <c r="AS27" s="127" t="str">
        <f t="shared" si="16"/>
        <v/>
      </c>
      <c r="AT27" s="127" t="str">
        <f t="shared" si="16"/>
        <v/>
      </c>
      <c r="AU27" s="127" t="str">
        <f t="shared" si="16"/>
        <v/>
      </c>
      <c r="AV27" s="127" t="str">
        <f t="shared" si="16"/>
        <v/>
      </c>
      <c r="AW27" s="127" t="str">
        <f t="shared" si="16"/>
        <v/>
      </c>
      <c r="AX27" s="127" t="str">
        <f t="shared" si="16"/>
        <v/>
      </c>
      <c r="AY27" s="127" t="str">
        <f t="shared" si="16"/>
        <v/>
      </c>
      <c r="AZ27" s="127" t="str">
        <f t="shared" si="16"/>
        <v/>
      </c>
      <c r="BA27" s="127" t="str">
        <f t="shared" si="16"/>
        <v/>
      </c>
      <c r="BB27" s="127" t="str">
        <f t="shared" si="16"/>
        <v/>
      </c>
      <c r="BC27" s="127" t="str">
        <f t="shared" si="16"/>
        <v/>
      </c>
      <c r="BD27" s="127" t="str">
        <f t="shared" si="16"/>
        <v/>
      </c>
      <c r="BE27" s="127" t="str">
        <f t="shared" si="16"/>
        <v/>
      </c>
      <c r="BF27" s="127" t="str">
        <f t="shared" si="16"/>
        <v/>
      </c>
      <c r="BG27" s="127" t="str">
        <f t="shared" si="15"/>
        <v/>
      </c>
      <c r="BH27" s="127" t="str">
        <f t="shared" si="17"/>
        <v/>
      </c>
      <c r="BI27" s="127" t="str">
        <f t="shared" si="17"/>
        <v/>
      </c>
      <c r="BJ27" s="127" t="str">
        <f t="shared" si="17"/>
        <v/>
      </c>
      <c r="BK27" s="127" t="str">
        <f t="shared" si="17"/>
        <v/>
      </c>
      <c r="BL27" s="127" t="str">
        <f t="shared" si="17"/>
        <v/>
      </c>
      <c r="BM27" s="127" t="str">
        <f t="shared" si="17"/>
        <v/>
      </c>
      <c r="BN27" s="127" t="str">
        <f t="shared" si="17"/>
        <v/>
      </c>
      <c r="BO27" s="127" t="str">
        <f t="shared" si="17"/>
        <v/>
      </c>
      <c r="BP27" s="127" t="str">
        <f t="shared" si="17"/>
        <v/>
      </c>
      <c r="BQ27" s="127" t="str">
        <f t="shared" si="17"/>
        <v/>
      </c>
      <c r="BR27" s="127" t="str">
        <f t="shared" si="17"/>
        <v/>
      </c>
      <c r="BS27" s="127" t="str">
        <f t="shared" si="17"/>
        <v/>
      </c>
      <c r="BT27" s="127" t="str">
        <f t="shared" si="18"/>
        <v/>
      </c>
      <c r="BU27" s="127" t="str">
        <f t="shared" si="18"/>
        <v/>
      </c>
      <c r="BV27" s="127" t="str">
        <f t="shared" si="18"/>
        <v/>
      </c>
      <c r="BW27" s="127" t="str">
        <f t="shared" si="18"/>
        <v/>
      </c>
      <c r="BX27" s="127" t="str">
        <f t="shared" si="18"/>
        <v/>
      </c>
      <c r="BY27" s="127" t="str">
        <f t="shared" si="18"/>
        <v/>
      </c>
      <c r="BZ27" s="127" t="str">
        <f t="shared" si="18"/>
        <v/>
      </c>
      <c r="CA27" s="127" t="str">
        <f t="shared" si="18"/>
        <v/>
      </c>
      <c r="CB27" s="127" t="str">
        <f t="shared" si="18"/>
        <v/>
      </c>
      <c r="CC27" s="127" t="str">
        <f t="shared" si="18"/>
        <v/>
      </c>
      <c r="CD27" s="127" t="str">
        <f t="shared" si="18"/>
        <v/>
      </c>
      <c r="CE27" s="127" t="str">
        <f t="shared" si="18"/>
        <v/>
      </c>
    </row>
    <row r="28" spans="1:83" ht="38.25" x14ac:dyDescent="0.2">
      <c r="A28" s="106">
        <f>SHIPMENTS!A34</f>
        <v>9247</v>
      </c>
      <c r="B28" s="106" t="str">
        <f>SHIPMENTS!B34</f>
        <v>15900- Batangas City |Angela Joy Medes Mandigma</v>
      </c>
      <c r="C28" s="132">
        <f>SHIPMENTS!F34</f>
        <v>0.188</v>
      </c>
      <c r="D28" s="107" t="str">
        <f>IF((SHIPMENTS!I34)=0,"",SHIPMENTS!I34)</f>
        <v/>
      </c>
      <c r="E28" s="176">
        <f>IF((SHIPMENTS!G34)=0,"",SHIPMENTS!G34)</f>
        <v>46323</v>
      </c>
      <c r="F28" s="109">
        <f>VLOOKUP(A28,Items!$A$5:$J$1000,3,0)</f>
        <v>1</v>
      </c>
      <c r="G28" s="98">
        <f>VLOOKUP(A28,load!$A$4:$U$5001,5,0)</f>
        <v>0.52616666666666656</v>
      </c>
      <c r="H28" s="97">
        <f>Manhours!$C$9</f>
        <v>9</v>
      </c>
      <c r="I28" s="98">
        <f t="shared" ref="I28" si="19">+H28*$I$4</f>
        <v>81.899999999999991</v>
      </c>
      <c r="J28" s="99">
        <f t="shared" ref="J28" si="20">G28/I28</f>
        <v>6.4245014245014236E-3</v>
      </c>
      <c r="K28" s="99">
        <f t="shared" ref="K28" si="21">+J28*$I$4</f>
        <v>5.8462962962962953E-2</v>
      </c>
      <c r="L28" s="98">
        <f t="shared" ref="L28" si="22">IFERROR(J28-(J28*P28),0)</f>
        <v>6.4245014245014236E-3</v>
      </c>
      <c r="M28" s="98">
        <f t="shared" ref="M28" si="23">IFERROR(K28-(K28*P28),0)</f>
        <v>5.8462962962962953E-2</v>
      </c>
      <c r="N28" s="181">
        <f>IF(G28&gt;0,(EA!N28+1),O27)</f>
        <v>46315.344829822949</v>
      </c>
      <c r="O28" s="181">
        <f t="shared" si="9"/>
        <v>46315.351254324371</v>
      </c>
      <c r="P28" s="112">
        <f>VLOOKUP(A28,SHIPMENTS!$A$7:$AP$76,11,0)</f>
        <v>0</v>
      </c>
      <c r="Q28" s="156"/>
      <c r="R28" s="127" t="str">
        <f t="shared" si="3"/>
        <v/>
      </c>
      <c r="S28" s="127" t="str">
        <f t="shared" si="16"/>
        <v/>
      </c>
      <c r="T28" s="127" t="str">
        <f t="shared" si="16"/>
        <v/>
      </c>
      <c r="U28" s="127" t="str">
        <f t="shared" si="16"/>
        <v/>
      </c>
      <c r="V28" s="127" t="str">
        <f t="shared" si="16"/>
        <v/>
      </c>
      <c r="W28" s="127" t="str">
        <f t="shared" si="16"/>
        <v/>
      </c>
      <c r="X28" s="127" t="str">
        <f t="shared" si="16"/>
        <v/>
      </c>
      <c r="Y28" s="127" t="str">
        <f t="shared" si="16"/>
        <v/>
      </c>
      <c r="Z28" s="127" t="str">
        <f t="shared" si="16"/>
        <v>▲</v>
      </c>
      <c r="AA28" s="127" t="str">
        <f t="shared" si="16"/>
        <v/>
      </c>
      <c r="AB28" s="127" t="str">
        <f t="shared" si="16"/>
        <v/>
      </c>
      <c r="AC28" s="127" t="str">
        <f t="shared" si="16"/>
        <v/>
      </c>
      <c r="AD28" s="127" t="str">
        <f t="shared" si="16"/>
        <v/>
      </c>
      <c r="AE28" s="127" t="str">
        <f t="shared" si="16"/>
        <v/>
      </c>
      <c r="AF28" s="127" t="str">
        <f t="shared" si="16"/>
        <v/>
      </c>
      <c r="AG28" s="127" t="str">
        <f t="shared" si="16"/>
        <v/>
      </c>
      <c r="AH28" s="127" t="str">
        <f t="shared" ref="AH28:BF38" si="24">IF($E28=AH$3,"▲","")</f>
        <v/>
      </c>
      <c r="AI28" s="127" t="str">
        <f t="shared" si="24"/>
        <v/>
      </c>
      <c r="AJ28" s="127" t="str">
        <f t="shared" si="24"/>
        <v/>
      </c>
      <c r="AK28" s="127" t="str">
        <f t="shared" si="24"/>
        <v/>
      </c>
      <c r="AL28" s="127" t="str">
        <f t="shared" si="24"/>
        <v/>
      </c>
      <c r="AM28" s="127" t="str">
        <f t="shared" si="24"/>
        <v/>
      </c>
      <c r="AN28" s="127" t="str">
        <f t="shared" si="24"/>
        <v/>
      </c>
      <c r="AO28" s="127" t="str">
        <f t="shared" si="24"/>
        <v/>
      </c>
      <c r="AP28" s="127" t="str">
        <f t="shared" si="24"/>
        <v/>
      </c>
      <c r="AQ28" s="127" t="str">
        <f t="shared" si="24"/>
        <v/>
      </c>
      <c r="AR28" s="127" t="str">
        <f t="shared" si="24"/>
        <v/>
      </c>
      <c r="AS28" s="127" t="str">
        <f t="shared" si="24"/>
        <v/>
      </c>
      <c r="AT28" s="127" t="str">
        <f t="shared" si="24"/>
        <v/>
      </c>
      <c r="AU28" s="127" t="str">
        <f t="shared" si="24"/>
        <v/>
      </c>
      <c r="AV28" s="127" t="str">
        <f t="shared" si="24"/>
        <v/>
      </c>
      <c r="AW28" s="127" t="str">
        <f t="shared" si="24"/>
        <v/>
      </c>
      <c r="AX28" s="127" t="str">
        <f t="shared" si="24"/>
        <v/>
      </c>
      <c r="AY28" s="127" t="str">
        <f t="shared" si="24"/>
        <v/>
      </c>
      <c r="AZ28" s="127" t="str">
        <f t="shared" si="24"/>
        <v/>
      </c>
      <c r="BA28" s="127" t="str">
        <f t="shared" si="24"/>
        <v/>
      </c>
      <c r="BB28" s="127" t="str">
        <f t="shared" si="24"/>
        <v/>
      </c>
      <c r="BC28" s="127" t="str">
        <f t="shared" si="24"/>
        <v/>
      </c>
      <c r="BD28" s="127" t="str">
        <f t="shared" si="24"/>
        <v/>
      </c>
      <c r="BE28" s="127" t="str">
        <f t="shared" si="24"/>
        <v/>
      </c>
      <c r="BF28" s="127" t="str">
        <f t="shared" si="24"/>
        <v/>
      </c>
      <c r="BG28" s="127" t="str">
        <f t="shared" si="15"/>
        <v/>
      </c>
      <c r="BH28" s="127" t="str">
        <f t="shared" si="17"/>
        <v/>
      </c>
      <c r="BI28" s="127" t="str">
        <f t="shared" si="17"/>
        <v/>
      </c>
      <c r="BJ28" s="127" t="str">
        <f t="shared" si="17"/>
        <v/>
      </c>
      <c r="BK28" s="127" t="str">
        <f t="shared" si="17"/>
        <v/>
      </c>
      <c r="BL28" s="127" t="str">
        <f t="shared" si="17"/>
        <v/>
      </c>
      <c r="BM28" s="127" t="str">
        <f t="shared" si="17"/>
        <v/>
      </c>
      <c r="BN28" s="127" t="str">
        <f t="shared" si="17"/>
        <v/>
      </c>
      <c r="BO28" s="127" t="str">
        <f t="shared" si="17"/>
        <v/>
      </c>
      <c r="BP28" s="127" t="str">
        <f t="shared" si="17"/>
        <v/>
      </c>
      <c r="BQ28" s="127" t="str">
        <f t="shared" si="17"/>
        <v/>
      </c>
      <c r="BR28" s="127" t="str">
        <f t="shared" si="17"/>
        <v/>
      </c>
      <c r="BS28" s="127" t="str">
        <f t="shared" si="17"/>
        <v/>
      </c>
      <c r="BT28" s="127" t="str">
        <f t="shared" si="18"/>
        <v/>
      </c>
      <c r="BU28" s="127" t="str">
        <f t="shared" si="18"/>
        <v/>
      </c>
      <c r="BV28" s="127" t="str">
        <f t="shared" si="18"/>
        <v/>
      </c>
      <c r="BW28" s="127" t="str">
        <f t="shared" si="18"/>
        <v/>
      </c>
      <c r="BX28" s="127" t="str">
        <f t="shared" si="18"/>
        <v/>
      </c>
      <c r="BY28" s="127" t="str">
        <f t="shared" si="18"/>
        <v/>
      </c>
      <c r="BZ28" s="127" t="str">
        <f t="shared" si="18"/>
        <v/>
      </c>
      <c r="CA28" s="127" t="str">
        <f t="shared" si="18"/>
        <v/>
      </c>
      <c r="CB28" s="127" t="str">
        <f t="shared" si="18"/>
        <v/>
      </c>
      <c r="CC28" s="127" t="str">
        <f t="shared" si="18"/>
        <v/>
      </c>
      <c r="CD28" s="127" t="str">
        <f t="shared" si="18"/>
        <v/>
      </c>
      <c r="CE28" s="127" t="str">
        <f t="shared" si="18"/>
        <v/>
      </c>
    </row>
    <row r="29" spans="1:83" ht="38.25" x14ac:dyDescent="0.2">
      <c r="A29" s="106">
        <f>SHIPMENTS!A35</f>
        <v>9302</v>
      </c>
      <c r="B29" s="106" t="str">
        <f>SHIPMENTS!B35</f>
        <v>15900- Binangonan Rizal |Dr. Jonathan Emmanuel Sandejas</v>
      </c>
      <c r="C29" s="132">
        <f>SHIPMENTS!F35</f>
        <v>0.14499999999999999</v>
      </c>
      <c r="D29" s="107" t="str">
        <f>IF((SHIPMENTS!I35)=0,"",SHIPMENTS!I35)</f>
        <v/>
      </c>
      <c r="E29" s="176">
        <f>IF((SHIPMENTS!G35)=0,"",SHIPMENTS!G35)</f>
        <v>46323</v>
      </c>
      <c r="F29" s="109">
        <f>VLOOKUP(A29,Items!$A$5:$J$1000,3,0)</f>
        <v>1</v>
      </c>
      <c r="G29" s="98">
        <f>VLOOKUP(A29,load!$A$4:$U$5001,5,0)</f>
        <v>0.51366666666666672</v>
      </c>
      <c r="H29" s="97">
        <f>Manhours!$C$9</f>
        <v>9</v>
      </c>
      <c r="I29" s="98">
        <f t="shared" ref="I29:I32" si="25">+H29*$I$4</f>
        <v>81.899999999999991</v>
      </c>
      <c r="J29" s="99">
        <f t="shared" ref="J29:J32" si="26">G29/I29</f>
        <v>6.2718762718762732E-3</v>
      </c>
      <c r="K29" s="99">
        <f t="shared" ref="K29:K32" si="27">+J29*$I$4</f>
        <v>5.7074074074074083E-2</v>
      </c>
      <c r="L29" s="98">
        <f t="shared" ref="L29:L32" si="28">IFERROR(J29-(J29*P29),0)</f>
        <v>6.2718762718762732E-3</v>
      </c>
      <c r="M29" s="98">
        <f t="shared" ref="M29:M32" si="29">IFERROR(K29-(K29*P29),0)</f>
        <v>5.7074074074074083E-2</v>
      </c>
      <c r="N29" s="181">
        <f>IF(G29&gt;0,(EA!N29+1),O28)</f>
        <v>46315.364387210007</v>
      </c>
      <c r="O29" s="181">
        <f t="shared" si="9"/>
        <v>46315.370659086278</v>
      </c>
      <c r="P29" s="112">
        <f>VLOOKUP(A29,SHIPMENTS!$A$7:$AP$76,11,0)</f>
        <v>0</v>
      </c>
      <c r="Q29" s="156"/>
      <c r="R29" s="127" t="str">
        <f t="shared" si="3"/>
        <v/>
      </c>
      <c r="S29" s="127" t="str">
        <f t="shared" si="3"/>
        <v/>
      </c>
      <c r="T29" s="127" t="str">
        <f t="shared" si="3"/>
        <v/>
      </c>
      <c r="U29" s="127" t="str">
        <f t="shared" si="3"/>
        <v/>
      </c>
      <c r="V29" s="127" t="str">
        <f t="shared" si="3"/>
        <v/>
      </c>
      <c r="W29" s="127" t="str">
        <f t="shared" si="3"/>
        <v/>
      </c>
      <c r="X29" s="127" t="str">
        <f t="shared" si="3"/>
        <v/>
      </c>
      <c r="Y29" s="127" t="str">
        <f t="shared" si="3"/>
        <v/>
      </c>
      <c r="Z29" s="127" t="str">
        <f t="shared" si="3"/>
        <v>▲</v>
      </c>
      <c r="AA29" s="127" t="str">
        <f t="shared" si="3"/>
        <v/>
      </c>
      <c r="AB29" s="127" t="str">
        <f t="shared" si="3"/>
        <v/>
      </c>
      <c r="AC29" s="127" t="str">
        <f t="shared" si="3"/>
        <v/>
      </c>
      <c r="AD29" s="127" t="str">
        <f t="shared" si="3"/>
        <v/>
      </c>
      <c r="AE29" s="127" t="str">
        <f t="shared" si="3"/>
        <v/>
      </c>
      <c r="AF29" s="127" t="str">
        <f t="shared" si="3"/>
        <v/>
      </c>
      <c r="AG29" s="127" t="str">
        <f t="shared" si="3"/>
        <v/>
      </c>
      <c r="AH29" s="127" t="str">
        <f t="shared" si="24"/>
        <v/>
      </c>
      <c r="AI29" s="127" t="str">
        <f t="shared" si="24"/>
        <v/>
      </c>
      <c r="AJ29" s="127" t="str">
        <f t="shared" si="24"/>
        <v/>
      </c>
      <c r="AK29" s="127" t="str">
        <f t="shared" si="24"/>
        <v/>
      </c>
      <c r="AL29" s="127" t="str">
        <f t="shared" si="24"/>
        <v/>
      </c>
      <c r="AM29" s="127" t="str">
        <f t="shared" si="24"/>
        <v/>
      </c>
      <c r="AN29" s="127" t="str">
        <f t="shared" si="24"/>
        <v/>
      </c>
      <c r="AO29" s="127" t="str">
        <f t="shared" si="24"/>
        <v/>
      </c>
      <c r="AP29" s="127" t="str">
        <f t="shared" si="24"/>
        <v/>
      </c>
      <c r="AQ29" s="127" t="str">
        <f t="shared" si="24"/>
        <v/>
      </c>
      <c r="AR29" s="127" t="str">
        <f t="shared" si="24"/>
        <v/>
      </c>
      <c r="AS29" s="127" t="str">
        <f t="shared" si="24"/>
        <v/>
      </c>
      <c r="AT29" s="127" t="str">
        <f t="shared" si="24"/>
        <v/>
      </c>
      <c r="AU29" s="127" t="str">
        <f t="shared" si="24"/>
        <v/>
      </c>
      <c r="AV29" s="127" t="str">
        <f t="shared" si="24"/>
        <v/>
      </c>
      <c r="AW29" s="127" t="str">
        <f t="shared" si="24"/>
        <v/>
      </c>
      <c r="AX29" s="127" t="str">
        <f t="shared" si="24"/>
        <v/>
      </c>
      <c r="AY29" s="127" t="str">
        <f t="shared" si="24"/>
        <v/>
      </c>
      <c r="AZ29" s="127" t="str">
        <f t="shared" si="24"/>
        <v/>
      </c>
      <c r="BA29" s="127" t="str">
        <f t="shared" si="24"/>
        <v/>
      </c>
      <c r="BB29" s="127" t="str">
        <f t="shared" si="24"/>
        <v/>
      </c>
      <c r="BC29" s="127" t="str">
        <f t="shared" si="24"/>
        <v/>
      </c>
      <c r="BD29" s="127" t="str">
        <f t="shared" si="24"/>
        <v/>
      </c>
      <c r="BE29" s="127" t="str">
        <f t="shared" si="24"/>
        <v/>
      </c>
      <c r="BF29" s="127" t="str">
        <f t="shared" si="24"/>
        <v/>
      </c>
      <c r="BG29" s="127" t="str">
        <f t="shared" si="15"/>
        <v/>
      </c>
      <c r="BH29" s="127" t="str">
        <f t="shared" si="17"/>
        <v/>
      </c>
      <c r="BI29" s="127" t="str">
        <f t="shared" si="17"/>
        <v/>
      </c>
      <c r="BJ29" s="127" t="str">
        <f t="shared" si="17"/>
        <v/>
      </c>
      <c r="BK29" s="127" t="str">
        <f t="shared" si="17"/>
        <v/>
      </c>
      <c r="BL29" s="127" t="str">
        <f t="shared" si="17"/>
        <v/>
      </c>
      <c r="BM29" s="127" t="str">
        <f t="shared" si="17"/>
        <v/>
      </c>
      <c r="BN29" s="127" t="str">
        <f t="shared" si="17"/>
        <v/>
      </c>
      <c r="BO29" s="127" t="str">
        <f t="shared" si="17"/>
        <v/>
      </c>
      <c r="BP29" s="127" t="str">
        <f t="shared" si="17"/>
        <v/>
      </c>
      <c r="BQ29" s="127" t="str">
        <f t="shared" si="17"/>
        <v/>
      </c>
      <c r="BR29" s="127" t="str">
        <f t="shared" si="17"/>
        <v/>
      </c>
      <c r="BS29" s="127" t="str">
        <f t="shared" si="17"/>
        <v/>
      </c>
      <c r="BT29" s="127" t="str">
        <f t="shared" si="18"/>
        <v/>
      </c>
      <c r="BU29" s="127" t="str">
        <f t="shared" si="18"/>
        <v/>
      </c>
      <c r="BV29" s="127" t="str">
        <f t="shared" si="18"/>
        <v/>
      </c>
      <c r="BW29" s="127" t="str">
        <f t="shared" si="18"/>
        <v/>
      </c>
      <c r="BX29" s="127" t="str">
        <f t="shared" si="18"/>
        <v/>
      </c>
      <c r="BY29" s="127" t="str">
        <f t="shared" si="18"/>
        <v/>
      </c>
      <c r="BZ29" s="127" t="str">
        <f t="shared" si="18"/>
        <v/>
      </c>
      <c r="CA29" s="127" t="str">
        <f t="shared" si="18"/>
        <v/>
      </c>
      <c r="CB29" s="127" t="str">
        <f t="shared" si="18"/>
        <v/>
      </c>
      <c r="CC29" s="127" t="str">
        <f t="shared" si="18"/>
        <v/>
      </c>
      <c r="CD29" s="127" t="str">
        <f t="shared" si="18"/>
        <v/>
      </c>
      <c r="CE29" s="127" t="str">
        <f t="shared" si="18"/>
        <v/>
      </c>
    </row>
    <row r="30" spans="1:83" ht="25.5" hidden="1" x14ac:dyDescent="0.2">
      <c r="A30" s="106">
        <f>SHIPMENTS!A36</f>
        <v>8954</v>
      </c>
      <c r="B30" s="106" t="str">
        <f>SHIPMENTS!B36</f>
        <v>15900- Cainta Rizal | Mary Baquiran</v>
      </c>
      <c r="C30" s="132">
        <f>SHIPMENTS!F36</f>
        <v>6.4999999999999997E-3</v>
      </c>
      <c r="D30" s="107" t="str">
        <f>IF((SHIPMENTS!I36)=0,"",SHIPMENTS!I36)</f>
        <v/>
      </c>
      <c r="E30" s="176">
        <f>IF((SHIPMENTS!G36)=0,"",SHIPMENTS!G36)</f>
        <v>46323</v>
      </c>
      <c r="F30" s="109">
        <f>VLOOKUP(A30,Items!$A$5:$J$1000,3,0)</f>
        <v>0</v>
      </c>
      <c r="G30" s="98">
        <f>VLOOKUP(A30,load!$A$4:$U$5001,5,0)</f>
        <v>0</v>
      </c>
      <c r="H30" s="97">
        <f>Manhours!$C$9</f>
        <v>9</v>
      </c>
      <c r="I30" s="98">
        <f t="shared" si="25"/>
        <v>81.899999999999991</v>
      </c>
      <c r="J30" s="99">
        <f t="shared" si="26"/>
        <v>0</v>
      </c>
      <c r="K30" s="99">
        <f t="shared" si="27"/>
        <v>0</v>
      </c>
      <c r="L30" s="98">
        <f t="shared" si="28"/>
        <v>0</v>
      </c>
      <c r="M30" s="98">
        <f t="shared" si="29"/>
        <v>0</v>
      </c>
      <c r="N30" s="181">
        <f>IF(G30&gt;0,(EA!N30+1),O29)</f>
        <v>46315.370659086278</v>
      </c>
      <c r="O30" s="181">
        <f t="shared" si="9"/>
        <v>46315.370659086278</v>
      </c>
      <c r="P30" s="112" t="str">
        <f>VLOOKUP(A30,SHIPMENTS!$A$7:$AP$76,11,0)</f>
        <v>n/a</v>
      </c>
      <c r="Q30" s="156"/>
      <c r="R30" s="127" t="str">
        <f t="shared" ref="R30:AG45" si="30">IF($E30=R$3,"▲","")</f>
        <v/>
      </c>
      <c r="S30" s="127" t="str">
        <f t="shared" si="30"/>
        <v/>
      </c>
      <c r="T30" s="127" t="str">
        <f t="shared" si="30"/>
        <v/>
      </c>
      <c r="U30" s="127" t="str">
        <f t="shared" si="30"/>
        <v/>
      </c>
      <c r="V30" s="127" t="str">
        <f t="shared" si="30"/>
        <v/>
      </c>
      <c r="W30" s="127" t="str">
        <f t="shared" si="30"/>
        <v/>
      </c>
      <c r="X30" s="127" t="str">
        <f t="shared" si="30"/>
        <v/>
      </c>
      <c r="Y30" s="127" t="str">
        <f t="shared" si="30"/>
        <v/>
      </c>
      <c r="Z30" s="127" t="str">
        <f t="shared" si="30"/>
        <v>▲</v>
      </c>
      <c r="AA30" s="127" t="str">
        <f t="shared" si="30"/>
        <v/>
      </c>
      <c r="AB30" s="127" t="str">
        <f t="shared" si="30"/>
        <v/>
      </c>
      <c r="AC30" s="127" t="str">
        <f t="shared" si="30"/>
        <v/>
      </c>
      <c r="AD30" s="127" t="str">
        <f t="shared" si="30"/>
        <v/>
      </c>
      <c r="AE30" s="127" t="str">
        <f t="shared" si="30"/>
        <v/>
      </c>
      <c r="AF30" s="127" t="str">
        <f t="shared" si="30"/>
        <v/>
      </c>
      <c r="AG30" s="127" t="str">
        <f t="shared" si="30"/>
        <v/>
      </c>
      <c r="AH30" s="127" t="str">
        <f t="shared" si="24"/>
        <v/>
      </c>
      <c r="AI30" s="127" t="str">
        <f t="shared" si="24"/>
        <v/>
      </c>
      <c r="AJ30" s="127" t="str">
        <f t="shared" si="24"/>
        <v/>
      </c>
      <c r="AK30" s="127" t="str">
        <f t="shared" si="24"/>
        <v/>
      </c>
      <c r="AL30" s="127" t="str">
        <f t="shared" si="24"/>
        <v/>
      </c>
      <c r="AM30" s="127" t="str">
        <f t="shared" si="24"/>
        <v/>
      </c>
      <c r="AN30" s="127" t="str">
        <f t="shared" si="24"/>
        <v/>
      </c>
      <c r="AO30" s="127" t="str">
        <f t="shared" si="24"/>
        <v/>
      </c>
      <c r="AP30" s="127" t="str">
        <f t="shared" si="24"/>
        <v/>
      </c>
      <c r="AQ30" s="127" t="str">
        <f t="shared" si="24"/>
        <v/>
      </c>
      <c r="AR30" s="127" t="str">
        <f t="shared" si="24"/>
        <v/>
      </c>
      <c r="AS30" s="127" t="str">
        <f t="shared" si="24"/>
        <v/>
      </c>
      <c r="AT30" s="127" t="str">
        <f t="shared" si="24"/>
        <v/>
      </c>
      <c r="AU30" s="127" t="str">
        <f t="shared" si="24"/>
        <v/>
      </c>
      <c r="AV30" s="127" t="str">
        <f t="shared" si="24"/>
        <v/>
      </c>
      <c r="AW30" s="127" t="str">
        <f t="shared" si="24"/>
        <v/>
      </c>
      <c r="AX30" s="127" t="str">
        <f t="shared" si="24"/>
        <v/>
      </c>
      <c r="AY30" s="127" t="str">
        <f t="shared" si="24"/>
        <v/>
      </c>
      <c r="AZ30" s="127" t="str">
        <f t="shared" si="24"/>
        <v/>
      </c>
      <c r="BA30" s="127" t="str">
        <f t="shared" si="24"/>
        <v/>
      </c>
      <c r="BB30" s="127" t="str">
        <f t="shared" si="24"/>
        <v/>
      </c>
      <c r="BC30" s="127" t="str">
        <f t="shared" si="24"/>
        <v/>
      </c>
      <c r="BD30" s="127" t="str">
        <f t="shared" si="24"/>
        <v/>
      </c>
      <c r="BE30" s="127" t="str">
        <f t="shared" si="24"/>
        <v/>
      </c>
      <c r="BF30" s="127" t="str">
        <f t="shared" si="24"/>
        <v/>
      </c>
      <c r="BG30" s="127" t="str">
        <f t="shared" si="15"/>
        <v/>
      </c>
      <c r="BH30" s="127" t="str">
        <f t="shared" si="17"/>
        <v/>
      </c>
      <c r="BI30" s="127" t="str">
        <f t="shared" si="17"/>
        <v/>
      </c>
      <c r="BJ30" s="127" t="str">
        <f t="shared" si="17"/>
        <v/>
      </c>
      <c r="BK30" s="127" t="str">
        <f t="shared" si="17"/>
        <v/>
      </c>
      <c r="BL30" s="127" t="str">
        <f t="shared" si="17"/>
        <v/>
      </c>
      <c r="BM30" s="127" t="str">
        <f t="shared" si="17"/>
        <v/>
      </c>
      <c r="BN30" s="127" t="str">
        <f t="shared" si="17"/>
        <v/>
      </c>
      <c r="BO30" s="127" t="str">
        <f t="shared" si="17"/>
        <v/>
      </c>
      <c r="BP30" s="127" t="str">
        <f t="shared" si="17"/>
        <v/>
      </c>
      <c r="BQ30" s="127" t="str">
        <f t="shared" si="17"/>
        <v/>
      </c>
      <c r="BR30" s="127" t="str">
        <f t="shared" si="17"/>
        <v/>
      </c>
      <c r="BS30" s="127" t="str">
        <f t="shared" si="17"/>
        <v/>
      </c>
      <c r="BT30" s="127" t="str">
        <f t="shared" si="18"/>
        <v/>
      </c>
      <c r="BU30" s="127" t="str">
        <f t="shared" si="18"/>
        <v/>
      </c>
      <c r="BV30" s="127" t="str">
        <f t="shared" si="18"/>
        <v/>
      </c>
      <c r="BW30" s="127" t="str">
        <f t="shared" si="18"/>
        <v/>
      </c>
      <c r="BX30" s="127" t="str">
        <f t="shared" si="18"/>
        <v/>
      </c>
      <c r="BY30" s="127" t="str">
        <f t="shared" si="18"/>
        <v/>
      </c>
      <c r="BZ30" s="127" t="str">
        <f t="shared" si="18"/>
        <v/>
      </c>
      <c r="CA30" s="127" t="str">
        <f t="shared" si="18"/>
        <v/>
      </c>
      <c r="CB30" s="127" t="str">
        <f t="shared" si="18"/>
        <v/>
      </c>
      <c r="CC30" s="127" t="str">
        <f t="shared" si="18"/>
        <v/>
      </c>
      <c r="CD30" s="127" t="str">
        <f t="shared" si="18"/>
        <v/>
      </c>
      <c r="CE30" s="127" t="str">
        <f t="shared" si="18"/>
        <v/>
      </c>
    </row>
    <row r="31" spans="1:83" ht="25.5" hidden="1" x14ac:dyDescent="0.2">
      <c r="A31" s="106">
        <f>SHIPMENTS!A37</f>
        <v>9064</v>
      </c>
      <c r="B31" s="106" t="str">
        <f>SHIPMENTS!B37</f>
        <v>15900- Quezon City | Hans Jason Tan</v>
      </c>
      <c r="C31" s="132">
        <f>SHIPMENTS!F37</f>
        <v>6.4999999999999997E-3</v>
      </c>
      <c r="D31" s="107" t="str">
        <f>IF((SHIPMENTS!I37)=0,"",SHIPMENTS!I37)</f>
        <v/>
      </c>
      <c r="E31" s="176">
        <f>IF((SHIPMENTS!G37)=0,"",SHIPMENTS!G37)</f>
        <v>46323</v>
      </c>
      <c r="F31" s="109">
        <f>VLOOKUP(A31,Items!$A$5:$J$1000,3,0)</f>
        <v>0</v>
      </c>
      <c r="G31" s="98">
        <f>VLOOKUP(A31,load!$A$4:$U$5001,5,0)</f>
        <v>0</v>
      </c>
      <c r="H31" s="97">
        <f>Manhours!$C$9</f>
        <v>9</v>
      </c>
      <c r="I31" s="98">
        <f t="shared" si="25"/>
        <v>81.899999999999991</v>
      </c>
      <c r="J31" s="99">
        <f t="shared" si="26"/>
        <v>0</v>
      </c>
      <c r="K31" s="99">
        <f t="shared" si="27"/>
        <v>0</v>
      </c>
      <c r="L31" s="98">
        <f t="shared" si="28"/>
        <v>0</v>
      </c>
      <c r="M31" s="98">
        <f t="shared" si="29"/>
        <v>0</v>
      </c>
      <c r="N31" s="181">
        <f>IF(G31&gt;0,(EA!N31+1),O30)</f>
        <v>46315.370659086278</v>
      </c>
      <c r="O31" s="181">
        <f t="shared" si="9"/>
        <v>46315.370659086278</v>
      </c>
      <c r="P31" s="112" t="str">
        <f>VLOOKUP(A31,SHIPMENTS!$A$7:$AP$76,11,0)</f>
        <v>n/a</v>
      </c>
      <c r="Q31" s="156"/>
      <c r="R31" s="127" t="str">
        <f t="shared" si="30"/>
        <v/>
      </c>
      <c r="S31" s="127" t="str">
        <f t="shared" si="30"/>
        <v/>
      </c>
      <c r="T31" s="127" t="str">
        <f t="shared" si="30"/>
        <v/>
      </c>
      <c r="U31" s="127" t="str">
        <f t="shared" si="30"/>
        <v/>
      </c>
      <c r="V31" s="127" t="str">
        <f t="shared" si="30"/>
        <v/>
      </c>
      <c r="W31" s="127" t="str">
        <f t="shared" si="30"/>
        <v/>
      </c>
      <c r="X31" s="127" t="str">
        <f t="shared" si="30"/>
        <v/>
      </c>
      <c r="Y31" s="127" t="str">
        <f t="shared" si="30"/>
        <v/>
      </c>
      <c r="Z31" s="127" t="str">
        <f t="shared" si="30"/>
        <v>▲</v>
      </c>
      <c r="AA31" s="127" t="str">
        <f t="shared" si="30"/>
        <v/>
      </c>
      <c r="AB31" s="127" t="str">
        <f t="shared" si="30"/>
        <v/>
      </c>
      <c r="AC31" s="127" t="str">
        <f t="shared" si="30"/>
        <v/>
      </c>
      <c r="AD31" s="127" t="str">
        <f t="shared" si="30"/>
        <v/>
      </c>
      <c r="AE31" s="127" t="str">
        <f t="shared" si="30"/>
        <v/>
      </c>
      <c r="AF31" s="127" t="str">
        <f t="shared" si="30"/>
        <v/>
      </c>
      <c r="AG31" s="127" t="str">
        <f t="shared" si="30"/>
        <v/>
      </c>
      <c r="AH31" s="127" t="str">
        <f t="shared" si="24"/>
        <v/>
      </c>
      <c r="AI31" s="127" t="str">
        <f t="shared" si="24"/>
        <v/>
      </c>
      <c r="AJ31" s="127" t="str">
        <f t="shared" si="24"/>
        <v/>
      </c>
      <c r="AK31" s="127" t="str">
        <f t="shared" si="24"/>
        <v/>
      </c>
      <c r="AL31" s="127" t="str">
        <f t="shared" si="24"/>
        <v/>
      </c>
      <c r="AM31" s="127" t="str">
        <f t="shared" si="24"/>
        <v/>
      </c>
      <c r="AN31" s="127" t="str">
        <f t="shared" si="24"/>
        <v/>
      </c>
      <c r="AO31" s="127" t="str">
        <f t="shared" si="24"/>
        <v/>
      </c>
      <c r="AP31" s="127" t="str">
        <f t="shared" si="24"/>
        <v/>
      </c>
      <c r="AQ31" s="127" t="str">
        <f t="shared" si="24"/>
        <v/>
      </c>
      <c r="AR31" s="127" t="str">
        <f t="shared" si="24"/>
        <v/>
      </c>
      <c r="AS31" s="127" t="str">
        <f t="shared" si="24"/>
        <v/>
      </c>
      <c r="AT31" s="127" t="str">
        <f t="shared" si="24"/>
        <v/>
      </c>
      <c r="AU31" s="127" t="str">
        <f t="shared" si="24"/>
        <v/>
      </c>
      <c r="AV31" s="127" t="str">
        <f t="shared" si="24"/>
        <v/>
      </c>
      <c r="AW31" s="127" t="str">
        <f t="shared" si="24"/>
        <v/>
      </c>
      <c r="AX31" s="127" t="str">
        <f t="shared" si="24"/>
        <v/>
      </c>
      <c r="AY31" s="127" t="str">
        <f t="shared" si="24"/>
        <v/>
      </c>
      <c r="AZ31" s="127" t="str">
        <f t="shared" si="24"/>
        <v/>
      </c>
      <c r="BA31" s="127" t="str">
        <f t="shared" si="24"/>
        <v/>
      </c>
      <c r="BB31" s="127" t="str">
        <f t="shared" si="24"/>
        <v/>
      </c>
      <c r="BC31" s="127" t="str">
        <f t="shared" si="24"/>
        <v/>
      </c>
      <c r="BD31" s="127" t="str">
        <f t="shared" si="24"/>
        <v/>
      </c>
      <c r="BE31" s="127" t="str">
        <f t="shared" si="24"/>
        <v/>
      </c>
      <c r="BF31" s="127" t="str">
        <f t="shared" si="24"/>
        <v/>
      </c>
      <c r="BG31" s="127" t="str">
        <f t="shared" si="15"/>
        <v/>
      </c>
      <c r="BH31" s="127" t="str">
        <f t="shared" si="17"/>
        <v/>
      </c>
      <c r="BI31" s="127" t="str">
        <f t="shared" si="17"/>
        <v/>
      </c>
      <c r="BJ31" s="127" t="str">
        <f t="shared" si="17"/>
        <v/>
      </c>
      <c r="BK31" s="127" t="str">
        <f t="shared" si="17"/>
        <v/>
      </c>
      <c r="BL31" s="127" t="str">
        <f t="shared" si="17"/>
        <v/>
      </c>
      <c r="BM31" s="127" t="str">
        <f t="shared" si="17"/>
        <v/>
      </c>
      <c r="BN31" s="127" t="str">
        <f t="shared" si="17"/>
        <v/>
      </c>
      <c r="BO31" s="127" t="str">
        <f t="shared" si="17"/>
        <v/>
      </c>
      <c r="BP31" s="127" t="str">
        <f t="shared" si="17"/>
        <v/>
      </c>
      <c r="BQ31" s="127" t="str">
        <f t="shared" si="17"/>
        <v/>
      </c>
      <c r="BR31" s="127" t="str">
        <f t="shared" si="17"/>
        <v/>
      </c>
      <c r="BS31" s="127" t="str">
        <f t="shared" si="17"/>
        <v/>
      </c>
      <c r="BT31" s="127" t="str">
        <f t="shared" si="18"/>
        <v/>
      </c>
      <c r="BU31" s="127" t="str">
        <f t="shared" si="18"/>
        <v/>
      </c>
      <c r="BV31" s="127" t="str">
        <f t="shared" si="18"/>
        <v/>
      </c>
      <c r="BW31" s="127" t="str">
        <f t="shared" si="18"/>
        <v/>
      </c>
      <c r="BX31" s="127" t="str">
        <f t="shared" si="18"/>
        <v/>
      </c>
      <c r="BY31" s="127" t="str">
        <f t="shared" si="18"/>
        <v/>
      </c>
      <c r="BZ31" s="127" t="str">
        <f t="shared" si="18"/>
        <v/>
      </c>
      <c r="CA31" s="127" t="str">
        <f t="shared" si="18"/>
        <v/>
      </c>
      <c r="CB31" s="127" t="str">
        <f t="shared" si="18"/>
        <v/>
      </c>
      <c r="CC31" s="127" t="str">
        <f t="shared" si="18"/>
        <v/>
      </c>
      <c r="CD31" s="127" t="str">
        <f t="shared" si="18"/>
        <v/>
      </c>
      <c r="CE31" s="127" t="str">
        <f t="shared" si="18"/>
        <v/>
      </c>
    </row>
    <row r="32" spans="1:83" ht="25.5" hidden="1" x14ac:dyDescent="0.2">
      <c r="A32" s="106">
        <f>SHIPMENTS!A38</f>
        <v>9065</v>
      </c>
      <c r="B32" s="106" t="str">
        <f>SHIPMENTS!B38</f>
        <v>15900- Cavite | Kristine Austria</v>
      </c>
      <c r="C32" s="132">
        <f>SHIPMENTS!F38</f>
        <v>0</v>
      </c>
      <c r="D32" s="107" t="str">
        <f>IF((SHIPMENTS!I38)=0,"",SHIPMENTS!I38)</f>
        <v/>
      </c>
      <c r="E32" s="176">
        <f>IF((SHIPMENTS!G38)=0,"",SHIPMENTS!G38)</f>
        <v>46323</v>
      </c>
      <c r="F32" s="109">
        <f>VLOOKUP(A32,Items!$A$5:$J$1000,3,0)</f>
        <v>0</v>
      </c>
      <c r="G32" s="98">
        <f>VLOOKUP(A32,load!$A$4:$U$5001,5,0)</f>
        <v>0</v>
      </c>
      <c r="H32" s="97">
        <f>Manhours!$C$9</f>
        <v>9</v>
      </c>
      <c r="I32" s="98">
        <f t="shared" si="25"/>
        <v>81.899999999999991</v>
      </c>
      <c r="J32" s="99">
        <f t="shared" si="26"/>
        <v>0</v>
      </c>
      <c r="K32" s="99">
        <f t="shared" si="27"/>
        <v>0</v>
      </c>
      <c r="L32" s="98">
        <f t="shared" si="28"/>
        <v>0</v>
      </c>
      <c r="M32" s="98">
        <f t="shared" si="29"/>
        <v>0</v>
      </c>
      <c r="N32" s="181">
        <f>IF(G32&gt;0,(EA!N32+1),O31)</f>
        <v>46315.370659086278</v>
      </c>
      <c r="O32" s="181">
        <f t="shared" si="9"/>
        <v>46315.370659086278</v>
      </c>
      <c r="P32" s="112" t="str">
        <f>VLOOKUP(A32,SHIPMENTS!$A$7:$AP$76,11,0)</f>
        <v>n/a</v>
      </c>
      <c r="Q32" s="156"/>
      <c r="R32" s="127" t="str">
        <f t="shared" si="30"/>
        <v/>
      </c>
      <c r="S32" s="127" t="str">
        <f t="shared" si="30"/>
        <v/>
      </c>
      <c r="T32" s="127" t="str">
        <f t="shared" si="30"/>
        <v/>
      </c>
      <c r="U32" s="127" t="str">
        <f t="shared" si="30"/>
        <v/>
      </c>
      <c r="V32" s="127" t="str">
        <f t="shared" si="30"/>
        <v/>
      </c>
      <c r="W32" s="127" t="str">
        <f t="shared" si="30"/>
        <v/>
      </c>
      <c r="X32" s="127" t="str">
        <f t="shared" si="30"/>
        <v/>
      </c>
      <c r="Y32" s="127" t="str">
        <f t="shared" si="30"/>
        <v/>
      </c>
      <c r="Z32" s="127" t="str">
        <f t="shared" si="30"/>
        <v>▲</v>
      </c>
      <c r="AA32" s="127" t="str">
        <f t="shared" si="30"/>
        <v/>
      </c>
      <c r="AB32" s="127" t="str">
        <f t="shared" si="30"/>
        <v/>
      </c>
      <c r="AC32" s="127" t="str">
        <f t="shared" si="30"/>
        <v/>
      </c>
      <c r="AD32" s="127" t="str">
        <f t="shared" si="30"/>
        <v/>
      </c>
      <c r="AE32" s="127" t="str">
        <f t="shared" si="30"/>
        <v/>
      </c>
      <c r="AF32" s="127" t="str">
        <f t="shared" si="30"/>
        <v/>
      </c>
      <c r="AG32" s="127" t="str">
        <f t="shared" si="30"/>
        <v/>
      </c>
      <c r="AH32" s="127" t="str">
        <f t="shared" si="24"/>
        <v/>
      </c>
      <c r="AI32" s="127" t="str">
        <f t="shared" si="24"/>
        <v/>
      </c>
      <c r="AJ32" s="127" t="str">
        <f t="shared" si="24"/>
        <v/>
      </c>
      <c r="AK32" s="127" t="str">
        <f t="shared" si="24"/>
        <v/>
      </c>
      <c r="AL32" s="127" t="str">
        <f t="shared" si="24"/>
        <v/>
      </c>
      <c r="AM32" s="127" t="str">
        <f t="shared" si="24"/>
        <v/>
      </c>
      <c r="AN32" s="127" t="str">
        <f t="shared" si="24"/>
        <v/>
      </c>
      <c r="AO32" s="127" t="str">
        <f t="shared" si="24"/>
        <v/>
      </c>
      <c r="AP32" s="127" t="str">
        <f t="shared" si="24"/>
        <v/>
      </c>
      <c r="AQ32" s="127" t="str">
        <f t="shared" si="24"/>
        <v/>
      </c>
      <c r="AR32" s="127" t="str">
        <f t="shared" si="24"/>
        <v/>
      </c>
      <c r="AS32" s="127" t="str">
        <f t="shared" si="24"/>
        <v/>
      </c>
      <c r="AT32" s="127" t="str">
        <f t="shared" si="24"/>
        <v/>
      </c>
      <c r="AU32" s="127" t="str">
        <f t="shared" si="24"/>
        <v/>
      </c>
      <c r="AV32" s="127" t="str">
        <f t="shared" si="24"/>
        <v/>
      </c>
      <c r="AW32" s="127" t="str">
        <f t="shared" si="24"/>
        <v/>
      </c>
      <c r="AX32" s="127" t="str">
        <f t="shared" si="24"/>
        <v/>
      </c>
      <c r="AY32" s="127" t="str">
        <f t="shared" si="24"/>
        <v/>
      </c>
      <c r="AZ32" s="127" t="str">
        <f t="shared" si="24"/>
        <v/>
      </c>
      <c r="BA32" s="127" t="str">
        <f t="shared" si="24"/>
        <v/>
      </c>
      <c r="BB32" s="127" t="str">
        <f t="shared" si="24"/>
        <v/>
      </c>
      <c r="BC32" s="127" t="str">
        <f t="shared" si="24"/>
        <v/>
      </c>
      <c r="BD32" s="127" t="str">
        <f t="shared" si="24"/>
        <v/>
      </c>
      <c r="BE32" s="127" t="str">
        <f t="shared" si="24"/>
        <v/>
      </c>
      <c r="BF32" s="127" t="str">
        <f t="shared" si="24"/>
        <v/>
      </c>
      <c r="BG32" s="127" t="str">
        <f t="shared" si="15"/>
        <v/>
      </c>
      <c r="BH32" s="127" t="str">
        <f t="shared" si="17"/>
        <v/>
      </c>
      <c r="BI32" s="127" t="str">
        <f t="shared" si="17"/>
        <v/>
      </c>
      <c r="BJ32" s="127" t="str">
        <f t="shared" si="17"/>
        <v/>
      </c>
      <c r="BK32" s="127" t="str">
        <f t="shared" si="17"/>
        <v/>
      </c>
      <c r="BL32" s="127" t="str">
        <f t="shared" si="17"/>
        <v/>
      </c>
      <c r="BM32" s="127" t="str">
        <f t="shared" si="17"/>
        <v/>
      </c>
      <c r="BN32" s="127" t="str">
        <f t="shared" si="17"/>
        <v/>
      </c>
      <c r="BO32" s="127" t="str">
        <f t="shared" si="17"/>
        <v/>
      </c>
      <c r="BP32" s="127" t="str">
        <f t="shared" si="17"/>
        <v/>
      </c>
      <c r="BQ32" s="127" t="str">
        <f t="shared" si="17"/>
        <v/>
      </c>
      <c r="BR32" s="127" t="str">
        <f t="shared" si="17"/>
        <v/>
      </c>
      <c r="BS32" s="127" t="str">
        <f t="shared" si="17"/>
        <v/>
      </c>
      <c r="BT32" s="127" t="str">
        <f t="shared" si="18"/>
        <v/>
      </c>
      <c r="BU32" s="127" t="str">
        <f t="shared" si="18"/>
        <v/>
      </c>
      <c r="BV32" s="127" t="str">
        <f t="shared" si="18"/>
        <v/>
      </c>
      <c r="BW32" s="127" t="str">
        <f t="shared" si="18"/>
        <v/>
      </c>
      <c r="BX32" s="127" t="str">
        <f t="shared" si="18"/>
        <v/>
      </c>
      <c r="BY32" s="127" t="str">
        <f t="shared" si="18"/>
        <v/>
      </c>
      <c r="BZ32" s="127" t="str">
        <f t="shared" si="18"/>
        <v/>
      </c>
      <c r="CA32" s="127" t="str">
        <f t="shared" si="18"/>
        <v/>
      </c>
      <c r="CB32" s="127" t="str">
        <f t="shared" si="18"/>
        <v/>
      </c>
      <c r="CC32" s="127" t="str">
        <f t="shared" si="18"/>
        <v/>
      </c>
      <c r="CD32" s="127" t="str">
        <f t="shared" si="18"/>
        <v/>
      </c>
      <c r="CE32" s="127" t="str">
        <f t="shared" si="18"/>
        <v/>
      </c>
    </row>
    <row r="33" spans="1:83" ht="25.5" x14ac:dyDescent="0.2">
      <c r="A33" s="106">
        <f>SHIPMENTS!A39</f>
        <v>9303</v>
      </c>
      <c r="B33" s="106" t="str">
        <f>SHIPMENTS!B39</f>
        <v>15900- Manila Office Stocking</v>
      </c>
      <c r="C33" s="132">
        <f>SHIPMENTS!F39</f>
        <v>0.63700000000000001</v>
      </c>
      <c r="D33" s="107" t="str">
        <f>IF((SHIPMENTS!I39)=0,"",SHIPMENTS!I39)</f>
        <v/>
      </c>
      <c r="E33" s="176">
        <f>IF((SHIPMENTS!G39)=0,"",SHIPMENTS!G39)</f>
        <v>46323</v>
      </c>
      <c r="F33" s="109">
        <f>VLOOKUP(A33,Items!$A$5:$J$1000,3,0)</f>
        <v>0</v>
      </c>
      <c r="G33" s="98">
        <f>VLOOKUP(A33,load!$A$4:$U$5001,5,0)</f>
        <v>1.5712666666666664</v>
      </c>
      <c r="H33" s="97">
        <f>Manhours!$C$9</f>
        <v>9</v>
      </c>
      <c r="I33" s="98">
        <f t="shared" ref="I33:I45" si="31">+H33*$I$4</f>
        <v>81.899999999999991</v>
      </c>
      <c r="J33" s="99">
        <f t="shared" ref="J33:J45" si="32">G33/I33</f>
        <v>1.9185185185185184E-2</v>
      </c>
      <c r="K33" s="99">
        <f t="shared" ref="K33:K45" si="33">+J33*$I$4</f>
        <v>0.17458518518518518</v>
      </c>
      <c r="L33" s="98">
        <f t="shared" ref="L33:L45" si="34">IFERROR(J33-(J33*P33),0)</f>
        <v>1.9185185185185184E-2</v>
      </c>
      <c r="M33" s="98">
        <f t="shared" ref="M33:M45" si="35">IFERROR(K33-(K33*P33),0)</f>
        <v>0.17458518518518518</v>
      </c>
      <c r="N33" s="181">
        <f>IF(G33&gt;0,(EA!N33+1),O32)</f>
        <v>46315.383935439553</v>
      </c>
      <c r="O33" s="181">
        <f t="shared" ref="O33:O45" si="36">N33+L33</f>
        <v>46315.403120624738</v>
      </c>
      <c r="P33" s="112">
        <f>VLOOKUP(A33,SHIPMENTS!$A$7:$AP$76,11,0)</f>
        <v>0</v>
      </c>
      <c r="Q33" s="156"/>
      <c r="R33" s="127" t="str">
        <f t="shared" si="30"/>
        <v/>
      </c>
      <c r="S33" s="127" t="str">
        <f t="shared" si="30"/>
        <v/>
      </c>
      <c r="T33" s="127" t="str">
        <f t="shared" si="30"/>
        <v/>
      </c>
      <c r="U33" s="127" t="str">
        <f t="shared" si="30"/>
        <v/>
      </c>
      <c r="V33" s="127" t="str">
        <f t="shared" si="30"/>
        <v/>
      </c>
      <c r="W33" s="127" t="str">
        <f t="shared" si="30"/>
        <v/>
      </c>
      <c r="X33" s="127" t="str">
        <f t="shared" si="30"/>
        <v/>
      </c>
      <c r="Y33" s="127" t="str">
        <f t="shared" si="30"/>
        <v/>
      </c>
      <c r="Z33" s="127" t="str">
        <f t="shared" si="30"/>
        <v>▲</v>
      </c>
      <c r="AA33" s="127" t="str">
        <f t="shared" si="30"/>
        <v/>
      </c>
      <c r="AB33" s="127" t="str">
        <f t="shared" si="30"/>
        <v/>
      </c>
      <c r="AC33" s="127" t="str">
        <f t="shared" si="30"/>
        <v/>
      </c>
      <c r="AD33" s="127" t="str">
        <f t="shared" si="30"/>
        <v/>
      </c>
      <c r="AE33" s="127" t="str">
        <f t="shared" si="30"/>
        <v/>
      </c>
      <c r="AF33" s="127" t="str">
        <f t="shared" si="30"/>
        <v/>
      </c>
      <c r="AG33" s="127" t="str">
        <f t="shared" si="30"/>
        <v/>
      </c>
      <c r="AH33" s="127" t="str">
        <f t="shared" si="24"/>
        <v/>
      </c>
      <c r="AI33" s="127" t="str">
        <f t="shared" si="24"/>
        <v/>
      </c>
      <c r="AJ33" s="127" t="str">
        <f t="shared" si="24"/>
        <v/>
      </c>
      <c r="AK33" s="127" t="str">
        <f t="shared" si="24"/>
        <v/>
      </c>
      <c r="AL33" s="127" t="str">
        <f t="shared" si="24"/>
        <v/>
      </c>
      <c r="AM33" s="127" t="str">
        <f t="shared" si="24"/>
        <v/>
      </c>
      <c r="AN33" s="127" t="str">
        <f t="shared" si="24"/>
        <v/>
      </c>
      <c r="AO33" s="127" t="str">
        <f t="shared" si="24"/>
        <v/>
      </c>
      <c r="AP33" s="127" t="str">
        <f t="shared" si="24"/>
        <v/>
      </c>
      <c r="AQ33" s="127" t="str">
        <f t="shared" si="24"/>
        <v/>
      </c>
      <c r="AR33" s="127" t="str">
        <f t="shared" si="24"/>
        <v/>
      </c>
      <c r="AS33" s="127" t="str">
        <f t="shared" si="24"/>
        <v/>
      </c>
      <c r="AT33" s="127" t="str">
        <f t="shared" si="24"/>
        <v/>
      </c>
      <c r="AU33" s="127" t="str">
        <f t="shared" si="24"/>
        <v/>
      </c>
      <c r="AV33" s="127" t="str">
        <f t="shared" si="24"/>
        <v/>
      </c>
      <c r="AW33" s="127" t="str">
        <f t="shared" si="24"/>
        <v/>
      </c>
      <c r="AX33" s="127" t="str">
        <f t="shared" si="24"/>
        <v/>
      </c>
      <c r="AY33" s="127" t="str">
        <f t="shared" si="24"/>
        <v/>
      </c>
      <c r="AZ33" s="127" t="str">
        <f t="shared" si="24"/>
        <v/>
      </c>
      <c r="BA33" s="127" t="str">
        <f t="shared" si="24"/>
        <v/>
      </c>
      <c r="BB33" s="127" t="str">
        <f t="shared" si="24"/>
        <v/>
      </c>
      <c r="BC33" s="127" t="str">
        <f t="shared" si="24"/>
        <v/>
      </c>
      <c r="BD33" s="127" t="str">
        <f t="shared" si="24"/>
        <v/>
      </c>
      <c r="BE33" s="127" t="str">
        <f t="shared" si="24"/>
        <v/>
      </c>
      <c r="BF33" s="127" t="str">
        <f t="shared" si="24"/>
        <v/>
      </c>
      <c r="BG33" s="127" t="str">
        <f t="shared" si="15"/>
        <v/>
      </c>
      <c r="BH33" s="127" t="str">
        <f t="shared" si="17"/>
        <v/>
      </c>
      <c r="BI33" s="127" t="str">
        <f t="shared" si="17"/>
        <v/>
      </c>
      <c r="BJ33" s="127" t="str">
        <f t="shared" si="17"/>
        <v/>
      </c>
      <c r="BK33" s="127" t="str">
        <f t="shared" si="17"/>
        <v/>
      </c>
      <c r="BL33" s="127" t="str">
        <f t="shared" si="17"/>
        <v/>
      </c>
      <c r="BM33" s="127" t="str">
        <f t="shared" si="17"/>
        <v/>
      </c>
      <c r="BN33" s="127" t="str">
        <f t="shared" si="17"/>
        <v/>
      </c>
      <c r="BO33" s="127" t="str">
        <f t="shared" si="17"/>
        <v/>
      </c>
      <c r="BP33" s="127" t="str">
        <f t="shared" si="17"/>
        <v/>
      </c>
      <c r="BQ33" s="127" t="str">
        <f t="shared" si="17"/>
        <v/>
      </c>
      <c r="BR33" s="127" t="str">
        <f t="shared" si="17"/>
        <v/>
      </c>
      <c r="BS33" s="127" t="str">
        <f t="shared" si="17"/>
        <v/>
      </c>
      <c r="BT33" s="127" t="str">
        <f t="shared" si="18"/>
        <v/>
      </c>
      <c r="BU33" s="127" t="str">
        <f t="shared" si="18"/>
        <v/>
      </c>
      <c r="BV33" s="127" t="str">
        <f t="shared" si="18"/>
        <v/>
      </c>
      <c r="BW33" s="127" t="str">
        <f t="shared" si="18"/>
        <v/>
      </c>
      <c r="BX33" s="127" t="str">
        <f t="shared" si="18"/>
        <v/>
      </c>
      <c r="BY33" s="127" t="str">
        <f t="shared" si="18"/>
        <v/>
      </c>
      <c r="BZ33" s="127" t="str">
        <f t="shared" si="18"/>
        <v/>
      </c>
      <c r="CA33" s="127" t="str">
        <f t="shared" si="18"/>
        <v/>
      </c>
      <c r="CB33" s="127" t="str">
        <f t="shared" si="18"/>
        <v/>
      </c>
      <c r="CC33" s="127" t="str">
        <f t="shared" si="18"/>
        <v/>
      </c>
      <c r="CD33" s="127" t="str">
        <f t="shared" si="18"/>
        <v/>
      </c>
      <c r="CE33" s="127" t="str">
        <f t="shared" si="18"/>
        <v/>
      </c>
    </row>
    <row r="34" spans="1:83" hidden="1" x14ac:dyDescent="0.2">
      <c r="A34" s="106">
        <f>SHIPMENTS!A40</f>
        <v>9204</v>
      </c>
      <c r="B34" s="106" t="str">
        <f>SHIPMENTS!B40</f>
        <v>2300-HONGKONG</v>
      </c>
      <c r="C34" s="132">
        <f>SHIPMENTS!F40</f>
        <v>3.1</v>
      </c>
      <c r="D34" s="107" t="str">
        <f>IF((SHIPMENTS!I40)=0,"",SHIPMENTS!I40)</f>
        <v/>
      </c>
      <c r="E34" s="176">
        <f>IF((SHIPMENTS!G40)=0,"",SHIPMENTS!G40)</f>
        <v>46324</v>
      </c>
      <c r="F34" s="109">
        <f>VLOOKUP(A34,Items!$A$5:$J$1000,3,0)</f>
        <v>0</v>
      </c>
      <c r="G34" s="98">
        <f>VLOOKUP(A34,load!$A$4:$U$5001,5,0)</f>
        <v>0</v>
      </c>
      <c r="H34" s="97">
        <f>Manhours!$C$9</f>
        <v>9</v>
      </c>
      <c r="I34" s="98">
        <f t="shared" si="31"/>
        <v>81.899999999999991</v>
      </c>
      <c r="J34" s="99">
        <f t="shared" si="32"/>
        <v>0</v>
      </c>
      <c r="K34" s="99">
        <f t="shared" si="33"/>
        <v>0</v>
      </c>
      <c r="L34" s="98">
        <f t="shared" si="34"/>
        <v>0</v>
      </c>
      <c r="M34" s="98">
        <f t="shared" si="35"/>
        <v>0</v>
      </c>
      <c r="N34" s="181">
        <f>IF(G34&gt;0,(EA!N34+1),O33)</f>
        <v>46315.403120624738</v>
      </c>
      <c r="O34" s="181">
        <f t="shared" si="36"/>
        <v>46315.403120624738</v>
      </c>
      <c r="P34" s="112" t="str">
        <f>VLOOKUP(A34,SHIPMENTS!$A$7:$AP$76,11,0)</f>
        <v>n/a</v>
      </c>
      <c r="Q34" s="156"/>
      <c r="R34" s="127" t="str">
        <f t="shared" si="30"/>
        <v/>
      </c>
      <c r="S34" s="127" t="str">
        <f t="shared" si="30"/>
        <v/>
      </c>
      <c r="T34" s="127" t="str">
        <f t="shared" si="30"/>
        <v/>
      </c>
      <c r="U34" s="127" t="str">
        <f t="shared" si="30"/>
        <v/>
      </c>
      <c r="V34" s="127" t="str">
        <f t="shared" si="30"/>
        <v/>
      </c>
      <c r="W34" s="127" t="str">
        <f t="shared" si="30"/>
        <v/>
      </c>
      <c r="X34" s="127" t="str">
        <f t="shared" si="30"/>
        <v/>
      </c>
      <c r="Y34" s="127" t="str">
        <f t="shared" si="30"/>
        <v/>
      </c>
      <c r="Z34" s="127" t="str">
        <f t="shared" si="30"/>
        <v/>
      </c>
      <c r="AA34" s="127" t="str">
        <f t="shared" si="30"/>
        <v>▲</v>
      </c>
      <c r="AB34" s="127" t="str">
        <f t="shared" si="30"/>
        <v/>
      </c>
      <c r="AC34" s="127" t="str">
        <f t="shared" si="30"/>
        <v/>
      </c>
      <c r="AD34" s="127" t="str">
        <f t="shared" si="30"/>
        <v/>
      </c>
      <c r="AE34" s="127" t="str">
        <f t="shared" si="30"/>
        <v/>
      </c>
      <c r="AF34" s="127" t="str">
        <f t="shared" si="30"/>
        <v/>
      </c>
      <c r="AG34" s="127" t="str">
        <f t="shared" si="30"/>
        <v/>
      </c>
      <c r="AH34" s="127" t="str">
        <f t="shared" si="24"/>
        <v/>
      </c>
      <c r="AI34" s="127" t="str">
        <f t="shared" si="24"/>
        <v/>
      </c>
      <c r="AJ34" s="127" t="str">
        <f t="shared" si="24"/>
        <v/>
      </c>
      <c r="AK34" s="127" t="str">
        <f t="shared" si="24"/>
        <v/>
      </c>
      <c r="AL34" s="127" t="str">
        <f t="shared" si="24"/>
        <v/>
      </c>
      <c r="AM34" s="127" t="str">
        <f t="shared" si="24"/>
        <v/>
      </c>
      <c r="AN34" s="127" t="str">
        <f t="shared" si="24"/>
        <v/>
      </c>
      <c r="AO34" s="127" t="str">
        <f t="shared" si="24"/>
        <v/>
      </c>
      <c r="AP34" s="127" t="str">
        <f t="shared" si="24"/>
        <v/>
      </c>
      <c r="AQ34" s="127" t="str">
        <f t="shared" si="24"/>
        <v/>
      </c>
      <c r="AR34" s="127" t="str">
        <f t="shared" si="24"/>
        <v/>
      </c>
      <c r="AS34" s="127" t="str">
        <f t="shared" si="24"/>
        <v/>
      </c>
      <c r="AT34" s="127" t="str">
        <f t="shared" si="24"/>
        <v/>
      </c>
      <c r="AU34" s="127" t="str">
        <f t="shared" si="24"/>
        <v/>
      </c>
      <c r="AV34" s="127" t="str">
        <f t="shared" si="24"/>
        <v/>
      </c>
      <c r="AW34" s="127" t="str">
        <f t="shared" si="24"/>
        <v/>
      </c>
      <c r="AX34" s="127" t="str">
        <f t="shared" si="24"/>
        <v/>
      </c>
      <c r="AY34" s="127" t="str">
        <f t="shared" si="24"/>
        <v/>
      </c>
      <c r="AZ34" s="127" t="str">
        <f t="shared" si="24"/>
        <v/>
      </c>
      <c r="BA34" s="127" t="str">
        <f t="shared" si="24"/>
        <v/>
      </c>
      <c r="BB34" s="127" t="str">
        <f t="shared" si="24"/>
        <v/>
      </c>
      <c r="BC34" s="127" t="str">
        <f t="shared" si="24"/>
        <v/>
      </c>
      <c r="BD34" s="127" t="str">
        <f t="shared" si="24"/>
        <v/>
      </c>
      <c r="BE34" s="127" t="str">
        <f t="shared" si="24"/>
        <v/>
      </c>
      <c r="BF34" s="127" t="str">
        <f t="shared" si="24"/>
        <v/>
      </c>
      <c r="BG34" s="127" t="str">
        <f t="shared" si="15"/>
        <v/>
      </c>
      <c r="BH34" s="127" t="str">
        <f t="shared" si="17"/>
        <v/>
      </c>
      <c r="BI34" s="127" t="str">
        <f t="shared" si="17"/>
        <v/>
      </c>
      <c r="BJ34" s="127" t="str">
        <f t="shared" si="17"/>
        <v/>
      </c>
      <c r="BK34" s="127" t="str">
        <f t="shared" si="17"/>
        <v/>
      </c>
      <c r="BL34" s="127" t="str">
        <f t="shared" si="17"/>
        <v/>
      </c>
      <c r="BM34" s="127" t="str">
        <f t="shared" si="17"/>
        <v/>
      </c>
      <c r="BN34" s="127" t="str">
        <f t="shared" si="17"/>
        <v/>
      </c>
      <c r="BO34" s="127" t="str">
        <f t="shared" si="17"/>
        <v/>
      </c>
      <c r="BP34" s="127" t="str">
        <f t="shared" si="17"/>
        <v/>
      </c>
      <c r="BQ34" s="127" t="str">
        <f t="shared" si="17"/>
        <v/>
      </c>
      <c r="BR34" s="127" t="str">
        <f t="shared" si="17"/>
        <v/>
      </c>
      <c r="BS34" s="127" t="str">
        <f t="shared" si="17"/>
        <v/>
      </c>
      <c r="BT34" s="127" t="str">
        <f t="shared" si="18"/>
        <v/>
      </c>
      <c r="BU34" s="127" t="str">
        <f t="shared" si="18"/>
        <v/>
      </c>
      <c r="BV34" s="127" t="str">
        <f t="shared" si="18"/>
        <v/>
      </c>
      <c r="BW34" s="127" t="str">
        <f t="shared" si="18"/>
        <v/>
      </c>
      <c r="BX34" s="127" t="str">
        <f t="shared" si="18"/>
        <v/>
      </c>
      <c r="BY34" s="127" t="str">
        <f t="shared" si="18"/>
        <v/>
      </c>
      <c r="BZ34" s="127" t="str">
        <f t="shared" si="18"/>
        <v/>
      </c>
      <c r="CA34" s="127" t="str">
        <f t="shared" si="18"/>
        <v/>
      </c>
      <c r="CB34" s="127" t="str">
        <f t="shared" si="18"/>
        <v/>
      </c>
      <c r="CC34" s="127" t="str">
        <f t="shared" si="18"/>
        <v/>
      </c>
      <c r="CD34" s="127" t="str">
        <f t="shared" si="18"/>
        <v/>
      </c>
      <c r="CE34" s="127" t="str">
        <f t="shared" si="18"/>
        <v/>
      </c>
    </row>
    <row r="35" spans="1:83" hidden="1" x14ac:dyDescent="0.2">
      <c r="A35" s="106">
        <f>SHIPMENTS!A41</f>
        <v>9005</v>
      </c>
      <c r="B35" s="106" t="str">
        <f>SHIPMENTS!B41</f>
        <v>28100-AUSTRIA HARVIA</v>
      </c>
      <c r="C35" s="132">
        <f>SHIPMENTS!F41</f>
        <v>44.15</v>
      </c>
      <c r="D35" s="107" t="str">
        <f>IF((SHIPMENTS!I41)=0,"",SHIPMENTS!I41)</f>
        <v>1X20</v>
      </c>
      <c r="E35" s="176">
        <f>IF((SHIPMENTS!G41)=0,"",SHIPMENTS!G41)</f>
        <v>46325</v>
      </c>
      <c r="F35" s="109">
        <f>VLOOKUP(A35,Items!$A$5:$J$1000,3,0)</f>
        <v>0</v>
      </c>
      <c r="G35" s="98">
        <f>VLOOKUP(A35,load!$A$4:$U$5001,5,0)</f>
        <v>0</v>
      </c>
      <c r="H35" s="97">
        <f>Manhours!$C$9</f>
        <v>9</v>
      </c>
      <c r="I35" s="98">
        <f t="shared" si="31"/>
        <v>81.899999999999991</v>
      </c>
      <c r="J35" s="99">
        <f t="shared" si="32"/>
        <v>0</v>
      </c>
      <c r="K35" s="99">
        <f t="shared" si="33"/>
        <v>0</v>
      </c>
      <c r="L35" s="98">
        <f t="shared" si="34"/>
        <v>0</v>
      </c>
      <c r="M35" s="98">
        <f t="shared" si="35"/>
        <v>0</v>
      </c>
      <c r="N35" s="181">
        <f>IF(G35&gt;0,(EA!N35+1),O34)</f>
        <v>46315.403120624738</v>
      </c>
      <c r="O35" s="181">
        <f t="shared" si="36"/>
        <v>46315.403120624738</v>
      </c>
      <c r="P35" s="112" t="str">
        <f>VLOOKUP(A35,SHIPMENTS!$A$7:$AP$76,11,0)</f>
        <v>n/a</v>
      </c>
      <c r="Q35" s="156"/>
      <c r="R35" s="127" t="str">
        <f t="shared" si="30"/>
        <v/>
      </c>
      <c r="S35" s="127" t="str">
        <f t="shared" si="30"/>
        <v/>
      </c>
      <c r="T35" s="127" t="str">
        <f t="shared" si="30"/>
        <v/>
      </c>
      <c r="U35" s="127" t="str">
        <f t="shared" si="30"/>
        <v/>
      </c>
      <c r="V35" s="127" t="str">
        <f t="shared" si="30"/>
        <v/>
      </c>
      <c r="W35" s="127" t="str">
        <f t="shared" si="30"/>
        <v/>
      </c>
      <c r="X35" s="127" t="str">
        <f t="shared" si="30"/>
        <v/>
      </c>
      <c r="Y35" s="127" t="str">
        <f t="shared" si="30"/>
        <v/>
      </c>
      <c r="Z35" s="127" t="str">
        <f t="shared" si="30"/>
        <v/>
      </c>
      <c r="AA35" s="127" t="str">
        <f t="shared" si="30"/>
        <v/>
      </c>
      <c r="AB35" s="127" t="str">
        <f t="shared" si="30"/>
        <v>▲</v>
      </c>
      <c r="AC35" s="127" t="str">
        <f t="shared" si="30"/>
        <v/>
      </c>
      <c r="AD35" s="127" t="str">
        <f t="shared" si="30"/>
        <v/>
      </c>
      <c r="AE35" s="127" t="str">
        <f t="shared" si="30"/>
        <v/>
      </c>
      <c r="AF35" s="127" t="str">
        <f t="shared" si="30"/>
        <v/>
      </c>
      <c r="AG35" s="127" t="str">
        <f t="shared" si="30"/>
        <v/>
      </c>
      <c r="AH35" s="127" t="str">
        <f t="shared" si="24"/>
        <v/>
      </c>
      <c r="AI35" s="127" t="str">
        <f t="shared" si="24"/>
        <v/>
      </c>
      <c r="AJ35" s="127" t="str">
        <f t="shared" si="24"/>
        <v/>
      </c>
      <c r="AK35" s="127" t="str">
        <f t="shared" si="24"/>
        <v/>
      </c>
      <c r="AL35" s="127" t="str">
        <f t="shared" si="24"/>
        <v/>
      </c>
      <c r="AM35" s="127" t="str">
        <f t="shared" si="24"/>
        <v/>
      </c>
      <c r="AN35" s="127" t="str">
        <f t="shared" si="24"/>
        <v/>
      </c>
      <c r="AO35" s="127" t="str">
        <f t="shared" si="24"/>
        <v/>
      </c>
      <c r="AP35" s="127" t="str">
        <f t="shared" si="24"/>
        <v/>
      </c>
      <c r="AQ35" s="127" t="str">
        <f t="shared" si="24"/>
        <v/>
      </c>
      <c r="AR35" s="127" t="str">
        <f t="shared" si="24"/>
        <v/>
      </c>
      <c r="AS35" s="127" t="str">
        <f t="shared" si="24"/>
        <v/>
      </c>
      <c r="AT35" s="127" t="str">
        <f t="shared" si="24"/>
        <v/>
      </c>
      <c r="AU35" s="127" t="str">
        <f t="shared" si="24"/>
        <v/>
      </c>
      <c r="AV35" s="127" t="str">
        <f t="shared" si="24"/>
        <v/>
      </c>
      <c r="AW35" s="127" t="str">
        <f t="shared" si="24"/>
        <v/>
      </c>
      <c r="AX35" s="127" t="str">
        <f t="shared" si="24"/>
        <v/>
      </c>
      <c r="AY35" s="127" t="str">
        <f t="shared" si="24"/>
        <v/>
      </c>
      <c r="AZ35" s="127" t="str">
        <f t="shared" si="24"/>
        <v/>
      </c>
      <c r="BA35" s="127" t="str">
        <f t="shared" si="24"/>
        <v/>
      </c>
      <c r="BB35" s="127" t="str">
        <f t="shared" si="24"/>
        <v/>
      </c>
      <c r="BC35" s="127" t="str">
        <f t="shared" si="24"/>
        <v/>
      </c>
      <c r="BD35" s="127" t="str">
        <f t="shared" si="24"/>
        <v/>
      </c>
      <c r="BE35" s="127" t="str">
        <f t="shared" si="24"/>
        <v/>
      </c>
      <c r="BF35" s="127" t="str">
        <f t="shared" si="24"/>
        <v/>
      </c>
      <c r="BG35" s="127" t="str">
        <f t="shared" si="15"/>
        <v/>
      </c>
      <c r="BH35" s="127" t="str">
        <f t="shared" si="17"/>
        <v/>
      </c>
      <c r="BI35" s="127" t="str">
        <f t="shared" si="17"/>
        <v/>
      </c>
      <c r="BJ35" s="127" t="str">
        <f t="shared" si="17"/>
        <v/>
      </c>
      <c r="BK35" s="127" t="str">
        <f t="shared" si="17"/>
        <v/>
      </c>
      <c r="BL35" s="127" t="str">
        <f t="shared" si="17"/>
        <v/>
      </c>
      <c r="BM35" s="127" t="str">
        <f t="shared" si="17"/>
        <v/>
      </c>
      <c r="BN35" s="127" t="str">
        <f t="shared" si="17"/>
        <v/>
      </c>
      <c r="BO35" s="127" t="str">
        <f t="shared" si="17"/>
        <v/>
      </c>
      <c r="BP35" s="127" t="str">
        <f t="shared" si="17"/>
        <v/>
      </c>
      <c r="BQ35" s="127" t="str">
        <f t="shared" si="17"/>
        <v/>
      </c>
      <c r="BR35" s="127" t="str">
        <f t="shared" si="17"/>
        <v/>
      </c>
      <c r="BS35" s="127" t="str">
        <f t="shared" si="17"/>
        <v/>
      </c>
      <c r="BT35" s="127" t="str">
        <f t="shared" si="18"/>
        <v/>
      </c>
      <c r="BU35" s="127" t="str">
        <f t="shared" si="18"/>
        <v/>
      </c>
      <c r="BV35" s="127" t="str">
        <f t="shared" si="18"/>
        <v/>
      </c>
      <c r="BW35" s="127" t="str">
        <f t="shared" si="18"/>
        <v/>
      </c>
      <c r="BX35" s="127" t="str">
        <f t="shared" si="18"/>
        <v/>
      </c>
      <c r="BY35" s="127" t="str">
        <f t="shared" si="18"/>
        <v/>
      </c>
      <c r="BZ35" s="127" t="str">
        <f t="shared" si="18"/>
        <v/>
      </c>
      <c r="CA35" s="127" t="str">
        <f t="shared" si="18"/>
        <v/>
      </c>
      <c r="CB35" s="127" t="str">
        <f t="shared" si="18"/>
        <v/>
      </c>
      <c r="CC35" s="127" t="str">
        <f t="shared" si="18"/>
        <v/>
      </c>
      <c r="CD35" s="127" t="str">
        <f t="shared" si="18"/>
        <v/>
      </c>
      <c r="CE35" s="127" t="str">
        <f t="shared" si="18"/>
        <v/>
      </c>
    </row>
    <row r="36" spans="1:83" hidden="1" x14ac:dyDescent="0.2">
      <c r="A36" s="106">
        <f>SHIPMENTS!A42</f>
        <v>8952</v>
      </c>
      <c r="B36" s="106" t="str">
        <f>SHIPMENTS!B42</f>
        <v>41300-CANADA SAUNAFIN</v>
      </c>
      <c r="C36" s="132">
        <f>SHIPMENTS!F42</f>
        <v>70.45</v>
      </c>
      <c r="D36" s="107" t="str">
        <f>IF((SHIPMENTS!I42)=0,"",SHIPMENTS!I42)</f>
        <v>1x40HC</v>
      </c>
      <c r="E36" s="176">
        <f>IF((SHIPMENTS!G42)=0,"",SHIPMENTS!G42)</f>
        <v>46332</v>
      </c>
      <c r="F36" s="109">
        <f>VLOOKUP(A36,Items!$A$5:$J$1000,3,0)</f>
        <v>0</v>
      </c>
      <c r="G36" s="98">
        <f>VLOOKUP(A36,load!$A$4:$U$5001,5,0)</f>
        <v>0</v>
      </c>
      <c r="H36" s="97">
        <f>Manhours!$C$9</f>
        <v>9</v>
      </c>
      <c r="I36" s="98">
        <f t="shared" si="31"/>
        <v>81.899999999999991</v>
      </c>
      <c r="J36" s="99">
        <f t="shared" si="32"/>
        <v>0</v>
      </c>
      <c r="K36" s="99">
        <f t="shared" si="33"/>
        <v>0</v>
      </c>
      <c r="L36" s="98">
        <f t="shared" si="34"/>
        <v>0</v>
      </c>
      <c r="M36" s="98">
        <f t="shared" si="35"/>
        <v>0</v>
      </c>
      <c r="N36" s="181">
        <f>IF(G36&gt;0,(EA!N36+1),O35)</f>
        <v>46315.403120624738</v>
      </c>
      <c r="O36" s="181">
        <f t="shared" si="36"/>
        <v>46315.403120624738</v>
      </c>
      <c r="P36" s="112" t="str">
        <f>VLOOKUP(A36,SHIPMENTS!$A$7:$AP$76,11,0)</f>
        <v>n/a</v>
      </c>
      <c r="Q36" s="156"/>
      <c r="R36" s="127" t="str">
        <f t="shared" si="30"/>
        <v/>
      </c>
      <c r="S36" s="127" t="str">
        <f t="shared" si="30"/>
        <v/>
      </c>
      <c r="T36" s="127" t="str">
        <f t="shared" si="30"/>
        <v/>
      </c>
      <c r="U36" s="127" t="str">
        <f t="shared" si="30"/>
        <v/>
      </c>
      <c r="V36" s="127" t="str">
        <f t="shared" si="30"/>
        <v/>
      </c>
      <c r="W36" s="127" t="str">
        <f t="shared" si="30"/>
        <v/>
      </c>
      <c r="X36" s="127" t="str">
        <f t="shared" si="30"/>
        <v/>
      </c>
      <c r="Y36" s="127" t="str">
        <f t="shared" si="30"/>
        <v/>
      </c>
      <c r="Z36" s="127" t="str">
        <f t="shared" si="30"/>
        <v/>
      </c>
      <c r="AA36" s="127" t="str">
        <f t="shared" si="30"/>
        <v/>
      </c>
      <c r="AB36" s="127" t="str">
        <f t="shared" si="30"/>
        <v/>
      </c>
      <c r="AC36" s="127" t="str">
        <f t="shared" si="30"/>
        <v/>
      </c>
      <c r="AD36" s="127" t="str">
        <f t="shared" si="30"/>
        <v/>
      </c>
      <c r="AE36" s="127" t="str">
        <f t="shared" si="30"/>
        <v/>
      </c>
      <c r="AF36" s="127" t="str">
        <f t="shared" si="30"/>
        <v/>
      </c>
      <c r="AG36" s="127" t="str">
        <f t="shared" si="30"/>
        <v/>
      </c>
      <c r="AH36" s="127" t="str">
        <f t="shared" si="24"/>
        <v>▲</v>
      </c>
      <c r="AI36" s="127" t="str">
        <f t="shared" si="24"/>
        <v/>
      </c>
      <c r="AJ36" s="127" t="str">
        <f t="shared" si="24"/>
        <v/>
      </c>
      <c r="AK36" s="127" t="str">
        <f t="shared" si="24"/>
        <v/>
      </c>
      <c r="AL36" s="127" t="str">
        <f t="shared" si="24"/>
        <v/>
      </c>
      <c r="AM36" s="127" t="str">
        <f t="shared" si="24"/>
        <v/>
      </c>
      <c r="AN36" s="127" t="str">
        <f t="shared" si="24"/>
        <v/>
      </c>
      <c r="AO36" s="127" t="str">
        <f t="shared" si="24"/>
        <v/>
      </c>
      <c r="AP36" s="127" t="str">
        <f t="shared" si="24"/>
        <v/>
      </c>
      <c r="AQ36" s="127" t="str">
        <f t="shared" si="24"/>
        <v/>
      </c>
      <c r="AR36" s="127" t="str">
        <f t="shared" si="24"/>
        <v/>
      </c>
      <c r="AS36" s="127" t="str">
        <f t="shared" si="24"/>
        <v/>
      </c>
      <c r="AT36" s="127" t="str">
        <f t="shared" si="24"/>
        <v/>
      </c>
      <c r="AU36" s="127" t="str">
        <f t="shared" si="24"/>
        <v/>
      </c>
      <c r="AV36" s="127" t="str">
        <f t="shared" si="24"/>
        <v/>
      </c>
      <c r="AW36" s="127" t="str">
        <f t="shared" si="24"/>
        <v/>
      </c>
      <c r="AX36" s="127" t="str">
        <f t="shared" si="24"/>
        <v/>
      </c>
      <c r="AY36" s="127" t="str">
        <f t="shared" si="24"/>
        <v/>
      </c>
      <c r="AZ36" s="127" t="str">
        <f t="shared" si="24"/>
        <v/>
      </c>
      <c r="BA36" s="127" t="str">
        <f t="shared" si="24"/>
        <v/>
      </c>
      <c r="BB36" s="127" t="str">
        <f t="shared" si="24"/>
        <v/>
      </c>
      <c r="BC36" s="127" t="str">
        <f t="shared" si="24"/>
        <v/>
      </c>
      <c r="BD36" s="127" t="str">
        <f t="shared" si="24"/>
        <v/>
      </c>
      <c r="BE36" s="127" t="str">
        <f t="shared" si="24"/>
        <v/>
      </c>
      <c r="BF36" s="127" t="str">
        <f t="shared" si="24"/>
        <v/>
      </c>
      <c r="BG36" s="127" t="str">
        <f t="shared" si="15"/>
        <v/>
      </c>
      <c r="BH36" s="127" t="str">
        <f t="shared" si="17"/>
        <v/>
      </c>
      <c r="BI36" s="127" t="str">
        <f t="shared" si="17"/>
        <v/>
      </c>
      <c r="BJ36" s="127" t="str">
        <f t="shared" si="17"/>
        <v/>
      </c>
      <c r="BK36" s="127" t="str">
        <f t="shared" si="17"/>
        <v/>
      </c>
      <c r="BL36" s="127" t="str">
        <f t="shared" si="17"/>
        <v/>
      </c>
      <c r="BM36" s="127" t="str">
        <f t="shared" si="17"/>
        <v/>
      </c>
      <c r="BN36" s="127" t="str">
        <f t="shared" si="17"/>
        <v/>
      </c>
      <c r="BO36" s="127" t="str">
        <f t="shared" si="17"/>
        <v/>
      </c>
      <c r="BP36" s="127" t="str">
        <f t="shared" si="17"/>
        <v/>
      </c>
      <c r="BQ36" s="127" t="str">
        <f t="shared" si="17"/>
        <v/>
      </c>
      <c r="BR36" s="127" t="str">
        <f t="shared" si="17"/>
        <v/>
      </c>
      <c r="BS36" s="127" t="str">
        <f t="shared" si="17"/>
        <v/>
      </c>
      <c r="BT36" s="127" t="str">
        <f t="shared" si="18"/>
        <v/>
      </c>
      <c r="BU36" s="127" t="str">
        <f t="shared" si="18"/>
        <v/>
      </c>
      <c r="BV36" s="127" t="str">
        <f t="shared" si="18"/>
        <v/>
      </c>
      <c r="BW36" s="127" t="str">
        <f t="shared" si="18"/>
        <v/>
      </c>
      <c r="BX36" s="127" t="str">
        <f t="shared" si="18"/>
        <v/>
      </c>
      <c r="BY36" s="127" t="str">
        <f t="shared" si="18"/>
        <v/>
      </c>
      <c r="BZ36" s="127" t="str">
        <f t="shared" si="18"/>
        <v/>
      </c>
      <c r="CA36" s="127" t="str">
        <f t="shared" si="18"/>
        <v/>
      </c>
      <c r="CB36" s="127" t="str">
        <f t="shared" si="18"/>
        <v/>
      </c>
      <c r="CC36" s="127" t="str">
        <f t="shared" si="18"/>
        <v/>
      </c>
      <c r="CD36" s="127" t="str">
        <f t="shared" si="18"/>
        <v/>
      </c>
      <c r="CE36" s="127" t="str">
        <f t="shared" si="18"/>
        <v/>
      </c>
    </row>
    <row r="37" spans="1:83" x14ac:dyDescent="0.2">
      <c r="A37" s="106">
        <f>SHIPMENTS!A43</f>
        <v>9158</v>
      </c>
      <c r="B37" s="106" t="str">
        <f>SHIPMENTS!B43</f>
        <v>43300-THAILAND</v>
      </c>
      <c r="C37" s="132">
        <f>SHIPMENTS!F43</f>
        <v>0.10299999999999999</v>
      </c>
      <c r="D37" s="107" t="str">
        <f>IF((SHIPMENTS!I43)=0,"",SHIPMENTS!I43)</f>
        <v>LCL</v>
      </c>
      <c r="E37" s="176">
        <f>IF((SHIPMENTS!G43)=0,"",SHIPMENTS!G43)</f>
        <v>46332</v>
      </c>
      <c r="F37" s="109">
        <f>VLOOKUP(A37,Items!$A$5:$J$1000,3,0)</f>
        <v>1</v>
      </c>
      <c r="G37" s="98">
        <f>VLOOKUP(A37,load!$A$4:$U$5001,5,0)</f>
        <v>0.53116666666666668</v>
      </c>
      <c r="H37" s="97">
        <f>Manhours!$C$9</f>
        <v>9</v>
      </c>
      <c r="I37" s="98">
        <f t="shared" si="31"/>
        <v>81.899999999999991</v>
      </c>
      <c r="J37" s="99">
        <f t="shared" si="32"/>
        <v>6.4855514855514862E-3</v>
      </c>
      <c r="K37" s="99">
        <f t="shared" si="33"/>
        <v>5.9018518518518519E-2</v>
      </c>
      <c r="L37" s="98">
        <f t="shared" si="34"/>
        <v>0</v>
      </c>
      <c r="M37" s="98">
        <f t="shared" si="35"/>
        <v>0</v>
      </c>
      <c r="N37" s="181">
        <f>IF(G37&gt;0,(EA!N37+1),O36)</f>
        <v>46315.383935439553</v>
      </c>
      <c r="O37" s="181">
        <f t="shared" si="36"/>
        <v>46315.383935439553</v>
      </c>
      <c r="P37" s="112">
        <f>VLOOKUP(A37,SHIPMENTS!$A$7:$AP$76,11,0)</f>
        <v>1</v>
      </c>
      <c r="Q37" s="156"/>
      <c r="R37" s="127" t="str">
        <f t="shared" si="30"/>
        <v/>
      </c>
      <c r="S37" s="127" t="str">
        <f t="shared" si="30"/>
        <v/>
      </c>
      <c r="T37" s="127" t="str">
        <f t="shared" si="30"/>
        <v/>
      </c>
      <c r="U37" s="127" t="str">
        <f t="shared" si="30"/>
        <v/>
      </c>
      <c r="V37" s="127" t="str">
        <f t="shared" si="30"/>
        <v/>
      </c>
      <c r="W37" s="127" t="str">
        <f t="shared" si="30"/>
        <v/>
      </c>
      <c r="X37" s="127" t="str">
        <f t="shared" si="30"/>
        <v/>
      </c>
      <c r="Y37" s="127" t="str">
        <f t="shared" si="30"/>
        <v/>
      </c>
      <c r="Z37" s="127" t="str">
        <f t="shared" si="30"/>
        <v/>
      </c>
      <c r="AA37" s="127" t="str">
        <f t="shared" si="30"/>
        <v/>
      </c>
      <c r="AB37" s="127" t="str">
        <f t="shared" si="30"/>
        <v/>
      </c>
      <c r="AC37" s="127" t="str">
        <f t="shared" si="30"/>
        <v/>
      </c>
      <c r="AD37" s="127" t="str">
        <f t="shared" si="30"/>
        <v/>
      </c>
      <c r="AE37" s="127" t="str">
        <f t="shared" si="30"/>
        <v/>
      </c>
      <c r="AF37" s="127" t="str">
        <f t="shared" si="30"/>
        <v/>
      </c>
      <c r="AG37" s="127" t="str">
        <f t="shared" si="30"/>
        <v/>
      </c>
      <c r="AH37" s="127" t="str">
        <f t="shared" si="24"/>
        <v>▲</v>
      </c>
      <c r="AI37" s="127" t="str">
        <f t="shared" si="24"/>
        <v/>
      </c>
      <c r="AJ37" s="127" t="str">
        <f t="shared" si="24"/>
        <v/>
      </c>
      <c r="AK37" s="127" t="str">
        <f t="shared" si="24"/>
        <v/>
      </c>
      <c r="AL37" s="127" t="str">
        <f t="shared" si="24"/>
        <v/>
      </c>
      <c r="AM37" s="127" t="str">
        <f t="shared" si="24"/>
        <v/>
      </c>
      <c r="AN37" s="127" t="str">
        <f t="shared" si="24"/>
        <v/>
      </c>
      <c r="AO37" s="127" t="str">
        <f t="shared" si="24"/>
        <v/>
      </c>
      <c r="AP37" s="127" t="str">
        <f t="shared" si="24"/>
        <v/>
      </c>
      <c r="AQ37" s="127" t="str">
        <f t="shared" si="24"/>
        <v/>
      </c>
      <c r="AR37" s="127" t="str">
        <f t="shared" si="24"/>
        <v/>
      </c>
      <c r="AS37" s="127" t="str">
        <f t="shared" si="24"/>
        <v/>
      </c>
      <c r="AT37" s="127" t="str">
        <f t="shared" si="24"/>
        <v/>
      </c>
      <c r="AU37" s="127" t="str">
        <f t="shared" si="24"/>
        <v/>
      </c>
      <c r="AV37" s="127" t="str">
        <f t="shared" si="24"/>
        <v/>
      </c>
      <c r="AW37" s="127" t="str">
        <f t="shared" si="24"/>
        <v/>
      </c>
      <c r="AX37" s="127" t="str">
        <f t="shared" si="24"/>
        <v/>
      </c>
      <c r="AY37" s="127" t="str">
        <f t="shared" si="24"/>
        <v/>
      </c>
      <c r="AZ37" s="127" t="str">
        <f t="shared" si="24"/>
        <v/>
      </c>
      <c r="BA37" s="127" t="str">
        <f t="shared" si="24"/>
        <v/>
      </c>
      <c r="BB37" s="127" t="str">
        <f t="shared" si="24"/>
        <v/>
      </c>
      <c r="BC37" s="127" t="str">
        <f t="shared" si="24"/>
        <v/>
      </c>
      <c r="BD37" s="127" t="str">
        <f t="shared" si="24"/>
        <v/>
      </c>
      <c r="BE37" s="127" t="str">
        <f t="shared" si="24"/>
        <v/>
      </c>
      <c r="BF37" s="127" t="str">
        <f t="shared" si="24"/>
        <v/>
      </c>
      <c r="BG37" s="127" t="str">
        <f t="shared" ref="BG37:BV53" si="37">IF($E37=BG$3,"▲","")</f>
        <v/>
      </c>
      <c r="BH37" s="127" t="str">
        <f t="shared" si="17"/>
        <v/>
      </c>
      <c r="BI37" s="127" t="str">
        <f t="shared" si="17"/>
        <v/>
      </c>
      <c r="BJ37" s="127" t="str">
        <f t="shared" si="17"/>
        <v/>
      </c>
      <c r="BK37" s="127" t="str">
        <f t="shared" si="17"/>
        <v/>
      </c>
      <c r="BL37" s="127" t="str">
        <f t="shared" si="17"/>
        <v/>
      </c>
      <c r="BM37" s="127" t="str">
        <f t="shared" si="17"/>
        <v/>
      </c>
      <c r="BN37" s="127" t="str">
        <f t="shared" si="17"/>
        <v/>
      </c>
      <c r="BO37" s="127" t="str">
        <f t="shared" si="17"/>
        <v/>
      </c>
      <c r="BP37" s="127" t="str">
        <f t="shared" si="17"/>
        <v/>
      </c>
      <c r="BQ37" s="127" t="str">
        <f t="shared" si="17"/>
        <v/>
      </c>
      <c r="BR37" s="127" t="str">
        <f t="shared" si="17"/>
        <v/>
      </c>
      <c r="BS37" s="127" t="str">
        <f t="shared" si="17"/>
        <v/>
      </c>
      <c r="BT37" s="127" t="str">
        <f t="shared" si="18"/>
        <v/>
      </c>
      <c r="BU37" s="127" t="str">
        <f t="shared" si="18"/>
        <v/>
      </c>
      <c r="BV37" s="127" t="str">
        <f t="shared" si="18"/>
        <v/>
      </c>
      <c r="BW37" s="127" t="str">
        <f t="shared" si="18"/>
        <v/>
      </c>
      <c r="BX37" s="127" t="str">
        <f t="shared" si="18"/>
        <v/>
      </c>
      <c r="BY37" s="127" t="str">
        <f t="shared" si="18"/>
        <v/>
      </c>
      <c r="BZ37" s="127" t="str">
        <f t="shared" si="18"/>
        <v/>
      </c>
      <c r="CA37" s="127" t="str">
        <f t="shared" si="18"/>
        <v/>
      </c>
      <c r="CB37" s="127" t="str">
        <f t="shared" si="18"/>
        <v/>
      </c>
      <c r="CC37" s="127" t="str">
        <f t="shared" si="18"/>
        <v/>
      </c>
      <c r="CD37" s="127" t="str">
        <f t="shared" si="18"/>
        <v/>
      </c>
      <c r="CE37" s="127" t="str">
        <f t="shared" si="18"/>
        <v/>
      </c>
    </row>
    <row r="38" spans="1:83" x14ac:dyDescent="0.2">
      <c r="A38" s="106">
        <f>SHIPMENTS!A44</f>
        <v>8814</v>
      </c>
      <c r="B38" s="106" t="str">
        <f>SHIPMENTS!B44</f>
        <v>27200-UAE</v>
      </c>
      <c r="C38" s="132">
        <f>SHIPMENTS!F44</f>
        <v>0.06</v>
      </c>
      <c r="D38" s="107" t="str">
        <f>IF((SHIPMENTS!I44)=0,"",SHIPMENTS!I44)</f>
        <v>LCL</v>
      </c>
      <c r="E38" s="176">
        <f>IF((SHIPMENTS!G44)=0,"",SHIPMENTS!G44)</f>
        <v>46332</v>
      </c>
      <c r="F38" s="109">
        <f>VLOOKUP(A38,Items!$A$5:$J$1000,3,0)</f>
        <v>0</v>
      </c>
      <c r="G38" s="98">
        <f>VLOOKUP(A38,load!$A$4:$U$5001,5,0)</f>
        <v>0</v>
      </c>
      <c r="H38" s="97">
        <f>Manhours!$C$9</f>
        <v>9</v>
      </c>
      <c r="I38" s="98">
        <f t="shared" si="31"/>
        <v>81.899999999999991</v>
      </c>
      <c r="J38" s="99">
        <f t="shared" si="32"/>
        <v>0</v>
      </c>
      <c r="K38" s="99">
        <f t="shared" si="33"/>
        <v>0</v>
      </c>
      <c r="L38" s="98">
        <f t="shared" si="34"/>
        <v>0</v>
      </c>
      <c r="M38" s="98">
        <f t="shared" si="35"/>
        <v>0</v>
      </c>
      <c r="N38" s="181">
        <f>IF(G38&gt;0,(EA!N38+1),O37)</f>
        <v>46315.383935439553</v>
      </c>
      <c r="O38" s="181">
        <f t="shared" si="36"/>
        <v>46315.383935439553</v>
      </c>
      <c r="P38" s="112">
        <f>VLOOKUP(A38,SHIPMENTS!$A$7:$AP$76,11,0)</f>
        <v>0</v>
      </c>
      <c r="Q38" s="156"/>
      <c r="R38" s="127" t="str">
        <f t="shared" si="30"/>
        <v/>
      </c>
      <c r="S38" s="127" t="str">
        <f t="shared" si="30"/>
        <v/>
      </c>
      <c r="T38" s="127" t="str">
        <f t="shared" si="30"/>
        <v/>
      </c>
      <c r="U38" s="127" t="str">
        <f t="shared" si="30"/>
        <v/>
      </c>
      <c r="V38" s="127" t="str">
        <f t="shared" si="30"/>
        <v/>
      </c>
      <c r="W38" s="127" t="str">
        <f t="shared" si="30"/>
        <v/>
      </c>
      <c r="X38" s="127" t="str">
        <f t="shared" si="30"/>
        <v/>
      </c>
      <c r="Y38" s="127" t="str">
        <f t="shared" si="30"/>
        <v/>
      </c>
      <c r="Z38" s="127" t="str">
        <f t="shared" si="30"/>
        <v/>
      </c>
      <c r="AA38" s="127" t="str">
        <f t="shared" si="30"/>
        <v/>
      </c>
      <c r="AB38" s="127" t="str">
        <f t="shared" si="30"/>
        <v/>
      </c>
      <c r="AC38" s="127" t="str">
        <f t="shared" si="30"/>
        <v/>
      </c>
      <c r="AD38" s="127" t="str">
        <f t="shared" si="30"/>
        <v/>
      </c>
      <c r="AE38" s="127" t="str">
        <f t="shared" si="30"/>
        <v/>
      </c>
      <c r="AF38" s="127" t="str">
        <f t="shared" si="30"/>
        <v/>
      </c>
      <c r="AG38" s="127" t="str">
        <f t="shared" si="30"/>
        <v/>
      </c>
      <c r="AH38" s="127" t="str">
        <f t="shared" si="24"/>
        <v>▲</v>
      </c>
      <c r="AI38" s="127" t="str">
        <f t="shared" si="24"/>
        <v/>
      </c>
      <c r="AJ38" s="127" t="str">
        <f t="shared" si="24"/>
        <v/>
      </c>
      <c r="AK38" s="127" t="str">
        <f t="shared" si="24"/>
        <v/>
      </c>
      <c r="AL38" s="127" t="str">
        <f t="shared" si="24"/>
        <v/>
      </c>
      <c r="AM38" s="127" t="str">
        <f t="shared" ref="AM38:BB53" si="38">IF($E38=AM$3,"▲","")</f>
        <v/>
      </c>
      <c r="AN38" s="127" t="str">
        <f t="shared" si="38"/>
        <v/>
      </c>
      <c r="AO38" s="127" t="str">
        <f t="shared" si="38"/>
        <v/>
      </c>
      <c r="AP38" s="127" t="str">
        <f t="shared" si="38"/>
        <v/>
      </c>
      <c r="AQ38" s="127" t="str">
        <f t="shared" si="38"/>
        <v/>
      </c>
      <c r="AR38" s="127" t="str">
        <f t="shared" si="38"/>
        <v/>
      </c>
      <c r="AS38" s="127" t="str">
        <f t="shared" si="38"/>
        <v/>
      </c>
      <c r="AT38" s="127" t="str">
        <f t="shared" si="38"/>
        <v/>
      </c>
      <c r="AU38" s="127" t="str">
        <f t="shared" si="38"/>
        <v/>
      </c>
      <c r="AV38" s="127" t="str">
        <f t="shared" si="38"/>
        <v/>
      </c>
      <c r="AW38" s="127" t="str">
        <f t="shared" si="38"/>
        <v/>
      </c>
      <c r="AX38" s="127" t="str">
        <f t="shared" si="38"/>
        <v/>
      </c>
      <c r="AY38" s="127" t="str">
        <f t="shared" si="38"/>
        <v/>
      </c>
      <c r="AZ38" s="127" t="str">
        <f t="shared" si="38"/>
        <v/>
      </c>
      <c r="BA38" s="127" t="str">
        <f t="shared" si="38"/>
        <v/>
      </c>
      <c r="BB38" s="127" t="str">
        <f t="shared" si="38"/>
        <v/>
      </c>
      <c r="BC38" s="127" t="str">
        <f t="shared" ref="BC38:BF53" si="39">IF($E38=BC$3,"▲","")</f>
        <v/>
      </c>
      <c r="BD38" s="127" t="str">
        <f t="shared" si="39"/>
        <v/>
      </c>
      <c r="BE38" s="127" t="str">
        <f t="shared" si="39"/>
        <v/>
      </c>
      <c r="BF38" s="127" t="str">
        <f t="shared" si="39"/>
        <v/>
      </c>
      <c r="BG38" s="127" t="str">
        <f t="shared" si="37"/>
        <v/>
      </c>
      <c r="BH38" s="127" t="str">
        <f t="shared" si="17"/>
        <v/>
      </c>
      <c r="BI38" s="127" t="str">
        <f t="shared" si="17"/>
        <v/>
      </c>
      <c r="BJ38" s="127" t="str">
        <f t="shared" si="17"/>
        <v/>
      </c>
      <c r="BK38" s="127" t="str">
        <f t="shared" si="17"/>
        <v/>
      </c>
      <c r="BL38" s="127" t="str">
        <f t="shared" si="17"/>
        <v/>
      </c>
      <c r="BM38" s="127" t="str">
        <f t="shared" si="17"/>
        <v/>
      </c>
      <c r="BN38" s="127" t="str">
        <f t="shared" si="17"/>
        <v/>
      </c>
      <c r="BO38" s="127" t="str">
        <f t="shared" si="17"/>
        <v/>
      </c>
      <c r="BP38" s="127" t="str">
        <f t="shared" si="17"/>
        <v/>
      </c>
      <c r="BQ38" s="127" t="str">
        <f t="shared" si="17"/>
        <v/>
      </c>
      <c r="BR38" s="127" t="str">
        <f t="shared" si="17"/>
        <v/>
      </c>
      <c r="BS38" s="127" t="str">
        <f t="shared" si="17"/>
        <v/>
      </c>
      <c r="BT38" s="127" t="str">
        <f t="shared" si="18"/>
        <v/>
      </c>
      <c r="BU38" s="127" t="str">
        <f t="shared" si="18"/>
        <v/>
      </c>
      <c r="BV38" s="127" t="str">
        <f t="shared" si="18"/>
        <v/>
      </c>
      <c r="BW38" s="127" t="str">
        <f t="shared" si="18"/>
        <v/>
      </c>
      <c r="BX38" s="127" t="str">
        <f t="shared" si="18"/>
        <v/>
      </c>
      <c r="BY38" s="127" t="str">
        <f t="shared" si="18"/>
        <v/>
      </c>
      <c r="BZ38" s="127" t="str">
        <f t="shared" si="18"/>
        <v/>
      </c>
      <c r="CA38" s="127" t="str">
        <f t="shared" si="18"/>
        <v/>
      </c>
      <c r="CB38" s="127" t="str">
        <f t="shared" si="18"/>
        <v/>
      </c>
      <c r="CC38" s="127" t="str">
        <f t="shared" si="18"/>
        <v/>
      </c>
      <c r="CD38" s="127" t="str">
        <f t="shared" si="18"/>
        <v/>
      </c>
      <c r="CE38" s="127" t="str">
        <f t="shared" si="18"/>
        <v/>
      </c>
    </row>
    <row r="39" spans="1:83" x14ac:dyDescent="0.2">
      <c r="A39" s="106">
        <f>SHIPMENTS!A45</f>
        <v>9143</v>
      </c>
      <c r="B39" s="106" t="str">
        <f>SHIPMENTS!B45</f>
        <v>43301-THAILAND</v>
      </c>
      <c r="C39" s="132">
        <f>SHIPMENTS!F45</f>
        <v>4.75</v>
      </c>
      <c r="D39" s="107" t="str">
        <f>IF((SHIPMENTS!I45)=0,"",SHIPMENTS!I45)</f>
        <v>1x20</v>
      </c>
      <c r="E39" s="176">
        <f>IF((SHIPMENTS!G45)=0,"",SHIPMENTS!G45)</f>
        <v>46332</v>
      </c>
      <c r="F39" s="109">
        <f>VLOOKUP(A39,Items!$A$5:$J$1000,3,0)</f>
        <v>12</v>
      </c>
      <c r="G39" s="98">
        <f>VLOOKUP(A39,load!$A$4:$U$5001,5,0)</f>
        <v>10.921889499999999</v>
      </c>
      <c r="H39" s="97">
        <f>Manhours!$C$9</f>
        <v>9</v>
      </c>
      <c r="I39" s="98">
        <f t="shared" si="31"/>
        <v>81.899999999999991</v>
      </c>
      <c r="J39" s="99">
        <f t="shared" si="32"/>
        <v>0.13335640415140415</v>
      </c>
      <c r="K39" s="99">
        <f t="shared" si="33"/>
        <v>1.2135432777777777</v>
      </c>
      <c r="L39" s="98">
        <f t="shared" si="34"/>
        <v>0</v>
      </c>
      <c r="M39" s="98">
        <f t="shared" si="35"/>
        <v>0</v>
      </c>
      <c r="N39" s="181">
        <f>IF(G39&gt;0,(EA!N39+1),O38)</f>
        <v>46315.404228479849</v>
      </c>
      <c r="O39" s="181">
        <f t="shared" si="36"/>
        <v>46315.404228479849</v>
      </c>
      <c r="P39" s="112">
        <f>VLOOKUP(A39,SHIPMENTS!$A$7:$AP$76,11,0)</f>
        <v>1</v>
      </c>
      <c r="Q39" s="156"/>
      <c r="R39" s="127" t="str">
        <f t="shared" si="30"/>
        <v/>
      </c>
      <c r="S39" s="127" t="str">
        <f t="shared" si="30"/>
        <v/>
      </c>
      <c r="T39" s="127" t="str">
        <f t="shared" si="30"/>
        <v/>
      </c>
      <c r="U39" s="127" t="str">
        <f t="shared" si="30"/>
        <v/>
      </c>
      <c r="V39" s="127" t="str">
        <f t="shared" si="30"/>
        <v/>
      </c>
      <c r="W39" s="127" t="str">
        <f t="shared" si="30"/>
        <v/>
      </c>
      <c r="X39" s="127" t="str">
        <f t="shared" si="30"/>
        <v/>
      </c>
      <c r="Y39" s="127" t="str">
        <f t="shared" si="30"/>
        <v/>
      </c>
      <c r="Z39" s="127" t="str">
        <f t="shared" si="30"/>
        <v/>
      </c>
      <c r="AA39" s="127" t="str">
        <f t="shared" si="30"/>
        <v/>
      </c>
      <c r="AB39" s="127" t="str">
        <f t="shared" si="30"/>
        <v/>
      </c>
      <c r="AC39" s="127" t="str">
        <f t="shared" si="30"/>
        <v/>
      </c>
      <c r="AD39" s="127" t="str">
        <f t="shared" si="30"/>
        <v/>
      </c>
      <c r="AE39" s="127" t="str">
        <f t="shared" si="30"/>
        <v/>
      </c>
      <c r="AF39" s="127" t="str">
        <f t="shared" si="30"/>
        <v/>
      </c>
      <c r="AG39" s="127" t="str">
        <f t="shared" si="30"/>
        <v/>
      </c>
      <c r="AH39" s="127" t="str">
        <f t="shared" ref="AH39:AW53" si="40">IF($E39=AH$3,"▲","")</f>
        <v>▲</v>
      </c>
      <c r="AI39" s="127" t="str">
        <f t="shared" si="40"/>
        <v/>
      </c>
      <c r="AJ39" s="127" t="str">
        <f t="shared" si="40"/>
        <v/>
      </c>
      <c r="AK39" s="127" t="str">
        <f t="shared" si="40"/>
        <v/>
      </c>
      <c r="AL39" s="127" t="str">
        <f t="shared" si="40"/>
        <v/>
      </c>
      <c r="AM39" s="127" t="str">
        <f t="shared" si="40"/>
        <v/>
      </c>
      <c r="AN39" s="127" t="str">
        <f t="shared" si="40"/>
        <v/>
      </c>
      <c r="AO39" s="127" t="str">
        <f t="shared" si="40"/>
        <v/>
      </c>
      <c r="AP39" s="127" t="str">
        <f t="shared" si="40"/>
        <v/>
      </c>
      <c r="AQ39" s="127" t="str">
        <f t="shared" si="40"/>
        <v/>
      </c>
      <c r="AR39" s="127" t="str">
        <f t="shared" si="40"/>
        <v/>
      </c>
      <c r="AS39" s="127" t="str">
        <f t="shared" si="40"/>
        <v/>
      </c>
      <c r="AT39" s="127" t="str">
        <f t="shared" si="40"/>
        <v/>
      </c>
      <c r="AU39" s="127" t="str">
        <f t="shared" si="40"/>
        <v/>
      </c>
      <c r="AV39" s="127" t="str">
        <f t="shared" si="40"/>
        <v/>
      </c>
      <c r="AW39" s="127" t="str">
        <f t="shared" si="40"/>
        <v/>
      </c>
      <c r="AX39" s="127" t="str">
        <f t="shared" si="38"/>
        <v/>
      </c>
      <c r="AY39" s="127" t="str">
        <f t="shared" si="38"/>
        <v/>
      </c>
      <c r="AZ39" s="127" t="str">
        <f t="shared" si="38"/>
        <v/>
      </c>
      <c r="BA39" s="127" t="str">
        <f t="shared" si="38"/>
        <v/>
      </c>
      <c r="BB39" s="127" t="str">
        <f t="shared" si="38"/>
        <v/>
      </c>
      <c r="BC39" s="127" t="str">
        <f t="shared" si="39"/>
        <v/>
      </c>
      <c r="BD39" s="127" t="str">
        <f t="shared" si="39"/>
        <v/>
      </c>
      <c r="BE39" s="127" t="str">
        <f t="shared" si="39"/>
        <v/>
      </c>
      <c r="BF39" s="127" t="str">
        <f t="shared" si="39"/>
        <v/>
      </c>
      <c r="BG39" s="127" t="str">
        <f t="shared" si="37"/>
        <v/>
      </c>
      <c r="BH39" s="127" t="str">
        <f t="shared" si="17"/>
        <v/>
      </c>
      <c r="BI39" s="127" t="str">
        <f t="shared" si="17"/>
        <v/>
      </c>
      <c r="BJ39" s="127" t="str">
        <f t="shared" si="17"/>
        <v/>
      </c>
      <c r="BK39" s="127" t="str">
        <f t="shared" si="17"/>
        <v/>
      </c>
      <c r="BL39" s="127" t="str">
        <f t="shared" si="17"/>
        <v/>
      </c>
      <c r="BM39" s="127" t="str">
        <f t="shared" si="17"/>
        <v/>
      </c>
      <c r="BN39" s="127" t="str">
        <f t="shared" si="17"/>
        <v/>
      </c>
      <c r="BO39" s="127" t="str">
        <f t="shared" si="17"/>
        <v/>
      </c>
      <c r="BP39" s="127" t="str">
        <f t="shared" si="17"/>
        <v/>
      </c>
      <c r="BQ39" s="127" t="str">
        <f t="shared" si="17"/>
        <v/>
      </c>
      <c r="BR39" s="127" t="str">
        <f t="shared" si="17"/>
        <v/>
      </c>
      <c r="BS39" s="127" t="str">
        <f t="shared" si="17"/>
        <v/>
      </c>
      <c r="BT39" s="127" t="str">
        <f t="shared" si="18"/>
        <v/>
      </c>
      <c r="BU39" s="127" t="str">
        <f t="shared" si="18"/>
        <v/>
      </c>
      <c r="BV39" s="127" t="str">
        <f t="shared" si="18"/>
        <v/>
      </c>
      <c r="BW39" s="127" t="str">
        <f t="shared" si="18"/>
        <v/>
      </c>
      <c r="BX39" s="127" t="str">
        <f t="shared" si="18"/>
        <v/>
      </c>
      <c r="BY39" s="127" t="str">
        <f t="shared" si="18"/>
        <v/>
      </c>
      <c r="BZ39" s="127" t="str">
        <f t="shared" si="18"/>
        <v/>
      </c>
      <c r="CA39" s="127" t="str">
        <f t="shared" si="18"/>
        <v/>
      </c>
      <c r="CB39" s="127" t="str">
        <f t="shared" si="18"/>
        <v/>
      </c>
      <c r="CC39" s="127" t="str">
        <f t="shared" si="18"/>
        <v/>
      </c>
      <c r="CD39" s="127" t="str">
        <f t="shared" si="18"/>
        <v/>
      </c>
      <c r="CE39" s="127" t="str">
        <f t="shared" si="18"/>
        <v/>
      </c>
    </row>
    <row r="40" spans="1:83" x14ac:dyDescent="0.2">
      <c r="A40" s="106">
        <f>SHIPMENTS!A46</f>
        <v>9160</v>
      </c>
      <c r="B40" s="106" t="str">
        <f>SHIPMENTS!B46</f>
        <v>51700-MAURITIUS</v>
      </c>
      <c r="C40" s="132">
        <f>SHIPMENTS!F46</f>
        <v>0.97</v>
      </c>
      <c r="D40" s="107" t="str">
        <f>IF((SHIPMENTS!I46)=0,"",SHIPMENTS!I46)</f>
        <v>1x20</v>
      </c>
      <c r="E40" s="176">
        <f>IF((SHIPMENTS!G46)=0,"",SHIPMENTS!G46)</f>
        <v>46332</v>
      </c>
      <c r="F40" s="109">
        <f>VLOOKUP(A40,Items!$A$5:$J$1000,3,0)</f>
        <v>5</v>
      </c>
      <c r="G40" s="98">
        <f>VLOOKUP(A40,load!$A$4:$U$5001,5,0)</f>
        <v>2.6308333333333329</v>
      </c>
      <c r="H40" s="97">
        <f>Manhours!$C$9</f>
        <v>9</v>
      </c>
      <c r="I40" s="98">
        <f t="shared" si="31"/>
        <v>81.899999999999991</v>
      </c>
      <c r="J40" s="99">
        <f t="shared" si="32"/>
        <v>3.2122507122507124E-2</v>
      </c>
      <c r="K40" s="99">
        <f t="shared" si="33"/>
        <v>0.29231481481481481</v>
      </c>
      <c r="L40" s="98">
        <f t="shared" si="34"/>
        <v>0</v>
      </c>
      <c r="M40" s="98">
        <f t="shared" si="35"/>
        <v>0</v>
      </c>
      <c r="N40" s="181">
        <f>IF(G40&gt;0,(EA!N40+1),O39)</f>
        <v>46315.404228479849</v>
      </c>
      <c r="O40" s="181">
        <f t="shared" si="36"/>
        <v>46315.404228479849</v>
      </c>
      <c r="P40" s="112">
        <f>VLOOKUP(A40,SHIPMENTS!$A$7:$AP$76,11,0)</f>
        <v>1</v>
      </c>
      <c r="Q40" s="156"/>
      <c r="R40" s="127" t="str">
        <f t="shared" si="30"/>
        <v/>
      </c>
      <c r="S40" s="127" t="str">
        <f t="shared" si="30"/>
        <v/>
      </c>
      <c r="T40" s="127" t="str">
        <f t="shared" si="30"/>
        <v/>
      </c>
      <c r="U40" s="127" t="str">
        <f t="shared" si="30"/>
        <v/>
      </c>
      <c r="V40" s="127" t="str">
        <f t="shared" si="30"/>
        <v/>
      </c>
      <c r="W40" s="127" t="str">
        <f t="shared" si="30"/>
        <v/>
      </c>
      <c r="X40" s="127" t="str">
        <f t="shared" si="30"/>
        <v/>
      </c>
      <c r="Y40" s="127" t="str">
        <f t="shared" si="30"/>
        <v/>
      </c>
      <c r="Z40" s="127" t="str">
        <f t="shared" si="30"/>
        <v/>
      </c>
      <c r="AA40" s="127" t="str">
        <f t="shared" si="30"/>
        <v/>
      </c>
      <c r="AB40" s="127" t="str">
        <f t="shared" si="30"/>
        <v/>
      </c>
      <c r="AC40" s="127" t="str">
        <f t="shared" si="30"/>
        <v/>
      </c>
      <c r="AD40" s="127" t="str">
        <f t="shared" si="30"/>
        <v/>
      </c>
      <c r="AE40" s="127" t="str">
        <f t="shared" si="30"/>
        <v/>
      </c>
      <c r="AF40" s="127" t="str">
        <f t="shared" si="30"/>
        <v/>
      </c>
      <c r="AG40" s="127" t="str">
        <f t="shared" si="30"/>
        <v/>
      </c>
      <c r="AH40" s="127" t="str">
        <f t="shared" si="40"/>
        <v>▲</v>
      </c>
      <c r="AI40" s="127" t="str">
        <f t="shared" si="40"/>
        <v/>
      </c>
      <c r="AJ40" s="127" t="str">
        <f t="shared" si="40"/>
        <v/>
      </c>
      <c r="AK40" s="127" t="str">
        <f t="shared" si="40"/>
        <v/>
      </c>
      <c r="AL40" s="127" t="str">
        <f t="shared" si="40"/>
        <v/>
      </c>
      <c r="AM40" s="127" t="str">
        <f t="shared" si="40"/>
        <v/>
      </c>
      <c r="AN40" s="127" t="str">
        <f t="shared" si="40"/>
        <v/>
      </c>
      <c r="AO40" s="127" t="str">
        <f t="shared" si="40"/>
        <v/>
      </c>
      <c r="AP40" s="127" t="str">
        <f t="shared" si="40"/>
        <v/>
      </c>
      <c r="AQ40" s="127" t="str">
        <f t="shared" si="40"/>
        <v/>
      </c>
      <c r="AR40" s="127" t="str">
        <f t="shared" si="40"/>
        <v/>
      </c>
      <c r="AS40" s="127" t="str">
        <f t="shared" si="40"/>
        <v/>
      </c>
      <c r="AT40" s="127" t="str">
        <f t="shared" si="40"/>
        <v/>
      </c>
      <c r="AU40" s="127" t="str">
        <f t="shared" si="40"/>
        <v/>
      </c>
      <c r="AV40" s="127" t="str">
        <f t="shared" si="40"/>
        <v/>
      </c>
      <c r="AW40" s="127" t="str">
        <f t="shared" si="40"/>
        <v/>
      </c>
      <c r="AX40" s="127" t="str">
        <f t="shared" si="38"/>
        <v/>
      </c>
      <c r="AY40" s="127" t="str">
        <f t="shared" si="38"/>
        <v/>
      </c>
      <c r="AZ40" s="127" t="str">
        <f t="shared" si="38"/>
        <v/>
      </c>
      <c r="BA40" s="127" t="str">
        <f t="shared" si="38"/>
        <v/>
      </c>
      <c r="BB40" s="127" t="str">
        <f t="shared" si="38"/>
        <v/>
      </c>
      <c r="BC40" s="127" t="str">
        <f t="shared" si="39"/>
        <v/>
      </c>
      <c r="BD40" s="127" t="str">
        <f t="shared" si="39"/>
        <v/>
      </c>
      <c r="BE40" s="127" t="str">
        <f t="shared" si="39"/>
        <v/>
      </c>
      <c r="BF40" s="127" t="str">
        <f t="shared" si="39"/>
        <v/>
      </c>
      <c r="BG40" s="127" t="str">
        <f t="shared" si="37"/>
        <v/>
      </c>
      <c r="BH40" s="127" t="str">
        <f t="shared" si="37"/>
        <v/>
      </c>
      <c r="BI40" s="127" t="str">
        <f t="shared" si="37"/>
        <v/>
      </c>
      <c r="BJ40" s="127" t="str">
        <f t="shared" si="37"/>
        <v/>
      </c>
      <c r="BK40" s="127" t="str">
        <f t="shared" si="37"/>
        <v/>
      </c>
      <c r="BL40" s="127" t="str">
        <f t="shared" si="37"/>
        <v/>
      </c>
      <c r="BM40" s="127" t="str">
        <f t="shared" si="37"/>
        <v/>
      </c>
      <c r="BN40" s="127" t="str">
        <f t="shared" si="37"/>
        <v/>
      </c>
      <c r="BO40" s="127" t="str">
        <f t="shared" si="37"/>
        <v/>
      </c>
      <c r="BP40" s="127" t="str">
        <f t="shared" si="37"/>
        <v/>
      </c>
      <c r="BQ40" s="127" t="str">
        <f t="shared" si="37"/>
        <v/>
      </c>
      <c r="BR40" s="127" t="str">
        <f t="shared" si="37"/>
        <v/>
      </c>
      <c r="BS40" s="127" t="str">
        <f t="shared" si="37"/>
        <v/>
      </c>
      <c r="BT40" s="127" t="str">
        <f t="shared" si="37"/>
        <v/>
      </c>
      <c r="BU40" s="127" t="str">
        <f t="shared" si="37"/>
        <v/>
      </c>
      <c r="BV40" s="127" t="str">
        <f t="shared" si="37"/>
        <v/>
      </c>
      <c r="BW40" s="127" t="str">
        <f t="shared" ref="BT40:CE53" si="41">IF($E40=BW$3,"▲","")</f>
        <v/>
      </c>
      <c r="BX40" s="127" t="str">
        <f t="shared" si="41"/>
        <v/>
      </c>
      <c r="BY40" s="127" t="str">
        <f t="shared" si="41"/>
        <v/>
      </c>
      <c r="BZ40" s="127" t="str">
        <f t="shared" si="41"/>
        <v/>
      </c>
      <c r="CA40" s="127" t="str">
        <f t="shared" si="41"/>
        <v/>
      </c>
      <c r="CB40" s="127" t="str">
        <f t="shared" si="41"/>
        <v/>
      </c>
      <c r="CC40" s="127" t="str">
        <f t="shared" si="41"/>
        <v/>
      </c>
      <c r="CD40" s="127" t="str">
        <f t="shared" si="41"/>
        <v/>
      </c>
      <c r="CE40" s="127" t="str">
        <f t="shared" si="41"/>
        <v/>
      </c>
    </row>
    <row r="41" spans="1:83" ht="25.5" hidden="1" x14ac:dyDescent="0.2">
      <c r="A41" s="106">
        <f>SHIPMENTS!A47</f>
        <v>9164</v>
      </c>
      <c r="B41" s="106" t="str">
        <f>SHIPMENTS!B47</f>
        <v>1500-SAWO SAUNA EUROPE BV BACKLOG</v>
      </c>
      <c r="C41" s="132">
        <f>SHIPMENTS!F47</f>
        <v>100.97952000000001</v>
      </c>
      <c r="D41" s="107" t="str">
        <f>IF((SHIPMENTS!I47)=0,"",SHIPMENTS!I47)</f>
        <v>1X40HC</v>
      </c>
      <c r="E41" s="176">
        <f>IF((SHIPMENTS!G47)=0,"",SHIPMENTS!G47)</f>
        <v>46339</v>
      </c>
      <c r="F41" s="109">
        <f>VLOOKUP(A41,Items!$A$5:$J$1000,3,0)</f>
        <v>0</v>
      </c>
      <c r="G41" s="98">
        <f>VLOOKUP(A41,load!$A$4:$U$5001,5,0)</f>
        <v>0</v>
      </c>
      <c r="H41" s="97">
        <f>Manhours!$C$9</f>
        <v>9</v>
      </c>
      <c r="I41" s="98">
        <f t="shared" si="31"/>
        <v>81.899999999999991</v>
      </c>
      <c r="J41" s="99">
        <f t="shared" si="32"/>
        <v>0</v>
      </c>
      <c r="K41" s="99">
        <f t="shared" si="33"/>
        <v>0</v>
      </c>
      <c r="L41" s="98">
        <f t="shared" si="34"/>
        <v>0</v>
      </c>
      <c r="M41" s="98">
        <f t="shared" si="35"/>
        <v>0</v>
      </c>
      <c r="N41" s="181">
        <f>IF(G41&gt;0,(EA!N41+1),O40)</f>
        <v>46315.404228479849</v>
      </c>
      <c r="O41" s="181">
        <f t="shared" si="36"/>
        <v>46315.404228479849</v>
      </c>
      <c r="P41" s="112">
        <f>VLOOKUP(A41,SHIPMENTS!$A$7:$AP$76,11,0)</f>
        <v>1</v>
      </c>
      <c r="Q41" s="156"/>
      <c r="R41" s="127" t="str">
        <f t="shared" si="30"/>
        <v/>
      </c>
      <c r="S41" s="127" t="str">
        <f t="shared" si="30"/>
        <v/>
      </c>
      <c r="T41" s="127" t="str">
        <f t="shared" si="30"/>
        <v/>
      </c>
      <c r="U41" s="127" t="str">
        <f t="shared" si="30"/>
        <v/>
      </c>
      <c r="V41" s="127" t="str">
        <f t="shared" si="30"/>
        <v/>
      </c>
      <c r="W41" s="127" t="str">
        <f t="shared" si="30"/>
        <v/>
      </c>
      <c r="X41" s="127" t="str">
        <f t="shared" si="30"/>
        <v/>
      </c>
      <c r="Y41" s="127" t="str">
        <f t="shared" si="30"/>
        <v/>
      </c>
      <c r="Z41" s="127" t="str">
        <f t="shared" si="30"/>
        <v/>
      </c>
      <c r="AA41" s="127" t="str">
        <f t="shared" si="30"/>
        <v/>
      </c>
      <c r="AB41" s="127" t="str">
        <f t="shared" si="30"/>
        <v/>
      </c>
      <c r="AC41" s="127" t="str">
        <f t="shared" si="30"/>
        <v/>
      </c>
      <c r="AD41" s="127" t="str">
        <f t="shared" si="30"/>
        <v/>
      </c>
      <c r="AE41" s="127" t="str">
        <f t="shared" si="30"/>
        <v/>
      </c>
      <c r="AF41" s="127" t="str">
        <f t="shared" si="30"/>
        <v/>
      </c>
      <c r="AG41" s="127" t="str">
        <f t="shared" si="30"/>
        <v/>
      </c>
      <c r="AH41" s="127" t="str">
        <f t="shared" si="40"/>
        <v/>
      </c>
      <c r="AI41" s="127" t="str">
        <f t="shared" si="40"/>
        <v/>
      </c>
      <c r="AJ41" s="127" t="str">
        <f t="shared" si="40"/>
        <v/>
      </c>
      <c r="AK41" s="127" t="str">
        <f t="shared" si="40"/>
        <v/>
      </c>
      <c r="AL41" s="127" t="str">
        <f t="shared" si="40"/>
        <v/>
      </c>
      <c r="AM41" s="127" t="str">
        <f t="shared" si="40"/>
        <v/>
      </c>
      <c r="AN41" s="127" t="str">
        <f t="shared" si="40"/>
        <v>▲</v>
      </c>
      <c r="AO41" s="127" t="str">
        <f t="shared" si="40"/>
        <v/>
      </c>
      <c r="AP41" s="127" t="str">
        <f t="shared" si="40"/>
        <v/>
      </c>
      <c r="AQ41" s="127" t="str">
        <f t="shared" si="40"/>
        <v/>
      </c>
      <c r="AR41" s="127" t="str">
        <f t="shared" si="40"/>
        <v/>
      </c>
      <c r="AS41" s="127" t="str">
        <f t="shared" si="40"/>
        <v/>
      </c>
      <c r="AT41" s="127" t="str">
        <f t="shared" si="40"/>
        <v/>
      </c>
      <c r="AU41" s="127" t="str">
        <f t="shared" si="40"/>
        <v/>
      </c>
      <c r="AV41" s="127" t="str">
        <f t="shared" si="40"/>
        <v/>
      </c>
      <c r="AW41" s="127" t="str">
        <f t="shared" si="40"/>
        <v/>
      </c>
      <c r="AX41" s="127" t="str">
        <f t="shared" si="38"/>
        <v/>
      </c>
      <c r="AY41" s="127" t="str">
        <f t="shared" si="38"/>
        <v/>
      </c>
      <c r="AZ41" s="127" t="str">
        <f t="shared" si="38"/>
        <v/>
      </c>
      <c r="BA41" s="127" t="str">
        <f t="shared" si="38"/>
        <v/>
      </c>
      <c r="BB41" s="127" t="str">
        <f t="shared" si="38"/>
        <v/>
      </c>
      <c r="BC41" s="127" t="str">
        <f t="shared" si="39"/>
        <v/>
      </c>
      <c r="BD41" s="127" t="str">
        <f t="shared" si="39"/>
        <v/>
      </c>
      <c r="BE41" s="127" t="str">
        <f t="shared" si="39"/>
        <v/>
      </c>
      <c r="BF41" s="127" t="str">
        <f t="shared" si="39"/>
        <v/>
      </c>
      <c r="BG41" s="127" t="str">
        <f t="shared" si="37"/>
        <v/>
      </c>
      <c r="BH41" s="127" t="str">
        <f t="shared" si="37"/>
        <v/>
      </c>
      <c r="BI41" s="127" t="str">
        <f t="shared" si="37"/>
        <v/>
      </c>
      <c r="BJ41" s="127" t="str">
        <f t="shared" si="37"/>
        <v/>
      </c>
      <c r="BK41" s="127" t="str">
        <f t="shared" si="37"/>
        <v/>
      </c>
      <c r="BL41" s="127" t="str">
        <f t="shared" si="37"/>
        <v/>
      </c>
      <c r="BM41" s="127" t="str">
        <f t="shared" si="37"/>
        <v/>
      </c>
      <c r="BN41" s="127" t="str">
        <f t="shared" si="37"/>
        <v/>
      </c>
      <c r="BO41" s="127" t="str">
        <f t="shared" si="37"/>
        <v/>
      </c>
      <c r="BP41" s="127" t="str">
        <f t="shared" si="37"/>
        <v/>
      </c>
      <c r="BQ41" s="127" t="str">
        <f t="shared" si="37"/>
        <v/>
      </c>
      <c r="BR41" s="127" t="str">
        <f t="shared" si="37"/>
        <v/>
      </c>
      <c r="BS41" s="127" t="str">
        <f t="shared" si="37"/>
        <v/>
      </c>
      <c r="BT41" s="127" t="str">
        <f t="shared" si="41"/>
        <v/>
      </c>
      <c r="BU41" s="127" t="str">
        <f t="shared" si="41"/>
        <v/>
      </c>
      <c r="BV41" s="127" t="str">
        <f t="shared" si="41"/>
        <v/>
      </c>
      <c r="BW41" s="127" t="str">
        <f t="shared" si="41"/>
        <v/>
      </c>
      <c r="BX41" s="127" t="str">
        <f t="shared" si="41"/>
        <v/>
      </c>
      <c r="BY41" s="127" t="str">
        <f t="shared" si="41"/>
        <v/>
      </c>
      <c r="BZ41" s="127" t="str">
        <f t="shared" si="41"/>
        <v/>
      </c>
      <c r="CA41" s="127" t="str">
        <f t="shared" si="41"/>
        <v/>
      </c>
      <c r="CB41" s="127" t="str">
        <f t="shared" si="41"/>
        <v/>
      </c>
      <c r="CC41" s="127" t="str">
        <f t="shared" si="41"/>
        <v/>
      </c>
      <c r="CD41" s="127" t="str">
        <f t="shared" si="41"/>
        <v/>
      </c>
      <c r="CE41" s="127" t="str">
        <f t="shared" si="41"/>
        <v/>
      </c>
    </row>
    <row r="42" spans="1:83" hidden="1" x14ac:dyDescent="0.2">
      <c r="A42" s="106">
        <f>SHIPMENTS!A48</f>
        <v>9288</v>
      </c>
      <c r="B42" s="106" t="str">
        <f>SHIPMENTS!B48</f>
        <v>12100-HOLLAND HALU</v>
      </c>
      <c r="C42" s="132">
        <f>SHIPMENTS!F48</f>
        <v>0</v>
      </c>
      <c r="D42" s="107" t="str">
        <f>IF((SHIPMENTS!I48)=0,"",SHIPMENTS!I48)</f>
        <v/>
      </c>
      <c r="E42" s="176">
        <f>IF((SHIPMENTS!G48)=0,"",SHIPMENTS!G48)</f>
        <v>46339</v>
      </c>
      <c r="F42" s="109">
        <f>VLOOKUP(A42,Items!$A$5:$J$1000,3,0)</f>
        <v>0</v>
      </c>
      <c r="G42" s="98">
        <f>VLOOKUP(A42,load!$A$4:$U$5001,5,0)</f>
        <v>0</v>
      </c>
      <c r="H42" s="97">
        <f>Manhours!$C$9</f>
        <v>9</v>
      </c>
      <c r="I42" s="98">
        <f t="shared" si="31"/>
        <v>81.899999999999991</v>
      </c>
      <c r="J42" s="99">
        <f t="shared" si="32"/>
        <v>0</v>
      </c>
      <c r="K42" s="99">
        <f t="shared" si="33"/>
        <v>0</v>
      </c>
      <c r="L42" s="98">
        <f t="shared" si="34"/>
        <v>0</v>
      </c>
      <c r="M42" s="98">
        <f t="shared" si="35"/>
        <v>0</v>
      </c>
      <c r="N42" s="181">
        <f>IF(G42&gt;0,(EA!N42+1),O41)</f>
        <v>46315.404228479849</v>
      </c>
      <c r="O42" s="181">
        <f t="shared" si="36"/>
        <v>46315.404228479849</v>
      </c>
      <c r="P42" s="112" t="str">
        <f>VLOOKUP(A42,SHIPMENTS!$A$7:$AP$76,11,0)</f>
        <v>n/a</v>
      </c>
      <c r="Q42" s="156"/>
      <c r="R42" s="127" t="str">
        <f t="shared" si="30"/>
        <v/>
      </c>
      <c r="S42" s="127" t="str">
        <f t="shared" si="30"/>
        <v/>
      </c>
      <c r="T42" s="127" t="str">
        <f t="shared" si="30"/>
        <v/>
      </c>
      <c r="U42" s="127" t="str">
        <f t="shared" si="30"/>
        <v/>
      </c>
      <c r="V42" s="127" t="str">
        <f t="shared" si="30"/>
        <v/>
      </c>
      <c r="W42" s="127" t="str">
        <f t="shared" si="30"/>
        <v/>
      </c>
      <c r="X42" s="127" t="str">
        <f t="shared" si="30"/>
        <v/>
      </c>
      <c r="Y42" s="127" t="str">
        <f t="shared" si="30"/>
        <v/>
      </c>
      <c r="Z42" s="127" t="str">
        <f t="shared" si="30"/>
        <v/>
      </c>
      <c r="AA42" s="127" t="str">
        <f t="shared" si="30"/>
        <v/>
      </c>
      <c r="AB42" s="127" t="str">
        <f t="shared" si="30"/>
        <v/>
      </c>
      <c r="AC42" s="127" t="str">
        <f t="shared" si="30"/>
        <v/>
      </c>
      <c r="AD42" s="127" t="str">
        <f t="shared" si="30"/>
        <v/>
      </c>
      <c r="AE42" s="127" t="str">
        <f t="shared" si="30"/>
        <v/>
      </c>
      <c r="AF42" s="127" t="str">
        <f t="shared" si="30"/>
        <v/>
      </c>
      <c r="AG42" s="127" t="str">
        <f t="shared" si="30"/>
        <v/>
      </c>
      <c r="AH42" s="127" t="str">
        <f t="shared" si="40"/>
        <v/>
      </c>
      <c r="AI42" s="127" t="str">
        <f t="shared" si="40"/>
        <v/>
      </c>
      <c r="AJ42" s="127" t="str">
        <f t="shared" si="40"/>
        <v/>
      </c>
      <c r="AK42" s="127" t="str">
        <f t="shared" si="40"/>
        <v/>
      </c>
      <c r="AL42" s="127" t="str">
        <f t="shared" si="40"/>
        <v/>
      </c>
      <c r="AM42" s="127" t="str">
        <f t="shared" si="40"/>
        <v/>
      </c>
      <c r="AN42" s="127" t="str">
        <f t="shared" si="40"/>
        <v>▲</v>
      </c>
      <c r="AO42" s="127" t="str">
        <f t="shared" si="40"/>
        <v/>
      </c>
      <c r="AP42" s="127" t="str">
        <f t="shared" si="40"/>
        <v/>
      </c>
      <c r="AQ42" s="127" t="str">
        <f t="shared" si="40"/>
        <v/>
      </c>
      <c r="AR42" s="127" t="str">
        <f t="shared" si="40"/>
        <v/>
      </c>
      <c r="AS42" s="127" t="str">
        <f t="shared" si="40"/>
        <v/>
      </c>
      <c r="AT42" s="127" t="str">
        <f t="shared" si="40"/>
        <v/>
      </c>
      <c r="AU42" s="127" t="str">
        <f t="shared" si="40"/>
        <v/>
      </c>
      <c r="AV42" s="127" t="str">
        <f t="shared" si="40"/>
        <v/>
      </c>
      <c r="AW42" s="127" t="str">
        <f t="shared" si="40"/>
        <v/>
      </c>
      <c r="AX42" s="127" t="str">
        <f t="shared" si="38"/>
        <v/>
      </c>
      <c r="AY42" s="127" t="str">
        <f t="shared" si="38"/>
        <v/>
      </c>
      <c r="AZ42" s="127" t="str">
        <f t="shared" si="38"/>
        <v/>
      </c>
      <c r="BA42" s="127" t="str">
        <f t="shared" si="38"/>
        <v/>
      </c>
      <c r="BB42" s="127" t="str">
        <f t="shared" si="38"/>
        <v/>
      </c>
      <c r="BC42" s="127" t="str">
        <f t="shared" si="39"/>
        <v/>
      </c>
      <c r="BD42" s="127" t="str">
        <f t="shared" si="39"/>
        <v/>
      </c>
      <c r="BE42" s="127" t="str">
        <f t="shared" si="39"/>
        <v/>
      </c>
      <c r="BF42" s="127" t="str">
        <f t="shared" si="39"/>
        <v/>
      </c>
      <c r="BG42" s="127" t="str">
        <f t="shared" si="37"/>
        <v/>
      </c>
      <c r="BH42" s="127" t="str">
        <f t="shared" si="37"/>
        <v/>
      </c>
      <c r="BI42" s="127" t="str">
        <f t="shared" si="37"/>
        <v/>
      </c>
      <c r="BJ42" s="127" t="str">
        <f t="shared" si="37"/>
        <v/>
      </c>
      <c r="BK42" s="127" t="str">
        <f t="shared" si="37"/>
        <v/>
      </c>
      <c r="BL42" s="127" t="str">
        <f t="shared" si="37"/>
        <v/>
      </c>
      <c r="BM42" s="127" t="str">
        <f t="shared" si="37"/>
        <v/>
      </c>
      <c r="BN42" s="127" t="str">
        <f t="shared" si="37"/>
        <v/>
      </c>
      <c r="BO42" s="127" t="str">
        <f t="shared" si="37"/>
        <v/>
      </c>
      <c r="BP42" s="127" t="str">
        <f t="shared" si="37"/>
        <v/>
      </c>
      <c r="BQ42" s="127" t="str">
        <f t="shared" si="37"/>
        <v/>
      </c>
      <c r="BR42" s="127" t="str">
        <f t="shared" si="37"/>
        <v/>
      </c>
      <c r="BS42" s="127" t="str">
        <f t="shared" si="37"/>
        <v/>
      </c>
      <c r="BT42" s="127" t="str">
        <f t="shared" si="41"/>
        <v/>
      </c>
      <c r="BU42" s="127" t="str">
        <f t="shared" si="41"/>
        <v/>
      </c>
      <c r="BV42" s="127" t="str">
        <f t="shared" si="41"/>
        <v/>
      </c>
      <c r="BW42" s="127" t="str">
        <f t="shared" si="41"/>
        <v/>
      </c>
      <c r="BX42" s="127" t="str">
        <f t="shared" si="41"/>
        <v/>
      </c>
      <c r="BY42" s="127" t="str">
        <f t="shared" si="41"/>
        <v/>
      </c>
      <c r="BZ42" s="127" t="str">
        <f t="shared" si="41"/>
        <v/>
      </c>
      <c r="CA42" s="127" t="str">
        <f t="shared" si="41"/>
        <v/>
      </c>
      <c r="CB42" s="127" t="str">
        <f t="shared" si="41"/>
        <v/>
      </c>
      <c r="CC42" s="127" t="str">
        <f t="shared" si="41"/>
        <v/>
      </c>
      <c r="CD42" s="127" t="str">
        <f t="shared" si="41"/>
        <v/>
      </c>
      <c r="CE42" s="127" t="str">
        <f t="shared" si="41"/>
        <v/>
      </c>
    </row>
    <row r="43" spans="1:83" ht="25.5" x14ac:dyDescent="0.2">
      <c r="A43" s="106" t="str">
        <f>SHIPMENTS!A49</f>
        <v>SSE BACKLOG</v>
      </c>
      <c r="B43" s="106" t="str">
        <f>SHIPMENTS!B49</f>
        <v>11500-SAWO SAUNA EUROPE BV</v>
      </c>
      <c r="C43" s="132">
        <f>SHIPMENTS!F49</f>
        <v>0</v>
      </c>
      <c r="D43" s="107" t="str">
        <f>IF((SHIPMENTS!I49)=0,"",SHIPMENTS!I49)</f>
        <v/>
      </c>
      <c r="E43" s="176">
        <f>IF((SHIPMENTS!G49)=0,"",SHIPMENTS!G49)</f>
        <v>46339</v>
      </c>
      <c r="F43" s="109">
        <f>VLOOKUP(A43,Items!$A$5:$J$1000,3,0)</f>
        <v>269</v>
      </c>
      <c r="G43" s="98">
        <f>VLOOKUP(A43,load!$A$4:$U$5001,5,0)</f>
        <v>125.79491666666664</v>
      </c>
      <c r="H43" s="97">
        <f>Manhours!$C$9</f>
        <v>9</v>
      </c>
      <c r="I43" s="98">
        <f t="shared" si="31"/>
        <v>81.899999999999991</v>
      </c>
      <c r="J43" s="99">
        <f t="shared" si="32"/>
        <v>1.5359574684574682</v>
      </c>
      <c r="K43" s="99">
        <f t="shared" si="33"/>
        <v>13.977212962962959</v>
      </c>
      <c r="L43" s="98">
        <f t="shared" si="34"/>
        <v>6.1438298738298869E-2</v>
      </c>
      <c r="M43" s="98">
        <f t="shared" si="35"/>
        <v>0.55908851851851971</v>
      </c>
      <c r="N43" s="181">
        <f>IF(G43&gt;0,(EA!N43+1),O42)</f>
        <v>46315.404228479849</v>
      </c>
      <c r="O43" s="181">
        <f t="shared" si="36"/>
        <v>46315.465666778589</v>
      </c>
      <c r="P43" s="112">
        <f>VLOOKUP(A43,SHIPMENTS!$A$7:$AP$76,11,0)</f>
        <v>0.96</v>
      </c>
      <c r="Q43" s="156"/>
      <c r="R43" s="127" t="str">
        <f t="shared" si="30"/>
        <v/>
      </c>
      <c r="S43" s="127" t="str">
        <f t="shared" si="30"/>
        <v/>
      </c>
      <c r="T43" s="127" t="str">
        <f t="shared" si="30"/>
        <v/>
      </c>
      <c r="U43" s="127" t="str">
        <f t="shared" si="30"/>
        <v/>
      </c>
      <c r="V43" s="127" t="str">
        <f t="shared" si="30"/>
        <v/>
      </c>
      <c r="W43" s="127" t="str">
        <f t="shared" si="30"/>
        <v/>
      </c>
      <c r="X43" s="127" t="str">
        <f t="shared" si="30"/>
        <v/>
      </c>
      <c r="Y43" s="127" t="str">
        <f t="shared" si="30"/>
        <v/>
      </c>
      <c r="Z43" s="127" t="str">
        <f t="shared" si="30"/>
        <v/>
      </c>
      <c r="AA43" s="127" t="str">
        <f t="shared" si="30"/>
        <v/>
      </c>
      <c r="AB43" s="127" t="str">
        <f t="shared" si="30"/>
        <v/>
      </c>
      <c r="AC43" s="127" t="str">
        <f t="shared" si="30"/>
        <v/>
      </c>
      <c r="AD43" s="127" t="str">
        <f t="shared" si="30"/>
        <v/>
      </c>
      <c r="AE43" s="127" t="str">
        <f t="shared" si="30"/>
        <v/>
      </c>
      <c r="AF43" s="127" t="str">
        <f t="shared" si="30"/>
        <v/>
      </c>
      <c r="AG43" s="127" t="str">
        <f t="shared" si="30"/>
        <v/>
      </c>
      <c r="AH43" s="127" t="str">
        <f t="shared" si="40"/>
        <v/>
      </c>
      <c r="AI43" s="127" t="str">
        <f t="shared" si="40"/>
        <v/>
      </c>
      <c r="AJ43" s="127" t="str">
        <f t="shared" si="40"/>
        <v/>
      </c>
      <c r="AK43" s="127" t="str">
        <f t="shared" si="40"/>
        <v/>
      </c>
      <c r="AL43" s="127" t="str">
        <f t="shared" si="40"/>
        <v/>
      </c>
      <c r="AM43" s="127" t="str">
        <f t="shared" si="40"/>
        <v/>
      </c>
      <c r="AN43" s="127" t="str">
        <f t="shared" si="40"/>
        <v>▲</v>
      </c>
      <c r="AO43" s="127" t="str">
        <f t="shared" si="40"/>
        <v/>
      </c>
      <c r="AP43" s="127" t="str">
        <f t="shared" si="40"/>
        <v/>
      </c>
      <c r="AQ43" s="127" t="str">
        <f t="shared" si="40"/>
        <v/>
      </c>
      <c r="AR43" s="127" t="str">
        <f t="shared" si="40"/>
        <v/>
      </c>
      <c r="AS43" s="127" t="str">
        <f t="shared" si="40"/>
        <v/>
      </c>
      <c r="AT43" s="127" t="str">
        <f t="shared" si="40"/>
        <v/>
      </c>
      <c r="AU43" s="127" t="str">
        <f t="shared" si="40"/>
        <v/>
      </c>
      <c r="AV43" s="127" t="str">
        <f t="shared" si="40"/>
        <v/>
      </c>
      <c r="AW43" s="127" t="str">
        <f t="shared" si="40"/>
        <v/>
      </c>
      <c r="AX43" s="127" t="str">
        <f t="shared" si="38"/>
        <v/>
      </c>
      <c r="AY43" s="127" t="str">
        <f t="shared" si="38"/>
        <v/>
      </c>
      <c r="AZ43" s="127" t="str">
        <f t="shared" si="38"/>
        <v/>
      </c>
      <c r="BA43" s="127" t="str">
        <f t="shared" si="38"/>
        <v/>
      </c>
      <c r="BB43" s="127" t="str">
        <f t="shared" si="38"/>
        <v/>
      </c>
      <c r="BC43" s="127" t="str">
        <f t="shared" si="39"/>
        <v/>
      </c>
      <c r="BD43" s="127" t="str">
        <f t="shared" si="39"/>
        <v/>
      </c>
      <c r="BE43" s="127" t="str">
        <f t="shared" si="39"/>
        <v/>
      </c>
      <c r="BF43" s="127" t="str">
        <f t="shared" si="39"/>
        <v/>
      </c>
      <c r="BG43" s="127" t="str">
        <f t="shared" si="37"/>
        <v/>
      </c>
      <c r="BH43" s="127" t="str">
        <f t="shared" si="37"/>
        <v/>
      </c>
      <c r="BI43" s="127" t="str">
        <f t="shared" si="37"/>
        <v/>
      </c>
      <c r="BJ43" s="127" t="str">
        <f t="shared" si="37"/>
        <v/>
      </c>
      <c r="BK43" s="127" t="str">
        <f t="shared" si="37"/>
        <v/>
      </c>
      <c r="BL43" s="127" t="str">
        <f t="shared" si="37"/>
        <v/>
      </c>
      <c r="BM43" s="127" t="str">
        <f t="shared" si="37"/>
        <v/>
      </c>
      <c r="BN43" s="127" t="str">
        <f t="shared" si="37"/>
        <v/>
      </c>
      <c r="BO43" s="127" t="str">
        <f t="shared" si="37"/>
        <v/>
      </c>
      <c r="BP43" s="127" t="str">
        <f t="shared" si="37"/>
        <v/>
      </c>
      <c r="BQ43" s="127" t="str">
        <f t="shared" si="37"/>
        <v/>
      </c>
      <c r="BR43" s="127" t="str">
        <f t="shared" si="37"/>
        <v/>
      </c>
      <c r="BS43" s="127" t="str">
        <f t="shared" si="37"/>
        <v/>
      </c>
      <c r="BT43" s="127" t="str">
        <f t="shared" si="41"/>
        <v/>
      </c>
      <c r="BU43" s="127" t="str">
        <f t="shared" si="41"/>
        <v/>
      </c>
      <c r="BV43" s="127" t="str">
        <f t="shared" si="41"/>
        <v/>
      </c>
      <c r="BW43" s="127" t="str">
        <f t="shared" si="41"/>
        <v/>
      </c>
      <c r="BX43" s="127" t="str">
        <f t="shared" si="41"/>
        <v/>
      </c>
      <c r="BY43" s="127" t="str">
        <f t="shared" si="41"/>
        <v/>
      </c>
      <c r="BZ43" s="127" t="str">
        <f t="shared" si="41"/>
        <v/>
      </c>
      <c r="CA43" s="127" t="str">
        <f t="shared" si="41"/>
        <v/>
      </c>
      <c r="CB43" s="127" t="str">
        <f t="shared" si="41"/>
        <v/>
      </c>
      <c r="CC43" s="127" t="str">
        <f t="shared" si="41"/>
        <v/>
      </c>
      <c r="CD43" s="127" t="str">
        <f t="shared" si="41"/>
        <v/>
      </c>
      <c r="CE43" s="127" t="str">
        <f t="shared" si="41"/>
        <v/>
      </c>
    </row>
    <row r="44" spans="1:83" ht="25.5" x14ac:dyDescent="0.2">
      <c r="A44" s="106">
        <f>SHIPMENTS!A50</f>
        <v>9113</v>
      </c>
      <c r="B44" s="106" t="str">
        <f>SHIPMENTS!B50</f>
        <v>15900- Mandaue |Stephen Chian</v>
      </c>
      <c r="C44" s="132">
        <f>SHIPMENTS!F50</f>
        <v>0.34</v>
      </c>
      <c r="D44" s="107" t="str">
        <f>IF((SHIPMENTS!I50)=0,"",SHIPMENTS!I50)</f>
        <v/>
      </c>
      <c r="E44" s="176">
        <f>IF((SHIPMENTS!G50)=0,"",SHIPMENTS!G50)</f>
        <v>46351</v>
      </c>
      <c r="F44" s="109">
        <f>VLOOKUP(A44,Items!$A$5:$J$1000,3,0)</f>
        <v>1</v>
      </c>
      <c r="G44" s="98">
        <f>VLOOKUP(A44,load!$A$4:$U$5001,5,0)</f>
        <v>1.5094466666666668</v>
      </c>
      <c r="H44" s="97">
        <f>Manhours!$C$9</f>
        <v>9</v>
      </c>
      <c r="I44" s="98">
        <f t="shared" si="31"/>
        <v>81.899999999999991</v>
      </c>
      <c r="J44" s="99">
        <f t="shared" si="32"/>
        <v>1.8430362230362235E-2</v>
      </c>
      <c r="K44" s="99">
        <f t="shared" si="33"/>
        <v>0.16771629629629634</v>
      </c>
      <c r="L44" s="98">
        <f t="shared" si="34"/>
        <v>0</v>
      </c>
      <c r="M44" s="98">
        <f t="shared" si="35"/>
        <v>0</v>
      </c>
      <c r="N44" s="181">
        <f>IF(G44&gt;0,(EA!N44+1),O43)</f>
        <v>46315.41328879731</v>
      </c>
      <c r="O44" s="181">
        <f t="shared" si="36"/>
        <v>46315.41328879731</v>
      </c>
      <c r="P44" s="112">
        <f>VLOOKUP(A44,SHIPMENTS!$A$7:$AP$76,11,0)</f>
        <v>1</v>
      </c>
      <c r="Q44" s="156"/>
      <c r="R44" s="127" t="str">
        <f t="shared" si="30"/>
        <v/>
      </c>
      <c r="S44" s="127" t="str">
        <f t="shared" si="30"/>
        <v/>
      </c>
      <c r="T44" s="127" t="str">
        <f t="shared" si="30"/>
        <v/>
      </c>
      <c r="U44" s="127" t="str">
        <f t="shared" si="30"/>
        <v/>
      </c>
      <c r="V44" s="127" t="str">
        <f t="shared" si="30"/>
        <v/>
      </c>
      <c r="W44" s="127" t="str">
        <f t="shared" si="30"/>
        <v/>
      </c>
      <c r="X44" s="127" t="str">
        <f t="shared" si="30"/>
        <v/>
      </c>
      <c r="Y44" s="127" t="str">
        <f t="shared" si="30"/>
        <v/>
      </c>
      <c r="Z44" s="127" t="str">
        <f t="shared" si="30"/>
        <v/>
      </c>
      <c r="AA44" s="127" t="str">
        <f t="shared" si="30"/>
        <v/>
      </c>
      <c r="AB44" s="127" t="str">
        <f t="shared" si="30"/>
        <v/>
      </c>
      <c r="AC44" s="127" t="str">
        <f t="shared" si="30"/>
        <v/>
      </c>
      <c r="AD44" s="127" t="str">
        <f t="shared" si="30"/>
        <v/>
      </c>
      <c r="AE44" s="127" t="str">
        <f t="shared" si="30"/>
        <v/>
      </c>
      <c r="AF44" s="127" t="str">
        <f t="shared" si="30"/>
        <v/>
      </c>
      <c r="AG44" s="127" t="str">
        <f t="shared" si="30"/>
        <v/>
      </c>
      <c r="AH44" s="127" t="str">
        <f t="shared" si="40"/>
        <v/>
      </c>
      <c r="AI44" s="127" t="str">
        <f t="shared" si="40"/>
        <v/>
      </c>
      <c r="AJ44" s="127" t="str">
        <f t="shared" si="40"/>
        <v/>
      </c>
      <c r="AK44" s="127" t="str">
        <f t="shared" si="40"/>
        <v/>
      </c>
      <c r="AL44" s="127" t="str">
        <f t="shared" si="40"/>
        <v/>
      </c>
      <c r="AM44" s="127" t="str">
        <f t="shared" si="40"/>
        <v/>
      </c>
      <c r="AN44" s="127" t="str">
        <f t="shared" si="40"/>
        <v/>
      </c>
      <c r="AO44" s="127" t="str">
        <f t="shared" si="40"/>
        <v/>
      </c>
      <c r="AP44" s="127" t="str">
        <f t="shared" si="40"/>
        <v/>
      </c>
      <c r="AQ44" s="127" t="str">
        <f t="shared" si="40"/>
        <v/>
      </c>
      <c r="AR44" s="127" t="str">
        <f t="shared" si="40"/>
        <v/>
      </c>
      <c r="AS44" s="127" t="str">
        <f t="shared" si="40"/>
        <v/>
      </c>
      <c r="AT44" s="127" t="str">
        <f t="shared" si="40"/>
        <v/>
      </c>
      <c r="AU44" s="127" t="str">
        <f t="shared" si="40"/>
        <v/>
      </c>
      <c r="AV44" s="127" t="str">
        <f t="shared" si="40"/>
        <v/>
      </c>
      <c r="AW44" s="127" t="str">
        <f t="shared" si="40"/>
        <v/>
      </c>
      <c r="AX44" s="127" t="str">
        <f t="shared" si="38"/>
        <v>▲</v>
      </c>
      <c r="AY44" s="127" t="str">
        <f t="shared" si="38"/>
        <v/>
      </c>
      <c r="AZ44" s="127" t="str">
        <f t="shared" si="38"/>
        <v/>
      </c>
      <c r="BA44" s="127" t="str">
        <f t="shared" si="38"/>
        <v/>
      </c>
      <c r="BB44" s="127" t="str">
        <f t="shared" si="38"/>
        <v/>
      </c>
      <c r="BC44" s="127" t="str">
        <f t="shared" si="39"/>
        <v/>
      </c>
      <c r="BD44" s="127" t="str">
        <f t="shared" si="39"/>
        <v/>
      </c>
      <c r="BE44" s="127" t="str">
        <f t="shared" si="39"/>
        <v/>
      </c>
      <c r="BF44" s="127" t="str">
        <f t="shared" si="39"/>
        <v/>
      </c>
      <c r="BG44" s="127" t="str">
        <f t="shared" si="37"/>
        <v/>
      </c>
      <c r="BH44" s="127" t="str">
        <f t="shared" si="37"/>
        <v/>
      </c>
      <c r="BI44" s="127" t="str">
        <f t="shared" si="37"/>
        <v/>
      </c>
      <c r="BJ44" s="127" t="str">
        <f t="shared" si="37"/>
        <v/>
      </c>
      <c r="BK44" s="127" t="str">
        <f t="shared" si="37"/>
        <v/>
      </c>
      <c r="BL44" s="127" t="str">
        <f t="shared" si="37"/>
        <v/>
      </c>
      <c r="BM44" s="127" t="str">
        <f t="shared" si="37"/>
        <v/>
      </c>
      <c r="BN44" s="127" t="str">
        <f t="shared" si="37"/>
        <v/>
      </c>
      <c r="BO44" s="127" t="str">
        <f t="shared" si="37"/>
        <v/>
      </c>
      <c r="BP44" s="127" t="str">
        <f t="shared" si="37"/>
        <v/>
      </c>
      <c r="BQ44" s="127" t="str">
        <f t="shared" si="37"/>
        <v/>
      </c>
      <c r="BR44" s="127" t="str">
        <f t="shared" si="37"/>
        <v/>
      </c>
      <c r="BS44" s="127" t="str">
        <f t="shared" si="37"/>
        <v/>
      </c>
      <c r="BT44" s="127" t="str">
        <f t="shared" si="41"/>
        <v/>
      </c>
      <c r="BU44" s="127" t="str">
        <f t="shared" si="41"/>
        <v/>
      </c>
      <c r="BV44" s="127" t="str">
        <f t="shared" si="41"/>
        <v/>
      </c>
      <c r="BW44" s="127" t="str">
        <f t="shared" si="41"/>
        <v/>
      </c>
      <c r="BX44" s="127" t="str">
        <f t="shared" si="41"/>
        <v/>
      </c>
      <c r="BY44" s="127" t="str">
        <f t="shared" si="41"/>
        <v/>
      </c>
      <c r="BZ44" s="127" t="str">
        <f t="shared" si="41"/>
        <v/>
      </c>
      <c r="CA44" s="127" t="str">
        <f t="shared" si="41"/>
        <v/>
      </c>
      <c r="CB44" s="127" t="str">
        <f t="shared" si="41"/>
        <v/>
      </c>
      <c r="CC44" s="127" t="str">
        <f t="shared" si="41"/>
        <v/>
      </c>
      <c r="CD44" s="127" t="str">
        <f t="shared" si="41"/>
        <v/>
      </c>
      <c r="CE44" s="127" t="str">
        <f t="shared" si="41"/>
        <v/>
      </c>
    </row>
    <row r="45" spans="1:83" x14ac:dyDescent="0.2">
      <c r="A45" s="106">
        <f>SHIPMENTS!A51</f>
        <v>8938</v>
      </c>
      <c r="B45" s="106" t="str">
        <f>SHIPMENTS!B51</f>
        <v>9600-NEW ZEALAND</v>
      </c>
      <c r="C45" s="132">
        <f>SHIPMENTS!F51</f>
        <v>36.496094285714285</v>
      </c>
      <c r="D45" s="107" t="str">
        <f>IF((SHIPMENTS!I51)=0,"",SHIPMENTS!I51)</f>
        <v>1X20</v>
      </c>
      <c r="E45" s="176" t="str">
        <f>IF((SHIPMENTS!G51)=0,"",SHIPMENTS!G51)</f>
        <v>TBA</v>
      </c>
      <c r="F45" s="109">
        <f>VLOOKUP(A45,Items!$A$5:$J$1000,3,0)</f>
        <v>17</v>
      </c>
      <c r="G45" s="98">
        <f>VLOOKUP(A45,load!$A$4:$U$5001,5,0)</f>
        <v>15.674963333333334</v>
      </c>
      <c r="H45" s="97">
        <f>Manhours!$C$9</f>
        <v>9</v>
      </c>
      <c r="I45" s="98">
        <f t="shared" si="31"/>
        <v>81.899999999999991</v>
      </c>
      <c r="J45" s="99">
        <f t="shared" si="32"/>
        <v>0.19139149369149372</v>
      </c>
      <c r="K45" s="99">
        <f t="shared" si="33"/>
        <v>1.7416625925925928</v>
      </c>
      <c r="L45" s="98">
        <f t="shared" si="34"/>
        <v>7.6556597476597488E-3</v>
      </c>
      <c r="M45" s="98">
        <f t="shared" si="35"/>
        <v>6.9666503703703864E-2</v>
      </c>
      <c r="N45" s="181">
        <f>IF(G45&gt;0,(EA!N45+1),O44)</f>
        <v>46315.41328879731</v>
      </c>
      <c r="O45" s="181">
        <f t="shared" si="36"/>
        <v>46315.420944457059</v>
      </c>
      <c r="P45" s="112">
        <f>VLOOKUP(A45,SHIPMENTS!$A$7:$AP$76,11,0)</f>
        <v>0.96</v>
      </c>
      <c r="Q45" s="156"/>
      <c r="R45" s="127" t="str">
        <f t="shared" si="30"/>
        <v/>
      </c>
      <c r="S45" s="127" t="str">
        <f t="shared" si="30"/>
        <v/>
      </c>
      <c r="T45" s="127" t="str">
        <f t="shared" si="30"/>
        <v/>
      </c>
      <c r="U45" s="127" t="str">
        <f t="shared" si="30"/>
        <v/>
      </c>
      <c r="V45" s="127" t="str">
        <f t="shared" si="30"/>
        <v/>
      </c>
      <c r="W45" s="127" t="str">
        <f t="shared" si="30"/>
        <v/>
      </c>
      <c r="X45" s="127" t="str">
        <f t="shared" si="30"/>
        <v/>
      </c>
      <c r="Y45" s="127" t="str">
        <f t="shared" si="30"/>
        <v/>
      </c>
      <c r="Z45" s="127" t="str">
        <f t="shared" si="30"/>
        <v/>
      </c>
      <c r="AA45" s="127" t="str">
        <f t="shared" si="30"/>
        <v/>
      </c>
      <c r="AB45" s="127" t="str">
        <f t="shared" si="30"/>
        <v/>
      </c>
      <c r="AC45" s="127" t="str">
        <f t="shared" si="30"/>
        <v/>
      </c>
      <c r="AD45" s="127" t="str">
        <f t="shared" si="30"/>
        <v/>
      </c>
      <c r="AE45" s="127" t="str">
        <f t="shared" si="30"/>
        <v/>
      </c>
      <c r="AF45" s="127" t="str">
        <f t="shared" si="30"/>
        <v/>
      </c>
      <c r="AG45" s="127" t="str">
        <f t="shared" ref="AG45:AG53" si="42">IF($E45=AG$3,"▲","")</f>
        <v/>
      </c>
      <c r="AH45" s="127" t="str">
        <f t="shared" si="40"/>
        <v/>
      </c>
      <c r="AI45" s="127" t="str">
        <f t="shared" si="40"/>
        <v/>
      </c>
      <c r="AJ45" s="127" t="str">
        <f t="shared" si="40"/>
        <v/>
      </c>
      <c r="AK45" s="127" t="str">
        <f t="shared" si="40"/>
        <v/>
      </c>
      <c r="AL45" s="127" t="str">
        <f t="shared" si="40"/>
        <v/>
      </c>
      <c r="AM45" s="127" t="str">
        <f t="shared" si="40"/>
        <v/>
      </c>
      <c r="AN45" s="127" t="str">
        <f t="shared" si="40"/>
        <v/>
      </c>
      <c r="AO45" s="127" t="str">
        <f t="shared" si="40"/>
        <v/>
      </c>
      <c r="AP45" s="127" t="str">
        <f t="shared" si="40"/>
        <v/>
      </c>
      <c r="AQ45" s="127" t="str">
        <f t="shared" si="40"/>
        <v/>
      </c>
      <c r="AR45" s="127" t="str">
        <f t="shared" si="40"/>
        <v/>
      </c>
      <c r="AS45" s="127" t="str">
        <f t="shared" si="40"/>
        <v/>
      </c>
      <c r="AT45" s="127" t="str">
        <f t="shared" si="40"/>
        <v/>
      </c>
      <c r="AU45" s="127" t="str">
        <f t="shared" si="40"/>
        <v/>
      </c>
      <c r="AV45" s="127" t="str">
        <f t="shared" si="40"/>
        <v/>
      </c>
      <c r="AW45" s="127" t="str">
        <f t="shared" si="40"/>
        <v/>
      </c>
      <c r="AX45" s="127" t="str">
        <f t="shared" si="38"/>
        <v/>
      </c>
      <c r="AY45" s="127" t="str">
        <f t="shared" si="38"/>
        <v/>
      </c>
      <c r="AZ45" s="127" t="str">
        <f t="shared" si="38"/>
        <v/>
      </c>
      <c r="BA45" s="127" t="str">
        <f t="shared" si="38"/>
        <v/>
      </c>
      <c r="BB45" s="127" t="str">
        <f t="shared" si="38"/>
        <v/>
      </c>
      <c r="BC45" s="127" t="str">
        <f t="shared" si="39"/>
        <v/>
      </c>
      <c r="BD45" s="127" t="str">
        <f t="shared" si="39"/>
        <v/>
      </c>
      <c r="BE45" s="127" t="str">
        <f t="shared" si="39"/>
        <v/>
      </c>
      <c r="BF45" s="127" t="str">
        <f t="shared" si="39"/>
        <v/>
      </c>
      <c r="BG45" s="127" t="str">
        <f t="shared" si="37"/>
        <v/>
      </c>
      <c r="BH45" s="127" t="str">
        <f t="shared" si="37"/>
        <v/>
      </c>
      <c r="BI45" s="127" t="str">
        <f t="shared" si="37"/>
        <v/>
      </c>
      <c r="BJ45" s="127" t="str">
        <f t="shared" si="37"/>
        <v/>
      </c>
      <c r="BK45" s="127" t="str">
        <f t="shared" si="37"/>
        <v/>
      </c>
      <c r="BL45" s="127" t="str">
        <f t="shared" si="37"/>
        <v/>
      </c>
      <c r="BM45" s="127" t="str">
        <f t="shared" si="37"/>
        <v/>
      </c>
      <c r="BN45" s="127" t="str">
        <f t="shared" si="37"/>
        <v/>
      </c>
      <c r="BO45" s="127" t="str">
        <f t="shared" si="37"/>
        <v/>
      </c>
      <c r="BP45" s="127" t="str">
        <f t="shared" si="37"/>
        <v/>
      </c>
      <c r="BQ45" s="127" t="str">
        <f t="shared" si="37"/>
        <v/>
      </c>
      <c r="BR45" s="127" t="str">
        <f t="shared" si="37"/>
        <v/>
      </c>
      <c r="BS45" s="127" t="str">
        <f t="shared" si="37"/>
        <v/>
      </c>
      <c r="BT45" s="127" t="str">
        <f t="shared" si="41"/>
        <v/>
      </c>
      <c r="BU45" s="127" t="str">
        <f t="shared" si="41"/>
        <v/>
      </c>
      <c r="BV45" s="127" t="str">
        <f t="shared" si="41"/>
        <v/>
      </c>
      <c r="BW45" s="127" t="str">
        <f t="shared" si="41"/>
        <v/>
      </c>
      <c r="BX45" s="127" t="str">
        <f t="shared" si="41"/>
        <v/>
      </c>
      <c r="BY45" s="127" t="str">
        <f t="shared" si="41"/>
        <v/>
      </c>
      <c r="BZ45" s="127" t="str">
        <f t="shared" si="41"/>
        <v/>
      </c>
      <c r="CA45" s="127" t="str">
        <f t="shared" si="41"/>
        <v/>
      </c>
      <c r="CB45" s="127" t="str">
        <f t="shared" si="41"/>
        <v/>
      </c>
      <c r="CC45" s="127" t="str">
        <f t="shared" si="41"/>
        <v/>
      </c>
      <c r="CD45" s="127" t="str">
        <f t="shared" si="41"/>
        <v/>
      </c>
      <c r="CE45" s="127" t="str">
        <f t="shared" si="41"/>
        <v/>
      </c>
    </row>
    <row r="46" spans="1:83" x14ac:dyDescent="0.2">
      <c r="A46" s="106">
        <f>SHIPMENTS!A52</f>
        <v>9153</v>
      </c>
      <c r="B46" s="106" t="str">
        <f>SHIPMENTS!B52</f>
        <v>9600-NEW ZEALAND</v>
      </c>
      <c r="C46" s="132">
        <f>SHIPMENTS!F52</f>
        <v>0</v>
      </c>
      <c r="D46" s="107" t="str">
        <f>IF((SHIPMENTS!I52)=0,"",SHIPMENTS!I52)</f>
        <v/>
      </c>
      <c r="E46" s="176" t="str">
        <f>IF((SHIPMENTS!G52)=0,"",SHIPMENTS!G52)</f>
        <v>TBA</v>
      </c>
      <c r="F46" s="109">
        <f>VLOOKUP(A46,Items!$A$5:$J$1000,3,0)</f>
        <v>0</v>
      </c>
      <c r="G46" s="98">
        <f>VLOOKUP(A46,load!$A$4:$U$5001,5,0)</f>
        <v>1.6666666666666666E-2</v>
      </c>
      <c r="H46" s="97">
        <f>Manhours!$C$9</f>
        <v>9</v>
      </c>
      <c r="I46" s="98">
        <f t="shared" ref="I46:I52" si="43">+H46*$I$4</f>
        <v>81.899999999999991</v>
      </c>
      <c r="J46" s="99">
        <f t="shared" ref="J46:J52" si="44">G46/I46</f>
        <v>2.0350020350020352E-4</v>
      </c>
      <c r="K46" s="99">
        <f t="shared" ref="K46:K52" si="45">+J46*$I$4</f>
        <v>1.8518518518518519E-3</v>
      </c>
      <c r="L46" s="98">
        <f t="shared" ref="L46:L52" si="46">IFERROR(J46-(J46*P46),0)</f>
        <v>2.0350020350020352E-4</v>
      </c>
      <c r="M46" s="98">
        <f t="shared" ref="M46:M52" si="47">IFERROR(K46-(K46*P46),0)</f>
        <v>1.8518518518518519E-3</v>
      </c>
      <c r="N46" s="181">
        <f>IF(G46&gt;0,(EA!N46+1),O45)</f>
        <v>46315.41328879731</v>
      </c>
      <c r="O46" s="181">
        <f t="shared" ref="O46:O52" si="48">N46+L46</f>
        <v>46315.413492297514</v>
      </c>
      <c r="P46" s="112">
        <f>VLOOKUP(A46,SHIPMENTS!$A$7:$AP$76,11,0)</f>
        <v>0</v>
      </c>
      <c r="Q46" s="156"/>
      <c r="R46" s="127" t="str">
        <f t="shared" ref="R46:AF53" si="49">IF($E46=R$3,"▲","")</f>
        <v/>
      </c>
      <c r="S46" s="127" t="str">
        <f t="shared" si="49"/>
        <v/>
      </c>
      <c r="T46" s="127" t="str">
        <f t="shared" si="49"/>
        <v/>
      </c>
      <c r="U46" s="127" t="str">
        <f t="shared" si="49"/>
        <v/>
      </c>
      <c r="V46" s="127" t="str">
        <f t="shared" si="49"/>
        <v/>
      </c>
      <c r="W46" s="127" t="str">
        <f t="shared" si="49"/>
        <v/>
      </c>
      <c r="X46" s="127" t="str">
        <f t="shared" si="49"/>
        <v/>
      </c>
      <c r="Y46" s="127" t="str">
        <f t="shared" si="49"/>
        <v/>
      </c>
      <c r="Z46" s="127" t="str">
        <f t="shared" si="49"/>
        <v/>
      </c>
      <c r="AA46" s="127" t="str">
        <f t="shared" si="49"/>
        <v/>
      </c>
      <c r="AB46" s="127" t="str">
        <f t="shared" si="49"/>
        <v/>
      </c>
      <c r="AC46" s="127" t="str">
        <f t="shared" si="49"/>
        <v/>
      </c>
      <c r="AD46" s="127" t="str">
        <f t="shared" si="49"/>
        <v/>
      </c>
      <c r="AE46" s="127" t="str">
        <f t="shared" si="49"/>
        <v/>
      </c>
      <c r="AF46" s="127" t="str">
        <f t="shared" si="49"/>
        <v/>
      </c>
      <c r="AG46" s="127" t="str">
        <f t="shared" si="42"/>
        <v/>
      </c>
      <c r="AH46" s="127" t="str">
        <f t="shared" si="40"/>
        <v/>
      </c>
      <c r="AI46" s="127" t="str">
        <f t="shared" si="40"/>
        <v/>
      </c>
      <c r="AJ46" s="127" t="str">
        <f t="shared" si="40"/>
        <v/>
      </c>
      <c r="AK46" s="127" t="str">
        <f t="shared" si="40"/>
        <v/>
      </c>
      <c r="AL46" s="127" t="str">
        <f t="shared" si="40"/>
        <v/>
      </c>
      <c r="AM46" s="127" t="str">
        <f t="shared" si="40"/>
        <v/>
      </c>
      <c r="AN46" s="127" t="str">
        <f t="shared" si="40"/>
        <v/>
      </c>
      <c r="AO46" s="127" t="str">
        <f t="shared" si="40"/>
        <v/>
      </c>
      <c r="AP46" s="127" t="str">
        <f t="shared" si="40"/>
        <v/>
      </c>
      <c r="AQ46" s="127" t="str">
        <f t="shared" si="40"/>
        <v/>
      </c>
      <c r="AR46" s="127" t="str">
        <f t="shared" si="40"/>
        <v/>
      </c>
      <c r="AS46" s="127" t="str">
        <f t="shared" si="40"/>
        <v/>
      </c>
      <c r="AT46" s="127" t="str">
        <f t="shared" si="40"/>
        <v/>
      </c>
      <c r="AU46" s="127" t="str">
        <f t="shared" si="40"/>
        <v/>
      </c>
      <c r="AV46" s="127" t="str">
        <f t="shared" si="40"/>
        <v/>
      </c>
      <c r="AW46" s="127" t="str">
        <f t="shared" si="40"/>
        <v/>
      </c>
      <c r="AX46" s="127" t="str">
        <f t="shared" si="38"/>
        <v/>
      </c>
      <c r="AY46" s="127" t="str">
        <f t="shared" si="38"/>
        <v/>
      </c>
      <c r="AZ46" s="127" t="str">
        <f t="shared" si="38"/>
        <v/>
      </c>
      <c r="BA46" s="127" t="str">
        <f t="shared" si="38"/>
        <v/>
      </c>
      <c r="BB46" s="127" t="str">
        <f t="shared" si="38"/>
        <v/>
      </c>
      <c r="BC46" s="127" t="str">
        <f t="shared" si="39"/>
        <v/>
      </c>
      <c r="BD46" s="127" t="str">
        <f t="shared" si="39"/>
        <v/>
      </c>
      <c r="BE46" s="127" t="str">
        <f t="shared" si="39"/>
        <v/>
      </c>
      <c r="BF46" s="127" t="str">
        <f t="shared" si="39"/>
        <v/>
      </c>
      <c r="BG46" s="127" t="str">
        <f t="shared" si="37"/>
        <v/>
      </c>
      <c r="BH46" s="127" t="str">
        <f t="shared" si="37"/>
        <v/>
      </c>
      <c r="BI46" s="127" t="str">
        <f t="shared" si="37"/>
        <v/>
      </c>
      <c r="BJ46" s="127" t="str">
        <f t="shared" si="37"/>
        <v/>
      </c>
      <c r="BK46" s="127" t="str">
        <f t="shared" si="37"/>
        <v/>
      </c>
      <c r="BL46" s="127" t="str">
        <f t="shared" si="37"/>
        <v/>
      </c>
      <c r="BM46" s="127" t="str">
        <f t="shared" si="37"/>
        <v/>
      </c>
      <c r="BN46" s="127" t="str">
        <f t="shared" si="37"/>
        <v/>
      </c>
      <c r="BO46" s="127" t="str">
        <f t="shared" si="37"/>
        <v/>
      </c>
      <c r="BP46" s="127" t="str">
        <f t="shared" si="37"/>
        <v/>
      </c>
      <c r="BQ46" s="127" t="str">
        <f t="shared" si="37"/>
        <v/>
      </c>
      <c r="BR46" s="127" t="str">
        <f t="shared" si="37"/>
        <v/>
      </c>
      <c r="BS46" s="127" t="str">
        <f t="shared" si="37"/>
        <v/>
      </c>
      <c r="BT46" s="127" t="str">
        <f t="shared" si="41"/>
        <v/>
      </c>
      <c r="BU46" s="127" t="str">
        <f t="shared" si="41"/>
        <v/>
      </c>
      <c r="BV46" s="127" t="str">
        <f t="shared" si="41"/>
        <v/>
      </c>
      <c r="BW46" s="127" t="str">
        <f t="shared" si="41"/>
        <v/>
      </c>
      <c r="BX46" s="127" t="str">
        <f t="shared" si="41"/>
        <v/>
      </c>
      <c r="BY46" s="127" t="str">
        <f t="shared" si="41"/>
        <v/>
      </c>
      <c r="BZ46" s="127" t="str">
        <f t="shared" si="41"/>
        <v/>
      </c>
      <c r="CA46" s="127" t="str">
        <f t="shared" si="41"/>
        <v/>
      </c>
      <c r="CB46" s="127" t="str">
        <f t="shared" si="41"/>
        <v/>
      </c>
      <c r="CC46" s="127" t="str">
        <f t="shared" si="41"/>
        <v/>
      </c>
      <c r="CD46" s="127" t="str">
        <f t="shared" si="41"/>
        <v/>
      </c>
      <c r="CE46" s="127" t="str">
        <f t="shared" si="41"/>
        <v/>
      </c>
    </row>
    <row r="47" spans="1:83" ht="25.5" hidden="1" x14ac:dyDescent="0.2">
      <c r="A47" s="106">
        <f>SHIPMENTS!A53</f>
        <v>8294</v>
      </c>
      <c r="B47" s="106" t="str">
        <f>SHIPMENTS!B53</f>
        <v>9600-NEW ZEALAND BACKLOG</v>
      </c>
      <c r="C47" s="132">
        <f>SHIPMENTS!F53</f>
        <v>0</v>
      </c>
      <c r="D47" s="107" t="str">
        <f>IF((SHIPMENTS!I53)=0,"",SHIPMENTS!I53)</f>
        <v/>
      </c>
      <c r="E47" s="176" t="str">
        <f>IF((SHIPMENTS!G53)=0,"",SHIPMENTS!G53)</f>
        <v>TBA</v>
      </c>
      <c r="F47" s="109">
        <f>VLOOKUP(A47,Items!$A$5:$J$1000,3,0)</f>
        <v>0</v>
      </c>
      <c r="G47" s="98">
        <f>VLOOKUP(A47,load!$A$4:$U$5001,5,0)</f>
        <v>0</v>
      </c>
      <c r="H47" s="97">
        <f>Manhours!$C$9</f>
        <v>9</v>
      </c>
      <c r="I47" s="98">
        <f t="shared" si="43"/>
        <v>81.899999999999991</v>
      </c>
      <c r="J47" s="99">
        <f t="shared" si="44"/>
        <v>0</v>
      </c>
      <c r="K47" s="99">
        <f t="shared" si="45"/>
        <v>0</v>
      </c>
      <c r="L47" s="98">
        <f t="shared" si="46"/>
        <v>0</v>
      </c>
      <c r="M47" s="98">
        <f t="shared" si="47"/>
        <v>0</v>
      </c>
      <c r="N47" s="181">
        <f>IF(G47&gt;0,(EA!N47+1),O46)</f>
        <v>46315.413492297514</v>
      </c>
      <c r="O47" s="181">
        <f t="shared" si="48"/>
        <v>46315.413492297514</v>
      </c>
      <c r="P47" s="112" t="str">
        <f>VLOOKUP(A47,SHIPMENTS!$A$7:$AP$76,11,0)</f>
        <v>n/a</v>
      </c>
      <c r="Q47" s="156"/>
      <c r="R47" s="127" t="str">
        <f t="shared" si="49"/>
        <v/>
      </c>
      <c r="S47" s="127" t="str">
        <f t="shared" si="49"/>
        <v/>
      </c>
      <c r="T47" s="127" t="str">
        <f t="shared" si="49"/>
        <v/>
      </c>
      <c r="U47" s="127" t="str">
        <f t="shared" si="49"/>
        <v/>
      </c>
      <c r="V47" s="127" t="str">
        <f t="shared" si="49"/>
        <v/>
      </c>
      <c r="W47" s="127" t="str">
        <f t="shared" si="49"/>
        <v/>
      </c>
      <c r="X47" s="127" t="str">
        <f t="shared" si="49"/>
        <v/>
      </c>
      <c r="Y47" s="127" t="str">
        <f t="shared" si="49"/>
        <v/>
      </c>
      <c r="Z47" s="127" t="str">
        <f t="shared" si="49"/>
        <v/>
      </c>
      <c r="AA47" s="127" t="str">
        <f t="shared" si="49"/>
        <v/>
      </c>
      <c r="AB47" s="127" t="str">
        <f t="shared" si="49"/>
        <v/>
      </c>
      <c r="AC47" s="127" t="str">
        <f t="shared" si="49"/>
        <v/>
      </c>
      <c r="AD47" s="127" t="str">
        <f t="shared" si="49"/>
        <v/>
      </c>
      <c r="AE47" s="127" t="str">
        <f t="shared" si="49"/>
        <v/>
      </c>
      <c r="AF47" s="127" t="str">
        <f t="shared" si="49"/>
        <v/>
      </c>
      <c r="AG47" s="127" t="str">
        <f t="shared" si="42"/>
        <v/>
      </c>
      <c r="AH47" s="127" t="str">
        <f t="shared" si="40"/>
        <v/>
      </c>
      <c r="AI47" s="127" t="str">
        <f t="shared" si="40"/>
        <v/>
      </c>
      <c r="AJ47" s="127" t="str">
        <f t="shared" si="40"/>
        <v/>
      </c>
      <c r="AK47" s="127" t="str">
        <f t="shared" si="40"/>
        <v/>
      </c>
      <c r="AL47" s="127" t="str">
        <f t="shared" si="40"/>
        <v/>
      </c>
      <c r="AM47" s="127" t="str">
        <f t="shared" si="40"/>
        <v/>
      </c>
      <c r="AN47" s="127" t="str">
        <f t="shared" si="40"/>
        <v/>
      </c>
      <c r="AO47" s="127" t="str">
        <f t="shared" si="40"/>
        <v/>
      </c>
      <c r="AP47" s="127" t="str">
        <f t="shared" si="40"/>
        <v/>
      </c>
      <c r="AQ47" s="127" t="str">
        <f t="shared" si="40"/>
        <v/>
      </c>
      <c r="AR47" s="127" t="str">
        <f t="shared" si="40"/>
        <v/>
      </c>
      <c r="AS47" s="127" t="str">
        <f t="shared" si="40"/>
        <v/>
      </c>
      <c r="AT47" s="127" t="str">
        <f t="shared" si="40"/>
        <v/>
      </c>
      <c r="AU47" s="127" t="str">
        <f t="shared" si="40"/>
        <v/>
      </c>
      <c r="AV47" s="127" t="str">
        <f t="shared" si="40"/>
        <v/>
      </c>
      <c r="AW47" s="127" t="str">
        <f t="shared" si="40"/>
        <v/>
      </c>
      <c r="AX47" s="127" t="str">
        <f t="shared" si="38"/>
        <v/>
      </c>
      <c r="AY47" s="127" t="str">
        <f t="shared" si="38"/>
        <v/>
      </c>
      <c r="AZ47" s="127" t="str">
        <f t="shared" si="38"/>
        <v/>
      </c>
      <c r="BA47" s="127" t="str">
        <f t="shared" si="38"/>
        <v/>
      </c>
      <c r="BB47" s="127" t="str">
        <f t="shared" si="38"/>
        <v/>
      </c>
      <c r="BC47" s="127" t="str">
        <f t="shared" si="39"/>
        <v/>
      </c>
      <c r="BD47" s="127" t="str">
        <f t="shared" si="39"/>
        <v/>
      </c>
      <c r="BE47" s="127" t="str">
        <f t="shared" si="39"/>
        <v/>
      </c>
      <c r="BF47" s="127" t="str">
        <f t="shared" si="39"/>
        <v/>
      </c>
      <c r="BG47" s="127" t="str">
        <f t="shared" si="37"/>
        <v/>
      </c>
      <c r="BH47" s="127" t="str">
        <f t="shared" si="37"/>
        <v/>
      </c>
      <c r="BI47" s="127" t="str">
        <f t="shared" si="37"/>
        <v/>
      </c>
      <c r="BJ47" s="127" t="str">
        <f t="shared" si="37"/>
        <v/>
      </c>
      <c r="BK47" s="127" t="str">
        <f t="shared" si="37"/>
        <v/>
      </c>
      <c r="BL47" s="127" t="str">
        <f t="shared" si="37"/>
        <v/>
      </c>
      <c r="BM47" s="127" t="str">
        <f t="shared" si="37"/>
        <v/>
      </c>
      <c r="BN47" s="127" t="str">
        <f t="shared" si="37"/>
        <v/>
      </c>
      <c r="BO47" s="127" t="str">
        <f t="shared" si="37"/>
        <v/>
      </c>
      <c r="BP47" s="127" t="str">
        <f t="shared" si="37"/>
        <v/>
      </c>
      <c r="BQ47" s="127" t="str">
        <f t="shared" si="37"/>
        <v/>
      </c>
      <c r="BR47" s="127" t="str">
        <f t="shared" si="37"/>
        <v/>
      </c>
      <c r="BS47" s="127" t="str">
        <f t="shared" si="37"/>
        <v/>
      </c>
      <c r="BT47" s="127" t="str">
        <f t="shared" si="41"/>
        <v/>
      </c>
      <c r="BU47" s="127" t="str">
        <f t="shared" si="41"/>
        <v/>
      </c>
      <c r="BV47" s="127" t="str">
        <f t="shared" si="41"/>
        <v/>
      </c>
      <c r="BW47" s="127" t="str">
        <f t="shared" si="41"/>
        <v/>
      </c>
      <c r="BX47" s="127" t="str">
        <f t="shared" si="41"/>
        <v/>
      </c>
      <c r="BY47" s="127" t="str">
        <f t="shared" si="41"/>
        <v/>
      </c>
      <c r="BZ47" s="127" t="str">
        <f t="shared" si="41"/>
        <v/>
      </c>
      <c r="CA47" s="127" t="str">
        <f t="shared" si="41"/>
        <v/>
      </c>
      <c r="CB47" s="127" t="str">
        <f t="shared" si="41"/>
        <v/>
      </c>
      <c r="CC47" s="127" t="str">
        <f t="shared" si="41"/>
        <v/>
      </c>
      <c r="CD47" s="127" t="str">
        <f t="shared" si="41"/>
        <v/>
      </c>
      <c r="CE47" s="127" t="str">
        <f t="shared" si="41"/>
        <v/>
      </c>
    </row>
    <row r="48" spans="1:83" ht="25.5" hidden="1" x14ac:dyDescent="0.2">
      <c r="A48" s="106">
        <f>SHIPMENTS!A54</f>
        <v>7114</v>
      </c>
      <c r="B48" s="106" t="str">
        <f>SHIPMENTS!B54</f>
        <v>9600-NEW ZEALAND BACKLOG</v>
      </c>
      <c r="C48" s="132">
        <f>SHIPMENTS!F54</f>
        <v>0</v>
      </c>
      <c r="D48" s="107" t="str">
        <f>IF((SHIPMENTS!I54)=0,"",SHIPMENTS!I54)</f>
        <v/>
      </c>
      <c r="E48" s="176" t="str">
        <f>IF((SHIPMENTS!G54)=0,"",SHIPMENTS!G54)</f>
        <v/>
      </c>
      <c r="F48" s="109">
        <f>VLOOKUP(A48,Items!$A$5:$J$1000,3,0)</f>
        <v>0</v>
      </c>
      <c r="G48" s="98">
        <f>VLOOKUP(A48,load!$A$4:$U$5001,5,0)</f>
        <v>0</v>
      </c>
      <c r="H48" s="97">
        <f>Manhours!$C$9</f>
        <v>9</v>
      </c>
      <c r="I48" s="98">
        <f t="shared" si="43"/>
        <v>81.899999999999991</v>
      </c>
      <c r="J48" s="99">
        <f t="shared" si="44"/>
        <v>0</v>
      </c>
      <c r="K48" s="99">
        <f t="shared" si="45"/>
        <v>0</v>
      </c>
      <c r="L48" s="98">
        <f t="shared" si="46"/>
        <v>0</v>
      </c>
      <c r="M48" s="98">
        <f t="shared" si="47"/>
        <v>0</v>
      </c>
      <c r="N48" s="181">
        <f>IF(G48&gt;0,(EA!N48+1),O47)</f>
        <v>46315.413492297514</v>
      </c>
      <c r="O48" s="181">
        <f t="shared" si="48"/>
        <v>46315.413492297514</v>
      </c>
      <c r="P48" s="112" t="str">
        <f>VLOOKUP(A48,SHIPMENTS!$A$7:$AP$76,11,0)</f>
        <v>n/a</v>
      </c>
      <c r="Q48" s="156"/>
      <c r="R48" s="127" t="str">
        <f t="shared" si="49"/>
        <v/>
      </c>
      <c r="S48" s="127" t="str">
        <f t="shared" si="49"/>
        <v/>
      </c>
      <c r="T48" s="127" t="str">
        <f t="shared" si="49"/>
        <v/>
      </c>
      <c r="U48" s="127" t="str">
        <f t="shared" si="49"/>
        <v/>
      </c>
      <c r="V48" s="127" t="str">
        <f t="shared" si="49"/>
        <v/>
      </c>
      <c r="W48" s="127" t="str">
        <f t="shared" si="49"/>
        <v/>
      </c>
      <c r="X48" s="127" t="str">
        <f t="shared" si="49"/>
        <v/>
      </c>
      <c r="Y48" s="127" t="str">
        <f t="shared" si="49"/>
        <v/>
      </c>
      <c r="Z48" s="127" t="str">
        <f t="shared" si="49"/>
        <v/>
      </c>
      <c r="AA48" s="127" t="str">
        <f t="shared" si="49"/>
        <v/>
      </c>
      <c r="AB48" s="127" t="str">
        <f t="shared" si="49"/>
        <v/>
      </c>
      <c r="AC48" s="127" t="str">
        <f t="shared" si="49"/>
        <v/>
      </c>
      <c r="AD48" s="127" t="str">
        <f t="shared" si="49"/>
        <v/>
      </c>
      <c r="AE48" s="127" t="str">
        <f t="shared" si="49"/>
        <v/>
      </c>
      <c r="AF48" s="127" t="str">
        <f t="shared" si="49"/>
        <v/>
      </c>
      <c r="AG48" s="127" t="str">
        <f t="shared" si="42"/>
        <v/>
      </c>
      <c r="AH48" s="127" t="str">
        <f t="shared" si="40"/>
        <v/>
      </c>
      <c r="AI48" s="127" t="str">
        <f t="shared" si="40"/>
        <v/>
      </c>
      <c r="AJ48" s="127" t="str">
        <f t="shared" si="40"/>
        <v/>
      </c>
      <c r="AK48" s="127" t="str">
        <f t="shared" si="40"/>
        <v/>
      </c>
      <c r="AL48" s="127" t="str">
        <f t="shared" si="40"/>
        <v/>
      </c>
      <c r="AM48" s="127" t="str">
        <f t="shared" si="40"/>
        <v/>
      </c>
      <c r="AN48" s="127" t="str">
        <f t="shared" si="40"/>
        <v/>
      </c>
      <c r="AO48" s="127" t="str">
        <f t="shared" si="40"/>
        <v/>
      </c>
      <c r="AP48" s="127" t="str">
        <f t="shared" si="40"/>
        <v/>
      </c>
      <c r="AQ48" s="127" t="str">
        <f t="shared" si="40"/>
        <v/>
      </c>
      <c r="AR48" s="127" t="str">
        <f t="shared" si="40"/>
        <v/>
      </c>
      <c r="AS48" s="127" t="str">
        <f t="shared" si="40"/>
        <v/>
      </c>
      <c r="AT48" s="127" t="str">
        <f t="shared" si="40"/>
        <v/>
      </c>
      <c r="AU48" s="127" t="str">
        <f t="shared" si="40"/>
        <v/>
      </c>
      <c r="AV48" s="127" t="str">
        <f t="shared" si="40"/>
        <v/>
      </c>
      <c r="AW48" s="127" t="str">
        <f t="shared" si="40"/>
        <v/>
      </c>
      <c r="AX48" s="127" t="str">
        <f t="shared" si="38"/>
        <v/>
      </c>
      <c r="AY48" s="127" t="str">
        <f t="shared" si="38"/>
        <v/>
      </c>
      <c r="AZ48" s="127" t="str">
        <f t="shared" si="38"/>
        <v/>
      </c>
      <c r="BA48" s="127" t="str">
        <f t="shared" si="38"/>
        <v/>
      </c>
      <c r="BB48" s="127" t="str">
        <f t="shared" si="38"/>
        <v/>
      </c>
      <c r="BC48" s="127" t="str">
        <f t="shared" si="39"/>
        <v/>
      </c>
      <c r="BD48" s="127" t="str">
        <f t="shared" si="39"/>
        <v/>
      </c>
      <c r="BE48" s="127" t="str">
        <f t="shared" si="39"/>
        <v/>
      </c>
      <c r="BF48" s="127" t="str">
        <f t="shared" si="39"/>
        <v/>
      </c>
      <c r="BG48" s="127" t="str">
        <f t="shared" si="37"/>
        <v/>
      </c>
      <c r="BH48" s="127" t="str">
        <f t="shared" si="37"/>
        <v/>
      </c>
      <c r="BI48" s="127" t="str">
        <f t="shared" si="37"/>
        <v/>
      </c>
      <c r="BJ48" s="127" t="str">
        <f t="shared" si="37"/>
        <v/>
      </c>
      <c r="BK48" s="127" t="str">
        <f t="shared" si="37"/>
        <v/>
      </c>
      <c r="BL48" s="127" t="str">
        <f t="shared" si="37"/>
        <v/>
      </c>
      <c r="BM48" s="127" t="str">
        <f t="shared" si="37"/>
        <v/>
      </c>
      <c r="BN48" s="127" t="str">
        <f t="shared" si="37"/>
        <v/>
      </c>
      <c r="BO48" s="127" t="str">
        <f t="shared" si="37"/>
        <v/>
      </c>
      <c r="BP48" s="127" t="str">
        <f t="shared" si="37"/>
        <v/>
      </c>
      <c r="BQ48" s="127" t="str">
        <f t="shared" si="37"/>
        <v/>
      </c>
      <c r="BR48" s="127" t="str">
        <f t="shared" si="37"/>
        <v/>
      </c>
      <c r="BS48" s="127" t="str">
        <f t="shared" si="37"/>
        <v/>
      </c>
      <c r="BT48" s="127" t="str">
        <f t="shared" si="41"/>
        <v/>
      </c>
      <c r="BU48" s="127" t="str">
        <f t="shared" si="41"/>
        <v/>
      </c>
      <c r="BV48" s="127" t="str">
        <f t="shared" si="41"/>
        <v/>
      </c>
      <c r="BW48" s="127" t="str">
        <f t="shared" si="41"/>
        <v/>
      </c>
      <c r="BX48" s="127" t="str">
        <f t="shared" si="41"/>
        <v/>
      </c>
      <c r="BY48" s="127" t="str">
        <f t="shared" si="41"/>
        <v/>
      </c>
      <c r="BZ48" s="127" t="str">
        <f t="shared" si="41"/>
        <v/>
      </c>
      <c r="CA48" s="127" t="str">
        <f t="shared" si="41"/>
        <v/>
      </c>
      <c r="CB48" s="127" t="str">
        <f t="shared" si="41"/>
        <v/>
      </c>
      <c r="CC48" s="127" t="str">
        <f t="shared" si="41"/>
        <v/>
      </c>
      <c r="CD48" s="127" t="str">
        <f t="shared" si="41"/>
        <v/>
      </c>
      <c r="CE48" s="127" t="str">
        <f t="shared" si="41"/>
        <v/>
      </c>
    </row>
    <row r="49" spans="1:83" ht="25.5" hidden="1" x14ac:dyDescent="0.2">
      <c r="A49" s="106">
        <f>SHIPMENTS!A55</f>
        <v>6967</v>
      </c>
      <c r="B49" s="106" t="str">
        <f>SHIPMENTS!B55</f>
        <v>9600-NEW ZEALAND BACKLOG</v>
      </c>
      <c r="C49" s="132">
        <f>SHIPMENTS!F55</f>
        <v>0</v>
      </c>
      <c r="D49" s="107" t="str">
        <f>IF((SHIPMENTS!I55)=0,"",SHIPMENTS!I55)</f>
        <v/>
      </c>
      <c r="E49" s="176" t="str">
        <f>IF((SHIPMENTS!G55)=0,"",SHIPMENTS!G55)</f>
        <v/>
      </c>
      <c r="F49" s="109">
        <f>VLOOKUP(A49,Items!$A$5:$J$1000,3,0)</f>
        <v>0</v>
      </c>
      <c r="G49" s="98">
        <f>VLOOKUP(A49,load!$A$4:$U$5001,5,0)</f>
        <v>0</v>
      </c>
      <c r="H49" s="97">
        <f>Manhours!$C$9</f>
        <v>9</v>
      </c>
      <c r="I49" s="98">
        <f t="shared" si="43"/>
        <v>81.899999999999991</v>
      </c>
      <c r="J49" s="99">
        <f t="shared" si="44"/>
        <v>0</v>
      </c>
      <c r="K49" s="99">
        <f t="shared" si="45"/>
        <v>0</v>
      </c>
      <c r="L49" s="98">
        <f t="shared" si="46"/>
        <v>0</v>
      </c>
      <c r="M49" s="98">
        <f t="shared" si="47"/>
        <v>0</v>
      </c>
      <c r="N49" s="181">
        <f>IF(G49&gt;0,(EA!N49+1),O48)</f>
        <v>46315.413492297514</v>
      </c>
      <c r="O49" s="181">
        <f t="shared" si="48"/>
        <v>46315.413492297514</v>
      </c>
      <c r="P49" s="112" t="str">
        <f>VLOOKUP(A49,SHIPMENTS!$A$7:$AP$76,11,0)</f>
        <v>n/a</v>
      </c>
      <c r="Q49" s="156"/>
      <c r="R49" s="127" t="str">
        <f t="shared" si="49"/>
        <v/>
      </c>
      <c r="S49" s="127" t="str">
        <f t="shared" si="49"/>
        <v/>
      </c>
      <c r="T49" s="127" t="str">
        <f t="shared" si="49"/>
        <v/>
      </c>
      <c r="U49" s="127" t="str">
        <f t="shared" si="49"/>
        <v/>
      </c>
      <c r="V49" s="127" t="str">
        <f t="shared" si="49"/>
        <v/>
      </c>
      <c r="W49" s="127" t="str">
        <f t="shared" si="49"/>
        <v/>
      </c>
      <c r="X49" s="127" t="str">
        <f t="shared" si="49"/>
        <v/>
      </c>
      <c r="Y49" s="127" t="str">
        <f t="shared" si="49"/>
        <v/>
      </c>
      <c r="Z49" s="127" t="str">
        <f t="shared" si="49"/>
        <v/>
      </c>
      <c r="AA49" s="127" t="str">
        <f t="shared" si="49"/>
        <v/>
      </c>
      <c r="AB49" s="127" t="str">
        <f t="shared" si="49"/>
        <v/>
      </c>
      <c r="AC49" s="127" t="str">
        <f t="shared" si="49"/>
        <v/>
      </c>
      <c r="AD49" s="127" t="str">
        <f t="shared" si="49"/>
        <v/>
      </c>
      <c r="AE49" s="127" t="str">
        <f t="shared" si="49"/>
        <v/>
      </c>
      <c r="AF49" s="127" t="str">
        <f t="shared" si="49"/>
        <v/>
      </c>
      <c r="AG49" s="127" t="str">
        <f t="shared" si="42"/>
        <v/>
      </c>
      <c r="AH49" s="127" t="str">
        <f t="shared" si="40"/>
        <v/>
      </c>
      <c r="AI49" s="127" t="str">
        <f t="shared" si="40"/>
        <v/>
      </c>
      <c r="AJ49" s="127" t="str">
        <f t="shared" si="40"/>
        <v/>
      </c>
      <c r="AK49" s="127" t="str">
        <f t="shared" si="40"/>
        <v/>
      </c>
      <c r="AL49" s="127" t="str">
        <f t="shared" si="40"/>
        <v/>
      </c>
      <c r="AM49" s="127" t="str">
        <f t="shared" si="40"/>
        <v/>
      </c>
      <c r="AN49" s="127" t="str">
        <f t="shared" si="40"/>
        <v/>
      </c>
      <c r="AO49" s="127" t="str">
        <f t="shared" si="40"/>
        <v/>
      </c>
      <c r="AP49" s="127" t="str">
        <f t="shared" si="40"/>
        <v/>
      </c>
      <c r="AQ49" s="127" t="str">
        <f t="shared" si="40"/>
        <v/>
      </c>
      <c r="AR49" s="127" t="str">
        <f t="shared" si="40"/>
        <v/>
      </c>
      <c r="AS49" s="127" t="str">
        <f t="shared" si="40"/>
        <v/>
      </c>
      <c r="AT49" s="127" t="str">
        <f t="shared" si="40"/>
        <v/>
      </c>
      <c r="AU49" s="127" t="str">
        <f t="shared" si="40"/>
        <v/>
      </c>
      <c r="AV49" s="127" t="str">
        <f t="shared" si="40"/>
        <v/>
      </c>
      <c r="AW49" s="127" t="str">
        <f t="shared" si="40"/>
        <v/>
      </c>
      <c r="AX49" s="127" t="str">
        <f t="shared" si="38"/>
        <v/>
      </c>
      <c r="AY49" s="127" t="str">
        <f t="shared" si="38"/>
        <v/>
      </c>
      <c r="AZ49" s="127" t="str">
        <f t="shared" si="38"/>
        <v/>
      </c>
      <c r="BA49" s="127" t="str">
        <f t="shared" si="38"/>
        <v/>
      </c>
      <c r="BB49" s="127" t="str">
        <f t="shared" si="38"/>
        <v/>
      </c>
      <c r="BC49" s="127" t="str">
        <f t="shared" si="39"/>
        <v/>
      </c>
      <c r="BD49" s="127" t="str">
        <f t="shared" si="39"/>
        <v/>
      </c>
      <c r="BE49" s="127" t="str">
        <f t="shared" si="39"/>
        <v/>
      </c>
      <c r="BF49" s="127" t="str">
        <f t="shared" si="39"/>
        <v/>
      </c>
      <c r="BG49" s="127" t="str">
        <f t="shared" si="37"/>
        <v/>
      </c>
      <c r="BH49" s="127" t="str">
        <f t="shared" si="37"/>
        <v/>
      </c>
      <c r="BI49" s="127" t="str">
        <f t="shared" si="37"/>
        <v/>
      </c>
      <c r="BJ49" s="127" t="str">
        <f t="shared" si="37"/>
        <v/>
      </c>
      <c r="BK49" s="127" t="str">
        <f t="shared" si="37"/>
        <v/>
      </c>
      <c r="BL49" s="127" t="str">
        <f t="shared" si="37"/>
        <v/>
      </c>
      <c r="BM49" s="127" t="str">
        <f t="shared" si="37"/>
        <v/>
      </c>
      <c r="BN49" s="127" t="str">
        <f t="shared" si="37"/>
        <v/>
      </c>
      <c r="BO49" s="127" t="str">
        <f t="shared" si="37"/>
        <v/>
      </c>
      <c r="BP49" s="127" t="str">
        <f t="shared" si="37"/>
        <v/>
      </c>
      <c r="BQ49" s="127" t="str">
        <f t="shared" si="37"/>
        <v/>
      </c>
      <c r="BR49" s="127" t="str">
        <f t="shared" si="37"/>
        <v/>
      </c>
      <c r="BS49" s="127" t="str">
        <f t="shared" si="37"/>
        <v/>
      </c>
      <c r="BT49" s="127" t="str">
        <f t="shared" si="41"/>
        <v/>
      </c>
      <c r="BU49" s="127" t="str">
        <f t="shared" si="41"/>
        <v/>
      </c>
      <c r="BV49" s="127" t="str">
        <f t="shared" si="41"/>
        <v/>
      </c>
      <c r="BW49" s="127" t="str">
        <f t="shared" si="41"/>
        <v/>
      </c>
      <c r="BX49" s="127" t="str">
        <f t="shared" si="41"/>
        <v/>
      </c>
      <c r="BY49" s="127" t="str">
        <f t="shared" si="41"/>
        <v/>
      </c>
      <c r="BZ49" s="127" t="str">
        <f t="shared" si="41"/>
        <v/>
      </c>
      <c r="CA49" s="127" t="str">
        <f t="shared" si="41"/>
        <v/>
      </c>
      <c r="CB49" s="127" t="str">
        <f t="shared" si="41"/>
        <v/>
      </c>
      <c r="CC49" s="127" t="str">
        <f t="shared" si="41"/>
        <v/>
      </c>
      <c r="CD49" s="127" t="str">
        <f t="shared" si="41"/>
        <v/>
      </c>
      <c r="CE49" s="127" t="str">
        <f t="shared" si="41"/>
        <v/>
      </c>
    </row>
    <row r="50" spans="1:83" ht="25.5" hidden="1" x14ac:dyDescent="0.2">
      <c r="A50" s="106">
        <f>SHIPMENTS!A56</f>
        <v>6646</v>
      </c>
      <c r="B50" s="106" t="str">
        <f>SHIPMENTS!B56</f>
        <v>9600-NEW ZEALAND BACKLOG</v>
      </c>
      <c r="C50" s="132">
        <f>SHIPMENTS!F56</f>
        <v>0</v>
      </c>
      <c r="D50" s="107" t="str">
        <f>IF((SHIPMENTS!I56)=0,"",SHIPMENTS!I56)</f>
        <v/>
      </c>
      <c r="E50" s="176" t="str">
        <f>IF((SHIPMENTS!G56)=0,"",SHIPMENTS!G56)</f>
        <v/>
      </c>
      <c r="F50" s="109">
        <f>VLOOKUP(A50,Items!$A$5:$J$1000,3,0)</f>
        <v>0</v>
      </c>
      <c r="G50" s="98">
        <f>VLOOKUP(A50,load!$A$4:$U$5001,5,0)</f>
        <v>0</v>
      </c>
      <c r="H50" s="97">
        <f>Manhours!$C$9</f>
        <v>9</v>
      </c>
      <c r="I50" s="98">
        <f t="shared" si="43"/>
        <v>81.899999999999991</v>
      </c>
      <c r="J50" s="99">
        <f t="shared" si="44"/>
        <v>0</v>
      </c>
      <c r="K50" s="99">
        <f t="shared" si="45"/>
        <v>0</v>
      </c>
      <c r="L50" s="98">
        <f t="shared" si="46"/>
        <v>0</v>
      </c>
      <c r="M50" s="98">
        <f t="shared" si="47"/>
        <v>0</v>
      </c>
      <c r="N50" s="181">
        <f>IF(G50&gt;0,(EA!N50+1),O49)</f>
        <v>46315.413492297514</v>
      </c>
      <c r="O50" s="181">
        <f t="shared" si="48"/>
        <v>46315.413492297514</v>
      </c>
      <c r="P50" s="112" t="str">
        <f>VLOOKUP(A50,SHIPMENTS!$A$7:$AP$76,11,0)</f>
        <v>n/a</v>
      </c>
      <c r="Q50" s="156"/>
      <c r="R50" s="127" t="str">
        <f t="shared" si="49"/>
        <v/>
      </c>
      <c r="S50" s="127" t="str">
        <f t="shared" si="49"/>
        <v/>
      </c>
      <c r="T50" s="127" t="str">
        <f t="shared" si="49"/>
        <v/>
      </c>
      <c r="U50" s="127" t="str">
        <f t="shared" si="49"/>
        <v/>
      </c>
      <c r="V50" s="127" t="str">
        <f t="shared" si="49"/>
        <v/>
      </c>
      <c r="W50" s="127" t="str">
        <f t="shared" si="49"/>
        <v/>
      </c>
      <c r="X50" s="127" t="str">
        <f t="shared" si="49"/>
        <v/>
      </c>
      <c r="Y50" s="127" t="str">
        <f t="shared" si="49"/>
        <v/>
      </c>
      <c r="Z50" s="127" t="str">
        <f t="shared" si="49"/>
        <v/>
      </c>
      <c r="AA50" s="127" t="str">
        <f t="shared" si="49"/>
        <v/>
      </c>
      <c r="AB50" s="127" t="str">
        <f t="shared" si="49"/>
        <v/>
      </c>
      <c r="AC50" s="127" t="str">
        <f t="shared" si="49"/>
        <v/>
      </c>
      <c r="AD50" s="127" t="str">
        <f t="shared" si="49"/>
        <v/>
      </c>
      <c r="AE50" s="127" t="str">
        <f t="shared" si="49"/>
        <v/>
      </c>
      <c r="AF50" s="127" t="str">
        <f t="shared" si="49"/>
        <v/>
      </c>
      <c r="AG50" s="127" t="str">
        <f t="shared" si="42"/>
        <v/>
      </c>
      <c r="AH50" s="127" t="str">
        <f t="shared" si="40"/>
        <v/>
      </c>
      <c r="AI50" s="127" t="str">
        <f t="shared" si="40"/>
        <v/>
      </c>
      <c r="AJ50" s="127" t="str">
        <f t="shared" si="40"/>
        <v/>
      </c>
      <c r="AK50" s="127" t="str">
        <f t="shared" si="40"/>
        <v/>
      </c>
      <c r="AL50" s="127" t="str">
        <f t="shared" si="40"/>
        <v/>
      </c>
      <c r="AM50" s="127" t="str">
        <f t="shared" si="40"/>
        <v/>
      </c>
      <c r="AN50" s="127" t="str">
        <f t="shared" si="40"/>
        <v/>
      </c>
      <c r="AO50" s="127" t="str">
        <f t="shared" si="40"/>
        <v/>
      </c>
      <c r="AP50" s="127" t="str">
        <f t="shared" si="40"/>
        <v/>
      </c>
      <c r="AQ50" s="127" t="str">
        <f t="shared" si="40"/>
        <v/>
      </c>
      <c r="AR50" s="127" t="str">
        <f t="shared" si="40"/>
        <v/>
      </c>
      <c r="AS50" s="127" t="str">
        <f t="shared" si="40"/>
        <v/>
      </c>
      <c r="AT50" s="127" t="str">
        <f t="shared" si="40"/>
        <v/>
      </c>
      <c r="AU50" s="127" t="str">
        <f t="shared" si="40"/>
        <v/>
      </c>
      <c r="AV50" s="127" t="str">
        <f t="shared" si="40"/>
        <v/>
      </c>
      <c r="AW50" s="127" t="str">
        <f t="shared" si="40"/>
        <v/>
      </c>
      <c r="AX50" s="127" t="str">
        <f t="shared" si="38"/>
        <v/>
      </c>
      <c r="AY50" s="127" t="str">
        <f t="shared" si="38"/>
        <v/>
      </c>
      <c r="AZ50" s="127" t="str">
        <f t="shared" si="38"/>
        <v/>
      </c>
      <c r="BA50" s="127" t="str">
        <f t="shared" si="38"/>
        <v/>
      </c>
      <c r="BB50" s="127" t="str">
        <f t="shared" si="38"/>
        <v/>
      </c>
      <c r="BC50" s="127" t="str">
        <f t="shared" si="39"/>
        <v/>
      </c>
      <c r="BD50" s="127" t="str">
        <f t="shared" si="39"/>
        <v/>
      </c>
      <c r="BE50" s="127" t="str">
        <f t="shared" si="39"/>
        <v/>
      </c>
      <c r="BF50" s="127" t="str">
        <f t="shared" si="39"/>
        <v/>
      </c>
      <c r="BG50" s="127" t="str">
        <f t="shared" si="37"/>
        <v/>
      </c>
      <c r="BH50" s="127" t="str">
        <f t="shared" si="37"/>
        <v/>
      </c>
      <c r="BI50" s="127" t="str">
        <f t="shared" si="37"/>
        <v/>
      </c>
      <c r="BJ50" s="127" t="str">
        <f t="shared" si="37"/>
        <v/>
      </c>
      <c r="BK50" s="127" t="str">
        <f t="shared" si="37"/>
        <v/>
      </c>
      <c r="BL50" s="127" t="str">
        <f t="shared" si="37"/>
        <v/>
      </c>
      <c r="BM50" s="127" t="str">
        <f t="shared" si="37"/>
        <v/>
      </c>
      <c r="BN50" s="127" t="str">
        <f t="shared" si="37"/>
        <v/>
      </c>
      <c r="BO50" s="127" t="str">
        <f t="shared" si="37"/>
        <v/>
      </c>
      <c r="BP50" s="127" t="str">
        <f t="shared" si="37"/>
        <v/>
      </c>
      <c r="BQ50" s="127" t="str">
        <f t="shared" si="37"/>
        <v/>
      </c>
      <c r="BR50" s="127" t="str">
        <f t="shared" si="37"/>
        <v/>
      </c>
      <c r="BS50" s="127" t="str">
        <f t="shared" si="37"/>
        <v/>
      </c>
      <c r="BT50" s="127" t="str">
        <f t="shared" si="41"/>
        <v/>
      </c>
      <c r="BU50" s="127" t="str">
        <f t="shared" si="41"/>
        <v/>
      </c>
      <c r="BV50" s="127" t="str">
        <f t="shared" si="41"/>
        <v/>
      </c>
      <c r="BW50" s="127" t="str">
        <f t="shared" si="41"/>
        <v/>
      </c>
      <c r="BX50" s="127" t="str">
        <f t="shared" si="41"/>
        <v/>
      </c>
      <c r="BY50" s="127" t="str">
        <f t="shared" si="41"/>
        <v/>
      </c>
      <c r="BZ50" s="127" t="str">
        <f t="shared" si="41"/>
        <v/>
      </c>
      <c r="CA50" s="127" t="str">
        <f t="shared" si="41"/>
        <v/>
      </c>
      <c r="CB50" s="127" t="str">
        <f t="shared" si="41"/>
        <v/>
      </c>
      <c r="CC50" s="127" t="str">
        <f t="shared" si="41"/>
        <v/>
      </c>
      <c r="CD50" s="127" t="str">
        <f t="shared" si="41"/>
        <v/>
      </c>
      <c r="CE50" s="127" t="str">
        <f t="shared" si="41"/>
        <v/>
      </c>
    </row>
    <row r="51" spans="1:83" ht="25.5" hidden="1" x14ac:dyDescent="0.2">
      <c r="A51" s="106">
        <f>SHIPMENTS!A57</f>
        <v>9122</v>
      </c>
      <c r="B51" s="106" t="str">
        <f>SHIPMENTS!B57</f>
        <v>19300-USA SUPERIOR SAUNA</v>
      </c>
      <c r="C51" s="132">
        <f>SHIPMENTS!F57</f>
        <v>69.539999999999992</v>
      </c>
      <c r="D51" s="107" t="str">
        <f>IF((SHIPMENTS!I57)=0,"",SHIPMENTS!I57)</f>
        <v>1x40HC</v>
      </c>
      <c r="E51" s="176" t="str">
        <f>IF((SHIPMENTS!G57)=0,"",SHIPMENTS!G57)</f>
        <v>TBA</v>
      </c>
      <c r="F51" s="109">
        <f>VLOOKUP(A51,Items!$A$5:$J$1000,3,0)</f>
        <v>0</v>
      </c>
      <c r="G51" s="98">
        <f>VLOOKUP(A51,load!$A$4:$U$5001,5,0)</f>
        <v>0</v>
      </c>
      <c r="H51" s="97">
        <f>Manhours!$C$9</f>
        <v>9</v>
      </c>
      <c r="I51" s="98">
        <f t="shared" si="43"/>
        <v>81.899999999999991</v>
      </c>
      <c r="J51" s="99">
        <f t="shared" si="44"/>
        <v>0</v>
      </c>
      <c r="K51" s="99">
        <f t="shared" si="45"/>
        <v>0</v>
      </c>
      <c r="L51" s="98">
        <f t="shared" si="46"/>
        <v>0</v>
      </c>
      <c r="M51" s="98">
        <f t="shared" si="47"/>
        <v>0</v>
      </c>
      <c r="N51" s="181">
        <f>IF(G51&gt;0,(EA!N51+1),O50)</f>
        <v>46315.413492297514</v>
      </c>
      <c r="O51" s="181">
        <f t="shared" si="48"/>
        <v>46315.413492297514</v>
      </c>
      <c r="P51" s="112" t="str">
        <f>VLOOKUP(A51,SHIPMENTS!$A$7:$AP$76,11,0)</f>
        <v>n/a</v>
      </c>
      <c r="Q51" s="156"/>
      <c r="R51" s="127" t="str">
        <f t="shared" si="49"/>
        <v/>
      </c>
      <c r="S51" s="127" t="str">
        <f t="shared" si="49"/>
        <v/>
      </c>
      <c r="T51" s="127" t="str">
        <f t="shared" si="49"/>
        <v/>
      </c>
      <c r="U51" s="127" t="str">
        <f t="shared" si="49"/>
        <v/>
      </c>
      <c r="V51" s="127" t="str">
        <f t="shared" si="49"/>
        <v/>
      </c>
      <c r="W51" s="127" t="str">
        <f t="shared" si="49"/>
        <v/>
      </c>
      <c r="X51" s="127" t="str">
        <f t="shared" si="49"/>
        <v/>
      </c>
      <c r="Y51" s="127" t="str">
        <f t="shared" si="49"/>
        <v/>
      </c>
      <c r="Z51" s="127" t="str">
        <f t="shared" si="49"/>
        <v/>
      </c>
      <c r="AA51" s="127" t="str">
        <f t="shared" si="49"/>
        <v/>
      </c>
      <c r="AB51" s="127" t="str">
        <f t="shared" si="49"/>
        <v/>
      </c>
      <c r="AC51" s="127" t="str">
        <f t="shared" si="49"/>
        <v/>
      </c>
      <c r="AD51" s="127" t="str">
        <f t="shared" si="49"/>
        <v/>
      </c>
      <c r="AE51" s="127" t="str">
        <f t="shared" si="49"/>
        <v/>
      </c>
      <c r="AF51" s="127" t="str">
        <f t="shared" si="49"/>
        <v/>
      </c>
      <c r="AG51" s="127" t="str">
        <f t="shared" si="42"/>
        <v/>
      </c>
      <c r="AH51" s="127" t="str">
        <f t="shared" si="40"/>
        <v/>
      </c>
      <c r="AI51" s="127" t="str">
        <f t="shared" si="40"/>
        <v/>
      </c>
      <c r="AJ51" s="127" t="str">
        <f t="shared" si="40"/>
        <v/>
      </c>
      <c r="AK51" s="127" t="str">
        <f t="shared" si="40"/>
        <v/>
      </c>
      <c r="AL51" s="127" t="str">
        <f t="shared" si="40"/>
        <v/>
      </c>
      <c r="AM51" s="127" t="str">
        <f t="shared" si="40"/>
        <v/>
      </c>
      <c r="AN51" s="127" t="str">
        <f t="shared" si="40"/>
        <v/>
      </c>
      <c r="AO51" s="127" t="str">
        <f t="shared" si="40"/>
        <v/>
      </c>
      <c r="AP51" s="127" t="str">
        <f t="shared" si="40"/>
        <v/>
      </c>
      <c r="AQ51" s="127" t="str">
        <f t="shared" si="40"/>
        <v/>
      </c>
      <c r="AR51" s="127" t="str">
        <f t="shared" si="40"/>
        <v/>
      </c>
      <c r="AS51" s="127" t="str">
        <f t="shared" si="40"/>
        <v/>
      </c>
      <c r="AT51" s="127" t="str">
        <f t="shared" si="40"/>
        <v/>
      </c>
      <c r="AU51" s="127" t="str">
        <f t="shared" si="40"/>
        <v/>
      </c>
      <c r="AV51" s="127" t="str">
        <f t="shared" si="40"/>
        <v/>
      </c>
      <c r="AW51" s="127" t="str">
        <f t="shared" si="40"/>
        <v/>
      </c>
      <c r="AX51" s="127" t="str">
        <f t="shared" si="38"/>
        <v/>
      </c>
      <c r="AY51" s="127" t="str">
        <f t="shared" si="38"/>
        <v/>
      </c>
      <c r="AZ51" s="127" t="str">
        <f t="shared" si="38"/>
        <v/>
      </c>
      <c r="BA51" s="127" t="str">
        <f t="shared" si="38"/>
        <v/>
      </c>
      <c r="BB51" s="127" t="str">
        <f t="shared" si="38"/>
        <v/>
      </c>
      <c r="BC51" s="127" t="str">
        <f t="shared" si="39"/>
        <v/>
      </c>
      <c r="BD51" s="127" t="str">
        <f t="shared" si="39"/>
        <v/>
      </c>
      <c r="BE51" s="127" t="str">
        <f t="shared" si="39"/>
        <v/>
      </c>
      <c r="BF51" s="127" t="str">
        <f t="shared" si="39"/>
        <v/>
      </c>
      <c r="BG51" s="127" t="str">
        <f t="shared" si="37"/>
        <v/>
      </c>
      <c r="BH51" s="127" t="str">
        <f t="shared" si="37"/>
        <v/>
      </c>
      <c r="BI51" s="127" t="str">
        <f t="shared" si="37"/>
        <v/>
      </c>
      <c r="BJ51" s="127" t="str">
        <f t="shared" si="37"/>
        <v/>
      </c>
      <c r="BK51" s="127" t="str">
        <f t="shared" si="37"/>
        <v/>
      </c>
      <c r="BL51" s="127" t="str">
        <f t="shared" si="37"/>
        <v/>
      </c>
      <c r="BM51" s="127" t="str">
        <f t="shared" si="37"/>
        <v/>
      </c>
      <c r="BN51" s="127" t="str">
        <f t="shared" si="37"/>
        <v/>
      </c>
      <c r="BO51" s="127" t="str">
        <f t="shared" si="37"/>
        <v/>
      </c>
      <c r="BP51" s="127" t="str">
        <f t="shared" si="37"/>
        <v/>
      </c>
      <c r="BQ51" s="127" t="str">
        <f t="shared" si="37"/>
        <v/>
      </c>
      <c r="BR51" s="127" t="str">
        <f t="shared" si="37"/>
        <v/>
      </c>
      <c r="BS51" s="127" t="str">
        <f t="shared" si="37"/>
        <v/>
      </c>
      <c r="BT51" s="127" t="str">
        <f t="shared" si="41"/>
        <v/>
      </c>
      <c r="BU51" s="127" t="str">
        <f t="shared" si="41"/>
        <v/>
      </c>
      <c r="BV51" s="127" t="str">
        <f t="shared" si="41"/>
        <v/>
      </c>
      <c r="BW51" s="127" t="str">
        <f t="shared" si="41"/>
        <v/>
      </c>
      <c r="BX51" s="127" t="str">
        <f t="shared" si="41"/>
        <v/>
      </c>
      <c r="BY51" s="127" t="str">
        <f t="shared" si="41"/>
        <v/>
      </c>
      <c r="BZ51" s="127" t="str">
        <f t="shared" si="41"/>
        <v/>
      </c>
      <c r="CA51" s="127" t="str">
        <f t="shared" si="41"/>
        <v/>
      </c>
      <c r="CB51" s="127" t="str">
        <f t="shared" si="41"/>
        <v/>
      </c>
      <c r="CC51" s="127" t="str">
        <f t="shared" si="41"/>
        <v/>
      </c>
      <c r="CD51" s="127" t="str">
        <f t="shared" si="41"/>
        <v/>
      </c>
      <c r="CE51" s="127" t="str">
        <f t="shared" si="41"/>
        <v/>
      </c>
    </row>
    <row r="52" spans="1:83" ht="25.5" hidden="1" x14ac:dyDescent="0.2">
      <c r="A52" s="106">
        <f>SHIPMENTS!A58</f>
        <v>9197</v>
      </c>
      <c r="B52" s="106" t="str">
        <f>SHIPMENTS!B58</f>
        <v>19300-USA SUPERIOR SAUNA</v>
      </c>
      <c r="C52" s="132">
        <f>SHIPMENTS!F58</f>
        <v>0</v>
      </c>
      <c r="D52" s="107" t="str">
        <f>IF((SHIPMENTS!I58)=0,"",SHIPMENTS!I58)</f>
        <v/>
      </c>
      <c r="E52" s="176" t="str">
        <f>IF((SHIPMENTS!G58)=0,"",SHIPMENTS!G58)</f>
        <v>TBA</v>
      </c>
      <c r="F52" s="109">
        <f>VLOOKUP(A52,Items!$A$5:$J$1000,3,0)</f>
        <v>0</v>
      </c>
      <c r="G52" s="98">
        <f>VLOOKUP(A52,load!$A$4:$U$5001,5,0)</f>
        <v>0</v>
      </c>
      <c r="H52" s="97">
        <f>Manhours!$C$9</f>
        <v>9</v>
      </c>
      <c r="I52" s="98">
        <f t="shared" si="43"/>
        <v>81.899999999999991</v>
      </c>
      <c r="J52" s="99">
        <f t="shared" si="44"/>
        <v>0</v>
      </c>
      <c r="K52" s="99">
        <f t="shared" si="45"/>
        <v>0</v>
      </c>
      <c r="L52" s="98">
        <f t="shared" si="46"/>
        <v>0</v>
      </c>
      <c r="M52" s="98">
        <f t="shared" si="47"/>
        <v>0</v>
      </c>
      <c r="N52" s="181">
        <f>IF(G52&gt;0,(EA!N52+1),O51)</f>
        <v>46315.413492297514</v>
      </c>
      <c r="O52" s="181">
        <f t="shared" si="48"/>
        <v>46315.413492297514</v>
      </c>
      <c r="P52" s="112" t="str">
        <f>VLOOKUP(A52,SHIPMENTS!$A$7:$AP$76,11,0)</f>
        <v>n/a</v>
      </c>
      <c r="Q52" s="156"/>
      <c r="R52" s="127" t="str">
        <f t="shared" si="49"/>
        <v/>
      </c>
      <c r="S52" s="127" t="str">
        <f t="shared" si="49"/>
        <v/>
      </c>
      <c r="T52" s="127" t="str">
        <f t="shared" si="49"/>
        <v/>
      </c>
      <c r="U52" s="127" t="str">
        <f t="shared" si="49"/>
        <v/>
      </c>
      <c r="V52" s="127" t="str">
        <f t="shared" si="49"/>
        <v/>
      </c>
      <c r="W52" s="127" t="str">
        <f t="shared" si="49"/>
        <v/>
      </c>
      <c r="X52" s="127" t="str">
        <f t="shared" si="49"/>
        <v/>
      </c>
      <c r="Y52" s="127" t="str">
        <f t="shared" si="49"/>
        <v/>
      </c>
      <c r="Z52" s="127" t="str">
        <f t="shared" si="49"/>
        <v/>
      </c>
      <c r="AA52" s="127" t="str">
        <f t="shared" si="49"/>
        <v/>
      </c>
      <c r="AB52" s="127" t="str">
        <f t="shared" si="49"/>
        <v/>
      </c>
      <c r="AC52" s="127" t="str">
        <f t="shared" si="49"/>
        <v/>
      </c>
      <c r="AD52" s="127" t="str">
        <f t="shared" si="49"/>
        <v/>
      </c>
      <c r="AE52" s="127" t="str">
        <f t="shared" si="49"/>
        <v/>
      </c>
      <c r="AF52" s="127" t="str">
        <f t="shared" si="49"/>
        <v/>
      </c>
      <c r="AG52" s="127" t="str">
        <f t="shared" si="42"/>
        <v/>
      </c>
      <c r="AH52" s="127" t="str">
        <f t="shared" si="40"/>
        <v/>
      </c>
      <c r="AI52" s="127" t="str">
        <f t="shared" si="40"/>
        <v/>
      </c>
      <c r="AJ52" s="127" t="str">
        <f t="shared" si="40"/>
        <v/>
      </c>
      <c r="AK52" s="127" t="str">
        <f t="shared" si="40"/>
        <v/>
      </c>
      <c r="AL52" s="127" t="str">
        <f t="shared" si="40"/>
        <v/>
      </c>
      <c r="AM52" s="127" t="str">
        <f t="shared" si="40"/>
        <v/>
      </c>
      <c r="AN52" s="127" t="str">
        <f t="shared" si="40"/>
        <v/>
      </c>
      <c r="AO52" s="127" t="str">
        <f t="shared" si="40"/>
        <v/>
      </c>
      <c r="AP52" s="127" t="str">
        <f t="shared" si="40"/>
        <v/>
      </c>
      <c r="AQ52" s="127" t="str">
        <f t="shared" si="40"/>
        <v/>
      </c>
      <c r="AR52" s="127" t="str">
        <f t="shared" si="40"/>
        <v/>
      </c>
      <c r="AS52" s="127" t="str">
        <f t="shared" si="40"/>
        <v/>
      </c>
      <c r="AT52" s="127" t="str">
        <f t="shared" si="40"/>
        <v/>
      </c>
      <c r="AU52" s="127" t="str">
        <f t="shared" si="40"/>
        <v/>
      </c>
      <c r="AV52" s="127" t="str">
        <f t="shared" si="40"/>
        <v/>
      </c>
      <c r="AW52" s="127" t="str">
        <f t="shared" si="40"/>
        <v/>
      </c>
      <c r="AX52" s="127" t="str">
        <f t="shared" si="38"/>
        <v/>
      </c>
      <c r="AY52" s="127" t="str">
        <f t="shared" si="38"/>
        <v/>
      </c>
      <c r="AZ52" s="127" t="str">
        <f t="shared" si="38"/>
        <v/>
      </c>
      <c r="BA52" s="127" t="str">
        <f t="shared" si="38"/>
        <v/>
      </c>
      <c r="BB52" s="127" t="str">
        <f t="shared" si="38"/>
        <v/>
      </c>
      <c r="BC52" s="127" t="str">
        <f t="shared" si="39"/>
        <v/>
      </c>
      <c r="BD52" s="127" t="str">
        <f t="shared" si="39"/>
        <v/>
      </c>
      <c r="BE52" s="127" t="str">
        <f t="shared" si="39"/>
        <v/>
      </c>
      <c r="BF52" s="127" t="str">
        <f t="shared" si="39"/>
        <v/>
      </c>
      <c r="BG52" s="127" t="str">
        <f t="shared" si="37"/>
        <v/>
      </c>
      <c r="BH52" s="127" t="str">
        <f t="shared" si="37"/>
        <v/>
      </c>
      <c r="BI52" s="127" t="str">
        <f t="shared" si="37"/>
        <v/>
      </c>
      <c r="BJ52" s="127" t="str">
        <f t="shared" si="37"/>
        <v/>
      </c>
      <c r="BK52" s="127" t="str">
        <f t="shared" si="37"/>
        <v/>
      </c>
      <c r="BL52" s="127" t="str">
        <f t="shared" si="37"/>
        <v/>
      </c>
      <c r="BM52" s="127" t="str">
        <f t="shared" si="37"/>
        <v/>
      </c>
      <c r="BN52" s="127" t="str">
        <f t="shared" si="37"/>
        <v/>
      </c>
      <c r="BO52" s="127" t="str">
        <f t="shared" si="37"/>
        <v/>
      </c>
      <c r="BP52" s="127" t="str">
        <f t="shared" si="37"/>
        <v/>
      </c>
      <c r="BQ52" s="127" t="str">
        <f t="shared" si="37"/>
        <v/>
      </c>
      <c r="BR52" s="127" t="str">
        <f t="shared" si="37"/>
        <v/>
      </c>
      <c r="BS52" s="127" t="str">
        <f t="shared" si="37"/>
        <v/>
      </c>
      <c r="BT52" s="127" t="str">
        <f t="shared" si="41"/>
        <v/>
      </c>
      <c r="BU52" s="127" t="str">
        <f t="shared" si="41"/>
        <v/>
      </c>
      <c r="BV52" s="127" t="str">
        <f t="shared" si="41"/>
        <v/>
      </c>
      <c r="BW52" s="127" t="str">
        <f t="shared" si="41"/>
        <v/>
      </c>
      <c r="BX52" s="127" t="str">
        <f t="shared" si="41"/>
        <v/>
      </c>
      <c r="BY52" s="127" t="str">
        <f t="shared" si="41"/>
        <v/>
      </c>
      <c r="BZ52" s="127" t="str">
        <f t="shared" si="41"/>
        <v/>
      </c>
      <c r="CA52" s="127" t="str">
        <f t="shared" si="41"/>
        <v/>
      </c>
      <c r="CB52" s="127" t="str">
        <f t="shared" si="41"/>
        <v/>
      </c>
      <c r="CC52" s="127" t="str">
        <f t="shared" si="41"/>
        <v/>
      </c>
      <c r="CD52" s="127" t="str">
        <f t="shared" si="41"/>
        <v/>
      </c>
      <c r="CE52" s="127" t="str">
        <f t="shared" si="41"/>
        <v/>
      </c>
    </row>
    <row r="53" spans="1:83" ht="25.5" hidden="1" x14ac:dyDescent="0.2">
      <c r="A53" s="106">
        <f>SHIPMENTS!A59</f>
        <v>6542</v>
      </c>
      <c r="B53" s="106" t="str">
        <f>SHIPMENTS!B59</f>
        <v>75100-JORDAN
BACKLOG</v>
      </c>
      <c r="C53" s="132">
        <f>SHIPMENTS!F59</f>
        <v>2.9600000000000001E-2</v>
      </c>
      <c r="D53" s="107" t="str">
        <f>IF((SHIPMENTS!I59)=0,"",SHIPMENTS!I59)</f>
        <v/>
      </c>
      <c r="E53" s="176" t="str">
        <f>IF((SHIPMENTS!G59)=0,"",SHIPMENTS!G59)</f>
        <v>TBA</v>
      </c>
      <c r="F53" s="109">
        <f>VLOOKUP(A53,Items!$A$5:$J$1000,3,0)</f>
        <v>0</v>
      </c>
      <c r="G53" s="98">
        <f>VLOOKUP(A53,load!$A$4:$U$5001,5,0)</f>
        <v>0</v>
      </c>
      <c r="H53" s="97">
        <f>Manhours!$C$9</f>
        <v>9</v>
      </c>
      <c r="I53" s="98">
        <f t="shared" ref="I53" si="50">+H53*$I$4</f>
        <v>81.899999999999991</v>
      </c>
      <c r="J53" s="99">
        <f t="shared" ref="J53" si="51">G53/I53</f>
        <v>0</v>
      </c>
      <c r="K53" s="99">
        <f t="shared" ref="K53" si="52">+J53*$I$4</f>
        <v>0</v>
      </c>
      <c r="L53" s="98">
        <f t="shared" ref="L53" si="53">IFERROR(J53-(J53*P53),0)</f>
        <v>0</v>
      </c>
      <c r="M53" s="98">
        <f t="shared" ref="M53" si="54">IFERROR(K53-(K53*P53),0)</f>
        <v>0</v>
      </c>
      <c r="N53" s="181">
        <f>IF(G53&gt;0,(EA!N53+1),O52)</f>
        <v>46315.413492297514</v>
      </c>
      <c r="O53" s="181">
        <f t="shared" ref="O53" si="55">N53+L53</f>
        <v>46315.413492297514</v>
      </c>
      <c r="P53" s="112" t="str">
        <f>VLOOKUP(A53,SHIPMENTS!$A$7:$AP$76,11,0)</f>
        <v>n/a</v>
      </c>
      <c r="Q53" s="156"/>
      <c r="R53" s="127" t="str">
        <f t="shared" si="49"/>
        <v/>
      </c>
      <c r="S53" s="127" t="str">
        <f t="shared" si="49"/>
        <v/>
      </c>
      <c r="T53" s="127" t="str">
        <f t="shared" si="49"/>
        <v/>
      </c>
      <c r="U53" s="127" t="str">
        <f t="shared" si="49"/>
        <v/>
      </c>
      <c r="V53" s="127" t="str">
        <f t="shared" si="49"/>
        <v/>
      </c>
      <c r="W53" s="127" t="str">
        <f t="shared" si="49"/>
        <v/>
      </c>
      <c r="X53" s="127" t="str">
        <f t="shared" si="49"/>
        <v/>
      </c>
      <c r="Y53" s="127" t="str">
        <f t="shared" si="49"/>
        <v/>
      </c>
      <c r="Z53" s="127" t="str">
        <f t="shared" si="49"/>
        <v/>
      </c>
      <c r="AA53" s="127" t="str">
        <f t="shared" si="49"/>
        <v/>
      </c>
      <c r="AB53" s="127" t="str">
        <f t="shared" si="49"/>
        <v/>
      </c>
      <c r="AC53" s="127" t="str">
        <f t="shared" si="49"/>
        <v/>
      </c>
      <c r="AD53" s="127" t="str">
        <f t="shared" si="49"/>
        <v/>
      </c>
      <c r="AE53" s="127" t="str">
        <f t="shared" si="49"/>
        <v/>
      </c>
      <c r="AF53" s="127" t="str">
        <f t="shared" si="49"/>
        <v/>
      </c>
      <c r="AG53" s="127" t="str">
        <f t="shared" si="42"/>
        <v/>
      </c>
      <c r="AH53" s="127" t="str">
        <f t="shared" si="40"/>
        <v/>
      </c>
      <c r="AI53" s="127" t="str">
        <f t="shared" si="40"/>
        <v/>
      </c>
      <c r="AJ53" s="127" t="str">
        <f t="shared" si="40"/>
        <v/>
      </c>
      <c r="AK53" s="127" t="str">
        <f t="shared" si="40"/>
        <v/>
      </c>
      <c r="AL53" s="127" t="str">
        <f t="shared" si="40"/>
        <v/>
      </c>
      <c r="AM53" s="127" t="str">
        <f t="shared" si="40"/>
        <v/>
      </c>
      <c r="AN53" s="127" t="str">
        <f t="shared" si="40"/>
        <v/>
      </c>
      <c r="AO53" s="127" t="str">
        <f t="shared" si="40"/>
        <v/>
      </c>
      <c r="AP53" s="127" t="str">
        <f t="shared" si="40"/>
        <v/>
      </c>
      <c r="AQ53" s="127" t="str">
        <f t="shared" si="40"/>
        <v/>
      </c>
      <c r="AR53" s="127" t="str">
        <f t="shared" si="40"/>
        <v/>
      </c>
      <c r="AS53" s="127" t="str">
        <f t="shared" si="40"/>
        <v/>
      </c>
      <c r="AT53" s="127" t="str">
        <f t="shared" si="40"/>
        <v/>
      </c>
      <c r="AU53" s="127" t="str">
        <f t="shared" si="40"/>
        <v/>
      </c>
      <c r="AV53" s="127" t="str">
        <f t="shared" si="40"/>
        <v/>
      </c>
      <c r="AW53" s="127" t="str">
        <f t="shared" si="40"/>
        <v/>
      </c>
      <c r="AX53" s="127" t="str">
        <f t="shared" si="38"/>
        <v/>
      </c>
      <c r="AY53" s="127" t="str">
        <f t="shared" si="38"/>
        <v/>
      </c>
      <c r="AZ53" s="127" t="str">
        <f t="shared" si="38"/>
        <v/>
      </c>
      <c r="BA53" s="127" t="str">
        <f t="shared" si="38"/>
        <v/>
      </c>
      <c r="BB53" s="127" t="str">
        <f t="shared" si="38"/>
        <v/>
      </c>
      <c r="BC53" s="127" t="str">
        <f t="shared" si="39"/>
        <v/>
      </c>
      <c r="BD53" s="127" t="str">
        <f t="shared" si="39"/>
        <v/>
      </c>
      <c r="BE53" s="127" t="str">
        <f t="shared" si="39"/>
        <v/>
      </c>
      <c r="BF53" s="127" t="str">
        <f t="shared" si="39"/>
        <v/>
      </c>
      <c r="BG53" s="127" t="str">
        <f t="shared" si="37"/>
        <v/>
      </c>
      <c r="BH53" s="127" t="str">
        <f t="shared" si="37"/>
        <v/>
      </c>
      <c r="BI53" s="127" t="str">
        <f t="shared" si="37"/>
        <v/>
      </c>
      <c r="BJ53" s="127" t="str">
        <f t="shared" si="37"/>
        <v/>
      </c>
      <c r="BK53" s="127" t="str">
        <f t="shared" si="37"/>
        <v/>
      </c>
      <c r="BL53" s="127" t="str">
        <f t="shared" si="37"/>
        <v/>
      </c>
      <c r="BM53" s="127" t="str">
        <f t="shared" si="37"/>
        <v/>
      </c>
      <c r="BN53" s="127" t="str">
        <f t="shared" si="37"/>
        <v/>
      </c>
      <c r="BO53" s="127" t="str">
        <f t="shared" si="37"/>
        <v/>
      </c>
      <c r="BP53" s="127" t="str">
        <f t="shared" si="37"/>
        <v/>
      </c>
      <c r="BQ53" s="127" t="str">
        <f t="shared" si="37"/>
        <v/>
      </c>
      <c r="BR53" s="127" t="str">
        <f t="shared" si="37"/>
        <v/>
      </c>
      <c r="BS53" s="127" t="str">
        <f t="shared" si="37"/>
        <v/>
      </c>
      <c r="BT53" s="127" t="str">
        <f t="shared" si="41"/>
        <v/>
      </c>
      <c r="BU53" s="127" t="str">
        <f t="shared" si="41"/>
        <v/>
      </c>
      <c r="BV53" s="127" t="str">
        <f t="shared" si="41"/>
        <v/>
      </c>
      <c r="BW53" s="127" t="str">
        <f t="shared" si="41"/>
        <v/>
      </c>
      <c r="BX53" s="127" t="str">
        <f t="shared" si="41"/>
        <v/>
      </c>
      <c r="BY53" s="127" t="str">
        <f t="shared" si="41"/>
        <v/>
      </c>
      <c r="BZ53" s="127" t="str">
        <f t="shared" si="41"/>
        <v/>
      </c>
      <c r="CA53" s="127" t="str">
        <f t="shared" si="41"/>
        <v/>
      </c>
      <c r="CB53" s="127" t="str">
        <f t="shared" si="41"/>
        <v/>
      </c>
      <c r="CC53" s="127" t="str">
        <f t="shared" si="41"/>
        <v/>
      </c>
      <c r="CD53" s="127" t="str">
        <f t="shared" si="41"/>
        <v/>
      </c>
      <c r="CE53" s="127" t="str">
        <f t="shared" si="41"/>
        <v/>
      </c>
    </row>
    <row r="4775" spans="3:6" x14ac:dyDescent="0.2">
      <c r="C4775" s="18">
        <v>7117</v>
      </c>
      <c r="D4775" s="244">
        <v>46142</v>
      </c>
      <c r="E4775" s="244">
        <v>46157</v>
      </c>
      <c r="F4775" s="18">
        <f t="shared" ref="F4775:F4784" si="56">E4775-D4775</f>
        <v>15</v>
      </c>
    </row>
    <row r="4776" spans="3:6" x14ac:dyDescent="0.2">
      <c r="C4776" s="18">
        <v>7117</v>
      </c>
      <c r="D4776" s="244">
        <v>46142</v>
      </c>
      <c r="E4776" s="244">
        <v>46157</v>
      </c>
      <c r="F4776" s="18">
        <f t="shared" si="56"/>
        <v>15</v>
      </c>
    </row>
    <row r="4777" spans="3:6" x14ac:dyDescent="0.2">
      <c r="C4777" s="18">
        <v>7117</v>
      </c>
      <c r="D4777" s="244">
        <v>46142</v>
      </c>
      <c r="E4777" s="244">
        <v>46157</v>
      </c>
      <c r="F4777" s="18">
        <f t="shared" si="56"/>
        <v>15</v>
      </c>
    </row>
    <row r="4778" spans="3:6" x14ac:dyDescent="0.2">
      <c r="C4778" s="18">
        <v>7117</v>
      </c>
      <c r="D4778" s="244">
        <v>46142</v>
      </c>
      <c r="E4778" s="244">
        <v>46157</v>
      </c>
      <c r="F4778" s="18">
        <f t="shared" si="56"/>
        <v>15</v>
      </c>
    </row>
    <row r="4779" spans="3:6" x14ac:dyDescent="0.2">
      <c r="C4779" s="18">
        <v>7117</v>
      </c>
      <c r="D4779" s="244">
        <v>46142</v>
      </c>
      <c r="E4779" s="244">
        <v>46157</v>
      </c>
      <c r="F4779" s="18">
        <f t="shared" si="56"/>
        <v>15</v>
      </c>
    </row>
    <row r="4780" spans="3:6" x14ac:dyDescent="0.2">
      <c r="C4780" s="18">
        <v>7117</v>
      </c>
      <c r="D4780" s="244">
        <v>46142</v>
      </c>
      <c r="E4780" s="244">
        <v>46157</v>
      </c>
      <c r="F4780" s="18">
        <f t="shared" si="56"/>
        <v>15</v>
      </c>
    </row>
    <row r="4781" spans="3:6" x14ac:dyDescent="0.2">
      <c r="C4781" s="18">
        <v>7117</v>
      </c>
      <c r="D4781" s="244">
        <v>46142</v>
      </c>
      <c r="E4781" s="244">
        <v>46157</v>
      </c>
      <c r="F4781" s="18">
        <f t="shared" si="56"/>
        <v>15</v>
      </c>
    </row>
    <row r="4782" spans="3:6" x14ac:dyDescent="0.2">
      <c r="C4782" s="18">
        <v>7117</v>
      </c>
      <c r="D4782" s="244">
        <v>46142</v>
      </c>
      <c r="E4782" s="244">
        <v>46157</v>
      </c>
      <c r="F4782" s="18">
        <f t="shared" si="56"/>
        <v>15</v>
      </c>
    </row>
    <row r="4783" spans="3:6" x14ac:dyDescent="0.2">
      <c r="C4783" s="18">
        <v>7117</v>
      </c>
      <c r="D4783" s="244">
        <v>46142</v>
      </c>
      <c r="E4783" s="244">
        <v>46157</v>
      </c>
      <c r="F4783" s="18">
        <f t="shared" si="56"/>
        <v>15</v>
      </c>
    </row>
    <row r="4784" spans="3:6" x14ac:dyDescent="0.2">
      <c r="C4784" s="18">
        <v>7117</v>
      </c>
      <c r="D4784" s="244">
        <v>46142</v>
      </c>
      <c r="E4784" s="244">
        <v>46157</v>
      </c>
      <c r="F4784" s="18">
        <f t="shared" si="56"/>
        <v>15</v>
      </c>
    </row>
    <row r="4785" spans="3:6" x14ac:dyDescent="0.2">
      <c r="C4785" s="18">
        <v>7117</v>
      </c>
      <c r="D4785" s="244">
        <v>46142</v>
      </c>
      <c r="E4785" s="244">
        <v>46157</v>
      </c>
      <c r="F4785" s="18">
        <f t="shared" ref="F4785" si="57">E4785-D4785</f>
        <v>15</v>
      </c>
    </row>
  </sheetData>
  <autoFilter ref="A7:CE53" xr:uid="{00000000-0001-0000-0800-000000000000}">
    <filterColumn colId="15">
      <filters>
        <filter val="0%"/>
        <filter val="100%"/>
        <filter val="64%"/>
        <filter val="87%"/>
        <filter val="96%"/>
      </filters>
    </filterColumn>
  </autoFilter>
  <mergeCells count="16">
    <mergeCell ref="M5:M6"/>
    <mergeCell ref="N5:N6"/>
    <mergeCell ref="O5:O6"/>
    <mergeCell ref="P5:P6"/>
    <mergeCell ref="G5:G6"/>
    <mergeCell ref="H5:H6"/>
    <mergeCell ref="I5:I6"/>
    <mergeCell ref="J5:J6"/>
    <mergeCell ref="K5:K6"/>
    <mergeCell ref="L5:L6"/>
    <mergeCell ref="F5:F6"/>
    <mergeCell ref="A5:A6"/>
    <mergeCell ref="B5:B6"/>
    <mergeCell ref="C5:C6"/>
    <mergeCell ref="D5:D6"/>
    <mergeCell ref="E5:E6"/>
  </mergeCells>
  <conditionalFormatting sqref="C4775:C4785">
    <cfRule type="expression" dxfId="397" priority="346">
      <formula>A4775="CANCELLED"</formula>
    </cfRule>
    <cfRule type="expression" dxfId="396" priority="347">
      <formula>A4775="SHIPPED"</formula>
    </cfRule>
  </conditionalFormatting>
  <conditionalFormatting sqref="O8:O53">
    <cfRule type="cellIs" dxfId="395" priority="660" operator="greaterThan">
      <formula>E8</formula>
    </cfRule>
  </conditionalFormatting>
  <conditionalFormatting sqref="P8:P53">
    <cfRule type="dataBar" priority="1040">
      <dataBar>
        <cfvo type="num" val="0"/>
        <cfvo type="num" val="1"/>
        <color rgb="FFFFB628"/>
      </dataBar>
      <extLst>
        <ext xmlns:x14="http://schemas.microsoft.com/office/spreadsheetml/2009/9/main" uri="{B025F937-C7B1-47D3-B67F-A62EFF666E3E}">
          <x14:id>{8DB7A9C7-6791-4F36-9775-06DB57633FE1}</x14:id>
        </ext>
      </extLst>
    </cfRule>
  </conditionalFormatting>
  <conditionalFormatting sqref="P1:Q5 P7:Q1048576">
    <cfRule type="cellIs" dxfId="394" priority="155" operator="lessThan">
      <formula>1</formula>
    </cfRule>
    <cfRule type="cellIs" dxfId="393" priority="156" operator="equal">
      <formula>1</formula>
    </cfRule>
  </conditionalFormatting>
  <conditionalFormatting sqref="Q8:Q53">
    <cfRule type="dataBar" priority="1466">
      <dataBar>
        <cfvo type="num" val="0"/>
        <cfvo type="num" val="1"/>
        <color rgb="FFFFB628"/>
      </dataBar>
      <extLst>
        <ext xmlns:x14="http://schemas.microsoft.com/office/spreadsheetml/2009/9/main" uri="{B025F937-C7B1-47D3-B67F-A62EFF666E3E}">
          <x14:id>{4F5CB3CA-48BB-4059-8088-2C684213C6F2}</x14:id>
        </ext>
      </extLst>
    </cfRule>
  </conditionalFormatting>
  <conditionalFormatting sqref="Q28">
    <cfRule type="dataBar" priority="1346">
      <dataBar>
        <cfvo type="num" val="0"/>
        <cfvo type="num" val="1"/>
        <color rgb="FFFFB628"/>
      </dataBar>
      <extLst>
        <ext xmlns:x14="http://schemas.microsoft.com/office/spreadsheetml/2009/9/main" uri="{B025F937-C7B1-47D3-B67F-A62EFF666E3E}">
          <x14:id>{283C6C79-096C-4CE8-BE9D-BD53CD79BB66}</x14:id>
        </ext>
      </extLst>
    </cfRule>
  </conditionalFormatting>
  <conditionalFormatting sqref="Q29:Q53">
    <cfRule type="dataBar" priority="1342">
      <dataBar>
        <cfvo type="num" val="0"/>
        <cfvo type="num" val="1"/>
        <color rgb="FFFFB628"/>
      </dataBar>
      <extLst>
        <ext xmlns:x14="http://schemas.microsoft.com/office/spreadsheetml/2009/9/main" uri="{B025F937-C7B1-47D3-B67F-A62EFF666E3E}">
          <x14:id>{41B72458-9EA0-4925-B4F9-5B4488D7DFCA}</x14:id>
        </ext>
      </extLst>
    </cfRule>
  </conditionalFormatting>
  <conditionalFormatting sqref="R8:BF27">
    <cfRule type="cellIs" dxfId="392" priority="1412" operator="equal">
      <formula>1</formula>
    </cfRule>
    <cfRule type="cellIs" dxfId="391" priority="1413" operator="equal">
      <formula>1</formula>
    </cfRule>
  </conditionalFormatting>
  <conditionalFormatting sqref="R28:BF53">
    <cfRule type="cellIs" dxfId="390" priority="7" operator="equal">
      <formula>1</formula>
    </cfRule>
    <cfRule type="cellIs" dxfId="389" priority="5" operator="equal">
      <formula>1</formula>
    </cfRule>
  </conditionalFormatting>
  <conditionalFormatting sqref="R1:CE1">
    <cfRule type="cellIs" dxfId="388" priority="1067" operator="notEqual">
      <formula>0</formula>
    </cfRule>
  </conditionalFormatting>
  <conditionalFormatting sqref="R8:CE52">
    <cfRule type="expression" dxfId="387" priority="1367">
      <formula>IF(AND($N8&lt;=R$3,$O8&gt;=R$3),1,"")</formula>
    </cfRule>
  </conditionalFormatting>
  <conditionalFormatting sqref="R53:CE53">
    <cfRule type="expression" dxfId="386" priority="19">
      <formula>IF(AND($N53&lt;=R$3,$O53&gt;=R$3),1,"")</formula>
    </cfRule>
  </conditionalFormatting>
  <conditionalFormatting sqref="AW8:BF32">
    <cfRule type="cellIs" dxfId="385" priority="1373" operator="equal">
      <formula>1</formula>
    </cfRule>
  </conditionalFormatting>
  <conditionalFormatting sqref="AW33:BF53">
    <cfRule type="cellIs" dxfId="384" priority="18" operator="equal">
      <formula>1</formula>
    </cfRule>
  </conditionalFormatting>
  <conditionalFormatting sqref="AW8:BG32">
    <cfRule type="cellIs" dxfId="383" priority="1359" operator="equal">
      <formula>1</formula>
    </cfRule>
  </conditionalFormatting>
  <conditionalFormatting sqref="AW33:BG53">
    <cfRule type="cellIs" dxfId="382" priority="17" operator="equal">
      <formula>1</formula>
    </cfRule>
  </conditionalFormatting>
  <conditionalFormatting sqref="BG8:BG53">
    <cfRule type="cellIs" dxfId="381" priority="1360" operator="equal">
      <formula>1</formula>
    </cfRule>
  </conditionalFormatting>
  <conditionalFormatting sqref="BG8:BM32">
    <cfRule type="cellIs" dxfId="380" priority="1321" operator="equal">
      <formula>1</formula>
    </cfRule>
    <cfRule type="cellIs" dxfId="379" priority="1320" operator="equal">
      <formula>1</formula>
    </cfRule>
  </conditionalFormatting>
  <conditionalFormatting sqref="BG33:BM53">
    <cfRule type="cellIs" dxfId="378" priority="15" operator="equal">
      <formula>1</formula>
    </cfRule>
    <cfRule type="cellIs" dxfId="377" priority="16" operator="equal">
      <formula>1</formula>
    </cfRule>
  </conditionalFormatting>
  <conditionalFormatting sqref="BH8:BL27">
    <cfRule type="cellIs" dxfId="376" priority="1334" operator="equal">
      <formula>1</formula>
    </cfRule>
    <cfRule type="cellIs" dxfId="375" priority="1333" operator="equal">
      <formula>1</formula>
    </cfRule>
  </conditionalFormatting>
  <conditionalFormatting sqref="BH28:BL53">
    <cfRule type="cellIs" dxfId="374" priority="4" operator="equal">
      <formula>1</formula>
    </cfRule>
    <cfRule type="cellIs" dxfId="373" priority="8" operator="equal">
      <formula>1</formula>
    </cfRule>
  </conditionalFormatting>
  <conditionalFormatting sqref="BM8:BS32">
    <cfRule type="cellIs" dxfId="372" priority="1297" operator="equal">
      <formula>1</formula>
    </cfRule>
    <cfRule type="cellIs" dxfId="371" priority="1296" operator="equal">
      <formula>1</formula>
    </cfRule>
  </conditionalFormatting>
  <conditionalFormatting sqref="BM33:BS53">
    <cfRule type="cellIs" dxfId="370" priority="13" operator="equal">
      <formula>1</formula>
    </cfRule>
    <cfRule type="cellIs" dxfId="369" priority="14" operator="equal">
      <formula>1</formula>
    </cfRule>
  </conditionalFormatting>
  <conditionalFormatting sqref="BN8:BR27">
    <cfRule type="cellIs" dxfId="368" priority="1309" operator="equal">
      <formula>1</formula>
    </cfRule>
    <cfRule type="cellIs" dxfId="367" priority="1310" operator="equal">
      <formula>1</formula>
    </cfRule>
  </conditionalFormatting>
  <conditionalFormatting sqref="BN28:BR32">
    <cfRule type="cellIs" dxfId="366" priority="1288" operator="equal">
      <formula>1</formula>
    </cfRule>
  </conditionalFormatting>
  <conditionalFormatting sqref="BN28:BR53">
    <cfRule type="cellIs" dxfId="365" priority="3" operator="equal">
      <formula>1</formula>
    </cfRule>
  </conditionalFormatting>
  <conditionalFormatting sqref="BN33:BY53">
    <cfRule type="cellIs" dxfId="364" priority="12" operator="equal">
      <formula>1</formula>
    </cfRule>
  </conditionalFormatting>
  <conditionalFormatting sqref="BS8:BY32">
    <cfRule type="cellIs" dxfId="363" priority="1273" operator="equal">
      <formula>1</formula>
    </cfRule>
    <cfRule type="cellIs" dxfId="362" priority="1272" operator="equal">
      <formula>1</formula>
    </cfRule>
  </conditionalFormatting>
  <conditionalFormatting sqref="BS33:BY53">
    <cfRule type="cellIs" dxfId="361" priority="11" operator="equal">
      <formula>1</formula>
    </cfRule>
  </conditionalFormatting>
  <conditionalFormatting sqref="BT8:BX27">
    <cfRule type="cellIs" dxfId="360" priority="1285" operator="equal">
      <formula>1</formula>
    </cfRule>
    <cfRule type="cellIs" dxfId="359" priority="1286" operator="equal">
      <formula>1</formula>
    </cfRule>
  </conditionalFormatting>
  <conditionalFormatting sqref="BT28:BX32">
    <cfRule type="cellIs" dxfId="358" priority="1264" operator="equal">
      <formula>1</formula>
    </cfRule>
  </conditionalFormatting>
  <conditionalFormatting sqref="BT28:BX53">
    <cfRule type="cellIs" dxfId="357" priority="2" operator="equal">
      <formula>1</formula>
    </cfRule>
  </conditionalFormatting>
  <conditionalFormatting sqref="BT33:CE53">
    <cfRule type="cellIs" dxfId="356" priority="10" operator="equal">
      <formula>1</formula>
    </cfRule>
  </conditionalFormatting>
  <conditionalFormatting sqref="BY8:CE32">
    <cfRule type="cellIs" dxfId="355" priority="1248" operator="equal">
      <formula>1</formula>
    </cfRule>
    <cfRule type="cellIs" dxfId="354" priority="1249" operator="equal">
      <formula>1</formula>
    </cfRule>
  </conditionalFormatting>
  <conditionalFormatting sqref="BY33:CE53">
    <cfRule type="cellIs" dxfId="353" priority="9" operator="equal">
      <formula>1</formula>
    </cfRule>
  </conditionalFormatting>
  <conditionalFormatting sqref="BZ8:CD27">
    <cfRule type="cellIs" dxfId="352" priority="1261" operator="equal">
      <formula>1</formula>
    </cfRule>
    <cfRule type="cellIs" dxfId="351" priority="1262" operator="equal">
      <formula>1</formula>
    </cfRule>
  </conditionalFormatting>
  <conditionalFormatting sqref="BZ28:CD53">
    <cfRule type="cellIs" dxfId="350" priority="1" operator="equal">
      <formula>1</formula>
    </cfRule>
    <cfRule type="cellIs" dxfId="349" priority="6" operator="equal">
      <formula>1</formula>
    </cfRule>
  </conditionalFormatting>
  <conditionalFormatting sqref="CE8:CE53">
    <cfRule type="cellIs" dxfId="348" priority="1247" operator="equal">
      <formula>1</formula>
    </cfRule>
    <cfRule type="cellIs" dxfId="347" priority="1246" operator="equal">
      <formula>1</formula>
    </cfRule>
  </conditionalFormatting>
  <pageMargins left="0.7" right="0.7" top="0.75" bottom="0.25" header="0.3" footer="0.3"/>
  <pageSetup paperSize="9" scale="125" orientation="landscape" r:id="rId1"/>
  <extLst>
    <ext xmlns:x14="http://schemas.microsoft.com/office/spreadsheetml/2009/9/main" uri="{78C0D931-6437-407d-A8EE-F0AAD7539E65}">
      <x14:conditionalFormattings>
        <x14:conditionalFormatting xmlns:xm="http://schemas.microsoft.com/office/excel/2006/main">
          <x14:cfRule type="dataBar" id="{8DB7A9C7-6791-4F36-9775-06DB57633FE1}">
            <x14:dataBar minLength="0" maxLength="100" gradient="0">
              <x14:cfvo type="num">
                <xm:f>0</xm:f>
              </x14:cfvo>
              <x14:cfvo type="num">
                <xm:f>1</xm:f>
              </x14:cfvo>
              <x14:negativeFillColor rgb="FFFF0000"/>
              <x14:axisColor rgb="FF000000"/>
            </x14:dataBar>
          </x14:cfRule>
          <xm:sqref>P8:P53</xm:sqref>
        </x14:conditionalFormatting>
        <x14:conditionalFormatting xmlns:xm="http://schemas.microsoft.com/office/excel/2006/main">
          <x14:cfRule type="dataBar" id="{4F5CB3CA-48BB-4059-8088-2C684213C6F2}">
            <x14:dataBar minLength="0" maxLength="100" gradient="0">
              <x14:cfvo type="num">
                <xm:f>0</xm:f>
              </x14:cfvo>
              <x14:cfvo type="num">
                <xm:f>1</xm:f>
              </x14:cfvo>
              <x14:negativeFillColor rgb="FFFF0000"/>
              <x14:axisColor rgb="FF000000"/>
            </x14:dataBar>
          </x14:cfRule>
          <xm:sqref>Q8:Q53</xm:sqref>
        </x14:conditionalFormatting>
        <x14:conditionalFormatting xmlns:xm="http://schemas.microsoft.com/office/excel/2006/main">
          <x14:cfRule type="dataBar" id="{283C6C79-096C-4CE8-BE9D-BD53CD79BB66}">
            <x14:dataBar minLength="0" maxLength="100" gradient="0">
              <x14:cfvo type="num">
                <xm:f>0</xm:f>
              </x14:cfvo>
              <x14:cfvo type="num">
                <xm:f>1</xm:f>
              </x14:cfvo>
              <x14:negativeFillColor rgb="FFFF0000"/>
              <x14:axisColor rgb="FF000000"/>
            </x14:dataBar>
          </x14:cfRule>
          <xm:sqref>Q28</xm:sqref>
        </x14:conditionalFormatting>
        <x14:conditionalFormatting xmlns:xm="http://schemas.microsoft.com/office/excel/2006/main">
          <x14:cfRule type="dataBar" id="{41B72458-9EA0-4925-B4F9-5B4488D7DFCA}">
            <x14:dataBar minLength="0" maxLength="100" gradient="0">
              <x14:cfvo type="num">
                <xm:f>0</xm:f>
              </x14:cfvo>
              <x14:cfvo type="num">
                <xm:f>1</xm:f>
              </x14:cfvo>
              <x14:negativeFillColor rgb="FFFF0000"/>
              <x14:axisColor rgb="FF000000"/>
            </x14:dataBar>
          </x14:cfRule>
          <xm:sqref>Q29:Q53</xm:sqref>
        </x14:conditionalFormatting>
      </x14:conditionalFormatting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9" filterMode="1"/>
  <dimension ref="A1:CE53"/>
  <sheetViews>
    <sheetView showGridLines="0" zoomScaleNormal="100" workbookViewId="0">
      <pane xSplit="16" ySplit="7" topLeftCell="Q21" activePane="bottomRight" state="frozen"/>
      <selection pane="topRight" activeCell="Q1" sqref="Q1"/>
      <selection pane="bottomLeft" activeCell="A8" sqref="A8"/>
      <selection pane="bottomRight" activeCell="A9" sqref="A9:E53"/>
    </sheetView>
  </sheetViews>
  <sheetFormatPr defaultColWidth="9.28515625" defaultRowHeight="12.75" outlineLevelCol="1" x14ac:dyDescent="0.2"/>
  <cols>
    <col min="1" max="1" width="11.28515625" style="72" customWidth="1"/>
    <col min="2" max="2" width="21.7109375" style="71" customWidth="1"/>
    <col min="3" max="3" width="7.28515625" style="71" customWidth="1"/>
    <col min="4" max="4" width="7.7109375" style="71" customWidth="1"/>
    <col min="5" max="5" width="9.7109375" style="174" customWidth="1"/>
    <col min="6" max="6" width="7.5703125" style="71" customWidth="1"/>
    <col min="7" max="7" width="11.5703125" style="74" hidden="1" customWidth="1" outlineLevel="1"/>
    <col min="8" max="8" width="11.7109375" style="75" hidden="1" customWidth="1" outlineLevel="1"/>
    <col min="9" max="9" width="11.28515625" style="74" hidden="1" customWidth="1" outlineLevel="1"/>
    <col min="10" max="10" width="8.7109375" style="76" hidden="1" customWidth="1" outlineLevel="1"/>
    <col min="11" max="11" width="7.7109375" style="76" hidden="1" customWidth="1" outlineLevel="1"/>
    <col min="12" max="12" width="9" style="74" customWidth="1" collapsed="1"/>
    <col min="13" max="13" width="9" style="74" hidden="1" customWidth="1" outlineLevel="1"/>
    <col min="14" max="14" width="7.42578125" style="174" hidden="1" customWidth="1" outlineLevel="1"/>
    <col min="15" max="15" width="8.28515625" style="174" customWidth="1" collapsed="1"/>
    <col min="16" max="17" width="11.28515625" style="78" customWidth="1"/>
    <col min="18" max="19" width="6.5703125" style="71" customWidth="1"/>
    <col min="20" max="32" width="6.5703125" style="71" bestFit="1" customWidth="1"/>
    <col min="33" max="83" width="7.28515625" style="71" bestFit="1" customWidth="1"/>
    <col min="84" max="16384" width="9.28515625" style="71"/>
  </cols>
  <sheetData>
    <row r="1" spans="1:83" x14ac:dyDescent="0.2">
      <c r="R1" s="105">
        <f>'T&amp;D'!Q1</f>
        <v>0</v>
      </c>
      <c r="S1" s="105">
        <f>'T&amp;D'!R1</f>
        <v>0</v>
      </c>
      <c r="T1" s="105">
        <f>'T&amp;D'!S1</f>
        <v>0</v>
      </c>
      <c r="U1" s="105">
        <f>'T&amp;D'!T1</f>
        <v>0</v>
      </c>
      <c r="V1" s="105">
        <f>'T&amp;D'!U1</f>
        <v>0</v>
      </c>
      <c r="W1" s="105">
        <f>'T&amp;D'!V1</f>
        <v>0</v>
      </c>
      <c r="X1" s="105">
        <f>'T&amp;D'!W1</f>
        <v>0</v>
      </c>
      <c r="Y1" s="105">
        <f>'T&amp;D'!X1</f>
        <v>0</v>
      </c>
      <c r="Z1" s="105">
        <f>'T&amp;D'!Y1</f>
        <v>0</v>
      </c>
      <c r="AA1" s="105">
        <f>'T&amp;D'!Z1</f>
        <v>0</v>
      </c>
      <c r="AB1" s="105">
        <f>'T&amp;D'!AA1</f>
        <v>0</v>
      </c>
      <c r="AC1" s="105">
        <f>'T&amp;D'!AB1</f>
        <v>0</v>
      </c>
      <c r="AD1" s="105">
        <f>'T&amp;D'!AC1</f>
        <v>0</v>
      </c>
      <c r="AE1" s="105">
        <f>'T&amp;D'!AD1</f>
        <v>0</v>
      </c>
      <c r="AF1" s="105">
        <f>'T&amp;D'!AE1</f>
        <v>0</v>
      </c>
      <c r="AG1" s="105">
        <f>'T&amp;D'!AF1</f>
        <v>0</v>
      </c>
      <c r="AH1" s="105">
        <f>'T&amp;D'!AG1</f>
        <v>0</v>
      </c>
      <c r="AI1" s="105">
        <f>'T&amp;D'!AH1</f>
        <v>0</v>
      </c>
      <c r="AJ1" s="105">
        <f>'T&amp;D'!AI1</f>
        <v>0</v>
      </c>
      <c r="AK1" s="105">
        <f>'T&amp;D'!AJ1</f>
        <v>0</v>
      </c>
      <c r="AL1" s="105">
        <f>'T&amp;D'!AK1</f>
        <v>0</v>
      </c>
      <c r="AM1" s="105">
        <f>'T&amp;D'!AL1</f>
        <v>0</v>
      </c>
      <c r="AN1" s="105">
        <f>'T&amp;D'!AM1</f>
        <v>0</v>
      </c>
      <c r="AO1" s="105">
        <f>'T&amp;D'!AN1</f>
        <v>0</v>
      </c>
      <c r="AP1" s="105">
        <f>'T&amp;D'!AO1</f>
        <v>0</v>
      </c>
      <c r="AQ1" s="105">
        <f>'T&amp;D'!AP1</f>
        <v>0</v>
      </c>
      <c r="AR1" s="105">
        <f>'T&amp;D'!AQ1</f>
        <v>0</v>
      </c>
      <c r="AS1" s="105">
        <f>'T&amp;D'!AR1</f>
        <v>0</v>
      </c>
      <c r="AT1" s="105">
        <f>'T&amp;D'!AS1</f>
        <v>0</v>
      </c>
      <c r="AU1" s="105">
        <f>'T&amp;D'!AT1</f>
        <v>0</v>
      </c>
      <c r="AV1" s="105">
        <f>'T&amp;D'!AU1</f>
        <v>0</v>
      </c>
      <c r="AW1" s="105">
        <f>'T&amp;D'!AV1</f>
        <v>0</v>
      </c>
      <c r="AX1" s="105">
        <f>'T&amp;D'!AW1</f>
        <v>0</v>
      </c>
      <c r="AY1" s="105">
        <f>'T&amp;D'!AX1</f>
        <v>0</v>
      </c>
      <c r="AZ1" s="105">
        <f>'T&amp;D'!AY1</f>
        <v>0</v>
      </c>
      <c r="BA1" s="105">
        <f>'T&amp;D'!AZ1</f>
        <v>0</v>
      </c>
      <c r="BB1" s="105">
        <f>'T&amp;D'!BA1</f>
        <v>0</v>
      </c>
      <c r="BC1" s="105">
        <f>'T&amp;D'!BB1</f>
        <v>0</v>
      </c>
      <c r="BD1" s="105">
        <f>'T&amp;D'!BC1</f>
        <v>0</v>
      </c>
      <c r="BE1" s="105">
        <f>'T&amp;D'!BD1</f>
        <v>0</v>
      </c>
      <c r="BF1" s="105">
        <f>'T&amp;D'!BE1</f>
        <v>0</v>
      </c>
      <c r="BG1" s="105">
        <f>'T&amp;D'!BF1</f>
        <v>0</v>
      </c>
      <c r="BH1" s="105">
        <f>'T&amp;D'!BG1</f>
        <v>0</v>
      </c>
      <c r="BI1" s="105">
        <f>'T&amp;D'!BH1</f>
        <v>0</v>
      </c>
      <c r="BJ1" s="105">
        <f>'T&amp;D'!BI1</f>
        <v>0</v>
      </c>
      <c r="BK1" s="105">
        <f>'T&amp;D'!BJ1</f>
        <v>0</v>
      </c>
      <c r="BL1" s="105">
        <f>'T&amp;D'!BK1</f>
        <v>0</v>
      </c>
      <c r="BM1" s="105">
        <f>'T&amp;D'!BL1</f>
        <v>0</v>
      </c>
      <c r="BN1" s="105">
        <f>'T&amp;D'!BM1</f>
        <v>0</v>
      </c>
      <c r="BO1" s="105">
        <f>'T&amp;D'!BN1</f>
        <v>0</v>
      </c>
      <c r="BP1" s="105">
        <f>'T&amp;D'!BO1</f>
        <v>0</v>
      </c>
      <c r="BQ1" s="105">
        <f>'T&amp;D'!BP1</f>
        <v>0</v>
      </c>
      <c r="BR1" s="105">
        <f>'T&amp;D'!BQ1</f>
        <v>0</v>
      </c>
      <c r="BS1" s="105">
        <f>'T&amp;D'!BR1</f>
        <v>0</v>
      </c>
      <c r="BT1" s="105">
        <f>'T&amp;D'!BS1</f>
        <v>0</v>
      </c>
      <c r="BU1" s="105">
        <f>'T&amp;D'!BT1</f>
        <v>0</v>
      </c>
      <c r="BV1" s="105">
        <f>'T&amp;D'!BU1</f>
        <v>0</v>
      </c>
      <c r="BW1" s="105">
        <f>'T&amp;D'!BV1</f>
        <v>0</v>
      </c>
      <c r="BX1" s="105">
        <f>'T&amp;D'!BW1</f>
        <v>0</v>
      </c>
      <c r="BY1" s="105">
        <f>'T&amp;D'!BX1</f>
        <v>0</v>
      </c>
      <c r="BZ1" s="105">
        <f>'T&amp;D'!BY1</f>
        <v>0</v>
      </c>
      <c r="CA1" s="105">
        <f>'T&amp;D'!BZ1</f>
        <v>0</v>
      </c>
      <c r="CB1" s="105">
        <f>'T&amp;D'!CA1</f>
        <v>0</v>
      </c>
      <c r="CC1" s="105">
        <f>'T&amp;D'!CB1</f>
        <v>0</v>
      </c>
      <c r="CD1" s="105">
        <f>'T&amp;D'!CC1</f>
        <v>0</v>
      </c>
      <c r="CE1" s="105">
        <f>'T&amp;D'!CD1</f>
        <v>0</v>
      </c>
    </row>
    <row r="2" spans="1:83" x14ac:dyDescent="0.2">
      <c r="A2" s="103" t="s">
        <v>376</v>
      </c>
      <c r="C2" s="80"/>
      <c r="D2" s="122"/>
      <c r="F2" s="204"/>
      <c r="J2" s="204"/>
      <c r="L2" s="204"/>
      <c r="N2" s="204">
        <v>2</v>
      </c>
      <c r="O2" s="174" t="s">
        <v>379</v>
      </c>
      <c r="R2" s="105" t="str">
        <f>'T&amp;D'!Q2</f>
        <v>w/O OT</v>
      </c>
      <c r="S2" s="105" t="str">
        <f>'T&amp;D'!R2</f>
        <v>w/O OT</v>
      </c>
      <c r="T2" s="105" t="str">
        <f>'T&amp;D'!S2</f>
        <v>w/O OT</v>
      </c>
      <c r="U2" s="105" t="str">
        <f>'T&amp;D'!T2</f>
        <v>w/O OT</v>
      </c>
      <c r="V2" s="105" t="str">
        <f>'T&amp;D'!U2</f>
        <v>Fri</v>
      </c>
      <c r="W2" s="105" t="str">
        <f>'T&amp;D'!V2</f>
        <v>Sat</v>
      </c>
      <c r="X2" s="105" t="str">
        <f>'T&amp;D'!W2</f>
        <v>w/O OT</v>
      </c>
      <c r="Y2" s="105" t="str">
        <f>'T&amp;D'!X2</f>
        <v>w/O OT</v>
      </c>
      <c r="Z2" s="105" t="str">
        <f>'T&amp;D'!Y2</f>
        <v>w/O OT</v>
      </c>
      <c r="AA2" s="105" t="str">
        <f>'T&amp;D'!Z2</f>
        <v>w/O OT</v>
      </c>
      <c r="AB2" s="105" t="str">
        <f>'T&amp;D'!AA2</f>
        <v>Fri</v>
      </c>
      <c r="AC2" s="105" t="str">
        <f>'T&amp;D'!AB2</f>
        <v>Sat</v>
      </c>
      <c r="AD2" s="105" t="str">
        <f>'T&amp;D'!AC2</f>
        <v>w/O OT</v>
      </c>
      <c r="AE2" s="105" t="str">
        <f>'T&amp;D'!AD2</f>
        <v>w/O OT</v>
      </c>
      <c r="AF2" s="105" t="str">
        <f>'T&amp;D'!AE2</f>
        <v>w/O OT</v>
      </c>
      <c r="AG2" s="105" t="str">
        <f>'T&amp;D'!AF2</f>
        <v>w/O OT</v>
      </c>
      <c r="AH2" s="105" t="str">
        <f>'T&amp;D'!AG2</f>
        <v>Fri</v>
      </c>
      <c r="AI2" s="105" t="str">
        <f>'T&amp;D'!AH2</f>
        <v>Sat</v>
      </c>
      <c r="AJ2" s="105" t="str">
        <f>'T&amp;D'!AI2</f>
        <v>w/O OT</v>
      </c>
      <c r="AK2" s="105" t="str">
        <f>'T&amp;D'!AJ2</f>
        <v>w/O OT</v>
      </c>
      <c r="AL2" s="105" t="str">
        <f>'T&amp;D'!AK2</f>
        <v>w/O OT</v>
      </c>
      <c r="AM2" s="105" t="str">
        <f>'T&amp;D'!AL2</f>
        <v>w/O OT</v>
      </c>
      <c r="AN2" s="105" t="str">
        <f>'T&amp;D'!AM2</f>
        <v>Fri</v>
      </c>
      <c r="AO2" s="105" t="str">
        <f>'T&amp;D'!AN2</f>
        <v>Sat</v>
      </c>
      <c r="AP2" s="105" t="str">
        <f>'T&amp;D'!AO2</f>
        <v>w/O OT</v>
      </c>
      <c r="AQ2" s="105" t="str">
        <f>'T&amp;D'!AP2</f>
        <v>w/O OT</v>
      </c>
      <c r="AR2" s="105" t="str">
        <f>'T&amp;D'!AQ2</f>
        <v>w/O OT</v>
      </c>
      <c r="AS2" s="105" t="str">
        <f>'T&amp;D'!AR2</f>
        <v>w/O OT</v>
      </c>
      <c r="AT2" s="105" t="str">
        <f>'T&amp;D'!AS2</f>
        <v>Fri</v>
      </c>
      <c r="AU2" s="105" t="str">
        <f>'T&amp;D'!AT2</f>
        <v>Sat</v>
      </c>
      <c r="AV2" s="105" t="str">
        <f>'T&amp;D'!AU2</f>
        <v>w/O OT</v>
      </c>
      <c r="AW2" s="105" t="str">
        <f>'T&amp;D'!AV2</f>
        <v>w/O OT</v>
      </c>
      <c r="AX2" s="105" t="str">
        <f>'T&amp;D'!AW2</f>
        <v>w/O OT</v>
      </c>
      <c r="AY2" s="105" t="str">
        <f>'T&amp;D'!AX2</f>
        <v>w/O OT</v>
      </c>
      <c r="AZ2" s="105" t="str">
        <f>'T&amp;D'!AY2</f>
        <v>Fri</v>
      </c>
      <c r="BA2" s="105" t="str">
        <f>'T&amp;D'!AZ2</f>
        <v>Sat</v>
      </c>
      <c r="BB2" s="105" t="str">
        <f>'T&amp;D'!BA2</f>
        <v>w/O OT</v>
      </c>
      <c r="BC2" s="105" t="str">
        <f>'T&amp;D'!BB2</f>
        <v>w/O OT</v>
      </c>
      <c r="BD2" s="105" t="str">
        <f>'T&amp;D'!BC2</f>
        <v>w/O OT</v>
      </c>
      <c r="BE2" s="105" t="str">
        <f>'T&amp;D'!BD2</f>
        <v>w/O OT</v>
      </c>
      <c r="BF2" s="105" t="str">
        <f>'T&amp;D'!BE2</f>
        <v>Fri</v>
      </c>
      <c r="BG2" s="105" t="str">
        <f>'T&amp;D'!BF2</f>
        <v>Sat</v>
      </c>
      <c r="BH2" s="105" t="str">
        <f>'T&amp;D'!BG2</f>
        <v>w/O OT</v>
      </c>
      <c r="BI2" s="105" t="str">
        <f>'T&amp;D'!BH2</f>
        <v>w/O OT</v>
      </c>
      <c r="BJ2" s="105" t="str">
        <f>'T&amp;D'!BI2</f>
        <v>w/O OT</v>
      </c>
      <c r="BK2" s="105" t="str">
        <f>'T&amp;D'!BJ2</f>
        <v>w/O OT</v>
      </c>
      <c r="BL2" s="105" t="str">
        <f>'T&amp;D'!BK2</f>
        <v>Fri</v>
      </c>
      <c r="BM2" s="105" t="str">
        <f>'T&amp;D'!BL2</f>
        <v>Sat</v>
      </c>
      <c r="BN2" s="105" t="str">
        <f>'T&amp;D'!BM2</f>
        <v>w/O OT</v>
      </c>
      <c r="BO2" s="105" t="str">
        <f>'T&amp;D'!BN2</f>
        <v>w/O OT</v>
      </c>
      <c r="BP2" s="105" t="str">
        <f>'T&amp;D'!BO2</f>
        <v>w/O OT</v>
      </c>
      <c r="BQ2" s="105" t="str">
        <f>'T&amp;D'!BP2</f>
        <v>w/O OT</v>
      </c>
      <c r="BR2" s="105" t="str">
        <f>'T&amp;D'!BQ2</f>
        <v>Fri</v>
      </c>
      <c r="BS2" s="105" t="str">
        <f>'T&amp;D'!BR2</f>
        <v>Sat</v>
      </c>
      <c r="BT2" s="105" t="str">
        <f>'T&amp;D'!BS2</f>
        <v>w/O OT</v>
      </c>
      <c r="BU2" s="105" t="str">
        <f>'T&amp;D'!BT2</f>
        <v>w/O OT</v>
      </c>
      <c r="BV2" s="105" t="str">
        <f>'T&amp;D'!BU2</f>
        <v>w/O OT</v>
      </c>
      <c r="BW2" s="105" t="str">
        <f>'T&amp;D'!BV2</f>
        <v>w/O OT</v>
      </c>
      <c r="BX2" s="105" t="str">
        <f>'T&amp;D'!BW2</f>
        <v>Fri</v>
      </c>
      <c r="BY2" s="105" t="str">
        <f>'T&amp;D'!BX2</f>
        <v>Sat</v>
      </c>
      <c r="BZ2" s="105" t="str">
        <f>'T&amp;D'!BY2</f>
        <v>w/O OT</v>
      </c>
      <c r="CA2" s="105" t="str">
        <f>'T&amp;D'!BZ2</f>
        <v>w/O OT</v>
      </c>
      <c r="CB2" s="105" t="str">
        <f>'T&amp;D'!CA2</f>
        <v>w/O OT</v>
      </c>
      <c r="CC2" s="105" t="str">
        <f>'T&amp;D'!CB2</f>
        <v>w/O OT</v>
      </c>
      <c r="CD2" s="105" t="str">
        <f>'T&amp;D'!CC2</f>
        <v>Fri</v>
      </c>
      <c r="CE2" s="105" t="str">
        <f>'T&amp;D'!CD2</f>
        <v>Sat</v>
      </c>
    </row>
    <row r="3" spans="1:83" s="80" customFormat="1" x14ac:dyDescent="0.2">
      <c r="A3" s="79"/>
      <c r="C3" s="71" t="s">
        <v>109</v>
      </c>
      <c r="D3" s="75" t="s">
        <v>110</v>
      </c>
      <c r="E3" s="174" t="s">
        <v>90</v>
      </c>
      <c r="F3" s="157">
        <f>F4-F12</f>
        <v>28019</v>
      </c>
      <c r="J3" s="157"/>
      <c r="L3" s="157"/>
      <c r="M3" s="85"/>
      <c r="N3" s="177"/>
      <c r="O3" s="240"/>
      <c r="P3" s="81"/>
      <c r="Q3" s="81"/>
      <c r="R3" s="82">
        <f>'T&amp;D'!Q3</f>
        <v>46314</v>
      </c>
      <c r="S3" s="82">
        <f>'T&amp;D'!R3</f>
        <v>46315</v>
      </c>
      <c r="T3" s="82">
        <f>'T&amp;D'!S3</f>
        <v>46316</v>
      </c>
      <c r="U3" s="82">
        <f>'T&amp;D'!T3</f>
        <v>46317</v>
      </c>
      <c r="V3" s="82">
        <f>'T&amp;D'!U3</f>
        <v>46318</v>
      </c>
      <c r="W3" s="82">
        <f>'T&amp;D'!V3</f>
        <v>46319</v>
      </c>
      <c r="X3" s="82">
        <f>'T&amp;D'!W3</f>
        <v>46321</v>
      </c>
      <c r="Y3" s="82">
        <f>'T&amp;D'!X3</f>
        <v>46322</v>
      </c>
      <c r="Z3" s="82">
        <f>'T&amp;D'!Y3</f>
        <v>46323</v>
      </c>
      <c r="AA3" s="82">
        <f>'T&amp;D'!Z3</f>
        <v>46324</v>
      </c>
      <c r="AB3" s="82">
        <f>'T&amp;D'!AA3</f>
        <v>46325</v>
      </c>
      <c r="AC3" s="82">
        <f>'T&amp;D'!AB3</f>
        <v>46326</v>
      </c>
      <c r="AD3" s="82">
        <f>'T&amp;D'!AC3</f>
        <v>46328</v>
      </c>
      <c r="AE3" s="82">
        <f>'T&amp;D'!AD3</f>
        <v>46329</v>
      </c>
      <c r="AF3" s="82">
        <f>'T&amp;D'!AE3</f>
        <v>46330</v>
      </c>
      <c r="AG3" s="82">
        <f>'T&amp;D'!AF3</f>
        <v>46331</v>
      </c>
      <c r="AH3" s="82">
        <f>'T&amp;D'!AG3</f>
        <v>46332</v>
      </c>
      <c r="AI3" s="82">
        <f>'T&amp;D'!AH3</f>
        <v>46333</v>
      </c>
      <c r="AJ3" s="82">
        <f>'T&amp;D'!AI3</f>
        <v>46335</v>
      </c>
      <c r="AK3" s="82">
        <f>'T&amp;D'!AJ3</f>
        <v>46336</v>
      </c>
      <c r="AL3" s="82">
        <f>'T&amp;D'!AK3</f>
        <v>46337</v>
      </c>
      <c r="AM3" s="82">
        <f>'T&amp;D'!AL3</f>
        <v>46338</v>
      </c>
      <c r="AN3" s="82">
        <f>'T&amp;D'!AM3</f>
        <v>46339</v>
      </c>
      <c r="AO3" s="82">
        <f>'T&amp;D'!AN3</f>
        <v>46340</v>
      </c>
      <c r="AP3" s="82">
        <f>'T&amp;D'!AO3</f>
        <v>46342</v>
      </c>
      <c r="AQ3" s="82">
        <f>'T&amp;D'!AP3</f>
        <v>46343</v>
      </c>
      <c r="AR3" s="82">
        <f>'T&amp;D'!AQ3</f>
        <v>46344</v>
      </c>
      <c r="AS3" s="82">
        <f>'T&amp;D'!AR3</f>
        <v>46345</v>
      </c>
      <c r="AT3" s="82">
        <f>'T&amp;D'!AS3</f>
        <v>46346</v>
      </c>
      <c r="AU3" s="82">
        <f>'T&amp;D'!AT3</f>
        <v>46347</v>
      </c>
      <c r="AV3" s="82">
        <f>'T&amp;D'!AU3</f>
        <v>46349</v>
      </c>
      <c r="AW3" s="82">
        <f>'T&amp;D'!AV3</f>
        <v>46350</v>
      </c>
      <c r="AX3" s="82">
        <f>'T&amp;D'!AW3</f>
        <v>46351</v>
      </c>
      <c r="AY3" s="82">
        <f>'T&amp;D'!AX3</f>
        <v>46352</v>
      </c>
      <c r="AZ3" s="82">
        <f>'T&amp;D'!AY3</f>
        <v>46353</v>
      </c>
      <c r="BA3" s="82">
        <f>'T&amp;D'!AZ3</f>
        <v>46354</v>
      </c>
      <c r="BB3" s="82">
        <f>'T&amp;D'!BA3</f>
        <v>46356</v>
      </c>
      <c r="BC3" s="82">
        <f>'T&amp;D'!BB3</f>
        <v>46357</v>
      </c>
      <c r="BD3" s="82">
        <f>'T&amp;D'!BC3</f>
        <v>46358</v>
      </c>
      <c r="BE3" s="82">
        <f>'T&amp;D'!BD3</f>
        <v>46359</v>
      </c>
      <c r="BF3" s="82">
        <f>'T&amp;D'!BE3</f>
        <v>46360</v>
      </c>
      <c r="BG3" s="82">
        <f>'T&amp;D'!BF3</f>
        <v>46361</v>
      </c>
      <c r="BH3" s="82">
        <f>'T&amp;D'!BG3</f>
        <v>46363</v>
      </c>
      <c r="BI3" s="82">
        <f>'T&amp;D'!BH3</f>
        <v>46364</v>
      </c>
      <c r="BJ3" s="82">
        <f>'T&amp;D'!BI3</f>
        <v>46365</v>
      </c>
      <c r="BK3" s="82">
        <f>'T&amp;D'!BJ3</f>
        <v>46366</v>
      </c>
      <c r="BL3" s="82">
        <f>'T&amp;D'!BK3</f>
        <v>46367</v>
      </c>
      <c r="BM3" s="82">
        <f>'T&amp;D'!BL3</f>
        <v>46368</v>
      </c>
      <c r="BN3" s="82">
        <f>'T&amp;D'!BM3</f>
        <v>46370</v>
      </c>
      <c r="BO3" s="82">
        <f>'T&amp;D'!BN3</f>
        <v>46371</v>
      </c>
      <c r="BP3" s="82">
        <f>'T&amp;D'!BO3</f>
        <v>46372</v>
      </c>
      <c r="BQ3" s="82">
        <f>'T&amp;D'!BP3</f>
        <v>46373</v>
      </c>
      <c r="BR3" s="82">
        <f>'T&amp;D'!BQ3</f>
        <v>46374</v>
      </c>
      <c r="BS3" s="82">
        <f>'T&amp;D'!BR3</f>
        <v>46375</v>
      </c>
      <c r="BT3" s="82">
        <f>'T&amp;D'!BS3</f>
        <v>46377</v>
      </c>
      <c r="BU3" s="82">
        <f>'T&amp;D'!BT3</f>
        <v>46378</v>
      </c>
      <c r="BV3" s="82">
        <f>'T&amp;D'!BU3</f>
        <v>46379</v>
      </c>
      <c r="BW3" s="82">
        <f>'T&amp;D'!BV3</f>
        <v>46380</v>
      </c>
      <c r="BX3" s="82">
        <f>'T&amp;D'!BW3</f>
        <v>46381</v>
      </c>
      <c r="BY3" s="82">
        <f>'T&amp;D'!BX3</f>
        <v>46382</v>
      </c>
      <c r="BZ3" s="82">
        <f>'T&amp;D'!BY3</f>
        <v>46384</v>
      </c>
      <c r="CA3" s="82">
        <f>'T&amp;D'!BZ3</f>
        <v>46385</v>
      </c>
      <c r="CB3" s="82">
        <f>'T&amp;D'!CA3</f>
        <v>46386</v>
      </c>
      <c r="CC3" s="82">
        <f>'T&amp;D'!CB3</f>
        <v>46387</v>
      </c>
      <c r="CD3" s="82">
        <f>'T&amp;D'!CC3</f>
        <v>46388</v>
      </c>
      <c r="CE3" s="82">
        <f>'T&amp;D'!CD3</f>
        <v>46389</v>
      </c>
    </row>
    <row r="4" spans="1:83" s="84" customFormat="1" x14ac:dyDescent="0.2">
      <c r="A4" s="83"/>
      <c r="D4" s="173"/>
      <c r="E4" s="174" t="s">
        <v>228</v>
      </c>
      <c r="F4" s="157">
        <f>SUM(F8:F4661)</f>
        <v>28019</v>
      </c>
      <c r="G4" s="85"/>
      <c r="H4" s="177"/>
      <c r="I4" s="85">
        <f>45.5/5</f>
        <v>9.1</v>
      </c>
      <c r="J4" s="85"/>
      <c r="L4" s="85">
        <f>SUM(L8:L4661)</f>
        <v>47.03192080989011</v>
      </c>
      <c r="M4" s="85"/>
      <c r="N4" s="178">
        <f>'WWP1-PPS'!N4+N2</f>
        <v>46321</v>
      </c>
      <c r="O4" s="177"/>
      <c r="P4" s="81"/>
      <c r="Q4" s="81"/>
      <c r="R4" s="104">
        <f>'T&amp;D'!Q4</f>
        <v>45817</v>
      </c>
      <c r="S4" s="104">
        <f>'T&amp;D'!R4</f>
        <v>45818</v>
      </c>
      <c r="T4" s="104">
        <f>'T&amp;D'!S4</f>
        <v>45819</v>
      </c>
      <c r="U4" s="104">
        <f>'T&amp;D'!T4</f>
        <v>45820</v>
      </c>
      <c r="V4" s="104">
        <f>'T&amp;D'!U4</f>
        <v>45821</v>
      </c>
      <c r="W4" s="104">
        <f>'T&amp;D'!V4</f>
        <v>45822</v>
      </c>
      <c r="X4" s="104">
        <f>'T&amp;D'!W4</f>
        <v>45824</v>
      </c>
      <c r="Y4" s="104">
        <f>'T&amp;D'!X4</f>
        <v>45825</v>
      </c>
      <c r="Z4" s="104">
        <f>'T&amp;D'!Y4</f>
        <v>45826</v>
      </c>
      <c r="AA4" s="104">
        <f>'T&amp;D'!Z4</f>
        <v>45827</v>
      </c>
      <c r="AB4" s="104">
        <f>'T&amp;D'!AA4</f>
        <v>45828</v>
      </c>
      <c r="AC4" s="104">
        <f>'T&amp;D'!AB4</f>
        <v>45829</v>
      </c>
      <c r="AD4" s="104">
        <f>'T&amp;D'!AC4</f>
        <v>45831</v>
      </c>
      <c r="AE4" s="104">
        <f>'T&amp;D'!AD4</f>
        <v>45832</v>
      </c>
      <c r="AF4" s="104">
        <f>'T&amp;D'!AE4</f>
        <v>45833</v>
      </c>
      <c r="AG4" s="104">
        <f>'T&amp;D'!AF4</f>
        <v>45834</v>
      </c>
      <c r="AH4" s="104">
        <f>'T&amp;D'!AG4</f>
        <v>45835</v>
      </c>
      <c r="AI4" s="104">
        <f>'T&amp;D'!AH4</f>
        <v>45836</v>
      </c>
      <c r="AJ4" s="104">
        <f>'T&amp;D'!AI4</f>
        <v>45838</v>
      </c>
      <c r="AK4" s="104">
        <f>'T&amp;D'!AJ4</f>
        <v>45839</v>
      </c>
      <c r="AL4" s="104">
        <f>'T&amp;D'!AK4</f>
        <v>45840</v>
      </c>
      <c r="AM4" s="104">
        <f>'T&amp;D'!AL4</f>
        <v>45841</v>
      </c>
      <c r="AN4" s="104">
        <f>'T&amp;D'!AM4</f>
        <v>45842</v>
      </c>
      <c r="AO4" s="104">
        <f>'T&amp;D'!AN4</f>
        <v>45843</v>
      </c>
      <c r="AP4" s="104">
        <f>'T&amp;D'!AO4</f>
        <v>45845</v>
      </c>
      <c r="AQ4" s="104">
        <f>'T&amp;D'!AP4</f>
        <v>45846</v>
      </c>
      <c r="AR4" s="104">
        <f>'T&amp;D'!AQ4</f>
        <v>45847</v>
      </c>
      <c r="AS4" s="104">
        <f>'T&amp;D'!AR4</f>
        <v>45848</v>
      </c>
      <c r="AT4" s="104">
        <f>'T&amp;D'!AS4</f>
        <v>45849</v>
      </c>
      <c r="AU4" s="104">
        <f>'T&amp;D'!AT4</f>
        <v>45850</v>
      </c>
      <c r="AV4" s="104">
        <f>'T&amp;D'!AU4</f>
        <v>45852</v>
      </c>
      <c r="AW4" s="104">
        <f>'T&amp;D'!AV4</f>
        <v>45853</v>
      </c>
      <c r="AX4" s="104">
        <f>'T&amp;D'!AW4</f>
        <v>45854</v>
      </c>
      <c r="AY4" s="104">
        <f>'T&amp;D'!AX4</f>
        <v>45855</v>
      </c>
      <c r="AZ4" s="104">
        <f>'T&amp;D'!AY4</f>
        <v>45856</v>
      </c>
      <c r="BA4" s="104">
        <f>'T&amp;D'!AZ4</f>
        <v>45857</v>
      </c>
      <c r="BB4" s="104">
        <f>'T&amp;D'!BA4</f>
        <v>45859</v>
      </c>
      <c r="BC4" s="104">
        <f>'T&amp;D'!BB4</f>
        <v>45860</v>
      </c>
      <c r="BD4" s="104">
        <f>'T&amp;D'!BC4</f>
        <v>45861</v>
      </c>
      <c r="BE4" s="104">
        <f>'T&amp;D'!BD4</f>
        <v>45862</v>
      </c>
      <c r="BF4" s="104">
        <f>'T&amp;D'!BE4</f>
        <v>45863</v>
      </c>
      <c r="BG4" s="104">
        <f>'T&amp;D'!BF4</f>
        <v>45864</v>
      </c>
      <c r="BH4" s="104">
        <f>'T&amp;D'!BG4</f>
        <v>45866</v>
      </c>
      <c r="BI4" s="104">
        <f>'T&amp;D'!BH4</f>
        <v>45867</v>
      </c>
      <c r="BJ4" s="104">
        <f>'T&amp;D'!BI4</f>
        <v>45868</v>
      </c>
      <c r="BK4" s="104">
        <f>'T&amp;D'!BJ4</f>
        <v>45869</v>
      </c>
      <c r="BL4" s="104">
        <f>'T&amp;D'!BK4</f>
        <v>45870</v>
      </c>
      <c r="BM4" s="104">
        <f>'T&amp;D'!BL4</f>
        <v>45871</v>
      </c>
      <c r="BN4" s="104">
        <f>'T&amp;D'!BM4</f>
        <v>45873</v>
      </c>
      <c r="BO4" s="104">
        <f>'T&amp;D'!BN4</f>
        <v>45874</v>
      </c>
      <c r="BP4" s="104">
        <f>'T&amp;D'!BO4</f>
        <v>45875</v>
      </c>
      <c r="BQ4" s="104">
        <f>'T&amp;D'!BP4</f>
        <v>45876</v>
      </c>
      <c r="BR4" s="104">
        <f>'T&amp;D'!BQ4</f>
        <v>45877</v>
      </c>
      <c r="BS4" s="104">
        <f>'T&amp;D'!BR4</f>
        <v>45878</v>
      </c>
      <c r="BT4" s="104">
        <f>'T&amp;D'!BS4</f>
        <v>45880</v>
      </c>
      <c r="BU4" s="104">
        <f>'T&amp;D'!BT4</f>
        <v>45881</v>
      </c>
      <c r="BV4" s="104">
        <f>'T&amp;D'!BU4</f>
        <v>45882</v>
      </c>
      <c r="BW4" s="104">
        <f>'T&amp;D'!BV4</f>
        <v>45883</v>
      </c>
      <c r="BX4" s="104">
        <f>'T&amp;D'!BW4</f>
        <v>45884</v>
      </c>
      <c r="BY4" s="104">
        <f>'T&amp;D'!BX4</f>
        <v>45885</v>
      </c>
      <c r="BZ4" s="104">
        <f>'T&amp;D'!BY4</f>
        <v>45887</v>
      </c>
      <c r="CA4" s="104">
        <f>'T&amp;D'!BZ4</f>
        <v>45888</v>
      </c>
      <c r="CB4" s="104">
        <f>'T&amp;D'!CA4</f>
        <v>45889</v>
      </c>
      <c r="CC4" s="104">
        <f>'T&amp;D'!CB4</f>
        <v>45890</v>
      </c>
      <c r="CD4" s="104">
        <f>'T&amp;D'!CC4</f>
        <v>45891</v>
      </c>
      <c r="CE4" s="104">
        <f>'T&amp;D'!CD4</f>
        <v>45892</v>
      </c>
    </row>
    <row r="5" spans="1:83" s="84" customFormat="1" ht="11.25" customHeight="1" x14ac:dyDescent="0.2">
      <c r="A5" s="386" t="s">
        <v>385</v>
      </c>
      <c r="B5" s="386" t="s">
        <v>214</v>
      </c>
      <c r="C5" s="387" t="s">
        <v>91</v>
      </c>
      <c r="D5" s="388" t="s">
        <v>0</v>
      </c>
      <c r="E5" s="389" t="s">
        <v>103</v>
      </c>
      <c r="F5" s="388" t="s">
        <v>89</v>
      </c>
      <c r="G5" s="392" t="s">
        <v>93</v>
      </c>
      <c r="H5" s="388" t="s">
        <v>94</v>
      </c>
      <c r="I5" s="390" t="s">
        <v>95</v>
      </c>
      <c r="J5" s="393" t="s">
        <v>519</v>
      </c>
      <c r="K5" s="393" t="s">
        <v>520</v>
      </c>
      <c r="L5" s="390" t="s">
        <v>241</v>
      </c>
      <c r="M5" s="390" t="s">
        <v>240</v>
      </c>
      <c r="N5" s="389" t="s">
        <v>98</v>
      </c>
      <c r="O5" s="389" t="s">
        <v>99</v>
      </c>
      <c r="P5" s="391" t="s">
        <v>102</v>
      </c>
      <c r="Q5" s="125" t="s">
        <v>106</v>
      </c>
      <c r="R5" s="126" cm="1">
        <f t="array" ref="R5">_xlfn.IFS(R2="w/ OT",12.25,R2="w/o OT",9.5,R2="FRI",7.5,R2="SAT",7.5,R2="SUN",7.5,R2="OFF",0)</f>
        <v>9.5</v>
      </c>
      <c r="S5" s="126" cm="1">
        <f t="array" ref="S5">_xlfn.IFS(S2="w/ OT",12.25,S2="w/o OT",9.5,S2="FRI",7.5,S2="SAT",7.5,S2="SUN",7.5,S2="OFF",0)</f>
        <v>9.5</v>
      </c>
      <c r="T5" s="126" cm="1">
        <f t="array" ref="T5">_xlfn.IFS(T2="w/ OT",12.25,T2="w/o OT",9.5,T2="FRI",7.5,T2="SAT",7.5,T2="SUN",7.5,T2="OFF",0)</f>
        <v>9.5</v>
      </c>
      <c r="U5" s="126" cm="1">
        <f t="array" ref="U5">_xlfn.IFS(U2="w/ OT",12.25,U2="w/o OT",9.5,U2="FRI",7.5,U2="SAT",7.5,U2="SUN",7.5,U2="OFF",0)</f>
        <v>9.5</v>
      </c>
      <c r="V5" s="126" cm="1">
        <f t="array" ref="V5">_xlfn.IFS(V2="w/ OT",12.25,V2="w/o OT",9.5,V2="FRI",7.5,V2="SAT",7.5,V2="SUN",7.5,V2="OFF",0)</f>
        <v>7.5</v>
      </c>
      <c r="W5" s="126" cm="1">
        <f t="array" ref="W5">_xlfn.IFS(W2="w/ OT",12.25,W2="w/o OT",9.5,W2="FRI",7.5,W2="SAT",7.5,W2="SUN",7.5,W2="OFF",0)</f>
        <v>7.5</v>
      </c>
      <c r="X5" s="126" cm="1">
        <f t="array" ref="X5">_xlfn.IFS(X2="w/ OT",12.25,X2="w/o OT",9.5,X2="FRI",7.5,X2="SAT",7.5,X2="SUN",7.5,X2="OFF",0)</f>
        <v>9.5</v>
      </c>
      <c r="Y5" s="126" cm="1">
        <f t="array" ref="Y5">_xlfn.IFS(Y2="w/ OT",12.25,Y2="w/o OT",9.5,Y2="FRI",7.5,Y2="SAT",7.5,Y2="SUN",7.5,Y2="OFF",0)</f>
        <v>9.5</v>
      </c>
      <c r="Z5" s="126" cm="1">
        <f t="array" ref="Z5">_xlfn.IFS(Z2="w/ OT",12.25,Z2="w/o OT",9.5,Z2="FRI",7.5,Z2="SAT",7.5,Z2="SUN",7.5,Z2="OFF",0)</f>
        <v>9.5</v>
      </c>
      <c r="AA5" s="126" cm="1">
        <f t="array" ref="AA5">_xlfn.IFS(AA2="w/ OT",12.25,AA2="w/o OT",9.5,AA2="FRI",7.5,AA2="SAT",7.5,AA2="SUN",7.5,AA2="OFF",0)</f>
        <v>9.5</v>
      </c>
      <c r="AB5" s="126" cm="1">
        <f t="array" ref="AB5">_xlfn.IFS(AB2="w/ OT",12.25,AB2="w/o OT",9.5,AB2="FRI",7.5,AB2="SAT",7.5,AB2="SUN",7.5,AB2="OFF",0)</f>
        <v>7.5</v>
      </c>
      <c r="AC5" s="126" cm="1">
        <f t="array" ref="AC5">_xlfn.IFS(AC2="w/ OT",12.25,AC2="w/o OT",9.5,AC2="FRI",7.5,AC2="SAT",7.5,AC2="SUN",7.5,AC2="OFF",0)</f>
        <v>7.5</v>
      </c>
      <c r="AD5" s="126" cm="1">
        <f t="array" ref="AD5">_xlfn.IFS(AD2="w/ OT",12.25,AD2="w/o OT",9.5,AD2="FRI",7.5,AD2="SAT",7.5,AD2="SUN",7.5,AD2="OFF",0)</f>
        <v>9.5</v>
      </c>
      <c r="AE5" s="126" cm="1">
        <f t="array" ref="AE5">_xlfn.IFS(AE2="w/ OT",12.25,AE2="w/o OT",9.5,AE2="FRI",7.5,AE2="SAT",7.5,AE2="SUN",7.5,AE2="OFF",0)</f>
        <v>9.5</v>
      </c>
      <c r="AF5" s="126" cm="1">
        <f t="array" ref="AF5">_xlfn.IFS(AF2="w/ OT",12.25,AF2="w/o OT",9.5,AF2="FRI",7.5,AF2="SAT",7.5,AF2="SUN",7.5,AF2="OFF",0)</f>
        <v>9.5</v>
      </c>
      <c r="AG5" s="126" cm="1">
        <f t="array" ref="AG5">_xlfn.IFS(AG2="w/ OT",12.25,AG2="w/o OT",9.5,AG2="FRI",7.5,AG2="SAT",7.5,AG2="SUN",7.5,AG2="OFF",0)</f>
        <v>9.5</v>
      </c>
      <c r="AH5" s="126" cm="1">
        <f t="array" ref="AH5">_xlfn.IFS(AH2="w/ OT",12.25,AH2="w/o OT",9.5,AH2="FRI",7.5,AH2="SAT",7.5,AH2="SUN",7.5,AH2="OFF",0)</f>
        <v>7.5</v>
      </c>
      <c r="AI5" s="126" cm="1">
        <f t="array" ref="AI5">_xlfn.IFS(AI2="w/ OT",12.25,AI2="w/o OT",9.5,AI2="FRI",7.5,AI2="SAT",7.5,AI2="SUN",7.5,AI2="OFF",0)</f>
        <v>7.5</v>
      </c>
      <c r="AJ5" s="126" cm="1">
        <f t="array" ref="AJ5">_xlfn.IFS(AJ2="w/ OT",12.25,AJ2="w/o OT",9.5,AJ2="FRI",7.5,AJ2="SAT",7.5,AJ2="SUN",7.5,AJ2="OFF",0)</f>
        <v>9.5</v>
      </c>
      <c r="AK5" s="126" cm="1">
        <f t="array" ref="AK5">_xlfn.IFS(AK2="w/ OT",12.25,AK2="w/o OT",9.5,AK2="FRI",7.5,AK2="SAT",7.5,AK2="SUN",7.5,AK2="OFF",0)</f>
        <v>9.5</v>
      </c>
      <c r="AL5" s="126" cm="1">
        <f t="array" ref="AL5">_xlfn.IFS(AL2="w/ OT",12.25,AL2="w/o OT",9.5,AL2="FRI",7.5,AL2="SAT",7.5,AL2="SUN",7.5,AL2="OFF",0)</f>
        <v>9.5</v>
      </c>
      <c r="AM5" s="126" cm="1">
        <f t="array" ref="AM5">_xlfn.IFS(AM2="w/ OT",12.25,AM2="w/o OT",9.5,AM2="FRI",7.5,AM2="SAT",7.5,AM2="SUN",7.5,AM2="OFF",0)</f>
        <v>9.5</v>
      </c>
      <c r="AN5" s="126" cm="1">
        <f t="array" ref="AN5">_xlfn.IFS(AN2="w/ OT",12.25,AN2="w/o OT",9.5,AN2="FRI",7.5,AN2="SAT",7.5,AN2="SUN",7.5,AN2="OFF",0)</f>
        <v>7.5</v>
      </c>
      <c r="AO5" s="126" cm="1">
        <f t="array" ref="AO5">_xlfn.IFS(AO2="w/ OT",12.25,AO2="w/o OT",9.5,AO2="FRI",7.5,AO2="SAT",7.5,AO2="SUN",7.5,AO2="OFF",0)</f>
        <v>7.5</v>
      </c>
      <c r="AP5" s="126" cm="1">
        <f t="array" ref="AP5">_xlfn.IFS(AP2="w/ OT",12.25,AP2="w/o OT",9.5,AP2="FRI",7.5,AP2="SAT",7.5,AP2="SUN",7.5,AP2="OFF",0)</f>
        <v>9.5</v>
      </c>
      <c r="AQ5" s="126" cm="1">
        <f t="array" ref="AQ5">_xlfn.IFS(AQ2="w/ OT",12.25,AQ2="w/o OT",9.5,AQ2="FRI",7.5,AQ2="SAT",7.5,AQ2="SUN",7.5,AQ2="OFF",0)</f>
        <v>9.5</v>
      </c>
      <c r="AR5" s="126" cm="1">
        <f t="array" ref="AR5">_xlfn.IFS(AR2="w/ OT",12.25,AR2="w/o OT",9.5,AR2="FRI",7.5,AR2="SAT",7.5,AR2="SUN",7.5,AR2="OFF",0)</f>
        <v>9.5</v>
      </c>
      <c r="AS5" s="126" cm="1">
        <f t="array" ref="AS5">_xlfn.IFS(AS2="w/ OT",12.25,AS2="w/o OT",9.5,AS2="FRI",7.5,AS2="SAT",7.5,AS2="SUN",7.5,AS2="OFF",0)</f>
        <v>9.5</v>
      </c>
      <c r="AT5" s="126" cm="1">
        <f t="array" ref="AT5">_xlfn.IFS(AT2="w/ OT",12.25,AT2="w/o OT",9.5,AT2="FRI",7.5,AT2="SAT",7.5,AT2="SUN",7.5,AT2="OFF",0)</f>
        <v>7.5</v>
      </c>
      <c r="AU5" s="126" cm="1">
        <f t="array" ref="AU5">_xlfn.IFS(AU2="w/ OT",12.25,AU2="w/o OT",9.5,AU2="FRI",7.5,AU2="SAT",7.5,AU2="SUN",7.5,AU2="OFF",0)</f>
        <v>7.5</v>
      </c>
      <c r="AV5" s="126" cm="1">
        <f t="array" ref="AV5">_xlfn.IFS(AV2="w/ OT",12.25,AV2="w/o OT",9.5,AV2="FRI",7.5,AV2="SAT",7.5,AV2="SUN",7.5,AV2="OFF",0)</f>
        <v>9.5</v>
      </c>
      <c r="AW5" s="126" cm="1">
        <f t="array" ref="AW5">_xlfn.IFS(AW2="w/ OT",12.25,AW2="w/o OT",9.5,AW2="FRI",7.5,AW2="SAT",7.5,AW2="SUN",7.5,AW2="OFF",0)</f>
        <v>9.5</v>
      </c>
      <c r="AX5" s="126" cm="1">
        <f t="array" ref="AX5">_xlfn.IFS(AX2="w/ OT",12.25,AX2="w/o OT",9.5,AX2="FRI",7.5,AX2="SAT",7.5,AX2="SUN",7.5,AX2="OFF",0)</f>
        <v>9.5</v>
      </c>
      <c r="AY5" s="126" cm="1">
        <f t="array" ref="AY5">_xlfn.IFS(AY2="w/ OT",12.25,AY2="w/o OT",9.5,AY2="FRI",7.5,AY2="SAT",7.5,AY2="SUN",7.5,AY2="OFF",0)</f>
        <v>9.5</v>
      </c>
      <c r="AZ5" s="126" cm="1">
        <f t="array" ref="AZ5">_xlfn.IFS(AZ2="w/ OT",12.25,AZ2="w/o OT",9.5,AZ2="FRI",7.5,AZ2="SAT",7.5,AZ2="SUN",7.5,AZ2="OFF",0)</f>
        <v>7.5</v>
      </c>
      <c r="BA5" s="126" cm="1">
        <f t="array" ref="BA5">_xlfn.IFS(BA2="w/ OT",12.25,BA2="w/o OT",9.5,BA2="FRI",7.5,BA2="SAT",7.5,BA2="SUN",7.5,BA2="OFF",0)</f>
        <v>7.5</v>
      </c>
      <c r="BB5" s="126" cm="1">
        <f t="array" ref="BB5">_xlfn.IFS(BB2="w/ OT",12.25,BB2="w/o OT",9.5,BB2="FRI",7.5,BB2="SAT",7.5,BB2="SUN",7.5,BB2="OFF",0)</f>
        <v>9.5</v>
      </c>
      <c r="BC5" s="126" cm="1">
        <f t="array" ref="BC5">_xlfn.IFS(BC2="w/ OT",12.25,BC2="w/o OT",9.5,BC2="FRI",7.5,BC2="SAT",7.5,BC2="SUN",7.5,BC2="OFF",0)</f>
        <v>9.5</v>
      </c>
      <c r="BD5" s="126" cm="1">
        <f t="array" ref="BD5">_xlfn.IFS(BD2="w/ OT",12.25,BD2="w/o OT",9.5,BD2="FRI",7.5,BD2="SAT",7.5,BD2="SUN",7.5,BD2="OFF",0)</f>
        <v>9.5</v>
      </c>
      <c r="BE5" s="126" cm="1">
        <f t="array" ref="BE5">_xlfn.IFS(BE2="w/ OT",12.25,BE2="w/o OT",9.5,BE2="FRI",7.5,BE2="SAT",7.5,BE2="SUN",7.5,BE2="OFF",0)</f>
        <v>9.5</v>
      </c>
      <c r="BF5" s="126" cm="1">
        <f t="array" ref="BF5">_xlfn.IFS(BF2="w/ OT",12.25,BF2="w/o OT",9.5,BF2="FRI",7.5,BF2="SAT",7.5,BF2="SUN",7.5,BF2="OFF",0)</f>
        <v>7.5</v>
      </c>
      <c r="BG5" s="126" cm="1">
        <f t="array" ref="BG5">_xlfn.IFS(BG2="w/ OT",12.25,BG2="w/o OT",9.5,BG2="FRI",7.5,BG2="SAT",7.5,BG2="SUN",7.5,BG2="OFF",0)</f>
        <v>7.5</v>
      </c>
      <c r="BH5" s="126" cm="1">
        <f t="array" ref="BH5">_xlfn.IFS(BH2="w/ OT",12.25,BH2="w/o OT",9.5,BH2="FRI",7.5,BH2="SAT",7.5,BH2="SUN",7.5,BH2="OFF",0)</f>
        <v>9.5</v>
      </c>
      <c r="BI5" s="126" cm="1">
        <f t="array" ref="BI5">_xlfn.IFS(BI2="w/ OT",12.25,BI2="w/o OT",9.5,BI2="FRI",7.5,BI2="SAT",7.5,BI2="SUN",7.5,BI2="OFF",0)</f>
        <v>9.5</v>
      </c>
      <c r="BJ5" s="126" cm="1">
        <f t="array" ref="BJ5">_xlfn.IFS(BJ2="w/ OT",12.25,BJ2="w/o OT",9.5,BJ2="FRI",7.5,BJ2="SAT",7.5,BJ2="SUN",7.5,BJ2="OFF",0)</f>
        <v>9.5</v>
      </c>
      <c r="BK5" s="126" cm="1">
        <f t="array" ref="BK5">_xlfn.IFS(BK2="w/ OT",12.25,BK2="w/o OT",9.5,BK2="FRI",7.5,BK2="SAT",7.5,BK2="SUN",7.5,BK2="OFF",0)</f>
        <v>9.5</v>
      </c>
      <c r="BL5" s="126" cm="1">
        <f t="array" ref="BL5">_xlfn.IFS(BL2="w/ OT",12.25,BL2="w/o OT",9.5,BL2="FRI",7.5,BL2="SAT",7.5,BL2="SUN",7.5,BL2="OFF",0)</f>
        <v>7.5</v>
      </c>
      <c r="BM5" s="126" cm="1">
        <f t="array" ref="BM5">_xlfn.IFS(BM2="w/ OT",12.25,BM2="w/o OT",9.5,BM2="FRI",7.5,BM2="SAT",7.5,BM2="SUN",7.5,BM2="OFF",0)</f>
        <v>7.5</v>
      </c>
      <c r="BN5" s="126" cm="1">
        <f t="array" ref="BN5">_xlfn.IFS(BN2="w/ OT",12.25,BN2="w/o OT",9.5,BN2="FRI",7.5,BN2="SAT",7.5,BN2="SUN",7.5,BN2="OFF",0)</f>
        <v>9.5</v>
      </c>
      <c r="BO5" s="126" cm="1">
        <f t="array" ref="BO5">_xlfn.IFS(BO2="w/ OT",12.25,BO2="w/o OT",9.5,BO2="FRI",7.5,BO2="SAT",7.5,BO2="SUN",7.5,BO2="OFF",0)</f>
        <v>9.5</v>
      </c>
      <c r="BP5" s="126" cm="1">
        <f t="array" ref="BP5">_xlfn.IFS(BP2="w/ OT",12.25,BP2="w/o OT",9.5,BP2="FRI",7.5,BP2="SAT",7.5,BP2="SUN",7.5,BP2="OFF",0)</f>
        <v>9.5</v>
      </c>
      <c r="BQ5" s="126" cm="1">
        <f t="array" ref="BQ5">_xlfn.IFS(BQ2="w/ OT",12.25,BQ2="w/o OT",9.5,BQ2="FRI",7.5,BQ2="SAT",7.5,BQ2="SUN",7.5,BQ2="OFF",0)</f>
        <v>9.5</v>
      </c>
      <c r="BR5" s="126" cm="1">
        <f t="array" ref="BR5">_xlfn.IFS(BR2="w/ OT",12.25,BR2="w/o OT",9.5,BR2="FRI",7.5,BR2="SAT",7.5,BR2="SUN",7.5,BR2="OFF",0)</f>
        <v>7.5</v>
      </c>
      <c r="BS5" s="126" cm="1">
        <f t="array" ref="BS5">_xlfn.IFS(BS2="w/ OT",12.25,BS2="w/o OT",9.5,BS2="FRI",7.5,BS2="SAT",7.5,BS2="SUN",7.5,BS2="OFF",0)</f>
        <v>7.5</v>
      </c>
      <c r="BT5" s="126" cm="1">
        <f t="array" ref="BT5">_xlfn.IFS(BT2="w/ OT",12.25,BT2="w/o OT",9.5,BT2="FRI",7.5,BT2="SAT",7.5,BT2="SUN",7.5,BT2="OFF",0)</f>
        <v>9.5</v>
      </c>
      <c r="BU5" s="126" cm="1">
        <f t="array" ref="BU5">_xlfn.IFS(BU2="w/ OT",12.25,BU2="w/o OT",9.5,BU2="FRI",7.5,BU2="SAT",7.5,BU2="SUN",7.5,BU2="OFF",0)</f>
        <v>9.5</v>
      </c>
      <c r="BV5" s="126" cm="1">
        <f t="array" ref="BV5">_xlfn.IFS(BV2="w/ OT",12.25,BV2="w/o OT",9.5,BV2="FRI",7.5,BV2="SAT",7.5,BV2="SUN",7.5,BV2="OFF",0)</f>
        <v>9.5</v>
      </c>
      <c r="BW5" s="126" cm="1">
        <f t="array" ref="BW5">_xlfn.IFS(BW2="w/ OT",12.25,BW2="w/o OT",9.5,BW2="FRI",7.5,BW2="SAT",7.5,BW2="SUN",7.5,BW2="OFF",0)</f>
        <v>9.5</v>
      </c>
      <c r="BX5" s="126" cm="1">
        <f t="array" ref="BX5">_xlfn.IFS(BX2="w/ OT",12.25,BX2="w/o OT",9.5,BX2="FRI",7.5,BX2="SAT",7.5,BX2="SUN",7.5,BX2="OFF",0)</f>
        <v>7.5</v>
      </c>
      <c r="BY5" s="126" cm="1">
        <f t="array" ref="BY5">_xlfn.IFS(BY2="w/ OT",12.25,BY2="w/o OT",9.5,BY2="FRI",7.5,BY2="SAT",7.5,BY2="SUN",7.5,BY2="OFF",0)</f>
        <v>7.5</v>
      </c>
      <c r="BZ5" s="126" cm="1">
        <f t="array" ref="BZ5">_xlfn.IFS(BZ2="w/ OT",12.25,BZ2="w/o OT",9.5,BZ2="FRI",7.5,BZ2="SAT",7.5,BZ2="SUN",7.5,BZ2="OFF",0)</f>
        <v>9.5</v>
      </c>
      <c r="CA5" s="126" cm="1">
        <f t="array" ref="CA5">_xlfn.IFS(CA2="w/ OT",12.25,CA2="w/o OT",9.5,CA2="FRI",7.5,CA2="SAT",7.5,CA2="SUN",7.5,CA2="OFF",0)</f>
        <v>9.5</v>
      </c>
      <c r="CB5" s="126" cm="1">
        <f t="array" ref="CB5">_xlfn.IFS(CB2="w/ OT",12.25,CB2="w/o OT",9.5,CB2="FRI",7.5,CB2="SAT",7.5,CB2="SUN",7.5,CB2="OFF",0)</f>
        <v>9.5</v>
      </c>
      <c r="CC5" s="126" cm="1">
        <f t="array" ref="CC5">_xlfn.IFS(CC2="w/ OT",12.25,CC2="w/o OT",9.5,CC2="FRI",7.5,CC2="SAT",7.5,CC2="SUN",7.5,CC2="OFF",0)</f>
        <v>9.5</v>
      </c>
      <c r="CD5" s="126" cm="1">
        <f t="array" ref="CD5">_xlfn.IFS(CD2="w/ OT",12.25,CD2="w/o OT",9.5,CD2="FRI",7.5,CD2="SAT",7.5,CD2="SUN",7.5,CD2="OFF",0)</f>
        <v>7.5</v>
      </c>
      <c r="CE5" s="126" cm="1">
        <f t="array" ref="CE5">_xlfn.IFS(CE2="w/ OT",12.25,CE2="w/o OT",9.5,CE2="FRI",7.5,CE2="SAT",7.5,CE2="SUN",7.5,CE2="OFF",0)</f>
        <v>7.5</v>
      </c>
    </row>
    <row r="6" spans="1:83" ht="33.75" customHeight="1" x14ac:dyDescent="0.2">
      <c r="A6" s="386"/>
      <c r="B6" s="386"/>
      <c r="C6" s="387"/>
      <c r="D6" s="388"/>
      <c r="E6" s="389"/>
      <c r="F6" s="388"/>
      <c r="G6" s="392"/>
      <c r="H6" s="388"/>
      <c r="I6" s="390"/>
      <c r="J6" s="393"/>
      <c r="K6" s="393"/>
      <c r="L6" s="390"/>
      <c r="M6" s="390"/>
      <c r="N6" s="389"/>
      <c r="O6" s="389"/>
      <c r="P6" s="391"/>
      <c r="Q6" s="123" t="s">
        <v>107</v>
      </c>
      <c r="R6" s="124"/>
      <c r="S6" s="124"/>
      <c r="T6" s="124"/>
      <c r="U6" s="124"/>
      <c r="V6" s="124"/>
      <c r="W6" s="124"/>
      <c r="X6" s="124"/>
      <c r="Y6" s="124"/>
      <c r="Z6" s="124"/>
      <c r="AA6" s="124"/>
      <c r="AB6" s="124"/>
      <c r="AC6" s="124"/>
      <c r="AD6" s="124"/>
      <c r="AE6" s="124"/>
      <c r="AF6" s="124"/>
      <c r="AG6" s="124"/>
      <c r="AH6" s="124"/>
      <c r="AI6" s="124"/>
      <c r="AJ6" s="124"/>
      <c r="AK6" s="124"/>
      <c r="AL6" s="124"/>
      <c r="AM6" s="124"/>
      <c r="AN6" s="124"/>
      <c r="AO6" s="124"/>
      <c r="AP6" s="124"/>
      <c r="AQ6" s="124"/>
      <c r="AR6" s="124"/>
      <c r="AS6" s="124"/>
      <c r="AT6" s="124"/>
      <c r="AU6" s="124"/>
      <c r="AV6" s="124"/>
      <c r="AW6" s="124"/>
      <c r="AX6" s="124"/>
      <c r="AY6" s="124"/>
      <c r="AZ6" s="124"/>
      <c r="BA6" s="124"/>
      <c r="BB6" s="124"/>
      <c r="BC6" s="124"/>
      <c r="BD6" s="124"/>
      <c r="BE6" s="124"/>
      <c r="BF6" s="124"/>
      <c r="BG6" s="124"/>
      <c r="BH6" s="124"/>
      <c r="BI6" s="124"/>
      <c r="BJ6" s="124"/>
      <c r="BK6" s="124"/>
      <c r="BL6" s="124"/>
      <c r="BM6" s="124"/>
      <c r="BN6" s="124"/>
      <c r="BO6" s="124"/>
      <c r="BP6" s="124"/>
      <c r="BQ6" s="124"/>
      <c r="BR6" s="124"/>
      <c r="BS6" s="124"/>
      <c r="BT6" s="124"/>
      <c r="BU6" s="124"/>
      <c r="BV6" s="124"/>
      <c r="BW6" s="124"/>
      <c r="BX6" s="124"/>
      <c r="BY6" s="124"/>
      <c r="BZ6" s="124"/>
      <c r="CA6" s="124"/>
      <c r="CB6" s="124"/>
      <c r="CC6" s="124"/>
      <c r="CD6" s="124"/>
      <c r="CE6" s="124"/>
    </row>
    <row r="7" spans="1:83" ht="9" customHeight="1" x14ac:dyDescent="0.2">
      <c r="A7" s="86"/>
      <c r="B7" s="87"/>
      <c r="C7" s="88"/>
      <c r="D7" s="89"/>
      <c r="E7" s="182"/>
      <c r="F7" s="89"/>
      <c r="G7" s="91"/>
      <c r="H7" s="89"/>
      <c r="I7" s="92"/>
      <c r="J7" s="93"/>
      <c r="K7" s="93"/>
      <c r="L7" s="185"/>
      <c r="M7" s="185"/>
      <c r="N7" s="183"/>
      <c r="O7" s="183"/>
      <c r="P7" s="96"/>
      <c r="Q7" s="102"/>
    </row>
    <row r="8" spans="1:83" ht="12.6" customHeight="1" x14ac:dyDescent="0.2">
      <c r="A8" s="106">
        <f>SHIPMENTS!A14</f>
        <v>9296</v>
      </c>
      <c r="B8" s="106" t="str">
        <f>SHIPMENTS!B14</f>
        <v>15900- Makati |Techiron Resources Inc.</v>
      </c>
      <c r="C8" s="132">
        <f>SHIPMENTS!F14</f>
        <v>0.05</v>
      </c>
      <c r="D8" s="107" t="str">
        <f>IF((SHIPMENTS!I14)=0,"",SHIPMENTS!I14)</f>
        <v/>
      </c>
      <c r="E8" s="176">
        <f>IF((SHIPMENTS!G14)=0,"",SHIPMENTS!G14)</f>
        <v>46314</v>
      </c>
      <c r="F8" s="97">
        <f>VLOOKUP(A8,Items!$A$5:$J$1000,7,0)</f>
        <v>1</v>
      </c>
      <c r="G8" s="98">
        <f>VLOOKUP(A8,load!$A$4:$U$5001,8,0)</f>
        <v>5.0166666666666665E-2</v>
      </c>
      <c r="H8" s="97">
        <f>Manhours!$C$24</f>
        <v>5</v>
      </c>
      <c r="I8" s="98">
        <f>+H8*$I$4</f>
        <v>45.5</v>
      </c>
      <c r="J8" s="99">
        <f t="shared" ref="J8:J18" si="0">G8/I8</f>
        <v>1.1025641025641025E-3</v>
      </c>
      <c r="K8" s="99">
        <f>+J8*$I$4</f>
        <v>1.0033333333333332E-2</v>
      </c>
      <c r="L8" s="98">
        <f t="shared" ref="L8:L19" si="1">IFERROR(J8-(J8*P8),0)</f>
        <v>1.1025641025641025E-3</v>
      </c>
      <c r="M8" s="98">
        <f t="shared" ref="M8:M19" si="2">IFERROR(K8-(K8*P8),0)</f>
        <v>1.0033333333333332E-2</v>
      </c>
      <c r="N8" s="181">
        <f>'WWP1-PPS'!N8+1</f>
        <v>46320</v>
      </c>
      <c r="O8" s="181">
        <f>N8+L8</f>
        <v>46320.0011025641</v>
      </c>
      <c r="P8" s="101">
        <f>VLOOKUP(A8,SHIPMENTS!$A$7:$N$171,12,0)</f>
        <v>0</v>
      </c>
      <c r="Q8" s="101"/>
      <c r="R8" s="128" t="str">
        <f t="shared" ref="R8:AG29" si="3">IF($E8=R$3,"▲","")</f>
        <v>▲</v>
      </c>
      <c r="S8" s="128" t="str">
        <f t="shared" ref="S8:BF14" si="4">IF($E8=S$3,"▲","")</f>
        <v/>
      </c>
      <c r="T8" s="128" t="str">
        <f t="shared" si="4"/>
        <v/>
      </c>
      <c r="U8" s="128" t="str">
        <f t="shared" si="4"/>
        <v/>
      </c>
      <c r="V8" s="128" t="str">
        <f t="shared" si="4"/>
        <v/>
      </c>
      <c r="W8" s="128" t="str">
        <f t="shared" si="4"/>
        <v/>
      </c>
      <c r="X8" s="128" t="str">
        <f t="shared" si="4"/>
        <v/>
      </c>
      <c r="Y8" s="128" t="str">
        <f t="shared" si="4"/>
        <v/>
      </c>
      <c r="Z8" s="128" t="str">
        <f t="shared" si="4"/>
        <v/>
      </c>
      <c r="AA8" s="128" t="str">
        <f t="shared" si="4"/>
        <v/>
      </c>
      <c r="AB8" s="128" t="str">
        <f t="shared" si="4"/>
        <v/>
      </c>
      <c r="AC8" s="128" t="str">
        <f t="shared" si="4"/>
        <v/>
      </c>
      <c r="AD8" s="128" t="str">
        <f t="shared" si="4"/>
        <v/>
      </c>
      <c r="AE8" s="128" t="str">
        <f t="shared" si="4"/>
        <v/>
      </c>
      <c r="AF8" s="128" t="str">
        <f t="shared" si="4"/>
        <v/>
      </c>
      <c r="AG8" s="128" t="str">
        <f t="shared" si="4"/>
        <v/>
      </c>
      <c r="AH8" s="128" t="str">
        <f t="shared" si="4"/>
        <v/>
      </c>
      <c r="AI8" s="128" t="str">
        <f t="shared" si="4"/>
        <v/>
      </c>
      <c r="AJ8" s="128" t="str">
        <f t="shared" si="4"/>
        <v/>
      </c>
      <c r="AK8" s="128" t="str">
        <f t="shared" si="4"/>
        <v/>
      </c>
      <c r="AL8" s="128" t="str">
        <f t="shared" si="4"/>
        <v/>
      </c>
      <c r="AM8" s="128" t="str">
        <f t="shared" si="4"/>
        <v/>
      </c>
      <c r="AN8" s="128" t="str">
        <f t="shared" si="4"/>
        <v/>
      </c>
      <c r="AO8" s="128" t="str">
        <f t="shared" si="4"/>
        <v/>
      </c>
      <c r="AP8" s="128" t="str">
        <f t="shared" si="4"/>
        <v/>
      </c>
      <c r="AQ8" s="128" t="str">
        <f t="shared" si="4"/>
        <v/>
      </c>
      <c r="AR8" s="128" t="str">
        <f t="shared" si="4"/>
        <v/>
      </c>
      <c r="AS8" s="128" t="str">
        <f t="shared" si="4"/>
        <v/>
      </c>
      <c r="AT8" s="128" t="str">
        <f t="shared" si="4"/>
        <v/>
      </c>
      <c r="AU8" s="128" t="str">
        <f t="shared" si="4"/>
        <v/>
      </c>
      <c r="AV8" s="128" t="str">
        <f t="shared" si="4"/>
        <v/>
      </c>
      <c r="AW8" s="128" t="str">
        <f t="shared" si="4"/>
        <v/>
      </c>
      <c r="AX8" s="128" t="str">
        <f t="shared" si="4"/>
        <v/>
      </c>
      <c r="AY8" s="128" t="str">
        <f t="shared" si="4"/>
        <v/>
      </c>
      <c r="AZ8" s="128" t="str">
        <f t="shared" si="4"/>
        <v/>
      </c>
      <c r="BA8" s="128" t="str">
        <f t="shared" si="4"/>
        <v/>
      </c>
      <c r="BB8" s="128" t="str">
        <f t="shared" si="4"/>
        <v/>
      </c>
      <c r="BC8" s="128" t="str">
        <f t="shared" si="4"/>
        <v/>
      </c>
      <c r="BD8" s="128" t="str">
        <f t="shared" si="4"/>
        <v/>
      </c>
      <c r="BE8" s="128" t="str">
        <f t="shared" si="4"/>
        <v/>
      </c>
      <c r="BF8" s="128" t="str">
        <f t="shared" si="4"/>
        <v/>
      </c>
      <c r="BG8" s="128" t="str">
        <f t="shared" ref="BG8:BV23" si="5">IF($E8=BG$3,"▲","")</f>
        <v/>
      </c>
      <c r="BH8" s="128" t="str">
        <f t="shared" si="5"/>
        <v/>
      </c>
      <c r="BI8" s="128" t="str">
        <f t="shared" si="5"/>
        <v/>
      </c>
      <c r="BJ8" s="128" t="str">
        <f t="shared" si="5"/>
        <v/>
      </c>
      <c r="BK8" s="128" t="str">
        <f t="shared" si="5"/>
        <v/>
      </c>
      <c r="BL8" s="128" t="str">
        <f t="shared" si="5"/>
        <v/>
      </c>
      <c r="BM8" s="128" t="str">
        <f t="shared" si="5"/>
        <v/>
      </c>
      <c r="BN8" s="128" t="str">
        <f t="shared" si="5"/>
        <v/>
      </c>
      <c r="BO8" s="128" t="str">
        <f t="shared" si="5"/>
        <v/>
      </c>
      <c r="BP8" s="128" t="str">
        <f t="shared" si="5"/>
        <v/>
      </c>
      <c r="BQ8" s="128" t="str">
        <f t="shared" si="5"/>
        <v/>
      </c>
      <c r="BR8" s="128" t="str">
        <f t="shared" si="5"/>
        <v/>
      </c>
      <c r="BS8" s="128" t="str">
        <f t="shared" si="5"/>
        <v/>
      </c>
      <c r="BT8" s="128" t="str">
        <f t="shared" si="5"/>
        <v/>
      </c>
      <c r="BU8" s="128" t="str">
        <f t="shared" si="5"/>
        <v/>
      </c>
      <c r="BV8" s="128" t="str">
        <f t="shared" si="5"/>
        <v/>
      </c>
      <c r="BW8" s="128" t="str">
        <f t="shared" ref="BT8:CE23" si="6">IF($E8=BW$3,"▲","")</f>
        <v/>
      </c>
      <c r="BX8" s="128" t="str">
        <f t="shared" si="6"/>
        <v/>
      </c>
      <c r="BY8" s="128" t="str">
        <f t="shared" si="6"/>
        <v/>
      </c>
      <c r="BZ8" s="128" t="str">
        <f t="shared" si="6"/>
        <v/>
      </c>
      <c r="CA8" s="128" t="str">
        <f t="shared" si="6"/>
        <v/>
      </c>
      <c r="CB8" s="128" t="str">
        <f t="shared" si="6"/>
        <v/>
      </c>
      <c r="CC8" s="128" t="str">
        <f t="shared" si="6"/>
        <v/>
      </c>
      <c r="CD8" s="128" t="str">
        <f t="shared" si="6"/>
        <v/>
      </c>
      <c r="CE8" s="128" t="str">
        <f t="shared" si="6"/>
        <v/>
      </c>
    </row>
    <row r="9" spans="1:83" ht="12.6" hidden="1" customHeight="1" x14ac:dyDescent="0.2">
      <c r="A9" s="106">
        <f>SHIPMENTS!A15</f>
        <v>9309</v>
      </c>
      <c r="B9" s="106" t="str">
        <f>SHIPMENTS!B15</f>
        <v>43940-THAILAND</v>
      </c>
      <c r="C9" s="132">
        <f>SHIPMENTS!F15</f>
        <v>6.4030000000000004E-2</v>
      </c>
      <c r="D9" s="107" t="str">
        <f>IF((SHIPMENTS!I15)=0,"",SHIPMENTS!I15)</f>
        <v>AIR</v>
      </c>
      <c r="E9" s="176">
        <f>IF((SHIPMENTS!G15)=0,"",SHIPMENTS!G15)</f>
        <v>46314</v>
      </c>
      <c r="F9" s="97">
        <f>VLOOKUP(A9,Items!$A$5:$J$1000,7,0)</f>
        <v>0</v>
      </c>
      <c r="G9" s="98">
        <f>VLOOKUP(A9,load!$A$4:$U$5001,8,0)</f>
        <v>0</v>
      </c>
      <c r="H9" s="97">
        <f>Manhours!$C$24</f>
        <v>5</v>
      </c>
      <c r="I9" s="98">
        <f t="shared" ref="I9:I27" si="7">+H9*$I$4</f>
        <v>45.5</v>
      </c>
      <c r="J9" s="99">
        <f t="shared" si="0"/>
        <v>0</v>
      </c>
      <c r="K9" s="99">
        <f t="shared" ref="K9:K27" si="8">+J9*$I$4</f>
        <v>0</v>
      </c>
      <c r="L9" s="98">
        <f t="shared" si="1"/>
        <v>0</v>
      </c>
      <c r="M9" s="98">
        <f t="shared" si="2"/>
        <v>0</v>
      </c>
      <c r="N9" s="181">
        <f>'WWP1-PPS'!N9+1</f>
        <v>46320.000931204209</v>
      </c>
      <c r="O9" s="181">
        <f t="shared" ref="O9:O32" si="9">N9+L9</f>
        <v>46320.000931204209</v>
      </c>
      <c r="P9" s="101" t="str">
        <f>VLOOKUP(A9,SHIPMENTS!$A$7:$N$171,12,0)</f>
        <v>n/a</v>
      </c>
      <c r="Q9" s="101"/>
      <c r="R9" s="127" t="str">
        <f t="shared" si="3"/>
        <v>▲</v>
      </c>
      <c r="S9" s="127" t="str">
        <f t="shared" si="4"/>
        <v/>
      </c>
      <c r="T9" s="127" t="str">
        <f t="shared" si="4"/>
        <v/>
      </c>
      <c r="U9" s="127" t="str">
        <f t="shared" si="4"/>
        <v/>
      </c>
      <c r="V9" s="127" t="str">
        <f t="shared" si="4"/>
        <v/>
      </c>
      <c r="W9" s="127" t="str">
        <f t="shared" si="4"/>
        <v/>
      </c>
      <c r="X9" s="127" t="str">
        <f t="shared" si="4"/>
        <v/>
      </c>
      <c r="Y9" s="127" t="str">
        <f t="shared" si="4"/>
        <v/>
      </c>
      <c r="Z9" s="127" t="str">
        <f t="shared" si="4"/>
        <v/>
      </c>
      <c r="AA9" s="127" t="str">
        <f t="shared" si="4"/>
        <v/>
      </c>
      <c r="AB9" s="127" t="str">
        <f t="shared" si="4"/>
        <v/>
      </c>
      <c r="AC9" s="127" t="str">
        <f t="shared" si="4"/>
        <v/>
      </c>
      <c r="AD9" s="127" t="str">
        <f t="shared" si="4"/>
        <v/>
      </c>
      <c r="AE9" s="127" t="str">
        <f t="shared" si="4"/>
        <v/>
      </c>
      <c r="AF9" s="127" t="str">
        <f t="shared" si="4"/>
        <v/>
      </c>
      <c r="AG9" s="127" t="str">
        <f t="shared" si="4"/>
        <v/>
      </c>
      <c r="AH9" s="127" t="str">
        <f t="shared" si="4"/>
        <v/>
      </c>
      <c r="AI9" s="127" t="str">
        <f t="shared" si="4"/>
        <v/>
      </c>
      <c r="AJ9" s="127" t="str">
        <f t="shared" si="4"/>
        <v/>
      </c>
      <c r="AK9" s="127" t="str">
        <f t="shared" si="4"/>
        <v/>
      </c>
      <c r="AL9" s="127" t="str">
        <f t="shared" si="4"/>
        <v/>
      </c>
      <c r="AM9" s="127" t="str">
        <f t="shared" si="4"/>
        <v/>
      </c>
      <c r="AN9" s="127" t="str">
        <f t="shared" si="4"/>
        <v/>
      </c>
      <c r="AO9" s="127" t="str">
        <f t="shared" si="4"/>
        <v/>
      </c>
      <c r="AP9" s="127" t="str">
        <f t="shared" si="4"/>
        <v/>
      </c>
      <c r="AQ9" s="127" t="str">
        <f t="shared" si="4"/>
        <v/>
      </c>
      <c r="AR9" s="127" t="str">
        <f t="shared" si="4"/>
        <v/>
      </c>
      <c r="AS9" s="127" t="str">
        <f t="shared" si="4"/>
        <v/>
      </c>
      <c r="AT9" s="127" t="str">
        <f t="shared" si="4"/>
        <v/>
      </c>
      <c r="AU9" s="127" t="str">
        <f t="shared" si="4"/>
        <v/>
      </c>
      <c r="AV9" s="127" t="str">
        <f t="shared" si="4"/>
        <v/>
      </c>
      <c r="AW9" s="127" t="str">
        <f t="shared" si="4"/>
        <v/>
      </c>
      <c r="AX9" s="127" t="str">
        <f t="shared" si="4"/>
        <v/>
      </c>
      <c r="AY9" s="127" t="str">
        <f t="shared" si="4"/>
        <v/>
      </c>
      <c r="AZ9" s="127" t="str">
        <f t="shared" si="4"/>
        <v/>
      </c>
      <c r="BA9" s="127" t="str">
        <f t="shared" si="4"/>
        <v/>
      </c>
      <c r="BB9" s="127" t="str">
        <f t="shared" si="4"/>
        <v/>
      </c>
      <c r="BC9" s="127" t="str">
        <f t="shared" si="4"/>
        <v/>
      </c>
      <c r="BD9" s="127" t="str">
        <f t="shared" si="4"/>
        <v/>
      </c>
      <c r="BE9" s="127" t="str">
        <f t="shared" si="4"/>
        <v/>
      </c>
      <c r="BF9" s="127" t="str">
        <f t="shared" si="4"/>
        <v/>
      </c>
      <c r="BG9" s="127" t="str">
        <f t="shared" si="5"/>
        <v/>
      </c>
      <c r="BH9" s="127" t="str">
        <f t="shared" si="5"/>
        <v/>
      </c>
      <c r="BI9" s="127" t="str">
        <f t="shared" si="5"/>
        <v/>
      </c>
      <c r="BJ9" s="127" t="str">
        <f t="shared" si="5"/>
        <v/>
      </c>
      <c r="BK9" s="127" t="str">
        <f t="shared" si="5"/>
        <v/>
      </c>
      <c r="BL9" s="127" t="str">
        <f t="shared" si="5"/>
        <v/>
      </c>
      <c r="BM9" s="127" t="str">
        <f t="shared" si="5"/>
        <v/>
      </c>
      <c r="BN9" s="127" t="str">
        <f t="shared" si="5"/>
        <v/>
      </c>
      <c r="BO9" s="127" t="str">
        <f t="shared" si="5"/>
        <v/>
      </c>
      <c r="BP9" s="127" t="str">
        <f t="shared" si="5"/>
        <v/>
      </c>
      <c r="BQ9" s="127" t="str">
        <f t="shared" si="5"/>
        <v/>
      </c>
      <c r="BR9" s="127" t="str">
        <f t="shared" si="5"/>
        <v/>
      </c>
      <c r="BS9" s="127" t="str">
        <f t="shared" si="5"/>
        <v/>
      </c>
      <c r="BT9" s="127" t="str">
        <f t="shared" si="6"/>
        <v/>
      </c>
      <c r="BU9" s="127" t="str">
        <f t="shared" si="6"/>
        <v/>
      </c>
      <c r="BV9" s="127" t="str">
        <f t="shared" si="6"/>
        <v/>
      </c>
      <c r="BW9" s="127" t="str">
        <f t="shared" si="6"/>
        <v/>
      </c>
      <c r="BX9" s="127" t="str">
        <f t="shared" si="6"/>
        <v/>
      </c>
      <c r="BY9" s="127" t="str">
        <f t="shared" si="6"/>
        <v/>
      </c>
      <c r="BZ9" s="127" t="str">
        <f t="shared" si="6"/>
        <v/>
      </c>
      <c r="CA9" s="127" t="str">
        <f t="shared" si="6"/>
        <v/>
      </c>
      <c r="CB9" s="127" t="str">
        <f t="shared" si="6"/>
        <v/>
      </c>
      <c r="CC9" s="127" t="str">
        <f t="shared" si="6"/>
        <v/>
      </c>
      <c r="CD9" s="127" t="str">
        <f t="shared" si="6"/>
        <v/>
      </c>
      <c r="CE9" s="127" t="str">
        <f t="shared" si="6"/>
        <v/>
      </c>
    </row>
    <row r="10" spans="1:83" ht="12.6" customHeight="1" x14ac:dyDescent="0.2">
      <c r="A10" s="106">
        <f>SHIPMENTS!A16</f>
        <v>9117</v>
      </c>
      <c r="B10" s="106" t="str">
        <f>SHIPMENTS!B16</f>
        <v>41700-CANADA BSAUNAS</v>
      </c>
      <c r="C10" s="132">
        <f>SHIPMENTS!F16</f>
        <v>83.268000000000001</v>
      </c>
      <c r="D10" s="107" t="str">
        <f>IF((SHIPMENTS!I16)=0,"",SHIPMENTS!I16)</f>
        <v>1X40HC</v>
      </c>
      <c r="E10" s="176">
        <f>IF((SHIPMENTS!G16)=0,"",SHIPMENTS!G16)</f>
        <v>46315</v>
      </c>
      <c r="F10" s="97">
        <f>VLOOKUP(A10,Items!$A$5:$J$1000,7,0)</f>
        <v>540</v>
      </c>
      <c r="G10" s="98">
        <f>VLOOKUP(A10,load!$A$4:$U$5001,8,0)</f>
        <v>36.734999999999999</v>
      </c>
      <c r="H10" s="97">
        <f>Manhours!$C$24</f>
        <v>5</v>
      </c>
      <c r="I10" s="98">
        <f t="shared" si="7"/>
        <v>45.5</v>
      </c>
      <c r="J10" s="99">
        <f t="shared" si="0"/>
        <v>0.80736263736263736</v>
      </c>
      <c r="K10" s="99">
        <f t="shared" si="8"/>
        <v>7.3469999999999995</v>
      </c>
      <c r="L10" s="98">
        <f t="shared" si="1"/>
        <v>0.80736263736263736</v>
      </c>
      <c r="M10" s="98">
        <f t="shared" si="2"/>
        <v>7.3469999999999995</v>
      </c>
      <c r="N10" s="181">
        <f>'WWP1-PPS'!N10+1</f>
        <v>46320.000931204209</v>
      </c>
      <c r="O10" s="181">
        <f t="shared" si="9"/>
        <v>46320.808293841576</v>
      </c>
      <c r="P10" s="101">
        <f>VLOOKUP(A10,SHIPMENTS!$A$7:$N$171,12,0)</f>
        <v>0</v>
      </c>
      <c r="Q10" s="101"/>
      <c r="R10" s="127" t="str">
        <f t="shared" si="3"/>
        <v/>
      </c>
      <c r="S10" s="127" t="str">
        <f t="shared" si="4"/>
        <v>▲</v>
      </c>
      <c r="T10" s="127" t="str">
        <f t="shared" si="4"/>
        <v/>
      </c>
      <c r="U10" s="127" t="str">
        <f t="shared" si="4"/>
        <v/>
      </c>
      <c r="V10" s="127" t="str">
        <f t="shared" si="4"/>
        <v/>
      </c>
      <c r="W10" s="127" t="str">
        <f t="shared" si="4"/>
        <v/>
      </c>
      <c r="X10" s="127" t="str">
        <f t="shared" si="4"/>
        <v/>
      </c>
      <c r="Y10" s="127" t="str">
        <f t="shared" si="4"/>
        <v/>
      </c>
      <c r="Z10" s="127" t="str">
        <f t="shared" si="4"/>
        <v/>
      </c>
      <c r="AA10" s="127" t="str">
        <f t="shared" si="4"/>
        <v/>
      </c>
      <c r="AB10" s="127" t="str">
        <f t="shared" si="4"/>
        <v/>
      </c>
      <c r="AC10" s="127" t="str">
        <f t="shared" si="4"/>
        <v/>
      </c>
      <c r="AD10" s="127" t="str">
        <f t="shared" si="4"/>
        <v/>
      </c>
      <c r="AE10" s="127" t="str">
        <f t="shared" si="4"/>
        <v/>
      </c>
      <c r="AF10" s="127" t="str">
        <f t="shared" si="4"/>
        <v/>
      </c>
      <c r="AG10" s="127" t="str">
        <f t="shared" si="4"/>
        <v/>
      </c>
      <c r="AH10" s="127" t="str">
        <f t="shared" si="4"/>
        <v/>
      </c>
      <c r="AI10" s="127" t="str">
        <f t="shared" si="4"/>
        <v/>
      </c>
      <c r="AJ10" s="127" t="str">
        <f t="shared" si="4"/>
        <v/>
      </c>
      <c r="AK10" s="127" t="str">
        <f t="shared" si="4"/>
        <v/>
      </c>
      <c r="AL10" s="127" t="str">
        <f t="shared" si="4"/>
        <v/>
      </c>
      <c r="AM10" s="127" t="str">
        <f t="shared" si="4"/>
        <v/>
      </c>
      <c r="AN10" s="127" t="str">
        <f t="shared" si="4"/>
        <v/>
      </c>
      <c r="AO10" s="127" t="str">
        <f t="shared" si="4"/>
        <v/>
      </c>
      <c r="AP10" s="127" t="str">
        <f t="shared" si="4"/>
        <v/>
      </c>
      <c r="AQ10" s="127" t="str">
        <f t="shared" si="4"/>
        <v/>
      </c>
      <c r="AR10" s="127" t="str">
        <f t="shared" si="4"/>
        <v/>
      </c>
      <c r="AS10" s="127" t="str">
        <f t="shared" si="4"/>
        <v/>
      </c>
      <c r="AT10" s="127" t="str">
        <f t="shared" si="4"/>
        <v/>
      </c>
      <c r="AU10" s="127" t="str">
        <f t="shared" si="4"/>
        <v/>
      </c>
      <c r="AV10" s="127" t="str">
        <f t="shared" si="4"/>
        <v/>
      </c>
      <c r="AW10" s="127" t="str">
        <f t="shared" si="4"/>
        <v/>
      </c>
      <c r="AX10" s="127" t="str">
        <f t="shared" si="4"/>
        <v/>
      </c>
      <c r="AY10" s="127" t="str">
        <f t="shared" si="4"/>
        <v/>
      </c>
      <c r="AZ10" s="127" t="str">
        <f t="shared" si="4"/>
        <v/>
      </c>
      <c r="BA10" s="127" t="str">
        <f t="shared" si="4"/>
        <v/>
      </c>
      <c r="BB10" s="127" t="str">
        <f t="shared" si="4"/>
        <v/>
      </c>
      <c r="BC10" s="127" t="str">
        <f t="shared" si="4"/>
        <v/>
      </c>
      <c r="BD10" s="127" t="str">
        <f t="shared" si="4"/>
        <v/>
      </c>
      <c r="BE10" s="127" t="str">
        <f t="shared" si="4"/>
        <v/>
      </c>
      <c r="BF10" s="127" t="str">
        <f t="shared" si="4"/>
        <v/>
      </c>
      <c r="BG10" s="127" t="str">
        <f t="shared" si="5"/>
        <v/>
      </c>
      <c r="BH10" s="127" t="str">
        <f t="shared" si="5"/>
        <v/>
      </c>
      <c r="BI10" s="127" t="str">
        <f t="shared" si="5"/>
        <v/>
      </c>
      <c r="BJ10" s="127" t="str">
        <f t="shared" si="5"/>
        <v/>
      </c>
      <c r="BK10" s="127" t="str">
        <f t="shared" si="5"/>
        <v/>
      </c>
      <c r="BL10" s="127" t="str">
        <f t="shared" si="5"/>
        <v/>
      </c>
      <c r="BM10" s="127" t="str">
        <f t="shared" si="5"/>
        <v/>
      </c>
      <c r="BN10" s="127" t="str">
        <f t="shared" si="5"/>
        <v/>
      </c>
      <c r="BO10" s="127" t="str">
        <f t="shared" si="5"/>
        <v/>
      </c>
      <c r="BP10" s="127" t="str">
        <f t="shared" si="5"/>
        <v/>
      </c>
      <c r="BQ10" s="127" t="str">
        <f t="shared" si="5"/>
        <v/>
      </c>
      <c r="BR10" s="127" t="str">
        <f t="shared" si="5"/>
        <v/>
      </c>
      <c r="BS10" s="127" t="str">
        <f t="shared" si="5"/>
        <v/>
      </c>
      <c r="BT10" s="127" t="str">
        <f t="shared" si="6"/>
        <v/>
      </c>
      <c r="BU10" s="127" t="str">
        <f t="shared" si="6"/>
        <v/>
      </c>
      <c r="BV10" s="127" t="str">
        <f t="shared" si="6"/>
        <v/>
      </c>
      <c r="BW10" s="127" t="str">
        <f t="shared" si="6"/>
        <v/>
      </c>
      <c r="BX10" s="127" t="str">
        <f t="shared" si="6"/>
        <v/>
      </c>
      <c r="BY10" s="127" t="str">
        <f t="shared" si="6"/>
        <v/>
      </c>
      <c r="BZ10" s="127" t="str">
        <f t="shared" si="6"/>
        <v/>
      </c>
      <c r="CA10" s="127" t="str">
        <f t="shared" si="6"/>
        <v/>
      </c>
      <c r="CB10" s="127" t="str">
        <f t="shared" si="6"/>
        <v/>
      </c>
      <c r="CC10" s="127" t="str">
        <f t="shared" si="6"/>
        <v/>
      </c>
      <c r="CD10" s="127" t="str">
        <f t="shared" si="6"/>
        <v/>
      </c>
      <c r="CE10" s="127" t="str">
        <f t="shared" si="6"/>
        <v/>
      </c>
    </row>
    <row r="11" spans="1:83" ht="12.6" customHeight="1" x14ac:dyDescent="0.2">
      <c r="A11" s="106">
        <f>SHIPMENTS!A17</f>
        <v>8641</v>
      </c>
      <c r="B11" s="106" t="str">
        <f>SHIPMENTS!B17</f>
        <v>41700-CANADA BSAUNAS BACKLOG</v>
      </c>
      <c r="C11" s="132">
        <f>SHIPMENTS!F17</f>
        <v>0</v>
      </c>
      <c r="D11" s="107" t="str">
        <f>IF((SHIPMENTS!I17)=0,"",SHIPMENTS!I17)</f>
        <v/>
      </c>
      <c r="E11" s="176">
        <f>IF((SHIPMENTS!G17)=0,"",SHIPMENTS!G17)</f>
        <v>46315</v>
      </c>
      <c r="F11" s="97">
        <f>VLOOKUP(A11,Items!$A$5:$J$1000,7,0)</f>
        <v>4074</v>
      </c>
      <c r="G11" s="98">
        <f>VLOOKUP(A11,load!$A$4:$U$5001,8,0)</f>
        <v>454.1029388888889</v>
      </c>
      <c r="H11" s="97">
        <f>Manhours!$C$24</f>
        <v>5</v>
      </c>
      <c r="I11" s="98">
        <f t="shared" si="7"/>
        <v>45.5</v>
      </c>
      <c r="J11" s="99">
        <f t="shared" si="0"/>
        <v>9.9802843711843714</v>
      </c>
      <c r="K11" s="99">
        <f t="shared" si="8"/>
        <v>90.820587777777774</v>
      </c>
      <c r="L11" s="98">
        <f t="shared" si="1"/>
        <v>4.3913251233211232</v>
      </c>
      <c r="M11" s="98">
        <f t="shared" si="2"/>
        <v>39.961058622222218</v>
      </c>
      <c r="N11" s="181">
        <f>'WWP1-PPS'!N11+1</f>
        <v>46320.293668154758</v>
      </c>
      <c r="O11" s="181">
        <f t="shared" si="9"/>
        <v>46324.684993278082</v>
      </c>
      <c r="P11" s="101">
        <f>VLOOKUP(A11,SHIPMENTS!$A$7:$N$171,12,0)</f>
        <v>0.56000000000000005</v>
      </c>
      <c r="Q11" s="101"/>
      <c r="R11" s="127" t="str">
        <f t="shared" si="3"/>
        <v/>
      </c>
      <c r="S11" s="127" t="str">
        <f t="shared" si="4"/>
        <v>▲</v>
      </c>
      <c r="T11" s="127" t="str">
        <f t="shared" si="4"/>
        <v/>
      </c>
      <c r="U11" s="127" t="str">
        <f t="shared" si="4"/>
        <v/>
      </c>
      <c r="V11" s="127" t="str">
        <f t="shared" si="4"/>
        <v/>
      </c>
      <c r="W11" s="127" t="str">
        <f t="shared" si="4"/>
        <v/>
      </c>
      <c r="X11" s="127" t="str">
        <f t="shared" si="4"/>
        <v/>
      </c>
      <c r="Y11" s="127" t="str">
        <f t="shared" si="4"/>
        <v/>
      </c>
      <c r="Z11" s="127" t="str">
        <f t="shared" si="4"/>
        <v/>
      </c>
      <c r="AA11" s="127" t="str">
        <f t="shared" si="4"/>
        <v/>
      </c>
      <c r="AB11" s="127" t="str">
        <f t="shared" si="4"/>
        <v/>
      </c>
      <c r="AC11" s="127" t="str">
        <f t="shared" si="4"/>
        <v/>
      </c>
      <c r="AD11" s="127" t="str">
        <f t="shared" si="4"/>
        <v/>
      </c>
      <c r="AE11" s="127" t="str">
        <f t="shared" si="4"/>
        <v/>
      </c>
      <c r="AF11" s="127" t="str">
        <f t="shared" si="4"/>
        <v/>
      </c>
      <c r="AG11" s="127" t="str">
        <f t="shared" si="4"/>
        <v/>
      </c>
      <c r="AH11" s="127" t="str">
        <f t="shared" si="4"/>
        <v/>
      </c>
      <c r="AI11" s="127" t="str">
        <f t="shared" si="4"/>
        <v/>
      </c>
      <c r="AJ11" s="127" t="str">
        <f t="shared" si="4"/>
        <v/>
      </c>
      <c r="AK11" s="127" t="str">
        <f t="shared" si="4"/>
        <v/>
      </c>
      <c r="AL11" s="127" t="str">
        <f t="shared" si="4"/>
        <v/>
      </c>
      <c r="AM11" s="127" t="str">
        <f t="shared" si="4"/>
        <v/>
      </c>
      <c r="AN11" s="127" t="str">
        <f t="shared" si="4"/>
        <v/>
      </c>
      <c r="AO11" s="127" t="str">
        <f t="shared" si="4"/>
        <v/>
      </c>
      <c r="AP11" s="127" t="str">
        <f t="shared" si="4"/>
        <v/>
      </c>
      <c r="AQ11" s="127" t="str">
        <f t="shared" si="4"/>
        <v/>
      </c>
      <c r="AR11" s="127" t="str">
        <f t="shared" si="4"/>
        <v/>
      </c>
      <c r="AS11" s="127" t="str">
        <f t="shared" si="4"/>
        <v/>
      </c>
      <c r="AT11" s="127" t="str">
        <f t="shared" si="4"/>
        <v/>
      </c>
      <c r="AU11" s="127" t="str">
        <f t="shared" si="4"/>
        <v/>
      </c>
      <c r="AV11" s="127" t="str">
        <f t="shared" si="4"/>
        <v/>
      </c>
      <c r="AW11" s="127" t="str">
        <f t="shared" si="4"/>
        <v/>
      </c>
      <c r="AX11" s="127" t="str">
        <f t="shared" si="4"/>
        <v/>
      </c>
      <c r="AY11" s="127" t="str">
        <f t="shared" si="4"/>
        <v/>
      </c>
      <c r="AZ11" s="127" t="str">
        <f t="shared" si="4"/>
        <v/>
      </c>
      <c r="BA11" s="127" t="str">
        <f t="shared" si="4"/>
        <v/>
      </c>
      <c r="BB11" s="127" t="str">
        <f t="shared" si="4"/>
        <v/>
      </c>
      <c r="BC11" s="127" t="str">
        <f t="shared" si="4"/>
        <v/>
      </c>
      <c r="BD11" s="127" t="str">
        <f t="shared" si="4"/>
        <v/>
      </c>
      <c r="BE11" s="127" t="str">
        <f t="shared" si="4"/>
        <v/>
      </c>
      <c r="BF11" s="127" t="str">
        <f t="shared" si="4"/>
        <v/>
      </c>
      <c r="BG11" s="127" t="str">
        <f t="shared" si="5"/>
        <v/>
      </c>
      <c r="BH11" s="127" t="str">
        <f t="shared" si="5"/>
        <v/>
      </c>
      <c r="BI11" s="127" t="str">
        <f t="shared" si="5"/>
        <v/>
      </c>
      <c r="BJ11" s="127" t="str">
        <f t="shared" si="5"/>
        <v/>
      </c>
      <c r="BK11" s="127" t="str">
        <f t="shared" si="5"/>
        <v/>
      </c>
      <c r="BL11" s="127" t="str">
        <f t="shared" si="5"/>
        <v/>
      </c>
      <c r="BM11" s="127" t="str">
        <f t="shared" si="5"/>
        <v/>
      </c>
      <c r="BN11" s="127" t="str">
        <f t="shared" si="5"/>
        <v/>
      </c>
      <c r="BO11" s="127" t="str">
        <f t="shared" si="5"/>
        <v/>
      </c>
      <c r="BP11" s="127" t="str">
        <f t="shared" si="5"/>
        <v/>
      </c>
      <c r="BQ11" s="127" t="str">
        <f t="shared" si="5"/>
        <v/>
      </c>
      <c r="BR11" s="127" t="str">
        <f t="shared" si="5"/>
        <v/>
      </c>
      <c r="BS11" s="127" t="str">
        <f t="shared" si="5"/>
        <v/>
      </c>
      <c r="BT11" s="127" t="str">
        <f t="shared" si="6"/>
        <v/>
      </c>
      <c r="BU11" s="127" t="str">
        <f t="shared" si="6"/>
        <v/>
      </c>
      <c r="BV11" s="127" t="str">
        <f t="shared" si="6"/>
        <v/>
      </c>
      <c r="BW11" s="127" t="str">
        <f t="shared" si="6"/>
        <v/>
      </c>
      <c r="BX11" s="127" t="str">
        <f t="shared" si="6"/>
        <v/>
      </c>
      <c r="BY11" s="127" t="str">
        <f t="shared" si="6"/>
        <v/>
      </c>
      <c r="BZ11" s="127" t="str">
        <f t="shared" si="6"/>
        <v/>
      </c>
      <c r="CA11" s="127" t="str">
        <f t="shared" si="6"/>
        <v/>
      </c>
      <c r="CB11" s="127" t="str">
        <f t="shared" si="6"/>
        <v/>
      </c>
      <c r="CC11" s="127" t="str">
        <f t="shared" si="6"/>
        <v/>
      </c>
      <c r="CD11" s="127" t="str">
        <f t="shared" si="6"/>
        <v/>
      </c>
      <c r="CE11" s="127" t="str">
        <f t="shared" si="6"/>
        <v/>
      </c>
    </row>
    <row r="12" spans="1:83" ht="12.6" hidden="1" customHeight="1" x14ac:dyDescent="0.2">
      <c r="A12" s="106">
        <f>SHIPMENTS!A18</f>
        <v>8102</v>
      </c>
      <c r="B12" s="106" t="str">
        <f>SHIPMENTS!B18</f>
        <v>41700-CANADA BSAUNAS BACKLOG</v>
      </c>
      <c r="C12" s="132">
        <f>SHIPMENTS!F18</f>
        <v>0</v>
      </c>
      <c r="D12" s="107" t="str">
        <f>IF((SHIPMENTS!I18)=0,"",SHIPMENTS!I18)</f>
        <v/>
      </c>
      <c r="E12" s="176">
        <f>IF((SHIPMENTS!G18)=0,"",SHIPMENTS!G18)</f>
        <v>46315</v>
      </c>
      <c r="F12" s="97">
        <f>VLOOKUP(A12,Items!$A$5:$J$1000,7,0)</f>
        <v>0</v>
      </c>
      <c r="G12" s="98">
        <f>VLOOKUP(A12,load!$A$4:$U$5001,8,0)</f>
        <v>0</v>
      </c>
      <c r="H12" s="97">
        <f>Manhours!$C$24</f>
        <v>5</v>
      </c>
      <c r="I12" s="98">
        <f t="shared" si="7"/>
        <v>45.5</v>
      </c>
      <c r="J12" s="99">
        <f t="shared" si="0"/>
        <v>0</v>
      </c>
      <c r="K12" s="99">
        <f t="shared" si="8"/>
        <v>0</v>
      </c>
      <c r="L12" s="98">
        <f t="shared" si="1"/>
        <v>0</v>
      </c>
      <c r="M12" s="98">
        <f t="shared" si="2"/>
        <v>0</v>
      </c>
      <c r="N12" s="181">
        <f>'WWP1-PPS'!N12+1</f>
        <v>46323.33175785256</v>
      </c>
      <c r="O12" s="181">
        <f t="shared" si="9"/>
        <v>46323.33175785256</v>
      </c>
      <c r="P12" s="101" t="str">
        <f>VLOOKUP(A12,SHIPMENTS!$A$7:$N$171,12,0)</f>
        <v>n/a</v>
      </c>
      <c r="Q12" s="101"/>
      <c r="R12" s="127" t="str">
        <f t="shared" si="3"/>
        <v/>
      </c>
      <c r="S12" s="127" t="str">
        <f t="shared" si="4"/>
        <v>▲</v>
      </c>
      <c r="T12" s="127" t="str">
        <f t="shared" si="4"/>
        <v/>
      </c>
      <c r="U12" s="127" t="str">
        <f t="shared" si="4"/>
        <v/>
      </c>
      <c r="V12" s="127" t="str">
        <f t="shared" si="4"/>
        <v/>
      </c>
      <c r="W12" s="127" t="str">
        <f t="shared" si="4"/>
        <v/>
      </c>
      <c r="X12" s="127" t="str">
        <f t="shared" si="4"/>
        <v/>
      </c>
      <c r="Y12" s="127" t="str">
        <f t="shared" si="4"/>
        <v/>
      </c>
      <c r="Z12" s="127" t="str">
        <f t="shared" si="4"/>
        <v/>
      </c>
      <c r="AA12" s="127" t="str">
        <f t="shared" si="4"/>
        <v/>
      </c>
      <c r="AB12" s="127" t="str">
        <f t="shared" si="4"/>
        <v/>
      </c>
      <c r="AC12" s="127" t="str">
        <f t="shared" si="4"/>
        <v/>
      </c>
      <c r="AD12" s="127" t="str">
        <f t="shared" si="4"/>
        <v/>
      </c>
      <c r="AE12" s="127" t="str">
        <f t="shared" si="4"/>
        <v/>
      </c>
      <c r="AF12" s="127" t="str">
        <f t="shared" si="4"/>
        <v/>
      </c>
      <c r="AG12" s="127" t="str">
        <f t="shared" si="4"/>
        <v/>
      </c>
      <c r="AH12" s="127" t="str">
        <f t="shared" si="4"/>
        <v/>
      </c>
      <c r="AI12" s="127" t="str">
        <f t="shared" si="4"/>
        <v/>
      </c>
      <c r="AJ12" s="127" t="str">
        <f t="shared" si="4"/>
        <v/>
      </c>
      <c r="AK12" s="127" t="str">
        <f t="shared" si="4"/>
        <v/>
      </c>
      <c r="AL12" s="127" t="str">
        <f t="shared" si="4"/>
        <v/>
      </c>
      <c r="AM12" s="127" t="str">
        <f t="shared" si="4"/>
        <v/>
      </c>
      <c r="AN12" s="127" t="str">
        <f t="shared" si="4"/>
        <v/>
      </c>
      <c r="AO12" s="127" t="str">
        <f t="shared" si="4"/>
        <v/>
      </c>
      <c r="AP12" s="127" t="str">
        <f t="shared" si="4"/>
        <v/>
      </c>
      <c r="AQ12" s="127" t="str">
        <f t="shared" si="4"/>
        <v/>
      </c>
      <c r="AR12" s="127" t="str">
        <f t="shared" si="4"/>
        <v/>
      </c>
      <c r="AS12" s="127" t="str">
        <f t="shared" si="4"/>
        <v/>
      </c>
      <c r="AT12" s="127" t="str">
        <f t="shared" si="4"/>
        <v/>
      </c>
      <c r="AU12" s="127" t="str">
        <f t="shared" si="4"/>
        <v/>
      </c>
      <c r="AV12" s="127" t="str">
        <f t="shared" si="4"/>
        <v/>
      </c>
      <c r="AW12" s="127" t="str">
        <f t="shared" si="4"/>
        <v/>
      </c>
      <c r="AX12" s="127" t="str">
        <f t="shared" si="4"/>
        <v/>
      </c>
      <c r="AY12" s="127" t="str">
        <f t="shared" si="4"/>
        <v/>
      </c>
      <c r="AZ12" s="127" t="str">
        <f t="shared" si="4"/>
        <v/>
      </c>
      <c r="BA12" s="127" t="str">
        <f t="shared" si="4"/>
        <v/>
      </c>
      <c r="BB12" s="127" t="str">
        <f t="shared" si="4"/>
        <v/>
      </c>
      <c r="BC12" s="127" t="str">
        <f t="shared" si="4"/>
        <v/>
      </c>
      <c r="BD12" s="127" t="str">
        <f t="shared" si="4"/>
        <v/>
      </c>
      <c r="BE12" s="127" t="str">
        <f t="shared" si="4"/>
        <v/>
      </c>
      <c r="BF12" s="127" t="str">
        <f t="shared" si="4"/>
        <v/>
      </c>
      <c r="BG12" s="127" t="str">
        <f t="shared" si="5"/>
        <v/>
      </c>
      <c r="BH12" s="127" t="str">
        <f t="shared" si="5"/>
        <v/>
      </c>
      <c r="BI12" s="127" t="str">
        <f t="shared" si="5"/>
        <v/>
      </c>
      <c r="BJ12" s="127" t="str">
        <f t="shared" si="5"/>
        <v/>
      </c>
      <c r="BK12" s="127" t="str">
        <f t="shared" si="5"/>
        <v/>
      </c>
      <c r="BL12" s="127" t="str">
        <f t="shared" si="5"/>
        <v/>
      </c>
      <c r="BM12" s="127" t="str">
        <f t="shared" si="5"/>
        <v/>
      </c>
      <c r="BN12" s="127" t="str">
        <f t="shared" si="5"/>
        <v/>
      </c>
      <c r="BO12" s="127" t="str">
        <f t="shared" si="5"/>
        <v/>
      </c>
      <c r="BP12" s="127" t="str">
        <f t="shared" si="5"/>
        <v/>
      </c>
      <c r="BQ12" s="127" t="str">
        <f t="shared" si="5"/>
        <v/>
      </c>
      <c r="BR12" s="127" t="str">
        <f t="shared" si="5"/>
        <v/>
      </c>
      <c r="BS12" s="127" t="str">
        <f t="shared" si="5"/>
        <v/>
      </c>
      <c r="BT12" s="127" t="str">
        <f t="shared" si="6"/>
        <v/>
      </c>
      <c r="BU12" s="127" t="str">
        <f t="shared" si="6"/>
        <v/>
      </c>
      <c r="BV12" s="127" t="str">
        <f t="shared" si="6"/>
        <v/>
      </c>
      <c r="BW12" s="127" t="str">
        <f t="shared" si="6"/>
        <v/>
      </c>
      <c r="BX12" s="127" t="str">
        <f t="shared" si="6"/>
        <v/>
      </c>
      <c r="BY12" s="127" t="str">
        <f t="shared" si="6"/>
        <v/>
      </c>
      <c r="BZ12" s="127" t="str">
        <f t="shared" si="6"/>
        <v/>
      </c>
      <c r="CA12" s="127" t="str">
        <f t="shared" si="6"/>
        <v/>
      </c>
      <c r="CB12" s="127" t="str">
        <f t="shared" si="6"/>
        <v/>
      </c>
      <c r="CC12" s="127" t="str">
        <f t="shared" si="6"/>
        <v/>
      </c>
      <c r="CD12" s="127" t="str">
        <f t="shared" si="6"/>
        <v/>
      </c>
      <c r="CE12" s="127" t="str">
        <f t="shared" si="6"/>
        <v/>
      </c>
    </row>
    <row r="13" spans="1:83" ht="12.6" hidden="1" customHeight="1" x14ac:dyDescent="0.2">
      <c r="A13" s="106">
        <f>SHIPMENTS!A19</f>
        <v>5928</v>
      </c>
      <c r="B13" s="106" t="str">
        <f>SHIPMENTS!B19</f>
        <v>41700-CANADA BSAUNAS BACKLOG</v>
      </c>
      <c r="C13" s="132">
        <f>SHIPMENTS!F19</f>
        <v>0</v>
      </c>
      <c r="D13" s="107" t="str">
        <f>IF((SHIPMENTS!I19)=0,"",SHIPMENTS!I19)</f>
        <v/>
      </c>
      <c r="E13" s="176" t="str">
        <f>IF((SHIPMENTS!G19)=0,"",SHIPMENTS!G19)</f>
        <v/>
      </c>
      <c r="F13" s="97">
        <f>VLOOKUP(A13,Items!$A$5:$J$1000,7,0)</f>
        <v>0</v>
      </c>
      <c r="G13" s="98">
        <f>VLOOKUP(A13,load!$A$4:$U$5001,8,0)</f>
        <v>0</v>
      </c>
      <c r="H13" s="97">
        <f>Manhours!$C$24</f>
        <v>5</v>
      </c>
      <c r="I13" s="98">
        <f t="shared" si="7"/>
        <v>45.5</v>
      </c>
      <c r="J13" s="99">
        <f t="shared" si="0"/>
        <v>0</v>
      </c>
      <c r="K13" s="99">
        <f t="shared" si="8"/>
        <v>0</v>
      </c>
      <c r="L13" s="98">
        <f t="shared" si="1"/>
        <v>0</v>
      </c>
      <c r="M13" s="98">
        <f t="shared" si="2"/>
        <v>0</v>
      </c>
      <c r="N13" s="181">
        <f>'WWP1-PPS'!N13+1</f>
        <v>46323.33175785256</v>
      </c>
      <c r="O13" s="181">
        <f t="shared" si="9"/>
        <v>46323.33175785256</v>
      </c>
      <c r="P13" s="101" t="str">
        <f>VLOOKUP(A13,SHIPMENTS!$A$7:$N$171,12,0)</f>
        <v>n/a</v>
      </c>
      <c r="Q13" s="101"/>
      <c r="R13" s="127" t="str">
        <f t="shared" si="3"/>
        <v/>
      </c>
      <c r="S13" s="127" t="str">
        <f t="shared" si="4"/>
        <v/>
      </c>
      <c r="T13" s="127" t="str">
        <f t="shared" si="4"/>
        <v/>
      </c>
      <c r="U13" s="127" t="str">
        <f t="shared" si="4"/>
        <v/>
      </c>
      <c r="V13" s="127" t="str">
        <f t="shared" si="4"/>
        <v/>
      </c>
      <c r="W13" s="127" t="str">
        <f t="shared" si="4"/>
        <v/>
      </c>
      <c r="X13" s="127" t="str">
        <f t="shared" si="4"/>
        <v/>
      </c>
      <c r="Y13" s="127" t="str">
        <f t="shared" si="4"/>
        <v/>
      </c>
      <c r="Z13" s="127" t="str">
        <f t="shared" si="4"/>
        <v/>
      </c>
      <c r="AA13" s="127" t="str">
        <f t="shared" si="4"/>
        <v/>
      </c>
      <c r="AB13" s="127" t="str">
        <f t="shared" si="4"/>
        <v/>
      </c>
      <c r="AC13" s="127" t="str">
        <f t="shared" si="4"/>
        <v/>
      </c>
      <c r="AD13" s="127" t="str">
        <f t="shared" si="4"/>
        <v/>
      </c>
      <c r="AE13" s="127" t="str">
        <f t="shared" si="4"/>
        <v/>
      </c>
      <c r="AF13" s="127" t="str">
        <f t="shared" si="4"/>
        <v/>
      </c>
      <c r="AG13" s="127" t="str">
        <f t="shared" si="4"/>
        <v/>
      </c>
      <c r="AH13" s="127" t="str">
        <f t="shared" si="4"/>
        <v/>
      </c>
      <c r="AI13" s="127" t="str">
        <f t="shared" si="4"/>
        <v/>
      </c>
      <c r="AJ13" s="127" t="str">
        <f t="shared" si="4"/>
        <v/>
      </c>
      <c r="AK13" s="127" t="str">
        <f t="shared" si="4"/>
        <v/>
      </c>
      <c r="AL13" s="127" t="str">
        <f t="shared" si="4"/>
        <v/>
      </c>
      <c r="AM13" s="127" t="str">
        <f t="shared" si="4"/>
        <v/>
      </c>
      <c r="AN13" s="127" t="str">
        <f t="shared" si="4"/>
        <v/>
      </c>
      <c r="AO13" s="127" t="str">
        <f t="shared" si="4"/>
        <v/>
      </c>
      <c r="AP13" s="127" t="str">
        <f t="shared" si="4"/>
        <v/>
      </c>
      <c r="AQ13" s="127" t="str">
        <f t="shared" si="4"/>
        <v/>
      </c>
      <c r="AR13" s="127" t="str">
        <f t="shared" si="4"/>
        <v/>
      </c>
      <c r="AS13" s="127" t="str">
        <f t="shared" si="4"/>
        <v/>
      </c>
      <c r="AT13" s="127" t="str">
        <f t="shared" si="4"/>
        <v/>
      </c>
      <c r="AU13" s="127" t="str">
        <f t="shared" si="4"/>
        <v/>
      </c>
      <c r="AV13" s="127" t="str">
        <f t="shared" si="4"/>
        <v/>
      </c>
      <c r="AW13" s="127" t="str">
        <f t="shared" si="4"/>
        <v/>
      </c>
      <c r="AX13" s="127" t="str">
        <f t="shared" si="4"/>
        <v/>
      </c>
      <c r="AY13" s="127" t="str">
        <f t="shared" si="4"/>
        <v/>
      </c>
      <c r="AZ13" s="127" t="str">
        <f t="shared" si="4"/>
        <v/>
      </c>
      <c r="BA13" s="127" t="str">
        <f t="shared" si="4"/>
        <v/>
      </c>
      <c r="BB13" s="127" t="str">
        <f t="shared" si="4"/>
        <v/>
      </c>
      <c r="BC13" s="127" t="str">
        <f t="shared" si="4"/>
        <v/>
      </c>
      <c r="BD13" s="127" t="str">
        <f t="shared" si="4"/>
        <v/>
      </c>
      <c r="BE13" s="127" t="str">
        <f t="shared" si="4"/>
        <v/>
      </c>
      <c r="BF13" s="127" t="str">
        <f t="shared" si="4"/>
        <v/>
      </c>
      <c r="BG13" s="127" t="str">
        <f t="shared" si="5"/>
        <v/>
      </c>
      <c r="BH13" s="127" t="str">
        <f t="shared" si="5"/>
        <v/>
      </c>
      <c r="BI13" s="127" t="str">
        <f t="shared" si="5"/>
        <v/>
      </c>
      <c r="BJ13" s="127" t="str">
        <f t="shared" si="5"/>
        <v/>
      </c>
      <c r="BK13" s="127" t="str">
        <f t="shared" si="5"/>
        <v/>
      </c>
      <c r="BL13" s="127" t="str">
        <f t="shared" si="5"/>
        <v/>
      </c>
      <c r="BM13" s="127" t="str">
        <f t="shared" si="5"/>
        <v/>
      </c>
      <c r="BN13" s="127" t="str">
        <f t="shared" si="5"/>
        <v/>
      </c>
      <c r="BO13" s="127" t="str">
        <f t="shared" si="5"/>
        <v/>
      </c>
      <c r="BP13" s="127" t="str">
        <f t="shared" si="5"/>
        <v/>
      </c>
      <c r="BQ13" s="127" t="str">
        <f t="shared" si="5"/>
        <v/>
      </c>
      <c r="BR13" s="127" t="str">
        <f t="shared" si="5"/>
        <v/>
      </c>
      <c r="BS13" s="127" t="str">
        <f t="shared" si="5"/>
        <v/>
      </c>
      <c r="BT13" s="127" t="str">
        <f t="shared" si="6"/>
        <v/>
      </c>
      <c r="BU13" s="127" t="str">
        <f t="shared" si="6"/>
        <v/>
      </c>
      <c r="BV13" s="127" t="str">
        <f t="shared" si="6"/>
        <v/>
      </c>
      <c r="BW13" s="127" t="str">
        <f t="shared" si="6"/>
        <v/>
      </c>
      <c r="BX13" s="127" t="str">
        <f t="shared" si="6"/>
        <v/>
      </c>
      <c r="BY13" s="127" t="str">
        <f t="shared" si="6"/>
        <v/>
      </c>
      <c r="BZ13" s="127" t="str">
        <f t="shared" si="6"/>
        <v/>
      </c>
      <c r="CA13" s="127" t="str">
        <f t="shared" si="6"/>
        <v/>
      </c>
      <c r="CB13" s="127" t="str">
        <f t="shared" si="6"/>
        <v/>
      </c>
      <c r="CC13" s="127" t="str">
        <f t="shared" si="6"/>
        <v/>
      </c>
      <c r="CD13" s="127" t="str">
        <f t="shared" si="6"/>
        <v/>
      </c>
      <c r="CE13" s="127" t="str">
        <f t="shared" si="6"/>
        <v/>
      </c>
    </row>
    <row r="14" spans="1:83" ht="12.6" hidden="1" customHeight="1" x14ac:dyDescent="0.2">
      <c r="A14" s="106">
        <f>SHIPMENTS!A20</f>
        <v>4781</v>
      </c>
      <c r="B14" s="106" t="str">
        <f>SHIPMENTS!B20</f>
        <v>41700-CANADA BSAUNAS BACKLOG</v>
      </c>
      <c r="C14" s="132">
        <f>SHIPMENTS!F20</f>
        <v>0</v>
      </c>
      <c r="D14" s="107" t="str">
        <f>IF((SHIPMENTS!I20)=0,"",SHIPMENTS!I20)</f>
        <v/>
      </c>
      <c r="E14" s="176" t="str">
        <f>IF((SHIPMENTS!G20)=0,"",SHIPMENTS!G20)</f>
        <v/>
      </c>
      <c r="F14" s="97">
        <f>VLOOKUP(A14,Items!$A$5:$J$1000,7,0)</f>
        <v>0</v>
      </c>
      <c r="G14" s="98">
        <f>VLOOKUP(A14,load!$A$4:$U$5001,8,0)</f>
        <v>0</v>
      </c>
      <c r="H14" s="97">
        <f>Manhours!$C$24</f>
        <v>5</v>
      </c>
      <c r="I14" s="98">
        <f t="shared" si="7"/>
        <v>45.5</v>
      </c>
      <c r="J14" s="99">
        <f t="shared" si="0"/>
        <v>0</v>
      </c>
      <c r="K14" s="99">
        <f t="shared" si="8"/>
        <v>0</v>
      </c>
      <c r="L14" s="98">
        <f t="shared" si="1"/>
        <v>0</v>
      </c>
      <c r="M14" s="98">
        <f t="shared" si="2"/>
        <v>0</v>
      </c>
      <c r="N14" s="181">
        <f>'WWP1-PPS'!N14+1</f>
        <v>46323.33175785256</v>
      </c>
      <c r="O14" s="181">
        <f t="shared" si="9"/>
        <v>46323.33175785256</v>
      </c>
      <c r="P14" s="101" t="str">
        <f>VLOOKUP(A14,SHIPMENTS!$A$7:$N$171,12,0)</f>
        <v>n/a</v>
      </c>
      <c r="Q14" s="101"/>
      <c r="R14" s="127" t="str">
        <f t="shared" si="3"/>
        <v/>
      </c>
      <c r="S14" s="127" t="str">
        <f t="shared" si="4"/>
        <v/>
      </c>
      <c r="T14" s="127" t="str">
        <f t="shared" si="4"/>
        <v/>
      </c>
      <c r="U14" s="127" t="str">
        <f t="shared" si="4"/>
        <v/>
      </c>
      <c r="V14" s="127" t="str">
        <f t="shared" si="4"/>
        <v/>
      </c>
      <c r="W14" s="127" t="str">
        <f t="shared" si="4"/>
        <v/>
      </c>
      <c r="X14" s="127" t="str">
        <f t="shared" si="4"/>
        <v/>
      </c>
      <c r="Y14" s="127" t="str">
        <f t="shared" si="4"/>
        <v/>
      </c>
      <c r="Z14" s="127" t="str">
        <f t="shared" si="4"/>
        <v/>
      </c>
      <c r="AA14" s="127" t="str">
        <f t="shared" si="4"/>
        <v/>
      </c>
      <c r="AB14" s="127" t="str">
        <f t="shared" si="4"/>
        <v/>
      </c>
      <c r="AC14" s="127" t="str">
        <f t="shared" si="4"/>
        <v/>
      </c>
      <c r="AD14" s="127" t="str">
        <f t="shared" si="4"/>
        <v/>
      </c>
      <c r="AE14" s="127" t="str">
        <f t="shared" si="4"/>
        <v/>
      </c>
      <c r="AF14" s="127" t="str">
        <f t="shared" si="4"/>
        <v/>
      </c>
      <c r="AG14" s="127" t="str">
        <f t="shared" si="4"/>
        <v/>
      </c>
      <c r="AH14" s="127" t="str">
        <f t="shared" ref="AH14:BH20" si="10">IF($E14=AH$3,"▲","")</f>
        <v/>
      </c>
      <c r="AI14" s="127" t="str">
        <f t="shared" si="10"/>
        <v/>
      </c>
      <c r="AJ14" s="127" t="str">
        <f t="shared" si="10"/>
        <v/>
      </c>
      <c r="AK14" s="127" t="str">
        <f t="shared" si="10"/>
        <v/>
      </c>
      <c r="AL14" s="127" t="str">
        <f t="shared" si="10"/>
        <v/>
      </c>
      <c r="AM14" s="127" t="str">
        <f t="shared" si="10"/>
        <v/>
      </c>
      <c r="AN14" s="127" t="str">
        <f t="shared" si="10"/>
        <v/>
      </c>
      <c r="AO14" s="127" t="str">
        <f t="shared" si="10"/>
        <v/>
      </c>
      <c r="AP14" s="127" t="str">
        <f t="shared" si="10"/>
        <v/>
      </c>
      <c r="AQ14" s="127" t="str">
        <f t="shared" si="10"/>
        <v/>
      </c>
      <c r="AR14" s="127" t="str">
        <f t="shared" si="10"/>
        <v/>
      </c>
      <c r="AS14" s="127" t="str">
        <f t="shared" si="10"/>
        <v/>
      </c>
      <c r="AT14" s="127" t="str">
        <f t="shared" si="10"/>
        <v/>
      </c>
      <c r="AU14" s="127" t="str">
        <f t="shared" si="10"/>
        <v/>
      </c>
      <c r="AV14" s="127" t="str">
        <f t="shared" si="10"/>
        <v/>
      </c>
      <c r="AW14" s="127" t="str">
        <f t="shared" si="10"/>
        <v/>
      </c>
      <c r="AX14" s="127" t="str">
        <f t="shared" si="10"/>
        <v/>
      </c>
      <c r="AY14" s="127" t="str">
        <f t="shared" si="10"/>
        <v/>
      </c>
      <c r="AZ14" s="127" t="str">
        <f t="shared" si="10"/>
        <v/>
      </c>
      <c r="BA14" s="127" t="str">
        <f t="shared" si="10"/>
        <v/>
      </c>
      <c r="BB14" s="127" t="str">
        <f t="shared" si="10"/>
        <v/>
      </c>
      <c r="BC14" s="127" t="str">
        <f t="shared" si="10"/>
        <v/>
      </c>
      <c r="BD14" s="127" t="str">
        <f t="shared" si="10"/>
        <v/>
      </c>
      <c r="BE14" s="127" t="str">
        <f t="shared" si="10"/>
        <v/>
      </c>
      <c r="BF14" s="127" t="str">
        <f t="shared" si="10"/>
        <v/>
      </c>
      <c r="BG14" s="127" t="str">
        <f t="shared" si="10"/>
        <v/>
      </c>
      <c r="BH14" s="127" t="str">
        <f t="shared" si="10"/>
        <v/>
      </c>
      <c r="BI14" s="127" t="str">
        <f t="shared" si="5"/>
        <v/>
      </c>
      <c r="BJ14" s="127" t="str">
        <f t="shared" si="5"/>
        <v/>
      </c>
      <c r="BK14" s="127" t="str">
        <f t="shared" si="5"/>
        <v/>
      </c>
      <c r="BL14" s="127" t="str">
        <f t="shared" si="5"/>
        <v/>
      </c>
      <c r="BM14" s="127" t="str">
        <f t="shared" si="5"/>
        <v/>
      </c>
      <c r="BN14" s="127" t="str">
        <f t="shared" si="5"/>
        <v/>
      </c>
      <c r="BO14" s="127" t="str">
        <f t="shared" si="5"/>
        <v/>
      </c>
      <c r="BP14" s="127" t="str">
        <f t="shared" si="5"/>
        <v/>
      </c>
      <c r="BQ14" s="127" t="str">
        <f t="shared" si="5"/>
        <v/>
      </c>
      <c r="BR14" s="127" t="str">
        <f t="shared" si="5"/>
        <v/>
      </c>
      <c r="BS14" s="127" t="str">
        <f t="shared" si="5"/>
        <v/>
      </c>
      <c r="BT14" s="127" t="str">
        <f t="shared" si="6"/>
        <v/>
      </c>
      <c r="BU14" s="127" t="str">
        <f t="shared" si="6"/>
        <v/>
      </c>
      <c r="BV14" s="127" t="str">
        <f t="shared" si="6"/>
        <v/>
      </c>
      <c r="BW14" s="127" t="str">
        <f t="shared" si="6"/>
        <v/>
      </c>
      <c r="BX14" s="127" t="str">
        <f t="shared" si="6"/>
        <v/>
      </c>
      <c r="BY14" s="127" t="str">
        <f t="shared" si="6"/>
        <v/>
      </c>
      <c r="BZ14" s="127" t="str">
        <f t="shared" si="6"/>
        <v/>
      </c>
      <c r="CA14" s="127" t="str">
        <f t="shared" si="6"/>
        <v/>
      </c>
      <c r="CB14" s="127" t="str">
        <f t="shared" si="6"/>
        <v/>
      </c>
      <c r="CC14" s="127" t="str">
        <f t="shared" si="6"/>
        <v/>
      </c>
      <c r="CD14" s="127" t="str">
        <f t="shared" si="6"/>
        <v/>
      </c>
      <c r="CE14" s="127" t="str">
        <f t="shared" si="6"/>
        <v/>
      </c>
    </row>
    <row r="15" spans="1:83" ht="12.6" customHeight="1" x14ac:dyDescent="0.2">
      <c r="A15" s="106">
        <f>SHIPMENTS!A21</f>
        <v>9259</v>
      </c>
      <c r="B15" s="106" t="str">
        <f>SHIPMENTS!B21</f>
        <v>27200-UAE</v>
      </c>
      <c r="C15" s="132">
        <f>SHIPMENTS!F21</f>
        <v>7.0000000000000007E-2</v>
      </c>
      <c r="D15" s="107" t="str">
        <f>IF((SHIPMENTS!I21)=0,"",SHIPMENTS!I21)</f>
        <v>AIR</v>
      </c>
      <c r="E15" s="176">
        <f>IF((SHIPMENTS!G21)=0,"",SHIPMENTS!G21)</f>
        <v>46316</v>
      </c>
      <c r="F15" s="97">
        <f>VLOOKUP(A15,Items!$A$5:$J$1000,7,0)</f>
        <v>20</v>
      </c>
      <c r="G15" s="98">
        <f>VLOOKUP(A15,load!$A$4:$U$5001,8,0)</f>
        <v>2.2234833333333337</v>
      </c>
      <c r="H15" s="97">
        <f>Manhours!$C$24</f>
        <v>5</v>
      </c>
      <c r="I15" s="98">
        <f t="shared" si="7"/>
        <v>45.5</v>
      </c>
      <c r="J15" s="99">
        <f t="shared" si="0"/>
        <v>4.8867765567765578E-2</v>
      </c>
      <c r="K15" s="99">
        <f t="shared" si="8"/>
        <v>0.44469666666666674</v>
      </c>
      <c r="L15" s="98">
        <f t="shared" si="1"/>
        <v>4.8867765567765578E-2</v>
      </c>
      <c r="M15" s="98">
        <f t="shared" si="2"/>
        <v>0.44469666666666674</v>
      </c>
      <c r="N15" s="181">
        <f>'WWP1-PPS'!N15+1</f>
        <v>46323.33175785256</v>
      </c>
      <c r="O15" s="181">
        <f t="shared" si="9"/>
        <v>46323.380625618127</v>
      </c>
      <c r="P15" s="101">
        <f>VLOOKUP(A15,SHIPMENTS!$A$7:$N$171,12,0)</f>
        <v>0</v>
      </c>
      <c r="Q15" s="101"/>
      <c r="R15" s="127" t="str">
        <f t="shared" si="3"/>
        <v/>
      </c>
      <c r="S15" s="127" t="str">
        <f t="shared" ref="S15:BF21" si="11">IF($E15=S$3,"▲","")</f>
        <v/>
      </c>
      <c r="T15" s="127" t="str">
        <f t="shared" si="11"/>
        <v>▲</v>
      </c>
      <c r="U15" s="127" t="str">
        <f t="shared" si="11"/>
        <v/>
      </c>
      <c r="V15" s="127" t="str">
        <f t="shared" si="11"/>
        <v/>
      </c>
      <c r="W15" s="127" t="str">
        <f t="shared" si="11"/>
        <v/>
      </c>
      <c r="X15" s="127" t="str">
        <f t="shared" si="11"/>
        <v/>
      </c>
      <c r="Y15" s="127" t="str">
        <f t="shared" si="11"/>
        <v/>
      </c>
      <c r="Z15" s="127" t="str">
        <f t="shared" si="11"/>
        <v/>
      </c>
      <c r="AA15" s="127" t="str">
        <f t="shared" si="11"/>
        <v/>
      </c>
      <c r="AB15" s="127" t="str">
        <f t="shared" si="11"/>
        <v/>
      </c>
      <c r="AC15" s="127" t="str">
        <f t="shared" si="11"/>
        <v/>
      </c>
      <c r="AD15" s="127" t="str">
        <f t="shared" si="11"/>
        <v/>
      </c>
      <c r="AE15" s="127" t="str">
        <f t="shared" si="11"/>
        <v/>
      </c>
      <c r="AF15" s="127" t="str">
        <f t="shared" si="11"/>
        <v/>
      </c>
      <c r="AG15" s="127" t="str">
        <f t="shared" si="11"/>
        <v/>
      </c>
      <c r="AH15" s="127" t="str">
        <f t="shared" si="11"/>
        <v/>
      </c>
      <c r="AI15" s="127" t="str">
        <f t="shared" si="11"/>
        <v/>
      </c>
      <c r="AJ15" s="127" t="str">
        <f t="shared" si="11"/>
        <v/>
      </c>
      <c r="AK15" s="127" t="str">
        <f t="shared" si="11"/>
        <v/>
      </c>
      <c r="AL15" s="127" t="str">
        <f t="shared" si="11"/>
        <v/>
      </c>
      <c r="AM15" s="127" t="str">
        <f t="shared" si="11"/>
        <v/>
      </c>
      <c r="AN15" s="127" t="str">
        <f t="shared" si="11"/>
        <v/>
      </c>
      <c r="AO15" s="127" t="str">
        <f t="shared" si="11"/>
        <v/>
      </c>
      <c r="AP15" s="127" t="str">
        <f t="shared" si="11"/>
        <v/>
      </c>
      <c r="AQ15" s="127" t="str">
        <f t="shared" si="11"/>
        <v/>
      </c>
      <c r="AR15" s="127" t="str">
        <f t="shared" si="11"/>
        <v/>
      </c>
      <c r="AS15" s="127" t="str">
        <f t="shared" si="11"/>
        <v/>
      </c>
      <c r="AT15" s="127" t="str">
        <f t="shared" si="11"/>
        <v/>
      </c>
      <c r="AU15" s="127" t="str">
        <f t="shared" si="11"/>
        <v/>
      </c>
      <c r="AV15" s="127" t="str">
        <f t="shared" si="11"/>
        <v/>
      </c>
      <c r="AW15" s="127" t="str">
        <f t="shared" si="11"/>
        <v/>
      </c>
      <c r="AX15" s="127" t="str">
        <f t="shared" si="11"/>
        <v/>
      </c>
      <c r="AY15" s="127" t="str">
        <f t="shared" si="11"/>
        <v/>
      </c>
      <c r="AZ15" s="127" t="str">
        <f t="shared" si="11"/>
        <v/>
      </c>
      <c r="BA15" s="127" t="str">
        <f t="shared" si="11"/>
        <v/>
      </c>
      <c r="BB15" s="127" t="str">
        <f t="shared" si="11"/>
        <v/>
      </c>
      <c r="BC15" s="127" t="str">
        <f t="shared" si="11"/>
        <v/>
      </c>
      <c r="BD15" s="127" t="str">
        <f t="shared" si="11"/>
        <v/>
      </c>
      <c r="BE15" s="127" t="str">
        <f t="shared" si="11"/>
        <v/>
      </c>
      <c r="BF15" s="127" t="str">
        <f t="shared" si="11"/>
        <v/>
      </c>
      <c r="BG15" s="127" t="str">
        <f t="shared" si="10"/>
        <v/>
      </c>
      <c r="BH15" s="127" t="str">
        <f t="shared" si="10"/>
        <v/>
      </c>
      <c r="BI15" s="127" t="str">
        <f t="shared" si="5"/>
        <v/>
      </c>
      <c r="BJ15" s="127" t="str">
        <f t="shared" si="5"/>
        <v/>
      </c>
      <c r="BK15" s="127" t="str">
        <f t="shared" si="5"/>
        <v/>
      </c>
      <c r="BL15" s="127" t="str">
        <f t="shared" si="5"/>
        <v/>
      </c>
      <c r="BM15" s="127" t="str">
        <f t="shared" si="5"/>
        <v/>
      </c>
      <c r="BN15" s="127" t="str">
        <f t="shared" si="5"/>
        <v/>
      </c>
      <c r="BO15" s="127" t="str">
        <f t="shared" si="5"/>
        <v/>
      </c>
      <c r="BP15" s="127" t="str">
        <f t="shared" si="5"/>
        <v/>
      </c>
      <c r="BQ15" s="127" t="str">
        <f t="shared" si="5"/>
        <v/>
      </c>
      <c r="BR15" s="127" t="str">
        <f t="shared" si="5"/>
        <v/>
      </c>
      <c r="BS15" s="127" t="str">
        <f t="shared" si="5"/>
        <v/>
      </c>
      <c r="BT15" s="127" t="str">
        <f t="shared" si="6"/>
        <v/>
      </c>
      <c r="BU15" s="127" t="str">
        <f t="shared" si="6"/>
        <v/>
      </c>
      <c r="BV15" s="127" t="str">
        <f t="shared" si="6"/>
        <v/>
      </c>
      <c r="BW15" s="127" t="str">
        <f t="shared" si="6"/>
        <v/>
      </c>
      <c r="BX15" s="127" t="str">
        <f t="shared" si="6"/>
        <v/>
      </c>
      <c r="BY15" s="127" t="str">
        <f t="shared" si="6"/>
        <v/>
      </c>
      <c r="BZ15" s="127" t="str">
        <f t="shared" si="6"/>
        <v/>
      </c>
      <c r="CA15" s="127" t="str">
        <f t="shared" si="6"/>
        <v/>
      </c>
      <c r="CB15" s="127" t="str">
        <f t="shared" si="6"/>
        <v/>
      </c>
      <c r="CC15" s="127" t="str">
        <f t="shared" si="6"/>
        <v/>
      </c>
      <c r="CD15" s="127" t="str">
        <f t="shared" si="6"/>
        <v/>
      </c>
      <c r="CE15" s="127" t="str">
        <f t="shared" si="6"/>
        <v/>
      </c>
    </row>
    <row r="16" spans="1:83" ht="12.6" customHeight="1" x14ac:dyDescent="0.2">
      <c r="A16" s="106">
        <f>SHIPMENTS!A22</f>
        <v>8765</v>
      </c>
      <c r="B16" s="106" t="str">
        <f>SHIPMENTS!B22</f>
        <v>8200-AUSTRALIA</v>
      </c>
      <c r="C16" s="132">
        <f>SHIPMENTS!F22</f>
        <v>64.930000000000007</v>
      </c>
      <c r="D16" s="107" t="str">
        <f>IF((SHIPMENTS!I22)=0,"",SHIPMENTS!I22)</f>
        <v>1X40HC</v>
      </c>
      <c r="E16" s="176">
        <f>IF((SHIPMENTS!G22)=0,"",SHIPMENTS!G22)</f>
        <v>46316</v>
      </c>
      <c r="F16" s="97">
        <f>VLOOKUP(A16,Items!$A$5:$J$1000,7,0)</f>
        <v>230</v>
      </c>
      <c r="G16" s="98">
        <f>VLOOKUP(A16,load!$A$4:$U$5001,8,0)</f>
        <v>18.734217833333336</v>
      </c>
      <c r="H16" s="97">
        <f>Manhours!$C$24</f>
        <v>5</v>
      </c>
      <c r="I16" s="98">
        <f t="shared" si="7"/>
        <v>45.5</v>
      </c>
      <c r="J16" s="99">
        <f t="shared" si="0"/>
        <v>0.41174105128205135</v>
      </c>
      <c r="K16" s="99">
        <f t="shared" si="8"/>
        <v>3.7468435666666671</v>
      </c>
      <c r="L16" s="98">
        <f t="shared" si="1"/>
        <v>0.41174105128205135</v>
      </c>
      <c r="M16" s="98">
        <f t="shared" si="2"/>
        <v>3.7468435666666671</v>
      </c>
      <c r="N16" s="181">
        <f>'WWP1-PPS'!N16+1</f>
        <v>46323.33175785256</v>
      </c>
      <c r="O16" s="181">
        <f t="shared" si="9"/>
        <v>46323.743498903845</v>
      </c>
      <c r="P16" s="101">
        <f>VLOOKUP(A16,SHIPMENTS!$A$7:$N$171,12,0)</f>
        <v>0</v>
      </c>
      <c r="Q16" s="101"/>
      <c r="R16" s="127" t="str">
        <f t="shared" si="3"/>
        <v/>
      </c>
      <c r="S16" s="127" t="str">
        <f t="shared" si="11"/>
        <v/>
      </c>
      <c r="T16" s="127" t="str">
        <f t="shared" si="11"/>
        <v>▲</v>
      </c>
      <c r="U16" s="127" t="str">
        <f t="shared" si="11"/>
        <v/>
      </c>
      <c r="V16" s="127" t="str">
        <f t="shared" si="11"/>
        <v/>
      </c>
      <c r="W16" s="127" t="str">
        <f t="shared" si="11"/>
        <v/>
      </c>
      <c r="X16" s="127" t="str">
        <f t="shared" si="11"/>
        <v/>
      </c>
      <c r="Y16" s="127" t="str">
        <f t="shared" si="11"/>
        <v/>
      </c>
      <c r="Z16" s="127" t="str">
        <f t="shared" si="11"/>
        <v/>
      </c>
      <c r="AA16" s="127" t="str">
        <f t="shared" si="11"/>
        <v/>
      </c>
      <c r="AB16" s="127" t="str">
        <f t="shared" si="11"/>
        <v/>
      </c>
      <c r="AC16" s="127" t="str">
        <f t="shared" si="11"/>
        <v/>
      </c>
      <c r="AD16" s="127" t="str">
        <f t="shared" si="11"/>
        <v/>
      </c>
      <c r="AE16" s="127" t="str">
        <f t="shared" si="11"/>
        <v/>
      </c>
      <c r="AF16" s="127" t="str">
        <f t="shared" si="11"/>
        <v/>
      </c>
      <c r="AG16" s="127" t="str">
        <f t="shared" si="11"/>
        <v/>
      </c>
      <c r="AH16" s="127" t="str">
        <f t="shared" si="11"/>
        <v/>
      </c>
      <c r="AI16" s="127" t="str">
        <f t="shared" si="11"/>
        <v/>
      </c>
      <c r="AJ16" s="127" t="str">
        <f t="shared" si="11"/>
        <v/>
      </c>
      <c r="AK16" s="127" t="str">
        <f t="shared" si="11"/>
        <v/>
      </c>
      <c r="AL16" s="127" t="str">
        <f t="shared" si="11"/>
        <v/>
      </c>
      <c r="AM16" s="127" t="str">
        <f t="shared" si="11"/>
        <v/>
      </c>
      <c r="AN16" s="127" t="str">
        <f t="shared" si="11"/>
        <v/>
      </c>
      <c r="AO16" s="127" t="str">
        <f t="shared" si="11"/>
        <v/>
      </c>
      <c r="AP16" s="127" t="str">
        <f t="shared" si="11"/>
        <v/>
      </c>
      <c r="AQ16" s="127" t="str">
        <f t="shared" si="11"/>
        <v/>
      </c>
      <c r="AR16" s="127" t="str">
        <f t="shared" si="11"/>
        <v/>
      </c>
      <c r="AS16" s="127" t="str">
        <f t="shared" si="11"/>
        <v/>
      </c>
      <c r="AT16" s="127" t="str">
        <f t="shared" si="11"/>
        <v/>
      </c>
      <c r="AU16" s="127" t="str">
        <f t="shared" si="11"/>
        <v/>
      </c>
      <c r="AV16" s="127" t="str">
        <f t="shared" si="11"/>
        <v/>
      </c>
      <c r="AW16" s="127" t="str">
        <f t="shared" si="11"/>
        <v/>
      </c>
      <c r="AX16" s="127" t="str">
        <f t="shared" si="11"/>
        <v/>
      </c>
      <c r="AY16" s="127" t="str">
        <f t="shared" si="11"/>
        <v/>
      </c>
      <c r="AZ16" s="127" t="str">
        <f t="shared" si="11"/>
        <v/>
      </c>
      <c r="BA16" s="127" t="str">
        <f t="shared" si="11"/>
        <v/>
      </c>
      <c r="BB16" s="127" t="str">
        <f t="shared" si="11"/>
        <v/>
      </c>
      <c r="BC16" s="127" t="str">
        <f t="shared" si="11"/>
        <v/>
      </c>
      <c r="BD16" s="127" t="str">
        <f t="shared" si="11"/>
        <v/>
      </c>
      <c r="BE16" s="127" t="str">
        <f t="shared" si="11"/>
        <v/>
      </c>
      <c r="BF16" s="127" t="str">
        <f t="shared" si="11"/>
        <v/>
      </c>
      <c r="BG16" s="127" t="str">
        <f t="shared" si="10"/>
        <v/>
      </c>
      <c r="BH16" s="127" t="str">
        <f t="shared" si="5"/>
        <v/>
      </c>
      <c r="BI16" s="127" t="str">
        <f t="shared" si="5"/>
        <v/>
      </c>
      <c r="BJ16" s="127" t="str">
        <f t="shared" si="5"/>
        <v/>
      </c>
      <c r="BK16" s="127" t="str">
        <f t="shared" si="5"/>
        <v/>
      </c>
      <c r="BL16" s="127" t="str">
        <f t="shared" si="5"/>
        <v/>
      </c>
      <c r="BM16" s="127" t="str">
        <f t="shared" si="5"/>
        <v/>
      </c>
      <c r="BN16" s="127" t="str">
        <f t="shared" si="5"/>
        <v/>
      </c>
      <c r="BO16" s="127" t="str">
        <f t="shared" si="5"/>
        <v/>
      </c>
      <c r="BP16" s="127" t="str">
        <f t="shared" si="5"/>
        <v/>
      </c>
      <c r="BQ16" s="127" t="str">
        <f t="shared" si="5"/>
        <v/>
      </c>
      <c r="BR16" s="127" t="str">
        <f t="shared" si="5"/>
        <v/>
      </c>
      <c r="BS16" s="127" t="str">
        <f t="shared" si="5"/>
        <v/>
      </c>
      <c r="BT16" s="127" t="str">
        <f t="shared" si="6"/>
        <v/>
      </c>
      <c r="BU16" s="127" t="str">
        <f t="shared" si="6"/>
        <v/>
      </c>
      <c r="BV16" s="127" t="str">
        <f t="shared" si="6"/>
        <v/>
      </c>
      <c r="BW16" s="127" t="str">
        <f t="shared" si="6"/>
        <v/>
      </c>
      <c r="BX16" s="127" t="str">
        <f t="shared" si="6"/>
        <v/>
      </c>
      <c r="BY16" s="127" t="str">
        <f t="shared" si="6"/>
        <v/>
      </c>
      <c r="BZ16" s="127" t="str">
        <f t="shared" si="6"/>
        <v/>
      </c>
      <c r="CA16" s="127" t="str">
        <f t="shared" si="6"/>
        <v/>
      </c>
      <c r="CB16" s="127" t="str">
        <f t="shared" si="6"/>
        <v/>
      </c>
      <c r="CC16" s="127" t="str">
        <f t="shared" si="6"/>
        <v/>
      </c>
      <c r="CD16" s="127" t="str">
        <f t="shared" si="6"/>
        <v/>
      </c>
      <c r="CE16" s="127" t="str">
        <f t="shared" si="6"/>
        <v/>
      </c>
    </row>
    <row r="17" spans="1:83" ht="12.6" customHeight="1" x14ac:dyDescent="0.2">
      <c r="A17" s="106">
        <f>SHIPMENTS!A23</f>
        <v>7919</v>
      </c>
      <c r="B17" s="106" t="str">
        <f>SHIPMENTS!B23</f>
        <v>8200-AUSTRALIA</v>
      </c>
      <c r="C17" s="132">
        <f>SHIPMENTS!F23</f>
        <v>0</v>
      </c>
      <c r="D17" s="107" t="str">
        <f>IF((SHIPMENTS!I23)=0,"",SHIPMENTS!I23)</f>
        <v/>
      </c>
      <c r="E17" s="176" t="str">
        <f>IF((SHIPMENTS!G23)=0,"",SHIPMENTS!G23)</f>
        <v/>
      </c>
      <c r="F17" s="97">
        <f>VLOOKUP(A17,Items!$A$5:$J$1000,7,0)</f>
        <v>0</v>
      </c>
      <c r="G17" s="98">
        <f>VLOOKUP(A17,load!$A$4:$U$5001,8,0)</f>
        <v>0</v>
      </c>
      <c r="H17" s="97">
        <f>Manhours!$C$24</f>
        <v>5</v>
      </c>
      <c r="I17" s="98">
        <f t="shared" si="7"/>
        <v>45.5</v>
      </c>
      <c r="J17" s="99">
        <f t="shared" si="0"/>
        <v>0</v>
      </c>
      <c r="K17" s="99">
        <f t="shared" si="8"/>
        <v>0</v>
      </c>
      <c r="L17" s="98">
        <f t="shared" si="1"/>
        <v>0</v>
      </c>
      <c r="M17" s="98">
        <f t="shared" si="2"/>
        <v>0</v>
      </c>
      <c r="N17" s="181">
        <f>'WWP1-PPS'!N17+1</f>
        <v>46323.697275251827</v>
      </c>
      <c r="O17" s="181">
        <f t="shared" si="9"/>
        <v>46323.697275251827</v>
      </c>
      <c r="P17" s="101">
        <f>VLOOKUP(A17,SHIPMENTS!$A$7:$N$171,12,0)</f>
        <v>1</v>
      </c>
      <c r="Q17" s="101"/>
      <c r="R17" s="127" t="str">
        <f t="shared" si="3"/>
        <v/>
      </c>
      <c r="S17" s="127" t="str">
        <f t="shared" si="11"/>
        <v/>
      </c>
      <c r="T17" s="127" t="str">
        <f t="shared" si="11"/>
        <v/>
      </c>
      <c r="U17" s="127" t="str">
        <f t="shared" si="11"/>
        <v/>
      </c>
      <c r="V17" s="127" t="str">
        <f t="shared" si="11"/>
        <v/>
      </c>
      <c r="W17" s="127" t="str">
        <f t="shared" si="11"/>
        <v/>
      </c>
      <c r="X17" s="127" t="str">
        <f t="shared" si="11"/>
        <v/>
      </c>
      <c r="Y17" s="127" t="str">
        <f t="shared" si="11"/>
        <v/>
      </c>
      <c r="Z17" s="127" t="str">
        <f t="shared" si="11"/>
        <v/>
      </c>
      <c r="AA17" s="127" t="str">
        <f t="shared" si="11"/>
        <v/>
      </c>
      <c r="AB17" s="127" t="str">
        <f t="shared" si="11"/>
        <v/>
      </c>
      <c r="AC17" s="127" t="str">
        <f t="shared" si="11"/>
        <v/>
      </c>
      <c r="AD17" s="127" t="str">
        <f t="shared" si="11"/>
        <v/>
      </c>
      <c r="AE17" s="127" t="str">
        <f t="shared" si="11"/>
        <v/>
      </c>
      <c r="AF17" s="127" t="str">
        <f t="shared" si="11"/>
        <v/>
      </c>
      <c r="AG17" s="127" t="str">
        <f t="shared" si="11"/>
        <v/>
      </c>
      <c r="AH17" s="127" t="str">
        <f t="shared" si="11"/>
        <v/>
      </c>
      <c r="AI17" s="127" t="str">
        <f t="shared" si="11"/>
        <v/>
      </c>
      <c r="AJ17" s="127" t="str">
        <f t="shared" si="11"/>
        <v/>
      </c>
      <c r="AK17" s="127" t="str">
        <f t="shared" si="11"/>
        <v/>
      </c>
      <c r="AL17" s="127" t="str">
        <f t="shared" si="11"/>
        <v/>
      </c>
      <c r="AM17" s="127" t="str">
        <f t="shared" si="11"/>
        <v/>
      </c>
      <c r="AN17" s="127" t="str">
        <f t="shared" si="11"/>
        <v/>
      </c>
      <c r="AO17" s="127" t="str">
        <f t="shared" si="11"/>
        <v/>
      </c>
      <c r="AP17" s="127" t="str">
        <f t="shared" si="11"/>
        <v/>
      </c>
      <c r="AQ17" s="127" t="str">
        <f t="shared" si="11"/>
        <v/>
      </c>
      <c r="AR17" s="127" t="str">
        <f t="shared" si="11"/>
        <v/>
      </c>
      <c r="AS17" s="127" t="str">
        <f t="shared" si="11"/>
        <v/>
      </c>
      <c r="AT17" s="127" t="str">
        <f t="shared" si="11"/>
        <v/>
      </c>
      <c r="AU17" s="127" t="str">
        <f t="shared" si="11"/>
        <v/>
      </c>
      <c r="AV17" s="127" t="str">
        <f t="shared" si="11"/>
        <v/>
      </c>
      <c r="AW17" s="127" t="str">
        <f t="shared" si="11"/>
        <v/>
      </c>
      <c r="AX17" s="127" t="str">
        <f t="shared" si="11"/>
        <v/>
      </c>
      <c r="AY17" s="127" t="str">
        <f t="shared" si="11"/>
        <v/>
      </c>
      <c r="AZ17" s="127" t="str">
        <f t="shared" si="11"/>
        <v/>
      </c>
      <c r="BA17" s="127" t="str">
        <f t="shared" si="11"/>
        <v/>
      </c>
      <c r="BB17" s="127" t="str">
        <f t="shared" si="11"/>
        <v/>
      </c>
      <c r="BC17" s="127" t="str">
        <f t="shared" si="11"/>
        <v/>
      </c>
      <c r="BD17" s="127" t="str">
        <f t="shared" si="11"/>
        <v/>
      </c>
      <c r="BE17" s="127" t="str">
        <f t="shared" si="11"/>
        <v/>
      </c>
      <c r="BF17" s="127" t="str">
        <f t="shared" si="11"/>
        <v/>
      </c>
      <c r="BG17" s="127" t="str">
        <f t="shared" si="10"/>
        <v/>
      </c>
      <c r="BH17" s="127" t="str">
        <f t="shared" si="5"/>
        <v/>
      </c>
      <c r="BI17" s="127" t="str">
        <f t="shared" si="5"/>
        <v/>
      </c>
      <c r="BJ17" s="127" t="str">
        <f t="shared" si="5"/>
        <v/>
      </c>
      <c r="BK17" s="127" t="str">
        <f t="shared" si="5"/>
        <v/>
      </c>
      <c r="BL17" s="127" t="str">
        <f t="shared" si="5"/>
        <v/>
      </c>
      <c r="BM17" s="127" t="str">
        <f t="shared" si="5"/>
        <v/>
      </c>
      <c r="BN17" s="127" t="str">
        <f t="shared" si="5"/>
        <v/>
      </c>
      <c r="BO17" s="127" t="str">
        <f t="shared" si="5"/>
        <v/>
      </c>
      <c r="BP17" s="127" t="str">
        <f t="shared" si="5"/>
        <v/>
      </c>
      <c r="BQ17" s="127" t="str">
        <f t="shared" si="5"/>
        <v/>
      </c>
      <c r="BR17" s="127" t="str">
        <f t="shared" si="5"/>
        <v/>
      </c>
      <c r="BS17" s="127" t="str">
        <f t="shared" si="5"/>
        <v/>
      </c>
      <c r="BT17" s="127" t="str">
        <f t="shared" si="6"/>
        <v/>
      </c>
      <c r="BU17" s="127" t="str">
        <f t="shared" si="6"/>
        <v/>
      </c>
      <c r="BV17" s="127" t="str">
        <f t="shared" si="6"/>
        <v/>
      </c>
      <c r="BW17" s="127" t="str">
        <f t="shared" si="6"/>
        <v/>
      </c>
      <c r="BX17" s="127" t="str">
        <f t="shared" si="6"/>
        <v/>
      </c>
      <c r="BY17" s="127" t="str">
        <f t="shared" si="6"/>
        <v/>
      </c>
      <c r="BZ17" s="127" t="str">
        <f t="shared" si="6"/>
        <v/>
      </c>
      <c r="CA17" s="127" t="str">
        <f t="shared" si="6"/>
        <v/>
      </c>
      <c r="CB17" s="127" t="str">
        <f t="shared" si="6"/>
        <v/>
      </c>
      <c r="CC17" s="127" t="str">
        <f t="shared" si="6"/>
        <v/>
      </c>
      <c r="CD17" s="127" t="str">
        <f t="shared" si="6"/>
        <v/>
      </c>
      <c r="CE17" s="127" t="str">
        <f t="shared" si="6"/>
        <v/>
      </c>
    </row>
    <row r="18" spans="1:83" ht="12.6" customHeight="1" x14ac:dyDescent="0.2">
      <c r="A18" s="106">
        <f>SHIPMENTS!A24</f>
        <v>9015</v>
      </c>
      <c r="B18" s="106" t="str">
        <f>SHIPMENTS!B24</f>
        <v>15900- Mandaue City | Atty. Brando Raya</v>
      </c>
      <c r="C18" s="132">
        <f>SHIPMENTS!F24</f>
        <v>0.25600000000000001</v>
      </c>
      <c r="D18" s="107" t="str">
        <f>IF((SHIPMENTS!I24)=0,"",SHIPMENTS!I24)</f>
        <v>LCL</v>
      </c>
      <c r="E18" s="176">
        <f>IF((SHIPMENTS!G24)=0,"",SHIPMENTS!G24)</f>
        <v>46323</v>
      </c>
      <c r="F18" s="97">
        <f>VLOOKUP(A18,Items!$A$5:$J$1000,7,0)</f>
        <v>6</v>
      </c>
      <c r="G18" s="98">
        <f>VLOOKUP(A18,load!$A$4:$U$5001,8,0)</f>
        <v>0.69022833333333333</v>
      </c>
      <c r="H18" s="97">
        <f>Manhours!$C$24</f>
        <v>5</v>
      </c>
      <c r="I18" s="98">
        <f t="shared" si="7"/>
        <v>45.5</v>
      </c>
      <c r="J18" s="99">
        <f t="shared" si="0"/>
        <v>1.516985347985348E-2</v>
      </c>
      <c r="K18" s="99">
        <f t="shared" si="8"/>
        <v>0.13804566666666668</v>
      </c>
      <c r="L18" s="98">
        <f t="shared" si="1"/>
        <v>1.516985347985348E-2</v>
      </c>
      <c r="M18" s="98">
        <f t="shared" si="2"/>
        <v>0.13804566666666668</v>
      </c>
      <c r="N18" s="181">
        <f>'WWP1-PPS'!N18+1</f>
        <v>46323.697275251827</v>
      </c>
      <c r="O18" s="181">
        <f t="shared" si="9"/>
        <v>46323.71244510531</v>
      </c>
      <c r="P18" s="101">
        <f>VLOOKUP(A18,SHIPMENTS!$A$7:$N$171,12,0)</f>
        <v>0</v>
      </c>
      <c r="Q18" s="101"/>
      <c r="R18" s="127" t="str">
        <f t="shared" si="3"/>
        <v/>
      </c>
      <c r="S18" s="127" t="str">
        <f t="shared" si="11"/>
        <v/>
      </c>
      <c r="T18" s="127" t="str">
        <f t="shared" si="11"/>
        <v/>
      </c>
      <c r="U18" s="127" t="str">
        <f t="shared" si="11"/>
        <v/>
      </c>
      <c r="V18" s="127" t="str">
        <f t="shared" si="11"/>
        <v/>
      </c>
      <c r="W18" s="127" t="str">
        <f t="shared" si="11"/>
        <v/>
      </c>
      <c r="X18" s="127" t="str">
        <f t="shared" si="11"/>
        <v/>
      </c>
      <c r="Y18" s="127" t="str">
        <f t="shared" si="11"/>
        <v/>
      </c>
      <c r="Z18" s="127" t="str">
        <f t="shared" si="11"/>
        <v>▲</v>
      </c>
      <c r="AA18" s="127" t="str">
        <f t="shared" si="11"/>
        <v/>
      </c>
      <c r="AB18" s="127" t="str">
        <f t="shared" si="11"/>
        <v/>
      </c>
      <c r="AC18" s="127" t="str">
        <f t="shared" si="11"/>
        <v/>
      </c>
      <c r="AD18" s="127" t="str">
        <f t="shared" si="11"/>
        <v/>
      </c>
      <c r="AE18" s="127" t="str">
        <f t="shared" si="11"/>
        <v/>
      </c>
      <c r="AF18" s="127" t="str">
        <f t="shared" si="11"/>
        <v/>
      </c>
      <c r="AG18" s="127" t="str">
        <f t="shared" si="11"/>
        <v/>
      </c>
      <c r="AH18" s="127" t="str">
        <f t="shared" si="11"/>
        <v/>
      </c>
      <c r="AI18" s="127" t="str">
        <f t="shared" si="11"/>
        <v/>
      </c>
      <c r="AJ18" s="127" t="str">
        <f t="shared" si="11"/>
        <v/>
      </c>
      <c r="AK18" s="127" t="str">
        <f t="shared" si="11"/>
        <v/>
      </c>
      <c r="AL18" s="127" t="str">
        <f t="shared" si="11"/>
        <v/>
      </c>
      <c r="AM18" s="127" t="str">
        <f t="shared" si="11"/>
        <v/>
      </c>
      <c r="AN18" s="127" t="str">
        <f t="shared" si="11"/>
        <v/>
      </c>
      <c r="AO18" s="127" t="str">
        <f t="shared" si="11"/>
        <v/>
      </c>
      <c r="AP18" s="127" t="str">
        <f t="shared" si="11"/>
        <v/>
      </c>
      <c r="AQ18" s="127" t="str">
        <f t="shared" si="11"/>
        <v/>
      </c>
      <c r="AR18" s="127" t="str">
        <f t="shared" si="11"/>
        <v/>
      </c>
      <c r="AS18" s="127" t="str">
        <f t="shared" si="11"/>
        <v/>
      </c>
      <c r="AT18" s="127" t="str">
        <f t="shared" si="11"/>
        <v/>
      </c>
      <c r="AU18" s="127" t="str">
        <f t="shared" si="11"/>
        <v/>
      </c>
      <c r="AV18" s="127" t="str">
        <f t="shared" si="11"/>
        <v/>
      </c>
      <c r="AW18" s="127" t="str">
        <f t="shared" si="11"/>
        <v/>
      </c>
      <c r="AX18" s="127" t="str">
        <f t="shared" si="11"/>
        <v/>
      </c>
      <c r="AY18" s="127" t="str">
        <f t="shared" si="11"/>
        <v/>
      </c>
      <c r="AZ18" s="127" t="str">
        <f t="shared" si="11"/>
        <v/>
      </c>
      <c r="BA18" s="127" t="str">
        <f t="shared" si="11"/>
        <v/>
      </c>
      <c r="BB18" s="127" t="str">
        <f t="shared" si="11"/>
        <v/>
      </c>
      <c r="BC18" s="127" t="str">
        <f t="shared" si="11"/>
        <v/>
      </c>
      <c r="BD18" s="127" t="str">
        <f t="shared" si="11"/>
        <v/>
      </c>
      <c r="BE18" s="127" t="str">
        <f t="shared" si="11"/>
        <v/>
      </c>
      <c r="BF18" s="127" t="str">
        <f t="shared" si="11"/>
        <v/>
      </c>
      <c r="BG18" s="127" t="str">
        <f t="shared" si="10"/>
        <v/>
      </c>
      <c r="BH18" s="127" t="str">
        <f t="shared" si="5"/>
        <v/>
      </c>
      <c r="BI18" s="127" t="str">
        <f t="shared" si="5"/>
        <v/>
      </c>
      <c r="BJ18" s="127" t="str">
        <f t="shared" si="5"/>
        <v/>
      </c>
      <c r="BK18" s="127" t="str">
        <f t="shared" si="5"/>
        <v/>
      </c>
      <c r="BL18" s="127" t="str">
        <f t="shared" si="5"/>
        <v/>
      </c>
      <c r="BM18" s="127" t="str">
        <f t="shared" si="5"/>
        <v/>
      </c>
      <c r="BN18" s="127" t="str">
        <f t="shared" si="5"/>
        <v/>
      </c>
      <c r="BO18" s="127" t="str">
        <f t="shared" si="5"/>
        <v/>
      </c>
      <c r="BP18" s="127" t="str">
        <f t="shared" si="5"/>
        <v/>
      </c>
      <c r="BQ18" s="127" t="str">
        <f t="shared" si="5"/>
        <v/>
      </c>
      <c r="BR18" s="127" t="str">
        <f t="shared" si="5"/>
        <v/>
      </c>
      <c r="BS18" s="127" t="str">
        <f t="shared" si="5"/>
        <v/>
      </c>
      <c r="BT18" s="127" t="str">
        <f t="shared" si="6"/>
        <v/>
      </c>
      <c r="BU18" s="127" t="str">
        <f t="shared" si="6"/>
        <v/>
      </c>
      <c r="BV18" s="127" t="str">
        <f t="shared" si="6"/>
        <v/>
      </c>
      <c r="BW18" s="127" t="str">
        <f t="shared" si="6"/>
        <v/>
      </c>
      <c r="BX18" s="127" t="str">
        <f t="shared" si="6"/>
        <v/>
      </c>
      <c r="BY18" s="127" t="str">
        <f t="shared" si="6"/>
        <v/>
      </c>
      <c r="BZ18" s="127" t="str">
        <f t="shared" si="6"/>
        <v/>
      </c>
      <c r="CA18" s="127" t="str">
        <f t="shared" si="6"/>
        <v/>
      </c>
      <c r="CB18" s="127" t="str">
        <f t="shared" si="6"/>
        <v/>
      </c>
      <c r="CC18" s="127" t="str">
        <f t="shared" si="6"/>
        <v/>
      </c>
      <c r="CD18" s="127" t="str">
        <f t="shared" si="6"/>
        <v/>
      </c>
      <c r="CE18" s="127" t="str">
        <f t="shared" si="6"/>
        <v/>
      </c>
    </row>
    <row r="19" spans="1:83" ht="12.6" customHeight="1" x14ac:dyDescent="0.2">
      <c r="A19" s="106">
        <f>SHIPMENTS!A25</f>
        <v>9063</v>
      </c>
      <c r="B19" s="106" t="str">
        <f>SHIPMENTS!B25</f>
        <v>15900- Borongan City | Kookie Lim Uy / 3K Salon And Spa</v>
      </c>
      <c r="C19" s="132">
        <f>SHIPMENTS!F25</f>
        <v>0.12</v>
      </c>
      <c r="D19" s="107" t="str">
        <f>IF((SHIPMENTS!I25)=0,"",SHIPMENTS!I25)</f>
        <v/>
      </c>
      <c r="E19" s="176">
        <f>IF((SHIPMENTS!G25)=0,"",SHIPMENTS!G25)</f>
        <v>46323</v>
      </c>
      <c r="F19" s="97">
        <f>VLOOKUP(A19,Items!$A$5:$J$1000,7,0)</f>
        <v>5</v>
      </c>
      <c r="G19" s="98">
        <f>VLOOKUP(A19,load!$A$4:$U$5001,8,0)</f>
        <v>0.50679566666666664</v>
      </c>
      <c r="H19" s="97">
        <f>Manhours!$C$24</f>
        <v>5</v>
      </c>
      <c r="I19" s="98">
        <f t="shared" si="7"/>
        <v>45.5</v>
      </c>
      <c r="J19" s="99">
        <f t="shared" ref="J19:J27" si="12">G19/I19</f>
        <v>1.11383663003663E-2</v>
      </c>
      <c r="K19" s="99">
        <f t="shared" si="8"/>
        <v>0.10135913333333332</v>
      </c>
      <c r="L19" s="98">
        <f t="shared" si="1"/>
        <v>1.11383663003663E-2</v>
      </c>
      <c r="M19" s="98">
        <f t="shared" si="2"/>
        <v>0.10135913333333332</v>
      </c>
      <c r="N19" s="181">
        <f>'WWP1-PPS'!N19+1</f>
        <v>46323.706742399263</v>
      </c>
      <c r="O19" s="181">
        <f t="shared" si="9"/>
        <v>46323.717880765565</v>
      </c>
      <c r="P19" s="101">
        <f>VLOOKUP(A19,SHIPMENTS!$A$7:$N$171,12,0)</f>
        <v>0</v>
      </c>
      <c r="Q19" s="101"/>
      <c r="R19" s="127" t="str">
        <f t="shared" si="3"/>
        <v/>
      </c>
      <c r="S19" s="127" t="str">
        <f t="shared" si="11"/>
        <v/>
      </c>
      <c r="T19" s="127" t="str">
        <f t="shared" si="11"/>
        <v/>
      </c>
      <c r="U19" s="127" t="str">
        <f t="shared" si="11"/>
        <v/>
      </c>
      <c r="V19" s="127" t="str">
        <f t="shared" si="11"/>
        <v/>
      </c>
      <c r="W19" s="127" t="str">
        <f t="shared" si="11"/>
        <v/>
      </c>
      <c r="X19" s="127" t="str">
        <f t="shared" si="11"/>
        <v/>
      </c>
      <c r="Y19" s="127" t="str">
        <f t="shared" si="11"/>
        <v/>
      </c>
      <c r="Z19" s="127" t="str">
        <f t="shared" si="11"/>
        <v>▲</v>
      </c>
      <c r="AA19" s="127" t="str">
        <f t="shared" si="11"/>
        <v/>
      </c>
      <c r="AB19" s="127" t="str">
        <f t="shared" si="11"/>
        <v/>
      </c>
      <c r="AC19" s="127" t="str">
        <f t="shared" si="11"/>
        <v/>
      </c>
      <c r="AD19" s="127" t="str">
        <f t="shared" si="11"/>
        <v/>
      </c>
      <c r="AE19" s="127" t="str">
        <f t="shared" si="11"/>
        <v/>
      </c>
      <c r="AF19" s="127" t="str">
        <f t="shared" si="11"/>
        <v/>
      </c>
      <c r="AG19" s="127" t="str">
        <f t="shared" si="11"/>
        <v/>
      </c>
      <c r="AH19" s="127" t="str">
        <f t="shared" si="11"/>
        <v/>
      </c>
      <c r="AI19" s="127" t="str">
        <f t="shared" si="11"/>
        <v/>
      </c>
      <c r="AJ19" s="127" t="str">
        <f t="shared" si="11"/>
        <v/>
      </c>
      <c r="AK19" s="127" t="str">
        <f t="shared" si="11"/>
        <v/>
      </c>
      <c r="AL19" s="127" t="str">
        <f t="shared" si="11"/>
        <v/>
      </c>
      <c r="AM19" s="127" t="str">
        <f t="shared" si="11"/>
        <v/>
      </c>
      <c r="AN19" s="127" t="str">
        <f t="shared" si="11"/>
        <v/>
      </c>
      <c r="AO19" s="127" t="str">
        <f t="shared" si="11"/>
        <v/>
      </c>
      <c r="AP19" s="127" t="str">
        <f t="shared" si="11"/>
        <v/>
      </c>
      <c r="AQ19" s="127" t="str">
        <f t="shared" si="11"/>
        <v/>
      </c>
      <c r="AR19" s="127" t="str">
        <f t="shared" si="11"/>
        <v/>
      </c>
      <c r="AS19" s="127" t="str">
        <f t="shared" si="11"/>
        <v/>
      </c>
      <c r="AT19" s="127" t="str">
        <f t="shared" si="11"/>
        <v/>
      </c>
      <c r="AU19" s="127" t="str">
        <f t="shared" si="11"/>
        <v/>
      </c>
      <c r="AV19" s="127" t="str">
        <f t="shared" si="11"/>
        <v/>
      </c>
      <c r="AW19" s="127" t="str">
        <f t="shared" si="11"/>
        <v/>
      </c>
      <c r="AX19" s="127" t="str">
        <f t="shared" si="11"/>
        <v/>
      </c>
      <c r="AY19" s="127" t="str">
        <f t="shared" si="11"/>
        <v/>
      </c>
      <c r="AZ19" s="127" t="str">
        <f t="shared" si="11"/>
        <v/>
      </c>
      <c r="BA19" s="127" t="str">
        <f t="shared" si="11"/>
        <v/>
      </c>
      <c r="BB19" s="127" t="str">
        <f t="shared" si="11"/>
        <v/>
      </c>
      <c r="BC19" s="127" t="str">
        <f t="shared" si="11"/>
        <v/>
      </c>
      <c r="BD19" s="127" t="str">
        <f t="shared" si="11"/>
        <v/>
      </c>
      <c r="BE19" s="127" t="str">
        <f t="shared" si="11"/>
        <v/>
      </c>
      <c r="BF19" s="127" t="str">
        <f t="shared" si="11"/>
        <v/>
      </c>
      <c r="BG19" s="127" t="str">
        <f t="shared" si="10"/>
        <v/>
      </c>
      <c r="BH19" s="127" t="str">
        <f t="shared" si="5"/>
        <v/>
      </c>
      <c r="BI19" s="127" t="str">
        <f t="shared" si="5"/>
        <v/>
      </c>
      <c r="BJ19" s="127" t="str">
        <f t="shared" si="5"/>
        <v/>
      </c>
      <c r="BK19" s="127" t="str">
        <f t="shared" si="5"/>
        <v/>
      </c>
      <c r="BL19" s="127" t="str">
        <f t="shared" si="5"/>
        <v/>
      </c>
      <c r="BM19" s="127" t="str">
        <f t="shared" si="5"/>
        <v/>
      </c>
      <c r="BN19" s="127" t="str">
        <f t="shared" si="5"/>
        <v/>
      </c>
      <c r="BO19" s="127" t="str">
        <f t="shared" si="5"/>
        <v/>
      </c>
      <c r="BP19" s="127" t="str">
        <f t="shared" si="5"/>
        <v/>
      </c>
      <c r="BQ19" s="127" t="str">
        <f t="shared" si="5"/>
        <v/>
      </c>
      <c r="BR19" s="127" t="str">
        <f t="shared" si="5"/>
        <v/>
      </c>
      <c r="BS19" s="127" t="str">
        <f t="shared" si="5"/>
        <v/>
      </c>
      <c r="BT19" s="127" t="str">
        <f t="shared" si="6"/>
        <v/>
      </c>
      <c r="BU19" s="127" t="str">
        <f t="shared" si="6"/>
        <v/>
      </c>
      <c r="BV19" s="127" t="str">
        <f t="shared" si="6"/>
        <v/>
      </c>
      <c r="BW19" s="127" t="str">
        <f t="shared" si="6"/>
        <v/>
      </c>
      <c r="BX19" s="127" t="str">
        <f t="shared" si="6"/>
        <v/>
      </c>
      <c r="BY19" s="127" t="str">
        <f t="shared" si="6"/>
        <v/>
      </c>
      <c r="BZ19" s="127" t="str">
        <f t="shared" si="6"/>
        <v/>
      </c>
      <c r="CA19" s="127" t="str">
        <f t="shared" si="6"/>
        <v/>
      </c>
      <c r="CB19" s="127" t="str">
        <f t="shared" si="6"/>
        <v/>
      </c>
      <c r="CC19" s="127" t="str">
        <f t="shared" si="6"/>
        <v/>
      </c>
      <c r="CD19" s="127" t="str">
        <f t="shared" si="6"/>
        <v/>
      </c>
      <c r="CE19" s="127" t="str">
        <f t="shared" si="6"/>
        <v/>
      </c>
    </row>
    <row r="20" spans="1:83" ht="12.6" customHeight="1" x14ac:dyDescent="0.2">
      <c r="A20" s="106">
        <f>SHIPMENTS!A26</f>
        <v>9131</v>
      </c>
      <c r="B20" s="106" t="str">
        <f>SHIPMENTS!B26</f>
        <v>15900- Cagayan De Oro |Kevin Anthony Pilapil Lagumbay</v>
      </c>
      <c r="C20" s="132">
        <f>SHIPMENTS!F26</f>
        <v>0.12</v>
      </c>
      <c r="D20" s="107" t="str">
        <f>IF((SHIPMENTS!I26)=0,"",SHIPMENTS!I26)</f>
        <v/>
      </c>
      <c r="E20" s="176">
        <f>IF((SHIPMENTS!G26)=0,"",SHIPMENTS!G26)</f>
        <v>46323</v>
      </c>
      <c r="F20" s="97">
        <f>VLOOKUP(A20,Items!$A$5:$J$1000,7,0)</f>
        <v>6</v>
      </c>
      <c r="G20" s="98">
        <f>VLOOKUP(A20,load!$A$4:$U$5001,8,0)</f>
        <v>0.6053683333333334</v>
      </c>
      <c r="H20" s="97">
        <f>Manhours!$C$24</f>
        <v>5</v>
      </c>
      <c r="I20" s="98">
        <f t="shared" si="7"/>
        <v>45.5</v>
      </c>
      <c r="J20" s="99">
        <f t="shared" si="12"/>
        <v>1.3304798534798537E-2</v>
      </c>
      <c r="K20" s="99">
        <f t="shared" si="8"/>
        <v>0.12107366666666668</v>
      </c>
      <c r="L20" s="98">
        <f t="shared" ref="L20:L27" si="13">IFERROR(J20-(J20*P20),0)</f>
        <v>1.3304798534798537E-2</v>
      </c>
      <c r="M20" s="98">
        <f t="shared" ref="M20:M27" si="14">IFERROR(K20-(K20*P20),0)</f>
        <v>0.12107366666666668</v>
      </c>
      <c r="N20" s="181">
        <f>'WWP1-PPS'!N20+1</f>
        <v>46323.711180357139</v>
      </c>
      <c r="O20" s="181">
        <f t="shared" si="9"/>
        <v>46323.724485155675</v>
      </c>
      <c r="P20" s="101">
        <f>VLOOKUP(A20,SHIPMENTS!$A$7:$N$171,12,0)</f>
        <v>0</v>
      </c>
      <c r="Q20" s="101"/>
      <c r="R20" s="127" t="str">
        <f t="shared" si="3"/>
        <v/>
      </c>
      <c r="S20" s="127" t="str">
        <f t="shared" si="11"/>
        <v/>
      </c>
      <c r="T20" s="127" t="str">
        <f t="shared" si="11"/>
        <v/>
      </c>
      <c r="U20" s="127" t="str">
        <f t="shared" si="11"/>
        <v/>
      </c>
      <c r="V20" s="127" t="str">
        <f t="shared" si="11"/>
        <v/>
      </c>
      <c r="W20" s="127" t="str">
        <f t="shared" si="11"/>
        <v/>
      </c>
      <c r="X20" s="127" t="str">
        <f t="shared" si="11"/>
        <v/>
      </c>
      <c r="Y20" s="127" t="str">
        <f t="shared" si="11"/>
        <v/>
      </c>
      <c r="Z20" s="127" t="str">
        <f t="shared" si="11"/>
        <v>▲</v>
      </c>
      <c r="AA20" s="127" t="str">
        <f t="shared" si="11"/>
        <v/>
      </c>
      <c r="AB20" s="127" t="str">
        <f t="shared" si="11"/>
        <v/>
      </c>
      <c r="AC20" s="127" t="str">
        <f t="shared" si="11"/>
        <v/>
      </c>
      <c r="AD20" s="127" t="str">
        <f t="shared" si="11"/>
        <v/>
      </c>
      <c r="AE20" s="127" t="str">
        <f t="shared" si="11"/>
        <v/>
      </c>
      <c r="AF20" s="127" t="str">
        <f t="shared" si="11"/>
        <v/>
      </c>
      <c r="AG20" s="127" t="str">
        <f t="shared" si="11"/>
        <v/>
      </c>
      <c r="AH20" s="127" t="str">
        <f t="shared" si="11"/>
        <v/>
      </c>
      <c r="AI20" s="127" t="str">
        <f t="shared" si="11"/>
        <v/>
      </c>
      <c r="AJ20" s="127" t="str">
        <f t="shared" si="11"/>
        <v/>
      </c>
      <c r="AK20" s="127" t="str">
        <f t="shared" si="11"/>
        <v/>
      </c>
      <c r="AL20" s="127" t="str">
        <f t="shared" si="11"/>
        <v/>
      </c>
      <c r="AM20" s="127" t="str">
        <f t="shared" si="11"/>
        <v/>
      </c>
      <c r="AN20" s="127" t="str">
        <f t="shared" si="11"/>
        <v/>
      </c>
      <c r="AO20" s="127" t="str">
        <f t="shared" si="11"/>
        <v/>
      </c>
      <c r="AP20" s="127" t="str">
        <f t="shared" si="11"/>
        <v/>
      </c>
      <c r="AQ20" s="127" t="str">
        <f t="shared" si="11"/>
        <v/>
      </c>
      <c r="AR20" s="127" t="str">
        <f t="shared" si="11"/>
        <v/>
      </c>
      <c r="AS20" s="127" t="str">
        <f t="shared" si="11"/>
        <v/>
      </c>
      <c r="AT20" s="127" t="str">
        <f t="shared" si="11"/>
        <v/>
      </c>
      <c r="AU20" s="127" t="str">
        <f t="shared" si="11"/>
        <v/>
      </c>
      <c r="AV20" s="127" t="str">
        <f t="shared" si="11"/>
        <v/>
      </c>
      <c r="AW20" s="127" t="str">
        <f t="shared" si="11"/>
        <v/>
      </c>
      <c r="AX20" s="127" t="str">
        <f t="shared" si="11"/>
        <v/>
      </c>
      <c r="AY20" s="127" t="str">
        <f t="shared" si="11"/>
        <v/>
      </c>
      <c r="AZ20" s="127" t="str">
        <f t="shared" si="11"/>
        <v/>
      </c>
      <c r="BA20" s="127" t="str">
        <f t="shared" si="11"/>
        <v/>
      </c>
      <c r="BB20" s="127" t="str">
        <f t="shared" si="11"/>
        <v/>
      </c>
      <c r="BC20" s="127" t="str">
        <f t="shared" si="11"/>
        <v/>
      </c>
      <c r="BD20" s="127" t="str">
        <f t="shared" si="11"/>
        <v/>
      </c>
      <c r="BE20" s="127" t="str">
        <f t="shared" si="11"/>
        <v/>
      </c>
      <c r="BF20" s="127" t="str">
        <f t="shared" si="11"/>
        <v/>
      </c>
      <c r="BG20" s="127" t="str">
        <f t="shared" si="10"/>
        <v/>
      </c>
      <c r="BH20" s="127" t="str">
        <f t="shared" si="5"/>
        <v/>
      </c>
      <c r="BI20" s="127" t="str">
        <f t="shared" si="5"/>
        <v/>
      </c>
      <c r="BJ20" s="127" t="str">
        <f t="shared" si="5"/>
        <v/>
      </c>
      <c r="BK20" s="127" t="str">
        <f t="shared" si="5"/>
        <v/>
      </c>
      <c r="BL20" s="127" t="str">
        <f t="shared" si="5"/>
        <v/>
      </c>
      <c r="BM20" s="127" t="str">
        <f t="shared" si="5"/>
        <v/>
      </c>
      <c r="BN20" s="127" t="str">
        <f t="shared" si="5"/>
        <v/>
      </c>
      <c r="BO20" s="127" t="str">
        <f t="shared" si="5"/>
        <v/>
      </c>
      <c r="BP20" s="127" t="str">
        <f t="shared" si="5"/>
        <v/>
      </c>
      <c r="BQ20" s="127" t="str">
        <f t="shared" si="5"/>
        <v/>
      </c>
      <c r="BR20" s="127" t="str">
        <f t="shared" si="5"/>
        <v/>
      </c>
      <c r="BS20" s="127" t="str">
        <f t="shared" si="5"/>
        <v/>
      </c>
      <c r="BT20" s="127" t="str">
        <f t="shared" si="6"/>
        <v/>
      </c>
      <c r="BU20" s="127" t="str">
        <f t="shared" si="6"/>
        <v/>
      </c>
      <c r="BV20" s="127" t="str">
        <f t="shared" si="6"/>
        <v/>
      </c>
      <c r="BW20" s="127" t="str">
        <f t="shared" si="6"/>
        <v/>
      </c>
      <c r="BX20" s="127" t="str">
        <f t="shared" si="6"/>
        <v/>
      </c>
      <c r="BY20" s="127" t="str">
        <f t="shared" si="6"/>
        <v/>
      </c>
      <c r="BZ20" s="127" t="str">
        <f t="shared" si="6"/>
        <v/>
      </c>
      <c r="CA20" s="127" t="str">
        <f t="shared" si="6"/>
        <v/>
      </c>
      <c r="CB20" s="127" t="str">
        <f t="shared" si="6"/>
        <v/>
      </c>
      <c r="CC20" s="127" t="str">
        <f t="shared" si="6"/>
        <v/>
      </c>
      <c r="CD20" s="127" t="str">
        <f t="shared" si="6"/>
        <v/>
      </c>
      <c r="CE20" s="127" t="str">
        <f t="shared" si="6"/>
        <v/>
      </c>
    </row>
    <row r="21" spans="1:83" ht="12.6" customHeight="1" x14ac:dyDescent="0.2">
      <c r="A21" s="106">
        <f>SHIPMENTS!A27</f>
        <v>9228</v>
      </c>
      <c r="B21" s="106" t="str">
        <f>SHIPMENTS!B27</f>
        <v>15900- Cebu City |Stephanie Sarmiento</v>
      </c>
      <c r="C21" s="132">
        <f>SHIPMENTS!F27</f>
        <v>0.16</v>
      </c>
      <c r="D21" s="107" t="str">
        <f>IF((SHIPMENTS!I27)=0,"",SHIPMENTS!I27)</f>
        <v/>
      </c>
      <c r="E21" s="176">
        <f>IF((SHIPMENTS!G27)=0,"",SHIPMENTS!G27)</f>
        <v>46323</v>
      </c>
      <c r="F21" s="97">
        <f>VLOOKUP(A21,Items!$A$5:$J$1000,7,0)</f>
        <v>7</v>
      </c>
      <c r="G21" s="98">
        <f>VLOOKUP(A21,load!$A$4:$U$5001,8,0)</f>
        <v>0.76893650000000002</v>
      </c>
      <c r="H21" s="97">
        <f>Manhours!$C$24</f>
        <v>5</v>
      </c>
      <c r="I21" s="98">
        <f t="shared" si="7"/>
        <v>45.5</v>
      </c>
      <c r="J21" s="99">
        <f t="shared" si="12"/>
        <v>1.6899703296703296E-2</v>
      </c>
      <c r="K21" s="99">
        <f t="shared" si="8"/>
        <v>0.15378729999999999</v>
      </c>
      <c r="L21" s="98">
        <f t="shared" si="13"/>
        <v>1.6899703296703296E-2</v>
      </c>
      <c r="M21" s="98">
        <f t="shared" si="14"/>
        <v>0.15378729999999999</v>
      </c>
      <c r="N21" s="181">
        <f>'WWP1-PPS'!N21+1</f>
        <v>46323.721444780218</v>
      </c>
      <c r="O21" s="181">
        <f t="shared" si="9"/>
        <v>46323.738344483514</v>
      </c>
      <c r="P21" s="101">
        <f>VLOOKUP(A21,SHIPMENTS!$A$7:$N$171,12,0)</f>
        <v>0</v>
      </c>
      <c r="Q21" s="101"/>
      <c r="R21" s="127" t="str">
        <f t="shared" si="3"/>
        <v/>
      </c>
      <c r="S21" s="127" t="str">
        <f t="shared" si="11"/>
        <v/>
      </c>
      <c r="T21" s="127" t="str">
        <f t="shared" si="11"/>
        <v/>
      </c>
      <c r="U21" s="127" t="str">
        <f t="shared" si="11"/>
        <v/>
      </c>
      <c r="V21" s="127" t="str">
        <f t="shared" si="11"/>
        <v/>
      </c>
      <c r="W21" s="127" t="str">
        <f t="shared" si="11"/>
        <v/>
      </c>
      <c r="X21" s="127" t="str">
        <f t="shared" si="11"/>
        <v/>
      </c>
      <c r="Y21" s="127" t="str">
        <f t="shared" si="11"/>
        <v/>
      </c>
      <c r="Z21" s="127" t="str">
        <f t="shared" si="11"/>
        <v>▲</v>
      </c>
      <c r="AA21" s="127" t="str">
        <f t="shared" si="11"/>
        <v/>
      </c>
      <c r="AB21" s="127" t="str">
        <f t="shared" si="11"/>
        <v/>
      </c>
      <c r="AC21" s="127" t="str">
        <f t="shared" si="11"/>
        <v/>
      </c>
      <c r="AD21" s="127" t="str">
        <f t="shared" si="11"/>
        <v/>
      </c>
      <c r="AE21" s="127" t="str">
        <f t="shared" si="11"/>
        <v/>
      </c>
      <c r="AF21" s="127" t="str">
        <f t="shared" si="11"/>
        <v/>
      </c>
      <c r="AG21" s="127" t="str">
        <f t="shared" si="11"/>
        <v/>
      </c>
      <c r="AH21" s="127" t="str">
        <f t="shared" ref="AH21:BH36" si="15">IF($E21=AH$3,"▲","")</f>
        <v/>
      </c>
      <c r="AI21" s="127" t="str">
        <f t="shared" si="15"/>
        <v/>
      </c>
      <c r="AJ21" s="127" t="str">
        <f t="shared" si="15"/>
        <v/>
      </c>
      <c r="AK21" s="127" t="str">
        <f t="shared" si="15"/>
        <v/>
      </c>
      <c r="AL21" s="127" t="str">
        <f t="shared" si="15"/>
        <v/>
      </c>
      <c r="AM21" s="127" t="str">
        <f t="shared" si="15"/>
        <v/>
      </c>
      <c r="AN21" s="127" t="str">
        <f t="shared" si="15"/>
        <v/>
      </c>
      <c r="AO21" s="127" t="str">
        <f t="shared" si="15"/>
        <v/>
      </c>
      <c r="AP21" s="127" t="str">
        <f t="shared" si="15"/>
        <v/>
      </c>
      <c r="AQ21" s="127" t="str">
        <f t="shared" si="15"/>
        <v/>
      </c>
      <c r="AR21" s="127" t="str">
        <f t="shared" si="15"/>
        <v/>
      </c>
      <c r="AS21" s="127" t="str">
        <f t="shared" si="15"/>
        <v/>
      </c>
      <c r="AT21" s="127" t="str">
        <f t="shared" si="15"/>
        <v/>
      </c>
      <c r="AU21" s="127" t="str">
        <f t="shared" si="15"/>
        <v/>
      </c>
      <c r="AV21" s="127" t="str">
        <f t="shared" si="15"/>
        <v/>
      </c>
      <c r="AW21" s="127" t="str">
        <f t="shared" si="15"/>
        <v/>
      </c>
      <c r="AX21" s="127" t="str">
        <f t="shared" si="15"/>
        <v/>
      </c>
      <c r="AY21" s="127" t="str">
        <f t="shared" si="15"/>
        <v/>
      </c>
      <c r="AZ21" s="127" t="str">
        <f t="shared" si="15"/>
        <v/>
      </c>
      <c r="BA21" s="127" t="str">
        <f t="shared" si="15"/>
        <v/>
      </c>
      <c r="BB21" s="127" t="str">
        <f t="shared" si="15"/>
        <v/>
      </c>
      <c r="BC21" s="127" t="str">
        <f t="shared" si="15"/>
        <v/>
      </c>
      <c r="BD21" s="127" t="str">
        <f t="shared" si="15"/>
        <v/>
      </c>
      <c r="BE21" s="127" t="str">
        <f t="shared" si="15"/>
        <v/>
      </c>
      <c r="BF21" s="127" t="str">
        <f t="shared" si="15"/>
        <v/>
      </c>
      <c r="BG21" s="127" t="str">
        <f t="shared" si="15"/>
        <v/>
      </c>
      <c r="BH21" s="127" t="str">
        <f t="shared" si="15"/>
        <v/>
      </c>
      <c r="BI21" s="127" t="str">
        <f t="shared" si="5"/>
        <v/>
      </c>
      <c r="BJ21" s="127" t="str">
        <f t="shared" si="5"/>
        <v/>
      </c>
      <c r="BK21" s="127" t="str">
        <f t="shared" si="5"/>
        <v/>
      </c>
      <c r="BL21" s="127" t="str">
        <f t="shared" si="5"/>
        <v/>
      </c>
      <c r="BM21" s="127" t="str">
        <f t="shared" si="5"/>
        <v/>
      </c>
      <c r="BN21" s="127" t="str">
        <f t="shared" si="5"/>
        <v/>
      </c>
      <c r="BO21" s="127" t="str">
        <f t="shared" si="5"/>
        <v/>
      </c>
      <c r="BP21" s="127" t="str">
        <f t="shared" si="5"/>
        <v/>
      </c>
      <c r="BQ21" s="127" t="str">
        <f t="shared" si="5"/>
        <v/>
      </c>
      <c r="BR21" s="127" t="str">
        <f t="shared" si="5"/>
        <v/>
      </c>
      <c r="BS21" s="127" t="str">
        <f t="shared" si="5"/>
        <v/>
      </c>
      <c r="BT21" s="127" t="str">
        <f t="shared" si="6"/>
        <v/>
      </c>
      <c r="BU21" s="127" t="str">
        <f t="shared" si="6"/>
        <v/>
      </c>
      <c r="BV21" s="127" t="str">
        <f t="shared" si="6"/>
        <v/>
      </c>
      <c r="BW21" s="127" t="str">
        <f t="shared" si="6"/>
        <v/>
      </c>
      <c r="BX21" s="127" t="str">
        <f t="shared" si="6"/>
        <v/>
      </c>
      <c r="BY21" s="127" t="str">
        <f t="shared" si="6"/>
        <v/>
      </c>
      <c r="BZ21" s="127" t="str">
        <f t="shared" si="6"/>
        <v/>
      </c>
      <c r="CA21" s="127" t="str">
        <f t="shared" si="6"/>
        <v/>
      </c>
      <c r="CB21" s="127" t="str">
        <f t="shared" si="6"/>
        <v/>
      </c>
      <c r="CC21" s="127" t="str">
        <f t="shared" si="6"/>
        <v/>
      </c>
      <c r="CD21" s="127" t="str">
        <f t="shared" si="6"/>
        <v/>
      </c>
      <c r="CE21" s="127" t="str">
        <f t="shared" si="6"/>
        <v/>
      </c>
    </row>
    <row r="22" spans="1:83" ht="12.6" customHeight="1" x14ac:dyDescent="0.2">
      <c r="A22" s="106">
        <f>SHIPMENTS!A28</f>
        <v>9279</v>
      </c>
      <c r="B22" s="106" t="str">
        <f>SHIPMENTS!B28</f>
        <v>15900- Iloilo |Rocky Go</v>
      </c>
      <c r="C22" s="132">
        <f>SHIPMENTS!F28</f>
        <v>0.34820000000000001</v>
      </c>
      <c r="D22" s="107" t="str">
        <f>IF((SHIPMENTS!I28)=0,"",SHIPMENTS!I28)</f>
        <v/>
      </c>
      <c r="E22" s="176">
        <f>IF((SHIPMENTS!G28)=0,"",SHIPMENTS!G28)</f>
        <v>46323</v>
      </c>
      <c r="F22" s="97">
        <f>VLOOKUP(A22,Items!$A$5:$J$1000,7,0)</f>
        <v>14</v>
      </c>
      <c r="G22" s="98">
        <f>VLOOKUP(A22,load!$A$4:$U$5001,8,0)</f>
        <v>2.7255536611111113</v>
      </c>
      <c r="H22" s="97">
        <f>Manhours!$C$24</f>
        <v>5</v>
      </c>
      <c r="I22" s="98">
        <f t="shared" si="7"/>
        <v>45.5</v>
      </c>
      <c r="J22" s="99">
        <f t="shared" si="12"/>
        <v>5.990227826617827E-2</v>
      </c>
      <c r="K22" s="99">
        <f t="shared" si="8"/>
        <v>0.54511073222222228</v>
      </c>
      <c r="L22" s="98">
        <f t="shared" si="13"/>
        <v>5.990227826617827E-2</v>
      </c>
      <c r="M22" s="98">
        <f t="shared" si="14"/>
        <v>0.54511073222222228</v>
      </c>
      <c r="N22" s="181">
        <f>'WWP1-PPS'!N22+1</f>
        <v>46323.727989537547</v>
      </c>
      <c r="O22" s="181">
        <f t="shared" si="9"/>
        <v>46323.787891815809</v>
      </c>
      <c r="P22" s="101">
        <f>VLOOKUP(A22,SHIPMENTS!$A$7:$N$171,12,0)</f>
        <v>0</v>
      </c>
      <c r="Q22" s="101"/>
      <c r="R22" s="127" t="str">
        <f t="shared" si="3"/>
        <v/>
      </c>
      <c r="S22" s="127" t="str">
        <f t="shared" ref="S22:BF28" si="16">IF($E22=S$3,"▲","")</f>
        <v/>
      </c>
      <c r="T22" s="127" t="str">
        <f t="shared" si="16"/>
        <v/>
      </c>
      <c r="U22" s="127" t="str">
        <f t="shared" si="16"/>
        <v/>
      </c>
      <c r="V22" s="127" t="str">
        <f t="shared" si="16"/>
        <v/>
      </c>
      <c r="W22" s="127" t="str">
        <f t="shared" si="16"/>
        <v/>
      </c>
      <c r="X22" s="127" t="str">
        <f t="shared" si="16"/>
        <v/>
      </c>
      <c r="Y22" s="127" t="str">
        <f t="shared" si="16"/>
        <v/>
      </c>
      <c r="Z22" s="127" t="str">
        <f t="shared" si="16"/>
        <v>▲</v>
      </c>
      <c r="AA22" s="127" t="str">
        <f t="shared" si="16"/>
        <v/>
      </c>
      <c r="AB22" s="127" t="str">
        <f t="shared" si="16"/>
        <v/>
      </c>
      <c r="AC22" s="127" t="str">
        <f t="shared" si="16"/>
        <v/>
      </c>
      <c r="AD22" s="127" t="str">
        <f t="shared" si="16"/>
        <v/>
      </c>
      <c r="AE22" s="127" t="str">
        <f t="shared" si="16"/>
        <v/>
      </c>
      <c r="AF22" s="127" t="str">
        <f t="shared" si="16"/>
        <v/>
      </c>
      <c r="AG22" s="127" t="str">
        <f t="shared" si="16"/>
        <v/>
      </c>
      <c r="AH22" s="127" t="str">
        <f t="shared" si="16"/>
        <v/>
      </c>
      <c r="AI22" s="127" t="str">
        <f t="shared" si="16"/>
        <v/>
      </c>
      <c r="AJ22" s="127" t="str">
        <f t="shared" si="16"/>
        <v/>
      </c>
      <c r="AK22" s="127" t="str">
        <f t="shared" si="16"/>
        <v/>
      </c>
      <c r="AL22" s="127" t="str">
        <f t="shared" si="16"/>
        <v/>
      </c>
      <c r="AM22" s="127" t="str">
        <f t="shared" si="16"/>
        <v/>
      </c>
      <c r="AN22" s="127" t="str">
        <f t="shared" si="16"/>
        <v/>
      </c>
      <c r="AO22" s="127" t="str">
        <f t="shared" si="16"/>
        <v/>
      </c>
      <c r="AP22" s="127" t="str">
        <f t="shared" si="16"/>
        <v/>
      </c>
      <c r="AQ22" s="127" t="str">
        <f t="shared" si="16"/>
        <v/>
      </c>
      <c r="AR22" s="127" t="str">
        <f t="shared" si="16"/>
        <v/>
      </c>
      <c r="AS22" s="127" t="str">
        <f t="shared" si="16"/>
        <v/>
      </c>
      <c r="AT22" s="127" t="str">
        <f t="shared" si="16"/>
        <v/>
      </c>
      <c r="AU22" s="127" t="str">
        <f t="shared" si="16"/>
        <v/>
      </c>
      <c r="AV22" s="127" t="str">
        <f t="shared" si="16"/>
        <v/>
      </c>
      <c r="AW22" s="127" t="str">
        <f t="shared" si="16"/>
        <v/>
      </c>
      <c r="AX22" s="127" t="str">
        <f t="shared" si="16"/>
        <v/>
      </c>
      <c r="AY22" s="127" t="str">
        <f t="shared" si="16"/>
        <v/>
      </c>
      <c r="AZ22" s="127" t="str">
        <f t="shared" si="16"/>
        <v/>
      </c>
      <c r="BA22" s="127" t="str">
        <f t="shared" si="16"/>
        <v/>
      </c>
      <c r="BB22" s="127" t="str">
        <f t="shared" si="16"/>
        <v/>
      </c>
      <c r="BC22" s="127" t="str">
        <f t="shared" si="16"/>
        <v/>
      </c>
      <c r="BD22" s="127" t="str">
        <f t="shared" si="16"/>
        <v/>
      </c>
      <c r="BE22" s="127" t="str">
        <f t="shared" si="16"/>
        <v/>
      </c>
      <c r="BF22" s="127" t="str">
        <f t="shared" si="16"/>
        <v/>
      </c>
      <c r="BG22" s="127" t="str">
        <f t="shared" si="15"/>
        <v/>
      </c>
      <c r="BH22" s="127" t="str">
        <f t="shared" si="15"/>
        <v/>
      </c>
      <c r="BI22" s="127" t="str">
        <f t="shared" si="5"/>
        <v/>
      </c>
      <c r="BJ22" s="127" t="str">
        <f t="shared" si="5"/>
        <v/>
      </c>
      <c r="BK22" s="127" t="str">
        <f t="shared" si="5"/>
        <v/>
      </c>
      <c r="BL22" s="127" t="str">
        <f t="shared" si="5"/>
        <v/>
      </c>
      <c r="BM22" s="127" t="str">
        <f t="shared" si="5"/>
        <v/>
      </c>
      <c r="BN22" s="127" t="str">
        <f t="shared" si="5"/>
        <v/>
      </c>
      <c r="BO22" s="127" t="str">
        <f t="shared" si="5"/>
        <v/>
      </c>
      <c r="BP22" s="127" t="str">
        <f t="shared" si="5"/>
        <v/>
      </c>
      <c r="BQ22" s="127" t="str">
        <f t="shared" si="5"/>
        <v/>
      </c>
      <c r="BR22" s="127" t="str">
        <f t="shared" si="5"/>
        <v/>
      </c>
      <c r="BS22" s="127" t="str">
        <f t="shared" si="5"/>
        <v/>
      </c>
      <c r="BT22" s="127" t="str">
        <f t="shared" si="6"/>
        <v/>
      </c>
      <c r="BU22" s="127" t="str">
        <f t="shared" si="6"/>
        <v/>
      </c>
      <c r="BV22" s="127" t="str">
        <f t="shared" si="6"/>
        <v/>
      </c>
      <c r="BW22" s="127" t="str">
        <f t="shared" si="6"/>
        <v/>
      </c>
      <c r="BX22" s="127" t="str">
        <f t="shared" si="6"/>
        <v/>
      </c>
      <c r="BY22" s="127" t="str">
        <f t="shared" si="6"/>
        <v/>
      </c>
      <c r="BZ22" s="127" t="str">
        <f t="shared" si="6"/>
        <v/>
      </c>
      <c r="CA22" s="127" t="str">
        <f t="shared" si="6"/>
        <v/>
      </c>
      <c r="CB22" s="127" t="str">
        <f t="shared" si="6"/>
        <v/>
      </c>
      <c r="CC22" s="127" t="str">
        <f t="shared" si="6"/>
        <v/>
      </c>
      <c r="CD22" s="127" t="str">
        <f t="shared" si="6"/>
        <v/>
      </c>
      <c r="CE22" s="127" t="str">
        <f t="shared" si="6"/>
        <v/>
      </c>
    </row>
    <row r="23" spans="1:83" ht="12.6" customHeight="1" x14ac:dyDescent="0.2">
      <c r="A23" s="106">
        <f>SHIPMENTS!A29</f>
        <v>8964</v>
      </c>
      <c r="B23" s="106" t="str">
        <f>SHIPMENTS!B29</f>
        <v>15900- Mandaue Warehouse</v>
      </c>
      <c r="C23" s="132">
        <f>SHIPMENTS!F29</f>
        <v>0.11</v>
      </c>
      <c r="D23" s="107" t="str">
        <f>IF((SHIPMENTS!I29)=0,"",SHIPMENTS!I29)</f>
        <v/>
      </c>
      <c r="E23" s="176">
        <f>IF((SHIPMENTS!G29)=0,"",SHIPMENTS!G29)</f>
        <v>46323</v>
      </c>
      <c r="F23" s="97">
        <f>VLOOKUP(A23,Items!$A$5:$J$1000,7,0)</f>
        <v>0</v>
      </c>
      <c r="G23" s="98">
        <f>VLOOKUP(A23,load!$A$4:$U$5001,8,0)</f>
        <v>0</v>
      </c>
      <c r="H23" s="97">
        <f>Manhours!$C$24</f>
        <v>5</v>
      </c>
      <c r="I23" s="98">
        <f t="shared" si="7"/>
        <v>45.5</v>
      </c>
      <c r="J23" s="99">
        <f t="shared" si="12"/>
        <v>0</v>
      </c>
      <c r="K23" s="99">
        <f t="shared" si="8"/>
        <v>0</v>
      </c>
      <c r="L23" s="98">
        <f t="shared" si="13"/>
        <v>0</v>
      </c>
      <c r="M23" s="98">
        <f t="shared" si="14"/>
        <v>0</v>
      </c>
      <c r="N23" s="181">
        <f>'WWP1-PPS'!N23+1</f>
        <v>46323.75124388736</v>
      </c>
      <c r="O23" s="181">
        <f t="shared" si="9"/>
        <v>46323.75124388736</v>
      </c>
      <c r="P23" s="101">
        <f>VLOOKUP(A23,SHIPMENTS!$A$7:$N$171,12,0)</f>
        <v>0</v>
      </c>
      <c r="Q23" s="101"/>
      <c r="R23" s="127" t="str">
        <f t="shared" si="3"/>
        <v/>
      </c>
      <c r="S23" s="127" t="str">
        <f t="shared" si="16"/>
        <v/>
      </c>
      <c r="T23" s="127" t="str">
        <f t="shared" si="16"/>
        <v/>
      </c>
      <c r="U23" s="127" t="str">
        <f t="shared" si="16"/>
        <v/>
      </c>
      <c r="V23" s="127" t="str">
        <f t="shared" si="16"/>
        <v/>
      </c>
      <c r="W23" s="127" t="str">
        <f t="shared" si="16"/>
        <v/>
      </c>
      <c r="X23" s="127" t="str">
        <f t="shared" si="16"/>
        <v/>
      </c>
      <c r="Y23" s="127" t="str">
        <f t="shared" si="16"/>
        <v/>
      </c>
      <c r="Z23" s="127" t="str">
        <f t="shared" si="16"/>
        <v>▲</v>
      </c>
      <c r="AA23" s="127" t="str">
        <f t="shared" si="16"/>
        <v/>
      </c>
      <c r="AB23" s="127" t="str">
        <f t="shared" si="16"/>
        <v/>
      </c>
      <c r="AC23" s="127" t="str">
        <f t="shared" si="16"/>
        <v/>
      </c>
      <c r="AD23" s="127" t="str">
        <f t="shared" si="16"/>
        <v/>
      </c>
      <c r="AE23" s="127" t="str">
        <f t="shared" si="16"/>
        <v/>
      </c>
      <c r="AF23" s="127" t="str">
        <f t="shared" si="16"/>
        <v/>
      </c>
      <c r="AG23" s="127" t="str">
        <f t="shared" si="16"/>
        <v/>
      </c>
      <c r="AH23" s="127" t="str">
        <f t="shared" si="16"/>
        <v/>
      </c>
      <c r="AI23" s="127" t="str">
        <f t="shared" si="16"/>
        <v/>
      </c>
      <c r="AJ23" s="127" t="str">
        <f t="shared" si="16"/>
        <v/>
      </c>
      <c r="AK23" s="127" t="str">
        <f t="shared" si="16"/>
        <v/>
      </c>
      <c r="AL23" s="127" t="str">
        <f t="shared" si="16"/>
        <v/>
      </c>
      <c r="AM23" s="127" t="str">
        <f t="shared" si="16"/>
        <v/>
      </c>
      <c r="AN23" s="127" t="str">
        <f t="shared" si="16"/>
        <v/>
      </c>
      <c r="AO23" s="127" t="str">
        <f t="shared" si="16"/>
        <v/>
      </c>
      <c r="AP23" s="127" t="str">
        <f t="shared" si="16"/>
        <v/>
      </c>
      <c r="AQ23" s="127" t="str">
        <f t="shared" si="16"/>
        <v/>
      </c>
      <c r="AR23" s="127" t="str">
        <f t="shared" si="16"/>
        <v/>
      </c>
      <c r="AS23" s="127" t="str">
        <f t="shared" si="16"/>
        <v/>
      </c>
      <c r="AT23" s="127" t="str">
        <f t="shared" si="16"/>
        <v/>
      </c>
      <c r="AU23" s="127" t="str">
        <f t="shared" si="16"/>
        <v/>
      </c>
      <c r="AV23" s="127" t="str">
        <f t="shared" si="16"/>
        <v/>
      </c>
      <c r="AW23" s="127" t="str">
        <f t="shared" si="16"/>
        <v/>
      </c>
      <c r="AX23" s="127" t="str">
        <f t="shared" si="16"/>
        <v/>
      </c>
      <c r="AY23" s="127" t="str">
        <f t="shared" si="16"/>
        <v/>
      </c>
      <c r="AZ23" s="127" t="str">
        <f t="shared" si="16"/>
        <v/>
      </c>
      <c r="BA23" s="127" t="str">
        <f t="shared" si="16"/>
        <v/>
      </c>
      <c r="BB23" s="127" t="str">
        <f t="shared" si="16"/>
        <v/>
      </c>
      <c r="BC23" s="127" t="str">
        <f t="shared" si="16"/>
        <v/>
      </c>
      <c r="BD23" s="127" t="str">
        <f t="shared" si="16"/>
        <v/>
      </c>
      <c r="BE23" s="127" t="str">
        <f t="shared" si="16"/>
        <v/>
      </c>
      <c r="BF23" s="127" t="str">
        <f t="shared" si="16"/>
        <v/>
      </c>
      <c r="BG23" s="127" t="str">
        <f t="shared" si="15"/>
        <v/>
      </c>
      <c r="BH23" s="127" t="str">
        <f t="shared" si="5"/>
        <v/>
      </c>
      <c r="BI23" s="127" t="str">
        <f t="shared" si="5"/>
        <v/>
      </c>
      <c r="BJ23" s="127" t="str">
        <f t="shared" si="5"/>
        <v/>
      </c>
      <c r="BK23" s="127" t="str">
        <f t="shared" si="5"/>
        <v/>
      </c>
      <c r="BL23" s="127" t="str">
        <f t="shared" si="5"/>
        <v/>
      </c>
      <c r="BM23" s="127" t="str">
        <f t="shared" si="5"/>
        <v/>
      </c>
      <c r="BN23" s="127" t="str">
        <f t="shared" si="5"/>
        <v/>
      </c>
      <c r="BO23" s="127" t="str">
        <f t="shared" si="5"/>
        <v/>
      </c>
      <c r="BP23" s="127" t="str">
        <f t="shared" si="5"/>
        <v/>
      </c>
      <c r="BQ23" s="127" t="str">
        <f t="shared" si="5"/>
        <v/>
      </c>
      <c r="BR23" s="127" t="str">
        <f t="shared" si="5"/>
        <v/>
      </c>
      <c r="BS23" s="127" t="str">
        <f t="shared" si="5"/>
        <v/>
      </c>
      <c r="BT23" s="127" t="str">
        <f t="shared" si="6"/>
        <v/>
      </c>
      <c r="BU23" s="127" t="str">
        <f t="shared" si="6"/>
        <v/>
      </c>
      <c r="BV23" s="127" t="str">
        <f t="shared" si="6"/>
        <v/>
      </c>
      <c r="BW23" s="127" t="str">
        <f t="shared" si="6"/>
        <v/>
      </c>
      <c r="BX23" s="127" t="str">
        <f t="shared" si="6"/>
        <v/>
      </c>
      <c r="BY23" s="127" t="str">
        <f t="shared" si="6"/>
        <v/>
      </c>
      <c r="BZ23" s="127" t="str">
        <f t="shared" si="6"/>
        <v/>
      </c>
      <c r="CA23" s="127" t="str">
        <f t="shared" si="6"/>
        <v/>
      </c>
      <c r="CB23" s="127" t="str">
        <f t="shared" si="6"/>
        <v/>
      </c>
      <c r="CC23" s="127" t="str">
        <f t="shared" si="6"/>
        <v/>
      </c>
      <c r="CD23" s="127" t="str">
        <f t="shared" si="6"/>
        <v/>
      </c>
      <c r="CE23" s="127" t="str">
        <f t="shared" si="6"/>
        <v/>
      </c>
    </row>
    <row r="24" spans="1:83" ht="12.6" customHeight="1" x14ac:dyDescent="0.2">
      <c r="A24" s="106">
        <f>SHIPMENTS!A30</f>
        <v>9023</v>
      </c>
      <c r="B24" s="106" t="str">
        <f>SHIPMENTS!B30</f>
        <v>15900- Ubay | Danilo Varela</v>
      </c>
      <c r="C24" s="132">
        <f>SHIPMENTS!F30</f>
        <v>3.0849999999999999E-2</v>
      </c>
      <c r="D24" s="107" t="str">
        <f>IF((SHIPMENTS!I30)=0,"",SHIPMENTS!I30)</f>
        <v/>
      </c>
      <c r="E24" s="176">
        <f>IF((SHIPMENTS!G30)=0,"",SHIPMENTS!G30)</f>
        <v>46323</v>
      </c>
      <c r="F24" s="97">
        <f>VLOOKUP(A24,Items!$A$5:$J$1000,7,0)</f>
        <v>1</v>
      </c>
      <c r="G24" s="98">
        <f>VLOOKUP(A24,load!$A$4:$U$5001,8,0)</f>
        <v>4.9721666666666664E-2</v>
      </c>
      <c r="H24" s="97">
        <f>Manhours!$C$24</f>
        <v>5</v>
      </c>
      <c r="I24" s="98">
        <f t="shared" si="7"/>
        <v>45.5</v>
      </c>
      <c r="J24" s="99">
        <f t="shared" si="12"/>
        <v>1.0927838827838826E-3</v>
      </c>
      <c r="K24" s="99">
        <f t="shared" si="8"/>
        <v>9.9443333333333311E-3</v>
      </c>
      <c r="L24" s="98">
        <f t="shared" si="13"/>
        <v>1.0927838827838826E-3</v>
      </c>
      <c r="M24" s="98">
        <f t="shared" si="14"/>
        <v>9.9443333333333311E-3</v>
      </c>
      <c r="N24" s="181">
        <f>'WWP1-PPS'!N24+1</f>
        <v>46323.75124388736</v>
      </c>
      <c r="O24" s="181">
        <f t="shared" si="9"/>
        <v>46323.752336671241</v>
      </c>
      <c r="P24" s="101">
        <f>VLOOKUP(A24,SHIPMENTS!$A$7:$N$171,12,0)</f>
        <v>0</v>
      </c>
      <c r="Q24" s="101"/>
      <c r="R24" s="127" t="str">
        <f t="shared" si="3"/>
        <v/>
      </c>
      <c r="S24" s="127" t="str">
        <f t="shared" si="16"/>
        <v/>
      </c>
      <c r="T24" s="127" t="str">
        <f t="shared" si="16"/>
        <v/>
      </c>
      <c r="U24" s="127" t="str">
        <f t="shared" si="16"/>
        <v/>
      </c>
      <c r="V24" s="127" t="str">
        <f t="shared" si="16"/>
        <v/>
      </c>
      <c r="W24" s="127" t="str">
        <f t="shared" si="16"/>
        <v/>
      </c>
      <c r="X24" s="127" t="str">
        <f t="shared" si="16"/>
        <v/>
      </c>
      <c r="Y24" s="127" t="str">
        <f t="shared" si="16"/>
        <v/>
      </c>
      <c r="Z24" s="127" t="str">
        <f t="shared" si="16"/>
        <v>▲</v>
      </c>
      <c r="AA24" s="127" t="str">
        <f t="shared" si="16"/>
        <v/>
      </c>
      <c r="AB24" s="127" t="str">
        <f t="shared" si="16"/>
        <v/>
      </c>
      <c r="AC24" s="127" t="str">
        <f t="shared" si="16"/>
        <v/>
      </c>
      <c r="AD24" s="127" t="str">
        <f t="shared" si="16"/>
        <v/>
      </c>
      <c r="AE24" s="127" t="str">
        <f t="shared" si="16"/>
        <v/>
      </c>
      <c r="AF24" s="127" t="str">
        <f t="shared" si="16"/>
        <v/>
      </c>
      <c r="AG24" s="127" t="str">
        <f t="shared" si="16"/>
        <v/>
      </c>
      <c r="AH24" s="127" t="str">
        <f t="shared" si="16"/>
        <v/>
      </c>
      <c r="AI24" s="127" t="str">
        <f t="shared" si="16"/>
        <v/>
      </c>
      <c r="AJ24" s="127" t="str">
        <f t="shared" si="16"/>
        <v/>
      </c>
      <c r="AK24" s="127" t="str">
        <f t="shared" si="16"/>
        <v/>
      </c>
      <c r="AL24" s="127" t="str">
        <f t="shared" si="16"/>
        <v/>
      </c>
      <c r="AM24" s="127" t="str">
        <f t="shared" si="16"/>
        <v/>
      </c>
      <c r="AN24" s="127" t="str">
        <f t="shared" si="16"/>
        <v/>
      </c>
      <c r="AO24" s="127" t="str">
        <f t="shared" si="16"/>
        <v/>
      </c>
      <c r="AP24" s="127" t="str">
        <f t="shared" si="16"/>
        <v/>
      </c>
      <c r="AQ24" s="127" t="str">
        <f t="shared" si="16"/>
        <v/>
      </c>
      <c r="AR24" s="127" t="str">
        <f t="shared" si="16"/>
        <v/>
      </c>
      <c r="AS24" s="127" t="str">
        <f t="shared" si="16"/>
        <v/>
      </c>
      <c r="AT24" s="127" t="str">
        <f t="shared" si="16"/>
        <v/>
      </c>
      <c r="AU24" s="127" t="str">
        <f t="shared" si="16"/>
        <v/>
      </c>
      <c r="AV24" s="127" t="str">
        <f t="shared" si="16"/>
        <v/>
      </c>
      <c r="AW24" s="127" t="str">
        <f t="shared" si="16"/>
        <v/>
      </c>
      <c r="AX24" s="127" t="str">
        <f t="shared" si="16"/>
        <v/>
      </c>
      <c r="AY24" s="127" t="str">
        <f t="shared" si="16"/>
        <v/>
      </c>
      <c r="AZ24" s="127" t="str">
        <f t="shared" si="16"/>
        <v/>
      </c>
      <c r="BA24" s="127" t="str">
        <f t="shared" si="16"/>
        <v/>
      </c>
      <c r="BB24" s="127" t="str">
        <f t="shared" si="16"/>
        <v/>
      </c>
      <c r="BC24" s="127" t="str">
        <f t="shared" si="16"/>
        <v/>
      </c>
      <c r="BD24" s="127" t="str">
        <f t="shared" si="16"/>
        <v/>
      </c>
      <c r="BE24" s="127" t="str">
        <f t="shared" si="16"/>
        <v/>
      </c>
      <c r="BF24" s="127" t="str">
        <f t="shared" si="16"/>
        <v/>
      </c>
      <c r="BG24" s="127" t="str">
        <f t="shared" si="15"/>
        <v/>
      </c>
      <c r="BH24" s="127" t="str">
        <f t="shared" si="15"/>
        <v/>
      </c>
      <c r="BI24" s="127" t="str">
        <f t="shared" ref="BH24:BW39" si="17">IF($E24=BI$3,"▲","")</f>
        <v/>
      </c>
      <c r="BJ24" s="127" t="str">
        <f t="shared" si="17"/>
        <v/>
      </c>
      <c r="BK24" s="127" t="str">
        <f t="shared" si="17"/>
        <v/>
      </c>
      <c r="BL24" s="127" t="str">
        <f t="shared" si="17"/>
        <v/>
      </c>
      <c r="BM24" s="127" t="str">
        <f t="shared" si="17"/>
        <v/>
      </c>
      <c r="BN24" s="127" t="str">
        <f t="shared" si="17"/>
        <v/>
      </c>
      <c r="BO24" s="127" t="str">
        <f t="shared" si="17"/>
        <v/>
      </c>
      <c r="BP24" s="127" t="str">
        <f t="shared" si="17"/>
        <v/>
      </c>
      <c r="BQ24" s="127" t="str">
        <f t="shared" si="17"/>
        <v/>
      </c>
      <c r="BR24" s="127" t="str">
        <f t="shared" si="17"/>
        <v/>
      </c>
      <c r="BS24" s="127" t="str">
        <f t="shared" si="17"/>
        <v/>
      </c>
      <c r="BT24" s="127" t="str">
        <f t="shared" si="17"/>
        <v/>
      </c>
      <c r="BU24" s="127" t="str">
        <f t="shared" si="17"/>
        <v/>
      </c>
      <c r="BV24" s="127" t="str">
        <f t="shared" si="17"/>
        <v/>
      </c>
      <c r="BW24" s="127" t="str">
        <f t="shared" si="17"/>
        <v/>
      </c>
      <c r="BX24" s="127" t="str">
        <f t="shared" ref="BT24:CE39" si="18">IF($E24=BX$3,"▲","")</f>
        <v/>
      </c>
      <c r="BY24" s="127" t="str">
        <f t="shared" si="18"/>
        <v/>
      </c>
      <c r="BZ24" s="127" t="str">
        <f t="shared" si="18"/>
        <v/>
      </c>
      <c r="CA24" s="127" t="str">
        <f t="shared" si="18"/>
        <v/>
      </c>
      <c r="CB24" s="127" t="str">
        <f t="shared" si="18"/>
        <v/>
      </c>
      <c r="CC24" s="127" t="str">
        <f t="shared" si="18"/>
        <v/>
      </c>
      <c r="CD24" s="127" t="str">
        <f t="shared" si="18"/>
        <v/>
      </c>
      <c r="CE24" s="127" t="str">
        <f t="shared" si="18"/>
        <v/>
      </c>
    </row>
    <row r="25" spans="1:83" ht="12.6" customHeight="1" x14ac:dyDescent="0.2">
      <c r="A25" s="106">
        <f>SHIPMENTS!A31</f>
        <v>9105</v>
      </c>
      <c r="B25" s="106" t="str">
        <f>SHIPMENTS!B31</f>
        <v>15900- Cebu City |Nelsar Alvar</v>
      </c>
      <c r="C25" s="132">
        <f>SHIPMENTS!F31</f>
        <v>1.35E-2</v>
      </c>
      <c r="D25" s="107" t="str">
        <f>IF((SHIPMENTS!I31)=0,"",SHIPMENTS!I31)</f>
        <v/>
      </c>
      <c r="E25" s="176">
        <f>IF((SHIPMENTS!G31)=0,"",SHIPMENTS!G31)</f>
        <v>46323</v>
      </c>
      <c r="F25" s="97">
        <f>VLOOKUP(A25,Items!$A$5:$J$1000,7,0)</f>
        <v>10</v>
      </c>
      <c r="G25" s="98">
        <f>VLOOKUP(A25,load!$A$4:$U$5001,8,0)</f>
        <v>0.54144333333333328</v>
      </c>
      <c r="H25" s="97">
        <f>Manhours!$C$24</f>
        <v>5</v>
      </c>
      <c r="I25" s="98">
        <f t="shared" si="7"/>
        <v>45.5</v>
      </c>
      <c r="J25" s="99">
        <f t="shared" si="12"/>
        <v>1.1899853479853478E-2</v>
      </c>
      <c r="K25" s="99">
        <f t="shared" si="8"/>
        <v>0.10828866666666664</v>
      </c>
      <c r="L25" s="98">
        <f t="shared" si="13"/>
        <v>1.1899853479853478E-2</v>
      </c>
      <c r="M25" s="98">
        <f t="shared" si="14"/>
        <v>0.10828866666666664</v>
      </c>
      <c r="N25" s="181">
        <f>'WWP1-PPS'!N25+1</f>
        <v>46323.75469455128</v>
      </c>
      <c r="O25" s="181">
        <f t="shared" si="9"/>
        <v>46323.766594404762</v>
      </c>
      <c r="P25" s="101">
        <f>VLOOKUP(A25,SHIPMENTS!$A$7:$N$171,12,0)</f>
        <v>0</v>
      </c>
      <c r="Q25" s="101"/>
      <c r="R25" s="127" t="str">
        <f t="shared" si="3"/>
        <v/>
      </c>
      <c r="S25" s="127" t="str">
        <f t="shared" si="16"/>
        <v/>
      </c>
      <c r="T25" s="127" t="str">
        <f t="shared" si="16"/>
        <v/>
      </c>
      <c r="U25" s="127" t="str">
        <f t="shared" si="16"/>
        <v/>
      </c>
      <c r="V25" s="127" t="str">
        <f t="shared" si="16"/>
        <v/>
      </c>
      <c r="W25" s="127" t="str">
        <f t="shared" si="16"/>
        <v/>
      </c>
      <c r="X25" s="127" t="str">
        <f t="shared" si="16"/>
        <v/>
      </c>
      <c r="Y25" s="127" t="str">
        <f t="shared" si="16"/>
        <v/>
      </c>
      <c r="Z25" s="127" t="str">
        <f t="shared" si="16"/>
        <v>▲</v>
      </c>
      <c r="AA25" s="127" t="str">
        <f t="shared" si="16"/>
        <v/>
      </c>
      <c r="AB25" s="127" t="str">
        <f t="shared" si="16"/>
        <v/>
      </c>
      <c r="AC25" s="127" t="str">
        <f t="shared" si="16"/>
        <v/>
      </c>
      <c r="AD25" s="127" t="str">
        <f t="shared" si="16"/>
        <v/>
      </c>
      <c r="AE25" s="127" t="str">
        <f t="shared" si="16"/>
        <v/>
      </c>
      <c r="AF25" s="127" t="str">
        <f t="shared" si="16"/>
        <v/>
      </c>
      <c r="AG25" s="127" t="str">
        <f t="shared" si="16"/>
        <v/>
      </c>
      <c r="AH25" s="127" t="str">
        <f t="shared" si="16"/>
        <v/>
      </c>
      <c r="AI25" s="127" t="str">
        <f t="shared" si="16"/>
        <v/>
      </c>
      <c r="AJ25" s="127" t="str">
        <f t="shared" si="16"/>
        <v/>
      </c>
      <c r="AK25" s="127" t="str">
        <f t="shared" si="16"/>
        <v/>
      </c>
      <c r="AL25" s="127" t="str">
        <f t="shared" si="16"/>
        <v/>
      </c>
      <c r="AM25" s="127" t="str">
        <f t="shared" si="16"/>
        <v/>
      </c>
      <c r="AN25" s="127" t="str">
        <f t="shared" si="16"/>
        <v/>
      </c>
      <c r="AO25" s="127" t="str">
        <f t="shared" si="16"/>
        <v/>
      </c>
      <c r="AP25" s="127" t="str">
        <f t="shared" si="16"/>
        <v/>
      </c>
      <c r="AQ25" s="127" t="str">
        <f t="shared" si="16"/>
        <v/>
      </c>
      <c r="AR25" s="127" t="str">
        <f t="shared" si="16"/>
        <v/>
      </c>
      <c r="AS25" s="127" t="str">
        <f t="shared" si="16"/>
        <v/>
      </c>
      <c r="AT25" s="127" t="str">
        <f t="shared" si="16"/>
        <v/>
      </c>
      <c r="AU25" s="127" t="str">
        <f t="shared" si="16"/>
        <v/>
      </c>
      <c r="AV25" s="127" t="str">
        <f t="shared" si="16"/>
        <v/>
      </c>
      <c r="AW25" s="127" t="str">
        <f t="shared" si="16"/>
        <v/>
      </c>
      <c r="AX25" s="127" t="str">
        <f t="shared" si="16"/>
        <v/>
      </c>
      <c r="AY25" s="127" t="str">
        <f t="shared" si="16"/>
        <v/>
      </c>
      <c r="AZ25" s="127" t="str">
        <f t="shared" si="16"/>
        <v/>
      </c>
      <c r="BA25" s="127" t="str">
        <f t="shared" si="16"/>
        <v/>
      </c>
      <c r="BB25" s="127" t="str">
        <f t="shared" si="16"/>
        <v/>
      </c>
      <c r="BC25" s="127" t="str">
        <f t="shared" si="16"/>
        <v/>
      </c>
      <c r="BD25" s="127" t="str">
        <f t="shared" si="16"/>
        <v/>
      </c>
      <c r="BE25" s="127" t="str">
        <f t="shared" si="16"/>
        <v/>
      </c>
      <c r="BF25" s="127" t="str">
        <f t="shared" si="16"/>
        <v/>
      </c>
      <c r="BG25" s="127" t="str">
        <f t="shared" si="15"/>
        <v/>
      </c>
      <c r="BH25" s="127" t="str">
        <f t="shared" si="17"/>
        <v/>
      </c>
      <c r="BI25" s="127" t="str">
        <f t="shared" si="17"/>
        <v/>
      </c>
      <c r="BJ25" s="127" t="str">
        <f t="shared" si="17"/>
        <v/>
      </c>
      <c r="BK25" s="127" t="str">
        <f t="shared" si="17"/>
        <v/>
      </c>
      <c r="BL25" s="127" t="str">
        <f t="shared" si="17"/>
        <v/>
      </c>
      <c r="BM25" s="127" t="str">
        <f t="shared" si="17"/>
        <v/>
      </c>
      <c r="BN25" s="127" t="str">
        <f t="shared" si="17"/>
        <v/>
      </c>
      <c r="BO25" s="127" t="str">
        <f t="shared" si="17"/>
        <v/>
      </c>
      <c r="BP25" s="127" t="str">
        <f t="shared" si="17"/>
        <v/>
      </c>
      <c r="BQ25" s="127" t="str">
        <f t="shared" si="17"/>
        <v/>
      </c>
      <c r="BR25" s="127" t="str">
        <f t="shared" si="17"/>
        <v/>
      </c>
      <c r="BS25" s="127" t="str">
        <f t="shared" si="17"/>
        <v/>
      </c>
      <c r="BT25" s="127" t="str">
        <f t="shared" si="18"/>
        <v/>
      </c>
      <c r="BU25" s="127" t="str">
        <f t="shared" si="18"/>
        <v/>
      </c>
      <c r="BV25" s="127" t="str">
        <f t="shared" si="18"/>
        <v/>
      </c>
      <c r="BW25" s="127" t="str">
        <f t="shared" si="18"/>
        <v/>
      </c>
      <c r="BX25" s="127" t="str">
        <f t="shared" si="18"/>
        <v/>
      </c>
      <c r="BY25" s="127" t="str">
        <f t="shared" si="18"/>
        <v/>
      </c>
      <c r="BZ25" s="127" t="str">
        <f t="shared" si="18"/>
        <v/>
      </c>
      <c r="CA25" s="127" t="str">
        <f t="shared" si="18"/>
        <v/>
      </c>
      <c r="CB25" s="127" t="str">
        <f t="shared" si="18"/>
        <v/>
      </c>
      <c r="CC25" s="127" t="str">
        <f t="shared" si="18"/>
        <v/>
      </c>
      <c r="CD25" s="127" t="str">
        <f t="shared" si="18"/>
        <v/>
      </c>
      <c r="CE25" s="127" t="str">
        <f t="shared" si="18"/>
        <v/>
      </c>
    </row>
    <row r="26" spans="1:83" ht="12.6" hidden="1" customHeight="1" x14ac:dyDescent="0.2">
      <c r="A26" s="106">
        <f>SHIPMENTS!A32</f>
        <v>9292</v>
      </c>
      <c r="B26" s="106" t="str">
        <f>SHIPMENTS!B32</f>
        <v>15900- Mandaue Warehouse</v>
      </c>
      <c r="C26" s="132">
        <f>SHIPMENTS!F32</f>
        <v>0.51459999999999995</v>
      </c>
      <c r="D26" s="107" t="str">
        <f>IF((SHIPMENTS!I32)=0,"",SHIPMENTS!I32)</f>
        <v/>
      </c>
      <c r="E26" s="176">
        <f>IF((SHIPMENTS!G32)=0,"",SHIPMENTS!G32)</f>
        <v>46323</v>
      </c>
      <c r="F26" s="97">
        <f>VLOOKUP(A26,Items!$A$5:$J$1000,7,0)</f>
        <v>0</v>
      </c>
      <c r="G26" s="98">
        <f>VLOOKUP(A26,load!$A$4:$U$5001,8,0)</f>
        <v>0</v>
      </c>
      <c r="H26" s="97">
        <f>Manhours!$C$24</f>
        <v>5</v>
      </c>
      <c r="I26" s="98">
        <f t="shared" si="7"/>
        <v>45.5</v>
      </c>
      <c r="J26" s="99">
        <f t="shared" si="12"/>
        <v>0</v>
      </c>
      <c r="K26" s="99">
        <f t="shared" si="8"/>
        <v>0</v>
      </c>
      <c r="L26" s="98">
        <f t="shared" si="13"/>
        <v>0</v>
      </c>
      <c r="M26" s="98">
        <f t="shared" si="14"/>
        <v>0</v>
      </c>
      <c r="N26" s="181">
        <f>'WWP1-PPS'!N26+1</f>
        <v>46323.75731016483</v>
      </c>
      <c r="O26" s="181">
        <f t="shared" si="9"/>
        <v>46323.75731016483</v>
      </c>
      <c r="P26" s="101" t="str">
        <f>VLOOKUP(A26,SHIPMENTS!$A$7:$N$171,12,0)</f>
        <v>n/a</v>
      </c>
      <c r="Q26" s="101"/>
      <c r="R26" s="127" t="str">
        <f t="shared" si="3"/>
        <v/>
      </c>
      <c r="S26" s="127" t="str">
        <f t="shared" si="16"/>
        <v/>
      </c>
      <c r="T26" s="127" t="str">
        <f t="shared" si="16"/>
        <v/>
      </c>
      <c r="U26" s="127" t="str">
        <f t="shared" si="16"/>
        <v/>
      </c>
      <c r="V26" s="127" t="str">
        <f t="shared" si="16"/>
        <v/>
      </c>
      <c r="W26" s="127" t="str">
        <f t="shared" si="16"/>
        <v/>
      </c>
      <c r="X26" s="127" t="str">
        <f t="shared" si="16"/>
        <v/>
      </c>
      <c r="Y26" s="127" t="str">
        <f t="shared" si="16"/>
        <v/>
      </c>
      <c r="Z26" s="127" t="str">
        <f t="shared" si="16"/>
        <v>▲</v>
      </c>
      <c r="AA26" s="127" t="str">
        <f t="shared" si="16"/>
        <v/>
      </c>
      <c r="AB26" s="127" t="str">
        <f t="shared" si="16"/>
        <v/>
      </c>
      <c r="AC26" s="127" t="str">
        <f t="shared" si="16"/>
        <v/>
      </c>
      <c r="AD26" s="127" t="str">
        <f t="shared" si="16"/>
        <v/>
      </c>
      <c r="AE26" s="127" t="str">
        <f t="shared" si="16"/>
        <v/>
      </c>
      <c r="AF26" s="127" t="str">
        <f t="shared" si="16"/>
        <v/>
      </c>
      <c r="AG26" s="127" t="str">
        <f t="shared" si="16"/>
        <v/>
      </c>
      <c r="AH26" s="127" t="str">
        <f t="shared" si="16"/>
        <v/>
      </c>
      <c r="AI26" s="127" t="str">
        <f t="shared" si="16"/>
        <v/>
      </c>
      <c r="AJ26" s="127" t="str">
        <f t="shared" si="16"/>
        <v/>
      </c>
      <c r="AK26" s="127" t="str">
        <f t="shared" si="16"/>
        <v/>
      </c>
      <c r="AL26" s="127" t="str">
        <f t="shared" si="16"/>
        <v/>
      </c>
      <c r="AM26" s="127" t="str">
        <f t="shared" si="16"/>
        <v/>
      </c>
      <c r="AN26" s="127" t="str">
        <f t="shared" si="16"/>
        <v/>
      </c>
      <c r="AO26" s="127" t="str">
        <f t="shared" si="16"/>
        <v/>
      </c>
      <c r="AP26" s="127" t="str">
        <f t="shared" si="16"/>
        <v/>
      </c>
      <c r="AQ26" s="127" t="str">
        <f t="shared" si="16"/>
        <v/>
      </c>
      <c r="AR26" s="127" t="str">
        <f t="shared" si="16"/>
        <v/>
      </c>
      <c r="AS26" s="127" t="str">
        <f t="shared" si="16"/>
        <v/>
      </c>
      <c r="AT26" s="127" t="str">
        <f t="shared" si="16"/>
        <v/>
      </c>
      <c r="AU26" s="127" t="str">
        <f t="shared" si="16"/>
        <v/>
      </c>
      <c r="AV26" s="127" t="str">
        <f t="shared" si="16"/>
        <v/>
      </c>
      <c r="AW26" s="127" t="str">
        <f t="shared" si="16"/>
        <v/>
      </c>
      <c r="AX26" s="127" t="str">
        <f t="shared" si="16"/>
        <v/>
      </c>
      <c r="AY26" s="127" t="str">
        <f t="shared" si="16"/>
        <v/>
      </c>
      <c r="AZ26" s="127" t="str">
        <f t="shared" si="16"/>
        <v/>
      </c>
      <c r="BA26" s="127" t="str">
        <f t="shared" si="16"/>
        <v/>
      </c>
      <c r="BB26" s="127" t="str">
        <f t="shared" si="16"/>
        <v/>
      </c>
      <c r="BC26" s="127" t="str">
        <f t="shared" si="16"/>
        <v/>
      </c>
      <c r="BD26" s="127" t="str">
        <f t="shared" si="16"/>
        <v/>
      </c>
      <c r="BE26" s="127" t="str">
        <f t="shared" si="16"/>
        <v/>
      </c>
      <c r="BF26" s="127" t="str">
        <f t="shared" si="16"/>
        <v/>
      </c>
      <c r="BG26" s="127" t="str">
        <f t="shared" si="15"/>
        <v/>
      </c>
      <c r="BH26" s="127" t="str">
        <f t="shared" si="17"/>
        <v/>
      </c>
      <c r="BI26" s="127" t="str">
        <f t="shared" si="17"/>
        <v/>
      </c>
      <c r="BJ26" s="127" t="str">
        <f t="shared" si="17"/>
        <v/>
      </c>
      <c r="BK26" s="127" t="str">
        <f t="shared" si="17"/>
        <v/>
      </c>
      <c r="BL26" s="127" t="str">
        <f t="shared" si="17"/>
        <v/>
      </c>
      <c r="BM26" s="127" t="str">
        <f t="shared" si="17"/>
        <v/>
      </c>
      <c r="BN26" s="127" t="str">
        <f t="shared" si="17"/>
        <v/>
      </c>
      <c r="BO26" s="127" t="str">
        <f t="shared" si="17"/>
        <v/>
      </c>
      <c r="BP26" s="127" t="str">
        <f t="shared" si="17"/>
        <v/>
      </c>
      <c r="BQ26" s="127" t="str">
        <f t="shared" si="17"/>
        <v/>
      </c>
      <c r="BR26" s="127" t="str">
        <f t="shared" si="17"/>
        <v/>
      </c>
      <c r="BS26" s="127" t="str">
        <f t="shared" si="17"/>
        <v/>
      </c>
      <c r="BT26" s="127" t="str">
        <f t="shared" si="18"/>
        <v/>
      </c>
      <c r="BU26" s="127" t="str">
        <f t="shared" si="18"/>
        <v/>
      </c>
      <c r="BV26" s="127" t="str">
        <f t="shared" si="18"/>
        <v/>
      </c>
      <c r="BW26" s="127" t="str">
        <f t="shared" si="18"/>
        <v/>
      </c>
      <c r="BX26" s="127" t="str">
        <f t="shared" si="18"/>
        <v/>
      </c>
      <c r="BY26" s="127" t="str">
        <f t="shared" si="18"/>
        <v/>
      </c>
      <c r="BZ26" s="127" t="str">
        <f t="shared" si="18"/>
        <v/>
      </c>
      <c r="CA26" s="127" t="str">
        <f t="shared" si="18"/>
        <v/>
      </c>
      <c r="CB26" s="127" t="str">
        <f t="shared" si="18"/>
        <v/>
      </c>
      <c r="CC26" s="127" t="str">
        <f t="shared" si="18"/>
        <v/>
      </c>
      <c r="CD26" s="127" t="str">
        <f t="shared" si="18"/>
        <v/>
      </c>
      <c r="CE26" s="127" t="str">
        <f t="shared" si="18"/>
        <v/>
      </c>
    </row>
    <row r="27" spans="1:83" ht="12.6" customHeight="1" x14ac:dyDescent="0.2">
      <c r="A27" s="106">
        <f>SHIPMENTS!A33</f>
        <v>9116</v>
      </c>
      <c r="B27" s="106" t="str">
        <f>SHIPMENTS!B33</f>
        <v>15900- Dagupan City |Kerwin Fernandez</v>
      </c>
      <c r="C27" s="132">
        <f>SHIPMENTS!F33</f>
        <v>0.17</v>
      </c>
      <c r="D27" s="107" t="str">
        <f>IF((SHIPMENTS!I33)=0,"",SHIPMENTS!I33)</f>
        <v>1X20</v>
      </c>
      <c r="E27" s="176">
        <f>IF((SHIPMENTS!G33)=0,"",SHIPMENTS!G33)</f>
        <v>46323</v>
      </c>
      <c r="F27" s="97">
        <f>VLOOKUP(A27,Items!$A$5:$J$1000,7,0)</f>
        <v>7</v>
      </c>
      <c r="G27" s="98">
        <f>VLOOKUP(A27,load!$A$4:$U$5001,8,0)</f>
        <v>0.79970333333333343</v>
      </c>
      <c r="H27" s="97">
        <f>Manhours!$C$24</f>
        <v>5</v>
      </c>
      <c r="I27" s="98">
        <f t="shared" si="7"/>
        <v>45.5</v>
      </c>
      <c r="J27" s="99">
        <f t="shared" si="12"/>
        <v>1.757589743589744E-2</v>
      </c>
      <c r="K27" s="99">
        <f t="shared" si="8"/>
        <v>0.1599406666666667</v>
      </c>
      <c r="L27" s="98">
        <f t="shared" si="13"/>
        <v>1.757589743589744E-2</v>
      </c>
      <c r="M27" s="98">
        <f t="shared" si="14"/>
        <v>0.1599406666666667</v>
      </c>
      <c r="N27" s="181">
        <f>'WWP1-PPS'!N27+1</f>
        <v>46323.75731016483</v>
      </c>
      <c r="O27" s="181">
        <f t="shared" si="9"/>
        <v>46323.774886062267</v>
      </c>
      <c r="P27" s="101">
        <f>VLOOKUP(A27,SHIPMENTS!$A$7:$N$171,12,0)</f>
        <v>0</v>
      </c>
      <c r="Q27" s="101"/>
      <c r="R27" s="127" t="str">
        <f t="shared" si="3"/>
        <v/>
      </c>
      <c r="S27" s="127" t="str">
        <f t="shared" si="16"/>
        <v/>
      </c>
      <c r="T27" s="127" t="str">
        <f t="shared" si="16"/>
        <v/>
      </c>
      <c r="U27" s="127" t="str">
        <f t="shared" si="16"/>
        <v/>
      </c>
      <c r="V27" s="127" t="str">
        <f t="shared" si="16"/>
        <v/>
      </c>
      <c r="W27" s="127" t="str">
        <f t="shared" si="16"/>
        <v/>
      </c>
      <c r="X27" s="127" t="str">
        <f t="shared" si="16"/>
        <v/>
      </c>
      <c r="Y27" s="127" t="str">
        <f t="shared" si="16"/>
        <v/>
      </c>
      <c r="Z27" s="127" t="str">
        <f t="shared" si="16"/>
        <v>▲</v>
      </c>
      <c r="AA27" s="127" t="str">
        <f t="shared" si="16"/>
        <v/>
      </c>
      <c r="AB27" s="127" t="str">
        <f t="shared" si="16"/>
        <v/>
      </c>
      <c r="AC27" s="127" t="str">
        <f t="shared" si="16"/>
        <v/>
      </c>
      <c r="AD27" s="127" t="str">
        <f t="shared" si="16"/>
        <v/>
      </c>
      <c r="AE27" s="127" t="str">
        <f t="shared" si="16"/>
        <v/>
      </c>
      <c r="AF27" s="127" t="str">
        <f t="shared" si="16"/>
        <v/>
      </c>
      <c r="AG27" s="127" t="str">
        <f t="shared" si="16"/>
        <v/>
      </c>
      <c r="AH27" s="127" t="str">
        <f t="shared" si="16"/>
        <v/>
      </c>
      <c r="AI27" s="127" t="str">
        <f t="shared" si="16"/>
        <v/>
      </c>
      <c r="AJ27" s="127" t="str">
        <f t="shared" si="16"/>
        <v/>
      </c>
      <c r="AK27" s="127" t="str">
        <f t="shared" si="16"/>
        <v/>
      </c>
      <c r="AL27" s="127" t="str">
        <f t="shared" si="16"/>
        <v/>
      </c>
      <c r="AM27" s="127" t="str">
        <f t="shared" si="16"/>
        <v/>
      </c>
      <c r="AN27" s="127" t="str">
        <f t="shared" si="16"/>
        <v/>
      </c>
      <c r="AO27" s="127" t="str">
        <f t="shared" si="16"/>
        <v/>
      </c>
      <c r="AP27" s="127" t="str">
        <f t="shared" si="16"/>
        <v/>
      </c>
      <c r="AQ27" s="127" t="str">
        <f t="shared" si="16"/>
        <v/>
      </c>
      <c r="AR27" s="127" t="str">
        <f t="shared" si="16"/>
        <v/>
      </c>
      <c r="AS27" s="127" t="str">
        <f t="shared" si="16"/>
        <v/>
      </c>
      <c r="AT27" s="127" t="str">
        <f t="shared" si="16"/>
        <v/>
      </c>
      <c r="AU27" s="127" t="str">
        <f t="shared" si="16"/>
        <v/>
      </c>
      <c r="AV27" s="127" t="str">
        <f t="shared" si="16"/>
        <v/>
      </c>
      <c r="AW27" s="127" t="str">
        <f t="shared" si="16"/>
        <v/>
      </c>
      <c r="AX27" s="127" t="str">
        <f t="shared" si="16"/>
        <v/>
      </c>
      <c r="AY27" s="127" t="str">
        <f t="shared" si="16"/>
        <v/>
      </c>
      <c r="AZ27" s="127" t="str">
        <f t="shared" si="16"/>
        <v/>
      </c>
      <c r="BA27" s="127" t="str">
        <f t="shared" si="16"/>
        <v/>
      </c>
      <c r="BB27" s="127" t="str">
        <f t="shared" si="16"/>
        <v/>
      </c>
      <c r="BC27" s="127" t="str">
        <f t="shared" si="16"/>
        <v/>
      </c>
      <c r="BD27" s="127" t="str">
        <f t="shared" si="16"/>
        <v/>
      </c>
      <c r="BE27" s="127" t="str">
        <f t="shared" si="16"/>
        <v/>
      </c>
      <c r="BF27" s="127" t="str">
        <f t="shared" si="16"/>
        <v/>
      </c>
      <c r="BG27" s="127" t="str">
        <f t="shared" si="15"/>
        <v/>
      </c>
      <c r="BH27" s="127" t="str">
        <f t="shared" si="17"/>
        <v/>
      </c>
      <c r="BI27" s="127" t="str">
        <f t="shared" si="17"/>
        <v/>
      </c>
      <c r="BJ27" s="127" t="str">
        <f t="shared" si="17"/>
        <v/>
      </c>
      <c r="BK27" s="127" t="str">
        <f t="shared" si="17"/>
        <v/>
      </c>
      <c r="BL27" s="127" t="str">
        <f t="shared" si="17"/>
        <v/>
      </c>
      <c r="BM27" s="127" t="str">
        <f t="shared" si="17"/>
        <v/>
      </c>
      <c r="BN27" s="127" t="str">
        <f t="shared" si="17"/>
        <v/>
      </c>
      <c r="BO27" s="127" t="str">
        <f t="shared" si="17"/>
        <v/>
      </c>
      <c r="BP27" s="127" t="str">
        <f t="shared" si="17"/>
        <v/>
      </c>
      <c r="BQ27" s="127" t="str">
        <f t="shared" si="17"/>
        <v/>
      </c>
      <c r="BR27" s="127" t="str">
        <f t="shared" si="17"/>
        <v/>
      </c>
      <c r="BS27" s="127" t="str">
        <f t="shared" si="17"/>
        <v/>
      </c>
      <c r="BT27" s="127" t="str">
        <f t="shared" si="18"/>
        <v/>
      </c>
      <c r="BU27" s="127" t="str">
        <f t="shared" si="18"/>
        <v/>
      </c>
      <c r="BV27" s="127" t="str">
        <f t="shared" si="18"/>
        <v/>
      </c>
      <c r="BW27" s="127" t="str">
        <f t="shared" si="18"/>
        <v/>
      </c>
      <c r="BX27" s="127" t="str">
        <f t="shared" si="18"/>
        <v/>
      </c>
      <c r="BY27" s="127" t="str">
        <f t="shared" si="18"/>
        <v/>
      </c>
      <c r="BZ27" s="127" t="str">
        <f t="shared" si="18"/>
        <v/>
      </c>
      <c r="CA27" s="127" t="str">
        <f t="shared" si="18"/>
        <v/>
      </c>
      <c r="CB27" s="127" t="str">
        <f t="shared" si="18"/>
        <v/>
      </c>
      <c r="CC27" s="127" t="str">
        <f t="shared" si="18"/>
        <v/>
      </c>
      <c r="CD27" s="127" t="str">
        <f t="shared" si="18"/>
        <v/>
      </c>
      <c r="CE27" s="127" t="str">
        <f t="shared" si="18"/>
        <v/>
      </c>
    </row>
    <row r="28" spans="1:83" ht="12.6" customHeight="1" x14ac:dyDescent="0.2">
      <c r="A28" s="106">
        <f>SHIPMENTS!A34</f>
        <v>9247</v>
      </c>
      <c r="B28" s="106" t="str">
        <f>SHIPMENTS!B34</f>
        <v>15900- Batangas City |Angela Joy Medes Mandigma</v>
      </c>
      <c r="C28" s="132">
        <f>SHIPMENTS!F34</f>
        <v>0.188</v>
      </c>
      <c r="D28" s="107" t="str">
        <f>IF((SHIPMENTS!I34)=0,"",SHIPMENTS!I34)</f>
        <v/>
      </c>
      <c r="E28" s="176">
        <f>IF((SHIPMENTS!G34)=0,"",SHIPMENTS!G34)</f>
        <v>46323</v>
      </c>
      <c r="F28" s="97">
        <f>VLOOKUP(A28,Items!$A$5:$J$1000,7,0)</f>
        <v>8</v>
      </c>
      <c r="G28" s="98">
        <f>VLOOKUP(A28,load!$A$4:$U$5001,8,0)</f>
        <v>0.77180333333333351</v>
      </c>
      <c r="H28" s="97">
        <f>Manhours!$C$24</f>
        <v>5</v>
      </c>
      <c r="I28" s="98">
        <f t="shared" ref="I28" si="19">+H28*$I$4</f>
        <v>45.5</v>
      </c>
      <c r="J28" s="99">
        <f t="shared" ref="J28" si="20">G28/I28</f>
        <v>1.6962710622710625E-2</v>
      </c>
      <c r="K28" s="99">
        <f t="shared" ref="K28" si="21">+J28*$I$4</f>
        <v>0.15436066666666667</v>
      </c>
      <c r="L28" s="98">
        <f t="shared" ref="L28" si="22">IFERROR(J28-(J28*P28),0)</f>
        <v>1.6962710622710625E-2</v>
      </c>
      <c r="M28" s="98">
        <f t="shared" ref="M28" si="23">IFERROR(K28-(K28*P28),0)</f>
        <v>0.15436066666666667</v>
      </c>
      <c r="N28" s="181">
        <f>'WWP1-PPS'!N28+1</f>
        <v>46323.771016666658</v>
      </c>
      <c r="O28" s="181">
        <f t="shared" si="9"/>
        <v>46323.787979377281</v>
      </c>
      <c r="P28" s="101">
        <f>VLOOKUP(A28,SHIPMENTS!$A$7:$N$171,12,0)</f>
        <v>0</v>
      </c>
      <c r="Q28" s="101"/>
      <c r="R28" s="127" t="str">
        <f t="shared" si="3"/>
        <v/>
      </c>
      <c r="S28" s="127" t="str">
        <f t="shared" si="16"/>
        <v/>
      </c>
      <c r="T28" s="127" t="str">
        <f t="shared" si="16"/>
        <v/>
      </c>
      <c r="U28" s="127" t="str">
        <f t="shared" si="16"/>
        <v/>
      </c>
      <c r="V28" s="127" t="str">
        <f t="shared" si="16"/>
        <v/>
      </c>
      <c r="W28" s="127" t="str">
        <f t="shared" si="16"/>
        <v/>
      </c>
      <c r="X28" s="127" t="str">
        <f t="shared" si="16"/>
        <v/>
      </c>
      <c r="Y28" s="127" t="str">
        <f t="shared" si="16"/>
        <v/>
      </c>
      <c r="Z28" s="127" t="str">
        <f t="shared" si="16"/>
        <v>▲</v>
      </c>
      <c r="AA28" s="127" t="str">
        <f t="shared" si="16"/>
        <v/>
      </c>
      <c r="AB28" s="127" t="str">
        <f t="shared" si="16"/>
        <v/>
      </c>
      <c r="AC28" s="127" t="str">
        <f t="shared" si="16"/>
        <v/>
      </c>
      <c r="AD28" s="127" t="str">
        <f t="shared" si="16"/>
        <v/>
      </c>
      <c r="AE28" s="127" t="str">
        <f t="shared" si="16"/>
        <v/>
      </c>
      <c r="AF28" s="127" t="str">
        <f t="shared" si="16"/>
        <v/>
      </c>
      <c r="AG28" s="127" t="str">
        <f t="shared" si="16"/>
        <v/>
      </c>
      <c r="AH28" s="127" t="str">
        <f t="shared" ref="AH28:BF38" si="24">IF($E28=AH$3,"▲","")</f>
        <v/>
      </c>
      <c r="AI28" s="127" t="str">
        <f t="shared" si="24"/>
        <v/>
      </c>
      <c r="AJ28" s="127" t="str">
        <f t="shared" si="24"/>
        <v/>
      </c>
      <c r="AK28" s="127" t="str">
        <f t="shared" si="24"/>
        <v/>
      </c>
      <c r="AL28" s="127" t="str">
        <f t="shared" si="24"/>
        <v/>
      </c>
      <c r="AM28" s="127" t="str">
        <f t="shared" si="24"/>
        <v/>
      </c>
      <c r="AN28" s="127" t="str">
        <f t="shared" si="24"/>
        <v/>
      </c>
      <c r="AO28" s="127" t="str">
        <f t="shared" si="24"/>
        <v/>
      </c>
      <c r="AP28" s="127" t="str">
        <f t="shared" si="24"/>
        <v/>
      </c>
      <c r="AQ28" s="127" t="str">
        <f t="shared" si="24"/>
        <v/>
      </c>
      <c r="AR28" s="127" t="str">
        <f t="shared" si="24"/>
        <v/>
      </c>
      <c r="AS28" s="127" t="str">
        <f t="shared" si="24"/>
        <v/>
      </c>
      <c r="AT28" s="127" t="str">
        <f t="shared" si="24"/>
        <v/>
      </c>
      <c r="AU28" s="127" t="str">
        <f t="shared" si="24"/>
        <v/>
      </c>
      <c r="AV28" s="127" t="str">
        <f t="shared" si="24"/>
        <v/>
      </c>
      <c r="AW28" s="127" t="str">
        <f t="shared" si="24"/>
        <v/>
      </c>
      <c r="AX28" s="127" t="str">
        <f t="shared" si="24"/>
        <v/>
      </c>
      <c r="AY28" s="127" t="str">
        <f t="shared" si="24"/>
        <v/>
      </c>
      <c r="AZ28" s="127" t="str">
        <f t="shared" si="24"/>
        <v/>
      </c>
      <c r="BA28" s="127" t="str">
        <f t="shared" si="24"/>
        <v/>
      </c>
      <c r="BB28" s="127" t="str">
        <f t="shared" si="24"/>
        <v/>
      </c>
      <c r="BC28" s="127" t="str">
        <f t="shared" si="24"/>
        <v/>
      </c>
      <c r="BD28" s="127" t="str">
        <f t="shared" si="24"/>
        <v/>
      </c>
      <c r="BE28" s="127" t="str">
        <f t="shared" si="24"/>
        <v/>
      </c>
      <c r="BF28" s="127" t="str">
        <f t="shared" si="24"/>
        <v/>
      </c>
      <c r="BG28" s="127" t="str">
        <f t="shared" si="15"/>
        <v/>
      </c>
      <c r="BH28" s="127" t="str">
        <f t="shared" si="17"/>
        <v/>
      </c>
      <c r="BI28" s="127" t="str">
        <f t="shared" si="17"/>
        <v/>
      </c>
      <c r="BJ28" s="127" t="str">
        <f t="shared" si="17"/>
        <v/>
      </c>
      <c r="BK28" s="127" t="str">
        <f t="shared" si="17"/>
        <v/>
      </c>
      <c r="BL28" s="127" t="str">
        <f t="shared" si="17"/>
        <v/>
      </c>
      <c r="BM28" s="127" t="str">
        <f t="shared" si="17"/>
        <v/>
      </c>
      <c r="BN28" s="127" t="str">
        <f t="shared" si="17"/>
        <v/>
      </c>
      <c r="BO28" s="127" t="str">
        <f t="shared" si="17"/>
        <v/>
      </c>
      <c r="BP28" s="127" t="str">
        <f t="shared" si="17"/>
        <v/>
      </c>
      <c r="BQ28" s="127" t="str">
        <f t="shared" si="17"/>
        <v/>
      </c>
      <c r="BR28" s="127" t="str">
        <f t="shared" si="17"/>
        <v/>
      </c>
      <c r="BS28" s="127" t="str">
        <f t="shared" si="17"/>
        <v/>
      </c>
      <c r="BT28" s="127" t="str">
        <f t="shared" si="18"/>
        <v/>
      </c>
      <c r="BU28" s="127" t="str">
        <f t="shared" si="18"/>
        <v/>
      </c>
      <c r="BV28" s="127" t="str">
        <f t="shared" si="18"/>
        <v/>
      </c>
      <c r="BW28" s="127" t="str">
        <f t="shared" si="18"/>
        <v/>
      </c>
      <c r="BX28" s="127" t="str">
        <f t="shared" si="18"/>
        <v/>
      </c>
      <c r="BY28" s="127" t="str">
        <f t="shared" si="18"/>
        <v/>
      </c>
      <c r="BZ28" s="127" t="str">
        <f t="shared" si="18"/>
        <v/>
      </c>
      <c r="CA28" s="127" t="str">
        <f t="shared" si="18"/>
        <v/>
      </c>
      <c r="CB28" s="127" t="str">
        <f t="shared" si="18"/>
        <v/>
      </c>
      <c r="CC28" s="127" t="str">
        <f t="shared" si="18"/>
        <v/>
      </c>
      <c r="CD28" s="127" t="str">
        <f t="shared" si="18"/>
        <v/>
      </c>
      <c r="CE28" s="127" t="str">
        <f t="shared" si="18"/>
        <v/>
      </c>
    </row>
    <row r="29" spans="1:83" ht="12.6" customHeight="1" x14ac:dyDescent="0.2">
      <c r="A29" s="106">
        <f>SHIPMENTS!A35</f>
        <v>9302</v>
      </c>
      <c r="B29" s="106" t="str">
        <f>SHIPMENTS!B35</f>
        <v>15900- Binangonan Rizal |Dr. Jonathan Emmanuel Sandejas</v>
      </c>
      <c r="C29" s="132">
        <f>SHIPMENTS!F35</f>
        <v>0.14499999999999999</v>
      </c>
      <c r="D29" s="107" t="str">
        <f>IF((SHIPMENTS!I35)=0,"",SHIPMENTS!I35)</f>
        <v/>
      </c>
      <c r="E29" s="176">
        <f>IF((SHIPMENTS!G35)=0,"",SHIPMENTS!G35)</f>
        <v>46323</v>
      </c>
      <c r="F29" s="97">
        <f>VLOOKUP(A29,Items!$A$5:$J$1000,7,0)</f>
        <v>7</v>
      </c>
      <c r="G29" s="98">
        <f>VLOOKUP(A29,load!$A$4:$U$5001,8,0)</f>
        <v>0.72988666666666679</v>
      </c>
      <c r="H29" s="97">
        <f>Manhours!$C$24</f>
        <v>5</v>
      </c>
      <c r="I29" s="98">
        <f t="shared" ref="I29:I32" si="25">+H29*$I$4</f>
        <v>45.5</v>
      </c>
      <c r="J29" s="99">
        <f t="shared" ref="J29:J32" si="26">G29/I29</f>
        <v>1.6041465201465203E-2</v>
      </c>
      <c r="K29" s="99">
        <f t="shared" ref="K29:K32" si="27">+J29*$I$4</f>
        <v>0.14597733333333335</v>
      </c>
      <c r="L29" s="98">
        <f t="shared" ref="L29:L32" si="28">IFERROR(J29-(J29*P29),0)</f>
        <v>1.6041465201465203E-2</v>
      </c>
      <c r="M29" s="98">
        <f t="shared" ref="M29:M32" si="29">IFERROR(K29-(K29*P29),0)</f>
        <v>0.14597733333333335</v>
      </c>
      <c r="N29" s="181">
        <f>'WWP1-PPS'!N29+1</f>
        <v>46323.783872092485</v>
      </c>
      <c r="O29" s="181">
        <f t="shared" si="9"/>
        <v>46323.799913557683</v>
      </c>
      <c r="P29" s="101">
        <f>VLOOKUP(A29,SHIPMENTS!$A$7:$N$171,12,0)</f>
        <v>0</v>
      </c>
      <c r="Q29" s="101"/>
      <c r="R29" s="127" t="str">
        <f t="shared" si="3"/>
        <v/>
      </c>
      <c r="S29" s="127" t="str">
        <f t="shared" si="3"/>
        <v/>
      </c>
      <c r="T29" s="127" t="str">
        <f t="shared" si="3"/>
        <v/>
      </c>
      <c r="U29" s="127" t="str">
        <f t="shared" si="3"/>
        <v/>
      </c>
      <c r="V29" s="127" t="str">
        <f t="shared" si="3"/>
        <v/>
      </c>
      <c r="W29" s="127" t="str">
        <f t="shared" si="3"/>
        <v/>
      </c>
      <c r="X29" s="127" t="str">
        <f t="shared" si="3"/>
        <v/>
      </c>
      <c r="Y29" s="127" t="str">
        <f t="shared" si="3"/>
        <v/>
      </c>
      <c r="Z29" s="127" t="str">
        <f t="shared" si="3"/>
        <v>▲</v>
      </c>
      <c r="AA29" s="127" t="str">
        <f t="shared" si="3"/>
        <v/>
      </c>
      <c r="AB29" s="127" t="str">
        <f t="shared" si="3"/>
        <v/>
      </c>
      <c r="AC29" s="127" t="str">
        <f t="shared" si="3"/>
        <v/>
      </c>
      <c r="AD29" s="127" t="str">
        <f t="shared" si="3"/>
        <v/>
      </c>
      <c r="AE29" s="127" t="str">
        <f t="shared" si="3"/>
        <v/>
      </c>
      <c r="AF29" s="127" t="str">
        <f t="shared" si="3"/>
        <v/>
      </c>
      <c r="AG29" s="127" t="str">
        <f t="shared" si="3"/>
        <v/>
      </c>
      <c r="AH29" s="127" t="str">
        <f t="shared" si="24"/>
        <v/>
      </c>
      <c r="AI29" s="127" t="str">
        <f t="shared" si="24"/>
        <v/>
      </c>
      <c r="AJ29" s="127" t="str">
        <f t="shared" si="24"/>
        <v/>
      </c>
      <c r="AK29" s="127" t="str">
        <f t="shared" si="24"/>
        <v/>
      </c>
      <c r="AL29" s="127" t="str">
        <f t="shared" si="24"/>
        <v/>
      </c>
      <c r="AM29" s="127" t="str">
        <f t="shared" si="24"/>
        <v/>
      </c>
      <c r="AN29" s="127" t="str">
        <f t="shared" si="24"/>
        <v/>
      </c>
      <c r="AO29" s="127" t="str">
        <f t="shared" si="24"/>
        <v/>
      </c>
      <c r="AP29" s="127" t="str">
        <f t="shared" si="24"/>
        <v/>
      </c>
      <c r="AQ29" s="127" t="str">
        <f t="shared" si="24"/>
        <v/>
      </c>
      <c r="AR29" s="127" t="str">
        <f t="shared" si="24"/>
        <v/>
      </c>
      <c r="AS29" s="127" t="str">
        <f t="shared" si="24"/>
        <v/>
      </c>
      <c r="AT29" s="127" t="str">
        <f t="shared" si="24"/>
        <v/>
      </c>
      <c r="AU29" s="127" t="str">
        <f t="shared" si="24"/>
        <v/>
      </c>
      <c r="AV29" s="127" t="str">
        <f t="shared" si="24"/>
        <v/>
      </c>
      <c r="AW29" s="127" t="str">
        <f t="shared" si="24"/>
        <v/>
      </c>
      <c r="AX29" s="127" t="str">
        <f t="shared" si="24"/>
        <v/>
      </c>
      <c r="AY29" s="127" t="str">
        <f t="shared" si="24"/>
        <v/>
      </c>
      <c r="AZ29" s="127" t="str">
        <f t="shared" si="24"/>
        <v/>
      </c>
      <c r="BA29" s="127" t="str">
        <f t="shared" si="24"/>
        <v/>
      </c>
      <c r="BB29" s="127" t="str">
        <f t="shared" si="24"/>
        <v/>
      </c>
      <c r="BC29" s="127" t="str">
        <f t="shared" si="24"/>
        <v/>
      </c>
      <c r="BD29" s="127" t="str">
        <f t="shared" si="24"/>
        <v/>
      </c>
      <c r="BE29" s="127" t="str">
        <f t="shared" si="24"/>
        <v/>
      </c>
      <c r="BF29" s="127" t="str">
        <f t="shared" si="24"/>
        <v/>
      </c>
      <c r="BG29" s="127" t="str">
        <f t="shared" si="15"/>
        <v/>
      </c>
      <c r="BH29" s="127" t="str">
        <f t="shared" si="17"/>
        <v/>
      </c>
      <c r="BI29" s="127" t="str">
        <f t="shared" si="17"/>
        <v/>
      </c>
      <c r="BJ29" s="127" t="str">
        <f t="shared" si="17"/>
        <v/>
      </c>
      <c r="BK29" s="127" t="str">
        <f t="shared" si="17"/>
        <v/>
      </c>
      <c r="BL29" s="127" t="str">
        <f t="shared" si="17"/>
        <v/>
      </c>
      <c r="BM29" s="127" t="str">
        <f t="shared" si="17"/>
        <v/>
      </c>
      <c r="BN29" s="127" t="str">
        <f t="shared" si="17"/>
        <v/>
      </c>
      <c r="BO29" s="127" t="str">
        <f t="shared" si="17"/>
        <v/>
      </c>
      <c r="BP29" s="127" t="str">
        <f t="shared" si="17"/>
        <v/>
      </c>
      <c r="BQ29" s="127" t="str">
        <f t="shared" si="17"/>
        <v/>
      </c>
      <c r="BR29" s="127" t="str">
        <f t="shared" si="17"/>
        <v/>
      </c>
      <c r="BS29" s="127" t="str">
        <f t="shared" si="17"/>
        <v/>
      </c>
      <c r="BT29" s="127" t="str">
        <f t="shared" si="18"/>
        <v/>
      </c>
      <c r="BU29" s="127" t="str">
        <f t="shared" si="18"/>
        <v/>
      </c>
      <c r="BV29" s="127" t="str">
        <f t="shared" si="18"/>
        <v/>
      </c>
      <c r="BW29" s="127" t="str">
        <f t="shared" si="18"/>
        <v/>
      </c>
      <c r="BX29" s="127" t="str">
        <f t="shared" si="18"/>
        <v/>
      </c>
      <c r="BY29" s="127" t="str">
        <f t="shared" si="18"/>
        <v/>
      </c>
      <c r="BZ29" s="127" t="str">
        <f t="shared" si="18"/>
        <v/>
      </c>
      <c r="CA29" s="127" t="str">
        <f t="shared" si="18"/>
        <v/>
      </c>
      <c r="CB29" s="127" t="str">
        <f t="shared" si="18"/>
        <v/>
      </c>
      <c r="CC29" s="127" t="str">
        <f t="shared" si="18"/>
        <v/>
      </c>
      <c r="CD29" s="127" t="str">
        <f t="shared" si="18"/>
        <v/>
      </c>
      <c r="CE29" s="127" t="str">
        <f t="shared" si="18"/>
        <v/>
      </c>
    </row>
    <row r="30" spans="1:83" ht="12.6" hidden="1" customHeight="1" x14ac:dyDescent="0.2">
      <c r="A30" s="106">
        <f>SHIPMENTS!A36</f>
        <v>8954</v>
      </c>
      <c r="B30" s="106" t="str">
        <f>SHIPMENTS!B36</f>
        <v>15900- Cainta Rizal | Mary Baquiran</v>
      </c>
      <c r="C30" s="132">
        <f>SHIPMENTS!F36</f>
        <v>6.4999999999999997E-3</v>
      </c>
      <c r="D30" s="107" t="str">
        <f>IF((SHIPMENTS!I36)=0,"",SHIPMENTS!I36)</f>
        <v/>
      </c>
      <c r="E30" s="176">
        <f>IF((SHIPMENTS!G36)=0,"",SHIPMENTS!G36)</f>
        <v>46323</v>
      </c>
      <c r="F30" s="97">
        <f>VLOOKUP(A30,Items!$A$5:$J$1000,7,0)</f>
        <v>0</v>
      </c>
      <c r="G30" s="98">
        <f>VLOOKUP(A30,load!$A$4:$U$5001,8,0)</f>
        <v>0</v>
      </c>
      <c r="H30" s="97">
        <f>Manhours!$C$24</f>
        <v>5</v>
      </c>
      <c r="I30" s="98">
        <f t="shared" si="25"/>
        <v>45.5</v>
      </c>
      <c r="J30" s="99">
        <f t="shared" si="26"/>
        <v>0</v>
      </c>
      <c r="K30" s="99">
        <f t="shared" si="27"/>
        <v>0</v>
      </c>
      <c r="L30" s="98">
        <f t="shared" si="28"/>
        <v>0</v>
      </c>
      <c r="M30" s="98">
        <f t="shared" si="29"/>
        <v>0</v>
      </c>
      <c r="N30" s="181">
        <f>'WWP1-PPS'!N30+1</f>
        <v>46323.795014491749</v>
      </c>
      <c r="O30" s="181">
        <f t="shared" si="9"/>
        <v>46323.795014491749</v>
      </c>
      <c r="P30" s="101" t="str">
        <f>VLOOKUP(A30,SHIPMENTS!$A$7:$N$171,12,0)</f>
        <v>n/a</v>
      </c>
      <c r="Q30" s="101"/>
      <c r="R30" s="127" t="str">
        <f t="shared" ref="R30:AG45" si="30">IF($E30=R$3,"▲","")</f>
        <v/>
      </c>
      <c r="S30" s="127" t="str">
        <f t="shared" si="30"/>
        <v/>
      </c>
      <c r="T30" s="127" t="str">
        <f t="shared" si="30"/>
        <v/>
      </c>
      <c r="U30" s="127" t="str">
        <f t="shared" si="30"/>
        <v/>
      </c>
      <c r="V30" s="127" t="str">
        <f t="shared" si="30"/>
        <v/>
      </c>
      <c r="W30" s="127" t="str">
        <f t="shared" si="30"/>
        <v/>
      </c>
      <c r="X30" s="127" t="str">
        <f t="shared" si="30"/>
        <v/>
      </c>
      <c r="Y30" s="127" t="str">
        <f t="shared" si="30"/>
        <v/>
      </c>
      <c r="Z30" s="127" t="str">
        <f t="shared" si="30"/>
        <v>▲</v>
      </c>
      <c r="AA30" s="127" t="str">
        <f t="shared" si="30"/>
        <v/>
      </c>
      <c r="AB30" s="127" t="str">
        <f t="shared" si="30"/>
        <v/>
      </c>
      <c r="AC30" s="127" t="str">
        <f t="shared" si="30"/>
        <v/>
      </c>
      <c r="AD30" s="127" t="str">
        <f t="shared" si="30"/>
        <v/>
      </c>
      <c r="AE30" s="127" t="str">
        <f t="shared" si="30"/>
        <v/>
      </c>
      <c r="AF30" s="127" t="str">
        <f t="shared" si="30"/>
        <v/>
      </c>
      <c r="AG30" s="127" t="str">
        <f t="shared" si="30"/>
        <v/>
      </c>
      <c r="AH30" s="127" t="str">
        <f t="shared" si="24"/>
        <v/>
      </c>
      <c r="AI30" s="127" t="str">
        <f t="shared" si="24"/>
        <v/>
      </c>
      <c r="AJ30" s="127" t="str">
        <f t="shared" si="24"/>
        <v/>
      </c>
      <c r="AK30" s="127" t="str">
        <f t="shared" si="24"/>
        <v/>
      </c>
      <c r="AL30" s="127" t="str">
        <f t="shared" si="24"/>
        <v/>
      </c>
      <c r="AM30" s="127" t="str">
        <f t="shared" si="24"/>
        <v/>
      </c>
      <c r="AN30" s="127" t="str">
        <f t="shared" si="24"/>
        <v/>
      </c>
      <c r="AO30" s="127" t="str">
        <f t="shared" si="24"/>
        <v/>
      </c>
      <c r="AP30" s="127" t="str">
        <f t="shared" si="24"/>
        <v/>
      </c>
      <c r="AQ30" s="127" t="str">
        <f t="shared" si="24"/>
        <v/>
      </c>
      <c r="AR30" s="127" t="str">
        <f t="shared" si="24"/>
        <v/>
      </c>
      <c r="AS30" s="127" t="str">
        <f t="shared" si="24"/>
        <v/>
      </c>
      <c r="AT30" s="127" t="str">
        <f t="shared" si="24"/>
        <v/>
      </c>
      <c r="AU30" s="127" t="str">
        <f t="shared" si="24"/>
        <v/>
      </c>
      <c r="AV30" s="127" t="str">
        <f t="shared" si="24"/>
        <v/>
      </c>
      <c r="AW30" s="127" t="str">
        <f t="shared" si="24"/>
        <v/>
      </c>
      <c r="AX30" s="127" t="str">
        <f t="shared" si="24"/>
        <v/>
      </c>
      <c r="AY30" s="127" t="str">
        <f t="shared" si="24"/>
        <v/>
      </c>
      <c r="AZ30" s="127" t="str">
        <f t="shared" si="24"/>
        <v/>
      </c>
      <c r="BA30" s="127" t="str">
        <f t="shared" si="24"/>
        <v/>
      </c>
      <c r="BB30" s="127" t="str">
        <f t="shared" si="24"/>
        <v/>
      </c>
      <c r="BC30" s="127" t="str">
        <f t="shared" si="24"/>
        <v/>
      </c>
      <c r="BD30" s="127" t="str">
        <f t="shared" si="24"/>
        <v/>
      </c>
      <c r="BE30" s="127" t="str">
        <f t="shared" si="24"/>
        <v/>
      </c>
      <c r="BF30" s="127" t="str">
        <f t="shared" si="24"/>
        <v/>
      </c>
      <c r="BG30" s="127" t="str">
        <f t="shared" si="15"/>
        <v/>
      </c>
      <c r="BH30" s="127" t="str">
        <f t="shared" si="17"/>
        <v/>
      </c>
      <c r="BI30" s="127" t="str">
        <f t="shared" si="17"/>
        <v/>
      </c>
      <c r="BJ30" s="127" t="str">
        <f t="shared" si="17"/>
        <v/>
      </c>
      <c r="BK30" s="127" t="str">
        <f t="shared" si="17"/>
        <v/>
      </c>
      <c r="BL30" s="127" t="str">
        <f t="shared" si="17"/>
        <v/>
      </c>
      <c r="BM30" s="127" t="str">
        <f t="shared" si="17"/>
        <v/>
      </c>
      <c r="BN30" s="127" t="str">
        <f t="shared" si="17"/>
        <v/>
      </c>
      <c r="BO30" s="127" t="str">
        <f t="shared" si="17"/>
        <v/>
      </c>
      <c r="BP30" s="127" t="str">
        <f t="shared" si="17"/>
        <v/>
      </c>
      <c r="BQ30" s="127" t="str">
        <f t="shared" si="17"/>
        <v/>
      </c>
      <c r="BR30" s="127" t="str">
        <f t="shared" si="17"/>
        <v/>
      </c>
      <c r="BS30" s="127" t="str">
        <f t="shared" si="17"/>
        <v/>
      </c>
      <c r="BT30" s="127" t="str">
        <f t="shared" si="18"/>
        <v/>
      </c>
      <c r="BU30" s="127" t="str">
        <f t="shared" si="18"/>
        <v/>
      </c>
      <c r="BV30" s="127" t="str">
        <f t="shared" si="18"/>
        <v/>
      </c>
      <c r="BW30" s="127" t="str">
        <f t="shared" si="18"/>
        <v/>
      </c>
      <c r="BX30" s="127" t="str">
        <f t="shared" si="18"/>
        <v/>
      </c>
      <c r="BY30" s="127" t="str">
        <f t="shared" si="18"/>
        <v/>
      </c>
      <c r="BZ30" s="127" t="str">
        <f t="shared" si="18"/>
        <v/>
      </c>
      <c r="CA30" s="127" t="str">
        <f t="shared" si="18"/>
        <v/>
      </c>
      <c r="CB30" s="127" t="str">
        <f t="shared" si="18"/>
        <v/>
      </c>
      <c r="CC30" s="127" t="str">
        <f t="shared" si="18"/>
        <v/>
      </c>
      <c r="CD30" s="127" t="str">
        <f t="shared" si="18"/>
        <v/>
      </c>
      <c r="CE30" s="127" t="str">
        <f t="shared" si="18"/>
        <v/>
      </c>
    </row>
    <row r="31" spans="1:83" ht="12.6" customHeight="1" x14ac:dyDescent="0.2">
      <c r="A31" s="106">
        <f>SHIPMENTS!A37</f>
        <v>9064</v>
      </c>
      <c r="B31" s="106" t="str">
        <f>SHIPMENTS!B37</f>
        <v>15900- Quezon City | Hans Jason Tan</v>
      </c>
      <c r="C31" s="132">
        <f>SHIPMENTS!F37</f>
        <v>6.4999999999999997E-3</v>
      </c>
      <c r="D31" s="107" t="str">
        <f>IF((SHIPMENTS!I37)=0,"",SHIPMENTS!I37)</f>
        <v/>
      </c>
      <c r="E31" s="176">
        <f>IF((SHIPMENTS!G37)=0,"",SHIPMENTS!G37)</f>
        <v>46323</v>
      </c>
      <c r="F31" s="97">
        <f>VLOOKUP(A31,Items!$A$5:$J$1000,7,0)</f>
        <v>0</v>
      </c>
      <c r="G31" s="98">
        <f>VLOOKUP(A31,load!$A$4:$U$5001,8,0)</f>
        <v>0</v>
      </c>
      <c r="H31" s="97">
        <f>Manhours!$C$24</f>
        <v>5</v>
      </c>
      <c r="I31" s="98">
        <f t="shared" si="25"/>
        <v>45.5</v>
      </c>
      <c r="J31" s="99">
        <f t="shared" si="26"/>
        <v>0</v>
      </c>
      <c r="K31" s="99">
        <f t="shared" si="27"/>
        <v>0</v>
      </c>
      <c r="L31" s="98">
        <f t="shared" si="28"/>
        <v>0</v>
      </c>
      <c r="M31" s="98">
        <f t="shared" si="29"/>
        <v>0</v>
      </c>
      <c r="N31" s="181">
        <f>'WWP1-PPS'!N31+1</f>
        <v>46323.795014491749</v>
      </c>
      <c r="O31" s="181">
        <f t="shared" si="9"/>
        <v>46323.795014491749</v>
      </c>
      <c r="P31" s="101">
        <f>VLOOKUP(A31,SHIPMENTS!$A$7:$N$171,12,0)</f>
        <v>0</v>
      </c>
      <c r="Q31" s="101"/>
      <c r="R31" s="127" t="str">
        <f t="shared" si="30"/>
        <v/>
      </c>
      <c r="S31" s="127" t="str">
        <f t="shared" si="30"/>
        <v/>
      </c>
      <c r="T31" s="127" t="str">
        <f t="shared" si="30"/>
        <v/>
      </c>
      <c r="U31" s="127" t="str">
        <f t="shared" si="30"/>
        <v/>
      </c>
      <c r="V31" s="127" t="str">
        <f t="shared" si="30"/>
        <v/>
      </c>
      <c r="W31" s="127" t="str">
        <f t="shared" si="30"/>
        <v/>
      </c>
      <c r="X31" s="127" t="str">
        <f t="shared" si="30"/>
        <v/>
      </c>
      <c r="Y31" s="127" t="str">
        <f t="shared" si="30"/>
        <v/>
      </c>
      <c r="Z31" s="127" t="str">
        <f t="shared" si="30"/>
        <v>▲</v>
      </c>
      <c r="AA31" s="127" t="str">
        <f t="shared" si="30"/>
        <v/>
      </c>
      <c r="AB31" s="127" t="str">
        <f t="shared" si="30"/>
        <v/>
      </c>
      <c r="AC31" s="127" t="str">
        <f t="shared" si="30"/>
        <v/>
      </c>
      <c r="AD31" s="127" t="str">
        <f t="shared" si="30"/>
        <v/>
      </c>
      <c r="AE31" s="127" t="str">
        <f t="shared" si="30"/>
        <v/>
      </c>
      <c r="AF31" s="127" t="str">
        <f t="shared" si="30"/>
        <v/>
      </c>
      <c r="AG31" s="127" t="str">
        <f t="shared" si="30"/>
        <v/>
      </c>
      <c r="AH31" s="127" t="str">
        <f t="shared" si="24"/>
        <v/>
      </c>
      <c r="AI31" s="127" t="str">
        <f t="shared" si="24"/>
        <v/>
      </c>
      <c r="AJ31" s="127" t="str">
        <f t="shared" si="24"/>
        <v/>
      </c>
      <c r="AK31" s="127" t="str">
        <f t="shared" si="24"/>
        <v/>
      </c>
      <c r="AL31" s="127" t="str">
        <f t="shared" si="24"/>
        <v/>
      </c>
      <c r="AM31" s="127" t="str">
        <f t="shared" si="24"/>
        <v/>
      </c>
      <c r="AN31" s="127" t="str">
        <f t="shared" si="24"/>
        <v/>
      </c>
      <c r="AO31" s="127" t="str">
        <f t="shared" si="24"/>
        <v/>
      </c>
      <c r="AP31" s="127" t="str">
        <f t="shared" si="24"/>
        <v/>
      </c>
      <c r="AQ31" s="127" t="str">
        <f t="shared" si="24"/>
        <v/>
      </c>
      <c r="AR31" s="127" t="str">
        <f t="shared" si="24"/>
        <v/>
      </c>
      <c r="AS31" s="127" t="str">
        <f t="shared" si="24"/>
        <v/>
      </c>
      <c r="AT31" s="127" t="str">
        <f t="shared" si="24"/>
        <v/>
      </c>
      <c r="AU31" s="127" t="str">
        <f t="shared" si="24"/>
        <v/>
      </c>
      <c r="AV31" s="127" t="str">
        <f t="shared" si="24"/>
        <v/>
      </c>
      <c r="AW31" s="127" t="str">
        <f t="shared" si="24"/>
        <v/>
      </c>
      <c r="AX31" s="127" t="str">
        <f t="shared" si="24"/>
        <v/>
      </c>
      <c r="AY31" s="127" t="str">
        <f t="shared" si="24"/>
        <v/>
      </c>
      <c r="AZ31" s="127" t="str">
        <f t="shared" si="24"/>
        <v/>
      </c>
      <c r="BA31" s="127" t="str">
        <f t="shared" si="24"/>
        <v/>
      </c>
      <c r="BB31" s="127" t="str">
        <f t="shared" si="24"/>
        <v/>
      </c>
      <c r="BC31" s="127" t="str">
        <f t="shared" si="24"/>
        <v/>
      </c>
      <c r="BD31" s="127" t="str">
        <f t="shared" si="24"/>
        <v/>
      </c>
      <c r="BE31" s="127" t="str">
        <f t="shared" si="24"/>
        <v/>
      </c>
      <c r="BF31" s="127" t="str">
        <f t="shared" si="24"/>
        <v/>
      </c>
      <c r="BG31" s="127" t="str">
        <f t="shared" si="15"/>
        <v/>
      </c>
      <c r="BH31" s="127" t="str">
        <f t="shared" si="17"/>
        <v/>
      </c>
      <c r="BI31" s="127" t="str">
        <f t="shared" si="17"/>
        <v/>
      </c>
      <c r="BJ31" s="127" t="str">
        <f t="shared" si="17"/>
        <v/>
      </c>
      <c r="BK31" s="127" t="str">
        <f t="shared" si="17"/>
        <v/>
      </c>
      <c r="BL31" s="127" t="str">
        <f t="shared" si="17"/>
        <v/>
      </c>
      <c r="BM31" s="127" t="str">
        <f t="shared" si="17"/>
        <v/>
      </c>
      <c r="BN31" s="127" t="str">
        <f t="shared" si="17"/>
        <v/>
      </c>
      <c r="BO31" s="127" t="str">
        <f t="shared" si="17"/>
        <v/>
      </c>
      <c r="BP31" s="127" t="str">
        <f t="shared" si="17"/>
        <v/>
      </c>
      <c r="BQ31" s="127" t="str">
        <f t="shared" si="17"/>
        <v/>
      </c>
      <c r="BR31" s="127" t="str">
        <f t="shared" si="17"/>
        <v/>
      </c>
      <c r="BS31" s="127" t="str">
        <f t="shared" si="17"/>
        <v/>
      </c>
      <c r="BT31" s="127" t="str">
        <f t="shared" si="18"/>
        <v/>
      </c>
      <c r="BU31" s="127" t="str">
        <f t="shared" si="18"/>
        <v/>
      </c>
      <c r="BV31" s="127" t="str">
        <f t="shared" si="18"/>
        <v/>
      </c>
      <c r="BW31" s="127" t="str">
        <f t="shared" si="18"/>
        <v/>
      </c>
      <c r="BX31" s="127" t="str">
        <f t="shared" si="18"/>
        <v/>
      </c>
      <c r="BY31" s="127" t="str">
        <f t="shared" si="18"/>
        <v/>
      </c>
      <c r="BZ31" s="127" t="str">
        <f t="shared" si="18"/>
        <v/>
      </c>
      <c r="CA31" s="127" t="str">
        <f t="shared" si="18"/>
        <v/>
      </c>
      <c r="CB31" s="127" t="str">
        <f t="shared" si="18"/>
        <v/>
      </c>
      <c r="CC31" s="127" t="str">
        <f t="shared" si="18"/>
        <v/>
      </c>
      <c r="CD31" s="127" t="str">
        <f t="shared" si="18"/>
        <v/>
      </c>
      <c r="CE31" s="127" t="str">
        <f t="shared" si="18"/>
        <v/>
      </c>
    </row>
    <row r="32" spans="1:83" ht="12.6" hidden="1" customHeight="1" x14ac:dyDescent="0.2">
      <c r="A32" s="106">
        <f>SHIPMENTS!A38</f>
        <v>9065</v>
      </c>
      <c r="B32" s="106" t="str">
        <f>SHIPMENTS!B38</f>
        <v>15900- Cavite | Kristine Austria</v>
      </c>
      <c r="C32" s="132">
        <f>SHIPMENTS!F38</f>
        <v>0</v>
      </c>
      <c r="D32" s="107" t="str">
        <f>IF((SHIPMENTS!I38)=0,"",SHIPMENTS!I38)</f>
        <v/>
      </c>
      <c r="E32" s="176">
        <f>IF((SHIPMENTS!G38)=0,"",SHIPMENTS!G38)</f>
        <v>46323</v>
      </c>
      <c r="F32" s="97">
        <f>VLOOKUP(A32,Items!$A$5:$J$1000,7,0)</f>
        <v>0</v>
      </c>
      <c r="G32" s="98">
        <f>VLOOKUP(A32,load!$A$4:$U$5001,8,0)</f>
        <v>0</v>
      </c>
      <c r="H32" s="97">
        <f>Manhours!$C$24</f>
        <v>5</v>
      </c>
      <c r="I32" s="98">
        <f t="shared" si="25"/>
        <v>45.5</v>
      </c>
      <c r="J32" s="99">
        <f t="shared" si="26"/>
        <v>0</v>
      </c>
      <c r="K32" s="99">
        <f t="shared" si="27"/>
        <v>0</v>
      </c>
      <c r="L32" s="98">
        <f t="shared" si="28"/>
        <v>0</v>
      </c>
      <c r="M32" s="98">
        <f t="shared" si="29"/>
        <v>0</v>
      </c>
      <c r="N32" s="181">
        <f>'WWP1-PPS'!N32+1</f>
        <v>46323.795014491749</v>
      </c>
      <c r="O32" s="181">
        <f t="shared" si="9"/>
        <v>46323.795014491749</v>
      </c>
      <c r="P32" s="101" t="str">
        <f>VLOOKUP(A32,SHIPMENTS!$A$7:$N$171,12,0)</f>
        <v>n/a</v>
      </c>
      <c r="Q32" s="101"/>
      <c r="R32" s="127" t="str">
        <f t="shared" si="30"/>
        <v/>
      </c>
      <c r="S32" s="127" t="str">
        <f t="shared" si="30"/>
        <v/>
      </c>
      <c r="T32" s="127" t="str">
        <f t="shared" si="30"/>
        <v/>
      </c>
      <c r="U32" s="127" t="str">
        <f t="shared" si="30"/>
        <v/>
      </c>
      <c r="V32" s="127" t="str">
        <f t="shared" si="30"/>
        <v/>
      </c>
      <c r="W32" s="127" t="str">
        <f t="shared" si="30"/>
        <v/>
      </c>
      <c r="X32" s="127" t="str">
        <f t="shared" si="30"/>
        <v/>
      </c>
      <c r="Y32" s="127" t="str">
        <f t="shared" si="30"/>
        <v/>
      </c>
      <c r="Z32" s="127" t="str">
        <f t="shared" si="30"/>
        <v>▲</v>
      </c>
      <c r="AA32" s="127" t="str">
        <f t="shared" si="30"/>
        <v/>
      </c>
      <c r="AB32" s="127" t="str">
        <f t="shared" si="30"/>
        <v/>
      </c>
      <c r="AC32" s="127" t="str">
        <f t="shared" si="30"/>
        <v/>
      </c>
      <c r="AD32" s="127" t="str">
        <f t="shared" si="30"/>
        <v/>
      </c>
      <c r="AE32" s="127" t="str">
        <f t="shared" si="30"/>
        <v/>
      </c>
      <c r="AF32" s="127" t="str">
        <f t="shared" si="30"/>
        <v/>
      </c>
      <c r="AG32" s="127" t="str">
        <f t="shared" si="30"/>
        <v/>
      </c>
      <c r="AH32" s="127" t="str">
        <f t="shared" si="24"/>
        <v/>
      </c>
      <c r="AI32" s="127" t="str">
        <f t="shared" si="24"/>
        <v/>
      </c>
      <c r="AJ32" s="127" t="str">
        <f t="shared" si="24"/>
        <v/>
      </c>
      <c r="AK32" s="127" t="str">
        <f t="shared" si="24"/>
        <v/>
      </c>
      <c r="AL32" s="127" t="str">
        <f t="shared" si="24"/>
        <v/>
      </c>
      <c r="AM32" s="127" t="str">
        <f t="shared" si="24"/>
        <v/>
      </c>
      <c r="AN32" s="127" t="str">
        <f t="shared" si="24"/>
        <v/>
      </c>
      <c r="AO32" s="127" t="str">
        <f t="shared" si="24"/>
        <v/>
      </c>
      <c r="AP32" s="127" t="str">
        <f t="shared" si="24"/>
        <v/>
      </c>
      <c r="AQ32" s="127" t="str">
        <f t="shared" si="24"/>
        <v/>
      </c>
      <c r="AR32" s="127" t="str">
        <f t="shared" si="24"/>
        <v/>
      </c>
      <c r="AS32" s="127" t="str">
        <f t="shared" si="24"/>
        <v/>
      </c>
      <c r="AT32" s="127" t="str">
        <f t="shared" si="24"/>
        <v/>
      </c>
      <c r="AU32" s="127" t="str">
        <f t="shared" si="24"/>
        <v/>
      </c>
      <c r="AV32" s="127" t="str">
        <f t="shared" si="24"/>
        <v/>
      </c>
      <c r="AW32" s="127" t="str">
        <f t="shared" si="24"/>
        <v/>
      </c>
      <c r="AX32" s="127" t="str">
        <f t="shared" si="24"/>
        <v/>
      </c>
      <c r="AY32" s="127" t="str">
        <f t="shared" si="24"/>
        <v/>
      </c>
      <c r="AZ32" s="127" t="str">
        <f t="shared" si="24"/>
        <v/>
      </c>
      <c r="BA32" s="127" t="str">
        <f t="shared" si="24"/>
        <v/>
      </c>
      <c r="BB32" s="127" t="str">
        <f t="shared" si="24"/>
        <v/>
      </c>
      <c r="BC32" s="127" t="str">
        <f t="shared" si="24"/>
        <v/>
      </c>
      <c r="BD32" s="127" t="str">
        <f t="shared" si="24"/>
        <v/>
      </c>
      <c r="BE32" s="127" t="str">
        <f t="shared" si="24"/>
        <v/>
      </c>
      <c r="BF32" s="127" t="str">
        <f t="shared" si="24"/>
        <v/>
      </c>
      <c r="BG32" s="127" t="str">
        <f t="shared" si="15"/>
        <v/>
      </c>
      <c r="BH32" s="127" t="str">
        <f t="shared" si="17"/>
        <v/>
      </c>
      <c r="BI32" s="127" t="str">
        <f t="shared" si="17"/>
        <v/>
      </c>
      <c r="BJ32" s="127" t="str">
        <f t="shared" si="17"/>
        <v/>
      </c>
      <c r="BK32" s="127" t="str">
        <f t="shared" si="17"/>
        <v/>
      </c>
      <c r="BL32" s="127" t="str">
        <f t="shared" si="17"/>
        <v/>
      </c>
      <c r="BM32" s="127" t="str">
        <f t="shared" si="17"/>
        <v/>
      </c>
      <c r="BN32" s="127" t="str">
        <f t="shared" si="17"/>
        <v/>
      </c>
      <c r="BO32" s="127" t="str">
        <f t="shared" si="17"/>
        <v/>
      </c>
      <c r="BP32" s="127" t="str">
        <f t="shared" si="17"/>
        <v/>
      </c>
      <c r="BQ32" s="127" t="str">
        <f t="shared" si="17"/>
        <v/>
      </c>
      <c r="BR32" s="127" t="str">
        <f t="shared" si="17"/>
        <v/>
      </c>
      <c r="BS32" s="127" t="str">
        <f t="shared" si="17"/>
        <v/>
      </c>
      <c r="BT32" s="127" t="str">
        <f t="shared" si="18"/>
        <v/>
      </c>
      <c r="BU32" s="127" t="str">
        <f t="shared" si="18"/>
        <v/>
      </c>
      <c r="BV32" s="127" t="str">
        <f t="shared" si="18"/>
        <v/>
      </c>
      <c r="BW32" s="127" t="str">
        <f t="shared" si="18"/>
        <v/>
      </c>
      <c r="BX32" s="127" t="str">
        <f t="shared" si="18"/>
        <v/>
      </c>
      <c r="BY32" s="127" t="str">
        <f t="shared" si="18"/>
        <v/>
      </c>
      <c r="BZ32" s="127" t="str">
        <f t="shared" si="18"/>
        <v/>
      </c>
      <c r="CA32" s="127" t="str">
        <f t="shared" si="18"/>
        <v/>
      </c>
      <c r="CB32" s="127" t="str">
        <f t="shared" si="18"/>
        <v/>
      </c>
      <c r="CC32" s="127" t="str">
        <f t="shared" si="18"/>
        <v/>
      </c>
      <c r="CD32" s="127" t="str">
        <f t="shared" si="18"/>
        <v/>
      </c>
      <c r="CE32" s="127" t="str">
        <f t="shared" si="18"/>
        <v/>
      </c>
    </row>
    <row r="33" spans="1:83" ht="12.6" hidden="1" customHeight="1" x14ac:dyDescent="0.2">
      <c r="A33" s="106">
        <f>SHIPMENTS!A39</f>
        <v>9303</v>
      </c>
      <c r="B33" s="106" t="str">
        <f>SHIPMENTS!B39</f>
        <v>15900- Manila Office Stocking</v>
      </c>
      <c r="C33" s="132">
        <f>SHIPMENTS!F39</f>
        <v>0.63700000000000001</v>
      </c>
      <c r="D33" s="107" t="str">
        <f>IF((SHIPMENTS!I39)=0,"",SHIPMENTS!I39)</f>
        <v/>
      </c>
      <c r="E33" s="176">
        <f>IF((SHIPMENTS!G39)=0,"",SHIPMENTS!G39)</f>
        <v>46323</v>
      </c>
      <c r="F33" s="97">
        <f>VLOOKUP(A33,Items!$A$5:$J$1000,7,0)</f>
        <v>0</v>
      </c>
      <c r="G33" s="98">
        <f>VLOOKUP(A33,load!$A$4:$U$5001,8,0)</f>
        <v>0</v>
      </c>
      <c r="H33" s="97">
        <f>Manhours!$C$24</f>
        <v>5</v>
      </c>
      <c r="I33" s="98">
        <f t="shared" ref="I33:I45" si="31">+H33*$I$4</f>
        <v>45.5</v>
      </c>
      <c r="J33" s="99">
        <f t="shared" ref="J33:J45" si="32">G33/I33</f>
        <v>0</v>
      </c>
      <c r="K33" s="99">
        <f t="shared" ref="K33:K45" si="33">+J33*$I$4</f>
        <v>0</v>
      </c>
      <c r="L33" s="98">
        <f t="shared" ref="L33:L45" si="34">IFERROR(J33-(J33*P33),0)</f>
        <v>0</v>
      </c>
      <c r="M33" s="98">
        <f t="shared" ref="M33:M45" si="35">IFERROR(K33-(K33*P33),0)</f>
        <v>0</v>
      </c>
      <c r="N33" s="181">
        <f>'WWP1-PPS'!N33+1</f>
        <v>46323.795014491749</v>
      </c>
      <c r="O33" s="181">
        <f t="shared" ref="O33:O45" si="36">N33+L33</f>
        <v>46323.795014491749</v>
      </c>
      <c r="P33" s="101" t="str">
        <f>VLOOKUP(A33,SHIPMENTS!$A$7:$N$171,12,0)</f>
        <v>n/a</v>
      </c>
      <c r="Q33" s="101"/>
      <c r="R33" s="127" t="str">
        <f t="shared" si="30"/>
        <v/>
      </c>
      <c r="S33" s="127" t="str">
        <f t="shared" si="30"/>
        <v/>
      </c>
      <c r="T33" s="127" t="str">
        <f t="shared" si="30"/>
        <v/>
      </c>
      <c r="U33" s="127" t="str">
        <f t="shared" si="30"/>
        <v/>
      </c>
      <c r="V33" s="127" t="str">
        <f t="shared" si="30"/>
        <v/>
      </c>
      <c r="W33" s="127" t="str">
        <f t="shared" si="30"/>
        <v/>
      </c>
      <c r="X33" s="127" t="str">
        <f t="shared" si="30"/>
        <v/>
      </c>
      <c r="Y33" s="127" t="str">
        <f t="shared" si="30"/>
        <v/>
      </c>
      <c r="Z33" s="127" t="str">
        <f t="shared" si="30"/>
        <v>▲</v>
      </c>
      <c r="AA33" s="127" t="str">
        <f t="shared" si="30"/>
        <v/>
      </c>
      <c r="AB33" s="127" t="str">
        <f t="shared" si="30"/>
        <v/>
      </c>
      <c r="AC33" s="127" t="str">
        <f t="shared" si="30"/>
        <v/>
      </c>
      <c r="AD33" s="127" t="str">
        <f t="shared" si="30"/>
        <v/>
      </c>
      <c r="AE33" s="127" t="str">
        <f t="shared" si="30"/>
        <v/>
      </c>
      <c r="AF33" s="127" t="str">
        <f t="shared" si="30"/>
        <v/>
      </c>
      <c r="AG33" s="127" t="str">
        <f t="shared" si="30"/>
        <v/>
      </c>
      <c r="AH33" s="127" t="str">
        <f t="shared" si="24"/>
        <v/>
      </c>
      <c r="AI33" s="127" t="str">
        <f t="shared" si="24"/>
        <v/>
      </c>
      <c r="AJ33" s="127" t="str">
        <f t="shared" si="24"/>
        <v/>
      </c>
      <c r="AK33" s="127" t="str">
        <f t="shared" si="24"/>
        <v/>
      </c>
      <c r="AL33" s="127" t="str">
        <f t="shared" si="24"/>
        <v/>
      </c>
      <c r="AM33" s="127" t="str">
        <f t="shared" si="24"/>
        <v/>
      </c>
      <c r="AN33" s="127" t="str">
        <f t="shared" si="24"/>
        <v/>
      </c>
      <c r="AO33" s="127" t="str">
        <f t="shared" si="24"/>
        <v/>
      </c>
      <c r="AP33" s="127" t="str">
        <f t="shared" si="24"/>
        <v/>
      </c>
      <c r="AQ33" s="127" t="str">
        <f t="shared" si="24"/>
        <v/>
      </c>
      <c r="AR33" s="127" t="str">
        <f t="shared" si="24"/>
        <v/>
      </c>
      <c r="AS33" s="127" t="str">
        <f t="shared" si="24"/>
        <v/>
      </c>
      <c r="AT33" s="127" t="str">
        <f t="shared" si="24"/>
        <v/>
      </c>
      <c r="AU33" s="127" t="str">
        <f t="shared" si="24"/>
        <v/>
      </c>
      <c r="AV33" s="127" t="str">
        <f t="shared" si="24"/>
        <v/>
      </c>
      <c r="AW33" s="127" t="str">
        <f t="shared" si="24"/>
        <v/>
      </c>
      <c r="AX33" s="127" t="str">
        <f t="shared" si="24"/>
        <v/>
      </c>
      <c r="AY33" s="127" t="str">
        <f t="shared" si="24"/>
        <v/>
      </c>
      <c r="AZ33" s="127" t="str">
        <f t="shared" si="24"/>
        <v/>
      </c>
      <c r="BA33" s="127" t="str">
        <f t="shared" si="24"/>
        <v/>
      </c>
      <c r="BB33" s="127" t="str">
        <f t="shared" si="24"/>
        <v/>
      </c>
      <c r="BC33" s="127" t="str">
        <f t="shared" si="24"/>
        <v/>
      </c>
      <c r="BD33" s="127" t="str">
        <f t="shared" si="24"/>
        <v/>
      </c>
      <c r="BE33" s="127" t="str">
        <f t="shared" si="24"/>
        <v/>
      </c>
      <c r="BF33" s="127" t="str">
        <f t="shared" si="24"/>
        <v/>
      </c>
      <c r="BG33" s="127" t="str">
        <f t="shared" si="15"/>
        <v/>
      </c>
      <c r="BH33" s="127" t="str">
        <f t="shared" si="17"/>
        <v/>
      </c>
      <c r="BI33" s="127" t="str">
        <f t="shared" si="17"/>
        <v/>
      </c>
      <c r="BJ33" s="127" t="str">
        <f t="shared" si="17"/>
        <v/>
      </c>
      <c r="BK33" s="127" t="str">
        <f t="shared" si="17"/>
        <v/>
      </c>
      <c r="BL33" s="127" t="str">
        <f t="shared" si="17"/>
        <v/>
      </c>
      <c r="BM33" s="127" t="str">
        <f t="shared" si="17"/>
        <v/>
      </c>
      <c r="BN33" s="127" t="str">
        <f t="shared" si="17"/>
        <v/>
      </c>
      <c r="BO33" s="127" t="str">
        <f t="shared" si="17"/>
        <v/>
      </c>
      <c r="BP33" s="127" t="str">
        <f t="shared" si="17"/>
        <v/>
      </c>
      <c r="BQ33" s="127" t="str">
        <f t="shared" si="17"/>
        <v/>
      </c>
      <c r="BR33" s="127" t="str">
        <f t="shared" si="17"/>
        <v/>
      </c>
      <c r="BS33" s="127" t="str">
        <f t="shared" si="17"/>
        <v/>
      </c>
      <c r="BT33" s="127" t="str">
        <f t="shared" si="18"/>
        <v/>
      </c>
      <c r="BU33" s="127" t="str">
        <f t="shared" si="18"/>
        <v/>
      </c>
      <c r="BV33" s="127" t="str">
        <f t="shared" si="18"/>
        <v/>
      </c>
      <c r="BW33" s="127" t="str">
        <f t="shared" si="18"/>
        <v/>
      </c>
      <c r="BX33" s="127" t="str">
        <f t="shared" si="18"/>
        <v/>
      </c>
      <c r="BY33" s="127" t="str">
        <f t="shared" si="18"/>
        <v/>
      </c>
      <c r="BZ33" s="127" t="str">
        <f t="shared" si="18"/>
        <v/>
      </c>
      <c r="CA33" s="127" t="str">
        <f t="shared" si="18"/>
        <v/>
      </c>
      <c r="CB33" s="127" t="str">
        <f t="shared" si="18"/>
        <v/>
      </c>
      <c r="CC33" s="127" t="str">
        <f t="shared" si="18"/>
        <v/>
      </c>
      <c r="CD33" s="127" t="str">
        <f t="shared" si="18"/>
        <v/>
      </c>
      <c r="CE33" s="127" t="str">
        <f t="shared" si="18"/>
        <v/>
      </c>
    </row>
    <row r="34" spans="1:83" ht="12.6" customHeight="1" x14ac:dyDescent="0.2">
      <c r="A34" s="106">
        <f>SHIPMENTS!A40</f>
        <v>9204</v>
      </c>
      <c r="B34" s="106" t="str">
        <f>SHIPMENTS!B40</f>
        <v>2300-HONGKONG</v>
      </c>
      <c r="C34" s="132">
        <f>SHIPMENTS!F40</f>
        <v>3.1</v>
      </c>
      <c r="D34" s="107" t="str">
        <f>IF((SHIPMENTS!I40)=0,"",SHIPMENTS!I40)</f>
        <v/>
      </c>
      <c r="E34" s="176">
        <f>IF((SHIPMENTS!G40)=0,"",SHIPMENTS!G40)</f>
        <v>46324</v>
      </c>
      <c r="F34" s="97">
        <f>VLOOKUP(A34,Items!$A$5:$J$1000,7,0)</f>
        <v>200</v>
      </c>
      <c r="G34" s="98">
        <f>VLOOKUP(A34,load!$A$4:$U$5001,8,0)</f>
        <v>9.9443333333333328</v>
      </c>
      <c r="H34" s="97">
        <f>Manhours!$C$24</f>
        <v>5</v>
      </c>
      <c r="I34" s="98">
        <f t="shared" si="31"/>
        <v>45.5</v>
      </c>
      <c r="J34" s="99">
        <f t="shared" si="32"/>
        <v>0.21855677655677655</v>
      </c>
      <c r="K34" s="99">
        <f t="shared" si="33"/>
        <v>1.9888666666666666</v>
      </c>
      <c r="L34" s="98">
        <f t="shared" si="34"/>
        <v>0.21855677655677655</v>
      </c>
      <c r="M34" s="98">
        <f t="shared" si="35"/>
        <v>1.9888666666666666</v>
      </c>
      <c r="N34" s="181">
        <f>'WWP1-PPS'!N34+1</f>
        <v>46323.795014491749</v>
      </c>
      <c r="O34" s="181">
        <f t="shared" si="36"/>
        <v>46324.013571268304</v>
      </c>
      <c r="P34" s="101">
        <f>VLOOKUP(A34,SHIPMENTS!$A$7:$N$171,12,0)</f>
        <v>0</v>
      </c>
      <c r="Q34" s="101"/>
      <c r="R34" s="127" t="str">
        <f t="shared" si="30"/>
        <v/>
      </c>
      <c r="S34" s="127" t="str">
        <f t="shared" si="30"/>
        <v/>
      </c>
      <c r="T34" s="127" t="str">
        <f t="shared" si="30"/>
        <v/>
      </c>
      <c r="U34" s="127" t="str">
        <f t="shared" si="30"/>
        <v/>
      </c>
      <c r="V34" s="127" t="str">
        <f t="shared" si="30"/>
        <v/>
      </c>
      <c r="W34" s="127" t="str">
        <f t="shared" si="30"/>
        <v/>
      </c>
      <c r="X34" s="127" t="str">
        <f t="shared" si="30"/>
        <v/>
      </c>
      <c r="Y34" s="127" t="str">
        <f t="shared" si="30"/>
        <v/>
      </c>
      <c r="Z34" s="127" t="str">
        <f t="shared" si="30"/>
        <v/>
      </c>
      <c r="AA34" s="127" t="str">
        <f t="shared" si="30"/>
        <v>▲</v>
      </c>
      <c r="AB34" s="127" t="str">
        <f t="shared" si="30"/>
        <v/>
      </c>
      <c r="AC34" s="127" t="str">
        <f t="shared" si="30"/>
        <v/>
      </c>
      <c r="AD34" s="127" t="str">
        <f t="shared" si="30"/>
        <v/>
      </c>
      <c r="AE34" s="127" t="str">
        <f t="shared" si="30"/>
        <v/>
      </c>
      <c r="AF34" s="127" t="str">
        <f t="shared" si="30"/>
        <v/>
      </c>
      <c r="AG34" s="127" t="str">
        <f t="shared" si="30"/>
        <v/>
      </c>
      <c r="AH34" s="127" t="str">
        <f t="shared" si="24"/>
        <v/>
      </c>
      <c r="AI34" s="127" t="str">
        <f t="shared" si="24"/>
        <v/>
      </c>
      <c r="AJ34" s="127" t="str">
        <f t="shared" si="24"/>
        <v/>
      </c>
      <c r="AK34" s="127" t="str">
        <f t="shared" si="24"/>
        <v/>
      </c>
      <c r="AL34" s="127" t="str">
        <f t="shared" si="24"/>
        <v/>
      </c>
      <c r="AM34" s="127" t="str">
        <f t="shared" si="24"/>
        <v/>
      </c>
      <c r="AN34" s="127" t="str">
        <f t="shared" si="24"/>
        <v/>
      </c>
      <c r="AO34" s="127" t="str">
        <f t="shared" si="24"/>
        <v/>
      </c>
      <c r="AP34" s="127" t="str">
        <f t="shared" si="24"/>
        <v/>
      </c>
      <c r="AQ34" s="127" t="str">
        <f t="shared" si="24"/>
        <v/>
      </c>
      <c r="AR34" s="127" t="str">
        <f t="shared" si="24"/>
        <v/>
      </c>
      <c r="AS34" s="127" t="str">
        <f t="shared" si="24"/>
        <v/>
      </c>
      <c r="AT34" s="127" t="str">
        <f t="shared" si="24"/>
        <v/>
      </c>
      <c r="AU34" s="127" t="str">
        <f t="shared" si="24"/>
        <v/>
      </c>
      <c r="AV34" s="127" t="str">
        <f t="shared" si="24"/>
        <v/>
      </c>
      <c r="AW34" s="127" t="str">
        <f t="shared" si="24"/>
        <v/>
      </c>
      <c r="AX34" s="127" t="str">
        <f t="shared" si="24"/>
        <v/>
      </c>
      <c r="AY34" s="127" t="str">
        <f t="shared" si="24"/>
        <v/>
      </c>
      <c r="AZ34" s="127" t="str">
        <f t="shared" si="24"/>
        <v/>
      </c>
      <c r="BA34" s="127" t="str">
        <f t="shared" si="24"/>
        <v/>
      </c>
      <c r="BB34" s="127" t="str">
        <f t="shared" si="24"/>
        <v/>
      </c>
      <c r="BC34" s="127" t="str">
        <f t="shared" si="24"/>
        <v/>
      </c>
      <c r="BD34" s="127" t="str">
        <f t="shared" si="24"/>
        <v/>
      </c>
      <c r="BE34" s="127" t="str">
        <f t="shared" si="24"/>
        <v/>
      </c>
      <c r="BF34" s="127" t="str">
        <f t="shared" si="24"/>
        <v/>
      </c>
      <c r="BG34" s="127" t="str">
        <f t="shared" si="15"/>
        <v/>
      </c>
      <c r="BH34" s="127" t="str">
        <f t="shared" si="17"/>
        <v/>
      </c>
      <c r="BI34" s="127" t="str">
        <f t="shared" si="17"/>
        <v/>
      </c>
      <c r="BJ34" s="127" t="str">
        <f t="shared" si="17"/>
        <v/>
      </c>
      <c r="BK34" s="127" t="str">
        <f t="shared" si="17"/>
        <v/>
      </c>
      <c r="BL34" s="127" t="str">
        <f t="shared" si="17"/>
        <v/>
      </c>
      <c r="BM34" s="127" t="str">
        <f t="shared" si="17"/>
        <v/>
      </c>
      <c r="BN34" s="127" t="str">
        <f t="shared" si="17"/>
        <v/>
      </c>
      <c r="BO34" s="127" t="str">
        <f t="shared" si="17"/>
        <v/>
      </c>
      <c r="BP34" s="127" t="str">
        <f t="shared" si="17"/>
        <v/>
      </c>
      <c r="BQ34" s="127" t="str">
        <f t="shared" si="17"/>
        <v/>
      </c>
      <c r="BR34" s="127" t="str">
        <f t="shared" si="17"/>
        <v/>
      </c>
      <c r="BS34" s="127" t="str">
        <f t="shared" si="17"/>
        <v/>
      </c>
      <c r="BT34" s="127" t="str">
        <f t="shared" si="18"/>
        <v/>
      </c>
      <c r="BU34" s="127" t="str">
        <f t="shared" si="18"/>
        <v/>
      </c>
      <c r="BV34" s="127" t="str">
        <f t="shared" si="18"/>
        <v/>
      </c>
      <c r="BW34" s="127" t="str">
        <f t="shared" si="18"/>
        <v/>
      </c>
      <c r="BX34" s="127" t="str">
        <f t="shared" si="18"/>
        <v/>
      </c>
      <c r="BY34" s="127" t="str">
        <f t="shared" si="18"/>
        <v/>
      </c>
      <c r="BZ34" s="127" t="str">
        <f t="shared" si="18"/>
        <v/>
      </c>
      <c r="CA34" s="127" t="str">
        <f t="shared" si="18"/>
        <v/>
      </c>
      <c r="CB34" s="127" t="str">
        <f t="shared" si="18"/>
        <v/>
      </c>
      <c r="CC34" s="127" t="str">
        <f t="shared" si="18"/>
        <v/>
      </c>
      <c r="CD34" s="127" t="str">
        <f t="shared" si="18"/>
        <v/>
      </c>
      <c r="CE34" s="127" t="str">
        <f t="shared" si="18"/>
        <v/>
      </c>
    </row>
    <row r="35" spans="1:83" ht="12.6" customHeight="1" x14ac:dyDescent="0.2">
      <c r="A35" s="106">
        <f>SHIPMENTS!A41</f>
        <v>9005</v>
      </c>
      <c r="B35" s="106" t="str">
        <f>SHIPMENTS!B41</f>
        <v>28100-AUSTRIA HARVIA</v>
      </c>
      <c r="C35" s="132">
        <f>SHIPMENTS!F41</f>
        <v>44.15</v>
      </c>
      <c r="D35" s="107" t="str">
        <f>IF((SHIPMENTS!I41)=0,"",SHIPMENTS!I41)</f>
        <v>1X20</v>
      </c>
      <c r="E35" s="176">
        <f>IF((SHIPMENTS!G41)=0,"",SHIPMENTS!G41)</f>
        <v>46325</v>
      </c>
      <c r="F35" s="97">
        <f>VLOOKUP(A35,Items!$A$5:$J$1000,7,0)</f>
        <v>8600</v>
      </c>
      <c r="G35" s="98">
        <f>VLOOKUP(A35,load!$A$4:$U$5001,8,0)</f>
        <v>552.44035383333335</v>
      </c>
      <c r="H35" s="97">
        <f>Manhours!$C$24</f>
        <v>5</v>
      </c>
      <c r="I35" s="98">
        <f t="shared" si="31"/>
        <v>45.5</v>
      </c>
      <c r="J35" s="99">
        <f t="shared" si="32"/>
        <v>12.141546238095238</v>
      </c>
      <c r="K35" s="99">
        <f t="shared" si="33"/>
        <v>110.48807076666665</v>
      </c>
      <c r="L35" s="98">
        <f t="shared" si="34"/>
        <v>12.141546238095238</v>
      </c>
      <c r="M35" s="98">
        <f t="shared" si="35"/>
        <v>110.48807076666665</v>
      </c>
      <c r="N35" s="181">
        <f>'WWP1-PPS'!N35+1</f>
        <v>46324.473700389186</v>
      </c>
      <c r="O35" s="181">
        <f t="shared" si="36"/>
        <v>46336.615246627283</v>
      </c>
      <c r="P35" s="101">
        <f>VLOOKUP(A35,SHIPMENTS!$A$7:$N$171,12,0)</f>
        <v>0</v>
      </c>
      <c r="Q35" s="101"/>
      <c r="R35" s="127" t="str">
        <f t="shared" si="30"/>
        <v/>
      </c>
      <c r="S35" s="127" t="str">
        <f t="shared" si="30"/>
        <v/>
      </c>
      <c r="T35" s="127" t="str">
        <f t="shared" si="30"/>
        <v/>
      </c>
      <c r="U35" s="127" t="str">
        <f t="shared" si="30"/>
        <v/>
      </c>
      <c r="V35" s="127" t="str">
        <f t="shared" si="30"/>
        <v/>
      </c>
      <c r="W35" s="127" t="str">
        <f t="shared" si="30"/>
        <v/>
      </c>
      <c r="X35" s="127" t="str">
        <f t="shared" si="30"/>
        <v/>
      </c>
      <c r="Y35" s="127" t="str">
        <f t="shared" si="30"/>
        <v/>
      </c>
      <c r="Z35" s="127" t="str">
        <f t="shared" si="30"/>
        <v/>
      </c>
      <c r="AA35" s="127" t="str">
        <f t="shared" si="30"/>
        <v/>
      </c>
      <c r="AB35" s="127" t="str">
        <f t="shared" si="30"/>
        <v>▲</v>
      </c>
      <c r="AC35" s="127" t="str">
        <f t="shared" si="30"/>
        <v/>
      </c>
      <c r="AD35" s="127" t="str">
        <f t="shared" si="30"/>
        <v/>
      </c>
      <c r="AE35" s="127" t="str">
        <f t="shared" si="30"/>
        <v/>
      </c>
      <c r="AF35" s="127" t="str">
        <f t="shared" si="30"/>
        <v/>
      </c>
      <c r="AG35" s="127" t="str">
        <f t="shared" si="30"/>
        <v/>
      </c>
      <c r="AH35" s="127" t="str">
        <f t="shared" si="24"/>
        <v/>
      </c>
      <c r="AI35" s="127" t="str">
        <f t="shared" si="24"/>
        <v/>
      </c>
      <c r="AJ35" s="127" t="str">
        <f t="shared" si="24"/>
        <v/>
      </c>
      <c r="AK35" s="127" t="str">
        <f t="shared" si="24"/>
        <v/>
      </c>
      <c r="AL35" s="127" t="str">
        <f t="shared" si="24"/>
        <v/>
      </c>
      <c r="AM35" s="127" t="str">
        <f t="shared" si="24"/>
        <v/>
      </c>
      <c r="AN35" s="127" t="str">
        <f t="shared" si="24"/>
        <v/>
      </c>
      <c r="AO35" s="127" t="str">
        <f t="shared" si="24"/>
        <v/>
      </c>
      <c r="AP35" s="127" t="str">
        <f t="shared" si="24"/>
        <v/>
      </c>
      <c r="AQ35" s="127" t="str">
        <f t="shared" si="24"/>
        <v/>
      </c>
      <c r="AR35" s="127" t="str">
        <f t="shared" si="24"/>
        <v/>
      </c>
      <c r="AS35" s="127" t="str">
        <f t="shared" si="24"/>
        <v/>
      </c>
      <c r="AT35" s="127" t="str">
        <f t="shared" si="24"/>
        <v/>
      </c>
      <c r="AU35" s="127" t="str">
        <f t="shared" si="24"/>
        <v/>
      </c>
      <c r="AV35" s="127" t="str">
        <f t="shared" si="24"/>
        <v/>
      </c>
      <c r="AW35" s="127" t="str">
        <f t="shared" si="24"/>
        <v/>
      </c>
      <c r="AX35" s="127" t="str">
        <f t="shared" si="24"/>
        <v/>
      </c>
      <c r="AY35" s="127" t="str">
        <f t="shared" si="24"/>
        <v/>
      </c>
      <c r="AZ35" s="127" t="str">
        <f t="shared" si="24"/>
        <v/>
      </c>
      <c r="BA35" s="127" t="str">
        <f t="shared" si="24"/>
        <v/>
      </c>
      <c r="BB35" s="127" t="str">
        <f t="shared" si="24"/>
        <v/>
      </c>
      <c r="BC35" s="127" t="str">
        <f t="shared" si="24"/>
        <v/>
      </c>
      <c r="BD35" s="127" t="str">
        <f t="shared" si="24"/>
        <v/>
      </c>
      <c r="BE35" s="127" t="str">
        <f t="shared" si="24"/>
        <v/>
      </c>
      <c r="BF35" s="127" t="str">
        <f t="shared" si="24"/>
        <v/>
      </c>
      <c r="BG35" s="127" t="str">
        <f t="shared" si="15"/>
        <v/>
      </c>
      <c r="BH35" s="127" t="str">
        <f t="shared" si="17"/>
        <v/>
      </c>
      <c r="BI35" s="127" t="str">
        <f t="shared" si="17"/>
        <v/>
      </c>
      <c r="BJ35" s="127" t="str">
        <f t="shared" si="17"/>
        <v/>
      </c>
      <c r="BK35" s="127" t="str">
        <f t="shared" si="17"/>
        <v/>
      </c>
      <c r="BL35" s="127" t="str">
        <f t="shared" si="17"/>
        <v/>
      </c>
      <c r="BM35" s="127" t="str">
        <f t="shared" si="17"/>
        <v/>
      </c>
      <c r="BN35" s="127" t="str">
        <f t="shared" si="17"/>
        <v/>
      </c>
      <c r="BO35" s="127" t="str">
        <f t="shared" si="17"/>
        <v/>
      </c>
      <c r="BP35" s="127" t="str">
        <f t="shared" si="17"/>
        <v/>
      </c>
      <c r="BQ35" s="127" t="str">
        <f t="shared" si="17"/>
        <v/>
      </c>
      <c r="BR35" s="127" t="str">
        <f t="shared" si="17"/>
        <v/>
      </c>
      <c r="BS35" s="127" t="str">
        <f t="shared" si="17"/>
        <v/>
      </c>
      <c r="BT35" s="127" t="str">
        <f t="shared" si="18"/>
        <v/>
      </c>
      <c r="BU35" s="127" t="str">
        <f t="shared" si="18"/>
        <v/>
      </c>
      <c r="BV35" s="127" t="str">
        <f t="shared" si="18"/>
        <v/>
      </c>
      <c r="BW35" s="127" t="str">
        <f t="shared" si="18"/>
        <v/>
      </c>
      <c r="BX35" s="127" t="str">
        <f t="shared" si="18"/>
        <v/>
      </c>
      <c r="BY35" s="127" t="str">
        <f t="shared" si="18"/>
        <v/>
      </c>
      <c r="BZ35" s="127" t="str">
        <f t="shared" si="18"/>
        <v/>
      </c>
      <c r="CA35" s="127" t="str">
        <f t="shared" si="18"/>
        <v/>
      </c>
      <c r="CB35" s="127" t="str">
        <f t="shared" si="18"/>
        <v/>
      </c>
      <c r="CC35" s="127" t="str">
        <f t="shared" si="18"/>
        <v/>
      </c>
      <c r="CD35" s="127" t="str">
        <f t="shared" si="18"/>
        <v/>
      </c>
      <c r="CE35" s="127" t="str">
        <f t="shared" si="18"/>
        <v/>
      </c>
    </row>
    <row r="36" spans="1:83" ht="12.6" customHeight="1" x14ac:dyDescent="0.2">
      <c r="A36" s="106">
        <f>SHIPMENTS!A42</f>
        <v>8952</v>
      </c>
      <c r="B36" s="106" t="str">
        <f>SHIPMENTS!B42</f>
        <v>41300-CANADA SAUNAFIN</v>
      </c>
      <c r="C36" s="132">
        <f>SHIPMENTS!F42</f>
        <v>70.45</v>
      </c>
      <c r="D36" s="107" t="str">
        <f>IF((SHIPMENTS!I42)=0,"",SHIPMENTS!I42)</f>
        <v>1x40HC</v>
      </c>
      <c r="E36" s="176">
        <f>IF((SHIPMENTS!G42)=0,"",SHIPMENTS!G42)</f>
        <v>46332</v>
      </c>
      <c r="F36" s="97">
        <f>VLOOKUP(A36,Items!$A$5:$J$1000,7,0)</f>
        <v>1700</v>
      </c>
      <c r="G36" s="98">
        <f>VLOOKUP(A36,load!$A$4:$U$5001,8,0)</f>
        <v>124.41338333333334</v>
      </c>
      <c r="H36" s="97">
        <f>Manhours!$C$24</f>
        <v>5</v>
      </c>
      <c r="I36" s="98">
        <f t="shared" si="31"/>
        <v>45.5</v>
      </c>
      <c r="J36" s="99">
        <f t="shared" si="32"/>
        <v>2.7343600732600737</v>
      </c>
      <c r="K36" s="99">
        <f t="shared" si="33"/>
        <v>24.882676666666669</v>
      </c>
      <c r="L36" s="98">
        <f t="shared" si="34"/>
        <v>2.7343600732600737</v>
      </c>
      <c r="M36" s="98">
        <f t="shared" si="35"/>
        <v>24.882676666666669</v>
      </c>
      <c r="N36" s="181">
        <f>'WWP1-PPS'!N36+1</f>
        <v>46329.614378044862</v>
      </c>
      <c r="O36" s="181">
        <f t="shared" si="36"/>
        <v>46332.348738118118</v>
      </c>
      <c r="P36" s="101">
        <f>VLOOKUP(A36,SHIPMENTS!$A$7:$N$171,12,0)</f>
        <v>0</v>
      </c>
      <c r="Q36" s="101"/>
      <c r="R36" s="127" t="str">
        <f t="shared" si="30"/>
        <v/>
      </c>
      <c r="S36" s="127" t="str">
        <f t="shared" si="30"/>
        <v/>
      </c>
      <c r="T36" s="127" t="str">
        <f t="shared" si="30"/>
        <v/>
      </c>
      <c r="U36" s="127" t="str">
        <f t="shared" si="30"/>
        <v/>
      </c>
      <c r="V36" s="127" t="str">
        <f t="shared" si="30"/>
        <v/>
      </c>
      <c r="W36" s="127" t="str">
        <f t="shared" si="30"/>
        <v/>
      </c>
      <c r="X36" s="127" t="str">
        <f t="shared" si="30"/>
        <v/>
      </c>
      <c r="Y36" s="127" t="str">
        <f t="shared" si="30"/>
        <v/>
      </c>
      <c r="Z36" s="127" t="str">
        <f t="shared" si="30"/>
        <v/>
      </c>
      <c r="AA36" s="127" t="str">
        <f t="shared" si="30"/>
        <v/>
      </c>
      <c r="AB36" s="127" t="str">
        <f t="shared" si="30"/>
        <v/>
      </c>
      <c r="AC36" s="127" t="str">
        <f t="shared" si="30"/>
        <v/>
      </c>
      <c r="AD36" s="127" t="str">
        <f t="shared" si="30"/>
        <v/>
      </c>
      <c r="AE36" s="127" t="str">
        <f t="shared" si="30"/>
        <v/>
      </c>
      <c r="AF36" s="127" t="str">
        <f t="shared" si="30"/>
        <v/>
      </c>
      <c r="AG36" s="127" t="str">
        <f t="shared" si="30"/>
        <v/>
      </c>
      <c r="AH36" s="127" t="str">
        <f t="shared" si="24"/>
        <v>▲</v>
      </c>
      <c r="AI36" s="127" t="str">
        <f t="shared" si="24"/>
        <v/>
      </c>
      <c r="AJ36" s="127" t="str">
        <f t="shared" si="24"/>
        <v/>
      </c>
      <c r="AK36" s="127" t="str">
        <f t="shared" si="24"/>
        <v/>
      </c>
      <c r="AL36" s="127" t="str">
        <f t="shared" si="24"/>
        <v/>
      </c>
      <c r="AM36" s="127" t="str">
        <f t="shared" si="24"/>
        <v/>
      </c>
      <c r="AN36" s="127" t="str">
        <f t="shared" si="24"/>
        <v/>
      </c>
      <c r="AO36" s="127" t="str">
        <f t="shared" si="24"/>
        <v/>
      </c>
      <c r="AP36" s="127" t="str">
        <f t="shared" si="24"/>
        <v/>
      </c>
      <c r="AQ36" s="127" t="str">
        <f t="shared" si="24"/>
        <v/>
      </c>
      <c r="AR36" s="127" t="str">
        <f t="shared" si="24"/>
        <v/>
      </c>
      <c r="AS36" s="127" t="str">
        <f t="shared" si="24"/>
        <v/>
      </c>
      <c r="AT36" s="127" t="str">
        <f t="shared" si="24"/>
        <v/>
      </c>
      <c r="AU36" s="127" t="str">
        <f t="shared" si="24"/>
        <v/>
      </c>
      <c r="AV36" s="127" t="str">
        <f t="shared" si="24"/>
        <v/>
      </c>
      <c r="AW36" s="127" t="str">
        <f t="shared" si="24"/>
        <v/>
      </c>
      <c r="AX36" s="127" t="str">
        <f t="shared" si="24"/>
        <v/>
      </c>
      <c r="AY36" s="127" t="str">
        <f t="shared" si="24"/>
        <v/>
      </c>
      <c r="AZ36" s="127" t="str">
        <f t="shared" si="24"/>
        <v/>
      </c>
      <c r="BA36" s="127" t="str">
        <f t="shared" si="24"/>
        <v/>
      </c>
      <c r="BB36" s="127" t="str">
        <f t="shared" si="24"/>
        <v/>
      </c>
      <c r="BC36" s="127" t="str">
        <f t="shared" si="24"/>
        <v/>
      </c>
      <c r="BD36" s="127" t="str">
        <f t="shared" si="24"/>
        <v/>
      </c>
      <c r="BE36" s="127" t="str">
        <f t="shared" si="24"/>
        <v/>
      </c>
      <c r="BF36" s="127" t="str">
        <f t="shared" si="24"/>
        <v/>
      </c>
      <c r="BG36" s="127" t="str">
        <f t="shared" si="15"/>
        <v/>
      </c>
      <c r="BH36" s="127" t="str">
        <f t="shared" si="17"/>
        <v/>
      </c>
      <c r="BI36" s="127" t="str">
        <f t="shared" si="17"/>
        <v/>
      </c>
      <c r="BJ36" s="127" t="str">
        <f t="shared" si="17"/>
        <v/>
      </c>
      <c r="BK36" s="127" t="str">
        <f t="shared" si="17"/>
        <v/>
      </c>
      <c r="BL36" s="127" t="str">
        <f t="shared" si="17"/>
        <v/>
      </c>
      <c r="BM36" s="127" t="str">
        <f t="shared" si="17"/>
        <v/>
      </c>
      <c r="BN36" s="127" t="str">
        <f t="shared" si="17"/>
        <v/>
      </c>
      <c r="BO36" s="127" t="str">
        <f t="shared" si="17"/>
        <v/>
      </c>
      <c r="BP36" s="127" t="str">
        <f t="shared" si="17"/>
        <v/>
      </c>
      <c r="BQ36" s="127" t="str">
        <f t="shared" si="17"/>
        <v/>
      </c>
      <c r="BR36" s="127" t="str">
        <f t="shared" si="17"/>
        <v/>
      </c>
      <c r="BS36" s="127" t="str">
        <f t="shared" si="17"/>
        <v/>
      </c>
      <c r="BT36" s="127" t="str">
        <f t="shared" si="18"/>
        <v/>
      </c>
      <c r="BU36" s="127" t="str">
        <f t="shared" si="18"/>
        <v/>
      </c>
      <c r="BV36" s="127" t="str">
        <f t="shared" si="18"/>
        <v/>
      </c>
      <c r="BW36" s="127" t="str">
        <f t="shared" si="18"/>
        <v/>
      </c>
      <c r="BX36" s="127" t="str">
        <f t="shared" si="18"/>
        <v/>
      </c>
      <c r="BY36" s="127" t="str">
        <f t="shared" si="18"/>
        <v/>
      </c>
      <c r="BZ36" s="127" t="str">
        <f t="shared" si="18"/>
        <v/>
      </c>
      <c r="CA36" s="127" t="str">
        <f t="shared" si="18"/>
        <v/>
      </c>
      <c r="CB36" s="127" t="str">
        <f t="shared" si="18"/>
        <v/>
      </c>
      <c r="CC36" s="127" t="str">
        <f t="shared" si="18"/>
        <v/>
      </c>
      <c r="CD36" s="127" t="str">
        <f t="shared" si="18"/>
        <v/>
      </c>
      <c r="CE36" s="127" t="str">
        <f t="shared" si="18"/>
        <v/>
      </c>
    </row>
    <row r="37" spans="1:83" ht="12.6" customHeight="1" x14ac:dyDescent="0.2">
      <c r="A37" s="106">
        <f>SHIPMENTS!A43</f>
        <v>9158</v>
      </c>
      <c r="B37" s="106" t="str">
        <f>SHIPMENTS!B43</f>
        <v>43300-THAILAND</v>
      </c>
      <c r="C37" s="132">
        <f>SHIPMENTS!F43</f>
        <v>0.10299999999999999</v>
      </c>
      <c r="D37" s="107" t="str">
        <f>IF((SHIPMENTS!I43)=0,"",SHIPMENTS!I43)</f>
        <v>LCL</v>
      </c>
      <c r="E37" s="176">
        <f>IF((SHIPMENTS!G43)=0,"",SHIPMENTS!G43)</f>
        <v>46332</v>
      </c>
      <c r="F37" s="97">
        <f>VLOOKUP(A37,Items!$A$5:$J$1000,7,0)</f>
        <v>1</v>
      </c>
      <c r="G37" s="98">
        <f>VLOOKUP(A37,load!$A$4:$U$5001,8,0)</f>
        <v>0.20749999999999999</v>
      </c>
      <c r="H37" s="97">
        <f>Manhours!$C$24</f>
        <v>5</v>
      </c>
      <c r="I37" s="98">
        <f t="shared" si="31"/>
        <v>45.5</v>
      </c>
      <c r="J37" s="99">
        <f t="shared" si="32"/>
        <v>4.5604395604395605E-3</v>
      </c>
      <c r="K37" s="99">
        <f t="shared" si="33"/>
        <v>4.1500000000000002E-2</v>
      </c>
      <c r="L37" s="98">
        <f t="shared" si="34"/>
        <v>0</v>
      </c>
      <c r="M37" s="98">
        <f t="shared" si="35"/>
        <v>0</v>
      </c>
      <c r="N37" s="181">
        <f>'WWP1-PPS'!N37+1</f>
        <v>46331.584653342477</v>
      </c>
      <c r="O37" s="181">
        <f t="shared" si="36"/>
        <v>46331.584653342477</v>
      </c>
      <c r="P37" s="101">
        <f>VLOOKUP(A37,SHIPMENTS!$A$7:$N$171,12,0)</f>
        <v>1</v>
      </c>
      <c r="Q37" s="101"/>
      <c r="R37" s="127" t="str">
        <f t="shared" si="30"/>
        <v/>
      </c>
      <c r="S37" s="127" t="str">
        <f t="shared" si="30"/>
        <v/>
      </c>
      <c r="T37" s="127" t="str">
        <f t="shared" si="30"/>
        <v/>
      </c>
      <c r="U37" s="127" t="str">
        <f t="shared" si="30"/>
        <v/>
      </c>
      <c r="V37" s="127" t="str">
        <f t="shared" si="30"/>
        <v/>
      </c>
      <c r="W37" s="127" t="str">
        <f t="shared" si="30"/>
        <v/>
      </c>
      <c r="X37" s="127" t="str">
        <f t="shared" si="30"/>
        <v/>
      </c>
      <c r="Y37" s="127" t="str">
        <f t="shared" si="30"/>
        <v/>
      </c>
      <c r="Z37" s="127" t="str">
        <f t="shared" si="30"/>
        <v/>
      </c>
      <c r="AA37" s="127" t="str">
        <f t="shared" si="30"/>
        <v/>
      </c>
      <c r="AB37" s="127" t="str">
        <f t="shared" si="30"/>
        <v/>
      </c>
      <c r="AC37" s="127" t="str">
        <f t="shared" si="30"/>
        <v/>
      </c>
      <c r="AD37" s="127" t="str">
        <f t="shared" si="30"/>
        <v/>
      </c>
      <c r="AE37" s="127" t="str">
        <f t="shared" si="30"/>
        <v/>
      </c>
      <c r="AF37" s="127" t="str">
        <f t="shared" si="30"/>
        <v/>
      </c>
      <c r="AG37" s="127" t="str">
        <f t="shared" si="30"/>
        <v/>
      </c>
      <c r="AH37" s="127" t="str">
        <f t="shared" si="24"/>
        <v>▲</v>
      </c>
      <c r="AI37" s="127" t="str">
        <f t="shared" si="24"/>
        <v/>
      </c>
      <c r="AJ37" s="127" t="str">
        <f t="shared" si="24"/>
        <v/>
      </c>
      <c r="AK37" s="127" t="str">
        <f t="shared" si="24"/>
        <v/>
      </c>
      <c r="AL37" s="127" t="str">
        <f t="shared" si="24"/>
        <v/>
      </c>
      <c r="AM37" s="127" t="str">
        <f t="shared" si="24"/>
        <v/>
      </c>
      <c r="AN37" s="127" t="str">
        <f t="shared" si="24"/>
        <v/>
      </c>
      <c r="AO37" s="127" t="str">
        <f t="shared" si="24"/>
        <v/>
      </c>
      <c r="AP37" s="127" t="str">
        <f t="shared" si="24"/>
        <v/>
      </c>
      <c r="AQ37" s="127" t="str">
        <f t="shared" si="24"/>
        <v/>
      </c>
      <c r="AR37" s="127" t="str">
        <f t="shared" si="24"/>
        <v/>
      </c>
      <c r="AS37" s="127" t="str">
        <f t="shared" si="24"/>
        <v/>
      </c>
      <c r="AT37" s="127" t="str">
        <f t="shared" si="24"/>
        <v/>
      </c>
      <c r="AU37" s="127" t="str">
        <f t="shared" si="24"/>
        <v/>
      </c>
      <c r="AV37" s="127" t="str">
        <f t="shared" si="24"/>
        <v/>
      </c>
      <c r="AW37" s="127" t="str">
        <f t="shared" si="24"/>
        <v/>
      </c>
      <c r="AX37" s="127" t="str">
        <f t="shared" si="24"/>
        <v/>
      </c>
      <c r="AY37" s="127" t="str">
        <f t="shared" si="24"/>
        <v/>
      </c>
      <c r="AZ37" s="127" t="str">
        <f t="shared" si="24"/>
        <v/>
      </c>
      <c r="BA37" s="127" t="str">
        <f t="shared" si="24"/>
        <v/>
      </c>
      <c r="BB37" s="127" t="str">
        <f t="shared" si="24"/>
        <v/>
      </c>
      <c r="BC37" s="127" t="str">
        <f t="shared" si="24"/>
        <v/>
      </c>
      <c r="BD37" s="127" t="str">
        <f t="shared" si="24"/>
        <v/>
      </c>
      <c r="BE37" s="127" t="str">
        <f t="shared" si="24"/>
        <v/>
      </c>
      <c r="BF37" s="127" t="str">
        <f t="shared" si="24"/>
        <v/>
      </c>
      <c r="BG37" s="127" t="str">
        <f t="shared" ref="BG37:BV53" si="37">IF($E37=BG$3,"▲","")</f>
        <v/>
      </c>
      <c r="BH37" s="127" t="str">
        <f t="shared" si="17"/>
        <v/>
      </c>
      <c r="BI37" s="127" t="str">
        <f t="shared" si="17"/>
        <v/>
      </c>
      <c r="BJ37" s="127" t="str">
        <f t="shared" si="17"/>
        <v/>
      </c>
      <c r="BK37" s="127" t="str">
        <f t="shared" si="17"/>
        <v/>
      </c>
      <c r="BL37" s="127" t="str">
        <f t="shared" si="17"/>
        <v/>
      </c>
      <c r="BM37" s="127" t="str">
        <f t="shared" si="17"/>
        <v/>
      </c>
      <c r="BN37" s="127" t="str">
        <f t="shared" si="17"/>
        <v/>
      </c>
      <c r="BO37" s="127" t="str">
        <f t="shared" si="17"/>
        <v/>
      </c>
      <c r="BP37" s="127" t="str">
        <f t="shared" si="17"/>
        <v/>
      </c>
      <c r="BQ37" s="127" t="str">
        <f t="shared" si="17"/>
        <v/>
      </c>
      <c r="BR37" s="127" t="str">
        <f t="shared" si="17"/>
        <v/>
      </c>
      <c r="BS37" s="127" t="str">
        <f t="shared" si="17"/>
        <v/>
      </c>
      <c r="BT37" s="127" t="str">
        <f t="shared" si="18"/>
        <v/>
      </c>
      <c r="BU37" s="127" t="str">
        <f t="shared" si="18"/>
        <v/>
      </c>
      <c r="BV37" s="127" t="str">
        <f t="shared" si="18"/>
        <v/>
      </c>
      <c r="BW37" s="127" t="str">
        <f t="shared" si="18"/>
        <v/>
      </c>
      <c r="BX37" s="127" t="str">
        <f t="shared" si="18"/>
        <v/>
      </c>
      <c r="BY37" s="127" t="str">
        <f t="shared" si="18"/>
        <v/>
      </c>
      <c r="BZ37" s="127" t="str">
        <f t="shared" si="18"/>
        <v/>
      </c>
      <c r="CA37" s="127" t="str">
        <f t="shared" si="18"/>
        <v/>
      </c>
      <c r="CB37" s="127" t="str">
        <f t="shared" si="18"/>
        <v/>
      </c>
      <c r="CC37" s="127" t="str">
        <f t="shared" si="18"/>
        <v/>
      </c>
      <c r="CD37" s="127" t="str">
        <f t="shared" si="18"/>
        <v/>
      </c>
      <c r="CE37" s="127" t="str">
        <f t="shared" si="18"/>
        <v/>
      </c>
    </row>
    <row r="38" spans="1:83" ht="12.6" customHeight="1" x14ac:dyDescent="0.2">
      <c r="A38" s="106">
        <f>SHIPMENTS!A44</f>
        <v>8814</v>
      </c>
      <c r="B38" s="106" t="str">
        <f>SHIPMENTS!B44</f>
        <v>27200-UAE</v>
      </c>
      <c r="C38" s="132">
        <f>SHIPMENTS!F44</f>
        <v>0.06</v>
      </c>
      <c r="D38" s="107" t="str">
        <f>IF((SHIPMENTS!I44)=0,"",SHIPMENTS!I44)</f>
        <v>LCL</v>
      </c>
      <c r="E38" s="176">
        <f>IF((SHIPMENTS!G44)=0,"",SHIPMENTS!G44)</f>
        <v>46332</v>
      </c>
      <c r="F38" s="97">
        <f>VLOOKUP(A38,Items!$A$5:$J$1000,7,0)</f>
        <v>2</v>
      </c>
      <c r="G38" s="98">
        <f>VLOOKUP(A38,load!$A$4:$U$5001,8,0)</f>
        <v>0.14133333333333334</v>
      </c>
      <c r="H38" s="97">
        <f>Manhours!$C$24</f>
        <v>5</v>
      </c>
      <c r="I38" s="98">
        <f t="shared" si="31"/>
        <v>45.5</v>
      </c>
      <c r="J38" s="99">
        <f t="shared" si="32"/>
        <v>3.1062271062271061E-3</v>
      </c>
      <c r="K38" s="99">
        <f t="shared" si="33"/>
        <v>2.8266666666666666E-2</v>
      </c>
      <c r="L38" s="98">
        <f t="shared" si="34"/>
        <v>3.1062271062271061E-3</v>
      </c>
      <c r="M38" s="98">
        <f t="shared" si="35"/>
        <v>2.8266666666666666E-2</v>
      </c>
      <c r="N38" s="181">
        <f>'WWP1-PPS'!N38+1</f>
        <v>46331.584653342477</v>
      </c>
      <c r="O38" s="181">
        <f t="shared" si="36"/>
        <v>46331.587759569586</v>
      </c>
      <c r="P38" s="101">
        <f>VLOOKUP(A38,SHIPMENTS!$A$7:$N$171,12,0)</f>
        <v>0</v>
      </c>
      <c r="Q38" s="101"/>
      <c r="R38" s="127" t="str">
        <f t="shared" si="30"/>
        <v/>
      </c>
      <c r="S38" s="127" t="str">
        <f t="shared" si="30"/>
        <v/>
      </c>
      <c r="T38" s="127" t="str">
        <f t="shared" si="30"/>
        <v/>
      </c>
      <c r="U38" s="127" t="str">
        <f t="shared" si="30"/>
        <v/>
      </c>
      <c r="V38" s="127" t="str">
        <f t="shared" si="30"/>
        <v/>
      </c>
      <c r="W38" s="127" t="str">
        <f t="shared" si="30"/>
        <v/>
      </c>
      <c r="X38" s="127" t="str">
        <f t="shared" si="30"/>
        <v/>
      </c>
      <c r="Y38" s="127" t="str">
        <f t="shared" si="30"/>
        <v/>
      </c>
      <c r="Z38" s="127" t="str">
        <f t="shared" si="30"/>
        <v/>
      </c>
      <c r="AA38" s="127" t="str">
        <f t="shared" si="30"/>
        <v/>
      </c>
      <c r="AB38" s="127" t="str">
        <f t="shared" si="30"/>
        <v/>
      </c>
      <c r="AC38" s="127" t="str">
        <f t="shared" si="30"/>
        <v/>
      </c>
      <c r="AD38" s="127" t="str">
        <f t="shared" si="30"/>
        <v/>
      </c>
      <c r="AE38" s="127" t="str">
        <f t="shared" si="30"/>
        <v/>
      </c>
      <c r="AF38" s="127" t="str">
        <f t="shared" si="30"/>
        <v/>
      </c>
      <c r="AG38" s="127" t="str">
        <f t="shared" si="30"/>
        <v/>
      </c>
      <c r="AH38" s="127" t="str">
        <f t="shared" si="24"/>
        <v>▲</v>
      </c>
      <c r="AI38" s="127" t="str">
        <f t="shared" si="24"/>
        <v/>
      </c>
      <c r="AJ38" s="127" t="str">
        <f t="shared" si="24"/>
        <v/>
      </c>
      <c r="AK38" s="127" t="str">
        <f t="shared" si="24"/>
        <v/>
      </c>
      <c r="AL38" s="127" t="str">
        <f t="shared" si="24"/>
        <v/>
      </c>
      <c r="AM38" s="127" t="str">
        <f t="shared" ref="AM38:BB53" si="38">IF($E38=AM$3,"▲","")</f>
        <v/>
      </c>
      <c r="AN38" s="127" t="str">
        <f t="shared" si="38"/>
        <v/>
      </c>
      <c r="AO38" s="127" t="str">
        <f t="shared" si="38"/>
        <v/>
      </c>
      <c r="AP38" s="127" t="str">
        <f t="shared" si="38"/>
        <v/>
      </c>
      <c r="AQ38" s="127" t="str">
        <f t="shared" si="38"/>
        <v/>
      </c>
      <c r="AR38" s="127" t="str">
        <f t="shared" si="38"/>
        <v/>
      </c>
      <c r="AS38" s="127" t="str">
        <f t="shared" si="38"/>
        <v/>
      </c>
      <c r="AT38" s="127" t="str">
        <f t="shared" si="38"/>
        <v/>
      </c>
      <c r="AU38" s="127" t="str">
        <f t="shared" si="38"/>
        <v/>
      </c>
      <c r="AV38" s="127" t="str">
        <f t="shared" si="38"/>
        <v/>
      </c>
      <c r="AW38" s="127" t="str">
        <f t="shared" si="38"/>
        <v/>
      </c>
      <c r="AX38" s="127" t="str">
        <f t="shared" si="38"/>
        <v/>
      </c>
      <c r="AY38" s="127" t="str">
        <f t="shared" si="38"/>
        <v/>
      </c>
      <c r="AZ38" s="127" t="str">
        <f t="shared" si="38"/>
        <v/>
      </c>
      <c r="BA38" s="127" t="str">
        <f t="shared" si="38"/>
        <v/>
      </c>
      <c r="BB38" s="127" t="str">
        <f t="shared" si="38"/>
        <v/>
      </c>
      <c r="BC38" s="127" t="str">
        <f t="shared" ref="BC38:BF53" si="39">IF($E38=BC$3,"▲","")</f>
        <v/>
      </c>
      <c r="BD38" s="127" t="str">
        <f t="shared" si="39"/>
        <v/>
      </c>
      <c r="BE38" s="127" t="str">
        <f t="shared" si="39"/>
        <v/>
      </c>
      <c r="BF38" s="127" t="str">
        <f t="shared" si="39"/>
        <v/>
      </c>
      <c r="BG38" s="127" t="str">
        <f t="shared" si="37"/>
        <v/>
      </c>
      <c r="BH38" s="127" t="str">
        <f t="shared" si="17"/>
        <v/>
      </c>
      <c r="BI38" s="127" t="str">
        <f t="shared" si="17"/>
        <v/>
      </c>
      <c r="BJ38" s="127" t="str">
        <f t="shared" si="17"/>
        <v/>
      </c>
      <c r="BK38" s="127" t="str">
        <f t="shared" si="17"/>
        <v/>
      </c>
      <c r="BL38" s="127" t="str">
        <f t="shared" si="17"/>
        <v/>
      </c>
      <c r="BM38" s="127" t="str">
        <f t="shared" si="17"/>
        <v/>
      </c>
      <c r="BN38" s="127" t="str">
        <f t="shared" si="17"/>
        <v/>
      </c>
      <c r="BO38" s="127" t="str">
        <f t="shared" si="17"/>
        <v/>
      </c>
      <c r="BP38" s="127" t="str">
        <f t="shared" si="17"/>
        <v/>
      </c>
      <c r="BQ38" s="127" t="str">
        <f t="shared" si="17"/>
        <v/>
      </c>
      <c r="BR38" s="127" t="str">
        <f t="shared" si="17"/>
        <v/>
      </c>
      <c r="BS38" s="127" t="str">
        <f t="shared" si="17"/>
        <v/>
      </c>
      <c r="BT38" s="127" t="str">
        <f t="shared" si="18"/>
        <v/>
      </c>
      <c r="BU38" s="127" t="str">
        <f t="shared" si="18"/>
        <v/>
      </c>
      <c r="BV38" s="127" t="str">
        <f t="shared" si="18"/>
        <v/>
      </c>
      <c r="BW38" s="127" t="str">
        <f t="shared" si="18"/>
        <v/>
      </c>
      <c r="BX38" s="127" t="str">
        <f t="shared" si="18"/>
        <v/>
      </c>
      <c r="BY38" s="127" t="str">
        <f t="shared" si="18"/>
        <v/>
      </c>
      <c r="BZ38" s="127" t="str">
        <f t="shared" si="18"/>
        <v/>
      </c>
      <c r="CA38" s="127" t="str">
        <f t="shared" si="18"/>
        <v/>
      </c>
      <c r="CB38" s="127" t="str">
        <f t="shared" si="18"/>
        <v/>
      </c>
      <c r="CC38" s="127" t="str">
        <f t="shared" si="18"/>
        <v/>
      </c>
      <c r="CD38" s="127" t="str">
        <f t="shared" si="18"/>
        <v/>
      </c>
      <c r="CE38" s="127" t="str">
        <f t="shared" si="18"/>
        <v/>
      </c>
    </row>
    <row r="39" spans="1:83" ht="12.6" customHeight="1" x14ac:dyDescent="0.2">
      <c r="A39" s="106">
        <f>SHIPMENTS!A45</f>
        <v>9143</v>
      </c>
      <c r="B39" s="106" t="str">
        <f>SHIPMENTS!B45</f>
        <v>43301-THAILAND</v>
      </c>
      <c r="C39" s="132">
        <f>SHIPMENTS!F45</f>
        <v>4.75</v>
      </c>
      <c r="D39" s="107" t="str">
        <f>IF((SHIPMENTS!I45)=0,"",SHIPMENTS!I45)</f>
        <v>1x20</v>
      </c>
      <c r="E39" s="176">
        <f>IF((SHIPMENTS!G45)=0,"",SHIPMENTS!G45)</f>
        <v>46332</v>
      </c>
      <c r="F39" s="97">
        <f>VLOOKUP(A39,Items!$A$5:$J$1000,7,0)</f>
        <v>41</v>
      </c>
      <c r="G39" s="98">
        <f>VLOOKUP(A39,load!$A$4:$U$5001,8,0)</f>
        <v>3.5690755555555556</v>
      </c>
      <c r="H39" s="97">
        <f>Manhours!$C$24</f>
        <v>5</v>
      </c>
      <c r="I39" s="98">
        <f t="shared" si="31"/>
        <v>45.5</v>
      </c>
      <c r="J39" s="99">
        <f t="shared" si="32"/>
        <v>7.8441221001221001E-2</v>
      </c>
      <c r="K39" s="99">
        <f t="shared" si="33"/>
        <v>0.71381511111111107</v>
      </c>
      <c r="L39" s="98">
        <f t="shared" si="34"/>
        <v>7.8441221001221001E-2</v>
      </c>
      <c r="M39" s="98">
        <f t="shared" si="35"/>
        <v>0.71381511111111107</v>
      </c>
      <c r="N39" s="181">
        <f>'WWP1-PPS'!N39+1</f>
        <v>46331.584653342477</v>
      </c>
      <c r="O39" s="181">
        <f t="shared" si="36"/>
        <v>46331.663094563475</v>
      </c>
      <c r="P39" s="101">
        <f>VLOOKUP(A39,SHIPMENTS!$A$7:$N$171,12,0)</f>
        <v>0</v>
      </c>
      <c r="Q39" s="101"/>
      <c r="R39" s="127" t="str">
        <f t="shared" si="30"/>
        <v/>
      </c>
      <c r="S39" s="127" t="str">
        <f t="shared" si="30"/>
        <v/>
      </c>
      <c r="T39" s="127" t="str">
        <f t="shared" si="30"/>
        <v/>
      </c>
      <c r="U39" s="127" t="str">
        <f t="shared" si="30"/>
        <v/>
      </c>
      <c r="V39" s="127" t="str">
        <f t="shared" si="30"/>
        <v/>
      </c>
      <c r="W39" s="127" t="str">
        <f t="shared" si="30"/>
        <v/>
      </c>
      <c r="X39" s="127" t="str">
        <f t="shared" si="30"/>
        <v/>
      </c>
      <c r="Y39" s="127" t="str">
        <f t="shared" si="30"/>
        <v/>
      </c>
      <c r="Z39" s="127" t="str">
        <f t="shared" si="30"/>
        <v/>
      </c>
      <c r="AA39" s="127" t="str">
        <f t="shared" si="30"/>
        <v/>
      </c>
      <c r="AB39" s="127" t="str">
        <f t="shared" si="30"/>
        <v/>
      </c>
      <c r="AC39" s="127" t="str">
        <f t="shared" si="30"/>
        <v/>
      </c>
      <c r="AD39" s="127" t="str">
        <f t="shared" si="30"/>
        <v/>
      </c>
      <c r="AE39" s="127" t="str">
        <f t="shared" si="30"/>
        <v/>
      </c>
      <c r="AF39" s="127" t="str">
        <f t="shared" si="30"/>
        <v/>
      </c>
      <c r="AG39" s="127" t="str">
        <f t="shared" si="30"/>
        <v/>
      </c>
      <c r="AH39" s="127" t="str">
        <f t="shared" ref="AH39:AW53" si="40">IF($E39=AH$3,"▲","")</f>
        <v>▲</v>
      </c>
      <c r="AI39" s="127" t="str">
        <f t="shared" si="40"/>
        <v/>
      </c>
      <c r="AJ39" s="127" t="str">
        <f t="shared" si="40"/>
        <v/>
      </c>
      <c r="AK39" s="127" t="str">
        <f t="shared" si="40"/>
        <v/>
      </c>
      <c r="AL39" s="127" t="str">
        <f t="shared" si="40"/>
        <v/>
      </c>
      <c r="AM39" s="127" t="str">
        <f t="shared" si="40"/>
        <v/>
      </c>
      <c r="AN39" s="127" t="str">
        <f t="shared" si="40"/>
        <v/>
      </c>
      <c r="AO39" s="127" t="str">
        <f t="shared" si="40"/>
        <v/>
      </c>
      <c r="AP39" s="127" t="str">
        <f t="shared" si="40"/>
        <v/>
      </c>
      <c r="AQ39" s="127" t="str">
        <f t="shared" si="40"/>
        <v/>
      </c>
      <c r="AR39" s="127" t="str">
        <f t="shared" si="40"/>
        <v/>
      </c>
      <c r="AS39" s="127" t="str">
        <f t="shared" si="40"/>
        <v/>
      </c>
      <c r="AT39" s="127" t="str">
        <f t="shared" si="40"/>
        <v/>
      </c>
      <c r="AU39" s="127" t="str">
        <f t="shared" si="40"/>
        <v/>
      </c>
      <c r="AV39" s="127" t="str">
        <f t="shared" si="40"/>
        <v/>
      </c>
      <c r="AW39" s="127" t="str">
        <f t="shared" si="40"/>
        <v/>
      </c>
      <c r="AX39" s="127" t="str">
        <f t="shared" si="38"/>
        <v/>
      </c>
      <c r="AY39" s="127" t="str">
        <f t="shared" si="38"/>
        <v/>
      </c>
      <c r="AZ39" s="127" t="str">
        <f t="shared" si="38"/>
        <v/>
      </c>
      <c r="BA39" s="127" t="str">
        <f t="shared" si="38"/>
        <v/>
      </c>
      <c r="BB39" s="127" t="str">
        <f t="shared" si="38"/>
        <v/>
      </c>
      <c r="BC39" s="127" t="str">
        <f t="shared" si="39"/>
        <v/>
      </c>
      <c r="BD39" s="127" t="str">
        <f t="shared" si="39"/>
        <v/>
      </c>
      <c r="BE39" s="127" t="str">
        <f t="shared" si="39"/>
        <v/>
      </c>
      <c r="BF39" s="127" t="str">
        <f t="shared" si="39"/>
        <v/>
      </c>
      <c r="BG39" s="127" t="str">
        <f t="shared" si="37"/>
        <v/>
      </c>
      <c r="BH39" s="127" t="str">
        <f t="shared" si="17"/>
        <v/>
      </c>
      <c r="BI39" s="127" t="str">
        <f t="shared" si="17"/>
        <v/>
      </c>
      <c r="BJ39" s="127" t="str">
        <f t="shared" si="17"/>
        <v/>
      </c>
      <c r="BK39" s="127" t="str">
        <f t="shared" si="17"/>
        <v/>
      </c>
      <c r="BL39" s="127" t="str">
        <f t="shared" si="17"/>
        <v/>
      </c>
      <c r="BM39" s="127" t="str">
        <f t="shared" si="17"/>
        <v/>
      </c>
      <c r="BN39" s="127" t="str">
        <f t="shared" si="17"/>
        <v/>
      </c>
      <c r="BO39" s="127" t="str">
        <f t="shared" si="17"/>
        <v/>
      </c>
      <c r="BP39" s="127" t="str">
        <f t="shared" si="17"/>
        <v/>
      </c>
      <c r="BQ39" s="127" t="str">
        <f t="shared" si="17"/>
        <v/>
      </c>
      <c r="BR39" s="127" t="str">
        <f t="shared" si="17"/>
        <v/>
      </c>
      <c r="BS39" s="127" t="str">
        <f t="shared" si="17"/>
        <v/>
      </c>
      <c r="BT39" s="127" t="str">
        <f t="shared" si="18"/>
        <v/>
      </c>
      <c r="BU39" s="127" t="str">
        <f t="shared" si="18"/>
        <v/>
      </c>
      <c r="BV39" s="127" t="str">
        <f t="shared" si="18"/>
        <v/>
      </c>
      <c r="BW39" s="127" t="str">
        <f t="shared" si="18"/>
        <v/>
      </c>
      <c r="BX39" s="127" t="str">
        <f t="shared" si="18"/>
        <v/>
      </c>
      <c r="BY39" s="127" t="str">
        <f t="shared" si="18"/>
        <v/>
      </c>
      <c r="BZ39" s="127" t="str">
        <f t="shared" si="18"/>
        <v/>
      </c>
      <c r="CA39" s="127" t="str">
        <f t="shared" si="18"/>
        <v/>
      </c>
      <c r="CB39" s="127" t="str">
        <f t="shared" si="18"/>
        <v/>
      </c>
      <c r="CC39" s="127" t="str">
        <f t="shared" si="18"/>
        <v/>
      </c>
      <c r="CD39" s="127" t="str">
        <f t="shared" si="18"/>
        <v/>
      </c>
      <c r="CE39" s="127" t="str">
        <f t="shared" si="18"/>
        <v/>
      </c>
    </row>
    <row r="40" spans="1:83" ht="12.6" customHeight="1" x14ac:dyDescent="0.2">
      <c r="A40" s="106">
        <f>SHIPMENTS!A46</f>
        <v>9160</v>
      </c>
      <c r="B40" s="106" t="str">
        <f>SHIPMENTS!B46</f>
        <v>51700-MAURITIUS</v>
      </c>
      <c r="C40" s="132">
        <f>SHIPMENTS!F46</f>
        <v>0.97</v>
      </c>
      <c r="D40" s="107" t="str">
        <f>IF((SHIPMENTS!I46)=0,"",SHIPMENTS!I46)</f>
        <v>1x20</v>
      </c>
      <c r="E40" s="176">
        <f>IF((SHIPMENTS!G46)=0,"",SHIPMENTS!G46)</f>
        <v>46332</v>
      </c>
      <c r="F40" s="97">
        <f>VLOOKUP(A40,Items!$A$5:$J$1000,7,0)</f>
        <v>30</v>
      </c>
      <c r="G40" s="98">
        <f>VLOOKUP(A40,load!$A$4:$U$5001,8,0)</f>
        <v>2.9765083333333333</v>
      </c>
      <c r="H40" s="97">
        <f>Manhours!$C$24</f>
        <v>5</v>
      </c>
      <c r="I40" s="98">
        <f t="shared" si="31"/>
        <v>45.5</v>
      </c>
      <c r="J40" s="99">
        <f t="shared" si="32"/>
        <v>6.5417765567765573E-2</v>
      </c>
      <c r="K40" s="99">
        <f t="shared" si="33"/>
        <v>0.59530166666666673</v>
      </c>
      <c r="L40" s="98">
        <f t="shared" si="34"/>
        <v>6.5417765567765573E-2</v>
      </c>
      <c r="M40" s="98">
        <f t="shared" si="35"/>
        <v>0.59530166666666673</v>
      </c>
      <c r="N40" s="181">
        <f>'WWP1-PPS'!N40+1</f>
        <v>46331.646017239</v>
      </c>
      <c r="O40" s="181">
        <f t="shared" si="36"/>
        <v>46331.711435004567</v>
      </c>
      <c r="P40" s="101">
        <f>VLOOKUP(A40,SHIPMENTS!$A$7:$N$171,12,0)</f>
        <v>0</v>
      </c>
      <c r="Q40" s="101"/>
      <c r="R40" s="127" t="str">
        <f t="shared" si="30"/>
        <v/>
      </c>
      <c r="S40" s="127" t="str">
        <f t="shared" si="30"/>
        <v/>
      </c>
      <c r="T40" s="127" t="str">
        <f t="shared" si="30"/>
        <v/>
      </c>
      <c r="U40" s="127" t="str">
        <f t="shared" si="30"/>
        <v/>
      </c>
      <c r="V40" s="127" t="str">
        <f t="shared" si="30"/>
        <v/>
      </c>
      <c r="W40" s="127" t="str">
        <f t="shared" si="30"/>
        <v/>
      </c>
      <c r="X40" s="127" t="str">
        <f t="shared" si="30"/>
        <v/>
      </c>
      <c r="Y40" s="127" t="str">
        <f t="shared" si="30"/>
        <v/>
      </c>
      <c r="Z40" s="127" t="str">
        <f t="shared" si="30"/>
        <v/>
      </c>
      <c r="AA40" s="127" t="str">
        <f t="shared" si="30"/>
        <v/>
      </c>
      <c r="AB40" s="127" t="str">
        <f t="shared" si="30"/>
        <v/>
      </c>
      <c r="AC40" s="127" t="str">
        <f t="shared" si="30"/>
        <v/>
      </c>
      <c r="AD40" s="127" t="str">
        <f t="shared" si="30"/>
        <v/>
      </c>
      <c r="AE40" s="127" t="str">
        <f t="shared" si="30"/>
        <v/>
      </c>
      <c r="AF40" s="127" t="str">
        <f t="shared" si="30"/>
        <v/>
      </c>
      <c r="AG40" s="127" t="str">
        <f t="shared" si="30"/>
        <v/>
      </c>
      <c r="AH40" s="127" t="str">
        <f t="shared" si="40"/>
        <v>▲</v>
      </c>
      <c r="AI40" s="127" t="str">
        <f t="shared" si="40"/>
        <v/>
      </c>
      <c r="AJ40" s="127" t="str">
        <f t="shared" si="40"/>
        <v/>
      </c>
      <c r="AK40" s="127" t="str">
        <f t="shared" si="40"/>
        <v/>
      </c>
      <c r="AL40" s="127" t="str">
        <f t="shared" si="40"/>
        <v/>
      </c>
      <c r="AM40" s="127" t="str">
        <f t="shared" si="40"/>
        <v/>
      </c>
      <c r="AN40" s="127" t="str">
        <f t="shared" si="40"/>
        <v/>
      </c>
      <c r="AO40" s="127" t="str">
        <f t="shared" si="40"/>
        <v/>
      </c>
      <c r="AP40" s="127" t="str">
        <f t="shared" si="40"/>
        <v/>
      </c>
      <c r="AQ40" s="127" t="str">
        <f t="shared" si="40"/>
        <v/>
      </c>
      <c r="AR40" s="127" t="str">
        <f t="shared" si="40"/>
        <v/>
      </c>
      <c r="AS40" s="127" t="str">
        <f t="shared" si="40"/>
        <v/>
      </c>
      <c r="AT40" s="127" t="str">
        <f t="shared" si="40"/>
        <v/>
      </c>
      <c r="AU40" s="127" t="str">
        <f t="shared" si="40"/>
        <v/>
      </c>
      <c r="AV40" s="127" t="str">
        <f t="shared" si="40"/>
        <v/>
      </c>
      <c r="AW40" s="127" t="str">
        <f t="shared" si="40"/>
        <v/>
      </c>
      <c r="AX40" s="127" t="str">
        <f t="shared" si="38"/>
        <v/>
      </c>
      <c r="AY40" s="127" t="str">
        <f t="shared" si="38"/>
        <v/>
      </c>
      <c r="AZ40" s="127" t="str">
        <f t="shared" si="38"/>
        <v/>
      </c>
      <c r="BA40" s="127" t="str">
        <f t="shared" si="38"/>
        <v/>
      </c>
      <c r="BB40" s="127" t="str">
        <f t="shared" si="38"/>
        <v/>
      </c>
      <c r="BC40" s="127" t="str">
        <f t="shared" si="39"/>
        <v/>
      </c>
      <c r="BD40" s="127" t="str">
        <f t="shared" si="39"/>
        <v/>
      </c>
      <c r="BE40" s="127" t="str">
        <f t="shared" si="39"/>
        <v/>
      </c>
      <c r="BF40" s="127" t="str">
        <f t="shared" si="39"/>
        <v/>
      </c>
      <c r="BG40" s="127" t="str">
        <f t="shared" si="37"/>
        <v/>
      </c>
      <c r="BH40" s="127" t="str">
        <f t="shared" si="37"/>
        <v/>
      </c>
      <c r="BI40" s="127" t="str">
        <f t="shared" si="37"/>
        <v/>
      </c>
      <c r="BJ40" s="127" t="str">
        <f t="shared" si="37"/>
        <v/>
      </c>
      <c r="BK40" s="127" t="str">
        <f t="shared" si="37"/>
        <v/>
      </c>
      <c r="BL40" s="127" t="str">
        <f t="shared" si="37"/>
        <v/>
      </c>
      <c r="BM40" s="127" t="str">
        <f t="shared" si="37"/>
        <v/>
      </c>
      <c r="BN40" s="127" t="str">
        <f t="shared" si="37"/>
        <v/>
      </c>
      <c r="BO40" s="127" t="str">
        <f t="shared" si="37"/>
        <v/>
      </c>
      <c r="BP40" s="127" t="str">
        <f t="shared" si="37"/>
        <v/>
      </c>
      <c r="BQ40" s="127" t="str">
        <f t="shared" si="37"/>
        <v/>
      </c>
      <c r="BR40" s="127" t="str">
        <f t="shared" si="37"/>
        <v/>
      </c>
      <c r="BS40" s="127" t="str">
        <f t="shared" si="37"/>
        <v/>
      </c>
      <c r="BT40" s="127" t="str">
        <f t="shared" si="37"/>
        <v/>
      </c>
      <c r="BU40" s="127" t="str">
        <f t="shared" si="37"/>
        <v/>
      </c>
      <c r="BV40" s="127" t="str">
        <f t="shared" si="37"/>
        <v/>
      </c>
      <c r="BW40" s="127" t="str">
        <f t="shared" ref="BT40:CE53" si="41">IF($E40=BW$3,"▲","")</f>
        <v/>
      </c>
      <c r="BX40" s="127" t="str">
        <f t="shared" si="41"/>
        <v/>
      </c>
      <c r="BY40" s="127" t="str">
        <f t="shared" si="41"/>
        <v/>
      </c>
      <c r="BZ40" s="127" t="str">
        <f t="shared" si="41"/>
        <v/>
      </c>
      <c r="CA40" s="127" t="str">
        <f t="shared" si="41"/>
        <v/>
      </c>
      <c r="CB40" s="127" t="str">
        <f t="shared" si="41"/>
        <v/>
      </c>
      <c r="CC40" s="127" t="str">
        <f t="shared" si="41"/>
        <v/>
      </c>
      <c r="CD40" s="127" t="str">
        <f t="shared" si="41"/>
        <v/>
      </c>
      <c r="CE40" s="127" t="str">
        <f t="shared" si="41"/>
        <v/>
      </c>
    </row>
    <row r="41" spans="1:83" ht="12.6" customHeight="1" x14ac:dyDescent="0.2">
      <c r="A41" s="106">
        <f>SHIPMENTS!A47</f>
        <v>9164</v>
      </c>
      <c r="B41" s="106" t="str">
        <f>SHIPMENTS!B47</f>
        <v>1500-SAWO SAUNA EUROPE BV BACKLOG</v>
      </c>
      <c r="C41" s="132">
        <f>SHIPMENTS!F47</f>
        <v>100.97952000000001</v>
      </c>
      <c r="D41" s="107" t="str">
        <f>IF((SHIPMENTS!I47)=0,"",SHIPMENTS!I47)</f>
        <v>1X40HC</v>
      </c>
      <c r="E41" s="176">
        <f>IF((SHIPMENTS!G47)=0,"",SHIPMENTS!G47)</f>
        <v>46339</v>
      </c>
      <c r="F41" s="97">
        <f>VLOOKUP(A41,Items!$A$5:$J$1000,7,0)</f>
        <v>8100</v>
      </c>
      <c r="G41" s="98">
        <f>VLOOKUP(A41,load!$A$4:$U$5001,8,0)</f>
        <v>667.51808055555591</v>
      </c>
      <c r="H41" s="97">
        <f>Manhours!$C$24</f>
        <v>5</v>
      </c>
      <c r="I41" s="98">
        <f t="shared" si="31"/>
        <v>45.5</v>
      </c>
      <c r="J41" s="99">
        <f t="shared" si="32"/>
        <v>14.670727045177053</v>
      </c>
      <c r="K41" s="99">
        <f t="shared" si="33"/>
        <v>133.50361611111117</v>
      </c>
      <c r="L41" s="98">
        <f t="shared" si="34"/>
        <v>14.670727045177053</v>
      </c>
      <c r="M41" s="98">
        <f t="shared" si="35"/>
        <v>133.50361611111117</v>
      </c>
      <c r="N41" s="181">
        <f>'WWP1-PPS'!N41+1</f>
        <v>46331.649708859877</v>
      </c>
      <c r="O41" s="181">
        <f t="shared" si="36"/>
        <v>46346.320435905058</v>
      </c>
      <c r="P41" s="101">
        <f>VLOOKUP(A41,SHIPMENTS!$A$7:$N$171,12,0)</f>
        <v>0</v>
      </c>
      <c r="Q41" s="101"/>
      <c r="R41" s="127" t="str">
        <f t="shared" si="30"/>
        <v/>
      </c>
      <c r="S41" s="127" t="str">
        <f t="shared" si="30"/>
        <v/>
      </c>
      <c r="T41" s="127" t="str">
        <f t="shared" si="30"/>
        <v/>
      </c>
      <c r="U41" s="127" t="str">
        <f t="shared" si="30"/>
        <v/>
      </c>
      <c r="V41" s="127" t="str">
        <f t="shared" si="30"/>
        <v/>
      </c>
      <c r="W41" s="127" t="str">
        <f t="shared" si="30"/>
        <v/>
      </c>
      <c r="X41" s="127" t="str">
        <f t="shared" si="30"/>
        <v/>
      </c>
      <c r="Y41" s="127" t="str">
        <f t="shared" si="30"/>
        <v/>
      </c>
      <c r="Z41" s="127" t="str">
        <f t="shared" si="30"/>
        <v/>
      </c>
      <c r="AA41" s="127" t="str">
        <f t="shared" si="30"/>
        <v/>
      </c>
      <c r="AB41" s="127" t="str">
        <f t="shared" si="30"/>
        <v/>
      </c>
      <c r="AC41" s="127" t="str">
        <f t="shared" si="30"/>
        <v/>
      </c>
      <c r="AD41" s="127" t="str">
        <f t="shared" si="30"/>
        <v/>
      </c>
      <c r="AE41" s="127" t="str">
        <f t="shared" si="30"/>
        <v/>
      </c>
      <c r="AF41" s="127" t="str">
        <f t="shared" si="30"/>
        <v/>
      </c>
      <c r="AG41" s="127" t="str">
        <f t="shared" si="30"/>
        <v/>
      </c>
      <c r="AH41" s="127" t="str">
        <f t="shared" si="40"/>
        <v/>
      </c>
      <c r="AI41" s="127" t="str">
        <f t="shared" si="40"/>
        <v/>
      </c>
      <c r="AJ41" s="127" t="str">
        <f t="shared" si="40"/>
        <v/>
      </c>
      <c r="AK41" s="127" t="str">
        <f t="shared" si="40"/>
        <v/>
      </c>
      <c r="AL41" s="127" t="str">
        <f t="shared" si="40"/>
        <v/>
      </c>
      <c r="AM41" s="127" t="str">
        <f t="shared" si="40"/>
        <v/>
      </c>
      <c r="AN41" s="127" t="str">
        <f t="shared" si="40"/>
        <v>▲</v>
      </c>
      <c r="AO41" s="127" t="str">
        <f t="shared" si="40"/>
        <v/>
      </c>
      <c r="AP41" s="127" t="str">
        <f t="shared" si="40"/>
        <v/>
      </c>
      <c r="AQ41" s="127" t="str">
        <f t="shared" si="40"/>
        <v/>
      </c>
      <c r="AR41" s="127" t="str">
        <f t="shared" si="40"/>
        <v/>
      </c>
      <c r="AS41" s="127" t="str">
        <f t="shared" si="40"/>
        <v/>
      </c>
      <c r="AT41" s="127" t="str">
        <f t="shared" si="40"/>
        <v/>
      </c>
      <c r="AU41" s="127" t="str">
        <f t="shared" si="40"/>
        <v/>
      </c>
      <c r="AV41" s="127" t="str">
        <f t="shared" si="40"/>
        <v/>
      </c>
      <c r="AW41" s="127" t="str">
        <f t="shared" si="40"/>
        <v/>
      </c>
      <c r="AX41" s="127" t="str">
        <f t="shared" si="38"/>
        <v/>
      </c>
      <c r="AY41" s="127" t="str">
        <f t="shared" si="38"/>
        <v/>
      </c>
      <c r="AZ41" s="127" t="str">
        <f t="shared" si="38"/>
        <v/>
      </c>
      <c r="BA41" s="127" t="str">
        <f t="shared" si="38"/>
        <v/>
      </c>
      <c r="BB41" s="127" t="str">
        <f t="shared" si="38"/>
        <v/>
      </c>
      <c r="BC41" s="127" t="str">
        <f t="shared" si="39"/>
        <v/>
      </c>
      <c r="BD41" s="127" t="str">
        <f t="shared" si="39"/>
        <v/>
      </c>
      <c r="BE41" s="127" t="str">
        <f t="shared" si="39"/>
        <v/>
      </c>
      <c r="BF41" s="127" t="str">
        <f t="shared" si="39"/>
        <v/>
      </c>
      <c r="BG41" s="127" t="str">
        <f t="shared" si="37"/>
        <v/>
      </c>
      <c r="BH41" s="127" t="str">
        <f t="shared" si="37"/>
        <v/>
      </c>
      <c r="BI41" s="127" t="str">
        <f t="shared" si="37"/>
        <v/>
      </c>
      <c r="BJ41" s="127" t="str">
        <f t="shared" si="37"/>
        <v/>
      </c>
      <c r="BK41" s="127" t="str">
        <f t="shared" si="37"/>
        <v/>
      </c>
      <c r="BL41" s="127" t="str">
        <f t="shared" si="37"/>
        <v/>
      </c>
      <c r="BM41" s="127" t="str">
        <f t="shared" si="37"/>
        <v/>
      </c>
      <c r="BN41" s="127" t="str">
        <f t="shared" si="37"/>
        <v/>
      </c>
      <c r="BO41" s="127" t="str">
        <f t="shared" si="37"/>
        <v/>
      </c>
      <c r="BP41" s="127" t="str">
        <f t="shared" si="37"/>
        <v/>
      </c>
      <c r="BQ41" s="127" t="str">
        <f t="shared" si="37"/>
        <v/>
      </c>
      <c r="BR41" s="127" t="str">
        <f t="shared" si="37"/>
        <v/>
      </c>
      <c r="BS41" s="127" t="str">
        <f t="shared" si="37"/>
        <v/>
      </c>
      <c r="BT41" s="127" t="str">
        <f t="shared" si="41"/>
        <v/>
      </c>
      <c r="BU41" s="127" t="str">
        <f t="shared" si="41"/>
        <v/>
      </c>
      <c r="BV41" s="127" t="str">
        <f t="shared" si="41"/>
        <v/>
      </c>
      <c r="BW41" s="127" t="str">
        <f t="shared" si="41"/>
        <v/>
      </c>
      <c r="BX41" s="127" t="str">
        <f t="shared" si="41"/>
        <v/>
      </c>
      <c r="BY41" s="127" t="str">
        <f t="shared" si="41"/>
        <v/>
      </c>
      <c r="BZ41" s="127" t="str">
        <f t="shared" si="41"/>
        <v/>
      </c>
      <c r="CA41" s="127" t="str">
        <f t="shared" si="41"/>
        <v/>
      </c>
      <c r="CB41" s="127" t="str">
        <f t="shared" si="41"/>
        <v/>
      </c>
      <c r="CC41" s="127" t="str">
        <f t="shared" si="41"/>
        <v/>
      </c>
      <c r="CD41" s="127" t="str">
        <f t="shared" si="41"/>
        <v/>
      </c>
      <c r="CE41" s="127" t="str">
        <f t="shared" si="41"/>
        <v/>
      </c>
    </row>
    <row r="42" spans="1:83" ht="12.6" customHeight="1" x14ac:dyDescent="0.2">
      <c r="A42" s="106">
        <f>SHIPMENTS!A48</f>
        <v>9288</v>
      </c>
      <c r="B42" s="106" t="str">
        <f>SHIPMENTS!B48</f>
        <v>12100-HOLLAND HALU</v>
      </c>
      <c r="C42" s="132">
        <f>SHIPMENTS!F48</f>
        <v>0</v>
      </c>
      <c r="D42" s="107" t="str">
        <f>IF((SHIPMENTS!I48)=0,"",SHIPMENTS!I48)</f>
        <v/>
      </c>
      <c r="E42" s="176">
        <f>IF((SHIPMENTS!G48)=0,"",SHIPMENTS!G48)</f>
        <v>46339</v>
      </c>
      <c r="F42" s="97">
        <f>VLOOKUP(A42,Items!$A$5:$J$1000,7,0)</f>
        <v>252</v>
      </c>
      <c r="G42" s="98">
        <f>VLOOKUP(A42,load!$A$4:$U$5001,8,0)</f>
        <v>21.898800000000001</v>
      </c>
      <c r="H42" s="97">
        <f>Manhours!$C$24</f>
        <v>5</v>
      </c>
      <c r="I42" s="98">
        <f t="shared" si="31"/>
        <v>45.5</v>
      </c>
      <c r="J42" s="99">
        <f t="shared" si="32"/>
        <v>0.48129230769230774</v>
      </c>
      <c r="K42" s="99">
        <f t="shared" si="33"/>
        <v>4.3797600000000001</v>
      </c>
      <c r="L42" s="98">
        <f t="shared" si="34"/>
        <v>0.48129230769230774</v>
      </c>
      <c r="M42" s="98">
        <f t="shared" si="35"/>
        <v>4.3797600000000001</v>
      </c>
      <c r="N42" s="181">
        <f>'WWP1-PPS'!N42+1</f>
        <v>46335.994843933135</v>
      </c>
      <c r="O42" s="181">
        <f t="shared" si="36"/>
        <v>46336.476136240824</v>
      </c>
      <c r="P42" s="101">
        <f>VLOOKUP(A42,SHIPMENTS!$A$7:$N$171,12,0)</f>
        <v>0</v>
      </c>
      <c r="Q42" s="101"/>
      <c r="R42" s="127" t="str">
        <f t="shared" si="30"/>
        <v/>
      </c>
      <c r="S42" s="127" t="str">
        <f t="shared" si="30"/>
        <v/>
      </c>
      <c r="T42" s="127" t="str">
        <f t="shared" si="30"/>
        <v/>
      </c>
      <c r="U42" s="127" t="str">
        <f t="shared" si="30"/>
        <v/>
      </c>
      <c r="V42" s="127" t="str">
        <f t="shared" si="30"/>
        <v/>
      </c>
      <c r="W42" s="127" t="str">
        <f t="shared" si="30"/>
        <v/>
      </c>
      <c r="X42" s="127" t="str">
        <f t="shared" si="30"/>
        <v/>
      </c>
      <c r="Y42" s="127" t="str">
        <f t="shared" si="30"/>
        <v/>
      </c>
      <c r="Z42" s="127" t="str">
        <f t="shared" si="30"/>
        <v/>
      </c>
      <c r="AA42" s="127" t="str">
        <f t="shared" si="30"/>
        <v/>
      </c>
      <c r="AB42" s="127" t="str">
        <f t="shared" si="30"/>
        <v/>
      </c>
      <c r="AC42" s="127" t="str">
        <f t="shared" si="30"/>
        <v/>
      </c>
      <c r="AD42" s="127" t="str">
        <f t="shared" si="30"/>
        <v/>
      </c>
      <c r="AE42" s="127" t="str">
        <f t="shared" si="30"/>
        <v/>
      </c>
      <c r="AF42" s="127" t="str">
        <f t="shared" si="30"/>
        <v/>
      </c>
      <c r="AG42" s="127" t="str">
        <f t="shared" si="30"/>
        <v/>
      </c>
      <c r="AH42" s="127" t="str">
        <f t="shared" si="40"/>
        <v/>
      </c>
      <c r="AI42" s="127" t="str">
        <f t="shared" si="40"/>
        <v/>
      </c>
      <c r="AJ42" s="127" t="str">
        <f t="shared" si="40"/>
        <v/>
      </c>
      <c r="AK42" s="127" t="str">
        <f t="shared" si="40"/>
        <v/>
      </c>
      <c r="AL42" s="127" t="str">
        <f t="shared" si="40"/>
        <v/>
      </c>
      <c r="AM42" s="127" t="str">
        <f t="shared" si="40"/>
        <v/>
      </c>
      <c r="AN42" s="127" t="str">
        <f t="shared" si="40"/>
        <v>▲</v>
      </c>
      <c r="AO42" s="127" t="str">
        <f t="shared" si="40"/>
        <v/>
      </c>
      <c r="AP42" s="127" t="str">
        <f t="shared" si="40"/>
        <v/>
      </c>
      <c r="AQ42" s="127" t="str">
        <f t="shared" si="40"/>
        <v/>
      </c>
      <c r="AR42" s="127" t="str">
        <f t="shared" si="40"/>
        <v/>
      </c>
      <c r="AS42" s="127" t="str">
        <f t="shared" si="40"/>
        <v/>
      </c>
      <c r="AT42" s="127" t="str">
        <f t="shared" si="40"/>
        <v/>
      </c>
      <c r="AU42" s="127" t="str">
        <f t="shared" si="40"/>
        <v/>
      </c>
      <c r="AV42" s="127" t="str">
        <f t="shared" si="40"/>
        <v/>
      </c>
      <c r="AW42" s="127" t="str">
        <f t="shared" si="40"/>
        <v/>
      </c>
      <c r="AX42" s="127" t="str">
        <f t="shared" si="38"/>
        <v/>
      </c>
      <c r="AY42" s="127" t="str">
        <f t="shared" si="38"/>
        <v/>
      </c>
      <c r="AZ42" s="127" t="str">
        <f t="shared" si="38"/>
        <v/>
      </c>
      <c r="BA42" s="127" t="str">
        <f t="shared" si="38"/>
        <v/>
      </c>
      <c r="BB42" s="127" t="str">
        <f t="shared" si="38"/>
        <v/>
      </c>
      <c r="BC42" s="127" t="str">
        <f t="shared" si="39"/>
        <v/>
      </c>
      <c r="BD42" s="127" t="str">
        <f t="shared" si="39"/>
        <v/>
      </c>
      <c r="BE42" s="127" t="str">
        <f t="shared" si="39"/>
        <v/>
      </c>
      <c r="BF42" s="127" t="str">
        <f t="shared" si="39"/>
        <v/>
      </c>
      <c r="BG42" s="127" t="str">
        <f t="shared" si="37"/>
        <v/>
      </c>
      <c r="BH42" s="127" t="str">
        <f t="shared" si="37"/>
        <v/>
      </c>
      <c r="BI42" s="127" t="str">
        <f t="shared" si="37"/>
        <v/>
      </c>
      <c r="BJ42" s="127" t="str">
        <f t="shared" si="37"/>
        <v/>
      </c>
      <c r="BK42" s="127" t="str">
        <f t="shared" si="37"/>
        <v/>
      </c>
      <c r="BL42" s="127" t="str">
        <f t="shared" si="37"/>
        <v/>
      </c>
      <c r="BM42" s="127" t="str">
        <f t="shared" si="37"/>
        <v/>
      </c>
      <c r="BN42" s="127" t="str">
        <f t="shared" si="37"/>
        <v/>
      </c>
      <c r="BO42" s="127" t="str">
        <f t="shared" si="37"/>
        <v/>
      </c>
      <c r="BP42" s="127" t="str">
        <f t="shared" si="37"/>
        <v/>
      </c>
      <c r="BQ42" s="127" t="str">
        <f t="shared" si="37"/>
        <v/>
      </c>
      <c r="BR42" s="127" t="str">
        <f t="shared" si="37"/>
        <v/>
      </c>
      <c r="BS42" s="127" t="str">
        <f t="shared" si="37"/>
        <v/>
      </c>
      <c r="BT42" s="127" t="str">
        <f t="shared" si="41"/>
        <v/>
      </c>
      <c r="BU42" s="127" t="str">
        <f t="shared" si="41"/>
        <v/>
      </c>
      <c r="BV42" s="127" t="str">
        <f t="shared" si="41"/>
        <v/>
      </c>
      <c r="BW42" s="127" t="str">
        <f t="shared" si="41"/>
        <v/>
      </c>
      <c r="BX42" s="127" t="str">
        <f t="shared" si="41"/>
        <v/>
      </c>
      <c r="BY42" s="127" t="str">
        <f t="shared" si="41"/>
        <v/>
      </c>
      <c r="BZ42" s="127" t="str">
        <f t="shared" si="41"/>
        <v/>
      </c>
      <c r="CA42" s="127" t="str">
        <f t="shared" si="41"/>
        <v/>
      </c>
      <c r="CB42" s="127" t="str">
        <f t="shared" si="41"/>
        <v/>
      </c>
      <c r="CC42" s="127" t="str">
        <f t="shared" si="41"/>
        <v/>
      </c>
      <c r="CD42" s="127" t="str">
        <f t="shared" si="41"/>
        <v/>
      </c>
      <c r="CE42" s="127" t="str">
        <f t="shared" si="41"/>
        <v/>
      </c>
    </row>
    <row r="43" spans="1:83" ht="12.6" hidden="1" customHeight="1" x14ac:dyDescent="0.2">
      <c r="A43" s="106" t="str">
        <f>SHIPMENTS!A49</f>
        <v>SSE BACKLOG</v>
      </c>
      <c r="B43" s="106" t="str">
        <f>SHIPMENTS!B49</f>
        <v>11500-SAWO SAUNA EUROPE BV</v>
      </c>
      <c r="C43" s="132">
        <f>SHIPMENTS!F49</f>
        <v>0</v>
      </c>
      <c r="D43" s="107" t="str">
        <f>IF((SHIPMENTS!I49)=0,"",SHIPMENTS!I49)</f>
        <v/>
      </c>
      <c r="E43" s="176">
        <f>IF((SHIPMENTS!G49)=0,"",SHIPMENTS!G49)</f>
        <v>46339</v>
      </c>
      <c r="F43" s="97">
        <f>VLOOKUP(A43,Items!$A$5:$J$1000,7,0)</f>
        <v>0</v>
      </c>
      <c r="G43" s="98">
        <f>VLOOKUP(A43,load!$A$4:$U$5001,8,0)</f>
        <v>0</v>
      </c>
      <c r="H43" s="97">
        <f>Manhours!$C$24</f>
        <v>5</v>
      </c>
      <c r="I43" s="98">
        <f t="shared" si="31"/>
        <v>45.5</v>
      </c>
      <c r="J43" s="99">
        <f t="shared" si="32"/>
        <v>0</v>
      </c>
      <c r="K43" s="99">
        <f t="shared" si="33"/>
        <v>0</v>
      </c>
      <c r="L43" s="98">
        <f t="shared" si="34"/>
        <v>0</v>
      </c>
      <c r="M43" s="98">
        <f t="shared" si="35"/>
        <v>0</v>
      </c>
      <c r="N43" s="181">
        <f>'WWP1-PPS'!N43+1</f>
        <v>46337.36272854852</v>
      </c>
      <c r="O43" s="181">
        <f t="shared" si="36"/>
        <v>46337.36272854852</v>
      </c>
      <c r="P43" s="101" t="str">
        <f>VLOOKUP(A43,SHIPMENTS!$A$7:$N$171,12,0)</f>
        <v>n/a</v>
      </c>
      <c r="Q43" s="101"/>
      <c r="R43" s="127" t="str">
        <f t="shared" si="30"/>
        <v/>
      </c>
      <c r="S43" s="127" t="str">
        <f t="shared" si="30"/>
        <v/>
      </c>
      <c r="T43" s="127" t="str">
        <f t="shared" si="30"/>
        <v/>
      </c>
      <c r="U43" s="127" t="str">
        <f t="shared" si="30"/>
        <v/>
      </c>
      <c r="V43" s="127" t="str">
        <f t="shared" si="30"/>
        <v/>
      </c>
      <c r="W43" s="127" t="str">
        <f t="shared" si="30"/>
        <v/>
      </c>
      <c r="X43" s="127" t="str">
        <f t="shared" si="30"/>
        <v/>
      </c>
      <c r="Y43" s="127" t="str">
        <f t="shared" si="30"/>
        <v/>
      </c>
      <c r="Z43" s="127" t="str">
        <f t="shared" si="30"/>
        <v/>
      </c>
      <c r="AA43" s="127" t="str">
        <f t="shared" si="30"/>
        <v/>
      </c>
      <c r="AB43" s="127" t="str">
        <f t="shared" si="30"/>
        <v/>
      </c>
      <c r="AC43" s="127" t="str">
        <f t="shared" si="30"/>
        <v/>
      </c>
      <c r="AD43" s="127" t="str">
        <f t="shared" si="30"/>
        <v/>
      </c>
      <c r="AE43" s="127" t="str">
        <f t="shared" si="30"/>
        <v/>
      </c>
      <c r="AF43" s="127" t="str">
        <f t="shared" si="30"/>
        <v/>
      </c>
      <c r="AG43" s="127" t="str">
        <f t="shared" si="30"/>
        <v/>
      </c>
      <c r="AH43" s="127" t="str">
        <f t="shared" si="40"/>
        <v/>
      </c>
      <c r="AI43" s="127" t="str">
        <f t="shared" si="40"/>
        <v/>
      </c>
      <c r="AJ43" s="127" t="str">
        <f t="shared" si="40"/>
        <v/>
      </c>
      <c r="AK43" s="127" t="str">
        <f t="shared" si="40"/>
        <v/>
      </c>
      <c r="AL43" s="127" t="str">
        <f t="shared" si="40"/>
        <v/>
      </c>
      <c r="AM43" s="127" t="str">
        <f t="shared" si="40"/>
        <v/>
      </c>
      <c r="AN43" s="127" t="str">
        <f t="shared" si="40"/>
        <v>▲</v>
      </c>
      <c r="AO43" s="127" t="str">
        <f t="shared" si="40"/>
        <v/>
      </c>
      <c r="AP43" s="127" t="str">
        <f t="shared" si="40"/>
        <v/>
      </c>
      <c r="AQ43" s="127" t="str">
        <f t="shared" si="40"/>
        <v/>
      </c>
      <c r="AR43" s="127" t="str">
        <f t="shared" si="40"/>
        <v/>
      </c>
      <c r="AS43" s="127" t="str">
        <f t="shared" si="40"/>
        <v/>
      </c>
      <c r="AT43" s="127" t="str">
        <f t="shared" si="40"/>
        <v/>
      </c>
      <c r="AU43" s="127" t="str">
        <f t="shared" si="40"/>
        <v/>
      </c>
      <c r="AV43" s="127" t="str">
        <f t="shared" si="40"/>
        <v/>
      </c>
      <c r="AW43" s="127" t="str">
        <f t="shared" si="40"/>
        <v/>
      </c>
      <c r="AX43" s="127" t="str">
        <f t="shared" si="38"/>
        <v/>
      </c>
      <c r="AY43" s="127" t="str">
        <f t="shared" si="38"/>
        <v/>
      </c>
      <c r="AZ43" s="127" t="str">
        <f t="shared" si="38"/>
        <v/>
      </c>
      <c r="BA43" s="127" t="str">
        <f t="shared" si="38"/>
        <v/>
      </c>
      <c r="BB43" s="127" t="str">
        <f t="shared" si="38"/>
        <v/>
      </c>
      <c r="BC43" s="127" t="str">
        <f t="shared" si="39"/>
        <v/>
      </c>
      <c r="BD43" s="127" t="str">
        <f t="shared" si="39"/>
        <v/>
      </c>
      <c r="BE43" s="127" t="str">
        <f t="shared" si="39"/>
        <v/>
      </c>
      <c r="BF43" s="127" t="str">
        <f t="shared" si="39"/>
        <v/>
      </c>
      <c r="BG43" s="127" t="str">
        <f t="shared" si="37"/>
        <v/>
      </c>
      <c r="BH43" s="127" t="str">
        <f t="shared" si="37"/>
        <v/>
      </c>
      <c r="BI43" s="127" t="str">
        <f t="shared" si="37"/>
        <v/>
      </c>
      <c r="BJ43" s="127" t="str">
        <f t="shared" si="37"/>
        <v/>
      </c>
      <c r="BK43" s="127" t="str">
        <f t="shared" si="37"/>
        <v/>
      </c>
      <c r="BL43" s="127" t="str">
        <f t="shared" si="37"/>
        <v/>
      </c>
      <c r="BM43" s="127" t="str">
        <f t="shared" si="37"/>
        <v/>
      </c>
      <c r="BN43" s="127" t="str">
        <f t="shared" si="37"/>
        <v/>
      </c>
      <c r="BO43" s="127" t="str">
        <f t="shared" si="37"/>
        <v/>
      </c>
      <c r="BP43" s="127" t="str">
        <f t="shared" si="37"/>
        <v/>
      </c>
      <c r="BQ43" s="127" t="str">
        <f t="shared" si="37"/>
        <v/>
      </c>
      <c r="BR43" s="127" t="str">
        <f t="shared" si="37"/>
        <v/>
      </c>
      <c r="BS43" s="127" t="str">
        <f t="shared" si="37"/>
        <v/>
      </c>
      <c r="BT43" s="127" t="str">
        <f t="shared" si="41"/>
        <v/>
      </c>
      <c r="BU43" s="127" t="str">
        <f t="shared" si="41"/>
        <v/>
      </c>
      <c r="BV43" s="127" t="str">
        <f t="shared" si="41"/>
        <v/>
      </c>
      <c r="BW43" s="127" t="str">
        <f t="shared" si="41"/>
        <v/>
      </c>
      <c r="BX43" s="127" t="str">
        <f t="shared" si="41"/>
        <v/>
      </c>
      <c r="BY43" s="127" t="str">
        <f t="shared" si="41"/>
        <v/>
      </c>
      <c r="BZ43" s="127" t="str">
        <f t="shared" si="41"/>
        <v/>
      </c>
      <c r="CA43" s="127" t="str">
        <f t="shared" si="41"/>
        <v/>
      </c>
      <c r="CB43" s="127" t="str">
        <f t="shared" si="41"/>
        <v/>
      </c>
      <c r="CC43" s="127" t="str">
        <f t="shared" si="41"/>
        <v/>
      </c>
      <c r="CD43" s="127" t="str">
        <f t="shared" si="41"/>
        <v/>
      </c>
      <c r="CE43" s="127" t="str">
        <f t="shared" si="41"/>
        <v/>
      </c>
    </row>
    <row r="44" spans="1:83" ht="12.6" customHeight="1" x14ac:dyDescent="0.2">
      <c r="A44" s="106">
        <f>SHIPMENTS!A50</f>
        <v>9113</v>
      </c>
      <c r="B44" s="106" t="str">
        <f>SHIPMENTS!B50</f>
        <v>15900- Mandaue |Stephen Chian</v>
      </c>
      <c r="C44" s="132">
        <f>SHIPMENTS!F50</f>
        <v>0.34</v>
      </c>
      <c r="D44" s="107" t="str">
        <f>IF((SHIPMENTS!I50)=0,"",SHIPMENTS!I50)</f>
        <v/>
      </c>
      <c r="E44" s="176">
        <f>IF((SHIPMENTS!G50)=0,"",SHIPMENTS!G50)</f>
        <v>46351</v>
      </c>
      <c r="F44" s="97">
        <f>VLOOKUP(A44,Items!$A$5:$J$1000,7,0)</f>
        <v>8</v>
      </c>
      <c r="G44" s="98">
        <f>VLOOKUP(A44,load!$A$4:$U$5001,8,0)</f>
        <v>0.548211</v>
      </c>
      <c r="H44" s="97">
        <f>Manhours!$C$24</f>
        <v>5</v>
      </c>
      <c r="I44" s="98">
        <f t="shared" si="31"/>
        <v>45.5</v>
      </c>
      <c r="J44" s="99">
        <f t="shared" si="32"/>
        <v>1.2048593406593406E-2</v>
      </c>
      <c r="K44" s="99">
        <f t="shared" si="33"/>
        <v>0.1096422</v>
      </c>
      <c r="L44" s="98">
        <f t="shared" si="34"/>
        <v>1.2048593406593406E-2</v>
      </c>
      <c r="M44" s="98">
        <f t="shared" si="35"/>
        <v>0.1096422</v>
      </c>
      <c r="N44" s="181">
        <f>'WWP1-PPS'!N44+1</f>
        <v>46337.36272854852</v>
      </c>
      <c r="O44" s="181">
        <f t="shared" si="36"/>
        <v>46337.374777141929</v>
      </c>
      <c r="P44" s="101">
        <f>VLOOKUP(A44,SHIPMENTS!$A$7:$N$171,12,0)</f>
        <v>0</v>
      </c>
      <c r="Q44" s="101"/>
      <c r="R44" s="127" t="str">
        <f t="shared" si="30"/>
        <v/>
      </c>
      <c r="S44" s="127" t="str">
        <f t="shared" si="30"/>
        <v/>
      </c>
      <c r="T44" s="127" t="str">
        <f t="shared" si="30"/>
        <v/>
      </c>
      <c r="U44" s="127" t="str">
        <f t="shared" si="30"/>
        <v/>
      </c>
      <c r="V44" s="127" t="str">
        <f t="shared" si="30"/>
        <v/>
      </c>
      <c r="W44" s="127" t="str">
        <f t="shared" si="30"/>
        <v/>
      </c>
      <c r="X44" s="127" t="str">
        <f t="shared" si="30"/>
        <v/>
      </c>
      <c r="Y44" s="127" t="str">
        <f t="shared" si="30"/>
        <v/>
      </c>
      <c r="Z44" s="127" t="str">
        <f t="shared" si="30"/>
        <v/>
      </c>
      <c r="AA44" s="127" t="str">
        <f t="shared" si="30"/>
        <v/>
      </c>
      <c r="AB44" s="127" t="str">
        <f t="shared" si="30"/>
        <v/>
      </c>
      <c r="AC44" s="127" t="str">
        <f t="shared" si="30"/>
        <v/>
      </c>
      <c r="AD44" s="127" t="str">
        <f t="shared" si="30"/>
        <v/>
      </c>
      <c r="AE44" s="127" t="str">
        <f t="shared" si="30"/>
        <v/>
      </c>
      <c r="AF44" s="127" t="str">
        <f t="shared" si="30"/>
        <v/>
      </c>
      <c r="AG44" s="127" t="str">
        <f t="shared" si="30"/>
        <v/>
      </c>
      <c r="AH44" s="127" t="str">
        <f t="shared" si="40"/>
        <v/>
      </c>
      <c r="AI44" s="127" t="str">
        <f t="shared" si="40"/>
        <v/>
      </c>
      <c r="AJ44" s="127" t="str">
        <f t="shared" si="40"/>
        <v/>
      </c>
      <c r="AK44" s="127" t="str">
        <f t="shared" si="40"/>
        <v/>
      </c>
      <c r="AL44" s="127" t="str">
        <f t="shared" si="40"/>
        <v/>
      </c>
      <c r="AM44" s="127" t="str">
        <f t="shared" si="40"/>
        <v/>
      </c>
      <c r="AN44" s="127" t="str">
        <f t="shared" si="40"/>
        <v/>
      </c>
      <c r="AO44" s="127" t="str">
        <f t="shared" si="40"/>
        <v/>
      </c>
      <c r="AP44" s="127" t="str">
        <f t="shared" si="40"/>
        <v/>
      </c>
      <c r="AQ44" s="127" t="str">
        <f t="shared" si="40"/>
        <v/>
      </c>
      <c r="AR44" s="127" t="str">
        <f t="shared" si="40"/>
        <v/>
      </c>
      <c r="AS44" s="127" t="str">
        <f t="shared" si="40"/>
        <v/>
      </c>
      <c r="AT44" s="127" t="str">
        <f t="shared" si="40"/>
        <v/>
      </c>
      <c r="AU44" s="127" t="str">
        <f t="shared" si="40"/>
        <v/>
      </c>
      <c r="AV44" s="127" t="str">
        <f t="shared" si="40"/>
        <v/>
      </c>
      <c r="AW44" s="127" t="str">
        <f t="shared" si="40"/>
        <v/>
      </c>
      <c r="AX44" s="127" t="str">
        <f t="shared" si="38"/>
        <v>▲</v>
      </c>
      <c r="AY44" s="127" t="str">
        <f t="shared" si="38"/>
        <v/>
      </c>
      <c r="AZ44" s="127" t="str">
        <f t="shared" si="38"/>
        <v/>
      </c>
      <c r="BA44" s="127" t="str">
        <f t="shared" si="38"/>
        <v/>
      </c>
      <c r="BB44" s="127" t="str">
        <f t="shared" si="38"/>
        <v/>
      </c>
      <c r="BC44" s="127" t="str">
        <f t="shared" si="39"/>
        <v/>
      </c>
      <c r="BD44" s="127" t="str">
        <f t="shared" si="39"/>
        <v/>
      </c>
      <c r="BE44" s="127" t="str">
        <f t="shared" si="39"/>
        <v/>
      </c>
      <c r="BF44" s="127" t="str">
        <f t="shared" si="39"/>
        <v/>
      </c>
      <c r="BG44" s="127" t="str">
        <f t="shared" si="37"/>
        <v/>
      </c>
      <c r="BH44" s="127" t="str">
        <f t="shared" si="37"/>
        <v/>
      </c>
      <c r="BI44" s="127" t="str">
        <f t="shared" si="37"/>
        <v/>
      </c>
      <c r="BJ44" s="127" t="str">
        <f t="shared" si="37"/>
        <v/>
      </c>
      <c r="BK44" s="127" t="str">
        <f t="shared" si="37"/>
        <v/>
      </c>
      <c r="BL44" s="127" t="str">
        <f t="shared" si="37"/>
        <v/>
      </c>
      <c r="BM44" s="127" t="str">
        <f t="shared" si="37"/>
        <v/>
      </c>
      <c r="BN44" s="127" t="str">
        <f t="shared" si="37"/>
        <v/>
      </c>
      <c r="BO44" s="127" t="str">
        <f t="shared" si="37"/>
        <v/>
      </c>
      <c r="BP44" s="127" t="str">
        <f t="shared" si="37"/>
        <v/>
      </c>
      <c r="BQ44" s="127" t="str">
        <f t="shared" si="37"/>
        <v/>
      </c>
      <c r="BR44" s="127" t="str">
        <f t="shared" si="37"/>
        <v/>
      </c>
      <c r="BS44" s="127" t="str">
        <f t="shared" si="37"/>
        <v/>
      </c>
      <c r="BT44" s="127" t="str">
        <f t="shared" si="41"/>
        <v/>
      </c>
      <c r="BU44" s="127" t="str">
        <f t="shared" si="41"/>
        <v/>
      </c>
      <c r="BV44" s="127" t="str">
        <f t="shared" si="41"/>
        <v/>
      </c>
      <c r="BW44" s="127" t="str">
        <f t="shared" si="41"/>
        <v/>
      </c>
      <c r="BX44" s="127" t="str">
        <f t="shared" si="41"/>
        <v/>
      </c>
      <c r="BY44" s="127" t="str">
        <f t="shared" si="41"/>
        <v/>
      </c>
      <c r="BZ44" s="127" t="str">
        <f t="shared" si="41"/>
        <v/>
      </c>
      <c r="CA44" s="127" t="str">
        <f t="shared" si="41"/>
        <v/>
      </c>
      <c r="CB44" s="127" t="str">
        <f t="shared" si="41"/>
        <v/>
      </c>
      <c r="CC44" s="127" t="str">
        <f t="shared" si="41"/>
        <v/>
      </c>
      <c r="CD44" s="127" t="str">
        <f t="shared" si="41"/>
        <v/>
      </c>
      <c r="CE44" s="127" t="str">
        <f t="shared" si="41"/>
        <v/>
      </c>
    </row>
    <row r="45" spans="1:83" ht="12.6" customHeight="1" x14ac:dyDescent="0.2">
      <c r="A45" s="106">
        <f>SHIPMENTS!A51</f>
        <v>8938</v>
      </c>
      <c r="B45" s="106" t="str">
        <f>SHIPMENTS!B51</f>
        <v>9600-NEW ZEALAND</v>
      </c>
      <c r="C45" s="132">
        <f>SHIPMENTS!F51</f>
        <v>36.496094285714285</v>
      </c>
      <c r="D45" s="107" t="str">
        <f>IF((SHIPMENTS!I51)=0,"",SHIPMENTS!I51)</f>
        <v>1X20</v>
      </c>
      <c r="E45" s="176" t="str">
        <f>IF((SHIPMENTS!G51)=0,"",SHIPMENTS!G51)</f>
        <v>TBA</v>
      </c>
      <c r="F45" s="97">
        <f>VLOOKUP(A45,Items!$A$5:$J$1000,7,0)</f>
        <v>25</v>
      </c>
      <c r="G45" s="98">
        <f>VLOOKUP(A45,load!$A$4:$U$5001,8,0)</f>
        <v>4.4987763333333337</v>
      </c>
      <c r="H45" s="97">
        <f>Manhours!$C$24</f>
        <v>5</v>
      </c>
      <c r="I45" s="98">
        <f t="shared" si="31"/>
        <v>45.5</v>
      </c>
      <c r="J45" s="99">
        <f t="shared" si="32"/>
        <v>9.8874205128205134E-2</v>
      </c>
      <c r="K45" s="99">
        <f t="shared" si="33"/>
        <v>0.89975526666666672</v>
      </c>
      <c r="L45" s="98">
        <f t="shared" si="34"/>
        <v>9.8874205128205134E-2</v>
      </c>
      <c r="M45" s="98">
        <f t="shared" si="35"/>
        <v>0.89975526666666672</v>
      </c>
      <c r="N45" s="181">
        <f>'WWP1-PPS'!N45+1</f>
        <v>46337.374979006396</v>
      </c>
      <c r="O45" s="181">
        <f t="shared" si="36"/>
        <v>46337.473853211523</v>
      </c>
      <c r="P45" s="101">
        <f>VLOOKUP(A45,SHIPMENTS!$A$7:$N$171,12,0)</f>
        <v>0</v>
      </c>
      <c r="Q45" s="101"/>
      <c r="R45" s="127" t="str">
        <f t="shared" si="30"/>
        <v/>
      </c>
      <c r="S45" s="127" t="str">
        <f t="shared" si="30"/>
        <v/>
      </c>
      <c r="T45" s="127" t="str">
        <f t="shared" si="30"/>
        <v/>
      </c>
      <c r="U45" s="127" t="str">
        <f t="shared" si="30"/>
        <v/>
      </c>
      <c r="V45" s="127" t="str">
        <f t="shared" si="30"/>
        <v/>
      </c>
      <c r="W45" s="127" t="str">
        <f t="shared" si="30"/>
        <v/>
      </c>
      <c r="X45" s="127" t="str">
        <f t="shared" si="30"/>
        <v/>
      </c>
      <c r="Y45" s="127" t="str">
        <f t="shared" si="30"/>
        <v/>
      </c>
      <c r="Z45" s="127" t="str">
        <f t="shared" si="30"/>
        <v/>
      </c>
      <c r="AA45" s="127" t="str">
        <f t="shared" si="30"/>
        <v/>
      </c>
      <c r="AB45" s="127" t="str">
        <f t="shared" si="30"/>
        <v/>
      </c>
      <c r="AC45" s="127" t="str">
        <f t="shared" si="30"/>
        <v/>
      </c>
      <c r="AD45" s="127" t="str">
        <f t="shared" si="30"/>
        <v/>
      </c>
      <c r="AE45" s="127" t="str">
        <f t="shared" si="30"/>
        <v/>
      </c>
      <c r="AF45" s="127" t="str">
        <f t="shared" si="30"/>
        <v/>
      </c>
      <c r="AG45" s="127" t="str">
        <f t="shared" ref="AG45:AG53" si="42">IF($E45=AG$3,"▲","")</f>
        <v/>
      </c>
      <c r="AH45" s="127" t="str">
        <f t="shared" si="40"/>
        <v/>
      </c>
      <c r="AI45" s="127" t="str">
        <f t="shared" si="40"/>
        <v/>
      </c>
      <c r="AJ45" s="127" t="str">
        <f t="shared" si="40"/>
        <v/>
      </c>
      <c r="AK45" s="127" t="str">
        <f t="shared" si="40"/>
        <v/>
      </c>
      <c r="AL45" s="127" t="str">
        <f t="shared" si="40"/>
        <v/>
      </c>
      <c r="AM45" s="127" t="str">
        <f t="shared" si="40"/>
        <v/>
      </c>
      <c r="AN45" s="127" t="str">
        <f t="shared" si="40"/>
        <v/>
      </c>
      <c r="AO45" s="127" t="str">
        <f t="shared" si="40"/>
        <v/>
      </c>
      <c r="AP45" s="127" t="str">
        <f t="shared" si="40"/>
        <v/>
      </c>
      <c r="AQ45" s="127" t="str">
        <f t="shared" si="40"/>
        <v/>
      </c>
      <c r="AR45" s="127" t="str">
        <f t="shared" si="40"/>
        <v/>
      </c>
      <c r="AS45" s="127" t="str">
        <f t="shared" si="40"/>
        <v/>
      </c>
      <c r="AT45" s="127" t="str">
        <f t="shared" si="40"/>
        <v/>
      </c>
      <c r="AU45" s="127" t="str">
        <f t="shared" si="40"/>
        <v/>
      </c>
      <c r="AV45" s="127" t="str">
        <f t="shared" si="40"/>
        <v/>
      </c>
      <c r="AW45" s="127" t="str">
        <f t="shared" si="40"/>
        <v/>
      </c>
      <c r="AX45" s="127" t="str">
        <f t="shared" si="38"/>
        <v/>
      </c>
      <c r="AY45" s="127" t="str">
        <f t="shared" si="38"/>
        <v/>
      </c>
      <c r="AZ45" s="127" t="str">
        <f t="shared" si="38"/>
        <v/>
      </c>
      <c r="BA45" s="127" t="str">
        <f t="shared" si="38"/>
        <v/>
      </c>
      <c r="BB45" s="127" t="str">
        <f t="shared" si="38"/>
        <v/>
      </c>
      <c r="BC45" s="127" t="str">
        <f t="shared" si="39"/>
        <v/>
      </c>
      <c r="BD45" s="127" t="str">
        <f t="shared" si="39"/>
        <v/>
      </c>
      <c r="BE45" s="127" t="str">
        <f t="shared" si="39"/>
        <v/>
      </c>
      <c r="BF45" s="127" t="str">
        <f t="shared" si="39"/>
        <v/>
      </c>
      <c r="BG45" s="127" t="str">
        <f t="shared" si="37"/>
        <v/>
      </c>
      <c r="BH45" s="127" t="str">
        <f t="shared" si="37"/>
        <v/>
      </c>
      <c r="BI45" s="127" t="str">
        <f t="shared" si="37"/>
        <v/>
      </c>
      <c r="BJ45" s="127" t="str">
        <f t="shared" si="37"/>
        <v/>
      </c>
      <c r="BK45" s="127" t="str">
        <f t="shared" si="37"/>
        <v/>
      </c>
      <c r="BL45" s="127" t="str">
        <f t="shared" si="37"/>
        <v/>
      </c>
      <c r="BM45" s="127" t="str">
        <f t="shared" si="37"/>
        <v/>
      </c>
      <c r="BN45" s="127" t="str">
        <f t="shared" si="37"/>
        <v/>
      </c>
      <c r="BO45" s="127" t="str">
        <f t="shared" si="37"/>
        <v/>
      </c>
      <c r="BP45" s="127" t="str">
        <f t="shared" si="37"/>
        <v/>
      </c>
      <c r="BQ45" s="127" t="str">
        <f t="shared" si="37"/>
        <v/>
      </c>
      <c r="BR45" s="127" t="str">
        <f t="shared" si="37"/>
        <v/>
      </c>
      <c r="BS45" s="127" t="str">
        <f t="shared" si="37"/>
        <v/>
      </c>
      <c r="BT45" s="127" t="str">
        <f t="shared" si="41"/>
        <v/>
      </c>
      <c r="BU45" s="127" t="str">
        <f t="shared" si="41"/>
        <v/>
      </c>
      <c r="BV45" s="127" t="str">
        <f t="shared" si="41"/>
        <v/>
      </c>
      <c r="BW45" s="127" t="str">
        <f t="shared" si="41"/>
        <v/>
      </c>
      <c r="BX45" s="127" t="str">
        <f t="shared" si="41"/>
        <v/>
      </c>
      <c r="BY45" s="127" t="str">
        <f t="shared" si="41"/>
        <v/>
      </c>
      <c r="BZ45" s="127" t="str">
        <f t="shared" si="41"/>
        <v/>
      </c>
      <c r="CA45" s="127" t="str">
        <f t="shared" si="41"/>
        <v/>
      </c>
      <c r="CB45" s="127" t="str">
        <f t="shared" si="41"/>
        <v/>
      </c>
      <c r="CC45" s="127" t="str">
        <f t="shared" si="41"/>
        <v/>
      </c>
      <c r="CD45" s="127" t="str">
        <f t="shared" si="41"/>
        <v/>
      </c>
      <c r="CE45" s="127" t="str">
        <f t="shared" si="41"/>
        <v/>
      </c>
    </row>
    <row r="46" spans="1:83" ht="12.6" customHeight="1" x14ac:dyDescent="0.2">
      <c r="A46" s="106">
        <f>SHIPMENTS!A52</f>
        <v>9153</v>
      </c>
      <c r="B46" s="106" t="str">
        <f>SHIPMENTS!B52</f>
        <v>9600-NEW ZEALAND</v>
      </c>
      <c r="C46" s="132">
        <f>SHIPMENTS!F52</f>
        <v>0</v>
      </c>
      <c r="D46" s="107" t="str">
        <f>IF((SHIPMENTS!I52)=0,"",SHIPMENTS!I52)</f>
        <v/>
      </c>
      <c r="E46" s="176" t="str">
        <f>IF((SHIPMENTS!G52)=0,"",SHIPMENTS!G52)</f>
        <v>TBA</v>
      </c>
      <c r="F46" s="97">
        <f>VLOOKUP(A46,Items!$A$5:$J$1000,7,0)</f>
        <v>14</v>
      </c>
      <c r="G46" s="98">
        <f>VLOOKUP(A46,load!$A$4:$U$5001,8,0)</f>
        <v>1.2349430000000001</v>
      </c>
      <c r="H46" s="97">
        <f>Manhours!$C$24</f>
        <v>5</v>
      </c>
      <c r="I46" s="98">
        <f t="shared" ref="I46:I52" si="43">+H46*$I$4</f>
        <v>45.5</v>
      </c>
      <c r="J46" s="99">
        <f t="shared" ref="J46:J52" si="44">G46/I46</f>
        <v>2.71416043956044E-2</v>
      </c>
      <c r="K46" s="99">
        <f t="shared" ref="K46:K52" si="45">+J46*$I$4</f>
        <v>0.24698860000000003</v>
      </c>
      <c r="L46" s="98">
        <f t="shared" ref="L46:L52" si="46">IFERROR(J46-(J46*P46),0)</f>
        <v>2.71416043956044E-2</v>
      </c>
      <c r="M46" s="98">
        <f t="shared" ref="M46:M52" si="47">IFERROR(K46-(K46*P46),0)</f>
        <v>0.24698860000000003</v>
      </c>
      <c r="N46" s="181">
        <f>'WWP1-PPS'!N46+1</f>
        <v>46337.421196382769</v>
      </c>
      <c r="O46" s="181">
        <f t="shared" ref="O46:O52" si="48">N46+L46</f>
        <v>46337.448337987167</v>
      </c>
      <c r="P46" s="101">
        <f>VLOOKUP(A46,SHIPMENTS!$A$7:$N$171,12,0)</f>
        <v>0</v>
      </c>
      <c r="Q46" s="101"/>
      <c r="R46" s="127" t="str">
        <f t="shared" ref="R46:AF53" si="49">IF($E46=R$3,"▲","")</f>
        <v/>
      </c>
      <c r="S46" s="127" t="str">
        <f t="shared" si="49"/>
        <v/>
      </c>
      <c r="T46" s="127" t="str">
        <f t="shared" si="49"/>
        <v/>
      </c>
      <c r="U46" s="127" t="str">
        <f t="shared" si="49"/>
        <v/>
      </c>
      <c r="V46" s="127" t="str">
        <f t="shared" si="49"/>
        <v/>
      </c>
      <c r="W46" s="127" t="str">
        <f t="shared" si="49"/>
        <v/>
      </c>
      <c r="X46" s="127" t="str">
        <f t="shared" si="49"/>
        <v/>
      </c>
      <c r="Y46" s="127" t="str">
        <f t="shared" si="49"/>
        <v/>
      </c>
      <c r="Z46" s="127" t="str">
        <f t="shared" si="49"/>
        <v/>
      </c>
      <c r="AA46" s="127" t="str">
        <f t="shared" si="49"/>
        <v/>
      </c>
      <c r="AB46" s="127" t="str">
        <f t="shared" si="49"/>
        <v/>
      </c>
      <c r="AC46" s="127" t="str">
        <f t="shared" si="49"/>
        <v/>
      </c>
      <c r="AD46" s="127" t="str">
        <f t="shared" si="49"/>
        <v/>
      </c>
      <c r="AE46" s="127" t="str">
        <f t="shared" si="49"/>
        <v/>
      </c>
      <c r="AF46" s="127" t="str">
        <f t="shared" si="49"/>
        <v/>
      </c>
      <c r="AG46" s="127" t="str">
        <f t="shared" si="42"/>
        <v/>
      </c>
      <c r="AH46" s="127" t="str">
        <f t="shared" si="40"/>
        <v/>
      </c>
      <c r="AI46" s="127" t="str">
        <f t="shared" si="40"/>
        <v/>
      </c>
      <c r="AJ46" s="127" t="str">
        <f t="shared" si="40"/>
        <v/>
      </c>
      <c r="AK46" s="127" t="str">
        <f t="shared" si="40"/>
        <v/>
      </c>
      <c r="AL46" s="127" t="str">
        <f t="shared" si="40"/>
        <v/>
      </c>
      <c r="AM46" s="127" t="str">
        <f t="shared" si="40"/>
        <v/>
      </c>
      <c r="AN46" s="127" t="str">
        <f t="shared" si="40"/>
        <v/>
      </c>
      <c r="AO46" s="127" t="str">
        <f t="shared" si="40"/>
        <v/>
      </c>
      <c r="AP46" s="127" t="str">
        <f t="shared" si="40"/>
        <v/>
      </c>
      <c r="AQ46" s="127" t="str">
        <f t="shared" si="40"/>
        <v/>
      </c>
      <c r="AR46" s="127" t="str">
        <f t="shared" si="40"/>
        <v/>
      </c>
      <c r="AS46" s="127" t="str">
        <f t="shared" si="40"/>
        <v/>
      </c>
      <c r="AT46" s="127" t="str">
        <f t="shared" si="40"/>
        <v/>
      </c>
      <c r="AU46" s="127" t="str">
        <f t="shared" si="40"/>
        <v/>
      </c>
      <c r="AV46" s="127" t="str">
        <f t="shared" si="40"/>
        <v/>
      </c>
      <c r="AW46" s="127" t="str">
        <f t="shared" si="40"/>
        <v/>
      </c>
      <c r="AX46" s="127" t="str">
        <f t="shared" si="38"/>
        <v/>
      </c>
      <c r="AY46" s="127" t="str">
        <f t="shared" si="38"/>
        <v/>
      </c>
      <c r="AZ46" s="127" t="str">
        <f t="shared" si="38"/>
        <v/>
      </c>
      <c r="BA46" s="127" t="str">
        <f t="shared" si="38"/>
        <v/>
      </c>
      <c r="BB46" s="127" t="str">
        <f t="shared" si="38"/>
        <v/>
      </c>
      <c r="BC46" s="127" t="str">
        <f t="shared" si="39"/>
        <v/>
      </c>
      <c r="BD46" s="127" t="str">
        <f t="shared" si="39"/>
        <v/>
      </c>
      <c r="BE46" s="127" t="str">
        <f t="shared" si="39"/>
        <v/>
      </c>
      <c r="BF46" s="127" t="str">
        <f t="shared" si="39"/>
        <v/>
      </c>
      <c r="BG46" s="127" t="str">
        <f t="shared" si="37"/>
        <v/>
      </c>
      <c r="BH46" s="127" t="str">
        <f t="shared" si="37"/>
        <v/>
      </c>
      <c r="BI46" s="127" t="str">
        <f t="shared" si="37"/>
        <v/>
      </c>
      <c r="BJ46" s="127" t="str">
        <f t="shared" si="37"/>
        <v/>
      </c>
      <c r="BK46" s="127" t="str">
        <f t="shared" si="37"/>
        <v/>
      </c>
      <c r="BL46" s="127" t="str">
        <f t="shared" si="37"/>
        <v/>
      </c>
      <c r="BM46" s="127" t="str">
        <f t="shared" si="37"/>
        <v/>
      </c>
      <c r="BN46" s="127" t="str">
        <f t="shared" si="37"/>
        <v/>
      </c>
      <c r="BO46" s="127" t="str">
        <f t="shared" si="37"/>
        <v/>
      </c>
      <c r="BP46" s="127" t="str">
        <f t="shared" si="37"/>
        <v/>
      </c>
      <c r="BQ46" s="127" t="str">
        <f t="shared" si="37"/>
        <v/>
      </c>
      <c r="BR46" s="127" t="str">
        <f t="shared" si="37"/>
        <v/>
      </c>
      <c r="BS46" s="127" t="str">
        <f t="shared" si="37"/>
        <v/>
      </c>
      <c r="BT46" s="127" t="str">
        <f t="shared" si="41"/>
        <v/>
      </c>
      <c r="BU46" s="127" t="str">
        <f t="shared" si="41"/>
        <v/>
      </c>
      <c r="BV46" s="127" t="str">
        <f t="shared" si="41"/>
        <v/>
      </c>
      <c r="BW46" s="127" t="str">
        <f t="shared" si="41"/>
        <v/>
      </c>
      <c r="BX46" s="127" t="str">
        <f t="shared" si="41"/>
        <v/>
      </c>
      <c r="BY46" s="127" t="str">
        <f t="shared" si="41"/>
        <v/>
      </c>
      <c r="BZ46" s="127" t="str">
        <f t="shared" si="41"/>
        <v/>
      </c>
      <c r="CA46" s="127" t="str">
        <f t="shared" si="41"/>
        <v/>
      </c>
      <c r="CB46" s="127" t="str">
        <f t="shared" si="41"/>
        <v/>
      </c>
      <c r="CC46" s="127" t="str">
        <f t="shared" si="41"/>
        <v/>
      </c>
      <c r="CD46" s="127" t="str">
        <f t="shared" si="41"/>
        <v/>
      </c>
      <c r="CE46" s="127" t="str">
        <f t="shared" si="41"/>
        <v/>
      </c>
    </row>
    <row r="47" spans="1:83" ht="12.6" hidden="1" customHeight="1" x14ac:dyDescent="0.2">
      <c r="A47" s="106">
        <f>SHIPMENTS!A53</f>
        <v>8294</v>
      </c>
      <c r="B47" s="106" t="str">
        <f>SHIPMENTS!B53</f>
        <v>9600-NEW ZEALAND BACKLOG</v>
      </c>
      <c r="C47" s="132">
        <f>SHIPMENTS!F53</f>
        <v>0</v>
      </c>
      <c r="D47" s="107" t="str">
        <f>IF((SHIPMENTS!I53)=0,"",SHIPMENTS!I53)</f>
        <v/>
      </c>
      <c r="E47" s="176" t="str">
        <f>IF((SHIPMENTS!G53)=0,"",SHIPMENTS!G53)</f>
        <v>TBA</v>
      </c>
      <c r="F47" s="97">
        <f>VLOOKUP(A47,Items!$A$5:$J$1000,7,0)</f>
        <v>0</v>
      </c>
      <c r="G47" s="98">
        <f>VLOOKUP(A47,load!$A$4:$U$5001,8,0)</f>
        <v>0</v>
      </c>
      <c r="H47" s="97">
        <f>Manhours!$C$24</f>
        <v>5</v>
      </c>
      <c r="I47" s="98">
        <f t="shared" si="43"/>
        <v>45.5</v>
      </c>
      <c r="J47" s="99">
        <f t="shared" si="44"/>
        <v>0</v>
      </c>
      <c r="K47" s="99">
        <f t="shared" si="45"/>
        <v>0</v>
      </c>
      <c r="L47" s="98">
        <f t="shared" si="46"/>
        <v>0</v>
      </c>
      <c r="M47" s="98">
        <f t="shared" si="47"/>
        <v>0</v>
      </c>
      <c r="N47" s="181">
        <f>'WWP1-PPS'!N47+1</f>
        <v>46337.443956227093</v>
      </c>
      <c r="O47" s="181">
        <f t="shared" si="48"/>
        <v>46337.443956227093</v>
      </c>
      <c r="P47" s="101" t="str">
        <f>VLOOKUP(A47,SHIPMENTS!$A$7:$N$171,12,0)</f>
        <v>n/a</v>
      </c>
      <c r="Q47" s="101"/>
      <c r="R47" s="127" t="str">
        <f t="shared" si="49"/>
        <v/>
      </c>
      <c r="S47" s="127" t="str">
        <f t="shared" si="49"/>
        <v/>
      </c>
      <c r="T47" s="127" t="str">
        <f t="shared" si="49"/>
        <v/>
      </c>
      <c r="U47" s="127" t="str">
        <f t="shared" si="49"/>
        <v/>
      </c>
      <c r="V47" s="127" t="str">
        <f t="shared" si="49"/>
        <v/>
      </c>
      <c r="W47" s="127" t="str">
        <f t="shared" si="49"/>
        <v/>
      </c>
      <c r="X47" s="127" t="str">
        <f t="shared" si="49"/>
        <v/>
      </c>
      <c r="Y47" s="127" t="str">
        <f t="shared" si="49"/>
        <v/>
      </c>
      <c r="Z47" s="127" t="str">
        <f t="shared" si="49"/>
        <v/>
      </c>
      <c r="AA47" s="127" t="str">
        <f t="shared" si="49"/>
        <v/>
      </c>
      <c r="AB47" s="127" t="str">
        <f t="shared" si="49"/>
        <v/>
      </c>
      <c r="AC47" s="127" t="str">
        <f t="shared" si="49"/>
        <v/>
      </c>
      <c r="AD47" s="127" t="str">
        <f t="shared" si="49"/>
        <v/>
      </c>
      <c r="AE47" s="127" t="str">
        <f t="shared" si="49"/>
        <v/>
      </c>
      <c r="AF47" s="127" t="str">
        <f t="shared" si="49"/>
        <v/>
      </c>
      <c r="AG47" s="127" t="str">
        <f t="shared" si="42"/>
        <v/>
      </c>
      <c r="AH47" s="127" t="str">
        <f t="shared" si="40"/>
        <v/>
      </c>
      <c r="AI47" s="127" t="str">
        <f t="shared" si="40"/>
        <v/>
      </c>
      <c r="AJ47" s="127" t="str">
        <f t="shared" si="40"/>
        <v/>
      </c>
      <c r="AK47" s="127" t="str">
        <f t="shared" si="40"/>
        <v/>
      </c>
      <c r="AL47" s="127" t="str">
        <f t="shared" si="40"/>
        <v/>
      </c>
      <c r="AM47" s="127" t="str">
        <f t="shared" si="40"/>
        <v/>
      </c>
      <c r="AN47" s="127" t="str">
        <f t="shared" si="40"/>
        <v/>
      </c>
      <c r="AO47" s="127" t="str">
        <f t="shared" si="40"/>
        <v/>
      </c>
      <c r="AP47" s="127" t="str">
        <f t="shared" si="40"/>
        <v/>
      </c>
      <c r="AQ47" s="127" t="str">
        <f t="shared" si="40"/>
        <v/>
      </c>
      <c r="AR47" s="127" t="str">
        <f t="shared" si="40"/>
        <v/>
      </c>
      <c r="AS47" s="127" t="str">
        <f t="shared" si="40"/>
        <v/>
      </c>
      <c r="AT47" s="127" t="str">
        <f t="shared" si="40"/>
        <v/>
      </c>
      <c r="AU47" s="127" t="str">
        <f t="shared" si="40"/>
        <v/>
      </c>
      <c r="AV47" s="127" t="str">
        <f t="shared" si="40"/>
        <v/>
      </c>
      <c r="AW47" s="127" t="str">
        <f t="shared" si="40"/>
        <v/>
      </c>
      <c r="AX47" s="127" t="str">
        <f t="shared" si="38"/>
        <v/>
      </c>
      <c r="AY47" s="127" t="str">
        <f t="shared" si="38"/>
        <v/>
      </c>
      <c r="AZ47" s="127" t="str">
        <f t="shared" si="38"/>
        <v/>
      </c>
      <c r="BA47" s="127" t="str">
        <f t="shared" si="38"/>
        <v/>
      </c>
      <c r="BB47" s="127" t="str">
        <f t="shared" si="38"/>
        <v/>
      </c>
      <c r="BC47" s="127" t="str">
        <f t="shared" si="39"/>
        <v/>
      </c>
      <c r="BD47" s="127" t="str">
        <f t="shared" si="39"/>
        <v/>
      </c>
      <c r="BE47" s="127" t="str">
        <f t="shared" si="39"/>
        <v/>
      </c>
      <c r="BF47" s="127" t="str">
        <f t="shared" si="39"/>
        <v/>
      </c>
      <c r="BG47" s="127" t="str">
        <f t="shared" si="37"/>
        <v/>
      </c>
      <c r="BH47" s="127" t="str">
        <f t="shared" si="37"/>
        <v/>
      </c>
      <c r="BI47" s="127" t="str">
        <f t="shared" si="37"/>
        <v/>
      </c>
      <c r="BJ47" s="127" t="str">
        <f t="shared" si="37"/>
        <v/>
      </c>
      <c r="BK47" s="127" t="str">
        <f t="shared" si="37"/>
        <v/>
      </c>
      <c r="BL47" s="127" t="str">
        <f t="shared" si="37"/>
        <v/>
      </c>
      <c r="BM47" s="127" t="str">
        <f t="shared" si="37"/>
        <v/>
      </c>
      <c r="BN47" s="127" t="str">
        <f t="shared" si="37"/>
        <v/>
      </c>
      <c r="BO47" s="127" t="str">
        <f t="shared" si="37"/>
        <v/>
      </c>
      <c r="BP47" s="127" t="str">
        <f t="shared" si="37"/>
        <v/>
      </c>
      <c r="BQ47" s="127" t="str">
        <f t="shared" si="37"/>
        <v/>
      </c>
      <c r="BR47" s="127" t="str">
        <f t="shared" si="37"/>
        <v/>
      </c>
      <c r="BS47" s="127" t="str">
        <f t="shared" si="37"/>
        <v/>
      </c>
      <c r="BT47" s="127" t="str">
        <f t="shared" si="41"/>
        <v/>
      </c>
      <c r="BU47" s="127" t="str">
        <f t="shared" si="41"/>
        <v/>
      </c>
      <c r="BV47" s="127" t="str">
        <f t="shared" si="41"/>
        <v/>
      </c>
      <c r="BW47" s="127" t="str">
        <f t="shared" si="41"/>
        <v/>
      </c>
      <c r="BX47" s="127" t="str">
        <f t="shared" si="41"/>
        <v/>
      </c>
      <c r="BY47" s="127" t="str">
        <f t="shared" si="41"/>
        <v/>
      </c>
      <c r="BZ47" s="127" t="str">
        <f t="shared" si="41"/>
        <v/>
      </c>
      <c r="CA47" s="127" t="str">
        <f t="shared" si="41"/>
        <v/>
      </c>
      <c r="CB47" s="127" t="str">
        <f t="shared" si="41"/>
        <v/>
      </c>
      <c r="CC47" s="127" t="str">
        <f t="shared" si="41"/>
        <v/>
      </c>
      <c r="CD47" s="127" t="str">
        <f t="shared" si="41"/>
        <v/>
      </c>
      <c r="CE47" s="127" t="str">
        <f t="shared" si="41"/>
        <v/>
      </c>
    </row>
    <row r="48" spans="1:83" ht="12.6" hidden="1" customHeight="1" x14ac:dyDescent="0.2">
      <c r="A48" s="106">
        <f>SHIPMENTS!A54</f>
        <v>7114</v>
      </c>
      <c r="B48" s="106" t="str">
        <f>SHIPMENTS!B54</f>
        <v>9600-NEW ZEALAND BACKLOG</v>
      </c>
      <c r="C48" s="132">
        <f>SHIPMENTS!F54</f>
        <v>0</v>
      </c>
      <c r="D48" s="107" t="str">
        <f>IF((SHIPMENTS!I54)=0,"",SHIPMENTS!I54)</f>
        <v/>
      </c>
      <c r="E48" s="176" t="str">
        <f>IF((SHIPMENTS!G54)=0,"",SHIPMENTS!G54)</f>
        <v/>
      </c>
      <c r="F48" s="97">
        <f>VLOOKUP(A48,Items!$A$5:$J$1000,7,0)</f>
        <v>0</v>
      </c>
      <c r="G48" s="98">
        <f>VLOOKUP(A48,load!$A$4:$U$5001,8,0)</f>
        <v>0</v>
      </c>
      <c r="H48" s="97">
        <f>Manhours!$C$24</f>
        <v>5</v>
      </c>
      <c r="I48" s="98">
        <f t="shared" si="43"/>
        <v>45.5</v>
      </c>
      <c r="J48" s="99">
        <f t="shared" si="44"/>
        <v>0</v>
      </c>
      <c r="K48" s="99">
        <f t="shared" si="45"/>
        <v>0</v>
      </c>
      <c r="L48" s="98">
        <f t="shared" si="46"/>
        <v>0</v>
      </c>
      <c r="M48" s="98">
        <f t="shared" si="47"/>
        <v>0</v>
      </c>
      <c r="N48" s="181">
        <f>'WWP1-PPS'!N48+1</f>
        <v>46337.443956227093</v>
      </c>
      <c r="O48" s="181">
        <f t="shared" si="48"/>
        <v>46337.443956227093</v>
      </c>
      <c r="P48" s="101" t="str">
        <f>VLOOKUP(A48,SHIPMENTS!$A$7:$N$171,12,0)</f>
        <v>n/a</v>
      </c>
      <c r="Q48" s="101"/>
      <c r="R48" s="127" t="str">
        <f t="shared" si="49"/>
        <v/>
      </c>
      <c r="S48" s="127" t="str">
        <f t="shared" si="49"/>
        <v/>
      </c>
      <c r="T48" s="127" t="str">
        <f t="shared" si="49"/>
        <v/>
      </c>
      <c r="U48" s="127" t="str">
        <f t="shared" si="49"/>
        <v/>
      </c>
      <c r="V48" s="127" t="str">
        <f t="shared" si="49"/>
        <v/>
      </c>
      <c r="W48" s="127" t="str">
        <f t="shared" si="49"/>
        <v/>
      </c>
      <c r="X48" s="127" t="str">
        <f t="shared" si="49"/>
        <v/>
      </c>
      <c r="Y48" s="127" t="str">
        <f t="shared" si="49"/>
        <v/>
      </c>
      <c r="Z48" s="127" t="str">
        <f t="shared" si="49"/>
        <v/>
      </c>
      <c r="AA48" s="127" t="str">
        <f t="shared" si="49"/>
        <v/>
      </c>
      <c r="AB48" s="127" t="str">
        <f t="shared" si="49"/>
        <v/>
      </c>
      <c r="AC48" s="127" t="str">
        <f t="shared" si="49"/>
        <v/>
      </c>
      <c r="AD48" s="127" t="str">
        <f t="shared" si="49"/>
        <v/>
      </c>
      <c r="AE48" s="127" t="str">
        <f t="shared" si="49"/>
        <v/>
      </c>
      <c r="AF48" s="127" t="str">
        <f t="shared" si="49"/>
        <v/>
      </c>
      <c r="AG48" s="127" t="str">
        <f t="shared" si="42"/>
        <v/>
      </c>
      <c r="AH48" s="127" t="str">
        <f t="shared" si="40"/>
        <v/>
      </c>
      <c r="AI48" s="127" t="str">
        <f t="shared" si="40"/>
        <v/>
      </c>
      <c r="AJ48" s="127" t="str">
        <f t="shared" si="40"/>
        <v/>
      </c>
      <c r="AK48" s="127" t="str">
        <f t="shared" si="40"/>
        <v/>
      </c>
      <c r="AL48" s="127" t="str">
        <f t="shared" si="40"/>
        <v/>
      </c>
      <c r="AM48" s="127" t="str">
        <f t="shared" si="40"/>
        <v/>
      </c>
      <c r="AN48" s="127" t="str">
        <f t="shared" si="40"/>
        <v/>
      </c>
      <c r="AO48" s="127" t="str">
        <f t="shared" si="40"/>
        <v/>
      </c>
      <c r="AP48" s="127" t="str">
        <f t="shared" si="40"/>
        <v/>
      </c>
      <c r="AQ48" s="127" t="str">
        <f t="shared" si="40"/>
        <v/>
      </c>
      <c r="AR48" s="127" t="str">
        <f t="shared" si="40"/>
        <v/>
      </c>
      <c r="AS48" s="127" t="str">
        <f t="shared" si="40"/>
        <v/>
      </c>
      <c r="AT48" s="127" t="str">
        <f t="shared" si="40"/>
        <v/>
      </c>
      <c r="AU48" s="127" t="str">
        <f t="shared" si="40"/>
        <v/>
      </c>
      <c r="AV48" s="127" t="str">
        <f t="shared" si="40"/>
        <v/>
      </c>
      <c r="AW48" s="127" t="str">
        <f t="shared" si="40"/>
        <v/>
      </c>
      <c r="AX48" s="127" t="str">
        <f t="shared" si="38"/>
        <v/>
      </c>
      <c r="AY48" s="127" t="str">
        <f t="shared" si="38"/>
        <v/>
      </c>
      <c r="AZ48" s="127" t="str">
        <f t="shared" si="38"/>
        <v/>
      </c>
      <c r="BA48" s="127" t="str">
        <f t="shared" si="38"/>
        <v/>
      </c>
      <c r="BB48" s="127" t="str">
        <f t="shared" si="38"/>
        <v/>
      </c>
      <c r="BC48" s="127" t="str">
        <f t="shared" si="39"/>
        <v/>
      </c>
      <c r="BD48" s="127" t="str">
        <f t="shared" si="39"/>
        <v/>
      </c>
      <c r="BE48" s="127" t="str">
        <f t="shared" si="39"/>
        <v/>
      </c>
      <c r="BF48" s="127" t="str">
        <f t="shared" si="39"/>
        <v/>
      </c>
      <c r="BG48" s="127" t="str">
        <f t="shared" si="37"/>
        <v/>
      </c>
      <c r="BH48" s="127" t="str">
        <f t="shared" si="37"/>
        <v/>
      </c>
      <c r="BI48" s="127" t="str">
        <f t="shared" si="37"/>
        <v/>
      </c>
      <c r="BJ48" s="127" t="str">
        <f t="shared" si="37"/>
        <v/>
      </c>
      <c r="BK48" s="127" t="str">
        <f t="shared" si="37"/>
        <v/>
      </c>
      <c r="BL48" s="127" t="str">
        <f t="shared" si="37"/>
        <v/>
      </c>
      <c r="BM48" s="127" t="str">
        <f t="shared" si="37"/>
        <v/>
      </c>
      <c r="BN48" s="127" t="str">
        <f t="shared" si="37"/>
        <v/>
      </c>
      <c r="BO48" s="127" t="str">
        <f t="shared" si="37"/>
        <v/>
      </c>
      <c r="BP48" s="127" t="str">
        <f t="shared" si="37"/>
        <v/>
      </c>
      <c r="BQ48" s="127" t="str">
        <f t="shared" si="37"/>
        <v/>
      </c>
      <c r="BR48" s="127" t="str">
        <f t="shared" si="37"/>
        <v/>
      </c>
      <c r="BS48" s="127" t="str">
        <f t="shared" si="37"/>
        <v/>
      </c>
      <c r="BT48" s="127" t="str">
        <f t="shared" si="41"/>
        <v/>
      </c>
      <c r="BU48" s="127" t="str">
        <f t="shared" si="41"/>
        <v/>
      </c>
      <c r="BV48" s="127" t="str">
        <f t="shared" si="41"/>
        <v/>
      </c>
      <c r="BW48" s="127" t="str">
        <f t="shared" si="41"/>
        <v/>
      </c>
      <c r="BX48" s="127" t="str">
        <f t="shared" si="41"/>
        <v/>
      </c>
      <c r="BY48" s="127" t="str">
        <f t="shared" si="41"/>
        <v/>
      </c>
      <c r="BZ48" s="127" t="str">
        <f t="shared" si="41"/>
        <v/>
      </c>
      <c r="CA48" s="127" t="str">
        <f t="shared" si="41"/>
        <v/>
      </c>
      <c r="CB48" s="127" t="str">
        <f t="shared" si="41"/>
        <v/>
      </c>
      <c r="CC48" s="127" t="str">
        <f t="shared" si="41"/>
        <v/>
      </c>
      <c r="CD48" s="127" t="str">
        <f t="shared" si="41"/>
        <v/>
      </c>
      <c r="CE48" s="127" t="str">
        <f t="shared" si="41"/>
        <v/>
      </c>
    </row>
    <row r="49" spans="1:83" ht="12.6" hidden="1" customHeight="1" x14ac:dyDescent="0.2">
      <c r="A49" s="106">
        <f>SHIPMENTS!A55</f>
        <v>6967</v>
      </c>
      <c r="B49" s="106" t="str">
        <f>SHIPMENTS!B55</f>
        <v>9600-NEW ZEALAND BACKLOG</v>
      </c>
      <c r="C49" s="132">
        <f>SHIPMENTS!F55</f>
        <v>0</v>
      </c>
      <c r="D49" s="107" t="str">
        <f>IF((SHIPMENTS!I55)=0,"",SHIPMENTS!I55)</f>
        <v/>
      </c>
      <c r="E49" s="176" t="str">
        <f>IF((SHIPMENTS!G55)=0,"",SHIPMENTS!G55)</f>
        <v/>
      </c>
      <c r="F49" s="97">
        <f>VLOOKUP(A49,Items!$A$5:$J$1000,7,0)</f>
        <v>0</v>
      </c>
      <c r="G49" s="98">
        <f>VLOOKUP(A49,load!$A$4:$U$5001,8,0)</f>
        <v>0</v>
      </c>
      <c r="H49" s="97">
        <f>Manhours!$C$24</f>
        <v>5</v>
      </c>
      <c r="I49" s="98">
        <f t="shared" si="43"/>
        <v>45.5</v>
      </c>
      <c r="J49" s="99">
        <f t="shared" si="44"/>
        <v>0</v>
      </c>
      <c r="K49" s="99">
        <f t="shared" si="45"/>
        <v>0</v>
      </c>
      <c r="L49" s="98">
        <f t="shared" si="46"/>
        <v>0</v>
      </c>
      <c r="M49" s="98">
        <f t="shared" si="47"/>
        <v>0</v>
      </c>
      <c r="N49" s="181">
        <f>'WWP1-PPS'!N49+1</f>
        <v>46337.443956227093</v>
      </c>
      <c r="O49" s="181">
        <f t="shared" si="48"/>
        <v>46337.443956227093</v>
      </c>
      <c r="P49" s="101" t="str">
        <f>VLOOKUP(A49,SHIPMENTS!$A$7:$N$171,12,0)</f>
        <v>n/a</v>
      </c>
      <c r="Q49" s="101"/>
      <c r="R49" s="127" t="str">
        <f t="shared" si="49"/>
        <v/>
      </c>
      <c r="S49" s="127" t="str">
        <f t="shared" si="49"/>
        <v/>
      </c>
      <c r="T49" s="127" t="str">
        <f t="shared" si="49"/>
        <v/>
      </c>
      <c r="U49" s="127" t="str">
        <f t="shared" si="49"/>
        <v/>
      </c>
      <c r="V49" s="127" t="str">
        <f t="shared" si="49"/>
        <v/>
      </c>
      <c r="W49" s="127" t="str">
        <f t="shared" si="49"/>
        <v/>
      </c>
      <c r="X49" s="127" t="str">
        <f t="shared" si="49"/>
        <v/>
      </c>
      <c r="Y49" s="127" t="str">
        <f t="shared" si="49"/>
        <v/>
      </c>
      <c r="Z49" s="127" t="str">
        <f t="shared" si="49"/>
        <v/>
      </c>
      <c r="AA49" s="127" t="str">
        <f t="shared" si="49"/>
        <v/>
      </c>
      <c r="AB49" s="127" t="str">
        <f t="shared" si="49"/>
        <v/>
      </c>
      <c r="AC49" s="127" t="str">
        <f t="shared" si="49"/>
        <v/>
      </c>
      <c r="AD49" s="127" t="str">
        <f t="shared" si="49"/>
        <v/>
      </c>
      <c r="AE49" s="127" t="str">
        <f t="shared" si="49"/>
        <v/>
      </c>
      <c r="AF49" s="127" t="str">
        <f t="shared" si="49"/>
        <v/>
      </c>
      <c r="AG49" s="127" t="str">
        <f t="shared" si="42"/>
        <v/>
      </c>
      <c r="AH49" s="127" t="str">
        <f t="shared" si="40"/>
        <v/>
      </c>
      <c r="AI49" s="127" t="str">
        <f t="shared" si="40"/>
        <v/>
      </c>
      <c r="AJ49" s="127" t="str">
        <f t="shared" si="40"/>
        <v/>
      </c>
      <c r="AK49" s="127" t="str">
        <f t="shared" si="40"/>
        <v/>
      </c>
      <c r="AL49" s="127" t="str">
        <f t="shared" si="40"/>
        <v/>
      </c>
      <c r="AM49" s="127" t="str">
        <f t="shared" si="40"/>
        <v/>
      </c>
      <c r="AN49" s="127" t="str">
        <f t="shared" si="40"/>
        <v/>
      </c>
      <c r="AO49" s="127" t="str">
        <f t="shared" si="40"/>
        <v/>
      </c>
      <c r="AP49" s="127" t="str">
        <f t="shared" si="40"/>
        <v/>
      </c>
      <c r="AQ49" s="127" t="str">
        <f t="shared" si="40"/>
        <v/>
      </c>
      <c r="AR49" s="127" t="str">
        <f t="shared" si="40"/>
        <v/>
      </c>
      <c r="AS49" s="127" t="str">
        <f t="shared" si="40"/>
        <v/>
      </c>
      <c r="AT49" s="127" t="str">
        <f t="shared" si="40"/>
        <v/>
      </c>
      <c r="AU49" s="127" t="str">
        <f t="shared" si="40"/>
        <v/>
      </c>
      <c r="AV49" s="127" t="str">
        <f t="shared" si="40"/>
        <v/>
      </c>
      <c r="AW49" s="127" t="str">
        <f t="shared" si="40"/>
        <v/>
      </c>
      <c r="AX49" s="127" t="str">
        <f t="shared" si="38"/>
        <v/>
      </c>
      <c r="AY49" s="127" t="str">
        <f t="shared" si="38"/>
        <v/>
      </c>
      <c r="AZ49" s="127" t="str">
        <f t="shared" si="38"/>
        <v/>
      </c>
      <c r="BA49" s="127" t="str">
        <f t="shared" si="38"/>
        <v/>
      </c>
      <c r="BB49" s="127" t="str">
        <f t="shared" si="38"/>
        <v/>
      </c>
      <c r="BC49" s="127" t="str">
        <f t="shared" si="39"/>
        <v/>
      </c>
      <c r="BD49" s="127" t="str">
        <f t="shared" si="39"/>
        <v/>
      </c>
      <c r="BE49" s="127" t="str">
        <f t="shared" si="39"/>
        <v/>
      </c>
      <c r="BF49" s="127" t="str">
        <f t="shared" si="39"/>
        <v/>
      </c>
      <c r="BG49" s="127" t="str">
        <f t="shared" si="37"/>
        <v/>
      </c>
      <c r="BH49" s="127" t="str">
        <f t="shared" si="37"/>
        <v/>
      </c>
      <c r="BI49" s="127" t="str">
        <f t="shared" si="37"/>
        <v/>
      </c>
      <c r="BJ49" s="127" t="str">
        <f t="shared" si="37"/>
        <v/>
      </c>
      <c r="BK49" s="127" t="str">
        <f t="shared" si="37"/>
        <v/>
      </c>
      <c r="BL49" s="127" t="str">
        <f t="shared" si="37"/>
        <v/>
      </c>
      <c r="BM49" s="127" t="str">
        <f t="shared" si="37"/>
        <v/>
      </c>
      <c r="BN49" s="127" t="str">
        <f t="shared" si="37"/>
        <v/>
      </c>
      <c r="BO49" s="127" t="str">
        <f t="shared" si="37"/>
        <v/>
      </c>
      <c r="BP49" s="127" t="str">
        <f t="shared" si="37"/>
        <v/>
      </c>
      <c r="BQ49" s="127" t="str">
        <f t="shared" si="37"/>
        <v/>
      </c>
      <c r="BR49" s="127" t="str">
        <f t="shared" si="37"/>
        <v/>
      </c>
      <c r="BS49" s="127" t="str">
        <f t="shared" si="37"/>
        <v/>
      </c>
      <c r="BT49" s="127" t="str">
        <f t="shared" si="41"/>
        <v/>
      </c>
      <c r="BU49" s="127" t="str">
        <f t="shared" si="41"/>
        <v/>
      </c>
      <c r="BV49" s="127" t="str">
        <f t="shared" si="41"/>
        <v/>
      </c>
      <c r="BW49" s="127" t="str">
        <f t="shared" si="41"/>
        <v/>
      </c>
      <c r="BX49" s="127" t="str">
        <f t="shared" si="41"/>
        <v/>
      </c>
      <c r="BY49" s="127" t="str">
        <f t="shared" si="41"/>
        <v/>
      </c>
      <c r="BZ49" s="127" t="str">
        <f t="shared" si="41"/>
        <v/>
      </c>
      <c r="CA49" s="127" t="str">
        <f t="shared" si="41"/>
        <v/>
      </c>
      <c r="CB49" s="127" t="str">
        <f t="shared" si="41"/>
        <v/>
      </c>
      <c r="CC49" s="127" t="str">
        <f t="shared" si="41"/>
        <v/>
      </c>
      <c r="CD49" s="127" t="str">
        <f t="shared" si="41"/>
        <v/>
      </c>
      <c r="CE49" s="127" t="str">
        <f t="shared" si="41"/>
        <v/>
      </c>
    </row>
    <row r="50" spans="1:83" ht="12.6" hidden="1" customHeight="1" x14ac:dyDescent="0.2">
      <c r="A50" s="106">
        <f>SHIPMENTS!A56</f>
        <v>6646</v>
      </c>
      <c r="B50" s="106" t="str">
        <f>SHIPMENTS!B56</f>
        <v>9600-NEW ZEALAND BACKLOG</v>
      </c>
      <c r="C50" s="132">
        <f>SHIPMENTS!F56</f>
        <v>0</v>
      </c>
      <c r="D50" s="107" t="str">
        <f>IF((SHIPMENTS!I56)=0,"",SHIPMENTS!I56)</f>
        <v/>
      </c>
      <c r="E50" s="176" t="str">
        <f>IF((SHIPMENTS!G56)=0,"",SHIPMENTS!G56)</f>
        <v/>
      </c>
      <c r="F50" s="97">
        <f>VLOOKUP(A50,Items!$A$5:$J$1000,7,0)</f>
        <v>0</v>
      </c>
      <c r="G50" s="98">
        <f>VLOOKUP(A50,load!$A$4:$U$5001,8,0)</f>
        <v>0</v>
      </c>
      <c r="H50" s="97">
        <f>Manhours!$C$24</f>
        <v>5</v>
      </c>
      <c r="I50" s="98">
        <f t="shared" si="43"/>
        <v>45.5</v>
      </c>
      <c r="J50" s="99">
        <f t="shared" si="44"/>
        <v>0</v>
      </c>
      <c r="K50" s="99">
        <f t="shared" si="45"/>
        <v>0</v>
      </c>
      <c r="L50" s="98">
        <f t="shared" si="46"/>
        <v>0</v>
      </c>
      <c r="M50" s="98">
        <f t="shared" si="47"/>
        <v>0</v>
      </c>
      <c r="N50" s="181">
        <f>'WWP1-PPS'!N50+1</f>
        <v>46337.443956227093</v>
      </c>
      <c r="O50" s="181">
        <f t="shared" si="48"/>
        <v>46337.443956227093</v>
      </c>
      <c r="P50" s="101" t="str">
        <f>VLOOKUP(A50,SHIPMENTS!$A$7:$N$171,12,0)</f>
        <v>n/a</v>
      </c>
      <c r="Q50" s="101"/>
      <c r="R50" s="127" t="str">
        <f t="shared" si="49"/>
        <v/>
      </c>
      <c r="S50" s="127" t="str">
        <f t="shared" si="49"/>
        <v/>
      </c>
      <c r="T50" s="127" t="str">
        <f t="shared" si="49"/>
        <v/>
      </c>
      <c r="U50" s="127" t="str">
        <f t="shared" si="49"/>
        <v/>
      </c>
      <c r="V50" s="127" t="str">
        <f t="shared" si="49"/>
        <v/>
      </c>
      <c r="W50" s="127" t="str">
        <f t="shared" si="49"/>
        <v/>
      </c>
      <c r="X50" s="127" t="str">
        <f t="shared" si="49"/>
        <v/>
      </c>
      <c r="Y50" s="127" t="str">
        <f t="shared" si="49"/>
        <v/>
      </c>
      <c r="Z50" s="127" t="str">
        <f t="shared" si="49"/>
        <v/>
      </c>
      <c r="AA50" s="127" t="str">
        <f t="shared" si="49"/>
        <v/>
      </c>
      <c r="AB50" s="127" t="str">
        <f t="shared" si="49"/>
        <v/>
      </c>
      <c r="AC50" s="127" t="str">
        <f t="shared" si="49"/>
        <v/>
      </c>
      <c r="AD50" s="127" t="str">
        <f t="shared" si="49"/>
        <v/>
      </c>
      <c r="AE50" s="127" t="str">
        <f t="shared" si="49"/>
        <v/>
      </c>
      <c r="AF50" s="127" t="str">
        <f t="shared" si="49"/>
        <v/>
      </c>
      <c r="AG50" s="127" t="str">
        <f t="shared" si="42"/>
        <v/>
      </c>
      <c r="AH50" s="127" t="str">
        <f t="shared" si="40"/>
        <v/>
      </c>
      <c r="AI50" s="127" t="str">
        <f t="shared" si="40"/>
        <v/>
      </c>
      <c r="AJ50" s="127" t="str">
        <f t="shared" si="40"/>
        <v/>
      </c>
      <c r="AK50" s="127" t="str">
        <f t="shared" si="40"/>
        <v/>
      </c>
      <c r="AL50" s="127" t="str">
        <f t="shared" si="40"/>
        <v/>
      </c>
      <c r="AM50" s="127" t="str">
        <f t="shared" si="40"/>
        <v/>
      </c>
      <c r="AN50" s="127" t="str">
        <f t="shared" si="40"/>
        <v/>
      </c>
      <c r="AO50" s="127" t="str">
        <f t="shared" si="40"/>
        <v/>
      </c>
      <c r="AP50" s="127" t="str">
        <f t="shared" si="40"/>
        <v/>
      </c>
      <c r="AQ50" s="127" t="str">
        <f t="shared" si="40"/>
        <v/>
      </c>
      <c r="AR50" s="127" t="str">
        <f t="shared" si="40"/>
        <v/>
      </c>
      <c r="AS50" s="127" t="str">
        <f t="shared" si="40"/>
        <v/>
      </c>
      <c r="AT50" s="127" t="str">
        <f t="shared" si="40"/>
        <v/>
      </c>
      <c r="AU50" s="127" t="str">
        <f t="shared" si="40"/>
        <v/>
      </c>
      <c r="AV50" s="127" t="str">
        <f t="shared" si="40"/>
        <v/>
      </c>
      <c r="AW50" s="127" t="str">
        <f t="shared" si="40"/>
        <v/>
      </c>
      <c r="AX50" s="127" t="str">
        <f t="shared" si="38"/>
        <v/>
      </c>
      <c r="AY50" s="127" t="str">
        <f t="shared" si="38"/>
        <v/>
      </c>
      <c r="AZ50" s="127" t="str">
        <f t="shared" si="38"/>
        <v/>
      </c>
      <c r="BA50" s="127" t="str">
        <f t="shared" si="38"/>
        <v/>
      </c>
      <c r="BB50" s="127" t="str">
        <f t="shared" si="38"/>
        <v/>
      </c>
      <c r="BC50" s="127" t="str">
        <f t="shared" si="39"/>
        <v/>
      </c>
      <c r="BD50" s="127" t="str">
        <f t="shared" si="39"/>
        <v/>
      </c>
      <c r="BE50" s="127" t="str">
        <f t="shared" si="39"/>
        <v/>
      </c>
      <c r="BF50" s="127" t="str">
        <f t="shared" si="39"/>
        <v/>
      </c>
      <c r="BG50" s="127" t="str">
        <f t="shared" si="37"/>
        <v/>
      </c>
      <c r="BH50" s="127" t="str">
        <f t="shared" si="37"/>
        <v/>
      </c>
      <c r="BI50" s="127" t="str">
        <f t="shared" si="37"/>
        <v/>
      </c>
      <c r="BJ50" s="127" t="str">
        <f t="shared" si="37"/>
        <v/>
      </c>
      <c r="BK50" s="127" t="str">
        <f t="shared" si="37"/>
        <v/>
      </c>
      <c r="BL50" s="127" t="str">
        <f t="shared" si="37"/>
        <v/>
      </c>
      <c r="BM50" s="127" t="str">
        <f t="shared" si="37"/>
        <v/>
      </c>
      <c r="BN50" s="127" t="str">
        <f t="shared" si="37"/>
        <v/>
      </c>
      <c r="BO50" s="127" t="str">
        <f t="shared" si="37"/>
        <v/>
      </c>
      <c r="BP50" s="127" t="str">
        <f t="shared" si="37"/>
        <v/>
      </c>
      <c r="BQ50" s="127" t="str">
        <f t="shared" si="37"/>
        <v/>
      </c>
      <c r="BR50" s="127" t="str">
        <f t="shared" si="37"/>
        <v/>
      </c>
      <c r="BS50" s="127" t="str">
        <f t="shared" si="37"/>
        <v/>
      </c>
      <c r="BT50" s="127" t="str">
        <f t="shared" si="41"/>
        <v/>
      </c>
      <c r="BU50" s="127" t="str">
        <f t="shared" si="41"/>
        <v/>
      </c>
      <c r="BV50" s="127" t="str">
        <f t="shared" si="41"/>
        <v/>
      </c>
      <c r="BW50" s="127" t="str">
        <f t="shared" si="41"/>
        <v/>
      </c>
      <c r="BX50" s="127" t="str">
        <f t="shared" si="41"/>
        <v/>
      </c>
      <c r="BY50" s="127" t="str">
        <f t="shared" si="41"/>
        <v/>
      </c>
      <c r="BZ50" s="127" t="str">
        <f t="shared" si="41"/>
        <v/>
      </c>
      <c r="CA50" s="127" t="str">
        <f t="shared" si="41"/>
        <v/>
      </c>
      <c r="CB50" s="127" t="str">
        <f t="shared" si="41"/>
        <v/>
      </c>
      <c r="CC50" s="127" t="str">
        <f t="shared" si="41"/>
        <v/>
      </c>
      <c r="CD50" s="127" t="str">
        <f t="shared" si="41"/>
        <v/>
      </c>
      <c r="CE50" s="127" t="str">
        <f t="shared" si="41"/>
        <v/>
      </c>
    </row>
    <row r="51" spans="1:83" ht="12.6" customHeight="1" x14ac:dyDescent="0.2">
      <c r="A51" s="106">
        <f>SHIPMENTS!A57</f>
        <v>9122</v>
      </c>
      <c r="B51" s="106" t="str">
        <f>SHIPMENTS!B57</f>
        <v>19300-USA SUPERIOR SAUNA</v>
      </c>
      <c r="C51" s="132">
        <f>SHIPMENTS!F57</f>
        <v>69.539999999999992</v>
      </c>
      <c r="D51" s="107" t="str">
        <f>IF((SHIPMENTS!I57)=0,"",SHIPMENTS!I57)</f>
        <v>1x40HC</v>
      </c>
      <c r="E51" s="176" t="str">
        <f>IF((SHIPMENTS!G57)=0,"",SHIPMENTS!G57)</f>
        <v>TBA</v>
      </c>
      <c r="F51" s="97">
        <f>VLOOKUP(A51,Items!$A$5:$J$1000,7,0)</f>
        <v>4110</v>
      </c>
      <c r="G51" s="98">
        <f>VLOOKUP(A51,load!$A$4:$U$5001,8,0)</f>
        <v>485.03099646666664</v>
      </c>
      <c r="H51" s="97">
        <f>Manhours!$C$24</f>
        <v>5</v>
      </c>
      <c r="I51" s="98">
        <f t="shared" si="43"/>
        <v>45.5</v>
      </c>
      <c r="J51" s="99">
        <f t="shared" si="44"/>
        <v>10.660021900366299</v>
      </c>
      <c r="K51" s="99">
        <f t="shared" si="45"/>
        <v>97.006199293333324</v>
      </c>
      <c r="L51" s="98">
        <f t="shared" si="46"/>
        <v>10.660021900366299</v>
      </c>
      <c r="M51" s="98">
        <f t="shared" si="47"/>
        <v>97.006199293333324</v>
      </c>
      <c r="N51" s="181">
        <f>'WWP1-PPS'!N51+1</f>
        <v>46337.443956227093</v>
      </c>
      <c r="O51" s="181">
        <f t="shared" si="48"/>
        <v>46348.103978127459</v>
      </c>
      <c r="P51" s="101">
        <f>VLOOKUP(A51,SHIPMENTS!$A$7:$N$171,12,0)</f>
        <v>0</v>
      </c>
      <c r="Q51" s="101"/>
      <c r="R51" s="127" t="str">
        <f t="shared" si="49"/>
        <v/>
      </c>
      <c r="S51" s="127" t="str">
        <f t="shared" si="49"/>
        <v/>
      </c>
      <c r="T51" s="127" t="str">
        <f t="shared" si="49"/>
        <v/>
      </c>
      <c r="U51" s="127" t="str">
        <f t="shared" si="49"/>
        <v/>
      </c>
      <c r="V51" s="127" t="str">
        <f t="shared" si="49"/>
        <v/>
      </c>
      <c r="W51" s="127" t="str">
        <f t="shared" si="49"/>
        <v/>
      </c>
      <c r="X51" s="127" t="str">
        <f t="shared" si="49"/>
        <v/>
      </c>
      <c r="Y51" s="127" t="str">
        <f t="shared" si="49"/>
        <v/>
      </c>
      <c r="Z51" s="127" t="str">
        <f t="shared" si="49"/>
        <v/>
      </c>
      <c r="AA51" s="127" t="str">
        <f t="shared" si="49"/>
        <v/>
      </c>
      <c r="AB51" s="127" t="str">
        <f t="shared" si="49"/>
        <v/>
      </c>
      <c r="AC51" s="127" t="str">
        <f t="shared" si="49"/>
        <v/>
      </c>
      <c r="AD51" s="127" t="str">
        <f t="shared" si="49"/>
        <v/>
      </c>
      <c r="AE51" s="127" t="str">
        <f t="shared" si="49"/>
        <v/>
      </c>
      <c r="AF51" s="127" t="str">
        <f t="shared" si="49"/>
        <v/>
      </c>
      <c r="AG51" s="127" t="str">
        <f t="shared" si="42"/>
        <v/>
      </c>
      <c r="AH51" s="127" t="str">
        <f t="shared" si="40"/>
        <v/>
      </c>
      <c r="AI51" s="127" t="str">
        <f t="shared" si="40"/>
        <v/>
      </c>
      <c r="AJ51" s="127" t="str">
        <f t="shared" si="40"/>
        <v/>
      </c>
      <c r="AK51" s="127" t="str">
        <f t="shared" si="40"/>
        <v/>
      </c>
      <c r="AL51" s="127" t="str">
        <f t="shared" si="40"/>
        <v/>
      </c>
      <c r="AM51" s="127" t="str">
        <f t="shared" si="40"/>
        <v/>
      </c>
      <c r="AN51" s="127" t="str">
        <f t="shared" si="40"/>
        <v/>
      </c>
      <c r="AO51" s="127" t="str">
        <f t="shared" si="40"/>
        <v/>
      </c>
      <c r="AP51" s="127" t="str">
        <f t="shared" si="40"/>
        <v/>
      </c>
      <c r="AQ51" s="127" t="str">
        <f t="shared" si="40"/>
        <v/>
      </c>
      <c r="AR51" s="127" t="str">
        <f t="shared" si="40"/>
        <v/>
      </c>
      <c r="AS51" s="127" t="str">
        <f t="shared" si="40"/>
        <v/>
      </c>
      <c r="AT51" s="127" t="str">
        <f t="shared" si="40"/>
        <v/>
      </c>
      <c r="AU51" s="127" t="str">
        <f t="shared" si="40"/>
        <v/>
      </c>
      <c r="AV51" s="127" t="str">
        <f t="shared" si="40"/>
        <v/>
      </c>
      <c r="AW51" s="127" t="str">
        <f t="shared" si="40"/>
        <v/>
      </c>
      <c r="AX51" s="127" t="str">
        <f t="shared" si="38"/>
        <v/>
      </c>
      <c r="AY51" s="127" t="str">
        <f t="shared" si="38"/>
        <v/>
      </c>
      <c r="AZ51" s="127" t="str">
        <f t="shared" si="38"/>
        <v/>
      </c>
      <c r="BA51" s="127" t="str">
        <f t="shared" si="38"/>
        <v/>
      </c>
      <c r="BB51" s="127" t="str">
        <f t="shared" si="38"/>
        <v/>
      </c>
      <c r="BC51" s="127" t="str">
        <f t="shared" si="39"/>
        <v/>
      </c>
      <c r="BD51" s="127" t="str">
        <f t="shared" si="39"/>
        <v/>
      </c>
      <c r="BE51" s="127" t="str">
        <f t="shared" si="39"/>
        <v/>
      </c>
      <c r="BF51" s="127" t="str">
        <f t="shared" si="39"/>
        <v/>
      </c>
      <c r="BG51" s="127" t="str">
        <f t="shared" si="37"/>
        <v/>
      </c>
      <c r="BH51" s="127" t="str">
        <f t="shared" si="37"/>
        <v/>
      </c>
      <c r="BI51" s="127" t="str">
        <f t="shared" si="37"/>
        <v/>
      </c>
      <c r="BJ51" s="127" t="str">
        <f t="shared" si="37"/>
        <v/>
      </c>
      <c r="BK51" s="127" t="str">
        <f t="shared" si="37"/>
        <v/>
      </c>
      <c r="BL51" s="127" t="str">
        <f t="shared" si="37"/>
        <v/>
      </c>
      <c r="BM51" s="127" t="str">
        <f t="shared" si="37"/>
        <v/>
      </c>
      <c r="BN51" s="127" t="str">
        <f t="shared" si="37"/>
        <v/>
      </c>
      <c r="BO51" s="127" t="str">
        <f t="shared" si="37"/>
        <v/>
      </c>
      <c r="BP51" s="127" t="str">
        <f t="shared" si="37"/>
        <v/>
      </c>
      <c r="BQ51" s="127" t="str">
        <f t="shared" si="37"/>
        <v/>
      </c>
      <c r="BR51" s="127" t="str">
        <f t="shared" si="37"/>
        <v/>
      </c>
      <c r="BS51" s="127" t="str">
        <f t="shared" si="37"/>
        <v/>
      </c>
      <c r="BT51" s="127" t="str">
        <f t="shared" si="41"/>
        <v/>
      </c>
      <c r="BU51" s="127" t="str">
        <f t="shared" si="41"/>
        <v/>
      </c>
      <c r="BV51" s="127" t="str">
        <f t="shared" si="41"/>
        <v/>
      </c>
      <c r="BW51" s="127" t="str">
        <f t="shared" si="41"/>
        <v/>
      </c>
      <c r="BX51" s="127" t="str">
        <f t="shared" si="41"/>
        <v/>
      </c>
      <c r="BY51" s="127" t="str">
        <f t="shared" si="41"/>
        <v/>
      </c>
      <c r="BZ51" s="127" t="str">
        <f t="shared" si="41"/>
        <v/>
      </c>
      <c r="CA51" s="127" t="str">
        <f t="shared" si="41"/>
        <v/>
      </c>
      <c r="CB51" s="127" t="str">
        <f t="shared" si="41"/>
        <v/>
      </c>
      <c r="CC51" s="127" t="str">
        <f t="shared" si="41"/>
        <v/>
      </c>
      <c r="CD51" s="127" t="str">
        <f t="shared" si="41"/>
        <v/>
      </c>
      <c r="CE51" s="127" t="str">
        <f t="shared" si="41"/>
        <v/>
      </c>
    </row>
    <row r="52" spans="1:83" ht="12.6" hidden="1" customHeight="1" x14ac:dyDescent="0.2">
      <c r="A52" s="106">
        <f>SHIPMENTS!A58</f>
        <v>9197</v>
      </c>
      <c r="B52" s="106" t="str">
        <f>SHIPMENTS!B58</f>
        <v>19300-USA SUPERIOR SAUNA</v>
      </c>
      <c r="C52" s="132">
        <f>SHIPMENTS!F58</f>
        <v>0</v>
      </c>
      <c r="D52" s="107" t="str">
        <f>IF((SHIPMENTS!I58)=0,"",SHIPMENTS!I58)</f>
        <v/>
      </c>
      <c r="E52" s="176" t="str">
        <f>IF((SHIPMENTS!G58)=0,"",SHIPMENTS!G58)</f>
        <v>TBA</v>
      </c>
      <c r="F52" s="97">
        <f>VLOOKUP(A52,Items!$A$5:$J$1000,7,0)</f>
        <v>0</v>
      </c>
      <c r="G52" s="98">
        <f>VLOOKUP(A52,load!$A$4:$U$5001,8,0)</f>
        <v>0</v>
      </c>
      <c r="H52" s="97">
        <f>Manhours!$C$24</f>
        <v>5</v>
      </c>
      <c r="I52" s="98">
        <f t="shared" si="43"/>
        <v>45.5</v>
      </c>
      <c r="J52" s="99">
        <f t="shared" si="44"/>
        <v>0</v>
      </c>
      <c r="K52" s="99">
        <f t="shared" si="45"/>
        <v>0</v>
      </c>
      <c r="L52" s="98">
        <f t="shared" si="46"/>
        <v>0</v>
      </c>
      <c r="M52" s="98">
        <f t="shared" si="47"/>
        <v>0</v>
      </c>
      <c r="N52" s="181">
        <f>'WWP1-PPS'!N52+1</f>
        <v>46344.507038873613</v>
      </c>
      <c r="O52" s="181">
        <f t="shared" si="48"/>
        <v>46344.507038873613</v>
      </c>
      <c r="P52" s="101" t="str">
        <f>VLOOKUP(A52,SHIPMENTS!$A$7:$N$171,12,0)</f>
        <v xml:space="preserve">n/a </v>
      </c>
      <c r="Q52" s="101"/>
      <c r="R52" s="127" t="str">
        <f t="shared" si="49"/>
        <v/>
      </c>
      <c r="S52" s="127" t="str">
        <f t="shared" si="49"/>
        <v/>
      </c>
      <c r="T52" s="127" t="str">
        <f t="shared" si="49"/>
        <v/>
      </c>
      <c r="U52" s="127" t="str">
        <f t="shared" si="49"/>
        <v/>
      </c>
      <c r="V52" s="127" t="str">
        <f t="shared" si="49"/>
        <v/>
      </c>
      <c r="W52" s="127" t="str">
        <f t="shared" si="49"/>
        <v/>
      </c>
      <c r="X52" s="127" t="str">
        <f t="shared" si="49"/>
        <v/>
      </c>
      <c r="Y52" s="127" t="str">
        <f t="shared" si="49"/>
        <v/>
      </c>
      <c r="Z52" s="127" t="str">
        <f t="shared" si="49"/>
        <v/>
      </c>
      <c r="AA52" s="127" t="str">
        <f t="shared" si="49"/>
        <v/>
      </c>
      <c r="AB52" s="127" t="str">
        <f t="shared" si="49"/>
        <v/>
      </c>
      <c r="AC52" s="127" t="str">
        <f t="shared" si="49"/>
        <v/>
      </c>
      <c r="AD52" s="127" t="str">
        <f t="shared" si="49"/>
        <v/>
      </c>
      <c r="AE52" s="127" t="str">
        <f t="shared" si="49"/>
        <v/>
      </c>
      <c r="AF52" s="127" t="str">
        <f t="shared" si="49"/>
        <v/>
      </c>
      <c r="AG52" s="127" t="str">
        <f t="shared" si="42"/>
        <v/>
      </c>
      <c r="AH52" s="127" t="str">
        <f t="shared" si="40"/>
        <v/>
      </c>
      <c r="AI52" s="127" t="str">
        <f t="shared" si="40"/>
        <v/>
      </c>
      <c r="AJ52" s="127" t="str">
        <f t="shared" si="40"/>
        <v/>
      </c>
      <c r="AK52" s="127" t="str">
        <f t="shared" si="40"/>
        <v/>
      </c>
      <c r="AL52" s="127" t="str">
        <f t="shared" si="40"/>
        <v/>
      </c>
      <c r="AM52" s="127" t="str">
        <f t="shared" si="40"/>
        <v/>
      </c>
      <c r="AN52" s="127" t="str">
        <f t="shared" si="40"/>
        <v/>
      </c>
      <c r="AO52" s="127" t="str">
        <f t="shared" si="40"/>
        <v/>
      </c>
      <c r="AP52" s="127" t="str">
        <f t="shared" si="40"/>
        <v/>
      </c>
      <c r="AQ52" s="127" t="str">
        <f t="shared" si="40"/>
        <v/>
      </c>
      <c r="AR52" s="127" t="str">
        <f t="shared" si="40"/>
        <v/>
      </c>
      <c r="AS52" s="127" t="str">
        <f t="shared" si="40"/>
        <v/>
      </c>
      <c r="AT52" s="127" t="str">
        <f t="shared" si="40"/>
        <v/>
      </c>
      <c r="AU52" s="127" t="str">
        <f t="shared" si="40"/>
        <v/>
      </c>
      <c r="AV52" s="127" t="str">
        <f t="shared" si="40"/>
        <v/>
      </c>
      <c r="AW52" s="127" t="str">
        <f t="shared" si="40"/>
        <v/>
      </c>
      <c r="AX52" s="127" t="str">
        <f t="shared" si="38"/>
        <v/>
      </c>
      <c r="AY52" s="127" t="str">
        <f t="shared" si="38"/>
        <v/>
      </c>
      <c r="AZ52" s="127" t="str">
        <f t="shared" si="38"/>
        <v/>
      </c>
      <c r="BA52" s="127" t="str">
        <f t="shared" si="38"/>
        <v/>
      </c>
      <c r="BB52" s="127" t="str">
        <f t="shared" si="38"/>
        <v/>
      </c>
      <c r="BC52" s="127" t="str">
        <f t="shared" si="39"/>
        <v/>
      </c>
      <c r="BD52" s="127" t="str">
        <f t="shared" si="39"/>
        <v/>
      </c>
      <c r="BE52" s="127" t="str">
        <f t="shared" si="39"/>
        <v/>
      </c>
      <c r="BF52" s="127" t="str">
        <f t="shared" si="39"/>
        <v/>
      </c>
      <c r="BG52" s="127" t="str">
        <f t="shared" si="37"/>
        <v/>
      </c>
      <c r="BH52" s="127" t="str">
        <f t="shared" si="37"/>
        <v/>
      </c>
      <c r="BI52" s="127" t="str">
        <f t="shared" si="37"/>
        <v/>
      </c>
      <c r="BJ52" s="127" t="str">
        <f t="shared" si="37"/>
        <v/>
      </c>
      <c r="BK52" s="127" t="str">
        <f t="shared" si="37"/>
        <v/>
      </c>
      <c r="BL52" s="127" t="str">
        <f t="shared" si="37"/>
        <v/>
      </c>
      <c r="BM52" s="127" t="str">
        <f t="shared" si="37"/>
        <v/>
      </c>
      <c r="BN52" s="127" t="str">
        <f t="shared" si="37"/>
        <v/>
      </c>
      <c r="BO52" s="127" t="str">
        <f t="shared" si="37"/>
        <v/>
      </c>
      <c r="BP52" s="127" t="str">
        <f t="shared" si="37"/>
        <v/>
      </c>
      <c r="BQ52" s="127" t="str">
        <f t="shared" si="37"/>
        <v/>
      </c>
      <c r="BR52" s="127" t="str">
        <f t="shared" si="37"/>
        <v/>
      </c>
      <c r="BS52" s="127" t="str">
        <f t="shared" si="37"/>
        <v/>
      </c>
      <c r="BT52" s="127" t="str">
        <f t="shared" si="41"/>
        <v/>
      </c>
      <c r="BU52" s="127" t="str">
        <f t="shared" si="41"/>
        <v/>
      </c>
      <c r="BV52" s="127" t="str">
        <f t="shared" si="41"/>
        <v/>
      </c>
      <c r="BW52" s="127" t="str">
        <f t="shared" si="41"/>
        <v/>
      </c>
      <c r="BX52" s="127" t="str">
        <f t="shared" si="41"/>
        <v/>
      </c>
      <c r="BY52" s="127" t="str">
        <f t="shared" si="41"/>
        <v/>
      </c>
      <c r="BZ52" s="127" t="str">
        <f t="shared" si="41"/>
        <v/>
      </c>
      <c r="CA52" s="127" t="str">
        <f t="shared" si="41"/>
        <v/>
      </c>
      <c r="CB52" s="127" t="str">
        <f t="shared" si="41"/>
        <v/>
      </c>
      <c r="CC52" s="127" t="str">
        <f t="shared" si="41"/>
        <v/>
      </c>
      <c r="CD52" s="127" t="str">
        <f t="shared" si="41"/>
        <v/>
      </c>
      <c r="CE52" s="127" t="str">
        <f t="shared" si="41"/>
        <v/>
      </c>
    </row>
    <row r="53" spans="1:83" ht="12.6" customHeight="1" x14ac:dyDescent="0.2">
      <c r="A53" s="106">
        <f>SHIPMENTS!A59</f>
        <v>6542</v>
      </c>
      <c r="B53" s="106" t="str">
        <f>SHIPMENTS!B59</f>
        <v>75100-JORDAN
BACKLOG</v>
      </c>
      <c r="C53" s="132">
        <f>SHIPMENTS!F59</f>
        <v>2.9600000000000001E-2</v>
      </c>
      <c r="D53" s="107" t="str">
        <f>IF((SHIPMENTS!I59)=0,"",SHIPMENTS!I59)</f>
        <v/>
      </c>
      <c r="E53" s="176" t="str">
        <f>IF((SHIPMENTS!G59)=0,"",SHIPMENTS!G59)</f>
        <v>TBA</v>
      </c>
      <c r="F53" s="97">
        <f>VLOOKUP(A53,Items!$A$5:$J$1000,7,0)</f>
        <v>0</v>
      </c>
      <c r="G53" s="98">
        <f>VLOOKUP(A53,load!$A$4:$U$5001,8,0)</f>
        <v>0</v>
      </c>
      <c r="H53" s="97">
        <f>Manhours!$C$24</f>
        <v>5</v>
      </c>
      <c r="I53" s="98">
        <f t="shared" ref="I53" si="50">+H53*$I$4</f>
        <v>45.5</v>
      </c>
      <c r="J53" s="99">
        <f t="shared" ref="J53" si="51">G53/I53</f>
        <v>0</v>
      </c>
      <c r="K53" s="99">
        <f t="shared" ref="K53" si="52">+J53*$I$4</f>
        <v>0</v>
      </c>
      <c r="L53" s="98">
        <f t="shared" ref="L53" si="53">IFERROR(J53-(J53*P53),0)</f>
        <v>0</v>
      </c>
      <c r="M53" s="98">
        <f t="shared" ref="M53" si="54">IFERROR(K53-(K53*P53),0)</f>
        <v>0</v>
      </c>
      <c r="N53" s="181">
        <f>'WWP1-PPS'!N53+1</f>
        <v>46344.507038873613</v>
      </c>
      <c r="O53" s="181">
        <f t="shared" ref="O53" si="55">N53+L53</f>
        <v>46344.507038873613</v>
      </c>
      <c r="P53" s="101">
        <f>VLOOKUP(A53,SHIPMENTS!$A$7:$N$171,12,0)</f>
        <v>1</v>
      </c>
      <c r="Q53" s="101"/>
      <c r="R53" s="127" t="str">
        <f t="shared" si="49"/>
        <v/>
      </c>
      <c r="S53" s="127" t="str">
        <f t="shared" si="49"/>
        <v/>
      </c>
      <c r="T53" s="127" t="str">
        <f t="shared" si="49"/>
        <v/>
      </c>
      <c r="U53" s="127" t="str">
        <f t="shared" si="49"/>
        <v/>
      </c>
      <c r="V53" s="127" t="str">
        <f t="shared" si="49"/>
        <v/>
      </c>
      <c r="W53" s="127" t="str">
        <f t="shared" si="49"/>
        <v/>
      </c>
      <c r="X53" s="127" t="str">
        <f t="shared" si="49"/>
        <v/>
      </c>
      <c r="Y53" s="127" t="str">
        <f t="shared" si="49"/>
        <v/>
      </c>
      <c r="Z53" s="127" t="str">
        <f t="shared" si="49"/>
        <v/>
      </c>
      <c r="AA53" s="127" t="str">
        <f t="shared" si="49"/>
        <v/>
      </c>
      <c r="AB53" s="127" t="str">
        <f t="shared" si="49"/>
        <v/>
      </c>
      <c r="AC53" s="127" t="str">
        <f t="shared" si="49"/>
        <v/>
      </c>
      <c r="AD53" s="127" t="str">
        <f t="shared" si="49"/>
        <v/>
      </c>
      <c r="AE53" s="127" t="str">
        <f t="shared" si="49"/>
        <v/>
      </c>
      <c r="AF53" s="127" t="str">
        <f t="shared" si="49"/>
        <v/>
      </c>
      <c r="AG53" s="127" t="str">
        <f t="shared" si="42"/>
        <v/>
      </c>
      <c r="AH53" s="127" t="str">
        <f t="shared" si="40"/>
        <v/>
      </c>
      <c r="AI53" s="127" t="str">
        <f t="shared" si="40"/>
        <v/>
      </c>
      <c r="AJ53" s="127" t="str">
        <f t="shared" si="40"/>
        <v/>
      </c>
      <c r="AK53" s="127" t="str">
        <f t="shared" si="40"/>
        <v/>
      </c>
      <c r="AL53" s="127" t="str">
        <f t="shared" si="40"/>
        <v/>
      </c>
      <c r="AM53" s="127" t="str">
        <f t="shared" si="40"/>
        <v/>
      </c>
      <c r="AN53" s="127" t="str">
        <f t="shared" si="40"/>
        <v/>
      </c>
      <c r="AO53" s="127" t="str">
        <f t="shared" si="40"/>
        <v/>
      </c>
      <c r="AP53" s="127" t="str">
        <f t="shared" si="40"/>
        <v/>
      </c>
      <c r="AQ53" s="127" t="str">
        <f t="shared" si="40"/>
        <v/>
      </c>
      <c r="AR53" s="127" t="str">
        <f t="shared" si="40"/>
        <v/>
      </c>
      <c r="AS53" s="127" t="str">
        <f t="shared" si="40"/>
        <v/>
      </c>
      <c r="AT53" s="127" t="str">
        <f t="shared" si="40"/>
        <v/>
      </c>
      <c r="AU53" s="127" t="str">
        <f t="shared" si="40"/>
        <v/>
      </c>
      <c r="AV53" s="127" t="str">
        <f t="shared" si="40"/>
        <v/>
      </c>
      <c r="AW53" s="127" t="str">
        <f t="shared" si="40"/>
        <v/>
      </c>
      <c r="AX53" s="127" t="str">
        <f t="shared" si="38"/>
        <v/>
      </c>
      <c r="AY53" s="127" t="str">
        <f t="shared" si="38"/>
        <v/>
      </c>
      <c r="AZ53" s="127" t="str">
        <f t="shared" si="38"/>
        <v/>
      </c>
      <c r="BA53" s="127" t="str">
        <f t="shared" si="38"/>
        <v/>
      </c>
      <c r="BB53" s="127" t="str">
        <f t="shared" si="38"/>
        <v/>
      </c>
      <c r="BC53" s="127" t="str">
        <f t="shared" si="39"/>
        <v/>
      </c>
      <c r="BD53" s="127" t="str">
        <f t="shared" si="39"/>
        <v/>
      </c>
      <c r="BE53" s="127" t="str">
        <f t="shared" si="39"/>
        <v/>
      </c>
      <c r="BF53" s="127" t="str">
        <f t="shared" si="39"/>
        <v/>
      </c>
      <c r="BG53" s="127" t="str">
        <f t="shared" si="37"/>
        <v/>
      </c>
      <c r="BH53" s="127" t="str">
        <f t="shared" si="37"/>
        <v/>
      </c>
      <c r="BI53" s="127" t="str">
        <f t="shared" si="37"/>
        <v/>
      </c>
      <c r="BJ53" s="127" t="str">
        <f t="shared" si="37"/>
        <v/>
      </c>
      <c r="BK53" s="127" t="str">
        <f t="shared" si="37"/>
        <v/>
      </c>
      <c r="BL53" s="127" t="str">
        <f t="shared" si="37"/>
        <v/>
      </c>
      <c r="BM53" s="127" t="str">
        <f t="shared" si="37"/>
        <v/>
      </c>
      <c r="BN53" s="127" t="str">
        <f t="shared" si="37"/>
        <v/>
      </c>
      <c r="BO53" s="127" t="str">
        <f t="shared" si="37"/>
        <v/>
      </c>
      <c r="BP53" s="127" t="str">
        <f t="shared" si="37"/>
        <v/>
      </c>
      <c r="BQ53" s="127" t="str">
        <f t="shared" si="37"/>
        <v/>
      </c>
      <c r="BR53" s="127" t="str">
        <f t="shared" si="37"/>
        <v/>
      </c>
      <c r="BS53" s="127" t="str">
        <f t="shared" si="37"/>
        <v/>
      </c>
      <c r="BT53" s="127" t="str">
        <f t="shared" si="41"/>
        <v/>
      </c>
      <c r="BU53" s="127" t="str">
        <f t="shared" si="41"/>
        <v/>
      </c>
      <c r="BV53" s="127" t="str">
        <f t="shared" si="41"/>
        <v/>
      </c>
      <c r="BW53" s="127" t="str">
        <f t="shared" si="41"/>
        <v/>
      </c>
      <c r="BX53" s="127" t="str">
        <f t="shared" si="41"/>
        <v/>
      </c>
      <c r="BY53" s="127" t="str">
        <f t="shared" si="41"/>
        <v/>
      </c>
      <c r="BZ53" s="127" t="str">
        <f t="shared" si="41"/>
        <v/>
      </c>
      <c r="CA53" s="127" t="str">
        <f t="shared" si="41"/>
        <v/>
      </c>
      <c r="CB53" s="127" t="str">
        <f t="shared" si="41"/>
        <v/>
      </c>
      <c r="CC53" s="127" t="str">
        <f t="shared" si="41"/>
        <v/>
      </c>
      <c r="CD53" s="127" t="str">
        <f t="shared" si="41"/>
        <v/>
      </c>
      <c r="CE53" s="127" t="str">
        <f t="shared" si="41"/>
        <v/>
      </c>
    </row>
  </sheetData>
  <autoFilter ref="A7:CE53" xr:uid="{00000000-0009-0000-0000-000009000000}">
    <filterColumn colId="15">
      <filters>
        <filter val="0%"/>
        <filter val="100%"/>
        <filter val="56%"/>
      </filters>
    </filterColumn>
  </autoFilter>
  <mergeCells count="16">
    <mergeCell ref="M5:M6"/>
    <mergeCell ref="N5:N6"/>
    <mergeCell ref="O5:O6"/>
    <mergeCell ref="P5:P6"/>
    <mergeCell ref="G5:G6"/>
    <mergeCell ref="H5:H6"/>
    <mergeCell ref="I5:I6"/>
    <mergeCell ref="J5:J6"/>
    <mergeCell ref="K5:K6"/>
    <mergeCell ref="L5:L6"/>
    <mergeCell ref="F5:F6"/>
    <mergeCell ref="A5:A6"/>
    <mergeCell ref="B5:B6"/>
    <mergeCell ref="C5:C6"/>
    <mergeCell ref="D5:D6"/>
    <mergeCell ref="E5:E6"/>
  </mergeCells>
  <conditionalFormatting sqref="O8:O53">
    <cfRule type="cellIs" dxfId="346" priority="732" operator="greaterThan">
      <formula>E8</formula>
    </cfRule>
  </conditionalFormatting>
  <conditionalFormatting sqref="P1:Q5 P7:Q1048576">
    <cfRule type="cellIs" dxfId="345" priority="170" operator="lessThan">
      <formula>1</formula>
    </cfRule>
    <cfRule type="cellIs" dxfId="344" priority="171" operator="equal">
      <formula>1</formula>
    </cfRule>
  </conditionalFormatting>
  <conditionalFormatting sqref="P8:Q27 P9:P53">
    <cfRule type="dataBar" priority="1540">
      <dataBar>
        <cfvo type="num" val="0"/>
        <cfvo type="num" val="1"/>
        <color rgb="FFFFB628"/>
      </dataBar>
      <extLst>
        <ext xmlns:x14="http://schemas.microsoft.com/office/spreadsheetml/2009/9/main" uri="{B025F937-C7B1-47D3-B67F-A62EFF666E3E}">
          <x14:id>{0458A0B4-99B0-4884-A4D0-638F26A3BBAF}</x14:id>
        </ext>
      </extLst>
    </cfRule>
  </conditionalFormatting>
  <conditionalFormatting sqref="P28:Q28">
    <cfRule type="dataBar" priority="1416">
      <dataBar>
        <cfvo type="num" val="0"/>
        <cfvo type="num" val="1"/>
        <color rgb="FFFFB628"/>
      </dataBar>
      <extLst>
        <ext xmlns:x14="http://schemas.microsoft.com/office/spreadsheetml/2009/9/main" uri="{B025F937-C7B1-47D3-B67F-A62EFF666E3E}">
          <x14:id>{62958DF0-CD58-42A5-A63F-218AC2AA8A00}</x14:id>
        </ext>
      </extLst>
    </cfRule>
  </conditionalFormatting>
  <conditionalFormatting sqref="P29:Q32">
    <cfRule type="dataBar" priority="1412">
      <dataBar>
        <cfvo type="num" val="0"/>
        <cfvo type="num" val="1"/>
        <color rgb="FFFFB628"/>
      </dataBar>
      <extLst>
        <ext xmlns:x14="http://schemas.microsoft.com/office/spreadsheetml/2009/9/main" uri="{B025F937-C7B1-47D3-B67F-A62EFF666E3E}">
          <x14:id>{525BB37E-FBA9-4553-A394-6E70AB08800B}</x14:id>
        </ext>
      </extLst>
    </cfRule>
  </conditionalFormatting>
  <conditionalFormatting sqref="P33:Q45">
    <cfRule type="dataBar" priority="166">
      <dataBar>
        <cfvo type="num" val="0"/>
        <cfvo type="num" val="1"/>
        <color rgb="FFFFB628"/>
      </dataBar>
      <extLst>
        <ext xmlns:x14="http://schemas.microsoft.com/office/spreadsheetml/2009/9/main" uri="{B025F937-C7B1-47D3-B67F-A62EFF666E3E}">
          <x14:id>{8789FF36-5B7D-4F17-91FE-D8B31A849941}</x14:id>
        </ext>
      </extLst>
    </cfRule>
  </conditionalFormatting>
  <conditionalFormatting sqref="P46:Q52">
    <cfRule type="dataBar" priority="145">
      <dataBar>
        <cfvo type="num" val="0"/>
        <cfvo type="num" val="1"/>
        <color rgb="FFFFB628"/>
      </dataBar>
      <extLst>
        <ext xmlns:x14="http://schemas.microsoft.com/office/spreadsheetml/2009/9/main" uri="{B025F937-C7B1-47D3-B67F-A62EFF666E3E}">
          <x14:id>{A321A98E-77B9-42C5-B7A6-FC57FC0DCF88}</x14:id>
        </ext>
      </extLst>
    </cfRule>
  </conditionalFormatting>
  <conditionalFormatting sqref="P53:Q53">
    <cfRule type="dataBar" priority="19">
      <dataBar>
        <cfvo type="num" val="0"/>
        <cfvo type="num" val="1"/>
        <color rgb="FFFFB628"/>
      </dataBar>
      <extLst>
        <ext xmlns:x14="http://schemas.microsoft.com/office/spreadsheetml/2009/9/main" uri="{B025F937-C7B1-47D3-B67F-A62EFF666E3E}">
          <x14:id>{17D3F86F-BE9F-4CAF-9A67-2DC5E578B09B}</x14:id>
        </ext>
      </extLst>
    </cfRule>
  </conditionalFormatting>
  <conditionalFormatting sqref="R8:BF27">
    <cfRule type="cellIs" dxfId="343" priority="1483" operator="equal">
      <formula>1</formula>
    </cfRule>
    <cfRule type="cellIs" dxfId="342" priority="1484" operator="equal">
      <formula>1</formula>
    </cfRule>
  </conditionalFormatting>
  <conditionalFormatting sqref="R28:BF28">
    <cfRule type="cellIs" dxfId="341" priority="1415" operator="equal">
      <formula>1</formula>
    </cfRule>
  </conditionalFormatting>
  <conditionalFormatting sqref="R28:BF53">
    <cfRule type="cellIs" dxfId="340" priority="8" operator="equal">
      <formula>1</formula>
    </cfRule>
  </conditionalFormatting>
  <conditionalFormatting sqref="R29:BF53">
    <cfRule type="cellIs" dxfId="339" priority="9" operator="equal">
      <formula>1</formula>
    </cfRule>
  </conditionalFormatting>
  <conditionalFormatting sqref="R8:BG27 R29:CE32 R46:CE52">
    <cfRule type="expression" dxfId="338" priority="1438">
      <formula>IF(AND($N8&lt;=R$3,$O8&gt;=R$3),1,"")</formula>
    </cfRule>
  </conditionalFormatting>
  <conditionalFormatting sqref="R1:CE1">
    <cfRule type="cellIs" dxfId="337" priority="1143" operator="notEqual">
      <formula>0</formula>
    </cfRule>
  </conditionalFormatting>
  <conditionalFormatting sqref="R28:CE28">
    <cfRule type="expression" dxfId="336" priority="1413">
      <formula>IF(AND($N28&lt;=R$3,$O28&gt;=R$3),1,"")</formula>
    </cfRule>
  </conditionalFormatting>
  <conditionalFormatting sqref="R33:CE45">
    <cfRule type="expression" dxfId="335" priority="168">
      <formula>IF(AND($N33&lt;=R$3,$O33&gt;=R$3),1,"")</formula>
    </cfRule>
  </conditionalFormatting>
  <conditionalFormatting sqref="R53:CE53">
    <cfRule type="expression" dxfId="334" priority="21">
      <formula>IF(AND($N53&lt;=R$3,$O53&gt;=R$3),1,"")</formula>
    </cfRule>
  </conditionalFormatting>
  <conditionalFormatting sqref="AW8:BF32">
    <cfRule type="cellIs" dxfId="333" priority="1444" operator="equal">
      <formula>1</formula>
    </cfRule>
  </conditionalFormatting>
  <conditionalFormatting sqref="AW33:BF45">
    <cfRule type="cellIs" dxfId="332" priority="169" operator="equal">
      <formula>1</formula>
    </cfRule>
  </conditionalFormatting>
  <conditionalFormatting sqref="AW46:BF52">
    <cfRule type="cellIs" dxfId="331" priority="147" operator="equal">
      <formula>1</formula>
    </cfRule>
  </conditionalFormatting>
  <conditionalFormatting sqref="AW53:BF53">
    <cfRule type="cellIs" dxfId="330" priority="20" operator="equal">
      <formula>1</formula>
    </cfRule>
  </conditionalFormatting>
  <conditionalFormatting sqref="AW8:BG32">
    <cfRule type="cellIs" dxfId="329" priority="1424" operator="equal">
      <formula>1</formula>
    </cfRule>
  </conditionalFormatting>
  <conditionalFormatting sqref="AW33:BM45">
    <cfRule type="cellIs" dxfId="328" priority="164" operator="equal">
      <formula>1</formula>
    </cfRule>
  </conditionalFormatting>
  <conditionalFormatting sqref="AW46:BM52">
    <cfRule type="cellIs" dxfId="327" priority="143" operator="equal">
      <formula>1</formula>
    </cfRule>
  </conditionalFormatting>
  <conditionalFormatting sqref="AW53:BM53">
    <cfRule type="cellIs" dxfId="326" priority="17" operator="equal">
      <formula>1</formula>
    </cfRule>
  </conditionalFormatting>
  <conditionalFormatting sqref="BG8:BG53">
    <cfRule type="cellIs" dxfId="325" priority="1421" operator="equal">
      <formula>1</formula>
    </cfRule>
    <cfRule type="cellIs" dxfId="324" priority="1425" operator="equal">
      <formula>1</formula>
    </cfRule>
  </conditionalFormatting>
  <conditionalFormatting sqref="BG8:BM32">
    <cfRule type="cellIs" dxfId="323" priority="1394" operator="equal">
      <formula>1</formula>
    </cfRule>
  </conditionalFormatting>
  <conditionalFormatting sqref="BH8:BL27">
    <cfRule type="cellIs" dxfId="322" priority="1408" operator="equal">
      <formula>1</formula>
    </cfRule>
    <cfRule type="cellIs" dxfId="321" priority="1407" operator="equal">
      <formula>1</formula>
    </cfRule>
  </conditionalFormatting>
  <conditionalFormatting sqref="BH8:BL32">
    <cfRule type="cellIs" dxfId="320" priority="1398" operator="equal">
      <formula>1</formula>
    </cfRule>
  </conditionalFormatting>
  <conditionalFormatting sqref="BH28:BL45">
    <cfRule type="cellIs" dxfId="319" priority="165" operator="equal">
      <formula>1</formula>
    </cfRule>
  </conditionalFormatting>
  <conditionalFormatting sqref="BH28:BL53">
    <cfRule type="cellIs" dxfId="318" priority="7" operator="equal">
      <formula>1</formula>
    </cfRule>
  </conditionalFormatting>
  <conditionalFormatting sqref="BH33:BL52">
    <cfRule type="cellIs" dxfId="317" priority="144" operator="equal">
      <formula>1</formula>
    </cfRule>
  </conditionalFormatting>
  <conditionalFormatting sqref="BH46:BL53">
    <cfRule type="cellIs" dxfId="316" priority="18" operator="equal">
      <formula>1</formula>
    </cfRule>
  </conditionalFormatting>
  <conditionalFormatting sqref="BH8:BM27">
    <cfRule type="expression" dxfId="315" priority="1396">
      <formula>IF(AND($N8&lt;=BH$3,$O8&gt;=BH$3),1,"")</formula>
    </cfRule>
  </conditionalFormatting>
  <conditionalFormatting sqref="BH53:BR53">
    <cfRule type="cellIs" dxfId="314" priority="15" operator="equal">
      <formula>1</formula>
    </cfRule>
  </conditionalFormatting>
  <conditionalFormatting sqref="BM8:BM53">
    <cfRule type="cellIs" dxfId="313" priority="1395" operator="equal">
      <formula>1</formula>
    </cfRule>
  </conditionalFormatting>
  <conditionalFormatting sqref="BM8:BR32">
    <cfRule type="cellIs" dxfId="312" priority="1376" operator="equal">
      <formula>1</formula>
    </cfRule>
  </conditionalFormatting>
  <conditionalFormatting sqref="BM33:BR52">
    <cfRule type="cellIs" dxfId="311" priority="37" operator="equal">
      <formula>1</formula>
    </cfRule>
  </conditionalFormatting>
  <conditionalFormatting sqref="BM8:BS32">
    <cfRule type="cellIs" dxfId="310" priority="1372" operator="equal">
      <formula>1</formula>
    </cfRule>
  </conditionalFormatting>
  <conditionalFormatting sqref="BM33:BS53">
    <cfRule type="cellIs" dxfId="309" priority="14" operator="equal">
      <formula>1</formula>
    </cfRule>
  </conditionalFormatting>
  <conditionalFormatting sqref="BN8:BR27">
    <cfRule type="cellIs" dxfId="308" priority="1385" operator="equal">
      <formula>1</formula>
    </cfRule>
    <cfRule type="cellIs" dxfId="307" priority="1386" operator="equal">
      <formula>1</formula>
    </cfRule>
  </conditionalFormatting>
  <conditionalFormatting sqref="BN28:BR53">
    <cfRule type="cellIs" dxfId="306" priority="6" operator="equal">
      <formula>1</formula>
    </cfRule>
    <cfRule type="cellIs" dxfId="305" priority="5" operator="equal">
      <formula>1</formula>
    </cfRule>
  </conditionalFormatting>
  <conditionalFormatting sqref="BN8:BS27">
    <cfRule type="expression" dxfId="304" priority="1374">
      <formula>IF(AND($N8&lt;=BN$3,$O8&gt;=BN$3),1,"")</formula>
    </cfRule>
  </conditionalFormatting>
  <conditionalFormatting sqref="BS8:BS53">
    <cfRule type="cellIs" dxfId="303" priority="1373" operator="equal">
      <formula>1</formula>
    </cfRule>
  </conditionalFormatting>
  <conditionalFormatting sqref="BS8:BX32">
    <cfRule type="cellIs" dxfId="302" priority="1354" operator="equal">
      <formula>1</formula>
    </cfRule>
  </conditionalFormatting>
  <conditionalFormatting sqref="BS33:BX53">
    <cfRule type="cellIs" dxfId="301" priority="13" operator="equal">
      <formula>1</formula>
    </cfRule>
  </conditionalFormatting>
  <conditionalFormatting sqref="BS8:BY32">
    <cfRule type="cellIs" dxfId="300" priority="1350" operator="equal">
      <formula>1</formula>
    </cfRule>
  </conditionalFormatting>
  <conditionalFormatting sqref="BS33:BY53">
    <cfRule type="cellIs" dxfId="299" priority="12" operator="equal">
      <formula>1</formula>
    </cfRule>
  </conditionalFormatting>
  <conditionalFormatting sqref="BT8:BX27">
    <cfRule type="cellIs" dxfId="298" priority="1363" operator="equal">
      <formula>1</formula>
    </cfRule>
    <cfRule type="cellIs" dxfId="297" priority="1364" operator="equal">
      <formula>1</formula>
    </cfRule>
  </conditionalFormatting>
  <conditionalFormatting sqref="BT28:BX53">
    <cfRule type="cellIs" dxfId="296" priority="4" operator="equal">
      <formula>1</formula>
    </cfRule>
    <cfRule type="cellIs" dxfId="295" priority="3" operator="equal">
      <formula>1</formula>
    </cfRule>
  </conditionalFormatting>
  <conditionalFormatting sqref="BT8:BY27">
    <cfRule type="expression" dxfId="294" priority="1352">
      <formula>IF(AND($N8&lt;=BT$3,$O8&gt;=BT$3),1,"")</formula>
    </cfRule>
  </conditionalFormatting>
  <conditionalFormatting sqref="BY8:BY53">
    <cfRule type="cellIs" dxfId="293" priority="1351" operator="equal">
      <formula>1</formula>
    </cfRule>
  </conditionalFormatting>
  <conditionalFormatting sqref="BY8:CD32">
    <cfRule type="cellIs" dxfId="292" priority="1332" operator="equal">
      <formula>1</formula>
    </cfRule>
  </conditionalFormatting>
  <conditionalFormatting sqref="BY33:CD53">
    <cfRule type="cellIs" dxfId="291" priority="11" operator="equal">
      <formula>1</formula>
    </cfRule>
  </conditionalFormatting>
  <conditionalFormatting sqref="BY8:CE32">
    <cfRule type="cellIs" dxfId="290" priority="1328" operator="equal">
      <formula>1</formula>
    </cfRule>
  </conditionalFormatting>
  <conditionalFormatting sqref="BY33:CE53">
    <cfRule type="cellIs" dxfId="289" priority="10" operator="equal">
      <formula>1</formula>
    </cfRule>
  </conditionalFormatting>
  <conditionalFormatting sqref="BZ8:CD27">
    <cfRule type="cellIs" dxfId="288" priority="1341" operator="equal">
      <formula>1</formula>
    </cfRule>
    <cfRule type="cellIs" dxfId="287" priority="1342" operator="equal">
      <formula>1</formula>
    </cfRule>
  </conditionalFormatting>
  <conditionalFormatting sqref="BZ28:CD53">
    <cfRule type="cellIs" dxfId="286" priority="2" operator="equal">
      <formula>1</formula>
    </cfRule>
    <cfRule type="cellIs" dxfId="285" priority="1" operator="equal">
      <formula>1</formula>
    </cfRule>
  </conditionalFormatting>
  <conditionalFormatting sqref="BZ8:CE27">
    <cfRule type="expression" dxfId="284" priority="1330">
      <formula>IF(AND($N8&lt;=BZ$3,$O8&gt;=BZ$3),1,"")</formula>
    </cfRule>
  </conditionalFormatting>
  <conditionalFormatting sqref="CE8:CE53">
    <cfRule type="cellIs" dxfId="283" priority="1329" operator="equal">
      <formula>1</formula>
    </cfRule>
    <cfRule type="cellIs" dxfId="282" priority="1327" operator="equal">
      <formula>1</formula>
    </cfRule>
    <cfRule type="cellIs" dxfId="281" priority="1326" operator="equal">
      <formula>1</formula>
    </cfRule>
  </conditionalFormatting>
  <pageMargins left="0.7" right="0.7" top="0.75" bottom="0.75" header="0.3" footer="0.3"/>
  <pageSetup paperSize="9" orientation="portrait" horizontalDpi="0" verticalDpi="0" r:id="rId1"/>
  <extLst>
    <ext xmlns:x14="http://schemas.microsoft.com/office/spreadsheetml/2009/9/main" uri="{78C0D931-6437-407d-A8EE-F0AAD7539E65}">
      <x14:conditionalFormattings>
        <x14:conditionalFormatting xmlns:xm="http://schemas.microsoft.com/office/excel/2006/main">
          <x14:cfRule type="dataBar" id="{0458A0B4-99B0-4884-A4D0-638F26A3BBAF}">
            <x14:dataBar minLength="0" maxLength="100" gradient="0">
              <x14:cfvo type="num">
                <xm:f>0</xm:f>
              </x14:cfvo>
              <x14:cfvo type="num">
                <xm:f>1</xm:f>
              </x14:cfvo>
              <x14:negativeFillColor rgb="FFFF0000"/>
              <x14:axisColor rgb="FF000000"/>
            </x14:dataBar>
          </x14:cfRule>
          <xm:sqref>P8:Q27 P9:P53</xm:sqref>
        </x14:conditionalFormatting>
        <x14:conditionalFormatting xmlns:xm="http://schemas.microsoft.com/office/excel/2006/main">
          <x14:cfRule type="dataBar" id="{62958DF0-CD58-42A5-A63F-218AC2AA8A00}">
            <x14:dataBar minLength="0" maxLength="100" gradient="0">
              <x14:cfvo type="num">
                <xm:f>0</xm:f>
              </x14:cfvo>
              <x14:cfvo type="num">
                <xm:f>1</xm:f>
              </x14:cfvo>
              <x14:negativeFillColor rgb="FFFF0000"/>
              <x14:axisColor rgb="FF000000"/>
            </x14:dataBar>
          </x14:cfRule>
          <xm:sqref>P28:Q28</xm:sqref>
        </x14:conditionalFormatting>
        <x14:conditionalFormatting xmlns:xm="http://schemas.microsoft.com/office/excel/2006/main">
          <x14:cfRule type="dataBar" id="{525BB37E-FBA9-4553-A394-6E70AB08800B}">
            <x14:dataBar minLength="0" maxLength="100" gradient="0">
              <x14:cfvo type="num">
                <xm:f>0</xm:f>
              </x14:cfvo>
              <x14:cfvo type="num">
                <xm:f>1</xm:f>
              </x14:cfvo>
              <x14:negativeFillColor rgb="FFFF0000"/>
              <x14:axisColor rgb="FF000000"/>
            </x14:dataBar>
          </x14:cfRule>
          <xm:sqref>P29:Q32</xm:sqref>
        </x14:conditionalFormatting>
        <x14:conditionalFormatting xmlns:xm="http://schemas.microsoft.com/office/excel/2006/main">
          <x14:cfRule type="dataBar" id="{8789FF36-5B7D-4F17-91FE-D8B31A849941}">
            <x14:dataBar minLength="0" maxLength="100" gradient="0">
              <x14:cfvo type="num">
                <xm:f>0</xm:f>
              </x14:cfvo>
              <x14:cfvo type="num">
                <xm:f>1</xm:f>
              </x14:cfvo>
              <x14:negativeFillColor rgb="FFFF0000"/>
              <x14:axisColor rgb="FF000000"/>
            </x14:dataBar>
          </x14:cfRule>
          <xm:sqref>P33:Q45</xm:sqref>
        </x14:conditionalFormatting>
        <x14:conditionalFormatting xmlns:xm="http://schemas.microsoft.com/office/excel/2006/main">
          <x14:cfRule type="dataBar" id="{A321A98E-77B9-42C5-B7A6-FC57FC0DCF88}">
            <x14:dataBar minLength="0" maxLength="100" gradient="0">
              <x14:cfvo type="num">
                <xm:f>0</xm:f>
              </x14:cfvo>
              <x14:cfvo type="num">
                <xm:f>1</xm:f>
              </x14:cfvo>
              <x14:negativeFillColor rgb="FFFF0000"/>
              <x14:axisColor rgb="FF000000"/>
            </x14:dataBar>
          </x14:cfRule>
          <xm:sqref>P46:Q52</xm:sqref>
        </x14:conditionalFormatting>
        <x14:conditionalFormatting xmlns:xm="http://schemas.microsoft.com/office/excel/2006/main">
          <x14:cfRule type="dataBar" id="{17D3F86F-BE9F-4CAF-9A67-2DC5E578B09B}">
            <x14:dataBar minLength="0" maxLength="100" gradient="0">
              <x14:cfvo type="num">
                <xm:f>0</xm:f>
              </x14:cfvo>
              <x14:cfvo type="num">
                <xm:f>1</xm:f>
              </x14:cfvo>
              <x14:negativeFillColor rgb="FFFF0000"/>
              <x14:axisColor rgb="FF000000"/>
            </x14:dataBar>
          </x14:cfRule>
          <xm:sqref>P53:Q53</xm:sqref>
        </x14:conditionalFormatting>
      </x14:conditionalFormatting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2" filterMode="1"/>
  <dimension ref="A1:CE53"/>
  <sheetViews>
    <sheetView showGridLines="0" zoomScaleNormal="100" workbookViewId="0">
      <pane xSplit="16" ySplit="7" topLeftCell="Q15" activePane="bottomRight" state="frozen"/>
      <selection pane="topRight" activeCell="Q1" sqref="Q1"/>
      <selection pane="bottomLeft" activeCell="A8" sqref="A8"/>
      <selection pane="bottomRight" activeCell="A9" sqref="A9:E53"/>
    </sheetView>
  </sheetViews>
  <sheetFormatPr defaultColWidth="9.28515625" defaultRowHeight="12.75" outlineLevelCol="1" x14ac:dyDescent="0.2"/>
  <cols>
    <col min="1" max="1" width="11.28515625" style="72" customWidth="1"/>
    <col min="2" max="2" width="21.7109375" style="71" customWidth="1"/>
    <col min="3" max="3" width="7.28515625" style="71" customWidth="1"/>
    <col min="4" max="4" width="7.7109375" style="71" customWidth="1"/>
    <col min="5" max="5" width="9.7109375" style="174" customWidth="1"/>
    <col min="6" max="6" width="7.5703125" style="71" customWidth="1"/>
    <col min="7" max="7" width="11.5703125" style="74" hidden="1" customWidth="1" outlineLevel="1"/>
    <col min="8" max="8" width="11.7109375" style="75" hidden="1" customWidth="1" outlineLevel="1"/>
    <col min="9" max="9" width="11.28515625" style="74" hidden="1" customWidth="1" outlineLevel="1"/>
    <col min="10" max="10" width="8.7109375" style="76" hidden="1" customWidth="1" outlineLevel="1"/>
    <col min="11" max="11" width="7.7109375" style="76" hidden="1" customWidth="1" outlineLevel="1"/>
    <col min="12" max="12" width="9" style="74" customWidth="1" collapsed="1"/>
    <col min="13" max="13" width="9" style="74" hidden="1" customWidth="1" outlineLevel="1"/>
    <col min="14" max="14" width="7.42578125" style="174" hidden="1" customWidth="1" outlineLevel="1"/>
    <col min="15" max="15" width="8.28515625" style="174" customWidth="1" collapsed="1"/>
    <col min="16" max="17" width="11.28515625" style="78" customWidth="1"/>
    <col min="18" max="19" width="6.5703125" style="71" customWidth="1"/>
    <col min="20" max="32" width="6.5703125" style="71" bestFit="1" customWidth="1"/>
    <col min="33" max="83" width="7.28515625" style="71" bestFit="1" customWidth="1"/>
    <col min="84" max="16384" width="9.28515625" style="71"/>
  </cols>
  <sheetData>
    <row r="1" spans="1:83" x14ac:dyDescent="0.2">
      <c r="R1" s="105">
        <f>'T&amp;D'!Q1</f>
        <v>0</v>
      </c>
      <c r="S1" s="105">
        <f>'T&amp;D'!R1</f>
        <v>0</v>
      </c>
      <c r="T1" s="105">
        <f>'T&amp;D'!S1</f>
        <v>0</v>
      </c>
      <c r="U1" s="105">
        <f>'T&amp;D'!T1</f>
        <v>0</v>
      </c>
      <c r="V1" s="105">
        <f>'T&amp;D'!U1</f>
        <v>0</v>
      </c>
      <c r="W1" s="105">
        <f>'T&amp;D'!V1</f>
        <v>0</v>
      </c>
      <c r="X1" s="105">
        <f>'T&amp;D'!W1</f>
        <v>0</v>
      </c>
      <c r="Y1" s="105">
        <f>'T&amp;D'!X1</f>
        <v>0</v>
      </c>
      <c r="Z1" s="105">
        <f>'T&amp;D'!Y1</f>
        <v>0</v>
      </c>
      <c r="AA1" s="105">
        <f>'T&amp;D'!Z1</f>
        <v>0</v>
      </c>
      <c r="AB1" s="105">
        <f>'T&amp;D'!AA1</f>
        <v>0</v>
      </c>
      <c r="AC1" s="105">
        <f>'T&amp;D'!AB1</f>
        <v>0</v>
      </c>
      <c r="AD1" s="105">
        <f>'T&amp;D'!AC1</f>
        <v>0</v>
      </c>
      <c r="AE1" s="105">
        <f>'T&amp;D'!AD1</f>
        <v>0</v>
      </c>
      <c r="AF1" s="105">
        <f>'T&amp;D'!AE1</f>
        <v>0</v>
      </c>
      <c r="AG1" s="105">
        <f>'T&amp;D'!AF1</f>
        <v>0</v>
      </c>
      <c r="AH1" s="105">
        <f>'T&amp;D'!AG1</f>
        <v>0</v>
      </c>
      <c r="AI1" s="105">
        <f>'T&amp;D'!AH1</f>
        <v>0</v>
      </c>
      <c r="AJ1" s="105">
        <f>'T&amp;D'!AI1</f>
        <v>0</v>
      </c>
      <c r="AK1" s="105">
        <f>'T&amp;D'!AJ1</f>
        <v>0</v>
      </c>
      <c r="AL1" s="105">
        <f>'T&amp;D'!AK1</f>
        <v>0</v>
      </c>
      <c r="AM1" s="105">
        <f>'T&amp;D'!AL1</f>
        <v>0</v>
      </c>
      <c r="AN1" s="105">
        <f>'T&amp;D'!AM1</f>
        <v>0</v>
      </c>
      <c r="AO1" s="105">
        <f>'T&amp;D'!AN1</f>
        <v>0</v>
      </c>
      <c r="AP1" s="105">
        <f>'T&amp;D'!AO1</f>
        <v>0</v>
      </c>
      <c r="AQ1" s="105">
        <f>'T&amp;D'!AP1</f>
        <v>0</v>
      </c>
      <c r="AR1" s="105">
        <f>'T&amp;D'!AQ1</f>
        <v>0</v>
      </c>
      <c r="AS1" s="105">
        <f>'T&amp;D'!AR1</f>
        <v>0</v>
      </c>
      <c r="AT1" s="105">
        <f>'T&amp;D'!AS1</f>
        <v>0</v>
      </c>
      <c r="AU1" s="105">
        <f>'T&amp;D'!AT1</f>
        <v>0</v>
      </c>
      <c r="AV1" s="105">
        <f>'T&amp;D'!AU1</f>
        <v>0</v>
      </c>
      <c r="AW1" s="105">
        <f>'T&amp;D'!AV1</f>
        <v>0</v>
      </c>
      <c r="AX1" s="105">
        <f>'T&amp;D'!AW1</f>
        <v>0</v>
      </c>
      <c r="AY1" s="105">
        <f>'T&amp;D'!AX1</f>
        <v>0</v>
      </c>
      <c r="AZ1" s="105">
        <f>'T&amp;D'!AY1</f>
        <v>0</v>
      </c>
      <c r="BA1" s="105">
        <f>'T&amp;D'!AZ1</f>
        <v>0</v>
      </c>
      <c r="BB1" s="105">
        <f>'T&amp;D'!BA1</f>
        <v>0</v>
      </c>
      <c r="BC1" s="105">
        <f>'T&amp;D'!BB1</f>
        <v>0</v>
      </c>
      <c r="BD1" s="105">
        <f>'T&amp;D'!BC1</f>
        <v>0</v>
      </c>
      <c r="BE1" s="105">
        <f>'T&amp;D'!BD1</f>
        <v>0</v>
      </c>
      <c r="BF1" s="105">
        <f>'T&amp;D'!BE1</f>
        <v>0</v>
      </c>
      <c r="BG1" s="105">
        <f>'T&amp;D'!BF1</f>
        <v>0</v>
      </c>
      <c r="BH1" s="105">
        <f>'T&amp;D'!BG1</f>
        <v>0</v>
      </c>
      <c r="BI1" s="105">
        <f>'T&amp;D'!BH1</f>
        <v>0</v>
      </c>
      <c r="BJ1" s="105">
        <f>'T&amp;D'!BI1</f>
        <v>0</v>
      </c>
      <c r="BK1" s="105">
        <f>'T&amp;D'!BJ1</f>
        <v>0</v>
      </c>
      <c r="BL1" s="105">
        <f>'T&amp;D'!BK1</f>
        <v>0</v>
      </c>
      <c r="BM1" s="105">
        <f>'T&amp;D'!BL1</f>
        <v>0</v>
      </c>
      <c r="BN1" s="105">
        <f>'T&amp;D'!BM1</f>
        <v>0</v>
      </c>
      <c r="BO1" s="105">
        <f>'T&amp;D'!BN1</f>
        <v>0</v>
      </c>
      <c r="BP1" s="105">
        <f>'T&amp;D'!BO1</f>
        <v>0</v>
      </c>
      <c r="BQ1" s="105">
        <f>'T&amp;D'!BP1</f>
        <v>0</v>
      </c>
      <c r="BR1" s="105">
        <f>'T&amp;D'!BQ1</f>
        <v>0</v>
      </c>
      <c r="BS1" s="105">
        <f>'T&amp;D'!BR1</f>
        <v>0</v>
      </c>
      <c r="BT1" s="105">
        <f>'T&amp;D'!BS1</f>
        <v>0</v>
      </c>
      <c r="BU1" s="105">
        <f>'T&amp;D'!BT1</f>
        <v>0</v>
      </c>
      <c r="BV1" s="105">
        <f>'T&amp;D'!BU1</f>
        <v>0</v>
      </c>
      <c r="BW1" s="105">
        <f>'T&amp;D'!BV1</f>
        <v>0</v>
      </c>
      <c r="BX1" s="105">
        <f>'T&amp;D'!BW1</f>
        <v>0</v>
      </c>
      <c r="BY1" s="105">
        <f>'T&amp;D'!BX1</f>
        <v>0</v>
      </c>
      <c r="BZ1" s="105">
        <f>'T&amp;D'!BY1</f>
        <v>0</v>
      </c>
      <c r="CA1" s="105">
        <f>'T&amp;D'!BZ1</f>
        <v>0</v>
      </c>
      <c r="CB1" s="105">
        <f>'T&amp;D'!CA1</f>
        <v>0</v>
      </c>
      <c r="CC1" s="105">
        <f>'T&amp;D'!CB1</f>
        <v>0</v>
      </c>
      <c r="CD1" s="105">
        <f>'T&amp;D'!CC1</f>
        <v>0</v>
      </c>
      <c r="CE1" s="105">
        <f>'T&amp;D'!CD1</f>
        <v>0</v>
      </c>
    </row>
    <row r="2" spans="1:83" x14ac:dyDescent="0.2">
      <c r="A2" s="103" t="s">
        <v>377</v>
      </c>
      <c r="C2" s="80"/>
      <c r="D2" s="122"/>
      <c r="F2" s="204"/>
      <c r="L2" s="204"/>
      <c r="N2" s="204">
        <v>5</v>
      </c>
      <c r="O2" s="174" t="s">
        <v>345</v>
      </c>
      <c r="R2" s="105" t="str">
        <f>'T&amp;D'!Q2</f>
        <v>w/O OT</v>
      </c>
      <c r="S2" s="105" t="str">
        <f>'T&amp;D'!R2</f>
        <v>w/O OT</v>
      </c>
      <c r="T2" s="105" t="str">
        <f>'T&amp;D'!S2</f>
        <v>w/O OT</v>
      </c>
      <c r="U2" s="105" t="str">
        <f>'T&amp;D'!T2</f>
        <v>w/O OT</v>
      </c>
      <c r="V2" s="105" t="str">
        <f>'T&amp;D'!U2</f>
        <v>Fri</v>
      </c>
      <c r="W2" s="105" t="str">
        <f>'T&amp;D'!V2</f>
        <v>Sat</v>
      </c>
      <c r="X2" s="105" t="str">
        <f>'T&amp;D'!W2</f>
        <v>w/O OT</v>
      </c>
      <c r="Y2" s="105" t="str">
        <f>'T&amp;D'!X2</f>
        <v>w/O OT</v>
      </c>
      <c r="Z2" s="105" t="str">
        <f>'T&amp;D'!Y2</f>
        <v>w/O OT</v>
      </c>
      <c r="AA2" s="105" t="str">
        <f>'T&amp;D'!Z2</f>
        <v>w/O OT</v>
      </c>
      <c r="AB2" s="105" t="str">
        <f>'T&amp;D'!AA2</f>
        <v>Fri</v>
      </c>
      <c r="AC2" s="105" t="str">
        <f>'T&amp;D'!AB2</f>
        <v>Sat</v>
      </c>
      <c r="AD2" s="105" t="str">
        <f>'T&amp;D'!AC2</f>
        <v>w/O OT</v>
      </c>
      <c r="AE2" s="105" t="str">
        <f>'T&amp;D'!AD2</f>
        <v>w/O OT</v>
      </c>
      <c r="AF2" s="105" t="str">
        <f>'T&amp;D'!AE2</f>
        <v>w/O OT</v>
      </c>
      <c r="AG2" s="105" t="str">
        <f>'T&amp;D'!AF2</f>
        <v>w/O OT</v>
      </c>
      <c r="AH2" s="105" t="str">
        <f>'T&amp;D'!AG2</f>
        <v>Fri</v>
      </c>
      <c r="AI2" s="105" t="str">
        <f>'T&amp;D'!AH2</f>
        <v>Sat</v>
      </c>
      <c r="AJ2" s="105" t="str">
        <f>'T&amp;D'!AI2</f>
        <v>w/O OT</v>
      </c>
      <c r="AK2" s="105" t="str">
        <f>'T&amp;D'!AJ2</f>
        <v>w/O OT</v>
      </c>
      <c r="AL2" s="105" t="str">
        <f>'T&amp;D'!AK2</f>
        <v>w/O OT</v>
      </c>
      <c r="AM2" s="105" t="str">
        <f>'T&amp;D'!AL2</f>
        <v>w/O OT</v>
      </c>
      <c r="AN2" s="105" t="str">
        <f>'T&amp;D'!AM2</f>
        <v>Fri</v>
      </c>
      <c r="AO2" s="105" t="str">
        <f>'T&amp;D'!AN2</f>
        <v>Sat</v>
      </c>
      <c r="AP2" s="105" t="str">
        <f>'T&amp;D'!AO2</f>
        <v>w/O OT</v>
      </c>
      <c r="AQ2" s="105" t="str">
        <f>'T&amp;D'!AP2</f>
        <v>w/O OT</v>
      </c>
      <c r="AR2" s="105" t="str">
        <f>'T&amp;D'!AQ2</f>
        <v>w/O OT</v>
      </c>
      <c r="AS2" s="105" t="str">
        <f>'T&amp;D'!AR2</f>
        <v>w/O OT</v>
      </c>
      <c r="AT2" s="105" t="str">
        <f>'T&amp;D'!AS2</f>
        <v>Fri</v>
      </c>
      <c r="AU2" s="105" t="str">
        <f>'T&amp;D'!AT2</f>
        <v>Sat</v>
      </c>
      <c r="AV2" s="105" t="str">
        <f>'T&amp;D'!AU2</f>
        <v>w/O OT</v>
      </c>
      <c r="AW2" s="105" t="str">
        <f>'T&amp;D'!AV2</f>
        <v>w/O OT</v>
      </c>
      <c r="AX2" s="105" t="str">
        <f>'T&amp;D'!AW2</f>
        <v>w/O OT</v>
      </c>
      <c r="AY2" s="105" t="str">
        <f>'T&amp;D'!AX2</f>
        <v>w/O OT</v>
      </c>
      <c r="AZ2" s="105" t="str">
        <f>'T&amp;D'!AY2</f>
        <v>Fri</v>
      </c>
      <c r="BA2" s="105" t="str">
        <f>'T&amp;D'!AZ2</f>
        <v>Sat</v>
      </c>
      <c r="BB2" s="105" t="str">
        <f>'T&amp;D'!BA2</f>
        <v>w/O OT</v>
      </c>
      <c r="BC2" s="105" t="str">
        <f>'T&amp;D'!BB2</f>
        <v>w/O OT</v>
      </c>
      <c r="BD2" s="105" t="str">
        <f>'T&amp;D'!BC2</f>
        <v>w/O OT</v>
      </c>
      <c r="BE2" s="105" t="str">
        <f>'T&amp;D'!BD2</f>
        <v>w/O OT</v>
      </c>
      <c r="BF2" s="105" t="str">
        <f>'T&amp;D'!BE2</f>
        <v>Fri</v>
      </c>
      <c r="BG2" s="105" t="str">
        <f>'T&amp;D'!BF2</f>
        <v>Sat</v>
      </c>
      <c r="BH2" s="105" t="str">
        <f>'T&amp;D'!BG2</f>
        <v>w/O OT</v>
      </c>
      <c r="BI2" s="105" t="str">
        <f>'T&amp;D'!BH2</f>
        <v>w/O OT</v>
      </c>
      <c r="BJ2" s="105" t="str">
        <f>'T&amp;D'!BI2</f>
        <v>w/O OT</v>
      </c>
      <c r="BK2" s="105" t="str">
        <f>'T&amp;D'!BJ2</f>
        <v>w/O OT</v>
      </c>
      <c r="BL2" s="105" t="str">
        <f>'T&amp;D'!BK2</f>
        <v>Fri</v>
      </c>
      <c r="BM2" s="105" t="str">
        <f>'T&amp;D'!BL2</f>
        <v>Sat</v>
      </c>
      <c r="BN2" s="105" t="str">
        <f>'T&amp;D'!BM2</f>
        <v>w/O OT</v>
      </c>
      <c r="BO2" s="105" t="str">
        <f>'T&amp;D'!BN2</f>
        <v>w/O OT</v>
      </c>
      <c r="BP2" s="105" t="str">
        <f>'T&amp;D'!BO2</f>
        <v>w/O OT</v>
      </c>
      <c r="BQ2" s="105" t="str">
        <f>'T&amp;D'!BP2</f>
        <v>w/O OT</v>
      </c>
      <c r="BR2" s="105" t="str">
        <f>'T&amp;D'!BQ2</f>
        <v>Fri</v>
      </c>
      <c r="BS2" s="105" t="str">
        <f>'T&amp;D'!BR2</f>
        <v>Sat</v>
      </c>
      <c r="BT2" s="105" t="str">
        <f>'T&amp;D'!BS2</f>
        <v>w/O OT</v>
      </c>
      <c r="BU2" s="105" t="str">
        <f>'T&amp;D'!BT2</f>
        <v>w/O OT</v>
      </c>
      <c r="BV2" s="105" t="str">
        <f>'T&amp;D'!BU2</f>
        <v>w/O OT</v>
      </c>
      <c r="BW2" s="105" t="str">
        <f>'T&amp;D'!BV2</f>
        <v>w/O OT</v>
      </c>
      <c r="BX2" s="105" t="str">
        <f>'T&amp;D'!BW2</f>
        <v>Fri</v>
      </c>
      <c r="BY2" s="105" t="str">
        <f>'T&amp;D'!BX2</f>
        <v>Sat</v>
      </c>
      <c r="BZ2" s="105" t="str">
        <f>'T&amp;D'!BY2</f>
        <v>w/O OT</v>
      </c>
      <c r="CA2" s="105" t="str">
        <f>'T&amp;D'!BZ2</f>
        <v>w/O OT</v>
      </c>
      <c r="CB2" s="105" t="str">
        <f>'T&amp;D'!CA2</f>
        <v>w/O OT</v>
      </c>
      <c r="CC2" s="105" t="str">
        <f>'T&amp;D'!CB2</f>
        <v>w/O OT</v>
      </c>
      <c r="CD2" s="105" t="str">
        <f>'T&amp;D'!CC2</f>
        <v>Fri</v>
      </c>
      <c r="CE2" s="105" t="str">
        <f>'T&amp;D'!CD2</f>
        <v>Sat</v>
      </c>
    </row>
    <row r="3" spans="1:83" s="80" customFormat="1" x14ac:dyDescent="0.2">
      <c r="A3" s="79"/>
      <c r="C3" s="71" t="s">
        <v>109</v>
      </c>
      <c r="D3" s="75" t="s">
        <v>110</v>
      </c>
      <c r="E3" s="174" t="s">
        <v>90</v>
      </c>
      <c r="F3" s="157"/>
      <c r="L3" s="157"/>
      <c r="M3" s="85"/>
      <c r="N3" s="177"/>
      <c r="O3" s="240"/>
      <c r="P3" s="81"/>
      <c r="Q3" s="81"/>
      <c r="R3" s="82">
        <f>'T&amp;D'!Q3</f>
        <v>46314</v>
      </c>
      <c r="S3" s="82">
        <f>'T&amp;D'!R3</f>
        <v>46315</v>
      </c>
      <c r="T3" s="82">
        <f>'T&amp;D'!S3</f>
        <v>46316</v>
      </c>
      <c r="U3" s="82">
        <f>'T&amp;D'!T3</f>
        <v>46317</v>
      </c>
      <c r="V3" s="82">
        <f>'T&amp;D'!U3</f>
        <v>46318</v>
      </c>
      <c r="W3" s="82">
        <f>'T&amp;D'!V3</f>
        <v>46319</v>
      </c>
      <c r="X3" s="82">
        <f>'T&amp;D'!W3</f>
        <v>46321</v>
      </c>
      <c r="Y3" s="82">
        <f>'T&amp;D'!X3</f>
        <v>46322</v>
      </c>
      <c r="Z3" s="82">
        <f>'T&amp;D'!Y3</f>
        <v>46323</v>
      </c>
      <c r="AA3" s="82">
        <f>'T&amp;D'!Z3</f>
        <v>46324</v>
      </c>
      <c r="AB3" s="82">
        <f>'T&amp;D'!AA3</f>
        <v>46325</v>
      </c>
      <c r="AC3" s="82">
        <f>'T&amp;D'!AB3</f>
        <v>46326</v>
      </c>
      <c r="AD3" s="82">
        <f>'T&amp;D'!AC3</f>
        <v>46328</v>
      </c>
      <c r="AE3" s="82">
        <f>'T&amp;D'!AD3</f>
        <v>46329</v>
      </c>
      <c r="AF3" s="82">
        <f>'T&amp;D'!AE3</f>
        <v>46330</v>
      </c>
      <c r="AG3" s="82">
        <f>'T&amp;D'!AF3</f>
        <v>46331</v>
      </c>
      <c r="AH3" s="82">
        <f>'T&amp;D'!AG3</f>
        <v>46332</v>
      </c>
      <c r="AI3" s="82">
        <f>'T&amp;D'!AH3</f>
        <v>46333</v>
      </c>
      <c r="AJ3" s="82">
        <f>'T&amp;D'!AI3</f>
        <v>46335</v>
      </c>
      <c r="AK3" s="82">
        <f>'T&amp;D'!AJ3</f>
        <v>46336</v>
      </c>
      <c r="AL3" s="82">
        <f>'T&amp;D'!AK3</f>
        <v>46337</v>
      </c>
      <c r="AM3" s="82">
        <f>'T&amp;D'!AL3</f>
        <v>46338</v>
      </c>
      <c r="AN3" s="82">
        <f>'T&amp;D'!AM3</f>
        <v>46339</v>
      </c>
      <c r="AO3" s="82">
        <f>'T&amp;D'!AN3</f>
        <v>46340</v>
      </c>
      <c r="AP3" s="82">
        <f>'T&amp;D'!AO3</f>
        <v>46342</v>
      </c>
      <c r="AQ3" s="82">
        <f>'T&amp;D'!AP3</f>
        <v>46343</v>
      </c>
      <c r="AR3" s="82">
        <f>'T&amp;D'!AQ3</f>
        <v>46344</v>
      </c>
      <c r="AS3" s="82">
        <f>'T&amp;D'!AR3</f>
        <v>46345</v>
      </c>
      <c r="AT3" s="82">
        <f>'T&amp;D'!AS3</f>
        <v>46346</v>
      </c>
      <c r="AU3" s="82">
        <f>'T&amp;D'!AT3</f>
        <v>46347</v>
      </c>
      <c r="AV3" s="82">
        <f>'T&amp;D'!AU3</f>
        <v>46349</v>
      </c>
      <c r="AW3" s="82">
        <f>'T&amp;D'!AV3</f>
        <v>46350</v>
      </c>
      <c r="AX3" s="82">
        <f>'T&amp;D'!AW3</f>
        <v>46351</v>
      </c>
      <c r="AY3" s="82">
        <f>'T&amp;D'!AX3</f>
        <v>46352</v>
      </c>
      <c r="AZ3" s="82">
        <f>'T&amp;D'!AY3</f>
        <v>46353</v>
      </c>
      <c r="BA3" s="82">
        <f>'T&amp;D'!AZ3</f>
        <v>46354</v>
      </c>
      <c r="BB3" s="82">
        <f>'T&amp;D'!BA3</f>
        <v>46356</v>
      </c>
      <c r="BC3" s="82">
        <f>'T&amp;D'!BB3</f>
        <v>46357</v>
      </c>
      <c r="BD3" s="82">
        <f>'T&amp;D'!BC3</f>
        <v>46358</v>
      </c>
      <c r="BE3" s="82">
        <f>'T&amp;D'!BD3</f>
        <v>46359</v>
      </c>
      <c r="BF3" s="82">
        <f>'T&amp;D'!BE3</f>
        <v>46360</v>
      </c>
      <c r="BG3" s="82">
        <f>'T&amp;D'!BF3</f>
        <v>46361</v>
      </c>
      <c r="BH3" s="82">
        <f>'T&amp;D'!BG3</f>
        <v>46363</v>
      </c>
      <c r="BI3" s="82">
        <f>'T&amp;D'!BH3</f>
        <v>46364</v>
      </c>
      <c r="BJ3" s="82">
        <f>'T&amp;D'!BI3</f>
        <v>46365</v>
      </c>
      <c r="BK3" s="82">
        <f>'T&amp;D'!BJ3</f>
        <v>46366</v>
      </c>
      <c r="BL3" s="82">
        <f>'T&amp;D'!BK3</f>
        <v>46367</v>
      </c>
      <c r="BM3" s="82">
        <f>'T&amp;D'!BL3</f>
        <v>46368</v>
      </c>
      <c r="BN3" s="82">
        <f>'T&amp;D'!BM3</f>
        <v>46370</v>
      </c>
      <c r="BO3" s="82">
        <f>'T&amp;D'!BN3</f>
        <v>46371</v>
      </c>
      <c r="BP3" s="82">
        <f>'T&amp;D'!BO3</f>
        <v>46372</v>
      </c>
      <c r="BQ3" s="82">
        <f>'T&amp;D'!BP3</f>
        <v>46373</v>
      </c>
      <c r="BR3" s="82">
        <f>'T&amp;D'!BQ3</f>
        <v>46374</v>
      </c>
      <c r="BS3" s="82">
        <f>'T&amp;D'!BR3</f>
        <v>46375</v>
      </c>
      <c r="BT3" s="82">
        <f>'T&amp;D'!BS3</f>
        <v>46377</v>
      </c>
      <c r="BU3" s="82">
        <f>'T&amp;D'!BT3</f>
        <v>46378</v>
      </c>
      <c r="BV3" s="82">
        <f>'T&amp;D'!BU3</f>
        <v>46379</v>
      </c>
      <c r="BW3" s="82">
        <f>'T&amp;D'!BV3</f>
        <v>46380</v>
      </c>
      <c r="BX3" s="82">
        <f>'T&amp;D'!BW3</f>
        <v>46381</v>
      </c>
      <c r="BY3" s="82">
        <f>'T&amp;D'!BX3</f>
        <v>46382</v>
      </c>
      <c r="BZ3" s="82">
        <f>'T&amp;D'!BY3</f>
        <v>46384</v>
      </c>
      <c r="CA3" s="82">
        <f>'T&amp;D'!BZ3</f>
        <v>46385</v>
      </c>
      <c r="CB3" s="82">
        <f>'T&amp;D'!CA3</f>
        <v>46386</v>
      </c>
      <c r="CC3" s="82">
        <f>'T&amp;D'!CB3</f>
        <v>46387</v>
      </c>
      <c r="CD3" s="82">
        <f>'T&amp;D'!CC3</f>
        <v>46388</v>
      </c>
      <c r="CE3" s="82">
        <f>'T&amp;D'!CD3</f>
        <v>46389</v>
      </c>
    </row>
    <row r="4" spans="1:83" s="84" customFormat="1" x14ac:dyDescent="0.2">
      <c r="A4" s="83"/>
      <c r="D4" s="173"/>
      <c r="E4" s="174" t="s">
        <v>228</v>
      </c>
      <c r="F4" s="157">
        <f>SUM(F8:F4663)</f>
        <v>28019</v>
      </c>
      <c r="G4" s="85"/>
      <c r="H4" s="177"/>
      <c r="I4" s="85">
        <f>45.5/5</f>
        <v>9.1</v>
      </c>
      <c r="L4" s="85">
        <f>SUM(L8:L4663)</f>
        <v>24.507038873626374</v>
      </c>
      <c r="M4" s="85"/>
      <c r="N4" s="178">
        <f>'T&amp;D'!M4+N2</f>
        <v>46319</v>
      </c>
      <c r="O4" s="177"/>
      <c r="P4" s="81"/>
      <c r="Q4" s="81"/>
      <c r="R4" s="104">
        <f>'T&amp;D'!Q4</f>
        <v>45817</v>
      </c>
      <c r="S4" s="104">
        <f>'T&amp;D'!R4</f>
        <v>45818</v>
      </c>
      <c r="T4" s="104">
        <f>'T&amp;D'!S4</f>
        <v>45819</v>
      </c>
      <c r="U4" s="104">
        <f>'T&amp;D'!T4</f>
        <v>45820</v>
      </c>
      <c r="V4" s="104">
        <f>'T&amp;D'!U4</f>
        <v>45821</v>
      </c>
      <c r="W4" s="104">
        <f>'T&amp;D'!V4</f>
        <v>45822</v>
      </c>
      <c r="X4" s="104">
        <f>'T&amp;D'!W4</f>
        <v>45824</v>
      </c>
      <c r="Y4" s="104">
        <f>'T&amp;D'!X4</f>
        <v>45825</v>
      </c>
      <c r="Z4" s="104">
        <f>'T&amp;D'!Y4</f>
        <v>45826</v>
      </c>
      <c r="AA4" s="104">
        <f>'T&amp;D'!Z4</f>
        <v>45827</v>
      </c>
      <c r="AB4" s="104">
        <f>'T&amp;D'!AA4</f>
        <v>45828</v>
      </c>
      <c r="AC4" s="104">
        <f>'T&amp;D'!AB4</f>
        <v>45829</v>
      </c>
      <c r="AD4" s="104">
        <f>'T&amp;D'!AC4</f>
        <v>45831</v>
      </c>
      <c r="AE4" s="104">
        <f>'T&amp;D'!AD4</f>
        <v>45832</v>
      </c>
      <c r="AF4" s="104">
        <f>'T&amp;D'!AE4</f>
        <v>45833</v>
      </c>
      <c r="AG4" s="104">
        <f>'T&amp;D'!AF4</f>
        <v>45834</v>
      </c>
      <c r="AH4" s="104">
        <f>'T&amp;D'!AG4</f>
        <v>45835</v>
      </c>
      <c r="AI4" s="104">
        <f>'T&amp;D'!AH4</f>
        <v>45836</v>
      </c>
      <c r="AJ4" s="104">
        <f>'T&amp;D'!AI4</f>
        <v>45838</v>
      </c>
      <c r="AK4" s="104">
        <f>'T&amp;D'!AJ4</f>
        <v>45839</v>
      </c>
      <c r="AL4" s="104">
        <f>'T&amp;D'!AK4</f>
        <v>45840</v>
      </c>
      <c r="AM4" s="104">
        <f>'T&amp;D'!AL4</f>
        <v>45841</v>
      </c>
      <c r="AN4" s="104">
        <f>'T&amp;D'!AM4</f>
        <v>45842</v>
      </c>
      <c r="AO4" s="104">
        <f>'T&amp;D'!AN4</f>
        <v>45843</v>
      </c>
      <c r="AP4" s="104">
        <f>'T&amp;D'!AO4</f>
        <v>45845</v>
      </c>
      <c r="AQ4" s="104">
        <f>'T&amp;D'!AP4</f>
        <v>45846</v>
      </c>
      <c r="AR4" s="104">
        <f>'T&amp;D'!AQ4</f>
        <v>45847</v>
      </c>
      <c r="AS4" s="104">
        <f>'T&amp;D'!AR4</f>
        <v>45848</v>
      </c>
      <c r="AT4" s="104">
        <f>'T&amp;D'!AS4</f>
        <v>45849</v>
      </c>
      <c r="AU4" s="104">
        <f>'T&amp;D'!AT4</f>
        <v>45850</v>
      </c>
      <c r="AV4" s="104">
        <f>'T&amp;D'!AU4</f>
        <v>45852</v>
      </c>
      <c r="AW4" s="104">
        <f>'T&amp;D'!AV4</f>
        <v>45853</v>
      </c>
      <c r="AX4" s="104">
        <f>'T&amp;D'!AW4</f>
        <v>45854</v>
      </c>
      <c r="AY4" s="104">
        <f>'T&amp;D'!AX4</f>
        <v>45855</v>
      </c>
      <c r="AZ4" s="104">
        <f>'T&amp;D'!AY4</f>
        <v>45856</v>
      </c>
      <c r="BA4" s="104">
        <f>'T&amp;D'!AZ4</f>
        <v>45857</v>
      </c>
      <c r="BB4" s="104">
        <f>'T&amp;D'!BA4</f>
        <v>45859</v>
      </c>
      <c r="BC4" s="104">
        <f>'T&amp;D'!BB4</f>
        <v>45860</v>
      </c>
      <c r="BD4" s="104">
        <f>'T&amp;D'!BC4</f>
        <v>45861</v>
      </c>
      <c r="BE4" s="104">
        <f>'T&amp;D'!BD4</f>
        <v>45862</v>
      </c>
      <c r="BF4" s="104">
        <f>'T&amp;D'!BE4</f>
        <v>45863</v>
      </c>
      <c r="BG4" s="104">
        <f>'T&amp;D'!BF4</f>
        <v>45864</v>
      </c>
      <c r="BH4" s="104">
        <f>'T&amp;D'!BG4</f>
        <v>45866</v>
      </c>
      <c r="BI4" s="104">
        <f>'T&amp;D'!BH4</f>
        <v>45867</v>
      </c>
      <c r="BJ4" s="104">
        <f>'T&amp;D'!BI4</f>
        <v>45868</v>
      </c>
      <c r="BK4" s="104">
        <f>'T&amp;D'!BJ4</f>
        <v>45869</v>
      </c>
      <c r="BL4" s="104">
        <f>'T&amp;D'!BK4</f>
        <v>45870</v>
      </c>
      <c r="BM4" s="104">
        <f>'T&amp;D'!BL4</f>
        <v>45871</v>
      </c>
      <c r="BN4" s="104">
        <f>'T&amp;D'!BM4</f>
        <v>45873</v>
      </c>
      <c r="BO4" s="104">
        <f>'T&amp;D'!BN4</f>
        <v>45874</v>
      </c>
      <c r="BP4" s="104">
        <f>'T&amp;D'!BO4</f>
        <v>45875</v>
      </c>
      <c r="BQ4" s="104">
        <f>'T&amp;D'!BP4</f>
        <v>45876</v>
      </c>
      <c r="BR4" s="104">
        <f>'T&amp;D'!BQ4</f>
        <v>45877</v>
      </c>
      <c r="BS4" s="104">
        <f>'T&amp;D'!BR4</f>
        <v>45878</v>
      </c>
      <c r="BT4" s="104">
        <f>'T&amp;D'!BS4</f>
        <v>45880</v>
      </c>
      <c r="BU4" s="104">
        <f>'T&amp;D'!BT4</f>
        <v>45881</v>
      </c>
      <c r="BV4" s="104">
        <f>'T&amp;D'!BU4</f>
        <v>45882</v>
      </c>
      <c r="BW4" s="104">
        <f>'T&amp;D'!BV4</f>
        <v>45883</v>
      </c>
      <c r="BX4" s="104">
        <f>'T&amp;D'!BW4</f>
        <v>45884</v>
      </c>
      <c r="BY4" s="104">
        <f>'T&amp;D'!BX4</f>
        <v>45885</v>
      </c>
      <c r="BZ4" s="104">
        <f>'T&amp;D'!BY4</f>
        <v>45887</v>
      </c>
      <c r="CA4" s="104">
        <f>'T&amp;D'!BZ4</f>
        <v>45888</v>
      </c>
      <c r="CB4" s="104">
        <f>'T&amp;D'!CA4</f>
        <v>45889</v>
      </c>
      <c r="CC4" s="104">
        <f>'T&amp;D'!CB4</f>
        <v>45890</v>
      </c>
      <c r="CD4" s="104">
        <f>'T&amp;D'!CC4</f>
        <v>45891</v>
      </c>
      <c r="CE4" s="104">
        <f>'T&amp;D'!CD4</f>
        <v>45892</v>
      </c>
    </row>
    <row r="5" spans="1:83" s="84" customFormat="1" ht="11.25" customHeight="1" x14ac:dyDescent="0.2">
      <c r="A5" s="386" t="s">
        <v>385</v>
      </c>
      <c r="B5" s="386" t="s">
        <v>214</v>
      </c>
      <c r="C5" s="387" t="s">
        <v>91</v>
      </c>
      <c r="D5" s="388" t="s">
        <v>0</v>
      </c>
      <c r="E5" s="389" t="s">
        <v>103</v>
      </c>
      <c r="F5" s="388" t="s">
        <v>89</v>
      </c>
      <c r="G5" s="392" t="s">
        <v>93</v>
      </c>
      <c r="H5" s="388" t="s">
        <v>94</v>
      </c>
      <c r="I5" s="390" t="s">
        <v>95</v>
      </c>
      <c r="J5" s="393" t="s">
        <v>519</v>
      </c>
      <c r="K5" s="393" t="s">
        <v>520</v>
      </c>
      <c r="L5" s="390" t="s">
        <v>241</v>
      </c>
      <c r="M5" s="390" t="s">
        <v>240</v>
      </c>
      <c r="N5" s="389" t="s">
        <v>98</v>
      </c>
      <c r="O5" s="389" t="s">
        <v>99</v>
      </c>
      <c r="P5" s="391" t="s">
        <v>102</v>
      </c>
      <c r="Q5" s="125" t="s">
        <v>106</v>
      </c>
      <c r="R5" s="126" cm="1">
        <f t="array" ref="R5">_xlfn.IFS(R2="w/ OT",12.25,R2="w/o OT",9.5,R2="FRI",7.5,R2="SAT",7.5,R2="SUN",7.5,R2="OFF",0)</f>
        <v>9.5</v>
      </c>
      <c r="S5" s="126" cm="1">
        <f t="array" ref="S5">_xlfn.IFS(S2="w/ OT",12.25,S2="w/o OT",9.5,S2="FRI",7.5,S2="SAT",7.5,S2="SUN",7.5,S2="OFF",0)</f>
        <v>9.5</v>
      </c>
      <c r="T5" s="126" cm="1">
        <f t="array" ref="T5">_xlfn.IFS(T2="w/ OT",12.25,T2="w/o OT",9.5,T2="FRI",7.5,T2="SAT",7.5,T2="SUN",7.5,T2="OFF",0)</f>
        <v>9.5</v>
      </c>
      <c r="U5" s="126" cm="1">
        <f t="array" ref="U5">_xlfn.IFS(U2="w/ OT",12.25,U2="w/o OT",9.5,U2="FRI",7.5,U2="SAT",7.5,U2="SUN",7.5,U2="OFF",0)</f>
        <v>9.5</v>
      </c>
      <c r="V5" s="126" cm="1">
        <f t="array" ref="V5">_xlfn.IFS(V2="w/ OT",12.25,V2="w/o OT",9.5,V2="FRI",7.5,V2="SAT",7.5,V2="SUN",7.5,V2="OFF",0)</f>
        <v>7.5</v>
      </c>
      <c r="W5" s="126" cm="1">
        <f t="array" ref="W5">_xlfn.IFS(W2="w/ OT",12.25,W2="w/o OT",9.5,W2="FRI",7.5,W2="SAT",7.5,W2="SUN",7.5,W2="OFF",0)</f>
        <v>7.5</v>
      </c>
      <c r="X5" s="126" cm="1">
        <f t="array" ref="X5">_xlfn.IFS(X2="w/ OT",12.25,X2="w/o OT",9.5,X2="FRI",7.5,X2="SAT",7.5,X2="SUN",7.5,X2="OFF",0)</f>
        <v>9.5</v>
      </c>
      <c r="Y5" s="126" cm="1">
        <f t="array" ref="Y5">_xlfn.IFS(Y2="w/ OT",12.25,Y2="w/o OT",9.5,Y2="FRI",7.5,Y2="SAT",7.5,Y2="SUN",7.5,Y2="OFF",0)</f>
        <v>9.5</v>
      </c>
      <c r="Z5" s="126" cm="1">
        <f t="array" ref="Z5">_xlfn.IFS(Z2="w/ OT",12.25,Z2="w/o OT",9.5,Z2="FRI",7.5,Z2="SAT",7.5,Z2="SUN",7.5,Z2="OFF",0)</f>
        <v>9.5</v>
      </c>
      <c r="AA5" s="126" cm="1">
        <f t="array" ref="AA5">_xlfn.IFS(AA2="w/ OT",12.25,AA2="w/o OT",9.5,AA2="FRI",7.5,AA2="SAT",7.5,AA2="SUN",7.5,AA2="OFF",0)</f>
        <v>9.5</v>
      </c>
      <c r="AB5" s="126" cm="1">
        <f t="array" ref="AB5">_xlfn.IFS(AB2="w/ OT",12.25,AB2="w/o OT",9.5,AB2="FRI",7.5,AB2="SAT",7.5,AB2="SUN",7.5,AB2="OFF",0)</f>
        <v>7.5</v>
      </c>
      <c r="AC5" s="126" cm="1">
        <f t="array" ref="AC5">_xlfn.IFS(AC2="w/ OT",12.25,AC2="w/o OT",9.5,AC2="FRI",7.5,AC2="SAT",7.5,AC2="SUN",7.5,AC2="OFF",0)</f>
        <v>7.5</v>
      </c>
      <c r="AD5" s="126" cm="1">
        <f t="array" ref="AD5">_xlfn.IFS(AD2="w/ OT",12.25,AD2="w/o OT",9.5,AD2="FRI",7.5,AD2="SAT",7.5,AD2="SUN",7.5,AD2="OFF",0)</f>
        <v>9.5</v>
      </c>
      <c r="AE5" s="126" cm="1">
        <f t="array" ref="AE5">_xlfn.IFS(AE2="w/ OT",12.25,AE2="w/o OT",9.5,AE2="FRI",7.5,AE2="SAT",7.5,AE2="SUN",7.5,AE2="OFF",0)</f>
        <v>9.5</v>
      </c>
      <c r="AF5" s="126" cm="1">
        <f t="array" ref="AF5">_xlfn.IFS(AF2="w/ OT",12.25,AF2="w/o OT",9.5,AF2="FRI",7.5,AF2="SAT",7.5,AF2="SUN",7.5,AF2="OFF",0)</f>
        <v>9.5</v>
      </c>
      <c r="AG5" s="126" cm="1">
        <f t="array" ref="AG5">_xlfn.IFS(AG2="w/ OT",12.25,AG2="w/o OT",9.5,AG2="FRI",7.5,AG2="SAT",7.5,AG2="SUN",7.5,AG2="OFF",0)</f>
        <v>9.5</v>
      </c>
      <c r="AH5" s="126" cm="1">
        <f t="array" ref="AH5">_xlfn.IFS(AH2="w/ OT",12.25,AH2="w/o OT",9.5,AH2="FRI",7.5,AH2="SAT",7.5,AH2="SUN",7.5,AH2="OFF",0)</f>
        <v>7.5</v>
      </c>
      <c r="AI5" s="126" cm="1">
        <f t="array" ref="AI5">_xlfn.IFS(AI2="w/ OT",12.25,AI2="w/o OT",9.5,AI2="FRI",7.5,AI2="SAT",7.5,AI2="SUN",7.5,AI2="OFF",0)</f>
        <v>7.5</v>
      </c>
      <c r="AJ5" s="126" cm="1">
        <f t="array" ref="AJ5">_xlfn.IFS(AJ2="w/ OT",12.25,AJ2="w/o OT",9.5,AJ2="FRI",7.5,AJ2="SAT",7.5,AJ2="SUN",7.5,AJ2="OFF",0)</f>
        <v>9.5</v>
      </c>
      <c r="AK5" s="126" cm="1">
        <f t="array" ref="AK5">_xlfn.IFS(AK2="w/ OT",12.25,AK2="w/o OT",9.5,AK2="FRI",7.5,AK2="SAT",7.5,AK2="SUN",7.5,AK2="OFF",0)</f>
        <v>9.5</v>
      </c>
      <c r="AL5" s="126" cm="1">
        <f t="array" ref="AL5">_xlfn.IFS(AL2="w/ OT",12.25,AL2="w/o OT",9.5,AL2="FRI",7.5,AL2="SAT",7.5,AL2="SUN",7.5,AL2="OFF",0)</f>
        <v>9.5</v>
      </c>
      <c r="AM5" s="126" cm="1">
        <f t="array" ref="AM5">_xlfn.IFS(AM2="w/ OT",12.25,AM2="w/o OT",9.5,AM2="FRI",7.5,AM2="SAT",7.5,AM2="SUN",7.5,AM2="OFF",0)</f>
        <v>9.5</v>
      </c>
      <c r="AN5" s="126" cm="1">
        <f t="array" ref="AN5">_xlfn.IFS(AN2="w/ OT",12.25,AN2="w/o OT",9.5,AN2="FRI",7.5,AN2="SAT",7.5,AN2="SUN",7.5,AN2="OFF",0)</f>
        <v>7.5</v>
      </c>
      <c r="AO5" s="126" cm="1">
        <f t="array" ref="AO5">_xlfn.IFS(AO2="w/ OT",12.25,AO2="w/o OT",9.5,AO2="FRI",7.5,AO2="SAT",7.5,AO2="SUN",7.5,AO2="OFF",0)</f>
        <v>7.5</v>
      </c>
      <c r="AP5" s="126" cm="1">
        <f t="array" ref="AP5">_xlfn.IFS(AP2="w/ OT",12.25,AP2="w/o OT",9.5,AP2="FRI",7.5,AP2="SAT",7.5,AP2="SUN",7.5,AP2="OFF",0)</f>
        <v>9.5</v>
      </c>
      <c r="AQ5" s="126" cm="1">
        <f t="array" ref="AQ5">_xlfn.IFS(AQ2="w/ OT",12.25,AQ2="w/o OT",9.5,AQ2="FRI",7.5,AQ2="SAT",7.5,AQ2="SUN",7.5,AQ2="OFF",0)</f>
        <v>9.5</v>
      </c>
      <c r="AR5" s="126" cm="1">
        <f t="array" ref="AR5">_xlfn.IFS(AR2="w/ OT",12.25,AR2="w/o OT",9.5,AR2="FRI",7.5,AR2="SAT",7.5,AR2="SUN",7.5,AR2="OFF",0)</f>
        <v>9.5</v>
      </c>
      <c r="AS5" s="126" cm="1">
        <f t="array" ref="AS5">_xlfn.IFS(AS2="w/ OT",12.25,AS2="w/o OT",9.5,AS2="FRI",7.5,AS2="SAT",7.5,AS2="SUN",7.5,AS2="OFF",0)</f>
        <v>9.5</v>
      </c>
      <c r="AT5" s="126" cm="1">
        <f t="array" ref="AT5">_xlfn.IFS(AT2="w/ OT",12.25,AT2="w/o OT",9.5,AT2="FRI",7.5,AT2="SAT",7.5,AT2="SUN",7.5,AT2="OFF",0)</f>
        <v>7.5</v>
      </c>
      <c r="AU5" s="126" cm="1">
        <f t="array" ref="AU5">_xlfn.IFS(AU2="w/ OT",12.25,AU2="w/o OT",9.5,AU2="FRI",7.5,AU2="SAT",7.5,AU2="SUN",7.5,AU2="OFF",0)</f>
        <v>7.5</v>
      </c>
      <c r="AV5" s="126" cm="1">
        <f t="array" ref="AV5">_xlfn.IFS(AV2="w/ OT",12.25,AV2="w/o OT",9.5,AV2="FRI",7.5,AV2="SAT",7.5,AV2="SUN",7.5,AV2="OFF",0)</f>
        <v>9.5</v>
      </c>
      <c r="AW5" s="126" cm="1">
        <f t="array" ref="AW5">_xlfn.IFS(AW2="w/ OT",12.25,AW2="w/o OT",9.5,AW2="FRI",7.5,AW2="SAT",7.5,AW2="SUN",7.5,AW2="OFF",0)</f>
        <v>9.5</v>
      </c>
      <c r="AX5" s="126" cm="1">
        <f t="array" ref="AX5">_xlfn.IFS(AX2="w/ OT",12.25,AX2="w/o OT",9.5,AX2="FRI",7.5,AX2="SAT",7.5,AX2="SUN",7.5,AX2="OFF",0)</f>
        <v>9.5</v>
      </c>
      <c r="AY5" s="126" cm="1">
        <f t="array" ref="AY5">_xlfn.IFS(AY2="w/ OT",12.25,AY2="w/o OT",9.5,AY2="FRI",7.5,AY2="SAT",7.5,AY2="SUN",7.5,AY2="OFF",0)</f>
        <v>9.5</v>
      </c>
      <c r="AZ5" s="126" cm="1">
        <f t="array" ref="AZ5">_xlfn.IFS(AZ2="w/ OT",12.25,AZ2="w/o OT",9.5,AZ2="FRI",7.5,AZ2="SAT",7.5,AZ2="SUN",7.5,AZ2="OFF",0)</f>
        <v>7.5</v>
      </c>
      <c r="BA5" s="126" cm="1">
        <f t="array" ref="BA5">_xlfn.IFS(BA2="w/ OT",12.25,BA2="w/o OT",9.5,BA2="FRI",7.5,BA2="SAT",7.5,BA2="SUN",7.5,BA2="OFF",0)</f>
        <v>7.5</v>
      </c>
      <c r="BB5" s="126" cm="1">
        <f t="array" ref="BB5">_xlfn.IFS(BB2="w/ OT",12.25,BB2="w/o OT",9.5,BB2="FRI",7.5,BB2="SAT",7.5,BB2="SUN",7.5,BB2="OFF",0)</f>
        <v>9.5</v>
      </c>
      <c r="BC5" s="126" cm="1">
        <f t="array" ref="BC5">_xlfn.IFS(BC2="w/ OT",12.25,BC2="w/o OT",9.5,BC2="FRI",7.5,BC2="SAT",7.5,BC2="SUN",7.5,BC2="OFF",0)</f>
        <v>9.5</v>
      </c>
      <c r="BD5" s="126" cm="1">
        <f t="array" ref="BD5">_xlfn.IFS(BD2="w/ OT",12.25,BD2="w/o OT",9.5,BD2="FRI",7.5,BD2="SAT",7.5,BD2="SUN",7.5,BD2="OFF",0)</f>
        <v>9.5</v>
      </c>
      <c r="BE5" s="126" cm="1">
        <f t="array" ref="BE5">_xlfn.IFS(BE2="w/ OT",12.25,BE2="w/o OT",9.5,BE2="FRI",7.5,BE2="SAT",7.5,BE2="SUN",7.5,BE2="OFF",0)</f>
        <v>9.5</v>
      </c>
      <c r="BF5" s="126" cm="1">
        <f t="array" ref="BF5">_xlfn.IFS(BF2="w/ OT",12.25,BF2="w/o OT",9.5,BF2="FRI",7.5,BF2="SAT",7.5,BF2="SUN",7.5,BF2="OFF",0)</f>
        <v>7.5</v>
      </c>
      <c r="BG5" s="126" cm="1">
        <f t="array" ref="BG5">_xlfn.IFS(BG2="w/ OT",12.25,BG2="w/o OT",9.5,BG2="FRI",7.5,BG2="SAT",7.5,BG2="SUN",7.5,BG2="OFF",0)</f>
        <v>7.5</v>
      </c>
      <c r="BH5" s="126" cm="1">
        <f t="array" ref="BH5">_xlfn.IFS(BH2="w/ OT",12.25,BH2="w/o OT",9.5,BH2="FRI",7.5,BH2="SAT",7.5,BH2="SUN",7.5,BH2="OFF",0)</f>
        <v>9.5</v>
      </c>
      <c r="BI5" s="126" cm="1">
        <f t="array" ref="BI5">_xlfn.IFS(BI2="w/ OT",12.25,BI2="w/o OT",9.5,BI2="FRI",7.5,BI2="SAT",7.5,BI2="SUN",7.5,BI2="OFF",0)</f>
        <v>9.5</v>
      </c>
      <c r="BJ5" s="126" cm="1">
        <f t="array" ref="BJ5">_xlfn.IFS(BJ2="w/ OT",12.25,BJ2="w/o OT",9.5,BJ2="FRI",7.5,BJ2="SAT",7.5,BJ2="SUN",7.5,BJ2="OFF",0)</f>
        <v>9.5</v>
      </c>
      <c r="BK5" s="126" cm="1">
        <f t="array" ref="BK5">_xlfn.IFS(BK2="w/ OT",12.25,BK2="w/o OT",9.5,BK2="FRI",7.5,BK2="SAT",7.5,BK2="SUN",7.5,BK2="OFF",0)</f>
        <v>9.5</v>
      </c>
      <c r="BL5" s="126" cm="1">
        <f t="array" ref="BL5">_xlfn.IFS(BL2="w/ OT",12.25,BL2="w/o OT",9.5,BL2="FRI",7.5,BL2="SAT",7.5,BL2="SUN",7.5,BL2="OFF",0)</f>
        <v>7.5</v>
      </c>
      <c r="BM5" s="126" cm="1">
        <f t="array" ref="BM5">_xlfn.IFS(BM2="w/ OT",12.25,BM2="w/o OT",9.5,BM2="FRI",7.5,BM2="SAT",7.5,BM2="SUN",7.5,BM2="OFF",0)</f>
        <v>7.5</v>
      </c>
      <c r="BN5" s="126" cm="1">
        <f t="array" ref="BN5">_xlfn.IFS(BN2="w/ OT",12.25,BN2="w/o OT",9.5,BN2="FRI",7.5,BN2="SAT",7.5,BN2="SUN",7.5,BN2="OFF",0)</f>
        <v>9.5</v>
      </c>
      <c r="BO5" s="126" cm="1">
        <f t="array" ref="BO5">_xlfn.IFS(BO2="w/ OT",12.25,BO2="w/o OT",9.5,BO2="FRI",7.5,BO2="SAT",7.5,BO2="SUN",7.5,BO2="OFF",0)</f>
        <v>9.5</v>
      </c>
      <c r="BP5" s="126" cm="1">
        <f t="array" ref="BP5">_xlfn.IFS(BP2="w/ OT",12.25,BP2="w/o OT",9.5,BP2="FRI",7.5,BP2="SAT",7.5,BP2="SUN",7.5,BP2="OFF",0)</f>
        <v>9.5</v>
      </c>
      <c r="BQ5" s="126" cm="1">
        <f t="array" ref="BQ5">_xlfn.IFS(BQ2="w/ OT",12.25,BQ2="w/o OT",9.5,BQ2="FRI",7.5,BQ2="SAT",7.5,BQ2="SUN",7.5,BQ2="OFF",0)</f>
        <v>9.5</v>
      </c>
      <c r="BR5" s="126" cm="1">
        <f t="array" ref="BR5">_xlfn.IFS(BR2="w/ OT",12.25,BR2="w/o OT",9.5,BR2="FRI",7.5,BR2="SAT",7.5,BR2="SUN",7.5,BR2="OFF",0)</f>
        <v>7.5</v>
      </c>
      <c r="BS5" s="126" cm="1">
        <f t="array" ref="BS5">_xlfn.IFS(BS2="w/ OT",12.25,BS2="w/o OT",9.5,BS2="FRI",7.5,BS2="SAT",7.5,BS2="SUN",7.5,BS2="OFF",0)</f>
        <v>7.5</v>
      </c>
      <c r="BT5" s="126" cm="1">
        <f t="array" ref="BT5">_xlfn.IFS(BT2="w/ OT",12.25,BT2="w/o OT",9.5,BT2="FRI",7.5,BT2="SAT",7.5,BT2="SUN",7.5,BT2="OFF",0)</f>
        <v>9.5</v>
      </c>
      <c r="BU5" s="126" cm="1">
        <f t="array" ref="BU5">_xlfn.IFS(BU2="w/ OT",12.25,BU2="w/o OT",9.5,BU2="FRI",7.5,BU2="SAT",7.5,BU2="SUN",7.5,BU2="OFF",0)</f>
        <v>9.5</v>
      </c>
      <c r="BV5" s="126" cm="1">
        <f t="array" ref="BV5">_xlfn.IFS(BV2="w/ OT",12.25,BV2="w/o OT",9.5,BV2="FRI",7.5,BV2="SAT",7.5,BV2="SUN",7.5,BV2="OFF",0)</f>
        <v>9.5</v>
      </c>
      <c r="BW5" s="126" cm="1">
        <f t="array" ref="BW5">_xlfn.IFS(BW2="w/ OT",12.25,BW2="w/o OT",9.5,BW2="FRI",7.5,BW2="SAT",7.5,BW2="SUN",7.5,BW2="OFF",0)</f>
        <v>9.5</v>
      </c>
      <c r="BX5" s="126" cm="1">
        <f t="array" ref="BX5">_xlfn.IFS(BX2="w/ OT",12.25,BX2="w/o OT",9.5,BX2="FRI",7.5,BX2="SAT",7.5,BX2="SUN",7.5,BX2="OFF",0)</f>
        <v>7.5</v>
      </c>
      <c r="BY5" s="126" cm="1">
        <f t="array" ref="BY5">_xlfn.IFS(BY2="w/ OT",12.25,BY2="w/o OT",9.5,BY2="FRI",7.5,BY2="SAT",7.5,BY2="SUN",7.5,BY2="OFF",0)</f>
        <v>7.5</v>
      </c>
      <c r="BZ5" s="126" cm="1">
        <f t="array" ref="BZ5">_xlfn.IFS(BZ2="w/ OT",12.25,BZ2="w/o OT",9.5,BZ2="FRI",7.5,BZ2="SAT",7.5,BZ2="SUN",7.5,BZ2="OFF",0)</f>
        <v>9.5</v>
      </c>
      <c r="CA5" s="126" cm="1">
        <f t="array" ref="CA5">_xlfn.IFS(CA2="w/ OT",12.25,CA2="w/o OT",9.5,CA2="FRI",7.5,CA2="SAT",7.5,CA2="SUN",7.5,CA2="OFF",0)</f>
        <v>9.5</v>
      </c>
      <c r="CB5" s="126" cm="1">
        <f t="array" ref="CB5">_xlfn.IFS(CB2="w/ OT",12.25,CB2="w/o OT",9.5,CB2="FRI",7.5,CB2="SAT",7.5,CB2="SUN",7.5,CB2="OFF",0)</f>
        <v>9.5</v>
      </c>
      <c r="CC5" s="126" cm="1">
        <f t="array" ref="CC5">_xlfn.IFS(CC2="w/ OT",12.25,CC2="w/o OT",9.5,CC2="FRI",7.5,CC2="SAT",7.5,CC2="SUN",7.5,CC2="OFF",0)</f>
        <v>9.5</v>
      </c>
      <c r="CD5" s="126" cm="1">
        <f t="array" ref="CD5">_xlfn.IFS(CD2="w/ OT",12.25,CD2="w/o OT",9.5,CD2="FRI",7.5,CD2="SAT",7.5,CD2="SUN",7.5,CD2="OFF",0)</f>
        <v>7.5</v>
      </c>
      <c r="CE5" s="126" cm="1">
        <f t="array" ref="CE5">_xlfn.IFS(CE2="w/ OT",12.25,CE2="w/o OT",9.5,CE2="FRI",7.5,CE2="SAT",7.5,CE2="SUN",7.5,CE2="OFF",0)</f>
        <v>7.5</v>
      </c>
    </row>
    <row r="6" spans="1:83" ht="33.75" customHeight="1" x14ac:dyDescent="0.2">
      <c r="A6" s="386"/>
      <c r="B6" s="386"/>
      <c r="C6" s="387"/>
      <c r="D6" s="388"/>
      <c r="E6" s="389"/>
      <c r="F6" s="388"/>
      <c r="G6" s="392"/>
      <c r="H6" s="388"/>
      <c r="I6" s="390"/>
      <c r="J6" s="393"/>
      <c r="K6" s="393"/>
      <c r="L6" s="390"/>
      <c r="M6" s="390"/>
      <c r="N6" s="389"/>
      <c r="O6" s="389"/>
      <c r="P6" s="391"/>
      <c r="Q6" s="123" t="s">
        <v>107</v>
      </c>
      <c r="R6" s="124"/>
      <c r="S6" s="124"/>
      <c r="T6" s="124"/>
      <c r="U6" s="124"/>
      <c r="V6" s="124"/>
      <c r="W6" s="124"/>
      <c r="X6" s="124"/>
      <c r="Y6" s="124"/>
      <c r="Z6" s="124"/>
      <c r="AA6" s="124"/>
      <c r="AB6" s="124"/>
      <c r="AC6" s="124"/>
      <c r="AD6" s="124"/>
      <c r="AE6" s="124"/>
      <c r="AF6" s="124"/>
      <c r="AG6" s="124"/>
      <c r="AH6" s="124"/>
      <c r="AI6" s="124"/>
      <c r="AJ6" s="124"/>
      <c r="AK6" s="124"/>
      <c r="AL6" s="124"/>
      <c r="AM6" s="124"/>
      <c r="AN6" s="124"/>
      <c r="AO6" s="124"/>
      <c r="AP6" s="124"/>
      <c r="AQ6" s="124"/>
      <c r="AR6" s="124"/>
      <c r="AS6" s="124"/>
      <c r="AT6" s="124"/>
      <c r="AU6" s="124"/>
      <c r="AV6" s="124"/>
      <c r="AW6" s="124"/>
      <c r="AX6" s="124"/>
      <c r="AY6" s="124"/>
      <c r="AZ6" s="124"/>
      <c r="BA6" s="124"/>
      <c r="BB6" s="124"/>
      <c r="BC6" s="124"/>
      <c r="BD6" s="124"/>
      <c r="BE6" s="124"/>
      <c r="BF6" s="124"/>
      <c r="BG6" s="124"/>
      <c r="BH6" s="124"/>
      <c r="BI6" s="124"/>
      <c r="BJ6" s="124"/>
      <c r="BK6" s="124"/>
      <c r="BL6" s="124"/>
      <c r="BM6" s="124"/>
      <c r="BN6" s="124"/>
      <c r="BO6" s="124"/>
      <c r="BP6" s="124"/>
      <c r="BQ6" s="124"/>
      <c r="BR6" s="124"/>
      <c r="BS6" s="124"/>
      <c r="BT6" s="124"/>
      <c r="BU6" s="124"/>
      <c r="BV6" s="124"/>
      <c r="BW6" s="124"/>
      <c r="BX6" s="124"/>
      <c r="BY6" s="124"/>
      <c r="BZ6" s="124"/>
      <c r="CA6" s="124"/>
      <c r="CB6" s="124"/>
      <c r="CC6" s="124"/>
      <c r="CD6" s="124"/>
      <c r="CE6" s="124"/>
    </row>
    <row r="7" spans="1:83" ht="9" customHeight="1" x14ac:dyDescent="0.2">
      <c r="A7" s="86"/>
      <c r="B7" s="87"/>
      <c r="C7" s="88"/>
      <c r="D7" s="89"/>
      <c r="E7" s="182"/>
      <c r="F7" s="89"/>
      <c r="G7" s="91"/>
      <c r="H7" s="89"/>
      <c r="I7" s="92"/>
      <c r="J7" s="93"/>
      <c r="K7" s="93"/>
      <c r="L7" s="185"/>
      <c r="M7" s="185"/>
      <c r="N7" s="183"/>
      <c r="O7" s="183"/>
      <c r="P7" s="96"/>
      <c r="Q7" s="102"/>
    </row>
    <row r="8" spans="1:83" ht="12.6" customHeight="1" x14ac:dyDescent="0.2">
      <c r="A8" s="106">
        <f>SHIPMENTS!A14</f>
        <v>9296</v>
      </c>
      <c r="B8" s="106" t="str">
        <f>SHIPMENTS!B14</f>
        <v>15900- Makati |Techiron Resources Inc.</v>
      </c>
      <c r="C8" s="132">
        <f>SHIPMENTS!F14</f>
        <v>0.05</v>
      </c>
      <c r="D8" s="107" t="str">
        <f>IF((SHIPMENTS!I14)=0,"",SHIPMENTS!I14)</f>
        <v/>
      </c>
      <c r="E8" s="176">
        <f>IF((SHIPMENTS!G14)=0,"",SHIPMENTS!G14)</f>
        <v>46314</v>
      </c>
      <c r="F8" s="97">
        <f>VLOOKUP(A8,Items!$A$5:$J$1000,7,0)</f>
        <v>1</v>
      </c>
      <c r="G8" s="98">
        <f>VLOOKUP(A8,load!$A$4:$U$5001,7,0)</f>
        <v>0.27116666666666667</v>
      </c>
      <c r="H8" s="97">
        <f>Manhours!$C$23</f>
        <v>32</v>
      </c>
      <c r="I8" s="98">
        <f>+H8*$I$4</f>
        <v>291.2</v>
      </c>
      <c r="J8" s="99">
        <f t="shared" ref="J8:J32" si="0">G8/I8</f>
        <v>9.3120421245421246E-4</v>
      </c>
      <c r="K8" s="99">
        <f>+J8*$I$4</f>
        <v>8.4739583333333333E-3</v>
      </c>
      <c r="L8" s="98">
        <f t="shared" ref="L8:L32" si="1">IFERROR(J8-(J8*P8),0)</f>
        <v>9.3120421245421246E-4</v>
      </c>
      <c r="M8" s="98">
        <f t="shared" ref="M8:M32" si="2">IFERROR(K8-(K8*P8),0)</f>
        <v>8.4739583333333333E-3</v>
      </c>
      <c r="N8" s="181">
        <f>N4</f>
        <v>46319</v>
      </c>
      <c r="O8" s="181">
        <f>N8+L8</f>
        <v>46319.000931204209</v>
      </c>
      <c r="P8" s="101">
        <f>VLOOKUP(A8,SHIPMENTS!$A$7:$N$171,12,0)</f>
        <v>0</v>
      </c>
      <c r="Q8" s="101"/>
      <c r="R8" s="128" t="str">
        <f t="shared" ref="R8:AG23" si="3">IF($E8=R$3,"▲","")</f>
        <v>▲</v>
      </c>
      <c r="S8" s="128" t="str">
        <f t="shared" si="3"/>
        <v/>
      </c>
      <c r="T8" s="128" t="str">
        <f t="shared" si="3"/>
        <v/>
      </c>
      <c r="U8" s="128" t="str">
        <f t="shared" si="3"/>
        <v/>
      </c>
      <c r="V8" s="128" t="str">
        <f t="shared" si="3"/>
        <v/>
      </c>
      <c r="W8" s="128" t="str">
        <f t="shared" si="3"/>
        <v/>
      </c>
      <c r="X8" s="128" t="str">
        <f t="shared" si="3"/>
        <v/>
      </c>
      <c r="Y8" s="128" t="str">
        <f t="shared" si="3"/>
        <v/>
      </c>
      <c r="Z8" s="128" t="str">
        <f t="shared" si="3"/>
        <v/>
      </c>
      <c r="AA8" s="128" t="str">
        <f t="shared" si="3"/>
        <v/>
      </c>
      <c r="AB8" s="128" t="str">
        <f t="shared" si="3"/>
        <v/>
      </c>
      <c r="AC8" s="128" t="str">
        <f t="shared" si="3"/>
        <v/>
      </c>
      <c r="AD8" s="128" t="str">
        <f t="shared" si="3"/>
        <v/>
      </c>
      <c r="AE8" s="128" t="str">
        <f t="shared" si="3"/>
        <v/>
      </c>
      <c r="AF8" s="128" t="str">
        <f t="shared" si="3"/>
        <v/>
      </c>
      <c r="AG8" s="128" t="str">
        <f t="shared" si="3"/>
        <v/>
      </c>
      <c r="AH8" s="128" t="str">
        <f t="shared" ref="AH8:BU14" si="4">IF($E8=AH$3,"▲","")</f>
        <v/>
      </c>
      <c r="AI8" s="128" t="str">
        <f t="shared" si="4"/>
        <v/>
      </c>
      <c r="AJ8" s="128" t="str">
        <f t="shared" si="4"/>
        <v/>
      </c>
      <c r="AK8" s="128" t="str">
        <f t="shared" si="4"/>
        <v/>
      </c>
      <c r="AL8" s="128" t="str">
        <f t="shared" si="4"/>
        <v/>
      </c>
      <c r="AM8" s="128" t="str">
        <f t="shared" si="4"/>
        <v/>
      </c>
      <c r="AN8" s="128" t="str">
        <f t="shared" si="4"/>
        <v/>
      </c>
      <c r="AO8" s="128" t="str">
        <f t="shared" si="4"/>
        <v/>
      </c>
      <c r="AP8" s="128" t="str">
        <f t="shared" si="4"/>
        <v/>
      </c>
      <c r="AQ8" s="128" t="str">
        <f t="shared" si="4"/>
        <v/>
      </c>
      <c r="AR8" s="128" t="str">
        <f t="shared" si="4"/>
        <v/>
      </c>
      <c r="AS8" s="128" t="str">
        <f t="shared" si="4"/>
        <v/>
      </c>
      <c r="AT8" s="128" t="str">
        <f t="shared" si="4"/>
        <v/>
      </c>
      <c r="AU8" s="128" t="str">
        <f t="shared" si="4"/>
        <v/>
      </c>
      <c r="AV8" s="128" t="str">
        <f t="shared" si="4"/>
        <v/>
      </c>
      <c r="AW8" s="128" t="str">
        <f t="shared" si="4"/>
        <v/>
      </c>
      <c r="AX8" s="128" t="str">
        <f t="shared" si="4"/>
        <v/>
      </c>
      <c r="AY8" s="128" t="str">
        <f t="shared" si="4"/>
        <v/>
      </c>
      <c r="AZ8" s="128" t="str">
        <f t="shared" si="4"/>
        <v/>
      </c>
      <c r="BA8" s="128" t="str">
        <f t="shared" si="4"/>
        <v/>
      </c>
      <c r="BB8" s="128" t="str">
        <f t="shared" si="4"/>
        <v/>
      </c>
      <c r="BC8" s="128" t="str">
        <f t="shared" si="4"/>
        <v/>
      </c>
      <c r="BD8" s="128" t="str">
        <f t="shared" si="4"/>
        <v/>
      </c>
      <c r="BE8" s="128" t="str">
        <f t="shared" si="4"/>
        <v/>
      </c>
      <c r="BF8" s="128" t="str">
        <f t="shared" si="4"/>
        <v/>
      </c>
      <c r="BG8" s="128" t="str">
        <f t="shared" si="4"/>
        <v/>
      </c>
      <c r="BH8" s="128" t="str">
        <f t="shared" si="4"/>
        <v/>
      </c>
      <c r="BI8" s="128" t="str">
        <f t="shared" si="4"/>
        <v/>
      </c>
      <c r="BJ8" s="128" t="str">
        <f t="shared" si="4"/>
        <v/>
      </c>
      <c r="BK8" s="128" t="str">
        <f t="shared" si="4"/>
        <v/>
      </c>
      <c r="BL8" s="128" t="str">
        <f t="shared" si="4"/>
        <v/>
      </c>
      <c r="BM8" s="128" t="str">
        <f t="shared" si="4"/>
        <v/>
      </c>
      <c r="BN8" s="128" t="str">
        <f t="shared" si="4"/>
        <v/>
      </c>
      <c r="BO8" s="128" t="str">
        <f t="shared" si="4"/>
        <v/>
      </c>
      <c r="BP8" s="128" t="str">
        <f t="shared" si="4"/>
        <v/>
      </c>
      <c r="BQ8" s="128" t="str">
        <f t="shared" si="4"/>
        <v/>
      </c>
      <c r="BR8" s="128" t="str">
        <f t="shared" si="4"/>
        <v/>
      </c>
      <c r="BS8" s="128" t="str">
        <f t="shared" si="4"/>
        <v/>
      </c>
      <c r="BT8" s="128" t="str">
        <f t="shared" si="4"/>
        <v/>
      </c>
      <c r="BU8" s="128" t="str">
        <f t="shared" si="4"/>
        <v/>
      </c>
      <c r="BV8" s="128" t="str">
        <f t="shared" ref="BV8:CE23" si="5">IF($E8=BV$3,"▲","")</f>
        <v/>
      </c>
      <c r="BW8" s="128" t="str">
        <f t="shared" si="5"/>
        <v/>
      </c>
      <c r="BX8" s="128" t="str">
        <f t="shared" si="5"/>
        <v/>
      </c>
      <c r="BY8" s="128" t="str">
        <f t="shared" si="5"/>
        <v/>
      </c>
      <c r="BZ8" s="128" t="str">
        <f t="shared" si="5"/>
        <v/>
      </c>
      <c r="CA8" s="128" t="str">
        <f t="shared" si="5"/>
        <v/>
      </c>
      <c r="CB8" s="128" t="str">
        <f t="shared" si="5"/>
        <v/>
      </c>
      <c r="CC8" s="128" t="str">
        <f t="shared" si="5"/>
        <v/>
      </c>
      <c r="CD8" s="128" t="str">
        <f t="shared" si="5"/>
        <v/>
      </c>
      <c r="CE8" s="128" t="str">
        <f t="shared" si="5"/>
        <v/>
      </c>
    </row>
    <row r="9" spans="1:83" ht="12.6" hidden="1" customHeight="1" x14ac:dyDescent="0.2">
      <c r="A9" s="106">
        <f>SHIPMENTS!A15</f>
        <v>9309</v>
      </c>
      <c r="B9" s="106" t="str">
        <f>SHIPMENTS!B15</f>
        <v>43940-THAILAND</v>
      </c>
      <c r="C9" s="132">
        <f>SHIPMENTS!F15</f>
        <v>6.4030000000000004E-2</v>
      </c>
      <c r="D9" s="107" t="str">
        <f>IF((SHIPMENTS!I15)=0,"",SHIPMENTS!I15)</f>
        <v>AIR</v>
      </c>
      <c r="E9" s="176">
        <f>IF((SHIPMENTS!G15)=0,"",SHIPMENTS!G15)</f>
        <v>46314</v>
      </c>
      <c r="F9" s="97">
        <f>VLOOKUP(A9,Items!$A$5:$J$1000,7,0)</f>
        <v>0</v>
      </c>
      <c r="G9" s="98">
        <f>VLOOKUP(A9,load!$A$4:$U$5001,7,0)</f>
        <v>0</v>
      </c>
      <c r="H9" s="97">
        <f>Manhours!$C$23</f>
        <v>32</v>
      </c>
      <c r="I9" s="98">
        <f t="shared" ref="I9:I32" si="6">+H9*$I$4</f>
        <v>291.2</v>
      </c>
      <c r="J9" s="99">
        <f t="shared" si="0"/>
        <v>0</v>
      </c>
      <c r="K9" s="99">
        <f t="shared" ref="K9:K32" si="7">+J9*$I$4</f>
        <v>0</v>
      </c>
      <c r="L9" s="98">
        <f t="shared" si="1"/>
        <v>0</v>
      </c>
      <c r="M9" s="98">
        <f t="shared" si="2"/>
        <v>0</v>
      </c>
      <c r="N9" s="181">
        <f>O8</f>
        <v>46319.000931204209</v>
      </c>
      <c r="O9" s="181">
        <f t="shared" ref="O9:O32" si="8">N9+L9</f>
        <v>46319.000931204209</v>
      </c>
      <c r="P9" s="101" t="str">
        <f>VLOOKUP(A9,SHIPMENTS!$A$7:$N$171,12,0)</f>
        <v>n/a</v>
      </c>
      <c r="Q9" s="101"/>
      <c r="R9" s="127" t="str">
        <f t="shared" si="3"/>
        <v>▲</v>
      </c>
      <c r="S9" s="127" t="str">
        <f t="shared" si="3"/>
        <v/>
      </c>
      <c r="T9" s="127" t="str">
        <f t="shared" si="3"/>
        <v/>
      </c>
      <c r="U9" s="127" t="str">
        <f t="shared" si="3"/>
        <v/>
      </c>
      <c r="V9" s="127" t="str">
        <f t="shared" si="3"/>
        <v/>
      </c>
      <c r="W9" s="127" t="str">
        <f t="shared" si="3"/>
        <v/>
      </c>
      <c r="X9" s="127" t="str">
        <f t="shared" si="3"/>
        <v/>
      </c>
      <c r="Y9" s="127" t="str">
        <f t="shared" si="3"/>
        <v/>
      </c>
      <c r="Z9" s="127" t="str">
        <f t="shared" si="3"/>
        <v/>
      </c>
      <c r="AA9" s="127" t="str">
        <f t="shared" si="3"/>
        <v/>
      </c>
      <c r="AB9" s="127" t="str">
        <f t="shared" si="3"/>
        <v/>
      </c>
      <c r="AC9" s="127" t="str">
        <f t="shared" si="3"/>
        <v/>
      </c>
      <c r="AD9" s="127" t="str">
        <f t="shared" si="3"/>
        <v/>
      </c>
      <c r="AE9" s="127" t="str">
        <f t="shared" si="3"/>
        <v/>
      </c>
      <c r="AF9" s="127" t="str">
        <f t="shared" si="3"/>
        <v/>
      </c>
      <c r="AG9" s="127" t="str">
        <f t="shared" si="3"/>
        <v/>
      </c>
      <c r="AH9" s="127" t="str">
        <f t="shared" si="4"/>
        <v/>
      </c>
      <c r="AI9" s="127" t="str">
        <f t="shared" si="4"/>
        <v/>
      </c>
      <c r="AJ9" s="127" t="str">
        <f t="shared" si="4"/>
        <v/>
      </c>
      <c r="AK9" s="127" t="str">
        <f t="shared" si="4"/>
        <v/>
      </c>
      <c r="AL9" s="127" t="str">
        <f t="shared" si="4"/>
        <v/>
      </c>
      <c r="AM9" s="127" t="str">
        <f t="shared" si="4"/>
        <v/>
      </c>
      <c r="AN9" s="127" t="str">
        <f t="shared" si="4"/>
        <v/>
      </c>
      <c r="AO9" s="127" t="str">
        <f t="shared" si="4"/>
        <v/>
      </c>
      <c r="AP9" s="127" t="str">
        <f t="shared" si="4"/>
        <v/>
      </c>
      <c r="AQ9" s="127" t="str">
        <f t="shared" si="4"/>
        <v/>
      </c>
      <c r="AR9" s="127" t="str">
        <f t="shared" si="4"/>
        <v/>
      </c>
      <c r="AS9" s="127" t="str">
        <f t="shared" si="4"/>
        <v/>
      </c>
      <c r="AT9" s="127" t="str">
        <f t="shared" si="4"/>
        <v/>
      </c>
      <c r="AU9" s="127" t="str">
        <f t="shared" si="4"/>
        <v/>
      </c>
      <c r="AV9" s="127" t="str">
        <f t="shared" si="4"/>
        <v/>
      </c>
      <c r="AW9" s="127" t="str">
        <f t="shared" si="4"/>
        <v/>
      </c>
      <c r="AX9" s="127" t="str">
        <f t="shared" si="4"/>
        <v/>
      </c>
      <c r="AY9" s="127" t="str">
        <f t="shared" si="4"/>
        <v/>
      </c>
      <c r="AZ9" s="127" t="str">
        <f t="shared" si="4"/>
        <v/>
      </c>
      <c r="BA9" s="127" t="str">
        <f t="shared" si="4"/>
        <v/>
      </c>
      <c r="BB9" s="127" t="str">
        <f t="shared" si="4"/>
        <v/>
      </c>
      <c r="BC9" s="127" t="str">
        <f t="shared" si="4"/>
        <v/>
      </c>
      <c r="BD9" s="127" t="str">
        <f t="shared" si="4"/>
        <v/>
      </c>
      <c r="BE9" s="127" t="str">
        <f t="shared" si="4"/>
        <v/>
      </c>
      <c r="BF9" s="127" t="str">
        <f t="shared" si="4"/>
        <v/>
      </c>
      <c r="BG9" s="127" t="str">
        <f t="shared" si="4"/>
        <v/>
      </c>
      <c r="BH9" s="127" t="str">
        <f t="shared" si="4"/>
        <v/>
      </c>
      <c r="BI9" s="127" t="str">
        <f t="shared" si="4"/>
        <v/>
      </c>
      <c r="BJ9" s="127" t="str">
        <f t="shared" si="4"/>
        <v/>
      </c>
      <c r="BK9" s="127" t="str">
        <f t="shared" si="4"/>
        <v/>
      </c>
      <c r="BL9" s="127" t="str">
        <f t="shared" si="4"/>
        <v/>
      </c>
      <c r="BM9" s="127" t="str">
        <f t="shared" si="4"/>
        <v/>
      </c>
      <c r="BN9" s="127" t="str">
        <f t="shared" si="4"/>
        <v/>
      </c>
      <c r="BO9" s="127" t="str">
        <f t="shared" si="4"/>
        <v/>
      </c>
      <c r="BP9" s="127" t="str">
        <f t="shared" si="4"/>
        <v/>
      </c>
      <c r="BQ9" s="127" t="str">
        <f t="shared" si="4"/>
        <v/>
      </c>
      <c r="BR9" s="127" t="str">
        <f t="shared" si="4"/>
        <v/>
      </c>
      <c r="BS9" s="127" t="str">
        <f t="shared" si="4"/>
        <v/>
      </c>
      <c r="BT9" s="127" t="str">
        <f t="shared" si="4"/>
        <v/>
      </c>
      <c r="BU9" s="127" t="str">
        <f t="shared" si="4"/>
        <v/>
      </c>
      <c r="BV9" s="127" t="str">
        <f t="shared" si="5"/>
        <v/>
      </c>
      <c r="BW9" s="127" t="str">
        <f t="shared" si="5"/>
        <v/>
      </c>
      <c r="BX9" s="127" t="str">
        <f t="shared" si="5"/>
        <v/>
      </c>
      <c r="BY9" s="127" t="str">
        <f t="shared" si="5"/>
        <v/>
      </c>
      <c r="BZ9" s="127" t="str">
        <f t="shared" si="5"/>
        <v/>
      </c>
      <c r="CA9" s="127" t="str">
        <f t="shared" si="5"/>
        <v/>
      </c>
      <c r="CB9" s="127" t="str">
        <f t="shared" si="5"/>
        <v/>
      </c>
      <c r="CC9" s="127" t="str">
        <f t="shared" si="5"/>
        <v/>
      </c>
      <c r="CD9" s="127" t="str">
        <f t="shared" si="5"/>
        <v/>
      </c>
      <c r="CE9" s="127" t="str">
        <f t="shared" si="5"/>
        <v/>
      </c>
    </row>
    <row r="10" spans="1:83" ht="12.6" customHeight="1" x14ac:dyDescent="0.2">
      <c r="A10" s="106">
        <f>SHIPMENTS!A16</f>
        <v>9117</v>
      </c>
      <c r="B10" s="106" t="str">
        <f>SHIPMENTS!B16</f>
        <v>41700-CANADA BSAUNAS</v>
      </c>
      <c r="C10" s="132">
        <f>SHIPMENTS!F16</f>
        <v>83.268000000000001</v>
      </c>
      <c r="D10" s="107" t="str">
        <f>IF((SHIPMENTS!I16)=0,"",SHIPMENTS!I16)</f>
        <v>1X40HC</v>
      </c>
      <c r="E10" s="176">
        <f>IF((SHIPMENTS!G16)=0,"",SHIPMENTS!G16)</f>
        <v>46315</v>
      </c>
      <c r="F10" s="97">
        <f>VLOOKUP(A10,Items!$A$5:$J$1000,7,0)</f>
        <v>540</v>
      </c>
      <c r="G10" s="98">
        <f>VLOOKUP(A10,load!$A$4:$U$5001,7,0)</f>
        <v>85.24499999999999</v>
      </c>
      <c r="H10" s="97">
        <f>Manhours!$C$23</f>
        <v>32</v>
      </c>
      <c r="I10" s="98">
        <f t="shared" si="6"/>
        <v>291.2</v>
      </c>
      <c r="J10" s="99">
        <f t="shared" si="0"/>
        <v>0.29273695054945054</v>
      </c>
      <c r="K10" s="99">
        <f t="shared" si="7"/>
        <v>2.6639062499999997</v>
      </c>
      <c r="L10" s="98">
        <f t="shared" si="1"/>
        <v>0.29273695054945054</v>
      </c>
      <c r="M10" s="98">
        <f t="shared" si="2"/>
        <v>2.6639062499999997</v>
      </c>
      <c r="N10" s="181">
        <f t="shared" ref="N10:N32" si="9">O9</f>
        <v>46319.000931204209</v>
      </c>
      <c r="O10" s="181">
        <f t="shared" si="8"/>
        <v>46319.293668154758</v>
      </c>
      <c r="P10" s="101">
        <f>VLOOKUP(A10,SHIPMENTS!$A$7:$N$171,12,0)</f>
        <v>0</v>
      </c>
      <c r="Q10" s="101"/>
      <c r="R10" s="127" t="str">
        <f t="shared" si="3"/>
        <v/>
      </c>
      <c r="S10" s="127" t="str">
        <f t="shared" si="3"/>
        <v>▲</v>
      </c>
      <c r="T10" s="127" t="str">
        <f t="shared" si="3"/>
        <v/>
      </c>
      <c r="U10" s="127" t="str">
        <f t="shared" si="3"/>
        <v/>
      </c>
      <c r="V10" s="127" t="str">
        <f t="shared" si="3"/>
        <v/>
      </c>
      <c r="W10" s="127" t="str">
        <f t="shared" si="3"/>
        <v/>
      </c>
      <c r="X10" s="127" t="str">
        <f t="shared" si="3"/>
        <v/>
      </c>
      <c r="Y10" s="127" t="str">
        <f t="shared" si="3"/>
        <v/>
      </c>
      <c r="Z10" s="127" t="str">
        <f t="shared" si="3"/>
        <v/>
      </c>
      <c r="AA10" s="127" t="str">
        <f t="shared" si="3"/>
        <v/>
      </c>
      <c r="AB10" s="127" t="str">
        <f t="shared" si="3"/>
        <v/>
      </c>
      <c r="AC10" s="127" t="str">
        <f t="shared" si="3"/>
        <v/>
      </c>
      <c r="AD10" s="127" t="str">
        <f t="shared" si="3"/>
        <v/>
      </c>
      <c r="AE10" s="127" t="str">
        <f t="shared" si="3"/>
        <v/>
      </c>
      <c r="AF10" s="127" t="str">
        <f t="shared" si="3"/>
        <v/>
      </c>
      <c r="AG10" s="127" t="str">
        <f t="shared" si="3"/>
        <v/>
      </c>
      <c r="AH10" s="127" t="str">
        <f t="shared" si="4"/>
        <v/>
      </c>
      <c r="AI10" s="127" t="str">
        <f t="shared" si="4"/>
        <v/>
      </c>
      <c r="AJ10" s="127" t="str">
        <f t="shared" si="4"/>
        <v/>
      </c>
      <c r="AK10" s="127" t="str">
        <f t="shared" si="4"/>
        <v/>
      </c>
      <c r="AL10" s="127" t="str">
        <f t="shared" si="4"/>
        <v/>
      </c>
      <c r="AM10" s="127" t="str">
        <f t="shared" si="4"/>
        <v/>
      </c>
      <c r="AN10" s="127" t="str">
        <f t="shared" si="4"/>
        <v/>
      </c>
      <c r="AO10" s="127" t="str">
        <f t="shared" si="4"/>
        <v/>
      </c>
      <c r="AP10" s="127" t="str">
        <f t="shared" si="4"/>
        <v/>
      </c>
      <c r="AQ10" s="127" t="str">
        <f t="shared" si="4"/>
        <v/>
      </c>
      <c r="AR10" s="127" t="str">
        <f t="shared" si="4"/>
        <v/>
      </c>
      <c r="AS10" s="127" t="str">
        <f t="shared" si="4"/>
        <v/>
      </c>
      <c r="AT10" s="127" t="str">
        <f t="shared" si="4"/>
        <v/>
      </c>
      <c r="AU10" s="127" t="str">
        <f t="shared" si="4"/>
        <v/>
      </c>
      <c r="AV10" s="127" t="str">
        <f t="shared" si="4"/>
        <v/>
      </c>
      <c r="AW10" s="127" t="str">
        <f t="shared" si="4"/>
        <v/>
      </c>
      <c r="AX10" s="127" t="str">
        <f t="shared" si="4"/>
        <v/>
      </c>
      <c r="AY10" s="127" t="str">
        <f t="shared" si="4"/>
        <v/>
      </c>
      <c r="AZ10" s="127" t="str">
        <f t="shared" si="4"/>
        <v/>
      </c>
      <c r="BA10" s="127" t="str">
        <f t="shared" si="4"/>
        <v/>
      </c>
      <c r="BB10" s="127" t="str">
        <f t="shared" si="4"/>
        <v/>
      </c>
      <c r="BC10" s="127" t="str">
        <f t="shared" si="4"/>
        <v/>
      </c>
      <c r="BD10" s="127" t="str">
        <f t="shared" si="4"/>
        <v/>
      </c>
      <c r="BE10" s="127" t="str">
        <f t="shared" si="4"/>
        <v/>
      </c>
      <c r="BF10" s="127" t="str">
        <f t="shared" si="4"/>
        <v/>
      </c>
      <c r="BG10" s="127" t="str">
        <f t="shared" si="4"/>
        <v/>
      </c>
      <c r="BH10" s="127" t="str">
        <f t="shared" si="4"/>
        <v/>
      </c>
      <c r="BI10" s="127" t="str">
        <f t="shared" si="4"/>
        <v/>
      </c>
      <c r="BJ10" s="127" t="str">
        <f t="shared" si="4"/>
        <v/>
      </c>
      <c r="BK10" s="127" t="str">
        <f t="shared" si="4"/>
        <v/>
      </c>
      <c r="BL10" s="127" t="str">
        <f t="shared" si="4"/>
        <v/>
      </c>
      <c r="BM10" s="127" t="str">
        <f t="shared" si="4"/>
        <v/>
      </c>
      <c r="BN10" s="127" t="str">
        <f t="shared" si="4"/>
        <v/>
      </c>
      <c r="BO10" s="127" t="str">
        <f t="shared" si="4"/>
        <v/>
      </c>
      <c r="BP10" s="127" t="str">
        <f t="shared" si="4"/>
        <v/>
      </c>
      <c r="BQ10" s="127" t="str">
        <f t="shared" si="4"/>
        <v/>
      </c>
      <c r="BR10" s="127" t="str">
        <f t="shared" si="4"/>
        <v/>
      </c>
      <c r="BS10" s="127" t="str">
        <f t="shared" si="4"/>
        <v/>
      </c>
      <c r="BT10" s="127" t="str">
        <f t="shared" si="4"/>
        <v/>
      </c>
      <c r="BU10" s="127" t="str">
        <f t="shared" si="4"/>
        <v/>
      </c>
      <c r="BV10" s="127" t="str">
        <f t="shared" si="5"/>
        <v/>
      </c>
      <c r="BW10" s="127" t="str">
        <f t="shared" si="5"/>
        <v/>
      </c>
      <c r="BX10" s="127" t="str">
        <f t="shared" si="5"/>
        <v/>
      </c>
      <c r="BY10" s="127" t="str">
        <f t="shared" si="5"/>
        <v/>
      </c>
      <c r="BZ10" s="127" t="str">
        <f t="shared" si="5"/>
        <v/>
      </c>
      <c r="CA10" s="127" t="str">
        <f t="shared" si="5"/>
        <v/>
      </c>
      <c r="CB10" s="127" t="str">
        <f t="shared" si="5"/>
        <v/>
      </c>
      <c r="CC10" s="127" t="str">
        <f t="shared" si="5"/>
        <v/>
      </c>
      <c r="CD10" s="127" t="str">
        <f t="shared" si="5"/>
        <v/>
      </c>
      <c r="CE10" s="127" t="str">
        <f t="shared" si="5"/>
        <v/>
      </c>
    </row>
    <row r="11" spans="1:83" ht="12.6" customHeight="1" x14ac:dyDescent="0.2">
      <c r="A11" s="106">
        <f>SHIPMENTS!A17</f>
        <v>8641</v>
      </c>
      <c r="B11" s="106" t="str">
        <f>SHIPMENTS!B17</f>
        <v>41700-CANADA BSAUNAS BACKLOG</v>
      </c>
      <c r="C11" s="132">
        <f>SHIPMENTS!F17</f>
        <v>0</v>
      </c>
      <c r="D11" s="107" t="str">
        <f>IF((SHIPMENTS!I17)=0,"",SHIPMENTS!I17)</f>
        <v/>
      </c>
      <c r="E11" s="176">
        <f>IF((SHIPMENTS!G17)=0,"",SHIPMENTS!G17)</f>
        <v>46315</v>
      </c>
      <c r="F11" s="97">
        <f>VLOOKUP(A11,Items!$A$5:$J$1000,7,0)</f>
        <v>4074</v>
      </c>
      <c r="G11" s="98">
        <f>VLOOKUP(A11,load!$A$4:$U$5001,7,0)</f>
        <v>2010.663</v>
      </c>
      <c r="H11" s="97">
        <f>Manhours!$C$23</f>
        <v>32</v>
      </c>
      <c r="I11" s="98">
        <f t="shared" si="6"/>
        <v>291.2</v>
      </c>
      <c r="J11" s="99">
        <f t="shared" si="0"/>
        <v>6.9047493131868132</v>
      </c>
      <c r="K11" s="99">
        <f t="shared" si="7"/>
        <v>62.83321875</v>
      </c>
      <c r="L11" s="98">
        <f t="shared" si="1"/>
        <v>3.0380896978021976</v>
      </c>
      <c r="M11" s="98">
        <f t="shared" si="2"/>
        <v>27.646616249999994</v>
      </c>
      <c r="N11" s="181">
        <f t="shared" si="9"/>
        <v>46319.293668154758</v>
      </c>
      <c r="O11" s="181">
        <f t="shared" si="8"/>
        <v>46322.33175785256</v>
      </c>
      <c r="P11" s="101">
        <f>VLOOKUP(A11,SHIPMENTS!$A$7:$N$171,12,0)</f>
        <v>0.56000000000000005</v>
      </c>
      <c r="Q11" s="101"/>
      <c r="R11" s="127" t="str">
        <f t="shared" si="3"/>
        <v/>
      </c>
      <c r="S11" s="127" t="str">
        <f t="shared" si="3"/>
        <v>▲</v>
      </c>
      <c r="T11" s="127" t="str">
        <f t="shared" si="3"/>
        <v/>
      </c>
      <c r="U11" s="127" t="str">
        <f t="shared" si="3"/>
        <v/>
      </c>
      <c r="V11" s="127" t="str">
        <f t="shared" si="3"/>
        <v/>
      </c>
      <c r="W11" s="127" t="str">
        <f t="shared" si="3"/>
        <v/>
      </c>
      <c r="X11" s="127" t="str">
        <f t="shared" si="3"/>
        <v/>
      </c>
      <c r="Y11" s="127" t="str">
        <f t="shared" si="3"/>
        <v/>
      </c>
      <c r="Z11" s="127" t="str">
        <f t="shared" si="3"/>
        <v/>
      </c>
      <c r="AA11" s="127" t="str">
        <f t="shared" si="3"/>
        <v/>
      </c>
      <c r="AB11" s="127" t="str">
        <f t="shared" si="3"/>
        <v/>
      </c>
      <c r="AC11" s="127" t="str">
        <f t="shared" si="3"/>
        <v/>
      </c>
      <c r="AD11" s="127" t="str">
        <f t="shared" si="3"/>
        <v/>
      </c>
      <c r="AE11" s="127" t="str">
        <f t="shared" si="3"/>
        <v/>
      </c>
      <c r="AF11" s="127" t="str">
        <f t="shared" si="3"/>
        <v/>
      </c>
      <c r="AG11" s="127" t="str">
        <f t="shared" si="3"/>
        <v/>
      </c>
      <c r="AH11" s="127" t="str">
        <f t="shared" si="4"/>
        <v/>
      </c>
      <c r="AI11" s="127" t="str">
        <f t="shared" si="4"/>
        <v/>
      </c>
      <c r="AJ11" s="127" t="str">
        <f t="shared" si="4"/>
        <v/>
      </c>
      <c r="AK11" s="127" t="str">
        <f t="shared" si="4"/>
        <v/>
      </c>
      <c r="AL11" s="127" t="str">
        <f t="shared" si="4"/>
        <v/>
      </c>
      <c r="AM11" s="127" t="str">
        <f t="shared" si="4"/>
        <v/>
      </c>
      <c r="AN11" s="127" t="str">
        <f t="shared" si="4"/>
        <v/>
      </c>
      <c r="AO11" s="127" t="str">
        <f t="shared" si="4"/>
        <v/>
      </c>
      <c r="AP11" s="127" t="str">
        <f t="shared" si="4"/>
        <v/>
      </c>
      <c r="AQ11" s="127" t="str">
        <f t="shared" si="4"/>
        <v/>
      </c>
      <c r="AR11" s="127" t="str">
        <f t="shared" si="4"/>
        <v/>
      </c>
      <c r="AS11" s="127" t="str">
        <f t="shared" si="4"/>
        <v/>
      </c>
      <c r="AT11" s="127" t="str">
        <f t="shared" si="4"/>
        <v/>
      </c>
      <c r="AU11" s="127" t="str">
        <f t="shared" si="4"/>
        <v/>
      </c>
      <c r="AV11" s="127" t="str">
        <f t="shared" si="4"/>
        <v/>
      </c>
      <c r="AW11" s="127" t="str">
        <f t="shared" si="4"/>
        <v/>
      </c>
      <c r="AX11" s="127" t="str">
        <f t="shared" si="4"/>
        <v/>
      </c>
      <c r="AY11" s="127" t="str">
        <f t="shared" si="4"/>
        <v/>
      </c>
      <c r="AZ11" s="127" t="str">
        <f t="shared" si="4"/>
        <v/>
      </c>
      <c r="BA11" s="127" t="str">
        <f t="shared" si="4"/>
        <v/>
      </c>
      <c r="BB11" s="127" t="str">
        <f t="shared" si="4"/>
        <v/>
      </c>
      <c r="BC11" s="127" t="str">
        <f t="shared" si="4"/>
        <v/>
      </c>
      <c r="BD11" s="127" t="str">
        <f t="shared" si="4"/>
        <v/>
      </c>
      <c r="BE11" s="127" t="str">
        <f t="shared" si="4"/>
        <v/>
      </c>
      <c r="BF11" s="127" t="str">
        <f t="shared" si="4"/>
        <v/>
      </c>
      <c r="BG11" s="127" t="str">
        <f t="shared" si="4"/>
        <v/>
      </c>
      <c r="BH11" s="127" t="str">
        <f t="shared" si="4"/>
        <v/>
      </c>
      <c r="BI11" s="127" t="str">
        <f t="shared" si="4"/>
        <v/>
      </c>
      <c r="BJ11" s="127" t="str">
        <f t="shared" si="4"/>
        <v/>
      </c>
      <c r="BK11" s="127" t="str">
        <f t="shared" si="4"/>
        <v/>
      </c>
      <c r="BL11" s="127" t="str">
        <f t="shared" si="4"/>
        <v/>
      </c>
      <c r="BM11" s="127" t="str">
        <f t="shared" si="4"/>
        <v/>
      </c>
      <c r="BN11" s="127" t="str">
        <f t="shared" si="4"/>
        <v/>
      </c>
      <c r="BO11" s="127" t="str">
        <f t="shared" si="4"/>
        <v/>
      </c>
      <c r="BP11" s="127" t="str">
        <f t="shared" si="4"/>
        <v/>
      </c>
      <c r="BQ11" s="127" t="str">
        <f t="shared" si="4"/>
        <v/>
      </c>
      <c r="BR11" s="127" t="str">
        <f t="shared" si="4"/>
        <v/>
      </c>
      <c r="BS11" s="127" t="str">
        <f t="shared" si="4"/>
        <v/>
      </c>
      <c r="BT11" s="127" t="str">
        <f t="shared" si="4"/>
        <v/>
      </c>
      <c r="BU11" s="127" t="str">
        <f t="shared" si="4"/>
        <v/>
      </c>
      <c r="BV11" s="127" t="str">
        <f t="shared" si="5"/>
        <v/>
      </c>
      <c r="BW11" s="127" t="str">
        <f t="shared" si="5"/>
        <v/>
      </c>
      <c r="BX11" s="127" t="str">
        <f t="shared" si="5"/>
        <v/>
      </c>
      <c r="BY11" s="127" t="str">
        <f t="shared" si="5"/>
        <v/>
      </c>
      <c r="BZ11" s="127" t="str">
        <f t="shared" si="5"/>
        <v/>
      </c>
      <c r="CA11" s="127" t="str">
        <f t="shared" si="5"/>
        <v/>
      </c>
      <c r="CB11" s="127" t="str">
        <f t="shared" si="5"/>
        <v/>
      </c>
      <c r="CC11" s="127" t="str">
        <f t="shared" si="5"/>
        <v/>
      </c>
      <c r="CD11" s="127" t="str">
        <f t="shared" si="5"/>
        <v/>
      </c>
      <c r="CE11" s="127" t="str">
        <f t="shared" si="5"/>
        <v/>
      </c>
    </row>
    <row r="12" spans="1:83" ht="12.6" hidden="1" customHeight="1" x14ac:dyDescent="0.2">
      <c r="A12" s="106">
        <f>SHIPMENTS!A18</f>
        <v>8102</v>
      </c>
      <c r="B12" s="106" t="str">
        <f>SHIPMENTS!B18</f>
        <v>41700-CANADA BSAUNAS BACKLOG</v>
      </c>
      <c r="C12" s="132">
        <f>SHIPMENTS!F18</f>
        <v>0</v>
      </c>
      <c r="D12" s="107" t="str">
        <f>IF((SHIPMENTS!I18)=0,"",SHIPMENTS!I18)</f>
        <v/>
      </c>
      <c r="E12" s="176">
        <f>IF((SHIPMENTS!G18)=0,"",SHIPMENTS!G18)</f>
        <v>46315</v>
      </c>
      <c r="F12" s="97">
        <f>VLOOKUP(A12,Items!$A$5:$J$1000,7,0)</f>
        <v>0</v>
      </c>
      <c r="G12" s="98">
        <f>VLOOKUP(A12,load!$A$4:$U$5001,7,0)</f>
        <v>0</v>
      </c>
      <c r="H12" s="97">
        <f>Manhours!$C$23</f>
        <v>32</v>
      </c>
      <c r="I12" s="98">
        <f t="shared" si="6"/>
        <v>291.2</v>
      </c>
      <c r="J12" s="99">
        <f t="shared" si="0"/>
        <v>0</v>
      </c>
      <c r="K12" s="99">
        <f t="shared" si="7"/>
        <v>0</v>
      </c>
      <c r="L12" s="98">
        <f t="shared" si="1"/>
        <v>0</v>
      </c>
      <c r="M12" s="98">
        <f t="shared" si="2"/>
        <v>0</v>
      </c>
      <c r="N12" s="181">
        <f t="shared" si="9"/>
        <v>46322.33175785256</v>
      </c>
      <c r="O12" s="181">
        <f t="shared" si="8"/>
        <v>46322.33175785256</v>
      </c>
      <c r="P12" s="101" t="str">
        <f>VLOOKUP(A12,SHIPMENTS!$A$7:$N$171,12,0)</f>
        <v>n/a</v>
      </c>
      <c r="Q12" s="101"/>
      <c r="R12" s="127" t="str">
        <f t="shared" si="3"/>
        <v/>
      </c>
      <c r="S12" s="127" t="str">
        <f t="shared" si="3"/>
        <v>▲</v>
      </c>
      <c r="T12" s="127" t="str">
        <f t="shared" si="3"/>
        <v/>
      </c>
      <c r="U12" s="127" t="str">
        <f t="shared" si="3"/>
        <v/>
      </c>
      <c r="V12" s="127" t="str">
        <f t="shared" si="3"/>
        <v/>
      </c>
      <c r="W12" s="127" t="str">
        <f t="shared" si="3"/>
        <v/>
      </c>
      <c r="X12" s="127" t="str">
        <f t="shared" si="3"/>
        <v/>
      </c>
      <c r="Y12" s="127" t="str">
        <f t="shared" si="3"/>
        <v/>
      </c>
      <c r="Z12" s="127" t="str">
        <f t="shared" si="3"/>
        <v/>
      </c>
      <c r="AA12" s="127" t="str">
        <f t="shared" si="3"/>
        <v/>
      </c>
      <c r="AB12" s="127" t="str">
        <f t="shared" si="3"/>
        <v/>
      </c>
      <c r="AC12" s="127" t="str">
        <f t="shared" si="3"/>
        <v/>
      </c>
      <c r="AD12" s="127" t="str">
        <f t="shared" si="3"/>
        <v/>
      </c>
      <c r="AE12" s="127" t="str">
        <f t="shared" si="3"/>
        <v/>
      </c>
      <c r="AF12" s="127" t="str">
        <f t="shared" si="3"/>
        <v/>
      </c>
      <c r="AG12" s="127" t="str">
        <f t="shared" si="3"/>
        <v/>
      </c>
      <c r="AH12" s="127" t="str">
        <f t="shared" si="4"/>
        <v/>
      </c>
      <c r="AI12" s="127" t="str">
        <f t="shared" si="4"/>
        <v/>
      </c>
      <c r="AJ12" s="127" t="str">
        <f t="shared" si="4"/>
        <v/>
      </c>
      <c r="AK12" s="127" t="str">
        <f t="shared" si="4"/>
        <v/>
      </c>
      <c r="AL12" s="127" t="str">
        <f t="shared" si="4"/>
        <v/>
      </c>
      <c r="AM12" s="127" t="str">
        <f t="shared" si="4"/>
        <v/>
      </c>
      <c r="AN12" s="127" t="str">
        <f t="shared" si="4"/>
        <v/>
      </c>
      <c r="AO12" s="127" t="str">
        <f t="shared" si="4"/>
        <v/>
      </c>
      <c r="AP12" s="127" t="str">
        <f t="shared" si="4"/>
        <v/>
      </c>
      <c r="AQ12" s="127" t="str">
        <f t="shared" si="4"/>
        <v/>
      </c>
      <c r="AR12" s="127" t="str">
        <f t="shared" si="4"/>
        <v/>
      </c>
      <c r="AS12" s="127" t="str">
        <f t="shared" si="4"/>
        <v/>
      </c>
      <c r="AT12" s="127" t="str">
        <f t="shared" si="4"/>
        <v/>
      </c>
      <c r="AU12" s="127" t="str">
        <f t="shared" si="4"/>
        <v/>
      </c>
      <c r="AV12" s="127" t="str">
        <f t="shared" si="4"/>
        <v/>
      </c>
      <c r="AW12" s="127" t="str">
        <f t="shared" si="4"/>
        <v/>
      </c>
      <c r="AX12" s="127" t="str">
        <f t="shared" si="4"/>
        <v/>
      </c>
      <c r="AY12" s="127" t="str">
        <f t="shared" si="4"/>
        <v/>
      </c>
      <c r="AZ12" s="127" t="str">
        <f t="shared" si="4"/>
        <v/>
      </c>
      <c r="BA12" s="127" t="str">
        <f t="shared" si="4"/>
        <v/>
      </c>
      <c r="BB12" s="127" t="str">
        <f t="shared" si="4"/>
        <v/>
      </c>
      <c r="BC12" s="127" t="str">
        <f t="shared" si="4"/>
        <v/>
      </c>
      <c r="BD12" s="127" t="str">
        <f t="shared" si="4"/>
        <v/>
      </c>
      <c r="BE12" s="127" t="str">
        <f t="shared" si="4"/>
        <v/>
      </c>
      <c r="BF12" s="127" t="str">
        <f t="shared" si="4"/>
        <v/>
      </c>
      <c r="BG12" s="127" t="str">
        <f t="shared" si="4"/>
        <v/>
      </c>
      <c r="BH12" s="127" t="str">
        <f t="shared" si="4"/>
        <v/>
      </c>
      <c r="BI12" s="127" t="str">
        <f t="shared" si="4"/>
        <v/>
      </c>
      <c r="BJ12" s="127" t="str">
        <f t="shared" si="4"/>
        <v/>
      </c>
      <c r="BK12" s="127" t="str">
        <f t="shared" si="4"/>
        <v/>
      </c>
      <c r="BL12" s="127" t="str">
        <f t="shared" si="4"/>
        <v/>
      </c>
      <c r="BM12" s="127" t="str">
        <f t="shared" si="4"/>
        <v/>
      </c>
      <c r="BN12" s="127" t="str">
        <f t="shared" si="4"/>
        <v/>
      </c>
      <c r="BO12" s="127" t="str">
        <f t="shared" si="4"/>
        <v/>
      </c>
      <c r="BP12" s="127" t="str">
        <f t="shared" si="4"/>
        <v/>
      </c>
      <c r="BQ12" s="127" t="str">
        <f t="shared" si="4"/>
        <v/>
      </c>
      <c r="BR12" s="127" t="str">
        <f t="shared" si="4"/>
        <v/>
      </c>
      <c r="BS12" s="127" t="str">
        <f t="shared" si="4"/>
        <v/>
      </c>
      <c r="BT12" s="127" t="str">
        <f t="shared" si="4"/>
        <v/>
      </c>
      <c r="BU12" s="127" t="str">
        <f t="shared" si="4"/>
        <v/>
      </c>
      <c r="BV12" s="127" t="str">
        <f t="shared" si="5"/>
        <v/>
      </c>
      <c r="BW12" s="127" t="str">
        <f t="shared" si="5"/>
        <v/>
      </c>
      <c r="BX12" s="127" t="str">
        <f t="shared" si="5"/>
        <v/>
      </c>
      <c r="BY12" s="127" t="str">
        <f t="shared" si="5"/>
        <v/>
      </c>
      <c r="BZ12" s="127" t="str">
        <f t="shared" si="5"/>
        <v/>
      </c>
      <c r="CA12" s="127" t="str">
        <f t="shared" si="5"/>
        <v/>
      </c>
      <c r="CB12" s="127" t="str">
        <f t="shared" si="5"/>
        <v/>
      </c>
      <c r="CC12" s="127" t="str">
        <f t="shared" si="5"/>
        <v/>
      </c>
      <c r="CD12" s="127" t="str">
        <f t="shared" si="5"/>
        <v/>
      </c>
      <c r="CE12" s="127" t="str">
        <f t="shared" si="5"/>
        <v/>
      </c>
    </row>
    <row r="13" spans="1:83" ht="12.6" hidden="1" customHeight="1" x14ac:dyDescent="0.2">
      <c r="A13" s="106">
        <f>SHIPMENTS!A19</f>
        <v>5928</v>
      </c>
      <c r="B13" s="106" t="str">
        <f>SHIPMENTS!B19</f>
        <v>41700-CANADA BSAUNAS BACKLOG</v>
      </c>
      <c r="C13" s="132">
        <f>SHIPMENTS!F19</f>
        <v>0</v>
      </c>
      <c r="D13" s="107" t="str">
        <f>IF((SHIPMENTS!I19)=0,"",SHIPMENTS!I19)</f>
        <v/>
      </c>
      <c r="E13" s="176" t="str">
        <f>IF((SHIPMENTS!G19)=0,"",SHIPMENTS!G19)</f>
        <v/>
      </c>
      <c r="F13" s="97">
        <f>VLOOKUP(A13,Items!$A$5:$J$1000,7,0)</f>
        <v>0</v>
      </c>
      <c r="G13" s="98">
        <f>VLOOKUP(A13,load!$A$4:$U$5001,7,0)</f>
        <v>0</v>
      </c>
      <c r="H13" s="97">
        <f>Manhours!$C$23</f>
        <v>32</v>
      </c>
      <c r="I13" s="98">
        <f t="shared" si="6"/>
        <v>291.2</v>
      </c>
      <c r="J13" s="99">
        <f t="shared" si="0"/>
        <v>0</v>
      </c>
      <c r="K13" s="99">
        <f t="shared" si="7"/>
        <v>0</v>
      </c>
      <c r="L13" s="98">
        <f t="shared" si="1"/>
        <v>0</v>
      </c>
      <c r="M13" s="98">
        <f t="shared" si="2"/>
        <v>0</v>
      </c>
      <c r="N13" s="181">
        <f t="shared" si="9"/>
        <v>46322.33175785256</v>
      </c>
      <c r="O13" s="181">
        <f t="shared" si="8"/>
        <v>46322.33175785256</v>
      </c>
      <c r="P13" s="101" t="str">
        <f>VLOOKUP(A13,SHIPMENTS!$A$7:$N$171,12,0)</f>
        <v>n/a</v>
      </c>
      <c r="Q13" s="101"/>
      <c r="R13" s="127" t="str">
        <f t="shared" si="3"/>
        <v/>
      </c>
      <c r="S13" s="127" t="str">
        <f t="shared" si="3"/>
        <v/>
      </c>
      <c r="T13" s="127" t="str">
        <f t="shared" si="3"/>
        <v/>
      </c>
      <c r="U13" s="127" t="str">
        <f t="shared" si="3"/>
        <v/>
      </c>
      <c r="V13" s="127" t="str">
        <f t="shared" si="3"/>
        <v/>
      </c>
      <c r="W13" s="127" t="str">
        <f t="shared" si="3"/>
        <v/>
      </c>
      <c r="X13" s="127" t="str">
        <f t="shared" si="3"/>
        <v/>
      </c>
      <c r="Y13" s="127" t="str">
        <f t="shared" si="3"/>
        <v/>
      </c>
      <c r="Z13" s="127" t="str">
        <f t="shared" si="3"/>
        <v/>
      </c>
      <c r="AA13" s="127" t="str">
        <f t="shared" si="3"/>
        <v/>
      </c>
      <c r="AB13" s="127" t="str">
        <f t="shared" si="3"/>
        <v/>
      </c>
      <c r="AC13" s="127" t="str">
        <f t="shared" si="3"/>
        <v/>
      </c>
      <c r="AD13" s="127" t="str">
        <f t="shared" si="3"/>
        <v/>
      </c>
      <c r="AE13" s="127" t="str">
        <f t="shared" si="3"/>
        <v/>
      </c>
      <c r="AF13" s="127" t="str">
        <f t="shared" si="3"/>
        <v/>
      </c>
      <c r="AG13" s="127" t="str">
        <f t="shared" si="3"/>
        <v/>
      </c>
      <c r="AH13" s="127" t="str">
        <f t="shared" si="4"/>
        <v/>
      </c>
      <c r="AI13" s="127" t="str">
        <f t="shared" si="4"/>
        <v/>
      </c>
      <c r="AJ13" s="127" t="str">
        <f t="shared" si="4"/>
        <v/>
      </c>
      <c r="AK13" s="127" t="str">
        <f t="shared" si="4"/>
        <v/>
      </c>
      <c r="AL13" s="127" t="str">
        <f t="shared" si="4"/>
        <v/>
      </c>
      <c r="AM13" s="127" t="str">
        <f t="shared" si="4"/>
        <v/>
      </c>
      <c r="AN13" s="127" t="str">
        <f t="shared" si="4"/>
        <v/>
      </c>
      <c r="AO13" s="127" t="str">
        <f t="shared" si="4"/>
        <v/>
      </c>
      <c r="AP13" s="127" t="str">
        <f t="shared" si="4"/>
        <v/>
      </c>
      <c r="AQ13" s="127" t="str">
        <f t="shared" si="4"/>
        <v/>
      </c>
      <c r="AR13" s="127" t="str">
        <f t="shared" si="4"/>
        <v/>
      </c>
      <c r="AS13" s="127" t="str">
        <f t="shared" si="4"/>
        <v/>
      </c>
      <c r="AT13" s="127" t="str">
        <f t="shared" si="4"/>
        <v/>
      </c>
      <c r="AU13" s="127" t="str">
        <f t="shared" si="4"/>
        <v/>
      </c>
      <c r="AV13" s="127" t="str">
        <f t="shared" si="4"/>
        <v/>
      </c>
      <c r="AW13" s="127" t="str">
        <f t="shared" si="4"/>
        <v/>
      </c>
      <c r="AX13" s="127" t="str">
        <f t="shared" si="4"/>
        <v/>
      </c>
      <c r="AY13" s="127" t="str">
        <f t="shared" si="4"/>
        <v/>
      </c>
      <c r="AZ13" s="127" t="str">
        <f t="shared" si="4"/>
        <v/>
      </c>
      <c r="BA13" s="127" t="str">
        <f t="shared" si="4"/>
        <v/>
      </c>
      <c r="BB13" s="127" t="str">
        <f t="shared" si="4"/>
        <v/>
      </c>
      <c r="BC13" s="127" t="str">
        <f t="shared" si="4"/>
        <v/>
      </c>
      <c r="BD13" s="127" t="str">
        <f t="shared" si="4"/>
        <v/>
      </c>
      <c r="BE13" s="127" t="str">
        <f t="shared" si="4"/>
        <v/>
      </c>
      <c r="BF13" s="127" t="str">
        <f t="shared" si="4"/>
        <v/>
      </c>
      <c r="BG13" s="127" t="str">
        <f t="shared" si="4"/>
        <v/>
      </c>
      <c r="BH13" s="127" t="str">
        <f t="shared" si="4"/>
        <v/>
      </c>
      <c r="BI13" s="127" t="str">
        <f t="shared" si="4"/>
        <v/>
      </c>
      <c r="BJ13" s="127" t="str">
        <f t="shared" si="4"/>
        <v/>
      </c>
      <c r="BK13" s="127" t="str">
        <f t="shared" si="4"/>
        <v/>
      </c>
      <c r="BL13" s="127" t="str">
        <f t="shared" si="4"/>
        <v/>
      </c>
      <c r="BM13" s="127" t="str">
        <f t="shared" si="4"/>
        <v/>
      </c>
      <c r="BN13" s="127" t="str">
        <f t="shared" si="4"/>
        <v/>
      </c>
      <c r="BO13" s="127" t="str">
        <f t="shared" si="4"/>
        <v/>
      </c>
      <c r="BP13" s="127" t="str">
        <f t="shared" si="4"/>
        <v/>
      </c>
      <c r="BQ13" s="127" t="str">
        <f t="shared" si="4"/>
        <v/>
      </c>
      <c r="BR13" s="127" t="str">
        <f t="shared" si="4"/>
        <v/>
      </c>
      <c r="BS13" s="127" t="str">
        <f t="shared" si="4"/>
        <v/>
      </c>
      <c r="BT13" s="127" t="str">
        <f t="shared" si="4"/>
        <v/>
      </c>
      <c r="BU13" s="127" t="str">
        <f t="shared" si="4"/>
        <v/>
      </c>
      <c r="BV13" s="127" t="str">
        <f t="shared" si="5"/>
        <v/>
      </c>
      <c r="BW13" s="127" t="str">
        <f t="shared" si="5"/>
        <v/>
      </c>
      <c r="BX13" s="127" t="str">
        <f t="shared" si="5"/>
        <v/>
      </c>
      <c r="BY13" s="127" t="str">
        <f t="shared" si="5"/>
        <v/>
      </c>
      <c r="BZ13" s="127" t="str">
        <f t="shared" si="5"/>
        <v/>
      </c>
      <c r="CA13" s="127" t="str">
        <f t="shared" si="5"/>
        <v/>
      </c>
      <c r="CB13" s="127" t="str">
        <f t="shared" si="5"/>
        <v/>
      </c>
      <c r="CC13" s="127" t="str">
        <f t="shared" si="5"/>
        <v/>
      </c>
      <c r="CD13" s="127" t="str">
        <f t="shared" si="5"/>
        <v/>
      </c>
      <c r="CE13" s="127" t="str">
        <f t="shared" si="5"/>
        <v/>
      </c>
    </row>
    <row r="14" spans="1:83" ht="12.6" hidden="1" customHeight="1" x14ac:dyDescent="0.2">
      <c r="A14" s="106">
        <f>SHIPMENTS!A20</f>
        <v>4781</v>
      </c>
      <c r="B14" s="106" t="str">
        <f>SHIPMENTS!B20</f>
        <v>41700-CANADA BSAUNAS BACKLOG</v>
      </c>
      <c r="C14" s="132">
        <f>SHIPMENTS!F20</f>
        <v>0</v>
      </c>
      <c r="D14" s="107" t="str">
        <f>IF((SHIPMENTS!I20)=0,"",SHIPMENTS!I20)</f>
        <v/>
      </c>
      <c r="E14" s="176" t="str">
        <f>IF((SHIPMENTS!G20)=0,"",SHIPMENTS!G20)</f>
        <v/>
      </c>
      <c r="F14" s="97">
        <f>VLOOKUP(A14,Items!$A$5:$J$1000,7,0)</f>
        <v>0</v>
      </c>
      <c r="G14" s="98">
        <f>VLOOKUP(A14,load!$A$4:$U$5001,7,0)</f>
        <v>0</v>
      </c>
      <c r="H14" s="97">
        <f>Manhours!$C$23</f>
        <v>32</v>
      </c>
      <c r="I14" s="98">
        <f t="shared" si="6"/>
        <v>291.2</v>
      </c>
      <c r="J14" s="99">
        <f t="shared" si="0"/>
        <v>0</v>
      </c>
      <c r="K14" s="99">
        <f t="shared" si="7"/>
        <v>0</v>
      </c>
      <c r="L14" s="98">
        <f t="shared" si="1"/>
        <v>0</v>
      </c>
      <c r="M14" s="98">
        <f t="shared" si="2"/>
        <v>0</v>
      </c>
      <c r="N14" s="181">
        <f t="shared" si="9"/>
        <v>46322.33175785256</v>
      </c>
      <c r="O14" s="181">
        <f t="shared" si="8"/>
        <v>46322.33175785256</v>
      </c>
      <c r="P14" s="101" t="str">
        <f>VLOOKUP(A14,SHIPMENTS!$A$7:$N$171,12,0)</f>
        <v>n/a</v>
      </c>
      <c r="Q14" s="101"/>
      <c r="R14" s="127" t="str">
        <f t="shared" si="3"/>
        <v/>
      </c>
      <c r="S14" s="127" t="str">
        <f t="shared" si="3"/>
        <v/>
      </c>
      <c r="T14" s="127" t="str">
        <f t="shared" si="3"/>
        <v/>
      </c>
      <c r="U14" s="127" t="str">
        <f t="shared" si="3"/>
        <v/>
      </c>
      <c r="V14" s="127" t="str">
        <f t="shared" si="3"/>
        <v/>
      </c>
      <c r="W14" s="127" t="str">
        <f t="shared" si="3"/>
        <v/>
      </c>
      <c r="X14" s="127" t="str">
        <f t="shared" si="3"/>
        <v/>
      </c>
      <c r="Y14" s="127" t="str">
        <f t="shared" si="3"/>
        <v/>
      </c>
      <c r="Z14" s="127" t="str">
        <f t="shared" si="3"/>
        <v/>
      </c>
      <c r="AA14" s="127" t="str">
        <f t="shared" si="3"/>
        <v/>
      </c>
      <c r="AB14" s="127" t="str">
        <f t="shared" si="3"/>
        <v/>
      </c>
      <c r="AC14" s="127" t="str">
        <f t="shared" si="3"/>
        <v/>
      </c>
      <c r="AD14" s="127" t="str">
        <f t="shared" si="3"/>
        <v/>
      </c>
      <c r="AE14" s="127" t="str">
        <f t="shared" si="3"/>
        <v/>
      </c>
      <c r="AF14" s="127" t="str">
        <f t="shared" si="3"/>
        <v/>
      </c>
      <c r="AG14" s="127" t="str">
        <f t="shared" si="3"/>
        <v/>
      </c>
      <c r="AH14" s="127" t="str">
        <f t="shared" si="4"/>
        <v/>
      </c>
      <c r="AI14" s="127" t="str">
        <f t="shared" si="4"/>
        <v/>
      </c>
      <c r="AJ14" s="127" t="str">
        <f t="shared" si="4"/>
        <v/>
      </c>
      <c r="AK14" s="127" t="str">
        <f t="shared" si="4"/>
        <v/>
      </c>
      <c r="AL14" s="127" t="str">
        <f t="shared" si="4"/>
        <v/>
      </c>
      <c r="AM14" s="127" t="str">
        <f t="shared" si="4"/>
        <v/>
      </c>
      <c r="AN14" s="127" t="str">
        <f t="shared" si="4"/>
        <v/>
      </c>
      <c r="AO14" s="127" t="str">
        <f t="shared" si="4"/>
        <v/>
      </c>
      <c r="AP14" s="127" t="str">
        <f t="shared" si="4"/>
        <v/>
      </c>
      <c r="AQ14" s="127" t="str">
        <f t="shared" si="4"/>
        <v/>
      </c>
      <c r="AR14" s="127" t="str">
        <f t="shared" si="4"/>
        <v/>
      </c>
      <c r="AS14" s="127" t="str">
        <f t="shared" si="4"/>
        <v/>
      </c>
      <c r="AT14" s="127" t="str">
        <f t="shared" si="4"/>
        <v/>
      </c>
      <c r="AU14" s="127" t="str">
        <f t="shared" si="4"/>
        <v/>
      </c>
      <c r="AV14" s="127" t="str">
        <f t="shared" si="4"/>
        <v/>
      </c>
      <c r="AW14" s="127" t="str">
        <f t="shared" ref="AW14:BW29" si="10">IF($E14=AW$3,"▲","")</f>
        <v/>
      </c>
      <c r="AX14" s="127" t="str">
        <f t="shared" si="10"/>
        <v/>
      </c>
      <c r="AY14" s="127" t="str">
        <f t="shared" si="10"/>
        <v/>
      </c>
      <c r="AZ14" s="127" t="str">
        <f t="shared" si="10"/>
        <v/>
      </c>
      <c r="BA14" s="127" t="str">
        <f t="shared" si="10"/>
        <v/>
      </c>
      <c r="BB14" s="127" t="str">
        <f t="shared" si="10"/>
        <v/>
      </c>
      <c r="BC14" s="127" t="str">
        <f t="shared" si="10"/>
        <v/>
      </c>
      <c r="BD14" s="127" t="str">
        <f t="shared" si="10"/>
        <v/>
      </c>
      <c r="BE14" s="127" t="str">
        <f t="shared" si="10"/>
        <v/>
      </c>
      <c r="BF14" s="127" t="str">
        <f t="shared" si="10"/>
        <v/>
      </c>
      <c r="BG14" s="127" t="str">
        <f t="shared" si="10"/>
        <v/>
      </c>
      <c r="BH14" s="127" t="str">
        <f t="shared" si="10"/>
        <v/>
      </c>
      <c r="BI14" s="127" t="str">
        <f t="shared" si="10"/>
        <v/>
      </c>
      <c r="BJ14" s="127" t="str">
        <f t="shared" si="10"/>
        <v/>
      </c>
      <c r="BK14" s="127" t="str">
        <f t="shared" si="10"/>
        <v/>
      </c>
      <c r="BL14" s="127" t="str">
        <f t="shared" si="10"/>
        <v/>
      </c>
      <c r="BM14" s="127" t="str">
        <f t="shared" si="10"/>
        <v/>
      </c>
      <c r="BN14" s="127" t="str">
        <f t="shared" si="10"/>
        <v/>
      </c>
      <c r="BO14" s="127" t="str">
        <f t="shared" si="10"/>
        <v/>
      </c>
      <c r="BP14" s="127" t="str">
        <f t="shared" si="10"/>
        <v/>
      </c>
      <c r="BQ14" s="127" t="str">
        <f t="shared" si="10"/>
        <v/>
      </c>
      <c r="BR14" s="127" t="str">
        <f t="shared" si="10"/>
        <v/>
      </c>
      <c r="BS14" s="127" t="str">
        <f t="shared" si="10"/>
        <v/>
      </c>
      <c r="BT14" s="127" t="str">
        <f t="shared" si="10"/>
        <v/>
      </c>
      <c r="BU14" s="127" t="str">
        <f t="shared" si="10"/>
        <v/>
      </c>
      <c r="BV14" s="127" t="str">
        <f t="shared" si="10"/>
        <v/>
      </c>
      <c r="BW14" s="127" t="str">
        <f t="shared" si="10"/>
        <v/>
      </c>
      <c r="BX14" s="127" t="str">
        <f t="shared" si="5"/>
        <v/>
      </c>
      <c r="BY14" s="127" t="str">
        <f t="shared" si="5"/>
        <v/>
      </c>
      <c r="BZ14" s="127" t="str">
        <f t="shared" si="5"/>
        <v/>
      </c>
      <c r="CA14" s="127" t="str">
        <f t="shared" si="5"/>
        <v/>
      </c>
      <c r="CB14" s="127" t="str">
        <f t="shared" si="5"/>
        <v/>
      </c>
      <c r="CC14" s="127" t="str">
        <f t="shared" si="5"/>
        <v/>
      </c>
      <c r="CD14" s="127" t="str">
        <f t="shared" si="5"/>
        <v/>
      </c>
      <c r="CE14" s="127" t="str">
        <f t="shared" si="5"/>
        <v/>
      </c>
    </row>
    <row r="15" spans="1:83" ht="12.6" customHeight="1" x14ac:dyDescent="0.2">
      <c r="A15" s="106">
        <f>SHIPMENTS!A21</f>
        <v>9259</v>
      </c>
      <c r="B15" s="106" t="str">
        <f>SHIPMENTS!B21</f>
        <v>27200-UAE</v>
      </c>
      <c r="C15" s="132">
        <f>SHIPMENTS!F21</f>
        <v>7.0000000000000007E-2</v>
      </c>
      <c r="D15" s="107" t="str">
        <f>IF((SHIPMENTS!I21)=0,"",SHIPMENTS!I21)</f>
        <v>AIR</v>
      </c>
      <c r="E15" s="176">
        <f>IF((SHIPMENTS!G21)=0,"",SHIPMENTS!G21)</f>
        <v>46316</v>
      </c>
      <c r="F15" s="97">
        <f>VLOOKUP(A15,Items!$A$5:$J$1000,7,0)</f>
        <v>20</v>
      </c>
      <c r="G15" s="98">
        <f>VLOOKUP(A15,load!$A$4:$U$5001,7,0)</f>
        <v>0</v>
      </c>
      <c r="H15" s="97">
        <f>Manhours!$C$23</f>
        <v>32</v>
      </c>
      <c r="I15" s="98">
        <f t="shared" si="6"/>
        <v>291.2</v>
      </c>
      <c r="J15" s="99">
        <f t="shared" si="0"/>
        <v>0</v>
      </c>
      <c r="K15" s="99">
        <f t="shared" si="7"/>
        <v>0</v>
      </c>
      <c r="L15" s="98">
        <f t="shared" si="1"/>
        <v>0</v>
      </c>
      <c r="M15" s="98">
        <f t="shared" si="2"/>
        <v>0</v>
      </c>
      <c r="N15" s="181">
        <f t="shared" si="9"/>
        <v>46322.33175785256</v>
      </c>
      <c r="O15" s="181">
        <f t="shared" si="8"/>
        <v>46322.33175785256</v>
      </c>
      <c r="P15" s="101">
        <f>VLOOKUP(A15,SHIPMENTS!$A$7:$N$171,12,0)</f>
        <v>0</v>
      </c>
      <c r="Q15" s="101"/>
      <c r="R15" s="127" t="str">
        <f t="shared" si="3"/>
        <v/>
      </c>
      <c r="S15" s="127" t="str">
        <f t="shared" si="3"/>
        <v/>
      </c>
      <c r="T15" s="127" t="str">
        <f t="shared" si="3"/>
        <v>▲</v>
      </c>
      <c r="U15" s="127" t="str">
        <f t="shared" si="3"/>
        <v/>
      </c>
      <c r="V15" s="127" t="str">
        <f t="shared" si="3"/>
        <v/>
      </c>
      <c r="W15" s="127" t="str">
        <f t="shared" si="3"/>
        <v/>
      </c>
      <c r="X15" s="127" t="str">
        <f t="shared" si="3"/>
        <v/>
      </c>
      <c r="Y15" s="127" t="str">
        <f t="shared" si="3"/>
        <v/>
      </c>
      <c r="Z15" s="127" t="str">
        <f t="shared" si="3"/>
        <v/>
      </c>
      <c r="AA15" s="127" t="str">
        <f t="shared" si="3"/>
        <v/>
      </c>
      <c r="AB15" s="127" t="str">
        <f t="shared" si="3"/>
        <v/>
      </c>
      <c r="AC15" s="127" t="str">
        <f t="shared" si="3"/>
        <v/>
      </c>
      <c r="AD15" s="127" t="str">
        <f t="shared" si="3"/>
        <v/>
      </c>
      <c r="AE15" s="127" t="str">
        <f t="shared" si="3"/>
        <v/>
      </c>
      <c r="AF15" s="127" t="str">
        <f t="shared" si="3"/>
        <v/>
      </c>
      <c r="AG15" s="127" t="str">
        <f t="shared" si="3"/>
        <v/>
      </c>
      <c r="AH15" s="127" t="str">
        <f t="shared" ref="AH15:BS30" si="11">IF($E15=AH$3,"▲","")</f>
        <v/>
      </c>
      <c r="AI15" s="127" t="str">
        <f t="shared" si="11"/>
        <v/>
      </c>
      <c r="AJ15" s="127" t="str">
        <f t="shared" si="11"/>
        <v/>
      </c>
      <c r="AK15" s="127" t="str">
        <f t="shared" si="11"/>
        <v/>
      </c>
      <c r="AL15" s="127" t="str">
        <f t="shared" si="11"/>
        <v/>
      </c>
      <c r="AM15" s="127" t="str">
        <f t="shared" si="11"/>
        <v/>
      </c>
      <c r="AN15" s="127" t="str">
        <f t="shared" si="11"/>
        <v/>
      </c>
      <c r="AO15" s="127" t="str">
        <f t="shared" si="11"/>
        <v/>
      </c>
      <c r="AP15" s="127" t="str">
        <f t="shared" si="11"/>
        <v/>
      </c>
      <c r="AQ15" s="127" t="str">
        <f t="shared" si="11"/>
        <v/>
      </c>
      <c r="AR15" s="127" t="str">
        <f t="shared" si="11"/>
        <v/>
      </c>
      <c r="AS15" s="127" t="str">
        <f t="shared" si="11"/>
        <v/>
      </c>
      <c r="AT15" s="127" t="str">
        <f t="shared" si="11"/>
        <v/>
      </c>
      <c r="AU15" s="127" t="str">
        <f t="shared" si="11"/>
        <v/>
      </c>
      <c r="AV15" s="127" t="str">
        <f t="shared" si="11"/>
        <v/>
      </c>
      <c r="AW15" s="127" t="str">
        <f t="shared" si="11"/>
        <v/>
      </c>
      <c r="AX15" s="127" t="str">
        <f t="shared" si="11"/>
        <v/>
      </c>
      <c r="AY15" s="127" t="str">
        <f t="shared" si="11"/>
        <v/>
      </c>
      <c r="AZ15" s="127" t="str">
        <f t="shared" si="11"/>
        <v/>
      </c>
      <c r="BA15" s="127" t="str">
        <f t="shared" si="11"/>
        <v/>
      </c>
      <c r="BB15" s="127" t="str">
        <f t="shared" si="11"/>
        <v/>
      </c>
      <c r="BC15" s="127" t="str">
        <f t="shared" si="11"/>
        <v/>
      </c>
      <c r="BD15" s="127" t="str">
        <f t="shared" si="11"/>
        <v/>
      </c>
      <c r="BE15" s="127" t="str">
        <f t="shared" si="11"/>
        <v/>
      </c>
      <c r="BF15" s="127" t="str">
        <f t="shared" si="11"/>
        <v/>
      </c>
      <c r="BG15" s="127" t="str">
        <f t="shared" si="10"/>
        <v/>
      </c>
      <c r="BH15" s="127" t="str">
        <f t="shared" si="10"/>
        <v/>
      </c>
      <c r="BI15" s="127" t="str">
        <f t="shared" si="10"/>
        <v/>
      </c>
      <c r="BJ15" s="127" t="str">
        <f t="shared" si="10"/>
        <v/>
      </c>
      <c r="BK15" s="127" t="str">
        <f t="shared" si="10"/>
        <v/>
      </c>
      <c r="BL15" s="127" t="str">
        <f t="shared" si="10"/>
        <v/>
      </c>
      <c r="BM15" s="127" t="str">
        <f t="shared" si="10"/>
        <v/>
      </c>
      <c r="BN15" s="127" t="str">
        <f t="shared" si="10"/>
        <v/>
      </c>
      <c r="BO15" s="127" t="str">
        <f t="shared" si="10"/>
        <v/>
      </c>
      <c r="BP15" s="127" t="str">
        <f t="shared" si="10"/>
        <v/>
      </c>
      <c r="BQ15" s="127" t="str">
        <f t="shared" si="10"/>
        <v/>
      </c>
      <c r="BR15" s="127" t="str">
        <f t="shared" si="10"/>
        <v/>
      </c>
      <c r="BS15" s="127" t="str">
        <f t="shared" si="10"/>
        <v/>
      </c>
      <c r="BT15" s="127" t="str">
        <f t="shared" si="10"/>
        <v/>
      </c>
      <c r="BU15" s="127" t="str">
        <f t="shared" si="10"/>
        <v/>
      </c>
      <c r="BV15" s="127" t="str">
        <f t="shared" si="10"/>
        <v/>
      </c>
      <c r="BW15" s="127" t="str">
        <f t="shared" si="10"/>
        <v/>
      </c>
      <c r="BX15" s="127" t="str">
        <f t="shared" si="5"/>
        <v/>
      </c>
      <c r="BY15" s="127" t="str">
        <f t="shared" si="5"/>
        <v/>
      </c>
      <c r="BZ15" s="127" t="str">
        <f t="shared" si="5"/>
        <v/>
      </c>
      <c r="CA15" s="127" t="str">
        <f t="shared" si="5"/>
        <v/>
      </c>
      <c r="CB15" s="127" t="str">
        <f t="shared" si="5"/>
        <v/>
      </c>
      <c r="CC15" s="127" t="str">
        <f t="shared" si="5"/>
        <v/>
      </c>
      <c r="CD15" s="127" t="str">
        <f t="shared" si="5"/>
        <v/>
      </c>
      <c r="CE15" s="127" t="str">
        <f t="shared" si="5"/>
        <v/>
      </c>
    </row>
    <row r="16" spans="1:83" ht="12.6" customHeight="1" x14ac:dyDescent="0.2">
      <c r="A16" s="106">
        <f>SHIPMENTS!A22</f>
        <v>8765</v>
      </c>
      <c r="B16" s="106" t="str">
        <f>SHIPMENTS!B22</f>
        <v>8200-AUSTRALIA</v>
      </c>
      <c r="C16" s="132">
        <f>SHIPMENTS!F22</f>
        <v>64.930000000000007</v>
      </c>
      <c r="D16" s="107" t="str">
        <f>IF((SHIPMENTS!I22)=0,"",SHIPMENTS!I22)</f>
        <v>1X40HC</v>
      </c>
      <c r="E16" s="176">
        <f>IF((SHIPMENTS!G22)=0,"",SHIPMENTS!G22)</f>
        <v>46316</v>
      </c>
      <c r="F16" s="97">
        <f>VLOOKUP(A16,Items!$A$5:$J$1000,7,0)</f>
        <v>230</v>
      </c>
      <c r="G16" s="98">
        <f>VLOOKUP(A16,load!$A$4:$U$5001,7,0)</f>
        <v>106.43866666666668</v>
      </c>
      <c r="H16" s="97">
        <f>Manhours!$C$23</f>
        <v>32</v>
      </c>
      <c r="I16" s="98">
        <f t="shared" si="6"/>
        <v>291.2</v>
      </c>
      <c r="J16" s="99">
        <f t="shared" si="0"/>
        <v>0.36551739926739929</v>
      </c>
      <c r="K16" s="99">
        <f t="shared" si="7"/>
        <v>3.3262083333333332</v>
      </c>
      <c r="L16" s="98">
        <f t="shared" si="1"/>
        <v>0.36551739926739929</v>
      </c>
      <c r="M16" s="98">
        <f t="shared" si="2"/>
        <v>3.3262083333333332</v>
      </c>
      <c r="N16" s="181">
        <f t="shared" si="9"/>
        <v>46322.33175785256</v>
      </c>
      <c r="O16" s="181">
        <f t="shared" si="8"/>
        <v>46322.697275251827</v>
      </c>
      <c r="P16" s="101">
        <f>VLOOKUP(A16,SHIPMENTS!$A$7:$N$171,12,0)</f>
        <v>0</v>
      </c>
      <c r="Q16" s="101"/>
      <c r="R16" s="127" t="str">
        <f t="shared" si="3"/>
        <v/>
      </c>
      <c r="S16" s="127" t="str">
        <f t="shared" si="3"/>
        <v/>
      </c>
      <c r="T16" s="127" t="str">
        <f t="shared" si="3"/>
        <v>▲</v>
      </c>
      <c r="U16" s="127" t="str">
        <f t="shared" si="3"/>
        <v/>
      </c>
      <c r="V16" s="127" t="str">
        <f t="shared" si="3"/>
        <v/>
      </c>
      <c r="W16" s="127" t="str">
        <f t="shared" si="3"/>
        <v/>
      </c>
      <c r="X16" s="127" t="str">
        <f t="shared" si="3"/>
        <v/>
      </c>
      <c r="Y16" s="127" t="str">
        <f t="shared" si="3"/>
        <v/>
      </c>
      <c r="Z16" s="127" t="str">
        <f t="shared" si="3"/>
        <v/>
      </c>
      <c r="AA16" s="127" t="str">
        <f t="shared" si="3"/>
        <v/>
      </c>
      <c r="AB16" s="127" t="str">
        <f t="shared" si="3"/>
        <v/>
      </c>
      <c r="AC16" s="127" t="str">
        <f t="shared" si="3"/>
        <v/>
      </c>
      <c r="AD16" s="127" t="str">
        <f t="shared" si="3"/>
        <v/>
      </c>
      <c r="AE16" s="127" t="str">
        <f t="shared" si="3"/>
        <v/>
      </c>
      <c r="AF16" s="127" t="str">
        <f t="shared" si="3"/>
        <v/>
      </c>
      <c r="AG16" s="127" t="str">
        <f t="shared" si="3"/>
        <v/>
      </c>
      <c r="AH16" s="127" t="str">
        <f t="shared" si="11"/>
        <v/>
      </c>
      <c r="AI16" s="127" t="str">
        <f t="shared" si="11"/>
        <v/>
      </c>
      <c r="AJ16" s="127" t="str">
        <f t="shared" si="11"/>
        <v/>
      </c>
      <c r="AK16" s="127" t="str">
        <f t="shared" si="11"/>
        <v/>
      </c>
      <c r="AL16" s="127" t="str">
        <f t="shared" si="11"/>
        <v/>
      </c>
      <c r="AM16" s="127" t="str">
        <f t="shared" si="11"/>
        <v/>
      </c>
      <c r="AN16" s="127" t="str">
        <f t="shared" si="11"/>
        <v/>
      </c>
      <c r="AO16" s="127" t="str">
        <f t="shared" si="11"/>
        <v/>
      </c>
      <c r="AP16" s="127" t="str">
        <f t="shared" si="11"/>
        <v/>
      </c>
      <c r="AQ16" s="127" t="str">
        <f t="shared" si="11"/>
        <v/>
      </c>
      <c r="AR16" s="127" t="str">
        <f t="shared" si="11"/>
        <v/>
      </c>
      <c r="AS16" s="127" t="str">
        <f t="shared" si="11"/>
        <v/>
      </c>
      <c r="AT16" s="127" t="str">
        <f t="shared" si="11"/>
        <v/>
      </c>
      <c r="AU16" s="127" t="str">
        <f t="shared" si="11"/>
        <v/>
      </c>
      <c r="AV16" s="127" t="str">
        <f t="shared" si="11"/>
        <v/>
      </c>
      <c r="AW16" s="127" t="str">
        <f t="shared" si="11"/>
        <v/>
      </c>
      <c r="AX16" s="127" t="str">
        <f t="shared" si="11"/>
        <v/>
      </c>
      <c r="AY16" s="127" t="str">
        <f t="shared" si="11"/>
        <v/>
      </c>
      <c r="AZ16" s="127" t="str">
        <f t="shared" si="11"/>
        <v/>
      </c>
      <c r="BA16" s="127" t="str">
        <f t="shared" si="11"/>
        <v/>
      </c>
      <c r="BB16" s="127" t="str">
        <f t="shared" si="11"/>
        <v/>
      </c>
      <c r="BC16" s="127" t="str">
        <f t="shared" si="11"/>
        <v/>
      </c>
      <c r="BD16" s="127" t="str">
        <f t="shared" si="11"/>
        <v/>
      </c>
      <c r="BE16" s="127" t="str">
        <f t="shared" si="11"/>
        <v/>
      </c>
      <c r="BF16" s="127" t="str">
        <f t="shared" si="11"/>
        <v/>
      </c>
      <c r="BG16" s="127" t="str">
        <f t="shared" si="10"/>
        <v/>
      </c>
      <c r="BH16" s="127" t="str">
        <f t="shared" si="10"/>
        <v/>
      </c>
      <c r="BI16" s="127" t="str">
        <f t="shared" si="10"/>
        <v/>
      </c>
      <c r="BJ16" s="127" t="str">
        <f t="shared" si="10"/>
        <v/>
      </c>
      <c r="BK16" s="127" t="str">
        <f t="shared" si="10"/>
        <v/>
      </c>
      <c r="BL16" s="127" t="str">
        <f t="shared" si="10"/>
        <v/>
      </c>
      <c r="BM16" s="127" t="str">
        <f t="shared" si="10"/>
        <v/>
      </c>
      <c r="BN16" s="127" t="str">
        <f t="shared" si="10"/>
        <v/>
      </c>
      <c r="BO16" s="127" t="str">
        <f t="shared" si="10"/>
        <v/>
      </c>
      <c r="BP16" s="127" t="str">
        <f t="shared" si="10"/>
        <v/>
      </c>
      <c r="BQ16" s="127" t="str">
        <f t="shared" si="10"/>
        <v/>
      </c>
      <c r="BR16" s="127" t="str">
        <f t="shared" si="10"/>
        <v/>
      </c>
      <c r="BS16" s="127" t="str">
        <f t="shared" si="10"/>
        <v/>
      </c>
      <c r="BT16" s="127" t="str">
        <f t="shared" si="10"/>
        <v/>
      </c>
      <c r="BU16" s="127" t="str">
        <f t="shared" si="10"/>
        <v/>
      </c>
      <c r="BV16" s="127" t="str">
        <f t="shared" si="10"/>
        <v/>
      </c>
      <c r="BW16" s="127" t="str">
        <f t="shared" si="10"/>
        <v/>
      </c>
      <c r="BX16" s="127" t="str">
        <f t="shared" si="5"/>
        <v/>
      </c>
      <c r="BY16" s="127" t="str">
        <f t="shared" si="5"/>
        <v/>
      </c>
      <c r="BZ16" s="127" t="str">
        <f t="shared" si="5"/>
        <v/>
      </c>
      <c r="CA16" s="127" t="str">
        <f t="shared" si="5"/>
        <v/>
      </c>
      <c r="CB16" s="127" t="str">
        <f t="shared" si="5"/>
        <v/>
      </c>
      <c r="CC16" s="127" t="str">
        <f t="shared" si="5"/>
        <v/>
      </c>
      <c r="CD16" s="127" t="str">
        <f t="shared" si="5"/>
        <v/>
      </c>
      <c r="CE16" s="127" t="str">
        <f t="shared" si="5"/>
        <v/>
      </c>
    </row>
    <row r="17" spans="1:83" ht="12.6" customHeight="1" x14ac:dyDescent="0.2">
      <c r="A17" s="106">
        <f>SHIPMENTS!A23</f>
        <v>7919</v>
      </c>
      <c r="B17" s="106" t="str">
        <f>SHIPMENTS!B23</f>
        <v>8200-AUSTRALIA</v>
      </c>
      <c r="C17" s="132">
        <f>SHIPMENTS!F23</f>
        <v>0</v>
      </c>
      <c r="D17" s="107" t="str">
        <f>IF((SHIPMENTS!I23)=0,"",SHIPMENTS!I23)</f>
        <v/>
      </c>
      <c r="E17" s="176" t="str">
        <f>IF((SHIPMENTS!G23)=0,"",SHIPMENTS!G23)</f>
        <v/>
      </c>
      <c r="F17" s="97">
        <f>VLOOKUP(A17,Items!$A$5:$J$1000,7,0)</f>
        <v>0</v>
      </c>
      <c r="G17" s="98">
        <f>VLOOKUP(A17,load!$A$4:$U$5001,7,0)</f>
        <v>0</v>
      </c>
      <c r="H17" s="97">
        <f>Manhours!$C$23</f>
        <v>32</v>
      </c>
      <c r="I17" s="98">
        <f t="shared" si="6"/>
        <v>291.2</v>
      </c>
      <c r="J17" s="99">
        <f t="shared" si="0"/>
        <v>0</v>
      </c>
      <c r="K17" s="99">
        <f t="shared" si="7"/>
        <v>0</v>
      </c>
      <c r="L17" s="98">
        <f t="shared" si="1"/>
        <v>0</v>
      </c>
      <c r="M17" s="98">
        <f t="shared" si="2"/>
        <v>0</v>
      </c>
      <c r="N17" s="181">
        <f t="shared" si="9"/>
        <v>46322.697275251827</v>
      </c>
      <c r="O17" s="181">
        <f t="shared" si="8"/>
        <v>46322.697275251827</v>
      </c>
      <c r="P17" s="101">
        <f>VLOOKUP(A17,SHIPMENTS!$A$7:$N$171,12,0)</f>
        <v>1</v>
      </c>
      <c r="Q17" s="101"/>
      <c r="R17" s="127" t="str">
        <f t="shared" si="3"/>
        <v/>
      </c>
      <c r="S17" s="127" t="str">
        <f t="shared" si="3"/>
        <v/>
      </c>
      <c r="T17" s="127" t="str">
        <f t="shared" si="3"/>
        <v/>
      </c>
      <c r="U17" s="127" t="str">
        <f t="shared" si="3"/>
        <v/>
      </c>
      <c r="V17" s="127" t="str">
        <f t="shared" si="3"/>
        <v/>
      </c>
      <c r="W17" s="127" t="str">
        <f t="shared" si="3"/>
        <v/>
      </c>
      <c r="X17" s="127" t="str">
        <f t="shared" si="3"/>
        <v/>
      </c>
      <c r="Y17" s="127" t="str">
        <f t="shared" si="3"/>
        <v/>
      </c>
      <c r="Z17" s="127" t="str">
        <f t="shared" si="3"/>
        <v/>
      </c>
      <c r="AA17" s="127" t="str">
        <f t="shared" si="3"/>
        <v/>
      </c>
      <c r="AB17" s="127" t="str">
        <f t="shared" si="3"/>
        <v/>
      </c>
      <c r="AC17" s="127" t="str">
        <f t="shared" si="3"/>
        <v/>
      </c>
      <c r="AD17" s="127" t="str">
        <f t="shared" si="3"/>
        <v/>
      </c>
      <c r="AE17" s="127" t="str">
        <f t="shared" si="3"/>
        <v/>
      </c>
      <c r="AF17" s="127" t="str">
        <f t="shared" si="3"/>
        <v/>
      </c>
      <c r="AG17" s="127" t="str">
        <f t="shared" si="3"/>
        <v/>
      </c>
      <c r="AH17" s="127" t="str">
        <f t="shared" si="11"/>
        <v/>
      </c>
      <c r="AI17" s="127" t="str">
        <f t="shared" si="11"/>
        <v/>
      </c>
      <c r="AJ17" s="127" t="str">
        <f t="shared" si="11"/>
        <v/>
      </c>
      <c r="AK17" s="127" t="str">
        <f t="shared" si="11"/>
        <v/>
      </c>
      <c r="AL17" s="127" t="str">
        <f t="shared" si="11"/>
        <v/>
      </c>
      <c r="AM17" s="127" t="str">
        <f t="shared" si="11"/>
        <v/>
      </c>
      <c r="AN17" s="127" t="str">
        <f t="shared" si="11"/>
        <v/>
      </c>
      <c r="AO17" s="127" t="str">
        <f t="shared" si="11"/>
        <v/>
      </c>
      <c r="AP17" s="127" t="str">
        <f t="shared" si="11"/>
        <v/>
      </c>
      <c r="AQ17" s="127" t="str">
        <f t="shared" si="11"/>
        <v/>
      </c>
      <c r="AR17" s="127" t="str">
        <f t="shared" si="11"/>
        <v/>
      </c>
      <c r="AS17" s="127" t="str">
        <f t="shared" si="11"/>
        <v/>
      </c>
      <c r="AT17" s="127" t="str">
        <f t="shared" si="11"/>
        <v/>
      </c>
      <c r="AU17" s="127" t="str">
        <f t="shared" si="11"/>
        <v/>
      </c>
      <c r="AV17" s="127" t="str">
        <f t="shared" si="11"/>
        <v/>
      </c>
      <c r="AW17" s="127" t="str">
        <f t="shared" si="11"/>
        <v/>
      </c>
      <c r="AX17" s="127" t="str">
        <f t="shared" si="11"/>
        <v/>
      </c>
      <c r="AY17" s="127" t="str">
        <f t="shared" si="11"/>
        <v/>
      </c>
      <c r="AZ17" s="127" t="str">
        <f t="shared" si="11"/>
        <v/>
      </c>
      <c r="BA17" s="127" t="str">
        <f t="shared" si="11"/>
        <v/>
      </c>
      <c r="BB17" s="127" t="str">
        <f t="shared" si="11"/>
        <v/>
      </c>
      <c r="BC17" s="127" t="str">
        <f t="shared" si="11"/>
        <v/>
      </c>
      <c r="BD17" s="127" t="str">
        <f t="shared" si="11"/>
        <v/>
      </c>
      <c r="BE17" s="127" t="str">
        <f t="shared" si="11"/>
        <v/>
      </c>
      <c r="BF17" s="127" t="str">
        <f t="shared" si="11"/>
        <v/>
      </c>
      <c r="BG17" s="127" t="str">
        <f t="shared" si="10"/>
        <v/>
      </c>
      <c r="BH17" s="127" t="str">
        <f t="shared" si="10"/>
        <v/>
      </c>
      <c r="BI17" s="127" t="str">
        <f t="shared" si="10"/>
        <v/>
      </c>
      <c r="BJ17" s="127" t="str">
        <f t="shared" si="10"/>
        <v/>
      </c>
      <c r="BK17" s="127" t="str">
        <f t="shared" si="10"/>
        <v/>
      </c>
      <c r="BL17" s="127" t="str">
        <f t="shared" si="10"/>
        <v/>
      </c>
      <c r="BM17" s="127" t="str">
        <f t="shared" si="10"/>
        <v/>
      </c>
      <c r="BN17" s="127" t="str">
        <f t="shared" si="10"/>
        <v/>
      </c>
      <c r="BO17" s="127" t="str">
        <f t="shared" si="10"/>
        <v/>
      </c>
      <c r="BP17" s="127" t="str">
        <f t="shared" si="10"/>
        <v/>
      </c>
      <c r="BQ17" s="127" t="str">
        <f t="shared" si="10"/>
        <v/>
      </c>
      <c r="BR17" s="127" t="str">
        <f t="shared" si="10"/>
        <v/>
      </c>
      <c r="BS17" s="127" t="str">
        <f t="shared" si="10"/>
        <v/>
      </c>
      <c r="BT17" s="127" t="str">
        <f t="shared" si="10"/>
        <v/>
      </c>
      <c r="BU17" s="127" t="str">
        <f t="shared" si="10"/>
        <v/>
      </c>
      <c r="BV17" s="127" t="str">
        <f t="shared" si="10"/>
        <v/>
      </c>
      <c r="BW17" s="127" t="str">
        <f t="shared" si="10"/>
        <v/>
      </c>
      <c r="BX17" s="127" t="str">
        <f t="shared" si="5"/>
        <v/>
      </c>
      <c r="BY17" s="127" t="str">
        <f t="shared" si="5"/>
        <v/>
      </c>
      <c r="BZ17" s="127" t="str">
        <f t="shared" si="5"/>
        <v/>
      </c>
      <c r="CA17" s="127" t="str">
        <f t="shared" si="5"/>
        <v/>
      </c>
      <c r="CB17" s="127" t="str">
        <f t="shared" si="5"/>
        <v/>
      </c>
      <c r="CC17" s="127" t="str">
        <f t="shared" si="5"/>
        <v/>
      </c>
      <c r="CD17" s="127" t="str">
        <f t="shared" si="5"/>
        <v/>
      </c>
      <c r="CE17" s="127" t="str">
        <f t="shared" si="5"/>
        <v/>
      </c>
    </row>
    <row r="18" spans="1:83" ht="12.6" customHeight="1" x14ac:dyDescent="0.2">
      <c r="A18" s="106">
        <f>SHIPMENTS!A24</f>
        <v>9015</v>
      </c>
      <c r="B18" s="106" t="str">
        <f>SHIPMENTS!B24</f>
        <v>15900- Mandaue City | Atty. Brando Raya</v>
      </c>
      <c r="C18" s="132">
        <f>SHIPMENTS!F24</f>
        <v>0.25600000000000001</v>
      </c>
      <c r="D18" s="107" t="str">
        <f>IF((SHIPMENTS!I24)=0,"",SHIPMENTS!I24)</f>
        <v>LCL</v>
      </c>
      <c r="E18" s="176">
        <f>IF((SHIPMENTS!G24)=0,"",SHIPMENTS!G24)</f>
        <v>46323</v>
      </c>
      <c r="F18" s="97">
        <f>VLOOKUP(A18,Items!$A$5:$J$1000,7,0)</f>
        <v>6</v>
      </c>
      <c r="G18" s="98">
        <f>VLOOKUP(A18,load!$A$4:$U$5001,7,0)</f>
        <v>2.7568333333333332</v>
      </c>
      <c r="H18" s="97">
        <f>Manhours!$C$23</f>
        <v>32</v>
      </c>
      <c r="I18" s="98">
        <f t="shared" si="6"/>
        <v>291.2</v>
      </c>
      <c r="J18" s="99">
        <f t="shared" si="0"/>
        <v>9.4671474358974366E-3</v>
      </c>
      <c r="K18" s="99">
        <f t="shared" si="7"/>
        <v>8.6151041666666664E-2</v>
      </c>
      <c r="L18" s="98">
        <f t="shared" si="1"/>
        <v>9.4671474358974366E-3</v>
      </c>
      <c r="M18" s="98">
        <f t="shared" si="2"/>
        <v>8.6151041666666664E-2</v>
      </c>
      <c r="N18" s="181">
        <f t="shared" si="9"/>
        <v>46322.697275251827</v>
      </c>
      <c r="O18" s="181">
        <f t="shared" si="8"/>
        <v>46322.706742399263</v>
      </c>
      <c r="P18" s="101">
        <f>VLOOKUP(A18,SHIPMENTS!$A$7:$N$171,12,0)</f>
        <v>0</v>
      </c>
      <c r="Q18" s="101"/>
      <c r="R18" s="127" t="str">
        <f t="shared" si="3"/>
        <v/>
      </c>
      <c r="S18" s="127" t="str">
        <f t="shared" si="3"/>
        <v/>
      </c>
      <c r="T18" s="127" t="str">
        <f t="shared" si="3"/>
        <v/>
      </c>
      <c r="U18" s="127" t="str">
        <f t="shared" si="3"/>
        <v/>
      </c>
      <c r="V18" s="127" t="str">
        <f t="shared" si="3"/>
        <v/>
      </c>
      <c r="W18" s="127" t="str">
        <f t="shared" si="3"/>
        <v/>
      </c>
      <c r="X18" s="127" t="str">
        <f t="shared" si="3"/>
        <v/>
      </c>
      <c r="Y18" s="127" t="str">
        <f t="shared" si="3"/>
        <v/>
      </c>
      <c r="Z18" s="127" t="str">
        <f t="shared" si="3"/>
        <v>▲</v>
      </c>
      <c r="AA18" s="127" t="str">
        <f t="shared" si="3"/>
        <v/>
      </c>
      <c r="AB18" s="127" t="str">
        <f t="shared" si="3"/>
        <v/>
      </c>
      <c r="AC18" s="127" t="str">
        <f t="shared" si="3"/>
        <v/>
      </c>
      <c r="AD18" s="127" t="str">
        <f t="shared" si="3"/>
        <v/>
      </c>
      <c r="AE18" s="127" t="str">
        <f t="shared" si="3"/>
        <v/>
      </c>
      <c r="AF18" s="127" t="str">
        <f t="shared" si="3"/>
        <v/>
      </c>
      <c r="AG18" s="127" t="str">
        <f t="shared" si="3"/>
        <v/>
      </c>
      <c r="AH18" s="127" t="str">
        <f t="shared" si="11"/>
        <v/>
      </c>
      <c r="AI18" s="127" t="str">
        <f t="shared" si="11"/>
        <v/>
      </c>
      <c r="AJ18" s="127" t="str">
        <f t="shared" si="11"/>
        <v/>
      </c>
      <c r="AK18" s="127" t="str">
        <f t="shared" si="11"/>
        <v/>
      </c>
      <c r="AL18" s="127" t="str">
        <f t="shared" si="11"/>
        <v/>
      </c>
      <c r="AM18" s="127" t="str">
        <f t="shared" si="11"/>
        <v/>
      </c>
      <c r="AN18" s="127" t="str">
        <f t="shared" si="11"/>
        <v/>
      </c>
      <c r="AO18" s="127" t="str">
        <f t="shared" si="11"/>
        <v/>
      </c>
      <c r="AP18" s="127" t="str">
        <f t="shared" si="11"/>
        <v/>
      </c>
      <c r="AQ18" s="127" t="str">
        <f t="shared" si="11"/>
        <v/>
      </c>
      <c r="AR18" s="127" t="str">
        <f t="shared" si="11"/>
        <v/>
      </c>
      <c r="AS18" s="127" t="str">
        <f t="shared" si="11"/>
        <v/>
      </c>
      <c r="AT18" s="127" t="str">
        <f t="shared" si="11"/>
        <v/>
      </c>
      <c r="AU18" s="127" t="str">
        <f t="shared" si="11"/>
        <v/>
      </c>
      <c r="AV18" s="127" t="str">
        <f t="shared" si="11"/>
        <v/>
      </c>
      <c r="AW18" s="127" t="str">
        <f t="shared" si="11"/>
        <v/>
      </c>
      <c r="AX18" s="127" t="str">
        <f t="shared" si="11"/>
        <v/>
      </c>
      <c r="AY18" s="127" t="str">
        <f t="shared" si="11"/>
        <v/>
      </c>
      <c r="AZ18" s="127" t="str">
        <f t="shared" si="11"/>
        <v/>
      </c>
      <c r="BA18" s="127" t="str">
        <f t="shared" si="11"/>
        <v/>
      </c>
      <c r="BB18" s="127" t="str">
        <f t="shared" si="11"/>
        <v/>
      </c>
      <c r="BC18" s="127" t="str">
        <f t="shared" si="11"/>
        <v/>
      </c>
      <c r="BD18" s="127" t="str">
        <f t="shared" si="11"/>
        <v/>
      </c>
      <c r="BE18" s="127" t="str">
        <f t="shared" si="11"/>
        <v/>
      </c>
      <c r="BF18" s="127" t="str">
        <f t="shared" si="11"/>
        <v/>
      </c>
      <c r="BG18" s="127" t="str">
        <f t="shared" si="10"/>
        <v/>
      </c>
      <c r="BH18" s="127" t="str">
        <f t="shared" si="10"/>
        <v/>
      </c>
      <c r="BI18" s="127" t="str">
        <f t="shared" si="10"/>
        <v/>
      </c>
      <c r="BJ18" s="127" t="str">
        <f t="shared" si="10"/>
        <v/>
      </c>
      <c r="BK18" s="127" t="str">
        <f t="shared" si="10"/>
        <v/>
      </c>
      <c r="BL18" s="127" t="str">
        <f t="shared" si="10"/>
        <v/>
      </c>
      <c r="BM18" s="127" t="str">
        <f t="shared" si="10"/>
        <v/>
      </c>
      <c r="BN18" s="127" t="str">
        <f t="shared" si="10"/>
        <v/>
      </c>
      <c r="BO18" s="127" t="str">
        <f t="shared" si="10"/>
        <v/>
      </c>
      <c r="BP18" s="127" t="str">
        <f t="shared" si="10"/>
        <v/>
      </c>
      <c r="BQ18" s="127" t="str">
        <f t="shared" si="10"/>
        <v/>
      </c>
      <c r="BR18" s="127" t="str">
        <f t="shared" si="10"/>
        <v/>
      </c>
      <c r="BS18" s="127" t="str">
        <f t="shared" si="10"/>
        <v/>
      </c>
      <c r="BT18" s="127" t="str">
        <f t="shared" si="10"/>
        <v/>
      </c>
      <c r="BU18" s="127" t="str">
        <f t="shared" si="10"/>
        <v/>
      </c>
      <c r="BV18" s="127" t="str">
        <f t="shared" si="10"/>
        <v/>
      </c>
      <c r="BW18" s="127" t="str">
        <f t="shared" si="10"/>
        <v/>
      </c>
      <c r="BX18" s="127" t="str">
        <f t="shared" si="5"/>
        <v/>
      </c>
      <c r="BY18" s="127" t="str">
        <f t="shared" si="5"/>
        <v/>
      </c>
      <c r="BZ18" s="127" t="str">
        <f t="shared" si="5"/>
        <v/>
      </c>
      <c r="CA18" s="127" t="str">
        <f t="shared" si="5"/>
        <v/>
      </c>
      <c r="CB18" s="127" t="str">
        <f t="shared" si="5"/>
        <v/>
      </c>
      <c r="CC18" s="127" t="str">
        <f t="shared" si="5"/>
        <v/>
      </c>
      <c r="CD18" s="127" t="str">
        <f t="shared" si="5"/>
        <v/>
      </c>
      <c r="CE18" s="127" t="str">
        <f t="shared" si="5"/>
        <v/>
      </c>
    </row>
    <row r="19" spans="1:83" ht="12.6" customHeight="1" x14ac:dyDescent="0.2">
      <c r="A19" s="106">
        <f>SHIPMENTS!A25</f>
        <v>9063</v>
      </c>
      <c r="B19" s="106" t="str">
        <f>SHIPMENTS!B25</f>
        <v>15900- Borongan City | Kookie Lim Uy / 3K Salon And Spa</v>
      </c>
      <c r="C19" s="132">
        <f>SHIPMENTS!F25</f>
        <v>0.12</v>
      </c>
      <c r="D19" s="107" t="str">
        <f>IF((SHIPMENTS!I25)=0,"",SHIPMENTS!I25)</f>
        <v/>
      </c>
      <c r="E19" s="176">
        <f>IF((SHIPMENTS!G25)=0,"",SHIPMENTS!G25)</f>
        <v>46323</v>
      </c>
      <c r="F19" s="97">
        <f>VLOOKUP(A19,Items!$A$5:$J$1000,7,0)</f>
        <v>5</v>
      </c>
      <c r="G19" s="98">
        <f>VLOOKUP(A19,load!$A$4:$U$5001,7,0)</f>
        <v>1.2923333333333333</v>
      </c>
      <c r="H19" s="97">
        <f>Manhours!$C$23</f>
        <v>32</v>
      </c>
      <c r="I19" s="98">
        <f t="shared" si="6"/>
        <v>291.2</v>
      </c>
      <c r="J19" s="99">
        <f t="shared" si="0"/>
        <v>4.4379578754578757E-3</v>
      </c>
      <c r="K19" s="99">
        <f t="shared" si="7"/>
        <v>4.0385416666666667E-2</v>
      </c>
      <c r="L19" s="98">
        <f t="shared" si="1"/>
        <v>4.4379578754578757E-3</v>
      </c>
      <c r="M19" s="98">
        <f t="shared" si="2"/>
        <v>4.0385416666666667E-2</v>
      </c>
      <c r="N19" s="181">
        <f t="shared" si="9"/>
        <v>46322.706742399263</v>
      </c>
      <c r="O19" s="181">
        <f t="shared" si="8"/>
        <v>46322.711180357139</v>
      </c>
      <c r="P19" s="101">
        <f>VLOOKUP(A19,SHIPMENTS!$A$7:$N$171,12,0)</f>
        <v>0</v>
      </c>
      <c r="Q19" s="101"/>
      <c r="R19" s="127" t="str">
        <f t="shared" si="3"/>
        <v/>
      </c>
      <c r="S19" s="127" t="str">
        <f t="shared" si="3"/>
        <v/>
      </c>
      <c r="T19" s="127" t="str">
        <f t="shared" si="3"/>
        <v/>
      </c>
      <c r="U19" s="127" t="str">
        <f t="shared" si="3"/>
        <v/>
      </c>
      <c r="V19" s="127" t="str">
        <f t="shared" si="3"/>
        <v/>
      </c>
      <c r="W19" s="127" t="str">
        <f t="shared" si="3"/>
        <v/>
      </c>
      <c r="X19" s="127" t="str">
        <f t="shared" si="3"/>
        <v/>
      </c>
      <c r="Y19" s="127" t="str">
        <f t="shared" si="3"/>
        <v/>
      </c>
      <c r="Z19" s="127" t="str">
        <f t="shared" si="3"/>
        <v>▲</v>
      </c>
      <c r="AA19" s="127" t="str">
        <f t="shared" si="3"/>
        <v/>
      </c>
      <c r="AB19" s="127" t="str">
        <f t="shared" si="3"/>
        <v/>
      </c>
      <c r="AC19" s="127" t="str">
        <f t="shared" si="3"/>
        <v/>
      </c>
      <c r="AD19" s="127" t="str">
        <f t="shared" si="3"/>
        <v/>
      </c>
      <c r="AE19" s="127" t="str">
        <f t="shared" si="3"/>
        <v/>
      </c>
      <c r="AF19" s="127" t="str">
        <f t="shared" si="3"/>
        <v/>
      </c>
      <c r="AG19" s="127" t="str">
        <f t="shared" si="3"/>
        <v/>
      </c>
      <c r="AH19" s="127" t="str">
        <f t="shared" si="11"/>
        <v/>
      </c>
      <c r="AI19" s="127" t="str">
        <f t="shared" si="11"/>
        <v/>
      </c>
      <c r="AJ19" s="127" t="str">
        <f t="shared" si="11"/>
        <v/>
      </c>
      <c r="AK19" s="127" t="str">
        <f t="shared" si="11"/>
        <v/>
      </c>
      <c r="AL19" s="127" t="str">
        <f t="shared" si="11"/>
        <v/>
      </c>
      <c r="AM19" s="127" t="str">
        <f t="shared" si="11"/>
        <v/>
      </c>
      <c r="AN19" s="127" t="str">
        <f t="shared" si="11"/>
        <v/>
      </c>
      <c r="AO19" s="127" t="str">
        <f t="shared" si="11"/>
        <v/>
      </c>
      <c r="AP19" s="127" t="str">
        <f t="shared" si="11"/>
        <v/>
      </c>
      <c r="AQ19" s="127" t="str">
        <f t="shared" si="11"/>
        <v/>
      </c>
      <c r="AR19" s="127" t="str">
        <f t="shared" si="11"/>
        <v/>
      </c>
      <c r="AS19" s="127" t="str">
        <f t="shared" si="11"/>
        <v/>
      </c>
      <c r="AT19" s="127" t="str">
        <f t="shared" si="11"/>
        <v/>
      </c>
      <c r="AU19" s="127" t="str">
        <f t="shared" si="11"/>
        <v/>
      </c>
      <c r="AV19" s="127" t="str">
        <f t="shared" si="11"/>
        <v/>
      </c>
      <c r="AW19" s="127" t="str">
        <f t="shared" si="11"/>
        <v/>
      </c>
      <c r="AX19" s="127" t="str">
        <f t="shared" si="11"/>
        <v/>
      </c>
      <c r="AY19" s="127" t="str">
        <f t="shared" si="11"/>
        <v/>
      </c>
      <c r="AZ19" s="127" t="str">
        <f t="shared" si="11"/>
        <v/>
      </c>
      <c r="BA19" s="127" t="str">
        <f t="shared" si="11"/>
        <v/>
      </c>
      <c r="BB19" s="127" t="str">
        <f t="shared" si="11"/>
        <v/>
      </c>
      <c r="BC19" s="127" t="str">
        <f t="shared" si="11"/>
        <v/>
      </c>
      <c r="BD19" s="127" t="str">
        <f t="shared" si="11"/>
        <v/>
      </c>
      <c r="BE19" s="127" t="str">
        <f t="shared" si="11"/>
        <v/>
      </c>
      <c r="BF19" s="127" t="str">
        <f t="shared" si="11"/>
        <v/>
      </c>
      <c r="BG19" s="127" t="str">
        <f t="shared" si="10"/>
        <v/>
      </c>
      <c r="BH19" s="127" t="str">
        <f t="shared" si="10"/>
        <v/>
      </c>
      <c r="BI19" s="127" t="str">
        <f t="shared" si="10"/>
        <v/>
      </c>
      <c r="BJ19" s="127" t="str">
        <f t="shared" si="10"/>
        <v/>
      </c>
      <c r="BK19" s="127" t="str">
        <f t="shared" si="10"/>
        <v/>
      </c>
      <c r="BL19" s="127" t="str">
        <f t="shared" si="10"/>
        <v/>
      </c>
      <c r="BM19" s="127" t="str">
        <f t="shared" si="10"/>
        <v/>
      </c>
      <c r="BN19" s="127" t="str">
        <f t="shared" si="10"/>
        <v/>
      </c>
      <c r="BO19" s="127" t="str">
        <f t="shared" si="10"/>
        <v/>
      </c>
      <c r="BP19" s="127" t="str">
        <f t="shared" si="10"/>
        <v/>
      </c>
      <c r="BQ19" s="127" t="str">
        <f t="shared" si="10"/>
        <v/>
      </c>
      <c r="BR19" s="127" t="str">
        <f t="shared" si="10"/>
        <v/>
      </c>
      <c r="BS19" s="127" t="str">
        <f t="shared" si="10"/>
        <v/>
      </c>
      <c r="BT19" s="127" t="str">
        <f t="shared" si="10"/>
        <v/>
      </c>
      <c r="BU19" s="127" t="str">
        <f t="shared" si="10"/>
        <v/>
      </c>
      <c r="BV19" s="127" t="str">
        <f t="shared" si="10"/>
        <v/>
      </c>
      <c r="BW19" s="127" t="str">
        <f t="shared" si="10"/>
        <v/>
      </c>
      <c r="BX19" s="127" t="str">
        <f t="shared" si="5"/>
        <v/>
      </c>
      <c r="BY19" s="127" t="str">
        <f t="shared" si="5"/>
        <v/>
      </c>
      <c r="BZ19" s="127" t="str">
        <f t="shared" si="5"/>
        <v/>
      </c>
      <c r="CA19" s="127" t="str">
        <f t="shared" si="5"/>
        <v/>
      </c>
      <c r="CB19" s="127" t="str">
        <f t="shared" si="5"/>
        <v/>
      </c>
      <c r="CC19" s="127" t="str">
        <f t="shared" si="5"/>
        <v/>
      </c>
      <c r="CD19" s="127" t="str">
        <f t="shared" si="5"/>
        <v/>
      </c>
      <c r="CE19" s="127" t="str">
        <f t="shared" si="5"/>
        <v/>
      </c>
    </row>
    <row r="20" spans="1:83" ht="12.6" customHeight="1" x14ac:dyDescent="0.2">
      <c r="A20" s="106">
        <f>SHIPMENTS!A26</f>
        <v>9131</v>
      </c>
      <c r="B20" s="106" t="str">
        <f>SHIPMENTS!B26</f>
        <v>15900- Cagayan De Oro |Kevin Anthony Pilapil Lagumbay</v>
      </c>
      <c r="C20" s="132">
        <f>SHIPMENTS!F26</f>
        <v>0.12</v>
      </c>
      <c r="D20" s="107" t="str">
        <f>IF((SHIPMENTS!I26)=0,"",SHIPMENTS!I26)</f>
        <v/>
      </c>
      <c r="E20" s="176">
        <f>IF((SHIPMENTS!G26)=0,"",SHIPMENTS!G26)</f>
        <v>46323</v>
      </c>
      <c r="F20" s="97">
        <f>VLOOKUP(A20,Items!$A$5:$J$1000,7,0)</f>
        <v>6</v>
      </c>
      <c r="G20" s="98">
        <f>VLOOKUP(A20,load!$A$4:$U$5001,7,0)</f>
        <v>2.9890000000000003</v>
      </c>
      <c r="H20" s="97">
        <f>Manhours!$C$23</f>
        <v>32</v>
      </c>
      <c r="I20" s="98">
        <f t="shared" si="6"/>
        <v>291.2</v>
      </c>
      <c r="J20" s="99">
        <f t="shared" si="0"/>
        <v>1.0264423076923079E-2</v>
      </c>
      <c r="K20" s="99">
        <f t="shared" si="7"/>
        <v>9.340625000000001E-2</v>
      </c>
      <c r="L20" s="98">
        <f t="shared" si="1"/>
        <v>1.0264423076923079E-2</v>
      </c>
      <c r="M20" s="98">
        <f t="shared" si="2"/>
        <v>9.340625000000001E-2</v>
      </c>
      <c r="N20" s="181">
        <f t="shared" si="9"/>
        <v>46322.711180357139</v>
      </c>
      <c r="O20" s="181">
        <f t="shared" si="8"/>
        <v>46322.721444780218</v>
      </c>
      <c r="P20" s="101">
        <f>VLOOKUP(A20,SHIPMENTS!$A$7:$N$171,12,0)</f>
        <v>0</v>
      </c>
      <c r="Q20" s="101"/>
      <c r="R20" s="127" t="str">
        <f t="shared" si="3"/>
        <v/>
      </c>
      <c r="S20" s="127" t="str">
        <f t="shared" si="3"/>
        <v/>
      </c>
      <c r="T20" s="127" t="str">
        <f t="shared" si="3"/>
        <v/>
      </c>
      <c r="U20" s="127" t="str">
        <f t="shared" si="3"/>
        <v/>
      </c>
      <c r="V20" s="127" t="str">
        <f t="shared" si="3"/>
        <v/>
      </c>
      <c r="W20" s="127" t="str">
        <f t="shared" si="3"/>
        <v/>
      </c>
      <c r="X20" s="127" t="str">
        <f t="shared" si="3"/>
        <v/>
      </c>
      <c r="Y20" s="127" t="str">
        <f t="shared" si="3"/>
        <v/>
      </c>
      <c r="Z20" s="127" t="str">
        <f t="shared" si="3"/>
        <v>▲</v>
      </c>
      <c r="AA20" s="127" t="str">
        <f t="shared" si="3"/>
        <v/>
      </c>
      <c r="AB20" s="127" t="str">
        <f t="shared" si="3"/>
        <v/>
      </c>
      <c r="AC20" s="127" t="str">
        <f t="shared" si="3"/>
        <v/>
      </c>
      <c r="AD20" s="127" t="str">
        <f t="shared" si="3"/>
        <v/>
      </c>
      <c r="AE20" s="127" t="str">
        <f t="shared" si="3"/>
        <v/>
      </c>
      <c r="AF20" s="127" t="str">
        <f t="shared" si="3"/>
        <v/>
      </c>
      <c r="AG20" s="127" t="str">
        <f t="shared" si="3"/>
        <v/>
      </c>
      <c r="AH20" s="127" t="str">
        <f t="shared" si="11"/>
        <v/>
      </c>
      <c r="AI20" s="127" t="str">
        <f t="shared" si="11"/>
        <v/>
      </c>
      <c r="AJ20" s="127" t="str">
        <f t="shared" si="11"/>
        <v/>
      </c>
      <c r="AK20" s="127" t="str">
        <f t="shared" si="11"/>
        <v/>
      </c>
      <c r="AL20" s="127" t="str">
        <f t="shared" si="11"/>
        <v/>
      </c>
      <c r="AM20" s="127" t="str">
        <f t="shared" si="11"/>
        <v/>
      </c>
      <c r="AN20" s="127" t="str">
        <f t="shared" si="11"/>
        <v/>
      </c>
      <c r="AO20" s="127" t="str">
        <f t="shared" si="11"/>
        <v/>
      </c>
      <c r="AP20" s="127" t="str">
        <f t="shared" si="11"/>
        <v/>
      </c>
      <c r="AQ20" s="127" t="str">
        <f t="shared" si="11"/>
        <v/>
      </c>
      <c r="AR20" s="127" t="str">
        <f t="shared" si="11"/>
        <v/>
      </c>
      <c r="AS20" s="127" t="str">
        <f t="shared" si="11"/>
        <v/>
      </c>
      <c r="AT20" s="127" t="str">
        <f t="shared" si="11"/>
        <v/>
      </c>
      <c r="AU20" s="127" t="str">
        <f t="shared" si="11"/>
        <v/>
      </c>
      <c r="AV20" s="127" t="str">
        <f t="shared" si="11"/>
        <v/>
      </c>
      <c r="AW20" s="127" t="str">
        <f t="shared" si="11"/>
        <v/>
      </c>
      <c r="AX20" s="127" t="str">
        <f t="shared" si="11"/>
        <v/>
      </c>
      <c r="AY20" s="127" t="str">
        <f t="shared" si="11"/>
        <v/>
      </c>
      <c r="AZ20" s="127" t="str">
        <f t="shared" si="11"/>
        <v/>
      </c>
      <c r="BA20" s="127" t="str">
        <f t="shared" si="11"/>
        <v/>
      </c>
      <c r="BB20" s="127" t="str">
        <f t="shared" si="11"/>
        <v/>
      </c>
      <c r="BC20" s="127" t="str">
        <f t="shared" si="11"/>
        <v/>
      </c>
      <c r="BD20" s="127" t="str">
        <f t="shared" si="11"/>
        <v/>
      </c>
      <c r="BE20" s="127" t="str">
        <f t="shared" si="11"/>
        <v/>
      </c>
      <c r="BF20" s="127" t="str">
        <f t="shared" si="11"/>
        <v/>
      </c>
      <c r="BG20" s="127" t="str">
        <f t="shared" si="10"/>
        <v/>
      </c>
      <c r="BH20" s="127" t="str">
        <f t="shared" si="10"/>
        <v/>
      </c>
      <c r="BI20" s="127" t="str">
        <f t="shared" si="10"/>
        <v/>
      </c>
      <c r="BJ20" s="127" t="str">
        <f t="shared" si="10"/>
        <v/>
      </c>
      <c r="BK20" s="127" t="str">
        <f t="shared" si="10"/>
        <v/>
      </c>
      <c r="BL20" s="127" t="str">
        <f t="shared" si="10"/>
        <v/>
      </c>
      <c r="BM20" s="127" t="str">
        <f t="shared" si="10"/>
        <v/>
      </c>
      <c r="BN20" s="127" t="str">
        <f t="shared" si="10"/>
        <v/>
      </c>
      <c r="BO20" s="127" t="str">
        <f t="shared" si="10"/>
        <v/>
      </c>
      <c r="BP20" s="127" t="str">
        <f t="shared" si="10"/>
        <v/>
      </c>
      <c r="BQ20" s="127" t="str">
        <f t="shared" si="10"/>
        <v/>
      </c>
      <c r="BR20" s="127" t="str">
        <f t="shared" si="10"/>
        <v/>
      </c>
      <c r="BS20" s="127" t="str">
        <f t="shared" si="10"/>
        <v/>
      </c>
      <c r="BT20" s="127" t="str">
        <f t="shared" si="10"/>
        <v/>
      </c>
      <c r="BU20" s="127" t="str">
        <f t="shared" si="10"/>
        <v/>
      </c>
      <c r="BV20" s="127" t="str">
        <f t="shared" si="10"/>
        <v/>
      </c>
      <c r="BW20" s="127" t="str">
        <f t="shared" si="10"/>
        <v/>
      </c>
      <c r="BX20" s="127" t="str">
        <f t="shared" si="5"/>
        <v/>
      </c>
      <c r="BY20" s="127" t="str">
        <f t="shared" si="5"/>
        <v/>
      </c>
      <c r="BZ20" s="127" t="str">
        <f t="shared" si="5"/>
        <v/>
      </c>
      <c r="CA20" s="127" t="str">
        <f t="shared" si="5"/>
        <v/>
      </c>
      <c r="CB20" s="127" t="str">
        <f t="shared" si="5"/>
        <v/>
      </c>
      <c r="CC20" s="127" t="str">
        <f t="shared" si="5"/>
        <v/>
      </c>
      <c r="CD20" s="127" t="str">
        <f t="shared" si="5"/>
        <v/>
      </c>
      <c r="CE20" s="127" t="str">
        <f t="shared" si="5"/>
        <v/>
      </c>
    </row>
    <row r="21" spans="1:83" ht="12.6" customHeight="1" x14ac:dyDescent="0.2">
      <c r="A21" s="106">
        <f>SHIPMENTS!A27</f>
        <v>9228</v>
      </c>
      <c r="B21" s="106" t="str">
        <f>SHIPMENTS!B27</f>
        <v>15900- Cebu City |Stephanie Sarmiento</v>
      </c>
      <c r="C21" s="132">
        <f>SHIPMENTS!F27</f>
        <v>0.16</v>
      </c>
      <c r="D21" s="107" t="str">
        <f>IF((SHIPMENTS!I27)=0,"",SHIPMENTS!I27)</f>
        <v/>
      </c>
      <c r="E21" s="176">
        <f>IF((SHIPMENTS!G27)=0,"",SHIPMENTS!G27)</f>
        <v>46323</v>
      </c>
      <c r="F21" s="97">
        <f>VLOOKUP(A21,Items!$A$5:$J$1000,7,0)</f>
        <v>7</v>
      </c>
      <c r="G21" s="98">
        <f>VLOOKUP(A21,load!$A$4:$U$5001,7,0)</f>
        <v>1.9058333333333333</v>
      </c>
      <c r="H21" s="97">
        <f>Manhours!$C$23</f>
        <v>32</v>
      </c>
      <c r="I21" s="98">
        <f t="shared" si="6"/>
        <v>291.2</v>
      </c>
      <c r="J21" s="99">
        <f t="shared" si="0"/>
        <v>6.5447573260073262E-3</v>
      </c>
      <c r="K21" s="99">
        <f t="shared" si="7"/>
        <v>5.9557291666666665E-2</v>
      </c>
      <c r="L21" s="98">
        <f t="shared" si="1"/>
        <v>6.5447573260073262E-3</v>
      </c>
      <c r="M21" s="98">
        <f t="shared" si="2"/>
        <v>5.9557291666666665E-2</v>
      </c>
      <c r="N21" s="181">
        <f t="shared" si="9"/>
        <v>46322.721444780218</v>
      </c>
      <c r="O21" s="181">
        <f t="shared" si="8"/>
        <v>46322.727989537547</v>
      </c>
      <c r="P21" s="101">
        <f>VLOOKUP(A21,SHIPMENTS!$A$7:$N$171,12,0)</f>
        <v>0</v>
      </c>
      <c r="Q21" s="101"/>
      <c r="R21" s="127" t="str">
        <f t="shared" si="3"/>
        <v/>
      </c>
      <c r="S21" s="127" t="str">
        <f t="shared" si="3"/>
        <v/>
      </c>
      <c r="T21" s="127" t="str">
        <f t="shared" si="3"/>
        <v/>
      </c>
      <c r="U21" s="127" t="str">
        <f t="shared" si="3"/>
        <v/>
      </c>
      <c r="V21" s="127" t="str">
        <f t="shared" si="3"/>
        <v/>
      </c>
      <c r="W21" s="127" t="str">
        <f t="shared" si="3"/>
        <v/>
      </c>
      <c r="X21" s="127" t="str">
        <f t="shared" si="3"/>
        <v/>
      </c>
      <c r="Y21" s="127" t="str">
        <f t="shared" si="3"/>
        <v/>
      </c>
      <c r="Z21" s="127" t="str">
        <f t="shared" si="3"/>
        <v>▲</v>
      </c>
      <c r="AA21" s="127" t="str">
        <f t="shared" si="3"/>
        <v/>
      </c>
      <c r="AB21" s="127" t="str">
        <f t="shared" si="3"/>
        <v/>
      </c>
      <c r="AC21" s="127" t="str">
        <f t="shared" si="3"/>
        <v/>
      </c>
      <c r="AD21" s="127" t="str">
        <f t="shared" si="3"/>
        <v/>
      </c>
      <c r="AE21" s="127" t="str">
        <f t="shared" si="3"/>
        <v/>
      </c>
      <c r="AF21" s="127" t="str">
        <f t="shared" si="3"/>
        <v/>
      </c>
      <c r="AG21" s="127" t="str">
        <f t="shared" si="3"/>
        <v/>
      </c>
      <c r="AH21" s="127" t="str">
        <f t="shared" si="11"/>
        <v/>
      </c>
      <c r="AI21" s="127" t="str">
        <f t="shared" si="11"/>
        <v/>
      </c>
      <c r="AJ21" s="127" t="str">
        <f t="shared" si="11"/>
        <v/>
      </c>
      <c r="AK21" s="127" t="str">
        <f t="shared" si="11"/>
        <v/>
      </c>
      <c r="AL21" s="127" t="str">
        <f t="shared" si="11"/>
        <v/>
      </c>
      <c r="AM21" s="127" t="str">
        <f t="shared" si="11"/>
        <v/>
      </c>
      <c r="AN21" s="127" t="str">
        <f t="shared" si="11"/>
        <v/>
      </c>
      <c r="AO21" s="127" t="str">
        <f t="shared" si="11"/>
        <v/>
      </c>
      <c r="AP21" s="127" t="str">
        <f t="shared" si="11"/>
        <v/>
      </c>
      <c r="AQ21" s="127" t="str">
        <f t="shared" si="11"/>
        <v/>
      </c>
      <c r="AR21" s="127" t="str">
        <f t="shared" si="11"/>
        <v/>
      </c>
      <c r="AS21" s="127" t="str">
        <f t="shared" si="11"/>
        <v/>
      </c>
      <c r="AT21" s="127" t="str">
        <f t="shared" si="11"/>
        <v/>
      </c>
      <c r="AU21" s="127" t="str">
        <f t="shared" si="11"/>
        <v/>
      </c>
      <c r="AV21" s="127" t="str">
        <f t="shared" si="11"/>
        <v/>
      </c>
      <c r="AW21" s="127" t="str">
        <f t="shared" si="11"/>
        <v/>
      </c>
      <c r="AX21" s="127" t="str">
        <f t="shared" si="11"/>
        <v/>
      </c>
      <c r="AY21" s="127" t="str">
        <f t="shared" si="11"/>
        <v/>
      </c>
      <c r="AZ21" s="127" t="str">
        <f t="shared" si="11"/>
        <v/>
      </c>
      <c r="BA21" s="127" t="str">
        <f t="shared" si="11"/>
        <v/>
      </c>
      <c r="BB21" s="127" t="str">
        <f t="shared" si="11"/>
        <v/>
      </c>
      <c r="BC21" s="127" t="str">
        <f t="shared" si="11"/>
        <v/>
      </c>
      <c r="BD21" s="127" t="str">
        <f t="shared" si="11"/>
        <v/>
      </c>
      <c r="BE21" s="127" t="str">
        <f t="shared" si="11"/>
        <v/>
      </c>
      <c r="BF21" s="127" t="str">
        <f t="shared" si="11"/>
        <v/>
      </c>
      <c r="BG21" s="127" t="str">
        <f t="shared" si="11"/>
        <v/>
      </c>
      <c r="BH21" s="127" t="str">
        <f t="shared" si="11"/>
        <v/>
      </c>
      <c r="BI21" s="127" t="str">
        <f t="shared" si="10"/>
        <v/>
      </c>
      <c r="BJ21" s="127" t="str">
        <f t="shared" si="10"/>
        <v/>
      </c>
      <c r="BK21" s="127" t="str">
        <f t="shared" si="10"/>
        <v/>
      </c>
      <c r="BL21" s="127" t="str">
        <f t="shared" si="10"/>
        <v/>
      </c>
      <c r="BM21" s="127" t="str">
        <f t="shared" si="10"/>
        <v/>
      </c>
      <c r="BN21" s="127" t="str">
        <f t="shared" si="10"/>
        <v/>
      </c>
      <c r="BO21" s="127" t="str">
        <f t="shared" si="10"/>
        <v/>
      </c>
      <c r="BP21" s="127" t="str">
        <f t="shared" si="10"/>
        <v/>
      </c>
      <c r="BQ21" s="127" t="str">
        <f t="shared" si="10"/>
        <v/>
      </c>
      <c r="BR21" s="127" t="str">
        <f t="shared" si="10"/>
        <v/>
      </c>
      <c r="BS21" s="127" t="str">
        <f t="shared" si="10"/>
        <v/>
      </c>
      <c r="BT21" s="127" t="str">
        <f t="shared" si="10"/>
        <v/>
      </c>
      <c r="BU21" s="127" t="str">
        <f t="shared" si="10"/>
        <v/>
      </c>
      <c r="BV21" s="127" t="str">
        <f t="shared" si="10"/>
        <v/>
      </c>
      <c r="BW21" s="127" t="str">
        <f t="shared" si="10"/>
        <v/>
      </c>
      <c r="BX21" s="127" t="str">
        <f t="shared" si="5"/>
        <v/>
      </c>
      <c r="BY21" s="127" t="str">
        <f t="shared" si="5"/>
        <v/>
      </c>
      <c r="BZ21" s="127" t="str">
        <f t="shared" si="5"/>
        <v/>
      </c>
      <c r="CA21" s="127" t="str">
        <f t="shared" si="5"/>
        <v/>
      </c>
      <c r="CB21" s="127" t="str">
        <f t="shared" si="5"/>
        <v/>
      </c>
      <c r="CC21" s="127" t="str">
        <f t="shared" si="5"/>
        <v/>
      </c>
      <c r="CD21" s="127" t="str">
        <f t="shared" si="5"/>
        <v/>
      </c>
      <c r="CE21" s="127" t="str">
        <f t="shared" si="5"/>
        <v/>
      </c>
    </row>
    <row r="22" spans="1:83" ht="12.6" customHeight="1" x14ac:dyDescent="0.2">
      <c r="A22" s="106">
        <f>SHIPMENTS!A28</f>
        <v>9279</v>
      </c>
      <c r="B22" s="106" t="str">
        <f>SHIPMENTS!B28</f>
        <v>15900- Iloilo |Rocky Go</v>
      </c>
      <c r="C22" s="132">
        <f>SHIPMENTS!F28</f>
        <v>0.34820000000000001</v>
      </c>
      <c r="D22" s="107" t="str">
        <f>IF((SHIPMENTS!I28)=0,"",SHIPMENTS!I28)</f>
        <v/>
      </c>
      <c r="E22" s="176">
        <f>IF((SHIPMENTS!G28)=0,"",SHIPMENTS!G28)</f>
        <v>46323</v>
      </c>
      <c r="F22" s="97">
        <f>VLOOKUP(A22,Items!$A$5:$J$1000,7,0)</f>
        <v>14</v>
      </c>
      <c r="G22" s="98">
        <f>VLOOKUP(A22,load!$A$4:$U$5001,7,0)</f>
        <v>6.7716666666666665</v>
      </c>
      <c r="H22" s="97">
        <f>Manhours!$C$23</f>
        <v>32</v>
      </c>
      <c r="I22" s="98">
        <f t="shared" si="6"/>
        <v>291.2</v>
      </c>
      <c r="J22" s="99">
        <f t="shared" si="0"/>
        <v>2.3254349816849818E-2</v>
      </c>
      <c r="K22" s="99">
        <f t="shared" si="7"/>
        <v>0.21161458333333333</v>
      </c>
      <c r="L22" s="98">
        <f t="shared" si="1"/>
        <v>2.3254349816849818E-2</v>
      </c>
      <c r="M22" s="98">
        <f t="shared" si="2"/>
        <v>0.21161458333333333</v>
      </c>
      <c r="N22" s="181">
        <f t="shared" si="9"/>
        <v>46322.727989537547</v>
      </c>
      <c r="O22" s="181">
        <f t="shared" si="8"/>
        <v>46322.75124388736</v>
      </c>
      <c r="P22" s="101">
        <f>VLOOKUP(A22,SHIPMENTS!$A$7:$N$171,12,0)</f>
        <v>0</v>
      </c>
      <c r="Q22" s="101"/>
      <c r="R22" s="127" t="str">
        <f t="shared" si="3"/>
        <v/>
      </c>
      <c r="S22" s="127" t="str">
        <f t="shared" si="3"/>
        <v/>
      </c>
      <c r="T22" s="127" t="str">
        <f t="shared" si="3"/>
        <v/>
      </c>
      <c r="U22" s="127" t="str">
        <f t="shared" si="3"/>
        <v/>
      </c>
      <c r="V22" s="127" t="str">
        <f t="shared" si="3"/>
        <v/>
      </c>
      <c r="W22" s="127" t="str">
        <f t="shared" si="3"/>
        <v/>
      </c>
      <c r="X22" s="127" t="str">
        <f t="shared" si="3"/>
        <v/>
      </c>
      <c r="Y22" s="127" t="str">
        <f t="shared" si="3"/>
        <v/>
      </c>
      <c r="Z22" s="127" t="str">
        <f t="shared" si="3"/>
        <v>▲</v>
      </c>
      <c r="AA22" s="127" t="str">
        <f t="shared" si="3"/>
        <v/>
      </c>
      <c r="AB22" s="127" t="str">
        <f t="shared" si="3"/>
        <v/>
      </c>
      <c r="AC22" s="127" t="str">
        <f t="shared" si="3"/>
        <v/>
      </c>
      <c r="AD22" s="127" t="str">
        <f t="shared" si="3"/>
        <v/>
      </c>
      <c r="AE22" s="127" t="str">
        <f t="shared" si="3"/>
        <v/>
      </c>
      <c r="AF22" s="127" t="str">
        <f t="shared" si="3"/>
        <v/>
      </c>
      <c r="AG22" s="127" t="str">
        <f t="shared" si="3"/>
        <v/>
      </c>
      <c r="AH22" s="127" t="str">
        <f t="shared" si="11"/>
        <v/>
      </c>
      <c r="AI22" s="127" t="str">
        <f t="shared" si="11"/>
        <v/>
      </c>
      <c r="AJ22" s="127" t="str">
        <f t="shared" si="11"/>
        <v/>
      </c>
      <c r="AK22" s="127" t="str">
        <f t="shared" si="11"/>
        <v/>
      </c>
      <c r="AL22" s="127" t="str">
        <f t="shared" si="11"/>
        <v/>
      </c>
      <c r="AM22" s="127" t="str">
        <f t="shared" si="11"/>
        <v/>
      </c>
      <c r="AN22" s="127" t="str">
        <f t="shared" si="11"/>
        <v/>
      </c>
      <c r="AO22" s="127" t="str">
        <f t="shared" si="11"/>
        <v/>
      </c>
      <c r="AP22" s="127" t="str">
        <f t="shared" si="11"/>
        <v/>
      </c>
      <c r="AQ22" s="127" t="str">
        <f t="shared" si="11"/>
        <v/>
      </c>
      <c r="AR22" s="127" t="str">
        <f t="shared" si="11"/>
        <v/>
      </c>
      <c r="AS22" s="127" t="str">
        <f t="shared" si="11"/>
        <v/>
      </c>
      <c r="AT22" s="127" t="str">
        <f t="shared" si="11"/>
        <v/>
      </c>
      <c r="AU22" s="127" t="str">
        <f t="shared" si="11"/>
        <v/>
      </c>
      <c r="AV22" s="127" t="str">
        <f t="shared" si="11"/>
        <v/>
      </c>
      <c r="AW22" s="127" t="str">
        <f t="shared" si="11"/>
        <v/>
      </c>
      <c r="AX22" s="127" t="str">
        <f t="shared" si="11"/>
        <v/>
      </c>
      <c r="AY22" s="127" t="str">
        <f t="shared" si="11"/>
        <v/>
      </c>
      <c r="AZ22" s="127" t="str">
        <f t="shared" si="11"/>
        <v/>
      </c>
      <c r="BA22" s="127" t="str">
        <f t="shared" si="11"/>
        <v/>
      </c>
      <c r="BB22" s="127" t="str">
        <f t="shared" si="11"/>
        <v/>
      </c>
      <c r="BC22" s="127" t="str">
        <f t="shared" si="11"/>
        <v/>
      </c>
      <c r="BD22" s="127" t="str">
        <f t="shared" si="11"/>
        <v/>
      </c>
      <c r="BE22" s="127" t="str">
        <f t="shared" si="11"/>
        <v/>
      </c>
      <c r="BF22" s="127" t="str">
        <f t="shared" si="11"/>
        <v/>
      </c>
      <c r="BG22" s="127" t="str">
        <f t="shared" si="11"/>
        <v/>
      </c>
      <c r="BH22" s="127" t="str">
        <f t="shared" si="11"/>
        <v/>
      </c>
      <c r="BI22" s="127" t="str">
        <f t="shared" si="10"/>
        <v/>
      </c>
      <c r="BJ22" s="127" t="str">
        <f t="shared" si="10"/>
        <v/>
      </c>
      <c r="BK22" s="127" t="str">
        <f t="shared" si="10"/>
        <v/>
      </c>
      <c r="BL22" s="127" t="str">
        <f t="shared" si="10"/>
        <v/>
      </c>
      <c r="BM22" s="127" t="str">
        <f t="shared" si="10"/>
        <v/>
      </c>
      <c r="BN22" s="127" t="str">
        <f t="shared" si="10"/>
        <v/>
      </c>
      <c r="BO22" s="127" t="str">
        <f t="shared" si="10"/>
        <v/>
      </c>
      <c r="BP22" s="127" t="str">
        <f t="shared" si="10"/>
        <v/>
      </c>
      <c r="BQ22" s="127" t="str">
        <f t="shared" si="10"/>
        <v/>
      </c>
      <c r="BR22" s="127" t="str">
        <f t="shared" si="10"/>
        <v/>
      </c>
      <c r="BS22" s="127" t="str">
        <f t="shared" si="10"/>
        <v/>
      </c>
      <c r="BT22" s="127" t="str">
        <f t="shared" si="10"/>
        <v/>
      </c>
      <c r="BU22" s="127" t="str">
        <f t="shared" si="10"/>
        <v/>
      </c>
      <c r="BV22" s="127" t="str">
        <f t="shared" si="10"/>
        <v/>
      </c>
      <c r="BW22" s="127" t="str">
        <f t="shared" si="10"/>
        <v/>
      </c>
      <c r="BX22" s="127" t="str">
        <f t="shared" si="5"/>
        <v/>
      </c>
      <c r="BY22" s="127" t="str">
        <f t="shared" si="5"/>
        <v/>
      </c>
      <c r="BZ22" s="127" t="str">
        <f t="shared" si="5"/>
        <v/>
      </c>
      <c r="CA22" s="127" t="str">
        <f t="shared" si="5"/>
        <v/>
      </c>
      <c r="CB22" s="127" t="str">
        <f t="shared" si="5"/>
        <v/>
      </c>
      <c r="CC22" s="127" t="str">
        <f t="shared" si="5"/>
        <v/>
      </c>
      <c r="CD22" s="127" t="str">
        <f t="shared" si="5"/>
        <v/>
      </c>
      <c r="CE22" s="127" t="str">
        <f t="shared" si="5"/>
        <v/>
      </c>
    </row>
    <row r="23" spans="1:83" ht="12.6" customHeight="1" x14ac:dyDescent="0.2">
      <c r="A23" s="106">
        <f>SHIPMENTS!A29</f>
        <v>8964</v>
      </c>
      <c r="B23" s="106" t="str">
        <f>SHIPMENTS!B29</f>
        <v>15900- Mandaue Warehouse</v>
      </c>
      <c r="C23" s="132">
        <f>SHIPMENTS!F29</f>
        <v>0.11</v>
      </c>
      <c r="D23" s="107" t="str">
        <f>IF((SHIPMENTS!I29)=0,"",SHIPMENTS!I29)</f>
        <v/>
      </c>
      <c r="E23" s="176">
        <f>IF((SHIPMENTS!G29)=0,"",SHIPMENTS!G29)</f>
        <v>46323</v>
      </c>
      <c r="F23" s="97">
        <f>VLOOKUP(A23,Items!$A$5:$J$1000,7,0)</f>
        <v>0</v>
      </c>
      <c r="G23" s="98">
        <f>VLOOKUP(A23,load!$A$4:$U$5001,7,0)</f>
        <v>0</v>
      </c>
      <c r="H23" s="97">
        <f>Manhours!$C$23</f>
        <v>32</v>
      </c>
      <c r="I23" s="98">
        <f t="shared" si="6"/>
        <v>291.2</v>
      </c>
      <c r="J23" s="99">
        <f t="shared" si="0"/>
        <v>0</v>
      </c>
      <c r="K23" s="99">
        <f t="shared" si="7"/>
        <v>0</v>
      </c>
      <c r="L23" s="98">
        <f t="shared" si="1"/>
        <v>0</v>
      </c>
      <c r="M23" s="98">
        <f t="shared" si="2"/>
        <v>0</v>
      </c>
      <c r="N23" s="181">
        <f t="shared" si="9"/>
        <v>46322.75124388736</v>
      </c>
      <c r="O23" s="181">
        <f t="shared" si="8"/>
        <v>46322.75124388736</v>
      </c>
      <c r="P23" s="101">
        <f>VLOOKUP(A23,SHIPMENTS!$A$7:$N$171,12,0)</f>
        <v>0</v>
      </c>
      <c r="Q23" s="101"/>
      <c r="R23" s="127" t="str">
        <f t="shared" si="3"/>
        <v/>
      </c>
      <c r="S23" s="127" t="str">
        <f t="shared" si="3"/>
        <v/>
      </c>
      <c r="T23" s="127" t="str">
        <f t="shared" si="3"/>
        <v/>
      </c>
      <c r="U23" s="127" t="str">
        <f t="shared" si="3"/>
        <v/>
      </c>
      <c r="V23" s="127" t="str">
        <f t="shared" si="3"/>
        <v/>
      </c>
      <c r="W23" s="127" t="str">
        <f t="shared" si="3"/>
        <v/>
      </c>
      <c r="X23" s="127" t="str">
        <f t="shared" si="3"/>
        <v/>
      </c>
      <c r="Y23" s="127" t="str">
        <f t="shared" si="3"/>
        <v/>
      </c>
      <c r="Z23" s="127" t="str">
        <f t="shared" si="3"/>
        <v>▲</v>
      </c>
      <c r="AA23" s="127" t="str">
        <f t="shared" si="3"/>
        <v/>
      </c>
      <c r="AB23" s="127" t="str">
        <f t="shared" si="3"/>
        <v/>
      </c>
      <c r="AC23" s="127" t="str">
        <f t="shared" si="3"/>
        <v/>
      </c>
      <c r="AD23" s="127" t="str">
        <f t="shared" si="3"/>
        <v/>
      </c>
      <c r="AE23" s="127" t="str">
        <f t="shared" si="3"/>
        <v/>
      </c>
      <c r="AF23" s="127" t="str">
        <f t="shared" si="3"/>
        <v/>
      </c>
      <c r="AG23" s="127" t="str">
        <f t="shared" ref="AG23:BS32" si="12">IF($E23=AG$3,"▲","")</f>
        <v/>
      </c>
      <c r="AH23" s="127" t="str">
        <f t="shared" si="12"/>
        <v/>
      </c>
      <c r="AI23" s="127" t="str">
        <f t="shared" si="12"/>
        <v/>
      </c>
      <c r="AJ23" s="127" t="str">
        <f t="shared" si="12"/>
        <v/>
      </c>
      <c r="AK23" s="127" t="str">
        <f t="shared" si="12"/>
        <v/>
      </c>
      <c r="AL23" s="127" t="str">
        <f t="shared" si="12"/>
        <v/>
      </c>
      <c r="AM23" s="127" t="str">
        <f t="shared" si="12"/>
        <v/>
      </c>
      <c r="AN23" s="127" t="str">
        <f t="shared" si="12"/>
        <v/>
      </c>
      <c r="AO23" s="127" t="str">
        <f t="shared" si="12"/>
        <v/>
      </c>
      <c r="AP23" s="127" t="str">
        <f t="shared" si="12"/>
        <v/>
      </c>
      <c r="AQ23" s="127" t="str">
        <f t="shared" si="12"/>
        <v/>
      </c>
      <c r="AR23" s="127" t="str">
        <f t="shared" si="12"/>
        <v/>
      </c>
      <c r="AS23" s="127" t="str">
        <f t="shared" si="12"/>
        <v/>
      </c>
      <c r="AT23" s="127" t="str">
        <f t="shared" si="12"/>
        <v/>
      </c>
      <c r="AU23" s="127" t="str">
        <f t="shared" si="12"/>
        <v/>
      </c>
      <c r="AV23" s="127" t="str">
        <f t="shared" si="12"/>
        <v/>
      </c>
      <c r="AW23" s="127" t="str">
        <f t="shared" si="12"/>
        <v/>
      </c>
      <c r="AX23" s="127" t="str">
        <f t="shared" si="12"/>
        <v/>
      </c>
      <c r="AY23" s="127" t="str">
        <f t="shared" si="12"/>
        <v/>
      </c>
      <c r="AZ23" s="127" t="str">
        <f t="shared" si="12"/>
        <v/>
      </c>
      <c r="BA23" s="127" t="str">
        <f t="shared" si="12"/>
        <v/>
      </c>
      <c r="BB23" s="127" t="str">
        <f t="shared" si="12"/>
        <v/>
      </c>
      <c r="BC23" s="127" t="str">
        <f t="shared" si="12"/>
        <v/>
      </c>
      <c r="BD23" s="127" t="str">
        <f t="shared" si="12"/>
        <v/>
      </c>
      <c r="BE23" s="127" t="str">
        <f t="shared" si="12"/>
        <v/>
      </c>
      <c r="BF23" s="127" t="str">
        <f t="shared" si="12"/>
        <v/>
      </c>
      <c r="BG23" s="127" t="str">
        <f t="shared" si="11"/>
        <v/>
      </c>
      <c r="BH23" s="127" t="str">
        <f t="shared" si="10"/>
        <v/>
      </c>
      <c r="BI23" s="127" t="str">
        <f t="shared" si="10"/>
        <v/>
      </c>
      <c r="BJ23" s="127" t="str">
        <f t="shared" si="10"/>
        <v/>
      </c>
      <c r="BK23" s="127" t="str">
        <f t="shared" si="10"/>
        <v/>
      </c>
      <c r="BL23" s="127" t="str">
        <f t="shared" si="10"/>
        <v/>
      </c>
      <c r="BM23" s="127" t="str">
        <f t="shared" si="10"/>
        <v/>
      </c>
      <c r="BN23" s="127" t="str">
        <f t="shared" si="10"/>
        <v/>
      </c>
      <c r="BO23" s="127" t="str">
        <f t="shared" si="10"/>
        <v/>
      </c>
      <c r="BP23" s="127" t="str">
        <f t="shared" si="10"/>
        <v/>
      </c>
      <c r="BQ23" s="127" t="str">
        <f t="shared" si="10"/>
        <v/>
      </c>
      <c r="BR23" s="127" t="str">
        <f t="shared" si="10"/>
        <v/>
      </c>
      <c r="BS23" s="127" t="str">
        <f t="shared" si="10"/>
        <v/>
      </c>
      <c r="BT23" s="127" t="str">
        <f t="shared" si="10"/>
        <v/>
      </c>
      <c r="BU23" s="127" t="str">
        <f t="shared" si="10"/>
        <v/>
      </c>
      <c r="BV23" s="127" t="str">
        <f t="shared" si="10"/>
        <v/>
      </c>
      <c r="BW23" s="127" t="str">
        <f t="shared" si="10"/>
        <v/>
      </c>
      <c r="BX23" s="127" t="str">
        <f t="shared" si="5"/>
        <v/>
      </c>
      <c r="BY23" s="127" t="str">
        <f t="shared" si="5"/>
        <v/>
      </c>
      <c r="BZ23" s="127" t="str">
        <f t="shared" si="5"/>
        <v/>
      </c>
      <c r="CA23" s="127" t="str">
        <f t="shared" si="5"/>
        <v/>
      </c>
      <c r="CB23" s="127" t="str">
        <f t="shared" si="5"/>
        <v/>
      </c>
      <c r="CC23" s="127" t="str">
        <f t="shared" si="5"/>
        <v/>
      </c>
      <c r="CD23" s="127" t="str">
        <f t="shared" si="5"/>
        <v/>
      </c>
      <c r="CE23" s="127" t="str">
        <f t="shared" si="5"/>
        <v/>
      </c>
    </row>
    <row r="24" spans="1:83" ht="12.6" customHeight="1" x14ac:dyDescent="0.2">
      <c r="A24" s="106">
        <f>SHIPMENTS!A30</f>
        <v>9023</v>
      </c>
      <c r="B24" s="106" t="str">
        <f>SHIPMENTS!B30</f>
        <v>15900- Ubay | Danilo Varela</v>
      </c>
      <c r="C24" s="132">
        <f>SHIPMENTS!F30</f>
        <v>3.0849999999999999E-2</v>
      </c>
      <c r="D24" s="107" t="str">
        <f>IF((SHIPMENTS!I30)=0,"",SHIPMENTS!I30)</f>
        <v/>
      </c>
      <c r="E24" s="176">
        <f>IF((SHIPMENTS!G30)=0,"",SHIPMENTS!G30)</f>
        <v>46323</v>
      </c>
      <c r="F24" s="97">
        <f>VLOOKUP(A24,Items!$A$5:$J$1000,7,0)</f>
        <v>1</v>
      </c>
      <c r="G24" s="98">
        <f>VLOOKUP(A24,load!$A$4:$U$5001,7,0)</f>
        <v>1.0048333333333332</v>
      </c>
      <c r="H24" s="97">
        <f>Manhours!$C$23</f>
        <v>32</v>
      </c>
      <c r="I24" s="98">
        <f t="shared" si="6"/>
        <v>291.2</v>
      </c>
      <c r="J24" s="99">
        <f t="shared" si="0"/>
        <v>3.4506639194139192E-3</v>
      </c>
      <c r="K24" s="99">
        <f t="shared" si="7"/>
        <v>3.1401041666666664E-2</v>
      </c>
      <c r="L24" s="98">
        <f t="shared" si="1"/>
        <v>3.4506639194139192E-3</v>
      </c>
      <c r="M24" s="98">
        <f t="shared" si="2"/>
        <v>3.1401041666666664E-2</v>
      </c>
      <c r="N24" s="181">
        <f t="shared" si="9"/>
        <v>46322.75124388736</v>
      </c>
      <c r="O24" s="181">
        <f t="shared" si="8"/>
        <v>46322.75469455128</v>
      </c>
      <c r="P24" s="101">
        <f>VLOOKUP(A24,SHIPMENTS!$A$7:$N$171,12,0)</f>
        <v>0</v>
      </c>
      <c r="Q24" s="101"/>
      <c r="R24" s="127" t="str">
        <f t="shared" ref="R24:AG39" si="13">IF($E24=R$3,"▲","")</f>
        <v/>
      </c>
      <c r="S24" s="127" t="str">
        <f t="shared" si="13"/>
        <v/>
      </c>
      <c r="T24" s="127" t="str">
        <f t="shared" si="13"/>
        <v/>
      </c>
      <c r="U24" s="127" t="str">
        <f t="shared" si="13"/>
        <v/>
      </c>
      <c r="V24" s="127" t="str">
        <f t="shared" si="13"/>
        <v/>
      </c>
      <c r="W24" s="127" t="str">
        <f t="shared" si="13"/>
        <v/>
      </c>
      <c r="X24" s="127" t="str">
        <f t="shared" si="13"/>
        <v/>
      </c>
      <c r="Y24" s="127" t="str">
        <f t="shared" si="13"/>
        <v/>
      </c>
      <c r="Z24" s="127" t="str">
        <f t="shared" si="13"/>
        <v>▲</v>
      </c>
      <c r="AA24" s="127" t="str">
        <f t="shared" si="13"/>
        <v/>
      </c>
      <c r="AB24" s="127" t="str">
        <f t="shared" si="13"/>
        <v/>
      </c>
      <c r="AC24" s="127" t="str">
        <f t="shared" si="13"/>
        <v/>
      </c>
      <c r="AD24" s="127" t="str">
        <f t="shared" si="13"/>
        <v/>
      </c>
      <c r="AE24" s="127" t="str">
        <f t="shared" si="13"/>
        <v/>
      </c>
      <c r="AF24" s="127" t="str">
        <f t="shared" si="13"/>
        <v/>
      </c>
      <c r="AG24" s="127" t="str">
        <f t="shared" si="13"/>
        <v/>
      </c>
      <c r="AH24" s="127" t="str">
        <f t="shared" si="12"/>
        <v/>
      </c>
      <c r="AI24" s="127" t="str">
        <f t="shared" si="12"/>
        <v/>
      </c>
      <c r="AJ24" s="127" t="str">
        <f t="shared" si="12"/>
        <v/>
      </c>
      <c r="AK24" s="127" t="str">
        <f t="shared" si="12"/>
        <v/>
      </c>
      <c r="AL24" s="127" t="str">
        <f t="shared" si="12"/>
        <v/>
      </c>
      <c r="AM24" s="127" t="str">
        <f t="shared" si="12"/>
        <v/>
      </c>
      <c r="AN24" s="127" t="str">
        <f t="shared" si="12"/>
        <v/>
      </c>
      <c r="AO24" s="127" t="str">
        <f t="shared" si="12"/>
        <v/>
      </c>
      <c r="AP24" s="127" t="str">
        <f t="shared" si="12"/>
        <v/>
      </c>
      <c r="AQ24" s="127" t="str">
        <f t="shared" si="12"/>
        <v/>
      </c>
      <c r="AR24" s="127" t="str">
        <f t="shared" si="12"/>
        <v/>
      </c>
      <c r="AS24" s="127" t="str">
        <f t="shared" si="12"/>
        <v/>
      </c>
      <c r="AT24" s="127" t="str">
        <f t="shared" si="12"/>
        <v/>
      </c>
      <c r="AU24" s="127" t="str">
        <f t="shared" si="12"/>
        <v/>
      </c>
      <c r="AV24" s="127" t="str">
        <f t="shared" si="12"/>
        <v/>
      </c>
      <c r="AW24" s="127" t="str">
        <f t="shared" si="12"/>
        <v/>
      </c>
      <c r="AX24" s="127" t="str">
        <f t="shared" si="12"/>
        <v/>
      </c>
      <c r="AY24" s="127" t="str">
        <f t="shared" si="12"/>
        <v/>
      </c>
      <c r="AZ24" s="127" t="str">
        <f t="shared" si="12"/>
        <v/>
      </c>
      <c r="BA24" s="127" t="str">
        <f t="shared" si="12"/>
        <v/>
      </c>
      <c r="BB24" s="127" t="str">
        <f t="shared" si="12"/>
        <v/>
      </c>
      <c r="BC24" s="127" t="str">
        <f t="shared" si="12"/>
        <v/>
      </c>
      <c r="BD24" s="127" t="str">
        <f t="shared" si="12"/>
        <v/>
      </c>
      <c r="BE24" s="127" t="str">
        <f t="shared" si="12"/>
        <v/>
      </c>
      <c r="BF24" s="127" t="str">
        <f t="shared" si="12"/>
        <v/>
      </c>
      <c r="BG24" s="127" t="str">
        <f t="shared" si="11"/>
        <v/>
      </c>
      <c r="BH24" s="127" t="str">
        <f t="shared" si="11"/>
        <v/>
      </c>
      <c r="BI24" s="127" t="str">
        <f t="shared" si="10"/>
        <v/>
      </c>
      <c r="BJ24" s="127" t="str">
        <f t="shared" si="10"/>
        <v/>
      </c>
      <c r="BK24" s="127" t="str">
        <f t="shared" si="10"/>
        <v/>
      </c>
      <c r="BL24" s="127" t="str">
        <f t="shared" si="10"/>
        <v/>
      </c>
      <c r="BM24" s="127" t="str">
        <f t="shared" si="10"/>
        <v/>
      </c>
      <c r="BN24" s="127" t="str">
        <f t="shared" si="10"/>
        <v/>
      </c>
      <c r="BO24" s="127" t="str">
        <f t="shared" si="10"/>
        <v/>
      </c>
      <c r="BP24" s="127" t="str">
        <f t="shared" si="10"/>
        <v/>
      </c>
      <c r="BQ24" s="127" t="str">
        <f t="shared" si="10"/>
        <v/>
      </c>
      <c r="BR24" s="127" t="str">
        <f t="shared" si="10"/>
        <v/>
      </c>
      <c r="BS24" s="127" t="str">
        <f t="shared" si="10"/>
        <v/>
      </c>
      <c r="BT24" s="127" t="str">
        <f t="shared" si="10"/>
        <v/>
      </c>
      <c r="BU24" s="127" t="str">
        <f t="shared" si="10"/>
        <v/>
      </c>
      <c r="BV24" s="127" t="str">
        <f t="shared" si="10"/>
        <v/>
      </c>
      <c r="BW24" s="127" t="str">
        <f t="shared" si="10"/>
        <v/>
      </c>
      <c r="BX24" s="127" t="str">
        <f t="shared" ref="BT24:CE39" si="14">IF($E24=BX$3,"▲","")</f>
        <v/>
      </c>
      <c r="BY24" s="127" t="str">
        <f t="shared" si="14"/>
        <v/>
      </c>
      <c r="BZ24" s="127" t="str">
        <f t="shared" si="14"/>
        <v/>
      </c>
      <c r="CA24" s="127" t="str">
        <f t="shared" si="14"/>
        <v/>
      </c>
      <c r="CB24" s="127" t="str">
        <f t="shared" si="14"/>
        <v/>
      </c>
      <c r="CC24" s="127" t="str">
        <f t="shared" si="14"/>
        <v/>
      </c>
      <c r="CD24" s="127" t="str">
        <f t="shared" si="14"/>
        <v/>
      </c>
      <c r="CE24" s="127" t="str">
        <f t="shared" si="14"/>
        <v/>
      </c>
    </row>
    <row r="25" spans="1:83" ht="12.6" customHeight="1" x14ac:dyDescent="0.2">
      <c r="A25" s="106">
        <f>SHIPMENTS!A31</f>
        <v>9105</v>
      </c>
      <c r="B25" s="106" t="str">
        <f>SHIPMENTS!B31</f>
        <v>15900- Cebu City |Nelsar Alvar</v>
      </c>
      <c r="C25" s="132">
        <f>SHIPMENTS!F31</f>
        <v>1.35E-2</v>
      </c>
      <c r="D25" s="107" t="str">
        <f>IF((SHIPMENTS!I31)=0,"",SHIPMENTS!I31)</f>
        <v/>
      </c>
      <c r="E25" s="176">
        <f>IF((SHIPMENTS!G31)=0,"",SHIPMENTS!G31)</f>
        <v>46323</v>
      </c>
      <c r="F25" s="97">
        <f>VLOOKUP(A25,Items!$A$5:$J$1000,7,0)</f>
        <v>10</v>
      </c>
      <c r="G25" s="98">
        <f>VLOOKUP(A25,load!$A$4:$U$5001,7,0)</f>
        <v>0.76166666666666671</v>
      </c>
      <c r="H25" s="97">
        <f>Manhours!$C$23</f>
        <v>32</v>
      </c>
      <c r="I25" s="98">
        <f t="shared" si="6"/>
        <v>291.2</v>
      </c>
      <c r="J25" s="99">
        <f t="shared" si="0"/>
        <v>2.6156135531135534E-3</v>
      </c>
      <c r="K25" s="99">
        <f t="shared" si="7"/>
        <v>2.3802083333333335E-2</v>
      </c>
      <c r="L25" s="98">
        <f t="shared" si="1"/>
        <v>2.6156135531135534E-3</v>
      </c>
      <c r="M25" s="98">
        <f t="shared" si="2"/>
        <v>2.3802083333333335E-2</v>
      </c>
      <c r="N25" s="181">
        <f t="shared" si="9"/>
        <v>46322.75469455128</v>
      </c>
      <c r="O25" s="181">
        <f t="shared" si="8"/>
        <v>46322.75731016483</v>
      </c>
      <c r="P25" s="101">
        <f>VLOOKUP(A25,SHIPMENTS!$A$7:$N$171,12,0)</f>
        <v>0</v>
      </c>
      <c r="Q25" s="101"/>
      <c r="R25" s="127" t="str">
        <f t="shared" si="13"/>
        <v/>
      </c>
      <c r="S25" s="127" t="str">
        <f t="shared" si="13"/>
        <v/>
      </c>
      <c r="T25" s="127" t="str">
        <f t="shared" si="13"/>
        <v/>
      </c>
      <c r="U25" s="127" t="str">
        <f t="shared" si="13"/>
        <v/>
      </c>
      <c r="V25" s="127" t="str">
        <f t="shared" si="13"/>
        <v/>
      </c>
      <c r="W25" s="127" t="str">
        <f t="shared" si="13"/>
        <v/>
      </c>
      <c r="X25" s="127" t="str">
        <f t="shared" si="13"/>
        <v/>
      </c>
      <c r="Y25" s="127" t="str">
        <f t="shared" si="13"/>
        <v/>
      </c>
      <c r="Z25" s="127" t="str">
        <f t="shared" si="13"/>
        <v>▲</v>
      </c>
      <c r="AA25" s="127" t="str">
        <f t="shared" si="13"/>
        <v/>
      </c>
      <c r="AB25" s="127" t="str">
        <f t="shared" si="13"/>
        <v/>
      </c>
      <c r="AC25" s="127" t="str">
        <f t="shared" si="13"/>
        <v/>
      </c>
      <c r="AD25" s="127" t="str">
        <f t="shared" si="13"/>
        <v/>
      </c>
      <c r="AE25" s="127" t="str">
        <f t="shared" si="13"/>
        <v/>
      </c>
      <c r="AF25" s="127" t="str">
        <f t="shared" si="13"/>
        <v/>
      </c>
      <c r="AG25" s="127" t="str">
        <f t="shared" si="13"/>
        <v/>
      </c>
      <c r="AH25" s="127" t="str">
        <f t="shared" si="12"/>
        <v/>
      </c>
      <c r="AI25" s="127" t="str">
        <f t="shared" si="12"/>
        <v/>
      </c>
      <c r="AJ25" s="127" t="str">
        <f t="shared" si="12"/>
        <v/>
      </c>
      <c r="AK25" s="127" t="str">
        <f t="shared" si="12"/>
        <v/>
      </c>
      <c r="AL25" s="127" t="str">
        <f t="shared" si="12"/>
        <v/>
      </c>
      <c r="AM25" s="127" t="str">
        <f t="shared" si="12"/>
        <v/>
      </c>
      <c r="AN25" s="127" t="str">
        <f t="shared" si="12"/>
        <v/>
      </c>
      <c r="AO25" s="127" t="str">
        <f t="shared" si="12"/>
        <v/>
      </c>
      <c r="AP25" s="127" t="str">
        <f t="shared" si="12"/>
        <v/>
      </c>
      <c r="AQ25" s="127" t="str">
        <f t="shared" si="12"/>
        <v/>
      </c>
      <c r="AR25" s="127" t="str">
        <f t="shared" si="12"/>
        <v/>
      </c>
      <c r="AS25" s="127" t="str">
        <f t="shared" si="12"/>
        <v/>
      </c>
      <c r="AT25" s="127" t="str">
        <f t="shared" si="12"/>
        <v/>
      </c>
      <c r="AU25" s="127" t="str">
        <f t="shared" si="12"/>
        <v/>
      </c>
      <c r="AV25" s="127" t="str">
        <f t="shared" si="12"/>
        <v/>
      </c>
      <c r="AW25" s="127" t="str">
        <f t="shared" si="12"/>
        <v/>
      </c>
      <c r="AX25" s="127" t="str">
        <f t="shared" si="12"/>
        <v/>
      </c>
      <c r="AY25" s="127" t="str">
        <f t="shared" si="12"/>
        <v/>
      </c>
      <c r="AZ25" s="127" t="str">
        <f t="shared" si="12"/>
        <v/>
      </c>
      <c r="BA25" s="127" t="str">
        <f t="shared" si="12"/>
        <v/>
      </c>
      <c r="BB25" s="127" t="str">
        <f t="shared" si="12"/>
        <v/>
      </c>
      <c r="BC25" s="127" t="str">
        <f t="shared" si="12"/>
        <v/>
      </c>
      <c r="BD25" s="127" t="str">
        <f t="shared" si="12"/>
        <v/>
      </c>
      <c r="BE25" s="127" t="str">
        <f t="shared" si="12"/>
        <v/>
      </c>
      <c r="BF25" s="127" t="str">
        <f t="shared" si="12"/>
        <v/>
      </c>
      <c r="BG25" s="127" t="str">
        <f t="shared" si="11"/>
        <v/>
      </c>
      <c r="BH25" s="127" t="str">
        <f t="shared" si="10"/>
        <v/>
      </c>
      <c r="BI25" s="127" t="str">
        <f t="shared" si="10"/>
        <v/>
      </c>
      <c r="BJ25" s="127" t="str">
        <f t="shared" si="10"/>
        <v/>
      </c>
      <c r="BK25" s="127" t="str">
        <f t="shared" si="10"/>
        <v/>
      </c>
      <c r="BL25" s="127" t="str">
        <f t="shared" si="10"/>
        <v/>
      </c>
      <c r="BM25" s="127" t="str">
        <f t="shared" si="10"/>
        <v/>
      </c>
      <c r="BN25" s="127" t="str">
        <f t="shared" si="10"/>
        <v/>
      </c>
      <c r="BO25" s="127" t="str">
        <f t="shared" si="10"/>
        <v/>
      </c>
      <c r="BP25" s="127" t="str">
        <f t="shared" si="10"/>
        <v/>
      </c>
      <c r="BQ25" s="127" t="str">
        <f t="shared" si="10"/>
        <v/>
      </c>
      <c r="BR25" s="127" t="str">
        <f t="shared" si="10"/>
        <v/>
      </c>
      <c r="BS25" s="127" t="str">
        <f t="shared" si="10"/>
        <v/>
      </c>
      <c r="BT25" s="127" t="str">
        <f t="shared" si="14"/>
        <v/>
      </c>
      <c r="BU25" s="127" t="str">
        <f t="shared" si="14"/>
        <v/>
      </c>
      <c r="BV25" s="127" t="str">
        <f t="shared" si="14"/>
        <v/>
      </c>
      <c r="BW25" s="127" t="str">
        <f t="shared" si="14"/>
        <v/>
      </c>
      <c r="BX25" s="127" t="str">
        <f t="shared" si="14"/>
        <v/>
      </c>
      <c r="BY25" s="127" t="str">
        <f t="shared" si="14"/>
        <v/>
      </c>
      <c r="BZ25" s="127" t="str">
        <f t="shared" si="14"/>
        <v/>
      </c>
      <c r="CA25" s="127" t="str">
        <f t="shared" si="14"/>
        <v/>
      </c>
      <c r="CB25" s="127" t="str">
        <f t="shared" si="14"/>
        <v/>
      </c>
      <c r="CC25" s="127" t="str">
        <f t="shared" si="14"/>
        <v/>
      </c>
      <c r="CD25" s="127" t="str">
        <f t="shared" si="14"/>
        <v/>
      </c>
      <c r="CE25" s="127" t="str">
        <f t="shared" si="14"/>
        <v/>
      </c>
    </row>
    <row r="26" spans="1:83" ht="12.6" hidden="1" customHeight="1" x14ac:dyDescent="0.2">
      <c r="A26" s="106">
        <f>SHIPMENTS!A32</f>
        <v>9292</v>
      </c>
      <c r="B26" s="106" t="str">
        <f>SHIPMENTS!B32</f>
        <v>15900- Mandaue Warehouse</v>
      </c>
      <c r="C26" s="132">
        <f>SHIPMENTS!F32</f>
        <v>0.51459999999999995</v>
      </c>
      <c r="D26" s="107" t="str">
        <f>IF((SHIPMENTS!I32)=0,"",SHIPMENTS!I32)</f>
        <v/>
      </c>
      <c r="E26" s="176">
        <f>IF((SHIPMENTS!G32)=0,"",SHIPMENTS!G32)</f>
        <v>46323</v>
      </c>
      <c r="F26" s="97">
        <f>VLOOKUP(A26,Items!$A$5:$J$1000,7,0)</f>
        <v>0</v>
      </c>
      <c r="G26" s="98">
        <f>VLOOKUP(A26,load!$A$4:$U$5001,7,0)</f>
        <v>0</v>
      </c>
      <c r="H26" s="97">
        <f>Manhours!$C$23</f>
        <v>32</v>
      </c>
      <c r="I26" s="98">
        <f t="shared" si="6"/>
        <v>291.2</v>
      </c>
      <c r="J26" s="99">
        <f t="shared" si="0"/>
        <v>0</v>
      </c>
      <c r="K26" s="99">
        <f t="shared" si="7"/>
        <v>0</v>
      </c>
      <c r="L26" s="98">
        <f t="shared" si="1"/>
        <v>0</v>
      </c>
      <c r="M26" s="98">
        <f t="shared" si="2"/>
        <v>0</v>
      </c>
      <c r="N26" s="181">
        <f t="shared" si="9"/>
        <v>46322.75731016483</v>
      </c>
      <c r="O26" s="181">
        <f t="shared" si="8"/>
        <v>46322.75731016483</v>
      </c>
      <c r="P26" s="101" t="str">
        <f>VLOOKUP(A26,SHIPMENTS!$A$7:$N$171,12,0)</f>
        <v>n/a</v>
      </c>
      <c r="Q26" s="101"/>
      <c r="R26" s="127" t="str">
        <f t="shared" si="13"/>
        <v/>
      </c>
      <c r="S26" s="127" t="str">
        <f t="shared" si="13"/>
        <v/>
      </c>
      <c r="T26" s="127" t="str">
        <f t="shared" si="13"/>
        <v/>
      </c>
      <c r="U26" s="127" t="str">
        <f t="shared" si="13"/>
        <v/>
      </c>
      <c r="V26" s="127" t="str">
        <f t="shared" si="13"/>
        <v/>
      </c>
      <c r="W26" s="127" t="str">
        <f t="shared" si="13"/>
        <v/>
      </c>
      <c r="X26" s="127" t="str">
        <f t="shared" si="13"/>
        <v/>
      </c>
      <c r="Y26" s="127" t="str">
        <f t="shared" si="13"/>
        <v/>
      </c>
      <c r="Z26" s="127" t="str">
        <f t="shared" si="13"/>
        <v>▲</v>
      </c>
      <c r="AA26" s="127" t="str">
        <f t="shared" si="13"/>
        <v/>
      </c>
      <c r="AB26" s="127" t="str">
        <f t="shared" si="13"/>
        <v/>
      </c>
      <c r="AC26" s="127" t="str">
        <f t="shared" si="13"/>
        <v/>
      </c>
      <c r="AD26" s="127" t="str">
        <f t="shared" si="13"/>
        <v/>
      </c>
      <c r="AE26" s="127" t="str">
        <f t="shared" si="13"/>
        <v/>
      </c>
      <c r="AF26" s="127" t="str">
        <f t="shared" si="13"/>
        <v/>
      </c>
      <c r="AG26" s="127" t="str">
        <f t="shared" si="13"/>
        <v/>
      </c>
      <c r="AH26" s="127" t="str">
        <f t="shared" si="12"/>
        <v/>
      </c>
      <c r="AI26" s="127" t="str">
        <f t="shared" si="12"/>
        <v/>
      </c>
      <c r="AJ26" s="127" t="str">
        <f t="shared" si="12"/>
        <v/>
      </c>
      <c r="AK26" s="127" t="str">
        <f t="shared" si="12"/>
        <v/>
      </c>
      <c r="AL26" s="127" t="str">
        <f t="shared" si="12"/>
        <v/>
      </c>
      <c r="AM26" s="127" t="str">
        <f t="shared" si="12"/>
        <v/>
      </c>
      <c r="AN26" s="127" t="str">
        <f t="shared" si="12"/>
        <v/>
      </c>
      <c r="AO26" s="127" t="str">
        <f t="shared" si="12"/>
        <v/>
      </c>
      <c r="AP26" s="127" t="str">
        <f t="shared" si="12"/>
        <v/>
      </c>
      <c r="AQ26" s="127" t="str">
        <f t="shared" si="12"/>
        <v/>
      </c>
      <c r="AR26" s="127" t="str">
        <f t="shared" si="12"/>
        <v/>
      </c>
      <c r="AS26" s="127" t="str">
        <f t="shared" si="12"/>
        <v/>
      </c>
      <c r="AT26" s="127" t="str">
        <f t="shared" si="12"/>
        <v/>
      </c>
      <c r="AU26" s="127" t="str">
        <f t="shared" si="12"/>
        <v/>
      </c>
      <c r="AV26" s="127" t="str">
        <f t="shared" si="12"/>
        <v/>
      </c>
      <c r="AW26" s="127" t="str">
        <f t="shared" si="12"/>
        <v/>
      </c>
      <c r="AX26" s="127" t="str">
        <f t="shared" si="12"/>
        <v/>
      </c>
      <c r="AY26" s="127" t="str">
        <f t="shared" si="12"/>
        <v/>
      </c>
      <c r="AZ26" s="127" t="str">
        <f t="shared" si="12"/>
        <v/>
      </c>
      <c r="BA26" s="127" t="str">
        <f t="shared" si="12"/>
        <v/>
      </c>
      <c r="BB26" s="127" t="str">
        <f t="shared" si="12"/>
        <v/>
      </c>
      <c r="BC26" s="127" t="str">
        <f t="shared" si="12"/>
        <v/>
      </c>
      <c r="BD26" s="127" t="str">
        <f t="shared" si="12"/>
        <v/>
      </c>
      <c r="BE26" s="127" t="str">
        <f t="shared" si="12"/>
        <v/>
      </c>
      <c r="BF26" s="127" t="str">
        <f t="shared" si="12"/>
        <v/>
      </c>
      <c r="BG26" s="127" t="str">
        <f t="shared" si="11"/>
        <v/>
      </c>
      <c r="BH26" s="127" t="str">
        <f t="shared" si="10"/>
        <v/>
      </c>
      <c r="BI26" s="127" t="str">
        <f t="shared" si="10"/>
        <v/>
      </c>
      <c r="BJ26" s="127" t="str">
        <f t="shared" si="10"/>
        <v/>
      </c>
      <c r="BK26" s="127" t="str">
        <f t="shared" si="10"/>
        <v/>
      </c>
      <c r="BL26" s="127" t="str">
        <f t="shared" si="10"/>
        <v/>
      </c>
      <c r="BM26" s="127" t="str">
        <f t="shared" si="10"/>
        <v/>
      </c>
      <c r="BN26" s="127" t="str">
        <f t="shared" si="10"/>
        <v/>
      </c>
      <c r="BO26" s="127" t="str">
        <f t="shared" si="10"/>
        <v/>
      </c>
      <c r="BP26" s="127" t="str">
        <f t="shared" si="10"/>
        <v/>
      </c>
      <c r="BQ26" s="127" t="str">
        <f t="shared" si="10"/>
        <v/>
      </c>
      <c r="BR26" s="127" t="str">
        <f t="shared" si="10"/>
        <v/>
      </c>
      <c r="BS26" s="127" t="str">
        <f t="shared" si="10"/>
        <v/>
      </c>
      <c r="BT26" s="127" t="str">
        <f t="shared" si="14"/>
        <v/>
      </c>
      <c r="BU26" s="127" t="str">
        <f t="shared" si="14"/>
        <v/>
      </c>
      <c r="BV26" s="127" t="str">
        <f t="shared" si="14"/>
        <v/>
      </c>
      <c r="BW26" s="127" t="str">
        <f t="shared" si="14"/>
        <v/>
      </c>
      <c r="BX26" s="127" t="str">
        <f t="shared" si="14"/>
        <v/>
      </c>
      <c r="BY26" s="127" t="str">
        <f t="shared" si="14"/>
        <v/>
      </c>
      <c r="BZ26" s="127" t="str">
        <f t="shared" si="14"/>
        <v/>
      </c>
      <c r="CA26" s="127" t="str">
        <f t="shared" si="14"/>
        <v/>
      </c>
      <c r="CB26" s="127" t="str">
        <f t="shared" si="14"/>
        <v/>
      </c>
      <c r="CC26" s="127" t="str">
        <f t="shared" si="14"/>
        <v/>
      </c>
      <c r="CD26" s="127" t="str">
        <f t="shared" si="14"/>
        <v/>
      </c>
      <c r="CE26" s="127" t="str">
        <f t="shared" si="14"/>
        <v/>
      </c>
    </row>
    <row r="27" spans="1:83" ht="12.6" customHeight="1" x14ac:dyDescent="0.2">
      <c r="A27" s="106">
        <f>SHIPMENTS!A33</f>
        <v>9116</v>
      </c>
      <c r="B27" s="106" t="str">
        <f>SHIPMENTS!B33</f>
        <v>15900- Dagupan City |Kerwin Fernandez</v>
      </c>
      <c r="C27" s="132">
        <f>SHIPMENTS!F33</f>
        <v>0.17</v>
      </c>
      <c r="D27" s="107" t="str">
        <f>IF((SHIPMENTS!I33)=0,"",SHIPMENTS!I33)</f>
        <v>1X20</v>
      </c>
      <c r="E27" s="176">
        <f>IF((SHIPMENTS!G33)=0,"",SHIPMENTS!G33)</f>
        <v>46323</v>
      </c>
      <c r="F27" s="97">
        <f>VLOOKUP(A27,Items!$A$5:$J$1000,7,0)</f>
        <v>7</v>
      </c>
      <c r="G27" s="98">
        <f>VLOOKUP(A27,load!$A$4:$U$5001,7,0)</f>
        <v>3.9913333333333334</v>
      </c>
      <c r="H27" s="97">
        <f>Manhours!$C$23</f>
        <v>32</v>
      </c>
      <c r="I27" s="98">
        <f t="shared" si="6"/>
        <v>291.2</v>
      </c>
      <c r="J27" s="99">
        <f t="shared" si="0"/>
        <v>1.3706501831501832E-2</v>
      </c>
      <c r="K27" s="99">
        <f t="shared" si="7"/>
        <v>0.12472916666666667</v>
      </c>
      <c r="L27" s="98">
        <f t="shared" si="1"/>
        <v>1.3706501831501832E-2</v>
      </c>
      <c r="M27" s="98">
        <f t="shared" si="2"/>
        <v>0.12472916666666667</v>
      </c>
      <c r="N27" s="181">
        <f t="shared" si="9"/>
        <v>46322.75731016483</v>
      </c>
      <c r="O27" s="181">
        <f t="shared" si="8"/>
        <v>46322.771016666658</v>
      </c>
      <c r="P27" s="101">
        <f>VLOOKUP(A27,SHIPMENTS!$A$7:$N$171,12,0)</f>
        <v>0</v>
      </c>
      <c r="Q27" s="101"/>
      <c r="R27" s="127" t="str">
        <f t="shared" si="13"/>
        <v/>
      </c>
      <c r="S27" s="127" t="str">
        <f t="shared" si="13"/>
        <v/>
      </c>
      <c r="T27" s="127" t="str">
        <f t="shared" si="13"/>
        <v/>
      </c>
      <c r="U27" s="127" t="str">
        <f t="shared" si="13"/>
        <v/>
      </c>
      <c r="V27" s="127" t="str">
        <f t="shared" si="13"/>
        <v/>
      </c>
      <c r="W27" s="127" t="str">
        <f t="shared" si="13"/>
        <v/>
      </c>
      <c r="X27" s="127" t="str">
        <f t="shared" si="13"/>
        <v/>
      </c>
      <c r="Y27" s="127" t="str">
        <f t="shared" si="13"/>
        <v/>
      </c>
      <c r="Z27" s="127" t="str">
        <f t="shared" si="13"/>
        <v>▲</v>
      </c>
      <c r="AA27" s="127" t="str">
        <f t="shared" si="13"/>
        <v/>
      </c>
      <c r="AB27" s="127" t="str">
        <f t="shared" si="13"/>
        <v/>
      </c>
      <c r="AC27" s="127" t="str">
        <f t="shared" si="13"/>
        <v/>
      </c>
      <c r="AD27" s="127" t="str">
        <f t="shared" si="13"/>
        <v/>
      </c>
      <c r="AE27" s="127" t="str">
        <f t="shared" si="13"/>
        <v/>
      </c>
      <c r="AF27" s="127" t="str">
        <f t="shared" si="13"/>
        <v/>
      </c>
      <c r="AG27" s="127" t="str">
        <f t="shared" si="13"/>
        <v/>
      </c>
      <c r="AH27" s="127" t="str">
        <f t="shared" si="12"/>
        <v/>
      </c>
      <c r="AI27" s="127" t="str">
        <f t="shared" si="12"/>
        <v/>
      </c>
      <c r="AJ27" s="127" t="str">
        <f t="shared" si="12"/>
        <v/>
      </c>
      <c r="AK27" s="127" t="str">
        <f t="shared" si="12"/>
        <v/>
      </c>
      <c r="AL27" s="127" t="str">
        <f t="shared" si="12"/>
        <v/>
      </c>
      <c r="AM27" s="127" t="str">
        <f t="shared" si="12"/>
        <v/>
      </c>
      <c r="AN27" s="127" t="str">
        <f t="shared" si="12"/>
        <v/>
      </c>
      <c r="AO27" s="127" t="str">
        <f t="shared" si="12"/>
        <v/>
      </c>
      <c r="AP27" s="127" t="str">
        <f t="shared" si="12"/>
        <v/>
      </c>
      <c r="AQ27" s="127" t="str">
        <f t="shared" si="12"/>
        <v/>
      </c>
      <c r="AR27" s="127" t="str">
        <f t="shared" si="12"/>
        <v/>
      </c>
      <c r="AS27" s="127" t="str">
        <f t="shared" si="12"/>
        <v/>
      </c>
      <c r="AT27" s="127" t="str">
        <f t="shared" si="12"/>
        <v/>
      </c>
      <c r="AU27" s="127" t="str">
        <f t="shared" si="12"/>
        <v/>
      </c>
      <c r="AV27" s="127" t="str">
        <f t="shared" si="12"/>
        <v/>
      </c>
      <c r="AW27" s="127" t="str">
        <f t="shared" si="12"/>
        <v/>
      </c>
      <c r="AX27" s="127" t="str">
        <f t="shared" si="12"/>
        <v/>
      </c>
      <c r="AY27" s="127" t="str">
        <f t="shared" si="12"/>
        <v/>
      </c>
      <c r="AZ27" s="127" t="str">
        <f t="shared" si="12"/>
        <v/>
      </c>
      <c r="BA27" s="127" t="str">
        <f t="shared" si="12"/>
        <v/>
      </c>
      <c r="BB27" s="127" t="str">
        <f t="shared" si="12"/>
        <v/>
      </c>
      <c r="BC27" s="127" t="str">
        <f t="shared" si="12"/>
        <v/>
      </c>
      <c r="BD27" s="127" t="str">
        <f t="shared" si="12"/>
        <v/>
      </c>
      <c r="BE27" s="127" t="str">
        <f t="shared" si="12"/>
        <v/>
      </c>
      <c r="BF27" s="127" t="str">
        <f t="shared" si="12"/>
        <v/>
      </c>
      <c r="BG27" s="127" t="str">
        <f t="shared" si="11"/>
        <v/>
      </c>
      <c r="BH27" s="127" t="str">
        <f t="shared" si="10"/>
        <v/>
      </c>
      <c r="BI27" s="127" t="str">
        <f t="shared" si="10"/>
        <v/>
      </c>
      <c r="BJ27" s="127" t="str">
        <f t="shared" si="10"/>
        <v/>
      </c>
      <c r="BK27" s="127" t="str">
        <f t="shared" si="10"/>
        <v/>
      </c>
      <c r="BL27" s="127" t="str">
        <f t="shared" si="10"/>
        <v/>
      </c>
      <c r="BM27" s="127" t="str">
        <f t="shared" si="10"/>
        <v/>
      </c>
      <c r="BN27" s="127" t="str">
        <f t="shared" si="10"/>
        <v/>
      </c>
      <c r="BO27" s="127" t="str">
        <f t="shared" si="10"/>
        <v/>
      </c>
      <c r="BP27" s="127" t="str">
        <f t="shared" si="10"/>
        <v/>
      </c>
      <c r="BQ27" s="127" t="str">
        <f t="shared" si="10"/>
        <v/>
      </c>
      <c r="BR27" s="127" t="str">
        <f t="shared" si="10"/>
        <v/>
      </c>
      <c r="BS27" s="127" t="str">
        <f t="shared" si="10"/>
        <v/>
      </c>
      <c r="BT27" s="127" t="str">
        <f t="shared" si="14"/>
        <v/>
      </c>
      <c r="BU27" s="127" t="str">
        <f t="shared" si="14"/>
        <v/>
      </c>
      <c r="BV27" s="127" t="str">
        <f t="shared" si="14"/>
        <v/>
      </c>
      <c r="BW27" s="127" t="str">
        <f t="shared" si="14"/>
        <v/>
      </c>
      <c r="BX27" s="127" t="str">
        <f t="shared" si="14"/>
        <v/>
      </c>
      <c r="BY27" s="127" t="str">
        <f t="shared" si="14"/>
        <v/>
      </c>
      <c r="BZ27" s="127" t="str">
        <f t="shared" si="14"/>
        <v/>
      </c>
      <c r="CA27" s="127" t="str">
        <f t="shared" si="14"/>
        <v/>
      </c>
      <c r="CB27" s="127" t="str">
        <f t="shared" si="14"/>
        <v/>
      </c>
      <c r="CC27" s="127" t="str">
        <f t="shared" si="14"/>
        <v/>
      </c>
      <c r="CD27" s="127" t="str">
        <f t="shared" si="14"/>
        <v/>
      </c>
      <c r="CE27" s="127" t="str">
        <f t="shared" si="14"/>
        <v/>
      </c>
    </row>
    <row r="28" spans="1:83" ht="12.6" customHeight="1" x14ac:dyDescent="0.2">
      <c r="A28" s="106">
        <f>SHIPMENTS!A34</f>
        <v>9247</v>
      </c>
      <c r="B28" s="106" t="str">
        <f>SHIPMENTS!B34</f>
        <v>15900- Batangas City |Angela Joy Medes Mandigma</v>
      </c>
      <c r="C28" s="132">
        <f>SHIPMENTS!F34</f>
        <v>0.188</v>
      </c>
      <c r="D28" s="107" t="str">
        <f>IF((SHIPMENTS!I34)=0,"",SHIPMENTS!I34)</f>
        <v/>
      </c>
      <c r="E28" s="176">
        <f>IF((SHIPMENTS!G34)=0,"",SHIPMENTS!G34)</f>
        <v>46323</v>
      </c>
      <c r="F28" s="97">
        <f>VLOOKUP(A28,Items!$A$5:$J$1000,7,0)</f>
        <v>8</v>
      </c>
      <c r="G28" s="98">
        <f>VLOOKUP(A28,load!$A$4:$U$5001,7,0)</f>
        <v>3.7435</v>
      </c>
      <c r="H28" s="97">
        <f>Manhours!$C$23</f>
        <v>32</v>
      </c>
      <c r="I28" s="98">
        <f t="shared" si="6"/>
        <v>291.2</v>
      </c>
      <c r="J28" s="99">
        <f t="shared" si="0"/>
        <v>1.2855425824175825E-2</v>
      </c>
      <c r="K28" s="99">
        <f t="shared" si="7"/>
        <v>0.116984375</v>
      </c>
      <c r="L28" s="98">
        <f t="shared" si="1"/>
        <v>1.2855425824175825E-2</v>
      </c>
      <c r="M28" s="98">
        <f t="shared" si="2"/>
        <v>0.116984375</v>
      </c>
      <c r="N28" s="181">
        <f t="shared" si="9"/>
        <v>46322.771016666658</v>
      </c>
      <c r="O28" s="181">
        <f t="shared" si="8"/>
        <v>46322.783872092485</v>
      </c>
      <c r="P28" s="101">
        <f>VLOOKUP(A28,SHIPMENTS!$A$7:$N$171,12,0)</f>
        <v>0</v>
      </c>
      <c r="Q28" s="101"/>
      <c r="R28" s="127" t="str">
        <f t="shared" si="13"/>
        <v/>
      </c>
      <c r="S28" s="127" t="str">
        <f t="shared" si="13"/>
        <v/>
      </c>
      <c r="T28" s="127" t="str">
        <f t="shared" si="13"/>
        <v/>
      </c>
      <c r="U28" s="127" t="str">
        <f t="shared" si="13"/>
        <v/>
      </c>
      <c r="V28" s="127" t="str">
        <f t="shared" si="13"/>
        <v/>
      </c>
      <c r="W28" s="127" t="str">
        <f t="shared" si="13"/>
        <v/>
      </c>
      <c r="X28" s="127" t="str">
        <f t="shared" si="13"/>
        <v/>
      </c>
      <c r="Y28" s="127" t="str">
        <f t="shared" si="13"/>
        <v/>
      </c>
      <c r="Z28" s="127" t="str">
        <f t="shared" si="13"/>
        <v>▲</v>
      </c>
      <c r="AA28" s="127" t="str">
        <f t="shared" si="13"/>
        <v/>
      </c>
      <c r="AB28" s="127" t="str">
        <f t="shared" si="13"/>
        <v/>
      </c>
      <c r="AC28" s="127" t="str">
        <f t="shared" si="13"/>
        <v/>
      </c>
      <c r="AD28" s="127" t="str">
        <f t="shared" si="13"/>
        <v/>
      </c>
      <c r="AE28" s="127" t="str">
        <f t="shared" si="13"/>
        <v/>
      </c>
      <c r="AF28" s="127" t="str">
        <f t="shared" si="13"/>
        <v/>
      </c>
      <c r="AG28" s="127" t="str">
        <f t="shared" si="13"/>
        <v/>
      </c>
      <c r="AH28" s="127" t="str">
        <f t="shared" si="12"/>
        <v/>
      </c>
      <c r="AI28" s="127" t="str">
        <f t="shared" si="12"/>
        <v/>
      </c>
      <c r="AJ28" s="127" t="str">
        <f t="shared" si="12"/>
        <v/>
      </c>
      <c r="AK28" s="127" t="str">
        <f t="shared" si="12"/>
        <v/>
      </c>
      <c r="AL28" s="127" t="str">
        <f t="shared" si="12"/>
        <v/>
      </c>
      <c r="AM28" s="127" t="str">
        <f t="shared" si="12"/>
        <v/>
      </c>
      <c r="AN28" s="127" t="str">
        <f t="shared" si="12"/>
        <v/>
      </c>
      <c r="AO28" s="127" t="str">
        <f t="shared" si="12"/>
        <v/>
      </c>
      <c r="AP28" s="127" t="str">
        <f t="shared" si="12"/>
        <v/>
      </c>
      <c r="AQ28" s="127" t="str">
        <f t="shared" si="12"/>
        <v/>
      </c>
      <c r="AR28" s="127" t="str">
        <f t="shared" si="12"/>
        <v/>
      </c>
      <c r="AS28" s="127" t="str">
        <f t="shared" si="12"/>
        <v/>
      </c>
      <c r="AT28" s="127" t="str">
        <f t="shared" si="12"/>
        <v/>
      </c>
      <c r="AU28" s="127" t="str">
        <f t="shared" si="12"/>
        <v/>
      </c>
      <c r="AV28" s="127" t="str">
        <f t="shared" si="12"/>
        <v/>
      </c>
      <c r="AW28" s="127" t="str">
        <f t="shared" si="12"/>
        <v/>
      </c>
      <c r="AX28" s="127" t="str">
        <f t="shared" si="12"/>
        <v/>
      </c>
      <c r="AY28" s="127" t="str">
        <f t="shared" si="12"/>
        <v/>
      </c>
      <c r="AZ28" s="127" t="str">
        <f t="shared" si="12"/>
        <v/>
      </c>
      <c r="BA28" s="127" t="str">
        <f t="shared" si="12"/>
        <v/>
      </c>
      <c r="BB28" s="127" t="str">
        <f t="shared" si="12"/>
        <v/>
      </c>
      <c r="BC28" s="127" t="str">
        <f t="shared" si="12"/>
        <v/>
      </c>
      <c r="BD28" s="127" t="str">
        <f t="shared" si="12"/>
        <v/>
      </c>
      <c r="BE28" s="127" t="str">
        <f t="shared" si="12"/>
        <v/>
      </c>
      <c r="BF28" s="127" t="str">
        <f t="shared" si="12"/>
        <v/>
      </c>
      <c r="BG28" s="127" t="str">
        <f t="shared" si="11"/>
        <v/>
      </c>
      <c r="BH28" s="127" t="str">
        <f t="shared" si="10"/>
        <v/>
      </c>
      <c r="BI28" s="127" t="str">
        <f t="shared" si="10"/>
        <v/>
      </c>
      <c r="BJ28" s="127" t="str">
        <f t="shared" si="10"/>
        <v/>
      </c>
      <c r="BK28" s="127" t="str">
        <f t="shared" si="10"/>
        <v/>
      </c>
      <c r="BL28" s="127" t="str">
        <f t="shared" si="10"/>
        <v/>
      </c>
      <c r="BM28" s="127" t="str">
        <f t="shared" si="10"/>
        <v/>
      </c>
      <c r="BN28" s="127" t="str">
        <f t="shared" si="10"/>
        <v/>
      </c>
      <c r="BO28" s="127" t="str">
        <f t="shared" si="10"/>
        <v/>
      </c>
      <c r="BP28" s="127" t="str">
        <f t="shared" si="10"/>
        <v/>
      </c>
      <c r="BQ28" s="127" t="str">
        <f t="shared" si="10"/>
        <v/>
      </c>
      <c r="BR28" s="127" t="str">
        <f t="shared" si="10"/>
        <v/>
      </c>
      <c r="BS28" s="127" t="str">
        <f t="shared" si="10"/>
        <v/>
      </c>
      <c r="BT28" s="127" t="str">
        <f t="shared" si="14"/>
        <v/>
      </c>
      <c r="BU28" s="127" t="str">
        <f t="shared" si="14"/>
        <v/>
      </c>
      <c r="BV28" s="127" t="str">
        <f t="shared" si="14"/>
        <v/>
      </c>
      <c r="BW28" s="127" t="str">
        <f t="shared" si="14"/>
        <v/>
      </c>
      <c r="BX28" s="127" t="str">
        <f t="shared" si="14"/>
        <v/>
      </c>
      <c r="BY28" s="127" t="str">
        <f t="shared" si="14"/>
        <v/>
      </c>
      <c r="BZ28" s="127" t="str">
        <f t="shared" si="14"/>
        <v/>
      </c>
      <c r="CA28" s="127" t="str">
        <f t="shared" si="14"/>
        <v/>
      </c>
      <c r="CB28" s="127" t="str">
        <f t="shared" si="14"/>
        <v/>
      </c>
      <c r="CC28" s="127" t="str">
        <f t="shared" si="14"/>
        <v/>
      </c>
      <c r="CD28" s="127" t="str">
        <f t="shared" si="14"/>
        <v/>
      </c>
      <c r="CE28" s="127" t="str">
        <f t="shared" si="14"/>
        <v/>
      </c>
    </row>
    <row r="29" spans="1:83" ht="12.6" customHeight="1" x14ac:dyDescent="0.2">
      <c r="A29" s="106">
        <f>SHIPMENTS!A35</f>
        <v>9302</v>
      </c>
      <c r="B29" s="106" t="str">
        <f>SHIPMENTS!B35</f>
        <v>15900- Binangonan Rizal |Dr. Jonathan Emmanuel Sandejas</v>
      </c>
      <c r="C29" s="132">
        <f>SHIPMENTS!F35</f>
        <v>0.14499999999999999</v>
      </c>
      <c r="D29" s="107" t="str">
        <f>IF((SHIPMENTS!I35)=0,"",SHIPMENTS!I35)</f>
        <v/>
      </c>
      <c r="E29" s="176">
        <f>IF((SHIPMENTS!G35)=0,"",SHIPMENTS!G35)</f>
        <v>46323</v>
      </c>
      <c r="F29" s="97">
        <f>VLOOKUP(A29,Items!$A$5:$J$1000,7,0)</f>
        <v>7</v>
      </c>
      <c r="G29" s="98">
        <f>VLOOKUP(A29,load!$A$4:$U$5001,7,0)</f>
        <v>3.2446666666666664</v>
      </c>
      <c r="H29" s="97">
        <f>Manhours!$C$23</f>
        <v>32</v>
      </c>
      <c r="I29" s="98">
        <f t="shared" si="6"/>
        <v>291.2</v>
      </c>
      <c r="J29" s="99">
        <f t="shared" si="0"/>
        <v>1.1142399267399267E-2</v>
      </c>
      <c r="K29" s="99">
        <f t="shared" si="7"/>
        <v>0.10139583333333332</v>
      </c>
      <c r="L29" s="98">
        <f t="shared" si="1"/>
        <v>1.1142399267399267E-2</v>
      </c>
      <c r="M29" s="98">
        <f t="shared" si="2"/>
        <v>0.10139583333333332</v>
      </c>
      <c r="N29" s="181">
        <f t="shared" si="9"/>
        <v>46322.783872092485</v>
      </c>
      <c r="O29" s="181">
        <f t="shared" si="8"/>
        <v>46322.795014491749</v>
      </c>
      <c r="P29" s="101">
        <f>VLOOKUP(A29,SHIPMENTS!$A$7:$N$171,12,0)</f>
        <v>0</v>
      </c>
      <c r="Q29" s="101"/>
      <c r="R29" s="127" t="str">
        <f t="shared" si="13"/>
        <v/>
      </c>
      <c r="S29" s="127" t="str">
        <f t="shared" si="13"/>
        <v/>
      </c>
      <c r="T29" s="127" t="str">
        <f t="shared" si="13"/>
        <v/>
      </c>
      <c r="U29" s="127" t="str">
        <f t="shared" si="13"/>
        <v/>
      </c>
      <c r="V29" s="127" t="str">
        <f t="shared" si="13"/>
        <v/>
      </c>
      <c r="W29" s="127" t="str">
        <f t="shared" si="13"/>
        <v/>
      </c>
      <c r="X29" s="127" t="str">
        <f t="shared" si="13"/>
        <v/>
      </c>
      <c r="Y29" s="127" t="str">
        <f t="shared" si="13"/>
        <v/>
      </c>
      <c r="Z29" s="127" t="str">
        <f t="shared" si="13"/>
        <v>▲</v>
      </c>
      <c r="AA29" s="127" t="str">
        <f t="shared" si="13"/>
        <v/>
      </c>
      <c r="AB29" s="127" t="str">
        <f t="shared" si="13"/>
        <v/>
      </c>
      <c r="AC29" s="127" t="str">
        <f t="shared" si="13"/>
        <v/>
      </c>
      <c r="AD29" s="127" t="str">
        <f t="shared" si="13"/>
        <v/>
      </c>
      <c r="AE29" s="127" t="str">
        <f t="shared" si="13"/>
        <v/>
      </c>
      <c r="AF29" s="127" t="str">
        <f t="shared" si="13"/>
        <v/>
      </c>
      <c r="AG29" s="127" t="str">
        <f t="shared" si="13"/>
        <v/>
      </c>
      <c r="AH29" s="127" t="str">
        <f t="shared" si="12"/>
        <v/>
      </c>
      <c r="AI29" s="127" t="str">
        <f t="shared" si="12"/>
        <v/>
      </c>
      <c r="AJ29" s="127" t="str">
        <f t="shared" si="12"/>
        <v/>
      </c>
      <c r="AK29" s="127" t="str">
        <f t="shared" si="12"/>
        <v/>
      </c>
      <c r="AL29" s="127" t="str">
        <f t="shared" si="12"/>
        <v/>
      </c>
      <c r="AM29" s="127" t="str">
        <f t="shared" si="12"/>
        <v/>
      </c>
      <c r="AN29" s="127" t="str">
        <f t="shared" si="12"/>
        <v/>
      </c>
      <c r="AO29" s="127" t="str">
        <f t="shared" si="12"/>
        <v/>
      </c>
      <c r="AP29" s="127" t="str">
        <f t="shared" si="12"/>
        <v/>
      </c>
      <c r="AQ29" s="127" t="str">
        <f t="shared" si="12"/>
        <v/>
      </c>
      <c r="AR29" s="127" t="str">
        <f t="shared" si="12"/>
        <v/>
      </c>
      <c r="AS29" s="127" t="str">
        <f t="shared" si="12"/>
        <v/>
      </c>
      <c r="AT29" s="127" t="str">
        <f t="shared" si="12"/>
        <v/>
      </c>
      <c r="AU29" s="127" t="str">
        <f t="shared" si="12"/>
        <v/>
      </c>
      <c r="AV29" s="127" t="str">
        <f t="shared" si="12"/>
        <v/>
      </c>
      <c r="AW29" s="127" t="str">
        <f t="shared" si="12"/>
        <v/>
      </c>
      <c r="AX29" s="127" t="str">
        <f t="shared" si="12"/>
        <v/>
      </c>
      <c r="AY29" s="127" t="str">
        <f t="shared" si="12"/>
        <v/>
      </c>
      <c r="AZ29" s="127" t="str">
        <f t="shared" si="12"/>
        <v/>
      </c>
      <c r="BA29" s="127" t="str">
        <f t="shared" si="12"/>
        <v/>
      </c>
      <c r="BB29" s="127" t="str">
        <f t="shared" si="12"/>
        <v/>
      </c>
      <c r="BC29" s="127" t="str">
        <f t="shared" si="12"/>
        <v/>
      </c>
      <c r="BD29" s="127" t="str">
        <f t="shared" si="12"/>
        <v/>
      </c>
      <c r="BE29" s="127" t="str">
        <f t="shared" si="12"/>
        <v/>
      </c>
      <c r="BF29" s="127" t="str">
        <f t="shared" si="12"/>
        <v/>
      </c>
      <c r="BG29" s="127" t="str">
        <f t="shared" si="11"/>
        <v/>
      </c>
      <c r="BH29" s="127" t="str">
        <f t="shared" si="10"/>
        <v/>
      </c>
      <c r="BI29" s="127" t="str">
        <f t="shared" si="10"/>
        <v/>
      </c>
      <c r="BJ29" s="127" t="str">
        <f t="shared" si="10"/>
        <v/>
      </c>
      <c r="BK29" s="127" t="str">
        <f t="shared" si="10"/>
        <v/>
      </c>
      <c r="BL29" s="127" t="str">
        <f t="shared" si="10"/>
        <v/>
      </c>
      <c r="BM29" s="127" t="str">
        <f t="shared" si="10"/>
        <v/>
      </c>
      <c r="BN29" s="127" t="str">
        <f t="shared" si="10"/>
        <v/>
      </c>
      <c r="BO29" s="127" t="str">
        <f t="shared" si="10"/>
        <v/>
      </c>
      <c r="BP29" s="127" t="str">
        <f t="shared" si="10"/>
        <v/>
      </c>
      <c r="BQ29" s="127" t="str">
        <f t="shared" si="10"/>
        <v/>
      </c>
      <c r="BR29" s="127" t="str">
        <f t="shared" si="10"/>
        <v/>
      </c>
      <c r="BS29" s="127" t="str">
        <f t="shared" si="10"/>
        <v/>
      </c>
      <c r="BT29" s="127" t="str">
        <f t="shared" si="14"/>
        <v/>
      </c>
      <c r="BU29" s="127" t="str">
        <f t="shared" si="14"/>
        <v/>
      </c>
      <c r="BV29" s="127" t="str">
        <f t="shared" si="14"/>
        <v/>
      </c>
      <c r="BW29" s="127" t="str">
        <f t="shared" si="14"/>
        <v/>
      </c>
      <c r="BX29" s="127" t="str">
        <f t="shared" si="14"/>
        <v/>
      </c>
      <c r="BY29" s="127" t="str">
        <f t="shared" si="14"/>
        <v/>
      </c>
      <c r="BZ29" s="127" t="str">
        <f t="shared" si="14"/>
        <v/>
      </c>
      <c r="CA29" s="127" t="str">
        <f t="shared" si="14"/>
        <v/>
      </c>
      <c r="CB29" s="127" t="str">
        <f t="shared" si="14"/>
        <v/>
      </c>
      <c r="CC29" s="127" t="str">
        <f t="shared" si="14"/>
        <v/>
      </c>
      <c r="CD29" s="127" t="str">
        <f t="shared" si="14"/>
        <v/>
      </c>
      <c r="CE29" s="127" t="str">
        <f t="shared" si="14"/>
        <v/>
      </c>
    </row>
    <row r="30" spans="1:83" ht="12.6" hidden="1" customHeight="1" x14ac:dyDescent="0.2">
      <c r="A30" s="106">
        <f>SHIPMENTS!A36</f>
        <v>8954</v>
      </c>
      <c r="B30" s="106" t="str">
        <f>SHIPMENTS!B36</f>
        <v>15900- Cainta Rizal | Mary Baquiran</v>
      </c>
      <c r="C30" s="132">
        <f>SHIPMENTS!F36</f>
        <v>6.4999999999999997E-3</v>
      </c>
      <c r="D30" s="107" t="str">
        <f>IF((SHIPMENTS!I36)=0,"",SHIPMENTS!I36)</f>
        <v/>
      </c>
      <c r="E30" s="176">
        <f>IF((SHIPMENTS!G36)=0,"",SHIPMENTS!G36)</f>
        <v>46323</v>
      </c>
      <c r="F30" s="97">
        <f>VLOOKUP(A30,Items!$A$5:$J$1000,7,0)</f>
        <v>0</v>
      </c>
      <c r="G30" s="98">
        <f>VLOOKUP(A30,load!$A$4:$U$5001,7,0)</f>
        <v>0</v>
      </c>
      <c r="H30" s="97">
        <f>Manhours!$C$23</f>
        <v>32</v>
      </c>
      <c r="I30" s="98">
        <f t="shared" si="6"/>
        <v>291.2</v>
      </c>
      <c r="J30" s="99">
        <f t="shared" si="0"/>
        <v>0</v>
      </c>
      <c r="K30" s="99">
        <f t="shared" si="7"/>
        <v>0</v>
      </c>
      <c r="L30" s="98">
        <f t="shared" si="1"/>
        <v>0</v>
      </c>
      <c r="M30" s="98">
        <f t="shared" si="2"/>
        <v>0</v>
      </c>
      <c r="N30" s="181">
        <f t="shared" si="9"/>
        <v>46322.795014491749</v>
      </c>
      <c r="O30" s="181">
        <f t="shared" si="8"/>
        <v>46322.795014491749</v>
      </c>
      <c r="P30" s="101" t="str">
        <f>VLOOKUP(A30,SHIPMENTS!$A$7:$N$171,12,0)</f>
        <v>n/a</v>
      </c>
      <c r="Q30" s="101"/>
      <c r="R30" s="127" t="str">
        <f t="shared" si="13"/>
        <v/>
      </c>
      <c r="S30" s="127" t="str">
        <f t="shared" si="13"/>
        <v/>
      </c>
      <c r="T30" s="127" t="str">
        <f t="shared" si="13"/>
        <v/>
      </c>
      <c r="U30" s="127" t="str">
        <f t="shared" si="13"/>
        <v/>
      </c>
      <c r="V30" s="127" t="str">
        <f t="shared" si="13"/>
        <v/>
      </c>
      <c r="W30" s="127" t="str">
        <f t="shared" si="13"/>
        <v/>
      </c>
      <c r="X30" s="127" t="str">
        <f t="shared" si="13"/>
        <v/>
      </c>
      <c r="Y30" s="127" t="str">
        <f t="shared" si="13"/>
        <v/>
      </c>
      <c r="Z30" s="127" t="str">
        <f t="shared" si="13"/>
        <v>▲</v>
      </c>
      <c r="AA30" s="127" t="str">
        <f t="shared" si="13"/>
        <v/>
      </c>
      <c r="AB30" s="127" t="str">
        <f t="shared" si="13"/>
        <v/>
      </c>
      <c r="AC30" s="127" t="str">
        <f t="shared" si="13"/>
        <v/>
      </c>
      <c r="AD30" s="127" t="str">
        <f t="shared" si="13"/>
        <v/>
      </c>
      <c r="AE30" s="127" t="str">
        <f t="shared" si="13"/>
        <v/>
      </c>
      <c r="AF30" s="127" t="str">
        <f t="shared" si="13"/>
        <v/>
      </c>
      <c r="AG30" s="127" t="str">
        <f t="shared" si="13"/>
        <v/>
      </c>
      <c r="AH30" s="127" t="str">
        <f t="shared" si="12"/>
        <v/>
      </c>
      <c r="AI30" s="127" t="str">
        <f t="shared" si="12"/>
        <v/>
      </c>
      <c r="AJ30" s="127" t="str">
        <f t="shared" si="12"/>
        <v/>
      </c>
      <c r="AK30" s="127" t="str">
        <f t="shared" si="12"/>
        <v/>
      </c>
      <c r="AL30" s="127" t="str">
        <f t="shared" si="12"/>
        <v/>
      </c>
      <c r="AM30" s="127" t="str">
        <f t="shared" si="12"/>
        <v/>
      </c>
      <c r="AN30" s="127" t="str">
        <f t="shared" si="12"/>
        <v/>
      </c>
      <c r="AO30" s="127" t="str">
        <f t="shared" si="12"/>
        <v/>
      </c>
      <c r="AP30" s="127" t="str">
        <f t="shared" si="12"/>
        <v/>
      </c>
      <c r="AQ30" s="127" t="str">
        <f t="shared" si="12"/>
        <v/>
      </c>
      <c r="AR30" s="127" t="str">
        <f t="shared" si="12"/>
        <v/>
      </c>
      <c r="AS30" s="127" t="str">
        <f t="shared" si="12"/>
        <v/>
      </c>
      <c r="AT30" s="127" t="str">
        <f t="shared" si="12"/>
        <v/>
      </c>
      <c r="AU30" s="127" t="str">
        <f t="shared" si="12"/>
        <v/>
      </c>
      <c r="AV30" s="127" t="str">
        <f t="shared" si="12"/>
        <v/>
      </c>
      <c r="AW30" s="127" t="str">
        <f t="shared" si="12"/>
        <v/>
      </c>
      <c r="AX30" s="127" t="str">
        <f t="shared" si="12"/>
        <v/>
      </c>
      <c r="AY30" s="127" t="str">
        <f t="shared" si="12"/>
        <v/>
      </c>
      <c r="AZ30" s="127" t="str">
        <f t="shared" si="12"/>
        <v/>
      </c>
      <c r="BA30" s="127" t="str">
        <f t="shared" si="12"/>
        <v/>
      </c>
      <c r="BB30" s="127" t="str">
        <f t="shared" si="12"/>
        <v/>
      </c>
      <c r="BC30" s="127" t="str">
        <f t="shared" si="12"/>
        <v/>
      </c>
      <c r="BD30" s="127" t="str">
        <f t="shared" si="12"/>
        <v/>
      </c>
      <c r="BE30" s="127" t="str">
        <f t="shared" si="12"/>
        <v/>
      </c>
      <c r="BF30" s="127" t="str">
        <f t="shared" si="12"/>
        <v/>
      </c>
      <c r="BG30" s="127" t="str">
        <f t="shared" si="11"/>
        <v/>
      </c>
      <c r="BH30" s="127" t="str">
        <f t="shared" si="11"/>
        <v/>
      </c>
      <c r="BI30" s="127" t="str">
        <f t="shared" si="11"/>
        <v/>
      </c>
      <c r="BJ30" s="127" t="str">
        <f t="shared" si="11"/>
        <v/>
      </c>
      <c r="BK30" s="127" t="str">
        <f t="shared" si="11"/>
        <v/>
      </c>
      <c r="BL30" s="127" t="str">
        <f t="shared" si="11"/>
        <v/>
      </c>
      <c r="BM30" s="127" t="str">
        <f t="shared" si="11"/>
        <v/>
      </c>
      <c r="BN30" s="127" t="str">
        <f t="shared" si="11"/>
        <v/>
      </c>
      <c r="BO30" s="127" t="str">
        <f t="shared" si="11"/>
        <v/>
      </c>
      <c r="BP30" s="127" t="str">
        <f t="shared" si="11"/>
        <v/>
      </c>
      <c r="BQ30" s="127" t="str">
        <f t="shared" si="11"/>
        <v/>
      </c>
      <c r="BR30" s="127" t="str">
        <f t="shared" si="11"/>
        <v/>
      </c>
      <c r="BS30" s="127" t="str">
        <f t="shared" si="11"/>
        <v/>
      </c>
      <c r="BT30" s="127" t="str">
        <f t="shared" si="14"/>
        <v/>
      </c>
      <c r="BU30" s="127" t="str">
        <f t="shared" si="14"/>
        <v/>
      </c>
      <c r="BV30" s="127" t="str">
        <f t="shared" si="14"/>
        <v/>
      </c>
      <c r="BW30" s="127" t="str">
        <f t="shared" si="14"/>
        <v/>
      </c>
      <c r="BX30" s="127" t="str">
        <f t="shared" si="14"/>
        <v/>
      </c>
      <c r="BY30" s="127" t="str">
        <f t="shared" si="14"/>
        <v/>
      </c>
      <c r="BZ30" s="127" t="str">
        <f t="shared" si="14"/>
        <v/>
      </c>
      <c r="CA30" s="127" t="str">
        <f t="shared" si="14"/>
        <v/>
      </c>
      <c r="CB30" s="127" t="str">
        <f t="shared" si="14"/>
        <v/>
      </c>
      <c r="CC30" s="127" t="str">
        <f t="shared" si="14"/>
        <v/>
      </c>
      <c r="CD30" s="127" t="str">
        <f t="shared" si="14"/>
        <v/>
      </c>
      <c r="CE30" s="127" t="str">
        <f t="shared" si="14"/>
        <v/>
      </c>
    </row>
    <row r="31" spans="1:83" ht="12.6" customHeight="1" x14ac:dyDescent="0.2">
      <c r="A31" s="106">
        <f>SHIPMENTS!A37</f>
        <v>9064</v>
      </c>
      <c r="B31" s="106" t="str">
        <f>SHIPMENTS!B37</f>
        <v>15900- Quezon City | Hans Jason Tan</v>
      </c>
      <c r="C31" s="132">
        <f>SHIPMENTS!F37</f>
        <v>6.4999999999999997E-3</v>
      </c>
      <c r="D31" s="107" t="str">
        <f>IF((SHIPMENTS!I37)=0,"",SHIPMENTS!I37)</f>
        <v/>
      </c>
      <c r="E31" s="176">
        <f>IF((SHIPMENTS!G37)=0,"",SHIPMENTS!G37)</f>
        <v>46323</v>
      </c>
      <c r="F31" s="97">
        <f>VLOOKUP(A31,Items!$A$5:$J$1000,7,0)</f>
        <v>0</v>
      </c>
      <c r="G31" s="98">
        <f>VLOOKUP(A31,load!$A$4:$U$5001,7,0)</f>
        <v>0</v>
      </c>
      <c r="H31" s="97">
        <f>Manhours!$C$23</f>
        <v>32</v>
      </c>
      <c r="I31" s="98">
        <f t="shared" si="6"/>
        <v>291.2</v>
      </c>
      <c r="J31" s="99">
        <f t="shared" si="0"/>
        <v>0</v>
      </c>
      <c r="K31" s="99">
        <f t="shared" si="7"/>
        <v>0</v>
      </c>
      <c r="L31" s="98">
        <f t="shared" si="1"/>
        <v>0</v>
      </c>
      <c r="M31" s="98">
        <f t="shared" si="2"/>
        <v>0</v>
      </c>
      <c r="N31" s="181">
        <f t="shared" si="9"/>
        <v>46322.795014491749</v>
      </c>
      <c r="O31" s="181">
        <f t="shared" si="8"/>
        <v>46322.795014491749</v>
      </c>
      <c r="P31" s="101">
        <f>VLOOKUP(A31,SHIPMENTS!$A$7:$N$171,12,0)</f>
        <v>0</v>
      </c>
      <c r="Q31" s="101"/>
      <c r="R31" s="127" t="str">
        <f t="shared" si="13"/>
        <v/>
      </c>
      <c r="S31" s="127" t="str">
        <f t="shared" si="13"/>
        <v/>
      </c>
      <c r="T31" s="127" t="str">
        <f t="shared" si="13"/>
        <v/>
      </c>
      <c r="U31" s="127" t="str">
        <f t="shared" si="13"/>
        <v/>
      </c>
      <c r="V31" s="127" t="str">
        <f t="shared" si="13"/>
        <v/>
      </c>
      <c r="W31" s="127" t="str">
        <f t="shared" si="13"/>
        <v/>
      </c>
      <c r="X31" s="127" t="str">
        <f t="shared" si="13"/>
        <v/>
      </c>
      <c r="Y31" s="127" t="str">
        <f t="shared" si="13"/>
        <v/>
      </c>
      <c r="Z31" s="127" t="str">
        <f t="shared" si="13"/>
        <v>▲</v>
      </c>
      <c r="AA31" s="127" t="str">
        <f t="shared" si="13"/>
        <v/>
      </c>
      <c r="AB31" s="127" t="str">
        <f t="shared" si="13"/>
        <v/>
      </c>
      <c r="AC31" s="127" t="str">
        <f t="shared" si="13"/>
        <v/>
      </c>
      <c r="AD31" s="127" t="str">
        <f t="shared" si="13"/>
        <v/>
      </c>
      <c r="AE31" s="127" t="str">
        <f t="shared" si="13"/>
        <v/>
      </c>
      <c r="AF31" s="127" t="str">
        <f t="shared" si="13"/>
        <v/>
      </c>
      <c r="AG31" s="127" t="str">
        <f t="shared" si="13"/>
        <v/>
      </c>
      <c r="AH31" s="127" t="str">
        <f t="shared" si="12"/>
        <v/>
      </c>
      <c r="AI31" s="127" t="str">
        <f t="shared" si="12"/>
        <v/>
      </c>
      <c r="AJ31" s="127" t="str">
        <f t="shared" si="12"/>
        <v/>
      </c>
      <c r="AK31" s="127" t="str">
        <f t="shared" si="12"/>
        <v/>
      </c>
      <c r="AL31" s="127" t="str">
        <f t="shared" si="12"/>
        <v/>
      </c>
      <c r="AM31" s="127" t="str">
        <f t="shared" si="12"/>
        <v/>
      </c>
      <c r="AN31" s="127" t="str">
        <f t="shared" si="12"/>
        <v/>
      </c>
      <c r="AO31" s="127" t="str">
        <f t="shared" si="12"/>
        <v/>
      </c>
      <c r="AP31" s="127" t="str">
        <f t="shared" si="12"/>
        <v/>
      </c>
      <c r="AQ31" s="127" t="str">
        <f t="shared" si="12"/>
        <v/>
      </c>
      <c r="AR31" s="127" t="str">
        <f t="shared" si="12"/>
        <v/>
      </c>
      <c r="AS31" s="127" t="str">
        <f t="shared" si="12"/>
        <v/>
      </c>
      <c r="AT31" s="127" t="str">
        <f t="shared" si="12"/>
        <v/>
      </c>
      <c r="AU31" s="127" t="str">
        <f t="shared" si="12"/>
        <v/>
      </c>
      <c r="AV31" s="127" t="str">
        <f t="shared" si="12"/>
        <v/>
      </c>
      <c r="AW31" s="127" t="str">
        <f t="shared" si="12"/>
        <v/>
      </c>
      <c r="AX31" s="127" t="str">
        <f t="shared" si="12"/>
        <v/>
      </c>
      <c r="AY31" s="127" t="str">
        <f t="shared" si="12"/>
        <v/>
      </c>
      <c r="AZ31" s="127" t="str">
        <f t="shared" si="12"/>
        <v/>
      </c>
      <c r="BA31" s="127" t="str">
        <f t="shared" si="12"/>
        <v/>
      </c>
      <c r="BB31" s="127" t="str">
        <f t="shared" si="12"/>
        <v/>
      </c>
      <c r="BC31" s="127" t="str">
        <f t="shared" si="12"/>
        <v/>
      </c>
      <c r="BD31" s="127" t="str">
        <f t="shared" si="12"/>
        <v/>
      </c>
      <c r="BE31" s="127" t="str">
        <f t="shared" si="12"/>
        <v/>
      </c>
      <c r="BF31" s="127" t="str">
        <f t="shared" si="12"/>
        <v/>
      </c>
      <c r="BG31" s="127" t="str">
        <f t="shared" si="12"/>
        <v/>
      </c>
      <c r="BH31" s="127" t="str">
        <f t="shared" si="12"/>
        <v/>
      </c>
      <c r="BI31" s="127" t="str">
        <f t="shared" si="12"/>
        <v/>
      </c>
      <c r="BJ31" s="127" t="str">
        <f t="shared" si="12"/>
        <v/>
      </c>
      <c r="BK31" s="127" t="str">
        <f t="shared" si="12"/>
        <v/>
      </c>
      <c r="BL31" s="127" t="str">
        <f t="shared" si="12"/>
        <v/>
      </c>
      <c r="BM31" s="127" t="str">
        <f t="shared" si="12"/>
        <v/>
      </c>
      <c r="BN31" s="127" t="str">
        <f t="shared" si="12"/>
        <v/>
      </c>
      <c r="BO31" s="127" t="str">
        <f t="shared" si="12"/>
        <v/>
      </c>
      <c r="BP31" s="127" t="str">
        <f t="shared" si="12"/>
        <v/>
      </c>
      <c r="BQ31" s="127" t="str">
        <f t="shared" si="12"/>
        <v/>
      </c>
      <c r="BR31" s="127" t="str">
        <f t="shared" si="12"/>
        <v/>
      </c>
      <c r="BS31" s="127" t="str">
        <f t="shared" si="12"/>
        <v/>
      </c>
      <c r="BT31" s="127" t="str">
        <f t="shared" si="14"/>
        <v/>
      </c>
      <c r="BU31" s="127" t="str">
        <f t="shared" si="14"/>
        <v/>
      </c>
      <c r="BV31" s="127" t="str">
        <f t="shared" si="14"/>
        <v/>
      </c>
      <c r="BW31" s="127" t="str">
        <f t="shared" si="14"/>
        <v/>
      </c>
      <c r="BX31" s="127" t="str">
        <f t="shared" si="14"/>
        <v/>
      </c>
      <c r="BY31" s="127" t="str">
        <f t="shared" si="14"/>
        <v/>
      </c>
      <c r="BZ31" s="127" t="str">
        <f t="shared" si="14"/>
        <v/>
      </c>
      <c r="CA31" s="127" t="str">
        <f t="shared" si="14"/>
        <v/>
      </c>
      <c r="CB31" s="127" t="str">
        <f t="shared" si="14"/>
        <v/>
      </c>
      <c r="CC31" s="127" t="str">
        <f t="shared" si="14"/>
        <v/>
      </c>
      <c r="CD31" s="127" t="str">
        <f t="shared" si="14"/>
        <v/>
      </c>
      <c r="CE31" s="127" t="str">
        <f t="shared" si="14"/>
        <v/>
      </c>
    </row>
    <row r="32" spans="1:83" ht="12.6" hidden="1" customHeight="1" x14ac:dyDescent="0.2">
      <c r="A32" s="106">
        <f>SHIPMENTS!A38</f>
        <v>9065</v>
      </c>
      <c r="B32" s="106" t="str">
        <f>SHIPMENTS!B38</f>
        <v>15900- Cavite | Kristine Austria</v>
      </c>
      <c r="C32" s="132">
        <f>SHIPMENTS!F38</f>
        <v>0</v>
      </c>
      <c r="D32" s="107" t="str">
        <f>IF((SHIPMENTS!I38)=0,"",SHIPMENTS!I38)</f>
        <v/>
      </c>
      <c r="E32" s="176">
        <f>IF((SHIPMENTS!G38)=0,"",SHIPMENTS!G38)</f>
        <v>46323</v>
      </c>
      <c r="F32" s="97">
        <f>VLOOKUP(A32,Items!$A$5:$J$1000,7,0)</f>
        <v>0</v>
      </c>
      <c r="G32" s="98">
        <f>VLOOKUP(A32,load!$A$4:$U$5001,7,0)</f>
        <v>0</v>
      </c>
      <c r="H32" s="97">
        <f>Manhours!$C$23</f>
        <v>32</v>
      </c>
      <c r="I32" s="98">
        <f t="shared" si="6"/>
        <v>291.2</v>
      </c>
      <c r="J32" s="99">
        <f t="shared" si="0"/>
        <v>0</v>
      </c>
      <c r="K32" s="99">
        <f t="shared" si="7"/>
        <v>0</v>
      </c>
      <c r="L32" s="98">
        <f t="shared" si="1"/>
        <v>0</v>
      </c>
      <c r="M32" s="98">
        <f t="shared" si="2"/>
        <v>0</v>
      </c>
      <c r="N32" s="181">
        <f t="shared" si="9"/>
        <v>46322.795014491749</v>
      </c>
      <c r="O32" s="181">
        <f t="shared" si="8"/>
        <v>46322.795014491749</v>
      </c>
      <c r="P32" s="101" t="str">
        <f>VLOOKUP(A32,SHIPMENTS!$A$7:$N$171,12,0)</f>
        <v>n/a</v>
      </c>
      <c r="Q32" s="101"/>
      <c r="R32" s="127" t="str">
        <f t="shared" si="13"/>
        <v/>
      </c>
      <c r="S32" s="127" t="str">
        <f t="shared" si="13"/>
        <v/>
      </c>
      <c r="T32" s="127" t="str">
        <f t="shared" si="13"/>
        <v/>
      </c>
      <c r="U32" s="127" t="str">
        <f t="shared" si="13"/>
        <v/>
      </c>
      <c r="V32" s="127" t="str">
        <f t="shared" si="13"/>
        <v/>
      </c>
      <c r="W32" s="127" t="str">
        <f t="shared" si="13"/>
        <v/>
      </c>
      <c r="X32" s="127" t="str">
        <f t="shared" si="13"/>
        <v/>
      </c>
      <c r="Y32" s="127" t="str">
        <f t="shared" si="13"/>
        <v/>
      </c>
      <c r="Z32" s="127" t="str">
        <f t="shared" si="13"/>
        <v>▲</v>
      </c>
      <c r="AA32" s="127" t="str">
        <f t="shared" si="13"/>
        <v/>
      </c>
      <c r="AB32" s="127" t="str">
        <f t="shared" si="13"/>
        <v/>
      </c>
      <c r="AC32" s="127" t="str">
        <f t="shared" si="13"/>
        <v/>
      </c>
      <c r="AD32" s="127" t="str">
        <f t="shared" si="13"/>
        <v/>
      </c>
      <c r="AE32" s="127" t="str">
        <f t="shared" si="13"/>
        <v/>
      </c>
      <c r="AF32" s="127" t="str">
        <f t="shared" si="13"/>
        <v/>
      </c>
      <c r="AG32" s="127" t="str">
        <f t="shared" si="13"/>
        <v/>
      </c>
      <c r="AH32" s="127" t="str">
        <f t="shared" si="12"/>
        <v/>
      </c>
      <c r="AI32" s="127" t="str">
        <f t="shared" si="12"/>
        <v/>
      </c>
      <c r="AJ32" s="127" t="str">
        <f t="shared" si="12"/>
        <v/>
      </c>
      <c r="AK32" s="127" t="str">
        <f t="shared" si="12"/>
        <v/>
      </c>
      <c r="AL32" s="127" t="str">
        <f t="shared" si="12"/>
        <v/>
      </c>
      <c r="AM32" s="127" t="str">
        <f t="shared" si="12"/>
        <v/>
      </c>
      <c r="AN32" s="127" t="str">
        <f t="shared" si="12"/>
        <v/>
      </c>
      <c r="AO32" s="127" t="str">
        <f t="shared" si="12"/>
        <v/>
      </c>
      <c r="AP32" s="127" t="str">
        <f t="shared" si="12"/>
        <v/>
      </c>
      <c r="AQ32" s="127" t="str">
        <f t="shared" si="12"/>
        <v/>
      </c>
      <c r="AR32" s="127" t="str">
        <f t="shared" si="12"/>
        <v/>
      </c>
      <c r="AS32" s="127" t="str">
        <f t="shared" si="12"/>
        <v/>
      </c>
      <c r="AT32" s="127" t="str">
        <f t="shared" si="12"/>
        <v/>
      </c>
      <c r="AU32" s="127" t="str">
        <f t="shared" si="12"/>
        <v/>
      </c>
      <c r="AV32" s="127" t="str">
        <f t="shared" si="12"/>
        <v/>
      </c>
      <c r="AW32" s="127" t="str">
        <f t="shared" si="12"/>
        <v/>
      </c>
      <c r="AX32" s="127" t="str">
        <f t="shared" ref="AX32:BS43" si="15">IF($E32=AX$3,"▲","")</f>
        <v/>
      </c>
      <c r="AY32" s="127" t="str">
        <f t="shared" si="15"/>
        <v/>
      </c>
      <c r="AZ32" s="127" t="str">
        <f t="shared" si="15"/>
        <v/>
      </c>
      <c r="BA32" s="127" t="str">
        <f t="shared" si="15"/>
        <v/>
      </c>
      <c r="BB32" s="127" t="str">
        <f t="shared" si="15"/>
        <v/>
      </c>
      <c r="BC32" s="127" t="str">
        <f t="shared" si="15"/>
        <v/>
      </c>
      <c r="BD32" s="127" t="str">
        <f t="shared" si="15"/>
        <v/>
      </c>
      <c r="BE32" s="127" t="str">
        <f t="shared" si="15"/>
        <v/>
      </c>
      <c r="BF32" s="127" t="str">
        <f t="shared" si="15"/>
        <v/>
      </c>
      <c r="BG32" s="127" t="str">
        <f t="shared" si="15"/>
        <v/>
      </c>
      <c r="BH32" s="127" t="str">
        <f t="shared" si="15"/>
        <v/>
      </c>
      <c r="BI32" s="127" t="str">
        <f t="shared" si="15"/>
        <v/>
      </c>
      <c r="BJ32" s="127" t="str">
        <f t="shared" si="15"/>
        <v/>
      </c>
      <c r="BK32" s="127" t="str">
        <f t="shared" si="15"/>
        <v/>
      </c>
      <c r="BL32" s="127" t="str">
        <f t="shared" si="15"/>
        <v/>
      </c>
      <c r="BM32" s="127" t="str">
        <f t="shared" si="15"/>
        <v/>
      </c>
      <c r="BN32" s="127" t="str">
        <f t="shared" si="15"/>
        <v/>
      </c>
      <c r="BO32" s="127" t="str">
        <f t="shared" si="15"/>
        <v/>
      </c>
      <c r="BP32" s="127" t="str">
        <f t="shared" si="15"/>
        <v/>
      </c>
      <c r="BQ32" s="127" t="str">
        <f t="shared" si="15"/>
        <v/>
      </c>
      <c r="BR32" s="127" t="str">
        <f t="shared" si="15"/>
        <v/>
      </c>
      <c r="BS32" s="127" t="str">
        <f t="shared" si="15"/>
        <v/>
      </c>
      <c r="BT32" s="127" t="str">
        <f t="shared" si="14"/>
        <v/>
      </c>
      <c r="BU32" s="127" t="str">
        <f t="shared" si="14"/>
        <v/>
      </c>
      <c r="BV32" s="127" t="str">
        <f t="shared" si="14"/>
        <v/>
      </c>
      <c r="BW32" s="127" t="str">
        <f t="shared" si="14"/>
        <v/>
      </c>
      <c r="BX32" s="127" t="str">
        <f t="shared" si="14"/>
        <v/>
      </c>
      <c r="BY32" s="127" t="str">
        <f t="shared" si="14"/>
        <v/>
      </c>
      <c r="BZ32" s="127" t="str">
        <f t="shared" si="14"/>
        <v/>
      </c>
      <c r="CA32" s="127" t="str">
        <f t="shared" si="14"/>
        <v/>
      </c>
      <c r="CB32" s="127" t="str">
        <f t="shared" si="14"/>
        <v/>
      </c>
      <c r="CC32" s="127" t="str">
        <f t="shared" si="14"/>
        <v/>
      </c>
      <c r="CD32" s="127" t="str">
        <f t="shared" si="14"/>
        <v/>
      </c>
      <c r="CE32" s="127" t="str">
        <f t="shared" si="14"/>
        <v/>
      </c>
    </row>
    <row r="33" spans="1:83" ht="12.6" hidden="1" customHeight="1" x14ac:dyDescent="0.2">
      <c r="A33" s="106">
        <f>SHIPMENTS!A39</f>
        <v>9303</v>
      </c>
      <c r="B33" s="106" t="str">
        <f>SHIPMENTS!B39</f>
        <v>15900- Manila Office Stocking</v>
      </c>
      <c r="C33" s="132">
        <f>SHIPMENTS!F39</f>
        <v>0.63700000000000001</v>
      </c>
      <c r="D33" s="107" t="str">
        <f>IF((SHIPMENTS!I39)=0,"",SHIPMENTS!I39)</f>
        <v/>
      </c>
      <c r="E33" s="176">
        <f>IF((SHIPMENTS!G39)=0,"",SHIPMENTS!G39)</f>
        <v>46323</v>
      </c>
      <c r="F33" s="97">
        <f>VLOOKUP(A33,Items!$A$5:$J$1000,7,0)</f>
        <v>0</v>
      </c>
      <c r="G33" s="98">
        <f>VLOOKUP(A33,load!$A$4:$U$5001,7,0)</f>
        <v>0</v>
      </c>
      <c r="H33" s="97">
        <f>Manhours!$C$23</f>
        <v>32</v>
      </c>
      <c r="I33" s="98">
        <f t="shared" ref="I33:I45" si="16">+H33*$I$4</f>
        <v>291.2</v>
      </c>
      <c r="J33" s="99">
        <f t="shared" ref="J33:J45" si="17">G33/I33</f>
        <v>0</v>
      </c>
      <c r="K33" s="99">
        <f t="shared" ref="K33:K45" si="18">+J33*$I$4</f>
        <v>0</v>
      </c>
      <c r="L33" s="98">
        <f t="shared" ref="L33:L45" si="19">IFERROR(J33-(J33*P33),0)</f>
        <v>0</v>
      </c>
      <c r="M33" s="98">
        <f t="shared" ref="M33:M45" si="20">IFERROR(K33-(K33*P33),0)</f>
        <v>0</v>
      </c>
      <c r="N33" s="181">
        <f t="shared" ref="N33:N45" si="21">O32</f>
        <v>46322.795014491749</v>
      </c>
      <c r="O33" s="181">
        <f t="shared" ref="O33:O45" si="22">N33+L33</f>
        <v>46322.795014491749</v>
      </c>
      <c r="P33" s="101" t="str">
        <f>VLOOKUP(A33,SHIPMENTS!$A$7:$N$171,12,0)</f>
        <v>n/a</v>
      </c>
      <c r="Q33" s="101"/>
      <c r="R33" s="127" t="str">
        <f t="shared" si="13"/>
        <v/>
      </c>
      <c r="S33" s="127" t="str">
        <f t="shared" si="13"/>
        <v/>
      </c>
      <c r="T33" s="127" t="str">
        <f t="shared" si="13"/>
        <v/>
      </c>
      <c r="U33" s="127" t="str">
        <f t="shared" si="13"/>
        <v/>
      </c>
      <c r="V33" s="127" t="str">
        <f t="shared" si="13"/>
        <v/>
      </c>
      <c r="W33" s="127" t="str">
        <f t="shared" si="13"/>
        <v/>
      </c>
      <c r="X33" s="127" t="str">
        <f t="shared" si="13"/>
        <v/>
      </c>
      <c r="Y33" s="127" t="str">
        <f t="shared" si="13"/>
        <v/>
      </c>
      <c r="Z33" s="127" t="str">
        <f t="shared" si="13"/>
        <v>▲</v>
      </c>
      <c r="AA33" s="127" t="str">
        <f t="shared" si="13"/>
        <v/>
      </c>
      <c r="AB33" s="127" t="str">
        <f t="shared" si="13"/>
        <v/>
      </c>
      <c r="AC33" s="127" t="str">
        <f t="shared" si="13"/>
        <v/>
      </c>
      <c r="AD33" s="127" t="str">
        <f t="shared" si="13"/>
        <v/>
      </c>
      <c r="AE33" s="127" t="str">
        <f t="shared" si="13"/>
        <v/>
      </c>
      <c r="AF33" s="127" t="str">
        <f t="shared" si="13"/>
        <v/>
      </c>
      <c r="AG33" s="127" t="str">
        <f t="shared" si="13"/>
        <v/>
      </c>
      <c r="AH33" s="127" t="str">
        <f t="shared" ref="AH33:AW48" si="23">IF($E33=AH$3,"▲","")</f>
        <v/>
      </c>
      <c r="AI33" s="127" t="str">
        <f t="shared" si="23"/>
        <v/>
      </c>
      <c r="AJ33" s="127" t="str">
        <f t="shared" si="23"/>
        <v/>
      </c>
      <c r="AK33" s="127" t="str">
        <f t="shared" si="23"/>
        <v/>
      </c>
      <c r="AL33" s="127" t="str">
        <f t="shared" si="23"/>
        <v/>
      </c>
      <c r="AM33" s="127" t="str">
        <f t="shared" si="23"/>
        <v/>
      </c>
      <c r="AN33" s="127" t="str">
        <f t="shared" si="23"/>
        <v/>
      </c>
      <c r="AO33" s="127" t="str">
        <f t="shared" si="23"/>
        <v/>
      </c>
      <c r="AP33" s="127" t="str">
        <f t="shared" si="23"/>
        <v/>
      </c>
      <c r="AQ33" s="127" t="str">
        <f t="shared" si="23"/>
        <v/>
      </c>
      <c r="AR33" s="127" t="str">
        <f t="shared" si="23"/>
        <v/>
      </c>
      <c r="AS33" s="127" t="str">
        <f t="shared" si="23"/>
        <v/>
      </c>
      <c r="AT33" s="127" t="str">
        <f t="shared" si="23"/>
        <v/>
      </c>
      <c r="AU33" s="127" t="str">
        <f t="shared" si="23"/>
        <v/>
      </c>
      <c r="AV33" s="127" t="str">
        <f t="shared" si="23"/>
        <v/>
      </c>
      <c r="AW33" s="127" t="str">
        <f t="shared" si="23"/>
        <v/>
      </c>
      <c r="AX33" s="127" t="str">
        <f t="shared" si="15"/>
        <v/>
      </c>
      <c r="AY33" s="127" t="str">
        <f t="shared" si="15"/>
        <v/>
      </c>
      <c r="AZ33" s="127" t="str">
        <f t="shared" si="15"/>
        <v/>
      </c>
      <c r="BA33" s="127" t="str">
        <f t="shared" si="15"/>
        <v/>
      </c>
      <c r="BB33" s="127" t="str">
        <f t="shared" si="15"/>
        <v/>
      </c>
      <c r="BC33" s="127" t="str">
        <f t="shared" si="15"/>
        <v/>
      </c>
      <c r="BD33" s="127" t="str">
        <f t="shared" si="15"/>
        <v/>
      </c>
      <c r="BE33" s="127" t="str">
        <f t="shared" si="15"/>
        <v/>
      </c>
      <c r="BF33" s="127" t="str">
        <f t="shared" si="15"/>
        <v/>
      </c>
      <c r="BG33" s="127" t="str">
        <f t="shared" si="15"/>
        <v/>
      </c>
      <c r="BH33" s="127" t="str">
        <f t="shared" si="15"/>
        <v/>
      </c>
      <c r="BI33" s="127" t="str">
        <f t="shared" si="15"/>
        <v/>
      </c>
      <c r="BJ33" s="127" t="str">
        <f t="shared" si="15"/>
        <v/>
      </c>
      <c r="BK33" s="127" t="str">
        <f t="shared" si="15"/>
        <v/>
      </c>
      <c r="BL33" s="127" t="str">
        <f t="shared" si="15"/>
        <v/>
      </c>
      <c r="BM33" s="127" t="str">
        <f t="shared" si="15"/>
        <v/>
      </c>
      <c r="BN33" s="127" t="str">
        <f t="shared" si="15"/>
        <v/>
      </c>
      <c r="BO33" s="127" t="str">
        <f t="shared" si="15"/>
        <v/>
      </c>
      <c r="BP33" s="127" t="str">
        <f t="shared" si="15"/>
        <v/>
      </c>
      <c r="BQ33" s="127" t="str">
        <f t="shared" si="15"/>
        <v/>
      </c>
      <c r="BR33" s="127" t="str">
        <f t="shared" si="15"/>
        <v/>
      </c>
      <c r="BS33" s="127" t="str">
        <f t="shared" si="15"/>
        <v/>
      </c>
      <c r="BT33" s="127" t="str">
        <f t="shared" si="14"/>
        <v/>
      </c>
      <c r="BU33" s="127" t="str">
        <f t="shared" si="14"/>
        <v/>
      </c>
      <c r="BV33" s="127" t="str">
        <f t="shared" si="14"/>
        <v/>
      </c>
      <c r="BW33" s="127" t="str">
        <f t="shared" si="14"/>
        <v/>
      </c>
      <c r="BX33" s="127" t="str">
        <f t="shared" si="14"/>
        <v/>
      </c>
      <c r="BY33" s="127" t="str">
        <f t="shared" si="14"/>
        <v/>
      </c>
      <c r="BZ33" s="127" t="str">
        <f t="shared" si="14"/>
        <v/>
      </c>
      <c r="CA33" s="127" t="str">
        <f t="shared" si="14"/>
        <v/>
      </c>
      <c r="CB33" s="127" t="str">
        <f t="shared" si="14"/>
        <v/>
      </c>
      <c r="CC33" s="127" t="str">
        <f t="shared" si="14"/>
        <v/>
      </c>
      <c r="CD33" s="127" t="str">
        <f t="shared" si="14"/>
        <v/>
      </c>
      <c r="CE33" s="127" t="str">
        <f t="shared" si="14"/>
        <v/>
      </c>
    </row>
    <row r="34" spans="1:83" ht="12.6" customHeight="1" x14ac:dyDescent="0.2">
      <c r="A34" s="106">
        <f>SHIPMENTS!A40</f>
        <v>9204</v>
      </c>
      <c r="B34" s="106" t="str">
        <f>SHIPMENTS!B40</f>
        <v>2300-HONGKONG</v>
      </c>
      <c r="C34" s="132">
        <f>SHIPMENTS!F40</f>
        <v>3.1</v>
      </c>
      <c r="D34" s="107" t="str">
        <f>IF((SHIPMENTS!I40)=0,"",SHIPMENTS!I40)</f>
        <v/>
      </c>
      <c r="E34" s="176">
        <f>IF((SHIPMENTS!G40)=0,"",SHIPMENTS!G40)</f>
        <v>46324</v>
      </c>
      <c r="F34" s="97">
        <f>VLOOKUP(A34,Items!$A$5:$J$1000,7,0)</f>
        <v>200</v>
      </c>
      <c r="G34" s="98">
        <f>VLOOKUP(A34,load!$A$4:$U$5001,7,0)</f>
        <v>197.63333333333333</v>
      </c>
      <c r="H34" s="97">
        <f>Manhours!$C$23</f>
        <v>32</v>
      </c>
      <c r="I34" s="98">
        <f t="shared" si="16"/>
        <v>291.2</v>
      </c>
      <c r="J34" s="99">
        <f t="shared" si="17"/>
        <v>0.67868589743589747</v>
      </c>
      <c r="K34" s="99">
        <f t="shared" si="18"/>
        <v>6.1760416666666664</v>
      </c>
      <c r="L34" s="98">
        <f t="shared" si="19"/>
        <v>0.67868589743589747</v>
      </c>
      <c r="M34" s="98">
        <f t="shared" si="20"/>
        <v>6.1760416666666664</v>
      </c>
      <c r="N34" s="181">
        <f t="shared" si="21"/>
        <v>46322.795014491749</v>
      </c>
      <c r="O34" s="181">
        <f t="shared" si="22"/>
        <v>46323.473700389186</v>
      </c>
      <c r="P34" s="101">
        <f>VLOOKUP(A34,SHIPMENTS!$A$7:$N$171,12,0)</f>
        <v>0</v>
      </c>
      <c r="Q34" s="101"/>
      <c r="R34" s="127" t="str">
        <f t="shared" si="13"/>
        <v/>
      </c>
      <c r="S34" s="127" t="str">
        <f t="shared" si="13"/>
        <v/>
      </c>
      <c r="T34" s="127" t="str">
        <f t="shared" si="13"/>
        <v/>
      </c>
      <c r="U34" s="127" t="str">
        <f t="shared" si="13"/>
        <v/>
      </c>
      <c r="V34" s="127" t="str">
        <f t="shared" si="13"/>
        <v/>
      </c>
      <c r="W34" s="127" t="str">
        <f t="shared" si="13"/>
        <v/>
      </c>
      <c r="X34" s="127" t="str">
        <f t="shared" si="13"/>
        <v/>
      </c>
      <c r="Y34" s="127" t="str">
        <f t="shared" si="13"/>
        <v/>
      </c>
      <c r="Z34" s="127" t="str">
        <f t="shared" si="13"/>
        <v/>
      </c>
      <c r="AA34" s="127" t="str">
        <f t="shared" si="13"/>
        <v>▲</v>
      </c>
      <c r="AB34" s="127" t="str">
        <f t="shared" si="13"/>
        <v/>
      </c>
      <c r="AC34" s="127" t="str">
        <f t="shared" si="13"/>
        <v/>
      </c>
      <c r="AD34" s="127" t="str">
        <f t="shared" si="13"/>
        <v/>
      </c>
      <c r="AE34" s="127" t="str">
        <f t="shared" si="13"/>
        <v/>
      </c>
      <c r="AF34" s="127" t="str">
        <f t="shared" si="13"/>
        <v/>
      </c>
      <c r="AG34" s="127" t="str">
        <f t="shared" si="13"/>
        <v/>
      </c>
      <c r="AH34" s="127" t="str">
        <f t="shared" si="23"/>
        <v/>
      </c>
      <c r="AI34" s="127" t="str">
        <f t="shared" si="23"/>
        <v/>
      </c>
      <c r="AJ34" s="127" t="str">
        <f t="shared" si="23"/>
        <v/>
      </c>
      <c r="AK34" s="127" t="str">
        <f t="shared" si="23"/>
        <v/>
      </c>
      <c r="AL34" s="127" t="str">
        <f t="shared" si="23"/>
        <v/>
      </c>
      <c r="AM34" s="127" t="str">
        <f t="shared" si="23"/>
        <v/>
      </c>
      <c r="AN34" s="127" t="str">
        <f t="shared" si="23"/>
        <v/>
      </c>
      <c r="AO34" s="127" t="str">
        <f t="shared" si="23"/>
        <v/>
      </c>
      <c r="AP34" s="127" t="str">
        <f t="shared" si="23"/>
        <v/>
      </c>
      <c r="AQ34" s="127" t="str">
        <f t="shared" si="23"/>
        <v/>
      </c>
      <c r="AR34" s="127" t="str">
        <f t="shared" si="23"/>
        <v/>
      </c>
      <c r="AS34" s="127" t="str">
        <f t="shared" si="23"/>
        <v/>
      </c>
      <c r="AT34" s="127" t="str">
        <f t="shared" si="23"/>
        <v/>
      </c>
      <c r="AU34" s="127" t="str">
        <f t="shared" si="23"/>
        <v/>
      </c>
      <c r="AV34" s="127" t="str">
        <f t="shared" si="23"/>
        <v/>
      </c>
      <c r="AW34" s="127" t="str">
        <f t="shared" si="23"/>
        <v/>
      </c>
      <c r="AX34" s="127" t="str">
        <f t="shared" si="15"/>
        <v/>
      </c>
      <c r="AY34" s="127" t="str">
        <f t="shared" si="15"/>
        <v/>
      </c>
      <c r="AZ34" s="127" t="str">
        <f t="shared" si="15"/>
        <v/>
      </c>
      <c r="BA34" s="127" t="str">
        <f t="shared" si="15"/>
        <v/>
      </c>
      <c r="BB34" s="127" t="str">
        <f t="shared" si="15"/>
        <v/>
      </c>
      <c r="BC34" s="127" t="str">
        <f t="shared" si="15"/>
        <v/>
      </c>
      <c r="BD34" s="127" t="str">
        <f t="shared" si="15"/>
        <v/>
      </c>
      <c r="BE34" s="127" t="str">
        <f t="shared" si="15"/>
        <v/>
      </c>
      <c r="BF34" s="127" t="str">
        <f t="shared" si="15"/>
        <v/>
      </c>
      <c r="BG34" s="127" t="str">
        <f t="shared" si="15"/>
        <v/>
      </c>
      <c r="BH34" s="127" t="str">
        <f t="shared" si="15"/>
        <v/>
      </c>
      <c r="BI34" s="127" t="str">
        <f t="shared" si="15"/>
        <v/>
      </c>
      <c r="BJ34" s="127" t="str">
        <f t="shared" si="15"/>
        <v/>
      </c>
      <c r="BK34" s="127" t="str">
        <f t="shared" si="15"/>
        <v/>
      </c>
      <c r="BL34" s="127" t="str">
        <f t="shared" si="15"/>
        <v/>
      </c>
      <c r="BM34" s="127" t="str">
        <f t="shared" si="15"/>
        <v/>
      </c>
      <c r="BN34" s="127" t="str">
        <f t="shared" si="15"/>
        <v/>
      </c>
      <c r="BO34" s="127" t="str">
        <f t="shared" si="15"/>
        <v/>
      </c>
      <c r="BP34" s="127" t="str">
        <f t="shared" si="15"/>
        <v/>
      </c>
      <c r="BQ34" s="127" t="str">
        <f t="shared" si="15"/>
        <v/>
      </c>
      <c r="BR34" s="127" t="str">
        <f t="shared" si="15"/>
        <v/>
      </c>
      <c r="BS34" s="127" t="str">
        <f t="shared" si="15"/>
        <v/>
      </c>
      <c r="BT34" s="127" t="str">
        <f t="shared" si="14"/>
        <v/>
      </c>
      <c r="BU34" s="127" t="str">
        <f t="shared" si="14"/>
        <v/>
      </c>
      <c r="BV34" s="127" t="str">
        <f t="shared" si="14"/>
        <v/>
      </c>
      <c r="BW34" s="127" t="str">
        <f t="shared" si="14"/>
        <v/>
      </c>
      <c r="BX34" s="127" t="str">
        <f t="shared" si="14"/>
        <v/>
      </c>
      <c r="BY34" s="127" t="str">
        <f t="shared" si="14"/>
        <v/>
      </c>
      <c r="BZ34" s="127" t="str">
        <f t="shared" si="14"/>
        <v/>
      </c>
      <c r="CA34" s="127" t="str">
        <f t="shared" si="14"/>
        <v/>
      </c>
      <c r="CB34" s="127" t="str">
        <f t="shared" si="14"/>
        <v/>
      </c>
      <c r="CC34" s="127" t="str">
        <f t="shared" si="14"/>
        <v/>
      </c>
      <c r="CD34" s="127" t="str">
        <f t="shared" si="14"/>
        <v/>
      </c>
      <c r="CE34" s="127" t="str">
        <f t="shared" si="14"/>
        <v/>
      </c>
    </row>
    <row r="35" spans="1:83" ht="12.6" customHeight="1" x14ac:dyDescent="0.2">
      <c r="A35" s="106">
        <f>SHIPMENTS!A41</f>
        <v>9005</v>
      </c>
      <c r="B35" s="106" t="str">
        <f>SHIPMENTS!B41</f>
        <v>28100-AUSTRIA HARVIA</v>
      </c>
      <c r="C35" s="132">
        <f>SHIPMENTS!F41</f>
        <v>44.15</v>
      </c>
      <c r="D35" s="107" t="str">
        <f>IF((SHIPMENTS!I41)=0,"",SHIPMENTS!I41)</f>
        <v>1X20</v>
      </c>
      <c r="E35" s="176">
        <f>IF((SHIPMENTS!G41)=0,"",SHIPMENTS!G41)</f>
        <v>46325</v>
      </c>
      <c r="F35" s="97">
        <f>VLOOKUP(A35,Items!$A$5:$J$1000,7,0)</f>
        <v>8600</v>
      </c>
      <c r="G35" s="98">
        <f>VLOOKUP(A35,load!$A$4:$U$5001,7,0)</f>
        <v>1496.9653333333335</v>
      </c>
      <c r="H35" s="97">
        <f>Manhours!$C$23</f>
        <v>32</v>
      </c>
      <c r="I35" s="98">
        <f t="shared" si="16"/>
        <v>291.2</v>
      </c>
      <c r="J35" s="99">
        <f t="shared" si="17"/>
        <v>5.1406776556776563</v>
      </c>
      <c r="K35" s="99">
        <f t="shared" si="18"/>
        <v>46.780166666666673</v>
      </c>
      <c r="L35" s="98">
        <f t="shared" si="19"/>
        <v>5.1406776556776563</v>
      </c>
      <c r="M35" s="98">
        <f t="shared" si="20"/>
        <v>46.780166666666673</v>
      </c>
      <c r="N35" s="181">
        <f t="shared" si="21"/>
        <v>46323.473700389186</v>
      </c>
      <c r="O35" s="181">
        <f t="shared" si="22"/>
        <v>46328.614378044862</v>
      </c>
      <c r="P35" s="101">
        <f>VLOOKUP(A35,SHIPMENTS!$A$7:$N$171,12,0)</f>
        <v>0</v>
      </c>
      <c r="Q35" s="101"/>
      <c r="R35" s="127" t="str">
        <f t="shared" si="13"/>
        <v/>
      </c>
      <c r="S35" s="127" t="str">
        <f t="shared" si="13"/>
        <v/>
      </c>
      <c r="T35" s="127" t="str">
        <f t="shared" si="13"/>
        <v/>
      </c>
      <c r="U35" s="127" t="str">
        <f t="shared" si="13"/>
        <v/>
      </c>
      <c r="V35" s="127" t="str">
        <f t="shared" si="13"/>
        <v/>
      </c>
      <c r="W35" s="127" t="str">
        <f t="shared" si="13"/>
        <v/>
      </c>
      <c r="X35" s="127" t="str">
        <f t="shared" si="13"/>
        <v/>
      </c>
      <c r="Y35" s="127" t="str">
        <f t="shared" si="13"/>
        <v/>
      </c>
      <c r="Z35" s="127" t="str">
        <f t="shared" si="13"/>
        <v/>
      </c>
      <c r="AA35" s="127" t="str">
        <f t="shared" si="13"/>
        <v/>
      </c>
      <c r="AB35" s="127" t="str">
        <f t="shared" si="13"/>
        <v>▲</v>
      </c>
      <c r="AC35" s="127" t="str">
        <f t="shared" si="13"/>
        <v/>
      </c>
      <c r="AD35" s="127" t="str">
        <f t="shared" si="13"/>
        <v/>
      </c>
      <c r="AE35" s="127" t="str">
        <f t="shared" si="13"/>
        <v/>
      </c>
      <c r="AF35" s="127" t="str">
        <f t="shared" si="13"/>
        <v/>
      </c>
      <c r="AG35" s="127" t="str">
        <f t="shared" si="13"/>
        <v/>
      </c>
      <c r="AH35" s="127" t="str">
        <f t="shared" si="23"/>
        <v/>
      </c>
      <c r="AI35" s="127" t="str">
        <f t="shared" si="23"/>
        <v/>
      </c>
      <c r="AJ35" s="127" t="str">
        <f t="shared" si="23"/>
        <v/>
      </c>
      <c r="AK35" s="127" t="str">
        <f t="shared" si="23"/>
        <v/>
      </c>
      <c r="AL35" s="127" t="str">
        <f t="shared" si="23"/>
        <v/>
      </c>
      <c r="AM35" s="127" t="str">
        <f t="shared" si="23"/>
        <v/>
      </c>
      <c r="AN35" s="127" t="str">
        <f t="shared" si="23"/>
        <v/>
      </c>
      <c r="AO35" s="127" t="str">
        <f t="shared" si="23"/>
        <v/>
      </c>
      <c r="AP35" s="127" t="str">
        <f t="shared" si="23"/>
        <v/>
      </c>
      <c r="AQ35" s="127" t="str">
        <f t="shared" si="23"/>
        <v/>
      </c>
      <c r="AR35" s="127" t="str">
        <f t="shared" si="23"/>
        <v/>
      </c>
      <c r="AS35" s="127" t="str">
        <f t="shared" si="23"/>
        <v/>
      </c>
      <c r="AT35" s="127" t="str">
        <f t="shared" si="23"/>
        <v/>
      </c>
      <c r="AU35" s="127" t="str">
        <f t="shared" si="23"/>
        <v/>
      </c>
      <c r="AV35" s="127" t="str">
        <f t="shared" si="23"/>
        <v/>
      </c>
      <c r="AW35" s="127" t="str">
        <f t="shared" si="23"/>
        <v/>
      </c>
      <c r="AX35" s="127" t="str">
        <f t="shared" si="15"/>
        <v/>
      </c>
      <c r="AY35" s="127" t="str">
        <f t="shared" si="15"/>
        <v/>
      </c>
      <c r="AZ35" s="127" t="str">
        <f t="shared" si="15"/>
        <v/>
      </c>
      <c r="BA35" s="127" t="str">
        <f t="shared" si="15"/>
        <v/>
      </c>
      <c r="BB35" s="127" t="str">
        <f t="shared" si="15"/>
        <v/>
      </c>
      <c r="BC35" s="127" t="str">
        <f t="shared" si="15"/>
        <v/>
      </c>
      <c r="BD35" s="127" t="str">
        <f t="shared" si="15"/>
        <v/>
      </c>
      <c r="BE35" s="127" t="str">
        <f t="shared" si="15"/>
        <v/>
      </c>
      <c r="BF35" s="127" t="str">
        <f t="shared" si="15"/>
        <v/>
      </c>
      <c r="BG35" s="127" t="str">
        <f t="shared" si="15"/>
        <v/>
      </c>
      <c r="BH35" s="127" t="str">
        <f t="shared" si="15"/>
        <v/>
      </c>
      <c r="BI35" s="127" t="str">
        <f t="shared" si="15"/>
        <v/>
      </c>
      <c r="BJ35" s="127" t="str">
        <f t="shared" si="15"/>
        <v/>
      </c>
      <c r="BK35" s="127" t="str">
        <f t="shared" si="15"/>
        <v/>
      </c>
      <c r="BL35" s="127" t="str">
        <f t="shared" si="15"/>
        <v/>
      </c>
      <c r="BM35" s="127" t="str">
        <f t="shared" si="15"/>
        <v/>
      </c>
      <c r="BN35" s="127" t="str">
        <f t="shared" si="15"/>
        <v/>
      </c>
      <c r="BO35" s="127" t="str">
        <f t="shared" si="15"/>
        <v/>
      </c>
      <c r="BP35" s="127" t="str">
        <f t="shared" si="15"/>
        <v/>
      </c>
      <c r="BQ35" s="127" t="str">
        <f t="shared" si="15"/>
        <v/>
      </c>
      <c r="BR35" s="127" t="str">
        <f t="shared" si="15"/>
        <v/>
      </c>
      <c r="BS35" s="127" t="str">
        <f t="shared" si="15"/>
        <v/>
      </c>
      <c r="BT35" s="127" t="str">
        <f t="shared" si="14"/>
        <v/>
      </c>
      <c r="BU35" s="127" t="str">
        <f t="shared" si="14"/>
        <v/>
      </c>
      <c r="BV35" s="127" t="str">
        <f t="shared" si="14"/>
        <v/>
      </c>
      <c r="BW35" s="127" t="str">
        <f t="shared" si="14"/>
        <v/>
      </c>
      <c r="BX35" s="127" t="str">
        <f t="shared" si="14"/>
        <v/>
      </c>
      <c r="BY35" s="127" t="str">
        <f t="shared" si="14"/>
        <v/>
      </c>
      <c r="BZ35" s="127" t="str">
        <f t="shared" si="14"/>
        <v/>
      </c>
      <c r="CA35" s="127" t="str">
        <f t="shared" si="14"/>
        <v/>
      </c>
      <c r="CB35" s="127" t="str">
        <f t="shared" si="14"/>
        <v/>
      </c>
      <c r="CC35" s="127" t="str">
        <f t="shared" si="14"/>
        <v/>
      </c>
      <c r="CD35" s="127" t="str">
        <f t="shared" si="14"/>
        <v/>
      </c>
      <c r="CE35" s="127" t="str">
        <f t="shared" si="14"/>
        <v/>
      </c>
    </row>
    <row r="36" spans="1:83" ht="12.6" customHeight="1" x14ac:dyDescent="0.2">
      <c r="A36" s="106">
        <f>SHIPMENTS!A42</f>
        <v>8952</v>
      </c>
      <c r="B36" s="106" t="str">
        <f>SHIPMENTS!B42</f>
        <v>41300-CANADA SAUNAFIN</v>
      </c>
      <c r="C36" s="132">
        <f>SHIPMENTS!F42</f>
        <v>70.45</v>
      </c>
      <c r="D36" s="107" t="str">
        <f>IF((SHIPMENTS!I42)=0,"",SHIPMENTS!I42)</f>
        <v>1x40HC</v>
      </c>
      <c r="E36" s="176">
        <f>IF((SHIPMENTS!G42)=0,"",SHIPMENTS!G42)</f>
        <v>46332</v>
      </c>
      <c r="F36" s="97">
        <f>VLOOKUP(A36,Items!$A$5:$J$1000,7,0)</f>
        <v>1700</v>
      </c>
      <c r="G36" s="98">
        <f>VLOOKUP(A36,load!$A$4:$U$5001,7,0)</f>
        <v>573.74416666666673</v>
      </c>
      <c r="H36" s="97">
        <f>Manhours!$C$23</f>
        <v>32</v>
      </c>
      <c r="I36" s="98">
        <f t="shared" si="16"/>
        <v>291.2</v>
      </c>
      <c r="J36" s="99">
        <f t="shared" si="17"/>
        <v>1.9702752976190478</v>
      </c>
      <c r="K36" s="99">
        <f t="shared" si="18"/>
        <v>17.929505208333335</v>
      </c>
      <c r="L36" s="98">
        <f t="shared" si="19"/>
        <v>1.9702752976190478</v>
      </c>
      <c r="M36" s="98">
        <f t="shared" si="20"/>
        <v>17.929505208333335</v>
      </c>
      <c r="N36" s="181">
        <f t="shared" si="21"/>
        <v>46328.614378044862</v>
      </c>
      <c r="O36" s="181">
        <f t="shared" si="22"/>
        <v>46330.584653342477</v>
      </c>
      <c r="P36" s="101">
        <f>VLOOKUP(A36,SHIPMENTS!$A$7:$N$171,12,0)</f>
        <v>0</v>
      </c>
      <c r="Q36" s="101"/>
      <c r="R36" s="127" t="str">
        <f t="shared" si="13"/>
        <v/>
      </c>
      <c r="S36" s="127" t="str">
        <f t="shared" si="13"/>
        <v/>
      </c>
      <c r="T36" s="127" t="str">
        <f t="shared" si="13"/>
        <v/>
      </c>
      <c r="U36" s="127" t="str">
        <f t="shared" si="13"/>
        <v/>
      </c>
      <c r="V36" s="127" t="str">
        <f t="shared" si="13"/>
        <v/>
      </c>
      <c r="W36" s="127" t="str">
        <f t="shared" si="13"/>
        <v/>
      </c>
      <c r="X36" s="127" t="str">
        <f t="shared" si="13"/>
        <v/>
      </c>
      <c r="Y36" s="127" t="str">
        <f t="shared" si="13"/>
        <v/>
      </c>
      <c r="Z36" s="127" t="str">
        <f t="shared" si="13"/>
        <v/>
      </c>
      <c r="AA36" s="127" t="str">
        <f t="shared" si="13"/>
        <v/>
      </c>
      <c r="AB36" s="127" t="str">
        <f t="shared" si="13"/>
        <v/>
      </c>
      <c r="AC36" s="127" t="str">
        <f t="shared" si="13"/>
        <v/>
      </c>
      <c r="AD36" s="127" t="str">
        <f t="shared" si="13"/>
        <v/>
      </c>
      <c r="AE36" s="127" t="str">
        <f t="shared" si="13"/>
        <v/>
      </c>
      <c r="AF36" s="127" t="str">
        <f t="shared" si="13"/>
        <v/>
      </c>
      <c r="AG36" s="127" t="str">
        <f t="shared" si="13"/>
        <v/>
      </c>
      <c r="AH36" s="127" t="str">
        <f t="shared" si="23"/>
        <v>▲</v>
      </c>
      <c r="AI36" s="127" t="str">
        <f t="shared" si="23"/>
        <v/>
      </c>
      <c r="AJ36" s="127" t="str">
        <f t="shared" si="23"/>
        <v/>
      </c>
      <c r="AK36" s="127" t="str">
        <f t="shared" si="23"/>
        <v/>
      </c>
      <c r="AL36" s="127" t="str">
        <f t="shared" si="23"/>
        <v/>
      </c>
      <c r="AM36" s="127" t="str">
        <f t="shared" si="23"/>
        <v/>
      </c>
      <c r="AN36" s="127" t="str">
        <f t="shared" si="23"/>
        <v/>
      </c>
      <c r="AO36" s="127" t="str">
        <f t="shared" si="23"/>
        <v/>
      </c>
      <c r="AP36" s="127" t="str">
        <f t="shared" si="23"/>
        <v/>
      </c>
      <c r="AQ36" s="127" t="str">
        <f t="shared" si="23"/>
        <v/>
      </c>
      <c r="AR36" s="127" t="str">
        <f t="shared" si="23"/>
        <v/>
      </c>
      <c r="AS36" s="127" t="str">
        <f t="shared" si="23"/>
        <v/>
      </c>
      <c r="AT36" s="127" t="str">
        <f t="shared" si="23"/>
        <v/>
      </c>
      <c r="AU36" s="127" t="str">
        <f t="shared" si="23"/>
        <v/>
      </c>
      <c r="AV36" s="127" t="str">
        <f t="shared" si="23"/>
        <v/>
      </c>
      <c r="AW36" s="127" t="str">
        <f t="shared" si="23"/>
        <v/>
      </c>
      <c r="AX36" s="127" t="str">
        <f t="shared" si="15"/>
        <v/>
      </c>
      <c r="AY36" s="127" t="str">
        <f t="shared" si="15"/>
        <v/>
      </c>
      <c r="AZ36" s="127" t="str">
        <f t="shared" si="15"/>
        <v/>
      </c>
      <c r="BA36" s="127" t="str">
        <f t="shared" si="15"/>
        <v/>
      </c>
      <c r="BB36" s="127" t="str">
        <f t="shared" si="15"/>
        <v/>
      </c>
      <c r="BC36" s="127" t="str">
        <f t="shared" si="15"/>
        <v/>
      </c>
      <c r="BD36" s="127" t="str">
        <f t="shared" si="15"/>
        <v/>
      </c>
      <c r="BE36" s="127" t="str">
        <f t="shared" si="15"/>
        <v/>
      </c>
      <c r="BF36" s="127" t="str">
        <f t="shared" si="15"/>
        <v/>
      </c>
      <c r="BG36" s="127" t="str">
        <f t="shared" si="15"/>
        <v/>
      </c>
      <c r="BH36" s="127" t="str">
        <f t="shared" si="15"/>
        <v/>
      </c>
      <c r="BI36" s="127" t="str">
        <f t="shared" si="15"/>
        <v/>
      </c>
      <c r="BJ36" s="127" t="str">
        <f t="shared" si="15"/>
        <v/>
      </c>
      <c r="BK36" s="127" t="str">
        <f t="shared" si="15"/>
        <v/>
      </c>
      <c r="BL36" s="127" t="str">
        <f t="shared" si="15"/>
        <v/>
      </c>
      <c r="BM36" s="127" t="str">
        <f t="shared" si="15"/>
        <v/>
      </c>
      <c r="BN36" s="127" t="str">
        <f t="shared" si="15"/>
        <v/>
      </c>
      <c r="BO36" s="127" t="str">
        <f t="shared" si="15"/>
        <v/>
      </c>
      <c r="BP36" s="127" t="str">
        <f t="shared" si="15"/>
        <v/>
      </c>
      <c r="BQ36" s="127" t="str">
        <f t="shared" si="15"/>
        <v/>
      </c>
      <c r="BR36" s="127" t="str">
        <f t="shared" si="15"/>
        <v/>
      </c>
      <c r="BS36" s="127" t="str">
        <f t="shared" si="15"/>
        <v/>
      </c>
      <c r="BT36" s="127" t="str">
        <f t="shared" si="14"/>
        <v/>
      </c>
      <c r="BU36" s="127" t="str">
        <f t="shared" si="14"/>
        <v/>
      </c>
      <c r="BV36" s="127" t="str">
        <f t="shared" si="14"/>
        <v/>
      </c>
      <c r="BW36" s="127" t="str">
        <f t="shared" si="14"/>
        <v/>
      </c>
      <c r="BX36" s="127" t="str">
        <f t="shared" si="14"/>
        <v/>
      </c>
      <c r="BY36" s="127" t="str">
        <f t="shared" si="14"/>
        <v/>
      </c>
      <c r="BZ36" s="127" t="str">
        <f t="shared" si="14"/>
        <v/>
      </c>
      <c r="CA36" s="127" t="str">
        <f t="shared" si="14"/>
        <v/>
      </c>
      <c r="CB36" s="127" t="str">
        <f t="shared" si="14"/>
        <v/>
      </c>
      <c r="CC36" s="127" t="str">
        <f t="shared" si="14"/>
        <v/>
      </c>
      <c r="CD36" s="127" t="str">
        <f t="shared" si="14"/>
        <v/>
      </c>
      <c r="CE36" s="127" t="str">
        <f t="shared" si="14"/>
        <v/>
      </c>
    </row>
    <row r="37" spans="1:83" ht="12.6" customHeight="1" x14ac:dyDescent="0.2">
      <c r="A37" s="106">
        <f>SHIPMENTS!A43</f>
        <v>9158</v>
      </c>
      <c r="B37" s="106" t="str">
        <f>SHIPMENTS!B43</f>
        <v>43300-THAILAND</v>
      </c>
      <c r="C37" s="132">
        <f>SHIPMENTS!F43</f>
        <v>0.10299999999999999</v>
      </c>
      <c r="D37" s="107" t="str">
        <f>IF((SHIPMENTS!I43)=0,"",SHIPMENTS!I43)</f>
        <v>LCL</v>
      </c>
      <c r="E37" s="176">
        <f>IF((SHIPMENTS!G43)=0,"",SHIPMENTS!G43)</f>
        <v>46332</v>
      </c>
      <c r="F37" s="97">
        <f>VLOOKUP(A37,Items!$A$5:$J$1000,7,0)</f>
        <v>1</v>
      </c>
      <c r="G37" s="98">
        <f>VLOOKUP(A37,load!$A$4:$U$5001,7,0)</f>
        <v>0</v>
      </c>
      <c r="H37" s="97">
        <f>Manhours!$C$23</f>
        <v>32</v>
      </c>
      <c r="I37" s="98">
        <f t="shared" si="16"/>
        <v>291.2</v>
      </c>
      <c r="J37" s="99">
        <f t="shared" si="17"/>
        <v>0</v>
      </c>
      <c r="K37" s="99">
        <f t="shared" si="18"/>
        <v>0</v>
      </c>
      <c r="L37" s="98">
        <f t="shared" si="19"/>
        <v>0</v>
      </c>
      <c r="M37" s="98">
        <f t="shared" si="20"/>
        <v>0</v>
      </c>
      <c r="N37" s="181">
        <f t="shared" si="21"/>
        <v>46330.584653342477</v>
      </c>
      <c r="O37" s="181">
        <f t="shared" si="22"/>
        <v>46330.584653342477</v>
      </c>
      <c r="P37" s="101">
        <f>VLOOKUP(A37,SHIPMENTS!$A$7:$N$171,12,0)</f>
        <v>1</v>
      </c>
      <c r="Q37" s="101"/>
      <c r="R37" s="127" t="str">
        <f t="shared" si="13"/>
        <v/>
      </c>
      <c r="S37" s="127" t="str">
        <f t="shared" si="13"/>
        <v/>
      </c>
      <c r="T37" s="127" t="str">
        <f t="shared" si="13"/>
        <v/>
      </c>
      <c r="U37" s="127" t="str">
        <f t="shared" si="13"/>
        <v/>
      </c>
      <c r="V37" s="127" t="str">
        <f t="shared" si="13"/>
        <v/>
      </c>
      <c r="W37" s="127" t="str">
        <f t="shared" si="13"/>
        <v/>
      </c>
      <c r="X37" s="127" t="str">
        <f t="shared" si="13"/>
        <v/>
      </c>
      <c r="Y37" s="127" t="str">
        <f t="shared" si="13"/>
        <v/>
      </c>
      <c r="Z37" s="127" t="str">
        <f t="shared" si="13"/>
        <v/>
      </c>
      <c r="AA37" s="127" t="str">
        <f t="shared" si="13"/>
        <v/>
      </c>
      <c r="AB37" s="127" t="str">
        <f t="shared" si="13"/>
        <v/>
      </c>
      <c r="AC37" s="127" t="str">
        <f t="shared" si="13"/>
        <v/>
      </c>
      <c r="AD37" s="127" t="str">
        <f t="shared" si="13"/>
        <v/>
      </c>
      <c r="AE37" s="127" t="str">
        <f t="shared" si="13"/>
        <v/>
      </c>
      <c r="AF37" s="127" t="str">
        <f t="shared" si="13"/>
        <v/>
      </c>
      <c r="AG37" s="127" t="str">
        <f t="shared" si="13"/>
        <v/>
      </c>
      <c r="AH37" s="127" t="str">
        <f t="shared" si="23"/>
        <v>▲</v>
      </c>
      <c r="AI37" s="127" t="str">
        <f t="shared" si="23"/>
        <v/>
      </c>
      <c r="AJ37" s="127" t="str">
        <f t="shared" si="23"/>
        <v/>
      </c>
      <c r="AK37" s="127" t="str">
        <f t="shared" si="23"/>
        <v/>
      </c>
      <c r="AL37" s="127" t="str">
        <f t="shared" si="23"/>
        <v/>
      </c>
      <c r="AM37" s="127" t="str">
        <f t="shared" si="23"/>
        <v/>
      </c>
      <c r="AN37" s="127" t="str">
        <f t="shared" si="23"/>
        <v/>
      </c>
      <c r="AO37" s="127" t="str">
        <f t="shared" si="23"/>
        <v/>
      </c>
      <c r="AP37" s="127" t="str">
        <f t="shared" si="23"/>
        <v/>
      </c>
      <c r="AQ37" s="127" t="str">
        <f t="shared" si="23"/>
        <v/>
      </c>
      <c r="AR37" s="127" t="str">
        <f t="shared" si="23"/>
        <v/>
      </c>
      <c r="AS37" s="127" t="str">
        <f t="shared" si="23"/>
        <v/>
      </c>
      <c r="AT37" s="127" t="str">
        <f t="shared" si="23"/>
        <v/>
      </c>
      <c r="AU37" s="127" t="str">
        <f t="shared" si="23"/>
        <v/>
      </c>
      <c r="AV37" s="127" t="str">
        <f t="shared" si="23"/>
        <v/>
      </c>
      <c r="AW37" s="127" t="str">
        <f t="shared" si="23"/>
        <v/>
      </c>
      <c r="AX37" s="127" t="str">
        <f t="shared" si="15"/>
        <v/>
      </c>
      <c r="AY37" s="127" t="str">
        <f t="shared" si="15"/>
        <v/>
      </c>
      <c r="AZ37" s="127" t="str">
        <f t="shared" si="15"/>
        <v/>
      </c>
      <c r="BA37" s="127" t="str">
        <f t="shared" si="15"/>
        <v/>
      </c>
      <c r="BB37" s="127" t="str">
        <f t="shared" si="15"/>
        <v/>
      </c>
      <c r="BC37" s="127" t="str">
        <f t="shared" si="15"/>
        <v/>
      </c>
      <c r="BD37" s="127" t="str">
        <f t="shared" si="15"/>
        <v/>
      </c>
      <c r="BE37" s="127" t="str">
        <f t="shared" si="15"/>
        <v/>
      </c>
      <c r="BF37" s="127" t="str">
        <f t="shared" si="15"/>
        <v/>
      </c>
      <c r="BG37" s="127" t="str">
        <f t="shared" si="15"/>
        <v/>
      </c>
      <c r="BH37" s="127" t="str">
        <f t="shared" si="15"/>
        <v/>
      </c>
      <c r="BI37" s="127" t="str">
        <f t="shared" si="15"/>
        <v/>
      </c>
      <c r="BJ37" s="127" t="str">
        <f t="shared" si="15"/>
        <v/>
      </c>
      <c r="BK37" s="127" t="str">
        <f t="shared" si="15"/>
        <v/>
      </c>
      <c r="BL37" s="127" t="str">
        <f t="shared" si="15"/>
        <v/>
      </c>
      <c r="BM37" s="127" t="str">
        <f t="shared" si="15"/>
        <v/>
      </c>
      <c r="BN37" s="127" t="str">
        <f t="shared" si="15"/>
        <v/>
      </c>
      <c r="BO37" s="127" t="str">
        <f t="shared" si="15"/>
        <v/>
      </c>
      <c r="BP37" s="127" t="str">
        <f t="shared" si="15"/>
        <v/>
      </c>
      <c r="BQ37" s="127" t="str">
        <f t="shared" si="15"/>
        <v/>
      </c>
      <c r="BR37" s="127" t="str">
        <f t="shared" si="15"/>
        <v/>
      </c>
      <c r="BS37" s="127" t="str">
        <f t="shared" si="15"/>
        <v/>
      </c>
      <c r="BT37" s="127" t="str">
        <f t="shared" si="14"/>
        <v/>
      </c>
      <c r="BU37" s="127" t="str">
        <f t="shared" si="14"/>
        <v/>
      </c>
      <c r="BV37" s="127" t="str">
        <f t="shared" si="14"/>
        <v/>
      </c>
      <c r="BW37" s="127" t="str">
        <f t="shared" si="14"/>
        <v/>
      </c>
      <c r="BX37" s="127" t="str">
        <f t="shared" si="14"/>
        <v/>
      </c>
      <c r="BY37" s="127" t="str">
        <f t="shared" si="14"/>
        <v/>
      </c>
      <c r="BZ37" s="127" t="str">
        <f t="shared" si="14"/>
        <v/>
      </c>
      <c r="CA37" s="127" t="str">
        <f t="shared" si="14"/>
        <v/>
      </c>
      <c r="CB37" s="127" t="str">
        <f t="shared" si="14"/>
        <v/>
      </c>
      <c r="CC37" s="127" t="str">
        <f t="shared" si="14"/>
        <v/>
      </c>
      <c r="CD37" s="127" t="str">
        <f t="shared" si="14"/>
        <v/>
      </c>
      <c r="CE37" s="127" t="str">
        <f t="shared" si="14"/>
        <v/>
      </c>
    </row>
    <row r="38" spans="1:83" ht="12.6" customHeight="1" x14ac:dyDescent="0.2">
      <c r="A38" s="106">
        <f>SHIPMENTS!A44</f>
        <v>8814</v>
      </c>
      <c r="B38" s="106" t="str">
        <f>SHIPMENTS!B44</f>
        <v>27200-UAE</v>
      </c>
      <c r="C38" s="132">
        <f>SHIPMENTS!F44</f>
        <v>0.06</v>
      </c>
      <c r="D38" s="107" t="str">
        <f>IF((SHIPMENTS!I44)=0,"",SHIPMENTS!I44)</f>
        <v>LCL</v>
      </c>
      <c r="E38" s="176">
        <f>IF((SHIPMENTS!G44)=0,"",SHIPMENTS!G44)</f>
        <v>46332</v>
      </c>
      <c r="F38" s="97">
        <f>VLOOKUP(A38,Items!$A$5:$J$1000,7,0)</f>
        <v>2</v>
      </c>
      <c r="G38" s="98">
        <f>VLOOKUP(A38,load!$A$4:$U$5001,7,0)</f>
        <v>0</v>
      </c>
      <c r="H38" s="97">
        <f>Manhours!$C$23</f>
        <v>32</v>
      </c>
      <c r="I38" s="98">
        <f t="shared" si="16"/>
        <v>291.2</v>
      </c>
      <c r="J38" s="99">
        <f t="shared" si="17"/>
        <v>0</v>
      </c>
      <c r="K38" s="99">
        <f t="shared" si="18"/>
        <v>0</v>
      </c>
      <c r="L38" s="98">
        <f t="shared" si="19"/>
        <v>0</v>
      </c>
      <c r="M38" s="98">
        <f t="shared" si="20"/>
        <v>0</v>
      </c>
      <c r="N38" s="181">
        <f t="shared" si="21"/>
        <v>46330.584653342477</v>
      </c>
      <c r="O38" s="181">
        <f t="shared" si="22"/>
        <v>46330.584653342477</v>
      </c>
      <c r="P38" s="101">
        <f>VLOOKUP(A38,SHIPMENTS!$A$7:$N$171,12,0)</f>
        <v>0</v>
      </c>
      <c r="Q38" s="101"/>
      <c r="R38" s="127" t="str">
        <f t="shared" si="13"/>
        <v/>
      </c>
      <c r="S38" s="127" t="str">
        <f t="shared" si="13"/>
        <v/>
      </c>
      <c r="T38" s="127" t="str">
        <f t="shared" si="13"/>
        <v/>
      </c>
      <c r="U38" s="127" t="str">
        <f t="shared" si="13"/>
        <v/>
      </c>
      <c r="V38" s="127" t="str">
        <f t="shared" si="13"/>
        <v/>
      </c>
      <c r="W38" s="127" t="str">
        <f t="shared" si="13"/>
        <v/>
      </c>
      <c r="X38" s="127" t="str">
        <f t="shared" si="13"/>
        <v/>
      </c>
      <c r="Y38" s="127" t="str">
        <f t="shared" si="13"/>
        <v/>
      </c>
      <c r="Z38" s="127" t="str">
        <f t="shared" si="13"/>
        <v/>
      </c>
      <c r="AA38" s="127" t="str">
        <f t="shared" si="13"/>
        <v/>
      </c>
      <c r="AB38" s="127" t="str">
        <f t="shared" si="13"/>
        <v/>
      </c>
      <c r="AC38" s="127" t="str">
        <f t="shared" si="13"/>
        <v/>
      </c>
      <c r="AD38" s="127" t="str">
        <f t="shared" si="13"/>
        <v/>
      </c>
      <c r="AE38" s="127" t="str">
        <f t="shared" si="13"/>
        <v/>
      </c>
      <c r="AF38" s="127" t="str">
        <f t="shared" si="13"/>
        <v/>
      </c>
      <c r="AG38" s="127" t="str">
        <f t="shared" si="13"/>
        <v/>
      </c>
      <c r="AH38" s="127" t="str">
        <f t="shared" si="23"/>
        <v>▲</v>
      </c>
      <c r="AI38" s="127" t="str">
        <f t="shared" si="23"/>
        <v/>
      </c>
      <c r="AJ38" s="127" t="str">
        <f t="shared" si="23"/>
        <v/>
      </c>
      <c r="AK38" s="127" t="str">
        <f t="shared" si="23"/>
        <v/>
      </c>
      <c r="AL38" s="127" t="str">
        <f t="shared" si="23"/>
        <v/>
      </c>
      <c r="AM38" s="127" t="str">
        <f t="shared" si="23"/>
        <v/>
      </c>
      <c r="AN38" s="127" t="str">
        <f t="shared" si="23"/>
        <v/>
      </c>
      <c r="AO38" s="127" t="str">
        <f t="shared" si="23"/>
        <v/>
      </c>
      <c r="AP38" s="127" t="str">
        <f t="shared" si="23"/>
        <v/>
      </c>
      <c r="AQ38" s="127" t="str">
        <f t="shared" si="23"/>
        <v/>
      </c>
      <c r="AR38" s="127" t="str">
        <f t="shared" si="23"/>
        <v/>
      </c>
      <c r="AS38" s="127" t="str">
        <f t="shared" si="23"/>
        <v/>
      </c>
      <c r="AT38" s="127" t="str">
        <f t="shared" si="23"/>
        <v/>
      </c>
      <c r="AU38" s="127" t="str">
        <f t="shared" si="23"/>
        <v/>
      </c>
      <c r="AV38" s="127" t="str">
        <f t="shared" si="23"/>
        <v/>
      </c>
      <c r="AW38" s="127" t="str">
        <f t="shared" si="23"/>
        <v/>
      </c>
      <c r="AX38" s="127" t="str">
        <f t="shared" si="15"/>
        <v/>
      </c>
      <c r="AY38" s="127" t="str">
        <f t="shared" si="15"/>
        <v/>
      </c>
      <c r="AZ38" s="127" t="str">
        <f t="shared" si="15"/>
        <v/>
      </c>
      <c r="BA38" s="127" t="str">
        <f t="shared" si="15"/>
        <v/>
      </c>
      <c r="BB38" s="127" t="str">
        <f t="shared" si="15"/>
        <v/>
      </c>
      <c r="BC38" s="127" t="str">
        <f t="shared" si="15"/>
        <v/>
      </c>
      <c r="BD38" s="127" t="str">
        <f t="shared" si="15"/>
        <v/>
      </c>
      <c r="BE38" s="127" t="str">
        <f t="shared" si="15"/>
        <v/>
      </c>
      <c r="BF38" s="127" t="str">
        <f t="shared" si="15"/>
        <v/>
      </c>
      <c r="BG38" s="127" t="str">
        <f t="shared" si="15"/>
        <v/>
      </c>
      <c r="BH38" s="127" t="str">
        <f t="shared" si="15"/>
        <v/>
      </c>
      <c r="BI38" s="127" t="str">
        <f t="shared" si="15"/>
        <v/>
      </c>
      <c r="BJ38" s="127" t="str">
        <f t="shared" si="15"/>
        <v/>
      </c>
      <c r="BK38" s="127" t="str">
        <f t="shared" si="15"/>
        <v/>
      </c>
      <c r="BL38" s="127" t="str">
        <f t="shared" si="15"/>
        <v/>
      </c>
      <c r="BM38" s="127" t="str">
        <f t="shared" si="15"/>
        <v/>
      </c>
      <c r="BN38" s="127" t="str">
        <f t="shared" si="15"/>
        <v/>
      </c>
      <c r="BO38" s="127" t="str">
        <f t="shared" si="15"/>
        <v/>
      </c>
      <c r="BP38" s="127" t="str">
        <f t="shared" si="15"/>
        <v/>
      </c>
      <c r="BQ38" s="127" t="str">
        <f t="shared" si="15"/>
        <v/>
      </c>
      <c r="BR38" s="127" t="str">
        <f t="shared" si="15"/>
        <v/>
      </c>
      <c r="BS38" s="127" t="str">
        <f t="shared" si="15"/>
        <v/>
      </c>
      <c r="BT38" s="127" t="str">
        <f t="shared" si="14"/>
        <v/>
      </c>
      <c r="BU38" s="127" t="str">
        <f t="shared" si="14"/>
        <v/>
      </c>
      <c r="BV38" s="127" t="str">
        <f t="shared" si="14"/>
        <v/>
      </c>
      <c r="BW38" s="127" t="str">
        <f t="shared" si="14"/>
        <v/>
      </c>
      <c r="BX38" s="127" t="str">
        <f t="shared" si="14"/>
        <v/>
      </c>
      <c r="BY38" s="127" t="str">
        <f t="shared" si="14"/>
        <v/>
      </c>
      <c r="BZ38" s="127" t="str">
        <f t="shared" si="14"/>
        <v/>
      </c>
      <c r="CA38" s="127" t="str">
        <f t="shared" si="14"/>
        <v/>
      </c>
      <c r="CB38" s="127" t="str">
        <f t="shared" si="14"/>
        <v/>
      </c>
      <c r="CC38" s="127" t="str">
        <f t="shared" si="14"/>
        <v/>
      </c>
      <c r="CD38" s="127" t="str">
        <f t="shared" si="14"/>
        <v/>
      </c>
      <c r="CE38" s="127" t="str">
        <f t="shared" si="14"/>
        <v/>
      </c>
    </row>
    <row r="39" spans="1:83" ht="12.6" customHeight="1" x14ac:dyDescent="0.2">
      <c r="A39" s="106">
        <f>SHIPMENTS!A45</f>
        <v>9143</v>
      </c>
      <c r="B39" s="106" t="str">
        <f>SHIPMENTS!B45</f>
        <v>43301-THAILAND</v>
      </c>
      <c r="C39" s="132">
        <f>SHIPMENTS!F45</f>
        <v>4.75</v>
      </c>
      <c r="D39" s="107" t="str">
        <f>IF((SHIPMENTS!I45)=0,"",SHIPMENTS!I45)</f>
        <v>1x20</v>
      </c>
      <c r="E39" s="176">
        <f>IF((SHIPMENTS!G45)=0,"",SHIPMENTS!G45)</f>
        <v>46332</v>
      </c>
      <c r="F39" s="97">
        <f>VLOOKUP(A39,Items!$A$5:$J$1000,7,0)</f>
        <v>41</v>
      </c>
      <c r="G39" s="98">
        <f>VLOOKUP(A39,load!$A$4:$U$5001,7,0)</f>
        <v>17.869166666666665</v>
      </c>
      <c r="H39" s="97">
        <f>Manhours!$C$23</f>
        <v>32</v>
      </c>
      <c r="I39" s="98">
        <f t="shared" si="16"/>
        <v>291.2</v>
      </c>
      <c r="J39" s="99">
        <f t="shared" si="17"/>
        <v>6.1363896520146517E-2</v>
      </c>
      <c r="K39" s="99">
        <f t="shared" si="18"/>
        <v>0.55841145833333328</v>
      </c>
      <c r="L39" s="98">
        <f t="shared" si="19"/>
        <v>6.1363896520146517E-2</v>
      </c>
      <c r="M39" s="98">
        <f t="shared" si="20"/>
        <v>0.55841145833333328</v>
      </c>
      <c r="N39" s="181">
        <f t="shared" si="21"/>
        <v>46330.584653342477</v>
      </c>
      <c r="O39" s="181">
        <f t="shared" si="22"/>
        <v>46330.646017239</v>
      </c>
      <c r="P39" s="101">
        <f>VLOOKUP(A39,SHIPMENTS!$A$7:$N$171,12,0)</f>
        <v>0</v>
      </c>
      <c r="Q39" s="101"/>
      <c r="R39" s="127" t="str">
        <f t="shared" si="13"/>
        <v/>
      </c>
      <c r="S39" s="127" t="str">
        <f t="shared" si="13"/>
        <v/>
      </c>
      <c r="T39" s="127" t="str">
        <f t="shared" si="13"/>
        <v/>
      </c>
      <c r="U39" s="127" t="str">
        <f t="shared" si="13"/>
        <v/>
      </c>
      <c r="V39" s="127" t="str">
        <f t="shared" si="13"/>
        <v/>
      </c>
      <c r="W39" s="127" t="str">
        <f t="shared" si="13"/>
        <v/>
      </c>
      <c r="X39" s="127" t="str">
        <f t="shared" si="13"/>
        <v/>
      </c>
      <c r="Y39" s="127" t="str">
        <f t="shared" si="13"/>
        <v/>
      </c>
      <c r="Z39" s="127" t="str">
        <f t="shared" si="13"/>
        <v/>
      </c>
      <c r="AA39" s="127" t="str">
        <f t="shared" si="13"/>
        <v/>
      </c>
      <c r="AB39" s="127" t="str">
        <f t="shared" si="13"/>
        <v/>
      </c>
      <c r="AC39" s="127" t="str">
        <f t="shared" si="13"/>
        <v/>
      </c>
      <c r="AD39" s="127" t="str">
        <f t="shared" si="13"/>
        <v/>
      </c>
      <c r="AE39" s="127" t="str">
        <f t="shared" si="13"/>
        <v/>
      </c>
      <c r="AF39" s="127" t="str">
        <f t="shared" si="13"/>
        <v/>
      </c>
      <c r="AG39" s="127" t="str">
        <f t="shared" ref="R39:AG53" si="24">IF($E39=AG$3,"▲","")</f>
        <v/>
      </c>
      <c r="AH39" s="127" t="str">
        <f t="shared" si="23"/>
        <v>▲</v>
      </c>
      <c r="AI39" s="127" t="str">
        <f t="shared" si="23"/>
        <v/>
      </c>
      <c r="AJ39" s="127" t="str">
        <f t="shared" si="23"/>
        <v/>
      </c>
      <c r="AK39" s="127" t="str">
        <f t="shared" si="23"/>
        <v/>
      </c>
      <c r="AL39" s="127" t="str">
        <f t="shared" si="23"/>
        <v/>
      </c>
      <c r="AM39" s="127" t="str">
        <f t="shared" si="23"/>
        <v/>
      </c>
      <c r="AN39" s="127" t="str">
        <f t="shared" si="23"/>
        <v/>
      </c>
      <c r="AO39" s="127" t="str">
        <f t="shared" si="23"/>
        <v/>
      </c>
      <c r="AP39" s="127" t="str">
        <f t="shared" si="23"/>
        <v/>
      </c>
      <c r="AQ39" s="127" t="str">
        <f t="shared" si="23"/>
        <v/>
      </c>
      <c r="AR39" s="127" t="str">
        <f t="shared" si="23"/>
        <v/>
      </c>
      <c r="AS39" s="127" t="str">
        <f t="shared" si="23"/>
        <v/>
      </c>
      <c r="AT39" s="127" t="str">
        <f t="shared" si="23"/>
        <v/>
      </c>
      <c r="AU39" s="127" t="str">
        <f t="shared" si="23"/>
        <v/>
      </c>
      <c r="AV39" s="127" t="str">
        <f t="shared" si="23"/>
        <v/>
      </c>
      <c r="AW39" s="127" t="str">
        <f t="shared" si="23"/>
        <v/>
      </c>
      <c r="AX39" s="127" t="str">
        <f t="shared" si="15"/>
        <v/>
      </c>
      <c r="AY39" s="127" t="str">
        <f t="shared" si="15"/>
        <v/>
      </c>
      <c r="AZ39" s="127" t="str">
        <f t="shared" si="15"/>
        <v/>
      </c>
      <c r="BA39" s="127" t="str">
        <f t="shared" si="15"/>
        <v/>
      </c>
      <c r="BB39" s="127" t="str">
        <f t="shared" si="15"/>
        <v/>
      </c>
      <c r="BC39" s="127" t="str">
        <f t="shared" si="15"/>
        <v/>
      </c>
      <c r="BD39" s="127" t="str">
        <f t="shared" si="15"/>
        <v/>
      </c>
      <c r="BE39" s="127" t="str">
        <f t="shared" si="15"/>
        <v/>
      </c>
      <c r="BF39" s="127" t="str">
        <f t="shared" si="15"/>
        <v/>
      </c>
      <c r="BG39" s="127" t="str">
        <f t="shared" si="15"/>
        <v/>
      </c>
      <c r="BH39" s="127" t="str">
        <f t="shared" si="15"/>
        <v/>
      </c>
      <c r="BI39" s="127" t="str">
        <f t="shared" si="15"/>
        <v/>
      </c>
      <c r="BJ39" s="127" t="str">
        <f t="shared" si="15"/>
        <v/>
      </c>
      <c r="BK39" s="127" t="str">
        <f t="shared" si="15"/>
        <v/>
      </c>
      <c r="BL39" s="127" t="str">
        <f t="shared" si="15"/>
        <v/>
      </c>
      <c r="BM39" s="127" t="str">
        <f t="shared" si="15"/>
        <v/>
      </c>
      <c r="BN39" s="127" t="str">
        <f t="shared" si="15"/>
        <v/>
      </c>
      <c r="BO39" s="127" t="str">
        <f t="shared" si="15"/>
        <v/>
      </c>
      <c r="BP39" s="127" t="str">
        <f t="shared" si="15"/>
        <v/>
      </c>
      <c r="BQ39" s="127" t="str">
        <f t="shared" si="15"/>
        <v/>
      </c>
      <c r="BR39" s="127" t="str">
        <f t="shared" si="15"/>
        <v/>
      </c>
      <c r="BS39" s="127" t="str">
        <f t="shared" si="15"/>
        <v/>
      </c>
      <c r="BT39" s="127" t="str">
        <f t="shared" si="14"/>
        <v/>
      </c>
      <c r="BU39" s="127" t="str">
        <f t="shared" si="14"/>
        <v/>
      </c>
      <c r="BV39" s="127" t="str">
        <f t="shared" si="14"/>
        <v/>
      </c>
      <c r="BW39" s="127" t="str">
        <f t="shared" si="14"/>
        <v/>
      </c>
      <c r="BX39" s="127" t="str">
        <f t="shared" si="14"/>
        <v/>
      </c>
      <c r="BY39" s="127" t="str">
        <f t="shared" si="14"/>
        <v/>
      </c>
      <c r="BZ39" s="127" t="str">
        <f t="shared" si="14"/>
        <v/>
      </c>
      <c r="CA39" s="127" t="str">
        <f t="shared" si="14"/>
        <v/>
      </c>
      <c r="CB39" s="127" t="str">
        <f t="shared" si="14"/>
        <v/>
      </c>
      <c r="CC39" s="127" t="str">
        <f t="shared" si="14"/>
        <v/>
      </c>
      <c r="CD39" s="127" t="str">
        <f t="shared" si="14"/>
        <v/>
      </c>
      <c r="CE39" s="127" t="str">
        <f t="shared" si="14"/>
        <v/>
      </c>
    </row>
    <row r="40" spans="1:83" ht="12.6" customHeight="1" x14ac:dyDescent="0.2">
      <c r="A40" s="106">
        <f>SHIPMENTS!A46</f>
        <v>9160</v>
      </c>
      <c r="B40" s="106" t="str">
        <f>SHIPMENTS!B46</f>
        <v>51700-MAURITIUS</v>
      </c>
      <c r="C40" s="132">
        <f>SHIPMENTS!F46</f>
        <v>0.97</v>
      </c>
      <c r="D40" s="107" t="str">
        <f>IF((SHIPMENTS!I46)=0,"",SHIPMENTS!I46)</f>
        <v>1x20</v>
      </c>
      <c r="E40" s="176">
        <f>IF((SHIPMENTS!G46)=0,"",SHIPMENTS!G46)</f>
        <v>46332</v>
      </c>
      <c r="F40" s="97">
        <f>VLOOKUP(A40,Items!$A$5:$J$1000,7,0)</f>
        <v>30</v>
      </c>
      <c r="G40" s="98">
        <f>VLOOKUP(A40,load!$A$4:$U$5001,7,0)</f>
        <v>1.075</v>
      </c>
      <c r="H40" s="97">
        <f>Manhours!$C$23</f>
        <v>32</v>
      </c>
      <c r="I40" s="98">
        <f t="shared" si="16"/>
        <v>291.2</v>
      </c>
      <c r="J40" s="99">
        <f t="shared" si="17"/>
        <v>3.691620879120879E-3</v>
      </c>
      <c r="K40" s="99">
        <f t="shared" si="18"/>
        <v>3.3593749999999999E-2</v>
      </c>
      <c r="L40" s="98">
        <f t="shared" si="19"/>
        <v>3.691620879120879E-3</v>
      </c>
      <c r="M40" s="98">
        <f t="shared" si="20"/>
        <v>3.3593749999999999E-2</v>
      </c>
      <c r="N40" s="181">
        <f t="shared" si="21"/>
        <v>46330.646017239</v>
      </c>
      <c r="O40" s="181">
        <f t="shared" si="22"/>
        <v>46330.649708859877</v>
      </c>
      <c r="P40" s="101">
        <f>VLOOKUP(A40,SHIPMENTS!$A$7:$N$171,12,0)</f>
        <v>0</v>
      </c>
      <c r="Q40" s="101"/>
      <c r="R40" s="127" t="str">
        <f t="shared" si="24"/>
        <v/>
      </c>
      <c r="S40" s="127" t="str">
        <f t="shared" si="24"/>
        <v/>
      </c>
      <c r="T40" s="127" t="str">
        <f t="shared" si="24"/>
        <v/>
      </c>
      <c r="U40" s="127" t="str">
        <f t="shared" si="24"/>
        <v/>
      </c>
      <c r="V40" s="127" t="str">
        <f t="shared" si="24"/>
        <v/>
      </c>
      <c r="W40" s="127" t="str">
        <f t="shared" si="24"/>
        <v/>
      </c>
      <c r="X40" s="127" t="str">
        <f t="shared" si="24"/>
        <v/>
      </c>
      <c r="Y40" s="127" t="str">
        <f t="shared" si="24"/>
        <v/>
      </c>
      <c r="Z40" s="127" t="str">
        <f t="shared" si="24"/>
        <v/>
      </c>
      <c r="AA40" s="127" t="str">
        <f t="shared" si="24"/>
        <v/>
      </c>
      <c r="AB40" s="127" t="str">
        <f t="shared" si="24"/>
        <v/>
      </c>
      <c r="AC40" s="127" t="str">
        <f t="shared" si="24"/>
        <v/>
      </c>
      <c r="AD40" s="127" t="str">
        <f t="shared" si="24"/>
        <v/>
      </c>
      <c r="AE40" s="127" t="str">
        <f t="shared" si="24"/>
        <v/>
      </c>
      <c r="AF40" s="127" t="str">
        <f t="shared" si="24"/>
        <v/>
      </c>
      <c r="AG40" s="127" t="str">
        <f t="shared" si="24"/>
        <v/>
      </c>
      <c r="AH40" s="127" t="str">
        <f t="shared" si="23"/>
        <v>▲</v>
      </c>
      <c r="AI40" s="127" t="str">
        <f t="shared" si="23"/>
        <v/>
      </c>
      <c r="AJ40" s="127" t="str">
        <f t="shared" si="23"/>
        <v/>
      </c>
      <c r="AK40" s="127" t="str">
        <f t="shared" si="23"/>
        <v/>
      </c>
      <c r="AL40" s="127" t="str">
        <f t="shared" si="23"/>
        <v/>
      </c>
      <c r="AM40" s="127" t="str">
        <f t="shared" si="23"/>
        <v/>
      </c>
      <c r="AN40" s="127" t="str">
        <f t="shared" si="23"/>
        <v/>
      </c>
      <c r="AO40" s="127" t="str">
        <f t="shared" si="23"/>
        <v/>
      </c>
      <c r="AP40" s="127" t="str">
        <f t="shared" si="23"/>
        <v/>
      </c>
      <c r="AQ40" s="127" t="str">
        <f t="shared" si="23"/>
        <v/>
      </c>
      <c r="AR40" s="127" t="str">
        <f t="shared" si="23"/>
        <v/>
      </c>
      <c r="AS40" s="127" t="str">
        <f t="shared" si="23"/>
        <v/>
      </c>
      <c r="AT40" s="127" t="str">
        <f t="shared" si="23"/>
        <v/>
      </c>
      <c r="AU40" s="127" t="str">
        <f t="shared" si="23"/>
        <v/>
      </c>
      <c r="AV40" s="127" t="str">
        <f t="shared" si="23"/>
        <v/>
      </c>
      <c r="AW40" s="127" t="str">
        <f t="shared" si="23"/>
        <v/>
      </c>
      <c r="AX40" s="127" t="str">
        <f t="shared" si="15"/>
        <v/>
      </c>
      <c r="AY40" s="127" t="str">
        <f t="shared" si="15"/>
        <v/>
      </c>
      <c r="AZ40" s="127" t="str">
        <f t="shared" si="15"/>
        <v/>
      </c>
      <c r="BA40" s="127" t="str">
        <f t="shared" si="15"/>
        <v/>
      </c>
      <c r="BB40" s="127" t="str">
        <f t="shared" si="15"/>
        <v/>
      </c>
      <c r="BC40" s="127" t="str">
        <f t="shared" si="15"/>
        <v/>
      </c>
      <c r="BD40" s="127" t="str">
        <f t="shared" si="15"/>
        <v/>
      </c>
      <c r="BE40" s="127" t="str">
        <f t="shared" si="15"/>
        <v/>
      </c>
      <c r="BF40" s="127" t="str">
        <f t="shared" si="15"/>
        <v/>
      </c>
      <c r="BG40" s="127" t="str">
        <f t="shared" si="15"/>
        <v/>
      </c>
      <c r="BH40" s="127" t="str">
        <f t="shared" si="15"/>
        <v/>
      </c>
      <c r="BI40" s="127" t="str">
        <f t="shared" si="15"/>
        <v/>
      </c>
      <c r="BJ40" s="127" t="str">
        <f t="shared" si="15"/>
        <v/>
      </c>
      <c r="BK40" s="127" t="str">
        <f t="shared" si="15"/>
        <v/>
      </c>
      <c r="BL40" s="127" t="str">
        <f t="shared" si="15"/>
        <v/>
      </c>
      <c r="BM40" s="127" t="str">
        <f t="shared" si="15"/>
        <v/>
      </c>
      <c r="BN40" s="127" t="str">
        <f t="shared" si="15"/>
        <v/>
      </c>
      <c r="BO40" s="127" t="str">
        <f t="shared" si="15"/>
        <v/>
      </c>
      <c r="BP40" s="127" t="str">
        <f t="shared" si="15"/>
        <v/>
      </c>
      <c r="BQ40" s="127" t="str">
        <f t="shared" si="15"/>
        <v/>
      </c>
      <c r="BR40" s="127" t="str">
        <f t="shared" si="15"/>
        <v/>
      </c>
      <c r="BS40" s="127" t="str">
        <f t="shared" si="15"/>
        <v/>
      </c>
      <c r="BT40" s="127" t="str">
        <f t="shared" ref="BT40:CE53" si="25">IF($E40=BT$3,"▲","")</f>
        <v/>
      </c>
      <c r="BU40" s="127" t="str">
        <f t="shared" si="25"/>
        <v/>
      </c>
      <c r="BV40" s="127" t="str">
        <f t="shared" si="25"/>
        <v/>
      </c>
      <c r="BW40" s="127" t="str">
        <f t="shared" si="25"/>
        <v/>
      </c>
      <c r="BX40" s="127" t="str">
        <f t="shared" si="25"/>
        <v/>
      </c>
      <c r="BY40" s="127" t="str">
        <f t="shared" si="25"/>
        <v/>
      </c>
      <c r="BZ40" s="127" t="str">
        <f t="shared" si="25"/>
        <v/>
      </c>
      <c r="CA40" s="127" t="str">
        <f t="shared" si="25"/>
        <v/>
      </c>
      <c r="CB40" s="127" t="str">
        <f t="shared" si="25"/>
        <v/>
      </c>
      <c r="CC40" s="127" t="str">
        <f t="shared" si="25"/>
        <v/>
      </c>
      <c r="CD40" s="127" t="str">
        <f t="shared" si="25"/>
        <v/>
      </c>
      <c r="CE40" s="127" t="str">
        <f t="shared" si="25"/>
        <v/>
      </c>
    </row>
    <row r="41" spans="1:83" ht="12.6" customHeight="1" x14ac:dyDescent="0.2">
      <c r="A41" s="106">
        <f>SHIPMENTS!A47</f>
        <v>9164</v>
      </c>
      <c r="B41" s="106" t="str">
        <f>SHIPMENTS!B47</f>
        <v>1500-SAWO SAUNA EUROPE BV BACKLOG</v>
      </c>
      <c r="C41" s="132">
        <f>SHIPMENTS!F47</f>
        <v>100.97952000000001</v>
      </c>
      <c r="D41" s="107" t="str">
        <f>IF((SHIPMENTS!I47)=0,"",SHIPMENTS!I47)</f>
        <v>1X40HC</v>
      </c>
      <c r="E41" s="176">
        <f>IF((SHIPMENTS!G47)=0,"",SHIPMENTS!G47)</f>
        <v>46339</v>
      </c>
      <c r="F41" s="97">
        <f>VLOOKUP(A41,Items!$A$5:$J$1000,7,0)</f>
        <v>8100</v>
      </c>
      <c r="G41" s="98">
        <f>VLOOKUP(A41,load!$A$4:$U$5001,7,0)</f>
        <v>1265.3033333333333</v>
      </c>
      <c r="H41" s="97">
        <f>Manhours!$C$23</f>
        <v>32</v>
      </c>
      <c r="I41" s="98">
        <f t="shared" si="16"/>
        <v>291.2</v>
      </c>
      <c r="J41" s="99">
        <f t="shared" si="17"/>
        <v>4.3451350732600735</v>
      </c>
      <c r="K41" s="99">
        <f t="shared" si="18"/>
        <v>39.540729166666665</v>
      </c>
      <c r="L41" s="98">
        <f t="shared" si="19"/>
        <v>4.3451350732600735</v>
      </c>
      <c r="M41" s="98">
        <f t="shared" si="20"/>
        <v>39.540729166666665</v>
      </c>
      <c r="N41" s="181">
        <f t="shared" si="21"/>
        <v>46330.649708859877</v>
      </c>
      <c r="O41" s="181">
        <f t="shared" si="22"/>
        <v>46334.994843933135</v>
      </c>
      <c r="P41" s="101">
        <f>VLOOKUP(A41,SHIPMENTS!$A$7:$N$171,12,0)</f>
        <v>0</v>
      </c>
      <c r="Q41" s="101"/>
      <c r="R41" s="127" t="str">
        <f t="shared" si="24"/>
        <v/>
      </c>
      <c r="S41" s="127" t="str">
        <f t="shared" si="24"/>
        <v/>
      </c>
      <c r="T41" s="127" t="str">
        <f t="shared" si="24"/>
        <v/>
      </c>
      <c r="U41" s="127" t="str">
        <f t="shared" si="24"/>
        <v/>
      </c>
      <c r="V41" s="127" t="str">
        <f t="shared" si="24"/>
        <v/>
      </c>
      <c r="W41" s="127" t="str">
        <f t="shared" si="24"/>
        <v/>
      </c>
      <c r="X41" s="127" t="str">
        <f t="shared" si="24"/>
        <v/>
      </c>
      <c r="Y41" s="127" t="str">
        <f t="shared" si="24"/>
        <v/>
      </c>
      <c r="Z41" s="127" t="str">
        <f t="shared" si="24"/>
        <v/>
      </c>
      <c r="AA41" s="127" t="str">
        <f t="shared" si="24"/>
        <v/>
      </c>
      <c r="AB41" s="127" t="str">
        <f t="shared" si="24"/>
        <v/>
      </c>
      <c r="AC41" s="127" t="str">
        <f t="shared" si="24"/>
        <v/>
      </c>
      <c r="AD41" s="127" t="str">
        <f t="shared" si="24"/>
        <v/>
      </c>
      <c r="AE41" s="127" t="str">
        <f t="shared" si="24"/>
        <v/>
      </c>
      <c r="AF41" s="127" t="str">
        <f t="shared" si="24"/>
        <v/>
      </c>
      <c r="AG41" s="127" t="str">
        <f t="shared" si="24"/>
        <v/>
      </c>
      <c r="AH41" s="127" t="str">
        <f t="shared" si="23"/>
        <v/>
      </c>
      <c r="AI41" s="127" t="str">
        <f t="shared" si="23"/>
        <v/>
      </c>
      <c r="AJ41" s="127" t="str">
        <f t="shared" si="23"/>
        <v/>
      </c>
      <c r="AK41" s="127" t="str">
        <f t="shared" si="23"/>
        <v/>
      </c>
      <c r="AL41" s="127" t="str">
        <f t="shared" si="23"/>
        <v/>
      </c>
      <c r="AM41" s="127" t="str">
        <f t="shared" si="23"/>
        <v/>
      </c>
      <c r="AN41" s="127" t="str">
        <f t="shared" si="23"/>
        <v>▲</v>
      </c>
      <c r="AO41" s="127" t="str">
        <f t="shared" si="23"/>
        <v/>
      </c>
      <c r="AP41" s="127" t="str">
        <f t="shared" si="23"/>
        <v/>
      </c>
      <c r="AQ41" s="127" t="str">
        <f t="shared" si="23"/>
        <v/>
      </c>
      <c r="AR41" s="127" t="str">
        <f t="shared" si="23"/>
        <v/>
      </c>
      <c r="AS41" s="127" t="str">
        <f t="shared" si="23"/>
        <v/>
      </c>
      <c r="AT41" s="127" t="str">
        <f t="shared" si="23"/>
        <v/>
      </c>
      <c r="AU41" s="127" t="str">
        <f t="shared" si="23"/>
        <v/>
      </c>
      <c r="AV41" s="127" t="str">
        <f t="shared" si="23"/>
        <v/>
      </c>
      <c r="AW41" s="127" t="str">
        <f t="shared" si="23"/>
        <v/>
      </c>
      <c r="AX41" s="127" t="str">
        <f t="shared" si="15"/>
        <v/>
      </c>
      <c r="AY41" s="127" t="str">
        <f t="shared" si="15"/>
        <v/>
      </c>
      <c r="AZ41" s="127" t="str">
        <f t="shared" si="15"/>
        <v/>
      </c>
      <c r="BA41" s="127" t="str">
        <f t="shared" si="15"/>
        <v/>
      </c>
      <c r="BB41" s="127" t="str">
        <f t="shared" si="15"/>
        <v/>
      </c>
      <c r="BC41" s="127" t="str">
        <f t="shared" si="15"/>
        <v/>
      </c>
      <c r="BD41" s="127" t="str">
        <f t="shared" si="15"/>
        <v/>
      </c>
      <c r="BE41" s="127" t="str">
        <f t="shared" si="15"/>
        <v/>
      </c>
      <c r="BF41" s="127" t="str">
        <f t="shared" si="15"/>
        <v/>
      </c>
      <c r="BG41" s="127" t="str">
        <f t="shared" si="15"/>
        <v/>
      </c>
      <c r="BH41" s="127" t="str">
        <f t="shared" si="15"/>
        <v/>
      </c>
      <c r="BI41" s="127" t="str">
        <f t="shared" si="15"/>
        <v/>
      </c>
      <c r="BJ41" s="127" t="str">
        <f t="shared" si="15"/>
        <v/>
      </c>
      <c r="BK41" s="127" t="str">
        <f t="shared" si="15"/>
        <v/>
      </c>
      <c r="BL41" s="127" t="str">
        <f t="shared" si="15"/>
        <v/>
      </c>
      <c r="BM41" s="127" t="str">
        <f t="shared" si="15"/>
        <v/>
      </c>
      <c r="BN41" s="127" t="str">
        <f t="shared" si="15"/>
        <v/>
      </c>
      <c r="BO41" s="127" t="str">
        <f t="shared" si="15"/>
        <v/>
      </c>
      <c r="BP41" s="127" t="str">
        <f t="shared" si="15"/>
        <v/>
      </c>
      <c r="BQ41" s="127" t="str">
        <f t="shared" si="15"/>
        <v/>
      </c>
      <c r="BR41" s="127" t="str">
        <f t="shared" si="15"/>
        <v/>
      </c>
      <c r="BS41" s="127" t="str">
        <f t="shared" si="15"/>
        <v/>
      </c>
      <c r="BT41" s="127" t="str">
        <f t="shared" si="25"/>
        <v/>
      </c>
      <c r="BU41" s="127" t="str">
        <f t="shared" si="25"/>
        <v/>
      </c>
      <c r="BV41" s="127" t="str">
        <f t="shared" si="25"/>
        <v/>
      </c>
      <c r="BW41" s="127" t="str">
        <f t="shared" si="25"/>
        <v/>
      </c>
      <c r="BX41" s="127" t="str">
        <f t="shared" si="25"/>
        <v/>
      </c>
      <c r="BY41" s="127" t="str">
        <f t="shared" si="25"/>
        <v/>
      </c>
      <c r="BZ41" s="127" t="str">
        <f t="shared" si="25"/>
        <v/>
      </c>
      <c r="CA41" s="127" t="str">
        <f t="shared" si="25"/>
        <v/>
      </c>
      <c r="CB41" s="127" t="str">
        <f t="shared" si="25"/>
        <v/>
      </c>
      <c r="CC41" s="127" t="str">
        <f t="shared" si="25"/>
        <v/>
      </c>
      <c r="CD41" s="127" t="str">
        <f t="shared" si="25"/>
        <v/>
      </c>
      <c r="CE41" s="127" t="str">
        <f t="shared" si="25"/>
        <v/>
      </c>
    </row>
    <row r="42" spans="1:83" ht="12.6" customHeight="1" x14ac:dyDescent="0.2">
      <c r="A42" s="106">
        <f>SHIPMENTS!A48</f>
        <v>9288</v>
      </c>
      <c r="B42" s="106" t="str">
        <f>SHIPMENTS!B48</f>
        <v>12100-HOLLAND HALU</v>
      </c>
      <c r="C42" s="132">
        <f>SHIPMENTS!F48</f>
        <v>0</v>
      </c>
      <c r="D42" s="107" t="str">
        <f>IF((SHIPMENTS!I48)=0,"",SHIPMENTS!I48)</f>
        <v/>
      </c>
      <c r="E42" s="176">
        <f>IF((SHIPMENTS!G48)=0,"",SHIPMENTS!G48)</f>
        <v>46339</v>
      </c>
      <c r="F42" s="97">
        <f>VLOOKUP(A42,Items!$A$5:$J$1000,7,0)</f>
        <v>252</v>
      </c>
      <c r="G42" s="98">
        <f>VLOOKUP(A42,load!$A$4:$U$5001,7,0)</f>
        <v>398.32799999999997</v>
      </c>
      <c r="H42" s="97">
        <f>Manhours!$C$23</f>
        <v>32</v>
      </c>
      <c r="I42" s="98">
        <f t="shared" si="16"/>
        <v>291.2</v>
      </c>
      <c r="J42" s="99">
        <f t="shared" si="17"/>
        <v>1.3678846153846154</v>
      </c>
      <c r="K42" s="99">
        <f t="shared" si="18"/>
        <v>12.447749999999999</v>
      </c>
      <c r="L42" s="98">
        <f t="shared" si="19"/>
        <v>1.3678846153846154</v>
      </c>
      <c r="M42" s="98">
        <f t="shared" si="20"/>
        <v>12.447749999999999</v>
      </c>
      <c r="N42" s="181">
        <f t="shared" si="21"/>
        <v>46334.994843933135</v>
      </c>
      <c r="O42" s="181">
        <f t="shared" si="22"/>
        <v>46336.36272854852</v>
      </c>
      <c r="P42" s="101">
        <f>VLOOKUP(A42,SHIPMENTS!$A$7:$N$171,12,0)</f>
        <v>0</v>
      </c>
      <c r="Q42" s="101"/>
      <c r="R42" s="127" t="str">
        <f t="shared" si="24"/>
        <v/>
      </c>
      <c r="S42" s="127" t="str">
        <f t="shared" si="24"/>
        <v/>
      </c>
      <c r="T42" s="127" t="str">
        <f t="shared" si="24"/>
        <v/>
      </c>
      <c r="U42" s="127" t="str">
        <f t="shared" si="24"/>
        <v/>
      </c>
      <c r="V42" s="127" t="str">
        <f t="shared" si="24"/>
        <v/>
      </c>
      <c r="W42" s="127" t="str">
        <f t="shared" si="24"/>
        <v/>
      </c>
      <c r="X42" s="127" t="str">
        <f t="shared" si="24"/>
        <v/>
      </c>
      <c r="Y42" s="127" t="str">
        <f t="shared" si="24"/>
        <v/>
      </c>
      <c r="Z42" s="127" t="str">
        <f t="shared" si="24"/>
        <v/>
      </c>
      <c r="AA42" s="127" t="str">
        <f t="shared" si="24"/>
        <v/>
      </c>
      <c r="AB42" s="127" t="str">
        <f t="shared" si="24"/>
        <v/>
      </c>
      <c r="AC42" s="127" t="str">
        <f t="shared" si="24"/>
        <v/>
      </c>
      <c r="AD42" s="127" t="str">
        <f t="shared" si="24"/>
        <v/>
      </c>
      <c r="AE42" s="127" t="str">
        <f t="shared" si="24"/>
        <v/>
      </c>
      <c r="AF42" s="127" t="str">
        <f t="shared" si="24"/>
        <v/>
      </c>
      <c r="AG42" s="127" t="str">
        <f t="shared" si="24"/>
        <v/>
      </c>
      <c r="AH42" s="127" t="str">
        <f t="shared" si="23"/>
        <v/>
      </c>
      <c r="AI42" s="127" t="str">
        <f t="shared" si="23"/>
        <v/>
      </c>
      <c r="AJ42" s="127" t="str">
        <f t="shared" si="23"/>
        <v/>
      </c>
      <c r="AK42" s="127" t="str">
        <f t="shared" si="23"/>
        <v/>
      </c>
      <c r="AL42" s="127" t="str">
        <f t="shared" si="23"/>
        <v/>
      </c>
      <c r="AM42" s="127" t="str">
        <f t="shared" si="23"/>
        <v/>
      </c>
      <c r="AN42" s="127" t="str">
        <f t="shared" si="23"/>
        <v>▲</v>
      </c>
      <c r="AO42" s="127" t="str">
        <f t="shared" si="23"/>
        <v/>
      </c>
      <c r="AP42" s="127" t="str">
        <f t="shared" si="23"/>
        <v/>
      </c>
      <c r="AQ42" s="127" t="str">
        <f t="shared" si="23"/>
        <v/>
      </c>
      <c r="AR42" s="127" t="str">
        <f t="shared" si="23"/>
        <v/>
      </c>
      <c r="AS42" s="127" t="str">
        <f t="shared" si="23"/>
        <v/>
      </c>
      <c r="AT42" s="127" t="str">
        <f t="shared" si="23"/>
        <v/>
      </c>
      <c r="AU42" s="127" t="str">
        <f t="shared" si="23"/>
        <v/>
      </c>
      <c r="AV42" s="127" t="str">
        <f t="shared" si="23"/>
        <v/>
      </c>
      <c r="AW42" s="127" t="str">
        <f t="shared" si="23"/>
        <v/>
      </c>
      <c r="AX42" s="127" t="str">
        <f t="shared" si="15"/>
        <v/>
      </c>
      <c r="AY42" s="127" t="str">
        <f t="shared" si="15"/>
        <v/>
      </c>
      <c r="AZ42" s="127" t="str">
        <f t="shared" si="15"/>
        <v/>
      </c>
      <c r="BA42" s="127" t="str">
        <f t="shared" si="15"/>
        <v/>
      </c>
      <c r="BB42" s="127" t="str">
        <f t="shared" si="15"/>
        <v/>
      </c>
      <c r="BC42" s="127" t="str">
        <f t="shared" si="15"/>
        <v/>
      </c>
      <c r="BD42" s="127" t="str">
        <f t="shared" si="15"/>
        <v/>
      </c>
      <c r="BE42" s="127" t="str">
        <f t="shared" si="15"/>
        <v/>
      </c>
      <c r="BF42" s="127" t="str">
        <f t="shared" si="15"/>
        <v/>
      </c>
      <c r="BG42" s="127" t="str">
        <f t="shared" si="15"/>
        <v/>
      </c>
      <c r="BH42" s="127" t="str">
        <f t="shared" si="15"/>
        <v/>
      </c>
      <c r="BI42" s="127" t="str">
        <f t="shared" si="15"/>
        <v/>
      </c>
      <c r="BJ42" s="127" t="str">
        <f t="shared" si="15"/>
        <v/>
      </c>
      <c r="BK42" s="127" t="str">
        <f t="shared" si="15"/>
        <v/>
      </c>
      <c r="BL42" s="127" t="str">
        <f t="shared" si="15"/>
        <v/>
      </c>
      <c r="BM42" s="127" t="str">
        <f t="shared" si="15"/>
        <v/>
      </c>
      <c r="BN42" s="127" t="str">
        <f t="shared" si="15"/>
        <v/>
      </c>
      <c r="BO42" s="127" t="str">
        <f t="shared" si="15"/>
        <v/>
      </c>
      <c r="BP42" s="127" t="str">
        <f t="shared" si="15"/>
        <v/>
      </c>
      <c r="BQ42" s="127" t="str">
        <f t="shared" si="15"/>
        <v/>
      </c>
      <c r="BR42" s="127" t="str">
        <f t="shared" si="15"/>
        <v/>
      </c>
      <c r="BS42" s="127" t="str">
        <f t="shared" si="15"/>
        <v/>
      </c>
      <c r="BT42" s="127" t="str">
        <f t="shared" si="25"/>
        <v/>
      </c>
      <c r="BU42" s="127" t="str">
        <f t="shared" si="25"/>
        <v/>
      </c>
      <c r="BV42" s="127" t="str">
        <f t="shared" si="25"/>
        <v/>
      </c>
      <c r="BW42" s="127" t="str">
        <f t="shared" si="25"/>
        <v/>
      </c>
      <c r="BX42" s="127" t="str">
        <f t="shared" si="25"/>
        <v/>
      </c>
      <c r="BY42" s="127" t="str">
        <f t="shared" si="25"/>
        <v/>
      </c>
      <c r="BZ42" s="127" t="str">
        <f t="shared" si="25"/>
        <v/>
      </c>
      <c r="CA42" s="127" t="str">
        <f t="shared" si="25"/>
        <v/>
      </c>
      <c r="CB42" s="127" t="str">
        <f t="shared" si="25"/>
        <v/>
      </c>
      <c r="CC42" s="127" t="str">
        <f t="shared" si="25"/>
        <v/>
      </c>
      <c r="CD42" s="127" t="str">
        <f t="shared" si="25"/>
        <v/>
      </c>
      <c r="CE42" s="127" t="str">
        <f t="shared" si="25"/>
        <v/>
      </c>
    </row>
    <row r="43" spans="1:83" ht="12.6" hidden="1" customHeight="1" x14ac:dyDescent="0.2">
      <c r="A43" s="106" t="str">
        <f>SHIPMENTS!A49</f>
        <v>SSE BACKLOG</v>
      </c>
      <c r="B43" s="106" t="str">
        <f>SHIPMENTS!B49</f>
        <v>11500-SAWO SAUNA EUROPE BV</v>
      </c>
      <c r="C43" s="132">
        <f>SHIPMENTS!F49</f>
        <v>0</v>
      </c>
      <c r="D43" s="107" t="str">
        <f>IF((SHIPMENTS!I49)=0,"",SHIPMENTS!I49)</f>
        <v/>
      </c>
      <c r="E43" s="176">
        <f>IF((SHIPMENTS!G49)=0,"",SHIPMENTS!G49)</f>
        <v>46339</v>
      </c>
      <c r="F43" s="97">
        <f>VLOOKUP(A43,Items!$A$5:$J$1000,7,0)</f>
        <v>0</v>
      </c>
      <c r="G43" s="98">
        <f>VLOOKUP(A43,load!$A$4:$U$5001,7,0)</f>
        <v>0</v>
      </c>
      <c r="H43" s="97">
        <f>Manhours!$C$23</f>
        <v>32</v>
      </c>
      <c r="I43" s="98">
        <f t="shared" si="16"/>
        <v>291.2</v>
      </c>
      <c r="J43" s="99">
        <f t="shared" si="17"/>
        <v>0</v>
      </c>
      <c r="K43" s="99">
        <f t="shared" si="18"/>
        <v>0</v>
      </c>
      <c r="L43" s="98">
        <f t="shared" si="19"/>
        <v>0</v>
      </c>
      <c r="M43" s="98">
        <f t="shared" si="20"/>
        <v>0</v>
      </c>
      <c r="N43" s="181">
        <f t="shared" si="21"/>
        <v>46336.36272854852</v>
      </c>
      <c r="O43" s="181">
        <f t="shared" si="22"/>
        <v>46336.36272854852</v>
      </c>
      <c r="P43" s="101" t="str">
        <f>VLOOKUP(A43,SHIPMENTS!$A$7:$N$171,12,0)</f>
        <v>n/a</v>
      </c>
      <c r="Q43" s="101"/>
      <c r="R43" s="127" t="str">
        <f t="shared" si="24"/>
        <v/>
      </c>
      <c r="S43" s="127" t="str">
        <f t="shared" si="24"/>
        <v/>
      </c>
      <c r="T43" s="127" t="str">
        <f t="shared" si="24"/>
        <v/>
      </c>
      <c r="U43" s="127" t="str">
        <f t="shared" si="24"/>
        <v/>
      </c>
      <c r="V43" s="127" t="str">
        <f t="shared" si="24"/>
        <v/>
      </c>
      <c r="W43" s="127" t="str">
        <f t="shared" si="24"/>
        <v/>
      </c>
      <c r="X43" s="127" t="str">
        <f t="shared" si="24"/>
        <v/>
      </c>
      <c r="Y43" s="127" t="str">
        <f t="shared" si="24"/>
        <v/>
      </c>
      <c r="Z43" s="127" t="str">
        <f t="shared" si="24"/>
        <v/>
      </c>
      <c r="AA43" s="127" t="str">
        <f t="shared" si="24"/>
        <v/>
      </c>
      <c r="AB43" s="127" t="str">
        <f t="shared" si="24"/>
        <v/>
      </c>
      <c r="AC43" s="127" t="str">
        <f t="shared" si="24"/>
        <v/>
      </c>
      <c r="AD43" s="127" t="str">
        <f t="shared" si="24"/>
        <v/>
      </c>
      <c r="AE43" s="127" t="str">
        <f t="shared" si="24"/>
        <v/>
      </c>
      <c r="AF43" s="127" t="str">
        <f t="shared" si="24"/>
        <v/>
      </c>
      <c r="AG43" s="127" t="str">
        <f t="shared" si="24"/>
        <v/>
      </c>
      <c r="AH43" s="127" t="str">
        <f t="shared" si="23"/>
        <v/>
      </c>
      <c r="AI43" s="127" t="str">
        <f t="shared" si="23"/>
        <v/>
      </c>
      <c r="AJ43" s="127" t="str">
        <f t="shared" si="23"/>
        <v/>
      </c>
      <c r="AK43" s="127" t="str">
        <f t="shared" si="23"/>
        <v/>
      </c>
      <c r="AL43" s="127" t="str">
        <f t="shared" si="23"/>
        <v/>
      </c>
      <c r="AM43" s="127" t="str">
        <f t="shared" si="23"/>
        <v/>
      </c>
      <c r="AN43" s="127" t="str">
        <f t="shared" si="23"/>
        <v>▲</v>
      </c>
      <c r="AO43" s="127" t="str">
        <f t="shared" si="23"/>
        <v/>
      </c>
      <c r="AP43" s="127" t="str">
        <f t="shared" si="23"/>
        <v/>
      </c>
      <c r="AQ43" s="127" t="str">
        <f t="shared" si="23"/>
        <v/>
      </c>
      <c r="AR43" s="127" t="str">
        <f t="shared" si="23"/>
        <v/>
      </c>
      <c r="AS43" s="127" t="str">
        <f t="shared" si="23"/>
        <v/>
      </c>
      <c r="AT43" s="127" t="str">
        <f t="shared" si="23"/>
        <v/>
      </c>
      <c r="AU43" s="127" t="str">
        <f t="shared" si="23"/>
        <v/>
      </c>
      <c r="AV43" s="127" t="str">
        <f t="shared" si="23"/>
        <v/>
      </c>
      <c r="AW43" s="127" t="str">
        <f t="shared" si="23"/>
        <v/>
      </c>
      <c r="AX43" s="127" t="str">
        <f t="shared" si="15"/>
        <v/>
      </c>
      <c r="AY43" s="127" t="str">
        <f t="shared" si="15"/>
        <v/>
      </c>
      <c r="AZ43" s="127" t="str">
        <f t="shared" si="15"/>
        <v/>
      </c>
      <c r="BA43" s="127" t="str">
        <f t="shared" si="15"/>
        <v/>
      </c>
      <c r="BB43" s="127" t="str">
        <f t="shared" si="15"/>
        <v/>
      </c>
      <c r="BC43" s="127" t="str">
        <f t="shared" si="15"/>
        <v/>
      </c>
      <c r="BD43" s="127" t="str">
        <f t="shared" si="15"/>
        <v/>
      </c>
      <c r="BE43" s="127" t="str">
        <f t="shared" si="15"/>
        <v/>
      </c>
      <c r="BF43" s="127" t="str">
        <f t="shared" si="15"/>
        <v/>
      </c>
      <c r="BG43" s="127" t="str">
        <f t="shared" si="15"/>
        <v/>
      </c>
      <c r="BH43" s="127" t="str">
        <f t="shared" si="15"/>
        <v/>
      </c>
      <c r="BI43" s="127" t="str">
        <f t="shared" si="15"/>
        <v/>
      </c>
      <c r="BJ43" s="127" t="str">
        <f t="shared" si="15"/>
        <v/>
      </c>
      <c r="BK43" s="127" t="str">
        <f t="shared" ref="BK43:BS43" si="26">IF($E43=BK$3,"▲","")</f>
        <v/>
      </c>
      <c r="BL43" s="127" t="str">
        <f t="shared" si="26"/>
        <v/>
      </c>
      <c r="BM43" s="127" t="str">
        <f t="shared" si="26"/>
        <v/>
      </c>
      <c r="BN43" s="127" t="str">
        <f t="shared" si="26"/>
        <v/>
      </c>
      <c r="BO43" s="127" t="str">
        <f t="shared" si="26"/>
        <v/>
      </c>
      <c r="BP43" s="127" t="str">
        <f t="shared" si="26"/>
        <v/>
      </c>
      <c r="BQ43" s="127" t="str">
        <f t="shared" si="26"/>
        <v/>
      </c>
      <c r="BR43" s="127" t="str">
        <f t="shared" si="26"/>
        <v/>
      </c>
      <c r="BS43" s="127" t="str">
        <f t="shared" si="26"/>
        <v/>
      </c>
      <c r="BT43" s="127" t="str">
        <f t="shared" si="25"/>
        <v/>
      </c>
      <c r="BU43" s="127" t="str">
        <f t="shared" si="25"/>
        <v/>
      </c>
      <c r="BV43" s="127" t="str">
        <f t="shared" si="25"/>
        <v/>
      </c>
      <c r="BW43" s="127" t="str">
        <f t="shared" si="25"/>
        <v/>
      </c>
      <c r="BX43" s="127" t="str">
        <f t="shared" si="25"/>
        <v/>
      </c>
      <c r="BY43" s="127" t="str">
        <f t="shared" si="25"/>
        <v/>
      </c>
      <c r="BZ43" s="127" t="str">
        <f t="shared" si="25"/>
        <v/>
      </c>
      <c r="CA43" s="127" t="str">
        <f t="shared" si="25"/>
        <v/>
      </c>
      <c r="CB43" s="127" t="str">
        <f t="shared" si="25"/>
        <v/>
      </c>
      <c r="CC43" s="127" t="str">
        <f t="shared" si="25"/>
        <v/>
      </c>
      <c r="CD43" s="127" t="str">
        <f t="shared" si="25"/>
        <v/>
      </c>
      <c r="CE43" s="127" t="str">
        <f t="shared" si="25"/>
        <v/>
      </c>
    </row>
    <row r="44" spans="1:83" ht="12.6" customHeight="1" x14ac:dyDescent="0.2">
      <c r="A44" s="106">
        <f>SHIPMENTS!A50</f>
        <v>9113</v>
      </c>
      <c r="B44" s="106" t="str">
        <f>SHIPMENTS!B50</f>
        <v>15900- Mandaue |Stephen Chian</v>
      </c>
      <c r="C44" s="132">
        <f>SHIPMENTS!F50</f>
        <v>0.34</v>
      </c>
      <c r="D44" s="107" t="str">
        <f>IF((SHIPMENTS!I50)=0,"",SHIPMENTS!I50)</f>
        <v/>
      </c>
      <c r="E44" s="176">
        <f>IF((SHIPMENTS!G50)=0,"",SHIPMENTS!G50)</f>
        <v>46351</v>
      </c>
      <c r="F44" s="97">
        <f>VLOOKUP(A44,Items!$A$5:$J$1000,7,0)</f>
        <v>8</v>
      </c>
      <c r="G44" s="98">
        <f>VLOOKUP(A44,load!$A$4:$U$5001,7,0)</f>
        <v>3.5673333333333335</v>
      </c>
      <c r="H44" s="97">
        <f>Manhours!$C$23</f>
        <v>32</v>
      </c>
      <c r="I44" s="98">
        <f t="shared" si="16"/>
        <v>291.2</v>
      </c>
      <c r="J44" s="99">
        <f t="shared" si="17"/>
        <v>1.2250457875457876E-2</v>
      </c>
      <c r="K44" s="99">
        <f t="shared" si="18"/>
        <v>0.11147916666666667</v>
      </c>
      <c r="L44" s="98">
        <f t="shared" si="19"/>
        <v>1.2250457875457876E-2</v>
      </c>
      <c r="M44" s="98">
        <f t="shared" si="20"/>
        <v>0.11147916666666667</v>
      </c>
      <c r="N44" s="181">
        <f t="shared" si="21"/>
        <v>46336.36272854852</v>
      </c>
      <c r="O44" s="181">
        <f t="shared" si="22"/>
        <v>46336.374979006396</v>
      </c>
      <c r="P44" s="101">
        <f>VLOOKUP(A44,SHIPMENTS!$A$7:$N$171,12,0)</f>
        <v>0</v>
      </c>
      <c r="Q44" s="101"/>
      <c r="R44" s="127" t="str">
        <f t="shared" si="24"/>
        <v/>
      </c>
      <c r="S44" s="127" t="str">
        <f t="shared" si="24"/>
        <v/>
      </c>
      <c r="T44" s="127" t="str">
        <f t="shared" si="24"/>
        <v/>
      </c>
      <c r="U44" s="127" t="str">
        <f t="shared" si="24"/>
        <v/>
      </c>
      <c r="V44" s="127" t="str">
        <f t="shared" si="24"/>
        <v/>
      </c>
      <c r="W44" s="127" t="str">
        <f t="shared" si="24"/>
        <v/>
      </c>
      <c r="X44" s="127" t="str">
        <f t="shared" si="24"/>
        <v/>
      </c>
      <c r="Y44" s="127" t="str">
        <f t="shared" si="24"/>
        <v/>
      </c>
      <c r="Z44" s="127" t="str">
        <f t="shared" si="24"/>
        <v/>
      </c>
      <c r="AA44" s="127" t="str">
        <f t="shared" si="24"/>
        <v/>
      </c>
      <c r="AB44" s="127" t="str">
        <f t="shared" si="24"/>
        <v/>
      </c>
      <c r="AC44" s="127" t="str">
        <f t="shared" si="24"/>
        <v/>
      </c>
      <c r="AD44" s="127" t="str">
        <f t="shared" si="24"/>
        <v/>
      </c>
      <c r="AE44" s="127" t="str">
        <f t="shared" si="24"/>
        <v/>
      </c>
      <c r="AF44" s="127" t="str">
        <f t="shared" si="24"/>
        <v/>
      </c>
      <c r="AG44" s="127" t="str">
        <f t="shared" si="24"/>
        <v/>
      </c>
      <c r="AH44" s="127" t="str">
        <f t="shared" si="23"/>
        <v/>
      </c>
      <c r="AI44" s="127" t="str">
        <f t="shared" si="23"/>
        <v/>
      </c>
      <c r="AJ44" s="127" t="str">
        <f t="shared" si="23"/>
        <v/>
      </c>
      <c r="AK44" s="127" t="str">
        <f t="shared" si="23"/>
        <v/>
      </c>
      <c r="AL44" s="127" t="str">
        <f t="shared" si="23"/>
        <v/>
      </c>
      <c r="AM44" s="127" t="str">
        <f t="shared" si="23"/>
        <v/>
      </c>
      <c r="AN44" s="127" t="str">
        <f t="shared" si="23"/>
        <v/>
      </c>
      <c r="AO44" s="127" t="str">
        <f t="shared" si="23"/>
        <v/>
      </c>
      <c r="AP44" s="127" t="str">
        <f t="shared" si="23"/>
        <v/>
      </c>
      <c r="AQ44" s="127" t="str">
        <f t="shared" si="23"/>
        <v/>
      </c>
      <c r="AR44" s="127" t="str">
        <f t="shared" si="23"/>
        <v/>
      </c>
      <c r="AS44" s="127" t="str">
        <f t="shared" si="23"/>
        <v/>
      </c>
      <c r="AT44" s="127" t="str">
        <f t="shared" si="23"/>
        <v/>
      </c>
      <c r="AU44" s="127" t="str">
        <f t="shared" si="23"/>
        <v/>
      </c>
      <c r="AV44" s="127" t="str">
        <f t="shared" si="23"/>
        <v/>
      </c>
      <c r="AW44" s="127" t="str">
        <f t="shared" si="23"/>
        <v/>
      </c>
      <c r="AX44" s="127" t="str">
        <f t="shared" ref="AX44:BS53" si="27">IF($E44=AX$3,"▲","")</f>
        <v>▲</v>
      </c>
      <c r="AY44" s="127" t="str">
        <f t="shared" si="27"/>
        <v/>
      </c>
      <c r="AZ44" s="127" t="str">
        <f t="shared" si="27"/>
        <v/>
      </c>
      <c r="BA44" s="127" t="str">
        <f t="shared" si="27"/>
        <v/>
      </c>
      <c r="BB44" s="127" t="str">
        <f t="shared" si="27"/>
        <v/>
      </c>
      <c r="BC44" s="127" t="str">
        <f t="shared" si="27"/>
        <v/>
      </c>
      <c r="BD44" s="127" t="str">
        <f t="shared" si="27"/>
        <v/>
      </c>
      <c r="BE44" s="127" t="str">
        <f t="shared" si="27"/>
        <v/>
      </c>
      <c r="BF44" s="127" t="str">
        <f t="shared" si="27"/>
        <v/>
      </c>
      <c r="BG44" s="127" t="str">
        <f t="shared" si="27"/>
        <v/>
      </c>
      <c r="BH44" s="127" t="str">
        <f t="shared" si="27"/>
        <v/>
      </c>
      <c r="BI44" s="127" t="str">
        <f t="shared" si="27"/>
        <v/>
      </c>
      <c r="BJ44" s="127" t="str">
        <f t="shared" si="27"/>
        <v/>
      </c>
      <c r="BK44" s="127" t="str">
        <f t="shared" si="27"/>
        <v/>
      </c>
      <c r="BL44" s="127" t="str">
        <f t="shared" si="27"/>
        <v/>
      </c>
      <c r="BM44" s="127" t="str">
        <f t="shared" si="27"/>
        <v/>
      </c>
      <c r="BN44" s="127" t="str">
        <f t="shared" si="27"/>
        <v/>
      </c>
      <c r="BO44" s="127" t="str">
        <f t="shared" si="27"/>
        <v/>
      </c>
      <c r="BP44" s="127" t="str">
        <f t="shared" si="27"/>
        <v/>
      </c>
      <c r="BQ44" s="127" t="str">
        <f t="shared" si="27"/>
        <v/>
      </c>
      <c r="BR44" s="127" t="str">
        <f t="shared" si="27"/>
        <v/>
      </c>
      <c r="BS44" s="127" t="str">
        <f t="shared" si="27"/>
        <v/>
      </c>
      <c r="BT44" s="127" t="str">
        <f t="shared" si="25"/>
        <v/>
      </c>
      <c r="BU44" s="127" t="str">
        <f t="shared" si="25"/>
        <v/>
      </c>
      <c r="BV44" s="127" t="str">
        <f t="shared" si="25"/>
        <v/>
      </c>
      <c r="BW44" s="127" t="str">
        <f t="shared" si="25"/>
        <v/>
      </c>
      <c r="BX44" s="127" t="str">
        <f t="shared" si="25"/>
        <v/>
      </c>
      <c r="BY44" s="127" t="str">
        <f t="shared" si="25"/>
        <v/>
      </c>
      <c r="BZ44" s="127" t="str">
        <f t="shared" si="25"/>
        <v/>
      </c>
      <c r="CA44" s="127" t="str">
        <f t="shared" si="25"/>
        <v/>
      </c>
      <c r="CB44" s="127" t="str">
        <f t="shared" si="25"/>
        <v/>
      </c>
      <c r="CC44" s="127" t="str">
        <f t="shared" si="25"/>
        <v/>
      </c>
      <c r="CD44" s="127" t="str">
        <f t="shared" si="25"/>
        <v/>
      </c>
      <c r="CE44" s="127" t="str">
        <f t="shared" si="25"/>
        <v/>
      </c>
    </row>
    <row r="45" spans="1:83" ht="12.6" customHeight="1" x14ac:dyDescent="0.2">
      <c r="A45" s="106">
        <f>SHIPMENTS!A51</f>
        <v>8938</v>
      </c>
      <c r="B45" s="106" t="str">
        <f>SHIPMENTS!B51</f>
        <v>9600-NEW ZEALAND</v>
      </c>
      <c r="C45" s="132">
        <f>SHIPMENTS!F51</f>
        <v>36.496094285714285</v>
      </c>
      <c r="D45" s="107" t="str">
        <f>IF((SHIPMENTS!I51)=0,"",SHIPMENTS!I51)</f>
        <v>1X20</v>
      </c>
      <c r="E45" s="176" t="str">
        <f>IF((SHIPMENTS!G51)=0,"",SHIPMENTS!G51)</f>
        <v>TBA</v>
      </c>
      <c r="F45" s="97">
        <f>VLOOKUP(A45,Items!$A$5:$J$1000,7,0)</f>
        <v>25</v>
      </c>
      <c r="G45" s="98">
        <f>VLOOKUP(A45,load!$A$4:$U$5001,7,0)</f>
        <v>13.458499999999999</v>
      </c>
      <c r="H45" s="97">
        <f>Manhours!$C$23</f>
        <v>32</v>
      </c>
      <c r="I45" s="98">
        <f t="shared" si="16"/>
        <v>291.2</v>
      </c>
      <c r="J45" s="99">
        <f t="shared" si="17"/>
        <v>4.621737637362637E-2</v>
      </c>
      <c r="K45" s="99">
        <f t="shared" si="18"/>
        <v>0.42057812499999997</v>
      </c>
      <c r="L45" s="98">
        <f t="shared" si="19"/>
        <v>4.621737637362637E-2</v>
      </c>
      <c r="M45" s="98">
        <f t="shared" si="20"/>
        <v>0.42057812499999997</v>
      </c>
      <c r="N45" s="181">
        <f t="shared" si="21"/>
        <v>46336.374979006396</v>
      </c>
      <c r="O45" s="181">
        <f t="shared" si="22"/>
        <v>46336.421196382769</v>
      </c>
      <c r="P45" s="101">
        <f>VLOOKUP(A45,SHIPMENTS!$A$7:$N$171,12,0)</f>
        <v>0</v>
      </c>
      <c r="Q45" s="101"/>
      <c r="R45" s="127" t="str">
        <f t="shared" si="24"/>
        <v/>
      </c>
      <c r="S45" s="127" t="str">
        <f t="shared" si="24"/>
        <v/>
      </c>
      <c r="T45" s="127" t="str">
        <f t="shared" si="24"/>
        <v/>
      </c>
      <c r="U45" s="127" t="str">
        <f t="shared" si="24"/>
        <v/>
      </c>
      <c r="V45" s="127" t="str">
        <f t="shared" si="24"/>
        <v/>
      </c>
      <c r="W45" s="127" t="str">
        <f t="shared" si="24"/>
        <v/>
      </c>
      <c r="X45" s="127" t="str">
        <f t="shared" si="24"/>
        <v/>
      </c>
      <c r="Y45" s="127" t="str">
        <f t="shared" si="24"/>
        <v/>
      </c>
      <c r="Z45" s="127" t="str">
        <f t="shared" si="24"/>
        <v/>
      </c>
      <c r="AA45" s="127" t="str">
        <f t="shared" si="24"/>
        <v/>
      </c>
      <c r="AB45" s="127" t="str">
        <f t="shared" si="24"/>
        <v/>
      </c>
      <c r="AC45" s="127" t="str">
        <f t="shared" si="24"/>
        <v/>
      </c>
      <c r="AD45" s="127" t="str">
        <f t="shared" si="24"/>
        <v/>
      </c>
      <c r="AE45" s="127" t="str">
        <f t="shared" si="24"/>
        <v/>
      </c>
      <c r="AF45" s="127" t="str">
        <f t="shared" si="24"/>
        <v/>
      </c>
      <c r="AG45" s="127" t="str">
        <f t="shared" si="24"/>
        <v/>
      </c>
      <c r="AH45" s="127" t="str">
        <f t="shared" si="23"/>
        <v/>
      </c>
      <c r="AI45" s="127" t="str">
        <f t="shared" si="23"/>
        <v/>
      </c>
      <c r="AJ45" s="127" t="str">
        <f t="shared" si="23"/>
        <v/>
      </c>
      <c r="AK45" s="127" t="str">
        <f t="shared" si="23"/>
        <v/>
      </c>
      <c r="AL45" s="127" t="str">
        <f t="shared" si="23"/>
        <v/>
      </c>
      <c r="AM45" s="127" t="str">
        <f t="shared" si="23"/>
        <v/>
      </c>
      <c r="AN45" s="127" t="str">
        <f t="shared" si="23"/>
        <v/>
      </c>
      <c r="AO45" s="127" t="str">
        <f t="shared" si="23"/>
        <v/>
      </c>
      <c r="AP45" s="127" t="str">
        <f t="shared" si="23"/>
        <v/>
      </c>
      <c r="AQ45" s="127" t="str">
        <f t="shared" si="23"/>
        <v/>
      </c>
      <c r="AR45" s="127" t="str">
        <f t="shared" si="23"/>
        <v/>
      </c>
      <c r="AS45" s="127" t="str">
        <f t="shared" si="23"/>
        <v/>
      </c>
      <c r="AT45" s="127" t="str">
        <f t="shared" si="23"/>
        <v/>
      </c>
      <c r="AU45" s="127" t="str">
        <f t="shared" si="23"/>
        <v/>
      </c>
      <c r="AV45" s="127" t="str">
        <f t="shared" si="23"/>
        <v/>
      </c>
      <c r="AW45" s="127" t="str">
        <f t="shared" si="23"/>
        <v/>
      </c>
      <c r="AX45" s="127" t="str">
        <f t="shared" si="27"/>
        <v/>
      </c>
      <c r="AY45" s="127" t="str">
        <f t="shared" si="27"/>
        <v/>
      </c>
      <c r="AZ45" s="127" t="str">
        <f t="shared" si="27"/>
        <v/>
      </c>
      <c r="BA45" s="127" t="str">
        <f t="shared" si="27"/>
        <v/>
      </c>
      <c r="BB45" s="127" t="str">
        <f t="shared" si="27"/>
        <v/>
      </c>
      <c r="BC45" s="127" t="str">
        <f t="shared" si="27"/>
        <v/>
      </c>
      <c r="BD45" s="127" t="str">
        <f t="shared" si="27"/>
        <v/>
      </c>
      <c r="BE45" s="127" t="str">
        <f t="shared" si="27"/>
        <v/>
      </c>
      <c r="BF45" s="127" t="str">
        <f t="shared" si="27"/>
        <v/>
      </c>
      <c r="BG45" s="127" t="str">
        <f t="shared" si="27"/>
        <v/>
      </c>
      <c r="BH45" s="127" t="str">
        <f t="shared" si="27"/>
        <v/>
      </c>
      <c r="BI45" s="127" t="str">
        <f t="shared" si="27"/>
        <v/>
      </c>
      <c r="BJ45" s="127" t="str">
        <f t="shared" si="27"/>
        <v/>
      </c>
      <c r="BK45" s="127" t="str">
        <f t="shared" si="27"/>
        <v/>
      </c>
      <c r="BL45" s="127" t="str">
        <f t="shared" si="27"/>
        <v/>
      </c>
      <c r="BM45" s="127" t="str">
        <f t="shared" si="27"/>
        <v/>
      </c>
      <c r="BN45" s="127" t="str">
        <f t="shared" si="27"/>
        <v/>
      </c>
      <c r="BO45" s="127" t="str">
        <f t="shared" si="27"/>
        <v/>
      </c>
      <c r="BP45" s="127" t="str">
        <f t="shared" si="27"/>
        <v/>
      </c>
      <c r="BQ45" s="127" t="str">
        <f t="shared" si="27"/>
        <v/>
      </c>
      <c r="BR45" s="127" t="str">
        <f t="shared" si="27"/>
        <v/>
      </c>
      <c r="BS45" s="127" t="str">
        <f t="shared" si="27"/>
        <v/>
      </c>
      <c r="BT45" s="127" t="str">
        <f t="shared" si="25"/>
        <v/>
      </c>
      <c r="BU45" s="127" t="str">
        <f t="shared" si="25"/>
        <v/>
      </c>
      <c r="BV45" s="127" t="str">
        <f t="shared" si="25"/>
        <v/>
      </c>
      <c r="BW45" s="127" t="str">
        <f t="shared" si="25"/>
        <v/>
      </c>
      <c r="BX45" s="127" t="str">
        <f t="shared" si="25"/>
        <v/>
      </c>
      <c r="BY45" s="127" t="str">
        <f t="shared" si="25"/>
        <v/>
      </c>
      <c r="BZ45" s="127" t="str">
        <f t="shared" si="25"/>
        <v/>
      </c>
      <c r="CA45" s="127" t="str">
        <f t="shared" si="25"/>
        <v/>
      </c>
      <c r="CB45" s="127" t="str">
        <f t="shared" si="25"/>
        <v/>
      </c>
      <c r="CC45" s="127" t="str">
        <f t="shared" si="25"/>
        <v/>
      </c>
      <c r="CD45" s="127" t="str">
        <f t="shared" si="25"/>
        <v/>
      </c>
      <c r="CE45" s="127" t="str">
        <f t="shared" si="25"/>
        <v/>
      </c>
    </row>
    <row r="46" spans="1:83" ht="12.6" customHeight="1" x14ac:dyDescent="0.2">
      <c r="A46" s="106">
        <f>SHIPMENTS!A52</f>
        <v>9153</v>
      </c>
      <c r="B46" s="106" t="str">
        <f>SHIPMENTS!B52</f>
        <v>9600-NEW ZEALAND</v>
      </c>
      <c r="C46" s="132">
        <f>SHIPMENTS!F52</f>
        <v>0</v>
      </c>
      <c r="D46" s="107" t="str">
        <f>IF((SHIPMENTS!I52)=0,"",SHIPMENTS!I52)</f>
        <v/>
      </c>
      <c r="E46" s="176" t="str">
        <f>IF((SHIPMENTS!G52)=0,"",SHIPMENTS!G52)</f>
        <v>TBA</v>
      </c>
      <c r="F46" s="97">
        <f>VLOOKUP(A46,Items!$A$5:$J$1000,7,0)</f>
        <v>14</v>
      </c>
      <c r="G46" s="98">
        <f>VLOOKUP(A46,load!$A$4:$U$5001,7,0)</f>
        <v>6.6276666666666664</v>
      </c>
      <c r="H46" s="97">
        <f>Manhours!$C$23</f>
        <v>32</v>
      </c>
      <c r="I46" s="98">
        <f t="shared" ref="I46:I52" si="28">+H46*$I$4</f>
        <v>291.2</v>
      </c>
      <c r="J46" s="99">
        <f t="shared" ref="J46:J52" si="29">G46/I46</f>
        <v>2.2759844322344323E-2</v>
      </c>
      <c r="K46" s="99">
        <f t="shared" ref="K46:K52" si="30">+J46*$I$4</f>
        <v>0.20711458333333332</v>
      </c>
      <c r="L46" s="98">
        <f t="shared" ref="L46:L52" si="31">IFERROR(J46-(J46*P46),0)</f>
        <v>2.2759844322344323E-2</v>
      </c>
      <c r="M46" s="98">
        <f t="shared" ref="M46:M52" si="32">IFERROR(K46-(K46*P46),0)</f>
        <v>0.20711458333333332</v>
      </c>
      <c r="N46" s="181">
        <f t="shared" ref="N46:N52" si="33">O45</f>
        <v>46336.421196382769</v>
      </c>
      <c r="O46" s="181">
        <f t="shared" ref="O46:O52" si="34">N46+L46</f>
        <v>46336.443956227093</v>
      </c>
      <c r="P46" s="101">
        <f>VLOOKUP(A46,SHIPMENTS!$A$7:$N$171,12,0)</f>
        <v>0</v>
      </c>
      <c r="Q46" s="101"/>
      <c r="R46" s="127" t="str">
        <f t="shared" si="24"/>
        <v/>
      </c>
      <c r="S46" s="127" t="str">
        <f t="shared" si="24"/>
        <v/>
      </c>
      <c r="T46" s="127" t="str">
        <f t="shared" si="24"/>
        <v/>
      </c>
      <c r="U46" s="127" t="str">
        <f t="shared" si="24"/>
        <v/>
      </c>
      <c r="V46" s="127" t="str">
        <f t="shared" si="24"/>
        <v/>
      </c>
      <c r="W46" s="127" t="str">
        <f t="shared" si="24"/>
        <v/>
      </c>
      <c r="X46" s="127" t="str">
        <f t="shared" si="24"/>
        <v/>
      </c>
      <c r="Y46" s="127" t="str">
        <f t="shared" si="24"/>
        <v/>
      </c>
      <c r="Z46" s="127" t="str">
        <f t="shared" si="24"/>
        <v/>
      </c>
      <c r="AA46" s="127" t="str">
        <f t="shared" si="24"/>
        <v/>
      </c>
      <c r="AB46" s="127" t="str">
        <f t="shared" si="24"/>
        <v/>
      </c>
      <c r="AC46" s="127" t="str">
        <f t="shared" si="24"/>
        <v/>
      </c>
      <c r="AD46" s="127" t="str">
        <f t="shared" si="24"/>
        <v/>
      </c>
      <c r="AE46" s="127" t="str">
        <f t="shared" si="24"/>
        <v/>
      </c>
      <c r="AF46" s="127" t="str">
        <f t="shared" si="24"/>
        <v/>
      </c>
      <c r="AG46" s="127" t="str">
        <f t="shared" si="24"/>
        <v/>
      </c>
      <c r="AH46" s="127" t="str">
        <f t="shared" si="23"/>
        <v/>
      </c>
      <c r="AI46" s="127" t="str">
        <f t="shared" si="23"/>
        <v/>
      </c>
      <c r="AJ46" s="127" t="str">
        <f t="shared" si="23"/>
        <v/>
      </c>
      <c r="AK46" s="127" t="str">
        <f t="shared" si="23"/>
        <v/>
      </c>
      <c r="AL46" s="127" t="str">
        <f t="shared" si="23"/>
        <v/>
      </c>
      <c r="AM46" s="127" t="str">
        <f t="shared" si="23"/>
        <v/>
      </c>
      <c r="AN46" s="127" t="str">
        <f t="shared" si="23"/>
        <v/>
      </c>
      <c r="AO46" s="127" t="str">
        <f t="shared" si="23"/>
        <v/>
      </c>
      <c r="AP46" s="127" t="str">
        <f t="shared" si="23"/>
        <v/>
      </c>
      <c r="AQ46" s="127" t="str">
        <f t="shared" si="23"/>
        <v/>
      </c>
      <c r="AR46" s="127" t="str">
        <f t="shared" si="23"/>
        <v/>
      </c>
      <c r="AS46" s="127" t="str">
        <f t="shared" si="23"/>
        <v/>
      </c>
      <c r="AT46" s="127" t="str">
        <f t="shared" si="23"/>
        <v/>
      </c>
      <c r="AU46" s="127" t="str">
        <f t="shared" si="23"/>
        <v/>
      </c>
      <c r="AV46" s="127" t="str">
        <f t="shared" si="23"/>
        <v/>
      </c>
      <c r="AW46" s="127" t="str">
        <f t="shared" si="23"/>
        <v/>
      </c>
      <c r="AX46" s="127" t="str">
        <f t="shared" si="27"/>
        <v/>
      </c>
      <c r="AY46" s="127" t="str">
        <f t="shared" si="27"/>
        <v/>
      </c>
      <c r="AZ46" s="127" t="str">
        <f t="shared" si="27"/>
        <v/>
      </c>
      <c r="BA46" s="127" t="str">
        <f t="shared" si="27"/>
        <v/>
      </c>
      <c r="BB46" s="127" t="str">
        <f t="shared" si="27"/>
        <v/>
      </c>
      <c r="BC46" s="127" t="str">
        <f t="shared" si="27"/>
        <v/>
      </c>
      <c r="BD46" s="127" t="str">
        <f t="shared" si="27"/>
        <v/>
      </c>
      <c r="BE46" s="127" t="str">
        <f t="shared" si="27"/>
        <v/>
      </c>
      <c r="BF46" s="127" t="str">
        <f t="shared" si="27"/>
        <v/>
      </c>
      <c r="BG46" s="127" t="str">
        <f t="shared" si="27"/>
        <v/>
      </c>
      <c r="BH46" s="127" t="str">
        <f t="shared" si="27"/>
        <v/>
      </c>
      <c r="BI46" s="127" t="str">
        <f t="shared" si="27"/>
        <v/>
      </c>
      <c r="BJ46" s="127" t="str">
        <f t="shared" si="27"/>
        <v/>
      </c>
      <c r="BK46" s="127" t="str">
        <f t="shared" si="27"/>
        <v/>
      </c>
      <c r="BL46" s="127" t="str">
        <f t="shared" si="27"/>
        <v/>
      </c>
      <c r="BM46" s="127" t="str">
        <f t="shared" si="27"/>
        <v/>
      </c>
      <c r="BN46" s="127" t="str">
        <f t="shared" si="27"/>
        <v/>
      </c>
      <c r="BO46" s="127" t="str">
        <f t="shared" si="27"/>
        <v/>
      </c>
      <c r="BP46" s="127" t="str">
        <f t="shared" si="27"/>
        <v/>
      </c>
      <c r="BQ46" s="127" t="str">
        <f t="shared" si="27"/>
        <v/>
      </c>
      <c r="BR46" s="127" t="str">
        <f t="shared" si="27"/>
        <v/>
      </c>
      <c r="BS46" s="127" t="str">
        <f t="shared" si="27"/>
        <v/>
      </c>
      <c r="BT46" s="127" t="str">
        <f t="shared" si="25"/>
        <v/>
      </c>
      <c r="BU46" s="127" t="str">
        <f t="shared" si="25"/>
        <v/>
      </c>
      <c r="BV46" s="127" t="str">
        <f t="shared" si="25"/>
        <v/>
      </c>
      <c r="BW46" s="127" t="str">
        <f t="shared" si="25"/>
        <v/>
      </c>
      <c r="BX46" s="127" t="str">
        <f t="shared" si="25"/>
        <v/>
      </c>
      <c r="BY46" s="127" t="str">
        <f t="shared" si="25"/>
        <v/>
      </c>
      <c r="BZ46" s="127" t="str">
        <f t="shared" si="25"/>
        <v/>
      </c>
      <c r="CA46" s="127" t="str">
        <f t="shared" si="25"/>
        <v/>
      </c>
      <c r="CB46" s="127" t="str">
        <f t="shared" si="25"/>
        <v/>
      </c>
      <c r="CC46" s="127" t="str">
        <f t="shared" si="25"/>
        <v/>
      </c>
      <c r="CD46" s="127" t="str">
        <f t="shared" si="25"/>
        <v/>
      </c>
      <c r="CE46" s="127" t="str">
        <f t="shared" si="25"/>
        <v/>
      </c>
    </row>
    <row r="47" spans="1:83" ht="12.6" hidden="1" customHeight="1" x14ac:dyDescent="0.2">
      <c r="A47" s="106">
        <f>SHIPMENTS!A53</f>
        <v>8294</v>
      </c>
      <c r="B47" s="106" t="str">
        <f>SHIPMENTS!B53</f>
        <v>9600-NEW ZEALAND BACKLOG</v>
      </c>
      <c r="C47" s="132">
        <f>SHIPMENTS!F53</f>
        <v>0</v>
      </c>
      <c r="D47" s="107" t="str">
        <f>IF((SHIPMENTS!I53)=0,"",SHIPMENTS!I53)</f>
        <v/>
      </c>
      <c r="E47" s="176" t="str">
        <f>IF((SHIPMENTS!G53)=0,"",SHIPMENTS!G53)</f>
        <v>TBA</v>
      </c>
      <c r="F47" s="97">
        <f>VLOOKUP(A47,Items!$A$5:$J$1000,7,0)</f>
        <v>0</v>
      </c>
      <c r="G47" s="98">
        <f>VLOOKUP(A47,load!$A$4:$U$5001,7,0)</f>
        <v>0</v>
      </c>
      <c r="H47" s="97">
        <f>Manhours!$C$23</f>
        <v>32</v>
      </c>
      <c r="I47" s="98">
        <f t="shared" si="28"/>
        <v>291.2</v>
      </c>
      <c r="J47" s="99">
        <f t="shared" si="29"/>
        <v>0</v>
      </c>
      <c r="K47" s="99">
        <f t="shared" si="30"/>
        <v>0</v>
      </c>
      <c r="L47" s="98">
        <f t="shared" si="31"/>
        <v>0</v>
      </c>
      <c r="M47" s="98">
        <f t="shared" si="32"/>
        <v>0</v>
      </c>
      <c r="N47" s="181">
        <f t="shared" si="33"/>
        <v>46336.443956227093</v>
      </c>
      <c r="O47" s="181">
        <f t="shared" si="34"/>
        <v>46336.443956227093</v>
      </c>
      <c r="P47" s="101" t="str">
        <f>VLOOKUP(A47,SHIPMENTS!$A$7:$N$171,12,0)</f>
        <v>n/a</v>
      </c>
      <c r="Q47" s="101"/>
      <c r="R47" s="127" t="str">
        <f t="shared" si="24"/>
        <v/>
      </c>
      <c r="S47" s="127" t="str">
        <f t="shared" si="24"/>
        <v/>
      </c>
      <c r="T47" s="127" t="str">
        <f t="shared" si="24"/>
        <v/>
      </c>
      <c r="U47" s="127" t="str">
        <f t="shared" si="24"/>
        <v/>
      </c>
      <c r="V47" s="127" t="str">
        <f t="shared" si="24"/>
        <v/>
      </c>
      <c r="W47" s="127" t="str">
        <f t="shared" si="24"/>
        <v/>
      </c>
      <c r="X47" s="127" t="str">
        <f t="shared" si="24"/>
        <v/>
      </c>
      <c r="Y47" s="127" t="str">
        <f t="shared" si="24"/>
        <v/>
      </c>
      <c r="Z47" s="127" t="str">
        <f t="shared" si="24"/>
        <v/>
      </c>
      <c r="AA47" s="127" t="str">
        <f t="shared" si="24"/>
        <v/>
      </c>
      <c r="AB47" s="127" t="str">
        <f t="shared" si="24"/>
        <v/>
      </c>
      <c r="AC47" s="127" t="str">
        <f t="shared" si="24"/>
        <v/>
      </c>
      <c r="AD47" s="127" t="str">
        <f t="shared" si="24"/>
        <v/>
      </c>
      <c r="AE47" s="127" t="str">
        <f t="shared" si="24"/>
        <v/>
      </c>
      <c r="AF47" s="127" t="str">
        <f t="shared" si="24"/>
        <v/>
      </c>
      <c r="AG47" s="127" t="str">
        <f t="shared" si="24"/>
        <v/>
      </c>
      <c r="AH47" s="127" t="str">
        <f t="shared" si="23"/>
        <v/>
      </c>
      <c r="AI47" s="127" t="str">
        <f t="shared" si="23"/>
        <v/>
      </c>
      <c r="AJ47" s="127" t="str">
        <f t="shared" si="23"/>
        <v/>
      </c>
      <c r="AK47" s="127" t="str">
        <f t="shared" si="23"/>
        <v/>
      </c>
      <c r="AL47" s="127" t="str">
        <f t="shared" si="23"/>
        <v/>
      </c>
      <c r="AM47" s="127" t="str">
        <f t="shared" si="23"/>
        <v/>
      </c>
      <c r="AN47" s="127" t="str">
        <f t="shared" si="23"/>
        <v/>
      </c>
      <c r="AO47" s="127" t="str">
        <f t="shared" si="23"/>
        <v/>
      </c>
      <c r="AP47" s="127" t="str">
        <f t="shared" si="23"/>
        <v/>
      </c>
      <c r="AQ47" s="127" t="str">
        <f t="shared" si="23"/>
        <v/>
      </c>
      <c r="AR47" s="127" t="str">
        <f t="shared" si="23"/>
        <v/>
      </c>
      <c r="AS47" s="127" t="str">
        <f t="shared" si="23"/>
        <v/>
      </c>
      <c r="AT47" s="127" t="str">
        <f t="shared" si="23"/>
        <v/>
      </c>
      <c r="AU47" s="127" t="str">
        <f t="shared" si="23"/>
        <v/>
      </c>
      <c r="AV47" s="127" t="str">
        <f t="shared" si="23"/>
        <v/>
      </c>
      <c r="AW47" s="127" t="str">
        <f t="shared" si="23"/>
        <v/>
      </c>
      <c r="AX47" s="127" t="str">
        <f t="shared" si="27"/>
        <v/>
      </c>
      <c r="AY47" s="127" t="str">
        <f t="shared" si="27"/>
        <v/>
      </c>
      <c r="AZ47" s="127" t="str">
        <f t="shared" si="27"/>
        <v/>
      </c>
      <c r="BA47" s="127" t="str">
        <f t="shared" si="27"/>
        <v/>
      </c>
      <c r="BB47" s="127" t="str">
        <f t="shared" si="27"/>
        <v/>
      </c>
      <c r="BC47" s="127" t="str">
        <f t="shared" si="27"/>
        <v/>
      </c>
      <c r="BD47" s="127" t="str">
        <f t="shared" si="27"/>
        <v/>
      </c>
      <c r="BE47" s="127" t="str">
        <f t="shared" si="27"/>
        <v/>
      </c>
      <c r="BF47" s="127" t="str">
        <f t="shared" si="27"/>
        <v/>
      </c>
      <c r="BG47" s="127" t="str">
        <f t="shared" si="27"/>
        <v/>
      </c>
      <c r="BH47" s="127" t="str">
        <f t="shared" si="27"/>
        <v/>
      </c>
      <c r="BI47" s="127" t="str">
        <f t="shared" si="27"/>
        <v/>
      </c>
      <c r="BJ47" s="127" t="str">
        <f t="shared" si="27"/>
        <v/>
      </c>
      <c r="BK47" s="127" t="str">
        <f t="shared" si="27"/>
        <v/>
      </c>
      <c r="BL47" s="127" t="str">
        <f t="shared" si="27"/>
        <v/>
      </c>
      <c r="BM47" s="127" t="str">
        <f t="shared" si="27"/>
        <v/>
      </c>
      <c r="BN47" s="127" t="str">
        <f t="shared" si="27"/>
        <v/>
      </c>
      <c r="BO47" s="127" t="str">
        <f t="shared" si="27"/>
        <v/>
      </c>
      <c r="BP47" s="127" t="str">
        <f t="shared" si="27"/>
        <v/>
      </c>
      <c r="BQ47" s="127" t="str">
        <f t="shared" si="27"/>
        <v/>
      </c>
      <c r="BR47" s="127" t="str">
        <f t="shared" si="27"/>
        <v/>
      </c>
      <c r="BS47" s="127" t="str">
        <f t="shared" si="27"/>
        <v/>
      </c>
      <c r="BT47" s="127" t="str">
        <f t="shared" si="25"/>
        <v/>
      </c>
      <c r="BU47" s="127" t="str">
        <f t="shared" si="25"/>
        <v/>
      </c>
      <c r="BV47" s="127" t="str">
        <f t="shared" si="25"/>
        <v/>
      </c>
      <c r="BW47" s="127" t="str">
        <f t="shared" si="25"/>
        <v/>
      </c>
      <c r="BX47" s="127" t="str">
        <f t="shared" si="25"/>
        <v/>
      </c>
      <c r="BY47" s="127" t="str">
        <f t="shared" si="25"/>
        <v/>
      </c>
      <c r="BZ47" s="127" t="str">
        <f t="shared" si="25"/>
        <v/>
      </c>
      <c r="CA47" s="127" t="str">
        <f t="shared" si="25"/>
        <v/>
      </c>
      <c r="CB47" s="127" t="str">
        <f t="shared" si="25"/>
        <v/>
      </c>
      <c r="CC47" s="127" t="str">
        <f t="shared" si="25"/>
        <v/>
      </c>
      <c r="CD47" s="127" t="str">
        <f t="shared" si="25"/>
        <v/>
      </c>
      <c r="CE47" s="127" t="str">
        <f t="shared" si="25"/>
        <v/>
      </c>
    </row>
    <row r="48" spans="1:83" ht="12.6" hidden="1" customHeight="1" x14ac:dyDescent="0.2">
      <c r="A48" s="106">
        <f>SHIPMENTS!A54</f>
        <v>7114</v>
      </c>
      <c r="B48" s="106" t="str">
        <f>SHIPMENTS!B54</f>
        <v>9600-NEW ZEALAND BACKLOG</v>
      </c>
      <c r="C48" s="132">
        <f>SHIPMENTS!F54</f>
        <v>0</v>
      </c>
      <c r="D48" s="107" t="str">
        <f>IF((SHIPMENTS!I54)=0,"",SHIPMENTS!I54)</f>
        <v/>
      </c>
      <c r="E48" s="176" t="str">
        <f>IF((SHIPMENTS!G54)=0,"",SHIPMENTS!G54)</f>
        <v/>
      </c>
      <c r="F48" s="97">
        <f>VLOOKUP(A48,Items!$A$5:$J$1000,7,0)</f>
        <v>0</v>
      </c>
      <c r="G48" s="98">
        <f>VLOOKUP(A48,load!$A$4:$U$5001,7,0)</f>
        <v>0</v>
      </c>
      <c r="H48" s="97">
        <f>Manhours!$C$23</f>
        <v>32</v>
      </c>
      <c r="I48" s="98">
        <f t="shared" si="28"/>
        <v>291.2</v>
      </c>
      <c r="J48" s="99">
        <f t="shared" si="29"/>
        <v>0</v>
      </c>
      <c r="K48" s="99">
        <f t="shared" si="30"/>
        <v>0</v>
      </c>
      <c r="L48" s="98">
        <f t="shared" si="31"/>
        <v>0</v>
      </c>
      <c r="M48" s="98">
        <f t="shared" si="32"/>
        <v>0</v>
      </c>
      <c r="N48" s="181">
        <f t="shared" si="33"/>
        <v>46336.443956227093</v>
      </c>
      <c r="O48" s="181">
        <f t="shared" si="34"/>
        <v>46336.443956227093</v>
      </c>
      <c r="P48" s="101" t="str">
        <f>VLOOKUP(A48,SHIPMENTS!$A$7:$N$171,12,0)</f>
        <v>n/a</v>
      </c>
      <c r="Q48" s="101"/>
      <c r="R48" s="127" t="str">
        <f t="shared" si="24"/>
        <v/>
      </c>
      <c r="S48" s="127" t="str">
        <f t="shared" si="24"/>
        <v/>
      </c>
      <c r="T48" s="127" t="str">
        <f t="shared" si="24"/>
        <v/>
      </c>
      <c r="U48" s="127" t="str">
        <f t="shared" si="24"/>
        <v/>
      </c>
      <c r="V48" s="127" t="str">
        <f t="shared" si="24"/>
        <v/>
      </c>
      <c r="W48" s="127" t="str">
        <f t="shared" si="24"/>
        <v/>
      </c>
      <c r="X48" s="127" t="str">
        <f t="shared" si="24"/>
        <v/>
      </c>
      <c r="Y48" s="127" t="str">
        <f t="shared" si="24"/>
        <v/>
      </c>
      <c r="Z48" s="127" t="str">
        <f t="shared" si="24"/>
        <v/>
      </c>
      <c r="AA48" s="127" t="str">
        <f t="shared" si="24"/>
        <v/>
      </c>
      <c r="AB48" s="127" t="str">
        <f t="shared" si="24"/>
        <v/>
      </c>
      <c r="AC48" s="127" t="str">
        <f t="shared" si="24"/>
        <v/>
      </c>
      <c r="AD48" s="127" t="str">
        <f t="shared" si="24"/>
        <v/>
      </c>
      <c r="AE48" s="127" t="str">
        <f t="shared" si="24"/>
        <v/>
      </c>
      <c r="AF48" s="127" t="str">
        <f t="shared" si="24"/>
        <v/>
      </c>
      <c r="AG48" s="127" t="str">
        <f t="shared" si="24"/>
        <v/>
      </c>
      <c r="AH48" s="127" t="str">
        <f t="shared" si="23"/>
        <v/>
      </c>
      <c r="AI48" s="127" t="str">
        <f t="shared" si="23"/>
        <v/>
      </c>
      <c r="AJ48" s="127" t="str">
        <f t="shared" si="23"/>
        <v/>
      </c>
      <c r="AK48" s="127" t="str">
        <f t="shared" si="23"/>
        <v/>
      </c>
      <c r="AL48" s="127" t="str">
        <f t="shared" si="23"/>
        <v/>
      </c>
      <c r="AM48" s="127" t="str">
        <f t="shared" si="23"/>
        <v/>
      </c>
      <c r="AN48" s="127" t="str">
        <f t="shared" si="23"/>
        <v/>
      </c>
      <c r="AO48" s="127" t="str">
        <f t="shared" si="23"/>
        <v/>
      </c>
      <c r="AP48" s="127" t="str">
        <f t="shared" si="23"/>
        <v/>
      </c>
      <c r="AQ48" s="127" t="str">
        <f t="shared" si="23"/>
        <v/>
      </c>
      <c r="AR48" s="127" t="str">
        <f t="shared" si="23"/>
        <v/>
      </c>
      <c r="AS48" s="127" t="str">
        <f t="shared" si="23"/>
        <v/>
      </c>
      <c r="AT48" s="127" t="str">
        <f t="shared" si="23"/>
        <v/>
      </c>
      <c r="AU48" s="127" t="str">
        <f t="shared" si="23"/>
        <v/>
      </c>
      <c r="AV48" s="127" t="str">
        <f t="shared" si="23"/>
        <v/>
      </c>
      <c r="AW48" s="127" t="str">
        <f t="shared" ref="AH48:AW53" si="35">IF($E48=AW$3,"▲","")</f>
        <v/>
      </c>
      <c r="AX48" s="127" t="str">
        <f t="shared" si="27"/>
        <v/>
      </c>
      <c r="AY48" s="127" t="str">
        <f t="shared" si="27"/>
        <v/>
      </c>
      <c r="AZ48" s="127" t="str">
        <f t="shared" si="27"/>
        <v/>
      </c>
      <c r="BA48" s="127" t="str">
        <f t="shared" si="27"/>
        <v/>
      </c>
      <c r="BB48" s="127" t="str">
        <f t="shared" si="27"/>
        <v/>
      </c>
      <c r="BC48" s="127" t="str">
        <f t="shared" si="27"/>
        <v/>
      </c>
      <c r="BD48" s="127" t="str">
        <f t="shared" si="27"/>
        <v/>
      </c>
      <c r="BE48" s="127" t="str">
        <f t="shared" si="27"/>
        <v/>
      </c>
      <c r="BF48" s="127" t="str">
        <f t="shared" si="27"/>
        <v/>
      </c>
      <c r="BG48" s="127" t="str">
        <f t="shared" si="27"/>
        <v/>
      </c>
      <c r="BH48" s="127" t="str">
        <f t="shared" si="27"/>
        <v/>
      </c>
      <c r="BI48" s="127" t="str">
        <f t="shared" si="27"/>
        <v/>
      </c>
      <c r="BJ48" s="127" t="str">
        <f t="shared" si="27"/>
        <v/>
      </c>
      <c r="BK48" s="127" t="str">
        <f t="shared" si="27"/>
        <v/>
      </c>
      <c r="BL48" s="127" t="str">
        <f t="shared" si="27"/>
        <v/>
      </c>
      <c r="BM48" s="127" t="str">
        <f t="shared" si="27"/>
        <v/>
      </c>
      <c r="BN48" s="127" t="str">
        <f t="shared" si="27"/>
        <v/>
      </c>
      <c r="BO48" s="127" t="str">
        <f t="shared" si="27"/>
        <v/>
      </c>
      <c r="BP48" s="127" t="str">
        <f t="shared" si="27"/>
        <v/>
      </c>
      <c r="BQ48" s="127" t="str">
        <f t="shared" si="27"/>
        <v/>
      </c>
      <c r="BR48" s="127" t="str">
        <f t="shared" si="27"/>
        <v/>
      </c>
      <c r="BS48" s="127" t="str">
        <f t="shared" si="27"/>
        <v/>
      </c>
      <c r="BT48" s="127" t="str">
        <f t="shared" si="25"/>
        <v/>
      </c>
      <c r="BU48" s="127" t="str">
        <f t="shared" si="25"/>
        <v/>
      </c>
      <c r="BV48" s="127" t="str">
        <f t="shared" si="25"/>
        <v/>
      </c>
      <c r="BW48" s="127" t="str">
        <f t="shared" si="25"/>
        <v/>
      </c>
      <c r="BX48" s="127" t="str">
        <f t="shared" si="25"/>
        <v/>
      </c>
      <c r="BY48" s="127" t="str">
        <f t="shared" si="25"/>
        <v/>
      </c>
      <c r="BZ48" s="127" t="str">
        <f t="shared" si="25"/>
        <v/>
      </c>
      <c r="CA48" s="127" t="str">
        <f t="shared" si="25"/>
        <v/>
      </c>
      <c r="CB48" s="127" t="str">
        <f t="shared" si="25"/>
        <v/>
      </c>
      <c r="CC48" s="127" t="str">
        <f t="shared" si="25"/>
        <v/>
      </c>
      <c r="CD48" s="127" t="str">
        <f t="shared" si="25"/>
        <v/>
      </c>
      <c r="CE48" s="127" t="str">
        <f t="shared" si="25"/>
        <v/>
      </c>
    </row>
    <row r="49" spans="1:83" ht="12.6" hidden="1" customHeight="1" x14ac:dyDescent="0.2">
      <c r="A49" s="106">
        <f>SHIPMENTS!A55</f>
        <v>6967</v>
      </c>
      <c r="B49" s="106" t="str">
        <f>SHIPMENTS!B55</f>
        <v>9600-NEW ZEALAND BACKLOG</v>
      </c>
      <c r="C49" s="132">
        <f>SHIPMENTS!F55</f>
        <v>0</v>
      </c>
      <c r="D49" s="107" t="str">
        <f>IF((SHIPMENTS!I55)=0,"",SHIPMENTS!I55)</f>
        <v/>
      </c>
      <c r="E49" s="176" t="str">
        <f>IF((SHIPMENTS!G55)=0,"",SHIPMENTS!G55)</f>
        <v/>
      </c>
      <c r="F49" s="97">
        <f>VLOOKUP(A49,Items!$A$5:$J$1000,7,0)</f>
        <v>0</v>
      </c>
      <c r="G49" s="98">
        <f>VLOOKUP(A49,load!$A$4:$U$5001,7,0)</f>
        <v>0</v>
      </c>
      <c r="H49" s="97">
        <f>Manhours!$C$23</f>
        <v>32</v>
      </c>
      <c r="I49" s="98">
        <f t="shared" si="28"/>
        <v>291.2</v>
      </c>
      <c r="J49" s="99">
        <f t="shared" si="29"/>
        <v>0</v>
      </c>
      <c r="K49" s="99">
        <f t="shared" si="30"/>
        <v>0</v>
      </c>
      <c r="L49" s="98">
        <f t="shared" si="31"/>
        <v>0</v>
      </c>
      <c r="M49" s="98">
        <f t="shared" si="32"/>
        <v>0</v>
      </c>
      <c r="N49" s="181">
        <f t="shared" si="33"/>
        <v>46336.443956227093</v>
      </c>
      <c r="O49" s="181">
        <f t="shared" si="34"/>
        <v>46336.443956227093</v>
      </c>
      <c r="P49" s="101" t="str">
        <f>VLOOKUP(A49,SHIPMENTS!$A$7:$N$171,12,0)</f>
        <v>n/a</v>
      </c>
      <c r="Q49" s="101"/>
      <c r="R49" s="127" t="str">
        <f t="shared" si="24"/>
        <v/>
      </c>
      <c r="S49" s="127" t="str">
        <f t="shared" si="24"/>
        <v/>
      </c>
      <c r="T49" s="127" t="str">
        <f t="shared" si="24"/>
        <v/>
      </c>
      <c r="U49" s="127" t="str">
        <f t="shared" si="24"/>
        <v/>
      </c>
      <c r="V49" s="127" t="str">
        <f t="shared" si="24"/>
        <v/>
      </c>
      <c r="W49" s="127" t="str">
        <f t="shared" si="24"/>
        <v/>
      </c>
      <c r="X49" s="127" t="str">
        <f t="shared" si="24"/>
        <v/>
      </c>
      <c r="Y49" s="127" t="str">
        <f t="shared" si="24"/>
        <v/>
      </c>
      <c r="Z49" s="127" t="str">
        <f t="shared" si="24"/>
        <v/>
      </c>
      <c r="AA49" s="127" t="str">
        <f t="shared" si="24"/>
        <v/>
      </c>
      <c r="AB49" s="127" t="str">
        <f t="shared" si="24"/>
        <v/>
      </c>
      <c r="AC49" s="127" t="str">
        <f t="shared" si="24"/>
        <v/>
      </c>
      <c r="AD49" s="127" t="str">
        <f t="shared" si="24"/>
        <v/>
      </c>
      <c r="AE49" s="127" t="str">
        <f t="shared" si="24"/>
        <v/>
      </c>
      <c r="AF49" s="127" t="str">
        <f t="shared" si="24"/>
        <v/>
      </c>
      <c r="AG49" s="127" t="str">
        <f t="shared" si="24"/>
        <v/>
      </c>
      <c r="AH49" s="127" t="str">
        <f t="shared" si="35"/>
        <v/>
      </c>
      <c r="AI49" s="127" t="str">
        <f t="shared" si="35"/>
        <v/>
      </c>
      <c r="AJ49" s="127" t="str">
        <f t="shared" si="35"/>
        <v/>
      </c>
      <c r="AK49" s="127" t="str">
        <f t="shared" si="35"/>
        <v/>
      </c>
      <c r="AL49" s="127" t="str">
        <f t="shared" si="35"/>
        <v/>
      </c>
      <c r="AM49" s="127" t="str">
        <f t="shared" si="35"/>
        <v/>
      </c>
      <c r="AN49" s="127" t="str">
        <f t="shared" si="35"/>
        <v/>
      </c>
      <c r="AO49" s="127" t="str">
        <f t="shared" si="35"/>
        <v/>
      </c>
      <c r="AP49" s="127" t="str">
        <f t="shared" si="35"/>
        <v/>
      </c>
      <c r="AQ49" s="127" t="str">
        <f t="shared" si="35"/>
        <v/>
      </c>
      <c r="AR49" s="127" t="str">
        <f t="shared" si="35"/>
        <v/>
      </c>
      <c r="AS49" s="127" t="str">
        <f t="shared" si="35"/>
        <v/>
      </c>
      <c r="AT49" s="127" t="str">
        <f t="shared" si="35"/>
        <v/>
      </c>
      <c r="AU49" s="127" t="str">
        <f t="shared" si="35"/>
        <v/>
      </c>
      <c r="AV49" s="127" t="str">
        <f t="shared" si="35"/>
        <v/>
      </c>
      <c r="AW49" s="127" t="str">
        <f t="shared" si="35"/>
        <v/>
      </c>
      <c r="AX49" s="127" t="str">
        <f t="shared" si="27"/>
        <v/>
      </c>
      <c r="AY49" s="127" t="str">
        <f t="shared" si="27"/>
        <v/>
      </c>
      <c r="AZ49" s="127" t="str">
        <f t="shared" si="27"/>
        <v/>
      </c>
      <c r="BA49" s="127" t="str">
        <f t="shared" si="27"/>
        <v/>
      </c>
      <c r="BB49" s="127" t="str">
        <f t="shared" si="27"/>
        <v/>
      </c>
      <c r="BC49" s="127" t="str">
        <f t="shared" si="27"/>
        <v/>
      </c>
      <c r="BD49" s="127" t="str">
        <f t="shared" si="27"/>
        <v/>
      </c>
      <c r="BE49" s="127" t="str">
        <f t="shared" si="27"/>
        <v/>
      </c>
      <c r="BF49" s="127" t="str">
        <f t="shared" si="27"/>
        <v/>
      </c>
      <c r="BG49" s="127" t="str">
        <f t="shared" si="27"/>
        <v/>
      </c>
      <c r="BH49" s="127" t="str">
        <f t="shared" si="27"/>
        <v/>
      </c>
      <c r="BI49" s="127" t="str">
        <f t="shared" si="27"/>
        <v/>
      </c>
      <c r="BJ49" s="127" t="str">
        <f t="shared" si="27"/>
        <v/>
      </c>
      <c r="BK49" s="127" t="str">
        <f t="shared" si="27"/>
        <v/>
      </c>
      <c r="BL49" s="127" t="str">
        <f t="shared" si="27"/>
        <v/>
      </c>
      <c r="BM49" s="127" t="str">
        <f t="shared" si="27"/>
        <v/>
      </c>
      <c r="BN49" s="127" t="str">
        <f t="shared" si="27"/>
        <v/>
      </c>
      <c r="BO49" s="127" t="str">
        <f t="shared" si="27"/>
        <v/>
      </c>
      <c r="BP49" s="127" t="str">
        <f t="shared" si="27"/>
        <v/>
      </c>
      <c r="BQ49" s="127" t="str">
        <f t="shared" si="27"/>
        <v/>
      </c>
      <c r="BR49" s="127" t="str">
        <f t="shared" si="27"/>
        <v/>
      </c>
      <c r="BS49" s="127" t="str">
        <f t="shared" si="27"/>
        <v/>
      </c>
      <c r="BT49" s="127" t="str">
        <f t="shared" si="25"/>
        <v/>
      </c>
      <c r="BU49" s="127" t="str">
        <f t="shared" si="25"/>
        <v/>
      </c>
      <c r="BV49" s="127" t="str">
        <f t="shared" si="25"/>
        <v/>
      </c>
      <c r="BW49" s="127" t="str">
        <f t="shared" si="25"/>
        <v/>
      </c>
      <c r="BX49" s="127" t="str">
        <f t="shared" si="25"/>
        <v/>
      </c>
      <c r="BY49" s="127" t="str">
        <f t="shared" si="25"/>
        <v/>
      </c>
      <c r="BZ49" s="127" t="str">
        <f t="shared" si="25"/>
        <v/>
      </c>
      <c r="CA49" s="127" t="str">
        <f t="shared" si="25"/>
        <v/>
      </c>
      <c r="CB49" s="127" t="str">
        <f t="shared" si="25"/>
        <v/>
      </c>
      <c r="CC49" s="127" t="str">
        <f t="shared" si="25"/>
        <v/>
      </c>
      <c r="CD49" s="127" t="str">
        <f t="shared" si="25"/>
        <v/>
      </c>
      <c r="CE49" s="127" t="str">
        <f t="shared" si="25"/>
        <v/>
      </c>
    </row>
    <row r="50" spans="1:83" ht="12.6" hidden="1" customHeight="1" x14ac:dyDescent="0.2">
      <c r="A50" s="106">
        <f>SHIPMENTS!A56</f>
        <v>6646</v>
      </c>
      <c r="B50" s="106" t="str">
        <f>SHIPMENTS!B56</f>
        <v>9600-NEW ZEALAND BACKLOG</v>
      </c>
      <c r="C50" s="132">
        <f>SHIPMENTS!F56</f>
        <v>0</v>
      </c>
      <c r="D50" s="107" t="str">
        <f>IF((SHIPMENTS!I56)=0,"",SHIPMENTS!I56)</f>
        <v/>
      </c>
      <c r="E50" s="176" t="str">
        <f>IF((SHIPMENTS!G56)=0,"",SHIPMENTS!G56)</f>
        <v/>
      </c>
      <c r="F50" s="97">
        <f>VLOOKUP(A50,Items!$A$5:$J$1000,7,0)</f>
        <v>0</v>
      </c>
      <c r="G50" s="98">
        <f>VLOOKUP(A50,load!$A$4:$U$5001,7,0)</f>
        <v>0</v>
      </c>
      <c r="H50" s="97">
        <f>Manhours!$C$23</f>
        <v>32</v>
      </c>
      <c r="I50" s="98">
        <f t="shared" si="28"/>
        <v>291.2</v>
      </c>
      <c r="J50" s="99">
        <f t="shared" si="29"/>
        <v>0</v>
      </c>
      <c r="K50" s="99">
        <f t="shared" si="30"/>
        <v>0</v>
      </c>
      <c r="L50" s="98">
        <f t="shared" si="31"/>
        <v>0</v>
      </c>
      <c r="M50" s="98">
        <f t="shared" si="32"/>
        <v>0</v>
      </c>
      <c r="N50" s="181">
        <f t="shared" si="33"/>
        <v>46336.443956227093</v>
      </c>
      <c r="O50" s="181">
        <f t="shared" si="34"/>
        <v>46336.443956227093</v>
      </c>
      <c r="P50" s="101" t="str">
        <f>VLOOKUP(A50,SHIPMENTS!$A$7:$N$171,12,0)</f>
        <v>n/a</v>
      </c>
      <c r="Q50" s="101"/>
      <c r="R50" s="127" t="str">
        <f t="shared" si="24"/>
        <v/>
      </c>
      <c r="S50" s="127" t="str">
        <f t="shared" si="24"/>
        <v/>
      </c>
      <c r="T50" s="127" t="str">
        <f t="shared" si="24"/>
        <v/>
      </c>
      <c r="U50" s="127" t="str">
        <f t="shared" si="24"/>
        <v/>
      </c>
      <c r="V50" s="127" t="str">
        <f t="shared" si="24"/>
        <v/>
      </c>
      <c r="W50" s="127" t="str">
        <f t="shared" si="24"/>
        <v/>
      </c>
      <c r="X50" s="127" t="str">
        <f t="shared" si="24"/>
        <v/>
      </c>
      <c r="Y50" s="127" t="str">
        <f t="shared" si="24"/>
        <v/>
      </c>
      <c r="Z50" s="127" t="str">
        <f t="shared" si="24"/>
        <v/>
      </c>
      <c r="AA50" s="127" t="str">
        <f t="shared" si="24"/>
        <v/>
      </c>
      <c r="AB50" s="127" t="str">
        <f t="shared" si="24"/>
        <v/>
      </c>
      <c r="AC50" s="127" t="str">
        <f t="shared" si="24"/>
        <v/>
      </c>
      <c r="AD50" s="127" t="str">
        <f t="shared" si="24"/>
        <v/>
      </c>
      <c r="AE50" s="127" t="str">
        <f t="shared" si="24"/>
        <v/>
      </c>
      <c r="AF50" s="127" t="str">
        <f t="shared" si="24"/>
        <v/>
      </c>
      <c r="AG50" s="127" t="str">
        <f t="shared" si="24"/>
        <v/>
      </c>
      <c r="AH50" s="127" t="str">
        <f t="shared" si="35"/>
        <v/>
      </c>
      <c r="AI50" s="127" t="str">
        <f t="shared" si="35"/>
        <v/>
      </c>
      <c r="AJ50" s="127" t="str">
        <f t="shared" si="35"/>
        <v/>
      </c>
      <c r="AK50" s="127" t="str">
        <f t="shared" si="35"/>
        <v/>
      </c>
      <c r="AL50" s="127" t="str">
        <f t="shared" si="35"/>
        <v/>
      </c>
      <c r="AM50" s="127" t="str">
        <f t="shared" si="35"/>
        <v/>
      </c>
      <c r="AN50" s="127" t="str">
        <f t="shared" si="35"/>
        <v/>
      </c>
      <c r="AO50" s="127" t="str">
        <f t="shared" si="35"/>
        <v/>
      </c>
      <c r="AP50" s="127" t="str">
        <f t="shared" si="35"/>
        <v/>
      </c>
      <c r="AQ50" s="127" t="str">
        <f t="shared" si="35"/>
        <v/>
      </c>
      <c r="AR50" s="127" t="str">
        <f t="shared" si="35"/>
        <v/>
      </c>
      <c r="AS50" s="127" t="str">
        <f t="shared" si="35"/>
        <v/>
      </c>
      <c r="AT50" s="127" t="str">
        <f t="shared" si="35"/>
        <v/>
      </c>
      <c r="AU50" s="127" t="str">
        <f t="shared" si="35"/>
        <v/>
      </c>
      <c r="AV50" s="127" t="str">
        <f t="shared" si="35"/>
        <v/>
      </c>
      <c r="AW50" s="127" t="str">
        <f t="shared" si="35"/>
        <v/>
      </c>
      <c r="AX50" s="127" t="str">
        <f t="shared" si="27"/>
        <v/>
      </c>
      <c r="AY50" s="127" t="str">
        <f t="shared" si="27"/>
        <v/>
      </c>
      <c r="AZ50" s="127" t="str">
        <f t="shared" si="27"/>
        <v/>
      </c>
      <c r="BA50" s="127" t="str">
        <f t="shared" si="27"/>
        <v/>
      </c>
      <c r="BB50" s="127" t="str">
        <f t="shared" si="27"/>
        <v/>
      </c>
      <c r="BC50" s="127" t="str">
        <f t="shared" si="27"/>
        <v/>
      </c>
      <c r="BD50" s="127" t="str">
        <f t="shared" si="27"/>
        <v/>
      </c>
      <c r="BE50" s="127" t="str">
        <f t="shared" si="27"/>
        <v/>
      </c>
      <c r="BF50" s="127" t="str">
        <f t="shared" si="27"/>
        <v/>
      </c>
      <c r="BG50" s="127" t="str">
        <f t="shared" si="27"/>
        <v/>
      </c>
      <c r="BH50" s="127" t="str">
        <f t="shared" si="27"/>
        <v/>
      </c>
      <c r="BI50" s="127" t="str">
        <f t="shared" si="27"/>
        <v/>
      </c>
      <c r="BJ50" s="127" t="str">
        <f t="shared" si="27"/>
        <v/>
      </c>
      <c r="BK50" s="127" t="str">
        <f t="shared" si="27"/>
        <v/>
      </c>
      <c r="BL50" s="127" t="str">
        <f t="shared" si="27"/>
        <v/>
      </c>
      <c r="BM50" s="127" t="str">
        <f t="shared" si="27"/>
        <v/>
      </c>
      <c r="BN50" s="127" t="str">
        <f t="shared" si="27"/>
        <v/>
      </c>
      <c r="BO50" s="127" t="str">
        <f t="shared" si="27"/>
        <v/>
      </c>
      <c r="BP50" s="127" t="str">
        <f t="shared" si="27"/>
        <v/>
      </c>
      <c r="BQ50" s="127" t="str">
        <f t="shared" si="27"/>
        <v/>
      </c>
      <c r="BR50" s="127" t="str">
        <f t="shared" si="27"/>
        <v/>
      </c>
      <c r="BS50" s="127" t="str">
        <f t="shared" si="27"/>
        <v/>
      </c>
      <c r="BT50" s="127" t="str">
        <f t="shared" si="25"/>
        <v/>
      </c>
      <c r="BU50" s="127" t="str">
        <f t="shared" si="25"/>
        <v/>
      </c>
      <c r="BV50" s="127" t="str">
        <f t="shared" si="25"/>
        <v/>
      </c>
      <c r="BW50" s="127" t="str">
        <f t="shared" si="25"/>
        <v/>
      </c>
      <c r="BX50" s="127" t="str">
        <f t="shared" si="25"/>
        <v/>
      </c>
      <c r="BY50" s="127" t="str">
        <f t="shared" si="25"/>
        <v/>
      </c>
      <c r="BZ50" s="127" t="str">
        <f t="shared" si="25"/>
        <v/>
      </c>
      <c r="CA50" s="127" t="str">
        <f t="shared" si="25"/>
        <v/>
      </c>
      <c r="CB50" s="127" t="str">
        <f t="shared" si="25"/>
        <v/>
      </c>
      <c r="CC50" s="127" t="str">
        <f t="shared" si="25"/>
        <v/>
      </c>
      <c r="CD50" s="127" t="str">
        <f t="shared" si="25"/>
        <v/>
      </c>
      <c r="CE50" s="127" t="str">
        <f t="shared" si="25"/>
        <v/>
      </c>
    </row>
    <row r="51" spans="1:83" ht="12.6" customHeight="1" x14ac:dyDescent="0.2">
      <c r="A51" s="106">
        <f>SHIPMENTS!A57</f>
        <v>9122</v>
      </c>
      <c r="B51" s="106" t="str">
        <f>SHIPMENTS!B57</f>
        <v>19300-USA SUPERIOR SAUNA</v>
      </c>
      <c r="C51" s="132">
        <f>SHIPMENTS!F57</f>
        <v>69.539999999999992</v>
      </c>
      <c r="D51" s="107" t="str">
        <f>IF((SHIPMENTS!I57)=0,"",SHIPMENTS!I57)</f>
        <v>1x40HC</v>
      </c>
      <c r="E51" s="176" t="str">
        <f>IF((SHIPMENTS!G57)=0,"",SHIPMENTS!G57)</f>
        <v>TBA</v>
      </c>
      <c r="F51" s="97">
        <f>VLOOKUP(A51,Items!$A$5:$J$1000,7,0)</f>
        <v>4110</v>
      </c>
      <c r="G51" s="98">
        <f>VLOOKUP(A51,load!$A$4:$U$5001,7,0)</f>
        <v>2056.769666666667</v>
      </c>
      <c r="H51" s="97">
        <f>Manhours!$C$23</f>
        <v>32</v>
      </c>
      <c r="I51" s="98">
        <f t="shared" si="28"/>
        <v>291.2</v>
      </c>
      <c r="J51" s="99">
        <f t="shared" si="29"/>
        <v>7.0630826465201482</v>
      </c>
      <c r="K51" s="99">
        <f t="shared" si="30"/>
        <v>64.274052083333345</v>
      </c>
      <c r="L51" s="98">
        <f t="shared" si="31"/>
        <v>7.0630826465201482</v>
      </c>
      <c r="M51" s="98">
        <f t="shared" si="32"/>
        <v>64.274052083333345</v>
      </c>
      <c r="N51" s="181">
        <f t="shared" si="33"/>
        <v>46336.443956227093</v>
      </c>
      <c r="O51" s="181">
        <f t="shared" si="34"/>
        <v>46343.507038873613</v>
      </c>
      <c r="P51" s="101">
        <f>VLOOKUP(A51,SHIPMENTS!$A$7:$N$171,12,0)</f>
        <v>0</v>
      </c>
      <c r="Q51" s="101"/>
      <c r="R51" s="127" t="str">
        <f t="shared" si="24"/>
        <v/>
      </c>
      <c r="S51" s="127" t="str">
        <f t="shared" si="24"/>
        <v/>
      </c>
      <c r="T51" s="127" t="str">
        <f t="shared" si="24"/>
        <v/>
      </c>
      <c r="U51" s="127" t="str">
        <f t="shared" si="24"/>
        <v/>
      </c>
      <c r="V51" s="127" t="str">
        <f t="shared" si="24"/>
        <v/>
      </c>
      <c r="W51" s="127" t="str">
        <f t="shared" si="24"/>
        <v/>
      </c>
      <c r="X51" s="127" t="str">
        <f t="shared" si="24"/>
        <v/>
      </c>
      <c r="Y51" s="127" t="str">
        <f t="shared" si="24"/>
        <v/>
      </c>
      <c r="Z51" s="127" t="str">
        <f t="shared" si="24"/>
        <v/>
      </c>
      <c r="AA51" s="127" t="str">
        <f t="shared" si="24"/>
        <v/>
      </c>
      <c r="AB51" s="127" t="str">
        <f t="shared" si="24"/>
        <v/>
      </c>
      <c r="AC51" s="127" t="str">
        <f t="shared" si="24"/>
        <v/>
      </c>
      <c r="AD51" s="127" t="str">
        <f t="shared" si="24"/>
        <v/>
      </c>
      <c r="AE51" s="127" t="str">
        <f t="shared" si="24"/>
        <v/>
      </c>
      <c r="AF51" s="127" t="str">
        <f t="shared" si="24"/>
        <v/>
      </c>
      <c r="AG51" s="127" t="str">
        <f t="shared" si="24"/>
        <v/>
      </c>
      <c r="AH51" s="127" t="str">
        <f t="shared" si="35"/>
        <v/>
      </c>
      <c r="AI51" s="127" t="str">
        <f t="shared" si="35"/>
        <v/>
      </c>
      <c r="AJ51" s="127" t="str">
        <f t="shared" si="35"/>
        <v/>
      </c>
      <c r="AK51" s="127" t="str">
        <f t="shared" si="35"/>
        <v/>
      </c>
      <c r="AL51" s="127" t="str">
        <f t="shared" si="35"/>
        <v/>
      </c>
      <c r="AM51" s="127" t="str">
        <f t="shared" si="35"/>
        <v/>
      </c>
      <c r="AN51" s="127" t="str">
        <f t="shared" si="35"/>
        <v/>
      </c>
      <c r="AO51" s="127" t="str">
        <f t="shared" si="35"/>
        <v/>
      </c>
      <c r="AP51" s="127" t="str">
        <f t="shared" si="35"/>
        <v/>
      </c>
      <c r="AQ51" s="127" t="str">
        <f t="shared" si="35"/>
        <v/>
      </c>
      <c r="AR51" s="127" t="str">
        <f t="shared" si="35"/>
        <v/>
      </c>
      <c r="AS51" s="127" t="str">
        <f t="shared" si="35"/>
        <v/>
      </c>
      <c r="AT51" s="127" t="str">
        <f t="shared" si="35"/>
        <v/>
      </c>
      <c r="AU51" s="127" t="str">
        <f t="shared" si="35"/>
        <v/>
      </c>
      <c r="AV51" s="127" t="str">
        <f t="shared" si="35"/>
        <v/>
      </c>
      <c r="AW51" s="127" t="str">
        <f t="shared" si="35"/>
        <v/>
      </c>
      <c r="AX51" s="127" t="str">
        <f t="shared" si="27"/>
        <v/>
      </c>
      <c r="AY51" s="127" t="str">
        <f t="shared" si="27"/>
        <v/>
      </c>
      <c r="AZ51" s="127" t="str">
        <f t="shared" si="27"/>
        <v/>
      </c>
      <c r="BA51" s="127" t="str">
        <f t="shared" si="27"/>
        <v/>
      </c>
      <c r="BB51" s="127" t="str">
        <f t="shared" si="27"/>
        <v/>
      </c>
      <c r="BC51" s="127" t="str">
        <f t="shared" si="27"/>
        <v/>
      </c>
      <c r="BD51" s="127" t="str">
        <f t="shared" si="27"/>
        <v/>
      </c>
      <c r="BE51" s="127" t="str">
        <f t="shared" si="27"/>
        <v/>
      </c>
      <c r="BF51" s="127" t="str">
        <f t="shared" si="27"/>
        <v/>
      </c>
      <c r="BG51" s="127" t="str">
        <f t="shared" si="27"/>
        <v/>
      </c>
      <c r="BH51" s="127" t="str">
        <f t="shared" si="27"/>
        <v/>
      </c>
      <c r="BI51" s="127" t="str">
        <f t="shared" si="27"/>
        <v/>
      </c>
      <c r="BJ51" s="127" t="str">
        <f t="shared" si="27"/>
        <v/>
      </c>
      <c r="BK51" s="127" t="str">
        <f t="shared" si="27"/>
        <v/>
      </c>
      <c r="BL51" s="127" t="str">
        <f t="shared" si="27"/>
        <v/>
      </c>
      <c r="BM51" s="127" t="str">
        <f t="shared" si="27"/>
        <v/>
      </c>
      <c r="BN51" s="127" t="str">
        <f t="shared" si="27"/>
        <v/>
      </c>
      <c r="BO51" s="127" t="str">
        <f t="shared" si="27"/>
        <v/>
      </c>
      <c r="BP51" s="127" t="str">
        <f t="shared" si="27"/>
        <v/>
      </c>
      <c r="BQ51" s="127" t="str">
        <f t="shared" si="27"/>
        <v/>
      </c>
      <c r="BR51" s="127" t="str">
        <f t="shared" si="27"/>
        <v/>
      </c>
      <c r="BS51" s="127" t="str">
        <f t="shared" si="27"/>
        <v/>
      </c>
      <c r="BT51" s="127" t="str">
        <f t="shared" si="25"/>
        <v/>
      </c>
      <c r="BU51" s="127" t="str">
        <f t="shared" si="25"/>
        <v/>
      </c>
      <c r="BV51" s="127" t="str">
        <f t="shared" si="25"/>
        <v/>
      </c>
      <c r="BW51" s="127" t="str">
        <f t="shared" si="25"/>
        <v/>
      </c>
      <c r="BX51" s="127" t="str">
        <f t="shared" si="25"/>
        <v/>
      </c>
      <c r="BY51" s="127" t="str">
        <f t="shared" si="25"/>
        <v/>
      </c>
      <c r="BZ51" s="127" t="str">
        <f t="shared" si="25"/>
        <v/>
      </c>
      <c r="CA51" s="127" t="str">
        <f t="shared" si="25"/>
        <v/>
      </c>
      <c r="CB51" s="127" t="str">
        <f t="shared" si="25"/>
        <v/>
      </c>
      <c r="CC51" s="127" t="str">
        <f t="shared" si="25"/>
        <v/>
      </c>
      <c r="CD51" s="127" t="str">
        <f t="shared" si="25"/>
        <v/>
      </c>
      <c r="CE51" s="127" t="str">
        <f t="shared" si="25"/>
        <v/>
      </c>
    </row>
    <row r="52" spans="1:83" ht="12.6" hidden="1" customHeight="1" x14ac:dyDescent="0.2">
      <c r="A52" s="106">
        <f>SHIPMENTS!A58</f>
        <v>9197</v>
      </c>
      <c r="B52" s="106" t="str">
        <f>SHIPMENTS!B58</f>
        <v>19300-USA SUPERIOR SAUNA</v>
      </c>
      <c r="C52" s="132">
        <f>SHIPMENTS!F58</f>
        <v>0</v>
      </c>
      <c r="D52" s="107" t="str">
        <f>IF((SHIPMENTS!I58)=0,"",SHIPMENTS!I58)</f>
        <v/>
      </c>
      <c r="E52" s="176" t="str">
        <f>IF((SHIPMENTS!G58)=0,"",SHIPMENTS!G58)</f>
        <v>TBA</v>
      </c>
      <c r="F52" s="97">
        <f>VLOOKUP(A52,Items!$A$5:$J$1000,7,0)</f>
        <v>0</v>
      </c>
      <c r="G52" s="98">
        <f>VLOOKUP(A52,load!$A$4:$U$5001,7,0)</f>
        <v>0</v>
      </c>
      <c r="H52" s="97">
        <f>Manhours!$C$23</f>
        <v>32</v>
      </c>
      <c r="I52" s="98">
        <f t="shared" si="28"/>
        <v>291.2</v>
      </c>
      <c r="J52" s="99">
        <f t="shared" si="29"/>
        <v>0</v>
      </c>
      <c r="K52" s="99">
        <f t="shared" si="30"/>
        <v>0</v>
      </c>
      <c r="L52" s="98">
        <f t="shared" si="31"/>
        <v>0</v>
      </c>
      <c r="M52" s="98">
        <f t="shared" si="32"/>
        <v>0</v>
      </c>
      <c r="N52" s="181">
        <f t="shared" si="33"/>
        <v>46343.507038873613</v>
      </c>
      <c r="O52" s="181">
        <f t="shared" si="34"/>
        <v>46343.507038873613</v>
      </c>
      <c r="P52" s="101" t="str">
        <f>VLOOKUP(A52,SHIPMENTS!$A$7:$N$171,12,0)</f>
        <v xml:space="preserve">n/a </v>
      </c>
      <c r="Q52" s="101"/>
      <c r="R52" s="127" t="str">
        <f t="shared" si="24"/>
        <v/>
      </c>
      <c r="S52" s="127" t="str">
        <f t="shared" si="24"/>
        <v/>
      </c>
      <c r="T52" s="127" t="str">
        <f t="shared" si="24"/>
        <v/>
      </c>
      <c r="U52" s="127" t="str">
        <f t="shared" si="24"/>
        <v/>
      </c>
      <c r="V52" s="127" t="str">
        <f t="shared" si="24"/>
        <v/>
      </c>
      <c r="W52" s="127" t="str">
        <f t="shared" si="24"/>
        <v/>
      </c>
      <c r="X52" s="127" t="str">
        <f t="shared" si="24"/>
        <v/>
      </c>
      <c r="Y52" s="127" t="str">
        <f t="shared" si="24"/>
        <v/>
      </c>
      <c r="Z52" s="127" t="str">
        <f t="shared" si="24"/>
        <v/>
      </c>
      <c r="AA52" s="127" t="str">
        <f t="shared" si="24"/>
        <v/>
      </c>
      <c r="AB52" s="127" t="str">
        <f t="shared" si="24"/>
        <v/>
      </c>
      <c r="AC52" s="127" t="str">
        <f t="shared" si="24"/>
        <v/>
      </c>
      <c r="AD52" s="127" t="str">
        <f t="shared" si="24"/>
        <v/>
      </c>
      <c r="AE52" s="127" t="str">
        <f t="shared" si="24"/>
        <v/>
      </c>
      <c r="AF52" s="127" t="str">
        <f t="shared" si="24"/>
        <v/>
      </c>
      <c r="AG52" s="127" t="str">
        <f t="shared" si="24"/>
        <v/>
      </c>
      <c r="AH52" s="127" t="str">
        <f t="shared" si="35"/>
        <v/>
      </c>
      <c r="AI52" s="127" t="str">
        <f t="shared" si="35"/>
        <v/>
      </c>
      <c r="AJ52" s="127" t="str">
        <f t="shared" si="35"/>
        <v/>
      </c>
      <c r="AK52" s="127" t="str">
        <f t="shared" si="35"/>
        <v/>
      </c>
      <c r="AL52" s="127" t="str">
        <f t="shared" si="35"/>
        <v/>
      </c>
      <c r="AM52" s="127" t="str">
        <f t="shared" si="35"/>
        <v/>
      </c>
      <c r="AN52" s="127" t="str">
        <f t="shared" si="35"/>
        <v/>
      </c>
      <c r="AO52" s="127" t="str">
        <f t="shared" si="35"/>
        <v/>
      </c>
      <c r="AP52" s="127" t="str">
        <f t="shared" si="35"/>
        <v/>
      </c>
      <c r="AQ52" s="127" t="str">
        <f t="shared" si="35"/>
        <v/>
      </c>
      <c r="AR52" s="127" t="str">
        <f t="shared" si="35"/>
        <v/>
      </c>
      <c r="AS52" s="127" t="str">
        <f t="shared" si="35"/>
        <v/>
      </c>
      <c r="AT52" s="127" t="str">
        <f t="shared" si="35"/>
        <v/>
      </c>
      <c r="AU52" s="127" t="str">
        <f t="shared" si="35"/>
        <v/>
      </c>
      <c r="AV52" s="127" t="str">
        <f t="shared" si="35"/>
        <v/>
      </c>
      <c r="AW52" s="127" t="str">
        <f t="shared" si="35"/>
        <v/>
      </c>
      <c r="AX52" s="127" t="str">
        <f t="shared" si="27"/>
        <v/>
      </c>
      <c r="AY52" s="127" t="str">
        <f t="shared" si="27"/>
        <v/>
      </c>
      <c r="AZ52" s="127" t="str">
        <f t="shared" si="27"/>
        <v/>
      </c>
      <c r="BA52" s="127" t="str">
        <f t="shared" si="27"/>
        <v/>
      </c>
      <c r="BB52" s="127" t="str">
        <f t="shared" si="27"/>
        <v/>
      </c>
      <c r="BC52" s="127" t="str">
        <f t="shared" si="27"/>
        <v/>
      </c>
      <c r="BD52" s="127" t="str">
        <f t="shared" si="27"/>
        <v/>
      </c>
      <c r="BE52" s="127" t="str">
        <f t="shared" si="27"/>
        <v/>
      </c>
      <c r="BF52" s="127" t="str">
        <f t="shared" si="27"/>
        <v/>
      </c>
      <c r="BG52" s="127" t="str">
        <f t="shared" si="27"/>
        <v/>
      </c>
      <c r="BH52" s="127" t="str">
        <f t="shared" si="27"/>
        <v/>
      </c>
      <c r="BI52" s="127" t="str">
        <f t="shared" si="27"/>
        <v/>
      </c>
      <c r="BJ52" s="127" t="str">
        <f t="shared" si="27"/>
        <v/>
      </c>
      <c r="BK52" s="127" t="str">
        <f t="shared" si="27"/>
        <v/>
      </c>
      <c r="BL52" s="127" t="str">
        <f t="shared" si="27"/>
        <v/>
      </c>
      <c r="BM52" s="127" t="str">
        <f t="shared" si="27"/>
        <v/>
      </c>
      <c r="BN52" s="127" t="str">
        <f t="shared" si="27"/>
        <v/>
      </c>
      <c r="BO52" s="127" t="str">
        <f t="shared" si="27"/>
        <v/>
      </c>
      <c r="BP52" s="127" t="str">
        <f t="shared" si="27"/>
        <v/>
      </c>
      <c r="BQ52" s="127" t="str">
        <f t="shared" si="27"/>
        <v/>
      </c>
      <c r="BR52" s="127" t="str">
        <f t="shared" si="27"/>
        <v/>
      </c>
      <c r="BS52" s="127" t="str">
        <f t="shared" si="27"/>
        <v/>
      </c>
      <c r="BT52" s="127" t="str">
        <f t="shared" si="25"/>
        <v/>
      </c>
      <c r="BU52" s="127" t="str">
        <f t="shared" si="25"/>
        <v/>
      </c>
      <c r="BV52" s="127" t="str">
        <f t="shared" si="25"/>
        <v/>
      </c>
      <c r="BW52" s="127" t="str">
        <f t="shared" si="25"/>
        <v/>
      </c>
      <c r="BX52" s="127" t="str">
        <f t="shared" si="25"/>
        <v/>
      </c>
      <c r="BY52" s="127" t="str">
        <f t="shared" si="25"/>
        <v/>
      </c>
      <c r="BZ52" s="127" t="str">
        <f t="shared" si="25"/>
        <v/>
      </c>
      <c r="CA52" s="127" t="str">
        <f t="shared" si="25"/>
        <v/>
      </c>
      <c r="CB52" s="127" t="str">
        <f t="shared" si="25"/>
        <v/>
      </c>
      <c r="CC52" s="127" t="str">
        <f t="shared" si="25"/>
        <v/>
      </c>
      <c r="CD52" s="127" t="str">
        <f t="shared" si="25"/>
        <v/>
      </c>
      <c r="CE52" s="127" t="str">
        <f t="shared" si="25"/>
        <v/>
      </c>
    </row>
    <row r="53" spans="1:83" ht="12.6" customHeight="1" x14ac:dyDescent="0.2">
      <c r="A53" s="106">
        <f>SHIPMENTS!A59</f>
        <v>6542</v>
      </c>
      <c r="B53" s="106" t="str">
        <f>SHIPMENTS!B59</f>
        <v>75100-JORDAN
BACKLOG</v>
      </c>
      <c r="C53" s="132">
        <f>SHIPMENTS!F59</f>
        <v>2.9600000000000001E-2</v>
      </c>
      <c r="D53" s="107" t="str">
        <f>IF((SHIPMENTS!I59)=0,"",SHIPMENTS!I59)</f>
        <v/>
      </c>
      <c r="E53" s="176" t="str">
        <f>IF((SHIPMENTS!G59)=0,"",SHIPMENTS!G59)</f>
        <v>TBA</v>
      </c>
      <c r="F53" s="97">
        <f>VLOOKUP(A53,Items!$A$5:$J$1000,7,0)</f>
        <v>0</v>
      </c>
      <c r="G53" s="98">
        <f>VLOOKUP(A53,load!$A$4:$U$5001,7,0)</f>
        <v>0</v>
      </c>
      <c r="H53" s="97">
        <f>Manhours!$C$23</f>
        <v>32</v>
      </c>
      <c r="I53" s="98">
        <f t="shared" ref="I53" si="36">+H53*$I$4</f>
        <v>291.2</v>
      </c>
      <c r="J53" s="99">
        <f t="shared" ref="J53" si="37">G53/I53</f>
        <v>0</v>
      </c>
      <c r="K53" s="99">
        <f t="shared" ref="K53" si="38">+J53*$I$4</f>
        <v>0</v>
      </c>
      <c r="L53" s="98">
        <f t="shared" ref="L53" si="39">IFERROR(J53-(J53*P53),0)</f>
        <v>0</v>
      </c>
      <c r="M53" s="98">
        <f t="shared" ref="M53" si="40">IFERROR(K53-(K53*P53),0)</f>
        <v>0</v>
      </c>
      <c r="N53" s="181">
        <f t="shared" ref="N53" si="41">O52</f>
        <v>46343.507038873613</v>
      </c>
      <c r="O53" s="181">
        <f t="shared" ref="O53" si="42">N53+L53</f>
        <v>46343.507038873613</v>
      </c>
      <c r="P53" s="101">
        <f>VLOOKUP(A53,SHIPMENTS!$A$7:$N$171,12,0)</f>
        <v>1</v>
      </c>
      <c r="Q53" s="101"/>
      <c r="R53" s="127" t="str">
        <f t="shared" si="24"/>
        <v/>
      </c>
      <c r="S53" s="127" t="str">
        <f t="shared" si="24"/>
        <v/>
      </c>
      <c r="T53" s="127" t="str">
        <f t="shared" si="24"/>
        <v/>
      </c>
      <c r="U53" s="127" t="str">
        <f t="shared" si="24"/>
        <v/>
      </c>
      <c r="V53" s="127" t="str">
        <f t="shared" si="24"/>
        <v/>
      </c>
      <c r="W53" s="127" t="str">
        <f t="shared" si="24"/>
        <v/>
      </c>
      <c r="X53" s="127" t="str">
        <f t="shared" si="24"/>
        <v/>
      </c>
      <c r="Y53" s="127" t="str">
        <f t="shared" si="24"/>
        <v/>
      </c>
      <c r="Z53" s="127" t="str">
        <f t="shared" si="24"/>
        <v/>
      </c>
      <c r="AA53" s="127" t="str">
        <f t="shared" si="24"/>
        <v/>
      </c>
      <c r="AB53" s="127" t="str">
        <f t="shared" si="24"/>
        <v/>
      </c>
      <c r="AC53" s="127" t="str">
        <f t="shared" si="24"/>
        <v/>
      </c>
      <c r="AD53" s="127" t="str">
        <f t="shared" si="24"/>
        <v/>
      </c>
      <c r="AE53" s="127" t="str">
        <f t="shared" si="24"/>
        <v/>
      </c>
      <c r="AF53" s="127" t="str">
        <f t="shared" si="24"/>
        <v/>
      </c>
      <c r="AG53" s="127" t="str">
        <f t="shared" si="24"/>
        <v/>
      </c>
      <c r="AH53" s="127" t="str">
        <f t="shared" si="35"/>
        <v/>
      </c>
      <c r="AI53" s="127" t="str">
        <f t="shared" si="35"/>
        <v/>
      </c>
      <c r="AJ53" s="127" t="str">
        <f t="shared" si="35"/>
        <v/>
      </c>
      <c r="AK53" s="127" t="str">
        <f t="shared" si="35"/>
        <v/>
      </c>
      <c r="AL53" s="127" t="str">
        <f t="shared" si="35"/>
        <v/>
      </c>
      <c r="AM53" s="127" t="str">
        <f t="shared" si="35"/>
        <v/>
      </c>
      <c r="AN53" s="127" t="str">
        <f t="shared" si="35"/>
        <v/>
      </c>
      <c r="AO53" s="127" t="str">
        <f t="shared" si="35"/>
        <v/>
      </c>
      <c r="AP53" s="127" t="str">
        <f t="shared" si="35"/>
        <v/>
      </c>
      <c r="AQ53" s="127" t="str">
        <f t="shared" si="35"/>
        <v/>
      </c>
      <c r="AR53" s="127" t="str">
        <f t="shared" si="35"/>
        <v/>
      </c>
      <c r="AS53" s="127" t="str">
        <f t="shared" si="35"/>
        <v/>
      </c>
      <c r="AT53" s="127" t="str">
        <f t="shared" si="35"/>
        <v/>
      </c>
      <c r="AU53" s="127" t="str">
        <f t="shared" si="35"/>
        <v/>
      </c>
      <c r="AV53" s="127" t="str">
        <f t="shared" si="35"/>
        <v/>
      </c>
      <c r="AW53" s="127" t="str">
        <f t="shared" si="35"/>
        <v/>
      </c>
      <c r="AX53" s="127" t="str">
        <f t="shared" si="27"/>
        <v/>
      </c>
      <c r="AY53" s="127" t="str">
        <f t="shared" si="27"/>
        <v/>
      </c>
      <c r="AZ53" s="127" t="str">
        <f t="shared" si="27"/>
        <v/>
      </c>
      <c r="BA53" s="127" t="str">
        <f t="shared" si="27"/>
        <v/>
      </c>
      <c r="BB53" s="127" t="str">
        <f t="shared" si="27"/>
        <v/>
      </c>
      <c r="BC53" s="127" t="str">
        <f t="shared" si="27"/>
        <v/>
      </c>
      <c r="BD53" s="127" t="str">
        <f t="shared" si="27"/>
        <v/>
      </c>
      <c r="BE53" s="127" t="str">
        <f t="shared" si="27"/>
        <v/>
      </c>
      <c r="BF53" s="127" t="str">
        <f t="shared" si="27"/>
        <v/>
      </c>
      <c r="BG53" s="127" t="str">
        <f t="shared" si="27"/>
        <v/>
      </c>
      <c r="BH53" s="127" t="str">
        <f t="shared" si="27"/>
        <v/>
      </c>
      <c r="BI53" s="127" t="str">
        <f t="shared" si="27"/>
        <v/>
      </c>
      <c r="BJ53" s="127" t="str">
        <f t="shared" si="27"/>
        <v/>
      </c>
      <c r="BK53" s="127" t="str">
        <f t="shared" si="27"/>
        <v/>
      </c>
      <c r="BL53" s="127" t="str">
        <f t="shared" si="27"/>
        <v/>
      </c>
      <c r="BM53" s="127" t="str">
        <f t="shared" si="27"/>
        <v/>
      </c>
      <c r="BN53" s="127" t="str">
        <f t="shared" si="27"/>
        <v/>
      </c>
      <c r="BO53" s="127" t="str">
        <f t="shared" si="27"/>
        <v/>
      </c>
      <c r="BP53" s="127" t="str">
        <f t="shared" si="27"/>
        <v/>
      </c>
      <c r="BQ53" s="127" t="str">
        <f t="shared" si="27"/>
        <v/>
      </c>
      <c r="BR53" s="127" t="str">
        <f t="shared" si="27"/>
        <v/>
      </c>
      <c r="BS53" s="127" t="str">
        <f t="shared" si="27"/>
        <v/>
      </c>
      <c r="BT53" s="127" t="str">
        <f t="shared" si="25"/>
        <v/>
      </c>
      <c r="BU53" s="127" t="str">
        <f t="shared" si="25"/>
        <v/>
      </c>
      <c r="BV53" s="127" t="str">
        <f t="shared" si="25"/>
        <v/>
      </c>
      <c r="BW53" s="127" t="str">
        <f t="shared" si="25"/>
        <v/>
      </c>
      <c r="BX53" s="127" t="str">
        <f t="shared" si="25"/>
        <v/>
      </c>
      <c r="BY53" s="127" t="str">
        <f t="shared" si="25"/>
        <v/>
      </c>
      <c r="BZ53" s="127" t="str">
        <f t="shared" si="25"/>
        <v/>
      </c>
      <c r="CA53" s="127" t="str">
        <f t="shared" si="25"/>
        <v/>
      </c>
      <c r="CB53" s="127" t="str">
        <f t="shared" si="25"/>
        <v/>
      </c>
      <c r="CC53" s="127" t="str">
        <f t="shared" si="25"/>
        <v/>
      </c>
      <c r="CD53" s="127" t="str">
        <f t="shared" si="25"/>
        <v/>
      </c>
      <c r="CE53" s="127" t="str">
        <f t="shared" si="25"/>
        <v/>
      </c>
    </row>
  </sheetData>
  <autoFilter ref="A7:CE53" xr:uid="{00000000-0009-0000-0000-00000A000000}">
    <filterColumn colId="15">
      <filters>
        <filter val="0%"/>
        <filter val="100%"/>
        <filter val="56%"/>
      </filters>
    </filterColumn>
  </autoFilter>
  <mergeCells count="16">
    <mergeCell ref="F5:F6"/>
    <mergeCell ref="A5:A6"/>
    <mergeCell ref="B5:B6"/>
    <mergeCell ref="C5:C6"/>
    <mergeCell ref="D5:D6"/>
    <mergeCell ref="E5:E6"/>
    <mergeCell ref="M5:M6"/>
    <mergeCell ref="N5:N6"/>
    <mergeCell ref="O5:O6"/>
    <mergeCell ref="P5:P6"/>
    <mergeCell ref="G5:G6"/>
    <mergeCell ref="H5:H6"/>
    <mergeCell ref="I5:I6"/>
    <mergeCell ref="J5:J6"/>
    <mergeCell ref="K5:K6"/>
    <mergeCell ref="L5:L6"/>
  </mergeCells>
  <conditionalFormatting sqref="O8:O53">
    <cfRule type="cellIs" dxfId="280" priority="753" operator="greaterThan">
      <formula>E8</formula>
    </cfRule>
  </conditionalFormatting>
  <conditionalFormatting sqref="P1:Q5 P7:Q1048576">
    <cfRule type="cellIs" dxfId="279" priority="192" operator="lessThan">
      <formula>1</formula>
    </cfRule>
    <cfRule type="cellIs" dxfId="278" priority="193" operator="equal">
      <formula>1</formula>
    </cfRule>
  </conditionalFormatting>
  <conditionalFormatting sqref="P8:Q27 P9:P53">
    <cfRule type="dataBar" priority="807">
      <dataBar>
        <cfvo type="num" val="0"/>
        <cfvo type="num" val="1"/>
        <color rgb="FFFFB628"/>
      </dataBar>
      <extLst>
        <ext xmlns:x14="http://schemas.microsoft.com/office/spreadsheetml/2009/9/main" uri="{B025F937-C7B1-47D3-B67F-A62EFF666E3E}">
          <x14:id>{227C5547-BDE1-4359-9FBF-FEA6FC3C5564}</x14:id>
        </ext>
      </extLst>
    </cfRule>
  </conditionalFormatting>
  <conditionalFormatting sqref="P28:Q28">
    <cfRule type="dataBar" priority="797">
      <dataBar>
        <cfvo type="num" val="0"/>
        <cfvo type="num" val="1"/>
        <color rgb="FFFFB628"/>
      </dataBar>
      <extLst>
        <ext xmlns:x14="http://schemas.microsoft.com/office/spreadsheetml/2009/9/main" uri="{B025F937-C7B1-47D3-B67F-A62EFF666E3E}">
          <x14:id>{064C431D-42FD-4483-BC6F-4CF3EF683ACF}</x14:id>
        </ext>
      </extLst>
    </cfRule>
  </conditionalFormatting>
  <conditionalFormatting sqref="P29:Q32">
    <cfRule type="dataBar" priority="794">
      <dataBar>
        <cfvo type="num" val="0"/>
        <cfvo type="num" val="1"/>
        <color rgb="FFFFB628"/>
      </dataBar>
      <extLst>
        <ext xmlns:x14="http://schemas.microsoft.com/office/spreadsheetml/2009/9/main" uri="{B025F937-C7B1-47D3-B67F-A62EFF666E3E}">
          <x14:id>{4A18C1B8-20E0-4983-8529-7CB47E2AAB72}</x14:id>
        </ext>
      </extLst>
    </cfRule>
  </conditionalFormatting>
  <conditionalFormatting sqref="P33:Q44">
    <cfRule type="dataBar" priority="188">
      <dataBar>
        <cfvo type="num" val="0"/>
        <cfvo type="num" val="1"/>
        <color rgb="FFFFB628"/>
      </dataBar>
      <extLst>
        <ext xmlns:x14="http://schemas.microsoft.com/office/spreadsheetml/2009/9/main" uri="{B025F937-C7B1-47D3-B67F-A62EFF666E3E}">
          <x14:id>{1E8EFBB8-B958-4B3B-A93F-E340B2AC870C}</x14:id>
        </ext>
      </extLst>
    </cfRule>
  </conditionalFormatting>
  <conditionalFormatting sqref="P45:Q45">
    <cfRule type="dataBar" priority="166">
      <dataBar>
        <cfvo type="num" val="0"/>
        <cfvo type="num" val="1"/>
        <color rgb="FFFFB628"/>
      </dataBar>
      <extLst>
        <ext xmlns:x14="http://schemas.microsoft.com/office/spreadsheetml/2009/9/main" uri="{B025F937-C7B1-47D3-B67F-A62EFF666E3E}">
          <x14:id>{910000D0-A327-4648-BB5D-E53B77DD7C44}</x14:id>
        </ext>
      </extLst>
    </cfRule>
  </conditionalFormatting>
  <conditionalFormatting sqref="P46:Q52">
    <cfRule type="dataBar" priority="145">
      <dataBar>
        <cfvo type="num" val="0"/>
        <cfvo type="num" val="1"/>
        <color rgb="FFFFB628"/>
      </dataBar>
      <extLst>
        <ext xmlns:x14="http://schemas.microsoft.com/office/spreadsheetml/2009/9/main" uri="{B025F937-C7B1-47D3-B67F-A62EFF666E3E}">
          <x14:id>{EA1B70E0-E507-401F-8A68-A05D5CFCD68A}</x14:id>
        </ext>
      </extLst>
    </cfRule>
  </conditionalFormatting>
  <conditionalFormatting sqref="P53:Q53">
    <cfRule type="dataBar" priority="19">
      <dataBar>
        <cfvo type="num" val="0"/>
        <cfvo type="num" val="1"/>
        <color rgb="FFFFB628"/>
      </dataBar>
      <extLst>
        <ext xmlns:x14="http://schemas.microsoft.com/office/spreadsheetml/2009/9/main" uri="{B025F937-C7B1-47D3-B67F-A62EFF666E3E}">
          <x14:id>{74A716F6-95BA-4F96-BE5F-DC6BB32CA0F0}</x14:id>
        </ext>
      </extLst>
    </cfRule>
  </conditionalFormatting>
  <conditionalFormatting sqref="R8:BF27">
    <cfRule type="cellIs" dxfId="277" priority="804" operator="equal">
      <formula>1</formula>
    </cfRule>
    <cfRule type="cellIs" dxfId="276" priority="803" operator="equal">
      <formula>1</formula>
    </cfRule>
  </conditionalFormatting>
  <conditionalFormatting sqref="R28:BF28">
    <cfRule type="cellIs" dxfId="275" priority="796" operator="equal">
      <formula>1</formula>
    </cfRule>
  </conditionalFormatting>
  <conditionalFormatting sqref="R28:BF53">
    <cfRule type="cellIs" dxfId="274" priority="8" operator="equal">
      <formula>1</formula>
    </cfRule>
  </conditionalFormatting>
  <conditionalFormatting sqref="R29:BF53">
    <cfRule type="cellIs" dxfId="273" priority="9" operator="equal">
      <formula>1</formula>
    </cfRule>
  </conditionalFormatting>
  <conditionalFormatting sqref="R8:BG27 R29:CE32 R46:CE52">
    <cfRule type="expression" dxfId="272" priority="801">
      <formula>IF(AND($N8&lt;=R$3,$O8&gt;=R$3),1,"")</formula>
    </cfRule>
  </conditionalFormatting>
  <conditionalFormatting sqref="R1:CE1">
    <cfRule type="cellIs" dxfId="271" priority="767" operator="notEqual">
      <formula>0</formula>
    </cfRule>
  </conditionalFormatting>
  <conditionalFormatting sqref="R28:CE28">
    <cfRule type="expression" dxfId="270" priority="795">
      <formula>IF(AND($N28&lt;=R$3,$O28&gt;=R$3),1,"")</formula>
    </cfRule>
  </conditionalFormatting>
  <conditionalFormatting sqref="R33:CE44">
    <cfRule type="expression" dxfId="269" priority="190">
      <formula>IF(AND($N33&lt;=R$3,$O33&gt;=R$3),1,"")</formula>
    </cfRule>
  </conditionalFormatting>
  <conditionalFormatting sqref="R45:CE45">
    <cfRule type="expression" dxfId="268" priority="168">
      <formula>IF(AND($N45&lt;=R$3,$O45&gt;=R$3),1,"")</formula>
    </cfRule>
  </conditionalFormatting>
  <conditionalFormatting sqref="R53:CE53">
    <cfRule type="expression" dxfId="267" priority="21">
      <formula>IF(AND($N53&lt;=R$3,$O53&gt;=R$3),1,"")</formula>
    </cfRule>
  </conditionalFormatting>
  <conditionalFormatting sqref="AW8:BF32">
    <cfRule type="cellIs" dxfId="266" priority="802" operator="equal">
      <formula>1</formula>
    </cfRule>
  </conditionalFormatting>
  <conditionalFormatting sqref="AW33:BF44">
    <cfRule type="cellIs" dxfId="265" priority="191" operator="equal">
      <formula>1</formula>
    </cfRule>
  </conditionalFormatting>
  <conditionalFormatting sqref="AW45:BF45">
    <cfRule type="cellIs" dxfId="264" priority="169" operator="equal">
      <formula>1</formula>
    </cfRule>
  </conditionalFormatting>
  <conditionalFormatting sqref="AW46:BF52">
    <cfRule type="cellIs" dxfId="263" priority="147" operator="equal">
      <formula>1</formula>
    </cfRule>
  </conditionalFormatting>
  <conditionalFormatting sqref="AW53:BF53">
    <cfRule type="cellIs" dxfId="262" priority="20" operator="equal">
      <formula>1</formula>
    </cfRule>
  </conditionalFormatting>
  <conditionalFormatting sqref="AW8:BG32">
    <cfRule type="cellIs" dxfId="261" priority="799" operator="equal">
      <formula>1</formula>
    </cfRule>
  </conditionalFormatting>
  <conditionalFormatting sqref="AW33:BM44">
    <cfRule type="cellIs" dxfId="260" priority="186" operator="equal">
      <formula>1</formula>
    </cfRule>
  </conditionalFormatting>
  <conditionalFormatting sqref="AW45:BM45">
    <cfRule type="cellIs" dxfId="259" priority="164" operator="equal">
      <formula>1</formula>
    </cfRule>
  </conditionalFormatting>
  <conditionalFormatting sqref="AW46:BM52">
    <cfRule type="cellIs" dxfId="258" priority="143" operator="equal">
      <formula>1</formula>
    </cfRule>
  </conditionalFormatting>
  <conditionalFormatting sqref="AW53:BM53">
    <cfRule type="cellIs" dxfId="257" priority="17" operator="equal">
      <formula>1</formula>
    </cfRule>
  </conditionalFormatting>
  <conditionalFormatting sqref="BG8:BG53">
    <cfRule type="cellIs" dxfId="256" priority="800" operator="equal">
      <formula>1</formula>
    </cfRule>
    <cfRule type="cellIs" dxfId="255" priority="798" operator="equal">
      <formula>1</formula>
    </cfRule>
  </conditionalFormatting>
  <conditionalFormatting sqref="BG8:BM32">
    <cfRule type="cellIs" dxfId="254" priority="788" operator="equal">
      <formula>1</formula>
    </cfRule>
  </conditionalFormatting>
  <conditionalFormatting sqref="BH8:BL27">
    <cfRule type="cellIs" dxfId="253" priority="793" operator="equal">
      <formula>1</formula>
    </cfRule>
    <cfRule type="cellIs" dxfId="252" priority="792" operator="equal">
      <formula>1</formula>
    </cfRule>
  </conditionalFormatting>
  <conditionalFormatting sqref="BH8:BL32">
    <cfRule type="cellIs" dxfId="251" priority="791" operator="equal">
      <formula>1</formula>
    </cfRule>
  </conditionalFormatting>
  <conditionalFormatting sqref="BH28:BL44">
    <cfRule type="cellIs" dxfId="250" priority="187" operator="equal">
      <formula>1</formula>
    </cfRule>
  </conditionalFormatting>
  <conditionalFormatting sqref="BH28:BL53">
    <cfRule type="cellIs" dxfId="249" priority="7" operator="equal">
      <formula>1</formula>
    </cfRule>
  </conditionalFormatting>
  <conditionalFormatting sqref="BH33:BL45">
    <cfRule type="cellIs" dxfId="248" priority="165" operator="equal">
      <formula>1</formula>
    </cfRule>
  </conditionalFormatting>
  <conditionalFormatting sqref="BH45:BL52">
    <cfRule type="cellIs" dxfId="247" priority="144" operator="equal">
      <formula>1</formula>
    </cfRule>
  </conditionalFormatting>
  <conditionalFormatting sqref="BH46:BL53">
    <cfRule type="cellIs" dxfId="246" priority="18" operator="equal">
      <formula>1</formula>
    </cfRule>
  </conditionalFormatting>
  <conditionalFormatting sqref="BH8:BM27">
    <cfRule type="expression" dxfId="245" priority="790">
      <formula>IF(AND($N8&lt;=BH$3,$O8&gt;=BH$3),1,"")</formula>
    </cfRule>
  </conditionalFormatting>
  <conditionalFormatting sqref="BH53:BR53">
    <cfRule type="cellIs" dxfId="244" priority="15" operator="equal">
      <formula>1</formula>
    </cfRule>
  </conditionalFormatting>
  <conditionalFormatting sqref="BM8:BM53">
    <cfRule type="cellIs" dxfId="243" priority="789" operator="equal">
      <formula>1</formula>
    </cfRule>
  </conditionalFormatting>
  <conditionalFormatting sqref="BM8:BR32">
    <cfRule type="cellIs" dxfId="242" priority="785" operator="equal">
      <formula>1</formula>
    </cfRule>
  </conditionalFormatting>
  <conditionalFormatting sqref="BM33:BR52">
    <cfRule type="cellIs" dxfId="241" priority="37" operator="equal">
      <formula>1</formula>
    </cfRule>
  </conditionalFormatting>
  <conditionalFormatting sqref="BM8:BS32">
    <cfRule type="cellIs" dxfId="240" priority="782" operator="equal">
      <formula>1</formula>
    </cfRule>
  </conditionalFormatting>
  <conditionalFormatting sqref="BM33:BS53">
    <cfRule type="cellIs" dxfId="239" priority="14" operator="equal">
      <formula>1</formula>
    </cfRule>
  </conditionalFormatting>
  <conditionalFormatting sqref="BN8:BR27">
    <cfRule type="cellIs" dxfId="238" priority="787" operator="equal">
      <formula>1</formula>
    </cfRule>
    <cfRule type="cellIs" dxfId="237" priority="786" operator="equal">
      <formula>1</formula>
    </cfRule>
  </conditionalFormatting>
  <conditionalFormatting sqref="BN28:BR53">
    <cfRule type="cellIs" dxfId="236" priority="5" operator="equal">
      <formula>1</formula>
    </cfRule>
    <cfRule type="cellIs" dxfId="235" priority="6" operator="equal">
      <formula>1</formula>
    </cfRule>
  </conditionalFormatting>
  <conditionalFormatting sqref="BN8:BS27">
    <cfRule type="expression" dxfId="234" priority="784">
      <formula>IF(AND($N8&lt;=BN$3,$O8&gt;=BN$3),1,"")</formula>
    </cfRule>
  </conditionalFormatting>
  <conditionalFormatting sqref="BS8:BS53">
    <cfRule type="cellIs" dxfId="233" priority="783" operator="equal">
      <formula>1</formula>
    </cfRule>
  </conditionalFormatting>
  <conditionalFormatting sqref="BS8:BX32">
    <cfRule type="cellIs" dxfId="232" priority="779" operator="equal">
      <formula>1</formula>
    </cfRule>
  </conditionalFormatting>
  <conditionalFormatting sqref="BS33:BX53">
    <cfRule type="cellIs" dxfId="231" priority="13" operator="equal">
      <formula>1</formula>
    </cfRule>
  </conditionalFormatting>
  <conditionalFormatting sqref="BS8:BY32">
    <cfRule type="cellIs" dxfId="230" priority="776" operator="equal">
      <formula>1</formula>
    </cfRule>
  </conditionalFormatting>
  <conditionalFormatting sqref="BS33:BY53">
    <cfRule type="cellIs" dxfId="229" priority="12" operator="equal">
      <formula>1</formula>
    </cfRule>
  </conditionalFormatting>
  <conditionalFormatting sqref="BT8:BX27">
    <cfRule type="cellIs" dxfId="228" priority="781" operator="equal">
      <formula>1</formula>
    </cfRule>
    <cfRule type="cellIs" dxfId="227" priority="780" operator="equal">
      <formula>1</formula>
    </cfRule>
  </conditionalFormatting>
  <conditionalFormatting sqref="BT28:BX53">
    <cfRule type="cellIs" dxfId="226" priority="3" operator="equal">
      <formula>1</formula>
    </cfRule>
    <cfRule type="cellIs" dxfId="225" priority="4" operator="equal">
      <formula>1</formula>
    </cfRule>
  </conditionalFormatting>
  <conditionalFormatting sqref="BT8:BY27">
    <cfRule type="expression" dxfId="224" priority="778">
      <formula>IF(AND($N8&lt;=BT$3,$O8&gt;=BT$3),1,"")</formula>
    </cfRule>
  </conditionalFormatting>
  <conditionalFormatting sqref="BY8:BY53">
    <cfRule type="cellIs" dxfId="223" priority="777" operator="equal">
      <formula>1</formula>
    </cfRule>
  </conditionalFormatting>
  <conditionalFormatting sqref="BY8:CD32">
    <cfRule type="cellIs" dxfId="222" priority="773" operator="equal">
      <formula>1</formula>
    </cfRule>
  </conditionalFormatting>
  <conditionalFormatting sqref="BY33:CD53">
    <cfRule type="cellIs" dxfId="221" priority="11" operator="equal">
      <formula>1</formula>
    </cfRule>
  </conditionalFormatting>
  <conditionalFormatting sqref="BY8:CE32">
    <cfRule type="cellIs" dxfId="220" priority="770" operator="equal">
      <formula>1</formula>
    </cfRule>
  </conditionalFormatting>
  <conditionalFormatting sqref="BY33:CE53">
    <cfRule type="cellIs" dxfId="219" priority="10" operator="equal">
      <formula>1</formula>
    </cfRule>
  </conditionalFormatting>
  <conditionalFormatting sqref="BZ8:CD27">
    <cfRule type="cellIs" dxfId="218" priority="775" operator="equal">
      <formula>1</formula>
    </cfRule>
    <cfRule type="cellIs" dxfId="217" priority="774" operator="equal">
      <formula>1</formula>
    </cfRule>
  </conditionalFormatting>
  <conditionalFormatting sqref="BZ28:CD53">
    <cfRule type="cellIs" dxfId="216" priority="1" operator="equal">
      <formula>1</formula>
    </cfRule>
    <cfRule type="cellIs" dxfId="215" priority="2" operator="equal">
      <formula>1</formula>
    </cfRule>
  </conditionalFormatting>
  <conditionalFormatting sqref="BZ8:CE27">
    <cfRule type="expression" dxfId="214" priority="772">
      <formula>IF(AND($N8&lt;=BZ$3,$O8&gt;=BZ$3),1,"")</formula>
    </cfRule>
  </conditionalFormatting>
  <conditionalFormatting sqref="CE8:CE53">
    <cfRule type="cellIs" dxfId="213" priority="769" operator="equal">
      <formula>1</formula>
    </cfRule>
    <cfRule type="cellIs" dxfId="212" priority="768" operator="equal">
      <formula>1</formula>
    </cfRule>
    <cfRule type="cellIs" dxfId="211" priority="771" operator="equal">
      <formula>1</formula>
    </cfRule>
  </conditionalFormatting>
  <pageMargins left="0.7" right="0.7" top="0.75" bottom="0.75" header="0.3" footer="0.3"/>
  <pageSetup paperSize="9" orientation="portrait" horizontalDpi="0" verticalDpi="0" r:id="rId1"/>
  <extLst>
    <ext xmlns:x14="http://schemas.microsoft.com/office/spreadsheetml/2009/9/main" uri="{78C0D931-6437-407d-A8EE-F0AAD7539E65}">
      <x14:conditionalFormattings>
        <x14:conditionalFormatting xmlns:xm="http://schemas.microsoft.com/office/excel/2006/main">
          <x14:cfRule type="dataBar" id="{227C5547-BDE1-4359-9FBF-FEA6FC3C5564}">
            <x14:dataBar minLength="0" maxLength="100" gradient="0">
              <x14:cfvo type="num">
                <xm:f>0</xm:f>
              </x14:cfvo>
              <x14:cfvo type="num">
                <xm:f>1</xm:f>
              </x14:cfvo>
              <x14:negativeFillColor rgb="FFFF0000"/>
              <x14:axisColor rgb="FF000000"/>
            </x14:dataBar>
          </x14:cfRule>
          <xm:sqref>P8:Q27 P9:P53</xm:sqref>
        </x14:conditionalFormatting>
        <x14:conditionalFormatting xmlns:xm="http://schemas.microsoft.com/office/excel/2006/main">
          <x14:cfRule type="dataBar" id="{064C431D-42FD-4483-BC6F-4CF3EF683ACF}">
            <x14:dataBar minLength="0" maxLength="100" gradient="0">
              <x14:cfvo type="num">
                <xm:f>0</xm:f>
              </x14:cfvo>
              <x14:cfvo type="num">
                <xm:f>1</xm:f>
              </x14:cfvo>
              <x14:negativeFillColor rgb="FFFF0000"/>
              <x14:axisColor rgb="FF000000"/>
            </x14:dataBar>
          </x14:cfRule>
          <xm:sqref>P28:Q28</xm:sqref>
        </x14:conditionalFormatting>
        <x14:conditionalFormatting xmlns:xm="http://schemas.microsoft.com/office/excel/2006/main">
          <x14:cfRule type="dataBar" id="{4A18C1B8-20E0-4983-8529-7CB47E2AAB72}">
            <x14:dataBar minLength="0" maxLength="100" gradient="0">
              <x14:cfvo type="num">
                <xm:f>0</xm:f>
              </x14:cfvo>
              <x14:cfvo type="num">
                <xm:f>1</xm:f>
              </x14:cfvo>
              <x14:negativeFillColor rgb="FFFF0000"/>
              <x14:axisColor rgb="FF000000"/>
            </x14:dataBar>
          </x14:cfRule>
          <xm:sqref>P29:Q32</xm:sqref>
        </x14:conditionalFormatting>
        <x14:conditionalFormatting xmlns:xm="http://schemas.microsoft.com/office/excel/2006/main">
          <x14:cfRule type="dataBar" id="{1E8EFBB8-B958-4B3B-A93F-E340B2AC870C}">
            <x14:dataBar minLength="0" maxLength="100" gradient="0">
              <x14:cfvo type="num">
                <xm:f>0</xm:f>
              </x14:cfvo>
              <x14:cfvo type="num">
                <xm:f>1</xm:f>
              </x14:cfvo>
              <x14:negativeFillColor rgb="FFFF0000"/>
              <x14:axisColor rgb="FF000000"/>
            </x14:dataBar>
          </x14:cfRule>
          <xm:sqref>P33:Q44</xm:sqref>
        </x14:conditionalFormatting>
        <x14:conditionalFormatting xmlns:xm="http://schemas.microsoft.com/office/excel/2006/main">
          <x14:cfRule type="dataBar" id="{910000D0-A327-4648-BB5D-E53B77DD7C44}">
            <x14:dataBar minLength="0" maxLength="100" gradient="0">
              <x14:cfvo type="num">
                <xm:f>0</xm:f>
              </x14:cfvo>
              <x14:cfvo type="num">
                <xm:f>1</xm:f>
              </x14:cfvo>
              <x14:negativeFillColor rgb="FFFF0000"/>
              <x14:axisColor rgb="FF000000"/>
            </x14:dataBar>
          </x14:cfRule>
          <xm:sqref>P45:Q45</xm:sqref>
        </x14:conditionalFormatting>
        <x14:conditionalFormatting xmlns:xm="http://schemas.microsoft.com/office/excel/2006/main">
          <x14:cfRule type="dataBar" id="{EA1B70E0-E507-401F-8A68-A05D5CFCD68A}">
            <x14:dataBar minLength="0" maxLength="100" gradient="0">
              <x14:cfvo type="num">
                <xm:f>0</xm:f>
              </x14:cfvo>
              <x14:cfvo type="num">
                <xm:f>1</xm:f>
              </x14:cfvo>
              <x14:negativeFillColor rgb="FFFF0000"/>
              <x14:axisColor rgb="FF000000"/>
            </x14:dataBar>
          </x14:cfRule>
          <xm:sqref>P46:Q52</xm:sqref>
        </x14:conditionalFormatting>
        <x14:conditionalFormatting xmlns:xm="http://schemas.microsoft.com/office/excel/2006/main">
          <x14:cfRule type="dataBar" id="{74A716F6-95BA-4F96-BE5F-DC6BB32CA0F0}">
            <x14:dataBar minLength="0" maxLength="100" gradient="0">
              <x14:cfvo type="num">
                <xm:f>0</xm:f>
              </x14:cfvo>
              <x14:cfvo type="num">
                <xm:f>1</xm:f>
              </x14:cfvo>
              <x14:negativeFillColor rgb="FFFF0000"/>
              <x14:axisColor rgb="FF000000"/>
            </x14:dataBar>
          </x14:cfRule>
          <xm:sqref>P53:Q53</xm:sqref>
        </x14:conditionalFormatting>
      </x14:conditionalFormatting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20" filterMode="1"/>
  <dimension ref="A1:CE53"/>
  <sheetViews>
    <sheetView showGridLines="0" zoomScaleNormal="100" workbookViewId="0">
      <pane xSplit="16" ySplit="7" topLeftCell="Q12" activePane="bottomRight" state="frozen"/>
      <selection pane="topRight" activeCell="Q1" sqref="Q1"/>
      <selection pane="bottomLeft" activeCell="A8" sqref="A8"/>
      <selection pane="bottomRight" activeCell="A9" sqref="A9:E53"/>
    </sheetView>
  </sheetViews>
  <sheetFormatPr defaultColWidth="9.28515625" defaultRowHeight="12.75" outlineLevelCol="1" x14ac:dyDescent="0.2"/>
  <cols>
    <col min="1" max="1" width="11.28515625" style="72" customWidth="1"/>
    <col min="2" max="2" width="21.7109375" style="71" customWidth="1"/>
    <col min="3" max="3" width="7.28515625" style="71" customWidth="1"/>
    <col min="4" max="4" width="7.7109375" style="71" customWidth="1"/>
    <col min="5" max="5" width="9.7109375" style="174" customWidth="1"/>
    <col min="6" max="6" width="7.5703125" style="71" customWidth="1"/>
    <col min="7" max="7" width="11.5703125" style="74" hidden="1" customWidth="1" outlineLevel="1"/>
    <col min="8" max="8" width="11.7109375" style="75" hidden="1" customWidth="1" outlineLevel="1"/>
    <col min="9" max="9" width="11.28515625" style="74" hidden="1" customWidth="1" outlineLevel="1"/>
    <col min="10" max="10" width="8.7109375" style="76" hidden="1" customWidth="1" outlineLevel="1"/>
    <col min="11" max="11" width="7.7109375" style="76" hidden="1" customWidth="1" outlineLevel="1"/>
    <col min="12" max="12" width="9" style="74" customWidth="1" collapsed="1"/>
    <col min="13" max="13" width="9" style="74" hidden="1" customWidth="1" outlineLevel="1"/>
    <col min="14" max="14" width="7.42578125" style="174" hidden="1" customWidth="1" outlineLevel="1"/>
    <col min="15" max="15" width="8.28515625" style="174" customWidth="1" collapsed="1"/>
    <col min="16" max="17" width="11.28515625" style="78" customWidth="1"/>
    <col min="18" max="32" width="6.5703125" style="71" bestFit="1" customWidth="1"/>
    <col min="33" max="83" width="7.28515625" style="71" bestFit="1" customWidth="1"/>
    <col min="84" max="16384" width="9.28515625" style="71"/>
  </cols>
  <sheetData>
    <row r="1" spans="1:83" x14ac:dyDescent="0.2">
      <c r="R1" s="105">
        <f>'T&amp;D'!Q1</f>
        <v>0</v>
      </c>
      <c r="S1" s="105">
        <f>'T&amp;D'!R1</f>
        <v>0</v>
      </c>
      <c r="T1" s="105">
        <f>'T&amp;D'!S1</f>
        <v>0</v>
      </c>
      <c r="U1" s="105">
        <f>'T&amp;D'!T1</f>
        <v>0</v>
      </c>
      <c r="V1" s="105">
        <f>'T&amp;D'!U1</f>
        <v>0</v>
      </c>
      <c r="W1" s="105">
        <f>'T&amp;D'!V1</f>
        <v>0</v>
      </c>
      <c r="X1" s="105">
        <f>'T&amp;D'!W1</f>
        <v>0</v>
      </c>
      <c r="Y1" s="105">
        <f>'T&amp;D'!X1</f>
        <v>0</v>
      </c>
      <c r="Z1" s="105">
        <f>'T&amp;D'!Y1</f>
        <v>0</v>
      </c>
      <c r="AA1" s="105">
        <f>'T&amp;D'!Z1</f>
        <v>0</v>
      </c>
      <c r="AB1" s="105">
        <f>'T&amp;D'!AA1</f>
        <v>0</v>
      </c>
      <c r="AC1" s="105">
        <f>'T&amp;D'!AB1</f>
        <v>0</v>
      </c>
      <c r="AD1" s="105">
        <f>'T&amp;D'!AC1</f>
        <v>0</v>
      </c>
      <c r="AE1" s="105">
        <f>'T&amp;D'!AD1</f>
        <v>0</v>
      </c>
      <c r="AF1" s="105">
        <f>'T&amp;D'!AE1</f>
        <v>0</v>
      </c>
      <c r="AG1" s="105">
        <f>'T&amp;D'!AF1</f>
        <v>0</v>
      </c>
      <c r="AH1" s="105">
        <f>'T&amp;D'!AG1</f>
        <v>0</v>
      </c>
      <c r="AI1" s="105">
        <f>'T&amp;D'!AH1</f>
        <v>0</v>
      </c>
      <c r="AJ1" s="105">
        <f>'T&amp;D'!AI1</f>
        <v>0</v>
      </c>
      <c r="AK1" s="105">
        <f>'T&amp;D'!AJ1</f>
        <v>0</v>
      </c>
      <c r="AL1" s="105">
        <f>'T&amp;D'!AK1</f>
        <v>0</v>
      </c>
      <c r="AM1" s="105">
        <f>'T&amp;D'!AL1</f>
        <v>0</v>
      </c>
      <c r="AN1" s="105">
        <f>'T&amp;D'!AM1</f>
        <v>0</v>
      </c>
      <c r="AO1" s="105">
        <f>'T&amp;D'!AN1</f>
        <v>0</v>
      </c>
      <c r="AP1" s="105">
        <f>'T&amp;D'!AO1</f>
        <v>0</v>
      </c>
      <c r="AQ1" s="105">
        <f>'T&amp;D'!AP1</f>
        <v>0</v>
      </c>
      <c r="AR1" s="105">
        <f>'T&amp;D'!AQ1</f>
        <v>0</v>
      </c>
      <c r="AS1" s="105">
        <f>'T&amp;D'!AR1</f>
        <v>0</v>
      </c>
      <c r="AT1" s="105">
        <f>'T&amp;D'!AS1</f>
        <v>0</v>
      </c>
      <c r="AU1" s="105">
        <f>'T&amp;D'!AT1</f>
        <v>0</v>
      </c>
      <c r="AV1" s="105">
        <f>'T&amp;D'!AU1</f>
        <v>0</v>
      </c>
      <c r="AW1" s="105">
        <f>'T&amp;D'!AV1</f>
        <v>0</v>
      </c>
      <c r="AX1" s="105">
        <f>'T&amp;D'!AW1</f>
        <v>0</v>
      </c>
      <c r="AY1" s="105">
        <f>'T&amp;D'!AX1</f>
        <v>0</v>
      </c>
      <c r="AZ1" s="105">
        <f>'T&amp;D'!AY1</f>
        <v>0</v>
      </c>
      <c r="BA1" s="105">
        <f>'T&amp;D'!AZ1</f>
        <v>0</v>
      </c>
      <c r="BB1" s="105">
        <f>'T&amp;D'!BA1</f>
        <v>0</v>
      </c>
      <c r="BC1" s="105">
        <f>'T&amp;D'!BB1</f>
        <v>0</v>
      </c>
      <c r="BD1" s="105">
        <f>'T&amp;D'!BC1</f>
        <v>0</v>
      </c>
      <c r="BE1" s="105">
        <f>'T&amp;D'!BD1</f>
        <v>0</v>
      </c>
      <c r="BF1" s="105">
        <f>'T&amp;D'!BE1</f>
        <v>0</v>
      </c>
      <c r="BG1" s="105">
        <f>'T&amp;D'!BF1</f>
        <v>0</v>
      </c>
      <c r="BH1" s="105">
        <f>'T&amp;D'!BG1</f>
        <v>0</v>
      </c>
      <c r="BI1" s="105">
        <f>'T&amp;D'!BH1</f>
        <v>0</v>
      </c>
      <c r="BJ1" s="105">
        <f>'T&amp;D'!BI1</f>
        <v>0</v>
      </c>
      <c r="BK1" s="105">
        <f>'T&amp;D'!BJ1</f>
        <v>0</v>
      </c>
      <c r="BL1" s="105">
        <f>'T&amp;D'!BK1</f>
        <v>0</v>
      </c>
      <c r="BM1" s="105">
        <f>'T&amp;D'!BL1</f>
        <v>0</v>
      </c>
      <c r="BN1" s="105">
        <f>'T&amp;D'!BM1</f>
        <v>0</v>
      </c>
      <c r="BO1" s="105">
        <f>'T&amp;D'!BN1</f>
        <v>0</v>
      </c>
      <c r="BP1" s="105">
        <f>'T&amp;D'!BO1</f>
        <v>0</v>
      </c>
      <c r="BQ1" s="105">
        <f>'T&amp;D'!BP1</f>
        <v>0</v>
      </c>
      <c r="BR1" s="105">
        <f>'T&amp;D'!BQ1</f>
        <v>0</v>
      </c>
      <c r="BS1" s="105">
        <f>'T&amp;D'!BR1</f>
        <v>0</v>
      </c>
      <c r="BT1" s="105">
        <f>'T&amp;D'!BS1</f>
        <v>0</v>
      </c>
      <c r="BU1" s="105">
        <f>'T&amp;D'!BT1</f>
        <v>0</v>
      </c>
      <c r="BV1" s="105">
        <f>'T&amp;D'!BU1</f>
        <v>0</v>
      </c>
      <c r="BW1" s="105">
        <f>'T&amp;D'!BV1</f>
        <v>0</v>
      </c>
      <c r="BX1" s="105">
        <f>'T&amp;D'!BW1</f>
        <v>0</v>
      </c>
      <c r="BY1" s="105">
        <f>'T&amp;D'!BX1</f>
        <v>0</v>
      </c>
      <c r="BZ1" s="105">
        <f>'T&amp;D'!BY1</f>
        <v>0</v>
      </c>
      <c r="CA1" s="105">
        <f>'T&amp;D'!BZ1</f>
        <v>0</v>
      </c>
      <c r="CB1" s="105">
        <f>'T&amp;D'!CA1</f>
        <v>0</v>
      </c>
      <c r="CC1" s="105">
        <f>'T&amp;D'!CB1</f>
        <v>0</v>
      </c>
      <c r="CD1" s="105">
        <f>'T&amp;D'!CC1</f>
        <v>0</v>
      </c>
      <c r="CE1" s="105">
        <f>'T&amp;D'!CD1</f>
        <v>0</v>
      </c>
    </row>
    <row r="2" spans="1:83" x14ac:dyDescent="0.2">
      <c r="A2" s="103" t="s">
        <v>223</v>
      </c>
      <c r="N2" s="204">
        <f>5</f>
        <v>5</v>
      </c>
      <c r="O2" s="174" t="s">
        <v>345</v>
      </c>
      <c r="R2" s="105" t="str">
        <f>'T&amp;D'!Q2</f>
        <v>w/O OT</v>
      </c>
      <c r="S2" s="105" t="str">
        <f>'T&amp;D'!R2</f>
        <v>w/O OT</v>
      </c>
      <c r="T2" s="105" t="str">
        <f>'T&amp;D'!S2</f>
        <v>w/O OT</v>
      </c>
      <c r="U2" s="105" t="str">
        <f>'T&amp;D'!T2</f>
        <v>w/O OT</v>
      </c>
      <c r="V2" s="105" t="str">
        <f>'T&amp;D'!U2</f>
        <v>Fri</v>
      </c>
      <c r="W2" s="105" t="str">
        <f>'T&amp;D'!V2</f>
        <v>Sat</v>
      </c>
      <c r="X2" s="105" t="str">
        <f>'T&amp;D'!W2</f>
        <v>w/O OT</v>
      </c>
      <c r="Y2" s="105" t="str">
        <f>'T&amp;D'!X2</f>
        <v>w/O OT</v>
      </c>
      <c r="Z2" s="105" t="str">
        <f>'T&amp;D'!Y2</f>
        <v>w/O OT</v>
      </c>
      <c r="AA2" s="105" t="str">
        <f>'T&amp;D'!Z2</f>
        <v>w/O OT</v>
      </c>
      <c r="AB2" s="105" t="str">
        <f>'T&amp;D'!AA2</f>
        <v>Fri</v>
      </c>
      <c r="AC2" s="105" t="str">
        <f>'T&amp;D'!AB2</f>
        <v>Sat</v>
      </c>
      <c r="AD2" s="105" t="str">
        <f>'T&amp;D'!AC2</f>
        <v>w/O OT</v>
      </c>
      <c r="AE2" s="105" t="str">
        <f>'T&amp;D'!AD2</f>
        <v>w/O OT</v>
      </c>
      <c r="AF2" s="105" t="str">
        <f>'T&amp;D'!AE2</f>
        <v>w/O OT</v>
      </c>
      <c r="AG2" s="105" t="str">
        <f>'T&amp;D'!AF2</f>
        <v>w/O OT</v>
      </c>
      <c r="AH2" s="105" t="str">
        <f>'T&amp;D'!AG2</f>
        <v>Fri</v>
      </c>
      <c r="AI2" s="105" t="str">
        <f>'T&amp;D'!AH2</f>
        <v>Sat</v>
      </c>
      <c r="AJ2" s="105" t="str">
        <f>'T&amp;D'!AI2</f>
        <v>w/O OT</v>
      </c>
      <c r="AK2" s="105" t="str">
        <f>'T&amp;D'!AJ2</f>
        <v>w/O OT</v>
      </c>
      <c r="AL2" s="105" t="str">
        <f>'T&amp;D'!AK2</f>
        <v>w/O OT</v>
      </c>
      <c r="AM2" s="105" t="str">
        <f>'T&amp;D'!AL2</f>
        <v>w/O OT</v>
      </c>
      <c r="AN2" s="105" t="str">
        <f>'T&amp;D'!AM2</f>
        <v>Fri</v>
      </c>
      <c r="AO2" s="105" t="str">
        <f>'T&amp;D'!AN2</f>
        <v>Sat</v>
      </c>
      <c r="AP2" s="105" t="str">
        <f>'T&amp;D'!AO2</f>
        <v>w/O OT</v>
      </c>
      <c r="AQ2" s="105" t="str">
        <f>'T&amp;D'!AP2</f>
        <v>w/O OT</v>
      </c>
      <c r="AR2" s="105" t="str">
        <f>'T&amp;D'!AQ2</f>
        <v>w/O OT</v>
      </c>
      <c r="AS2" s="105" t="str">
        <f>'T&amp;D'!AR2</f>
        <v>w/O OT</v>
      </c>
      <c r="AT2" s="105" t="str">
        <f>'T&amp;D'!AS2</f>
        <v>Fri</v>
      </c>
      <c r="AU2" s="105" t="str">
        <f>'T&amp;D'!AT2</f>
        <v>Sat</v>
      </c>
      <c r="AV2" s="105" t="str">
        <f>'T&amp;D'!AU2</f>
        <v>w/O OT</v>
      </c>
      <c r="AW2" s="105" t="str">
        <f>'T&amp;D'!AV2</f>
        <v>w/O OT</v>
      </c>
      <c r="AX2" s="105" t="str">
        <f>'T&amp;D'!AW2</f>
        <v>w/O OT</v>
      </c>
      <c r="AY2" s="105" t="str">
        <f>'T&amp;D'!AX2</f>
        <v>w/O OT</v>
      </c>
      <c r="AZ2" s="105" t="str">
        <f>'T&amp;D'!AY2</f>
        <v>Fri</v>
      </c>
      <c r="BA2" s="105" t="str">
        <f>'T&amp;D'!AZ2</f>
        <v>Sat</v>
      </c>
      <c r="BB2" s="105" t="str">
        <f>'T&amp;D'!BA2</f>
        <v>w/O OT</v>
      </c>
      <c r="BC2" s="105" t="str">
        <f>'T&amp;D'!BB2</f>
        <v>w/O OT</v>
      </c>
      <c r="BD2" s="105" t="str">
        <f>'T&amp;D'!BC2</f>
        <v>w/O OT</v>
      </c>
      <c r="BE2" s="105" t="str">
        <f>'T&amp;D'!BD2</f>
        <v>w/O OT</v>
      </c>
      <c r="BF2" s="105" t="str">
        <f>'T&amp;D'!BE2</f>
        <v>Fri</v>
      </c>
      <c r="BG2" s="105" t="str">
        <f>'T&amp;D'!BF2</f>
        <v>Sat</v>
      </c>
      <c r="BH2" s="105" t="str">
        <f>'T&amp;D'!BG2</f>
        <v>w/O OT</v>
      </c>
      <c r="BI2" s="105" t="str">
        <f>'T&amp;D'!BH2</f>
        <v>w/O OT</v>
      </c>
      <c r="BJ2" s="105" t="str">
        <f>'T&amp;D'!BI2</f>
        <v>w/O OT</v>
      </c>
      <c r="BK2" s="105" t="str">
        <f>'T&amp;D'!BJ2</f>
        <v>w/O OT</v>
      </c>
      <c r="BL2" s="105" t="str">
        <f>'T&amp;D'!BK2</f>
        <v>Fri</v>
      </c>
      <c r="BM2" s="105" t="str">
        <f>'T&amp;D'!BL2</f>
        <v>Sat</v>
      </c>
      <c r="BN2" s="105" t="str">
        <f>'T&amp;D'!BM2</f>
        <v>w/O OT</v>
      </c>
      <c r="BO2" s="105" t="str">
        <f>'T&amp;D'!BN2</f>
        <v>w/O OT</v>
      </c>
      <c r="BP2" s="105" t="str">
        <f>'T&amp;D'!BO2</f>
        <v>w/O OT</v>
      </c>
      <c r="BQ2" s="105" t="str">
        <f>'T&amp;D'!BP2</f>
        <v>w/O OT</v>
      </c>
      <c r="BR2" s="105" t="str">
        <f>'T&amp;D'!BQ2</f>
        <v>Fri</v>
      </c>
      <c r="BS2" s="105" t="str">
        <f>'T&amp;D'!BR2</f>
        <v>Sat</v>
      </c>
      <c r="BT2" s="105" t="str">
        <f>'T&amp;D'!BS2</f>
        <v>w/O OT</v>
      </c>
      <c r="BU2" s="105" t="str">
        <f>'T&amp;D'!BT2</f>
        <v>w/O OT</v>
      </c>
      <c r="BV2" s="105" t="str">
        <f>'T&amp;D'!BU2</f>
        <v>w/O OT</v>
      </c>
      <c r="BW2" s="105" t="str">
        <f>'T&amp;D'!BV2</f>
        <v>w/O OT</v>
      </c>
      <c r="BX2" s="105" t="str">
        <f>'T&amp;D'!BW2</f>
        <v>Fri</v>
      </c>
      <c r="BY2" s="105" t="str">
        <f>'T&amp;D'!BX2</f>
        <v>Sat</v>
      </c>
      <c r="BZ2" s="105" t="str">
        <f>'T&amp;D'!BY2</f>
        <v>w/O OT</v>
      </c>
      <c r="CA2" s="105" t="str">
        <f>'T&amp;D'!BZ2</f>
        <v>w/O OT</v>
      </c>
      <c r="CB2" s="105" t="str">
        <f>'T&amp;D'!CA2</f>
        <v>w/O OT</v>
      </c>
      <c r="CC2" s="105" t="str">
        <f>'T&amp;D'!CB2</f>
        <v>w/O OT</v>
      </c>
      <c r="CD2" s="105" t="str">
        <f>'T&amp;D'!CC2</f>
        <v>Fri</v>
      </c>
      <c r="CE2" s="105" t="str">
        <f>'T&amp;D'!CD2</f>
        <v>Sat</v>
      </c>
    </row>
    <row r="3" spans="1:83" s="80" customFormat="1" x14ac:dyDescent="0.2">
      <c r="A3" s="79"/>
      <c r="C3" s="71" t="s">
        <v>109</v>
      </c>
      <c r="D3" s="75" t="s">
        <v>110</v>
      </c>
      <c r="E3" s="174" t="s">
        <v>90</v>
      </c>
      <c r="L3" s="85"/>
      <c r="M3" s="85"/>
      <c r="N3" s="177"/>
      <c r="O3" s="177"/>
      <c r="P3" s="81"/>
      <c r="Q3" s="81"/>
      <c r="R3" s="82">
        <f>'T&amp;D'!Q3</f>
        <v>46314</v>
      </c>
      <c r="S3" s="82">
        <f>'T&amp;D'!R3</f>
        <v>46315</v>
      </c>
      <c r="T3" s="82">
        <f>'T&amp;D'!S3</f>
        <v>46316</v>
      </c>
      <c r="U3" s="82">
        <f>'T&amp;D'!T3</f>
        <v>46317</v>
      </c>
      <c r="V3" s="82">
        <f>'T&amp;D'!U3</f>
        <v>46318</v>
      </c>
      <c r="W3" s="82">
        <f>'T&amp;D'!V3</f>
        <v>46319</v>
      </c>
      <c r="X3" s="82">
        <f>'T&amp;D'!W3</f>
        <v>46321</v>
      </c>
      <c r="Y3" s="82">
        <f>'T&amp;D'!X3</f>
        <v>46322</v>
      </c>
      <c r="Z3" s="82">
        <f>'T&amp;D'!Y3</f>
        <v>46323</v>
      </c>
      <c r="AA3" s="82">
        <f>'T&amp;D'!Z3</f>
        <v>46324</v>
      </c>
      <c r="AB3" s="82">
        <f>'T&amp;D'!AA3</f>
        <v>46325</v>
      </c>
      <c r="AC3" s="82">
        <f>'T&amp;D'!AB3</f>
        <v>46326</v>
      </c>
      <c r="AD3" s="82">
        <f>'T&amp;D'!AC3</f>
        <v>46328</v>
      </c>
      <c r="AE3" s="82">
        <f>'T&amp;D'!AD3</f>
        <v>46329</v>
      </c>
      <c r="AF3" s="82">
        <f>'T&amp;D'!AE3</f>
        <v>46330</v>
      </c>
      <c r="AG3" s="82">
        <f>'T&amp;D'!AF3</f>
        <v>46331</v>
      </c>
      <c r="AH3" s="82">
        <f>'T&amp;D'!AG3</f>
        <v>46332</v>
      </c>
      <c r="AI3" s="82">
        <f>'T&amp;D'!AH3</f>
        <v>46333</v>
      </c>
      <c r="AJ3" s="82">
        <f>'T&amp;D'!AI3</f>
        <v>46335</v>
      </c>
      <c r="AK3" s="82">
        <f>'T&amp;D'!AJ3</f>
        <v>46336</v>
      </c>
      <c r="AL3" s="82">
        <f>'T&amp;D'!AK3</f>
        <v>46337</v>
      </c>
      <c r="AM3" s="82">
        <f>'T&amp;D'!AL3</f>
        <v>46338</v>
      </c>
      <c r="AN3" s="82">
        <f>'T&amp;D'!AM3</f>
        <v>46339</v>
      </c>
      <c r="AO3" s="82">
        <f>'T&amp;D'!AN3</f>
        <v>46340</v>
      </c>
      <c r="AP3" s="82">
        <f>'T&amp;D'!AO3</f>
        <v>46342</v>
      </c>
      <c r="AQ3" s="82">
        <f>'T&amp;D'!AP3</f>
        <v>46343</v>
      </c>
      <c r="AR3" s="82">
        <f>'T&amp;D'!AQ3</f>
        <v>46344</v>
      </c>
      <c r="AS3" s="82">
        <f>'T&amp;D'!AR3</f>
        <v>46345</v>
      </c>
      <c r="AT3" s="82">
        <f>'T&amp;D'!AS3</f>
        <v>46346</v>
      </c>
      <c r="AU3" s="82">
        <f>'T&amp;D'!AT3</f>
        <v>46347</v>
      </c>
      <c r="AV3" s="82">
        <f>'T&amp;D'!AU3</f>
        <v>46349</v>
      </c>
      <c r="AW3" s="82">
        <f>'T&amp;D'!AV3</f>
        <v>46350</v>
      </c>
      <c r="AX3" s="82">
        <f>'T&amp;D'!AW3</f>
        <v>46351</v>
      </c>
      <c r="AY3" s="82">
        <f>'T&amp;D'!AX3</f>
        <v>46352</v>
      </c>
      <c r="AZ3" s="82">
        <f>'T&amp;D'!AY3</f>
        <v>46353</v>
      </c>
      <c r="BA3" s="82">
        <f>'T&amp;D'!AZ3</f>
        <v>46354</v>
      </c>
      <c r="BB3" s="82">
        <f>'T&amp;D'!BA3</f>
        <v>46356</v>
      </c>
      <c r="BC3" s="82">
        <f>'T&amp;D'!BB3</f>
        <v>46357</v>
      </c>
      <c r="BD3" s="82">
        <f>'T&amp;D'!BC3</f>
        <v>46358</v>
      </c>
      <c r="BE3" s="82">
        <f>'T&amp;D'!BD3</f>
        <v>46359</v>
      </c>
      <c r="BF3" s="82">
        <f>'T&amp;D'!BE3</f>
        <v>46360</v>
      </c>
      <c r="BG3" s="82">
        <f>'T&amp;D'!BF3</f>
        <v>46361</v>
      </c>
      <c r="BH3" s="82">
        <f>'T&amp;D'!BG3</f>
        <v>46363</v>
      </c>
      <c r="BI3" s="82">
        <f>'T&amp;D'!BH3</f>
        <v>46364</v>
      </c>
      <c r="BJ3" s="82">
        <f>'T&amp;D'!BI3</f>
        <v>46365</v>
      </c>
      <c r="BK3" s="82">
        <f>'T&amp;D'!BJ3</f>
        <v>46366</v>
      </c>
      <c r="BL3" s="82">
        <f>'T&amp;D'!BK3</f>
        <v>46367</v>
      </c>
      <c r="BM3" s="82">
        <f>'T&amp;D'!BL3</f>
        <v>46368</v>
      </c>
      <c r="BN3" s="82">
        <f>'T&amp;D'!BM3</f>
        <v>46370</v>
      </c>
      <c r="BO3" s="82">
        <f>'T&amp;D'!BN3</f>
        <v>46371</v>
      </c>
      <c r="BP3" s="82">
        <f>'T&amp;D'!BO3</f>
        <v>46372</v>
      </c>
      <c r="BQ3" s="82">
        <f>'T&amp;D'!BP3</f>
        <v>46373</v>
      </c>
      <c r="BR3" s="82">
        <f>'T&amp;D'!BQ3</f>
        <v>46374</v>
      </c>
      <c r="BS3" s="82">
        <f>'T&amp;D'!BR3</f>
        <v>46375</v>
      </c>
      <c r="BT3" s="82">
        <f>'T&amp;D'!BS3</f>
        <v>46377</v>
      </c>
      <c r="BU3" s="82">
        <f>'T&amp;D'!BT3</f>
        <v>46378</v>
      </c>
      <c r="BV3" s="82">
        <f>'T&amp;D'!BU3</f>
        <v>46379</v>
      </c>
      <c r="BW3" s="82">
        <f>'T&amp;D'!BV3</f>
        <v>46380</v>
      </c>
      <c r="BX3" s="82">
        <f>'T&amp;D'!BW3</f>
        <v>46381</v>
      </c>
      <c r="BY3" s="82">
        <f>'T&amp;D'!BX3</f>
        <v>46382</v>
      </c>
      <c r="BZ3" s="82">
        <f>'T&amp;D'!BY3</f>
        <v>46384</v>
      </c>
      <c r="CA3" s="82">
        <f>'T&amp;D'!BZ3</f>
        <v>46385</v>
      </c>
      <c r="CB3" s="82">
        <f>'T&amp;D'!CA3</f>
        <v>46386</v>
      </c>
      <c r="CC3" s="82">
        <f>'T&amp;D'!CB3</f>
        <v>46387</v>
      </c>
      <c r="CD3" s="82">
        <f>'T&amp;D'!CC3</f>
        <v>46388</v>
      </c>
      <c r="CE3" s="82">
        <f>'T&amp;D'!CD3</f>
        <v>46389</v>
      </c>
    </row>
    <row r="4" spans="1:83" s="84" customFormat="1" x14ac:dyDescent="0.2">
      <c r="A4" s="83"/>
      <c r="D4" s="173"/>
      <c r="E4" s="174" t="s">
        <v>228</v>
      </c>
      <c r="F4" s="157">
        <f>SUM(F8:F4665)</f>
        <v>721</v>
      </c>
      <c r="I4" s="85">
        <f>45.5/5</f>
        <v>9.1</v>
      </c>
      <c r="L4" s="85">
        <f>SUM(L8:L4665)</f>
        <v>12.407404902789521</v>
      </c>
      <c r="M4" s="85"/>
      <c r="N4" s="178">
        <f>'T&amp;D'!M4+N2</f>
        <v>46319</v>
      </c>
      <c r="O4" s="177"/>
      <c r="P4" s="81"/>
      <c r="Q4" s="81"/>
      <c r="R4" s="104">
        <f>'T&amp;D'!Q4</f>
        <v>45817</v>
      </c>
      <c r="S4" s="104">
        <f>'T&amp;D'!R4</f>
        <v>45818</v>
      </c>
      <c r="T4" s="104">
        <f>'T&amp;D'!S4</f>
        <v>45819</v>
      </c>
      <c r="U4" s="104">
        <f>'T&amp;D'!T4</f>
        <v>45820</v>
      </c>
      <c r="V4" s="104">
        <f>'T&amp;D'!U4</f>
        <v>45821</v>
      </c>
      <c r="W4" s="104">
        <f>'T&amp;D'!V4</f>
        <v>45822</v>
      </c>
      <c r="X4" s="104">
        <f>'T&amp;D'!W4</f>
        <v>45824</v>
      </c>
      <c r="Y4" s="104">
        <f>'T&amp;D'!X4</f>
        <v>45825</v>
      </c>
      <c r="Z4" s="104">
        <f>'T&amp;D'!Y4</f>
        <v>45826</v>
      </c>
      <c r="AA4" s="104">
        <f>'T&amp;D'!Z4</f>
        <v>45827</v>
      </c>
      <c r="AB4" s="104">
        <f>'T&amp;D'!AA4</f>
        <v>45828</v>
      </c>
      <c r="AC4" s="104">
        <f>'T&amp;D'!AB4</f>
        <v>45829</v>
      </c>
      <c r="AD4" s="104">
        <f>'T&amp;D'!AC4</f>
        <v>45831</v>
      </c>
      <c r="AE4" s="104">
        <f>'T&amp;D'!AD4</f>
        <v>45832</v>
      </c>
      <c r="AF4" s="104">
        <f>'T&amp;D'!AE4</f>
        <v>45833</v>
      </c>
      <c r="AG4" s="104">
        <f>'T&amp;D'!AF4</f>
        <v>45834</v>
      </c>
      <c r="AH4" s="104">
        <f>'T&amp;D'!AG4</f>
        <v>45835</v>
      </c>
      <c r="AI4" s="104">
        <f>'T&amp;D'!AH4</f>
        <v>45836</v>
      </c>
      <c r="AJ4" s="104">
        <f>'T&amp;D'!AI4</f>
        <v>45838</v>
      </c>
      <c r="AK4" s="104">
        <f>'T&amp;D'!AJ4</f>
        <v>45839</v>
      </c>
      <c r="AL4" s="104">
        <f>'T&amp;D'!AK4</f>
        <v>45840</v>
      </c>
      <c r="AM4" s="104">
        <f>'T&amp;D'!AL4</f>
        <v>45841</v>
      </c>
      <c r="AN4" s="104">
        <f>'T&amp;D'!AM4</f>
        <v>45842</v>
      </c>
      <c r="AO4" s="104">
        <f>'T&amp;D'!AN4</f>
        <v>45843</v>
      </c>
      <c r="AP4" s="104">
        <f>'T&amp;D'!AO4</f>
        <v>45845</v>
      </c>
      <c r="AQ4" s="104">
        <f>'T&amp;D'!AP4</f>
        <v>45846</v>
      </c>
      <c r="AR4" s="104">
        <f>'T&amp;D'!AQ4</f>
        <v>45847</v>
      </c>
      <c r="AS4" s="104">
        <f>'T&amp;D'!AR4</f>
        <v>45848</v>
      </c>
      <c r="AT4" s="104">
        <f>'T&amp;D'!AS4</f>
        <v>45849</v>
      </c>
      <c r="AU4" s="104">
        <f>'T&amp;D'!AT4</f>
        <v>45850</v>
      </c>
      <c r="AV4" s="104">
        <f>'T&amp;D'!AU4</f>
        <v>45852</v>
      </c>
      <c r="AW4" s="104">
        <f>'T&amp;D'!AV4</f>
        <v>45853</v>
      </c>
      <c r="AX4" s="104">
        <f>'T&amp;D'!AW4</f>
        <v>45854</v>
      </c>
      <c r="AY4" s="104">
        <f>'T&amp;D'!AX4</f>
        <v>45855</v>
      </c>
      <c r="AZ4" s="104">
        <f>'T&amp;D'!AY4</f>
        <v>45856</v>
      </c>
      <c r="BA4" s="104">
        <f>'T&amp;D'!AZ4</f>
        <v>45857</v>
      </c>
      <c r="BB4" s="104">
        <f>'T&amp;D'!BA4</f>
        <v>45859</v>
      </c>
      <c r="BC4" s="104">
        <f>'T&amp;D'!BB4</f>
        <v>45860</v>
      </c>
      <c r="BD4" s="104">
        <f>'T&amp;D'!BC4</f>
        <v>45861</v>
      </c>
      <c r="BE4" s="104">
        <f>'T&amp;D'!BD4</f>
        <v>45862</v>
      </c>
      <c r="BF4" s="104">
        <f>'T&amp;D'!BE4</f>
        <v>45863</v>
      </c>
      <c r="BG4" s="104">
        <f>'T&amp;D'!BF4</f>
        <v>45864</v>
      </c>
      <c r="BH4" s="104">
        <f>'T&amp;D'!BG4</f>
        <v>45866</v>
      </c>
      <c r="BI4" s="104">
        <f>'T&amp;D'!BH4</f>
        <v>45867</v>
      </c>
      <c r="BJ4" s="104">
        <f>'T&amp;D'!BI4</f>
        <v>45868</v>
      </c>
      <c r="BK4" s="104">
        <f>'T&amp;D'!BJ4</f>
        <v>45869</v>
      </c>
      <c r="BL4" s="104">
        <f>'T&amp;D'!BK4</f>
        <v>45870</v>
      </c>
      <c r="BM4" s="104">
        <f>'T&amp;D'!BL4</f>
        <v>45871</v>
      </c>
      <c r="BN4" s="104">
        <f>'T&amp;D'!BM4</f>
        <v>45873</v>
      </c>
      <c r="BO4" s="104">
        <f>'T&amp;D'!BN4</f>
        <v>45874</v>
      </c>
      <c r="BP4" s="104">
        <f>'T&amp;D'!BO4</f>
        <v>45875</v>
      </c>
      <c r="BQ4" s="104">
        <f>'T&amp;D'!BP4</f>
        <v>45876</v>
      </c>
      <c r="BR4" s="104">
        <f>'T&amp;D'!BQ4</f>
        <v>45877</v>
      </c>
      <c r="BS4" s="104">
        <f>'T&amp;D'!BR4</f>
        <v>45878</v>
      </c>
      <c r="BT4" s="104">
        <f>'T&amp;D'!BS4</f>
        <v>45880</v>
      </c>
      <c r="BU4" s="104">
        <f>'T&amp;D'!BT4</f>
        <v>45881</v>
      </c>
      <c r="BV4" s="104">
        <f>'T&amp;D'!BU4</f>
        <v>45882</v>
      </c>
      <c r="BW4" s="104">
        <f>'T&amp;D'!BV4</f>
        <v>45883</v>
      </c>
      <c r="BX4" s="104">
        <f>'T&amp;D'!BW4</f>
        <v>45884</v>
      </c>
      <c r="BY4" s="104">
        <f>'T&amp;D'!BX4</f>
        <v>45885</v>
      </c>
      <c r="BZ4" s="104">
        <f>'T&amp;D'!BY4</f>
        <v>45887</v>
      </c>
      <c r="CA4" s="104">
        <f>'T&amp;D'!BZ4</f>
        <v>45888</v>
      </c>
      <c r="CB4" s="104">
        <f>'T&amp;D'!CA4</f>
        <v>45889</v>
      </c>
      <c r="CC4" s="104">
        <f>'T&amp;D'!CB4</f>
        <v>45890</v>
      </c>
      <c r="CD4" s="104">
        <f>'T&amp;D'!CC4</f>
        <v>45891</v>
      </c>
      <c r="CE4" s="104">
        <f>'T&amp;D'!CD4</f>
        <v>45892</v>
      </c>
    </row>
    <row r="5" spans="1:83" s="84" customFormat="1" ht="11.25" customHeight="1" x14ac:dyDescent="0.2">
      <c r="A5" s="386" t="s">
        <v>385</v>
      </c>
      <c r="B5" s="386" t="s">
        <v>214</v>
      </c>
      <c r="C5" s="387" t="s">
        <v>91</v>
      </c>
      <c r="D5" s="388" t="s">
        <v>0</v>
      </c>
      <c r="E5" s="389" t="s">
        <v>103</v>
      </c>
      <c r="F5" s="388" t="s">
        <v>89</v>
      </c>
      <c r="G5" s="392" t="s">
        <v>93</v>
      </c>
      <c r="H5" s="388" t="s">
        <v>94</v>
      </c>
      <c r="I5" s="390" t="s">
        <v>95</v>
      </c>
      <c r="J5" s="393" t="s">
        <v>519</v>
      </c>
      <c r="K5" s="393" t="s">
        <v>520</v>
      </c>
      <c r="L5" s="390" t="s">
        <v>241</v>
      </c>
      <c r="M5" s="390" t="s">
        <v>240</v>
      </c>
      <c r="N5" s="389" t="s">
        <v>98</v>
      </c>
      <c r="O5" s="389" t="s">
        <v>99</v>
      </c>
      <c r="P5" s="391" t="s">
        <v>102</v>
      </c>
      <c r="Q5" s="125" t="s">
        <v>106</v>
      </c>
      <c r="R5" s="126" cm="1">
        <f t="array" ref="R5">_xlfn.IFS(R2="w/ OT",12.25,R2="w/o OT",9.5,R2="FRI",7.5,R2="SAT",7.5,R2="SUN",7.5,R2="OFF",0)</f>
        <v>9.5</v>
      </c>
      <c r="S5" s="126" cm="1">
        <f t="array" ref="S5">_xlfn.IFS(S2="w/ OT",12.25,S2="w/o OT",9.5,S2="FRI",7.5,S2="SAT",7.5,S2="SUN",7.5,S2="OFF",0)</f>
        <v>9.5</v>
      </c>
      <c r="T5" s="126" cm="1">
        <f t="array" ref="T5">_xlfn.IFS(T2="w/ OT",12.25,T2="w/o OT",9.5,T2="FRI",7.5,T2="SAT",7.5,T2="SUN",7.5,T2="OFF",0)</f>
        <v>9.5</v>
      </c>
      <c r="U5" s="126" cm="1">
        <f t="array" ref="U5">_xlfn.IFS(U2="w/ OT",12.25,U2="w/o OT",9.5,U2="FRI",7.5,U2="SAT",7.5,U2="SUN",7.5,U2="OFF",0)</f>
        <v>9.5</v>
      </c>
      <c r="V5" s="126" cm="1">
        <f t="array" ref="V5">_xlfn.IFS(V2="w/ OT",12.25,V2="w/o OT",9.5,V2="FRI",7.5,V2="SAT",7.5,V2="SUN",7.5,V2="OFF",0)</f>
        <v>7.5</v>
      </c>
      <c r="W5" s="126" cm="1">
        <f t="array" ref="W5">_xlfn.IFS(W2="w/ OT",12.25,W2="w/o OT",9.5,W2="FRI",7.5,W2="SAT",7.5,W2="SUN",7.5,W2="OFF",0)</f>
        <v>7.5</v>
      </c>
      <c r="X5" s="126" cm="1">
        <f t="array" ref="X5">_xlfn.IFS(X2="w/ OT",12.25,X2="w/o OT",9.5,X2="FRI",7.5,X2="SAT",7.5,X2="SUN",7.5,X2="OFF",0)</f>
        <v>9.5</v>
      </c>
      <c r="Y5" s="126" cm="1">
        <f t="array" ref="Y5">_xlfn.IFS(Y2="w/ OT",12.25,Y2="w/o OT",9.5,Y2="FRI",7.5,Y2="SAT",7.5,Y2="SUN",7.5,Y2="OFF",0)</f>
        <v>9.5</v>
      </c>
      <c r="Z5" s="126" cm="1">
        <f t="array" ref="Z5">_xlfn.IFS(Z2="w/ OT",12.25,Z2="w/o OT",9.5,Z2="FRI",7.5,Z2="SAT",7.5,Z2="SUN",7.5,Z2="OFF",0)</f>
        <v>9.5</v>
      </c>
      <c r="AA5" s="126" cm="1">
        <f t="array" ref="AA5">_xlfn.IFS(AA2="w/ OT",12.25,AA2="w/o OT",9.5,AA2="FRI",7.5,AA2="SAT",7.5,AA2="SUN",7.5,AA2="OFF",0)</f>
        <v>9.5</v>
      </c>
      <c r="AB5" s="126" cm="1">
        <f t="array" ref="AB5">_xlfn.IFS(AB2="w/ OT",12.25,AB2="w/o OT",9.5,AB2="FRI",7.5,AB2="SAT",7.5,AB2="SUN",7.5,AB2="OFF",0)</f>
        <v>7.5</v>
      </c>
      <c r="AC5" s="126" cm="1">
        <f t="array" ref="AC5">_xlfn.IFS(AC2="w/ OT",12.25,AC2="w/o OT",9.5,AC2="FRI",7.5,AC2="SAT",7.5,AC2="SUN",7.5,AC2="OFF",0)</f>
        <v>7.5</v>
      </c>
      <c r="AD5" s="126" cm="1">
        <f t="array" ref="AD5">_xlfn.IFS(AD2="w/ OT",12.25,AD2="w/o OT",9.5,AD2="FRI",7.5,AD2="SAT",7.5,AD2="SUN",7.5,AD2="OFF",0)</f>
        <v>9.5</v>
      </c>
      <c r="AE5" s="126" cm="1">
        <f t="array" ref="AE5">_xlfn.IFS(AE2="w/ OT",12.25,AE2="w/o OT",9.5,AE2="FRI",7.5,AE2="SAT",7.5,AE2="SUN",7.5,AE2="OFF",0)</f>
        <v>9.5</v>
      </c>
      <c r="AF5" s="126" cm="1">
        <f t="array" ref="AF5">_xlfn.IFS(AF2="w/ OT",12.25,AF2="w/o OT",9.5,AF2="FRI",7.5,AF2="SAT",7.5,AF2="SUN",7.5,AF2="OFF",0)</f>
        <v>9.5</v>
      </c>
      <c r="AG5" s="126" cm="1">
        <f t="array" ref="AG5">_xlfn.IFS(AG2="w/ OT",12.25,AG2="w/o OT",9.5,AG2="FRI",7.5,AG2="SAT",7.5,AG2="SUN",7.5,AG2="OFF",0)</f>
        <v>9.5</v>
      </c>
      <c r="AH5" s="126" cm="1">
        <f t="array" ref="AH5">_xlfn.IFS(AH2="w/ OT",12.25,AH2="w/o OT",9.5,AH2="FRI",7.5,AH2="SAT",7.5,AH2="SUN",7.5,AH2="OFF",0)</f>
        <v>7.5</v>
      </c>
      <c r="AI5" s="126" cm="1">
        <f t="array" ref="AI5">_xlfn.IFS(AI2="w/ OT",12.25,AI2="w/o OT",9.5,AI2="FRI",7.5,AI2="SAT",7.5,AI2="SUN",7.5,AI2="OFF",0)</f>
        <v>7.5</v>
      </c>
      <c r="AJ5" s="126" cm="1">
        <f t="array" ref="AJ5">_xlfn.IFS(AJ2="w/ OT",12.25,AJ2="w/o OT",9.5,AJ2="FRI",7.5,AJ2="SAT",7.5,AJ2="SUN",7.5,AJ2="OFF",0)</f>
        <v>9.5</v>
      </c>
      <c r="AK5" s="126" cm="1">
        <f t="array" ref="AK5">_xlfn.IFS(AK2="w/ OT",12.25,AK2="w/o OT",9.5,AK2="FRI",7.5,AK2="SAT",7.5,AK2="SUN",7.5,AK2="OFF",0)</f>
        <v>9.5</v>
      </c>
      <c r="AL5" s="126" cm="1">
        <f t="array" ref="AL5">_xlfn.IFS(AL2="w/ OT",12.25,AL2="w/o OT",9.5,AL2="FRI",7.5,AL2="SAT",7.5,AL2="SUN",7.5,AL2="OFF",0)</f>
        <v>9.5</v>
      </c>
      <c r="AM5" s="126" cm="1">
        <f t="array" ref="AM5">_xlfn.IFS(AM2="w/ OT",12.25,AM2="w/o OT",9.5,AM2="FRI",7.5,AM2="SAT",7.5,AM2="SUN",7.5,AM2="OFF",0)</f>
        <v>9.5</v>
      </c>
      <c r="AN5" s="126" cm="1">
        <f t="array" ref="AN5">_xlfn.IFS(AN2="w/ OT",12.25,AN2="w/o OT",9.5,AN2="FRI",7.5,AN2="SAT",7.5,AN2="SUN",7.5,AN2="OFF",0)</f>
        <v>7.5</v>
      </c>
      <c r="AO5" s="126" cm="1">
        <f t="array" ref="AO5">_xlfn.IFS(AO2="w/ OT",12.25,AO2="w/o OT",9.5,AO2="FRI",7.5,AO2="SAT",7.5,AO2="SUN",7.5,AO2="OFF",0)</f>
        <v>7.5</v>
      </c>
      <c r="AP5" s="126" cm="1">
        <f t="array" ref="AP5">_xlfn.IFS(AP2="w/ OT",12.25,AP2="w/o OT",9.5,AP2="FRI",7.5,AP2="SAT",7.5,AP2="SUN",7.5,AP2="OFF",0)</f>
        <v>9.5</v>
      </c>
      <c r="AQ5" s="126" cm="1">
        <f t="array" ref="AQ5">_xlfn.IFS(AQ2="w/ OT",12.25,AQ2="w/o OT",9.5,AQ2="FRI",7.5,AQ2="SAT",7.5,AQ2="SUN",7.5,AQ2="OFF",0)</f>
        <v>9.5</v>
      </c>
      <c r="AR5" s="126" cm="1">
        <f t="array" ref="AR5">_xlfn.IFS(AR2="w/ OT",12.25,AR2="w/o OT",9.5,AR2="FRI",7.5,AR2="SAT",7.5,AR2="SUN",7.5,AR2="OFF",0)</f>
        <v>9.5</v>
      </c>
      <c r="AS5" s="126" cm="1">
        <f t="array" ref="AS5">_xlfn.IFS(AS2="w/ OT",12.25,AS2="w/o OT",9.5,AS2="FRI",7.5,AS2="SAT",7.5,AS2="SUN",7.5,AS2="OFF",0)</f>
        <v>9.5</v>
      </c>
      <c r="AT5" s="126" cm="1">
        <f t="array" ref="AT5">_xlfn.IFS(AT2="w/ OT",12.25,AT2="w/o OT",9.5,AT2="FRI",7.5,AT2="SAT",7.5,AT2="SUN",7.5,AT2="OFF",0)</f>
        <v>7.5</v>
      </c>
      <c r="AU5" s="126" cm="1">
        <f t="array" ref="AU5">_xlfn.IFS(AU2="w/ OT",12.25,AU2="w/o OT",9.5,AU2="FRI",7.5,AU2="SAT",7.5,AU2="SUN",7.5,AU2="OFF",0)</f>
        <v>7.5</v>
      </c>
      <c r="AV5" s="126" cm="1">
        <f t="array" ref="AV5">_xlfn.IFS(AV2="w/ OT",12.25,AV2="w/o OT",9.5,AV2="FRI",7.5,AV2="SAT",7.5,AV2="SUN",7.5,AV2="OFF",0)</f>
        <v>9.5</v>
      </c>
      <c r="AW5" s="126" cm="1">
        <f t="array" ref="AW5">_xlfn.IFS(AW2="w/ OT",12.25,AW2="w/o OT",9.5,AW2="FRI",7.5,AW2="SAT",7.5,AW2="SUN",7.5,AW2="OFF",0)</f>
        <v>9.5</v>
      </c>
      <c r="AX5" s="126" cm="1">
        <f t="array" ref="AX5">_xlfn.IFS(AX2="w/ OT",12.25,AX2="w/o OT",9.5,AX2="FRI",7.5,AX2="SAT",7.5,AX2="SUN",7.5,AX2="OFF",0)</f>
        <v>9.5</v>
      </c>
      <c r="AY5" s="126" cm="1">
        <f t="array" ref="AY5">_xlfn.IFS(AY2="w/ OT",12.25,AY2="w/o OT",9.5,AY2="FRI",7.5,AY2="SAT",7.5,AY2="SUN",7.5,AY2="OFF",0)</f>
        <v>9.5</v>
      </c>
      <c r="AZ5" s="126" cm="1">
        <f t="array" ref="AZ5">_xlfn.IFS(AZ2="w/ OT",12.25,AZ2="w/o OT",9.5,AZ2="FRI",7.5,AZ2="SAT",7.5,AZ2="SUN",7.5,AZ2="OFF",0)</f>
        <v>7.5</v>
      </c>
      <c r="BA5" s="126" cm="1">
        <f t="array" ref="BA5">_xlfn.IFS(BA2="w/ OT",12.25,BA2="w/o OT",9.5,BA2="FRI",7.5,BA2="SAT",7.5,BA2="SUN",7.5,BA2="OFF",0)</f>
        <v>7.5</v>
      </c>
      <c r="BB5" s="126" cm="1">
        <f t="array" ref="BB5">_xlfn.IFS(BB2="w/ OT",12.25,BB2="w/o OT",9.5,BB2="FRI",7.5,BB2="SAT",7.5,BB2="SUN",7.5,BB2="OFF",0)</f>
        <v>9.5</v>
      </c>
      <c r="BC5" s="126" cm="1">
        <f t="array" ref="BC5">_xlfn.IFS(BC2="w/ OT",12.25,BC2="w/o OT",9.5,BC2="FRI",7.5,BC2="SAT",7.5,BC2="SUN",7.5,BC2="OFF",0)</f>
        <v>9.5</v>
      </c>
      <c r="BD5" s="126" cm="1">
        <f t="array" ref="BD5">_xlfn.IFS(BD2="w/ OT",12.25,BD2="w/o OT",9.5,BD2="FRI",7.5,BD2="SAT",7.5,BD2="SUN",7.5,BD2="OFF",0)</f>
        <v>9.5</v>
      </c>
      <c r="BE5" s="126" cm="1">
        <f t="array" ref="BE5">_xlfn.IFS(BE2="w/ OT",12.25,BE2="w/o OT",9.5,BE2="FRI",7.5,BE2="SAT",7.5,BE2="SUN",7.5,BE2="OFF",0)</f>
        <v>9.5</v>
      </c>
      <c r="BF5" s="126" cm="1">
        <f t="array" ref="BF5">_xlfn.IFS(BF2="w/ OT",12.25,BF2="w/o OT",9.5,BF2="FRI",7.5,BF2="SAT",7.5,BF2="SUN",7.5,BF2="OFF",0)</f>
        <v>7.5</v>
      </c>
      <c r="BG5" s="126" cm="1">
        <f t="array" ref="BG5">_xlfn.IFS(BG2="w/ OT",12.25,BG2="w/o OT",9.5,BG2="FRI",7.5,BG2="SAT",7.5,BG2="SUN",7.5,BG2="OFF",0)</f>
        <v>7.5</v>
      </c>
      <c r="BH5" s="126" cm="1">
        <f t="array" ref="BH5">_xlfn.IFS(BH2="w/ OT",12.25,BH2="w/o OT",9.5,BH2="FRI",7.5,BH2="SAT",7.5,BH2="SUN",7.5,BH2="OFF",0)</f>
        <v>9.5</v>
      </c>
      <c r="BI5" s="126" cm="1">
        <f t="array" ref="BI5">_xlfn.IFS(BI2="w/ OT",12.25,BI2="w/o OT",9.5,BI2="FRI",7.5,BI2="SAT",7.5,BI2="SUN",7.5,BI2="OFF",0)</f>
        <v>9.5</v>
      </c>
      <c r="BJ5" s="126" cm="1">
        <f t="array" ref="BJ5">_xlfn.IFS(BJ2="w/ OT",12.25,BJ2="w/o OT",9.5,BJ2="FRI",7.5,BJ2="SAT",7.5,BJ2="SUN",7.5,BJ2="OFF",0)</f>
        <v>9.5</v>
      </c>
      <c r="BK5" s="126" cm="1">
        <f t="array" ref="BK5">_xlfn.IFS(BK2="w/ OT",12.25,BK2="w/o OT",9.5,BK2="FRI",7.5,BK2="SAT",7.5,BK2="SUN",7.5,BK2="OFF",0)</f>
        <v>9.5</v>
      </c>
      <c r="BL5" s="126" cm="1">
        <f t="array" ref="BL5">_xlfn.IFS(BL2="w/ OT",12.25,BL2="w/o OT",9.5,BL2="FRI",7.5,BL2="SAT",7.5,BL2="SUN",7.5,BL2="OFF",0)</f>
        <v>7.5</v>
      </c>
      <c r="BM5" s="126" cm="1">
        <f t="array" ref="BM5">_xlfn.IFS(BM2="w/ OT",12.25,BM2="w/o OT",9.5,BM2="FRI",7.5,BM2="SAT",7.5,BM2="SUN",7.5,BM2="OFF",0)</f>
        <v>7.5</v>
      </c>
      <c r="BN5" s="126" cm="1">
        <f t="array" ref="BN5">_xlfn.IFS(BN2="w/ OT",12.25,BN2="w/o OT",9.5,BN2="FRI",7.5,BN2="SAT",7.5,BN2="SUN",7.5,BN2="OFF",0)</f>
        <v>9.5</v>
      </c>
      <c r="BO5" s="126" cm="1">
        <f t="array" ref="BO5">_xlfn.IFS(BO2="w/ OT",12.25,BO2="w/o OT",9.5,BO2="FRI",7.5,BO2="SAT",7.5,BO2="SUN",7.5,BO2="OFF",0)</f>
        <v>9.5</v>
      </c>
      <c r="BP5" s="126" cm="1">
        <f t="array" ref="BP5">_xlfn.IFS(BP2="w/ OT",12.25,BP2="w/o OT",9.5,BP2="FRI",7.5,BP2="SAT",7.5,BP2="SUN",7.5,BP2="OFF",0)</f>
        <v>9.5</v>
      </c>
      <c r="BQ5" s="126" cm="1">
        <f t="array" ref="BQ5">_xlfn.IFS(BQ2="w/ OT",12.25,BQ2="w/o OT",9.5,BQ2="FRI",7.5,BQ2="SAT",7.5,BQ2="SUN",7.5,BQ2="OFF",0)</f>
        <v>9.5</v>
      </c>
      <c r="BR5" s="126" cm="1">
        <f t="array" ref="BR5">_xlfn.IFS(BR2="w/ OT",12.25,BR2="w/o OT",9.5,BR2="FRI",7.5,BR2="SAT",7.5,BR2="SUN",7.5,BR2="OFF",0)</f>
        <v>7.5</v>
      </c>
      <c r="BS5" s="126" cm="1">
        <f t="array" ref="BS5">_xlfn.IFS(BS2="w/ OT",12.25,BS2="w/o OT",9.5,BS2="FRI",7.5,BS2="SAT",7.5,BS2="SUN",7.5,BS2="OFF",0)</f>
        <v>7.5</v>
      </c>
      <c r="BT5" s="126" cm="1">
        <f t="array" ref="BT5">_xlfn.IFS(BT2="w/ OT",12.25,BT2="w/o OT",9.5,BT2="FRI",7.5,BT2="SAT",7.5,BT2="SUN",7.5,BT2="OFF",0)</f>
        <v>9.5</v>
      </c>
      <c r="BU5" s="126" cm="1">
        <f t="array" ref="BU5">_xlfn.IFS(BU2="w/ OT",12.25,BU2="w/o OT",9.5,BU2="FRI",7.5,BU2="SAT",7.5,BU2="SUN",7.5,BU2="OFF",0)</f>
        <v>9.5</v>
      </c>
      <c r="BV5" s="126" cm="1">
        <f t="array" ref="BV5">_xlfn.IFS(BV2="w/ OT",12.25,BV2="w/o OT",9.5,BV2="FRI",7.5,BV2="SAT",7.5,BV2="SUN",7.5,BV2="OFF",0)</f>
        <v>9.5</v>
      </c>
      <c r="BW5" s="126" cm="1">
        <f t="array" ref="BW5">_xlfn.IFS(BW2="w/ OT",12.25,BW2="w/o OT",9.5,BW2="FRI",7.5,BW2="SAT",7.5,BW2="SUN",7.5,BW2="OFF",0)</f>
        <v>9.5</v>
      </c>
      <c r="BX5" s="126" cm="1">
        <f t="array" ref="BX5">_xlfn.IFS(BX2="w/ OT",12.25,BX2="w/o OT",9.5,BX2="FRI",7.5,BX2="SAT",7.5,BX2="SUN",7.5,BX2="OFF",0)</f>
        <v>7.5</v>
      </c>
      <c r="BY5" s="126" cm="1">
        <f t="array" ref="BY5">_xlfn.IFS(BY2="w/ OT",12.25,BY2="w/o OT",9.5,BY2="FRI",7.5,BY2="SAT",7.5,BY2="SUN",7.5,BY2="OFF",0)</f>
        <v>7.5</v>
      </c>
      <c r="BZ5" s="126" cm="1">
        <f t="array" ref="BZ5">_xlfn.IFS(BZ2="w/ OT",12.25,BZ2="w/o OT",9.5,BZ2="FRI",7.5,BZ2="SAT",7.5,BZ2="SUN",7.5,BZ2="OFF",0)</f>
        <v>9.5</v>
      </c>
      <c r="CA5" s="126" cm="1">
        <f t="array" ref="CA5">_xlfn.IFS(CA2="w/ OT",12.25,CA2="w/o OT",9.5,CA2="FRI",7.5,CA2="SAT",7.5,CA2="SUN",7.5,CA2="OFF",0)</f>
        <v>9.5</v>
      </c>
      <c r="CB5" s="126" cm="1">
        <f t="array" ref="CB5">_xlfn.IFS(CB2="w/ OT",12.25,CB2="w/o OT",9.5,CB2="FRI",7.5,CB2="SAT",7.5,CB2="SUN",7.5,CB2="OFF",0)</f>
        <v>9.5</v>
      </c>
      <c r="CC5" s="126" cm="1">
        <f t="array" ref="CC5">_xlfn.IFS(CC2="w/ OT",12.25,CC2="w/o OT",9.5,CC2="FRI",7.5,CC2="SAT",7.5,CC2="SUN",7.5,CC2="OFF",0)</f>
        <v>9.5</v>
      </c>
      <c r="CD5" s="126" cm="1">
        <f t="array" ref="CD5">_xlfn.IFS(CD2="w/ OT",12.25,CD2="w/o OT",9.5,CD2="FRI",7.5,CD2="SAT",7.5,CD2="SUN",7.5,CD2="OFF",0)</f>
        <v>7.5</v>
      </c>
      <c r="CE5" s="126" cm="1">
        <f t="array" ref="CE5">_xlfn.IFS(CE2="w/ OT",12.25,CE2="w/o OT",9.5,CE2="FRI",7.5,CE2="SAT",7.5,CE2="SUN",7.5,CE2="OFF",0)</f>
        <v>7.5</v>
      </c>
    </row>
    <row r="6" spans="1:83" ht="33.75" customHeight="1" x14ac:dyDescent="0.2">
      <c r="A6" s="386"/>
      <c r="B6" s="386"/>
      <c r="C6" s="387"/>
      <c r="D6" s="388"/>
      <c r="E6" s="389"/>
      <c r="F6" s="388"/>
      <c r="G6" s="392"/>
      <c r="H6" s="388"/>
      <c r="I6" s="390"/>
      <c r="J6" s="393"/>
      <c r="K6" s="393"/>
      <c r="L6" s="390"/>
      <c r="M6" s="390"/>
      <c r="N6" s="389"/>
      <c r="O6" s="389"/>
      <c r="P6" s="391"/>
      <c r="Q6" s="123" t="s">
        <v>107</v>
      </c>
      <c r="R6" s="124"/>
      <c r="S6" s="124"/>
      <c r="T6" s="124"/>
      <c r="U6" s="124"/>
      <c r="V6" s="124"/>
      <c r="W6" s="124"/>
      <c r="X6" s="124"/>
      <c r="Y6" s="124"/>
      <c r="Z6" s="124"/>
      <c r="AA6" s="124"/>
      <c r="AB6" s="124"/>
      <c r="AC6" s="124"/>
      <c r="AD6" s="124"/>
      <c r="AE6" s="124"/>
      <c r="AF6" s="124"/>
      <c r="AG6" s="124"/>
      <c r="AH6" s="124"/>
      <c r="AI6" s="124"/>
      <c r="AJ6" s="124"/>
      <c r="AK6" s="124"/>
      <c r="AL6" s="124"/>
      <c r="AM6" s="124"/>
      <c r="AN6" s="124"/>
      <c r="AO6" s="124"/>
      <c r="AP6" s="124"/>
      <c r="AQ6" s="124"/>
      <c r="AR6" s="124"/>
      <c r="AS6" s="124"/>
      <c r="AT6" s="124"/>
      <c r="AU6" s="124"/>
      <c r="AV6" s="124"/>
      <c r="AW6" s="124"/>
      <c r="AX6" s="124"/>
      <c r="AY6" s="124"/>
      <c r="AZ6" s="124"/>
      <c r="BA6" s="124"/>
      <c r="BB6" s="124"/>
      <c r="BC6" s="124"/>
      <c r="BD6" s="124"/>
      <c r="BE6" s="124"/>
      <c r="BF6" s="124"/>
      <c r="BG6" s="124"/>
      <c r="BH6" s="124"/>
      <c r="BI6" s="124"/>
      <c r="BJ6" s="124"/>
      <c r="BK6" s="124"/>
      <c r="BL6" s="124"/>
      <c r="BM6" s="124"/>
      <c r="BN6" s="124"/>
      <c r="BO6" s="124"/>
      <c r="BP6" s="124"/>
      <c r="BQ6" s="124"/>
      <c r="BR6" s="124"/>
      <c r="BS6" s="124"/>
      <c r="BT6" s="124"/>
      <c r="BU6" s="124"/>
      <c r="BV6" s="124"/>
      <c r="BW6" s="124"/>
      <c r="BX6" s="124"/>
      <c r="BY6" s="124"/>
      <c r="BZ6" s="124"/>
      <c r="CA6" s="124"/>
      <c r="CB6" s="124"/>
      <c r="CC6" s="124"/>
      <c r="CD6" s="124"/>
      <c r="CE6" s="124"/>
    </row>
    <row r="7" spans="1:83" ht="9" customHeight="1" x14ac:dyDescent="0.2">
      <c r="A7" s="86"/>
      <c r="B7" s="87"/>
      <c r="C7" s="88"/>
      <c r="D7" s="89"/>
      <c r="E7" s="182"/>
      <c r="F7" s="89"/>
      <c r="G7" s="91"/>
      <c r="H7" s="89"/>
      <c r="I7" s="92"/>
      <c r="J7" s="93"/>
      <c r="K7" s="93"/>
      <c r="L7" s="185"/>
      <c r="M7" s="185"/>
      <c r="N7" s="183"/>
      <c r="O7" s="183"/>
      <c r="P7" s="96"/>
      <c r="Q7" s="102"/>
    </row>
    <row r="8" spans="1:83" ht="12.6" hidden="1" customHeight="1" x14ac:dyDescent="0.2">
      <c r="A8" s="106">
        <f>SHIPMENTS!A14</f>
        <v>9296</v>
      </c>
      <c r="B8" s="106" t="str">
        <f>SHIPMENTS!B14</f>
        <v>15900- Makati |Techiron Resources Inc.</v>
      </c>
      <c r="C8" s="132">
        <f>SHIPMENTS!F14</f>
        <v>0.05</v>
      </c>
      <c r="D8" s="107" t="str">
        <f>IF((SHIPMENTS!I14)=0,"",SHIPMENTS!I14)</f>
        <v/>
      </c>
      <c r="E8" s="176">
        <f>IF((SHIPMENTS!G14)=0,"",SHIPMENTS!G14)</f>
        <v>46314</v>
      </c>
      <c r="F8" s="97">
        <f>VLOOKUP(A8,Items!$A$5:$J$1000,2,0)</f>
        <v>0</v>
      </c>
      <c r="G8" s="98">
        <f>VLOOKUP(A8,load!$A$4:$U$5001,10,0)</f>
        <v>0</v>
      </c>
      <c r="H8" s="97">
        <v>13</v>
      </c>
      <c r="I8" s="98">
        <f>+H8*$I$4</f>
        <v>118.3</v>
      </c>
      <c r="J8" s="99">
        <f t="shared" ref="J8:J32" si="0">G8/I8</f>
        <v>0</v>
      </c>
      <c r="K8" s="99">
        <f>+J8*$I$4</f>
        <v>0</v>
      </c>
      <c r="L8" s="98">
        <f t="shared" ref="L8:L32" si="1">IFERROR(J8-(J8*P8),0)</f>
        <v>0</v>
      </c>
      <c r="M8" s="98">
        <f t="shared" ref="M8:M32" si="2">IFERROR(K8-(K8*P8),0)</f>
        <v>0</v>
      </c>
      <c r="N8" s="181">
        <f>N4</f>
        <v>46319</v>
      </c>
      <c r="O8" s="181">
        <f t="shared" ref="O8:O9" si="3">+N8+L8</f>
        <v>46319</v>
      </c>
      <c r="P8" s="112" t="str">
        <f>VLOOKUP(A8,SHIPMENTS!$A$7:$AP$76,41,0)</f>
        <v>n/a</v>
      </c>
      <c r="Q8" s="101"/>
      <c r="R8" s="128" t="str">
        <f t="shared" ref="R8:AG23" si="4">IF($E8=R$3,"▲","")</f>
        <v>▲</v>
      </c>
      <c r="S8" s="128" t="str">
        <f t="shared" si="4"/>
        <v/>
      </c>
      <c r="T8" s="128" t="str">
        <f t="shared" si="4"/>
        <v/>
      </c>
      <c r="U8" s="128" t="str">
        <f t="shared" si="4"/>
        <v/>
      </c>
      <c r="V8" s="128" t="str">
        <f t="shared" si="4"/>
        <v/>
      </c>
      <c r="W8" s="128" t="str">
        <f t="shared" si="4"/>
        <v/>
      </c>
      <c r="X8" s="128" t="str">
        <f t="shared" si="4"/>
        <v/>
      </c>
      <c r="Y8" s="128" t="str">
        <f t="shared" si="4"/>
        <v/>
      </c>
      <c r="Z8" s="128" t="str">
        <f t="shared" si="4"/>
        <v/>
      </c>
      <c r="AA8" s="128" t="str">
        <f t="shared" si="4"/>
        <v/>
      </c>
      <c r="AB8" s="128" t="str">
        <f t="shared" si="4"/>
        <v/>
      </c>
      <c r="AC8" s="128" t="str">
        <f t="shared" si="4"/>
        <v/>
      </c>
      <c r="AD8" s="128" t="str">
        <f t="shared" si="4"/>
        <v/>
      </c>
      <c r="AE8" s="128" t="str">
        <f t="shared" si="4"/>
        <v/>
      </c>
      <c r="AF8" s="128" t="str">
        <f t="shared" si="4"/>
        <v/>
      </c>
      <c r="AG8" s="128" t="str">
        <f t="shared" si="4"/>
        <v/>
      </c>
      <c r="AH8" s="128" t="str">
        <f t="shared" ref="AH8:BU14" si="5">IF($E8=AH$3,"▲","")</f>
        <v/>
      </c>
      <c r="AI8" s="128" t="str">
        <f t="shared" si="5"/>
        <v/>
      </c>
      <c r="AJ8" s="128" t="str">
        <f t="shared" si="5"/>
        <v/>
      </c>
      <c r="AK8" s="128" t="str">
        <f t="shared" si="5"/>
        <v/>
      </c>
      <c r="AL8" s="128" t="str">
        <f t="shared" si="5"/>
        <v/>
      </c>
      <c r="AM8" s="128" t="str">
        <f t="shared" si="5"/>
        <v/>
      </c>
      <c r="AN8" s="128" t="str">
        <f t="shared" si="5"/>
        <v/>
      </c>
      <c r="AO8" s="128" t="str">
        <f t="shared" si="5"/>
        <v/>
      </c>
      <c r="AP8" s="128" t="str">
        <f t="shared" si="5"/>
        <v/>
      </c>
      <c r="AQ8" s="128" t="str">
        <f t="shared" si="5"/>
        <v/>
      </c>
      <c r="AR8" s="128" t="str">
        <f t="shared" si="5"/>
        <v/>
      </c>
      <c r="AS8" s="128" t="str">
        <f t="shared" si="5"/>
        <v/>
      </c>
      <c r="AT8" s="128" t="str">
        <f t="shared" si="5"/>
        <v/>
      </c>
      <c r="AU8" s="128" t="str">
        <f t="shared" si="5"/>
        <v/>
      </c>
      <c r="AV8" s="128" t="str">
        <f t="shared" si="5"/>
        <v/>
      </c>
      <c r="AW8" s="128" t="str">
        <f t="shared" si="5"/>
        <v/>
      </c>
      <c r="AX8" s="128" t="str">
        <f t="shared" si="5"/>
        <v/>
      </c>
      <c r="AY8" s="128" t="str">
        <f t="shared" si="5"/>
        <v/>
      </c>
      <c r="AZ8" s="128" t="str">
        <f t="shared" si="5"/>
        <v/>
      </c>
      <c r="BA8" s="128" t="str">
        <f t="shared" si="5"/>
        <v/>
      </c>
      <c r="BB8" s="128" t="str">
        <f t="shared" si="5"/>
        <v/>
      </c>
      <c r="BC8" s="128" t="str">
        <f t="shared" si="5"/>
        <v/>
      </c>
      <c r="BD8" s="128" t="str">
        <f t="shared" si="5"/>
        <v/>
      </c>
      <c r="BE8" s="128" t="str">
        <f t="shared" si="5"/>
        <v/>
      </c>
      <c r="BF8" s="128" t="str">
        <f t="shared" si="5"/>
        <v/>
      </c>
      <c r="BG8" s="128" t="str">
        <f t="shared" si="5"/>
        <v/>
      </c>
      <c r="BH8" s="128" t="str">
        <f t="shared" si="5"/>
        <v/>
      </c>
      <c r="BI8" s="128" t="str">
        <f t="shared" si="5"/>
        <v/>
      </c>
      <c r="BJ8" s="128" t="str">
        <f t="shared" si="5"/>
        <v/>
      </c>
      <c r="BK8" s="128" t="str">
        <f t="shared" si="5"/>
        <v/>
      </c>
      <c r="BL8" s="128" t="str">
        <f t="shared" si="5"/>
        <v/>
      </c>
      <c r="BM8" s="128" t="str">
        <f t="shared" si="5"/>
        <v/>
      </c>
      <c r="BN8" s="128" t="str">
        <f t="shared" si="5"/>
        <v/>
      </c>
      <c r="BO8" s="128" t="str">
        <f t="shared" si="5"/>
        <v/>
      </c>
      <c r="BP8" s="128" t="str">
        <f t="shared" si="5"/>
        <v/>
      </c>
      <c r="BQ8" s="128" t="str">
        <f t="shared" si="5"/>
        <v/>
      </c>
      <c r="BR8" s="128" t="str">
        <f t="shared" si="5"/>
        <v/>
      </c>
      <c r="BS8" s="128" t="str">
        <f t="shared" si="5"/>
        <v/>
      </c>
      <c r="BT8" s="128" t="str">
        <f t="shared" si="5"/>
        <v/>
      </c>
      <c r="BU8" s="128" t="str">
        <f t="shared" si="5"/>
        <v/>
      </c>
      <c r="BV8" s="128" t="str">
        <f t="shared" ref="BV8:CE23" si="6">IF($E8=BV$3,"▲","")</f>
        <v/>
      </c>
      <c r="BW8" s="128" t="str">
        <f t="shared" si="6"/>
        <v/>
      </c>
      <c r="BX8" s="128" t="str">
        <f t="shared" si="6"/>
        <v/>
      </c>
      <c r="BY8" s="128" t="str">
        <f t="shared" si="6"/>
        <v/>
      </c>
      <c r="BZ8" s="128" t="str">
        <f t="shared" si="6"/>
        <v/>
      </c>
      <c r="CA8" s="128" t="str">
        <f t="shared" si="6"/>
        <v/>
      </c>
      <c r="CB8" s="128" t="str">
        <f t="shared" si="6"/>
        <v/>
      </c>
      <c r="CC8" s="128" t="str">
        <f t="shared" si="6"/>
        <v/>
      </c>
      <c r="CD8" s="128" t="str">
        <f t="shared" si="6"/>
        <v/>
      </c>
      <c r="CE8" s="128" t="str">
        <f t="shared" si="6"/>
        <v/>
      </c>
    </row>
    <row r="9" spans="1:83" ht="12.6" hidden="1" customHeight="1" x14ac:dyDescent="0.2">
      <c r="A9" s="106">
        <f>SHIPMENTS!A15</f>
        <v>9309</v>
      </c>
      <c r="B9" s="106" t="str">
        <f>SHIPMENTS!B15</f>
        <v>43940-THAILAND</v>
      </c>
      <c r="C9" s="132">
        <f>SHIPMENTS!F15</f>
        <v>6.4030000000000004E-2</v>
      </c>
      <c r="D9" s="107" t="str">
        <f>IF((SHIPMENTS!I15)=0,"",SHIPMENTS!I15)</f>
        <v>AIR</v>
      </c>
      <c r="E9" s="176">
        <f>IF((SHIPMENTS!G15)=0,"",SHIPMENTS!G15)</f>
        <v>46314</v>
      </c>
      <c r="F9" s="97">
        <f>VLOOKUP(A9,Items!$A$5:$J$1000,2,0)</f>
        <v>0</v>
      </c>
      <c r="G9" s="98">
        <f>VLOOKUP(A9,load!$A$4:$U$5001,10,0)</f>
        <v>0</v>
      </c>
      <c r="H9" s="97">
        <v>13</v>
      </c>
      <c r="I9" s="98">
        <f t="shared" ref="I9:I32" si="7">+H9*$I$4</f>
        <v>118.3</v>
      </c>
      <c r="J9" s="99">
        <f t="shared" si="0"/>
        <v>0</v>
      </c>
      <c r="K9" s="99">
        <f t="shared" ref="K9:K32" si="8">+J9*$I$4</f>
        <v>0</v>
      </c>
      <c r="L9" s="98">
        <f t="shared" si="1"/>
        <v>0</v>
      </c>
      <c r="M9" s="98">
        <f t="shared" si="2"/>
        <v>0</v>
      </c>
      <c r="N9" s="181">
        <f t="shared" ref="N9" si="9">O8</f>
        <v>46319</v>
      </c>
      <c r="O9" s="181">
        <f t="shared" si="3"/>
        <v>46319</v>
      </c>
      <c r="P9" s="112" t="str">
        <f>VLOOKUP(A9,SHIPMENTS!$A$7:$AP$76,41,0)</f>
        <v>n/a</v>
      </c>
      <c r="Q9" s="101"/>
      <c r="R9" s="127" t="str">
        <f t="shared" si="4"/>
        <v>▲</v>
      </c>
      <c r="S9" s="127" t="str">
        <f t="shared" si="4"/>
        <v/>
      </c>
      <c r="T9" s="127" t="str">
        <f t="shared" si="4"/>
        <v/>
      </c>
      <c r="U9" s="127" t="str">
        <f t="shared" si="4"/>
        <v/>
      </c>
      <c r="V9" s="127" t="str">
        <f t="shared" si="4"/>
        <v/>
      </c>
      <c r="W9" s="127" t="str">
        <f t="shared" si="4"/>
        <v/>
      </c>
      <c r="X9" s="127" t="str">
        <f t="shared" si="4"/>
        <v/>
      </c>
      <c r="Y9" s="127" t="str">
        <f t="shared" si="4"/>
        <v/>
      </c>
      <c r="Z9" s="127" t="str">
        <f t="shared" si="4"/>
        <v/>
      </c>
      <c r="AA9" s="127" t="str">
        <f t="shared" si="4"/>
        <v/>
      </c>
      <c r="AB9" s="127" t="str">
        <f t="shared" si="4"/>
        <v/>
      </c>
      <c r="AC9" s="127" t="str">
        <f t="shared" si="4"/>
        <v/>
      </c>
      <c r="AD9" s="127" t="str">
        <f t="shared" si="4"/>
        <v/>
      </c>
      <c r="AE9" s="127" t="str">
        <f t="shared" si="4"/>
        <v/>
      </c>
      <c r="AF9" s="127" t="str">
        <f t="shared" si="4"/>
        <v/>
      </c>
      <c r="AG9" s="127" t="str">
        <f t="shared" si="4"/>
        <v/>
      </c>
      <c r="AH9" s="127" t="str">
        <f t="shared" si="5"/>
        <v/>
      </c>
      <c r="AI9" s="127" t="str">
        <f t="shared" si="5"/>
        <v/>
      </c>
      <c r="AJ9" s="127" t="str">
        <f t="shared" si="5"/>
        <v/>
      </c>
      <c r="AK9" s="127" t="str">
        <f t="shared" si="5"/>
        <v/>
      </c>
      <c r="AL9" s="127" t="str">
        <f t="shared" si="5"/>
        <v/>
      </c>
      <c r="AM9" s="127" t="str">
        <f t="shared" si="5"/>
        <v/>
      </c>
      <c r="AN9" s="127" t="str">
        <f t="shared" si="5"/>
        <v/>
      </c>
      <c r="AO9" s="127" t="str">
        <f t="shared" si="5"/>
        <v/>
      </c>
      <c r="AP9" s="127" t="str">
        <f t="shared" si="5"/>
        <v/>
      </c>
      <c r="AQ9" s="127" t="str">
        <f t="shared" si="5"/>
        <v/>
      </c>
      <c r="AR9" s="127" t="str">
        <f t="shared" si="5"/>
        <v/>
      </c>
      <c r="AS9" s="127" t="str">
        <f t="shared" si="5"/>
        <v/>
      </c>
      <c r="AT9" s="127" t="str">
        <f t="shared" si="5"/>
        <v/>
      </c>
      <c r="AU9" s="127" t="str">
        <f t="shared" si="5"/>
        <v/>
      </c>
      <c r="AV9" s="127" t="str">
        <f t="shared" si="5"/>
        <v/>
      </c>
      <c r="AW9" s="127" t="str">
        <f t="shared" si="5"/>
        <v/>
      </c>
      <c r="AX9" s="127" t="str">
        <f t="shared" si="5"/>
        <v/>
      </c>
      <c r="AY9" s="127" t="str">
        <f t="shared" si="5"/>
        <v/>
      </c>
      <c r="AZ9" s="127" t="str">
        <f t="shared" si="5"/>
        <v/>
      </c>
      <c r="BA9" s="127" t="str">
        <f t="shared" si="5"/>
        <v/>
      </c>
      <c r="BB9" s="127" t="str">
        <f t="shared" si="5"/>
        <v/>
      </c>
      <c r="BC9" s="127" t="str">
        <f t="shared" si="5"/>
        <v/>
      </c>
      <c r="BD9" s="127" t="str">
        <f t="shared" si="5"/>
        <v/>
      </c>
      <c r="BE9" s="127" t="str">
        <f t="shared" si="5"/>
        <v/>
      </c>
      <c r="BF9" s="127" t="str">
        <f t="shared" si="5"/>
        <v/>
      </c>
      <c r="BG9" s="127" t="str">
        <f t="shared" si="5"/>
        <v/>
      </c>
      <c r="BH9" s="127" t="str">
        <f t="shared" si="5"/>
        <v/>
      </c>
      <c r="BI9" s="127" t="str">
        <f t="shared" si="5"/>
        <v/>
      </c>
      <c r="BJ9" s="127" t="str">
        <f t="shared" si="5"/>
        <v/>
      </c>
      <c r="BK9" s="127" t="str">
        <f t="shared" si="5"/>
        <v/>
      </c>
      <c r="BL9" s="127" t="str">
        <f t="shared" si="5"/>
        <v/>
      </c>
      <c r="BM9" s="127" t="str">
        <f t="shared" si="5"/>
        <v/>
      </c>
      <c r="BN9" s="127" t="str">
        <f t="shared" si="5"/>
        <v/>
      </c>
      <c r="BO9" s="127" t="str">
        <f t="shared" si="5"/>
        <v/>
      </c>
      <c r="BP9" s="127" t="str">
        <f t="shared" si="5"/>
        <v/>
      </c>
      <c r="BQ9" s="127" t="str">
        <f t="shared" si="5"/>
        <v/>
      </c>
      <c r="BR9" s="127" t="str">
        <f t="shared" si="5"/>
        <v/>
      </c>
      <c r="BS9" s="127" t="str">
        <f t="shared" si="5"/>
        <v/>
      </c>
      <c r="BT9" s="127" t="str">
        <f t="shared" si="5"/>
        <v/>
      </c>
      <c r="BU9" s="127" t="str">
        <f t="shared" si="5"/>
        <v/>
      </c>
      <c r="BV9" s="127" t="str">
        <f t="shared" si="6"/>
        <v/>
      </c>
      <c r="BW9" s="127" t="str">
        <f t="shared" si="6"/>
        <v/>
      </c>
      <c r="BX9" s="127" t="str">
        <f t="shared" si="6"/>
        <v/>
      </c>
      <c r="BY9" s="127" t="str">
        <f t="shared" si="6"/>
        <v/>
      </c>
      <c r="BZ9" s="127" t="str">
        <f t="shared" si="6"/>
        <v/>
      </c>
      <c r="CA9" s="127" t="str">
        <f t="shared" si="6"/>
        <v/>
      </c>
      <c r="CB9" s="127" t="str">
        <f t="shared" si="6"/>
        <v/>
      </c>
      <c r="CC9" s="127" t="str">
        <f t="shared" si="6"/>
        <v/>
      </c>
      <c r="CD9" s="127" t="str">
        <f t="shared" si="6"/>
        <v/>
      </c>
      <c r="CE9" s="127" t="str">
        <f t="shared" si="6"/>
        <v/>
      </c>
    </row>
    <row r="10" spans="1:83" ht="12.6" customHeight="1" x14ac:dyDescent="0.2">
      <c r="A10" s="106">
        <f>SHIPMENTS!A16</f>
        <v>9117</v>
      </c>
      <c r="B10" s="106" t="str">
        <f>SHIPMENTS!B16</f>
        <v>41700-CANADA BSAUNAS</v>
      </c>
      <c r="C10" s="132">
        <f>SHIPMENTS!F16</f>
        <v>83.268000000000001</v>
      </c>
      <c r="D10" s="107" t="str">
        <f>IF((SHIPMENTS!I16)=0,"",SHIPMENTS!I16)</f>
        <v>1X40HC</v>
      </c>
      <c r="E10" s="176">
        <f>IF((SHIPMENTS!G16)=0,"",SHIPMENTS!G16)</f>
        <v>46315</v>
      </c>
      <c r="F10" s="97">
        <f>VLOOKUP(A10,Items!$A$5:$J$1000,2,0)</f>
        <v>40</v>
      </c>
      <c r="G10" s="98">
        <f>VLOOKUP(A10,load!$A$4:$U$5001,10,0)</f>
        <v>238.54666666666668</v>
      </c>
      <c r="H10" s="97">
        <v>13</v>
      </c>
      <c r="I10" s="98">
        <f t="shared" si="7"/>
        <v>118.3</v>
      </c>
      <c r="J10" s="99">
        <f t="shared" si="0"/>
        <v>2.0164553395322629</v>
      </c>
      <c r="K10" s="99">
        <f t="shared" si="8"/>
        <v>18.349743589743593</v>
      </c>
      <c r="L10" s="98">
        <f t="shared" si="1"/>
        <v>2.0164553395322629</v>
      </c>
      <c r="M10" s="98">
        <f t="shared" si="2"/>
        <v>18.349743589743593</v>
      </c>
      <c r="N10" s="181">
        <f t="shared" ref="N10:N32" si="10">O9</f>
        <v>46319</v>
      </c>
      <c r="O10" s="181">
        <f t="shared" ref="O10:O25" si="11">+N10+L10</f>
        <v>46321.01645533953</v>
      </c>
      <c r="P10" s="112">
        <f>VLOOKUP(A10,SHIPMENTS!$A$7:$AP$76,41,0)</f>
        <v>0</v>
      </c>
      <c r="Q10" s="101"/>
      <c r="R10" s="127" t="str">
        <f t="shared" si="4"/>
        <v/>
      </c>
      <c r="S10" s="127" t="str">
        <f t="shared" si="4"/>
        <v>▲</v>
      </c>
      <c r="T10" s="127" t="str">
        <f t="shared" si="4"/>
        <v/>
      </c>
      <c r="U10" s="127" t="str">
        <f t="shared" si="4"/>
        <v/>
      </c>
      <c r="V10" s="127" t="str">
        <f t="shared" si="4"/>
        <v/>
      </c>
      <c r="W10" s="127" t="str">
        <f t="shared" si="4"/>
        <v/>
      </c>
      <c r="X10" s="127" t="str">
        <f t="shared" si="4"/>
        <v/>
      </c>
      <c r="Y10" s="127" t="str">
        <f t="shared" si="4"/>
        <v/>
      </c>
      <c r="Z10" s="127" t="str">
        <f t="shared" si="4"/>
        <v/>
      </c>
      <c r="AA10" s="127" t="str">
        <f t="shared" si="4"/>
        <v/>
      </c>
      <c r="AB10" s="127" t="str">
        <f t="shared" si="4"/>
        <v/>
      </c>
      <c r="AC10" s="127" t="str">
        <f t="shared" si="4"/>
        <v/>
      </c>
      <c r="AD10" s="127" t="str">
        <f t="shared" si="4"/>
        <v/>
      </c>
      <c r="AE10" s="127" t="str">
        <f t="shared" si="4"/>
        <v/>
      </c>
      <c r="AF10" s="127" t="str">
        <f t="shared" si="4"/>
        <v/>
      </c>
      <c r="AG10" s="127" t="str">
        <f t="shared" si="4"/>
        <v/>
      </c>
      <c r="AH10" s="127" t="str">
        <f t="shared" si="5"/>
        <v/>
      </c>
      <c r="AI10" s="127" t="str">
        <f t="shared" si="5"/>
        <v/>
      </c>
      <c r="AJ10" s="127" t="str">
        <f t="shared" si="5"/>
        <v/>
      </c>
      <c r="AK10" s="127" t="str">
        <f t="shared" si="5"/>
        <v/>
      </c>
      <c r="AL10" s="127" t="str">
        <f t="shared" si="5"/>
        <v/>
      </c>
      <c r="AM10" s="127" t="str">
        <f t="shared" si="5"/>
        <v/>
      </c>
      <c r="AN10" s="127" t="str">
        <f t="shared" si="5"/>
        <v/>
      </c>
      <c r="AO10" s="127" t="str">
        <f t="shared" si="5"/>
        <v/>
      </c>
      <c r="AP10" s="127" t="str">
        <f t="shared" si="5"/>
        <v/>
      </c>
      <c r="AQ10" s="127" t="str">
        <f t="shared" si="5"/>
        <v/>
      </c>
      <c r="AR10" s="127" t="str">
        <f t="shared" si="5"/>
        <v/>
      </c>
      <c r="AS10" s="127" t="str">
        <f t="shared" si="5"/>
        <v/>
      </c>
      <c r="AT10" s="127" t="str">
        <f t="shared" si="5"/>
        <v/>
      </c>
      <c r="AU10" s="127" t="str">
        <f t="shared" si="5"/>
        <v/>
      </c>
      <c r="AV10" s="127" t="str">
        <f t="shared" si="5"/>
        <v/>
      </c>
      <c r="AW10" s="127" t="str">
        <f t="shared" si="5"/>
        <v/>
      </c>
      <c r="AX10" s="127" t="str">
        <f t="shared" si="5"/>
        <v/>
      </c>
      <c r="AY10" s="127" t="str">
        <f t="shared" si="5"/>
        <v/>
      </c>
      <c r="AZ10" s="127" t="str">
        <f t="shared" si="5"/>
        <v/>
      </c>
      <c r="BA10" s="127" t="str">
        <f t="shared" si="5"/>
        <v/>
      </c>
      <c r="BB10" s="127" t="str">
        <f t="shared" si="5"/>
        <v/>
      </c>
      <c r="BC10" s="127" t="str">
        <f t="shared" si="5"/>
        <v/>
      </c>
      <c r="BD10" s="127" t="str">
        <f t="shared" si="5"/>
        <v/>
      </c>
      <c r="BE10" s="127" t="str">
        <f t="shared" si="5"/>
        <v/>
      </c>
      <c r="BF10" s="127" t="str">
        <f t="shared" si="5"/>
        <v/>
      </c>
      <c r="BG10" s="127" t="str">
        <f t="shared" si="5"/>
        <v/>
      </c>
      <c r="BH10" s="127" t="str">
        <f t="shared" si="5"/>
        <v/>
      </c>
      <c r="BI10" s="127" t="str">
        <f t="shared" si="5"/>
        <v/>
      </c>
      <c r="BJ10" s="127" t="str">
        <f t="shared" si="5"/>
        <v/>
      </c>
      <c r="BK10" s="127" t="str">
        <f t="shared" si="5"/>
        <v/>
      </c>
      <c r="BL10" s="127" t="str">
        <f t="shared" si="5"/>
        <v/>
      </c>
      <c r="BM10" s="127" t="str">
        <f t="shared" si="5"/>
        <v/>
      </c>
      <c r="BN10" s="127" t="str">
        <f t="shared" si="5"/>
        <v/>
      </c>
      <c r="BO10" s="127" t="str">
        <f t="shared" si="5"/>
        <v/>
      </c>
      <c r="BP10" s="127" t="str">
        <f t="shared" si="5"/>
        <v/>
      </c>
      <c r="BQ10" s="127" t="str">
        <f t="shared" si="5"/>
        <v/>
      </c>
      <c r="BR10" s="127" t="str">
        <f t="shared" si="5"/>
        <v/>
      </c>
      <c r="BS10" s="127" t="str">
        <f t="shared" si="5"/>
        <v/>
      </c>
      <c r="BT10" s="127" t="str">
        <f t="shared" si="5"/>
        <v/>
      </c>
      <c r="BU10" s="127" t="str">
        <f t="shared" si="5"/>
        <v/>
      </c>
      <c r="BV10" s="127" t="str">
        <f t="shared" si="6"/>
        <v/>
      </c>
      <c r="BW10" s="127" t="str">
        <f t="shared" si="6"/>
        <v/>
      </c>
      <c r="BX10" s="127" t="str">
        <f t="shared" si="6"/>
        <v/>
      </c>
      <c r="BY10" s="127" t="str">
        <f t="shared" si="6"/>
        <v/>
      </c>
      <c r="BZ10" s="127" t="str">
        <f t="shared" si="6"/>
        <v/>
      </c>
      <c r="CA10" s="127" t="str">
        <f t="shared" si="6"/>
        <v/>
      </c>
      <c r="CB10" s="127" t="str">
        <f t="shared" si="6"/>
        <v/>
      </c>
      <c r="CC10" s="127" t="str">
        <f t="shared" si="6"/>
        <v/>
      </c>
      <c r="CD10" s="127" t="str">
        <f t="shared" si="6"/>
        <v/>
      </c>
      <c r="CE10" s="127" t="str">
        <f t="shared" si="6"/>
        <v/>
      </c>
    </row>
    <row r="11" spans="1:83" ht="12.6" customHeight="1" x14ac:dyDescent="0.2">
      <c r="A11" s="106">
        <f>SHIPMENTS!A17</f>
        <v>8641</v>
      </c>
      <c r="B11" s="106" t="str">
        <f>SHIPMENTS!B17</f>
        <v>41700-CANADA BSAUNAS BACKLOG</v>
      </c>
      <c r="C11" s="132">
        <f>SHIPMENTS!F17</f>
        <v>0</v>
      </c>
      <c r="D11" s="107" t="str">
        <f>IF((SHIPMENTS!I17)=0,"",SHIPMENTS!I17)</f>
        <v/>
      </c>
      <c r="E11" s="176">
        <f>IF((SHIPMENTS!G17)=0,"",SHIPMENTS!G17)</f>
        <v>46315</v>
      </c>
      <c r="F11" s="97">
        <f>VLOOKUP(A11,Items!$A$5:$J$1000,2,0)</f>
        <v>10</v>
      </c>
      <c r="G11" s="98">
        <f>VLOOKUP(A11,load!$A$4:$U$5001,10,0)</f>
        <v>35.258333333333333</v>
      </c>
      <c r="H11" s="97">
        <v>13</v>
      </c>
      <c r="I11" s="98">
        <f t="shared" si="7"/>
        <v>118.3</v>
      </c>
      <c r="J11" s="99">
        <f t="shared" si="0"/>
        <v>0.29804170188785573</v>
      </c>
      <c r="K11" s="99">
        <f t="shared" si="8"/>
        <v>2.7121794871794869</v>
      </c>
      <c r="L11" s="98">
        <f t="shared" si="1"/>
        <v>0</v>
      </c>
      <c r="M11" s="98">
        <f t="shared" si="2"/>
        <v>0</v>
      </c>
      <c r="N11" s="181">
        <f t="shared" si="10"/>
        <v>46321.01645533953</v>
      </c>
      <c r="O11" s="181">
        <f t="shared" si="11"/>
        <v>46321.01645533953</v>
      </c>
      <c r="P11" s="112">
        <f>VLOOKUP(A11,SHIPMENTS!$A$7:$AP$76,41,0)</f>
        <v>1</v>
      </c>
      <c r="Q11" s="101"/>
      <c r="R11" s="127" t="str">
        <f t="shared" si="4"/>
        <v/>
      </c>
      <c r="S11" s="127" t="str">
        <f t="shared" si="4"/>
        <v>▲</v>
      </c>
      <c r="T11" s="127" t="str">
        <f t="shared" si="4"/>
        <v/>
      </c>
      <c r="U11" s="127" t="str">
        <f t="shared" si="4"/>
        <v/>
      </c>
      <c r="V11" s="127" t="str">
        <f t="shared" si="4"/>
        <v/>
      </c>
      <c r="W11" s="127" t="str">
        <f t="shared" si="4"/>
        <v/>
      </c>
      <c r="X11" s="127" t="str">
        <f t="shared" si="4"/>
        <v/>
      </c>
      <c r="Y11" s="127" t="str">
        <f t="shared" si="4"/>
        <v/>
      </c>
      <c r="Z11" s="127" t="str">
        <f t="shared" si="4"/>
        <v/>
      </c>
      <c r="AA11" s="127" t="str">
        <f t="shared" si="4"/>
        <v/>
      </c>
      <c r="AB11" s="127" t="str">
        <f t="shared" si="4"/>
        <v/>
      </c>
      <c r="AC11" s="127" t="str">
        <f t="shared" si="4"/>
        <v/>
      </c>
      <c r="AD11" s="127" t="str">
        <f t="shared" si="4"/>
        <v/>
      </c>
      <c r="AE11" s="127" t="str">
        <f t="shared" si="4"/>
        <v/>
      </c>
      <c r="AF11" s="127" t="str">
        <f t="shared" si="4"/>
        <v/>
      </c>
      <c r="AG11" s="127" t="str">
        <f t="shared" si="4"/>
        <v/>
      </c>
      <c r="AH11" s="127" t="str">
        <f t="shared" si="5"/>
        <v/>
      </c>
      <c r="AI11" s="127" t="str">
        <f t="shared" si="5"/>
        <v/>
      </c>
      <c r="AJ11" s="127" t="str">
        <f t="shared" si="5"/>
        <v/>
      </c>
      <c r="AK11" s="127" t="str">
        <f t="shared" si="5"/>
        <v/>
      </c>
      <c r="AL11" s="127" t="str">
        <f t="shared" si="5"/>
        <v/>
      </c>
      <c r="AM11" s="127" t="str">
        <f t="shared" si="5"/>
        <v/>
      </c>
      <c r="AN11" s="127" t="str">
        <f t="shared" si="5"/>
        <v/>
      </c>
      <c r="AO11" s="127" t="str">
        <f t="shared" si="5"/>
        <v/>
      </c>
      <c r="AP11" s="127" t="str">
        <f t="shared" si="5"/>
        <v/>
      </c>
      <c r="AQ11" s="127" t="str">
        <f t="shared" si="5"/>
        <v/>
      </c>
      <c r="AR11" s="127" t="str">
        <f t="shared" si="5"/>
        <v/>
      </c>
      <c r="AS11" s="127" t="str">
        <f t="shared" si="5"/>
        <v/>
      </c>
      <c r="AT11" s="127" t="str">
        <f t="shared" si="5"/>
        <v/>
      </c>
      <c r="AU11" s="127" t="str">
        <f t="shared" si="5"/>
        <v/>
      </c>
      <c r="AV11" s="127" t="str">
        <f t="shared" si="5"/>
        <v/>
      </c>
      <c r="AW11" s="127" t="str">
        <f t="shared" si="5"/>
        <v/>
      </c>
      <c r="AX11" s="127" t="str">
        <f t="shared" si="5"/>
        <v/>
      </c>
      <c r="AY11" s="127" t="str">
        <f t="shared" si="5"/>
        <v/>
      </c>
      <c r="AZ11" s="127" t="str">
        <f t="shared" si="5"/>
        <v/>
      </c>
      <c r="BA11" s="127" t="str">
        <f t="shared" si="5"/>
        <v/>
      </c>
      <c r="BB11" s="127" t="str">
        <f t="shared" si="5"/>
        <v/>
      </c>
      <c r="BC11" s="127" t="str">
        <f t="shared" si="5"/>
        <v/>
      </c>
      <c r="BD11" s="127" t="str">
        <f t="shared" si="5"/>
        <v/>
      </c>
      <c r="BE11" s="127" t="str">
        <f t="shared" si="5"/>
        <v/>
      </c>
      <c r="BF11" s="127" t="str">
        <f t="shared" si="5"/>
        <v/>
      </c>
      <c r="BG11" s="127" t="str">
        <f t="shared" si="5"/>
        <v/>
      </c>
      <c r="BH11" s="127" t="str">
        <f t="shared" si="5"/>
        <v/>
      </c>
      <c r="BI11" s="127" t="str">
        <f t="shared" si="5"/>
        <v/>
      </c>
      <c r="BJ11" s="127" t="str">
        <f t="shared" si="5"/>
        <v/>
      </c>
      <c r="BK11" s="127" t="str">
        <f t="shared" si="5"/>
        <v/>
      </c>
      <c r="BL11" s="127" t="str">
        <f t="shared" si="5"/>
        <v/>
      </c>
      <c r="BM11" s="127" t="str">
        <f t="shared" si="5"/>
        <v/>
      </c>
      <c r="BN11" s="127" t="str">
        <f t="shared" si="5"/>
        <v/>
      </c>
      <c r="BO11" s="127" t="str">
        <f t="shared" si="5"/>
        <v/>
      </c>
      <c r="BP11" s="127" t="str">
        <f t="shared" si="5"/>
        <v/>
      </c>
      <c r="BQ11" s="127" t="str">
        <f t="shared" si="5"/>
        <v/>
      </c>
      <c r="BR11" s="127" t="str">
        <f t="shared" si="5"/>
        <v/>
      </c>
      <c r="BS11" s="127" t="str">
        <f t="shared" si="5"/>
        <v/>
      </c>
      <c r="BT11" s="127" t="str">
        <f t="shared" si="5"/>
        <v/>
      </c>
      <c r="BU11" s="127" t="str">
        <f t="shared" si="5"/>
        <v/>
      </c>
      <c r="BV11" s="127" t="str">
        <f t="shared" si="6"/>
        <v/>
      </c>
      <c r="BW11" s="127" t="str">
        <f t="shared" si="6"/>
        <v/>
      </c>
      <c r="BX11" s="127" t="str">
        <f t="shared" si="6"/>
        <v/>
      </c>
      <c r="BY11" s="127" t="str">
        <f t="shared" si="6"/>
        <v/>
      </c>
      <c r="BZ11" s="127" t="str">
        <f t="shared" si="6"/>
        <v/>
      </c>
      <c r="CA11" s="127" t="str">
        <f t="shared" si="6"/>
        <v/>
      </c>
      <c r="CB11" s="127" t="str">
        <f t="shared" si="6"/>
        <v/>
      </c>
      <c r="CC11" s="127" t="str">
        <f t="shared" si="6"/>
        <v/>
      </c>
      <c r="CD11" s="127" t="str">
        <f t="shared" si="6"/>
        <v/>
      </c>
      <c r="CE11" s="127" t="str">
        <f t="shared" si="6"/>
        <v/>
      </c>
    </row>
    <row r="12" spans="1:83" ht="12.6" hidden="1" customHeight="1" x14ac:dyDescent="0.2">
      <c r="A12" s="106">
        <f>SHIPMENTS!A18</f>
        <v>8102</v>
      </c>
      <c r="B12" s="106" t="str">
        <f>SHIPMENTS!B18</f>
        <v>41700-CANADA BSAUNAS BACKLOG</v>
      </c>
      <c r="C12" s="132">
        <f>SHIPMENTS!F18</f>
        <v>0</v>
      </c>
      <c r="D12" s="107" t="str">
        <f>IF((SHIPMENTS!I18)=0,"",SHIPMENTS!I18)</f>
        <v/>
      </c>
      <c r="E12" s="176">
        <f>IF((SHIPMENTS!G18)=0,"",SHIPMENTS!G18)</f>
        <v>46315</v>
      </c>
      <c r="F12" s="97">
        <f>VLOOKUP(A12,Items!$A$5:$J$1000,2,0)</f>
        <v>0</v>
      </c>
      <c r="G12" s="98">
        <f>VLOOKUP(A12,load!$A$4:$U$5001,10,0)</f>
        <v>0</v>
      </c>
      <c r="H12" s="97">
        <v>13</v>
      </c>
      <c r="I12" s="98">
        <f t="shared" si="7"/>
        <v>118.3</v>
      </c>
      <c r="J12" s="99">
        <f t="shared" si="0"/>
        <v>0</v>
      </c>
      <c r="K12" s="99">
        <f t="shared" si="8"/>
        <v>0</v>
      </c>
      <c r="L12" s="98">
        <f t="shared" si="1"/>
        <v>0</v>
      </c>
      <c r="M12" s="98">
        <f t="shared" si="2"/>
        <v>0</v>
      </c>
      <c r="N12" s="181">
        <f t="shared" si="10"/>
        <v>46321.01645533953</v>
      </c>
      <c r="O12" s="181">
        <f t="shared" si="11"/>
        <v>46321.01645533953</v>
      </c>
      <c r="P12" s="112" t="str">
        <f>VLOOKUP(A12,SHIPMENTS!$A$7:$AP$76,41,0)</f>
        <v>n/a</v>
      </c>
      <c r="Q12" s="101"/>
      <c r="R12" s="127" t="str">
        <f t="shared" si="4"/>
        <v/>
      </c>
      <c r="S12" s="127" t="str">
        <f t="shared" si="4"/>
        <v>▲</v>
      </c>
      <c r="T12" s="127" t="str">
        <f t="shared" si="4"/>
        <v/>
      </c>
      <c r="U12" s="127" t="str">
        <f t="shared" si="4"/>
        <v/>
      </c>
      <c r="V12" s="127" t="str">
        <f t="shared" si="4"/>
        <v/>
      </c>
      <c r="W12" s="127" t="str">
        <f t="shared" si="4"/>
        <v/>
      </c>
      <c r="X12" s="127" t="str">
        <f t="shared" si="4"/>
        <v/>
      </c>
      <c r="Y12" s="127" t="str">
        <f t="shared" si="4"/>
        <v/>
      </c>
      <c r="Z12" s="127" t="str">
        <f t="shared" si="4"/>
        <v/>
      </c>
      <c r="AA12" s="127" t="str">
        <f t="shared" si="4"/>
        <v/>
      </c>
      <c r="AB12" s="127" t="str">
        <f t="shared" si="4"/>
        <v/>
      </c>
      <c r="AC12" s="127" t="str">
        <f t="shared" si="4"/>
        <v/>
      </c>
      <c r="AD12" s="127" t="str">
        <f t="shared" si="4"/>
        <v/>
      </c>
      <c r="AE12" s="127" t="str">
        <f t="shared" si="4"/>
        <v/>
      </c>
      <c r="AF12" s="127" t="str">
        <f t="shared" si="4"/>
        <v/>
      </c>
      <c r="AG12" s="127" t="str">
        <f t="shared" si="4"/>
        <v/>
      </c>
      <c r="AH12" s="127" t="str">
        <f t="shared" si="5"/>
        <v/>
      </c>
      <c r="AI12" s="127" t="str">
        <f t="shared" si="5"/>
        <v/>
      </c>
      <c r="AJ12" s="127" t="str">
        <f t="shared" si="5"/>
        <v/>
      </c>
      <c r="AK12" s="127" t="str">
        <f t="shared" si="5"/>
        <v/>
      </c>
      <c r="AL12" s="127" t="str">
        <f t="shared" si="5"/>
        <v/>
      </c>
      <c r="AM12" s="127" t="str">
        <f t="shared" si="5"/>
        <v/>
      </c>
      <c r="AN12" s="127" t="str">
        <f t="shared" si="5"/>
        <v/>
      </c>
      <c r="AO12" s="127" t="str">
        <f t="shared" si="5"/>
        <v/>
      </c>
      <c r="AP12" s="127" t="str">
        <f t="shared" si="5"/>
        <v/>
      </c>
      <c r="AQ12" s="127" t="str">
        <f t="shared" si="5"/>
        <v/>
      </c>
      <c r="AR12" s="127" t="str">
        <f t="shared" si="5"/>
        <v/>
      </c>
      <c r="AS12" s="127" t="str">
        <f t="shared" si="5"/>
        <v/>
      </c>
      <c r="AT12" s="127" t="str">
        <f t="shared" si="5"/>
        <v/>
      </c>
      <c r="AU12" s="127" t="str">
        <f t="shared" si="5"/>
        <v/>
      </c>
      <c r="AV12" s="127" t="str">
        <f t="shared" si="5"/>
        <v/>
      </c>
      <c r="AW12" s="127" t="str">
        <f t="shared" si="5"/>
        <v/>
      </c>
      <c r="AX12" s="127" t="str">
        <f t="shared" si="5"/>
        <v/>
      </c>
      <c r="AY12" s="127" t="str">
        <f t="shared" si="5"/>
        <v/>
      </c>
      <c r="AZ12" s="127" t="str">
        <f t="shared" si="5"/>
        <v/>
      </c>
      <c r="BA12" s="127" t="str">
        <f t="shared" si="5"/>
        <v/>
      </c>
      <c r="BB12" s="127" t="str">
        <f t="shared" si="5"/>
        <v/>
      </c>
      <c r="BC12" s="127" t="str">
        <f t="shared" si="5"/>
        <v/>
      </c>
      <c r="BD12" s="127" t="str">
        <f t="shared" si="5"/>
        <v/>
      </c>
      <c r="BE12" s="127" t="str">
        <f t="shared" si="5"/>
        <v/>
      </c>
      <c r="BF12" s="127" t="str">
        <f t="shared" si="5"/>
        <v/>
      </c>
      <c r="BG12" s="127" t="str">
        <f t="shared" si="5"/>
        <v/>
      </c>
      <c r="BH12" s="127" t="str">
        <f t="shared" si="5"/>
        <v/>
      </c>
      <c r="BI12" s="127" t="str">
        <f t="shared" si="5"/>
        <v/>
      </c>
      <c r="BJ12" s="127" t="str">
        <f t="shared" si="5"/>
        <v/>
      </c>
      <c r="BK12" s="127" t="str">
        <f t="shared" si="5"/>
        <v/>
      </c>
      <c r="BL12" s="127" t="str">
        <f t="shared" si="5"/>
        <v/>
      </c>
      <c r="BM12" s="127" t="str">
        <f t="shared" si="5"/>
        <v/>
      </c>
      <c r="BN12" s="127" t="str">
        <f t="shared" si="5"/>
        <v/>
      </c>
      <c r="BO12" s="127" t="str">
        <f t="shared" si="5"/>
        <v/>
      </c>
      <c r="BP12" s="127" t="str">
        <f t="shared" si="5"/>
        <v/>
      </c>
      <c r="BQ12" s="127" t="str">
        <f t="shared" si="5"/>
        <v/>
      </c>
      <c r="BR12" s="127" t="str">
        <f t="shared" si="5"/>
        <v/>
      </c>
      <c r="BS12" s="127" t="str">
        <f t="shared" si="5"/>
        <v/>
      </c>
      <c r="BT12" s="127" t="str">
        <f t="shared" si="5"/>
        <v/>
      </c>
      <c r="BU12" s="127" t="str">
        <f t="shared" si="5"/>
        <v/>
      </c>
      <c r="BV12" s="127" t="str">
        <f t="shared" si="6"/>
        <v/>
      </c>
      <c r="BW12" s="127" t="str">
        <f t="shared" si="6"/>
        <v/>
      </c>
      <c r="BX12" s="127" t="str">
        <f t="shared" si="6"/>
        <v/>
      </c>
      <c r="BY12" s="127" t="str">
        <f t="shared" si="6"/>
        <v/>
      </c>
      <c r="BZ12" s="127" t="str">
        <f t="shared" si="6"/>
        <v/>
      </c>
      <c r="CA12" s="127" t="str">
        <f t="shared" si="6"/>
        <v/>
      </c>
      <c r="CB12" s="127" t="str">
        <f t="shared" si="6"/>
        <v/>
      </c>
      <c r="CC12" s="127" t="str">
        <f t="shared" si="6"/>
        <v/>
      </c>
      <c r="CD12" s="127" t="str">
        <f t="shared" si="6"/>
        <v/>
      </c>
      <c r="CE12" s="127" t="str">
        <f t="shared" si="6"/>
        <v/>
      </c>
    </row>
    <row r="13" spans="1:83" ht="12.6" customHeight="1" x14ac:dyDescent="0.2">
      <c r="A13" s="106">
        <f>SHIPMENTS!A19</f>
        <v>5928</v>
      </c>
      <c r="B13" s="106" t="str">
        <f>SHIPMENTS!B19</f>
        <v>41700-CANADA BSAUNAS BACKLOG</v>
      </c>
      <c r="C13" s="132">
        <f>SHIPMENTS!F19</f>
        <v>0</v>
      </c>
      <c r="D13" s="107" t="str">
        <f>IF((SHIPMENTS!I19)=0,"",SHIPMENTS!I19)</f>
        <v/>
      </c>
      <c r="E13" s="176" t="str">
        <f>IF((SHIPMENTS!G19)=0,"",SHIPMENTS!G19)</f>
        <v/>
      </c>
      <c r="F13" s="97">
        <f>VLOOKUP(A13,Items!$A$5:$J$1000,2,0)</f>
        <v>70</v>
      </c>
      <c r="G13" s="98">
        <f>VLOOKUP(A13,load!$A$4:$U$5001,10,0)</f>
        <v>259.75833333333333</v>
      </c>
      <c r="H13" s="97">
        <v>13</v>
      </c>
      <c r="I13" s="98">
        <f t="shared" si="7"/>
        <v>118.3</v>
      </c>
      <c r="J13" s="99">
        <f t="shared" si="0"/>
        <v>2.195759368836292</v>
      </c>
      <c r="K13" s="99">
        <f t="shared" si="8"/>
        <v>19.981410256410257</v>
      </c>
      <c r="L13" s="98">
        <f t="shared" si="1"/>
        <v>0</v>
      </c>
      <c r="M13" s="98">
        <f t="shared" si="2"/>
        <v>0</v>
      </c>
      <c r="N13" s="181">
        <f t="shared" si="10"/>
        <v>46321.01645533953</v>
      </c>
      <c r="O13" s="181">
        <f t="shared" si="11"/>
        <v>46321.01645533953</v>
      </c>
      <c r="P13" s="112">
        <f>VLOOKUP(A13,SHIPMENTS!$A$7:$AP$76,41,0)</f>
        <v>1</v>
      </c>
      <c r="Q13" s="101"/>
      <c r="R13" s="127" t="str">
        <f t="shared" si="4"/>
        <v/>
      </c>
      <c r="S13" s="127" t="str">
        <f t="shared" si="4"/>
        <v/>
      </c>
      <c r="T13" s="127" t="str">
        <f t="shared" si="4"/>
        <v/>
      </c>
      <c r="U13" s="127" t="str">
        <f t="shared" si="4"/>
        <v/>
      </c>
      <c r="V13" s="127" t="str">
        <f t="shared" si="4"/>
        <v/>
      </c>
      <c r="W13" s="127" t="str">
        <f t="shared" si="4"/>
        <v/>
      </c>
      <c r="X13" s="127" t="str">
        <f t="shared" si="4"/>
        <v/>
      </c>
      <c r="Y13" s="127" t="str">
        <f t="shared" si="4"/>
        <v/>
      </c>
      <c r="Z13" s="127" t="str">
        <f t="shared" si="4"/>
        <v/>
      </c>
      <c r="AA13" s="127" t="str">
        <f t="shared" si="4"/>
        <v/>
      </c>
      <c r="AB13" s="127" t="str">
        <f t="shared" si="4"/>
        <v/>
      </c>
      <c r="AC13" s="127" t="str">
        <f t="shared" si="4"/>
        <v/>
      </c>
      <c r="AD13" s="127" t="str">
        <f t="shared" si="4"/>
        <v/>
      </c>
      <c r="AE13" s="127" t="str">
        <f t="shared" si="4"/>
        <v/>
      </c>
      <c r="AF13" s="127" t="str">
        <f t="shared" si="4"/>
        <v/>
      </c>
      <c r="AG13" s="127" t="str">
        <f t="shared" si="4"/>
        <v/>
      </c>
      <c r="AH13" s="127" t="str">
        <f t="shared" si="5"/>
        <v/>
      </c>
      <c r="AI13" s="127" t="str">
        <f t="shared" si="5"/>
        <v/>
      </c>
      <c r="AJ13" s="127" t="str">
        <f t="shared" si="5"/>
        <v/>
      </c>
      <c r="AK13" s="127" t="str">
        <f t="shared" si="5"/>
        <v/>
      </c>
      <c r="AL13" s="127" t="str">
        <f t="shared" si="5"/>
        <v/>
      </c>
      <c r="AM13" s="127" t="str">
        <f t="shared" si="5"/>
        <v/>
      </c>
      <c r="AN13" s="127" t="str">
        <f t="shared" si="5"/>
        <v/>
      </c>
      <c r="AO13" s="127" t="str">
        <f t="shared" si="5"/>
        <v/>
      </c>
      <c r="AP13" s="127" t="str">
        <f t="shared" si="5"/>
        <v/>
      </c>
      <c r="AQ13" s="127" t="str">
        <f t="shared" si="5"/>
        <v/>
      </c>
      <c r="AR13" s="127" t="str">
        <f t="shared" si="5"/>
        <v/>
      </c>
      <c r="AS13" s="127" t="str">
        <f t="shared" si="5"/>
        <v/>
      </c>
      <c r="AT13" s="127" t="str">
        <f t="shared" si="5"/>
        <v/>
      </c>
      <c r="AU13" s="127" t="str">
        <f t="shared" si="5"/>
        <v/>
      </c>
      <c r="AV13" s="127" t="str">
        <f t="shared" si="5"/>
        <v/>
      </c>
      <c r="AW13" s="127" t="str">
        <f t="shared" si="5"/>
        <v/>
      </c>
      <c r="AX13" s="127" t="str">
        <f t="shared" si="5"/>
        <v/>
      </c>
      <c r="AY13" s="127" t="str">
        <f t="shared" si="5"/>
        <v/>
      </c>
      <c r="AZ13" s="127" t="str">
        <f t="shared" si="5"/>
        <v/>
      </c>
      <c r="BA13" s="127" t="str">
        <f t="shared" si="5"/>
        <v/>
      </c>
      <c r="BB13" s="127" t="str">
        <f t="shared" si="5"/>
        <v/>
      </c>
      <c r="BC13" s="127" t="str">
        <f t="shared" si="5"/>
        <v/>
      </c>
      <c r="BD13" s="127" t="str">
        <f t="shared" si="5"/>
        <v/>
      </c>
      <c r="BE13" s="127" t="str">
        <f t="shared" si="5"/>
        <v/>
      </c>
      <c r="BF13" s="127" t="str">
        <f t="shared" si="5"/>
        <v/>
      </c>
      <c r="BG13" s="127" t="str">
        <f t="shared" si="5"/>
        <v/>
      </c>
      <c r="BH13" s="127" t="str">
        <f t="shared" si="5"/>
        <v/>
      </c>
      <c r="BI13" s="127" t="str">
        <f t="shared" si="5"/>
        <v/>
      </c>
      <c r="BJ13" s="127" t="str">
        <f t="shared" si="5"/>
        <v/>
      </c>
      <c r="BK13" s="127" t="str">
        <f t="shared" si="5"/>
        <v/>
      </c>
      <c r="BL13" s="127" t="str">
        <f t="shared" si="5"/>
        <v/>
      </c>
      <c r="BM13" s="127" t="str">
        <f t="shared" si="5"/>
        <v/>
      </c>
      <c r="BN13" s="127" t="str">
        <f t="shared" si="5"/>
        <v/>
      </c>
      <c r="BO13" s="127" t="str">
        <f t="shared" si="5"/>
        <v/>
      </c>
      <c r="BP13" s="127" t="str">
        <f t="shared" si="5"/>
        <v/>
      </c>
      <c r="BQ13" s="127" t="str">
        <f t="shared" si="5"/>
        <v/>
      </c>
      <c r="BR13" s="127" t="str">
        <f t="shared" si="5"/>
        <v/>
      </c>
      <c r="BS13" s="127" t="str">
        <f t="shared" si="5"/>
        <v/>
      </c>
      <c r="BT13" s="127" t="str">
        <f t="shared" si="5"/>
        <v/>
      </c>
      <c r="BU13" s="127" t="str">
        <f t="shared" si="5"/>
        <v/>
      </c>
      <c r="BV13" s="127" t="str">
        <f t="shared" si="6"/>
        <v/>
      </c>
      <c r="BW13" s="127" t="str">
        <f t="shared" si="6"/>
        <v/>
      </c>
      <c r="BX13" s="127" t="str">
        <f t="shared" si="6"/>
        <v/>
      </c>
      <c r="BY13" s="127" t="str">
        <f t="shared" si="6"/>
        <v/>
      </c>
      <c r="BZ13" s="127" t="str">
        <f t="shared" si="6"/>
        <v/>
      </c>
      <c r="CA13" s="127" t="str">
        <f t="shared" si="6"/>
        <v/>
      </c>
      <c r="CB13" s="127" t="str">
        <f t="shared" si="6"/>
        <v/>
      </c>
      <c r="CC13" s="127" t="str">
        <f t="shared" si="6"/>
        <v/>
      </c>
      <c r="CD13" s="127" t="str">
        <f t="shared" si="6"/>
        <v/>
      </c>
      <c r="CE13" s="127" t="str">
        <f t="shared" si="6"/>
        <v/>
      </c>
    </row>
    <row r="14" spans="1:83" ht="12.6" customHeight="1" x14ac:dyDescent="0.2">
      <c r="A14" s="106">
        <f>SHIPMENTS!A20</f>
        <v>4781</v>
      </c>
      <c r="B14" s="106" t="str">
        <f>SHIPMENTS!B20</f>
        <v>41700-CANADA BSAUNAS BACKLOG</v>
      </c>
      <c r="C14" s="132">
        <f>SHIPMENTS!F20</f>
        <v>0</v>
      </c>
      <c r="D14" s="107" t="str">
        <f>IF((SHIPMENTS!I20)=0,"",SHIPMENTS!I20)</f>
        <v/>
      </c>
      <c r="E14" s="176" t="str">
        <f>IF((SHIPMENTS!G20)=0,"",SHIPMENTS!G20)</f>
        <v/>
      </c>
      <c r="F14" s="97">
        <f>VLOOKUP(A14,Items!$A$5:$J$1000,2,0)</f>
        <v>65</v>
      </c>
      <c r="G14" s="98">
        <f>VLOOKUP(A14,load!$A$4:$U$5001,10,0)</f>
        <v>176.57416666666666</v>
      </c>
      <c r="H14" s="97">
        <v>13</v>
      </c>
      <c r="I14" s="98">
        <f t="shared" si="7"/>
        <v>118.3</v>
      </c>
      <c r="J14" s="99">
        <f t="shared" si="0"/>
        <v>1.4925965060580444</v>
      </c>
      <c r="K14" s="99">
        <f t="shared" si="8"/>
        <v>13.582628205128204</v>
      </c>
      <c r="L14" s="98">
        <f t="shared" si="1"/>
        <v>0</v>
      </c>
      <c r="M14" s="98">
        <f t="shared" si="2"/>
        <v>0</v>
      </c>
      <c r="N14" s="181">
        <f t="shared" si="10"/>
        <v>46321.01645533953</v>
      </c>
      <c r="O14" s="181">
        <f t="shared" si="11"/>
        <v>46321.01645533953</v>
      </c>
      <c r="P14" s="112">
        <f>VLOOKUP(A14,SHIPMENTS!$A$7:$AP$76,41,0)</f>
        <v>1</v>
      </c>
      <c r="Q14" s="101"/>
      <c r="R14" s="127" t="str">
        <f t="shared" si="4"/>
        <v/>
      </c>
      <c r="S14" s="127" t="str">
        <f t="shared" si="4"/>
        <v/>
      </c>
      <c r="T14" s="127" t="str">
        <f t="shared" si="4"/>
        <v/>
      </c>
      <c r="U14" s="127" t="str">
        <f t="shared" si="4"/>
        <v/>
      </c>
      <c r="V14" s="127" t="str">
        <f t="shared" si="4"/>
        <v/>
      </c>
      <c r="W14" s="127" t="str">
        <f t="shared" si="4"/>
        <v/>
      </c>
      <c r="X14" s="127" t="str">
        <f t="shared" si="4"/>
        <v/>
      </c>
      <c r="Y14" s="127" t="str">
        <f t="shared" si="4"/>
        <v/>
      </c>
      <c r="Z14" s="127" t="str">
        <f t="shared" si="4"/>
        <v/>
      </c>
      <c r="AA14" s="127" t="str">
        <f t="shared" si="4"/>
        <v/>
      </c>
      <c r="AB14" s="127" t="str">
        <f t="shared" si="4"/>
        <v/>
      </c>
      <c r="AC14" s="127" t="str">
        <f t="shared" si="4"/>
        <v/>
      </c>
      <c r="AD14" s="127" t="str">
        <f t="shared" si="4"/>
        <v/>
      </c>
      <c r="AE14" s="127" t="str">
        <f t="shared" si="4"/>
        <v/>
      </c>
      <c r="AF14" s="127" t="str">
        <f t="shared" si="4"/>
        <v/>
      </c>
      <c r="AG14" s="127" t="str">
        <f t="shared" si="4"/>
        <v/>
      </c>
      <c r="AH14" s="127" t="str">
        <f t="shared" si="5"/>
        <v/>
      </c>
      <c r="AI14" s="127" t="str">
        <f t="shared" si="5"/>
        <v/>
      </c>
      <c r="AJ14" s="127" t="str">
        <f t="shared" si="5"/>
        <v/>
      </c>
      <c r="AK14" s="127" t="str">
        <f t="shared" si="5"/>
        <v/>
      </c>
      <c r="AL14" s="127" t="str">
        <f t="shared" si="5"/>
        <v/>
      </c>
      <c r="AM14" s="127" t="str">
        <f t="shared" si="5"/>
        <v/>
      </c>
      <c r="AN14" s="127" t="str">
        <f t="shared" si="5"/>
        <v/>
      </c>
      <c r="AO14" s="127" t="str">
        <f t="shared" si="5"/>
        <v/>
      </c>
      <c r="AP14" s="127" t="str">
        <f t="shared" si="5"/>
        <v/>
      </c>
      <c r="AQ14" s="127" t="str">
        <f t="shared" si="5"/>
        <v/>
      </c>
      <c r="AR14" s="127" t="str">
        <f t="shared" si="5"/>
        <v/>
      </c>
      <c r="AS14" s="127" t="str">
        <f t="shared" si="5"/>
        <v/>
      </c>
      <c r="AT14" s="127" t="str">
        <f t="shared" si="5"/>
        <v/>
      </c>
      <c r="AU14" s="127" t="str">
        <f t="shared" si="5"/>
        <v/>
      </c>
      <c r="AV14" s="127" t="str">
        <f t="shared" si="5"/>
        <v/>
      </c>
      <c r="AW14" s="127" t="str">
        <f t="shared" ref="AW14:BW29" si="12">IF($E14=AW$3,"▲","")</f>
        <v/>
      </c>
      <c r="AX14" s="127" t="str">
        <f t="shared" si="12"/>
        <v/>
      </c>
      <c r="AY14" s="127" t="str">
        <f t="shared" si="12"/>
        <v/>
      </c>
      <c r="AZ14" s="127" t="str">
        <f t="shared" si="12"/>
        <v/>
      </c>
      <c r="BA14" s="127" t="str">
        <f t="shared" si="12"/>
        <v/>
      </c>
      <c r="BB14" s="127" t="str">
        <f t="shared" si="12"/>
        <v/>
      </c>
      <c r="BC14" s="127" t="str">
        <f t="shared" si="12"/>
        <v/>
      </c>
      <c r="BD14" s="127" t="str">
        <f t="shared" si="12"/>
        <v/>
      </c>
      <c r="BE14" s="127" t="str">
        <f t="shared" si="12"/>
        <v/>
      </c>
      <c r="BF14" s="127" t="str">
        <f t="shared" si="12"/>
        <v/>
      </c>
      <c r="BG14" s="127" t="str">
        <f t="shared" si="12"/>
        <v/>
      </c>
      <c r="BH14" s="127" t="str">
        <f t="shared" si="12"/>
        <v/>
      </c>
      <c r="BI14" s="127" t="str">
        <f t="shared" si="12"/>
        <v/>
      </c>
      <c r="BJ14" s="127" t="str">
        <f t="shared" si="12"/>
        <v/>
      </c>
      <c r="BK14" s="127" t="str">
        <f t="shared" si="12"/>
        <v/>
      </c>
      <c r="BL14" s="127" t="str">
        <f t="shared" si="12"/>
        <v/>
      </c>
      <c r="BM14" s="127" t="str">
        <f t="shared" si="12"/>
        <v/>
      </c>
      <c r="BN14" s="127" t="str">
        <f t="shared" si="12"/>
        <v/>
      </c>
      <c r="BO14" s="127" t="str">
        <f t="shared" si="12"/>
        <v/>
      </c>
      <c r="BP14" s="127" t="str">
        <f t="shared" si="12"/>
        <v/>
      </c>
      <c r="BQ14" s="127" t="str">
        <f t="shared" si="12"/>
        <v/>
      </c>
      <c r="BR14" s="127" t="str">
        <f t="shared" si="12"/>
        <v/>
      </c>
      <c r="BS14" s="127" t="str">
        <f t="shared" si="12"/>
        <v/>
      </c>
      <c r="BT14" s="127" t="str">
        <f t="shared" si="12"/>
        <v/>
      </c>
      <c r="BU14" s="127" t="str">
        <f t="shared" si="12"/>
        <v/>
      </c>
      <c r="BV14" s="127" t="str">
        <f t="shared" si="12"/>
        <v/>
      </c>
      <c r="BW14" s="127" t="str">
        <f t="shared" si="12"/>
        <v/>
      </c>
      <c r="BX14" s="127" t="str">
        <f t="shared" si="6"/>
        <v/>
      </c>
      <c r="BY14" s="127" t="str">
        <f t="shared" si="6"/>
        <v/>
      </c>
      <c r="BZ14" s="127" t="str">
        <f t="shared" si="6"/>
        <v/>
      </c>
      <c r="CA14" s="127" t="str">
        <f t="shared" si="6"/>
        <v/>
      </c>
      <c r="CB14" s="127" t="str">
        <f t="shared" si="6"/>
        <v/>
      </c>
      <c r="CC14" s="127" t="str">
        <f t="shared" si="6"/>
        <v/>
      </c>
      <c r="CD14" s="127" t="str">
        <f t="shared" si="6"/>
        <v/>
      </c>
      <c r="CE14" s="127" t="str">
        <f t="shared" si="6"/>
        <v/>
      </c>
    </row>
    <row r="15" spans="1:83" ht="12.6" hidden="1" customHeight="1" x14ac:dyDescent="0.2">
      <c r="A15" s="106">
        <f>SHIPMENTS!A21</f>
        <v>9259</v>
      </c>
      <c r="B15" s="106" t="str">
        <f>SHIPMENTS!B21</f>
        <v>27200-UAE</v>
      </c>
      <c r="C15" s="132">
        <f>SHIPMENTS!F21</f>
        <v>7.0000000000000007E-2</v>
      </c>
      <c r="D15" s="107" t="str">
        <f>IF((SHIPMENTS!I21)=0,"",SHIPMENTS!I21)</f>
        <v>AIR</v>
      </c>
      <c r="E15" s="176">
        <f>IF((SHIPMENTS!G21)=0,"",SHIPMENTS!G21)</f>
        <v>46316</v>
      </c>
      <c r="F15" s="97">
        <f>VLOOKUP(A15,Items!$A$5:$J$1000,2,0)</f>
        <v>0</v>
      </c>
      <c r="G15" s="98">
        <f>VLOOKUP(A15,load!$A$4:$U$5001,10,0)</f>
        <v>0</v>
      </c>
      <c r="H15" s="97">
        <v>13</v>
      </c>
      <c r="I15" s="98">
        <f t="shared" si="7"/>
        <v>118.3</v>
      </c>
      <c r="J15" s="99">
        <f t="shared" si="0"/>
        <v>0</v>
      </c>
      <c r="K15" s="99">
        <f t="shared" si="8"/>
        <v>0</v>
      </c>
      <c r="L15" s="98">
        <f t="shared" si="1"/>
        <v>0</v>
      </c>
      <c r="M15" s="98">
        <f t="shared" si="2"/>
        <v>0</v>
      </c>
      <c r="N15" s="181">
        <f t="shared" si="10"/>
        <v>46321.01645533953</v>
      </c>
      <c r="O15" s="181">
        <f t="shared" si="11"/>
        <v>46321.01645533953</v>
      </c>
      <c r="P15" s="112" t="str">
        <f>VLOOKUP(A15,SHIPMENTS!$A$7:$AP$76,41,0)</f>
        <v>n/a</v>
      </c>
      <c r="Q15" s="101"/>
      <c r="R15" s="127" t="str">
        <f t="shared" si="4"/>
        <v/>
      </c>
      <c r="S15" s="127" t="str">
        <f t="shared" si="4"/>
        <v/>
      </c>
      <c r="T15" s="127" t="str">
        <f t="shared" si="4"/>
        <v>▲</v>
      </c>
      <c r="U15" s="127" t="str">
        <f t="shared" si="4"/>
        <v/>
      </c>
      <c r="V15" s="127" t="str">
        <f t="shared" si="4"/>
        <v/>
      </c>
      <c r="W15" s="127" t="str">
        <f t="shared" si="4"/>
        <v/>
      </c>
      <c r="X15" s="127" t="str">
        <f t="shared" si="4"/>
        <v/>
      </c>
      <c r="Y15" s="127" t="str">
        <f t="shared" si="4"/>
        <v/>
      </c>
      <c r="Z15" s="127" t="str">
        <f t="shared" si="4"/>
        <v/>
      </c>
      <c r="AA15" s="127" t="str">
        <f t="shared" si="4"/>
        <v/>
      </c>
      <c r="AB15" s="127" t="str">
        <f t="shared" si="4"/>
        <v/>
      </c>
      <c r="AC15" s="127" t="str">
        <f t="shared" si="4"/>
        <v/>
      </c>
      <c r="AD15" s="127" t="str">
        <f t="shared" si="4"/>
        <v/>
      </c>
      <c r="AE15" s="127" t="str">
        <f t="shared" si="4"/>
        <v/>
      </c>
      <c r="AF15" s="127" t="str">
        <f t="shared" si="4"/>
        <v/>
      </c>
      <c r="AG15" s="127" t="str">
        <f t="shared" si="4"/>
        <v/>
      </c>
      <c r="AH15" s="127" t="str">
        <f t="shared" ref="AH15:BS30" si="13">IF($E15=AH$3,"▲","")</f>
        <v/>
      </c>
      <c r="AI15" s="127" t="str">
        <f t="shared" si="13"/>
        <v/>
      </c>
      <c r="AJ15" s="127" t="str">
        <f t="shared" si="13"/>
        <v/>
      </c>
      <c r="AK15" s="127" t="str">
        <f t="shared" si="13"/>
        <v/>
      </c>
      <c r="AL15" s="127" t="str">
        <f t="shared" si="13"/>
        <v/>
      </c>
      <c r="AM15" s="127" t="str">
        <f t="shared" si="13"/>
        <v/>
      </c>
      <c r="AN15" s="127" t="str">
        <f t="shared" si="13"/>
        <v/>
      </c>
      <c r="AO15" s="127" t="str">
        <f t="shared" si="13"/>
        <v/>
      </c>
      <c r="AP15" s="127" t="str">
        <f t="shared" si="13"/>
        <v/>
      </c>
      <c r="AQ15" s="127" t="str">
        <f t="shared" si="13"/>
        <v/>
      </c>
      <c r="AR15" s="127" t="str">
        <f t="shared" si="13"/>
        <v/>
      </c>
      <c r="AS15" s="127" t="str">
        <f t="shared" si="13"/>
        <v/>
      </c>
      <c r="AT15" s="127" t="str">
        <f t="shared" si="13"/>
        <v/>
      </c>
      <c r="AU15" s="127" t="str">
        <f t="shared" si="13"/>
        <v/>
      </c>
      <c r="AV15" s="127" t="str">
        <f t="shared" si="13"/>
        <v/>
      </c>
      <c r="AW15" s="127" t="str">
        <f t="shared" si="13"/>
        <v/>
      </c>
      <c r="AX15" s="127" t="str">
        <f t="shared" si="13"/>
        <v/>
      </c>
      <c r="AY15" s="127" t="str">
        <f t="shared" si="13"/>
        <v/>
      </c>
      <c r="AZ15" s="127" t="str">
        <f t="shared" si="13"/>
        <v/>
      </c>
      <c r="BA15" s="127" t="str">
        <f t="shared" si="13"/>
        <v/>
      </c>
      <c r="BB15" s="127" t="str">
        <f t="shared" si="13"/>
        <v/>
      </c>
      <c r="BC15" s="127" t="str">
        <f t="shared" si="13"/>
        <v/>
      </c>
      <c r="BD15" s="127" t="str">
        <f t="shared" si="13"/>
        <v/>
      </c>
      <c r="BE15" s="127" t="str">
        <f t="shared" si="13"/>
        <v/>
      </c>
      <c r="BF15" s="127" t="str">
        <f t="shared" si="13"/>
        <v/>
      </c>
      <c r="BG15" s="127" t="str">
        <f t="shared" si="12"/>
        <v/>
      </c>
      <c r="BH15" s="127" t="str">
        <f t="shared" si="12"/>
        <v/>
      </c>
      <c r="BI15" s="127" t="str">
        <f t="shared" si="12"/>
        <v/>
      </c>
      <c r="BJ15" s="127" t="str">
        <f t="shared" si="12"/>
        <v/>
      </c>
      <c r="BK15" s="127" t="str">
        <f t="shared" si="12"/>
        <v/>
      </c>
      <c r="BL15" s="127" t="str">
        <f t="shared" si="12"/>
        <v/>
      </c>
      <c r="BM15" s="127" t="str">
        <f t="shared" si="12"/>
        <v/>
      </c>
      <c r="BN15" s="127" t="str">
        <f t="shared" si="12"/>
        <v/>
      </c>
      <c r="BO15" s="127" t="str">
        <f t="shared" si="12"/>
        <v/>
      </c>
      <c r="BP15" s="127" t="str">
        <f t="shared" si="12"/>
        <v/>
      </c>
      <c r="BQ15" s="127" t="str">
        <f t="shared" si="12"/>
        <v/>
      </c>
      <c r="BR15" s="127" t="str">
        <f t="shared" si="12"/>
        <v/>
      </c>
      <c r="BS15" s="127" t="str">
        <f t="shared" si="12"/>
        <v/>
      </c>
      <c r="BT15" s="127" t="str">
        <f t="shared" si="12"/>
        <v/>
      </c>
      <c r="BU15" s="127" t="str">
        <f t="shared" si="12"/>
        <v/>
      </c>
      <c r="BV15" s="127" t="str">
        <f t="shared" si="12"/>
        <v/>
      </c>
      <c r="BW15" s="127" t="str">
        <f t="shared" si="12"/>
        <v/>
      </c>
      <c r="BX15" s="127" t="str">
        <f t="shared" si="6"/>
        <v/>
      </c>
      <c r="BY15" s="127" t="str">
        <f t="shared" si="6"/>
        <v/>
      </c>
      <c r="BZ15" s="127" t="str">
        <f t="shared" si="6"/>
        <v/>
      </c>
      <c r="CA15" s="127" t="str">
        <f t="shared" si="6"/>
        <v/>
      </c>
      <c r="CB15" s="127" t="str">
        <f t="shared" si="6"/>
        <v/>
      </c>
      <c r="CC15" s="127" t="str">
        <f t="shared" si="6"/>
        <v/>
      </c>
      <c r="CD15" s="127" t="str">
        <f t="shared" si="6"/>
        <v/>
      </c>
      <c r="CE15" s="127" t="str">
        <f t="shared" si="6"/>
        <v/>
      </c>
    </row>
    <row r="16" spans="1:83" ht="12.6" customHeight="1" x14ac:dyDescent="0.2">
      <c r="A16" s="106">
        <f>SHIPMENTS!A22</f>
        <v>8765</v>
      </c>
      <c r="B16" s="106" t="str">
        <f>SHIPMENTS!B22</f>
        <v>8200-AUSTRALIA</v>
      </c>
      <c r="C16" s="132">
        <f>SHIPMENTS!F22</f>
        <v>64.930000000000007</v>
      </c>
      <c r="D16" s="107" t="str">
        <f>IF((SHIPMENTS!I22)=0,"",SHIPMENTS!I22)</f>
        <v>1X40HC</v>
      </c>
      <c r="E16" s="176">
        <f>IF((SHIPMENTS!G22)=0,"",SHIPMENTS!G22)</f>
        <v>46316</v>
      </c>
      <c r="F16" s="97">
        <f>VLOOKUP(A16,Items!$A$5:$J$1000,2,0)</f>
        <v>4</v>
      </c>
      <c r="G16" s="98">
        <f>VLOOKUP(A16,load!$A$4:$U$5001,10,0)</f>
        <v>14.103333333333333</v>
      </c>
      <c r="H16" s="97">
        <v>13</v>
      </c>
      <c r="I16" s="98">
        <f t="shared" si="7"/>
        <v>118.3</v>
      </c>
      <c r="J16" s="99">
        <f t="shared" si="0"/>
        <v>0.1192166807551423</v>
      </c>
      <c r="K16" s="99">
        <f t="shared" si="8"/>
        <v>1.084871794871795</v>
      </c>
      <c r="L16" s="98">
        <f t="shared" si="1"/>
        <v>0.1192166807551423</v>
      </c>
      <c r="M16" s="98">
        <f t="shared" si="2"/>
        <v>1.084871794871795</v>
      </c>
      <c r="N16" s="181">
        <f t="shared" si="10"/>
        <v>46321.01645533953</v>
      </c>
      <c r="O16" s="181">
        <f t="shared" si="11"/>
        <v>46321.135672020282</v>
      </c>
      <c r="P16" s="112">
        <f>VLOOKUP(A16,SHIPMENTS!$A$7:$AP$76,41,0)</f>
        <v>0</v>
      </c>
      <c r="Q16" s="101"/>
      <c r="R16" s="127" t="str">
        <f t="shared" si="4"/>
        <v/>
      </c>
      <c r="S16" s="127" t="str">
        <f t="shared" si="4"/>
        <v/>
      </c>
      <c r="T16" s="127" t="str">
        <f t="shared" si="4"/>
        <v>▲</v>
      </c>
      <c r="U16" s="127" t="str">
        <f t="shared" si="4"/>
        <v/>
      </c>
      <c r="V16" s="127" t="str">
        <f t="shared" si="4"/>
        <v/>
      </c>
      <c r="W16" s="127" t="str">
        <f t="shared" si="4"/>
        <v/>
      </c>
      <c r="X16" s="127" t="str">
        <f t="shared" si="4"/>
        <v/>
      </c>
      <c r="Y16" s="127" t="str">
        <f t="shared" si="4"/>
        <v/>
      </c>
      <c r="Z16" s="127" t="str">
        <f t="shared" si="4"/>
        <v/>
      </c>
      <c r="AA16" s="127" t="str">
        <f t="shared" si="4"/>
        <v/>
      </c>
      <c r="AB16" s="127" t="str">
        <f t="shared" si="4"/>
        <v/>
      </c>
      <c r="AC16" s="127" t="str">
        <f t="shared" si="4"/>
        <v/>
      </c>
      <c r="AD16" s="127" t="str">
        <f t="shared" si="4"/>
        <v/>
      </c>
      <c r="AE16" s="127" t="str">
        <f t="shared" si="4"/>
        <v/>
      </c>
      <c r="AF16" s="127" t="str">
        <f t="shared" si="4"/>
        <v/>
      </c>
      <c r="AG16" s="127" t="str">
        <f t="shared" si="4"/>
        <v/>
      </c>
      <c r="AH16" s="127" t="str">
        <f t="shared" si="13"/>
        <v/>
      </c>
      <c r="AI16" s="127" t="str">
        <f t="shared" si="13"/>
        <v/>
      </c>
      <c r="AJ16" s="127" t="str">
        <f t="shared" si="13"/>
        <v/>
      </c>
      <c r="AK16" s="127" t="str">
        <f t="shared" si="13"/>
        <v/>
      </c>
      <c r="AL16" s="127" t="str">
        <f t="shared" si="13"/>
        <v/>
      </c>
      <c r="AM16" s="127" t="str">
        <f t="shared" si="13"/>
        <v/>
      </c>
      <c r="AN16" s="127" t="str">
        <f t="shared" si="13"/>
        <v/>
      </c>
      <c r="AO16" s="127" t="str">
        <f t="shared" si="13"/>
        <v/>
      </c>
      <c r="AP16" s="127" t="str">
        <f t="shared" si="13"/>
        <v/>
      </c>
      <c r="AQ16" s="127" t="str">
        <f t="shared" si="13"/>
        <v/>
      </c>
      <c r="AR16" s="127" t="str">
        <f t="shared" si="13"/>
        <v/>
      </c>
      <c r="AS16" s="127" t="str">
        <f t="shared" si="13"/>
        <v/>
      </c>
      <c r="AT16" s="127" t="str">
        <f t="shared" si="13"/>
        <v/>
      </c>
      <c r="AU16" s="127" t="str">
        <f t="shared" si="13"/>
        <v/>
      </c>
      <c r="AV16" s="127" t="str">
        <f t="shared" si="13"/>
        <v/>
      </c>
      <c r="AW16" s="127" t="str">
        <f t="shared" si="13"/>
        <v/>
      </c>
      <c r="AX16" s="127" t="str">
        <f t="shared" si="13"/>
        <v/>
      </c>
      <c r="AY16" s="127" t="str">
        <f t="shared" si="13"/>
        <v/>
      </c>
      <c r="AZ16" s="127" t="str">
        <f t="shared" si="13"/>
        <v/>
      </c>
      <c r="BA16" s="127" t="str">
        <f t="shared" si="13"/>
        <v/>
      </c>
      <c r="BB16" s="127" t="str">
        <f t="shared" si="13"/>
        <v/>
      </c>
      <c r="BC16" s="127" t="str">
        <f t="shared" si="13"/>
        <v/>
      </c>
      <c r="BD16" s="127" t="str">
        <f t="shared" si="13"/>
        <v/>
      </c>
      <c r="BE16" s="127" t="str">
        <f t="shared" si="13"/>
        <v/>
      </c>
      <c r="BF16" s="127" t="str">
        <f t="shared" si="13"/>
        <v/>
      </c>
      <c r="BG16" s="127" t="str">
        <f t="shared" si="12"/>
        <v/>
      </c>
      <c r="BH16" s="127" t="str">
        <f t="shared" si="12"/>
        <v/>
      </c>
      <c r="BI16" s="127" t="str">
        <f t="shared" si="12"/>
        <v/>
      </c>
      <c r="BJ16" s="127" t="str">
        <f t="shared" si="12"/>
        <v/>
      </c>
      <c r="BK16" s="127" t="str">
        <f t="shared" si="12"/>
        <v/>
      </c>
      <c r="BL16" s="127" t="str">
        <f t="shared" si="12"/>
        <v/>
      </c>
      <c r="BM16" s="127" t="str">
        <f t="shared" si="12"/>
        <v/>
      </c>
      <c r="BN16" s="127" t="str">
        <f t="shared" si="12"/>
        <v/>
      </c>
      <c r="BO16" s="127" t="str">
        <f t="shared" si="12"/>
        <v/>
      </c>
      <c r="BP16" s="127" t="str">
        <f t="shared" si="12"/>
        <v/>
      </c>
      <c r="BQ16" s="127" t="str">
        <f t="shared" si="12"/>
        <v/>
      </c>
      <c r="BR16" s="127" t="str">
        <f t="shared" si="12"/>
        <v/>
      </c>
      <c r="BS16" s="127" t="str">
        <f t="shared" si="12"/>
        <v/>
      </c>
      <c r="BT16" s="127" t="str">
        <f t="shared" si="12"/>
        <v/>
      </c>
      <c r="BU16" s="127" t="str">
        <f t="shared" si="12"/>
        <v/>
      </c>
      <c r="BV16" s="127" t="str">
        <f t="shared" si="12"/>
        <v/>
      </c>
      <c r="BW16" s="127" t="str">
        <f t="shared" si="12"/>
        <v/>
      </c>
      <c r="BX16" s="127" t="str">
        <f t="shared" si="6"/>
        <v/>
      </c>
      <c r="BY16" s="127" t="str">
        <f t="shared" si="6"/>
        <v/>
      </c>
      <c r="BZ16" s="127" t="str">
        <f t="shared" si="6"/>
        <v/>
      </c>
      <c r="CA16" s="127" t="str">
        <f t="shared" si="6"/>
        <v/>
      </c>
      <c r="CB16" s="127" t="str">
        <f t="shared" si="6"/>
        <v/>
      </c>
      <c r="CC16" s="127" t="str">
        <f t="shared" si="6"/>
        <v/>
      </c>
      <c r="CD16" s="127" t="str">
        <f t="shared" si="6"/>
        <v/>
      </c>
      <c r="CE16" s="127" t="str">
        <f t="shared" si="6"/>
        <v/>
      </c>
    </row>
    <row r="17" spans="1:83" ht="12.6" hidden="1" customHeight="1" x14ac:dyDescent="0.2">
      <c r="A17" s="106">
        <f>SHIPMENTS!A23</f>
        <v>7919</v>
      </c>
      <c r="B17" s="106" t="str">
        <f>SHIPMENTS!B23</f>
        <v>8200-AUSTRALIA</v>
      </c>
      <c r="C17" s="132">
        <f>SHIPMENTS!F23</f>
        <v>0</v>
      </c>
      <c r="D17" s="107" t="str">
        <f>IF((SHIPMENTS!I23)=0,"",SHIPMENTS!I23)</f>
        <v/>
      </c>
      <c r="E17" s="176" t="str">
        <f>IF((SHIPMENTS!G23)=0,"",SHIPMENTS!G23)</f>
        <v/>
      </c>
      <c r="F17" s="97">
        <f>VLOOKUP(A17,Items!$A$5:$J$1000,2,0)</f>
        <v>0</v>
      </c>
      <c r="G17" s="98">
        <f>VLOOKUP(A17,load!$A$4:$U$5001,10,0)</f>
        <v>0</v>
      </c>
      <c r="H17" s="97">
        <v>13</v>
      </c>
      <c r="I17" s="98">
        <f t="shared" si="7"/>
        <v>118.3</v>
      </c>
      <c r="J17" s="99">
        <f t="shared" si="0"/>
        <v>0</v>
      </c>
      <c r="K17" s="99">
        <f t="shared" si="8"/>
        <v>0</v>
      </c>
      <c r="L17" s="98">
        <f t="shared" si="1"/>
        <v>0</v>
      </c>
      <c r="M17" s="98">
        <f t="shared" si="2"/>
        <v>0</v>
      </c>
      <c r="N17" s="181">
        <f t="shared" si="10"/>
        <v>46321.135672020282</v>
      </c>
      <c r="O17" s="181">
        <f t="shared" si="11"/>
        <v>46321.135672020282</v>
      </c>
      <c r="P17" s="112" t="str">
        <f>VLOOKUP(A17,SHIPMENTS!$A$7:$AP$76,41,0)</f>
        <v>n/a</v>
      </c>
      <c r="Q17" s="101"/>
      <c r="R17" s="127" t="str">
        <f t="shared" si="4"/>
        <v/>
      </c>
      <c r="S17" s="127" t="str">
        <f t="shared" si="4"/>
        <v/>
      </c>
      <c r="T17" s="127" t="str">
        <f t="shared" si="4"/>
        <v/>
      </c>
      <c r="U17" s="127" t="str">
        <f t="shared" si="4"/>
        <v/>
      </c>
      <c r="V17" s="127" t="str">
        <f t="shared" si="4"/>
        <v/>
      </c>
      <c r="W17" s="127" t="str">
        <f t="shared" si="4"/>
        <v/>
      </c>
      <c r="X17" s="127" t="str">
        <f t="shared" si="4"/>
        <v/>
      </c>
      <c r="Y17" s="127" t="str">
        <f t="shared" si="4"/>
        <v/>
      </c>
      <c r="Z17" s="127" t="str">
        <f t="shared" si="4"/>
        <v/>
      </c>
      <c r="AA17" s="127" t="str">
        <f t="shared" si="4"/>
        <v/>
      </c>
      <c r="AB17" s="127" t="str">
        <f t="shared" si="4"/>
        <v/>
      </c>
      <c r="AC17" s="127" t="str">
        <f t="shared" si="4"/>
        <v/>
      </c>
      <c r="AD17" s="127" t="str">
        <f t="shared" si="4"/>
        <v/>
      </c>
      <c r="AE17" s="127" t="str">
        <f t="shared" si="4"/>
        <v/>
      </c>
      <c r="AF17" s="127" t="str">
        <f t="shared" si="4"/>
        <v/>
      </c>
      <c r="AG17" s="127" t="str">
        <f t="shared" si="4"/>
        <v/>
      </c>
      <c r="AH17" s="127" t="str">
        <f t="shared" si="13"/>
        <v/>
      </c>
      <c r="AI17" s="127" t="str">
        <f t="shared" si="13"/>
        <v/>
      </c>
      <c r="AJ17" s="127" t="str">
        <f t="shared" si="13"/>
        <v/>
      </c>
      <c r="AK17" s="127" t="str">
        <f t="shared" si="13"/>
        <v/>
      </c>
      <c r="AL17" s="127" t="str">
        <f t="shared" si="13"/>
        <v/>
      </c>
      <c r="AM17" s="127" t="str">
        <f t="shared" si="13"/>
        <v/>
      </c>
      <c r="AN17" s="127" t="str">
        <f t="shared" si="13"/>
        <v/>
      </c>
      <c r="AO17" s="127" t="str">
        <f t="shared" si="13"/>
        <v/>
      </c>
      <c r="AP17" s="127" t="str">
        <f t="shared" si="13"/>
        <v/>
      </c>
      <c r="AQ17" s="127" t="str">
        <f t="shared" si="13"/>
        <v/>
      </c>
      <c r="AR17" s="127" t="str">
        <f t="shared" si="13"/>
        <v/>
      </c>
      <c r="AS17" s="127" t="str">
        <f t="shared" si="13"/>
        <v/>
      </c>
      <c r="AT17" s="127" t="str">
        <f t="shared" si="13"/>
        <v/>
      </c>
      <c r="AU17" s="127" t="str">
        <f t="shared" si="13"/>
        <v/>
      </c>
      <c r="AV17" s="127" t="str">
        <f t="shared" si="13"/>
        <v/>
      </c>
      <c r="AW17" s="127" t="str">
        <f t="shared" si="13"/>
        <v/>
      </c>
      <c r="AX17" s="127" t="str">
        <f t="shared" si="13"/>
        <v/>
      </c>
      <c r="AY17" s="127" t="str">
        <f t="shared" si="13"/>
        <v/>
      </c>
      <c r="AZ17" s="127" t="str">
        <f t="shared" si="13"/>
        <v/>
      </c>
      <c r="BA17" s="127" t="str">
        <f t="shared" si="13"/>
        <v/>
      </c>
      <c r="BB17" s="127" t="str">
        <f t="shared" si="13"/>
        <v/>
      </c>
      <c r="BC17" s="127" t="str">
        <f t="shared" si="13"/>
        <v/>
      </c>
      <c r="BD17" s="127" t="str">
        <f t="shared" si="13"/>
        <v/>
      </c>
      <c r="BE17" s="127" t="str">
        <f t="shared" si="13"/>
        <v/>
      </c>
      <c r="BF17" s="127" t="str">
        <f t="shared" si="13"/>
        <v/>
      </c>
      <c r="BG17" s="127" t="str">
        <f t="shared" si="12"/>
        <v/>
      </c>
      <c r="BH17" s="127" t="str">
        <f t="shared" si="12"/>
        <v/>
      </c>
      <c r="BI17" s="127" t="str">
        <f t="shared" si="12"/>
        <v/>
      </c>
      <c r="BJ17" s="127" t="str">
        <f t="shared" si="12"/>
        <v/>
      </c>
      <c r="BK17" s="127" t="str">
        <f t="shared" si="12"/>
        <v/>
      </c>
      <c r="BL17" s="127" t="str">
        <f t="shared" si="12"/>
        <v/>
      </c>
      <c r="BM17" s="127" t="str">
        <f t="shared" si="12"/>
        <v/>
      </c>
      <c r="BN17" s="127" t="str">
        <f t="shared" si="12"/>
        <v/>
      </c>
      <c r="BO17" s="127" t="str">
        <f t="shared" si="12"/>
        <v/>
      </c>
      <c r="BP17" s="127" t="str">
        <f t="shared" si="12"/>
        <v/>
      </c>
      <c r="BQ17" s="127" t="str">
        <f t="shared" si="12"/>
        <v/>
      </c>
      <c r="BR17" s="127" t="str">
        <f t="shared" si="12"/>
        <v/>
      </c>
      <c r="BS17" s="127" t="str">
        <f t="shared" si="12"/>
        <v/>
      </c>
      <c r="BT17" s="127" t="str">
        <f t="shared" si="12"/>
        <v/>
      </c>
      <c r="BU17" s="127" t="str">
        <f t="shared" si="12"/>
        <v/>
      </c>
      <c r="BV17" s="127" t="str">
        <f t="shared" si="12"/>
        <v/>
      </c>
      <c r="BW17" s="127" t="str">
        <f t="shared" si="12"/>
        <v/>
      </c>
      <c r="BX17" s="127" t="str">
        <f t="shared" si="6"/>
        <v/>
      </c>
      <c r="BY17" s="127" t="str">
        <f t="shared" si="6"/>
        <v/>
      </c>
      <c r="BZ17" s="127" t="str">
        <f t="shared" si="6"/>
        <v/>
      </c>
      <c r="CA17" s="127" t="str">
        <f t="shared" si="6"/>
        <v/>
      </c>
      <c r="CB17" s="127" t="str">
        <f t="shared" si="6"/>
        <v/>
      </c>
      <c r="CC17" s="127" t="str">
        <f t="shared" si="6"/>
        <v/>
      </c>
      <c r="CD17" s="127" t="str">
        <f t="shared" si="6"/>
        <v/>
      </c>
      <c r="CE17" s="127" t="str">
        <f t="shared" si="6"/>
        <v/>
      </c>
    </row>
    <row r="18" spans="1:83" ht="12.6" hidden="1" customHeight="1" x14ac:dyDescent="0.2">
      <c r="A18" s="106">
        <f>SHIPMENTS!A24</f>
        <v>9015</v>
      </c>
      <c r="B18" s="106" t="str">
        <f>SHIPMENTS!B24</f>
        <v>15900- Mandaue City | Atty. Brando Raya</v>
      </c>
      <c r="C18" s="132">
        <f>SHIPMENTS!F24</f>
        <v>0.25600000000000001</v>
      </c>
      <c r="D18" s="107" t="str">
        <f>IF((SHIPMENTS!I24)=0,"",SHIPMENTS!I24)</f>
        <v>LCL</v>
      </c>
      <c r="E18" s="176">
        <f>IF((SHIPMENTS!G24)=0,"",SHIPMENTS!G24)</f>
        <v>46323</v>
      </c>
      <c r="F18" s="97">
        <f>VLOOKUP(A18,Items!$A$5:$J$1000,2,0)</f>
        <v>0</v>
      </c>
      <c r="G18" s="98">
        <f>VLOOKUP(A18,load!$A$4:$U$5001,10,0)</f>
        <v>0</v>
      </c>
      <c r="H18" s="97">
        <v>13</v>
      </c>
      <c r="I18" s="98">
        <f t="shared" si="7"/>
        <v>118.3</v>
      </c>
      <c r="J18" s="99">
        <f t="shared" si="0"/>
        <v>0</v>
      </c>
      <c r="K18" s="99">
        <f t="shared" si="8"/>
        <v>0</v>
      </c>
      <c r="L18" s="98">
        <f t="shared" si="1"/>
        <v>0</v>
      </c>
      <c r="M18" s="98">
        <f t="shared" si="2"/>
        <v>0</v>
      </c>
      <c r="N18" s="181">
        <f t="shared" si="10"/>
        <v>46321.135672020282</v>
      </c>
      <c r="O18" s="181">
        <f t="shared" si="11"/>
        <v>46321.135672020282</v>
      </c>
      <c r="P18" s="112" t="str">
        <f>VLOOKUP(A18,SHIPMENTS!$A$7:$AP$76,41,0)</f>
        <v>n/a</v>
      </c>
      <c r="Q18" s="101"/>
      <c r="R18" s="127" t="str">
        <f t="shared" si="4"/>
        <v/>
      </c>
      <c r="S18" s="127" t="str">
        <f t="shared" si="4"/>
        <v/>
      </c>
      <c r="T18" s="127" t="str">
        <f t="shared" si="4"/>
        <v/>
      </c>
      <c r="U18" s="127" t="str">
        <f t="shared" si="4"/>
        <v/>
      </c>
      <c r="V18" s="127" t="str">
        <f t="shared" si="4"/>
        <v/>
      </c>
      <c r="W18" s="127" t="str">
        <f t="shared" si="4"/>
        <v/>
      </c>
      <c r="X18" s="127" t="str">
        <f t="shared" si="4"/>
        <v/>
      </c>
      <c r="Y18" s="127" t="str">
        <f t="shared" si="4"/>
        <v/>
      </c>
      <c r="Z18" s="127" t="str">
        <f t="shared" si="4"/>
        <v>▲</v>
      </c>
      <c r="AA18" s="127" t="str">
        <f t="shared" si="4"/>
        <v/>
      </c>
      <c r="AB18" s="127" t="str">
        <f t="shared" si="4"/>
        <v/>
      </c>
      <c r="AC18" s="127" t="str">
        <f t="shared" si="4"/>
        <v/>
      </c>
      <c r="AD18" s="127" t="str">
        <f t="shared" si="4"/>
        <v/>
      </c>
      <c r="AE18" s="127" t="str">
        <f t="shared" si="4"/>
        <v/>
      </c>
      <c r="AF18" s="127" t="str">
        <f t="shared" si="4"/>
        <v/>
      </c>
      <c r="AG18" s="127" t="str">
        <f t="shared" si="4"/>
        <v/>
      </c>
      <c r="AH18" s="127" t="str">
        <f t="shared" si="13"/>
        <v/>
      </c>
      <c r="AI18" s="127" t="str">
        <f t="shared" si="13"/>
        <v/>
      </c>
      <c r="AJ18" s="127" t="str">
        <f t="shared" si="13"/>
        <v/>
      </c>
      <c r="AK18" s="127" t="str">
        <f t="shared" si="13"/>
        <v/>
      </c>
      <c r="AL18" s="127" t="str">
        <f t="shared" si="13"/>
        <v/>
      </c>
      <c r="AM18" s="127" t="str">
        <f t="shared" si="13"/>
        <v/>
      </c>
      <c r="AN18" s="127" t="str">
        <f t="shared" si="13"/>
        <v/>
      </c>
      <c r="AO18" s="127" t="str">
        <f t="shared" si="13"/>
        <v/>
      </c>
      <c r="AP18" s="127" t="str">
        <f t="shared" si="13"/>
        <v/>
      </c>
      <c r="AQ18" s="127" t="str">
        <f t="shared" si="13"/>
        <v/>
      </c>
      <c r="AR18" s="127" t="str">
        <f t="shared" si="13"/>
        <v/>
      </c>
      <c r="AS18" s="127" t="str">
        <f t="shared" si="13"/>
        <v/>
      </c>
      <c r="AT18" s="127" t="str">
        <f t="shared" si="13"/>
        <v/>
      </c>
      <c r="AU18" s="127" t="str">
        <f t="shared" si="13"/>
        <v/>
      </c>
      <c r="AV18" s="127" t="str">
        <f t="shared" si="13"/>
        <v/>
      </c>
      <c r="AW18" s="127" t="str">
        <f t="shared" si="13"/>
        <v/>
      </c>
      <c r="AX18" s="127" t="str">
        <f t="shared" si="13"/>
        <v/>
      </c>
      <c r="AY18" s="127" t="str">
        <f t="shared" si="13"/>
        <v/>
      </c>
      <c r="AZ18" s="127" t="str">
        <f t="shared" si="13"/>
        <v/>
      </c>
      <c r="BA18" s="127" t="str">
        <f t="shared" si="13"/>
        <v/>
      </c>
      <c r="BB18" s="127" t="str">
        <f t="shared" si="13"/>
        <v/>
      </c>
      <c r="BC18" s="127" t="str">
        <f t="shared" si="13"/>
        <v/>
      </c>
      <c r="BD18" s="127" t="str">
        <f t="shared" si="13"/>
        <v/>
      </c>
      <c r="BE18" s="127" t="str">
        <f t="shared" si="13"/>
        <v/>
      </c>
      <c r="BF18" s="127" t="str">
        <f t="shared" si="13"/>
        <v/>
      </c>
      <c r="BG18" s="127" t="str">
        <f t="shared" si="12"/>
        <v/>
      </c>
      <c r="BH18" s="127" t="str">
        <f t="shared" si="12"/>
        <v/>
      </c>
      <c r="BI18" s="127" t="str">
        <f t="shared" si="12"/>
        <v/>
      </c>
      <c r="BJ18" s="127" t="str">
        <f t="shared" si="12"/>
        <v/>
      </c>
      <c r="BK18" s="127" t="str">
        <f t="shared" si="12"/>
        <v/>
      </c>
      <c r="BL18" s="127" t="str">
        <f t="shared" si="12"/>
        <v/>
      </c>
      <c r="BM18" s="127" t="str">
        <f t="shared" si="12"/>
        <v/>
      </c>
      <c r="BN18" s="127" t="str">
        <f t="shared" si="12"/>
        <v/>
      </c>
      <c r="BO18" s="127" t="str">
        <f t="shared" si="12"/>
        <v/>
      </c>
      <c r="BP18" s="127" t="str">
        <f t="shared" si="12"/>
        <v/>
      </c>
      <c r="BQ18" s="127" t="str">
        <f t="shared" si="12"/>
        <v/>
      </c>
      <c r="BR18" s="127" t="str">
        <f t="shared" si="12"/>
        <v/>
      </c>
      <c r="BS18" s="127" t="str">
        <f t="shared" si="12"/>
        <v/>
      </c>
      <c r="BT18" s="127" t="str">
        <f t="shared" si="12"/>
        <v/>
      </c>
      <c r="BU18" s="127" t="str">
        <f t="shared" si="12"/>
        <v/>
      </c>
      <c r="BV18" s="127" t="str">
        <f t="shared" si="12"/>
        <v/>
      </c>
      <c r="BW18" s="127" t="str">
        <f t="shared" si="12"/>
        <v/>
      </c>
      <c r="BX18" s="127" t="str">
        <f t="shared" si="6"/>
        <v/>
      </c>
      <c r="BY18" s="127" t="str">
        <f t="shared" si="6"/>
        <v/>
      </c>
      <c r="BZ18" s="127" t="str">
        <f t="shared" si="6"/>
        <v/>
      </c>
      <c r="CA18" s="127" t="str">
        <f t="shared" si="6"/>
        <v/>
      </c>
      <c r="CB18" s="127" t="str">
        <f t="shared" si="6"/>
        <v/>
      </c>
      <c r="CC18" s="127" t="str">
        <f t="shared" si="6"/>
        <v/>
      </c>
      <c r="CD18" s="127" t="str">
        <f t="shared" si="6"/>
        <v/>
      </c>
      <c r="CE18" s="127" t="str">
        <f t="shared" si="6"/>
        <v/>
      </c>
    </row>
    <row r="19" spans="1:83" ht="12.6" hidden="1" customHeight="1" x14ac:dyDescent="0.2">
      <c r="A19" s="106">
        <f>SHIPMENTS!A25</f>
        <v>9063</v>
      </c>
      <c r="B19" s="106" t="str">
        <f>SHIPMENTS!B25</f>
        <v>15900- Borongan City | Kookie Lim Uy / 3K Salon And Spa</v>
      </c>
      <c r="C19" s="132">
        <f>SHIPMENTS!F25</f>
        <v>0.12</v>
      </c>
      <c r="D19" s="107" t="str">
        <f>IF((SHIPMENTS!I25)=0,"",SHIPMENTS!I25)</f>
        <v/>
      </c>
      <c r="E19" s="176">
        <f>IF((SHIPMENTS!G25)=0,"",SHIPMENTS!G25)</f>
        <v>46323</v>
      </c>
      <c r="F19" s="97">
        <f>VLOOKUP(A19,Items!$A$5:$J$1000,2,0)</f>
        <v>0</v>
      </c>
      <c r="G19" s="98">
        <f>VLOOKUP(A19,load!$A$4:$U$5001,10,0)</f>
        <v>0</v>
      </c>
      <c r="H19" s="97">
        <v>13</v>
      </c>
      <c r="I19" s="98">
        <f t="shared" si="7"/>
        <v>118.3</v>
      </c>
      <c r="J19" s="99">
        <f t="shared" si="0"/>
        <v>0</v>
      </c>
      <c r="K19" s="99">
        <f t="shared" si="8"/>
        <v>0</v>
      </c>
      <c r="L19" s="98">
        <f t="shared" si="1"/>
        <v>0</v>
      </c>
      <c r="M19" s="98">
        <f t="shared" si="2"/>
        <v>0</v>
      </c>
      <c r="N19" s="181">
        <f t="shared" si="10"/>
        <v>46321.135672020282</v>
      </c>
      <c r="O19" s="181">
        <f t="shared" si="11"/>
        <v>46321.135672020282</v>
      </c>
      <c r="P19" s="112" t="str">
        <f>VLOOKUP(A19,SHIPMENTS!$A$7:$AP$76,41,0)</f>
        <v>n/a</v>
      </c>
      <c r="Q19" s="101"/>
      <c r="R19" s="127" t="str">
        <f t="shared" si="4"/>
        <v/>
      </c>
      <c r="S19" s="127" t="str">
        <f t="shared" si="4"/>
        <v/>
      </c>
      <c r="T19" s="127" t="str">
        <f t="shared" si="4"/>
        <v/>
      </c>
      <c r="U19" s="127" t="str">
        <f t="shared" si="4"/>
        <v/>
      </c>
      <c r="V19" s="127" t="str">
        <f t="shared" si="4"/>
        <v/>
      </c>
      <c r="W19" s="127" t="str">
        <f t="shared" si="4"/>
        <v/>
      </c>
      <c r="X19" s="127" t="str">
        <f t="shared" si="4"/>
        <v/>
      </c>
      <c r="Y19" s="127" t="str">
        <f t="shared" si="4"/>
        <v/>
      </c>
      <c r="Z19" s="127" t="str">
        <f t="shared" si="4"/>
        <v>▲</v>
      </c>
      <c r="AA19" s="127" t="str">
        <f t="shared" si="4"/>
        <v/>
      </c>
      <c r="AB19" s="127" t="str">
        <f t="shared" si="4"/>
        <v/>
      </c>
      <c r="AC19" s="127" t="str">
        <f t="shared" si="4"/>
        <v/>
      </c>
      <c r="AD19" s="127" t="str">
        <f t="shared" si="4"/>
        <v/>
      </c>
      <c r="AE19" s="127" t="str">
        <f t="shared" si="4"/>
        <v/>
      </c>
      <c r="AF19" s="127" t="str">
        <f t="shared" si="4"/>
        <v/>
      </c>
      <c r="AG19" s="127" t="str">
        <f t="shared" si="4"/>
        <v/>
      </c>
      <c r="AH19" s="127" t="str">
        <f t="shared" si="13"/>
        <v/>
      </c>
      <c r="AI19" s="127" t="str">
        <f t="shared" si="13"/>
        <v/>
      </c>
      <c r="AJ19" s="127" t="str">
        <f t="shared" si="13"/>
        <v/>
      </c>
      <c r="AK19" s="127" t="str">
        <f t="shared" si="13"/>
        <v/>
      </c>
      <c r="AL19" s="127" t="str">
        <f t="shared" si="13"/>
        <v/>
      </c>
      <c r="AM19" s="127" t="str">
        <f t="shared" si="13"/>
        <v/>
      </c>
      <c r="AN19" s="127" t="str">
        <f t="shared" si="13"/>
        <v/>
      </c>
      <c r="AO19" s="127" t="str">
        <f t="shared" si="13"/>
        <v/>
      </c>
      <c r="AP19" s="127" t="str">
        <f t="shared" si="13"/>
        <v/>
      </c>
      <c r="AQ19" s="127" t="str">
        <f t="shared" si="13"/>
        <v/>
      </c>
      <c r="AR19" s="127" t="str">
        <f t="shared" si="13"/>
        <v/>
      </c>
      <c r="AS19" s="127" t="str">
        <f t="shared" si="13"/>
        <v/>
      </c>
      <c r="AT19" s="127" t="str">
        <f t="shared" si="13"/>
        <v/>
      </c>
      <c r="AU19" s="127" t="str">
        <f t="shared" si="13"/>
        <v/>
      </c>
      <c r="AV19" s="127" t="str">
        <f t="shared" si="13"/>
        <v/>
      </c>
      <c r="AW19" s="127" t="str">
        <f t="shared" si="13"/>
        <v/>
      </c>
      <c r="AX19" s="127" t="str">
        <f t="shared" si="13"/>
        <v/>
      </c>
      <c r="AY19" s="127" t="str">
        <f t="shared" si="13"/>
        <v/>
      </c>
      <c r="AZ19" s="127" t="str">
        <f t="shared" si="13"/>
        <v/>
      </c>
      <c r="BA19" s="127" t="str">
        <f t="shared" si="13"/>
        <v/>
      </c>
      <c r="BB19" s="127" t="str">
        <f t="shared" si="13"/>
        <v/>
      </c>
      <c r="BC19" s="127" t="str">
        <f t="shared" si="13"/>
        <v/>
      </c>
      <c r="BD19" s="127" t="str">
        <f t="shared" si="13"/>
        <v/>
      </c>
      <c r="BE19" s="127" t="str">
        <f t="shared" si="13"/>
        <v/>
      </c>
      <c r="BF19" s="127" t="str">
        <f t="shared" si="13"/>
        <v/>
      </c>
      <c r="BG19" s="127" t="str">
        <f t="shared" si="12"/>
        <v/>
      </c>
      <c r="BH19" s="127" t="str">
        <f t="shared" si="12"/>
        <v/>
      </c>
      <c r="BI19" s="127" t="str">
        <f t="shared" si="12"/>
        <v/>
      </c>
      <c r="BJ19" s="127" t="str">
        <f t="shared" si="12"/>
        <v/>
      </c>
      <c r="BK19" s="127" t="str">
        <f t="shared" si="12"/>
        <v/>
      </c>
      <c r="BL19" s="127" t="str">
        <f t="shared" si="12"/>
        <v/>
      </c>
      <c r="BM19" s="127" t="str">
        <f t="shared" si="12"/>
        <v/>
      </c>
      <c r="BN19" s="127" t="str">
        <f t="shared" si="12"/>
        <v/>
      </c>
      <c r="BO19" s="127" t="str">
        <f t="shared" si="12"/>
        <v/>
      </c>
      <c r="BP19" s="127" t="str">
        <f t="shared" si="12"/>
        <v/>
      </c>
      <c r="BQ19" s="127" t="str">
        <f t="shared" si="12"/>
        <v/>
      </c>
      <c r="BR19" s="127" t="str">
        <f t="shared" si="12"/>
        <v/>
      </c>
      <c r="BS19" s="127" t="str">
        <f t="shared" si="12"/>
        <v/>
      </c>
      <c r="BT19" s="127" t="str">
        <f t="shared" si="12"/>
        <v/>
      </c>
      <c r="BU19" s="127" t="str">
        <f t="shared" si="12"/>
        <v/>
      </c>
      <c r="BV19" s="127" t="str">
        <f t="shared" si="12"/>
        <v/>
      </c>
      <c r="BW19" s="127" t="str">
        <f t="shared" si="12"/>
        <v/>
      </c>
      <c r="BX19" s="127" t="str">
        <f t="shared" si="6"/>
        <v/>
      </c>
      <c r="BY19" s="127" t="str">
        <f t="shared" si="6"/>
        <v/>
      </c>
      <c r="BZ19" s="127" t="str">
        <f t="shared" si="6"/>
        <v/>
      </c>
      <c r="CA19" s="127" t="str">
        <f t="shared" si="6"/>
        <v/>
      </c>
      <c r="CB19" s="127" t="str">
        <f t="shared" si="6"/>
        <v/>
      </c>
      <c r="CC19" s="127" t="str">
        <f t="shared" si="6"/>
        <v/>
      </c>
      <c r="CD19" s="127" t="str">
        <f t="shared" si="6"/>
        <v/>
      </c>
      <c r="CE19" s="127" t="str">
        <f t="shared" si="6"/>
        <v/>
      </c>
    </row>
    <row r="20" spans="1:83" ht="12.6" hidden="1" customHeight="1" x14ac:dyDescent="0.2">
      <c r="A20" s="106">
        <f>SHIPMENTS!A26</f>
        <v>9131</v>
      </c>
      <c r="B20" s="106" t="str">
        <f>SHIPMENTS!B26</f>
        <v>15900- Cagayan De Oro |Kevin Anthony Pilapil Lagumbay</v>
      </c>
      <c r="C20" s="132">
        <f>SHIPMENTS!F26</f>
        <v>0.12</v>
      </c>
      <c r="D20" s="107" t="str">
        <f>IF((SHIPMENTS!I26)=0,"",SHIPMENTS!I26)</f>
        <v/>
      </c>
      <c r="E20" s="176">
        <f>IF((SHIPMENTS!G26)=0,"",SHIPMENTS!G26)</f>
        <v>46323</v>
      </c>
      <c r="F20" s="97">
        <f>VLOOKUP(A20,Items!$A$5:$J$1000,2,0)</f>
        <v>0</v>
      </c>
      <c r="G20" s="98">
        <f>VLOOKUP(A20,load!$A$4:$U$5001,10,0)</f>
        <v>0</v>
      </c>
      <c r="H20" s="97">
        <v>13</v>
      </c>
      <c r="I20" s="98">
        <f t="shared" si="7"/>
        <v>118.3</v>
      </c>
      <c r="J20" s="99">
        <f t="shared" si="0"/>
        <v>0</v>
      </c>
      <c r="K20" s="99">
        <f t="shared" si="8"/>
        <v>0</v>
      </c>
      <c r="L20" s="98">
        <f t="shared" si="1"/>
        <v>0</v>
      </c>
      <c r="M20" s="98">
        <f t="shared" si="2"/>
        <v>0</v>
      </c>
      <c r="N20" s="181">
        <f t="shared" si="10"/>
        <v>46321.135672020282</v>
      </c>
      <c r="O20" s="181">
        <f t="shared" si="11"/>
        <v>46321.135672020282</v>
      </c>
      <c r="P20" s="112" t="str">
        <f>VLOOKUP(A20,SHIPMENTS!$A$7:$AP$76,41,0)</f>
        <v>n/a</v>
      </c>
      <c r="Q20" s="101"/>
      <c r="R20" s="127" t="str">
        <f t="shared" si="4"/>
        <v/>
      </c>
      <c r="S20" s="127" t="str">
        <f t="shared" si="4"/>
        <v/>
      </c>
      <c r="T20" s="127" t="str">
        <f t="shared" si="4"/>
        <v/>
      </c>
      <c r="U20" s="127" t="str">
        <f t="shared" si="4"/>
        <v/>
      </c>
      <c r="V20" s="127" t="str">
        <f t="shared" si="4"/>
        <v/>
      </c>
      <c r="W20" s="127" t="str">
        <f t="shared" si="4"/>
        <v/>
      </c>
      <c r="X20" s="127" t="str">
        <f t="shared" si="4"/>
        <v/>
      </c>
      <c r="Y20" s="127" t="str">
        <f t="shared" si="4"/>
        <v/>
      </c>
      <c r="Z20" s="127" t="str">
        <f t="shared" si="4"/>
        <v>▲</v>
      </c>
      <c r="AA20" s="127" t="str">
        <f t="shared" si="4"/>
        <v/>
      </c>
      <c r="AB20" s="127" t="str">
        <f t="shared" si="4"/>
        <v/>
      </c>
      <c r="AC20" s="127" t="str">
        <f t="shared" si="4"/>
        <v/>
      </c>
      <c r="AD20" s="127" t="str">
        <f t="shared" si="4"/>
        <v/>
      </c>
      <c r="AE20" s="127" t="str">
        <f t="shared" si="4"/>
        <v/>
      </c>
      <c r="AF20" s="127" t="str">
        <f t="shared" si="4"/>
        <v/>
      </c>
      <c r="AG20" s="127" t="str">
        <f t="shared" si="4"/>
        <v/>
      </c>
      <c r="AH20" s="127" t="str">
        <f t="shared" si="13"/>
        <v/>
      </c>
      <c r="AI20" s="127" t="str">
        <f t="shared" si="13"/>
        <v/>
      </c>
      <c r="AJ20" s="127" t="str">
        <f t="shared" si="13"/>
        <v/>
      </c>
      <c r="AK20" s="127" t="str">
        <f t="shared" si="13"/>
        <v/>
      </c>
      <c r="AL20" s="127" t="str">
        <f t="shared" si="13"/>
        <v/>
      </c>
      <c r="AM20" s="127" t="str">
        <f t="shared" si="13"/>
        <v/>
      </c>
      <c r="AN20" s="127" t="str">
        <f t="shared" si="13"/>
        <v/>
      </c>
      <c r="AO20" s="127" t="str">
        <f t="shared" si="13"/>
        <v/>
      </c>
      <c r="AP20" s="127" t="str">
        <f t="shared" si="13"/>
        <v/>
      </c>
      <c r="AQ20" s="127" t="str">
        <f t="shared" si="13"/>
        <v/>
      </c>
      <c r="AR20" s="127" t="str">
        <f t="shared" si="13"/>
        <v/>
      </c>
      <c r="AS20" s="127" t="str">
        <f t="shared" si="13"/>
        <v/>
      </c>
      <c r="AT20" s="127" t="str">
        <f t="shared" si="13"/>
        <v/>
      </c>
      <c r="AU20" s="127" t="str">
        <f t="shared" si="13"/>
        <v/>
      </c>
      <c r="AV20" s="127" t="str">
        <f t="shared" si="13"/>
        <v/>
      </c>
      <c r="AW20" s="127" t="str">
        <f t="shared" si="13"/>
        <v/>
      </c>
      <c r="AX20" s="127" t="str">
        <f t="shared" si="13"/>
        <v/>
      </c>
      <c r="AY20" s="127" t="str">
        <f t="shared" si="13"/>
        <v/>
      </c>
      <c r="AZ20" s="127" t="str">
        <f t="shared" si="13"/>
        <v/>
      </c>
      <c r="BA20" s="127" t="str">
        <f t="shared" si="13"/>
        <v/>
      </c>
      <c r="BB20" s="127" t="str">
        <f t="shared" si="13"/>
        <v/>
      </c>
      <c r="BC20" s="127" t="str">
        <f t="shared" si="13"/>
        <v/>
      </c>
      <c r="BD20" s="127" t="str">
        <f t="shared" si="13"/>
        <v/>
      </c>
      <c r="BE20" s="127" t="str">
        <f t="shared" si="13"/>
        <v/>
      </c>
      <c r="BF20" s="127" t="str">
        <f t="shared" si="13"/>
        <v/>
      </c>
      <c r="BG20" s="127" t="str">
        <f t="shared" si="12"/>
        <v/>
      </c>
      <c r="BH20" s="127" t="str">
        <f t="shared" si="12"/>
        <v/>
      </c>
      <c r="BI20" s="127" t="str">
        <f t="shared" si="12"/>
        <v/>
      </c>
      <c r="BJ20" s="127" t="str">
        <f t="shared" si="12"/>
        <v/>
      </c>
      <c r="BK20" s="127" t="str">
        <f t="shared" si="12"/>
        <v/>
      </c>
      <c r="BL20" s="127" t="str">
        <f t="shared" si="12"/>
        <v/>
      </c>
      <c r="BM20" s="127" t="str">
        <f t="shared" si="12"/>
        <v/>
      </c>
      <c r="BN20" s="127" t="str">
        <f t="shared" si="12"/>
        <v/>
      </c>
      <c r="BO20" s="127" t="str">
        <f t="shared" si="12"/>
        <v/>
      </c>
      <c r="BP20" s="127" t="str">
        <f t="shared" si="12"/>
        <v/>
      </c>
      <c r="BQ20" s="127" t="str">
        <f t="shared" si="12"/>
        <v/>
      </c>
      <c r="BR20" s="127" t="str">
        <f t="shared" si="12"/>
        <v/>
      </c>
      <c r="BS20" s="127" t="str">
        <f t="shared" si="12"/>
        <v/>
      </c>
      <c r="BT20" s="127" t="str">
        <f t="shared" si="12"/>
        <v/>
      </c>
      <c r="BU20" s="127" t="str">
        <f t="shared" si="12"/>
        <v/>
      </c>
      <c r="BV20" s="127" t="str">
        <f t="shared" si="12"/>
        <v/>
      </c>
      <c r="BW20" s="127" t="str">
        <f t="shared" si="12"/>
        <v/>
      </c>
      <c r="BX20" s="127" t="str">
        <f t="shared" si="6"/>
        <v/>
      </c>
      <c r="BY20" s="127" t="str">
        <f t="shared" si="6"/>
        <v/>
      </c>
      <c r="BZ20" s="127" t="str">
        <f t="shared" si="6"/>
        <v/>
      </c>
      <c r="CA20" s="127" t="str">
        <f t="shared" si="6"/>
        <v/>
      </c>
      <c r="CB20" s="127" t="str">
        <f t="shared" si="6"/>
        <v/>
      </c>
      <c r="CC20" s="127" t="str">
        <f t="shared" si="6"/>
        <v/>
      </c>
      <c r="CD20" s="127" t="str">
        <f t="shared" si="6"/>
        <v/>
      </c>
      <c r="CE20" s="127" t="str">
        <f t="shared" si="6"/>
        <v/>
      </c>
    </row>
    <row r="21" spans="1:83" ht="12.6" hidden="1" customHeight="1" x14ac:dyDescent="0.2">
      <c r="A21" s="106">
        <f>SHIPMENTS!A27</f>
        <v>9228</v>
      </c>
      <c r="B21" s="106" t="str">
        <f>SHIPMENTS!B27</f>
        <v>15900- Cebu City |Stephanie Sarmiento</v>
      </c>
      <c r="C21" s="132">
        <f>SHIPMENTS!F27</f>
        <v>0.16</v>
      </c>
      <c r="D21" s="107" t="str">
        <f>IF((SHIPMENTS!I27)=0,"",SHIPMENTS!I27)</f>
        <v/>
      </c>
      <c r="E21" s="176">
        <f>IF((SHIPMENTS!G27)=0,"",SHIPMENTS!G27)</f>
        <v>46323</v>
      </c>
      <c r="F21" s="97">
        <f>VLOOKUP(A21,Items!$A$5:$J$1000,2,0)</f>
        <v>0</v>
      </c>
      <c r="G21" s="98">
        <f>VLOOKUP(A21,load!$A$4:$U$5001,10,0)</f>
        <v>0</v>
      </c>
      <c r="H21" s="97">
        <v>13</v>
      </c>
      <c r="I21" s="98">
        <f t="shared" si="7"/>
        <v>118.3</v>
      </c>
      <c r="J21" s="99">
        <f t="shared" si="0"/>
        <v>0</v>
      </c>
      <c r="K21" s="99">
        <f t="shared" si="8"/>
        <v>0</v>
      </c>
      <c r="L21" s="98">
        <f t="shared" si="1"/>
        <v>0</v>
      </c>
      <c r="M21" s="98">
        <f t="shared" si="2"/>
        <v>0</v>
      </c>
      <c r="N21" s="181">
        <f t="shared" si="10"/>
        <v>46321.135672020282</v>
      </c>
      <c r="O21" s="181">
        <f t="shared" si="11"/>
        <v>46321.135672020282</v>
      </c>
      <c r="P21" s="112" t="str">
        <f>VLOOKUP(A21,SHIPMENTS!$A$7:$AP$76,41,0)</f>
        <v>n/a</v>
      </c>
      <c r="Q21" s="101"/>
      <c r="R21" s="127" t="str">
        <f t="shared" si="4"/>
        <v/>
      </c>
      <c r="S21" s="127" t="str">
        <f t="shared" si="4"/>
        <v/>
      </c>
      <c r="T21" s="127" t="str">
        <f t="shared" si="4"/>
        <v/>
      </c>
      <c r="U21" s="127" t="str">
        <f t="shared" si="4"/>
        <v/>
      </c>
      <c r="V21" s="127" t="str">
        <f t="shared" si="4"/>
        <v/>
      </c>
      <c r="W21" s="127" t="str">
        <f t="shared" si="4"/>
        <v/>
      </c>
      <c r="X21" s="127" t="str">
        <f t="shared" si="4"/>
        <v/>
      </c>
      <c r="Y21" s="127" t="str">
        <f t="shared" si="4"/>
        <v/>
      </c>
      <c r="Z21" s="127" t="str">
        <f t="shared" si="4"/>
        <v>▲</v>
      </c>
      <c r="AA21" s="127" t="str">
        <f t="shared" si="4"/>
        <v/>
      </c>
      <c r="AB21" s="127" t="str">
        <f t="shared" si="4"/>
        <v/>
      </c>
      <c r="AC21" s="127" t="str">
        <f t="shared" si="4"/>
        <v/>
      </c>
      <c r="AD21" s="127" t="str">
        <f t="shared" si="4"/>
        <v/>
      </c>
      <c r="AE21" s="127" t="str">
        <f t="shared" si="4"/>
        <v/>
      </c>
      <c r="AF21" s="127" t="str">
        <f t="shared" si="4"/>
        <v/>
      </c>
      <c r="AG21" s="127" t="str">
        <f t="shared" si="4"/>
        <v/>
      </c>
      <c r="AH21" s="127" t="str">
        <f t="shared" si="13"/>
        <v/>
      </c>
      <c r="AI21" s="127" t="str">
        <f t="shared" si="13"/>
        <v/>
      </c>
      <c r="AJ21" s="127" t="str">
        <f t="shared" si="13"/>
        <v/>
      </c>
      <c r="AK21" s="127" t="str">
        <f t="shared" si="13"/>
        <v/>
      </c>
      <c r="AL21" s="127" t="str">
        <f t="shared" si="13"/>
        <v/>
      </c>
      <c r="AM21" s="127" t="str">
        <f t="shared" si="13"/>
        <v/>
      </c>
      <c r="AN21" s="127" t="str">
        <f t="shared" si="13"/>
        <v/>
      </c>
      <c r="AO21" s="127" t="str">
        <f t="shared" si="13"/>
        <v/>
      </c>
      <c r="AP21" s="127" t="str">
        <f t="shared" si="13"/>
        <v/>
      </c>
      <c r="AQ21" s="127" t="str">
        <f t="shared" si="13"/>
        <v/>
      </c>
      <c r="AR21" s="127" t="str">
        <f t="shared" si="13"/>
        <v/>
      </c>
      <c r="AS21" s="127" t="str">
        <f t="shared" si="13"/>
        <v/>
      </c>
      <c r="AT21" s="127" t="str">
        <f t="shared" si="13"/>
        <v/>
      </c>
      <c r="AU21" s="127" t="str">
        <f t="shared" si="13"/>
        <v/>
      </c>
      <c r="AV21" s="127" t="str">
        <f t="shared" si="13"/>
        <v/>
      </c>
      <c r="AW21" s="127" t="str">
        <f t="shared" si="13"/>
        <v/>
      </c>
      <c r="AX21" s="127" t="str">
        <f t="shared" si="13"/>
        <v/>
      </c>
      <c r="AY21" s="127" t="str">
        <f t="shared" si="13"/>
        <v/>
      </c>
      <c r="AZ21" s="127" t="str">
        <f t="shared" si="13"/>
        <v/>
      </c>
      <c r="BA21" s="127" t="str">
        <f t="shared" si="13"/>
        <v/>
      </c>
      <c r="BB21" s="127" t="str">
        <f t="shared" si="13"/>
        <v/>
      </c>
      <c r="BC21" s="127" t="str">
        <f t="shared" si="13"/>
        <v/>
      </c>
      <c r="BD21" s="127" t="str">
        <f t="shared" si="13"/>
        <v/>
      </c>
      <c r="BE21" s="127" t="str">
        <f t="shared" si="13"/>
        <v/>
      </c>
      <c r="BF21" s="127" t="str">
        <f t="shared" si="13"/>
        <v/>
      </c>
      <c r="BG21" s="127" t="str">
        <f t="shared" si="13"/>
        <v/>
      </c>
      <c r="BH21" s="127" t="str">
        <f t="shared" si="13"/>
        <v/>
      </c>
      <c r="BI21" s="127" t="str">
        <f t="shared" si="12"/>
        <v/>
      </c>
      <c r="BJ21" s="127" t="str">
        <f t="shared" si="12"/>
        <v/>
      </c>
      <c r="BK21" s="127" t="str">
        <f t="shared" si="12"/>
        <v/>
      </c>
      <c r="BL21" s="127" t="str">
        <f t="shared" si="12"/>
        <v/>
      </c>
      <c r="BM21" s="127" t="str">
        <f t="shared" si="12"/>
        <v/>
      </c>
      <c r="BN21" s="127" t="str">
        <f t="shared" si="12"/>
        <v/>
      </c>
      <c r="BO21" s="127" t="str">
        <f t="shared" si="12"/>
        <v/>
      </c>
      <c r="BP21" s="127" t="str">
        <f t="shared" si="12"/>
        <v/>
      </c>
      <c r="BQ21" s="127" t="str">
        <f t="shared" si="12"/>
        <v/>
      </c>
      <c r="BR21" s="127" t="str">
        <f t="shared" si="12"/>
        <v/>
      </c>
      <c r="BS21" s="127" t="str">
        <f t="shared" si="12"/>
        <v/>
      </c>
      <c r="BT21" s="127" t="str">
        <f t="shared" si="12"/>
        <v/>
      </c>
      <c r="BU21" s="127" t="str">
        <f t="shared" si="12"/>
        <v/>
      </c>
      <c r="BV21" s="127" t="str">
        <f t="shared" si="12"/>
        <v/>
      </c>
      <c r="BW21" s="127" t="str">
        <f t="shared" si="12"/>
        <v/>
      </c>
      <c r="BX21" s="127" t="str">
        <f t="shared" si="6"/>
        <v/>
      </c>
      <c r="BY21" s="127" t="str">
        <f t="shared" si="6"/>
        <v/>
      </c>
      <c r="BZ21" s="127" t="str">
        <f t="shared" si="6"/>
        <v/>
      </c>
      <c r="CA21" s="127" t="str">
        <f t="shared" si="6"/>
        <v/>
      </c>
      <c r="CB21" s="127" t="str">
        <f t="shared" si="6"/>
        <v/>
      </c>
      <c r="CC21" s="127" t="str">
        <f t="shared" si="6"/>
        <v/>
      </c>
      <c r="CD21" s="127" t="str">
        <f t="shared" si="6"/>
        <v/>
      </c>
      <c r="CE21" s="127" t="str">
        <f t="shared" si="6"/>
        <v/>
      </c>
    </row>
    <row r="22" spans="1:83" ht="12.6" hidden="1" customHeight="1" x14ac:dyDescent="0.2">
      <c r="A22" s="106">
        <f>SHIPMENTS!A28</f>
        <v>9279</v>
      </c>
      <c r="B22" s="106" t="str">
        <f>SHIPMENTS!B28</f>
        <v>15900- Iloilo |Rocky Go</v>
      </c>
      <c r="C22" s="132">
        <f>SHIPMENTS!F28</f>
        <v>0.34820000000000001</v>
      </c>
      <c r="D22" s="107" t="str">
        <f>IF((SHIPMENTS!I28)=0,"",SHIPMENTS!I28)</f>
        <v/>
      </c>
      <c r="E22" s="176">
        <f>IF((SHIPMENTS!G28)=0,"",SHIPMENTS!G28)</f>
        <v>46323</v>
      </c>
      <c r="F22" s="97">
        <f>VLOOKUP(A22,Items!$A$5:$J$1000,2,0)</f>
        <v>0</v>
      </c>
      <c r="G22" s="98">
        <f>VLOOKUP(A22,load!$A$4:$U$5001,10,0)</f>
        <v>0</v>
      </c>
      <c r="H22" s="97">
        <v>13</v>
      </c>
      <c r="I22" s="98">
        <f t="shared" si="7"/>
        <v>118.3</v>
      </c>
      <c r="J22" s="99">
        <f t="shared" si="0"/>
        <v>0</v>
      </c>
      <c r="K22" s="99">
        <f t="shared" si="8"/>
        <v>0</v>
      </c>
      <c r="L22" s="98">
        <f t="shared" si="1"/>
        <v>0</v>
      </c>
      <c r="M22" s="98">
        <f t="shared" si="2"/>
        <v>0</v>
      </c>
      <c r="N22" s="181">
        <f t="shared" si="10"/>
        <v>46321.135672020282</v>
      </c>
      <c r="O22" s="181">
        <f t="shared" si="11"/>
        <v>46321.135672020282</v>
      </c>
      <c r="P22" s="112" t="str">
        <f>VLOOKUP(A22,SHIPMENTS!$A$7:$AP$76,41,0)</f>
        <v>n/a</v>
      </c>
      <c r="Q22" s="101"/>
      <c r="R22" s="127" t="str">
        <f t="shared" si="4"/>
        <v/>
      </c>
      <c r="S22" s="127" t="str">
        <f t="shared" si="4"/>
        <v/>
      </c>
      <c r="T22" s="127" t="str">
        <f t="shared" si="4"/>
        <v/>
      </c>
      <c r="U22" s="127" t="str">
        <f t="shared" si="4"/>
        <v/>
      </c>
      <c r="V22" s="127" t="str">
        <f t="shared" si="4"/>
        <v/>
      </c>
      <c r="W22" s="127" t="str">
        <f t="shared" si="4"/>
        <v/>
      </c>
      <c r="X22" s="127" t="str">
        <f t="shared" si="4"/>
        <v/>
      </c>
      <c r="Y22" s="127" t="str">
        <f t="shared" si="4"/>
        <v/>
      </c>
      <c r="Z22" s="127" t="str">
        <f t="shared" si="4"/>
        <v>▲</v>
      </c>
      <c r="AA22" s="127" t="str">
        <f t="shared" si="4"/>
        <v/>
      </c>
      <c r="AB22" s="127" t="str">
        <f t="shared" si="4"/>
        <v/>
      </c>
      <c r="AC22" s="127" t="str">
        <f t="shared" si="4"/>
        <v/>
      </c>
      <c r="AD22" s="127" t="str">
        <f t="shared" si="4"/>
        <v/>
      </c>
      <c r="AE22" s="127" t="str">
        <f t="shared" si="4"/>
        <v/>
      </c>
      <c r="AF22" s="127" t="str">
        <f t="shared" si="4"/>
        <v/>
      </c>
      <c r="AG22" s="127" t="str">
        <f t="shared" si="4"/>
        <v/>
      </c>
      <c r="AH22" s="127" t="str">
        <f t="shared" si="13"/>
        <v/>
      </c>
      <c r="AI22" s="127" t="str">
        <f t="shared" si="13"/>
        <v/>
      </c>
      <c r="AJ22" s="127" t="str">
        <f t="shared" si="13"/>
        <v/>
      </c>
      <c r="AK22" s="127" t="str">
        <f t="shared" si="13"/>
        <v/>
      </c>
      <c r="AL22" s="127" t="str">
        <f t="shared" si="13"/>
        <v/>
      </c>
      <c r="AM22" s="127" t="str">
        <f t="shared" si="13"/>
        <v/>
      </c>
      <c r="AN22" s="127" t="str">
        <f t="shared" si="13"/>
        <v/>
      </c>
      <c r="AO22" s="127" t="str">
        <f t="shared" si="13"/>
        <v/>
      </c>
      <c r="AP22" s="127" t="str">
        <f t="shared" si="13"/>
        <v/>
      </c>
      <c r="AQ22" s="127" t="str">
        <f t="shared" si="13"/>
        <v/>
      </c>
      <c r="AR22" s="127" t="str">
        <f t="shared" si="13"/>
        <v/>
      </c>
      <c r="AS22" s="127" t="str">
        <f t="shared" si="13"/>
        <v/>
      </c>
      <c r="AT22" s="127" t="str">
        <f t="shared" si="13"/>
        <v/>
      </c>
      <c r="AU22" s="127" t="str">
        <f t="shared" si="13"/>
        <v/>
      </c>
      <c r="AV22" s="127" t="str">
        <f t="shared" si="13"/>
        <v/>
      </c>
      <c r="AW22" s="127" t="str">
        <f t="shared" si="13"/>
        <v/>
      </c>
      <c r="AX22" s="127" t="str">
        <f t="shared" si="13"/>
        <v/>
      </c>
      <c r="AY22" s="127" t="str">
        <f t="shared" si="13"/>
        <v/>
      </c>
      <c r="AZ22" s="127" t="str">
        <f t="shared" si="13"/>
        <v/>
      </c>
      <c r="BA22" s="127" t="str">
        <f t="shared" si="13"/>
        <v/>
      </c>
      <c r="BB22" s="127" t="str">
        <f t="shared" si="13"/>
        <v/>
      </c>
      <c r="BC22" s="127" t="str">
        <f t="shared" si="13"/>
        <v/>
      </c>
      <c r="BD22" s="127" t="str">
        <f t="shared" si="13"/>
        <v/>
      </c>
      <c r="BE22" s="127" t="str">
        <f t="shared" si="13"/>
        <v/>
      </c>
      <c r="BF22" s="127" t="str">
        <f t="shared" si="13"/>
        <v/>
      </c>
      <c r="BG22" s="127" t="str">
        <f t="shared" si="13"/>
        <v/>
      </c>
      <c r="BH22" s="127" t="str">
        <f t="shared" si="13"/>
        <v/>
      </c>
      <c r="BI22" s="127" t="str">
        <f t="shared" si="12"/>
        <v/>
      </c>
      <c r="BJ22" s="127" t="str">
        <f t="shared" si="12"/>
        <v/>
      </c>
      <c r="BK22" s="127" t="str">
        <f t="shared" si="12"/>
        <v/>
      </c>
      <c r="BL22" s="127" t="str">
        <f t="shared" si="12"/>
        <v/>
      </c>
      <c r="BM22" s="127" t="str">
        <f t="shared" si="12"/>
        <v/>
      </c>
      <c r="BN22" s="127" t="str">
        <f t="shared" si="12"/>
        <v/>
      </c>
      <c r="BO22" s="127" t="str">
        <f t="shared" si="12"/>
        <v/>
      </c>
      <c r="BP22" s="127" t="str">
        <f t="shared" si="12"/>
        <v/>
      </c>
      <c r="BQ22" s="127" t="str">
        <f t="shared" si="12"/>
        <v/>
      </c>
      <c r="BR22" s="127" t="str">
        <f t="shared" si="12"/>
        <v/>
      </c>
      <c r="BS22" s="127" t="str">
        <f t="shared" si="12"/>
        <v/>
      </c>
      <c r="BT22" s="127" t="str">
        <f t="shared" si="12"/>
        <v/>
      </c>
      <c r="BU22" s="127" t="str">
        <f t="shared" si="12"/>
        <v/>
      </c>
      <c r="BV22" s="127" t="str">
        <f t="shared" si="12"/>
        <v/>
      </c>
      <c r="BW22" s="127" t="str">
        <f t="shared" si="12"/>
        <v/>
      </c>
      <c r="BX22" s="127" t="str">
        <f t="shared" si="6"/>
        <v/>
      </c>
      <c r="BY22" s="127" t="str">
        <f t="shared" si="6"/>
        <v/>
      </c>
      <c r="BZ22" s="127" t="str">
        <f t="shared" si="6"/>
        <v/>
      </c>
      <c r="CA22" s="127" t="str">
        <f t="shared" si="6"/>
        <v/>
      </c>
      <c r="CB22" s="127" t="str">
        <f t="shared" si="6"/>
        <v/>
      </c>
      <c r="CC22" s="127" t="str">
        <f t="shared" si="6"/>
        <v/>
      </c>
      <c r="CD22" s="127" t="str">
        <f t="shared" si="6"/>
        <v/>
      </c>
      <c r="CE22" s="127" t="str">
        <f t="shared" si="6"/>
        <v/>
      </c>
    </row>
    <row r="23" spans="1:83" ht="12.6" hidden="1" customHeight="1" x14ac:dyDescent="0.2">
      <c r="A23" s="106">
        <f>SHIPMENTS!A29</f>
        <v>8964</v>
      </c>
      <c r="B23" s="106" t="str">
        <f>SHIPMENTS!B29</f>
        <v>15900- Mandaue Warehouse</v>
      </c>
      <c r="C23" s="132">
        <f>SHIPMENTS!F29</f>
        <v>0.11</v>
      </c>
      <c r="D23" s="107" t="str">
        <f>IF((SHIPMENTS!I29)=0,"",SHIPMENTS!I29)</f>
        <v/>
      </c>
      <c r="E23" s="176">
        <f>IF((SHIPMENTS!G29)=0,"",SHIPMENTS!G29)</f>
        <v>46323</v>
      </c>
      <c r="F23" s="97">
        <f>VLOOKUP(A23,Items!$A$5:$J$1000,2,0)</f>
        <v>0</v>
      </c>
      <c r="G23" s="98">
        <f>VLOOKUP(A23,load!$A$4:$U$5001,10,0)</f>
        <v>0</v>
      </c>
      <c r="H23" s="97">
        <v>13</v>
      </c>
      <c r="I23" s="98">
        <f t="shared" si="7"/>
        <v>118.3</v>
      </c>
      <c r="J23" s="99">
        <f t="shared" si="0"/>
        <v>0</v>
      </c>
      <c r="K23" s="99">
        <f t="shared" si="8"/>
        <v>0</v>
      </c>
      <c r="L23" s="98">
        <f t="shared" si="1"/>
        <v>0</v>
      </c>
      <c r="M23" s="98">
        <f t="shared" si="2"/>
        <v>0</v>
      </c>
      <c r="N23" s="181">
        <f t="shared" si="10"/>
        <v>46321.135672020282</v>
      </c>
      <c r="O23" s="181">
        <f t="shared" si="11"/>
        <v>46321.135672020282</v>
      </c>
      <c r="P23" s="112" t="str">
        <f>VLOOKUP(A23,SHIPMENTS!$A$7:$AP$76,41,0)</f>
        <v>n/a</v>
      </c>
      <c r="Q23" s="101"/>
      <c r="R23" s="127" t="str">
        <f t="shared" si="4"/>
        <v/>
      </c>
      <c r="S23" s="127" t="str">
        <f t="shared" si="4"/>
        <v/>
      </c>
      <c r="T23" s="127" t="str">
        <f t="shared" si="4"/>
        <v/>
      </c>
      <c r="U23" s="127" t="str">
        <f t="shared" si="4"/>
        <v/>
      </c>
      <c r="V23" s="127" t="str">
        <f t="shared" si="4"/>
        <v/>
      </c>
      <c r="W23" s="127" t="str">
        <f t="shared" si="4"/>
        <v/>
      </c>
      <c r="X23" s="127" t="str">
        <f t="shared" si="4"/>
        <v/>
      </c>
      <c r="Y23" s="127" t="str">
        <f t="shared" si="4"/>
        <v/>
      </c>
      <c r="Z23" s="127" t="str">
        <f t="shared" si="4"/>
        <v>▲</v>
      </c>
      <c r="AA23" s="127" t="str">
        <f t="shared" si="4"/>
        <v/>
      </c>
      <c r="AB23" s="127" t="str">
        <f t="shared" si="4"/>
        <v/>
      </c>
      <c r="AC23" s="127" t="str">
        <f t="shared" si="4"/>
        <v/>
      </c>
      <c r="AD23" s="127" t="str">
        <f t="shared" si="4"/>
        <v/>
      </c>
      <c r="AE23" s="127" t="str">
        <f t="shared" si="4"/>
        <v/>
      </c>
      <c r="AF23" s="127" t="str">
        <f t="shared" si="4"/>
        <v/>
      </c>
      <c r="AG23" s="127" t="str">
        <f t="shared" ref="AG23:BS32" si="14">IF($E23=AG$3,"▲","")</f>
        <v/>
      </c>
      <c r="AH23" s="127" t="str">
        <f t="shared" si="14"/>
        <v/>
      </c>
      <c r="AI23" s="127" t="str">
        <f t="shared" si="14"/>
        <v/>
      </c>
      <c r="AJ23" s="127" t="str">
        <f t="shared" si="14"/>
        <v/>
      </c>
      <c r="AK23" s="127" t="str">
        <f t="shared" si="14"/>
        <v/>
      </c>
      <c r="AL23" s="127" t="str">
        <f t="shared" si="14"/>
        <v/>
      </c>
      <c r="AM23" s="127" t="str">
        <f t="shared" si="14"/>
        <v/>
      </c>
      <c r="AN23" s="127" t="str">
        <f t="shared" si="14"/>
        <v/>
      </c>
      <c r="AO23" s="127" t="str">
        <f t="shared" si="14"/>
        <v/>
      </c>
      <c r="AP23" s="127" t="str">
        <f t="shared" si="14"/>
        <v/>
      </c>
      <c r="AQ23" s="127" t="str">
        <f t="shared" si="14"/>
        <v/>
      </c>
      <c r="AR23" s="127" t="str">
        <f t="shared" si="14"/>
        <v/>
      </c>
      <c r="AS23" s="127" t="str">
        <f t="shared" si="14"/>
        <v/>
      </c>
      <c r="AT23" s="127" t="str">
        <f t="shared" si="14"/>
        <v/>
      </c>
      <c r="AU23" s="127" t="str">
        <f t="shared" si="14"/>
        <v/>
      </c>
      <c r="AV23" s="127" t="str">
        <f t="shared" si="14"/>
        <v/>
      </c>
      <c r="AW23" s="127" t="str">
        <f t="shared" si="14"/>
        <v/>
      </c>
      <c r="AX23" s="127" t="str">
        <f t="shared" si="14"/>
        <v/>
      </c>
      <c r="AY23" s="127" t="str">
        <f t="shared" si="14"/>
        <v/>
      </c>
      <c r="AZ23" s="127" t="str">
        <f t="shared" si="14"/>
        <v/>
      </c>
      <c r="BA23" s="127" t="str">
        <f t="shared" si="14"/>
        <v/>
      </c>
      <c r="BB23" s="127" t="str">
        <f t="shared" si="14"/>
        <v/>
      </c>
      <c r="BC23" s="127" t="str">
        <f t="shared" si="14"/>
        <v/>
      </c>
      <c r="BD23" s="127" t="str">
        <f t="shared" si="14"/>
        <v/>
      </c>
      <c r="BE23" s="127" t="str">
        <f t="shared" si="14"/>
        <v/>
      </c>
      <c r="BF23" s="127" t="str">
        <f t="shared" si="14"/>
        <v/>
      </c>
      <c r="BG23" s="127" t="str">
        <f t="shared" si="13"/>
        <v/>
      </c>
      <c r="BH23" s="127" t="str">
        <f t="shared" si="12"/>
        <v/>
      </c>
      <c r="BI23" s="127" t="str">
        <f t="shared" si="12"/>
        <v/>
      </c>
      <c r="BJ23" s="127" t="str">
        <f t="shared" si="12"/>
        <v/>
      </c>
      <c r="BK23" s="127" t="str">
        <f t="shared" si="12"/>
        <v/>
      </c>
      <c r="BL23" s="127" t="str">
        <f t="shared" si="12"/>
        <v/>
      </c>
      <c r="BM23" s="127" t="str">
        <f t="shared" si="12"/>
        <v/>
      </c>
      <c r="BN23" s="127" t="str">
        <f t="shared" si="12"/>
        <v/>
      </c>
      <c r="BO23" s="127" t="str">
        <f t="shared" si="12"/>
        <v/>
      </c>
      <c r="BP23" s="127" t="str">
        <f t="shared" si="12"/>
        <v/>
      </c>
      <c r="BQ23" s="127" t="str">
        <f t="shared" si="12"/>
        <v/>
      </c>
      <c r="BR23" s="127" t="str">
        <f t="shared" si="12"/>
        <v/>
      </c>
      <c r="BS23" s="127" t="str">
        <f t="shared" si="12"/>
        <v/>
      </c>
      <c r="BT23" s="127" t="str">
        <f t="shared" si="12"/>
        <v/>
      </c>
      <c r="BU23" s="127" t="str">
        <f t="shared" si="12"/>
        <v/>
      </c>
      <c r="BV23" s="127" t="str">
        <f t="shared" si="12"/>
        <v/>
      </c>
      <c r="BW23" s="127" t="str">
        <f t="shared" si="12"/>
        <v/>
      </c>
      <c r="BX23" s="127" t="str">
        <f t="shared" si="6"/>
        <v/>
      </c>
      <c r="BY23" s="127" t="str">
        <f t="shared" si="6"/>
        <v/>
      </c>
      <c r="BZ23" s="127" t="str">
        <f t="shared" si="6"/>
        <v/>
      </c>
      <c r="CA23" s="127" t="str">
        <f t="shared" si="6"/>
        <v/>
      </c>
      <c r="CB23" s="127" t="str">
        <f t="shared" si="6"/>
        <v/>
      </c>
      <c r="CC23" s="127" t="str">
        <f t="shared" si="6"/>
        <v/>
      </c>
      <c r="CD23" s="127" t="str">
        <f t="shared" si="6"/>
        <v/>
      </c>
      <c r="CE23" s="127" t="str">
        <f t="shared" si="6"/>
        <v/>
      </c>
    </row>
    <row r="24" spans="1:83" ht="12.6" hidden="1" customHeight="1" x14ac:dyDescent="0.2">
      <c r="A24" s="106">
        <f>SHIPMENTS!A30</f>
        <v>9023</v>
      </c>
      <c r="B24" s="106" t="str">
        <f>SHIPMENTS!B30</f>
        <v>15900- Ubay | Danilo Varela</v>
      </c>
      <c r="C24" s="132">
        <f>SHIPMENTS!F30</f>
        <v>3.0849999999999999E-2</v>
      </c>
      <c r="D24" s="107" t="str">
        <f>IF((SHIPMENTS!I30)=0,"",SHIPMENTS!I30)</f>
        <v/>
      </c>
      <c r="E24" s="176">
        <f>IF((SHIPMENTS!G30)=0,"",SHIPMENTS!G30)</f>
        <v>46323</v>
      </c>
      <c r="F24" s="97">
        <f>VLOOKUP(A24,Items!$A$5:$J$1000,2,0)</f>
        <v>0</v>
      </c>
      <c r="G24" s="98">
        <f>VLOOKUP(A24,load!$A$4:$U$5001,10,0)</f>
        <v>0</v>
      </c>
      <c r="H24" s="97">
        <v>13</v>
      </c>
      <c r="I24" s="98">
        <f t="shared" si="7"/>
        <v>118.3</v>
      </c>
      <c r="J24" s="99">
        <f t="shared" si="0"/>
        <v>0</v>
      </c>
      <c r="K24" s="99">
        <f t="shared" si="8"/>
        <v>0</v>
      </c>
      <c r="L24" s="98">
        <f t="shared" si="1"/>
        <v>0</v>
      </c>
      <c r="M24" s="98">
        <f t="shared" si="2"/>
        <v>0</v>
      </c>
      <c r="N24" s="181">
        <f t="shared" si="10"/>
        <v>46321.135672020282</v>
      </c>
      <c r="O24" s="181">
        <f t="shared" si="11"/>
        <v>46321.135672020282</v>
      </c>
      <c r="P24" s="112" t="str">
        <f>VLOOKUP(A24,SHIPMENTS!$A$7:$AP$76,41,0)</f>
        <v>n/a</v>
      </c>
      <c r="Q24" s="101"/>
      <c r="R24" s="127" t="str">
        <f t="shared" ref="R24:AG39" si="15">IF($E24=R$3,"▲","")</f>
        <v/>
      </c>
      <c r="S24" s="127" t="str">
        <f t="shared" si="15"/>
        <v/>
      </c>
      <c r="T24" s="127" t="str">
        <f t="shared" si="15"/>
        <v/>
      </c>
      <c r="U24" s="127" t="str">
        <f t="shared" si="15"/>
        <v/>
      </c>
      <c r="V24" s="127" t="str">
        <f t="shared" si="15"/>
        <v/>
      </c>
      <c r="W24" s="127" t="str">
        <f t="shared" si="15"/>
        <v/>
      </c>
      <c r="X24" s="127" t="str">
        <f t="shared" si="15"/>
        <v/>
      </c>
      <c r="Y24" s="127" t="str">
        <f t="shared" si="15"/>
        <v/>
      </c>
      <c r="Z24" s="127" t="str">
        <f t="shared" si="15"/>
        <v>▲</v>
      </c>
      <c r="AA24" s="127" t="str">
        <f t="shared" si="15"/>
        <v/>
      </c>
      <c r="AB24" s="127" t="str">
        <f t="shared" si="15"/>
        <v/>
      </c>
      <c r="AC24" s="127" t="str">
        <f t="shared" si="15"/>
        <v/>
      </c>
      <c r="AD24" s="127" t="str">
        <f t="shared" si="15"/>
        <v/>
      </c>
      <c r="AE24" s="127" t="str">
        <f t="shared" si="15"/>
        <v/>
      </c>
      <c r="AF24" s="127" t="str">
        <f t="shared" si="15"/>
        <v/>
      </c>
      <c r="AG24" s="127" t="str">
        <f t="shared" si="15"/>
        <v/>
      </c>
      <c r="AH24" s="127" t="str">
        <f t="shared" si="14"/>
        <v/>
      </c>
      <c r="AI24" s="127" t="str">
        <f t="shared" si="14"/>
        <v/>
      </c>
      <c r="AJ24" s="127" t="str">
        <f t="shared" si="14"/>
        <v/>
      </c>
      <c r="AK24" s="127" t="str">
        <f t="shared" si="14"/>
        <v/>
      </c>
      <c r="AL24" s="127" t="str">
        <f t="shared" si="14"/>
        <v/>
      </c>
      <c r="AM24" s="127" t="str">
        <f t="shared" si="14"/>
        <v/>
      </c>
      <c r="AN24" s="127" t="str">
        <f t="shared" si="14"/>
        <v/>
      </c>
      <c r="AO24" s="127" t="str">
        <f t="shared" si="14"/>
        <v/>
      </c>
      <c r="AP24" s="127" t="str">
        <f t="shared" si="14"/>
        <v/>
      </c>
      <c r="AQ24" s="127" t="str">
        <f t="shared" si="14"/>
        <v/>
      </c>
      <c r="AR24" s="127" t="str">
        <f t="shared" si="14"/>
        <v/>
      </c>
      <c r="AS24" s="127" t="str">
        <f t="shared" si="14"/>
        <v/>
      </c>
      <c r="AT24" s="127" t="str">
        <f t="shared" si="14"/>
        <v/>
      </c>
      <c r="AU24" s="127" t="str">
        <f t="shared" si="14"/>
        <v/>
      </c>
      <c r="AV24" s="127" t="str">
        <f t="shared" si="14"/>
        <v/>
      </c>
      <c r="AW24" s="127" t="str">
        <f t="shared" si="14"/>
        <v/>
      </c>
      <c r="AX24" s="127" t="str">
        <f t="shared" si="14"/>
        <v/>
      </c>
      <c r="AY24" s="127" t="str">
        <f t="shared" si="14"/>
        <v/>
      </c>
      <c r="AZ24" s="127" t="str">
        <f t="shared" si="14"/>
        <v/>
      </c>
      <c r="BA24" s="127" t="str">
        <f t="shared" si="14"/>
        <v/>
      </c>
      <c r="BB24" s="127" t="str">
        <f t="shared" si="14"/>
        <v/>
      </c>
      <c r="BC24" s="127" t="str">
        <f t="shared" si="14"/>
        <v/>
      </c>
      <c r="BD24" s="127" t="str">
        <f t="shared" si="14"/>
        <v/>
      </c>
      <c r="BE24" s="127" t="str">
        <f t="shared" si="14"/>
        <v/>
      </c>
      <c r="BF24" s="127" t="str">
        <f t="shared" si="14"/>
        <v/>
      </c>
      <c r="BG24" s="127" t="str">
        <f t="shared" si="13"/>
        <v/>
      </c>
      <c r="BH24" s="127" t="str">
        <f t="shared" si="13"/>
        <v/>
      </c>
      <c r="BI24" s="127" t="str">
        <f t="shared" si="12"/>
        <v/>
      </c>
      <c r="BJ24" s="127" t="str">
        <f t="shared" si="12"/>
        <v/>
      </c>
      <c r="BK24" s="127" t="str">
        <f t="shared" si="12"/>
        <v/>
      </c>
      <c r="BL24" s="127" t="str">
        <f t="shared" si="12"/>
        <v/>
      </c>
      <c r="BM24" s="127" t="str">
        <f t="shared" si="12"/>
        <v/>
      </c>
      <c r="BN24" s="127" t="str">
        <f t="shared" si="12"/>
        <v/>
      </c>
      <c r="BO24" s="127" t="str">
        <f t="shared" si="12"/>
        <v/>
      </c>
      <c r="BP24" s="127" t="str">
        <f t="shared" si="12"/>
        <v/>
      </c>
      <c r="BQ24" s="127" t="str">
        <f t="shared" si="12"/>
        <v/>
      </c>
      <c r="BR24" s="127" t="str">
        <f t="shared" si="12"/>
        <v/>
      </c>
      <c r="BS24" s="127" t="str">
        <f t="shared" si="12"/>
        <v/>
      </c>
      <c r="BT24" s="127" t="str">
        <f t="shared" si="12"/>
        <v/>
      </c>
      <c r="BU24" s="127" t="str">
        <f t="shared" si="12"/>
        <v/>
      </c>
      <c r="BV24" s="127" t="str">
        <f t="shared" si="12"/>
        <v/>
      </c>
      <c r="BW24" s="127" t="str">
        <f t="shared" si="12"/>
        <v/>
      </c>
      <c r="BX24" s="127" t="str">
        <f t="shared" ref="BT24:CE39" si="16">IF($E24=BX$3,"▲","")</f>
        <v/>
      </c>
      <c r="BY24" s="127" t="str">
        <f t="shared" si="16"/>
        <v/>
      </c>
      <c r="BZ24" s="127" t="str">
        <f t="shared" si="16"/>
        <v/>
      </c>
      <c r="CA24" s="127" t="str">
        <f t="shared" si="16"/>
        <v/>
      </c>
      <c r="CB24" s="127" t="str">
        <f t="shared" si="16"/>
        <v/>
      </c>
      <c r="CC24" s="127" t="str">
        <f t="shared" si="16"/>
        <v/>
      </c>
      <c r="CD24" s="127" t="str">
        <f t="shared" si="16"/>
        <v/>
      </c>
      <c r="CE24" s="127" t="str">
        <f t="shared" si="16"/>
        <v/>
      </c>
    </row>
    <row r="25" spans="1:83" ht="12.6" hidden="1" customHeight="1" x14ac:dyDescent="0.2">
      <c r="A25" s="106">
        <f>SHIPMENTS!A31</f>
        <v>9105</v>
      </c>
      <c r="B25" s="106" t="str">
        <f>SHIPMENTS!B31</f>
        <v>15900- Cebu City |Nelsar Alvar</v>
      </c>
      <c r="C25" s="132">
        <f>SHIPMENTS!F31</f>
        <v>1.35E-2</v>
      </c>
      <c r="D25" s="107" t="str">
        <f>IF((SHIPMENTS!I31)=0,"",SHIPMENTS!I31)</f>
        <v/>
      </c>
      <c r="E25" s="176">
        <f>IF((SHIPMENTS!G31)=0,"",SHIPMENTS!G31)</f>
        <v>46323</v>
      </c>
      <c r="F25" s="97">
        <f>VLOOKUP(A25,Items!$A$5:$J$1000,2,0)</f>
        <v>0</v>
      </c>
      <c r="G25" s="98">
        <f>VLOOKUP(A25,load!$A$4:$U$5001,10,0)</f>
        <v>0</v>
      </c>
      <c r="H25" s="97">
        <v>13</v>
      </c>
      <c r="I25" s="98">
        <f t="shared" si="7"/>
        <v>118.3</v>
      </c>
      <c r="J25" s="99">
        <f t="shared" si="0"/>
        <v>0</v>
      </c>
      <c r="K25" s="99">
        <f t="shared" si="8"/>
        <v>0</v>
      </c>
      <c r="L25" s="98">
        <f t="shared" si="1"/>
        <v>0</v>
      </c>
      <c r="M25" s="98">
        <f t="shared" si="2"/>
        <v>0</v>
      </c>
      <c r="N25" s="181">
        <f t="shared" si="10"/>
        <v>46321.135672020282</v>
      </c>
      <c r="O25" s="181">
        <f t="shared" si="11"/>
        <v>46321.135672020282</v>
      </c>
      <c r="P25" s="112" t="str">
        <f>VLOOKUP(A25,SHIPMENTS!$A$7:$AP$76,41,0)</f>
        <v>n/a</v>
      </c>
      <c r="Q25" s="101"/>
      <c r="R25" s="127" t="str">
        <f t="shared" si="15"/>
        <v/>
      </c>
      <c r="S25" s="127" t="str">
        <f t="shared" si="15"/>
        <v/>
      </c>
      <c r="T25" s="127" t="str">
        <f t="shared" si="15"/>
        <v/>
      </c>
      <c r="U25" s="127" t="str">
        <f t="shared" si="15"/>
        <v/>
      </c>
      <c r="V25" s="127" t="str">
        <f t="shared" si="15"/>
        <v/>
      </c>
      <c r="W25" s="127" t="str">
        <f t="shared" si="15"/>
        <v/>
      </c>
      <c r="X25" s="127" t="str">
        <f t="shared" si="15"/>
        <v/>
      </c>
      <c r="Y25" s="127" t="str">
        <f t="shared" si="15"/>
        <v/>
      </c>
      <c r="Z25" s="127" t="str">
        <f t="shared" si="15"/>
        <v>▲</v>
      </c>
      <c r="AA25" s="127" t="str">
        <f t="shared" si="15"/>
        <v/>
      </c>
      <c r="AB25" s="127" t="str">
        <f t="shared" si="15"/>
        <v/>
      </c>
      <c r="AC25" s="127" t="str">
        <f t="shared" si="15"/>
        <v/>
      </c>
      <c r="AD25" s="127" t="str">
        <f t="shared" si="15"/>
        <v/>
      </c>
      <c r="AE25" s="127" t="str">
        <f t="shared" si="15"/>
        <v/>
      </c>
      <c r="AF25" s="127" t="str">
        <f t="shared" si="15"/>
        <v/>
      </c>
      <c r="AG25" s="127" t="str">
        <f t="shared" si="15"/>
        <v/>
      </c>
      <c r="AH25" s="127" t="str">
        <f t="shared" si="14"/>
        <v/>
      </c>
      <c r="AI25" s="127" t="str">
        <f t="shared" si="14"/>
        <v/>
      </c>
      <c r="AJ25" s="127" t="str">
        <f t="shared" si="14"/>
        <v/>
      </c>
      <c r="AK25" s="127" t="str">
        <f t="shared" si="14"/>
        <v/>
      </c>
      <c r="AL25" s="127" t="str">
        <f t="shared" si="14"/>
        <v/>
      </c>
      <c r="AM25" s="127" t="str">
        <f t="shared" si="14"/>
        <v/>
      </c>
      <c r="AN25" s="127" t="str">
        <f t="shared" si="14"/>
        <v/>
      </c>
      <c r="AO25" s="127" t="str">
        <f t="shared" si="14"/>
        <v/>
      </c>
      <c r="AP25" s="127" t="str">
        <f t="shared" si="14"/>
        <v/>
      </c>
      <c r="AQ25" s="127" t="str">
        <f t="shared" si="14"/>
        <v/>
      </c>
      <c r="AR25" s="127" t="str">
        <f t="shared" si="14"/>
        <v/>
      </c>
      <c r="AS25" s="127" t="str">
        <f t="shared" si="14"/>
        <v/>
      </c>
      <c r="AT25" s="127" t="str">
        <f t="shared" si="14"/>
        <v/>
      </c>
      <c r="AU25" s="127" t="str">
        <f t="shared" si="14"/>
        <v/>
      </c>
      <c r="AV25" s="127" t="str">
        <f t="shared" si="14"/>
        <v/>
      </c>
      <c r="AW25" s="127" t="str">
        <f t="shared" si="14"/>
        <v/>
      </c>
      <c r="AX25" s="127" t="str">
        <f t="shared" si="14"/>
        <v/>
      </c>
      <c r="AY25" s="127" t="str">
        <f t="shared" si="14"/>
        <v/>
      </c>
      <c r="AZ25" s="127" t="str">
        <f t="shared" si="14"/>
        <v/>
      </c>
      <c r="BA25" s="127" t="str">
        <f t="shared" si="14"/>
        <v/>
      </c>
      <c r="BB25" s="127" t="str">
        <f t="shared" si="14"/>
        <v/>
      </c>
      <c r="BC25" s="127" t="str">
        <f t="shared" si="14"/>
        <v/>
      </c>
      <c r="BD25" s="127" t="str">
        <f t="shared" si="14"/>
        <v/>
      </c>
      <c r="BE25" s="127" t="str">
        <f t="shared" si="14"/>
        <v/>
      </c>
      <c r="BF25" s="127" t="str">
        <f t="shared" si="14"/>
        <v/>
      </c>
      <c r="BG25" s="127" t="str">
        <f t="shared" si="13"/>
        <v/>
      </c>
      <c r="BH25" s="127" t="str">
        <f t="shared" si="12"/>
        <v/>
      </c>
      <c r="BI25" s="127" t="str">
        <f t="shared" si="12"/>
        <v/>
      </c>
      <c r="BJ25" s="127" t="str">
        <f t="shared" si="12"/>
        <v/>
      </c>
      <c r="BK25" s="127" t="str">
        <f t="shared" si="12"/>
        <v/>
      </c>
      <c r="BL25" s="127" t="str">
        <f t="shared" si="12"/>
        <v/>
      </c>
      <c r="BM25" s="127" t="str">
        <f t="shared" si="12"/>
        <v/>
      </c>
      <c r="BN25" s="127" t="str">
        <f t="shared" si="12"/>
        <v/>
      </c>
      <c r="BO25" s="127" t="str">
        <f t="shared" si="12"/>
        <v/>
      </c>
      <c r="BP25" s="127" t="str">
        <f t="shared" si="12"/>
        <v/>
      </c>
      <c r="BQ25" s="127" t="str">
        <f t="shared" si="12"/>
        <v/>
      </c>
      <c r="BR25" s="127" t="str">
        <f t="shared" si="12"/>
        <v/>
      </c>
      <c r="BS25" s="127" t="str">
        <f t="shared" si="12"/>
        <v/>
      </c>
      <c r="BT25" s="127" t="str">
        <f t="shared" si="16"/>
        <v/>
      </c>
      <c r="BU25" s="127" t="str">
        <f t="shared" si="16"/>
        <v/>
      </c>
      <c r="BV25" s="127" t="str">
        <f t="shared" si="16"/>
        <v/>
      </c>
      <c r="BW25" s="127" t="str">
        <f t="shared" si="16"/>
        <v/>
      </c>
      <c r="BX25" s="127" t="str">
        <f t="shared" si="16"/>
        <v/>
      </c>
      <c r="BY25" s="127" t="str">
        <f t="shared" si="16"/>
        <v/>
      </c>
      <c r="BZ25" s="127" t="str">
        <f t="shared" si="16"/>
        <v/>
      </c>
      <c r="CA25" s="127" t="str">
        <f t="shared" si="16"/>
        <v/>
      </c>
      <c r="CB25" s="127" t="str">
        <f t="shared" si="16"/>
        <v/>
      </c>
      <c r="CC25" s="127" t="str">
        <f t="shared" si="16"/>
        <v/>
      </c>
      <c r="CD25" s="127" t="str">
        <f t="shared" si="16"/>
        <v/>
      </c>
      <c r="CE25" s="127" t="str">
        <f t="shared" si="16"/>
        <v/>
      </c>
    </row>
    <row r="26" spans="1:83" ht="12.6" hidden="1" customHeight="1" x14ac:dyDescent="0.2">
      <c r="A26" s="106">
        <f>SHIPMENTS!A32</f>
        <v>9292</v>
      </c>
      <c r="B26" s="106" t="str">
        <f>SHIPMENTS!B32</f>
        <v>15900- Mandaue Warehouse</v>
      </c>
      <c r="C26" s="132">
        <f>SHIPMENTS!F32</f>
        <v>0.51459999999999995</v>
      </c>
      <c r="D26" s="107" t="str">
        <f>IF((SHIPMENTS!I32)=0,"",SHIPMENTS!I32)</f>
        <v/>
      </c>
      <c r="E26" s="176">
        <f>IF((SHIPMENTS!G32)=0,"",SHIPMENTS!G32)</f>
        <v>46323</v>
      </c>
      <c r="F26" s="97">
        <f>VLOOKUP(A26,Items!$A$5:$J$1000,2,0)</f>
        <v>0</v>
      </c>
      <c r="G26" s="98">
        <f>VLOOKUP(A26,load!$A$4:$U$5001,10,0)</f>
        <v>0</v>
      </c>
      <c r="H26" s="97">
        <v>13</v>
      </c>
      <c r="I26" s="98">
        <f t="shared" si="7"/>
        <v>118.3</v>
      </c>
      <c r="J26" s="99">
        <f t="shared" si="0"/>
        <v>0</v>
      </c>
      <c r="K26" s="99">
        <f t="shared" si="8"/>
        <v>0</v>
      </c>
      <c r="L26" s="98">
        <f t="shared" si="1"/>
        <v>0</v>
      </c>
      <c r="M26" s="98">
        <f t="shared" si="2"/>
        <v>0</v>
      </c>
      <c r="N26" s="181">
        <f t="shared" si="10"/>
        <v>46321.135672020282</v>
      </c>
      <c r="O26" s="181">
        <f>N26+L26</f>
        <v>46321.135672020282</v>
      </c>
      <c r="P26" s="112" t="str">
        <f>VLOOKUP(A26,SHIPMENTS!$A$7:$AP$76,41,0)</f>
        <v>n/a</v>
      </c>
      <c r="Q26" s="101"/>
      <c r="R26" s="127" t="str">
        <f t="shared" si="15"/>
        <v/>
      </c>
      <c r="S26" s="127" t="str">
        <f t="shared" si="15"/>
        <v/>
      </c>
      <c r="T26" s="127" t="str">
        <f t="shared" si="15"/>
        <v/>
      </c>
      <c r="U26" s="127" t="str">
        <f t="shared" si="15"/>
        <v/>
      </c>
      <c r="V26" s="127" t="str">
        <f t="shared" si="15"/>
        <v/>
      </c>
      <c r="W26" s="127" t="str">
        <f t="shared" si="15"/>
        <v/>
      </c>
      <c r="X26" s="127" t="str">
        <f t="shared" si="15"/>
        <v/>
      </c>
      <c r="Y26" s="127" t="str">
        <f t="shared" si="15"/>
        <v/>
      </c>
      <c r="Z26" s="127" t="str">
        <f t="shared" si="15"/>
        <v>▲</v>
      </c>
      <c r="AA26" s="127" t="str">
        <f t="shared" si="15"/>
        <v/>
      </c>
      <c r="AB26" s="127" t="str">
        <f t="shared" si="15"/>
        <v/>
      </c>
      <c r="AC26" s="127" t="str">
        <f t="shared" si="15"/>
        <v/>
      </c>
      <c r="AD26" s="127" t="str">
        <f t="shared" si="15"/>
        <v/>
      </c>
      <c r="AE26" s="127" t="str">
        <f t="shared" si="15"/>
        <v/>
      </c>
      <c r="AF26" s="127" t="str">
        <f t="shared" si="15"/>
        <v/>
      </c>
      <c r="AG26" s="127" t="str">
        <f t="shared" si="15"/>
        <v/>
      </c>
      <c r="AH26" s="127" t="str">
        <f t="shared" si="14"/>
        <v/>
      </c>
      <c r="AI26" s="127" t="str">
        <f t="shared" si="14"/>
        <v/>
      </c>
      <c r="AJ26" s="127" t="str">
        <f t="shared" si="14"/>
        <v/>
      </c>
      <c r="AK26" s="127" t="str">
        <f t="shared" si="14"/>
        <v/>
      </c>
      <c r="AL26" s="127" t="str">
        <f t="shared" si="14"/>
        <v/>
      </c>
      <c r="AM26" s="127" t="str">
        <f t="shared" si="14"/>
        <v/>
      </c>
      <c r="AN26" s="127" t="str">
        <f t="shared" si="14"/>
        <v/>
      </c>
      <c r="AO26" s="127" t="str">
        <f t="shared" si="14"/>
        <v/>
      </c>
      <c r="AP26" s="127" t="str">
        <f t="shared" si="14"/>
        <v/>
      </c>
      <c r="AQ26" s="127" t="str">
        <f t="shared" si="14"/>
        <v/>
      </c>
      <c r="AR26" s="127" t="str">
        <f t="shared" si="14"/>
        <v/>
      </c>
      <c r="AS26" s="127" t="str">
        <f t="shared" si="14"/>
        <v/>
      </c>
      <c r="AT26" s="127" t="str">
        <f t="shared" si="14"/>
        <v/>
      </c>
      <c r="AU26" s="127" t="str">
        <f t="shared" si="14"/>
        <v/>
      </c>
      <c r="AV26" s="127" t="str">
        <f t="shared" si="14"/>
        <v/>
      </c>
      <c r="AW26" s="127" t="str">
        <f t="shared" si="14"/>
        <v/>
      </c>
      <c r="AX26" s="127" t="str">
        <f t="shared" si="14"/>
        <v/>
      </c>
      <c r="AY26" s="127" t="str">
        <f t="shared" si="14"/>
        <v/>
      </c>
      <c r="AZ26" s="127" t="str">
        <f t="shared" si="14"/>
        <v/>
      </c>
      <c r="BA26" s="127" t="str">
        <f t="shared" si="14"/>
        <v/>
      </c>
      <c r="BB26" s="127" t="str">
        <f t="shared" si="14"/>
        <v/>
      </c>
      <c r="BC26" s="127" t="str">
        <f t="shared" si="14"/>
        <v/>
      </c>
      <c r="BD26" s="127" t="str">
        <f t="shared" si="14"/>
        <v/>
      </c>
      <c r="BE26" s="127" t="str">
        <f t="shared" si="14"/>
        <v/>
      </c>
      <c r="BF26" s="127" t="str">
        <f t="shared" si="14"/>
        <v/>
      </c>
      <c r="BG26" s="127" t="str">
        <f t="shared" si="13"/>
        <v/>
      </c>
      <c r="BH26" s="127" t="str">
        <f t="shared" si="12"/>
        <v/>
      </c>
      <c r="BI26" s="127" t="str">
        <f t="shared" si="12"/>
        <v/>
      </c>
      <c r="BJ26" s="127" t="str">
        <f t="shared" si="12"/>
        <v/>
      </c>
      <c r="BK26" s="127" t="str">
        <f t="shared" si="12"/>
        <v/>
      </c>
      <c r="BL26" s="127" t="str">
        <f t="shared" si="12"/>
        <v/>
      </c>
      <c r="BM26" s="127" t="str">
        <f t="shared" si="12"/>
        <v/>
      </c>
      <c r="BN26" s="127" t="str">
        <f t="shared" si="12"/>
        <v/>
      </c>
      <c r="BO26" s="127" t="str">
        <f t="shared" si="12"/>
        <v/>
      </c>
      <c r="BP26" s="127" t="str">
        <f t="shared" si="12"/>
        <v/>
      </c>
      <c r="BQ26" s="127" t="str">
        <f t="shared" si="12"/>
        <v/>
      </c>
      <c r="BR26" s="127" t="str">
        <f t="shared" si="12"/>
        <v/>
      </c>
      <c r="BS26" s="127" t="str">
        <f t="shared" si="12"/>
        <v/>
      </c>
      <c r="BT26" s="127" t="str">
        <f t="shared" si="16"/>
        <v/>
      </c>
      <c r="BU26" s="127" t="str">
        <f t="shared" si="16"/>
        <v/>
      </c>
      <c r="BV26" s="127" t="str">
        <f t="shared" si="16"/>
        <v/>
      </c>
      <c r="BW26" s="127" t="str">
        <f t="shared" si="16"/>
        <v/>
      </c>
      <c r="BX26" s="127" t="str">
        <f t="shared" si="16"/>
        <v/>
      </c>
      <c r="BY26" s="127" t="str">
        <f t="shared" si="16"/>
        <v/>
      </c>
      <c r="BZ26" s="127" t="str">
        <f t="shared" si="16"/>
        <v/>
      </c>
      <c r="CA26" s="127" t="str">
        <f t="shared" si="16"/>
        <v/>
      </c>
      <c r="CB26" s="127" t="str">
        <f t="shared" si="16"/>
        <v/>
      </c>
      <c r="CC26" s="127" t="str">
        <f t="shared" si="16"/>
        <v/>
      </c>
      <c r="CD26" s="127" t="str">
        <f t="shared" si="16"/>
        <v/>
      </c>
      <c r="CE26" s="127" t="str">
        <f t="shared" si="16"/>
        <v/>
      </c>
    </row>
    <row r="27" spans="1:83" ht="12.6" hidden="1" customHeight="1" x14ac:dyDescent="0.2">
      <c r="A27" s="106">
        <f>SHIPMENTS!A33</f>
        <v>9116</v>
      </c>
      <c r="B27" s="106" t="str">
        <f>SHIPMENTS!B33</f>
        <v>15900- Dagupan City |Kerwin Fernandez</v>
      </c>
      <c r="C27" s="132">
        <f>SHIPMENTS!F33</f>
        <v>0.17</v>
      </c>
      <c r="D27" s="107" t="str">
        <f>IF((SHIPMENTS!I33)=0,"",SHIPMENTS!I33)</f>
        <v>1X20</v>
      </c>
      <c r="E27" s="176">
        <f>IF((SHIPMENTS!G33)=0,"",SHIPMENTS!G33)</f>
        <v>46323</v>
      </c>
      <c r="F27" s="97">
        <f>VLOOKUP(A27,Items!$A$5:$J$1000,2,0)</f>
        <v>0</v>
      </c>
      <c r="G27" s="98">
        <f>VLOOKUP(A27,load!$A$4:$U$5001,10,0)</f>
        <v>0</v>
      </c>
      <c r="H27" s="97">
        <v>13</v>
      </c>
      <c r="I27" s="98">
        <f t="shared" si="7"/>
        <v>118.3</v>
      </c>
      <c r="J27" s="99">
        <f t="shared" si="0"/>
        <v>0</v>
      </c>
      <c r="K27" s="99">
        <f t="shared" si="8"/>
        <v>0</v>
      </c>
      <c r="L27" s="98">
        <f t="shared" si="1"/>
        <v>0</v>
      </c>
      <c r="M27" s="98">
        <f t="shared" si="2"/>
        <v>0</v>
      </c>
      <c r="N27" s="181">
        <f t="shared" si="10"/>
        <v>46321.135672020282</v>
      </c>
      <c r="O27" s="181">
        <f t="shared" ref="O27:O32" si="17">N27+L27</f>
        <v>46321.135672020282</v>
      </c>
      <c r="P27" s="112" t="str">
        <f>VLOOKUP(A27,SHIPMENTS!$A$7:$AP$76,41,0)</f>
        <v>n/a</v>
      </c>
      <c r="Q27" s="101"/>
      <c r="R27" s="127" t="str">
        <f t="shared" si="15"/>
        <v/>
      </c>
      <c r="S27" s="127" t="str">
        <f t="shared" si="15"/>
        <v/>
      </c>
      <c r="T27" s="127" t="str">
        <f t="shared" si="15"/>
        <v/>
      </c>
      <c r="U27" s="127" t="str">
        <f t="shared" si="15"/>
        <v/>
      </c>
      <c r="V27" s="127" t="str">
        <f t="shared" si="15"/>
        <v/>
      </c>
      <c r="W27" s="127" t="str">
        <f t="shared" si="15"/>
        <v/>
      </c>
      <c r="X27" s="127" t="str">
        <f t="shared" si="15"/>
        <v/>
      </c>
      <c r="Y27" s="127" t="str">
        <f t="shared" si="15"/>
        <v/>
      </c>
      <c r="Z27" s="127" t="str">
        <f t="shared" si="15"/>
        <v>▲</v>
      </c>
      <c r="AA27" s="127" t="str">
        <f t="shared" si="15"/>
        <v/>
      </c>
      <c r="AB27" s="127" t="str">
        <f t="shared" si="15"/>
        <v/>
      </c>
      <c r="AC27" s="127" t="str">
        <f t="shared" si="15"/>
        <v/>
      </c>
      <c r="AD27" s="127" t="str">
        <f t="shared" si="15"/>
        <v/>
      </c>
      <c r="AE27" s="127" t="str">
        <f t="shared" si="15"/>
        <v/>
      </c>
      <c r="AF27" s="127" t="str">
        <f t="shared" si="15"/>
        <v/>
      </c>
      <c r="AG27" s="127" t="str">
        <f t="shared" si="15"/>
        <v/>
      </c>
      <c r="AH27" s="127" t="str">
        <f t="shared" si="14"/>
        <v/>
      </c>
      <c r="AI27" s="127" t="str">
        <f t="shared" si="14"/>
        <v/>
      </c>
      <c r="AJ27" s="127" t="str">
        <f t="shared" si="14"/>
        <v/>
      </c>
      <c r="AK27" s="127" t="str">
        <f t="shared" si="14"/>
        <v/>
      </c>
      <c r="AL27" s="127" t="str">
        <f t="shared" si="14"/>
        <v/>
      </c>
      <c r="AM27" s="127" t="str">
        <f t="shared" si="14"/>
        <v/>
      </c>
      <c r="AN27" s="127" t="str">
        <f t="shared" si="14"/>
        <v/>
      </c>
      <c r="AO27" s="127" t="str">
        <f t="shared" si="14"/>
        <v/>
      </c>
      <c r="AP27" s="127" t="str">
        <f t="shared" si="14"/>
        <v/>
      </c>
      <c r="AQ27" s="127" t="str">
        <f t="shared" si="14"/>
        <v/>
      </c>
      <c r="AR27" s="127" t="str">
        <f t="shared" si="14"/>
        <v/>
      </c>
      <c r="AS27" s="127" t="str">
        <f t="shared" si="14"/>
        <v/>
      </c>
      <c r="AT27" s="127" t="str">
        <f t="shared" si="14"/>
        <v/>
      </c>
      <c r="AU27" s="127" t="str">
        <f t="shared" si="14"/>
        <v/>
      </c>
      <c r="AV27" s="127" t="str">
        <f t="shared" si="14"/>
        <v/>
      </c>
      <c r="AW27" s="127" t="str">
        <f t="shared" si="14"/>
        <v/>
      </c>
      <c r="AX27" s="127" t="str">
        <f t="shared" si="14"/>
        <v/>
      </c>
      <c r="AY27" s="127" t="str">
        <f t="shared" si="14"/>
        <v/>
      </c>
      <c r="AZ27" s="127" t="str">
        <f t="shared" si="14"/>
        <v/>
      </c>
      <c r="BA27" s="127" t="str">
        <f t="shared" si="14"/>
        <v/>
      </c>
      <c r="BB27" s="127" t="str">
        <f t="shared" si="14"/>
        <v/>
      </c>
      <c r="BC27" s="127" t="str">
        <f t="shared" si="14"/>
        <v/>
      </c>
      <c r="BD27" s="127" t="str">
        <f t="shared" si="14"/>
        <v/>
      </c>
      <c r="BE27" s="127" t="str">
        <f t="shared" si="14"/>
        <v/>
      </c>
      <c r="BF27" s="127" t="str">
        <f t="shared" si="14"/>
        <v/>
      </c>
      <c r="BG27" s="127" t="str">
        <f t="shared" si="13"/>
        <v/>
      </c>
      <c r="BH27" s="127" t="str">
        <f t="shared" si="12"/>
        <v/>
      </c>
      <c r="BI27" s="127" t="str">
        <f t="shared" si="12"/>
        <v/>
      </c>
      <c r="BJ27" s="127" t="str">
        <f t="shared" si="12"/>
        <v/>
      </c>
      <c r="BK27" s="127" t="str">
        <f t="shared" si="12"/>
        <v/>
      </c>
      <c r="BL27" s="127" t="str">
        <f t="shared" si="12"/>
        <v/>
      </c>
      <c r="BM27" s="127" t="str">
        <f t="shared" si="12"/>
        <v/>
      </c>
      <c r="BN27" s="127" t="str">
        <f t="shared" si="12"/>
        <v/>
      </c>
      <c r="BO27" s="127" t="str">
        <f t="shared" si="12"/>
        <v/>
      </c>
      <c r="BP27" s="127" t="str">
        <f t="shared" si="12"/>
        <v/>
      </c>
      <c r="BQ27" s="127" t="str">
        <f t="shared" si="12"/>
        <v/>
      </c>
      <c r="BR27" s="127" t="str">
        <f t="shared" si="12"/>
        <v/>
      </c>
      <c r="BS27" s="127" t="str">
        <f t="shared" si="12"/>
        <v/>
      </c>
      <c r="BT27" s="127" t="str">
        <f t="shared" si="16"/>
        <v/>
      </c>
      <c r="BU27" s="127" t="str">
        <f t="shared" si="16"/>
        <v/>
      </c>
      <c r="BV27" s="127" t="str">
        <f t="shared" si="16"/>
        <v/>
      </c>
      <c r="BW27" s="127" t="str">
        <f t="shared" si="16"/>
        <v/>
      </c>
      <c r="BX27" s="127" t="str">
        <f t="shared" si="16"/>
        <v/>
      </c>
      <c r="BY27" s="127" t="str">
        <f t="shared" si="16"/>
        <v/>
      </c>
      <c r="BZ27" s="127" t="str">
        <f t="shared" si="16"/>
        <v/>
      </c>
      <c r="CA27" s="127" t="str">
        <f t="shared" si="16"/>
        <v/>
      </c>
      <c r="CB27" s="127" t="str">
        <f t="shared" si="16"/>
        <v/>
      </c>
      <c r="CC27" s="127" t="str">
        <f t="shared" si="16"/>
        <v/>
      </c>
      <c r="CD27" s="127" t="str">
        <f t="shared" si="16"/>
        <v/>
      </c>
      <c r="CE27" s="127" t="str">
        <f t="shared" si="16"/>
        <v/>
      </c>
    </row>
    <row r="28" spans="1:83" ht="12.6" hidden="1" customHeight="1" x14ac:dyDescent="0.2">
      <c r="A28" s="106">
        <f>SHIPMENTS!A34</f>
        <v>9247</v>
      </c>
      <c r="B28" s="106" t="str">
        <f>SHIPMENTS!B34</f>
        <v>15900- Batangas City |Angela Joy Medes Mandigma</v>
      </c>
      <c r="C28" s="132">
        <f>SHIPMENTS!F34</f>
        <v>0.188</v>
      </c>
      <c r="D28" s="107" t="str">
        <f>IF((SHIPMENTS!I34)=0,"",SHIPMENTS!I34)</f>
        <v/>
      </c>
      <c r="E28" s="176">
        <f>IF((SHIPMENTS!G34)=0,"",SHIPMENTS!G34)</f>
        <v>46323</v>
      </c>
      <c r="F28" s="97">
        <f>VLOOKUP(A28,Items!$A$5:$J$1000,2,0)</f>
        <v>0</v>
      </c>
      <c r="G28" s="98">
        <f>VLOOKUP(A28,load!$A$4:$U$5001,10,0)</f>
        <v>0</v>
      </c>
      <c r="H28" s="97">
        <v>13</v>
      </c>
      <c r="I28" s="98">
        <f t="shared" si="7"/>
        <v>118.3</v>
      </c>
      <c r="J28" s="99">
        <f t="shared" si="0"/>
        <v>0</v>
      </c>
      <c r="K28" s="99">
        <f t="shared" si="8"/>
        <v>0</v>
      </c>
      <c r="L28" s="98">
        <f t="shared" si="1"/>
        <v>0</v>
      </c>
      <c r="M28" s="98">
        <f t="shared" si="2"/>
        <v>0</v>
      </c>
      <c r="N28" s="181">
        <f t="shared" si="10"/>
        <v>46321.135672020282</v>
      </c>
      <c r="O28" s="181">
        <f t="shared" si="17"/>
        <v>46321.135672020282</v>
      </c>
      <c r="P28" s="112" t="str">
        <f>VLOOKUP(A28,SHIPMENTS!$A$7:$AP$76,41,0)</f>
        <v>n/a</v>
      </c>
      <c r="Q28" s="101"/>
      <c r="R28" s="127" t="str">
        <f t="shared" si="15"/>
        <v/>
      </c>
      <c r="S28" s="127" t="str">
        <f t="shared" si="15"/>
        <v/>
      </c>
      <c r="T28" s="127" t="str">
        <f t="shared" si="15"/>
        <v/>
      </c>
      <c r="U28" s="127" t="str">
        <f t="shared" si="15"/>
        <v/>
      </c>
      <c r="V28" s="127" t="str">
        <f t="shared" si="15"/>
        <v/>
      </c>
      <c r="W28" s="127" t="str">
        <f t="shared" si="15"/>
        <v/>
      </c>
      <c r="X28" s="127" t="str">
        <f t="shared" si="15"/>
        <v/>
      </c>
      <c r="Y28" s="127" t="str">
        <f t="shared" si="15"/>
        <v/>
      </c>
      <c r="Z28" s="127" t="str">
        <f t="shared" si="15"/>
        <v>▲</v>
      </c>
      <c r="AA28" s="127" t="str">
        <f t="shared" si="15"/>
        <v/>
      </c>
      <c r="AB28" s="127" t="str">
        <f t="shared" si="15"/>
        <v/>
      </c>
      <c r="AC28" s="127" t="str">
        <f t="shared" si="15"/>
        <v/>
      </c>
      <c r="AD28" s="127" t="str">
        <f t="shared" si="15"/>
        <v/>
      </c>
      <c r="AE28" s="127" t="str">
        <f t="shared" si="15"/>
        <v/>
      </c>
      <c r="AF28" s="127" t="str">
        <f t="shared" si="15"/>
        <v/>
      </c>
      <c r="AG28" s="127" t="str">
        <f t="shared" si="15"/>
        <v/>
      </c>
      <c r="AH28" s="127" t="str">
        <f t="shared" si="14"/>
        <v/>
      </c>
      <c r="AI28" s="127" t="str">
        <f t="shared" si="14"/>
        <v/>
      </c>
      <c r="AJ28" s="127" t="str">
        <f t="shared" si="14"/>
        <v/>
      </c>
      <c r="AK28" s="127" t="str">
        <f t="shared" si="14"/>
        <v/>
      </c>
      <c r="AL28" s="127" t="str">
        <f t="shared" si="14"/>
        <v/>
      </c>
      <c r="AM28" s="127" t="str">
        <f t="shared" si="14"/>
        <v/>
      </c>
      <c r="AN28" s="127" t="str">
        <f t="shared" si="14"/>
        <v/>
      </c>
      <c r="AO28" s="127" t="str">
        <f t="shared" si="14"/>
        <v/>
      </c>
      <c r="AP28" s="127" t="str">
        <f t="shared" si="14"/>
        <v/>
      </c>
      <c r="AQ28" s="127" t="str">
        <f t="shared" si="14"/>
        <v/>
      </c>
      <c r="AR28" s="127" t="str">
        <f t="shared" si="14"/>
        <v/>
      </c>
      <c r="AS28" s="127" t="str">
        <f t="shared" si="14"/>
        <v/>
      </c>
      <c r="AT28" s="127" t="str">
        <f t="shared" si="14"/>
        <v/>
      </c>
      <c r="AU28" s="127" t="str">
        <f t="shared" si="14"/>
        <v/>
      </c>
      <c r="AV28" s="127" t="str">
        <f t="shared" si="14"/>
        <v/>
      </c>
      <c r="AW28" s="127" t="str">
        <f t="shared" si="14"/>
        <v/>
      </c>
      <c r="AX28" s="127" t="str">
        <f t="shared" si="14"/>
        <v/>
      </c>
      <c r="AY28" s="127" t="str">
        <f t="shared" si="14"/>
        <v/>
      </c>
      <c r="AZ28" s="127" t="str">
        <f t="shared" si="14"/>
        <v/>
      </c>
      <c r="BA28" s="127" t="str">
        <f t="shared" si="14"/>
        <v/>
      </c>
      <c r="BB28" s="127" t="str">
        <f t="shared" si="14"/>
        <v/>
      </c>
      <c r="BC28" s="127" t="str">
        <f t="shared" si="14"/>
        <v/>
      </c>
      <c r="BD28" s="127" t="str">
        <f t="shared" si="14"/>
        <v/>
      </c>
      <c r="BE28" s="127" t="str">
        <f t="shared" si="14"/>
        <v/>
      </c>
      <c r="BF28" s="127" t="str">
        <f t="shared" si="14"/>
        <v/>
      </c>
      <c r="BG28" s="127" t="str">
        <f t="shared" si="13"/>
        <v/>
      </c>
      <c r="BH28" s="127" t="str">
        <f t="shared" si="12"/>
        <v/>
      </c>
      <c r="BI28" s="127" t="str">
        <f t="shared" si="12"/>
        <v/>
      </c>
      <c r="BJ28" s="127" t="str">
        <f t="shared" si="12"/>
        <v/>
      </c>
      <c r="BK28" s="127" t="str">
        <f t="shared" si="12"/>
        <v/>
      </c>
      <c r="BL28" s="127" t="str">
        <f t="shared" si="12"/>
        <v/>
      </c>
      <c r="BM28" s="127" t="str">
        <f t="shared" si="12"/>
        <v/>
      </c>
      <c r="BN28" s="127" t="str">
        <f t="shared" si="12"/>
        <v/>
      </c>
      <c r="BO28" s="127" t="str">
        <f t="shared" si="12"/>
        <v/>
      </c>
      <c r="BP28" s="127" t="str">
        <f t="shared" si="12"/>
        <v/>
      </c>
      <c r="BQ28" s="127" t="str">
        <f t="shared" si="12"/>
        <v/>
      </c>
      <c r="BR28" s="127" t="str">
        <f t="shared" si="12"/>
        <v/>
      </c>
      <c r="BS28" s="127" t="str">
        <f t="shared" si="12"/>
        <v/>
      </c>
      <c r="BT28" s="127" t="str">
        <f t="shared" si="16"/>
        <v/>
      </c>
      <c r="BU28" s="127" t="str">
        <f t="shared" si="16"/>
        <v/>
      </c>
      <c r="BV28" s="127" t="str">
        <f t="shared" si="16"/>
        <v/>
      </c>
      <c r="BW28" s="127" t="str">
        <f t="shared" si="16"/>
        <v/>
      </c>
      <c r="BX28" s="127" t="str">
        <f t="shared" si="16"/>
        <v/>
      </c>
      <c r="BY28" s="127" t="str">
        <f t="shared" si="16"/>
        <v/>
      </c>
      <c r="BZ28" s="127" t="str">
        <f t="shared" si="16"/>
        <v/>
      </c>
      <c r="CA28" s="127" t="str">
        <f t="shared" si="16"/>
        <v/>
      </c>
      <c r="CB28" s="127" t="str">
        <f t="shared" si="16"/>
        <v/>
      </c>
      <c r="CC28" s="127" t="str">
        <f t="shared" si="16"/>
        <v/>
      </c>
      <c r="CD28" s="127" t="str">
        <f t="shared" si="16"/>
        <v/>
      </c>
      <c r="CE28" s="127" t="str">
        <f t="shared" si="16"/>
        <v/>
      </c>
    </row>
    <row r="29" spans="1:83" ht="12.6" hidden="1" customHeight="1" x14ac:dyDescent="0.2">
      <c r="A29" s="106">
        <f>SHIPMENTS!A35</f>
        <v>9302</v>
      </c>
      <c r="B29" s="106" t="str">
        <f>SHIPMENTS!B35</f>
        <v>15900- Binangonan Rizal |Dr. Jonathan Emmanuel Sandejas</v>
      </c>
      <c r="C29" s="132">
        <f>SHIPMENTS!F35</f>
        <v>0.14499999999999999</v>
      </c>
      <c r="D29" s="107" t="str">
        <f>IF((SHIPMENTS!I35)=0,"",SHIPMENTS!I35)</f>
        <v/>
      </c>
      <c r="E29" s="176">
        <f>IF((SHIPMENTS!G35)=0,"",SHIPMENTS!G35)</f>
        <v>46323</v>
      </c>
      <c r="F29" s="97">
        <f>VLOOKUP(A29,Items!$A$5:$J$1000,2,0)</f>
        <v>0</v>
      </c>
      <c r="G29" s="98">
        <f>VLOOKUP(A29,load!$A$4:$U$5001,10,0)</f>
        <v>0</v>
      </c>
      <c r="H29" s="97">
        <v>13</v>
      </c>
      <c r="I29" s="98">
        <f t="shared" si="7"/>
        <v>118.3</v>
      </c>
      <c r="J29" s="99">
        <f t="shared" si="0"/>
        <v>0</v>
      </c>
      <c r="K29" s="99">
        <f t="shared" si="8"/>
        <v>0</v>
      </c>
      <c r="L29" s="98">
        <f t="shared" si="1"/>
        <v>0</v>
      </c>
      <c r="M29" s="98">
        <f t="shared" si="2"/>
        <v>0</v>
      </c>
      <c r="N29" s="181">
        <f t="shared" si="10"/>
        <v>46321.135672020282</v>
      </c>
      <c r="O29" s="181">
        <f t="shared" si="17"/>
        <v>46321.135672020282</v>
      </c>
      <c r="P29" s="112" t="str">
        <f>VLOOKUP(A29,SHIPMENTS!$A$7:$AP$76,41,0)</f>
        <v>n/a</v>
      </c>
      <c r="Q29" s="101"/>
      <c r="R29" s="127" t="str">
        <f t="shared" si="15"/>
        <v/>
      </c>
      <c r="S29" s="127" t="str">
        <f t="shared" si="15"/>
        <v/>
      </c>
      <c r="T29" s="127" t="str">
        <f t="shared" si="15"/>
        <v/>
      </c>
      <c r="U29" s="127" t="str">
        <f t="shared" si="15"/>
        <v/>
      </c>
      <c r="V29" s="127" t="str">
        <f t="shared" si="15"/>
        <v/>
      </c>
      <c r="W29" s="127" t="str">
        <f t="shared" si="15"/>
        <v/>
      </c>
      <c r="X29" s="127" t="str">
        <f t="shared" si="15"/>
        <v/>
      </c>
      <c r="Y29" s="127" t="str">
        <f t="shared" si="15"/>
        <v/>
      </c>
      <c r="Z29" s="127" t="str">
        <f t="shared" si="15"/>
        <v>▲</v>
      </c>
      <c r="AA29" s="127" t="str">
        <f t="shared" si="15"/>
        <v/>
      </c>
      <c r="AB29" s="127" t="str">
        <f t="shared" si="15"/>
        <v/>
      </c>
      <c r="AC29" s="127" t="str">
        <f t="shared" si="15"/>
        <v/>
      </c>
      <c r="AD29" s="127" t="str">
        <f t="shared" si="15"/>
        <v/>
      </c>
      <c r="AE29" s="127" t="str">
        <f t="shared" si="15"/>
        <v/>
      </c>
      <c r="AF29" s="127" t="str">
        <f t="shared" si="15"/>
        <v/>
      </c>
      <c r="AG29" s="127" t="str">
        <f t="shared" si="15"/>
        <v/>
      </c>
      <c r="AH29" s="127" t="str">
        <f t="shared" si="14"/>
        <v/>
      </c>
      <c r="AI29" s="127" t="str">
        <f t="shared" si="14"/>
        <v/>
      </c>
      <c r="AJ29" s="127" t="str">
        <f t="shared" si="14"/>
        <v/>
      </c>
      <c r="AK29" s="127" t="str">
        <f t="shared" si="14"/>
        <v/>
      </c>
      <c r="AL29" s="127" t="str">
        <f t="shared" si="14"/>
        <v/>
      </c>
      <c r="AM29" s="127" t="str">
        <f t="shared" si="14"/>
        <v/>
      </c>
      <c r="AN29" s="127" t="str">
        <f t="shared" si="14"/>
        <v/>
      </c>
      <c r="AO29" s="127" t="str">
        <f t="shared" si="14"/>
        <v/>
      </c>
      <c r="AP29" s="127" t="str">
        <f t="shared" si="14"/>
        <v/>
      </c>
      <c r="AQ29" s="127" t="str">
        <f t="shared" si="14"/>
        <v/>
      </c>
      <c r="AR29" s="127" t="str">
        <f t="shared" si="14"/>
        <v/>
      </c>
      <c r="AS29" s="127" t="str">
        <f t="shared" si="14"/>
        <v/>
      </c>
      <c r="AT29" s="127" t="str">
        <f t="shared" si="14"/>
        <v/>
      </c>
      <c r="AU29" s="127" t="str">
        <f t="shared" si="14"/>
        <v/>
      </c>
      <c r="AV29" s="127" t="str">
        <f t="shared" si="14"/>
        <v/>
      </c>
      <c r="AW29" s="127" t="str">
        <f t="shared" si="14"/>
        <v/>
      </c>
      <c r="AX29" s="127" t="str">
        <f t="shared" si="14"/>
        <v/>
      </c>
      <c r="AY29" s="127" t="str">
        <f t="shared" si="14"/>
        <v/>
      </c>
      <c r="AZ29" s="127" t="str">
        <f t="shared" si="14"/>
        <v/>
      </c>
      <c r="BA29" s="127" t="str">
        <f t="shared" si="14"/>
        <v/>
      </c>
      <c r="BB29" s="127" t="str">
        <f t="shared" si="14"/>
        <v/>
      </c>
      <c r="BC29" s="127" t="str">
        <f t="shared" si="14"/>
        <v/>
      </c>
      <c r="BD29" s="127" t="str">
        <f t="shared" si="14"/>
        <v/>
      </c>
      <c r="BE29" s="127" t="str">
        <f t="shared" si="14"/>
        <v/>
      </c>
      <c r="BF29" s="127" t="str">
        <f t="shared" si="14"/>
        <v/>
      </c>
      <c r="BG29" s="127" t="str">
        <f t="shared" si="13"/>
        <v/>
      </c>
      <c r="BH29" s="127" t="str">
        <f t="shared" si="12"/>
        <v/>
      </c>
      <c r="BI29" s="127" t="str">
        <f t="shared" si="12"/>
        <v/>
      </c>
      <c r="BJ29" s="127" t="str">
        <f t="shared" si="12"/>
        <v/>
      </c>
      <c r="BK29" s="127" t="str">
        <f t="shared" si="12"/>
        <v/>
      </c>
      <c r="BL29" s="127" t="str">
        <f t="shared" si="12"/>
        <v/>
      </c>
      <c r="BM29" s="127" t="str">
        <f t="shared" si="12"/>
        <v/>
      </c>
      <c r="BN29" s="127" t="str">
        <f t="shared" si="12"/>
        <v/>
      </c>
      <c r="BO29" s="127" t="str">
        <f t="shared" si="12"/>
        <v/>
      </c>
      <c r="BP29" s="127" t="str">
        <f t="shared" si="12"/>
        <v/>
      </c>
      <c r="BQ29" s="127" t="str">
        <f t="shared" si="12"/>
        <v/>
      </c>
      <c r="BR29" s="127" t="str">
        <f t="shared" si="12"/>
        <v/>
      </c>
      <c r="BS29" s="127" t="str">
        <f t="shared" si="12"/>
        <v/>
      </c>
      <c r="BT29" s="127" t="str">
        <f t="shared" si="16"/>
        <v/>
      </c>
      <c r="BU29" s="127" t="str">
        <f t="shared" si="16"/>
        <v/>
      </c>
      <c r="BV29" s="127" t="str">
        <f t="shared" si="16"/>
        <v/>
      </c>
      <c r="BW29" s="127" t="str">
        <f t="shared" si="16"/>
        <v/>
      </c>
      <c r="BX29" s="127" t="str">
        <f t="shared" si="16"/>
        <v/>
      </c>
      <c r="BY29" s="127" t="str">
        <f t="shared" si="16"/>
        <v/>
      </c>
      <c r="BZ29" s="127" t="str">
        <f t="shared" si="16"/>
        <v/>
      </c>
      <c r="CA29" s="127" t="str">
        <f t="shared" si="16"/>
        <v/>
      </c>
      <c r="CB29" s="127" t="str">
        <f t="shared" si="16"/>
        <v/>
      </c>
      <c r="CC29" s="127" t="str">
        <f t="shared" si="16"/>
        <v/>
      </c>
      <c r="CD29" s="127" t="str">
        <f t="shared" si="16"/>
        <v/>
      </c>
      <c r="CE29" s="127" t="str">
        <f t="shared" si="16"/>
        <v/>
      </c>
    </row>
    <row r="30" spans="1:83" ht="12.6" hidden="1" customHeight="1" x14ac:dyDescent="0.2">
      <c r="A30" s="106">
        <f>SHIPMENTS!A36</f>
        <v>8954</v>
      </c>
      <c r="B30" s="106" t="str">
        <f>SHIPMENTS!B36</f>
        <v>15900- Cainta Rizal | Mary Baquiran</v>
      </c>
      <c r="C30" s="132">
        <f>SHIPMENTS!F36</f>
        <v>6.4999999999999997E-3</v>
      </c>
      <c r="D30" s="107" t="str">
        <f>IF((SHIPMENTS!I36)=0,"",SHIPMENTS!I36)</f>
        <v/>
      </c>
      <c r="E30" s="176">
        <f>IF((SHIPMENTS!G36)=0,"",SHIPMENTS!G36)</f>
        <v>46323</v>
      </c>
      <c r="F30" s="97">
        <f>VLOOKUP(A30,Items!$A$5:$J$1000,2,0)</f>
        <v>0</v>
      </c>
      <c r="G30" s="98">
        <f>VLOOKUP(A30,load!$A$4:$U$5001,10,0)</f>
        <v>0</v>
      </c>
      <c r="H30" s="97">
        <v>13</v>
      </c>
      <c r="I30" s="98">
        <f t="shared" si="7"/>
        <v>118.3</v>
      </c>
      <c r="J30" s="99">
        <f t="shared" si="0"/>
        <v>0</v>
      </c>
      <c r="K30" s="99">
        <f t="shared" si="8"/>
        <v>0</v>
      </c>
      <c r="L30" s="98">
        <f t="shared" si="1"/>
        <v>0</v>
      </c>
      <c r="M30" s="98">
        <f t="shared" si="2"/>
        <v>0</v>
      </c>
      <c r="N30" s="181">
        <f t="shared" si="10"/>
        <v>46321.135672020282</v>
      </c>
      <c r="O30" s="181">
        <f t="shared" si="17"/>
        <v>46321.135672020282</v>
      </c>
      <c r="P30" s="112" t="str">
        <f>VLOOKUP(A30,SHIPMENTS!$A$7:$AP$76,41,0)</f>
        <v>n/a</v>
      </c>
      <c r="Q30" s="101"/>
      <c r="R30" s="127" t="str">
        <f t="shared" si="15"/>
        <v/>
      </c>
      <c r="S30" s="127" t="str">
        <f t="shared" si="15"/>
        <v/>
      </c>
      <c r="T30" s="127" t="str">
        <f t="shared" si="15"/>
        <v/>
      </c>
      <c r="U30" s="127" t="str">
        <f t="shared" si="15"/>
        <v/>
      </c>
      <c r="V30" s="127" t="str">
        <f t="shared" si="15"/>
        <v/>
      </c>
      <c r="W30" s="127" t="str">
        <f t="shared" si="15"/>
        <v/>
      </c>
      <c r="X30" s="127" t="str">
        <f t="shared" si="15"/>
        <v/>
      </c>
      <c r="Y30" s="127" t="str">
        <f t="shared" si="15"/>
        <v/>
      </c>
      <c r="Z30" s="127" t="str">
        <f t="shared" si="15"/>
        <v>▲</v>
      </c>
      <c r="AA30" s="127" t="str">
        <f t="shared" si="15"/>
        <v/>
      </c>
      <c r="AB30" s="127" t="str">
        <f t="shared" si="15"/>
        <v/>
      </c>
      <c r="AC30" s="127" t="str">
        <f t="shared" si="15"/>
        <v/>
      </c>
      <c r="AD30" s="127" t="str">
        <f t="shared" si="15"/>
        <v/>
      </c>
      <c r="AE30" s="127" t="str">
        <f t="shared" si="15"/>
        <v/>
      </c>
      <c r="AF30" s="127" t="str">
        <f t="shared" si="15"/>
        <v/>
      </c>
      <c r="AG30" s="127" t="str">
        <f t="shared" si="15"/>
        <v/>
      </c>
      <c r="AH30" s="127" t="str">
        <f t="shared" si="14"/>
        <v/>
      </c>
      <c r="AI30" s="127" t="str">
        <f t="shared" si="14"/>
        <v/>
      </c>
      <c r="AJ30" s="127" t="str">
        <f t="shared" si="14"/>
        <v/>
      </c>
      <c r="AK30" s="127" t="str">
        <f t="shared" si="14"/>
        <v/>
      </c>
      <c r="AL30" s="127" t="str">
        <f t="shared" si="14"/>
        <v/>
      </c>
      <c r="AM30" s="127" t="str">
        <f t="shared" si="14"/>
        <v/>
      </c>
      <c r="AN30" s="127" t="str">
        <f t="shared" si="14"/>
        <v/>
      </c>
      <c r="AO30" s="127" t="str">
        <f t="shared" si="14"/>
        <v/>
      </c>
      <c r="AP30" s="127" t="str">
        <f t="shared" si="14"/>
        <v/>
      </c>
      <c r="AQ30" s="127" t="str">
        <f t="shared" si="14"/>
        <v/>
      </c>
      <c r="AR30" s="127" t="str">
        <f t="shared" si="14"/>
        <v/>
      </c>
      <c r="AS30" s="127" t="str">
        <f t="shared" si="14"/>
        <v/>
      </c>
      <c r="AT30" s="127" t="str">
        <f t="shared" si="14"/>
        <v/>
      </c>
      <c r="AU30" s="127" t="str">
        <f t="shared" si="14"/>
        <v/>
      </c>
      <c r="AV30" s="127" t="str">
        <f t="shared" si="14"/>
        <v/>
      </c>
      <c r="AW30" s="127" t="str">
        <f t="shared" si="14"/>
        <v/>
      </c>
      <c r="AX30" s="127" t="str">
        <f t="shared" si="14"/>
        <v/>
      </c>
      <c r="AY30" s="127" t="str">
        <f t="shared" si="14"/>
        <v/>
      </c>
      <c r="AZ30" s="127" t="str">
        <f t="shared" si="14"/>
        <v/>
      </c>
      <c r="BA30" s="127" t="str">
        <f t="shared" si="14"/>
        <v/>
      </c>
      <c r="BB30" s="127" t="str">
        <f t="shared" si="14"/>
        <v/>
      </c>
      <c r="BC30" s="127" t="str">
        <f t="shared" si="14"/>
        <v/>
      </c>
      <c r="BD30" s="127" t="str">
        <f t="shared" si="14"/>
        <v/>
      </c>
      <c r="BE30" s="127" t="str">
        <f t="shared" si="14"/>
        <v/>
      </c>
      <c r="BF30" s="127" t="str">
        <f t="shared" si="14"/>
        <v/>
      </c>
      <c r="BG30" s="127" t="str">
        <f t="shared" si="13"/>
        <v/>
      </c>
      <c r="BH30" s="127" t="str">
        <f t="shared" si="13"/>
        <v/>
      </c>
      <c r="BI30" s="127" t="str">
        <f t="shared" si="13"/>
        <v/>
      </c>
      <c r="BJ30" s="127" t="str">
        <f t="shared" si="13"/>
        <v/>
      </c>
      <c r="BK30" s="127" t="str">
        <f t="shared" si="13"/>
        <v/>
      </c>
      <c r="BL30" s="127" t="str">
        <f t="shared" si="13"/>
        <v/>
      </c>
      <c r="BM30" s="127" t="str">
        <f t="shared" si="13"/>
        <v/>
      </c>
      <c r="BN30" s="127" t="str">
        <f t="shared" si="13"/>
        <v/>
      </c>
      <c r="BO30" s="127" t="str">
        <f t="shared" si="13"/>
        <v/>
      </c>
      <c r="BP30" s="127" t="str">
        <f t="shared" si="13"/>
        <v/>
      </c>
      <c r="BQ30" s="127" t="str">
        <f t="shared" si="13"/>
        <v/>
      </c>
      <c r="BR30" s="127" t="str">
        <f t="shared" si="13"/>
        <v/>
      </c>
      <c r="BS30" s="127" t="str">
        <f t="shared" si="13"/>
        <v/>
      </c>
      <c r="BT30" s="127" t="str">
        <f t="shared" si="16"/>
        <v/>
      </c>
      <c r="BU30" s="127" t="str">
        <f t="shared" si="16"/>
        <v/>
      </c>
      <c r="BV30" s="127" t="str">
        <f t="shared" si="16"/>
        <v/>
      </c>
      <c r="BW30" s="127" t="str">
        <f t="shared" si="16"/>
        <v/>
      </c>
      <c r="BX30" s="127" t="str">
        <f t="shared" si="16"/>
        <v/>
      </c>
      <c r="BY30" s="127" t="str">
        <f t="shared" si="16"/>
        <v/>
      </c>
      <c r="BZ30" s="127" t="str">
        <f t="shared" si="16"/>
        <v/>
      </c>
      <c r="CA30" s="127" t="str">
        <f t="shared" si="16"/>
        <v/>
      </c>
      <c r="CB30" s="127" t="str">
        <f t="shared" si="16"/>
        <v/>
      </c>
      <c r="CC30" s="127" t="str">
        <f t="shared" si="16"/>
        <v/>
      </c>
      <c r="CD30" s="127" t="str">
        <f t="shared" si="16"/>
        <v/>
      </c>
      <c r="CE30" s="127" t="str">
        <f t="shared" si="16"/>
        <v/>
      </c>
    </row>
    <row r="31" spans="1:83" ht="12.6" hidden="1" customHeight="1" x14ac:dyDescent="0.2">
      <c r="A31" s="106">
        <f>SHIPMENTS!A37</f>
        <v>9064</v>
      </c>
      <c r="B31" s="106" t="str">
        <f>SHIPMENTS!B37</f>
        <v>15900- Quezon City | Hans Jason Tan</v>
      </c>
      <c r="C31" s="132">
        <f>SHIPMENTS!F37</f>
        <v>6.4999999999999997E-3</v>
      </c>
      <c r="D31" s="107" t="str">
        <f>IF((SHIPMENTS!I37)=0,"",SHIPMENTS!I37)</f>
        <v/>
      </c>
      <c r="E31" s="176">
        <f>IF((SHIPMENTS!G37)=0,"",SHIPMENTS!G37)</f>
        <v>46323</v>
      </c>
      <c r="F31" s="97">
        <f>VLOOKUP(A31,Items!$A$5:$J$1000,2,0)</f>
        <v>0</v>
      </c>
      <c r="G31" s="98">
        <f>VLOOKUP(A31,load!$A$4:$U$5001,10,0)</f>
        <v>0</v>
      </c>
      <c r="H31" s="97">
        <v>13</v>
      </c>
      <c r="I31" s="98">
        <f t="shared" si="7"/>
        <v>118.3</v>
      </c>
      <c r="J31" s="99">
        <f t="shared" si="0"/>
        <v>0</v>
      </c>
      <c r="K31" s="99">
        <f t="shared" si="8"/>
        <v>0</v>
      </c>
      <c r="L31" s="98">
        <f t="shared" si="1"/>
        <v>0</v>
      </c>
      <c r="M31" s="98">
        <f t="shared" si="2"/>
        <v>0</v>
      </c>
      <c r="N31" s="181">
        <f t="shared" si="10"/>
        <v>46321.135672020282</v>
      </c>
      <c r="O31" s="181">
        <f t="shared" si="17"/>
        <v>46321.135672020282</v>
      </c>
      <c r="P31" s="112" t="str">
        <f>VLOOKUP(A31,SHIPMENTS!$A$7:$AP$76,41,0)</f>
        <v>n/a</v>
      </c>
      <c r="Q31" s="101"/>
      <c r="R31" s="127" t="str">
        <f t="shared" si="15"/>
        <v/>
      </c>
      <c r="S31" s="127" t="str">
        <f t="shared" si="15"/>
        <v/>
      </c>
      <c r="T31" s="127" t="str">
        <f t="shared" si="15"/>
        <v/>
      </c>
      <c r="U31" s="127" t="str">
        <f t="shared" si="15"/>
        <v/>
      </c>
      <c r="V31" s="127" t="str">
        <f t="shared" si="15"/>
        <v/>
      </c>
      <c r="W31" s="127" t="str">
        <f t="shared" si="15"/>
        <v/>
      </c>
      <c r="X31" s="127" t="str">
        <f t="shared" si="15"/>
        <v/>
      </c>
      <c r="Y31" s="127" t="str">
        <f t="shared" si="15"/>
        <v/>
      </c>
      <c r="Z31" s="127" t="str">
        <f t="shared" si="15"/>
        <v>▲</v>
      </c>
      <c r="AA31" s="127" t="str">
        <f t="shared" si="15"/>
        <v/>
      </c>
      <c r="AB31" s="127" t="str">
        <f t="shared" si="15"/>
        <v/>
      </c>
      <c r="AC31" s="127" t="str">
        <f t="shared" si="15"/>
        <v/>
      </c>
      <c r="AD31" s="127" t="str">
        <f t="shared" si="15"/>
        <v/>
      </c>
      <c r="AE31" s="127" t="str">
        <f t="shared" si="15"/>
        <v/>
      </c>
      <c r="AF31" s="127" t="str">
        <f t="shared" si="15"/>
        <v/>
      </c>
      <c r="AG31" s="127" t="str">
        <f t="shared" si="15"/>
        <v/>
      </c>
      <c r="AH31" s="127" t="str">
        <f t="shared" si="14"/>
        <v/>
      </c>
      <c r="AI31" s="127" t="str">
        <f t="shared" si="14"/>
        <v/>
      </c>
      <c r="AJ31" s="127" t="str">
        <f t="shared" si="14"/>
        <v/>
      </c>
      <c r="AK31" s="127" t="str">
        <f t="shared" si="14"/>
        <v/>
      </c>
      <c r="AL31" s="127" t="str">
        <f t="shared" si="14"/>
        <v/>
      </c>
      <c r="AM31" s="127" t="str">
        <f t="shared" si="14"/>
        <v/>
      </c>
      <c r="AN31" s="127" t="str">
        <f t="shared" si="14"/>
        <v/>
      </c>
      <c r="AO31" s="127" t="str">
        <f t="shared" si="14"/>
        <v/>
      </c>
      <c r="AP31" s="127" t="str">
        <f t="shared" si="14"/>
        <v/>
      </c>
      <c r="AQ31" s="127" t="str">
        <f t="shared" si="14"/>
        <v/>
      </c>
      <c r="AR31" s="127" t="str">
        <f t="shared" si="14"/>
        <v/>
      </c>
      <c r="AS31" s="127" t="str">
        <f t="shared" si="14"/>
        <v/>
      </c>
      <c r="AT31" s="127" t="str">
        <f t="shared" si="14"/>
        <v/>
      </c>
      <c r="AU31" s="127" t="str">
        <f t="shared" si="14"/>
        <v/>
      </c>
      <c r="AV31" s="127" t="str">
        <f t="shared" si="14"/>
        <v/>
      </c>
      <c r="AW31" s="127" t="str">
        <f t="shared" si="14"/>
        <v/>
      </c>
      <c r="AX31" s="127" t="str">
        <f t="shared" si="14"/>
        <v/>
      </c>
      <c r="AY31" s="127" t="str">
        <f t="shared" si="14"/>
        <v/>
      </c>
      <c r="AZ31" s="127" t="str">
        <f t="shared" si="14"/>
        <v/>
      </c>
      <c r="BA31" s="127" t="str">
        <f t="shared" si="14"/>
        <v/>
      </c>
      <c r="BB31" s="127" t="str">
        <f t="shared" si="14"/>
        <v/>
      </c>
      <c r="BC31" s="127" t="str">
        <f t="shared" si="14"/>
        <v/>
      </c>
      <c r="BD31" s="127" t="str">
        <f t="shared" si="14"/>
        <v/>
      </c>
      <c r="BE31" s="127" t="str">
        <f t="shared" si="14"/>
        <v/>
      </c>
      <c r="BF31" s="127" t="str">
        <f t="shared" si="14"/>
        <v/>
      </c>
      <c r="BG31" s="127" t="str">
        <f t="shared" si="14"/>
        <v/>
      </c>
      <c r="BH31" s="127" t="str">
        <f t="shared" si="14"/>
        <v/>
      </c>
      <c r="BI31" s="127" t="str">
        <f t="shared" si="14"/>
        <v/>
      </c>
      <c r="BJ31" s="127" t="str">
        <f t="shared" si="14"/>
        <v/>
      </c>
      <c r="BK31" s="127" t="str">
        <f t="shared" si="14"/>
        <v/>
      </c>
      <c r="BL31" s="127" t="str">
        <f t="shared" si="14"/>
        <v/>
      </c>
      <c r="BM31" s="127" t="str">
        <f t="shared" si="14"/>
        <v/>
      </c>
      <c r="BN31" s="127" t="str">
        <f t="shared" si="14"/>
        <v/>
      </c>
      <c r="BO31" s="127" t="str">
        <f t="shared" si="14"/>
        <v/>
      </c>
      <c r="BP31" s="127" t="str">
        <f t="shared" si="14"/>
        <v/>
      </c>
      <c r="BQ31" s="127" t="str">
        <f t="shared" si="14"/>
        <v/>
      </c>
      <c r="BR31" s="127" t="str">
        <f t="shared" si="14"/>
        <v/>
      </c>
      <c r="BS31" s="127" t="str">
        <f t="shared" si="14"/>
        <v/>
      </c>
      <c r="BT31" s="127" t="str">
        <f t="shared" si="16"/>
        <v/>
      </c>
      <c r="BU31" s="127" t="str">
        <f t="shared" si="16"/>
        <v/>
      </c>
      <c r="BV31" s="127" t="str">
        <f t="shared" si="16"/>
        <v/>
      </c>
      <c r="BW31" s="127" t="str">
        <f t="shared" si="16"/>
        <v/>
      </c>
      <c r="BX31" s="127" t="str">
        <f t="shared" si="16"/>
        <v/>
      </c>
      <c r="BY31" s="127" t="str">
        <f t="shared" si="16"/>
        <v/>
      </c>
      <c r="BZ31" s="127" t="str">
        <f t="shared" si="16"/>
        <v/>
      </c>
      <c r="CA31" s="127" t="str">
        <f t="shared" si="16"/>
        <v/>
      </c>
      <c r="CB31" s="127" t="str">
        <f t="shared" si="16"/>
        <v/>
      </c>
      <c r="CC31" s="127" t="str">
        <f t="shared" si="16"/>
        <v/>
      </c>
      <c r="CD31" s="127" t="str">
        <f t="shared" si="16"/>
        <v/>
      </c>
      <c r="CE31" s="127" t="str">
        <f t="shared" si="16"/>
        <v/>
      </c>
    </row>
    <row r="32" spans="1:83" ht="12.6" hidden="1" customHeight="1" x14ac:dyDescent="0.2">
      <c r="A32" s="106">
        <f>SHIPMENTS!A38</f>
        <v>9065</v>
      </c>
      <c r="B32" s="106" t="str">
        <f>SHIPMENTS!B38</f>
        <v>15900- Cavite | Kristine Austria</v>
      </c>
      <c r="C32" s="132">
        <f>SHIPMENTS!F38</f>
        <v>0</v>
      </c>
      <c r="D32" s="107" t="str">
        <f>IF((SHIPMENTS!I38)=0,"",SHIPMENTS!I38)</f>
        <v/>
      </c>
      <c r="E32" s="176">
        <f>IF((SHIPMENTS!G38)=0,"",SHIPMENTS!G38)</f>
        <v>46323</v>
      </c>
      <c r="F32" s="97">
        <f>VLOOKUP(A32,Items!$A$5:$J$1000,2,0)</f>
        <v>0</v>
      </c>
      <c r="G32" s="98">
        <f>VLOOKUP(A32,load!$A$4:$U$5001,10,0)</f>
        <v>0</v>
      </c>
      <c r="H32" s="97">
        <v>13</v>
      </c>
      <c r="I32" s="98">
        <f t="shared" si="7"/>
        <v>118.3</v>
      </c>
      <c r="J32" s="99">
        <f t="shared" si="0"/>
        <v>0</v>
      </c>
      <c r="K32" s="99">
        <f t="shared" si="8"/>
        <v>0</v>
      </c>
      <c r="L32" s="98">
        <f t="shared" si="1"/>
        <v>0</v>
      </c>
      <c r="M32" s="98">
        <f t="shared" si="2"/>
        <v>0</v>
      </c>
      <c r="N32" s="181">
        <f t="shared" si="10"/>
        <v>46321.135672020282</v>
      </c>
      <c r="O32" s="181">
        <f t="shared" si="17"/>
        <v>46321.135672020282</v>
      </c>
      <c r="P32" s="112" t="str">
        <f>VLOOKUP(A32,SHIPMENTS!$A$7:$AP$76,41,0)</f>
        <v>n/a</v>
      </c>
      <c r="Q32" s="101"/>
      <c r="R32" s="127" t="str">
        <f t="shared" si="15"/>
        <v/>
      </c>
      <c r="S32" s="127" t="str">
        <f t="shared" si="15"/>
        <v/>
      </c>
      <c r="T32" s="127" t="str">
        <f t="shared" si="15"/>
        <v/>
      </c>
      <c r="U32" s="127" t="str">
        <f t="shared" si="15"/>
        <v/>
      </c>
      <c r="V32" s="127" t="str">
        <f t="shared" si="15"/>
        <v/>
      </c>
      <c r="W32" s="127" t="str">
        <f t="shared" si="15"/>
        <v/>
      </c>
      <c r="X32" s="127" t="str">
        <f t="shared" si="15"/>
        <v/>
      </c>
      <c r="Y32" s="127" t="str">
        <f t="shared" si="15"/>
        <v/>
      </c>
      <c r="Z32" s="127" t="str">
        <f t="shared" si="15"/>
        <v>▲</v>
      </c>
      <c r="AA32" s="127" t="str">
        <f t="shared" si="15"/>
        <v/>
      </c>
      <c r="AB32" s="127" t="str">
        <f t="shared" si="15"/>
        <v/>
      </c>
      <c r="AC32" s="127" t="str">
        <f t="shared" si="15"/>
        <v/>
      </c>
      <c r="AD32" s="127" t="str">
        <f t="shared" si="15"/>
        <v/>
      </c>
      <c r="AE32" s="127" t="str">
        <f t="shared" si="15"/>
        <v/>
      </c>
      <c r="AF32" s="127" t="str">
        <f t="shared" si="15"/>
        <v/>
      </c>
      <c r="AG32" s="127" t="str">
        <f t="shared" si="15"/>
        <v/>
      </c>
      <c r="AH32" s="127" t="str">
        <f t="shared" si="14"/>
        <v/>
      </c>
      <c r="AI32" s="127" t="str">
        <f t="shared" si="14"/>
        <v/>
      </c>
      <c r="AJ32" s="127" t="str">
        <f t="shared" si="14"/>
        <v/>
      </c>
      <c r="AK32" s="127" t="str">
        <f t="shared" si="14"/>
        <v/>
      </c>
      <c r="AL32" s="127" t="str">
        <f t="shared" si="14"/>
        <v/>
      </c>
      <c r="AM32" s="127" t="str">
        <f t="shared" si="14"/>
        <v/>
      </c>
      <c r="AN32" s="127" t="str">
        <f t="shared" si="14"/>
        <v/>
      </c>
      <c r="AO32" s="127" t="str">
        <f t="shared" si="14"/>
        <v/>
      </c>
      <c r="AP32" s="127" t="str">
        <f t="shared" si="14"/>
        <v/>
      </c>
      <c r="AQ32" s="127" t="str">
        <f t="shared" si="14"/>
        <v/>
      </c>
      <c r="AR32" s="127" t="str">
        <f t="shared" si="14"/>
        <v/>
      </c>
      <c r="AS32" s="127" t="str">
        <f t="shared" si="14"/>
        <v/>
      </c>
      <c r="AT32" s="127" t="str">
        <f t="shared" si="14"/>
        <v/>
      </c>
      <c r="AU32" s="127" t="str">
        <f t="shared" si="14"/>
        <v/>
      </c>
      <c r="AV32" s="127" t="str">
        <f t="shared" si="14"/>
        <v/>
      </c>
      <c r="AW32" s="127" t="str">
        <f t="shared" si="14"/>
        <v/>
      </c>
      <c r="AX32" s="127" t="str">
        <f t="shared" ref="AX32:BS43" si="18">IF($E32=AX$3,"▲","")</f>
        <v/>
      </c>
      <c r="AY32" s="127" t="str">
        <f t="shared" si="18"/>
        <v/>
      </c>
      <c r="AZ32" s="127" t="str">
        <f t="shared" si="18"/>
        <v/>
      </c>
      <c r="BA32" s="127" t="str">
        <f t="shared" si="18"/>
        <v/>
      </c>
      <c r="BB32" s="127" t="str">
        <f t="shared" si="18"/>
        <v/>
      </c>
      <c r="BC32" s="127" t="str">
        <f t="shared" si="18"/>
        <v/>
      </c>
      <c r="BD32" s="127" t="str">
        <f t="shared" si="18"/>
        <v/>
      </c>
      <c r="BE32" s="127" t="str">
        <f t="shared" si="18"/>
        <v/>
      </c>
      <c r="BF32" s="127" t="str">
        <f t="shared" si="18"/>
        <v/>
      </c>
      <c r="BG32" s="127" t="str">
        <f t="shared" si="18"/>
        <v/>
      </c>
      <c r="BH32" s="127" t="str">
        <f t="shared" si="18"/>
        <v/>
      </c>
      <c r="BI32" s="127" t="str">
        <f t="shared" si="18"/>
        <v/>
      </c>
      <c r="BJ32" s="127" t="str">
        <f t="shared" si="18"/>
        <v/>
      </c>
      <c r="BK32" s="127" t="str">
        <f t="shared" si="18"/>
        <v/>
      </c>
      <c r="BL32" s="127" t="str">
        <f t="shared" si="18"/>
        <v/>
      </c>
      <c r="BM32" s="127" t="str">
        <f t="shared" si="18"/>
        <v/>
      </c>
      <c r="BN32" s="127" t="str">
        <f t="shared" si="18"/>
        <v/>
      </c>
      <c r="BO32" s="127" t="str">
        <f t="shared" si="18"/>
        <v/>
      </c>
      <c r="BP32" s="127" t="str">
        <f t="shared" si="18"/>
        <v/>
      </c>
      <c r="BQ32" s="127" t="str">
        <f t="shared" si="18"/>
        <v/>
      </c>
      <c r="BR32" s="127" t="str">
        <f t="shared" si="18"/>
        <v/>
      </c>
      <c r="BS32" s="127" t="str">
        <f t="shared" si="18"/>
        <v/>
      </c>
      <c r="BT32" s="127" t="str">
        <f t="shared" si="16"/>
        <v/>
      </c>
      <c r="BU32" s="127" t="str">
        <f t="shared" si="16"/>
        <v/>
      </c>
      <c r="BV32" s="127" t="str">
        <f t="shared" si="16"/>
        <v/>
      </c>
      <c r="BW32" s="127" t="str">
        <f t="shared" si="16"/>
        <v/>
      </c>
      <c r="BX32" s="127" t="str">
        <f t="shared" si="16"/>
        <v/>
      </c>
      <c r="BY32" s="127" t="str">
        <f t="shared" si="16"/>
        <v/>
      </c>
      <c r="BZ32" s="127" t="str">
        <f t="shared" si="16"/>
        <v/>
      </c>
      <c r="CA32" s="127" t="str">
        <f t="shared" si="16"/>
        <v/>
      </c>
      <c r="CB32" s="127" t="str">
        <f t="shared" si="16"/>
        <v/>
      </c>
      <c r="CC32" s="127" t="str">
        <f t="shared" si="16"/>
        <v/>
      </c>
      <c r="CD32" s="127" t="str">
        <f t="shared" si="16"/>
        <v/>
      </c>
      <c r="CE32" s="127" t="str">
        <f t="shared" si="16"/>
        <v/>
      </c>
    </row>
    <row r="33" spans="1:83" ht="12.6" hidden="1" customHeight="1" x14ac:dyDescent="0.2">
      <c r="A33" s="106">
        <f>SHIPMENTS!A39</f>
        <v>9303</v>
      </c>
      <c r="B33" s="106" t="str">
        <f>SHIPMENTS!B39</f>
        <v>15900- Manila Office Stocking</v>
      </c>
      <c r="C33" s="132">
        <f>SHIPMENTS!F39</f>
        <v>0.63700000000000001</v>
      </c>
      <c r="D33" s="107" t="str">
        <f>IF((SHIPMENTS!I39)=0,"",SHIPMENTS!I39)</f>
        <v/>
      </c>
      <c r="E33" s="176">
        <f>IF((SHIPMENTS!G39)=0,"",SHIPMENTS!G39)</f>
        <v>46323</v>
      </c>
      <c r="F33" s="97">
        <f>VLOOKUP(A33,Items!$A$5:$J$1000,2,0)</f>
        <v>0</v>
      </c>
      <c r="G33" s="98">
        <f>VLOOKUP(A33,load!$A$4:$U$5001,10,0)</f>
        <v>0</v>
      </c>
      <c r="H33" s="97">
        <v>13</v>
      </c>
      <c r="I33" s="98">
        <f t="shared" ref="I33:I45" si="19">+H33*$I$4</f>
        <v>118.3</v>
      </c>
      <c r="J33" s="99">
        <f t="shared" ref="J33:J45" si="20">G33/I33</f>
        <v>0</v>
      </c>
      <c r="K33" s="99">
        <f t="shared" ref="K33:K45" si="21">+J33*$I$4</f>
        <v>0</v>
      </c>
      <c r="L33" s="98">
        <f t="shared" ref="L33:L45" si="22">IFERROR(J33-(J33*P33),0)</f>
        <v>0</v>
      </c>
      <c r="M33" s="98">
        <f t="shared" ref="M33:M45" si="23">IFERROR(K33-(K33*P33),0)</f>
        <v>0</v>
      </c>
      <c r="N33" s="181">
        <f t="shared" ref="N33:N45" si="24">O32</f>
        <v>46321.135672020282</v>
      </c>
      <c r="O33" s="181">
        <f t="shared" ref="O33:O45" si="25">N33+L33</f>
        <v>46321.135672020282</v>
      </c>
      <c r="P33" s="112" t="str">
        <f>VLOOKUP(A33,SHIPMENTS!$A$7:$AP$76,41,0)</f>
        <v>n/a</v>
      </c>
      <c r="Q33" s="101"/>
      <c r="R33" s="127" t="str">
        <f t="shared" si="15"/>
        <v/>
      </c>
      <c r="S33" s="127" t="str">
        <f t="shared" si="15"/>
        <v/>
      </c>
      <c r="T33" s="127" t="str">
        <f t="shared" si="15"/>
        <v/>
      </c>
      <c r="U33" s="127" t="str">
        <f t="shared" si="15"/>
        <v/>
      </c>
      <c r="V33" s="127" t="str">
        <f t="shared" si="15"/>
        <v/>
      </c>
      <c r="W33" s="127" t="str">
        <f t="shared" si="15"/>
        <v/>
      </c>
      <c r="X33" s="127" t="str">
        <f t="shared" si="15"/>
        <v/>
      </c>
      <c r="Y33" s="127" t="str">
        <f t="shared" si="15"/>
        <v/>
      </c>
      <c r="Z33" s="127" t="str">
        <f t="shared" si="15"/>
        <v>▲</v>
      </c>
      <c r="AA33" s="127" t="str">
        <f t="shared" si="15"/>
        <v/>
      </c>
      <c r="AB33" s="127" t="str">
        <f t="shared" si="15"/>
        <v/>
      </c>
      <c r="AC33" s="127" t="str">
        <f t="shared" si="15"/>
        <v/>
      </c>
      <c r="AD33" s="127" t="str">
        <f t="shared" si="15"/>
        <v/>
      </c>
      <c r="AE33" s="127" t="str">
        <f t="shared" si="15"/>
        <v/>
      </c>
      <c r="AF33" s="127" t="str">
        <f t="shared" si="15"/>
        <v/>
      </c>
      <c r="AG33" s="127" t="str">
        <f t="shared" si="15"/>
        <v/>
      </c>
      <c r="AH33" s="127" t="str">
        <f t="shared" ref="AH33:AW48" si="26">IF($E33=AH$3,"▲","")</f>
        <v/>
      </c>
      <c r="AI33" s="127" t="str">
        <f t="shared" si="26"/>
        <v/>
      </c>
      <c r="AJ33" s="127" t="str">
        <f t="shared" si="26"/>
        <v/>
      </c>
      <c r="AK33" s="127" t="str">
        <f t="shared" si="26"/>
        <v/>
      </c>
      <c r="AL33" s="127" t="str">
        <f t="shared" si="26"/>
        <v/>
      </c>
      <c r="AM33" s="127" t="str">
        <f t="shared" si="26"/>
        <v/>
      </c>
      <c r="AN33" s="127" t="str">
        <f t="shared" si="26"/>
        <v/>
      </c>
      <c r="AO33" s="127" t="str">
        <f t="shared" si="26"/>
        <v/>
      </c>
      <c r="AP33" s="127" t="str">
        <f t="shared" si="26"/>
        <v/>
      </c>
      <c r="AQ33" s="127" t="str">
        <f t="shared" si="26"/>
        <v/>
      </c>
      <c r="AR33" s="127" t="str">
        <f t="shared" si="26"/>
        <v/>
      </c>
      <c r="AS33" s="127" t="str">
        <f t="shared" si="26"/>
        <v/>
      </c>
      <c r="AT33" s="127" t="str">
        <f t="shared" si="26"/>
        <v/>
      </c>
      <c r="AU33" s="127" t="str">
        <f t="shared" si="26"/>
        <v/>
      </c>
      <c r="AV33" s="127" t="str">
        <f t="shared" si="26"/>
        <v/>
      </c>
      <c r="AW33" s="127" t="str">
        <f t="shared" si="26"/>
        <v/>
      </c>
      <c r="AX33" s="127" t="str">
        <f t="shared" si="18"/>
        <v/>
      </c>
      <c r="AY33" s="127" t="str">
        <f t="shared" si="18"/>
        <v/>
      </c>
      <c r="AZ33" s="127" t="str">
        <f t="shared" si="18"/>
        <v/>
      </c>
      <c r="BA33" s="127" t="str">
        <f t="shared" si="18"/>
        <v/>
      </c>
      <c r="BB33" s="127" t="str">
        <f t="shared" si="18"/>
        <v/>
      </c>
      <c r="BC33" s="127" t="str">
        <f t="shared" si="18"/>
        <v/>
      </c>
      <c r="BD33" s="127" t="str">
        <f t="shared" si="18"/>
        <v/>
      </c>
      <c r="BE33" s="127" t="str">
        <f t="shared" si="18"/>
        <v/>
      </c>
      <c r="BF33" s="127" t="str">
        <f t="shared" si="18"/>
        <v/>
      </c>
      <c r="BG33" s="127" t="str">
        <f t="shared" si="18"/>
        <v/>
      </c>
      <c r="BH33" s="127" t="str">
        <f t="shared" si="18"/>
        <v/>
      </c>
      <c r="BI33" s="127" t="str">
        <f t="shared" si="18"/>
        <v/>
      </c>
      <c r="BJ33" s="127" t="str">
        <f t="shared" si="18"/>
        <v/>
      </c>
      <c r="BK33" s="127" t="str">
        <f t="shared" si="18"/>
        <v/>
      </c>
      <c r="BL33" s="127" t="str">
        <f t="shared" si="18"/>
        <v/>
      </c>
      <c r="BM33" s="127" t="str">
        <f t="shared" si="18"/>
        <v/>
      </c>
      <c r="BN33" s="127" t="str">
        <f t="shared" si="18"/>
        <v/>
      </c>
      <c r="BO33" s="127" t="str">
        <f t="shared" si="18"/>
        <v/>
      </c>
      <c r="BP33" s="127" t="str">
        <f t="shared" si="18"/>
        <v/>
      </c>
      <c r="BQ33" s="127" t="str">
        <f t="shared" si="18"/>
        <v/>
      </c>
      <c r="BR33" s="127" t="str">
        <f t="shared" si="18"/>
        <v/>
      </c>
      <c r="BS33" s="127" t="str">
        <f t="shared" si="18"/>
        <v/>
      </c>
      <c r="BT33" s="127" t="str">
        <f t="shared" si="16"/>
        <v/>
      </c>
      <c r="BU33" s="127" t="str">
        <f t="shared" si="16"/>
        <v/>
      </c>
      <c r="BV33" s="127" t="str">
        <f t="shared" si="16"/>
        <v/>
      </c>
      <c r="BW33" s="127" t="str">
        <f t="shared" si="16"/>
        <v/>
      </c>
      <c r="BX33" s="127" t="str">
        <f t="shared" si="16"/>
        <v/>
      </c>
      <c r="BY33" s="127" t="str">
        <f t="shared" si="16"/>
        <v/>
      </c>
      <c r="BZ33" s="127" t="str">
        <f t="shared" si="16"/>
        <v/>
      </c>
      <c r="CA33" s="127" t="str">
        <f t="shared" si="16"/>
        <v/>
      </c>
      <c r="CB33" s="127" t="str">
        <f t="shared" si="16"/>
        <v/>
      </c>
      <c r="CC33" s="127" t="str">
        <f t="shared" si="16"/>
        <v/>
      </c>
      <c r="CD33" s="127" t="str">
        <f t="shared" si="16"/>
        <v/>
      </c>
      <c r="CE33" s="127" t="str">
        <f t="shared" si="16"/>
        <v/>
      </c>
    </row>
    <row r="34" spans="1:83" ht="12.6" hidden="1" customHeight="1" x14ac:dyDescent="0.2">
      <c r="A34" s="106">
        <f>SHIPMENTS!A40</f>
        <v>9204</v>
      </c>
      <c r="B34" s="106" t="str">
        <f>SHIPMENTS!B40</f>
        <v>2300-HONGKONG</v>
      </c>
      <c r="C34" s="132">
        <f>SHIPMENTS!F40</f>
        <v>3.1</v>
      </c>
      <c r="D34" s="107" t="str">
        <f>IF((SHIPMENTS!I40)=0,"",SHIPMENTS!I40)</f>
        <v/>
      </c>
      <c r="E34" s="176">
        <f>IF((SHIPMENTS!G40)=0,"",SHIPMENTS!G40)</f>
        <v>46324</v>
      </c>
      <c r="F34" s="97">
        <f>VLOOKUP(A34,Items!$A$5:$J$1000,2,0)</f>
        <v>0</v>
      </c>
      <c r="G34" s="98">
        <f>VLOOKUP(A34,load!$A$4:$U$5001,10,0)</f>
        <v>0</v>
      </c>
      <c r="H34" s="97">
        <v>13</v>
      </c>
      <c r="I34" s="98">
        <f t="shared" si="19"/>
        <v>118.3</v>
      </c>
      <c r="J34" s="99">
        <f t="shared" si="20"/>
        <v>0</v>
      </c>
      <c r="K34" s="99">
        <f t="shared" si="21"/>
        <v>0</v>
      </c>
      <c r="L34" s="98">
        <f t="shared" si="22"/>
        <v>0</v>
      </c>
      <c r="M34" s="98">
        <f t="shared" si="23"/>
        <v>0</v>
      </c>
      <c r="N34" s="181">
        <f t="shared" si="24"/>
        <v>46321.135672020282</v>
      </c>
      <c r="O34" s="181">
        <f t="shared" si="25"/>
        <v>46321.135672020282</v>
      </c>
      <c r="P34" s="112" t="str">
        <f>VLOOKUP(A34,SHIPMENTS!$A$7:$AP$76,41,0)</f>
        <v>n/a</v>
      </c>
      <c r="Q34" s="101"/>
      <c r="R34" s="127" t="str">
        <f t="shared" si="15"/>
        <v/>
      </c>
      <c r="S34" s="127" t="str">
        <f t="shared" si="15"/>
        <v/>
      </c>
      <c r="T34" s="127" t="str">
        <f t="shared" si="15"/>
        <v/>
      </c>
      <c r="U34" s="127" t="str">
        <f t="shared" si="15"/>
        <v/>
      </c>
      <c r="V34" s="127" t="str">
        <f t="shared" si="15"/>
        <v/>
      </c>
      <c r="W34" s="127" t="str">
        <f t="shared" si="15"/>
        <v/>
      </c>
      <c r="X34" s="127" t="str">
        <f t="shared" si="15"/>
        <v/>
      </c>
      <c r="Y34" s="127" t="str">
        <f t="shared" si="15"/>
        <v/>
      </c>
      <c r="Z34" s="127" t="str">
        <f t="shared" si="15"/>
        <v/>
      </c>
      <c r="AA34" s="127" t="str">
        <f t="shared" si="15"/>
        <v>▲</v>
      </c>
      <c r="AB34" s="127" t="str">
        <f t="shared" si="15"/>
        <v/>
      </c>
      <c r="AC34" s="127" t="str">
        <f t="shared" si="15"/>
        <v/>
      </c>
      <c r="AD34" s="127" t="str">
        <f t="shared" si="15"/>
        <v/>
      </c>
      <c r="AE34" s="127" t="str">
        <f t="shared" si="15"/>
        <v/>
      </c>
      <c r="AF34" s="127" t="str">
        <f t="shared" si="15"/>
        <v/>
      </c>
      <c r="AG34" s="127" t="str">
        <f t="shared" si="15"/>
        <v/>
      </c>
      <c r="AH34" s="127" t="str">
        <f t="shared" si="26"/>
        <v/>
      </c>
      <c r="AI34" s="127" t="str">
        <f t="shared" si="26"/>
        <v/>
      </c>
      <c r="AJ34" s="127" t="str">
        <f t="shared" si="26"/>
        <v/>
      </c>
      <c r="AK34" s="127" t="str">
        <f t="shared" si="26"/>
        <v/>
      </c>
      <c r="AL34" s="127" t="str">
        <f t="shared" si="26"/>
        <v/>
      </c>
      <c r="AM34" s="127" t="str">
        <f t="shared" si="26"/>
        <v/>
      </c>
      <c r="AN34" s="127" t="str">
        <f t="shared" si="26"/>
        <v/>
      </c>
      <c r="AO34" s="127" t="str">
        <f t="shared" si="26"/>
        <v/>
      </c>
      <c r="AP34" s="127" t="str">
        <f t="shared" si="26"/>
        <v/>
      </c>
      <c r="AQ34" s="127" t="str">
        <f t="shared" si="26"/>
        <v/>
      </c>
      <c r="AR34" s="127" t="str">
        <f t="shared" si="26"/>
        <v/>
      </c>
      <c r="AS34" s="127" t="str">
        <f t="shared" si="26"/>
        <v/>
      </c>
      <c r="AT34" s="127" t="str">
        <f t="shared" si="26"/>
        <v/>
      </c>
      <c r="AU34" s="127" t="str">
        <f t="shared" si="26"/>
        <v/>
      </c>
      <c r="AV34" s="127" t="str">
        <f t="shared" si="26"/>
        <v/>
      </c>
      <c r="AW34" s="127" t="str">
        <f t="shared" si="26"/>
        <v/>
      </c>
      <c r="AX34" s="127" t="str">
        <f t="shared" si="18"/>
        <v/>
      </c>
      <c r="AY34" s="127" t="str">
        <f t="shared" si="18"/>
        <v/>
      </c>
      <c r="AZ34" s="127" t="str">
        <f t="shared" si="18"/>
        <v/>
      </c>
      <c r="BA34" s="127" t="str">
        <f t="shared" si="18"/>
        <v/>
      </c>
      <c r="BB34" s="127" t="str">
        <f t="shared" si="18"/>
        <v/>
      </c>
      <c r="BC34" s="127" t="str">
        <f t="shared" si="18"/>
        <v/>
      </c>
      <c r="BD34" s="127" t="str">
        <f t="shared" si="18"/>
        <v/>
      </c>
      <c r="BE34" s="127" t="str">
        <f t="shared" si="18"/>
        <v/>
      </c>
      <c r="BF34" s="127" t="str">
        <f t="shared" si="18"/>
        <v/>
      </c>
      <c r="BG34" s="127" t="str">
        <f t="shared" si="18"/>
        <v/>
      </c>
      <c r="BH34" s="127" t="str">
        <f t="shared" si="18"/>
        <v/>
      </c>
      <c r="BI34" s="127" t="str">
        <f t="shared" si="18"/>
        <v/>
      </c>
      <c r="BJ34" s="127" t="str">
        <f t="shared" si="18"/>
        <v/>
      </c>
      <c r="BK34" s="127" t="str">
        <f t="shared" si="18"/>
        <v/>
      </c>
      <c r="BL34" s="127" t="str">
        <f t="shared" si="18"/>
        <v/>
      </c>
      <c r="BM34" s="127" t="str">
        <f t="shared" si="18"/>
        <v/>
      </c>
      <c r="BN34" s="127" t="str">
        <f t="shared" si="18"/>
        <v/>
      </c>
      <c r="BO34" s="127" t="str">
        <f t="shared" si="18"/>
        <v/>
      </c>
      <c r="BP34" s="127" t="str">
        <f t="shared" si="18"/>
        <v/>
      </c>
      <c r="BQ34" s="127" t="str">
        <f t="shared" si="18"/>
        <v/>
      </c>
      <c r="BR34" s="127" t="str">
        <f t="shared" si="18"/>
        <v/>
      </c>
      <c r="BS34" s="127" t="str">
        <f t="shared" si="18"/>
        <v/>
      </c>
      <c r="BT34" s="127" t="str">
        <f t="shared" si="16"/>
        <v/>
      </c>
      <c r="BU34" s="127" t="str">
        <f t="shared" si="16"/>
        <v/>
      </c>
      <c r="BV34" s="127" t="str">
        <f t="shared" si="16"/>
        <v/>
      </c>
      <c r="BW34" s="127" t="str">
        <f t="shared" si="16"/>
        <v/>
      </c>
      <c r="BX34" s="127" t="str">
        <f t="shared" si="16"/>
        <v/>
      </c>
      <c r="BY34" s="127" t="str">
        <f t="shared" si="16"/>
        <v/>
      </c>
      <c r="BZ34" s="127" t="str">
        <f t="shared" si="16"/>
        <v/>
      </c>
      <c r="CA34" s="127" t="str">
        <f t="shared" si="16"/>
        <v/>
      </c>
      <c r="CB34" s="127" t="str">
        <f t="shared" si="16"/>
        <v/>
      </c>
      <c r="CC34" s="127" t="str">
        <f t="shared" si="16"/>
        <v/>
      </c>
      <c r="CD34" s="127" t="str">
        <f t="shared" si="16"/>
        <v/>
      </c>
      <c r="CE34" s="127" t="str">
        <f t="shared" si="16"/>
        <v/>
      </c>
    </row>
    <row r="35" spans="1:83" ht="12.6" hidden="1" customHeight="1" x14ac:dyDescent="0.2">
      <c r="A35" s="106">
        <f>SHIPMENTS!A41</f>
        <v>9005</v>
      </c>
      <c r="B35" s="106" t="str">
        <f>SHIPMENTS!B41</f>
        <v>28100-AUSTRIA HARVIA</v>
      </c>
      <c r="C35" s="132">
        <f>SHIPMENTS!F41</f>
        <v>44.15</v>
      </c>
      <c r="D35" s="107" t="str">
        <f>IF((SHIPMENTS!I41)=0,"",SHIPMENTS!I41)</f>
        <v>1X20</v>
      </c>
      <c r="E35" s="176">
        <f>IF((SHIPMENTS!G41)=0,"",SHIPMENTS!G41)</f>
        <v>46325</v>
      </c>
      <c r="F35" s="97">
        <f>VLOOKUP(A35,Items!$A$5:$J$1000,2,0)</f>
        <v>0</v>
      </c>
      <c r="G35" s="98">
        <f>VLOOKUP(A35,load!$A$4:$U$5001,10,0)</f>
        <v>0</v>
      </c>
      <c r="H35" s="97">
        <v>13</v>
      </c>
      <c r="I35" s="98">
        <f t="shared" si="19"/>
        <v>118.3</v>
      </c>
      <c r="J35" s="99">
        <f t="shared" si="20"/>
        <v>0</v>
      </c>
      <c r="K35" s="99">
        <f t="shared" si="21"/>
        <v>0</v>
      </c>
      <c r="L35" s="98">
        <f t="shared" si="22"/>
        <v>0</v>
      </c>
      <c r="M35" s="98">
        <f t="shared" si="23"/>
        <v>0</v>
      </c>
      <c r="N35" s="181">
        <f t="shared" si="24"/>
        <v>46321.135672020282</v>
      </c>
      <c r="O35" s="181">
        <f t="shared" si="25"/>
        <v>46321.135672020282</v>
      </c>
      <c r="P35" s="112" t="str">
        <f>VLOOKUP(A35,SHIPMENTS!$A$7:$AP$76,41,0)</f>
        <v>n/a</v>
      </c>
      <c r="Q35" s="101"/>
      <c r="R35" s="127" t="str">
        <f t="shared" si="15"/>
        <v/>
      </c>
      <c r="S35" s="127" t="str">
        <f t="shared" si="15"/>
        <v/>
      </c>
      <c r="T35" s="127" t="str">
        <f t="shared" si="15"/>
        <v/>
      </c>
      <c r="U35" s="127" t="str">
        <f t="shared" si="15"/>
        <v/>
      </c>
      <c r="V35" s="127" t="str">
        <f t="shared" si="15"/>
        <v/>
      </c>
      <c r="W35" s="127" t="str">
        <f t="shared" si="15"/>
        <v/>
      </c>
      <c r="X35" s="127" t="str">
        <f t="shared" si="15"/>
        <v/>
      </c>
      <c r="Y35" s="127" t="str">
        <f t="shared" si="15"/>
        <v/>
      </c>
      <c r="Z35" s="127" t="str">
        <f t="shared" si="15"/>
        <v/>
      </c>
      <c r="AA35" s="127" t="str">
        <f t="shared" si="15"/>
        <v/>
      </c>
      <c r="AB35" s="127" t="str">
        <f t="shared" si="15"/>
        <v>▲</v>
      </c>
      <c r="AC35" s="127" t="str">
        <f t="shared" si="15"/>
        <v/>
      </c>
      <c r="AD35" s="127" t="str">
        <f t="shared" si="15"/>
        <v/>
      </c>
      <c r="AE35" s="127" t="str">
        <f t="shared" si="15"/>
        <v/>
      </c>
      <c r="AF35" s="127" t="str">
        <f t="shared" si="15"/>
        <v/>
      </c>
      <c r="AG35" s="127" t="str">
        <f t="shared" si="15"/>
        <v/>
      </c>
      <c r="AH35" s="127" t="str">
        <f t="shared" si="26"/>
        <v/>
      </c>
      <c r="AI35" s="127" t="str">
        <f t="shared" si="26"/>
        <v/>
      </c>
      <c r="AJ35" s="127" t="str">
        <f t="shared" si="26"/>
        <v/>
      </c>
      <c r="AK35" s="127" t="str">
        <f t="shared" si="26"/>
        <v/>
      </c>
      <c r="AL35" s="127" t="str">
        <f t="shared" si="26"/>
        <v/>
      </c>
      <c r="AM35" s="127" t="str">
        <f t="shared" si="26"/>
        <v/>
      </c>
      <c r="AN35" s="127" t="str">
        <f t="shared" si="26"/>
        <v/>
      </c>
      <c r="AO35" s="127" t="str">
        <f t="shared" si="26"/>
        <v/>
      </c>
      <c r="AP35" s="127" t="str">
        <f t="shared" si="26"/>
        <v/>
      </c>
      <c r="AQ35" s="127" t="str">
        <f t="shared" si="26"/>
        <v/>
      </c>
      <c r="AR35" s="127" t="str">
        <f t="shared" si="26"/>
        <v/>
      </c>
      <c r="AS35" s="127" t="str">
        <f t="shared" si="26"/>
        <v/>
      </c>
      <c r="AT35" s="127" t="str">
        <f t="shared" si="26"/>
        <v/>
      </c>
      <c r="AU35" s="127" t="str">
        <f t="shared" si="26"/>
        <v/>
      </c>
      <c r="AV35" s="127" t="str">
        <f t="shared" si="26"/>
        <v/>
      </c>
      <c r="AW35" s="127" t="str">
        <f t="shared" si="26"/>
        <v/>
      </c>
      <c r="AX35" s="127" t="str">
        <f t="shared" si="18"/>
        <v/>
      </c>
      <c r="AY35" s="127" t="str">
        <f t="shared" si="18"/>
        <v/>
      </c>
      <c r="AZ35" s="127" t="str">
        <f t="shared" si="18"/>
        <v/>
      </c>
      <c r="BA35" s="127" t="str">
        <f t="shared" si="18"/>
        <v/>
      </c>
      <c r="BB35" s="127" t="str">
        <f t="shared" si="18"/>
        <v/>
      </c>
      <c r="BC35" s="127" t="str">
        <f t="shared" si="18"/>
        <v/>
      </c>
      <c r="BD35" s="127" t="str">
        <f t="shared" si="18"/>
        <v/>
      </c>
      <c r="BE35" s="127" t="str">
        <f t="shared" si="18"/>
        <v/>
      </c>
      <c r="BF35" s="127" t="str">
        <f t="shared" si="18"/>
        <v/>
      </c>
      <c r="BG35" s="127" t="str">
        <f t="shared" si="18"/>
        <v/>
      </c>
      <c r="BH35" s="127" t="str">
        <f t="shared" si="18"/>
        <v/>
      </c>
      <c r="BI35" s="127" t="str">
        <f t="shared" si="18"/>
        <v/>
      </c>
      <c r="BJ35" s="127" t="str">
        <f t="shared" si="18"/>
        <v/>
      </c>
      <c r="BK35" s="127" t="str">
        <f t="shared" si="18"/>
        <v/>
      </c>
      <c r="BL35" s="127" t="str">
        <f t="shared" si="18"/>
        <v/>
      </c>
      <c r="BM35" s="127" t="str">
        <f t="shared" si="18"/>
        <v/>
      </c>
      <c r="BN35" s="127" t="str">
        <f t="shared" si="18"/>
        <v/>
      </c>
      <c r="BO35" s="127" t="str">
        <f t="shared" si="18"/>
        <v/>
      </c>
      <c r="BP35" s="127" t="str">
        <f t="shared" si="18"/>
        <v/>
      </c>
      <c r="BQ35" s="127" t="str">
        <f t="shared" si="18"/>
        <v/>
      </c>
      <c r="BR35" s="127" t="str">
        <f t="shared" si="18"/>
        <v/>
      </c>
      <c r="BS35" s="127" t="str">
        <f t="shared" si="18"/>
        <v/>
      </c>
      <c r="BT35" s="127" t="str">
        <f t="shared" si="16"/>
        <v/>
      </c>
      <c r="BU35" s="127" t="str">
        <f t="shared" si="16"/>
        <v/>
      </c>
      <c r="BV35" s="127" t="str">
        <f t="shared" si="16"/>
        <v/>
      </c>
      <c r="BW35" s="127" t="str">
        <f t="shared" si="16"/>
        <v/>
      </c>
      <c r="BX35" s="127" t="str">
        <f t="shared" si="16"/>
        <v/>
      </c>
      <c r="BY35" s="127" t="str">
        <f t="shared" si="16"/>
        <v/>
      </c>
      <c r="BZ35" s="127" t="str">
        <f t="shared" si="16"/>
        <v/>
      </c>
      <c r="CA35" s="127" t="str">
        <f t="shared" si="16"/>
        <v/>
      </c>
      <c r="CB35" s="127" t="str">
        <f t="shared" si="16"/>
        <v/>
      </c>
      <c r="CC35" s="127" t="str">
        <f t="shared" si="16"/>
        <v/>
      </c>
      <c r="CD35" s="127" t="str">
        <f t="shared" si="16"/>
        <v/>
      </c>
      <c r="CE35" s="127" t="str">
        <f t="shared" si="16"/>
        <v/>
      </c>
    </row>
    <row r="36" spans="1:83" ht="12.6" customHeight="1" x14ac:dyDescent="0.2">
      <c r="A36" s="106">
        <f>SHIPMENTS!A42</f>
        <v>8952</v>
      </c>
      <c r="B36" s="106" t="str">
        <f>SHIPMENTS!B42</f>
        <v>41300-CANADA SAUNAFIN</v>
      </c>
      <c r="C36" s="132">
        <f>SHIPMENTS!F42</f>
        <v>70.45</v>
      </c>
      <c r="D36" s="107" t="str">
        <f>IF((SHIPMENTS!I42)=0,"",SHIPMENTS!I42)</f>
        <v>1x40HC</v>
      </c>
      <c r="E36" s="176">
        <f>IF((SHIPMENTS!G42)=0,"",SHIPMENTS!G42)</f>
        <v>46332</v>
      </c>
      <c r="F36" s="97">
        <f>VLOOKUP(A36,Items!$A$5:$J$1000,2,0)</f>
        <v>301</v>
      </c>
      <c r="G36" s="98">
        <f>VLOOKUP(A36,load!$A$4:$U$5001,10,0)</f>
        <v>463.45000000000005</v>
      </c>
      <c r="H36" s="97">
        <v>13</v>
      </c>
      <c r="I36" s="98">
        <f t="shared" si="19"/>
        <v>118.3</v>
      </c>
      <c r="J36" s="99">
        <f t="shared" si="20"/>
        <v>3.9175824175824179</v>
      </c>
      <c r="K36" s="99">
        <f t="shared" si="21"/>
        <v>35.65</v>
      </c>
      <c r="L36" s="98">
        <f t="shared" si="22"/>
        <v>3.1340659340659345</v>
      </c>
      <c r="M36" s="98">
        <f t="shared" si="23"/>
        <v>28.52</v>
      </c>
      <c r="N36" s="181">
        <f t="shared" si="24"/>
        <v>46321.135672020282</v>
      </c>
      <c r="O36" s="181">
        <f t="shared" si="25"/>
        <v>46324.269737954346</v>
      </c>
      <c r="P36" s="112">
        <f>VLOOKUP(A36,SHIPMENTS!$A$7:$AP$76,41,0)</f>
        <v>0.2</v>
      </c>
      <c r="Q36" s="101"/>
      <c r="R36" s="127" t="str">
        <f t="shared" si="15"/>
        <v/>
      </c>
      <c r="S36" s="127" t="str">
        <f t="shared" si="15"/>
        <v/>
      </c>
      <c r="T36" s="127" t="str">
        <f t="shared" si="15"/>
        <v/>
      </c>
      <c r="U36" s="127" t="str">
        <f t="shared" si="15"/>
        <v/>
      </c>
      <c r="V36" s="127" t="str">
        <f t="shared" si="15"/>
        <v/>
      </c>
      <c r="W36" s="127" t="str">
        <f t="shared" si="15"/>
        <v/>
      </c>
      <c r="X36" s="127" t="str">
        <f t="shared" si="15"/>
        <v/>
      </c>
      <c r="Y36" s="127" t="str">
        <f t="shared" si="15"/>
        <v/>
      </c>
      <c r="Z36" s="127" t="str">
        <f t="shared" si="15"/>
        <v/>
      </c>
      <c r="AA36" s="127" t="str">
        <f t="shared" si="15"/>
        <v/>
      </c>
      <c r="AB36" s="127" t="str">
        <f t="shared" si="15"/>
        <v/>
      </c>
      <c r="AC36" s="127" t="str">
        <f t="shared" si="15"/>
        <v/>
      </c>
      <c r="AD36" s="127" t="str">
        <f t="shared" si="15"/>
        <v/>
      </c>
      <c r="AE36" s="127" t="str">
        <f t="shared" si="15"/>
        <v/>
      </c>
      <c r="AF36" s="127" t="str">
        <f t="shared" si="15"/>
        <v/>
      </c>
      <c r="AG36" s="127" t="str">
        <f t="shared" si="15"/>
        <v/>
      </c>
      <c r="AH36" s="127" t="str">
        <f t="shared" si="26"/>
        <v>▲</v>
      </c>
      <c r="AI36" s="127" t="str">
        <f t="shared" si="26"/>
        <v/>
      </c>
      <c r="AJ36" s="127" t="str">
        <f t="shared" si="26"/>
        <v/>
      </c>
      <c r="AK36" s="127" t="str">
        <f t="shared" si="26"/>
        <v/>
      </c>
      <c r="AL36" s="127" t="str">
        <f t="shared" si="26"/>
        <v/>
      </c>
      <c r="AM36" s="127" t="str">
        <f t="shared" si="26"/>
        <v/>
      </c>
      <c r="AN36" s="127" t="str">
        <f t="shared" si="26"/>
        <v/>
      </c>
      <c r="AO36" s="127" t="str">
        <f t="shared" si="26"/>
        <v/>
      </c>
      <c r="AP36" s="127" t="str">
        <f t="shared" si="26"/>
        <v/>
      </c>
      <c r="AQ36" s="127" t="str">
        <f t="shared" si="26"/>
        <v/>
      </c>
      <c r="AR36" s="127" t="str">
        <f t="shared" si="26"/>
        <v/>
      </c>
      <c r="AS36" s="127" t="str">
        <f t="shared" si="26"/>
        <v/>
      </c>
      <c r="AT36" s="127" t="str">
        <f t="shared" si="26"/>
        <v/>
      </c>
      <c r="AU36" s="127" t="str">
        <f t="shared" si="26"/>
        <v/>
      </c>
      <c r="AV36" s="127" t="str">
        <f t="shared" si="26"/>
        <v/>
      </c>
      <c r="AW36" s="127" t="str">
        <f t="shared" si="26"/>
        <v/>
      </c>
      <c r="AX36" s="127" t="str">
        <f t="shared" si="18"/>
        <v/>
      </c>
      <c r="AY36" s="127" t="str">
        <f t="shared" si="18"/>
        <v/>
      </c>
      <c r="AZ36" s="127" t="str">
        <f t="shared" si="18"/>
        <v/>
      </c>
      <c r="BA36" s="127" t="str">
        <f t="shared" si="18"/>
        <v/>
      </c>
      <c r="BB36" s="127" t="str">
        <f t="shared" si="18"/>
        <v/>
      </c>
      <c r="BC36" s="127" t="str">
        <f t="shared" si="18"/>
        <v/>
      </c>
      <c r="BD36" s="127" t="str">
        <f t="shared" si="18"/>
        <v/>
      </c>
      <c r="BE36" s="127" t="str">
        <f t="shared" si="18"/>
        <v/>
      </c>
      <c r="BF36" s="127" t="str">
        <f t="shared" si="18"/>
        <v/>
      </c>
      <c r="BG36" s="127" t="str">
        <f t="shared" si="18"/>
        <v/>
      </c>
      <c r="BH36" s="127" t="str">
        <f t="shared" si="18"/>
        <v/>
      </c>
      <c r="BI36" s="127" t="str">
        <f t="shared" si="18"/>
        <v/>
      </c>
      <c r="BJ36" s="127" t="str">
        <f t="shared" si="18"/>
        <v/>
      </c>
      <c r="BK36" s="127" t="str">
        <f t="shared" si="18"/>
        <v/>
      </c>
      <c r="BL36" s="127" t="str">
        <f t="shared" si="18"/>
        <v/>
      </c>
      <c r="BM36" s="127" t="str">
        <f t="shared" si="18"/>
        <v/>
      </c>
      <c r="BN36" s="127" t="str">
        <f t="shared" si="18"/>
        <v/>
      </c>
      <c r="BO36" s="127" t="str">
        <f t="shared" si="18"/>
        <v/>
      </c>
      <c r="BP36" s="127" t="str">
        <f t="shared" si="18"/>
        <v/>
      </c>
      <c r="BQ36" s="127" t="str">
        <f t="shared" si="18"/>
        <v/>
      </c>
      <c r="BR36" s="127" t="str">
        <f t="shared" si="18"/>
        <v/>
      </c>
      <c r="BS36" s="127" t="str">
        <f t="shared" si="18"/>
        <v/>
      </c>
      <c r="BT36" s="127" t="str">
        <f t="shared" si="16"/>
        <v/>
      </c>
      <c r="BU36" s="127" t="str">
        <f t="shared" si="16"/>
        <v/>
      </c>
      <c r="BV36" s="127" t="str">
        <f t="shared" si="16"/>
        <v/>
      </c>
      <c r="BW36" s="127" t="str">
        <f t="shared" si="16"/>
        <v/>
      </c>
      <c r="BX36" s="127" t="str">
        <f t="shared" si="16"/>
        <v/>
      </c>
      <c r="BY36" s="127" t="str">
        <f t="shared" si="16"/>
        <v/>
      </c>
      <c r="BZ36" s="127" t="str">
        <f t="shared" si="16"/>
        <v/>
      </c>
      <c r="CA36" s="127" t="str">
        <f t="shared" si="16"/>
        <v/>
      </c>
      <c r="CB36" s="127" t="str">
        <f t="shared" si="16"/>
        <v/>
      </c>
      <c r="CC36" s="127" t="str">
        <f t="shared" si="16"/>
        <v/>
      </c>
      <c r="CD36" s="127" t="str">
        <f t="shared" si="16"/>
        <v/>
      </c>
      <c r="CE36" s="127" t="str">
        <f t="shared" si="16"/>
        <v/>
      </c>
    </row>
    <row r="37" spans="1:83" ht="12.6" hidden="1" customHeight="1" x14ac:dyDescent="0.2">
      <c r="A37" s="106">
        <f>SHIPMENTS!A43</f>
        <v>9158</v>
      </c>
      <c r="B37" s="106" t="str">
        <f>SHIPMENTS!B43</f>
        <v>43300-THAILAND</v>
      </c>
      <c r="C37" s="132">
        <f>SHIPMENTS!F43</f>
        <v>0.10299999999999999</v>
      </c>
      <c r="D37" s="107" t="str">
        <f>IF((SHIPMENTS!I43)=0,"",SHIPMENTS!I43)</f>
        <v>LCL</v>
      </c>
      <c r="E37" s="176">
        <f>IF((SHIPMENTS!G43)=0,"",SHIPMENTS!G43)</f>
        <v>46332</v>
      </c>
      <c r="F37" s="97">
        <f>VLOOKUP(A37,Items!$A$5:$J$1000,2,0)</f>
        <v>0</v>
      </c>
      <c r="G37" s="98">
        <f>VLOOKUP(A37,load!$A$4:$U$5001,10,0)</f>
        <v>0</v>
      </c>
      <c r="H37" s="97">
        <v>13</v>
      </c>
      <c r="I37" s="98">
        <f t="shared" si="19"/>
        <v>118.3</v>
      </c>
      <c r="J37" s="99">
        <f t="shared" si="20"/>
        <v>0</v>
      </c>
      <c r="K37" s="99">
        <f t="shared" si="21"/>
        <v>0</v>
      </c>
      <c r="L37" s="98">
        <f t="shared" si="22"/>
        <v>0</v>
      </c>
      <c r="M37" s="98">
        <f t="shared" si="23"/>
        <v>0</v>
      </c>
      <c r="N37" s="181">
        <f t="shared" si="24"/>
        <v>46324.269737954346</v>
      </c>
      <c r="O37" s="181">
        <f t="shared" si="25"/>
        <v>46324.269737954346</v>
      </c>
      <c r="P37" s="112" t="str">
        <f>VLOOKUP(A37,SHIPMENTS!$A$7:$AP$76,41,0)</f>
        <v>n/a</v>
      </c>
      <c r="Q37" s="101"/>
      <c r="R37" s="127" t="str">
        <f t="shared" si="15"/>
        <v/>
      </c>
      <c r="S37" s="127" t="str">
        <f t="shared" si="15"/>
        <v/>
      </c>
      <c r="T37" s="127" t="str">
        <f t="shared" si="15"/>
        <v/>
      </c>
      <c r="U37" s="127" t="str">
        <f t="shared" si="15"/>
        <v/>
      </c>
      <c r="V37" s="127" t="str">
        <f t="shared" si="15"/>
        <v/>
      </c>
      <c r="W37" s="127" t="str">
        <f t="shared" si="15"/>
        <v/>
      </c>
      <c r="X37" s="127" t="str">
        <f t="shared" si="15"/>
        <v/>
      </c>
      <c r="Y37" s="127" t="str">
        <f t="shared" si="15"/>
        <v/>
      </c>
      <c r="Z37" s="127" t="str">
        <f t="shared" si="15"/>
        <v/>
      </c>
      <c r="AA37" s="127" t="str">
        <f t="shared" si="15"/>
        <v/>
      </c>
      <c r="AB37" s="127" t="str">
        <f t="shared" si="15"/>
        <v/>
      </c>
      <c r="AC37" s="127" t="str">
        <f t="shared" si="15"/>
        <v/>
      </c>
      <c r="AD37" s="127" t="str">
        <f t="shared" si="15"/>
        <v/>
      </c>
      <c r="AE37" s="127" t="str">
        <f t="shared" si="15"/>
        <v/>
      </c>
      <c r="AF37" s="127" t="str">
        <f t="shared" si="15"/>
        <v/>
      </c>
      <c r="AG37" s="127" t="str">
        <f t="shared" si="15"/>
        <v/>
      </c>
      <c r="AH37" s="127" t="str">
        <f t="shared" si="26"/>
        <v>▲</v>
      </c>
      <c r="AI37" s="127" t="str">
        <f t="shared" si="26"/>
        <v/>
      </c>
      <c r="AJ37" s="127" t="str">
        <f t="shared" si="26"/>
        <v/>
      </c>
      <c r="AK37" s="127" t="str">
        <f t="shared" si="26"/>
        <v/>
      </c>
      <c r="AL37" s="127" t="str">
        <f t="shared" si="26"/>
        <v/>
      </c>
      <c r="AM37" s="127" t="str">
        <f t="shared" si="26"/>
        <v/>
      </c>
      <c r="AN37" s="127" t="str">
        <f t="shared" si="26"/>
        <v/>
      </c>
      <c r="AO37" s="127" t="str">
        <f t="shared" si="26"/>
        <v/>
      </c>
      <c r="AP37" s="127" t="str">
        <f t="shared" si="26"/>
        <v/>
      </c>
      <c r="AQ37" s="127" t="str">
        <f t="shared" si="26"/>
        <v/>
      </c>
      <c r="AR37" s="127" t="str">
        <f t="shared" si="26"/>
        <v/>
      </c>
      <c r="AS37" s="127" t="str">
        <f t="shared" si="26"/>
        <v/>
      </c>
      <c r="AT37" s="127" t="str">
        <f t="shared" si="26"/>
        <v/>
      </c>
      <c r="AU37" s="127" t="str">
        <f t="shared" si="26"/>
        <v/>
      </c>
      <c r="AV37" s="127" t="str">
        <f t="shared" si="26"/>
        <v/>
      </c>
      <c r="AW37" s="127" t="str">
        <f t="shared" si="26"/>
        <v/>
      </c>
      <c r="AX37" s="127" t="str">
        <f t="shared" si="18"/>
        <v/>
      </c>
      <c r="AY37" s="127" t="str">
        <f t="shared" si="18"/>
        <v/>
      </c>
      <c r="AZ37" s="127" t="str">
        <f t="shared" si="18"/>
        <v/>
      </c>
      <c r="BA37" s="127" t="str">
        <f t="shared" si="18"/>
        <v/>
      </c>
      <c r="BB37" s="127" t="str">
        <f t="shared" si="18"/>
        <v/>
      </c>
      <c r="BC37" s="127" t="str">
        <f t="shared" si="18"/>
        <v/>
      </c>
      <c r="BD37" s="127" t="str">
        <f t="shared" si="18"/>
        <v/>
      </c>
      <c r="BE37" s="127" t="str">
        <f t="shared" si="18"/>
        <v/>
      </c>
      <c r="BF37" s="127" t="str">
        <f t="shared" si="18"/>
        <v/>
      </c>
      <c r="BG37" s="127" t="str">
        <f t="shared" si="18"/>
        <v/>
      </c>
      <c r="BH37" s="127" t="str">
        <f t="shared" si="18"/>
        <v/>
      </c>
      <c r="BI37" s="127" t="str">
        <f t="shared" si="18"/>
        <v/>
      </c>
      <c r="BJ37" s="127" t="str">
        <f t="shared" si="18"/>
        <v/>
      </c>
      <c r="BK37" s="127" t="str">
        <f t="shared" si="18"/>
        <v/>
      </c>
      <c r="BL37" s="127" t="str">
        <f t="shared" si="18"/>
        <v/>
      </c>
      <c r="BM37" s="127" t="str">
        <f t="shared" si="18"/>
        <v/>
      </c>
      <c r="BN37" s="127" t="str">
        <f t="shared" si="18"/>
        <v/>
      </c>
      <c r="BO37" s="127" t="str">
        <f t="shared" si="18"/>
        <v/>
      </c>
      <c r="BP37" s="127" t="str">
        <f t="shared" si="18"/>
        <v/>
      </c>
      <c r="BQ37" s="127" t="str">
        <f t="shared" si="18"/>
        <v/>
      </c>
      <c r="BR37" s="127" t="str">
        <f t="shared" si="18"/>
        <v/>
      </c>
      <c r="BS37" s="127" t="str">
        <f t="shared" si="18"/>
        <v/>
      </c>
      <c r="BT37" s="127" t="str">
        <f t="shared" si="16"/>
        <v/>
      </c>
      <c r="BU37" s="127" t="str">
        <f t="shared" si="16"/>
        <v/>
      </c>
      <c r="BV37" s="127" t="str">
        <f t="shared" si="16"/>
        <v/>
      </c>
      <c r="BW37" s="127" t="str">
        <f t="shared" si="16"/>
        <v/>
      </c>
      <c r="BX37" s="127" t="str">
        <f t="shared" si="16"/>
        <v/>
      </c>
      <c r="BY37" s="127" t="str">
        <f t="shared" si="16"/>
        <v/>
      </c>
      <c r="BZ37" s="127" t="str">
        <f t="shared" si="16"/>
        <v/>
      </c>
      <c r="CA37" s="127" t="str">
        <f t="shared" si="16"/>
        <v/>
      </c>
      <c r="CB37" s="127" t="str">
        <f t="shared" si="16"/>
        <v/>
      </c>
      <c r="CC37" s="127" t="str">
        <f t="shared" si="16"/>
        <v/>
      </c>
      <c r="CD37" s="127" t="str">
        <f t="shared" si="16"/>
        <v/>
      </c>
      <c r="CE37" s="127" t="str">
        <f t="shared" si="16"/>
        <v/>
      </c>
    </row>
    <row r="38" spans="1:83" ht="12.6" hidden="1" customHeight="1" x14ac:dyDescent="0.2">
      <c r="A38" s="106">
        <f>SHIPMENTS!A44</f>
        <v>8814</v>
      </c>
      <c r="B38" s="106" t="str">
        <f>SHIPMENTS!B44</f>
        <v>27200-UAE</v>
      </c>
      <c r="C38" s="132">
        <f>SHIPMENTS!F44</f>
        <v>0.06</v>
      </c>
      <c r="D38" s="107" t="str">
        <f>IF((SHIPMENTS!I44)=0,"",SHIPMENTS!I44)</f>
        <v>LCL</v>
      </c>
      <c r="E38" s="176">
        <f>IF((SHIPMENTS!G44)=0,"",SHIPMENTS!G44)</f>
        <v>46332</v>
      </c>
      <c r="F38" s="97">
        <f>VLOOKUP(A38,Items!$A$5:$J$1000,2,0)</f>
        <v>0</v>
      </c>
      <c r="G38" s="98">
        <f>VLOOKUP(A38,load!$A$4:$U$5001,10,0)</f>
        <v>0</v>
      </c>
      <c r="H38" s="97">
        <v>13</v>
      </c>
      <c r="I38" s="98">
        <f t="shared" si="19"/>
        <v>118.3</v>
      </c>
      <c r="J38" s="99">
        <f t="shared" si="20"/>
        <v>0</v>
      </c>
      <c r="K38" s="99">
        <f t="shared" si="21"/>
        <v>0</v>
      </c>
      <c r="L38" s="98">
        <f t="shared" si="22"/>
        <v>0</v>
      </c>
      <c r="M38" s="98">
        <f t="shared" si="23"/>
        <v>0</v>
      </c>
      <c r="N38" s="181">
        <f t="shared" si="24"/>
        <v>46324.269737954346</v>
      </c>
      <c r="O38" s="181">
        <f t="shared" si="25"/>
        <v>46324.269737954346</v>
      </c>
      <c r="P38" s="112" t="str">
        <f>VLOOKUP(A38,SHIPMENTS!$A$7:$AP$76,41,0)</f>
        <v>n/a</v>
      </c>
      <c r="Q38" s="101"/>
      <c r="R38" s="127" t="str">
        <f t="shared" si="15"/>
        <v/>
      </c>
      <c r="S38" s="127" t="str">
        <f t="shared" si="15"/>
        <v/>
      </c>
      <c r="T38" s="127" t="str">
        <f t="shared" si="15"/>
        <v/>
      </c>
      <c r="U38" s="127" t="str">
        <f t="shared" si="15"/>
        <v/>
      </c>
      <c r="V38" s="127" t="str">
        <f t="shared" si="15"/>
        <v/>
      </c>
      <c r="W38" s="127" t="str">
        <f t="shared" si="15"/>
        <v/>
      </c>
      <c r="X38" s="127" t="str">
        <f t="shared" si="15"/>
        <v/>
      </c>
      <c r="Y38" s="127" t="str">
        <f t="shared" si="15"/>
        <v/>
      </c>
      <c r="Z38" s="127" t="str">
        <f t="shared" si="15"/>
        <v/>
      </c>
      <c r="AA38" s="127" t="str">
        <f t="shared" si="15"/>
        <v/>
      </c>
      <c r="AB38" s="127" t="str">
        <f t="shared" si="15"/>
        <v/>
      </c>
      <c r="AC38" s="127" t="str">
        <f t="shared" si="15"/>
        <v/>
      </c>
      <c r="AD38" s="127" t="str">
        <f t="shared" si="15"/>
        <v/>
      </c>
      <c r="AE38" s="127" t="str">
        <f t="shared" si="15"/>
        <v/>
      </c>
      <c r="AF38" s="127" t="str">
        <f t="shared" si="15"/>
        <v/>
      </c>
      <c r="AG38" s="127" t="str">
        <f t="shared" si="15"/>
        <v/>
      </c>
      <c r="AH38" s="127" t="str">
        <f t="shared" si="26"/>
        <v>▲</v>
      </c>
      <c r="AI38" s="127" t="str">
        <f t="shared" si="26"/>
        <v/>
      </c>
      <c r="AJ38" s="127" t="str">
        <f t="shared" si="26"/>
        <v/>
      </c>
      <c r="AK38" s="127" t="str">
        <f t="shared" si="26"/>
        <v/>
      </c>
      <c r="AL38" s="127" t="str">
        <f t="shared" si="26"/>
        <v/>
      </c>
      <c r="AM38" s="127" t="str">
        <f t="shared" si="26"/>
        <v/>
      </c>
      <c r="AN38" s="127" t="str">
        <f t="shared" si="26"/>
        <v/>
      </c>
      <c r="AO38" s="127" t="str">
        <f t="shared" si="26"/>
        <v/>
      </c>
      <c r="AP38" s="127" t="str">
        <f t="shared" si="26"/>
        <v/>
      </c>
      <c r="AQ38" s="127" t="str">
        <f t="shared" si="26"/>
        <v/>
      </c>
      <c r="AR38" s="127" t="str">
        <f t="shared" si="26"/>
        <v/>
      </c>
      <c r="AS38" s="127" t="str">
        <f t="shared" si="26"/>
        <v/>
      </c>
      <c r="AT38" s="127" t="str">
        <f t="shared" si="26"/>
        <v/>
      </c>
      <c r="AU38" s="127" t="str">
        <f t="shared" si="26"/>
        <v/>
      </c>
      <c r="AV38" s="127" t="str">
        <f t="shared" si="26"/>
        <v/>
      </c>
      <c r="AW38" s="127" t="str">
        <f t="shared" si="26"/>
        <v/>
      </c>
      <c r="AX38" s="127" t="str">
        <f t="shared" si="18"/>
        <v/>
      </c>
      <c r="AY38" s="127" t="str">
        <f t="shared" si="18"/>
        <v/>
      </c>
      <c r="AZ38" s="127" t="str">
        <f t="shared" si="18"/>
        <v/>
      </c>
      <c r="BA38" s="127" t="str">
        <f t="shared" si="18"/>
        <v/>
      </c>
      <c r="BB38" s="127" t="str">
        <f t="shared" si="18"/>
        <v/>
      </c>
      <c r="BC38" s="127" t="str">
        <f t="shared" si="18"/>
        <v/>
      </c>
      <c r="BD38" s="127" t="str">
        <f t="shared" si="18"/>
        <v/>
      </c>
      <c r="BE38" s="127" t="str">
        <f t="shared" si="18"/>
        <v/>
      </c>
      <c r="BF38" s="127" t="str">
        <f t="shared" si="18"/>
        <v/>
      </c>
      <c r="BG38" s="127" t="str">
        <f t="shared" si="18"/>
        <v/>
      </c>
      <c r="BH38" s="127" t="str">
        <f t="shared" si="18"/>
        <v/>
      </c>
      <c r="BI38" s="127" t="str">
        <f t="shared" si="18"/>
        <v/>
      </c>
      <c r="BJ38" s="127" t="str">
        <f t="shared" si="18"/>
        <v/>
      </c>
      <c r="BK38" s="127" t="str">
        <f t="shared" si="18"/>
        <v/>
      </c>
      <c r="BL38" s="127" t="str">
        <f t="shared" si="18"/>
        <v/>
      </c>
      <c r="BM38" s="127" t="str">
        <f t="shared" si="18"/>
        <v/>
      </c>
      <c r="BN38" s="127" t="str">
        <f t="shared" si="18"/>
        <v/>
      </c>
      <c r="BO38" s="127" t="str">
        <f t="shared" si="18"/>
        <v/>
      </c>
      <c r="BP38" s="127" t="str">
        <f t="shared" si="18"/>
        <v/>
      </c>
      <c r="BQ38" s="127" t="str">
        <f t="shared" si="18"/>
        <v/>
      </c>
      <c r="BR38" s="127" t="str">
        <f t="shared" si="18"/>
        <v/>
      </c>
      <c r="BS38" s="127" t="str">
        <f t="shared" si="18"/>
        <v/>
      </c>
      <c r="BT38" s="127" t="str">
        <f t="shared" si="16"/>
        <v/>
      </c>
      <c r="BU38" s="127" t="str">
        <f t="shared" si="16"/>
        <v/>
      </c>
      <c r="BV38" s="127" t="str">
        <f t="shared" si="16"/>
        <v/>
      </c>
      <c r="BW38" s="127" t="str">
        <f t="shared" si="16"/>
        <v/>
      </c>
      <c r="BX38" s="127" t="str">
        <f t="shared" si="16"/>
        <v/>
      </c>
      <c r="BY38" s="127" t="str">
        <f t="shared" si="16"/>
        <v/>
      </c>
      <c r="BZ38" s="127" t="str">
        <f t="shared" si="16"/>
        <v/>
      </c>
      <c r="CA38" s="127" t="str">
        <f t="shared" si="16"/>
        <v/>
      </c>
      <c r="CB38" s="127" t="str">
        <f t="shared" si="16"/>
        <v/>
      </c>
      <c r="CC38" s="127" t="str">
        <f t="shared" si="16"/>
        <v/>
      </c>
      <c r="CD38" s="127" t="str">
        <f t="shared" si="16"/>
        <v/>
      </c>
      <c r="CE38" s="127" t="str">
        <f t="shared" si="16"/>
        <v/>
      </c>
    </row>
    <row r="39" spans="1:83" ht="12.6" customHeight="1" x14ac:dyDescent="0.2">
      <c r="A39" s="106">
        <f>SHIPMENTS!A45</f>
        <v>9143</v>
      </c>
      <c r="B39" s="106" t="str">
        <f>SHIPMENTS!B45</f>
        <v>43301-THAILAND</v>
      </c>
      <c r="C39" s="132">
        <f>SHIPMENTS!F45</f>
        <v>4.75</v>
      </c>
      <c r="D39" s="107" t="str">
        <f>IF((SHIPMENTS!I45)=0,"",SHIPMENTS!I45)</f>
        <v>1x20</v>
      </c>
      <c r="E39" s="176">
        <f>IF((SHIPMENTS!G45)=0,"",SHIPMENTS!G45)</f>
        <v>46332</v>
      </c>
      <c r="F39" s="97">
        <f>VLOOKUP(A39,Items!$A$5:$J$1000,2,0)</f>
        <v>6</v>
      </c>
      <c r="G39" s="98">
        <f>VLOOKUP(A39,load!$A$4:$U$5001,10,0)</f>
        <v>10.41</v>
      </c>
      <c r="H39" s="97">
        <v>13</v>
      </c>
      <c r="I39" s="98">
        <f t="shared" si="19"/>
        <v>118.3</v>
      </c>
      <c r="J39" s="99">
        <f t="shared" si="20"/>
        <v>8.7996618765849535E-2</v>
      </c>
      <c r="K39" s="99">
        <f t="shared" si="21"/>
        <v>0.80076923076923079</v>
      </c>
      <c r="L39" s="98">
        <f t="shared" si="22"/>
        <v>8.7996618765849535E-2</v>
      </c>
      <c r="M39" s="98">
        <f t="shared" si="23"/>
        <v>0.80076923076923079</v>
      </c>
      <c r="N39" s="181">
        <f t="shared" si="24"/>
        <v>46324.269737954346</v>
      </c>
      <c r="O39" s="181">
        <f t="shared" si="25"/>
        <v>46324.35773457311</v>
      </c>
      <c r="P39" s="112">
        <f>VLOOKUP(A39,SHIPMENTS!$A$7:$AP$76,41,0)</f>
        <v>0</v>
      </c>
      <c r="Q39" s="101"/>
      <c r="R39" s="127" t="str">
        <f t="shared" si="15"/>
        <v/>
      </c>
      <c r="S39" s="127" t="str">
        <f t="shared" si="15"/>
        <v/>
      </c>
      <c r="T39" s="127" t="str">
        <f t="shared" si="15"/>
        <v/>
      </c>
      <c r="U39" s="127" t="str">
        <f t="shared" si="15"/>
        <v/>
      </c>
      <c r="V39" s="127" t="str">
        <f t="shared" si="15"/>
        <v/>
      </c>
      <c r="W39" s="127" t="str">
        <f t="shared" si="15"/>
        <v/>
      </c>
      <c r="X39" s="127" t="str">
        <f t="shared" si="15"/>
        <v/>
      </c>
      <c r="Y39" s="127" t="str">
        <f t="shared" si="15"/>
        <v/>
      </c>
      <c r="Z39" s="127" t="str">
        <f t="shared" si="15"/>
        <v/>
      </c>
      <c r="AA39" s="127" t="str">
        <f t="shared" si="15"/>
        <v/>
      </c>
      <c r="AB39" s="127" t="str">
        <f t="shared" si="15"/>
        <v/>
      </c>
      <c r="AC39" s="127" t="str">
        <f t="shared" si="15"/>
        <v/>
      </c>
      <c r="AD39" s="127" t="str">
        <f t="shared" si="15"/>
        <v/>
      </c>
      <c r="AE39" s="127" t="str">
        <f t="shared" si="15"/>
        <v/>
      </c>
      <c r="AF39" s="127" t="str">
        <f t="shared" si="15"/>
        <v/>
      </c>
      <c r="AG39" s="127" t="str">
        <f t="shared" ref="R39:AG53" si="27">IF($E39=AG$3,"▲","")</f>
        <v/>
      </c>
      <c r="AH39" s="127" t="str">
        <f t="shared" si="26"/>
        <v>▲</v>
      </c>
      <c r="AI39" s="127" t="str">
        <f t="shared" si="26"/>
        <v/>
      </c>
      <c r="AJ39" s="127" t="str">
        <f t="shared" si="26"/>
        <v/>
      </c>
      <c r="AK39" s="127" t="str">
        <f t="shared" si="26"/>
        <v/>
      </c>
      <c r="AL39" s="127" t="str">
        <f t="shared" si="26"/>
        <v/>
      </c>
      <c r="AM39" s="127" t="str">
        <f t="shared" si="26"/>
        <v/>
      </c>
      <c r="AN39" s="127" t="str">
        <f t="shared" si="26"/>
        <v/>
      </c>
      <c r="AO39" s="127" t="str">
        <f t="shared" si="26"/>
        <v/>
      </c>
      <c r="AP39" s="127" t="str">
        <f t="shared" si="26"/>
        <v/>
      </c>
      <c r="AQ39" s="127" t="str">
        <f t="shared" si="26"/>
        <v/>
      </c>
      <c r="AR39" s="127" t="str">
        <f t="shared" si="26"/>
        <v/>
      </c>
      <c r="AS39" s="127" t="str">
        <f t="shared" si="26"/>
        <v/>
      </c>
      <c r="AT39" s="127" t="str">
        <f t="shared" si="26"/>
        <v/>
      </c>
      <c r="AU39" s="127" t="str">
        <f t="shared" si="26"/>
        <v/>
      </c>
      <c r="AV39" s="127" t="str">
        <f t="shared" si="26"/>
        <v/>
      </c>
      <c r="AW39" s="127" t="str">
        <f t="shared" si="26"/>
        <v/>
      </c>
      <c r="AX39" s="127" t="str">
        <f t="shared" si="18"/>
        <v/>
      </c>
      <c r="AY39" s="127" t="str">
        <f t="shared" si="18"/>
        <v/>
      </c>
      <c r="AZ39" s="127" t="str">
        <f t="shared" si="18"/>
        <v/>
      </c>
      <c r="BA39" s="127" t="str">
        <f t="shared" si="18"/>
        <v/>
      </c>
      <c r="BB39" s="127" t="str">
        <f t="shared" si="18"/>
        <v/>
      </c>
      <c r="BC39" s="127" t="str">
        <f t="shared" si="18"/>
        <v/>
      </c>
      <c r="BD39" s="127" t="str">
        <f t="shared" si="18"/>
        <v/>
      </c>
      <c r="BE39" s="127" t="str">
        <f t="shared" si="18"/>
        <v/>
      </c>
      <c r="BF39" s="127" t="str">
        <f t="shared" si="18"/>
        <v/>
      </c>
      <c r="BG39" s="127" t="str">
        <f t="shared" si="18"/>
        <v/>
      </c>
      <c r="BH39" s="127" t="str">
        <f t="shared" si="18"/>
        <v/>
      </c>
      <c r="BI39" s="127" t="str">
        <f t="shared" si="18"/>
        <v/>
      </c>
      <c r="BJ39" s="127" t="str">
        <f t="shared" si="18"/>
        <v/>
      </c>
      <c r="BK39" s="127" t="str">
        <f t="shared" si="18"/>
        <v/>
      </c>
      <c r="BL39" s="127" t="str">
        <f t="shared" si="18"/>
        <v/>
      </c>
      <c r="BM39" s="127" t="str">
        <f t="shared" si="18"/>
        <v/>
      </c>
      <c r="BN39" s="127" t="str">
        <f t="shared" si="18"/>
        <v/>
      </c>
      <c r="BO39" s="127" t="str">
        <f t="shared" si="18"/>
        <v/>
      </c>
      <c r="BP39" s="127" t="str">
        <f t="shared" si="18"/>
        <v/>
      </c>
      <c r="BQ39" s="127" t="str">
        <f t="shared" si="18"/>
        <v/>
      </c>
      <c r="BR39" s="127" t="str">
        <f t="shared" si="18"/>
        <v/>
      </c>
      <c r="BS39" s="127" t="str">
        <f t="shared" si="18"/>
        <v/>
      </c>
      <c r="BT39" s="127" t="str">
        <f t="shared" si="16"/>
        <v/>
      </c>
      <c r="BU39" s="127" t="str">
        <f t="shared" si="16"/>
        <v/>
      </c>
      <c r="BV39" s="127" t="str">
        <f t="shared" si="16"/>
        <v/>
      </c>
      <c r="BW39" s="127" t="str">
        <f t="shared" si="16"/>
        <v/>
      </c>
      <c r="BX39" s="127" t="str">
        <f t="shared" si="16"/>
        <v/>
      </c>
      <c r="BY39" s="127" t="str">
        <f t="shared" si="16"/>
        <v/>
      </c>
      <c r="BZ39" s="127" t="str">
        <f t="shared" si="16"/>
        <v/>
      </c>
      <c r="CA39" s="127" t="str">
        <f t="shared" si="16"/>
        <v/>
      </c>
      <c r="CB39" s="127" t="str">
        <f t="shared" si="16"/>
        <v/>
      </c>
      <c r="CC39" s="127" t="str">
        <f t="shared" si="16"/>
        <v/>
      </c>
      <c r="CD39" s="127" t="str">
        <f t="shared" si="16"/>
        <v/>
      </c>
      <c r="CE39" s="127" t="str">
        <f t="shared" si="16"/>
        <v/>
      </c>
    </row>
    <row r="40" spans="1:83" ht="12.6" hidden="1" customHeight="1" x14ac:dyDescent="0.2">
      <c r="A40" s="106">
        <f>SHIPMENTS!A46</f>
        <v>9160</v>
      </c>
      <c r="B40" s="106" t="str">
        <f>SHIPMENTS!B46</f>
        <v>51700-MAURITIUS</v>
      </c>
      <c r="C40" s="132">
        <f>SHIPMENTS!F46</f>
        <v>0.97</v>
      </c>
      <c r="D40" s="107" t="str">
        <f>IF((SHIPMENTS!I46)=0,"",SHIPMENTS!I46)</f>
        <v>1x20</v>
      </c>
      <c r="E40" s="176">
        <f>IF((SHIPMENTS!G46)=0,"",SHIPMENTS!G46)</f>
        <v>46332</v>
      </c>
      <c r="F40" s="97">
        <f>VLOOKUP(A40,Items!$A$5:$J$1000,2,0)</f>
        <v>0</v>
      </c>
      <c r="G40" s="98">
        <f>VLOOKUP(A40,load!$A$4:$U$5001,10,0)</f>
        <v>0</v>
      </c>
      <c r="H40" s="97">
        <v>13</v>
      </c>
      <c r="I40" s="98">
        <f t="shared" si="19"/>
        <v>118.3</v>
      </c>
      <c r="J40" s="99">
        <f t="shared" si="20"/>
        <v>0</v>
      </c>
      <c r="K40" s="99">
        <f t="shared" si="21"/>
        <v>0</v>
      </c>
      <c r="L40" s="98">
        <f t="shared" si="22"/>
        <v>0</v>
      </c>
      <c r="M40" s="98">
        <f t="shared" si="23"/>
        <v>0</v>
      </c>
      <c r="N40" s="181">
        <f t="shared" si="24"/>
        <v>46324.35773457311</v>
      </c>
      <c r="O40" s="181">
        <f t="shared" si="25"/>
        <v>46324.35773457311</v>
      </c>
      <c r="P40" s="112" t="str">
        <f>VLOOKUP(A40,SHIPMENTS!$A$7:$AP$76,41,0)</f>
        <v>n/a</v>
      </c>
      <c r="Q40" s="101"/>
      <c r="R40" s="127" t="str">
        <f t="shared" si="27"/>
        <v/>
      </c>
      <c r="S40" s="127" t="str">
        <f t="shared" si="27"/>
        <v/>
      </c>
      <c r="T40" s="127" t="str">
        <f t="shared" si="27"/>
        <v/>
      </c>
      <c r="U40" s="127" t="str">
        <f t="shared" si="27"/>
        <v/>
      </c>
      <c r="V40" s="127" t="str">
        <f t="shared" si="27"/>
        <v/>
      </c>
      <c r="W40" s="127" t="str">
        <f t="shared" si="27"/>
        <v/>
      </c>
      <c r="X40" s="127" t="str">
        <f t="shared" si="27"/>
        <v/>
      </c>
      <c r="Y40" s="127" t="str">
        <f t="shared" si="27"/>
        <v/>
      </c>
      <c r="Z40" s="127" t="str">
        <f t="shared" si="27"/>
        <v/>
      </c>
      <c r="AA40" s="127" t="str">
        <f t="shared" si="27"/>
        <v/>
      </c>
      <c r="AB40" s="127" t="str">
        <f t="shared" si="27"/>
        <v/>
      </c>
      <c r="AC40" s="127" t="str">
        <f t="shared" si="27"/>
        <v/>
      </c>
      <c r="AD40" s="127" t="str">
        <f t="shared" si="27"/>
        <v/>
      </c>
      <c r="AE40" s="127" t="str">
        <f t="shared" si="27"/>
        <v/>
      </c>
      <c r="AF40" s="127" t="str">
        <f t="shared" si="27"/>
        <v/>
      </c>
      <c r="AG40" s="127" t="str">
        <f t="shared" si="27"/>
        <v/>
      </c>
      <c r="AH40" s="127" t="str">
        <f t="shared" si="26"/>
        <v>▲</v>
      </c>
      <c r="AI40" s="127" t="str">
        <f t="shared" si="26"/>
        <v/>
      </c>
      <c r="AJ40" s="127" t="str">
        <f t="shared" si="26"/>
        <v/>
      </c>
      <c r="AK40" s="127" t="str">
        <f t="shared" si="26"/>
        <v/>
      </c>
      <c r="AL40" s="127" t="str">
        <f t="shared" si="26"/>
        <v/>
      </c>
      <c r="AM40" s="127" t="str">
        <f t="shared" si="26"/>
        <v/>
      </c>
      <c r="AN40" s="127" t="str">
        <f t="shared" si="26"/>
        <v/>
      </c>
      <c r="AO40" s="127" t="str">
        <f t="shared" si="26"/>
        <v/>
      </c>
      <c r="AP40" s="127" t="str">
        <f t="shared" si="26"/>
        <v/>
      </c>
      <c r="AQ40" s="127" t="str">
        <f t="shared" si="26"/>
        <v/>
      </c>
      <c r="AR40" s="127" t="str">
        <f t="shared" si="26"/>
        <v/>
      </c>
      <c r="AS40" s="127" t="str">
        <f t="shared" si="26"/>
        <v/>
      </c>
      <c r="AT40" s="127" t="str">
        <f t="shared" si="26"/>
        <v/>
      </c>
      <c r="AU40" s="127" t="str">
        <f t="shared" si="26"/>
        <v/>
      </c>
      <c r="AV40" s="127" t="str">
        <f t="shared" si="26"/>
        <v/>
      </c>
      <c r="AW40" s="127" t="str">
        <f t="shared" si="26"/>
        <v/>
      </c>
      <c r="AX40" s="127" t="str">
        <f t="shared" si="18"/>
        <v/>
      </c>
      <c r="AY40" s="127" t="str">
        <f t="shared" si="18"/>
        <v/>
      </c>
      <c r="AZ40" s="127" t="str">
        <f t="shared" si="18"/>
        <v/>
      </c>
      <c r="BA40" s="127" t="str">
        <f t="shared" si="18"/>
        <v/>
      </c>
      <c r="BB40" s="127" t="str">
        <f t="shared" si="18"/>
        <v/>
      </c>
      <c r="BC40" s="127" t="str">
        <f t="shared" si="18"/>
        <v/>
      </c>
      <c r="BD40" s="127" t="str">
        <f t="shared" si="18"/>
        <v/>
      </c>
      <c r="BE40" s="127" t="str">
        <f t="shared" si="18"/>
        <v/>
      </c>
      <c r="BF40" s="127" t="str">
        <f t="shared" si="18"/>
        <v/>
      </c>
      <c r="BG40" s="127" t="str">
        <f t="shared" si="18"/>
        <v/>
      </c>
      <c r="BH40" s="127" t="str">
        <f t="shared" si="18"/>
        <v/>
      </c>
      <c r="BI40" s="127" t="str">
        <f t="shared" si="18"/>
        <v/>
      </c>
      <c r="BJ40" s="127" t="str">
        <f t="shared" si="18"/>
        <v/>
      </c>
      <c r="BK40" s="127" t="str">
        <f t="shared" si="18"/>
        <v/>
      </c>
      <c r="BL40" s="127" t="str">
        <f t="shared" si="18"/>
        <v/>
      </c>
      <c r="BM40" s="127" t="str">
        <f t="shared" si="18"/>
        <v/>
      </c>
      <c r="BN40" s="127" t="str">
        <f t="shared" si="18"/>
        <v/>
      </c>
      <c r="BO40" s="127" t="str">
        <f t="shared" si="18"/>
        <v/>
      </c>
      <c r="BP40" s="127" t="str">
        <f t="shared" si="18"/>
        <v/>
      </c>
      <c r="BQ40" s="127" t="str">
        <f t="shared" si="18"/>
        <v/>
      </c>
      <c r="BR40" s="127" t="str">
        <f t="shared" si="18"/>
        <v/>
      </c>
      <c r="BS40" s="127" t="str">
        <f t="shared" si="18"/>
        <v/>
      </c>
      <c r="BT40" s="127" t="str">
        <f t="shared" ref="BT40:CE53" si="28">IF($E40=BT$3,"▲","")</f>
        <v/>
      </c>
      <c r="BU40" s="127" t="str">
        <f t="shared" si="28"/>
        <v/>
      </c>
      <c r="BV40" s="127" t="str">
        <f t="shared" si="28"/>
        <v/>
      </c>
      <c r="BW40" s="127" t="str">
        <f t="shared" si="28"/>
        <v/>
      </c>
      <c r="BX40" s="127" t="str">
        <f t="shared" si="28"/>
        <v/>
      </c>
      <c r="BY40" s="127" t="str">
        <f t="shared" si="28"/>
        <v/>
      </c>
      <c r="BZ40" s="127" t="str">
        <f t="shared" si="28"/>
        <v/>
      </c>
      <c r="CA40" s="127" t="str">
        <f t="shared" si="28"/>
        <v/>
      </c>
      <c r="CB40" s="127" t="str">
        <f t="shared" si="28"/>
        <v/>
      </c>
      <c r="CC40" s="127" t="str">
        <f t="shared" si="28"/>
        <v/>
      </c>
      <c r="CD40" s="127" t="str">
        <f t="shared" si="28"/>
        <v/>
      </c>
      <c r="CE40" s="127" t="str">
        <f t="shared" si="28"/>
        <v/>
      </c>
    </row>
    <row r="41" spans="1:83" ht="12.6" hidden="1" customHeight="1" x14ac:dyDescent="0.2">
      <c r="A41" s="106">
        <f>SHIPMENTS!A47</f>
        <v>9164</v>
      </c>
      <c r="B41" s="106" t="str">
        <f>SHIPMENTS!B47</f>
        <v>1500-SAWO SAUNA EUROPE BV BACKLOG</v>
      </c>
      <c r="C41" s="132">
        <f>SHIPMENTS!F47</f>
        <v>100.97952000000001</v>
      </c>
      <c r="D41" s="107" t="str">
        <f>IF((SHIPMENTS!I47)=0,"",SHIPMENTS!I47)</f>
        <v>1X40HC</v>
      </c>
      <c r="E41" s="176">
        <f>IF((SHIPMENTS!G47)=0,"",SHIPMENTS!G47)</f>
        <v>46339</v>
      </c>
      <c r="F41" s="97">
        <f>VLOOKUP(A41,Items!$A$5:$J$1000,2,0)</f>
        <v>0</v>
      </c>
      <c r="G41" s="98">
        <f>VLOOKUP(A41,load!$A$4:$U$5001,10,0)</f>
        <v>0</v>
      </c>
      <c r="H41" s="97">
        <v>13</v>
      </c>
      <c r="I41" s="98">
        <f t="shared" si="19"/>
        <v>118.3</v>
      </c>
      <c r="J41" s="99">
        <f t="shared" si="20"/>
        <v>0</v>
      </c>
      <c r="K41" s="99">
        <f t="shared" si="21"/>
        <v>0</v>
      </c>
      <c r="L41" s="98">
        <f t="shared" si="22"/>
        <v>0</v>
      </c>
      <c r="M41" s="98">
        <f t="shared" si="23"/>
        <v>0</v>
      </c>
      <c r="N41" s="181">
        <f t="shared" si="24"/>
        <v>46324.35773457311</v>
      </c>
      <c r="O41" s="181">
        <f t="shared" si="25"/>
        <v>46324.35773457311</v>
      </c>
      <c r="P41" s="112" t="str">
        <f>VLOOKUP(A41,SHIPMENTS!$A$7:$AP$76,41,0)</f>
        <v>n/a</v>
      </c>
      <c r="Q41" s="101"/>
      <c r="R41" s="127" t="str">
        <f t="shared" si="27"/>
        <v/>
      </c>
      <c r="S41" s="127" t="str">
        <f t="shared" si="27"/>
        <v/>
      </c>
      <c r="T41" s="127" t="str">
        <f t="shared" si="27"/>
        <v/>
      </c>
      <c r="U41" s="127" t="str">
        <f t="shared" si="27"/>
        <v/>
      </c>
      <c r="V41" s="127" t="str">
        <f t="shared" si="27"/>
        <v/>
      </c>
      <c r="W41" s="127" t="str">
        <f t="shared" si="27"/>
        <v/>
      </c>
      <c r="X41" s="127" t="str">
        <f t="shared" si="27"/>
        <v/>
      </c>
      <c r="Y41" s="127" t="str">
        <f t="shared" si="27"/>
        <v/>
      </c>
      <c r="Z41" s="127" t="str">
        <f t="shared" si="27"/>
        <v/>
      </c>
      <c r="AA41" s="127" t="str">
        <f t="shared" si="27"/>
        <v/>
      </c>
      <c r="AB41" s="127" t="str">
        <f t="shared" si="27"/>
        <v/>
      </c>
      <c r="AC41" s="127" t="str">
        <f t="shared" si="27"/>
        <v/>
      </c>
      <c r="AD41" s="127" t="str">
        <f t="shared" si="27"/>
        <v/>
      </c>
      <c r="AE41" s="127" t="str">
        <f t="shared" si="27"/>
        <v/>
      </c>
      <c r="AF41" s="127" t="str">
        <f t="shared" si="27"/>
        <v/>
      </c>
      <c r="AG41" s="127" t="str">
        <f t="shared" si="27"/>
        <v/>
      </c>
      <c r="AH41" s="127" t="str">
        <f t="shared" si="26"/>
        <v/>
      </c>
      <c r="AI41" s="127" t="str">
        <f t="shared" si="26"/>
        <v/>
      </c>
      <c r="AJ41" s="127" t="str">
        <f t="shared" si="26"/>
        <v/>
      </c>
      <c r="AK41" s="127" t="str">
        <f t="shared" si="26"/>
        <v/>
      </c>
      <c r="AL41" s="127" t="str">
        <f t="shared" si="26"/>
        <v/>
      </c>
      <c r="AM41" s="127" t="str">
        <f t="shared" si="26"/>
        <v/>
      </c>
      <c r="AN41" s="127" t="str">
        <f t="shared" si="26"/>
        <v>▲</v>
      </c>
      <c r="AO41" s="127" t="str">
        <f t="shared" si="26"/>
        <v/>
      </c>
      <c r="AP41" s="127" t="str">
        <f t="shared" si="26"/>
        <v/>
      </c>
      <c r="AQ41" s="127" t="str">
        <f t="shared" si="26"/>
        <v/>
      </c>
      <c r="AR41" s="127" t="str">
        <f t="shared" si="26"/>
        <v/>
      </c>
      <c r="AS41" s="127" t="str">
        <f t="shared" si="26"/>
        <v/>
      </c>
      <c r="AT41" s="127" t="str">
        <f t="shared" si="26"/>
        <v/>
      </c>
      <c r="AU41" s="127" t="str">
        <f t="shared" si="26"/>
        <v/>
      </c>
      <c r="AV41" s="127" t="str">
        <f t="shared" si="26"/>
        <v/>
      </c>
      <c r="AW41" s="127" t="str">
        <f t="shared" si="26"/>
        <v/>
      </c>
      <c r="AX41" s="127" t="str">
        <f t="shared" si="18"/>
        <v/>
      </c>
      <c r="AY41" s="127" t="str">
        <f t="shared" si="18"/>
        <v/>
      </c>
      <c r="AZ41" s="127" t="str">
        <f t="shared" si="18"/>
        <v/>
      </c>
      <c r="BA41" s="127" t="str">
        <f t="shared" si="18"/>
        <v/>
      </c>
      <c r="BB41" s="127" t="str">
        <f t="shared" si="18"/>
        <v/>
      </c>
      <c r="BC41" s="127" t="str">
        <f t="shared" si="18"/>
        <v/>
      </c>
      <c r="BD41" s="127" t="str">
        <f t="shared" si="18"/>
        <v/>
      </c>
      <c r="BE41" s="127" t="str">
        <f t="shared" si="18"/>
        <v/>
      </c>
      <c r="BF41" s="127" t="str">
        <f t="shared" si="18"/>
        <v/>
      </c>
      <c r="BG41" s="127" t="str">
        <f t="shared" si="18"/>
        <v/>
      </c>
      <c r="BH41" s="127" t="str">
        <f t="shared" si="18"/>
        <v/>
      </c>
      <c r="BI41" s="127" t="str">
        <f t="shared" si="18"/>
        <v/>
      </c>
      <c r="BJ41" s="127" t="str">
        <f t="shared" si="18"/>
        <v/>
      </c>
      <c r="BK41" s="127" t="str">
        <f t="shared" si="18"/>
        <v/>
      </c>
      <c r="BL41" s="127" t="str">
        <f t="shared" si="18"/>
        <v/>
      </c>
      <c r="BM41" s="127" t="str">
        <f t="shared" si="18"/>
        <v/>
      </c>
      <c r="BN41" s="127" t="str">
        <f t="shared" si="18"/>
        <v/>
      </c>
      <c r="BO41" s="127" t="str">
        <f t="shared" si="18"/>
        <v/>
      </c>
      <c r="BP41" s="127" t="str">
        <f t="shared" si="18"/>
        <v/>
      </c>
      <c r="BQ41" s="127" t="str">
        <f t="shared" si="18"/>
        <v/>
      </c>
      <c r="BR41" s="127" t="str">
        <f t="shared" si="18"/>
        <v/>
      </c>
      <c r="BS41" s="127" t="str">
        <f t="shared" si="18"/>
        <v/>
      </c>
      <c r="BT41" s="127" t="str">
        <f t="shared" si="28"/>
        <v/>
      </c>
      <c r="BU41" s="127" t="str">
        <f t="shared" si="28"/>
        <v/>
      </c>
      <c r="BV41" s="127" t="str">
        <f t="shared" si="28"/>
        <v/>
      </c>
      <c r="BW41" s="127" t="str">
        <f t="shared" si="28"/>
        <v/>
      </c>
      <c r="BX41" s="127" t="str">
        <f t="shared" si="28"/>
        <v/>
      </c>
      <c r="BY41" s="127" t="str">
        <f t="shared" si="28"/>
        <v/>
      </c>
      <c r="BZ41" s="127" t="str">
        <f t="shared" si="28"/>
        <v/>
      </c>
      <c r="CA41" s="127" t="str">
        <f t="shared" si="28"/>
        <v/>
      </c>
      <c r="CB41" s="127" t="str">
        <f t="shared" si="28"/>
        <v/>
      </c>
      <c r="CC41" s="127" t="str">
        <f t="shared" si="28"/>
        <v/>
      </c>
      <c r="CD41" s="127" t="str">
        <f t="shared" si="28"/>
        <v/>
      </c>
      <c r="CE41" s="127" t="str">
        <f t="shared" si="28"/>
        <v/>
      </c>
    </row>
    <row r="42" spans="1:83" ht="12.6" hidden="1" customHeight="1" x14ac:dyDescent="0.2">
      <c r="A42" s="106">
        <f>SHIPMENTS!A48</f>
        <v>9288</v>
      </c>
      <c r="B42" s="106" t="str">
        <f>SHIPMENTS!B48</f>
        <v>12100-HOLLAND HALU</v>
      </c>
      <c r="C42" s="132">
        <f>SHIPMENTS!F48</f>
        <v>0</v>
      </c>
      <c r="D42" s="107" t="str">
        <f>IF((SHIPMENTS!I48)=0,"",SHIPMENTS!I48)</f>
        <v/>
      </c>
      <c r="E42" s="176">
        <f>IF((SHIPMENTS!G48)=0,"",SHIPMENTS!G48)</f>
        <v>46339</v>
      </c>
      <c r="F42" s="97">
        <f>VLOOKUP(A42,Items!$A$5:$J$1000,2,0)</f>
        <v>0</v>
      </c>
      <c r="G42" s="98">
        <f>VLOOKUP(A42,load!$A$4:$U$5001,10,0)</f>
        <v>0</v>
      </c>
      <c r="H42" s="97">
        <v>13</v>
      </c>
      <c r="I42" s="98">
        <f t="shared" si="19"/>
        <v>118.3</v>
      </c>
      <c r="J42" s="99">
        <f t="shared" si="20"/>
        <v>0</v>
      </c>
      <c r="K42" s="99">
        <f t="shared" si="21"/>
        <v>0</v>
      </c>
      <c r="L42" s="98">
        <f t="shared" si="22"/>
        <v>0</v>
      </c>
      <c r="M42" s="98">
        <f t="shared" si="23"/>
        <v>0</v>
      </c>
      <c r="N42" s="181">
        <f t="shared" si="24"/>
        <v>46324.35773457311</v>
      </c>
      <c r="O42" s="181">
        <f t="shared" si="25"/>
        <v>46324.35773457311</v>
      </c>
      <c r="P42" s="112" t="str">
        <f>VLOOKUP(A42,SHIPMENTS!$A$7:$AP$76,41,0)</f>
        <v>n/a</v>
      </c>
      <c r="Q42" s="101"/>
      <c r="R42" s="127" t="str">
        <f t="shared" si="27"/>
        <v/>
      </c>
      <c r="S42" s="127" t="str">
        <f t="shared" si="27"/>
        <v/>
      </c>
      <c r="T42" s="127" t="str">
        <f t="shared" si="27"/>
        <v/>
      </c>
      <c r="U42" s="127" t="str">
        <f t="shared" si="27"/>
        <v/>
      </c>
      <c r="V42" s="127" t="str">
        <f t="shared" si="27"/>
        <v/>
      </c>
      <c r="W42" s="127" t="str">
        <f t="shared" si="27"/>
        <v/>
      </c>
      <c r="X42" s="127" t="str">
        <f t="shared" si="27"/>
        <v/>
      </c>
      <c r="Y42" s="127" t="str">
        <f t="shared" si="27"/>
        <v/>
      </c>
      <c r="Z42" s="127" t="str">
        <f t="shared" si="27"/>
        <v/>
      </c>
      <c r="AA42" s="127" t="str">
        <f t="shared" si="27"/>
        <v/>
      </c>
      <c r="AB42" s="127" t="str">
        <f t="shared" si="27"/>
        <v/>
      </c>
      <c r="AC42" s="127" t="str">
        <f t="shared" si="27"/>
        <v/>
      </c>
      <c r="AD42" s="127" t="str">
        <f t="shared" si="27"/>
        <v/>
      </c>
      <c r="AE42" s="127" t="str">
        <f t="shared" si="27"/>
        <v/>
      </c>
      <c r="AF42" s="127" t="str">
        <f t="shared" si="27"/>
        <v/>
      </c>
      <c r="AG42" s="127" t="str">
        <f t="shared" si="27"/>
        <v/>
      </c>
      <c r="AH42" s="127" t="str">
        <f t="shared" si="26"/>
        <v/>
      </c>
      <c r="AI42" s="127" t="str">
        <f t="shared" si="26"/>
        <v/>
      </c>
      <c r="AJ42" s="127" t="str">
        <f t="shared" si="26"/>
        <v/>
      </c>
      <c r="AK42" s="127" t="str">
        <f t="shared" si="26"/>
        <v/>
      </c>
      <c r="AL42" s="127" t="str">
        <f t="shared" si="26"/>
        <v/>
      </c>
      <c r="AM42" s="127" t="str">
        <f t="shared" si="26"/>
        <v/>
      </c>
      <c r="AN42" s="127" t="str">
        <f t="shared" si="26"/>
        <v>▲</v>
      </c>
      <c r="AO42" s="127" t="str">
        <f t="shared" si="26"/>
        <v/>
      </c>
      <c r="AP42" s="127" t="str">
        <f t="shared" si="26"/>
        <v/>
      </c>
      <c r="AQ42" s="127" t="str">
        <f t="shared" si="26"/>
        <v/>
      </c>
      <c r="AR42" s="127" t="str">
        <f t="shared" si="26"/>
        <v/>
      </c>
      <c r="AS42" s="127" t="str">
        <f t="shared" si="26"/>
        <v/>
      </c>
      <c r="AT42" s="127" t="str">
        <f t="shared" si="26"/>
        <v/>
      </c>
      <c r="AU42" s="127" t="str">
        <f t="shared" si="26"/>
        <v/>
      </c>
      <c r="AV42" s="127" t="str">
        <f t="shared" si="26"/>
        <v/>
      </c>
      <c r="AW42" s="127" t="str">
        <f t="shared" si="26"/>
        <v/>
      </c>
      <c r="AX42" s="127" t="str">
        <f t="shared" si="18"/>
        <v/>
      </c>
      <c r="AY42" s="127" t="str">
        <f t="shared" si="18"/>
        <v/>
      </c>
      <c r="AZ42" s="127" t="str">
        <f t="shared" si="18"/>
        <v/>
      </c>
      <c r="BA42" s="127" t="str">
        <f t="shared" si="18"/>
        <v/>
      </c>
      <c r="BB42" s="127" t="str">
        <f t="shared" si="18"/>
        <v/>
      </c>
      <c r="BC42" s="127" t="str">
        <f t="shared" si="18"/>
        <v/>
      </c>
      <c r="BD42" s="127" t="str">
        <f t="shared" si="18"/>
        <v/>
      </c>
      <c r="BE42" s="127" t="str">
        <f t="shared" si="18"/>
        <v/>
      </c>
      <c r="BF42" s="127" t="str">
        <f t="shared" si="18"/>
        <v/>
      </c>
      <c r="BG42" s="127" t="str">
        <f t="shared" si="18"/>
        <v/>
      </c>
      <c r="BH42" s="127" t="str">
        <f t="shared" si="18"/>
        <v/>
      </c>
      <c r="BI42" s="127" t="str">
        <f t="shared" si="18"/>
        <v/>
      </c>
      <c r="BJ42" s="127" t="str">
        <f t="shared" si="18"/>
        <v/>
      </c>
      <c r="BK42" s="127" t="str">
        <f t="shared" si="18"/>
        <v/>
      </c>
      <c r="BL42" s="127" t="str">
        <f t="shared" si="18"/>
        <v/>
      </c>
      <c r="BM42" s="127" t="str">
        <f t="shared" si="18"/>
        <v/>
      </c>
      <c r="BN42" s="127" t="str">
        <f t="shared" si="18"/>
        <v/>
      </c>
      <c r="BO42" s="127" t="str">
        <f t="shared" si="18"/>
        <v/>
      </c>
      <c r="BP42" s="127" t="str">
        <f t="shared" si="18"/>
        <v/>
      </c>
      <c r="BQ42" s="127" t="str">
        <f t="shared" si="18"/>
        <v/>
      </c>
      <c r="BR42" s="127" t="str">
        <f t="shared" si="18"/>
        <v/>
      </c>
      <c r="BS42" s="127" t="str">
        <f t="shared" si="18"/>
        <v/>
      </c>
      <c r="BT42" s="127" t="str">
        <f t="shared" si="28"/>
        <v/>
      </c>
      <c r="BU42" s="127" t="str">
        <f t="shared" si="28"/>
        <v/>
      </c>
      <c r="BV42" s="127" t="str">
        <f t="shared" si="28"/>
        <v/>
      </c>
      <c r="BW42" s="127" t="str">
        <f t="shared" si="28"/>
        <v/>
      </c>
      <c r="BX42" s="127" t="str">
        <f t="shared" si="28"/>
        <v/>
      </c>
      <c r="BY42" s="127" t="str">
        <f t="shared" si="28"/>
        <v/>
      </c>
      <c r="BZ42" s="127" t="str">
        <f t="shared" si="28"/>
        <v/>
      </c>
      <c r="CA42" s="127" t="str">
        <f t="shared" si="28"/>
        <v/>
      </c>
      <c r="CB42" s="127" t="str">
        <f t="shared" si="28"/>
        <v/>
      </c>
      <c r="CC42" s="127" t="str">
        <f t="shared" si="28"/>
        <v/>
      </c>
      <c r="CD42" s="127" t="str">
        <f t="shared" si="28"/>
        <v/>
      </c>
      <c r="CE42" s="127" t="str">
        <f t="shared" si="28"/>
        <v/>
      </c>
    </row>
    <row r="43" spans="1:83" ht="12.6" customHeight="1" x14ac:dyDescent="0.2">
      <c r="A43" s="106" t="str">
        <f>SHIPMENTS!A49</f>
        <v>SSE BACKLOG</v>
      </c>
      <c r="B43" s="106" t="str">
        <f>SHIPMENTS!B49</f>
        <v>11500-SAWO SAUNA EUROPE BV</v>
      </c>
      <c r="C43" s="132">
        <f>SHIPMENTS!F49</f>
        <v>0</v>
      </c>
      <c r="D43" s="107" t="str">
        <f>IF((SHIPMENTS!I49)=0,"",SHIPMENTS!I49)</f>
        <v/>
      </c>
      <c r="E43" s="176">
        <f>IF((SHIPMENTS!G49)=0,"",SHIPMENTS!G49)</f>
        <v>46339</v>
      </c>
      <c r="F43" s="97">
        <f>VLOOKUP(A43,Items!$A$5:$J$1000,2,0)</f>
        <v>5</v>
      </c>
      <c r="G43" s="98">
        <f>VLOOKUP(A43,load!$A$4:$U$5001,10,0)</f>
        <v>17.629166666666666</v>
      </c>
      <c r="H43" s="97">
        <v>13</v>
      </c>
      <c r="I43" s="98">
        <f t="shared" si="19"/>
        <v>118.3</v>
      </c>
      <c r="J43" s="99">
        <f t="shared" si="20"/>
        <v>0.14902085094392786</v>
      </c>
      <c r="K43" s="99">
        <f t="shared" si="21"/>
        <v>1.3560897435897434</v>
      </c>
      <c r="L43" s="98">
        <f t="shared" si="22"/>
        <v>0.14902085094392786</v>
      </c>
      <c r="M43" s="98">
        <f t="shared" si="23"/>
        <v>1.3560897435897434</v>
      </c>
      <c r="N43" s="181">
        <f t="shared" si="24"/>
        <v>46324.35773457311</v>
      </c>
      <c r="O43" s="181">
        <f t="shared" si="25"/>
        <v>46324.506755424052</v>
      </c>
      <c r="P43" s="112">
        <f>VLOOKUP(A43,SHIPMENTS!$A$7:$AP$76,41,0)</f>
        <v>0</v>
      </c>
      <c r="Q43" s="101"/>
      <c r="R43" s="127" t="str">
        <f t="shared" si="27"/>
        <v/>
      </c>
      <c r="S43" s="127" t="str">
        <f t="shared" si="27"/>
        <v/>
      </c>
      <c r="T43" s="127" t="str">
        <f t="shared" si="27"/>
        <v/>
      </c>
      <c r="U43" s="127" t="str">
        <f t="shared" si="27"/>
        <v/>
      </c>
      <c r="V43" s="127" t="str">
        <f t="shared" si="27"/>
        <v/>
      </c>
      <c r="W43" s="127" t="str">
        <f t="shared" si="27"/>
        <v/>
      </c>
      <c r="X43" s="127" t="str">
        <f t="shared" si="27"/>
        <v/>
      </c>
      <c r="Y43" s="127" t="str">
        <f t="shared" si="27"/>
        <v/>
      </c>
      <c r="Z43" s="127" t="str">
        <f t="shared" si="27"/>
        <v/>
      </c>
      <c r="AA43" s="127" t="str">
        <f t="shared" si="27"/>
        <v/>
      </c>
      <c r="AB43" s="127" t="str">
        <f t="shared" si="27"/>
        <v/>
      </c>
      <c r="AC43" s="127" t="str">
        <f t="shared" si="27"/>
        <v/>
      </c>
      <c r="AD43" s="127" t="str">
        <f t="shared" si="27"/>
        <v/>
      </c>
      <c r="AE43" s="127" t="str">
        <f t="shared" si="27"/>
        <v/>
      </c>
      <c r="AF43" s="127" t="str">
        <f t="shared" si="27"/>
        <v/>
      </c>
      <c r="AG43" s="127" t="str">
        <f t="shared" si="27"/>
        <v/>
      </c>
      <c r="AH43" s="127" t="str">
        <f t="shared" si="26"/>
        <v/>
      </c>
      <c r="AI43" s="127" t="str">
        <f t="shared" si="26"/>
        <v/>
      </c>
      <c r="AJ43" s="127" t="str">
        <f t="shared" si="26"/>
        <v/>
      </c>
      <c r="AK43" s="127" t="str">
        <f t="shared" si="26"/>
        <v/>
      </c>
      <c r="AL43" s="127" t="str">
        <f t="shared" si="26"/>
        <v/>
      </c>
      <c r="AM43" s="127" t="str">
        <f t="shared" si="26"/>
        <v/>
      </c>
      <c r="AN43" s="127" t="str">
        <f t="shared" si="26"/>
        <v>▲</v>
      </c>
      <c r="AO43" s="127" t="str">
        <f t="shared" si="26"/>
        <v/>
      </c>
      <c r="AP43" s="127" t="str">
        <f t="shared" si="26"/>
        <v/>
      </c>
      <c r="AQ43" s="127" t="str">
        <f t="shared" si="26"/>
        <v/>
      </c>
      <c r="AR43" s="127" t="str">
        <f t="shared" si="26"/>
        <v/>
      </c>
      <c r="AS43" s="127" t="str">
        <f t="shared" si="26"/>
        <v/>
      </c>
      <c r="AT43" s="127" t="str">
        <f t="shared" si="26"/>
        <v/>
      </c>
      <c r="AU43" s="127" t="str">
        <f t="shared" si="26"/>
        <v/>
      </c>
      <c r="AV43" s="127" t="str">
        <f t="shared" si="26"/>
        <v/>
      </c>
      <c r="AW43" s="127" t="str">
        <f t="shared" si="26"/>
        <v/>
      </c>
      <c r="AX43" s="127" t="str">
        <f t="shared" si="18"/>
        <v/>
      </c>
      <c r="AY43" s="127" t="str">
        <f t="shared" si="18"/>
        <v/>
      </c>
      <c r="AZ43" s="127" t="str">
        <f t="shared" si="18"/>
        <v/>
      </c>
      <c r="BA43" s="127" t="str">
        <f t="shared" si="18"/>
        <v/>
      </c>
      <c r="BB43" s="127" t="str">
        <f t="shared" si="18"/>
        <v/>
      </c>
      <c r="BC43" s="127" t="str">
        <f t="shared" si="18"/>
        <v/>
      </c>
      <c r="BD43" s="127" t="str">
        <f t="shared" si="18"/>
        <v/>
      </c>
      <c r="BE43" s="127" t="str">
        <f t="shared" si="18"/>
        <v/>
      </c>
      <c r="BF43" s="127" t="str">
        <f t="shared" si="18"/>
        <v/>
      </c>
      <c r="BG43" s="127" t="str">
        <f t="shared" si="18"/>
        <v/>
      </c>
      <c r="BH43" s="127" t="str">
        <f t="shared" si="18"/>
        <v/>
      </c>
      <c r="BI43" s="127" t="str">
        <f t="shared" si="18"/>
        <v/>
      </c>
      <c r="BJ43" s="127" t="str">
        <f t="shared" si="18"/>
        <v/>
      </c>
      <c r="BK43" s="127" t="str">
        <f t="shared" ref="BK43:BS43" si="29">IF($E43=BK$3,"▲","")</f>
        <v/>
      </c>
      <c r="BL43" s="127" t="str">
        <f t="shared" si="29"/>
        <v/>
      </c>
      <c r="BM43" s="127" t="str">
        <f t="shared" si="29"/>
        <v/>
      </c>
      <c r="BN43" s="127" t="str">
        <f t="shared" si="29"/>
        <v/>
      </c>
      <c r="BO43" s="127" t="str">
        <f t="shared" si="29"/>
        <v/>
      </c>
      <c r="BP43" s="127" t="str">
        <f t="shared" si="29"/>
        <v/>
      </c>
      <c r="BQ43" s="127" t="str">
        <f t="shared" si="29"/>
        <v/>
      </c>
      <c r="BR43" s="127" t="str">
        <f t="shared" si="29"/>
        <v/>
      </c>
      <c r="BS43" s="127" t="str">
        <f t="shared" si="29"/>
        <v/>
      </c>
      <c r="BT43" s="127" t="str">
        <f t="shared" si="28"/>
        <v/>
      </c>
      <c r="BU43" s="127" t="str">
        <f t="shared" si="28"/>
        <v/>
      </c>
      <c r="BV43" s="127" t="str">
        <f t="shared" si="28"/>
        <v/>
      </c>
      <c r="BW43" s="127" t="str">
        <f t="shared" si="28"/>
        <v/>
      </c>
      <c r="BX43" s="127" t="str">
        <f t="shared" si="28"/>
        <v/>
      </c>
      <c r="BY43" s="127" t="str">
        <f t="shared" si="28"/>
        <v/>
      </c>
      <c r="BZ43" s="127" t="str">
        <f t="shared" si="28"/>
        <v/>
      </c>
      <c r="CA43" s="127" t="str">
        <f t="shared" si="28"/>
        <v/>
      </c>
      <c r="CB43" s="127" t="str">
        <f t="shared" si="28"/>
        <v/>
      </c>
      <c r="CC43" s="127" t="str">
        <f t="shared" si="28"/>
        <v/>
      </c>
      <c r="CD43" s="127" t="str">
        <f t="shared" si="28"/>
        <v/>
      </c>
      <c r="CE43" s="127" t="str">
        <f t="shared" si="28"/>
        <v/>
      </c>
    </row>
    <row r="44" spans="1:83" ht="12.6" hidden="1" customHeight="1" x14ac:dyDescent="0.2">
      <c r="A44" s="106">
        <f>SHIPMENTS!A50</f>
        <v>9113</v>
      </c>
      <c r="B44" s="106" t="str">
        <f>SHIPMENTS!B50</f>
        <v>15900- Mandaue |Stephen Chian</v>
      </c>
      <c r="C44" s="132">
        <f>SHIPMENTS!F50</f>
        <v>0.34</v>
      </c>
      <c r="D44" s="107" t="str">
        <f>IF((SHIPMENTS!I50)=0,"",SHIPMENTS!I50)</f>
        <v/>
      </c>
      <c r="E44" s="176">
        <f>IF((SHIPMENTS!G50)=0,"",SHIPMENTS!G50)</f>
        <v>46351</v>
      </c>
      <c r="F44" s="97">
        <f>VLOOKUP(A44,Items!$A$5:$J$1000,2,0)</f>
        <v>0</v>
      </c>
      <c r="G44" s="98">
        <f>VLOOKUP(A44,load!$A$4:$U$5001,10,0)</f>
        <v>0</v>
      </c>
      <c r="H44" s="97">
        <v>13</v>
      </c>
      <c r="I44" s="98">
        <f t="shared" si="19"/>
        <v>118.3</v>
      </c>
      <c r="J44" s="99">
        <f t="shared" si="20"/>
        <v>0</v>
      </c>
      <c r="K44" s="99">
        <f t="shared" si="21"/>
        <v>0</v>
      </c>
      <c r="L44" s="98">
        <f t="shared" si="22"/>
        <v>0</v>
      </c>
      <c r="M44" s="98">
        <f t="shared" si="23"/>
        <v>0</v>
      </c>
      <c r="N44" s="181">
        <f t="shared" si="24"/>
        <v>46324.506755424052</v>
      </c>
      <c r="O44" s="181">
        <f t="shared" si="25"/>
        <v>46324.506755424052</v>
      </c>
      <c r="P44" s="112" t="str">
        <f>VLOOKUP(A44,SHIPMENTS!$A$7:$AP$76,41,0)</f>
        <v>n/a</v>
      </c>
      <c r="Q44" s="101"/>
      <c r="R44" s="127" t="str">
        <f t="shared" si="27"/>
        <v/>
      </c>
      <c r="S44" s="127" t="str">
        <f t="shared" si="27"/>
        <v/>
      </c>
      <c r="T44" s="127" t="str">
        <f t="shared" si="27"/>
        <v/>
      </c>
      <c r="U44" s="127" t="str">
        <f t="shared" si="27"/>
        <v/>
      </c>
      <c r="V44" s="127" t="str">
        <f t="shared" si="27"/>
        <v/>
      </c>
      <c r="W44" s="127" t="str">
        <f t="shared" si="27"/>
        <v/>
      </c>
      <c r="X44" s="127" t="str">
        <f t="shared" si="27"/>
        <v/>
      </c>
      <c r="Y44" s="127" t="str">
        <f t="shared" si="27"/>
        <v/>
      </c>
      <c r="Z44" s="127" t="str">
        <f t="shared" si="27"/>
        <v/>
      </c>
      <c r="AA44" s="127" t="str">
        <f t="shared" si="27"/>
        <v/>
      </c>
      <c r="AB44" s="127" t="str">
        <f t="shared" si="27"/>
        <v/>
      </c>
      <c r="AC44" s="127" t="str">
        <f t="shared" si="27"/>
        <v/>
      </c>
      <c r="AD44" s="127" t="str">
        <f t="shared" si="27"/>
        <v/>
      </c>
      <c r="AE44" s="127" t="str">
        <f t="shared" si="27"/>
        <v/>
      </c>
      <c r="AF44" s="127" t="str">
        <f t="shared" si="27"/>
        <v/>
      </c>
      <c r="AG44" s="127" t="str">
        <f t="shared" si="27"/>
        <v/>
      </c>
      <c r="AH44" s="127" t="str">
        <f t="shared" si="26"/>
        <v/>
      </c>
      <c r="AI44" s="127" t="str">
        <f t="shared" si="26"/>
        <v/>
      </c>
      <c r="AJ44" s="127" t="str">
        <f t="shared" si="26"/>
        <v/>
      </c>
      <c r="AK44" s="127" t="str">
        <f t="shared" si="26"/>
        <v/>
      </c>
      <c r="AL44" s="127" t="str">
        <f t="shared" si="26"/>
        <v/>
      </c>
      <c r="AM44" s="127" t="str">
        <f t="shared" si="26"/>
        <v/>
      </c>
      <c r="AN44" s="127" t="str">
        <f t="shared" si="26"/>
        <v/>
      </c>
      <c r="AO44" s="127" t="str">
        <f t="shared" si="26"/>
        <v/>
      </c>
      <c r="AP44" s="127" t="str">
        <f t="shared" si="26"/>
        <v/>
      </c>
      <c r="AQ44" s="127" t="str">
        <f t="shared" si="26"/>
        <v/>
      </c>
      <c r="AR44" s="127" t="str">
        <f t="shared" si="26"/>
        <v/>
      </c>
      <c r="AS44" s="127" t="str">
        <f t="shared" si="26"/>
        <v/>
      </c>
      <c r="AT44" s="127" t="str">
        <f t="shared" si="26"/>
        <v/>
      </c>
      <c r="AU44" s="127" t="str">
        <f t="shared" si="26"/>
        <v/>
      </c>
      <c r="AV44" s="127" t="str">
        <f t="shared" si="26"/>
        <v/>
      </c>
      <c r="AW44" s="127" t="str">
        <f t="shared" si="26"/>
        <v/>
      </c>
      <c r="AX44" s="127" t="str">
        <f t="shared" ref="AX44:BS53" si="30">IF($E44=AX$3,"▲","")</f>
        <v>▲</v>
      </c>
      <c r="AY44" s="127" t="str">
        <f t="shared" si="30"/>
        <v/>
      </c>
      <c r="AZ44" s="127" t="str">
        <f t="shared" si="30"/>
        <v/>
      </c>
      <c r="BA44" s="127" t="str">
        <f t="shared" si="30"/>
        <v/>
      </c>
      <c r="BB44" s="127" t="str">
        <f t="shared" si="30"/>
        <v/>
      </c>
      <c r="BC44" s="127" t="str">
        <f t="shared" si="30"/>
        <v/>
      </c>
      <c r="BD44" s="127" t="str">
        <f t="shared" si="30"/>
        <v/>
      </c>
      <c r="BE44" s="127" t="str">
        <f t="shared" si="30"/>
        <v/>
      </c>
      <c r="BF44" s="127" t="str">
        <f t="shared" si="30"/>
        <v/>
      </c>
      <c r="BG44" s="127" t="str">
        <f t="shared" si="30"/>
        <v/>
      </c>
      <c r="BH44" s="127" t="str">
        <f t="shared" si="30"/>
        <v/>
      </c>
      <c r="BI44" s="127" t="str">
        <f t="shared" si="30"/>
        <v/>
      </c>
      <c r="BJ44" s="127" t="str">
        <f t="shared" si="30"/>
        <v/>
      </c>
      <c r="BK44" s="127" t="str">
        <f t="shared" si="30"/>
        <v/>
      </c>
      <c r="BL44" s="127" t="str">
        <f t="shared" si="30"/>
        <v/>
      </c>
      <c r="BM44" s="127" t="str">
        <f t="shared" si="30"/>
        <v/>
      </c>
      <c r="BN44" s="127" t="str">
        <f t="shared" si="30"/>
        <v/>
      </c>
      <c r="BO44" s="127" t="str">
        <f t="shared" si="30"/>
        <v/>
      </c>
      <c r="BP44" s="127" t="str">
        <f t="shared" si="30"/>
        <v/>
      </c>
      <c r="BQ44" s="127" t="str">
        <f t="shared" si="30"/>
        <v/>
      </c>
      <c r="BR44" s="127" t="str">
        <f t="shared" si="30"/>
        <v/>
      </c>
      <c r="BS44" s="127" t="str">
        <f t="shared" si="30"/>
        <v/>
      </c>
      <c r="BT44" s="127" t="str">
        <f t="shared" si="28"/>
        <v/>
      </c>
      <c r="BU44" s="127" t="str">
        <f t="shared" si="28"/>
        <v/>
      </c>
      <c r="BV44" s="127" t="str">
        <f t="shared" si="28"/>
        <v/>
      </c>
      <c r="BW44" s="127" t="str">
        <f t="shared" si="28"/>
        <v/>
      </c>
      <c r="BX44" s="127" t="str">
        <f t="shared" si="28"/>
        <v/>
      </c>
      <c r="BY44" s="127" t="str">
        <f t="shared" si="28"/>
        <v/>
      </c>
      <c r="BZ44" s="127" t="str">
        <f t="shared" si="28"/>
        <v/>
      </c>
      <c r="CA44" s="127" t="str">
        <f t="shared" si="28"/>
        <v/>
      </c>
      <c r="CB44" s="127" t="str">
        <f t="shared" si="28"/>
        <v/>
      </c>
      <c r="CC44" s="127" t="str">
        <f t="shared" si="28"/>
        <v/>
      </c>
      <c r="CD44" s="127" t="str">
        <f t="shared" si="28"/>
        <v/>
      </c>
      <c r="CE44" s="127" t="str">
        <f t="shared" si="28"/>
        <v/>
      </c>
    </row>
    <row r="45" spans="1:83" ht="12.6" customHeight="1" x14ac:dyDescent="0.2">
      <c r="A45" s="106">
        <f>SHIPMENTS!A51</f>
        <v>8938</v>
      </c>
      <c r="B45" s="106" t="str">
        <f>SHIPMENTS!B51</f>
        <v>9600-NEW ZEALAND</v>
      </c>
      <c r="C45" s="132">
        <f>SHIPMENTS!F51</f>
        <v>36.496094285714285</v>
      </c>
      <c r="D45" s="107" t="str">
        <f>IF((SHIPMENTS!I51)=0,"",SHIPMENTS!I51)</f>
        <v>1X20</v>
      </c>
      <c r="E45" s="176" t="str">
        <f>IF((SHIPMENTS!G51)=0,"",SHIPMENTS!G51)</f>
        <v>TBA</v>
      </c>
      <c r="F45" s="97">
        <f>VLOOKUP(A45,Items!$A$5:$J$1000,2,0)</f>
        <v>3</v>
      </c>
      <c r="G45" s="98">
        <f>VLOOKUP(A45,load!$A$4:$U$5001,10,0)</f>
        <v>3.5920000000000001</v>
      </c>
      <c r="H45" s="97">
        <v>13</v>
      </c>
      <c r="I45" s="98">
        <f t="shared" si="19"/>
        <v>118.3</v>
      </c>
      <c r="J45" s="99">
        <f t="shared" si="20"/>
        <v>3.0363482671174981E-2</v>
      </c>
      <c r="K45" s="99">
        <f t="shared" si="21"/>
        <v>0.27630769230769231</v>
      </c>
      <c r="L45" s="98">
        <f t="shared" si="22"/>
        <v>3.0363482671174981E-2</v>
      </c>
      <c r="M45" s="98">
        <f t="shared" si="23"/>
        <v>0.27630769230769231</v>
      </c>
      <c r="N45" s="181">
        <f t="shared" si="24"/>
        <v>46324.506755424052</v>
      </c>
      <c r="O45" s="181">
        <f t="shared" si="25"/>
        <v>46324.537118906723</v>
      </c>
      <c r="P45" s="112">
        <f>VLOOKUP(A45,SHIPMENTS!$A$7:$AP$76,41,0)</f>
        <v>0</v>
      </c>
      <c r="Q45" s="101"/>
      <c r="R45" s="127" t="str">
        <f t="shared" si="27"/>
        <v/>
      </c>
      <c r="S45" s="127" t="str">
        <f t="shared" si="27"/>
        <v/>
      </c>
      <c r="T45" s="127" t="str">
        <f t="shared" si="27"/>
        <v/>
      </c>
      <c r="U45" s="127" t="str">
        <f t="shared" si="27"/>
        <v/>
      </c>
      <c r="V45" s="127" t="str">
        <f t="shared" si="27"/>
        <v/>
      </c>
      <c r="W45" s="127" t="str">
        <f t="shared" si="27"/>
        <v/>
      </c>
      <c r="X45" s="127" t="str">
        <f t="shared" si="27"/>
        <v/>
      </c>
      <c r="Y45" s="127" t="str">
        <f t="shared" si="27"/>
        <v/>
      </c>
      <c r="Z45" s="127" t="str">
        <f t="shared" si="27"/>
        <v/>
      </c>
      <c r="AA45" s="127" t="str">
        <f t="shared" si="27"/>
        <v/>
      </c>
      <c r="AB45" s="127" t="str">
        <f t="shared" si="27"/>
        <v/>
      </c>
      <c r="AC45" s="127" t="str">
        <f t="shared" si="27"/>
        <v/>
      </c>
      <c r="AD45" s="127" t="str">
        <f t="shared" si="27"/>
        <v/>
      </c>
      <c r="AE45" s="127" t="str">
        <f t="shared" si="27"/>
        <v/>
      </c>
      <c r="AF45" s="127" t="str">
        <f t="shared" si="27"/>
        <v/>
      </c>
      <c r="AG45" s="127" t="str">
        <f t="shared" si="27"/>
        <v/>
      </c>
      <c r="AH45" s="127" t="str">
        <f t="shared" si="26"/>
        <v/>
      </c>
      <c r="AI45" s="127" t="str">
        <f t="shared" si="26"/>
        <v/>
      </c>
      <c r="AJ45" s="127" t="str">
        <f t="shared" si="26"/>
        <v/>
      </c>
      <c r="AK45" s="127" t="str">
        <f t="shared" si="26"/>
        <v/>
      </c>
      <c r="AL45" s="127" t="str">
        <f t="shared" si="26"/>
        <v/>
      </c>
      <c r="AM45" s="127" t="str">
        <f t="shared" si="26"/>
        <v/>
      </c>
      <c r="AN45" s="127" t="str">
        <f t="shared" si="26"/>
        <v/>
      </c>
      <c r="AO45" s="127" t="str">
        <f t="shared" si="26"/>
        <v/>
      </c>
      <c r="AP45" s="127" t="str">
        <f t="shared" si="26"/>
        <v/>
      </c>
      <c r="AQ45" s="127" t="str">
        <f t="shared" si="26"/>
        <v/>
      </c>
      <c r="AR45" s="127" t="str">
        <f t="shared" si="26"/>
        <v/>
      </c>
      <c r="AS45" s="127" t="str">
        <f t="shared" si="26"/>
        <v/>
      </c>
      <c r="AT45" s="127" t="str">
        <f t="shared" si="26"/>
        <v/>
      </c>
      <c r="AU45" s="127" t="str">
        <f t="shared" si="26"/>
        <v/>
      </c>
      <c r="AV45" s="127" t="str">
        <f t="shared" si="26"/>
        <v/>
      </c>
      <c r="AW45" s="127" t="str">
        <f t="shared" si="26"/>
        <v/>
      </c>
      <c r="AX45" s="127" t="str">
        <f t="shared" si="30"/>
        <v/>
      </c>
      <c r="AY45" s="127" t="str">
        <f t="shared" si="30"/>
        <v/>
      </c>
      <c r="AZ45" s="127" t="str">
        <f t="shared" si="30"/>
        <v/>
      </c>
      <c r="BA45" s="127" t="str">
        <f t="shared" si="30"/>
        <v/>
      </c>
      <c r="BB45" s="127" t="str">
        <f t="shared" si="30"/>
        <v/>
      </c>
      <c r="BC45" s="127" t="str">
        <f t="shared" si="30"/>
        <v/>
      </c>
      <c r="BD45" s="127" t="str">
        <f t="shared" si="30"/>
        <v/>
      </c>
      <c r="BE45" s="127" t="str">
        <f t="shared" si="30"/>
        <v/>
      </c>
      <c r="BF45" s="127" t="str">
        <f t="shared" si="30"/>
        <v/>
      </c>
      <c r="BG45" s="127" t="str">
        <f t="shared" si="30"/>
        <v/>
      </c>
      <c r="BH45" s="127" t="str">
        <f t="shared" si="30"/>
        <v/>
      </c>
      <c r="BI45" s="127" t="str">
        <f t="shared" si="30"/>
        <v/>
      </c>
      <c r="BJ45" s="127" t="str">
        <f t="shared" si="30"/>
        <v/>
      </c>
      <c r="BK45" s="127" t="str">
        <f t="shared" si="30"/>
        <v/>
      </c>
      <c r="BL45" s="127" t="str">
        <f t="shared" si="30"/>
        <v/>
      </c>
      <c r="BM45" s="127" t="str">
        <f t="shared" si="30"/>
        <v/>
      </c>
      <c r="BN45" s="127" t="str">
        <f t="shared" si="30"/>
        <v/>
      </c>
      <c r="BO45" s="127" t="str">
        <f t="shared" si="30"/>
        <v/>
      </c>
      <c r="BP45" s="127" t="str">
        <f t="shared" si="30"/>
        <v/>
      </c>
      <c r="BQ45" s="127" t="str">
        <f t="shared" si="30"/>
        <v/>
      </c>
      <c r="BR45" s="127" t="str">
        <f t="shared" si="30"/>
        <v/>
      </c>
      <c r="BS45" s="127" t="str">
        <f t="shared" si="30"/>
        <v/>
      </c>
      <c r="BT45" s="127" t="str">
        <f t="shared" si="28"/>
        <v/>
      </c>
      <c r="BU45" s="127" t="str">
        <f t="shared" si="28"/>
        <v/>
      </c>
      <c r="BV45" s="127" t="str">
        <f t="shared" si="28"/>
        <v/>
      </c>
      <c r="BW45" s="127" t="str">
        <f t="shared" si="28"/>
        <v/>
      </c>
      <c r="BX45" s="127" t="str">
        <f t="shared" si="28"/>
        <v/>
      </c>
      <c r="BY45" s="127" t="str">
        <f t="shared" si="28"/>
        <v/>
      </c>
      <c r="BZ45" s="127" t="str">
        <f t="shared" si="28"/>
        <v/>
      </c>
      <c r="CA45" s="127" t="str">
        <f t="shared" si="28"/>
        <v/>
      </c>
      <c r="CB45" s="127" t="str">
        <f t="shared" si="28"/>
        <v/>
      </c>
      <c r="CC45" s="127" t="str">
        <f t="shared" si="28"/>
        <v/>
      </c>
      <c r="CD45" s="127" t="str">
        <f t="shared" si="28"/>
        <v/>
      </c>
      <c r="CE45" s="127" t="str">
        <f t="shared" si="28"/>
        <v/>
      </c>
    </row>
    <row r="46" spans="1:83" ht="12.6" hidden="1" customHeight="1" x14ac:dyDescent="0.2">
      <c r="A46" s="106">
        <f>SHIPMENTS!A52</f>
        <v>9153</v>
      </c>
      <c r="B46" s="106" t="str">
        <f>SHIPMENTS!B52</f>
        <v>9600-NEW ZEALAND</v>
      </c>
      <c r="C46" s="132">
        <f>SHIPMENTS!F52</f>
        <v>0</v>
      </c>
      <c r="D46" s="107" t="str">
        <f>IF((SHIPMENTS!I52)=0,"",SHIPMENTS!I52)</f>
        <v/>
      </c>
      <c r="E46" s="176" t="str">
        <f>IF((SHIPMENTS!G52)=0,"",SHIPMENTS!G52)</f>
        <v>TBA</v>
      </c>
      <c r="F46" s="97">
        <f>VLOOKUP(A46,Items!$A$5:$J$1000,2,0)</f>
        <v>0</v>
      </c>
      <c r="G46" s="98">
        <f>VLOOKUP(A46,load!$A$4:$U$5001,10,0)</f>
        <v>0</v>
      </c>
      <c r="H46" s="97">
        <v>13</v>
      </c>
      <c r="I46" s="98">
        <f t="shared" ref="I46:I52" si="31">+H46*$I$4</f>
        <v>118.3</v>
      </c>
      <c r="J46" s="99">
        <f t="shared" ref="J46:J52" si="32">G46/I46</f>
        <v>0</v>
      </c>
      <c r="K46" s="99">
        <f t="shared" ref="K46:K52" si="33">+J46*$I$4</f>
        <v>0</v>
      </c>
      <c r="L46" s="98">
        <f t="shared" ref="L46:L52" si="34">IFERROR(J46-(J46*P46),0)</f>
        <v>0</v>
      </c>
      <c r="M46" s="98">
        <f t="shared" ref="M46:M52" si="35">IFERROR(K46-(K46*P46),0)</f>
        <v>0</v>
      </c>
      <c r="N46" s="181">
        <f t="shared" ref="N46:N52" si="36">O45</f>
        <v>46324.537118906723</v>
      </c>
      <c r="O46" s="181">
        <f t="shared" ref="O46:O52" si="37">N46+L46</f>
        <v>46324.537118906723</v>
      </c>
      <c r="P46" s="112" t="str">
        <f>VLOOKUP(A46,SHIPMENTS!$A$7:$AP$76,41,0)</f>
        <v>n/a</v>
      </c>
      <c r="Q46" s="101"/>
      <c r="R46" s="127" t="str">
        <f t="shared" si="27"/>
        <v/>
      </c>
      <c r="S46" s="127" t="str">
        <f t="shared" si="27"/>
        <v/>
      </c>
      <c r="T46" s="127" t="str">
        <f t="shared" si="27"/>
        <v/>
      </c>
      <c r="U46" s="127" t="str">
        <f t="shared" si="27"/>
        <v/>
      </c>
      <c r="V46" s="127" t="str">
        <f t="shared" si="27"/>
        <v/>
      </c>
      <c r="W46" s="127" t="str">
        <f t="shared" si="27"/>
        <v/>
      </c>
      <c r="X46" s="127" t="str">
        <f t="shared" si="27"/>
        <v/>
      </c>
      <c r="Y46" s="127" t="str">
        <f t="shared" si="27"/>
        <v/>
      </c>
      <c r="Z46" s="127" t="str">
        <f t="shared" si="27"/>
        <v/>
      </c>
      <c r="AA46" s="127" t="str">
        <f t="shared" si="27"/>
        <v/>
      </c>
      <c r="AB46" s="127" t="str">
        <f t="shared" si="27"/>
        <v/>
      </c>
      <c r="AC46" s="127" t="str">
        <f t="shared" si="27"/>
        <v/>
      </c>
      <c r="AD46" s="127" t="str">
        <f t="shared" si="27"/>
        <v/>
      </c>
      <c r="AE46" s="127" t="str">
        <f t="shared" si="27"/>
        <v/>
      </c>
      <c r="AF46" s="127" t="str">
        <f t="shared" si="27"/>
        <v/>
      </c>
      <c r="AG46" s="127" t="str">
        <f t="shared" si="27"/>
        <v/>
      </c>
      <c r="AH46" s="127" t="str">
        <f t="shared" si="26"/>
        <v/>
      </c>
      <c r="AI46" s="127" t="str">
        <f t="shared" si="26"/>
        <v/>
      </c>
      <c r="AJ46" s="127" t="str">
        <f t="shared" si="26"/>
        <v/>
      </c>
      <c r="AK46" s="127" t="str">
        <f t="shared" si="26"/>
        <v/>
      </c>
      <c r="AL46" s="127" t="str">
        <f t="shared" si="26"/>
        <v/>
      </c>
      <c r="AM46" s="127" t="str">
        <f t="shared" si="26"/>
        <v/>
      </c>
      <c r="AN46" s="127" t="str">
        <f t="shared" si="26"/>
        <v/>
      </c>
      <c r="AO46" s="127" t="str">
        <f t="shared" si="26"/>
        <v/>
      </c>
      <c r="AP46" s="127" t="str">
        <f t="shared" si="26"/>
        <v/>
      </c>
      <c r="AQ46" s="127" t="str">
        <f t="shared" si="26"/>
        <v/>
      </c>
      <c r="AR46" s="127" t="str">
        <f t="shared" si="26"/>
        <v/>
      </c>
      <c r="AS46" s="127" t="str">
        <f t="shared" si="26"/>
        <v/>
      </c>
      <c r="AT46" s="127" t="str">
        <f t="shared" si="26"/>
        <v/>
      </c>
      <c r="AU46" s="127" t="str">
        <f t="shared" si="26"/>
        <v/>
      </c>
      <c r="AV46" s="127" t="str">
        <f t="shared" si="26"/>
        <v/>
      </c>
      <c r="AW46" s="127" t="str">
        <f t="shared" si="26"/>
        <v/>
      </c>
      <c r="AX46" s="127" t="str">
        <f t="shared" si="30"/>
        <v/>
      </c>
      <c r="AY46" s="127" t="str">
        <f t="shared" si="30"/>
        <v/>
      </c>
      <c r="AZ46" s="127" t="str">
        <f t="shared" si="30"/>
        <v/>
      </c>
      <c r="BA46" s="127" t="str">
        <f t="shared" si="30"/>
        <v/>
      </c>
      <c r="BB46" s="127" t="str">
        <f t="shared" si="30"/>
        <v/>
      </c>
      <c r="BC46" s="127" t="str">
        <f t="shared" si="30"/>
        <v/>
      </c>
      <c r="BD46" s="127" t="str">
        <f t="shared" si="30"/>
        <v/>
      </c>
      <c r="BE46" s="127" t="str">
        <f t="shared" si="30"/>
        <v/>
      </c>
      <c r="BF46" s="127" t="str">
        <f t="shared" si="30"/>
        <v/>
      </c>
      <c r="BG46" s="127" t="str">
        <f t="shared" si="30"/>
        <v/>
      </c>
      <c r="BH46" s="127" t="str">
        <f t="shared" si="30"/>
        <v/>
      </c>
      <c r="BI46" s="127" t="str">
        <f t="shared" si="30"/>
        <v/>
      </c>
      <c r="BJ46" s="127" t="str">
        <f t="shared" si="30"/>
        <v/>
      </c>
      <c r="BK46" s="127" t="str">
        <f t="shared" si="30"/>
        <v/>
      </c>
      <c r="BL46" s="127" t="str">
        <f t="shared" si="30"/>
        <v/>
      </c>
      <c r="BM46" s="127" t="str">
        <f t="shared" si="30"/>
        <v/>
      </c>
      <c r="BN46" s="127" t="str">
        <f t="shared" si="30"/>
        <v/>
      </c>
      <c r="BO46" s="127" t="str">
        <f t="shared" si="30"/>
        <v/>
      </c>
      <c r="BP46" s="127" t="str">
        <f t="shared" si="30"/>
        <v/>
      </c>
      <c r="BQ46" s="127" t="str">
        <f t="shared" si="30"/>
        <v/>
      </c>
      <c r="BR46" s="127" t="str">
        <f t="shared" si="30"/>
        <v/>
      </c>
      <c r="BS46" s="127" t="str">
        <f t="shared" si="30"/>
        <v/>
      </c>
      <c r="BT46" s="127" t="str">
        <f t="shared" si="28"/>
        <v/>
      </c>
      <c r="BU46" s="127" t="str">
        <f t="shared" si="28"/>
        <v/>
      </c>
      <c r="BV46" s="127" t="str">
        <f t="shared" si="28"/>
        <v/>
      </c>
      <c r="BW46" s="127" t="str">
        <f t="shared" si="28"/>
        <v/>
      </c>
      <c r="BX46" s="127" t="str">
        <f t="shared" si="28"/>
        <v/>
      </c>
      <c r="BY46" s="127" t="str">
        <f t="shared" si="28"/>
        <v/>
      </c>
      <c r="BZ46" s="127" t="str">
        <f t="shared" si="28"/>
        <v/>
      </c>
      <c r="CA46" s="127" t="str">
        <f t="shared" si="28"/>
        <v/>
      </c>
      <c r="CB46" s="127" t="str">
        <f t="shared" si="28"/>
        <v/>
      </c>
      <c r="CC46" s="127" t="str">
        <f t="shared" si="28"/>
        <v/>
      </c>
      <c r="CD46" s="127" t="str">
        <f t="shared" si="28"/>
        <v/>
      </c>
      <c r="CE46" s="127" t="str">
        <f t="shared" si="28"/>
        <v/>
      </c>
    </row>
    <row r="47" spans="1:83" ht="12.6" hidden="1" customHeight="1" x14ac:dyDescent="0.2">
      <c r="A47" s="106">
        <f>SHIPMENTS!A53</f>
        <v>8294</v>
      </c>
      <c r="B47" s="106" t="str">
        <f>SHIPMENTS!B53</f>
        <v>9600-NEW ZEALAND BACKLOG</v>
      </c>
      <c r="C47" s="132">
        <f>SHIPMENTS!F53</f>
        <v>0</v>
      </c>
      <c r="D47" s="107" t="str">
        <f>IF((SHIPMENTS!I53)=0,"",SHIPMENTS!I53)</f>
        <v/>
      </c>
      <c r="E47" s="176" t="str">
        <f>IF((SHIPMENTS!G53)=0,"",SHIPMENTS!G53)</f>
        <v>TBA</v>
      </c>
      <c r="F47" s="97">
        <f>VLOOKUP(A47,Items!$A$5:$J$1000,2,0)</f>
        <v>0</v>
      </c>
      <c r="G47" s="98">
        <f>VLOOKUP(A47,load!$A$4:$U$5001,10,0)</f>
        <v>0</v>
      </c>
      <c r="H47" s="97">
        <v>13</v>
      </c>
      <c r="I47" s="98">
        <f t="shared" si="31"/>
        <v>118.3</v>
      </c>
      <c r="J47" s="99">
        <f t="shared" si="32"/>
        <v>0</v>
      </c>
      <c r="K47" s="99">
        <f t="shared" si="33"/>
        <v>0</v>
      </c>
      <c r="L47" s="98">
        <f t="shared" si="34"/>
        <v>0</v>
      </c>
      <c r="M47" s="98">
        <f t="shared" si="35"/>
        <v>0</v>
      </c>
      <c r="N47" s="181">
        <f t="shared" si="36"/>
        <v>46324.537118906723</v>
      </c>
      <c r="O47" s="181">
        <f t="shared" si="37"/>
        <v>46324.537118906723</v>
      </c>
      <c r="P47" s="112" t="str">
        <f>VLOOKUP(A47,SHIPMENTS!$A$7:$AP$76,41,0)</f>
        <v>n/a</v>
      </c>
      <c r="Q47" s="101"/>
      <c r="R47" s="127" t="str">
        <f t="shared" si="27"/>
        <v/>
      </c>
      <c r="S47" s="127" t="str">
        <f t="shared" si="27"/>
        <v/>
      </c>
      <c r="T47" s="127" t="str">
        <f t="shared" si="27"/>
        <v/>
      </c>
      <c r="U47" s="127" t="str">
        <f t="shared" si="27"/>
        <v/>
      </c>
      <c r="V47" s="127" t="str">
        <f t="shared" si="27"/>
        <v/>
      </c>
      <c r="W47" s="127" t="str">
        <f t="shared" si="27"/>
        <v/>
      </c>
      <c r="X47" s="127" t="str">
        <f t="shared" si="27"/>
        <v/>
      </c>
      <c r="Y47" s="127" t="str">
        <f t="shared" si="27"/>
        <v/>
      </c>
      <c r="Z47" s="127" t="str">
        <f t="shared" si="27"/>
        <v/>
      </c>
      <c r="AA47" s="127" t="str">
        <f t="shared" si="27"/>
        <v/>
      </c>
      <c r="AB47" s="127" t="str">
        <f t="shared" si="27"/>
        <v/>
      </c>
      <c r="AC47" s="127" t="str">
        <f t="shared" si="27"/>
        <v/>
      </c>
      <c r="AD47" s="127" t="str">
        <f t="shared" si="27"/>
        <v/>
      </c>
      <c r="AE47" s="127" t="str">
        <f t="shared" si="27"/>
        <v/>
      </c>
      <c r="AF47" s="127" t="str">
        <f t="shared" si="27"/>
        <v/>
      </c>
      <c r="AG47" s="127" t="str">
        <f t="shared" si="27"/>
        <v/>
      </c>
      <c r="AH47" s="127" t="str">
        <f t="shared" si="26"/>
        <v/>
      </c>
      <c r="AI47" s="127" t="str">
        <f t="shared" si="26"/>
        <v/>
      </c>
      <c r="AJ47" s="127" t="str">
        <f t="shared" si="26"/>
        <v/>
      </c>
      <c r="AK47" s="127" t="str">
        <f t="shared" si="26"/>
        <v/>
      </c>
      <c r="AL47" s="127" t="str">
        <f t="shared" si="26"/>
        <v/>
      </c>
      <c r="AM47" s="127" t="str">
        <f t="shared" si="26"/>
        <v/>
      </c>
      <c r="AN47" s="127" t="str">
        <f t="shared" si="26"/>
        <v/>
      </c>
      <c r="AO47" s="127" t="str">
        <f t="shared" si="26"/>
        <v/>
      </c>
      <c r="AP47" s="127" t="str">
        <f t="shared" si="26"/>
        <v/>
      </c>
      <c r="AQ47" s="127" t="str">
        <f t="shared" si="26"/>
        <v/>
      </c>
      <c r="AR47" s="127" t="str">
        <f t="shared" si="26"/>
        <v/>
      </c>
      <c r="AS47" s="127" t="str">
        <f t="shared" si="26"/>
        <v/>
      </c>
      <c r="AT47" s="127" t="str">
        <f t="shared" si="26"/>
        <v/>
      </c>
      <c r="AU47" s="127" t="str">
        <f t="shared" si="26"/>
        <v/>
      </c>
      <c r="AV47" s="127" t="str">
        <f t="shared" si="26"/>
        <v/>
      </c>
      <c r="AW47" s="127" t="str">
        <f t="shared" si="26"/>
        <v/>
      </c>
      <c r="AX47" s="127" t="str">
        <f t="shared" si="30"/>
        <v/>
      </c>
      <c r="AY47" s="127" t="str">
        <f t="shared" si="30"/>
        <v/>
      </c>
      <c r="AZ47" s="127" t="str">
        <f t="shared" si="30"/>
        <v/>
      </c>
      <c r="BA47" s="127" t="str">
        <f t="shared" si="30"/>
        <v/>
      </c>
      <c r="BB47" s="127" t="str">
        <f t="shared" si="30"/>
        <v/>
      </c>
      <c r="BC47" s="127" t="str">
        <f t="shared" si="30"/>
        <v/>
      </c>
      <c r="BD47" s="127" t="str">
        <f t="shared" si="30"/>
        <v/>
      </c>
      <c r="BE47" s="127" t="str">
        <f t="shared" si="30"/>
        <v/>
      </c>
      <c r="BF47" s="127" t="str">
        <f t="shared" si="30"/>
        <v/>
      </c>
      <c r="BG47" s="127" t="str">
        <f t="shared" si="30"/>
        <v/>
      </c>
      <c r="BH47" s="127" t="str">
        <f t="shared" si="30"/>
        <v/>
      </c>
      <c r="BI47" s="127" t="str">
        <f t="shared" si="30"/>
        <v/>
      </c>
      <c r="BJ47" s="127" t="str">
        <f t="shared" si="30"/>
        <v/>
      </c>
      <c r="BK47" s="127" t="str">
        <f t="shared" si="30"/>
        <v/>
      </c>
      <c r="BL47" s="127" t="str">
        <f t="shared" si="30"/>
        <v/>
      </c>
      <c r="BM47" s="127" t="str">
        <f t="shared" si="30"/>
        <v/>
      </c>
      <c r="BN47" s="127" t="str">
        <f t="shared" si="30"/>
        <v/>
      </c>
      <c r="BO47" s="127" t="str">
        <f t="shared" si="30"/>
        <v/>
      </c>
      <c r="BP47" s="127" t="str">
        <f t="shared" si="30"/>
        <v/>
      </c>
      <c r="BQ47" s="127" t="str">
        <f t="shared" si="30"/>
        <v/>
      </c>
      <c r="BR47" s="127" t="str">
        <f t="shared" si="30"/>
        <v/>
      </c>
      <c r="BS47" s="127" t="str">
        <f t="shared" si="30"/>
        <v/>
      </c>
      <c r="BT47" s="127" t="str">
        <f t="shared" si="28"/>
        <v/>
      </c>
      <c r="BU47" s="127" t="str">
        <f t="shared" si="28"/>
        <v/>
      </c>
      <c r="BV47" s="127" t="str">
        <f t="shared" si="28"/>
        <v/>
      </c>
      <c r="BW47" s="127" t="str">
        <f t="shared" si="28"/>
        <v/>
      </c>
      <c r="BX47" s="127" t="str">
        <f t="shared" si="28"/>
        <v/>
      </c>
      <c r="BY47" s="127" t="str">
        <f t="shared" si="28"/>
        <v/>
      </c>
      <c r="BZ47" s="127" t="str">
        <f t="shared" si="28"/>
        <v/>
      </c>
      <c r="CA47" s="127" t="str">
        <f t="shared" si="28"/>
        <v/>
      </c>
      <c r="CB47" s="127" t="str">
        <f t="shared" si="28"/>
        <v/>
      </c>
      <c r="CC47" s="127" t="str">
        <f t="shared" si="28"/>
        <v/>
      </c>
      <c r="CD47" s="127" t="str">
        <f t="shared" si="28"/>
        <v/>
      </c>
      <c r="CE47" s="127" t="str">
        <f t="shared" si="28"/>
        <v/>
      </c>
    </row>
    <row r="48" spans="1:83" ht="12.6" hidden="1" customHeight="1" x14ac:dyDescent="0.2">
      <c r="A48" s="106">
        <f>SHIPMENTS!A54</f>
        <v>7114</v>
      </c>
      <c r="B48" s="106" t="str">
        <f>SHIPMENTS!B54</f>
        <v>9600-NEW ZEALAND BACKLOG</v>
      </c>
      <c r="C48" s="132">
        <f>SHIPMENTS!F54</f>
        <v>0</v>
      </c>
      <c r="D48" s="107" t="str">
        <f>IF((SHIPMENTS!I54)=0,"",SHIPMENTS!I54)</f>
        <v/>
      </c>
      <c r="E48" s="176" t="str">
        <f>IF((SHIPMENTS!G54)=0,"",SHIPMENTS!G54)</f>
        <v/>
      </c>
      <c r="F48" s="97">
        <f>VLOOKUP(A48,Items!$A$5:$J$1000,2,0)</f>
        <v>0</v>
      </c>
      <c r="G48" s="98">
        <f>VLOOKUP(A48,load!$A$4:$U$5001,10,0)</f>
        <v>0</v>
      </c>
      <c r="H48" s="97">
        <v>13</v>
      </c>
      <c r="I48" s="98">
        <f t="shared" si="31"/>
        <v>118.3</v>
      </c>
      <c r="J48" s="99">
        <f t="shared" si="32"/>
        <v>0</v>
      </c>
      <c r="K48" s="99">
        <f t="shared" si="33"/>
        <v>0</v>
      </c>
      <c r="L48" s="98">
        <f t="shared" si="34"/>
        <v>0</v>
      </c>
      <c r="M48" s="98">
        <f t="shared" si="35"/>
        <v>0</v>
      </c>
      <c r="N48" s="181">
        <f t="shared" si="36"/>
        <v>46324.537118906723</v>
      </c>
      <c r="O48" s="181">
        <f t="shared" si="37"/>
        <v>46324.537118906723</v>
      </c>
      <c r="P48" s="112" t="str">
        <f>VLOOKUP(A48,SHIPMENTS!$A$7:$AP$76,41,0)</f>
        <v>n/a</v>
      </c>
      <c r="Q48" s="101"/>
      <c r="R48" s="127" t="str">
        <f t="shared" si="27"/>
        <v/>
      </c>
      <c r="S48" s="127" t="str">
        <f t="shared" si="27"/>
        <v/>
      </c>
      <c r="T48" s="127" t="str">
        <f t="shared" si="27"/>
        <v/>
      </c>
      <c r="U48" s="127" t="str">
        <f t="shared" si="27"/>
        <v/>
      </c>
      <c r="V48" s="127" t="str">
        <f t="shared" si="27"/>
        <v/>
      </c>
      <c r="W48" s="127" t="str">
        <f t="shared" si="27"/>
        <v/>
      </c>
      <c r="X48" s="127" t="str">
        <f t="shared" si="27"/>
        <v/>
      </c>
      <c r="Y48" s="127" t="str">
        <f t="shared" si="27"/>
        <v/>
      </c>
      <c r="Z48" s="127" t="str">
        <f t="shared" si="27"/>
        <v/>
      </c>
      <c r="AA48" s="127" t="str">
        <f t="shared" si="27"/>
        <v/>
      </c>
      <c r="AB48" s="127" t="str">
        <f t="shared" si="27"/>
        <v/>
      </c>
      <c r="AC48" s="127" t="str">
        <f t="shared" si="27"/>
        <v/>
      </c>
      <c r="AD48" s="127" t="str">
        <f t="shared" si="27"/>
        <v/>
      </c>
      <c r="AE48" s="127" t="str">
        <f t="shared" si="27"/>
        <v/>
      </c>
      <c r="AF48" s="127" t="str">
        <f t="shared" si="27"/>
        <v/>
      </c>
      <c r="AG48" s="127" t="str">
        <f t="shared" si="27"/>
        <v/>
      </c>
      <c r="AH48" s="127" t="str">
        <f t="shared" si="26"/>
        <v/>
      </c>
      <c r="AI48" s="127" t="str">
        <f t="shared" si="26"/>
        <v/>
      </c>
      <c r="AJ48" s="127" t="str">
        <f t="shared" si="26"/>
        <v/>
      </c>
      <c r="AK48" s="127" t="str">
        <f t="shared" si="26"/>
        <v/>
      </c>
      <c r="AL48" s="127" t="str">
        <f t="shared" si="26"/>
        <v/>
      </c>
      <c r="AM48" s="127" t="str">
        <f t="shared" si="26"/>
        <v/>
      </c>
      <c r="AN48" s="127" t="str">
        <f t="shared" si="26"/>
        <v/>
      </c>
      <c r="AO48" s="127" t="str">
        <f t="shared" si="26"/>
        <v/>
      </c>
      <c r="AP48" s="127" t="str">
        <f t="shared" si="26"/>
        <v/>
      </c>
      <c r="AQ48" s="127" t="str">
        <f t="shared" si="26"/>
        <v/>
      </c>
      <c r="AR48" s="127" t="str">
        <f t="shared" si="26"/>
        <v/>
      </c>
      <c r="AS48" s="127" t="str">
        <f t="shared" si="26"/>
        <v/>
      </c>
      <c r="AT48" s="127" t="str">
        <f t="shared" si="26"/>
        <v/>
      </c>
      <c r="AU48" s="127" t="str">
        <f t="shared" si="26"/>
        <v/>
      </c>
      <c r="AV48" s="127" t="str">
        <f t="shared" si="26"/>
        <v/>
      </c>
      <c r="AW48" s="127" t="str">
        <f t="shared" ref="AH48:AW53" si="38">IF($E48=AW$3,"▲","")</f>
        <v/>
      </c>
      <c r="AX48" s="127" t="str">
        <f t="shared" si="30"/>
        <v/>
      </c>
      <c r="AY48" s="127" t="str">
        <f t="shared" si="30"/>
        <v/>
      </c>
      <c r="AZ48" s="127" t="str">
        <f t="shared" si="30"/>
        <v/>
      </c>
      <c r="BA48" s="127" t="str">
        <f t="shared" si="30"/>
        <v/>
      </c>
      <c r="BB48" s="127" t="str">
        <f t="shared" si="30"/>
        <v/>
      </c>
      <c r="BC48" s="127" t="str">
        <f t="shared" si="30"/>
        <v/>
      </c>
      <c r="BD48" s="127" t="str">
        <f t="shared" si="30"/>
        <v/>
      </c>
      <c r="BE48" s="127" t="str">
        <f t="shared" si="30"/>
        <v/>
      </c>
      <c r="BF48" s="127" t="str">
        <f t="shared" si="30"/>
        <v/>
      </c>
      <c r="BG48" s="127" t="str">
        <f t="shared" si="30"/>
        <v/>
      </c>
      <c r="BH48" s="127" t="str">
        <f t="shared" si="30"/>
        <v/>
      </c>
      <c r="BI48" s="127" t="str">
        <f t="shared" si="30"/>
        <v/>
      </c>
      <c r="BJ48" s="127" t="str">
        <f t="shared" si="30"/>
        <v/>
      </c>
      <c r="BK48" s="127" t="str">
        <f t="shared" si="30"/>
        <v/>
      </c>
      <c r="BL48" s="127" t="str">
        <f t="shared" si="30"/>
        <v/>
      </c>
      <c r="BM48" s="127" t="str">
        <f t="shared" si="30"/>
        <v/>
      </c>
      <c r="BN48" s="127" t="str">
        <f t="shared" si="30"/>
        <v/>
      </c>
      <c r="BO48" s="127" t="str">
        <f t="shared" si="30"/>
        <v/>
      </c>
      <c r="BP48" s="127" t="str">
        <f t="shared" si="30"/>
        <v/>
      </c>
      <c r="BQ48" s="127" t="str">
        <f t="shared" si="30"/>
        <v/>
      </c>
      <c r="BR48" s="127" t="str">
        <f t="shared" si="30"/>
        <v/>
      </c>
      <c r="BS48" s="127" t="str">
        <f t="shared" si="30"/>
        <v/>
      </c>
      <c r="BT48" s="127" t="str">
        <f t="shared" si="28"/>
        <v/>
      </c>
      <c r="BU48" s="127" t="str">
        <f t="shared" si="28"/>
        <v/>
      </c>
      <c r="BV48" s="127" t="str">
        <f t="shared" si="28"/>
        <v/>
      </c>
      <c r="BW48" s="127" t="str">
        <f t="shared" si="28"/>
        <v/>
      </c>
      <c r="BX48" s="127" t="str">
        <f t="shared" si="28"/>
        <v/>
      </c>
      <c r="BY48" s="127" t="str">
        <f t="shared" si="28"/>
        <v/>
      </c>
      <c r="BZ48" s="127" t="str">
        <f t="shared" si="28"/>
        <v/>
      </c>
      <c r="CA48" s="127" t="str">
        <f t="shared" si="28"/>
        <v/>
      </c>
      <c r="CB48" s="127" t="str">
        <f t="shared" si="28"/>
        <v/>
      </c>
      <c r="CC48" s="127" t="str">
        <f t="shared" si="28"/>
        <v/>
      </c>
      <c r="CD48" s="127" t="str">
        <f t="shared" si="28"/>
        <v/>
      </c>
      <c r="CE48" s="127" t="str">
        <f t="shared" si="28"/>
        <v/>
      </c>
    </row>
    <row r="49" spans="1:83" ht="12.6" hidden="1" customHeight="1" x14ac:dyDescent="0.2">
      <c r="A49" s="106">
        <f>SHIPMENTS!A55</f>
        <v>6967</v>
      </c>
      <c r="B49" s="106" t="str">
        <f>SHIPMENTS!B55</f>
        <v>9600-NEW ZEALAND BACKLOG</v>
      </c>
      <c r="C49" s="132">
        <f>SHIPMENTS!F55</f>
        <v>0</v>
      </c>
      <c r="D49" s="107" t="str">
        <f>IF((SHIPMENTS!I55)=0,"",SHIPMENTS!I55)</f>
        <v/>
      </c>
      <c r="E49" s="176" t="str">
        <f>IF((SHIPMENTS!G55)=0,"",SHIPMENTS!G55)</f>
        <v/>
      </c>
      <c r="F49" s="97">
        <f>VLOOKUP(A49,Items!$A$5:$J$1000,2,0)</f>
        <v>0</v>
      </c>
      <c r="G49" s="98">
        <f>VLOOKUP(A49,load!$A$4:$U$5001,10,0)</f>
        <v>0</v>
      </c>
      <c r="H49" s="97">
        <v>13</v>
      </c>
      <c r="I49" s="98">
        <f t="shared" si="31"/>
        <v>118.3</v>
      </c>
      <c r="J49" s="99">
        <f t="shared" si="32"/>
        <v>0</v>
      </c>
      <c r="K49" s="99">
        <f t="shared" si="33"/>
        <v>0</v>
      </c>
      <c r="L49" s="98">
        <f t="shared" si="34"/>
        <v>0</v>
      </c>
      <c r="M49" s="98">
        <f t="shared" si="35"/>
        <v>0</v>
      </c>
      <c r="N49" s="181">
        <f t="shared" si="36"/>
        <v>46324.537118906723</v>
      </c>
      <c r="O49" s="181">
        <f t="shared" si="37"/>
        <v>46324.537118906723</v>
      </c>
      <c r="P49" s="112" t="str">
        <f>VLOOKUP(A49,SHIPMENTS!$A$7:$AP$76,41,0)</f>
        <v>n/a</v>
      </c>
      <c r="Q49" s="101"/>
      <c r="R49" s="127" t="str">
        <f t="shared" si="27"/>
        <v/>
      </c>
      <c r="S49" s="127" t="str">
        <f t="shared" si="27"/>
        <v/>
      </c>
      <c r="T49" s="127" t="str">
        <f t="shared" si="27"/>
        <v/>
      </c>
      <c r="U49" s="127" t="str">
        <f t="shared" si="27"/>
        <v/>
      </c>
      <c r="V49" s="127" t="str">
        <f t="shared" si="27"/>
        <v/>
      </c>
      <c r="W49" s="127" t="str">
        <f t="shared" si="27"/>
        <v/>
      </c>
      <c r="X49" s="127" t="str">
        <f t="shared" si="27"/>
        <v/>
      </c>
      <c r="Y49" s="127" t="str">
        <f t="shared" si="27"/>
        <v/>
      </c>
      <c r="Z49" s="127" t="str">
        <f t="shared" si="27"/>
        <v/>
      </c>
      <c r="AA49" s="127" t="str">
        <f t="shared" si="27"/>
        <v/>
      </c>
      <c r="AB49" s="127" t="str">
        <f t="shared" si="27"/>
        <v/>
      </c>
      <c r="AC49" s="127" t="str">
        <f t="shared" si="27"/>
        <v/>
      </c>
      <c r="AD49" s="127" t="str">
        <f t="shared" si="27"/>
        <v/>
      </c>
      <c r="AE49" s="127" t="str">
        <f t="shared" si="27"/>
        <v/>
      </c>
      <c r="AF49" s="127" t="str">
        <f t="shared" si="27"/>
        <v/>
      </c>
      <c r="AG49" s="127" t="str">
        <f t="shared" si="27"/>
        <v/>
      </c>
      <c r="AH49" s="127" t="str">
        <f t="shared" si="38"/>
        <v/>
      </c>
      <c r="AI49" s="127" t="str">
        <f t="shared" si="38"/>
        <v/>
      </c>
      <c r="AJ49" s="127" t="str">
        <f t="shared" si="38"/>
        <v/>
      </c>
      <c r="AK49" s="127" t="str">
        <f t="shared" si="38"/>
        <v/>
      </c>
      <c r="AL49" s="127" t="str">
        <f t="shared" si="38"/>
        <v/>
      </c>
      <c r="AM49" s="127" t="str">
        <f t="shared" si="38"/>
        <v/>
      </c>
      <c r="AN49" s="127" t="str">
        <f t="shared" si="38"/>
        <v/>
      </c>
      <c r="AO49" s="127" t="str">
        <f t="shared" si="38"/>
        <v/>
      </c>
      <c r="AP49" s="127" t="str">
        <f t="shared" si="38"/>
        <v/>
      </c>
      <c r="AQ49" s="127" t="str">
        <f t="shared" si="38"/>
        <v/>
      </c>
      <c r="AR49" s="127" t="str">
        <f t="shared" si="38"/>
        <v/>
      </c>
      <c r="AS49" s="127" t="str">
        <f t="shared" si="38"/>
        <v/>
      </c>
      <c r="AT49" s="127" t="str">
        <f t="shared" si="38"/>
        <v/>
      </c>
      <c r="AU49" s="127" t="str">
        <f t="shared" si="38"/>
        <v/>
      </c>
      <c r="AV49" s="127" t="str">
        <f t="shared" si="38"/>
        <v/>
      </c>
      <c r="AW49" s="127" t="str">
        <f t="shared" si="38"/>
        <v/>
      </c>
      <c r="AX49" s="127" t="str">
        <f t="shared" si="30"/>
        <v/>
      </c>
      <c r="AY49" s="127" t="str">
        <f t="shared" si="30"/>
        <v/>
      </c>
      <c r="AZ49" s="127" t="str">
        <f t="shared" si="30"/>
        <v/>
      </c>
      <c r="BA49" s="127" t="str">
        <f t="shared" si="30"/>
        <v/>
      </c>
      <c r="BB49" s="127" t="str">
        <f t="shared" si="30"/>
        <v/>
      </c>
      <c r="BC49" s="127" t="str">
        <f t="shared" si="30"/>
        <v/>
      </c>
      <c r="BD49" s="127" t="str">
        <f t="shared" si="30"/>
        <v/>
      </c>
      <c r="BE49" s="127" t="str">
        <f t="shared" si="30"/>
        <v/>
      </c>
      <c r="BF49" s="127" t="str">
        <f t="shared" si="30"/>
        <v/>
      </c>
      <c r="BG49" s="127" t="str">
        <f t="shared" si="30"/>
        <v/>
      </c>
      <c r="BH49" s="127" t="str">
        <f t="shared" si="30"/>
        <v/>
      </c>
      <c r="BI49" s="127" t="str">
        <f t="shared" si="30"/>
        <v/>
      </c>
      <c r="BJ49" s="127" t="str">
        <f t="shared" si="30"/>
        <v/>
      </c>
      <c r="BK49" s="127" t="str">
        <f t="shared" si="30"/>
        <v/>
      </c>
      <c r="BL49" s="127" t="str">
        <f t="shared" si="30"/>
        <v/>
      </c>
      <c r="BM49" s="127" t="str">
        <f t="shared" si="30"/>
        <v/>
      </c>
      <c r="BN49" s="127" t="str">
        <f t="shared" si="30"/>
        <v/>
      </c>
      <c r="BO49" s="127" t="str">
        <f t="shared" si="30"/>
        <v/>
      </c>
      <c r="BP49" s="127" t="str">
        <f t="shared" si="30"/>
        <v/>
      </c>
      <c r="BQ49" s="127" t="str">
        <f t="shared" si="30"/>
        <v/>
      </c>
      <c r="BR49" s="127" t="str">
        <f t="shared" si="30"/>
        <v/>
      </c>
      <c r="BS49" s="127" t="str">
        <f t="shared" si="30"/>
        <v/>
      </c>
      <c r="BT49" s="127" t="str">
        <f t="shared" si="28"/>
        <v/>
      </c>
      <c r="BU49" s="127" t="str">
        <f t="shared" si="28"/>
        <v/>
      </c>
      <c r="BV49" s="127" t="str">
        <f t="shared" si="28"/>
        <v/>
      </c>
      <c r="BW49" s="127" t="str">
        <f t="shared" si="28"/>
        <v/>
      </c>
      <c r="BX49" s="127" t="str">
        <f t="shared" si="28"/>
        <v/>
      </c>
      <c r="BY49" s="127" t="str">
        <f t="shared" si="28"/>
        <v/>
      </c>
      <c r="BZ49" s="127" t="str">
        <f t="shared" si="28"/>
        <v/>
      </c>
      <c r="CA49" s="127" t="str">
        <f t="shared" si="28"/>
        <v/>
      </c>
      <c r="CB49" s="127" t="str">
        <f t="shared" si="28"/>
        <v/>
      </c>
      <c r="CC49" s="127" t="str">
        <f t="shared" si="28"/>
        <v/>
      </c>
      <c r="CD49" s="127" t="str">
        <f t="shared" si="28"/>
        <v/>
      </c>
      <c r="CE49" s="127" t="str">
        <f t="shared" si="28"/>
        <v/>
      </c>
    </row>
    <row r="50" spans="1:83" ht="12.6" hidden="1" customHeight="1" x14ac:dyDescent="0.2">
      <c r="A50" s="106">
        <f>SHIPMENTS!A56</f>
        <v>6646</v>
      </c>
      <c r="B50" s="106" t="str">
        <f>SHIPMENTS!B56</f>
        <v>9600-NEW ZEALAND BACKLOG</v>
      </c>
      <c r="C50" s="132">
        <f>SHIPMENTS!F56</f>
        <v>0</v>
      </c>
      <c r="D50" s="107" t="str">
        <f>IF((SHIPMENTS!I56)=0,"",SHIPMENTS!I56)</f>
        <v/>
      </c>
      <c r="E50" s="176" t="str">
        <f>IF((SHIPMENTS!G56)=0,"",SHIPMENTS!G56)</f>
        <v/>
      </c>
      <c r="F50" s="97">
        <f>VLOOKUP(A50,Items!$A$5:$J$1000,2,0)</f>
        <v>0</v>
      </c>
      <c r="G50" s="98">
        <f>VLOOKUP(A50,load!$A$4:$U$5001,10,0)</f>
        <v>0</v>
      </c>
      <c r="H50" s="97">
        <v>13</v>
      </c>
      <c r="I50" s="98">
        <f t="shared" si="31"/>
        <v>118.3</v>
      </c>
      <c r="J50" s="99">
        <f t="shared" si="32"/>
        <v>0</v>
      </c>
      <c r="K50" s="99">
        <f t="shared" si="33"/>
        <v>0</v>
      </c>
      <c r="L50" s="98">
        <f t="shared" si="34"/>
        <v>0</v>
      </c>
      <c r="M50" s="98">
        <f t="shared" si="35"/>
        <v>0</v>
      </c>
      <c r="N50" s="181">
        <f t="shared" si="36"/>
        <v>46324.537118906723</v>
      </c>
      <c r="O50" s="181">
        <f t="shared" si="37"/>
        <v>46324.537118906723</v>
      </c>
      <c r="P50" s="112" t="str">
        <f>VLOOKUP(A50,SHIPMENTS!$A$7:$AP$76,41,0)</f>
        <v>n/a</v>
      </c>
      <c r="Q50" s="101"/>
      <c r="R50" s="127" t="str">
        <f t="shared" si="27"/>
        <v/>
      </c>
      <c r="S50" s="127" t="str">
        <f t="shared" si="27"/>
        <v/>
      </c>
      <c r="T50" s="127" t="str">
        <f t="shared" si="27"/>
        <v/>
      </c>
      <c r="U50" s="127" t="str">
        <f t="shared" si="27"/>
        <v/>
      </c>
      <c r="V50" s="127" t="str">
        <f t="shared" si="27"/>
        <v/>
      </c>
      <c r="W50" s="127" t="str">
        <f t="shared" si="27"/>
        <v/>
      </c>
      <c r="X50" s="127" t="str">
        <f t="shared" si="27"/>
        <v/>
      </c>
      <c r="Y50" s="127" t="str">
        <f t="shared" si="27"/>
        <v/>
      </c>
      <c r="Z50" s="127" t="str">
        <f t="shared" si="27"/>
        <v/>
      </c>
      <c r="AA50" s="127" t="str">
        <f t="shared" si="27"/>
        <v/>
      </c>
      <c r="AB50" s="127" t="str">
        <f t="shared" si="27"/>
        <v/>
      </c>
      <c r="AC50" s="127" t="str">
        <f t="shared" si="27"/>
        <v/>
      </c>
      <c r="AD50" s="127" t="str">
        <f t="shared" si="27"/>
        <v/>
      </c>
      <c r="AE50" s="127" t="str">
        <f t="shared" si="27"/>
        <v/>
      </c>
      <c r="AF50" s="127" t="str">
        <f t="shared" si="27"/>
        <v/>
      </c>
      <c r="AG50" s="127" t="str">
        <f t="shared" si="27"/>
        <v/>
      </c>
      <c r="AH50" s="127" t="str">
        <f t="shared" si="38"/>
        <v/>
      </c>
      <c r="AI50" s="127" t="str">
        <f t="shared" si="38"/>
        <v/>
      </c>
      <c r="AJ50" s="127" t="str">
        <f t="shared" si="38"/>
        <v/>
      </c>
      <c r="AK50" s="127" t="str">
        <f t="shared" si="38"/>
        <v/>
      </c>
      <c r="AL50" s="127" t="str">
        <f t="shared" si="38"/>
        <v/>
      </c>
      <c r="AM50" s="127" t="str">
        <f t="shared" si="38"/>
        <v/>
      </c>
      <c r="AN50" s="127" t="str">
        <f t="shared" si="38"/>
        <v/>
      </c>
      <c r="AO50" s="127" t="str">
        <f t="shared" si="38"/>
        <v/>
      </c>
      <c r="AP50" s="127" t="str">
        <f t="shared" si="38"/>
        <v/>
      </c>
      <c r="AQ50" s="127" t="str">
        <f t="shared" si="38"/>
        <v/>
      </c>
      <c r="AR50" s="127" t="str">
        <f t="shared" si="38"/>
        <v/>
      </c>
      <c r="AS50" s="127" t="str">
        <f t="shared" si="38"/>
        <v/>
      </c>
      <c r="AT50" s="127" t="str">
        <f t="shared" si="38"/>
        <v/>
      </c>
      <c r="AU50" s="127" t="str">
        <f t="shared" si="38"/>
        <v/>
      </c>
      <c r="AV50" s="127" t="str">
        <f t="shared" si="38"/>
        <v/>
      </c>
      <c r="AW50" s="127" t="str">
        <f t="shared" si="38"/>
        <v/>
      </c>
      <c r="AX50" s="127" t="str">
        <f t="shared" si="30"/>
        <v/>
      </c>
      <c r="AY50" s="127" t="str">
        <f t="shared" si="30"/>
        <v/>
      </c>
      <c r="AZ50" s="127" t="str">
        <f t="shared" si="30"/>
        <v/>
      </c>
      <c r="BA50" s="127" t="str">
        <f t="shared" si="30"/>
        <v/>
      </c>
      <c r="BB50" s="127" t="str">
        <f t="shared" si="30"/>
        <v/>
      </c>
      <c r="BC50" s="127" t="str">
        <f t="shared" si="30"/>
        <v/>
      </c>
      <c r="BD50" s="127" t="str">
        <f t="shared" si="30"/>
        <v/>
      </c>
      <c r="BE50" s="127" t="str">
        <f t="shared" si="30"/>
        <v/>
      </c>
      <c r="BF50" s="127" t="str">
        <f t="shared" si="30"/>
        <v/>
      </c>
      <c r="BG50" s="127" t="str">
        <f t="shared" si="30"/>
        <v/>
      </c>
      <c r="BH50" s="127" t="str">
        <f t="shared" si="30"/>
        <v/>
      </c>
      <c r="BI50" s="127" t="str">
        <f t="shared" si="30"/>
        <v/>
      </c>
      <c r="BJ50" s="127" t="str">
        <f t="shared" si="30"/>
        <v/>
      </c>
      <c r="BK50" s="127" t="str">
        <f t="shared" si="30"/>
        <v/>
      </c>
      <c r="BL50" s="127" t="str">
        <f t="shared" si="30"/>
        <v/>
      </c>
      <c r="BM50" s="127" t="str">
        <f t="shared" si="30"/>
        <v/>
      </c>
      <c r="BN50" s="127" t="str">
        <f t="shared" si="30"/>
        <v/>
      </c>
      <c r="BO50" s="127" t="str">
        <f t="shared" si="30"/>
        <v/>
      </c>
      <c r="BP50" s="127" t="str">
        <f t="shared" si="30"/>
        <v/>
      </c>
      <c r="BQ50" s="127" t="str">
        <f t="shared" si="30"/>
        <v/>
      </c>
      <c r="BR50" s="127" t="str">
        <f t="shared" si="30"/>
        <v/>
      </c>
      <c r="BS50" s="127" t="str">
        <f t="shared" si="30"/>
        <v/>
      </c>
      <c r="BT50" s="127" t="str">
        <f t="shared" si="28"/>
        <v/>
      </c>
      <c r="BU50" s="127" t="str">
        <f t="shared" si="28"/>
        <v/>
      </c>
      <c r="BV50" s="127" t="str">
        <f t="shared" si="28"/>
        <v/>
      </c>
      <c r="BW50" s="127" t="str">
        <f t="shared" si="28"/>
        <v/>
      </c>
      <c r="BX50" s="127" t="str">
        <f t="shared" si="28"/>
        <v/>
      </c>
      <c r="BY50" s="127" t="str">
        <f t="shared" si="28"/>
        <v/>
      </c>
      <c r="BZ50" s="127" t="str">
        <f t="shared" si="28"/>
        <v/>
      </c>
      <c r="CA50" s="127" t="str">
        <f t="shared" si="28"/>
        <v/>
      </c>
      <c r="CB50" s="127" t="str">
        <f t="shared" si="28"/>
        <v/>
      </c>
      <c r="CC50" s="127" t="str">
        <f t="shared" si="28"/>
        <v/>
      </c>
      <c r="CD50" s="127" t="str">
        <f t="shared" si="28"/>
        <v/>
      </c>
      <c r="CE50" s="127" t="str">
        <f t="shared" si="28"/>
        <v/>
      </c>
    </row>
    <row r="51" spans="1:83" ht="12.6" customHeight="1" x14ac:dyDescent="0.2">
      <c r="A51" s="106">
        <f>SHIPMENTS!A57</f>
        <v>9122</v>
      </c>
      <c r="B51" s="106" t="str">
        <f>SHIPMENTS!B57</f>
        <v>19300-USA SUPERIOR SAUNA</v>
      </c>
      <c r="C51" s="132">
        <f>SHIPMENTS!F57</f>
        <v>69.539999999999992</v>
      </c>
      <c r="D51" s="107" t="str">
        <f>IF((SHIPMENTS!I57)=0,"",SHIPMENTS!I57)</f>
        <v>1x40HC</v>
      </c>
      <c r="E51" s="176" t="str">
        <f>IF((SHIPMENTS!G57)=0,"",SHIPMENTS!G57)</f>
        <v>TBA</v>
      </c>
      <c r="F51" s="97">
        <f>VLOOKUP(A51,Items!$A$5:$J$1000,2,0)</f>
        <v>189</v>
      </c>
      <c r="G51" s="98">
        <f>VLOOKUP(A51,load!$A$4:$U$5001,10,0)</f>
        <v>625.20883333333347</v>
      </c>
      <c r="H51" s="97">
        <v>13</v>
      </c>
      <c r="I51" s="98">
        <f t="shared" si="31"/>
        <v>118.3</v>
      </c>
      <c r="J51" s="99">
        <f t="shared" si="32"/>
        <v>5.2849436460974939</v>
      </c>
      <c r="K51" s="99">
        <f t="shared" si="33"/>
        <v>48.092987179487196</v>
      </c>
      <c r="L51" s="98">
        <f t="shared" si="34"/>
        <v>5.2849436460974939</v>
      </c>
      <c r="M51" s="98">
        <f t="shared" si="35"/>
        <v>48.092987179487196</v>
      </c>
      <c r="N51" s="181">
        <f t="shared" si="36"/>
        <v>46324.537118906723</v>
      </c>
      <c r="O51" s="181">
        <f t="shared" si="37"/>
        <v>46329.822062552819</v>
      </c>
      <c r="P51" s="112">
        <f>VLOOKUP(A51,SHIPMENTS!$A$7:$AP$76,41,0)</f>
        <v>0</v>
      </c>
      <c r="Q51" s="101"/>
      <c r="R51" s="127" t="str">
        <f t="shared" si="27"/>
        <v/>
      </c>
      <c r="S51" s="127" t="str">
        <f t="shared" si="27"/>
        <v/>
      </c>
      <c r="T51" s="127" t="str">
        <f t="shared" si="27"/>
        <v/>
      </c>
      <c r="U51" s="127" t="str">
        <f t="shared" si="27"/>
        <v/>
      </c>
      <c r="V51" s="127" t="str">
        <f t="shared" si="27"/>
        <v/>
      </c>
      <c r="W51" s="127" t="str">
        <f t="shared" si="27"/>
        <v/>
      </c>
      <c r="X51" s="127" t="str">
        <f t="shared" si="27"/>
        <v/>
      </c>
      <c r="Y51" s="127" t="str">
        <f t="shared" si="27"/>
        <v/>
      </c>
      <c r="Z51" s="127" t="str">
        <f t="shared" si="27"/>
        <v/>
      </c>
      <c r="AA51" s="127" t="str">
        <f t="shared" si="27"/>
        <v/>
      </c>
      <c r="AB51" s="127" t="str">
        <f t="shared" si="27"/>
        <v/>
      </c>
      <c r="AC51" s="127" t="str">
        <f t="shared" si="27"/>
        <v/>
      </c>
      <c r="AD51" s="127" t="str">
        <f t="shared" si="27"/>
        <v/>
      </c>
      <c r="AE51" s="127" t="str">
        <f t="shared" si="27"/>
        <v/>
      </c>
      <c r="AF51" s="127" t="str">
        <f t="shared" si="27"/>
        <v/>
      </c>
      <c r="AG51" s="127" t="str">
        <f t="shared" si="27"/>
        <v/>
      </c>
      <c r="AH51" s="127" t="str">
        <f t="shared" si="38"/>
        <v/>
      </c>
      <c r="AI51" s="127" t="str">
        <f t="shared" si="38"/>
        <v/>
      </c>
      <c r="AJ51" s="127" t="str">
        <f t="shared" si="38"/>
        <v/>
      </c>
      <c r="AK51" s="127" t="str">
        <f t="shared" si="38"/>
        <v/>
      </c>
      <c r="AL51" s="127" t="str">
        <f t="shared" si="38"/>
        <v/>
      </c>
      <c r="AM51" s="127" t="str">
        <f t="shared" si="38"/>
        <v/>
      </c>
      <c r="AN51" s="127" t="str">
        <f t="shared" si="38"/>
        <v/>
      </c>
      <c r="AO51" s="127" t="str">
        <f t="shared" si="38"/>
        <v/>
      </c>
      <c r="AP51" s="127" t="str">
        <f t="shared" si="38"/>
        <v/>
      </c>
      <c r="AQ51" s="127" t="str">
        <f t="shared" si="38"/>
        <v/>
      </c>
      <c r="AR51" s="127" t="str">
        <f t="shared" si="38"/>
        <v/>
      </c>
      <c r="AS51" s="127" t="str">
        <f t="shared" si="38"/>
        <v/>
      </c>
      <c r="AT51" s="127" t="str">
        <f t="shared" si="38"/>
        <v/>
      </c>
      <c r="AU51" s="127" t="str">
        <f t="shared" si="38"/>
        <v/>
      </c>
      <c r="AV51" s="127" t="str">
        <f t="shared" si="38"/>
        <v/>
      </c>
      <c r="AW51" s="127" t="str">
        <f t="shared" si="38"/>
        <v/>
      </c>
      <c r="AX51" s="127" t="str">
        <f t="shared" si="30"/>
        <v/>
      </c>
      <c r="AY51" s="127" t="str">
        <f t="shared" si="30"/>
        <v/>
      </c>
      <c r="AZ51" s="127" t="str">
        <f t="shared" si="30"/>
        <v/>
      </c>
      <c r="BA51" s="127" t="str">
        <f t="shared" si="30"/>
        <v/>
      </c>
      <c r="BB51" s="127" t="str">
        <f t="shared" si="30"/>
        <v/>
      </c>
      <c r="BC51" s="127" t="str">
        <f t="shared" si="30"/>
        <v/>
      </c>
      <c r="BD51" s="127" t="str">
        <f t="shared" si="30"/>
        <v/>
      </c>
      <c r="BE51" s="127" t="str">
        <f t="shared" si="30"/>
        <v/>
      </c>
      <c r="BF51" s="127" t="str">
        <f t="shared" si="30"/>
        <v/>
      </c>
      <c r="BG51" s="127" t="str">
        <f t="shared" si="30"/>
        <v/>
      </c>
      <c r="BH51" s="127" t="str">
        <f t="shared" si="30"/>
        <v/>
      </c>
      <c r="BI51" s="127" t="str">
        <f t="shared" si="30"/>
        <v/>
      </c>
      <c r="BJ51" s="127" t="str">
        <f t="shared" si="30"/>
        <v/>
      </c>
      <c r="BK51" s="127" t="str">
        <f t="shared" si="30"/>
        <v/>
      </c>
      <c r="BL51" s="127" t="str">
        <f t="shared" si="30"/>
        <v/>
      </c>
      <c r="BM51" s="127" t="str">
        <f t="shared" si="30"/>
        <v/>
      </c>
      <c r="BN51" s="127" t="str">
        <f t="shared" si="30"/>
        <v/>
      </c>
      <c r="BO51" s="127" t="str">
        <f t="shared" si="30"/>
        <v/>
      </c>
      <c r="BP51" s="127" t="str">
        <f t="shared" si="30"/>
        <v/>
      </c>
      <c r="BQ51" s="127" t="str">
        <f t="shared" si="30"/>
        <v/>
      </c>
      <c r="BR51" s="127" t="str">
        <f t="shared" si="30"/>
        <v/>
      </c>
      <c r="BS51" s="127" t="str">
        <f t="shared" si="30"/>
        <v/>
      </c>
      <c r="BT51" s="127" t="str">
        <f t="shared" si="28"/>
        <v/>
      </c>
      <c r="BU51" s="127" t="str">
        <f t="shared" si="28"/>
        <v/>
      </c>
      <c r="BV51" s="127" t="str">
        <f t="shared" si="28"/>
        <v/>
      </c>
      <c r="BW51" s="127" t="str">
        <f t="shared" si="28"/>
        <v/>
      </c>
      <c r="BX51" s="127" t="str">
        <f t="shared" si="28"/>
        <v/>
      </c>
      <c r="BY51" s="127" t="str">
        <f t="shared" si="28"/>
        <v/>
      </c>
      <c r="BZ51" s="127" t="str">
        <f t="shared" si="28"/>
        <v/>
      </c>
      <c r="CA51" s="127" t="str">
        <f t="shared" si="28"/>
        <v/>
      </c>
      <c r="CB51" s="127" t="str">
        <f t="shared" si="28"/>
        <v/>
      </c>
      <c r="CC51" s="127" t="str">
        <f t="shared" si="28"/>
        <v/>
      </c>
      <c r="CD51" s="127" t="str">
        <f t="shared" si="28"/>
        <v/>
      </c>
      <c r="CE51" s="127" t="str">
        <f t="shared" si="28"/>
        <v/>
      </c>
    </row>
    <row r="52" spans="1:83" ht="12.6" customHeight="1" x14ac:dyDescent="0.2">
      <c r="A52" s="106">
        <f>SHIPMENTS!A58</f>
        <v>9197</v>
      </c>
      <c r="B52" s="106" t="str">
        <f>SHIPMENTS!B58</f>
        <v>19300-USA SUPERIOR SAUNA</v>
      </c>
      <c r="C52" s="132">
        <f>SHIPMENTS!F58</f>
        <v>0</v>
      </c>
      <c r="D52" s="107" t="str">
        <f>IF((SHIPMENTS!I58)=0,"",SHIPMENTS!I58)</f>
        <v/>
      </c>
      <c r="E52" s="176" t="str">
        <f>IF((SHIPMENTS!G58)=0,"",SHIPMENTS!G58)</f>
        <v>TBA</v>
      </c>
      <c r="F52" s="97">
        <f>VLOOKUP(A52,Items!$A$5:$J$1000,2,0)</f>
        <v>28</v>
      </c>
      <c r="G52" s="98">
        <f>VLOOKUP(A52,load!$A$4:$U$5001,10,0)</f>
        <v>187.54599999999999</v>
      </c>
      <c r="H52" s="97">
        <v>13</v>
      </c>
      <c r="I52" s="98">
        <f t="shared" si="31"/>
        <v>118.3</v>
      </c>
      <c r="J52" s="99">
        <f t="shared" si="32"/>
        <v>1.5853423499577346</v>
      </c>
      <c r="K52" s="99">
        <f t="shared" si="33"/>
        <v>14.426615384615385</v>
      </c>
      <c r="L52" s="98">
        <f t="shared" si="34"/>
        <v>1.5853423499577346</v>
      </c>
      <c r="M52" s="98">
        <f t="shared" si="35"/>
        <v>14.426615384615385</v>
      </c>
      <c r="N52" s="181">
        <f t="shared" si="36"/>
        <v>46329.822062552819</v>
      </c>
      <c r="O52" s="181">
        <f t="shared" si="37"/>
        <v>46331.407404902777</v>
      </c>
      <c r="P52" s="112">
        <f>VLOOKUP(A52,SHIPMENTS!$A$7:$AP$76,41,0)</f>
        <v>0</v>
      </c>
      <c r="Q52" s="101"/>
      <c r="R52" s="127" t="str">
        <f t="shared" si="27"/>
        <v/>
      </c>
      <c r="S52" s="127" t="str">
        <f t="shared" si="27"/>
        <v/>
      </c>
      <c r="T52" s="127" t="str">
        <f t="shared" si="27"/>
        <v/>
      </c>
      <c r="U52" s="127" t="str">
        <f t="shared" si="27"/>
        <v/>
      </c>
      <c r="V52" s="127" t="str">
        <f t="shared" si="27"/>
        <v/>
      </c>
      <c r="W52" s="127" t="str">
        <f t="shared" si="27"/>
        <v/>
      </c>
      <c r="X52" s="127" t="str">
        <f t="shared" si="27"/>
        <v/>
      </c>
      <c r="Y52" s="127" t="str">
        <f t="shared" si="27"/>
        <v/>
      </c>
      <c r="Z52" s="127" t="str">
        <f t="shared" si="27"/>
        <v/>
      </c>
      <c r="AA52" s="127" t="str">
        <f t="shared" si="27"/>
        <v/>
      </c>
      <c r="AB52" s="127" t="str">
        <f t="shared" si="27"/>
        <v/>
      </c>
      <c r="AC52" s="127" t="str">
        <f t="shared" si="27"/>
        <v/>
      </c>
      <c r="AD52" s="127" t="str">
        <f t="shared" si="27"/>
        <v/>
      </c>
      <c r="AE52" s="127" t="str">
        <f t="shared" si="27"/>
        <v/>
      </c>
      <c r="AF52" s="127" t="str">
        <f t="shared" si="27"/>
        <v/>
      </c>
      <c r="AG52" s="127" t="str">
        <f t="shared" si="27"/>
        <v/>
      </c>
      <c r="AH52" s="127" t="str">
        <f t="shared" si="38"/>
        <v/>
      </c>
      <c r="AI52" s="127" t="str">
        <f t="shared" si="38"/>
        <v/>
      </c>
      <c r="AJ52" s="127" t="str">
        <f t="shared" si="38"/>
        <v/>
      </c>
      <c r="AK52" s="127" t="str">
        <f t="shared" si="38"/>
        <v/>
      </c>
      <c r="AL52" s="127" t="str">
        <f t="shared" si="38"/>
        <v/>
      </c>
      <c r="AM52" s="127" t="str">
        <f t="shared" si="38"/>
        <v/>
      </c>
      <c r="AN52" s="127" t="str">
        <f t="shared" si="38"/>
        <v/>
      </c>
      <c r="AO52" s="127" t="str">
        <f t="shared" si="38"/>
        <v/>
      </c>
      <c r="AP52" s="127" t="str">
        <f t="shared" si="38"/>
        <v/>
      </c>
      <c r="AQ52" s="127" t="str">
        <f t="shared" si="38"/>
        <v/>
      </c>
      <c r="AR52" s="127" t="str">
        <f t="shared" si="38"/>
        <v/>
      </c>
      <c r="AS52" s="127" t="str">
        <f t="shared" si="38"/>
        <v/>
      </c>
      <c r="AT52" s="127" t="str">
        <f t="shared" si="38"/>
        <v/>
      </c>
      <c r="AU52" s="127" t="str">
        <f t="shared" si="38"/>
        <v/>
      </c>
      <c r="AV52" s="127" t="str">
        <f t="shared" si="38"/>
        <v/>
      </c>
      <c r="AW52" s="127" t="str">
        <f t="shared" si="38"/>
        <v/>
      </c>
      <c r="AX52" s="127" t="str">
        <f t="shared" si="30"/>
        <v/>
      </c>
      <c r="AY52" s="127" t="str">
        <f t="shared" si="30"/>
        <v/>
      </c>
      <c r="AZ52" s="127" t="str">
        <f t="shared" si="30"/>
        <v/>
      </c>
      <c r="BA52" s="127" t="str">
        <f t="shared" si="30"/>
        <v/>
      </c>
      <c r="BB52" s="127" t="str">
        <f t="shared" si="30"/>
        <v/>
      </c>
      <c r="BC52" s="127" t="str">
        <f t="shared" si="30"/>
        <v/>
      </c>
      <c r="BD52" s="127" t="str">
        <f t="shared" si="30"/>
        <v/>
      </c>
      <c r="BE52" s="127" t="str">
        <f t="shared" si="30"/>
        <v/>
      </c>
      <c r="BF52" s="127" t="str">
        <f t="shared" si="30"/>
        <v/>
      </c>
      <c r="BG52" s="127" t="str">
        <f t="shared" si="30"/>
        <v/>
      </c>
      <c r="BH52" s="127" t="str">
        <f t="shared" si="30"/>
        <v/>
      </c>
      <c r="BI52" s="127" t="str">
        <f t="shared" si="30"/>
        <v/>
      </c>
      <c r="BJ52" s="127" t="str">
        <f t="shared" si="30"/>
        <v/>
      </c>
      <c r="BK52" s="127" t="str">
        <f t="shared" si="30"/>
        <v/>
      </c>
      <c r="BL52" s="127" t="str">
        <f t="shared" si="30"/>
        <v/>
      </c>
      <c r="BM52" s="127" t="str">
        <f t="shared" si="30"/>
        <v/>
      </c>
      <c r="BN52" s="127" t="str">
        <f t="shared" si="30"/>
        <v/>
      </c>
      <c r="BO52" s="127" t="str">
        <f t="shared" si="30"/>
        <v/>
      </c>
      <c r="BP52" s="127" t="str">
        <f t="shared" si="30"/>
        <v/>
      </c>
      <c r="BQ52" s="127" t="str">
        <f t="shared" si="30"/>
        <v/>
      </c>
      <c r="BR52" s="127" t="str">
        <f t="shared" si="30"/>
        <v/>
      </c>
      <c r="BS52" s="127" t="str">
        <f t="shared" si="30"/>
        <v/>
      </c>
      <c r="BT52" s="127" t="str">
        <f t="shared" si="28"/>
        <v/>
      </c>
      <c r="BU52" s="127" t="str">
        <f t="shared" si="28"/>
        <v/>
      </c>
      <c r="BV52" s="127" t="str">
        <f t="shared" si="28"/>
        <v/>
      </c>
      <c r="BW52" s="127" t="str">
        <f t="shared" si="28"/>
        <v/>
      </c>
      <c r="BX52" s="127" t="str">
        <f t="shared" si="28"/>
        <v/>
      </c>
      <c r="BY52" s="127" t="str">
        <f t="shared" si="28"/>
        <v/>
      </c>
      <c r="BZ52" s="127" t="str">
        <f t="shared" si="28"/>
        <v/>
      </c>
      <c r="CA52" s="127" t="str">
        <f t="shared" si="28"/>
        <v/>
      </c>
      <c r="CB52" s="127" t="str">
        <f t="shared" si="28"/>
        <v/>
      </c>
      <c r="CC52" s="127" t="str">
        <f t="shared" si="28"/>
        <v/>
      </c>
      <c r="CD52" s="127" t="str">
        <f t="shared" si="28"/>
        <v/>
      </c>
      <c r="CE52" s="127" t="str">
        <f t="shared" si="28"/>
        <v/>
      </c>
    </row>
    <row r="53" spans="1:83" ht="12.6" hidden="1" customHeight="1" x14ac:dyDescent="0.2">
      <c r="A53" s="106">
        <f>SHIPMENTS!A59</f>
        <v>6542</v>
      </c>
      <c r="B53" s="106" t="str">
        <f>SHIPMENTS!B59</f>
        <v>75100-JORDAN
BACKLOG</v>
      </c>
      <c r="C53" s="132">
        <f>SHIPMENTS!F59</f>
        <v>2.9600000000000001E-2</v>
      </c>
      <c r="D53" s="107" t="str">
        <f>IF((SHIPMENTS!I59)=0,"",SHIPMENTS!I59)</f>
        <v/>
      </c>
      <c r="E53" s="176" t="str">
        <f>IF((SHIPMENTS!G59)=0,"",SHIPMENTS!G59)</f>
        <v>TBA</v>
      </c>
      <c r="F53" s="97">
        <f>VLOOKUP(A53,Items!$A$5:$J$1000,2,0)</f>
        <v>0</v>
      </c>
      <c r="G53" s="98">
        <f>VLOOKUP(A53,load!$A$4:$U$5001,10,0)</f>
        <v>0</v>
      </c>
      <c r="H53" s="97">
        <v>13</v>
      </c>
      <c r="I53" s="98">
        <f t="shared" ref="I53" si="39">+H53*$I$4</f>
        <v>118.3</v>
      </c>
      <c r="J53" s="99">
        <f t="shared" ref="J53" si="40">G53/I53</f>
        <v>0</v>
      </c>
      <c r="K53" s="99">
        <f t="shared" ref="K53" si="41">+J53*$I$4</f>
        <v>0</v>
      </c>
      <c r="L53" s="98">
        <f t="shared" ref="L53" si="42">IFERROR(J53-(J53*P53),0)</f>
        <v>0</v>
      </c>
      <c r="M53" s="98">
        <f t="shared" ref="M53" si="43">IFERROR(K53-(K53*P53),0)</f>
        <v>0</v>
      </c>
      <c r="N53" s="181">
        <f t="shared" ref="N53" si="44">O52</f>
        <v>46331.407404902777</v>
      </c>
      <c r="O53" s="181">
        <f t="shared" ref="O53" si="45">N53+L53</f>
        <v>46331.407404902777</v>
      </c>
      <c r="P53" s="112" t="str">
        <f>VLOOKUP(A53,SHIPMENTS!$A$7:$AP$76,41,0)</f>
        <v>n/a</v>
      </c>
      <c r="Q53" s="101"/>
      <c r="R53" s="127" t="str">
        <f t="shared" si="27"/>
        <v/>
      </c>
      <c r="S53" s="127" t="str">
        <f t="shared" si="27"/>
        <v/>
      </c>
      <c r="T53" s="127" t="str">
        <f t="shared" si="27"/>
        <v/>
      </c>
      <c r="U53" s="127" t="str">
        <f t="shared" si="27"/>
        <v/>
      </c>
      <c r="V53" s="127" t="str">
        <f t="shared" si="27"/>
        <v/>
      </c>
      <c r="W53" s="127" t="str">
        <f t="shared" si="27"/>
        <v/>
      </c>
      <c r="X53" s="127" t="str">
        <f t="shared" si="27"/>
        <v/>
      </c>
      <c r="Y53" s="127" t="str">
        <f t="shared" si="27"/>
        <v/>
      </c>
      <c r="Z53" s="127" t="str">
        <f t="shared" si="27"/>
        <v/>
      </c>
      <c r="AA53" s="127" t="str">
        <f t="shared" si="27"/>
        <v/>
      </c>
      <c r="AB53" s="127" t="str">
        <f t="shared" si="27"/>
        <v/>
      </c>
      <c r="AC53" s="127" t="str">
        <f t="shared" si="27"/>
        <v/>
      </c>
      <c r="AD53" s="127" t="str">
        <f t="shared" si="27"/>
        <v/>
      </c>
      <c r="AE53" s="127" t="str">
        <f t="shared" si="27"/>
        <v/>
      </c>
      <c r="AF53" s="127" t="str">
        <f t="shared" si="27"/>
        <v/>
      </c>
      <c r="AG53" s="127" t="str">
        <f t="shared" si="27"/>
        <v/>
      </c>
      <c r="AH53" s="127" t="str">
        <f t="shared" si="38"/>
        <v/>
      </c>
      <c r="AI53" s="127" t="str">
        <f t="shared" si="38"/>
        <v/>
      </c>
      <c r="AJ53" s="127" t="str">
        <f t="shared" si="38"/>
        <v/>
      </c>
      <c r="AK53" s="127" t="str">
        <f t="shared" si="38"/>
        <v/>
      </c>
      <c r="AL53" s="127" t="str">
        <f t="shared" si="38"/>
        <v/>
      </c>
      <c r="AM53" s="127" t="str">
        <f t="shared" si="38"/>
        <v/>
      </c>
      <c r="AN53" s="127" t="str">
        <f t="shared" si="38"/>
        <v/>
      </c>
      <c r="AO53" s="127" t="str">
        <f t="shared" si="38"/>
        <v/>
      </c>
      <c r="AP53" s="127" t="str">
        <f t="shared" si="38"/>
        <v/>
      </c>
      <c r="AQ53" s="127" t="str">
        <f t="shared" si="38"/>
        <v/>
      </c>
      <c r="AR53" s="127" t="str">
        <f t="shared" si="38"/>
        <v/>
      </c>
      <c r="AS53" s="127" t="str">
        <f t="shared" si="38"/>
        <v/>
      </c>
      <c r="AT53" s="127" t="str">
        <f t="shared" si="38"/>
        <v/>
      </c>
      <c r="AU53" s="127" t="str">
        <f t="shared" si="38"/>
        <v/>
      </c>
      <c r="AV53" s="127" t="str">
        <f t="shared" si="38"/>
        <v/>
      </c>
      <c r="AW53" s="127" t="str">
        <f t="shared" si="38"/>
        <v/>
      </c>
      <c r="AX53" s="127" t="str">
        <f t="shared" si="30"/>
        <v/>
      </c>
      <c r="AY53" s="127" t="str">
        <f t="shared" si="30"/>
        <v/>
      </c>
      <c r="AZ53" s="127" t="str">
        <f t="shared" si="30"/>
        <v/>
      </c>
      <c r="BA53" s="127" t="str">
        <f t="shared" si="30"/>
        <v/>
      </c>
      <c r="BB53" s="127" t="str">
        <f t="shared" si="30"/>
        <v/>
      </c>
      <c r="BC53" s="127" t="str">
        <f t="shared" si="30"/>
        <v/>
      </c>
      <c r="BD53" s="127" t="str">
        <f t="shared" si="30"/>
        <v/>
      </c>
      <c r="BE53" s="127" t="str">
        <f t="shared" si="30"/>
        <v/>
      </c>
      <c r="BF53" s="127" t="str">
        <f t="shared" si="30"/>
        <v/>
      </c>
      <c r="BG53" s="127" t="str">
        <f t="shared" si="30"/>
        <v/>
      </c>
      <c r="BH53" s="127" t="str">
        <f t="shared" si="30"/>
        <v/>
      </c>
      <c r="BI53" s="127" t="str">
        <f t="shared" si="30"/>
        <v/>
      </c>
      <c r="BJ53" s="127" t="str">
        <f t="shared" si="30"/>
        <v/>
      </c>
      <c r="BK53" s="127" t="str">
        <f t="shared" si="30"/>
        <v/>
      </c>
      <c r="BL53" s="127" t="str">
        <f t="shared" si="30"/>
        <v/>
      </c>
      <c r="BM53" s="127" t="str">
        <f t="shared" si="30"/>
        <v/>
      </c>
      <c r="BN53" s="127" t="str">
        <f t="shared" si="30"/>
        <v/>
      </c>
      <c r="BO53" s="127" t="str">
        <f t="shared" si="30"/>
        <v/>
      </c>
      <c r="BP53" s="127" t="str">
        <f t="shared" si="30"/>
        <v/>
      </c>
      <c r="BQ53" s="127" t="str">
        <f t="shared" si="30"/>
        <v/>
      </c>
      <c r="BR53" s="127" t="str">
        <f t="shared" si="30"/>
        <v/>
      </c>
      <c r="BS53" s="127" t="str">
        <f t="shared" si="30"/>
        <v/>
      </c>
      <c r="BT53" s="127" t="str">
        <f t="shared" si="28"/>
        <v/>
      </c>
      <c r="BU53" s="127" t="str">
        <f t="shared" si="28"/>
        <v/>
      </c>
      <c r="BV53" s="127" t="str">
        <f t="shared" si="28"/>
        <v/>
      </c>
      <c r="BW53" s="127" t="str">
        <f t="shared" si="28"/>
        <v/>
      </c>
      <c r="BX53" s="127" t="str">
        <f t="shared" si="28"/>
        <v/>
      </c>
      <c r="BY53" s="127" t="str">
        <f t="shared" si="28"/>
        <v/>
      </c>
      <c r="BZ53" s="127" t="str">
        <f t="shared" si="28"/>
        <v/>
      </c>
      <c r="CA53" s="127" t="str">
        <f t="shared" si="28"/>
        <v/>
      </c>
      <c r="CB53" s="127" t="str">
        <f t="shared" si="28"/>
        <v/>
      </c>
      <c r="CC53" s="127" t="str">
        <f t="shared" si="28"/>
        <v/>
      </c>
      <c r="CD53" s="127" t="str">
        <f t="shared" si="28"/>
        <v/>
      </c>
      <c r="CE53" s="127" t="str">
        <f t="shared" si="28"/>
        <v/>
      </c>
    </row>
  </sheetData>
  <autoFilter ref="A7:BG53" xr:uid="{00000000-0009-0000-0000-00000B000000}">
    <filterColumn colId="15">
      <filters>
        <filter val="0%"/>
        <filter val="100%"/>
        <filter val="20%"/>
      </filters>
    </filterColumn>
  </autoFilter>
  <mergeCells count="16">
    <mergeCell ref="M5:M6"/>
    <mergeCell ref="N5:N6"/>
    <mergeCell ref="O5:O6"/>
    <mergeCell ref="P5:P6"/>
    <mergeCell ref="G5:G6"/>
    <mergeCell ref="H5:H6"/>
    <mergeCell ref="I5:I6"/>
    <mergeCell ref="J5:J6"/>
    <mergeCell ref="K5:K6"/>
    <mergeCell ref="L5:L6"/>
    <mergeCell ref="F5:F6"/>
    <mergeCell ref="A5:A6"/>
    <mergeCell ref="B5:B6"/>
    <mergeCell ref="C5:C6"/>
    <mergeCell ref="D5:D6"/>
    <mergeCell ref="E5:E6"/>
  </mergeCells>
  <conditionalFormatting sqref="O8:O53">
    <cfRule type="cellIs" dxfId="210" priority="1073" operator="greaterThan">
      <formula>E8</formula>
    </cfRule>
  </conditionalFormatting>
  <conditionalFormatting sqref="P8:P53">
    <cfRule type="dataBar" priority="1074">
      <dataBar>
        <cfvo type="num" val="0"/>
        <cfvo type="num" val="1"/>
        <color rgb="FFFFB628"/>
      </dataBar>
      <extLst>
        <ext xmlns:x14="http://schemas.microsoft.com/office/spreadsheetml/2009/9/main" uri="{B025F937-C7B1-47D3-B67F-A62EFF666E3E}">
          <x14:id>{ADF55ECA-5157-4BD1-8719-63BC10D99C50}</x14:id>
        </ext>
      </extLst>
    </cfRule>
  </conditionalFormatting>
  <conditionalFormatting sqref="P1:Q5 P7:Q1048576">
    <cfRule type="cellIs" dxfId="209" priority="183" operator="lessThan">
      <formula>1</formula>
    </cfRule>
    <cfRule type="cellIs" dxfId="208" priority="184" operator="equal">
      <formula>1</formula>
    </cfRule>
  </conditionalFormatting>
  <conditionalFormatting sqref="Q8:Q27">
    <cfRule type="dataBar" priority="1294">
      <dataBar>
        <cfvo type="num" val="0"/>
        <cfvo type="num" val="1"/>
        <color rgb="FFFFB628"/>
      </dataBar>
      <extLst>
        <ext xmlns:x14="http://schemas.microsoft.com/office/spreadsheetml/2009/9/main" uri="{B025F937-C7B1-47D3-B67F-A62EFF666E3E}">
          <x14:id>{55A1B379-8330-4ABC-BC1C-FF38F55AFB92}</x14:id>
        </ext>
      </extLst>
    </cfRule>
  </conditionalFormatting>
  <conditionalFormatting sqref="Q28">
    <cfRule type="dataBar" priority="1262">
      <dataBar>
        <cfvo type="num" val="0"/>
        <cfvo type="num" val="1"/>
        <color rgb="FFFFB628"/>
      </dataBar>
      <extLst>
        <ext xmlns:x14="http://schemas.microsoft.com/office/spreadsheetml/2009/9/main" uri="{B025F937-C7B1-47D3-B67F-A62EFF666E3E}">
          <x14:id>{AFA95C4F-63E6-421C-8E89-FA40396B10E1}</x14:id>
        </ext>
      </extLst>
    </cfRule>
  </conditionalFormatting>
  <conditionalFormatting sqref="Q29:Q53">
    <cfRule type="dataBar" priority="1258">
      <dataBar>
        <cfvo type="num" val="0"/>
        <cfvo type="num" val="1"/>
        <color rgb="FFFFB628"/>
      </dataBar>
      <extLst>
        <ext xmlns:x14="http://schemas.microsoft.com/office/spreadsheetml/2009/9/main" uri="{B025F937-C7B1-47D3-B67F-A62EFF666E3E}">
          <x14:id>{EB84D1CA-BF28-4EDC-9830-6D809D4AF651}</x14:id>
        </ext>
      </extLst>
    </cfRule>
  </conditionalFormatting>
  <conditionalFormatting sqref="R8:BF27">
    <cfRule type="cellIs" dxfId="207" priority="1289" operator="equal">
      <formula>1</formula>
    </cfRule>
    <cfRule type="cellIs" dxfId="206" priority="1288" operator="equal">
      <formula>1</formula>
    </cfRule>
  </conditionalFormatting>
  <conditionalFormatting sqref="R28:BF28">
    <cfRule type="cellIs" dxfId="205" priority="1261" operator="equal">
      <formula>1</formula>
    </cfRule>
  </conditionalFormatting>
  <conditionalFormatting sqref="R28:BF53">
    <cfRule type="cellIs" dxfId="204" priority="5" operator="equal">
      <formula>1</formula>
    </cfRule>
  </conditionalFormatting>
  <conditionalFormatting sqref="R29:BF53">
    <cfRule type="cellIs" dxfId="203" priority="9" operator="equal">
      <formula>1</formula>
    </cfRule>
  </conditionalFormatting>
  <conditionalFormatting sqref="R8:BG27 R29:CE32 R46:CE52">
    <cfRule type="expression" dxfId="202" priority="1267">
      <formula>IF(AND($N8&lt;=R$3,$O8&gt;=R$3),1,"")</formula>
    </cfRule>
  </conditionalFormatting>
  <conditionalFormatting sqref="R1:CE1">
    <cfRule type="cellIs" dxfId="201" priority="1101" operator="notEqual">
      <formula>0</formula>
    </cfRule>
  </conditionalFormatting>
  <conditionalFormatting sqref="R28:CE28">
    <cfRule type="expression" dxfId="200" priority="1259">
      <formula>IF(AND($N28&lt;=R$3,$O28&gt;=R$3),1,"")</formula>
    </cfRule>
  </conditionalFormatting>
  <conditionalFormatting sqref="R33:CE44">
    <cfRule type="expression" dxfId="199" priority="181">
      <formula>IF(AND($N33&lt;=R$3,$O33&gt;=R$3),1,"")</formula>
    </cfRule>
  </conditionalFormatting>
  <conditionalFormatting sqref="R45:CE45">
    <cfRule type="expression" dxfId="198" priority="160">
      <formula>IF(AND($N45&lt;=R$3,$O45&gt;=R$3),1,"")</formula>
    </cfRule>
  </conditionalFormatting>
  <conditionalFormatting sqref="R53:CE53">
    <cfRule type="expression" dxfId="197" priority="20">
      <formula>IF(AND($N53&lt;=R$3,$O53&gt;=R$3),1,"")</formula>
    </cfRule>
  </conditionalFormatting>
  <conditionalFormatting sqref="AW8:BF32">
    <cfRule type="cellIs" dxfId="196" priority="1269" operator="equal">
      <formula>1</formula>
    </cfRule>
  </conditionalFormatting>
  <conditionalFormatting sqref="AW33:BF44">
    <cfRule type="cellIs" dxfId="195" priority="182" operator="equal">
      <formula>1</formula>
    </cfRule>
  </conditionalFormatting>
  <conditionalFormatting sqref="AW45:BF45">
    <cfRule type="cellIs" dxfId="194" priority="161" operator="equal">
      <formula>1</formula>
    </cfRule>
  </conditionalFormatting>
  <conditionalFormatting sqref="AW46:BF52">
    <cfRule type="cellIs" dxfId="193" priority="140" operator="equal">
      <formula>1</formula>
    </cfRule>
  </conditionalFormatting>
  <conditionalFormatting sqref="AW53:BF53">
    <cfRule type="cellIs" dxfId="192" priority="19" operator="equal">
      <formula>1</formula>
    </cfRule>
  </conditionalFormatting>
  <conditionalFormatting sqref="AW8:BG32">
    <cfRule type="cellIs" dxfId="191" priority="1265" operator="equal">
      <formula>1</formula>
    </cfRule>
  </conditionalFormatting>
  <conditionalFormatting sqref="AW33:BM44">
    <cfRule type="cellIs" dxfId="190" priority="178" operator="equal">
      <formula>1</formula>
    </cfRule>
  </conditionalFormatting>
  <conditionalFormatting sqref="AW45:BM45">
    <cfRule type="cellIs" dxfId="189" priority="157" operator="equal">
      <formula>1</formula>
    </cfRule>
  </conditionalFormatting>
  <conditionalFormatting sqref="AW46:BM52">
    <cfRule type="cellIs" dxfId="188" priority="137" operator="equal">
      <formula>1</formula>
    </cfRule>
  </conditionalFormatting>
  <conditionalFormatting sqref="AW53:BM53">
    <cfRule type="cellIs" dxfId="187" priority="17" operator="equal">
      <formula>1</formula>
    </cfRule>
  </conditionalFormatting>
  <conditionalFormatting sqref="BG8:BG53">
    <cfRule type="cellIs" dxfId="186" priority="1264" operator="equal">
      <formula>1</formula>
    </cfRule>
    <cfRule type="cellIs" dxfId="185" priority="1266" operator="equal">
      <formula>1</formula>
    </cfRule>
  </conditionalFormatting>
  <conditionalFormatting sqref="BG8:BM32">
    <cfRule type="cellIs" dxfId="184" priority="1240" operator="equal">
      <formula>1</formula>
    </cfRule>
  </conditionalFormatting>
  <conditionalFormatting sqref="BH8:BL27">
    <cfRule type="cellIs" dxfId="183" priority="1254" operator="equal">
      <formula>1</formula>
    </cfRule>
    <cfRule type="cellIs" dxfId="182" priority="1253" operator="equal">
      <formula>1</formula>
    </cfRule>
  </conditionalFormatting>
  <conditionalFormatting sqref="BH8:BL32">
    <cfRule type="cellIs" dxfId="181" priority="1244" operator="equal">
      <formula>1</formula>
    </cfRule>
  </conditionalFormatting>
  <conditionalFormatting sqref="BH28:BL44">
    <cfRule type="cellIs" dxfId="180" priority="179" operator="equal">
      <formula>1</formula>
    </cfRule>
  </conditionalFormatting>
  <conditionalFormatting sqref="BH28:BL53">
    <cfRule type="cellIs" dxfId="179" priority="4" operator="equal">
      <formula>1</formula>
    </cfRule>
  </conditionalFormatting>
  <conditionalFormatting sqref="BH33:BL45">
    <cfRule type="cellIs" dxfId="178" priority="158" operator="equal">
      <formula>1</formula>
    </cfRule>
  </conditionalFormatting>
  <conditionalFormatting sqref="BH45:BL52">
    <cfRule type="cellIs" dxfId="177" priority="138" operator="equal">
      <formula>1</formula>
    </cfRule>
  </conditionalFormatting>
  <conditionalFormatting sqref="BH46:BL53">
    <cfRule type="cellIs" dxfId="176" priority="18" operator="equal">
      <formula>1</formula>
    </cfRule>
  </conditionalFormatting>
  <conditionalFormatting sqref="BH8:BM27">
    <cfRule type="expression" dxfId="175" priority="1242">
      <formula>IF(AND($N8&lt;=BH$3,$O8&gt;=BH$3),1,"")</formula>
    </cfRule>
  </conditionalFormatting>
  <conditionalFormatting sqref="BH53:BR53">
    <cfRule type="cellIs" dxfId="174" priority="15" operator="equal">
      <formula>1</formula>
    </cfRule>
  </conditionalFormatting>
  <conditionalFormatting sqref="BM8:BM53">
    <cfRule type="cellIs" dxfId="173" priority="1241" operator="equal">
      <formula>1</formula>
    </cfRule>
  </conditionalFormatting>
  <conditionalFormatting sqref="BM8:BR32">
    <cfRule type="cellIs" dxfId="172" priority="1222" operator="equal">
      <formula>1</formula>
    </cfRule>
  </conditionalFormatting>
  <conditionalFormatting sqref="BM33:BR52">
    <cfRule type="cellIs" dxfId="171" priority="36" operator="equal">
      <formula>1</formula>
    </cfRule>
  </conditionalFormatting>
  <conditionalFormatting sqref="BM8:BS32">
    <cfRule type="cellIs" dxfId="170" priority="1218" operator="equal">
      <formula>1</formula>
    </cfRule>
  </conditionalFormatting>
  <conditionalFormatting sqref="BM33:BS53">
    <cfRule type="cellIs" dxfId="169" priority="14" operator="equal">
      <formula>1</formula>
    </cfRule>
  </conditionalFormatting>
  <conditionalFormatting sqref="BN8:BR27">
    <cfRule type="cellIs" dxfId="168" priority="1231" operator="equal">
      <formula>1</formula>
    </cfRule>
    <cfRule type="cellIs" dxfId="167" priority="1232" operator="equal">
      <formula>1</formula>
    </cfRule>
  </conditionalFormatting>
  <conditionalFormatting sqref="BN28:BR53">
    <cfRule type="cellIs" dxfId="166" priority="3" operator="equal">
      <formula>1</formula>
    </cfRule>
    <cfRule type="cellIs" dxfId="165" priority="8" operator="equal">
      <formula>1</formula>
    </cfRule>
  </conditionalFormatting>
  <conditionalFormatting sqref="BN8:BS27">
    <cfRule type="expression" dxfId="164" priority="1220">
      <formula>IF(AND($N8&lt;=BN$3,$O8&gt;=BN$3),1,"")</formula>
    </cfRule>
  </conditionalFormatting>
  <conditionalFormatting sqref="BS8:BS53">
    <cfRule type="cellIs" dxfId="163" priority="1219" operator="equal">
      <formula>1</formula>
    </cfRule>
  </conditionalFormatting>
  <conditionalFormatting sqref="BS8:BX32">
    <cfRule type="cellIs" dxfId="162" priority="1200" operator="equal">
      <formula>1</formula>
    </cfRule>
  </conditionalFormatting>
  <conditionalFormatting sqref="BS33:BX53">
    <cfRule type="cellIs" dxfId="161" priority="13" operator="equal">
      <formula>1</formula>
    </cfRule>
  </conditionalFormatting>
  <conditionalFormatting sqref="BS8:BY32">
    <cfRule type="cellIs" dxfId="160" priority="1196" operator="equal">
      <formula>1</formula>
    </cfRule>
  </conditionalFormatting>
  <conditionalFormatting sqref="BS33:BY53">
    <cfRule type="cellIs" dxfId="159" priority="12" operator="equal">
      <formula>1</formula>
    </cfRule>
  </conditionalFormatting>
  <conditionalFormatting sqref="BT8:BX27">
    <cfRule type="cellIs" dxfId="158" priority="1209" operator="equal">
      <formula>1</formula>
    </cfRule>
    <cfRule type="cellIs" dxfId="157" priority="1210" operator="equal">
      <formula>1</formula>
    </cfRule>
  </conditionalFormatting>
  <conditionalFormatting sqref="BT28:BX53">
    <cfRule type="cellIs" dxfId="156" priority="7" operator="equal">
      <formula>1</formula>
    </cfRule>
    <cfRule type="cellIs" dxfId="155" priority="2" operator="equal">
      <formula>1</formula>
    </cfRule>
  </conditionalFormatting>
  <conditionalFormatting sqref="BT8:BY27">
    <cfRule type="expression" dxfId="154" priority="1198">
      <formula>IF(AND($N8&lt;=BT$3,$O8&gt;=BT$3),1,"")</formula>
    </cfRule>
  </conditionalFormatting>
  <conditionalFormatting sqref="BY8:BY53">
    <cfRule type="cellIs" dxfId="153" priority="1197" operator="equal">
      <formula>1</formula>
    </cfRule>
  </conditionalFormatting>
  <conditionalFormatting sqref="BY8:CD32">
    <cfRule type="cellIs" dxfId="152" priority="1178" operator="equal">
      <formula>1</formula>
    </cfRule>
  </conditionalFormatting>
  <conditionalFormatting sqref="BY33:CD53">
    <cfRule type="cellIs" dxfId="151" priority="11" operator="equal">
      <formula>1</formula>
    </cfRule>
  </conditionalFormatting>
  <conditionalFormatting sqref="BY8:CE32">
    <cfRule type="cellIs" dxfId="150" priority="1174" operator="equal">
      <formula>1</formula>
    </cfRule>
  </conditionalFormatting>
  <conditionalFormatting sqref="BY33:CE53">
    <cfRule type="cellIs" dxfId="149" priority="10" operator="equal">
      <formula>1</formula>
    </cfRule>
  </conditionalFormatting>
  <conditionalFormatting sqref="BZ8:CD27">
    <cfRule type="cellIs" dxfId="148" priority="1187" operator="equal">
      <formula>1</formula>
    </cfRule>
    <cfRule type="cellIs" dxfId="147" priority="1188" operator="equal">
      <formula>1</formula>
    </cfRule>
  </conditionalFormatting>
  <conditionalFormatting sqref="BZ28:CD53">
    <cfRule type="cellIs" dxfId="146" priority="6" operator="equal">
      <formula>1</formula>
    </cfRule>
    <cfRule type="cellIs" dxfId="145" priority="1" operator="equal">
      <formula>1</formula>
    </cfRule>
  </conditionalFormatting>
  <conditionalFormatting sqref="BZ8:CE27">
    <cfRule type="expression" dxfId="144" priority="1176">
      <formula>IF(AND($N8&lt;=BZ$3,$O8&gt;=BZ$3),1,"")</formula>
    </cfRule>
  </conditionalFormatting>
  <conditionalFormatting sqref="CE8:CE53">
    <cfRule type="cellIs" dxfId="143" priority="1175" operator="equal">
      <formula>1</formula>
    </cfRule>
    <cfRule type="cellIs" dxfId="142" priority="1172" operator="equal">
      <formula>1</formula>
    </cfRule>
    <cfRule type="cellIs" dxfId="141" priority="1173" operator="equal">
      <formula>1</formula>
    </cfRule>
  </conditionalFormatting>
  <pageMargins left="0.7" right="0.7" top="0.75" bottom="0.75" header="0.3" footer="0.3"/>
  <pageSetup paperSize="9" orientation="portrait" horizontalDpi="0" verticalDpi="0" r:id="rId1"/>
  <extLst>
    <ext xmlns:x14="http://schemas.microsoft.com/office/spreadsheetml/2009/9/main" uri="{78C0D931-6437-407d-A8EE-F0AAD7539E65}">
      <x14:conditionalFormattings>
        <x14:conditionalFormatting xmlns:xm="http://schemas.microsoft.com/office/excel/2006/main">
          <x14:cfRule type="dataBar" id="{ADF55ECA-5157-4BD1-8719-63BC10D99C50}">
            <x14:dataBar minLength="0" maxLength="100" gradient="0">
              <x14:cfvo type="num">
                <xm:f>0</xm:f>
              </x14:cfvo>
              <x14:cfvo type="num">
                <xm:f>1</xm:f>
              </x14:cfvo>
              <x14:negativeFillColor rgb="FFFF0000"/>
              <x14:axisColor rgb="FF000000"/>
            </x14:dataBar>
          </x14:cfRule>
          <xm:sqref>P8:P53</xm:sqref>
        </x14:conditionalFormatting>
        <x14:conditionalFormatting xmlns:xm="http://schemas.microsoft.com/office/excel/2006/main">
          <x14:cfRule type="dataBar" id="{55A1B379-8330-4ABC-BC1C-FF38F55AFB92}">
            <x14:dataBar minLength="0" maxLength="100" gradient="0">
              <x14:cfvo type="num">
                <xm:f>0</xm:f>
              </x14:cfvo>
              <x14:cfvo type="num">
                <xm:f>1</xm:f>
              </x14:cfvo>
              <x14:negativeFillColor rgb="FFFF0000"/>
              <x14:axisColor rgb="FF000000"/>
            </x14:dataBar>
          </x14:cfRule>
          <xm:sqref>Q8:Q27</xm:sqref>
        </x14:conditionalFormatting>
        <x14:conditionalFormatting xmlns:xm="http://schemas.microsoft.com/office/excel/2006/main">
          <x14:cfRule type="dataBar" id="{AFA95C4F-63E6-421C-8E89-FA40396B10E1}">
            <x14:dataBar minLength="0" maxLength="100" gradient="0">
              <x14:cfvo type="num">
                <xm:f>0</xm:f>
              </x14:cfvo>
              <x14:cfvo type="num">
                <xm:f>1</xm:f>
              </x14:cfvo>
              <x14:negativeFillColor rgb="FFFF0000"/>
              <x14:axisColor rgb="FF000000"/>
            </x14:dataBar>
          </x14:cfRule>
          <xm:sqref>Q28</xm:sqref>
        </x14:conditionalFormatting>
        <x14:conditionalFormatting xmlns:xm="http://schemas.microsoft.com/office/excel/2006/main">
          <x14:cfRule type="dataBar" id="{EB84D1CA-BF28-4EDC-9830-6D809D4AF651}">
            <x14:dataBar minLength="0" maxLength="100" gradient="0">
              <x14:cfvo type="num">
                <xm:f>0</xm:f>
              </x14:cfvo>
              <x14:cfvo type="num">
                <xm:f>1</xm:f>
              </x14:cfvo>
              <x14:negativeFillColor rgb="FFFF0000"/>
              <x14:axisColor rgb="FF000000"/>
            </x14:dataBar>
          </x14:cfRule>
          <xm:sqref>Q29:Q53</xm:sqref>
        </x14:conditionalFormatting>
      </x14:conditionalFormatting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21" filterMode="1"/>
  <dimension ref="A1:CE53"/>
  <sheetViews>
    <sheetView showGridLines="0" zoomScaleNormal="100" workbookViewId="0">
      <pane xSplit="16" ySplit="7" topLeftCell="Q18" activePane="bottomRight" state="frozen"/>
      <selection pane="topRight" activeCell="Q1" sqref="Q1"/>
      <selection pane="bottomLeft" activeCell="A8" sqref="A8"/>
      <selection pane="bottomRight" activeCell="A9" sqref="A9:E53"/>
    </sheetView>
  </sheetViews>
  <sheetFormatPr defaultColWidth="9.28515625" defaultRowHeight="12.75" outlineLevelCol="1" x14ac:dyDescent="0.2"/>
  <cols>
    <col min="1" max="1" width="11.28515625" style="72" customWidth="1"/>
    <col min="2" max="2" width="21.7109375" style="71" customWidth="1"/>
    <col min="3" max="3" width="7.28515625" style="71" customWidth="1"/>
    <col min="4" max="4" width="7.7109375" style="71" customWidth="1"/>
    <col min="5" max="5" width="9.7109375" style="174" customWidth="1"/>
    <col min="6" max="6" width="7.5703125" style="71" customWidth="1"/>
    <col min="7" max="7" width="11.5703125" style="74" hidden="1" customWidth="1" outlineLevel="1"/>
    <col min="8" max="8" width="11.7109375" style="75" hidden="1" customWidth="1" outlineLevel="1"/>
    <col min="9" max="9" width="11.28515625" style="74" hidden="1" customWidth="1" outlineLevel="1"/>
    <col min="10" max="10" width="8.7109375" style="76" hidden="1" customWidth="1" outlineLevel="1"/>
    <col min="11" max="11" width="7.7109375" style="76" hidden="1" customWidth="1" outlineLevel="1"/>
    <col min="12" max="12" width="9" style="74" customWidth="1" collapsed="1"/>
    <col min="13" max="13" width="9" style="74" hidden="1" customWidth="1" outlineLevel="1"/>
    <col min="14" max="14" width="7.42578125" style="174" hidden="1" customWidth="1" outlineLevel="1"/>
    <col min="15" max="15" width="8.28515625" style="174" customWidth="1" collapsed="1"/>
    <col min="16" max="17" width="11.28515625" style="78" customWidth="1"/>
    <col min="18" max="32" width="6.5703125" style="71" bestFit="1" customWidth="1"/>
    <col min="33" max="83" width="7.28515625" style="71" bestFit="1" customWidth="1"/>
    <col min="84" max="16384" width="9.28515625" style="71"/>
  </cols>
  <sheetData>
    <row r="1" spans="1:83" x14ac:dyDescent="0.2">
      <c r="R1" s="105">
        <f>'T&amp;D'!Q1</f>
        <v>0</v>
      </c>
      <c r="S1" s="105">
        <f>'T&amp;D'!R1</f>
        <v>0</v>
      </c>
      <c r="T1" s="105">
        <f>'T&amp;D'!S1</f>
        <v>0</v>
      </c>
      <c r="U1" s="105">
        <f>'T&amp;D'!T1</f>
        <v>0</v>
      </c>
      <c r="V1" s="105">
        <f>'T&amp;D'!U1</f>
        <v>0</v>
      </c>
      <c r="W1" s="105">
        <f>'T&amp;D'!V1</f>
        <v>0</v>
      </c>
      <c r="X1" s="105">
        <f>'T&amp;D'!W1</f>
        <v>0</v>
      </c>
      <c r="Y1" s="105">
        <f>'T&amp;D'!X1</f>
        <v>0</v>
      </c>
      <c r="Z1" s="105">
        <f>'T&amp;D'!Y1</f>
        <v>0</v>
      </c>
      <c r="AA1" s="105">
        <f>'T&amp;D'!Z1</f>
        <v>0</v>
      </c>
      <c r="AB1" s="105">
        <f>'T&amp;D'!AA1</f>
        <v>0</v>
      </c>
      <c r="AC1" s="105">
        <f>'T&amp;D'!AB1</f>
        <v>0</v>
      </c>
      <c r="AD1" s="105">
        <f>'T&amp;D'!AC1</f>
        <v>0</v>
      </c>
      <c r="AE1" s="105">
        <f>'T&amp;D'!AD1</f>
        <v>0</v>
      </c>
      <c r="AF1" s="105">
        <f>'T&amp;D'!AE1</f>
        <v>0</v>
      </c>
      <c r="AG1" s="105">
        <f>'T&amp;D'!AF1</f>
        <v>0</v>
      </c>
      <c r="AH1" s="105">
        <f>'T&amp;D'!AG1</f>
        <v>0</v>
      </c>
      <c r="AI1" s="105">
        <f>'T&amp;D'!AH1</f>
        <v>0</v>
      </c>
      <c r="AJ1" s="105">
        <f>'T&amp;D'!AI1</f>
        <v>0</v>
      </c>
      <c r="AK1" s="105">
        <f>'T&amp;D'!AJ1</f>
        <v>0</v>
      </c>
      <c r="AL1" s="105">
        <f>'T&amp;D'!AK1</f>
        <v>0</v>
      </c>
      <c r="AM1" s="105">
        <f>'T&amp;D'!AL1</f>
        <v>0</v>
      </c>
      <c r="AN1" s="105">
        <f>'T&amp;D'!AM1</f>
        <v>0</v>
      </c>
      <c r="AO1" s="105">
        <f>'T&amp;D'!AN1</f>
        <v>0</v>
      </c>
      <c r="AP1" s="105">
        <f>'T&amp;D'!AO1</f>
        <v>0</v>
      </c>
      <c r="AQ1" s="105">
        <f>'T&amp;D'!AP1</f>
        <v>0</v>
      </c>
      <c r="AR1" s="105">
        <f>'T&amp;D'!AQ1</f>
        <v>0</v>
      </c>
      <c r="AS1" s="105">
        <f>'T&amp;D'!AR1</f>
        <v>0</v>
      </c>
      <c r="AT1" s="105">
        <f>'T&amp;D'!AS1</f>
        <v>0</v>
      </c>
      <c r="AU1" s="105">
        <f>'T&amp;D'!AT1</f>
        <v>0</v>
      </c>
      <c r="AV1" s="105">
        <f>'T&amp;D'!AU1</f>
        <v>0</v>
      </c>
      <c r="AW1" s="105">
        <f>'T&amp;D'!AV1</f>
        <v>0</v>
      </c>
      <c r="AX1" s="105">
        <f>'T&amp;D'!AW1</f>
        <v>0</v>
      </c>
      <c r="AY1" s="105">
        <f>'T&amp;D'!AX1</f>
        <v>0</v>
      </c>
      <c r="AZ1" s="105">
        <f>'T&amp;D'!AY1</f>
        <v>0</v>
      </c>
      <c r="BA1" s="105">
        <f>'T&amp;D'!AZ1</f>
        <v>0</v>
      </c>
      <c r="BB1" s="105">
        <f>'T&amp;D'!BA1</f>
        <v>0</v>
      </c>
      <c r="BC1" s="105">
        <f>'T&amp;D'!BB1</f>
        <v>0</v>
      </c>
      <c r="BD1" s="105">
        <f>'T&amp;D'!BC1</f>
        <v>0</v>
      </c>
      <c r="BE1" s="105">
        <f>'T&amp;D'!BD1</f>
        <v>0</v>
      </c>
      <c r="BF1" s="105">
        <f>'T&amp;D'!BE1</f>
        <v>0</v>
      </c>
      <c r="BG1" s="105">
        <f>'T&amp;D'!BF1</f>
        <v>0</v>
      </c>
      <c r="BH1" s="105">
        <f>'T&amp;D'!BG1</f>
        <v>0</v>
      </c>
      <c r="BI1" s="105">
        <f>'T&amp;D'!BH1</f>
        <v>0</v>
      </c>
      <c r="BJ1" s="105">
        <f>'T&amp;D'!BI1</f>
        <v>0</v>
      </c>
      <c r="BK1" s="105">
        <f>'T&amp;D'!BJ1</f>
        <v>0</v>
      </c>
      <c r="BL1" s="105">
        <f>'T&amp;D'!BK1</f>
        <v>0</v>
      </c>
      <c r="BM1" s="105">
        <f>'T&amp;D'!BL1</f>
        <v>0</v>
      </c>
      <c r="BN1" s="105">
        <f>'T&amp;D'!BM1</f>
        <v>0</v>
      </c>
      <c r="BO1" s="105">
        <f>'T&amp;D'!BN1</f>
        <v>0</v>
      </c>
      <c r="BP1" s="105">
        <f>'T&amp;D'!BO1</f>
        <v>0</v>
      </c>
      <c r="BQ1" s="105">
        <f>'T&amp;D'!BP1</f>
        <v>0</v>
      </c>
      <c r="BR1" s="105">
        <f>'T&amp;D'!BQ1</f>
        <v>0</v>
      </c>
      <c r="BS1" s="105">
        <f>'T&amp;D'!BR1</f>
        <v>0</v>
      </c>
      <c r="BT1" s="105">
        <f>'T&amp;D'!BS1</f>
        <v>0</v>
      </c>
      <c r="BU1" s="105">
        <f>'T&amp;D'!BT1</f>
        <v>0</v>
      </c>
      <c r="BV1" s="105">
        <f>'T&amp;D'!BU1</f>
        <v>0</v>
      </c>
      <c r="BW1" s="105">
        <f>'T&amp;D'!BV1</f>
        <v>0</v>
      </c>
      <c r="BX1" s="105">
        <f>'T&amp;D'!BW1</f>
        <v>0</v>
      </c>
      <c r="BY1" s="105">
        <f>'T&amp;D'!BX1</f>
        <v>0</v>
      </c>
      <c r="BZ1" s="105">
        <f>'T&amp;D'!BY1</f>
        <v>0</v>
      </c>
      <c r="CA1" s="105">
        <f>'T&amp;D'!BZ1</f>
        <v>0</v>
      </c>
      <c r="CB1" s="105">
        <f>'T&amp;D'!CA1</f>
        <v>0</v>
      </c>
      <c r="CC1" s="105">
        <f>'T&amp;D'!CB1</f>
        <v>0</v>
      </c>
      <c r="CD1" s="105">
        <f>'T&amp;D'!CC1</f>
        <v>0</v>
      </c>
      <c r="CE1" s="105">
        <f>'T&amp;D'!CD1</f>
        <v>0</v>
      </c>
    </row>
    <row r="2" spans="1:83" x14ac:dyDescent="0.2">
      <c r="A2" s="103" t="s">
        <v>224</v>
      </c>
      <c r="R2" s="105" t="str">
        <f>'T&amp;D'!Q2</f>
        <v>w/O OT</v>
      </c>
      <c r="S2" s="105" t="str">
        <f>'T&amp;D'!R2</f>
        <v>w/O OT</v>
      </c>
      <c r="T2" s="105" t="str">
        <f>'T&amp;D'!S2</f>
        <v>w/O OT</v>
      </c>
      <c r="U2" s="105" t="str">
        <f>'T&amp;D'!T2</f>
        <v>w/O OT</v>
      </c>
      <c r="V2" s="105" t="str">
        <f>'T&amp;D'!U2</f>
        <v>Fri</v>
      </c>
      <c r="W2" s="105" t="str">
        <f>'T&amp;D'!V2</f>
        <v>Sat</v>
      </c>
      <c r="X2" s="105" t="str">
        <f>'T&amp;D'!W2</f>
        <v>w/O OT</v>
      </c>
      <c r="Y2" s="105" t="str">
        <f>'T&amp;D'!X2</f>
        <v>w/O OT</v>
      </c>
      <c r="Z2" s="105" t="str">
        <f>'T&amp;D'!Y2</f>
        <v>w/O OT</v>
      </c>
      <c r="AA2" s="105" t="str">
        <f>'T&amp;D'!Z2</f>
        <v>w/O OT</v>
      </c>
      <c r="AB2" s="105" t="str">
        <f>'T&amp;D'!AA2</f>
        <v>Fri</v>
      </c>
      <c r="AC2" s="105" t="str">
        <f>'T&amp;D'!AB2</f>
        <v>Sat</v>
      </c>
      <c r="AD2" s="105" t="str">
        <f>'T&amp;D'!AC2</f>
        <v>w/O OT</v>
      </c>
      <c r="AE2" s="105" t="str">
        <f>'T&amp;D'!AD2</f>
        <v>w/O OT</v>
      </c>
      <c r="AF2" s="105" t="str">
        <f>'T&amp;D'!AE2</f>
        <v>w/O OT</v>
      </c>
      <c r="AG2" s="105" t="str">
        <f>'T&amp;D'!AF2</f>
        <v>w/O OT</v>
      </c>
      <c r="AH2" s="105" t="str">
        <f>'T&amp;D'!AG2</f>
        <v>Fri</v>
      </c>
      <c r="AI2" s="105" t="str">
        <f>'T&amp;D'!AH2</f>
        <v>Sat</v>
      </c>
      <c r="AJ2" s="105" t="str">
        <f>'T&amp;D'!AI2</f>
        <v>w/O OT</v>
      </c>
      <c r="AK2" s="105" t="str">
        <f>'T&amp;D'!AJ2</f>
        <v>w/O OT</v>
      </c>
      <c r="AL2" s="105" t="str">
        <f>'T&amp;D'!AK2</f>
        <v>w/O OT</v>
      </c>
      <c r="AM2" s="105" t="str">
        <f>'T&amp;D'!AL2</f>
        <v>w/O OT</v>
      </c>
      <c r="AN2" s="105" t="str">
        <f>'T&amp;D'!AM2</f>
        <v>Fri</v>
      </c>
      <c r="AO2" s="105" t="str">
        <f>'T&amp;D'!AN2</f>
        <v>Sat</v>
      </c>
      <c r="AP2" s="105" t="str">
        <f>'T&amp;D'!AO2</f>
        <v>w/O OT</v>
      </c>
      <c r="AQ2" s="105" t="str">
        <f>'T&amp;D'!AP2</f>
        <v>w/O OT</v>
      </c>
      <c r="AR2" s="105" t="str">
        <f>'T&amp;D'!AQ2</f>
        <v>w/O OT</v>
      </c>
      <c r="AS2" s="105" t="str">
        <f>'T&amp;D'!AR2</f>
        <v>w/O OT</v>
      </c>
      <c r="AT2" s="105" t="str">
        <f>'T&amp;D'!AS2</f>
        <v>Fri</v>
      </c>
      <c r="AU2" s="105" t="str">
        <f>'T&amp;D'!AT2</f>
        <v>Sat</v>
      </c>
      <c r="AV2" s="105" t="str">
        <f>'T&amp;D'!AU2</f>
        <v>w/O OT</v>
      </c>
      <c r="AW2" s="105" t="str">
        <f>'T&amp;D'!AV2</f>
        <v>w/O OT</v>
      </c>
      <c r="AX2" s="105" t="str">
        <f>'T&amp;D'!AW2</f>
        <v>w/O OT</v>
      </c>
      <c r="AY2" s="105" t="str">
        <f>'T&amp;D'!AX2</f>
        <v>w/O OT</v>
      </c>
      <c r="AZ2" s="105" t="str">
        <f>'T&amp;D'!AY2</f>
        <v>Fri</v>
      </c>
      <c r="BA2" s="105" t="str">
        <f>'T&amp;D'!AZ2</f>
        <v>Sat</v>
      </c>
      <c r="BB2" s="105" t="str">
        <f>'T&amp;D'!BA2</f>
        <v>w/O OT</v>
      </c>
      <c r="BC2" s="105" t="str">
        <f>'T&amp;D'!BB2</f>
        <v>w/O OT</v>
      </c>
      <c r="BD2" s="105" t="str">
        <f>'T&amp;D'!BC2</f>
        <v>w/O OT</v>
      </c>
      <c r="BE2" s="105" t="str">
        <f>'T&amp;D'!BD2</f>
        <v>w/O OT</v>
      </c>
      <c r="BF2" s="105" t="str">
        <f>'T&amp;D'!BE2</f>
        <v>Fri</v>
      </c>
      <c r="BG2" s="105" t="str">
        <f>'T&amp;D'!BF2</f>
        <v>Sat</v>
      </c>
      <c r="BH2" s="105" t="str">
        <f>'T&amp;D'!BG2</f>
        <v>w/O OT</v>
      </c>
      <c r="BI2" s="105" t="str">
        <f>'T&amp;D'!BH2</f>
        <v>w/O OT</v>
      </c>
      <c r="BJ2" s="105" t="str">
        <f>'T&amp;D'!BI2</f>
        <v>w/O OT</v>
      </c>
      <c r="BK2" s="105" t="str">
        <f>'T&amp;D'!BJ2</f>
        <v>w/O OT</v>
      </c>
      <c r="BL2" s="105" t="str">
        <f>'T&amp;D'!BK2</f>
        <v>Fri</v>
      </c>
      <c r="BM2" s="105" t="str">
        <f>'T&amp;D'!BL2</f>
        <v>Sat</v>
      </c>
      <c r="BN2" s="105" t="str">
        <f>'T&amp;D'!BM2</f>
        <v>w/O OT</v>
      </c>
      <c r="BO2" s="105" t="str">
        <f>'T&amp;D'!BN2</f>
        <v>w/O OT</v>
      </c>
      <c r="BP2" s="105" t="str">
        <f>'T&amp;D'!BO2</f>
        <v>w/O OT</v>
      </c>
      <c r="BQ2" s="105" t="str">
        <f>'T&amp;D'!BP2</f>
        <v>w/O OT</v>
      </c>
      <c r="BR2" s="105" t="str">
        <f>'T&amp;D'!BQ2</f>
        <v>Fri</v>
      </c>
      <c r="BS2" s="105" t="str">
        <f>'T&amp;D'!BR2</f>
        <v>Sat</v>
      </c>
      <c r="BT2" s="105" t="str">
        <f>'T&amp;D'!BS2</f>
        <v>w/O OT</v>
      </c>
      <c r="BU2" s="105" t="str">
        <f>'T&amp;D'!BT2</f>
        <v>w/O OT</v>
      </c>
      <c r="BV2" s="105" t="str">
        <f>'T&amp;D'!BU2</f>
        <v>w/O OT</v>
      </c>
      <c r="BW2" s="105" t="str">
        <f>'T&amp;D'!BV2</f>
        <v>w/O OT</v>
      </c>
      <c r="BX2" s="105" t="str">
        <f>'T&amp;D'!BW2</f>
        <v>Fri</v>
      </c>
      <c r="BY2" s="105" t="str">
        <f>'T&amp;D'!BX2</f>
        <v>Sat</v>
      </c>
      <c r="BZ2" s="105" t="str">
        <f>'T&amp;D'!BY2</f>
        <v>w/O OT</v>
      </c>
      <c r="CA2" s="105" t="str">
        <f>'T&amp;D'!BZ2</f>
        <v>w/O OT</v>
      </c>
      <c r="CB2" s="105" t="str">
        <f>'T&amp;D'!CA2</f>
        <v>w/O OT</v>
      </c>
      <c r="CC2" s="105" t="str">
        <f>'T&amp;D'!CB2</f>
        <v>w/O OT</v>
      </c>
      <c r="CD2" s="105" t="str">
        <f>'T&amp;D'!CC2</f>
        <v>Fri</v>
      </c>
      <c r="CE2" s="105" t="str">
        <f>'T&amp;D'!CD2</f>
        <v>Sat</v>
      </c>
    </row>
    <row r="3" spans="1:83" s="80" customFormat="1" x14ac:dyDescent="0.2">
      <c r="A3" s="79"/>
      <c r="C3" s="71" t="s">
        <v>109</v>
      </c>
      <c r="D3" s="75" t="s">
        <v>110</v>
      </c>
      <c r="E3" s="174" t="s">
        <v>90</v>
      </c>
      <c r="L3" s="85"/>
      <c r="M3" s="85"/>
      <c r="N3" s="177"/>
      <c r="O3" s="177"/>
      <c r="P3" s="81"/>
      <c r="Q3" s="81"/>
      <c r="R3" s="82">
        <f>'T&amp;D'!Q3</f>
        <v>46314</v>
      </c>
      <c r="S3" s="82">
        <f>'T&amp;D'!R3</f>
        <v>46315</v>
      </c>
      <c r="T3" s="82">
        <f>'T&amp;D'!S3</f>
        <v>46316</v>
      </c>
      <c r="U3" s="82">
        <f>'T&amp;D'!T3</f>
        <v>46317</v>
      </c>
      <c r="V3" s="82">
        <f>'T&amp;D'!U3</f>
        <v>46318</v>
      </c>
      <c r="W3" s="82">
        <f>'T&amp;D'!V3</f>
        <v>46319</v>
      </c>
      <c r="X3" s="82">
        <f>'T&amp;D'!W3</f>
        <v>46321</v>
      </c>
      <c r="Y3" s="82">
        <f>'T&amp;D'!X3</f>
        <v>46322</v>
      </c>
      <c r="Z3" s="82">
        <f>'T&amp;D'!Y3</f>
        <v>46323</v>
      </c>
      <c r="AA3" s="82">
        <f>'T&amp;D'!Z3</f>
        <v>46324</v>
      </c>
      <c r="AB3" s="82">
        <f>'T&amp;D'!AA3</f>
        <v>46325</v>
      </c>
      <c r="AC3" s="82">
        <f>'T&amp;D'!AB3</f>
        <v>46326</v>
      </c>
      <c r="AD3" s="82">
        <f>'T&amp;D'!AC3</f>
        <v>46328</v>
      </c>
      <c r="AE3" s="82">
        <f>'T&amp;D'!AD3</f>
        <v>46329</v>
      </c>
      <c r="AF3" s="82">
        <f>'T&amp;D'!AE3</f>
        <v>46330</v>
      </c>
      <c r="AG3" s="82">
        <f>'T&amp;D'!AF3</f>
        <v>46331</v>
      </c>
      <c r="AH3" s="82">
        <f>'T&amp;D'!AG3</f>
        <v>46332</v>
      </c>
      <c r="AI3" s="82">
        <f>'T&amp;D'!AH3</f>
        <v>46333</v>
      </c>
      <c r="AJ3" s="82">
        <f>'T&amp;D'!AI3</f>
        <v>46335</v>
      </c>
      <c r="AK3" s="82">
        <f>'T&amp;D'!AJ3</f>
        <v>46336</v>
      </c>
      <c r="AL3" s="82">
        <f>'T&amp;D'!AK3</f>
        <v>46337</v>
      </c>
      <c r="AM3" s="82">
        <f>'T&amp;D'!AL3</f>
        <v>46338</v>
      </c>
      <c r="AN3" s="82">
        <f>'T&amp;D'!AM3</f>
        <v>46339</v>
      </c>
      <c r="AO3" s="82">
        <f>'T&amp;D'!AN3</f>
        <v>46340</v>
      </c>
      <c r="AP3" s="82">
        <f>'T&amp;D'!AO3</f>
        <v>46342</v>
      </c>
      <c r="AQ3" s="82">
        <f>'T&amp;D'!AP3</f>
        <v>46343</v>
      </c>
      <c r="AR3" s="82">
        <f>'T&amp;D'!AQ3</f>
        <v>46344</v>
      </c>
      <c r="AS3" s="82">
        <f>'T&amp;D'!AR3</f>
        <v>46345</v>
      </c>
      <c r="AT3" s="82">
        <f>'T&amp;D'!AS3</f>
        <v>46346</v>
      </c>
      <c r="AU3" s="82">
        <f>'T&amp;D'!AT3</f>
        <v>46347</v>
      </c>
      <c r="AV3" s="82">
        <f>'T&amp;D'!AU3</f>
        <v>46349</v>
      </c>
      <c r="AW3" s="82">
        <f>'T&amp;D'!AV3</f>
        <v>46350</v>
      </c>
      <c r="AX3" s="82">
        <f>'T&amp;D'!AW3</f>
        <v>46351</v>
      </c>
      <c r="AY3" s="82">
        <f>'T&amp;D'!AX3</f>
        <v>46352</v>
      </c>
      <c r="AZ3" s="82">
        <f>'T&amp;D'!AY3</f>
        <v>46353</v>
      </c>
      <c r="BA3" s="82">
        <f>'T&amp;D'!AZ3</f>
        <v>46354</v>
      </c>
      <c r="BB3" s="82">
        <f>'T&amp;D'!BA3</f>
        <v>46356</v>
      </c>
      <c r="BC3" s="82">
        <f>'T&amp;D'!BB3</f>
        <v>46357</v>
      </c>
      <c r="BD3" s="82">
        <f>'T&amp;D'!BC3</f>
        <v>46358</v>
      </c>
      <c r="BE3" s="82">
        <f>'T&amp;D'!BD3</f>
        <v>46359</v>
      </c>
      <c r="BF3" s="82">
        <f>'T&amp;D'!BE3</f>
        <v>46360</v>
      </c>
      <c r="BG3" s="82">
        <f>'T&amp;D'!BF3</f>
        <v>46361</v>
      </c>
      <c r="BH3" s="82">
        <f>'T&amp;D'!BG3</f>
        <v>46363</v>
      </c>
      <c r="BI3" s="82">
        <f>'T&amp;D'!BH3</f>
        <v>46364</v>
      </c>
      <c r="BJ3" s="82">
        <f>'T&amp;D'!BI3</f>
        <v>46365</v>
      </c>
      <c r="BK3" s="82">
        <f>'T&amp;D'!BJ3</f>
        <v>46366</v>
      </c>
      <c r="BL3" s="82">
        <f>'T&amp;D'!BK3</f>
        <v>46367</v>
      </c>
      <c r="BM3" s="82">
        <f>'T&amp;D'!BL3</f>
        <v>46368</v>
      </c>
      <c r="BN3" s="82">
        <f>'T&amp;D'!BM3</f>
        <v>46370</v>
      </c>
      <c r="BO3" s="82">
        <f>'T&amp;D'!BN3</f>
        <v>46371</v>
      </c>
      <c r="BP3" s="82">
        <f>'T&amp;D'!BO3</f>
        <v>46372</v>
      </c>
      <c r="BQ3" s="82">
        <f>'T&amp;D'!BP3</f>
        <v>46373</v>
      </c>
      <c r="BR3" s="82">
        <f>'T&amp;D'!BQ3</f>
        <v>46374</v>
      </c>
      <c r="BS3" s="82">
        <f>'T&amp;D'!BR3</f>
        <v>46375</v>
      </c>
      <c r="BT3" s="82">
        <f>'T&amp;D'!BS3</f>
        <v>46377</v>
      </c>
      <c r="BU3" s="82">
        <f>'T&amp;D'!BT3</f>
        <v>46378</v>
      </c>
      <c r="BV3" s="82">
        <f>'T&amp;D'!BU3</f>
        <v>46379</v>
      </c>
      <c r="BW3" s="82">
        <f>'T&amp;D'!BV3</f>
        <v>46380</v>
      </c>
      <c r="BX3" s="82">
        <f>'T&amp;D'!BW3</f>
        <v>46381</v>
      </c>
      <c r="BY3" s="82">
        <f>'T&amp;D'!BX3</f>
        <v>46382</v>
      </c>
      <c r="BZ3" s="82">
        <f>'T&amp;D'!BY3</f>
        <v>46384</v>
      </c>
      <c r="CA3" s="82">
        <f>'T&amp;D'!BZ3</f>
        <v>46385</v>
      </c>
      <c r="CB3" s="82">
        <f>'T&amp;D'!CA3</f>
        <v>46386</v>
      </c>
      <c r="CC3" s="82">
        <f>'T&amp;D'!CB3</f>
        <v>46387</v>
      </c>
      <c r="CD3" s="82">
        <f>'T&amp;D'!CC3</f>
        <v>46388</v>
      </c>
      <c r="CE3" s="82">
        <f>'T&amp;D'!CD3</f>
        <v>46389</v>
      </c>
    </row>
    <row r="4" spans="1:83" s="84" customFormat="1" x14ac:dyDescent="0.2">
      <c r="A4" s="83"/>
      <c r="D4" s="173"/>
      <c r="E4" s="174" t="s">
        <v>228</v>
      </c>
      <c r="F4" s="157">
        <v>795</v>
      </c>
      <c r="I4" s="85">
        <f>45.5/5</f>
        <v>9.1</v>
      </c>
      <c r="L4" s="85">
        <f>SUM(L8:L4663)</f>
        <v>14.781505901505902</v>
      </c>
      <c r="M4" s="85"/>
      <c r="N4" s="178">
        <f>'T&amp;D'!M4</f>
        <v>46314</v>
      </c>
      <c r="O4" s="177"/>
      <c r="P4" s="81"/>
      <c r="Q4" s="81"/>
      <c r="R4" s="104">
        <f>'T&amp;D'!Q4</f>
        <v>45817</v>
      </c>
      <c r="S4" s="104">
        <f>'T&amp;D'!R4</f>
        <v>45818</v>
      </c>
      <c r="T4" s="104">
        <f>'T&amp;D'!S4</f>
        <v>45819</v>
      </c>
      <c r="U4" s="104">
        <f>'T&amp;D'!T4</f>
        <v>45820</v>
      </c>
      <c r="V4" s="104">
        <f>'T&amp;D'!U4</f>
        <v>45821</v>
      </c>
      <c r="W4" s="104">
        <f>'T&amp;D'!V4</f>
        <v>45822</v>
      </c>
      <c r="X4" s="104">
        <f>'T&amp;D'!W4</f>
        <v>45824</v>
      </c>
      <c r="Y4" s="104">
        <f>'T&amp;D'!X4</f>
        <v>45825</v>
      </c>
      <c r="Z4" s="104">
        <f>'T&amp;D'!Y4</f>
        <v>45826</v>
      </c>
      <c r="AA4" s="104">
        <f>'T&amp;D'!Z4</f>
        <v>45827</v>
      </c>
      <c r="AB4" s="104">
        <f>'T&amp;D'!AA4</f>
        <v>45828</v>
      </c>
      <c r="AC4" s="104">
        <f>'T&amp;D'!AB4</f>
        <v>45829</v>
      </c>
      <c r="AD4" s="104">
        <f>'T&amp;D'!AC4</f>
        <v>45831</v>
      </c>
      <c r="AE4" s="104">
        <f>'T&amp;D'!AD4</f>
        <v>45832</v>
      </c>
      <c r="AF4" s="104">
        <f>'T&amp;D'!AE4</f>
        <v>45833</v>
      </c>
      <c r="AG4" s="104">
        <f>'T&amp;D'!AF4</f>
        <v>45834</v>
      </c>
      <c r="AH4" s="104">
        <f>'T&amp;D'!AG4</f>
        <v>45835</v>
      </c>
      <c r="AI4" s="104">
        <f>'T&amp;D'!AH4</f>
        <v>45836</v>
      </c>
      <c r="AJ4" s="104">
        <f>'T&amp;D'!AI4</f>
        <v>45838</v>
      </c>
      <c r="AK4" s="104">
        <f>'T&amp;D'!AJ4</f>
        <v>45839</v>
      </c>
      <c r="AL4" s="104">
        <f>'T&amp;D'!AK4</f>
        <v>45840</v>
      </c>
      <c r="AM4" s="104">
        <f>'T&amp;D'!AL4</f>
        <v>45841</v>
      </c>
      <c r="AN4" s="104">
        <f>'T&amp;D'!AM4</f>
        <v>45842</v>
      </c>
      <c r="AO4" s="104">
        <f>'T&amp;D'!AN4</f>
        <v>45843</v>
      </c>
      <c r="AP4" s="104">
        <f>'T&amp;D'!AO4</f>
        <v>45845</v>
      </c>
      <c r="AQ4" s="104">
        <f>'T&amp;D'!AP4</f>
        <v>45846</v>
      </c>
      <c r="AR4" s="104">
        <f>'T&amp;D'!AQ4</f>
        <v>45847</v>
      </c>
      <c r="AS4" s="104">
        <f>'T&amp;D'!AR4</f>
        <v>45848</v>
      </c>
      <c r="AT4" s="104">
        <f>'T&amp;D'!AS4</f>
        <v>45849</v>
      </c>
      <c r="AU4" s="104">
        <f>'T&amp;D'!AT4</f>
        <v>45850</v>
      </c>
      <c r="AV4" s="104">
        <f>'T&amp;D'!AU4</f>
        <v>45852</v>
      </c>
      <c r="AW4" s="104">
        <f>'T&amp;D'!AV4</f>
        <v>45853</v>
      </c>
      <c r="AX4" s="104">
        <f>'T&amp;D'!AW4</f>
        <v>45854</v>
      </c>
      <c r="AY4" s="104">
        <f>'T&amp;D'!AX4</f>
        <v>45855</v>
      </c>
      <c r="AZ4" s="104">
        <f>'T&amp;D'!AY4</f>
        <v>45856</v>
      </c>
      <c r="BA4" s="104">
        <f>'T&amp;D'!AZ4</f>
        <v>45857</v>
      </c>
      <c r="BB4" s="104">
        <f>'T&amp;D'!BA4</f>
        <v>45859</v>
      </c>
      <c r="BC4" s="104">
        <f>'T&amp;D'!BB4</f>
        <v>45860</v>
      </c>
      <c r="BD4" s="104">
        <f>'T&amp;D'!BC4</f>
        <v>45861</v>
      </c>
      <c r="BE4" s="104">
        <f>'T&amp;D'!BD4</f>
        <v>45862</v>
      </c>
      <c r="BF4" s="104">
        <f>'T&amp;D'!BE4</f>
        <v>45863</v>
      </c>
      <c r="BG4" s="104">
        <f>'T&amp;D'!BF4</f>
        <v>45864</v>
      </c>
      <c r="BH4" s="104">
        <f>'T&amp;D'!BG4</f>
        <v>45866</v>
      </c>
      <c r="BI4" s="104">
        <f>'T&amp;D'!BH4</f>
        <v>45867</v>
      </c>
      <c r="BJ4" s="104">
        <f>'T&amp;D'!BI4</f>
        <v>45868</v>
      </c>
      <c r="BK4" s="104">
        <f>'T&amp;D'!BJ4</f>
        <v>45869</v>
      </c>
      <c r="BL4" s="104">
        <f>'T&amp;D'!BK4</f>
        <v>45870</v>
      </c>
      <c r="BM4" s="104">
        <f>'T&amp;D'!BL4</f>
        <v>45871</v>
      </c>
      <c r="BN4" s="104">
        <f>'T&amp;D'!BM4</f>
        <v>45873</v>
      </c>
      <c r="BO4" s="104">
        <f>'T&amp;D'!BN4</f>
        <v>45874</v>
      </c>
      <c r="BP4" s="104">
        <f>'T&amp;D'!BO4</f>
        <v>45875</v>
      </c>
      <c r="BQ4" s="104">
        <f>'T&amp;D'!BP4</f>
        <v>45876</v>
      </c>
      <c r="BR4" s="104">
        <f>'T&amp;D'!BQ4</f>
        <v>45877</v>
      </c>
      <c r="BS4" s="104">
        <f>'T&amp;D'!BR4</f>
        <v>45878</v>
      </c>
      <c r="BT4" s="104">
        <f>'T&amp;D'!BS4</f>
        <v>45880</v>
      </c>
      <c r="BU4" s="104">
        <f>'T&amp;D'!BT4</f>
        <v>45881</v>
      </c>
      <c r="BV4" s="104">
        <f>'T&amp;D'!BU4</f>
        <v>45882</v>
      </c>
      <c r="BW4" s="104">
        <f>'T&amp;D'!BV4</f>
        <v>45883</v>
      </c>
      <c r="BX4" s="104">
        <f>'T&amp;D'!BW4</f>
        <v>45884</v>
      </c>
      <c r="BY4" s="104">
        <f>'T&amp;D'!BX4</f>
        <v>45885</v>
      </c>
      <c r="BZ4" s="104">
        <f>'T&amp;D'!BY4</f>
        <v>45887</v>
      </c>
      <c r="CA4" s="104">
        <f>'T&amp;D'!BZ4</f>
        <v>45888</v>
      </c>
      <c r="CB4" s="104">
        <f>'T&amp;D'!CA4</f>
        <v>45889</v>
      </c>
      <c r="CC4" s="104">
        <f>'T&amp;D'!CB4</f>
        <v>45890</v>
      </c>
      <c r="CD4" s="104">
        <f>'T&amp;D'!CC4</f>
        <v>45891</v>
      </c>
      <c r="CE4" s="104">
        <f>'T&amp;D'!CD4</f>
        <v>45892</v>
      </c>
    </row>
    <row r="5" spans="1:83" s="84" customFormat="1" ht="11.25" customHeight="1" x14ac:dyDescent="0.2">
      <c r="A5" s="386" t="s">
        <v>385</v>
      </c>
      <c r="B5" s="386" t="s">
        <v>214</v>
      </c>
      <c r="C5" s="387" t="s">
        <v>91</v>
      </c>
      <c r="D5" s="388" t="s">
        <v>0</v>
      </c>
      <c r="E5" s="389" t="s">
        <v>103</v>
      </c>
      <c r="F5" s="388" t="s">
        <v>89</v>
      </c>
      <c r="G5" s="392" t="s">
        <v>93</v>
      </c>
      <c r="H5" s="388" t="s">
        <v>94</v>
      </c>
      <c r="I5" s="390" t="s">
        <v>95</v>
      </c>
      <c r="J5" s="393" t="s">
        <v>519</v>
      </c>
      <c r="K5" s="393" t="s">
        <v>520</v>
      </c>
      <c r="L5" s="390" t="s">
        <v>241</v>
      </c>
      <c r="M5" s="390" t="s">
        <v>240</v>
      </c>
      <c r="N5" s="389" t="s">
        <v>98</v>
      </c>
      <c r="O5" s="389" t="s">
        <v>99</v>
      </c>
      <c r="P5" s="391" t="s">
        <v>102</v>
      </c>
      <c r="Q5" s="125" t="s">
        <v>106</v>
      </c>
      <c r="R5" s="126" cm="1">
        <f t="array" ref="R5">_xlfn.IFS(R2="w/ OT",12.25,R2="w/o OT",9.5,R2="FRI",7.5,R2="SAT",7.5,R2="SUN",7.5,R2="OFF",0)</f>
        <v>9.5</v>
      </c>
      <c r="S5" s="126" cm="1">
        <f t="array" ref="S5">_xlfn.IFS(S2="w/ OT",12.25,S2="w/o OT",9.5,S2="FRI",7.5,S2="SAT",7.5,S2="SUN",7.5,S2="OFF",0)</f>
        <v>9.5</v>
      </c>
      <c r="T5" s="126" cm="1">
        <f t="array" ref="T5">_xlfn.IFS(T2="w/ OT",12.25,T2="w/o OT",9.5,T2="FRI",7.5,T2="SAT",7.5,T2="SUN",7.5,T2="OFF",0)</f>
        <v>9.5</v>
      </c>
      <c r="U5" s="126" cm="1">
        <f t="array" ref="U5">_xlfn.IFS(U2="w/ OT",12.25,U2="w/o OT",9.5,U2="FRI",7.5,U2="SAT",7.5,U2="SUN",7.5,U2="OFF",0)</f>
        <v>9.5</v>
      </c>
      <c r="V5" s="126" cm="1">
        <f t="array" ref="V5">_xlfn.IFS(V2="w/ OT",12.25,V2="w/o OT",9.5,V2="FRI",7.5,V2="SAT",7.5,V2="SUN",7.5,V2="OFF",0)</f>
        <v>7.5</v>
      </c>
      <c r="W5" s="126" cm="1">
        <f t="array" ref="W5">_xlfn.IFS(W2="w/ OT",12.25,W2="w/o OT",9.5,W2="FRI",7.5,W2="SAT",7.5,W2="SUN",7.5,W2="OFF",0)</f>
        <v>7.5</v>
      </c>
      <c r="X5" s="126" cm="1">
        <f t="array" ref="X5">_xlfn.IFS(X2="w/ OT",12.25,X2="w/o OT",9.5,X2="FRI",7.5,X2="SAT",7.5,X2="SUN",7.5,X2="OFF",0)</f>
        <v>9.5</v>
      </c>
      <c r="Y5" s="126" cm="1">
        <f t="array" ref="Y5">_xlfn.IFS(Y2="w/ OT",12.25,Y2="w/o OT",9.5,Y2="FRI",7.5,Y2="SAT",7.5,Y2="SUN",7.5,Y2="OFF",0)</f>
        <v>9.5</v>
      </c>
      <c r="Z5" s="126" cm="1">
        <f t="array" ref="Z5">_xlfn.IFS(Z2="w/ OT",12.25,Z2="w/o OT",9.5,Z2="FRI",7.5,Z2="SAT",7.5,Z2="SUN",7.5,Z2="OFF",0)</f>
        <v>9.5</v>
      </c>
      <c r="AA5" s="126" cm="1">
        <f t="array" ref="AA5">_xlfn.IFS(AA2="w/ OT",12.25,AA2="w/o OT",9.5,AA2="FRI",7.5,AA2="SAT",7.5,AA2="SUN",7.5,AA2="OFF",0)</f>
        <v>9.5</v>
      </c>
      <c r="AB5" s="126" cm="1">
        <f t="array" ref="AB5">_xlfn.IFS(AB2="w/ OT",12.25,AB2="w/o OT",9.5,AB2="FRI",7.5,AB2="SAT",7.5,AB2="SUN",7.5,AB2="OFF",0)</f>
        <v>7.5</v>
      </c>
      <c r="AC5" s="126" cm="1">
        <f t="array" ref="AC5">_xlfn.IFS(AC2="w/ OT",12.25,AC2="w/o OT",9.5,AC2="FRI",7.5,AC2="SAT",7.5,AC2="SUN",7.5,AC2="OFF",0)</f>
        <v>7.5</v>
      </c>
      <c r="AD5" s="126" cm="1">
        <f t="array" ref="AD5">_xlfn.IFS(AD2="w/ OT",12.25,AD2="w/o OT",9.5,AD2="FRI",7.5,AD2="SAT",7.5,AD2="SUN",7.5,AD2="OFF",0)</f>
        <v>9.5</v>
      </c>
      <c r="AE5" s="126" cm="1">
        <f t="array" ref="AE5">_xlfn.IFS(AE2="w/ OT",12.25,AE2="w/o OT",9.5,AE2="FRI",7.5,AE2="SAT",7.5,AE2="SUN",7.5,AE2="OFF",0)</f>
        <v>9.5</v>
      </c>
      <c r="AF5" s="126" cm="1">
        <f t="array" ref="AF5">_xlfn.IFS(AF2="w/ OT",12.25,AF2="w/o OT",9.5,AF2="FRI",7.5,AF2="SAT",7.5,AF2="SUN",7.5,AF2="OFF",0)</f>
        <v>9.5</v>
      </c>
      <c r="AG5" s="126" cm="1">
        <f t="array" ref="AG5">_xlfn.IFS(AG2="w/ OT",12.25,AG2="w/o OT",9.5,AG2="FRI",7.5,AG2="SAT",7.5,AG2="SUN",7.5,AG2="OFF",0)</f>
        <v>9.5</v>
      </c>
      <c r="AH5" s="126" cm="1">
        <f t="array" ref="AH5">_xlfn.IFS(AH2="w/ OT",12.25,AH2="w/o OT",9.5,AH2="FRI",7.5,AH2="SAT",7.5,AH2="SUN",7.5,AH2="OFF",0)</f>
        <v>7.5</v>
      </c>
      <c r="AI5" s="126" cm="1">
        <f t="array" ref="AI5">_xlfn.IFS(AI2="w/ OT",12.25,AI2="w/o OT",9.5,AI2="FRI",7.5,AI2="SAT",7.5,AI2="SUN",7.5,AI2="OFF",0)</f>
        <v>7.5</v>
      </c>
      <c r="AJ5" s="126" cm="1">
        <f t="array" ref="AJ5">_xlfn.IFS(AJ2="w/ OT",12.25,AJ2="w/o OT",9.5,AJ2="FRI",7.5,AJ2="SAT",7.5,AJ2="SUN",7.5,AJ2="OFF",0)</f>
        <v>9.5</v>
      </c>
      <c r="AK5" s="126" cm="1">
        <f t="array" ref="AK5">_xlfn.IFS(AK2="w/ OT",12.25,AK2="w/o OT",9.5,AK2="FRI",7.5,AK2="SAT",7.5,AK2="SUN",7.5,AK2="OFF",0)</f>
        <v>9.5</v>
      </c>
      <c r="AL5" s="126" cm="1">
        <f t="array" ref="AL5">_xlfn.IFS(AL2="w/ OT",12.25,AL2="w/o OT",9.5,AL2="FRI",7.5,AL2="SAT",7.5,AL2="SUN",7.5,AL2="OFF",0)</f>
        <v>9.5</v>
      </c>
      <c r="AM5" s="126" cm="1">
        <f t="array" ref="AM5">_xlfn.IFS(AM2="w/ OT",12.25,AM2="w/o OT",9.5,AM2="FRI",7.5,AM2="SAT",7.5,AM2="SUN",7.5,AM2="OFF",0)</f>
        <v>9.5</v>
      </c>
      <c r="AN5" s="126" cm="1">
        <f t="array" ref="AN5">_xlfn.IFS(AN2="w/ OT",12.25,AN2="w/o OT",9.5,AN2="FRI",7.5,AN2="SAT",7.5,AN2="SUN",7.5,AN2="OFF",0)</f>
        <v>7.5</v>
      </c>
      <c r="AO5" s="126" cm="1">
        <f t="array" ref="AO5">_xlfn.IFS(AO2="w/ OT",12.25,AO2="w/o OT",9.5,AO2="FRI",7.5,AO2="SAT",7.5,AO2="SUN",7.5,AO2="OFF",0)</f>
        <v>7.5</v>
      </c>
      <c r="AP5" s="126" cm="1">
        <f t="array" ref="AP5">_xlfn.IFS(AP2="w/ OT",12.25,AP2="w/o OT",9.5,AP2="FRI",7.5,AP2="SAT",7.5,AP2="SUN",7.5,AP2="OFF",0)</f>
        <v>9.5</v>
      </c>
      <c r="AQ5" s="126" cm="1">
        <f t="array" ref="AQ5">_xlfn.IFS(AQ2="w/ OT",12.25,AQ2="w/o OT",9.5,AQ2="FRI",7.5,AQ2="SAT",7.5,AQ2="SUN",7.5,AQ2="OFF",0)</f>
        <v>9.5</v>
      </c>
      <c r="AR5" s="126" cm="1">
        <f t="array" ref="AR5">_xlfn.IFS(AR2="w/ OT",12.25,AR2="w/o OT",9.5,AR2="FRI",7.5,AR2="SAT",7.5,AR2="SUN",7.5,AR2="OFF",0)</f>
        <v>9.5</v>
      </c>
      <c r="AS5" s="126" cm="1">
        <f t="array" ref="AS5">_xlfn.IFS(AS2="w/ OT",12.25,AS2="w/o OT",9.5,AS2="FRI",7.5,AS2="SAT",7.5,AS2="SUN",7.5,AS2="OFF",0)</f>
        <v>9.5</v>
      </c>
      <c r="AT5" s="126" cm="1">
        <f t="array" ref="AT5">_xlfn.IFS(AT2="w/ OT",12.25,AT2="w/o OT",9.5,AT2="FRI",7.5,AT2="SAT",7.5,AT2="SUN",7.5,AT2="OFF",0)</f>
        <v>7.5</v>
      </c>
      <c r="AU5" s="126" cm="1">
        <f t="array" ref="AU5">_xlfn.IFS(AU2="w/ OT",12.25,AU2="w/o OT",9.5,AU2="FRI",7.5,AU2="SAT",7.5,AU2="SUN",7.5,AU2="OFF",0)</f>
        <v>7.5</v>
      </c>
      <c r="AV5" s="126" cm="1">
        <f t="array" ref="AV5">_xlfn.IFS(AV2="w/ OT",12.25,AV2="w/o OT",9.5,AV2="FRI",7.5,AV2="SAT",7.5,AV2="SUN",7.5,AV2="OFF",0)</f>
        <v>9.5</v>
      </c>
      <c r="AW5" s="126" cm="1">
        <f t="array" ref="AW5">_xlfn.IFS(AW2="w/ OT",12.25,AW2="w/o OT",9.5,AW2="FRI",7.5,AW2="SAT",7.5,AW2="SUN",7.5,AW2="OFF",0)</f>
        <v>9.5</v>
      </c>
      <c r="AX5" s="126" cm="1">
        <f t="array" ref="AX5">_xlfn.IFS(AX2="w/ OT",12.25,AX2="w/o OT",9.5,AX2="FRI",7.5,AX2="SAT",7.5,AX2="SUN",7.5,AX2="OFF",0)</f>
        <v>9.5</v>
      </c>
      <c r="AY5" s="126" cm="1">
        <f t="array" ref="AY5">_xlfn.IFS(AY2="w/ OT",12.25,AY2="w/o OT",9.5,AY2="FRI",7.5,AY2="SAT",7.5,AY2="SUN",7.5,AY2="OFF",0)</f>
        <v>9.5</v>
      </c>
      <c r="AZ5" s="126" cm="1">
        <f t="array" ref="AZ5">_xlfn.IFS(AZ2="w/ OT",12.25,AZ2="w/o OT",9.5,AZ2="FRI",7.5,AZ2="SAT",7.5,AZ2="SUN",7.5,AZ2="OFF",0)</f>
        <v>7.5</v>
      </c>
      <c r="BA5" s="126" cm="1">
        <f t="array" ref="BA5">_xlfn.IFS(BA2="w/ OT",12.25,BA2="w/o OT",9.5,BA2="FRI",7.5,BA2="SAT",7.5,BA2="SUN",7.5,BA2="OFF",0)</f>
        <v>7.5</v>
      </c>
      <c r="BB5" s="126" cm="1">
        <f t="array" ref="BB5">_xlfn.IFS(BB2="w/ OT",12.25,BB2="w/o OT",9.5,BB2="FRI",7.5,BB2="SAT",7.5,BB2="SUN",7.5,BB2="OFF",0)</f>
        <v>9.5</v>
      </c>
      <c r="BC5" s="126" cm="1">
        <f t="array" ref="BC5">_xlfn.IFS(BC2="w/ OT",12.25,BC2="w/o OT",9.5,BC2="FRI",7.5,BC2="SAT",7.5,BC2="SUN",7.5,BC2="OFF",0)</f>
        <v>9.5</v>
      </c>
      <c r="BD5" s="126" cm="1">
        <f t="array" ref="BD5">_xlfn.IFS(BD2="w/ OT",12.25,BD2="w/o OT",9.5,BD2="FRI",7.5,BD2="SAT",7.5,BD2="SUN",7.5,BD2="OFF",0)</f>
        <v>9.5</v>
      </c>
      <c r="BE5" s="126" cm="1">
        <f t="array" ref="BE5">_xlfn.IFS(BE2="w/ OT",12.25,BE2="w/o OT",9.5,BE2="FRI",7.5,BE2="SAT",7.5,BE2="SUN",7.5,BE2="OFF",0)</f>
        <v>9.5</v>
      </c>
      <c r="BF5" s="126" cm="1">
        <f t="array" ref="BF5">_xlfn.IFS(BF2="w/ OT",12.25,BF2="w/o OT",9.5,BF2="FRI",7.5,BF2="SAT",7.5,BF2="SUN",7.5,BF2="OFF",0)</f>
        <v>7.5</v>
      </c>
      <c r="BG5" s="126" cm="1">
        <f t="array" ref="BG5">_xlfn.IFS(BG2="w/ OT",12.25,BG2="w/o OT",9.5,BG2="FRI",7.5,BG2="SAT",7.5,BG2="SUN",7.5,BG2="OFF",0)</f>
        <v>7.5</v>
      </c>
      <c r="BH5" s="126" cm="1">
        <f t="array" ref="BH5">_xlfn.IFS(BH2="w/ OT",12.25,BH2="w/o OT",9.5,BH2="FRI",7.5,BH2="SAT",7.5,BH2="SUN",7.5,BH2="OFF",0)</f>
        <v>9.5</v>
      </c>
      <c r="BI5" s="126" cm="1">
        <f t="array" ref="BI5">_xlfn.IFS(BI2="w/ OT",12.25,BI2="w/o OT",9.5,BI2="FRI",7.5,BI2="SAT",7.5,BI2="SUN",7.5,BI2="OFF",0)</f>
        <v>9.5</v>
      </c>
      <c r="BJ5" s="126" cm="1">
        <f t="array" ref="BJ5">_xlfn.IFS(BJ2="w/ OT",12.25,BJ2="w/o OT",9.5,BJ2="FRI",7.5,BJ2="SAT",7.5,BJ2="SUN",7.5,BJ2="OFF",0)</f>
        <v>9.5</v>
      </c>
      <c r="BK5" s="126" cm="1">
        <f t="array" ref="BK5">_xlfn.IFS(BK2="w/ OT",12.25,BK2="w/o OT",9.5,BK2="FRI",7.5,BK2="SAT",7.5,BK2="SUN",7.5,BK2="OFF",0)</f>
        <v>9.5</v>
      </c>
      <c r="BL5" s="126" cm="1">
        <f t="array" ref="BL5">_xlfn.IFS(BL2="w/ OT",12.25,BL2="w/o OT",9.5,BL2="FRI",7.5,BL2="SAT",7.5,BL2="SUN",7.5,BL2="OFF",0)</f>
        <v>7.5</v>
      </c>
      <c r="BM5" s="126" cm="1">
        <f t="array" ref="BM5">_xlfn.IFS(BM2="w/ OT",12.25,BM2="w/o OT",9.5,BM2="FRI",7.5,BM2="SAT",7.5,BM2="SUN",7.5,BM2="OFF",0)</f>
        <v>7.5</v>
      </c>
      <c r="BN5" s="126" cm="1">
        <f t="array" ref="BN5">_xlfn.IFS(BN2="w/ OT",12.25,BN2="w/o OT",9.5,BN2="FRI",7.5,BN2="SAT",7.5,BN2="SUN",7.5,BN2="OFF",0)</f>
        <v>9.5</v>
      </c>
      <c r="BO5" s="126" cm="1">
        <f t="array" ref="BO5">_xlfn.IFS(BO2="w/ OT",12.25,BO2="w/o OT",9.5,BO2="FRI",7.5,BO2="SAT",7.5,BO2="SUN",7.5,BO2="OFF",0)</f>
        <v>9.5</v>
      </c>
      <c r="BP5" s="126" cm="1">
        <f t="array" ref="BP5">_xlfn.IFS(BP2="w/ OT",12.25,BP2="w/o OT",9.5,BP2="FRI",7.5,BP2="SAT",7.5,BP2="SUN",7.5,BP2="OFF",0)</f>
        <v>9.5</v>
      </c>
      <c r="BQ5" s="126" cm="1">
        <f t="array" ref="BQ5">_xlfn.IFS(BQ2="w/ OT",12.25,BQ2="w/o OT",9.5,BQ2="FRI",7.5,BQ2="SAT",7.5,BQ2="SUN",7.5,BQ2="OFF",0)</f>
        <v>9.5</v>
      </c>
      <c r="BR5" s="126" cm="1">
        <f t="array" ref="BR5">_xlfn.IFS(BR2="w/ OT",12.25,BR2="w/o OT",9.5,BR2="FRI",7.5,BR2="SAT",7.5,BR2="SUN",7.5,BR2="OFF",0)</f>
        <v>7.5</v>
      </c>
      <c r="BS5" s="126" cm="1">
        <f t="array" ref="BS5">_xlfn.IFS(BS2="w/ OT",12.25,BS2="w/o OT",9.5,BS2="FRI",7.5,BS2="SAT",7.5,BS2="SUN",7.5,BS2="OFF",0)</f>
        <v>7.5</v>
      </c>
      <c r="BT5" s="126" cm="1">
        <f t="array" ref="BT5">_xlfn.IFS(BT2="w/ OT",12.25,BT2="w/o OT",9.5,BT2="FRI",7.5,BT2="SAT",7.5,BT2="SUN",7.5,BT2="OFF",0)</f>
        <v>9.5</v>
      </c>
      <c r="BU5" s="126" cm="1">
        <f t="array" ref="BU5">_xlfn.IFS(BU2="w/ OT",12.25,BU2="w/o OT",9.5,BU2="FRI",7.5,BU2="SAT",7.5,BU2="SUN",7.5,BU2="OFF",0)</f>
        <v>9.5</v>
      </c>
      <c r="BV5" s="126" cm="1">
        <f t="array" ref="BV5">_xlfn.IFS(BV2="w/ OT",12.25,BV2="w/o OT",9.5,BV2="FRI",7.5,BV2="SAT",7.5,BV2="SUN",7.5,BV2="OFF",0)</f>
        <v>9.5</v>
      </c>
      <c r="BW5" s="126" cm="1">
        <f t="array" ref="BW5">_xlfn.IFS(BW2="w/ OT",12.25,BW2="w/o OT",9.5,BW2="FRI",7.5,BW2="SAT",7.5,BW2="SUN",7.5,BW2="OFF",0)</f>
        <v>9.5</v>
      </c>
      <c r="BX5" s="126" cm="1">
        <f t="array" ref="BX5">_xlfn.IFS(BX2="w/ OT",12.25,BX2="w/o OT",9.5,BX2="FRI",7.5,BX2="SAT",7.5,BX2="SUN",7.5,BX2="OFF",0)</f>
        <v>7.5</v>
      </c>
      <c r="BY5" s="126" cm="1">
        <f t="array" ref="BY5">_xlfn.IFS(BY2="w/ OT",12.25,BY2="w/o OT",9.5,BY2="FRI",7.5,BY2="SAT",7.5,BY2="SUN",7.5,BY2="OFF",0)</f>
        <v>7.5</v>
      </c>
      <c r="BZ5" s="126" cm="1">
        <f t="array" ref="BZ5">_xlfn.IFS(BZ2="w/ OT",12.25,BZ2="w/o OT",9.5,BZ2="FRI",7.5,BZ2="SAT",7.5,BZ2="SUN",7.5,BZ2="OFF",0)</f>
        <v>9.5</v>
      </c>
      <c r="CA5" s="126" cm="1">
        <f t="array" ref="CA5">_xlfn.IFS(CA2="w/ OT",12.25,CA2="w/o OT",9.5,CA2="FRI",7.5,CA2="SAT",7.5,CA2="SUN",7.5,CA2="OFF",0)</f>
        <v>9.5</v>
      </c>
      <c r="CB5" s="126" cm="1">
        <f t="array" ref="CB5">_xlfn.IFS(CB2="w/ OT",12.25,CB2="w/o OT",9.5,CB2="FRI",7.5,CB2="SAT",7.5,CB2="SUN",7.5,CB2="OFF",0)</f>
        <v>9.5</v>
      </c>
      <c r="CC5" s="126" cm="1">
        <f t="array" ref="CC5">_xlfn.IFS(CC2="w/ OT",12.25,CC2="w/o OT",9.5,CC2="FRI",7.5,CC2="SAT",7.5,CC2="SUN",7.5,CC2="OFF",0)</f>
        <v>9.5</v>
      </c>
      <c r="CD5" s="126" cm="1">
        <f t="array" ref="CD5">_xlfn.IFS(CD2="w/ OT",12.25,CD2="w/o OT",9.5,CD2="FRI",7.5,CD2="SAT",7.5,CD2="SUN",7.5,CD2="OFF",0)</f>
        <v>7.5</v>
      </c>
      <c r="CE5" s="126" cm="1">
        <f t="array" ref="CE5">_xlfn.IFS(CE2="w/ OT",12.25,CE2="w/o OT",9.5,CE2="FRI",7.5,CE2="SAT",7.5,CE2="SUN",7.5,CE2="OFF",0)</f>
        <v>7.5</v>
      </c>
    </row>
    <row r="6" spans="1:83" ht="33.75" customHeight="1" x14ac:dyDescent="0.2">
      <c r="A6" s="386"/>
      <c r="B6" s="386"/>
      <c r="C6" s="387"/>
      <c r="D6" s="388"/>
      <c r="E6" s="389"/>
      <c r="F6" s="388"/>
      <c r="G6" s="392"/>
      <c r="H6" s="388"/>
      <c r="I6" s="390"/>
      <c r="J6" s="393"/>
      <c r="K6" s="393"/>
      <c r="L6" s="390"/>
      <c r="M6" s="390"/>
      <c r="N6" s="389"/>
      <c r="O6" s="389"/>
      <c r="P6" s="391"/>
      <c r="Q6" s="123" t="s">
        <v>107</v>
      </c>
      <c r="R6" s="124"/>
      <c r="S6" s="124"/>
      <c r="T6" s="124"/>
      <c r="U6" s="124"/>
      <c r="V6" s="124"/>
      <c r="W6" s="124"/>
      <c r="X6" s="124"/>
      <c r="Y6" s="124"/>
      <c r="Z6" s="124"/>
      <c r="AA6" s="124"/>
      <c r="AB6" s="124"/>
      <c r="AC6" s="124"/>
      <c r="AD6" s="124"/>
      <c r="AE6" s="124"/>
      <c r="AF6" s="124"/>
      <c r="AG6" s="124"/>
      <c r="AH6" s="124"/>
      <c r="AI6" s="124"/>
      <c r="AJ6" s="124"/>
      <c r="AK6" s="124"/>
      <c r="AL6" s="124"/>
      <c r="AM6" s="124"/>
      <c r="AN6" s="124"/>
      <c r="AO6" s="124"/>
      <c r="AP6" s="124"/>
      <c r="AQ6" s="124"/>
      <c r="AR6" s="124"/>
      <c r="AS6" s="124"/>
      <c r="AT6" s="124"/>
      <c r="AU6" s="124"/>
      <c r="AV6" s="124"/>
      <c r="AW6" s="124"/>
      <c r="AX6" s="124"/>
      <c r="AY6" s="124"/>
      <c r="AZ6" s="124"/>
      <c r="BA6" s="124"/>
      <c r="BB6" s="124"/>
      <c r="BC6" s="124"/>
      <c r="BD6" s="124"/>
      <c r="BE6" s="124"/>
      <c r="BF6" s="124"/>
      <c r="BG6" s="124"/>
      <c r="BH6" s="124"/>
      <c r="BI6" s="124"/>
      <c r="BJ6" s="124"/>
      <c r="BK6" s="124"/>
      <c r="BL6" s="124"/>
      <c r="BM6" s="124"/>
      <c r="BN6" s="124"/>
      <c r="BO6" s="124"/>
      <c r="BP6" s="124"/>
      <c r="BQ6" s="124"/>
      <c r="BR6" s="124"/>
      <c r="BS6" s="124"/>
      <c r="BT6" s="124"/>
      <c r="BU6" s="124"/>
      <c r="BV6" s="124"/>
      <c r="BW6" s="124"/>
      <c r="BX6" s="124"/>
      <c r="BY6" s="124"/>
      <c r="BZ6" s="124"/>
      <c r="CA6" s="124"/>
      <c r="CB6" s="124"/>
      <c r="CC6" s="124"/>
      <c r="CD6" s="124"/>
      <c r="CE6" s="124"/>
    </row>
    <row r="7" spans="1:83" ht="9" customHeight="1" x14ac:dyDescent="0.2">
      <c r="A7" s="86"/>
      <c r="B7" s="87"/>
      <c r="C7" s="88"/>
      <c r="D7" s="89"/>
      <c r="E7" s="182"/>
      <c r="F7" s="89"/>
      <c r="G7" s="91"/>
      <c r="H7" s="89"/>
      <c r="I7" s="92"/>
      <c r="J7" s="93"/>
      <c r="K7" s="93"/>
      <c r="L7" s="185"/>
      <c r="M7" s="185"/>
      <c r="N7" s="183"/>
      <c r="O7" s="183"/>
      <c r="P7" s="96"/>
      <c r="Q7" s="102"/>
    </row>
    <row r="8" spans="1:83" ht="12.6" hidden="1" customHeight="1" x14ac:dyDescent="0.2">
      <c r="A8" s="106">
        <f>SHIPMENTS!A14</f>
        <v>9296</v>
      </c>
      <c r="B8" s="106" t="str">
        <f>SHIPMENTS!B14</f>
        <v>15900- Makati |Techiron Resources Inc.</v>
      </c>
      <c r="C8" s="132">
        <f>SHIPMENTS!F14</f>
        <v>0.05</v>
      </c>
      <c r="D8" s="107" t="str">
        <f>IF((SHIPMENTS!I14)=0,"",SHIPMENTS!I14)</f>
        <v/>
      </c>
      <c r="E8" s="176">
        <f>IF((SHIPMENTS!G14)=0,"",SHIPMENTS!G14)</f>
        <v>46314</v>
      </c>
      <c r="F8" s="97">
        <f>VLOOKUP(A8,Items!$A$5:$J$1000,2,0)</f>
        <v>0</v>
      </c>
      <c r="G8" s="98">
        <f>VLOOKUP(A8,load!$A$4:$U$5001,11,0)</f>
        <v>0</v>
      </c>
      <c r="H8" s="97">
        <v>9</v>
      </c>
      <c r="I8" s="98">
        <f>+H8*$I$4</f>
        <v>81.899999999999991</v>
      </c>
      <c r="J8" s="99">
        <f t="shared" ref="J8:J18" si="0">G8/I8</f>
        <v>0</v>
      </c>
      <c r="K8" s="99">
        <f>+J8*$I$4</f>
        <v>0</v>
      </c>
      <c r="L8" s="98">
        <f t="shared" ref="L8:L19" si="1">IFERROR(J8-(J8*P8),0)</f>
        <v>0</v>
      </c>
      <c r="M8" s="98">
        <f t="shared" ref="M8:M19" si="2">IFERROR(K8-(K8*P8),0)</f>
        <v>0</v>
      </c>
      <c r="N8" s="181">
        <f>IF(G8&gt;0,('MP2-DA'!N8+5),N4)</f>
        <v>46314</v>
      </c>
      <c r="O8" s="181">
        <f t="shared" ref="O8" si="3">+N8+L8</f>
        <v>46314</v>
      </c>
      <c r="P8" s="101" t="str">
        <f>VLOOKUP(A8,SHIPMENTS!$A$7:$N$171,13,0)</f>
        <v>n/a</v>
      </c>
      <c r="Q8" s="101"/>
      <c r="R8" s="128" t="str">
        <f t="shared" ref="R8:AG29" si="4">IF($E8=R$3,"▲","")</f>
        <v>▲</v>
      </c>
      <c r="S8" s="128" t="str">
        <f t="shared" ref="S8:BF14" si="5">IF($E8=S$3,"▲","")</f>
        <v/>
      </c>
      <c r="T8" s="128" t="str">
        <f t="shared" si="5"/>
        <v/>
      </c>
      <c r="U8" s="128" t="str">
        <f t="shared" si="5"/>
        <v/>
      </c>
      <c r="V8" s="128" t="str">
        <f t="shared" si="5"/>
        <v/>
      </c>
      <c r="W8" s="128" t="str">
        <f t="shared" si="5"/>
        <v/>
      </c>
      <c r="X8" s="128" t="str">
        <f t="shared" si="5"/>
        <v/>
      </c>
      <c r="Y8" s="128" t="str">
        <f t="shared" si="5"/>
        <v/>
      </c>
      <c r="Z8" s="128" t="str">
        <f t="shared" si="5"/>
        <v/>
      </c>
      <c r="AA8" s="128" t="str">
        <f t="shared" si="5"/>
        <v/>
      </c>
      <c r="AB8" s="128" t="str">
        <f t="shared" si="5"/>
        <v/>
      </c>
      <c r="AC8" s="128" t="str">
        <f t="shared" si="5"/>
        <v/>
      </c>
      <c r="AD8" s="128" t="str">
        <f t="shared" si="5"/>
        <v/>
      </c>
      <c r="AE8" s="128" t="str">
        <f t="shared" si="5"/>
        <v/>
      </c>
      <c r="AF8" s="128" t="str">
        <f t="shared" si="5"/>
        <v/>
      </c>
      <c r="AG8" s="128" t="str">
        <f t="shared" si="5"/>
        <v/>
      </c>
      <c r="AH8" s="128" t="str">
        <f t="shared" si="5"/>
        <v/>
      </c>
      <c r="AI8" s="128" t="str">
        <f t="shared" si="5"/>
        <v/>
      </c>
      <c r="AJ8" s="128" t="str">
        <f t="shared" si="5"/>
        <v/>
      </c>
      <c r="AK8" s="128" t="str">
        <f t="shared" si="5"/>
        <v/>
      </c>
      <c r="AL8" s="128" t="str">
        <f t="shared" si="5"/>
        <v/>
      </c>
      <c r="AM8" s="128" t="str">
        <f t="shared" si="5"/>
        <v/>
      </c>
      <c r="AN8" s="128" t="str">
        <f t="shared" si="5"/>
        <v/>
      </c>
      <c r="AO8" s="128" t="str">
        <f t="shared" si="5"/>
        <v/>
      </c>
      <c r="AP8" s="128" t="str">
        <f t="shared" si="5"/>
        <v/>
      </c>
      <c r="AQ8" s="128" t="str">
        <f t="shared" si="5"/>
        <v/>
      </c>
      <c r="AR8" s="128" t="str">
        <f t="shared" si="5"/>
        <v/>
      </c>
      <c r="AS8" s="128" t="str">
        <f t="shared" si="5"/>
        <v/>
      </c>
      <c r="AT8" s="128" t="str">
        <f t="shared" si="5"/>
        <v/>
      </c>
      <c r="AU8" s="128" t="str">
        <f t="shared" si="5"/>
        <v/>
      </c>
      <c r="AV8" s="128" t="str">
        <f t="shared" si="5"/>
        <v/>
      </c>
      <c r="AW8" s="128" t="str">
        <f t="shared" si="5"/>
        <v/>
      </c>
      <c r="AX8" s="128" t="str">
        <f t="shared" si="5"/>
        <v/>
      </c>
      <c r="AY8" s="128" t="str">
        <f t="shared" si="5"/>
        <v/>
      </c>
      <c r="AZ8" s="128" t="str">
        <f t="shared" si="5"/>
        <v/>
      </c>
      <c r="BA8" s="128" t="str">
        <f t="shared" si="5"/>
        <v/>
      </c>
      <c r="BB8" s="128" t="str">
        <f t="shared" si="5"/>
        <v/>
      </c>
      <c r="BC8" s="128" t="str">
        <f t="shared" si="5"/>
        <v/>
      </c>
      <c r="BD8" s="128" t="str">
        <f t="shared" si="5"/>
        <v/>
      </c>
      <c r="BE8" s="128" t="str">
        <f t="shared" si="5"/>
        <v/>
      </c>
      <c r="BF8" s="128" t="str">
        <f t="shared" si="5"/>
        <v/>
      </c>
      <c r="BG8" s="128" t="str">
        <f t="shared" ref="BG8:BV23" si="6">IF($E8=BG$3,"▲","")</f>
        <v/>
      </c>
      <c r="BH8" s="128" t="str">
        <f t="shared" si="6"/>
        <v/>
      </c>
      <c r="BI8" s="128" t="str">
        <f t="shared" si="6"/>
        <v/>
      </c>
      <c r="BJ8" s="128" t="str">
        <f t="shared" si="6"/>
        <v/>
      </c>
      <c r="BK8" s="128" t="str">
        <f t="shared" si="6"/>
        <v/>
      </c>
      <c r="BL8" s="128" t="str">
        <f t="shared" si="6"/>
        <v/>
      </c>
      <c r="BM8" s="128" t="str">
        <f t="shared" si="6"/>
        <v/>
      </c>
      <c r="BN8" s="128" t="str">
        <f t="shared" si="6"/>
        <v/>
      </c>
      <c r="BO8" s="128" t="str">
        <f t="shared" si="6"/>
        <v/>
      </c>
      <c r="BP8" s="128" t="str">
        <f t="shared" si="6"/>
        <v/>
      </c>
      <c r="BQ8" s="128" t="str">
        <f t="shared" si="6"/>
        <v/>
      </c>
      <c r="BR8" s="128" t="str">
        <f t="shared" si="6"/>
        <v/>
      </c>
      <c r="BS8" s="128" t="str">
        <f t="shared" si="6"/>
        <v/>
      </c>
      <c r="BT8" s="128" t="str">
        <f t="shared" si="6"/>
        <v/>
      </c>
      <c r="BU8" s="128" t="str">
        <f t="shared" si="6"/>
        <v/>
      </c>
      <c r="BV8" s="128" t="str">
        <f t="shared" si="6"/>
        <v/>
      </c>
      <c r="BW8" s="128" t="str">
        <f t="shared" ref="BT8:CE23" si="7">IF($E8=BW$3,"▲","")</f>
        <v/>
      </c>
      <c r="BX8" s="128" t="str">
        <f t="shared" si="7"/>
        <v/>
      </c>
      <c r="BY8" s="128" t="str">
        <f t="shared" si="7"/>
        <v/>
      </c>
      <c r="BZ8" s="128" t="str">
        <f t="shared" si="7"/>
        <v/>
      </c>
      <c r="CA8" s="128" t="str">
        <f t="shared" si="7"/>
        <v/>
      </c>
      <c r="CB8" s="128" t="str">
        <f t="shared" si="7"/>
        <v/>
      </c>
      <c r="CC8" s="128" t="str">
        <f t="shared" si="7"/>
        <v/>
      </c>
      <c r="CD8" s="128" t="str">
        <f t="shared" si="7"/>
        <v/>
      </c>
      <c r="CE8" s="128" t="str">
        <f t="shared" si="7"/>
        <v/>
      </c>
    </row>
    <row r="9" spans="1:83" ht="12.6" hidden="1" customHeight="1" x14ac:dyDescent="0.2">
      <c r="A9" s="106">
        <f>SHIPMENTS!A15</f>
        <v>9309</v>
      </c>
      <c r="B9" s="106" t="str">
        <f>SHIPMENTS!B15</f>
        <v>43940-THAILAND</v>
      </c>
      <c r="C9" s="132">
        <f>SHIPMENTS!F15</f>
        <v>6.4030000000000004E-2</v>
      </c>
      <c r="D9" s="107" t="str">
        <f>IF((SHIPMENTS!I15)=0,"",SHIPMENTS!I15)</f>
        <v>AIR</v>
      </c>
      <c r="E9" s="176">
        <f>IF((SHIPMENTS!G15)=0,"",SHIPMENTS!G15)</f>
        <v>46314</v>
      </c>
      <c r="F9" s="97">
        <f>VLOOKUP(A9,Items!$A$5:$J$1000,2,0)</f>
        <v>0</v>
      </c>
      <c r="G9" s="98">
        <f>VLOOKUP(A9,load!$A$4:$U$5001,11,0)</f>
        <v>0</v>
      </c>
      <c r="H9" s="97">
        <v>9</v>
      </c>
      <c r="I9" s="98">
        <f t="shared" ref="I9:I27" si="8">+H9*$I$4</f>
        <v>81.899999999999991</v>
      </c>
      <c r="J9" s="99">
        <f t="shared" si="0"/>
        <v>0</v>
      </c>
      <c r="K9" s="99">
        <f t="shared" ref="K9:K27" si="9">+J9*$I$4</f>
        <v>0</v>
      </c>
      <c r="L9" s="98">
        <f t="shared" si="1"/>
        <v>0</v>
      </c>
      <c r="M9" s="98">
        <f t="shared" si="2"/>
        <v>0</v>
      </c>
      <c r="N9" s="181">
        <f>IF(G9&gt;0,('MP2-DA'!N9+5),O8)</f>
        <v>46314</v>
      </c>
      <c r="O9" s="181">
        <f t="shared" ref="O9" si="10">+N9+L9</f>
        <v>46314</v>
      </c>
      <c r="P9" s="101" t="str">
        <f>VLOOKUP(A9,SHIPMENTS!$A$7:$N$171,13,0)</f>
        <v>n/a</v>
      </c>
      <c r="Q9" s="101"/>
      <c r="R9" s="127" t="str">
        <f t="shared" si="4"/>
        <v>▲</v>
      </c>
      <c r="S9" s="127" t="str">
        <f t="shared" si="5"/>
        <v/>
      </c>
      <c r="T9" s="127" t="str">
        <f t="shared" si="5"/>
        <v/>
      </c>
      <c r="U9" s="127" t="str">
        <f t="shared" si="5"/>
        <v/>
      </c>
      <c r="V9" s="127" t="str">
        <f t="shared" si="5"/>
        <v/>
      </c>
      <c r="W9" s="127" t="str">
        <f t="shared" si="5"/>
        <v/>
      </c>
      <c r="X9" s="127" t="str">
        <f t="shared" si="5"/>
        <v/>
      </c>
      <c r="Y9" s="127" t="str">
        <f t="shared" si="5"/>
        <v/>
      </c>
      <c r="Z9" s="127" t="str">
        <f t="shared" si="5"/>
        <v/>
      </c>
      <c r="AA9" s="127" t="str">
        <f t="shared" si="5"/>
        <v/>
      </c>
      <c r="AB9" s="127" t="str">
        <f t="shared" si="5"/>
        <v/>
      </c>
      <c r="AC9" s="127" t="str">
        <f t="shared" si="5"/>
        <v/>
      </c>
      <c r="AD9" s="127" t="str">
        <f t="shared" si="5"/>
        <v/>
      </c>
      <c r="AE9" s="127" t="str">
        <f t="shared" si="5"/>
        <v/>
      </c>
      <c r="AF9" s="127" t="str">
        <f t="shared" si="5"/>
        <v/>
      </c>
      <c r="AG9" s="127" t="str">
        <f t="shared" si="5"/>
        <v/>
      </c>
      <c r="AH9" s="127" t="str">
        <f t="shared" si="5"/>
        <v/>
      </c>
      <c r="AI9" s="127" t="str">
        <f t="shared" si="5"/>
        <v/>
      </c>
      <c r="AJ9" s="127" t="str">
        <f t="shared" si="5"/>
        <v/>
      </c>
      <c r="AK9" s="127" t="str">
        <f t="shared" si="5"/>
        <v/>
      </c>
      <c r="AL9" s="127" t="str">
        <f t="shared" si="5"/>
        <v/>
      </c>
      <c r="AM9" s="127" t="str">
        <f t="shared" si="5"/>
        <v/>
      </c>
      <c r="AN9" s="127" t="str">
        <f t="shared" si="5"/>
        <v/>
      </c>
      <c r="AO9" s="127" t="str">
        <f t="shared" si="5"/>
        <v/>
      </c>
      <c r="AP9" s="127" t="str">
        <f t="shared" si="5"/>
        <v/>
      </c>
      <c r="AQ9" s="127" t="str">
        <f t="shared" si="5"/>
        <v/>
      </c>
      <c r="AR9" s="127" t="str">
        <f t="shared" si="5"/>
        <v/>
      </c>
      <c r="AS9" s="127" t="str">
        <f t="shared" si="5"/>
        <v/>
      </c>
      <c r="AT9" s="127" t="str">
        <f t="shared" si="5"/>
        <v/>
      </c>
      <c r="AU9" s="127" t="str">
        <f t="shared" si="5"/>
        <v/>
      </c>
      <c r="AV9" s="127" t="str">
        <f t="shared" si="5"/>
        <v/>
      </c>
      <c r="AW9" s="127" t="str">
        <f t="shared" si="5"/>
        <v/>
      </c>
      <c r="AX9" s="127" t="str">
        <f t="shared" si="5"/>
        <v/>
      </c>
      <c r="AY9" s="127" t="str">
        <f t="shared" si="5"/>
        <v/>
      </c>
      <c r="AZ9" s="127" t="str">
        <f t="shared" si="5"/>
        <v/>
      </c>
      <c r="BA9" s="127" t="str">
        <f t="shared" si="5"/>
        <v/>
      </c>
      <c r="BB9" s="127" t="str">
        <f t="shared" si="5"/>
        <v/>
      </c>
      <c r="BC9" s="127" t="str">
        <f t="shared" si="5"/>
        <v/>
      </c>
      <c r="BD9" s="127" t="str">
        <f t="shared" si="5"/>
        <v/>
      </c>
      <c r="BE9" s="127" t="str">
        <f t="shared" si="5"/>
        <v/>
      </c>
      <c r="BF9" s="127" t="str">
        <f t="shared" si="5"/>
        <v/>
      </c>
      <c r="BG9" s="127" t="str">
        <f t="shared" si="6"/>
        <v/>
      </c>
      <c r="BH9" s="127" t="str">
        <f t="shared" si="6"/>
        <v/>
      </c>
      <c r="BI9" s="127" t="str">
        <f t="shared" si="6"/>
        <v/>
      </c>
      <c r="BJ9" s="127" t="str">
        <f t="shared" si="6"/>
        <v/>
      </c>
      <c r="BK9" s="127" t="str">
        <f t="shared" si="6"/>
        <v/>
      </c>
      <c r="BL9" s="127" t="str">
        <f t="shared" si="6"/>
        <v/>
      </c>
      <c r="BM9" s="127" t="str">
        <f t="shared" si="6"/>
        <v/>
      </c>
      <c r="BN9" s="127" t="str">
        <f t="shared" si="6"/>
        <v/>
      </c>
      <c r="BO9" s="127" t="str">
        <f t="shared" si="6"/>
        <v/>
      </c>
      <c r="BP9" s="127" t="str">
        <f t="shared" si="6"/>
        <v/>
      </c>
      <c r="BQ9" s="127" t="str">
        <f t="shared" si="6"/>
        <v/>
      </c>
      <c r="BR9" s="127" t="str">
        <f t="shared" si="6"/>
        <v/>
      </c>
      <c r="BS9" s="127" t="str">
        <f t="shared" si="6"/>
        <v/>
      </c>
      <c r="BT9" s="127" t="str">
        <f t="shared" si="7"/>
        <v/>
      </c>
      <c r="BU9" s="127" t="str">
        <f t="shared" si="7"/>
        <v/>
      </c>
      <c r="BV9" s="127" t="str">
        <f t="shared" si="7"/>
        <v/>
      </c>
      <c r="BW9" s="127" t="str">
        <f t="shared" si="7"/>
        <v/>
      </c>
      <c r="BX9" s="127" t="str">
        <f t="shared" si="7"/>
        <v/>
      </c>
      <c r="BY9" s="127" t="str">
        <f t="shared" si="7"/>
        <v/>
      </c>
      <c r="BZ9" s="127" t="str">
        <f t="shared" si="7"/>
        <v/>
      </c>
      <c r="CA9" s="127" t="str">
        <f t="shared" si="7"/>
        <v/>
      </c>
      <c r="CB9" s="127" t="str">
        <f t="shared" si="7"/>
        <v/>
      </c>
      <c r="CC9" s="127" t="str">
        <f t="shared" si="7"/>
        <v/>
      </c>
      <c r="CD9" s="127" t="str">
        <f t="shared" si="7"/>
        <v/>
      </c>
      <c r="CE9" s="127" t="str">
        <f t="shared" si="7"/>
        <v/>
      </c>
    </row>
    <row r="10" spans="1:83" ht="12.6" customHeight="1" x14ac:dyDescent="0.2">
      <c r="A10" s="106">
        <f>SHIPMENTS!A16</f>
        <v>9117</v>
      </c>
      <c r="B10" s="106" t="str">
        <f>SHIPMENTS!B16</f>
        <v>41700-CANADA BSAUNAS</v>
      </c>
      <c r="C10" s="132">
        <f>SHIPMENTS!F16</f>
        <v>83.268000000000001</v>
      </c>
      <c r="D10" s="107" t="str">
        <f>IF((SHIPMENTS!I16)=0,"",SHIPMENTS!I16)</f>
        <v>1X40HC</v>
      </c>
      <c r="E10" s="176">
        <f>IF((SHIPMENTS!G16)=0,"",SHIPMENTS!G16)</f>
        <v>46315</v>
      </c>
      <c r="F10" s="97">
        <f>VLOOKUP(A10,Items!$A$5:$J$1000,2,0)</f>
        <v>40</v>
      </c>
      <c r="G10" s="98">
        <f>VLOOKUP(A10,load!$A$4:$U$5001,11,0)</f>
        <v>228.69499999999999</v>
      </c>
      <c r="H10" s="97">
        <v>9</v>
      </c>
      <c r="I10" s="98">
        <f t="shared" si="8"/>
        <v>81.899999999999991</v>
      </c>
      <c r="J10" s="99">
        <f t="shared" si="0"/>
        <v>2.7923687423687427</v>
      </c>
      <c r="K10" s="99">
        <f t="shared" si="9"/>
        <v>25.410555555555558</v>
      </c>
      <c r="L10" s="98">
        <f t="shared" si="1"/>
        <v>2.7923687423687427</v>
      </c>
      <c r="M10" s="98">
        <f t="shared" si="2"/>
        <v>25.410555555555558</v>
      </c>
      <c r="N10" s="181">
        <f>IF(G10&gt;0,('MP2-DA'!N10+5),O9)</f>
        <v>46324</v>
      </c>
      <c r="O10" s="181">
        <f t="shared" ref="O10:O32" si="11">+N10+L10</f>
        <v>46326.792368742368</v>
      </c>
      <c r="P10" s="101">
        <f>VLOOKUP(A10,SHIPMENTS!$A$7:$N$171,13,0)</f>
        <v>0</v>
      </c>
      <c r="Q10" s="101"/>
      <c r="R10" s="127" t="str">
        <f t="shared" si="4"/>
        <v/>
      </c>
      <c r="S10" s="127" t="str">
        <f t="shared" si="5"/>
        <v>▲</v>
      </c>
      <c r="T10" s="127" t="str">
        <f t="shared" si="5"/>
        <v/>
      </c>
      <c r="U10" s="127" t="str">
        <f t="shared" si="5"/>
        <v/>
      </c>
      <c r="V10" s="127" t="str">
        <f t="shared" si="5"/>
        <v/>
      </c>
      <c r="W10" s="127" t="str">
        <f t="shared" si="5"/>
        <v/>
      </c>
      <c r="X10" s="127" t="str">
        <f t="shared" si="5"/>
        <v/>
      </c>
      <c r="Y10" s="127" t="str">
        <f t="shared" si="5"/>
        <v/>
      </c>
      <c r="Z10" s="127" t="str">
        <f t="shared" si="5"/>
        <v/>
      </c>
      <c r="AA10" s="127" t="str">
        <f t="shared" si="5"/>
        <v/>
      </c>
      <c r="AB10" s="127" t="str">
        <f t="shared" si="5"/>
        <v/>
      </c>
      <c r="AC10" s="127" t="str">
        <f t="shared" si="5"/>
        <v/>
      </c>
      <c r="AD10" s="127" t="str">
        <f t="shared" si="5"/>
        <v/>
      </c>
      <c r="AE10" s="127" t="str">
        <f t="shared" si="5"/>
        <v/>
      </c>
      <c r="AF10" s="127" t="str">
        <f t="shared" si="5"/>
        <v/>
      </c>
      <c r="AG10" s="127" t="str">
        <f t="shared" si="5"/>
        <v/>
      </c>
      <c r="AH10" s="127" t="str">
        <f t="shared" si="5"/>
        <v/>
      </c>
      <c r="AI10" s="127" t="str">
        <f t="shared" si="5"/>
        <v/>
      </c>
      <c r="AJ10" s="127" t="str">
        <f t="shared" si="5"/>
        <v/>
      </c>
      <c r="AK10" s="127" t="str">
        <f t="shared" si="5"/>
        <v/>
      </c>
      <c r="AL10" s="127" t="str">
        <f t="shared" si="5"/>
        <v/>
      </c>
      <c r="AM10" s="127" t="str">
        <f t="shared" si="5"/>
        <v/>
      </c>
      <c r="AN10" s="127" t="str">
        <f t="shared" si="5"/>
        <v/>
      </c>
      <c r="AO10" s="127" t="str">
        <f t="shared" si="5"/>
        <v/>
      </c>
      <c r="AP10" s="127" t="str">
        <f t="shared" si="5"/>
        <v/>
      </c>
      <c r="AQ10" s="127" t="str">
        <f t="shared" si="5"/>
        <v/>
      </c>
      <c r="AR10" s="127" t="str">
        <f t="shared" si="5"/>
        <v/>
      </c>
      <c r="AS10" s="127" t="str">
        <f t="shared" si="5"/>
        <v/>
      </c>
      <c r="AT10" s="127" t="str">
        <f t="shared" si="5"/>
        <v/>
      </c>
      <c r="AU10" s="127" t="str">
        <f t="shared" si="5"/>
        <v/>
      </c>
      <c r="AV10" s="127" t="str">
        <f t="shared" si="5"/>
        <v/>
      </c>
      <c r="AW10" s="127" t="str">
        <f t="shared" si="5"/>
        <v/>
      </c>
      <c r="AX10" s="127" t="str">
        <f t="shared" si="5"/>
        <v/>
      </c>
      <c r="AY10" s="127" t="str">
        <f t="shared" si="5"/>
        <v/>
      </c>
      <c r="AZ10" s="127" t="str">
        <f t="shared" si="5"/>
        <v/>
      </c>
      <c r="BA10" s="127" t="str">
        <f t="shared" si="5"/>
        <v/>
      </c>
      <c r="BB10" s="127" t="str">
        <f t="shared" si="5"/>
        <v/>
      </c>
      <c r="BC10" s="127" t="str">
        <f t="shared" si="5"/>
        <v/>
      </c>
      <c r="BD10" s="127" t="str">
        <f t="shared" si="5"/>
        <v/>
      </c>
      <c r="BE10" s="127" t="str">
        <f t="shared" si="5"/>
        <v/>
      </c>
      <c r="BF10" s="127" t="str">
        <f t="shared" si="5"/>
        <v/>
      </c>
      <c r="BG10" s="127" t="str">
        <f t="shared" si="6"/>
        <v/>
      </c>
      <c r="BH10" s="127" t="str">
        <f t="shared" si="6"/>
        <v/>
      </c>
      <c r="BI10" s="127" t="str">
        <f t="shared" si="6"/>
        <v/>
      </c>
      <c r="BJ10" s="127" t="str">
        <f t="shared" si="6"/>
        <v/>
      </c>
      <c r="BK10" s="127" t="str">
        <f t="shared" si="6"/>
        <v/>
      </c>
      <c r="BL10" s="127" t="str">
        <f t="shared" si="6"/>
        <v/>
      </c>
      <c r="BM10" s="127" t="str">
        <f t="shared" si="6"/>
        <v/>
      </c>
      <c r="BN10" s="127" t="str">
        <f t="shared" si="6"/>
        <v/>
      </c>
      <c r="BO10" s="127" t="str">
        <f t="shared" si="6"/>
        <v/>
      </c>
      <c r="BP10" s="127" t="str">
        <f t="shared" si="6"/>
        <v/>
      </c>
      <c r="BQ10" s="127" t="str">
        <f t="shared" si="6"/>
        <v/>
      </c>
      <c r="BR10" s="127" t="str">
        <f t="shared" si="6"/>
        <v/>
      </c>
      <c r="BS10" s="127" t="str">
        <f t="shared" si="6"/>
        <v/>
      </c>
      <c r="BT10" s="127" t="str">
        <f t="shared" si="7"/>
        <v/>
      </c>
      <c r="BU10" s="127" t="str">
        <f t="shared" si="7"/>
        <v/>
      </c>
      <c r="BV10" s="127" t="str">
        <f t="shared" si="7"/>
        <v/>
      </c>
      <c r="BW10" s="127" t="str">
        <f t="shared" si="7"/>
        <v/>
      </c>
      <c r="BX10" s="127" t="str">
        <f t="shared" si="7"/>
        <v/>
      </c>
      <c r="BY10" s="127" t="str">
        <f t="shared" si="7"/>
        <v/>
      </c>
      <c r="BZ10" s="127" t="str">
        <f t="shared" si="7"/>
        <v/>
      </c>
      <c r="CA10" s="127" t="str">
        <f t="shared" si="7"/>
        <v/>
      </c>
      <c r="CB10" s="127" t="str">
        <f t="shared" si="7"/>
        <v/>
      </c>
      <c r="CC10" s="127" t="str">
        <f t="shared" si="7"/>
        <v/>
      </c>
      <c r="CD10" s="127" t="str">
        <f t="shared" si="7"/>
        <v/>
      </c>
      <c r="CE10" s="127" t="str">
        <f t="shared" si="7"/>
        <v/>
      </c>
    </row>
    <row r="11" spans="1:83" ht="12.6" customHeight="1" x14ac:dyDescent="0.2">
      <c r="A11" s="106">
        <f>SHIPMENTS!A17</f>
        <v>8641</v>
      </c>
      <c r="B11" s="106" t="str">
        <f>SHIPMENTS!B17</f>
        <v>41700-CANADA BSAUNAS BACKLOG</v>
      </c>
      <c r="C11" s="132">
        <f>SHIPMENTS!F17</f>
        <v>0</v>
      </c>
      <c r="D11" s="107" t="str">
        <f>IF((SHIPMENTS!I17)=0,"",SHIPMENTS!I17)</f>
        <v/>
      </c>
      <c r="E11" s="176">
        <f>IF((SHIPMENTS!G17)=0,"",SHIPMENTS!G17)</f>
        <v>46315</v>
      </c>
      <c r="F11" s="97">
        <f>VLOOKUP(A11,Items!$A$5:$J$1000,2,0)</f>
        <v>10</v>
      </c>
      <c r="G11" s="98">
        <f>VLOOKUP(A11,load!$A$4:$U$5001,11,0)</f>
        <v>33.237458333333336</v>
      </c>
      <c r="H11" s="97">
        <v>9</v>
      </c>
      <c r="I11" s="98">
        <f t="shared" si="8"/>
        <v>81.899999999999991</v>
      </c>
      <c r="J11" s="99">
        <f t="shared" si="0"/>
        <v>0.40582977207977217</v>
      </c>
      <c r="K11" s="99">
        <f t="shared" si="9"/>
        <v>3.6930509259259265</v>
      </c>
      <c r="L11" s="98">
        <f t="shared" si="1"/>
        <v>0</v>
      </c>
      <c r="M11" s="98">
        <f t="shared" si="2"/>
        <v>0</v>
      </c>
      <c r="N11" s="181">
        <f>IF(G11&gt;0,('MP2-DA'!N11+5),O10)</f>
        <v>46326.01645533953</v>
      </c>
      <c r="O11" s="181">
        <f t="shared" si="11"/>
        <v>46326.01645533953</v>
      </c>
      <c r="P11" s="101">
        <f>VLOOKUP(A11,SHIPMENTS!$A$7:$N$171,13,0)</f>
        <v>1</v>
      </c>
      <c r="Q11" s="101"/>
      <c r="R11" s="127" t="str">
        <f t="shared" si="4"/>
        <v/>
      </c>
      <c r="S11" s="127" t="str">
        <f t="shared" si="5"/>
        <v>▲</v>
      </c>
      <c r="T11" s="127" t="str">
        <f t="shared" si="5"/>
        <v/>
      </c>
      <c r="U11" s="127" t="str">
        <f t="shared" si="5"/>
        <v/>
      </c>
      <c r="V11" s="127" t="str">
        <f t="shared" si="5"/>
        <v/>
      </c>
      <c r="W11" s="127" t="str">
        <f t="shared" si="5"/>
        <v/>
      </c>
      <c r="X11" s="127" t="str">
        <f t="shared" si="5"/>
        <v/>
      </c>
      <c r="Y11" s="127" t="str">
        <f t="shared" si="5"/>
        <v/>
      </c>
      <c r="Z11" s="127" t="str">
        <f t="shared" si="5"/>
        <v/>
      </c>
      <c r="AA11" s="127" t="str">
        <f t="shared" si="5"/>
        <v/>
      </c>
      <c r="AB11" s="127" t="str">
        <f t="shared" si="5"/>
        <v/>
      </c>
      <c r="AC11" s="127" t="str">
        <f t="shared" si="5"/>
        <v/>
      </c>
      <c r="AD11" s="127" t="str">
        <f t="shared" si="5"/>
        <v/>
      </c>
      <c r="AE11" s="127" t="str">
        <f t="shared" si="5"/>
        <v/>
      </c>
      <c r="AF11" s="127" t="str">
        <f t="shared" si="5"/>
        <v/>
      </c>
      <c r="AG11" s="127" t="str">
        <f t="shared" si="5"/>
        <v/>
      </c>
      <c r="AH11" s="127" t="str">
        <f t="shared" si="5"/>
        <v/>
      </c>
      <c r="AI11" s="127" t="str">
        <f t="shared" si="5"/>
        <v/>
      </c>
      <c r="AJ11" s="127" t="str">
        <f t="shared" si="5"/>
        <v/>
      </c>
      <c r="AK11" s="127" t="str">
        <f t="shared" si="5"/>
        <v/>
      </c>
      <c r="AL11" s="127" t="str">
        <f t="shared" si="5"/>
        <v/>
      </c>
      <c r="AM11" s="127" t="str">
        <f t="shared" si="5"/>
        <v/>
      </c>
      <c r="AN11" s="127" t="str">
        <f t="shared" si="5"/>
        <v/>
      </c>
      <c r="AO11" s="127" t="str">
        <f t="shared" si="5"/>
        <v/>
      </c>
      <c r="AP11" s="127" t="str">
        <f t="shared" si="5"/>
        <v/>
      </c>
      <c r="AQ11" s="127" t="str">
        <f t="shared" si="5"/>
        <v/>
      </c>
      <c r="AR11" s="127" t="str">
        <f t="shared" si="5"/>
        <v/>
      </c>
      <c r="AS11" s="127" t="str">
        <f t="shared" si="5"/>
        <v/>
      </c>
      <c r="AT11" s="127" t="str">
        <f t="shared" si="5"/>
        <v/>
      </c>
      <c r="AU11" s="127" t="str">
        <f t="shared" si="5"/>
        <v/>
      </c>
      <c r="AV11" s="127" t="str">
        <f t="shared" si="5"/>
        <v/>
      </c>
      <c r="AW11" s="127" t="str">
        <f t="shared" si="5"/>
        <v/>
      </c>
      <c r="AX11" s="127" t="str">
        <f t="shared" si="5"/>
        <v/>
      </c>
      <c r="AY11" s="127" t="str">
        <f t="shared" si="5"/>
        <v/>
      </c>
      <c r="AZ11" s="127" t="str">
        <f t="shared" si="5"/>
        <v/>
      </c>
      <c r="BA11" s="127" t="str">
        <f t="shared" si="5"/>
        <v/>
      </c>
      <c r="BB11" s="127" t="str">
        <f t="shared" si="5"/>
        <v/>
      </c>
      <c r="BC11" s="127" t="str">
        <f t="shared" si="5"/>
        <v/>
      </c>
      <c r="BD11" s="127" t="str">
        <f t="shared" si="5"/>
        <v/>
      </c>
      <c r="BE11" s="127" t="str">
        <f t="shared" si="5"/>
        <v/>
      </c>
      <c r="BF11" s="127" t="str">
        <f t="shared" si="5"/>
        <v/>
      </c>
      <c r="BG11" s="127" t="str">
        <f t="shared" si="6"/>
        <v/>
      </c>
      <c r="BH11" s="127" t="str">
        <f t="shared" si="6"/>
        <v/>
      </c>
      <c r="BI11" s="127" t="str">
        <f t="shared" si="6"/>
        <v/>
      </c>
      <c r="BJ11" s="127" t="str">
        <f t="shared" si="6"/>
        <v/>
      </c>
      <c r="BK11" s="127" t="str">
        <f t="shared" si="6"/>
        <v/>
      </c>
      <c r="BL11" s="127" t="str">
        <f t="shared" si="6"/>
        <v/>
      </c>
      <c r="BM11" s="127" t="str">
        <f t="shared" si="6"/>
        <v/>
      </c>
      <c r="BN11" s="127" t="str">
        <f t="shared" si="6"/>
        <v/>
      </c>
      <c r="BO11" s="127" t="str">
        <f t="shared" si="6"/>
        <v/>
      </c>
      <c r="BP11" s="127" t="str">
        <f t="shared" si="6"/>
        <v/>
      </c>
      <c r="BQ11" s="127" t="str">
        <f t="shared" si="6"/>
        <v/>
      </c>
      <c r="BR11" s="127" t="str">
        <f t="shared" si="6"/>
        <v/>
      </c>
      <c r="BS11" s="127" t="str">
        <f t="shared" si="6"/>
        <v/>
      </c>
      <c r="BT11" s="127" t="str">
        <f t="shared" si="7"/>
        <v/>
      </c>
      <c r="BU11" s="127" t="str">
        <f t="shared" si="7"/>
        <v/>
      </c>
      <c r="BV11" s="127" t="str">
        <f t="shared" si="7"/>
        <v/>
      </c>
      <c r="BW11" s="127" t="str">
        <f t="shared" si="7"/>
        <v/>
      </c>
      <c r="BX11" s="127" t="str">
        <f t="shared" si="7"/>
        <v/>
      </c>
      <c r="BY11" s="127" t="str">
        <f t="shared" si="7"/>
        <v/>
      </c>
      <c r="BZ11" s="127" t="str">
        <f t="shared" si="7"/>
        <v/>
      </c>
      <c r="CA11" s="127" t="str">
        <f t="shared" si="7"/>
        <v/>
      </c>
      <c r="CB11" s="127" t="str">
        <f t="shared" si="7"/>
        <v/>
      </c>
      <c r="CC11" s="127" t="str">
        <f t="shared" si="7"/>
        <v/>
      </c>
      <c r="CD11" s="127" t="str">
        <f t="shared" si="7"/>
        <v/>
      </c>
      <c r="CE11" s="127" t="str">
        <f t="shared" si="7"/>
        <v/>
      </c>
    </row>
    <row r="12" spans="1:83" ht="12.6" hidden="1" customHeight="1" x14ac:dyDescent="0.2">
      <c r="A12" s="106">
        <f>SHIPMENTS!A18</f>
        <v>8102</v>
      </c>
      <c r="B12" s="106" t="str">
        <f>SHIPMENTS!B18</f>
        <v>41700-CANADA BSAUNAS BACKLOG</v>
      </c>
      <c r="C12" s="132">
        <f>SHIPMENTS!F18</f>
        <v>0</v>
      </c>
      <c r="D12" s="107" t="str">
        <f>IF((SHIPMENTS!I18)=0,"",SHIPMENTS!I18)</f>
        <v/>
      </c>
      <c r="E12" s="176">
        <f>IF((SHIPMENTS!G18)=0,"",SHIPMENTS!G18)</f>
        <v>46315</v>
      </c>
      <c r="F12" s="97">
        <f>VLOOKUP(A12,Items!$A$5:$J$1000,2,0)</f>
        <v>0</v>
      </c>
      <c r="G12" s="98">
        <f>VLOOKUP(A12,load!$A$4:$U$5001,11,0)</f>
        <v>0</v>
      </c>
      <c r="H12" s="97">
        <v>9</v>
      </c>
      <c r="I12" s="98">
        <f t="shared" si="8"/>
        <v>81.899999999999991</v>
      </c>
      <c r="J12" s="99">
        <f t="shared" si="0"/>
        <v>0</v>
      </c>
      <c r="K12" s="99">
        <f t="shared" si="9"/>
        <v>0</v>
      </c>
      <c r="L12" s="98">
        <f t="shared" si="1"/>
        <v>0</v>
      </c>
      <c r="M12" s="98">
        <f t="shared" si="2"/>
        <v>0</v>
      </c>
      <c r="N12" s="181">
        <f>IF(G12&gt;0,('MP2-DA'!N12+5),O11)</f>
        <v>46326.01645533953</v>
      </c>
      <c r="O12" s="181">
        <f t="shared" si="11"/>
        <v>46326.01645533953</v>
      </c>
      <c r="P12" s="101" t="str">
        <f>VLOOKUP(A12,SHIPMENTS!$A$7:$N$171,13,0)</f>
        <v>n/a</v>
      </c>
      <c r="Q12" s="101"/>
      <c r="R12" s="127" t="str">
        <f t="shared" si="4"/>
        <v/>
      </c>
      <c r="S12" s="127" t="str">
        <f t="shared" si="5"/>
        <v>▲</v>
      </c>
      <c r="T12" s="127" t="str">
        <f t="shared" si="5"/>
        <v/>
      </c>
      <c r="U12" s="127" t="str">
        <f t="shared" si="5"/>
        <v/>
      </c>
      <c r="V12" s="127" t="str">
        <f t="shared" si="5"/>
        <v/>
      </c>
      <c r="W12" s="127" t="str">
        <f t="shared" si="5"/>
        <v/>
      </c>
      <c r="X12" s="127" t="str">
        <f t="shared" si="5"/>
        <v/>
      </c>
      <c r="Y12" s="127" t="str">
        <f t="shared" si="5"/>
        <v/>
      </c>
      <c r="Z12" s="127" t="str">
        <f t="shared" si="5"/>
        <v/>
      </c>
      <c r="AA12" s="127" t="str">
        <f t="shared" si="5"/>
        <v/>
      </c>
      <c r="AB12" s="127" t="str">
        <f t="shared" si="5"/>
        <v/>
      </c>
      <c r="AC12" s="127" t="str">
        <f t="shared" si="5"/>
        <v/>
      </c>
      <c r="AD12" s="127" t="str">
        <f t="shared" si="5"/>
        <v/>
      </c>
      <c r="AE12" s="127" t="str">
        <f t="shared" si="5"/>
        <v/>
      </c>
      <c r="AF12" s="127" t="str">
        <f t="shared" si="5"/>
        <v/>
      </c>
      <c r="AG12" s="127" t="str">
        <f t="shared" si="5"/>
        <v/>
      </c>
      <c r="AH12" s="127" t="str">
        <f t="shared" si="5"/>
        <v/>
      </c>
      <c r="AI12" s="127" t="str">
        <f t="shared" si="5"/>
        <v/>
      </c>
      <c r="AJ12" s="127" t="str">
        <f t="shared" si="5"/>
        <v/>
      </c>
      <c r="AK12" s="127" t="str">
        <f t="shared" si="5"/>
        <v/>
      </c>
      <c r="AL12" s="127" t="str">
        <f t="shared" si="5"/>
        <v/>
      </c>
      <c r="AM12" s="127" t="str">
        <f t="shared" si="5"/>
        <v/>
      </c>
      <c r="AN12" s="127" t="str">
        <f t="shared" si="5"/>
        <v/>
      </c>
      <c r="AO12" s="127" t="str">
        <f t="shared" si="5"/>
        <v/>
      </c>
      <c r="AP12" s="127" t="str">
        <f t="shared" si="5"/>
        <v/>
      </c>
      <c r="AQ12" s="127" t="str">
        <f t="shared" si="5"/>
        <v/>
      </c>
      <c r="AR12" s="127" t="str">
        <f t="shared" si="5"/>
        <v/>
      </c>
      <c r="AS12" s="127" t="str">
        <f t="shared" si="5"/>
        <v/>
      </c>
      <c r="AT12" s="127" t="str">
        <f t="shared" si="5"/>
        <v/>
      </c>
      <c r="AU12" s="127" t="str">
        <f t="shared" si="5"/>
        <v/>
      </c>
      <c r="AV12" s="127" t="str">
        <f t="shared" si="5"/>
        <v/>
      </c>
      <c r="AW12" s="127" t="str">
        <f t="shared" si="5"/>
        <v/>
      </c>
      <c r="AX12" s="127" t="str">
        <f t="shared" si="5"/>
        <v/>
      </c>
      <c r="AY12" s="127" t="str">
        <f t="shared" si="5"/>
        <v/>
      </c>
      <c r="AZ12" s="127" t="str">
        <f t="shared" si="5"/>
        <v/>
      </c>
      <c r="BA12" s="127" t="str">
        <f t="shared" si="5"/>
        <v/>
      </c>
      <c r="BB12" s="127" t="str">
        <f t="shared" si="5"/>
        <v/>
      </c>
      <c r="BC12" s="127" t="str">
        <f t="shared" si="5"/>
        <v/>
      </c>
      <c r="BD12" s="127" t="str">
        <f t="shared" si="5"/>
        <v/>
      </c>
      <c r="BE12" s="127" t="str">
        <f t="shared" si="5"/>
        <v/>
      </c>
      <c r="BF12" s="127" t="str">
        <f t="shared" si="5"/>
        <v/>
      </c>
      <c r="BG12" s="127" t="str">
        <f t="shared" si="6"/>
        <v/>
      </c>
      <c r="BH12" s="127" t="str">
        <f t="shared" si="6"/>
        <v/>
      </c>
      <c r="BI12" s="127" t="str">
        <f t="shared" si="6"/>
        <v/>
      </c>
      <c r="BJ12" s="127" t="str">
        <f t="shared" si="6"/>
        <v/>
      </c>
      <c r="BK12" s="127" t="str">
        <f t="shared" si="6"/>
        <v/>
      </c>
      <c r="BL12" s="127" t="str">
        <f t="shared" si="6"/>
        <v/>
      </c>
      <c r="BM12" s="127" t="str">
        <f t="shared" si="6"/>
        <v/>
      </c>
      <c r="BN12" s="127" t="str">
        <f t="shared" si="6"/>
        <v/>
      </c>
      <c r="BO12" s="127" t="str">
        <f t="shared" si="6"/>
        <v/>
      </c>
      <c r="BP12" s="127" t="str">
        <f t="shared" si="6"/>
        <v/>
      </c>
      <c r="BQ12" s="127" t="str">
        <f t="shared" si="6"/>
        <v/>
      </c>
      <c r="BR12" s="127" t="str">
        <f t="shared" si="6"/>
        <v/>
      </c>
      <c r="BS12" s="127" t="str">
        <f t="shared" si="6"/>
        <v/>
      </c>
      <c r="BT12" s="127" t="str">
        <f t="shared" si="7"/>
        <v/>
      </c>
      <c r="BU12" s="127" t="str">
        <f t="shared" si="7"/>
        <v/>
      </c>
      <c r="BV12" s="127" t="str">
        <f t="shared" si="7"/>
        <v/>
      </c>
      <c r="BW12" s="127" t="str">
        <f t="shared" si="7"/>
        <v/>
      </c>
      <c r="BX12" s="127" t="str">
        <f t="shared" si="7"/>
        <v/>
      </c>
      <c r="BY12" s="127" t="str">
        <f t="shared" si="7"/>
        <v/>
      </c>
      <c r="BZ12" s="127" t="str">
        <f t="shared" si="7"/>
        <v/>
      </c>
      <c r="CA12" s="127" t="str">
        <f t="shared" si="7"/>
        <v/>
      </c>
      <c r="CB12" s="127" t="str">
        <f t="shared" si="7"/>
        <v/>
      </c>
      <c r="CC12" s="127" t="str">
        <f t="shared" si="7"/>
        <v/>
      </c>
      <c r="CD12" s="127" t="str">
        <f t="shared" si="7"/>
        <v/>
      </c>
      <c r="CE12" s="127" t="str">
        <f t="shared" si="7"/>
        <v/>
      </c>
    </row>
    <row r="13" spans="1:83" ht="12.6" customHeight="1" x14ac:dyDescent="0.2">
      <c r="A13" s="106">
        <f>SHIPMENTS!A19</f>
        <v>5928</v>
      </c>
      <c r="B13" s="106" t="str">
        <f>SHIPMENTS!B19</f>
        <v>41700-CANADA BSAUNAS BACKLOG</v>
      </c>
      <c r="C13" s="132">
        <f>SHIPMENTS!F19</f>
        <v>0</v>
      </c>
      <c r="D13" s="107" t="str">
        <f>IF((SHIPMENTS!I19)=0,"",SHIPMENTS!I19)</f>
        <v/>
      </c>
      <c r="E13" s="176" t="str">
        <f>IF((SHIPMENTS!G19)=0,"",SHIPMENTS!G19)</f>
        <v/>
      </c>
      <c r="F13" s="97">
        <f>VLOOKUP(A13,Items!$A$5:$J$1000,2,0)</f>
        <v>70</v>
      </c>
      <c r="G13" s="98">
        <f>VLOOKUP(A13,load!$A$4:$U$5001,11,0)</f>
        <v>277.29729166666669</v>
      </c>
      <c r="H13" s="97">
        <v>9</v>
      </c>
      <c r="I13" s="98">
        <f t="shared" si="8"/>
        <v>81.899999999999991</v>
      </c>
      <c r="J13" s="99">
        <f t="shared" si="0"/>
        <v>3.3858033170533179</v>
      </c>
      <c r="K13" s="99">
        <f t="shared" si="9"/>
        <v>30.810810185185193</v>
      </c>
      <c r="L13" s="98">
        <f t="shared" si="1"/>
        <v>0</v>
      </c>
      <c r="M13" s="98">
        <f t="shared" si="2"/>
        <v>0</v>
      </c>
      <c r="N13" s="181">
        <f>IF(G13&gt;0,('MP2-DA'!N13+5),O12)</f>
        <v>46326.01645533953</v>
      </c>
      <c r="O13" s="181">
        <f t="shared" si="11"/>
        <v>46326.01645533953</v>
      </c>
      <c r="P13" s="101">
        <f>VLOOKUP(A13,SHIPMENTS!$A$7:$N$171,13,0)</f>
        <v>1</v>
      </c>
      <c r="Q13" s="101"/>
      <c r="R13" s="127" t="str">
        <f t="shared" si="4"/>
        <v/>
      </c>
      <c r="S13" s="127" t="str">
        <f t="shared" si="5"/>
        <v/>
      </c>
      <c r="T13" s="127" t="str">
        <f t="shared" si="5"/>
        <v/>
      </c>
      <c r="U13" s="127" t="str">
        <f t="shared" si="5"/>
        <v/>
      </c>
      <c r="V13" s="127" t="str">
        <f t="shared" si="5"/>
        <v/>
      </c>
      <c r="W13" s="127" t="str">
        <f t="shared" si="5"/>
        <v/>
      </c>
      <c r="X13" s="127" t="str">
        <f t="shared" si="5"/>
        <v/>
      </c>
      <c r="Y13" s="127" t="str">
        <f t="shared" si="5"/>
        <v/>
      </c>
      <c r="Z13" s="127" t="str">
        <f t="shared" si="5"/>
        <v/>
      </c>
      <c r="AA13" s="127" t="str">
        <f t="shared" si="5"/>
        <v/>
      </c>
      <c r="AB13" s="127" t="str">
        <f t="shared" si="5"/>
        <v/>
      </c>
      <c r="AC13" s="127" t="str">
        <f t="shared" si="5"/>
        <v/>
      </c>
      <c r="AD13" s="127" t="str">
        <f t="shared" si="5"/>
        <v/>
      </c>
      <c r="AE13" s="127" t="str">
        <f t="shared" si="5"/>
        <v/>
      </c>
      <c r="AF13" s="127" t="str">
        <f t="shared" si="5"/>
        <v/>
      </c>
      <c r="AG13" s="127" t="str">
        <f t="shared" si="5"/>
        <v/>
      </c>
      <c r="AH13" s="127" t="str">
        <f t="shared" si="5"/>
        <v/>
      </c>
      <c r="AI13" s="127" t="str">
        <f t="shared" si="5"/>
        <v/>
      </c>
      <c r="AJ13" s="127" t="str">
        <f t="shared" si="5"/>
        <v/>
      </c>
      <c r="AK13" s="127" t="str">
        <f t="shared" si="5"/>
        <v/>
      </c>
      <c r="AL13" s="127" t="str">
        <f t="shared" si="5"/>
        <v/>
      </c>
      <c r="AM13" s="127" t="str">
        <f t="shared" si="5"/>
        <v/>
      </c>
      <c r="AN13" s="127" t="str">
        <f t="shared" si="5"/>
        <v/>
      </c>
      <c r="AO13" s="127" t="str">
        <f t="shared" si="5"/>
        <v/>
      </c>
      <c r="AP13" s="127" t="str">
        <f t="shared" si="5"/>
        <v/>
      </c>
      <c r="AQ13" s="127" t="str">
        <f t="shared" si="5"/>
        <v/>
      </c>
      <c r="AR13" s="127" t="str">
        <f t="shared" si="5"/>
        <v/>
      </c>
      <c r="AS13" s="127" t="str">
        <f t="shared" si="5"/>
        <v/>
      </c>
      <c r="AT13" s="127" t="str">
        <f t="shared" si="5"/>
        <v/>
      </c>
      <c r="AU13" s="127" t="str">
        <f t="shared" si="5"/>
        <v/>
      </c>
      <c r="AV13" s="127" t="str">
        <f t="shared" si="5"/>
        <v/>
      </c>
      <c r="AW13" s="127" t="str">
        <f t="shared" si="5"/>
        <v/>
      </c>
      <c r="AX13" s="127" t="str">
        <f t="shared" si="5"/>
        <v/>
      </c>
      <c r="AY13" s="127" t="str">
        <f t="shared" si="5"/>
        <v/>
      </c>
      <c r="AZ13" s="127" t="str">
        <f t="shared" si="5"/>
        <v/>
      </c>
      <c r="BA13" s="127" t="str">
        <f t="shared" si="5"/>
        <v/>
      </c>
      <c r="BB13" s="127" t="str">
        <f t="shared" si="5"/>
        <v/>
      </c>
      <c r="BC13" s="127" t="str">
        <f t="shared" si="5"/>
        <v/>
      </c>
      <c r="BD13" s="127" t="str">
        <f t="shared" si="5"/>
        <v/>
      </c>
      <c r="BE13" s="127" t="str">
        <f t="shared" si="5"/>
        <v/>
      </c>
      <c r="BF13" s="127" t="str">
        <f t="shared" si="5"/>
        <v/>
      </c>
      <c r="BG13" s="127" t="str">
        <f t="shared" si="6"/>
        <v/>
      </c>
      <c r="BH13" s="127" t="str">
        <f t="shared" si="6"/>
        <v/>
      </c>
      <c r="BI13" s="127" t="str">
        <f t="shared" si="6"/>
        <v/>
      </c>
      <c r="BJ13" s="127" t="str">
        <f t="shared" si="6"/>
        <v/>
      </c>
      <c r="BK13" s="127" t="str">
        <f t="shared" si="6"/>
        <v/>
      </c>
      <c r="BL13" s="127" t="str">
        <f t="shared" si="6"/>
        <v/>
      </c>
      <c r="BM13" s="127" t="str">
        <f t="shared" si="6"/>
        <v/>
      </c>
      <c r="BN13" s="127" t="str">
        <f t="shared" si="6"/>
        <v/>
      </c>
      <c r="BO13" s="127" t="str">
        <f t="shared" si="6"/>
        <v/>
      </c>
      <c r="BP13" s="127" t="str">
        <f t="shared" si="6"/>
        <v/>
      </c>
      <c r="BQ13" s="127" t="str">
        <f t="shared" si="6"/>
        <v/>
      </c>
      <c r="BR13" s="127" t="str">
        <f t="shared" si="6"/>
        <v/>
      </c>
      <c r="BS13" s="127" t="str">
        <f t="shared" si="6"/>
        <v/>
      </c>
      <c r="BT13" s="127" t="str">
        <f t="shared" si="7"/>
        <v/>
      </c>
      <c r="BU13" s="127" t="str">
        <f t="shared" si="7"/>
        <v/>
      </c>
      <c r="BV13" s="127" t="str">
        <f t="shared" si="7"/>
        <v/>
      </c>
      <c r="BW13" s="127" t="str">
        <f t="shared" si="7"/>
        <v/>
      </c>
      <c r="BX13" s="127" t="str">
        <f t="shared" si="7"/>
        <v/>
      </c>
      <c r="BY13" s="127" t="str">
        <f t="shared" si="7"/>
        <v/>
      </c>
      <c r="BZ13" s="127" t="str">
        <f t="shared" si="7"/>
        <v/>
      </c>
      <c r="CA13" s="127" t="str">
        <f t="shared" si="7"/>
        <v/>
      </c>
      <c r="CB13" s="127" t="str">
        <f t="shared" si="7"/>
        <v/>
      </c>
      <c r="CC13" s="127" t="str">
        <f t="shared" si="7"/>
        <v/>
      </c>
      <c r="CD13" s="127" t="str">
        <f t="shared" si="7"/>
        <v/>
      </c>
      <c r="CE13" s="127" t="str">
        <f t="shared" si="7"/>
        <v/>
      </c>
    </row>
    <row r="14" spans="1:83" ht="12.6" customHeight="1" x14ac:dyDescent="0.2">
      <c r="A14" s="106">
        <f>SHIPMENTS!A20</f>
        <v>4781</v>
      </c>
      <c r="B14" s="106" t="str">
        <f>SHIPMENTS!B20</f>
        <v>41700-CANADA BSAUNAS BACKLOG</v>
      </c>
      <c r="C14" s="132">
        <f>SHIPMENTS!F20</f>
        <v>0</v>
      </c>
      <c r="D14" s="107" t="str">
        <f>IF((SHIPMENTS!I20)=0,"",SHIPMENTS!I20)</f>
        <v/>
      </c>
      <c r="E14" s="176" t="str">
        <f>IF((SHIPMENTS!G20)=0,"",SHIPMENTS!G20)</f>
        <v/>
      </c>
      <c r="F14" s="97">
        <f>VLOOKUP(A14,Items!$A$5:$J$1000,2,0)</f>
        <v>65</v>
      </c>
      <c r="G14" s="98">
        <f>VLOOKUP(A14,load!$A$4:$U$5001,11,0)</f>
        <v>245.85333333333332</v>
      </c>
      <c r="H14" s="97">
        <v>9</v>
      </c>
      <c r="I14" s="98">
        <f t="shared" si="8"/>
        <v>81.899999999999991</v>
      </c>
      <c r="J14" s="99">
        <f t="shared" si="0"/>
        <v>3.0018722018722022</v>
      </c>
      <c r="K14" s="99">
        <f t="shared" si="9"/>
        <v>27.317037037037039</v>
      </c>
      <c r="L14" s="98">
        <f t="shared" si="1"/>
        <v>0.30018722018722022</v>
      </c>
      <c r="M14" s="98">
        <f t="shared" si="2"/>
        <v>2.7317037037037046</v>
      </c>
      <c r="N14" s="181">
        <f>IF(G14&gt;0,('MP2-DA'!N14+5),O13)</f>
        <v>46326.01645533953</v>
      </c>
      <c r="O14" s="181">
        <f t="shared" si="11"/>
        <v>46326.316642559716</v>
      </c>
      <c r="P14" s="101">
        <f>VLOOKUP(A14,SHIPMENTS!$A$7:$N$171,13,0)</f>
        <v>0.9</v>
      </c>
      <c r="Q14" s="101"/>
      <c r="R14" s="127" t="str">
        <f t="shared" si="4"/>
        <v/>
      </c>
      <c r="S14" s="127" t="str">
        <f t="shared" si="5"/>
        <v/>
      </c>
      <c r="T14" s="127" t="str">
        <f t="shared" si="5"/>
        <v/>
      </c>
      <c r="U14" s="127" t="str">
        <f t="shared" si="5"/>
        <v/>
      </c>
      <c r="V14" s="127" t="str">
        <f t="shared" si="5"/>
        <v/>
      </c>
      <c r="W14" s="127" t="str">
        <f t="shared" si="5"/>
        <v/>
      </c>
      <c r="X14" s="127" t="str">
        <f t="shared" si="5"/>
        <v/>
      </c>
      <c r="Y14" s="127" t="str">
        <f t="shared" si="5"/>
        <v/>
      </c>
      <c r="Z14" s="127" t="str">
        <f t="shared" si="5"/>
        <v/>
      </c>
      <c r="AA14" s="127" t="str">
        <f t="shared" si="5"/>
        <v/>
      </c>
      <c r="AB14" s="127" t="str">
        <f t="shared" si="5"/>
        <v/>
      </c>
      <c r="AC14" s="127" t="str">
        <f t="shared" si="5"/>
        <v/>
      </c>
      <c r="AD14" s="127" t="str">
        <f t="shared" si="5"/>
        <v/>
      </c>
      <c r="AE14" s="127" t="str">
        <f t="shared" si="5"/>
        <v/>
      </c>
      <c r="AF14" s="127" t="str">
        <f t="shared" si="5"/>
        <v/>
      </c>
      <c r="AG14" s="127" t="str">
        <f t="shared" si="5"/>
        <v/>
      </c>
      <c r="AH14" s="127" t="str">
        <f t="shared" ref="AH14:BH20" si="12">IF($E14=AH$3,"▲","")</f>
        <v/>
      </c>
      <c r="AI14" s="127" t="str">
        <f t="shared" si="12"/>
        <v/>
      </c>
      <c r="AJ14" s="127" t="str">
        <f t="shared" si="12"/>
        <v/>
      </c>
      <c r="AK14" s="127" t="str">
        <f t="shared" si="12"/>
        <v/>
      </c>
      <c r="AL14" s="127" t="str">
        <f t="shared" si="12"/>
        <v/>
      </c>
      <c r="AM14" s="127" t="str">
        <f t="shared" si="12"/>
        <v/>
      </c>
      <c r="AN14" s="127" t="str">
        <f t="shared" si="12"/>
        <v/>
      </c>
      <c r="AO14" s="127" t="str">
        <f t="shared" si="12"/>
        <v/>
      </c>
      <c r="AP14" s="127" t="str">
        <f t="shared" si="12"/>
        <v/>
      </c>
      <c r="AQ14" s="127" t="str">
        <f t="shared" si="12"/>
        <v/>
      </c>
      <c r="AR14" s="127" t="str">
        <f t="shared" si="12"/>
        <v/>
      </c>
      <c r="AS14" s="127" t="str">
        <f t="shared" si="12"/>
        <v/>
      </c>
      <c r="AT14" s="127" t="str">
        <f t="shared" si="12"/>
        <v/>
      </c>
      <c r="AU14" s="127" t="str">
        <f t="shared" si="12"/>
        <v/>
      </c>
      <c r="AV14" s="127" t="str">
        <f t="shared" si="12"/>
        <v/>
      </c>
      <c r="AW14" s="127" t="str">
        <f t="shared" si="12"/>
        <v/>
      </c>
      <c r="AX14" s="127" t="str">
        <f t="shared" si="12"/>
        <v/>
      </c>
      <c r="AY14" s="127" t="str">
        <f t="shared" si="12"/>
        <v/>
      </c>
      <c r="AZ14" s="127" t="str">
        <f t="shared" si="12"/>
        <v/>
      </c>
      <c r="BA14" s="127" t="str">
        <f t="shared" si="12"/>
        <v/>
      </c>
      <c r="BB14" s="127" t="str">
        <f t="shared" si="12"/>
        <v/>
      </c>
      <c r="BC14" s="127" t="str">
        <f t="shared" si="12"/>
        <v/>
      </c>
      <c r="BD14" s="127" t="str">
        <f t="shared" si="12"/>
        <v/>
      </c>
      <c r="BE14" s="127" t="str">
        <f t="shared" si="12"/>
        <v/>
      </c>
      <c r="BF14" s="127" t="str">
        <f t="shared" si="12"/>
        <v/>
      </c>
      <c r="BG14" s="127" t="str">
        <f t="shared" si="12"/>
        <v/>
      </c>
      <c r="BH14" s="127" t="str">
        <f t="shared" si="12"/>
        <v/>
      </c>
      <c r="BI14" s="127" t="str">
        <f t="shared" si="6"/>
        <v/>
      </c>
      <c r="BJ14" s="127" t="str">
        <f t="shared" si="6"/>
        <v/>
      </c>
      <c r="BK14" s="127" t="str">
        <f t="shared" si="6"/>
        <v/>
      </c>
      <c r="BL14" s="127" t="str">
        <f t="shared" si="6"/>
        <v/>
      </c>
      <c r="BM14" s="127" t="str">
        <f t="shared" si="6"/>
        <v/>
      </c>
      <c r="BN14" s="127" t="str">
        <f t="shared" si="6"/>
        <v/>
      </c>
      <c r="BO14" s="127" t="str">
        <f t="shared" si="6"/>
        <v/>
      </c>
      <c r="BP14" s="127" t="str">
        <f t="shared" si="6"/>
        <v/>
      </c>
      <c r="BQ14" s="127" t="str">
        <f t="shared" si="6"/>
        <v/>
      </c>
      <c r="BR14" s="127" t="str">
        <f t="shared" si="6"/>
        <v/>
      </c>
      <c r="BS14" s="127" t="str">
        <f t="shared" si="6"/>
        <v/>
      </c>
      <c r="BT14" s="127" t="str">
        <f t="shared" si="7"/>
        <v/>
      </c>
      <c r="BU14" s="127" t="str">
        <f t="shared" si="7"/>
        <v/>
      </c>
      <c r="BV14" s="127" t="str">
        <f t="shared" si="7"/>
        <v/>
      </c>
      <c r="BW14" s="127" t="str">
        <f t="shared" si="7"/>
        <v/>
      </c>
      <c r="BX14" s="127" t="str">
        <f t="shared" si="7"/>
        <v/>
      </c>
      <c r="BY14" s="127" t="str">
        <f t="shared" si="7"/>
        <v/>
      </c>
      <c r="BZ14" s="127" t="str">
        <f t="shared" si="7"/>
        <v/>
      </c>
      <c r="CA14" s="127" t="str">
        <f t="shared" si="7"/>
        <v/>
      </c>
      <c r="CB14" s="127" t="str">
        <f t="shared" si="7"/>
        <v/>
      </c>
      <c r="CC14" s="127" t="str">
        <f t="shared" si="7"/>
        <v/>
      </c>
      <c r="CD14" s="127" t="str">
        <f t="shared" si="7"/>
        <v/>
      </c>
      <c r="CE14" s="127" t="str">
        <f t="shared" si="7"/>
        <v/>
      </c>
    </row>
    <row r="15" spans="1:83" ht="12.6" hidden="1" customHeight="1" x14ac:dyDescent="0.2">
      <c r="A15" s="106">
        <f>SHIPMENTS!A21</f>
        <v>9259</v>
      </c>
      <c r="B15" s="106" t="str">
        <f>SHIPMENTS!B21</f>
        <v>27200-UAE</v>
      </c>
      <c r="C15" s="132">
        <f>SHIPMENTS!F21</f>
        <v>7.0000000000000007E-2</v>
      </c>
      <c r="D15" s="107" t="str">
        <f>IF((SHIPMENTS!I21)=0,"",SHIPMENTS!I21)</f>
        <v>AIR</v>
      </c>
      <c r="E15" s="176">
        <f>IF((SHIPMENTS!G21)=0,"",SHIPMENTS!G21)</f>
        <v>46316</v>
      </c>
      <c r="F15" s="97">
        <f>VLOOKUP(A15,Items!$A$5:$J$1000,2,0)</f>
        <v>0</v>
      </c>
      <c r="G15" s="98">
        <f>VLOOKUP(A15,load!$A$4:$U$5001,11,0)</f>
        <v>0</v>
      </c>
      <c r="H15" s="97">
        <v>9</v>
      </c>
      <c r="I15" s="98">
        <f t="shared" si="8"/>
        <v>81.899999999999991</v>
      </c>
      <c r="J15" s="99">
        <f t="shared" si="0"/>
        <v>0</v>
      </c>
      <c r="K15" s="99">
        <f t="shared" si="9"/>
        <v>0</v>
      </c>
      <c r="L15" s="98">
        <f t="shared" si="1"/>
        <v>0</v>
      </c>
      <c r="M15" s="98">
        <f t="shared" si="2"/>
        <v>0</v>
      </c>
      <c r="N15" s="181">
        <f>IF(G15&gt;0,('MP2-DA'!N15+5),O14)</f>
        <v>46326.316642559716</v>
      </c>
      <c r="O15" s="181">
        <f t="shared" si="11"/>
        <v>46326.316642559716</v>
      </c>
      <c r="P15" s="101" t="str">
        <f>VLOOKUP(A15,SHIPMENTS!$A$7:$N$171,13,0)</f>
        <v>n/a</v>
      </c>
      <c r="Q15" s="101"/>
      <c r="R15" s="127" t="str">
        <f t="shared" si="4"/>
        <v/>
      </c>
      <c r="S15" s="127" t="str">
        <f t="shared" ref="S15:BF21" si="13">IF($E15=S$3,"▲","")</f>
        <v/>
      </c>
      <c r="T15" s="127" t="str">
        <f t="shared" si="13"/>
        <v>▲</v>
      </c>
      <c r="U15" s="127" t="str">
        <f t="shared" si="13"/>
        <v/>
      </c>
      <c r="V15" s="127" t="str">
        <f t="shared" si="13"/>
        <v/>
      </c>
      <c r="W15" s="127" t="str">
        <f t="shared" si="13"/>
        <v/>
      </c>
      <c r="X15" s="127" t="str">
        <f t="shared" si="13"/>
        <v/>
      </c>
      <c r="Y15" s="127" t="str">
        <f t="shared" si="13"/>
        <v/>
      </c>
      <c r="Z15" s="127" t="str">
        <f t="shared" si="13"/>
        <v/>
      </c>
      <c r="AA15" s="127" t="str">
        <f t="shared" si="13"/>
        <v/>
      </c>
      <c r="AB15" s="127" t="str">
        <f t="shared" si="13"/>
        <v/>
      </c>
      <c r="AC15" s="127" t="str">
        <f t="shared" si="13"/>
        <v/>
      </c>
      <c r="AD15" s="127" t="str">
        <f t="shared" si="13"/>
        <v/>
      </c>
      <c r="AE15" s="127" t="str">
        <f t="shared" si="13"/>
        <v/>
      </c>
      <c r="AF15" s="127" t="str">
        <f t="shared" si="13"/>
        <v/>
      </c>
      <c r="AG15" s="127" t="str">
        <f t="shared" si="13"/>
        <v/>
      </c>
      <c r="AH15" s="127" t="str">
        <f t="shared" si="13"/>
        <v/>
      </c>
      <c r="AI15" s="127" t="str">
        <f t="shared" si="13"/>
        <v/>
      </c>
      <c r="AJ15" s="127" t="str">
        <f t="shared" si="13"/>
        <v/>
      </c>
      <c r="AK15" s="127" t="str">
        <f t="shared" si="13"/>
        <v/>
      </c>
      <c r="AL15" s="127" t="str">
        <f t="shared" si="13"/>
        <v/>
      </c>
      <c r="AM15" s="127" t="str">
        <f t="shared" si="13"/>
        <v/>
      </c>
      <c r="AN15" s="127" t="str">
        <f t="shared" si="13"/>
        <v/>
      </c>
      <c r="AO15" s="127" t="str">
        <f t="shared" si="13"/>
        <v/>
      </c>
      <c r="AP15" s="127" t="str">
        <f t="shared" si="13"/>
        <v/>
      </c>
      <c r="AQ15" s="127" t="str">
        <f t="shared" si="13"/>
        <v/>
      </c>
      <c r="AR15" s="127" t="str">
        <f t="shared" si="13"/>
        <v/>
      </c>
      <c r="AS15" s="127" t="str">
        <f t="shared" si="13"/>
        <v/>
      </c>
      <c r="AT15" s="127" t="str">
        <f t="shared" si="13"/>
        <v/>
      </c>
      <c r="AU15" s="127" t="str">
        <f t="shared" si="13"/>
        <v/>
      </c>
      <c r="AV15" s="127" t="str">
        <f t="shared" si="13"/>
        <v/>
      </c>
      <c r="AW15" s="127" t="str">
        <f t="shared" si="13"/>
        <v/>
      </c>
      <c r="AX15" s="127" t="str">
        <f t="shared" si="13"/>
        <v/>
      </c>
      <c r="AY15" s="127" t="str">
        <f t="shared" si="13"/>
        <v/>
      </c>
      <c r="AZ15" s="127" t="str">
        <f t="shared" si="13"/>
        <v/>
      </c>
      <c r="BA15" s="127" t="str">
        <f t="shared" si="13"/>
        <v/>
      </c>
      <c r="BB15" s="127" t="str">
        <f t="shared" si="13"/>
        <v/>
      </c>
      <c r="BC15" s="127" t="str">
        <f t="shared" si="13"/>
        <v/>
      </c>
      <c r="BD15" s="127" t="str">
        <f t="shared" si="13"/>
        <v/>
      </c>
      <c r="BE15" s="127" t="str">
        <f t="shared" si="13"/>
        <v/>
      </c>
      <c r="BF15" s="127" t="str">
        <f t="shared" si="13"/>
        <v/>
      </c>
      <c r="BG15" s="127" t="str">
        <f t="shared" si="12"/>
        <v/>
      </c>
      <c r="BH15" s="127" t="str">
        <f t="shared" si="12"/>
        <v/>
      </c>
      <c r="BI15" s="127" t="str">
        <f t="shared" si="6"/>
        <v/>
      </c>
      <c r="BJ15" s="127" t="str">
        <f t="shared" si="6"/>
        <v/>
      </c>
      <c r="BK15" s="127" t="str">
        <f t="shared" si="6"/>
        <v/>
      </c>
      <c r="BL15" s="127" t="str">
        <f t="shared" si="6"/>
        <v/>
      </c>
      <c r="BM15" s="127" t="str">
        <f t="shared" si="6"/>
        <v/>
      </c>
      <c r="BN15" s="127" t="str">
        <f t="shared" si="6"/>
        <v/>
      </c>
      <c r="BO15" s="127" t="str">
        <f t="shared" si="6"/>
        <v/>
      </c>
      <c r="BP15" s="127" t="str">
        <f t="shared" si="6"/>
        <v/>
      </c>
      <c r="BQ15" s="127" t="str">
        <f t="shared" si="6"/>
        <v/>
      </c>
      <c r="BR15" s="127" t="str">
        <f t="shared" si="6"/>
        <v/>
      </c>
      <c r="BS15" s="127" t="str">
        <f t="shared" si="6"/>
        <v/>
      </c>
      <c r="BT15" s="127" t="str">
        <f t="shared" si="7"/>
        <v/>
      </c>
      <c r="BU15" s="127" t="str">
        <f t="shared" si="7"/>
        <v/>
      </c>
      <c r="BV15" s="127" t="str">
        <f t="shared" si="7"/>
        <v/>
      </c>
      <c r="BW15" s="127" t="str">
        <f t="shared" si="7"/>
        <v/>
      </c>
      <c r="BX15" s="127" t="str">
        <f t="shared" si="7"/>
        <v/>
      </c>
      <c r="BY15" s="127" t="str">
        <f t="shared" si="7"/>
        <v/>
      </c>
      <c r="BZ15" s="127" t="str">
        <f t="shared" si="7"/>
        <v/>
      </c>
      <c r="CA15" s="127" t="str">
        <f t="shared" si="7"/>
        <v/>
      </c>
      <c r="CB15" s="127" t="str">
        <f t="shared" si="7"/>
        <v/>
      </c>
      <c r="CC15" s="127" t="str">
        <f t="shared" si="7"/>
        <v/>
      </c>
      <c r="CD15" s="127" t="str">
        <f t="shared" si="7"/>
        <v/>
      </c>
      <c r="CE15" s="127" t="str">
        <f t="shared" si="7"/>
        <v/>
      </c>
    </row>
    <row r="16" spans="1:83" ht="12.6" customHeight="1" x14ac:dyDescent="0.2">
      <c r="A16" s="106">
        <f>SHIPMENTS!A22</f>
        <v>8765</v>
      </c>
      <c r="B16" s="106" t="str">
        <f>SHIPMENTS!B22</f>
        <v>8200-AUSTRALIA</v>
      </c>
      <c r="C16" s="132">
        <f>SHIPMENTS!F22</f>
        <v>64.930000000000007</v>
      </c>
      <c r="D16" s="107" t="str">
        <f>IF((SHIPMENTS!I22)=0,"",SHIPMENTS!I22)</f>
        <v>1X40HC</v>
      </c>
      <c r="E16" s="176">
        <f>IF((SHIPMENTS!G22)=0,"",SHIPMENTS!G22)</f>
        <v>46316</v>
      </c>
      <c r="F16" s="97">
        <f>VLOOKUP(A16,Items!$A$5:$J$1000,2,0)</f>
        <v>4</v>
      </c>
      <c r="G16" s="98">
        <f>VLOOKUP(A16,load!$A$4:$U$5001,11,0)</f>
        <v>5.9020000000000001</v>
      </c>
      <c r="H16" s="97">
        <v>9</v>
      </c>
      <c r="I16" s="98">
        <f t="shared" si="8"/>
        <v>81.899999999999991</v>
      </c>
      <c r="J16" s="99">
        <f t="shared" si="0"/>
        <v>7.2063492063492079E-2</v>
      </c>
      <c r="K16" s="99">
        <f t="shared" si="9"/>
        <v>0.6557777777777779</v>
      </c>
      <c r="L16" s="98">
        <f t="shared" si="1"/>
        <v>7.2063492063492079E-2</v>
      </c>
      <c r="M16" s="98">
        <f t="shared" si="2"/>
        <v>0.6557777777777779</v>
      </c>
      <c r="N16" s="181">
        <f>IF(G16&gt;0,('MP2-DA'!N16+5),O15)</f>
        <v>46326.01645533953</v>
      </c>
      <c r="O16" s="181">
        <f t="shared" si="11"/>
        <v>46326.088518831595</v>
      </c>
      <c r="P16" s="101">
        <f>VLOOKUP(A16,SHIPMENTS!$A$7:$N$171,13,0)</f>
        <v>0</v>
      </c>
      <c r="Q16" s="101"/>
      <c r="R16" s="127" t="str">
        <f t="shared" si="4"/>
        <v/>
      </c>
      <c r="S16" s="127" t="str">
        <f t="shared" si="13"/>
        <v/>
      </c>
      <c r="T16" s="127" t="str">
        <f t="shared" si="13"/>
        <v>▲</v>
      </c>
      <c r="U16" s="127" t="str">
        <f t="shared" si="13"/>
        <v/>
      </c>
      <c r="V16" s="127" t="str">
        <f t="shared" si="13"/>
        <v/>
      </c>
      <c r="W16" s="127" t="str">
        <f t="shared" si="13"/>
        <v/>
      </c>
      <c r="X16" s="127" t="str">
        <f t="shared" si="13"/>
        <v/>
      </c>
      <c r="Y16" s="127" t="str">
        <f t="shared" si="13"/>
        <v/>
      </c>
      <c r="Z16" s="127" t="str">
        <f t="shared" si="13"/>
        <v/>
      </c>
      <c r="AA16" s="127" t="str">
        <f t="shared" si="13"/>
        <v/>
      </c>
      <c r="AB16" s="127" t="str">
        <f t="shared" si="13"/>
        <v/>
      </c>
      <c r="AC16" s="127" t="str">
        <f t="shared" si="13"/>
        <v/>
      </c>
      <c r="AD16" s="127" t="str">
        <f t="shared" si="13"/>
        <v/>
      </c>
      <c r="AE16" s="127" t="str">
        <f t="shared" si="13"/>
        <v/>
      </c>
      <c r="AF16" s="127" t="str">
        <f t="shared" si="13"/>
        <v/>
      </c>
      <c r="AG16" s="127" t="str">
        <f t="shared" si="13"/>
        <v/>
      </c>
      <c r="AH16" s="127" t="str">
        <f t="shared" si="13"/>
        <v/>
      </c>
      <c r="AI16" s="127" t="str">
        <f t="shared" si="13"/>
        <v/>
      </c>
      <c r="AJ16" s="127" t="str">
        <f t="shared" si="13"/>
        <v/>
      </c>
      <c r="AK16" s="127" t="str">
        <f t="shared" si="13"/>
        <v/>
      </c>
      <c r="AL16" s="127" t="str">
        <f t="shared" si="13"/>
        <v/>
      </c>
      <c r="AM16" s="127" t="str">
        <f t="shared" si="13"/>
        <v/>
      </c>
      <c r="AN16" s="127" t="str">
        <f t="shared" si="13"/>
        <v/>
      </c>
      <c r="AO16" s="127" t="str">
        <f t="shared" si="13"/>
        <v/>
      </c>
      <c r="AP16" s="127" t="str">
        <f t="shared" si="13"/>
        <v/>
      </c>
      <c r="AQ16" s="127" t="str">
        <f t="shared" si="13"/>
        <v/>
      </c>
      <c r="AR16" s="127" t="str">
        <f t="shared" si="13"/>
        <v/>
      </c>
      <c r="AS16" s="127" t="str">
        <f t="shared" si="13"/>
        <v/>
      </c>
      <c r="AT16" s="127" t="str">
        <f t="shared" si="13"/>
        <v/>
      </c>
      <c r="AU16" s="127" t="str">
        <f t="shared" si="13"/>
        <v/>
      </c>
      <c r="AV16" s="127" t="str">
        <f t="shared" si="13"/>
        <v/>
      </c>
      <c r="AW16" s="127" t="str">
        <f t="shared" si="13"/>
        <v/>
      </c>
      <c r="AX16" s="127" t="str">
        <f t="shared" si="13"/>
        <v/>
      </c>
      <c r="AY16" s="127" t="str">
        <f t="shared" si="13"/>
        <v/>
      </c>
      <c r="AZ16" s="127" t="str">
        <f t="shared" si="13"/>
        <v/>
      </c>
      <c r="BA16" s="127" t="str">
        <f t="shared" si="13"/>
        <v/>
      </c>
      <c r="BB16" s="127" t="str">
        <f t="shared" si="13"/>
        <v/>
      </c>
      <c r="BC16" s="127" t="str">
        <f t="shared" si="13"/>
        <v/>
      </c>
      <c r="BD16" s="127" t="str">
        <f t="shared" si="13"/>
        <v/>
      </c>
      <c r="BE16" s="127" t="str">
        <f t="shared" si="13"/>
        <v/>
      </c>
      <c r="BF16" s="127" t="str">
        <f t="shared" si="13"/>
        <v/>
      </c>
      <c r="BG16" s="127" t="str">
        <f t="shared" si="12"/>
        <v/>
      </c>
      <c r="BH16" s="127" t="str">
        <f t="shared" si="6"/>
        <v/>
      </c>
      <c r="BI16" s="127" t="str">
        <f t="shared" si="6"/>
        <v/>
      </c>
      <c r="BJ16" s="127" t="str">
        <f t="shared" si="6"/>
        <v/>
      </c>
      <c r="BK16" s="127" t="str">
        <f t="shared" si="6"/>
        <v/>
      </c>
      <c r="BL16" s="127" t="str">
        <f t="shared" si="6"/>
        <v/>
      </c>
      <c r="BM16" s="127" t="str">
        <f t="shared" si="6"/>
        <v/>
      </c>
      <c r="BN16" s="127" t="str">
        <f t="shared" si="6"/>
        <v/>
      </c>
      <c r="BO16" s="127" t="str">
        <f t="shared" si="6"/>
        <v/>
      </c>
      <c r="BP16" s="127" t="str">
        <f t="shared" si="6"/>
        <v/>
      </c>
      <c r="BQ16" s="127" t="str">
        <f t="shared" si="6"/>
        <v/>
      </c>
      <c r="BR16" s="127" t="str">
        <f t="shared" si="6"/>
        <v/>
      </c>
      <c r="BS16" s="127" t="str">
        <f t="shared" si="6"/>
        <v/>
      </c>
      <c r="BT16" s="127" t="str">
        <f t="shared" si="7"/>
        <v/>
      </c>
      <c r="BU16" s="127" t="str">
        <f t="shared" si="7"/>
        <v/>
      </c>
      <c r="BV16" s="127" t="str">
        <f t="shared" si="7"/>
        <v/>
      </c>
      <c r="BW16" s="127" t="str">
        <f t="shared" si="7"/>
        <v/>
      </c>
      <c r="BX16" s="127" t="str">
        <f t="shared" si="7"/>
        <v/>
      </c>
      <c r="BY16" s="127" t="str">
        <f t="shared" si="7"/>
        <v/>
      </c>
      <c r="BZ16" s="127" t="str">
        <f t="shared" si="7"/>
        <v/>
      </c>
      <c r="CA16" s="127" t="str">
        <f t="shared" si="7"/>
        <v/>
      </c>
      <c r="CB16" s="127" t="str">
        <f t="shared" si="7"/>
        <v/>
      </c>
      <c r="CC16" s="127" t="str">
        <f t="shared" si="7"/>
        <v/>
      </c>
      <c r="CD16" s="127" t="str">
        <f t="shared" si="7"/>
        <v/>
      </c>
      <c r="CE16" s="127" t="str">
        <f t="shared" si="7"/>
        <v/>
      </c>
    </row>
    <row r="17" spans="1:83" ht="12.6" hidden="1" customHeight="1" x14ac:dyDescent="0.2">
      <c r="A17" s="106">
        <f>SHIPMENTS!A23</f>
        <v>7919</v>
      </c>
      <c r="B17" s="106" t="str">
        <f>SHIPMENTS!B23</f>
        <v>8200-AUSTRALIA</v>
      </c>
      <c r="C17" s="132">
        <f>SHIPMENTS!F23</f>
        <v>0</v>
      </c>
      <c r="D17" s="107" t="str">
        <f>IF((SHIPMENTS!I23)=0,"",SHIPMENTS!I23)</f>
        <v/>
      </c>
      <c r="E17" s="176" t="str">
        <f>IF((SHIPMENTS!G23)=0,"",SHIPMENTS!G23)</f>
        <v/>
      </c>
      <c r="F17" s="97">
        <f>VLOOKUP(A17,Items!$A$5:$J$1000,2,0)</f>
        <v>0</v>
      </c>
      <c r="G17" s="98">
        <f>VLOOKUP(A17,load!$A$4:$U$5001,11,0)</f>
        <v>0</v>
      </c>
      <c r="H17" s="97">
        <v>9</v>
      </c>
      <c r="I17" s="98">
        <f t="shared" si="8"/>
        <v>81.899999999999991</v>
      </c>
      <c r="J17" s="99">
        <f t="shared" si="0"/>
        <v>0</v>
      </c>
      <c r="K17" s="99">
        <f t="shared" si="9"/>
        <v>0</v>
      </c>
      <c r="L17" s="98">
        <f t="shared" si="1"/>
        <v>0</v>
      </c>
      <c r="M17" s="98">
        <f t="shared" si="2"/>
        <v>0</v>
      </c>
      <c r="N17" s="181">
        <f>IF(G17&gt;0,('MP2-DA'!N17+5),O16)</f>
        <v>46326.088518831595</v>
      </c>
      <c r="O17" s="181">
        <f t="shared" si="11"/>
        <v>46326.088518831595</v>
      </c>
      <c r="P17" s="101" t="str">
        <f>VLOOKUP(A17,SHIPMENTS!$A$7:$N$171,13,0)</f>
        <v>n/a</v>
      </c>
      <c r="Q17" s="101"/>
      <c r="R17" s="127" t="str">
        <f t="shared" si="4"/>
        <v/>
      </c>
      <c r="S17" s="127" t="str">
        <f t="shared" si="13"/>
        <v/>
      </c>
      <c r="T17" s="127" t="str">
        <f t="shared" si="13"/>
        <v/>
      </c>
      <c r="U17" s="127" t="str">
        <f t="shared" si="13"/>
        <v/>
      </c>
      <c r="V17" s="127" t="str">
        <f t="shared" si="13"/>
        <v/>
      </c>
      <c r="W17" s="127" t="str">
        <f t="shared" si="13"/>
        <v/>
      </c>
      <c r="X17" s="127" t="str">
        <f t="shared" si="13"/>
        <v/>
      </c>
      <c r="Y17" s="127" t="str">
        <f t="shared" si="13"/>
        <v/>
      </c>
      <c r="Z17" s="127" t="str">
        <f t="shared" si="13"/>
        <v/>
      </c>
      <c r="AA17" s="127" t="str">
        <f t="shared" si="13"/>
        <v/>
      </c>
      <c r="AB17" s="127" t="str">
        <f t="shared" si="13"/>
        <v/>
      </c>
      <c r="AC17" s="127" t="str">
        <f t="shared" si="13"/>
        <v/>
      </c>
      <c r="AD17" s="127" t="str">
        <f t="shared" si="13"/>
        <v/>
      </c>
      <c r="AE17" s="127" t="str">
        <f t="shared" si="13"/>
        <v/>
      </c>
      <c r="AF17" s="127" t="str">
        <f t="shared" si="13"/>
        <v/>
      </c>
      <c r="AG17" s="127" t="str">
        <f t="shared" si="13"/>
        <v/>
      </c>
      <c r="AH17" s="127" t="str">
        <f t="shared" si="13"/>
        <v/>
      </c>
      <c r="AI17" s="127" t="str">
        <f t="shared" si="13"/>
        <v/>
      </c>
      <c r="AJ17" s="127" t="str">
        <f t="shared" si="13"/>
        <v/>
      </c>
      <c r="AK17" s="127" t="str">
        <f t="shared" si="13"/>
        <v/>
      </c>
      <c r="AL17" s="127" t="str">
        <f t="shared" si="13"/>
        <v/>
      </c>
      <c r="AM17" s="127" t="str">
        <f t="shared" si="13"/>
        <v/>
      </c>
      <c r="AN17" s="127" t="str">
        <f t="shared" si="13"/>
        <v/>
      </c>
      <c r="AO17" s="127" t="str">
        <f t="shared" si="13"/>
        <v/>
      </c>
      <c r="AP17" s="127" t="str">
        <f t="shared" si="13"/>
        <v/>
      </c>
      <c r="AQ17" s="127" t="str">
        <f t="shared" si="13"/>
        <v/>
      </c>
      <c r="AR17" s="127" t="str">
        <f t="shared" si="13"/>
        <v/>
      </c>
      <c r="AS17" s="127" t="str">
        <f t="shared" si="13"/>
        <v/>
      </c>
      <c r="AT17" s="127" t="str">
        <f t="shared" si="13"/>
        <v/>
      </c>
      <c r="AU17" s="127" t="str">
        <f t="shared" si="13"/>
        <v/>
      </c>
      <c r="AV17" s="127" t="str">
        <f t="shared" si="13"/>
        <v/>
      </c>
      <c r="AW17" s="127" t="str">
        <f t="shared" si="13"/>
        <v/>
      </c>
      <c r="AX17" s="127" t="str">
        <f t="shared" si="13"/>
        <v/>
      </c>
      <c r="AY17" s="127" t="str">
        <f t="shared" si="13"/>
        <v/>
      </c>
      <c r="AZ17" s="127" t="str">
        <f t="shared" si="13"/>
        <v/>
      </c>
      <c r="BA17" s="127" t="str">
        <f t="shared" si="13"/>
        <v/>
      </c>
      <c r="BB17" s="127" t="str">
        <f t="shared" si="13"/>
        <v/>
      </c>
      <c r="BC17" s="127" t="str">
        <f t="shared" si="13"/>
        <v/>
      </c>
      <c r="BD17" s="127" t="str">
        <f t="shared" si="13"/>
        <v/>
      </c>
      <c r="BE17" s="127" t="str">
        <f t="shared" si="13"/>
        <v/>
      </c>
      <c r="BF17" s="127" t="str">
        <f t="shared" si="13"/>
        <v/>
      </c>
      <c r="BG17" s="127" t="str">
        <f t="shared" si="12"/>
        <v/>
      </c>
      <c r="BH17" s="127" t="str">
        <f t="shared" si="6"/>
        <v/>
      </c>
      <c r="BI17" s="127" t="str">
        <f t="shared" si="6"/>
        <v/>
      </c>
      <c r="BJ17" s="127" t="str">
        <f t="shared" si="6"/>
        <v/>
      </c>
      <c r="BK17" s="127" t="str">
        <f t="shared" si="6"/>
        <v/>
      </c>
      <c r="BL17" s="127" t="str">
        <f t="shared" si="6"/>
        <v/>
      </c>
      <c r="BM17" s="127" t="str">
        <f t="shared" si="6"/>
        <v/>
      </c>
      <c r="BN17" s="127" t="str">
        <f t="shared" si="6"/>
        <v/>
      </c>
      <c r="BO17" s="127" t="str">
        <f t="shared" si="6"/>
        <v/>
      </c>
      <c r="BP17" s="127" t="str">
        <f t="shared" si="6"/>
        <v/>
      </c>
      <c r="BQ17" s="127" t="str">
        <f t="shared" si="6"/>
        <v/>
      </c>
      <c r="BR17" s="127" t="str">
        <f t="shared" si="6"/>
        <v/>
      </c>
      <c r="BS17" s="127" t="str">
        <f t="shared" si="6"/>
        <v/>
      </c>
      <c r="BT17" s="127" t="str">
        <f t="shared" si="7"/>
        <v/>
      </c>
      <c r="BU17" s="127" t="str">
        <f t="shared" si="7"/>
        <v/>
      </c>
      <c r="BV17" s="127" t="str">
        <f t="shared" si="7"/>
        <v/>
      </c>
      <c r="BW17" s="127" t="str">
        <f t="shared" si="7"/>
        <v/>
      </c>
      <c r="BX17" s="127" t="str">
        <f t="shared" si="7"/>
        <v/>
      </c>
      <c r="BY17" s="127" t="str">
        <f t="shared" si="7"/>
        <v/>
      </c>
      <c r="BZ17" s="127" t="str">
        <f t="shared" si="7"/>
        <v/>
      </c>
      <c r="CA17" s="127" t="str">
        <f t="shared" si="7"/>
        <v/>
      </c>
      <c r="CB17" s="127" t="str">
        <f t="shared" si="7"/>
        <v/>
      </c>
      <c r="CC17" s="127" t="str">
        <f t="shared" si="7"/>
        <v/>
      </c>
      <c r="CD17" s="127" t="str">
        <f t="shared" si="7"/>
        <v/>
      </c>
      <c r="CE17" s="127" t="str">
        <f t="shared" si="7"/>
        <v/>
      </c>
    </row>
    <row r="18" spans="1:83" ht="12.6" hidden="1" customHeight="1" x14ac:dyDescent="0.2">
      <c r="A18" s="106">
        <f>SHIPMENTS!A24</f>
        <v>9015</v>
      </c>
      <c r="B18" s="106" t="str">
        <f>SHIPMENTS!B24</f>
        <v>15900- Mandaue City | Atty. Brando Raya</v>
      </c>
      <c r="C18" s="132">
        <f>SHIPMENTS!F24</f>
        <v>0.25600000000000001</v>
      </c>
      <c r="D18" s="107" t="str">
        <f>IF((SHIPMENTS!I24)=0,"",SHIPMENTS!I24)</f>
        <v>LCL</v>
      </c>
      <c r="E18" s="176">
        <f>IF((SHIPMENTS!G24)=0,"",SHIPMENTS!G24)</f>
        <v>46323</v>
      </c>
      <c r="F18" s="97">
        <f>VLOOKUP(A18,Items!$A$5:$J$1000,2,0)</f>
        <v>0</v>
      </c>
      <c r="G18" s="98">
        <f>VLOOKUP(A18,load!$A$4:$U$5001,11,0)</f>
        <v>0</v>
      </c>
      <c r="H18" s="97">
        <v>9</v>
      </c>
      <c r="I18" s="98">
        <f t="shared" si="8"/>
        <v>81.899999999999991</v>
      </c>
      <c r="J18" s="99">
        <f t="shared" si="0"/>
        <v>0</v>
      </c>
      <c r="K18" s="99">
        <f t="shared" si="9"/>
        <v>0</v>
      </c>
      <c r="L18" s="98">
        <f t="shared" si="1"/>
        <v>0</v>
      </c>
      <c r="M18" s="98">
        <f t="shared" si="2"/>
        <v>0</v>
      </c>
      <c r="N18" s="181">
        <f>IF(G18&gt;0,('MP2-DA'!N18+5),O17)</f>
        <v>46326.088518831595</v>
      </c>
      <c r="O18" s="181">
        <f t="shared" si="11"/>
        <v>46326.088518831595</v>
      </c>
      <c r="P18" s="101" t="str">
        <f>VLOOKUP(A18,SHIPMENTS!$A$7:$N$171,13,0)</f>
        <v>n/a</v>
      </c>
      <c r="Q18" s="101"/>
      <c r="R18" s="127" t="str">
        <f t="shared" si="4"/>
        <v/>
      </c>
      <c r="S18" s="127" t="str">
        <f t="shared" si="13"/>
        <v/>
      </c>
      <c r="T18" s="127" t="str">
        <f t="shared" si="13"/>
        <v/>
      </c>
      <c r="U18" s="127" t="str">
        <f t="shared" si="13"/>
        <v/>
      </c>
      <c r="V18" s="127" t="str">
        <f t="shared" si="13"/>
        <v/>
      </c>
      <c r="W18" s="127" t="str">
        <f t="shared" si="13"/>
        <v/>
      </c>
      <c r="X18" s="127" t="str">
        <f t="shared" si="13"/>
        <v/>
      </c>
      <c r="Y18" s="127" t="str">
        <f t="shared" si="13"/>
        <v/>
      </c>
      <c r="Z18" s="127" t="str">
        <f t="shared" si="13"/>
        <v>▲</v>
      </c>
      <c r="AA18" s="127" t="str">
        <f t="shared" si="13"/>
        <v/>
      </c>
      <c r="AB18" s="127" t="str">
        <f t="shared" si="13"/>
        <v/>
      </c>
      <c r="AC18" s="127" t="str">
        <f t="shared" si="13"/>
        <v/>
      </c>
      <c r="AD18" s="127" t="str">
        <f t="shared" si="13"/>
        <v/>
      </c>
      <c r="AE18" s="127" t="str">
        <f t="shared" si="13"/>
        <v/>
      </c>
      <c r="AF18" s="127" t="str">
        <f t="shared" si="13"/>
        <v/>
      </c>
      <c r="AG18" s="127" t="str">
        <f t="shared" si="13"/>
        <v/>
      </c>
      <c r="AH18" s="127" t="str">
        <f t="shared" si="13"/>
        <v/>
      </c>
      <c r="AI18" s="127" t="str">
        <f t="shared" si="13"/>
        <v/>
      </c>
      <c r="AJ18" s="127" t="str">
        <f t="shared" si="13"/>
        <v/>
      </c>
      <c r="AK18" s="127" t="str">
        <f t="shared" si="13"/>
        <v/>
      </c>
      <c r="AL18" s="127" t="str">
        <f t="shared" si="13"/>
        <v/>
      </c>
      <c r="AM18" s="127" t="str">
        <f t="shared" si="13"/>
        <v/>
      </c>
      <c r="AN18" s="127" t="str">
        <f t="shared" si="13"/>
        <v/>
      </c>
      <c r="AO18" s="127" t="str">
        <f t="shared" si="13"/>
        <v/>
      </c>
      <c r="AP18" s="127" t="str">
        <f t="shared" si="13"/>
        <v/>
      </c>
      <c r="AQ18" s="127" t="str">
        <f t="shared" si="13"/>
        <v/>
      </c>
      <c r="AR18" s="127" t="str">
        <f t="shared" si="13"/>
        <v/>
      </c>
      <c r="AS18" s="127" t="str">
        <f t="shared" si="13"/>
        <v/>
      </c>
      <c r="AT18" s="127" t="str">
        <f t="shared" si="13"/>
        <v/>
      </c>
      <c r="AU18" s="127" t="str">
        <f t="shared" si="13"/>
        <v/>
      </c>
      <c r="AV18" s="127" t="str">
        <f t="shared" si="13"/>
        <v/>
      </c>
      <c r="AW18" s="127" t="str">
        <f t="shared" si="13"/>
        <v/>
      </c>
      <c r="AX18" s="127" t="str">
        <f t="shared" si="13"/>
        <v/>
      </c>
      <c r="AY18" s="127" t="str">
        <f t="shared" si="13"/>
        <v/>
      </c>
      <c r="AZ18" s="127" t="str">
        <f t="shared" si="13"/>
        <v/>
      </c>
      <c r="BA18" s="127" t="str">
        <f t="shared" si="13"/>
        <v/>
      </c>
      <c r="BB18" s="127" t="str">
        <f t="shared" si="13"/>
        <v/>
      </c>
      <c r="BC18" s="127" t="str">
        <f t="shared" si="13"/>
        <v/>
      </c>
      <c r="BD18" s="127" t="str">
        <f t="shared" si="13"/>
        <v/>
      </c>
      <c r="BE18" s="127" t="str">
        <f t="shared" si="13"/>
        <v/>
      </c>
      <c r="BF18" s="127" t="str">
        <f t="shared" si="13"/>
        <v/>
      </c>
      <c r="BG18" s="127" t="str">
        <f t="shared" si="12"/>
        <v/>
      </c>
      <c r="BH18" s="127" t="str">
        <f t="shared" si="6"/>
        <v/>
      </c>
      <c r="BI18" s="127" t="str">
        <f t="shared" si="6"/>
        <v/>
      </c>
      <c r="BJ18" s="127" t="str">
        <f t="shared" si="6"/>
        <v/>
      </c>
      <c r="BK18" s="127" t="str">
        <f t="shared" si="6"/>
        <v/>
      </c>
      <c r="BL18" s="127" t="str">
        <f t="shared" si="6"/>
        <v/>
      </c>
      <c r="BM18" s="127" t="str">
        <f t="shared" si="6"/>
        <v/>
      </c>
      <c r="BN18" s="127" t="str">
        <f t="shared" si="6"/>
        <v/>
      </c>
      <c r="BO18" s="127" t="str">
        <f t="shared" si="6"/>
        <v/>
      </c>
      <c r="BP18" s="127" t="str">
        <f t="shared" si="6"/>
        <v/>
      </c>
      <c r="BQ18" s="127" t="str">
        <f t="shared" si="6"/>
        <v/>
      </c>
      <c r="BR18" s="127" t="str">
        <f t="shared" si="6"/>
        <v/>
      </c>
      <c r="BS18" s="127" t="str">
        <f t="shared" si="6"/>
        <v/>
      </c>
      <c r="BT18" s="127" t="str">
        <f t="shared" si="7"/>
        <v/>
      </c>
      <c r="BU18" s="127" t="str">
        <f t="shared" si="7"/>
        <v/>
      </c>
      <c r="BV18" s="127" t="str">
        <f t="shared" si="7"/>
        <v/>
      </c>
      <c r="BW18" s="127" t="str">
        <f t="shared" si="7"/>
        <v/>
      </c>
      <c r="BX18" s="127" t="str">
        <f t="shared" si="7"/>
        <v/>
      </c>
      <c r="BY18" s="127" t="str">
        <f t="shared" si="7"/>
        <v/>
      </c>
      <c r="BZ18" s="127" t="str">
        <f t="shared" si="7"/>
        <v/>
      </c>
      <c r="CA18" s="127" t="str">
        <f t="shared" si="7"/>
        <v/>
      </c>
      <c r="CB18" s="127" t="str">
        <f t="shared" si="7"/>
        <v/>
      </c>
      <c r="CC18" s="127" t="str">
        <f t="shared" si="7"/>
        <v/>
      </c>
      <c r="CD18" s="127" t="str">
        <f t="shared" si="7"/>
        <v/>
      </c>
      <c r="CE18" s="127" t="str">
        <f t="shared" si="7"/>
        <v/>
      </c>
    </row>
    <row r="19" spans="1:83" ht="12.6" hidden="1" customHeight="1" x14ac:dyDescent="0.2">
      <c r="A19" s="106">
        <f>SHIPMENTS!A25</f>
        <v>9063</v>
      </c>
      <c r="B19" s="106" t="str">
        <f>SHIPMENTS!B25</f>
        <v>15900- Borongan City | Kookie Lim Uy / 3K Salon And Spa</v>
      </c>
      <c r="C19" s="132">
        <f>SHIPMENTS!F25</f>
        <v>0.12</v>
      </c>
      <c r="D19" s="107" t="str">
        <f>IF((SHIPMENTS!I25)=0,"",SHIPMENTS!I25)</f>
        <v/>
      </c>
      <c r="E19" s="176">
        <f>IF((SHIPMENTS!G25)=0,"",SHIPMENTS!G25)</f>
        <v>46323</v>
      </c>
      <c r="F19" s="97">
        <f>VLOOKUP(A19,Items!$A$5:$J$1000,2,0)</f>
        <v>0</v>
      </c>
      <c r="G19" s="98">
        <f>VLOOKUP(A19,load!$A$4:$U$5001,11,0)</f>
        <v>0</v>
      </c>
      <c r="H19" s="97">
        <v>9</v>
      </c>
      <c r="I19" s="98">
        <f t="shared" si="8"/>
        <v>81.899999999999991</v>
      </c>
      <c r="J19" s="99">
        <f t="shared" ref="J19:J27" si="14">G19/I19</f>
        <v>0</v>
      </c>
      <c r="K19" s="99">
        <f t="shared" si="9"/>
        <v>0</v>
      </c>
      <c r="L19" s="98">
        <f t="shared" si="1"/>
        <v>0</v>
      </c>
      <c r="M19" s="98">
        <f t="shared" si="2"/>
        <v>0</v>
      </c>
      <c r="N19" s="181">
        <f>IF(G19&gt;0,('MP2-DA'!N19+5),O18)</f>
        <v>46326.088518831595</v>
      </c>
      <c r="O19" s="181">
        <f t="shared" si="11"/>
        <v>46326.088518831595</v>
      </c>
      <c r="P19" s="101" t="str">
        <f>VLOOKUP(A19,SHIPMENTS!$A$7:$N$171,13,0)</f>
        <v>n/a</v>
      </c>
      <c r="Q19" s="101"/>
      <c r="R19" s="127" t="str">
        <f t="shared" si="4"/>
        <v/>
      </c>
      <c r="S19" s="127" t="str">
        <f t="shared" si="13"/>
        <v/>
      </c>
      <c r="T19" s="127" t="str">
        <f t="shared" si="13"/>
        <v/>
      </c>
      <c r="U19" s="127" t="str">
        <f t="shared" si="13"/>
        <v/>
      </c>
      <c r="V19" s="127" t="str">
        <f t="shared" si="13"/>
        <v/>
      </c>
      <c r="W19" s="127" t="str">
        <f t="shared" si="13"/>
        <v/>
      </c>
      <c r="X19" s="127" t="str">
        <f t="shared" si="13"/>
        <v/>
      </c>
      <c r="Y19" s="127" t="str">
        <f t="shared" si="13"/>
        <v/>
      </c>
      <c r="Z19" s="127" t="str">
        <f t="shared" si="13"/>
        <v>▲</v>
      </c>
      <c r="AA19" s="127" t="str">
        <f t="shared" si="13"/>
        <v/>
      </c>
      <c r="AB19" s="127" t="str">
        <f t="shared" si="13"/>
        <v/>
      </c>
      <c r="AC19" s="127" t="str">
        <f t="shared" si="13"/>
        <v/>
      </c>
      <c r="AD19" s="127" t="str">
        <f t="shared" si="13"/>
        <v/>
      </c>
      <c r="AE19" s="127" t="str">
        <f t="shared" si="13"/>
        <v/>
      </c>
      <c r="AF19" s="127" t="str">
        <f t="shared" si="13"/>
        <v/>
      </c>
      <c r="AG19" s="127" t="str">
        <f t="shared" si="13"/>
        <v/>
      </c>
      <c r="AH19" s="127" t="str">
        <f t="shared" si="13"/>
        <v/>
      </c>
      <c r="AI19" s="127" t="str">
        <f t="shared" si="13"/>
        <v/>
      </c>
      <c r="AJ19" s="127" t="str">
        <f t="shared" si="13"/>
        <v/>
      </c>
      <c r="AK19" s="127" t="str">
        <f t="shared" si="13"/>
        <v/>
      </c>
      <c r="AL19" s="127" t="str">
        <f t="shared" si="13"/>
        <v/>
      </c>
      <c r="AM19" s="127" t="str">
        <f t="shared" si="13"/>
        <v/>
      </c>
      <c r="AN19" s="127" t="str">
        <f t="shared" si="13"/>
        <v/>
      </c>
      <c r="AO19" s="127" t="str">
        <f t="shared" si="13"/>
        <v/>
      </c>
      <c r="AP19" s="127" t="str">
        <f t="shared" si="13"/>
        <v/>
      </c>
      <c r="AQ19" s="127" t="str">
        <f t="shared" si="13"/>
        <v/>
      </c>
      <c r="AR19" s="127" t="str">
        <f t="shared" si="13"/>
        <v/>
      </c>
      <c r="AS19" s="127" t="str">
        <f t="shared" si="13"/>
        <v/>
      </c>
      <c r="AT19" s="127" t="str">
        <f t="shared" si="13"/>
        <v/>
      </c>
      <c r="AU19" s="127" t="str">
        <f t="shared" si="13"/>
        <v/>
      </c>
      <c r="AV19" s="127" t="str">
        <f t="shared" si="13"/>
        <v/>
      </c>
      <c r="AW19" s="127" t="str">
        <f t="shared" si="13"/>
        <v/>
      </c>
      <c r="AX19" s="127" t="str">
        <f t="shared" si="13"/>
        <v/>
      </c>
      <c r="AY19" s="127" t="str">
        <f t="shared" si="13"/>
        <v/>
      </c>
      <c r="AZ19" s="127" t="str">
        <f t="shared" si="13"/>
        <v/>
      </c>
      <c r="BA19" s="127" t="str">
        <f t="shared" si="13"/>
        <v/>
      </c>
      <c r="BB19" s="127" t="str">
        <f t="shared" si="13"/>
        <v/>
      </c>
      <c r="BC19" s="127" t="str">
        <f t="shared" si="13"/>
        <v/>
      </c>
      <c r="BD19" s="127" t="str">
        <f t="shared" si="13"/>
        <v/>
      </c>
      <c r="BE19" s="127" t="str">
        <f t="shared" si="13"/>
        <v/>
      </c>
      <c r="BF19" s="127" t="str">
        <f t="shared" si="13"/>
        <v/>
      </c>
      <c r="BG19" s="127" t="str">
        <f t="shared" si="12"/>
        <v/>
      </c>
      <c r="BH19" s="127" t="str">
        <f t="shared" si="6"/>
        <v/>
      </c>
      <c r="BI19" s="127" t="str">
        <f t="shared" si="6"/>
        <v/>
      </c>
      <c r="BJ19" s="127" t="str">
        <f t="shared" si="6"/>
        <v/>
      </c>
      <c r="BK19" s="127" t="str">
        <f t="shared" si="6"/>
        <v/>
      </c>
      <c r="BL19" s="127" t="str">
        <f t="shared" si="6"/>
        <v/>
      </c>
      <c r="BM19" s="127" t="str">
        <f t="shared" si="6"/>
        <v/>
      </c>
      <c r="BN19" s="127" t="str">
        <f t="shared" si="6"/>
        <v/>
      </c>
      <c r="BO19" s="127" t="str">
        <f t="shared" si="6"/>
        <v/>
      </c>
      <c r="BP19" s="127" t="str">
        <f t="shared" si="6"/>
        <v/>
      </c>
      <c r="BQ19" s="127" t="str">
        <f t="shared" si="6"/>
        <v/>
      </c>
      <c r="BR19" s="127" t="str">
        <f t="shared" si="6"/>
        <v/>
      </c>
      <c r="BS19" s="127" t="str">
        <f t="shared" si="6"/>
        <v/>
      </c>
      <c r="BT19" s="127" t="str">
        <f t="shared" si="7"/>
        <v/>
      </c>
      <c r="BU19" s="127" t="str">
        <f t="shared" si="7"/>
        <v/>
      </c>
      <c r="BV19" s="127" t="str">
        <f t="shared" si="7"/>
        <v/>
      </c>
      <c r="BW19" s="127" t="str">
        <f t="shared" si="7"/>
        <v/>
      </c>
      <c r="BX19" s="127" t="str">
        <f t="shared" si="7"/>
        <v/>
      </c>
      <c r="BY19" s="127" t="str">
        <f t="shared" si="7"/>
        <v/>
      </c>
      <c r="BZ19" s="127" t="str">
        <f t="shared" si="7"/>
        <v/>
      </c>
      <c r="CA19" s="127" t="str">
        <f t="shared" si="7"/>
        <v/>
      </c>
      <c r="CB19" s="127" t="str">
        <f t="shared" si="7"/>
        <v/>
      </c>
      <c r="CC19" s="127" t="str">
        <f t="shared" si="7"/>
        <v/>
      </c>
      <c r="CD19" s="127" t="str">
        <f t="shared" si="7"/>
        <v/>
      </c>
      <c r="CE19" s="127" t="str">
        <f t="shared" si="7"/>
        <v/>
      </c>
    </row>
    <row r="20" spans="1:83" ht="12.6" hidden="1" customHeight="1" x14ac:dyDescent="0.2">
      <c r="A20" s="106">
        <f>SHIPMENTS!A26</f>
        <v>9131</v>
      </c>
      <c r="B20" s="106" t="str">
        <f>SHIPMENTS!B26</f>
        <v>15900- Cagayan De Oro |Kevin Anthony Pilapil Lagumbay</v>
      </c>
      <c r="C20" s="132">
        <f>SHIPMENTS!F26</f>
        <v>0.12</v>
      </c>
      <c r="D20" s="107" t="str">
        <f>IF((SHIPMENTS!I26)=0,"",SHIPMENTS!I26)</f>
        <v/>
      </c>
      <c r="E20" s="176">
        <f>IF((SHIPMENTS!G26)=0,"",SHIPMENTS!G26)</f>
        <v>46323</v>
      </c>
      <c r="F20" s="97">
        <f>VLOOKUP(A20,Items!$A$5:$J$1000,2,0)</f>
        <v>0</v>
      </c>
      <c r="G20" s="98">
        <f>VLOOKUP(A20,load!$A$4:$U$5001,11,0)</f>
        <v>0</v>
      </c>
      <c r="H20" s="97">
        <v>9</v>
      </c>
      <c r="I20" s="98">
        <f t="shared" si="8"/>
        <v>81.899999999999991</v>
      </c>
      <c r="J20" s="99">
        <f t="shared" si="14"/>
        <v>0</v>
      </c>
      <c r="K20" s="99">
        <f t="shared" si="9"/>
        <v>0</v>
      </c>
      <c r="L20" s="98">
        <f t="shared" ref="L20:L27" si="15">IFERROR(J20-(J20*P20),0)</f>
        <v>0</v>
      </c>
      <c r="M20" s="98">
        <f t="shared" ref="M20:M27" si="16">IFERROR(K20-(K20*P20),0)</f>
        <v>0</v>
      </c>
      <c r="N20" s="181">
        <f>IF(G20&gt;0,('MP2-DA'!N20+5),O19)</f>
        <v>46326.088518831595</v>
      </c>
      <c r="O20" s="181">
        <f t="shared" si="11"/>
        <v>46326.088518831595</v>
      </c>
      <c r="P20" s="101" t="str">
        <f>VLOOKUP(A20,SHIPMENTS!$A$7:$N$171,13,0)</f>
        <v>n/a</v>
      </c>
      <c r="Q20" s="101"/>
      <c r="R20" s="127" t="str">
        <f t="shared" si="4"/>
        <v/>
      </c>
      <c r="S20" s="127" t="str">
        <f t="shared" si="13"/>
        <v/>
      </c>
      <c r="T20" s="127" t="str">
        <f t="shared" si="13"/>
        <v/>
      </c>
      <c r="U20" s="127" t="str">
        <f t="shared" si="13"/>
        <v/>
      </c>
      <c r="V20" s="127" t="str">
        <f t="shared" si="13"/>
        <v/>
      </c>
      <c r="W20" s="127" t="str">
        <f t="shared" si="13"/>
        <v/>
      </c>
      <c r="X20" s="127" t="str">
        <f t="shared" si="13"/>
        <v/>
      </c>
      <c r="Y20" s="127" t="str">
        <f t="shared" si="13"/>
        <v/>
      </c>
      <c r="Z20" s="127" t="str">
        <f t="shared" si="13"/>
        <v>▲</v>
      </c>
      <c r="AA20" s="127" t="str">
        <f t="shared" si="13"/>
        <v/>
      </c>
      <c r="AB20" s="127" t="str">
        <f t="shared" si="13"/>
        <v/>
      </c>
      <c r="AC20" s="127" t="str">
        <f t="shared" si="13"/>
        <v/>
      </c>
      <c r="AD20" s="127" t="str">
        <f t="shared" si="13"/>
        <v/>
      </c>
      <c r="AE20" s="127" t="str">
        <f t="shared" si="13"/>
        <v/>
      </c>
      <c r="AF20" s="127" t="str">
        <f t="shared" si="13"/>
        <v/>
      </c>
      <c r="AG20" s="127" t="str">
        <f t="shared" si="13"/>
        <v/>
      </c>
      <c r="AH20" s="127" t="str">
        <f t="shared" si="13"/>
        <v/>
      </c>
      <c r="AI20" s="127" t="str">
        <f t="shared" si="13"/>
        <v/>
      </c>
      <c r="AJ20" s="127" t="str">
        <f t="shared" si="13"/>
        <v/>
      </c>
      <c r="AK20" s="127" t="str">
        <f t="shared" si="13"/>
        <v/>
      </c>
      <c r="AL20" s="127" t="str">
        <f t="shared" si="13"/>
        <v/>
      </c>
      <c r="AM20" s="127" t="str">
        <f t="shared" si="13"/>
        <v/>
      </c>
      <c r="AN20" s="127" t="str">
        <f t="shared" si="13"/>
        <v/>
      </c>
      <c r="AO20" s="127" t="str">
        <f t="shared" si="13"/>
        <v/>
      </c>
      <c r="AP20" s="127" t="str">
        <f t="shared" si="13"/>
        <v/>
      </c>
      <c r="AQ20" s="127" t="str">
        <f t="shared" si="13"/>
        <v/>
      </c>
      <c r="AR20" s="127" t="str">
        <f t="shared" si="13"/>
        <v/>
      </c>
      <c r="AS20" s="127" t="str">
        <f t="shared" si="13"/>
        <v/>
      </c>
      <c r="AT20" s="127" t="str">
        <f t="shared" si="13"/>
        <v/>
      </c>
      <c r="AU20" s="127" t="str">
        <f t="shared" si="13"/>
        <v/>
      </c>
      <c r="AV20" s="127" t="str">
        <f t="shared" si="13"/>
        <v/>
      </c>
      <c r="AW20" s="127" t="str">
        <f t="shared" si="13"/>
        <v/>
      </c>
      <c r="AX20" s="127" t="str">
        <f t="shared" si="13"/>
        <v/>
      </c>
      <c r="AY20" s="127" t="str">
        <f t="shared" si="13"/>
        <v/>
      </c>
      <c r="AZ20" s="127" t="str">
        <f t="shared" si="13"/>
        <v/>
      </c>
      <c r="BA20" s="127" t="str">
        <f t="shared" si="13"/>
        <v/>
      </c>
      <c r="BB20" s="127" t="str">
        <f t="shared" si="13"/>
        <v/>
      </c>
      <c r="BC20" s="127" t="str">
        <f t="shared" si="13"/>
        <v/>
      </c>
      <c r="BD20" s="127" t="str">
        <f t="shared" si="13"/>
        <v/>
      </c>
      <c r="BE20" s="127" t="str">
        <f t="shared" si="13"/>
        <v/>
      </c>
      <c r="BF20" s="127" t="str">
        <f t="shared" si="13"/>
        <v/>
      </c>
      <c r="BG20" s="127" t="str">
        <f t="shared" si="12"/>
        <v/>
      </c>
      <c r="BH20" s="127" t="str">
        <f t="shared" si="6"/>
        <v/>
      </c>
      <c r="BI20" s="127" t="str">
        <f t="shared" si="6"/>
        <v/>
      </c>
      <c r="BJ20" s="127" t="str">
        <f t="shared" si="6"/>
        <v/>
      </c>
      <c r="BK20" s="127" t="str">
        <f t="shared" si="6"/>
        <v/>
      </c>
      <c r="BL20" s="127" t="str">
        <f t="shared" si="6"/>
        <v/>
      </c>
      <c r="BM20" s="127" t="str">
        <f t="shared" si="6"/>
        <v/>
      </c>
      <c r="BN20" s="127" t="str">
        <f t="shared" si="6"/>
        <v/>
      </c>
      <c r="BO20" s="127" t="str">
        <f t="shared" si="6"/>
        <v/>
      </c>
      <c r="BP20" s="127" t="str">
        <f t="shared" si="6"/>
        <v/>
      </c>
      <c r="BQ20" s="127" t="str">
        <f t="shared" si="6"/>
        <v/>
      </c>
      <c r="BR20" s="127" t="str">
        <f t="shared" si="6"/>
        <v/>
      </c>
      <c r="BS20" s="127" t="str">
        <f t="shared" si="6"/>
        <v/>
      </c>
      <c r="BT20" s="127" t="str">
        <f t="shared" si="7"/>
        <v/>
      </c>
      <c r="BU20" s="127" t="str">
        <f t="shared" si="7"/>
        <v/>
      </c>
      <c r="BV20" s="127" t="str">
        <f t="shared" si="7"/>
        <v/>
      </c>
      <c r="BW20" s="127" t="str">
        <f t="shared" si="7"/>
        <v/>
      </c>
      <c r="BX20" s="127" t="str">
        <f t="shared" si="7"/>
        <v/>
      </c>
      <c r="BY20" s="127" t="str">
        <f t="shared" si="7"/>
        <v/>
      </c>
      <c r="BZ20" s="127" t="str">
        <f t="shared" si="7"/>
        <v/>
      </c>
      <c r="CA20" s="127" t="str">
        <f t="shared" si="7"/>
        <v/>
      </c>
      <c r="CB20" s="127" t="str">
        <f t="shared" si="7"/>
        <v/>
      </c>
      <c r="CC20" s="127" t="str">
        <f t="shared" si="7"/>
        <v/>
      </c>
      <c r="CD20" s="127" t="str">
        <f t="shared" si="7"/>
        <v/>
      </c>
      <c r="CE20" s="127" t="str">
        <f t="shared" si="7"/>
        <v/>
      </c>
    </row>
    <row r="21" spans="1:83" ht="12.6" hidden="1" customHeight="1" x14ac:dyDescent="0.2">
      <c r="A21" s="106">
        <f>SHIPMENTS!A27</f>
        <v>9228</v>
      </c>
      <c r="B21" s="106" t="str">
        <f>SHIPMENTS!B27</f>
        <v>15900- Cebu City |Stephanie Sarmiento</v>
      </c>
      <c r="C21" s="132">
        <f>SHIPMENTS!F27</f>
        <v>0.16</v>
      </c>
      <c r="D21" s="107" t="str">
        <f>IF((SHIPMENTS!I27)=0,"",SHIPMENTS!I27)</f>
        <v/>
      </c>
      <c r="E21" s="176">
        <f>IF((SHIPMENTS!G27)=0,"",SHIPMENTS!G27)</f>
        <v>46323</v>
      </c>
      <c r="F21" s="97">
        <f>VLOOKUP(A21,Items!$A$5:$J$1000,2,0)</f>
        <v>0</v>
      </c>
      <c r="G21" s="98">
        <f>VLOOKUP(A21,load!$A$4:$U$5001,11,0)</f>
        <v>0</v>
      </c>
      <c r="H21" s="97">
        <v>9</v>
      </c>
      <c r="I21" s="98">
        <f t="shared" si="8"/>
        <v>81.899999999999991</v>
      </c>
      <c r="J21" s="99">
        <f t="shared" si="14"/>
        <v>0</v>
      </c>
      <c r="K21" s="99">
        <f t="shared" si="9"/>
        <v>0</v>
      </c>
      <c r="L21" s="98">
        <f t="shared" si="15"/>
        <v>0</v>
      </c>
      <c r="M21" s="98">
        <f t="shared" si="16"/>
        <v>0</v>
      </c>
      <c r="N21" s="181">
        <f>IF(G21&gt;0,('MP2-DA'!N21+5),O20)</f>
        <v>46326.088518831595</v>
      </c>
      <c r="O21" s="181">
        <f t="shared" si="11"/>
        <v>46326.088518831595</v>
      </c>
      <c r="P21" s="101" t="str">
        <f>VLOOKUP(A21,SHIPMENTS!$A$7:$N$171,13,0)</f>
        <v>n/a</v>
      </c>
      <c r="Q21" s="101"/>
      <c r="R21" s="127" t="str">
        <f t="shared" si="4"/>
        <v/>
      </c>
      <c r="S21" s="127" t="str">
        <f t="shared" si="13"/>
        <v/>
      </c>
      <c r="T21" s="127" t="str">
        <f t="shared" si="13"/>
        <v/>
      </c>
      <c r="U21" s="127" t="str">
        <f t="shared" si="13"/>
        <v/>
      </c>
      <c r="V21" s="127" t="str">
        <f t="shared" si="13"/>
        <v/>
      </c>
      <c r="W21" s="127" t="str">
        <f t="shared" si="13"/>
        <v/>
      </c>
      <c r="X21" s="127" t="str">
        <f t="shared" si="13"/>
        <v/>
      </c>
      <c r="Y21" s="127" t="str">
        <f t="shared" si="13"/>
        <v/>
      </c>
      <c r="Z21" s="127" t="str">
        <f t="shared" si="13"/>
        <v>▲</v>
      </c>
      <c r="AA21" s="127" t="str">
        <f t="shared" si="13"/>
        <v/>
      </c>
      <c r="AB21" s="127" t="str">
        <f t="shared" si="13"/>
        <v/>
      </c>
      <c r="AC21" s="127" t="str">
        <f t="shared" si="13"/>
        <v/>
      </c>
      <c r="AD21" s="127" t="str">
        <f t="shared" si="13"/>
        <v/>
      </c>
      <c r="AE21" s="127" t="str">
        <f t="shared" si="13"/>
        <v/>
      </c>
      <c r="AF21" s="127" t="str">
        <f t="shared" si="13"/>
        <v/>
      </c>
      <c r="AG21" s="127" t="str">
        <f t="shared" si="13"/>
        <v/>
      </c>
      <c r="AH21" s="127" t="str">
        <f t="shared" ref="AH21:BH36" si="17">IF($E21=AH$3,"▲","")</f>
        <v/>
      </c>
      <c r="AI21" s="127" t="str">
        <f t="shared" si="17"/>
        <v/>
      </c>
      <c r="AJ21" s="127" t="str">
        <f t="shared" si="17"/>
        <v/>
      </c>
      <c r="AK21" s="127" t="str">
        <f t="shared" si="17"/>
        <v/>
      </c>
      <c r="AL21" s="127" t="str">
        <f t="shared" si="17"/>
        <v/>
      </c>
      <c r="AM21" s="127" t="str">
        <f t="shared" si="17"/>
        <v/>
      </c>
      <c r="AN21" s="127" t="str">
        <f t="shared" si="17"/>
        <v/>
      </c>
      <c r="AO21" s="127" t="str">
        <f t="shared" si="17"/>
        <v/>
      </c>
      <c r="AP21" s="127" t="str">
        <f t="shared" si="17"/>
        <v/>
      </c>
      <c r="AQ21" s="127" t="str">
        <f t="shared" si="17"/>
        <v/>
      </c>
      <c r="AR21" s="127" t="str">
        <f t="shared" si="17"/>
        <v/>
      </c>
      <c r="AS21" s="127" t="str">
        <f t="shared" si="17"/>
        <v/>
      </c>
      <c r="AT21" s="127" t="str">
        <f t="shared" si="17"/>
        <v/>
      </c>
      <c r="AU21" s="127" t="str">
        <f t="shared" si="17"/>
        <v/>
      </c>
      <c r="AV21" s="127" t="str">
        <f t="shared" si="17"/>
        <v/>
      </c>
      <c r="AW21" s="127" t="str">
        <f t="shared" si="17"/>
        <v/>
      </c>
      <c r="AX21" s="127" t="str">
        <f t="shared" si="17"/>
        <v/>
      </c>
      <c r="AY21" s="127" t="str">
        <f t="shared" si="17"/>
        <v/>
      </c>
      <c r="AZ21" s="127" t="str">
        <f t="shared" si="17"/>
        <v/>
      </c>
      <c r="BA21" s="127" t="str">
        <f t="shared" si="17"/>
        <v/>
      </c>
      <c r="BB21" s="127" t="str">
        <f t="shared" si="17"/>
        <v/>
      </c>
      <c r="BC21" s="127" t="str">
        <f t="shared" si="17"/>
        <v/>
      </c>
      <c r="BD21" s="127" t="str">
        <f t="shared" si="17"/>
        <v/>
      </c>
      <c r="BE21" s="127" t="str">
        <f t="shared" si="17"/>
        <v/>
      </c>
      <c r="BF21" s="127" t="str">
        <f t="shared" si="17"/>
        <v/>
      </c>
      <c r="BG21" s="127" t="str">
        <f t="shared" si="17"/>
        <v/>
      </c>
      <c r="BH21" s="127" t="str">
        <f t="shared" si="17"/>
        <v/>
      </c>
      <c r="BI21" s="127" t="str">
        <f t="shared" si="6"/>
        <v/>
      </c>
      <c r="BJ21" s="127" t="str">
        <f t="shared" si="6"/>
        <v/>
      </c>
      <c r="BK21" s="127" t="str">
        <f t="shared" si="6"/>
        <v/>
      </c>
      <c r="BL21" s="127" t="str">
        <f t="shared" si="6"/>
        <v/>
      </c>
      <c r="BM21" s="127" t="str">
        <f t="shared" si="6"/>
        <v/>
      </c>
      <c r="BN21" s="127" t="str">
        <f t="shared" si="6"/>
        <v/>
      </c>
      <c r="BO21" s="127" t="str">
        <f t="shared" si="6"/>
        <v/>
      </c>
      <c r="BP21" s="127" t="str">
        <f t="shared" si="6"/>
        <v/>
      </c>
      <c r="BQ21" s="127" t="str">
        <f t="shared" si="6"/>
        <v/>
      </c>
      <c r="BR21" s="127" t="str">
        <f t="shared" si="6"/>
        <v/>
      </c>
      <c r="BS21" s="127" t="str">
        <f t="shared" si="6"/>
        <v/>
      </c>
      <c r="BT21" s="127" t="str">
        <f t="shared" si="7"/>
        <v/>
      </c>
      <c r="BU21" s="127" t="str">
        <f t="shared" si="7"/>
        <v/>
      </c>
      <c r="BV21" s="127" t="str">
        <f t="shared" si="7"/>
        <v/>
      </c>
      <c r="BW21" s="127" t="str">
        <f t="shared" si="7"/>
        <v/>
      </c>
      <c r="BX21" s="127" t="str">
        <f t="shared" si="7"/>
        <v/>
      </c>
      <c r="BY21" s="127" t="str">
        <f t="shared" si="7"/>
        <v/>
      </c>
      <c r="BZ21" s="127" t="str">
        <f t="shared" si="7"/>
        <v/>
      </c>
      <c r="CA21" s="127" t="str">
        <f t="shared" si="7"/>
        <v/>
      </c>
      <c r="CB21" s="127" t="str">
        <f t="shared" si="7"/>
        <v/>
      </c>
      <c r="CC21" s="127" t="str">
        <f t="shared" si="7"/>
        <v/>
      </c>
      <c r="CD21" s="127" t="str">
        <f t="shared" si="7"/>
        <v/>
      </c>
      <c r="CE21" s="127" t="str">
        <f t="shared" si="7"/>
        <v/>
      </c>
    </row>
    <row r="22" spans="1:83" ht="12.6" hidden="1" customHeight="1" x14ac:dyDescent="0.2">
      <c r="A22" s="106">
        <f>SHIPMENTS!A28</f>
        <v>9279</v>
      </c>
      <c r="B22" s="106" t="str">
        <f>SHIPMENTS!B28</f>
        <v>15900- Iloilo |Rocky Go</v>
      </c>
      <c r="C22" s="132">
        <f>SHIPMENTS!F28</f>
        <v>0.34820000000000001</v>
      </c>
      <c r="D22" s="107" t="str">
        <f>IF((SHIPMENTS!I28)=0,"",SHIPMENTS!I28)</f>
        <v/>
      </c>
      <c r="E22" s="176">
        <f>IF((SHIPMENTS!G28)=0,"",SHIPMENTS!G28)</f>
        <v>46323</v>
      </c>
      <c r="F22" s="97">
        <f>VLOOKUP(A22,Items!$A$5:$J$1000,2,0)</f>
        <v>0</v>
      </c>
      <c r="G22" s="98">
        <f>VLOOKUP(A22,load!$A$4:$U$5001,11,0)</f>
        <v>0</v>
      </c>
      <c r="H22" s="97">
        <v>9</v>
      </c>
      <c r="I22" s="98">
        <f t="shared" si="8"/>
        <v>81.899999999999991</v>
      </c>
      <c r="J22" s="99">
        <f t="shared" si="14"/>
        <v>0</v>
      </c>
      <c r="K22" s="99">
        <f t="shared" si="9"/>
        <v>0</v>
      </c>
      <c r="L22" s="98">
        <f t="shared" si="15"/>
        <v>0</v>
      </c>
      <c r="M22" s="98">
        <f t="shared" si="16"/>
        <v>0</v>
      </c>
      <c r="N22" s="181">
        <f>IF(G22&gt;0,('MP2-DA'!N22+5),O21)</f>
        <v>46326.088518831595</v>
      </c>
      <c r="O22" s="181">
        <f t="shared" si="11"/>
        <v>46326.088518831595</v>
      </c>
      <c r="P22" s="101" t="str">
        <f>VLOOKUP(A22,SHIPMENTS!$A$7:$N$171,13,0)</f>
        <v>n/a</v>
      </c>
      <c r="Q22" s="101"/>
      <c r="R22" s="127" t="str">
        <f t="shared" si="4"/>
        <v/>
      </c>
      <c r="S22" s="127" t="str">
        <f t="shared" ref="S22:BF28" si="18">IF($E22=S$3,"▲","")</f>
        <v/>
      </c>
      <c r="T22" s="127" t="str">
        <f t="shared" si="18"/>
        <v/>
      </c>
      <c r="U22" s="127" t="str">
        <f t="shared" si="18"/>
        <v/>
      </c>
      <c r="V22" s="127" t="str">
        <f t="shared" si="18"/>
        <v/>
      </c>
      <c r="W22" s="127" t="str">
        <f t="shared" si="18"/>
        <v/>
      </c>
      <c r="X22" s="127" t="str">
        <f t="shared" si="18"/>
        <v/>
      </c>
      <c r="Y22" s="127" t="str">
        <f t="shared" si="18"/>
        <v/>
      </c>
      <c r="Z22" s="127" t="str">
        <f t="shared" si="18"/>
        <v>▲</v>
      </c>
      <c r="AA22" s="127" t="str">
        <f t="shared" si="18"/>
        <v/>
      </c>
      <c r="AB22" s="127" t="str">
        <f t="shared" si="18"/>
        <v/>
      </c>
      <c r="AC22" s="127" t="str">
        <f t="shared" si="18"/>
        <v/>
      </c>
      <c r="AD22" s="127" t="str">
        <f t="shared" si="18"/>
        <v/>
      </c>
      <c r="AE22" s="127" t="str">
        <f t="shared" si="18"/>
        <v/>
      </c>
      <c r="AF22" s="127" t="str">
        <f t="shared" si="18"/>
        <v/>
      </c>
      <c r="AG22" s="127" t="str">
        <f t="shared" si="18"/>
        <v/>
      </c>
      <c r="AH22" s="127" t="str">
        <f t="shared" si="18"/>
        <v/>
      </c>
      <c r="AI22" s="127" t="str">
        <f t="shared" si="18"/>
        <v/>
      </c>
      <c r="AJ22" s="127" t="str">
        <f t="shared" si="18"/>
        <v/>
      </c>
      <c r="AK22" s="127" t="str">
        <f t="shared" si="18"/>
        <v/>
      </c>
      <c r="AL22" s="127" t="str">
        <f t="shared" si="18"/>
        <v/>
      </c>
      <c r="AM22" s="127" t="str">
        <f t="shared" si="18"/>
        <v/>
      </c>
      <c r="AN22" s="127" t="str">
        <f t="shared" si="18"/>
        <v/>
      </c>
      <c r="AO22" s="127" t="str">
        <f t="shared" si="18"/>
        <v/>
      </c>
      <c r="AP22" s="127" t="str">
        <f t="shared" si="18"/>
        <v/>
      </c>
      <c r="AQ22" s="127" t="str">
        <f t="shared" si="18"/>
        <v/>
      </c>
      <c r="AR22" s="127" t="str">
        <f t="shared" si="18"/>
        <v/>
      </c>
      <c r="AS22" s="127" t="str">
        <f t="shared" si="18"/>
        <v/>
      </c>
      <c r="AT22" s="127" t="str">
        <f t="shared" si="18"/>
        <v/>
      </c>
      <c r="AU22" s="127" t="str">
        <f t="shared" si="18"/>
        <v/>
      </c>
      <c r="AV22" s="127" t="str">
        <f t="shared" si="18"/>
        <v/>
      </c>
      <c r="AW22" s="127" t="str">
        <f t="shared" si="18"/>
        <v/>
      </c>
      <c r="AX22" s="127" t="str">
        <f t="shared" si="18"/>
        <v/>
      </c>
      <c r="AY22" s="127" t="str">
        <f t="shared" si="18"/>
        <v/>
      </c>
      <c r="AZ22" s="127" t="str">
        <f t="shared" si="18"/>
        <v/>
      </c>
      <c r="BA22" s="127" t="str">
        <f t="shared" si="18"/>
        <v/>
      </c>
      <c r="BB22" s="127" t="str">
        <f t="shared" si="18"/>
        <v/>
      </c>
      <c r="BC22" s="127" t="str">
        <f t="shared" si="18"/>
        <v/>
      </c>
      <c r="BD22" s="127" t="str">
        <f t="shared" si="18"/>
        <v/>
      </c>
      <c r="BE22" s="127" t="str">
        <f t="shared" si="18"/>
        <v/>
      </c>
      <c r="BF22" s="127" t="str">
        <f t="shared" si="18"/>
        <v/>
      </c>
      <c r="BG22" s="127" t="str">
        <f t="shared" si="17"/>
        <v/>
      </c>
      <c r="BH22" s="127" t="str">
        <f t="shared" si="17"/>
        <v/>
      </c>
      <c r="BI22" s="127" t="str">
        <f t="shared" si="6"/>
        <v/>
      </c>
      <c r="BJ22" s="127" t="str">
        <f t="shared" si="6"/>
        <v/>
      </c>
      <c r="BK22" s="127" t="str">
        <f t="shared" si="6"/>
        <v/>
      </c>
      <c r="BL22" s="127" t="str">
        <f t="shared" si="6"/>
        <v/>
      </c>
      <c r="BM22" s="127" t="str">
        <f t="shared" si="6"/>
        <v/>
      </c>
      <c r="BN22" s="127" t="str">
        <f t="shared" si="6"/>
        <v/>
      </c>
      <c r="BO22" s="127" t="str">
        <f t="shared" si="6"/>
        <v/>
      </c>
      <c r="BP22" s="127" t="str">
        <f t="shared" si="6"/>
        <v/>
      </c>
      <c r="BQ22" s="127" t="str">
        <f t="shared" si="6"/>
        <v/>
      </c>
      <c r="BR22" s="127" t="str">
        <f t="shared" si="6"/>
        <v/>
      </c>
      <c r="BS22" s="127" t="str">
        <f t="shared" si="6"/>
        <v/>
      </c>
      <c r="BT22" s="127" t="str">
        <f t="shared" si="7"/>
        <v/>
      </c>
      <c r="BU22" s="127" t="str">
        <f t="shared" si="7"/>
        <v/>
      </c>
      <c r="BV22" s="127" t="str">
        <f t="shared" si="7"/>
        <v/>
      </c>
      <c r="BW22" s="127" t="str">
        <f t="shared" si="7"/>
        <v/>
      </c>
      <c r="BX22" s="127" t="str">
        <f t="shared" si="7"/>
        <v/>
      </c>
      <c r="BY22" s="127" t="str">
        <f t="shared" si="7"/>
        <v/>
      </c>
      <c r="BZ22" s="127" t="str">
        <f t="shared" si="7"/>
        <v/>
      </c>
      <c r="CA22" s="127" t="str">
        <f t="shared" si="7"/>
        <v/>
      </c>
      <c r="CB22" s="127" t="str">
        <f t="shared" si="7"/>
        <v/>
      </c>
      <c r="CC22" s="127" t="str">
        <f t="shared" si="7"/>
        <v/>
      </c>
      <c r="CD22" s="127" t="str">
        <f t="shared" si="7"/>
        <v/>
      </c>
      <c r="CE22" s="127" t="str">
        <f t="shared" si="7"/>
        <v/>
      </c>
    </row>
    <row r="23" spans="1:83" ht="12.6" hidden="1" customHeight="1" x14ac:dyDescent="0.2">
      <c r="A23" s="106">
        <f>SHIPMENTS!A29</f>
        <v>8964</v>
      </c>
      <c r="B23" s="106" t="str">
        <f>SHIPMENTS!B29</f>
        <v>15900- Mandaue Warehouse</v>
      </c>
      <c r="C23" s="132">
        <f>SHIPMENTS!F29</f>
        <v>0.11</v>
      </c>
      <c r="D23" s="107" t="str">
        <f>IF((SHIPMENTS!I29)=0,"",SHIPMENTS!I29)</f>
        <v/>
      </c>
      <c r="E23" s="176">
        <f>IF((SHIPMENTS!G29)=0,"",SHIPMENTS!G29)</f>
        <v>46323</v>
      </c>
      <c r="F23" s="97">
        <f>VLOOKUP(A23,Items!$A$5:$J$1000,2,0)</f>
        <v>0</v>
      </c>
      <c r="G23" s="98">
        <f>VLOOKUP(A23,load!$A$4:$U$5001,11,0)</f>
        <v>0</v>
      </c>
      <c r="H23" s="97">
        <v>9</v>
      </c>
      <c r="I23" s="98">
        <f t="shared" si="8"/>
        <v>81.899999999999991</v>
      </c>
      <c r="J23" s="99">
        <f t="shared" si="14"/>
        <v>0</v>
      </c>
      <c r="K23" s="99">
        <f t="shared" si="9"/>
        <v>0</v>
      </c>
      <c r="L23" s="98">
        <f t="shared" si="15"/>
        <v>0</v>
      </c>
      <c r="M23" s="98">
        <f t="shared" si="16"/>
        <v>0</v>
      </c>
      <c r="N23" s="181">
        <f>IF(G23&gt;0,('MP2-DA'!N23+5),O22)</f>
        <v>46326.088518831595</v>
      </c>
      <c r="O23" s="181">
        <f t="shared" si="11"/>
        <v>46326.088518831595</v>
      </c>
      <c r="P23" s="101" t="str">
        <f>VLOOKUP(A23,SHIPMENTS!$A$7:$N$171,13,0)</f>
        <v>n/a</v>
      </c>
      <c r="Q23" s="101"/>
      <c r="R23" s="127" t="str">
        <f t="shared" si="4"/>
        <v/>
      </c>
      <c r="S23" s="127" t="str">
        <f t="shared" si="18"/>
        <v/>
      </c>
      <c r="T23" s="127" t="str">
        <f t="shared" si="18"/>
        <v/>
      </c>
      <c r="U23" s="127" t="str">
        <f t="shared" si="18"/>
        <v/>
      </c>
      <c r="V23" s="127" t="str">
        <f t="shared" si="18"/>
        <v/>
      </c>
      <c r="W23" s="127" t="str">
        <f t="shared" si="18"/>
        <v/>
      </c>
      <c r="X23" s="127" t="str">
        <f t="shared" si="18"/>
        <v/>
      </c>
      <c r="Y23" s="127" t="str">
        <f t="shared" si="18"/>
        <v/>
      </c>
      <c r="Z23" s="127" t="str">
        <f t="shared" si="18"/>
        <v>▲</v>
      </c>
      <c r="AA23" s="127" t="str">
        <f t="shared" si="18"/>
        <v/>
      </c>
      <c r="AB23" s="127" t="str">
        <f t="shared" si="18"/>
        <v/>
      </c>
      <c r="AC23" s="127" t="str">
        <f t="shared" si="18"/>
        <v/>
      </c>
      <c r="AD23" s="127" t="str">
        <f t="shared" si="18"/>
        <v/>
      </c>
      <c r="AE23" s="127" t="str">
        <f t="shared" si="18"/>
        <v/>
      </c>
      <c r="AF23" s="127" t="str">
        <f t="shared" si="18"/>
        <v/>
      </c>
      <c r="AG23" s="127" t="str">
        <f t="shared" si="18"/>
        <v/>
      </c>
      <c r="AH23" s="127" t="str">
        <f t="shared" si="18"/>
        <v/>
      </c>
      <c r="AI23" s="127" t="str">
        <f t="shared" si="18"/>
        <v/>
      </c>
      <c r="AJ23" s="127" t="str">
        <f t="shared" si="18"/>
        <v/>
      </c>
      <c r="AK23" s="127" t="str">
        <f t="shared" si="18"/>
        <v/>
      </c>
      <c r="AL23" s="127" t="str">
        <f t="shared" si="18"/>
        <v/>
      </c>
      <c r="AM23" s="127" t="str">
        <f t="shared" si="18"/>
        <v/>
      </c>
      <c r="AN23" s="127" t="str">
        <f t="shared" si="18"/>
        <v/>
      </c>
      <c r="AO23" s="127" t="str">
        <f t="shared" si="18"/>
        <v/>
      </c>
      <c r="AP23" s="127" t="str">
        <f t="shared" si="18"/>
        <v/>
      </c>
      <c r="AQ23" s="127" t="str">
        <f t="shared" si="18"/>
        <v/>
      </c>
      <c r="AR23" s="127" t="str">
        <f t="shared" si="18"/>
        <v/>
      </c>
      <c r="AS23" s="127" t="str">
        <f t="shared" si="18"/>
        <v/>
      </c>
      <c r="AT23" s="127" t="str">
        <f t="shared" si="18"/>
        <v/>
      </c>
      <c r="AU23" s="127" t="str">
        <f t="shared" si="18"/>
        <v/>
      </c>
      <c r="AV23" s="127" t="str">
        <f t="shared" si="18"/>
        <v/>
      </c>
      <c r="AW23" s="127" t="str">
        <f t="shared" si="18"/>
        <v/>
      </c>
      <c r="AX23" s="127" t="str">
        <f t="shared" si="18"/>
        <v/>
      </c>
      <c r="AY23" s="127" t="str">
        <f t="shared" si="18"/>
        <v/>
      </c>
      <c r="AZ23" s="127" t="str">
        <f t="shared" si="18"/>
        <v/>
      </c>
      <c r="BA23" s="127" t="str">
        <f t="shared" si="18"/>
        <v/>
      </c>
      <c r="BB23" s="127" t="str">
        <f t="shared" si="18"/>
        <v/>
      </c>
      <c r="BC23" s="127" t="str">
        <f t="shared" si="18"/>
        <v/>
      </c>
      <c r="BD23" s="127" t="str">
        <f t="shared" si="18"/>
        <v/>
      </c>
      <c r="BE23" s="127" t="str">
        <f t="shared" si="18"/>
        <v/>
      </c>
      <c r="BF23" s="127" t="str">
        <f t="shared" si="18"/>
        <v/>
      </c>
      <c r="BG23" s="127" t="str">
        <f t="shared" si="17"/>
        <v/>
      </c>
      <c r="BH23" s="127" t="str">
        <f t="shared" si="6"/>
        <v/>
      </c>
      <c r="BI23" s="127" t="str">
        <f t="shared" si="6"/>
        <v/>
      </c>
      <c r="BJ23" s="127" t="str">
        <f t="shared" si="6"/>
        <v/>
      </c>
      <c r="BK23" s="127" t="str">
        <f t="shared" si="6"/>
        <v/>
      </c>
      <c r="BL23" s="127" t="str">
        <f t="shared" si="6"/>
        <v/>
      </c>
      <c r="BM23" s="127" t="str">
        <f t="shared" si="6"/>
        <v/>
      </c>
      <c r="BN23" s="127" t="str">
        <f t="shared" si="6"/>
        <v/>
      </c>
      <c r="BO23" s="127" t="str">
        <f t="shared" si="6"/>
        <v/>
      </c>
      <c r="BP23" s="127" t="str">
        <f t="shared" si="6"/>
        <v/>
      </c>
      <c r="BQ23" s="127" t="str">
        <f t="shared" si="6"/>
        <v/>
      </c>
      <c r="BR23" s="127" t="str">
        <f t="shared" si="6"/>
        <v/>
      </c>
      <c r="BS23" s="127" t="str">
        <f t="shared" si="6"/>
        <v/>
      </c>
      <c r="BT23" s="127" t="str">
        <f t="shared" si="7"/>
        <v/>
      </c>
      <c r="BU23" s="127" t="str">
        <f t="shared" si="7"/>
        <v/>
      </c>
      <c r="BV23" s="127" t="str">
        <f t="shared" si="7"/>
        <v/>
      </c>
      <c r="BW23" s="127" t="str">
        <f t="shared" si="7"/>
        <v/>
      </c>
      <c r="BX23" s="127" t="str">
        <f t="shared" si="7"/>
        <v/>
      </c>
      <c r="BY23" s="127" t="str">
        <f t="shared" si="7"/>
        <v/>
      </c>
      <c r="BZ23" s="127" t="str">
        <f t="shared" si="7"/>
        <v/>
      </c>
      <c r="CA23" s="127" t="str">
        <f t="shared" si="7"/>
        <v/>
      </c>
      <c r="CB23" s="127" t="str">
        <f t="shared" si="7"/>
        <v/>
      </c>
      <c r="CC23" s="127" t="str">
        <f t="shared" si="7"/>
        <v/>
      </c>
      <c r="CD23" s="127" t="str">
        <f t="shared" si="7"/>
        <v/>
      </c>
      <c r="CE23" s="127" t="str">
        <f t="shared" si="7"/>
        <v/>
      </c>
    </row>
    <row r="24" spans="1:83" ht="12.6" hidden="1" customHeight="1" x14ac:dyDescent="0.2">
      <c r="A24" s="106">
        <f>SHIPMENTS!A30</f>
        <v>9023</v>
      </c>
      <c r="B24" s="106" t="str">
        <f>SHIPMENTS!B30</f>
        <v>15900- Ubay | Danilo Varela</v>
      </c>
      <c r="C24" s="132">
        <f>SHIPMENTS!F30</f>
        <v>3.0849999999999999E-2</v>
      </c>
      <c r="D24" s="107" t="str">
        <f>IF((SHIPMENTS!I30)=0,"",SHIPMENTS!I30)</f>
        <v/>
      </c>
      <c r="E24" s="176">
        <f>IF((SHIPMENTS!G30)=0,"",SHIPMENTS!G30)</f>
        <v>46323</v>
      </c>
      <c r="F24" s="97">
        <f>VLOOKUP(A24,Items!$A$5:$J$1000,2,0)</f>
        <v>0</v>
      </c>
      <c r="G24" s="98">
        <f>VLOOKUP(A24,load!$A$4:$U$5001,11,0)</f>
        <v>0</v>
      </c>
      <c r="H24" s="97">
        <v>9</v>
      </c>
      <c r="I24" s="98">
        <f t="shared" si="8"/>
        <v>81.899999999999991</v>
      </c>
      <c r="J24" s="99">
        <f t="shared" si="14"/>
        <v>0</v>
      </c>
      <c r="K24" s="99">
        <f t="shared" si="9"/>
        <v>0</v>
      </c>
      <c r="L24" s="98">
        <f t="shared" si="15"/>
        <v>0</v>
      </c>
      <c r="M24" s="98">
        <f t="shared" si="16"/>
        <v>0</v>
      </c>
      <c r="N24" s="181">
        <f>IF(G24&gt;0,('MP2-DA'!N24+5),O23)</f>
        <v>46326.088518831595</v>
      </c>
      <c r="O24" s="181">
        <f t="shared" si="11"/>
        <v>46326.088518831595</v>
      </c>
      <c r="P24" s="101" t="str">
        <f>VLOOKUP(A24,SHIPMENTS!$A$7:$N$171,13,0)</f>
        <v>n/a</v>
      </c>
      <c r="Q24" s="101"/>
      <c r="R24" s="127" t="str">
        <f t="shared" si="4"/>
        <v/>
      </c>
      <c r="S24" s="127" t="str">
        <f t="shared" si="18"/>
        <v/>
      </c>
      <c r="T24" s="127" t="str">
        <f t="shared" si="18"/>
        <v/>
      </c>
      <c r="U24" s="127" t="str">
        <f t="shared" si="18"/>
        <v/>
      </c>
      <c r="V24" s="127" t="str">
        <f t="shared" si="18"/>
        <v/>
      </c>
      <c r="W24" s="127" t="str">
        <f t="shared" si="18"/>
        <v/>
      </c>
      <c r="X24" s="127" t="str">
        <f t="shared" si="18"/>
        <v/>
      </c>
      <c r="Y24" s="127" t="str">
        <f t="shared" si="18"/>
        <v/>
      </c>
      <c r="Z24" s="127" t="str">
        <f t="shared" si="18"/>
        <v>▲</v>
      </c>
      <c r="AA24" s="127" t="str">
        <f t="shared" si="18"/>
        <v/>
      </c>
      <c r="AB24" s="127" t="str">
        <f t="shared" si="18"/>
        <v/>
      </c>
      <c r="AC24" s="127" t="str">
        <f t="shared" si="18"/>
        <v/>
      </c>
      <c r="AD24" s="127" t="str">
        <f t="shared" si="18"/>
        <v/>
      </c>
      <c r="AE24" s="127" t="str">
        <f t="shared" si="18"/>
        <v/>
      </c>
      <c r="AF24" s="127" t="str">
        <f t="shared" si="18"/>
        <v/>
      </c>
      <c r="AG24" s="127" t="str">
        <f t="shared" si="18"/>
        <v/>
      </c>
      <c r="AH24" s="127" t="str">
        <f t="shared" si="18"/>
        <v/>
      </c>
      <c r="AI24" s="127" t="str">
        <f t="shared" si="18"/>
        <v/>
      </c>
      <c r="AJ24" s="127" t="str">
        <f t="shared" si="18"/>
        <v/>
      </c>
      <c r="AK24" s="127" t="str">
        <f t="shared" si="18"/>
        <v/>
      </c>
      <c r="AL24" s="127" t="str">
        <f t="shared" si="18"/>
        <v/>
      </c>
      <c r="AM24" s="127" t="str">
        <f t="shared" si="18"/>
        <v/>
      </c>
      <c r="AN24" s="127" t="str">
        <f t="shared" si="18"/>
        <v/>
      </c>
      <c r="AO24" s="127" t="str">
        <f t="shared" si="18"/>
        <v/>
      </c>
      <c r="AP24" s="127" t="str">
        <f t="shared" si="18"/>
        <v/>
      </c>
      <c r="AQ24" s="127" t="str">
        <f t="shared" si="18"/>
        <v/>
      </c>
      <c r="AR24" s="127" t="str">
        <f t="shared" si="18"/>
        <v/>
      </c>
      <c r="AS24" s="127" t="str">
        <f t="shared" si="18"/>
        <v/>
      </c>
      <c r="AT24" s="127" t="str">
        <f t="shared" si="18"/>
        <v/>
      </c>
      <c r="AU24" s="127" t="str">
        <f t="shared" si="18"/>
        <v/>
      </c>
      <c r="AV24" s="127" t="str">
        <f t="shared" si="18"/>
        <v/>
      </c>
      <c r="AW24" s="127" t="str">
        <f t="shared" si="18"/>
        <v/>
      </c>
      <c r="AX24" s="127" t="str">
        <f t="shared" si="18"/>
        <v/>
      </c>
      <c r="AY24" s="127" t="str">
        <f t="shared" si="18"/>
        <v/>
      </c>
      <c r="AZ24" s="127" t="str">
        <f t="shared" si="18"/>
        <v/>
      </c>
      <c r="BA24" s="127" t="str">
        <f t="shared" si="18"/>
        <v/>
      </c>
      <c r="BB24" s="127" t="str">
        <f t="shared" si="18"/>
        <v/>
      </c>
      <c r="BC24" s="127" t="str">
        <f t="shared" si="18"/>
        <v/>
      </c>
      <c r="BD24" s="127" t="str">
        <f t="shared" si="18"/>
        <v/>
      </c>
      <c r="BE24" s="127" t="str">
        <f t="shared" si="18"/>
        <v/>
      </c>
      <c r="BF24" s="127" t="str">
        <f t="shared" si="18"/>
        <v/>
      </c>
      <c r="BG24" s="127" t="str">
        <f t="shared" si="17"/>
        <v/>
      </c>
      <c r="BH24" s="127" t="str">
        <f t="shared" si="17"/>
        <v/>
      </c>
      <c r="BI24" s="127" t="str">
        <f t="shared" ref="BH24:BW39" si="19">IF($E24=BI$3,"▲","")</f>
        <v/>
      </c>
      <c r="BJ24" s="127" t="str">
        <f t="shared" si="19"/>
        <v/>
      </c>
      <c r="BK24" s="127" t="str">
        <f t="shared" si="19"/>
        <v/>
      </c>
      <c r="BL24" s="127" t="str">
        <f t="shared" si="19"/>
        <v/>
      </c>
      <c r="BM24" s="127" t="str">
        <f t="shared" si="19"/>
        <v/>
      </c>
      <c r="BN24" s="127" t="str">
        <f t="shared" si="19"/>
        <v/>
      </c>
      <c r="BO24" s="127" t="str">
        <f t="shared" si="19"/>
        <v/>
      </c>
      <c r="BP24" s="127" t="str">
        <f t="shared" si="19"/>
        <v/>
      </c>
      <c r="BQ24" s="127" t="str">
        <f t="shared" si="19"/>
        <v/>
      </c>
      <c r="BR24" s="127" t="str">
        <f t="shared" si="19"/>
        <v/>
      </c>
      <c r="BS24" s="127" t="str">
        <f t="shared" si="19"/>
        <v/>
      </c>
      <c r="BT24" s="127" t="str">
        <f t="shared" si="19"/>
        <v/>
      </c>
      <c r="BU24" s="127" t="str">
        <f t="shared" si="19"/>
        <v/>
      </c>
      <c r="BV24" s="127" t="str">
        <f t="shared" si="19"/>
        <v/>
      </c>
      <c r="BW24" s="127" t="str">
        <f t="shared" si="19"/>
        <v/>
      </c>
      <c r="BX24" s="127" t="str">
        <f t="shared" ref="BT24:CE39" si="20">IF($E24=BX$3,"▲","")</f>
        <v/>
      </c>
      <c r="BY24" s="127" t="str">
        <f t="shared" si="20"/>
        <v/>
      </c>
      <c r="BZ24" s="127" t="str">
        <f t="shared" si="20"/>
        <v/>
      </c>
      <c r="CA24" s="127" t="str">
        <f t="shared" si="20"/>
        <v/>
      </c>
      <c r="CB24" s="127" t="str">
        <f t="shared" si="20"/>
        <v/>
      </c>
      <c r="CC24" s="127" t="str">
        <f t="shared" si="20"/>
        <v/>
      </c>
      <c r="CD24" s="127" t="str">
        <f t="shared" si="20"/>
        <v/>
      </c>
      <c r="CE24" s="127" t="str">
        <f t="shared" si="20"/>
        <v/>
      </c>
    </row>
    <row r="25" spans="1:83" ht="12.6" hidden="1" customHeight="1" x14ac:dyDescent="0.2">
      <c r="A25" s="106">
        <f>SHIPMENTS!A31</f>
        <v>9105</v>
      </c>
      <c r="B25" s="106" t="str">
        <f>SHIPMENTS!B31</f>
        <v>15900- Cebu City |Nelsar Alvar</v>
      </c>
      <c r="C25" s="132">
        <f>SHIPMENTS!F31</f>
        <v>1.35E-2</v>
      </c>
      <c r="D25" s="107" t="str">
        <f>IF((SHIPMENTS!I31)=0,"",SHIPMENTS!I31)</f>
        <v/>
      </c>
      <c r="E25" s="176">
        <f>IF((SHIPMENTS!G31)=0,"",SHIPMENTS!G31)</f>
        <v>46323</v>
      </c>
      <c r="F25" s="97">
        <f>VLOOKUP(A25,Items!$A$5:$J$1000,2,0)</f>
        <v>0</v>
      </c>
      <c r="G25" s="98">
        <f>VLOOKUP(A25,load!$A$4:$U$5001,11,0)</f>
        <v>0</v>
      </c>
      <c r="H25" s="97">
        <v>9</v>
      </c>
      <c r="I25" s="98">
        <f t="shared" si="8"/>
        <v>81.899999999999991</v>
      </c>
      <c r="J25" s="99">
        <f t="shared" si="14"/>
        <v>0</v>
      </c>
      <c r="K25" s="99">
        <f t="shared" si="9"/>
        <v>0</v>
      </c>
      <c r="L25" s="98">
        <f t="shared" si="15"/>
        <v>0</v>
      </c>
      <c r="M25" s="98">
        <f t="shared" si="16"/>
        <v>0</v>
      </c>
      <c r="N25" s="181">
        <f>IF(G25&gt;0,('MP2-DA'!N25+5),O24)</f>
        <v>46326.088518831595</v>
      </c>
      <c r="O25" s="181">
        <f t="shared" si="11"/>
        <v>46326.088518831595</v>
      </c>
      <c r="P25" s="101" t="str">
        <f>VLOOKUP(A25,SHIPMENTS!$A$7:$N$171,13,0)</f>
        <v>n/a</v>
      </c>
      <c r="Q25" s="101"/>
      <c r="R25" s="127" t="str">
        <f t="shared" si="4"/>
        <v/>
      </c>
      <c r="S25" s="127" t="str">
        <f t="shared" si="18"/>
        <v/>
      </c>
      <c r="T25" s="127" t="str">
        <f t="shared" si="18"/>
        <v/>
      </c>
      <c r="U25" s="127" t="str">
        <f t="shared" si="18"/>
        <v/>
      </c>
      <c r="V25" s="127" t="str">
        <f t="shared" si="18"/>
        <v/>
      </c>
      <c r="W25" s="127" t="str">
        <f t="shared" si="18"/>
        <v/>
      </c>
      <c r="X25" s="127" t="str">
        <f t="shared" si="18"/>
        <v/>
      </c>
      <c r="Y25" s="127" t="str">
        <f t="shared" si="18"/>
        <v/>
      </c>
      <c r="Z25" s="127" t="str">
        <f t="shared" si="18"/>
        <v>▲</v>
      </c>
      <c r="AA25" s="127" t="str">
        <f t="shared" si="18"/>
        <v/>
      </c>
      <c r="AB25" s="127" t="str">
        <f t="shared" si="18"/>
        <v/>
      </c>
      <c r="AC25" s="127" t="str">
        <f t="shared" si="18"/>
        <v/>
      </c>
      <c r="AD25" s="127" t="str">
        <f t="shared" si="18"/>
        <v/>
      </c>
      <c r="AE25" s="127" t="str">
        <f t="shared" si="18"/>
        <v/>
      </c>
      <c r="AF25" s="127" t="str">
        <f t="shared" si="18"/>
        <v/>
      </c>
      <c r="AG25" s="127" t="str">
        <f t="shared" si="18"/>
        <v/>
      </c>
      <c r="AH25" s="127" t="str">
        <f t="shared" si="18"/>
        <v/>
      </c>
      <c r="AI25" s="127" t="str">
        <f t="shared" si="18"/>
        <v/>
      </c>
      <c r="AJ25" s="127" t="str">
        <f t="shared" si="18"/>
        <v/>
      </c>
      <c r="AK25" s="127" t="str">
        <f t="shared" si="18"/>
        <v/>
      </c>
      <c r="AL25" s="127" t="str">
        <f t="shared" si="18"/>
        <v/>
      </c>
      <c r="AM25" s="127" t="str">
        <f t="shared" si="18"/>
        <v/>
      </c>
      <c r="AN25" s="127" t="str">
        <f t="shared" si="18"/>
        <v/>
      </c>
      <c r="AO25" s="127" t="str">
        <f t="shared" si="18"/>
        <v/>
      </c>
      <c r="AP25" s="127" t="str">
        <f t="shared" si="18"/>
        <v/>
      </c>
      <c r="AQ25" s="127" t="str">
        <f t="shared" si="18"/>
        <v/>
      </c>
      <c r="AR25" s="127" t="str">
        <f t="shared" si="18"/>
        <v/>
      </c>
      <c r="AS25" s="127" t="str">
        <f t="shared" si="18"/>
        <v/>
      </c>
      <c r="AT25" s="127" t="str">
        <f t="shared" si="18"/>
        <v/>
      </c>
      <c r="AU25" s="127" t="str">
        <f t="shared" si="18"/>
        <v/>
      </c>
      <c r="AV25" s="127" t="str">
        <f t="shared" si="18"/>
        <v/>
      </c>
      <c r="AW25" s="127" t="str">
        <f t="shared" si="18"/>
        <v/>
      </c>
      <c r="AX25" s="127" t="str">
        <f t="shared" si="18"/>
        <v/>
      </c>
      <c r="AY25" s="127" t="str">
        <f t="shared" si="18"/>
        <v/>
      </c>
      <c r="AZ25" s="127" t="str">
        <f t="shared" si="18"/>
        <v/>
      </c>
      <c r="BA25" s="127" t="str">
        <f t="shared" si="18"/>
        <v/>
      </c>
      <c r="BB25" s="127" t="str">
        <f t="shared" si="18"/>
        <v/>
      </c>
      <c r="BC25" s="127" t="str">
        <f t="shared" si="18"/>
        <v/>
      </c>
      <c r="BD25" s="127" t="str">
        <f t="shared" si="18"/>
        <v/>
      </c>
      <c r="BE25" s="127" t="str">
        <f t="shared" si="18"/>
        <v/>
      </c>
      <c r="BF25" s="127" t="str">
        <f t="shared" si="18"/>
        <v/>
      </c>
      <c r="BG25" s="127" t="str">
        <f t="shared" si="17"/>
        <v/>
      </c>
      <c r="BH25" s="127" t="str">
        <f t="shared" si="19"/>
        <v/>
      </c>
      <c r="BI25" s="127" t="str">
        <f t="shared" si="19"/>
        <v/>
      </c>
      <c r="BJ25" s="127" t="str">
        <f t="shared" si="19"/>
        <v/>
      </c>
      <c r="BK25" s="127" t="str">
        <f t="shared" si="19"/>
        <v/>
      </c>
      <c r="BL25" s="127" t="str">
        <f t="shared" si="19"/>
        <v/>
      </c>
      <c r="BM25" s="127" t="str">
        <f t="shared" si="19"/>
        <v/>
      </c>
      <c r="BN25" s="127" t="str">
        <f t="shared" si="19"/>
        <v/>
      </c>
      <c r="BO25" s="127" t="str">
        <f t="shared" si="19"/>
        <v/>
      </c>
      <c r="BP25" s="127" t="str">
        <f t="shared" si="19"/>
        <v/>
      </c>
      <c r="BQ25" s="127" t="str">
        <f t="shared" si="19"/>
        <v/>
      </c>
      <c r="BR25" s="127" t="str">
        <f t="shared" si="19"/>
        <v/>
      </c>
      <c r="BS25" s="127" t="str">
        <f t="shared" si="19"/>
        <v/>
      </c>
      <c r="BT25" s="127" t="str">
        <f t="shared" si="20"/>
        <v/>
      </c>
      <c r="BU25" s="127" t="str">
        <f t="shared" si="20"/>
        <v/>
      </c>
      <c r="BV25" s="127" t="str">
        <f t="shared" si="20"/>
        <v/>
      </c>
      <c r="BW25" s="127" t="str">
        <f t="shared" si="20"/>
        <v/>
      </c>
      <c r="BX25" s="127" t="str">
        <f t="shared" si="20"/>
        <v/>
      </c>
      <c r="BY25" s="127" t="str">
        <f t="shared" si="20"/>
        <v/>
      </c>
      <c r="BZ25" s="127" t="str">
        <f t="shared" si="20"/>
        <v/>
      </c>
      <c r="CA25" s="127" t="str">
        <f t="shared" si="20"/>
        <v/>
      </c>
      <c r="CB25" s="127" t="str">
        <f t="shared" si="20"/>
        <v/>
      </c>
      <c r="CC25" s="127" t="str">
        <f t="shared" si="20"/>
        <v/>
      </c>
      <c r="CD25" s="127" t="str">
        <f t="shared" si="20"/>
        <v/>
      </c>
      <c r="CE25" s="127" t="str">
        <f t="shared" si="20"/>
        <v/>
      </c>
    </row>
    <row r="26" spans="1:83" ht="12.6" hidden="1" customHeight="1" x14ac:dyDescent="0.2">
      <c r="A26" s="106">
        <f>SHIPMENTS!A32</f>
        <v>9292</v>
      </c>
      <c r="B26" s="106" t="str">
        <f>SHIPMENTS!B32</f>
        <v>15900- Mandaue Warehouse</v>
      </c>
      <c r="C26" s="132">
        <f>SHIPMENTS!F32</f>
        <v>0.51459999999999995</v>
      </c>
      <c r="D26" s="107" t="str">
        <f>IF((SHIPMENTS!I32)=0,"",SHIPMENTS!I32)</f>
        <v/>
      </c>
      <c r="E26" s="176">
        <f>IF((SHIPMENTS!G32)=0,"",SHIPMENTS!G32)</f>
        <v>46323</v>
      </c>
      <c r="F26" s="97">
        <f>VLOOKUP(A26,Items!$A$5:$J$1000,2,0)</f>
        <v>0</v>
      </c>
      <c r="G26" s="98">
        <f>VLOOKUP(A26,load!$A$4:$U$5001,11,0)</f>
        <v>0</v>
      </c>
      <c r="H26" s="97">
        <v>9</v>
      </c>
      <c r="I26" s="98">
        <f t="shared" si="8"/>
        <v>81.899999999999991</v>
      </c>
      <c r="J26" s="99">
        <f t="shared" si="14"/>
        <v>0</v>
      </c>
      <c r="K26" s="99">
        <f t="shared" si="9"/>
        <v>0</v>
      </c>
      <c r="L26" s="98">
        <f t="shared" si="15"/>
        <v>0</v>
      </c>
      <c r="M26" s="98">
        <f t="shared" si="16"/>
        <v>0</v>
      </c>
      <c r="N26" s="181">
        <f>IF(G26&gt;0,('MP2-DA'!N26+5),O25)</f>
        <v>46326.088518831595</v>
      </c>
      <c r="O26" s="181">
        <f t="shared" si="11"/>
        <v>46326.088518831595</v>
      </c>
      <c r="P26" s="101" t="str">
        <f>VLOOKUP(A26,SHIPMENTS!$A$7:$N$171,13,0)</f>
        <v>n/a</v>
      </c>
      <c r="Q26" s="101"/>
      <c r="R26" s="127" t="str">
        <f t="shared" si="4"/>
        <v/>
      </c>
      <c r="S26" s="127" t="str">
        <f t="shared" si="18"/>
        <v/>
      </c>
      <c r="T26" s="127" t="str">
        <f t="shared" si="18"/>
        <v/>
      </c>
      <c r="U26" s="127" t="str">
        <f t="shared" si="18"/>
        <v/>
      </c>
      <c r="V26" s="127" t="str">
        <f t="shared" si="18"/>
        <v/>
      </c>
      <c r="W26" s="127" t="str">
        <f t="shared" si="18"/>
        <v/>
      </c>
      <c r="X26" s="127" t="str">
        <f t="shared" si="18"/>
        <v/>
      </c>
      <c r="Y26" s="127" t="str">
        <f t="shared" si="18"/>
        <v/>
      </c>
      <c r="Z26" s="127" t="str">
        <f t="shared" si="18"/>
        <v>▲</v>
      </c>
      <c r="AA26" s="127" t="str">
        <f t="shared" si="18"/>
        <v/>
      </c>
      <c r="AB26" s="127" t="str">
        <f t="shared" si="18"/>
        <v/>
      </c>
      <c r="AC26" s="127" t="str">
        <f t="shared" si="18"/>
        <v/>
      </c>
      <c r="AD26" s="127" t="str">
        <f t="shared" si="18"/>
        <v/>
      </c>
      <c r="AE26" s="127" t="str">
        <f t="shared" si="18"/>
        <v/>
      </c>
      <c r="AF26" s="127" t="str">
        <f t="shared" si="18"/>
        <v/>
      </c>
      <c r="AG26" s="127" t="str">
        <f t="shared" si="18"/>
        <v/>
      </c>
      <c r="AH26" s="127" t="str">
        <f t="shared" si="18"/>
        <v/>
      </c>
      <c r="AI26" s="127" t="str">
        <f t="shared" si="18"/>
        <v/>
      </c>
      <c r="AJ26" s="127" t="str">
        <f t="shared" si="18"/>
        <v/>
      </c>
      <c r="AK26" s="127" t="str">
        <f t="shared" si="18"/>
        <v/>
      </c>
      <c r="AL26" s="127" t="str">
        <f t="shared" si="18"/>
        <v/>
      </c>
      <c r="AM26" s="127" t="str">
        <f t="shared" si="18"/>
        <v/>
      </c>
      <c r="AN26" s="127" t="str">
        <f t="shared" si="18"/>
        <v/>
      </c>
      <c r="AO26" s="127" t="str">
        <f t="shared" si="18"/>
        <v/>
      </c>
      <c r="AP26" s="127" t="str">
        <f t="shared" si="18"/>
        <v/>
      </c>
      <c r="AQ26" s="127" t="str">
        <f t="shared" si="18"/>
        <v/>
      </c>
      <c r="AR26" s="127" t="str">
        <f t="shared" si="18"/>
        <v/>
      </c>
      <c r="AS26" s="127" t="str">
        <f t="shared" si="18"/>
        <v/>
      </c>
      <c r="AT26" s="127" t="str">
        <f t="shared" si="18"/>
        <v/>
      </c>
      <c r="AU26" s="127" t="str">
        <f t="shared" si="18"/>
        <v/>
      </c>
      <c r="AV26" s="127" t="str">
        <f t="shared" si="18"/>
        <v/>
      </c>
      <c r="AW26" s="127" t="str">
        <f t="shared" si="18"/>
        <v/>
      </c>
      <c r="AX26" s="127" t="str">
        <f t="shared" si="18"/>
        <v/>
      </c>
      <c r="AY26" s="127" t="str">
        <f t="shared" si="18"/>
        <v/>
      </c>
      <c r="AZ26" s="127" t="str">
        <f t="shared" si="18"/>
        <v/>
      </c>
      <c r="BA26" s="127" t="str">
        <f t="shared" si="18"/>
        <v/>
      </c>
      <c r="BB26" s="127" t="str">
        <f t="shared" si="18"/>
        <v/>
      </c>
      <c r="BC26" s="127" t="str">
        <f t="shared" si="18"/>
        <v/>
      </c>
      <c r="BD26" s="127" t="str">
        <f t="shared" si="18"/>
        <v/>
      </c>
      <c r="BE26" s="127" t="str">
        <f t="shared" si="18"/>
        <v/>
      </c>
      <c r="BF26" s="127" t="str">
        <f t="shared" si="18"/>
        <v/>
      </c>
      <c r="BG26" s="127" t="str">
        <f t="shared" si="17"/>
        <v/>
      </c>
      <c r="BH26" s="127" t="str">
        <f t="shared" si="19"/>
        <v/>
      </c>
      <c r="BI26" s="127" t="str">
        <f t="shared" si="19"/>
        <v/>
      </c>
      <c r="BJ26" s="127" t="str">
        <f t="shared" si="19"/>
        <v/>
      </c>
      <c r="BK26" s="127" t="str">
        <f t="shared" si="19"/>
        <v/>
      </c>
      <c r="BL26" s="127" t="str">
        <f t="shared" si="19"/>
        <v/>
      </c>
      <c r="BM26" s="127" t="str">
        <f t="shared" si="19"/>
        <v/>
      </c>
      <c r="BN26" s="127" t="str">
        <f t="shared" si="19"/>
        <v/>
      </c>
      <c r="BO26" s="127" t="str">
        <f t="shared" si="19"/>
        <v/>
      </c>
      <c r="BP26" s="127" t="str">
        <f t="shared" si="19"/>
        <v/>
      </c>
      <c r="BQ26" s="127" t="str">
        <f t="shared" si="19"/>
        <v/>
      </c>
      <c r="BR26" s="127" t="str">
        <f t="shared" si="19"/>
        <v/>
      </c>
      <c r="BS26" s="127" t="str">
        <f t="shared" si="19"/>
        <v/>
      </c>
      <c r="BT26" s="127" t="str">
        <f t="shared" si="20"/>
        <v/>
      </c>
      <c r="BU26" s="127" t="str">
        <f t="shared" si="20"/>
        <v/>
      </c>
      <c r="BV26" s="127" t="str">
        <f t="shared" si="20"/>
        <v/>
      </c>
      <c r="BW26" s="127" t="str">
        <f t="shared" si="20"/>
        <v/>
      </c>
      <c r="BX26" s="127" t="str">
        <f t="shared" si="20"/>
        <v/>
      </c>
      <c r="BY26" s="127" t="str">
        <f t="shared" si="20"/>
        <v/>
      </c>
      <c r="BZ26" s="127" t="str">
        <f t="shared" si="20"/>
        <v/>
      </c>
      <c r="CA26" s="127" t="str">
        <f t="shared" si="20"/>
        <v/>
      </c>
      <c r="CB26" s="127" t="str">
        <f t="shared" si="20"/>
        <v/>
      </c>
      <c r="CC26" s="127" t="str">
        <f t="shared" si="20"/>
        <v/>
      </c>
      <c r="CD26" s="127" t="str">
        <f t="shared" si="20"/>
        <v/>
      </c>
      <c r="CE26" s="127" t="str">
        <f t="shared" si="20"/>
        <v/>
      </c>
    </row>
    <row r="27" spans="1:83" ht="12.6" hidden="1" customHeight="1" x14ac:dyDescent="0.2">
      <c r="A27" s="106">
        <f>SHIPMENTS!A33</f>
        <v>9116</v>
      </c>
      <c r="B27" s="106" t="str">
        <f>SHIPMENTS!B33</f>
        <v>15900- Dagupan City |Kerwin Fernandez</v>
      </c>
      <c r="C27" s="132">
        <f>SHIPMENTS!F33</f>
        <v>0.17</v>
      </c>
      <c r="D27" s="107" t="str">
        <f>IF((SHIPMENTS!I33)=0,"",SHIPMENTS!I33)</f>
        <v>1X20</v>
      </c>
      <c r="E27" s="176">
        <f>IF((SHIPMENTS!G33)=0,"",SHIPMENTS!G33)</f>
        <v>46323</v>
      </c>
      <c r="F27" s="97">
        <f>VLOOKUP(A27,Items!$A$5:$J$1000,2,0)</f>
        <v>0</v>
      </c>
      <c r="G27" s="98">
        <f>VLOOKUP(A27,load!$A$4:$U$5001,11,0)</f>
        <v>0</v>
      </c>
      <c r="H27" s="97">
        <v>9</v>
      </c>
      <c r="I27" s="98">
        <f t="shared" si="8"/>
        <v>81.899999999999991</v>
      </c>
      <c r="J27" s="99">
        <f t="shared" si="14"/>
        <v>0</v>
      </c>
      <c r="K27" s="99">
        <f t="shared" si="9"/>
        <v>0</v>
      </c>
      <c r="L27" s="98">
        <f t="shared" si="15"/>
        <v>0</v>
      </c>
      <c r="M27" s="98">
        <f t="shared" si="16"/>
        <v>0</v>
      </c>
      <c r="N27" s="181">
        <f>IF(G27&gt;0,('MP2-DA'!N27+5),O26)</f>
        <v>46326.088518831595</v>
      </c>
      <c r="O27" s="181">
        <f t="shared" si="11"/>
        <v>46326.088518831595</v>
      </c>
      <c r="P27" s="101" t="str">
        <f>VLOOKUP(A27,SHIPMENTS!$A$7:$N$171,13,0)</f>
        <v>n/a</v>
      </c>
      <c r="Q27" s="101"/>
      <c r="R27" s="127" t="str">
        <f t="shared" si="4"/>
        <v/>
      </c>
      <c r="S27" s="127" t="str">
        <f t="shared" si="18"/>
        <v/>
      </c>
      <c r="T27" s="127" t="str">
        <f t="shared" si="18"/>
        <v/>
      </c>
      <c r="U27" s="127" t="str">
        <f t="shared" si="18"/>
        <v/>
      </c>
      <c r="V27" s="127" t="str">
        <f t="shared" si="18"/>
        <v/>
      </c>
      <c r="W27" s="127" t="str">
        <f t="shared" si="18"/>
        <v/>
      </c>
      <c r="X27" s="127" t="str">
        <f t="shared" si="18"/>
        <v/>
      </c>
      <c r="Y27" s="127" t="str">
        <f t="shared" si="18"/>
        <v/>
      </c>
      <c r="Z27" s="127" t="str">
        <f t="shared" si="18"/>
        <v>▲</v>
      </c>
      <c r="AA27" s="127" t="str">
        <f t="shared" si="18"/>
        <v/>
      </c>
      <c r="AB27" s="127" t="str">
        <f t="shared" si="18"/>
        <v/>
      </c>
      <c r="AC27" s="127" t="str">
        <f t="shared" si="18"/>
        <v/>
      </c>
      <c r="AD27" s="127" t="str">
        <f t="shared" si="18"/>
        <v/>
      </c>
      <c r="AE27" s="127" t="str">
        <f t="shared" si="18"/>
        <v/>
      </c>
      <c r="AF27" s="127" t="str">
        <f t="shared" si="18"/>
        <v/>
      </c>
      <c r="AG27" s="127" t="str">
        <f t="shared" si="18"/>
        <v/>
      </c>
      <c r="AH27" s="127" t="str">
        <f t="shared" si="18"/>
        <v/>
      </c>
      <c r="AI27" s="127" t="str">
        <f t="shared" si="18"/>
        <v/>
      </c>
      <c r="AJ27" s="127" t="str">
        <f t="shared" si="18"/>
        <v/>
      </c>
      <c r="AK27" s="127" t="str">
        <f t="shared" si="18"/>
        <v/>
      </c>
      <c r="AL27" s="127" t="str">
        <f t="shared" si="18"/>
        <v/>
      </c>
      <c r="AM27" s="127" t="str">
        <f t="shared" si="18"/>
        <v/>
      </c>
      <c r="AN27" s="127" t="str">
        <f t="shared" si="18"/>
        <v/>
      </c>
      <c r="AO27" s="127" t="str">
        <f t="shared" si="18"/>
        <v/>
      </c>
      <c r="AP27" s="127" t="str">
        <f t="shared" si="18"/>
        <v/>
      </c>
      <c r="AQ27" s="127" t="str">
        <f t="shared" si="18"/>
        <v/>
      </c>
      <c r="AR27" s="127" t="str">
        <f t="shared" si="18"/>
        <v/>
      </c>
      <c r="AS27" s="127" t="str">
        <f t="shared" si="18"/>
        <v/>
      </c>
      <c r="AT27" s="127" t="str">
        <f t="shared" si="18"/>
        <v/>
      </c>
      <c r="AU27" s="127" t="str">
        <f t="shared" si="18"/>
        <v/>
      </c>
      <c r="AV27" s="127" t="str">
        <f t="shared" si="18"/>
        <v/>
      </c>
      <c r="AW27" s="127" t="str">
        <f t="shared" si="18"/>
        <v/>
      </c>
      <c r="AX27" s="127" t="str">
        <f t="shared" si="18"/>
        <v/>
      </c>
      <c r="AY27" s="127" t="str">
        <f t="shared" si="18"/>
        <v/>
      </c>
      <c r="AZ27" s="127" t="str">
        <f t="shared" si="18"/>
        <v/>
      </c>
      <c r="BA27" s="127" t="str">
        <f t="shared" si="18"/>
        <v/>
      </c>
      <c r="BB27" s="127" t="str">
        <f t="shared" si="18"/>
        <v/>
      </c>
      <c r="BC27" s="127" t="str">
        <f t="shared" si="18"/>
        <v/>
      </c>
      <c r="BD27" s="127" t="str">
        <f t="shared" si="18"/>
        <v/>
      </c>
      <c r="BE27" s="127" t="str">
        <f t="shared" si="18"/>
        <v/>
      </c>
      <c r="BF27" s="127" t="str">
        <f t="shared" si="18"/>
        <v/>
      </c>
      <c r="BG27" s="127" t="str">
        <f t="shared" si="17"/>
        <v/>
      </c>
      <c r="BH27" s="127" t="str">
        <f t="shared" si="19"/>
        <v/>
      </c>
      <c r="BI27" s="127" t="str">
        <f t="shared" si="19"/>
        <v/>
      </c>
      <c r="BJ27" s="127" t="str">
        <f t="shared" si="19"/>
        <v/>
      </c>
      <c r="BK27" s="127" t="str">
        <f t="shared" si="19"/>
        <v/>
      </c>
      <c r="BL27" s="127" t="str">
        <f t="shared" si="19"/>
        <v/>
      </c>
      <c r="BM27" s="127" t="str">
        <f t="shared" si="19"/>
        <v/>
      </c>
      <c r="BN27" s="127" t="str">
        <f t="shared" si="19"/>
        <v/>
      </c>
      <c r="BO27" s="127" t="str">
        <f t="shared" si="19"/>
        <v/>
      </c>
      <c r="BP27" s="127" t="str">
        <f t="shared" si="19"/>
        <v/>
      </c>
      <c r="BQ27" s="127" t="str">
        <f t="shared" si="19"/>
        <v/>
      </c>
      <c r="BR27" s="127" t="str">
        <f t="shared" si="19"/>
        <v/>
      </c>
      <c r="BS27" s="127" t="str">
        <f t="shared" si="19"/>
        <v/>
      </c>
      <c r="BT27" s="127" t="str">
        <f t="shared" si="20"/>
        <v/>
      </c>
      <c r="BU27" s="127" t="str">
        <f t="shared" si="20"/>
        <v/>
      </c>
      <c r="BV27" s="127" t="str">
        <f t="shared" si="20"/>
        <v/>
      </c>
      <c r="BW27" s="127" t="str">
        <f t="shared" si="20"/>
        <v/>
      </c>
      <c r="BX27" s="127" t="str">
        <f t="shared" si="20"/>
        <v/>
      </c>
      <c r="BY27" s="127" t="str">
        <f t="shared" si="20"/>
        <v/>
      </c>
      <c r="BZ27" s="127" t="str">
        <f t="shared" si="20"/>
        <v/>
      </c>
      <c r="CA27" s="127" t="str">
        <f t="shared" si="20"/>
        <v/>
      </c>
      <c r="CB27" s="127" t="str">
        <f t="shared" si="20"/>
        <v/>
      </c>
      <c r="CC27" s="127" t="str">
        <f t="shared" si="20"/>
        <v/>
      </c>
      <c r="CD27" s="127" t="str">
        <f t="shared" si="20"/>
        <v/>
      </c>
      <c r="CE27" s="127" t="str">
        <f t="shared" si="20"/>
        <v/>
      </c>
    </row>
    <row r="28" spans="1:83" ht="12.6" hidden="1" customHeight="1" x14ac:dyDescent="0.2">
      <c r="A28" s="106">
        <f>SHIPMENTS!A34</f>
        <v>9247</v>
      </c>
      <c r="B28" s="106" t="str">
        <f>SHIPMENTS!B34</f>
        <v>15900- Batangas City |Angela Joy Medes Mandigma</v>
      </c>
      <c r="C28" s="132">
        <f>SHIPMENTS!F34</f>
        <v>0.188</v>
      </c>
      <c r="D28" s="107" t="str">
        <f>IF((SHIPMENTS!I34)=0,"",SHIPMENTS!I34)</f>
        <v/>
      </c>
      <c r="E28" s="176">
        <f>IF((SHIPMENTS!G34)=0,"",SHIPMENTS!G34)</f>
        <v>46323</v>
      </c>
      <c r="F28" s="97">
        <f>VLOOKUP(A28,Items!$A$5:$J$1000,2,0)</f>
        <v>0</v>
      </c>
      <c r="G28" s="98">
        <f>VLOOKUP(A28,load!$A$4:$U$5001,11,0)</f>
        <v>0</v>
      </c>
      <c r="H28" s="97">
        <v>9</v>
      </c>
      <c r="I28" s="98">
        <f t="shared" ref="I28" si="21">+H28*$I$4</f>
        <v>81.899999999999991</v>
      </c>
      <c r="J28" s="99">
        <f t="shared" ref="J28" si="22">G28/I28</f>
        <v>0</v>
      </c>
      <c r="K28" s="99">
        <f t="shared" ref="K28" si="23">+J28*$I$4</f>
        <v>0</v>
      </c>
      <c r="L28" s="98">
        <f t="shared" ref="L28" si="24">IFERROR(J28-(J28*P28),0)</f>
        <v>0</v>
      </c>
      <c r="M28" s="98">
        <f t="shared" ref="M28" si="25">IFERROR(K28-(K28*P28),0)</f>
        <v>0</v>
      </c>
      <c r="N28" s="181">
        <f>IF(G28&gt;0,('MP2-DA'!N28+5),O27)</f>
        <v>46326.088518831595</v>
      </c>
      <c r="O28" s="181">
        <f t="shared" si="11"/>
        <v>46326.088518831595</v>
      </c>
      <c r="P28" s="101" t="str">
        <f>VLOOKUP(A28,SHIPMENTS!$A$7:$N$171,13,0)</f>
        <v>n/a</v>
      </c>
      <c r="Q28" s="101"/>
      <c r="R28" s="127" t="str">
        <f t="shared" si="4"/>
        <v/>
      </c>
      <c r="S28" s="127" t="str">
        <f t="shared" si="18"/>
        <v/>
      </c>
      <c r="T28" s="127" t="str">
        <f t="shared" si="18"/>
        <v/>
      </c>
      <c r="U28" s="127" t="str">
        <f t="shared" si="18"/>
        <v/>
      </c>
      <c r="V28" s="127" t="str">
        <f t="shared" si="18"/>
        <v/>
      </c>
      <c r="W28" s="127" t="str">
        <f t="shared" si="18"/>
        <v/>
      </c>
      <c r="X28" s="127" t="str">
        <f t="shared" si="18"/>
        <v/>
      </c>
      <c r="Y28" s="127" t="str">
        <f t="shared" si="18"/>
        <v/>
      </c>
      <c r="Z28" s="127" t="str">
        <f t="shared" si="18"/>
        <v>▲</v>
      </c>
      <c r="AA28" s="127" t="str">
        <f t="shared" si="18"/>
        <v/>
      </c>
      <c r="AB28" s="127" t="str">
        <f t="shared" si="18"/>
        <v/>
      </c>
      <c r="AC28" s="127" t="str">
        <f t="shared" si="18"/>
        <v/>
      </c>
      <c r="AD28" s="127" t="str">
        <f t="shared" si="18"/>
        <v/>
      </c>
      <c r="AE28" s="127" t="str">
        <f t="shared" si="18"/>
        <v/>
      </c>
      <c r="AF28" s="127" t="str">
        <f t="shared" si="18"/>
        <v/>
      </c>
      <c r="AG28" s="127" t="str">
        <f t="shared" si="18"/>
        <v/>
      </c>
      <c r="AH28" s="127" t="str">
        <f t="shared" ref="AH28:BF38" si="26">IF($E28=AH$3,"▲","")</f>
        <v/>
      </c>
      <c r="AI28" s="127" t="str">
        <f t="shared" si="26"/>
        <v/>
      </c>
      <c r="AJ28" s="127" t="str">
        <f t="shared" si="26"/>
        <v/>
      </c>
      <c r="AK28" s="127" t="str">
        <f t="shared" si="26"/>
        <v/>
      </c>
      <c r="AL28" s="127" t="str">
        <f t="shared" si="26"/>
        <v/>
      </c>
      <c r="AM28" s="127" t="str">
        <f t="shared" si="26"/>
        <v/>
      </c>
      <c r="AN28" s="127" t="str">
        <f t="shared" si="26"/>
        <v/>
      </c>
      <c r="AO28" s="127" t="str">
        <f t="shared" si="26"/>
        <v/>
      </c>
      <c r="AP28" s="127" t="str">
        <f t="shared" si="26"/>
        <v/>
      </c>
      <c r="AQ28" s="127" t="str">
        <f t="shared" si="26"/>
        <v/>
      </c>
      <c r="AR28" s="127" t="str">
        <f t="shared" si="26"/>
        <v/>
      </c>
      <c r="AS28" s="127" t="str">
        <f t="shared" si="26"/>
        <v/>
      </c>
      <c r="AT28" s="127" t="str">
        <f t="shared" si="26"/>
        <v/>
      </c>
      <c r="AU28" s="127" t="str">
        <f t="shared" si="26"/>
        <v/>
      </c>
      <c r="AV28" s="127" t="str">
        <f t="shared" si="26"/>
        <v/>
      </c>
      <c r="AW28" s="127" t="str">
        <f t="shared" si="26"/>
        <v/>
      </c>
      <c r="AX28" s="127" t="str">
        <f t="shared" si="26"/>
        <v/>
      </c>
      <c r="AY28" s="127" t="str">
        <f t="shared" si="26"/>
        <v/>
      </c>
      <c r="AZ28" s="127" t="str">
        <f t="shared" si="26"/>
        <v/>
      </c>
      <c r="BA28" s="127" t="str">
        <f t="shared" si="26"/>
        <v/>
      </c>
      <c r="BB28" s="127" t="str">
        <f t="shared" si="26"/>
        <v/>
      </c>
      <c r="BC28" s="127" t="str">
        <f t="shared" si="26"/>
        <v/>
      </c>
      <c r="BD28" s="127" t="str">
        <f t="shared" si="26"/>
        <v/>
      </c>
      <c r="BE28" s="127" t="str">
        <f t="shared" si="26"/>
        <v/>
      </c>
      <c r="BF28" s="127" t="str">
        <f t="shared" si="26"/>
        <v/>
      </c>
      <c r="BG28" s="127" t="str">
        <f t="shared" si="17"/>
        <v/>
      </c>
      <c r="BH28" s="127" t="str">
        <f t="shared" si="19"/>
        <v/>
      </c>
      <c r="BI28" s="127" t="str">
        <f t="shared" si="19"/>
        <v/>
      </c>
      <c r="BJ28" s="127" t="str">
        <f t="shared" si="19"/>
        <v/>
      </c>
      <c r="BK28" s="127" t="str">
        <f t="shared" si="19"/>
        <v/>
      </c>
      <c r="BL28" s="127" t="str">
        <f t="shared" si="19"/>
        <v/>
      </c>
      <c r="BM28" s="127" t="str">
        <f t="shared" si="19"/>
        <v/>
      </c>
      <c r="BN28" s="127" t="str">
        <f t="shared" si="19"/>
        <v/>
      </c>
      <c r="BO28" s="127" t="str">
        <f t="shared" si="19"/>
        <v/>
      </c>
      <c r="BP28" s="127" t="str">
        <f t="shared" si="19"/>
        <v/>
      </c>
      <c r="BQ28" s="127" t="str">
        <f t="shared" si="19"/>
        <v/>
      </c>
      <c r="BR28" s="127" t="str">
        <f t="shared" si="19"/>
        <v/>
      </c>
      <c r="BS28" s="127" t="str">
        <f t="shared" si="19"/>
        <v/>
      </c>
      <c r="BT28" s="127" t="str">
        <f t="shared" si="20"/>
        <v/>
      </c>
      <c r="BU28" s="127" t="str">
        <f t="shared" si="20"/>
        <v/>
      </c>
      <c r="BV28" s="127" t="str">
        <f t="shared" si="20"/>
        <v/>
      </c>
      <c r="BW28" s="127" t="str">
        <f t="shared" si="20"/>
        <v/>
      </c>
      <c r="BX28" s="127" t="str">
        <f t="shared" si="20"/>
        <v/>
      </c>
      <c r="BY28" s="127" t="str">
        <f t="shared" si="20"/>
        <v/>
      </c>
      <c r="BZ28" s="127" t="str">
        <f t="shared" si="20"/>
        <v/>
      </c>
      <c r="CA28" s="127" t="str">
        <f t="shared" si="20"/>
        <v/>
      </c>
      <c r="CB28" s="127" t="str">
        <f t="shared" si="20"/>
        <v/>
      </c>
      <c r="CC28" s="127" t="str">
        <f t="shared" si="20"/>
        <v/>
      </c>
      <c r="CD28" s="127" t="str">
        <f t="shared" si="20"/>
        <v/>
      </c>
      <c r="CE28" s="127" t="str">
        <f t="shared" si="20"/>
        <v/>
      </c>
    </row>
    <row r="29" spans="1:83" ht="12.6" hidden="1" customHeight="1" x14ac:dyDescent="0.2">
      <c r="A29" s="106">
        <f>SHIPMENTS!A35</f>
        <v>9302</v>
      </c>
      <c r="B29" s="106" t="str">
        <f>SHIPMENTS!B35</f>
        <v>15900- Binangonan Rizal |Dr. Jonathan Emmanuel Sandejas</v>
      </c>
      <c r="C29" s="132">
        <f>SHIPMENTS!F35</f>
        <v>0.14499999999999999</v>
      </c>
      <c r="D29" s="107" t="str">
        <f>IF((SHIPMENTS!I35)=0,"",SHIPMENTS!I35)</f>
        <v/>
      </c>
      <c r="E29" s="176">
        <f>IF((SHIPMENTS!G35)=0,"",SHIPMENTS!G35)</f>
        <v>46323</v>
      </c>
      <c r="F29" s="97">
        <f>VLOOKUP(A29,Items!$A$5:$J$1000,2,0)</f>
        <v>0</v>
      </c>
      <c r="G29" s="98">
        <f>VLOOKUP(A29,load!$A$4:$U$5001,11,0)</f>
        <v>0</v>
      </c>
      <c r="H29" s="97">
        <v>9</v>
      </c>
      <c r="I29" s="98">
        <f t="shared" ref="I29:I32" si="27">+H29*$I$4</f>
        <v>81.899999999999991</v>
      </c>
      <c r="J29" s="99">
        <f t="shared" ref="J29:J32" si="28">G29/I29</f>
        <v>0</v>
      </c>
      <c r="K29" s="99">
        <f t="shared" ref="K29:K32" si="29">+J29*$I$4</f>
        <v>0</v>
      </c>
      <c r="L29" s="98">
        <f t="shared" ref="L29:L32" si="30">IFERROR(J29-(J29*P29),0)</f>
        <v>0</v>
      </c>
      <c r="M29" s="98">
        <f t="shared" ref="M29:M32" si="31">IFERROR(K29-(K29*P29),0)</f>
        <v>0</v>
      </c>
      <c r="N29" s="181">
        <f>IF(G29&gt;0,('MP2-DA'!N29+5),O28)</f>
        <v>46326.088518831595</v>
      </c>
      <c r="O29" s="181">
        <f t="shared" si="11"/>
        <v>46326.088518831595</v>
      </c>
      <c r="P29" s="101" t="str">
        <f>VLOOKUP(A29,SHIPMENTS!$A$7:$N$171,13,0)</f>
        <v>n/a</v>
      </c>
      <c r="Q29" s="101"/>
      <c r="R29" s="127" t="str">
        <f t="shared" si="4"/>
        <v/>
      </c>
      <c r="S29" s="127" t="str">
        <f t="shared" si="4"/>
        <v/>
      </c>
      <c r="T29" s="127" t="str">
        <f t="shared" si="4"/>
        <v/>
      </c>
      <c r="U29" s="127" t="str">
        <f t="shared" si="4"/>
        <v/>
      </c>
      <c r="V29" s="127" t="str">
        <f t="shared" si="4"/>
        <v/>
      </c>
      <c r="W29" s="127" t="str">
        <f t="shared" si="4"/>
        <v/>
      </c>
      <c r="X29" s="127" t="str">
        <f t="shared" si="4"/>
        <v/>
      </c>
      <c r="Y29" s="127" t="str">
        <f t="shared" si="4"/>
        <v/>
      </c>
      <c r="Z29" s="127" t="str">
        <f t="shared" si="4"/>
        <v>▲</v>
      </c>
      <c r="AA29" s="127" t="str">
        <f t="shared" si="4"/>
        <v/>
      </c>
      <c r="AB29" s="127" t="str">
        <f t="shared" si="4"/>
        <v/>
      </c>
      <c r="AC29" s="127" t="str">
        <f t="shared" si="4"/>
        <v/>
      </c>
      <c r="AD29" s="127" t="str">
        <f t="shared" si="4"/>
        <v/>
      </c>
      <c r="AE29" s="127" t="str">
        <f t="shared" si="4"/>
        <v/>
      </c>
      <c r="AF29" s="127" t="str">
        <f t="shared" si="4"/>
        <v/>
      </c>
      <c r="AG29" s="127" t="str">
        <f t="shared" si="4"/>
        <v/>
      </c>
      <c r="AH29" s="127" t="str">
        <f t="shared" si="26"/>
        <v/>
      </c>
      <c r="AI29" s="127" t="str">
        <f t="shared" si="26"/>
        <v/>
      </c>
      <c r="AJ29" s="127" t="str">
        <f t="shared" si="26"/>
        <v/>
      </c>
      <c r="AK29" s="127" t="str">
        <f t="shared" si="26"/>
        <v/>
      </c>
      <c r="AL29" s="127" t="str">
        <f t="shared" si="26"/>
        <v/>
      </c>
      <c r="AM29" s="127" t="str">
        <f t="shared" si="26"/>
        <v/>
      </c>
      <c r="AN29" s="127" t="str">
        <f t="shared" si="26"/>
        <v/>
      </c>
      <c r="AO29" s="127" t="str">
        <f t="shared" si="26"/>
        <v/>
      </c>
      <c r="AP29" s="127" t="str">
        <f t="shared" si="26"/>
        <v/>
      </c>
      <c r="AQ29" s="127" t="str">
        <f t="shared" si="26"/>
        <v/>
      </c>
      <c r="AR29" s="127" t="str">
        <f t="shared" si="26"/>
        <v/>
      </c>
      <c r="AS29" s="127" t="str">
        <f t="shared" si="26"/>
        <v/>
      </c>
      <c r="AT29" s="127" t="str">
        <f t="shared" si="26"/>
        <v/>
      </c>
      <c r="AU29" s="127" t="str">
        <f t="shared" si="26"/>
        <v/>
      </c>
      <c r="AV29" s="127" t="str">
        <f t="shared" si="26"/>
        <v/>
      </c>
      <c r="AW29" s="127" t="str">
        <f t="shared" si="26"/>
        <v/>
      </c>
      <c r="AX29" s="127" t="str">
        <f t="shared" si="26"/>
        <v/>
      </c>
      <c r="AY29" s="127" t="str">
        <f t="shared" si="26"/>
        <v/>
      </c>
      <c r="AZ29" s="127" t="str">
        <f t="shared" si="26"/>
        <v/>
      </c>
      <c r="BA29" s="127" t="str">
        <f t="shared" si="26"/>
        <v/>
      </c>
      <c r="BB29" s="127" t="str">
        <f t="shared" si="26"/>
        <v/>
      </c>
      <c r="BC29" s="127" t="str">
        <f t="shared" si="26"/>
        <v/>
      </c>
      <c r="BD29" s="127" t="str">
        <f t="shared" si="26"/>
        <v/>
      </c>
      <c r="BE29" s="127" t="str">
        <f t="shared" si="26"/>
        <v/>
      </c>
      <c r="BF29" s="127" t="str">
        <f t="shared" si="26"/>
        <v/>
      </c>
      <c r="BG29" s="127" t="str">
        <f t="shared" si="17"/>
        <v/>
      </c>
      <c r="BH29" s="127" t="str">
        <f t="shared" si="19"/>
        <v/>
      </c>
      <c r="BI29" s="127" t="str">
        <f t="shared" si="19"/>
        <v/>
      </c>
      <c r="BJ29" s="127" t="str">
        <f t="shared" si="19"/>
        <v/>
      </c>
      <c r="BK29" s="127" t="str">
        <f t="shared" si="19"/>
        <v/>
      </c>
      <c r="BL29" s="127" t="str">
        <f t="shared" si="19"/>
        <v/>
      </c>
      <c r="BM29" s="127" t="str">
        <f t="shared" si="19"/>
        <v/>
      </c>
      <c r="BN29" s="127" t="str">
        <f t="shared" si="19"/>
        <v/>
      </c>
      <c r="BO29" s="127" t="str">
        <f t="shared" si="19"/>
        <v/>
      </c>
      <c r="BP29" s="127" t="str">
        <f t="shared" si="19"/>
        <v/>
      </c>
      <c r="BQ29" s="127" t="str">
        <f t="shared" si="19"/>
        <v/>
      </c>
      <c r="BR29" s="127" t="str">
        <f t="shared" si="19"/>
        <v/>
      </c>
      <c r="BS29" s="127" t="str">
        <f t="shared" si="19"/>
        <v/>
      </c>
      <c r="BT29" s="127" t="str">
        <f t="shared" si="20"/>
        <v/>
      </c>
      <c r="BU29" s="127" t="str">
        <f t="shared" si="20"/>
        <v/>
      </c>
      <c r="BV29" s="127" t="str">
        <f t="shared" si="20"/>
        <v/>
      </c>
      <c r="BW29" s="127" t="str">
        <f t="shared" si="20"/>
        <v/>
      </c>
      <c r="BX29" s="127" t="str">
        <f t="shared" si="20"/>
        <v/>
      </c>
      <c r="BY29" s="127" t="str">
        <f t="shared" si="20"/>
        <v/>
      </c>
      <c r="BZ29" s="127" t="str">
        <f t="shared" si="20"/>
        <v/>
      </c>
      <c r="CA29" s="127" t="str">
        <f t="shared" si="20"/>
        <v/>
      </c>
      <c r="CB29" s="127" t="str">
        <f t="shared" si="20"/>
        <v/>
      </c>
      <c r="CC29" s="127" t="str">
        <f t="shared" si="20"/>
        <v/>
      </c>
      <c r="CD29" s="127" t="str">
        <f t="shared" si="20"/>
        <v/>
      </c>
      <c r="CE29" s="127" t="str">
        <f t="shared" si="20"/>
        <v/>
      </c>
    </row>
    <row r="30" spans="1:83" ht="12.6" hidden="1" customHeight="1" x14ac:dyDescent="0.2">
      <c r="A30" s="106">
        <f>SHIPMENTS!A36</f>
        <v>8954</v>
      </c>
      <c r="B30" s="106" t="str">
        <f>SHIPMENTS!B36</f>
        <v>15900- Cainta Rizal | Mary Baquiran</v>
      </c>
      <c r="C30" s="132">
        <f>SHIPMENTS!F36</f>
        <v>6.4999999999999997E-3</v>
      </c>
      <c r="D30" s="107" t="str">
        <f>IF((SHIPMENTS!I36)=0,"",SHIPMENTS!I36)</f>
        <v/>
      </c>
      <c r="E30" s="176">
        <f>IF((SHIPMENTS!G36)=0,"",SHIPMENTS!G36)</f>
        <v>46323</v>
      </c>
      <c r="F30" s="97">
        <f>VLOOKUP(A30,Items!$A$5:$J$1000,2,0)</f>
        <v>0</v>
      </c>
      <c r="G30" s="98">
        <f>VLOOKUP(A30,load!$A$4:$U$5001,11,0)</f>
        <v>0</v>
      </c>
      <c r="H30" s="97">
        <v>9</v>
      </c>
      <c r="I30" s="98">
        <f t="shared" si="27"/>
        <v>81.899999999999991</v>
      </c>
      <c r="J30" s="99">
        <f t="shared" si="28"/>
        <v>0</v>
      </c>
      <c r="K30" s="99">
        <f t="shared" si="29"/>
        <v>0</v>
      </c>
      <c r="L30" s="98">
        <f t="shared" si="30"/>
        <v>0</v>
      </c>
      <c r="M30" s="98">
        <f t="shared" si="31"/>
        <v>0</v>
      </c>
      <c r="N30" s="181">
        <f>IF(G30&gt;0,('MP2-DA'!N30+5),O29)</f>
        <v>46326.088518831595</v>
      </c>
      <c r="O30" s="181">
        <f t="shared" si="11"/>
        <v>46326.088518831595</v>
      </c>
      <c r="P30" s="101" t="str">
        <f>VLOOKUP(A30,SHIPMENTS!$A$7:$N$171,13,0)</f>
        <v>n/a</v>
      </c>
      <c r="Q30" s="101"/>
      <c r="R30" s="127" t="str">
        <f t="shared" ref="R30:AG45" si="32">IF($E30=R$3,"▲","")</f>
        <v/>
      </c>
      <c r="S30" s="127" t="str">
        <f t="shared" si="32"/>
        <v/>
      </c>
      <c r="T30" s="127" t="str">
        <f t="shared" si="32"/>
        <v/>
      </c>
      <c r="U30" s="127" t="str">
        <f t="shared" si="32"/>
        <v/>
      </c>
      <c r="V30" s="127" t="str">
        <f t="shared" si="32"/>
        <v/>
      </c>
      <c r="W30" s="127" t="str">
        <f t="shared" si="32"/>
        <v/>
      </c>
      <c r="X30" s="127" t="str">
        <f t="shared" si="32"/>
        <v/>
      </c>
      <c r="Y30" s="127" t="str">
        <f t="shared" si="32"/>
        <v/>
      </c>
      <c r="Z30" s="127" t="str">
        <f t="shared" si="32"/>
        <v>▲</v>
      </c>
      <c r="AA30" s="127" t="str">
        <f t="shared" si="32"/>
        <v/>
      </c>
      <c r="AB30" s="127" t="str">
        <f t="shared" si="32"/>
        <v/>
      </c>
      <c r="AC30" s="127" t="str">
        <f t="shared" si="32"/>
        <v/>
      </c>
      <c r="AD30" s="127" t="str">
        <f t="shared" si="32"/>
        <v/>
      </c>
      <c r="AE30" s="127" t="str">
        <f t="shared" si="32"/>
        <v/>
      </c>
      <c r="AF30" s="127" t="str">
        <f t="shared" si="32"/>
        <v/>
      </c>
      <c r="AG30" s="127" t="str">
        <f t="shared" si="32"/>
        <v/>
      </c>
      <c r="AH30" s="127" t="str">
        <f t="shared" si="26"/>
        <v/>
      </c>
      <c r="AI30" s="127" t="str">
        <f t="shared" si="26"/>
        <v/>
      </c>
      <c r="AJ30" s="127" t="str">
        <f t="shared" si="26"/>
        <v/>
      </c>
      <c r="AK30" s="127" t="str">
        <f t="shared" si="26"/>
        <v/>
      </c>
      <c r="AL30" s="127" t="str">
        <f t="shared" si="26"/>
        <v/>
      </c>
      <c r="AM30" s="127" t="str">
        <f t="shared" si="26"/>
        <v/>
      </c>
      <c r="AN30" s="127" t="str">
        <f t="shared" si="26"/>
        <v/>
      </c>
      <c r="AO30" s="127" t="str">
        <f t="shared" si="26"/>
        <v/>
      </c>
      <c r="AP30" s="127" t="str">
        <f t="shared" si="26"/>
        <v/>
      </c>
      <c r="AQ30" s="127" t="str">
        <f t="shared" si="26"/>
        <v/>
      </c>
      <c r="AR30" s="127" t="str">
        <f t="shared" si="26"/>
        <v/>
      </c>
      <c r="AS30" s="127" t="str">
        <f t="shared" si="26"/>
        <v/>
      </c>
      <c r="AT30" s="127" t="str">
        <f t="shared" si="26"/>
        <v/>
      </c>
      <c r="AU30" s="127" t="str">
        <f t="shared" si="26"/>
        <v/>
      </c>
      <c r="AV30" s="127" t="str">
        <f t="shared" si="26"/>
        <v/>
      </c>
      <c r="AW30" s="127" t="str">
        <f t="shared" si="26"/>
        <v/>
      </c>
      <c r="AX30" s="127" t="str">
        <f t="shared" si="26"/>
        <v/>
      </c>
      <c r="AY30" s="127" t="str">
        <f t="shared" si="26"/>
        <v/>
      </c>
      <c r="AZ30" s="127" t="str">
        <f t="shared" si="26"/>
        <v/>
      </c>
      <c r="BA30" s="127" t="str">
        <f t="shared" si="26"/>
        <v/>
      </c>
      <c r="BB30" s="127" t="str">
        <f t="shared" si="26"/>
        <v/>
      </c>
      <c r="BC30" s="127" t="str">
        <f t="shared" si="26"/>
        <v/>
      </c>
      <c r="BD30" s="127" t="str">
        <f t="shared" si="26"/>
        <v/>
      </c>
      <c r="BE30" s="127" t="str">
        <f t="shared" si="26"/>
        <v/>
      </c>
      <c r="BF30" s="127" t="str">
        <f t="shared" si="26"/>
        <v/>
      </c>
      <c r="BG30" s="127" t="str">
        <f t="shared" si="17"/>
        <v/>
      </c>
      <c r="BH30" s="127" t="str">
        <f t="shared" si="19"/>
        <v/>
      </c>
      <c r="BI30" s="127" t="str">
        <f t="shared" si="19"/>
        <v/>
      </c>
      <c r="BJ30" s="127" t="str">
        <f t="shared" si="19"/>
        <v/>
      </c>
      <c r="BK30" s="127" t="str">
        <f t="shared" si="19"/>
        <v/>
      </c>
      <c r="BL30" s="127" t="str">
        <f t="shared" si="19"/>
        <v/>
      </c>
      <c r="BM30" s="127" t="str">
        <f t="shared" si="19"/>
        <v/>
      </c>
      <c r="BN30" s="127" t="str">
        <f t="shared" si="19"/>
        <v/>
      </c>
      <c r="BO30" s="127" t="str">
        <f t="shared" si="19"/>
        <v/>
      </c>
      <c r="BP30" s="127" t="str">
        <f t="shared" si="19"/>
        <v/>
      </c>
      <c r="BQ30" s="127" t="str">
        <f t="shared" si="19"/>
        <v/>
      </c>
      <c r="BR30" s="127" t="str">
        <f t="shared" si="19"/>
        <v/>
      </c>
      <c r="BS30" s="127" t="str">
        <f t="shared" si="19"/>
        <v/>
      </c>
      <c r="BT30" s="127" t="str">
        <f t="shared" si="20"/>
        <v/>
      </c>
      <c r="BU30" s="127" t="str">
        <f t="shared" si="20"/>
        <v/>
      </c>
      <c r="BV30" s="127" t="str">
        <f t="shared" si="20"/>
        <v/>
      </c>
      <c r="BW30" s="127" t="str">
        <f t="shared" si="20"/>
        <v/>
      </c>
      <c r="BX30" s="127" t="str">
        <f t="shared" si="20"/>
        <v/>
      </c>
      <c r="BY30" s="127" t="str">
        <f t="shared" si="20"/>
        <v/>
      </c>
      <c r="BZ30" s="127" t="str">
        <f t="shared" si="20"/>
        <v/>
      </c>
      <c r="CA30" s="127" t="str">
        <f t="shared" si="20"/>
        <v/>
      </c>
      <c r="CB30" s="127" t="str">
        <f t="shared" si="20"/>
        <v/>
      </c>
      <c r="CC30" s="127" t="str">
        <f t="shared" si="20"/>
        <v/>
      </c>
      <c r="CD30" s="127" t="str">
        <f t="shared" si="20"/>
        <v/>
      </c>
      <c r="CE30" s="127" t="str">
        <f t="shared" si="20"/>
        <v/>
      </c>
    </row>
    <row r="31" spans="1:83" ht="12.6" hidden="1" customHeight="1" x14ac:dyDescent="0.2">
      <c r="A31" s="106">
        <f>SHIPMENTS!A37</f>
        <v>9064</v>
      </c>
      <c r="B31" s="106" t="str">
        <f>SHIPMENTS!B37</f>
        <v>15900- Quezon City | Hans Jason Tan</v>
      </c>
      <c r="C31" s="132">
        <f>SHIPMENTS!F37</f>
        <v>6.4999999999999997E-3</v>
      </c>
      <c r="D31" s="107" t="str">
        <f>IF((SHIPMENTS!I37)=0,"",SHIPMENTS!I37)</f>
        <v/>
      </c>
      <c r="E31" s="176">
        <f>IF((SHIPMENTS!G37)=0,"",SHIPMENTS!G37)</f>
        <v>46323</v>
      </c>
      <c r="F31" s="97">
        <f>VLOOKUP(A31,Items!$A$5:$J$1000,2,0)</f>
        <v>0</v>
      </c>
      <c r="G31" s="98">
        <f>VLOOKUP(A31,load!$A$4:$U$5001,11,0)</f>
        <v>0</v>
      </c>
      <c r="H31" s="97">
        <v>9</v>
      </c>
      <c r="I31" s="98">
        <f t="shared" si="27"/>
        <v>81.899999999999991</v>
      </c>
      <c r="J31" s="99">
        <f t="shared" si="28"/>
        <v>0</v>
      </c>
      <c r="K31" s="99">
        <f t="shared" si="29"/>
        <v>0</v>
      </c>
      <c r="L31" s="98">
        <f t="shared" si="30"/>
        <v>0</v>
      </c>
      <c r="M31" s="98">
        <f t="shared" si="31"/>
        <v>0</v>
      </c>
      <c r="N31" s="181">
        <f>IF(G31&gt;0,('MP2-DA'!N31+5),O30)</f>
        <v>46326.088518831595</v>
      </c>
      <c r="O31" s="181">
        <f t="shared" si="11"/>
        <v>46326.088518831595</v>
      </c>
      <c r="P31" s="101" t="str">
        <f>VLOOKUP(A31,SHIPMENTS!$A$7:$N$171,13,0)</f>
        <v>n/a</v>
      </c>
      <c r="Q31" s="101"/>
      <c r="R31" s="127" t="str">
        <f t="shared" si="32"/>
        <v/>
      </c>
      <c r="S31" s="127" t="str">
        <f t="shared" si="32"/>
        <v/>
      </c>
      <c r="T31" s="127" t="str">
        <f t="shared" si="32"/>
        <v/>
      </c>
      <c r="U31" s="127" t="str">
        <f t="shared" si="32"/>
        <v/>
      </c>
      <c r="V31" s="127" t="str">
        <f t="shared" si="32"/>
        <v/>
      </c>
      <c r="W31" s="127" t="str">
        <f t="shared" si="32"/>
        <v/>
      </c>
      <c r="X31" s="127" t="str">
        <f t="shared" si="32"/>
        <v/>
      </c>
      <c r="Y31" s="127" t="str">
        <f t="shared" si="32"/>
        <v/>
      </c>
      <c r="Z31" s="127" t="str">
        <f t="shared" si="32"/>
        <v>▲</v>
      </c>
      <c r="AA31" s="127" t="str">
        <f t="shared" si="32"/>
        <v/>
      </c>
      <c r="AB31" s="127" t="str">
        <f t="shared" si="32"/>
        <v/>
      </c>
      <c r="AC31" s="127" t="str">
        <f t="shared" si="32"/>
        <v/>
      </c>
      <c r="AD31" s="127" t="str">
        <f t="shared" si="32"/>
        <v/>
      </c>
      <c r="AE31" s="127" t="str">
        <f t="shared" si="32"/>
        <v/>
      </c>
      <c r="AF31" s="127" t="str">
        <f t="shared" si="32"/>
        <v/>
      </c>
      <c r="AG31" s="127" t="str">
        <f t="shared" si="32"/>
        <v/>
      </c>
      <c r="AH31" s="127" t="str">
        <f t="shared" si="26"/>
        <v/>
      </c>
      <c r="AI31" s="127" t="str">
        <f t="shared" si="26"/>
        <v/>
      </c>
      <c r="AJ31" s="127" t="str">
        <f t="shared" si="26"/>
        <v/>
      </c>
      <c r="AK31" s="127" t="str">
        <f t="shared" si="26"/>
        <v/>
      </c>
      <c r="AL31" s="127" t="str">
        <f t="shared" si="26"/>
        <v/>
      </c>
      <c r="AM31" s="127" t="str">
        <f t="shared" si="26"/>
        <v/>
      </c>
      <c r="AN31" s="127" t="str">
        <f t="shared" si="26"/>
        <v/>
      </c>
      <c r="AO31" s="127" t="str">
        <f t="shared" si="26"/>
        <v/>
      </c>
      <c r="AP31" s="127" t="str">
        <f t="shared" si="26"/>
        <v/>
      </c>
      <c r="AQ31" s="127" t="str">
        <f t="shared" si="26"/>
        <v/>
      </c>
      <c r="AR31" s="127" t="str">
        <f t="shared" si="26"/>
        <v/>
      </c>
      <c r="AS31" s="127" t="str">
        <f t="shared" si="26"/>
        <v/>
      </c>
      <c r="AT31" s="127" t="str">
        <f t="shared" si="26"/>
        <v/>
      </c>
      <c r="AU31" s="127" t="str">
        <f t="shared" si="26"/>
        <v/>
      </c>
      <c r="AV31" s="127" t="str">
        <f t="shared" si="26"/>
        <v/>
      </c>
      <c r="AW31" s="127" t="str">
        <f t="shared" si="26"/>
        <v/>
      </c>
      <c r="AX31" s="127" t="str">
        <f t="shared" si="26"/>
        <v/>
      </c>
      <c r="AY31" s="127" t="str">
        <f t="shared" si="26"/>
        <v/>
      </c>
      <c r="AZ31" s="127" t="str">
        <f t="shared" si="26"/>
        <v/>
      </c>
      <c r="BA31" s="127" t="str">
        <f t="shared" si="26"/>
        <v/>
      </c>
      <c r="BB31" s="127" t="str">
        <f t="shared" si="26"/>
        <v/>
      </c>
      <c r="BC31" s="127" t="str">
        <f t="shared" si="26"/>
        <v/>
      </c>
      <c r="BD31" s="127" t="str">
        <f t="shared" si="26"/>
        <v/>
      </c>
      <c r="BE31" s="127" t="str">
        <f t="shared" si="26"/>
        <v/>
      </c>
      <c r="BF31" s="127" t="str">
        <f t="shared" si="26"/>
        <v/>
      </c>
      <c r="BG31" s="127" t="str">
        <f t="shared" si="17"/>
        <v/>
      </c>
      <c r="BH31" s="127" t="str">
        <f t="shared" si="19"/>
        <v/>
      </c>
      <c r="BI31" s="127" t="str">
        <f t="shared" si="19"/>
        <v/>
      </c>
      <c r="BJ31" s="127" t="str">
        <f t="shared" si="19"/>
        <v/>
      </c>
      <c r="BK31" s="127" t="str">
        <f t="shared" si="19"/>
        <v/>
      </c>
      <c r="BL31" s="127" t="str">
        <f t="shared" si="19"/>
        <v/>
      </c>
      <c r="BM31" s="127" t="str">
        <f t="shared" si="19"/>
        <v/>
      </c>
      <c r="BN31" s="127" t="str">
        <f t="shared" si="19"/>
        <v/>
      </c>
      <c r="BO31" s="127" t="str">
        <f t="shared" si="19"/>
        <v/>
      </c>
      <c r="BP31" s="127" t="str">
        <f t="shared" si="19"/>
        <v/>
      </c>
      <c r="BQ31" s="127" t="str">
        <f t="shared" si="19"/>
        <v/>
      </c>
      <c r="BR31" s="127" t="str">
        <f t="shared" si="19"/>
        <v/>
      </c>
      <c r="BS31" s="127" t="str">
        <f t="shared" si="19"/>
        <v/>
      </c>
      <c r="BT31" s="127" t="str">
        <f t="shared" si="20"/>
        <v/>
      </c>
      <c r="BU31" s="127" t="str">
        <f t="shared" si="20"/>
        <v/>
      </c>
      <c r="BV31" s="127" t="str">
        <f t="shared" si="20"/>
        <v/>
      </c>
      <c r="BW31" s="127" t="str">
        <f t="shared" si="20"/>
        <v/>
      </c>
      <c r="BX31" s="127" t="str">
        <f t="shared" si="20"/>
        <v/>
      </c>
      <c r="BY31" s="127" t="str">
        <f t="shared" si="20"/>
        <v/>
      </c>
      <c r="BZ31" s="127" t="str">
        <f t="shared" si="20"/>
        <v/>
      </c>
      <c r="CA31" s="127" t="str">
        <f t="shared" si="20"/>
        <v/>
      </c>
      <c r="CB31" s="127" t="str">
        <f t="shared" si="20"/>
        <v/>
      </c>
      <c r="CC31" s="127" t="str">
        <f t="shared" si="20"/>
        <v/>
      </c>
      <c r="CD31" s="127" t="str">
        <f t="shared" si="20"/>
        <v/>
      </c>
      <c r="CE31" s="127" t="str">
        <f t="shared" si="20"/>
        <v/>
      </c>
    </row>
    <row r="32" spans="1:83" ht="12.6" hidden="1" customHeight="1" x14ac:dyDescent="0.2">
      <c r="A32" s="106">
        <f>SHIPMENTS!A38</f>
        <v>9065</v>
      </c>
      <c r="B32" s="106" t="str">
        <f>SHIPMENTS!B38</f>
        <v>15900- Cavite | Kristine Austria</v>
      </c>
      <c r="C32" s="132">
        <f>SHIPMENTS!F38</f>
        <v>0</v>
      </c>
      <c r="D32" s="107" t="str">
        <f>IF((SHIPMENTS!I38)=0,"",SHIPMENTS!I38)</f>
        <v/>
      </c>
      <c r="E32" s="176">
        <f>IF((SHIPMENTS!G38)=0,"",SHIPMENTS!G38)</f>
        <v>46323</v>
      </c>
      <c r="F32" s="97">
        <f>VLOOKUP(A32,Items!$A$5:$J$1000,2,0)</f>
        <v>0</v>
      </c>
      <c r="G32" s="98">
        <f>VLOOKUP(A32,load!$A$4:$U$5001,11,0)</f>
        <v>0</v>
      </c>
      <c r="H32" s="97">
        <v>9</v>
      </c>
      <c r="I32" s="98">
        <f t="shared" si="27"/>
        <v>81.899999999999991</v>
      </c>
      <c r="J32" s="99">
        <f t="shared" si="28"/>
        <v>0</v>
      </c>
      <c r="K32" s="99">
        <f t="shared" si="29"/>
        <v>0</v>
      </c>
      <c r="L32" s="98">
        <f t="shared" si="30"/>
        <v>0</v>
      </c>
      <c r="M32" s="98">
        <f t="shared" si="31"/>
        <v>0</v>
      </c>
      <c r="N32" s="181">
        <f>IF(G32&gt;0,('MP2-DA'!N32+5),O31)</f>
        <v>46326.088518831595</v>
      </c>
      <c r="O32" s="181">
        <f t="shared" si="11"/>
        <v>46326.088518831595</v>
      </c>
      <c r="P32" s="101" t="str">
        <f>VLOOKUP(A32,SHIPMENTS!$A$7:$N$171,13,0)</f>
        <v>n/a</v>
      </c>
      <c r="Q32" s="101"/>
      <c r="R32" s="127" t="str">
        <f t="shared" si="32"/>
        <v/>
      </c>
      <c r="S32" s="127" t="str">
        <f t="shared" si="32"/>
        <v/>
      </c>
      <c r="T32" s="127" t="str">
        <f t="shared" si="32"/>
        <v/>
      </c>
      <c r="U32" s="127" t="str">
        <f t="shared" si="32"/>
        <v/>
      </c>
      <c r="V32" s="127" t="str">
        <f t="shared" si="32"/>
        <v/>
      </c>
      <c r="W32" s="127" t="str">
        <f t="shared" si="32"/>
        <v/>
      </c>
      <c r="X32" s="127" t="str">
        <f t="shared" si="32"/>
        <v/>
      </c>
      <c r="Y32" s="127" t="str">
        <f t="shared" si="32"/>
        <v/>
      </c>
      <c r="Z32" s="127" t="str">
        <f t="shared" si="32"/>
        <v>▲</v>
      </c>
      <c r="AA32" s="127" t="str">
        <f t="shared" si="32"/>
        <v/>
      </c>
      <c r="AB32" s="127" t="str">
        <f t="shared" si="32"/>
        <v/>
      </c>
      <c r="AC32" s="127" t="str">
        <f t="shared" si="32"/>
        <v/>
      </c>
      <c r="AD32" s="127" t="str">
        <f t="shared" si="32"/>
        <v/>
      </c>
      <c r="AE32" s="127" t="str">
        <f t="shared" si="32"/>
        <v/>
      </c>
      <c r="AF32" s="127" t="str">
        <f t="shared" si="32"/>
        <v/>
      </c>
      <c r="AG32" s="127" t="str">
        <f t="shared" si="32"/>
        <v/>
      </c>
      <c r="AH32" s="127" t="str">
        <f t="shared" si="26"/>
        <v/>
      </c>
      <c r="AI32" s="127" t="str">
        <f t="shared" si="26"/>
        <v/>
      </c>
      <c r="AJ32" s="127" t="str">
        <f t="shared" si="26"/>
        <v/>
      </c>
      <c r="AK32" s="127" t="str">
        <f t="shared" si="26"/>
        <v/>
      </c>
      <c r="AL32" s="127" t="str">
        <f t="shared" si="26"/>
        <v/>
      </c>
      <c r="AM32" s="127" t="str">
        <f t="shared" si="26"/>
        <v/>
      </c>
      <c r="AN32" s="127" t="str">
        <f t="shared" si="26"/>
        <v/>
      </c>
      <c r="AO32" s="127" t="str">
        <f t="shared" si="26"/>
        <v/>
      </c>
      <c r="AP32" s="127" t="str">
        <f t="shared" si="26"/>
        <v/>
      </c>
      <c r="AQ32" s="127" t="str">
        <f t="shared" si="26"/>
        <v/>
      </c>
      <c r="AR32" s="127" t="str">
        <f t="shared" si="26"/>
        <v/>
      </c>
      <c r="AS32" s="127" t="str">
        <f t="shared" si="26"/>
        <v/>
      </c>
      <c r="AT32" s="127" t="str">
        <f t="shared" si="26"/>
        <v/>
      </c>
      <c r="AU32" s="127" t="str">
        <f t="shared" si="26"/>
        <v/>
      </c>
      <c r="AV32" s="127" t="str">
        <f t="shared" si="26"/>
        <v/>
      </c>
      <c r="AW32" s="127" t="str">
        <f t="shared" si="26"/>
        <v/>
      </c>
      <c r="AX32" s="127" t="str">
        <f t="shared" si="26"/>
        <v/>
      </c>
      <c r="AY32" s="127" t="str">
        <f t="shared" si="26"/>
        <v/>
      </c>
      <c r="AZ32" s="127" t="str">
        <f t="shared" si="26"/>
        <v/>
      </c>
      <c r="BA32" s="127" t="str">
        <f t="shared" si="26"/>
        <v/>
      </c>
      <c r="BB32" s="127" t="str">
        <f t="shared" si="26"/>
        <v/>
      </c>
      <c r="BC32" s="127" t="str">
        <f t="shared" si="26"/>
        <v/>
      </c>
      <c r="BD32" s="127" t="str">
        <f t="shared" si="26"/>
        <v/>
      </c>
      <c r="BE32" s="127" t="str">
        <f t="shared" si="26"/>
        <v/>
      </c>
      <c r="BF32" s="127" t="str">
        <f t="shared" si="26"/>
        <v/>
      </c>
      <c r="BG32" s="127" t="str">
        <f t="shared" si="17"/>
        <v/>
      </c>
      <c r="BH32" s="127" t="str">
        <f t="shared" si="19"/>
        <v/>
      </c>
      <c r="BI32" s="127" t="str">
        <f t="shared" si="19"/>
        <v/>
      </c>
      <c r="BJ32" s="127" t="str">
        <f t="shared" si="19"/>
        <v/>
      </c>
      <c r="BK32" s="127" t="str">
        <f t="shared" si="19"/>
        <v/>
      </c>
      <c r="BL32" s="127" t="str">
        <f t="shared" si="19"/>
        <v/>
      </c>
      <c r="BM32" s="127" t="str">
        <f t="shared" si="19"/>
        <v/>
      </c>
      <c r="BN32" s="127" t="str">
        <f t="shared" si="19"/>
        <v/>
      </c>
      <c r="BO32" s="127" t="str">
        <f t="shared" si="19"/>
        <v/>
      </c>
      <c r="BP32" s="127" t="str">
        <f t="shared" si="19"/>
        <v/>
      </c>
      <c r="BQ32" s="127" t="str">
        <f t="shared" si="19"/>
        <v/>
      </c>
      <c r="BR32" s="127" t="str">
        <f t="shared" si="19"/>
        <v/>
      </c>
      <c r="BS32" s="127" t="str">
        <f t="shared" si="19"/>
        <v/>
      </c>
      <c r="BT32" s="127" t="str">
        <f t="shared" si="20"/>
        <v/>
      </c>
      <c r="BU32" s="127" t="str">
        <f t="shared" si="20"/>
        <v/>
      </c>
      <c r="BV32" s="127" t="str">
        <f t="shared" si="20"/>
        <v/>
      </c>
      <c r="BW32" s="127" t="str">
        <f t="shared" si="20"/>
        <v/>
      </c>
      <c r="BX32" s="127" t="str">
        <f t="shared" si="20"/>
        <v/>
      </c>
      <c r="BY32" s="127" t="str">
        <f t="shared" si="20"/>
        <v/>
      </c>
      <c r="BZ32" s="127" t="str">
        <f t="shared" si="20"/>
        <v/>
      </c>
      <c r="CA32" s="127" t="str">
        <f t="shared" si="20"/>
        <v/>
      </c>
      <c r="CB32" s="127" t="str">
        <f t="shared" si="20"/>
        <v/>
      </c>
      <c r="CC32" s="127" t="str">
        <f t="shared" si="20"/>
        <v/>
      </c>
      <c r="CD32" s="127" t="str">
        <f t="shared" si="20"/>
        <v/>
      </c>
      <c r="CE32" s="127" t="str">
        <f t="shared" si="20"/>
        <v/>
      </c>
    </row>
    <row r="33" spans="1:83" ht="12.6" hidden="1" customHeight="1" x14ac:dyDescent="0.2">
      <c r="A33" s="106">
        <f>SHIPMENTS!A39</f>
        <v>9303</v>
      </c>
      <c r="B33" s="106" t="str">
        <f>SHIPMENTS!B39</f>
        <v>15900- Manila Office Stocking</v>
      </c>
      <c r="C33" s="132">
        <f>SHIPMENTS!F39</f>
        <v>0.63700000000000001</v>
      </c>
      <c r="D33" s="107" t="str">
        <f>IF((SHIPMENTS!I39)=0,"",SHIPMENTS!I39)</f>
        <v/>
      </c>
      <c r="E33" s="176">
        <f>IF((SHIPMENTS!G39)=0,"",SHIPMENTS!G39)</f>
        <v>46323</v>
      </c>
      <c r="F33" s="97">
        <f>VLOOKUP(A33,Items!$A$5:$J$1000,2,0)</f>
        <v>0</v>
      </c>
      <c r="G33" s="98">
        <f>VLOOKUP(A33,load!$A$4:$U$5001,11,0)</f>
        <v>0</v>
      </c>
      <c r="H33" s="97">
        <v>9</v>
      </c>
      <c r="I33" s="98">
        <f t="shared" ref="I33:I44" si="33">+H33*$I$4</f>
        <v>81.899999999999991</v>
      </c>
      <c r="J33" s="99">
        <f t="shared" ref="J33:J44" si="34">G33/I33</f>
        <v>0</v>
      </c>
      <c r="K33" s="99">
        <f t="shared" ref="K33:K44" si="35">+J33*$I$4</f>
        <v>0</v>
      </c>
      <c r="L33" s="98">
        <f t="shared" ref="L33:L44" si="36">IFERROR(J33-(J33*P33),0)</f>
        <v>0</v>
      </c>
      <c r="M33" s="98">
        <f t="shared" ref="M33:M44" si="37">IFERROR(K33-(K33*P33),0)</f>
        <v>0</v>
      </c>
      <c r="N33" s="181">
        <f>IF(G33&gt;0,('MP2-DA'!N33+5),O32)</f>
        <v>46326.088518831595</v>
      </c>
      <c r="O33" s="181">
        <f t="shared" ref="O33:O44" si="38">+N33+L33</f>
        <v>46326.088518831595</v>
      </c>
      <c r="P33" s="101" t="str">
        <f>VLOOKUP(A33,SHIPMENTS!$A$7:$N$171,13,0)</f>
        <v>n/a</v>
      </c>
      <c r="Q33" s="101"/>
      <c r="R33" s="127" t="str">
        <f t="shared" si="32"/>
        <v/>
      </c>
      <c r="S33" s="127" t="str">
        <f t="shared" si="32"/>
        <v/>
      </c>
      <c r="T33" s="127" t="str">
        <f t="shared" si="32"/>
        <v/>
      </c>
      <c r="U33" s="127" t="str">
        <f t="shared" si="32"/>
        <v/>
      </c>
      <c r="V33" s="127" t="str">
        <f t="shared" si="32"/>
        <v/>
      </c>
      <c r="W33" s="127" t="str">
        <f t="shared" si="32"/>
        <v/>
      </c>
      <c r="X33" s="127" t="str">
        <f t="shared" si="32"/>
        <v/>
      </c>
      <c r="Y33" s="127" t="str">
        <f t="shared" si="32"/>
        <v/>
      </c>
      <c r="Z33" s="127" t="str">
        <f t="shared" si="32"/>
        <v>▲</v>
      </c>
      <c r="AA33" s="127" t="str">
        <f t="shared" si="32"/>
        <v/>
      </c>
      <c r="AB33" s="127" t="str">
        <f t="shared" si="32"/>
        <v/>
      </c>
      <c r="AC33" s="127" t="str">
        <f t="shared" si="32"/>
        <v/>
      </c>
      <c r="AD33" s="127" t="str">
        <f t="shared" si="32"/>
        <v/>
      </c>
      <c r="AE33" s="127" t="str">
        <f t="shared" si="32"/>
        <v/>
      </c>
      <c r="AF33" s="127" t="str">
        <f t="shared" si="32"/>
        <v/>
      </c>
      <c r="AG33" s="127" t="str">
        <f t="shared" si="32"/>
        <v/>
      </c>
      <c r="AH33" s="127" t="str">
        <f t="shared" si="26"/>
        <v/>
      </c>
      <c r="AI33" s="127" t="str">
        <f t="shared" si="26"/>
        <v/>
      </c>
      <c r="AJ33" s="127" t="str">
        <f t="shared" si="26"/>
        <v/>
      </c>
      <c r="AK33" s="127" t="str">
        <f t="shared" si="26"/>
        <v/>
      </c>
      <c r="AL33" s="127" t="str">
        <f t="shared" si="26"/>
        <v/>
      </c>
      <c r="AM33" s="127" t="str">
        <f t="shared" si="26"/>
        <v/>
      </c>
      <c r="AN33" s="127" t="str">
        <f t="shared" si="26"/>
        <v/>
      </c>
      <c r="AO33" s="127" t="str">
        <f t="shared" si="26"/>
        <v/>
      </c>
      <c r="AP33" s="127" t="str">
        <f t="shared" si="26"/>
        <v/>
      </c>
      <c r="AQ33" s="127" t="str">
        <f t="shared" si="26"/>
        <v/>
      </c>
      <c r="AR33" s="127" t="str">
        <f t="shared" si="26"/>
        <v/>
      </c>
      <c r="AS33" s="127" t="str">
        <f t="shared" si="26"/>
        <v/>
      </c>
      <c r="AT33" s="127" t="str">
        <f t="shared" si="26"/>
        <v/>
      </c>
      <c r="AU33" s="127" t="str">
        <f t="shared" si="26"/>
        <v/>
      </c>
      <c r="AV33" s="127" t="str">
        <f t="shared" si="26"/>
        <v/>
      </c>
      <c r="AW33" s="127" t="str">
        <f t="shared" si="26"/>
        <v/>
      </c>
      <c r="AX33" s="127" t="str">
        <f t="shared" si="26"/>
        <v/>
      </c>
      <c r="AY33" s="127" t="str">
        <f t="shared" si="26"/>
        <v/>
      </c>
      <c r="AZ33" s="127" t="str">
        <f t="shared" si="26"/>
        <v/>
      </c>
      <c r="BA33" s="127" t="str">
        <f t="shared" si="26"/>
        <v/>
      </c>
      <c r="BB33" s="127" t="str">
        <f t="shared" si="26"/>
        <v/>
      </c>
      <c r="BC33" s="127" t="str">
        <f t="shared" si="26"/>
        <v/>
      </c>
      <c r="BD33" s="127" t="str">
        <f t="shared" si="26"/>
        <v/>
      </c>
      <c r="BE33" s="127" t="str">
        <f t="shared" si="26"/>
        <v/>
      </c>
      <c r="BF33" s="127" t="str">
        <f t="shared" si="26"/>
        <v/>
      </c>
      <c r="BG33" s="127" t="str">
        <f t="shared" si="17"/>
        <v/>
      </c>
      <c r="BH33" s="127" t="str">
        <f t="shared" si="19"/>
        <v/>
      </c>
      <c r="BI33" s="127" t="str">
        <f t="shared" si="19"/>
        <v/>
      </c>
      <c r="BJ33" s="127" t="str">
        <f t="shared" si="19"/>
        <v/>
      </c>
      <c r="BK33" s="127" t="str">
        <f t="shared" si="19"/>
        <v/>
      </c>
      <c r="BL33" s="127" t="str">
        <f t="shared" si="19"/>
        <v/>
      </c>
      <c r="BM33" s="127" t="str">
        <f t="shared" si="19"/>
        <v/>
      </c>
      <c r="BN33" s="127" t="str">
        <f t="shared" si="19"/>
        <v/>
      </c>
      <c r="BO33" s="127" t="str">
        <f t="shared" si="19"/>
        <v/>
      </c>
      <c r="BP33" s="127" t="str">
        <f t="shared" si="19"/>
        <v/>
      </c>
      <c r="BQ33" s="127" t="str">
        <f t="shared" si="19"/>
        <v/>
      </c>
      <c r="BR33" s="127" t="str">
        <f t="shared" si="19"/>
        <v/>
      </c>
      <c r="BS33" s="127" t="str">
        <f t="shared" si="19"/>
        <v/>
      </c>
      <c r="BT33" s="127" t="str">
        <f t="shared" si="20"/>
        <v/>
      </c>
      <c r="BU33" s="127" t="str">
        <f t="shared" si="20"/>
        <v/>
      </c>
      <c r="BV33" s="127" t="str">
        <f t="shared" si="20"/>
        <v/>
      </c>
      <c r="BW33" s="127" t="str">
        <f t="shared" si="20"/>
        <v/>
      </c>
      <c r="BX33" s="127" t="str">
        <f t="shared" si="20"/>
        <v/>
      </c>
      <c r="BY33" s="127" t="str">
        <f t="shared" si="20"/>
        <v/>
      </c>
      <c r="BZ33" s="127" t="str">
        <f t="shared" si="20"/>
        <v/>
      </c>
      <c r="CA33" s="127" t="str">
        <f t="shared" si="20"/>
        <v/>
      </c>
      <c r="CB33" s="127" t="str">
        <f t="shared" si="20"/>
        <v/>
      </c>
      <c r="CC33" s="127" t="str">
        <f t="shared" si="20"/>
        <v/>
      </c>
      <c r="CD33" s="127" t="str">
        <f t="shared" si="20"/>
        <v/>
      </c>
      <c r="CE33" s="127" t="str">
        <f t="shared" si="20"/>
        <v/>
      </c>
    </row>
    <row r="34" spans="1:83" ht="12.6" hidden="1" customHeight="1" x14ac:dyDescent="0.2">
      <c r="A34" s="106">
        <f>SHIPMENTS!A40</f>
        <v>9204</v>
      </c>
      <c r="B34" s="106" t="str">
        <f>SHIPMENTS!B40</f>
        <v>2300-HONGKONG</v>
      </c>
      <c r="C34" s="132">
        <f>SHIPMENTS!F40</f>
        <v>3.1</v>
      </c>
      <c r="D34" s="107" t="str">
        <f>IF((SHIPMENTS!I40)=0,"",SHIPMENTS!I40)</f>
        <v/>
      </c>
      <c r="E34" s="176">
        <f>IF((SHIPMENTS!G40)=0,"",SHIPMENTS!G40)</f>
        <v>46324</v>
      </c>
      <c r="F34" s="97">
        <f>VLOOKUP(A34,Items!$A$5:$J$1000,2,0)</f>
        <v>0</v>
      </c>
      <c r="G34" s="98">
        <f>VLOOKUP(A34,load!$A$4:$U$5001,11,0)</f>
        <v>0</v>
      </c>
      <c r="H34" s="97">
        <v>9</v>
      </c>
      <c r="I34" s="98">
        <f t="shared" si="33"/>
        <v>81.899999999999991</v>
      </c>
      <c r="J34" s="99">
        <f t="shared" si="34"/>
        <v>0</v>
      </c>
      <c r="K34" s="99">
        <f t="shared" si="35"/>
        <v>0</v>
      </c>
      <c r="L34" s="98">
        <f t="shared" si="36"/>
        <v>0</v>
      </c>
      <c r="M34" s="98">
        <f t="shared" si="37"/>
        <v>0</v>
      </c>
      <c r="N34" s="181">
        <f>IF(G34&gt;0,('MP2-DA'!N34+5),O33)</f>
        <v>46326.088518831595</v>
      </c>
      <c r="O34" s="181">
        <f t="shared" si="38"/>
        <v>46326.088518831595</v>
      </c>
      <c r="P34" s="101" t="str">
        <f>VLOOKUP(A34,SHIPMENTS!$A$7:$N$171,13,0)</f>
        <v>n/a</v>
      </c>
      <c r="Q34" s="101"/>
      <c r="R34" s="127" t="str">
        <f t="shared" si="32"/>
        <v/>
      </c>
      <c r="S34" s="127" t="str">
        <f t="shared" si="32"/>
        <v/>
      </c>
      <c r="T34" s="127" t="str">
        <f t="shared" si="32"/>
        <v/>
      </c>
      <c r="U34" s="127" t="str">
        <f t="shared" si="32"/>
        <v/>
      </c>
      <c r="V34" s="127" t="str">
        <f t="shared" si="32"/>
        <v/>
      </c>
      <c r="W34" s="127" t="str">
        <f t="shared" si="32"/>
        <v/>
      </c>
      <c r="X34" s="127" t="str">
        <f t="shared" si="32"/>
        <v/>
      </c>
      <c r="Y34" s="127" t="str">
        <f t="shared" si="32"/>
        <v/>
      </c>
      <c r="Z34" s="127" t="str">
        <f t="shared" si="32"/>
        <v/>
      </c>
      <c r="AA34" s="127" t="str">
        <f t="shared" si="32"/>
        <v>▲</v>
      </c>
      <c r="AB34" s="127" t="str">
        <f t="shared" si="32"/>
        <v/>
      </c>
      <c r="AC34" s="127" t="str">
        <f t="shared" si="32"/>
        <v/>
      </c>
      <c r="AD34" s="127" t="str">
        <f t="shared" si="32"/>
        <v/>
      </c>
      <c r="AE34" s="127" t="str">
        <f t="shared" si="32"/>
        <v/>
      </c>
      <c r="AF34" s="127" t="str">
        <f t="shared" si="32"/>
        <v/>
      </c>
      <c r="AG34" s="127" t="str">
        <f t="shared" si="32"/>
        <v/>
      </c>
      <c r="AH34" s="127" t="str">
        <f t="shared" si="26"/>
        <v/>
      </c>
      <c r="AI34" s="127" t="str">
        <f t="shared" si="26"/>
        <v/>
      </c>
      <c r="AJ34" s="127" t="str">
        <f t="shared" si="26"/>
        <v/>
      </c>
      <c r="AK34" s="127" t="str">
        <f t="shared" si="26"/>
        <v/>
      </c>
      <c r="AL34" s="127" t="str">
        <f t="shared" si="26"/>
        <v/>
      </c>
      <c r="AM34" s="127" t="str">
        <f t="shared" si="26"/>
        <v/>
      </c>
      <c r="AN34" s="127" t="str">
        <f t="shared" si="26"/>
        <v/>
      </c>
      <c r="AO34" s="127" t="str">
        <f t="shared" si="26"/>
        <v/>
      </c>
      <c r="AP34" s="127" t="str">
        <f t="shared" si="26"/>
        <v/>
      </c>
      <c r="AQ34" s="127" t="str">
        <f t="shared" si="26"/>
        <v/>
      </c>
      <c r="AR34" s="127" t="str">
        <f t="shared" si="26"/>
        <v/>
      </c>
      <c r="AS34" s="127" t="str">
        <f t="shared" si="26"/>
        <v/>
      </c>
      <c r="AT34" s="127" t="str">
        <f t="shared" si="26"/>
        <v/>
      </c>
      <c r="AU34" s="127" t="str">
        <f t="shared" si="26"/>
        <v/>
      </c>
      <c r="AV34" s="127" t="str">
        <f t="shared" si="26"/>
        <v/>
      </c>
      <c r="AW34" s="127" t="str">
        <f t="shared" si="26"/>
        <v/>
      </c>
      <c r="AX34" s="127" t="str">
        <f t="shared" si="26"/>
        <v/>
      </c>
      <c r="AY34" s="127" t="str">
        <f t="shared" si="26"/>
        <v/>
      </c>
      <c r="AZ34" s="127" t="str">
        <f t="shared" si="26"/>
        <v/>
      </c>
      <c r="BA34" s="127" t="str">
        <f t="shared" si="26"/>
        <v/>
      </c>
      <c r="BB34" s="127" t="str">
        <f t="shared" si="26"/>
        <v/>
      </c>
      <c r="BC34" s="127" t="str">
        <f t="shared" si="26"/>
        <v/>
      </c>
      <c r="BD34" s="127" t="str">
        <f t="shared" si="26"/>
        <v/>
      </c>
      <c r="BE34" s="127" t="str">
        <f t="shared" si="26"/>
        <v/>
      </c>
      <c r="BF34" s="127" t="str">
        <f t="shared" si="26"/>
        <v/>
      </c>
      <c r="BG34" s="127" t="str">
        <f t="shared" si="17"/>
        <v/>
      </c>
      <c r="BH34" s="127" t="str">
        <f t="shared" si="19"/>
        <v/>
      </c>
      <c r="BI34" s="127" t="str">
        <f t="shared" si="19"/>
        <v/>
      </c>
      <c r="BJ34" s="127" t="str">
        <f t="shared" si="19"/>
        <v/>
      </c>
      <c r="BK34" s="127" t="str">
        <f t="shared" si="19"/>
        <v/>
      </c>
      <c r="BL34" s="127" t="str">
        <f t="shared" si="19"/>
        <v/>
      </c>
      <c r="BM34" s="127" t="str">
        <f t="shared" si="19"/>
        <v/>
      </c>
      <c r="BN34" s="127" t="str">
        <f t="shared" si="19"/>
        <v/>
      </c>
      <c r="BO34" s="127" t="str">
        <f t="shared" si="19"/>
        <v/>
      </c>
      <c r="BP34" s="127" t="str">
        <f t="shared" si="19"/>
        <v/>
      </c>
      <c r="BQ34" s="127" t="str">
        <f t="shared" si="19"/>
        <v/>
      </c>
      <c r="BR34" s="127" t="str">
        <f t="shared" si="19"/>
        <v/>
      </c>
      <c r="BS34" s="127" t="str">
        <f t="shared" si="19"/>
        <v/>
      </c>
      <c r="BT34" s="127" t="str">
        <f t="shared" si="20"/>
        <v/>
      </c>
      <c r="BU34" s="127" t="str">
        <f t="shared" si="20"/>
        <v/>
      </c>
      <c r="BV34" s="127" t="str">
        <f t="shared" si="20"/>
        <v/>
      </c>
      <c r="BW34" s="127" t="str">
        <f t="shared" si="20"/>
        <v/>
      </c>
      <c r="BX34" s="127" t="str">
        <f t="shared" si="20"/>
        <v/>
      </c>
      <c r="BY34" s="127" t="str">
        <f t="shared" si="20"/>
        <v/>
      </c>
      <c r="BZ34" s="127" t="str">
        <f t="shared" si="20"/>
        <v/>
      </c>
      <c r="CA34" s="127" t="str">
        <f t="shared" si="20"/>
        <v/>
      </c>
      <c r="CB34" s="127" t="str">
        <f t="shared" si="20"/>
        <v/>
      </c>
      <c r="CC34" s="127" t="str">
        <f t="shared" si="20"/>
        <v/>
      </c>
      <c r="CD34" s="127" t="str">
        <f t="shared" si="20"/>
        <v/>
      </c>
      <c r="CE34" s="127" t="str">
        <f t="shared" si="20"/>
        <v/>
      </c>
    </row>
    <row r="35" spans="1:83" ht="12.6" hidden="1" customHeight="1" x14ac:dyDescent="0.2">
      <c r="A35" s="106">
        <f>SHIPMENTS!A41</f>
        <v>9005</v>
      </c>
      <c r="B35" s="106" t="str">
        <f>SHIPMENTS!B41</f>
        <v>28100-AUSTRIA HARVIA</v>
      </c>
      <c r="C35" s="132">
        <f>SHIPMENTS!F41</f>
        <v>44.15</v>
      </c>
      <c r="D35" s="107" t="str">
        <f>IF((SHIPMENTS!I41)=0,"",SHIPMENTS!I41)</f>
        <v>1X20</v>
      </c>
      <c r="E35" s="176">
        <f>IF((SHIPMENTS!G41)=0,"",SHIPMENTS!G41)</f>
        <v>46325</v>
      </c>
      <c r="F35" s="97">
        <f>VLOOKUP(A35,Items!$A$5:$J$1000,2,0)</f>
        <v>0</v>
      </c>
      <c r="G35" s="98">
        <f>VLOOKUP(A35,load!$A$4:$U$5001,11,0)</f>
        <v>0</v>
      </c>
      <c r="H35" s="97">
        <v>9</v>
      </c>
      <c r="I35" s="98">
        <f t="shared" si="33"/>
        <v>81.899999999999991</v>
      </c>
      <c r="J35" s="99">
        <f t="shared" si="34"/>
        <v>0</v>
      </c>
      <c r="K35" s="99">
        <f t="shared" si="35"/>
        <v>0</v>
      </c>
      <c r="L35" s="98">
        <f t="shared" si="36"/>
        <v>0</v>
      </c>
      <c r="M35" s="98">
        <f t="shared" si="37"/>
        <v>0</v>
      </c>
      <c r="N35" s="181">
        <f>IF(G35&gt;0,('MP2-DA'!N35+5),O34)</f>
        <v>46326.088518831595</v>
      </c>
      <c r="O35" s="181">
        <f t="shared" si="38"/>
        <v>46326.088518831595</v>
      </c>
      <c r="P35" s="101" t="str">
        <f>VLOOKUP(A35,SHIPMENTS!$A$7:$N$171,13,0)</f>
        <v>n/a</v>
      </c>
      <c r="Q35" s="101"/>
      <c r="R35" s="127" t="str">
        <f t="shared" si="32"/>
        <v/>
      </c>
      <c r="S35" s="127" t="str">
        <f t="shared" si="32"/>
        <v/>
      </c>
      <c r="T35" s="127" t="str">
        <f t="shared" si="32"/>
        <v/>
      </c>
      <c r="U35" s="127" t="str">
        <f t="shared" si="32"/>
        <v/>
      </c>
      <c r="V35" s="127" t="str">
        <f t="shared" si="32"/>
        <v/>
      </c>
      <c r="W35" s="127" t="str">
        <f t="shared" si="32"/>
        <v/>
      </c>
      <c r="X35" s="127" t="str">
        <f t="shared" si="32"/>
        <v/>
      </c>
      <c r="Y35" s="127" t="str">
        <f t="shared" si="32"/>
        <v/>
      </c>
      <c r="Z35" s="127" t="str">
        <f t="shared" si="32"/>
        <v/>
      </c>
      <c r="AA35" s="127" t="str">
        <f t="shared" si="32"/>
        <v/>
      </c>
      <c r="AB35" s="127" t="str">
        <f t="shared" si="32"/>
        <v>▲</v>
      </c>
      <c r="AC35" s="127" t="str">
        <f t="shared" si="32"/>
        <v/>
      </c>
      <c r="AD35" s="127" t="str">
        <f t="shared" si="32"/>
        <v/>
      </c>
      <c r="AE35" s="127" t="str">
        <f t="shared" si="32"/>
        <v/>
      </c>
      <c r="AF35" s="127" t="str">
        <f t="shared" si="32"/>
        <v/>
      </c>
      <c r="AG35" s="127" t="str">
        <f t="shared" si="32"/>
        <v/>
      </c>
      <c r="AH35" s="127" t="str">
        <f t="shared" si="26"/>
        <v/>
      </c>
      <c r="AI35" s="127" t="str">
        <f t="shared" si="26"/>
        <v/>
      </c>
      <c r="AJ35" s="127" t="str">
        <f t="shared" si="26"/>
        <v/>
      </c>
      <c r="AK35" s="127" t="str">
        <f t="shared" si="26"/>
        <v/>
      </c>
      <c r="AL35" s="127" t="str">
        <f t="shared" si="26"/>
        <v/>
      </c>
      <c r="AM35" s="127" t="str">
        <f t="shared" si="26"/>
        <v/>
      </c>
      <c r="AN35" s="127" t="str">
        <f t="shared" si="26"/>
        <v/>
      </c>
      <c r="AO35" s="127" t="str">
        <f t="shared" si="26"/>
        <v/>
      </c>
      <c r="AP35" s="127" t="str">
        <f t="shared" si="26"/>
        <v/>
      </c>
      <c r="AQ35" s="127" t="str">
        <f t="shared" si="26"/>
        <v/>
      </c>
      <c r="AR35" s="127" t="str">
        <f t="shared" si="26"/>
        <v/>
      </c>
      <c r="AS35" s="127" t="str">
        <f t="shared" si="26"/>
        <v/>
      </c>
      <c r="AT35" s="127" t="str">
        <f t="shared" si="26"/>
        <v/>
      </c>
      <c r="AU35" s="127" t="str">
        <f t="shared" si="26"/>
        <v/>
      </c>
      <c r="AV35" s="127" t="str">
        <f t="shared" si="26"/>
        <v/>
      </c>
      <c r="AW35" s="127" t="str">
        <f t="shared" si="26"/>
        <v/>
      </c>
      <c r="AX35" s="127" t="str">
        <f t="shared" si="26"/>
        <v/>
      </c>
      <c r="AY35" s="127" t="str">
        <f t="shared" si="26"/>
        <v/>
      </c>
      <c r="AZ35" s="127" t="str">
        <f t="shared" si="26"/>
        <v/>
      </c>
      <c r="BA35" s="127" t="str">
        <f t="shared" si="26"/>
        <v/>
      </c>
      <c r="BB35" s="127" t="str">
        <f t="shared" si="26"/>
        <v/>
      </c>
      <c r="BC35" s="127" t="str">
        <f t="shared" si="26"/>
        <v/>
      </c>
      <c r="BD35" s="127" t="str">
        <f t="shared" si="26"/>
        <v/>
      </c>
      <c r="BE35" s="127" t="str">
        <f t="shared" si="26"/>
        <v/>
      </c>
      <c r="BF35" s="127" t="str">
        <f t="shared" si="26"/>
        <v/>
      </c>
      <c r="BG35" s="127" t="str">
        <f t="shared" si="17"/>
        <v/>
      </c>
      <c r="BH35" s="127" t="str">
        <f t="shared" si="19"/>
        <v/>
      </c>
      <c r="BI35" s="127" t="str">
        <f t="shared" si="19"/>
        <v/>
      </c>
      <c r="BJ35" s="127" t="str">
        <f t="shared" si="19"/>
        <v/>
      </c>
      <c r="BK35" s="127" t="str">
        <f t="shared" si="19"/>
        <v/>
      </c>
      <c r="BL35" s="127" t="str">
        <f t="shared" si="19"/>
        <v/>
      </c>
      <c r="BM35" s="127" t="str">
        <f t="shared" si="19"/>
        <v/>
      </c>
      <c r="BN35" s="127" t="str">
        <f t="shared" si="19"/>
        <v/>
      </c>
      <c r="BO35" s="127" t="str">
        <f t="shared" si="19"/>
        <v/>
      </c>
      <c r="BP35" s="127" t="str">
        <f t="shared" si="19"/>
        <v/>
      </c>
      <c r="BQ35" s="127" t="str">
        <f t="shared" si="19"/>
        <v/>
      </c>
      <c r="BR35" s="127" t="str">
        <f t="shared" si="19"/>
        <v/>
      </c>
      <c r="BS35" s="127" t="str">
        <f t="shared" si="19"/>
        <v/>
      </c>
      <c r="BT35" s="127" t="str">
        <f t="shared" si="20"/>
        <v/>
      </c>
      <c r="BU35" s="127" t="str">
        <f t="shared" si="20"/>
        <v/>
      </c>
      <c r="BV35" s="127" t="str">
        <f t="shared" si="20"/>
        <v/>
      </c>
      <c r="BW35" s="127" t="str">
        <f t="shared" si="20"/>
        <v/>
      </c>
      <c r="BX35" s="127" t="str">
        <f t="shared" si="20"/>
        <v/>
      </c>
      <c r="BY35" s="127" t="str">
        <f t="shared" si="20"/>
        <v/>
      </c>
      <c r="BZ35" s="127" t="str">
        <f t="shared" si="20"/>
        <v/>
      </c>
      <c r="CA35" s="127" t="str">
        <f t="shared" si="20"/>
        <v/>
      </c>
      <c r="CB35" s="127" t="str">
        <f t="shared" si="20"/>
        <v/>
      </c>
      <c r="CC35" s="127" t="str">
        <f t="shared" si="20"/>
        <v/>
      </c>
      <c r="CD35" s="127" t="str">
        <f t="shared" si="20"/>
        <v/>
      </c>
      <c r="CE35" s="127" t="str">
        <f t="shared" si="20"/>
        <v/>
      </c>
    </row>
    <row r="36" spans="1:83" ht="12.6" customHeight="1" x14ac:dyDescent="0.2">
      <c r="A36" s="106">
        <f>SHIPMENTS!A42</f>
        <v>8952</v>
      </c>
      <c r="B36" s="106" t="str">
        <f>SHIPMENTS!B42</f>
        <v>41300-CANADA SAUNAFIN</v>
      </c>
      <c r="C36" s="132">
        <f>SHIPMENTS!F42</f>
        <v>70.45</v>
      </c>
      <c r="D36" s="107" t="str">
        <f>IF((SHIPMENTS!I42)=0,"",SHIPMENTS!I42)</f>
        <v>1x40HC</v>
      </c>
      <c r="E36" s="176">
        <f>IF((SHIPMENTS!G42)=0,"",SHIPMENTS!G42)</f>
        <v>46332</v>
      </c>
      <c r="F36" s="97">
        <f>VLOOKUP(A36,Items!$A$5:$J$1000,2,0)</f>
        <v>301</v>
      </c>
      <c r="G36" s="98">
        <f>VLOOKUP(A36,load!$A$4:$U$5001,11,0)</f>
        <v>243.25</v>
      </c>
      <c r="H36" s="97">
        <v>9</v>
      </c>
      <c r="I36" s="98">
        <f t="shared" si="33"/>
        <v>81.899999999999991</v>
      </c>
      <c r="J36" s="99">
        <f t="shared" si="34"/>
        <v>2.9700854700854702</v>
      </c>
      <c r="K36" s="99">
        <f t="shared" si="35"/>
        <v>27.027777777777779</v>
      </c>
      <c r="L36" s="98">
        <f t="shared" si="36"/>
        <v>2.9700854700854702</v>
      </c>
      <c r="M36" s="98">
        <f t="shared" si="37"/>
        <v>27.027777777777779</v>
      </c>
      <c r="N36" s="181">
        <f>IF(G36&gt;0,('MP2-DA'!N36+5),O35)</f>
        <v>46326.135672020282</v>
      </c>
      <c r="O36" s="181">
        <f t="shared" si="38"/>
        <v>46329.105757490368</v>
      </c>
      <c r="P36" s="101">
        <f>VLOOKUP(A36,SHIPMENTS!$A$7:$N$171,13,0)</f>
        <v>0</v>
      </c>
      <c r="Q36" s="101"/>
      <c r="R36" s="127" t="str">
        <f t="shared" si="32"/>
        <v/>
      </c>
      <c r="S36" s="127" t="str">
        <f t="shared" si="32"/>
        <v/>
      </c>
      <c r="T36" s="127" t="str">
        <f t="shared" si="32"/>
        <v/>
      </c>
      <c r="U36" s="127" t="str">
        <f t="shared" si="32"/>
        <v/>
      </c>
      <c r="V36" s="127" t="str">
        <f t="shared" si="32"/>
        <v/>
      </c>
      <c r="W36" s="127" t="str">
        <f t="shared" si="32"/>
        <v/>
      </c>
      <c r="X36" s="127" t="str">
        <f t="shared" si="32"/>
        <v/>
      </c>
      <c r="Y36" s="127" t="str">
        <f t="shared" si="32"/>
        <v/>
      </c>
      <c r="Z36" s="127" t="str">
        <f t="shared" si="32"/>
        <v/>
      </c>
      <c r="AA36" s="127" t="str">
        <f t="shared" si="32"/>
        <v/>
      </c>
      <c r="AB36" s="127" t="str">
        <f t="shared" si="32"/>
        <v/>
      </c>
      <c r="AC36" s="127" t="str">
        <f t="shared" si="32"/>
        <v/>
      </c>
      <c r="AD36" s="127" t="str">
        <f t="shared" si="32"/>
        <v/>
      </c>
      <c r="AE36" s="127" t="str">
        <f t="shared" si="32"/>
        <v/>
      </c>
      <c r="AF36" s="127" t="str">
        <f t="shared" si="32"/>
        <v/>
      </c>
      <c r="AG36" s="127" t="str">
        <f t="shared" si="32"/>
        <v/>
      </c>
      <c r="AH36" s="127" t="str">
        <f t="shared" si="26"/>
        <v>▲</v>
      </c>
      <c r="AI36" s="127" t="str">
        <f t="shared" si="26"/>
        <v/>
      </c>
      <c r="AJ36" s="127" t="str">
        <f t="shared" si="26"/>
        <v/>
      </c>
      <c r="AK36" s="127" t="str">
        <f t="shared" si="26"/>
        <v/>
      </c>
      <c r="AL36" s="127" t="str">
        <f t="shared" si="26"/>
        <v/>
      </c>
      <c r="AM36" s="127" t="str">
        <f t="shared" si="26"/>
        <v/>
      </c>
      <c r="AN36" s="127" t="str">
        <f t="shared" si="26"/>
        <v/>
      </c>
      <c r="AO36" s="127" t="str">
        <f t="shared" si="26"/>
        <v/>
      </c>
      <c r="AP36" s="127" t="str">
        <f t="shared" si="26"/>
        <v/>
      </c>
      <c r="AQ36" s="127" t="str">
        <f t="shared" si="26"/>
        <v/>
      </c>
      <c r="AR36" s="127" t="str">
        <f t="shared" si="26"/>
        <v/>
      </c>
      <c r="AS36" s="127" t="str">
        <f t="shared" si="26"/>
        <v/>
      </c>
      <c r="AT36" s="127" t="str">
        <f t="shared" si="26"/>
        <v/>
      </c>
      <c r="AU36" s="127" t="str">
        <f t="shared" si="26"/>
        <v/>
      </c>
      <c r="AV36" s="127" t="str">
        <f t="shared" si="26"/>
        <v/>
      </c>
      <c r="AW36" s="127" t="str">
        <f t="shared" si="26"/>
        <v/>
      </c>
      <c r="AX36" s="127" t="str">
        <f t="shared" si="26"/>
        <v/>
      </c>
      <c r="AY36" s="127" t="str">
        <f t="shared" si="26"/>
        <v/>
      </c>
      <c r="AZ36" s="127" t="str">
        <f t="shared" si="26"/>
        <v/>
      </c>
      <c r="BA36" s="127" t="str">
        <f t="shared" si="26"/>
        <v/>
      </c>
      <c r="BB36" s="127" t="str">
        <f t="shared" si="26"/>
        <v/>
      </c>
      <c r="BC36" s="127" t="str">
        <f t="shared" si="26"/>
        <v/>
      </c>
      <c r="BD36" s="127" t="str">
        <f t="shared" si="26"/>
        <v/>
      </c>
      <c r="BE36" s="127" t="str">
        <f t="shared" si="26"/>
        <v/>
      </c>
      <c r="BF36" s="127" t="str">
        <f t="shared" si="26"/>
        <v/>
      </c>
      <c r="BG36" s="127" t="str">
        <f t="shared" si="17"/>
        <v/>
      </c>
      <c r="BH36" s="127" t="str">
        <f t="shared" si="19"/>
        <v/>
      </c>
      <c r="BI36" s="127" t="str">
        <f t="shared" si="19"/>
        <v/>
      </c>
      <c r="BJ36" s="127" t="str">
        <f t="shared" si="19"/>
        <v/>
      </c>
      <c r="BK36" s="127" t="str">
        <f t="shared" si="19"/>
        <v/>
      </c>
      <c r="BL36" s="127" t="str">
        <f t="shared" si="19"/>
        <v/>
      </c>
      <c r="BM36" s="127" t="str">
        <f t="shared" si="19"/>
        <v/>
      </c>
      <c r="BN36" s="127" t="str">
        <f t="shared" si="19"/>
        <v/>
      </c>
      <c r="BO36" s="127" t="str">
        <f t="shared" si="19"/>
        <v/>
      </c>
      <c r="BP36" s="127" t="str">
        <f t="shared" si="19"/>
        <v/>
      </c>
      <c r="BQ36" s="127" t="str">
        <f t="shared" si="19"/>
        <v/>
      </c>
      <c r="BR36" s="127" t="str">
        <f t="shared" si="19"/>
        <v/>
      </c>
      <c r="BS36" s="127" t="str">
        <f t="shared" si="19"/>
        <v/>
      </c>
      <c r="BT36" s="127" t="str">
        <f t="shared" si="20"/>
        <v/>
      </c>
      <c r="BU36" s="127" t="str">
        <f t="shared" si="20"/>
        <v/>
      </c>
      <c r="BV36" s="127" t="str">
        <f t="shared" si="20"/>
        <v/>
      </c>
      <c r="BW36" s="127" t="str">
        <f t="shared" si="20"/>
        <v/>
      </c>
      <c r="BX36" s="127" t="str">
        <f t="shared" si="20"/>
        <v/>
      </c>
      <c r="BY36" s="127" t="str">
        <f t="shared" si="20"/>
        <v/>
      </c>
      <c r="BZ36" s="127" t="str">
        <f t="shared" si="20"/>
        <v/>
      </c>
      <c r="CA36" s="127" t="str">
        <f t="shared" si="20"/>
        <v/>
      </c>
      <c r="CB36" s="127" t="str">
        <f t="shared" si="20"/>
        <v/>
      </c>
      <c r="CC36" s="127" t="str">
        <f t="shared" si="20"/>
        <v/>
      </c>
      <c r="CD36" s="127" t="str">
        <f t="shared" si="20"/>
        <v/>
      </c>
      <c r="CE36" s="127" t="str">
        <f t="shared" si="20"/>
        <v/>
      </c>
    </row>
    <row r="37" spans="1:83" ht="12.6" hidden="1" customHeight="1" x14ac:dyDescent="0.2">
      <c r="A37" s="106">
        <f>SHIPMENTS!A43</f>
        <v>9158</v>
      </c>
      <c r="B37" s="106" t="str">
        <f>SHIPMENTS!B43</f>
        <v>43300-THAILAND</v>
      </c>
      <c r="C37" s="132">
        <f>SHIPMENTS!F43</f>
        <v>0.10299999999999999</v>
      </c>
      <c r="D37" s="107" t="str">
        <f>IF((SHIPMENTS!I43)=0,"",SHIPMENTS!I43)</f>
        <v>LCL</v>
      </c>
      <c r="E37" s="176">
        <f>IF((SHIPMENTS!G43)=0,"",SHIPMENTS!G43)</f>
        <v>46332</v>
      </c>
      <c r="F37" s="97">
        <f>VLOOKUP(A37,Items!$A$5:$J$1000,2,0)</f>
        <v>0</v>
      </c>
      <c r="G37" s="98">
        <f>VLOOKUP(A37,load!$A$4:$U$5001,11,0)</f>
        <v>0</v>
      </c>
      <c r="H37" s="97">
        <v>9</v>
      </c>
      <c r="I37" s="98">
        <f t="shared" si="33"/>
        <v>81.899999999999991</v>
      </c>
      <c r="J37" s="99">
        <f t="shared" si="34"/>
        <v>0</v>
      </c>
      <c r="K37" s="99">
        <f t="shared" si="35"/>
        <v>0</v>
      </c>
      <c r="L37" s="98">
        <f t="shared" si="36"/>
        <v>0</v>
      </c>
      <c r="M37" s="98">
        <f t="shared" si="37"/>
        <v>0</v>
      </c>
      <c r="N37" s="181">
        <f>IF(G37&gt;0,('MP2-DA'!N37+5),O36)</f>
        <v>46329.105757490368</v>
      </c>
      <c r="O37" s="181">
        <f t="shared" si="38"/>
        <v>46329.105757490368</v>
      </c>
      <c r="P37" s="101" t="str">
        <f>VLOOKUP(A37,SHIPMENTS!$A$7:$N$171,13,0)</f>
        <v>n/a</v>
      </c>
      <c r="Q37" s="101"/>
      <c r="R37" s="127" t="str">
        <f t="shared" si="32"/>
        <v/>
      </c>
      <c r="S37" s="127" t="str">
        <f t="shared" si="32"/>
        <v/>
      </c>
      <c r="T37" s="127" t="str">
        <f t="shared" si="32"/>
        <v/>
      </c>
      <c r="U37" s="127" t="str">
        <f t="shared" si="32"/>
        <v/>
      </c>
      <c r="V37" s="127" t="str">
        <f t="shared" si="32"/>
        <v/>
      </c>
      <c r="W37" s="127" t="str">
        <f t="shared" si="32"/>
        <v/>
      </c>
      <c r="X37" s="127" t="str">
        <f t="shared" si="32"/>
        <v/>
      </c>
      <c r="Y37" s="127" t="str">
        <f t="shared" si="32"/>
        <v/>
      </c>
      <c r="Z37" s="127" t="str">
        <f t="shared" si="32"/>
        <v/>
      </c>
      <c r="AA37" s="127" t="str">
        <f t="shared" si="32"/>
        <v/>
      </c>
      <c r="AB37" s="127" t="str">
        <f t="shared" si="32"/>
        <v/>
      </c>
      <c r="AC37" s="127" t="str">
        <f t="shared" si="32"/>
        <v/>
      </c>
      <c r="AD37" s="127" t="str">
        <f t="shared" si="32"/>
        <v/>
      </c>
      <c r="AE37" s="127" t="str">
        <f t="shared" si="32"/>
        <v/>
      </c>
      <c r="AF37" s="127" t="str">
        <f t="shared" si="32"/>
        <v/>
      </c>
      <c r="AG37" s="127" t="str">
        <f t="shared" si="32"/>
        <v/>
      </c>
      <c r="AH37" s="127" t="str">
        <f t="shared" si="26"/>
        <v>▲</v>
      </c>
      <c r="AI37" s="127" t="str">
        <f t="shared" si="26"/>
        <v/>
      </c>
      <c r="AJ37" s="127" t="str">
        <f t="shared" si="26"/>
        <v/>
      </c>
      <c r="AK37" s="127" t="str">
        <f t="shared" si="26"/>
        <v/>
      </c>
      <c r="AL37" s="127" t="str">
        <f t="shared" si="26"/>
        <v/>
      </c>
      <c r="AM37" s="127" t="str">
        <f t="shared" si="26"/>
        <v/>
      </c>
      <c r="AN37" s="127" t="str">
        <f t="shared" si="26"/>
        <v/>
      </c>
      <c r="AO37" s="127" t="str">
        <f t="shared" si="26"/>
        <v/>
      </c>
      <c r="AP37" s="127" t="str">
        <f t="shared" si="26"/>
        <v/>
      </c>
      <c r="AQ37" s="127" t="str">
        <f t="shared" si="26"/>
        <v/>
      </c>
      <c r="AR37" s="127" t="str">
        <f t="shared" si="26"/>
        <v/>
      </c>
      <c r="AS37" s="127" t="str">
        <f t="shared" si="26"/>
        <v/>
      </c>
      <c r="AT37" s="127" t="str">
        <f t="shared" si="26"/>
        <v/>
      </c>
      <c r="AU37" s="127" t="str">
        <f t="shared" si="26"/>
        <v/>
      </c>
      <c r="AV37" s="127" t="str">
        <f t="shared" si="26"/>
        <v/>
      </c>
      <c r="AW37" s="127" t="str">
        <f t="shared" si="26"/>
        <v/>
      </c>
      <c r="AX37" s="127" t="str">
        <f t="shared" si="26"/>
        <v/>
      </c>
      <c r="AY37" s="127" t="str">
        <f t="shared" si="26"/>
        <v/>
      </c>
      <c r="AZ37" s="127" t="str">
        <f t="shared" si="26"/>
        <v/>
      </c>
      <c r="BA37" s="127" t="str">
        <f t="shared" si="26"/>
        <v/>
      </c>
      <c r="BB37" s="127" t="str">
        <f t="shared" si="26"/>
        <v/>
      </c>
      <c r="BC37" s="127" t="str">
        <f t="shared" si="26"/>
        <v/>
      </c>
      <c r="BD37" s="127" t="str">
        <f t="shared" si="26"/>
        <v/>
      </c>
      <c r="BE37" s="127" t="str">
        <f t="shared" si="26"/>
        <v/>
      </c>
      <c r="BF37" s="127" t="str">
        <f t="shared" si="26"/>
        <v/>
      </c>
      <c r="BG37" s="127" t="str">
        <f t="shared" ref="BG37:BV53" si="39">IF($E37=BG$3,"▲","")</f>
        <v/>
      </c>
      <c r="BH37" s="127" t="str">
        <f t="shared" si="19"/>
        <v/>
      </c>
      <c r="BI37" s="127" t="str">
        <f t="shared" si="19"/>
        <v/>
      </c>
      <c r="BJ37" s="127" t="str">
        <f t="shared" si="19"/>
        <v/>
      </c>
      <c r="BK37" s="127" t="str">
        <f t="shared" si="19"/>
        <v/>
      </c>
      <c r="BL37" s="127" t="str">
        <f t="shared" si="19"/>
        <v/>
      </c>
      <c r="BM37" s="127" t="str">
        <f t="shared" si="19"/>
        <v/>
      </c>
      <c r="BN37" s="127" t="str">
        <f t="shared" si="19"/>
        <v/>
      </c>
      <c r="BO37" s="127" t="str">
        <f t="shared" si="19"/>
        <v/>
      </c>
      <c r="BP37" s="127" t="str">
        <f t="shared" si="19"/>
        <v/>
      </c>
      <c r="BQ37" s="127" t="str">
        <f t="shared" si="19"/>
        <v/>
      </c>
      <c r="BR37" s="127" t="str">
        <f t="shared" si="19"/>
        <v/>
      </c>
      <c r="BS37" s="127" t="str">
        <f t="shared" si="19"/>
        <v/>
      </c>
      <c r="BT37" s="127" t="str">
        <f t="shared" si="20"/>
        <v/>
      </c>
      <c r="BU37" s="127" t="str">
        <f t="shared" si="20"/>
        <v/>
      </c>
      <c r="BV37" s="127" t="str">
        <f t="shared" si="20"/>
        <v/>
      </c>
      <c r="BW37" s="127" t="str">
        <f t="shared" si="20"/>
        <v/>
      </c>
      <c r="BX37" s="127" t="str">
        <f t="shared" si="20"/>
        <v/>
      </c>
      <c r="BY37" s="127" t="str">
        <f t="shared" si="20"/>
        <v/>
      </c>
      <c r="BZ37" s="127" t="str">
        <f t="shared" si="20"/>
        <v/>
      </c>
      <c r="CA37" s="127" t="str">
        <f t="shared" si="20"/>
        <v/>
      </c>
      <c r="CB37" s="127" t="str">
        <f t="shared" si="20"/>
        <v/>
      </c>
      <c r="CC37" s="127" t="str">
        <f t="shared" si="20"/>
        <v/>
      </c>
      <c r="CD37" s="127" t="str">
        <f t="shared" si="20"/>
        <v/>
      </c>
      <c r="CE37" s="127" t="str">
        <f t="shared" si="20"/>
        <v/>
      </c>
    </row>
    <row r="38" spans="1:83" ht="12.6" hidden="1" customHeight="1" x14ac:dyDescent="0.2">
      <c r="A38" s="106">
        <f>SHIPMENTS!A44</f>
        <v>8814</v>
      </c>
      <c r="B38" s="106" t="str">
        <f>SHIPMENTS!B44</f>
        <v>27200-UAE</v>
      </c>
      <c r="C38" s="132">
        <f>SHIPMENTS!F44</f>
        <v>0.06</v>
      </c>
      <c r="D38" s="107" t="str">
        <f>IF((SHIPMENTS!I44)=0,"",SHIPMENTS!I44)</f>
        <v>LCL</v>
      </c>
      <c r="E38" s="176">
        <f>IF((SHIPMENTS!G44)=0,"",SHIPMENTS!G44)</f>
        <v>46332</v>
      </c>
      <c r="F38" s="97">
        <f>VLOOKUP(A38,Items!$A$5:$J$1000,2,0)</f>
        <v>0</v>
      </c>
      <c r="G38" s="98">
        <f>VLOOKUP(A38,load!$A$4:$U$5001,11,0)</f>
        <v>0</v>
      </c>
      <c r="H38" s="97">
        <v>9</v>
      </c>
      <c r="I38" s="98">
        <f t="shared" si="33"/>
        <v>81.899999999999991</v>
      </c>
      <c r="J38" s="99">
        <f t="shared" si="34"/>
        <v>0</v>
      </c>
      <c r="K38" s="99">
        <f t="shared" si="35"/>
        <v>0</v>
      </c>
      <c r="L38" s="98">
        <f t="shared" si="36"/>
        <v>0</v>
      </c>
      <c r="M38" s="98">
        <f t="shared" si="37"/>
        <v>0</v>
      </c>
      <c r="N38" s="181">
        <f>IF(G38&gt;0,('MP2-DA'!N38+5),O37)</f>
        <v>46329.105757490368</v>
      </c>
      <c r="O38" s="181">
        <f t="shared" si="38"/>
        <v>46329.105757490368</v>
      </c>
      <c r="P38" s="101" t="str">
        <f>VLOOKUP(A38,SHIPMENTS!$A$7:$N$171,13,0)</f>
        <v>n/a</v>
      </c>
      <c r="Q38" s="101"/>
      <c r="R38" s="127" t="str">
        <f t="shared" si="32"/>
        <v/>
      </c>
      <c r="S38" s="127" t="str">
        <f t="shared" si="32"/>
        <v/>
      </c>
      <c r="T38" s="127" t="str">
        <f t="shared" si="32"/>
        <v/>
      </c>
      <c r="U38" s="127" t="str">
        <f t="shared" si="32"/>
        <v/>
      </c>
      <c r="V38" s="127" t="str">
        <f t="shared" si="32"/>
        <v/>
      </c>
      <c r="W38" s="127" t="str">
        <f t="shared" si="32"/>
        <v/>
      </c>
      <c r="X38" s="127" t="str">
        <f t="shared" si="32"/>
        <v/>
      </c>
      <c r="Y38" s="127" t="str">
        <f t="shared" si="32"/>
        <v/>
      </c>
      <c r="Z38" s="127" t="str">
        <f t="shared" si="32"/>
        <v/>
      </c>
      <c r="AA38" s="127" t="str">
        <f t="shared" si="32"/>
        <v/>
      </c>
      <c r="AB38" s="127" t="str">
        <f t="shared" si="32"/>
        <v/>
      </c>
      <c r="AC38" s="127" t="str">
        <f t="shared" si="32"/>
        <v/>
      </c>
      <c r="AD38" s="127" t="str">
        <f t="shared" si="32"/>
        <v/>
      </c>
      <c r="AE38" s="127" t="str">
        <f t="shared" si="32"/>
        <v/>
      </c>
      <c r="AF38" s="127" t="str">
        <f t="shared" si="32"/>
        <v/>
      </c>
      <c r="AG38" s="127" t="str">
        <f t="shared" si="32"/>
        <v/>
      </c>
      <c r="AH38" s="127" t="str">
        <f t="shared" si="26"/>
        <v>▲</v>
      </c>
      <c r="AI38" s="127" t="str">
        <f t="shared" si="26"/>
        <v/>
      </c>
      <c r="AJ38" s="127" t="str">
        <f t="shared" si="26"/>
        <v/>
      </c>
      <c r="AK38" s="127" t="str">
        <f t="shared" si="26"/>
        <v/>
      </c>
      <c r="AL38" s="127" t="str">
        <f t="shared" si="26"/>
        <v/>
      </c>
      <c r="AM38" s="127" t="str">
        <f t="shared" ref="AM38:BB53" si="40">IF($E38=AM$3,"▲","")</f>
        <v/>
      </c>
      <c r="AN38" s="127" t="str">
        <f t="shared" si="40"/>
        <v/>
      </c>
      <c r="AO38" s="127" t="str">
        <f t="shared" si="40"/>
        <v/>
      </c>
      <c r="AP38" s="127" t="str">
        <f t="shared" si="40"/>
        <v/>
      </c>
      <c r="AQ38" s="127" t="str">
        <f t="shared" si="40"/>
        <v/>
      </c>
      <c r="AR38" s="127" t="str">
        <f t="shared" si="40"/>
        <v/>
      </c>
      <c r="AS38" s="127" t="str">
        <f t="shared" si="40"/>
        <v/>
      </c>
      <c r="AT38" s="127" t="str">
        <f t="shared" si="40"/>
        <v/>
      </c>
      <c r="AU38" s="127" t="str">
        <f t="shared" si="40"/>
        <v/>
      </c>
      <c r="AV38" s="127" t="str">
        <f t="shared" si="40"/>
        <v/>
      </c>
      <c r="AW38" s="127" t="str">
        <f t="shared" si="40"/>
        <v/>
      </c>
      <c r="AX38" s="127" t="str">
        <f t="shared" si="40"/>
        <v/>
      </c>
      <c r="AY38" s="127" t="str">
        <f t="shared" si="40"/>
        <v/>
      </c>
      <c r="AZ38" s="127" t="str">
        <f t="shared" si="40"/>
        <v/>
      </c>
      <c r="BA38" s="127" t="str">
        <f t="shared" si="40"/>
        <v/>
      </c>
      <c r="BB38" s="127" t="str">
        <f t="shared" si="40"/>
        <v/>
      </c>
      <c r="BC38" s="127" t="str">
        <f t="shared" ref="BC38:BF53" si="41">IF($E38=BC$3,"▲","")</f>
        <v/>
      </c>
      <c r="BD38" s="127" t="str">
        <f t="shared" si="41"/>
        <v/>
      </c>
      <c r="BE38" s="127" t="str">
        <f t="shared" si="41"/>
        <v/>
      </c>
      <c r="BF38" s="127" t="str">
        <f t="shared" si="41"/>
        <v/>
      </c>
      <c r="BG38" s="127" t="str">
        <f t="shared" si="39"/>
        <v/>
      </c>
      <c r="BH38" s="127" t="str">
        <f t="shared" si="19"/>
        <v/>
      </c>
      <c r="BI38" s="127" t="str">
        <f t="shared" si="19"/>
        <v/>
      </c>
      <c r="BJ38" s="127" t="str">
        <f t="shared" si="19"/>
        <v/>
      </c>
      <c r="BK38" s="127" t="str">
        <f t="shared" si="19"/>
        <v/>
      </c>
      <c r="BL38" s="127" t="str">
        <f t="shared" si="19"/>
        <v/>
      </c>
      <c r="BM38" s="127" t="str">
        <f t="shared" si="19"/>
        <v/>
      </c>
      <c r="BN38" s="127" t="str">
        <f t="shared" si="19"/>
        <v/>
      </c>
      <c r="BO38" s="127" t="str">
        <f t="shared" si="19"/>
        <v/>
      </c>
      <c r="BP38" s="127" t="str">
        <f t="shared" si="19"/>
        <v/>
      </c>
      <c r="BQ38" s="127" t="str">
        <f t="shared" si="19"/>
        <v/>
      </c>
      <c r="BR38" s="127" t="str">
        <f t="shared" si="19"/>
        <v/>
      </c>
      <c r="BS38" s="127" t="str">
        <f t="shared" si="19"/>
        <v/>
      </c>
      <c r="BT38" s="127" t="str">
        <f t="shared" si="20"/>
        <v/>
      </c>
      <c r="BU38" s="127" t="str">
        <f t="shared" si="20"/>
        <v/>
      </c>
      <c r="BV38" s="127" t="str">
        <f t="shared" si="20"/>
        <v/>
      </c>
      <c r="BW38" s="127" t="str">
        <f t="shared" si="20"/>
        <v/>
      </c>
      <c r="BX38" s="127" t="str">
        <f t="shared" si="20"/>
        <v/>
      </c>
      <c r="BY38" s="127" t="str">
        <f t="shared" si="20"/>
        <v/>
      </c>
      <c r="BZ38" s="127" t="str">
        <f t="shared" si="20"/>
        <v/>
      </c>
      <c r="CA38" s="127" t="str">
        <f t="shared" si="20"/>
        <v/>
      </c>
      <c r="CB38" s="127" t="str">
        <f t="shared" si="20"/>
        <v/>
      </c>
      <c r="CC38" s="127" t="str">
        <f t="shared" si="20"/>
        <v/>
      </c>
      <c r="CD38" s="127" t="str">
        <f t="shared" si="20"/>
        <v/>
      </c>
      <c r="CE38" s="127" t="str">
        <f t="shared" si="20"/>
        <v/>
      </c>
    </row>
    <row r="39" spans="1:83" ht="12.6" customHeight="1" x14ac:dyDescent="0.2">
      <c r="A39" s="106">
        <f>SHIPMENTS!A45</f>
        <v>9143</v>
      </c>
      <c r="B39" s="106" t="str">
        <f>SHIPMENTS!B45</f>
        <v>43301-THAILAND</v>
      </c>
      <c r="C39" s="132">
        <f>SHIPMENTS!F45</f>
        <v>4.75</v>
      </c>
      <c r="D39" s="107" t="str">
        <f>IF((SHIPMENTS!I45)=0,"",SHIPMENTS!I45)</f>
        <v>1x20</v>
      </c>
      <c r="E39" s="176">
        <f>IF((SHIPMENTS!G45)=0,"",SHIPMENTS!G45)</f>
        <v>46332</v>
      </c>
      <c r="F39" s="97">
        <f>VLOOKUP(A39,Items!$A$5:$J$1000,2,0)</f>
        <v>6</v>
      </c>
      <c r="G39" s="98">
        <f>VLOOKUP(A39,load!$A$4:$U$5001,11,0)</f>
        <v>12.132333333333333</v>
      </c>
      <c r="H39" s="97">
        <v>9</v>
      </c>
      <c r="I39" s="98">
        <f t="shared" si="33"/>
        <v>81.899999999999991</v>
      </c>
      <c r="J39" s="99">
        <f t="shared" si="34"/>
        <v>0.14813593813593814</v>
      </c>
      <c r="K39" s="99">
        <f t="shared" si="35"/>
        <v>1.3480370370370371</v>
      </c>
      <c r="L39" s="98">
        <f t="shared" si="36"/>
        <v>0.14813593813593814</v>
      </c>
      <c r="M39" s="98">
        <f t="shared" si="37"/>
        <v>1.3480370370370371</v>
      </c>
      <c r="N39" s="181">
        <f>IF(G39&gt;0,('MP2-DA'!N39+5),O38)</f>
        <v>46329.269737954346</v>
      </c>
      <c r="O39" s="181">
        <f t="shared" si="38"/>
        <v>46329.417873892482</v>
      </c>
      <c r="P39" s="101">
        <f>VLOOKUP(A39,SHIPMENTS!$A$7:$N$171,13,0)</f>
        <v>0</v>
      </c>
      <c r="Q39" s="101"/>
      <c r="R39" s="127" t="str">
        <f t="shared" si="32"/>
        <v/>
      </c>
      <c r="S39" s="127" t="str">
        <f t="shared" si="32"/>
        <v/>
      </c>
      <c r="T39" s="127" t="str">
        <f t="shared" si="32"/>
        <v/>
      </c>
      <c r="U39" s="127" t="str">
        <f t="shared" si="32"/>
        <v/>
      </c>
      <c r="V39" s="127" t="str">
        <f t="shared" si="32"/>
        <v/>
      </c>
      <c r="W39" s="127" t="str">
        <f t="shared" si="32"/>
        <v/>
      </c>
      <c r="X39" s="127" t="str">
        <f t="shared" si="32"/>
        <v/>
      </c>
      <c r="Y39" s="127" t="str">
        <f t="shared" si="32"/>
        <v/>
      </c>
      <c r="Z39" s="127" t="str">
        <f t="shared" si="32"/>
        <v/>
      </c>
      <c r="AA39" s="127" t="str">
        <f t="shared" si="32"/>
        <v/>
      </c>
      <c r="AB39" s="127" t="str">
        <f t="shared" si="32"/>
        <v/>
      </c>
      <c r="AC39" s="127" t="str">
        <f t="shared" si="32"/>
        <v/>
      </c>
      <c r="AD39" s="127" t="str">
        <f t="shared" si="32"/>
        <v/>
      </c>
      <c r="AE39" s="127" t="str">
        <f t="shared" si="32"/>
        <v/>
      </c>
      <c r="AF39" s="127" t="str">
        <f t="shared" si="32"/>
        <v/>
      </c>
      <c r="AG39" s="127" t="str">
        <f t="shared" si="32"/>
        <v/>
      </c>
      <c r="AH39" s="127" t="str">
        <f t="shared" ref="AH39:AW53" si="42">IF($E39=AH$3,"▲","")</f>
        <v>▲</v>
      </c>
      <c r="AI39" s="127" t="str">
        <f t="shared" si="42"/>
        <v/>
      </c>
      <c r="AJ39" s="127" t="str">
        <f t="shared" si="42"/>
        <v/>
      </c>
      <c r="AK39" s="127" t="str">
        <f t="shared" si="42"/>
        <v/>
      </c>
      <c r="AL39" s="127" t="str">
        <f t="shared" si="42"/>
        <v/>
      </c>
      <c r="AM39" s="127" t="str">
        <f t="shared" si="42"/>
        <v/>
      </c>
      <c r="AN39" s="127" t="str">
        <f t="shared" si="42"/>
        <v/>
      </c>
      <c r="AO39" s="127" t="str">
        <f t="shared" si="42"/>
        <v/>
      </c>
      <c r="AP39" s="127" t="str">
        <f t="shared" si="42"/>
        <v/>
      </c>
      <c r="AQ39" s="127" t="str">
        <f t="shared" si="42"/>
        <v/>
      </c>
      <c r="AR39" s="127" t="str">
        <f t="shared" si="42"/>
        <v/>
      </c>
      <c r="AS39" s="127" t="str">
        <f t="shared" si="42"/>
        <v/>
      </c>
      <c r="AT39" s="127" t="str">
        <f t="shared" si="42"/>
        <v/>
      </c>
      <c r="AU39" s="127" t="str">
        <f t="shared" si="42"/>
        <v/>
      </c>
      <c r="AV39" s="127" t="str">
        <f t="shared" si="42"/>
        <v/>
      </c>
      <c r="AW39" s="127" t="str">
        <f t="shared" si="42"/>
        <v/>
      </c>
      <c r="AX39" s="127" t="str">
        <f t="shared" si="40"/>
        <v/>
      </c>
      <c r="AY39" s="127" t="str">
        <f t="shared" si="40"/>
        <v/>
      </c>
      <c r="AZ39" s="127" t="str">
        <f t="shared" si="40"/>
        <v/>
      </c>
      <c r="BA39" s="127" t="str">
        <f t="shared" si="40"/>
        <v/>
      </c>
      <c r="BB39" s="127" t="str">
        <f t="shared" si="40"/>
        <v/>
      </c>
      <c r="BC39" s="127" t="str">
        <f t="shared" si="41"/>
        <v/>
      </c>
      <c r="BD39" s="127" t="str">
        <f t="shared" si="41"/>
        <v/>
      </c>
      <c r="BE39" s="127" t="str">
        <f t="shared" si="41"/>
        <v/>
      </c>
      <c r="BF39" s="127" t="str">
        <f t="shared" si="41"/>
        <v/>
      </c>
      <c r="BG39" s="127" t="str">
        <f t="shared" si="39"/>
        <v/>
      </c>
      <c r="BH39" s="127" t="str">
        <f t="shared" si="19"/>
        <v/>
      </c>
      <c r="BI39" s="127" t="str">
        <f t="shared" si="19"/>
        <v/>
      </c>
      <c r="BJ39" s="127" t="str">
        <f t="shared" si="19"/>
        <v/>
      </c>
      <c r="BK39" s="127" t="str">
        <f t="shared" si="19"/>
        <v/>
      </c>
      <c r="BL39" s="127" t="str">
        <f t="shared" si="19"/>
        <v/>
      </c>
      <c r="BM39" s="127" t="str">
        <f t="shared" si="19"/>
        <v/>
      </c>
      <c r="BN39" s="127" t="str">
        <f t="shared" si="19"/>
        <v/>
      </c>
      <c r="BO39" s="127" t="str">
        <f t="shared" si="19"/>
        <v/>
      </c>
      <c r="BP39" s="127" t="str">
        <f t="shared" si="19"/>
        <v/>
      </c>
      <c r="BQ39" s="127" t="str">
        <f t="shared" si="19"/>
        <v/>
      </c>
      <c r="BR39" s="127" t="str">
        <f t="shared" si="19"/>
        <v/>
      </c>
      <c r="BS39" s="127" t="str">
        <f t="shared" si="19"/>
        <v/>
      </c>
      <c r="BT39" s="127" t="str">
        <f t="shared" si="20"/>
        <v/>
      </c>
      <c r="BU39" s="127" t="str">
        <f t="shared" si="20"/>
        <v/>
      </c>
      <c r="BV39" s="127" t="str">
        <f t="shared" si="20"/>
        <v/>
      </c>
      <c r="BW39" s="127" t="str">
        <f t="shared" si="20"/>
        <v/>
      </c>
      <c r="BX39" s="127" t="str">
        <f t="shared" si="20"/>
        <v/>
      </c>
      <c r="BY39" s="127" t="str">
        <f t="shared" si="20"/>
        <v/>
      </c>
      <c r="BZ39" s="127" t="str">
        <f t="shared" si="20"/>
        <v/>
      </c>
      <c r="CA39" s="127" t="str">
        <f t="shared" si="20"/>
        <v/>
      </c>
      <c r="CB39" s="127" t="str">
        <f t="shared" si="20"/>
        <v/>
      </c>
      <c r="CC39" s="127" t="str">
        <f t="shared" si="20"/>
        <v/>
      </c>
      <c r="CD39" s="127" t="str">
        <f t="shared" si="20"/>
        <v/>
      </c>
      <c r="CE39" s="127" t="str">
        <f t="shared" si="20"/>
        <v/>
      </c>
    </row>
    <row r="40" spans="1:83" ht="12.6" hidden="1" customHeight="1" x14ac:dyDescent="0.2">
      <c r="A40" s="106">
        <f>SHIPMENTS!A46</f>
        <v>9160</v>
      </c>
      <c r="B40" s="106" t="str">
        <f>SHIPMENTS!B46</f>
        <v>51700-MAURITIUS</v>
      </c>
      <c r="C40" s="132">
        <f>SHIPMENTS!F46</f>
        <v>0.97</v>
      </c>
      <c r="D40" s="107" t="str">
        <f>IF((SHIPMENTS!I46)=0,"",SHIPMENTS!I46)</f>
        <v>1x20</v>
      </c>
      <c r="E40" s="176">
        <f>IF((SHIPMENTS!G46)=0,"",SHIPMENTS!G46)</f>
        <v>46332</v>
      </c>
      <c r="F40" s="97">
        <f>VLOOKUP(A40,Items!$A$5:$J$1000,2,0)</f>
        <v>0</v>
      </c>
      <c r="G40" s="98">
        <f>VLOOKUP(A40,load!$A$4:$U$5001,11,0)</f>
        <v>0</v>
      </c>
      <c r="H40" s="97">
        <v>9</v>
      </c>
      <c r="I40" s="98">
        <f t="shared" si="33"/>
        <v>81.899999999999991</v>
      </c>
      <c r="J40" s="99">
        <f t="shared" si="34"/>
        <v>0</v>
      </c>
      <c r="K40" s="99">
        <f t="shared" si="35"/>
        <v>0</v>
      </c>
      <c r="L40" s="98">
        <f t="shared" si="36"/>
        <v>0</v>
      </c>
      <c r="M40" s="98">
        <f t="shared" si="37"/>
        <v>0</v>
      </c>
      <c r="N40" s="181">
        <f>IF(G40&gt;0,('MP2-DA'!N40+5),O39)</f>
        <v>46329.417873892482</v>
      </c>
      <c r="O40" s="181">
        <f t="shared" si="38"/>
        <v>46329.417873892482</v>
      </c>
      <c r="P40" s="101" t="str">
        <f>VLOOKUP(A40,SHIPMENTS!$A$7:$N$171,13,0)</f>
        <v>n/a</v>
      </c>
      <c r="Q40" s="101"/>
      <c r="R40" s="127" t="str">
        <f t="shared" si="32"/>
        <v/>
      </c>
      <c r="S40" s="127" t="str">
        <f t="shared" si="32"/>
        <v/>
      </c>
      <c r="T40" s="127" t="str">
        <f t="shared" si="32"/>
        <v/>
      </c>
      <c r="U40" s="127" t="str">
        <f t="shared" si="32"/>
        <v/>
      </c>
      <c r="V40" s="127" t="str">
        <f t="shared" si="32"/>
        <v/>
      </c>
      <c r="W40" s="127" t="str">
        <f t="shared" si="32"/>
        <v/>
      </c>
      <c r="X40" s="127" t="str">
        <f t="shared" si="32"/>
        <v/>
      </c>
      <c r="Y40" s="127" t="str">
        <f t="shared" si="32"/>
        <v/>
      </c>
      <c r="Z40" s="127" t="str">
        <f t="shared" si="32"/>
        <v/>
      </c>
      <c r="AA40" s="127" t="str">
        <f t="shared" si="32"/>
        <v/>
      </c>
      <c r="AB40" s="127" t="str">
        <f t="shared" si="32"/>
        <v/>
      </c>
      <c r="AC40" s="127" t="str">
        <f t="shared" si="32"/>
        <v/>
      </c>
      <c r="AD40" s="127" t="str">
        <f t="shared" si="32"/>
        <v/>
      </c>
      <c r="AE40" s="127" t="str">
        <f t="shared" si="32"/>
        <v/>
      </c>
      <c r="AF40" s="127" t="str">
        <f t="shared" si="32"/>
        <v/>
      </c>
      <c r="AG40" s="127" t="str">
        <f t="shared" si="32"/>
        <v/>
      </c>
      <c r="AH40" s="127" t="str">
        <f t="shared" si="42"/>
        <v>▲</v>
      </c>
      <c r="AI40" s="127" t="str">
        <f t="shared" si="42"/>
        <v/>
      </c>
      <c r="AJ40" s="127" t="str">
        <f t="shared" si="42"/>
        <v/>
      </c>
      <c r="AK40" s="127" t="str">
        <f t="shared" si="42"/>
        <v/>
      </c>
      <c r="AL40" s="127" t="str">
        <f t="shared" si="42"/>
        <v/>
      </c>
      <c r="AM40" s="127" t="str">
        <f t="shared" si="42"/>
        <v/>
      </c>
      <c r="AN40" s="127" t="str">
        <f t="shared" si="42"/>
        <v/>
      </c>
      <c r="AO40" s="127" t="str">
        <f t="shared" si="42"/>
        <v/>
      </c>
      <c r="AP40" s="127" t="str">
        <f t="shared" si="42"/>
        <v/>
      </c>
      <c r="AQ40" s="127" t="str">
        <f t="shared" si="42"/>
        <v/>
      </c>
      <c r="AR40" s="127" t="str">
        <f t="shared" si="42"/>
        <v/>
      </c>
      <c r="AS40" s="127" t="str">
        <f t="shared" si="42"/>
        <v/>
      </c>
      <c r="AT40" s="127" t="str">
        <f t="shared" si="42"/>
        <v/>
      </c>
      <c r="AU40" s="127" t="str">
        <f t="shared" si="42"/>
        <v/>
      </c>
      <c r="AV40" s="127" t="str">
        <f t="shared" si="42"/>
        <v/>
      </c>
      <c r="AW40" s="127" t="str">
        <f t="shared" si="42"/>
        <v/>
      </c>
      <c r="AX40" s="127" t="str">
        <f t="shared" si="40"/>
        <v/>
      </c>
      <c r="AY40" s="127" t="str">
        <f t="shared" si="40"/>
        <v/>
      </c>
      <c r="AZ40" s="127" t="str">
        <f t="shared" si="40"/>
        <v/>
      </c>
      <c r="BA40" s="127" t="str">
        <f t="shared" si="40"/>
        <v/>
      </c>
      <c r="BB40" s="127" t="str">
        <f t="shared" si="40"/>
        <v/>
      </c>
      <c r="BC40" s="127" t="str">
        <f t="shared" si="41"/>
        <v/>
      </c>
      <c r="BD40" s="127" t="str">
        <f t="shared" si="41"/>
        <v/>
      </c>
      <c r="BE40" s="127" t="str">
        <f t="shared" si="41"/>
        <v/>
      </c>
      <c r="BF40" s="127" t="str">
        <f t="shared" si="41"/>
        <v/>
      </c>
      <c r="BG40" s="127" t="str">
        <f t="shared" si="39"/>
        <v/>
      </c>
      <c r="BH40" s="127" t="str">
        <f t="shared" si="39"/>
        <v/>
      </c>
      <c r="BI40" s="127" t="str">
        <f t="shared" si="39"/>
        <v/>
      </c>
      <c r="BJ40" s="127" t="str">
        <f t="shared" si="39"/>
        <v/>
      </c>
      <c r="BK40" s="127" t="str">
        <f t="shared" si="39"/>
        <v/>
      </c>
      <c r="BL40" s="127" t="str">
        <f t="shared" si="39"/>
        <v/>
      </c>
      <c r="BM40" s="127" t="str">
        <f t="shared" si="39"/>
        <v/>
      </c>
      <c r="BN40" s="127" t="str">
        <f t="shared" si="39"/>
        <v/>
      </c>
      <c r="BO40" s="127" t="str">
        <f t="shared" si="39"/>
        <v/>
      </c>
      <c r="BP40" s="127" t="str">
        <f t="shared" si="39"/>
        <v/>
      </c>
      <c r="BQ40" s="127" t="str">
        <f t="shared" si="39"/>
        <v/>
      </c>
      <c r="BR40" s="127" t="str">
        <f t="shared" si="39"/>
        <v/>
      </c>
      <c r="BS40" s="127" t="str">
        <f t="shared" si="39"/>
        <v/>
      </c>
      <c r="BT40" s="127" t="str">
        <f t="shared" si="39"/>
        <v/>
      </c>
      <c r="BU40" s="127" t="str">
        <f t="shared" si="39"/>
        <v/>
      </c>
      <c r="BV40" s="127" t="str">
        <f t="shared" si="39"/>
        <v/>
      </c>
      <c r="BW40" s="127" t="str">
        <f t="shared" ref="BT40:CE53" si="43">IF($E40=BW$3,"▲","")</f>
        <v/>
      </c>
      <c r="BX40" s="127" t="str">
        <f t="shared" si="43"/>
        <v/>
      </c>
      <c r="BY40" s="127" t="str">
        <f t="shared" si="43"/>
        <v/>
      </c>
      <c r="BZ40" s="127" t="str">
        <f t="shared" si="43"/>
        <v/>
      </c>
      <c r="CA40" s="127" t="str">
        <f t="shared" si="43"/>
        <v/>
      </c>
      <c r="CB40" s="127" t="str">
        <f t="shared" si="43"/>
        <v/>
      </c>
      <c r="CC40" s="127" t="str">
        <f t="shared" si="43"/>
        <v/>
      </c>
      <c r="CD40" s="127" t="str">
        <f t="shared" si="43"/>
        <v/>
      </c>
      <c r="CE40" s="127" t="str">
        <f t="shared" si="43"/>
        <v/>
      </c>
    </row>
    <row r="41" spans="1:83" ht="12.6" hidden="1" customHeight="1" x14ac:dyDescent="0.2">
      <c r="A41" s="106">
        <f>SHIPMENTS!A47</f>
        <v>9164</v>
      </c>
      <c r="B41" s="106" t="str">
        <f>SHIPMENTS!B47</f>
        <v>1500-SAWO SAUNA EUROPE BV BACKLOG</v>
      </c>
      <c r="C41" s="132">
        <f>SHIPMENTS!F47</f>
        <v>100.97952000000001</v>
      </c>
      <c r="D41" s="107" t="str">
        <f>IF((SHIPMENTS!I47)=0,"",SHIPMENTS!I47)</f>
        <v>1X40HC</v>
      </c>
      <c r="E41" s="176">
        <f>IF((SHIPMENTS!G47)=0,"",SHIPMENTS!G47)</f>
        <v>46339</v>
      </c>
      <c r="F41" s="97">
        <f>VLOOKUP(A41,Items!$A$5:$J$1000,2,0)</f>
        <v>0</v>
      </c>
      <c r="G41" s="98">
        <f>VLOOKUP(A41,load!$A$4:$U$5001,11,0)</f>
        <v>0</v>
      </c>
      <c r="H41" s="97">
        <v>9</v>
      </c>
      <c r="I41" s="98">
        <f t="shared" si="33"/>
        <v>81.899999999999991</v>
      </c>
      <c r="J41" s="99">
        <f t="shared" si="34"/>
        <v>0</v>
      </c>
      <c r="K41" s="99">
        <f t="shared" si="35"/>
        <v>0</v>
      </c>
      <c r="L41" s="98">
        <f t="shared" si="36"/>
        <v>0</v>
      </c>
      <c r="M41" s="98">
        <f t="shared" si="37"/>
        <v>0</v>
      </c>
      <c r="N41" s="181">
        <f>IF(G41&gt;0,('MP2-DA'!N41+5),O40)</f>
        <v>46329.417873892482</v>
      </c>
      <c r="O41" s="181">
        <f t="shared" si="38"/>
        <v>46329.417873892482</v>
      </c>
      <c r="P41" s="101" t="str">
        <f>VLOOKUP(A41,SHIPMENTS!$A$7:$N$171,13,0)</f>
        <v>n/a</v>
      </c>
      <c r="Q41" s="101"/>
      <c r="R41" s="127" t="str">
        <f t="shared" si="32"/>
        <v/>
      </c>
      <c r="S41" s="127" t="str">
        <f t="shared" si="32"/>
        <v/>
      </c>
      <c r="T41" s="127" t="str">
        <f t="shared" si="32"/>
        <v/>
      </c>
      <c r="U41" s="127" t="str">
        <f t="shared" si="32"/>
        <v/>
      </c>
      <c r="V41" s="127" t="str">
        <f t="shared" si="32"/>
        <v/>
      </c>
      <c r="W41" s="127" t="str">
        <f t="shared" si="32"/>
        <v/>
      </c>
      <c r="X41" s="127" t="str">
        <f t="shared" si="32"/>
        <v/>
      </c>
      <c r="Y41" s="127" t="str">
        <f t="shared" si="32"/>
        <v/>
      </c>
      <c r="Z41" s="127" t="str">
        <f t="shared" si="32"/>
        <v/>
      </c>
      <c r="AA41" s="127" t="str">
        <f t="shared" si="32"/>
        <v/>
      </c>
      <c r="AB41" s="127" t="str">
        <f t="shared" si="32"/>
        <v/>
      </c>
      <c r="AC41" s="127" t="str">
        <f t="shared" si="32"/>
        <v/>
      </c>
      <c r="AD41" s="127" t="str">
        <f t="shared" si="32"/>
        <v/>
      </c>
      <c r="AE41" s="127" t="str">
        <f t="shared" si="32"/>
        <v/>
      </c>
      <c r="AF41" s="127" t="str">
        <f t="shared" si="32"/>
        <v/>
      </c>
      <c r="AG41" s="127" t="str">
        <f t="shared" si="32"/>
        <v/>
      </c>
      <c r="AH41" s="127" t="str">
        <f t="shared" si="42"/>
        <v/>
      </c>
      <c r="AI41" s="127" t="str">
        <f t="shared" si="42"/>
        <v/>
      </c>
      <c r="AJ41" s="127" t="str">
        <f t="shared" si="42"/>
        <v/>
      </c>
      <c r="AK41" s="127" t="str">
        <f t="shared" si="42"/>
        <v/>
      </c>
      <c r="AL41" s="127" t="str">
        <f t="shared" si="42"/>
        <v/>
      </c>
      <c r="AM41" s="127" t="str">
        <f t="shared" si="42"/>
        <v/>
      </c>
      <c r="AN41" s="127" t="str">
        <f t="shared" si="42"/>
        <v>▲</v>
      </c>
      <c r="AO41" s="127" t="str">
        <f t="shared" si="42"/>
        <v/>
      </c>
      <c r="AP41" s="127" t="str">
        <f t="shared" si="42"/>
        <v/>
      </c>
      <c r="AQ41" s="127" t="str">
        <f t="shared" si="42"/>
        <v/>
      </c>
      <c r="AR41" s="127" t="str">
        <f t="shared" si="42"/>
        <v/>
      </c>
      <c r="AS41" s="127" t="str">
        <f t="shared" si="42"/>
        <v/>
      </c>
      <c r="AT41" s="127" t="str">
        <f t="shared" si="42"/>
        <v/>
      </c>
      <c r="AU41" s="127" t="str">
        <f t="shared" si="42"/>
        <v/>
      </c>
      <c r="AV41" s="127" t="str">
        <f t="shared" si="42"/>
        <v/>
      </c>
      <c r="AW41" s="127" t="str">
        <f t="shared" si="42"/>
        <v/>
      </c>
      <c r="AX41" s="127" t="str">
        <f t="shared" si="40"/>
        <v/>
      </c>
      <c r="AY41" s="127" t="str">
        <f t="shared" si="40"/>
        <v/>
      </c>
      <c r="AZ41" s="127" t="str">
        <f t="shared" si="40"/>
        <v/>
      </c>
      <c r="BA41" s="127" t="str">
        <f t="shared" si="40"/>
        <v/>
      </c>
      <c r="BB41" s="127" t="str">
        <f t="shared" si="40"/>
        <v/>
      </c>
      <c r="BC41" s="127" t="str">
        <f t="shared" si="41"/>
        <v/>
      </c>
      <c r="BD41" s="127" t="str">
        <f t="shared" si="41"/>
        <v/>
      </c>
      <c r="BE41" s="127" t="str">
        <f t="shared" si="41"/>
        <v/>
      </c>
      <c r="BF41" s="127" t="str">
        <f t="shared" si="41"/>
        <v/>
      </c>
      <c r="BG41" s="127" t="str">
        <f t="shared" si="39"/>
        <v/>
      </c>
      <c r="BH41" s="127" t="str">
        <f t="shared" si="39"/>
        <v/>
      </c>
      <c r="BI41" s="127" t="str">
        <f t="shared" si="39"/>
        <v/>
      </c>
      <c r="BJ41" s="127" t="str">
        <f t="shared" si="39"/>
        <v/>
      </c>
      <c r="BK41" s="127" t="str">
        <f t="shared" si="39"/>
        <v/>
      </c>
      <c r="BL41" s="127" t="str">
        <f t="shared" si="39"/>
        <v/>
      </c>
      <c r="BM41" s="127" t="str">
        <f t="shared" si="39"/>
        <v/>
      </c>
      <c r="BN41" s="127" t="str">
        <f t="shared" si="39"/>
        <v/>
      </c>
      <c r="BO41" s="127" t="str">
        <f t="shared" si="39"/>
        <v/>
      </c>
      <c r="BP41" s="127" t="str">
        <f t="shared" si="39"/>
        <v/>
      </c>
      <c r="BQ41" s="127" t="str">
        <f t="shared" si="39"/>
        <v/>
      </c>
      <c r="BR41" s="127" t="str">
        <f t="shared" si="39"/>
        <v/>
      </c>
      <c r="BS41" s="127" t="str">
        <f t="shared" si="39"/>
        <v/>
      </c>
      <c r="BT41" s="127" t="str">
        <f t="shared" si="43"/>
        <v/>
      </c>
      <c r="BU41" s="127" t="str">
        <f t="shared" si="43"/>
        <v/>
      </c>
      <c r="BV41" s="127" t="str">
        <f t="shared" si="43"/>
        <v/>
      </c>
      <c r="BW41" s="127" t="str">
        <f t="shared" si="43"/>
        <v/>
      </c>
      <c r="BX41" s="127" t="str">
        <f t="shared" si="43"/>
        <v/>
      </c>
      <c r="BY41" s="127" t="str">
        <f t="shared" si="43"/>
        <v/>
      </c>
      <c r="BZ41" s="127" t="str">
        <f t="shared" si="43"/>
        <v/>
      </c>
      <c r="CA41" s="127" t="str">
        <f t="shared" si="43"/>
        <v/>
      </c>
      <c r="CB41" s="127" t="str">
        <f t="shared" si="43"/>
        <v/>
      </c>
      <c r="CC41" s="127" t="str">
        <f t="shared" si="43"/>
        <v/>
      </c>
      <c r="CD41" s="127" t="str">
        <f t="shared" si="43"/>
        <v/>
      </c>
      <c r="CE41" s="127" t="str">
        <f t="shared" si="43"/>
        <v/>
      </c>
    </row>
    <row r="42" spans="1:83" ht="12.6" hidden="1" customHeight="1" x14ac:dyDescent="0.2">
      <c r="A42" s="106">
        <f>SHIPMENTS!A48</f>
        <v>9288</v>
      </c>
      <c r="B42" s="106" t="str">
        <f>SHIPMENTS!B48</f>
        <v>12100-HOLLAND HALU</v>
      </c>
      <c r="C42" s="132">
        <f>SHIPMENTS!F48</f>
        <v>0</v>
      </c>
      <c r="D42" s="107" t="str">
        <f>IF((SHIPMENTS!I48)=0,"",SHIPMENTS!I48)</f>
        <v/>
      </c>
      <c r="E42" s="176">
        <f>IF((SHIPMENTS!G48)=0,"",SHIPMENTS!G48)</f>
        <v>46339</v>
      </c>
      <c r="F42" s="97">
        <f>VLOOKUP(A42,Items!$A$5:$J$1000,2,0)</f>
        <v>0</v>
      </c>
      <c r="G42" s="98">
        <f>VLOOKUP(A42,load!$A$4:$U$5001,11,0)</f>
        <v>0</v>
      </c>
      <c r="H42" s="97">
        <v>9</v>
      </c>
      <c r="I42" s="98">
        <f t="shared" si="33"/>
        <v>81.899999999999991</v>
      </c>
      <c r="J42" s="99">
        <f t="shared" si="34"/>
        <v>0</v>
      </c>
      <c r="K42" s="99">
        <f t="shared" si="35"/>
        <v>0</v>
      </c>
      <c r="L42" s="98">
        <f t="shared" si="36"/>
        <v>0</v>
      </c>
      <c r="M42" s="98">
        <f t="shared" si="37"/>
        <v>0</v>
      </c>
      <c r="N42" s="181">
        <f>IF(G42&gt;0,('MP2-DA'!N42+5),O41)</f>
        <v>46329.417873892482</v>
      </c>
      <c r="O42" s="181">
        <f t="shared" si="38"/>
        <v>46329.417873892482</v>
      </c>
      <c r="P42" s="101" t="str">
        <f>VLOOKUP(A42,SHIPMENTS!$A$7:$N$171,13,0)</f>
        <v>n/a</v>
      </c>
      <c r="Q42" s="101"/>
      <c r="R42" s="127" t="str">
        <f t="shared" si="32"/>
        <v/>
      </c>
      <c r="S42" s="127" t="str">
        <f t="shared" si="32"/>
        <v/>
      </c>
      <c r="T42" s="127" t="str">
        <f t="shared" si="32"/>
        <v/>
      </c>
      <c r="U42" s="127" t="str">
        <f t="shared" si="32"/>
        <v/>
      </c>
      <c r="V42" s="127" t="str">
        <f t="shared" si="32"/>
        <v/>
      </c>
      <c r="W42" s="127" t="str">
        <f t="shared" si="32"/>
        <v/>
      </c>
      <c r="X42" s="127" t="str">
        <f t="shared" si="32"/>
        <v/>
      </c>
      <c r="Y42" s="127" t="str">
        <f t="shared" si="32"/>
        <v/>
      </c>
      <c r="Z42" s="127" t="str">
        <f t="shared" si="32"/>
        <v/>
      </c>
      <c r="AA42" s="127" t="str">
        <f t="shared" si="32"/>
        <v/>
      </c>
      <c r="AB42" s="127" t="str">
        <f t="shared" si="32"/>
        <v/>
      </c>
      <c r="AC42" s="127" t="str">
        <f t="shared" si="32"/>
        <v/>
      </c>
      <c r="AD42" s="127" t="str">
        <f t="shared" si="32"/>
        <v/>
      </c>
      <c r="AE42" s="127" t="str">
        <f t="shared" si="32"/>
        <v/>
      </c>
      <c r="AF42" s="127" t="str">
        <f t="shared" si="32"/>
        <v/>
      </c>
      <c r="AG42" s="127" t="str">
        <f t="shared" si="32"/>
        <v/>
      </c>
      <c r="AH42" s="127" t="str">
        <f t="shared" si="42"/>
        <v/>
      </c>
      <c r="AI42" s="127" t="str">
        <f t="shared" si="42"/>
        <v/>
      </c>
      <c r="AJ42" s="127" t="str">
        <f t="shared" si="42"/>
        <v/>
      </c>
      <c r="AK42" s="127" t="str">
        <f t="shared" si="42"/>
        <v/>
      </c>
      <c r="AL42" s="127" t="str">
        <f t="shared" si="42"/>
        <v/>
      </c>
      <c r="AM42" s="127" t="str">
        <f t="shared" si="42"/>
        <v/>
      </c>
      <c r="AN42" s="127" t="str">
        <f t="shared" si="42"/>
        <v>▲</v>
      </c>
      <c r="AO42" s="127" t="str">
        <f t="shared" si="42"/>
        <v/>
      </c>
      <c r="AP42" s="127" t="str">
        <f t="shared" si="42"/>
        <v/>
      </c>
      <c r="AQ42" s="127" t="str">
        <f t="shared" si="42"/>
        <v/>
      </c>
      <c r="AR42" s="127" t="str">
        <f t="shared" si="42"/>
        <v/>
      </c>
      <c r="AS42" s="127" t="str">
        <f t="shared" si="42"/>
        <v/>
      </c>
      <c r="AT42" s="127" t="str">
        <f t="shared" si="42"/>
        <v/>
      </c>
      <c r="AU42" s="127" t="str">
        <f t="shared" si="42"/>
        <v/>
      </c>
      <c r="AV42" s="127" t="str">
        <f t="shared" si="42"/>
        <v/>
      </c>
      <c r="AW42" s="127" t="str">
        <f t="shared" si="42"/>
        <v/>
      </c>
      <c r="AX42" s="127" t="str">
        <f t="shared" si="40"/>
        <v/>
      </c>
      <c r="AY42" s="127" t="str">
        <f t="shared" si="40"/>
        <v/>
      </c>
      <c r="AZ42" s="127" t="str">
        <f t="shared" si="40"/>
        <v/>
      </c>
      <c r="BA42" s="127" t="str">
        <f t="shared" si="40"/>
        <v/>
      </c>
      <c r="BB42" s="127" t="str">
        <f t="shared" si="40"/>
        <v/>
      </c>
      <c r="BC42" s="127" t="str">
        <f t="shared" si="41"/>
        <v/>
      </c>
      <c r="BD42" s="127" t="str">
        <f t="shared" si="41"/>
        <v/>
      </c>
      <c r="BE42" s="127" t="str">
        <f t="shared" si="41"/>
        <v/>
      </c>
      <c r="BF42" s="127" t="str">
        <f t="shared" si="41"/>
        <v/>
      </c>
      <c r="BG42" s="127" t="str">
        <f t="shared" si="39"/>
        <v/>
      </c>
      <c r="BH42" s="127" t="str">
        <f t="shared" si="39"/>
        <v/>
      </c>
      <c r="BI42" s="127" t="str">
        <f t="shared" si="39"/>
        <v/>
      </c>
      <c r="BJ42" s="127" t="str">
        <f t="shared" si="39"/>
        <v/>
      </c>
      <c r="BK42" s="127" t="str">
        <f t="shared" si="39"/>
        <v/>
      </c>
      <c r="BL42" s="127" t="str">
        <f t="shared" si="39"/>
        <v/>
      </c>
      <c r="BM42" s="127" t="str">
        <f t="shared" si="39"/>
        <v/>
      </c>
      <c r="BN42" s="127" t="str">
        <f t="shared" si="39"/>
        <v/>
      </c>
      <c r="BO42" s="127" t="str">
        <f t="shared" si="39"/>
        <v/>
      </c>
      <c r="BP42" s="127" t="str">
        <f t="shared" si="39"/>
        <v/>
      </c>
      <c r="BQ42" s="127" t="str">
        <f t="shared" si="39"/>
        <v/>
      </c>
      <c r="BR42" s="127" t="str">
        <f t="shared" si="39"/>
        <v/>
      </c>
      <c r="BS42" s="127" t="str">
        <f t="shared" si="39"/>
        <v/>
      </c>
      <c r="BT42" s="127" t="str">
        <f t="shared" si="43"/>
        <v/>
      </c>
      <c r="BU42" s="127" t="str">
        <f t="shared" si="43"/>
        <v/>
      </c>
      <c r="BV42" s="127" t="str">
        <f t="shared" si="43"/>
        <v/>
      </c>
      <c r="BW42" s="127" t="str">
        <f t="shared" si="43"/>
        <v/>
      </c>
      <c r="BX42" s="127" t="str">
        <f t="shared" si="43"/>
        <v/>
      </c>
      <c r="BY42" s="127" t="str">
        <f t="shared" si="43"/>
        <v/>
      </c>
      <c r="BZ42" s="127" t="str">
        <f t="shared" si="43"/>
        <v/>
      </c>
      <c r="CA42" s="127" t="str">
        <f t="shared" si="43"/>
        <v/>
      </c>
      <c r="CB42" s="127" t="str">
        <f t="shared" si="43"/>
        <v/>
      </c>
      <c r="CC42" s="127" t="str">
        <f t="shared" si="43"/>
        <v/>
      </c>
      <c r="CD42" s="127" t="str">
        <f t="shared" si="43"/>
        <v/>
      </c>
      <c r="CE42" s="127" t="str">
        <f t="shared" si="43"/>
        <v/>
      </c>
    </row>
    <row r="43" spans="1:83" ht="12.6" customHeight="1" x14ac:dyDescent="0.2">
      <c r="A43" s="106" t="str">
        <f>SHIPMENTS!A49</f>
        <v>SSE BACKLOG</v>
      </c>
      <c r="B43" s="106" t="str">
        <f>SHIPMENTS!B49</f>
        <v>11500-SAWO SAUNA EUROPE BV</v>
      </c>
      <c r="C43" s="132">
        <f>SHIPMENTS!F49</f>
        <v>0</v>
      </c>
      <c r="D43" s="107" t="str">
        <f>IF((SHIPMENTS!I49)=0,"",SHIPMENTS!I49)</f>
        <v/>
      </c>
      <c r="E43" s="176">
        <f>IF((SHIPMENTS!G49)=0,"",SHIPMENTS!G49)</f>
        <v>46339</v>
      </c>
      <c r="F43" s="97">
        <f>VLOOKUP(A43,Items!$A$5:$J$1000,2,0)</f>
        <v>5</v>
      </c>
      <c r="G43" s="98">
        <f>VLOOKUP(A43,load!$A$4:$U$5001,11,0)</f>
        <v>7.3775000000000004</v>
      </c>
      <c r="H43" s="97">
        <v>9</v>
      </c>
      <c r="I43" s="98">
        <f t="shared" si="33"/>
        <v>81.899999999999991</v>
      </c>
      <c r="J43" s="99">
        <f t="shared" si="34"/>
        <v>9.0079365079365092E-2</v>
      </c>
      <c r="K43" s="99">
        <f t="shared" si="35"/>
        <v>0.81972222222222235</v>
      </c>
      <c r="L43" s="98">
        <f t="shared" si="36"/>
        <v>9.0079365079365092E-2</v>
      </c>
      <c r="M43" s="98">
        <f t="shared" si="37"/>
        <v>0.81972222222222235</v>
      </c>
      <c r="N43" s="181">
        <f>IF(G43&gt;0,('MP2-DA'!N43+5),O42)</f>
        <v>46329.35773457311</v>
      </c>
      <c r="O43" s="181">
        <f t="shared" si="38"/>
        <v>46329.44781393819</v>
      </c>
      <c r="P43" s="101">
        <f>VLOOKUP(A43,SHIPMENTS!$A$7:$N$171,13,0)</f>
        <v>0</v>
      </c>
      <c r="Q43" s="101"/>
      <c r="R43" s="127" t="str">
        <f t="shared" si="32"/>
        <v/>
      </c>
      <c r="S43" s="127" t="str">
        <f t="shared" si="32"/>
        <v/>
      </c>
      <c r="T43" s="127" t="str">
        <f t="shared" si="32"/>
        <v/>
      </c>
      <c r="U43" s="127" t="str">
        <f t="shared" si="32"/>
        <v/>
      </c>
      <c r="V43" s="127" t="str">
        <f t="shared" si="32"/>
        <v/>
      </c>
      <c r="W43" s="127" t="str">
        <f t="shared" si="32"/>
        <v/>
      </c>
      <c r="X43" s="127" t="str">
        <f t="shared" si="32"/>
        <v/>
      </c>
      <c r="Y43" s="127" t="str">
        <f t="shared" si="32"/>
        <v/>
      </c>
      <c r="Z43" s="127" t="str">
        <f t="shared" si="32"/>
        <v/>
      </c>
      <c r="AA43" s="127" t="str">
        <f t="shared" si="32"/>
        <v/>
      </c>
      <c r="AB43" s="127" t="str">
        <f t="shared" si="32"/>
        <v/>
      </c>
      <c r="AC43" s="127" t="str">
        <f t="shared" si="32"/>
        <v/>
      </c>
      <c r="AD43" s="127" t="str">
        <f t="shared" si="32"/>
        <v/>
      </c>
      <c r="AE43" s="127" t="str">
        <f t="shared" si="32"/>
        <v/>
      </c>
      <c r="AF43" s="127" t="str">
        <f t="shared" si="32"/>
        <v/>
      </c>
      <c r="AG43" s="127" t="str">
        <f t="shared" si="32"/>
        <v/>
      </c>
      <c r="AH43" s="127" t="str">
        <f t="shared" si="42"/>
        <v/>
      </c>
      <c r="AI43" s="127" t="str">
        <f t="shared" si="42"/>
        <v/>
      </c>
      <c r="AJ43" s="127" t="str">
        <f t="shared" si="42"/>
        <v/>
      </c>
      <c r="AK43" s="127" t="str">
        <f t="shared" si="42"/>
        <v/>
      </c>
      <c r="AL43" s="127" t="str">
        <f t="shared" si="42"/>
        <v/>
      </c>
      <c r="AM43" s="127" t="str">
        <f t="shared" si="42"/>
        <v/>
      </c>
      <c r="AN43" s="127" t="str">
        <f t="shared" si="42"/>
        <v>▲</v>
      </c>
      <c r="AO43" s="127" t="str">
        <f t="shared" si="42"/>
        <v/>
      </c>
      <c r="AP43" s="127" t="str">
        <f t="shared" si="42"/>
        <v/>
      </c>
      <c r="AQ43" s="127" t="str">
        <f t="shared" si="42"/>
        <v/>
      </c>
      <c r="AR43" s="127" t="str">
        <f t="shared" si="42"/>
        <v/>
      </c>
      <c r="AS43" s="127" t="str">
        <f t="shared" si="42"/>
        <v/>
      </c>
      <c r="AT43" s="127" t="str">
        <f t="shared" si="42"/>
        <v/>
      </c>
      <c r="AU43" s="127" t="str">
        <f t="shared" si="42"/>
        <v/>
      </c>
      <c r="AV43" s="127" t="str">
        <f t="shared" si="42"/>
        <v/>
      </c>
      <c r="AW43" s="127" t="str">
        <f t="shared" si="42"/>
        <v/>
      </c>
      <c r="AX43" s="127" t="str">
        <f t="shared" si="40"/>
        <v/>
      </c>
      <c r="AY43" s="127" t="str">
        <f t="shared" si="40"/>
        <v/>
      </c>
      <c r="AZ43" s="127" t="str">
        <f t="shared" si="40"/>
        <v/>
      </c>
      <c r="BA43" s="127" t="str">
        <f t="shared" si="40"/>
        <v/>
      </c>
      <c r="BB43" s="127" t="str">
        <f t="shared" si="40"/>
        <v/>
      </c>
      <c r="BC43" s="127" t="str">
        <f t="shared" si="41"/>
        <v/>
      </c>
      <c r="BD43" s="127" t="str">
        <f t="shared" si="41"/>
        <v/>
      </c>
      <c r="BE43" s="127" t="str">
        <f t="shared" si="41"/>
        <v/>
      </c>
      <c r="BF43" s="127" t="str">
        <f t="shared" si="41"/>
        <v/>
      </c>
      <c r="BG43" s="127" t="str">
        <f t="shared" si="39"/>
        <v/>
      </c>
      <c r="BH43" s="127" t="str">
        <f t="shared" si="39"/>
        <v/>
      </c>
      <c r="BI43" s="127" t="str">
        <f t="shared" si="39"/>
        <v/>
      </c>
      <c r="BJ43" s="127" t="str">
        <f t="shared" si="39"/>
        <v/>
      </c>
      <c r="BK43" s="127" t="str">
        <f t="shared" si="39"/>
        <v/>
      </c>
      <c r="BL43" s="127" t="str">
        <f t="shared" si="39"/>
        <v/>
      </c>
      <c r="BM43" s="127" t="str">
        <f t="shared" si="39"/>
        <v/>
      </c>
      <c r="BN43" s="127" t="str">
        <f t="shared" si="39"/>
        <v/>
      </c>
      <c r="BO43" s="127" t="str">
        <f t="shared" si="39"/>
        <v/>
      </c>
      <c r="BP43" s="127" t="str">
        <f t="shared" si="39"/>
        <v/>
      </c>
      <c r="BQ43" s="127" t="str">
        <f t="shared" si="39"/>
        <v/>
      </c>
      <c r="BR43" s="127" t="str">
        <f t="shared" si="39"/>
        <v/>
      </c>
      <c r="BS43" s="127" t="str">
        <f t="shared" si="39"/>
        <v/>
      </c>
      <c r="BT43" s="127" t="str">
        <f t="shared" si="43"/>
        <v/>
      </c>
      <c r="BU43" s="127" t="str">
        <f t="shared" si="43"/>
        <v/>
      </c>
      <c r="BV43" s="127" t="str">
        <f t="shared" si="43"/>
        <v/>
      </c>
      <c r="BW43" s="127" t="str">
        <f t="shared" si="43"/>
        <v/>
      </c>
      <c r="BX43" s="127" t="str">
        <f t="shared" si="43"/>
        <v/>
      </c>
      <c r="BY43" s="127" t="str">
        <f t="shared" si="43"/>
        <v/>
      </c>
      <c r="BZ43" s="127" t="str">
        <f t="shared" si="43"/>
        <v/>
      </c>
      <c r="CA43" s="127" t="str">
        <f t="shared" si="43"/>
        <v/>
      </c>
      <c r="CB43" s="127" t="str">
        <f t="shared" si="43"/>
        <v/>
      </c>
      <c r="CC43" s="127" t="str">
        <f t="shared" si="43"/>
        <v/>
      </c>
      <c r="CD43" s="127" t="str">
        <f t="shared" si="43"/>
        <v/>
      </c>
      <c r="CE43" s="127" t="str">
        <f t="shared" si="43"/>
        <v/>
      </c>
    </row>
    <row r="44" spans="1:83" ht="12.6" hidden="1" customHeight="1" x14ac:dyDescent="0.2">
      <c r="A44" s="106">
        <f>SHIPMENTS!A50</f>
        <v>9113</v>
      </c>
      <c r="B44" s="106" t="str">
        <f>SHIPMENTS!B50</f>
        <v>15900- Mandaue |Stephen Chian</v>
      </c>
      <c r="C44" s="132">
        <f>SHIPMENTS!F50</f>
        <v>0.34</v>
      </c>
      <c r="D44" s="107" t="str">
        <f>IF((SHIPMENTS!I50)=0,"",SHIPMENTS!I50)</f>
        <v/>
      </c>
      <c r="E44" s="176">
        <f>IF((SHIPMENTS!G50)=0,"",SHIPMENTS!G50)</f>
        <v>46351</v>
      </c>
      <c r="F44" s="97">
        <f>VLOOKUP(A44,Items!$A$5:$J$1000,2,0)</f>
        <v>0</v>
      </c>
      <c r="G44" s="98">
        <f>VLOOKUP(A44,load!$A$4:$U$5001,11,0)</f>
        <v>0</v>
      </c>
      <c r="H44" s="97">
        <v>9</v>
      </c>
      <c r="I44" s="98">
        <f t="shared" si="33"/>
        <v>81.899999999999991</v>
      </c>
      <c r="J44" s="99">
        <f t="shared" si="34"/>
        <v>0</v>
      </c>
      <c r="K44" s="99">
        <f t="shared" si="35"/>
        <v>0</v>
      </c>
      <c r="L44" s="98">
        <f t="shared" si="36"/>
        <v>0</v>
      </c>
      <c r="M44" s="98">
        <f t="shared" si="37"/>
        <v>0</v>
      </c>
      <c r="N44" s="181">
        <f>IF(G44&gt;0,('MP2-DA'!N44+5),O43)</f>
        <v>46329.44781393819</v>
      </c>
      <c r="O44" s="181">
        <f t="shared" si="38"/>
        <v>46329.44781393819</v>
      </c>
      <c r="P44" s="101" t="str">
        <f>VLOOKUP(A44,SHIPMENTS!$A$7:$N$171,13,0)</f>
        <v>n/a</v>
      </c>
      <c r="Q44" s="101"/>
      <c r="R44" s="127" t="str">
        <f t="shared" si="32"/>
        <v/>
      </c>
      <c r="S44" s="127" t="str">
        <f t="shared" si="32"/>
        <v/>
      </c>
      <c r="T44" s="127" t="str">
        <f t="shared" si="32"/>
        <v/>
      </c>
      <c r="U44" s="127" t="str">
        <f t="shared" si="32"/>
        <v/>
      </c>
      <c r="V44" s="127" t="str">
        <f t="shared" si="32"/>
        <v/>
      </c>
      <c r="W44" s="127" t="str">
        <f t="shared" si="32"/>
        <v/>
      </c>
      <c r="X44" s="127" t="str">
        <f t="shared" si="32"/>
        <v/>
      </c>
      <c r="Y44" s="127" t="str">
        <f t="shared" si="32"/>
        <v/>
      </c>
      <c r="Z44" s="127" t="str">
        <f t="shared" si="32"/>
        <v/>
      </c>
      <c r="AA44" s="127" t="str">
        <f t="shared" si="32"/>
        <v/>
      </c>
      <c r="AB44" s="127" t="str">
        <f t="shared" si="32"/>
        <v/>
      </c>
      <c r="AC44" s="127" t="str">
        <f t="shared" si="32"/>
        <v/>
      </c>
      <c r="AD44" s="127" t="str">
        <f t="shared" si="32"/>
        <v/>
      </c>
      <c r="AE44" s="127" t="str">
        <f t="shared" si="32"/>
        <v/>
      </c>
      <c r="AF44" s="127" t="str">
        <f t="shared" si="32"/>
        <v/>
      </c>
      <c r="AG44" s="127" t="str">
        <f t="shared" si="32"/>
        <v/>
      </c>
      <c r="AH44" s="127" t="str">
        <f t="shared" si="42"/>
        <v/>
      </c>
      <c r="AI44" s="127" t="str">
        <f t="shared" si="42"/>
        <v/>
      </c>
      <c r="AJ44" s="127" t="str">
        <f t="shared" si="42"/>
        <v/>
      </c>
      <c r="AK44" s="127" t="str">
        <f t="shared" si="42"/>
        <v/>
      </c>
      <c r="AL44" s="127" t="str">
        <f t="shared" si="42"/>
        <v/>
      </c>
      <c r="AM44" s="127" t="str">
        <f t="shared" si="42"/>
        <v/>
      </c>
      <c r="AN44" s="127" t="str">
        <f t="shared" si="42"/>
        <v/>
      </c>
      <c r="AO44" s="127" t="str">
        <f t="shared" si="42"/>
        <v/>
      </c>
      <c r="AP44" s="127" t="str">
        <f t="shared" si="42"/>
        <v/>
      </c>
      <c r="AQ44" s="127" t="str">
        <f t="shared" si="42"/>
        <v/>
      </c>
      <c r="AR44" s="127" t="str">
        <f t="shared" si="42"/>
        <v/>
      </c>
      <c r="AS44" s="127" t="str">
        <f t="shared" si="42"/>
        <v/>
      </c>
      <c r="AT44" s="127" t="str">
        <f t="shared" si="42"/>
        <v/>
      </c>
      <c r="AU44" s="127" t="str">
        <f t="shared" si="42"/>
        <v/>
      </c>
      <c r="AV44" s="127" t="str">
        <f t="shared" si="42"/>
        <v/>
      </c>
      <c r="AW44" s="127" t="str">
        <f t="shared" si="42"/>
        <v/>
      </c>
      <c r="AX44" s="127" t="str">
        <f t="shared" si="40"/>
        <v>▲</v>
      </c>
      <c r="AY44" s="127" t="str">
        <f t="shared" si="40"/>
        <v/>
      </c>
      <c r="AZ44" s="127" t="str">
        <f t="shared" si="40"/>
        <v/>
      </c>
      <c r="BA44" s="127" t="str">
        <f t="shared" si="40"/>
        <v/>
      </c>
      <c r="BB44" s="127" t="str">
        <f t="shared" si="40"/>
        <v/>
      </c>
      <c r="BC44" s="127" t="str">
        <f t="shared" si="41"/>
        <v/>
      </c>
      <c r="BD44" s="127" t="str">
        <f t="shared" si="41"/>
        <v/>
      </c>
      <c r="BE44" s="127" t="str">
        <f t="shared" si="41"/>
        <v/>
      </c>
      <c r="BF44" s="127" t="str">
        <f t="shared" si="41"/>
        <v/>
      </c>
      <c r="BG44" s="127" t="str">
        <f t="shared" si="39"/>
        <v/>
      </c>
      <c r="BH44" s="127" t="str">
        <f t="shared" si="39"/>
        <v/>
      </c>
      <c r="BI44" s="127" t="str">
        <f t="shared" si="39"/>
        <v/>
      </c>
      <c r="BJ44" s="127" t="str">
        <f t="shared" si="39"/>
        <v/>
      </c>
      <c r="BK44" s="127" t="str">
        <f t="shared" si="39"/>
        <v/>
      </c>
      <c r="BL44" s="127" t="str">
        <f t="shared" si="39"/>
        <v/>
      </c>
      <c r="BM44" s="127" t="str">
        <f t="shared" si="39"/>
        <v/>
      </c>
      <c r="BN44" s="127" t="str">
        <f t="shared" si="39"/>
        <v/>
      </c>
      <c r="BO44" s="127" t="str">
        <f t="shared" si="39"/>
        <v/>
      </c>
      <c r="BP44" s="127" t="str">
        <f t="shared" si="39"/>
        <v/>
      </c>
      <c r="BQ44" s="127" t="str">
        <f t="shared" si="39"/>
        <v/>
      </c>
      <c r="BR44" s="127" t="str">
        <f t="shared" si="39"/>
        <v/>
      </c>
      <c r="BS44" s="127" t="str">
        <f t="shared" si="39"/>
        <v/>
      </c>
      <c r="BT44" s="127" t="str">
        <f t="shared" si="43"/>
        <v/>
      </c>
      <c r="BU44" s="127" t="str">
        <f t="shared" si="43"/>
        <v/>
      </c>
      <c r="BV44" s="127" t="str">
        <f t="shared" si="43"/>
        <v/>
      </c>
      <c r="BW44" s="127" t="str">
        <f t="shared" si="43"/>
        <v/>
      </c>
      <c r="BX44" s="127" t="str">
        <f t="shared" si="43"/>
        <v/>
      </c>
      <c r="BY44" s="127" t="str">
        <f t="shared" si="43"/>
        <v/>
      </c>
      <c r="BZ44" s="127" t="str">
        <f t="shared" si="43"/>
        <v/>
      </c>
      <c r="CA44" s="127" t="str">
        <f t="shared" si="43"/>
        <v/>
      </c>
      <c r="CB44" s="127" t="str">
        <f t="shared" si="43"/>
        <v/>
      </c>
      <c r="CC44" s="127" t="str">
        <f t="shared" si="43"/>
        <v/>
      </c>
      <c r="CD44" s="127" t="str">
        <f t="shared" si="43"/>
        <v/>
      </c>
      <c r="CE44" s="127" t="str">
        <f t="shared" si="43"/>
        <v/>
      </c>
    </row>
    <row r="45" spans="1:83" ht="12.6" customHeight="1" x14ac:dyDescent="0.2">
      <c r="A45" s="106">
        <f>SHIPMENTS!A51</f>
        <v>8938</v>
      </c>
      <c r="B45" s="106" t="str">
        <f>SHIPMENTS!B51</f>
        <v>9600-NEW ZEALAND</v>
      </c>
      <c r="C45" s="132">
        <f>SHIPMENTS!F51</f>
        <v>36.496094285714285</v>
      </c>
      <c r="D45" s="107" t="str">
        <f>IF((SHIPMENTS!I51)=0,"",SHIPMENTS!I51)</f>
        <v>1X20</v>
      </c>
      <c r="E45" s="176" t="str">
        <f>IF((SHIPMENTS!G51)=0,"",SHIPMENTS!G51)</f>
        <v>TBA</v>
      </c>
      <c r="F45" s="97">
        <f>VLOOKUP(A45,Items!$A$5:$J$1000,2,0)</f>
        <v>3</v>
      </c>
      <c r="G45" s="98">
        <f>VLOOKUP(A45,load!$A$4:$U$5001,11,0)</f>
        <v>1.6585000000000001</v>
      </c>
      <c r="H45" s="97">
        <v>9</v>
      </c>
      <c r="I45" s="98">
        <f t="shared" ref="I45" si="44">+H45*$I$4</f>
        <v>81.899999999999991</v>
      </c>
      <c r="J45" s="99">
        <f t="shared" ref="J45" si="45">G45/I45</f>
        <v>2.0250305250305252E-2</v>
      </c>
      <c r="K45" s="99">
        <f t="shared" ref="K45" si="46">+J45*$I$4</f>
        <v>0.18427777777777779</v>
      </c>
      <c r="L45" s="98">
        <f t="shared" ref="L45" si="47">IFERROR(J45-(J45*P45),0)</f>
        <v>2.0250305250305252E-2</v>
      </c>
      <c r="M45" s="98">
        <f t="shared" ref="M45" si="48">IFERROR(K45-(K45*P45),0)</f>
        <v>0.18427777777777779</v>
      </c>
      <c r="N45" s="181">
        <f>IF(G45&gt;0,('MP2-DA'!N45+5),O44)</f>
        <v>46329.506755424052</v>
      </c>
      <c r="O45" s="181">
        <f t="shared" ref="O45" si="49">+N45+L45</f>
        <v>46329.527005729302</v>
      </c>
      <c r="P45" s="101">
        <f>VLOOKUP(A45,SHIPMENTS!$A$7:$N$171,13,0)</f>
        <v>0</v>
      </c>
      <c r="Q45" s="101"/>
      <c r="R45" s="127" t="str">
        <f t="shared" si="32"/>
        <v/>
      </c>
      <c r="S45" s="127" t="str">
        <f t="shared" si="32"/>
        <v/>
      </c>
      <c r="T45" s="127" t="str">
        <f t="shared" si="32"/>
        <v/>
      </c>
      <c r="U45" s="127" t="str">
        <f t="shared" si="32"/>
        <v/>
      </c>
      <c r="V45" s="127" t="str">
        <f t="shared" si="32"/>
        <v/>
      </c>
      <c r="W45" s="127" t="str">
        <f t="shared" si="32"/>
        <v/>
      </c>
      <c r="X45" s="127" t="str">
        <f t="shared" si="32"/>
        <v/>
      </c>
      <c r="Y45" s="127" t="str">
        <f t="shared" si="32"/>
        <v/>
      </c>
      <c r="Z45" s="127" t="str">
        <f t="shared" si="32"/>
        <v/>
      </c>
      <c r="AA45" s="127" t="str">
        <f t="shared" si="32"/>
        <v/>
      </c>
      <c r="AB45" s="127" t="str">
        <f t="shared" si="32"/>
        <v/>
      </c>
      <c r="AC45" s="127" t="str">
        <f t="shared" si="32"/>
        <v/>
      </c>
      <c r="AD45" s="127" t="str">
        <f t="shared" si="32"/>
        <v/>
      </c>
      <c r="AE45" s="127" t="str">
        <f t="shared" si="32"/>
        <v/>
      </c>
      <c r="AF45" s="127" t="str">
        <f t="shared" si="32"/>
        <v/>
      </c>
      <c r="AG45" s="127" t="str">
        <f t="shared" ref="AG45:AG53" si="50">IF($E45=AG$3,"▲","")</f>
        <v/>
      </c>
      <c r="AH45" s="127" t="str">
        <f t="shared" si="42"/>
        <v/>
      </c>
      <c r="AI45" s="127" t="str">
        <f t="shared" si="42"/>
        <v/>
      </c>
      <c r="AJ45" s="127" t="str">
        <f t="shared" si="42"/>
        <v/>
      </c>
      <c r="AK45" s="127" t="str">
        <f t="shared" si="42"/>
        <v/>
      </c>
      <c r="AL45" s="127" t="str">
        <f t="shared" si="42"/>
        <v/>
      </c>
      <c r="AM45" s="127" t="str">
        <f t="shared" si="42"/>
        <v/>
      </c>
      <c r="AN45" s="127" t="str">
        <f t="shared" si="42"/>
        <v/>
      </c>
      <c r="AO45" s="127" t="str">
        <f t="shared" si="42"/>
        <v/>
      </c>
      <c r="AP45" s="127" t="str">
        <f t="shared" si="42"/>
        <v/>
      </c>
      <c r="AQ45" s="127" t="str">
        <f t="shared" si="42"/>
        <v/>
      </c>
      <c r="AR45" s="127" t="str">
        <f t="shared" si="42"/>
        <v/>
      </c>
      <c r="AS45" s="127" t="str">
        <f t="shared" si="42"/>
        <v/>
      </c>
      <c r="AT45" s="127" t="str">
        <f t="shared" si="42"/>
        <v/>
      </c>
      <c r="AU45" s="127" t="str">
        <f t="shared" si="42"/>
        <v/>
      </c>
      <c r="AV45" s="127" t="str">
        <f t="shared" si="42"/>
        <v/>
      </c>
      <c r="AW45" s="127" t="str">
        <f t="shared" si="42"/>
        <v/>
      </c>
      <c r="AX45" s="127" t="str">
        <f t="shared" si="40"/>
        <v/>
      </c>
      <c r="AY45" s="127" t="str">
        <f t="shared" si="40"/>
        <v/>
      </c>
      <c r="AZ45" s="127" t="str">
        <f t="shared" si="40"/>
        <v/>
      </c>
      <c r="BA45" s="127" t="str">
        <f t="shared" si="40"/>
        <v/>
      </c>
      <c r="BB45" s="127" t="str">
        <f t="shared" si="40"/>
        <v/>
      </c>
      <c r="BC45" s="127" t="str">
        <f t="shared" si="41"/>
        <v/>
      </c>
      <c r="BD45" s="127" t="str">
        <f t="shared" si="41"/>
        <v/>
      </c>
      <c r="BE45" s="127" t="str">
        <f t="shared" si="41"/>
        <v/>
      </c>
      <c r="BF45" s="127" t="str">
        <f t="shared" si="41"/>
        <v/>
      </c>
      <c r="BG45" s="127" t="str">
        <f t="shared" si="39"/>
        <v/>
      </c>
      <c r="BH45" s="127" t="str">
        <f t="shared" si="39"/>
        <v/>
      </c>
      <c r="BI45" s="127" t="str">
        <f t="shared" si="39"/>
        <v/>
      </c>
      <c r="BJ45" s="127" t="str">
        <f t="shared" si="39"/>
        <v/>
      </c>
      <c r="BK45" s="127" t="str">
        <f t="shared" si="39"/>
        <v/>
      </c>
      <c r="BL45" s="127" t="str">
        <f t="shared" si="39"/>
        <v/>
      </c>
      <c r="BM45" s="127" t="str">
        <f t="shared" si="39"/>
        <v/>
      </c>
      <c r="BN45" s="127" t="str">
        <f t="shared" si="39"/>
        <v/>
      </c>
      <c r="BO45" s="127" t="str">
        <f t="shared" si="39"/>
        <v/>
      </c>
      <c r="BP45" s="127" t="str">
        <f t="shared" si="39"/>
        <v/>
      </c>
      <c r="BQ45" s="127" t="str">
        <f t="shared" si="39"/>
        <v/>
      </c>
      <c r="BR45" s="127" t="str">
        <f t="shared" si="39"/>
        <v/>
      </c>
      <c r="BS45" s="127" t="str">
        <f t="shared" si="39"/>
        <v/>
      </c>
      <c r="BT45" s="127" t="str">
        <f t="shared" si="43"/>
        <v/>
      </c>
      <c r="BU45" s="127" t="str">
        <f t="shared" si="43"/>
        <v/>
      </c>
      <c r="BV45" s="127" t="str">
        <f t="shared" si="43"/>
        <v/>
      </c>
      <c r="BW45" s="127" t="str">
        <f t="shared" si="43"/>
        <v/>
      </c>
      <c r="BX45" s="127" t="str">
        <f t="shared" si="43"/>
        <v/>
      </c>
      <c r="BY45" s="127" t="str">
        <f t="shared" si="43"/>
        <v/>
      </c>
      <c r="BZ45" s="127" t="str">
        <f t="shared" si="43"/>
        <v/>
      </c>
      <c r="CA45" s="127" t="str">
        <f t="shared" si="43"/>
        <v/>
      </c>
      <c r="CB45" s="127" t="str">
        <f t="shared" si="43"/>
        <v/>
      </c>
      <c r="CC45" s="127" t="str">
        <f t="shared" si="43"/>
        <v/>
      </c>
      <c r="CD45" s="127" t="str">
        <f t="shared" si="43"/>
        <v/>
      </c>
      <c r="CE45" s="127" t="str">
        <f t="shared" si="43"/>
        <v/>
      </c>
    </row>
    <row r="46" spans="1:83" ht="12.6" hidden="1" customHeight="1" x14ac:dyDescent="0.2">
      <c r="A46" s="106">
        <f>SHIPMENTS!A52</f>
        <v>9153</v>
      </c>
      <c r="B46" s="106" t="str">
        <f>SHIPMENTS!B52</f>
        <v>9600-NEW ZEALAND</v>
      </c>
      <c r="C46" s="132">
        <f>SHIPMENTS!F52</f>
        <v>0</v>
      </c>
      <c r="D46" s="107" t="str">
        <f>IF((SHIPMENTS!I52)=0,"",SHIPMENTS!I52)</f>
        <v/>
      </c>
      <c r="E46" s="176" t="str">
        <f>IF((SHIPMENTS!G52)=0,"",SHIPMENTS!G52)</f>
        <v>TBA</v>
      </c>
      <c r="F46" s="97">
        <f>VLOOKUP(A46,Items!$A$5:$J$1000,2,0)</f>
        <v>0</v>
      </c>
      <c r="G46" s="98">
        <f>VLOOKUP(A46,load!$A$4:$U$5001,11,0)</f>
        <v>0</v>
      </c>
      <c r="H46" s="97">
        <v>9</v>
      </c>
      <c r="I46" s="98">
        <f t="shared" ref="I46:I52" si="51">+H46*$I$4</f>
        <v>81.899999999999991</v>
      </c>
      <c r="J46" s="99">
        <f t="shared" ref="J46:J52" si="52">G46/I46</f>
        <v>0</v>
      </c>
      <c r="K46" s="99">
        <f t="shared" ref="K46:K52" si="53">+J46*$I$4</f>
        <v>0</v>
      </c>
      <c r="L46" s="98">
        <f t="shared" ref="L46:L52" si="54">IFERROR(J46-(J46*P46),0)</f>
        <v>0</v>
      </c>
      <c r="M46" s="98">
        <f t="shared" ref="M46:M52" si="55">IFERROR(K46-(K46*P46),0)</f>
        <v>0</v>
      </c>
      <c r="N46" s="181">
        <f>IF(G46&gt;0,('MP2-DA'!N46+5),O45)</f>
        <v>46329.527005729302</v>
      </c>
      <c r="O46" s="181">
        <f t="shared" ref="O46:O52" si="56">+N46+L46</f>
        <v>46329.527005729302</v>
      </c>
      <c r="P46" s="101" t="str">
        <f>VLOOKUP(A46,SHIPMENTS!$A$7:$N$171,13,0)</f>
        <v>n/a</v>
      </c>
      <c r="Q46" s="101"/>
      <c r="R46" s="127" t="str">
        <f t="shared" ref="R46:AF53" si="57">IF($E46=R$3,"▲","")</f>
        <v/>
      </c>
      <c r="S46" s="127" t="str">
        <f t="shared" si="57"/>
        <v/>
      </c>
      <c r="T46" s="127" t="str">
        <f t="shared" si="57"/>
        <v/>
      </c>
      <c r="U46" s="127" t="str">
        <f t="shared" si="57"/>
        <v/>
      </c>
      <c r="V46" s="127" t="str">
        <f t="shared" si="57"/>
        <v/>
      </c>
      <c r="W46" s="127" t="str">
        <f t="shared" si="57"/>
        <v/>
      </c>
      <c r="X46" s="127" t="str">
        <f t="shared" si="57"/>
        <v/>
      </c>
      <c r="Y46" s="127" t="str">
        <f t="shared" si="57"/>
        <v/>
      </c>
      <c r="Z46" s="127" t="str">
        <f t="shared" si="57"/>
        <v/>
      </c>
      <c r="AA46" s="127" t="str">
        <f t="shared" si="57"/>
        <v/>
      </c>
      <c r="AB46" s="127" t="str">
        <f t="shared" si="57"/>
        <v/>
      </c>
      <c r="AC46" s="127" t="str">
        <f t="shared" si="57"/>
        <v/>
      </c>
      <c r="AD46" s="127" t="str">
        <f t="shared" si="57"/>
        <v/>
      </c>
      <c r="AE46" s="127" t="str">
        <f t="shared" si="57"/>
        <v/>
      </c>
      <c r="AF46" s="127" t="str">
        <f t="shared" si="57"/>
        <v/>
      </c>
      <c r="AG46" s="127" t="str">
        <f t="shared" si="50"/>
        <v/>
      </c>
      <c r="AH46" s="127" t="str">
        <f t="shared" si="42"/>
        <v/>
      </c>
      <c r="AI46" s="127" t="str">
        <f t="shared" si="42"/>
        <v/>
      </c>
      <c r="AJ46" s="127" t="str">
        <f t="shared" si="42"/>
        <v/>
      </c>
      <c r="AK46" s="127" t="str">
        <f t="shared" si="42"/>
        <v/>
      </c>
      <c r="AL46" s="127" t="str">
        <f t="shared" si="42"/>
        <v/>
      </c>
      <c r="AM46" s="127" t="str">
        <f t="shared" si="42"/>
        <v/>
      </c>
      <c r="AN46" s="127" t="str">
        <f t="shared" si="42"/>
        <v/>
      </c>
      <c r="AO46" s="127" t="str">
        <f t="shared" si="42"/>
        <v/>
      </c>
      <c r="AP46" s="127" t="str">
        <f t="shared" si="42"/>
        <v/>
      </c>
      <c r="AQ46" s="127" t="str">
        <f t="shared" si="42"/>
        <v/>
      </c>
      <c r="AR46" s="127" t="str">
        <f t="shared" si="42"/>
        <v/>
      </c>
      <c r="AS46" s="127" t="str">
        <f t="shared" si="42"/>
        <v/>
      </c>
      <c r="AT46" s="127" t="str">
        <f t="shared" si="42"/>
        <v/>
      </c>
      <c r="AU46" s="127" t="str">
        <f t="shared" si="42"/>
        <v/>
      </c>
      <c r="AV46" s="127" t="str">
        <f t="shared" si="42"/>
        <v/>
      </c>
      <c r="AW46" s="127" t="str">
        <f t="shared" si="42"/>
        <v/>
      </c>
      <c r="AX46" s="127" t="str">
        <f t="shared" si="40"/>
        <v/>
      </c>
      <c r="AY46" s="127" t="str">
        <f t="shared" si="40"/>
        <v/>
      </c>
      <c r="AZ46" s="127" t="str">
        <f t="shared" si="40"/>
        <v/>
      </c>
      <c r="BA46" s="127" t="str">
        <f t="shared" si="40"/>
        <v/>
      </c>
      <c r="BB46" s="127" t="str">
        <f t="shared" si="40"/>
        <v/>
      </c>
      <c r="BC46" s="127" t="str">
        <f t="shared" si="41"/>
        <v/>
      </c>
      <c r="BD46" s="127" t="str">
        <f t="shared" si="41"/>
        <v/>
      </c>
      <c r="BE46" s="127" t="str">
        <f t="shared" si="41"/>
        <v/>
      </c>
      <c r="BF46" s="127" t="str">
        <f t="shared" si="41"/>
        <v/>
      </c>
      <c r="BG46" s="127" t="str">
        <f t="shared" si="39"/>
        <v/>
      </c>
      <c r="BH46" s="127" t="str">
        <f t="shared" si="39"/>
        <v/>
      </c>
      <c r="BI46" s="127" t="str">
        <f t="shared" si="39"/>
        <v/>
      </c>
      <c r="BJ46" s="127" t="str">
        <f t="shared" si="39"/>
        <v/>
      </c>
      <c r="BK46" s="127" t="str">
        <f t="shared" si="39"/>
        <v/>
      </c>
      <c r="BL46" s="127" t="str">
        <f t="shared" si="39"/>
        <v/>
      </c>
      <c r="BM46" s="127" t="str">
        <f t="shared" si="39"/>
        <v/>
      </c>
      <c r="BN46" s="127" t="str">
        <f t="shared" si="39"/>
        <v/>
      </c>
      <c r="BO46" s="127" t="str">
        <f t="shared" si="39"/>
        <v/>
      </c>
      <c r="BP46" s="127" t="str">
        <f t="shared" si="39"/>
        <v/>
      </c>
      <c r="BQ46" s="127" t="str">
        <f t="shared" si="39"/>
        <v/>
      </c>
      <c r="BR46" s="127" t="str">
        <f t="shared" si="39"/>
        <v/>
      </c>
      <c r="BS46" s="127" t="str">
        <f t="shared" si="39"/>
        <v/>
      </c>
      <c r="BT46" s="127" t="str">
        <f t="shared" si="43"/>
        <v/>
      </c>
      <c r="BU46" s="127" t="str">
        <f t="shared" si="43"/>
        <v/>
      </c>
      <c r="BV46" s="127" t="str">
        <f t="shared" si="43"/>
        <v/>
      </c>
      <c r="BW46" s="127" t="str">
        <f t="shared" si="43"/>
        <v/>
      </c>
      <c r="BX46" s="127" t="str">
        <f t="shared" si="43"/>
        <v/>
      </c>
      <c r="BY46" s="127" t="str">
        <f t="shared" si="43"/>
        <v/>
      </c>
      <c r="BZ46" s="127" t="str">
        <f t="shared" si="43"/>
        <v/>
      </c>
      <c r="CA46" s="127" t="str">
        <f t="shared" si="43"/>
        <v/>
      </c>
      <c r="CB46" s="127" t="str">
        <f t="shared" si="43"/>
        <v/>
      </c>
      <c r="CC46" s="127" t="str">
        <f t="shared" si="43"/>
        <v/>
      </c>
      <c r="CD46" s="127" t="str">
        <f t="shared" si="43"/>
        <v/>
      </c>
      <c r="CE46" s="127" t="str">
        <f t="shared" si="43"/>
        <v/>
      </c>
    </row>
    <row r="47" spans="1:83" ht="12.6" hidden="1" customHeight="1" x14ac:dyDescent="0.2">
      <c r="A47" s="106">
        <f>SHIPMENTS!A53</f>
        <v>8294</v>
      </c>
      <c r="B47" s="106" t="str">
        <f>SHIPMENTS!B53</f>
        <v>9600-NEW ZEALAND BACKLOG</v>
      </c>
      <c r="C47" s="132">
        <f>SHIPMENTS!F53</f>
        <v>0</v>
      </c>
      <c r="D47" s="107" t="str">
        <f>IF((SHIPMENTS!I53)=0,"",SHIPMENTS!I53)</f>
        <v/>
      </c>
      <c r="E47" s="176" t="str">
        <f>IF((SHIPMENTS!G53)=0,"",SHIPMENTS!G53)</f>
        <v>TBA</v>
      </c>
      <c r="F47" s="97">
        <f>VLOOKUP(A47,Items!$A$5:$J$1000,2,0)</f>
        <v>0</v>
      </c>
      <c r="G47" s="98">
        <f>VLOOKUP(A47,load!$A$4:$U$5001,11,0)</f>
        <v>0</v>
      </c>
      <c r="H47" s="97">
        <v>9</v>
      </c>
      <c r="I47" s="98">
        <f t="shared" si="51"/>
        <v>81.899999999999991</v>
      </c>
      <c r="J47" s="99">
        <f t="shared" si="52"/>
        <v>0</v>
      </c>
      <c r="K47" s="99">
        <f t="shared" si="53"/>
        <v>0</v>
      </c>
      <c r="L47" s="98">
        <f t="shared" si="54"/>
        <v>0</v>
      </c>
      <c r="M47" s="98">
        <f t="shared" si="55"/>
        <v>0</v>
      </c>
      <c r="N47" s="181">
        <f>IF(G47&gt;0,('MP2-DA'!N47+5),O46)</f>
        <v>46329.527005729302</v>
      </c>
      <c r="O47" s="181">
        <f t="shared" si="56"/>
        <v>46329.527005729302</v>
      </c>
      <c r="P47" s="101" t="str">
        <f>VLOOKUP(A47,SHIPMENTS!$A$7:$N$171,13,0)</f>
        <v>n/a</v>
      </c>
      <c r="Q47" s="101"/>
      <c r="R47" s="127" t="str">
        <f t="shared" si="57"/>
        <v/>
      </c>
      <c r="S47" s="127" t="str">
        <f t="shared" si="57"/>
        <v/>
      </c>
      <c r="T47" s="127" t="str">
        <f t="shared" si="57"/>
        <v/>
      </c>
      <c r="U47" s="127" t="str">
        <f t="shared" si="57"/>
        <v/>
      </c>
      <c r="V47" s="127" t="str">
        <f t="shared" si="57"/>
        <v/>
      </c>
      <c r="W47" s="127" t="str">
        <f t="shared" si="57"/>
        <v/>
      </c>
      <c r="X47" s="127" t="str">
        <f t="shared" si="57"/>
        <v/>
      </c>
      <c r="Y47" s="127" t="str">
        <f t="shared" si="57"/>
        <v/>
      </c>
      <c r="Z47" s="127" t="str">
        <f t="shared" si="57"/>
        <v/>
      </c>
      <c r="AA47" s="127" t="str">
        <f t="shared" si="57"/>
        <v/>
      </c>
      <c r="AB47" s="127" t="str">
        <f t="shared" si="57"/>
        <v/>
      </c>
      <c r="AC47" s="127" t="str">
        <f t="shared" si="57"/>
        <v/>
      </c>
      <c r="AD47" s="127" t="str">
        <f t="shared" si="57"/>
        <v/>
      </c>
      <c r="AE47" s="127" t="str">
        <f t="shared" si="57"/>
        <v/>
      </c>
      <c r="AF47" s="127" t="str">
        <f t="shared" si="57"/>
        <v/>
      </c>
      <c r="AG47" s="127" t="str">
        <f t="shared" si="50"/>
        <v/>
      </c>
      <c r="AH47" s="127" t="str">
        <f t="shared" si="42"/>
        <v/>
      </c>
      <c r="AI47" s="127" t="str">
        <f t="shared" si="42"/>
        <v/>
      </c>
      <c r="AJ47" s="127" t="str">
        <f t="shared" si="42"/>
        <v/>
      </c>
      <c r="AK47" s="127" t="str">
        <f t="shared" si="42"/>
        <v/>
      </c>
      <c r="AL47" s="127" t="str">
        <f t="shared" si="42"/>
        <v/>
      </c>
      <c r="AM47" s="127" t="str">
        <f t="shared" si="42"/>
        <v/>
      </c>
      <c r="AN47" s="127" t="str">
        <f t="shared" si="42"/>
        <v/>
      </c>
      <c r="AO47" s="127" t="str">
        <f t="shared" si="42"/>
        <v/>
      </c>
      <c r="AP47" s="127" t="str">
        <f t="shared" si="42"/>
        <v/>
      </c>
      <c r="AQ47" s="127" t="str">
        <f t="shared" si="42"/>
        <v/>
      </c>
      <c r="AR47" s="127" t="str">
        <f t="shared" si="42"/>
        <v/>
      </c>
      <c r="AS47" s="127" t="str">
        <f t="shared" si="42"/>
        <v/>
      </c>
      <c r="AT47" s="127" t="str">
        <f t="shared" si="42"/>
        <v/>
      </c>
      <c r="AU47" s="127" t="str">
        <f t="shared" si="42"/>
        <v/>
      </c>
      <c r="AV47" s="127" t="str">
        <f t="shared" si="42"/>
        <v/>
      </c>
      <c r="AW47" s="127" t="str">
        <f t="shared" si="42"/>
        <v/>
      </c>
      <c r="AX47" s="127" t="str">
        <f t="shared" si="40"/>
        <v/>
      </c>
      <c r="AY47" s="127" t="str">
        <f t="shared" si="40"/>
        <v/>
      </c>
      <c r="AZ47" s="127" t="str">
        <f t="shared" si="40"/>
        <v/>
      </c>
      <c r="BA47" s="127" t="str">
        <f t="shared" si="40"/>
        <v/>
      </c>
      <c r="BB47" s="127" t="str">
        <f t="shared" si="40"/>
        <v/>
      </c>
      <c r="BC47" s="127" t="str">
        <f t="shared" si="41"/>
        <v/>
      </c>
      <c r="BD47" s="127" t="str">
        <f t="shared" si="41"/>
        <v/>
      </c>
      <c r="BE47" s="127" t="str">
        <f t="shared" si="41"/>
        <v/>
      </c>
      <c r="BF47" s="127" t="str">
        <f t="shared" si="41"/>
        <v/>
      </c>
      <c r="BG47" s="127" t="str">
        <f t="shared" si="39"/>
        <v/>
      </c>
      <c r="BH47" s="127" t="str">
        <f t="shared" si="39"/>
        <v/>
      </c>
      <c r="BI47" s="127" t="str">
        <f t="shared" si="39"/>
        <v/>
      </c>
      <c r="BJ47" s="127" t="str">
        <f t="shared" si="39"/>
        <v/>
      </c>
      <c r="BK47" s="127" t="str">
        <f t="shared" si="39"/>
        <v/>
      </c>
      <c r="BL47" s="127" t="str">
        <f t="shared" si="39"/>
        <v/>
      </c>
      <c r="BM47" s="127" t="str">
        <f t="shared" si="39"/>
        <v/>
      </c>
      <c r="BN47" s="127" t="str">
        <f t="shared" si="39"/>
        <v/>
      </c>
      <c r="BO47" s="127" t="str">
        <f t="shared" si="39"/>
        <v/>
      </c>
      <c r="BP47" s="127" t="str">
        <f t="shared" si="39"/>
        <v/>
      </c>
      <c r="BQ47" s="127" t="str">
        <f t="shared" si="39"/>
        <v/>
      </c>
      <c r="BR47" s="127" t="str">
        <f t="shared" si="39"/>
        <v/>
      </c>
      <c r="BS47" s="127" t="str">
        <f t="shared" si="39"/>
        <v/>
      </c>
      <c r="BT47" s="127" t="str">
        <f t="shared" si="43"/>
        <v/>
      </c>
      <c r="BU47" s="127" t="str">
        <f t="shared" si="43"/>
        <v/>
      </c>
      <c r="BV47" s="127" t="str">
        <f t="shared" si="43"/>
        <v/>
      </c>
      <c r="BW47" s="127" t="str">
        <f t="shared" si="43"/>
        <v/>
      </c>
      <c r="BX47" s="127" t="str">
        <f t="shared" si="43"/>
        <v/>
      </c>
      <c r="BY47" s="127" t="str">
        <f t="shared" si="43"/>
        <v/>
      </c>
      <c r="BZ47" s="127" t="str">
        <f t="shared" si="43"/>
        <v/>
      </c>
      <c r="CA47" s="127" t="str">
        <f t="shared" si="43"/>
        <v/>
      </c>
      <c r="CB47" s="127" t="str">
        <f t="shared" si="43"/>
        <v/>
      </c>
      <c r="CC47" s="127" t="str">
        <f t="shared" si="43"/>
        <v/>
      </c>
      <c r="CD47" s="127" t="str">
        <f t="shared" si="43"/>
        <v/>
      </c>
      <c r="CE47" s="127" t="str">
        <f t="shared" si="43"/>
        <v/>
      </c>
    </row>
    <row r="48" spans="1:83" ht="12.6" hidden="1" customHeight="1" x14ac:dyDescent="0.2">
      <c r="A48" s="106">
        <f>SHIPMENTS!A54</f>
        <v>7114</v>
      </c>
      <c r="B48" s="106" t="str">
        <f>SHIPMENTS!B54</f>
        <v>9600-NEW ZEALAND BACKLOG</v>
      </c>
      <c r="C48" s="132">
        <f>SHIPMENTS!F54</f>
        <v>0</v>
      </c>
      <c r="D48" s="107" t="str">
        <f>IF((SHIPMENTS!I54)=0,"",SHIPMENTS!I54)</f>
        <v/>
      </c>
      <c r="E48" s="176" t="str">
        <f>IF((SHIPMENTS!G54)=0,"",SHIPMENTS!G54)</f>
        <v/>
      </c>
      <c r="F48" s="97">
        <f>VLOOKUP(A48,Items!$A$5:$J$1000,2,0)</f>
        <v>0</v>
      </c>
      <c r="G48" s="98">
        <f>VLOOKUP(A48,load!$A$4:$U$5001,11,0)</f>
        <v>0</v>
      </c>
      <c r="H48" s="97">
        <v>9</v>
      </c>
      <c r="I48" s="98">
        <f t="shared" si="51"/>
        <v>81.899999999999991</v>
      </c>
      <c r="J48" s="99">
        <f t="shared" si="52"/>
        <v>0</v>
      </c>
      <c r="K48" s="99">
        <f t="shared" si="53"/>
        <v>0</v>
      </c>
      <c r="L48" s="98">
        <f t="shared" si="54"/>
        <v>0</v>
      </c>
      <c r="M48" s="98">
        <f t="shared" si="55"/>
        <v>0</v>
      </c>
      <c r="N48" s="181">
        <f>IF(G48&gt;0,('MP2-DA'!N48+5),O47)</f>
        <v>46329.527005729302</v>
      </c>
      <c r="O48" s="181">
        <f t="shared" si="56"/>
        <v>46329.527005729302</v>
      </c>
      <c r="P48" s="101" t="str">
        <f>VLOOKUP(A48,SHIPMENTS!$A$7:$N$171,13,0)</f>
        <v>n/a</v>
      </c>
      <c r="Q48" s="101"/>
      <c r="R48" s="127" t="str">
        <f t="shared" si="57"/>
        <v/>
      </c>
      <c r="S48" s="127" t="str">
        <f t="shared" si="57"/>
        <v/>
      </c>
      <c r="T48" s="127" t="str">
        <f t="shared" si="57"/>
        <v/>
      </c>
      <c r="U48" s="127" t="str">
        <f t="shared" si="57"/>
        <v/>
      </c>
      <c r="V48" s="127" t="str">
        <f t="shared" si="57"/>
        <v/>
      </c>
      <c r="W48" s="127" t="str">
        <f t="shared" si="57"/>
        <v/>
      </c>
      <c r="X48" s="127" t="str">
        <f t="shared" si="57"/>
        <v/>
      </c>
      <c r="Y48" s="127" t="str">
        <f t="shared" si="57"/>
        <v/>
      </c>
      <c r="Z48" s="127" t="str">
        <f t="shared" si="57"/>
        <v/>
      </c>
      <c r="AA48" s="127" t="str">
        <f t="shared" si="57"/>
        <v/>
      </c>
      <c r="AB48" s="127" t="str">
        <f t="shared" si="57"/>
        <v/>
      </c>
      <c r="AC48" s="127" t="str">
        <f t="shared" si="57"/>
        <v/>
      </c>
      <c r="AD48" s="127" t="str">
        <f t="shared" si="57"/>
        <v/>
      </c>
      <c r="AE48" s="127" t="str">
        <f t="shared" si="57"/>
        <v/>
      </c>
      <c r="AF48" s="127" t="str">
        <f t="shared" si="57"/>
        <v/>
      </c>
      <c r="AG48" s="127" t="str">
        <f t="shared" si="50"/>
        <v/>
      </c>
      <c r="AH48" s="127" t="str">
        <f t="shared" si="42"/>
        <v/>
      </c>
      <c r="AI48" s="127" t="str">
        <f t="shared" si="42"/>
        <v/>
      </c>
      <c r="AJ48" s="127" t="str">
        <f t="shared" si="42"/>
        <v/>
      </c>
      <c r="AK48" s="127" t="str">
        <f t="shared" si="42"/>
        <v/>
      </c>
      <c r="AL48" s="127" t="str">
        <f t="shared" si="42"/>
        <v/>
      </c>
      <c r="AM48" s="127" t="str">
        <f t="shared" si="42"/>
        <v/>
      </c>
      <c r="AN48" s="127" t="str">
        <f t="shared" si="42"/>
        <v/>
      </c>
      <c r="AO48" s="127" t="str">
        <f t="shared" si="42"/>
        <v/>
      </c>
      <c r="AP48" s="127" t="str">
        <f t="shared" si="42"/>
        <v/>
      </c>
      <c r="AQ48" s="127" t="str">
        <f t="shared" si="42"/>
        <v/>
      </c>
      <c r="AR48" s="127" t="str">
        <f t="shared" si="42"/>
        <v/>
      </c>
      <c r="AS48" s="127" t="str">
        <f t="shared" si="42"/>
        <v/>
      </c>
      <c r="AT48" s="127" t="str">
        <f t="shared" si="42"/>
        <v/>
      </c>
      <c r="AU48" s="127" t="str">
        <f t="shared" si="42"/>
        <v/>
      </c>
      <c r="AV48" s="127" t="str">
        <f t="shared" si="42"/>
        <v/>
      </c>
      <c r="AW48" s="127" t="str">
        <f t="shared" si="42"/>
        <v/>
      </c>
      <c r="AX48" s="127" t="str">
        <f t="shared" si="40"/>
        <v/>
      </c>
      <c r="AY48" s="127" t="str">
        <f t="shared" si="40"/>
        <v/>
      </c>
      <c r="AZ48" s="127" t="str">
        <f t="shared" si="40"/>
        <v/>
      </c>
      <c r="BA48" s="127" t="str">
        <f t="shared" si="40"/>
        <v/>
      </c>
      <c r="BB48" s="127" t="str">
        <f t="shared" si="40"/>
        <v/>
      </c>
      <c r="BC48" s="127" t="str">
        <f t="shared" si="41"/>
        <v/>
      </c>
      <c r="BD48" s="127" t="str">
        <f t="shared" si="41"/>
        <v/>
      </c>
      <c r="BE48" s="127" t="str">
        <f t="shared" si="41"/>
        <v/>
      </c>
      <c r="BF48" s="127" t="str">
        <f t="shared" si="41"/>
        <v/>
      </c>
      <c r="BG48" s="127" t="str">
        <f t="shared" si="39"/>
        <v/>
      </c>
      <c r="BH48" s="127" t="str">
        <f t="shared" si="39"/>
        <v/>
      </c>
      <c r="BI48" s="127" t="str">
        <f t="shared" si="39"/>
        <v/>
      </c>
      <c r="BJ48" s="127" t="str">
        <f t="shared" si="39"/>
        <v/>
      </c>
      <c r="BK48" s="127" t="str">
        <f t="shared" si="39"/>
        <v/>
      </c>
      <c r="BL48" s="127" t="str">
        <f t="shared" si="39"/>
        <v/>
      </c>
      <c r="BM48" s="127" t="str">
        <f t="shared" si="39"/>
        <v/>
      </c>
      <c r="BN48" s="127" t="str">
        <f t="shared" si="39"/>
        <v/>
      </c>
      <c r="BO48" s="127" t="str">
        <f t="shared" si="39"/>
        <v/>
      </c>
      <c r="BP48" s="127" t="str">
        <f t="shared" si="39"/>
        <v/>
      </c>
      <c r="BQ48" s="127" t="str">
        <f t="shared" si="39"/>
        <v/>
      </c>
      <c r="BR48" s="127" t="str">
        <f t="shared" si="39"/>
        <v/>
      </c>
      <c r="BS48" s="127" t="str">
        <f t="shared" si="39"/>
        <v/>
      </c>
      <c r="BT48" s="127" t="str">
        <f t="shared" si="43"/>
        <v/>
      </c>
      <c r="BU48" s="127" t="str">
        <f t="shared" si="43"/>
        <v/>
      </c>
      <c r="BV48" s="127" t="str">
        <f t="shared" si="43"/>
        <v/>
      </c>
      <c r="BW48" s="127" t="str">
        <f t="shared" si="43"/>
        <v/>
      </c>
      <c r="BX48" s="127" t="str">
        <f t="shared" si="43"/>
        <v/>
      </c>
      <c r="BY48" s="127" t="str">
        <f t="shared" si="43"/>
        <v/>
      </c>
      <c r="BZ48" s="127" t="str">
        <f t="shared" si="43"/>
        <v/>
      </c>
      <c r="CA48" s="127" t="str">
        <f t="shared" si="43"/>
        <v/>
      </c>
      <c r="CB48" s="127" t="str">
        <f t="shared" si="43"/>
        <v/>
      </c>
      <c r="CC48" s="127" t="str">
        <f t="shared" si="43"/>
        <v/>
      </c>
      <c r="CD48" s="127" t="str">
        <f t="shared" si="43"/>
        <v/>
      </c>
      <c r="CE48" s="127" t="str">
        <f t="shared" si="43"/>
        <v/>
      </c>
    </row>
    <row r="49" spans="1:83" ht="12.6" hidden="1" customHeight="1" x14ac:dyDescent="0.2">
      <c r="A49" s="106">
        <f>SHIPMENTS!A55</f>
        <v>6967</v>
      </c>
      <c r="B49" s="106" t="str">
        <f>SHIPMENTS!B55</f>
        <v>9600-NEW ZEALAND BACKLOG</v>
      </c>
      <c r="C49" s="132">
        <f>SHIPMENTS!F55</f>
        <v>0</v>
      </c>
      <c r="D49" s="107" t="str">
        <f>IF((SHIPMENTS!I55)=0,"",SHIPMENTS!I55)</f>
        <v/>
      </c>
      <c r="E49" s="176" t="str">
        <f>IF((SHIPMENTS!G55)=0,"",SHIPMENTS!G55)</f>
        <v/>
      </c>
      <c r="F49" s="97">
        <f>VLOOKUP(A49,Items!$A$5:$J$1000,2,0)</f>
        <v>0</v>
      </c>
      <c r="G49" s="98">
        <f>VLOOKUP(A49,load!$A$4:$U$5001,11,0)</f>
        <v>0</v>
      </c>
      <c r="H49" s="97">
        <v>9</v>
      </c>
      <c r="I49" s="98">
        <f t="shared" si="51"/>
        <v>81.899999999999991</v>
      </c>
      <c r="J49" s="99">
        <f t="shared" si="52"/>
        <v>0</v>
      </c>
      <c r="K49" s="99">
        <f t="shared" si="53"/>
        <v>0</v>
      </c>
      <c r="L49" s="98">
        <f t="shared" si="54"/>
        <v>0</v>
      </c>
      <c r="M49" s="98">
        <f t="shared" si="55"/>
        <v>0</v>
      </c>
      <c r="N49" s="181">
        <f>IF(G49&gt;0,('MP2-DA'!N49+5),O48)</f>
        <v>46329.527005729302</v>
      </c>
      <c r="O49" s="181">
        <f t="shared" si="56"/>
        <v>46329.527005729302</v>
      </c>
      <c r="P49" s="101" t="str">
        <f>VLOOKUP(A49,SHIPMENTS!$A$7:$N$171,13,0)</f>
        <v>n/a</v>
      </c>
      <c r="Q49" s="101"/>
      <c r="R49" s="127" t="str">
        <f t="shared" si="57"/>
        <v/>
      </c>
      <c r="S49" s="127" t="str">
        <f t="shared" si="57"/>
        <v/>
      </c>
      <c r="T49" s="127" t="str">
        <f t="shared" si="57"/>
        <v/>
      </c>
      <c r="U49" s="127" t="str">
        <f t="shared" si="57"/>
        <v/>
      </c>
      <c r="V49" s="127" t="str">
        <f t="shared" si="57"/>
        <v/>
      </c>
      <c r="W49" s="127" t="str">
        <f t="shared" si="57"/>
        <v/>
      </c>
      <c r="X49" s="127" t="str">
        <f t="shared" si="57"/>
        <v/>
      </c>
      <c r="Y49" s="127" t="str">
        <f t="shared" si="57"/>
        <v/>
      </c>
      <c r="Z49" s="127" t="str">
        <f t="shared" si="57"/>
        <v/>
      </c>
      <c r="AA49" s="127" t="str">
        <f t="shared" si="57"/>
        <v/>
      </c>
      <c r="AB49" s="127" t="str">
        <f t="shared" si="57"/>
        <v/>
      </c>
      <c r="AC49" s="127" t="str">
        <f t="shared" si="57"/>
        <v/>
      </c>
      <c r="AD49" s="127" t="str">
        <f t="shared" si="57"/>
        <v/>
      </c>
      <c r="AE49" s="127" t="str">
        <f t="shared" si="57"/>
        <v/>
      </c>
      <c r="AF49" s="127" t="str">
        <f t="shared" si="57"/>
        <v/>
      </c>
      <c r="AG49" s="127" t="str">
        <f t="shared" si="50"/>
        <v/>
      </c>
      <c r="AH49" s="127" t="str">
        <f t="shared" si="42"/>
        <v/>
      </c>
      <c r="AI49" s="127" t="str">
        <f t="shared" si="42"/>
        <v/>
      </c>
      <c r="AJ49" s="127" t="str">
        <f t="shared" si="42"/>
        <v/>
      </c>
      <c r="AK49" s="127" t="str">
        <f t="shared" si="42"/>
        <v/>
      </c>
      <c r="AL49" s="127" t="str">
        <f t="shared" si="42"/>
        <v/>
      </c>
      <c r="AM49" s="127" t="str">
        <f t="shared" si="42"/>
        <v/>
      </c>
      <c r="AN49" s="127" t="str">
        <f t="shared" si="42"/>
        <v/>
      </c>
      <c r="AO49" s="127" t="str">
        <f t="shared" si="42"/>
        <v/>
      </c>
      <c r="AP49" s="127" t="str">
        <f t="shared" si="42"/>
        <v/>
      </c>
      <c r="AQ49" s="127" t="str">
        <f t="shared" si="42"/>
        <v/>
      </c>
      <c r="AR49" s="127" t="str">
        <f t="shared" si="42"/>
        <v/>
      </c>
      <c r="AS49" s="127" t="str">
        <f t="shared" si="42"/>
        <v/>
      </c>
      <c r="AT49" s="127" t="str">
        <f t="shared" si="42"/>
        <v/>
      </c>
      <c r="AU49" s="127" t="str">
        <f t="shared" si="42"/>
        <v/>
      </c>
      <c r="AV49" s="127" t="str">
        <f t="shared" si="42"/>
        <v/>
      </c>
      <c r="AW49" s="127" t="str">
        <f t="shared" si="42"/>
        <v/>
      </c>
      <c r="AX49" s="127" t="str">
        <f t="shared" si="40"/>
        <v/>
      </c>
      <c r="AY49" s="127" t="str">
        <f t="shared" si="40"/>
        <v/>
      </c>
      <c r="AZ49" s="127" t="str">
        <f t="shared" si="40"/>
        <v/>
      </c>
      <c r="BA49" s="127" t="str">
        <f t="shared" si="40"/>
        <v/>
      </c>
      <c r="BB49" s="127" t="str">
        <f t="shared" si="40"/>
        <v/>
      </c>
      <c r="BC49" s="127" t="str">
        <f t="shared" si="41"/>
        <v/>
      </c>
      <c r="BD49" s="127" t="str">
        <f t="shared" si="41"/>
        <v/>
      </c>
      <c r="BE49" s="127" t="str">
        <f t="shared" si="41"/>
        <v/>
      </c>
      <c r="BF49" s="127" t="str">
        <f t="shared" si="41"/>
        <v/>
      </c>
      <c r="BG49" s="127" t="str">
        <f t="shared" si="39"/>
        <v/>
      </c>
      <c r="BH49" s="127" t="str">
        <f t="shared" si="39"/>
        <v/>
      </c>
      <c r="BI49" s="127" t="str">
        <f t="shared" si="39"/>
        <v/>
      </c>
      <c r="BJ49" s="127" t="str">
        <f t="shared" si="39"/>
        <v/>
      </c>
      <c r="BK49" s="127" t="str">
        <f t="shared" si="39"/>
        <v/>
      </c>
      <c r="BL49" s="127" t="str">
        <f t="shared" si="39"/>
        <v/>
      </c>
      <c r="BM49" s="127" t="str">
        <f t="shared" si="39"/>
        <v/>
      </c>
      <c r="BN49" s="127" t="str">
        <f t="shared" si="39"/>
        <v/>
      </c>
      <c r="BO49" s="127" t="str">
        <f t="shared" si="39"/>
        <v/>
      </c>
      <c r="BP49" s="127" t="str">
        <f t="shared" si="39"/>
        <v/>
      </c>
      <c r="BQ49" s="127" t="str">
        <f t="shared" si="39"/>
        <v/>
      </c>
      <c r="BR49" s="127" t="str">
        <f t="shared" si="39"/>
        <v/>
      </c>
      <c r="BS49" s="127" t="str">
        <f t="shared" si="39"/>
        <v/>
      </c>
      <c r="BT49" s="127" t="str">
        <f t="shared" si="43"/>
        <v/>
      </c>
      <c r="BU49" s="127" t="str">
        <f t="shared" si="43"/>
        <v/>
      </c>
      <c r="BV49" s="127" t="str">
        <f t="shared" si="43"/>
        <v/>
      </c>
      <c r="BW49" s="127" t="str">
        <f t="shared" si="43"/>
        <v/>
      </c>
      <c r="BX49" s="127" t="str">
        <f t="shared" si="43"/>
        <v/>
      </c>
      <c r="BY49" s="127" t="str">
        <f t="shared" si="43"/>
        <v/>
      </c>
      <c r="BZ49" s="127" t="str">
        <f t="shared" si="43"/>
        <v/>
      </c>
      <c r="CA49" s="127" t="str">
        <f t="shared" si="43"/>
        <v/>
      </c>
      <c r="CB49" s="127" t="str">
        <f t="shared" si="43"/>
        <v/>
      </c>
      <c r="CC49" s="127" t="str">
        <f t="shared" si="43"/>
        <v/>
      </c>
      <c r="CD49" s="127" t="str">
        <f t="shared" si="43"/>
        <v/>
      </c>
      <c r="CE49" s="127" t="str">
        <f t="shared" si="43"/>
        <v/>
      </c>
    </row>
    <row r="50" spans="1:83" ht="12.6" hidden="1" customHeight="1" x14ac:dyDescent="0.2">
      <c r="A50" s="106">
        <f>SHIPMENTS!A56</f>
        <v>6646</v>
      </c>
      <c r="B50" s="106" t="str">
        <f>SHIPMENTS!B56</f>
        <v>9600-NEW ZEALAND BACKLOG</v>
      </c>
      <c r="C50" s="132">
        <f>SHIPMENTS!F56</f>
        <v>0</v>
      </c>
      <c r="D50" s="107" t="str">
        <f>IF((SHIPMENTS!I56)=0,"",SHIPMENTS!I56)</f>
        <v/>
      </c>
      <c r="E50" s="176" t="str">
        <f>IF((SHIPMENTS!G56)=0,"",SHIPMENTS!G56)</f>
        <v/>
      </c>
      <c r="F50" s="97">
        <f>VLOOKUP(A50,Items!$A$5:$J$1000,2,0)</f>
        <v>0</v>
      </c>
      <c r="G50" s="98">
        <f>VLOOKUP(A50,load!$A$4:$U$5001,11,0)</f>
        <v>0</v>
      </c>
      <c r="H50" s="97">
        <v>9</v>
      </c>
      <c r="I50" s="98">
        <f t="shared" si="51"/>
        <v>81.899999999999991</v>
      </c>
      <c r="J50" s="99">
        <f t="shared" si="52"/>
        <v>0</v>
      </c>
      <c r="K50" s="99">
        <f t="shared" si="53"/>
        <v>0</v>
      </c>
      <c r="L50" s="98">
        <f t="shared" si="54"/>
        <v>0</v>
      </c>
      <c r="M50" s="98">
        <f t="shared" si="55"/>
        <v>0</v>
      </c>
      <c r="N50" s="181">
        <f>IF(G50&gt;0,('MP2-DA'!N50+5),O49)</f>
        <v>46329.527005729302</v>
      </c>
      <c r="O50" s="181">
        <f t="shared" si="56"/>
        <v>46329.527005729302</v>
      </c>
      <c r="P50" s="101" t="str">
        <f>VLOOKUP(A50,SHIPMENTS!$A$7:$N$171,13,0)</f>
        <v>n/a</v>
      </c>
      <c r="Q50" s="101"/>
      <c r="R50" s="127" t="str">
        <f t="shared" si="57"/>
        <v/>
      </c>
      <c r="S50" s="127" t="str">
        <f t="shared" si="57"/>
        <v/>
      </c>
      <c r="T50" s="127" t="str">
        <f t="shared" si="57"/>
        <v/>
      </c>
      <c r="U50" s="127" t="str">
        <f t="shared" si="57"/>
        <v/>
      </c>
      <c r="V50" s="127" t="str">
        <f t="shared" si="57"/>
        <v/>
      </c>
      <c r="W50" s="127" t="str">
        <f t="shared" si="57"/>
        <v/>
      </c>
      <c r="X50" s="127" t="str">
        <f t="shared" si="57"/>
        <v/>
      </c>
      <c r="Y50" s="127" t="str">
        <f t="shared" si="57"/>
        <v/>
      </c>
      <c r="Z50" s="127" t="str">
        <f t="shared" si="57"/>
        <v/>
      </c>
      <c r="AA50" s="127" t="str">
        <f t="shared" si="57"/>
        <v/>
      </c>
      <c r="AB50" s="127" t="str">
        <f t="shared" si="57"/>
        <v/>
      </c>
      <c r="AC50" s="127" t="str">
        <f t="shared" si="57"/>
        <v/>
      </c>
      <c r="AD50" s="127" t="str">
        <f t="shared" si="57"/>
        <v/>
      </c>
      <c r="AE50" s="127" t="str">
        <f t="shared" si="57"/>
        <v/>
      </c>
      <c r="AF50" s="127" t="str">
        <f t="shared" si="57"/>
        <v/>
      </c>
      <c r="AG50" s="127" t="str">
        <f t="shared" si="50"/>
        <v/>
      </c>
      <c r="AH50" s="127" t="str">
        <f t="shared" si="42"/>
        <v/>
      </c>
      <c r="AI50" s="127" t="str">
        <f t="shared" si="42"/>
        <v/>
      </c>
      <c r="AJ50" s="127" t="str">
        <f t="shared" si="42"/>
        <v/>
      </c>
      <c r="AK50" s="127" t="str">
        <f t="shared" si="42"/>
        <v/>
      </c>
      <c r="AL50" s="127" t="str">
        <f t="shared" si="42"/>
        <v/>
      </c>
      <c r="AM50" s="127" t="str">
        <f t="shared" si="42"/>
        <v/>
      </c>
      <c r="AN50" s="127" t="str">
        <f t="shared" si="42"/>
        <v/>
      </c>
      <c r="AO50" s="127" t="str">
        <f t="shared" si="42"/>
        <v/>
      </c>
      <c r="AP50" s="127" t="str">
        <f t="shared" si="42"/>
        <v/>
      </c>
      <c r="AQ50" s="127" t="str">
        <f t="shared" si="42"/>
        <v/>
      </c>
      <c r="AR50" s="127" t="str">
        <f t="shared" si="42"/>
        <v/>
      </c>
      <c r="AS50" s="127" t="str">
        <f t="shared" si="42"/>
        <v/>
      </c>
      <c r="AT50" s="127" t="str">
        <f t="shared" si="42"/>
        <v/>
      </c>
      <c r="AU50" s="127" t="str">
        <f t="shared" si="42"/>
        <v/>
      </c>
      <c r="AV50" s="127" t="str">
        <f t="shared" si="42"/>
        <v/>
      </c>
      <c r="AW50" s="127" t="str">
        <f t="shared" si="42"/>
        <v/>
      </c>
      <c r="AX50" s="127" t="str">
        <f t="shared" si="40"/>
        <v/>
      </c>
      <c r="AY50" s="127" t="str">
        <f t="shared" si="40"/>
        <v/>
      </c>
      <c r="AZ50" s="127" t="str">
        <f t="shared" si="40"/>
        <v/>
      </c>
      <c r="BA50" s="127" t="str">
        <f t="shared" si="40"/>
        <v/>
      </c>
      <c r="BB50" s="127" t="str">
        <f t="shared" si="40"/>
        <v/>
      </c>
      <c r="BC50" s="127" t="str">
        <f t="shared" si="41"/>
        <v/>
      </c>
      <c r="BD50" s="127" t="str">
        <f t="shared" si="41"/>
        <v/>
      </c>
      <c r="BE50" s="127" t="str">
        <f t="shared" si="41"/>
        <v/>
      </c>
      <c r="BF50" s="127" t="str">
        <f t="shared" si="41"/>
        <v/>
      </c>
      <c r="BG50" s="127" t="str">
        <f t="shared" si="39"/>
        <v/>
      </c>
      <c r="BH50" s="127" t="str">
        <f t="shared" si="39"/>
        <v/>
      </c>
      <c r="BI50" s="127" t="str">
        <f t="shared" si="39"/>
        <v/>
      </c>
      <c r="BJ50" s="127" t="str">
        <f t="shared" si="39"/>
        <v/>
      </c>
      <c r="BK50" s="127" t="str">
        <f t="shared" si="39"/>
        <v/>
      </c>
      <c r="BL50" s="127" t="str">
        <f t="shared" si="39"/>
        <v/>
      </c>
      <c r="BM50" s="127" t="str">
        <f t="shared" si="39"/>
        <v/>
      </c>
      <c r="BN50" s="127" t="str">
        <f t="shared" si="39"/>
        <v/>
      </c>
      <c r="BO50" s="127" t="str">
        <f t="shared" si="39"/>
        <v/>
      </c>
      <c r="BP50" s="127" t="str">
        <f t="shared" si="39"/>
        <v/>
      </c>
      <c r="BQ50" s="127" t="str">
        <f t="shared" si="39"/>
        <v/>
      </c>
      <c r="BR50" s="127" t="str">
        <f t="shared" si="39"/>
        <v/>
      </c>
      <c r="BS50" s="127" t="str">
        <f t="shared" si="39"/>
        <v/>
      </c>
      <c r="BT50" s="127" t="str">
        <f t="shared" si="43"/>
        <v/>
      </c>
      <c r="BU50" s="127" t="str">
        <f t="shared" si="43"/>
        <v/>
      </c>
      <c r="BV50" s="127" t="str">
        <f t="shared" si="43"/>
        <v/>
      </c>
      <c r="BW50" s="127" t="str">
        <f t="shared" si="43"/>
        <v/>
      </c>
      <c r="BX50" s="127" t="str">
        <f t="shared" si="43"/>
        <v/>
      </c>
      <c r="BY50" s="127" t="str">
        <f t="shared" si="43"/>
        <v/>
      </c>
      <c r="BZ50" s="127" t="str">
        <f t="shared" si="43"/>
        <v/>
      </c>
      <c r="CA50" s="127" t="str">
        <f t="shared" si="43"/>
        <v/>
      </c>
      <c r="CB50" s="127" t="str">
        <f t="shared" si="43"/>
        <v/>
      </c>
      <c r="CC50" s="127" t="str">
        <f t="shared" si="43"/>
        <v/>
      </c>
      <c r="CD50" s="127" t="str">
        <f t="shared" si="43"/>
        <v/>
      </c>
      <c r="CE50" s="127" t="str">
        <f t="shared" si="43"/>
        <v/>
      </c>
    </row>
    <row r="51" spans="1:83" ht="12.6" customHeight="1" x14ac:dyDescent="0.2">
      <c r="A51" s="106">
        <f>SHIPMENTS!A57</f>
        <v>9122</v>
      </c>
      <c r="B51" s="106" t="str">
        <f>SHIPMENTS!B57</f>
        <v>19300-USA SUPERIOR SAUNA</v>
      </c>
      <c r="C51" s="132">
        <f>SHIPMENTS!F57</f>
        <v>69.539999999999992</v>
      </c>
      <c r="D51" s="107" t="str">
        <f>IF((SHIPMENTS!I57)=0,"",SHIPMENTS!I57)</f>
        <v>1x40HC</v>
      </c>
      <c r="E51" s="176" t="str">
        <f>IF((SHIPMENTS!G57)=0,"",SHIPMENTS!G57)</f>
        <v>TBA</v>
      </c>
      <c r="F51" s="97">
        <f>VLOOKUP(A51,Items!$A$5:$J$1000,2,0)</f>
        <v>189</v>
      </c>
      <c r="G51" s="98">
        <f>VLOOKUP(A51,load!$A$4:$U$5001,11,0)</f>
        <v>535.20600000000002</v>
      </c>
      <c r="H51" s="97">
        <v>9</v>
      </c>
      <c r="I51" s="98">
        <f t="shared" si="51"/>
        <v>81.899999999999991</v>
      </c>
      <c r="J51" s="99">
        <f t="shared" si="52"/>
        <v>6.5348717948717958</v>
      </c>
      <c r="K51" s="99">
        <f t="shared" si="53"/>
        <v>59.467333333333336</v>
      </c>
      <c r="L51" s="98">
        <f t="shared" si="54"/>
        <v>6.5348717948717958</v>
      </c>
      <c r="M51" s="98">
        <f t="shared" si="55"/>
        <v>59.467333333333336</v>
      </c>
      <c r="N51" s="181">
        <f>IF(G51&gt;0,('MP2-DA'!N51+5),O50)</f>
        <v>46329.537118906723</v>
      </c>
      <c r="O51" s="181">
        <f t="shared" si="56"/>
        <v>46336.071990701595</v>
      </c>
      <c r="P51" s="101">
        <f>VLOOKUP(A51,SHIPMENTS!$A$7:$N$171,13,0)</f>
        <v>0</v>
      </c>
      <c r="Q51" s="101"/>
      <c r="R51" s="127" t="str">
        <f t="shared" si="57"/>
        <v/>
      </c>
      <c r="S51" s="127" t="str">
        <f t="shared" si="57"/>
        <v/>
      </c>
      <c r="T51" s="127" t="str">
        <f t="shared" si="57"/>
        <v/>
      </c>
      <c r="U51" s="127" t="str">
        <f t="shared" si="57"/>
        <v/>
      </c>
      <c r="V51" s="127" t="str">
        <f t="shared" si="57"/>
        <v/>
      </c>
      <c r="W51" s="127" t="str">
        <f t="shared" si="57"/>
        <v/>
      </c>
      <c r="X51" s="127" t="str">
        <f t="shared" si="57"/>
        <v/>
      </c>
      <c r="Y51" s="127" t="str">
        <f t="shared" si="57"/>
        <v/>
      </c>
      <c r="Z51" s="127" t="str">
        <f t="shared" si="57"/>
        <v/>
      </c>
      <c r="AA51" s="127" t="str">
        <f t="shared" si="57"/>
        <v/>
      </c>
      <c r="AB51" s="127" t="str">
        <f t="shared" si="57"/>
        <v/>
      </c>
      <c r="AC51" s="127" t="str">
        <f t="shared" si="57"/>
        <v/>
      </c>
      <c r="AD51" s="127" t="str">
        <f t="shared" si="57"/>
        <v/>
      </c>
      <c r="AE51" s="127" t="str">
        <f t="shared" si="57"/>
        <v/>
      </c>
      <c r="AF51" s="127" t="str">
        <f t="shared" si="57"/>
        <v/>
      </c>
      <c r="AG51" s="127" t="str">
        <f t="shared" si="50"/>
        <v/>
      </c>
      <c r="AH51" s="127" t="str">
        <f t="shared" si="42"/>
        <v/>
      </c>
      <c r="AI51" s="127" t="str">
        <f t="shared" si="42"/>
        <v/>
      </c>
      <c r="AJ51" s="127" t="str">
        <f t="shared" si="42"/>
        <v/>
      </c>
      <c r="AK51" s="127" t="str">
        <f t="shared" si="42"/>
        <v/>
      </c>
      <c r="AL51" s="127" t="str">
        <f t="shared" si="42"/>
        <v/>
      </c>
      <c r="AM51" s="127" t="str">
        <f t="shared" si="42"/>
        <v/>
      </c>
      <c r="AN51" s="127" t="str">
        <f t="shared" si="42"/>
        <v/>
      </c>
      <c r="AO51" s="127" t="str">
        <f t="shared" si="42"/>
        <v/>
      </c>
      <c r="AP51" s="127" t="str">
        <f t="shared" si="42"/>
        <v/>
      </c>
      <c r="AQ51" s="127" t="str">
        <f t="shared" si="42"/>
        <v/>
      </c>
      <c r="AR51" s="127" t="str">
        <f t="shared" si="42"/>
        <v/>
      </c>
      <c r="AS51" s="127" t="str">
        <f t="shared" si="42"/>
        <v/>
      </c>
      <c r="AT51" s="127" t="str">
        <f t="shared" si="42"/>
        <v/>
      </c>
      <c r="AU51" s="127" t="str">
        <f t="shared" si="42"/>
        <v/>
      </c>
      <c r="AV51" s="127" t="str">
        <f t="shared" si="42"/>
        <v/>
      </c>
      <c r="AW51" s="127" t="str">
        <f t="shared" si="42"/>
        <v/>
      </c>
      <c r="AX51" s="127" t="str">
        <f t="shared" si="40"/>
        <v/>
      </c>
      <c r="AY51" s="127" t="str">
        <f t="shared" si="40"/>
        <v/>
      </c>
      <c r="AZ51" s="127" t="str">
        <f t="shared" si="40"/>
        <v/>
      </c>
      <c r="BA51" s="127" t="str">
        <f t="shared" si="40"/>
        <v/>
      </c>
      <c r="BB51" s="127" t="str">
        <f t="shared" si="40"/>
        <v/>
      </c>
      <c r="BC51" s="127" t="str">
        <f t="shared" si="41"/>
        <v/>
      </c>
      <c r="BD51" s="127" t="str">
        <f t="shared" si="41"/>
        <v/>
      </c>
      <c r="BE51" s="127" t="str">
        <f t="shared" si="41"/>
        <v/>
      </c>
      <c r="BF51" s="127" t="str">
        <f t="shared" si="41"/>
        <v/>
      </c>
      <c r="BG51" s="127" t="str">
        <f t="shared" si="39"/>
        <v/>
      </c>
      <c r="BH51" s="127" t="str">
        <f t="shared" si="39"/>
        <v/>
      </c>
      <c r="BI51" s="127" t="str">
        <f t="shared" si="39"/>
        <v/>
      </c>
      <c r="BJ51" s="127" t="str">
        <f t="shared" si="39"/>
        <v/>
      </c>
      <c r="BK51" s="127" t="str">
        <f t="shared" si="39"/>
        <v/>
      </c>
      <c r="BL51" s="127" t="str">
        <f t="shared" si="39"/>
        <v/>
      </c>
      <c r="BM51" s="127" t="str">
        <f t="shared" si="39"/>
        <v/>
      </c>
      <c r="BN51" s="127" t="str">
        <f t="shared" si="39"/>
        <v/>
      </c>
      <c r="BO51" s="127" t="str">
        <f t="shared" si="39"/>
        <v/>
      </c>
      <c r="BP51" s="127" t="str">
        <f t="shared" si="39"/>
        <v/>
      </c>
      <c r="BQ51" s="127" t="str">
        <f t="shared" si="39"/>
        <v/>
      </c>
      <c r="BR51" s="127" t="str">
        <f t="shared" si="39"/>
        <v/>
      </c>
      <c r="BS51" s="127" t="str">
        <f t="shared" si="39"/>
        <v/>
      </c>
      <c r="BT51" s="127" t="str">
        <f t="shared" si="43"/>
        <v/>
      </c>
      <c r="BU51" s="127" t="str">
        <f t="shared" si="43"/>
        <v/>
      </c>
      <c r="BV51" s="127" t="str">
        <f t="shared" si="43"/>
        <v/>
      </c>
      <c r="BW51" s="127" t="str">
        <f t="shared" si="43"/>
        <v/>
      </c>
      <c r="BX51" s="127" t="str">
        <f t="shared" si="43"/>
        <v/>
      </c>
      <c r="BY51" s="127" t="str">
        <f t="shared" si="43"/>
        <v/>
      </c>
      <c r="BZ51" s="127" t="str">
        <f t="shared" si="43"/>
        <v/>
      </c>
      <c r="CA51" s="127" t="str">
        <f t="shared" si="43"/>
        <v/>
      </c>
      <c r="CB51" s="127" t="str">
        <f t="shared" si="43"/>
        <v/>
      </c>
      <c r="CC51" s="127" t="str">
        <f t="shared" si="43"/>
        <v/>
      </c>
      <c r="CD51" s="127" t="str">
        <f t="shared" si="43"/>
        <v/>
      </c>
      <c r="CE51" s="127" t="str">
        <f t="shared" si="43"/>
        <v/>
      </c>
    </row>
    <row r="52" spans="1:83" ht="12.6" customHeight="1" x14ac:dyDescent="0.2">
      <c r="A52" s="106">
        <f>SHIPMENTS!A58</f>
        <v>9197</v>
      </c>
      <c r="B52" s="106" t="str">
        <f>SHIPMENTS!B58</f>
        <v>19300-USA SUPERIOR SAUNA</v>
      </c>
      <c r="C52" s="132">
        <f>SHIPMENTS!F58</f>
        <v>0</v>
      </c>
      <c r="D52" s="107" t="str">
        <f>IF((SHIPMENTS!I58)=0,"",SHIPMENTS!I58)</f>
        <v/>
      </c>
      <c r="E52" s="176" t="str">
        <f>IF((SHIPMENTS!G58)=0,"",SHIPMENTS!G58)</f>
        <v>TBA</v>
      </c>
      <c r="F52" s="97">
        <f>VLOOKUP(A52,Items!$A$5:$J$1000,2,0)</f>
        <v>28</v>
      </c>
      <c r="G52" s="98">
        <f>VLOOKUP(A52,load!$A$4:$U$5001,11,0)</f>
        <v>151.79866666666663</v>
      </c>
      <c r="H52" s="97">
        <v>9</v>
      </c>
      <c r="I52" s="98">
        <f t="shared" si="51"/>
        <v>81.899999999999991</v>
      </c>
      <c r="J52" s="99">
        <f t="shared" si="52"/>
        <v>1.8534635734635732</v>
      </c>
      <c r="K52" s="99">
        <f t="shared" si="53"/>
        <v>16.866518518518514</v>
      </c>
      <c r="L52" s="98">
        <f t="shared" si="54"/>
        <v>1.8534635734635732</v>
      </c>
      <c r="M52" s="98">
        <f t="shared" si="55"/>
        <v>16.866518518518514</v>
      </c>
      <c r="N52" s="181">
        <f>IF(G52&gt;0,('MP2-DA'!N52+5),O51)</f>
        <v>46334.822062552819</v>
      </c>
      <c r="O52" s="181">
        <f t="shared" si="56"/>
        <v>46336.675526126281</v>
      </c>
      <c r="P52" s="101">
        <f>VLOOKUP(A52,SHIPMENTS!$A$7:$N$171,13,0)</f>
        <v>0</v>
      </c>
      <c r="Q52" s="101"/>
      <c r="R52" s="127" t="str">
        <f t="shared" si="57"/>
        <v/>
      </c>
      <c r="S52" s="127" t="str">
        <f t="shared" si="57"/>
        <v/>
      </c>
      <c r="T52" s="127" t="str">
        <f t="shared" si="57"/>
        <v/>
      </c>
      <c r="U52" s="127" t="str">
        <f t="shared" si="57"/>
        <v/>
      </c>
      <c r="V52" s="127" t="str">
        <f t="shared" si="57"/>
        <v/>
      </c>
      <c r="W52" s="127" t="str">
        <f t="shared" si="57"/>
        <v/>
      </c>
      <c r="X52" s="127" t="str">
        <f t="shared" si="57"/>
        <v/>
      </c>
      <c r="Y52" s="127" t="str">
        <f t="shared" si="57"/>
        <v/>
      </c>
      <c r="Z52" s="127" t="str">
        <f t="shared" si="57"/>
        <v/>
      </c>
      <c r="AA52" s="127" t="str">
        <f t="shared" si="57"/>
        <v/>
      </c>
      <c r="AB52" s="127" t="str">
        <f t="shared" si="57"/>
        <v/>
      </c>
      <c r="AC52" s="127" t="str">
        <f t="shared" si="57"/>
        <v/>
      </c>
      <c r="AD52" s="127" t="str">
        <f t="shared" si="57"/>
        <v/>
      </c>
      <c r="AE52" s="127" t="str">
        <f t="shared" si="57"/>
        <v/>
      </c>
      <c r="AF52" s="127" t="str">
        <f t="shared" si="57"/>
        <v/>
      </c>
      <c r="AG52" s="127" t="str">
        <f t="shared" si="50"/>
        <v/>
      </c>
      <c r="AH52" s="127" t="str">
        <f t="shared" si="42"/>
        <v/>
      </c>
      <c r="AI52" s="127" t="str">
        <f t="shared" si="42"/>
        <v/>
      </c>
      <c r="AJ52" s="127" t="str">
        <f t="shared" si="42"/>
        <v/>
      </c>
      <c r="AK52" s="127" t="str">
        <f t="shared" si="42"/>
        <v/>
      </c>
      <c r="AL52" s="127" t="str">
        <f t="shared" si="42"/>
        <v/>
      </c>
      <c r="AM52" s="127" t="str">
        <f t="shared" si="42"/>
        <v/>
      </c>
      <c r="AN52" s="127" t="str">
        <f t="shared" si="42"/>
        <v/>
      </c>
      <c r="AO52" s="127" t="str">
        <f t="shared" si="42"/>
        <v/>
      </c>
      <c r="AP52" s="127" t="str">
        <f t="shared" si="42"/>
        <v/>
      </c>
      <c r="AQ52" s="127" t="str">
        <f t="shared" si="42"/>
        <v/>
      </c>
      <c r="AR52" s="127" t="str">
        <f t="shared" si="42"/>
        <v/>
      </c>
      <c r="AS52" s="127" t="str">
        <f t="shared" si="42"/>
        <v/>
      </c>
      <c r="AT52" s="127" t="str">
        <f t="shared" si="42"/>
        <v/>
      </c>
      <c r="AU52" s="127" t="str">
        <f t="shared" si="42"/>
        <v/>
      </c>
      <c r="AV52" s="127" t="str">
        <f t="shared" si="42"/>
        <v/>
      </c>
      <c r="AW52" s="127" t="str">
        <f t="shared" si="42"/>
        <v/>
      </c>
      <c r="AX52" s="127" t="str">
        <f t="shared" si="40"/>
        <v/>
      </c>
      <c r="AY52" s="127" t="str">
        <f t="shared" si="40"/>
        <v/>
      </c>
      <c r="AZ52" s="127" t="str">
        <f t="shared" si="40"/>
        <v/>
      </c>
      <c r="BA52" s="127" t="str">
        <f t="shared" si="40"/>
        <v/>
      </c>
      <c r="BB52" s="127" t="str">
        <f t="shared" si="40"/>
        <v/>
      </c>
      <c r="BC52" s="127" t="str">
        <f t="shared" si="41"/>
        <v/>
      </c>
      <c r="BD52" s="127" t="str">
        <f t="shared" si="41"/>
        <v/>
      </c>
      <c r="BE52" s="127" t="str">
        <f t="shared" si="41"/>
        <v/>
      </c>
      <c r="BF52" s="127" t="str">
        <f t="shared" si="41"/>
        <v/>
      </c>
      <c r="BG52" s="127" t="str">
        <f t="shared" si="39"/>
        <v/>
      </c>
      <c r="BH52" s="127" t="str">
        <f t="shared" si="39"/>
        <v/>
      </c>
      <c r="BI52" s="127" t="str">
        <f t="shared" si="39"/>
        <v/>
      </c>
      <c r="BJ52" s="127" t="str">
        <f t="shared" si="39"/>
        <v/>
      </c>
      <c r="BK52" s="127" t="str">
        <f t="shared" si="39"/>
        <v/>
      </c>
      <c r="BL52" s="127" t="str">
        <f t="shared" si="39"/>
        <v/>
      </c>
      <c r="BM52" s="127" t="str">
        <f t="shared" si="39"/>
        <v/>
      </c>
      <c r="BN52" s="127" t="str">
        <f t="shared" si="39"/>
        <v/>
      </c>
      <c r="BO52" s="127" t="str">
        <f t="shared" si="39"/>
        <v/>
      </c>
      <c r="BP52" s="127" t="str">
        <f t="shared" si="39"/>
        <v/>
      </c>
      <c r="BQ52" s="127" t="str">
        <f t="shared" si="39"/>
        <v/>
      </c>
      <c r="BR52" s="127" t="str">
        <f t="shared" si="39"/>
        <v/>
      </c>
      <c r="BS52" s="127" t="str">
        <f t="shared" si="39"/>
        <v/>
      </c>
      <c r="BT52" s="127" t="str">
        <f t="shared" si="43"/>
        <v/>
      </c>
      <c r="BU52" s="127" t="str">
        <f t="shared" si="43"/>
        <v/>
      </c>
      <c r="BV52" s="127" t="str">
        <f t="shared" si="43"/>
        <v/>
      </c>
      <c r="BW52" s="127" t="str">
        <f t="shared" si="43"/>
        <v/>
      </c>
      <c r="BX52" s="127" t="str">
        <f t="shared" si="43"/>
        <v/>
      </c>
      <c r="BY52" s="127" t="str">
        <f t="shared" si="43"/>
        <v/>
      </c>
      <c r="BZ52" s="127" t="str">
        <f t="shared" si="43"/>
        <v/>
      </c>
      <c r="CA52" s="127" t="str">
        <f t="shared" si="43"/>
        <v/>
      </c>
      <c r="CB52" s="127" t="str">
        <f t="shared" si="43"/>
        <v/>
      </c>
      <c r="CC52" s="127" t="str">
        <f t="shared" si="43"/>
        <v/>
      </c>
      <c r="CD52" s="127" t="str">
        <f t="shared" si="43"/>
        <v/>
      </c>
      <c r="CE52" s="127" t="str">
        <f t="shared" si="43"/>
        <v/>
      </c>
    </row>
    <row r="53" spans="1:83" ht="12.6" hidden="1" customHeight="1" x14ac:dyDescent="0.2">
      <c r="A53" s="106">
        <f>SHIPMENTS!A59</f>
        <v>6542</v>
      </c>
      <c r="B53" s="106" t="str">
        <f>SHIPMENTS!B59</f>
        <v>75100-JORDAN
BACKLOG</v>
      </c>
      <c r="C53" s="132">
        <f>SHIPMENTS!F59</f>
        <v>2.9600000000000001E-2</v>
      </c>
      <c r="D53" s="107" t="str">
        <f>IF((SHIPMENTS!I59)=0,"",SHIPMENTS!I59)</f>
        <v/>
      </c>
      <c r="E53" s="176" t="str">
        <f>IF((SHIPMENTS!G59)=0,"",SHIPMENTS!G59)</f>
        <v>TBA</v>
      </c>
      <c r="F53" s="97">
        <f>VLOOKUP(A53,Items!$A$5:$J$1000,2,0)</f>
        <v>0</v>
      </c>
      <c r="G53" s="98">
        <f>VLOOKUP(A53,load!$A$4:$U$5001,11,0)</f>
        <v>0</v>
      </c>
      <c r="H53" s="97">
        <v>9</v>
      </c>
      <c r="I53" s="98">
        <f t="shared" ref="I53" si="58">+H53*$I$4</f>
        <v>81.899999999999991</v>
      </c>
      <c r="J53" s="99">
        <f t="shared" ref="J53" si="59">G53/I53</f>
        <v>0</v>
      </c>
      <c r="K53" s="99">
        <f t="shared" ref="K53" si="60">+J53*$I$4</f>
        <v>0</v>
      </c>
      <c r="L53" s="98">
        <f t="shared" ref="L53" si="61">IFERROR(J53-(J53*P53),0)</f>
        <v>0</v>
      </c>
      <c r="M53" s="98">
        <f t="shared" ref="M53" si="62">IFERROR(K53-(K53*P53),0)</f>
        <v>0</v>
      </c>
      <c r="N53" s="181">
        <f>IF(G53&gt;0,('MP2-DA'!N53+5),O52)</f>
        <v>46336.675526126281</v>
      </c>
      <c r="O53" s="181">
        <f t="shared" ref="O53" si="63">+N53+L53</f>
        <v>46336.675526126281</v>
      </c>
      <c r="P53" s="101" t="str">
        <f>VLOOKUP(A53,SHIPMENTS!$A$7:$N$171,13,0)</f>
        <v>n/a</v>
      </c>
      <c r="Q53" s="101"/>
      <c r="R53" s="127" t="str">
        <f t="shared" si="57"/>
        <v/>
      </c>
      <c r="S53" s="127" t="str">
        <f t="shared" si="57"/>
        <v/>
      </c>
      <c r="T53" s="127" t="str">
        <f t="shared" si="57"/>
        <v/>
      </c>
      <c r="U53" s="127" t="str">
        <f t="shared" si="57"/>
        <v/>
      </c>
      <c r="V53" s="127" t="str">
        <f t="shared" si="57"/>
        <v/>
      </c>
      <c r="W53" s="127" t="str">
        <f t="shared" si="57"/>
        <v/>
      </c>
      <c r="X53" s="127" t="str">
        <f t="shared" si="57"/>
        <v/>
      </c>
      <c r="Y53" s="127" t="str">
        <f t="shared" si="57"/>
        <v/>
      </c>
      <c r="Z53" s="127" t="str">
        <f t="shared" si="57"/>
        <v/>
      </c>
      <c r="AA53" s="127" t="str">
        <f t="shared" si="57"/>
        <v/>
      </c>
      <c r="AB53" s="127" t="str">
        <f t="shared" si="57"/>
        <v/>
      </c>
      <c r="AC53" s="127" t="str">
        <f t="shared" si="57"/>
        <v/>
      </c>
      <c r="AD53" s="127" t="str">
        <f t="shared" si="57"/>
        <v/>
      </c>
      <c r="AE53" s="127" t="str">
        <f t="shared" si="57"/>
        <v/>
      </c>
      <c r="AF53" s="127" t="str">
        <f t="shared" si="57"/>
        <v/>
      </c>
      <c r="AG53" s="127" t="str">
        <f t="shared" si="50"/>
        <v/>
      </c>
      <c r="AH53" s="127" t="str">
        <f t="shared" si="42"/>
        <v/>
      </c>
      <c r="AI53" s="127" t="str">
        <f t="shared" si="42"/>
        <v/>
      </c>
      <c r="AJ53" s="127" t="str">
        <f t="shared" si="42"/>
        <v/>
      </c>
      <c r="AK53" s="127" t="str">
        <f t="shared" si="42"/>
        <v/>
      </c>
      <c r="AL53" s="127" t="str">
        <f t="shared" si="42"/>
        <v/>
      </c>
      <c r="AM53" s="127" t="str">
        <f t="shared" si="42"/>
        <v/>
      </c>
      <c r="AN53" s="127" t="str">
        <f t="shared" si="42"/>
        <v/>
      </c>
      <c r="AO53" s="127" t="str">
        <f t="shared" si="42"/>
        <v/>
      </c>
      <c r="AP53" s="127" t="str">
        <f t="shared" si="42"/>
        <v/>
      </c>
      <c r="AQ53" s="127" t="str">
        <f t="shared" si="42"/>
        <v/>
      </c>
      <c r="AR53" s="127" t="str">
        <f t="shared" si="42"/>
        <v/>
      </c>
      <c r="AS53" s="127" t="str">
        <f t="shared" si="42"/>
        <v/>
      </c>
      <c r="AT53" s="127" t="str">
        <f t="shared" si="42"/>
        <v/>
      </c>
      <c r="AU53" s="127" t="str">
        <f t="shared" si="42"/>
        <v/>
      </c>
      <c r="AV53" s="127" t="str">
        <f t="shared" si="42"/>
        <v/>
      </c>
      <c r="AW53" s="127" t="str">
        <f t="shared" si="42"/>
        <v/>
      </c>
      <c r="AX53" s="127" t="str">
        <f t="shared" si="40"/>
        <v/>
      </c>
      <c r="AY53" s="127" t="str">
        <f t="shared" si="40"/>
        <v/>
      </c>
      <c r="AZ53" s="127" t="str">
        <f t="shared" si="40"/>
        <v/>
      </c>
      <c r="BA53" s="127" t="str">
        <f t="shared" si="40"/>
        <v/>
      </c>
      <c r="BB53" s="127" t="str">
        <f t="shared" si="40"/>
        <v/>
      </c>
      <c r="BC53" s="127" t="str">
        <f t="shared" si="41"/>
        <v/>
      </c>
      <c r="BD53" s="127" t="str">
        <f t="shared" si="41"/>
        <v/>
      </c>
      <c r="BE53" s="127" t="str">
        <f t="shared" si="41"/>
        <v/>
      </c>
      <c r="BF53" s="127" t="str">
        <f t="shared" si="41"/>
        <v/>
      </c>
      <c r="BG53" s="127" t="str">
        <f t="shared" si="39"/>
        <v/>
      </c>
      <c r="BH53" s="127" t="str">
        <f t="shared" si="39"/>
        <v/>
      </c>
      <c r="BI53" s="127" t="str">
        <f t="shared" si="39"/>
        <v/>
      </c>
      <c r="BJ53" s="127" t="str">
        <f t="shared" si="39"/>
        <v/>
      </c>
      <c r="BK53" s="127" t="str">
        <f t="shared" si="39"/>
        <v/>
      </c>
      <c r="BL53" s="127" t="str">
        <f t="shared" si="39"/>
        <v/>
      </c>
      <c r="BM53" s="127" t="str">
        <f t="shared" si="39"/>
        <v/>
      </c>
      <c r="BN53" s="127" t="str">
        <f t="shared" si="39"/>
        <v/>
      </c>
      <c r="BO53" s="127" t="str">
        <f t="shared" si="39"/>
        <v/>
      </c>
      <c r="BP53" s="127" t="str">
        <f t="shared" si="39"/>
        <v/>
      </c>
      <c r="BQ53" s="127" t="str">
        <f t="shared" si="39"/>
        <v/>
      </c>
      <c r="BR53" s="127" t="str">
        <f t="shared" si="39"/>
        <v/>
      </c>
      <c r="BS53" s="127" t="str">
        <f t="shared" si="39"/>
        <v/>
      </c>
      <c r="BT53" s="127" t="str">
        <f t="shared" si="43"/>
        <v/>
      </c>
      <c r="BU53" s="127" t="str">
        <f t="shared" si="43"/>
        <v/>
      </c>
      <c r="BV53" s="127" t="str">
        <f t="shared" si="43"/>
        <v/>
      </c>
      <c r="BW53" s="127" t="str">
        <f t="shared" si="43"/>
        <v/>
      </c>
      <c r="BX53" s="127" t="str">
        <f t="shared" si="43"/>
        <v/>
      </c>
      <c r="BY53" s="127" t="str">
        <f t="shared" si="43"/>
        <v/>
      </c>
      <c r="BZ53" s="127" t="str">
        <f t="shared" si="43"/>
        <v/>
      </c>
      <c r="CA53" s="127" t="str">
        <f t="shared" si="43"/>
        <v/>
      </c>
      <c r="CB53" s="127" t="str">
        <f t="shared" si="43"/>
        <v/>
      </c>
      <c r="CC53" s="127" t="str">
        <f t="shared" si="43"/>
        <v/>
      </c>
      <c r="CD53" s="127" t="str">
        <f t="shared" si="43"/>
        <v/>
      </c>
      <c r="CE53" s="127" t="str">
        <f t="shared" si="43"/>
        <v/>
      </c>
    </row>
  </sheetData>
  <autoFilter ref="A7:BG53" xr:uid="{00000000-0009-0000-0000-00000C000000}">
    <filterColumn colId="15">
      <filters>
        <filter val="0%"/>
        <filter val="100%"/>
      </filters>
    </filterColumn>
  </autoFilter>
  <mergeCells count="16">
    <mergeCell ref="M5:M6"/>
    <mergeCell ref="N5:N6"/>
    <mergeCell ref="O5:O6"/>
    <mergeCell ref="P5:P6"/>
    <mergeCell ref="G5:G6"/>
    <mergeCell ref="H5:H6"/>
    <mergeCell ref="I5:I6"/>
    <mergeCell ref="J5:J6"/>
    <mergeCell ref="K5:K6"/>
    <mergeCell ref="L5:L6"/>
    <mergeCell ref="F5:F6"/>
    <mergeCell ref="A5:A6"/>
    <mergeCell ref="B5:B6"/>
    <mergeCell ref="C5:C6"/>
    <mergeCell ref="D5:D6"/>
    <mergeCell ref="E5:E6"/>
  </mergeCells>
  <conditionalFormatting sqref="O8:O53">
    <cfRule type="cellIs" dxfId="140" priority="1150" operator="greaterThan">
      <formula>E8</formula>
    </cfRule>
  </conditionalFormatting>
  <conditionalFormatting sqref="P1:Q5 P7:Q1048576">
    <cfRule type="cellIs" dxfId="139" priority="192" operator="lessThan">
      <formula>1</formula>
    </cfRule>
    <cfRule type="cellIs" dxfId="138" priority="193" operator="equal">
      <formula>1</formula>
    </cfRule>
  </conditionalFormatting>
  <conditionalFormatting sqref="P8:Q27 P9:P53">
    <cfRule type="dataBar" priority="1608">
      <dataBar>
        <cfvo type="num" val="0"/>
        <cfvo type="num" val="1"/>
        <color rgb="FFFFB628"/>
      </dataBar>
      <extLst>
        <ext xmlns:x14="http://schemas.microsoft.com/office/spreadsheetml/2009/9/main" uri="{B025F937-C7B1-47D3-B67F-A62EFF666E3E}">
          <x14:id>{A7BB4251-EEF6-4232-9598-DCC1E40CF192}</x14:id>
        </ext>
      </extLst>
    </cfRule>
  </conditionalFormatting>
  <conditionalFormatting sqref="P28:Q28">
    <cfRule type="dataBar" priority="1456">
      <dataBar>
        <cfvo type="num" val="0"/>
        <cfvo type="num" val="1"/>
        <color rgb="FFFFB628"/>
      </dataBar>
      <extLst>
        <ext xmlns:x14="http://schemas.microsoft.com/office/spreadsheetml/2009/9/main" uri="{B025F937-C7B1-47D3-B67F-A62EFF666E3E}">
          <x14:id>{9773C8E5-C44A-421E-9855-44CE6E72F0E4}</x14:id>
        </ext>
      </extLst>
    </cfRule>
  </conditionalFormatting>
  <conditionalFormatting sqref="P29:Q32">
    <cfRule type="dataBar" priority="1452">
      <dataBar>
        <cfvo type="num" val="0"/>
        <cfvo type="num" val="1"/>
        <color rgb="FFFFB628"/>
      </dataBar>
      <extLst>
        <ext xmlns:x14="http://schemas.microsoft.com/office/spreadsheetml/2009/9/main" uri="{B025F937-C7B1-47D3-B67F-A62EFF666E3E}">
          <x14:id>{7394CDAC-8FCA-451C-9D22-EDD3D01A0BC7}</x14:id>
        </ext>
      </extLst>
    </cfRule>
  </conditionalFormatting>
  <conditionalFormatting sqref="P33:Q44">
    <cfRule type="dataBar" priority="188">
      <dataBar>
        <cfvo type="num" val="0"/>
        <cfvo type="num" val="1"/>
        <color rgb="FFFFB628"/>
      </dataBar>
      <extLst>
        <ext xmlns:x14="http://schemas.microsoft.com/office/spreadsheetml/2009/9/main" uri="{B025F937-C7B1-47D3-B67F-A62EFF666E3E}">
          <x14:id>{38F90FE1-992C-416F-83A8-1170618F1D15}</x14:id>
        </ext>
      </extLst>
    </cfRule>
  </conditionalFormatting>
  <conditionalFormatting sqref="P45:Q45">
    <cfRule type="dataBar" priority="166">
      <dataBar>
        <cfvo type="num" val="0"/>
        <cfvo type="num" val="1"/>
        <color rgb="FFFFB628"/>
      </dataBar>
      <extLst>
        <ext xmlns:x14="http://schemas.microsoft.com/office/spreadsheetml/2009/9/main" uri="{B025F937-C7B1-47D3-B67F-A62EFF666E3E}">
          <x14:id>{9F8E8360-F4BE-4E0B-87B7-EF4E406D8DD4}</x14:id>
        </ext>
      </extLst>
    </cfRule>
  </conditionalFormatting>
  <conditionalFormatting sqref="P46:Q52">
    <cfRule type="dataBar" priority="145">
      <dataBar>
        <cfvo type="num" val="0"/>
        <cfvo type="num" val="1"/>
        <color rgb="FFFFB628"/>
      </dataBar>
      <extLst>
        <ext xmlns:x14="http://schemas.microsoft.com/office/spreadsheetml/2009/9/main" uri="{B025F937-C7B1-47D3-B67F-A62EFF666E3E}">
          <x14:id>{AEDC1B6B-6942-433B-8C4E-BE1B444B5741}</x14:id>
        </ext>
      </extLst>
    </cfRule>
  </conditionalFormatting>
  <conditionalFormatting sqref="P53:Q53">
    <cfRule type="dataBar" priority="19">
      <dataBar>
        <cfvo type="num" val="0"/>
        <cfvo type="num" val="1"/>
        <color rgb="FFFFB628"/>
      </dataBar>
      <extLst>
        <ext xmlns:x14="http://schemas.microsoft.com/office/spreadsheetml/2009/9/main" uri="{B025F937-C7B1-47D3-B67F-A62EFF666E3E}">
          <x14:id>{DBD2C4CC-72C2-426E-B232-C95FD8437163}</x14:id>
        </ext>
      </extLst>
    </cfRule>
  </conditionalFormatting>
  <conditionalFormatting sqref="R8:BF27">
    <cfRule type="cellIs" dxfId="137" priority="1528" operator="equal">
      <formula>1</formula>
    </cfRule>
    <cfRule type="cellIs" dxfId="136" priority="1527" operator="equal">
      <formula>1</formula>
    </cfRule>
  </conditionalFormatting>
  <conditionalFormatting sqref="R28:BF28">
    <cfRule type="cellIs" dxfId="135" priority="1455" operator="equal">
      <formula>1</formula>
    </cfRule>
  </conditionalFormatting>
  <conditionalFormatting sqref="R28:BF53">
    <cfRule type="cellIs" dxfId="134" priority="8" operator="equal">
      <formula>1</formula>
    </cfRule>
  </conditionalFormatting>
  <conditionalFormatting sqref="R29:BF53">
    <cfRule type="cellIs" dxfId="133" priority="9" operator="equal">
      <formula>1</formula>
    </cfRule>
  </conditionalFormatting>
  <conditionalFormatting sqref="R8:BG27 R29:CE32 R46:CE52">
    <cfRule type="expression" dxfId="132" priority="1482">
      <formula>IF(AND($N8&lt;=R$3,$O8&gt;=R$3),1,"")</formula>
    </cfRule>
  </conditionalFormatting>
  <conditionalFormatting sqref="R1:CE1">
    <cfRule type="cellIs" dxfId="131" priority="1183" operator="notEqual">
      <formula>0</formula>
    </cfRule>
  </conditionalFormatting>
  <conditionalFormatting sqref="R28:CE28">
    <cfRule type="expression" dxfId="130" priority="1453">
      <formula>IF(AND($N28&lt;=R$3,$O28&gt;=R$3),1,"")</formula>
    </cfRule>
  </conditionalFormatting>
  <conditionalFormatting sqref="R33:CE44">
    <cfRule type="expression" dxfId="129" priority="190">
      <formula>IF(AND($N33&lt;=R$3,$O33&gt;=R$3),1,"")</formula>
    </cfRule>
  </conditionalFormatting>
  <conditionalFormatting sqref="R45:CE45">
    <cfRule type="expression" dxfId="128" priority="168">
      <formula>IF(AND($N45&lt;=R$3,$O45&gt;=R$3),1,"")</formula>
    </cfRule>
  </conditionalFormatting>
  <conditionalFormatting sqref="R53:CE53">
    <cfRule type="expression" dxfId="127" priority="21">
      <formula>IF(AND($N53&lt;=R$3,$O53&gt;=R$3),1,"")</formula>
    </cfRule>
  </conditionalFormatting>
  <conditionalFormatting sqref="AW8:BF32">
    <cfRule type="cellIs" dxfId="126" priority="1488" operator="equal">
      <formula>1</formula>
    </cfRule>
  </conditionalFormatting>
  <conditionalFormatting sqref="AW33:BF44">
    <cfRule type="cellIs" dxfId="125" priority="191" operator="equal">
      <formula>1</formula>
    </cfRule>
  </conditionalFormatting>
  <conditionalFormatting sqref="AW45:BF45">
    <cfRule type="cellIs" dxfId="124" priority="169" operator="equal">
      <formula>1</formula>
    </cfRule>
  </conditionalFormatting>
  <conditionalFormatting sqref="AW46:BF52">
    <cfRule type="cellIs" dxfId="123" priority="147" operator="equal">
      <formula>1</formula>
    </cfRule>
  </conditionalFormatting>
  <conditionalFormatting sqref="AW53:BF53">
    <cfRule type="cellIs" dxfId="122" priority="20" operator="equal">
      <formula>1</formula>
    </cfRule>
  </conditionalFormatting>
  <conditionalFormatting sqref="AW8:BG32">
    <cfRule type="cellIs" dxfId="121" priority="1464" operator="equal">
      <formula>1</formula>
    </cfRule>
  </conditionalFormatting>
  <conditionalFormatting sqref="AW33:BM44">
    <cfRule type="cellIs" dxfId="120" priority="186" operator="equal">
      <formula>1</formula>
    </cfRule>
  </conditionalFormatting>
  <conditionalFormatting sqref="AW45:BM45">
    <cfRule type="cellIs" dxfId="119" priority="164" operator="equal">
      <formula>1</formula>
    </cfRule>
  </conditionalFormatting>
  <conditionalFormatting sqref="AW46:BM52">
    <cfRule type="cellIs" dxfId="118" priority="143" operator="equal">
      <formula>1</formula>
    </cfRule>
  </conditionalFormatting>
  <conditionalFormatting sqref="AW53:BM53">
    <cfRule type="cellIs" dxfId="117" priority="17" operator="equal">
      <formula>1</formula>
    </cfRule>
  </conditionalFormatting>
  <conditionalFormatting sqref="BG8:BG53">
    <cfRule type="cellIs" dxfId="116" priority="1465" operator="equal">
      <formula>1</formula>
    </cfRule>
    <cfRule type="cellIs" dxfId="115" priority="1461" operator="equal">
      <formula>1</formula>
    </cfRule>
  </conditionalFormatting>
  <conditionalFormatting sqref="BG8:BM32">
    <cfRule type="cellIs" dxfId="114" priority="1434" operator="equal">
      <formula>1</formula>
    </cfRule>
  </conditionalFormatting>
  <conditionalFormatting sqref="BH8:BL27">
    <cfRule type="cellIs" dxfId="113" priority="1448" operator="equal">
      <formula>1</formula>
    </cfRule>
    <cfRule type="cellIs" dxfId="112" priority="1447" operator="equal">
      <formula>1</formula>
    </cfRule>
  </conditionalFormatting>
  <conditionalFormatting sqref="BH8:BL32">
    <cfRule type="cellIs" dxfId="111" priority="1438" operator="equal">
      <formula>1</formula>
    </cfRule>
  </conditionalFormatting>
  <conditionalFormatting sqref="BH28:BL44">
    <cfRule type="cellIs" dxfId="110" priority="187" operator="equal">
      <formula>1</formula>
    </cfRule>
  </conditionalFormatting>
  <conditionalFormatting sqref="BH28:BL53">
    <cfRule type="cellIs" dxfId="109" priority="7" operator="equal">
      <formula>1</formula>
    </cfRule>
  </conditionalFormatting>
  <conditionalFormatting sqref="BH33:BL45">
    <cfRule type="cellIs" dxfId="108" priority="165" operator="equal">
      <formula>1</formula>
    </cfRule>
  </conditionalFormatting>
  <conditionalFormatting sqref="BH45:BL52">
    <cfRule type="cellIs" dxfId="107" priority="144" operator="equal">
      <formula>1</formula>
    </cfRule>
  </conditionalFormatting>
  <conditionalFormatting sqref="BH46:BL53">
    <cfRule type="cellIs" dxfId="106" priority="18" operator="equal">
      <formula>1</formula>
    </cfRule>
  </conditionalFormatting>
  <conditionalFormatting sqref="BH8:BM27">
    <cfRule type="expression" dxfId="105" priority="1436">
      <formula>IF(AND($N8&lt;=BH$3,$O8&gt;=BH$3),1,"")</formula>
    </cfRule>
  </conditionalFormatting>
  <conditionalFormatting sqref="BH53:BR53">
    <cfRule type="cellIs" dxfId="104" priority="15" operator="equal">
      <formula>1</formula>
    </cfRule>
  </conditionalFormatting>
  <conditionalFormatting sqref="BM8:BM53">
    <cfRule type="cellIs" dxfId="103" priority="1435" operator="equal">
      <formula>1</formula>
    </cfRule>
  </conditionalFormatting>
  <conditionalFormatting sqref="BM8:BR32">
    <cfRule type="cellIs" dxfId="102" priority="1416" operator="equal">
      <formula>1</formula>
    </cfRule>
  </conditionalFormatting>
  <conditionalFormatting sqref="BM33:BR52">
    <cfRule type="cellIs" dxfId="101" priority="37" operator="equal">
      <formula>1</formula>
    </cfRule>
  </conditionalFormatting>
  <conditionalFormatting sqref="BM8:BS32">
    <cfRule type="cellIs" dxfId="100" priority="1412" operator="equal">
      <formula>1</formula>
    </cfRule>
  </conditionalFormatting>
  <conditionalFormatting sqref="BM33:BS53">
    <cfRule type="cellIs" dxfId="99" priority="14" operator="equal">
      <formula>1</formula>
    </cfRule>
  </conditionalFormatting>
  <conditionalFormatting sqref="BN8:BR27">
    <cfRule type="cellIs" dxfId="98" priority="1426" operator="equal">
      <formula>1</formula>
    </cfRule>
    <cfRule type="cellIs" dxfId="97" priority="1425" operator="equal">
      <formula>1</formula>
    </cfRule>
  </conditionalFormatting>
  <conditionalFormatting sqref="BN28:BR53">
    <cfRule type="cellIs" dxfId="96" priority="5" operator="equal">
      <formula>1</formula>
    </cfRule>
    <cfRule type="cellIs" dxfId="95" priority="6" operator="equal">
      <formula>1</formula>
    </cfRule>
  </conditionalFormatting>
  <conditionalFormatting sqref="BN8:BS27">
    <cfRule type="expression" dxfId="94" priority="1414">
      <formula>IF(AND($N8&lt;=BN$3,$O8&gt;=BN$3),1,"")</formula>
    </cfRule>
  </conditionalFormatting>
  <conditionalFormatting sqref="BS8:BS53">
    <cfRule type="cellIs" dxfId="93" priority="1413" operator="equal">
      <formula>1</formula>
    </cfRule>
  </conditionalFormatting>
  <conditionalFormatting sqref="BS8:BX32">
    <cfRule type="cellIs" dxfId="92" priority="1394" operator="equal">
      <formula>1</formula>
    </cfRule>
  </conditionalFormatting>
  <conditionalFormatting sqref="BS33:BX53">
    <cfRule type="cellIs" dxfId="91" priority="13" operator="equal">
      <formula>1</formula>
    </cfRule>
  </conditionalFormatting>
  <conditionalFormatting sqref="BS8:BY32">
    <cfRule type="cellIs" dxfId="90" priority="1390" operator="equal">
      <formula>1</formula>
    </cfRule>
  </conditionalFormatting>
  <conditionalFormatting sqref="BS33:BY53">
    <cfRule type="cellIs" dxfId="89" priority="12" operator="equal">
      <formula>1</formula>
    </cfRule>
  </conditionalFormatting>
  <conditionalFormatting sqref="BT8:BX27">
    <cfRule type="cellIs" dxfId="88" priority="1404" operator="equal">
      <formula>1</formula>
    </cfRule>
    <cfRule type="cellIs" dxfId="87" priority="1403" operator="equal">
      <formula>1</formula>
    </cfRule>
  </conditionalFormatting>
  <conditionalFormatting sqref="BT28:BX53">
    <cfRule type="cellIs" dxfId="86" priority="3" operator="equal">
      <formula>1</formula>
    </cfRule>
    <cfRule type="cellIs" dxfId="85" priority="4" operator="equal">
      <formula>1</formula>
    </cfRule>
  </conditionalFormatting>
  <conditionalFormatting sqref="BT8:BY27">
    <cfRule type="expression" dxfId="84" priority="1392">
      <formula>IF(AND($N8&lt;=BT$3,$O8&gt;=BT$3),1,"")</formula>
    </cfRule>
  </conditionalFormatting>
  <conditionalFormatting sqref="BY8:BY53">
    <cfRule type="cellIs" dxfId="83" priority="1391" operator="equal">
      <formula>1</formula>
    </cfRule>
  </conditionalFormatting>
  <conditionalFormatting sqref="BY8:CD32">
    <cfRule type="cellIs" dxfId="82" priority="1372" operator="equal">
      <formula>1</formula>
    </cfRule>
  </conditionalFormatting>
  <conditionalFormatting sqref="BY33:CD53">
    <cfRule type="cellIs" dxfId="81" priority="11" operator="equal">
      <formula>1</formula>
    </cfRule>
  </conditionalFormatting>
  <conditionalFormatting sqref="BY8:CE32">
    <cfRule type="cellIs" dxfId="80" priority="1368" operator="equal">
      <formula>1</formula>
    </cfRule>
  </conditionalFormatting>
  <conditionalFormatting sqref="BY33:CE53">
    <cfRule type="cellIs" dxfId="79" priority="10" operator="equal">
      <formula>1</formula>
    </cfRule>
  </conditionalFormatting>
  <conditionalFormatting sqref="BZ8:CD27">
    <cfRule type="cellIs" dxfId="78" priority="1382" operator="equal">
      <formula>1</formula>
    </cfRule>
    <cfRule type="cellIs" dxfId="77" priority="1381" operator="equal">
      <formula>1</formula>
    </cfRule>
  </conditionalFormatting>
  <conditionalFormatting sqref="BZ28:CD53">
    <cfRule type="cellIs" dxfId="76" priority="1" operator="equal">
      <formula>1</formula>
    </cfRule>
    <cfRule type="cellIs" dxfId="75" priority="2" operator="equal">
      <formula>1</formula>
    </cfRule>
  </conditionalFormatting>
  <conditionalFormatting sqref="BZ8:CE27">
    <cfRule type="expression" dxfId="74" priority="1370">
      <formula>IF(AND($N8&lt;=BZ$3,$O8&gt;=BZ$3),1,"")</formula>
    </cfRule>
  </conditionalFormatting>
  <conditionalFormatting sqref="CE8:CE53">
    <cfRule type="cellIs" dxfId="73" priority="1367" operator="equal">
      <formula>1</formula>
    </cfRule>
    <cfRule type="cellIs" dxfId="72" priority="1366" operator="equal">
      <formula>1</formula>
    </cfRule>
    <cfRule type="cellIs" dxfId="71" priority="1369" operator="equal">
      <formula>1</formula>
    </cfRule>
  </conditionalFormatting>
  <pageMargins left="0.7" right="0.7" top="0.75" bottom="0.75" header="0.3" footer="0.3"/>
  <pageSetup paperSize="9" orientation="portrait" horizontalDpi="0" verticalDpi="0" r:id="rId1"/>
  <extLst>
    <ext xmlns:x14="http://schemas.microsoft.com/office/spreadsheetml/2009/9/main" uri="{78C0D931-6437-407d-A8EE-F0AAD7539E65}">
      <x14:conditionalFormattings>
        <x14:conditionalFormatting xmlns:xm="http://schemas.microsoft.com/office/excel/2006/main">
          <x14:cfRule type="dataBar" id="{A7BB4251-EEF6-4232-9598-DCC1E40CF192}">
            <x14:dataBar minLength="0" maxLength="100" gradient="0">
              <x14:cfvo type="num">
                <xm:f>0</xm:f>
              </x14:cfvo>
              <x14:cfvo type="num">
                <xm:f>1</xm:f>
              </x14:cfvo>
              <x14:negativeFillColor rgb="FFFF0000"/>
              <x14:axisColor rgb="FF000000"/>
            </x14:dataBar>
          </x14:cfRule>
          <xm:sqref>P8:Q27 P9:P53</xm:sqref>
        </x14:conditionalFormatting>
        <x14:conditionalFormatting xmlns:xm="http://schemas.microsoft.com/office/excel/2006/main">
          <x14:cfRule type="dataBar" id="{9773C8E5-C44A-421E-9855-44CE6E72F0E4}">
            <x14:dataBar minLength="0" maxLength="100" gradient="0">
              <x14:cfvo type="num">
                <xm:f>0</xm:f>
              </x14:cfvo>
              <x14:cfvo type="num">
                <xm:f>1</xm:f>
              </x14:cfvo>
              <x14:negativeFillColor rgb="FFFF0000"/>
              <x14:axisColor rgb="FF000000"/>
            </x14:dataBar>
          </x14:cfRule>
          <xm:sqref>P28:Q28</xm:sqref>
        </x14:conditionalFormatting>
        <x14:conditionalFormatting xmlns:xm="http://schemas.microsoft.com/office/excel/2006/main">
          <x14:cfRule type="dataBar" id="{7394CDAC-8FCA-451C-9D22-EDD3D01A0BC7}">
            <x14:dataBar minLength="0" maxLength="100" gradient="0">
              <x14:cfvo type="num">
                <xm:f>0</xm:f>
              </x14:cfvo>
              <x14:cfvo type="num">
                <xm:f>1</xm:f>
              </x14:cfvo>
              <x14:negativeFillColor rgb="FFFF0000"/>
              <x14:axisColor rgb="FF000000"/>
            </x14:dataBar>
          </x14:cfRule>
          <xm:sqref>P29:Q32</xm:sqref>
        </x14:conditionalFormatting>
        <x14:conditionalFormatting xmlns:xm="http://schemas.microsoft.com/office/excel/2006/main">
          <x14:cfRule type="dataBar" id="{38F90FE1-992C-416F-83A8-1170618F1D15}">
            <x14:dataBar minLength="0" maxLength="100" gradient="0">
              <x14:cfvo type="num">
                <xm:f>0</xm:f>
              </x14:cfvo>
              <x14:cfvo type="num">
                <xm:f>1</xm:f>
              </x14:cfvo>
              <x14:negativeFillColor rgb="FFFF0000"/>
              <x14:axisColor rgb="FF000000"/>
            </x14:dataBar>
          </x14:cfRule>
          <xm:sqref>P33:Q44</xm:sqref>
        </x14:conditionalFormatting>
        <x14:conditionalFormatting xmlns:xm="http://schemas.microsoft.com/office/excel/2006/main">
          <x14:cfRule type="dataBar" id="{9F8E8360-F4BE-4E0B-87B7-EF4E406D8DD4}">
            <x14:dataBar minLength="0" maxLength="100" gradient="0">
              <x14:cfvo type="num">
                <xm:f>0</xm:f>
              </x14:cfvo>
              <x14:cfvo type="num">
                <xm:f>1</xm:f>
              </x14:cfvo>
              <x14:negativeFillColor rgb="FFFF0000"/>
              <x14:axisColor rgb="FF000000"/>
            </x14:dataBar>
          </x14:cfRule>
          <xm:sqref>P45:Q45</xm:sqref>
        </x14:conditionalFormatting>
        <x14:conditionalFormatting xmlns:xm="http://schemas.microsoft.com/office/excel/2006/main">
          <x14:cfRule type="dataBar" id="{AEDC1B6B-6942-433B-8C4E-BE1B444B5741}">
            <x14:dataBar minLength="0" maxLength="100" gradient="0">
              <x14:cfvo type="num">
                <xm:f>0</xm:f>
              </x14:cfvo>
              <x14:cfvo type="num">
                <xm:f>1</xm:f>
              </x14:cfvo>
              <x14:negativeFillColor rgb="FFFF0000"/>
              <x14:axisColor rgb="FF000000"/>
            </x14:dataBar>
          </x14:cfRule>
          <xm:sqref>P46:Q52</xm:sqref>
        </x14:conditionalFormatting>
        <x14:conditionalFormatting xmlns:xm="http://schemas.microsoft.com/office/excel/2006/main">
          <x14:cfRule type="dataBar" id="{DBD2C4CC-72C2-426E-B232-C95FD8437163}">
            <x14:dataBar minLength="0" maxLength="100" gradient="0">
              <x14:cfvo type="num">
                <xm:f>0</xm:f>
              </x14:cfvo>
              <x14:cfvo type="num">
                <xm:f>1</xm:f>
              </x14:cfvo>
              <x14:negativeFillColor rgb="FFFF0000"/>
              <x14:axisColor rgb="FF000000"/>
            </x14:dataBar>
          </x14:cfRule>
          <xm:sqref>P53:Q53</xm:sqref>
        </x14:conditionalFormatting>
      </x14:conditionalFormatting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22"/>
  <dimension ref="A1:CF69"/>
  <sheetViews>
    <sheetView showGridLines="0" zoomScale="120" zoomScaleNormal="120" workbookViewId="0">
      <pane xSplit="7" ySplit="5" topLeftCell="H6" activePane="bottomRight" state="frozen"/>
      <selection activeCell="H8" sqref="H8"/>
      <selection pane="topRight" activeCell="H8" sqref="H8"/>
      <selection pane="bottomLeft" activeCell="H8" sqref="H8"/>
      <selection pane="bottomRight" activeCell="J11" sqref="J11"/>
    </sheetView>
  </sheetViews>
  <sheetFormatPr defaultColWidth="9.28515625" defaultRowHeight="12.75" outlineLevelCol="1" x14ac:dyDescent="0.2"/>
  <cols>
    <col min="1" max="1" width="13.7109375" style="71" customWidth="1"/>
    <col min="2" max="2" width="12" style="75" customWidth="1"/>
    <col min="3" max="3" width="6.28515625" style="75" customWidth="1"/>
    <col min="4" max="4" width="7.7109375" style="75" hidden="1" customWidth="1"/>
    <col min="5" max="5" width="6.7109375" style="136" customWidth="1"/>
    <col min="6" max="6" width="6.28515625" style="71" customWidth="1"/>
    <col min="7" max="7" width="15.28515625" style="71" customWidth="1"/>
    <col min="8" max="8" width="11.5703125" style="74" customWidth="1" outlineLevel="1"/>
    <col min="9" max="9" width="11.7109375" style="75" customWidth="1" outlineLevel="1"/>
    <col min="10" max="10" width="11.28515625" style="74" customWidth="1" outlineLevel="1"/>
    <col min="11" max="11" width="8.7109375" style="76" customWidth="1" outlineLevel="1"/>
    <col min="12" max="12" width="7.7109375" style="76" customWidth="1" outlineLevel="1"/>
    <col min="13" max="14" width="9" style="76" customWidth="1" outlineLevel="1"/>
    <col min="15" max="15" width="7.42578125" style="77" customWidth="1" outlineLevel="1"/>
    <col min="16" max="16" width="8.28515625" style="77" customWidth="1" outlineLevel="1"/>
    <col min="17" max="17" width="11.28515625" style="78" customWidth="1"/>
    <col min="18" max="18" width="11.28515625" style="78" hidden="1" customWidth="1"/>
    <col min="19" max="33" width="6.5703125" style="71" bestFit="1" customWidth="1"/>
    <col min="34" max="84" width="7.28515625" style="71" bestFit="1" customWidth="1"/>
    <col min="85" max="16384" width="9.28515625" style="71"/>
  </cols>
  <sheetData>
    <row r="1" spans="1:84" x14ac:dyDescent="0.2">
      <c r="T1" s="71" t="s">
        <v>46</v>
      </c>
    </row>
    <row r="2" spans="1:84" x14ac:dyDescent="0.2">
      <c r="A2" s="103" t="s">
        <v>67</v>
      </c>
      <c r="B2" s="71"/>
      <c r="C2" s="71"/>
      <c r="E2" s="73"/>
      <c r="S2" s="105" t="s">
        <v>152</v>
      </c>
      <c r="T2" s="105" t="s">
        <v>108</v>
      </c>
      <c r="U2" s="105" t="s">
        <v>108</v>
      </c>
      <c r="V2" s="105" t="s">
        <v>108</v>
      </c>
      <c r="W2" s="105" t="s">
        <v>108</v>
      </c>
      <c r="X2" s="105" t="s">
        <v>104</v>
      </c>
      <c r="Y2" s="105" t="s">
        <v>105</v>
      </c>
      <c r="Z2" s="105" t="s">
        <v>152</v>
      </c>
      <c r="AA2" s="105" t="s">
        <v>108</v>
      </c>
      <c r="AB2" s="105" t="s">
        <v>108</v>
      </c>
      <c r="AC2" s="105" t="s">
        <v>108</v>
      </c>
      <c r="AD2" s="105" t="s">
        <v>108</v>
      </c>
      <c r="AE2" s="105" t="s">
        <v>104</v>
      </c>
      <c r="AF2" s="105" t="s">
        <v>105</v>
      </c>
      <c r="AG2" s="105" t="s">
        <v>152</v>
      </c>
      <c r="AH2" s="105" t="s">
        <v>108</v>
      </c>
      <c r="AI2" s="105" t="s">
        <v>108</v>
      </c>
      <c r="AJ2" s="105" t="s">
        <v>108</v>
      </c>
      <c r="AK2" s="105" t="s">
        <v>108</v>
      </c>
      <c r="AL2" s="105" t="s">
        <v>104</v>
      </c>
      <c r="AM2" s="105" t="s">
        <v>105</v>
      </c>
      <c r="AN2" s="105" t="s">
        <v>152</v>
      </c>
      <c r="AO2" s="105" t="s">
        <v>108</v>
      </c>
      <c r="AP2" s="105" t="s">
        <v>108</v>
      </c>
      <c r="AQ2" s="105" t="s">
        <v>108</v>
      </c>
      <c r="AR2" s="105" t="s">
        <v>108</v>
      </c>
      <c r="AS2" s="105" t="s">
        <v>104</v>
      </c>
      <c r="AT2" s="105" t="s">
        <v>105</v>
      </c>
      <c r="AU2" s="105" t="s">
        <v>152</v>
      </c>
      <c r="AV2" s="105" t="s">
        <v>108</v>
      </c>
      <c r="AW2" s="105" t="s">
        <v>108</v>
      </c>
      <c r="AX2" s="105" t="s">
        <v>108</v>
      </c>
      <c r="AY2" s="105" t="s">
        <v>108</v>
      </c>
      <c r="AZ2" s="105" t="s">
        <v>104</v>
      </c>
      <c r="BA2" s="105" t="s">
        <v>105</v>
      </c>
      <c r="BB2" s="105" t="s">
        <v>152</v>
      </c>
      <c r="BC2" s="105" t="s">
        <v>108</v>
      </c>
      <c r="BD2" s="105" t="s">
        <v>108</v>
      </c>
      <c r="BE2" s="105" t="s">
        <v>108</v>
      </c>
      <c r="BF2" s="105" t="s">
        <v>108</v>
      </c>
      <c r="BG2" s="105" t="s">
        <v>104</v>
      </c>
      <c r="BH2" s="105" t="s">
        <v>105</v>
      </c>
      <c r="BI2" s="105" t="s">
        <v>152</v>
      </c>
      <c r="BJ2" s="105" t="s">
        <v>108</v>
      </c>
      <c r="BK2" s="105" t="s">
        <v>108</v>
      </c>
      <c r="BL2" s="105" t="s">
        <v>108</v>
      </c>
      <c r="BM2" s="105" t="s">
        <v>108</v>
      </c>
      <c r="BN2" s="105" t="s">
        <v>104</v>
      </c>
      <c r="BO2" s="105" t="s">
        <v>105</v>
      </c>
      <c r="BP2" s="105" t="s">
        <v>152</v>
      </c>
      <c r="BQ2" s="105" t="s">
        <v>108</v>
      </c>
      <c r="BR2" s="105" t="s">
        <v>108</v>
      </c>
      <c r="BS2" s="105" t="s">
        <v>108</v>
      </c>
      <c r="BT2" s="105" t="s">
        <v>108</v>
      </c>
      <c r="BU2" s="105" t="s">
        <v>104</v>
      </c>
      <c r="BV2" s="105" t="s">
        <v>105</v>
      </c>
      <c r="BW2" s="105" t="s">
        <v>152</v>
      </c>
      <c r="BX2" s="105" t="s">
        <v>108</v>
      </c>
      <c r="BY2" s="105" t="s">
        <v>108</v>
      </c>
      <c r="BZ2" s="105" t="s">
        <v>108</v>
      </c>
      <c r="CA2" s="105" t="s">
        <v>108</v>
      </c>
      <c r="CB2" s="105" t="s">
        <v>104</v>
      </c>
      <c r="CC2" s="105" t="s">
        <v>105</v>
      </c>
      <c r="CD2" s="105" t="s">
        <v>152</v>
      </c>
      <c r="CE2" s="105" t="s">
        <v>108</v>
      </c>
      <c r="CF2" s="105" t="s">
        <v>108</v>
      </c>
    </row>
    <row r="3" spans="1:84" s="80" customFormat="1" x14ac:dyDescent="0.2">
      <c r="A3" s="79"/>
      <c r="B3" s="71" t="s">
        <v>109</v>
      </c>
      <c r="C3" s="75" t="s">
        <v>110</v>
      </c>
      <c r="E3" s="73" t="s">
        <v>90</v>
      </c>
      <c r="Q3" s="81"/>
      <c r="R3" s="81"/>
      <c r="S3" s="82">
        <f>O4</f>
        <v>45795</v>
      </c>
      <c r="T3" s="82">
        <f>+S3+1</f>
        <v>45796</v>
      </c>
      <c r="U3" s="82">
        <f t="shared" ref="U3:CF3" si="0">+T3+1</f>
        <v>45797</v>
      </c>
      <c r="V3" s="82">
        <f t="shared" si="0"/>
        <v>45798</v>
      </c>
      <c r="W3" s="82">
        <f t="shared" si="0"/>
        <v>45799</v>
      </c>
      <c r="X3" s="82">
        <f t="shared" si="0"/>
        <v>45800</v>
      </c>
      <c r="Y3" s="82">
        <f t="shared" si="0"/>
        <v>45801</v>
      </c>
      <c r="Z3" s="82">
        <f t="shared" si="0"/>
        <v>45802</v>
      </c>
      <c r="AA3" s="82">
        <f t="shared" si="0"/>
        <v>45803</v>
      </c>
      <c r="AB3" s="82">
        <f t="shared" si="0"/>
        <v>45804</v>
      </c>
      <c r="AC3" s="82">
        <f t="shared" si="0"/>
        <v>45805</v>
      </c>
      <c r="AD3" s="82">
        <f t="shared" si="0"/>
        <v>45806</v>
      </c>
      <c r="AE3" s="82">
        <f t="shared" si="0"/>
        <v>45807</v>
      </c>
      <c r="AF3" s="82">
        <f t="shared" si="0"/>
        <v>45808</v>
      </c>
      <c r="AG3" s="82">
        <f t="shared" si="0"/>
        <v>45809</v>
      </c>
      <c r="AH3" s="82">
        <f t="shared" si="0"/>
        <v>45810</v>
      </c>
      <c r="AI3" s="82">
        <f t="shared" si="0"/>
        <v>45811</v>
      </c>
      <c r="AJ3" s="82">
        <f t="shared" si="0"/>
        <v>45812</v>
      </c>
      <c r="AK3" s="82">
        <f t="shared" si="0"/>
        <v>45813</v>
      </c>
      <c r="AL3" s="82">
        <f t="shared" si="0"/>
        <v>45814</v>
      </c>
      <c r="AM3" s="82">
        <f t="shared" si="0"/>
        <v>45815</v>
      </c>
      <c r="AN3" s="82">
        <f t="shared" si="0"/>
        <v>45816</v>
      </c>
      <c r="AO3" s="82">
        <f t="shared" si="0"/>
        <v>45817</v>
      </c>
      <c r="AP3" s="82">
        <f t="shared" si="0"/>
        <v>45818</v>
      </c>
      <c r="AQ3" s="82">
        <f t="shared" si="0"/>
        <v>45819</v>
      </c>
      <c r="AR3" s="82">
        <f t="shared" si="0"/>
        <v>45820</v>
      </c>
      <c r="AS3" s="82">
        <f t="shared" si="0"/>
        <v>45821</v>
      </c>
      <c r="AT3" s="82">
        <f t="shared" si="0"/>
        <v>45822</v>
      </c>
      <c r="AU3" s="82">
        <f t="shared" si="0"/>
        <v>45823</v>
      </c>
      <c r="AV3" s="82">
        <f t="shared" si="0"/>
        <v>45824</v>
      </c>
      <c r="AW3" s="82">
        <f t="shared" si="0"/>
        <v>45825</v>
      </c>
      <c r="AX3" s="82">
        <f t="shared" si="0"/>
        <v>45826</v>
      </c>
      <c r="AY3" s="82">
        <f t="shared" si="0"/>
        <v>45827</v>
      </c>
      <c r="AZ3" s="82">
        <f t="shared" si="0"/>
        <v>45828</v>
      </c>
      <c r="BA3" s="82">
        <f t="shared" si="0"/>
        <v>45829</v>
      </c>
      <c r="BB3" s="82">
        <f t="shared" si="0"/>
        <v>45830</v>
      </c>
      <c r="BC3" s="82">
        <f t="shared" si="0"/>
        <v>45831</v>
      </c>
      <c r="BD3" s="82">
        <f t="shared" si="0"/>
        <v>45832</v>
      </c>
      <c r="BE3" s="82">
        <f t="shared" si="0"/>
        <v>45833</v>
      </c>
      <c r="BF3" s="82">
        <f t="shared" si="0"/>
        <v>45834</v>
      </c>
      <c r="BG3" s="82">
        <f t="shared" si="0"/>
        <v>45835</v>
      </c>
      <c r="BH3" s="82">
        <f t="shared" si="0"/>
        <v>45836</v>
      </c>
      <c r="BI3" s="82">
        <f t="shared" si="0"/>
        <v>45837</v>
      </c>
      <c r="BJ3" s="82">
        <f t="shared" si="0"/>
        <v>45838</v>
      </c>
      <c r="BK3" s="82">
        <f t="shared" si="0"/>
        <v>45839</v>
      </c>
      <c r="BL3" s="82">
        <f t="shared" si="0"/>
        <v>45840</v>
      </c>
      <c r="BM3" s="82">
        <f t="shared" si="0"/>
        <v>45841</v>
      </c>
      <c r="BN3" s="82">
        <f t="shared" si="0"/>
        <v>45842</v>
      </c>
      <c r="BO3" s="82">
        <f t="shared" si="0"/>
        <v>45843</v>
      </c>
      <c r="BP3" s="82">
        <f t="shared" si="0"/>
        <v>45844</v>
      </c>
      <c r="BQ3" s="82">
        <f t="shared" si="0"/>
        <v>45845</v>
      </c>
      <c r="BR3" s="82">
        <f t="shared" si="0"/>
        <v>45846</v>
      </c>
      <c r="BS3" s="82">
        <f t="shared" si="0"/>
        <v>45847</v>
      </c>
      <c r="BT3" s="82">
        <f t="shared" si="0"/>
        <v>45848</v>
      </c>
      <c r="BU3" s="82">
        <f t="shared" si="0"/>
        <v>45849</v>
      </c>
      <c r="BV3" s="82">
        <f t="shared" si="0"/>
        <v>45850</v>
      </c>
      <c r="BW3" s="82">
        <f t="shared" si="0"/>
        <v>45851</v>
      </c>
      <c r="BX3" s="82">
        <f t="shared" si="0"/>
        <v>45852</v>
      </c>
      <c r="BY3" s="82">
        <f t="shared" si="0"/>
        <v>45853</v>
      </c>
      <c r="BZ3" s="82">
        <f t="shared" si="0"/>
        <v>45854</v>
      </c>
      <c r="CA3" s="82">
        <f t="shared" si="0"/>
        <v>45855</v>
      </c>
      <c r="CB3" s="82">
        <f t="shared" si="0"/>
        <v>45856</v>
      </c>
      <c r="CC3" s="82">
        <f t="shared" si="0"/>
        <v>45857</v>
      </c>
      <c r="CD3" s="82">
        <f t="shared" si="0"/>
        <v>45858</v>
      </c>
      <c r="CE3" s="82">
        <f t="shared" si="0"/>
        <v>45859</v>
      </c>
      <c r="CF3" s="82">
        <f t="shared" si="0"/>
        <v>45860</v>
      </c>
    </row>
    <row r="4" spans="1:84" s="84" customFormat="1" ht="11.25" x14ac:dyDescent="0.2">
      <c r="A4" s="134"/>
      <c r="E4" s="80"/>
      <c r="J4" s="85">
        <v>9.1</v>
      </c>
      <c r="O4" s="80">
        <v>45795</v>
      </c>
      <c r="Q4" s="81"/>
      <c r="R4" s="81"/>
      <c r="S4" s="104">
        <f>O4</f>
        <v>45795</v>
      </c>
      <c r="T4" s="104">
        <f>+S4+1</f>
        <v>45796</v>
      </c>
      <c r="U4" s="104">
        <f t="shared" ref="U4:CF4" si="1">+T4+1</f>
        <v>45797</v>
      </c>
      <c r="V4" s="104">
        <f t="shared" si="1"/>
        <v>45798</v>
      </c>
      <c r="W4" s="104">
        <f t="shared" si="1"/>
        <v>45799</v>
      </c>
      <c r="X4" s="104">
        <f t="shared" si="1"/>
        <v>45800</v>
      </c>
      <c r="Y4" s="104">
        <f t="shared" si="1"/>
        <v>45801</v>
      </c>
      <c r="Z4" s="104">
        <f t="shared" si="1"/>
        <v>45802</v>
      </c>
      <c r="AA4" s="104">
        <f t="shared" si="1"/>
        <v>45803</v>
      </c>
      <c r="AB4" s="104">
        <f t="shared" si="1"/>
        <v>45804</v>
      </c>
      <c r="AC4" s="104">
        <f t="shared" si="1"/>
        <v>45805</v>
      </c>
      <c r="AD4" s="104">
        <f t="shared" si="1"/>
        <v>45806</v>
      </c>
      <c r="AE4" s="104">
        <f t="shared" si="1"/>
        <v>45807</v>
      </c>
      <c r="AF4" s="104">
        <f t="shared" si="1"/>
        <v>45808</v>
      </c>
      <c r="AG4" s="104">
        <f t="shared" si="1"/>
        <v>45809</v>
      </c>
      <c r="AH4" s="104">
        <f t="shared" si="1"/>
        <v>45810</v>
      </c>
      <c r="AI4" s="104">
        <f t="shared" si="1"/>
        <v>45811</v>
      </c>
      <c r="AJ4" s="104">
        <f t="shared" si="1"/>
        <v>45812</v>
      </c>
      <c r="AK4" s="104">
        <f t="shared" si="1"/>
        <v>45813</v>
      </c>
      <c r="AL4" s="104">
        <f t="shared" si="1"/>
        <v>45814</v>
      </c>
      <c r="AM4" s="104">
        <f t="shared" si="1"/>
        <v>45815</v>
      </c>
      <c r="AN4" s="104">
        <f t="shared" si="1"/>
        <v>45816</v>
      </c>
      <c r="AO4" s="104">
        <f t="shared" si="1"/>
        <v>45817</v>
      </c>
      <c r="AP4" s="104">
        <f t="shared" si="1"/>
        <v>45818</v>
      </c>
      <c r="AQ4" s="104">
        <f t="shared" si="1"/>
        <v>45819</v>
      </c>
      <c r="AR4" s="104">
        <f t="shared" si="1"/>
        <v>45820</v>
      </c>
      <c r="AS4" s="104">
        <f t="shared" si="1"/>
        <v>45821</v>
      </c>
      <c r="AT4" s="104">
        <f t="shared" si="1"/>
        <v>45822</v>
      </c>
      <c r="AU4" s="104">
        <f t="shared" si="1"/>
        <v>45823</v>
      </c>
      <c r="AV4" s="104">
        <f t="shared" si="1"/>
        <v>45824</v>
      </c>
      <c r="AW4" s="104">
        <f t="shared" si="1"/>
        <v>45825</v>
      </c>
      <c r="AX4" s="104">
        <f t="shared" si="1"/>
        <v>45826</v>
      </c>
      <c r="AY4" s="104">
        <f t="shared" si="1"/>
        <v>45827</v>
      </c>
      <c r="AZ4" s="104">
        <f t="shared" si="1"/>
        <v>45828</v>
      </c>
      <c r="BA4" s="104">
        <f t="shared" si="1"/>
        <v>45829</v>
      </c>
      <c r="BB4" s="104">
        <f t="shared" si="1"/>
        <v>45830</v>
      </c>
      <c r="BC4" s="104">
        <f t="shared" si="1"/>
        <v>45831</v>
      </c>
      <c r="BD4" s="104">
        <f t="shared" si="1"/>
        <v>45832</v>
      </c>
      <c r="BE4" s="104">
        <f t="shared" si="1"/>
        <v>45833</v>
      </c>
      <c r="BF4" s="104">
        <f t="shared" si="1"/>
        <v>45834</v>
      </c>
      <c r="BG4" s="104">
        <f t="shared" si="1"/>
        <v>45835</v>
      </c>
      <c r="BH4" s="104">
        <f t="shared" si="1"/>
        <v>45836</v>
      </c>
      <c r="BI4" s="104">
        <f t="shared" si="1"/>
        <v>45837</v>
      </c>
      <c r="BJ4" s="104">
        <f t="shared" si="1"/>
        <v>45838</v>
      </c>
      <c r="BK4" s="104">
        <f t="shared" si="1"/>
        <v>45839</v>
      </c>
      <c r="BL4" s="104">
        <f t="shared" si="1"/>
        <v>45840</v>
      </c>
      <c r="BM4" s="104">
        <f t="shared" si="1"/>
        <v>45841</v>
      </c>
      <c r="BN4" s="104">
        <f t="shared" si="1"/>
        <v>45842</v>
      </c>
      <c r="BO4" s="104">
        <f t="shared" si="1"/>
        <v>45843</v>
      </c>
      <c r="BP4" s="104">
        <f t="shared" si="1"/>
        <v>45844</v>
      </c>
      <c r="BQ4" s="104">
        <f t="shared" si="1"/>
        <v>45845</v>
      </c>
      <c r="BR4" s="104">
        <f t="shared" si="1"/>
        <v>45846</v>
      </c>
      <c r="BS4" s="104">
        <f t="shared" si="1"/>
        <v>45847</v>
      </c>
      <c r="BT4" s="104">
        <f t="shared" si="1"/>
        <v>45848</v>
      </c>
      <c r="BU4" s="104">
        <f t="shared" si="1"/>
        <v>45849</v>
      </c>
      <c r="BV4" s="104">
        <f t="shared" si="1"/>
        <v>45850</v>
      </c>
      <c r="BW4" s="104">
        <f t="shared" si="1"/>
        <v>45851</v>
      </c>
      <c r="BX4" s="104">
        <f t="shared" si="1"/>
        <v>45852</v>
      </c>
      <c r="BY4" s="104">
        <f t="shared" si="1"/>
        <v>45853</v>
      </c>
      <c r="BZ4" s="104">
        <f t="shared" si="1"/>
        <v>45854</v>
      </c>
      <c r="CA4" s="104">
        <f t="shared" si="1"/>
        <v>45855</v>
      </c>
      <c r="CB4" s="104">
        <f t="shared" si="1"/>
        <v>45856</v>
      </c>
      <c r="CC4" s="104">
        <f t="shared" si="1"/>
        <v>45857</v>
      </c>
      <c r="CD4" s="104">
        <f t="shared" si="1"/>
        <v>45858</v>
      </c>
      <c r="CE4" s="104">
        <f t="shared" si="1"/>
        <v>45859</v>
      </c>
      <c r="CF4" s="104">
        <f t="shared" si="1"/>
        <v>45860</v>
      </c>
    </row>
    <row r="5" spans="1:84" ht="33.75" customHeight="1" x14ac:dyDescent="0.2">
      <c r="A5" s="62" t="s">
        <v>1</v>
      </c>
      <c r="B5" s="9" t="s">
        <v>2</v>
      </c>
      <c r="C5" s="63" t="s">
        <v>91</v>
      </c>
      <c r="D5" s="10" t="s">
        <v>0</v>
      </c>
      <c r="E5" s="68" t="s">
        <v>90</v>
      </c>
      <c r="F5" s="10" t="s">
        <v>89</v>
      </c>
      <c r="G5" s="10" t="s">
        <v>119</v>
      </c>
      <c r="H5" s="14" t="s">
        <v>93</v>
      </c>
      <c r="I5" s="10" t="s">
        <v>94</v>
      </c>
      <c r="J5" s="11" t="s">
        <v>95</v>
      </c>
      <c r="K5" s="13" t="s">
        <v>96</v>
      </c>
      <c r="L5" s="13" t="s">
        <v>97</v>
      </c>
      <c r="M5" s="69" t="s">
        <v>100</v>
      </c>
      <c r="N5" s="69" t="s">
        <v>101</v>
      </c>
      <c r="O5" s="70" t="s">
        <v>98</v>
      </c>
      <c r="P5" s="70" t="s">
        <v>99</v>
      </c>
      <c r="Q5" s="12" t="s">
        <v>102</v>
      </c>
      <c r="R5" s="148" t="s">
        <v>106</v>
      </c>
      <c r="S5" s="149" cm="1">
        <f t="array" ref="S5">_xlfn.IFS(S2="w/ OT",12.25,S2="w/o OT",9.5,S2="FRI",7.5,S2="SAT",7.5,S2="SUN",7.5,S2="OFF",0)</f>
        <v>7.5</v>
      </c>
      <c r="T5" s="149" cm="1">
        <f t="array" ref="T5">_xlfn.IFS(T2="w/ OT",12.25,T2="w/o OT",9.5,T2="FRI",7.5,T2="SAT",7.5,T2="SUN",7.5,T2="OFF",0)</f>
        <v>9.5</v>
      </c>
      <c r="U5" s="149" cm="1">
        <f t="array" ref="U5">_xlfn.IFS(U2="w/ OT",12.25,U2="w/o OT",9.5,U2="FRI",7.5,U2="SAT",7.5,U2="SUN",7.5,U2="OFF",0)</f>
        <v>9.5</v>
      </c>
      <c r="V5" s="149" cm="1">
        <f t="array" ref="V5">_xlfn.IFS(V2="w/ OT",12.25,V2="w/o OT",9.5,V2="FRI",7.5,V2="SAT",7.5,V2="SUN",7.5,V2="OFF",0)</f>
        <v>9.5</v>
      </c>
      <c r="W5" s="149" cm="1">
        <f t="array" ref="W5">_xlfn.IFS(W2="w/ OT",12.25,W2="w/o OT",9.5,W2="FRI",7.5,W2="SAT",7.5,W2="SUN",7.5,W2="OFF",0)</f>
        <v>9.5</v>
      </c>
      <c r="X5" s="149" cm="1">
        <f t="array" ref="X5">_xlfn.IFS(X2="w/ OT",12.25,X2="w/o OT",9.5,X2="FRI",7.5,X2="SAT",7.5,X2="SUN",7.5,X2="OFF",0)</f>
        <v>7.5</v>
      </c>
      <c r="Y5" s="149" cm="1">
        <f t="array" ref="Y5">_xlfn.IFS(Y2="w/ OT",12.25,Y2="w/o OT",9.5,Y2="FRI",7.5,Y2="SAT",7.5,Y2="SUN",7.5,Y2="OFF",0)</f>
        <v>7.5</v>
      </c>
      <c r="Z5" s="149" cm="1">
        <f t="array" ref="Z5">_xlfn.IFS(Z2="w/ OT",12.25,Z2="w/o OT",9.5,Z2="FRI",7.5,Z2="SAT",7.5,Z2="SUN",7.5,Z2="OFF",0)</f>
        <v>7.5</v>
      </c>
      <c r="AA5" s="149" cm="1">
        <f t="array" ref="AA5">_xlfn.IFS(AA2="w/ OT",12.25,AA2="w/o OT",9.5,AA2="FRI",7.5,AA2="SAT",7.5,AA2="SUN",7.5,AA2="OFF",0)</f>
        <v>9.5</v>
      </c>
      <c r="AB5" s="149" cm="1">
        <f t="array" ref="AB5">_xlfn.IFS(AB2="w/ OT",12.25,AB2="w/o OT",9.5,AB2="FRI",7.5,AB2="SAT",7.5,AB2="SUN",7.5,AB2="OFF",0)</f>
        <v>9.5</v>
      </c>
      <c r="AC5" s="149" cm="1">
        <f t="array" ref="AC5">_xlfn.IFS(AC2="w/ OT",12.25,AC2="w/o OT",9.5,AC2="FRI",7.5,AC2="SAT",7.5,AC2="SUN",7.5,AC2="OFF",0)</f>
        <v>9.5</v>
      </c>
      <c r="AD5" s="149" cm="1">
        <f t="array" ref="AD5">_xlfn.IFS(AD2="w/ OT",12.25,AD2="w/o OT",9.5,AD2="FRI",7.5,AD2="SAT",7.5,AD2="SUN",7.5,AD2="OFF",0)</f>
        <v>9.5</v>
      </c>
      <c r="AE5" s="149" cm="1">
        <f t="array" ref="AE5">_xlfn.IFS(AE2="w/ OT",12.25,AE2="w/o OT",9.5,AE2="FRI",7.5,AE2="SAT",7.5,AE2="SUN",7.5,AE2="OFF",0)</f>
        <v>7.5</v>
      </c>
      <c r="AF5" s="149" cm="1">
        <f t="array" ref="AF5">_xlfn.IFS(AF2="w/ OT",12.25,AF2="w/o OT",9.5,AF2="FRI",7.5,AF2="SAT",7.5,AF2="SUN",7.5,AF2="OFF",0)</f>
        <v>7.5</v>
      </c>
      <c r="AG5" s="149" cm="1">
        <f t="array" ref="AG5">_xlfn.IFS(AG2="w/ OT",12.25,AG2="w/o OT",9.5,AG2="FRI",7.5,AG2="SAT",7.5,AG2="SUN",7.5,AG2="OFF",0)</f>
        <v>7.5</v>
      </c>
      <c r="AH5" s="149" cm="1">
        <f t="array" ref="AH5">_xlfn.IFS(AH2="w/ OT",12.25,AH2="w/o OT",9.5,AH2="FRI",7.5,AH2="SAT",7.5,AH2="SUN",7.5,AH2="OFF",0)</f>
        <v>9.5</v>
      </c>
      <c r="AI5" s="149" cm="1">
        <f t="array" ref="AI5">_xlfn.IFS(AI2="w/ OT",12.25,AI2="w/o OT",9.5,AI2="FRI",7.5,AI2="SAT",7.5,AI2="SUN",7.5,AI2="OFF",0)</f>
        <v>9.5</v>
      </c>
      <c r="AJ5" s="149" cm="1">
        <f t="array" ref="AJ5">_xlfn.IFS(AJ2="w/ OT",12.25,AJ2="w/o OT",9.5,AJ2="FRI",7.5,AJ2="SAT",7.5,AJ2="SUN",7.5,AJ2="OFF",0)</f>
        <v>9.5</v>
      </c>
      <c r="AK5" s="149" cm="1">
        <f t="array" ref="AK5">_xlfn.IFS(AK2="w/ OT",12.25,AK2="w/o OT",9.5,AK2="FRI",7.5,AK2="SAT",7.5,AK2="SUN",7.5,AK2="OFF",0)</f>
        <v>9.5</v>
      </c>
      <c r="AL5" s="149" cm="1">
        <f t="array" ref="AL5">_xlfn.IFS(AL2="w/ OT",12.25,AL2="w/o OT",9.5,AL2="FRI",7.5,AL2="SAT",7.5,AL2="SUN",7.5,AL2="OFF",0)</f>
        <v>7.5</v>
      </c>
      <c r="AM5" s="149" cm="1">
        <f t="array" ref="AM5">_xlfn.IFS(AM2="w/ OT",12.25,AM2="w/o OT",9.5,AM2="FRI",7.5,AM2="SAT",7.5,AM2="SUN",7.5,AM2="OFF",0)</f>
        <v>7.5</v>
      </c>
      <c r="AN5" s="149" cm="1">
        <f t="array" ref="AN5">_xlfn.IFS(AN2="w/ OT",12.25,AN2="w/o OT",9.5,AN2="FRI",7.5,AN2="SAT",7.5,AN2="SUN",7.5,AN2="OFF",0)</f>
        <v>7.5</v>
      </c>
      <c r="AO5" s="149" cm="1">
        <f t="array" ref="AO5">_xlfn.IFS(AO2="w/ OT",12.25,AO2="w/o OT",9.5,AO2="FRI",7.5,AO2="SAT",7.5,AO2="SUN",7.5,AO2="OFF",0)</f>
        <v>9.5</v>
      </c>
      <c r="AP5" s="149" cm="1">
        <f t="array" ref="AP5">_xlfn.IFS(AP2="w/ OT",12.25,AP2="w/o OT",9.5,AP2="FRI",7.5,AP2="SAT",7.5,AP2="SUN",7.5,AP2="OFF",0)</f>
        <v>9.5</v>
      </c>
      <c r="AQ5" s="149" cm="1">
        <f t="array" ref="AQ5">_xlfn.IFS(AQ2="w/ OT",12.25,AQ2="w/o OT",9.5,AQ2="FRI",7.5,AQ2="SAT",7.5,AQ2="SUN",7.5,AQ2="OFF",0)</f>
        <v>9.5</v>
      </c>
      <c r="AR5" s="149" cm="1">
        <f t="array" ref="AR5">_xlfn.IFS(AR2="w/ OT",12.25,AR2="w/o OT",9.5,AR2="FRI",7.5,AR2="SAT",7.5,AR2="SUN",7.5,AR2="OFF",0)</f>
        <v>9.5</v>
      </c>
      <c r="AS5" s="149" cm="1">
        <f t="array" ref="AS5">_xlfn.IFS(AS2="w/ OT",12.25,AS2="w/o OT",9.5,AS2="FRI",7.5,AS2="SAT",7.5,AS2="SUN",7.5,AS2="OFF",0)</f>
        <v>7.5</v>
      </c>
      <c r="AT5" s="149" cm="1">
        <f t="array" ref="AT5">_xlfn.IFS(AT2="w/ OT",12.25,AT2="w/o OT",9.5,AT2="FRI",7.5,AT2="SAT",7.5,AT2="SUN",7.5,AT2="OFF",0)</f>
        <v>7.5</v>
      </c>
      <c r="AU5" s="149" cm="1">
        <f t="array" ref="AU5">_xlfn.IFS(AU2="w/ OT",12.25,AU2="w/o OT",9.5,AU2="FRI",7.5,AU2="SAT",7.5,AU2="SUN",7.5,AU2="OFF",0)</f>
        <v>7.5</v>
      </c>
      <c r="AV5" s="149" cm="1">
        <f t="array" ref="AV5">_xlfn.IFS(AV2="w/ OT",12.25,AV2="w/o OT",9.5,AV2="FRI",7.5,AV2="SAT",7.5,AV2="SUN",7.5,AV2="OFF",0)</f>
        <v>9.5</v>
      </c>
      <c r="AW5" s="149" cm="1">
        <f t="array" ref="AW5">_xlfn.IFS(AW2="w/ OT",12.25,AW2="w/o OT",9.5,AW2="FRI",7.5,AW2="SAT",7.5,AW2="SUN",7.5,AW2="OFF",0)</f>
        <v>9.5</v>
      </c>
      <c r="AX5" s="149" cm="1">
        <f t="array" ref="AX5">_xlfn.IFS(AX2="w/ OT",12.25,AX2="w/o OT",9.5,AX2="FRI",7.5,AX2="SAT",7.5,AX2="SUN",7.5,AX2="OFF",0)</f>
        <v>9.5</v>
      </c>
      <c r="AY5" s="149" cm="1">
        <f t="array" ref="AY5">_xlfn.IFS(AY2="w/ OT",12.25,AY2="w/o OT",9.5,AY2="FRI",7.5,AY2="SAT",7.5,AY2="SUN",7.5,AY2="OFF",0)</f>
        <v>9.5</v>
      </c>
      <c r="AZ5" s="149" cm="1">
        <f t="array" ref="AZ5">_xlfn.IFS(AZ2="w/ OT",12.25,AZ2="w/o OT",9.5,AZ2="FRI",7.5,AZ2="SAT",7.5,AZ2="SUN",7.5,AZ2="OFF",0)</f>
        <v>7.5</v>
      </c>
      <c r="BA5" s="149" cm="1">
        <f t="array" ref="BA5">_xlfn.IFS(BA2="w/ OT",12.25,BA2="w/o OT",9.5,BA2="FRI",7.5,BA2="SAT",7.5,BA2="SUN",7.5,BA2="OFF",0)</f>
        <v>7.5</v>
      </c>
      <c r="BB5" s="149" cm="1">
        <f t="array" ref="BB5">_xlfn.IFS(BB2="w/ OT",12.25,BB2="w/o OT",9.5,BB2="FRI",7.5,BB2="SAT",7.5,BB2="SUN",7.5,BB2="OFF",0)</f>
        <v>7.5</v>
      </c>
      <c r="BC5" s="149" cm="1">
        <f t="array" ref="BC5">_xlfn.IFS(BC2="w/ OT",12.25,BC2="w/o OT",9.5,BC2="FRI",7.5,BC2="SAT",7.5,BC2="SUN",7.5,BC2="OFF",0)</f>
        <v>9.5</v>
      </c>
      <c r="BD5" s="149" cm="1">
        <f t="array" ref="BD5">_xlfn.IFS(BD2="w/ OT",12.25,BD2="w/o OT",9.5,BD2="FRI",7.5,BD2="SAT",7.5,BD2="SUN",7.5,BD2="OFF",0)</f>
        <v>9.5</v>
      </c>
      <c r="BE5" s="149" cm="1">
        <f t="array" ref="BE5">_xlfn.IFS(BE2="w/ OT",12.25,BE2="w/o OT",9.5,BE2="FRI",7.5,BE2="SAT",7.5,BE2="SUN",7.5,BE2="OFF",0)</f>
        <v>9.5</v>
      </c>
      <c r="BF5" s="149" cm="1">
        <f t="array" ref="BF5">_xlfn.IFS(BF2="w/ OT",12.25,BF2="w/o OT",9.5,BF2="FRI",7.5,BF2="SAT",7.5,BF2="SUN",7.5,BF2="OFF",0)</f>
        <v>9.5</v>
      </c>
      <c r="BG5" s="149" cm="1">
        <f t="array" ref="BG5">_xlfn.IFS(BG2="w/ OT",12.25,BG2="w/o OT",9.5,BG2="FRI",7.5,BG2="SAT",7.5,BG2="SUN",7.5,BG2="OFF",0)</f>
        <v>7.5</v>
      </c>
      <c r="BH5" s="149" cm="1">
        <f t="array" ref="BH5">_xlfn.IFS(BH2="w/ OT",12.25,BH2="w/o OT",9.5,BH2="FRI",7.5,BH2="SAT",7.5,BH2="SUN",7.5,BH2="OFF",0)</f>
        <v>7.5</v>
      </c>
      <c r="BI5" s="149" cm="1">
        <f t="array" ref="BI5">_xlfn.IFS(BI2="w/ OT",12.25,BI2="w/o OT",9.5,BI2="FRI",7.5,BI2="SAT",7.5,BI2="SUN",7.5,BI2="OFF",0)</f>
        <v>7.5</v>
      </c>
      <c r="BJ5" s="149" cm="1">
        <f t="array" ref="BJ5">_xlfn.IFS(BJ2="w/ OT",12.25,BJ2="w/o OT",9.5,BJ2="FRI",7.5,BJ2="SAT",7.5,BJ2="SUN",7.5,BJ2="OFF",0)</f>
        <v>9.5</v>
      </c>
      <c r="BK5" s="149" cm="1">
        <f t="array" ref="BK5">_xlfn.IFS(BK2="w/ OT",12.25,BK2="w/o OT",9.5,BK2="FRI",7.5,BK2="SAT",7.5,BK2="SUN",7.5,BK2="OFF",0)</f>
        <v>9.5</v>
      </c>
      <c r="BL5" s="149" cm="1">
        <f t="array" ref="BL5">_xlfn.IFS(BL2="w/ OT",12.25,BL2="w/o OT",9.5,BL2="FRI",7.5,BL2="SAT",7.5,BL2="SUN",7.5,BL2="OFF",0)</f>
        <v>9.5</v>
      </c>
      <c r="BM5" s="149" cm="1">
        <f t="array" ref="BM5">_xlfn.IFS(BM2="w/ OT",12.25,BM2="w/o OT",9.5,BM2="FRI",7.5,BM2="SAT",7.5,BM2="SUN",7.5,BM2="OFF",0)</f>
        <v>9.5</v>
      </c>
      <c r="BN5" s="149" cm="1">
        <f t="array" ref="BN5">_xlfn.IFS(BN2="w/ OT",12.25,BN2="w/o OT",9.5,BN2="FRI",7.5,BN2="SAT",7.5,BN2="SUN",7.5,BN2="OFF",0)</f>
        <v>7.5</v>
      </c>
      <c r="BO5" s="149" cm="1">
        <f t="array" ref="BO5">_xlfn.IFS(BO2="w/ OT",12.25,BO2="w/o OT",9.5,BO2="FRI",7.5,BO2="SAT",7.5,BO2="SUN",7.5,BO2="OFF",0)</f>
        <v>7.5</v>
      </c>
      <c r="BP5" s="149" cm="1">
        <f t="array" ref="BP5">_xlfn.IFS(BP2="w/ OT",12.25,BP2="w/o OT",9.5,BP2="FRI",7.5,BP2="SAT",7.5,BP2="SUN",7.5,BP2="OFF",0)</f>
        <v>7.5</v>
      </c>
      <c r="BQ5" s="149" cm="1">
        <f t="array" ref="BQ5">_xlfn.IFS(BQ2="w/ OT",12.25,BQ2="w/o OT",9.5,BQ2="FRI",7.5,BQ2="SAT",7.5,BQ2="SUN",7.5,BQ2="OFF",0)</f>
        <v>9.5</v>
      </c>
      <c r="BR5" s="149" cm="1">
        <f t="array" ref="BR5">_xlfn.IFS(BR2="w/ OT",12.25,BR2="w/o OT",9.5,BR2="FRI",7.5,BR2="SAT",7.5,BR2="SUN",7.5,BR2="OFF",0)</f>
        <v>9.5</v>
      </c>
      <c r="BS5" s="149" cm="1">
        <f t="array" ref="BS5">_xlfn.IFS(BS2="w/ OT",12.25,BS2="w/o OT",9.5,BS2="FRI",7.5,BS2="SAT",7.5,BS2="SUN",7.5,BS2="OFF",0)</f>
        <v>9.5</v>
      </c>
      <c r="BT5" s="149" cm="1">
        <f t="array" ref="BT5">_xlfn.IFS(BT2="w/ OT",12.25,BT2="w/o OT",9.5,BT2="FRI",7.5,BT2="SAT",7.5,BT2="SUN",7.5,BT2="OFF",0)</f>
        <v>9.5</v>
      </c>
      <c r="BU5" s="149" cm="1">
        <f t="array" ref="BU5">_xlfn.IFS(BU2="w/ OT",12.25,BU2="w/o OT",9.5,BU2="FRI",7.5,BU2="SAT",7.5,BU2="SUN",7.5,BU2="OFF",0)</f>
        <v>7.5</v>
      </c>
      <c r="BV5" s="149" cm="1">
        <f t="array" ref="BV5">_xlfn.IFS(BV2="w/ OT",12.25,BV2="w/o OT",9.5,BV2="FRI",7.5,BV2="SAT",7.5,BV2="SUN",7.5,BV2="OFF",0)</f>
        <v>7.5</v>
      </c>
      <c r="BW5" s="149" cm="1">
        <f t="array" ref="BW5">_xlfn.IFS(BW2="w/ OT",12.25,BW2="w/o OT",9.5,BW2="FRI",7.5,BW2="SAT",7.5,BW2="SUN",7.5,BW2="OFF",0)</f>
        <v>7.5</v>
      </c>
      <c r="BX5" s="149" cm="1">
        <f t="array" ref="BX5">_xlfn.IFS(BX2="w/ OT",12.25,BX2="w/o OT",9.5,BX2="FRI",7.5,BX2="SAT",7.5,BX2="SUN",7.5,BX2="OFF",0)</f>
        <v>9.5</v>
      </c>
      <c r="BY5" s="149" cm="1">
        <f t="array" ref="BY5">_xlfn.IFS(BY2="w/ OT",12.25,BY2="w/o OT",9.5,BY2="FRI",7.5,BY2="SAT",7.5,BY2="SUN",7.5,BY2="OFF",0)</f>
        <v>9.5</v>
      </c>
      <c r="BZ5" s="149" cm="1">
        <f t="array" ref="BZ5">_xlfn.IFS(BZ2="w/ OT",12.25,BZ2="w/o OT",9.5,BZ2="FRI",7.5,BZ2="SAT",7.5,BZ2="SUN",7.5,BZ2="OFF",0)</f>
        <v>9.5</v>
      </c>
      <c r="CA5" s="149" cm="1">
        <f t="array" ref="CA5">_xlfn.IFS(CA2="w/ OT",12.25,CA2="w/o OT",9.5,CA2="FRI",7.5,CA2="SAT",7.5,CA2="SUN",7.5,CA2="OFF",0)</f>
        <v>9.5</v>
      </c>
      <c r="CB5" s="149" cm="1">
        <f t="array" ref="CB5">_xlfn.IFS(CB2="w/ OT",12.25,CB2="w/o OT",9.5,CB2="FRI",7.5,CB2="SAT",7.5,CB2="SUN",7.5,CB2="OFF",0)</f>
        <v>7.5</v>
      </c>
      <c r="CC5" s="149" cm="1">
        <f t="array" ref="CC5">_xlfn.IFS(CC2="w/ OT",12.25,CC2="w/o OT",9.5,CC2="FRI",7.5,CC2="SAT",7.5,CC2="SUN",7.5,CC2="OFF",0)</f>
        <v>7.5</v>
      </c>
      <c r="CD5" s="149" cm="1">
        <f t="array" ref="CD5">_xlfn.IFS(CD2="w/ OT",12.25,CD2="w/o OT",9.5,CD2="FRI",7.5,CD2="SAT",7.5,CD2="SUN",7.5,CD2="OFF",0)</f>
        <v>7.5</v>
      </c>
      <c r="CE5" s="149" cm="1">
        <f t="array" ref="CE5">_xlfn.IFS(CE2="w/ OT",12.25,CE2="w/o OT",9.5,CE2="FRI",7.5,CE2="SAT",7.5,CE2="SUN",7.5,CE2="OFF",0)</f>
        <v>9.5</v>
      </c>
      <c r="CF5" s="149" cm="1">
        <f t="array" ref="CF5">_xlfn.IFS(CF2="w/ OT",12.25,CF2="w/o OT",9.5,CF2="FRI",7.5,CF2="SAT",7.5,CF2="SUN",7.5,CF2="OFF",0)</f>
        <v>9.5</v>
      </c>
    </row>
    <row r="6" spans="1:84" ht="9" customHeight="1" x14ac:dyDescent="0.2">
      <c r="A6" s="135"/>
      <c r="B6" s="87"/>
      <c r="C6" s="88"/>
      <c r="D6" s="89"/>
      <c r="E6" s="90"/>
      <c r="F6" s="89"/>
      <c r="G6" s="89"/>
      <c r="H6" s="91"/>
      <c r="I6" s="89"/>
      <c r="J6" s="92"/>
      <c r="K6" s="93"/>
      <c r="L6" s="93"/>
      <c r="M6" s="94"/>
      <c r="N6" s="94"/>
      <c r="O6" s="95"/>
      <c r="P6" s="95"/>
      <c r="Q6" s="96"/>
      <c r="R6" s="102"/>
    </row>
    <row r="7" spans="1:84" ht="26.1" customHeight="1" x14ac:dyDescent="0.2">
      <c r="A7" s="106" t="e">
        <f>SHIPMENTS!#REF!</f>
        <v>#REF!</v>
      </c>
      <c r="B7" s="107" t="e">
        <f>SHIPMENTS!#REF!</f>
        <v>#REF!</v>
      </c>
      <c r="C7" s="132" t="e">
        <f>SHIPMENTS!#REF!</f>
        <v>#REF!</v>
      </c>
      <c r="D7" s="107" t="e">
        <f>IF(SHIPMENTS!#REF!=0,"")</f>
        <v>#REF!</v>
      </c>
      <c r="E7" s="108">
        <v>45806</v>
      </c>
      <c r="F7" s="97" t="e">
        <f>VLOOKUP(B7,Items!$A$5:$J$500,3,0)</f>
        <v>#REF!</v>
      </c>
      <c r="G7" s="150" t="s">
        <v>118</v>
      </c>
      <c r="H7" s="98" t="e">
        <f>VLOOKUP(B7,load!$A$4:$Q$5001,11,0)</f>
        <v>#REF!</v>
      </c>
      <c r="I7" s="97">
        <v>10</v>
      </c>
      <c r="J7" s="98">
        <f>+I7*$J$4</f>
        <v>91</v>
      </c>
      <c r="K7" s="99" t="e">
        <f>H7/J7</f>
        <v>#REF!</v>
      </c>
      <c r="L7" s="99" t="e">
        <f>+K7*$J$4</f>
        <v>#REF!</v>
      </c>
      <c r="M7" s="99">
        <f>IFERROR(K7-(K7*Q7),0)</f>
        <v>0</v>
      </c>
      <c r="N7" s="99">
        <f>IFERROR(L7-(L7*Q7),0)</f>
        <v>0</v>
      </c>
      <c r="O7" s="100">
        <f>O4</f>
        <v>45795</v>
      </c>
      <c r="P7" s="100">
        <f>+O7+M7</f>
        <v>45795</v>
      </c>
      <c r="Q7" s="101">
        <v>0</v>
      </c>
      <c r="R7" s="101"/>
      <c r="S7" s="127" t="e">
        <f>IF($F7&gt;0,(IF($E7=S$3,"▲","")),"")</f>
        <v>#REF!</v>
      </c>
      <c r="T7" s="127" t="e">
        <f t="shared" ref="T7:BH9" si="2">IF($F7&gt;0,(IF($E7=T$3,"▲","")),"")</f>
        <v>#REF!</v>
      </c>
      <c r="U7" s="127" t="e">
        <f t="shared" si="2"/>
        <v>#REF!</v>
      </c>
      <c r="V7" s="127" t="e">
        <f t="shared" si="2"/>
        <v>#REF!</v>
      </c>
      <c r="W7" s="127" t="e">
        <f t="shared" si="2"/>
        <v>#REF!</v>
      </c>
      <c r="X7" s="127" t="e">
        <f t="shared" si="2"/>
        <v>#REF!</v>
      </c>
      <c r="Y7" s="127" t="e">
        <f t="shared" si="2"/>
        <v>#REF!</v>
      </c>
      <c r="Z7" s="127" t="e">
        <f t="shared" si="2"/>
        <v>#REF!</v>
      </c>
      <c r="AA7" s="127" t="e">
        <f t="shared" si="2"/>
        <v>#REF!</v>
      </c>
      <c r="AB7" s="127" t="e">
        <f t="shared" si="2"/>
        <v>#REF!</v>
      </c>
      <c r="AC7" s="127" t="e">
        <f t="shared" si="2"/>
        <v>#REF!</v>
      </c>
      <c r="AD7" s="127" t="e">
        <f t="shared" si="2"/>
        <v>#REF!</v>
      </c>
      <c r="AE7" s="127" t="e">
        <f t="shared" si="2"/>
        <v>#REF!</v>
      </c>
      <c r="AF7" s="127" t="e">
        <f t="shared" si="2"/>
        <v>#REF!</v>
      </c>
      <c r="AG7" s="127" t="e">
        <f t="shared" si="2"/>
        <v>#REF!</v>
      </c>
      <c r="AH7" s="127" t="e">
        <f t="shared" si="2"/>
        <v>#REF!</v>
      </c>
      <c r="AI7" s="127" t="e">
        <f t="shared" si="2"/>
        <v>#REF!</v>
      </c>
      <c r="AJ7" s="127" t="e">
        <f t="shared" si="2"/>
        <v>#REF!</v>
      </c>
      <c r="AK7" s="127" t="e">
        <f t="shared" si="2"/>
        <v>#REF!</v>
      </c>
      <c r="AL7" s="127" t="e">
        <f t="shared" si="2"/>
        <v>#REF!</v>
      </c>
      <c r="AM7" s="127" t="e">
        <f t="shared" si="2"/>
        <v>#REF!</v>
      </c>
      <c r="AN7" s="127" t="e">
        <f t="shared" si="2"/>
        <v>#REF!</v>
      </c>
      <c r="AO7" s="127" t="e">
        <f t="shared" si="2"/>
        <v>#REF!</v>
      </c>
      <c r="AP7" s="127" t="e">
        <f t="shared" si="2"/>
        <v>#REF!</v>
      </c>
      <c r="AQ7" s="127" t="e">
        <f t="shared" si="2"/>
        <v>#REF!</v>
      </c>
      <c r="AR7" s="127" t="e">
        <f t="shared" si="2"/>
        <v>#REF!</v>
      </c>
      <c r="AS7" s="127" t="e">
        <f t="shared" si="2"/>
        <v>#REF!</v>
      </c>
      <c r="AT7" s="127" t="e">
        <f t="shared" si="2"/>
        <v>#REF!</v>
      </c>
      <c r="AU7" s="127" t="e">
        <f t="shared" si="2"/>
        <v>#REF!</v>
      </c>
      <c r="AV7" s="127" t="e">
        <f t="shared" si="2"/>
        <v>#REF!</v>
      </c>
      <c r="AW7" s="127" t="e">
        <f t="shared" si="2"/>
        <v>#REF!</v>
      </c>
      <c r="AX7" s="127" t="e">
        <f t="shared" si="2"/>
        <v>#REF!</v>
      </c>
      <c r="AY7" s="127" t="e">
        <f t="shared" si="2"/>
        <v>#REF!</v>
      </c>
      <c r="AZ7" s="127" t="e">
        <f t="shared" si="2"/>
        <v>#REF!</v>
      </c>
      <c r="BA7" s="127" t="e">
        <f t="shared" si="2"/>
        <v>#REF!</v>
      </c>
      <c r="BB7" s="127" t="e">
        <f t="shared" si="2"/>
        <v>#REF!</v>
      </c>
      <c r="BC7" s="127" t="e">
        <f t="shared" si="2"/>
        <v>#REF!</v>
      </c>
      <c r="BD7" s="127" t="e">
        <f t="shared" si="2"/>
        <v>#REF!</v>
      </c>
      <c r="BE7" s="127" t="e">
        <f t="shared" si="2"/>
        <v>#REF!</v>
      </c>
      <c r="BF7" s="127" t="e">
        <f t="shared" si="2"/>
        <v>#REF!</v>
      </c>
      <c r="BG7" s="127" t="e">
        <f t="shared" si="2"/>
        <v>#REF!</v>
      </c>
      <c r="BH7" s="127" t="e">
        <f t="shared" si="2"/>
        <v>#REF!</v>
      </c>
      <c r="BI7" s="127" t="e">
        <f t="shared" ref="BI7:BX12" si="3">IF($F7&gt;0,(IF($E7=BI$3,"▲","")),"")</f>
        <v>#REF!</v>
      </c>
      <c r="BJ7" s="127" t="e">
        <f t="shared" si="3"/>
        <v>#REF!</v>
      </c>
      <c r="BK7" s="127" t="e">
        <f t="shared" si="3"/>
        <v>#REF!</v>
      </c>
      <c r="BL7" s="127" t="e">
        <f t="shared" si="3"/>
        <v>#REF!</v>
      </c>
      <c r="BM7" s="127" t="e">
        <f t="shared" si="3"/>
        <v>#REF!</v>
      </c>
      <c r="BN7" s="127" t="e">
        <f t="shared" si="3"/>
        <v>#REF!</v>
      </c>
      <c r="BO7" s="127" t="e">
        <f t="shared" si="3"/>
        <v>#REF!</v>
      </c>
      <c r="BP7" s="127" t="e">
        <f t="shared" si="3"/>
        <v>#REF!</v>
      </c>
      <c r="BQ7" s="127" t="e">
        <f t="shared" si="3"/>
        <v>#REF!</v>
      </c>
      <c r="BR7" s="127" t="e">
        <f t="shared" si="3"/>
        <v>#REF!</v>
      </c>
      <c r="BS7" s="127" t="e">
        <f t="shared" si="3"/>
        <v>#REF!</v>
      </c>
      <c r="BT7" s="127" t="e">
        <f t="shared" si="3"/>
        <v>#REF!</v>
      </c>
      <c r="BU7" s="127" t="e">
        <f t="shared" si="3"/>
        <v>#REF!</v>
      </c>
      <c r="BV7" s="127" t="e">
        <f t="shared" si="3"/>
        <v>#REF!</v>
      </c>
      <c r="BW7" s="127" t="e">
        <f t="shared" si="3"/>
        <v>#REF!</v>
      </c>
      <c r="BX7" s="127" t="e">
        <f t="shared" si="3"/>
        <v>#REF!</v>
      </c>
      <c r="BY7" s="127" t="e">
        <f t="shared" ref="BU7:CF12" si="4">IF($F7&gt;0,(IF($E7=BY$3,"▲","")),"")</f>
        <v>#REF!</v>
      </c>
      <c r="BZ7" s="127" t="e">
        <f t="shared" si="4"/>
        <v>#REF!</v>
      </c>
      <c r="CA7" s="127" t="e">
        <f t="shared" si="4"/>
        <v>#REF!</v>
      </c>
      <c r="CB7" s="127" t="e">
        <f t="shared" si="4"/>
        <v>#REF!</v>
      </c>
      <c r="CC7" s="127" t="e">
        <f t="shared" si="4"/>
        <v>#REF!</v>
      </c>
      <c r="CD7" s="127" t="e">
        <f t="shared" si="4"/>
        <v>#REF!</v>
      </c>
      <c r="CE7" s="127" t="e">
        <f t="shared" si="4"/>
        <v>#REF!</v>
      </c>
      <c r="CF7" s="127" t="e">
        <f t="shared" si="4"/>
        <v>#REF!</v>
      </c>
    </row>
    <row r="8" spans="1:84" ht="26.1" customHeight="1" x14ac:dyDescent="0.2">
      <c r="A8" s="137" t="e">
        <f>A7</f>
        <v>#REF!</v>
      </c>
      <c r="B8" s="138" t="e">
        <f t="shared" ref="B8:F8" si="5">B7</f>
        <v>#REF!</v>
      </c>
      <c r="C8" s="138" t="e">
        <f t="shared" si="5"/>
        <v>#REF!</v>
      </c>
      <c r="D8" s="138" t="e">
        <f t="shared" si="5"/>
        <v>#REF!</v>
      </c>
      <c r="E8" s="130">
        <v>45813</v>
      </c>
      <c r="F8" s="130" t="e">
        <f t="shared" si="5"/>
        <v>#REF!</v>
      </c>
      <c r="G8" s="150" t="s">
        <v>151</v>
      </c>
      <c r="H8" s="98" t="e">
        <f>VLOOKUP(B8,load!$A$4:$Q$5001,8,0)+VLOOKUP(B8,load!$A$4:$Q$5001,12,0)</f>
        <v>#REF!</v>
      </c>
      <c r="I8" s="97">
        <v>6</v>
      </c>
      <c r="J8" s="98">
        <f t="shared" ref="J8:J12" si="6">+I8*$J$4</f>
        <v>54.599999999999994</v>
      </c>
      <c r="K8" s="99" t="e">
        <f t="shared" ref="K8:K12" si="7">H8/J8</f>
        <v>#REF!</v>
      </c>
      <c r="L8" s="99" t="e">
        <f t="shared" ref="L8:L12" si="8">+K8*$J$4</f>
        <v>#REF!</v>
      </c>
      <c r="M8" s="99">
        <v>14</v>
      </c>
      <c r="N8" s="99">
        <f t="shared" ref="N8:N12" si="9">IFERROR(L8-(L8*Q8),0)</f>
        <v>0</v>
      </c>
      <c r="O8" s="100">
        <v>45799</v>
      </c>
      <c r="P8" s="100">
        <f t="shared" ref="P8:P12" si="10">+O8+M8</f>
        <v>45813</v>
      </c>
      <c r="Q8" s="101">
        <v>0</v>
      </c>
      <c r="R8" s="101"/>
      <c r="S8" s="127" t="e">
        <f t="shared" ref="S8:AH12" si="11">IF($F8&gt;0,(IF($E8=S$3,"▲","")),"")</f>
        <v>#REF!</v>
      </c>
      <c r="T8" s="127" t="e">
        <f t="shared" si="11"/>
        <v>#REF!</v>
      </c>
      <c r="U8" s="127" t="e">
        <f t="shared" si="11"/>
        <v>#REF!</v>
      </c>
      <c r="V8" s="127" t="e">
        <f t="shared" si="11"/>
        <v>#REF!</v>
      </c>
      <c r="W8" s="127" t="e">
        <f t="shared" si="11"/>
        <v>#REF!</v>
      </c>
      <c r="X8" s="127" t="e">
        <f t="shared" si="11"/>
        <v>#REF!</v>
      </c>
      <c r="Y8" s="127" t="e">
        <f t="shared" si="11"/>
        <v>#REF!</v>
      </c>
      <c r="Z8" s="127" t="e">
        <f t="shared" si="11"/>
        <v>#REF!</v>
      </c>
      <c r="AA8" s="127" t="e">
        <f t="shared" si="11"/>
        <v>#REF!</v>
      </c>
      <c r="AB8" s="127" t="e">
        <f t="shared" si="11"/>
        <v>#REF!</v>
      </c>
      <c r="AC8" s="127" t="e">
        <f t="shared" si="11"/>
        <v>#REF!</v>
      </c>
      <c r="AD8" s="127" t="e">
        <f t="shared" si="11"/>
        <v>#REF!</v>
      </c>
      <c r="AE8" s="127" t="e">
        <f t="shared" si="11"/>
        <v>#REF!</v>
      </c>
      <c r="AF8" s="127" t="e">
        <f t="shared" si="11"/>
        <v>#REF!</v>
      </c>
      <c r="AG8" s="127" t="e">
        <f t="shared" si="11"/>
        <v>#REF!</v>
      </c>
      <c r="AH8" s="127" t="e">
        <f t="shared" si="11"/>
        <v>#REF!</v>
      </c>
      <c r="AI8" s="127" t="e">
        <f t="shared" si="2"/>
        <v>#REF!</v>
      </c>
      <c r="AJ8" s="127" t="e">
        <f t="shared" si="2"/>
        <v>#REF!</v>
      </c>
      <c r="AK8" s="127" t="e">
        <f t="shared" si="2"/>
        <v>#REF!</v>
      </c>
      <c r="AL8" s="127" t="e">
        <f t="shared" si="2"/>
        <v>#REF!</v>
      </c>
      <c r="AM8" s="127" t="e">
        <f t="shared" si="2"/>
        <v>#REF!</v>
      </c>
      <c r="AN8" s="127" t="e">
        <f t="shared" si="2"/>
        <v>#REF!</v>
      </c>
      <c r="AO8" s="127" t="e">
        <f t="shared" si="2"/>
        <v>#REF!</v>
      </c>
      <c r="AP8" s="127" t="e">
        <f t="shared" si="2"/>
        <v>#REF!</v>
      </c>
      <c r="AQ8" s="127" t="e">
        <f t="shared" si="2"/>
        <v>#REF!</v>
      </c>
      <c r="AR8" s="127" t="e">
        <f t="shared" si="2"/>
        <v>#REF!</v>
      </c>
      <c r="AS8" s="127" t="e">
        <f t="shared" si="2"/>
        <v>#REF!</v>
      </c>
      <c r="AT8" s="127" t="e">
        <f t="shared" si="2"/>
        <v>#REF!</v>
      </c>
      <c r="AU8" s="127" t="e">
        <f t="shared" si="2"/>
        <v>#REF!</v>
      </c>
      <c r="AV8" s="127" t="e">
        <f t="shared" si="2"/>
        <v>#REF!</v>
      </c>
      <c r="AW8" s="127" t="e">
        <f t="shared" si="2"/>
        <v>#REF!</v>
      </c>
      <c r="AX8" s="127" t="e">
        <f t="shared" si="2"/>
        <v>#REF!</v>
      </c>
      <c r="AY8" s="127" t="e">
        <f t="shared" si="2"/>
        <v>#REF!</v>
      </c>
      <c r="AZ8" s="127" t="e">
        <f t="shared" si="2"/>
        <v>#REF!</v>
      </c>
      <c r="BA8" s="127" t="e">
        <f t="shared" si="2"/>
        <v>#REF!</v>
      </c>
      <c r="BB8" s="127" t="e">
        <f t="shared" si="2"/>
        <v>#REF!</v>
      </c>
      <c r="BC8" s="127" t="e">
        <f t="shared" si="2"/>
        <v>#REF!</v>
      </c>
      <c r="BD8" s="127" t="e">
        <f t="shared" si="2"/>
        <v>#REF!</v>
      </c>
      <c r="BE8" s="127" t="e">
        <f t="shared" si="2"/>
        <v>#REF!</v>
      </c>
      <c r="BF8" s="127" t="e">
        <f t="shared" si="2"/>
        <v>#REF!</v>
      </c>
      <c r="BG8" s="127" t="e">
        <f t="shared" si="2"/>
        <v>#REF!</v>
      </c>
      <c r="BH8" s="127" t="e">
        <f t="shared" si="2"/>
        <v>#REF!</v>
      </c>
      <c r="BI8" s="127" t="e">
        <f t="shared" si="3"/>
        <v>#REF!</v>
      </c>
      <c r="BJ8" s="127" t="e">
        <f t="shared" si="3"/>
        <v>#REF!</v>
      </c>
      <c r="BK8" s="127" t="e">
        <f t="shared" si="3"/>
        <v>#REF!</v>
      </c>
      <c r="BL8" s="127" t="e">
        <f t="shared" si="3"/>
        <v>#REF!</v>
      </c>
      <c r="BM8" s="127" t="e">
        <f t="shared" si="3"/>
        <v>#REF!</v>
      </c>
      <c r="BN8" s="127" t="e">
        <f t="shared" si="3"/>
        <v>#REF!</v>
      </c>
      <c r="BO8" s="127" t="e">
        <f t="shared" si="3"/>
        <v>#REF!</v>
      </c>
      <c r="BP8" s="127" t="e">
        <f t="shared" si="3"/>
        <v>#REF!</v>
      </c>
      <c r="BQ8" s="127" t="e">
        <f t="shared" si="3"/>
        <v>#REF!</v>
      </c>
      <c r="BR8" s="127" t="e">
        <f t="shared" si="3"/>
        <v>#REF!</v>
      </c>
      <c r="BS8" s="127" t="e">
        <f t="shared" si="3"/>
        <v>#REF!</v>
      </c>
      <c r="BT8" s="127" t="e">
        <f t="shared" si="3"/>
        <v>#REF!</v>
      </c>
      <c r="BU8" s="127" t="e">
        <f t="shared" si="4"/>
        <v>#REF!</v>
      </c>
      <c r="BV8" s="127" t="e">
        <f t="shared" si="4"/>
        <v>#REF!</v>
      </c>
      <c r="BW8" s="127" t="e">
        <f t="shared" si="4"/>
        <v>#REF!</v>
      </c>
      <c r="BX8" s="127" t="e">
        <f t="shared" si="4"/>
        <v>#REF!</v>
      </c>
      <c r="BY8" s="127" t="e">
        <f t="shared" si="4"/>
        <v>#REF!</v>
      </c>
      <c r="BZ8" s="127" t="e">
        <f t="shared" si="4"/>
        <v>#REF!</v>
      </c>
      <c r="CA8" s="127" t="e">
        <f t="shared" si="4"/>
        <v>#REF!</v>
      </c>
      <c r="CB8" s="127" t="e">
        <f t="shared" si="4"/>
        <v>#REF!</v>
      </c>
      <c r="CC8" s="127" t="e">
        <f t="shared" si="4"/>
        <v>#REF!</v>
      </c>
      <c r="CD8" s="127" t="e">
        <f t="shared" si="4"/>
        <v>#REF!</v>
      </c>
      <c r="CE8" s="127" t="e">
        <f t="shared" si="4"/>
        <v>#REF!</v>
      </c>
      <c r="CF8" s="127" t="e">
        <f t="shared" si="4"/>
        <v>#REF!</v>
      </c>
    </row>
    <row r="9" spans="1:84" ht="26.1" customHeight="1" x14ac:dyDescent="0.2">
      <c r="A9" s="133" t="e">
        <f>SHIPMENTS!#REF!</f>
        <v>#REF!</v>
      </c>
      <c r="B9" s="129" t="e">
        <f>SHIPMENTS!#REF!</f>
        <v>#REF!</v>
      </c>
      <c r="C9" s="131" t="e">
        <f>SHIPMENTS!#REF!</f>
        <v>#REF!</v>
      </c>
      <c r="D9" s="107" t="e">
        <f>IF(SHIPMENTS!#REF!=0,"")</f>
        <v>#REF!</v>
      </c>
      <c r="E9" s="130">
        <v>45804</v>
      </c>
      <c r="F9" s="97" t="e">
        <f>VLOOKUP(B9,Items!$A$5:$J$500,3,0)</f>
        <v>#REF!</v>
      </c>
      <c r="G9" s="150" t="s">
        <v>118</v>
      </c>
      <c r="H9" s="98" t="e">
        <f>VLOOKUP(B9,load!$A$4:$Q$5001,11,0)</f>
        <v>#REF!</v>
      </c>
      <c r="I9" s="97">
        <v>10</v>
      </c>
      <c r="J9" s="98">
        <f t="shared" si="6"/>
        <v>91</v>
      </c>
      <c r="K9" s="99" t="e">
        <f t="shared" si="7"/>
        <v>#REF!</v>
      </c>
      <c r="L9" s="99" t="e">
        <f t="shared" si="8"/>
        <v>#REF!</v>
      </c>
      <c r="M9" s="99">
        <f t="shared" ref="M9:M11" si="12">IFERROR(K9-(K9*Q9),0)</f>
        <v>0</v>
      </c>
      <c r="N9" s="99">
        <f t="shared" si="9"/>
        <v>0</v>
      </c>
      <c r="O9" s="100">
        <v>45817</v>
      </c>
      <c r="P9" s="100">
        <f t="shared" si="10"/>
        <v>45817</v>
      </c>
      <c r="Q9" s="101">
        <v>0</v>
      </c>
      <c r="R9" s="101"/>
      <c r="S9" s="127" t="e">
        <f t="shared" si="11"/>
        <v>#REF!</v>
      </c>
      <c r="T9" s="127" t="e">
        <f t="shared" si="2"/>
        <v>#REF!</v>
      </c>
      <c r="U9" s="127" t="e">
        <f t="shared" si="2"/>
        <v>#REF!</v>
      </c>
      <c r="V9" s="127" t="e">
        <f t="shared" si="2"/>
        <v>#REF!</v>
      </c>
      <c r="W9" s="127" t="e">
        <f t="shared" si="2"/>
        <v>#REF!</v>
      </c>
      <c r="X9" s="127" t="e">
        <f t="shared" si="2"/>
        <v>#REF!</v>
      </c>
      <c r="Y9" s="127" t="e">
        <f t="shared" si="2"/>
        <v>#REF!</v>
      </c>
      <c r="Z9" s="127" t="e">
        <f t="shared" si="2"/>
        <v>#REF!</v>
      </c>
      <c r="AA9" s="127" t="e">
        <f t="shared" si="2"/>
        <v>#REF!</v>
      </c>
      <c r="AB9" s="127" t="e">
        <f t="shared" si="2"/>
        <v>#REF!</v>
      </c>
      <c r="AC9" s="127" t="e">
        <f t="shared" si="2"/>
        <v>#REF!</v>
      </c>
      <c r="AD9" s="127" t="e">
        <f t="shared" si="2"/>
        <v>#REF!</v>
      </c>
      <c r="AE9" s="127" t="e">
        <f t="shared" si="2"/>
        <v>#REF!</v>
      </c>
      <c r="AF9" s="127" t="e">
        <f t="shared" si="2"/>
        <v>#REF!</v>
      </c>
      <c r="AG9" s="127" t="e">
        <f t="shared" si="2"/>
        <v>#REF!</v>
      </c>
      <c r="AH9" s="127" t="e">
        <f t="shared" si="2"/>
        <v>#REF!</v>
      </c>
      <c r="AI9" s="127" t="e">
        <f t="shared" si="2"/>
        <v>#REF!</v>
      </c>
      <c r="AJ9" s="127" t="e">
        <f t="shared" si="2"/>
        <v>#REF!</v>
      </c>
      <c r="AK9" s="127" t="e">
        <f t="shared" si="2"/>
        <v>#REF!</v>
      </c>
      <c r="AL9" s="127" t="e">
        <f t="shared" si="2"/>
        <v>#REF!</v>
      </c>
      <c r="AM9" s="127" t="e">
        <f t="shared" si="2"/>
        <v>#REF!</v>
      </c>
      <c r="AN9" s="127" t="e">
        <f t="shared" si="2"/>
        <v>#REF!</v>
      </c>
      <c r="AO9" s="127" t="e">
        <f t="shared" si="2"/>
        <v>#REF!</v>
      </c>
      <c r="AP9" s="127" t="e">
        <f t="shared" si="2"/>
        <v>#REF!</v>
      </c>
      <c r="AQ9" s="127" t="e">
        <f t="shared" si="2"/>
        <v>#REF!</v>
      </c>
      <c r="AR9" s="127" t="e">
        <f t="shared" ref="AR9:BH9" si="13">IF($F9&gt;0,(IF($E9=AR$3,"▲","")),"")</f>
        <v>#REF!</v>
      </c>
      <c r="AS9" s="127" t="e">
        <f t="shared" si="13"/>
        <v>#REF!</v>
      </c>
      <c r="AT9" s="127" t="e">
        <f t="shared" si="13"/>
        <v>#REF!</v>
      </c>
      <c r="AU9" s="127" t="e">
        <f t="shared" si="13"/>
        <v>#REF!</v>
      </c>
      <c r="AV9" s="127" t="e">
        <f t="shared" si="13"/>
        <v>#REF!</v>
      </c>
      <c r="AW9" s="127" t="e">
        <f t="shared" si="13"/>
        <v>#REF!</v>
      </c>
      <c r="AX9" s="127" t="e">
        <f t="shared" si="13"/>
        <v>#REF!</v>
      </c>
      <c r="AY9" s="127" t="e">
        <f t="shared" si="13"/>
        <v>#REF!</v>
      </c>
      <c r="AZ9" s="127" t="e">
        <f t="shared" si="13"/>
        <v>#REF!</v>
      </c>
      <c r="BA9" s="127" t="e">
        <f t="shared" si="13"/>
        <v>#REF!</v>
      </c>
      <c r="BB9" s="127" t="e">
        <f t="shared" si="13"/>
        <v>#REF!</v>
      </c>
      <c r="BC9" s="127" t="e">
        <f t="shared" si="13"/>
        <v>#REF!</v>
      </c>
      <c r="BD9" s="127" t="e">
        <f t="shared" si="13"/>
        <v>#REF!</v>
      </c>
      <c r="BE9" s="127" t="e">
        <f t="shared" si="13"/>
        <v>#REF!</v>
      </c>
      <c r="BF9" s="127" t="e">
        <f t="shared" si="13"/>
        <v>#REF!</v>
      </c>
      <c r="BG9" s="127" t="e">
        <f t="shared" si="13"/>
        <v>#REF!</v>
      </c>
      <c r="BH9" s="127" t="e">
        <f t="shared" si="13"/>
        <v>#REF!</v>
      </c>
      <c r="BI9" s="127" t="e">
        <f t="shared" si="3"/>
        <v>#REF!</v>
      </c>
      <c r="BJ9" s="127" t="e">
        <f t="shared" si="3"/>
        <v>#REF!</v>
      </c>
      <c r="BK9" s="127" t="e">
        <f t="shared" si="3"/>
        <v>#REF!</v>
      </c>
      <c r="BL9" s="127" t="e">
        <f t="shared" si="3"/>
        <v>#REF!</v>
      </c>
      <c r="BM9" s="127" t="e">
        <f t="shared" si="3"/>
        <v>#REF!</v>
      </c>
      <c r="BN9" s="127" t="e">
        <f t="shared" si="3"/>
        <v>#REF!</v>
      </c>
      <c r="BO9" s="127" t="e">
        <f t="shared" si="3"/>
        <v>#REF!</v>
      </c>
      <c r="BP9" s="127" t="e">
        <f t="shared" si="3"/>
        <v>#REF!</v>
      </c>
      <c r="BQ9" s="127" t="e">
        <f t="shared" si="3"/>
        <v>#REF!</v>
      </c>
      <c r="BR9" s="127" t="e">
        <f t="shared" si="3"/>
        <v>#REF!</v>
      </c>
      <c r="BS9" s="127" t="e">
        <f t="shared" si="3"/>
        <v>#REF!</v>
      </c>
      <c r="BT9" s="127" t="e">
        <f t="shared" si="3"/>
        <v>#REF!</v>
      </c>
      <c r="BU9" s="127" t="e">
        <f t="shared" si="4"/>
        <v>#REF!</v>
      </c>
      <c r="BV9" s="127" t="e">
        <f t="shared" si="4"/>
        <v>#REF!</v>
      </c>
      <c r="BW9" s="127" t="e">
        <f t="shared" si="4"/>
        <v>#REF!</v>
      </c>
      <c r="BX9" s="127" t="e">
        <f t="shared" si="4"/>
        <v>#REF!</v>
      </c>
      <c r="BY9" s="127" t="e">
        <f t="shared" si="4"/>
        <v>#REF!</v>
      </c>
      <c r="BZ9" s="127" t="e">
        <f t="shared" si="4"/>
        <v>#REF!</v>
      </c>
      <c r="CA9" s="127" t="e">
        <f t="shared" si="4"/>
        <v>#REF!</v>
      </c>
      <c r="CB9" s="127" t="e">
        <f t="shared" si="4"/>
        <v>#REF!</v>
      </c>
      <c r="CC9" s="127" t="e">
        <f t="shared" si="4"/>
        <v>#REF!</v>
      </c>
      <c r="CD9" s="127" t="e">
        <f t="shared" si="4"/>
        <v>#REF!</v>
      </c>
      <c r="CE9" s="127" t="e">
        <f t="shared" si="4"/>
        <v>#REF!</v>
      </c>
      <c r="CF9" s="127" t="e">
        <f t="shared" si="4"/>
        <v>#REF!</v>
      </c>
    </row>
    <row r="10" spans="1:84" ht="26.1" customHeight="1" x14ac:dyDescent="0.2">
      <c r="A10" s="137" t="e">
        <f>A9</f>
        <v>#REF!</v>
      </c>
      <c r="B10" s="138" t="e">
        <f t="shared" ref="B10:F10" si="14">B9</f>
        <v>#REF!</v>
      </c>
      <c r="C10" s="138" t="e">
        <f t="shared" si="14"/>
        <v>#REF!</v>
      </c>
      <c r="D10" s="138" t="e">
        <f t="shared" si="14"/>
        <v>#REF!</v>
      </c>
      <c r="E10" s="130">
        <v>45807</v>
      </c>
      <c r="F10" s="130" t="e">
        <f t="shared" si="14"/>
        <v>#REF!</v>
      </c>
      <c r="G10" s="150" t="s">
        <v>151</v>
      </c>
      <c r="H10" s="98" t="e">
        <f>VLOOKUP(B10,load!$A$4:$Q$5001,8,0)+VLOOKUP(B10,load!$A$4:$Q$5001,12,0)</f>
        <v>#REF!</v>
      </c>
      <c r="I10" s="97">
        <v>6</v>
      </c>
      <c r="J10" s="98">
        <f t="shared" si="6"/>
        <v>54.599999999999994</v>
      </c>
      <c r="K10" s="99" t="e">
        <f t="shared" si="7"/>
        <v>#REF!</v>
      </c>
      <c r="L10" s="99" t="e">
        <f t="shared" si="8"/>
        <v>#REF!</v>
      </c>
      <c r="M10" s="99">
        <v>7</v>
      </c>
      <c r="N10" s="99">
        <f t="shared" si="9"/>
        <v>0</v>
      </c>
      <c r="O10" s="100">
        <v>45820</v>
      </c>
      <c r="P10" s="100">
        <f t="shared" si="10"/>
        <v>45827</v>
      </c>
      <c r="Q10" s="101">
        <v>0</v>
      </c>
      <c r="R10" s="101"/>
      <c r="S10" s="127" t="e">
        <f t="shared" si="11"/>
        <v>#REF!</v>
      </c>
      <c r="T10" s="127" t="e">
        <f t="shared" si="11"/>
        <v>#REF!</v>
      </c>
      <c r="U10" s="127" t="e">
        <f t="shared" si="11"/>
        <v>#REF!</v>
      </c>
      <c r="V10" s="127" t="e">
        <f t="shared" si="11"/>
        <v>#REF!</v>
      </c>
      <c r="W10" s="127" t="e">
        <f t="shared" si="11"/>
        <v>#REF!</v>
      </c>
      <c r="X10" s="127" t="e">
        <f t="shared" si="11"/>
        <v>#REF!</v>
      </c>
      <c r="Y10" s="127" t="e">
        <f t="shared" si="11"/>
        <v>#REF!</v>
      </c>
      <c r="Z10" s="127" t="e">
        <f t="shared" si="11"/>
        <v>#REF!</v>
      </c>
      <c r="AA10" s="127" t="e">
        <f t="shared" si="11"/>
        <v>#REF!</v>
      </c>
      <c r="AB10" s="127" t="e">
        <f t="shared" si="11"/>
        <v>#REF!</v>
      </c>
      <c r="AC10" s="127" t="e">
        <f t="shared" si="11"/>
        <v>#REF!</v>
      </c>
      <c r="AD10" s="127" t="e">
        <f t="shared" si="11"/>
        <v>#REF!</v>
      </c>
      <c r="AE10" s="127" t="e">
        <f t="shared" si="11"/>
        <v>#REF!</v>
      </c>
      <c r="AF10" s="127" t="e">
        <f t="shared" si="11"/>
        <v>#REF!</v>
      </c>
      <c r="AG10" s="127" t="e">
        <f t="shared" si="11"/>
        <v>#REF!</v>
      </c>
      <c r="AH10" s="127" t="e">
        <f t="shared" si="11"/>
        <v>#REF!</v>
      </c>
      <c r="AI10" s="127" t="e">
        <f t="shared" ref="AI10:BH12" si="15">IF($F10&gt;0,(IF($E10=AI$3,"▲","")),"")</f>
        <v>#REF!</v>
      </c>
      <c r="AJ10" s="127" t="e">
        <f t="shared" si="15"/>
        <v>#REF!</v>
      </c>
      <c r="AK10" s="127" t="e">
        <f t="shared" si="15"/>
        <v>#REF!</v>
      </c>
      <c r="AL10" s="127" t="e">
        <f t="shared" si="15"/>
        <v>#REF!</v>
      </c>
      <c r="AM10" s="127" t="e">
        <f t="shared" si="15"/>
        <v>#REF!</v>
      </c>
      <c r="AN10" s="127" t="e">
        <f t="shared" si="15"/>
        <v>#REF!</v>
      </c>
      <c r="AO10" s="127" t="e">
        <f t="shared" si="15"/>
        <v>#REF!</v>
      </c>
      <c r="AP10" s="127" t="e">
        <f t="shared" si="15"/>
        <v>#REF!</v>
      </c>
      <c r="AQ10" s="127" t="e">
        <f t="shared" si="15"/>
        <v>#REF!</v>
      </c>
      <c r="AR10" s="127" t="e">
        <f t="shared" si="15"/>
        <v>#REF!</v>
      </c>
      <c r="AS10" s="127" t="e">
        <f t="shared" si="15"/>
        <v>#REF!</v>
      </c>
      <c r="AT10" s="127" t="e">
        <f t="shared" si="15"/>
        <v>#REF!</v>
      </c>
      <c r="AU10" s="127" t="e">
        <f t="shared" si="15"/>
        <v>#REF!</v>
      </c>
      <c r="AV10" s="127" t="e">
        <f t="shared" si="15"/>
        <v>#REF!</v>
      </c>
      <c r="AW10" s="127" t="e">
        <f t="shared" si="15"/>
        <v>#REF!</v>
      </c>
      <c r="AX10" s="127" t="e">
        <f t="shared" si="15"/>
        <v>#REF!</v>
      </c>
      <c r="AY10" s="127" t="e">
        <f t="shared" si="15"/>
        <v>#REF!</v>
      </c>
      <c r="AZ10" s="127" t="e">
        <f t="shared" si="15"/>
        <v>#REF!</v>
      </c>
      <c r="BA10" s="127" t="e">
        <f t="shared" si="15"/>
        <v>#REF!</v>
      </c>
      <c r="BB10" s="127" t="e">
        <f t="shared" si="15"/>
        <v>#REF!</v>
      </c>
      <c r="BC10" s="127" t="e">
        <f t="shared" si="15"/>
        <v>#REF!</v>
      </c>
      <c r="BD10" s="127" t="e">
        <f t="shared" si="15"/>
        <v>#REF!</v>
      </c>
      <c r="BE10" s="127" t="e">
        <f t="shared" si="15"/>
        <v>#REF!</v>
      </c>
      <c r="BF10" s="127" t="e">
        <f t="shared" si="15"/>
        <v>#REF!</v>
      </c>
      <c r="BG10" s="127" t="e">
        <f t="shared" si="15"/>
        <v>#REF!</v>
      </c>
      <c r="BH10" s="127" t="e">
        <f t="shared" si="15"/>
        <v>#REF!</v>
      </c>
      <c r="BI10" s="127" t="e">
        <f t="shared" si="3"/>
        <v>#REF!</v>
      </c>
      <c r="BJ10" s="127" t="e">
        <f t="shared" si="3"/>
        <v>#REF!</v>
      </c>
      <c r="BK10" s="127" t="e">
        <f t="shared" si="3"/>
        <v>#REF!</v>
      </c>
      <c r="BL10" s="127" t="e">
        <f t="shared" si="3"/>
        <v>#REF!</v>
      </c>
      <c r="BM10" s="127" t="e">
        <f t="shared" si="3"/>
        <v>#REF!</v>
      </c>
      <c r="BN10" s="127" t="e">
        <f t="shared" si="3"/>
        <v>#REF!</v>
      </c>
      <c r="BO10" s="127" t="e">
        <f t="shared" si="3"/>
        <v>#REF!</v>
      </c>
      <c r="BP10" s="127" t="e">
        <f t="shared" si="3"/>
        <v>#REF!</v>
      </c>
      <c r="BQ10" s="127" t="e">
        <f t="shared" si="3"/>
        <v>#REF!</v>
      </c>
      <c r="BR10" s="127" t="e">
        <f t="shared" si="3"/>
        <v>#REF!</v>
      </c>
      <c r="BS10" s="127" t="e">
        <f t="shared" si="3"/>
        <v>#REF!</v>
      </c>
      <c r="BT10" s="127" t="e">
        <f t="shared" si="3"/>
        <v>#REF!</v>
      </c>
      <c r="BU10" s="127" t="e">
        <f t="shared" si="4"/>
        <v>#REF!</v>
      </c>
      <c r="BV10" s="127" t="e">
        <f t="shared" si="4"/>
        <v>#REF!</v>
      </c>
      <c r="BW10" s="127" t="e">
        <f t="shared" si="4"/>
        <v>#REF!</v>
      </c>
      <c r="BX10" s="127" t="e">
        <f t="shared" si="4"/>
        <v>#REF!</v>
      </c>
      <c r="BY10" s="127" t="e">
        <f t="shared" si="4"/>
        <v>#REF!</v>
      </c>
      <c r="BZ10" s="127" t="e">
        <f t="shared" si="4"/>
        <v>#REF!</v>
      </c>
      <c r="CA10" s="127" t="e">
        <f t="shared" si="4"/>
        <v>#REF!</v>
      </c>
      <c r="CB10" s="127" t="e">
        <f t="shared" si="4"/>
        <v>#REF!</v>
      </c>
      <c r="CC10" s="127" t="e">
        <f t="shared" si="4"/>
        <v>#REF!</v>
      </c>
      <c r="CD10" s="127" t="e">
        <f t="shared" si="4"/>
        <v>#REF!</v>
      </c>
      <c r="CE10" s="127" t="e">
        <f t="shared" si="4"/>
        <v>#REF!</v>
      </c>
      <c r="CF10" s="127" t="e">
        <f t="shared" si="4"/>
        <v>#REF!</v>
      </c>
    </row>
    <row r="11" spans="1:84" ht="26.1" customHeight="1" x14ac:dyDescent="0.2">
      <c r="A11" s="133" t="e">
        <f>SHIPMENTS!#REF!</f>
        <v>#REF!</v>
      </c>
      <c r="B11" s="129" t="e">
        <f>SHIPMENTS!#REF!</f>
        <v>#REF!</v>
      </c>
      <c r="C11" s="131" t="e">
        <f>SHIPMENTS!#REF!</f>
        <v>#REF!</v>
      </c>
      <c r="D11" s="107" t="e">
        <f>IF(SHIPMENTS!#REF!=0,"")</f>
        <v>#REF!</v>
      </c>
      <c r="E11" s="130">
        <v>45828</v>
      </c>
      <c r="F11" s="97" t="e">
        <f>VLOOKUP(B11,Items!$A$5:$J$500,3,0)</f>
        <v>#REF!</v>
      </c>
      <c r="G11" s="150" t="s">
        <v>118</v>
      </c>
      <c r="H11" s="98" t="e">
        <f>VLOOKUP(B11,load!$A$4:$Q$5001,11,0)</f>
        <v>#REF!</v>
      </c>
      <c r="I11" s="97">
        <v>10</v>
      </c>
      <c r="J11" s="98">
        <f t="shared" si="6"/>
        <v>91</v>
      </c>
      <c r="K11" s="99" t="e">
        <f t="shared" si="7"/>
        <v>#REF!</v>
      </c>
      <c r="L11" s="99" t="e">
        <f t="shared" si="8"/>
        <v>#REF!</v>
      </c>
      <c r="M11" s="99">
        <f t="shared" si="12"/>
        <v>0</v>
      </c>
      <c r="N11" s="99">
        <f t="shared" si="9"/>
        <v>0</v>
      </c>
      <c r="O11" s="100">
        <f>P9</f>
        <v>45817</v>
      </c>
      <c r="P11" s="100">
        <f t="shared" si="10"/>
        <v>45817</v>
      </c>
      <c r="Q11" s="101">
        <v>0</v>
      </c>
      <c r="R11" s="101"/>
      <c r="S11" s="127" t="e">
        <f t="shared" si="11"/>
        <v>#REF!</v>
      </c>
      <c r="T11" s="127" t="e">
        <f t="shared" si="11"/>
        <v>#REF!</v>
      </c>
      <c r="U11" s="127" t="e">
        <f t="shared" si="11"/>
        <v>#REF!</v>
      </c>
      <c r="V11" s="127" t="e">
        <f t="shared" si="11"/>
        <v>#REF!</v>
      </c>
      <c r="W11" s="127" t="e">
        <f t="shared" si="11"/>
        <v>#REF!</v>
      </c>
      <c r="X11" s="127" t="e">
        <f t="shared" si="11"/>
        <v>#REF!</v>
      </c>
      <c r="Y11" s="127" t="e">
        <f t="shared" si="11"/>
        <v>#REF!</v>
      </c>
      <c r="Z11" s="127" t="e">
        <f t="shared" si="11"/>
        <v>#REF!</v>
      </c>
      <c r="AA11" s="127" t="e">
        <f t="shared" si="11"/>
        <v>#REF!</v>
      </c>
      <c r="AB11" s="127" t="e">
        <f t="shared" si="11"/>
        <v>#REF!</v>
      </c>
      <c r="AC11" s="127" t="e">
        <f t="shared" si="11"/>
        <v>#REF!</v>
      </c>
      <c r="AD11" s="127" t="e">
        <f t="shared" si="11"/>
        <v>#REF!</v>
      </c>
      <c r="AE11" s="127" t="e">
        <f t="shared" si="11"/>
        <v>#REF!</v>
      </c>
      <c r="AF11" s="127" t="e">
        <f t="shared" si="11"/>
        <v>#REF!</v>
      </c>
      <c r="AG11" s="127" t="e">
        <f t="shared" si="11"/>
        <v>#REF!</v>
      </c>
      <c r="AH11" s="127" t="e">
        <f t="shared" si="11"/>
        <v>#REF!</v>
      </c>
      <c r="AI11" s="127" t="e">
        <f t="shared" si="15"/>
        <v>#REF!</v>
      </c>
      <c r="AJ11" s="127" t="e">
        <f t="shared" si="15"/>
        <v>#REF!</v>
      </c>
      <c r="AK11" s="127" t="e">
        <f t="shared" si="15"/>
        <v>#REF!</v>
      </c>
      <c r="AL11" s="127" t="e">
        <f t="shared" si="15"/>
        <v>#REF!</v>
      </c>
      <c r="AM11" s="127" t="e">
        <f t="shared" si="15"/>
        <v>#REF!</v>
      </c>
      <c r="AN11" s="127" t="e">
        <f t="shared" si="15"/>
        <v>#REF!</v>
      </c>
      <c r="AO11" s="127" t="e">
        <f t="shared" si="15"/>
        <v>#REF!</v>
      </c>
      <c r="AP11" s="127" t="e">
        <f t="shared" si="15"/>
        <v>#REF!</v>
      </c>
      <c r="AQ11" s="127" t="e">
        <f t="shared" si="15"/>
        <v>#REF!</v>
      </c>
      <c r="AR11" s="127" t="e">
        <f t="shared" si="15"/>
        <v>#REF!</v>
      </c>
      <c r="AS11" s="127" t="e">
        <f t="shared" si="15"/>
        <v>#REF!</v>
      </c>
      <c r="AT11" s="127" t="e">
        <f t="shared" si="15"/>
        <v>#REF!</v>
      </c>
      <c r="AU11" s="127" t="e">
        <f t="shared" si="15"/>
        <v>#REF!</v>
      </c>
      <c r="AV11" s="127" t="e">
        <f t="shared" si="15"/>
        <v>#REF!</v>
      </c>
      <c r="AW11" s="127" t="e">
        <f t="shared" si="15"/>
        <v>#REF!</v>
      </c>
      <c r="AX11" s="127" t="e">
        <f t="shared" si="15"/>
        <v>#REF!</v>
      </c>
      <c r="AY11" s="127" t="e">
        <f t="shared" si="15"/>
        <v>#REF!</v>
      </c>
      <c r="AZ11" s="127" t="e">
        <f t="shared" si="15"/>
        <v>#REF!</v>
      </c>
      <c r="BA11" s="127" t="e">
        <f t="shared" si="15"/>
        <v>#REF!</v>
      </c>
      <c r="BB11" s="127" t="e">
        <f t="shared" si="15"/>
        <v>#REF!</v>
      </c>
      <c r="BC11" s="127" t="e">
        <f t="shared" si="15"/>
        <v>#REF!</v>
      </c>
      <c r="BD11" s="127" t="e">
        <f t="shared" si="15"/>
        <v>#REF!</v>
      </c>
      <c r="BE11" s="127" t="e">
        <f t="shared" si="15"/>
        <v>#REF!</v>
      </c>
      <c r="BF11" s="127" t="e">
        <f t="shared" si="15"/>
        <v>#REF!</v>
      </c>
      <c r="BG11" s="127" t="e">
        <f t="shared" si="15"/>
        <v>#REF!</v>
      </c>
      <c r="BH11" s="127" t="e">
        <f t="shared" si="15"/>
        <v>#REF!</v>
      </c>
      <c r="BI11" s="127" t="e">
        <f t="shared" si="3"/>
        <v>#REF!</v>
      </c>
      <c r="BJ11" s="127" t="e">
        <f t="shared" si="3"/>
        <v>#REF!</v>
      </c>
      <c r="BK11" s="127" t="e">
        <f t="shared" si="3"/>
        <v>#REF!</v>
      </c>
      <c r="BL11" s="127" t="e">
        <f t="shared" si="3"/>
        <v>#REF!</v>
      </c>
      <c r="BM11" s="127" t="e">
        <f t="shared" si="3"/>
        <v>#REF!</v>
      </c>
      <c r="BN11" s="127" t="e">
        <f t="shared" si="3"/>
        <v>#REF!</v>
      </c>
      <c r="BO11" s="127" t="e">
        <f t="shared" si="3"/>
        <v>#REF!</v>
      </c>
      <c r="BP11" s="127" t="e">
        <f t="shared" si="3"/>
        <v>#REF!</v>
      </c>
      <c r="BQ11" s="127" t="e">
        <f t="shared" si="3"/>
        <v>#REF!</v>
      </c>
      <c r="BR11" s="127" t="e">
        <f t="shared" si="3"/>
        <v>#REF!</v>
      </c>
      <c r="BS11" s="127" t="e">
        <f t="shared" si="3"/>
        <v>#REF!</v>
      </c>
      <c r="BT11" s="127" t="e">
        <f t="shared" si="3"/>
        <v>#REF!</v>
      </c>
      <c r="BU11" s="127" t="e">
        <f t="shared" si="4"/>
        <v>#REF!</v>
      </c>
      <c r="BV11" s="127" t="e">
        <f t="shared" si="4"/>
        <v>#REF!</v>
      </c>
      <c r="BW11" s="127" t="e">
        <f t="shared" si="4"/>
        <v>#REF!</v>
      </c>
      <c r="BX11" s="127" t="e">
        <f t="shared" si="4"/>
        <v>#REF!</v>
      </c>
      <c r="BY11" s="127" t="e">
        <f t="shared" si="4"/>
        <v>#REF!</v>
      </c>
      <c r="BZ11" s="127" t="e">
        <f t="shared" si="4"/>
        <v>#REF!</v>
      </c>
      <c r="CA11" s="127" t="e">
        <f t="shared" si="4"/>
        <v>#REF!</v>
      </c>
      <c r="CB11" s="127" t="e">
        <f t="shared" si="4"/>
        <v>#REF!</v>
      </c>
      <c r="CC11" s="127" t="e">
        <f t="shared" si="4"/>
        <v>#REF!</v>
      </c>
      <c r="CD11" s="127" t="e">
        <f t="shared" si="4"/>
        <v>#REF!</v>
      </c>
      <c r="CE11" s="127" t="e">
        <f t="shared" si="4"/>
        <v>#REF!</v>
      </c>
      <c r="CF11" s="127" t="e">
        <f t="shared" si="4"/>
        <v>#REF!</v>
      </c>
    </row>
    <row r="12" spans="1:84" ht="26.1" customHeight="1" x14ac:dyDescent="0.2">
      <c r="A12" s="137" t="e">
        <f>A11</f>
        <v>#REF!</v>
      </c>
      <c r="B12" s="138" t="e">
        <f t="shared" ref="B12:F12" si="16">B11</f>
        <v>#REF!</v>
      </c>
      <c r="C12" s="138" t="e">
        <f t="shared" si="16"/>
        <v>#REF!</v>
      </c>
      <c r="D12" s="138" t="e">
        <f t="shared" si="16"/>
        <v>#REF!</v>
      </c>
      <c r="E12" s="130">
        <v>45835</v>
      </c>
      <c r="F12" s="130" t="e">
        <f t="shared" si="16"/>
        <v>#REF!</v>
      </c>
      <c r="G12" s="150" t="s">
        <v>151</v>
      </c>
      <c r="H12" s="98" t="e">
        <f>VLOOKUP(B12,load!$A$4:$Q$5001,8,0)+VLOOKUP(B12,load!$A$4:$Q$5001,12,0)</f>
        <v>#REF!</v>
      </c>
      <c r="I12" s="97">
        <v>6</v>
      </c>
      <c r="J12" s="98">
        <f t="shared" si="6"/>
        <v>54.599999999999994</v>
      </c>
      <c r="K12" s="99" t="e">
        <f t="shared" si="7"/>
        <v>#REF!</v>
      </c>
      <c r="L12" s="99" t="e">
        <f t="shared" si="8"/>
        <v>#REF!</v>
      </c>
      <c r="M12" s="99">
        <v>7</v>
      </c>
      <c r="N12" s="99">
        <f t="shared" si="9"/>
        <v>0</v>
      </c>
      <c r="O12" s="100">
        <v>45828</v>
      </c>
      <c r="P12" s="100">
        <f t="shared" si="10"/>
        <v>45835</v>
      </c>
      <c r="Q12" s="101">
        <v>0</v>
      </c>
      <c r="R12" s="101"/>
      <c r="S12" s="127" t="e">
        <f t="shared" si="11"/>
        <v>#REF!</v>
      </c>
      <c r="T12" s="127" t="e">
        <f t="shared" si="11"/>
        <v>#REF!</v>
      </c>
      <c r="U12" s="127" t="e">
        <f t="shared" si="11"/>
        <v>#REF!</v>
      </c>
      <c r="V12" s="127" t="e">
        <f t="shared" si="11"/>
        <v>#REF!</v>
      </c>
      <c r="W12" s="127" t="e">
        <f t="shared" si="11"/>
        <v>#REF!</v>
      </c>
      <c r="X12" s="127" t="e">
        <f t="shared" si="11"/>
        <v>#REF!</v>
      </c>
      <c r="Y12" s="127" t="e">
        <f t="shared" si="11"/>
        <v>#REF!</v>
      </c>
      <c r="Z12" s="127" t="e">
        <f t="shared" si="11"/>
        <v>#REF!</v>
      </c>
      <c r="AA12" s="127" t="e">
        <f t="shared" si="11"/>
        <v>#REF!</v>
      </c>
      <c r="AB12" s="127" t="e">
        <f t="shared" si="11"/>
        <v>#REF!</v>
      </c>
      <c r="AC12" s="127" t="e">
        <f t="shared" si="11"/>
        <v>#REF!</v>
      </c>
      <c r="AD12" s="127" t="e">
        <f t="shared" si="11"/>
        <v>#REF!</v>
      </c>
      <c r="AE12" s="127" t="e">
        <f t="shared" si="11"/>
        <v>#REF!</v>
      </c>
      <c r="AF12" s="127" t="e">
        <f t="shared" si="11"/>
        <v>#REF!</v>
      </c>
      <c r="AG12" s="127" t="e">
        <f t="shared" si="11"/>
        <v>#REF!</v>
      </c>
      <c r="AH12" s="127" t="e">
        <f t="shared" si="11"/>
        <v>#REF!</v>
      </c>
      <c r="AI12" s="127" t="e">
        <f t="shared" si="15"/>
        <v>#REF!</v>
      </c>
      <c r="AJ12" s="127" t="e">
        <f t="shared" si="15"/>
        <v>#REF!</v>
      </c>
      <c r="AK12" s="127" t="e">
        <f t="shared" si="15"/>
        <v>#REF!</v>
      </c>
      <c r="AL12" s="127" t="e">
        <f t="shared" si="15"/>
        <v>#REF!</v>
      </c>
      <c r="AM12" s="127" t="e">
        <f t="shared" si="15"/>
        <v>#REF!</v>
      </c>
      <c r="AN12" s="127" t="e">
        <f t="shared" si="15"/>
        <v>#REF!</v>
      </c>
      <c r="AO12" s="127" t="e">
        <f t="shared" si="15"/>
        <v>#REF!</v>
      </c>
      <c r="AP12" s="127" t="e">
        <f t="shared" si="15"/>
        <v>#REF!</v>
      </c>
      <c r="AQ12" s="127" t="e">
        <f t="shared" si="15"/>
        <v>#REF!</v>
      </c>
      <c r="AR12" s="127" t="e">
        <f t="shared" si="15"/>
        <v>#REF!</v>
      </c>
      <c r="AS12" s="127" t="e">
        <f t="shared" si="15"/>
        <v>#REF!</v>
      </c>
      <c r="AT12" s="127" t="e">
        <f t="shared" si="15"/>
        <v>#REF!</v>
      </c>
      <c r="AU12" s="127" t="e">
        <f t="shared" si="15"/>
        <v>#REF!</v>
      </c>
      <c r="AV12" s="127" t="e">
        <f t="shared" si="15"/>
        <v>#REF!</v>
      </c>
      <c r="AW12" s="127" t="e">
        <f t="shared" si="15"/>
        <v>#REF!</v>
      </c>
      <c r="AX12" s="127" t="e">
        <f t="shared" si="15"/>
        <v>#REF!</v>
      </c>
      <c r="AY12" s="127" t="e">
        <f t="shared" si="15"/>
        <v>#REF!</v>
      </c>
      <c r="AZ12" s="127" t="e">
        <f t="shared" si="15"/>
        <v>#REF!</v>
      </c>
      <c r="BA12" s="127" t="e">
        <f t="shared" si="15"/>
        <v>#REF!</v>
      </c>
      <c r="BB12" s="127" t="e">
        <f t="shared" si="15"/>
        <v>#REF!</v>
      </c>
      <c r="BC12" s="127" t="e">
        <f t="shared" si="15"/>
        <v>#REF!</v>
      </c>
      <c r="BD12" s="127" t="e">
        <f t="shared" si="15"/>
        <v>#REF!</v>
      </c>
      <c r="BE12" s="127" t="e">
        <f t="shared" si="15"/>
        <v>#REF!</v>
      </c>
      <c r="BF12" s="127" t="e">
        <f t="shared" si="15"/>
        <v>#REF!</v>
      </c>
      <c r="BG12" s="127" t="e">
        <f t="shared" si="15"/>
        <v>#REF!</v>
      </c>
      <c r="BH12" s="127" t="e">
        <f t="shared" si="15"/>
        <v>#REF!</v>
      </c>
      <c r="BI12" s="127" t="e">
        <f t="shared" si="3"/>
        <v>#REF!</v>
      </c>
      <c r="BJ12" s="127" t="e">
        <f t="shared" si="3"/>
        <v>#REF!</v>
      </c>
      <c r="BK12" s="127" t="e">
        <f t="shared" si="3"/>
        <v>#REF!</v>
      </c>
      <c r="BL12" s="127" t="e">
        <f t="shared" si="3"/>
        <v>#REF!</v>
      </c>
      <c r="BM12" s="127" t="e">
        <f t="shared" si="3"/>
        <v>#REF!</v>
      </c>
      <c r="BN12" s="127" t="e">
        <f t="shared" si="3"/>
        <v>#REF!</v>
      </c>
      <c r="BO12" s="127" t="e">
        <f t="shared" si="3"/>
        <v>#REF!</v>
      </c>
      <c r="BP12" s="127" t="e">
        <f t="shared" si="3"/>
        <v>#REF!</v>
      </c>
      <c r="BQ12" s="127" t="e">
        <f t="shared" si="3"/>
        <v>#REF!</v>
      </c>
      <c r="BR12" s="127" t="e">
        <f t="shared" si="3"/>
        <v>#REF!</v>
      </c>
      <c r="BS12" s="127" t="e">
        <f t="shared" si="3"/>
        <v>#REF!</v>
      </c>
      <c r="BT12" s="127" t="e">
        <f t="shared" si="3"/>
        <v>#REF!</v>
      </c>
      <c r="BU12" s="127" t="e">
        <f t="shared" si="4"/>
        <v>#REF!</v>
      </c>
      <c r="BV12" s="127" t="e">
        <f t="shared" si="4"/>
        <v>#REF!</v>
      </c>
      <c r="BW12" s="127" t="e">
        <f t="shared" si="4"/>
        <v>#REF!</v>
      </c>
      <c r="BX12" s="127" t="e">
        <f t="shared" si="4"/>
        <v>#REF!</v>
      </c>
      <c r="BY12" s="127" t="e">
        <f t="shared" si="4"/>
        <v>#REF!</v>
      </c>
      <c r="BZ12" s="127" t="e">
        <f t="shared" si="4"/>
        <v>#REF!</v>
      </c>
      <c r="CA12" s="127" t="e">
        <f t="shared" si="4"/>
        <v>#REF!</v>
      </c>
      <c r="CB12" s="127" t="e">
        <f t="shared" si="4"/>
        <v>#REF!</v>
      </c>
      <c r="CC12" s="127" t="e">
        <f t="shared" si="4"/>
        <v>#REF!</v>
      </c>
      <c r="CD12" s="127" t="e">
        <f t="shared" si="4"/>
        <v>#REF!</v>
      </c>
      <c r="CE12" s="127" t="e">
        <f t="shared" si="4"/>
        <v>#REF!</v>
      </c>
      <c r="CF12" s="127" t="e">
        <f t="shared" si="4"/>
        <v>#REF!</v>
      </c>
    </row>
    <row r="17" spans="1:1" x14ac:dyDescent="0.2">
      <c r="A17" s="71" t="s">
        <v>120</v>
      </c>
    </row>
    <row r="19" spans="1:1" x14ac:dyDescent="0.2">
      <c r="A19" s="71" t="s">
        <v>121</v>
      </c>
    </row>
    <row r="20" spans="1:1" x14ac:dyDescent="0.2">
      <c r="A20" s="71" t="s">
        <v>122</v>
      </c>
    </row>
    <row r="21" spans="1:1" x14ac:dyDescent="0.2">
      <c r="A21" s="71" t="s">
        <v>123</v>
      </c>
    </row>
    <row r="22" spans="1:1" x14ac:dyDescent="0.2">
      <c r="A22" s="71" t="s">
        <v>124</v>
      </c>
    </row>
    <row r="24" spans="1:1" x14ac:dyDescent="0.2">
      <c r="A24" s="71" t="s">
        <v>125</v>
      </c>
    </row>
    <row r="27" spans="1:1" x14ac:dyDescent="0.2">
      <c r="A27" s="71" t="s">
        <v>126</v>
      </c>
    </row>
    <row r="28" spans="1:1" x14ac:dyDescent="0.2">
      <c r="A28" s="71" t="s">
        <v>127</v>
      </c>
    </row>
    <row r="30" spans="1:1" x14ac:dyDescent="0.2">
      <c r="A30" s="71" t="s">
        <v>128</v>
      </c>
    </row>
    <row r="32" spans="1:1" x14ac:dyDescent="0.2">
      <c r="A32" s="71" t="s">
        <v>130</v>
      </c>
    </row>
    <row r="33" spans="1:12" x14ac:dyDescent="0.2">
      <c r="A33" s="71" t="s">
        <v>129</v>
      </c>
    </row>
    <row r="34" spans="1:12" x14ac:dyDescent="0.2">
      <c r="A34" s="71" t="s">
        <v>131</v>
      </c>
    </row>
    <row r="36" spans="1:12" x14ac:dyDescent="0.2">
      <c r="A36" s="71" t="s">
        <v>132</v>
      </c>
    </row>
    <row r="38" spans="1:12" x14ac:dyDescent="0.2">
      <c r="A38" s="71" t="s">
        <v>133</v>
      </c>
    </row>
    <row r="39" spans="1:12" x14ac:dyDescent="0.2">
      <c r="A39" s="71" t="s">
        <v>134</v>
      </c>
    </row>
    <row r="41" spans="1:12" x14ac:dyDescent="0.2">
      <c r="A41" s="71" t="s">
        <v>135</v>
      </c>
    </row>
    <row r="42" spans="1:12" x14ac:dyDescent="0.2">
      <c r="A42" s="71" t="s">
        <v>136</v>
      </c>
    </row>
    <row r="44" spans="1:12" ht="38.25" x14ac:dyDescent="0.2">
      <c r="C44" s="75" t="s">
        <v>145</v>
      </c>
      <c r="D44" s="75" t="s">
        <v>144</v>
      </c>
      <c r="E44" s="136" t="s">
        <v>139</v>
      </c>
      <c r="F44" s="141" t="s">
        <v>140</v>
      </c>
      <c r="H44" s="144" t="s">
        <v>142</v>
      </c>
      <c r="I44" s="143" t="s">
        <v>141</v>
      </c>
      <c r="J44" s="143" t="s">
        <v>141</v>
      </c>
      <c r="K44" s="146" t="s">
        <v>143</v>
      </c>
      <c r="L44" s="147" t="s">
        <v>40</v>
      </c>
    </row>
    <row r="45" spans="1:12" x14ac:dyDescent="0.2">
      <c r="A45" s="71" t="s">
        <v>137</v>
      </c>
      <c r="C45" s="75">
        <f>1800*4</f>
        <v>7200</v>
      </c>
      <c r="D45" s="75">
        <f>C45/1000</f>
        <v>7.2</v>
      </c>
      <c r="E45" s="75">
        <f>D45*340</f>
        <v>2448</v>
      </c>
      <c r="F45" s="71">
        <v>2.16</v>
      </c>
      <c r="G45" s="76">
        <f>E45/F45</f>
        <v>1133.3333333333333</v>
      </c>
      <c r="H45" s="74">
        <f>G45/60</f>
        <v>18.888888888888889</v>
      </c>
      <c r="I45" s="142">
        <f>H45*2</f>
        <v>37.777777777777779</v>
      </c>
      <c r="J45" s="74">
        <f>SUM(H45:I45)</f>
        <v>56.666666666666671</v>
      </c>
      <c r="K45" s="145">
        <f>J45/21.5</f>
        <v>2.6356589147286824</v>
      </c>
      <c r="L45" s="76" t="s">
        <v>147</v>
      </c>
    </row>
    <row r="46" spans="1:12" x14ac:dyDescent="0.2">
      <c r="A46" s="71" t="s">
        <v>138</v>
      </c>
      <c r="C46" s="75">
        <f>1000*8</f>
        <v>8000</v>
      </c>
      <c r="D46" s="75">
        <f>C46/1000</f>
        <v>8</v>
      </c>
      <c r="E46" s="75">
        <f>D46*340</f>
        <v>2720</v>
      </c>
      <c r="F46" s="71">
        <v>2.16</v>
      </c>
      <c r="G46" s="76">
        <f>E46/F46</f>
        <v>1259.2592592592591</v>
      </c>
      <c r="H46" s="74">
        <f>G46/60</f>
        <v>20.987654320987652</v>
      </c>
      <c r="I46" s="142">
        <f>H46*2</f>
        <v>41.975308641975303</v>
      </c>
      <c r="J46" s="74">
        <f>SUM(H46:I46)</f>
        <v>62.962962962962955</v>
      </c>
      <c r="K46" s="145">
        <f>J46/21.5</f>
        <v>2.9285099052540908</v>
      </c>
    </row>
    <row r="47" spans="1:12" x14ac:dyDescent="0.2">
      <c r="K47" s="145">
        <f>SUM(K45:K46)</f>
        <v>5.5641688199827737</v>
      </c>
    </row>
    <row r="49" spans="1:7" x14ac:dyDescent="0.2">
      <c r="A49" s="71" t="s">
        <v>146</v>
      </c>
    </row>
    <row r="50" spans="1:7" x14ac:dyDescent="0.2">
      <c r="A50" s="75"/>
      <c r="E50" s="75"/>
      <c r="F50" s="141"/>
      <c r="G50" s="75"/>
    </row>
    <row r="51" spans="1:7" x14ac:dyDescent="0.2">
      <c r="A51" s="71" t="s">
        <v>148</v>
      </c>
      <c r="E51" s="75"/>
      <c r="G51" s="76"/>
    </row>
    <row r="52" spans="1:7" x14ac:dyDescent="0.2">
      <c r="E52" s="75"/>
      <c r="G52" s="76"/>
    </row>
    <row r="53" spans="1:7" x14ac:dyDescent="0.2">
      <c r="A53" s="71" t="s">
        <v>153</v>
      </c>
    </row>
    <row r="54" spans="1:7" x14ac:dyDescent="0.2">
      <c r="A54" s="71" t="s">
        <v>149</v>
      </c>
    </row>
    <row r="55" spans="1:7" x14ac:dyDescent="0.2">
      <c r="A55" s="71" t="s">
        <v>150</v>
      </c>
    </row>
    <row r="57" spans="1:7" x14ac:dyDescent="0.2">
      <c r="A57" s="151" t="s">
        <v>155</v>
      </c>
    </row>
    <row r="58" spans="1:7" x14ac:dyDescent="0.2">
      <c r="A58" s="71" t="s">
        <v>156</v>
      </c>
    </row>
    <row r="59" spans="1:7" x14ac:dyDescent="0.2">
      <c r="A59" s="71" t="s">
        <v>157</v>
      </c>
    </row>
    <row r="60" spans="1:7" x14ac:dyDescent="0.2">
      <c r="A60" s="71" t="s">
        <v>162</v>
      </c>
    </row>
    <row r="62" spans="1:7" x14ac:dyDescent="0.2">
      <c r="A62" s="71" t="s">
        <v>160</v>
      </c>
    </row>
    <row r="64" spans="1:7" x14ac:dyDescent="0.2">
      <c r="A64" s="71" t="s">
        <v>154</v>
      </c>
    </row>
    <row r="65" spans="1:1" x14ac:dyDescent="0.2">
      <c r="A65" s="71" t="s">
        <v>159</v>
      </c>
    </row>
    <row r="66" spans="1:1" x14ac:dyDescent="0.2">
      <c r="A66" s="71" t="s">
        <v>158</v>
      </c>
    </row>
    <row r="68" spans="1:1" x14ac:dyDescent="0.2">
      <c r="A68" s="71" t="s">
        <v>161</v>
      </c>
    </row>
    <row r="69" spans="1:1" x14ac:dyDescent="0.2">
      <c r="A69" s="71" t="s">
        <v>163</v>
      </c>
    </row>
  </sheetData>
  <autoFilter ref="A6:BH12" xr:uid="{00000000-0009-0000-0000-00000D000000}"/>
  <conditionalFormatting sqref="A8:D8 F8 A10:D10 F10 A12:D12 F12">
    <cfRule type="expression" dxfId="70" priority="116">
      <formula>A8=A7</formula>
    </cfRule>
  </conditionalFormatting>
  <conditionalFormatting sqref="Q1:R1048576">
    <cfRule type="cellIs" dxfId="69" priority="118" operator="lessThan">
      <formula>1</formula>
    </cfRule>
    <cfRule type="cellIs" dxfId="68" priority="119" operator="equal">
      <formula>1</formula>
    </cfRule>
  </conditionalFormatting>
  <conditionalFormatting sqref="Q7:R12">
    <cfRule type="dataBar" priority="117">
      <dataBar>
        <cfvo type="num" val="0"/>
        <cfvo type="num" val="1"/>
        <color rgb="FFFFB628"/>
      </dataBar>
      <extLst>
        <ext xmlns:x14="http://schemas.microsoft.com/office/spreadsheetml/2009/9/main" uri="{B025F937-C7B1-47D3-B67F-A62EFF666E3E}">
          <x14:id>{E8F0DB46-8B1E-47D4-99D9-F99C2AD7669B}</x14:id>
        </ext>
      </extLst>
    </cfRule>
  </conditionalFormatting>
  <conditionalFormatting sqref="S7:CF12">
    <cfRule type="expression" dxfId="67" priority="96">
      <formula>IF(AND($O7&lt;=S$3,$P7&gt;=S$3),1,"")</formula>
    </cfRule>
  </conditionalFormatting>
  <pageMargins left="0.7" right="0.7" top="0.75" bottom="0.75" header="0.3" footer="0.3"/>
  <pageSetup paperSize="9" orientation="portrait" horizontalDpi="0" verticalDpi="0" r:id="rId1"/>
  <extLst>
    <ext xmlns:x14="http://schemas.microsoft.com/office/spreadsheetml/2009/9/main" uri="{78C0D931-6437-407d-A8EE-F0AAD7539E65}">
      <x14:conditionalFormattings>
        <x14:conditionalFormatting xmlns:xm="http://schemas.microsoft.com/office/excel/2006/main">
          <x14:cfRule type="dataBar" id="{E8F0DB46-8B1E-47D4-99D9-F99C2AD7669B}">
            <x14:dataBar minLength="0" maxLength="100" gradient="0">
              <x14:cfvo type="num">
                <xm:f>0</xm:f>
              </x14:cfvo>
              <x14:cfvo type="num">
                <xm:f>1</xm:f>
              </x14:cfvo>
              <x14:negativeFillColor rgb="FFFF0000"/>
              <x14:axisColor rgb="FF000000"/>
            </x14:dataBar>
          </x14:cfRule>
          <xm:sqref>Q7:R12</xm:sqref>
        </x14:conditionalFormatting>
      </x14:conditionalFormatting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23" filterMode="1"/>
  <dimension ref="A1:CE48"/>
  <sheetViews>
    <sheetView showGridLines="0" zoomScaleNormal="100" workbookViewId="0">
      <pane xSplit="16" ySplit="7" topLeftCell="Q8" activePane="bottomRight" state="frozen"/>
      <selection pane="topRight" activeCell="Q1" sqref="Q1"/>
      <selection pane="bottomLeft" activeCell="A8" sqref="A8"/>
      <selection pane="bottomRight" activeCell="P34" sqref="P34"/>
    </sheetView>
  </sheetViews>
  <sheetFormatPr defaultColWidth="9.28515625" defaultRowHeight="12.75" outlineLevelCol="1" x14ac:dyDescent="0.2"/>
  <cols>
    <col min="1" max="1" width="9.7109375" style="72" customWidth="1"/>
    <col min="2" max="2" width="21.7109375" style="71" customWidth="1"/>
    <col min="3" max="3" width="7.28515625" style="71" customWidth="1"/>
    <col min="4" max="4" width="7.7109375" style="71" customWidth="1"/>
    <col min="5" max="5" width="9.7109375" style="174" customWidth="1"/>
    <col min="6" max="6" width="7.5703125" style="71" customWidth="1"/>
    <col min="7" max="7" width="11.5703125" style="74" hidden="1" customWidth="1" outlineLevel="1"/>
    <col min="8" max="8" width="11.7109375" style="75" hidden="1" customWidth="1" outlineLevel="1"/>
    <col min="9" max="9" width="11.28515625" style="74" hidden="1" customWidth="1" outlineLevel="1"/>
    <col min="10" max="10" width="8.7109375" style="76" hidden="1" customWidth="1" outlineLevel="1"/>
    <col min="11" max="11" width="7.7109375" style="76" hidden="1" customWidth="1" outlineLevel="1"/>
    <col min="12" max="12" width="9" style="74" customWidth="1" collapsed="1"/>
    <col min="13" max="13" width="9" style="74" hidden="1" customWidth="1" outlineLevel="1"/>
    <col min="14" max="14" width="7.42578125" style="174" hidden="1" customWidth="1" outlineLevel="1"/>
    <col min="15" max="15" width="8.28515625" style="174" customWidth="1" collapsed="1"/>
    <col min="16" max="17" width="11.28515625" style="78" customWidth="1"/>
    <col min="18" max="32" width="6.5703125" style="71" bestFit="1" customWidth="1"/>
    <col min="33" max="83" width="7.28515625" style="71" bestFit="1" customWidth="1"/>
    <col min="84" max="16384" width="9.28515625" style="71"/>
  </cols>
  <sheetData>
    <row r="1" spans="1:83" x14ac:dyDescent="0.2">
      <c r="R1" s="105">
        <f>'T&amp;D'!Q1</f>
        <v>0</v>
      </c>
      <c r="S1" s="105">
        <f>'T&amp;D'!R1</f>
        <v>0</v>
      </c>
      <c r="T1" s="105">
        <f>'T&amp;D'!S1</f>
        <v>0</v>
      </c>
      <c r="U1" s="105">
        <f>'T&amp;D'!T1</f>
        <v>0</v>
      </c>
      <c r="V1" s="105">
        <f>'T&amp;D'!U1</f>
        <v>0</v>
      </c>
      <c r="W1" s="105">
        <f>'T&amp;D'!V1</f>
        <v>0</v>
      </c>
      <c r="X1" s="105">
        <f>'T&amp;D'!W1</f>
        <v>0</v>
      </c>
      <c r="Y1" s="105">
        <f>'T&amp;D'!X1</f>
        <v>0</v>
      </c>
      <c r="Z1" s="105">
        <f>'T&amp;D'!Y1</f>
        <v>0</v>
      </c>
      <c r="AA1" s="105">
        <f>'T&amp;D'!Z1</f>
        <v>0</v>
      </c>
      <c r="AB1" s="105">
        <f>'T&amp;D'!AA1</f>
        <v>0</v>
      </c>
      <c r="AC1" s="105">
        <f>'T&amp;D'!AB1</f>
        <v>0</v>
      </c>
      <c r="AD1" s="105">
        <f>'T&amp;D'!AC1</f>
        <v>0</v>
      </c>
      <c r="AE1" s="105">
        <f>'T&amp;D'!AD1</f>
        <v>0</v>
      </c>
      <c r="AF1" s="105">
        <f>'T&amp;D'!AE1</f>
        <v>0</v>
      </c>
      <c r="AG1" s="105">
        <f>'T&amp;D'!AF1</f>
        <v>0</v>
      </c>
      <c r="AH1" s="105">
        <f>'T&amp;D'!AG1</f>
        <v>0</v>
      </c>
      <c r="AI1" s="105">
        <f>'T&amp;D'!AH1</f>
        <v>0</v>
      </c>
      <c r="AJ1" s="105">
        <f>'T&amp;D'!AI1</f>
        <v>0</v>
      </c>
      <c r="AK1" s="105">
        <f>'T&amp;D'!AJ1</f>
        <v>0</v>
      </c>
      <c r="AL1" s="105">
        <f>'T&amp;D'!AK1</f>
        <v>0</v>
      </c>
      <c r="AM1" s="105">
        <f>'T&amp;D'!AL1</f>
        <v>0</v>
      </c>
      <c r="AN1" s="105">
        <f>'T&amp;D'!AM1</f>
        <v>0</v>
      </c>
      <c r="AO1" s="105">
        <f>'T&amp;D'!AN1</f>
        <v>0</v>
      </c>
      <c r="AP1" s="105">
        <f>'T&amp;D'!AO1</f>
        <v>0</v>
      </c>
      <c r="AQ1" s="105">
        <f>'T&amp;D'!AP1</f>
        <v>0</v>
      </c>
      <c r="AR1" s="105">
        <f>'T&amp;D'!AQ1</f>
        <v>0</v>
      </c>
      <c r="AS1" s="105">
        <f>'T&amp;D'!AR1</f>
        <v>0</v>
      </c>
      <c r="AT1" s="105">
        <f>'T&amp;D'!AS1</f>
        <v>0</v>
      </c>
      <c r="AU1" s="105">
        <f>'T&amp;D'!AT1</f>
        <v>0</v>
      </c>
      <c r="AV1" s="105">
        <f>'T&amp;D'!AU1</f>
        <v>0</v>
      </c>
      <c r="AW1" s="105">
        <f>'T&amp;D'!AV1</f>
        <v>0</v>
      </c>
      <c r="AX1" s="105">
        <f>'T&amp;D'!AW1</f>
        <v>0</v>
      </c>
      <c r="AY1" s="105">
        <f>'T&amp;D'!AX1</f>
        <v>0</v>
      </c>
      <c r="AZ1" s="105">
        <f>'T&amp;D'!AY1</f>
        <v>0</v>
      </c>
      <c r="BA1" s="105">
        <f>'T&amp;D'!AZ1</f>
        <v>0</v>
      </c>
      <c r="BB1" s="105">
        <f>'T&amp;D'!BA1</f>
        <v>0</v>
      </c>
      <c r="BC1" s="105">
        <f>'T&amp;D'!BB1</f>
        <v>0</v>
      </c>
      <c r="BD1" s="105">
        <f>'T&amp;D'!BC1</f>
        <v>0</v>
      </c>
      <c r="BE1" s="105">
        <f>'T&amp;D'!BD1</f>
        <v>0</v>
      </c>
      <c r="BF1" s="105">
        <f>'T&amp;D'!BE1</f>
        <v>0</v>
      </c>
      <c r="BG1" s="105">
        <f>'T&amp;D'!BF1</f>
        <v>0</v>
      </c>
      <c r="BH1" s="105">
        <f>'T&amp;D'!BG1</f>
        <v>0</v>
      </c>
      <c r="BI1" s="105">
        <f>'T&amp;D'!BH1</f>
        <v>0</v>
      </c>
      <c r="BJ1" s="105">
        <f>'T&amp;D'!BI1</f>
        <v>0</v>
      </c>
      <c r="BK1" s="105">
        <f>'T&amp;D'!BJ1</f>
        <v>0</v>
      </c>
      <c r="BL1" s="105">
        <f>'T&amp;D'!BK1</f>
        <v>0</v>
      </c>
      <c r="BM1" s="105">
        <f>'T&amp;D'!BL1</f>
        <v>0</v>
      </c>
      <c r="BN1" s="105">
        <f>'T&amp;D'!BM1</f>
        <v>0</v>
      </c>
      <c r="BO1" s="105">
        <f>'T&amp;D'!BN1</f>
        <v>0</v>
      </c>
      <c r="BP1" s="105">
        <f>'T&amp;D'!BO1</f>
        <v>0</v>
      </c>
      <c r="BQ1" s="105">
        <f>'T&amp;D'!BP1</f>
        <v>0</v>
      </c>
      <c r="BR1" s="105">
        <f>'T&amp;D'!BQ1</f>
        <v>0</v>
      </c>
      <c r="BS1" s="105">
        <f>'T&amp;D'!BR1</f>
        <v>0</v>
      </c>
      <c r="BT1" s="105">
        <f>'T&amp;D'!BS1</f>
        <v>0</v>
      </c>
      <c r="BU1" s="105">
        <f>'T&amp;D'!BT1</f>
        <v>0</v>
      </c>
      <c r="BV1" s="105">
        <f>'T&amp;D'!BU1</f>
        <v>0</v>
      </c>
      <c r="BW1" s="105">
        <f>'T&amp;D'!BV1</f>
        <v>0</v>
      </c>
      <c r="BX1" s="105">
        <f>'T&amp;D'!BW1</f>
        <v>0</v>
      </c>
      <c r="BY1" s="105">
        <f>'T&amp;D'!BX1</f>
        <v>0</v>
      </c>
      <c r="BZ1" s="105">
        <f>'T&amp;D'!BY1</f>
        <v>0</v>
      </c>
      <c r="CA1" s="105">
        <f>'T&amp;D'!BZ1</f>
        <v>0</v>
      </c>
      <c r="CB1" s="105">
        <f>'T&amp;D'!CA1</f>
        <v>0</v>
      </c>
      <c r="CC1" s="105">
        <f>'T&amp;D'!CB1</f>
        <v>0</v>
      </c>
      <c r="CD1" s="105">
        <f>'T&amp;D'!CC1</f>
        <v>0</v>
      </c>
      <c r="CE1" s="105">
        <f>'T&amp;D'!CD1</f>
        <v>0</v>
      </c>
    </row>
    <row r="2" spans="1:83" x14ac:dyDescent="0.2">
      <c r="A2" s="103" t="s">
        <v>225</v>
      </c>
      <c r="R2" s="105" t="str">
        <f>'T&amp;D'!Q2</f>
        <v>w/O OT</v>
      </c>
      <c r="S2" s="105" t="str">
        <f>'T&amp;D'!R2</f>
        <v>w/O OT</v>
      </c>
      <c r="T2" s="105" t="str">
        <f>'T&amp;D'!S2</f>
        <v>w/O OT</v>
      </c>
      <c r="U2" s="105" t="str">
        <f>'T&amp;D'!T2</f>
        <v>w/O OT</v>
      </c>
      <c r="V2" s="105" t="str">
        <f>'T&amp;D'!U2</f>
        <v>Fri</v>
      </c>
      <c r="W2" s="105" t="str">
        <f>'T&amp;D'!V2</f>
        <v>Sat</v>
      </c>
      <c r="X2" s="105" t="str">
        <f>'T&amp;D'!W2</f>
        <v>w/O OT</v>
      </c>
      <c r="Y2" s="105" t="str">
        <f>'T&amp;D'!X2</f>
        <v>w/O OT</v>
      </c>
      <c r="Z2" s="105" t="str">
        <f>'T&amp;D'!Y2</f>
        <v>w/O OT</v>
      </c>
      <c r="AA2" s="105" t="str">
        <f>'T&amp;D'!Z2</f>
        <v>w/O OT</v>
      </c>
      <c r="AB2" s="105" t="str">
        <f>'T&amp;D'!AA2</f>
        <v>Fri</v>
      </c>
      <c r="AC2" s="105" t="str">
        <f>'T&amp;D'!AB2</f>
        <v>Sat</v>
      </c>
      <c r="AD2" s="105" t="str">
        <f>'T&amp;D'!AC2</f>
        <v>w/O OT</v>
      </c>
      <c r="AE2" s="105" t="str">
        <f>'T&amp;D'!AD2</f>
        <v>w/O OT</v>
      </c>
      <c r="AF2" s="105" t="str">
        <f>'T&amp;D'!AE2</f>
        <v>w/O OT</v>
      </c>
      <c r="AG2" s="105" t="str">
        <f>'T&amp;D'!AF2</f>
        <v>w/O OT</v>
      </c>
      <c r="AH2" s="105" t="str">
        <f>'T&amp;D'!AG2</f>
        <v>Fri</v>
      </c>
      <c r="AI2" s="105" t="str">
        <f>'T&amp;D'!AH2</f>
        <v>Sat</v>
      </c>
      <c r="AJ2" s="105" t="str">
        <f>'T&amp;D'!AI2</f>
        <v>w/O OT</v>
      </c>
      <c r="AK2" s="105" t="str">
        <f>'T&amp;D'!AJ2</f>
        <v>w/O OT</v>
      </c>
      <c r="AL2" s="105" t="str">
        <f>'T&amp;D'!AK2</f>
        <v>w/O OT</v>
      </c>
      <c r="AM2" s="105" t="str">
        <f>'T&amp;D'!AL2</f>
        <v>w/O OT</v>
      </c>
      <c r="AN2" s="105" t="str">
        <f>'T&amp;D'!AM2</f>
        <v>Fri</v>
      </c>
      <c r="AO2" s="105" t="str">
        <f>'T&amp;D'!AN2</f>
        <v>Sat</v>
      </c>
      <c r="AP2" s="105" t="str">
        <f>'T&amp;D'!AO2</f>
        <v>w/O OT</v>
      </c>
      <c r="AQ2" s="105" t="str">
        <f>'T&amp;D'!AP2</f>
        <v>w/O OT</v>
      </c>
      <c r="AR2" s="105" t="str">
        <f>'T&amp;D'!AQ2</f>
        <v>w/O OT</v>
      </c>
      <c r="AS2" s="105" t="str">
        <f>'T&amp;D'!AR2</f>
        <v>w/O OT</v>
      </c>
      <c r="AT2" s="105" t="str">
        <f>'T&amp;D'!AS2</f>
        <v>Fri</v>
      </c>
      <c r="AU2" s="105" t="str">
        <f>'T&amp;D'!AT2</f>
        <v>Sat</v>
      </c>
      <c r="AV2" s="105" t="str">
        <f>'T&amp;D'!AU2</f>
        <v>w/O OT</v>
      </c>
      <c r="AW2" s="105" t="str">
        <f>'T&amp;D'!AV2</f>
        <v>w/O OT</v>
      </c>
      <c r="AX2" s="105" t="str">
        <f>'T&amp;D'!AW2</f>
        <v>w/O OT</v>
      </c>
      <c r="AY2" s="105" t="str">
        <f>'T&amp;D'!AX2</f>
        <v>w/O OT</v>
      </c>
      <c r="AZ2" s="105" t="str">
        <f>'T&amp;D'!AY2</f>
        <v>Fri</v>
      </c>
      <c r="BA2" s="105" t="str">
        <f>'T&amp;D'!AZ2</f>
        <v>Sat</v>
      </c>
      <c r="BB2" s="105" t="str">
        <f>'T&amp;D'!BA2</f>
        <v>w/O OT</v>
      </c>
      <c r="BC2" s="105" t="str">
        <f>'T&amp;D'!BB2</f>
        <v>w/O OT</v>
      </c>
      <c r="BD2" s="105" t="str">
        <f>'T&amp;D'!BC2</f>
        <v>w/O OT</v>
      </c>
      <c r="BE2" s="105" t="str">
        <f>'T&amp;D'!BD2</f>
        <v>w/O OT</v>
      </c>
      <c r="BF2" s="105" t="str">
        <f>'T&amp;D'!BE2</f>
        <v>Fri</v>
      </c>
      <c r="BG2" s="105" t="str">
        <f>'T&amp;D'!BF2</f>
        <v>Sat</v>
      </c>
      <c r="BH2" s="105" t="str">
        <f>'T&amp;D'!BG2</f>
        <v>w/O OT</v>
      </c>
      <c r="BI2" s="105" t="str">
        <f>'T&amp;D'!BH2</f>
        <v>w/O OT</v>
      </c>
      <c r="BJ2" s="105" t="str">
        <f>'T&amp;D'!BI2</f>
        <v>w/O OT</v>
      </c>
      <c r="BK2" s="105" t="str">
        <f>'T&amp;D'!BJ2</f>
        <v>w/O OT</v>
      </c>
      <c r="BL2" s="105" t="str">
        <f>'T&amp;D'!BK2</f>
        <v>Fri</v>
      </c>
      <c r="BM2" s="105" t="str">
        <f>'T&amp;D'!BL2</f>
        <v>Sat</v>
      </c>
      <c r="BN2" s="105" t="str">
        <f>'T&amp;D'!BM2</f>
        <v>w/O OT</v>
      </c>
      <c r="BO2" s="105" t="str">
        <f>'T&amp;D'!BN2</f>
        <v>w/O OT</v>
      </c>
      <c r="BP2" s="105" t="str">
        <f>'T&amp;D'!BO2</f>
        <v>w/O OT</v>
      </c>
      <c r="BQ2" s="105" t="str">
        <f>'T&amp;D'!BP2</f>
        <v>w/O OT</v>
      </c>
      <c r="BR2" s="105" t="str">
        <f>'T&amp;D'!BQ2</f>
        <v>Fri</v>
      </c>
      <c r="BS2" s="105" t="str">
        <f>'T&amp;D'!BR2</f>
        <v>Sat</v>
      </c>
      <c r="BT2" s="105" t="str">
        <f>'T&amp;D'!BS2</f>
        <v>w/O OT</v>
      </c>
      <c r="BU2" s="105" t="str">
        <f>'T&amp;D'!BT2</f>
        <v>w/O OT</v>
      </c>
      <c r="BV2" s="105" t="str">
        <f>'T&amp;D'!BU2</f>
        <v>w/O OT</v>
      </c>
      <c r="BW2" s="105" t="str">
        <f>'T&amp;D'!BV2</f>
        <v>w/O OT</v>
      </c>
      <c r="BX2" s="105" t="str">
        <f>'T&amp;D'!BW2</f>
        <v>Fri</v>
      </c>
      <c r="BY2" s="105" t="str">
        <f>'T&amp;D'!BX2</f>
        <v>Sat</v>
      </c>
      <c r="BZ2" s="105" t="str">
        <f>'T&amp;D'!BY2</f>
        <v>w/O OT</v>
      </c>
      <c r="CA2" s="105" t="str">
        <f>'T&amp;D'!BZ2</f>
        <v>w/O OT</v>
      </c>
      <c r="CB2" s="105" t="str">
        <f>'T&amp;D'!CA2</f>
        <v>w/O OT</v>
      </c>
      <c r="CC2" s="105" t="str">
        <f>'T&amp;D'!CB2</f>
        <v>w/O OT</v>
      </c>
      <c r="CD2" s="105" t="str">
        <f>'T&amp;D'!CC2</f>
        <v>Fri</v>
      </c>
      <c r="CE2" s="105" t="str">
        <f>'T&amp;D'!CD2</f>
        <v>Sat</v>
      </c>
    </row>
    <row r="3" spans="1:83" s="80" customFormat="1" x14ac:dyDescent="0.2">
      <c r="A3" s="79"/>
      <c r="C3" s="71" t="s">
        <v>109</v>
      </c>
      <c r="D3" s="75" t="s">
        <v>110</v>
      </c>
      <c r="E3" s="174" t="s">
        <v>90</v>
      </c>
      <c r="L3" s="85"/>
      <c r="M3" s="85"/>
      <c r="N3" s="177"/>
      <c r="O3" s="177"/>
      <c r="P3" s="81"/>
      <c r="Q3" s="81"/>
      <c r="R3" s="82">
        <f>'T&amp;D'!Q3</f>
        <v>46314</v>
      </c>
      <c r="S3" s="82">
        <f>'T&amp;D'!R3</f>
        <v>46315</v>
      </c>
      <c r="T3" s="82">
        <f>'T&amp;D'!S3</f>
        <v>46316</v>
      </c>
      <c r="U3" s="82">
        <f>'T&amp;D'!T3</f>
        <v>46317</v>
      </c>
      <c r="V3" s="82">
        <f>'T&amp;D'!U3</f>
        <v>46318</v>
      </c>
      <c r="W3" s="82">
        <f>'T&amp;D'!V3</f>
        <v>46319</v>
      </c>
      <c r="X3" s="82">
        <f>'T&amp;D'!W3</f>
        <v>46321</v>
      </c>
      <c r="Y3" s="82">
        <f>'T&amp;D'!X3</f>
        <v>46322</v>
      </c>
      <c r="Z3" s="82">
        <f>'T&amp;D'!Y3</f>
        <v>46323</v>
      </c>
      <c r="AA3" s="82">
        <f>'T&amp;D'!Z3</f>
        <v>46324</v>
      </c>
      <c r="AB3" s="82">
        <f>'T&amp;D'!AA3</f>
        <v>46325</v>
      </c>
      <c r="AC3" s="82">
        <f>'T&amp;D'!AB3</f>
        <v>46326</v>
      </c>
      <c r="AD3" s="82">
        <f>'T&amp;D'!AC3</f>
        <v>46328</v>
      </c>
      <c r="AE3" s="82">
        <f>'T&amp;D'!AD3</f>
        <v>46329</v>
      </c>
      <c r="AF3" s="82">
        <f>'T&amp;D'!AE3</f>
        <v>46330</v>
      </c>
      <c r="AG3" s="82">
        <f>'T&amp;D'!AF3</f>
        <v>46331</v>
      </c>
      <c r="AH3" s="82">
        <f>'T&amp;D'!AG3</f>
        <v>46332</v>
      </c>
      <c r="AI3" s="82">
        <f>'T&amp;D'!AH3</f>
        <v>46333</v>
      </c>
      <c r="AJ3" s="82">
        <f>'T&amp;D'!AI3</f>
        <v>46335</v>
      </c>
      <c r="AK3" s="82">
        <f>'T&amp;D'!AJ3</f>
        <v>46336</v>
      </c>
      <c r="AL3" s="82">
        <f>'T&amp;D'!AK3</f>
        <v>46337</v>
      </c>
      <c r="AM3" s="82">
        <f>'T&amp;D'!AL3</f>
        <v>46338</v>
      </c>
      <c r="AN3" s="82">
        <f>'T&amp;D'!AM3</f>
        <v>46339</v>
      </c>
      <c r="AO3" s="82">
        <f>'T&amp;D'!AN3</f>
        <v>46340</v>
      </c>
      <c r="AP3" s="82">
        <f>'T&amp;D'!AO3</f>
        <v>46342</v>
      </c>
      <c r="AQ3" s="82">
        <f>'T&amp;D'!AP3</f>
        <v>46343</v>
      </c>
      <c r="AR3" s="82">
        <f>'T&amp;D'!AQ3</f>
        <v>46344</v>
      </c>
      <c r="AS3" s="82">
        <f>'T&amp;D'!AR3</f>
        <v>46345</v>
      </c>
      <c r="AT3" s="82">
        <f>'T&amp;D'!AS3</f>
        <v>46346</v>
      </c>
      <c r="AU3" s="82">
        <f>'T&amp;D'!AT3</f>
        <v>46347</v>
      </c>
      <c r="AV3" s="82">
        <f>'T&amp;D'!AU3</f>
        <v>46349</v>
      </c>
      <c r="AW3" s="82">
        <f>'T&amp;D'!AV3</f>
        <v>46350</v>
      </c>
      <c r="AX3" s="82">
        <f>'T&amp;D'!AW3</f>
        <v>46351</v>
      </c>
      <c r="AY3" s="82">
        <f>'T&amp;D'!AX3</f>
        <v>46352</v>
      </c>
      <c r="AZ3" s="82">
        <f>'T&amp;D'!AY3</f>
        <v>46353</v>
      </c>
      <c r="BA3" s="82">
        <f>'T&amp;D'!AZ3</f>
        <v>46354</v>
      </c>
      <c r="BB3" s="82">
        <f>'T&amp;D'!BA3</f>
        <v>46356</v>
      </c>
      <c r="BC3" s="82">
        <f>'T&amp;D'!BB3</f>
        <v>46357</v>
      </c>
      <c r="BD3" s="82">
        <f>'T&amp;D'!BC3</f>
        <v>46358</v>
      </c>
      <c r="BE3" s="82">
        <f>'T&amp;D'!BD3</f>
        <v>46359</v>
      </c>
      <c r="BF3" s="82">
        <f>'T&amp;D'!BE3</f>
        <v>46360</v>
      </c>
      <c r="BG3" s="82">
        <f>'T&amp;D'!BF3</f>
        <v>46361</v>
      </c>
      <c r="BH3" s="82">
        <f>'T&amp;D'!BG3</f>
        <v>46363</v>
      </c>
      <c r="BI3" s="82">
        <f>'T&amp;D'!BH3</f>
        <v>46364</v>
      </c>
      <c r="BJ3" s="82">
        <f>'T&amp;D'!BI3</f>
        <v>46365</v>
      </c>
      <c r="BK3" s="82">
        <f>'T&amp;D'!BJ3</f>
        <v>46366</v>
      </c>
      <c r="BL3" s="82">
        <f>'T&amp;D'!BK3</f>
        <v>46367</v>
      </c>
      <c r="BM3" s="82">
        <f>'T&amp;D'!BL3</f>
        <v>46368</v>
      </c>
      <c r="BN3" s="82">
        <f>'T&amp;D'!BM3</f>
        <v>46370</v>
      </c>
      <c r="BO3" s="82">
        <f>'T&amp;D'!BN3</f>
        <v>46371</v>
      </c>
      <c r="BP3" s="82">
        <f>'T&amp;D'!BO3</f>
        <v>46372</v>
      </c>
      <c r="BQ3" s="82">
        <f>'T&amp;D'!BP3</f>
        <v>46373</v>
      </c>
      <c r="BR3" s="82">
        <f>'T&amp;D'!BQ3</f>
        <v>46374</v>
      </c>
      <c r="BS3" s="82">
        <f>'T&amp;D'!BR3</f>
        <v>46375</v>
      </c>
      <c r="BT3" s="82">
        <f>'T&amp;D'!BS3</f>
        <v>46377</v>
      </c>
      <c r="BU3" s="82">
        <f>'T&amp;D'!BT3</f>
        <v>46378</v>
      </c>
      <c r="BV3" s="82">
        <f>'T&amp;D'!BU3</f>
        <v>46379</v>
      </c>
      <c r="BW3" s="82">
        <f>'T&amp;D'!BV3</f>
        <v>46380</v>
      </c>
      <c r="BX3" s="82">
        <f>'T&amp;D'!BW3</f>
        <v>46381</v>
      </c>
      <c r="BY3" s="82">
        <f>'T&amp;D'!BX3</f>
        <v>46382</v>
      </c>
      <c r="BZ3" s="82">
        <f>'T&amp;D'!BY3</f>
        <v>46384</v>
      </c>
      <c r="CA3" s="82">
        <f>'T&amp;D'!BZ3</f>
        <v>46385</v>
      </c>
      <c r="CB3" s="82">
        <f>'T&amp;D'!CA3</f>
        <v>46386</v>
      </c>
      <c r="CC3" s="82">
        <f>'T&amp;D'!CB3</f>
        <v>46387</v>
      </c>
      <c r="CD3" s="82">
        <f>'T&amp;D'!CC3</f>
        <v>46388</v>
      </c>
      <c r="CE3" s="82">
        <f>'T&amp;D'!CD3</f>
        <v>46389</v>
      </c>
    </row>
    <row r="4" spans="1:83" s="84" customFormat="1" x14ac:dyDescent="0.2">
      <c r="A4" s="83"/>
      <c r="D4" s="173"/>
      <c r="E4" s="174" t="s">
        <v>228</v>
      </c>
      <c r="F4" s="157" t="e">
        <f>SUM(F8:F4974)</f>
        <v>#REF!</v>
      </c>
      <c r="I4" s="85">
        <f>45.5/5</f>
        <v>9.1</v>
      </c>
      <c r="L4" s="85">
        <f>SUM(L8:L4972)</f>
        <v>0</v>
      </c>
      <c r="M4" s="85"/>
      <c r="N4" s="178">
        <f>'T&amp;D'!M4</f>
        <v>46314</v>
      </c>
      <c r="O4" s="177"/>
      <c r="P4" s="81"/>
      <c r="Q4" s="81"/>
      <c r="R4" s="104">
        <f>'T&amp;D'!Q4</f>
        <v>45817</v>
      </c>
      <c r="S4" s="104">
        <f>'T&amp;D'!R4</f>
        <v>45818</v>
      </c>
      <c r="T4" s="104">
        <f>'T&amp;D'!S4</f>
        <v>45819</v>
      </c>
      <c r="U4" s="104">
        <f>'T&amp;D'!T4</f>
        <v>45820</v>
      </c>
      <c r="V4" s="104">
        <f>'T&amp;D'!U4</f>
        <v>45821</v>
      </c>
      <c r="W4" s="104">
        <f>'T&amp;D'!V4</f>
        <v>45822</v>
      </c>
      <c r="X4" s="104">
        <f>'T&amp;D'!W4</f>
        <v>45824</v>
      </c>
      <c r="Y4" s="104">
        <f>'T&amp;D'!X4</f>
        <v>45825</v>
      </c>
      <c r="Z4" s="104">
        <f>'T&amp;D'!Y4</f>
        <v>45826</v>
      </c>
      <c r="AA4" s="104">
        <f>'T&amp;D'!Z4</f>
        <v>45827</v>
      </c>
      <c r="AB4" s="104">
        <f>'T&amp;D'!AA4</f>
        <v>45828</v>
      </c>
      <c r="AC4" s="104">
        <f>'T&amp;D'!AB4</f>
        <v>45829</v>
      </c>
      <c r="AD4" s="104">
        <f>'T&amp;D'!AC4</f>
        <v>45831</v>
      </c>
      <c r="AE4" s="104">
        <f>'T&amp;D'!AD4</f>
        <v>45832</v>
      </c>
      <c r="AF4" s="104">
        <f>'T&amp;D'!AE4</f>
        <v>45833</v>
      </c>
      <c r="AG4" s="104">
        <f>'T&amp;D'!AF4</f>
        <v>45834</v>
      </c>
      <c r="AH4" s="104">
        <f>'T&amp;D'!AG4</f>
        <v>45835</v>
      </c>
      <c r="AI4" s="104">
        <f>'T&amp;D'!AH4</f>
        <v>45836</v>
      </c>
      <c r="AJ4" s="104">
        <f>'T&amp;D'!AI4</f>
        <v>45838</v>
      </c>
      <c r="AK4" s="104">
        <f>'T&amp;D'!AJ4</f>
        <v>45839</v>
      </c>
      <c r="AL4" s="104">
        <f>'T&amp;D'!AK4</f>
        <v>45840</v>
      </c>
      <c r="AM4" s="104">
        <f>'T&amp;D'!AL4</f>
        <v>45841</v>
      </c>
      <c r="AN4" s="104">
        <f>'T&amp;D'!AM4</f>
        <v>45842</v>
      </c>
      <c r="AO4" s="104">
        <f>'T&amp;D'!AN4</f>
        <v>45843</v>
      </c>
      <c r="AP4" s="104">
        <f>'T&amp;D'!AO4</f>
        <v>45845</v>
      </c>
      <c r="AQ4" s="104">
        <f>'T&amp;D'!AP4</f>
        <v>45846</v>
      </c>
      <c r="AR4" s="104">
        <f>'T&amp;D'!AQ4</f>
        <v>45847</v>
      </c>
      <c r="AS4" s="104">
        <f>'T&amp;D'!AR4</f>
        <v>45848</v>
      </c>
      <c r="AT4" s="104">
        <f>'T&amp;D'!AS4</f>
        <v>45849</v>
      </c>
      <c r="AU4" s="104">
        <f>'T&amp;D'!AT4</f>
        <v>45850</v>
      </c>
      <c r="AV4" s="104">
        <f>'T&amp;D'!AU4</f>
        <v>45852</v>
      </c>
      <c r="AW4" s="104">
        <f>'T&amp;D'!AV4</f>
        <v>45853</v>
      </c>
      <c r="AX4" s="104">
        <f>'T&amp;D'!AW4</f>
        <v>45854</v>
      </c>
      <c r="AY4" s="104">
        <f>'T&amp;D'!AX4</f>
        <v>45855</v>
      </c>
      <c r="AZ4" s="104">
        <f>'T&amp;D'!AY4</f>
        <v>45856</v>
      </c>
      <c r="BA4" s="104">
        <f>'T&amp;D'!AZ4</f>
        <v>45857</v>
      </c>
      <c r="BB4" s="104">
        <f>'T&amp;D'!BA4</f>
        <v>45859</v>
      </c>
      <c r="BC4" s="104">
        <f>'T&amp;D'!BB4</f>
        <v>45860</v>
      </c>
      <c r="BD4" s="104">
        <f>'T&amp;D'!BC4</f>
        <v>45861</v>
      </c>
      <c r="BE4" s="104">
        <f>'T&amp;D'!BD4</f>
        <v>45862</v>
      </c>
      <c r="BF4" s="104">
        <f>'T&amp;D'!BE4</f>
        <v>45863</v>
      </c>
      <c r="BG4" s="104">
        <f>'T&amp;D'!BF4</f>
        <v>45864</v>
      </c>
      <c r="BH4" s="104">
        <f>'T&amp;D'!BG4</f>
        <v>45866</v>
      </c>
      <c r="BI4" s="104">
        <f>'T&amp;D'!BH4</f>
        <v>45867</v>
      </c>
      <c r="BJ4" s="104">
        <f>'T&amp;D'!BI4</f>
        <v>45868</v>
      </c>
      <c r="BK4" s="104">
        <f>'T&amp;D'!BJ4</f>
        <v>45869</v>
      </c>
      <c r="BL4" s="104">
        <f>'T&amp;D'!BK4</f>
        <v>45870</v>
      </c>
      <c r="BM4" s="104">
        <f>'T&amp;D'!BL4</f>
        <v>45871</v>
      </c>
      <c r="BN4" s="104">
        <f>'T&amp;D'!BM4</f>
        <v>45873</v>
      </c>
      <c r="BO4" s="104">
        <f>'T&amp;D'!BN4</f>
        <v>45874</v>
      </c>
      <c r="BP4" s="104">
        <f>'T&amp;D'!BO4</f>
        <v>45875</v>
      </c>
      <c r="BQ4" s="104">
        <f>'T&amp;D'!BP4</f>
        <v>45876</v>
      </c>
      <c r="BR4" s="104">
        <f>'T&amp;D'!BQ4</f>
        <v>45877</v>
      </c>
      <c r="BS4" s="104">
        <f>'T&amp;D'!BR4</f>
        <v>45878</v>
      </c>
      <c r="BT4" s="104">
        <f>'T&amp;D'!BS4</f>
        <v>45880</v>
      </c>
      <c r="BU4" s="104">
        <f>'T&amp;D'!BT4</f>
        <v>45881</v>
      </c>
      <c r="BV4" s="104">
        <f>'T&amp;D'!BU4</f>
        <v>45882</v>
      </c>
      <c r="BW4" s="104">
        <f>'T&amp;D'!BV4</f>
        <v>45883</v>
      </c>
      <c r="BX4" s="104">
        <f>'T&amp;D'!BW4</f>
        <v>45884</v>
      </c>
      <c r="BY4" s="104">
        <f>'T&amp;D'!BX4</f>
        <v>45885</v>
      </c>
      <c r="BZ4" s="104">
        <f>'T&amp;D'!BY4</f>
        <v>45887</v>
      </c>
      <c r="CA4" s="104">
        <f>'T&amp;D'!BZ4</f>
        <v>45888</v>
      </c>
      <c r="CB4" s="104">
        <f>'T&amp;D'!CA4</f>
        <v>45889</v>
      </c>
      <c r="CC4" s="104">
        <f>'T&amp;D'!CB4</f>
        <v>45890</v>
      </c>
      <c r="CD4" s="104">
        <f>'T&amp;D'!CC4</f>
        <v>45891</v>
      </c>
      <c r="CE4" s="104">
        <f>'T&amp;D'!CD4</f>
        <v>45892</v>
      </c>
    </row>
    <row r="5" spans="1:83" s="84" customFormat="1" ht="11.25" customHeight="1" x14ac:dyDescent="0.2">
      <c r="A5" s="386" t="s">
        <v>2</v>
      </c>
      <c r="B5" s="386" t="s">
        <v>214</v>
      </c>
      <c r="C5" s="387" t="s">
        <v>91</v>
      </c>
      <c r="D5" s="388" t="s">
        <v>0</v>
      </c>
      <c r="E5" s="389" t="s">
        <v>103</v>
      </c>
      <c r="F5" s="388" t="s">
        <v>89</v>
      </c>
      <c r="G5" s="392" t="s">
        <v>93</v>
      </c>
      <c r="H5" s="388" t="s">
        <v>94</v>
      </c>
      <c r="I5" s="390" t="s">
        <v>95</v>
      </c>
      <c r="J5" s="393" t="s">
        <v>242</v>
      </c>
      <c r="K5" s="393" t="s">
        <v>243</v>
      </c>
      <c r="L5" s="390" t="s">
        <v>241</v>
      </c>
      <c r="M5" s="390" t="s">
        <v>240</v>
      </c>
      <c r="N5" s="389" t="s">
        <v>98</v>
      </c>
      <c r="O5" s="389" t="s">
        <v>99</v>
      </c>
      <c r="P5" s="391" t="s">
        <v>102</v>
      </c>
      <c r="Q5" s="125" t="s">
        <v>106</v>
      </c>
      <c r="R5" s="126" cm="1">
        <f t="array" ref="R5">_xlfn.IFS(R2="w/ OT",12.25,R2="w/o OT",9.5,R2="FRI",7.5,R2="SAT",7.5,R2="SUN",7.5,R2="OFF",0)</f>
        <v>9.5</v>
      </c>
      <c r="S5" s="126" cm="1">
        <f t="array" ref="S5">_xlfn.IFS(S2="w/ OT",12.25,S2="w/o OT",9.5,S2="FRI",7.5,S2="SAT",7.5,S2="SUN",7.5,S2="OFF",0)</f>
        <v>9.5</v>
      </c>
      <c r="T5" s="126" cm="1">
        <f t="array" ref="T5">_xlfn.IFS(T2="w/ OT",12.25,T2="w/o OT",9.5,T2="FRI",7.5,T2="SAT",7.5,T2="SUN",7.5,T2="OFF",0)</f>
        <v>9.5</v>
      </c>
      <c r="U5" s="126" cm="1">
        <f t="array" ref="U5">_xlfn.IFS(U2="w/ OT",12.25,U2="w/o OT",9.5,U2="FRI",7.5,U2="SAT",7.5,U2="SUN",7.5,U2="OFF",0)</f>
        <v>9.5</v>
      </c>
      <c r="V5" s="126" cm="1">
        <f t="array" ref="V5">_xlfn.IFS(V2="w/ OT",12.25,V2="w/o OT",9.5,V2="FRI",7.5,V2="SAT",7.5,V2="SUN",7.5,V2="OFF",0)</f>
        <v>7.5</v>
      </c>
      <c r="W5" s="126" cm="1">
        <f t="array" ref="W5">_xlfn.IFS(W2="w/ OT",12.25,W2="w/o OT",9.5,W2="FRI",7.5,W2="SAT",7.5,W2="SUN",7.5,W2="OFF",0)</f>
        <v>7.5</v>
      </c>
      <c r="X5" s="126" cm="1">
        <f t="array" ref="X5">_xlfn.IFS(X2="w/ OT",12.25,X2="w/o OT",9.5,X2="FRI",7.5,X2="SAT",7.5,X2="SUN",7.5,X2="OFF",0)</f>
        <v>9.5</v>
      </c>
      <c r="Y5" s="126" cm="1">
        <f t="array" ref="Y5">_xlfn.IFS(Y2="w/ OT",12.25,Y2="w/o OT",9.5,Y2="FRI",7.5,Y2="SAT",7.5,Y2="SUN",7.5,Y2="OFF",0)</f>
        <v>9.5</v>
      </c>
      <c r="Z5" s="126" cm="1">
        <f t="array" ref="Z5">_xlfn.IFS(Z2="w/ OT",12.25,Z2="w/o OT",9.5,Z2="FRI",7.5,Z2="SAT",7.5,Z2="SUN",7.5,Z2="OFF",0)</f>
        <v>9.5</v>
      </c>
      <c r="AA5" s="126" cm="1">
        <f t="array" ref="AA5">_xlfn.IFS(AA2="w/ OT",12.25,AA2="w/o OT",9.5,AA2="FRI",7.5,AA2="SAT",7.5,AA2="SUN",7.5,AA2="OFF",0)</f>
        <v>9.5</v>
      </c>
      <c r="AB5" s="126" cm="1">
        <f t="array" ref="AB5">_xlfn.IFS(AB2="w/ OT",12.25,AB2="w/o OT",9.5,AB2="FRI",7.5,AB2="SAT",7.5,AB2="SUN",7.5,AB2="OFF",0)</f>
        <v>7.5</v>
      </c>
      <c r="AC5" s="126" cm="1">
        <f t="array" ref="AC5">_xlfn.IFS(AC2="w/ OT",12.25,AC2="w/o OT",9.5,AC2="FRI",7.5,AC2="SAT",7.5,AC2="SUN",7.5,AC2="OFF",0)</f>
        <v>7.5</v>
      </c>
      <c r="AD5" s="126" cm="1">
        <f t="array" ref="AD5">_xlfn.IFS(AD2="w/ OT",12.25,AD2="w/o OT",9.5,AD2="FRI",7.5,AD2="SAT",7.5,AD2="SUN",7.5,AD2="OFF",0)</f>
        <v>9.5</v>
      </c>
      <c r="AE5" s="126" cm="1">
        <f t="array" ref="AE5">_xlfn.IFS(AE2="w/ OT",12.25,AE2="w/o OT",9.5,AE2="FRI",7.5,AE2="SAT",7.5,AE2="SUN",7.5,AE2="OFF",0)</f>
        <v>9.5</v>
      </c>
      <c r="AF5" s="126" cm="1">
        <f t="array" ref="AF5">_xlfn.IFS(AF2="w/ OT",12.25,AF2="w/o OT",9.5,AF2="FRI",7.5,AF2="SAT",7.5,AF2="SUN",7.5,AF2="OFF",0)</f>
        <v>9.5</v>
      </c>
      <c r="AG5" s="126" cm="1">
        <f t="array" ref="AG5">_xlfn.IFS(AG2="w/ OT",12.25,AG2="w/o OT",9.5,AG2="FRI",7.5,AG2="SAT",7.5,AG2="SUN",7.5,AG2="OFF",0)</f>
        <v>9.5</v>
      </c>
      <c r="AH5" s="126" cm="1">
        <f t="array" ref="AH5">_xlfn.IFS(AH2="w/ OT",12.25,AH2="w/o OT",9.5,AH2="FRI",7.5,AH2="SAT",7.5,AH2="SUN",7.5,AH2="OFF",0)</f>
        <v>7.5</v>
      </c>
      <c r="AI5" s="126" cm="1">
        <f t="array" ref="AI5">_xlfn.IFS(AI2="w/ OT",12.25,AI2="w/o OT",9.5,AI2="FRI",7.5,AI2="SAT",7.5,AI2="SUN",7.5,AI2="OFF",0)</f>
        <v>7.5</v>
      </c>
      <c r="AJ5" s="126" cm="1">
        <f t="array" ref="AJ5">_xlfn.IFS(AJ2="w/ OT",12.25,AJ2="w/o OT",9.5,AJ2="FRI",7.5,AJ2="SAT",7.5,AJ2="SUN",7.5,AJ2="OFF",0)</f>
        <v>9.5</v>
      </c>
      <c r="AK5" s="126" cm="1">
        <f t="array" ref="AK5">_xlfn.IFS(AK2="w/ OT",12.25,AK2="w/o OT",9.5,AK2="FRI",7.5,AK2="SAT",7.5,AK2="SUN",7.5,AK2="OFF",0)</f>
        <v>9.5</v>
      </c>
      <c r="AL5" s="126" cm="1">
        <f t="array" ref="AL5">_xlfn.IFS(AL2="w/ OT",12.25,AL2="w/o OT",9.5,AL2="FRI",7.5,AL2="SAT",7.5,AL2="SUN",7.5,AL2="OFF",0)</f>
        <v>9.5</v>
      </c>
      <c r="AM5" s="126" cm="1">
        <f t="array" ref="AM5">_xlfn.IFS(AM2="w/ OT",12.25,AM2="w/o OT",9.5,AM2="FRI",7.5,AM2="SAT",7.5,AM2="SUN",7.5,AM2="OFF",0)</f>
        <v>9.5</v>
      </c>
      <c r="AN5" s="126" cm="1">
        <f t="array" ref="AN5">_xlfn.IFS(AN2="w/ OT",12.25,AN2="w/o OT",9.5,AN2="FRI",7.5,AN2="SAT",7.5,AN2="SUN",7.5,AN2="OFF",0)</f>
        <v>7.5</v>
      </c>
      <c r="AO5" s="126" cm="1">
        <f t="array" ref="AO5">_xlfn.IFS(AO2="w/ OT",12.25,AO2="w/o OT",9.5,AO2="FRI",7.5,AO2="SAT",7.5,AO2="SUN",7.5,AO2="OFF",0)</f>
        <v>7.5</v>
      </c>
      <c r="AP5" s="126" cm="1">
        <f t="array" ref="AP5">_xlfn.IFS(AP2="w/ OT",12.25,AP2="w/o OT",9.5,AP2="FRI",7.5,AP2="SAT",7.5,AP2="SUN",7.5,AP2="OFF",0)</f>
        <v>9.5</v>
      </c>
      <c r="AQ5" s="126" cm="1">
        <f t="array" ref="AQ5">_xlfn.IFS(AQ2="w/ OT",12.25,AQ2="w/o OT",9.5,AQ2="FRI",7.5,AQ2="SAT",7.5,AQ2="SUN",7.5,AQ2="OFF",0)</f>
        <v>9.5</v>
      </c>
      <c r="AR5" s="126" cm="1">
        <f t="array" ref="AR5">_xlfn.IFS(AR2="w/ OT",12.25,AR2="w/o OT",9.5,AR2="FRI",7.5,AR2="SAT",7.5,AR2="SUN",7.5,AR2="OFF",0)</f>
        <v>9.5</v>
      </c>
      <c r="AS5" s="126" cm="1">
        <f t="array" ref="AS5">_xlfn.IFS(AS2="w/ OT",12.25,AS2="w/o OT",9.5,AS2="FRI",7.5,AS2="SAT",7.5,AS2="SUN",7.5,AS2="OFF",0)</f>
        <v>9.5</v>
      </c>
      <c r="AT5" s="126" cm="1">
        <f t="array" ref="AT5">_xlfn.IFS(AT2="w/ OT",12.25,AT2="w/o OT",9.5,AT2="FRI",7.5,AT2="SAT",7.5,AT2="SUN",7.5,AT2="OFF",0)</f>
        <v>7.5</v>
      </c>
      <c r="AU5" s="126" cm="1">
        <f t="array" ref="AU5">_xlfn.IFS(AU2="w/ OT",12.25,AU2="w/o OT",9.5,AU2="FRI",7.5,AU2="SAT",7.5,AU2="SUN",7.5,AU2="OFF",0)</f>
        <v>7.5</v>
      </c>
      <c r="AV5" s="126" cm="1">
        <f t="array" ref="AV5">_xlfn.IFS(AV2="w/ OT",12.25,AV2="w/o OT",9.5,AV2="FRI",7.5,AV2="SAT",7.5,AV2="SUN",7.5,AV2="OFF",0)</f>
        <v>9.5</v>
      </c>
      <c r="AW5" s="126" cm="1">
        <f t="array" ref="AW5">_xlfn.IFS(AW2="w/ OT",12.25,AW2="w/o OT",9.5,AW2="FRI",7.5,AW2="SAT",7.5,AW2="SUN",7.5,AW2="OFF",0)</f>
        <v>9.5</v>
      </c>
      <c r="AX5" s="126" cm="1">
        <f t="array" ref="AX5">_xlfn.IFS(AX2="w/ OT",12.25,AX2="w/o OT",9.5,AX2="FRI",7.5,AX2="SAT",7.5,AX2="SUN",7.5,AX2="OFF",0)</f>
        <v>9.5</v>
      </c>
      <c r="AY5" s="126" cm="1">
        <f t="array" ref="AY5">_xlfn.IFS(AY2="w/ OT",12.25,AY2="w/o OT",9.5,AY2="FRI",7.5,AY2="SAT",7.5,AY2="SUN",7.5,AY2="OFF",0)</f>
        <v>9.5</v>
      </c>
      <c r="AZ5" s="126" cm="1">
        <f t="array" ref="AZ5">_xlfn.IFS(AZ2="w/ OT",12.25,AZ2="w/o OT",9.5,AZ2="FRI",7.5,AZ2="SAT",7.5,AZ2="SUN",7.5,AZ2="OFF",0)</f>
        <v>7.5</v>
      </c>
      <c r="BA5" s="126" cm="1">
        <f t="array" ref="BA5">_xlfn.IFS(BA2="w/ OT",12.25,BA2="w/o OT",9.5,BA2="FRI",7.5,BA2="SAT",7.5,BA2="SUN",7.5,BA2="OFF",0)</f>
        <v>7.5</v>
      </c>
      <c r="BB5" s="126" cm="1">
        <f t="array" ref="BB5">_xlfn.IFS(BB2="w/ OT",12.25,BB2="w/o OT",9.5,BB2="FRI",7.5,BB2="SAT",7.5,BB2="SUN",7.5,BB2="OFF",0)</f>
        <v>9.5</v>
      </c>
      <c r="BC5" s="126" cm="1">
        <f t="array" ref="BC5">_xlfn.IFS(BC2="w/ OT",12.25,BC2="w/o OT",9.5,BC2="FRI",7.5,BC2="SAT",7.5,BC2="SUN",7.5,BC2="OFF",0)</f>
        <v>9.5</v>
      </c>
      <c r="BD5" s="126" cm="1">
        <f t="array" ref="BD5">_xlfn.IFS(BD2="w/ OT",12.25,BD2="w/o OT",9.5,BD2="FRI",7.5,BD2="SAT",7.5,BD2="SUN",7.5,BD2="OFF",0)</f>
        <v>9.5</v>
      </c>
      <c r="BE5" s="126" cm="1">
        <f t="array" ref="BE5">_xlfn.IFS(BE2="w/ OT",12.25,BE2="w/o OT",9.5,BE2="FRI",7.5,BE2="SAT",7.5,BE2="SUN",7.5,BE2="OFF",0)</f>
        <v>9.5</v>
      </c>
      <c r="BF5" s="126" cm="1">
        <f t="array" ref="BF5">_xlfn.IFS(BF2="w/ OT",12.25,BF2="w/o OT",9.5,BF2="FRI",7.5,BF2="SAT",7.5,BF2="SUN",7.5,BF2="OFF",0)</f>
        <v>7.5</v>
      </c>
      <c r="BG5" s="126" cm="1">
        <f t="array" ref="BG5">_xlfn.IFS(BG2="w/ OT",12.25,BG2="w/o OT",9.5,BG2="FRI",7.5,BG2="SAT",7.5,BG2="SUN",7.5,BG2="OFF",0)</f>
        <v>7.5</v>
      </c>
      <c r="BH5" s="126" cm="1">
        <f t="array" ref="BH5">_xlfn.IFS(BH2="w/ OT",12.25,BH2="w/o OT",9.5,BH2="FRI",7.5,BH2="SAT",7.5,BH2="SUN",7.5,BH2="OFF",0)</f>
        <v>9.5</v>
      </c>
      <c r="BI5" s="126" cm="1">
        <f t="array" ref="BI5">_xlfn.IFS(BI2="w/ OT",12.25,BI2="w/o OT",9.5,BI2="FRI",7.5,BI2="SAT",7.5,BI2="SUN",7.5,BI2="OFF",0)</f>
        <v>9.5</v>
      </c>
      <c r="BJ5" s="126" cm="1">
        <f t="array" ref="BJ5">_xlfn.IFS(BJ2="w/ OT",12.25,BJ2="w/o OT",9.5,BJ2="FRI",7.5,BJ2="SAT",7.5,BJ2="SUN",7.5,BJ2="OFF",0)</f>
        <v>9.5</v>
      </c>
      <c r="BK5" s="126" cm="1">
        <f t="array" ref="BK5">_xlfn.IFS(BK2="w/ OT",12.25,BK2="w/o OT",9.5,BK2="FRI",7.5,BK2="SAT",7.5,BK2="SUN",7.5,BK2="OFF",0)</f>
        <v>9.5</v>
      </c>
      <c r="BL5" s="126" cm="1">
        <f t="array" ref="BL5">_xlfn.IFS(BL2="w/ OT",12.25,BL2="w/o OT",9.5,BL2="FRI",7.5,BL2="SAT",7.5,BL2="SUN",7.5,BL2="OFF",0)</f>
        <v>7.5</v>
      </c>
      <c r="BM5" s="126" cm="1">
        <f t="array" ref="BM5">_xlfn.IFS(BM2="w/ OT",12.25,BM2="w/o OT",9.5,BM2="FRI",7.5,BM2="SAT",7.5,BM2="SUN",7.5,BM2="OFF",0)</f>
        <v>7.5</v>
      </c>
      <c r="BN5" s="126" cm="1">
        <f t="array" ref="BN5">_xlfn.IFS(BN2="w/ OT",12.25,BN2="w/o OT",9.5,BN2="FRI",7.5,BN2="SAT",7.5,BN2="SUN",7.5,BN2="OFF",0)</f>
        <v>9.5</v>
      </c>
      <c r="BO5" s="126" cm="1">
        <f t="array" ref="BO5">_xlfn.IFS(BO2="w/ OT",12.25,BO2="w/o OT",9.5,BO2="FRI",7.5,BO2="SAT",7.5,BO2="SUN",7.5,BO2="OFF",0)</f>
        <v>9.5</v>
      </c>
      <c r="BP5" s="126" cm="1">
        <f t="array" ref="BP5">_xlfn.IFS(BP2="w/ OT",12.25,BP2="w/o OT",9.5,BP2="FRI",7.5,BP2="SAT",7.5,BP2="SUN",7.5,BP2="OFF",0)</f>
        <v>9.5</v>
      </c>
      <c r="BQ5" s="126" cm="1">
        <f t="array" ref="BQ5">_xlfn.IFS(BQ2="w/ OT",12.25,BQ2="w/o OT",9.5,BQ2="FRI",7.5,BQ2="SAT",7.5,BQ2="SUN",7.5,BQ2="OFF",0)</f>
        <v>9.5</v>
      </c>
      <c r="BR5" s="126" cm="1">
        <f t="array" ref="BR5">_xlfn.IFS(BR2="w/ OT",12.25,BR2="w/o OT",9.5,BR2="FRI",7.5,BR2="SAT",7.5,BR2="SUN",7.5,BR2="OFF",0)</f>
        <v>7.5</v>
      </c>
      <c r="BS5" s="126" cm="1">
        <f t="array" ref="BS5">_xlfn.IFS(BS2="w/ OT",12.25,BS2="w/o OT",9.5,BS2="FRI",7.5,BS2="SAT",7.5,BS2="SUN",7.5,BS2="OFF",0)</f>
        <v>7.5</v>
      </c>
      <c r="BT5" s="126" cm="1">
        <f t="array" ref="BT5">_xlfn.IFS(BT2="w/ OT",12.25,BT2="w/o OT",9.5,BT2="FRI",7.5,BT2="SAT",7.5,BT2="SUN",7.5,BT2="OFF",0)</f>
        <v>9.5</v>
      </c>
      <c r="BU5" s="126" cm="1">
        <f t="array" ref="BU5">_xlfn.IFS(BU2="w/ OT",12.25,BU2="w/o OT",9.5,BU2="FRI",7.5,BU2="SAT",7.5,BU2="SUN",7.5,BU2="OFF",0)</f>
        <v>9.5</v>
      </c>
      <c r="BV5" s="126" cm="1">
        <f t="array" ref="BV5">_xlfn.IFS(BV2="w/ OT",12.25,BV2="w/o OT",9.5,BV2="FRI",7.5,BV2="SAT",7.5,BV2="SUN",7.5,BV2="OFF",0)</f>
        <v>9.5</v>
      </c>
      <c r="BW5" s="126" cm="1">
        <f t="array" ref="BW5">_xlfn.IFS(BW2="w/ OT",12.25,BW2="w/o OT",9.5,BW2="FRI",7.5,BW2="SAT",7.5,BW2="SUN",7.5,BW2="OFF",0)</f>
        <v>9.5</v>
      </c>
      <c r="BX5" s="126" cm="1">
        <f t="array" ref="BX5">_xlfn.IFS(BX2="w/ OT",12.25,BX2="w/o OT",9.5,BX2="FRI",7.5,BX2="SAT",7.5,BX2="SUN",7.5,BX2="OFF",0)</f>
        <v>7.5</v>
      </c>
      <c r="BY5" s="126" cm="1">
        <f t="array" ref="BY5">_xlfn.IFS(BY2="w/ OT",12.25,BY2="w/o OT",9.5,BY2="FRI",7.5,BY2="SAT",7.5,BY2="SUN",7.5,BY2="OFF",0)</f>
        <v>7.5</v>
      </c>
      <c r="BZ5" s="126" cm="1">
        <f t="array" ref="BZ5">_xlfn.IFS(BZ2="w/ OT",12.25,BZ2="w/o OT",9.5,BZ2="FRI",7.5,BZ2="SAT",7.5,BZ2="SUN",7.5,BZ2="OFF",0)</f>
        <v>9.5</v>
      </c>
      <c r="CA5" s="126" cm="1">
        <f t="array" ref="CA5">_xlfn.IFS(CA2="w/ OT",12.25,CA2="w/o OT",9.5,CA2="FRI",7.5,CA2="SAT",7.5,CA2="SUN",7.5,CA2="OFF",0)</f>
        <v>9.5</v>
      </c>
      <c r="CB5" s="126" cm="1">
        <f t="array" ref="CB5">_xlfn.IFS(CB2="w/ OT",12.25,CB2="w/o OT",9.5,CB2="FRI",7.5,CB2="SAT",7.5,CB2="SUN",7.5,CB2="OFF",0)</f>
        <v>9.5</v>
      </c>
      <c r="CC5" s="126" cm="1">
        <f t="array" ref="CC5">_xlfn.IFS(CC2="w/ OT",12.25,CC2="w/o OT",9.5,CC2="FRI",7.5,CC2="SAT",7.5,CC2="SUN",7.5,CC2="OFF",0)</f>
        <v>9.5</v>
      </c>
      <c r="CD5" s="126" cm="1">
        <f t="array" ref="CD5">_xlfn.IFS(CD2="w/ OT",12.25,CD2="w/o OT",9.5,CD2="FRI",7.5,CD2="SAT",7.5,CD2="SUN",7.5,CD2="OFF",0)</f>
        <v>7.5</v>
      </c>
      <c r="CE5" s="126" cm="1">
        <f t="array" ref="CE5">_xlfn.IFS(CE2="w/ OT",12.25,CE2="w/o OT",9.5,CE2="FRI",7.5,CE2="SAT",7.5,CE2="SUN",7.5,CE2="OFF",0)</f>
        <v>7.5</v>
      </c>
    </row>
    <row r="6" spans="1:83" ht="33.75" customHeight="1" x14ac:dyDescent="0.2">
      <c r="A6" s="386"/>
      <c r="B6" s="386"/>
      <c r="C6" s="387"/>
      <c r="D6" s="388"/>
      <c r="E6" s="389"/>
      <c r="F6" s="388"/>
      <c r="G6" s="392"/>
      <c r="H6" s="388"/>
      <c r="I6" s="390"/>
      <c r="J6" s="393"/>
      <c r="K6" s="393"/>
      <c r="L6" s="390"/>
      <c r="M6" s="390"/>
      <c r="N6" s="389"/>
      <c r="O6" s="389"/>
      <c r="P6" s="391"/>
      <c r="Q6" s="123" t="s">
        <v>107</v>
      </c>
      <c r="R6" s="124"/>
      <c r="S6" s="124"/>
      <c r="T6" s="124"/>
      <c r="U6" s="124"/>
      <c r="V6" s="124"/>
      <c r="W6" s="124"/>
      <c r="X6" s="124"/>
      <c r="Y6" s="124"/>
      <c r="Z6" s="124"/>
      <c r="AA6" s="124"/>
      <c r="AB6" s="124"/>
      <c r="AC6" s="124"/>
      <c r="AD6" s="124"/>
      <c r="AE6" s="124"/>
      <c r="AF6" s="124"/>
      <c r="AG6" s="124"/>
      <c r="AH6" s="124"/>
      <c r="AI6" s="124"/>
      <c r="AJ6" s="124"/>
      <c r="AK6" s="124"/>
      <c r="AL6" s="124"/>
      <c r="AM6" s="124"/>
      <c r="AN6" s="124"/>
      <c r="AO6" s="124"/>
      <c r="AP6" s="124"/>
      <c r="AQ6" s="124"/>
      <c r="AR6" s="124"/>
      <c r="AS6" s="124"/>
      <c r="AT6" s="124"/>
      <c r="AU6" s="124"/>
      <c r="AV6" s="124"/>
      <c r="AW6" s="124"/>
      <c r="AX6" s="124"/>
      <c r="AY6" s="124"/>
      <c r="AZ6" s="124"/>
      <c r="BA6" s="124"/>
      <c r="BB6" s="124"/>
      <c r="BC6" s="124"/>
      <c r="BD6" s="124"/>
      <c r="BE6" s="124"/>
      <c r="BF6" s="124"/>
      <c r="BG6" s="124"/>
      <c r="BH6" s="124"/>
      <c r="BI6" s="124"/>
      <c r="BJ6" s="124"/>
      <c r="BK6" s="124"/>
      <c r="BL6" s="124"/>
      <c r="BM6" s="124"/>
      <c r="BN6" s="124"/>
      <c r="BO6" s="124"/>
      <c r="BP6" s="124"/>
      <c r="BQ6" s="124"/>
      <c r="BR6" s="124"/>
      <c r="BS6" s="124"/>
      <c r="BT6" s="124"/>
      <c r="BU6" s="124"/>
      <c r="BV6" s="124"/>
      <c r="BW6" s="124"/>
      <c r="BX6" s="124"/>
      <c r="BY6" s="124"/>
      <c r="BZ6" s="124"/>
      <c r="CA6" s="124"/>
      <c r="CB6" s="124"/>
      <c r="CC6" s="124"/>
      <c r="CD6" s="124"/>
      <c r="CE6" s="124"/>
    </row>
    <row r="7" spans="1:83" ht="9" customHeight="1" x14ac:dyDescent="0.2">
      <c r="A7" s="86"/>
      <c r="B7" s="87"/>
      <c r="C7" s="88"/>
      <c r="D7" s="89"/>
      <c r="E7" s="182"/>
      <c r="F7" s="89"/>
      <c r="G7" s="91"/>
      <c r="H7" s="89"/>
      <c r="I7" s="92"/>
      <c r="J7" s="93"/>
      <c r="K7" s="93"/>
      <c r="L7" s="185"/>
      <c r="M7" s="185"/>
      <c r="N7" s="183"/>
      <c r="O7" s="183"/>
      <c r="P7" s="96"/>
      <c r="Q7" s="102"/>
    </row>
    <row r="8" spans="1:83" ht="12.6" hidden="1" customHeight="1" x14ac:dyDescent="0.2">
      <c r="A8" s="106" t="e">
        <f>SHIPMENTS!#REF!</f>
        <v>#REF!</v>
      </c>
      <c r="B8" s="106" t="e">
        <f>SHIPMENTS!#REF!</f>
        <v>#REF!</v>
      </c>
      <c r="C8" s="132" t="e">
        <f>SHIPMENTS!#REF!</f>
        <v>#REF!</v>
      </c>
      <c r="D8" s="107" t="e">
        <f>IF((SHIPMENTS!#REF!)=0,"",SHIPMENTS!#REF!)</f>
        <v>#REF!</v>
      </c>
      <c r="E8" s="176" t="e">
        <f>IF((SHIPMENTS!#REF!)=0,"",SHIPMENTS!#REF!)</f>
        <v>#REF!</v>
      </c>
      <c r="F8" s="97" t="e">
        <f>VLOOKUP(A8,Items!$A$5:$J$500,9,0)</f>
        <v>#REF!</v>
      </c>
      <c r="G8" s="98" t="e">
        <f>VLOOKUP(A8,load!$A$4:$U$5001,17,0)</f>
        <v>#REF!</v>
      </c>
      <c r="H8" s="97">
        <f>Manhours!$C$27</f>
        <v>42</v>
      </c>
      <c r="I8" s="98">
        <f>+H8*$I$4</f>
        <v>382.2</v>
      </c>
      <c r="J8" s="99" t="e">
        <f t="shared" ref="J8:J17" si="0">G8/I8</f>
        <v>#REF!</v>
      </c>
      <c r="K8" s="99" t="e">
        <f>+J8*$I$4</f>
        <v>#REF!</v>
      </c>
      <c r="L8" s="98">
        <f t="shared" ref="L8:L18" si="1">IFERROR(J8-(J8*P8),0)</f>
        <v>0</v>
      </c>
      <c r="M8" s="98">
        <f t="shared" ref="M8:M18" si="2">IFERROR(K8-(K8*P8),0)</f>
        <v>0</v>
      </c>
      <c r="N8" s="181"/>
      <c r="O8" s="181"/>
      <c r="P8" s="101" t="e">
        <f>VLOOKUP(A8,SHIPMENTS!$A$7:$N$171,14,0)</f>
        <v>#REF!</v>
      </c>
      <c r="Q8" s="101"/>
      <c r="R8" s="128" t="e">
        <f t="shared" ref="R8:AG29" si="3">IF($E8=R$3,"▲","")</f>
        <v>#REF!</v>
      </c>
      <c r="S8" s="128" t="e">
        <f t="shared" ref="S8:BF14" si="4">IF($E8=S$3,"▲","")</f>
        <v>#REF!</v>
      </c>
      <c r="T8" s="128" t="e">
        <f t="shared" si="4"/>
        <v>#REF!</v>
      </c>
      <c r="U8" s="128" t="e">
        <f t="shared" si="4"/>
        <v>#REF!</v>
      </c>
      <c r="V8" s="128" t="e">
        <f t="shared" si="4"/>
        <v>#REF!</v>
      </c>
      <c r="W8" s="128" t="e">
        <f t="shared" si="4"/>
        <v>#REF!</v>
      </c>
      <c r="X8" s="128" t="e">
        <f t="shared" si="4"/>
        <v>#REF!</v>
      </c>
      <c r="Y8" s="128" t="e">
        <f t="shared" si="4"/>
        <v>#REF!</v>
      </c>
      <c r="Z8" s="128" t="e">
        <f t="shared" si="4"/>
        <v>#REF!</v>
      </c>
      <c r="AA8" s="128" t="e">
        <f t="shared" si="4"/>
        <v>#REF!</v>
      </c>
      <c r="AB8" s="128" t="e">
        <f t="shared" si="4"/>
        <v>#REF!</v>
      </c>
      <c r="AC8" s="128" t="e">
        <f t="shared" si="4"/>
        <v>#REF!</v>
      </c>
      <c r="AD8" s="128" t="e">
        <f t="shared" si="4"/>
        <v>#REF!</v>
      </c>
      <c r="AE8" s="128" t="e">
        <f t="shared" si="4"/>
        <v>#REF!</v>
      </c>
      <c r="AF8" s="128" t="e">
        <f t="shared" si="4"/>
        <v>#REF!</v>
      </c>
      <c r="AG8" s="128" t="e">
        <f t="shared" si="4"/>
        <v>#REF!</v>
      </c>
      <c r="AH8" s="128" t="e">
        <f t="shared" si="4"/>
        <v>#REF!</v>
      </c>
      <c r="AI8" s="128" t="e">
        <f t="shared" si="4"/>
        <v>#REF!</v>
      </c>
      <c r="AJ8" s="128" t="e">
        <f t="shared" si="4"/>
        <v>#REF!</v>
      </c>
      <c r="AK8" s="128" t="e">
        <f t="shared" si="4"/>
        <v>#REF!</v>
      </c>
      <c r="AL8" s="128" t="e">
        <f t="shared" si="4"/>
        <v>#REF!</v>
      </c>
      <c r="AM8" s="128" t="e">
        <f t="shared" si="4"/>
        <v>#REF!</v>
      </c>
      <c r="AN8" s="128" t="e">
        <f t="shared" si="4"/>
        <v>#REF!</v>
      </c>
      <c r="AO8" s="128" t="e">
        <f t="shared" si="4"/>
        <v>#REF!</v>
      </c>
      <c r="AP8" s="128" t="e">
        <f t="shared" si="4"/>
        <v>#REF!</v>
      </c>
      <c r="AQ8" s="128" t="e">
        <f t="shared" si="4"/>
        <v>#REF!</v>
      </c>
      <c r="AR8" s="128" t="e">
        <f t="shared" si="4"/>
        <v>#REF!</v>
      </c>
      <c r="AS8" s="128" t="e">
        <f t="shared" si="4"/>
        <v>#REF!</v>
      </c>
      <c r="AT8" s="128" t="e">
        <f t="shared" si="4"/>
        <v>#REF!</v>
      </c>
      <c r="AU8" s="128" t="e">
        <f t="shared" si="4"/>
        <v>#REF!</v>
      </c>
      <c r="AV8" s="128" t="e">
        <f t="shared" si="4"/>
        <v>#REF!</v>
      </c>
      <c r="AW8" s="128" t="e">
        <f t="shared" si="4"/>
        <v>#REF!</v>
      </c>
      <c r="AX8" s="128" t="e">
        <f t="shared" si="4"/>
        <v>#REF!</v>
      </c>
      <c r="AY8" s="128" t="e">
        <f t="shared" si="4"/>
        <v>#REF!</v>
      </c>
      <c r="AZ8" s="128" t="e">
        <f t="shared" si="4"/>
        <v>#REF!</v>
      </c>
      <c r="BA8" s="128" t="e">
        <f t="shared" si="4"/>
        <v>#REF!</v>
      </c>
      <c r="BB8" s="128" t="e">
        <f t="shared" si="4"/>
        <v>#REF!</v>
      </c>
      <c r="BC8" s="128" t="e">
        <f t="shared" si="4"/>
        <v>#REF!</v>
      </c>
      <c r="BD8" s="128" t="e">
        <f t="shared" si="4"/>
        <v>#REF!</v>
      </c>
      <c r="BE8" s="128" t="e">
        <f t="shared" si="4"/>
        <v>#REF!</v>
      </c>
      <c r="BF8" s="128" t="e">
        <f t="shared" si="4"/>
        <v>#REF!</v>
      </c>
      <c r="BG8" s="128" t="e">
        <f t="shared" ref="BG8:BV23" si="5">IF($E8=BG$3,"▲","")</f>
        <v>#REF!</v>
      </c>
      <c r="BH8" s="128" t="e">
        <f t="shared" si="5"/>
        <v>#REF!</v>
      </c>
      <c r="BI8" s="128" t="e">
        <f t="shared" si="5"/>
        <v>#REF!</v>
      </c>
      <c r="BJ8" s="128" t="e">
        <f t="shared" si="5"/>
        <v>#REF!</v>
      </c>
      <c r="BK8" s="128" t="e">
        <f t="shared" si="5"/>
        <v>#REF!</v>
      </c>
      <c r="BL8" s="128" t="e">
        <f t="shared" si="5"/>
        <v>#REF!</v>
      </c>
      <c r="BM8" s="128" t="e">
        <f t="shared" si="5"/>
        <v>#REF!</v>
      </c>
      <c r="BN8" s="128" t="e">
        <f t="shared" si="5"/>
        <v>#REF!</v>
      </c>
      <c r="BO8" s="128" t="e">
        <f t="shared" si="5"/>
        <v>#REF!</v>
      </c>
      <c r="BP8" s="128" t="e">
        <f t="shared" si="5"/>
        <v>#REF!</v>
      </c>
      <c r="BQ8" s="128" t="e">
        <f t="shared" si="5"/>
        <v>#REF!</v>
      </c>
      <c r="BR8" s="128" t="e">
        <f t="shared" si="5"/>
        <v>#REF!</v>
      </c>
      <c r="BS8" s="128" t="e">
        <f t="shared" si="5"/>
        <v>#REF!</v>
      </c>
      <c r="BT8" s="128" t="e">
        <f t="shared" si="5"/>
        <v>#REF!</v>
      </c>
      <c r="BU8" s="128" t="e">
        <f t="shared" si="5"/>
        <v>#REF!</v>
      </c>
      <c r="BV8" s="128" t="e">
        <f t="shared" si="5"/>
        <v>#REF!</v>
      </c>
      <c r="BW8" s="128" t="e">
        <f t="shared" ref="BT8:CE23" si="6">IF($E8=BW$3,"▲","")</f>
        <v>#REF!</v>
      </c>
      <c r="BX8" s="128" t="e">
        <f t="shared" si="6"/>
        <v>#REF!</v>
      </c>
      <c r="BY8" s="128" t="e">
        <f t="shared" si="6"/>
        <v>#REF!</v>
      </c>
      <c r="BZ8" s="128" t="e">
        <f t="shared" si="6"/>
        <v>#REF!</v>
      </c>
      <c r="CA8" s="128" t="e">
        <f t="shared" si="6"/>
        <v>#REF!</v>
      </c>
      <c r="CB8" s="128" t="e">
        <f t="shared" si="6"/>
        <v>#REF!</v>
      </c>
      <c r="CC8" s="128" t="e">
        <f t="shared" si="6"/>
        <v>#REF!</v>
      </c>
      <c r="CD8" s="128" t="e">
        <f t="shared" si="6"/>
        <v>#REF!</v>
      </c>
      <c r="CE8" s="128" t="e">
        <f t="shared" si="6"/>
        <v>#REF!</v>
      </c>
    </row>
    <row r="9" spans="1:83" ht="12.6" hidden="1" customHeight="1" x14ac:dyDescent="0.2">
      <c r="A9" s="106" t="e">
        <f>SHIPMENTS!#REF!</f>
        <v>#REF!</v>
      </c>
      <c r="B9" s="106" t="e">
        <f>SHIPMENTS!#REF!</f>
        <v>#REF!</v>
      </c>
      <c r="C9" s="132" t="e">
        <f>SHIPMENTS!#REF!</f>
        <v>#REF!</v>
      </c>
      <c r="D9" s="107" t="e">
        <f>IF((SHIPMENTS!#REF!)=0,"",SHIPMENTS!#REF!)</f>
        <v>#REF!</v>
      </c>
      <c r="E9" s="176" t="e">
        <f>IF((SHIPMENTS!#REF!)=0,"",SHIPMENTS!#REF!)</f>
        <v>#REF!</v>
      </c>
      <c r="F9" s="97" t="e">
        <f>VLOOKUP(A9,Items!$A$5:$J$500,9,0)</f>
        <v>#REF!</v>
      </c>
      <c r="G9" s="98" t="e">
        <f>VLOOKUP(A9,load!$A$4:$U$5001,17,0)</f>
        <v>#REF!</v>
      </c>
      <c r="H9" s="97">
        <f>Manhours!$C$27</f>
        <v>42</v>
      </c>
      <c r="I9" s="98">
        <f t="shared" ref="I9:I27" si="7">+H9*$I$4</f>
        <v>382.2</v>
      </c>
      <c r="J9" s="99" t="e">
        <f t="shared" si="0"/>
        <v>#REF!</v>
      </c>
      <c r="K9" s="99" t="e">
        <f t="shared" ref="K9:K27" si="8">+J9*$I$4</f>
        <v>#REF!</v>
      </c>
      <c r="L9" s="98">
        <f t="shared" si="1"/>
        <v>0</v>
      </c>
      <c r="M9" s="98">
        <f t="shared" si="2"/>
        <v>0</v>
      </c>
      <c r="N9" s="181"/>
      <c r="O9" s="181"/>
      <c r="P9" s="101" t="e">
        <f>VLOOKUP(A9,SHIPMENTS!$A$7:$N$171,14,0)</f>
        <v>#REF!</v>
      </c>
      <c r="Q9" s="101"/>
      <c r="R9" s="127" t="e">
        <f t="shared" si="3"/>
        <v>#REF!</v>
      </c>
      <c r="S9" s="127" t="e">
        <f t="shared" si="4"/>
        <v>#REF!</v>
      </c>
      <c r="T9" s="127" t="e">
        <f t="shared" si="4"/>
        <v>#REF!</v>
      </c>
      <c r="U9" s="127" t="e">
        <f t="shared" si="4"/>
        <v>#REF!</v>
      </c>
      <c r="V9" s="127" t="e">
        <f t="shared" si="4"/>
        <v>#REF!</v>
      </c>
      <c r="W9" s="127" t="e">
        <f t="shared" si="4"/>
        <v>#REF!</v>
      </c>
      <c r="X9" s="127" t="e">
        <f t="shared" si="4"/>
        <v>#REF!</v>
      </c>
      <c r="Y9" s="127" t="e">
        <f t="shared" si="4"/>
        <v>#REF!</v>
      </c>
      <c r="Z9" s="127" t="e">
        <f t="shared" si="4"/>
        <v>#REF!</v>
      </c>
      <c r="AA9" s="127" t="e">
        <f t="shared" si="4"/>
        <v>#REF!</v>
      </c>
      <c r="AB9" s="127" t="e">
        <f t="shared" si="4"/>
        <v>#REF!</v>
      </c>
      <c r="AC9" s="127" t="e">
        <f t="shared" si="4"/>
        <v>#REF!</v>
      </c>
      <c r="AD9" s="127" t="e">
        <f t="shared" si="4"/>
        <v>#REF!</v>
      </c>
      <c r="AE9" s="127" t="e">
        <f t="shared" si="4"/>
        <v>#REF!</v>
      </c>
      <c r="AF9" s="127" t="e">
        <f t="shared" si="4"/>
        <v>#REF!</v>
      </c>
      <c r="AG9" s="127" t="e">
        <f t="shared" si="4"/>
        <v>#REF!</v>
      </c>
      <c r="AH9" s="127" t="e">
        <f t="shared" si="4"/>
        <v>#REF!</v>
      </c>
      <c r="AI9" s="127" t="e">
        <f t="shared" si="4"/>
        <v>#REF!</v>
      </c>
      <c r="AJ9" s="127" t="e">
        <f t="shared" si="4"/>
        <v>#REF!</v>
      </c>
      <c r="AK9" s="127" t="e">
        <f t="shared" si="4"/>
        <v>#REF!</v>
      </c>
      <c r="AL9" s="127" t="e">
        <f t="shared" si="4"/>
        <v>#REF!</v>
      </c>
      <c r="AM9" s="127" t="e">
        <f t="shared" si="4"/>
        <v>#REF!</v>
      </c>
      <c r="AN9" s="127" t="e">
        <f t="shared" si="4"/>
        <v>#REF!</v>
      </c>
      <c r="AO9" s="127" t="e">
        <f t="shared" si="4"/>
        <v>#REF!</v>
      </c>
      <c r="AP9" s="127" t="e">
        <f t="shared" si="4"/>
        <v>#REF!</v>
      </c>
      <c r="AQ9" s="127" t="e">
        <f t="shared" si="4"/>
        <v>#REF!</v>
      </c>
      <c r="AR9" s="127" t="e">
        <f t="shared" si="4"/>
        <v>#REF!</v>
      </c>
      <c r="AS9" s="127" t="e">
        <f t="shared" si="4"/>
        <v>#REF!</v>
      </c>
      <c r="AT9" s="127" t="e">
        <f t="shared" si="4"/>
        <v>#REF!</v>
      </c>
      <c r="AU9" s="127" t="e">
        <f t="shared" si="4"/>
        <v>#REF!</v>
      </c>
      <c r="AV9" s="127" t="e">
        <f t="shared" si="4"/>
        <v>#REF!</v>
      </c>
      <c r="AW9" s="127" t="e">
        <f t="shared" si="4"/>
        <v>#REF!</v>
      </c>
      <c r="AX9" s="127" t="e">
        <f t="shared" si="4"/>
        <v>#REF!</v>
      </c>
      <c r="AY9" s="127" t="e">
        <f t="shared" si="4"/>
        <v>#REF!</v>
      </c>
      <c r="AZ9" s="127" t="e">
        <f t="shared" si="4"/>
        <v>#REF!</v>
      </c>
      <c r="BA9" s="127" t="e">
        <f t="shared" si="4"/>
        <v>#REF!</v>
      </c>
      <c r="BB9" s="127" t="e">
        <f t="shared" si="4"/>
        <v>#REF!</v>
      </c>
      <c r="BC9" s="127" t="e">
        <f t="shared" si="4"/>
        <v>#REF!</v>
      </c>
      <c r="BD9" s="127" t="e">
        <f t="shared" si="4"/>
        <v>#REF!</v>
      </c>
      <c r="BE9" s="127" t="e">
        <f t="shared" si="4"/>
        <v>#REF!</v>
      </c>
      <c r="BF9" s="127" t="e">
        <f t="shared" si="4"/>
        <v>#REF!</v>
      </c>
      <c r="BG9" s="127" t="e">
        <f t="shared" si="5"/>
        <v>#REF!</v>
      </c>
      <c r="BH9" s="127" t="e">
        <f t="shared" si="5"/>
        <v>#REF!</v>
      </c>
      <c r="BI9" s="127" t="e">
        <f t="shared" si="5"/>
        <v>#REF!</v>
      </c>
      <c r="BJ9" s="127" t="e">
        <f t="shared" si="5"/>
        <v>#REF!</v>
      </c>
      <c r="BK9" s="127" t="e">
        <f t="shared" si="5"/>
        <v>#REF!</v>
      </c>
      <c r="BL9" s="127" t="e">
        <f t="shared" si="5"/>
        <v>#REF!</v>
      </c>
      <c r="BM9" s="127" t="e">
        <f t="shared" si="5"/>
        <v>#REF!</v>
      </c>
      <c r="BN9" s="127" t="e">
        <f t="shared" si="5"/>
        <v>#REF!</v>
      </c>
      <c r="BO9" s="127" t="e">
        <f t="shared" si="5"/>
        <v>#REF!</v>
      </c>
      <c r="BP9" s="127" t="e">
        <f t="shared" si="5"/>
        <v>#REF!</v>
      </c>
      <c r="BQ9" s="127" t="e">
        <f t="shared" si="5"/>
        <v>#REF!</v>
      </c>
      <c r="BR9" s="127" t="e">
        <f t="shared" si="5"/>
        <v>#REF!</v>
      </c>
      <c r="BS9" s="127" t="e">
        <f t="shared" si="5"/>
        <v>#REF!</v>
      </c>
      <c r="BT9" s="127" t="e">
        <f t="shared" si="6"/>
        <v>#REF!</v>
      </c>
      <c r="BU9" s="127" t="e">
        <f t="shared" si="6"/>
        <v>#REF!</v>
      </c>
      <c r="BV9" s="127" t="e">
        <f t="shared" si="6"/>
        <v>#REF!</v>
      </c>
      <c r="BW9" s="127" t="e">
        <f t="shared" si="6"/>
        <v>#REF!</v>
      </c>
      <c r="BX9" s="127" t="e">
        <f t="shared" si="6"/>
        <v>#REF!</v>
      </c>
      <c r="BY9" s="127" t="e">
        <f t="shared" si="6"/>
        <v>#REF!</v>
      </c>
      <c r="BZ9" s="127" t="e">
        <f t="shared" si="6"/>
        <v>#REF!</v>
      </c>
      <c r="CA9" s="127" t="e">
        <f t="shared" si="6"/>
        <v>#REF!</v>
      </c>
      <c r="CB9" s="127" t="e">
        <f t="shared" si="6"/>
        <v>#REF!</v>
      </c>
      <c r="CC9" s="127" t="e">
        <f t="shared" si="6"/>
        <v>#REF!</v>
      </c>
      <c r="CD9" s="127" t="e">
        <f t="shared" si="6"/>
        <v>#REF!</v>
      </c>
      <c r="CE9" s="127" t="e">
        <f t="shared" si="6"/>
        <v>#REF!</v>
      </c>
    </row>
    <row r="10" spans="1:83" ht="12.6" hidden="1" customHeight="1" x14ac:dyDescent="0.2">
      <c r="A10" s="106" t="e">
        <f>SHIPMENTS!#REF!</f>
        <v>#REF!</v>
      </c>
      <c r="B10" s="106" t="e">
        <f>SHIPMENTS!#REF!</f>
        <v>#REF!</v>
      </c>
      <c r="C10" s="132" t="e">
        <f>SHIPMENTS!#REF!</f>
        <v>#REF!</v>
      </c>
      <c r="D10" s="107" t="e">
        <f>IF((SHIPMENTS!#REF!)=0,"",SHIPMENTS!#REF!)</f>
        <v>#REF!</v>
      </c>
      <c r="E10" s="176" t="e">
        <f>IF((SHIPMENTS!#REF!)=0,"",SHIPMENTS!#REF!)</f>
        <v>#REF!</v>
      </c>
      <c r="F10" s="97" t="e">
        <f>VLOOKUP(A10,Items!$A$5:$J$500,9,0)</f>
        <v>#REF!</v>
      </c>
      <c r="G10" s="98" t="e">
        <f>VLOOKUP(A10,load!$A$4:$U$5001,17,0)</f>
        <v>#REF!</v>
      </c>
      <c r="H10" s="97">
        <f>Manhours!$C$27</f>
        <v>42</v>
      </c>
      <c r="I10" s="98">
        <f t="shared" si="7"/>
        <v>382.2</v>
      </c>
      <c r="J10" s="99" t="e">
        <f t="shared" si="0"/>
        <v>#REF!</v>
      </c>
      <c r="K10" s="99" t="e">
        <f t="shared" si="8"/>
        <v>#REF!</v>
      </c>
      <c r="L10" s="98">
        <f t="shared" si="1"/>
        <v>0</v>
      </c>
      <c r="M10" s="98">
        <f t="shared" si="2"/>
        <v>0</v>
      </c>
      <c r="N10" s="181"/>
      <c r="O10" s="181"/>
      <c r="P10" s="101" t="e">
        <f>VLOOKUP(A10,SHIPMENTS!$A$7:$N$171,14,0)</f>
        <v>#REF!</v>
      </c>
      <c r="Q10" s="101"/>
      <c r="R10" s="127" t="e">
        <f t="shared" si="3"/>
        <v>#REF!</v>
      </c>
      <c r="S10" s="127" t="e">
        <f t="shared" si="4"/>
        <v>#REF!</v>
      </c>
      <c r="T10" s="127" t="e">
        <f t="shared" si="4"/>
        <v>#REF!</v>
      </c>
      <c r="U10" s="127" t="e">
        <f t="shared" si="4"/>
        <v>#REF!</v>
      </c>
      <c r="V10" s="127" t="e">
        <f t="shared" si="4"/>
        <v>#REF!</v>
      </c>
      <c r="W10" s="127" t="e">
        <f t="shared" si="4"/>
        <v>#REF!</v>
      </c>
      <c r="X10" s="127" t="e">
        <f t="shared" si="4"/>
        <v>#REF!</v>
      </c>
      <c r="Y10" s="127" t="e">
        <f t="shared" si="4"/>
        <v>#REF!</v>
      </c>
      <c r="Z10" s="127" t="e">
        <f t="shared" si="4"/>
        <v>#REF!</v>
      </c>
      <c r="AA10" s="127" t="e">
        <f t="shared" si="4"/>
        <v>#REF!</v>
      </c>
      <c r="AB10" s="127" t="e">
        <f t="shared" si="4"/>
        <v>#REF!</v>
      </c>
      <c r="AC10" s="127" t="e">
        <f t="shared" si="4"/>
        <v>#REF!</v>
      </c>
      <c r="AD10" s="127" t="e">
        <f t="shared" si="4"/>
        <v>#REF!</v>
      </c>
      <c r="AE10" s="127" t="e">
        <f t="shared" si="4"/>
        <v>#REF!</v>
      </c>
      <c r="AF10" s="127" t="e">
        <f t="shared" si="4"/>
        <v>#REF!</v>
      </c>
      <c r="AG10" s="127" t="e">
        <f t="shared" si="4"/>
        <v>#REF!</v>
      </c>
      <c r="AH10" s="127" t="e">
        <f t="shared" si="4"/>
        <v>#REF!</v>
      </c>
      <c r="AI10" s="127" t="e">
        <f t="shared" si="4"/>
        <v>#REF!</v>
      </c>
      <c r="AJ10" s="127" t="e">
        <f t="shared" si="4"/>
        <v>#REF!</v>
      </c>
      <c r="AK10" s="127" t="e">
        <f t="shared" si="4"/>
        <v>#REF!</v>
      </c>
      <c r="AL10" s="127" t="e">
        <f t="shared" si="4"/>
        <v>#REF!</v>
      </c>
      <c r="AM10" s="127" t="e">
        <f t="shared" si="4"/>
        <v>#REF!</v>
      </c>
      <c r="AN10" s="127" t="e">
        <f t="shared" si="4"/>
        <v>#REF!</v>
      </c>
      <c r="AO10" s="127" t="e">
        <f t="shared" si="4"/>
        <v>#REF!</v>
      </c>
      <c r="AP10" s="127" t="e">
        <f t="shared" si="4"/>
        <v>#REF!</v>
      </c>
      <c r="AQ10" s="127" t="e">
        <f t="shared" si="4"/>
        <v>#REF!</v>
      </c>
      <c r="AR10" s="127" t="e">
        <f t="shared" si="4"/>
        <v>#REF!</v>
      </c>
      <c r="AS10" s="127" t="e">
        <f t="shared" si="4"/>
        <v>#REF!</v>
      </c>
      <c r="AT10" s="127" t="e">
        <f t="shared" si="4"/>
        <v>#REF!</v>
      </c>
      <c r="AU10" s="127" t="e">
        <f t="shared" si="4"/>
        <v>#REF!</v>
      </c>
      <c r="AV10" s="127" t="e">
        <f t="shared" si="4"/>
        <v>#REF!</v>
      </c>
      <c r="AW10" s="127" t="e">
        <f t="shared" si="4"/>
        <v>#REF!</v>
      </c>
      <c r="AX10" s="127" t="e">
        <f t="shared" si="4"/>
        <v>#REF!</v>
      </c>
      <c r="AY10" s="127" t="e">
        <f t="shared" si="4"/>
        <v>#REF!</v>
      </c>
      <c r="AZ10" s="127" t="e">
        <f t="shared" si="4"/>
        <v>#REF!</v>
      </c>
      <c r="BA10" s="127" t="e">
        <f t="shared" si="4"/>
        <v>#REF!</v>
      </c>
      <c r="BB10" s="127" t="e">
        <f t="shared" si="4"/>
        <v>#REF!</v>
      </c>
      <c r="BC10" s="127" t="e">
        <f t="shared" si="4"/>
        <v>#REF!</v>
      </c>
      <c r="BD10" s="127" t="e">
        <f t="shared" si="4"/>
        <v>#REF!</v>
      </c>
      <c r="BE10" s="127" t="e">
        <f t="shared" si="4"/>
        <v>#REF!</v>
      </c>
      <c r="BF10" s="127" t="e">
        <f t="shared" si="4"/>
        <v>#REF!</v>
      </c>
      <c r="BG10" s="127" t="e">
        <f t="shared" si="5"/>
        <v>#REF!</v>
      </c>
      <c r="BH10" s="127" t="e">
        <f t="shared" si="5"/>
        <v>#REF!</v>
      </c>
      <c r="BI10" s="127" t="e">
        <f t="shared" si="5"/>
        <v>#REF!</v>
      </c>
      <c r="BJ10" s="127" t="e">
        <f t="shared" si="5"/>
        <v>#REF!</v>
      </c>
      <c r="BK10" s="127" t="e">
        <f t="shared" si="5"/>
        <v>#REF!</v>
      </c>
      <c r="BL10" s="127" t="e">
        <f t="shared" si="5"/>
        <v>#REF!</v>
      </c>
      <c r="BM10" s="127" t="e">
        <f t="shared" si="5"/>
        <v>#REF!</v>
      </c>
      <c r="BN10" s="127" t="e">
        <f t="shared" si="5"/>
        <v>#REF!</v>
      </c>
      <c r="BO10" s="127" t="e">
        <f t="shared" si="5"/>
        <v>#REF!</v>
      </c>
      <c r="BP10" s="127" t="e">
        <f t="shared" si="5"/>
        <v>#REF!</v>
      </c>
      <c r="BQ10" s="127" t="e">
        <f t="shared" si="5"/>
        <v>#REF!</v>
      </c>
      <c r="BR10" s="127" t="e">
        <f t="shared" si="5"/>
        <v>#REF!</v>
      </c>
      <c r="BS10" s="127" t="e">
        <f t="shared" si="5"/>
        <v>#REF!</v>
      </c>
      <c r="BT10" s="127" t="e">
        <f t="shared" si="6"/>
        <v>#REF!</v>
      </c>
      <c r="BU10" s="127" t="e">
        <f t="shared" si="6"/>
        <v>#REF!</v>
      </c>
      <c r="BV10" s="127" t="e">
        <f t="shared" si="6"/>
        <v>#REF!</v>
      </c>
      <c r="BW10" s="127" t="e">
        <f t="shared" si="6"/>
        <v>#REF!</v>
      </c>
      <c r="BX10" s="127" t="e">
        <f t="shared" si="6"/>
        <v>#REF!</v>
      </c>
      <c r="BY10" s="127" t="e">
        <f t="shared" si="6"/>
        <v>#REF!</v>
      </c>
      <c r="BZ10" s="127" t="e">
        <f t="shared" si="6"/>
        <v>#REF!</v>
      </c>
      <c r="CA10" s="127" t="e">
        <f t="shared" si="6"/>
        <v>#REF!</v>
      </c>
      <c r="CB10" s="127" t="e">
        <f t="shared" si="6"/>
        <v>#REF!</v>
      </c>
      <c r="CC10" s="127" t="e">
        <f t="shared" si="6"/>
        <v>#REF!</v>
      </c>
      <c r="CD10" s="127" t="e">
        <f t="shared" si="6"/>
        <v>#REF!</v>
      </c>
      <c r="CE10" s="127" t="e">
        <f t="shared" si="6"/>
        <v>#REF!</v>
      </c>
    </row>
    <row r="11" spans="1:83" ht="12.6" customHeight="1" x14ac:dyDescent="0.2">
      <c r="A11" s="106" t="e">
        <f>SHIPMENTS!#REF!</f>
        <v>#REF!</v>
      </c>
      <c r="B11" s="106" t="e">
        <f>SHIPMENTS!#REF!</f>
        <v>#REF!</v>
      </c>
      <c r="C11" s="132" t="e">
        <f>SHIPMENTS!#REF!</f>
        <v>#REF!</v>
      </c>
      <c r="D11" s="107" t="e">
        <f>IF((SHIPMENTS!#REF!)=0,"",SHIPMENTS!#REF!)</f>
        <v>#REF!</v>
      </c>
      <c r="E11" s="176" t="e">
        <f>IF((SHIPMENTS!#REF!)=0,"",SHIPMENTS!#REF!)</f>
        <v>#REF!</v>
      </c>
      <c r="F11" s="97" t="e">
        <f>VLOOKUP(A11,Items!$A$5:$J$500,9,0)</f>
        <v>#REF!</v>
      </c>
      <c r="G11" s="98" t="e">
        <f>VLOOKUP(A11,load!$A$4:$U$5001,17,0)</f>
        <v>#REF!</v>
      </c>
      <c r="H11" s="97">
        <f>Manhours!$C$27</f>
        <v>42</v>
      </c>
      <c r="I11" s="98">
        <f t="shared" si="7"/>
        <v>382.2</v>
      </c>
      <c r="J11" s="99" t="e">
        <f t="shared" si="0"/>
        <v>#REF!</v>
      </c>
      <c r="K11" s="99" t="e">
        <f t="shared" si="8"/>
        <v>#REF!</v>
      </c>
      <c r="L11" s="98">
        <f t="shared" si="1"/>
        <v>0</v>
      </c>
      <c r="M11" s="98">
        <f t="shared" si="2"/>
        <v>0</v>
      </c>
      <c r="N11" s="181">
        <f>N4</f>
        <v>46314</v>
      </c>
      <c r="O11" s="181">
        <f t="shared" ref="O11:O45" si="9">+N11+L11</f>
        <v>46314</v>
      </c>
      <c r="P11" s="101" t="e">
        <f>VLOOKUP(A11,SHIPMENTS!$A$7:$N$171,14,0)</f>
        <v>#REF!</v>
      </c>
      <c r="Q11" s="101"/>
      <c r="R11" s="127" t="e">
        <f t="shared" si="3"/>
        <v>#REF!</v>
      </c>
      <c r="S11" s="127" t="e">
        <f t="shared" si="4"/>
        <v>#REF!</v>
      </c>
      <c r="T11" s="127" t="e">
        <f t="shared" si="4"/>
        <v>#REF!</v>
      </c>
      <c r="U11" s="127" t="e">
        <f t="shared" si="4"/>
        <v>#REF!</v>
      </c>
      <c r="V11" s="127" t="e">
        <f t="shared" si="4"/>
        <v>#REF!</v>
      </c>
      <c r="W11" s="127" t="e">
        <f t="shared" si="4"/>
        <v>#REF!</v>
      </c>
      <c r="X11" s="127" t="e">
        <f t="shared" si="4"/>
        <v>#REF!</v>
      </c>
      <c r="Y11" s="127" t="e">
        <f t="shared" si="4"/>
        <v>#REF!</v>
      </c>
      <c r="Z11" s="127" t="e">
        <f t="shared" si="4"/>
        <v>#REF!</v>
      </c>
      <c r="AA11" s="127" t="e">
        <f t="shared" si="4"/>
        <v>#REF!</v>
      </c>
      <c r="AB11" s="127" t="e">
        <f t="shared" si="4"/>
        <v>#REF!</v>
      </c>
      <c r="AC11" s="127" t="e">
        <f t="shared" si="4"/>
        <v>#REF!</v>
      </c>
      <c r="AD11" s="127" t="e">
        <f t="shared" si="4"/>
        <v>#REF!</v>
      </c>
      <c r="AE11" s="127" t="e">
        <f t="shared" si="4"/>
        <v>#REF!</v>
      </c>
      <c r="AF11" s="127" t="e">
        <f t="shared" si="4"/>
        <v>#REF!</v>
      </c>
      <c r="AG11" s="127" t="e">
        <f t="shared" si="4"/>
        <v>#REF!</v>
      </c>
      <c r="AH11" s="127" t="e">
        <f t="shared" si="4"/>
        <v>#REF!</v>
      </c>
      <c r="AI11" s="127" t="e">
        <f t="shared" si="4"/>
        <v>#REF!</v>
      </c>
      <c r="AJ11" s="127" t="e">
        <f t="shared" si="4"/>
        <v>#REF!</v>
      </c>
      <c r="AK11" s="127" t="e">
        <f t="shared" si="4"/>
        <v>#REF!</v>
      </c>
      <c r="AL11" s="127" t="e">
        <f t="shared" si="4"/>
        <v>#REF!</v>
      </c>
      <c r="AM11" s="127" t="e">
        <f t="shared" si="4"/>
        <v>#REF!</v>
      </c>
      <c r="AN11" s="127" t="e">
        <f t="shared" si="4"/>
        <v>#REF!</v>
      </c>
      <c r="AO11" s="127" t="e">
        <f t="shared" si="4"/>
        <v>#REF!</v>
      </c>
      <c r="AP11" s="127" t="e">
        <f t="shared" si="4"/>
        <v>#REF!</v>
      </c>
      <c r="AQ11" s="127" t="e">
        <f t="shared" si="4"/>
        <v>#REF!</v>
      </c>
      <c r="AR11" s="127" t="e">
        <f t="shared" si="4"/>
        <v>#REF!</v>
      </c>
      <c r="AS11" s="127" t="e">
        <f t="shared" si="4"/>
        <v>#REF!</v>
      </c>
      <c r="AT11" s="127" t="e">
        <f t="shared" si="4"/>
        <v>#REF!</v>
      </c>
      <c r="AU11" s="127" t="e">
        <f t="shared" si="4"/>
        <v>#REF!</v>
      </c>
      <c r="AV11" s="127" t="e">
        <f t="shared" si="4"/>
        <v>#REF!</v>
      </c>
      <c r="AW11" s="127" t="e">
        <f t="shared" si="4"/>
        <v>#REF!</v>
      </c>
      <c r="AX11" s="127" t="e">
        <f t="shared" si="4"/>
        <v>#REF!</v>
      </c>
      <c r="AY11" s="127" t="e">
        <f t="shared" si="4"/>
        <v>#REF!</v>
      </c>
      <c r="AZ11" s="127" t="e">
        <f t="shared" si="4"/>
        <v>#REF!</v>
      </c>
      <c r="BA11" s="127" t="e">
        <f t="shared" si="4"/>
        <v>#REF!</v>
      </c>
      <c r="BB11" s="127" t="e">
        <f t="shared" si="4"/>
        <v>#REF!</v>
      </c>
      <c r="BC11" s="127" t="e">
        <f t="shared" si="4"/>
        <v>#REF!</v>
      </c>
      <c r="BD11" s="127" t="e">
        <f t="shared" si="4"/>
        <v>#REF!</v>
      </c>
      <c r="BE11" s="127" t="e">
        <f t="shared" si="4"/>
        <v>#REF!</v>
      </c>
      <c r="BF11" s="127" t="e">
        <f t="shared" si="4"/>
        <v>#REF!</v>
      </c>
      <c r="BG11" s="127" t="e">
        <f t="shared" si="5"/>
        <v>#REF!</v>
      </c>
      <c r="BH11" s="127" t="e">
        <f t="shared" si="5"/>
        <v>#REF!</v>
      </c>
      <c r="BI11" s="127" t="e">
        <f t="shared" si="5"/>
        <v>#REF!</v>
      </c>
      <c r="BJ11" s="127" t="e">
        <f t="shared" si="5"/>
        <v>#REF!</v>
      </c>
      <c r="BK11" s="127" t="e">
        <f t="shared" si="5"/>
        <v>#REF!</v>
      </c>
      <c r="BL11" s="127" t="e">
        <f t="shared" si="5"/>
        <v>#REF!</v>
      </c>
      <c r="BM11" s="127" t="e">
        <f t="shared" si="5"/>
        <v>#REF!</v>
      </c>
      <c r="BN11" s="127" t="e">
        <f t="shared" si="5"/>
        <v>#REF!</v>
      </c>
      <c r="BO11" s="127" t="e">
        <f t="shared" si="5"/>
        <v>#REF!</v>
      </c>
      <c r="BP11" s="127" t="e">
        <f t="shared" si="5"/>
        <v>#REF!</v>
      </c>
      <c r="BQ11" s="127" t="e">
        <f t="shared" si="5"/>
        <v>#REF!</v>
      </c>
      <c r="BR11" s="127" t="e">
        <f t="shared" si="5"/>
        <v>#REF!</v>
      </c>
      <c r="BS11" s="127" t="e">
        <f t="shared" si="5"/>
        <v>#REF!</v>
      </c>
      <c r="BT11" s="127" t="e">
        <f t="shared" si="6"/>
        <v>#REF!</v>
      </c>
      <c r="BU11" s="127" t="e">
        <f t="shared" si="6"/>
        <v>#REF!</v>
      </c>
      <c r="BV11" s="127" t="e">
        <f t="shared" si="6"/>
        <v>#REF!</v>
      </c>
      <c r="BW11" s="127" t="e">
        <f t="shared" si="6"/>
        <v>#REF!</v>
      </c>
      <c r="BX11" s="127" t="e">
        <f t="shared" si="6"/>
        <v>#REF!</v>
      </c>
      <c r="BY11" s="127" t="e">
        <f t="shared" si="6"/>
        <v>#REF!</v>
      </c>
      <c r="BZ11" s="127" t="e">
        <f t="shared" si="6"/>
        <v>#REF!</v>
      </c>
      <c r="CA11" s="127" t="e">
        <f t="shared" si="6"/>
        <v>#REF!</v>
      </c>
      <c r="CB11" s="127" t="e">
        <f t="shared" si="6"/>
        <v>#REF!</v>
      </c>
      <c r="CC11" s="127" t="e">
        <f t="shared" si="6"/>
        <v>#REF!</v>
      </c>
      <c r="CD11" s="127" t="e">
        <f t="shared" si="6"/>
        <v>#REF!</v>
      </c>
      <c r="CE11" s="127" t="e">
        <f t="shared" si="6"/>
        <v>#REF!</v>
      </c>
    </row>
    <row r="12" spans="1:83" ht="12.6" hidden="1" customHeight="1" x14ac:dyDescent="0.2">
      <c r="A12" s="106" t="e">
        <f>SHIPMENTS!#REF!</f>
        <v>#REF!</v>
      </c>
      <c r="B12" s="106" t="e">
        <f>SHIPMENTS!#REF!</f>
        <v>#REF!</v>
      </c>
      <c r="C12" s="132" t="e">
        <f>SHIPMENTS!#REF!</f>
        <v>#REF!</v>
      </c>
      <c r="D12" s="107" t="e">
        <f>IF((SHIPMENTS!#REF!)=0,"",SHIPMENTS!#REF!)</f>
        <v>#REF!</v>
      </c>
      <c r="E12" s="176" t="e">
        <f>IF((SHIPMENTS!#REF!)=0,"",SHIPMENTS!#REF!)</f>
        <v>#REF!</v>
      </c>
      <c r="F12" s="97" t="e">
        <f>VLOOKUP(A12,Items!$A$5:$J$500,9,0)</f>
        <v>#REF!</v>
      </c>
      <c r="G12" s="98" t="e">
        <f>VLOOKUP(A12,load!$A$4:$U$5001,17,0)</f>
        <v>#REF!</v>
      </c>
      <c r="H12" s="97">
        <f>Manhours!$C$27</f>
        <v>42</v>
      </c>
      <c r="I12" s="98">
        <f t="shared" si="7"/>
        <v>382.2</v>
      </c>
      <c r="J12" s="99" t="e">
        <f t="shared" si="0"/>
        <v>#REF!</v>
      </c>
      <c r="K12" s="99" t="e">
        <f t="shared" si="8"/>
        <v>#REF!</v>
      </c>
      <c r="L12" s="98">
        <f t="shared" si="1"/>
        <v>0</v>
      </c>
      <c r="M12" s="98">
        <f t="shared" si="2"/>
        <v>0</v>
      </c>
      <c r="N12" s="181">
        <f t="shared" ref="N12:N45" si="10">O11</f>
        <v>46314</v>
      </c>
      <c r="O12" s="181">
        <f t="shared" si="9"/>
        <v>46314</v>
      </c>
      <c r="P12" s="101" t="e">
        <f>VLOOKUP(A12,SHIPMENTS!$A$7:$N$171,14,0)</f>
        <v>#REF!</v>
      </c>
      <c r="Q12" s="101"/>
      <c r="R12" s="127" t="e">
        <f t="shared" si="3"/>
        <v>#REF!</v>
      </c>
      <c r="S12" s="127" t="e">
        <f t="shared" si="4"/>
        <v>#REF!</v>
      </c>
      <c r="T12" s="127" t="e">
        <f t="shared" si="4"/>
        <v>#REF!</v>
      </c>
      <c r="U12" s="127" t="e">
        <f t="shared" si="4"/>
        <v>#REF!</v>
      </c>
      <c r="V12" s="127" t="e">
        <f t="shared" si="4"/>
        <v>#REF!</v>
      </c>
      <c r="W12" s="127" t="e">
        <f t="shared" si="4"/>
        <v>#REF!</v>
      </c>
      <c r="X12" s="127" t="e">
        <f t="shared" si="4"/>
        <v>#REF!</v>
      </c>
      <c r="Y12" s="127" t="e">
        <f t="shared" si="4"/>
        <v>#REF!</v>
      </c>
      <c r="Z12" s="127" t="e">
        <f t="shared" si="4"/>
        <v>#REF!</v>
      </c>
      <c r="AA12" s="127" t="e">
        <f t="shared" si="4"/>
        <v>#REF!</v>
      </c>
      <c r="AB12" s="127" t="e">
        <f t="shared" si="4"/>
        <v>#REF!</v>
      </c>
      <c r="AC12" s="127" t="e">
        <f t="shared" si="4"/>
        <v>#REF!</v>
      </c>
      <c r="AD12" s="127" t="e">
        <f t="shared" si="4"/>
        <v>#REF!</v>
      </c>
      <c r="AE12" s="127" t="e">
        <f t="shared" si="4"/>
        <v>#REF!</v>
      </c>
      <c r="AF12" s="127" t="e">
        <f t="shared" si="4"/>
        <v>#REF!</v>
      </c>
      <c r="AG12" s="127" t="e">
        <f t="shared" si="4"/>
        <v>#REF!</v>
      </c>
      <c r="AH12" s="127" t="e">
        <f t="shared" si="4"/>
        <v>#REF!</v>
      </c>
      <c r="AI12" s="127" t="e">
        <f t="shared" si="4"/>
        <v>#REF!</v>
      </c>
      <c r="AJ12" s="127" t="e">
        <f t="shared" si="4"/>
        <v>#REF!</v>
      </c>
      <c r="AK12" s="127" t="e">
        <f t="shared" si="4"/>
        <v>#REF!</v>
      </c>
      <c r="AL12" s="127" t="e">
        <f t="shared" si="4"/>
        <v>#REF!</v>
      </c>
      <c r="AM12" s="127" t="e">
        <f t="shared" si="4"/>
        <v>#REF!</v>
      </c>
      <c r="AN12" s="127" t="e">
        <f t="shared" si="4"/>
        <v>#REF!</v>
      </c>
      <c r="AO12" s="127" t="e">
        <f t="shared" si="4"/>
        <v>#REF!</v>
      </c>
      <c r="AP12" s="127" t="e">
        <f t="shared" si="4"/>
        <v>#REF!</v>
      </c>
      <c r="AQ12" s="127" t="e">
        <f t="shared" si="4"/>
        <v>#REF!</v>
      </c>
      <c r="AR12" s="127" t="e">
        <f t="shared" si="4"/>
        <v>#REF!</v>
      </c>
      <c r="AS12" s="127" t="e">
        <f t="shared" si="4"/>
        <v>#REF!</v>
      </c>
      <c r="AT12" s="127" t="e">
        <f t="shared" si="4"/>
        <v>#REF!</v>
      </c>
      <c r="AU12" s="127" t="e">
        <f t="shared" si="4"/>
        <v>#REF!</v>
      </c>
      <c r="AV12" s="127" t="e">
        <f t="shared" si="4"/>
        <v>#REF!</v>
      </c>
      <c r="AW12" s="127" t="e">
        <f t="shared" si="4"/>
        <v>#REF!</v>
      </c>
      <c r="AX12" s="127" t="e">
        <f t="shared" si="4"/>
        <v>#REF!</v>
      </c>
      <c r="AY12" s="127" t="e">
        <f t="shared" si="4"/>
        <v>#REF!</v>
      </c>
      <c r="AZ12" s="127" t="e">
        <f t="shared" si="4"/>
        <v>#REF!</v>
      </c>
      <c r="BA12" s="127" t="e">
        <f t="shared" si="4"/>
        <v>#REF!</v>
      </c>
      <c r="BB12" s="127" t="e">
        <f t="shared" si="4"/>
        <v>#REF!</v>
      </c>
      <c r="BC12" s="127" t="e">
        <f t="shared" si="4"/>
        <v>#REF!</v>
      </c>
      <c r="BD12" s="127" t="e">
        <f t="shared" si="4"/>
        <v>#REF!</v>
      </c>
      <c r="BE12" s="127" t="e">
        <f t="shared" si="4"/>
        <v>#REF!</v>
      </c>
      <c r="BF12" s="127" t="e">
        <f t="shared" si="4"/>
        <v>#REF!</v>
      </c>
      <c r="BG12" s="127" t="e">
        <f t="shared" si="5"/>
        <v>#REF!</v>
      </c>
      <c r="BH12" s="127" t="e">
        <f t="shared" si="5"/>
        <v>#REF!</v>
      </c>
      <c r="BI12" s="127" t="e">
        <f t="shared" si="5"/>
        <v>#REF!</v>
      </c>
      <c r="BJ12" s="127" t="e">
        <f t="shared" si="5"/>
        <v>#REF!</v>
      </c>
      <c r="BK12" s="127" t="e">
        <f t="shared" si="5"/>
        <v>#REF!</v>
      </c>
      <c r="BL12" s="127" t="e">
        <f t="shared" si="5"/>
        <v>#REF!</v>
      </c>
      <c r="BM12" s="127" t="e">
        <f t="shared" si="5"/>
        <v>#REF!</v>
      </c>
      <c r="BN12" s="127" t="e">
        <f t="shared" si="5"/>
        <v>#REF!</v>
      </c>
      <c r="BO12" s="127" t="e">
        <f t="shared" si="5"/>
        <v>#REF!</v>
      </c>
      <c r="BP12" s="127" t="e">
        <f t="shared" si="5"/>
        <v>#REF!</v>
      </c>
      <c r="BQ12" s="127" t="e">
        <f t="shared" si="5"/>
        <v>#REF!</v>
      </c>
      <c r="BR12" s="127" t="e">
        <f t="shared" si="5"/>
        <v>#REF!</v>
      </c>
      <c r="BS12" s="127" t="e">
        <f t="shared" si="5"/>
        <v>#REF!</v>
      </c>
      <c r="BT12" s="127" t="e">
        <f t="shared" si="6"/>
        <v>#REF!</v>
      </c>
      <c r="BU12" s="127" t="e">
        <f t="shared" si="6"/>
        <v>#REF!</v>
      </c>
      <c r="BV12" s="127" t="e">
        <f t="shared" si="6"/>
        <v>#REF!</v>
      </c>
      <c r="BW12" s="127" t="e">
        <f t="shared" si="6"/>
        <v>#REF!</v>
      </c>
      <c r="BX12" s="127" t="e">
        <f t="shared" si="6"/>
        <v>#REF!</v>
      </c>
      <c r="BY12" s="127" t="e">
        <f t="shared" si="6"/>
        <v>#REF!</v>
      </c>
      <c r="BZ12" s="127" t="e">
        <f t="shared" si="6"/>
        <v>#REF!</v>
      </c>
      <c r="CA12" s="127" t="e">
        <f t="shared" si="6"/>
        <v>#REF!</v>
      </c>
      <c r="CB12" s="127" t="e">
        <f t="shared" si="6"/>
        <v>#REF!</v>
      </c>
      <c r="CC12" s="127" t="e">
        <f t="shared" si="6"/>
        <v>#REF!</v>
      </c>
      <c r="CD12" s="127" t="e">
        <f t="shared" si="6"/>
        <v>#REF!</v>
      </c>
      <c r="CE12" s="127" t="e">
        <f t="shared" si="6"/>
        <v>#REF!</v>
      </c>
    </row>
    <row r="13" spans="1:83" ht="12.6" hidden="1" customHeight="1" x14ac:dyDescent="0.2">
      <c r="A13" s="106" t="e">
        <f>SHIPMENTS!#REF!</f>
        <v>#REF!</v>
      </c>
      <c r="B13" s="106" t="e">
        <f>SHIPMENTS!#REF!</f>
        <v>#REF!</v>
      </c>
      <c r="C13" s="132" t="e">
        <f>SHIPMENTS!#REF!</f>
        <v>#REF!</v>
      </c>
      <c r="D13" s="107" t="e">
        <f>IF((SHIPMENTS!#REF!)=0,"",SHIPMENTS!#REF!)</f>
        <v>#REF!</v>
      </c>
      <c r="E13" s="176" t="e">
        <f>IF((SHIPMENTS!#REF!)=0,"",SHIPMENTS!#REF!)</f>
        <v>#REF!</v>
      </c>
      <c r="F13" s="97" t="e">
        <f>VLOOKUP(A13,Items!$A$5:$J$500,9,0)</f>
        <v>#REF!</v>
      </c>
      <c r="G13" s="98" t="e">
        <f>VLOOKUP(A13,load!$A$4:$U$5001,17,0)</f>
        <v>#REF!</v>
      </c>
      <c r="H13" s="97">
        <f>Manhours!$C$27</f>
        <v>42</v>
      </c>
      <c r="I13" s="98">
        <f t="shared" si="7"/>
        <v>382.2</v>
      </c>
      <c r="J13" s="99" t="e">
        <f t="shared" si="0"/>
        <v>#REF!</v>
      </c>
      <c r="K13" s="99" t="e">
        <f t="shared" si="8"/>
        <v>#REF!</v>
      </c>
      <c r="L13" s="98">
        <f t="shared" si="1"/>
        <v>0</v>
      </c>
      <c r="M13" s="98">
        <f t="shared" si="2"/>
        <v>0</v>
      </c>
      <c r="N13" s="181">
        <f t="shared" si="10"/>
        <v>46314</v>
      </c>
      <c r="O13" s="181">
        <f t="shared" si="9"/>
        <v>46314</v>
      </c>
      <c r="P13" s="101" t="e">
        <f>VLOOKUP(A13,SHIPMENTS!$A$7:$N$171,14,0)</f>
        <v>#REF!</v>
      </c>
      <c r="Q13" s="101"/>
      <c r="R13" s="127" t="e">
        <f t="shared" si="3"/>
        <v>#REF!</v>
      </c>
      <c r="S13" s="127" t="e">
        <f t="shared" si="4"/>
        <v>#REF!</v>
      </c>
      <c r="T13" s="127" t="e">
        <f t="shared" si="4"/>
        <v>#REF!</v>
      </c>
      <c r="U13" s="127" t="e">
        <f t="shared" si="4"/>
        <v>#REF!</v>
      </c>
      <c r="V13" s="127" t="e">
        <f t="shared" si="4"/>
        <v>#REF!</v>
      </c>
      <c r="W13" s="127" t="e">
        <f t="shared" si="4"/>
        <v>#REF!</v>
      </c>
      <c r="X13" s="127" t="e">
        <f t="shared" si="4"/>
        <v>#REF!</v>
      </c>
      <c r="Y13" s="127" t="e">
        <f t="shared" si="4"/>
        <v>#REF!</v>
      </c>
      <c r="Z13" s="127" t="e">
        <f t="shared" si="4"/>
        <v>#REF!</v>
      </c>
      <c r="AA13" s="127" t="e">
        <f t="shared" si="4"/>
        <v>#REF!</v>
      </c>
      <c r="AB13" s="127" t="e">
        <f t="shared" si="4"/>
        <v>#REF!</v>
      </c>
      <c r="AC13" s="127" t="e">
        <f t="shared" si="4"/>
        <v>#REF!</v>
      </c>
      <c r="AD13" s="127" t="e">
        <f t="shared" si="4"/>
        <v>#REF!</v>
      </c>
      <c r="AE13" s="127" t="e">
        <f t="shared" si="4"/>
        <v>#REF!</v>
      </c>
      <c r="AF13" s="127" t="e">
        <f t="shared" si="4"/>
        <v>#REF!</v>
      </c>
      <c r="AG13" s="127" t="e">
        <f t="shared" si="4"/>
        <v>#REF!</v>
      </c>
      <c r="AH13" s="127" t="e">
        <f t="shared" si="4"/>
        <v>#REF!</v>
      </c>
      <c r="AI13" s="127" t="e">
        <f t="shared" si="4"/>
        <v>#REF!</v>
      </c>
      <c r="AJ13" s="127" t="e">
        <f t="shared" si="4"/>
        <v>#REF!</v>
      </c>
      <c r="AK13" s="127" t="e">
        <f t="shared" si="4"/>
        <v>#REF!</v>
      </c>
      <c r="AL13" s="127" t="e">
        <f t="shared" si="4"/>
        <v>#REF!</v>
      </c>
      <c r="AM13" s="127" t="e">
        <f t="shared" si="4"/>
        <v>#REF!</v>
      </c>
      <c r="AN13" s="127" t="e">
        <f t="shared" si="4"/>
        <v>#REF!</v>
      </c>
      <c r="AO13" s="127" t="e">
        <f t="shared" si="4"/>
        <v>#REF!</v>
      </c>
      <c r="AP13" s="127" t="e">
        <f t="shared" si="4"/>
        <v>#REF!</v>
      </c>
      <c r="AQ13" s="127" t="e">
        <f t="shared" si="4"/>
        <v>#REF!</v>
      </c>
      <c r="AR13" s="127" t="e">
        <f t="shared" si="4"/>
        <v>#REF!</v>
      </c>
      <c r="AS13" s="127" t="e">
        <f t="shared" si="4"/>
        <v>#REF!</v>
      </c>
      <c r="AT13" s="127" t="e">
        <f t="shared" si="4"/>
        <v>#REF!</v>
      </c>
      <c r="AU13" s="127" t="e">
        <f t="shared" si="4"/>
        <v>#REF!</v>
      </c>
      <c r="AV13" s="127" t="e">
        <f t="shared" si="4"/>
        <v>#REF!</v>
      </c>
      <c r="AW13" s="127" t="e">
        <f t="shared" si="4"/>
        <v>#REF!</v>
      </c>
      <c r="AX13" s="127" t="e">
        <f t="shared" si="4"/>
        <v>#REF!</v>
      </c>
      <c r="AY13" s="127" t="e">
        <f t="shared" si="4"/>
        <v>#REF!</v>
      </c>
      <c r="AZ13" s="127" t="e">
        <f t="shared" si="4"/>
        <v>#REF!</v>
      </c>
      <c r="BA13" s="127" t="e">
        <f t="shared" si="4"/>
        <v>#REF!</v>
      </c>
      <c r="BB13" s="127" t="e">
        <f t="shared" si="4"/>
        <v>#REF!</v>
      </c>
      <c r="BC13" s="127" t="e">
        <f t="shared" si="4"/>
        <v>#REF!</v>
      </c>
      <c r="BD13" s="127" t="e">
        <f t="shared" si="4"/>
        <v>#REF!</v>
      </c>
      <c r="BE13" s="127" t="e">
        <f t="shared" si="4"/>
        <v>#REF!</v>
      </c>
      <c r="BF13" s="127" t="e">
        <f t="shared" si="4"/>
        <v>#REF!</v>
      </c>
      <c r="BG13" s="127" t="e">
        <f t="shared" si="5"/>
        <v>#REF!</v>
      </c>
      <c r="BH13" s="127" t="e">
        <f t="shared" si="5"/>
        <v>#REF!</v>
      </c>
      <c r="BI13" s="127" t="e">
        <f t="shared" si="5"/>
        <v>#REF!</v>
      </c>
      <c r="BJ13" s="127" t="e">
        <f t="shared" si="5"/>
        <v>#REF!</v>
      </c>
      <c r="BK13" s="127" t="e">
        <f t="shared" si="5"/>
        <v>#REF!</v>
      </c>
      <c r="BL13" s="127" t="e">
        <f t="shared" si="5"/>
        <v>#REF!</v>
      </c>
      <c r="BM13" s="127" t="e">
        <f t="shared" si="5"/>
        <v>#REF!</v>
      </c>
      <c r="BN13" s="127" t="e">
        <f t="shared" si="5"/>
        <v>#REF!</v>
      </c>
      <c r="BO13" s="127" t="e">
        <f t="shared" si="5"/>
        <v>#REF!</v>
      </c>
      <c r="BP13" s="127" t="e">
        <f t="shared" si="5"/>
        <v>#REF!</v>
      </c>
      <c r="BQ13" s="127" t="e">
        <f t="shared" si="5"/>
        <v>#REF!</v>
      </c>
      <c r="BR13" s="127" t="e">
        <f t="shared" si="5"/>
        <v>#REF!</v>
      </c>
      <c r="BS13" s="127" t="e">
        <f t="shared" si="5"/>
        <v>#REF!</v>
      </c>
      <c r="BT13" s="127" t="e">
        <f t="shared" si="6"/>
        <v>#REF!</v>
      </c>
      <c r="BU13" s="127" t="e">
        <f t="shared" si="6"/>
        <v>#REF!</v>
      </c>
      <c r="BV13" s="127" t="e">
        <f t="shared" si="6"/>
        <v>#REF!</v>
      </c>
      <c r="BW13" s="127" t="e">
        <f t="shared" si="6"/>
        <v>#REF!</v>
      </c>
      <c r="BX13" s="127" t="e">
        <f t="shared" si="6"/>
        <v>#REF!</v>
      </c>
      <c r="BY13" s="127" t="e">
        <f t="shared" si="6"/>
        <v>#REF!</v>
      </c>
      <c r="BZ13" s="127" t="e">
        <f t="shared" si="6"/>
        <v>#REF!</v>
      </c>
      <c r="CA13" s="127" t="e">
        <f t="shared" si="6"/>
        <v>#REF!</v>
      </c>
      <c r="CB13" s="127" t="e">
        <f t="shared" si="6"/>
        <v>#REF!</v>
      </c>
      <c r="CC13" s="127" t="e">
        <f t="shared" si="6"/>
        <v>#REF!</v>
      </c>
      <c r="CD13" s="127" t="e">
        <f t="shared" si="6"/>
        <v>#REF!</v>
      </c>
      <c r="CE13" s="127" t="e">
        <f t="shared" si="6"/>
        <v>#REF!</v>
      </c>
    </row>
    <row r="14" spans="1:83" ht="12.6" hidden="1" customHeight="1" x14ac:dyDescent="0.2">
      <c r="A14" s="106" t="e">
        <f>SHIPMENTS!#REF!</f>
        <v>#REF!</v>
      </c>
      <c r="B14" s="106" t="e">
        <f>SHIPMENTS!#REF!</f>
        <v>#REF!</v>
      </c>
      <c r="C14" s="132" t="e">
        <f>SHIPMENTS!#REF!</f>
        <v>#REF!</v>
      </c>
      <c r="D14" s="107" t="e">
        <f>IF((SHIPMENTS!#REF!)=0,"",SHIPMENTS!#REF!)</f>
        <v>#REF!</v>
      </c>
      <c r="E14" s="176" t="e">
        <f>IF((SHIPMENTS!#REF!)=0,"",SHIPMENTS!#REF!)</f>
        <v>#REF!</v>
      </c>
      <c r="F14" s="97" t="e">
        <f>VLOOKUP(A14,Items!$A$5:$J$500,9,0)</f>
        <v>#REF!</v>
      </c>
      <c r="G14" s="98" t="e">
        <f>VLOOKUP(A14,load!$A$4:$U$5001,17,0)</f>
        <v>#REF!</v>
      </c>
      <c r="H14" s="97">
        <f>Manhours!$C$27</f>
        <v>42</v>
      </c>
      <c r="I14" s="98">
        <f t="shared" si="7"/>
        <v>382.2</v>
      </c>
      <c r="J14" s="99" t="e">
        <f t="shared" si="0"/>
        <v>#REF!</v>
      </c>
      <c r="K14" s="99" t="e">
        <f t="shared" si="8"/>
        <v>#REF!</v>
      </c>
      <c r="L14" s="98">
        <f t="shared" si="1"/>
        <v>0</v>
      </c>
      <c r="M14" s="98">
        <f t="shared" si="2"/>
        <v>0</v>
      </c>
      <c r="N14" s="181">
        <f t="shared" si="10"/>
        <v>46314</v>
      </c>
      <c r="O14" s="181">
        <f t="shared" si="9"/>
        <v>46314</v>
      </c>
      <c r="P14" s="101" t="e">
        <f>VLOOKUP(A14,SHIPMENTS!$A$7:$N$171,14,0)</f>
        <v>#REF!</v>
      </c>
      <c r="Q14" s="101"/>
      <c r="R14" s="127" t="e">
        <f t="shared" si="3"/>
        <v>#REF!</v>
      </c>
      <c r="S14" s="127" t="e">
        <f t="shared" si="4"/>
        <v>#REF!</v>
      </c>
      <c r="T14" s="127" t="e">
        <f t="shared" si="4"/>
        <v>#REF!</v>
      </c>
      <c r="U14" s="127" t="e">
        <f t="shared" si="4"/>
        <v>#REF!</v>
      </c>
      <c r="V14" s="127" t="e">
        <f t="shared" si="4"/>
        <v>#REF!</v>
      </c>
      <c r="W14" s="127" t="e">
        <f t="shared" si="4"/>
        <v>#REF!</v>
      </c>
      <c r="X14" s="127" t="e">
        <f t="shared" si="4"/>
        <v>#REF!</v>
      </c>
      <c r="Y14" s="127" t="e">
        <f t="shared" si="4"/>
        <v>#REF!</v>
      </c>
      <c r="Z14" s="127" t="e">
        <f t="shared" si="4"/>
        <v>#REF!</v>
      </c>
      <c r="AA14" s="127" t="e">
        <f t="shared" si="4"/>
        <v>#REF!</v>
      </c>
      <c r="AB14" s="127" t="e">
        <f t="shared" si="4"/>
        <v>#REF!</v>
      </c>
      <c r="AC14" s="127" t="e">
        <f t="shared" si="4"/>
        <v>#REF!</v>
      </c>
      <c r="AD14" s="127" t="e">
        <f t="shared" si="4"/>
        <v>#REF!</v>
      </c>
      <c r="AE14" s="127" t="e">
        <f t="shared" si="4"/>
        <v>#REF!</v>
      </c>
      <c r="AF14" s="127" t="e">
        <f t="shared" si="4"/>
        <v>#REF!</v>
      </c>
      <c r="AG14" s="127" t="e">
        <f t="shared" si="4"/>
        <v>#REF!</v>
      </c>
      <c r="AH14" s="127" t="e">
        <f t="shared" ref="AH14:BH20" si="11">IF($E14=AH$3,"▲","")</f>
        <v>#REF!</v>
      </c>
      <c r="AI14" s="127" t="e">
        <f t="shared" si="11"/>
        <v>#REF!</v>
      </c>
      <c r="AJ14" s="127" t="e">
        <f t="shared" si="11"/>
        <v>#REF!</v>
      </c>
      <c r="AK14" s="127" t="e">
        <f t="shared" si="11"/>
        <v>#REF!</v>
      </c>
      <c r="AL14" s="127" t="e">
        <f t="shared" si="11"/>
        <v>#REF!</v>
      </c>
      <c r="AM14" s="127" t="e">
        <f t="shared" si="11"/>
        <v>#REF!</v>
      </c>
      <c r="AN14" s="127" t="e">
        <f t="shared" si="11"/>
        <v>#REF!</v>
      </c>
      <c r="AO14" s="127" t="e">
        <f t="shared" si="11"/>
        <v>#REF!</v>
      </c>
      <c r="AP14" s="127" t="e">
        <f t="shared" si="11"/>
        <v>#REF!</v>
      </c>
      <c r="AQ14" s="127" t="e">
        <f t="shared" si="11"/>
        <v>#REF!</v>
      </c>
      <c r="AR14" s="127" t="e">
        <f t="shared" si="11"/>
        <v>#REF!</v>
      </c>
      <c r="AS14" s="127" t="e">
        <f t="shared" si="11"/>
        <v>#REF!</v>
      </c>
      <c r="AT14" s="127" t="e">
        <f t="shared" si="11"/>
        <v>#REF!</v>
      </c>
      <c r="AU14" s="127" t="e">
        <f t="shared" si="11"/>
        <v>#REF!</v>
      </c>
      <c r="AV14" s="127" t="e">
        <f t="shared" si="11"/>
        <v>#REF!</v>
      </c>
      <c r="AW14" s="127" t="e">
        <f t="shared" si="11"/>
        <v>#REF!</v>
      </c>
      <c r="AX14" s="127" t="e">
        <f t="shared" si="11"/>
        <v>#REF!</v>
      </c>
      <c r="AY14" s="127" t="e">
        <f t="shared" si="11"/>
        <v>#REF!</v>
      </c>
      <c r="AZ14" s="127" t="e">
        <f t="shared" si="11"/>
        <v>#REF!</v>
      </c>
      <c r="BA14" s="127" t="e">
        <f t="shared" si="11"/>
        <v>#REF!</v>
      </c>
      <c r="BB14" s="127" t="e">
        <f t="shared" si="11"/>
        <v>#REF!</v>
      </c>
      <c r="BC14" s="127" t="e">
        <f t="shared" si="11"/>
        <v>#REF!</v>
      </c>
      <c r="BD14" s="127" t="e">
        <f t="shared" si="11"/>
        <v>#REF!</v>
      </c>
      <c r="BE14" s="127" t="e">
        <f t="shared" si="11"/>
        <v>#REF!</v>
      </c>
      <c r="BF14" s="127" t="e">
        <f t="shared" si="11"/>
        <v>#REF!</v>
      </c>
      <c r="BG14" s="127" t="e">
        <f t="shared" si="11"/>
        <v>#REF!</v>
      </c>
      <c r="BH14" s="127" t="e">
        <f t="shared" si="11"/>
        <v>#REF!</v>
      </c>
      <c r="BI14" s="127" t="e">
        <f t="shared" si="5"/>
        <v>#REF!</v>
      </c>
      <c r="BJ14" s="127" t="e">
        <f t="shared" si="5"/>
        <v>#REF!</v>
      </c>
      <c r="BK14" s="127" t="e">
        <f t="shared" si="5"/>
        <v>#REF!</v>
      </c>
      <c r="BL14" s="127" t="e">
        <f t="shared" si="5"/>
        <v>#REF!</v>
      </c>
      <c r="BM14" s="127" t="e">
        <f t="shared" si="5"/>
        <v>#REF!</v>
      </c>
      <c r="BN14" s="127" t="e">
        <f t="shared" si="5"/>
        <v>#REF!</v>
      </c>
      <c r="BO14" s="127" t="e">
        <f t="shared" si="5"/>
        <v>#REF!</v>
      </c>
      <c r="BP14" s="127" t="e">
        <f t="shared" si="5"/>
        <v>#REF!</v>
      </c>
      <c r="BQ14" s="127" t="e">
        <f t="shared" si="5"/>
        <v>#REF!</v>
      </c>
      <c r="BR14" s="127" t="e">
        <f t="shared" si="5"/>
        <v>#REF!</v>
      </c>
      <c r="BS14" s="127" t="e">
        <f t="shared" si="5"/>
        <v>#REF!</v>
      </c>
      <c r="BT14" s="127" t="e">
        <f t="shared" si="6"/>
        <v>#REF!</v>
      </c>
      <c r="BU14" s="127" t="e">
        <f t="shared" si="6"/>
        <v>#REF!</v>
      </c>
      <c r="BV14" s="127" t="e">
        <f t="shared" si="6"/>
        <v>#REF!</v>
      </c>
      <c r="BW14" s="127" t="e">
        <f t="shared" si="6"/>
        <v>#REF!</v>
      </c>
      <c r="BX14" s="127" t="e">
        <f t="shared" si="6"/>
        <v>#REF!</v>
      </c>
      <c r="BY14" s="127" t="e">
        <f t="shared" si="6"/>
        <v>#REF!</v>
      </c>
      <c r="BZ14" s="127" t="e">
        <f t="shared" si="6"/>
        <v>#REF!</v>
      </c>
      <c r="CA14" s="127" t="e">
        <f t="shared" si="6"/>
        <v>#REF!</v>
      </c>
      <c r="CB14" s="127" t="e">
        <f t="shared" si="6"/>
        <v>#REF!</v>
      </c>
      <c r="CC14" s="127" t="e">
        <f t="shared" si="6"/>
        <v>#REF!</v>
      </c>
      <c r="CD14" s="127" t="e">
        <f t="shared" si="6"/>
        <v>#REF!</v>
      </c>
      <c r="CE14" s="127" t="e">
        <f t="shared" si="6"/>
        <v>#REF!</v>
      </c>
    </row>
    <row r="15" spans="1:83" ht="12.6" hidden="1" customHeight="1" x14ac:dyDescent="0.2">
      <c r="A15" s="106" t="e">
        <f>SHIPMENTS!#REF!</f>
        <v>#REF!</v>
      </c>
      <c r="B15" s="106" t="e">
        <f>SHIPMENTS!#REF!</f>
        <v>#REF!</v>
      </c>
      <c r="C15" s="132" t="e">
        <f>SHIPMENTS!#REF!</f>
        <v>#REF!</v>
      </c>
      <c r="D15" s="107" t="e">
        <f>IF((SHIPMENTS!#REF!)=0,"",SHIPMENTS!#REF!)</f>
        <v>#REF!</v>
      </c>
      <c r="E15" s="176" t="e">
        <f>IF((SHIPMENTS!#REF!)=0,"",SHIPMENTS!#REF!)</f>
        <v>#REF!</v>
      </c>
      <c r="F15" s="97" t="e">
        <f>VLOOKUP(A15,Items!$A$5:$J$500,9,0)</f>
        <v>#REF!</v>
      </c>
      <c r="G15" s="98" t="e">
        <f>VLOOKUP(A15,load!$A$4:$U$5001,17,0)</f>
        <v>#REF!</v>
      </c>
      <c r="H15" s="97">
        <f>Manhours!$C$27</f>
        <v>42</v>
      </c>
      <c r="I15" s="98">
        <f t="shared" si="7"/>
        <v>382.2</v>
      </c>
      <c r="J15" s="99" t="e">
        <f t="shared" si="0"/>
        <v>#REF!</v>
      </c>
      <c r="K15" s="99" t="e">
        <f t="shared" si="8"/>
        <v>#REF!</v>
      </c>
      <c r="L15" s="98">
        <f t="shared" si="1"/>
        <v>0</v>
      </c>
      <c r="M15" s="98">
        <f t="shared" si="2"/>
        <v>0</v>
      </c>
      <c r="N15" s="181">
        <f t="shared" si="10"/>
        <v>46314</v>
      </c>
      <c r="O15" s="181">
        <f t="shared" si="9"/>
        <v>46314</v>
      </c>
      <c r="P15" s="101" t="e">
        <f>VLOOKUP(A15,SHIPMENTS!$A$7:$N$171,14,0)</f>
        <v>#REF!</v>
      </c>
      <c r="Q15" s="101"/>
      <c r="R15" s="127" t="e">
        <f t="shared" si="3"/>
        <v>#REF!</v>
      </c>
      <c r="S15" s="127" t="e">
        <f t="shared" ref="S15:BF21" si="12">IF($E15=S$3,"▲","")</f>
        <v>#REF!</v>
      </c>
      <c r="T15" s="127" t="e">
        <f t="shared" si="12"/>
        <v>#REF!</v>
      </c>
      <c r="U15" s="127" t="e">
        <f t="shared" si="12"/>
        <v>#REF!</v>
      </c>
      <c r="V15" s="127" t="e">
        <f t="shared" si="12"/>
        <v>#REF!</v>
      </c>
      <c r="W15" s="127" t="e">
        <f t="shared" si="12"/>
        <v>#REF!</v>
      </c>
      <c r="X15" s="127" t="e">
        <f t="shared" si="12"/>
        <v>#REF!</v>
      </c>
      <c r="Y15" s="127" t="e">
        <f t="shared" si="12"/>
        <v>#REF!</v>
      </c>
      <c r="Z15" s="127" t="e">
        <f t="shared" si="12"/>
        <v>#REF!</v>
      </c>
      <c r="AA15" s="127" t="e">
        <f t="shared" si="12"/>
        <v>#REF!</v>
      </c>
      <c r="AB15" s="127" t="e">
        <f t="shared" si="12"/>
        <v>#REF!</v>
      </c>
      <c r="AC15" s="127" t="e">
        <f t="shared" si="12"/>
        <v>#REF!</v>
      </c>
      <c r="AD15" s="127" t="e">
        <f t="shared" si="12"/>
        <v>#REF!</v>
      </c>
      <c r="AE15" s="127" t="e">
        <f t="shared" si="12"/>
        <v>#REF!</v>
      </c>
      <c r="AF15" s="127" t="e">
        <f t="shared" si="12"/>
        <v>#REF!</v>
      </c>
      <c r="AG15" s="127" t="e">
        <f t="shared" si="12"/>
        <v>#REF!</v>
      </c>
      <c r="AH15" s="127" t="e">
        <f t="shared" si="12"/>
        <v>#REF!</v>
      </c>
      <c r="AI15" s="127" t="e">
        <f t="shared" si="12"/>
        <v>#REF!</v>
      </c>
      <c r="AJ15" s="127" t="e">
        <f t="shared" si="12"/>
        <v>#REF!</v>
      </c>
      <c r="AK15" s="127" t="e">
        <f t="shared" si="12"/>
        <v>#REF!</v>
      </c>
      <c r="AL15" s="127" t="e">
        <f t="shared" si="12"/>
        <v>#REF!</v>
      </c>
      <c r="AM15" s="127" t="e">
        <f t="shared" si="12"/>
        <v>#REF!</v>
      </c>
      <c r="AN15" s="127" t="e">
        <f t="shared" si="12"/>
        <v>#REF!</v>
      </c>
      <c r="AO15" s="127" t="e">
        <f t="shared" si="12"/>
        <v>#REF!</v>
      </c>
      <c r="AP15" s="127" t="e">
        <f t="shared" si="12"/>
        <v>#REF!</v>
      </c>
      <c r="AQ15" s="127" t="e">
        <f t="shared" si="12"/>
        <v>#REF!</v>
      </c>
      <c r="AR15" s="127" t="e">
        <f t="shared" si="12"/>
        <v>#REF!</v>
      </c>
      <c r="AS15" s="127" t="e">
        <f t="shared" si="12"/>
        <v>#REF!</v>
      </c>
      <c r="AT15" s="127" t="e">
        <f t="shared" si="12"/>
        <v>#REF!</v>
      </c>
      <c r="AU15" s="127" t="e">
        <f t="shared" si="12"/>
        <v>#REF!</v>
      </c>
      <c r="AV15" s="127" t="e">
        <f t="shared" si="12"/>
        <v>#REF!</v>
      </c>
      <c r="AW15" s="127" t="e">
        <f t="shared" si="12"/>
        <v>#REF!</v>
      </c>
      <c r="AX15" s="127" t="e">
        <f t="shared" si="12"/>
        <v>#REF!</v>
      </c>
      <c r="AY15" s="127" t="e">
        <f t="shared" si="12"/>
        <v>#REF!</v>
      </c>
      <c r="AZ15" s="127" t="e">
        <f t="shared" si="12"/>
        <v>#REF!</v>
      </c>
      <c r="BA15" s="127" t="e">
        <f t="shared" si="12"/>
        <v>#REF!</v>
      </c>
      <c r="BB15" s="127" t="e">
        <f t="shared" si="12"/>
        <v>#REF!</v>
      </c>
      <c r="BC15" s="127" t="e">
        <f t="shared" si="12"/>
        <v>#REF!</v>
      </c>
      <c r="BD15" s="127" t="e">
        <f t="shared" si="12"/>
        <v>#REF!</v>
      </c>
      <c r="BE15" s="127" t="e">
        <f t="shared" si="12"/>
        <v>#REF!</v>
      </c>
      <c r="BF15" s="127" t="e">
        <f t="shared" si="12"/>
        <v>#REF!</v>
      </c>
      <c r="BG15" s="127" t="e">
        <f t="shared" si="11"/>
        <v>#REF!</v>
      </c>
      <c r="BH15" s="127" t="e">
        <f t="shared" si="11"/>
        <v>#REF!</v>
      </c>
      <c r="BI15" s="127" t="e">
        <f t="shared" si="5"/>
        <v>#REF!</v>
      </c>
      <c r="BJ15" s="127" t="e">
        <f t="shared" si="5"/>
        <v>#REF!</v>
      </c>
      <c r="BK15" s="127" t="e">
        <f t="shared" si="5"/>
        <v>#REF!</v>
      </c>
      <c r="BL15" s="127" t="e">
        <f t="shared" si="5"/>
        <v>#REF!</v>
      </c>
      <c r="BM15" s="127" t="e">
        <f t="shared" si="5"/>
        <v>#REF!</v>
      </c>
      <c r="BN15" s="127" t="e">
        <f t="shared" si="5"/>
        <v>#REF!</v>
      </c>
      <c r="BO15" s="127" t="e">
        <f t="shared" si="5"/>
        <v>#REF!</v>
      </c>
      <c r="BP15" s="127" t="e">
        <f t="shared" si="5"/>
        <v>#REF!</v>
      </c>
      <c r="BQ15" s="127" t="e">
        <f t="shared" si="5"/>
        <v>#REF!</v>
      </c>
      <c r="BR15" s="127" t="e">
        <f t="shared" si="5"/>
        <v>#REF!</v>
      </c>
      <c r="BS15" s="127" t="e">
        <f t="shared" si="5"/>
        <v>#REF!</v>
      </c>
      <c r="BT15" s="127" t="e">
        <f t="shared" si="6"/>
        <v>#REF!</v>
      </c>
      <c r="BU15" s="127" t="e">
        <f t="shared" si="6"/>
        <v>#REF!</v>
      </c>
      <c r="BV15" s="127" t="e">
        <f t="shared" si="6"/>
        <v>#REF!</v>
      </c>
      <c r="BW15" s="127" t="e">
        <f t="shared" si="6"/>
        <v>#REF!</v>
      </c>
      <c r="BX15" s="127" t="e">
        <f t="shared" si="6"/>
        <v>#REF!</v>
      </c>
      <c r="BY15" s="127" t="e">
        <f t="shared" si="6"/>
        <v>#REF!</v>
      </c>
      <c r="BZ15" s="127" t="e">
        <f t="shared" si="6"/>
        <v>#REF!</v>
      </c>
      <c r="CA15" s="127" t="e">
        <f t="shared" si="6"/>
        <v>#REF!</v>
      </c>
      <c r="CB15" s="127" t="e">
        <f t="shared" si="6"/>
        <v>#REF!</v>
      </c>
      <c r="CC15" s="127" t="e">
        <f t="shared" si="6"/>
        <v>#REF!</v>
      </c>
      <c r="CD15" s="127" t="e">
        <f t="shared" si="6"/>
        <v>#REF!</v>
      </c>
      <c r="CE15" s="127" t="e">
        <f t="shared" si="6"/>
        <v>#REF!</v>
      </c>
    </row>
    <row r="16" spans="1:83" ht="12.6" hidden="1" customHeight="1" x14ac:dyDescent="0.2">
      <c r="A16" s="106" t="e">
        <f>SHIPMENTS!#REF!</f>
        <v>#REF!</v>
      </c>
      <c r="B16" s="106" t="e">
        <f>SHIPMENTS!#REF!</f>
        <v>#REF!</v>
      </c>
      <c r="C16" s="132" t="e">
        <f>SHIPMENTS!#REF!</f>
        <v>#REF!</v>
      </c>
      <c r="D16" s="107" t="e">
        <f>IF((SHIPMENTS!#REF!)=0,"",SHIPMENTS!#REF!)</f>
        <v>#REF!</v>
      </c>
      <c r="E16" s="176" t="e">
        <f>IF((SHIPMENTS!#REF!)=0,"",SHIPMENTS!#REF!)</f>
        <v>#REF!</v>
      </c>
      <c r="F16" s="97" t="e">
        <f>VLOOKUP(A16,Items!$A$5:$J$500,9,0)</f>
        <v>#REF!</v>
      </c>
      <c r="G16" s="98" t="e">
        <f>VLOOKUP(A16,load!$A$4:$U$5001,17,0)</f>
        <v>#REF!</v>
      </c>
      <c r="H16" s="97">
        <f>Manhours!$C$27</f>
        <v>42</v>
      </c>
      <c r="I16" s="98">
        <f t="shared" si="7"/>
        <v>382.2</v>
      </c>
      <c r="J16" s="99" t="e">
        <f t="shared" si="0"/>
        <v>#REF!</v>
      </c>
      <c r="K16" s="99" t="e">
        <f t="shared" si="8"/>
        <v>#REF!</v>
      </c>
      <c r="L16" s="98">
        <f t="shared" si="1"/>
        <v>0</v>
      </c>
      <c r="M16" s="98">
        <f t="shared" si="2"/>
        <v>0</v>
      </c>
      <c r="N16" s="181">
        <f t="shared" si="10"/>
        <v>46314</v>
      </c>
      <c r="O16" s="181">
        <f t="shared" si="9"/>
        <v>46314</v>
      </c>
      <c r="P16" s="101" t="e">
        <f>VLOOKUP(A16,SHIPMENTS!$A$7:$N$171,14,0)</f>
        <v>#REF!</v>
      </c>
      <c r="Q16" s="101"/>
      <c r="R16" s="127" t="e">
        <f t="shared" si="3"/>
        <v>#REF!</v>
      </c>
      <c r="S16" s="127" t="e">
        <f t="shared" si="12"/>
        <v>#REF!</v>
      </c>
      <c r="T16" s="127" t="e">
        <f t="shared" si="12"/>
        <v>#REF!</v>
      </c>
      <c r="U16" s="127" t="e">
        <f t="shared" si="12"/>
        <v>#REF!</v>
      </c>
      <c r="V16" s="127" t="e">
        <f t="shared" si="12"/>
        <v>#REF!</v>
      </c>
      <c r="W16" s="127" t="e">
        <f t="shared" si="12"/>
        <v>#REF!</v>
      </c>
      <c r="X16" s="127" t="e">
        <f t="shared" si="12"/>
        <v>#REF!</v>
      </c>
      <c r="Y16" s="127" t="e">
        <f t="shared" si="12"/>
        <v>#REF!</v>
      </c>
      <c r="Z16" s="127" t="e">
        <f t="shared" si="12"/>
        <v>#REF!</v>
      </c>
      <c r="AA16" s="127" t="e">
        <f t="shared" si="12"/>
        <v>#REF!</v>
      </c>
      <c r="AB16" s="127" t="e">
        <f t="shared" si="12"/>
        <v>#REF!</v>
      </c>
      <c r="AC16" s="127" t="e">
        <f t="shared" si="12"/>
        <v>#REF!</v>
      </c>
      <c r="AD16" s="127" t="e">
        <f t="shared" si="12"/>
        <v>#REF!</v>
      </c>
      <c r="AE16" s="127" t="e">
        <f t="shared" si="12"/>
        <v>#REF!</v>
      </c>
      <c r="AF16" s="127" t="e">
        <f t="shared" si="12"/>
        <v>#REF!</v>
      </c>
      <c r="AG16" s="127" t="e">
        <f t="shared" si="12"/>
        <v>#REF!</v>
      </c>
      <c r="AH16" s="127" t="e">
        <f t="shared" si="12"/>
        <v>#REF!</v>
      </c>
      <c r="AI16" s="127" t="e">
        <f t="shared" si="12"/>
        <v>#REF!</v>
      </c>
      <c r="AJ16" s="127" t="e">
        <f t="shared" si="12"/>
        <v>#REF!</v>
      </c>
      <c r="AK16" s="127" t="e">
        <f t="shared" si="12"/>
        <v>#REF!</v>
      </c>
      <c r="AL16" s="127" t="e">
        <f t="shared" si="12"/>
        <v>#REF!</v>
      </c>
      <c r="AM16" s="127" t="e">
        <f t="shared" si="12"/>
        <v>#REF!</v>
      </c>
      <c r="AN16" s="127" t="e">
        <f t="shared" si="12"/>
        <v>#REF!</v>
      </c>
      <c r="AO16" s="127" t="e">
        <f t="shared" si="12"/>
        <v>#REF!</v>
      </c>
      <c r="AP16" s="127" t="e">
        <f t="shared" si="12"/>
        <v>#REF!</v>
      </c>
      <c r="AQ16" s="127" t="e">
        <f t="shared" si="12"/>
        <v>#REF!</v>
      </c>
      <c r="AR16" s="127" t="e">
        <f t="shared" si="12"/>
        <v>#REF!</v>
      </c>
      <c r="AS16" s="127" t="e">
        <f t="shared" si="12"/>
        <v>#REF!</v>
      </c>
      <c r="AT16" s="127" t="e">
        <f t="shared" si="12"/>
        <v>#REF!</v>
      </c>
      <c r="AU16" s="127" t="e">
        <f t="shared" si="12"/>
        <v>#REF!</v>
      </c>
      <c r="AV16" s="127" t="e">
        <f t="shared" si="12"/>
        <v>#REF!</v>
      </c>
      <c r="AW16" s="127" t="e">
        <f t="shared" si="12"/>
        <v>#REF!</v>
      </c>
      <c r="AX16" s="127" t="e">
        <f t="shared" si="12"/>
        <v>#REF!</v>
      </c>
      <c r="AY16" s="127" t="e">
        <f t="shared" si="12"/>
        <v>#REF!</v>
      </c>
      <c r="AZ16" s="127" t="e">
        <f t="shared" si="12"/>
        <v>#REF!</v>
      </c>
      <c r="BA16" s="127" t="e">
        <f t="shared" si="12"/>
        <v>#REF!</v>
      </c>
      <c r="BB16" s="127" t="e">
        <f t="shared" si="12"/>
        <v>#REF!</v>
      </c>
      <c r="BC16" s="127" t="e">
        <f t="shared" si="12"/>
        <v>#REF!</v>
      </c>
      <c r="BD16" s="127" t="e">
        <f t="shared" si="12"/>
        <v>#REF!</v>
      </c>
      <c r="BE16" s="127" t="e">
        <f t="shared" si="12"/>
        <v>#REF!</v>
      </c>
      <c r="BF16" s="127" t="e">
        <f t="shared" si="12"/>
        <v>#REF!</v>
      </c>
      <c r="BG16" s="127" t="e">
        <f t="shared" si="11"/>
        <v>#REF!</v>
      </c>
      <c r="BH16" s="127" t="e">
        <f t="shared" si="5"/>
        <v>#REF!</v>
      </c>
      <c r="BI16" s="127" t="e">
        <f t="shared" si="5"/>
        <v>#REF!</v>
      </c>
      <c r="BJ16" s="127" t="e">
        <f t="shared" si="5"/>
        <v>#REF!</v>
      </c>
      <c r="BK16" s="127" t="e">
        <f t="shared" si="5"/>
        <v>#REF!</v>
      </c>
      <c r="BL16" s="127" t="e">
        <f t="shared" si="5"/>
        <v>#REF!</v>
      </c>
      <c r="BM16" s="127" t="e">
        <f t="shared" si="5"/>
        <v>#REF!</v>
      </c>
      <c r="BN16" s="127" t="e">
        <f t="shared" si="5"/>
        <v>#REF!</v>
      </c>
      <c r="BO16" s="127" t="e">
        <f t="shared" si="5"/>
        <v>#REF!</v>
      </c>
      <c r="BP16" s="127" t="e">
        <f t="shared" si="5"/>
        <v>#REF!</v>
      </c>
      <c r="BQ16" s="127" t="e">
        <f t="shared" si="5"/>
        <v>#REF!</v>
      </c>
      <c r="BR16" s="127" t="e">
        <f t="shared" si="5"/>
        <v>#REF!</v>
      </c>
      <c r="BS16" s="127" t="e">
        <f t="shared" si="5"/>
        <v>#REF!</v>
      </c>
      <c r="BT16" s="127" t="e">
        <f t="shared" si="6"/>
        <v>#REF!</v>
      </c>
      <c r="BU16" s="127" t="e">
        <f t="shared" si="6"/>
        <v>#REF!</v>
      </c>
      <c r="BV16" s="127" t="e">
        <f t="shared" si="6"/>
        <v>#REF!</v>
      </c>
      <c r="BW16" s="127" t="e">
        <f t="shared" si="6"/>
        <v>#REF!</v>
      </c>
      <c r="BX16" s="127" t="e">
        <f t="shared" si="6"/>
        <v>#REF!</v>
      </c>
      <c r="BY16" s="127" t="e">
        <f t="shared" si="6"/>
        <v>#REF!</v>
      </c>
      <c r="BZ16" s="127" t="e">
        <f t="shared" si="6"/>
        <v>#REF!</v>
      </c>
      <c r="CA16" s="127" t="e">
        <f t="shared" si="6"/>
        <v>#REF!</v>
      </c>
      <c r="CB16" s="127" t="e">
        <f t="shared" si="6"/>
        <v>#REF!</v>
      </c>
      <c r="CC16" s="127" t="e">
        <f t="shared" si="6"/>
        <v>#REF!</v>
      </c>
      <c r="CD16" s="127" t="e">
        <f t="shared" si="6"/>
        <v>#REF!</v>
      </c>
      <c r="CE16" s="127" t="e">
        <f t="shared" si="6"/>
        <v>#REF!</v>
      </c>
    </row>
    <row r="17" spans="1:83" ht="12.6" hidden="1" customHeight="1" x14ac:dyDescent="0.2">
      <c r="A17" s="106" t="e">
        <f>SHIPMENTS!#REF!</f>
        <v>#REF!</v>
      </c>
      <c r="B17" s="106" t="e">
        <f>SHIPMENTS!#REF!</f>
        <v>#REF!</v>
      </c>
      <c r="C17" s="132" t="e">
        <f>SHIPMENTS!#REF!</f>
        <v>#REF!</v>
      </c>
      <c r="D17" s="107" t="e">
        <f>IF((SHIPMENTS!#REF!)=0,"",SHIPMENTS!#REF!)</f>
        <v>#REF!</v>
      </c>
      <c r="E17" s="176" t="e">
        <f>IF((SHIPMENTS!#REF!)=0,"",SHIPMENTS!#REF!)</f>
        <v>#REF!</v>
      </c>
      <c r="F17" s="97" t="e">
        <f>VLOOKUP(A17,Items!$A$5:$J$500,9,0)</f>
        <v>#REF!</v>
      </c>
      <c r="G17" s="98" t="e">
        <f>VLOOKUP(A17,load!$A$4:$U$5001,17,0)</f>
        <v>#REF!</v>
      </c>
      <c r="H17" s="97">
        <f>Manhours!$C$27</f>
        <v>42</v>
      </c>
      <c r="I17" s="98">
        <f t="shared" si="7"/>
        <v>382.2</v>
      </c>
      <c r="J17" s="99" t="e">
        <f t="shared" si="0"/>
        <v>#REF!</v>
      </c>
      <c r="K17" s="99" t="e">
        <f t="shared" si="8"/>
        <v>#REF!</v>
      </c>
      <c r="L17" s="98">
        <f t="shared" si="1"/>
        <v>0</v>
      </c>
      <c r="M17" s="98">
        <f t="shared" si="2"/>
        <v>0</v>
      </c>
      <c r="N17" s="181">
        <f t="shared" si="10"/>
        <v>46314</v>
      </c>
      <c r="O17" s="181">
        <f t="shared" si="9"/>
        <v>46314</v>
      </c>
      <c r="P17" s="101" t="e">
        <f>VLOOKUP(A17,SHIPMENTS!$A$7:$N$171,14,0)</f>
        <v>#REF!</v>
      </c>
      <c r="Q17" s="101"/>
      <c r="R17" s="127" t="e">
        <f t="shared" si="3"/>
        <v>#REF!</v>
      </c>
      <c r="S17" s="127" t="e">
        <f t="shared" si="12"/>
        <v>#REF!</v>
      </c>
      <c r="T17" s="127" t="e">
        <f t="shared" si="12"/>
        <v>#REF!</v>
      </c>
      <c r="U17" s="127" t="e">
        <f t="shared" si="12"/>
        <v>#REF!</v>
      </c>
      <c r="V17" s="127" t="e">
        <f t="shared" si="12"/>
        <v>#REF!</v>
      </c>
      <c r="W17" s="127" t="e">
        <f t="shared" si="12"/>
        <v>#REF!</v>
      </c>
      <c r="X17" s="127" t="e">
        <f t="shared" si="12"/>
        <v>#REF!</v>
      </c>
      <c r="Y17" s="127" t="e">
        <f t="shared" si="12"/>
        <v>#REF!</v>
      </c>
      <c r="Z17" s="127" t="e">
        <f t="shared" si="12"/>
        <v>#REF!</v>
      </c>
      <c r="AA17" s="127" t="e">
        <f t="shared" si="12"/>
        <v>#REF!</v>
      </c>
      <c r="AB17" s="127" t="e">
        <f t="shared" si="12"/>
        <v>#REF!</v>
      </c>
      <c r="AC17" s="127" t="e">
        <f t="shared" si="12"/>
        <v>#REF!</v>
      </c>
      <c r="AD17" s="127" t="e">
        <f t="shared" si="12"/>
        <v>#REF!</v>
      </c>
      <c r="AE17" s="127" t="e">
        <f t="shared" si="12"/>
        <v>#REF!</v>
      </c>
      <c r="AF17" s="127" t="e">
        <f t="shared" si="12"/>
        <v>#REF!</v>
      </c>
      <c r="AG17" s="127" t="e">
        <f t="shared" si="12"/>
        <v>#REF!</v>
      </c>
      <c r="AH17" s="127" t="e">
        <f t="shared" si="12"/>
        <v>#REF!</v>
      </c>
      <c r="AI17" s="127" t="e">
        <f t="shared" si="12"/>
        <v>#REF!</v>
      </c>
      <c r="AJ17" s="127" t="e">
        <f t="shared" si="12"/>
        <v>#REF!</v>
      </c>
      <c r="AK17" s="127" t="e">
        <f t="shared" si="12"/>
        <v>#REF!</v>
      </c>
      <c r="AL17" s="127" t="e">
        <f t="shared" si="12"/>
        <v>#REF!</v>
      </c>
      <c r="AM17" s="127" t="e">
        <f t="shared" si="12"/>
        <v>#REF!</v>
      </c>
      <c r="AN17" s="127" t="e">
        <f t="shared" si="12"/>
        <v>#REF!</v>
      </c>
      <c r="AO17" s="127" t="e">
        <f t="shared" si="12"/>
        <v>#REF!</v>
      </c>
      <c r="AP17" s="127" t="e">
        <f t="shared" si="12"/>
        <v>#REF!</v>
      </c>
      <c r="AQ17" s="127" t="e">
        <f t="shared" si="12"/>
        <v>#REF!</v>
      </c>
      <c r="AR17" s="127" t="e">
        <f t="shared" si="12"/>
        <v>#REF!</v>
      </c>
      <c r="AS17" s="127" t="e">
        <f t="shared" si="12"/>
        <v>#REF!</v>
      </c>
      <c r="AT17" s="127" t="e">
        <f t="shared" si="12"/>
        <v>#REF!</v>
      </c>
      <c r="AU17" s="127" t="e">
        <f t="shared" si="12"/>
        <v>#REF!</v>
      </c>
      <c r="AV17" s="127" t="e">
        <f t="shared" si="12"/>
        <v>#REF!</v>
      </c>
      <c r="AW17" s="127" t="e">
        <f t="shared" si="12"/>
        <v>#REF!</v>
      </c>
      <c r="AX17" s="127" t="e">
        <f t="shared" si="12"/>
        <v>#REF!</v>
      </c>
      <c r="AY17" s="127" t="e">
        <f t="shared" si="12"/>
        <v>#REF!</v>
      </c>
      <c r="AZ17" s="127" t="e">
        <f t="shared" si="12"/>
        <v>#REF!</v>
      </c>
      <c r="BA17" s="127" t="e">
        <f t="shared" si="12"/>
        <v>#REF!</v>
      </c>
      <c r="BB17" s="127" t="e">
        <f t="shared" si="12"/>
        <v>#REF!</v>
      </c>
      <c r="BC17" s="127" t="e">
        <f t="shared" si="12"/>
        <v>#REF!</v>
      </c>
      <c r="BD17" s="127" t="e">
        <f t="shared" si="12"/>
        <v>#REF!</v>
      </c>
      <c r="BE17" s="127" t="e">
        <f t="shared" si="12"/>
        <v>#REF!</v>
      </c>
      <c r="BF17" s="127" t="e">
        <f t="shared" si="12"/>
        <v>#REF!</v>
      </c>
      <c r="BG17" s="127" t="e">
        <f t="shared" si="11"/>
        <v>#REF!</v>
      </c>
      <c r="BH17" s="127" t="e">
        <f t="shared" si="5"/>
        <v>#REF!</v>
      </c>
      <c r="BI17" s="127" t="e">
        <f t="shared" si="5"/>
        <v>#REF!</v>
      </c>
      <c r="BJ17" s="127" t="e">
        <f t="shared" si="5"/>
        <v>#REF!</v>
      </c>
      <c r="BK17" s="127" t="e">
        <f t="shared" si="5"/>
        <v>#REF!</v>
      </c>
      <c r="BL17" s="127" t="e">
        <f t="shared" si="5"/>
        <v>#REF!</v>
      </c>
      <c r="BM17" s="127" t="e">
        <f t="shared" si="5"/>
        <v>#REF!</v>
      </c>
      <c r="BN17" s="127" t="e">
        <f t="shared" si="5"/>
        <v>#REF!</v>
      </c>
      <c r="BO17" s="127" t="e">
        <f t="shared" si="5"/>
        <v>#REF!</v>
      </c>
      <c r="BP17" s="127" t="e">
        <f t="shared" si="5"/>
        <v>#REF!</v>
      </c>
      <c r="BQ17" s="127" t="e">
        <f t="shared" si="5"/>
        <v>#REF!</v>
      </c>
      <c r="BR17" s="127" t="e">
        <f t="shared" si="5"/>
        <v>#REF!</v>
      </c>
      <c r="BS17" s="127" t="e">
        <f t="shared" si="5"/>
        <v>#REF!</v>
      </c>
      <c r="BT17" s="127" t="e">
        <f t="shared" si="6"/>
        <v>#REF!</v>
      </c>
      <c r="BU17" s="127" t="e">
        <f t="shared" si="6"/>
        <v>#REF!</v>
      </c>
      <c r="BV17" s="127" t="e">
        <f t="shared" si="6"/>
        <v>#REF!</v>
      </c>
      <c r="BW17" s="127" t="e">
        <f t="shared" si="6"/>
        <v>#REF!</v>
      </c>
      <c r="BX17" s="127" t="e">
        <f t="shared" si="6"/>
        <v>#REF!</v>
      </c>
      <c r="BY17" s="127" t="e">
        <f t="shared" si="6"/>
        <v>#REF!</v>
      </c>
      <c r="BZ17" s="127" t="e">
        <f t="shared" si="6"/>
        <v>#REF!</v>
      </c>
      <c r="CA17" s="127" t="e">
        <f t="shared" si="6"/>
        <v>#REF!</v>
      </c>
      <c r="CB17" s="127" t="e">
        <f t="shared" si="6"/>
        <v>#REF!</v>
      </c>
      <c r="CC17" s="127" t="e">
        <f t="shared" si="6"/>
        <v>#REF!</v>
      </c>
      <c r="CD17" s="127" t="e">
        <f t="shared" si="6"/>
        <v>#REF!</v>
      </c>
      <c r="CE17" s="127" t="e">
        <f t="shared" si="6"/>
        <v>#REF!</v>
      </c>
    </row>
    <row r="18" spans="1:83" ht="12.6" hidden="1" customHeight="1" x14ac:dyDescent="0.2">
      <c r="A18" s="106" t="e">
        <f>SHIPMENTS!#REF!</f>
        <v>#REF!</v>
      </c>
      <c r="B18" s="106" t="e">
        <f>SHIPMENTS!#REF!</f>
        <v>#REF!</v>
      </c>
      <c r="C18" s="132" t="e">
        <f>SHIPMENTS!#REF!</f>
        <v>#REF!</v>
      </c>
      <c r="D18" s="107" t="e">
        <f>IF((SHIPMENTS!#REF!)=0,"",SHIPMENTS!#REF!)</f>
        <v>#REF!</v>
      </c>
      <c r="E18" s="176" t="e">
        <f>IF((SHIPMENTS!#REF!)=0,"",SHIPMENTS!#REF!)</f>
        <v>#REF!</v>
      </c>
      <c r="F18" s="97" t="e">
        <f>VLOOKUP(A18,Items!$A$5:$J$500,9,0)</f>
        <v>#REF!</v>
      </c>
      <c r="G18" s="98" t="e">
        <f>VLOOKUP(A18,load!$A$4:$U$5001,17,0)</f>
        <v>#REF!</v>
      </c>
      <c r="H18" s="97">
        <f>Manhours!$C$27</f>
        <v>42</v>
      </c>
      <c r="I18" s="98">
        <f t="shared" si="7"/>
        <v>382.2</v>
      </c>
      <c r="J18" s="99" t="e">
        <f t="shared" ref="J18:J27" si="13">G18/I18</f>
        <v>#REF!</v>
      </c>
      <c r="K18" s="99" t="e">
        <f t="shared" si="8"/>
        <v>#REF!</v>
      </c>
      <c r="L18" s="98">
        <f t="shared" si="1"/>
        <v>0</v>
      </c>
      <c r="M18" s="98">
        <f t="shared" si="2"/>
        <v>0</v>
      </c>
      <c r="N18" s="181">
        <f t="shared" si="10"/>
        <v>46314</v>
      </c>
      <c r="O18" s="181">
        <f t="shared" si="9"/>
        <v>46314</v>
      </c>
      <c r="P18" s="101" t="e">
        <f>VLOOKUP(A18,SHIPMENTS!$A$7:$N$171,14,0)</f>
        <v>#REF!</v>
      </c>
      <c r="Q18" s="101"/>
      <c r="R18" s="127" t="e">
        <f t="shared" si="3"/>
        <v>#REF!</v>
      </c>
      <c r="S18" s="127" t="e">
        <f t="shared" si="12"/>
        <v>#REF!</v>
      </c>
      <c r="T18" s="127" t="e">
        <f t="shared" si="12"/>
        <v>#REF!</v>
      </c>
      <c r="U18" s="127" t="e">
        <f t="shared" si="12"/>
        <v>#REF!</v>
      </c>
      <c r="V18" s="127" t="e">
        <f t="shared" si="12"/>
        <v>#REF!</v>
      </c>
      <c r="W18" s="127" t="e">
        <f t="shared" si="12"/>
        <v>#REF!</v>
      </c>
      <c r="X18" s="127" t="e">
        <f t="shared" si="12"/>
        <v>#REF!</v>
      </c>
      <c r="Y18" s="127" t="e">
        <f t="shared" si="12"/>
        <v>#REF!</v>
      </c>
      <c r="Z18" s="127" t="e">
        <f t="shared" si="12"/>
        <v>#REF!</v>
      </c>
      <c r="AA18" s="127" t="e">
        <f t="shared" si="12"/>
        <v>#REF!</v>
      </c>
      <c r="AB18" s="127" t="e">
        <f t="shared" si="12"/>
        <v>#REF!</v>
      </c>
      <c r="AC18" s="127" t="e">
        <f t="shared" si="12"/>
        <v>#REF!</v>
      </c>
      <c r="AD18" s="127" t="e">
        <f t="shared" si="12"/>
        <v>#REF!</v>
      </c>
      <c r="AE18" s="127" t="e">
        <f t="shared" si="12"/>
        <v>#REF!</v>
      </c>
      <c r="AF18" s="127" t="e">
        <f t="shared" si="12"/>
        <v>#REF!</v>
      </c>
      <c r="AG18" s="127" t="e">
        <f t="shared" si="12"/>
        <v>#REF!</v>
      </c>
      <c r="AH18" s="127" t="e">
        <f t="shared" si="12"/>
        <v>#REF!</v>
      </c>
      <c r="AI18" s="127" t="e">
        <f t="shared" si="12"/>
        <v>#REF!</v>
      </c>
      <c r="AJ18" s="127" t="e">
        <f t="shared" si="12"/>
        <v>#REF!</v>
      </c>
      <c r="AK18" s="127" t="e">
        <f t="shared" si="12"/>
        <v>#REF!</v>
      </c>
      <c r="AL18" s="127" t="e">
        <f t="shared" si="12"/>
        <v>#REF!</v>
      </c>
      <c r="AM18" s="127" t="e">
        <f t="shared" si="12"/>
        <v>#REF!</v>
      </c>
      <c r="AN18" s="127" t="e">
        <f t="shared" si="12"/>
        <v>#REF!</v>
      </c>
      <c r="AO18" s="127" t="e">
        <f t="shared" si="12"/>
        <v>#REF!</v>
      </c>
      <c r="AP18" s="127" t="e">
        <f t="shared" si="12"/>
        <v>#REF!</v>
      </c>
      <c r="AQ18" s="127" t="e">
        <f t="shared" si="12"/>
        <v>#REF!</v>
      </c>
      <c r="AR18" s="127" t="e">
        <f t="shared" si="12"/>
        <v>#REF!</v>
      </c>
      <c r="AS18" s="127" t="e">
        <f t="shared" si="12"/>
        <v>#REF!</v>
      </c>
      <c r="AT18" s="127" t="e">
        <f t="shared" si="12"/>
        <v>#REF!</v>
      </c>
      <c r="AU18" s="127" t="e">
        <f t="shared" si="12"/>
        <v>#REF!</v>
      </c>
      <c r="AV18" s="127" t="e">
        <f t="shared" si="12"/>
        <v>#REF!</v>
      </c>
      <c r="AW18" s="127" t="e">
        <f t="shared" si="12"/>
        <v>#REF!</v>
      </c>
      <c r="AX18" s="127" t="e">
        <f t="shared" si="12"/>
        <v>#REF!</v>
      </c>
      <c r="AY18" s="127" t="e">
        <f t="shared" si="12"/>
        <v>#REF!</v>
      </c>
      <c r="AZ18" s="127" t="e">
        <f t="shared" si="12"/>
        <v>#REF!</v>
      </c>
      <c r="BA18" s="127" t="e">
        <f t="shared" si="12"/>
        <v>#REF!</v>
      </c>
      <c r="BB18" s="127" t="e">
        <f t="shared" si="12"/>
        <v>#REF!</v>
      </c>
      <c r="BC18" s="127" t="e">
        <f t="shared" si="12"/>
        <v>#REF!</v>
      </c>
      <c r="BD18" s="127" t="e">
        <f t="shared" si="12"/>
        <v>#REF!</v>
      </c>
      <c r="BE18" s="127" t="e">
        <f t="shared" si="12"/>
        <v>#REF!</v>
      </c>
      <c r="BF18" s="127" t="e">
        <f t="shared" si="12"/>
        <v>#REF!</v>
      </c>
      <c r="BG18" s="127" t="e">
        <f t="shared" si="11"/>
        <v>#REF!</v>
      </c>
      <c r="BH18" s="127" t="e">
        <f t="shared" si="5"/>
        <v>#REF!</v>
      </c>
      <c r="BI18" s="127" t="e">
        <f t="shared" si="5"/>
        <v>#REF!</v>
      </c>
      <c r="BJ18" s="127" t="e">
        <f t="shared" si="5"/>
        <v>#REF!</v>
      </c>
      <c r="BK18" s="127" t="e">
        <f t="shared" si="5"/>
        <v>#REF!</v>
      </c>
      <c r="BL18" s="127" t="e">
        <f t="shared" si="5"/>
        <v>#REF!</v>
      </c>
      <c r="BM18" s="127" t="e">
        <f t="shared" si="5"/>
        <v>#REF!</v>
      </c>
      <c r="BN18" s="127" t="e">
        <f t="shared" si="5"/>
        <v>#REF!</v>
      </c>
      <c r="BO18" s="127" t="e">
        <f t="shared" si="5"/>
        <v>#REF!</v>
      </c>
      <c r="BP18" s="127" t="e">
        <f t="shared" si="5"/>
        <v>#REF!</v>
      </c>
      <c r="BQ18" s="127" t="e">
        <f t="shared" si="5"/>
        <v>#REF!</v>
      </c>
      <c r="BR18" s="127" t="e">
        <f t="shared" si="5"/>
        <v>#REF!</v>
      </c>
      <c r="BS18" s="127" t="e">
        <f t="shared" si="5"/>
        <v>#REF!</v>
      </c>
      <c r="BT18" s="127" t="e">
        <f t="shared" si="6"/>
        <v>#REF!</v>
      </c>
      <c r="BU18" s="127" t="e">
        <f t="shared" si="6"/>
        <v>#REF!</v>
      </c>
      <c r="BV18" s="127" t="e">
        <f t="shared" si="6"/>
        <v>#REF!</v>
      </c>
      <c r="BW18" s="127" t="e">
        <f t="shared" si="6"/>
        <v>#REF!</v>
      </c>
      <c r="BX18" s="127" t="e">
        <f t="shared" si="6"/>
        <v>#REF!</v>
      </c>
      <c r="BY18" s="127" t="e">
        <f t="shared" si="6"/>
        <v>#REF!</v>
      </c>
      <c r="BZ18" s="127" t="e">
        <f t="shared" si="6"/>
        <v>#REF!</v>
      </c>
      <c r="CA18" s="127" t="e">
        <f t="shared" si="6"/>
        <v>#REF!</v>
      </c>
      <c r="CB18" s="127" t="e">
        <f t="shared" si="6"/>
        <v>#REF!</v>
      </c>
      <c r="CC18" s="127" t="e">
        <f t="shared" si="6"/>
        <v>#REF!</v>
      </c>
      <c r="CD18" s="127" t="e">
        <f t="shared" si="6"/>
        <v>#REF!</v>
      </c>
      <c r="CE18" s="127" t="e">
        <f t="shared" si="6"/>
        <v>#REF!</v>
      </c>
    </row>
    <row r="19" spans="1:83" ht="12.6" hidden="1" customHeight="1" x14ac:dyDescent="0.2">
      <c r="A19" s="106" t="e">
        <f>SHIPMENTS!#REF!</f>
        <v>#REF!</v>
      </c>
      <c r="B19" s="106" t="e">
        <f>SHIPMENTS!#REF!</f>
        <v>#REF!</v>
      </c>
      <c r="C19" s="132" t="e">
        <f>SHIPMENTS!#REF!</f>
        <v>#REF!</v>
      </c>
      <c r="D19" s="107" t="e">
        <f>IF((SHIPMENTS!#REF!)=0,"",SHIPMENTS!#REF!)</f>
        <v>#REF!</v>
      </c>
      <c r="E19" s="176" t="e">
        <f>IF((SHIPMENTS!#REF!)=0,"",SHIPMENTS!#REF!)</f>
        <v>#REF!</v>
      </c>
      <c r="F19" s="97" t="e">
        <f>VLOOKUP(A19,Items!$A$5:$J$500,9,0)</f>
        <v>#REF!</v>
      </c>
      <c r="G19" s="98" t="e">
        <f>VLOOKUP(A19,load!$A$4:$U$5001,17,0)</f>
        <v>#REF!</v>
      </c>
      <c r="H19" s="97">
        <f>Manhours!$C$27</f>
        <v>42</v>
      </c>
      <c r="I19" s="98">
        <f t="shared" si="7"/>
        <v>382.2</v>
      </c>
      <c r="J19" s="99" t="e">
        <f t="shared" si="13"/>
        <v>#REF!</v>
      </c>
      <c r="K19" s="99" t="e">
        <f t="shared" si="8"/>
        <v>#REF!</v>
      </c>
      <c r="L19" s="98">
        <f t="shared" ref="L19:L27" si="14">IFERROR(J19-(J19*P19),0)</f>
        <v>0</v>
      </c>
      <c r="M19" s="98">
        <f t="shared" ref="M19:M27" si="15">IFERROR(K19-(K19*P19),0)</f>
        <v>0</v>
      </c>
      <c r="N19" s="181">
        <f t="shared" si="10"/>
        <v>46314</v>
      </c>
      <c r="O19" s="181">
        <f t="shared" si="9"/>
        <v>46314</v>
      </c>
      <c r="P19" s="101" t="e">
        <f>VLOOKUP(A19,SHIPMENTS!$A$7:$N$171,14,0)</f>
        <v>#REF!</v>
      </c>
      <c r="Q19" s="101"/>
      <c r="R19" s="127" t="e">
        <f t="shared" si="3"/>
        <v>#REF!</v>
      </c>
      <c r="S19" s="127" t="e">
        <f t="shared" si="12"/>
        <v>#REF!</v>
      </c>
      <c r="T19" s="127" t="e">
        <f t="shared" si="12"/>
        <v>#REF!</v>
      </c>
      <c r="U19" s="127" t="e">
        <f t="shared" si="12"/>
        <v>#REF!</v>
      </c>
      <c r="V19" s="127" t="e">
        <f t="shared" si="12"/>
        <v>#REF!</v>
      </c>
      <c r="W19" s="127" t="e">
        <f t="shared" si="12"/>
        <v>#REF!</v>
      </c>
      <c r="X19" s="127" t="e">
        <f t="shared" si="12"/>
        <v>#REF!</v>
      </c>
      <c r="Y19" s="127" t="e">
        <f t="shared" si="12"/>
        <v>#REF!</v>
      </c>
      <c r="Z19" s="127" t="e">
        <f t="shared" si="12"/>
        <v>#REF!</v>
      </c>
      <c r="AA19" s="127" t="e">
        <f t="shared" si="12"/>
        <v>#REF!</v>
      </c>
      <c r="AB19" s="127" t="e">
        <f t="shared" si="12"/>
        <v>#REF!</v>
      </c>
      <c r="AC19" s="127" t="e">
        <f t="shared" si="12"/>
        <v>#REF!</v>
      </c>
      <c r="AD19" s="127" t="e">
        <f t="shared" si="12"/>
        <v>#REF!</v>
      </c>
      <c r="AE19" s="127" t="e">
        <f t="shared" si="12"/>
        <v>#REF!</v>
      </c>
      <c r="AF19" s="127" t="e">
        <f t="shared" si="12"/>
        <v>#REF!</v>
      </c>
      <c r="AG19" s="127" t="e">
        <f t="shared" si="12"/>
        <v>#REF!</v>
      </c>
      <c r="AH19" s="127" t="e">
        <f t="shared" si="12"/>
        <v>#REF!</v>
      </c>
      <c r="AI19" s="127" t="e">
        <f t="shared" si="12"/>
        <v>#REF!</v>
      </c>
      <c r="AJ19" s="127" t="e">
        <f t="shared" si="12"/>
        <v>#REF!</v>
      </c>
      <c r="AK19" s="127" t="e">
        <f t="shared" si="12"/>
        <v>#REF!</v>
      </c>
      <c r="AL19" s="127" t="e">
        <f t="shared" si="12"/>
        <v>#REF!</v>
      </c>
      <c r="AM19" s="127" t="e">
        <f t="shared" si="12"/>
        <v>#REF!</v>
      </c>
      <c r="AN19" s="127" t="e">
        <f t="shared" si="12"/>
        <v>#REF!</v>
      </c>
      <c r="AO19" s="127" t="e">
        <f t="shared" si="12"/>
        <v>#REF!</v>
      </c>
      <c r="AP19" s="127" t="e">
        <f t="shared" si="12"/>
        <v>#REF!</v>
      </c>
      <c r="AQ19" s="127" t="e">
        <f t="shared" si="12"/>
        <v>#REF!</v>
      </c>
      <c r="AR19" s="127" t="e">
        <f t="shared" si="12"/>
        <v>#REF!</v>
      </c>
      <c r="AS19" s="127" t="e">
        <f t="shared" si="12"/>
        <v>#REF!</v>
      </c>
      <c r="AT19" s="127" t="e">
        <f t="shared" si="12"/>
        <v>#REF!</v>
      </c>
      <c r="AU19" s="127" t="e">
        <f t="shared" si="12"/>
        <v>#REF!</v>
      </c>
      <c r="AV19" s="127" t="e">
        <f t="shared" si="12"/>
        <v>#REF!</v>
      </c>
      <c r="AW19" s="127" t="e">
        <f t="shared" si="12"/>
        <v>#REF!</v>
      </c>
      <c r="AX19" s="127" t="e">
        <f t="shared" si="12"/>
        <v>#REF!</v>
      </c>
      <c r="AY19" s="127" t="e">
        <f t="shared" si="12"/>
        <v>#REF!</v>
      </c>
      <c r="AZ19" s="127" t="e">
        <f t="shared" si="12"/>
        <v>#REF!</v>
      </c>
      <c r="BA19" s="127" t="e">
        <f t="shared" si="12"/>
        <v>#REF!</v>
      </c>
      <c r="BB19" s="127" t="e">
        <f t="shared" si="12"/>
        <v>#REF!</v>
      </c>
      <c r="BC19" s="127" t="e">
        <f t="shared" si="12"/>
        <v>#REF!</v>
      </c>
      <c r="BD19" s="127" t="e">
        <f t="shared" si="12"/>
        <v>#REF!</v>
      </c>
      <c r="BE19" s="127" t="e">
        <f t="shared" si="12"/>
        <v>#REF!</v>
      </c>
      <c r="BF19" s="127" t="e">
        <f t="shared" si="12"/>
        <v>#REF!</v>
      </c>
      <c r="BG19" s="127" t="e">
        <f t="shared" si="11"/>
        <v>#REF!</v>
      </c>
      <c r="BH19" s="127" t="e">
        <f t="shared" si="5"/>
        <v>#REF!</v>
      </c>
      <c r="BI19" s="127" t="e">
        <f t="shared" si="5"/>
        <v>#REF!</v>
      </c>
      <c r="BJ19" s="127" t="e">
        <f t="shared" si="5"/>
        <v>#REF!</v>
      </c>
      <c r="BK19" s="127" t="e">
        <f t="shared" si="5"/>
        <v>#REF!</v>
      </c>
      <c r="BL19" s="127" t="e">
        <f t="shared" si="5"/>
        <v>#REF!</v>
      </c>
      <c r="BM19" s="127" t="e">
        <f t="shared" si="5"/>
        <v>#REF!</v>
      </c>
      <c r="BN19" s="127" t="e">
        <f t="shared" si="5"/>
        <v>#REF!</v>
      </c>
      <c r="BO19" s="127" t="e">
        <f t="shared" si="5"/>
        <v>#REF!</v>
      </c>
      <c r="BP19" s="127" t="e">
        <f t="shared" si="5"/>
        <v>#REF!</v>
      </c>
      <c r="BQ19" s="127" t="e">
        <f t="shared" si="5"/>
        <v>#REF!</v>
      </c>
      <c r="BR19" s="127" t="e">
        <f t="shared" si="5"/>
        <v>#REF!</v>
      </c>
      <c r="BS19" s="127" t="e">
        <f t="shared" si="5"/>
        <v>#REF!</v>
      </c>
      <c r="BT19" s="127" t="e">
        <f t="shared" si="6"/>
        <v>#REF!</v>
      </c>
      <c r="BU19" s="127" t="e">
        <f t="shared" si="6"/>
        <v>#REF!</v>
      </c>
      <c r="BV19" s="127" t="e">
        <f t="shared" si="6"/>
        <v>#REF!</v>
      </c>
      <c r="BW19" s="127" t="e">
        <f t="shared" si="6"/>
        <v>#REF!</v>
      </c>
      <c r="BX19" s="127" t="e">
        <f t="shared" si="6"/>
        <v>#REF!</v>
      </c>
      <c r="BY19" s="127" t="e">
        <f t="shared" si="6"/>
        <v>#REF!</v>
      </c>
      <c r="BZ19" s="127" t="e">
        <f t="shared" si="6"/>
        <v>#REF!</v>
      </c>
      <c r="CA19" s="127" t="e">
        <f t="shared" si="6"/>
        <v>#REF!</v>
      </c>
      <c r="CB19" s="127" t="e">
        <f t="shared" si="6"/>
        <v>#REF!</v>
      </c>
      <c r="CC19" s="127" t="e">
        <f t="shared" si="6"/>
        <v>#REF!</v>
      </c>
      <c r="CD19" s="127" t="e">
        <f t="shared" si="6"/>
        <v>#REF!</v>
      </c>
      <c r="CE19" s="127" t="e">
        <f t="shared" si="6"/>
        <v>#REF!</v>
      </c>
    </row>
    <row r="20" spans="1:83" ht="12.6" hidden="1" customHeight="1" x14ac:dyDescent="0.2">
      <c r="A20" s="106" t="e">
        <f>SHIPMENTS!#REF!</f>
        <v>#REF!</v>
      </c>
      <c r="B20" s="106" t="e">
        <f>SHIPMENTS!#REF!</f>
        <v>#REF!</v>
      </c>
      <c r="C20" s="132" t="e">
        <f>SHIPMENTS!#REF!</f>
        <v>#REF!</v>
      </c>
      <c r="D20" s="107" t="e">
        <f>IF((SHIPMENTS!#REF!)=0,"",SHIPMENTS!#REF!)</f>
        <v>#REF!</v>
      </c>
      <c r="E20" s="176" t="e">
        <f>IF((SHIPMENTS!#REF!)=0,"",SHIPMENTS!#REF!)</f>
        <v>#REF!</v>
      </c>
      <c r="F20" s="97" t="e">
        <f>VLOOKUP(A20,Items!$A$5:$J$500,9,0)</f>
        <v>#REF!</v>
      </c>
      <c r="G20" s="98" t="e">
        <f>VLOOKUP(A20,load!$A$4:$U$5001,17,0)</f>
        <v>#REF!</v>
      </c>
      <c r="H20" s="97">
        <f>Manhours!$C$27</f>
        <v>42</v>
      </c>
      <c r="I20" s="98">
        <f t="shared" si="7"/>
        <v>382.2</v>
      </c>
      <c r="J20" s="99" t="e">
        <f t="shared" si="13"/>
        <v>#REF!</v>
      </c>
      <c r="K20" s="99" t="e">
        <f t="shared" si="8"/>
        <v>#REF!</v>
      </c>
      <c r="L20" s="98">
        <f t="shared" si="14"/>
        <v>0</v>
      </c>
      <c r="M20" s="98">
        <f t="shared" si="15"/>
        <v>0</v>
      </c>
      <c r="N20" s="181">
        <f t="shared" si="10"/>
        <v>46314</v>
      </c>
      <c r="O20" s="181">
        <f t="shared" si="9"/>
        <v>46314</v>
      </c>
      <c r="P20" s="101" t="e">
        <f>VLOOKUP(A20,SHIPMENTS!$A$7:$N$171,14,0)</f>
        <v>#REF!</v>
      </c>
      <c r="Q20" s="101"/>
      <c r="R20" s="127" t="e">
        <f t="shared" si="3"/>
        <v>#REF!</v>
      </c>
      <c r="S20" s="127" t="e">
        <f t="shared" si="12"/>
        <v>#REF!</v>
      </c>
      <c r="T20" s="127" t="e">
        <f t="shared" si="12"/>
        <v>#REF!</v>
      </c>
      <c r="U20" s="127" t="e">
        <f t="shared" si="12"/>
        <v>#REF!</v>
      </c>
      <c r="V20" s="127" t="e">
        <f t="shared" si="12"/>
        <v>#REF!</v>
      </c>
      <c r="W20" s="127" t="e">
        <f t="shared" si="12"/>
        <v>#REF!</v>
      </c>
      <c r="X20" s="127" t="e">
        <f t="shared" si="12"/>
        <v>#REF!</v>
      </c>
      <c r="Y20" s="127" t="e">
        <f t="shared" si="12"/>
        <v>#REF!</v>
      </c>
      <c r="Z20" s="127" t="e">
        <f t="shared" si="12"/>
        <v>#REF!</v>
      </c>
      <c r="AA20" s="127" t="e">
        <f t="shared" si="12"/>
        <v>#REF!</v>
      </c>
      <c r="AB20" s="127" t="e">
        <f t="shared" si="12"/>
        <v>#REF!</v>
      </c>
      <c r="AC20" s="127" t="e">
        <f t="shared" si="12"/>
        <v>#REF!</v>
      </c>
      <c r="AD20" s="127" t="e">
        <f t="shared" si="12"/>
        <v>#REF!</v>
      </c>
      <c r="AE20" s="127" t="e">
        <f t="shared" si="12"/>
        <v>#REF!</v>
      </c>
      <c r="AF20" s="127" t="e">
        <f t="shared" si="12"/>
        <v>#REF!</v>
      </c>
      <c r="AG20" s="127" t="e">
        <f t="shared" si="12"/>
        <v>#REF!</v>
      </c>
      <c r="AH20" s="127" t="e">
        <f t="shared" si="12"/>
        <v>#REF!</v>
      </c>
      <c r="AI20" s="127" t="e">
        <f t="shared" si="12"/>
        <v>#REF!</v>
      </c>
      <c r="AJ20" s="127" t="e">
        <f t="shared" si="12"/>
        <v>#REF!</v>
      </c>
      <c r="AK20" s="127" t="e">
        <f t="shared" si="12"/>
        <v>#REF!</v>
      </c>
      <c r="AL20" s="127" t="e">
        <f t="shared" si="12"/>
        <v>#REF!</v>
      </c>
      <c r="AM20" s="127" t="e">
        <f t="shared" si="12"/>
        <v>#REF!</v>
      </c>
      <c r="AN20" s="127" t="e">
        <f t="shared" si="12"/>
        <v>#REF!</v>
      </c>
      <c r="AO20" s="127" t="e">
        <f t="shared" si="12"/>
        <v>#REF!</v>
      </c>
      <c r="AP20" s="127" t="e">
        <f t="shared" si="12"/>
        <v>#REF!</v>
      </c>
      <c r="AQ20" s="127" t="e">
        <f t="shared" si="12"/>
        <v>#REF!</v>
      </c>
      <c r="AR20" s="127" t="e">
        <f t="shared" si="12"/>
        <v>#REF!</v>
      </c>
      <c r="AS20" s="127" t="e">
        <f t="shared" si="12"/>
        <v>#REF!</v>
      </c>
      <c r="AT20" s="127" t="e">
        <f t="shared" si="12"/>
        <v>#REF!</v>
      </c>
      <c r="AU20" s="127" t="e">
        <f t="shared" si="12"/>
        <v>#REF!</v>
      </c>
      <c r="AV20" s="127" t="e">
        <f t="shared" si="12"/>
        <v>#REF!</v>
      </c>
      <c r="AW20" s="127" t="e">
        <f t="shared" si="12"/>
        <v>#REF!</v>
      </c>
      <c r="AX20" s="127" t="e">
        <f t="shared" si="12"/>
        <v>#REF!</v>
      </c>
      <c r="AY20" s="127" t="e">
        <f t="shared" si="12"/>
        <v>#REF!</v>
      </c>
      <c r="AZ20" s="127" t="e">
        <f t="shared" si="12"/>
        <v>#REF!</v>
      </c>
      <c r="BA20" s="127" t="e">
        <f t="shared" si="12"/>
        <v>#REF!</v>
      </c>
      <c r="BB20" s="127" t="e">
        <f t="shared" si="12"/>
        <v>#REF!</v>
      </c>
      <c r="BC20" s="127" t="e">
        <f t="shared" si="12"/>
        <v>#REF!</v>
      </c>
      <c r="BD20" s="127" t="e">
        <f t="shared" si="12"/>
        <v>#REF!</v>
      </c>
      <c r="BE20" s="127" t="e">
        <f t="shared" si="12"/>
        <v>#REF!</v>
      </c>
      <c r="BF20" s="127" t="e">
        <f t="shared" si="12"/>
        <v>#REF!</v>
      </c>
      <c r="BG20" s="127" t="e">
        <f t="shared" si="11"/>
        <v>#REF!</v>
      </c>
      <c r="BH20" s="127" t="e">
        <f t="shared" si="5"/>
        <v>#REF!</v>
      </c>
      <c r="BI20" s="127" t="e">
        <f t="shared" si="5"/>
        <v>#REF!</v>
      </c>
      <c r="BJ20" s="127" t="e">
        <f t="shared" si="5"/>
        <v>#REF!</v>
      </c>
      <c r="BK20" s="127" t="e">
        <f t="shared" si="5"/>
        <v>#REF!</v>
      </c>
      <c r="BL20" s="127" t="e">
        <f t="shared" si="5"/>
        <v>#REF!</v>
      </c>
      <c r="BM20" s="127" t="e">
        <f t="shared" si="5"/>
        <v>#REF!</v>
      </c>
      <c r="BN20" s="127" t="e">
        <f t="shared" si="5"/>
        <v>#REF!</v>
      </c>
      <c r="BO20" s="127" t="e">
        <f t="shared" si="5"/>
        <v>#REF!</v>
      </c>
      <c r="BP20" s="127" t="e">
        <f t="shared" si="5"/>
        <v>#REF!</v>
      </c>
      <c r="BQ20" s="127" t="e">
        <f t="shared" si="5"/>
        <v>#REF!</v>
      </c>
      <c r="BR20" s="127" t="e">
        <f t="shared" si="5"/>
        <v>#REF!</v>
      </c>
      <c r="BS20" s="127" t="e">
        <f t="shared" si="5"/>
        <v>#REF!</v>
      </c>
      <c r="BT20" s="127" t="e">
        <f t="shared" si="6"/>
        <v>#REF!</v>
      </c>
      <c r="BU20" s="127" t="e">
        <f t="shared" si="6"/>
        <v>#REF!</v>
      </c>
      <c r="BV20" s="127" t="e">
        <f t="shared" si="6"/>
        <v>#REF!</v>
      </c>
      <c r="BW20" s="127" t="e">
        <f t="shared" si="6"/>
        <v>#REF!</v>
      </c>
      <c r="BX20" s="127" t="e">
        <f t="shared" si="6"/>
        <v>#REF!</v>
      </c>
      <c r="BY20" s="127" t="e">
        <f t="shared" si="6"/>
        <v>#REF!</v>
      </c>
      <c r="BZ20" s="127" t="e">
        <f t="shared" si="6"/>
        <v>#REF!</v>
      </c>
      <c r="CA20" s="127" t="e">
        <f t="shared" si="6"/>
        <v>#REF!</v>
      </c>
      <c r="CB20" s="127" t="e">
        <f t="shared" si="6"/>
        <v>#REF!</v>
      </c>
      <c r="CC20" s="127" t="e">
        <f t="shared" si="6"/>
        <v>#REF!</v>
      </c>
      <c r="CD20" s="127" t="e">
        <f t="shared" si="6"/>
        <v>#REF!</v>
      </c>
      <c r="CE20" s="127" t="e">
        <f t="shared" si="6"/>
        <v>#REF!</v>
      </c>
    </row>
    <row r="21" spans="1:83" ht="12.6" hidden="1" customHeight="1" x14ac:dyDescent="0.2">
      <c r="A21" s="106" t="e">
        <f>SHIPMENTS!#REF!</f>
        <v>#REF!</v>
      </c>
      <c r="B21" s="106" t="e">
        <f>SHIPMENTS!#REF!</f>
        <v>#REF!</v>
      </c>
      <c r="C21" s="132" t="e">
        <f>SHIPMENTS!#REF!</f>
        <v>#REF!</v>
      </c>
      <c r="D21" s="107" t="e">
        <f>IF((SHIPMENTS!#REF!)=0,"",SHIPMENTS!#REF!)</f>
        <v>#REF!</v>
      </c>
      <c r="E21" s="176" t="e">
        <f>IF((SHIPMENTS!#REF!)=0,"",SHIPMENTS!#REF!)</f>
        <v>#REF!</v>
      </c>
      <c r="F21" s="97" t="e">
        <f>VLOOKUP(A21,Items!$A$5:$J$500,9,0)</f>
        <v>#REF!</v>
      </c>
      <c r="G21" s="98" t="e">
        <f>VLOOKUP(A21,load!$A$4:$U$5001,17,0)</f>
        <v>#REF!</v>
      </c>
      <c r="H21" s="97">
        <f>Manhours!$C$27</f>
        <v>42</v>
      </c>
      <c r="I21" s="98">
        <f t="shared" si="7"/>
        <v>382.2</v>
      </c>
      <c r="J21" s="99" t="e">
        <f t="shared" si="13"/>
        <v>#REF!</v>
      </c>
      <c r="K21" s="99" t="e">
        <f t="shared" si="8"/>
        <v>#REF!</v>
      </c>
      <c r="L21" s="98">
        <f t="shared" si="14"/>
        <v>0</v>
      </c>
      <c r="M21" s="98">
        <f t="shared" si="15"/>
        <v>0</v>
      </c>
      <c r="N21" s="181">
        <f t="shared" si="10"/>
        <v>46314</v>
      </c>
      <c r="O21" s="181">
        <f t="shared" si="9"/>
        <v>46314</v>
      </c>
      <c r="P21" s="101" t="e">
        <f>VLOOKUP(A21,SHIPMENTS!$A$7:$N$171,14,0)</f>
        <v>#REF!</v>
      </c>
      <c r="Q21" s="101"/>
      <c r="R21" s="127" t="e">
        <f t="shared" si="3"/>
        <v>#REF!</v>
      </c>
      <c r="S21" s="127" t="e">
        <f t="shared" si="12"/>
        <v>#REF!</v>
      </c>
      <c r="T21" s="127" t="e">
        <f t="shared" si="12"/>
        <v>#REF!</v>
      </c>
      <c r="U21" s="127" t="e">
        <f t="shared" si="12"/>
        <v>#REF!</v>
      </c>
      <c r="V21" s="127" t="e">
        <f t="shared" si="12"/>
        <v>#REF!</v>
      </c>
      <c r="W21" s="127" t="e">
        <f t="shared" si="12"/>
        <v>#REF!</v>
      </c>
      <c r="X21" s="127" t="e">
        <f t="shared" si="12"/>
        <v>#REF!</v>
      </c>
      <c r="Y21" s="127" t="e">
        <f t="shared" si="12"/>
        <v>#REF!</v>
      </c>
      <c r="Z21" s="127" t="e">
        <f t="shared" si="12"/>
        <v>#REF!</v>
      </c>
      <c r="AA21" s="127" t="e">
        <f t="shared" si="12"/>
        <v>#REF!</v>
      </c>
      <c r="AB21" s="127" t="e">
        <f t="shared" si="12"/>
        <v>#REF!</v>
      </c>
      <c r="AC21" s="127" t="e">
        <f t="shared" si="12"/>
        <v>#REF!</v>
      </c>
      <c r="AD21" s="127" t="e">
        <f t="shared" si="12"/>
        <v>#REF!</v>
      </c>
      <c r="AE21" s="127" t="e">
        <f t="shared" si="12"/>
        <v>#REF!</v>
      </c>
      <c r="AF21" s="127" t="e">
        <f t="shared" si="12"/>
        <v>#REF!</v>
      </c>
      <c r="AG21" s="127" t="e">
        <f t="shared" si="12"/>
        <v>#REF!</v>
      </c>
      <c r="AH21" s="127" t="e">
        <f t="shared" ref="AH21:BH36" si="16">IF($E21=AH$3,"▲","")</f>
        <v>#REF!</v>
      </c>
      <c r="AI21" s="127" t="e">
        <f t="shared" si="16"/>
        <v>#REF!</v>
      </c>
      <c r="AJ21" s="127" t="e">
        <f t="shared" si="16"/>
        <v>#REF!</v>
      </c>
      <c r="AK21" s="127" t="e">
        <f t="shared" si="16"/>
        <v>#REF!</v>
      </c>
      <c r="AL21" s="127" t="e">
        <f t="shared" si="16"/>
        <v>#REF!</v>
      </c>
      <c r="AM21" s="127" t="e">
        <f t="shared" si="16"/>
        <v>#REF!</v>
      </c>
      <c r="AN21" s="127" t="e">
        <f t="shared" si="16"/>
        <v>#REF!</v>
      </c>
      <c r="AO21" s="127" t="e">
        <f t="shared" si="16"/>
        <v>#REF!</v>
      </c>
      <c r="AP21" s="127" t="e">
        <f t="shared" si="16"/>
        <v>#REF!</v>
      </c>
      <c r="AQ21" s="127" t="e">
        <f t="shared" si="16"/>
        <v>#REF!</v>
      </c>
      <c r="AR21" s="127" t="e">
        <f t="shared" si="16"/>
        <v>#REF!</v>
      </c>
      <c r="AS21" s="127" t="e">
        <f t="shared" si="16"/>
        <v>#REF!</v>
      </c>
      <c r="AT21" s="127" t="e">
        <f t="shared" si="16"/>
        <v>#REF!</v>
      </c>
      <c r="AU21" s="127" t="e">
        <f t="shared" si="16"/>
        <v>#REF!</v>
      </c>
      <c r="AV21" s="127" t="e">
        <f t="shared" si="16"/>
        <v>#REF!</v>
      </c>
      <c r="AW21" s="127" t="e">
        <f t="shared" si="16"/>
        <v>#REF!</v>
      </c>
      <c r="AX21" s="127" t="e">
        <f t="shared" si="16"/>
        <v>#REF!</v>
      </c>
      <c r="AY21" s="127" t="e">
        <f t="shared" si="16"/>
        <v>#REF!</v>
      </c>
      <c r="AZ21" s="127" t="e">
        <f t="shared" si="16"/>
        <v>#REF!</v>
      </c>
      <c r="BA21" s="127" t="e">
        <f t="shared" si="16"/>
        <v>#REF!</v>
      </c>
      <c r="BB21" s="127" t="e">
        <f t="shared" si="16"/>
        <v>#REF!</v>
      </c>
      <c r="BC21" s="127" t="e">
        <f t="shared" si="16"/>
        <v>#REF!</v>
      </c>
      <c r="BD21" s="127" t="e">
        <f t="shared" si="16"/>
        <v>#REF!</v>
      </c>
      <c r="BE21" s="127" t="e">
        <f t="shared" si="16"/>
        <v>#REF!</v>
      </c>
      <c r="BF21" s="127" t="e">
        <f t="shared" si="16"/>
        <v>#REF!</v>
      </c>
      <c r="BG21" s="127" t="e">
        <f t="shared" si="16"/>
        <v>#REF!</v>
      </c>
      <c r="BH21" s="127" t="e">
        <f t="shared" si="16"/>
        <v>#REF!</v>
      </c>
      <c r="BI21" s="127" t="e">
        <f t="shared" si="5"/>
        <v>#REF!</v>
      </c>
      <c r="BJ21" s="127" t="e">
        <f t="shared" si="5"/>
        <v>#REF!</v>
      </c>
      <c r="BK21" s="127" t="e">
        <f t="shared" si="5"/>
        <v>#REF!</v>
      </c>
      <c r="BL21" s="127" t="e">
        <f t="shared" si="5"/>
        <v>#REF!</v>
      </c>
      <c r="BM21" s="127" t="e">
        <f t="shared" si="5"/>
        <v>#REF!</v>
      </c>
      <c r="BN21" s="127" t="e">
        <f t="shared" si="5"/>
        <v>#REF!</v>
      </c>
      <c r="BO21" s="127" t="e">
        <f t="shared" si="5"/>
        <v>#REF!</v>
      </c>
      <c r="BP21" s="127" t="e">
        <f t="shared" si="5"/>
        <v>#REF!</v>
      </c>
      <c r="BQ21" s="127" t="e">
        <f t="shared" si="5"/>
        <v>#REF!</v>
      </c>
      <c r="BR21" s="127" t="e">
        <f t="shared" si="5"/>
        <v>#REF!</v>
      </c>
      <c r="BS21" s="127" t="e">
        <f t="shared" si="5"/>
        <v>#REF!</v>
      </c>
      <c r="BT21" s="127" t="e">
        <f t="shared" si="6"/>
        <v>#REF!</v>
      </c>
      <c r="BU21" s="127" t="e">
        <f t="shared" si="6"/>
        <v>#REF!</v>
      </c>
      <c r="BV21" s="127" t="e">
        <f t="shared" si="6"/>
        <v>#REF!</v>
      </c>
      <c r="BW21" s="127" t="e">
        <f t="shared" si="6"/>
        <v>#REF!</v>
      </c>
      <c r="BX21" s="127" t="e">
        <f t="shared" si="6"/>
        <v>#REF!</v>
      </c>
      <c r="BY21" s="127" t="e">
        <f t="shared" si="6"/>
        <v>#REF!</v>
      </c>
      <c r="BZ21" s="127" t="e">
        <f t="shared" si="6"/>
        <v>#REF!</v>
      </c>
      <c r="CA21" s="127" t="e">
        <f t="shared" si="6"/>
        <v>#REF!</v>
      </c>
      <c r="CB21" s="127" t="e">
        <f t="shared" si="6"/>
        <v>#REF!</v>
      </c>
      <c r="CC21" s="127" t="e">
        <f t="shared" si="6"/>
        <v>#REF!</v>
      </c>
      <c r="CD21" s="127" t="e">
        <f t="shared" si="6"/>
        <v>#REF!</v>
      </c>
      <c r="CE21" s="127" t="e">
        <f t="shared" si="6"/>
        <v>#REF!</v>
      </c>
    </row>
    <row r="22" spans="1:83" ht="12.6" hidden="1" customHeight="1" x14ac:dyDescent="0.2">
      <c r="A22" s="106" t="e">
        <f>SHIPMENTS!#REF!</f>
        <v>#REF!</v>
      </c>
      <c r="B22" s="106" t="e">
        <f>SHIPMENTS!#REF!</f>
        <v>#REF!</v>
      </c>
      <c r="C22" s="132" t="e">
        <f>SHIPMENTS!#REF!</f>
        <v>#REF!</v>
      </c>
      <c r="D22" s="107" t="e">
        <f>IF((SHIPMENTS!#REF!)=0,"",SHIPMENTS!#REF!)</f>
        <v>#REF!</v>
      </c>
      <c r="E22" s="176" t="e">
        <f>IF((SHIPMENTS!#REF!)=0,"",SHIPMENTS!#REF!)</f>
        <v>#REF!</v>
      </c>
      <c r="F22" s="97" t="e">
        <f>VLOOKUP(A22,Items!$A$5:$J$500,9,0)</f>
        <v>#REF!</v>
      </c>
      <c r="G22" s="98" t="e">
        <f>VLOOKUP(A22,load!$A$4:$U$5001,17,0)</f>
        <v>#REF!</v>
      </c>
      <c r="H22" s="97">
        <f>Manhours!$C$27</f>
        <v>42</v>
      </c>
      <c r="I22" s="98">
        <f t="shared" si="7"/>
        <v>382.2</v>
      </c>
      <c r="J22" s="99" t="e">
        <f t="shared" si="13"/>
        <v>#REF!</v>
      </c>
      <c r="K22" s="99" t="e">
        <f t="shared" si="8"/>
        <v>#REF!</v>
      </c>
      <c r="L22" s="98">
        <f t="shared" si="14"/>
        <v>0</v>
      </c>
      <c r="M22" s="98">
        <f t="shared" si="15"/>
        <v>0</v>
      </c>
      <c r="N22" s="181">
        <f t="shared" si="10"/>
        <v>46314</v>
      </c>
      <c r="O22" s="181">
        <f t="shared" si="9"/>
        <v>46314</v>
      </c>
      <c r="P22" s="101" t="e">
        <f>VLOOKUP(A22,SHIPMENTS!$A$7:$N$171,14,0)</f>
        <v>#REF!</v>
      </c>
      <c r="Q22" s="101"/>
      <c r="R22" s="127" t="e">
        <f t="shared" si="3"/>
        <v>#REF!</v>
      </c>
      <c r="S22" s="127" t="e">
        <f t="shared" ref="S22:BF28" si="17">IF($E22=S$3,"▲","")</f>
        <v>#REF!</v>
      </c>
      <c r="T22" s="127" t="e">
        <f t="shared" si="17"/>
        <v>#REF!</v>
      </c>
      <c r="U22" s="127" t="e">
        <f t="shared" si="17"/>
        <v>#REF!</v>
      </c>
      <c r="V22" s="127" t="e">
        <f t="shared" si="17"/>
        <v>#REF!</v>
      </c>
      <c r="W22" s="127" t="e">
        <f t="shared" si="17"/>
        <v>#REF!</v>
      </c>
      <c r="X22" s="127" t="e">
        <f t="shared" si="17"/>
        <v>#REF!</v>
      </c>
      <c r="Y22" s="127" t="e">
        <f t="shared" si="17"/>
        <v>#REF!</v>
      </c>
      <c r="Z22" s="127" t="e">
        <f t="shared" si="17"/>
        <v>#REF!</v>
      </c>
      <c r="AA22" s="127" t="e">
        <f t="shared" si="17"/>
        <v>#REF!</v>
      </c>
      <c r="AB22" s="127" t="e">
        <f t="shared" si="17"/>
        <v>#REF!</v>
      </c>
      <c r="AC22" s="127" t="e">
        <f t="shared" si="17"/>
        <v>#REF!</v>
      </c>
      <c r="AD22" s="127" t="e">
        <f t="shared" si="17"/>
        <v>#REF!</v>
      </c>
      <c r="AE22" s="127" t="e">
        <f t="shared" si="17"/>
        <v>#REF!</v>
      </c>
      <c r="AF22" s="127" t="e">
        <f t="shared" si="17"/>
        <v>#REF!</v>
      </c>
      <c r="AG22" s="127" t="e">
        <f t="shared" si="17"/>
        <v>#REF!</v>
      </c>
      <c r="AH22" s="127" t="e">
        <f t="shared" si="17"/>
        <v>#REF!</v>
      </c>
      <c r="AI22" s="127" t="e">
        <f t="shared" si="17"/>
        <v>#REF!</v>
      </c>
      <c r="AJ22" s="127" t="e">
        <f t="shared" si="17"/>
        <v>#REF!</v>
      </c>
      <c r="AK22" s="127" t="e">
        <f t="shared" si="17"/>
        <v>#REF!</v>
      </c>
      <c r="AL22" s="127" t="e">
        <f t="shared" si="17"/>
        <v>#REF!</v>
      </c>
      <c r="AM22" s="127" t="e">
        <f t="shared" si="17"/>
        <v>#REF!</v>
      </c>
      <c r="AN22" s="127" t="e">
        <f t="shared" si="17"/>
        <v>#REF!</v>
      </c>
      <c r="AO22" s="127" t="e">
        <f t="shared" si="17"/>
        <v>#REF!</v>
      </c>
      <c r="AP22" s="127" t="e">
        <f t="shared" si="17"/>
        <v>#REF!</v>
      </c>
      <c r="AQ22" s="127" t="e">
        <f t="shared" si="17"/>
        <v>#REF!</v>
      </c>
      <c r="AR22" s="127" t="e">
        <f t="shared" si="17"/>
        <v>#REF!</v>
      </c>
      <c r="AS22" s="127" t="e">
        <f t="shared" si="17"/>
        <v>#REF!</v>
      </c>
      <c r="AT22" s="127" t="e">
        <f t="shared" si="17"/>
        <v>#REF!</v>
      </c>
      <c r="AU22" s="127" t="e">
        <f t="shared" si="17"/>
        <v>#REF!</v>
      </c>
      <c r="AV22" s="127" t="e">
        <f t="shared" si="17"/>
        <v>#REF!</v>
      </c>
      <c r="AW22" s="127" t="e">
        <f t="shared" si="17"/>
        <v>#REF!</v>
      </c>
      <c r="AX22" s="127" t="e">
        <f t="shared" si="17"/>
        <v>#REF!</v>
      </c>
      <c r="AY22" s="127" t="e">
        <f t="shared" si="17"/>
        <v>#REF!</v>
      </c>
      <c r="AZ22" s="127" t="e">
        <f t="shared" si="17"/>
        <v>#REF!</v>
      </c>
      <c r="BA22" s="127" t="e">
        <f t="shared" si="17"/>
        <v>#REF!</v>
      </c>
      <c r="BB22" s="127" t="e">
        <f t="shared" si="17"/>
        <v>#REF!</v>
      </c>
      <c r="BC22" s="127" t="e">
        <f t="shared" si="17"/>
        <v>#REF!</v>
      </c>
      <c r="BD22" s="127" t="e">
        <f t="shared" si="17"/>
        <v>#REF!</v>
      </c>
      <c r="BE22" s="127" t="e">
        <f t="shared" si="17"/>
        <v>#REF!</v>
      </c>
      <c r="BF22" s="127" t="e">
        <f t="shared" si="17"/>
        <v>#REF!</v>
      </c>
      <c r="BG22" s="127" t="e">
        <f t="shared" si="16"/>
        <v>#REF!</v>
      </c>
      <c r="BH22" s="127" t="e">
        <f t="shared" si="16"/>
        <v>#REF!</v>
      </c>
      <c r="BI22" s="127" t="e">
        <f t="shared" si="5"/>
        <v>#REF!</v>
      </c>
      <c r="BJ22" s="127" t="e">
        <f t="shared" si="5"/>
        <v>#REF!</v>
      </c>
      <c r="BK22" s="127" t="e">
        <f t="shared" si="5"/>
        <v>#REF!</v>
      </c>
      <c r="BL22" s="127" t="e">
        <f t="shared" si="5"/>
        <v>#REF!</v>
      </c>
      <c r="BM22" s="127" t="e">
        <f t="shared" si="5"/>
        <v>#REF!</v>
      </c>
      <c r="BN22" s="127" t="e">
        <f t="shared" si="5"/>
        <v>#REF!</v>
      </c>
      <c r="BO22" s="127" t="e">
        <f t="shared" si="5"/>
        <v>#REF!</v>
      </c>
      <c r="BP22" s="127" t="e">
        <f t="shared" si="5"/>
        <v>#REF!</v>
      </c>
      <c r="BQ22" s="127" t="e">
        <f t="shared" si="5"/>
        <v>#REF!</v>
      </c>
      <c r="BR22" s="127" t="e">
        <f t="shared" si="5"/>
        <v>#REF!</v>
      </c>
      <c r="BS22" s="127" t="e">
        <f t="shared" si="5"/>
        <v>#REF!</v>
      </c>
      <c r="BT22" s="127" t="e">
        <f t="shared" si="6"/>
        <v>#REF!</v>
      </c>
      <c r="BU22" s="127" t="e">
        <f t="shared" si="6"/>
        <v>#REF!</v>
      </c>
      <c r="BV22" s="127" t="e">
        <f t="shared" si="6"/>
        <v>#REF!</v>
      </c>
      <c r="BW22" s="127" t="e">
        <f t="shared" si="6"/>
        <v>#REF!</v>
      </c>
      <c r="BX22" s="127" t="e">
        <f t="shared" si="6"/>
        <v>#REF!</v>
      </c>
      <c r="BY22" s="127" t="e">
        <f t="shared" si="6"/>
        <v>#REF!</v>
      </c>
      <c r="BZ22" s="127" t="e">
        <f t="shared" si="6"/>
        <v>#REF!</v>
      </c>
      <c r="CA22" s="127" t="e">
        <f t="shared" si="6"/>
        <v>#REF!</v>
      </c>
      <c r="CB22" s="127" t="e">
        <f t="shared" si="6"/>
        <v>#REF!</v>
      </c>
      <c r="CC22" s="127" t="e">
        <f t="shared" si="6"/>
        <v>#REF!</v>
      </c>
      <c r="CD22" s="127" t="e">
        <f t="shared" si="6"/>
        <v>#REF!</v>
      </c>
      <c r="CE22" s="127" t="e">
        <f t="shared" si="6"/>
        <v>#REF!</v>
      </c>
    </row>
    <row r="23" spans="1:83" ht="12.6" hidden="1" customHeight="1" x14ac:dyDescent="0.2">
      <c r="A23" s="106" t="e">
        <f>SHIPMENTS!#REF!</f>
        <v>#REF!</v>
      </c>
      <c r="B23" s="106" t="e">
        <f>SHIPMENTS!#REF!</f>
        <v>#REF!</v>
      </c>
      <c r="C23" s="132" t="e">
        <f>SHIPMENTS!#REF!</f>
        <v>#REF!</v>
      </c>
      <c r="D23" s="107" t="e">
        <f>IF((SHIPMENTS!#REF!)=0,"",SHIPMENTS!#REF!)</f>
        <v>#REF!</v>
      </c>
      <c r="E23" s="176" t="e">
        <f>IF((SHIPMENTS!#REF!)=0,"",SHIPMENTS!#REF!)</f>
        <v>#REF!</v>
      </c>
      <c r="F23" s="97" t="e">
        <f>VLOOKUP(A23,Items!$A$5:$J$500,9,0)</f>
        <v>#REF!</v>
      </c>
      <c r="G23" s="98" t="e">
        <f>VLOOKUP(A23,load!$A$4:$U$5001,17,0)</f>
        <v>#REF!</v>
      </c>
      <c r="H23" s="97">
        <f>Manhours!$C$27</f>
        <v>42</v>
      </c>
      <c r="I23" s="98">
        <f t="shared" si="7"/>
        <v>382.2</v>
      </c>
      <c r="J23" s="99" t="e">
        <f t="shared" si="13"/>
        <v>#REF!</v>
      </c>
      <c r="K23" s="99" t="e">
        <f t="shared" si="8"/>
        <v>#REF!</v>
      </c>
      <c r="L23" s="98">
        <f t="shared" si="14"/>
        <v>0</v>
      </c>
      <c r="M23" s="98">
        <f t="shared" si="15"/>
        <v>0</v>
      </c>
      <c r="N23" s="181">
        <f t="shared" si="10"/>
        <v>46314</v>
      </c>
      <c r="O23" s="181">
        <f t="shared" si="9"/>
        <v>46314</v>
      </c>
      <c r="P23" s="101" t="e">
        <f>VLOOKUP(A23,SHIPMENTS!$A$7:$N$171,14,0)</f>
        <v>#REF!</v>
      </c>
      <c r="Q23" s="101"/>
      <c r="R23" s="127" t="e">
        <f t="shared" si="3"/>
        <v>#REF!</v>
      </c>
      <c r="S23" s="127" t="e">
        <f t="shared" si="17"/>
        <v>#REF!</v>
      </c>
      <c r="T23" s="127" t="e">
        <f t="shared" si="17"/>
        <v>#REF!</v>
      </c>
      <c r="U23" s="127" t="e">
        <f t="shared" si="17"/>
        <v>#REF!</v>
      </c>
      <c r="V23" s="127" t="e">
        <f t="shared" si="17"/>
        <v>#REF!</v>
      </c>
      <c r="W23" s="127" t="e">
        <f t="shared" si="17"/>
        <v>#REF!</v>
      </c>
      <c r="X23" s="127" t="e">
        <f t="shared" si="17"/>
        <v>#REF!</v>
      </c>
      <c r="Y23" s="127" t="e">
        <f t="shared" si="17"/>
        <v>#REF!</v>
      </c>
      <c r="Z23" s="127" t="e">
        <f t="shared" si="17"/>
        <v>#REF!</v>
      </c>
      <c r="AA23" s="127" t="e">
        <f t="shared" si="17"/>
        <v>#REF!</v>
      </c>
      <c r="AB23" s="127" t="e">
        <f t="shared" si="17"/>
        <v>#REF!</v>
      </c>
      <c r="AC23" s="127" t="e">
        <f t="shared" si="17"/>
        <v>#REF!</v>
      </c>
      <c r="AD23" s="127" t="e">
        <f t="shared" si="17"/>
        <v>#REF!</v>
      </c>
      <c r="AE23" s="127" t="e">
        <f t="shared" si="17"/>
        <v>#REF!</v>
      </c>
      <c r="AF23" s="127" t="e">
        <f t="shared" si="17"/>
        <v>#REF!</v>
      </c>
      <c r="AG23" s="127" t="e">
        <f t="shared" si="17"/>
        <v>#REF!</v>
      </c>
      <c r="AH23" s="127" t="e">
        <f t="shared" si="17"/>
        <v>#REF!</v>
      </c>
      <c r="AI23" s="127" t="e">
        <f t="shared" si="17"/>
        <v>#REF!</v>
      </c>
      <c r="AJ23" s="127" t="e">
        <f t="shared" si="17"/>
        <v>#REF!</v>
      </c>
      <c r="AK23" s="127" t="e">
        <f t="shared" si="17"/>
        <v>#REF!</v>
      </c>
      <c r="AL23" s="127" t="e">
        <f t="shared" si="17"/>
        <v>#REF!</v>
      </c>
      <c r="AM23" s="127" t="e">
        <f t="shared" si="17"/>
        <v>#REF!</v>
      </c>
      <c r="AN23" s="127" t="e">
        <f t="shared" si="17"/>
        <v>#REF!</v>
      </c>
      <c r="AO23" s="127" t="e">
        <f t="shared" si="17"/>
        <v>#REF!</v>
      </c>
      <c r="AP23" s="127" t="e">
        <f t="shared" si="17"/>
        <v>#REF!</v>
      </c>
      <c r="AQ23" s="127" t="e">
        <f t="shared" si="17"/>
        <v>#REF!</v>
      </c>
      <c r="AR23" s="127" t="e">
        <f t="shared" si="17"/>
        <v>#REF!</v>
      </c>
      <c r="AS23" s="127" t="e">
        <f t="shared" si="17"/>
        <v>#REF!</v>
      </c>
      <c r="AT23" s="127" t="e">
        <f t="shared" si="17"/>
        <v>#REF!</v>
      </c>
      <c r="AU23" s="127" t="e">
        <f t="shared" si="17"/>
        <v>#REF!</v>
      </c>
      <c r="AV23" s="127" t="e">
        <f t="shared" si="17"/>
        <v>#REF!</v>
      </c>
      <c r="AW23" s="127" t="e">
        <f t="shared" si="17"/>
        <v>#REF!</v>
      </c>
      <c r="AX23" s="127" t="e">
        <f t="shared" si="17"/>
        <v>#REF!</v>
      </c>
      <c r="AY23" s="127" t="e">
        <f t="shared" si="17"/>
        <v>#REF!</v>
      </c>
      <c r="AZ23" s="127" t="e">
        <f t="shared" si="17"/>
        <v>#REF!</v>
      </c>
      <c r="BA23" s="127" t="e">
        <f t="shared" si="17"/>
        <v>#REF!</v>
      </c>
      <c r="BB23" s="127" t="e">
        <f t="shared" si="17"/>
        <v>#REF!</v>
      </c>
      <c r="BC23" s="127" t="e">
        <f t="shared" si="17"/>
        <v>#REF!</v>
      </c>
      <c r="BD23" s="127" t="e">
        <f t="shared" si="17"/>
        <v>#REF!</v>
      </c>
      <c r="BE23" s="127" t="e">
        <f t="shared" si="17"/>
        <v>#REF!</v>
      </c>
      <c r="BF23" s="127" t="e">
        <f t="shared" si="17"/>
        <v>#REF!</v>
      </c>
      <c r="BG23" s="127" t="e">
        <f t="shared" si="16"/>
        <v>#REF!</v>
      </c>
      <c r="BH23" s="127" t="e">
        <f t="shared" si="5"/>
        <v>#REF!</v>
      </c>
      <c r="BI23" s="127" t="e">
        <f t="shared" si="5"/>
        <v>#REF!</v>
      </c>
      <c r="BJ23" s="127" t="e">
        <f t="shared" si="5"/>
        <v>#REF!</v>
      </c>
      <c r="BK23" s="127" t="e">
        <f t="shared" si="5"/>
        <v>#REF!</v>
      </c>
      <c r="BL23" s="127" t="e">
        <f t="shared" si="5"/>
        <v>#REF!</v>
      </c>
      <c r="BM23" s="127" t="e">
        <f t="shared" si="5"/>
        <v>#REF!</v>
      </c>
      <c r="BN23" s="127" t="e">
        <f t="shared" si="5"/>
        <v>#REF!</v>
      </c>
      <c r="BO23" s="127" t="e">
        <f t="shared" si="5"/>
        <v>#REF!</v>
      </c>
      <c r="BP23" s="127" t="e">
        <f t="shared" si="5"/>
        <v>#REF!</v>
      </c>
      <c r="BQ23" s="127" t="e">
        <f t="shared" si="5"/>
        <v>#REF!</v>
      </c>
      <c r="BR23" s="127" t="e">
        <f t="shared" si="5"/>
        <v>#REF!</v>
      </c>
      <c r="BS23" s="127" t="e">
        <f t="shared" si="5"/>
        <v>#REF!</v>
      </c>
      <c r="BT23" s="127" t="e">
        <f t="shared" si="6"/>
        <v>#REF!</v>
      </c>
      <c r="BU23" s="127" t="e">
        <f t="shared" si="6"/>
        <v>#REF!</v>
      </c>
      <c r="BV23" s="127" t="e">
        <f t="shared" si="6"/>
        <v>#REF!</v>
      </c>
      <c r="BW23" s="127" t="e">
        <f t="shared" si="6"/>
        <v>#REF!</v>
      </c>
      <c r="BX23" s="127" t="e">
        <f t="shared" si="6"/>
        <v>#REF!</v>
      </c>
      <c r="BY23" s="127" t="e">
        <f t="shared" si="6"/>
        <v>#REF!</v>
      </c>
      <c r="BZ23" s="127" t="e">
        <f t="shared" si="6"/>
        <v>#REF!</v>
      </c>
      <c r="CA23" s="127" t="e">
        <f t="shared" si="6"/>
        <v>#REF!</v>
      </c>
      <c r="CB23" s="127" t="e">
        <f t="shared" si="6"/>
        <v>#REF!</v>
      </c>
      <c r="CC23" s="127" t="e">
        <f t="shared" si="6"/>
        <v>#REF!</v>
      </c>
      <c r="CD23" s="127" t="e">
        <f t="shared" si="6"/>
        <v>#REF!</v>
      </c>
      <c r="CE23" s="127" t="e">
        <f t="shared" si="6"/>
        <v>#REF!</v>
      </c>
    </row>
    <row r="24" spans="1:83" ht="12.6" hidden="1" customHeight="1" x14ac:dyDescent="0.2">
      <c r="A24" s="106" t="e">
        <f>SHIPMENTS!#REF!</f>
        <v>#REF!</v>
      </c>
      <c r="B24" s="106" t="e">
        <f>SHIPMENTS!#REF!</f>
        <v>#REF!</v>
      </c>
      <c r="C24" s="132" t="e">
        <f>SHIPMENTS!#REF!</f>
        <v>#REF!</v>
      </c>
      <c r="D24" s="107" t="e">
        <f>IF((SHIPMENTS!#REF!)=0,"",SHIPMENTS!#REF!)</f>
        <v>#REF!</v>
      </c>
      <c r="E24" s="176" t="e">
        <f>IF((SHIPMENTS!#REF!)=0,"",SHIPMENTS!#REF!)</f>
        <v>#REF!</v>
      </c>
      <c r="F24" s="97" t="e">
        <f>VLOOKUP(A24,Items!$A$5:$J$500,9,0)</f>
        <v>#REF!</v>
      </c>
      <c r="G24" s="98" t="e">
        <f>VLOOKUP(A24,load!$A$4:$U$5001,17,0)</f>
        <v>#REF!</v>
      </c>
      <c r="H24" s="97">
        <f>Manhours!$C$27</f>
        <v>42</v>
      </c>
      <c r="I24" s="98">
        <f t="shared" si="7"/>
        <v>382.2</v>
      </c>
      <c r="J24" s="99" t="e">
        <f t="shared" si="13"/>
        <v>#REF!</v>
      </c>
      <c r="K24" s="99" t="e">
        <f t="shared" si="8"/>
        <v>#REF!</v>
      </c>
      <c r="L24" s="98">
        <f t="shared" si="14"/>
        <v>0</v>
      </c>
      <c r="M24" s="98">
        <f t="shared" si="15"/>
        <v>0</v>
      </c>
      <c r="N24" s="181">
        <f t="shared" si="10"/>
        <v>46314</v>
      </c>
      <c r="O24" s="181">
        <f t="shared" si="9"/>
        <v>46314</v>
      </c>
      <c r="P24" s="101" t="e">
        <f>VLOOKUP(A24,SHIPMENTS!$A$7:$N$171,14,0)</f>
        <v>#REF!</v>
      </c>
      <c r="Q24" s="101"/>
      <c r="R24" s="127" t="e">
        <f t="shared" si="3"/>
        <v>#REF!</v>
      </c>
      <c r="S24" s="127" t="e">
        <f t="shared" si="17"/>
        <v>#REF!</v>
      </c>
      <c r="T24" s="127" t="e">
        <f t="shared" si="17"/>
        <v>#REF!</v>
      </c>
      <c r="U24" s="127" t="e">
        <f t="shared" si="17"/>
        <v>#REF!</v>
      </c>
      <c r="V24" s="127" t="e">
        <f t="shared" si="17"/>
        <v>#REF!</v>
      </c>
      <c r="W24" s="127" t="e">
        <f t="shared" si="17"/>
        <v>#REF!</v>
      </c>
      <c r="X24" s="127" t="e">
        <f t="shared" si="17"/>
        <v>#REF!</v>
      </c>
      <c r="Y24" s="127" t="e">
        <f t="shared" si="17"/>
        <v>#REF!</v>
      </c>
      <c r="Z24" s="127" t="e">
        <f t="shared" si="17"/>
        <v>#REF!</v>
      </c>
      <c r="AA24" s="127" t="e">
        <f t="shared" si="17"/>
        <v>#REF!</v>
      </c>
      <c r="AB24" s="127" t="e">
        <f t="shared" si="17"/>
        <v>#REF!</v>
      </c>
      <c r="AC24" s="127" t="e">
        <f t="shared" si="17"/>
        <v>#REF!</v>
      </c>
      <c r="AD24" s="127" t="e">
        <f t="shared" si="17"/>
        <v>#REF!</v>
      </c>
      <c r="AE24" s="127" t="e">
        <f t="shared" si="17"/>
        <v>#REF!</v>
      </c>
      <c r="AF24" s="127" t="e">
        <f t="shared" si="17"/>
        <v>#REF!</v>
      </c>
      <c r="AG24" s="127" t="e">
        <f t="shared" si="17"/>
        <v>#REF!</v>
      </c>
      <c r="AH24" s="127" t="e">
        <f t="shared" si="17"/>
        <v>#REF!</v>
      </c>
      <c r="AI24" s="127" t="e">
        <f t="shared" si="17"/>
        <v>#REF!</v>
      </c>
      <c r="AJ24" s="127" t="e">
        <f t="shared" si="17"/>
        <v>#REF!</v>
      </c>
      <c r="AK24" s="127" t="e">
        <f t="shared" si="17"/>
        <v>#REF!</v>
      </c>
      <c r="AL24" s="127" t="e">
        <f t="shared" si="17"/>
        <v>#REF!</v>
      </c>
      <c r="AM24" s="127" t="e">
        <f t="shared" si="17"/>
        <v>#REF!</v>
      </c>
      <c r="AN24" s="127" t="e">
        <f t="shared" si="17"/>
        <v>#REF!</v>
      </c>
      <c r="AO24" s="127" t="e">
        <f t="shared" si="17"/>
        <v>#REF!</v>
      </c>
      <c r="AP24" s="127" t="e">
        <f t="shared" si="17"/>
        <v>#REF!</v>
      </c>
      <c r="AQ24" s="127" t="e">
        <f t="shared" si="17"/>
        <v>#REF!</v>
      </c>
      <c r="AR24" s="127" t="e">
        <f t="shared" si="17"/>
        <v>#REF!</v>
      </c>
      <c r="AS24" s="127" t="e">
        <f t="shared" si="17"/>
        <v>#REF!</v>
      </c>
      <c r="AT24" s="127" t="e">
        <f t="shared" si="17"/>
        <v>#REF!</v>
      </c>
      <c r="AU24" s="127" t="e">
        <f t="shared" si="17"/>
        <v>#REF!</v>
      </c>
      <c r="AV24" s="127" t="e">
        <f t="shared" si="17"/>
        <v>#REF!</v>
      </c>
      <c r="AW24" s="127" t="e">
        <f t="shared" si="17"/>
        <v>#REF!</v>
      </c>
      <c r="AX24" s="127" t="e">
        <f t="shared" si="17"/>
        <v>#REF!</v>
      </c>
      <c r="AY24" s="127" t="e">
        <f t="shared" si="17"/>
        <v>#REF!</v>
      </c>
      <c r="AZ24" s="127" t="e">
        <f t="shared" si="17"/>
        <v>#REF!</v>
      </c>
      <c r="BA24" s="127" t="e">
        <f t="shared" si="17"/>
        <v>#REF!</v>
      </c>
      <c r="BB24" s="127" t="e">
        <f t="shared" si="17"/>
        <v>#REF!</v>
      </c>
      <c r="BC24" s="127" t="e">
        <f t="shared" si="17"/>
        <v>#REF!</v>
      </c>
      <c r="BD24" s="127" t="e">
        <f t="shared" si="17"/>
        <v>#REF!</v>
      </c>
      <c r="BE24" s="127" t="e">
        <f t="shared" si="17"/>
        <v>#REF!</v>
      </c>
      <c r="BF24" s="127" t="e">
        <f t="shared" si="17"/>
        <v>#REF!</v>
      </c>
      <c r="BG24" s="127" t="e">
        <f t="shared" si="16"/>
        <v>#REF!</v>
      </c>
      <c r="BH24" s="127" t="e">
        <f t="shared" si="16"/>
        <v>#REF!</v>
      </c>
      <c r="BI24" s="127" t="e">
        <f t="shared" ref="BH24:BW39" si="18">IF($E24=BI$3,"▲","")</f>
        <v>#REF!</v>
      </c>
      <c r="BJ24" s="127" t="e">
        <f t="shared" si="18"/>
        <v>#REF!</v>
      </c>
      <c r="BK24" s="127" t="e">
        <f t="shared" si="18"/>
        <v>#REF!</v>
      </c>
      <c r="BL24" s="127" t="e">
        <f t="shared" si="18"/>
        <v>#REF!</v>
      </c>
      <c r="BM24" s="127" t="e">
        <f t="shared" si="18"/>
        <v>#REF!</v>
      </c>
      <c r="BN24" s="127" t="e">
        <f t="shared" si="18"/>
        <v>#REF!</v>
      </c>
      <c r="BO24" s="127" t="e">
        <f t="shared" si="18"/>
        <v>#REF!</v>
      </c>
      <c r="BP24" s="127" t="e">
        <f t="shared" si="18"/>
        <v>#REF!</v>
      </c>
      <c r="BQ24" s="127" t="e">
        <f t="shared" si="18"/>
        <v>#REF!</v>
      </c>
      <c r="BR24" s="127" t="e">
        <f t="shared" si="18"/>
        <v>#REF!</v>
      </c>
      <c r="BS24" s="127" t="e">
        <f t="shared" si="18"/>
        <v>#REF!</v>
      </c>
      <c r="BT24" s="127" t="e">
        <f t="shared" si="18"/>
        <v>#REF!</v>
      </c>
      <c r="BU24" s="127" t="e">
        <f t="shared" si="18"/>
        <v>#REF!</v>
      </c>
      <c r="BV24" s="127" t="e">
        <f t="shared" si="18"/>
        <v>#REF!</v>
      </c>
      <c r="BW24" s="127" t="e">
        <f t="shared" si="18"/>
        <v>#REF!</v>
      </c>
      <c r="BX24" s="127" t="e">
        <f t="shared" ref="BT24:CE39" si="19">IF($E24=BX$3,"▲","")</f>
        <v>#REF!</v>
      </c>
      <c r="BY24" s="127" t="e">
        <f t="shared" si="19"/>
        <v>#REF!</v>
      </c>
      <c r="BZ24" s="127" t="e">
        <f t="shared" si="19"/>
        <v>#REF!</v>
      </c>
      <c r="CA24" s="127" t="e">
        <f t="shared" si="19"/>
        <v>#REF!</v>
      </c>
      <c r="CB24" s="127" t="e">
        <f t="shared" si="19"/>
        <v>#REF!</v>
      </c>
      <c r="CC24" s="127" t="e">
        <f t="shared" si="19"/>
        <v>#REF!</v>
      </c>
      <c r="CD24" s="127" t="e">
        <f t="shared" si="19"/>
        <v>#REF!</v>
      </c>
      <c r="CE24" s="127" t="e">
        <f t="shared" si="19"/>
        <v>#REF!</v>
      </c>
    </row>
    <row r="25" spans="1:83" ht="12.6" hidden="1" customHeight="1" x14ac:dyDescent="0.2">
      <c r="A25" s="106" t="e">
        <f>SHIPMENTS!#REF!</f>
        <v>#REF!</v>
      </c>
      <c r="B25" s="106" t="e">
        <f>SHIPMENTS!#REF!</f>
        <v>#REF!</v>
      </c>
      <c r="C25" s="132" t="e">
        <f>SHIPMENTS!#REF!</f>
        <v>#REF!</v>
      </c>
      <c r="D25" s="107" t="e">
        <f>IF((SHIPMENTS!#REF!)=0,"",SHIPMENTS!#REF!)</f>
        <v>#REF!</v>
      </c>
      <c r="E25" s="176" t="e">
        <f>IF((SHIPMENTS!#REF!)=0,"",SHIPMENTS!#REF!)</f>
        <v>#REF!</v>
      </c>
      <c r="F25" s="97" t="e">
        <f>VLOOKUP(A25,Items!$A$5:$J$500,9,0)</f>
        <v>#REF!</v>
      </c>
      <c r="G25" s="98" t="e">
        <f>VLOOKUP(A25,load!$A$4:$U$5001,17,0)</f>
        <v>#REF!</v>
      </c>
      <c r="H25" s="97">
        <f>Manhours!$C$27</f>
        <v>42</v>
      </c>
      <c r="I25" s="98">
        <f t="shared" si="7"/>
        <v>382.2</v>
      </c>
      <c r="J25" s="99" t="e">
        <f t="shared" si="13"/>
        <v>#REF!</v>
      </c>
      <c r="K25" s="99" t="e">
        <f t="shared" si="8"/>
        <v>#REF!</v>
      </c>
      <c r="L25" s="98">
        <f t="shared" si="14"/>
        <v>0</v>
      </c>
      <c r="M25" s="98">
        <f t="shared" si="15"/>
        <v>0</v>
      </c>
      <c r="N25" s="181">
        <f t="shared" si="10"/>
        <v>46314</v>
      </c>
      <c r="O25" s="181">
        <f t="shared" si="9"/>
        <v>46314</v>
      </c>
      <c r="P25" s="101" t="e">
        <f>VLOOKUP(A25,SHIPMENTS!$A$7:$N$171,14,0)</f>
        <v>#REF!</v>
      </c>
      <c r="Q25" s="101"/>
      <c r="R25" s="127" t="e">
        <f t="shared" si="3"/>
        <v>#REF!</v>
      </c>
      <c r="S25" s="127" t="e">
        <f t="shared" si="17"/>
        <v>#REF!</v>
      </c>
      <c r="T25" s="127" t="e">
        <f t="shared" si="17"/>
        <v>#REF!</v>
      </c>
      <c r="U25" s="127" t="e">
        <f t="shared" si="17"/>
        <v>#REF!</v>
      </c>
      <c r="V25" s="127" t="e">
        <f t="shared" si="17"/>
        <v>#REF!</v>
      </c>
      <c r="W25" s="127" t="e">
        <f t="shared" si="17"/>
        <v>#REF!</v>
      </c>
      <c r="X25" s="127" t="e">
        <f t="shared" si="17"/>
        <v>#REF!</v>
      </c>
      <c r="Y25" s="127" t="e">
        <f t="shared" si="17"/>
        <v>#REF!</v>
      </c>
      <c r="Z25" s="127" t="e">
        <f t="shared" si="17"/>
        <v>#REF!</v>
      </c>
      <c r="AA25" s="127" t="e">
        <f t="shared" si="17"/>
        <v>#REF!</v>
      </c>
      <c r="AB25" s="127" t="e">
        <f t="shared" si="17"/>
        <v>#REF!</v>
      </c>
      <c r="AC25" s="127" t="e">
        <f t="shared" si="17"/>
        <v>#REF!</v>
      </c>
      <c r="AD25" s="127" t="e">
        <f t="shared" si="17"/>
        <v>#REF!</v>
      </c>
      <c r="AE25" s="127" t="e">
        <f t="shared" si="17"/>
        <v>#REF!</v>
      </c>
      <c r="AF25" s="127" t="e">
        <f t="shared" si="17"/>
        <v>#REF!</v>
      </c>
      <c r="AG25" s="127" t="e">
        <f t="shared" si="17"/>
        <v>#REF!</v>
      </c>
      <c r="AH25" s="127" t="e">
        <f t="shared" si="17"/>
        <v>#REF!</v>
      </c>
      <c r="AI25" s="127" t="e">
        <f t="shared" si="17"/>
        <v>#REF!</v>
      </c>
      <c r="AJ25" s="127" t="e">
        <f t="shared" si="17"/>
        <v>#REF!</v>
      </c>
      <c r="AK25" s="127" t="e">
        <f t="shared" si="17"/>
        <v>#REF!</v>
      </c>
      <c r="AL25" s="127" t="e">
        <f t="shared" si="17"/>
        <v>#REF!</v>
      </c>
      <c r="AM25" s="127" t="e">
        <f t="shared" si="17"/>
        <v>#REF!</v>
      </c>
      <c r="AN25" s="127" t="e">
        <f t="shared" si="17"/>
        <v>#REF!</v>
      </c>
      <c r="AO25" s="127" t="e">
        <f t="shared" si="17"/>
        <v>#REF!</v>
      </c>
      <c r="AP25" s="127" t="e">
        <f t="shared" si="17"/>
        <v>#REF!</v>
      </c>
      <c r="AQ25" s="127" t="e">
        <f t="shared" si="17"/>
        <v>#REF!</v>
      </c>
      <c r="AR25" s="127" t="e">
        <f t="shared" si="17"/>
        <v>#REF!</v>
      </c>
      <c r="AS25" s="127" t="e">
        <f t="shared" si="17"/>
        <v>#REF!</v>
      </c>
      <c r="AT25" s="127" t="e">
        <f t="shared" si="17"/>
        <v>#REF!</v>
      </c>
      <c r="AU25" s="127" t="e">
        <f t="shared" si="17"/>
        <v>#REF!</v>
      </c>
      <c r="AV25" s="127" t="e">
        <f t="shared" si="17"/>
        <v>#REF!</v>
      </c>
      <c r="AW25" s="127" t="e">
        <f t="shared" si="17"/>
        <v>#REF!</v>
      </c>
      <c r="AX25" s="127" t="e">
        <f t="shared" si="17"/>
        <v>#REF!</v>
      </c>
      <c r="AY25" s="127" t="e">
        <f t="shared" si="17"/>
        <v>#REF!</v>
      </c>
      <c r="AZ25" s="127" t="e">
        <f t="shared" si="17"/>
        <v>#REF!</v>
      </c>
      <c r="BA25" s="127" t="e">
        <f t="shared" si="17"/>
        <v>#REF!</v>
      </c>
      <c r="BB25" s="127" t="e">
        <f t="shared" si="17"/>
        <v>#REF!</v>
      </c>
      <c r="BC25" s="127" t="e">
        <f t="shared" si="17"/>
        <v>#REF!</v>
      </c>
      <c r="BD25" s="127" t="e">
        <f t="shared" si="17"/>
        <v>#REF!</v>
      </c>
      <c r="BE25" s="127" t="e">
        <f t="shared" si="17"/>
        <v>#REF!</v>
      </c>
      <c r="BF25" s="127" t="e">
        <f t="shared" si="17"/>
        <v>#REF!</v>
      </c>
      <c r="BG25" s="127" t="e">
        <f t="shared" si="16"/>
        <v>#REF!</v>
      </c>
      <c r="BH25" s="127" t="e">
        <f t="shared" si="18"/>
        <v>#REF!</v>
      </c>
      <c r="BI25" s="127" t="e">
        <f t="shared" si="18"/>
        <v>#REF!</v>
      </c>
      <c r="BJ25" s="127" t="e">
        <f t="shared" si="18"/>
        <v>#REF!</v>
      </c>
      <c r="BK25" s="127" t="e">
        <f t="shared" si="18"/>
        <v>#REF!</v>
      </c>
      <c r="BL25" s="127" t="e">
        <f t="shared" si="18"/>
        <v>#REF!</v>
      </c>
      <c r="BM25" s="127" t="e">
        <f t="shared" si="18"/>
        <v>#REF!</v>
      </c>
      <c r="BN25" s="127" t="e">
        <f t="shared" si="18"/>
        <v>#REF!</v>
      </c>
      <c r="BO25" s="127" t="e">
        <f t="shared" si="18"/>
        <v>#REF!</v>
      </c>
      <c r="BP25" s="127" t="e">
        <f t="shared" si="18"/>
        <v>#REF!</v>
      </c>
      <c r="BQ25" s="127" t="e">
        <f t="shared" si="18"/>
        <v>#REF!</v>
      </c>
      <c r="BR25" s="127" t="e">
        <f t="shared" si="18"/>
        <v>#REF!</v>
      </c>
      <c r="BS25" s="127" t="e">
        <f t="shared" si="18"/>
        <v>#REF!</v>
      </c>
      <c r="BT25" s="127" t="e">
        <f t="shared" si="19"/>
        <v>#REF!</v>
      </c>
      <c r="BU25" s="127" t="e">
        <f t="shared" si="19"/>
        <v>#REF!</v>
      </c>
      <c r="BV25" s="127" t="e">
        <f t="shared" si="19"/>
        <v>#REF!</v>
      </c>
      <c r="BW25" s="127" t="e">
        <f t="shared" si="19"/>
        <v>#REF!</v>
      </c>
      <c r="BX25" s="127" t="e">
        <f t="shared" si="19"/>
        <v>#REF!</v>
      </c>
      <c r="BY25" s="127" t="e">
        <f t="shared" si="19"/>
        <v>#REF!</v>
      </c>
      <c r="BZ25" s="127" t="e">
        <f t="shared" si="19"/>
        <v>#REF!</v>
      </c>
      <c r="CA25" s="127" t="e">
        <f t="shared" si="19"/>
        <v>#REF!</v>
      </c>
      <c r="CB25" s="127" t="e">
        <f t="shared" si="19"/>
        <v>#REF!</v>
      </c>
      <c r="CC25" s="127" t="e">
        <f t="shared" si="19"/>
        <v>#REF!</v>
      </c>
      <c r="CD25" s="127" t="e">
        <f t="shared" si="19"/>
        <v>#REF!</v>
      </c>
      <c r="CE25" s="127" t="e">
        <f t="shared" si="19"/>
        <v>#REF!</v>
      </c>
    </row>
    <row r="26" spans="1:83" ht="12.6" hidden="1" customHeight="1" x14ac:dyDescent="0.2">
      <c r="A26" s="106" t="e">
        <f>SHIPMENTS!#REF!</f>
        <v>#REF!</v>
      </c>
      <c r="B26" s="106" t="e">
        <f>SHIPMENTS!#REF!</f>
        <v>#REF!</v>
      </c>
      <c r="C26" s="132" t="e">
        <f>SHIPMENTS!#REF!</f>
        <v>#REF!</v>
      </c>
      <c r="D26" s="107" t="e">
        <f>IF((SHIPMENTS!#REF!)=0,"",SHIPMENTS!#REF!)</f>
        <v>#REF!</v>
      </c>
      <c r="E26" s="176" t="e">
        <f>IF((SHIPMENTS!#REF!)=0,"",SHIPMENTS!#REF!)</f>
        <v>#REF!</v>
      </c>
      <c r="F26" s="97" t="e">
        <f>VLOOKUP(A26,Items!$A$5:$J$500,9,0)</f>
        <v>#REF!</v>
      </c>
      <c r="G26" s="98" t="e">
        <f>VLOOKUP(A26,load!$A$4:$U$5001,17,0)</f>
        <v>#REF!</v>
      </c>
      <c r="H26" s="97">
        <f>Manhours!$C$27</f>
        <v>42</v>
      </c>
      <c r="I26" s="98">
        <f t="shared" si="7"/>
        <v>382.2</v>
      </c>
      <c r="J26" s="99" t="e">
        <f t="shared" si="13"/>
        <v>#REF!</v>
      </c>
      <c r="K26" s="99" t="e">
        <f t="shared" si="8"/>
        <v>#REF!</v>
      </c>
      <c r="L26" s="98">
        <f t="shared" si="14"/>
        <v>0</v>
      </c>
      <c r="M26" s="98">
        <f t="shared" si="15"/>
        <v>0</v>
      </c>
      <c r="N26" s="181">
        <f t="shared" si="10"/>
        <v>46314</v>
      </c>
      <c r="O26" s="181">
        <f t="shared" si="9"/>
        <v>46314</v>
      </c>
      <c r="P26" s="101" t="e">
        <f>VLOOKUP(A26,SHIPMENTS!$A$7:$N$171,14,0)</f>
        <v>#REF!</v>
      </c>
      <c r="Q26" s="101"/>
      <c r="R26" s="127" t="e">
        <f t="shared" si="3"/>
        <v>#REF!</v>
      </c>
      <c r="S26" s="127" t="e">
        <f t="shared" si="17"/>
        <v>#REF!</v>
      </c>
      <c r="T26" s="127" t="e">
        <f t="shared" si="17"/>
        <v>#REF!</v>
      </c>
      <c r="U26" s="127" t="e">
        <f t="shared" si="17"/>
        <v>#REF!</v>
      </c>
      <c r="V26" s="127" t="e">
        <f t="shared" si="17"/>
        <v>#REF!</v>
      </c>
      <c r="W26" s="127" t="e">
        <f t="shared" si="17"/>
        <v>#REF!</v>
      </c>
      <c r="X26" s="127" t="e">
        <f t="shared" si="17"/>
        <v>#REF!</v>
      </c>
      <c r="Y26" s="127" t="e">
        <f t="shared" si="17"/>
        <v>#REF!</v>
      </c>
      <c r="Z26" s="127" t="e">
        <f t="shared" si="17"/>
        <v>#REF!</v>
      </c>
      <c r="AA26" s="127" t="e">
        <f t="shared" si="17"/>
        <v>#REF!</v>
      </c>
      <c r="AB26" s="127" t="e">
        <f t="shared" si="17"/>
        <v>#REF!</v>
      </c>
      <c r="AC26" s="127" t="e">
        <f t="shared" si="17"/>
        <v>#REF!</v>
      </c>
      <c r="AD26" s="127" t="e">
        <f t="shared" si="17"/>
        <v>#REF!</v>
      </c>
      <c r="AE26" s="127" t="e">
        <f t="shared" si="17"/>
        <v>#REF!</v>
      </c>
      <c r="AF26" s="127" t="e">
        <f t="shared" si="17"/>
        <v>#REF!</v>
      </c>
      <c r="AG26" s="127" t="e">
        <f t="shared" si="17"/>
        <v>#REF!</v>
      </c>
      <c r="AH26" s="127" t="e">
        <f t="shared" si="17"/>
        <v>#REF!</v>
      </c>
      <c r="AI26" s="127" t="e">
        <f t="shared" si="17"/>
        <v>#REF!</v>
      </c>
      <c r="AJ26" s="127" t="e">
        <f t="shared" si="17"/>
        <v>#REF!</v>
      </c>
      <c r="AK26" s="127" t="e">
        <f t="shared" si="17"/>
        <v>#REF!</v>
      </c>
      <c r="AL26" s="127" t="e">
        <f t="shared" si="17"/>
        <v>#REF!</v>
      </c>
      <c r="AM26" s="127" t="e">
        <f t="shared" si="17"/>
        <v>#REF!</v>
      </c>
      <c r="AN26" s="127" t="e">
        <f t="shared" si="17"/>
        <v>#REF!</v>
      </c>
      <c r="AO26" s="127" t="e">
        <f t="shared" si="17"/>
        <v>#REF!</v>
      </c>
      <c r="AP26" s="127" t="e">
        <f t="shared" si="17"/>
        <v>#REF!</v>
      </c>
      <c r="AQ26" s="127" t="e">
        <f t="shared" si="17"/>
        <v>#REF!</v>
      </c>
      <c r="AR26" s="127" t="e">
        <f t="shared" si="17"/>
        <v>#REF!</v>
      </c>
      <c r="AS26" s="127" t="e">
        <f t="shared" si="17"/>
        <v>#REF!</v>
      </c>
      <c r="AT26" s="127" t="e">
        <f t="shared" si="17"/>
        <v>#REF!</v>
      </c>
      <c r="AU26" s="127" t="e">
        <f t="shared" si="17"/>
        <v>#REF!</v>
      </c>
      <c r="AV26" s="127" t="e">
        <f t="shared" si="17"/>
        <v>#REF!</v>
      </c>
      <c r="AW26" s="127" t="e">
        <f t="shared" si="17"/>
        <v>#REF!</v>
      </c>
      <c r="AX26" s="127" t="e">
        <f t="shared" si="17"/>
        <v>#REF!</v>
      </c>
      <c r="AY26" s="127" t="e">
        <f t="shared" si="17"/>
        <v>#REF!</v>
      </c>
      <c r="AZ26" s="127" t="e">
        <f t="shared" si="17"/>
        <v>#REF!</v>
      </c>
      <c r="BA26" s="127" t="e">
        <f t="shared" si="17"/>
        <v>#REF!</v>
      </c>
      <c r="BB26" s="127" t="e">
        <f t="shared" si="17"/>
        <v>#REF!</v>
      </c>
      <c r="BC26" s="127" t="e">
        <f t="shared" si="17"/>
        <v>#REF!</v>
      </c>
      <c r="BD26" s="127" t="e">
        <f t="shared" si="17"/>
        <v>#REF!</v>
      </c>
      <c r="BE26" s="127" t="e">
        <f t="shared" si="17"/>
        <v>#REF!</v>
      </c>
      <c r="BF26" s="127" t="e">
        <f t="shared" si="17"/>
        <v>#REF!</v>
      </c>
      <c r="BG26" s="127" t="e">
        <f t="shared" si="16"/>
        <v>#REF!</v>
      </c>
      <c r="BH26" s="127" t="e">
        <f t="shared" si="18"/>
        <v>#REF!</v>
      </c>
      <c r="BI26" s="127" t="e">
        <f t="shared" si="18"/>
        <v>#REF!</v>
      </c>
      <c r="BJ26" s="127" t="e">
        <f t="shared" si="18"/>
        <v>#REF!</v>
      </c>
      <c r="BK26" s="127" t="e">
        <f t="shared" si="18"/>
        <v>#REF!</v>
      </c>
      <c r="BL26" s="127" t="e">
        <f t="shared" si="18"/>
        <v>#REF!</v>
      </c>
      <c r="BM26" s="127" t="e">
        <f t="shared" si="18"/>
        <v>#REF!</v>
      </c>
      <c r="BN26" s="127" t="e">
        <f t="shared" si="18"/>
        <v>#REF!</v>
      </c>
      <c r="BO26" s="127" t="e">
        <f t="shared" si="18"/>
        <v>#REF!</v>
      </c>
      <c r="BP26" s="127" t="e">
        <f t="shared" si="18"/>
        <v>#REF!</v>
      </c>
      <c r="BQ26" s="127" t="e">
        <f t="shared" si="18"/>
        <v>#REF!</v>
      </c>
      <c r="BR26" s="127" t="e">
        <f t="shared" si="18"/>
        <v>#REF!</v>
      </c>
      <c r="BS26" s="127" t="e">
        <f t="shared" si="18"/>
        <v>#REF!</v>
      </c>
      <c r="BT26" s="127" t="e">
        <f t="shared" si="19"/>
        <v>#REF!</v>
      </c>
      <c r="BU26" s="127" t="e">
        <f t="shared" si="19"/>
        <v>#REF!</v>
      </c>
      <c r="BV26" s="127" t="e">
        <f t="shared" si="19"/>
        <v>#REF!</v>
      </c>
      <c r="BW26" s="127" t="e">
        <f t="shared" si="19"/>
        <v>#REF!</v>
      </c>
      <c r="BX26" s="127" t="e">
        <f t="shared" si="19"/>
        <v>#REF!</v>
      </c>
      <c r="BY26" s="127" t="e">
        <f t="shared" si="19"/>
        <v>#REF!</v>
      </c>
      <c r="BZ26" s="127" t="e">
        <f t="shared" si="19"/>
        <v>#REF!</v>
      </c>
      <c r="CA26" s="127" t="e">
        <f t="shared" si="19"/>
        <v>#REF!</v>
      </c>
      <c r="CB26" s="127" t="e">
        <f t="shared" si="19"/>
        <v>#REF!</v>
      </c>
      <c r="CC26" s="127" t="e">
        <f t="shared" si="19"/>
        <v>#REF!</v>
      </c>
      <c r="CD26" s="127" t="e">
        <f t="shared" si="19"/>
        <v>#REF!</v>
      </c>
      <c r="CE26" s="127" t="e">
        <f t="shared" si="19"/>
        <v>#REF!</v>
      </c>
    </row>
    <row r="27" spans="1:83" ht="12.6" customHeight="1" x14ac:dyDescent="0.2">
      <c r="A27" s="106" t="e">
        <f>SHIPMENTS!#REF!</f>
        <v>#REF!</v>
      </c>
      <c r="B27" s="106" t="e">
        <f>SHIPMENTS!#REF!</f>
        <v>#REF!</v>
      </c>
      <c r="C27" s="132" t="e">
        <f>SHIPMENTS!#REF!</f>
        <v>#REF!</v>
      </c>
      <c r="D27" s="107" t="e">
        <f>IF((SHIPMENTS!#REF!)=0,"",SHIPMENTS!#REF!)</f>
        <v>#REF!</v>
      </c>
      <c r="E27" s="176" t="e">
        <f>IF((SHIPMENTS!#REF!)=0,"",SHIPMENTS!#REF!)</f>
        <v>#REF!</v>
      </c>
      <c r="F27" s="97" t="e">
        <f>VLOOKUP(A27,Items!$A$5:$J$500,9,0)</f>
        <v>#REF!</v>
      </c>
      <c r="G27" s="98" t="e">
        <f>VLOOKUP(A27,load!$A$4:$U$5001,17,0)</f>
        <v>#REF!</v>
      </c>
      <c r="H27" s="97">
        <f>Manhours!$C$27</f>
        <v>42</v>
      </c>
      <c r="I27" s="98">
        <f t="shared" si="7"/>
        <v>382.2</v>
      </c>
      <c r="J27" s="99" t="e">
        <f t="shared" si="13"/>
        <v>#REF!</v>
      </c>
      <c r="K27" s="99" t="e">
        <f t="shared" si="8"/>
        <v>#REF!</v>
      </c>
      <c r="L27" s="98">
        <f t="shared" si="14"/>
        <v>0</v>
      </c>
      <c r="M27" s="98">
        <f t="shared" si="15"/>
        <v>0</v>
      </c>
      <c r="N27" s="181">
        <f t="shared" si="10"/>
        <v>46314</v>
      </c>
      <c r="O27" s="181">
        <f t="shared" si="9"/>
        <v>46314</v>
      </c>
      <c r="P27" s="101" t="e">
        <f>VLOOKUP(A27,SHIPMENTS!$A$7:$N$171,14,0)</f>
        <v>#REF!</v>
      </c>
      <c r="Q27" s="101"/>
      <c r="R27" s="127" t="e">
        <f t="shared" si="3"/>
        <v>#REF!</v>
      </c>
      <c r="S27" s="127" t="e">
        <f t="shared" si="17"/>
        <v>#REF!</v>
      </c>
      <c r="T27" s="127" t="e">
        <f t="shared" si="17"/>
        <v>#REF!</v>
      </c>
      <c r="U27" s="127" t="e">
        <f t="shared" si="17"/>
        <v>#REF!</v>
      </c>
      <c r="V27" s="127" t="e">
        <f t="shared" si="17"/>
        <v>#REF!</v>
      </c>
      <c r="W27" s="127" t="e">
        <f t="shared" si="17"/>
        <v>#REF!</v>
      </c>
      <c r="X27" s="127" t="e">
        <f t="shared" si="17"/>
        <v>#REF!</v>
      </c>
      <c r="Y27" s="127" t="e">
        <f t="shared" si="17"/>
        <v>#REF!</v>
      </c>
      <c r="Z27" s="127" t="e">
        <f t="shared" si="17"/>
        <v>#REF!</v>
      </c>
      <c r="AA27" s="127" t="e">
        <f t="shared" si="17"/>
        <v>#REF!</v>
      </c>
      <c r="AB27" s="127" t="e">
        <f t="shared" si="17"/>
        <v>#REF!</v>
      </c>
      <c r="AC27" s="127" t="e">
        <f t="shared" si="17"/>
        <v>#REF!</v>
      </c>
      <c r="AD27" s="127" t="e">
        <f t="shared" si="17"/>
        <v>#REF!</v>
      </c>
      <c r="AE27" s="127" t="e">
        <f t="shared" si="17"/>
        <v>#REF!</v>
      </c>
      <c r="AF27" s="127" t="e">
        <f t="shared" si="17"/>
        <v>#REF!</v>
      </c>
      <c r="AG27" s="127" t="e">
        <f t="shared" si="17"/>
        <v>#REF!</v>
      </c>
      <c r="AH27" s="127" t="e">
        <f t="shared" si="17"/>
        <v>#REF!</v>
      </c>
      <c r="AI27" s="127" t="e">
        <f t="shared" si="17"/>
        <v>#REF!</v>
      </c>
      <c r="AJ27" s="127" t="e">
        <f t="shared" si="17"/>
        <v>#REF!</v>
      </c>
      <c r="AK27" s="127" t="e">
        <f t="shared" si="17"/>
        <v>#REF!</v>
      </c>
      <c r="AL27" s="127" t="e">
        <f t="shared" si="17"/>
        <v>#REF!</v>
      </c>
      <c r="AM27" s="127" t="e">
        <f t="shared" si="17"/>
        <v>#REF!</v>
      </c>
      <c r="AN27" s="127" t="e">
        <f t="shared" si="17"/>
        <v>#REF!</v>
      </c>
      <c r="AO27" s="127" t="e">
        <f t="shared" si="17"/>
        <v>#REF!</v>
      </c>
      <c r="AP27" s="127" t="e">
        <f t="shared" si="17"/>
        <v>#REF!</v>
      </c>
      <c r="AQ27" s="127" t="e">
        <f t="shared" si="17"/>
        <v>#REF!</v>
      </c>
      <c r="AR27" s="127" t="e">
        <f t="shared" si="17"/>
        <v>#REF!</v>
      </c>
      <c r="AS27" s="127" t="e">
        <f t="shared" si="17"/>
        <v>#REF!</v>
      </c>
      <c r="AT27" s="127" t="e">
        <f t="shared" si="17"/>
        <v>#REF!</v>
      </c>
      <c r="AU27" s="127" t="e">
        <f t="shared" si="17"/>
        <v>#REF!</v>
      </c>
      <c r="AV27" s="127" t="e">
        <f t="shared" si="17"/>
        <v>#REF!</v>
      </c>
      <c r="AW27" s="127" t="e">
        <f t="shared" si="17"/>
        <v>#REF!</v>
      </c>
      <c r="AX27" s="127" t="e">
        <f t="shared" si="17"/>
        <v>#REF!</v>
      </c>
      <c r="AY27" s="127" t="e">
        <f t="shared" si="17"/>
        <v>#REF!</v>
      </c>
      <c r="AZ27" s="127" t="e">
        <f t="shared" si="17"/>
        <v>#REF!</v>
      </c>
      <c r="BA27" s="127" t="e">
        <f t="shared" si="17"/>
        <v>#REF!</v>
      </c>
      <c r="BB27" s="127" t="e">
        <f t="shared" si="17"/>
        <v>#REF!</v>
      </c>
      <c r="BC27" s="127" t="e">
        <f t="shared" si="17"/>
        <v>#REF!</v>
      </c>
      <c r="BD27" s="127" t="e">
        <f t="shared" si="17"/>
        <v>#REF!</v>
      </c>
      <c r="BE27" s="127" t="e">
        <f t="shared" si="17"/>
        <v>#REF!</v>
      </c>
      <c r="BF27" s="127" t="e">
        <f t="shared" si="17"/>
        <v>#REF!</v>
      </c>
      <c r="BG27" s="127" t="e">
        <f t="shared" si="16"/>
        <v>#REF!</v>
      </c>
      <c r="BH27" s="127" t="e">
        <f t="shared" si="18"/>
        <v>#REF!</v>
      </c>
      <c r="BI27" s="127" t="e">
        <f t="shared" si="18"/>
        <v>#REF!</v>
      </c>
      <c r="BJ27" s="127" t="e">
        <f t="shared" si="18"/>
        <v>#REF!</v>
      </c>
      <c r="BK27" s="127" t="e">
        <f t="shared" si="18"/>
        <v>#REF!</v>
      </c>
      <c r="BL27" s="127" t="e">
        <f t="shared" si="18"/>
        <v>#REF!</v>
      </c>
      <c r="BM27" s="127" t="e">
        <f t="shared" si="18"/>
        <v>#REF!</v>
      </c>
      <c r="BN27" s="127" t="e">
        <f t="shared" si="18"/>
        <v>#REF!</v>
      </c>
      <c r="BO27" s="127" t="e">
        <f t="shared" si="18"/>
        <v>#REF!</v>
      </c>
      <c r="BP27" s="127" t="e">
        <f t="shared" si="18"/>
        <v>#REF!</v>
      </c>
      <c r="BQ27" s="127" t="e">
        <f t="shared" si="18"/>
        <v>#REF!</v>
      </c>
      <c r="BR27" s="127" t="e">
        <f t="shared" si="18"/>
        <v>#REF!</v>
      </c>
      <c r="BS27" s="127" t="e">
        <f t="shared" si="18"/>
        <v>#REF!</v>
      </c>
      <c r="BT27" s="127" t="e">
        <f t="shared" si="19"/>
        <v>#REF!</v>
      </c>
      <c r="BU27" s="127" t="e">
        <f t="shared" si="19"/>
        <v>#REF!</v>
      </c>
      <c r="BV27" s="127" t="e">
        <f t="shared" si="19"/>
        <v>#REF!</v>
      </c>
      <c r="BW27" s="127" t="e">
        <f t="shared" si="19"/>
        <v>#REF!</v>
      </c>
      <c r="BX27" s="127" t="e">
        <f t="shared" si="19"/>
        <v>#REF!</v>
      </c>
      <c r="BY27" s="127" t="e">
        <f t="shared" si="19"/>
        <v>#REF!</v>
      </c>
      <c r="BZ27" s="127" t="e">
        <f t="shared" si="19"/>
        <v>#REF!</v>
      </c>
      <c r="CA27" s="127" t="e">
        <f t="shared" si="19"/>
        <v>#REF!</v>
      </c>
      <c r="CB27" s="127" t="e">
        <f t="shared" si="19"/>
        <v>#REF!</v>
      </c>
      <c r="CC27" s="127" t="e">
        <f t="shared" si="19"/>
        <v>#REF!</v>
      </c>
      <c r="CD27" s="127" t="e">
        <f t="shared" si="19"/>
        <v>#REF!</v>
      </c>
      <c r="CE27" s="127" t="e">
        <f t="shared" si="19"/>
        <v>#REF!</v>
      </c>
    </row>
    <row r="28" spans="1:83" ht="12.6" customHeight="1" x14ac:dyDescent="0.2">
      <c r="A28" s="106" t="e">
        <f>SHIPMENTS!#REF!</f>
        <v>#REF!</v>
      </c>
      <c r="B28" s="106" t="e">
        <f>SHIPMENTS!#REF!</f>
        <v>#REF!</v>
      </c>
      <c r="C28" s="132" t="e">
        <f>SHIPMENTS!#REF!</f>
        <v>#REF!</v>
      </c>
      <c r="D28" s="107" t="e">
        <f>IF((SHIPMENTS!#REF!)=0,"",SHIPMENTS!#REF!)</f>
        <v>#REF!</v>
      </c>
      <c r="E28" s="176" t="e">
        <f>IF((SHIPMENTS!#REF!)=0,"",SHIPMENTS!#REF!)</f>
        <v>#REF!</v>
      </c>
      <c r="F28" s="97" t="e">
        <f>VLOOKUP(A28,Items!$A$5:$J$500,9,0)</f>
        <v>#REF!</v>
      </c>
      <c r="G28" s="98" t="e">
        <f>VLOOKUP(A28,load!$A$4:$U$5001,17,0)</f>
        <v>#REF!</v>
      </c>
      <c r="H28" s="97">
        <f>Manhours!$C$27</f>
        <v>42</v>
      </c>
      <c r="I28" s="98">
        <f t="shared" ref="I28" si="20">+H28*$I$4</f>
        <v>382.2</v>
      </c>
      <c r="J28" s="99" t="e">
        <f t="shared" ref="J28" si="21">G28/I28</f>
        <v>#REF!</v>
      </c>
      <c r="K28" s="99" t="e">
        <f t="shared" ref="K28" si="22">+J28*$I$4</f>
        <v>#REF!</v>
      </c>
      <c r="L28" s="98">
        <f t="shared" ref="L28" si="23">IFERROR(J28-(J28*P28),0)</f>
        <v>0</v>
      </c>
      <c r="M28" s="98">
        <f t="shared" ref="M28" si="24">IFERROR(K28-(K28*P28),0)</f>
        <v>0</v>
      </c>
      <c r="N28" s="181">
        <f t="shared" si="10"/>
        <v>46314</v>
      </c>
      <c r="O28" s="181">
        <f t="shared" si="9"/>
        <v>46314</v>
      </c>
      <c r="P28" s="101" t="e">
        <f>VLOOKUP(A28,SHIPMENTS!$A$7:$N$171,14,0)</f>
        <v>#REF!</v>
      </c>
      <c r="Q28" s="101"/>
      <c r="R28" s="127" t="e">
        <f t="shared" si="3"/>
        <v>#REF!</v>
      </c>
      <c r="S28" s="127" t="e">
        <f t="shared" si="17"/>
        <v>#REF!</v>
      </c>
      <c r="T28" s="127" t="e">
        <f t="shared" si="17"/>
        <v>#REF!</v>
      </c>
      <c r="U28" s="127" t="e">
        <f t="shared" si="17"/>
        <v>#REF!</v>
      </c>
      <c r="V28" s="127" t="e">
        <f t="shared" si="17"/>
        <v>#REF!</v>
      </c>
      <c r="W28" s="127" t="e">
        <f t="shared" si="17"/>
        <v>#REF!</v>
      </c>
      <c r="X28" s="127" t="e">
        <f t="shared" si="17"/>
        <v>#REF!</v>
      </c>
      <c r="Y28" s="127" t="e">
        <f t="shared" si="17"/>
        <v>#REF!</v>
      </c>
      <c r="Z28" s="127" t="e">
        <f t="shared" si="17"/>
        <v>#REF!</v>
      </c>
      <c r="AA28" s="127" t="e">
        <f t="shared" si="17"/>
        <v>#REF!</v>
      </c>
      <c r="AB28" s="127" t="e">
        <f t="shared" si="17"/>
        <v>#REF!</v>
      </c>
      <c r="AC28" s="127" t="e">
        <f t="shared" si="17"/>
        <v>#REF!</v>
      </c>
      <c r="AD28" s="127" t="e">
        <f t="shared" si="17"/>
        <v>#REF!</v>
      </c>
      <c r="AE28" s="127" t="e">
        <f t="shared" si="17"/>
        <v>#REF!</v>
      </c>
      <c r="AF28" s="127" t="e">
        <f t="shared" si="17"/>
        <v>#REF!</v>
      </c>
      <c r="AG28" s="127" t="e">
        <f t="shared" si="17"/>
        <v>#REF!</v>
      </c>
      <c r="AH28" s="127" t="e">
        <f t="shared" ref="AH28:BF38" si="25">IF($E28=AH$3,"▲","")</f>
        <v>#REF!</v>
      </c>
      <c r="AI28" s="127" t="e">
        <f t="shared" si="25"/>
        <v>#REF!</v>
      </c>
      <c r="AJ28" s="127" t="e">
        <f t="shared" si="25"/>
        <v>#REF!</v>
      </c>
      <c r="AK28" s="127" t="e">
        <f t="shared" si="25"/>
        <v>#REF!</v>
      </c>
      <c r="AL28" s="127" t="e">
        <f t="shared" si="25"/>
        <v>#REF!</v>
      </c>
      <c r="AM28" s="127" t="e">
        <f t="shared" si="25"/>
        <v>#REF!</v>
      </c>
      <c r="AN28" s="127" t="e">
        <f t="shared" si="25"/>
        <v>#REF!</v>
      </c>
      <c r="AO28" s="127" t="e">
        <f t="shared" si="25"/>
        <v>#REF!</v>
      </c>
      <c r="AP28" s="127" t="e">
        <f t="shared" si="25"/>
        <v>#REF!</v>
      </c>
      <c r="AQ28" s="127" t="e">
        <f t="shared" si="25"/>
        <v>#REF!</v>
      </c>
      <c r="AR28" s="127" t="e">
        <f t="shared" si="25"/>
        <v>#REF!</v>
      </c>
      <c r="AS28" s="127" t="e">
        <f t="shared" si="25"/>
        <v>#REF!</v>
      </c>
      <c r="AT28" s="127" t="e">
        <f t="shared" si="25"/>
        <v>#REF!</v>
      </c>
      <c r="AU28" s="127" t="e">
        <f t="shared" si="25"/>
        <v>#REF!</v>
      </c>
      <c r="AV28" s="127" t="e">
        <f t="shared" si="25"/>
        <v>#REF!</v>
      </c>
      <c r="AW28" s="127" t="e">
        <f t="shared" si="25"/>
        <v>#REF!</v>
      </c>
      <c r="AX28" s="127" t="e">
        <f t="shared" si="25"/>
        <v>#REF!</v>
      </c>
      <c r="AY28" s="127" t="e">
        <f t="shared" si="25"/>
        <v>#REF!</v>
      </c>
      <c r="AZ28" s="127" t="e">
        <f t="shared" si="25"/>
        <v>#REF!</v>
      </c>
      <c r="BA28" s="127" t="e">
        <f t="shared" si="25"/>
        <v>#REF!</v>
      </c>
      <c r="BB28" s="127" t="e">
        <f t="shared" si="25"/>
        <v>#REF!</v>
      </c>
      <c r="BC28" s="127" t="e">
        <f t="shared" si="25"/>
        <v>#REF!</v>
      </c>
      <c r="BD28" s="127" t="e">
        <f t="shared" si="25"/>
        <v>#REF!</v>
      </c>
      <c r="BE28" s="127" t="e">
        <f t="shared" si="25"/>
        <v>#REF!</v>
      </c>
      <c r="BF28" s="127" t="e">
        <f t="shared" si="25"/>
        <v>#REF!</v>
      </c>
      <c r="BG28" s="127" t="e">
        <f t="shared" si="16"/>
        <v>#REF!</v>
      </c>
      <c r="BH28" s="127" t="e">
        <f t="shared" si="18"/>
        <v>#REF!</v>
      </c>
      <c r="BI28" s="127" t="e">
        <f t="shared" si="18"/>
        <v>#REF!</v>
      </c>
      <c r="BJ28" s="127" t="e">
        <f t="shared" si="18"/>
        <v>#REF!</v>
      </c>
      <c r="BK28" s="127" t="e">
        <f t="shared" si="18"/>
        <v>#REF!</v>
      </c>
      <c r="BL28" s="127" t="e">
        <f t="shared" si="18"/>
        <v>#REF!</v>
      </c>
      <c r="BM28" s="127" t="e">
        <f t="shared" si="18"/>
        <v>#REF!</v>
      </c>
      <c r="BN28" s="127" t="e">
        <f t="shared" si="18"/>
        <v>#REF!</v>
      </c>
      <c r="BO28" s="127" t="e">
        <f t="shared" si="18"/>
        <v>#REF!</v>
      </c>
      <c r="BP28" s="127" t="e">
        <f t="shared" si="18"/>
        <v>#REF!</v>
      </c>
      <c r="BQ28" s="127" t="e">
        <f t="shared" si="18"/>
        <v>#REF!</v>
      </c>
      <c r="BR28" s="127" t="e">
        <f t="shared" si="18"/>
        <v>#REF!</v>
      </c>
      <c r="BS28" s="127" t="e">
        <f t="shared" si="18"/>
        <v>#REF!</v>
      </c>
      <c r="BT28" s="127" t="e">
        <f t="shared" si="19"/>
        <v>#REF!</v>
      </c>
      <c r="BU28" s="127" t="e">
        <f t="shared" si="19"/>
        <v>#REF!</v>
      </c>
      <c r="BV28" s="127" t="e">
        <f t="shared" si="19"/>
        <v>#REF!</v>
      </c>
      <c r="BW28" s="127" t="e">
        <f t="shared" si="19"/>
        <v>#REF!</v>
      </c>
      <c r="BX28" s="127" t="e">
        <f t="shared" si="19"/>
        <v>#REF!</v>
      </c>
      <c r="BY28" s="127" t="e">
        <f t="shared" si="19"/>
        <v>#REF!</v>
      </c>
      <c r="BZ28" s="127" t="e">
        <f t="shared" si="19"/>
        <v>#REF!</v>
      </c>
      <c r="CA28" s="127" t="e">
        <f t="shared" si="19"/>
        <v>#REF!</v>
      </c>
      <c r="CB28" s="127" t="e">
        <f t="shared" si="19"/>
        <v>#REF!</v>
      </c>
      <c r="CC28" s="127" t="e">
        <f t="shared" si="19"/>
        <v>#REF!</v>
      </c>
      <c r="CD28" s="127" t="e">
        <f t="shared" si="19"/>
        <v>#REF!</v>
      </c>
      <c r="CE28" s="127" t="e">
        <f t="shared" si="19"/>
        <v>#REF!</v>
      </c>
    </row>
    <row r="29" spans="1:83" ht="12.6" hidden="1" customHeight="1" x14ac:dyDescent="0.2">
      <c r="A29" s="106" t="e">
        <f>SHIPMENTS!#REF!</f>
        <v>#REF!</v>
      </c>
      <c r="B29" s="106" t="e">
        <f>SHIPMENTS!#REF!</f>
        <v>#REF!</v>
      </c>
      <c r="C29" s="132" t="e">
        <f>SHIPMENTS!#REF!</f>
        <v>#REF!</v>
      </c>
      <c r="D29" s="107" t="e">
        <f>IF((SHIPMENTS!#REF!)=0,"",SHIPMENTS!#REF!)</f>
        <v>#REF!</v>
      </c>
      <c r="E29" s="176" t="e">
        <f>IF((SHIPMENTS!#REF!)=0,"",SHIPMENTS!#REF!)</f>
        <v>#REF!</v>
      </c>
      <c r="F29" s="97" t="e">
        <f>VLOOKUP(A29,Items!$A$5:$J$500,9,0)</f>
        <v>#REF!</v>
      </c>
      <c r="G29" s="98" t="e">
        <f>VLOOKUP(A29,load!$A$4:$U$5001,17,0)</f>
        <v>#REF!</v>
      </c>
      <c r="H29" s="97">
        <f>Manhours!$C$27</f>
        <v>42</v>
      </c>
      <c r="I29" s="98">
        <f t="shared" ref="I29:I40" si="26">+H29*$I$4</f>
        <v>382.2</v>
      </c>
      <c r="J29" s="99" t="e">
        <f t="shared" ref="J29:J40" si="27">G29/I29</f>
        <v>#REF!</v>
      </c>
      <c r="K29" s="99" t="e">
        <f t="shared" ref="K29:K40" si="28">+J29*$I$4</f>
        <v>#REF!</v>
      </c>
      <c r="L29" s="98">
        <f t="shared" ref="L29:L40" si="29">IFERROR(J29-(J29*P29),0)</f>
        <v>0</v>
      </c>
      <c r="M29" s="98">
        <f t="shared" ref="M29:M40" si="30">IFERROR(K29-(K29*P29),0)</f>
        <v>0</v>
      </c>
      <c r="N29" s="181">
        <f t="shared" si="10"/>
        <v>46314</v>
      </c>
      <c r="O29" s="181">
        <f t="shared" si="9"/>
        <v>46314</v>
      </c>
      <c r="P29" s="101" t="e">
        <f>VLOOKUP(A29,SHIPMENTS!$A$7:$N$171,14,0)</f>
        <v>#REF!</v>
      </c>
      <c r="Q29" s="101"/>
      <c r="R29" s="127" t="e">
        <f t="shared" si="3"/>
        <v>#REF!</v>
      </c>
      <c r="S29" s="127" t="e">
        <f t="shared" si="3"/>
        <v>#REF!</v>
      </c>
      <c r="T29" s="127" t="e">
        <f t="shared" si="3"/>
        <v>#REF!</v>
      </c>
      <c r="U29" s="127" t="e">
        <f t="shared" si="3"/>
        <v>#REF!</v>
      </c>
      <c r="V29" s="127" t="e">
        <f t="shared" si="3"/>
        <v>#REF!</v>
      </c>
      <c r="W29" s="127" t="e">
        <f t="shared" si="3"/>
        <v>#REF!</v>
      </c>
      <c r="X29" s="127" t="e">
        <f t="shared" si="3"/>
        <v>#REF!</v>
      </c>
      <c r="Y29" s="127" t="e">
        <f t="shared" si="3"/>
        <v>#REF!</v>
      </c>
      <c r="Z29" s="127" t="e">
        <f t="shared" si="3"/>
        <v>#REF!</v>
      </c>
      <c r="AA29" s="127" t="e">
        <f t="shared" si="3"/>
        <v>#REF!</v>
      </c>
      <c r="AB29" s="127" t="e">
        <f t="shared" si="3"/>
        <v>#REF!</v>
      </c>
      <c r="AC29" s="127" t="e">
        <f t="shared" si="3"/>
        <v>#REF!</v>
      </c>
      <c r="AD29" s="127" t="e">
        <f t="shared" si="3"/>
        <v>#REF!</v>
      </c>
      <c r="AE29" s="127" t="e">
        <f t="shared" si="3"/>
        <v>#REF!</v>
      </c>
      <c r="AF29" s="127" t="e">
        <f t="shared" si="3"/>
        <v>#REF!</v>
      </c>
      <c r="AG29" s="127" t="e">
        <f t="shared" si="3"/>
        <v>#REF!</v>
      </c>
      <c r="AH29" s="127" t="e">
        <f t="shared" si="25"/>
        <v>#REF!</v>
      </c>
      <c r="AI29" s="127" t="e">
        <f t="shared" si="25"/>
        <v>#REF!</v>
      </c>
      <c r="AJ29" s="127" t="e">
        <f t="shared" si="25"/>
        <v>#REF!</v>
      </c>
      <c r="AK29" s="127" t="e">
        <f t="shared" si="25"/>
        <v>#REF!</v>
      </c>
      <c r="AL29" s="127" t="e">
        <f t="shared" si="25"/>
        <v>#REF!</v>
      </c>
      <c r="AM29" s="127" t="e">
        <f t="shared" si="25"/>
        <v>#REF!</v>
      </c>
      <c r="AN29" s="127" t="e">
        <f t="shared" si="25"/>
        <v>#REF!</v>
      </c>
      <c r="AO29" s="127" t="e">
        <f t="shared" si="25"/>
        <v>#REF!</v>
      </c>
      <c r="AP29" s="127" t="e">
        <f t="shared" si="25"/>
        <v>#REF!</v>
      </c>
      <c r="AQ29" s="127" t="e">
        <f t="shared" si="25"/>
        <v>#REF!</v>
      </c>
      <c r="AR29" s="127" t="e">
        <f t="shared" si="25"/>
        <v>#REF!</v>
      </c>
      <c r="AS29" s="127" t="e">
        <f t="shared" si="25"/>
        <v>#REF!</v>
      </c>
      <c r="AT29" s="127" t="e">
        <f t="shared" si="25"/>
        <v>#REF!</v>
      </c>
      <c r="AU29" s="127" t="e">
        <f t="shared" si="25"/>
        <v>#REF!</v>
      </c>
      <c r="AV29" s="127" t="e">
        <f t="shared" si="25"/>
        <v>#REF!</v>
      </c>
      <c r="AW29" s="127" t="e">
        <f t="shared" si="25"/>
        <v>#REF!</v>
      </c>
      <c r="AX29" s="127" t="e">
        <f t="shared" si="25"/>
        <v>#REF!</v>
      </c>
      <c r="AY29" s="127" t="e">
        <f t="shared" si="25"/>
        <v>#REF!</v>
      </c>
      <c r="AZ29" s="127" t="e">
        <f t="shared" si="25"/>
        <v>#REF!</v>
      </c>
      <c r="BA29" s="127" t="e">
        <f t="shared" si="25"/>
        <v>#REF!</v>
      </c>
      <c r="BB29" s="127" t="e">
        <f t="shared" si="25"/>
        <v>#REF!</v>
      </c>
      <c r="BC29" s="127" t="e">
        <f t="shared" si="25"/>
        <v>#REF!</v>
      </c>
      <c r="BD29" s="127" t="e">
        <f t="shared" si="25"/>
        <v>#REF!</v>
      </c>
      <c r="BE29" s="127" t="e">
        <f t="shared" si="25"/>
        <v>#REF!</v>
      </c>
      <c r="BF29" s="127" t="e">
        <f t="shared" si="25"/>
        <v>#REF!</v>
      </c>
      <c r="BG29" s="127" t="e">
        <f t="shared" si="16"/>
        <v>#REF!</v>
      </c>
      <c r="BH29" s="127" t="e">
        <f t="shared" si="18"/>
        <v>#REF!</v>
      </c>
      <c r="BI29" s="127" t="e">
        <f t="shared" si="18"/>
        <v>#REF!</v>
      </c>
      <c r="BJ29" s="127" t="e">
        <f t="shared" si="18"/>
        <v>#REF!</v>
      </c>
      <c r="BK29" s="127" t="e">
        <f t="shared" si="18"/>
        <v>#REF!</v>
      </c>
      <c r="BL29" s="127" t="e">
        <f t="shared" si="18"/>
        <v>#REF!</v>
      </c>
      <c r="BM29" s="127" t="e">
        <f t="shared" si="18"/>
        <v>#REF!</v>
      </c>
      <c r="BN29" s="127" t="e">
        <f t="shared" si="18"/>
        <v>#REF!</v>
      </c>
      <c r="BO29" s="127" t="e">
        <f t="shared" si="18"/>
        <v>#REF!</v>
      </c>
      <c r="BP29" s="127" t="e">
        <f t="shared" si="18"/>
        <v>#REF!</v>
      </c>
      <c r="BQ29" s="127" t="e">
        <f t="shared" si="18"/>
        <v>#REF!</v>
      </c>
      <c r="BR29" s="127" t="e">
        <f t="shared" si="18"/>
        <v>#REF!</v>
      </c>
      <c r="BS29" s="127" t="e">
        <f t="shared" si="18"/>
        <v>#REF!</v>
      </c>
      <c r="BT29" s="127" t="e">
        <f t="shared" si="19"/>
        <v>#REF!</v>
      </c>
      <c r="BU29" s="127" t="e">
        <f t="shared" si="19"/>
        <v>#REF!</v>
      </c>
      <c r="BV29" s="127" t="e">
        <f t="shared" si="19"/>
        <v>#REF!</v>
      </c>
      <c r="BW29" s="127" t="e">
        <f t="shared" si="19"/>
        <v>#REF!</v>
      </c>
      <c r="BX29" s="127" t="e">
        <f t="shared" si="19"/>
        <v>#REF!</v>
      </c>
      <c r="BY29" s="127" t="e">
        <f t="shared" si="19"/>
        <v>#REF!</v>
      </c>
      <c r="BZ29" s="127" t="e">
        <f t="shared" si="19"/>
        <v>#REF!</v>
      </c>
      <c r="CA29" s="127" t="e">
        <f t="shared" si="19"/>
        <v>#REF!</v>
      </c>
      <c r="CB29" s="127" t="e">
        <f t="shared" si="19"/>
        <v>#REF!</v>
      </c>
      <c r="CC29" s="127" t="e">
        <f t="shared" si="19"/>
        <v>#REF!</v>
      </c>
      <c r="CD29" s="127" t="e">
        <f t="shared" si="19"/>
        <v>#REF!</v>
      </c>
      <c r="CE29" s="127" t="e">
        <f t="shared" si="19"/>
        <v>#REF!</v>
      </c>
    </row>
    <row r="30" spans="1:83" ht="12.6" hidden="1" customHeight="1" x14ac:dyDescent="0.2">
      <c r="A30" s="106" t="e">
        <f>SHIPMENTS!#REF!</f>
        <v>#REF!</v>
      </c>
      <c r="B30" s="106" t="e">
        <f>SHIPMENTS!#REF!</f>
        <v>#REF!</v>
      </c>
      <c r="C30" s="132" t="e">
        <f>SHIPMENTS!#REF!</f>
        <v>#REF!</v>
      </c>
      <c r="D30" s="107" t="e">
        <f>IF((SHIPMENTS!#REF!)=0,"",SHIPMENTS!#REF!)</f>
        <v>#REF!</v>
      </c>
      <c r="E30" s="176" t="e">
        <f>IF((SHIPMENTS!#REF!)=0,"",SHIPMENTS!#REF!)</f>
        <v>#REF!</v>
      </c>
      <c r="F30" s="97" t="e">
        <f>VLOOKUP(A30,Items!$A$5:$J$500,9,0)</f>
        <v>#REF!</v>
      </c>
      <c r="G30" s="98" t="e">
        <f>VLOOKUP(A30,load!$A$4:$U$5001,17,0)</f>
        <v>#REF!</v>
      </c>
      <c r="H30" s="97">
        <f>Manhours!$C$27</f>
        <v>42</v>
      </c>
      <c r="I30" s="98">
        <f t="shared" si="26"/>
        <v>382.2</v>
      </c>
      <c r="J30" s="99" t="e">
        <f t="shared" si="27"/>
        <v>#REF!</v>
      </c>
      <c r="K30" s="99" t="e">
        <f t="shared" si="28"/>
        <v>#REF!</v>
      </c>
      <c r="L30" s="98">
        <f t="shared" si="29"/>
        <v>0</v>
      </c>
      <c r="M30" s="98">
        <f t="shared" si="30"/>
        <v>0</v>
      </c>
      <c r="N30" s="181">
        <f t="shared" si="10"/>
        <v>46314</v>
      </c>
      <c r="O30" s="181">
        <f t="shared" si="9"/>
        <v>46314</v>
      </c>
      <c r="P30" s="101" t="e">
        <f>VLOOKUP(A30,SHIPMENTS!$A$7:$N$171,14,0)</f>
        <v>#REF!</v>
      </c>
      <c r="Q30" s="101"/>
      <c r="R30" s="127" t="e">
        <f t="shared" ref="R30:AG45" si="31">IF($E30=R$3,"▲","")</f>
        <v>#REF!</v>
      </c>
      <c r="S30" s="127" t="e">
        <f t="shared" si="31"/>
        <v>#REF!</v>
      </c>
      <c r="T30" s="127" t="e">
        <f t="shared" si="31"/>
        <v>#REF!</v>
      </c>
      <c r="U30" s="127" t="e">
        <f t="shared" si="31"/>
        <v>#REF!</v>
      </c>
      <c r="V30" s="127" t="e">
        <f t="shared" si="31"/>
        <v>#REF!</v>
      </c>
      <c r="W30" s="127" t="e">
        <f t="shared" si="31"/>
        <v>#REF!</v>
      </c>
      <c r="X30" s="127" t="e">
        <f t="shared" si="31"/>
        <v>#REF!</v>
      </c>
      <c r="Y30" s="127" t="e">
        <f t="shared" si="31"/>
        <v>#REF!</v>
      </c>
      <c r="Z30" s="127" t="e">
        <f t="shared" si="31"/>
        <v>#REF!</v>
      </c>
      <c r="AA30" s="127" t="e">
        <f t="shared" si="31"/>
        <v>#REF!</v>
      </c>
      <c r="AB30" s="127" t="e">
        <f t="shared" si="31"/>
        <v>#REF!</v>
      </c>
      <c r="AC30" s="127" t="e">
        <f t="shared" si="31"/>
        <v>#REF!</v>
      </c>
      <c r="AD30" s="127" t="e">
        <f t="shared" si="31"/>
        <v>#REF!</v>
      </c>
      <c r="AE30" s="127" t="e">
        <f t="shared" si="31"/>
        <v>#REF!</v>
      </c>
      <c r="AF30" s="127" t="e">
        <f t="shared" si="31"/>
        <v>#REF!</v>
      </c>
      <c r="AG30" s="127" t="e">
        <f t="shared" si="31"/>
        <v>#REF!</v>
      </c>
      <c r="AH30" s="127" t="e">
        <f t="shared" si="25"/>
        <v>#REF!</v>
      </c>
      <c r="AI30" s="127" t="e">
        <f t="shared" si="25"/>
        <v>#REF!</v>
      </c>
      <c r="AJ30" s="127" t="e">
        <f t="shared" si="25"/>
        <v>#REF!</v>
      </c>
      <c r="AK30" s="127" t="e">
        <f t="shared" si="25"/>
        <v>#REF!</v>
      </c>
      <c r="AL30" s="127" t="e">
        <f t="shared" si="25"/>
        <v>#REF!</v>
      </c>
      <c r="AM30" s="127" t="e">
        <f t="shared" si="25"/>
        <v>#REF!</v>
      </c>
      <c r="AN30" s="127" t="e">
        <f t="shared" si="25"/>
        <v>#REF!</v>
      </c>
      <c r="AO30" s="127" t="e">
        <f t="shared" si="25"/>
        <v>#REF!</v>
      </c>
      <c r="AP30" s="127" t="e">
        <f t="shared" si="25"/>
        <v>#REF!</v>
      </c>
      <c r="AQ30" s="127" t="e">
        <f t="shared" si="25"/>
        <v>#REF!</v>
      </c>
      <c r="AR30" s="127" t="e">
        <f t="shared" si="25"/>
        <v>#REF!</v>
      </c>
      <c r="AS30" s="127" t="e">
        <f t="shared" si="25"/>
        <v>#REF!</v>
      </c>
      <c r="AT30" s="127" t="e">
        <f t="shared" si="25"/>
        <v>#REF!</v>
      </c>
      <c r="AU30" s="127" t="e">
        <f t="shared" si="25"/>
        <v>#REF!</v>
      </c>
      <c r="AV30" s="127" t="e">
        <f t="shared" si="25"/>
        <v>#REF!</v>
      </c>
      <c r="AW30" s="127" t="e">
        <f t="shared" si="25"/>
        <v>#REF!</v>
      </c>
      <c r="AX30" s="127" t="e">
        <f t="shared" si="25"/>
        <v>#REF!</v>
      </c>
      <c r="AY30" s="127" t="e">
        <f t="shared" si="25"/>
        <v>#REF!</v>
      </c>
      <c r="AZ30" s="127" t="e">
        <f t="shared" si="25"/>
        <v>#REF!</v>
      </c>
      <c r="BA30" s="127" t="e">
        <f t="shared" si="25"/>
        <v>#REF!</v>
      </c>
      <c r="BB30" s="127" t="e">
        <f t="shared" si="25"/>
        <v>#REF!</v>
      </c>
      <c r="BC30" s="127" t="e">
        <f t="shared" si="25"/>
        <v>#REF!</v>
      </c>
      <c r="BD30" s="127" t="e">
        <f t="shared" si="25"/>
        <v>#REF!</v>
      </c>
      <c r="BE30" s="127" t="e">
        <f t="shared" si="25"/>
        <v>#REF!</v>
      </c>
      <c r="BF30" s="127" t="e">
        <f t="shared" si="25"/>
        <v>#REF!</v>
      </c>
      <c r="BG30" s="127" t="e">
        <f t="shared" si="16"/>
        <v>#REF!</v>
      </c>
      <c r="BH30" s="127" t="e">
        <f t="shared" si="18"/>
        <v>#REF!</v>
      </c>
      <c r="BI30" s="127" t="e">
        <f t="shared" si="18"/>
        <v>#REF!</v>
      </c>
      <c r="BJ30" s="127" t="e">
        <f t="shared" si="18"/>
        <v>#REF!</v>
      </c>
      <c r="BK30" s="127" t="e">
        <f t="shared" si="18"/>
        <v>#REF!</v>
      </c>
      <c r="BL30" s="127" t="e">
        <f t="shared" si="18"/>
        <v>#REF!</v>
      </c>
      <c r="BM30" s="127" t="e">
        <f t="shared" si="18"/>
        <v>#REF!</v>
      </c>
      <c r="BN30" s="127" t="e">
        <f t="shared" si="18"/>
        <v>#REF!</v>
      </c>
      <c r="BO30" s="127" t="e">
        <f t="shared" si="18"/>
        <v>#REF!</v>
      </c>
      <c r="BP30" s="127" t="e">
        <f t="shared" si="18"/>
        <v>#REF!</v>
      </c>
      <c r="BQ30" s="127" t="e">
        <f t="shared" si="18"/>
        <v>#REF!</v>
      </c>
      <c r="BR30" s="127" t="e">
        <f t="shared" si="18"/>
        <v>#REF!</v>
      </c>
      <c r="BS30" s="127" t="e">
        <f t="shared" si="18"/>
        <v>#REF!</v>
      </c>
      <c r="BT30" s="127" t="e">
        <f t="shared" si="19"/>
        <v>#REF!</v>
      </c>
      <c r="BU30" s="127" t="e">
        <f t="shared" si="19"/>
        <v>#REF!</v>
      </c>
      <c r="BV30" s="127" t="e">
        <f t="shared" si="19"/>
        <v>#REF!</v>
      </c>
      <c r="BW30" s="127" t="e">
        <f t="shared" si="19"/>
        <v>#REF!</v>
      </c>
      <c r="BX30" s="127" t="e">
        <f t="shared" si="19"/>
        <v>#REF!</v>
      </c>
      <c r="BY30" s="127" t="e">
        <f t="shared" si="19"/>
        <v>#REF!</v>
      </c>
      <c r="BZ30" s="127" t="e">
        <f t="shared" si="19"/>
        <v>#REF!</v>
      </c>
      <c r="CA30" s="127" t="e">
        <f t="shared" si="19"/>
        <v>#REF!</v>
      </c>
      <c r="CB30" s="127" t="e">
        <f t="shared" si="19"/>
        <v>#REF!</v>
      </c>
      <c r="CC30" s="127" t="e">
        <f t="shared" si="19"/>
        <v>#REF!</v>
      </c>
      <c r="CD30" s="127" t="e">
        <f t="shared" si="19"/>
        <v>#REF!</v>
      </c>
      <c r="CE30" s="127" t="e">
        <f t="shared" si="19"/>
        <v>#REF!</v>
      </c>
    </row>
    <row r="31" spans="1:83" ht="12.6" customHeight="1" x14ac:dyDescent="0.2">
      <c r="A31" s="106" t="e">
        <f>SHIPMENTS!#REF!</f>
        <v>#REF!</v>
      </c>
      <c r="B31" s="106" t="e">
        <f>SHIPMENTS!#REF!</f>
        <v>#REF!</v>
      </c>
      <c r="C31" s="132" t="e">
        <f>SHIPMENTS!#REF!</f>
        <v>#REF!</v>
      </c>
      <c r="D31" s="107" t="e">
        <f>IF((SHIPMENTS!#REF!)=0,"",SHIPMENTS!#REF!)</f>
        <v>#REF!</v>
      </c>
      <c r="E31" s="176" t="e">
        <f>IF((SHIPMENTS!#REF!)=0,"",SHIPMENTS!#REF!)</f>
        <v>#REF!</v>
      </c>
      <c r="F31" s="97" t="e">
        <f>VLOOKUP(A31,Items!$A$5:$J$500,9,0)</f>
        <v>#REF!</v>
      </c>
      <c r="G31" s="98" t="e">
        <f>VLOOKUP(A31,load!$A$4:$U$5001,17,0)</f>
        <v>#REF!</v>
      </c>
      <c r="H31" s="97">
        <f>Manhours!$C$27</f>
        <v>42</v>
      </c>
      <c r="I31" s="98">
        <f t="shared" si="26"/>
        <v>382.2</v>
      </c>
      <c r="J31" s="99" t="e">
        <f t="shared" si="27"/>
        <v>#REF!</v>
      </c>
      <c r="K31" s="99" t="e">
        <f t="shared" si="28"/>
        <v>#REF!</v>
      </c>
      <c r="L31" s="98">
        <f t="shared" si="29"/>
        <v>0</v>
      </c>
      <c r="M31" s="98">
        <f t="shared" si="30"/>
        <v>0</v>
      </c>
      <c r="N31" s="181">
        <f t="shared" si="10"/>
        <v>46314</v>
      </c>
      <c r="O31" s="181">
        <f t="shared" si="9"/>
        <v>46314</v>
      </c>
      <c r="P31" s="101" t="e">
        <f>VLOOKUP(A31,SHIPMENTS!$A$7:$N$171,14,0)</f>
        <v>#REF!</v>
      </c>
      <c r="Q31" s="101"/>
      <c r="R31" s="127" t="e">
        <f t="shared" si="31"/>
        <v>#REF!</v>
      </c>
      <c r="S31" s="127" t="e">
        <f t="shared" si="31"/>
        <v>#REF!</v>
      </c>
      <c r="T31" s="127" t="e">
        <f t="shared" si="31"/>
        <v>#REF!</v>
      </c>
      <c r="U31" s="127" t="e">
        <f t="shared" si="31"/>
        <v>#REF!</v>
      </c>
      <c r="V31" s="127" t="e">
        <f t="shared" si="31"/>
        <v>#REF!</v>
      </c>
      <c r="W31" s="127" t="e">
        <f t="shared" si="31"/>
        <v>#REF!</v>
      </c>
      <c r="X31" s="127" t="e">
        <f t="shared" si="31"/>
        <v>#REF!</v>
      </c>
      <c r="Y31" s="127" t="e">
        <f t="shared" si="31"/>
        <v>#REF!</v>
      </c>
      <c r="Z31" s="127" t="e">
        <f t="shared" si="31"/>
        <v>#REF!</v>
      </c>
      <c r="AA31" s="127" t="e">
        <f t="shared" si="31"/>
        <v>#REF!</v>
      </c>
      <c r="AB31" s="127" t="e">
        <f t="shared" si="31"/>
        <v>#REF!</v>
      </c>
      <c r="AC31" s="127" t="e">
        <f t="shared" si="31"/>
        <v>#REF!</v>
      </c>
      <c r="AD31" s="127" t="e">
        <f t="shared" si="31"/>
        <v>#REF!</v>
      </c>
      <c r="AE31" s="127" t="e">
        <f t="shared" si="31"/>
        <v>#REF!</v>
      </c>
      <c r="AF31" s="127" t="e">
        <f t="shared" si="31"/>
        <v>#REF!</v>
      </c>
      <c r="AG31" s="127" t="e">
        <f t="shared" si="31"/>
        <v>#REF!</v>
      </c>
      <c r="AH31" s="127" t="e">
        <f t="shared" si="25"/>
        <v>#REF!</v>
      </c>
      <c r="AI31" s="127" t="e">
        <f t="shared" si="25"/>
        <v>#REF!</v>
      </c>
      <c r="AJ31" s="127" t="e">
        <f t="shared" si="25"/>
        <v>#REF!</v>
      </c>
      <c r="AK31" s="127" t="e">
        <f t="shared" si="25"/>
        <v>#REF!</v>
      </c>
      <c r="AL31" s="127" t="e">
        <f t="shared" si="25"/>
        <v>#REF!</v>
      </c>
      <c r="AM31" s="127" t="e">
        <f t="shared" si="25"/>
        <v>#REF!</v>
      </c>
      <c r="AN31" s="127" t="e">
        <f t="shared" si="25"/>
        <v>#REF!</v>
      </c>
      <c r="AO31" s="127" t="e">
        <f t="shared" si="25"/>
        <v>#REF!</v>
      </c>
      <c r="AP31" s="127" t="e">
        <f t="shared" si="25"/>
        <v>#REF!</v>
      </c>
      <c r="AQ31" s="127" t="e">
        <f t="shared" si="25"/>
        <v>#REF!</v>
      </c>
      <c r="AR31" s="127" t="e">
        <f t="shared" si="25"/>
        <v>#REF!</v>
      </c>
      <c r="AS31" s="127" t="e">
        <f t="shared" si="25"/>
        <v>#REF!</v>
      </c>
      <c r="AT31" s="127" t="e">
        <f t="shared" si="25"/>
        <v>#REF!</v>
      </c>
      <c r="AU31" s="127" t="e">
        <f t="shared" si="25"/>
        <v>#REF!</v>
      </c>
      <c r="AV31" s="127" t="e">
        <f t="shared" si="25"/>
        <v>#REF!</v>
      </c>
      <c r="AW31" s="127" t="e">
        <f t="shared" si="25"/>
        <v>#REF!</v>
      </c>
      <c r="AX31" s="127" t="e">
        <f t="shared" si="25"/>
        <v>#REF!</v>
      </c>
      <c r="AY31" s="127" t="e">
        <f t="shared" si="25"/>
        <v>#REF!</v>
      </c>
      <c r="AZ31" s="127" t="e">
        <f t="shared" si="25"/>
        <v>#REF!</v>
      </c>
      <c r="BA31" s="127" t="e">
        <f t="shared" si="25"/>
        <v>#REF!</v>
      </c>
      <c r="BB31" s="127" t="e">
        <f t="shared" si="25"/>
        <v>#REF!</v>
      </c>
      <c r="BC31" s="127" t="e">
        <f t="shared" si="25"/>
        <v>#REF!</v>
      </c>
      <c r="BD31" s="127" t="e">
        <f t="shared" si="25"/>
        <v>#REF!</v>
      </c>
      <c r="BE31" s="127" t="e">
        <f t="shared" si="25"/>
        <v>#REF!</v>
      </c>
      <c r="BF31" s="127" t="e">
        <f t="shared" si="25"/>
        <v>#REF!</v>
      </c>
      <c r="BG31" s="127" t="e">
        <f t="shared" si="16"/>
        <v>#REF!</v>
      </c>
      <c r="BH31" s="127" t="e">
        <f t="shared" si="18"/>
        <v>#REF!</v>
      </c>
      <c r="BI31" s="127" t="e">
        <f t="shared" si="18"/>
        <v>#REF!</v>
      </c>
      <c r="BJ31" s="127" t="e">
        <f t="shared" si="18"/>
        <v>#REF!</v>
      </c>
      <c r="BK31" s="127" t="e">
        <f t="shared" si="18"/>
        <v>#REF!</v>
      </c>
      <c r="BL31" s="127" t="e">
        <f t="shared" si="18"/>
        <v>#REF!</v>
      </c>
      <c r="BM31" s="127" t="e">
        <f t="shared" si="18"/>
        <v>#REF!</v>
      </c>
      <c r="BN31" s="127" t="e">
        <f t="shared" si="18"/>
        <v>#REF!</v>
      </c>
      <c r="BO31" s="127" t="e">
        <f t="shared" si="18"/>
        <v>#REF!</v>
      </c>
      <c r="BP31" s="127" t="e">
        <f t="shared" si="18"/>
        <v>#REF!</v>
      </c>
      <c r="BQ31" s="127" t="e">
        <f t="shared" si="18"/>
        <v>#REF!</v>
      </c>
      <c r="BR31" s="127" t="e">
        <f t="shared" si="18"/>
        <v>#REF!</v>
      </c>
      <c r="BS31" s="127" t="e">
        <f t="shared" si="18"/>
        <v>#REF!</v>
      </c>
      <c r="BT31" s="127" t="e">
        <f t="shared" si="19"/>
        <v>#REF!</v>
      </c>
      <c r="BU31" s="127" t="e">
        <f t="shared" si="19"/>
        <v>#REF!</v>
      </c>
      <c r="BV31" s="127" t="e">
        <f t="shared" si="19"/>
        <v>#REF!</v>
      </c>
      <c r="BW31" s="127" t="e">
        <f t="shared" si="19"/>
        <v>#REF!</v>
      </c>
      <c r="BX31" s="127" t="e">
        <f t="shared" si="19"/>
        <v>#REF!</v>
      </c>
      <c r="BY31" s="127" t="e">
        <f t="shared" si="19"/>
        <v>#REF!</v>
      </c>
      <c r="BZ31" s="127" t="e">
        <f t="shared" si="19"/>
        <v>#REF!</v>
      </c>
      <c r="CA31" s="127" t="e">
        <f t="shared" si="19"/>
        <v>#REF!</v>
      </c>
      <c r="CB31" s="127" t="e">
        <f t="shared" si="19"/>
        <v>#REF!</v>
      </c>
      <c r="CC31" s="127" t="e">
        <f t="shared" si="19"/>
        <v>#REF!</v>
      </c>
      <c r="CD31" s="127" t="e">
        <f t="shared" si="19"/>
        <v>#REF!</v>
      </c>
      <c r="CE31" s="127" t="e">
        <f t="shared" si="19"/>
        <v>#REF!</v>
      </c>
    </row>
    <row r="32" spans="1:83" ht="12.6" customHeight="1" x14ac:dyDescent="0.2">
      <c r="A32" s="106" t="e">
        <f>SHIPMENTS!#REF!</f>
        <v>#REF!</v>
      </c>
      <c r="B32" s="106" t="e">
        <f>SHIPMENTS!#REF!</f>
        <v>#REF!</v>
      </c>
      <c r="C32" s="132" t="e">
        <f>SHIPMENTS!#REF!</f>
        <v>#REF!</v>
      </c>
      <c r="D32" s="107" t="e">
        <f>IF((SHIPMENTS!#REF!)=0,"",SHIPMENTS!#REF!)</f>
        <v>#REF!</v>
      </c>
      <c r="E32" s="176" t="e">
        <f>IF((SHIPMENTS!#REF!)=0,"",SHIPMENTS!#REF!)</f>
        <v>#REF!</v>
      </c>
      <c r="F32" s="97" t="e">
        <f>VLOOKUP(A32,Items!$A$5:$J$500,9,0)</f>
        <v>#REF!</v>
      </c>
      <c r="G32" s="98" t="e">
        <f>VLOOKUP(A32,load!$A$4:$U$5001,17,0)</f>
        <v>#REF!</v>
      </c>
      <c r="H32" s="97">
        <f>Manhours!$C$27</f>
        <v>42</v>
      </c>
      <c r="I32" s="98">
        <f t="shared" si="26"/>
        <v>382.2</v>
      </c>
      <c r="J32" s="99" t="e">
        <f t="shared" si="27"/>
        <v>#REF!</v>
      </c>
      <c r="K32" s="99" t="e">
        <f t="shared" si="28"/>
        <v>#REF!</v>
      </c>
      <c r="L32" s="98">
        <f t="shared" si="29"/>
        <v>0</v>
      </c>
      <c r="M32" s="98">
        <f t="shared" si="30"/>
        <v>0</v>
      </c>
      <c r="N32" s="181">
        <f t="shared" si="10"/>
        <v>46314</v>
      </c>
      <c r="O32" s="181">
        <f t="shared" si="9"/>
        <v>46314</v>
      </c>
      <c r="P32" s="101" t="e">
        <f>VLOOKUP(A32,SHIPMENTS!$A$7:$N$171,14,0)</f>
        <v>#REF!</v>
      </c>
      <c r="Q32" s="101"/>
      <c r="R32" s="127" t="e">
        <f t="shared" si="31"/>
        <v>#REF!</v>
      </c>
      <c r="S32" s="127" t="e">
        <f t="shared" si="31"/>
        <v>#REF!</v>
      </c>
      <c r="T32" s="127" t="e">
        <f t="shared" si="31"/>
        <v>#REF!</v>
      </c>
      <c r="U32" s="127" t="e">
        <f t="shared" si="31"/>
        <v>#REF!</v>
      </c>
      <c r="V32" s="127" t="e">
        <f t="shared" si="31"/>
        <v>#REF!</v>
      </c>
      <c r="W32" s="127" t="e">
        <f t="shared" si="31"/>
        <v>#REF!</v>
      </c>
      <c r="X32" s="127" t="e">
        <f t="shared" si="31"/>
        <v>#REF!</v>
      </c>
      <c r="Y32" s="127" t="e">
        <f t="shared" si="31"/>
        <v>#REF!</v>
      </c>
      <c r="Z32" s="127" t="e">
        <f t="shared" si="31"/>
        <v>#REF!</v>
      </c>
      <c r="AA32" s="127" t="e">
        <f t="shared" si="31"/>
        <v>#REF!</v>
      </c>
      <c r="AB32" s="127" t="e">
        <f t="shared" si="31"/>
        <v>#REF!</v>
      </c>
      <c r="AC32" s="127" t="e">
        <f t="shared" si="31"/>
        <v>#REF!</v>
      </c>
      <c r="AD32" s="127" t="e">
        <f t="shared" si="31"/>
        <v>#REF!</v>
      </c>
      <c r="AE32" s="127" t="e">
        <f t="shared" si="31"/>
        <v>#REF!</v>
      </c>
      <c r="AF32" s="127" t="e">
        <f t="shared" si="31"/>
        <v>#REF!</v>
      </c>
      <c r="AG32" s="127" t="e">
        <f t="shared" si="31"/>
        <v>#REF!</v>
      </c>
      <c r="AH32" s="127" t="e">
        <f t="shared" si="25"/>
        <v>#REF!</v>
      </c>
      <c r="AI32" s="127" t="e">
        <f t="shared" si="25"/>
        <v>#REF!</v>
      </c>
      <c r="AJ32" s="127" t="e">
        <f t="shared" si="25"/>
        <v>#REF!</v>
      </c>
      <c r="AK32" s="127" t="e">
        <f t="shared" si="25"/>
        <v>#REF!</v>
      </c>
      <c r="AL32" s="127" t="e">
        <f t="shared" si="25"/>
        <v>#REF!</v>
      </c>
      <c r="AM32" s="127" t="e">
        <f t="shared" si="25"/>
        <v>#REF!</v>
      </c>
      <c r="AN32" s="127" t="e">
        <f t="shared" si="25"/>
        <v>#REF!</v>
      </c>
      <c r="AO32" s="127" t="e">
        <f t="shared" si="25"/>
        <v>#REF!</v>
      </c>
      <c r="AP32" s="127" t="e">
        <f t="shared" si="25"/>
        <v>#REF!</v>
      </c>
      <c r="AQ32" s="127" t="e">
        <f t="shared" si="25"/>
        <v>#REF!</v>
      </c>
      <c r="AR32" s="127" t="e">
        <f t="shared" si="25"/>
        <v>#REF!</v>
      </c>
      <c r="AS32" s="127" t="e">
        <f t="shared" si="25"/>
        <v>#REF!</v>
      </c>
      <c r="AT32" s="127" t="e">
        <f t="shared" si="25"/>
        <v>#REF!</v>
      </c>
      <c r="AU32" s="127" t="e">
        <f t="shared" si="25"/>
        <v>#REF!</v>
      </c>
      <c r="AV32" s="127" t="e">
        <f t="shared" si="25"/>
        <v>#REF!</v>
      </c>
      <c r="AW32" s="127" t="e">
        <f t="shared" si="25"/>
        <v>#REF!</v>
      </c>
      <c r="AX32" s="127" t="e">
        <f t="shared" si="25"/>
        <v>#REF!</v>
      </c>
      <c r="AY32" s="127" t="e">
        <f t="shared" si="25"/>
        <v>#REF!</v>
      </c>
      <c r="AZ32" s="127" t="e">
        <f t="shared" si="25"/>
        <v>#REF!</v>
      </c>
      <c r="BA32" s="127" t="e">
        <f t="shared" si="25"/>
        <v>#REF!</v>
      </c>
      <c r="BB32" s="127" t="e">
        <f t="shared" si="25"/>
        <v>#REF!</v>
      </c>
      <c r="BC32" s="127" t="e">
        <f t="shared" si="25"/>
        <v>#REF!</v>
      </c>
      <c r="BD32" s="127" t="e">
        <f t="shared" si="25"/>
        <v>#REF!</v>
      </c>
      <c r="BE32" s="127" t="e">
        <f t="shared" si="25"/>
        <v>#REF!</v>
      </c>
      <c r="BF32" s="127" t="e">
        <f t="shared" si="25"/>
        <v>#REF!</v>
      </c>
      <c r="BG32" s="127" t="e">
        <f t="shared" si="16"/>
        <v>#REF!</v>
      </c>
      <c r="BH32" s="127" t="e">
        <f t="shared" si="18"/>
        <v>#REF!</v>
      </c>
      <c r="BI32" s="127" t="e">
        <f t="shared" si="18"/>
        <v>#REF!</v>
      </c>
      <c r="BJ32" s="127" t="e">
        <f t="shared" si="18"/>
        <v>#REF!</v>
      </c>
      <c r="BK32" s="127" t="e">
        <f t="shared" si="18"/>
        <v>#REF!</v>
      </c>
      <c r="BL32" s="127" t="e">
        <f t="shared" si="18"/>
        <v>#REF!</v>
      </c>
      <c r="BM32" s="127" t="e">
        <f t="shared" si="18"/>
        <v>#REF!</v>
      </c>
      <c r="BN32" s="127" t="e">
        <f t="shared" si="18"/>
        <v>#REF!</v>
      </c>
      <c r="BO32" s="127" t="e">
        <f t="shared" si="18"/>
        <v>#REF!</v>
      </c>
      <c r="BP32" s="127" t="e">
        <f t="shared" si="18"/>
        <v>#REF!</v>
      </c>
      <c r="BQ32" s="127" t="e">
        <f t="shared" si="18"/>
        <v>#REF!</v>
      </c>
      <c r="BR32" s="127" t="e">
        <f t="shared" si="18"/>
        <v>#REF!</v>
      </c>
      <c r="BS32" s="127" t="e">
        <f t="shared" si="18"/>
        <v>#REF!</v>
      </c>
      <c r="BT32" s="127" t="e">
        <f t="shared" si="19"/>
        <v>#REF!</v>
      </c>
      <c r="BU32" s="127" t="e">
        <f t="shared" si="19"/>
        <v>#REF!</v>
      </c>
      <c r="BV32" s="127" t="e">
        <f t="shared" si="19"/>
        <v>#REF!</v>
      </c>
      <c r="BW32" s="127" t="e">
        <f t="shared" si="19"/>
        <v>#REF!</v>
      </c>
      <c r="BX32" s="127" t="e">
        <f t="shared" si="19"/>
        <v>#REF!</v>
      </c>
      <c r="BY32" s="127" t="e">
        <f t="shared" si="19"/>
        <v>#REF!</v>
      </c>
      <c r="BZ32" s="127" t="e">
        <f t="shared" si="19"/>
        <v>#REF!</v>
      </c>
      <c r="CA32" s="127" t="e">
        <f t="shared" si="19"/>
        <v>#REF!</v>
      </c>
      <c r="CB32" s="127" t="e">
        <f t="shared" si="19"/>
        <v>#REF!</v>
      </c>
      <c r="CC32" s="127" t="e">
        <f t="shared" si="19"/>
        <v>#REF!</v>
      </c>
      <c r="CD32" s="127" t="e">
        <f t="shared" si="19"/>
        <v>#REF!</v>
      </c>
      <c r="CE32" s="127" t="e">
        <f t="shared" si="19"/>
        <v>#REF!</v>
      </c>
    </row>
    <row r="33" spans="1:83" ht="12.6" customHeight="1" x14ac:dyDescent="0.2">
      <c r="A33" s="106" t="e">
        <f>SHIPMENTS!#REF!</f>
        <v>#REF!</v>
      </c>
      <c r="B33" s="106" t="e">
        <f>SHIPMENTS!#REF!</f>
        <v>#REF!</v>
      </c>
      <c r="C33" s="132" t="e">
        <f>SHIPMENTS!#REF!</f>
        <v>#REF!</v>
      </c>
      <c r="D33" s="107" t="e">
        <f>IF((SHIPMENTS!#REF!)=0,"",SHIPMENTS!#REF!)</f>
        <v>#REF!</v>
      </c>
      <c r="E33" s="176" t="e">
        <f>IF((SHIPMENTS!#REF!)=0,"",SHIPMENTS!#REF!)</f>
        <v>#REF!</v>
      </c>
      <c r="F33" s="97" t="e">
        <f>VLOOKUP(A33,Items!$A$5:$J$500,9,0)</f>
        <v>#REF!</v>
      </c>
      <c r="G33" s="98" t="e">
        <f>VLOOKUP(A33,load!$A$4:$U$5001,17,0)</f>
        <v>#REF!</v>
      </c>
      <c r="H33" s="97">
        <f>Manhours!$C$27</f>
        <v>42</v>
      </c>
      <c r="I33" s="98">
        <f t="shared" si="26"/>
        <v>382.2</v>
      </c>
      <c r="J33" s="99" t="e">
        <f t="shared" si="27"/>
        <v>#REF!</v>
      </c>
      <c r="K33" s="99" t="e">
        <f t="shared" si="28"/>
        <v>#REF!</v>
      </c>
      <c r="L33" s="98">
        <f t="shared" si="29"/>
        <v>0</v>
      </c>
      <c r="M33" s="98">
        <f t="shared" si="30"/>
        <v>0</v>
      </c>
      <c r="N33" s="181">
        <f t="shared" si="10"/>
        <v>46314</v>
      </c>
      <c r="O33" s="181">
        <f t="shared" si="9"/>
        <v>46314</v>
      </c>
      <c r="P33" s="101" t="e">
        <f>VLOOKUP(A33,SHIPMENTS!$A$7:$N$171,14,0)</f>
        <v>#REF!</v>
      </c>
      <c r="Q33" s="101"/>
      <c r="R33" s="127" t="e">
        <f t="shared" si="31"/>
        <v>#REF!</v>
      </c>
      <c r="S33" s="127" t="e">
        <f t="shared" si="31"/>
        <v>#REF!</v>
      </c>
      <c r="T33" s="127" t="e">
        <f t="shared" si="31"/>
        <v>#REF!</v>
      </c>
      <c r="U33" s="127" t="e">
        <f t="shared" si="31"/>
        <v>#REF!</v>
      </c>
      <c r="V33" s="127" t="e">
        <f t="shared" si="31"/>
        <v>#REF!</v>
      </c>
      <c r="W33" s="127" t="e">
        <f t="shared" si="31"/>
        <v>#REF!</v>
      </c>
      <c r="X33" s="127" t="e">
        <f t="shared" si="31"/>
        <v>#REF!</v>
      </c>
      <c r="Y33" s="127" t="e">
        <f t="shared" si="31"/>
        <v>#REF!</v>
      </c>
      <c r="Z33" s="127" t="e">
        <f t="shared" si="31"/>
        <v>#REF!</v>
      </c>
      <c r="AA33" s="127" t="e">
        <f t="shared" si="31"/>
        <v>#REF!</v>
      </c>
      <c r="AB33" s="127" t="e">
        <f t="shared" si="31"/>
        <v>#REF!</v>
      </c>
      <c r="AC33" s="127" t="e">
        <f t="shared" si="31"/>
        <v>#REF!</v>
      </c>
      <c r="AD33" s="127" t="e">
        <f t="shared" si="31"/>
        <v>#REF!</v>
      </c>
      <c r="AE33" s="127" t="e">
        <f t="shared" si="31"/>
        <v>#REF!</v>
      </c>
      <c r="AF33" s="127" t="e">
        <f t="shared" si="31"/>
        <v>#REF!</v>
      </c>
      <c r="AG33" s="127" t="e">
        <f t="shared" si="31"/>
        <v>#REF!</v>
      </c>
      <c r="AH33" s="127" t="e">
        <f t="shared" si="25"/>
        <v>#REF!</v>
      </c>
      <c r="AI33" s="127" t="e">
        <f t="shared" si="25"/>
        <v>#REF!</v>
      </c>
      <c r="AJ33" s="127" t="e">
        <f t="shared" si="25"/>
        <v>#REF!</v>
      </c>
      <c r="AK33" s="127" t="e">
        <f t="shared" si="25"/>
        <v>#REF!</v>
      </c>
      <c r="AL33" s="127" t="e">
        <f t="shared" si="25"/>
        <v>#REF!</v>
      </c>
      <c r="AM33" s="127" t="e">
        <f t="shared" si="25"/>
        <v>#REF!</v>
      </c>
      <c r="AN33" s="127" t="e">
        <f t="shared" si="25"/>
        <v>#REF!</v>
      </c>
      <c r="AO33" s="127" t="e">
        <f t="shared" si="25"/>
        <v>#REF!</v>
      </c>
      <c r="AP33" s="127" t="e">
        <f t="shared" si="25"/>
        <v>#REF!</v>
      </c>
      <c r="AQ33" s="127" t="e">
        <f t="shared" si="25"/>
        <v>#REF!</v>
      </c>
      <c r="AR33" s="127" t="e">
        <f t="shared" si="25"/>
        <v>#REF!</v>
      </c>
      <c r="AS33" s="127" t="e">
        <f t="shared" si="25"/>
        <v>#REF!</v>
      </c>
      <c r="AT33" s="127" t="e">
        <f t="shared" si="25"/>
        <v>#REF!</v>
      </c>
      <c r="AU33" s="127" t="e">
        <f t="shared" si="25"/>
        <v>#REF!</v>
      </c>
      <c r="AV33" s="127" t="e">
        <f t="shared" si="25"/>
        <v>#REF!</v>
      </c>
      <c r="AW33" s="127" t="e">
        <f t="shared" si="25"/>
        <v>#REF!</v>
      </c>
      <c r="AX33" s="127" t="e">
        <f t="shared" si="25"/>
        <v>#REF!</v>
      </c>
      <c r="AY33" s="127" t="e">
        <f t="shared" si="25"/>
        <v>#REF!</v>
      </c>
      <c r="AZ33" s="127" t="e">
        <f t="shared" si="25"/>
        <v>#REF!</v>
      </c>
      <c r="BA33" s="127" t="e">
        <f t="shared" si="25"/>
        <v>#REF!</v>
      </c>
      <c r="BB33" s="127" t="e">
        <f t="shared" si="25"/>
        <v>#REF!</v>
      </c>
      <c r="BC33" s="127" t="e">
        <f t="shared" si="25"/>
        <v>#REF!</v>
      </c>
      <c r="BD33" s="127" t="e">
        <f t="shared" si="25"/>
        <v>#REF!</v>
      </c>
      <c r="BE33" s="127" t="e">
        <f t="shared" si="25"/>
        <v>#REF!</v>
      </c>
      <c r="BF33" s="127" t="e">
        <f t="shared" si="25"/>
        <v>#REF!</v>
      </c>
      <c r="BG33" s="127" t="e">
        <f t="shared" si="16"/>
        <v>#REF!</v>
      </c>
      <c r="BH33" s="127" t="e">
        <f t="shared" si="18"/>
        <v>#REF!</v>
      </c>
      <c r="BI33" s="127" t="e">
        <f t="shared" si="18"/>
        <v>#REF!</v>
      </c>
      <c r="BJ33" s="127" t="e">
        <f t="shared" si="18"/>
        <v>#REF!</v>
      </c>
      <c r="BK33" s="127" t="e">
        <f t="shared" si="18"/>
        <v>#REF!</v>
      </c>
      <c r="BL33" s="127" t="e">
        <f t="shared" si="18"/>
        <v>#REF!</v>
      </c>
      <c r="BM33" s="127" t="e">
        <f t="shared" si="18"/>
        <v>#REF!</v>
      </c>
      <c r="BN33" s="127" t="e">
        <f t="shared" si="18"/>
        <v>#REF!</v>
      </c>
      <c r="BO33" s="127" t="e">
        <f t="shared" si="18"/>
        <v>#REF!</v>
      </c>
      <c r="BP33" s="127" t="e">
        <f t="shared" si="18"/>
        <v>#REF!</v>
      </c>
      <c r="BQ33" s="127" t="e">
        <f t="shared" si="18"/>
        <v>#REF!</v>
      </c>
      <c r="BR33" s="127" t="e">
        <f t="shared" si="18"/>
        <v>#REF!</v>
      </c>
      <c r="BS33" s="127" t="e">
        <f t="shared" si="18"/>
        <v>#REF!</v>
      </c>
      <c r="BT33" s="127" t="e">
        <f t="shared" si="19"/>
        <v>#REF!</v>
      </c>
      <c r="BU33" s="127" t="e">
        <f t="shared" si="19"/>
        <v>#REF!</v>
      </c>
      <c r="BV33" s="127" t="e">
        <f t="shared" si="19"/>
        <v>#REF!</v>
      </c>
      <c r="BW33" s="127" t="e">
        <f t="shared" si="19"/>
        <v>#REF!</v>
      </c>
      <c r="BX33" s="127" t="e">
        <f t="shared" si="19"/>
        <v>#REF!</v>
      </c>
      <c r="BY33" s="127" t="e">
        <f t="shared" si="19"/>
        <v>#REF!</v>
      </c>
      <c r="BZ33" s="127" t="e">
        <f t="shared" si="19"/>
        <v>#REF!</v>
      </c>
      <c r="CA33" s="127" t="e">
        <f t="shared" si="19"/>
        <v>#REF!</v>
      </c>
      <c r="CB33" s="127" t="e">
        <f t="shared" si="19"/>
        <v>#REF!</v>
      </c>
      <c r="CC33" s="127" t="e">
        <f t="shared" si="19"/>
        <v>#REF!</v>
      </c>
      <c r="CD33" s="127" t="e">
        <f t="shared" si="19"/>
        <v>#REF!</v>
      </c>
      <c r="CE33" s="127" t="e">
        <f t="shared" si="19"/>
        <v>#REF!</v>
      </c>
    </row>
    <row r="34" spans="1:83" ht="12.6" customHeight="1" x14ac:dyDescent="0.2">
      <c r="A34" s="106" t="e">
        <f>SHIPMENTS!#REF!</f>
        <v>#REF!</v>
      </c>
      <c r="B34" s="106" t="e">
        <f>SHIPMENTS!#REF!</f>
        <v>#REF!</v>
      </c>
      <c r="C34" s="132" t="e">
        <f>SHIPMENTS!#REF!</f>
        <v>#REF!</v>
      </c>
      <c r="D34" s="107" t="e">
        <f>IF((SHIPMENTS!#REF!)=0,"",SHIPMENTS!#REF!)</f>
        <v>#REF!</v>
      </c>
      <c r="E34" s="176" t="e">
        <f>IF((SHIPMENTS!#REF!)=0,"",SHIPMENTS!#REF!)</f>
        <v>#REF!</v>
      </c>
      <c r="F34" s="97" t="e">
        <f>VLOOKUP(A34,Items!$A$5:$J$500,9,0)</f>
        <v>#REF!</v>
      </c>
      <c r="G34" s="98" t="e">
        <f>VLOOKUP(A34,load!$A$4:$U$5001,17,0)</f>
        <v>#REF!</v>
      </c>
      <c r="H34" s="97">
        <f>Manhours!$C$27</f>
        <v>42</v>
      </c>
      <c r="I34" s="98">
        <f t="shared" si="26"/>
        <v>382.2</v>
      </c>
      <c r="J34" s="99" t="e">
        <f t="shared" si="27"/>
        <v>#REF!</v>
      </c>
      <c r="K34" s="99" t="e">
        <f t="shared" si="28"/>
        <v>#REF!</v>
      </c>
      <c r="L34" s="98">
        <f t="shared" si="29"/>
        <v>0</v>
      </c>
      <c r="M34" s="98">
        <f t="shared" si="30"/>
        <v>0</v>
      </c>
      <c r="N34" s="181">
        <f t="shared" si="10"/>
        <v>46314</v>
      </c>
      <c r="O34" s="181">
        <f t="shared" si="9"/>
        <v>46314</v>
      </c>
      <c r="P34" s="101" t="e">
        <f>VLOOKUP(A34,SHIPMENTS!$A$7:$N$171,14,0)</f>
        <v>#REF!</v>
      </c>
      <c r="Q34" s="101"/>
      <c r="R34" s="127" t="e">
        <f t="shared" si="31"/>
        <v>#REF!</v>
      </c>
      <c r="S34" s="127" t="e">
        <f t="shared" si="31"/>
        <v>#REF!</v>
      </c>
      <c r="T34" s="127" t="e">
        <f t="shared" si="31"/>
        <v>#REF!</v>
      </c>
      <c r="U34" s="127" t="e">
        <f t="shared" si="31"/>
        <v>#REF!</v>
      </c>
      <c r="V34" s="127" t="e">
        <f t="shared" si="31"/>
        <v>#REF!</v>
      </c>
      <c r="W34" s="127" t="e">
        <f t="shared" si="31"/>
        <v>#REF!</v>
      </c>
      <c r="X34" s="127" t="e">
        <f t="shared" si="31"/>
        <v>#REF!</v>
      </c>
      <c r="Y34" s="127" t="e">
        <f t="shared" si="31"/>
        <v>#REF!</v>
      </c>
      <c r="Z34" s="127" t="e">
        <f t="shared" si="31"/>
        <v>#REF!</v>
      </c>
      <c r="AA34" s="127" t="e">
        <f t="shared" si="31"/>
        <v>#REF!</v>
      </c>
      <c r="AB34" s="127" t="e">
        <f t="shared" si="31"/>
        <v>#REF!</v>
      </c>
      <c r="AC34" s="127" t="e">
        <f t="shared" si="31"/>
        <v>#REF!</v>
      </c>
      <c r="AD34" s="127" t="e">
        <f t="shared" si="31"/>
        <v>#REF!</v>
      </c>
      <c r="AE34" s="127" t="e">
        <f t="shared" si="31"/>
        <v>#REF!</v>
      </c>
      <c r="AF34" s="127" t="e">
        <f t="shared" si="31"/>
        <v>#REF!</v>
      </c>
      <c r="AG34" s="127" t="e">
        <f t="shared" si="31"/>
        <v>#REF!</v>
      </c>
      <c r="AH34" s="127" t="e">
        <f t="shared" si="25"/>
        <v>#REF!</v>
      </c>
      <c r="AI34" s="127" t="e">
        <f t="shared" si="25"/>
        <v>#REF!</v>
      </c>
      <c r="AJ34" s="127" t="e">
        <f t="shared" si="25"/>
        <v>#REF!</v>
      </c>
      <c r="AK34" s="127" t="e">
        <f t="shared" si="25"/>
        <v>#REF!</v>
      </c>
      <c r="AL34" s="127" t="e">
        <f t="shared" si="25"/>
        <v>#REF!</v>
      </c>
      <c r="AM34" s="127" t="e">
        <f t="shared" si="25"/>
        <v>#REF!</v>
      </c>
      <c r="AN34" s="127" t="e">
        <f t="shared" si="25"/>
        <v>#REF!</v>
      </c>
      <c r="AO34" s="127" t="e">
        <f t="shared" si="25"/>
        <v>#REF!</v>
      </c>
      <c r="AP34" s="127" t="e">
        <f t="shared" si="25"/>
        <v>#REF!</v>
      </c>
      <c r="AQ34" s="127" t="e">
        <f t="shared" si="25"/>
        <v>#REF!</v>
      </c>
      <c r="AR34" s="127" t="e">
        <f t="shared" si="25"/>
        <v>#REF!</v>
      </c>
      <c r="AS34" s="127" t="e">
        <f t="shared" si="25"/>
        <v>#REF!</v>
      </c>
      <c r="AT34" s="127" t="e">
        <f t="shared" si="25"/>
        <v>#REF!</v>
      </c>
      <c r="AU34" s="127" t="e">
        <f t="shared" si="25"/>
        <v>#REF!</v>
      </c>
      <c r="AV34" s="127" t="e">
        <f t="shared" si="25"/>
        <v>#REF!</v>
      </c>
      <c r="AW34" s="127" t="e">
        <f t="shared" si="25"/>
        <v>#REF!</v>
      </c>
      <c r="AX34" s="127" t="e">
        <f t="shared" si="25"/>
        <v>#REF!</v>
      </c>
      <c r="AY34" s="127" t="e">
        <f t="shared" si="25"/>
        <v>#REF!</v>
      </c>
      <c r="AZ34" s="127" t="e">
        <f t="shared" si="25"/>
        <v>#REF!</v>
      </c>
      <c r="BA34" s="127" t="e">
        <f t="shared" si="25"/>
        <v>#REF!</v>
      </c>
      <c r="BB34" s="127" t="e">
        <f t="shared" si="25"/>
        <v>#REF!</v>
      </c>
      <c r="BC34" s="127" t="e">
        <f t="shared" si="25"/>
        <v>#REF!</v>
      </c>
      <c r="BD34" s="127" t="e">
        <f t="shared" si="25"/>
        <v>#REF!</v>
      </c>
      <c r="BE34" s="127" t="e">
        <f t="shared" si="25"/>
        <v>#REF!</v>
      </c>
      <c r="BF34" s="127" t="e">
        <f t="shared" si="25"/>
        <v>#REF!</v>
      </c>
      <c r="BG34" s="127" t="e">
        <f t="shared" si="16"/>
        <v>#REF!</v>
      </c>
      <c r="BH34" s="127" t="e">
        <f t="shared" si="18"/>
        <v>#REF!</v>
      </c>
      <c r="BI34" s="127" t="e">
        <f t="shared" si="18"/>
        <v>#REF!</v>
      </c>
      <c r="BJ34" s="127" t="e">
        <f t="shared" si="18"/>
        <v>#REF!</v>
      </c>
      <c r="BK34" s="127" t="e">
        <f t="shared" si="18"/>
        <v>#REF!</v>
      </c>
      <c r="BL34" s="127" t="e">
        <f t="shared" si="18"/>
        <v>#REF!</v>
      </c>
      <c r="BM34" s="127" t="e">
        <f t="shared" si="18"/>
        <v>#REF!</v>
      </c>
      <c r="BN34" s="127" t="e">
        <f t="shared" si="18"/>
        <v>#REF!</v>
      </c>
      <c r="BO34" s="127" t="e">
        <f t="shared" si="18"/>
        <v>#REF!</v>
      </c>
      <c r="BP34" s="127" t="e">
        <f t="shared" si="18"/>
        <v>#REF!</v>
      </c>
      <c r="BQ34" s="127" t="e">
        <f t="shared" si="18"/>
        <v>#REF!</v>
      </c>
      <c r="BR34" s="127" t="e">
        <f t="shared" si="18"/>
        <v>#REF!</v>
      </c>
      <c r="BS34" s="127" t="e">
        <f t="shared" si="18"/>
        <v>#REF!</v>
      </c>
      <c r="BT34" s="127" t="e">
        <f t="shared" si="19"/>
        <v>#REF!</v>
      </c>
      <c r="BU34" s="127" t="e">
        <f t="shared" si="19"/>
        <v>#REF!</v>
      </c>
      <c r="BV34" s="127" t="e">
        <f t="shared" si="19"/>
        <v>#REF!</v>
      </c>
      <c r="BW34" s="127" t="e">
        <f t="shared" si="19"/>
        <v>#REF!</v>
      </c>
      <c r="BX34" s="127" t="e">
        <f t="shared" si="19"/>
        <v>#REF!</v>
      </c>
      <c r="BY34" s="127" t="e">
        <f t="shared" si="19"/>
        <v>#REF!</v>
      </c>
      <c r="BZ34" s="127" t="e">
        <f t="shared" si="19"/>
        <v>#REF!</v>
      </c>
      <c r="CA34" s="127" t="e">
        <f t="shared" si="19"/>
        <v>#REF!</v>
      </c>
      <c r="CB34" s="127" t="e">
        <f t="shared" si="19"/>
        <v>#REF!</v>
      </c>
      <c r="CC34" s="127" t="e">
        <f t="shared" si="19"/>
        <v>#REF!</v>
      </c>
      <c r="CD34" s="127" t="e">
        <f t="shared" si="19"/>
        <v>#REF!</v>
      </c>
      <c r="CE34" s="127" t="e">
        <f t="shared" si="19"/>
        <v>#REF!</v>
      </c>
    </row>
    <row r="35" spans="1:83" ht="12.6" customHeight="1" x14ac:dyDescent="0.2">
      <c r="A35" s="106" t="e">
        <f>SHIPMENTS!#REF!</f>
        <v>#REF!</v>
      </c>
      <c r="B35" s="106" t="e">
        <f>SHIPMENTS!#REF!</f>
        <v>#REF!</v>
      </c>
      <c r="C35" s="132" t="e">
        <f>SHIPMENTS!#REF!</f>
        <v>#REF!</v>
      </c>
      <c r="D35" s="107" t="e">
        <f>IF((SHIPMENTS!#REF!)=0,"",SHIPMENTS!#REF!)</f>
        <v>#REF!</v>
      </c>
      <c r="E35" s="176" t="e">
        <f>IF((SHIPMENTS!#REF!)=0,"",SHIPMENTS!#REF!)</f>
        <v>#REF!</v>
      </c>
      <c r="F35" s="97" t="e">
        <f>VLOOKUP(A35,Items!$A$5:$J$500,9,0)</f>
        <v>#REF!</v>
      </c>
      <c r="G35" s="98" t="e">
        <f>VLOOKUP(A35,load!$A$4:$U$5001,17,0)</f>
        <v>#REF!</v>
      </c>
      <c r="H35" s="97">
        <f>Manhours!$C$27</f>
        <v>42</v>
      </c>
      <c r="I35" s="98">
        <f t="shared" si="26"/>
        <v>382.2</v>
      </c>
      <c r="J35" s="99" t="e">
        <f t="shared" si="27"/>
        <v>#REF!</v>
      </c>
      <c r="K35" s="99" t="e">
        <f t="shared" si="28"/>
        <v>#REF!</v>
      </c>
      <c r="L35" s="98">
        <f t="shared" si="29"/>
        <v>0</v>
      </c>
      <c r="M35" s="98">
        <f t="shared" si="30"/>
        <v>0</v>
      </c>
      <c r="N35" s="181">
        <f t="shared" si="10"/>
        <v>46314</v>
      </c>
      <c r="O35" s="181">
        <f t="shared" si="9"/>
        <v>46314</v>
      </c>
      <c r="P35" s="101" t="e">
        <f>VLOOKUP(A35,SHIPMENTS!$A$7:$N$171,14,0)</f>
        <v>#REF!</v>
      </c>
      <c r="Q35" s="101"/>
      <c r="R35" s="127" t="e">
        <f t="shared" si="31"/>
        <v>#REF!</v>
      </c>
      <c r="S35" s="127" t="e">
        <f t="shared" si="31"/>
        <v>#REF!</v>
      </c>
      <c r="T35" s="127" t="e">
        <f t="shared" si="31"/>
        <v>#REF!</v>
      </c>
      <c r="U35" s="127" t="e">
        <f t="shared" si="31"/>
        <v>#REF!</v>
      </c>
      <c r="V35" s="127" t="e">
        <f t="shared" si="31"/>
        <v>#REF!</v>
      </c>
      <c r="W35" s="127" t="e">
        <f t="shared" si="31"/>
        <v>#REF!</v>
      </c>
      <c r="X35" s="127" t="e">
        <f t="shared" si="31"/>
        <v>#REF!</v>
      </c>
      <c r="Y35" s="127" t="e">
        <f t="shared" si="31"/>
        <v>#REF!</v>
      </c>
      <c r="Z35" s="127" t="e">
        <f t="shared" si="31"/>
        <v>#REF!</v>
      </c>
      <c r="AA35" s="127" t="e">
        <f t="shared" si="31"/>
        <v>#REF!</v>
      </c>
      <c r="AB35" s="127" t="e">
        <f t="shared" si="31"/>
        <v>#REF!</v>
      </c>
      <c r="AC35" s="127" t="e">
        <f t="shared" si="31"/>
        <v>#REF!</v>
      </c>
      <c r="AD35" s="127" t="e">
        <f t="shared" si="31"/>
        <v>#REF!</v>
      </c>
      <c r="AE35" s="127" t="e">
        <f t="shared" si="31"/>
        <v>#REF!</v>
      </c>
      <c r="AF35" s="127" t="e">
        <f t="shared" si="31"/>
        <v>#REF!</v>
      </c>
      <c r="AG35" s="127" t="e">
        <f t="shared" si="31"/>
        <v>#REF!</v>
      </c>
      <c r="AH35" s="127" t="e">
        <f t="shared" si="25"/>
        <v>#REF!</v>
      </c>
      <c r="AI35" s="127" t="e">
        <f t="shared" si="25"/>
        <v>#REF!</v>
      </c>
      <c r="AJ35" s="127" t="e">
        <f t="shared" si="25"/>
        <v>#REF!</v>
      </c>
      <c r="AK35" s="127" t="e">
        <f t="shared" si="25"/>
        <v>#REF!</v>
      </c>
      <c r="AL35" s="127" t="e">
        <f t="shared" si="25"/>
        <v>#REF!</v>
      </c>
      <c r="AM35" s="127" t="e">
        <f t="shared" si="25"/>
        <v>#REF!</v>
      </c>
      <c r="AN35" s="127" t="e">
        <f t="shared" si="25"/>
        <v>#REF!</v>
      </c>
      <c r="AO35" s="127" t="e">
        <f t="shared" si="25"/>
        <v>#REF!</v>
      </c>
      <c r="AP35" s="127" t="e">
        <f t="shared" si="25"/>
        <v>#REF!</v>
      </c>
      <c r="AQ35" s="127" t="e">
        <f t="shared" si="25"/>
        <v>#REF!</v>
      </c>
      <c r="AR35" s="127" t="e">
        <f t="shared" si="25"/>
        <v>#REF!</v>
      </c>
      <c r="AS35" s="127" t="e">
        <f t="shared" si="25"/>
        <v>#REF!</v>
      </c>
      <c r="AT35" s="127" t="e">
        <f t="shared" si="25"/>
        <v>#REF!</v>
      </c>
      <c r="AU35" s="127" t="e">
        <f t="shared" si="25"/>
        <v>#REF!</v>
      </c>
      <c r="AV35" s="127" t="e">
        <f t="shared" si="25"/>
        <v>#REF!</v>
      </c>
      <c r="AW35" s="127" t="e">
        <f t="shared" si="25"/>
        <v>#REF!</v>
      </c>
      <c r="AX35" s="127" t="e">
        <f t="shared" si="25"/>
        <v>#REF!</v>
      </c>
      <c r="AY35" s="127" t="e">
        <f t="shared" si="25"/>
        <v>#REF!</v>
      </c>
      <c r="AZ35" s="127" t="e">
        <f t="shared" si="25"/>
        <v>#REF!</v>
      </c>
      <c r="BA35" s="127" t="e">
        <f t="shared" si="25"/>
        <v>#REF!</v>
      </c>
      <c r="BB35" s="127" t="e">
        <f t="shared" si="25"/>
        <v>#REF!</v>
      </c>
      <c r="BC35" s="127" t="e">
        <f t="shared" si="25"/>
        <v>#REF!</v>
      </c>
      <c r="BD35" s="127" t="e">
        <f t="shared" si="25"/>
        <v>#REF!</v>
      </c>
      <c r="BE35" s="127" t="e">
        <f t="shared" si="25"/>
        <v>#REF!</v>
      </c>
      <c r="BF35" s="127" t="e">
        <f t="shared" si="25"/>
        <v>#REF!</v>
      </c>
      <c r="BG35" s="127" t="e">
        <f t="shared" si="16"/>
        <v>#REF!</v>
      </c>
      <c r="BH35" s="127" t="e">
        <f t="shared" si="18"/>
        <v>#REF!</v>
      </c>
      <c r="BI35" s="127" t="e">
        <f t="shared" si="18"/>
        <v>#REF!</v>
      </c>
      <c r="BJ35" s="127" t="e">
        <f t="shared" si="18"/>
        <v>#REF!</v>
      </c>
      <c r="BK35" s="127" t="e">
        <f t="shared" si="18"/>
        <v>#REF!</v>
      </c>
      <c r="BL35" s="127" t="e">
        <f t="shared" si="18"/>
        <v>#REF!</v>
      </c>
      <c r="BM35" s="127" t="e">
        <f t="shared" si="18"/>
        <v>#REF!</v>
      </c>
      <c r="BN35" s="127" t="e">
        <f t="shared" si="18"/>
        <v>#REF!</v>
      </c>
      <c r="BO35" s="127" t="e">
        <f t="shared" si="18"/>
        <v>#REF!</v>
      </c>
      <c r="BP35" s="127" t="e">
        <f t="shared" si="18"/>
        <v>#REF!</v>
      </c>
      <c r="BQ35" s="127" t="e">
        <f t="shared" si="18"/>
        <v>#REF!</v>
      </c>
      <c r="BR35" s="127" t="e">
        <f t="shared" si="18"/>
        <v>#REF!</v>
      </c>
      <c r="BS35" s="127" t="e">
        <f t="shared" si="18"/>
        <v>#REF!</v>
      </c>
      <c r="BT35" s="127" t="e">
        <f t="shared" si="19"/>
        <v>#REF!</v>
      </c>
      <c r="BU35" s="127" t="e">
        <f t="shared" si="19"/>
        <v>#REF!</v>
      </c>
      <c r="BV35" s="127" t="e">
        <f t="shared" si="19"/>
        <v>#REF!</v>
      </c>
      <c r="BW35" s="127" t="e">
        <f t="shared" si="19"/>
        <v>#REF!</v>
      </c>
      <c r="BX35" s="127" t="e">
        <f t="shared" si="19"/>
        <v>#REF!</v>
      </c>
      <c r="BY35" s="127" t="e">
        <f t="shared" si="19"/>
        <v>#REF!</v>
      </c>
      <c r="BZ35" s="127" t="e">
        <f t="shared" si="19"/>
        <v>#REF!</v>
      </c>
      <c r="CA35" s="127" t="e">
        <f t="shared" si="19"/>
        <v>#REF!</v>
      </c>
      <c r="CB35" s="127" t="e">
        <f t="shared" si="19"/>
        <v>#REF!</v>
      </c>
      <c r="CC35" s="127" t="e">
        <f t="shared" si="19"/>
        <v>#REF!</v>
      </c>
      <c r="CD35" s="127" t="e">
        <f t="shared" si="19"/>
        <v>#REF!</v>
      </c>
      <c r="CE35" s="127" t="e">
        <f t="shared" si="19"/>
        <v>#REF!</v>
      </c>
    </row>
    <row r="36" spans="1:83" ht="12.6" customHeight="1" x14ac:dyDescent="0.2">
      <c r="A36" s="106" t="e">
        <f>SHIPMENTS!#REF!</f>
        <v>#REF!</v>
      </c>
      <c r="B36" s="106" t="e">
        <f>SHIPMENTS!#REF!</f>
        <v>#REF!</v>
      </c>
      <c r="C36" s="132" t="e">
        <f>SHIPMENTS!#REF!</f>
        <v>#REF!</v>
      </c>
      <c r="D36" s="107" t="e">
        <f>IF((SHIPMENTS!#REF!)=0,"",SHIPMENTS!#REF!)</f>
        <v>#REF!</v>
      </c>
      <c r="E36" s="176" t="e">
        <f>IF((SHIPMENTS!#REF!)=0,"",SHIPMENTS!#REF!)</f>
        <v>#REF!</v>
      </c>
      <c r="F36" s="97" t="e">
        <f>VLOOKUP(A36,Items!$A$5:$J$500,9,0)</f>
        <v>#REF!</v>
      </c>
      <c r="G36" s="98" t="e">
        <f>VLOOKUP(A36,load!$A$4:$U$5001,17,0)</f>
        <v>#REF!</v>
      </c>
      <c r="H36" s="97">
        <f>Manhours!$C$27</f>
        <v>42</v>
      </c>
      <c r="I36" s="98">
        <f t="shared" si="26"/>
        <v>382.2</v>
      </c>
      <c r="J36" s="99" t="e">
        <f t="shared" si="27"/>
        <v>#REF!</v>
      </c>
      <c r="K36" s="99" t="e">
        <f t="shared" si="28"/>
        <v>#REF!</v>
      </c>
      <c r="L36" s="98">
        <f t="shared" si="29"/>
        <v>0</v>
      </c>
      <c r="M36" s="98">
        <f t="shared" si="30"/>
        <v>0</v>
      </c>
      <c r="N36" s="181">
        <f t="shared" si="10"/>
        <v>46314</v>
      </c>
      <c r="O36" s="181">
        <f t="shared" si="9"/>
        <v>46314</v>
      </c>
      <c r="P36" s="101" t="e">
        <f>VLOOKUP(A36,SHIPMENTS!$A$7:$N$171,14,0)</f>
        <v>#REF!</v>
      </c>
      <c r="Q36" s="101"/>
      <c r="R36" s="127" t="e">
        <f t="shared" si="31"/>
        <v>#REF!</v>
      </c>
      <c r="S36" s="127" t="e">
        <f t="shared" si="31"/>
        <v>#REF!</v>
      </c>
      <c r="T36" s="127" t="e">
        <f t="shared" si="31"/>
        <v>#REF!</v>
      </c>
      <c r="U36" s="127" t="e">
        <f t="shared" si="31"/>
        <v>#REF!</v>
      </c>
      <c r="V36" s="127" t="e">
        <f t="shared" si="31"/>
        <v>#REF!</v>
      </c>
      <c r="W36" s="127" t="e">
        <f t="shared" si="31"/>
        <v>#REF!</v>
      </c>
      <c r="X36" s="127" t="e">
        <f t="shared" si="31"/>
        <v>#REF!</v>
      </c>
      <c r="Y36" s="127" t="e">
        <f t="shared" si="31"/>
        <v>#REF!</v>
      </c>
      <c r="Z36" s="127" t="e">
        <f t="shared" si="31"/>
        <v>#REF!</v>
      </c>
      <c r="AA36" s="127" t="e">
        <f t="shared" si="31"/>
        <v>#REF!</v>
      </c>
      <c r="AB36" s="127" t="e">
        <f t="shared" si="31"/>
        <v>#REF!</v>
      </c>
      <c r="AC36" s="127" t="e">
        <f t="shared" si="31"/>
        <v>#REF!</v>
      </c>
      <c r="AD36" s="127" t="e">
        <f t="shared" si="31"/>
        <v>#REF!</v>
      </c>
      <c r="AE36" s="127" t="e">
        <f t="shared" si="31"/>
        <v>#REF!</v>
      </c>
      <c r="AF36" s="127" t="e">
        <f t="shared" si="31"/>
        <v>#REF!</v>
      </c>
      <c r="AG36" s="127" t="e">
        <f t="shared" si="31"/>
        <v>#REF!</v>
      </c>
      <c r="AH36" s="127" t="e">
        <f t="shared" si="25"/>
        <v>#REF!</v>
      </c>
      <c r="AI36" s="127" t="e">
        <f t="shared" si="25"/>
        <v>#REF!</v>
      </c>
      <c r="AJ36" s="127" t="e">
        <f t="shared" si="25"/>
        <v>#REF!</v>
      </c>
      <c r="AK36" s="127" t="e">
        <f t="shared" si="25"/>
        <v>#REF!</v>
      </c>
      <c r="AL36" s="127" t="e">
        <f t="shared" si="25"/>
        <v>#REF!</v>
      </c>
      <c r="AM36" s="127" t="e">
        <f t="shared" si="25"/>
        <v>#REF!</v>
      </c>
      <c r="AN36" s="127" t="e">
        <f t="shared" si="25"/>
        <v>#REF!</v>
      </c>
      <c r="AO36" s="127" t="e">
        <f t="shared" si="25"/>
        <v>#REF!</v>
      </c>
      <c r="AP36" s="127" t="e">
        <f t="shared" si="25"/>
        <v>#REF!</v>
      </c>
      <c r="AQ36" s="127" t="e">
        <f t="shared" si="25"/>
        <v>#REF!</v>
      </c>
      <c r="AR36" s="127" t="e">
        <f t="shared" si="25"/>
        <v>#REF!</v>
      </c>
      <c r="AS36" s="127" t="e">
        <f t="shared" si="25"/>
        <v>#REF!</v>
      </c>
      <c r="AT36" s="127" t="e">
        <f t="shared" si="25"/>
        <v>#REF!</v>
      </c>
      <c r="AU36" s="127" t="e">
        <f t="shared" si="25"/>
        <v>#REF!</v>
      </c>
      <c r="AV36" s="127" t="e">
        <f t="shared" si="25"/>
        <v>#REF!</v>
      </c>
      <c r="AW36" s="127" t="e">
        <f t="shared" si="25"/>
        <v>#REF!</v>
      </c>
      <c r="AX36" s="127" t="e">
        <f t="shared" si="25"/>
        <v>#REF!</v>
      </c>
      <c r="AY36" s="127" t="e">
        <f t="shared" si="25"/>
        <v>#REF!</v>
      </c>
      <c r="AZ36" s="127" t="e">
        <f t="shared" si="25"/>
        <v>#REF!</v>
      </c>
      <c r="BA36" s="127" t="e">
        <f t="shared" si="25"/>
        <v>#REF!</v>
      </c>
      <c r="BB36" s="127" t="e">
        <f t="shared" si="25"/>
        <v>#REF!</v>
      </c>
      <c r="BC36" s="127" t="e">
        <f t="shared" si="25"/>
        <v>#REF!</v>
      </c>
      <c r="BD36" s="127" t="e">
        <f t="shared" si="25"/>
        <v>#REF!</v>
      </c>
      <c r="BE36" s="127" t="e">
        <f t="shared" si="25"/>
        <v>#REF!</v>
      </c>
      <c r="BF36" s="127" t="e">
        <f t="shared" si="25"/>
        <v>#REF!</v>
      </c>
      <c r="BG36" s="127" t="e">
        <f t="shared" si="16"/>
        <v>#REF!</v>
      </c>
      <c r="BH36" s="127" t="e">
        <f t="shared" si="18"/>
        <v>#REF!</v>
      </c>
      <c r="BI36" s="127" t="e">
        <f t="shared" si="18"/>
        <v>#REF!</v>
      </c>
      <c r="BJ36" s="127" t="e">
        <f t="shared" si="18"/>
        <v>#REF!</v>
      </c>
      <c r="BK36" s="127" t="e">
        <f t="shared" si="18"/>
        <v>#REF!</v>
      </c>
      <c r="BL36" s="127" t="e">
        <f t="shared" si="18"/>
        <v>#REF!</v>
      </c>
      <c r="BM36" s="127" t="e">
        <f t="shared" si="18"/>
        <v>#REF!</v>
      </c>
      <c r="BN36" s="127" t="e">
        <f t="shared" si="18"/>
        <v>#REF!</v>
      </c>
      <c r="BO36" s="127" t="e">
        <f t="shared" si="18"/>
        <v>#REF!</v>
      </c>
      <c r="BP36" s="127" t="e">
        <f t="shared" si="18"/>
        <v>#REF!</v>
      </c>
      <c r="BQ36" s="127" t="e">
        <f t="shared" si="18"/>
        <v>#REF!</v>
      </c>
      <c r="BR36" s="127" t="e">
        <f t="shared" si="18"/>
        <v>#REF!</v>
      </c>
      <c r="BS36" s="127" t="e">
        <f t="shared" si="18"/>
        <v>#REF!</v>
      </c>
      <c r="BT36" s="127" t="e">
        <f t="shared" si="19"/>
        <v>#REF!</v>
      </c>
      <c r="BU36" s="127" t="e">
        <f t="shared" si="19"/>
        <v>#REF!</v>
      </c>
      <c r="BV36" s="127" t="e">
        <f t="shared" si="19"/>
        <v>#REF!</v>
      </c>
      <c r="BW36" s="127" t="e">
        <f t="shared" si="19"/>
        <v>#REF!</v>
      </c>
      <c r="BX36" s="127" t="e">
        <f t="shared" si="19"/>
        <v>#REF!</v>
      </c>
      <c r="BY36" s="127" t="e">
        <f t="shared" si="19"/>
        <v>#REF!</v>
      </c>
      <c r="BZ36" s="127" t="e">
        <f t="shared" si="19"/>
        <v>#REF!</v>
      </c>
      <c r="CA36" s="127" t="e">
        <f t="shared" si="19"/>
        <v>#REF!</v>
      </c>
      <c r="CB36" s="127" t="e">
        <f t="shared" si="19"/>
        <v>#REF!</v>
      </c>
      <c r="CC36" s="127" t="e">
        <f t="shared" si="19"/>
        <v>#REF!</v>
      </c>
      <c r="CD36" s="127" t="e">
        <f t="shared" si="19"/>
        <v>#REF!</v>
      </c>
      <c r="CE36" s="127" t="e">
        <f t="shared" si="19"/>
        <v>#REF!</v>
      </c>
    </row>
    <row r="37" spans="1:83" ht="12.6" customHeight="1" x14ac:dyDescent="0.2">
      <c r="A37" s="106" t="e">
        <f>SHIPMENTS!#REF!</f>
        <v>#REF!</v>
      </c>
      <c r="B37" s="106" t="e">
        <f>SHIPMENTS!#REF!</f>
        <v>#REF!</v>
      </c>
      <c r="C37" s="132" t="e">
        <f>SHIPMENTS!#REF!</f>
        <v>#REF!</v>
      </c>
      <c r="D37" s="107" t="e">
        <f>IF((SHIPMENTS!#REF!)=0,"",SHIPMENTS!#REF!)</f>
        <v>#REF!</v>
      </c>
      <c r="E37" s="176" t="e">
        <f>IF((SHIPMENTS!#REF!)=0,"",SHIPMENTS!#REF!)</f>
        <v>#REF!</v>
      </c>
      <c r="F37" s="97" t="e">
        <f>VLOOKUP(A37,Items!$A$5:$J$500,9,0)</f>
        <v>#REF!</v>
      </c>
      <c r="G37" s="98" t="e">
        <f>VLOOKUP(A37,load!$A$4:$U$5001,17,0)</f>
        <v>#REF!</v>
      </c>
      <c r="H37" s="97">
        <f>Manhours!$C$27</f>
        <v>42</v>
      </c>
      <c r="I37" s="98">
        <f t="shared" si="26"/>
        <v>382.2</v>
      </c>
      <c r="J37" s="99" t="e">
        <f t="shared" si="27"/>
        <v>#REF!</v>
      </c>
      <c r="K37" s="99" t="e">
        <f t="shared" si="28"/>
        <v>#REF!</v>
      </c>
      <c r="L37" s="98">
        <f t="shared" si="29"/>
        <v>0</v>
      </c>
      <c r="M37" s="98">
        <f t="shared" si="30"/>
        <v>0</v>
      </c>
      <c r="N37" s="181">
        <f t="shared" si="10"/>
        <v>46314</v>
      </c>
      <c r="O37" s="181">
        <f t="shared" si="9"/>
        <v>46314</v>
      </c>
      <c r="P37" s="101" t="e">
        <f>VLOOKUP(A37,SHIPMENTS!$A$7:$N$171,14,0)</f>
        <v>#REF!</v>
      </c>
      <c r="Q37" s="101"/>
      <c r="R37" s="127" t="e">
        <f t="shared" si="31"/>
        <v>#REF!</v>
      </c>
      <c r="S37" s="127" t="e">
        <f t="shared" si="31"/>
        <v>#REF!</v>
      </c>
      <c r="T37" s="127" t="e">
        <f t="shared" si="31"/>
        <v>#REF!</v>
      </c>
      <c r="U37" s="127" t="e">
        <f t="shared" si="31"/>
        <v>#REF!</v>
      </c>
      <c r="V37" s="127" t="e">
        <f t="shared" si="31"/>
        <v>#REF!</v>
      </c>
      <c r="W37" s="127" t="e">
        <f t="shared" si="31"/>
        <v>#REF!</v>
      </c>
      <c r="X37" s="127" t="e">
        <f t="shared" si="31"/>
        <v>#REF!</v>
      </c>
      <c r="Y37" s="127" t="e">
        <f t="shared" si="31"/>
        <v>#REF!</v>
      </c>
      <c r="Z37" s="127" t="e">
        <f t="shared" si="31"/>
        <v>#REF!</v>
      </c>
      <c r="AA37" s="127" t="e">
        <f t="shared" si="31"/>
        <v>#REF!</v>
      </c>
      <c r="AB37" s="127" t="e">
        <f t="shared" si="31"/>
        <v>#REF!</v>
      </c>
      <c r="AC37" s="127" t="e">
        <f t="shared" si="31"/>
        <v>#REF!</v>
      </c>
      <c r="AD37" s="127" t="e">
        <f t="shared" si="31"/>
        <v>#REF!</v>
      </c>
      <c r="AE37" s="127" t="e">
        <f t="shared" si="31"/>
        <v>#REF!</v>
      </c>
      <c r="AF37" s="127" t="e">
        <f t="shared" si="31"/>
        <v>#REF!</v>
      </c>
      <c r="AG37" s="127" t="e">
        <f t="shared" si="31"/>
        <v>#REF!</v>
      </c>
      <c r="AH37" s="127" t="e">
        <f t="shared" si="25"/>
        <v>#REF!</v>
      </c>
      <c r="AI37" s="127" t="e">
        <f t="shared" si="25"/>
        <v>#REF!</v>
      </c>
      <c r="AJ37" s="127" t="e">
        <f t="shared" si="25"/>
        <v>#REF!</v>
      </c>
      <c r="AK37" s="127" t="e">
        <f t="shared" si="25"/>
        <v>#REF!</v>
      </c>
      <c r="AL37" s="127" t="e">
        <f t="shared" si="25"/>
        <v>#REF!</v>
      </c>
      <c r="AM37" s="127" t="e">
        <f t="shared" si="25"/>
        <v>#REF!</v>
      </c>
      <c r="AN37" s="127" t="e">
        <f t="shared" si="25"/>
        <v>#REF!</v>
      </c>
      <c r="AO37" s="127" t="e">
        <f t="shared" si="25"/>
        <v>#REF!</v>
      </c>
      <c r="AP37" s="127" t="e">
        <f t="shared" si="25"/>
        <v>#REF!</v>
      </c>
      <c r="AQ37" s="127" t="e">
        <f t="shared" si="25"/>
        <v>#REF!</v>
      </c>
      <c r="AR37" s="127" t="e">
        <f t="shared" si="25"/>
        <v>#REF!</v>
      </c>
      <c r="AS37" s="127" t="e">
        <f t="shared" si="25"/>
        <v>#REF!</v>
      </c>
      <c r="AT37" s="127" t="e">
        <f t="shared" si="25"/>
        <v>#REF!</v>
      </c>
      <c r="AU37" s="127" t="e">
        <f t="shared" si="25"/>
        <v>#REF!</v>
      </c>
      <c r="AV37" s="127" t="e">
        <f t="shared" si="25"/>
        <v>#REF!</v>
      </c>
      <c r="AW37" s="127" t="e">
        <f t="shared" si="25"/>
        <v>#REF!</v>
      </c>
      <c r="AX37" s="127" t="e">
        <f t="shared" si="25"/>
        <v>#REF!</v>
      </c>
      <c r="AY37" s="127" t="e">
        <f t="shared" si="25"/>
        <v>#REF!</v>
      </c>
      <c r="AZ37" s="127" t="e">
        <f t="shared" si="25"/>
        <v>#REF!</v>
      </c>
      <c r="BA37" s="127" t="e">
        <f t="shared" si="25"/>
        <v>#REF!</v>
      </c>
      <c r="BB37" s="127" t="e">
        <f t="shared" si="25"/>
        <v>#REF!</v>
      </c>
      <c r="BC37" s="127" t="e">
        <f t="shared" si="25"/>
        <v>#REF!</v>
      </c>
      <c r="BD37" s="127" t="e">
        <f t="shared" si="25"/>
        <v>#REF!</v>
      </c>
      <c r="BE37" s="127" t="e">
        <f t="shared" si="25"/>
        <v>#REF!</v>
      </c>
      <c r="BF37" s="127" t="e">
        <f t="shared" si="25"/>
        <v>#REF!</v>
      </c>
      <c r="BG37" s="127" t="e">
        <f t="shared" ref="BG37:BL48" si="32">IF($E37=BG$3,"▲","")</f>
        <v>#REF!</v>
      </c>
      <c r="BH37" s="127" t="e">
        <f t="shared" si="18"/>
        <v>#REF!</v>
      </c>
      <c r="BI37" s="127" t="e">
        <f t="shared" si="18"/>
        <v>#REF!</v>
      </c>
      <c r="BJ37" s="127" t="e">
        <f t="shared" si="18"/>
        <v>#REF!</v>
      </c>
      <c r="BK37" s="127" t="e">
        <f t="shared" si="18"/>
        <v>#REF!</v>
      </c>
      <c r="BL37" s="127" t="e">
        <f t="shared" si="18"/>
        <v>#REF!</v>
      </c>
      <c r="BM37" s="127" t="e">
        <f t="shared" si="18"/>
        <v>#REF!</v>
      </c>
      <c r="BN37" s="127" t="e">
        <f t="shared" si="18"/>
        <v>#REF!</v>
      </c>
      <c r="BO37" s="127" t="e">
        <f t="shared" si="18"/>
        <v>#REF!</v>
      </c>
      <c r="BP37" s="127" t="e">
        <f t="shared" si="18"/>
        <v>#REF!</v>
      </c>
      <c r="BQ37" s="127" t="e">
        <f t="shared" si="18"/>
        <v>#REF!</v>
      </c>
      <c r="BR37" s="127" t="e">
        <f t="shared" si="18"/>
        <v>#REF!</v>
      </c>
      <c r="BS37" s="127" t="e">
        <f t="shared" si="18"/>
        <v>#REF!</v>
      </c>
      <c r="BT37" s="127" t="e">
        <f t="shared" si="19"/>
        <v>#REF!</v>
      </c>
      <c r="BU37" s="127" t="e">
        <f t="shared" si="19"/>
        <v>#REF!</v>
      </c>
      <c r="BV37" s="127" t="e">
        <f t="shared" si="19"/>
        <v>#REF!</v>
      </c>
      <c r="BW37" s="127" t="e">
        <f t="shared" si="19"/>
        <v>#REF!</v>
      </c>
      <c r="BX37" s="127" t="e">
        <f t="shared" si="19"/>
        <v>#REF!</v>
      </c>
      <c r="BY37" s="127" t="e">
        <f t="shared" si="19"/>
        <v>#REF!</v>
      </c>
      <c r="BZ37" s="127" t="e">
        <f t="shared" si="19"/>
        <v>#REF!</v>
      </c>
      <c r="CA37" s="127" t="e">
        <f t="shared" si="19"/>
        <v>#REF!</v>
      </c>
      <c r="CB37" s="127" t="e">
        <f t="shared" si="19"/>
        <v>#REF!</v>
      </c>
      <c r="CC37" s="127" t="e">
        <f t="shared" si="19"/>
        <v>#REF!</v>
      </c>
      <c r="CD37" s="127" t="e">
        <f t="shared" si="19"/>
        <v>#REF!</v>
      </c>
      <c r="CE37" s="127" t="e">
        <f t="shared" si="19"/>
        <v>#REF!</v>
      </c>
    </row>
    <row r="38" spans="1:83" ht="12.6" customHeight="1" x14ac:dyDescent="0.2">
      <c r="A38" s="106" t="e">
        <f>SHIPMENTS!#REF!</f>
        <v>#REF!</v>
      </c>
      <c r="B38" s="106" t="e">
        <f>SHIPMENTS!#REF!</f>
        <v>#REF!</v>
      </c>
      <c r="C38" s="132" t="e">
        <f>SHIPMENTS!#REF!</f>
        <v>#REF!</v>
      </c>
      <c r="D38" s="107" t="e">
        <f>IF((SHIPMENTS!#REF!)=0,"",SHIPMENTS!#REF!)</f>
        <v>#REF!</v>
      </c>
      <c r="E38" s="176" t="e">
        <f>IF((SHIPMENTS!#REF!)=0,"",SHIPMENTS!#REF!)</f>
        <v>#REF!</v>
      </c>
      <c r="F38" s="97" t="e">
        <f>VLOOKUP(A38,Items!$A$5:$J$500,9,0)</f>
        <v>#REF!</v>
      </c>
      <c r="G38" s="98" t="e">
        <f>VLOOKUP(A38,load!$A$4:$U$5001,17,0)</f>
        <v>#REF!</v>
      </c>
      <c r="H38" s="97">
        <f>Manhours!$C$27</f>
        <v>42</v>
      </c>
      <c r="I38" s="98">
        <f t="shared" si="26"/>
        <v>382.2</v>
      </c>
      <c r="J38" s="99" t="e">
        <f t="shared" si="27"/>
        <v>#REF!</v>
      </c>
      <c r="K38" s="99" t="e">
        <f t="shared" si="28"/>
        <v>#REF!</v>
      </c>
      <c r="L38" s="98">
        <f t="shared" si="29"/>
        <v>0</v>
      </c>
      <c r="M38" s="98">
        <f t="shared" si="30"/>
        <v>0</v>
      </c>
      <c r="N38" s="181">
        <f t="shared" si="10"/>
        <v>46314</v>
      </c>
      <c r="O38" s="181">
        <f t="shared" si="9"/>
        <v>46314</v>
      </c>
      <c r="P38" s="101" t="e">
        <f>VLOOKUP(A38,SHIPMENTS!$A$7:$N$171,14,0)</f>
        <v>#REF!</v>
      </c>
      <c r="Q38" s="101"/>
      <c r="R38" s="127" t="e">
        <f t="shared" si="31"/>
        <v>#REF!</v>
      </c>
      <c r="S38" s="127" t="e">
        <f t="shared" si="31"/>
        <v>#REF!</v>
      </c>
      <c r="T38" s="127" t="e">
        <f t="shared" si="31"/>
        <v>#REF!</v>
      </c>
      <c r="U38" s="127" t="e">
        <f t="shared" si="31"/>
        <v>#REF!</v>
      </c>
      <c r="V38" s="127" t="e">
        <f t="shared" si="31"/>
        <v>#REF!</v>
      </c>
      <c r="W38" s="127" t="e">
        <f t="shared" si="31"/>
        <v>#REF!</v>
      </c>
      <c r="X38" s="127" t="e">
        <f t="shared" si="31"/>
        <v>#REF!</v>
      </c>
      <c r="Y38" s="127" t="e">
        <f t="shared" si="31"/>
        <v>#REF!</v>
      </c>
      <c r="Z38" s="127" t="e">
        <f t="shared" si="31"/>
        <v>#REF!</v>
      </c>
      <c r="AA38" s="127" t="e">
        <f t="shared" si="31"/>
        <v>#REF!</v>
      </c>
      <c r="AB38" s="127" t="e">
        <f t="shared" si="31"/>
        <v>#REF!</v>
      </c>
      <c r="AC38" s="127" t="e">
        <f t="shared" si="31"/>
        <v>#REF!</v>
      </c>
      <c r="AD38" s="127" t="e">
        <f t="shared" si="31"/>
        <v>#REF!</v>
      </c>
      <c r="AE38" s="127" t="e">
        <f t="shared" si="31"/>
        <v>#REF!</v>
      </c>
      <c r="AF38" s="127" t="e">
        <f t="shared" si="31"/>
        <v>#REF!</v>
      </c>
      <c r="AG38" s="127" t="e">
        <f t="shared" si="31"/>
        <v>#REF!</v>
      </c>
      <c r="AH38" s="127" t="e">
        <f t="shared" si="25"/>
        <v>#REF!</v>
      </c>
      <c r="AI38" s="127" t="e">
        <f t="shared" si="25"/>
        <v>#REF!</v>
      </c>
      <c r="AJ38" s="127" t="e">
        <f t="shared" si="25"/>
        <v>#REF!</v>
      </c>
      <c r="AK38" s="127" t="e">
        <f t="shared" si="25"/>
        <v>#REF!</v>
      </c>
      <c r="AL38" s="127" t="e">
        <f t="shared" si="25"/>
        <v>#REF!</v>
      </c>
      <c r="AM38" s="127" t="e">
        <f t="shared" ref="AM38:BB48" si="33">IF($E38=AM$3,"▲","")</f>
        <v>#REF!</v>
      </c>
      <c r="AN38" s="127" t="e">
        <f t="shared" si="33"/>
        <v>#REF!</v>
      </c>
      <c r="AO38" s="127" t="e">
        <f t="shared" si="33"/>
        <v>#REF!</v>
      </c>
      <c r="AP38" s="127" t="e">
        <f t="shared" si="33"/>
        <v>#REF!</v>
      </c>
      <c r="AQ38" s="127" t="e">
        <f t="shared" si="33"/>
        <v>#REF!</v>
      </c>
      <c r="AR38" s="127" t="e">
        <f t="shared" si="33"/>
        <v>#REF!</v>
      </c>
      <c r="AS38" s="127" t="e">
        <f t="shared" si="33"/>
        <v>#REF!</v>
      </c>
      <c r="AT38" s="127" t="e">
        <f t="shared" si="33"/>
        <v>#REF!</v>
      </c>
      <c r="AU38" s="127" t="e">
        <f t="shared" si="33"/>
        <v>#REF!</v>
      </c>
      <c r="AV38" s="127" t="e">
        <f t="shared" si="33"/>
        <v>#REF!</v>
      </c>
      <c r="AW38" s="127" t="e">
        <f t="shared" si="33"/>
        <v>#REF!</v>
      </c>
      <c r="AX38" s="127" t="e">
        <f t="shared" si="33"/>
        <v>#REF!</v>
      </c>
      <c r="AY38" s="127" t="e">
        <f t="shared" si="33"/>
        <v>#REF!</v>
      </c>
      <c r="AZ38" s="127" t="e">
        <f t="shared" si="33"/>
        <v>#REF!</v>
      </c>
      <c r="BA38" s="127" t="e">
        <f t="shared" si="33"/>
        <v>#REF!</v>
      </c>
      <c r="BB38" s="127" t="e">
        <f t="shared" si="33"/>
        <v>#REF!</v>
      </c>
      <c r="BC38" s="127" t="e">
        <f t="shared" ref="BC38:BF48" si="34">IF($E38=BC$3,"▲","")</f>
        <v>#REF!</v>
      </c>
      <c r="BD38" s="127" t="e">
        <f t="shared" si="34"/>
        <v>#REF!</v>
      </c>
      <c r="BE38" s="127" t="e">
        <f t="shared" si="34"/>
        <v>#REF!</v>
      </c>
      <c r="BF38" s="127" t="e">
        <f t="shared" si="34"/>
        <v>#REF!</v>
      </c>
      <c r="BG38" s="127" t="e">
        <f t="shared" si="32"/>
        <v>#REF!</v>
      </c>
      <c r="BH38" s="127" t="e">
        <f t="shared" si="18"/>
        <v>#REF!</v>
      </c>
      <c r="BI38" s="127" t="e">
        <f t="shared" si="18"/>
        <v>#REF!</v>
      </c>
      <c r="BJ38" s="127" t="e">
        <f t="shared" si="18"/>
        <v>#REF!</v>
      </c>
      <c r="BK38" s="127" t="e">
        <f t="shared" si="18"/>
        <v>#REF!</v>
      </c>
      <c r="BL38" s="127" t="e">
        <f t="shared" si="18"/>
        <v>#REF!</v>
      </c>
      <c r="BM38" s="127" t="e">
        <f t="shared" si="18"/>
        <v>#REF!</v>
      </c>
      <c r="BN38" s="127" t="e">
        <f t="shared" si="18"/>
        <v>#REF!</v>
      </c>
      <c r="BO38" s="127" t="e">
        <f t="shared" si="18"/>
        <v>#REF!</v>
      </c>
      <c r="BP38" s="127" t="e">
        <f t="shared" si="18"/>
        <v>#REF!</v>
      </c>
      <c r="BQ38" s="127" t="e">
        <f t="shared" si="18"/>
        <v>#REF!</v>
      </c>
      <c r="BR38" s="127" t="e">
        <f t="shared" si="18"/>
        <v>#REF!</v>
      </c>
      <c r="BS38" s="127" t="e">
        <f t="shared" si="18"/>
        <v>#REF!</v>
      </c>
      <c r="BT38" s="127" t="e">
        <f t="shared" si="19"/>
        <v>#REF!</v>
      </c>
      <c r="BU38" s="127" t="e">
        <f t="shared" si="19"/>
        <v>#REF!</v>
      </c>
      <c r="BV38" s="127" t="e">
        <f t="shared" si="19"/>
        <v>#REF!</v>
      </c>
      <c r="BW38" s="127" t="e">
        <f t="shared" si="19"/>
        <v>#REF!</v>
      </c>
      <c r="BX38" s="127" t="e">
        <f t="shared" si="19"/>
        <v>#REF!</v>
      </c>
      <c r="BY38" s="127" t="e">
        <f t="shared" si="19"/>
        <v>#REF!</v>
      </c>
      <c r="BZ38" s="127" t="e">
        <f t="shared" si="19"/>
        <v>#REF!</v>
      </c>
      <c r="CA38" s="127" t="e">
        <f t="shared" si="19"/>
        <v>#REF!</v>
      </c>
      <c r="CB38" s="127" t="e">
        <f t="shared" si="19"/>
        <v>#REF!</v>
      </c>
      <c r="CC38" s="127" t="e">
        <f t="shared" si="19"/>
        <v>#REF!</v>
      </c>
      <c r="CD38" s="127" t="e">
        <f t="shared" si="19"/>
        <v>#REF!</v>
      </c>
      <c r="CE38" s="127" t="e">
        <f t="shared" si="19"/>
        <v>#REF!</v>
      </c>
    </row>
    <row r="39" spans="1:83" ht="12.6" hidden="1" customHeight="1" x14ac:dyDescent="0.2">
      <c r="A39" s="106" t="e">
        <f>SHIPMENTS!#REF!</f>
        <v>#REF!</v>
      </c>
      <c r="B39" s="106" t="e">
        <f>SHIPMENTS!#REF!</f>
        <v>#REF!</v>
      </c>
      <c r="C39" s="132" t="e">
        <f>SHIPMENTS!#REF!</f>
        <v>#REF!</v>
      </c>
      <c r="D39" s="107" t="e">
        <f>IF((SHIPMENTS!#REF!)=0,"",SHIPMENTS!#REF!)</f>
        <v>#REF!</v>
      </c>
      <c r="E39" s="176" t="e">
        <f>IF((SHIPMENTS!#REF!)=0,"",SHIPMENTS!#REF!)</f>
        <v>#REF!</v>
      </c>
      <c r="F39" s="97" t="e">
        <f>VLOOKUP(A39,Items!$A$5:$J$500,9,0)</f>
        <v>#REF!</v>
      </c>
      <c r="G39" s="98" t="e">
        <f>VLOOKUP(A39,load!$A$4:$U$5001,17,0)</f>
        <v>#REF!</v>
      </c>
      <c r="H39" s="97">
        <f>Manhours!$C$27</f>
        <v>42</v>
      </c>
      <c r="I39" s="98">
        <f t="shared" si="26"/>
        <v>382.2</v>
      </c>
      <c r="J39" s="99" t="e">
        <f t="shared" si="27"/>
        <v>#REF!</v>
      </c>
      <c r="K39" s="99" t="e">
        <f t="shared" si="28"/>
        <v>#REF!</v>
      </c>
      <c r="L39" s="98">
        <f t="shared" si="29"/>
        <v>0</v>
      </c>
      <c r="M39" s="98">
        <f t="shared" si="30"/>
        <v>0</v>
      </c>
      <c r="N39" s="181">
        <f t="shared" si="10"/>
        <v>46314</v>
      </c>
      <c r="O39" s="181">
        <f t="shared" si="9"/>
        <v>46314</v>
      </c>
      <c r="P39" s="101" t="e">
        <f>VLOOKUP(A39,SHIPMENTS!$A$7:$N$171,14,0)</f>
        <v>#REF!</v>
      </c>
      <c r="Q39" s="101"/>
      <c r="R39" s="127" t="e">
        <f t="shared" si="31"/>
        <v>#REF!</v>
      </c>
      <c r="S39" s="127" t="e">
        <f t="shared" si="31"/>
        <v>#REF!</v>
      </c>
      <c r="T39" s="127" t="e">
        <f t="shared" si="31"/>
        <v>#REF!</v>
      </c>
      <c r="U39" s="127" t="e">
        <f t="shared" si="31"/>
        <v>#REF!</v>
      </c>
      <c r="V39" s="127" t="e">
        <f t="shared" si="31"/>
        <v>#REF!</v>
      </c>
      <c r="W39" s="127" t="e">
        <f t="shared" si="31"/>
        <v>#REF!</v>
      </c>
      <c r="X39" s="127" t="e">
        <f t="shared" si="31"/>
        <v>#REF!</v>
      </c>
      <c r="Y39" s="127" t="e">
        <f t="shared" si="31"/>
        <v>#REF!</v>
      </c>
      <c r="Z39" s="127" t="e">
        <f t="shared" si="31"/>
        <v>#REF!</v>
      </c>
      <c r="AA39" s="127" t="e">
        <f t="shared" si="31"/>
        <v>#REF!</v>
      </c>
      <c r="AB39" s="127" t="e">
        <f t="shared" si="31"/>
        <v>#REF!</v>
      </c>
      <c r="AC39" s="127" t="e">
        <f t="shared" si="31"/>
        <v>#REF!</v>
      </c>
      <c r="AD39" s="127" t="e">
        <f t="shared" si="31"/>
        <v>#REF!</v>
      </c>
      <c r="AE39" s="127" t="e">
        <f t="shared" si="31"/>
        <v>#REF!</v>
      </c>
      <c r="AF39" s="127" t="e">
        <f t="shared" si="31"/>
        <v>#REF!</v>
      </c>
      <c r="AG39" s="127" t="e">
        <f t="shared" si="31"/>
        <v>#REF!</v>
      </c>
      <c r="AH39" s="127" t="e">
        <f t="shared" ref="AH39:AW48" si="35">IF($E39=AH$3,"▲","")</f>
        <v>#REF!</v>
      </c>
      <c r="AI39" s="127" t="e">
        <f t="shared" si="35"/>
        <v>#REF!</v>
      </c>
      <c r="AJ39" s="127" t="e">
        <f t="shared" si="35"/>
        <v>#REF!</v>
      </c>
      <c r="AK39" s="127" t="e">
        <f t="shared" si="35"/>
        <v>#REF!</v>
      </c>
      <c r="AL39" s="127" t="e">
        <f t="shared" si="35"/>
        <v>#REF!</v>
      </c>
      <c r="AM39" s="127" t="e">
        <f t="shared" si="35"/>
        <v>#REF!</v>
      </c>
      <c r="AN39" s="127" t="e">
        <f t="shared" si="35"/>
        <v>#REF!</v>
      </c>
      <c r="AO39" s="127" t="e">
        <f t="shared" si="35"/>
        <v>#REF!</v>
      </c>
      <c r="AP39" s="127" t="e">
        <f t="shared" si="35"/>
        <v>#REF!</v>
      </c>
      <c r="AQ39" s="127" t="e">
        <f t="shared" si="35"/>
        <v>#REF!</v>
      </c>
      <c r="AR39" s="127" t="e">
        <f t="shared" si="35"/>
        <v>#REF!</v>
      </c>
      <c r="AS39" s="127" t="e">
        <f t="shared" si="35"/>
        <v>#REF!</v>
      </c>
      <c r="AT39" s="127" t="e">
        <f t="shared" si="35"/>
        <v>#REF!</v>
      </c>
      <c r="AU39" s="127" t="e">
        <f t="shared" si="35"/>
        <v>#REF!</v>
      </c>
      <c r="AV39" s="127" t="e">
        <f t="shared" si="35"/>
        <v>#REF!</v>
      </c>
      <c r="AW39" s="127" t="e">
        <f t="shared" si="35"/>
        <v>#REF!</v>
      </c>
      <c r="AX39" s="127" t="e">
        <f t="shared" si="33"/>
        <v>#REF!</v>
      </c>
      <c r="AY39" s="127" t="e">
        <f t="shared" si="33"/>
        <v>#REF!</v>
      </c>
      <c r="AZ39" s="127" t="e">
        <f t="shared" si="33"/>
        <v>#REF!</v>
      </c>
      <c r="BA39" s="127" t="e">
        <f t="shared" si="33"/>
        <v>#REF!</v>
      </c>
      <c r="BB39" s="127" t="e">
        <f t="shared" si="33"/>
        <v>#REF!</v>
      </c>
      <c r="BC39" s="127" t="e">
        <f t="shared" si="34"/>
        <v>#REF!</v>
      </c>
      <c r="BD39" s="127" t="e">
        <f t="shared" si="34"/>
        <v>#REF!</v>
      </c>
      <c r="BE39" s="127" t="e">
        <f t="shared" si="34"/>
        <v>#REF!</v>
      </c>
      <c r="BF39" s="127" t="e">
        <f t="shared" si="34"/>
        <v>#REF!</v>
      </c>
      <c r="BG39" s="127" t="e">
        <f t="shared" si="32"/>
        <v>#REF!</v>
      </c>
      <c r="BH39" s="127" t="e">
        <f t="shared" si="18"/>
        <v>#REF!</v>
      </c>
      <c r="BI39" s="127" t="e">
        <f t="shared" si="18"/>
        <v>#REF!</v>
      </c>
      <c r="BJ39" s="127" t="e">
        <f t="shared" si="18"/>
        <v>#REF!</v>
      </c>
      <c r="BK39" s="127" t="e">
        <f t="shared" si="18"/>
        <v>#REF!</v>
      </c>
      <c r="BL39" s="127" t="e">
        <f t="shared" si="18"/>
        <v>#REF!</v>
      </c>
      <c r="BM39" s="127" t="e">
        <f t="shared" si="18"/>
        <v>#REF!</v>
      </c>
      <c r="BN39" s="127" t="e">
        <f t="shared" si="18"/>
        <v>#REF!</v>
      </c>
      <c r="BO39" s="127" t="e">
        <f t="shared" si="18"/>
        <v>#REF!</v>
      </c>
      <c r="BP39" s="127" t="e">
        <f t="shared" si="18"/>
        <v>#REF!</v>
      </c>
      <c r="BQ39" s="127" t="e">
        <f t="shared" si="18"/>
        <v>#REF!</v>
      </c>
      <c r="BR39" s="127" t="e">
        <f t="shared" si="18"/>
        <v>#REF!</v>
      </c>
      <c r="BS39" s="127" t="e">
        <f t="shared" si="18"/>
        <v>#REF!</v>
      </c>
      <c r="BT39" s="127" t="e">
        <f t="shared" si="19"/>
        <v>#REF!</v>
      </c>
      <c r="BU39" s="127" t="e">
        <f t="shared" si="19"/>
        <v>#REF!</v>
      </c>
      <c r="BV39" s="127" t="e">
        <f t="shared" si="19"/>
        <v>#REF!</v>
      </c>
      <c r="BW39" s="127" t="e">
        <f t="shared" si="19"/>
        <v>#REF!</v>
      </c>
      <c r="BX39" s="127" t="e">
        <f t="shared" si="19"/>
        <v>#REF!</v>
      </c>
      <c r="BY39" s="127" t="e">
        <f t="shared" si="19"/>
        <v>#REF!</v>
      </c>
      <c r="BZ39" s="127" t="e">
        <f t="shared" si="19"/>
        <v>#REF!</v>
      </c>
      <c r="CA39" s="127" t="e">
        <f t="shared" si="19"/>
        <v>#REF!</v>
      </c>
      <c r="CB39" s="127" t="e">
        <f t="shared" si="19"/>
        <v>#REF!</v>
      </c>
      <c r="CC39" s="127" t="e">
        <f t="shared" si="19"/>
        <v>#REF!</v>
      </c>
      <c r="CD39" s="127" t="e">
        <f t="shared" si="19"/>
        <v>#REF!</v>
      </c>
      <c r="CE39" s="127" t="e">
        <f t="shared" si="19"/>
        <v>#REF!</v>
      </c>
    </row>
    <row r="40" spans="1:83" ht="12.6" hidden="1" customHeight="1" x14ac:dyDescent="0.2">
      <c r="A40" s="106" t="e">
        <f>SHIPMENTS!#REF!</f>
        <v>#REF!</v>
      </c>
      <c r="B40" s="106" t="e">
        <f>SHIPMENTS!#REF!</f>
        <v>#REF!</v>
      </c>
      <c r="C40" s="132" t="e">
        <f>SHIPMENTS!#REF!</f>
        <v>#REF!</v>
      </c>
      <c r="D40" s="107" t="e">
        <f>IF((SHIPMENTS!#REF!)=0,"",SHIPMENTS!#REF!)</f>
        <v>#REF!</v>
      </c>
      <c r="E40" s="176" t="e">
        <f>IF((SHIPMENTS!#REF!)=0,"",SHIPMENTS!#REF!)</f>
        <v>#REF!</v>
      </c>
      <c r="F40" s="97" t="e">
        <f>VLOOKUP(A40,Items!$A$5:$J$500,9,0)</f>
        <v>#REF!</v>
      </c>
      <c r="G40" s="98" t="e">
        <f>VLOOKUP(A40,load!$A$4:$U$5001,17,0)</f>
        <v>#REF!</v>
      </c>
      <c r="H40" s="97">
        <f>Manhours!$C$27</f>
        <v>42</v>
      </c>
      <c r="I40" s="98">
        <f t="shared" si="26"/>
        <v>382.2</v>
      </c>
      <c r="J40" s="99" t="e">
        <f t="shared" si="27"/>
        <v>#REF!</v>
      </c>
      <c r="K40" s="99" t="e">
        <f t="shared" si="28"/>
        <v>#REF!</v>
      </c>
      <c r="L40" s="98">
        <f t="shared" si="29"/>
        <v>0</v>
      </c>
      <c r="M40" s="98">
        <f t="shared" si="30"/>
        <v>0</v>
      </c>
      <c r="N40" s="181">
        <f t="shared" si="10"/>
        <v>46314</v>
      </c>
      <c r="O40" s="181">
        <f t="shared" si="9"/>
        <v>46314</v>
      </c>
      <c r="P40" s="101" t="e">
        <f>VLOOKUP(A40,SHIPMENTS!$A$7:$N$171,14,0)</f>
        <v>#REF!</v>
      </c>
      <c r="Q40" s="101"/>
      <c r="R40" s="127" t="e">
        <f t="shared" si="31"/>
        <v>#REF!</v>
      </c>
      <c r="S40" s="127" t="e">
        <f t="shared" si="31"/>
        <v>#REF!</v>
      </c>
      <c r="T40" s="127" t="e">
        <f t="shared" si="31"/>
        <v>#REF!</v>
      </c>
      <c r="U40" s="127" t="e">
        <f t="shared" si="31"/>
        <v>#REF!</v>
      </c>
      <c r="V40" s="127" t="e">
        <f t="shared" si="31"/>
        <v>#REF!</v>
      </c>
      <c r="W40" s="127" t="e">
        <f t="shared" si="31"/>
        <v>#REF!</v>
      </c>
      <c r="X40" s="127" t="e">
        <f t="shared" si="31"/>
        <v>#REF!</v>
      </c>
      <c r="Y40" s="127" t="e">
        <f t="shared" si="31"/>
        <v>#REF!</v>
      </c>
      <c r="Z40" s="127" t="e">
        <f t="shared" si="31"/>
        <v>#REF!</v>
      </c>
      <c r="AA40" s="127" t="e">
        <f t="shared" si="31"/>
        <v>#REF!</v>
      </c>
      <c r="AB40" s="127" t="e">
        <f t="shared" si="31"/>
        <v>#REF!</v>
      </c>
      <c r="AC40" s="127" t="e">
        <f t="shared" si="31"/>
        <v>#REF!</v>
      </c>
      <c r="AD40" s="127" t="e">
        <f t="shared" si="31"/>
        <v>#REF!</v>
      </c>
      <c r="AE40" s="127" t="e">
        <f t="shared" si="31"/>
        <v>#REF!</v>
      </c>
      <c r="AF40" s="127" t="e">
        <f t="shared" si="31"/>
        <v>#REF!</v>
      </c>
      <c r="AG40" s="127" t="e">
        <f t="shared" si="31"/>
        <v>#REF!</v>
      </c>
      <c r="AH40" s="127" t="e">
        <f t="shared" si="35"/>
        <v>#REF!</v>
      </c>
      <c r="AI40" s="127" t="e">
        <f t="shared" si="35"/>
        <v>#REF!</v>
      </c>
      <c r="AJ40" s="127" t="e">
        <f t="shared" si="35"/>
        <v>#REF!</v>
      </c>
      <c r="AK40" s="127" t="e">
        <f t="shared" si="35"/>
        <v>#REF!</v>
      </c>
      <c r="AL40" s="127" t="e">
        <f t="shared" si="35"/>
        <v>#REF!</v>
      </c>
      <c r="AM40" s="127" t="e">
        <f t="shared" si="35"/>
        <v>#REF!</v>
      </c>
      <c r="AN40" s="127" t="e">
        <f t="shared" si="35"/>
        <v>#REF!</v>
      </c>
      <c r="AO40" s="127" t="e">
        <f t="shared" si="35"/>
        <v>#REF!</v>
      </c>
      <c r="AP40" s="127" t="e">
        <f t="shared" si="35"/>
        <v>#REF!</v>
      </c>
      <c r="AQ40" s="127" t="e">
        <f t="shared" si="35"/>
        <v>#REF!</v>
      </c>
      <c r="AR40" s="127" t="e">
        <f t="shared" si="35"/>
        <v>#REF!</v>
      </c>
      <c r="AS40" s="127" t="e">
        <f t="shared" si="35"/>
        <v>#REF!</v>
      </c>
      <c r="AT40" s="127" t="e">
        <f t="shared" si="35"/>
        <v>#REF!</v>
      </c>
      <c r="AU40" s="127" t="e">
        <f t="shared" si="35"/>
        <v>#REF!</v>
      </c>
      <c r="AV40" s="127" t="e">
        <f t="shared" si="35"/>
        <v>#REF!</v>
      </c>
      <c r="AW40" s="127" t="e">
        <f t="shared" si="35"/>
        <v>#REF!</v>
      </c>
      <c r="AX40" s="127" t="e">
        <f t="shared" si="33"/>
        <v>#REF!</v>
      </c>
      <c r="AY40" s="127" t="e">
        <f t="shared" si="33"/>
        <v>#REF!</v>
      </c>
      <c r="AZ40" s="127" t="e">
        <f t="shared" si="33"/>
        <v>#REF!</v>
      </c>
      <c r="BA40" s="127" t="e">
        <f t="shared" si="33"/>
        <v>#REF!</v>
      </c>
      <c r="BB40" s="127" t="e">
        <f t="shared" si="33"/>
        <v>#REF!</v>
      </c>
      <c r="BC40" s="127" t="e">
        <f t="shared" si="34"/>
        <v>#REF!</v>
      </c>
      <c r="BD40" s="127" t="e">
        <f t="shared" si="34"/>
        <v>#REF!</v>
      </c>
      <c r="BE40" s="127" t="e">
        <f t="shared" si="34"/>
        <v>#REF!</v>
      </c>
      <c r="BF40" s="127" t="e">
        <f t="shared" si="34"/>
        <v>#REF!</v>
      </c>
      <c r="BG40" s="127" t="e">
        <f t="shared" si="32"/>
        <v>#REF!</v>
      </c>
      <c r="BH40" s="127" t="e">
        <f t="shared" si="32"/>
        <v>#REF!</v>
      </c>
      <c r="BI40" s="127" t="e">
        <f t="shared" si="32"/>
        <v>#REF!</v>
      </c>
      <c r="BJ40" s="127" t="e">
        <f t="shared" si="32"/>
        <v>#REF!</v>
      </c>
      <c r="BK40" s="127" t="e">
        <f t="shared" si="32"/>
        <v>#REF!</v>
      </c>
      <c r="BL40" s="127" t="e">
        <f t="shared" si="32"/>
        <v>#REF!</v>
      </c>
      <c r="BM40" s="127" t="e">
        <f t="shared" ref="BM40:CB48" si="36">IF($E40=BM$3,"▲","")</f>
        <v>#REF!</v>
      </c>
      <c r="BN40" s="127" t="e">
        <f t="shared" si="36"/>
        <v>#REF!</v>
      </c>
      <c r="BO40" s="127" t="e">
        <f t="shared" si="36"/>
        <v>#REF!</v>
      </c>
      <c r="BP40" s="127" t="e">
        <f t="shared" si="36"/>
        <v>#REF!</v>
      </c>
      <c r="BQ40" s="127" t="e">
        <f t="shared" si="36"/>
        <v>#REF!</v>
      </c>
      <c r="BR40" s="127" t="e">
        <f t="shared" si="36"/>
        <v>#REF!</v>
      </c>
      <c r="BS40" s="127" t="e">
        <f t="shared" si="36"/>
        <v>#REF!</v>
      </c>
      <c r="BT40" s="127" t="e">
        <f t="shared" si="36"/>
        <v>#REF!</v>
      </c>
      <c r="BU40" s="127" t="e">
        <f t="shared" si="36"/>
        <v>#REF!</v>
      </c>
      <c r="BV40" s="127" t="e">
        <f t="shared" si="36"/>
        <v>#REF!</v>
      </c>
      <c r="BW40" s="127" t="e">
        <f t="shared" si="36"/>
        <v>#REF!</v>
      </c>
      <c r="BX40" s="127" t="e">
        <f t="shared" si="36"/>
        <v>#REF!</v>
      </c>
      <c r="BY40" s="127" t="e">
        <f t="shared" si="36"/>
        <v>#REF!</v>
      </c>
      <c r="BZ40" s="127" t="e">
        <f t="shared" si="36"/>
        <v>#REF!</v>
      </c>
      <c r="CA40" s="127" t="e">
        <f t="shared" si="36"/>
        <v>#REF!</v>
      </c>
      <c r="CB40" s="127" t="e">
        <f t="shared" si="36"/>
        <v>#REF!</v>
      </c>
      <c r="CC40" s="127" t="e">
        <f t="shared" ref="CC40:CE48" si="37">IF($E40=CC$3,"▲","")</f>
        <v>#REF!</v>
      </c>
      <c r="CD40" s="127" t="e">
        <f t="shared" si="37"/>
        <v>#REF!</v>
      </c>
      <c r="CE40" s="127" t="e">
        <f t="shared" si="37"/>
        <v>#REF!</v>
      </c>
    </row>
    <row r="41" spans="1:83" ht="12.6" hidden="1" customHeight="1" x14ac:dyDescent="0.2">
      <c r="A41" s="106" t="e">
        <f>SHIPMENTS!#REF!</f>
        <v>#REF!</v>
      </c>
      <c r="B41" s="106" t="e">
        <f>SHIPMENTS!#REF!</f>
        <v>#REF!</v>
      </c>
      <c r="C41" s="132" t="e">
        <f>SHIPMENTS!#REF!</f>
        <v>#REF!</v>
      </c>
      <c r="D41" s="107" t="e">
        <f>IF((SHIPMENTS!#REF!)=0,"",SHIPMENTS!#REF!)</f>
        <v>#REF!</v>
      </c>
      <c r="E41" s="176" t="e">
        <f>IF((SHIPMENTS!#REF!)=0,"",SHIPMENTS!#REF!)</f>
        <v>#REF!</v>
      </c>
      <c r="F41" s="97" t="e">
        <f>VLOOKUP(A41,Items!$A$5:$J$500,9,0)</f>
        <v>#REF!</v>
      </c>
      <c r="G41" s="98" t="e">
        <f>VLOOKUP(A41,load!$A$4:$U$5001,17,0)</f>
        <v>#REF!</v>
      </c>
      <c r="H41" s="97">
        <f>Manhours!$C$27</f>
        <v>42</v>
      </c>
      <c r="I41" s="98">
        <f t="shared" ref="I41:I42" si="38">+H41*$I$4</f>
        <v>382.2</v>
      </c>
      <c r="J41" s="99" t="e">
        <f t="shared" ref="J41:J42" si="39">G41/I41</f>
        <v>#REF!</v>
      </c>
      <c r="K41" s="99" t="e">
        <f t="shared" ref="K41:K42" si="40">+J41*$I$4</f>
        <v>#REF!</v>
      </c>
      <c r="L41" s="98">
        <f t="shared" ref="L41:L42" si="41">IFERROR(J41-(J41*P41),0)</f>
        <v>0</v>
      </c>
      <c r="M41" s="98">
        <f t="shared" ref="M41:M42" si="42">IFERROR(K41-(K41*P41),0)</f>
        <v>0</v>
      </c>
      <c r="N41" s="181">
        <f t="shared" si="10"/>
        <v>46314</v>
      </c>
      <c r="O41" s="181">
        <f t="shared" si="9"/>
        <v>46314</v>
      </c>
      <c r="P41" s="101" t="e">
        <f>VLOOKUP(A41,SHIPMENTS!$A$7:$N$171,14,0)</f>
        <v>#REF!</v>
      </c>
      <c r="Q41" s="101"/>
      <c r="R41" s="127" t="e">
        <f t="shared" si="31"/>
        <v>#REF!</v>
      </c>
      <c r="S41" s="127" t="e">
        <f t="shared" si="31"/>
        <v>#REF!</v>
      </c>
      <c r="T41" s="127" t="e">
        <f t="shared" si="31"/>
        <v>#REF!</v>
      </c>
      <c r="U41" s="127" t="e">
        <f t="shared" si="31"/>
        <v>#REF!</v>
      </c>
      <c r="V41" s="127" t="e">
        <f t="shared" si="31"/>
        <v>#REF!</v>
      </c>
      <c r="W41" s="127" t="e">
        <f t="shared" si="31"/>
        <v>#REF!</v>
      </c>
      <c r="X41" s="127" t="e">
        <f t="shared" si="31"/>
        <v>#REF!</v>
      </c>
      <c r="Y41" s="127" t="e">
        <f t="shared" si="31"/>
        <v>#REF!</v>
      </c>
      <c r="Z41" s="127" t="e">
        <f t="shared" si="31"/>
        <v>#REF!</v>
      </c>
      <c r="AA41" s="127" t="e">
        <f t="shared" si="31"/>
        <v>#REF!</v>
      </c>
      <c r="AB41" s="127" t="e">
        <f t="shared" si="31"/>
        <v>#REF!</v>
      </c>
      <c r="AC41" s="127" t="e">
        <f t="shared" si="31"/>
        <v>#REF!</v>
      </c>
      <c r="AD41" s="127" t="e">
        <f t="shared" si="31"/>
        <v>#REF!</v>
      </c>
      <c r="AE41" s="127" t="e">
        <f t="shared" si="31"/>
        <v>#REF!</v>
      </c>
      <c r="AF41" s="127" t="e">
        <f t="shared" si="31"/>
        <v>#REF!</v>
      </c>
      <c r="AG41" s="127" t="e">
        <f t="shared" si="31"/>
        <v>#REF!</v>
      </c>
      <c r="AH41" s="127" t="e">
        <f t="shared" si="35"/>
        <v>#REF!</v>
      </c>
      <c r="AI41" s="127" t="e">
        <f t="shared" si="35"/>
        <v>#REF!</v>
      </c>
      <c r="AJ41" s="127" t="e">
        <f t="shared" si="35"/>
        <v>#REF!</v>
      </c>
      <c r="AK41" s="127" t="e">
        <f t="shared" si="35"/>
        <v>#REF!</v>
      </c>
      <c r="AL41" s="127" t="e">
        <f t="shared" si="35"/>
        <v>#REF!</v>
      </c>
      <c r="AM41" s="127" t="e">
        <f t="shared" si="35"/>
        <v>#REF!</v>
      </c>
      <c r="AN41" s="127" t="e">
        <f t="shared" si="35"/>
        <v>#REF!</v>
      </c>
      <c r="AO41" s="127" t="e">
        <f t="shared" si="35"/>
        <v>#REF!</v>
      </c>
      <c r="AP41" s="127" t="e">
        <f t="shared" si="35"/>
        <v>#REF!</v>
      </c>
      <c r="AQ41" s="127" t="e">
        <f t="shared" si="35"/>
        <v>#REF!</v>
      </c>
      <c r="AR41" s="127" t="e">
        <f t="shared" si="35"/>
        <v>#REF!</v>
      </c>
      <c r="AS41" s="127" t="e">
        <f t="shared" si="35"/>
        <v>#REF!</v>
      </c>
      <c r="AT41" s="127" t="e">
        <f t="shared" si="35"/>
        <v>#REF!</v>
      </c>
      <c r="AU41" s="127" t="e">
        <f t="shared" si="35"/>
        <v>#REF!</v>
      </c>
      <c r="AV41" s="127" t="e">
        <f t="shared" si="35"/>
        <v>#REF!</v>
      </c>
      <c r="AW41" s="127" t="e">
        <f t="shared" si="35"/>
        <v>#REF!</v>
      </c>
      <c r="AX41" s="127" t="e">
        <f t="shared" si="33"/>
        <v>#REF!</v>
      </c>
      <c r="AY41" s="127" t="e">
        <f t="shared" si="33"/>
        <v>#REF!</v>
      </c>
      <c r="AZ41" s="127" t="e">
        <f t="shared" si="33"/>
        <v>#REF!</v>
      </c>
      <c r="BA41" s="127" t="e">
        <f t="shared" si="33"/>
        <v>#REF!</v>
      </c>
      <c r="BB41" s="127" t="e">
        <f t="shared" si="33"/>
        <v>#REF!</v>
      </c>
      <c r="BC41" s="127" t="e">
        <f t="shared" si="34"/>
        <v>#REF!</v>
      </c>
      <c r="BD41" s="127" t="e">
        <f t="shared" si="34"/>
        <v>#REF!</v>
      </c>
      <c r="BE41" s="127" t="e">
        <f t="shared" si="34"/>
        <v>#REF!</v>
      </c>
      <c r="BF41" s="127" t="e">
        <f t="shared" si="34"/>
        <v>#REF!</v>
      </c>
      <c r="BG41" s="127" t="e">
        <f t="shared" si="32"/>
        <v>#REF!</v>
      </c>
      <c r="BH41" s="127" t="e">
        <f t="shared" si="32"/>
        <v>#REF!</v>
      </c>
      <c r="BI41" s="127" t="e">
        <f t="shared" si="32"/>
        <v>#REF!</v>
      </c>
      <c r="BJ41" s="127" t="e">
        <f t="shared" si="32"/>
        <v>#REF!</v>
      </c>
      <c r="BK41" s="127" t="e">
        <f t="shared" si="32"/>
        <v>#REF!</v>
      </c>
      <c r="BL41" s="127" t="e">
        <f t="shared" si="32"/>
        <v>#REF!</v>
      </c>
      <c r="BM41" s="127" t="e">
        <f t="shared" si="36"/>
        <v>#REF!</v>
      </c>
      <c r="BN41" s="127" t="e">
        <f t="shared" si="36"/>
        <v>#REF!</v>
      </c>
      <c r="BO41" s="127" t="e">
        <f t="shared" si="36"/>
        <v>#REF!</v>
      </c>
      <c r="BP41" s="127" t="e">
        <f t="shared" si="36"/>
        <v>#REF!</v>
      </c>
      <c r="BQ41" s="127" t="e">
        <f t="shared" si="36"/>
        <v>#REF!</v>
      </c>
      <c r="BR41" s="127" t="e">
        <f t="shared" si="36"/>
        <v>#REF!</v>
      </c>
      <c r="BS41" s="127" t="e">
        <f t="shared" si="36"/>
        <v>#REF!</v>
      </c>
      <c r="BT41" s="127" t="e">
        <f t="shared" si="36"/>
        <v>#REF!</v>
      </c>
      <c r="BU41" s="127" t="e">
        <f t="shared" si="36"/>
        <v>#REF!</v>
      </c>
      <c r="BV41" s="127" t="e">
        <f t="shared" si="36"/>
        <v>#REF!</v>
      </c>
      <c r="BW41" s="127" t="e">
        <f t="shared" si="36"/>
        <v>#REF!</v>
      </c>
      <c r="BX41" s="127" t="e">
        <f t="shared" si="36"/>
        <v>#REF!</v>
      </c>
      <c r="BY41" s="127" t="e">
        <f t="shared" si="36"/>
        <v>#REF!</v>
      </c>
      <c r="BZ41" s="127" t="e">
        <f t="shared" si="36"/>
        <v>#REF!</v>
      </c>
      <c r="CA41" s="127" t="e">
        <f t="shared" si="36"/>
        <v>#REF!</v>
      </c>
      <c r="CB41" s="127" t="e">
        <f t="shared" si="36"/>
        <v>#REF!</v>
      </c>
      <c r="CC41" s="127" t="e">
        <f t="shared" si="37"/>
        <v>#REF!</v>
      </c>
      <c r="CD41" s="127" t="e">
        <f t="shared" si="37"/>
        <v>#REF!</v>
      </c>
      <c r="CE41" s="127" t="e">
        <f t="shared" si="37"/>
        <v>#REF!</v>
      </c>
    </row>
    <row r="42" spans="1:83" ht="12" customHeight="1" x14ac:dyDescent="0.2">
      <c r="A42" s="106" t="e">
        <f>SHIPMENTS!#REF!</f>
        <v>#REF!</v>
      </c>
      <c r="B42" s="106" t="e">
        <f>SHIPMENTS!#REF!</f>
        <v>#REF!</v>
      </c>
      <c r="C42" s="132" t="e">
        <f>SHIPMENTS!#REF!</f>
        <v>#REF!</v>
      </c>
      <c r="D42" s="107" t="e">
        <f>IF((SHIPMENTS!#REF!)=0,"",SHIPMENTS!#REF!)</f>
        <v>#REF!</v>
      </c>
      <c r="E42" s="176" t="e">
        <f>IF((SHIPMENTS!#REF!)=0,"",SHIPMENTS!#REF!)</f>
        <v>#REF!</v>
      </c>
      <c r="F42" s="97" t="e">
        <f>VLOOKUP(A42,Items!$A$5:$J$500,9,0)</f>
        <v>#REF!</v>
      </c>
      <c r="G42" s="98" t="e">
        <f>VLOOKUP(A42,load!$A$4:$U$5001,17,0)</f>
        <v>#REF!</v>
      </c>
      <c r="H42" s="97">
        <f>Manhours!$C$27</f>
        <v>42</v>
      </c>
      <c r="I42" s="98">
        <f t="shared" si="38"/>
        <v>382.2</v>
      </c>
      <c r="J42" s="99" t="e">
        <f t="shared" si="39"/>
        <v>#REF!</v>
      </c>
      <c r="K42" s="99" t="e">
        <f t="shared" si="40"/>
        <v>#REF!</v>
      </c>
      <c r="L42" s="98">
        <f t="shared" si="41"/>
        <v>0</v>
      </c>
      <c r="M42" s="98">
        <f t="shared" si="42"/>
        <v>0</v>
      </c>
      <c r="N42" s="181">
        <f t="shared" si="10"/>
        <v>46314</v>
      </c>
      <c r="O42" s="181">
        <f t="shared" si="9"/>
        <v>46314</v>
      </c>
      <c r="P42" s="101" t="e">
        <f>VLOOKUP(A42,SHIPMENTS!$A$7:$N$171,14,0)</f>
        <v>#REF!</v>
      </c>
      <c r="Q42" s="101"/>
      <c r="R42" s="127" t="e">
        <f t="shared" si="31"/>
        <v>#REF!</v>
      </c>
      <c r="S42" s="127" t="e">
        <f t="shared" si="31"/>
        <v>#REF!</v>
      </c>
      <c r="T42" s="127" t="e">
        <f t="shared" si="31"/>
        <v>#REF!</v>
      </c>
      <c r="U42" s="127" t="e">
        <f t="shared" si="31"/>
        <v>#REF!</v>
      </c>
      <c r="V42" s="127" t="e">
        <f t="shared" si="31"/>
        <v>#REF!</v>
      </c>
      <c r="W42" s="127" t="e">
        <f t="shared" si="31"/>
        <v>#REF!</v>
      </c>
      <c r="X42" s="127" t="e">
        <f t="shared" si="31"/>
        <v>#REF!</v>
      </c>
      <c r="Y42" s="127" t="e">
        <f t="shared" si="31"/>
        <v>#REF!</v>
      </c>
      <c r="Z42" s="127" t="e">
        <f t="shared" si="31"/>
        <v>#REF!</v>
      </c>
      <c r="AA42" s="127" t="e">
        <f t="shared" si="31"/>
        <v>#REF!</v>
      </c>
      <c r="AB42" s="127" t="e">
        <f t="shared" si="31"/>
        <v>#REF!</v>
      </c>
      <c r="AC42" s="127" t="e">
        <f t="shared" si="31"/>
        <v>#REF!</v>
      </c>
      <c r="AD42" s="127" t="e">
        <f t="shared" si="31"/>
        <v>#REF!</v>
      </c>
      <c r="AE42" s="127" t="e">
        <f t="shared" si="31"/>
        <v>#REF!</v>
      </c>
      <c r="AF42" s="127" t="e">
        <f t="shared" si="31"/>
        <v>#REF!</v>
      </c>
      <c r="AG42" s="127" t="e">
        <f t="shared" si="31"/>
        <v>#REF!</v>
      </c>
      <c r="AH42" s="127" t="e">
        <f t="shared" si="35"/>
        <v>#REF!</v>
      </c>
      <c r="AI42" s="127" t="e">
        <f t="shared" si="35"/>
        <v>#REF!</v>
      </c>
      <c r="AJ42" s="127" t="e">
        <f t="shared" si="35"/>
        <v>#REF!</v>
      </c>
      <c r="AK42" s="127" t="e">
        <f t="shared" si="35"/>
        <v>#REF!</v>
      </c>
      <c r="AL42" s="127" t="e">
        <f t="shared" si="35"/>
        <v>#REF!</v>
      </c>
      <c r="AM42" s="127" t="e">
        <f t="shared" si="35"/>
        <v>#REF!</v>
      </c>
      <c r="AN42" s="127" t="e">
        <f t="shared" si="35"/>
        <v>#REF!</v>
      </c>
      <c r="AO42" s="127" t="e">
        <f t="shared" si="35"/>
        <v>#REF!</v>
      </c>
      <c r="AP42" s="127" t="e">
        <f t="shared" si="35"/>
        <v>#REF!</v>
      </c>
      <c r="AQ42" s="127" t="e">
        <f t="shared" si="35"/>
        <v>#REF!</v>
      </c>
      <c r="AR42" s="127" t="e">
        <f t="shared" si="35"/>
        <v>#REF!</v>
      </c>
      <c r="AS42" s="127" t="e">
        <f t="shared" si="35"/>
        <v>#REF!</v>
      </c>
      <c r="AT42" s="127" t="e">
        <f t="shared" si="35"/>
        <v>#REF!</v>
      </c>
      <c r="AU42" s="127" t="e">
        <f t="shared" si="35"/>
        <v>#REF!</v>
      </c>
      <c r="AV42" s="127" t="e">
        <f t="shared" si="35"/>
        <v>#REF!</v>
      </c>
      <c r="AW42" s="127" t="e">
        <f t="shared" si="35"/>
        <v>#REF!</v>
      </c>
      <c r="AX42" s="127" t="e">
        <f t="shared" si="33"/>
        <v>#REF!</v>
      </c>
      <c r="AY42" s="127" t="e">
        <f t="shared" si="33"/>
        <v>#REF!</v>
      </c>
      <c r="AZ42" s="127" t="e">
        <f t="shared" si="33"/>
        <v>#REF!</v>
      </c>
      <c r="BA42" s="127" t="e">
        <f t="shared" si="33"/>
        <v>#REF!</v>
      </c>
      <c r="BB42" s="127" t="e">
        <f t="shared" si="33"/>
        <v>#REF!</v>
      </c>
      <c r="BC42" s="127" t="e">
        <f t="shared" si="34"/>
        <v>#REF!</v>
      </c>
      <c r="BD42" s="127" t="e">
        <f t="shared" si="34"/>
        <v>#REF!</v>
      </c>
      <c r="BE42" s="127" t="e">
        <f t="shared" si="34"/>
        <v>#REF!</v>
      </c>
      <c r="BF42" s="127" t="e">
        <f t="shared" si="34"/>
        <v>#REF!</v>
      </c>
      <c r="BG42" s="127" t="e">
        <f t="shared" si="32"/>
        <v>#REF!</v>
      </c>
      <c r="BH42" s="127" t="e">
        <f t="shared" si="32"/>
        <v>#REF!</v>
      </c>
      <c r="BI42" s="127" t="e">
        <f t="shared" si="32"/>
        <v>#REF!</v>
      </c>
      <c r="BJ42" s="127" t="e">
        <f t="shared" si="32"/>
        <v>#REF!</v>
      </c>
      <c r="BK42" s="127" t="e">
        <f t="shared" si="32"/>
        <v>#REF!</v>
      </c>
      <c r="BL42" s="127" t="e">
        <f t="shared" si="32"/>
        <v>#REF!</v>
      </c>
      <c r="BM42" s="127" t="e">
        <f t="shared" si="36"/>
        <v>#REF!</v>
      </c>
      <c r="BN42" s="127" t="e">
        <f t="shared" si="36"/>
        <v>#REF!</v>
      </c>
      <c r="BO42" s="127" t="e">
        <f t="shared" si="36"/>
        <v>#REF!</v>
      </c>
      <c r="BP42" s="127" t="e">
        <f t="shared" si="36"/>
        <v>#REF!</v>
      </c>
      <c r="BQ42" s="127" t="e">
        <f t="shared" si="36"/>
        <v>#REF!</v>
      </c>
      <c r="BR42" s="127" t="e">
        <f t="shared" si="36"/>
        <v>#REF!</v>
      </c>
      <c r="BS42" s="127" t="e">
        <f t="shared" si="36"/>
        <v>#REF!</v>
      </c>
      <c r="BT42" s="127" t="e">
        <f t="shared" si="36"/>
        <v>#REF!</v>
      </c>
      <c r="BU42" s="127" t="e">
        <f t="shared" si="36"/>
        <v>#REF!</v>
      </c>
      <c r="BV42" s="127" t="e">
        <f t="shared" si="36"/>
        <v>#REF!</v>
      </c>
      <c r="BW42" s="127" t="e">
        <f t="shared" si="36"/>
        <v>#REF!</v>
      </c>
      <c r="BX42" s="127" t="e">
        <f t="shared" si="36"/>
        <v>#REF!</v>
      </c>
      <c r="BY42" s="127" t="e">
        <f t="shared" si="36"/>
        <v>#REF!</v>
      </c>
      <c r="BZ42" s="127" t="e">
        <f t="shared" si="36"/>
        <v>#REF!</v>
      </c>
      <c r="CA42" s="127" t="e">
        <f t="shared" si="36"/>
        <v>#REF!</v>
      </c>
      <c r="CB42" s="127" t="e">
        <f t="shared" si="36"/>
        <v>#REF!</v>
      </c>
      <c r="CC42" s="127" t="e">
        <f t="shared" si="37"/>
        <v>#REF!</v>
      </c>
      <c r="CD42" s="127" t="e">
        <f t="shared" si="37"/>
        <v>#REF!</v>
      </c>
      <c r="CE42" s="127" t="e">
        <f t="shared" si="37"/>
        <v>#REF!</v>
      </c>
    </row>
    <row r="43" spans="1:83" ht="12" hidden="1" customHeight="1" x14ac:dyDescent="0.2">
      <c r="A43" s="106" t="e">
        <f>SHIPMENTS!#REF!</f>
        <v>#REF!</v>
      </c>
      <c r="B43" s="106" t="e">
        <f>SHIPMENTS!#REF!</f>
        <v>#REF!</v>
      </c>
      <c r="C43" s="132" t="e">
        <f>SHIPMENTS!#REF!</f>
        <v>#REF!</v>
      </c>
      <c r="D43" s="107" t="e">
        <f>IF((SHIPMENTS!#REF!)=0,"",SHIPMENTS!#REF!)</f>
        <v>#REF!</v>
      </c>
      <c r="E43" s="176" t="e">
        <f>IF((SHIPMENTS!#REF!)=0,"",SHIPMENTS!#REF!)</f>
        <v>#REF!</v>
      </c>
      <c r="F43" s="97" t="e">
        <f>VLOOKUP(A43,Items!$A$5:$J$500,9,0)</f>
        <v>#REF!</v>
      </c>
      <c r="G43" s="98" t="e">
        <f>VLOOKUP(A43,load!$A$4:$U$5001,17,0)</f>
        <v>#REF!</v>
      </c>
      <c r="H43" s="97">
        <f>Manhours!$C$27</f>
        <v>42</v>
      </c>
      <c r="I43" s="98">
        <f t="shared" ref="I43" si="43">+H43*$I$4</f>
        <v>382.2</v>
      </c>
      <c r="J43" s="99" t="e">
        <f t="shared" ref="J43" si="44">G43/I43</f>
        <v>#REF!</v>
      </c>
      <c r="K43" s="99" t="e">
        <f t="shared" ref="K43" si="45">+J43*$I$4</f>
        <v>#REF!</v>
      </c>
      <c r="L43" s="98">
        <f t="shared" ref="L43" si="46">IFERROR(J43-(J43*P43),0)</f>
        <v>0</v>
      </c>
      <c r="M43" s="98">
        <f t="shared" ref="M43" si="47">IFERROR(K43-(K43*P43),0)</f>
        <v>0</v>
      </c>
      <c r="N43" s="181">
        <f t="shared" si="10"/>
        <v>46314</v>
      </c>
      <c r="O43" s="181">
        <f t="shared" si="9"/>
        <v>46314</v>
      </c>
      <c r="P43" s="101" t="e">
        <f>VLOOKUP(A43,SHIPMENTS!$A$7:$N$171,14,0)</f>
        <v>#REF!</v>
      </c>
      <c r="Q43" s="101"/>
      <c r="R43" s="127" t="e">
        <f t="shared" si="31"/>
        <v>#REF!</v>
      </c>
      <c r="S43" s="127" t="e">
        <f t="shared" si="31"/>
        <v>#REF!</v>
      </c>
      <c r="T43" s="127" t="e">
        <f t="shared" si="31"/>
        <v>#REF!</v>
      </c>
      <c r="U43" s="127" t="e">
        <f t="shared" si="31"/>
        <v>#REF!</v>
      </c>
      <c r="V43" s="127" t="e">
        <f t="shared" si="31"/>
        <v>#REF!</v>
      </c>
      <c r="W43" s="127" t="e">
        <f t="shared" si="31"/>
        <v>#REF!</v>
      </c>
      <c r="X43" s="127" t="e">
        <f t="shared" si="31"/>
        <v>#REF!</v>
      </c>
      <c r="Y43" s="127" t="e">
        <f t="shared" si="31"/>
        <v>#REF!</v>
      </c>
      <c r="Z43" s="127" t="e">
        <f t="shared" si="31"/>
        <v>#REF!</v>
      </c>
      <c r="AA43" s="127" t="e">
        <f t="shared" si="31"/>
        <v>#REF!</v>
      </c>
      <c r="AB43" s="127" t="e">
        <f t="shared" si="31"/>
        <v>#REF!</v>
      </c>
      <c r="AC43" s="127" t="e">
        <f t="shared" si="31"/>
        <v>#REF!</v>
      </c>
      <c r="AD43" s="127" t="e">
        <f t="shared" si="31"/>
        <v>#REF!</v>
      </c>
      <c r="AE43" s="127" t="e">
        <f t="shared" si="31"/>
        <v>#REF!</v>
      </c>
      <c r="AF43" s="127" t="e">
        <f t="shared" si="31"/>
        <v>#REF!</v>
      </c>
      <c r="AG43" s="127" t="e">
        <f t="shared" si="31"/>
        <v>#REF!</v>
      </c>
      <c r="AH43" s="127" t="e">
        <f t="shared" si="35"/>
        <v>#REF!</v>
      </c>
      <c r="AI43" s="127" t="e">
        <f t="shared" si="35"/>
        <v>#REF!</v>
      </c>
      <c r="AJ43" s="127" t="e">
        <f t="shared" si="35"/>
        <v>#REF!</v>
      </c>
      <c r="AK43" s="127" t="e">
        <f t="shared" si="35"/>
        <v>#REF!</v>
      </c>
      <c r="AL43" s="127" t="e">
        <f t="shared" si="35"/>
        <v>#REF!</v>
      </c>
      <c r="AM43" s="127" t="e">
        <f t="shared" si="35"/>
        <v>#REF!</v>
      </c>
      <c r="AN43" s="127" t="e">
        <f t="shared" si="35"/>
        <v>#REF!</v>
      </c>
      <c r="AO43" s="127" t="e">
        <f t="shared" si="35"/>
        <v>#REF!</v>
      </c>
      <c r="AP43" s="127" t="e">
        <f t="shared" si="35"/>
        <v>#REF!</v>
      </c>
      <c r="AQ43" s="127" t="e">
        <f t="shared" si="35"/>
        <v>#REF!</v>
      </c>
      <c r="AR43" s="127" t="e">
        <f t="shared" si="35"/>
        <v>#REF!</v>
      </c>
      <c r="AS43" s="127" t="e">
        <f t="shared" si="35"/>
        <v>#REF!</v>
      </c>
      <c r="AT43" s="127" t="e">
        <f t="shared" si="35"/>
        <v>#REF!</v>
      </c>
      <c r="AU43" s="127" t="e">
        <f t="shared" si="35"/>
        <v>#REF!</v>
      </c>
      <c r="AV43" s="127" t="e">
        <f t="shared" si="35"/>
        <v>#REF!</v>
      </c>
      <c r="AW43" s="127" t="e">
        <f t="shared" si="35"/>
        <v>#REF!</v>
      </c>
      <c r="AX43" s="127" t="e">
        <f t="shared" si="33"/>
        <v>#REF!</v>
      </c>
      <c r="AY43" s="127" t="e">
        <f t="shared" si="33"/>
        <v>#REF!</v>
      </c>
      <c r="AZ43" s="127" t="e">
        <f t="shared" si="33"/>
        <v>#REF!</v>
      </c>
      <c r="BA43" s="127" t="e">
        <f t="shared" si="33"/>
        <v>#REF!</v>
      </c>
      <c r="BB43" s="127" t="e">
        <f t="shared" si="33"/>
        <v>#REF!</v>
      </c>
      <c r="BC43" s="127" t="e">
        <f t="shared" si="34"/>
        <v>#REF!</v>
      </c>
      <c r="BD43" s="127" t="e">
        <f t="shared" si="34"/>
        <v>#REF!</v>
      </c>
      <c r="BE43" s="127" t="e">
        <f t="shared" si="34"/>
        <v>#REF!</v>
      </c>
      <c r="BF43" s="127" t="e">
        <f t="shared" si="34"/>
        <v>#REF!</v>
      </c>
      <c r="BG43" s="127" t="e">
        <f t="shared" si="32"/>
        <v>#REF!</v>
      </c>
      <c r="BH43" s="127" t="e">
        <f t="shared" si="32"/>
        <v>#REF!</v>
      </c>
      <c r="BI43" s="127" t="e">
        <f t="shared" si="32"/>
        <v>#REF!</v>
      </c>
      <c r="BJ43" s="127" t="e">
        <f t="shared" si="32"/>
        <v>#REF!</v>
      </c>
      <c r="BK43" s="127" t="e">
        <f t="shared" si="32"/>
        <v>#REF!</v>
      </c>
      <c r="BL43" s="127" t="e">
        <f t="shared" si="32"/>
        <v>#REF!</v>
      </c>
      <c r="BM43" s="127" t="e">
        <f t="shared" si="36"/>
        <v>#REF!</v>
      </c>
      <c r="BN43" s="127" t="e">
        <f t="shared" si="36"/>
        <v>#REF!</v>
      </c>
      <c r="BO43" s="127" t="e">
        <f t="shared" si="36"/>
        <v>#REF!</v>
      </c>
      <c r="BP43" s="127" t="e">
        <f t="shared" si="36"/>
        <v>#REF!</v>
      </c>
      <c r="BQ43" s="127" t="e">
        <f t="shared" si="36"/>
        <v>#REF!</v>
      </c>
      <c r="BR43" s="127" t="e">
        <f t="shared" si="36"/>
        <v>#REF!</v>
      </c>
      <c r="BS43" s="127" t="e">
        <f t="shared" si="36"/>
        <v>#REF!</v>
      </c>
      <c r="BT43" s="127" t="e">
        <f t="shared" si="36"/>
        <v>#REF!</v>
      </c>
      <c r="BU43" s="127" t="e">
        <f t="shared" si="36"/>
        <v>#REF!</v>
      </c>
      <c r="BV43" s="127" t="e">
        <f t="shared" si="36"/>
        <v>#REF!</v>
      </c>
      <c r="BW43" s="127" t="e">
        <f t="shared" si="36"/>
        <v>#REF!</v>
      </c>
      <c r="BX43" s="127" t="e">
        <f t="shared" si="36"/>
        <v>#REF!</v>
      </c>
      <c r="BY43" s="127" t="e">
        <f t="shared" si="36"/>
        <v>#REF!</v>
      </c>
      <c r="BZ43" s="127" t="e">
        <f t="shared" si="36"/>
        <v>#REF!</v>
      </c>
      <c r="CA43" s="127" t="e">
        <f t="shared" si="36"/>
        <v>#REF!</v>
      </c>
      <c r="CB43" s="127" t="e">
        <f t="shared" si="36"/>
        <v>#REF!</v>
      </c>
      <c r="CC43" s="127" t="e">
        <f t="shared" si="37"/>
        <v>#REF!</v>
      </c>
      <c r="CD43" s="127" t="e">
        <f t="shared" si="37"/>
        <v>#REF!</v>
      </c>
      <c r="CE43" s="127" t="e">
        <f t="shared" si="37"/>
        <v>#REF!</v>
      </c>
    </row>
    <row r="44" spans="1:83" ht="12" hidden="1" customHeight="1" x14ac:dyDescent="0.2">
      <c r="A44" s="106" t="e">
        <f>SHIPMENTS!#REF!</f>
        <v>#REF!</v>
      </c>
      <c r="B44" s="106" t="e">
        <f>SHIPMENTS!#REF!</f>
        <v>#REF!</v>
      </c>
      <c r="C44" s="132" t="e">
        <f>SHIPMENTS!#REF!</f>
        <v>#REF!</v>
      </c>
      <c r="D44" s="107" t="e">
        <f>IF((SHIPMENTS!#REF!)=0,"",SHIPMENTS!#REF!)</f>
        <v>#REF!</v>
      </c>
      <c r="E44" s="176" t="e">
        <f>IF((SHIPMENTS!#REF!)=0,"",SHIPMENTS!#REF!)</f>
        <v>#REF!</v>
      </c>
      <c r="F44" s="97" t="e">
        <f>VLOOKUP(A44,Items!$A$5:$J$500,9,0)</f>
        <v>#REF!</v>
      </c>
      <c r="G44" s="98" t="e">
        <f>VLOOKUP(A44,load!$A$4:$U$5001,17,0)</f>
        <v>#REF!</v>
      </c>
      <c r="H44" s="97">
        <f>Manhours!$C$27</f>
        <v>42</v>
      </c>
      <c r="I44" s="98">
        <f t="shared" ref="I44:I45" si="48">+H44*$I$4</f>
        <v>382.2</v>
      </c>
      <c r="J44" s="99" t="e">
        <f t="shared" ref="J44:J45" si="49">G44/I44</f>
        <v>#REF!</v>
      </c>
      <c r="K44" s="99" t="e">
        <f t="shared" ref="K44:K45" si="50">+J44*$I$4</f>
        <v>#REF!</v>
      </c>
      <c r="L44" s="98">
        <f t="shared" ref="L44:L45" si="51">IFERROR(J44-(J44*P44),0)</f>
        <v>0</v>
      </c>
      <c r="M44" s="98">
        <f t="shared" ref="M44:M45" si="52">IFERROR(K44-(K44*P44),0)</f>
        <v>0</v>
      </c>
      <c r="N44" s="181">
        <f t="shared" si="10"/>
        <v>46314</v>
      </c>
      <c r="O44" s="181">
        <f t="shared" si="9"/>
        <v>46314</v>
      </c>
      <c r="P44" s="101" t="e">
        <f>VLOOKUP(A44,SHIPMENTS!$A$7:$N$171,14,0)</f>
        <v>#REF!</v>
      </c>
      <c r="Q44" s="101"/>
      <c r="R44" s="127" t="e">
        <f t="shared" si="31"/>
        <v>#REF!</v>
      </c>
      <c r="S44" s="127" t="e">
        <f t="shared" si="31"/>
        <v>#REF!</v>
      </c>
      <c r="T44" s="127" t="e">
        <f t="shared" si="31"/>
        <v>#REF!</v>
      </c>
      <c r="U44" s="127" t="e">
        <f t="shared" si="31"/>
        <v>#REF!</v>
      </c>
      <c r="V44" s="127" t="e">
        <f t="shared" si="31"/>
        <v>#REF!</v>
      </c>
      <c r="W44" s="127" t="e">
        <f t="shared" si="31"/>
        <v>#REF!</v>
      </c>
      <c r="X44" s="127" t="e">
        <f t="shared" si="31"/>
        <v>#REF!</v>
      </c>
      <c r="Y44" s="127" t="e">
        <f t="shared" si="31"/>
        <v>#REF!</v>
      </c>
      <c r="Z44" s="127" t="e">
        <f t="shared" si="31"/>
        <v>#REF!</v>
      </c>
      <c r="AA44" s="127" t="e">
        <f t="shared" si="31"/>
        <v>#REF!</v>
      </c>
      <c r="AB44" s="127" t="e">
        <f t="shared" si="31"/>
        <v>#REF!</v>
      </c>
      <c r="AC44" s="127" t="e">
        <f t="shared" si="31"/>
        <v>#REF!</v>
      </c>
      <c r="AD44" s="127" t="e">
        <f t="shared" si="31"/>
        <v>#REF!</v>
      </c>
      <c r="AE44" s="127" t="e">
        <f t="shared" si="31"/>
        <v>#REF!</v>
      </c>
      <c r="AF44" s="127" t="e">
        <f t="shared" si="31"/>
        <v>#REF!</v>
      </c>
      <c r="AG44" s="127" t="e">
        <f t="shared" si="31"/>
        <v>#REF!</v>
      </c>
      <c r="AH44" s="127" t="e">
        <f t="shared" si="35"/>
        <v>#REF!</v>
      </c>
      <c r="AI44" s="127" t="e">
        <f t="shared" si="35"/>
        <v>#REF!</v>
      </c>
      <c r="AJ44" s="127" t="e">
        <f t="shared" si="35"/>
        <v>#REF!</v>
      </c>
      <c r="AK44" s="127" t="e">
        <f t="shared" si="35"/>
        <v>#REF!</v>
      </c>
      <c r="AL44" s="127" t="e">
        <f t="shared" si="35"/>
        <v>#REF!</v>
      </c>
      <c r="AM44" s="127" t="e">
        <f t="shared" si="35"/>
        <v>#REF!</v>
      </c>
      <c r="AN44" s="127" t="e">
        <f t="shared" si="35"/>
        <v>#REF!</v>
      </c>
      <c r="AO44" s="127" t="e">
        <f t="shared" si="35"/>
        <v>#REF!</v>
      </c>
      <c r="AP44" s="127" t="e">
        <f t="shared" si="35"/>
        <v>#REF!</v>
      </c>
      <c r="AQ44" s="127" t="e">
        <f t="shared" si="35"/>
        <v>#REF!</v>
      </c>
      <c r="AR44" s="127" t="e">
        <f t="shared" si="35"/>
        <v>#REF!</v>
      </c>
      <c r="AS44" s="127" t="e">
        <f t="shared" si="35"/>
        <v>#REF!</v>
      </c>
      <c r="AT44" s="127" t="e">
        <f t="shared" si="35"/>
        <v>#REF!</v>
      </c>
      <c r="AU44" s="127" t="e">
        <f t="shared" si="35"/>
        <v>#REF!</v>
      </c>
      <c r="AV44" s="127" t="e">
        <f t="shared" si="35"/>
        <v>#REF!</v>
      </c>
      <c r="AW44" s="127" t="e">
        <f t="shared" si="35"/>
        <v>#REF!</v>
      </c>
      <c r="AX44" s="127" t="e">
        <f t="shared" si="33"/>
        <v>#REF!</v>
      </c>
      <c r="AY44" s="127" t="e">
        <f t="shared" si="33"/>
        <v>#REF!</v>
      </c>
      <c r="AZ44" s="127" t="e">
        <f t="shared" si="33"/>
        <v>#REF!</v>
      </c>
      <c r="BA44" s="127" t="e">
        <f t="shared" si="33"/>
        <v>#REF!</v>
      </c>
      <c r="BB44" s="127" t="e">
        <f t="shared" si="33"/>
        <v>#REF!</v>
      </c>
      <c r="BC44" s="127" t="e">
        <f t="shared" si="34"/>
        <v>#REF!</v>
      </c>
      <c r="BD44" s="127" t="e">
        <f t="shared" si="34"/>
        <v>#REF!</v>
      </c>
      <c r="BE44" s="127" t="e">
        <f t="shared" si="34"/>
        <v>#REF!</v>
      </c>
      <c r="BF44" s="127" t="e">
        <f t="shared" si="34"/>
        <v>#REF!</v>
      </c>
      <c r="BG44" s="127" t="e">
        <f t="shared" si="32"/>
        <v>#REF!</v>
      </c>
      <c r="BH44" s="127" t="e">
        <f t="shared" si="32"/>
        <v>#REF!</v>
      </c>
      <c r="BI44" s="127" t="e">
        <f t="shared" si="32"/>
        <v>#REF!</v>
      </c>
      <c r="BJ44" s="127" t="e">
        <f t="shared" si="32"/>
        <v>#REF!</v>
      </c>
      <c r="BK44" s="127" t="e">
        <f t="shared" si="32"/>
        <v>#REF!</v>
      </c>
      <c r="BL44" s="127" t="e">
        <f t="shared" si="32"/>
        <v>#REF!</v>
      </c>
      <c r="BM44" s="127" t="e">
        <f t="shared" si="36"/>
        <v>#REF!</v>
      </c>
      <c r="BN44" s="127" t="e">
        <f t="shared" si="36"/>
        <v>#REF!</v>
      </c>
      <c r="BO44" s="127" t="e">
        <f t="shared" si="36"/>
        <v>#REF!</v>
      </c>
      <c r="BP44" s="127" t="e">
        <f t="shared" si="36"/>
        <v>#REF!</v>
      </c>
      <c r="BQ44" s="127" t="e">
        <f t="shared" si="36"/>
        <v>#REF!</v>
      </c>
      <c r="BR44" s="127" t="e">
        <f t="shared" si="36"/>
        <v>#REF!</v>
      </c>
      <c r="BS44" s="127" t="e">
        <f t="shared" si="36"/>
        <v>#REF!</v>
      </c>
      <c r="BT44" s="127" t="e">
        <f t="shared" si="36"/>
        <v>#REF!</v>
      </c>
      <c r="BU44" s="127" t="e">
        <f t="shared" si="36"/>
        <v>#REF!</v>
      </c>
      <c r="BV44" s="127" t="e">
        <f t="shared" si="36"/>
        <v>#REF!</v>
      </c>
      <c r="BW44" s="127" t="e">
        <f t="shared" si="36"/>
        <v>#REF!</v>
      </c>
      <c r="BX44" s="127" t="e">
        <f t="shared" si="36"/>
        <v>#REF!</v>
      </c>
      <c r="BY44" s="127" t="e">
        <f t="shared" si="36"/>
        <v>#REF!</v>
      </c>
      <c r="BZ44" s="127" t="e">
        <f t="shared" si="36"/>
        <v>#REF!</v>
      </c>
      <c r="CA44" s="127" t="e">
        <f t="shared" si="36"/>
        <v>#REF!</v>
      </c>
      <c r="CB44" s="127" t="e">
        <f t="shared" si="36"/>
        <v>#REF!</v>
      </c>
      <c r="CC44" s="127" t="e">
        <f t="shared" si="37"/>
        <v>#REF!</v>
      </c>
      <c r="CD44" s="127" t="e">
        <f t="shared" si="37"/>
        <v>#REF!</v>
      </c>
      <c r="CE44" s="127" t="e">
        <f t="shared" si="37"/>
        <v>#REF!</v>
      </c>
    </row>
    <row r="45" spans="1:83" ht="12" hidden="1" customHeight="1" x14ac:dyDescent="0.2">
      <c r="A45" s="106" t="e">
        <f>SHIPMENTS!#REF!</f>
        <v>#REF!</v>
      </c>
      <c r="B45" s="106" t="e">
        <f>SHIPMENTS!#REF!</f>
        <v>#REF!</v>
      </c>
      <c r="C45" s="132" t="e">
        <f>SHIPMENTS!#REF!</f>
        <v>#REF!</v>
      </c>
      <c r="D45" s="107" t="e">
        <f>IF((SHIPMENTS!#REF!)=0,"",SHIPMENTS!#REF!)</f>
        <v>#REF!</v>
      </c>
      <c r="E45" s="176" t="e">
        <f>IF((SHIPMENTS!#REF!)=0,"",SHIPMENTS!#REF!)</f>
        <v>#REF!</v>
      </c>
      <c r="F45" s="97" t="e">
        <f>VLOOKUP(A45,Items!$A$5:$J$500,9,0)</f>
        <v>#REF!</v>
      </c>
      <c r="G45" s="98" t="e">
        <f>VLOOKUP(A45,load!$A$4:$U$5001,17,0)</f>
        <v>#REF!</v>
      </c>
      <c r="H45" s="97">
        <f>Manhours!$C$27</f>
        <v>42</v>
      </c>
      <c r="I45" s="98">
        <f t="shared" si="48"/>
        <v>382.2</v>
      </c>
      <c r="J45" s="99" t="e">
        <f t="shared" si="49"/>
        <v>#REF!</v>
      </c>
      <c r="K45" s="99" t="e">
        <f t="shared" si="50"/>
        <v>#REF!</v>
      </c>
      <c r="L45" s="98">
        <f t="shared" si="51"/>
        <v>0</v>
      </c>
      <c r="M45" s="98">
        <f t="shared" si="52"/>
        <v>0</v>
      </c>
      <c r="N45" s="181">
        <f t="shared" si="10"/>
        <v>46314</v>
      </c>
      <c r="O45" s="181">
        <f t="shared" si="9"/>
        <v>46314</v>
      </c>
      <c r="P45" s="101" t="e">
        <f>VLOOKUP(A45,SHIPMENTS!$A$7:$N$171,14,0)</f>
        <v>#REF!</v>
      </c>
      <c r="Q45" s="101"/>
      <c r="R45" s="127" t="e">
        <f t="shared" si="31"/>
        <v>#REF!</v>
      </c>
      <c r="S45" s="127" t="e">
        <f t="shared" si="31"/>
        <v>#REF!</v>
      </c>
      <c r="T45" s="127" t="e">
        <f t="shared" si="31"/>
        <v>#REF!</v>
      </c>
      <c r="U45" s="127" t="e">
        <f t="shared" si="31"/>
        <v>#REF!</v>
      </c>
      <c r="V45" s="127" t="e">
        <f t="shared" si="31"/>
        <v>#REF!</v>
      </c>
      <c r="W45" s="127" t="e">
        <f t="shared" si="31"/>
        <v>#REF!</v>
      </c>
      <c r="X45" s="127" t="e">
        <f t="shared" si="31"/>
        <v>#REF!</v>
      </c>
      <c r="Y45" s="127" t="e">
        <f t="shared" si="31"/>
        <v>#REF!</v>
      </c>
      <c r="Z45" s="127" t="e">
        <f t="shared" si="31"/>
        <v>#REF!</v>
      </c>
      <c r="AA45" s="127" t="e">
        <f t="shared" si="31"/>
        <v>#REF!</v>
      </c>
      <c r="AB45" s="127" t="e">
        <f t="shared" si="31"/>
        <v>#REF!</v>
      </c>
      <c r="AC45" s="127" t="e">
        <f t="shared" si="31"/>
        <v>#REF!</v>
      </c>
      <c r="AD45" s="127" t="e">
        <f t="shared" si="31"/>
        <v>#REF!</v>
      </c>
      <c r="AE45" s="127" t="e">
        <f t="shared" si="31"/>
        <v>#REF!</v>
      </c>
      <c r="AF45" s="127" t="e">
        <f t="shared" si="31"/>
        <v>#REF!</v>
      </c>
      <c r="AG45" s="127" t="e">
        <f t="shared" ref="AG45:AG48" si="53">IF($E45=AG$3,"▲","")</f>
        <v>#REF!</v>
      </c>
      <c r="AH45" s="127" t="e">
        <f t="shared" si="35"/>
        <v>#REF!</v>
      </c>
      <c r="AI45" s="127" t="e">
        <f t="shared" si="35"/>
        <v>#REF!</v>
      </c>
      <c r="AJ45" s="127" t="e">
        <f t="shared" si="35"/>
        <v>#REF!</v>
      </c>
      <c r="AK45" s="127" t="e">
        <f t="shared" si="35"/>
        <v>#REF!</v>
      </c>
      <c r="AL45" s="127" t="e">
        <f t="shared" si="35"/>
        <v>#REF!</v>
      </c>
      <c r="AM45" s="127" t="e">
        <f t="shared" si="35"/>
        <v>#REF!</v>
      </c>
      <c r="AN45" s="127" t="e">
        <f t="shared" si="35"/>
        <v>#REF!</v>
      </c>
      <c r="AO45" s="127" t="e">
        <f t="shared" si="35"/>
        <v>#REF!</v>
      </c>
      <c r="AP45" s="127" t="e">
        <f t="shared" si="35"/>
        <v>#REF!</v>
      </c>
      <c r="AQ45" s="127" t="e">
        <f t="shared" si="35"/>
        <v>#REF!</v>
      </c>
      <c r="AR45" s="127" t="e">
        <f t="shared" si="35"/>
        <v>#REF!</v>
      </c>
      <c r="AS45" s="127" t="e">
        <f t="shared" si="35"/>
        <v>#REF!</v>
      </c>
      <c r="AT45" s="127" t="e">
        <f t="shared" si="35"/>
        <v>#REF!</v>
      </c>
      <c r="AU45" s="127" t="e">
        <f t="shared" si="35"/>
        <v>#REF!</v>
      </c>
      <c r="AV45" s="127" t="e">
        <f t="shared" si="35"/>
        <v>#REF!</v>
      </c>
      <c r="AW45" s="127" t="e">
        <f t="shared" si="35"/>
        <v>#REF!</v>
      </c>
      <c r="AX45" s="127" t="e">
        <f t="shared" si="33"/>
        <v>#REF!</v>
      </c>
      <c r="AY45" s="127" t="e">
        <f t="shared" si="33"/>
        <v>#REF!</v>
      </c>
      <c r="AZ45" s="127" t="e">
        <f t="shared" si="33"/>
        <v>#REF!</v>
      </c>
      <c r="BA45" s="127" t="e">
        <f t="shared" si="33"/>
        <v>#REF!</v>
      </c>
      <c r="BB45" s="127" t="e">
        <f t="shared" si="33"/>
        <v>#REF!</v>
      </c>
      <c r="BC45" s="127" t="e">
        <f t="shared" si="34"/>
        <v>#REF!</v>
      </c>
      <c r="BD45" s="127" t="e">
        <f t="shared" si="34"/>
        <v>#REF!</v>
      </c>
      <c r="BE45" s="127" t="e">
        <f t="shared" si="34"/>
        <v>#REF!</v>
      </c>
      <c r="BF45" s="127" t="e">
        <f t="shared" si="34"/>
        <v>#REF!</v>
      </c>
      <c r="BG45" s="127" t="e">
        <f t="shared" si="32"/>
        <v>#REF!</v>
      </c>
      <c r="BH45" s="127" t="e">
        <f t="shared" si="32"/>
        <v>#REF!</v>
      </c>
      <c r="BI45" s="127" t="e">
        <f t="shared" si="32"/>
        <v>#REF!</v>
      </c>
      <c r="BJ45" s="127" t="e">
        <f t="shared" si="32"/>
        <v>#REF!</v>
      </c>
      <c r="BK45" s="127" t="e">
        <f t="shared" si="32"/>
        <v>#REF!</v>
      </c>
      <c r="BL45" s="127" t="e">
        <f t="shared" si="32"/>
        <v>#REF!</v>
      </c>
      <c r="BM45" s="127" t="e">
        <f t="shared" si="36"/>
        <v>#REF!</v>
      </c>
      <c r="BN45" s="127" t="e">
        <f t="shared" si="36"/>
        <v>#REF!</v>
      </c>
      <c r="BO45" s="127" t="e">
        <f t="shared" si="36"/>
        <v>#REF!</v>
      </c>
      <c r="BP45" s="127" t="e">
        <f t="shared" si="36"/>
        <v>#REF!</v>
      </c>
      <c r="BQ45" s="127" t="e">
        <f t="shared" si="36"/>
        <v>#REF!</v>
      </c>
      <c r="BR45" s="127" t="e">
        <f t="shared" si="36"/>
        <v>#REF!</v>
      </c>
      <c r="BS45" s="127" t="e">
        <f t="shared" si="36"/>
        <v>#REF!</v>
      </c>
      <c r="BT45" s="127" t="e">
        <f t="shared" si="36"/>
        <v>#REF!</v>
      </c>
      <c r="BU45" s="127" t="e">
        <f t="shared" si="36"/>
        <v>#REF!</v>
      </c>
      <c r="BV45" s="127" t="e">
        <f t="shared" si="36"/>
        <v>#REF!</v>
      </c>
      <c r="BW45" s="127" t="e">
        <f t="shared" si="36"/>
        <v>#REF!</v>
      </c>
      <c r="BX45" s="127" t="e">
        <f t="shared" si="36"/>
        <v>#REF!</v>
      </c>
      <c r="BY45" s="127" t="e">
        <f t="shared" si="36"/>
        <v>#REF!</v>
      </c>
      <c r="BZ45" s="127" t="e">
        <f t="shared" si="36"/>
        <v>#REF!</v>
      </c>
      <c r="CA45" s="127" t="e">
        <f t="shared" si="36"/>
        <v>#REF!</v>
      </c>
      <c r="CB45" s="127" t="e">
        <f t="shared" si="36"/>
        <v>#REF!</v>
      </c>
      <c r="CC45" s="127" t="e">
        <f t="shared" si="37"/>
        <v>#REF!</v>
      </c>
      <c r="CD45" s="127" t="e">
        <f t="shared" si="37"/>
        <v>#REF!</v>
      </c>
      <c r="CE45" s="127" t="e">
        <f t="shared" si="37"/>
        <v>#REF!</v>
      </c>
    </row>
    <row r="46" spans="1:83" ht="12" customHeight="1" x14ac:dyDescent="0.2">
      <c r="A46" s="106" t="e">
        <f>SHIPMENTS!#REF!</f>
        <v>#REF!</v>
      </c>
      <c r="B46" s="106" t="e">
        <f>SHIPMENTS!#REF!</f>
        <v>#REF!</v>
      </c>
      <c r="C46" s="132" t="e">
        <f>SHIPMENTS!#REF!</f>
        <v>#REF!</v>
      </c>
      <c r="D46" s="107" t="e">
        <f>IF((SHIPMENTS!#REF!)=0,"",SHIPMENTS!#REF!)</f>
        <v>#REF!</v>
      </c>
      <c r="E46" s="176" t="e">
        <f>IF((SHIPMENTS!#REF!)=0,"",SHIPMENTS!#REF!)</f>
        <v>#REF!</v>
      </c>
      <c r="F46" s="97" t="e">
        <f>VLOOKUP(A46,Items!$A$5:$J$500,9,0)</f>
        <v>#REF!</v>
      </c>
      <c r="G46" s="98" t="e">
        <f>VLOOKUP(A46,load!$A$4:$U$5001,17,0)</f>
        <v>#REF!</v>
      </c>
      <c r="H46" s="97">
        <f>Manhours!$C$27</f>
        <v>42</v>
      </c>
      <c r="I46" s="98">
        <f t="shared" ref="I46:I48" si="54">+H46*$I$4</f>
        <v>382.2</v>
      </c>
      <c r="J46" s="99" t="e">
        <f t="shared" ref="J46:J48" si="55">G46/I46</f>
        <v>#REF!</v>
      </c>
      <c r="K46" s="99" t="e">
        <f t="shared" ref="K46:K48" si="56">+J46*$I$4</f>
        <v>#REF!</v>
      </c>
      <c r="L46" s="98">
        <f t="shared" ref="L46:L48" si="57">IFERROR(J46-(J46*P46),0)</f>
        <v>0</v>
      </c>
      <c r="M46" s="98">
        <f t="shared" ref="M46:M48" si="58">IFERROR(K46-(K46*P46),0)</f>
        <v>0</v>
      </c>
      <c r="N46" s="181">
        <f t="shared" ref="N46:N48" si="59">O45</f>
        <v>46314</v>
      </c>
      <c r="O46" s="181">
        <f t="shared" ref="O46:O48" si="60">+N46+L46</f>
        <v>46314</v>
      </c>
      <c r="P46" s="101" t="e">
        <f>VLOOKUP(A46,SHIPMENTS!$A$7:$N$171,14,0)</f>
        <v>#REF!</v>
      </c>
      <c r="Q46" s="101"/>
      <c r="R46" s="127" t="e">
        <f t="shared" ref="R46:AF48" si="61">IF($E46=R$3,"▲","")</f>
        <v>#REF!</v>
      </c>
      <c r="S46" s="127" t="e">
        <f t="shared" si="61"/>
        <v>#REF!</v>
      </c>
      <c r="T46" s="127" t="e">
        <f t="shared" si="61"/>
        <v>#REF!</v>
      </c>
      <c r="U46" s="127" t="e">
        <f t="shared" si="61"/>
        <v>#REF!</v>
      </c>
      <c r="V46" s="127" t="e">
        <f t="shared" si="61"/>
        <v>#REF!</v>
      </c>
      <c r="W46" s="127" t="e">
        <f t="shared" si="61"/>
        <v>#REF!</v>
      </c>
      <c r="X46" s="127" t="e">
        <f t="shared" si="61"/>
        <v>#REF!</v>
      </c>
      <c r="Y46" s="127" t="e">
        <f t="shared" si="61"/>
        <v>#REF!</v>
      </c>
      <c r="Z46" s="127" t="e">
        <f t="shared" si="61"/>
        <v>#REF!</v>
      </c>
      <c r="AA46" s="127" t="e">
        <f t="shared" si="61"/>
        <v>#REF!</v>
      </c>
      <c r="AB46" s="127" t="e">
        <f t="shared" si="61"/>
        <v>#REF!</v>
      </c>
      <c r="AC46" s="127" t="e">
        <f t="shared" si="61"/>
        <v>#REF!</v>
      </c>
      <c r="AD46" s="127" t="e">
        <f t="shared" si="61"/>
        <v>#REF!</v>
      </c>
      <c r="AE46" s="127" t="e">
        <f t="shared" si="61"/>
        <v>#REF!</v>
      </c>
      <c r="AF46" s="127" t="e">
        <f t="shared" si="61"/>
        <v>#REF!</v>
      </c>
      <c r="AG46" s="127" t="e">
        <f t="shared" si="53"/>
        <v>#REF!</v>
      </c>
      <c r="AH46" s="127" t="e">
        <f t="shared" si="35"/>
        <v>#REF!</v>
      </c>
      <c r="AI46" s="127" t="e">
        <f t="shared" si="35"/>
        <v>#REF!</v>
      </c>
      <c r="AJ46" s="127" t="e">
        <f t="shared" si="35"/>
        <v>#REF!</v>
      </c>
      <c r="AK46" s="127" t="e">
        <f t="shared" si="35"/>
        <v>#REF!</v>
      </c>
      <c r="AL46" s="127" t="e">
        <f t="shared" si="35"/>
        <v>#REF!</v>
      </c>
      <c r="AM46" s="127" t="e">
        <f t="shared" si="35"/>
        <v>#REF!</v>
      </c>
      <c r="AN46" s="127" t="e">
        <f t="shared" si="35"/>
        <v>#REF!</v>
      </c>
      <c r="AO46" s="127" t="e">
        <f t="shared" si="35"/>
        <v>#REF!</v>
      </c>
      <c r="AP46" s="127" t="e">
        <f t="shared" si="35"/>
        <v>#REF!</v>
      </c>
      <c r="AQ46" s="127" t="e">
        <f t="shared" si="35"/>
        <v>#REF!</v>
      </c>
      <c r="AR46" s="127" t="e">
        <f t="shared" si="35"/>
        <v>#REF!</v>
      </c>
      <c r="AS46" s="127" t="e">
        <f t="shared" si="35"/>
        <v>#REF!</v>
      </c>
      <c r="AT46" s="127" t="e">
        <f t="shared" si="35"/>
        <v>#REF!</v>
      </c>
      <c r="AU46" s="127" t="e">
        <f t="shared" si="35"/>
        <v>#REF!</v>
      </c>
      <c r="AV46" s="127" t="e">
        <f t="shared" si="35"/>
        <v>#REF!</v>
      </c>
      <c r="AW46" s="127" t="e">
        <f t="shared" si="35"/>
        <v>#REF!</v>
      </c>
      <c r="AX46" s="127" t="e">
        <f t="shared" si="33"/>
        <v>#REF!</v>
      </c>
      <c r="AY46" s="127" t="e">
        <f t="shared" si="33"/>
        <v>#REF!</v>
      </c>
      <c r="AZ46" s="127" t="e">
        <f t="shared" si="33"/>
        <v>#REF!</v>
      </c>
      <c r="BA46" s="127" t="e">
        <f t="shared" si="33"/>
        <v>#REF!</v>
      </c>
      <c r="BB46" s="127" t="e">
        <f t="shared" si="33"/>
        <v>#REF!</v>
      </c>
      <c r="BC46" s="127" t="e">
        <f t="shared" si="34"/>
        <v>#REF!</v>
      </c>
      <c r="BD46" s="127" t="e">
        <f t="shared" si="34"/>
        <v>#REF!</v>
      </c>
      <c r="BE46" s="127" t="e">
        <f t="shared" si="34"/>
        <v>#REF!</v>
      </c>
      <c r="BF46" s="127" t="e">
        <f t="shared" si="34"/>
        <v>#REF!</v>
      </c>
      <c r="BG46" s="127" t="e">
        <f t="shared" si="32"/>
        <v>#REF!</v>
      </c>
      <c r="BH46" s="127" t="e">
        <f t="shared" si="32"/>
        <v>#REF!</v>
      </c>
      <c r="BI46" s="127" t="e">
        <f t="shared" si="32"/>
        <v>#REF!</v>
      </c>
      <c r="BJ46" s="127" t="e">
        <f t="shared" si="32"/>
        <v>#REF!</v>
      </c>
      <c r="BK46" s="127" t="e">
        <f t="shared" si="32"/>
        <v>#REF!</v>
      </c>
      <c r="BL46" s="127" t="e">
        <f t="shared" si="32"/>
        <v>#REF!</v>
      </c>
      <c r="BM46" s="127" t="e">
        <f t="shared" si="36"/>
        <v>#REF!</v>
      </c>
      <c r="BN46" s="127" t="e">
        <f t="shared" si="36"/>
        <v>#REF!</v>
      </c>
      <c r="BO46" s="127" t="e">
        <f t="shared" si="36"/>
        <v>#REF!</v>
      </c>
      <c r="BP46" s="127" t="e">
        <f t="shared" si="36"/>
        <v>#REF!</v>
      </c>
      <c r="BQ46" s="127" t="e">
        <f t="shared" si="36"/>
        <v>#REF!</v>
      </c>
      <c r="BR46" s="127" t="e">
        <f t="shared" si="36"/>
        <v>#REF!</v>
      </c>
      <c r="BS46" s="127" t="e">
        <f t="shared" si="36"/>
        <v>#REF!</v>
      </c>
      <c r="BT46" s="127" t="e">
        <f t="shared" si="36"/>
        <v>#REF!</v>
      </c>
      <c r="BU46" s="127" t="e">
        <f t="shared" si="36"/>
        <v>#REF!</v>
      </c>
      <c r="BV46" s="127" t="e">
        <f t="shared" si="36"/>
        <v>#REF!</v>
      </c>
      <c r="BW46" s="127" t="e">
        <f t="shared" si="36"/>
        <v>#REF!</v>
      </c>
      <c r="BX46" s="127" t="e">
        <f t="shared" si="36"/>
        <v>#REF!</v>
      </c>
      <c r="BY46" s="127" t="e">
        <f t="shared" si="36"/>
        <v>#REF!</v>
      </c>
      <c r="BZ46" s="127" t="e">
        <f t="shared" si="36"/>
        <v>#REF!</v>
      </c>
      <c r="CA46" s="127" t="e">
        <f t="shared" si="36"/>
        <v>#REF!</v>
      </c>
      <c r="CB46" s="127" t="e">
        <f t="shared" si="36"/>
        <v>#REF!</v>
      </c>
      <c r="CC46" s="127" t="e">
        <f t="shared" si="37"/>
        <v>#REF!</v>
      </c>
      <c r="CD46" s="127" t="e">
        <f t="shared" si="37"/>
        <v>#REF!</v>
      </c>
      <c r="CE46" s="127" t="e">
        <f t="shared" si="37"/>
        <v>#REF!</v>
      </c>
    </row>
    <row r="47" spans="1:83" ht="12" customHeight="1" x14ac:dyDescent="0.2">
      <c r="A47" s="106" t="e">
        <f>SHIPMENTS!#REF!</f>
        <v>#REF!</v>
      </c>
      <c r="B47" s="106" t="e">
        <f>SHIPMENTS!#REF!</f>
        <v>#REF!</v>
      </c>
      <c r="C47" s="132" t="e">
        <f>SHIPMENTS!#REF!</f>
        <v>#REF!</v>
      </c>
      <c r="D47" s="107" t="e">
        <f>IF((SHIPMENTS!#REF!)=0,"",SHIPMENTS!#REF!)</f>
        <v>#REF!</v>
      </c>
      <c r="E47" s="176" t="e">
        <f>IF((SHIPMENTS!#REF!)=0,"",SHIPMENTS!#REF!)</f>
        <v>#REF!</v>
      </c>
      <c r="F47" s="97" t="e">
        <f>VLOOKUP(A47,Items!$A$5:$J$500,9,0)</f>
        <v>#REF!</v>
      </c>
      <c r="G47" s="98" t="e">
        <f>VLOOKUP(A47,load!$A$4:$U$5001,17,0)</f>
        <v>#REF!</v>
      </c>
      <c r="H47" s="97">
        <f>Manhours!$C$27</f>
        <v>42</v>
      </c>
      <c r="I47" s="98">
        <f t="shared" si="54"/>
        <v>382.2</v>
      </c>
      <c r="J47" s="99" t="e">
        <f t="shared" si="55"/>
        <v>#REF!</v>
      </c>
      <c r="K47" s="99" t="e">
        <f t="shared" si="56"/>
        <v>#REF!</v>
      </c>
      <c r="L47" s="98">
        <f t="shared" si="57"/>
        <v>0</v>
      </c>
      <c r="M47" s="98">
        <f t="shared" si="58"/>
        <v>0</v>
      </c>
      <c r="N47" s="181">
        <f t="shared" si="59"/>
        <v>46314</v>
      </c>
      <c r="O47" s="181">
        <f t="shared" si="60"/>
        <v>46314</v>
      </c>
      <c r="P47" s="101" t="e">
        <f>VLOOKUP(A47,SHIPMENTS!$A$7:$N$171,14,0)</f>
        <v>#REF!</v>
      </c>
      <c r="Q47" s="101"/>
      <c r="R47" s="127" t="e">
        <f t="shared" si="61"/>
        <v>#REF!</v>
      </c>
      <c r="S47" s="127" t="e">
        <f t="shared" si="61"/>
        <v>#REF!</v>
      </c>
      <c r="T47" s="127" t="e">
        <f t="shared" si="61"/>
        <v>#REF!</v>
      </c>
      <c r="U47" s="127" t="e">
        <f t="shared" si="61"/>
        <v>#REF!</v>
      </c>
      <c r="V47" s="127" t="e">
        <f t="shared" si="61"/>
        <v>#REF!</v>
      </c>
      <c r="W47" s="127" t="e">
        <f t="shared" si="61"/>
        <v>#REF!</v>
      </c>
      <c r="X47" s="127" t="e">
        <f t="shared" si="61"/>
        <v>#REF!</v>
      </c>
      <c r="Y47" s="127" t="e">
        <f t="shared" si="61"/>
        <v>#REF!</v>
      </c>
      <c r="Z47" s="127" t="e">
        <f t="shared" si="61"/>
        <v>#REF!</v>
      </c>
      <c r="AA47" s="127" t="e">
        <f t="shared" si="61"/>
        <v>#REF!</v>
      </c>
      <c r="AB47" s="127" t="e">
        <f t="shared" si="61"/>
        <v>#REF!</v>
      </c>
      <c r="AC47" s="127" t="e">
        <f t="shared" si="61"/>
        <v>#REF!</v>
      </c>
      <c r="AD47" s="127" t="e">
        <f t="shared" si="61"/>
        <v>#REF!</v>
      </c>
      <c r="AE47" s="127" t="e">
        <f t="shared" si="61"/>
        <v>#REF!</v>
      </c>
      <c r="AF47" s="127" t="e">
        <f t="shared" si="61"/>
        <v>#REF!</v>
      </c>
      <c r="AG47" s="127" t="e">
        <f t="shared" si="53"/>
        <v>#REF!</v>
      </c>
      <c r="AH47" s="127" t="e">
        <f t="shared" si="35"/>
        <v>#REF!</v>
      </c>
      <c r="AI47" s="127" t="e">
        <f t="shared" si="35"/>
        <v>#REF!</v>
      </c>
      <c r="AJ47" s="127" t="e">
        <f t="shared" si="35"/>
        <v>#REF!</v>
      </c>
      <c r="AK47" s="127" t="e">
        <f t="shared" si="35"/>
        <v>#REF!</v>
      </c>
      <c r="AL47" s="127" t="e">
        <f t="shared" si="35"/>
        <v>#REF!</v>
      </c>
      <c r="AM47" s="127" t="e">
        <f t="shared" si="35"/>
        <v>#REF!</v>
      </c>
      <c r="AN47" s="127" t="e">
        <f t="shared" si="35"/>
        <v>#REF!</v>
      </c>
      <c r="AO47" s="127" t="e">
        <f t="shared" si="35"/>
        <v>#REF!</v>
      </c>
      <c r="AP47" s="127" t="e">
        <f t="shared" si="35"/>
        <v>#REF!</v>
      </c>
      <c r="AQ47" s="127" t="e">
        <f t="shared" si="35"/>
        <v>#REF!</v>
      </c>
      <c r="AR47" s="127" t="e">
        <f t="shared" si="35"/>
        <v>#REF!</v>
      </c>
      <c r="AS47" s="127" t="e">
        <f t="shared" si="35"/>
        <v>#REF!</v>
      </c>
      <c r="AT47" s="127" t="e">
        <f t="shared" si="35"/>
        <v>#REF!</v>
      </c>
      <c r="AU47" s="127" t="e">
        <f t="shared" si="35"/>
        <v>#REF!</v>
      </c>
      <c r="AV47" s="127" t="e">
        <f t="shared" si="35"/>
        <v>#REF!</v>
      </c>
      <c r="AW47" s="127" t="e">
        <f t="shared" si="35"/>
        <v>#REF!</v>
      </c>
      <c r="AX47" s="127" t="e">
        <f t="shared" si="33"/>
        <v>#REF!</v>
      </c>
      <c r="AY47" s="127" t="e">
        <f t="shared" si="33"/>
        <v>#REF!</v>
      </c>
      <c r="AZ47" s="127" t="e">
        <f t="shared" si="33"/>
        <v>#REF!</v>
      </c>
      <c r="BA47" s="127" t="e">
        <f t="shared" si="33"/>
        <v>#REF!</v>
      </c>
      <c r="BB47" s="127" t="e">
        <f t="shared" si="33"/>
        <v>#REF!</v>
      </c>
      <c r="BC47" s="127" t="e">
        <f t="shared" si="34"/>
        <v>#REF!</v>
      </c>
      <c r="BD47" s="127" t="e">
        <f t="shared" si="34"/>
        <v>#REF!</v>
      </c>
      <c r="BE47" s="127" t="e">
        <f t="shared" si="34"/>
        <v>#REF!</v>
      </c>
      <c r="BF47" s="127" t="e">
        <f t="shared" si="34"/>
        <v>#REF!</v>
      </c>
      <c r="BG47" s="127" t="e">
        <f t="shared" si="32"/>
        <v>#REF!</v>
      </c>
      <c r="BH47" s="127" t="e">
        <f t="shared" si="32"/>
        <v>#REF!</v>
      </c>
      <c r="BI47" s="127" t="e">
        <f t="shared" si="32"/>
        <v>#REF!</v>
      </c>
      <c r="BJ47" s="127" t="e">
        <f t="shared" si="32"/>
        <v>#REF!</v>
      </c>
      <c r="BK47" s="127" t="e">
        <f t="shared" si="32"/>
        <v>#REF!</v>
      </c>
      <c r="BL47" s="127" t="e">
        <f t="shared" si="32"/>
        <v>#REF!</v>
      </c>
      <c r="BM47" s="127" t="e">
        <f t="shared" si="36"/>
        <v>#REF!</v>
      </c>
      <c r="BN47" s="127" t="e">
        <f t="shared" si="36"/>
        <v>#REF!</v>
      </c>
      <c r="BO47" s="127" t="e">
        <f t="shared" si="36"/>
        <v>#REF!</v>
      </c>
      <c r="BP47" s="127" t="e">
        <f t="shared" si="36"/>
        <v>#REF!</v>
      </c>
      <c r="BQ47" s="127" t="e">
        <f t="shared" si="36"/>
        <v>#REF!</v>
      </c>
      <c r="BR47" s="127" t="e">
        <f t="shared" si="36"/>
        <v>#REF!</v>
      </c>
      <c r="BS47" s="127" t="e">
        <f t="shared" si="36"/>
        <v>#REF!</v>
      </c>
      <c r="BT47" s="127" t="e">
        <f t="shared" si="36"/>
        <v>#REF!</v>
      </c>
      <c r="BU47" s="127" t="e">
        <f t="shared" si="36"/>
        <v>#REF!</v>
      </c>
      <c r="BV47" s="127" t="e">
        <f t="shared" si="36"/>
        <v>#REF!</v>
      </c>
      <c r="BW47" s="127" t="e">
        <f t="shared" si="36"/>
        <v>#REF!</v>
      </c>
      <c r="BX47" s="127" t="e">
        <f t="shared" si="36"/>
        <v>#REF!</v>
      </c>
      <c r="BY47" s="127" t="e">
        <f t="shared" si="36"/>
        <v>#REF!</v>
      </c>
      <c r="BZ47" s="127" t="e">
        <f t="shared" si="36"/>
        <v>#REF!</v>
      </c>
      <c r="CA47" s="127" t="e">
        <f t="shared" si="36"/>
        <v>#REF!</v>
      </c>
      <c r="CB47" s="127" t="e">
        <f t="shared" si="36"/>
        <v>#REF!</v>
      </c>
      <c r="CC47" s="127" t="e">
        <f t="shared" si="37"/>
        <v>#REF!</v>
      </c>
      <c r="CD47" s="127" t="e">
        <f t="shared" si="37"/>
        <v>#REF!</v>
      </c>
      <c r="CE47" s="127" t="e">
        <f t="shared" si="37"/>
        <v>#REF!</v>
      </c>
    </row>
    <row r="48" spans="1:83" ht="12" customHeight="1" x14ac:dyDescent="0.2">
      <c r="A48" s="106" t="e">
        <f>SHIPMENTS!#REF!</f>
        <v>#REF!</v>
      </c>
      <c r="B48" s="106" t="e">
        <f>SHIPMENTS!#REF!</f>
        <v>#REF!</v>
      </c>
      <c r="C48" s="132" t="e">
        <f>SHIPMENTS!#REF!</f>
        <v>#REF!</v>
      </c>
      <c r="D48" s="107" t="e">
        <f>IF((SHIPMENTS!#REF!)=0,"",SHIPMENTS!#REF!)</f>
        <v>#REF!</v>
      </c>
      <c r="E48" s="176" t="e">
        <f>IF((SHIPMENTS!#REF!)=0,"",SHIPMENTS!#REF!)</f>
        <v>#REF!</v>
      </c>
      <c r="F48" s="97" t="e">
        <f>VLOOKUP(A48,Items!$A$5:$J$500,9,0)</f>
        <v>#REF!</v>
      </c>
      <c r="G48" s="98" t="e">
        <f>VLOOKUP(A48,load!$A$4:$U$5001,17,0)</f>
        <v>#REF!</v>
      </c>
      <c r="H48" s="97">
        <f>Manhours!$C$27</f>
        <v>42</v>
      </c>
      <c r="I48" s="98">
        <f t="shared" si="54"/>
        <v>382.2</v>
      </c>
      <c r="J48" s="99" t="e">
        <f t="shared" si="55"/>
        <v>#REF!</v>
      </c>
      <c r="K48" s="99" t="e">
        <f t="shared" si="56"/>
        <v>#REF!</v>
      </c>
      <c r="L48" s="98">
        <f t="shared" si="57"/>
        <v>0</v>
      </c>
      <c r="M48" s="98">
        <f t="shared" si="58"/>
        <v>0</v>
      </c>
      <c r="N48" s="181">
        <f t="shared" si="59"/>
        <v>46314</v>
      </c>
      <c r="O48" s="181">
        <f t="shared" si="60"/>
        <v>46314</v>
      </c>
      <c r="P48" s="101" t="e">
        <f>VLOOKUP(A48,SHIPMENTS!$A$7:$N$171,14,0)</f>
        <v>#REF!</v>
      </c>
      <c r="Q48" s="101"/>
      <c r="R48" s="127" t="e">
        <f t="shared" si="61"/>
        <v>#REF!</v>
      </c>
      <c r="S48" s="127" t="e">
        <f t="shared" si="61"/>
        <v>#REF!</v>
      </c>
      <c r="T48" s="127" t="e">
        <f t="shared" si="61"/>
        <v>#REF!</v>
      </c>
      <c r="U48" s="127" t="e">
        <f t="shared" si="61"/>
        <v>#REF!</v>
      </c>
      <c r="V48" s="127" t="e">
        <f t="shared" si="61"/>
        <v>#REF!</v>
      </c>
      <c r="W48" s="127" t="e">
        <f t="shared" si="61"/>
        <v>#REF!</v>
      </c>
      <c r="X48" s="127" t="e">
        <f t="shared" si="61"/>
        <v>#REF!</v>
      </c>
      <c r="Y48" s="127" t="e">
        <f t="shared" si="61"/>
        <v>#REF!</v>
      </c>
      <c r="Z48" s="127" t="e">
        <f t="shared" si="61"/>
        <v>#REF!</v>
      </c>
      <c r="AA48" s="127" t="e">
        <f t="shared" si="61"/>
        <v>#REF!</v>
      </c>
      <c r="AB48" s="127" t="e">
        <f t="shared" si="61"/>
        <v>#REF!</v>
      </c>
      <c r="AC48" s="127" t="e">
        <f t="shared" si="61"/>
        <v>#REF!</v>
      </c>
      <c r="AD48" s="127" t="e">
        <f t="shared" si="61"/>
        <v>#REF!</v>
      </c>
      <c r="AE48" s="127" t="e">
        <f t="shared" si="61"/>
        <v>#REF!</v>
      </c>
      <c r="AF48" s="127" t="e">
        <f t="shared" si="61"/>
        <v>#REF!</v>
      </c>
      <c r="AG48" s="127" t="e">
        <f t="shared" si="53"/>
        <v>#REF!</v>
      </c>
      <c r="AH48" s="127" t="e">
        <f t="shared" si="35"/>
        <v>#REF!</v>
      </c>
      <c r="AI48" s="127" t="e">
        <f t="shared" si="35"/>
        <v>#REF!</v>
      </c>
      <c r="AJ48" s="127" t="e">
        <f t="shared" si="35"/>
        <v>#REF!</v>
      </c>
      <c r="AK48" s="127" t="e">
        <f t="shared" si="35"/>
        <v>#REF!</v>
      </c>
      <c r="AL48" s="127" t="e">
        <f t="shared" si="35"/>
        <v>#REF!</v>
      </c>
      <c r="AM48" s="127" t="e">
        <f t="shared" si="35"/>
        <v>#REF!</v>
      </c>
      <c r="AN48" s="127" t="e">
        <f t="shared" si="35"/>
        <v>#REF!</v>
      </c>
      <c r="AO48" s="127" t="e">
        <f t="shared" si="35"/>
        <v>#REF!</v>
      </c>
      <c r="AP48" s="127" t="e">
        <f t="shared" si="35"/>
        <v>#REF!</v>
      </c>
      <c r="AQ48" s="127" t="e">
        <f t="shared" si="35"/>
        <v>#REF!</v>
      </c>
      <c r="AR48" s="127" t="e">
        <f t="shared" si="35"/>
        <v>#REF!</v>
      </c>
      <c r="AS48" s="127" t="e">
        <f t="shared" si="35"/>
        <v>#REF!</v>
      </c>
      <c r="AT48" s="127" t="e">
        <f t="shared" si="35"/>
        <v>#REF!</v>
      </c>
      <c r="AU48" s="127" t="e">
        <f t="shared" si="35"/>
        <v>#REF!</v>
      </c>
      <c r="AV48" s="127" t="e">
        <f t="shared" si="35"/>
        <v>#REF!</v>
      </c>
      <c r="AW48" s="127" t="e">
        <f t="shared" si="35"/>
        <v>#REF!</v>
      </c>
      <c r="AX48" s="127" t="e">
        <f t="shared" si="33"/>
        <v>#REF!</v>
      </c>
      <c r="AY48" s="127" t="e">
        <f t="shared" si="33"/>
        <v>#REF!</v>
      </c>
      <c r="AZ48" s="127" t="e">
        <f t="shared" si="33"/>
        <v>#REF!</v>
      </c>
      <c r="BA48" s="127" t="e">
        <f t="shared" si="33"/>
        <v>#REF!</v>
      </c>
      <c r="BB48" s="127" t="e">
        <f t="shared" si="33"/>
        <v>#REF!</v>
      </c>
      <c r="BC48" s="127" t="e">
        <f t="shared" si="34"/>
        <v>#REF!</v>
      </c>
      <c r="BD48" s="127" t="e">
        <f t="shared" si="34"/>
        <v>#REF!</v>
      </c>
      <c r="BE48" s="127" t="e">
        <f t="shared" si="34"/>
        <v>#REF!</v>
      </c>
      <c r="BF48" s="127" t="e">
        <f t="shared" si="34"/>
        <v>#REF!</v>
      </c>
      <c r="BG48" s="127" t="e">
        <f t="shared" si="32"/>
        <v>#REF!</v>
      </c>
      <c r="BH48" s="127" t="e">
        <f t="shared" si="32"/>
        <v>#REF!</v>
      </c>
      <c r="BI48" s="127" t="e">
        <f t="shared" si="32"/>
        <v>#REF!</v>
      </c>
      <c r="BJ48" s="127" t="e">
        <f t="shared" si="32"/>
        <v>#REF!</v>
      </c>
      <c r="BK48" s="127" t="e">
        <f t="shared" si="32"/>
        <v>#REF!</v>
      </c>
      <c r="BL48" s="127" t="e">
        <f t="shared" si="32"/>
        <v>#REF!</v>
      </c>
      <c r="BM48" s="127" t="e">
        <f t="shared" si="36"/>
        <v>#REF!</v>
      </c>
      <c r="BN48" s="127" t="e">
        <f t="shared" si="36"/>
        <v>#REF!</v>
      </c>
      <c r="BO48" s="127" t="e">
        <f t="shared" si="36"/>
        <v>#REF!</v>
      </c>
      <c r="BP48" s="127" t="e">
        <f t="shared" si="36"/>
        <v>#REF!</v>
      </c>
      <c r="BQ48" s="127" t="e">
        <f t="shared" si="36"/>
        <v>#REF!</v>
      </c>
      <c r="BR48" s="127" t="e">
        <f t="shared" si="36"/>
        <v>#REF!</v>
      </c>
      <c r="BS48" s="127" t="e">
        <f t="shared" si="36"/>
        <v>#REF!</v>
      </c>
      <c r="BT48" s="127" t="e">
        <f t="shared" si="36"/>
        <v>#REF!</v>
      </c>
      <c r="BU48" s="127" t="e">
        <f t="shared" si="36"/>
        <v>#REF!</v>
      </c>
      <c r="BV48" s="127" t="e">
        <f t="shared" si="36"/>
        <v>#REF!</v>
      </c>
      <c r="BW48" s="127" t="e">
        <f t="shared" si="36"/>
        <v>#REF!</v>
      </c>
      <c r="BX48" s="127" t="e">
        <f t="shared" si="36"/>
        <v>#REF!</v>
      </c>
      <c r="BY48" s="127" t="e">
        <f t="shared" si="36"/>
        <v>#REF!</v>
      </c>
      <c r="BZ48" s="127" t="e">
        <f t="shared" si="36"/>
        <v>#REF!</v>
      </c>
      <c r="CA48" s="127" t="e">
        <f t="shared" si="36"/>
        <v>#REF!</v>
      </c>
      <c r="CB48" s="127" t="e">
        <f t="shared" si="36"/>
        <v>#REF!</v>
      </c>
      <c r="CC48" s="127" t="e">
        <f t="shared" si="37"/>
        <v>#REF!</v>
      </c>
      <c r="CD48" s="127" t="e">
        <f t="shared" si="37"/>
        <v>#REF!</v>
      </c>
      <c r="CE48" s="127" t="e">
        <f t="shared" si="37"/>
        <v>#REF!</v>
      </c>
    </row>
  </sheetData>
  <autoFilter ref="A7:AZ48" xr:uid="{00000000-0009-0000-0000-00000E000000}">
    <filterColumn colId="15">
      <filters>
        <filter val="0%"/>
        <filter val="100%"/>
      </filters>
    </filterColumn>
  </autoFilter>
  <mergeCells count="16">
    <mergeCell ref="M5:M6"/>
    <mergeCell ref="N5:N6"/>
    <mergeCell ref="O5:O6"/>
    <mergeCell ref="P5:P6"/>
    <mergeCell ref="G5:G6"/>
    <mergeCell ref="H5:H6"/>
    <mergeCell ref="I5:I6"/>
    <mergeCell ref="J5:J6"/>
    <mergeCell ref="K5:K6"/>
    <mergeCell ref="L5:L6"/>
    <mergeCell ref="F5:F6"/>
    <mergeCell ref="A5:A6"/>
    <mergeCell ref="B5:B6"/>
    <mergeCell ref="C5:C6"/>
    <mergeCell ref="D5:D6"/>
    <mergeCell ref="E5:E6"/>
  </mergeCells>
  <conditionalFormatting sqref="O8:O48">
    <cfRule type="cellIs" dxfId="66" priority="15" operator="greaterThan">
      <formula>E8</formula>
    </cfRule>
  </conditionalFormatting>
  <conditionalFormatting sqref="P1:Q5 P7:Q1048576">
    <cfRule type="cellIs" dxfId="65" priority="412" operator="lessThan">
      <formula>1</formula>
    </cfRule>
    <cfRule type="cellIs" dxfId="64" priority="413" operator="equal">
      <formula>1</formula>
    </cfRule>
  </conditionalFormatting>
  <conditionalFormatting sqref="P8:Q27 P9:P48">
    <cfRule type="dataBar" priority="491">
      <dataBar>
        <cfvo type="num" val="0"/>
        <cfvo type="num" val="1"/>
        <color rgb="FFFFB628"/>
      </dataBar>
      <extLst>
        <ext xmlns:x14="http://schemas.microsoft.com/office/spreadsheetml/2009/9/main" uri="{B025F937-C7B1-47D3-B67F-A62EFF666E3E}">
          <x14:id>{86679A8B-A1C5-4394-BDB9-ABC8CFBC505C}</x14:id>
        </ext>
      </extLst>
    </cfRule>
  </conditionalFormatting>
  <conditionalFormatting sqref="P28:Q28">
    <cfRule type="dataBar" priority="339">
      <dataBar>
        <cfvo type="num" val="0"/>
        <cfvo type="num" val="1"/>
        <color rgb="FFFFB628"/>
      </dataBar>
      <extLst>
        <ext xmlns:x14="http://schemas.microsoft.com/office/spreadsheetml/2009/9/main" uri="{B025F937-C7B1-47D3-B67F-A62EFF666E3E}">
          <x14:id>{93E859EB-72B4-46E9-8B44-5C7BC212FD0D}</x14:id>
        </ext>
      </extLst>
    </cfRule>
  </conditionalFormatting>
  <conditionalFormatting sqref="P29:Q40">
    <cfRule type="dataBar" priority="335">
      <dataBar>
        <cfvo type="num" val="0"/>
        <cfvo type="num" val="1"/>
        <color rgb="FFFFB628"/>
      </dataBar>
      <extLst>
        <ext xmlns:x14="http://schemas.microsoft.com/office/spreadsheetml/2009/9/main" uri="{B025F937-C7B1-47D3-B67F-A62EFF666E3E}">
          <x14:id>{0FBB687D-6D5F-4E2F-8C65-7AD0C46AAC54}</x14:id>
        </ext>
      </extLst>
    </cfRule>
  </conditionalFormatting>
  <conditionalFormatting sqref="P41:Q42">
    <cfRule type="dataBar" priority="243">
      <dataBar>
        <cfvo type="num" val="0"/>
        <cfvo type="num" val="1"/>
        <color rgb="FFFFB628"/>
      </dataBar>
      <extLst>
        <ext xmlns:x14="http://schemas.microsoft.com/office/spreadsheetml/2009/9/main" uri="{B025F937-C7B1-47D3-B67F-A62EFF666E3E}">
          <x14:id>{9562FF51-9659-48DC-AA28-28C71A89789E}</x14:id>
        </ext>
      </extLst>
    </cfRule>
  </conditionalFormatting>
  <conditionalFormatting sqref="P43:Q43">
    <cfRule type="dataBar" priority="227">
      <dataBar>
        <cfvo type="num" val="0"/>
        <cfvo type="num" val="1"/>
        <color rgb="FFFFB628"/>
      </dataBar>
      <extLst>
        <ext xmlns:x14="http://schemas.microsoft.com/office/spreadsheetml/2009/9/main" uri="{B025F937-C7B1-47D3-B67F-A62EFF666E3E}">
          <x14:id>{5886865C-4301-4E52-8D92-026D54262548}</x14:id>
        </ext>
      </extLst>
    </cfRule>
  </conditionalFormatting>
  <conditionalFormatting sqref="P44:Q45">
    <cfRule type="dataBar" priority="130">
      <dataBar>
        <cfvo type="num" val="0"/>
        <cfvo type="num" val="1"/>
        <color rgb="FFFFB628"/>
      </dataBar>
      <extLst>
        <ext xmlns:x14="http://schemas.microsoft.com/office/spreadsheetml/2009/9/main" uri="{B025F937-C7B1-47D3-B67F-A62EFF666E3E}">
          <x14:id>{E540E8BB-7D0E-495D-8B21-154C7D68861F}</x14:id>
        </ext>
      </extLst>
    </cfRule>
  </conditionalFormatting>
  <conditionalFormatting sqref="P46:Q48">
    <cfRule type="dataBar" priority="11">
      <dataBar>
        <cfvo type="num" val="0"/>
        <cfvo type="num" val="1"/>
        <color rgb="FFFFB628"/>
      </dataBar>
      <extLst>
        <ext xmlns:x14="http://schemas.microsoft.com/office/spreadsheetml/2009/9/main" uri="{B025F937-C7B1-47D3-B67F-A62EFF666E3E}">
          <x14:id>{7BA8814B-F654-4C42-ADA8-5E924DAA22E0}</x14:id>
        </ext>
      </extLst>
    </cfRule>
  </conditionalFormatting>
  <conditionalFormatting sqref="R8:BF27 AW8:CE45">
    <cfRule type="cellIs" dxfId="63" priority="411" operator="equal">
      <formula>1</formula>
    </cfRule>
  </conditionalFormatting>
  <conditionalFormatting sqref="R8:BF48">
    <cfRule type="cellIs" dxfId="62" priority="9" operator="equal">
      <formula>1</formula>
    </cfRule>
  </conditionalFormatting>
  <conditionalFormatting sqref="R28:BF28">
    <cfRule type="cellIs" dxfId="61" priority="338" operator="equal">
      <formula>1</formula>
    </cfRule>
  </conditionalFormatting>
  <conditionalFormatting sqref="R29:BF48">
    <cfRule type="cellIs" dxfId="60" priority="10" operator="equal">
      <formula>1</formula>
    </cfRule>
  </conditionalFormatting>
  <conditionalFormatting sqref="R1:CE1">
    <cfRule type="cellIs" dxfId="59" priority="50" operator="notEqual">
      <formula>0</formula>
    </cfRule>
  </conditionalFormatting>
  <conditionalFormatting sqref="R28:CE28">
    <cfRule type="expression" dxfId="58" priority="336">
      <formula>IF(AND($N28&lt;=R$3,$O28&gt;=R$3),1,"")</formula>
    </cfRule>
  </conditionalFormatting>
  <conditionalFormatting sqref="R29:CE48 R8:CE27">
    <cfRule type="expression" dxfId="57" priority="253">
      <formula>IF(AND($N8&lt;=R$3,$O8&gt;=R$3),1,"")</formula>
    </cfRule>
  </conditionalFormatting>
  <conditionalFormatting sqref="AW8:CE45">
    <cfRule type="cellIs" dxfId="56" priority="410" operator="equal">
      <formula>1</formula>
    </cfRule>
  </conditionalFormatting>
  <conditionalFormatting sqref="AW46:CE48">
    <cfRule type="cellIs" dxfId="55" priority="13" operator="equal">
      <formula>1</formula>
    </cfRule>
    <cfRule type="cellIs" dxfId="54" priority="14" operator="equal">
      <formula>1</formula>
    </cfRule>
  </conditionalFormatting>
  <conditionalFormatting sqref="BH8:BL40">
    <cfRule type="cellIs" dxfId="53" priority="312" operator="equal">
      <formula>1</formula>
    </cfRule>
  </conditionalFormatting>
  <conditionalFormatting sqref="BH8:BL48">
    <cfRule type="cellIs" dxfId="52" priority="7" operator="equal">
      <formula>1</formula>
    </cfRule>
  </conditionalFormatting>
  <conditionalFormatting sqref="BH41:BL48">
    <cfRule type="cellIs" dxfId="51" priority="8" operator="equal">
      <formula>1</formula>
    </cfRule>
  </conditionalFormatting>
  <conditionalFormatting sqref="BN8:BR40">
    <cfRule type="cellIs" dxfId="50" priority="290" operator="equal">
      <formula>1</formula>
    </cfRule>
  </conditionalFormatting>
  <conditionalFormatting sqref="BN8:BR48">
    <cfRule type="cellIs" dxfId="49" priority="5" operator="equal">
      <formula>1</formula>
    </cfRule>
  </conditionalFormatting>
  <conditionalFormatting sqref="BN41:BR48">
    <cfRule type="cellIs" dxfId="48" priority="6" operator="equal">
      <formula>1</formula>
    </cfRule>
  </conditionalFormatting>
  <conditionalFormatting sqref="BT8:BX40">
    <cfRule type="cellIs" dxfId="47" priority="268" operator="equal">
      <formula>1</formula>
    </cfRule>
  </conditionalFormatting>
  <conditionalFormatting sqref="BT8:BX48">
    <cfRule type="cellIs" dxfId="46" priority="3" operator="equal">
      <formula>1</formula>
    </cfRule>
  </conditionalFormatting>
  <conditionalFormatting sqref="BT41:BX48">
    <cfRule type="cellIs" dxfId="45" priority="4" operator="equal">
      <formula>1</formula>
    </cfRule>
  </conditionalFormatting>
  <conditionalFormatting sqref="BZ8:CD27">
    <cfRule type="cellIs" dxfId="44" priority="265" operator="equal">
      <formula>1</formula>
    </cfRule>
  </conditionalFormatting>
  <conditionalFormatting sqref="BZ8:CD48">
    <cfRule type="cellIs" dxfId="43" priority="1" operator="equal">
      <formula>1</formula>
    </cfRule>
  </conditionalFormatting>
  <conditionalFormatting sqref="BZ28:CD48">
    <cfRule type="cellIs" dxfId="42" priority="2" operator="equal">
      <formula>1</formula>
    </cfRule>
  </conditionalFormatting>
  <pageMargins left="0.7" right="0.7" top="0.75" bottom="0.75" header="0.3" footer="0.3"/>
  <pageSetup paperSize="9" orientation="portrait" horizontalDpi="0" verticalDpi="0" r:id="rId1"/>
  <extLst>
    <ext xmlns:x14="http://schemas.microsoft.com/office/spreadsheetml/2009/9/main" uri="{78C0D931-6437-407d-A8EE-F0AAD7539E65}">
      <x14:conditionalFormattings>
        <x14:conditionalFormatting xmlns:xm="http://schemas.microsoft.com/office/excel/2006/main">
          <x14:cfRule type="dataBar" id="{86679A8B-A1C5-4394-BDB9-ABC8CFBC505C}">
            <x14:dataBar minLength="0" maxLength="100" gradient="0">
              <x14:cfvo type="num">
                <xm:f>0</xm:f>
              </x14:cfvo>
              <x14:cfvo type="num">
                <xm:f>1</xm:f>
              </x14:cfvo>
              <x14:negativeFillColor rgb="FFFF0000"/>
              <x14:axisColor rgb="FF000000"/>
            </x14:dataBar>
          </x14:cfRule>
          <xm:sqref>P8:Q27 P9:P48</xm:sqref>
        </x14:conditionalFormatting>
        <x14:conditionalFormatting xmlns:xm="http://schemas.microsoft.com/office/excel/2006/main">
          <x14:cfRule type="dataBar" id="{93E859EB-72B4-46E9-8B44-5C7BC212FD0D}">
            <x14:dataBar minLength="0" maxLength="100" gradient="0">
              <x14:cfvo type="num">
                <xm:f>0</xm:f>
              </x14:cfvo>
              <x14:cfvo type="num">
                <xm:f>1</xm:f>
              </x14:cfvo>
              <x14:negativeFillColor rgb="FFFF0000"/>
              <x14:axisColor rgb="FF000000"/>
            </x14:dataBar>
          </x14:cfRule>
          <xm:sqref>P28:Q28</xm:sqref>
        </x14:conditionalFormatting>
        <x14:conditionalFormatting xmlns:xm="http://schemas.microsoft.com/office/excel/2006/main">
          <x14:cfRule type="dataBar" id="{0FBB687D-6D5F-4E2F-8C65-7AD0C46AAC54}">
            <x14:dataBar minLength="0" maxLength="100" gradient="0">
              <x14:cfvo type="num">
                <xm:f>0</xm:f>
              </x14:cfvo>
              <x14:cfvo type="num">
                <xm:f>1</xm:f>
              </x14:cfvo>
              <x14:negativeFillColor rgb="FFFF0000"/>
              <x14:axisColor rgb="FF000000"/>
            </x14:dataBar>
          </x14:cfRule>
          <xm:sqref>P29:Q40</xm:sqref>
        </x14:conditionalFormatting>
        <x14:conditionalFormatting xmlns:xm="http://schemas.microsoft.com/office/excel/2006/main">
          <x14:cfRule type="dataBar" id="{9562FF51-9659-48DC-AA28-28C71A89789E}">
            <x14:dataBar minLength="0" maxLength="100" gradient="0">
              <x14:cfvo type="num">
                <xm:f>0</xm:f>
              </x14:cfvo>
              <x14:cfvo type="num">
                <xm:f>1</xm:f>
              </x14:cfvo>
              <x14:negativeFillColor rgb="FFFF0000"/>
              <x14:axisColor rgb="FF000000"/>
            </x14:dataBar>
          </x14:cfRule>
          <xm:sqref>P41:Q42</xm:sqref>
        </x14:conditionalFormatting>
        <x14:conditionalFormatting xmlns:xm="http://schemas.microsoft.com/office/excel/2006/main">
          <x14:cfRule type="dataBar" id="{5886865C-4301-4E52-8D92-026D54262548}">
            <x14:dataBar minLength="0" maxLength="100" gradient="0">
              <x14:cfvo type="num">
                <xm:f>0</xm:f>
              </x14:cfvo>
              <x14:cfvo type="num">
                <xm:f>1</xm:f>
              </x14:cfvo>
              <x14:negativeFillColor rgb="FFFF0000"/>
              <x14:axisColor rgb="FF000000"/>
            </x14:dataBar>
          </x14:cfRule>
          <xm:sqref>P43:Q43</xm:sqref>
        </x14:conditionalFormatting>
        <x14:conditionalFormatting xmlns:xm="http://schemas.microsoft.com/office/excel/2006/main">
          <x14:cfRule type="dataBar" id="{E540E8BB-7D0E-495D-8B21-154C7D68861F}">
            <x14:dataBar minLength="0" maxLength="100" gradient="0">
              <x14:cfvo type="num">
                <xm:f>0</xm:f>
              </x14:cfvo>
              <x14:cfvo type="num">
                <xm:f>1</xm:f>
              </x14:cfvo>
              <x14:negativeFillColor rgb="FFFF0000"/>
              <x14:axisColor rgb="FF000000"/>
            </x14:dataBar>
          </x14:cfRule>
          <xm:sqref>P44:Q45</xm:sqref>
        </x14:conditionalFormatting>
        <x14:conditionalFormatting xmlns:xm="http://schemas.microsoft.com/office/excel/2006/main">
          <x14:cfRule type="dataBar" id="{7BA8814B-F654-4C42-ADA8-5E924DAA22E0}">
            <x14:dataBar minLength="0" maxLength="100" gradient="0">
              <x14:cfvo type="num">
                <xm:f>0</xm:f>
              </x14:cfvo>
              <x14:cfvo type="num">
                <xm:f>1</xm:f>
              </x14:cfvo>
              <x14:negativeFillColor rgb="FFFF0000"/>
              <x14:axisColor rgb="FF000000"/>
            </x14:dataBar>
          </x14:cfRule>
          <xm:sqref>P46:Q48</xm:sqref>
        </x14:conditionalFormatting>
      </x14:conditionalFormatting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24" filterMode="1"/>
  <dimension ref="A1:CD53"/>
  <sheetViews>
    <sheetView showGridLines="0" zoomScaleNormal="100" workbookViewId="0">
      <pane xSplit="15" ySplit="7" topLeftCell="P8" activePane="bottomRight" state="frozen"/>
      <selection pane="topRight" activeCell="P1" sqref="P1"/>
      <selection pane="bottomLeft" activeCell="A8" sqref="A8"/>
      <selection pane="bottomRight" activeCell="A9" sqref="A9:E53"/>
    </sheetView>
  </sheetViews>
  <sheetFormatPr defaultColWidth="9.28515625" defaultRowHeight="12.75" outlineLevelCol="1" x14ac:dyDescent="0.2"/>
  <cols>
    <col min="1" max="1" width="11.28515625" style="72" customWidth="1"/>
    <col min="2" max="2" width="21.7109375" style="71" customWidth="1"/>
    <col min="3" max="3" width="7.28515625" style="71" customWidth="1"/>
    <col min="4" max="4" width="7.7109375" style="71" customWidth="1"/>
    <col min="5" max="5" width="9.7109375" style="174" customWidth="1"/>
    <col min="6" max="6" width="11.5703125" style="74" hidden="1" customWidth="1" outlineLevel="1"/>
    <col min="7" max="7" width="11.7109375" style="75" hidden="1" customWidth="1" outlineLevel="1"/>
    <col min="8" max="8" width="11.28515625" style="74" hidden="1" customWidth="1" outlineLevel="1"/>
    <col min="9" max="9" width="8.7109375" style="76" hidden="1" customWidth="1" outlineLevel="1"/>
    <col min="10" max="10" width="7.7109375" style="76" hidden="1" customWidth="1" outlineLevel="1"/>
    <col min="11" max="11" width="9" style="74" customWidth="1" collapsed="1"/>
    <col min="12" max="12" width="9" style="74" hidden="1" customWidth="1" outlineLevel="1"/>
    <col min="13" max="13" width="7.42578125" style="174" hidden="1" customWidth="1" outlineLevel="1"/>
    <col min="14" max="14" width="8.28515625" style="174" customWidth="1" collapsed="1"/>
    <col min="15" max="16" width="11.28515625" style="78" customWidth="1"/>
    <col min="17" max="31" width="6.5703125" style="71" bestFit="1" customWidth="1"/>
    <col min="32" max="82" width="7.28515625" style="71" bestFit="1" customWidth="1"/>
    <col min="83" max="16384" width="9.28515625" style="71"/>
  </cols>
  <sheetData>
    <row r="1" spans="1:82" x14ac:dyDescent="0.2">
      <c r="Q1" s="105">
        <f>'T&amp;D'!Q1</f>
        <v>0</v>
      </c>
      <c r="R1" s="105">
        <f>'T&amp;D'!R1</f>
        <v>0</v>
      </c>
      <c r="S1" s="105">
        <f>'T&amp;D'!S1</f>
        <v>0</v>
      </c>
      <c r="T1" s="105">
        <f>'T&amp;D'!T1</f>
        <v>0</v>
      </c>
      <c r="U1" s="105">
        <f>'T&amp;D'!U1</f>
        <v>0</v>
      </c>
      <c r="V1" s="105">
        <f>'T&amp;D'!V1</f>
        <v>0</v>
      </c>
      <c r="W1" s="105">
        <f>'T&amp;D'!W1</f>
        <v>0</v>
      </c>
      <c r="X1" s="105">
        <f>'T&amp;D'!X1</f>
        <v>0</v>
      </c>
      <c r="Y1" s="105">
        <f>'T&amp;D'!Y1</f>
        <v>0</v>
      </c>
      <c r="Z1" s="105">
        <f>'T&amp;D'!Z1</f>
        <v>0</v>
      </c>
      <c r="AA1" s="105">
        <f>'T&amp;D'!AA1</f>
        <v>0</v>
      </c>
      <c r="AB1" s="105">
        <f>'T&amp;D'!AB1</f>
        <v>0</v>
      </c>
      <c r="AC1" s="105">
        <f>'T&amp;D'!AC1</f>
        <v>0</v>
      </c>
      <c r="AD1" s="105">
        <f>'T&amp;D'!AD1</f>
        <v>0</v>
      </c>
      <c r="AE1" s="105">
        <f>'T&amp;D'!AE1</f>
        <v>0</v>
      </c>
      <c r="AF1" s="105">
        <f>'T&amp;D'!AF1</f>
        <v>0</v>
      </c>
      <c r="AG1" s="105">
        <f>'T&amp;D'!AG1</f>
        <v>0</v>
      </c>
      <c r="AH1" s="105">
        <f>'T&amp;D'!AH1</f>
        <v>0</v>
      </c>
      <c r="AI1" s="105">
        <f>'T&amp;D'!AI1</f>
        <v>0</v>
      </c>
      <c r="AJ1" s="105">
        <f>'T&amp;D'!AJ1</f>
        <v>0</v>
      </c>
      <c r="AK1" s="105">
        <f>'T&amp;D'!AK1</f>
        <v>0</v>
      </c>
      <c r="AL1" s="105">
        <f>'T&amp;D'!AL1</f>
        <v>0</v>
      </c>
      <c r="AM1" s="105">
        <f>'T&amp;D'!AM1</f>
        <v>0</v>
      </c>
      <c r="AN1" s="105">
        <f>'T&amp;D'!AN1</f>
        <v>0</v>
      </c>
      <c r="AO1" s="105">
        <f>'T&amp;D'!AO1</f>
        <v>0</v>
      </c>
      <c r="AP1" s="105">
        <f>'T&amp;D'!AP1</f>
        <v>0</v>
      </c>
      <c r="AQ1" s="105">
        <f>'T&amp;D'!AQ1</f>
        <v>0</v>
      </c>
      <c r="AR1" s="105">
        <f>'T&amp;D'!AR1</f>
        <v>0</v>
      </c>
      <c r="AS1" s="105">
        <f>'T&amp;D'!AS1</f>
        <v>0</v>
      </c>
      <c r="AT1" s="105">
        <f>'T&amp;D'!AT1</f>
        <v>0</v>
      </c>
      <c r="AU1" s="105">
        <f>'T&amp;D'!AU1</f>
        <v>0</v>
      </c>
      <c r="AV1" s="105">
        <f>'T&amp;D'!AV1</f>
        <v>0</v>
      </c>
      <c r="AW1" s="105">
        <f>'T&amp;D'!AW1</f>
        <v>0</v>
      </c>
      <c r="AX1" s="105">
        <f>'T&amp;D'!AX1</f>
        <v>0</v>
      </c>
      <c r="AY1" s="105">
        <f>'T&amp;D'!AY1</f>
        <v>0</v>
      </c>
      <c r="AZ1" s="105">
        <f>'T&amp;D'!AZ1</f>
        <v>0</v>
      </c>
      <c r="BA1" s="105">
        <f>'T&amp;D'!BA1</f>
        <v>0</v>
      </c>
      <c r="BB1" s="105">
        <f>'T&amp;D'!BB1</f>
        <v>0</v>
      </c>
      <c r="BC1" s="105">
        <f>'T&amp;D'!BC1</f>
        <v>0</v>
      </c>
      <c r="BD1" s="105">
        <f>'T&amp;D'!BD1</f>
        <v>0</v>
      </c>
      <c r="BE1" s="105">
        <f>'T&amp;D'!BE1</f>
        <v>0</v>
      </c>
      <c r="BF1" s="105">
        <f>'T&amp;D'!BF1</f>
        <v>0</v>
      </c>
      <c r="BG1" s="105">
        <f>'T&amp;D'!BG1</f>
        <v>0</v>
      </c>
      <c r="BH1" s="105">
        <f>'T&amp;D'!BH1</f>
        <v>0</v>
      </c>
      <c r="BI1" s="105">
        <f>'T&amp;D'!BI1</f>
        <v>0</v>
      </c>
      <c r="BJ1" s="105">
        <f>'T&amp;D'!BJ1</f>
        <v>0</v>
      </c>
      <c r="BK1" s="105">
        <f>'T&amp;D'!BK1</f>
        <v>0</v>
      </c>
      <c r="BL1" s="105">
        <f>'T&amp;D'!BL1</f>
        <v>0</v>
      </c>
      <c r="BM1" s="105">
        <f>'T&amp;D'!BM1</f>
        <v>0</v>
      </c>
      <c r="BN1" s="105">
        <f>'T&amp;D'!BN1</f>
        <v>0</v>
      </c>
      <c r="BO1" s="105">
        <f>'T&amp;D'!BO1</f>
        <v>0</v>
      </c>
      <c r="BP1" s="105">
        <f>'T&amp;D'!BP1</f>
        <v>0</v>
      </c>
      <c r="BQ1" s="105">
        <f>'T&amp;D'!BQ1</f>
        <v>0</v>
      </c>
      <c r="BR1" s="105">
        <f>'T&amp;D'!BR1</f>
        <v>0</v>
      </c>
      <c r="BS1" s="105">
        <f>'T&amp;D'!BS1</f>
        <v>0</v>
      </c>
      <c r="BT1" s="105">
        <f>'T&amp;D'!BT1</f>
        <v>0</v>
      </c>
      <c r="BU1" s="105">
        <f>'T&amp;D'!BU1</f>
        <v>0</v>
      </c>
      <c r="BV1" s="105">
        <f>'T&amp;D'!BV1</f>
        <v>0</v>
      </c>
      <c r="BW1" s="105">
        <f>'T&amp;D'!BW1</f>
        <v>0</v>
      </c>
      <c r="BX1" s="105">
        <f>'T&amp;D'!BX1</f>
        <v>0</v>
      </c>
      <c r="BY1" s="105">
        <f>'T&amp;D'!BY1</f>
        <v>0</v>
      </c>
      <c r="BZ1" s="105">
        <f>'T&amp;D'!BZ1</f>
        <v>0</v>
      </c>
      <c r="CA1" s="105">
        <f>'T&amp;D'!CA1</f>
        <v>0</v>
      </c>
      <c r="CB1" s="105">
        <f>'T&amp;D'!CB1</f>
        <v>0</v>
      </c>
      <c r="CC1" s="105">
        <f>'T&amp;D'!CC1</f>
        <v>0</v>
      </c>
      <c r="CD1" s="105">
        <f>'T&amp;D'!CD1</f>
        <v>0</v>
      </c>
    </row>
    <row r="2" spans="1:82" x14ac:dyDescent="0.2">
      <c r="A2" s="103" t="s">
        <v>226</v>
      </c>
      <c r="D2" s="75"/>
      <c r="M2" s="204">
        <f>5</f>
        <v>5</v>
      </c>
      <c r="N2" s="174" t="s">
        <v>345</v>
      </c>
      <c r="Q2" s="105" t="str">
        <f>'T&amp;D'!Q2</f>
        <v>w/O OT</v>
      </c>
      <c r="R2" s="105" t="str">
        <f>'T&amp;D'!R2</f>
        <v>w/O OT</v>
      </c>
      <c r="S2" s="105" t="str">
        <f>'T&amp;D'!S2</f>
        <v>w/O OT</v>
      </c>
      <c r="T2" s="105" t="str">
        <f>'T&amp;D'!T2</f>
        <v>w/O OT</v>
      </c>
      <c r="U2" s="105" t="str">
        <f>'T&amp;D'!U2</f>
        <v>Fri</v>
      </c>
      <c r="V2" s="105" t="str">
        <f>'T&amp;D'!V2</f>
        <v>Sat</v>
      </c>
      <c r="W2" s="105" t="str">
        <f>'T&amp;D'!W2</f>
        <v>w/O OT</v>
      </c>
      <c r="X2" s="105" t="str">
        <f>'T&amp;D'!X2</f>
        <v>w/O OT</v>
      </c>
      <c r="Y2" s="105" t="str">
        <f>'T&amp;D'!Y2</f>
        <v>w/O OT</v>
      </c>
      <c r="Z2" s="105" t="str">
        <f>'T&amp;D'!Z2</f>
        <v>w/O OT</v>
      </c>
      <c r="AA2" s="105" t="str">
        <f>'T&amp;D'!AA2</f>
        <v>Fri</v>
      </c>
      <c r="AB2" s="105" t="str">
        <f>'T&amp;D'!AB2</f>
        <v>Sat</v>
      </c>
      <c r="AC2" s="105" t="str">
        <f>'T&amp;D'!AC2</f>
        <v>w/O OT</v>
      </c>
      <c r="AD2" s="105" t="str">
        <f>'T&amp;D'!AD2</f>
        <v>w/O OT</v>
      </c>
      <c r="AE2" s="105" t="str">
        <f>'T&amp;D'!AE2</f>
        <v>w/O OT</v>
      </c>
      <c r="AF2" s="105" t="str">
        <f>'T&amp;D'!AF2</f>
        <v>w/O OT</v>
      </c>
      <c r="AG2" s="105" t="str">
        <f>'T&amp;D'!AG2</f>
        <v>Fri</v>
      </c>
      <c r="AH2" s="105" t="str">
        <f>'T&amp;D'!AH2</f>
        <v>Sat</v>
      </c>
      <c r="AI2" s="105" t="str">
        <f>'T&amp;D'!AI2</f>
        <v>w/O OT</v>
      </c>
      <c r="AJ2" s="105" t="str">
        <f>'T&amp;D'!AJ2</f>
        <v>w/O OT</v>
      </c>
      <c r="AK2" s="105" t="str">
        <f>'T&amp;D'!AK2</f>
        <v>w/O OT</v>
      </c>
      <c r="AL2" s="105" t="str">
        <f>'T&amp;D'!AL2</f>
        <v>w/O OT</v>
      </c>
      <c r="AM2" s="105" t="str">
        <f>'T&amp;D'!AM2</f>
        <v>Fri</v>
      </c>
      <c r="AN2" s="105" t="str">
        <f>'T&amp;D'!AN2</f>
        <v>Sat</v>
      </c>
      <c r="AO2" s="105" t="str">
        <f>'T&amp;D'!AO2</f>
        <v>w/O OT</v>
      </c>
      <c r="AP2" s="105" t="str">
        <f>'T&amp;D'!AP2</f>
        <v>w/O OT</v>
      </c>
      <c r="AQ2" s="105" t="str">
        <f>'T&amp;D'!AQ2</f>
        <v>w/O OT</v>
      </c>
      <c r="AR2" s="105" t="str">
        <f>'T&amp;D'!AR2</f>
        <v>w/O OT</v>
      </c>
      <c r="AS2" s="105" t="str">
        <f>'T&amp;D'!AS2</f>
        <v>Fri</v>
      </c>
      <c r="AT2" s="105" t="str">
        <f>'T&amp;D'!AT2</f>
        <v>Sat</v>
      </c>
      <c r="AU2" s="105" t="str">
        <f>'T&amp;D'!AU2</f>
        <v>w/O OT</v>
      </c>
      <c r="AV2" s="105" t="str">
        <f>'T&amp;D'!AV2</f>
        <v>w/O OT</v>
      </c>
      <c r="AW2" s="105" t="str">
        <f>'T&amp;D'!AW2</f>
        <v>w/O OT</v>
      </c>
      <c r="AX2" s="105" t="str">
        <f>'T&amp;D'!AX2</f>
        <v>w/O OT</v>
      </c>
      <c r="AY2" s="105" t="str">
        <f>'T&amp;D'!AY2</f>
        <v>Fri</v>
      </c>
      <c r="AZ2" s="105" t="str">
        <f>'T&amp;D'!AZ2</f>
        <v>Sat</v>
      </c>
      <c r="BA2" s="105" t="str">
        <f>'T&amp;D'!BA2</f>
        <v>w/O OT</v>
      </c>
      <c r="BB2" s="105" t="str">
        <f>'T&amp;D'!BB2</f>
        <v>w/O OT</v>
      </c>
      <c r="BC2" s="105" t="str">
        <f>'T&amp;D'!BC2</f>
        <v>w/O OT</v>
      </c>
      <c r="BD2" s="105" t="str">
        <f>'T&amp;D'!BD2</f>
        <v>w/O OT</v>
      </c>
      <c r="BE2" s="105" t="str">
        <f>'T&amp;D'!BE2</f>
        <v>Fri</v>
      </c>
      <c r="BF2" s="105" t="str">
        <f>'T&amp;D'!BF2</f>
        <v>Sat</v>
      </c>
      <c r="BG2" s="105" t="str">
        <f>'T&amp;D'!BG2</f>
        <v>w/O OT</v>
      </c>
      <c r="BH2" s="105" t="str">
        <f>'T&amp;D'!BH2</f>
        <v>w/O OT</v>
      </c>
      <c r="BI2" s="105" t="str">
        <f>'T&amp;D'!BI2</f>
        <v>w/O OT</v>
      </c>
      <c r="BJ2" s="105" t="str">
        <f>'T&amp;D'!BJ2</f>
        <v>w/O OT</v>
      </c>
      <c r="BK2" s="105" t="str">
        <f>'T&amp;D'!BK2</f>
        <v>Fri</v>
      </c>
      <c r="BL2" s="105" t="str">
        <f>'T&amp;D'!BL2</f>
        <v>Sat</v>
      </c>
      <c r="BM2" s="105" t="str">
        <f>'T&amp;D'!BM2</f>
        <v>w/O OT</v>
      </c>
      <c r="BN2" s="105" t="str">
        <f>'T&amp;D'!BN2</f>
        <v>w/O OT</v>
      </c>
      <c r="BO2" s="105" t="str">
        <f>'T&amp;D'!BO2</f>
        <v>w/O OT</v>
      </c>
      <c r="BP2" s="105" t="str">
        <f>'T&amp;D'!BP2</f>
        <v>w/O OT</v>
      </c>
      <c r="BQ2" s="105" t="str">
        <f>'T&amp;D'!BQ2</f>
        <v>Fri</v>
      </c>
      <c r="BR2" s="105" t="str">
        <f>'T&amp;D'!BR2</f>
        <v>Sat</v>
      </c>
      <c r="BS2" s="105" t="str">
        <f>'T&amp;D'!BS2</f>
        <v>w/O OT</v>
      </c>
      <c r="BT2" s="105" t="str">
        <f>'T&amp;D'!BT2</f>
        <v>w/O OT</v>
      </c>
      <c r="BU2" s="105" t="str">
        <f>'T&amp;D'!BU2</f>
        <v>w/O OT</v>
      </c>
      <c r="BV2" s="105" t="str">
        <f>'T&amp;D'!BV2</f>
        <v>w/O OT</v>
      </c>
      <c r="BW2" s="105" t="str">
        <f>'T&amp;D'!BW2</f>
        <v>Fri</v>
      </c>
      <c r="BX2" s="105" t="str">
        <f>'T&amp;D'!BX2</f>
        <v>Sat</v>
      </c>
      <c r="BY2" s="105" t="str">
        <f>'T&amp;D'!BY2</f>
        <v>w/O OT</v>
      </c>
      <c r="BZ2" s="105" t="str">
        <f>'T&amp;D'!BZ2</f>
        <v>w/O OT</v>
      </c>
      <c r="CA2" s="105" t="str">
        <f>'T&amp;D'!CA2</f>
        <v>w/O OT</v>
      </c>
      <c r="CB2" s="105" t="str">
        <f>'T&amp;D'!CB2</f>
        <v>w/O OT</v>
      </c>
      <c r="CC2" s="105" t="str">
        <f>'T&amp;D'!CC2</f>
        <v>Fri</v>
      </c>
      <c r="CD2" s="105" t="str">
        <f>'T&amp;D'!CD2</f>
        <v>Sat</v>
      </c>
    </row>
    <row r="3" spans="1:82" s="80" customFormat="1" ht="12" customHeight="1" x14ac:dyDescent="0.2">
      <c r="A3" s="79"/>
      <c r="C3" s="71" t="s">
        <v>109</v>
      </c>
      <c r="D3" s="75" t="s">
        <v>110</v>
      </c>
      <c r="E3" s="174" t="s">
        <v>90</v>
      </c>
      <c r="K3" s="85"/>
      <c r="L3" s="85"/>
      <c r="M3" s="177"/>
      <c r="N3" s="177"/>
      <c r="O3" s="81"/>
      <c r="P3" s="81"/>
      <c r="Q3" s="82">
        <f>'T&amp;D'!Q3</f>
        <v>46314</v>
      </c>
      <c r="R3" s="82">
        <f>'T&amp;D'!R3</f>
        <v>46315</v>
      </c>
      <c r="S3" s="82">
        <f>'T&amp;D'!S3</f>
        <v>46316</v>
      </c>
      <c r="T3" s="82">
        <f>'T&amp;D'!T3</f>
        <v>46317</v>
      </c>
      <c r="U3" s="82">
        <f>'T&amp;D'!U3</f>
        <v>46318</v>
      </c>
      <c r="V3" s="82">
        <f>'T&amp;D'!V3</f>
        <v>46319</v>
      </c>
      <c r="W3" s="82">
        <f>'T&amp;D'!W3</f>
        <v>46321</v>
      </c>
      <c r="X3" s="82">
        <f>'T&amp;D'!X3</f>
        <v>46322</v>
      </c>
      <c r="Y3" s="82">
        <f>'T&amp;D'!Y3</f>
        <v>46323</v>
      </c>
      <c r="Z3" s="82">
        <f>'T&amp;D'!Z3</f>
        <v>46324</v>
      </c>
      <c r="AA3" s="82">
        <f>'T&amp;D'!AA3</f>
        <v>46325</v>
      </c>
      <c r="AB3" s="82">
        <f>'T&amp;D'!AB3</f>
        <v>46326</v>
      </c>
      <c r="AC3" s="82">
        <f>'T&amp;D'!AC3</f>
        <v>46328</v>
      </c>
      <c r="AD3" s="82">
        <f>'T&amp;D'!AD3</f>
        <v>46329</v>
      </c>
      <c r="AE3" s="82">
        <f>'T&amp;D'!AE3</f>
        <v>46330</v>
      </c>
      <c r="AF3" s="82">
        <f>'T&amp;D'!AF3</f>
        <v>46331</v>
      </c>
      <c r="AG3" s="82">
        <f>'T&amp;D'!AG3</f>
        <v>46332</v>
      </c>
      <c r="AH3" s="82">
        <f>'T&amp;D'!AH3</f>
        <v>46333</v>
      </c>
      <c r="AI3" s="82">
        <f>'T&amp;D'!AI3</f>
        <v>46335</v>
      </c>
      <c r="AJ3" s="82">
        <f>'T&amp;D'!AJ3</f>
        <v>46336</v>
      </c>
      <c r="AK3" s="82">
        <f>'T&amp;D'!AK3</f>
        <v>46337</v>
      </c>
      <c r="AL3" s="82">
        <f>'T&amp;D'!AL3</f>
        <v>46338</v>
      </c>
      <c r="AM3" s="82">
        <f>'T&amp;D'!AM3</f>
        <v>46339</v>
      </c>
      <c r="AN3" s="82">
        <f>'T&amp;D'!AN3</f>
        <v>46340</v>
      </c>
      <c r="AO3" s="82">
        <f>'T&amp;D'!AO3</f>
        <v>46342</v>
      </c>
      <c r="AP3" s="82">
        <f>'T&amp;D'!AP3</f>
        <v>46343</v>
      </c>
      <c r="AQ3" s="82">
        <f>'T&amp;D'!AQ3</f>
        <v>46344</v>
      </c>
      <c r="AR3" s="82">
        <f>'T&amp;D'!AR3</f>
        <v>46345</v>
      </c>
      <c r="AS3" s="82">
        <f>'T&amp;D'!AS3</f>
        <v>46346</v>
      </c>
      <c r="AT3" s="82">
        <f>'T&amp;D'!AT3</f>
        <v>46347</v>
      </c>
      <c r="AU3" s="82">
        <f>'T&amp;D'!AU3</f>
        <v>46349</v>
      </c>
      <c r="AV3" s="82">
        <f>'T&amp;D'!AV3</f>
        <v>46350</v>
      </c>
      <c r="AW3" s="82">
        <f>'T&amp;D'!AW3</f>
        <v>46351</v>
      </c>
      <c r="AX3" s="82">
        <f>'T&amp;D'!AX3</f>
        <v>46352</v>
      </c>
      <c r="AY3" s="82">
        <f>'T&amp;D'!AY3</f>
        <v>46353</v>
      </c>
      <c r="AZ3" s="82">
        <f>'T&amp;D'!AZ3</f>
        <v>46354</v>
      </c>
      <c r="BA3" s="82">
        <f>'T&amp;D'!BA3</f>
        <v>46356</v>
      </c>
      <c r="BB3" s="82">
        <f>'T&amp;D'!BB3</f>
        <v>46357</v>
      </c>
      <c r="BC3" s="82">
        <f>'T&amp;D'!BC3</f>
        <v>46358</v>
      </c>
      <c r="BD3" s="82">
        <f>'T&amp;D'!BD3</f>
        <v>46359</v>
      </c>
      <c r="BE3" s="82">
        <f>'T&amp;D'!BE3</f>
        <v>46360</v>
      </c>
      <c r="BF3" s="82">
        <f>'T&amp;D'!BF3</f>
        <v>46361</v>
      </c>
      <c r="BG3" s="82">
        <f>'T&amp;D'!BG3</f>
        <v>46363</v>
      </c>
      <c r="BH3" s="82">
        <f>'T&amp;D'!BH3</f>
        <v>46364</v>
      </c>
      <c r="BI3" s="82">
        <f>'T&amp;D'!BI3</f>
        <v>46365</v>
      </c>
      <c r="BJ3" s="82">
        <f>'T&amp;D'!BJ3</f>
        <v>46366</v>
      </c>
      <c r="BK3" s="82">
        <f>'T&amp;D'!BK3</f>
        <v>46367</v>
      </c>
      <c r="BL3" s="82">
        <f>'T&amp;D'!BL3</f>
        <v>46368</v>
      </c>
      <c r="BM3" s="82">
        <f>'T&amp;D'!BM3</f>
        <v>46370</v>
      </c>
      <c r="BN3" s="82">
        <f>'T&amp;D'!BN3</f>
        <v>46371</v>
      </c>
      <c r="BO3" s="82">
        <f>'T&amp;D'!BO3</f>
        <v>46372</v>
      </c>
      <c r="BP3" s="82">
        <f>'T&amp;D'!BP3</f>
        <v>46373</v>
      </c>
      <c r="BQ3" s="82">
        <f>'T&amp;D'!BQ3</f>
        <v>46374</v>
      </c>
      <c r="BR3" s="82">
        <f>'T&amp;D'!BR3</f>
        <v>46375</v>
      </c>
      <c r="BS3" s="82">
        <f>'T&amp;D'!BS3</f>
        <v>46377</v>
      </c>
      <c r="BT3" s="82">
        <f>'T&amp;D'!BT3</f>
        <v>46378</v>
      </c>
      <c r="BU3" s="82">
        <f>'T&amp;D'!BU3</f>
        <v>46379</v>
      </c>
      <c r="BV3" s="82">
        <f>'T&amp;D'!BV3</f>
        <v>46380</v>
      </c>
      <c r="BW3" s="82">
        <f>'T&amp;D'!BW3</f>
        <v>46381</v>
      </c>
      <c r="BX3" s="82">
        <f>'T&amp;D'!BX3</f>
        <v>46382</v>
      </c>
      <c r="BY3" s="82">
        <f>'T&amp;D'!BY3</f>
        <v>46384</v>
      </c>
      <c r="BZ3" s="82">
        <f>'T&amp;D'!BZ3</f>
        <v>46385</v>
      </c>
      <c r="CA3" s="82">
        <f>'T&amp;D'!CA3</f>
        <v>46386</v>
      </c>
      <c r="CB3" s="82">
        <f>'T&amp;D'!CB3</f>
        <v>46387</v>
      </c>
      <c r="CC3" s="82">
        <f>'T&amp;D'!CC3</f>
        <v>46388</v>
      </c>
      <c r="CD3" s="82">
        <f>'T&amp;D'!CD3</f>
        <v>46389</v>
      </c>
    </row>
    <row r="4" spans="1:82" s="84" customFormat="1" ht="12" customHeight="1" x14ac:dyDescent="0.2">
      <c r="A4" s="83"/>
      <c r="D4" s="173"/>
      <c r="E4" s="174" t="s">
        <v>228</v>
      </c>
      <c r="H4" s="85">
        <f>45.5/5</f>
        <v>9.1</v>
      </c>
      <c r="K4" s="85">
        <f>SUM(K8:K4661)</f>
        <v>24.004896731473657</v>
      </c>
      <c r="L4" s="85"/>
      <c r="M4" s="178">
        <f>'T&amp;D'!M4+M2</f>
        <v>46319</v>
      </c>
      <c r="N4" s="177"/>
      <c r="O4" s="81"/>
      <c r="P4" s="81"/>
      <c r="Q4" s="104">
        <f>'T&amp;D'!Q4</f>
        <v>45817</v>
      </c>
      <c r="R4" s="104">
        <f>'T&amp;D'!R4</f>
        <v>45818</v>
      </c>
      <c r="S4" s="104">
        <f>'T&amp;D'!S4</f>
        <v>45819</v>
      </c>
      <c r="T4" s="104">
        <f>'T&amp;D'!T4</f>
        <v>45820</v>
      </c>
      <c r="U4" s="104">
        <f>'T&amp;D'!U4</f>
        <v>45821</v>
      </c>
      <c r="V4" s="104">
        <f>'T&amp;D'!V4</f>
        <v>45822</v>
      </c>
      <c r="W4" s="104">
        <f>'T&amp;D'!W4</f>
        <v>45824</v>
      </c>
      <c r="X4" s="104">
        <f>'T&amp;D'!X4</f>
        <v>45825</v>
      </c>
      <c r="Y4" s="104">
        <f>'T&amp;D'!Y4</f>
        <v>45826</v>
      </c>
      <c r="Z4" s="104">
        <f>'T&amp;D'!Z4</f>
        <v>45827</v>
      </c>
      <c r="AA4" s="104">
        <f>'T&amp;D'!AA4</f>
        <v>45828</v>
      </c>
      <c r="AB4" s="104">
        <f>'T&amp;D'!AB4</f>
        <v>45829</v>
      </c>
      <c r="AC4" s="104">
        <f>'T&amp;D'!AC4</f>
        <v>45831</v>
      </c>
      <c r="AD4" s="104">
        <f>'T&amp;D'!AD4</f>
        <v>45832</v>
      </c>
      <c r="AE4" s="104">
        <f>'T&amp;D'!AE4</f>
        <v>45833</v>
      </c>
      <c r="AF4" s="104">
        <f>'T&amp;D'!AF4</f>
        <v>45834</v>
      </c>
      <c r="AG4" s="104">
        <f>'T&amp;D'!AG4</f>
        <v>45835</v>
      </c>
      <c r="AH4" s="104">
        <f>'T&amp;D'!AH4</f>
        <v>45836</v>
      </c>
      <c r="AI4" s="104">
        <f>'T&amp;D'!AI4</f>
        <v>45838</v>
      </c>
      <c r="AJ4" s="104">
        <f>'T&amp;D'!AJ4</f>
        <v>45839</v>
      </c>
      <c r="AK4" s="104">
        <f>'T&amp;D'!AK4</f>
        <v>45840</v>
      </c>
      <c r="AL4" s="104">
        <f>'T&amp;D'!AL4</f>
        <v>45841</v>
      </c>
      <c r="AM4" s="104">
        <f>'T&amp;D'!AM4</f>
        <v>45842</v>
      </c>
      <c r="AN4" s="104">
        <f>'T&amp;D'!AN4</f>
        <v>45843</v>
      </c>
      <c r="AO4" s="104">
        <f>'T&amp;D'!AO4</f>
        <v>45845</v>
      </c>
      <c r="AP4" s="104">
        <f>'T&amp;D'!AP4</f>
        <v>45846</v>
      </c>
      <c r="AQ4" s="104">
        <f>'T&amp;D'!AQ4</f>
        <v>45847</v>
      </c>
      <c r="AR4" s="104">
        <f>'T&amp;D'!AR4</f>
        <v>45848</v>
      </c>
      <c r="AS4" s="104">
        <f>'T&amp;D'!AS4</f>
        <v>45849</v>
      </c>
      <c r="AT4" s="104">
        <f>'T&amp;D'!AT4</f>
        <v>45850</v>
      </c>
      <c r="AU4" s="104">
        <f>'T&amp;D'!AU4</f>
        <v>45852</v>
      </c>
      <c r="AV4" s="104">
        <f>'T&amp;D'!AV4</f>
        <v>45853</v>
      </c>
      <c r="AW4" s="104">
        <f>'T&amp;D'!AW4</f>
        <v>45854</v>
      </c>
      <c r="AX4" s="104">
        <f>'T&amp;D'!AX4</f>
        <v>45855</v>
      </c>
      <c r="AY4" s="104">
        <f>'T&amp;D'!AY4</f>
        <v>45856</v>
      </c>
      <c r="AZ4" s="104">
        <f>'T&amp;D'!AZ4</f>
        <v>45857</v>
      </c>
      <c r="BA4" s="104">
        <f>'T&amp;D'!BA4</f>
        <v>45859</v>
      </c>
      <c r="BB4" s="104">
        <f>'T&amp;D'!BB4</f>
        <v>45860</v>
      </c>
      <c r="BC4" s="104">
        <f>'T&amp;D'!BC4</f>
        <v>45861</v>
      </c>
      <c r="BD4" s="104">
        <f>'T&amp;D'!BD4</f>
        <v>45862</v>
      </c>
      <c r="BE4" s="104">
        <f>'T&amp;D'!BE4</f>
        <v>45863</v>
      </c>
      <c r="BF4" s="104">
        <f>'T&amp;D'!BF4</f>
        <v>45864</v>
      </c>
      <c r="BG4" s="104">
        <f>'T&amp;D'!BG4</f>
        <v>45866</v>
      </c>
      <c r="BH4" s="104">
        <f>'T&amp;D'!BH4</f>
        <v>45867</v>
      </c>
      <c r="BI4" s="104">
        <f>'T&amp;D'!BI4</f>
        <v>45868</v>
      </c>
      <c r="BJ4" s="104">
        <f>'T&amp;D'!BJ4</f>
        <v>45869</v>
      </c>
      <c r="BK4" s="104">
        <f>'T&amp;D'!BK4</f>
        <v>45870</v>
      </c>
      <c r="BL4" s="104">
        <f>'T&amp;D'!BL4</f>
        <v>45871</v>
      </c>
      <c r="BM4" s="104">
        <f>'T&amp;D'!BM4</f>
        <v>45873</v>
      </c>
      <c r="BN4" s="104">
        <f>'T&amp;D'!BN4</f>
        <v>45874</v>
      </c>
      <c r="BO4" s="104">
        <f>'T&amp;D'!BO4</f>
        <v>45875</v>
      </c>
      <c r="BP4" s="104">
        <f>'T&amp;D'!BP4</f>
        <v>45876</v>
      </c>
      <c r="BQ4" s="104">
        <f>'T&amp;D'!BQ4</f>
        <v>45877</v>
      </c>
      <c r="BR4" s="104">
        <f>'T&amp;D'!BR4</f>
        <v>45878</v>
      </c>
      <c r="BS4" s="104">
        <f>'T&amp;D'!BS4</f>
        <v>45880</v>
      </c>
      <c r="BT4" s="104">
        <f>'T&amp;D'!BT4</f>
        <v>45881</v>
      </c>
      <c r="BU4" s="104">
        <f>'T&amp;D'!BU4</f>
        <v>45882</v>
      </c>
      <c r="BV4" s="104">
        <f>'T&amp;D'!BV4</f>
        <v>45883</v>
      </c>
      <c r="BW4" s="104">
        <f>'T&amp;D'!BW4</f>
        <v>45884</v>
      </c>
      <c r="BX4" s="104">
        <f>'T&amp;D'!BX4</f>
        <v>45885</v>
      </c>
      <c r="BY4" s="104">
        <f>'T&amp;D'!BY4</f>
        <v>45887</v>
      </c>
      <c r="BZ4" s="104">
        <f>'T&amp;D'!BZ4</f>
        <v>45888</v>
      </c>
      <c r="CA4" s="104">
        <f>'T&amp;D'!CA4</f>
        <v>45889</v>
      </c>
      <c r="CB4" s="104">
        <f>'T&amp;D'!CB4</f>
        <v>45890</v>
      </c>
      <c r="CC4" s="104">
        <f>'T&amp;D'!CC4</f>
        <v>45891</v>
      </c>
      <c r="CD4" s="104">
        <f>'T&amp;D'!CD4</f>
        <v>45892</v>
      </c>
    </row>
    <row r="5" spans="1:82" s="84" customFormat="1" ht="15" customHeight="1" x14ac:dyDescent="0.2">
      <c r="A5" s="386" t="s">
        <v>385</v>
      </c>
      <c r="B5" s="386" t="s">
        <v>214</v>
      </c>
      <c r="C5" s="387" t="s">
        <v>91</v>
      </c>
      <c r="D5" s="388" t="s">
        <v>0</v>
      </c>
      <c r="E5" s="389" t="s">
        <v>103</v>
      </c>
      <c r="F5" s="392" t="s">
        <v>93</v>
      </c>
      <c r="G5" s="388" t="s">
        <v>94</v>
      </c>
      <c r="H5" s="390" t="s">
        <v>95</v>
      </c>
      <c r="I5" s="393" t="s">
        <v>519</v>
      </c>
      <c r="J5" s="393" t="s">
        <v>520</v>
      </c>
      <c r="K5" s="390" t="s">
        <v>241</v>
      </c>
      <c r="L5" s="390" t="s">
        <v>240</v>
      </c>
      <c r="M5" s="389" t="s">
        <v>98</v>
      </c>
      <c r="N5" s="389" t="s">
        <v>99</v>
      </c>
      <c r="O5" s="391" t="s">
        <v>102</v>
      </c>
      <c r="P5" s="391" t="s">
        <v>102</v>
      </c>
      <c r="Q5" s="126" cm="1">
        <f t="array" ref="Q5">_xlfn.IFS(Q2="w/ OT",12.25,Q2="w/o OT",9.5,Q2="FRI",7.5,Q2="SAT",7.5,Q2="SUN",7.5,Q2="OFF",0)</f>
        <v>9.5</v>
      </c>
      <c r="R5" s="126" cm="1">
        <f t="array" ref="R5">_xlfn.IFS(R2="w/ OT",12.25,R2="w/o OT",9.5,R2="FRI",7.5,R2="SAT",7.5,R2="SUN",7.5,R2="OFF",0)</f>
        <v>9.5</v>
      </c>
      <c r="S5" s="126" cm="1">
        <f t="array" ref="S5">_xlfn.IFS(S2="w/ OT",12.25,S2="w/o OT",9.5,S2="FRI",7.5,S2="SAT",7.5,S2="SUN",7.5,S2="OFF",0)</f>
        <v>9.5</v>
      </c>
      <c r="T5" s="126" cm="1">
        <f t="array" ref="T5">_xlfn.IFS(T2="w/ OT",12.25,T2="w/o OT",9.5,T2="FRI",7.5,T2="SAT",7.5,T2="SUN",7.5,T2="OFF",0)</f>
        <v>9.5</v>
      </c>
      <c r="U5" s="126" cm="1">
        <f t="array" ref="U5">_xlfn.IFS(U2="w/ OT",12.25,U2="w/o OT",9.5,U2="FRI",7.5,U2="SAT",7.5,U2="SUN",7.5,U2="OFF",0)</f>
        <v>7.5</v>
      </c>
      <c r="V5" s="126" cm="1">
        <f t="array" ref="V5">_xlfn.IFS(V2="w/ OT",12.25,V2="w/o OT",9.5,V2="FRI",7.5,V2="SAT",7.5,V2="SUN",7.5,V2="OFF",0)</f>
        <v>7.5</v>
      </c>
      <c r="W5" s="126" cm="1">
        <f t="array" ref="W5">_xlfn.IFS(W2="w/ OT",12.25,W2="w/o OT",9.5,W2="FRI",7.5,W2="SAT",7.5,W2="SUN",7.5,W2="OFF",0)</f>
        <v>9.5</v>
      </c>
      <c r="X5" s="126" cm="1">
        <f t="array" ref="X5">_xlfn.IFS(X2="w/ OT",12.25,X2="w/o OT",9.5,X2="FRI",7.5,X2="SAT",7.5,X2="SUN",7.5,X2="OFF",0)</f>
        <v>9.5</v>
      </c>
      <c r="Y5" s="126" cm="1">
        <f t="array" ref="Y5">_xlfn.IFS(Y2="w/ OT",12.25,Y2="w/o OT",9.5,Y2="FRI",7.5,Y2="SAT",7.5,Y2="SUN",7.5,Y2="OFF",0)</f>
        <v>9.5</v>
      </c>
      <c r="Z5" s="126" cm="1">
        <f t="array" ref="Z5">_xlfn.IFS(Z2="w/ OT",12.25,Z2="w/o OT",9.5,Z2="FRI",7.5,Z2="SAT",7.5,Z2="SUN",7.5,Z2="OFF",0)</f>
        <v>9.5</v>
      </c>
      <c r="AA5" s="126" cm="1">
        <f t="array" ref="AA5">_xlfn.IFS(AA2="w/ OT",12.25,AA2="w/o OT",9.5,AA2="FRI",7.5,AA2="SAT",7.5,AA2="SUN",7.5,AA2="OFF",0)</f>
        <v>7.5</v>
      </c>
      <c r="AB5" s="126" cm="1">
        <f t="array" ref="AB5">_xlfn.IFS(AB2="w/ OT",12.25,AB2="w/o OT",9.5,AB2="FRI",7.5,AB2="SAT",7.5,AB2="SUN",7.5,AB2="OFF",0)</f>
        <v>7.5</v>
      </c>
      <c r="AC5" s="126" cm="1">
        <f t="array" ref="AC5">_xlfn.IFS(AC2="w/ OT",12.25,AC2="w/o OT",9.5,AC2="FRI",7.5,AC2="SAT",7.5,AC2="SUN",7.5,AC2="OFF",0)</f>
        <v>9.5</v>
      </c>
      <c r="AD5" s="126" cm="1">
        <f t="array" ref="AD5">_xlfn.IFS(AD2="w/ OT",12.25,AD2="w/o OT",9.5,AD2="FRI",7.5,AD2="SAT",7.5,AD2="SUN",7.5,AD2="OFF",0)</f>
        <v>9.5</v>
      </c>
      <c r="AE5" s="126" cm="1">
        <f t="array" ref="AE5">_xlfn.IFS(AE2="w/ OT",12.25,AE2="w/o OT",9.5,AE2="FRI",7.5,AE2="SAT",7.5,AE2="SUN",7.5,AE2="OFF",0)</f>
        <v>9.5</v>
      </c>
      <c r="AF5" s="126" cm="1">
        <f t="array" ref="AF5">_xlfn.IFS(AF2="w/ OT",12.25,AF2="w/o OT",9.5,AF2="FRI",7.5,AF2="SAT",7.5,AF2="SUN",7.5,AF2="OFF",0)</f>
        <v>9.5</v>
      </c>
      <c r="AG5" s="126" cm="1">
        <f t="array" ref="AG5">_xlfn.IFS(AG2="w/ OT",12.25,AG2="w/o OT",9.5,AG2="FRI",7.5,AG2="SAT",7.5,AG2="SUN",7.5,AG2="OFF",0)</f>
        <v>7.5</v>
      </c>
      <c r="AH5" s="126" cm="1">
        <f t="array" ref="AH5">_xlfn.IFS(AH2="w/ OT",12.25,AH2="w/o OT",9.5,AH2="FRI",7.5,AH2="SAT",7.5,AH2="SUN",7.5,AH2="OFF",0)</f>
        <v>7.5</v>
      </c>
      <c r="AI5" s="126" cm="1">
        <f t="array" ref="AI5">_xlfn.IFS(AI2="w/ OT",12.25,AI2="w/o OT",9.5,AI2="FRI",7.5,AI2="SAT",7.5,AI2="SUN",7.5,AI2="OFF",0)</f>
        <v>9.5</v>
      </c>
      <c r="AJ5" s="126" cm="1">
        <f t="array" ref="AJ5">_xlfn.IFS(AJ2="w/ OT",12.25,AJ2="w/o OT",9.5,AJ2="FRI",7.5,AJ2="SAT",7.5,AJ2="SUN",7.5,AJ2="OFF",0)</f>
        <v>9.5</v>
      </c>
      <c r="AK5" s="126" cm="1">
        <f t="array" ref="AK5">_xlfn.IFS(AK2="w/ OT",12.25,AK2="w/o OT",9.5,AK2="FRI",7.5,AK2="SAT",7.5,AK2="SUN",7.5,AK2="OFF",0)</f>
        <v>9.5</v>
      </c>
      <c r="AL5" s="126" cm="1">
        <f t="array" ref="AL5">_xlfn.IFS(AL2="w/ OT",12.25,AL2="w/o OT",9.5,AL2="FRI",7.5,AL2="SAT",7.5,AL2="SUN",7.5,AL2="OFF",0)</f>
        <v>9.5</v>
      </c>
      <c r="AM5" s="126" cm="1">
        <f t="array" ref="AM5">_xlfn.IFS(AM2="w/ OT",12.25,AM2="w/o OT",9.5,AM2="FRI",7.5,AM2="SAT",7.5,AM2="SUN",7.5,AM2="OFF",0)</f>
        <v>7.5</v>
      </c>
      <c r="AN5" s="126" cm="1">
        <f t="array" ref="AN5">_xlfn.IFS(AN2="w/ OT",12.25,AN2="w/o OT",9.5,AN2="FRI",7.5,AN2="SAT",7.5,AN2="SUN",7.5,AN2="OFF",0)</f>
        <v>7.5</v>
      </c>
      <c r="AO5" s="126" cm="1">
        <f t="array" ref="AO5">_xlfn.IFS(AO2="w/ OT",12.25,AO2="w/o OT",9.5,AO2="FRI",7.5,AO2="SAT",7.5,AO2="SUN",7.5,AO2="OFF",0)</f>
        <v>9.5</v>
      </c>
      <c r="AP5" s="126" cm="1">
        <f t="array" ref="AP5">_xlfn.IFS(AP2="w/ OT",12.25,AP2="w/o OT",9.5,AP2="FRI",7.5,AP2="SAT",7.5,AP2="SUN",7.5,AP2="OFF",0)</f>
        <v>9.5</v>
      </c>
      <c r="AQ5" s="126" cm="1">
        <f t="array" ref="AQ5">_xlfn.IFS(AQ2="w/ OT",12.25,AQ2="w/o OT",9.5,AQ2="FRI",7.5,AQ2="SAT",7.5,AQ2="SUN",7.5,AQ2="OFF",0)</f>
        <v>9.5</v>
      </c>
      <c r="AR5" s="126" cm="1">
        <f t="array" ref="AR5">_xlfn.IFS(AR2="w/ OT",12.25,AR2="w/o OT",9.5,AR2="FRI",7.5,AR2="SAT",7.5,AR2="SUN",7.5,AR2="OFF",0)</f>
        <v>9.5</v>
      </c>
      <c r="AS5" s="126" cm="1">
        <f t="array" ref="AS5">_xlfn.IFS(AS2="w/ OT",12.25,AS2="w/o OT",9.5,AS2="FRI",7.5,AS2="SAT",7.5,AS2="SUN",7.5,AS2="OFF",0)</f>
        <v>7.5</v>
      </c>
      <c r="AT5" s="126" cm="1">
        <f t="array" ref="AT5">_xlfn.IFS(AT2="w/ OT",12.25,AT2="w/o OT",9.5,AT2="FRI",7.5,AT2="SAT",7.5,AT2="SUN",7.5,AT2="OFF",0)</f>
        <v>7.5</v>
      </c>
      <c r="AU5" s="126" cm="1">
        <f t="array" ref="AU5">_xlfn.IFS(AU2="w/ OT",12.25,AU2="w/o OT",9.5,AU2="FRI",7.5,AU2="SAT",7.5,AU2="SUN",7.5,AU2="OFF",0)</f>
        <v>9.5</v>
      </c>
      <c r="AV5" s="126" cm="1">
        <f t="array" ref="AV5">_xlfn.IFS(AV2="w/ OT",12.25,AV2="w/o OT",9.5,AV2="FRI",7.5,AV2="SAT",7.5,AV2="SUN",7.5,AV2="OFF",0)</f>
        <v>9.5</v>
      </c>
      <c r="AW5" s="126" cm="1">
        <f t="array" ref="AW5">_xlfn.IFS(AW2="w/ OT",12.25,AW2="w/o OT",9.5,AW2="FRI",7.5,AW2="SAT",7.5,AW2="SUN",7.5,AW2="OFF",0)</f>
        <v>9.5</v>
      </c>
      <c r="AX5" s="126" cm="1">
        <f t="array" ref="AX5">_xlfn.IFS(AX2="w/ OT",12.25,AX2="w/o OT",9.5,AX2="FRI",7.5,AX2="SAT",7.5,AX2="SUN",7.5,AX2="OFF",0)</f>
        <v>9.5</v>
      </c>
      <c r="AY5" s="126" cm="1">
        <f t="array" ref="AY5">_xlfn.IFS(AY2="w/ OT",12.25,AY2="w/o OT",9.5,AY2="FRI",7.5,AY2="SAT",7.5,AY2="SUN",7.5,AY2="OFF",0)</f>
        <v>7.5</v>
      </c>
      <c r="AZ5" s="126" cm="1">
        <f t="array" ref="AZ5">_xlfn.IFS(AZ2="w/ OT",12.25,AZ2="w/o OT",9.5,AZ2="FRI",7.5,AZ2="SAT",7.5,AZ2="SUN",7.5,AZ2="OFF",0)</f>
        <v>7.5</v>
      </c>
      <c r="BA5" s="126" cm="1">
        <f t="array" ref="BA5">_xlfn.IFS(BA2="w/ OT",12.25,BA2="w/o OT",9.5,BA2="FRI",7.5,BA2="SAT",7.5,BA2="SUN",7.5,BA2="OFF",0)</f>
        <v>9.5</v>
      </c>
      <c r="BB5" s="126" cm="1">
        <f t="array" ref="BB5">_xlfn.IFS(BB2="w/ OT",12.25,BB2="w/o OT",9.5,BB2="FRI",7.5,BB2="SAT",7.5,BB2="SUN",7.5,BB2="OFF",0)</f>
        <v>9.5</v>
      </c>
      <c r="BC5" s="126" cm="1">
        <f t="array" ref="BC5">_xlfn.IFS(BC2="w/ OT",12.25,BC2="w/o OT",9.5,BC2="FRI",7.5,BC2="SAT",7.5,BC2="SUN",7.5,BC2="OFF",0)</f>
        <v>9.5</v>
      </c>
      <c r="BD5" s="126" cm="1">
        <f t="array" ref="BD5">_xlfn.IFS(BD2="w/ OT",12.25,BD2="w/o OT",9.5,BD2="FRI",7.5,BD2="SAT",7.5,BD2="SUN",7.5,BD2="OFF",0)</f>
        <v>9.5</v>
      </c>
      <c r="BE5" s="126" cm="1">
        <f t="array" ref="BE5">_xlfn.IFS(BE2="w/ OT",12.25,BE2="w/o OT",9.5,BE2="FRI",7.5,BE2="SAT",7.5,BE2="SUN",7.5,BE2="OFF",0)</f>
        <v>7.5</v>
      </c>
      <c r="BF5" s="126" cm="1">
        <f t="array" ref="BF5">_xlfn.IFS(BF2="w/ OT",12.25,BF2="w/o OT",9.5,BF2="FRI",7.5,BF2="SAT",7.5,BF2="SUN",7.5,BF2="OFF",0)</f>
        <v>7.5</v>
      </c>
      <c r="BG5" s="126" cm="1">
        <f t="array" ref="BG5">_xlfn.IFS(BG2="w/ OT",12.25,BG2="w/o OT",9.5,BG2="FRI",7.5,BG2="SAT",7.5,BG2="SUN",7.5,BG2="OFF",0)</f>
        <v>9.5</v>
      </c>
      <c r="BH5" s="126" cm="1">
        <f t="array" ref="BH5">_xlfn.IFS(BH2="w/ OT",12.25,BH2="w/o OT",9.5,BH2="FRI",7.5,BH2="SAT",7.5,BH2="SUN",7.5,BH2="OFF",0)</f>
        <v>9.5</v>
      </c>
      <c r="BI5" s="126" cm="1">
        <f t="array" ref="BI5">_xlfn.IFS(BI2="w/ OT",12.25,BI2="w/o OT",9.5,BI2="FRI",7.5,BI2="SAT",7.5,BI2="SUN",7.5,BI2="OFF",0)</f>
        <v>9.5</v>
      </c>
      <c r="BJ5" s="126" cm="1">
        <f t="array" ref="BJ5">_xlfn.IFS(BJ2="w/ OT",12.25,BJ2="w/o OT",9.5,BJ2="FRI",7.5,BJ2="SAT",7.5,BJ2="SUN",7.5,BJ2="OFF",0)</f>
        <v>9.5</v>
      </c>
      <c r="BK5" s="126" cm="1">
        <f t="array" ref="BK5">_xlfn.IFS(BK2="w/ OT",12.25,BK2="w/o OT",9.5,BK2="FRI",7.5,BK2="SAT",7.5,BK2="SUN",7.5,BK2="OFF",0)</f>
        <v>7.5</v>
      </c>
      <c r="BL5" s="126" cm="1">
        <f t="array" ref="BL5">_xlfn.IFS(BL2="w/ OT",12.25,BL2="w/o OT",9.5,BL2="FRI",7.5,BL2="SAT",7.5,BL2="SUN",7.5,BL2="OFF",0)</f>
        <v>7.5</v>
      </c>
      <c r="BM5" s="126" cm="1">
        <f t="array" ref="BM5">_xlfn.IFS(BM2="w/ OT",12.25,BM2="w/o OT",9.5,BM2="FRI",7.5,BM2="SAT",7.5,BM2="SUN",7.5,BM2="OFF",0)</f>
        <v>9.5</v>
      </c>
      <c r="BN5" s="126" cm="1">
        <f t="array" ref="BN5">_xlfn.IFS(BN2="w/ OT",12.25,BN2="w/o OT",9.5,BN2="FRI",7.5,BN2="SAT",7.5,BN2="SUN",7.5,BN2="OFF",0)</f>
        <v>9.5</v>
      </c>
      <c r="BO5" s="126" cm="1">
        <f t="array" ref="BO5">_xlfn.IFS(BO2="w/ OT",12.25,BO2="w/o OT",9.5,BO2="FRI",7.5,BO2="SAT",7.5,BO2="SUN",7.5,BO2="OFF",0)</f>
        <v>9.5</v>
      </c>
      <c r="BP5" s="126" cm="1">
        <f t="array" ref="BP5">_xlfn.IFS(BP2="w/ OT",12.25,BP2="w/o OT",9.5,BP2="FRI",7.5,BP2="SAT",7.5,BP2="SUN",7.5,BP2="OFF",0)</f>
        <v>9.5</v>
      </c>
      <c r="BQ5" s="126" cm="1">
        <f t="array" ref="BQ5">_xlfn.IFS(BQ2="w/ OT",12.25,BQ2="w/o OT",9.5,BQ2="FRI",7.5,BQ2="SAT",7.5,BQ2="SUN",7.5,BQ2="OFF",0)</f>
        <v>7.5</v>
      </c>
      <c r="BR5" s="126" cm="1">
        <f t="array" ref="BR5">_xlfn.IFS(BR2="w/ OT",12.25,BR2="w/o OT",9.5,BR2="FRI",7.5,BR2="SAT",7.5,BR2="SUN",7.5,BR2="OFF",0)</f>
        <v>7.5</v>
      </c>
      <c r="BS5" s="126" cm="1">
        <f t="array" ref="BS5">_xlfn.IFS(BS2="w/ OT",12.25,BS2="w/o OT",9.5,BS2="FRI",7.5,BS2="SAT",7.5,BS2="SUN",7.5,BS2="OFF",0)</f>
        <v>9.5</v>
      </c>
      <c r="BT5" s="126" cm="1">
        <f t="array" ref="BT5">_xlfn.IFS(BT2="w/ OT",12.25,BT2="w/o OT",9.5,BT2="FRI",7.5,BT2="SAT",7.5,BT2="SUN",7.5,BT2="OFF",0)</f>
        <v>9.5</v>
      </c>
      <c r="BU5" s="126" cm="1">
        <f t="array" ref="BU5">_xlfn.IFS(BU2="w/ OT",12.25,BU2="w/o OT",9.5,BU2="FRI",7.5,BU2="SAT",7.5,BU2="SUN",7.5,BU2="OFF",0)</f>
        <v>9.5</v>
      </c>
      <c r="BV5" s="126" cm="1">
        <f t="array" ref="BV5">_xlfn.IFS(BV2="w/ OT",12.25,BV2="w/o OT",9.5,BV2="FRI",7.5,BV2="SAT",7.5,BV2="SUN",7.5,BV2="OFF",0)</f>
        <v>9.5</v>
      </c>
      <c r="BW5" s="126" cm="1">
        <f t="array" ref="BW5">_xlfn.IFS(BW2="w/ OT",12.25,BW2="w/o OT",9.5,BW2="FRI",7.5,BW2="SAT",7.5,BW2="SUN",7.5,BW2="OFF",0)</f>
        <v>7.5</v>
      </c>
      <c r="BX5" s="126" cm="1">
        <f t="array" ref="BX5">_xlfn.IFS(BX2="w/ OT",12.25,BX2="w/o OT",9.5,BX2="FRI",7.5,BX2="SAT",7.5,BX2="SUN",7.5,BX2="OFF",0)</f>
        <v>7.5</v>
      </c>
      <c r="BY5" s="126" cm="1">
        <f t="array" ref="BY5">_xlfn.IFS(BY2="w/ OT",12.25,BY2="w/o OT",9.5,BY2="FRI",7.5,BY2="SAT",7.5,BY2="SUN",7.5,BY2="OFF",0)</f>
        <v>9.5</v>
      </c>
      <c r="BZ5" s="126" cm="1">
        <f t="array" ref="BZ5">_xlfn.IFS(BZ2="w/ OT",12.25,BZ2="w/o OT",9.5,BZ2="FRI",7.5,BZ2="SAT",7.5,BZ2="SUN",7.5,BZ2="OFF",0)</f>
        <v>9.5</v>
      </c>
      <c r="CA5" s="126" cm="1">
        <f t="array" ref="CA5">_xlfn.IFS(CA2="w/ OT",12.25,CA2="w/o OT",9.5,CA2="FRI",7.5,CA2="SAT",7.5,CA2="SUN",7.5,CA2="OFF",0)</f>
        <v>9.5</v>
      </c>
      <c r="CB5" s="126" cm="1">
        <f t="array" ref="CB5">_xlfn.IFS(CB2="w/ OT",12.25,CB2="w/o OT",9.5,CB2="FRI",7.5,CB2="SAT",7.5,CB2="SUN",7.5,CB2="OFF",0)</f>
        <v>9.5</v>
      </c>
      <c r="CC5" s="126" cm="1">
        <f t="array" ref="CC5">_xlfn.IFS(CC2="w/ OT",12.25,CC2="w/o OT",9.5,CC2="FRI",7.5,CC2="SAT",7.5,CC2="SUN",7.5,CC2="OFF",0)</f>
        <v>7.5</v>
      </c>
      <c r="CD5" s="126" cm="1">
        <f t="array" ref="CD5">_xlfn.IFS(CD2="w/ OT",12.25,CD2="w/o OT",9.5,CD2="FRI",7.5,CD2="SAT",7.5,CD2="SUN",7.5,CD2="OFF",0)</f>
        <v>7.5</v>
      </c>
    </row>
    <row r="6" spans="1:82" ht="15" customHeight="1" x14ac:dyDescent="0.2">
      <c r="A6" s="386"/>
      <c r="B6" s="386"/>
      <c r="C6" s="387"/>
      <c r="D6" s="388"/>
      <c r="E6" s="389"/>
      <c r="F6" s="392"/>
      <c r="G6" s="388"/>
      <c r="H6" s="390"/>
      <c r="I6" s="393"/>
      <c r="J6" s="393"/>
      <c r="K6" s="390"/>
      <c r="L6" s="390"/>
      <c r="M6" s="389"/>
      <c r="N6" s="389"/>
      <c r="O6" s="391"/>
      <c r="P6" s="391"/>
      <c r="Q6" s="124"/>
      <c r="R6" s="124"/>
      <c r="S6" s="124"/>
      <c r="T6" s="124"/>
      <c r="U6" s="124"/>
      <c r="V6" s="124"/>
      <c r="W6" s="124"/>
      <c r="X6" s="124"/>
      <c r="Y6" s="124"/>
      <c r="Z6" s="124"/>
      <c r="AA6" s="124"/>
      <c r="AB6" s="124"/>
      <c r="AC6" s="124"/>
      <c r="AD6" s="124"/>
      <c r="AE6" s="124"/>
      <c r="AF6" s="124"/>
      <c r="AG6" s="124"/>
      <c r="AH6" s="124"/>
      <c r="AI6" s="124"/>
      <c r="AJ6" s="124"/>
      <c r="AK6" s="124"/>
      <c r="AL6" s="124"/>
      <c r="AM6" s="124"/>
      <c r="AN6" s="124"/>
      <c r="AO6" s="124"/>
      <c r="AP6" s="124"/>
      <c r="AQ6" s="124"/>
      <c r="AR6" s="124"/>
      <c r="AS6" s="124"/>
      <c r="AT6" s="124"/>
      <c r="AU6" s="124"/>
      <c r="AV6" s="124"/>
      <c r="AW6" s="124"/>
      <c r="AX6" s="124"/>
      <c r="AY6" s="124"/>
      <c r="AZ6" s="124"/>
      <c r="BA6" s="124"/>
      <c r="BB6" s="124"/>
      <c r="BC6" s="124"/>
      <c r="BD6" s="124"/>
      <c r="BE6" s="124"/>
      <c r="BF6" s="124"/>
      <c r="BG6" s="124"/>
      <c r="BH6" s="124"/>
      <c r="BI6" s="124"/>
      <c r="BJ6" s="124"/>
      <c r="BK6" s="124"/>
      <c r="BL6" s="124"/>
      <c r="BM6" s="124"/>
      <c r="BN6" s="124"/>
      <c r="BO6" s="124"/>
      <c r="BP6" s="124"/>
      <c r="BQ6" s="124"/>
      <c r="BR6" s="124"/>
      <c r="BS6" s="124"/>
      <c r="BT6" s="124"/>
      <c r="BU6" s="124"/>
      <c r="BV6" s="124"/>
      <c r="BW6" s="124"/>
      <c r="BX6" s="124"/>
      <c r="BY6" s="124"/>
      <c r="BZ6" s="124"/>
      <c r="CA6" s="124"/>
      <c r="CB6" s="124"/>
      <c r="CC6" s="124"/>
      <c r="CD6" s="124"/>
    </row>
    <row r="7" spans="1:82" ht="9" customHeight="1" x14ac:dyDescent="0.2">
      <c r="A7" s="113"/>
      <c r="B7" s="114"/>
      <c r="C7" s="115"/>
      <c r="D7" s="116"/>
      <c r="E7" s="175"/>
      <c r="F7" s="117"/>
      <c r="G7" s="116"/>
      <c r="H7" s="118"/>
      <c r="I7" s="119"/>
      <c r="J7" s="119"/>
      <c r="K7" s="186"/>
      <c r="L7" s="186"/>
      <c r="M7" s="179"/>
      <c r="N7" s="179"/>
      <c r="O7" s="120"/>
      <c r="P7" s="120"/>
      <c r="Q7" s="121"/>
      <c r="R7" s="121"/>
      <c r="S7" s="121"/>
      <c r="T7" s="121"/>
      <c r="U7" s="121"/>
      <c r="V7" s="121"/>
      <c r="W7" s="121"/>
      <c r="X7" s="121"/>
      <c r="Y7" s="121"/>
      <c r="Z7" s="121"/>
      <c r="AA7" s="121"/>
      <c r="AB7" s="121"/>
      <c r="AC7" s="121"/>
      <c r="AD7" s="121"/>
      <c r="AE7" s="121"/>
      <c r="AF7" s="121"/>
      <c r="AG7" s="121"/>
      <c r="AH7" s="121"/>
      <c r="AI7" s="121"/>
      <c r="AJ7" s="121"/>
      <c r="AK7" s="121"/>
      <c r="AL7" s="121"/>
      <c r="AM7" s="121"/>
      <c r="AN7" s="121"/>
      <c r="AO7" s="121"/>
      <c r="AP7" s="121"/>
      <c r="AQ7" s="121"/>
      <c r="AR7" s="121"/>
      <c r="AS7" s="121"/>
      <c r="AT7" s="121"/>
      <c r="AU7" s="121"/>
    </row>
    <row r="8" spans="1:82" ht="12.6" hidden="1" customHeight="1" x14ac:dyDescent="0.2">
      <c r="A8" s="106">
        <f>SHIPMENTS!A14</f>
        <v>9296</v>
      </c>
      <c r="B8" s="106" t="str">
        <f>SHIPMENTS!B14</f>
        <v>15900- Makati |Techiron Resources Inc.</v>
      </c>
      <c r="C8" s="132">
        <f>SHIPMENTS!F14</f>
        <v>0.05</v>
      </c>
      <c r="D8" s="107" t="str">
        <f>IF((SHIPMENTS!I14)=0,"",SHIPMENTS!I14)</f>
        <v/>
      </c>
      <c r="E8" s="176">
        <f>IF((SHIPMENTS!G14)=0,"",SHIPMENTS!G14)</f>
        <v>46314</v>
      </c>
      <c r="F8" s="98">
        <f>VLOOKUP(A8,load!$A$4:$W$5001,22,0)</f>
        <v>0.40316666666666667</v>
      </c>
      <c r="G8" s="109">
        <v>13</v>
      </c>
      <c r="H8" s="110">
        <f t="shared" ref="H8:H32" si="0">+G8*$H$4</f>
        <v>118.3</v>
      </c>
      <c r="I8" s="111">
        <f>F8/H8</f>
        <v>3.4080022541561005E-3</v>
      </c>
      <c r="J8" s="111">
        <f t="shared" ref="J8:J32" si="1">+I8*$H$4</f>
        <v>3.1012820512820512E-2</v>
      </c>
      <c r="K8" s="110">
        <f>IFERROR(I8-(I8*O8),0)</f>
        <v>0</v>
      </c>
      <c r="L8" s="110">
        <f>IFERROR(J8-(J8*O8),0)</f>
        <v>0</v>
      </c>
      <c r="M8" s="181">
        <f>M4</f>
        <v>46319</v>
      </c>
      <c r="N8" s="181">
        <f t="shared" ref="N8:N9" si="2">+M8+K8</f>
        <v>46319</v>
      </c>
      <c r="O8" s="112" t="str">
        <f>VLOOKUP(A8,SHIPMENTS!$A$7:$AP$76,42,0)</f>
        <v>n/a</v>
      </c>
      <c r="P8" s="112"/>
      <c r="Q8" s="127" t="str">
        <f t="shared" ref="Q8:AF23" si="3">IF($E8=Q$3,"▲","")</f>
        <v>▲</v>
      </c>
      <c r="R8" s="127" t="str">
        <f t="shared" si="3"/>
        <v/>
      </c>
      <c r="S8" s="127" t="str">
        <f t="shared" si="3"/>
        <v/>
      </c>
      <c r="T8" s="127" t="str">
        <f t="shared" si="3"/>
        <v/>
      </c>
      <c r="U8" s="127" t="str">
        <f t="shared" si="3"/>
        <v/>
      </c>
      <c r="V8" s="127" t="str">
        <f t="shared" si="3"/>
        <v/>
      </c>
      <c r="W8" s="127" t="str">
        <f t="shared" si="3"/>
        <v/>
      </c>
      <c r="X8" s="127" t="str">
        <f t="shared" si="3"/>
        <v/>
      </c>
      <c r="Y8" s="127" t="str">
        <f t="shared" si="3"/>
        <v/>
      </c>
      <c r="Z8" s="127" t="str">
        <f t="shared" si="3"/>
        <v/>
      </c>
      <c r="AA8" s="127" t="str">
        <f t="shared" si="3"/>
        <v/>
      </c>
      <c r="AB8" s="127" t="str">
        <f t="shared" si="3"/>
        <v/>
      </c>
      <c r="AC8" s="127" t="str">
        <f t="shared" si="3"/>
        <v/>
      </c>
      <c r="AD8" s="127" t="str">
        <f t="shared" si="3"/>
        <v/>
      </c>
      <c r="AE8" s="127" t="str">
        <f t="shared" si="3"/>
        <v/>
      </c>
      <c r="AF8" s="127" t="str">
        <f t="shared" si="3"/>
        <v/>
      </c>
      <c r="AG8" s="127" t="str">
        <f t="shared" ref="AG8:BF17" si="4">IF($E8=AG$3,"▲","")</f>
        <v/>
      </c>
      <c r="AH8" s="127" t="str">
        <f t="shared" si="4"/>
        <v/>
      </c>
      <c r="AI8" s="127" t="str">
        <f t="shared" si="4"/>
        <v/>
      </c>
      <c r="AJ8" s="127" t="str">
        <f t="shared" si="4"/>
        <v/>
      </c>
      <c r="AK8" s="127" t="str">
        <f t="shared" si="4"/>
        <v/>
      </c>
      <c r="AL8" s="127" t="str">
        <f t="shared" si="4"/>
        <v/>
      </c>
      <c r="AM8" s="127" t="str">
        <f t="shared" si="4"/>
        <v/>
      </c>
      <c r="AN8" s="127" t="str">
        <f t="shared" si="4"/>
        <v/>
      </c>
      <c r="AO8" s="127" t="str">
        <f t="shared" si="4"/>
        <v/>
      </c>
      <c r="AP8" s="127" t="str">
        <f t="shared" si="4"/>
        <v/>
      </c>
      <c r="AQ8" s="127" t="str">
        <f t="shared" si="4"/>
        <v/>
      </c>
      <c r="AR8" s="127" t="str">
        <f t="shared" si="4"/>
        <v/>
      </c>
      <c r="AS8" s="127" t="str">
        <f t="shared" si="4"/>
        <v/>
      </c>
      <c r="AT8" s="127" t="str">
        <f t="shared" si="4"/>
        <v/>
      </c>
      <c r="AU8" s="127" t="str">
        <f t="shared" si="4"/>
        <v/>
      </c>
      <c r="AV8" s="127" t="str">
        <f t="shared" si="4"/>
        <v/>
      </c>
      <c r="AW8" s="127" t="str">
        <f t="shared" si="4"/>
        <v/>
      </c>
      <c r="AX8" s="127" t="str">
        <f t="shared" si="4"/>
        <v/>
      </c>
      <c r="AY8" s="127" t="str">
        <f t="shared" si="4"/>
        <v/>
      </c>
      <c r="AZ8" s="127" t="str">
        <f t="shared" si="4"/>
        <v/>
      </c>
      <c r="BA8" s="127" t="str">
        <f t="shared" si="4"/>
        <v/>
      </c>
      <c r="BB8" s="127" t="str">
        <f t="shared" si="4"/>
        <v/>
      </c>
      <c r="BC8" s="127" t="str">
        <f t="shared" si="4"/>
        <v/>
      </c>
      <c r="BD8" s="127" t="str">
        <f t="shared" si="4"/>
        <v/>
      </c>
      <c r="BE8" s="127" t="str">
        <f t="shared" si="4"/>
        <v/>
      </c>
      <c r="BF8" s="127" t="str">
        <f t="shared" si="4"/>
        <v/>
      </c>
      <c r="BG8" s="127" t="str">
        <f t="shared" ref="BG8:BV17" si="5">IF($E8=BG$3,"▲","")</f>
        <v/>
      </c>
      <c r="BH8" s="127" t="str">
        <f t="shared" si="5"/>
        <v/>
      </c>
      <c r="BI8" s="127" t="str">
        <f t="shared" si="5"/>
        <v/>
      </c>
      <c r="BJ8" s="127" t="str">
        <f t="shared" si="5"/>
        <v/>
      </c>
      <c r="BK8" s="127" t="str">
        <f t="shared" si="5"/>
        <v/>
      </c>
      <c r="BL8" s="127" t="str">
        <f t="shared" si="5"/>
        <v/>
      </c>
      <c r="BM8" s="127" t="str">
        <f t="shared" si="5"/>
        <v/>
      </c>
      <c r="BN8" s="127" t="str">
        <f t="shared" si="5"/>
        <v/>
      </c>
      <c r="BO8" s="127" t="str">
        <f t="shared" si="5"/>
        <v/>
      </c>
      <c r="BP8" s="127" t="str">
        <f t="shared" si="5"/>
        <v/>
      </c>
      <c r="BQ8" s="127" t="str">
        <f t="shared" si="5"/>
        <v/>
      </c>
      <c r="BR8" s="127" t="str">
        <f t="shared" si="5"/>
        <v/>
      </c>
      <c r="BS8" s="127" t="str">
        <f t="shared" si="5"/>
        <v/>
      </c>
      <c r="BT8" s="127" t="str">
        <f t="shared" si="5"/>
        <v/>
      </c>
      <c r="BU8" s="127" t="str">
        <f t="shared" si="5"/>
        <v/>
      </c>
      <c r="BV8" s="127" t="str">
        <f t="shared" si="5"/>
        <v/>
      </c>
      <c r="BW8" s="127" t="str">
        <f t="shared" ref="BS8:CD23" si="6">IF($E8=BW$3,"▲","")</f>
        <v/>
      </c>
      <c r="BX8" s="127" t="str">
        <f t="shared" si="6"/>
        <v/>
      </c>
      <c r="BY8" s="127" t="str">
        <f t="shared" si="6"/>
        <v/>
      </c>
      <c r="BZ8" s="127" t="str">
        <f t="shared" si="6"/>
        <v/>
      </c>
      <c r="CA8" s="127" t="str">
        <f t="shared" si="6"/>
        <v/>
      </c>
      <c r="CB8" s="127" t="str">
        <f t="shared" si="6"/>
        <v/>
      </c>
      <c r="CC8" s="127" t="str">
        <f t="shared" si="6"/>
        <v/>
      </c>
      <c r="CD8" s="127" t="str">
        <f t="shared" si="6"/>
        <v/>
      </c>
    </row>
    <row r="9" spans="1:82" ht="12.6" hidden="1" customHeight="1" x14ac:dyDescent="0.2">
      <c r="A9" s="106">
        <f>SHIPMENTS!A15</f>
        <v>9309</v>
      </c>
      <c r="B9" s="106" t="str">
        <f>SHIPMENTS!B15</f>
        <v>43940-THAILAND</v>
      </c>
      <c r="C9" s="132">
        <f>SHIPMENTS!F15</f>
        <v>6.4030000000000004E-2</v>
      </c>
      <c r="D9" s="107" t="str">
        <f>IF((SHIPMENTS!I15)=0,"",SHIPMENTS!I15)</f>
        <v>AIR</v>
      </c>
      <c r="E9" s="176">
        <f>IF((SHIPMENTS!G15)=0,"",SHIPMENTS!G15)</f>
        <v>46314</v>
      </c>
      <c r="F9" s="98">
        <f>VLOOKUP(A9,load!$A$4:$W$5001,22,0)</f>
        <v>0</v>
      </c>
      <c r="G9" s="109">
        <v>13</v>
      </c>
      <c r="H9" s="98">
        <f t="shared" si="0"/>
        <v>118.3</v>
      </c>
      <c r="I9" s="99">
        <f t="shared" ref="I9:I32" si="7">F9/H9</f>
        <v>0</v>
      </c>
      <c r="J9" s="99">
        <f t="shared" si="1"/>
        <v>0</v>
      </c>
      <c r="K9" s="98">
        <f t="shared" ref="K9:K32" si="8">IFERROR(I9-(I9*O9),0)</f>
        <v>0</v>
      </c>
      <c r="L9" s="98">
        <f t="shared" ref="L9:L32" si="9">IFERROR(J9-(J9*O9),0)</f>
        <v>0</v>
      </c>
      <c r="M9" s="181">
        <f>N8</f>
        <v>46319</v>
      </c>
      <c r="N9" s="181">
        <f t="shared" si="2"/>
        <v>46319</v>
      </c>
      <c r="O9" s="112" t="str">
        <f>VLOOKUP(A9,SHIPMENTS!$A$7:$AP$76,42,0)</f>
        <v>n/a</v>
      </c>
      <c r="P9" s="101"/>
      <c r="Q9" s="127" t="str">
        <f t="shared" si="3"/>
        <v>▲</v>
      </c>
      <c r="R9" s="127" t="str">
        <f t="shared" si="3"/>
        <v/>
      </c>
      <c r="S9" s="127" t="str">
        <f t="shared" si="3"/>
        <v/>
      </c>
      <c r="T9" s="127" t="str">
        <f t="shared" si="3"/>
        <v/>
      </c>
      <c r="U9" s="127" t="str">
        <f t="shared" si="3"/>
        <v/>
      </c>
      <c r="V9" s="127" t="str">
        <f t="shared" si="3"/>
        <v/>
      </c>
      <c r="W9" s="127" t="str">
        <f t="shared" si="3"/>
        <v/>
      </c>
      <c r="X9" s="127" t="str">
        <f t="shared" si="3"/>
        <v/>
      </c>
      <c r="Y9" s="127" t="str">
        <f t="shared" si="3"/>
        <v/>
      </c>
      <c r="Z9" s="127" t="str">
        <f t="shared" si="3"/>
        <v/>
      </c>
      <c r="AA9" s="127" t="str">
        <f t="shared" si="3"/>
        <v/>
      </c>
      <c r="AB9" s="127" t="str">
        <f t="shared" si="3"/>
        <v/>
      </c>
      <c r="AC9" s="127" t="str">
        <f t="shared" si="3"/>
        <v/>
      </c>
      <c r="AD9" s="127" t="str">
        <f t="shared" si="3"/>
        <v/>
      </c>
      <c r="AE9" s="127" t="str">
        <f t="shared" si="3"/>
        <v/>
      </c>
      <c r="AF9" s="127" t="str">
        <f t="shared" si="3"/>
        <v/>
      </c>
      <c r="AG9" s="127" t="str">
        <f t="shared" si="4"/>
        <v/>
      </c>
      <c r="AH9" s="127" t="str">
        <f t="shared" si="4"/>
        <v/>
      </c>
      <c r="AI9" s="127" t="str">
        <f t="shared" si="4"/>
        <v/>
      </c>
      <c r="AJ9" s="127" t="str">
        <f t="shared" si="4"/>
        <v/>
      </c>
      <c r="AK9" s="127" t="str">
        <f t="shared" si="4"/>
        <v/>
      </c>
      <c r="AL9" s="127" t="str">
        <f t="shared" si="4"/>
        <v/>
      </c>
      <c r="AM9" s="127" t="str">
        <f t="shared" si="4"/>
        <v/>
      </c>
      <c r="AN9" s="127" t="str">
        <f t="shared" si="4"/>
        <v/>
      </c>
      <c r="AO9" s="127" t="str">
        <f t="shared" si="4"/>
        <v/>
      </c>
      <c r="AP9" s="127" t="str">
        <f t="shared" si="4"/>
        <v/>
      </c>
      <c r="AQ9" s="127" t="str">
        <f t="shared" si="4"/>
        <v/>
      </c>
      <c r="AR9" s="127" t="str">
        <f t="shared" si="4"/>
        <v/>
      </c>
      <c r="AS9" s="127" t="str">
        <f t="shared" si="4"/>
        <v/>
      </c>
      <c r="AT9" s="127" t="str">
        <f t="shared" si="4"/>
        <v/>
      </c>
      <c r="AU9" s="127" t="str">
        <f t="shared" si="4"/>
        <v/>
      </c>
      <c r="AV9" s="127" t="str">
        <f t="shared" si="4"/>
        <v/>
      </c>
      <c r="AW9" s="127" t="str">
        <f t="shared" si="4"/>
        <v/>
      </c>
      <c r="AX9" s="127" t="str">
        <f t="shared" si="4"/>
        <v/>
      </c>
      <c r="AY9" s="127" t="str">
        <f t="shared" si="4"/>
        <v/>
      </c>
      <c r="AZ9" s="127" t="str">
        <f t="shared" si="4"/>
        <v/>
      </c>
      <c r="BA9" s="127" t="str">
        <f t="shared" si="4"/>
        <v/>
      </c>
      <c r="BB9" s="127" t="str">
        <f t="shared" si="4"/>
        <v/>
      </c>
      <c r="BC9" s="127" t="str">
        <f t="shared" si="4"/>
        <v/>
      </c>
      <c r="BD9" s="127" t="str">
        <f t="shared" si="4"/>
        <v/>
      </c>
      <c r="BE9" s="127" t="str">
        <f t="shared" si="4"/>
        <v/>
      </c>
      <c r="BF9" s="127" t="str">
        <f t="shared" si="4"/>
        <v/>
      </c>
      <c r="BG9" s="127" t="str">
        <f t="shared" si="5"/>
        <v/>
      </c>
      <c r="BH9" s="127" t="str">
        <f t="shared" si="5"/>
        <v/>
      </c>
      <c r="BI9" s="127" t="str">
        <f t="shared" si="5"/>
        <v/>
      </c>
      <c r="BJ9" s="127" t="str">
        <f t="shared" si="5"/>
        <v/>
      </c>
      <c r="BK9" s="127" t="str">
        <f t="shared" si="5"/>
        <v/>
      </c>
      <c r="BL9" s="127" t="str">
        <f t="shared" si="5"/>
        <v/>
      </c>
      <c r="BM9" s="127" t="str">
        <f t="shared" si="5"/>
        <v/>
      </c>
      <c r="BN9" s="127" t="str">
        <f t="shared" si="5"/>
        <v/>
      </c>
      <c r="BO9" s="127" t="str">
        <f t="shared" si="5"/>
        <v/>
      </c>
      <c r="BP9" s="127" t="str">
        <f t="shared" si="5"/>
        <v/>
      </c>
      <c r="BQ9" s="127" t="str">
        <f t="shared" si="5"/>
        <v/>
      </c>
      <c r="BR9" s="127" t="str">
        <f t="shared" si="5"/>
        <v/>
      </c>
      <c r="BS9" s="127" t="str">
        <f t="shared" si="6"/>
        <v/>
      </c>
      <c r="BT9" s="127" t="str">
        <f t="shared" si="6"/>
        <v/>
      </c>
      <c r="BU9" s="127" t="str">
        <f t="shared" si="6"/>
        <v/>
      </c>
      <c r="BV9" s="127" t="str">
        <f t="shared" si="6"/>
        <v/>
      </c>
      <c r="BW9" s="127" t="str">
        <f t="shared" si="6"/>
        <v/>
      </c>
      <c r="BX9" s="127" t="str">
        <f t="shared" si="6"/>
        <v/>
      </c>
      <c r="BY9" s="127" t="str">
        <f t="shared" si="6"/>
        <v/>
      </c>
      <c r="BZ9" s="127" t="str">
        <f t="shared" si="6"/>
        <v/>
      </c>
      <c r="CA9" s="127" t="str">
        <f t="shared" si="6"/>
        <v/>
      </c>
      <c r="CB9" s="127" t="str">
        <f t="shared" si="6"/>
        <v/>
      </c>
      <c r="CC9" s="127" t="str">
        <f t="shared" si="6"/>
        <v/>
      </c>
      <c r="CD9" s="127" t="str">
        <f t="shared" si="6"/>
        <v/>
      </c>
    </row>
    <row r="10" spans="1:82" ht="12.6" customHeight="1" x14ac:dyDescent="0.2">
      <c r="A10" s="106">
        <f>SHIPMENTS!A16</f>
        <v>9117</v>
      </c>
      <c r="B10" s="106" t="str">
        <f>SHIPMENTS!B16</f>
        <v>41700-CANADA BSAUNAS</v>
      </c>
      <c r="C10" s="132">
        <f>SHIPMENTS!F16</f>
        <v>83.268000000000001</v>
      </c>
      <c r="D10" s="107" t="str">
        <f>IF((SHIPMENTS!I16)=0,"",SHIPMENTS!I16)</f>
        <v>1X40HC</v>
      </c>
      <c r="E10" s="176">
        <f>IF((SHIPMENTS!G16)=0,"",SHIPMENTS!G16)</f>
        <v>46315</v>
      </c>
      <c r="F10" s="98">
        <f>VLOOKUP(A10,load!$A$4:$W$5001,22,0)</f>
        <v>368.99416666666667</v>
      </c>
      <c r="G10" s="109">
        <v>13</v>
      </c>
      <c r="H10" s="98">
        <f t="shared" si="0"/>
        <v>118.3</v>
      </c>
      <c r="I10" s="99">
        <f t="shared" si="7"/>
        <v>3.1191391941391942</v>
      </c>
      <c r="J10" s="99">
        <f t="shared" si="1"/>
        <v>28.384166666666665</v>
      </c>
      <c r="K10" s="98">
        <f t="shared" si="8"/>
        <v>3.1191391941391942</v>
      </c>
      <c r="L10" s="98">
        <f t="shared" si="9"/>
        <v>28.384166666666665</v>
      </c>
      <c r="M10" s="181">
        <f>N9</f>
        <v>46319</v>
      </c>
      <c r="N10" s="181">
        <f t="shared" ref="N10" si="10">+M10+K10</f>
        <v>46322.119139194139</v>
      </c>
      <c r="O10" s="112">
        <f>VLOOKUP(A10,SHIPMENTS!$A$7:$AP$76,42,0)</f>
        <v>0</v>
      </c>
      <c r="P10" s="101"/>
      <c r="Q10" s="127" t="str">
        <f t="shared" si="3"/>
        <v/>
      </c>
      <c r="R10" s="127" t="str">
        <f t="shared" si="3"/>
        <v>▲</v>
      </c>
      <c r="S10" s="127" t="str">
        <f t="shared" si="3"/>
        <v/>
      </c>
      <c r="T10" s="127" t="str">
        <f t="shared" si="3"/>
        <v/>
      </c>
      <c r="U10" s="127" t="str">
        <f t="shared" si="3"/>
        <v/>
      </c>
      <c r="V10" s="127" t="str">
        <f t="shared" si="3"/>
        <v/>
      </c>
      <c r="W10" s="127" t="str">
        <f t="shared" si="3"/>
        <v/>
      </c>
      <c r="X10" s="127" t="str">
        <f t="shared" si="3"/>
        <v/>
      </c>
      <c r="Y10" s="127" t="str">
        <f t="shared" si="3"/>
        <v/>
      </c>
      <c r="Z10" s="127" t="str">
        <f t="shared" si="3"/>
        <v/>
      </c>
      <c r="AA10" s="127" t="str">
        <f t="shared" si="3"/>
        <v/>
      </c>
      <c r="AB10" s="127" t="str">
        <f t="shared" si="3"/>
        <v/>
      </c>
      <c r="AC10" s="127" t="str">
        <f t="shared" si="3"/>
        <v/>
      </c>
      <c r="AD10" s="127" t="str">
        <f t="shared" si="3"/>
        <v/>
      </c>
      <c r="AE10" s="127" t="str">
        <f t="shared" si="3"/>
        <v/>
      </c>
      <c r="AF10" s="127" t="str">
        <f t="shared" si="3"/>
        <v/>
      </c>
      <c r="AG10" s="127" t="str">
        <f t="shared" si="4"/>
        <v/>
      </c>
      <c r="AH10" s="127" t="str">
        <f t="shared" si="4"/>
        <v/>
      </c>
      <c r="AI10" s="127" t="str">
        <f t="shared" si="4"/>
        <v/>
      </c>
      <c r="AJ10" s="127" t="str">
        <f t="shared" si="4"/>
        <v/>
      </c>
      <c r="AK10" s="127" t="str">
        <f t="shared" si="4"/>
        <v/>
      </c>
      <c r="AL10" s="127" t="str">
        <f t="shared" si="4"/>
        <v/>
      </c>
      <c r="AM10" s="127" t="str">
        <f t="shared" si="4"/>
        <v/>
      </c>
      <c r="AN10" s="127" t="str">
        <f t="shared" si="4"/>
        <v/>
      </c>
      <c r="AO10" s="127" t="str">
        <f t="shared" si="4"/>
        <v/>
      </c>
      <c r="AP10" s="127" t="str">
        <f t="shared" si="4"/>
        <v/>
      </c>
      <c r="AQ10" s="127" t="str">
        <f t="shared" si="4"/>
        <v/>
      </c>
      <c r="AR10" s="127" t="str">
        <f t="shared" si="4"/>
        <v/>
      </c>
      <c r="AS10" s="127" t="str">
        <f t="shared" si="4"/>
        <v/>
      </c>
      <c r="AT10" s="127" t="str">
        <f t="shared" si="4"/>
        <v/>
      </c>
      <c r="AU10" s="127" t="str">
        <f t="shared" si="4"/>
        <v/>
      </c>
      <c r="AV10" s="127" t="str">
        <f t="shared" si="4"/>
        <v/>
      </c>
      <c r="AW10" s="127" t="str">
        <f t="shared" si="4"/>
        <v/>
      </c>
      <c r="AX10" s="127" t="str">
        <f t="shared" si="4"/>
        <v/>
      </c>
      <c r="AY10" s="127" t="str">
        <f t="shared" si="4"/>
        <v/>
      </c>
      <c r="AZ10" s="127" t="str">
        <f t="shared" si="4"/>
        <v/>
      </c>
      <c r="BA10" s="127" t="str">
        <f t="shared" si="4"/>
        <v/>
      </c>
      <c r="BB10" s="127" t="str">
        <f t="shared" si="4"/>
        <v/>
      </c>
      <c r="BC10" s="127" t="str">
        <f t="shared" si="4"/>
        <v/>
      </c>
      <c r="BD10" s="127" t="str">
        <f t="shared" si="4"/>
        <v/>
      </c>
      <c r="BE10" s="127" t="str">
        <f t="shared" si="4"/>
        <v/>
      </c>
      <c r="BF10" s="127" t="str">
        <f t="shared" si="4"/>
        <v/>
      </c>
      <c r="BG10" s="127" t="str">
        <f t="shared" si="5"/>
        <v/>
      </c>
      <c r="BH10" s="127" t="str">
        <f t="shared" si="5"/>
        <v/>
      </c>
      <c r="BI10" s="127" t="str">
        <f t="shared" si="5"/>
        <v/>
      </c>
      <c r="BJ10" s="127" t="str">
        <f t="shared" si="5"/>
        <v/>
      </c>
      <c r="BK10" s="127" t="str">
        <f t="shared" si="5"/>
        <v/>
      </c>
      <c r="BL10" s="127" t="str">
        <f t="shared" si="5"/>
        <v/>
      </c>
      <c r="BM10" s="127" t="str">
        <f t="shared" si="5"/>
        <v/>
      </c>
      <c r="BN10" s="127" t="str">
        <f t="shared" si="5"/>
        <v/>
      </c>
      <c r="BO10" s="127" t="str">
        <f t="shared" si="5"/>
        <v/>
      </c>
      <c r="BP10" s="127" t="str">
        <f t="shared" si="5"/>
        <v/>
      </c>
      <c r="BQ10" s="127" t="str">
        <f t="shared" si="5"/>
        <v/>
      </c>
      <c r="BR10" s="127" t="str">
        <f t="shared" si="5"/>
        <v/>
      </c>
      <c r="BS10" s="127" t="str">
        <f t="shared" si="6"/>
        <v/>
      </c>
      <c r="BT10" s="127" t="str">
        <f t="shared" si="6"/>
        <v/>
      </c>
      <c r="BU10" s="127" t="str">
        <f t="shared" si="6"/>
        <v/>
      </c>
      <c r="BV10" s="127" t="str">
        <f t="shared" si="6"/>
        <v/>
      </c>
      <c r="BW10" s="127" t="str">
        <f t="shared" si="6"/>
        <v/>
      </c>
      <c r="BX10" s="127" t="str">
        <f t="shared" si="6"/>
        <v/>
      </c>
      <c r="BY10" s="127" t="str">
        <f t="shared" si="6"/>
        <v/>
      </c>
      <c r="BZ10" s="127" t="str">
        <f t="shared" si="6"/>
        <v/>
      </c>
      <c r="CA10" s="127" t="str">
        <f t="shared" si="6"/>
        <v/>
      </c>
      <c r="CB10" s="127" t="str">
        <f t="shared" si="6"/>
        <v/>
      </c>
      <c r="CC10" s="127" t="str">
        <f t="shared" si="6"/>
        <v/>
      </c>
      <c r="CD10" s="127" t="str">
        <f t="shared" si="6"/>
        <v/>
      </c>
    </row>
    <row r="11" spans="1:82" ht="12.6" hidden="1" customHeight="1" x14ac:dyDescent="0.2">
      <c r="A11" s="106">
        <f>SHIPMENTS!A17</f>
        <v>8641</v>
      </c>
      <c r="B11" s="106" t="str">
        <f>SHIPMENTS!B17</f>
        <v>41700-CANADA BSAUNAS BACKLOG</v>
      </c>
      <c r="C11" s="132">
        <f>SHIPMENTS!F17</f>
        <v>0</v>
      </c>
      <c r="D11" s="107" t="str">
        <f>IF((SHIPMENTS!I17)=0,"",SHIPMENTS!I17)</f>
        <v/>
      </c>
      <c r="E11" s="176">
        <f>IF((SHIPMENTS!G17)=0,"",SHIPMENTS!G17)</f>
        <v>46315</v>
      </c>
      <c r="F11" s="98">
        <f>VLOOKUP(A11,load!$A$4:$W$5001,22,0)</f>
        <v>162.59533333333331</v>
      </c>
      <c r="G11" s="109">
        <v>13</v>
      </c>
      <c r="H11" s="98">
        <f t="shared" si="0"/>
        <v>118.3</v>
      </c>
      <c r="I11" s="99">
        <f t="shared" si="7"/>
        <v>1.3744322344322344</v>
      </c>
      <c r="J11" s="99">
        <f t="shared" si="1"/>
        <v>12.507333333333332</v>
      </c>
      <c r="K11" s="98">
        <f t="shared" si="8"/>
        <v>0</v>
      </c>
      <c r="L11" s="98">
        <f t="shared" si="9"/>
        <v>0</v>
      </c>
      <c r="M11" s="181">
        <f t="shared" ref="M11:M32" si="11">N10</f>
        <v>46322.119139194139</v>
      </c>
      <c r="N11" s="181">
        <f t="shared" ref="N11:N32" si="12">+M11+K11</f>
        <v>46322.119139194139</v>
      </c>
      <c r="O11" s="112" t="str">
        <f>VLOOKUP(A11,SHIPMENTS!$A$7:$AP$76,42,0)</f>
        <v>n/a</v>
      </c>
      <c r="P11" s="101"/>
      <c r="Q11" s="127" t="str">
        <f t="shared" si="3"/>
        <v/>
      </c>
      <c r="R11" s="127" t="str">
        <f t="shared" si="3"/>
        <v>▲</v>
      </c>
      <c r="S11" s="127" t="str">
        <f t="shared" si="3"/>
        <v/>
      </c>
      <c r="T11" s="127" t="str">
        <f t="shared" si="3"/>
        <v/>
      </c>
      <c r="U11" s="127" t="str">
        <f t="shared" si="3"/>
        <v/>
      </c>
      <c r="V11" s="127" t="str">
        <f t="shared" si="3"/>
        <v/>
      </c>
      <c r="W11" s="127" t="str">
        <f t="shared" si="3"/>
        <v/>
      </c>
      <c r="X11" s="127" t="str">
        <f t="shared" si="3"/>
        <v/>
      </c>
      <c r="Y11" s="127" t="str">
        <f t="shared" si="3"/>
        <v/>
      </c>
      <c r="Z11" s="127" t="str">
        <f t="shared" si="3"/>
        <v/>
      </c>
      <c r="AA11" s="127" t="str">
        <f t="shared" si="3"/>
        <v/>
      </c>
      <c r="AB11" s="127" t="str">
        <f t="shared" si="3"/>
        <v/>
      </c>
      <c r="AC11" s="127" t="str">
        <f t="shared" si="3"/>
        <v/>
      </c>
      <c r="AD11" s="127" t="str">
        <f t="shared" si="3"/>
        <v/>
      </c>
      <c r="AE11" s="127" t="str">
        <f t="shared" si="3"/>
        <v/>
      </c>
      <c r="AF11" s="127" t="str">
        <f t="shared" si="3"/>
        <v/>
      </c>
      <c r="AG11" s="127" t="str">
        <f t="shared" si="4"/>
        <v/>
      </c>
      <c r="AH11" s="127" t="str">
        <f t="shared" si="4"/>
        <v/>
      </c>
      <c r="AI11" s="127" t="str">
        <f t="shared" si="4"/>
        <v/>
      </c>
      <c r="AJ11" s="127" t="str">
        <f t="shared" si="4"/>
        <v/>
      </c>
      <c r="AK11" s="127" t="str">
        <f t="shared" si="4"/>
        <v/>
      </c>
      <c r="AL11" s="127" t="str">
        <f t="shared" si="4"/>
        <v/>
      </c>
      <c r="AM11" s="127" t="str">
        <f t="shared" si="4"/>
        <v/>
      </c>
      <c r="AN11" s="127" t="str">
        <f t="shared" si="4"/>
        <v/>
      </c>
      <c r="AO11" s="127" t="str">
        <f t="shared" si="4"/>
        <v/>
      </c>
      <c r="AP11" s="127" t="str">
        <f t="shared" si="4"/>
        <v/>
      </c>
      <c r="AQ11" s="127" t="str">
        <f t="shared" si="4"/>
        <v/>
      </c>
      <c r="AR11" s="127" t="str">
        <f t="shared" si="4"/>
        <v/>
      </c>
      <c r="AS11" s="127" t="str">
        <f t="shared" si="4"/>
        <v/>
      </c>
      <c r="AT11" s="127" t="str">
        <f t="shared" si="4"/>
        <v/>
      </c>
      <c r="AU11" s="127" t="str">
        <f t="shared" si="4"/>
        <v/>
      </c>
      <c r="AV11" s="127" t="str">
        <f t="shared" si="4"/>
        <v/>
      </c>
      <c r="AW11" s="127" t="str">
        <f t="shared" si="4"/>
        <v/>
      </c>
      <c r="AX11" s="127" t="str">
        <f t="shared" si="4"/>
        <v/>
      </c>
      <c r="AY11" s="127" t="str">
        <f t="shared" si="4"/>
        <v/>
      </c>
      <c r="AZ11" s="127" t="str">
        <f t="shared" si="4"/>
        <v/>
      </c>
      <c r="BA11" s="127" t="str">
        <f t="shared" si="4"/>
        <v/>
      </c>
      <c r="BB11" s="127" t="str">
        <f t="shared" si="4"/>
        <v/>
      </c>
      <c r="BC11" s="127" t="str">
        <f t="shared" si="4"/>
        <v/>
      </c>
      <c r="BD11" s="127" t="str">
        <f t="shared" si="4"/>
        <v/>
      </c>
      <c r="BE11" s="127" t="str">
        <f t="shared" si="4"/>
        <v/>
      </c>
      <c r="BF11" s="127" t="str">
        <f t="shared" si="4"/>
        <v/>
      </c>
      <c r="BG11" s="127" t="str">
        <f t="shared" si="5"/>
        <v/>
      </c>
      <c r="BH11" s="127" t="str">
        <f t="shared" si="5"/>
        <v/>
      </c>
      <c r="BI11" s="127" t="str">
        <f t="shared" si="5"/>
        <v/>
      </c>
      <c r="BJ11" s="127" t="str">
        <f t="shared" si="5"/>
        <v/>
      </c>
      <c r="BK11" s="127" t="str">
        <f t="shared" si="5"/>
        <v/>
      </c>
      <c r="BL11" s="127" t="str">
        <f t="shared" si="5"/>
        <v/>
      </c>
      <c r="BM11" s="127" t="str">
        <f t="shared" si="5"/>
        <v/>
      </c>
      <c r="BN11" s="127" t="str">
        <f t="shared" si="5"/>
        <v/>
      </c>
      <c r="BO11" s="127" t="str">
        <f t="shared" si="5"/>
        <v/>
      </c>
      <c r="BP11" s="127" t="str">
        <f t="shared" si="5"/>
        <v/>
      </c>
      <c r="BQ11" s="127" t="str">
        <f t="shared" si="5"/>
        <v/>
      </c>
      <c r="BR11" s="127" t="str">
        <f t="shared" si="5"/>
        <v/>
      </c>
      <c r="BS11" s="127" t="str">
        <f t="shared" si="6"/>
        <v/>
      </c>
      <c r="BT11" s="127" t="str">
        <f t="shared" si="6"/>
        <v/>
      </c>
      <c r="BU11" s="127" t="str">
        <f t="shared" si="6"/>
        <v/>
      </c>
      <c r="BV11" s="127" t="str">
        <f t="shared" si="6"/>
        <v/>
      </c>
      <c r="BW11" s="127" t="str">
        <f t="shared" si="6"/>
        <v/>
      </c>
      <c r="BX11" s="127" t="str">
        <f t="shared" si="6"/>
        <v/>
      </c>
      <c r="BY11" s="127" t="str">
        <f t="shared" si="6"/>
        <v/>
      </c>
      <c r="BZ11" s="127" t="str">
        <f t="shared" si="6"/>
        <v/>
      </c>
      <c r="CA11" s="127" t="str">
        <f t="shared" si="6"/>
        <v/>
      </c>
      <c r="CB11" s="127" t="str">
        <f t="shared" si="6"/>
        <v/>
      </c>
      <c r="CC11" s="127" t="str">
        <f t="shared" si="6"/>
        <v/>
      </c>
      <c r="CD11" s="127" t="str">
        <f t="shared" si="6"/>
        <v/>
      </c>
    </row>
    <row r="12" spans="1:82" ht="12.6" customHeight="1" x14ac:dyDescent="0.2">
      <c r="A12" s="106">
        <f>SHIPMENTS!A18</f>
        <v>8102</v>
      </c>
      <c r="B12" s="106" t="str">
        <f>SHIPMENTS!B18</f>
        <v>41700-CANADA BSAUNAS BACKLOG</v>
      </c>
      <c r="C12" s="132">
        <f>SHIPMENTS!F18</f>
        <v>0</v>
      </c>
      <c r="D12" s="107" t="str">
        <f>IF((SHIPMENTS!I18)=0,"",SHIPMENTS!I18)</f>
        <v/>
      </c>
      <c r="E12" s="176">
        <f>IF((SHIPMENTS!G18)=0,"",SHIPMENTS!G18)</f>
        <v>46315</v>
      </c>
      <c r="F12" s="98">
        <f>VLOOKUP(A12,load!$A$4:$W$5001,22,0)</f>
        <v>0</v>
      </c>
      <c r="G12" s="109">
        <v>13</v>
      </c>
      <c r="H12" s="98">
        <f t="shared" si="0"/>
        <v>118.3</v>
      </c>
      <c r="I12" s="99">
        <f t="shared" si="7"/>
        <v>0</v>
      </c>
      <c r="J12" s="99">
        <f t="shared" si="1"/>
        <v>0</v>
      </c>
      <c r="K12" s="98">
        <f t="shared" si="8"/>
        <v>0</v>
      </c>
      <c r="L12" s="98">
        <f t="shared" si="9"/>
        <v>0</v>
      </c>
      <c r="M12" s="181">
        <f t="shared" si="11"/>
        <v>46322.119139194139</v>
      </c>
      <c r="N12" s="181">
        <f t="shared" si="12"/>
        <v>46322.119139194139</v>
      </c>
      <c r="O12" s="112">
        <f>VLOOKUP(A12,SHIPMENTS!$A$7:$AP$76,42,0)</f>
        <v>0.5</v>
      </c>
      <c r="P12" s="101"/>
      <c r="Q12" s="127" t="str">
        <f t="shared" si="3"/>
        <v/>
      </c>
      <c r="R12" s="127" t="str">
        <f t="shared" si="3"/>
        <v>▲</v>
      </c>
      <c r="S12" s="127" t="str">
        <f t="shared" si="3"/>
        <v/>
      </c>
      <c r="T12" s="127" t="str">
        <f t="shared" si="3"/>
        <v/>
      </c>
      <c r="U12" s="127" t="str">
        <f t="shared" si="3"/>
        <v/>
      </c>
      <c r="V12" s="127" t="str">
        <f t="shared" si="3"/>
        <v/>
      </c>
      <c r="W12" s="127" t="str">
        <f t="shared" si="3"/>
        <v/>
      </c>
      <c r="X12" s="127" t="str">
        <f t="shared" si="3"/>
        <v/>
      </c>
      <c r="Y12" s="127" t="str">
        <f t="shared" si="3"/>
        <v/>
      </c>
      <c r="Z12" s="127" t="str">
        <f t="shared" si="3"/>
        <v/>
      </c>
      <c r="AA12" s="127" t="str">
        <f t="shared" si="3"/>
        <v/>
      </c>
      <c r="AB12" s="127" t="str">
        <f t="shared" si="3"/>
        <v/>
      </c>
      <c r="AC12" s="127" t="str">
        <f t="shared" si="3"/>
        <v/>
      </c>
      <c r="AD12" s="127" t="str">
        <f t="shared" si="3"/>
        <v/>
      </c>
      <c r="AE12" s="127" t="str">
        <f t="shared" si="3"/>
        <v/>
      </c>
      <c r="AF12" s="127" t="str">
        <f t="shared" si="3"/>
        <v/>
      </c>
      <c r="AG12" s="127" t="str">
        <f t="shared" si="4"/>
        <v/>
      </c>
      <c r="AH12" s="127" t="str">
        <f t="shared" si="4"/>
        <v/>
      </c>
      <c r="AI12" s="127" t="str">
        <f t="shared" si="4"/>
        <v/>
      </c>
      <c r="AJ12" s="127" t="str">
        <f t="shared" si="4"/>
        <v/>
      </c>
      <c r="AK12" s="127" t="str">
        <f t="shared" si="4"/>
        <v/>
      </c>
      <c r="AL12" s="127" t="str">
        <f t="shared" si="4"/>
        <v/>
      </c>
      <c r="AM12" s="127" t="str">
        <f t="shared" si="4"/>
        <v/>
      </c>
      <c r="AN12" s="127" t="str">
        <f t="shared" si="4"/>
        <v/>
      </c>
      <c r="AO12" s="127" t="str">
        <f t="shared" si="4"/>
        <v/>
      </c>
      <c r="AP12" s="127" t="str">
        <f t="shared" si="4"/>
        <v/>
      </c>
      <c r="AQ12" s="127" t="str">
        <f t="shared" si="4"/>
        <v/>
      </c>
      <c r="AR12" s="127" t="str">
        <f t="shared" si="4"/>
        <v/>
      </c>
      <c r="AS12" s="127" t="str">
        <f t="shared" si="4"/>
        <v/>
      </c>
      <c r="AT12" s="127" t="str">
        <f t="shared" si="4"/>
        <v/>
      </c>
      <c r="AU12" s="127" t="str">
        <f t="shared" si="4"/>
        <v/>
      </c>
      <c r="AV12" s="127" t="str">
        <f t="shared" si="4"/>
        <v/>
      </c>
      <c r="AW12" s="127" t="str">
        <f t="shared" si="4"/>
        <v/>
      </c>
      <c r="AX12" s="127" t="str">
        <f t="shared" si="4"/>
        <v/>
      </c>
      <c r="AY12" s="127" t="str">
        <f t="shared" si="4"/>
        <v/>
      </c>
      <c r="AZ12" s="127" t="str">
        <f t="shared" si="4"/>
        <v/>
      </c>
      <c r="BA12" s="127" t="str">
        <f t="shared" si="4"/>
        <v/>
      </c>
      <c r="BB12" s="127" t="str">
        <f t="shared" si="4"/>
        <v/>
      </c>
      <c r="BC12" s="127" t="str">
        <f t="shared" si="4"/>
        <v/>
      </c>
      <c r="BD12" s="127" t="str">
        <f t="shared" si="4"/>
        <v/>
      </c>
      <c r="BE12" s="127" t="str">
        <f t="shared" si="4"/>
        <v/>
      </c>
      <c r="BF12" s="127" t="str">
        <f t="shared" si="4"/>
        <v/>
      </c>
      <c r="BG12" s="127" t="str">
        <f t="shared" si="5"/>
        <v/>
      </c>
      <c r="BH12" s="127" t="str">
        <f t="shared" si="5"/>
        <v/>
      </c>
      <c r="BI12" s="127" t="str">
        <f t="shared" si="5"/>
        <v/>
      </c>
      <c r="BJ12" s="127" t="str">
        <f t="shared" si="5"/>
        <v/>
      </c>
      <c r="BK12" s="127" t="str">
        <f t="shared" si="5"/>
        <v/>
      </c>
      <c r="BL12" s="127" t="str">
        <f t="shared" si="5"/>
        <v/>
      </c>
      <c r="BM12" s="127" t="str">
        <f t="shared" si="5"/>
        <v/>
      </c>
      <c r="BN12" s="127" t="str">
        <f t="shared" si="5"/>
        <v/>
      </c>
      <c r="BO12" s="127" t="str">
        <f t="shared" si="5"/>
        <v/>
      </c>
      <c r="BP12" s="127" t="str">
        <f t="shared" si="5"/>
        <v/>
      </c>
      <c r="BQ12" s="127" t="str">
        <f t="shared" si="5"/>
        <v/>
      </c>
      <c r="BR12" s="127" t="str">
        <f t="shared" si="5"/>
        <v/>
      </c>
      <c r="BS12" s="127" t="str">
        <f t="shared" si="6"/>
        <v/>
      </c>
      <c r="BT12" s="127" t="str">
        <f t="shared" si="6"/>
        <v/>
      </c>
      <c r="BU12" s="127" t="str">
        <f t="shared" si="6"/>
        <v/>
      </c>
      <c r="BV12" s="127" t="str">
        <f t="shared" si="6"/>
        <v/>
      </c>
      <c r="BW12" s="127" t="str">
        <f t="shared" si="6"/>
        <v/>
      </c>
      <c r="BX12" s="127" t="str">
        <f t="shared" si="6"/>
        <v/>
      </c>
      <c r="BY12" s="127" t="str">
        <f t="shared" si="6"/>
        <v/>
      </c>
      <c r="BZ12" s="127" t="str">
        <f t="shared" si="6"/>
        <v/>
      </c>
      <c r="CA12" s="127" t="str">
        <f t="shared" si="6"/>
        <v/>
      </c>
      <c r="CB12" s="127" t="str">
        <f t="shared" si="6"/>
        <v/>
      </c>
      <c r="CC12" s="127" t="str">
        <f t="shared" si="6"/>
        <v/>
      </c>
      <c r="CD12" s="127" t="str">
        <f t="shared" si="6"/>
        <v/>
      </c>
    </row>
    <row r="13" spans="1:82" ht="12.6" hidden="1" customHeight="1" x14ac:dyDescent="0.2">
      <c r="A13" s="106">
        <f>SHIPMENTS!A19</f>
        <v>5928</v>
      </c>
      <c r="B13" s="106" t="str">
        <f>SHIPMENTS!B19</f>
        <v>41700-CANADA BSAUNAS BACKLOG</v>
      </c>
      <c r="C13" s="132">
        <f>SHIPMENTS!F19</f>
        <v>0</v>
      </c>
      <c r="D13" s="107" t="str">
        <f>IF((SHIPMENTS!I19)=0,"",SHIPMENTS!I19)</f>
        <v/>
      </c>
      <c r="E13" s="176" t="str">
        <f>IF((SHIPMENTS!G19)=0,"",SHIPMENTS!G19)</f>
        <v/>
      </c>
      <c r="F13" s="98">
        <f>VLOOKUP(A13,load!$A$4:$W$5001,22,0)</f>
        <v>259.75833333333333</v>
      </c>
      <c r="G13" s="109">
        <v>13</v>
      </c>
      <c r="H13" s="98">
        <f t="shared" si="0"/>
        <v>118.3</v>
      </c>
      <c r="I13" s="99">
        <f t="shared" si="7"/>
        <v>2.195759368836292</v>
      </c>
      <c r="J13" s="99">
        <f t="shared" si="1"/>
        <v>19.981410256410257</v>
      </c>
      <c r="K13" s="98">
        <f t="shared" si="8"/>
        <v>0</v>
      </c>
      <c r="L13" s="98">
        <f t="shared" si="9"/>
        <v>0</v>
      </c>
      <c r="M13" s="181">
        <f t="shared" si="11"/>
        <v>46322.119139194139</v>
      </c>
      <c r="N13" s="181">
        <f t="shared" si="12"/>
        <v>46322.119139194139</v>
      </c>
      <c r="O13" s="112" t="str">
        <f>VLOOKUP(A13,SHIPMENTS!$A$7:$AP$76,42,0)</f>
        <v>n/a</v>
      </c>
      <c r="P13" s="101"/>
      <c r="Q13" s="127" t="str">
        <f t="shared" si="3"/>
        <v/>
      </c>
      <c r="R13" s="127" t="str">
        <f t="shared" si="3"/>
        <v/>
      </c>
      <c r="S13" s="127" t="str">
        <f t="shared" si="3"/>
        <v/>
      </c>
      <c r="T13" s="127" t="str">
        <f t="shared" si="3"/>
        <v/>
      </c>
      <c r="U13" s="127" t="str">
        <f t="shared" si="3"/>
        <v/>
      </c>
      <c r="V13" s="127" t="str">
        <f t="shared" si="3"/>
        <v/>
      </c>
      <c r="W13" s="127" t="str">
        <f t="shared" si="3"/>
        <v/>
      </c>
      <c r="X13" s="127" t="str">
        <f t="shared" si="3"/>
        <v/>
      </c>
      <c r="Y13" s="127" t="str">
        <f t="shared" si="3"/>
        <v/>
      </c>
      <c r="Z13" s="127" t="str">
        <f t="shared" si="3"/>
        <v/>
      </c>
      <c r="AA13" s="127" t="str">
        <f t="shared" si="3"/>
        <v/>
      </c>
      <c r="AB13" s="127" t="str">
        <f t="shared" si="3"/>
        <v/>
      </c>
      <c r="AC13" s="127" t="str">
        <f t="shared" si="3"/>
        <v/>
      </c>
      <c r="AD13" s="127" t="str">
        <f t="shared" si="3"/>
        <v/>
      </c>
      <c r="AE13" s="127" t="str">
        <f t="shared" si="3"/>
        <v/>
      </c>
      <c r="AF13" s="127" t="str">
        <f t="shared" si="3"/>
        <v/>
      </c>
      <c r="AG13" s="127" t="str">
        <f t="shared" si="4"/>
        <v/>
      </c>
      <c r="AH13" s="127" t="str">
        <f t="shared" si="4"/>
        <v/>
      </c>
      <c r="AI13" s="127" t="str">
        <f t="shared" si="4"/>
        <v/>
      </c>
      <c r="AJ13" s="127" t="str">
        <f t="shared" si="4"/>
        <v/>
      </c>
      <c r="AK13" s="127" t="str">
        <f t="shared" si="4"/>
        <v/>
      </c>
      <c r="AL13" s="127" t="str">
        <f t="shared" si="4"/>
        <v/>
      </c>
      <c r="AM13" s="127" t="str">
        <f t="shared" si="4"/>
        <v/>
      </c>
      <c r="AN13" s="127" t="str">
        <f t="shared" si="4"/>
        <v/>
      </c>
      <c r="AO13" s="127" t="str">
        <f t="shared" si="4"/>
        <v/>
      </c>
      <c r="AP13" s="127" t="str">
        <f t="shared" si="4"/>
        <v/>
      </c>
      <c r="AQ13" s="127" t="str">
        <f t="shared" si="4"/>
        <v/>
      </c>
      <c r="AR13" s="127" t="str">
        <f t="shared" si="4"/>
        <v/>
      </c>
      <c r="AS13" s="127" t="str">
        <f t="shared" si="4"/>
        <v/>
      </c>
      <c r="AT13" s="127" t="str">
        <f t="shared" si="4"/>
        <v/>
      </c>
      <c r="AU13" s="127" t="str">
        <f t="shared" si="4"/>
        <v/>
      </c>
      <c r="AV13" s="127" t="str">
        <f t="shared" si="4"/>
        <v/>
      </c>
      <c r="AW13" s="127" t="str">
        <f t="shared" si="4"/>
        <v/>
      </c>
      <c r="AX13" s="127" t="str">
        <f t="shared" si="4"/>
        <v/>
      </c>
      <c r="AY13" s="127" t="str">
        <f t="shared" si="4"/>
        <v/>
      </c>
      <c r="AZ13" s="127" t="str">
        <f t="shared" si="4"/>
        <v/>
      </c>
      <c r="BA13" s="127" t="str">
        <f t="shared" si="4"/>
        <v/>
      </c>
      <c r="BB13" s="127" t="str">
        <f t="shared" si="4"/>
        <v/>
      </c>
      <c r="BC13" s="127" t="str">
        <f t="shared" si="4"/>
        <v/>
      </c>
      <c r="BD13" s="127" t="str">
        <f t="shared" si="4"/>
        <v/>
      </c>
      <c r="BE13" s="127" t="str">
        <f t="shared" si="4"/>
        <v/>
      </c>
      <c r="BF13" s="127" t="str">
        <f t="shared" si="4"/>
        <v/>
      </c>
      <c r="BG13" s="127" t="str">
        <f t="shared" si="5"/>
        <v/>
      </c>
      <c r="BH13" s="127" t="str">
        <f t="shared" si="5"/>
        <v/>
      </c>
      <c r="BI13" s="127" t="str">
        <f t="shared" si="5"/>
        <v/>
      </c>
      <c r="BJ13" s="127" t="str">
        <f t="shared" si="5"/>
        <v/>
      </c>
      <c r="BK13" s="127" t="str">
        <f t="shared" si="5"/>
        <v/>
      </c>
      <c r="BL13" s="127" t="str">
        <f t="shared" si="5"/>
        <v/>
      </c>
      <c r="BM13" s="127" t="str">
        <f t="shared" si="5"/>
        <v/>
      </c>
      <c r="BN13" s="127" t="str">
        <f t="shared" si="5"/>
        <v/>
      </c>
      <c r="BO13" s="127" t="str">
        <f t="shared" si="5"/>
        <v/>
      </c>
      <c r="BP13" s="127" t="str">
        <f t="shared" si="5"/>
        <v/>
      </c>
      <c r="BQ13" s="127" t="str">
        <f t="shared" si="5"/>
        <v/>
      </c>
      <c r="BR13" s="127" t="str">
        <f t="shared" si="5"/>
        <v/>
      </c>
      <c r="BS13" s="127" t="str">
        <f t="shared" si="6"/>
        <v/>
      </c>
      <c r="BT13" s="127" t="str">
        <f t="shared" si="6"/>
        <v/>
      </c>
      <c r="BU13" s="127" t="str">
        <f t="shared" si="6"/>
        <v/>
      </c>
      <c r="BV13" s="127" t="str">
        <f t="shared" si="6"/>
        <v/>
      </c>
      <c r="BW13" s="127" t="str">
        <f t="shared" si="6"/>
        <v/>
      </c>
      <c r="BX13" s="127" t="str">
        <f t="shared" si="6"/>
        <v/>
      </c>
      <c r="BY13" s="127" t="str">
        <f t="shared" si="6"/>
        <v/>
      </c>
      <c r="BZ13" s="127" t="str">
        <f t="shared" si="6"/>
        <v/>
      </c>
      <c r="CA13" s="127" t="str">
        <f t="shared" si="6"/>
        <v/>
      </c>
      <c r="CB13" s="127" t="str">
        <f t="shared" si="6"/>
        <v/>
      </c>
      <c r="CC13" s="127" t="str">
        <f t="shared" si="6"/>
        <v/>
      </c>
      <c r="CD13" s="127" t="str">
        <f t="shared" si="6"/>
        <v/>
      </c>
    </row>
    <row r="14" spans="1:82" ht="12.6" hidden="1" customHeight="1" x14ac:dyDescent="0.2">
      <c r="A14" s="106">
        <f>SHIPMENTS!A20</f>
        <v>4781</v>
      </c>
      <c r="B14" s="106" t="str">
        <f>SHIPMENTS!B20</f>
        <v>41700-CANADA BSAUNAS BACKLOG</v>
      </c>
      <c r="C14" s="132">
        <f>SHIPMENTS!F20</f>
        <v>0</v>
      </c>
      <c r="D14" s="107" t="str">
        <f>IF((SHIPMENTS!I20)=0,"",SHIPMENTS!I20)</f>
        <v/>
      </c>
      <c r="E14" s="176" t="str">
        <f>IF((SHIPMENTS!G20)=0,"",SHIPMENTS!G20)</f>
        <v/>
      </c>
      <c r="F14" s="98">
        <f>VLOOKUP(A14,load!$A$4:$W$5001,22,0)</f>
        <v>176.57416666666666</v>
      </c>
      <c r="G14" s="109">
        <v>13</v>
      </c>
      <c r="H14" s="98">
        <f t="shared" si="0"/>
        <v>118.3</v>
      </c>
      <c r="I14" s="99">
        <f t="shared" si="7"/>
        <v>1.4925965060580444</v>
      </c>
      <c r="J14" s="99">
        <f t="shared" si="1"/>
        <v>13.582628205128204</v>
      </c>
      <c r="K14" s="98">
        <f t="shared" si="8"/>
        <v>0</v>
      </c>
      <c r="L14" s="98">
        <f t="shared" si="9"/>
        <v>0</v>
      </c>
      <c r="M14" s="181">
        <f t="shared" si="11"/>
        <v>46322.119139194139</v>
      </c>
      <c r="N14" s="181">
        <f t="shared" si="12"/>
        <v>46322.119139194139</v>
      </c>
      <c r="O14" s="112" t="str">
        <f>VLOOKUP(A14,SHIPMENTS!$A$7:$AP$76,42,0)</f>
        <v>n/a</v>
      </c>
      <c r="P14" s="101"/>
      <c r="Q14" s="127" t="str">
        <f t="shared" si="3"/>
        <v/>
      </c>
      <c r="R14" s="127" t="str">
        <f t="shared" si="3"/>
        <v/>
      </c>
      <c r="S14" s="127" t="str">
        <f t="shared" si="3"/>
        <v/>
      </c>
      <c r="T14" s="127" t="str">
        <f t="shared" si="3"/>
        <v/>
      </c>
      <c r="U14" s="127" t="str">
        <f t="shared" si="3"/>
        <v/>
      </c>
      <c r="V14" s="127" t="str">
        <f t="shared" si="3"/>
        <v/>
      </c>
      <c r="W14" s="127" t="str">
        <f t="shared" si="3"/>
        <v/>
      </c>
      <c r="X14" s="127" t="str">
        <f t="shared" si="3"/>
        <v/>
      </c>
      <c r="Y14" s="127" t="str">
        <f t="shared" si="3"/>
        <v/>
      </c>
      <c r="Z14" s="127" t="str">
        <f t="shared" si="3"/>
        <v/>
      </c>
      <c r="AA14" s="127" t="str">
        <f t="shared" si="3"/>
        <v/>
      </c>
      <c r="AB14" s="127" t="str">
        <f t="shared" si="3"/>
        <v/>
      </c>
      <c r="AC14" s="127" t="str">
        <f t="shared" si="3"/>
        <v/>
      </c>
      <c r="AD14" s="127" t="str">
        <f t="shared" si="3"/>
        <v/>
      </c>
      <c r="AE14" s="127" t="str">
        <f t="shared" si="3"/>
        <v/>
      </c>
      <c r="AF14" s="127" t="str">
        <f t="shared" si="3"/>
        <v/>
      </c>
      <c r="AG14" s="127" t="str">
        <f t="shared" si="4"/>
        <v/>
      </c>
      <c r="AH14" s="127" t="str">
        <f t="shared" si="4"/>
        <v/>
      </c>
      <c r="AI14" s="127" t="str">
        <f t="shared" si="4"/>
        <v/>
      </c>
      <c r="AJ14" s="127" t="str">
        <f t="shared" si="4"/>
        <v/>
      </c>
      <c r="AK14" s="127" t="str">
        <f t="shared" si="4"/>
        <v/>
      </c>
      <c r="AL14" s="127" t="str">
        <f t="shared" si="4"/>
        <v/>
      </c>
      <c r="AM14" s="127" t="str">
        <f t="shared" si="4"/>
        <v/>
      </c>
      <c r="AN14" s="127" t="str">
        <f t="shared" si="4"/>
        <v/>
      </c>
      <c r="AO14" s="127" t="str">
        <f t="shared" si="4"/>
        <v/>
      </c>
      <c r="AP14" s="127" t="str">
        <f t="shared" si="4"/>
        <v/>
      </c>
      <c r="AQ14" s="127" t="str">
        <f t="shared" si="4"/>
        <v/>
      </c>
      <c r="AR14" s="127" t="str">
        <f t="shared" si="4"/>
        <v/>
      </c>
      <c r="AS14" s="127" t="str">
        <f t="shared" si="4"/>
        <v/>
      </c>
      <c r="AT14" s="127" t="str">
        <f t="shared" si="4"/>
        <v/>
      </c>
      <c r="AU14" s="127" t="str">
        <f t="shared" si="4"/>
        <v/>
      </c>
      <c r="AV14" s="127" t="str">
        <f t="shared" si="4"/>
        <v/>
      </c>
      <c r="AW14" s="127" t="str">
        <f t="shared" si="4"/>
        <v/>
      </c>
      <c r="AX14" s="127" t="str">
        <f t="shared" si="4"/>
        <v/>
      </c>
      <c r="AY14" s="127" t="str">
        <f t="shared" si="4"/>
        <v/>
      </c>
      <c r="AZ14" s="127" t="str">
        <f t="shared" si="4"/>
        <v/>
      </c>
      <c r="BA14" s="127" t="str">
        <f t="shared" si="4"/>
        <v/>
      </c>
      <c r="BB14" s="127" t="str">
        <f t="shared" si="4"/>
        <v/>
      </c>
      <c r="BC14" s="127" t="str">
        <f t="shared" si="4"/>
        <v/>
      </c>
      <c r="BD14" s="127" t="str">
        <f t="shared" si="4"/>
        <v/>
      </c>
      <c r="BE14" s="127" t="str">
        <f t="shared" si="4"/>
        <v/>
      </c>
      <c r="BF14" s="127" t="str">
        <f t="shared" si="4"/>
        <v/>
      </c>
      <c r="BG14" s="127" t="str">
        <f t="shared" si="5"/>
        <v/>
      </c>
      <c r="BH14" s="127" t="str">
        <f t="shared" si="5"/>
        <v/>
      </c>
      <c r="BI14" s="127" t="str">
        <f t="shared" si="5"/>
        <v/>
      </c>
      <c r="BJ14" s="127" t="str">
        <f t="shared" si="5"/>
        <v/>
      </c>
      <c r="BK14" s="127" t="str">
        <f t="shared" si="5"/>
        <v/>
      </c>
      <c r="BL14" s="127" t="str">
        <f t="shared" si="5"/>
        <v/>
      </c>
      <c r="BM14" s="127" t="str">
        <f t="shared" si="5"/>
        <v/>
      </c>
      <c r="BN14" s="127" t="str">
        <f t="shared" si="5"/>
        <v/>
      </c>
      <c r="BO14" s="127" t="str">
        <f t="shared" si="5"/>
        <v/>
      </c>
      <c r="BP14" s="127" t="str">
        <f t="shared" si="5"/>
        <v/>
      </c>
      <c r="BQ14" s="127" t="str">
        <f t="shared" si="5"/>
        <v/>
      </c>
      <c r="BR14" s="127" t="str">
        <f t="shared" si="5"/>
        <v/>
      </c>
      <c r="BS14" s="127" t="str">
        <f t="shared" si="6"/>
        <v/>
      </c>
      <c r="BT14" s="127" t="str">
        <f t="shared" si="6"/>
        <v/>
      </c>
      <c r="BU14" s="127" t="str">
        <f t="shared" si="6"/>
        <v/>
      </c>
      <c r="BV14" s="127" t="str">
        <f t="shared" si="6"/>
        <v/>
      </c>
      <c r="BW14" s="127" t="str">
        <f t="shared" si="6"/>
        <v/>
      </c>
      <c r="BX14" s="127" t="str">
        <f t="shared" si="6"/>
        <v/>
      </c>
      <c r="BY14" s="127" t="str">
        <f t="shared" si="6"/>
        <v/>
      </c>
      <c r="BZ14" s="127" t="str">
        <f t="shared" si="6"/>
        <v/>
      </c>
      <c r="CA14" s="127" t="str">
        <f t="shared" si="6"/>
        <v/>
      </c>
      <c r="CB14" s="127" t="str">
        <f t="shared" si="6"/>
        <v/>
      </c>
      <c r="CC14" s="127" t="str">
        <f t="shared" si="6"/>
        <v/>
      </c>
      <c r="CD14" s="127" t="str">
        <f t="shared" si="6"/>
        <v/>
      </c>
    </row>
    <row r="15" spans="1:82" ht="12.6" hidden="1" customHeight="1" x14ac:dyDescent="0.2">
      <c r="A15" s="106">
        <f>SHIPMENTS!A21</f>
        <v>9259</v>
      </c>
      <c r="B15" s="106" t="str">
        <f>SHIPMENTS!B21</f>
        <v>27200-UAE</v>
      </c>
      <c r="C15" s="132">
        <f>SHIPMENTS!F21</f>
        <v>7.0000000000000007E-2</v>
      </c>
      <c r="D15" s="107" t="str">
        <f>IF((SHIPMENTS!I21)=0,"",SHIPMENTS!I21)</f>
        <v>AIR</v>
      </c>
      <c r="E15" s="176">
        <f>IF((SHIPMENTS!G21)=0,"",SHIPMENTS!G21)</f>
        <v>46316</v>
      </c>
      <c r="F15" s="98">
        <f>VLOOKUP(A15,load!$A$4:$W$5001,22,0)</f>
        <v>0</v>
      </c>
      <c r="G15" s="109">
        <v>13</v>
      </c>
      <c r="H15" s="98">
        <f t="shared" si="0"/>
        <v>118.3</v>
      </c>
      <c r="I15" s="99">
        <f t="shared" si="7"/>
        <v>0</v>
      </c>
      <c r="J15" s="99">
        <f t="shared" si="1"/>
        <v>0</v>
      </c>
      <c r="K15" s="98">
        <f t="shared" si="8"/>
        <v>0</v>
      </c>
      <c r="L15" s="98">
        <f t="shared" si="9"/>
        <v>0</v>
      </c>
      <c r="M15" s="181">
        <f t="shared" si="11"/>
        <v>46322.119139194139</v>
      </c>
      <c r="N15" s="181">
        <f t="shared" si="12"/>
        <v>46322.119139194139</v>
      </c>
      <c r="O15" s="112" t="str">
        <f>VLOOKUP(A15,SHIPMENTS!$A$7:$AP$76,42,0)</f>
        <v>n/a</v>
      </c>
      <c r="P15" s="101"/>
      <c r="Q15" s="127" t="str">
        <f t="shared" si="3"/>
        <v/>
      </c>
      <c r="R15" s="127" t="str">
        <f t="shared" si="3"/>
        <v/>
      </c>
      <c r="S15" s="127" t="str">
        <f t="shared" si="3"/>
        <v>▲</v>
      </c>
      <c r="T15" s="127" t="str">
        <f t="shared" si="3"/>
        <v/>
      </c>
      <c r="U15" s="127" t="str">
        <f t="shared" si="3"/>
        <v/>
      </c>
      <c r="V15" s="127" t="str">
        <f t="shared" si="3"/>
        <v/>
      </c>
      <c r="W15" s="127" t="str">
        <f t="shared" si="3"/>
        <v/>
      </c>
      <c r="X15" s="127" t="str">
        <f t="shared" si="3"/>
        <v/>
      </c>
      <c r="Y15" s="127" t="str">
        <f t="shared" si="3"/>
        <v/>
      </c>
      <c r="Z15" s="127" t="str">
        <f t="shared" si="3"/>
        <v/>
      </c>
      <c r="AA15" s="127" t="str">
        <f t="shared" si="3"/>
        <v/>
      </c>
      <c r="AB15" s="127" t="str">
        <f t="shared" si="3"/>
        <v/>
      </c>
      <c r="AC15" s="127" t="str">
        <f t="shared" si="3"/>
        <v/>
      </c>
      <c r="AD15" s="127" t="str">
        <f t="shared" si="3"/>
        <v/>
      </c>
      <c r="AE15" s="127" t="str">
        <f t="shared" si="3"/>
        <v/>
      </c>
      <c r="AF15" s="127" t="str">
        <f t="shared" si="3"/>
        <v/>
      </c>
      <c r="AG15" s="127" t="str">
        <f t="shared" si="4"/>
        <v/>
      </c>
      <c r="AH15" s="127" t="str">
        <f t="shared" si="4"/>
        <v/>
      </c>
      <c r="AI15" s="127" t="str">
        <f t="shared" si="4"/>
        <v/>
      </c>
      <c r="AJ15" s="127" t="str">
        <f t="shared" si="4"/>
        <v/>
      </c>
      <c r="AK15" s="127" t="str">
        <f t="shared" si="4"/>
        <v/>
      </c>
      <c r="AL15" s="127" t="str">
        <f t="shared" si="4"/>
        <v/>
      </c>
      <c r="AM15" s="127" t="str">
        <f t="shared" si="4"/>
        <v/>
      </c>
      <c r="AN15" s="127" t="str">
        <f t="shared" si="4"/>
        <v/>
      </c>
      <c r="AO15" s="127" t="str">
        <f t="shared" si="4"/>
        <v/>
      </c>
      <c r="AP15" s="127" t="str">
        <f t="shared" si="4"/>
        <v/>
      </c>
      <c r="AQ15" s="127" t="str">
        <f t="shared" si="4"/>
        <v/>
      </c>
      <c r="AR15" s="127" t="str">
        <f t="shared" si="4"/>
        <v/>
      </c>
      <c r="AS15" s="127" t="str">
        <f t="shared" si="4"/>
        <v/>
      </c>
      <c r="AT15" s="127" t="str">
        <f t="shared" si="4"/>
        <v/>
      </c>
      <c r="AU15" s="127" t="str">
        <f t="shared" si="4"/>
        <v/>
      </c>
      <c r="AV15" s="127" t="str">
        <f t="shared" si="4"/>
        <v/>
      </c>
      <c r="AW15" s="127" t="str">
        <f t="shared" si="4"/>
        <v/>
      </c>
      <c r="AX15" s="127" t="str">
        <f t="shared" si="4"/>
        <v/>
      </c>
      <c r="AY15" s="127" t="str">
        <f t="shared" si="4"/>
        <v/>
      </c>
      <c r="AZ15" s="127" t="str">
        <f t="shared" si="4"/>
        <v/>
      </c>
      <c r="BA15" s="127" t="str">
        <f t="shared" si="4"/>
        <v/>
      </c>
      <c r="BB15" s="127" t="str">
        <f t="shared" si="4"/>
        <v/>
      </c>
      <c r="BC15" s="127" t="str">
        <f t="shared" si="4"/>
        <v/>
      </c>
      <c r="BD15" s="127" t="str">
        <f t="shared" si="4"/>
        <v/>
      </c>
      <c r="BE15" s="127" t="str">
        <f t="shared" si="4"/>
        <v/>
      </c>
      <c r="BF15" s="127" t="str">
        <f t="shared" si="4"/>
        <v/>
      </c>
      <c r="BG15" s="127" t="str">
        <f t="shared" si="5"/>
        <v/>
      </c>
      <c r="BH15" s="127" t="str">
        <f t="shared" si="5"/>
        <v/>
      </c>
      <c r="BI15" s="127" t="str">
        <f t="shared" si="5"/>
        <v/>
      </c>
      <c r="BJ15" s="127" t="str">
        <f t="shared" si="5"/>
        <v/>
      </c>
      <c r="BK15" s="127" t="str">
        <f t="shared" si="5"/>
        <v/>
      </c>
      <c r="BL15" s="127" t="str">
        <f t="shared" si="5"/>
        <v/>
      </c>
      <c r="BM15" s="127" t="str">
        <f t="shared" si="5"/>
        <v/>
      </c>
      <c r="BN15" s="127" t="str">
        <f t="shared" si="5"/>
        <v/>
      </c>
      <c r="BO15" s="127" t="str">
        <f t="shared" si="5"/>
        <v/>
      </c>
      <c r="BP15" s="127" t="str">
        <f t="shared" si="5"/>
        <v/>
      </c>
      <c r="BQ15" s="127" t="str">
        <f t="shared" si="5"/>
        <v/>
      </c>
      <c r="BR15" s="127" t="str">
        <f t="shared" si="5"/>
        <v/>
      </c>
      <c r="BS15" s="127" t="str">
        <f t="shared" si="6"/>
        <v/>
      </c>
      <c r="BT15" s="127" t="str">
        <f t="shared" si="6"/>
        <v/>
      </c>
      <c r="BU15" s="127" t="str">
        <f t="shared" si="6"/>
        <v/>
      </c>
      <c r="BV15" s="127" t="str">
        <f t="shared" si="6"/>
        <v/>
      </c>
      <c r="BW15" s="127" t="str">
        <f t="shared" si="6"/>
        <v/>
      </c>
      <c r="BX15" s="127" t="str">
        <f t="shared" si="6"/>
        <v/>
      </c>
      <c r="BY15" s="127" t="str">
        <f t="shared" si="6"/>
        <v/>
      </c>
      <c r="BZ15" s="127" t="str">
        <f t="shared" si="6"/>
        <v/>
      </c>
      <c r="CA15" s="127" t="str">
        <f t="shared" si="6"/>
        <v/>
      </c>
      <c r="CB15" s="127" t="str">
        <f t="shared" si="6"/>
        <v/>
      </c>
      <c r="CC15" s="127" t="str">
        <f t="shared" si="6"/>
        <v/>
      </c>
      <c r="CD15" s="127" t="str">
        <f t="shared" si="6"/>
        <v/>
      </c>
    </row>
    <row r="16" spans="1:82" ht="12.6" customHeight="1" x14ac:dyDescent="0.2">
      <c r="A16" s="106">
        <f>SHIPMENTS!A22</f>
        <v>8765</v>
      </c>
      <c r="B16" s="106" t="str">
        <f>SHIPMENTS!B22</f>
        <v>8200-AUSTRALIA</v>
      </c>
      <c r="C16" s="132">
        <f>SHIPMENTS!F22</f>
        <v>64.930000000000007</v>
      </c>
      <c r="D16" s="107" t="str">
        <f>IF((SHIPMENTS!I22)=0,"",SHIPMENTS!I22)</f>
        <v>1X40HC</v>
      </c>
      <c r="E16" s="176">
        <f>IF((SHIPMENTS!G22)=0,"",SHIPMENTS!G22)</f>
        <v>46316</v>
      </c>
      <c r="F16" s="98">
        <f>VLOOKUP(A16,load!$A$4:$W$5001,22,0)</f>
        <v>958.25833333333333</v>
      </c>
      <c r="G16" s="109">
        <v>13</v>
      </c>
      <c r="H16" s="98">
        <f t="shared" si="0"/>
        <v>118.3</v>
      </c>
      <c r="I16" s="99">
        <f t="shared" si="7"/>
        <v>8.1002395040856587</v>
      </c>
      <c r="J16" s="99">
        <f t="shared" si="1"/>
        <v>73.712179487179498</v>
      </c>
      <c r="K16" s="98">
        <f t="shared" si="8"/>
        <v>0</v>
      </c>
      <c r="L16" s="98">
        <f t="shared" si="9"/>
        <v>0</v>
      </c>
      <c r="M16" s="181">
        <f t="shared" si="11"/>
        <v>46322.119139194139</v>
      </c>
      <c r="N16" s="181">
        <f t="shared" si="12"/>
        <v>46322.119139194139</v>
      </c>
      <c r="O16" s="112">
        <f>VLOOKUP(A16,SHIPMENTS!$A$7:$AP$76,42,0)</f>
        <v>1</v>
      </c>
      <c r="P16" s="101"/>
      <c r="Q16" s="127" t="str">
        <f t="shared" si="3"/>
        <v/>
      </c>
      <c r="R16" s="127" t="str">
        <f t="shared" si="3"/>
        <v/>
      </c>
      <c r="S16" s="127" t="str">
        <f t="shared" si="3"/>
        <v>▲</v>
      </c>
      <c r="T16" s="127" t="str">
        <f t="shared" si="3"/>
        <v/>
      </c>
      <c r="U16" s="127" t="str">
        <f t="shared" si="3"/>
        <v/>
      </c>
      <c r="V16" s="127" t="str">
        <f t="shared" si="3"/>
        <v/>
      </c>
      <c r="W16" s="127" t="str">
        <f t="shared" si="3"/>
        <v/>
      </c>
      <c r="X16" s="127" t="str">
        <f t="shared" si="3"/>
        <v/>
      </c>
      <c r="Y16" s="127" t="str">
        <f t="shared" si="3"/>
        <v/>
      </c>
      <c r="Z16" s="127" t="str">
        <f t="shared" si="3"/>
        <v/>
      </c>
      <c r="AA16" s="127" t="str">
        <f t="shared" si="3"/>
        <v/>
      </c>
      <c r="AB16" s="127" t="str">
        <f t="shared" si="3"/>
        <v/>
      </c>
      <c r="AC16" s="127" t="str">
        <f t="shared" si="3"/>
        <v/>
      </c>
      <c r="AD16" s="127" t="str">
        <f t="shared" si="3"/>
        <v/>
      </c>
      <c r="AE16" s="127" t="str">
        <f t="shared" si="3"/>
        <v/>
      </c>
      <c r="AF16" s="127" t="str">
        <f t="shared" si="3"/>
        <v/>
      </c>
      <c r="AG16" s="127" t="str">
        <f t="shared" si="4"/>
        <v/>
      </c>
      <c r="AH16" s="127" t="str">
        <f t="shared" si="4"/>
        <v/>
      </c>
      <c r="AI16" s="127" t="str">
        <f t="shared" si="4"/>
        <v/>
      </c>
      <c r="AJ16" s="127" t="str">
        <f t="shared" si="4"/>
        <v/>
      </c>
      <c r="AK16" s="127" t="str">
        <f t="shared" si="4"/>
        <v/>
      </c>
      <c r="AL16" s="127" t="str">
        <f t="shared" si="4"/>
        <v/>
      </c>
      <c r="AM16" s="127" t="str">
        <f t="shared" si="4"/>
        <v/>
      </c>
      <c r="AN16" s="127" t="str">
        <f t="shared" si="4"/>
        <v/>
      </c>
      <c r="AO16" s="127" t="str">
        <f t="shared" si="4"/>
        <v/>
      </c>
      <c r="AP16" s="127" t="str">
        <f t="shared" si="4"/>
        <v/>
      </c>
      <c r="AQ16" s="127" t="str">
        <f t="shared" si="4"/>
        <v/>
      </c>
      <c r="AR16" s="127" t="str">
        <f t="shared" si="4"/>
        <v/>
      </c>
      <c r="AS16" s="127" t="str">
        <f t="shared" si="4"/>
        <v/>
      </c>
      <c r="AT16" s="127" t="str">
        <f t="shared" si="4"/>
        <v/>
      </c>
      <c r="AU16" s="127" t="str">
        <f t="shared" si="4"/>
        <v/>
      </c>
      <c r="AV16" s="127" t="str">
        <f t="shared" si="4"/>
        <v/>
      </c>
      <c r="AW16" s="127" t="str">
        <f t="shared" si="4"/>
        <v/>
      </c>
      <c r="AX16" s="127" t="str">
        <f t="shared" si="4"/>
        <v/>
      </c>
      <c r="AY16" s="127" t="str">
        <f t="shared" si="4"/>
        <v/>
      </c>
      <c r="AZ16" s="127" t="str">
        <f t="shared" si="4"/>
        <v/>
      </c>
      <c r="BA16" s="127" t="str">
        <f t="shared" si="4"/>
        <v/>
      </c>
      <c r="BB16" s="127" t="str">
        <f t="shared" si="4"/>
        <v/>
      </c>
      <c r="BC16" s="127" t="str">
        <f t="shared" si="4"/>
        <v/>
      </c>
      <c r="BD16" s="127" t="str">
        <f t="shared" si="4"/>
        <v/>
      </c>
      <c r="BE16" s="127" t="str">
        <f t="shared" si="4"/>
        <v/>
      </c>
      <c r="BF16" s="127" t="str">
        <f t="shared" si="4"/>
        <v/>
      </c>
      <c r="BG16" s="127" t="str">
        <f t="shared" si="5"/>
        <v/>
      </c>
      <c r="BH16" s="127" t="str">
        <f t="shared" si="5"/>
        <v/>
      </c>
      <c r="BI16" s="127" t="str">
        <f t="shared" si="5"/>
        <v/>
      </c>
      <c r="BJ16" s="127" t="str">
        <f t="shared" si="5"/>
        <v/>
      </c>
      <c r="BK16" s="127" t="str">
        <f t="shared" si="5"/>
        <v/>
      </c>
      <c r="BL16" s="127" t="str">
        <f t="shared" si="5"/>
        <v/>
      </c>
      <c r="BM16" s="127" t="str">
        <f t="shared" si="5"/>
        <v/>
      </c>
      <c r="BN16" s="127" t="str">
        <f t="shared" si="5"/>
        <v/>
      </c>
      <c r="BO16" s="127" t="str">
        <f t="shared" si="5"/>
        <v/>
      </c>
      <c r="BP16" s="127" t="str">
        <f t="shared" si="5"/>
        <v/>
      </c>
      <c r="BQ16" s="127" t="str">
        <f t="shared" si="5"/>
        <v/>
      </c>
      <c r="BR16" s="127" t="str">
        <f t="shared" si="5"/>
        <v/>
      </c>
      <c r="BS16" s="127" t="str">
        <f t="shared" si="6"/>
        <v/>
      </c>
      <c r="BT16" s="127" t="str">
        <f t="shared" si="6"/>
        <v/>
      </c>
      <c r="BU16" s="127" t="str">
        <f t="shared" si="6"/>
        <v/>
      </c>
      <c r="BV16" s="127" t="str">
        <f t="shared" si="6"/>
        <v/>
      </c>
      <c r="BW16" s="127" t="str">
        <f t="shared" si="6"/>
        <v/>
      </c>
      <c r="BX16" s="127" t="str">
        <f t="shared" si="6"/>
        <v/>
      </c>
      <c r="BY16" s="127" t="str">
        <f t="shared" si="6"/>
        <v/>
      </c>
      <c r="BZ16" s="127" t="str">
        <f t="shared" si="6"/>
        <v/>
      </c>
      <c r="CA16" s="127" t="str">
        <f t="shared" si="6"/>
        <v/>
      </c>
      <c r="CB16" s="127" t="str">
        <f t="shared" si="6"/>
        <v/>
      </c>
      <c r="CC16" s="127" t="str">
        <f t="shared" si="6"/>
        <v/>
      </c>
      <c r="CD16" s="127" t="str">
        <f t="shared" si="6"/>
        <v/>
      </c>
    </row>
    <row r="17" spans="1:82" ht="12.6" customHeight="1" x14ac:dyDescent="0.2">
      <c r="A17" s="106">
        <f>SHIPMENTS!A23</f>
        <v>7919</v>
      </c>
      <c r="B17" s="106" t="str">
        <f>SHIPMENTS!B23</f>
        <v>8200-AUSTRALIA</v>
      </c>
      <c r="C17" s="132">
        <f>SHIPMENTS!F23</f>
        <v>0</v>
      </c>
      <c r="D17" s="107" t="str">
        <f>IF((SHIPMENTS!I23)=0,"",SHIPMENTS!I23)</f>
        <v/>
      </c>
      <c r="E17" s="176" t="str">
        <f>IF((SHIPMENTS!G23)=0,"",SHIPMENTS!G23)</f>
        <v/>
      </c>
      <c r="F17" s="98">
        <f>VLOOKUP(A17,load!$A$4:$W$5001,22,0)</f>
        <v>0</v>
      </c>
      <c r="G17" s="109">
        <v>13</v>
      </c>
      <c r="H17" s="98">
        <f t="shared" si="0"/>
        <v>118.3</v>
      </c>
      <c r="I17" s="99">
        <f t="shared" si="7"/>
        <v>0</v>
      </c>
      <c r="J17" s="99">
        <f t="shared" si="1"/>
        <v>0</v>
      </c>
      <c r="K17" s="98">
        <f t="shared" si="8"/>
        <v>0</v>
      </c>
      <c r="L17" s="98">
        <f t="shared" si="9"/>
        <v>0</v>
      </c>
      <c r="M17" s="181">
        <f t="shared" si="11"/>
        <v>46322.119139194139</v>
      </c>
      <c r="N17" s="181">
        <f t="shared" si="12"/>
        <v>46322.119139194139</v>
      </c>
      <c r="O17" s="112">
        <f>VLOOKUP(A17,SHIPMENTS!$A$7:$AP$76,42,0)</f>
        <v>1</v>
      </c>
      <c r="P17" s="101"/>
      <c r="Q17" s="127" t="str">
        <f t="shared" si="3"/>
        <v/>
      </c>
      <c r="R17" s="127" t="str">
        <f t="shared" si="3"/>
        <v/>
      </c>
      <c r="S17" s="127" t="str">
        <f t="shared" si="3"/>
        <v/>
      </c>
      <c r="T17" s="127" t="str">
        <f t="shared" si="3"/>
        <v/>
      </c>
      <c r="U17" s="127" t="str">
        <f t="shared" si="3"/>
        <v/>
      </c>
      <c r="V17" s="127" t="str">
        <f t="shared" si="3"/>
        <v/>
      </c>
      <c r="W17" s="127" t="str">
        <f t="shared" si="3"/>
        <v/>
      </c>
      <c r="X17" s="127" t="str">
        <f t="shared" si="3"/>
        <v/>
      </c>
      <c r="Y17" s="127" t="str">
        <f t="shared" si="3"/>
        <v/>
      </c>
      <c r="Z17" s="127" t="str">
        <f t="shared" si="3"/>
        <v/>
      </c>
      <c r="AA17" s="127" t="str">
        <f t="shared" si="3"/>
        <v/>
      </c>
      <c r="AB17" s="127" t="str">
        <f t="shared" si="3"/>
        <v/>
      </c>
      <c r="AC17" s="127" t="str">
        <f t="shared" si="3"/>
        <v/>
      </c>
      <c r="AD17" s="127" t="str">
        <f t="shared" si="3"/>
        <v/>
      </c>
      <c r="AE17" s="127" t="str">
        <f t="shared" si="3"/>
        <v/>
      </c>
      <c r="AF17" s="127" t="str">
        <f t="shared" si="3"/>
        <v/>
      </c>
      <c r="AG17" s="127" t="str">
        <f t="shared" si="4"/>
        <v/>
      </c>
      <c r="AH17" s="127" t="str">
        <f t="shared" si="4"/>
        <v/>
      </c>
      <c r="AI17" s="127" t="str">
        <f t="shared" si="4"/>
        <v/>
      </c>
      <c r="AJ17" s="127" t="str">
        <f t="shared" si="4"/>
        <v/>
      </c>
      <c r="AK17" s="127" t="str">
        <f t="shared" si="4"/>
        <v/>
      </c>
      <c r="AL17" s="127" t="str">
        <f t="shared" si="4"/>
        <v/>
      </c>
      <c r="AM17" s="127" t="str">
        <f t="shared" si="4"/>
        <v/>
      </c>
      <c r="AN17" s="127" t="str">
        <f t="shared" si="4"/>
        <v/>
      </c>
      <c r="AO17" s="127" t="str">
        <f t="shared" si="4"/>
        <v/>
      </c>
      <c r="AP17" s="127" t="str">
        <f t="shared" si="4"/>
        <v/>
      </c>
      <c r="AQ17" s="127" t="str">
        <f t="shared" si="4"/>
        <v/>
      </c>
      <c r="AR17" s="127" t="str">
        <f t="shared" si="4"/>
        <v/>
      </c>
      <c r="AS17" s="127" t="str">
        <f t="shared" si="4"/>
        <v/>
      </c>
      <c r="AT17" s="127" t="str">
        <f t="shared" si="4"/>
        <v/>
      </c>
      <c r="AU17" s="127" t="str">
        <f t="shared" si="4"/>
        <v/>
      </c>
      <c r="AV17" s="127" t="str">
        <f t="shared" si="4"/>
        <v/>
      </c>
      <c r="AW17" s="127" t="str">
        <f t="shared" si="4"/>
        <v/>
      </c>
      <c r="AX17" s="127" t="str">
        <f t="shared" si="4"/>
        <v/>
      </c>
      <c r="AY17" s="127" t="str">
        <f t="shared" si="4"/>
        <v/>
      </c>
      <c r="AZ17" s="127" t="str">
        <f t="shared" si="4"/>
        <v/>
      </c>
      <c r="BA17" s="127" t="str">
        <f t="shared" si="4"/>
        <v/>
      </c>
      <c r="BB17" s="127" t="str">
        <f t="shared" ref="BB17:CD33" si="13">IF($E17=BB$3,"▲","")</f>
        <v/>
      </c>
      <c r="BC17" s="127" t="str">
        <f t="shared" si="13"/>
        <v/>
      </c>
      <c r="BD17" s="127" t="str">
        <f t="shared" si="13"/>
        <v/>
      </c>
      <c r="BE17" s="127" t="str">
        <f t="shared" si="13"/>
        <v/>
      </c>
      <c r="BF17" s="127" t="str">
        <f t="shared" si="13"/>
        <v/>
      </c>
      <c r="BG17" s="127" t="str">
        <f t="shared" si="5"/>
        <v/>
      </c>
      <c r="BH17" s="127" t="str">
        <f t="shared" si="13"/>
        <v/>
      </c>
      <c r="BI17" s="127" t="str">
        <f t="shared" si="13"/>
        <v/>
      </c>
      <c r="BJ17" s="127" t="str">
        <f t="shared" si="13"/>
        <v/>
      </c>
      <c r="BK17" s="127" t="str">
        <f t="shared" si="13"/>
        <v/>
      </c>
      <c r="BL17" s="127" t="str">
        <f t="shared" si="13"/>
        <v/>
      </c>
      <c r="BM17" s="127" t="str">
        <f t="shared" si="5"/>
        <v/>
      </c>
      <c r="BN17" s="127" t="str">
        <f t="shared" si="13"/>
        <v/>
      </c>
      <c r="BO17" s="127" t="str">
        <f t="shared" si="13"/>
        <v/>
      </c>
      <c r="BP17" s="127" t="str">
        <f t="shared" si="13"/>
        <v/>
      </c>
      <c r="BQ17" s="127" t="str">
        <f t="shared" si="13"/>
        <v/>
      </c>
      <c r="BR17" s="127" t="str">
        <f t="shared" si="13"/>
        <v/>
      </c>
      <c r="BS17" s="127" t="str">
        <f t="shared" si="6"/>
        <v/>
      </c>
      <c r="BT17" s="127" t="str">
        <f t="shared" si="13"/>
        <v/>
      </c>
      <c r="BU17" s="127" t="str">
        <f t="shared" si="13"/>
        <v/>
      </c>
      <c r="BV17" s="127" t="str">
        <f t="shared" si="13"/>
        <v/>
      </c>
      <c r="BW17" s="127" t="str">
        <f t="shared" si="13"/>
        <v/>
      </c>
      <c r="BX17" s="127" t="str">
        <f t="shared" si="13"/>
        <v/>
      </c>
      <c r="BY17" s="127" t="str">
        <f t="shared" si="6"/>
        <v/>
      </c>
      <c r="BZ17" s="127" t="str">
        <f t="shared" si="13"/>
        <v/>
      </c>
      <c r="CA17" s="127" t="str">
        <f t="shared" si="13"/>
        <v/>
      </c>
      <c r="CB17" s="127" t="str">
        <f t="shared" si="13"/>
        <v/>
      </c>
      <c r="CC17" s="127" t="str">
        <f t="shared" si="13"/>
        <v/>
      </c>
      <c r="CD17" s="127" t="str">
        <f t="shared" si="13"/>
        <v/>
      </c>
    </row>
    <row r="18" spans="1:82" ht="12.6" customHeight="1" x14ac:dyDescent="0.2">
      <c r="A18" s="106">
        <f>SHIPMENTS!A24</f>
        <v>9015</v>
      </c>
      <c r="B18" s="106" t="str">
        <f>SHIPMENTS!B24</f>
        <v>15900- Mandaue City | Atty. Brando Raya</v>
      </c>
      <c r="C18" s="132">
        <f>SHIPMENTS!F24</f>
        <v>0.25600000000000001</v>
      </c>
      <c r="D18" s="107" t="str">
        <f>IF((SHIPMENTS!I24)=0,"",SHIPMENTS!I24)</f>
        <v>LCL</v>
      </c>
      <c r="E18" s="176">
        <f>IF((SHIPMENTS!G24)=0,"",SHIPMENTS!G24)</f>
        <v>46323</v>
      </c>
      <c r="F18" s="98">
        <f>VLOOKUP(A18,load!$A$4:$W$5001,22,0)</f>
        <v>70.309666666666672</v>
      </c>
      <c r="G18" s="109">
        <v>13</v>
      </c>
      <c r="H18" s="98">
        <f t="shared" si="0"/>
        <v>118.3</v>
      </c>
      <c r="I18" s="99">
        <f t="shared" si="7"/>
        <v>0.59433361510284588</v>
      </c>
      <c r="J18" s="99">
        <f t="shared" si="1"/>
        <v>5.408435897435897</v>
      </c>
      <c r="K18" s="98">
        <f t="shared" si="8"/>
        <v>0.35660016906170755</v>
      </c>
      <c r="L18" s="98">
        <f t="shared" si="9"/>
        <v>3.2450615384615382</v>
      </c>
      <c r="M18" s="181">
        <f t="shared" si="11"/>
        <v>46322.119139194139</v>
      </c>
      <c r="N18" s="181">
        <f t="shared" si="12"/>
        <v>46322.475739363203</v>
      </c>
      <c r="O18" s="112">
        <f>VLOOKUP(A18,SHIPMENTS!$A$7:$AP$76,42,0)</f>
        <v>0.4</v>
      </c>
      <c r="P18" s="101"/>
      <c r="Q18" s="127" t="str">
        <f t="shared" si="3"/>
        <v/>
      </c>
      <c r="R18" s="127" t="str">
        <f t="shared" si="3"/>
        <v/>
      </c>
      <c r="S18" s="127" t="str">
        <f t="shared" si="3"/>
        <v/>
      </c>
      <c r="T18" s="127" t="str">
        <f t="shared" si="3"/>
        <v/>
      </c>
      <c r="U18" s="127" t="str">
        <f t="shared" si="3"/>
        <v/>
      </c>
      <c r="V18" s="127" t="str">
        <f t="shared" si="3"/>
        <v/>
      </c>
      <c r="W18" s="127" t="str">
        <f t="shared" si="3"/>
        <v/>
      </c>
      <c r="X18" s="127" t="str">
        <f t="shared" si="3"/>
        <v/>
      </c>
      <c r="Y18" s="127" t="str">
        <f t="shared" si="3"/>
        <v>▲</v>
      </c>
      <c r="Z18" s="127" t="str">
        <f t="shared" si="3"/>
        <v/>
      </c>
      <c r="AA18" s="127" t="str">
        <f t="shared" si="3"/>
        <v/>
      </c>
      <c r="AB18" s="127" t="str">
        <f t="shared" si="3"/>
        <v/>
      </c>
      <c r="AC18" s="127" t="str">
        <f t="shared" si="3"/>
        <v/>
      </c>
      <c r="AD18" s="127" t="str">
        <f t="shared" si="3"/>
        <v/>
      </c>
      <c r="AE18" s="127" t="str">
        <f t="shared" si="3"/>
        <v/>
      </c>
      <c r="AF18" s="127" t="str">
        <f t="shared" si="3"/>
        <v/>
      </c>
      <c r="AG18" s="127" t="str">
        <f t="shared" ref="AG18:BQ32" si="14">IF($E18=AG$3,"▲","")</f>
        <v/>
      </c>
      <c r="AH18" s="127" t="str">
        <f t="shared" si="14"/>
        <v/>
      </c>
      <c r="AI18" s="127" t="str">
        <f t="shared" si="14"/>
        <v/>
      </c>
      <c r="AJ18" s="127" t="str">
        <f t="shared" si="14"/>
        <v/>
      </c>
      <c r="AK18" s="127" t="str">
        <f t="shared" si="14"/>
        <v/>
      </c>
      <c r="AL18" s="127" t="str">
        <f t="shared" si="14"/>
        <v/>
      </c>
      <c r="AM18" s="127" t="str">
        <f t="shared" si="14"/>
        <v/>
      </c>
      <c r="AN18" s="127" t="str">
        <f t="shared" si="14"/>
        <v/>
      </c>
      <c r="AO18" s="127" t="str">
        <f t="shared" si="14"/>
        <v/>
      </c>
      <c r="AP18" s="127" t="str">
        <f t="shared" si="14"/>
        <v/>
      </c>
      <c r="AQ18" s="127" t="str">
        <f t="shared" si="14"/>
        <v/>
      </c>
      <c r="AR18" s="127" t="str">
        <f t="shared" si="14"/>
        <v/>
      </c>
      <c r="AS18" s="127" t="str">
        <f t="shared" si="14"/>
        <v/>
      </c>
      <c r="AT18" s="127" t="str">
        <f t="shared" si="14"/>
        <v/>
      </c>
      <c r="AU18" s="127" t="str">
        <f t="shared" si="14"/>
        <v/>
      </c>
      <c r="AV18" s="127" t="str">
        <f t="shared" si="14"/>
        <v/>
      </c>
      <c r="AW18" s="127" t="str">
        <f t="shared" si="14"/>
        <v/>
      </c>
      <c r="AX18" s="127" t="str">
        <f t="shared" si="14"/>
        <v/>
      </c>
      <c r="AY18" s="127" t="str">
        <f t="shared" si="14"/>
        <v/>
      </c>
      <c r="AZ18" s="127" t="str">
        <f t="shared" si="14"/>
        <v/>
      </c>
      <c r="BA18" s="127" t="str">
        <f t="shared" si="14"/>
        <v/>
      </c>
      <c r="BB18" s="127" t="str">
        <f t="shared" si="14"/>
        <v/>
      </c>
      <c r="BC18" s="127" t="str">
        <f t="shared" si="14"/>
        <v/>
      </c>
      <c r="BD18" s="127" t="str">
        <f t="shared" si="14"/>
        <v/>
      </c>
      <c r="BE18" s="127" t="str">
        <f t="shared" si="14"/>
        <v/>
      </c>
      <c r="BF18" s="127" t="str">
        <f t="shared" si="13"/>
        <v/>
      </c>
      <c r="BG18" s="127" t="str">
        <f t="shared" si="14"/>
        <v/>
      </c>
      <c r="BH18" s="127" t="str">
        <f t="shared" si="14"/>
        <v/>
      </c>
      <c r="BI18" s="127" t="str">
        <f t="shared" si="14"/>
        <v/>
      </c>
      <c r="BJ18" s="127" t="str">
        <f t="shared" si="14"/>
        <v/>
      </c>
      <c r="BK18" s="127" t="str">
        <f t="shared" si="14"/>
        <v/>
      </c>
      <c r="BL18" s="127" t="str">
        <f t="shared" si="13"/>
        <v/>
      </c>
      <c r="BM18" s="127" t="str">
        <f t="shared" si="14"/>
        <v/>
      </c>
      <c r="BN18" s="127" t="str">
        <f t="shared" si="14"/>
        <v/>
      </c>
      <c r="BO18" s="127" t="str">
        <f t="shared" si="14"/>
        <v/>
      </c>
      <c r="BP18" s="127" t="str">
        <f t="shared" si="14"/>
        <v/>
      </c>
      <c r="BQ18" s="127" t="str">
        <f t="shared" si="14"/>
        <v/>
      </c>
      <c r="BR18" s="127" t="str">
        <f t="shared" si="13"/>
        <v/>
      </c>
      <c r="BS18" s="127" t="str">
        <f t="shared" si="6"/>
        <v/>
      </c>
      <c r="BT18" s="127" t="str">
        <f t="shared" si="6"/>
        <v/>
      </c>
      <c r="BU18" s="127" t="str">
        <f t="shared" si="6"/>
        <v/>
      </c>
      <c r="BV18" s="127" t="str">
        <f t="shared" si="6"/>
        <v/>
      </c>
      <c r="BW18" s="127" t="str">
        <f t="shared" si="6"/>
        <v/>
      </c>
      <c r="BX18" s="127" t="str">
        <f t="shared" si="13"/>
        <v/>
      </c>
      <c r="BY18" s="127" t="str">
        <f t="shared" si="6"/>
        <v/>
      </c>
      <c r="BZ18" s="127" t="str">
        <f t="shared" si="6"/>
        <v/>
      </c>
      <c r="CA18" s="127" t="str">
        <f t="shared" si="6"/>
        <v/>
      </c>
      <c r="CB18" s="127" t="str">
        <f t="shared" si="6"/>
        <v/>
      </c>
      <c r="CC18" s="127" t="str">
        <f t="shared" si="6"/>
        <v/>
      </c>
      <c r="CD18" s="127" t="str">
        <f t="shared" si="13"/>
        <v/>
      </c>
    </row>
    <row r="19" spans="1:82" ht="12.6" customHeight="1" x14ac:dyDescent="0.2">
      <c r="A19" s="106">
        <f>SHIPMENTS!A25</f>
        <v>9063</v>
      </c>
      <c r="B19" s="106" t="str">
        <f>SHIPMENTS!B25</f>
        <v>15900- Borongan City | Kookie Lim Uy / 3K Salon And Spa</v>
      </c>
      <c r="C19" s="132">
        <f>SHIPMENTS!F25</f>
        <v>0.12</v>
      </c>
      <c r="D19" s="107" t="str">
        <f>IF((SHIPMENTS!I25)=0,"",SHIPMENTS!I25)</f>
        <v/>
      </c>
      <c r="E19" s="176">
        <f>IF((SHIPMENTS!G25)=0,"",SHIPMENTS!G25)</f>
        <v>46323</v>
      </c>
      <c r="F19" s="98">
        <f>VLOOKUP(A19,load!$A$4:$W$5001,22,0)</f>
        <v>44.863499999999995</v>
      </c>
      <c r="G19" s="109">
        <v>13</v>
      </c>
      <c r="H19" s="98">
        <f t="shared" si="0"/>
        <v>118.3</v>
      </c>
      <c r="I19" s="99">
        <f t="shared" si="7"/>
        <v>0.37923499577345726</v>
      </c>
      <c r="J19" s="99">
        <f t="shared" si="1"/>
        <v>3.4510384615384608</v>
      </c>
      <c r="K19" s="98">
        <f t="shared" si="8"/>
        <v>0.22754099746407436</v>
      </c>
      <c r="L19" s="98">
        <f t="shared" si="9"/>
        <v>2.0706230769230762</v>
      </c>
      <c r="M19" s="181">
        <f t="shared" si="11"/>
        <v>46322.475739363203</v>
      </c>
      <c r="N19" s="181">
        <f t="shared" si="12"/>
        <v>46322.703280360663</v>
      </c>
      <c r="O19" s="112">
        <f>VLOOKUP(A19,SHIPMENTS!$A$7:$AP$76,42,0)</f>
        <v>0.4</v>
      </c>
      <c r="P19" s="101"/>
      <c r="Q19" s="127" t="str">
        <f t="shared" si="3"/>
        <v/>
      </c>
      <c r="R19" s="127" t="str">
        <f t="shared" si="3"/>
        <v/>
      </c>
      <c r="S19" s="127" t="str">
        <f t="shared" si="3"/>
        <v/>
      </c>
      <c r="T19" s="127" t="str">
        <f t="shared" si="3"/>
        <v/>
      </c>
      <c r="U19" s="127" t="str">
        <f t="shared" si="3"/>
        <v/>
      </c>
      <c r="V19" s="127" t="str">
        <f t="shared" si="3"/>
        <v/>
      </c>
      <c r="W19" s="127" t="str">
        <f t="shared" si="3"/>
        <v/>
      </c>
      <c r="X19" s="127" t="str">
        <f t="shared" si="3"/>
        <v/>
      </c>
      <c r="Y19" s="127" t="str">
        <f t="shared" si="3"/>
        <v>▲</v>
      </c>
      <c r="Z19" s="127" t="str">
        <f t="shared" si="3"/>
        <v/>
      </c>
      <c r="AA19" s="127" t="str">
        <f t="shared" si="3"/>
        <v/>
      </c>
      <c r="AB19" s="127" t="str">
        <f t="shared" si="3"/>
        <v/>
      </c>
      <c r="AC19" s="127" t="str">
        <f t="shared" si="3"/>
        <v/>
      </c>
      <c r="AD19" s="127" t="str">
        <f t="shared" si="3"/>
        <v/>
      </c>
      <c r="AE19" s="127" t="str">
        <f t="shared" si="3"/>
        <v/>
      </c>
      <c r="AF19" s="127" t="str">
        <f t="shared" si="3"/>
        <v/>
      </c>
      <c r="AG19" s="127" t="str">
        <f t="shared" si="14"/>
        <v/>
      </c>
      <c r="AH19" s="127" t="str">
        <f t="shared" si="14"/>
        <v/>
      </c>
      <c r="AI19" s="127" t="str">
        <f t="shared" si="14"/>
        <v/>
      </c>
      <c r="AJ19" s="127" t="str">
        <f t="shared" si="14"/>
        <v/>
      </c>
      <c r="AK19" s="127" t="str">
        <f t="shared" si="14"/>
        <v/>
      </c>
      <c r="AL19" s="127" t="str">
        <f t="shared" si="14"/>
        <v/>
      </c>
      <c r="AM19" s="127" t="str">
        <f t="shared" si="14"/>
        <v/>
      </c>
      <c r="AN19" s="127" t="str">
        <f t="shared" si="14"/>
        <v/>
      </c>
      <c r="AO19" s="127" t="str">
        <f t="shared" si="14"/>
        <v/>
      </c>
      <c r="AP19" s="127" t="str">
        <f t="shared" si="14"/>
        <v/>
      </c>
      <c r="AQ19" s="127" t="str">
        <f t="shared" si="14"/>
        <v/>
      </c>
      <c r="AR19" s="127" t="str">
        <f t="shared" si="14"/>
        <v/>
      </c>
      <c r="AS19" s="127" t="str">
        <f t="shared" si="14"/>
        <v/>
      </c>
      <c r="AT19" s="127" t="str">
        <f t="shared" si="14"/>
        <v/>
      </c>
      <c r="AU19" s="127" t="str">
        <f t="shared" si="14"/>
        <v/>
      </c>
      <c r="AV19" s="127" t="str">
        <f t="shared" si="14"/>
        <v/>
      </c>
      <c r="AW19" s="127" t="str">
        <f t="shared" si="14"/>
        <v/>
      </c>
      <c r="AX19" s="127" t="str">
        <f t="shared" si="14"/>
        <v/>
      </c>
      <c r="AY19" s="127" t="str">
        <f t="shared" si="14"/>
        <v/>
      </c>
      <c r="AZ19" s="127" t="str">
        <f t="shared" si="14"/>
        <v/>
      </c>
      <c r="BA19" s="127" t="str">
        <f t="shared" si="14"/>
        <v/>
      </c>
      <c r="BB19" s="127" t="str">
        <f t="shared" si="14"/>
        <v/>
      </c>
      <c r="BC19" s="127" t="str">
        <f t="shared" si="14"/>
        <v/>
      </c>
      <c r="BD19" s="127" t="str">
        <f t="shared" si="14"/>
        <v/>
      </c>
      <c r="BE19" s="127" t="str">
        <f t="shared" si="14"/>
        <v/>
      </c>
      <c r="BF19" s="127" t="str">
        <f t="shared" si="13"/>
        <v/>
      </c>
      <c r="BG19" s="127" t="str">
        <f t="shared" si="14"/>
        <v/>
      </c>
      <c r="BH19" s="127" t="str">
        <f t="shared" si="14"/>
        <v/>
      </c>
      <c r="BI19" s="127" t="str">
        <f t="shared" si="14"/>
        <v/>
      </c>
      <c r="BJ19" s="127" t="str">
        <f t="shared" si="14"/>
        <v/>
      </c>
      <c r="BK19" s="127" t="str">
        <f t="shared" si="14"/>
        <v/>
      </c>
      <c r="BL19" s="127" t="str">
        <f t="shared" si="13"/>
        <v/>
      </c>
      <c r="BM19" s="127" t="str">
        <f t="shared" si="14"/>
        <v/>
      </c>
      <c r="BN19" s="127" t="str">
        <f t="shared" si="14"/>
        <v/>
      </c>
      <c r="BO19" s="127" t="str">
        <f t="shared" si="14"/>
        <v/>
      </c>
      <c r="BP19" s="127" t="str">
        <f t="shared" si="14"/>
        <v/>
      </c>
      <c r="BQ19" s="127" t="str">
        <f t="shared" si="14"/>
        <v/>
      </c>
      <c r="BR19" s="127" t="str">
        <f t="shared" si="13"/>
        <v/>
      </c>
      <c r="BS19" s="127" t="str">
        <f t="shared" si="6"/>
        <v/>
      </c>
      <c r="BT19" s="127" t="str">
        <f t="shared" si="6"/>
        <v/>
      </c>
      <c r="BU19" s="127" t="str">
        <f t="shared" si="6"/>
        <v/>
      </c>
      <c r="BV19" s="127" t="str">
        <f t="shared" si="6"/>
        <v/>
      </c>
      <c r="BW19" s="127" t="str">
        <f t="shared" si="6"/>
        <v/>
      </c>
      <c r="BX19" s="127" t="str">
        <f t="shared" si="13"/>
        <v/>
      </c>
      <c r="BY19" s="127" t="str">
        <f t="shared" si="6"/>
        <v/>
      </c>
      <c r="BZ19" s="127" t="str">
        <f t="shared" si="6"/>
        <v/>
      </c>
      <c r="CA19" s="127" t="str">
        <f t="shared" si="6"/>
        <v/>
      </c>
      <c r="CB19" s="127" t="str">
        <f t="shared" si="6"/>
        <v/>
      </c>
      <c r="CC19" s="127" t="str">
        <f t="shared" si="6"/>
        <v/>
      </c>
      <c r="CD19" s="127" t="str">
        <f t="shared" si="13"/>
        <v/>
      </c>
    </row>
    <row r="20" spans="1:82" ht="12.6" customHeight="1" x14ac:dyDescent="0.2">
      <c r="A20" s="106">
        <f>SHIPMENTS!A26</f>
        <v>9131</v>
      </c>
      <c r="B20" s="106" t="str">
        <f>SHIPMENTS!B26</f>
        <v>15900- Cagayan De Oro |Kevin Anthony Pilapil Lagumbay</v>
      </c>
      <c r="C20" s="132">
        <f>SHIPMENTS!F26</f>
        <v>0.12</v>
      </c>
      <c r="D20" s="107" t="str">
        <f>IF((SHIPMENTS!I26)=0,"",SHIPMENTS!I26)</f>
        <v/>
      </c>
      <c r="E20" s="176">
        <f>IF((SHIPMENTS!G26)=0,"",SHIPMENTS!G26)</f>
        <v>46323</v>
      </c>
      <c r="F20" s="98">
        <f>VLOOKUP(A20,load!$A$4:$W$5001,22,0)</f>
        <v>47.997166666666665</v>
      </c>
      <c r="G20" s="109">
        <v>13</v>
      </c>
      <c r="H20" s="98">
        <f t="shared" si="0"/>
        <v>118.3</v>
      </c>
      <c r="I20" s="99">
        <f t="shared" si="7"/>
        <v>0.40572414764722459</v>
      </c>
      <c r="J20" s="99">
        <f t="shared" si="1"/>
        <v>3.6920897435897437</v>
      </c>
      <c r="K20" s="98">
        <f t="shared" si="8"/>
        <v>0.24343448858833475</v>
      </c>
      <c r="L20" s="98">
        <f t="shared" si="9"/>
        <v>2.2152538461538462</v>
      </c>
      <c r="M20" s="181">
        <f t="shared" si="11"/>
        <v>46322.703280360663</v>
      </c>
      <c r="N20" s="181">
        <f t="shared" si="12"/>
        <v>46322.946714849255</v>
      </c>
      <c r="O20" s="112">
        <f>VLOOKUP(A20,SHIPMENTS!$A$7:$AP$76,42,0)</f>
        <v>0.4</v>
      </c>
      <c r="P20" s="101"/>
      <c r="Q20" s="127" t="str">
        <f t="shared" si="3"/>
        <v/>
      </c>
      <c r="R20" s="127" t="str">
        <f t="shared" si="3"/>
        <v/>
      </c>
      <c r="S20" s="127" t="str">
        <f t="shared" si="3"/>
        <v/>
      </c>
      <c r="T20" s="127" t="str">
        <f t="shared" si="3"/>
        <v/>
      </c>
      <c r="U20" s="127" t="str">
        <f t="shared" si="3"/>
        <v/>
      </c>
      <c r="V20" s="127" t="str">
        <f t="shared" si="3"/>
        <v/>
      </c>
      <c r="W20" s="127" t="str">
        <f t="shared" si="3"/>
        <v/>
      </c>
      <c r="X20" s="127" t="str">
        <f t="shared" si="3"/>
        <v/>
      </c>
      <c r="Y20" s="127" t="str">
        <f t="shared" si="3"/>
        <v>▲</v>
      </c>
      <c r="Z20" s="127" t="str">
        <f t="shared" si="3"/>
        <v/>
      </c>
      <c r="AA20" s="127" t="str">
        <f t="shared" si="3"/>
        <v/>
      </c>
      <c r="AB20" s="127" t="str">
        <f t="shared" si="3"/>
        <v/>
      </c>
      <c r="AC20" s="127" t="str">
        <f t="shared" si="3"/>
        <v/>
      </c>
      <c r="AD20" s="127" t="str">
        <f t="shared" si="3"/>
        <v/>
      </c>
      <c r="AE20" s="127" t="str">
        <f t="shared" si="3"/>
        <v/>
      </c>
      <c r="AF20" s="127" t="str">
        <f t="shared" si="3"/>
        <v/>
      </c>
      <c r="AG20" s="127" t="str">
        <f t="shared" si="14"/>
        <v/>
      </c>
      <c r="AH20" s="127" t="str">
        <f t="shared" si="14"/>
        <v/>
      </c>
      <c r="AI20" s="127" t="str">
        <f t="shared" si="14"/>
        <v/>
      </c>
      <c r="AJ20" s="127" t="str">
        <f t="shared" si="14"/>
        <v/>
      </c>
      <c r="AK20" s="127" t="str">
        <f t="shared" si="14"/>
        <v/>
      </c>
      <c r="AL20" s="127" t="str">
        <f t="shared" si="14"/>
        <v/>
      </c>
      <c r="AM20" s="127" t="str">
        <f t="shared" si="14"/>
        <v/>
      </c>
      <c r="AN20" s="127" t="str">
        <f t="shared" si="14"/>
        <v/>
      </c>
      <c r="AO20" s="127" t="str">
        <f t="shared" si="14"/>
        <v/>
      </c>
      <c r="AP20" s="127" t="str">
        <f t="shared" si="14"/>
        <v/>
      </c>
      <c r="AQ20" s="127" t="str">
        <f t="shared" si="14"/>
        <v/>
      </c>
      <c r="AR20" s="127" t="str">
        <f t="shared" si="14"/>
        <v/>
      </c>
      <c r="AS20" s="127" t="str">
        <f t="shared" si="14"/>
        <v/>
      </c>
      <c r="AT20" s="127" t="str">
        <f t="shared" si="14"/>
        <v/>
      </c>
      <c r="AU20" s="127" t="str">
        <f t="shared" si="14"/>
        <v/>
      </c>
      <c r="AV20" s="127" t="str">
        <f t="shared" si="14"/>
        <v/>
      </c>
      <c r="AW20" s="127" t="str">
        <f t="shared" si="14"/>
        <v/>
      </c>
      <c r="AX20" s="127" t="str">
        <f t="shared" si="14"/>
        <v/>
      </c>
      <c r="AY20" s="127" t="str">
        <f t="shared" si="14"/>
        <v/>
      </c>
      <c r="AZ20" s="127" t="str">
        <f t="shared" si="14"/>
        <v/>
      </c>
      <c r="BA20" s="127" t="str">
        <f t="shared" si="14"/>
        <v/>
      </c>
      <c r="BB20" s="127" t="str">
        <f t="shared" si="14"/>
        <v/>
      </c>
      <c r="BC20" s="127" t="str">
        <f t="shared" si="14"/>
        <v/>
      </c>
      <c r="BD20" s="127" t="str">
        <f t="shared" si="14"/>
        <v/>
      </c>
      <c r="BE20" s="127" t="str">
        <f t="shared" si="14"/>
        <v/>
      </c>
      <c r="BF20" s="127" t="str">
        <f t="shared" si="13"/>
        <v/>
      </c>
      <c r="BG20" s="127" t="str">
        <f t="shared" si="14"/>
        <v/>
      </c>
      <c r="BH20" s="127" t="str">
        <f t="shared" si="14"/>
        <v/>
      </c>
      <c r="BI20" s="127" t="str">
        <f t="shared" si="14"/>
        <v/>
      </c>
      <c r="BJ20" s="127" t="str">
        <f t="shared" si="14"/>
        <v/>
      </c>
      <c r="BK20" s="127" t="str">
        <f t="shared" si="14"/>
        <v/>
      </c>
      <c r="BL20" s="127" t="str">
        <f t="shared" si="13"/>
        <v/>
      </c>
      <c r="BM20" s="127" t="str">
        <f t="shared" si="14"/>
        <v/>
      </c>
      <c r="BN20" s="127" t="str">
        <f t="shared" si="14"/>
        <v/>
      </c>
      <c r="BO20" s="127" t="str">
        <f t="shared" si="14"/>
        <v/>
      </c>
      <c r="BP20" s="127" t="str">
        <f t="shared" si="14"/>
        <v/>
      </c>
      <c r="BQ20" s="127" t="str">
        <f t="shared" si="14"/>
        <v/>
      </c>
      <c r="BR20" s="127" t="str">
        <f t="shared" si="13"/>
        <v/>
      </c>
      <c r="BS20" s="127" t="str">
        <f t="shared" si="6"/>
        <v/>
      </c>
      <c r="BT20" s="127" t="str">
        <f t="shared" si="6"/>
        <v/>
      </c>
      <c r="BU20" s="127" t="str">
        <f t="shared" si="6"/>
        <v/>
      </c>
      <c r="BV20" s="127" t="str">
        <f t="shared" si="6"/>
        <v/>
      </c>
      <c r="BW20" s="127" t="str">
        <f t="shared" si="6"/>
        <v/>
      </c>
      <c r="BX20" s="127" t="str">
        <f t="shared" si="13"/>
        <v/>
      </c>
      <c r="BY20" s="127" t="str">
        <f t="shared" si="6"/>
        <v/>
      </c>
      <c r="BZ20" s="127" t="str">
        <f t="shared" si="6"/>
        <v/>
      </c>
      <c r="CA20" s="127" t="str">
        <f t="shared" si="6"/>
        <v/>
      </c>
      <c r="CB20" s="127" t="str">
        <f t="shared" si="6"/>
        <v/>
      </c>
      <c r="CC20" s="127" t="str">
        <f t="shared" si="6"/>
        <v/>
      </c>
      <c r="CD20" s="127" t="str">
        <f t="shared" si="13"/>
        <v/>
      </c>
    </row>
    <row r="21" spans="1:82" ht="12.6" customHeight="1" x14ac:dyDescent="0.2">
      <c r="A21" s="106">
        <f>SHIPMENTS!A27</f>
        <v>9228</v>
      </c>
      <c r="B21" s="106" t="str">
        <f>SHIPMENTS!B27</f>
        <v>15900- Cebu City |Stephanie Sarmiento</v>
      </c>
      <c r="C21" s="132">
        <f>SHIPMENTS!F27</f>
        <v>0.16</v>
      </c>
      <c r="D21" s="107" t="str">
        <f>IF((SHIPMENTS!I27)=0,"",SHIPMENTS!I27)</f>
        <v/>
      </c>
      <c r="E21" s="176">
        <f>IF((SHIPMENTS!G27)=0,"",SHIPMENTS!G27)</f>
        <v>46323</v>
      </c>
      <c r="F21" s="98">
        <f>VLOOKUP(A21,load!$A$4:$W$5001,22,0)</f>
        <v>44.863499999999995</v>
      </c>
      <c r="G21" s="109">
        <v>13</v>
      </c>
      <c r="H21" s="98">
        <f t="shared" si="0"/>
        <v>118.3</v>
      </c>
      <c r="I21" s="99">
        <f t="shared" si="7"/>
        <v>0.37923499577345726</v>
      </c>
      <c r="J21" s="99">
        <f t="shared" si="1"/>
        <v>3.4510384615384608</v>
      </c>
      <c r="K21" s="98">
        <f t="shared" si="8"/>
        <v>0.22754099746407436</v>
      </c>
      <c r="L21" s="98">
        <f t="shared" si="9"/>
        <v>2.0706230769230762</v>
      </c>
      <c r="M21" s="181">
        <f t="shared" si="11"/>
        <v>46322.946714849255</v>
      </c>
      <c r="N21" s="181">
        <f t="shared" si="12"/>
        <v>46323.174255846716</v>
      </c>
      <c r="O21" s="112">
        <f>VLOOKUP(A21,SHIPMENTS!$A$7:$AP$76,42,0)</f>
        <v>0.4</v>
      </c>
      <c r="P21" s="101"/>
      <c r="Q21" s="127" t="str">
        <f t="shared" si="3"/>
        <v/>
      </c>
      <c r="R21" s="127" t="str">
        <f t="shared" si="3"/>
        <v/>
      </c>
      <c r="S21" s="127" t="str">
        <f t="shared" si="3"/>
        <v/>
      </c>
      <c r="T21" s="127" t="str">
        <f t="shared" si="3"/>
        <v/>
      </c>
      <c r="U21" s="127" t="str">
        <f t="shared" si="3"/>
        <v/>
      </c>
      <c r="V21" s="127" t="str">
        <f t="shared" si="3"/>
        <v/>
      </c>
      <c r="W21" s="127" t="str">
        <f t="shared" si="3"/>
        <v/>
      </c>
      <c r="X21" s="127" t="str">
        <f t="shared" si="3"/>
        <v/>
      </c>
      <c r="Y21" s="127" t="str">
        <f t="shared" si="3"/>
        <v>▲</v>
      </c>
      <c r="Z21" s="127" t="str">
        <f t="shared" si="3"/>
        <v/>
      </c>
      <c r="AA21" s="127" t="str">
        <f t="shared" si="3"/>
        <v/>
      </c>
      <c r="AB21" s="127" t="str">
        <f t="shared" si="3"/>
        <v/>
      </c>
      <c r="AC21" s="127" t="str">
        <f t="shared" si="3"/>
        <v/>
      </c>
      <c r="AD21" s="127" t="str">
        <f t="shared" si="3"/>
        <v/>
      </c>
      <c r="AE21" s="127" t="str">
        <f t="shared" si="3"/>
        <v/>
      </c>
      <c r="AF21" s="127" t="str">
        <f t="shared" si="3"/>
        <v/>
      </c>
      <c r="AG21" s="127" t="str">
        <f t="shared" si="14"/>
        <v/>
      </c>
      <c r="AH21" s="127" t="str">
        <f t="shared" si="14"/>
        <v/>
      </c>
      <c r="AI21" s="127" t="str">
        <f t="shared" si="14"/>
        <v/>
      </c>
      <c r="AJ21" s="127" t="str">
        <f t="shared" si="14"/>
        <v/>
      </c>
      <c r="AK21" s="127" t="str">
        <f t="shared" si="14"/>
        <v/>
      </c>
      <c r="AL21" s="127" t="str">
        <f t="shared" si="14"/>
        <v/>
      </c>
      <c r="AM21" s="127" t="str">
        <f t="shared" si="14"/>
        <v/>
      </c>
      <c r="AN21" s="127" t="str">
        <f t="shared" si="14"/>
        <v/>
      </c>
      <c r="AO21" s="127" t="str">
        <f t="shared" si="14"/>
        <v/>
      </c>
      <c r="AP21" s="127" t="str">
        <f t="shared" si="14"/>
        <v/>
      </c>
      <c r="AQ21" s="127" t="str">
        <f t="shared" si="14"/>
        <v/>
      </c>
      <c r="AR21" s="127" t="str">
        <f t="shared" si="14"/>
        <v/>
      </c>
      <c r="AS21" s="127" t="str">
        <f t="shared" si="14"/>
        <v/>
      </c>
      <c r="AT21" s="127" t="str">
        <f t="shared" si="14"/>
        <v/>
      </c>
      <c r="AU21" s="127" t="str">
        <f t="shared" si="14"/>
        <v/>
      </c>
      <c r="AV21" s="127" t="str">
        <f t="shared" si="14"/>
        <v/>
      </c>
      <c r="AW21" s="127" t="str">
        <f t="shared" si="14"/>
        <v/>
      </c>
      <c r="AX21" s="127" t="str">
        <f t="shared" si="14"/>
        <v/>
      </c>
      <c r="AY21" s="127" t="str">
        <f t="shared" si="14"/>
        <v/>
      </c>
      <c r="AZ21" s="127" t="str">
        <f t="shared" si="14"/>
        <v/>
      </c>
      <c r="BA21" s="127" t="str">
        <f t="shared" si="14"/>
        <v/>
      </c>
      <c r="BB21" s="127" t="str">
        <f t="shared" si="14"/>
        <v/>
      </c>
      <c r="BC21" s="127" t="str">
        <f t="shared" si="14"/>
        <v/>
      </c>
      <c r="BD21" s="127" t="str">
        <f t="shared" si="14"/>
        <v/>
      </c>
      <c r="BE21" s="127" t="str">
        <f t="shared" si="14"/>
        <v/>
      </c>
      <c r="BF21" s="127" t="str">
        <f t="shared" si="13"/>
        <v/>
      </c>
      <c r="BG21" s="127" t="str">
        <f t="shared" si="14"/>
        <v/>
      </c>
      <c r="BH21" s="127" t="str">
        <f t="shared" si="14"/>
        <v/>
      </c>
      <c r="BI21" s="127" t="str">
        <f t="shared" si="14"/>
        <v/>
      </c>
      <c r="BJ21" s="127" t="str">
        <f t="shared" si="14"/>
        <v/>
      </c>
      <c r="BK21" s="127" t="str">
        <f t="shared" si="14"/>
        <v/>
      </c>
      <c r="BL21" s="127" t="str">
        <f t="shared" si="13"/>
        <v/>
      </c>
      <c r="BM21" s="127" t="str">
        <f t="shared" si="14"/>
        <v/>
      </c>
      <c r="BN21" s="127" t="str">
        <f t="shared" si="14"/>
        <v/>
      </c>
      <c r="BO21" s="127" t="str">
        <f t="shared" si="14"/>
        <v/>
      </c>
      <c r="BP21" s="127" t="str">
        <f t="shared" si="14"/>
        <v/>
      </c>
      <c r="BQ21" s="127" t="str">
        <f t="shared" si="14"/>
        <v/>
      </c>
      <c r="BR21" s="127" t="str">
        <f t="shared" si="13"/>
        <v/>
      </c>
      <c r="BS21" s="127" t="str">
        <f t="shared" si="6"/>
        <v/>
      </c>
      <c r="BT21" s="127" t="str">
        <f t="shared" si="6"/>
        <v/>
      </c>
      <c r="BU21" s="127" t="str">
        <f t="shared" si="6"/>
        <v/>
      </c>
      <c r="BV21" s="127" t="str">
        <f t="shared" si="6"/>
        <v/>
      </c>
      <c r="BW21" s="127" t="str">
        <f t="shared" si="6"/>
        <v/>
      </c>
      <c r="BX21" s="127" t="str">
        <f t="shared" si="13"/>
        <v/>
      </c>
      <c r="BY21" s="127" t="str">
        <f t="shared" si="6"/>
        <v/>
      </c>
      <c r="BZ21" s="127" t="str">
        <f t="shared" si="6"/>
        <v/>
      </c>
      <c r="CA21" s="127" t="str">
        <f t="shared" si="6"/>
        <v/>
      </c>
      <c r="CB21" s="127" t="str">
        <f t="shared" si="6"/>
        <v/>
      </c>
      <c r="CC21" s="127" t="str">
        <f t="shared" si="6"/>
        <v/>
      </c>
      <c r="CD21" s="127" t="str">
        <f t="shared" si="13"/>
        <v/>
      </c>
    </row>
    <row r="22" spans="1:82" ht="12.6" customHeight="1" x14ac:dyDescent="0.2">
      <c r="A22" s="106">
        <f>SHIPMENTS!A28</f>
        <v>9279</v>
      </c>
      <c r="B22" s="106" t="str">
        <f>SHIPMENTS!B28</f>
        <v>15900- Iloilo |Rocky Go</v>
      </c>
      <c r="C22" s="132">
        <f>SHIPMENTS!F28</f>
        <v>0.34820000000000001</v>
      </c>
      <c r="D22" s="107" t="str">
        <f>IF((SHIPMENTS!I28)=0,"",SHIPMENTS!I28)</f>
        <v/>
      </c>
      <c r="E22" s="176">
        <f>IF((SHIPMENTS!G28)=0,"",SHIPMENTS!G28)</f>
        <v>46323</v>
      </c>
      <c r="F22" s="98">
        <f>VLOOKUP(A22,load!$A$4:$W$5001,22,0)</f>
        <v>49.350666666666669</v>
      </c>
      <c r="G22" s="109">
        <v>13</v>
      </c>
      <c r="H22" s="98">
        <f t="shared" si="0"/>
        <v>118.3</v>
      </c>
      <c r="I22" s="99">
        <f t="shared" si="7"/>
        <v>0.41716539870386027</v>
      </c>
      <c r="J22" s="99">
        <f t="shared" si="1"/>
        <v>3.7962051282051283</v>
      </c>
      <c r="K22" s="98">
        <f t="shared" si="8"/>
        <v>0.25029923922231612</v>
      </c>
      <c r="L22" s="98">
        <f t="shared" si="9"/>
        <v>2.2777230769230767</v>
      </c>
      <c r="M22" s="181">
        <f t="shared" si="11"/>
        <v>46323.174255846716</v>
      </c>
      <c r="N22" s="181">
        <f t="shared" si="12"/>
        <v>46323.424555085941</v>
      </c>
      <c r="O22" s="112">
        <f>VLOOKUP(A22,SHIPMENTS!$A$7:$AP$76,42,0)</f>
        <v>0.4</v>
      </c>
      <c r="P22" s="101"/>
      <c r="Q22" s="127" t="str">
        <f t="shared" si="3"/>
        <v/>
      </c>
      <c r="R22" s="127" t="str">
        <f t="shared" si="3"/>
        <v/>
      </c>
      <c r="S22" s="127" t="str">
        <f t="shared" si="3"/>
        <v/>
      </c>
      <c r="T22" s="127" t="str">
        <f t="shared" si="3"/>
        <v/>
      </c>
      <c r="U22" s="127" t="str">
        <f t="shared" si="3"/>
        <v/>
      </c>
      <c r="V22" s="127" t="str">
        <f t="shared" si="3"/>
        <v/>
      </c>
      <c r="W22" s="127" t="str">
        <f t="shared" si="3"/>
        <v/>
      </c>
      <c r="X22" s="127" t="str">
        <f t="shared" si="3"/>
        <v/>
      </c>
      <c r="Y22" s="127" t="str">
        <f t="shared" si="3"/>
        <v>▲</v>
      </c>
      <c r="Z22" s="127" t="str">
        <f t="shared" si="3"/>
        <v/>
      </c>
      <c r="AA22" s="127" t="str">
        <f t="shared" si="3"/>
        <v/>
      </c>
      <c r="AB22" s="127" t="str">
        <f t="shared" si="3"/>
        <v/>
      </c>
      <c r="AC22" s="127" t="str">
        <f t="shared" si="3"/>
        <v/>
      </c>
      <c r="AD22" s="127" t="str">
        <f t="shared" si="3"/>
        <v/>
      </c>
      <c r="AE22" s="127" t="str">
        <f t="shared" si="3"/>
        <v/>
      </c>
      <c r="AF22" s="127" t="str">
        <f t="shared" si="3"/>
        <v/>
      </c>
      <c r="AG22" s="127" t="str">
        <f t="shared" si="14"/>
        <v/>
      </c>
      <c r="AH22" s="127" t="str">
        <f t="shared" si="14"/>
        <v/>
      </c>
      <c r="AI22" s="127" t="str">
        <f t="shared" si="14"/>
        <v/>
      </c>
      <c r="AJ22" s="127" t="str">
        <f t="shared" si="14"/>
        <v/>
      </c>
      <c r="AK22" s="127" t="str">
        <f t="shared" si="14"/>
        <v/>
      </c>
      <c r="AL22" s="127" t="str">
        <f t="shared" si="14"/>
        <v/>
      </c>
      <c r="AM22" s="127" t="str">
        <f t="shared" si="14"/>
        <v/>
      </c>
      <c r="AN22" s="127" t="str">
        <f t="shared" si="14"/>
        <v/>
      </c>
      <c r="AO22" s="127" t="str">
        <f t="shared" si="14"/>
        <v/>
      </c>
      <c r="AP22" s="127" t="str">
        <f t="shared" si="14"/>
        <v/>
      </c>
      <c r="AQ22" s="127" t="str">
        <f t="shared" si="14"/>
        <v/>
      </c>
      <c r="AR22" s="127" t="str">
        <f t="shared" si="14"/>
        <v/>
      </c>
      <c r="AS22" s="127" t="str">
        <f t="shared" si="14"/>
        <v/>
      </c>
      <c r="AT22" s="127" t="str">
        <f t="shared" si="14"/>
        <v/>
      </c>
      <c r="AU22" s="127" t="str">
        <f t="shared" si="14"/>
        <v/>
      </c>
      <c r="AV22" s="127" t="str">
        <f t="shared" si="14"/>
        <v/>
      </c>
      <c r="AW22" s="127" t="str">
        <f t="shared" si="14"/>
        <v/>
      </c>
      <c r="AX22" s="127" t="str">
        <f t="shared" si="14"/>
        <v/>
      </c>
      <c r="AY22" s="127" t="str">
        <f t="shared" si="14"/>
        <v/>
      </c>
      <c r="AZ22" s="127" t="str">
        <f t="shared" si="14"/>
        <v/>
      </c>
      <c r="BA22" s="127" t="str">
        <f t="shared" si="14"/>
        <v/>
      </c>
      <c r="BB22" s="127" t="str">
        <f t="shared" si="14"/>
        <v/>
      </c>
      <c r="BC22" s="127" t="str">
        <f t="shared" si="14"/>
        <v/>
      </c>
      <c r="BD22" s="127" t="str">
        <f t="shared" si="14"/>
        <v/>
      </c>
      <c r="BE22" s="127" t="str">
        <f t="shared" si="14"/>
        <v/>
      </c>
      <c r="BF22" s="127" t="str">
        <f t="shared" si="13"/>
        <v/>
      </c>
      <c r="BG22" s="127" t="str">
        <f t="shared" si="14"/>
        <v/>
      </c>
      <c r="BH22" s="127" t="str">
        <f t="shared" si="14"/>
        <v/>
      </c>
      <c r="BI22" s="127" t="str">
        <f t="shared" si="14"/>
        <v/>
      </c>
      <c r="BJ22" s="127" t="str">
        <f t="shared" si="14"/>
        <v/>
      </c>
      <c r="BK22" s="127" t="str">
        <f t="shared" si="14"/>
        <v/>
      </c>
      <c r="BL22" s="127" t="str">
        <f t="shared" si="13"/>
        <v/>
      </c>
      <c r="BM22" s="127" t="str">
        <f t="shared" si="14"/>
        <v/>
      </c>
      <c r="BN22" s="127" t="str">
        <f t="shared" si="14"/>
        <v/>
      </c>
      <c r="BO22" s="127" t="str">
        <f t="shared" si="14"/>
        <v/>
      </c>
      <c r="BP22" s="127" t="str">
        <f t="shared" si="14"/>
        <v/>
      </c>
      <c r="BQ22" s="127" t="str">
        <f t="shared" si="14"/>
        <v/>
      </c>
      <c r="BR22" s="127" t="str">
        <f t="shared" si="13"/>
        <v/>
      </c>
      <c r="BS22" s="127" t="str">
        <f t="shared" si="6"/>
        <v/>
      </c>
      <c r="BT22" s="127" t="str">
        <f t="shared" si="6"/>
        <v/>
      </c>
      <c r="BU22" s="127" t="str">
        <f t="shared" si="6"/>
        <v/>
      </c>
      <c r="BV22" s="127" t="str">
        <f t="shared" si="6"/>
        <v/>
      </c>
      <c r="BW22" s="127" t="str">
        <f t="shared" si="6"/>
        <v/>
      </c>
      <c r="BX22" s="127" t="str">
        <f t="shared" si="13"/>
        <v/>
      </c>
      <c r="BY22" s="127" t="str">
        <f t="shared" si="6"/>
        <v/>
      </c>
      <c r="BZ22" s="127" t="str">
        <f t="shared" si="6"/>
        <v/>
      </c>
      <c r="CA22" s="127" t="str">
        <f t="shared" si="6"/>
        <v/>
      </c>
      <c r="CB22" s="127" t="str">
        <f t="shared" si="6"/>
        <v/>
      </c>
      <c r="CC22" s="127" t="str">
        <f t="shared" si="6"/>
        <v/>
      </c>
      <c r="CD22" s="127" t="str">
        <f t="shared" si="13"/>
        <v/>
      </c>
    </row>
    <row r="23" spans="1:82" ht="12.6" hidden="1" customHeight="1" x14ac:dyDescent="0.2">
      <c r="A23" s="106">
        <f>SHIPMENTS!A29</f>
        <v>8964</v>
      </c>
      <c r="B23" s="106" t="str">
        <f>SHIPMENTS!B29</f>
        <v>15900- Mandaue Warehouse</v>
      </c>
      <c r="C23" s="132">
        <f>SHIPMENTS!F29</f>
        <v>0.11</v>
      </c>
      <c r="D23" s="107" t="str">
        <f>IF((SHIPMENTS!I29)=0,"",SHIPMENTS!I29)</f>
        <v/>
      </c>
      <c r="E23" s="176">
        <f>IF((SHIPMENTS!G29)=0,"",SHIPMENTS!G29)</f>
        <v>46323</v>
      </c>
      <c r="F23" s="98">
        <f>VLOOKUP(A23,load!$A$4:$W$5001,22,0)</f>
        <v>0</v>
      </c>
      <c r="G23" s="109">
        <v>13</v>
      </c>
      <c r="H23" s="98">
        <f t="shared" si="0"/>
        <v>118.3</v>
      </c>
      <c r="I23" s="99">
        <f t="shared" si="7"/>
        <v>0</v>
      </c>
      <c r="J23" s="99">
        <f t="shared" si="1"/>
        <v>0</v>
      </c>
      <c r="K23" s="98">
        <f t="shared" si="8"/>
        <v>0</v>
      </c>
      <c r="L23" s="98">
        <f t="shared" si="9"/>
        <v>0</v>
      </c>
      <c r="M23" s="181">
        <f t="shared" si="11"/>
        <v>46323.424555085941</v>
      </c>
      <c r="N23" s="181">
        <f t="shared" si="12"/>
        <v>46323.424555085941</v>
      </c>
      <c r="O23" s="112" t="str">
        <f>VLOOKUP(A23,SHIPMENTS!$A$7:$AP$76,42,0)</f>
        <v>n/a</v>
      </c>
      <c r="P23" s="101"/>
      <c r="Q23" s="127" t="str">
        <f t="shared" si="3"/>
        <v/>
      </c>
      <c r="R23" s="127" t="str">
        <f t="shared" si="3"/>
        <v/>
      </c>
      <c r="S23" s="127" t="str">
        <f t="shared" si="3"/>
        <v/>
      </c>
      <c r="T23" s="127" t="str">
        <f t="shared" si="3"/>
        <v/>
      </c>
      <c r="U23" s="127" t="str">
        <f t="shared" si="3"/>
        <v/>
      </c>
      <c r="V23" s="127" t="str">
        <f t="shared" si="3"/>
        <v/>
      </c>
      <c r="W23" s="127" t="str">
        <f t="shared" si="3"/>
        <v/>
      </c>
      <c r="X23" s="127" t="str">
        <f t="shared" si="3"/>
        <v/>
      </c>
      <c r="Y23" s="127" t="str">
        <f t="shared" si="3"/>
        <v>▲</v>
      </c>
      <c r="Z23" s="127" t="str">
        <f t="shared" si="3"/>
        <v/>
      </c>
      <c r="AA23" s="127" t="str">
        <f t="shared" si="3"/>
        <v/>
      </c>
      <c r="AB23" s="127" t="str">
        <f t="shared" si="3"/>
        <v/>
      </c>
      <c r="AC23" s="127" t="str">
        <f t="shared" si="3"/>
        <v/>
      </c>
      <c r="AD23" s="127" t="str">
        <f t="shared" si="3"/>
        <v/>
      </c>
      <c r="AE23" s="127" t="str">
        <f t="shared" si="3"/>
        <v/>
      </c>
      <c r="AF23" s="127" t="str">
        <f t="shared" ref="AF23:BE33" si="15">IF($E23=AF$3,"▲","")</f>
        <v/>
      </c>
      <c r="AG23" s="127" t="str">
        <f t="shared" si="15"/>
        <v/>
      </c>
      <c r="AH23" s="127" t="str">
        <f t="shared" si="15"/>
        <v/>
      </c>
      <c r="AI23" s="127" t="str">
        <f t="shared" si="15"/>
        <v/>
      </c>
      <c r="AJ23" s="127" t="str">
        <f t="shared" si="15"/>
        <v/>
      </c>
      <c r="AK23" s="127" t="str">
        <f t="shared" si="15"/>
        <v/>
      </c>
      <c r="AL23" s="127" t="str">
        <f t="shared" si="15"/>
        <v/>
      </c>
      <c r="AM23" s="127" t="str">
        <f t="shared" si="15"/>
        <v/>
      </c>
      <c r="AN23" s="127" t="str">
        <f t="shared" si="15"/>
        <v/>
      </c>
      <c r="AO23" s="127" t="str">
        <f t="shared" si="15"/>
        <v/>
      </c>
      <c r="AP23" s="127" t="str">
        <f t="shared" si="15"/>
        <v/>
      </c>
      <c r="AQ23" s="127" t="str">
        <f t="shared" si="15"/>
        <v/>
      </c>
      <c r="AR23" s="127" t="str">
        <f t="shared" si="15"/>
        <v/>
      </c>
      <c r="AS23" s="127" t="str">
        <f t="shared" si="15"/>
        <v/>
      </c>
      <c r="AT23" s="127" t="str">
        <f t="shared" si="15"/>
        <v/>
      </c>
      <c r="AU23" s="127" t="str">
        <f t="shared" si="15"/>
        <v/>
      </c>
      <c r="AV23" s="127" t="str">
        <f t="shared" si="15"/>
        <v/>
      </c>
      <c r="AW23" s="127" t="str">
        <f t="shared" si="15"/>
        <v/>
      </c>
      <c r="AX23" s="127" t="str">
        <f t="shared" si="15"/>
        <v/>
      </c>
      <c r="AY23" s="127" t="str">
        <f t="shared" si="15"/>
        <v/>
      </c>
      <c r="AZ23" s="127" t="str">
        <f t="shared" si="15"/>
        <v/>
      </c>
      <c r="BA23" s="127" t="str">
        <f t="shared" si="15"/>
        <v/>
      </c>
      <c r="BB23" s="127" t="str">
        <f t="shared" si="15"/>
        <v/>
      </c>
      <c r="BC23" s="127" t="str">
        <f t="shared" si="15"/>
        <v/>
      </c>
      <c r="BD23" s="127" t="str">
        <f t="shared" si="15"/>
        <v/>
      </c>
      <c r="BE23" s="127" t="str">
        <f t="shared" si="15"/>
        <v/>
      </c>
      <c r="BF23" s="127" t="str">
        <f t="shared" si="13"/>
        <v/>
      </c>
      <c r="BG23" s="127" t="str">
        <f t="shared" si="14"/>
        <v/>
      </c>
      <c r="BH23" s="127" t="str">
        <f t="shared" si="14"/>
        <v/>
      </c>
      <c r="BI23" s="127" t="str">
        <f t="shared" si="14"/>
        <v/>
      </c>
      <c r="BJ23" s="127" t="str">
        <f t="shared" si="14"/>
        <v/>
      </c>
      <c r="BK23" s="127" t="str">
        <f t="shared" si="14"/>
        <v/>
      </c>
      <c r="BL23" s="127" t="str">
        <f t="shared" si="13"/>
        <v/>
      </c>
      <c r="BM23" s="127" t="str">
        <f t="shared" si="14"/>
        <v/>
      </c>
      <c r="BN23" s="127" t="str">
        <f t="shared" si="14"/>
        <v/>
      </c>
      <c r="BO23" s="127" t="str">
        <f t="shared" si="14"/>
        <v/>
      </c>
      <c r="BP23" s="127" t="str">
        <f t="shared" si="14"/>
        <v/>
      </c>
      <c r="BQ23" s="127" t="str">
        <f t="shared" si="14"/>
        <v/>
      </c>
      <c r="BR23" s="127" t="str">
        <f t="shared" si="13"/>
        <v/>
      </c>
      <c r="BS23" s="127" t="str">
        <f t="shared" si="6"/>
        <v/>
      </c>
      <c r="BT23" s="127" t="str">
        <f t="shared" si="6"/>
        <v/>
      </c>
      <c r="BU23" s="127" t="str">
        <f t="shared" si="6"/>
        <v/>
      </c>
      <c r="BV23" s="127" t="str">
        <f t="shared" si="6"/>
        <v/>
      </c>
      <c r="BW23" s="127" t="str">
        <f t="shared" si="6"/>
        <v/>
      </c>
      <c r="BX23" s="127" t="str">
        <f t="shared" si="13"/>
        <v/>
      </c>
      <c r="BY23" s="127" t="str">
        <f t="shared" si="6"/>
        <v/>
      </c>
      <c r="BZ23" s="127" t="str">
        <f t="shared" si="6"/>
        <v/>
      </c>
      <c r="CA23" s="127" t="str">
        <f t="shared" si="6"/>
        <v/>
      </c>
      <c r="CB23" s="127" t="str">
        <f t="shared" si="6"/>
        <v/>
      </c>
      <c r="CC23" s="127" t="str">
        <f t="shared" si="6"/>
        <v/>
      </c>
      <c r="CD23" s="127" t="str">
        <f t="shared" si="13"/>
        <v/>
      </c>
    </row>
    <row r="24" spans="1:82" ht="12.6" hidden="1" customHeight="1" x14ac:dyDescent="0.2">
      <c r="A24" s="106">
        <f>SHIPMENTS!A30</f>
        <v>9023</v>
      </c>
      <c r="B24" s="106" t="str">
        <f>SHIPMENTS!B30</f>
        <v>15900- Ubay | Danilo Varela</v>
      </c>
      <c r="C24" s="132">
        <f>SHIPMENTS!F30</f>
        <v>3.0849999999999999E-2</v>
      </c>
      <c r="D24" s="107" t="str">
        <f>IF((SHIPMENTS!I30)=0,"",SHIPMENTS!I30)</f>
        <v/>
      </c>
      <c r="E24" s="176">
        <f>IF((SHIPMENTS!G30)=0,"",SHIPMENTS!G30)</f>
        <v>46323</v>
      </c>
      <c r="F24" s="98">
        <f>VLOOKUP(A24,load!$A$4:$W$5001,22,0)</f>
        <v>0</v>
      </c>
      <c r="G24" s="109">
        <v>13</v>
      </c>
      <c r="H24" s="98">
        <f t="shared" si="0"/>
        <v>118.3</v>
      </c>
      <c r="I24" s="99">
        <f t="shared" si="7"/>
        <v>0</v>
      </c>
      <c r="J24" s="99">
        <f t="shared" si="1"/>
        <v>0</v>
      </c>
      <c r="K24" s="98">
        <f t="shared" si="8"/>
        <v>0</v>
      </c>
      <c r="L24" s="98">
        <f t="shared" si="9"/>
        <v>0</v>
      </c>
      <c r="M24" s="181">
        <f t="shared" si="11"/>
        <v>46323.424555085941</v>
      </c>
      <c r="N24" s="181">
        <f t="shared" si="12"/>
        <v>46323.424555085941</v>
      </c>
      <c r="O24" s="112" t="str">
        <f>VLOOKUP(A24,SHIPMENTS!$A$7:$AP$76,42,0)</f>
        <v>n/a</v>
      </c>
      <c r="P24" s="101"/>
      <c r="Q24" s="127" t="str">
        <f t="shared" ref="Q24:AF39" si="16">IF($E24=Q$3,"▲","")</f>
        <v/>
      </c>
      <c r="R24" s="127" t="str">
        <f t="shared" si="16"/>
        <v/>
      </c>
      <c r="S24" s="127" t="str">
        <f t="shared" si="16"/>
        <v/>
      </c>
      <c r="T24" s="127" t="str">
        <f t="shared" si="16"/>
        <v/>
      </c>
      <c r="U24" s="127" t="str">
        <f t="shared" si="16"/>
        <v/>
      </c>
      <c r="V24" s="127" t="str">
        <f t="shared" si="16"/>
        <v/>
      </c>
      <c r="W24" s="127" t="str">
        <f t="shared" si="16"/>
        <v/>
      </c>
      <c r="X24" s="127" t="str">
        <f t="shared" si="16"/>
        <v/>
      </c>
      <c r="Y24" s="127" t="str">
        <f t="shared" si="16"/>
        <v>▲</v>
      </c>
      <c r="Z24" s="127" t="str">
        <f t="shared" si="16"/>
        <v/>
      </c>
      <c r="AA24" s="127" t="str">
        <f t="shared" si="16"/>
        <v/>
      </c>
      <c r="AB24" s="127" t="str">
        <f t="shared" si="16"/>
        <v/>
      </c>
      <c r="AC24" s="127" t="str">
        <f t="shared" si="16"/>
        <v/>
      </c>
      <c r="AD24" s="127" t="str">
        <f t="shared" si="16"/>
        <v/>
      </c>
      <c r="AE24" s="127" t="str">
        <f t="shared" si="16"/>
        <v/>
      </c>
      <c r="AF24" s="127" t="str">
        <f t="shared" si="16"/>
        <v/>
      </c>
      <c r="AG24" s="127" t="str">
        <f t="shared" si="15"/>
        <v/>
      </c>
      <c r="AH24" s="127" t="str">
        <f t="shared" si="15"/>
        <v/>
      </c>
      <c r="AI24" s="127" t="str">
        <f t="shared" si="15"/>
        <v/>
      </c>
      <c r="AJ24" s="127" t="str">
        <f t="shared" si="15"/>
        <v/>
      </c>
      <c r="AK24" s="127" t="str">
        <f t="shared" si="15"/>
        <v/>
      </c>
      <c r="AL24" s="127" t="str">
        <f t="shared" si="15"/>
        <v/>
      </c>
      <c r="AM24" s="127" t="str">
        <f t="shared" si="15"/>
        <v/>
      </c>
      <c r="AN24" s="127" t="str">
        <f t="shared" si="15"/>
        <v/>
      </c>
      <c r="AO24" s="127" t="str">
        <f t="shared" si="15"/>
        <v/>
      </c>
      <c r="AP24" s="127" t="str">
        <f t="shared" si="15"/>
        <v/>
      </c>
      <c r="AQ24" s="127" t="str">
        <f t="shared" si="15"/>
        <v/>
      </c>
      <c r="AR24" s="127" t="str">
        <f t="shared" si="15"/>
        <v/>
      </c>
      <c r="AS24" s="127" t="str">
        <f t="shared" si="15"/>
        <v/>
      </c>
      <c r="AT24" s="127" t="str">
        <f t="shared" si="15"/>
        <v/>
      </c>
      <c r="AU24" s="127" t="str">
        <f t="shared" si="15"/>
        <v/>
      </c>
      <c r="AV24" s="127" t="str">
        <f t="shared" si="15"/>
        <v/>
      </c>
      <c r="AW24" s="127" t="str">
        <f t="shared" si="15"/>
        <v/>
      </c>
      <c r="AX24" s="127" t="str">
        <f t="shared" si="15"/>
        <v/>
      </c>
      <c r="AY24" s="127" t="str">
        <f t="shared" si="15"/>
        <v/>
      </c>
      <c r="AZ24" s="127" t="str">
        <f t="shared" si="15"/>
        <v/>
      </c>
      <c r="BA24" s="127" t="str">
        <f t="shared" si="15"/>
        <v/>
      </c>
      <c r="BB24" s="127" t="str">
        <f t="shared" si="15"/>
        <v/>
      </c>
      <c r="BC24" s="127" t="str">
        <f t="shared" si="15"/>
        <v/>
      </c>
      <c r="BD24" s="127" t="str">
        <f t="shared" si="15"/>
        <v/>
      </c>
      <c r="BE24" s="127" t="str">
        <f t="shared" si="15"/>
        <v/>
      </c>
      <c r="BF24" s="127" t="str">
        <f t="shared" si="13"/>
        <v/>
      </c>
      <c r="BG24" s="127" t="str">
        <f t="shared" si="14"/>
        <v/>
      </c>
      <c r="BH24" s="127" t="str">
        <f t="shared" si="14"/>
        <v/>
      </c>
      <c r="BI24" s="127" t="str">
        <f t="shared" si="14"/>
        <v/>
      </c>
      <c r="BJ24" s="127" t="str">
        <f t="shared" si="14"/>
        <v/>
      </c>
      <c r="BK24" s="127" t="str">
        <f t="shared" si="14"/>
        <v/>
      </c>
      <c r="BL24" s="127" t="str">
        <f t="shared" si="13"/>
        <v/>
      </c>
      <c r="BM24" s="127" t="str">
        <f t="shared" si="14"/>
        <v/>
      </c>
      <c r="BN24" s="127" t="str">
        <f t="shared" si="14"/>
        <v/>
      </c>
      <c r="BO24" s="127" t="str">
        <f t="shared" si="14"/>
        <v/>
      </c>
      <c r="BP24" s="127" t="str">
        <f t="shared" si="14"/>
        <v/>
      </c>
      <c r="BQ24" s="127" t="str">
        <f t="shared" si="14"/>
        <v/>
      </c>
      <c r="BR24" s="127" t="str">
        <f t="shared" si="13"/>
        <v/>
      </c>
      <c r="BS24" s="127" t="str">
        <f t="shared" si="13"/>
        <v/>
      </c>
      <c r="BT24" s="127" t="str">
        <f t="shared" si="13"/>
        <v/>
      </c>
      <c r="BU24" s="127" t="str">
        <f t="shared" si="13"/>
        <v/>
      </c>
      <c r="BV24" s="127" t="str">
        <f t="shared" si="13"/>
        <v/>
      </c>
      <c r="BW24" s="127" t="str">
        <f t="shared" si="13"/>
        <v/>
      </c>
      <c r="BX24" s="127" t="str">
        <f t="shared" si="13"/>
        <v/>
      </c>
      <c r="BY24" s="127" t="str">
        <f t="shared" si="13"/>
        <v/>
      </c>
      <c r="BZ24" s="127" t="str">
        <f t="shared" si="13"/>
        <v/>
      </c>
      <c r="CA24" s="127" t="str">
        <f t="shared" si="13"/>
        <v/>
      </c>
      <c r="CB24" s="127" t="str">
        <f t="shared" si="13"/>
        <v/>
      </c>
      <c r="CC24" s="127" t="str">
        <f t="shared" si="13"/>
        <v/>
      </c>
      <c r="CD24" s="127" t="str">
        <f t="shared" si="13"/>
        <v/>
      </c>
    </row>
    <row r="25" spans="1:82" ht="12.6" hidden="1" customHeight="1" x14ac:dyDescent="0.2">
      <c r="A25" s="106">
        <f>SHIPMENTS!A31</f>
        <v>9105</v>
      </c>
      <c r="B25" s="106" t="str">
        <f>SHIPMENTS!B31</f>
        <v>15900- Cebu City |Nelsar Alvar</v>
      </c>
      <c r="C25" s="132">
        <f>SHIPMENTS!F31</f>
        <v>1.35E-2</v>
      </c>
      <c r="D25" s="107" t="str">
        <f>IF((SHIPMENTS!I31)=0,"",SHIPMENTS!I31)</f>
        <v/>
      </c>
      <c r="E25" s="176">
        <f>IF((SHIPMENTS!G31)=0,"",SHIPMENTS!G31)</f>
        <v>46323</v>
      </c>
      <c r="F25" s="98">
        <f>VLOOKUP(A25,load!$A$4:$W$5001,22,0)</f>
        <v>0</v>
      </c>
      <c r="G25" s="109">
        <v>13</v>
      </c>
      <c r="H25" s="98">
        <f t="shared" si="0"/>
        <v>118.3</v>
      </c>
      <c r="I25" s="99">
        <f t="shared" si="7"/>
        <v>0</v>
      </c>
      <c r="J25" s="99">
        <f t="shared" si="1"/>
        <v>0</v>
      </c>
      <c r="K25" s="98">
        <f t="shared" si="8"/>
        <v>0</v>
      </c>
      <c r="L25" s="98">
        <f t="shared" si="9"/>
        <v>0</v>
      </c>
      <c r="M25" s="181">
        <f t="shared" si="11"/>
        <v>46323.424555085941</v>
      </c>
      <c r="N25" s="181">
        <f t="shared" si="12"/>
        <v>46323.424555085941</v>
      </c>
      <c r="O25" s="112" t="str">
        <f>VLOOKUP(A25,SHIPMENTS!$A$7:$AP$76,42,0)</f>
        <v>n/a</v>
      </c>
      <c r="P25" s="101"/>
      <c r="Q25" s="127" t="str">
        <f t="shared" si="16"/>
        <v/>
      </c>
      <c r="R25" s="127" t="str">
        <f t="shared" si="16"/>
        <v/>
      </c>
      <c r="S25" s="127" t="str">
        <f t="shared" si="16"/>
        <v/>
      </c>
      <c r="T25" s="127" t="str">
        <f t="shared" si="16"/>
        <v/>
      </c>
      <c r="U25" s="127" t="str">
        <f t="shared" si="16"/>
        <v/>
      </c>
      <c r="V25" s="127" t="str">
        <f t="shared" si="16"/>
        <v/>
      </c>
      <c r="W25" s="127" t="str">
        <f t="shared" si="16"/>
        <v/>
      </c>
      <c r="X25" s="127" t="str">
        <f t="shared" si="16"/>
        <v/>
      </c>
      <c r="Y25" s="127" t="str">
        <f t="shared" si="16"/>
        <v>▲</v>
      </c>
      <c r="Z25" s="127" t="str">
        <f t="shared" si="16"/>
        <v/>
      </c>
      <c r="AA25" s="127" t="str">
        <f t="shared" si="16"/>
        <v/>
      </c>
      <c r="AB25" s="127" t="str">
        <f t="shared" si="16"/>
        <v/>
      </c>
      <c r="AC25" s="127" t="str">
        <f t="shared" si="16"/>
        <v/>
      </c>
      <c r="AD25" s="127" t="str">
        <f t="shared" si="16"/>
        <v/>
      </c>
      <c r="AE25" s="127" t="str">
        <f t="shared" si="16"/>
        <v/>
      </c>
      <c r="AF25" s="127" t="str">
        <f t="shared" si="16"/>
        <v/>
      </c>
      <c r="AG25" s="127" t="str">
        <f t="shared" si="15"/>
        <v/>
      </c>
      <c r="AH25" s="127" t="str">
        <f t="shared" si="15"/>
        <v/>
      </c>
      <c r="AI25" s="127" t="str">
        <f t="shared" si="15"/>
        <v/>
      </c>
      <c r="AJ25" s="127" t="str">
        <f t="shared" si="15"/>
        <v/>
      </c>
      <c r="AK25" s="127" t="str">
        <f t="shared" si="15"/>
        <v/>
      </c>
      <c r="AL25" s="127" t="str">
        <f t="shared" si="15"/>
        <v/>
      </c>
      <c r="AM25" s="127" t="str">
        <f t="shared" si="15"/>
        <v/>
      </c>
      <c r="AN25" s="127" t="str">
        <f t="shared" si="15"/>
        <v/>
      </c>
      <c r="AO25" s="127" t="str">
        <f t="shared" si="15"/>
        <v/>
      </c>
      <c r="AP25" s="127" t="str">
        <f t="shared" si="15"/>
        <v/>
      </c>
      <c r="AQ25" s="127" t="str">
        <f t="shared" si="15"/>
        <v/>
      </c>
      <c r="AR25" s="127" t="str">
        <f t="shared" si="15"/>
        <v/>
      </c>
      <c r="AS25" s="127" t="str">
        <f t="shared" si="15"/>
        <v/>
      </c>
      <c r="AT25" s="127" t="str">
        <f t="shared" si="15"/>
        <v/>
      </c>
      <c r="AU25" s="127" t="str">
        <f t="shared" si="15"/>
        <v/>
      </c>
      <c r="AV25" s="127" t="str">
        <f t="shared" si="15"/>
        <v/>
      </c>
      <c r="AW25" s="127" t="str">
        <f t="shared" si="15"/>
        <v/>
      </c>
      <c r="AX25" s="127" t="str">
        <f t="shared" si="15"/>
        <v/>
      </c>
      <c r="AY25" s="127" t="str">
        <f t="shared" si="15"/>
        <v/>
      </c>
      <c r="AZ25" s="127" t="str">
        <f t="shared" si="15"/>
        <v/>
      </c>
      <c r="BA25" s="127" t="str">
        <f t="shared" si="15"/>
        <v/>
      </c>
      <c r="BB25" s="127" t="str">
        <f t="shared" si="15"/>
        <v/>
      </c>
      <c r="BC25" s="127" t="str">
        <f t="shared" si="15"/>
        <v/>
      </c>
      <c r="BD25" s="127" t="str">
        <f t="shared" si="15"/>
        <v/>
      </c>
      <c r="BE25" s="127" t="str">
        <f t="shared" si="15"/>
        <v/>
      </c>
      <c r="BF25" s="127" t="str">
        <f t="shared" si="13"/>
        <v/>
      </c>
      <c r="BG25" s="127" t="str">
        <f t="shared" si="14"/>
        <v/>
      </c>
      <c r="BH25" s="127" t="str">
        <f t="shared" si="14"/>
        <v/>
      </c>
      <c r="BI25" s="127" t="str">
        <f t="shared" si="14"/>
        <v/>
      </c>
      <c r="BJ25" s="127" t="str">
        <f t="shared" si="14"/>
        <v/>
      </c>
      <c r="BK25" s="127" t="str">
        <f t="shared" si="14"/>
        <v/>
      </c>
      <c r="BL25" s="127" t="str">
        <f t="shared" si="13"/>
        <v/>
      </c>
      <c r="BM25" s="127" t="str">
        <f t="shared" si="14"/>
        <v/>
      </c>
      <c r="BN25" s="127" t="str">
        <f t="shared" si="14"/>
        <v/>
      </c>
      <c r="BO25" s="127" t="str">
        <f t="shared" si="14"/>
        <v/>
      </c>
      <c r="BP25" s="127" t="str">
        <f t="shared" si="14"/>
        <v/>
      </c>
      <c r="BQ25" s="127" t="str">
        <f t="shared" si="14"/>
        <v/>
      </c>
      <c r="BR25" s="127" t="str">
        <f t="shared" si="13"/>
        <v/>
      </c>
      <c r="BS25" s="127" t="str">
        <f t="shared" si="13"/>
        <v/>
      </c>
      <c r="BT25" s="127" t="str">
        <f t="shared" si="13"/>
        <v/>
      </c>
      <c r="BU25" s="127" t="str">
        <f t="shared" si="13"/>
        <v/>
      </c>
      <c r="BV25" s="127" t="str">
        <f t="shared" si="13"/>
        <v/>
      </c>
      <c r="BW25" s="127" t="str">
        <f t="shared" si="13"/>
        <v/>
      </c>
      <c r="BX25" s="127" t="str">
        <f t="shared" si="13"/>
        <v/>
      </c>
      <c r="BY25" s="127" t="str">
        <f t="shared" si="13"/>
        <v/>
      </c>
      <c r="BZ25" s="127" t="str">
        <f t="shared" si="13"/>
        <v/>
      </c>
      <c r="CA25" s="127" t="str">
        <f t="shared" si="13"/>
        <v/>
      </c>
      <c r="CB25" s="127" t="str">
        <f t="shared" si="13"/>
        <v/>
      </c>
      <c r="CC25" s="127" t="str">
        <f t="shared" si="13"/>
        <v/>
      </c>
      <c r="CD25" s="127" t="str">
        <f t="shared" si="13"/>
        <v/>
      </c>
    </row>
    <row r="26" spans="1:82" ht="12.6" hidden="1" customHeight="1" x14ac:dyDescent="0.2">
      <c r="A26" s="106">
        <f>SHIPMENTS!A32</f>
        <v>9292</v>
      </c>
      <c r="B26" s="106" t="str">
        <f>SHIPMENTS!B32</f>
        <v>15900- Mandaue Warehouse</v>
      </c>
      <c r="C26" s="132">
        <f>SHIPMENTS!F32</f>
        <v>0.51459999999999995</v>
      </c>
      <c r="D26" s="107" t="str">
        <f>IF((SHIPMENTS!I32)=0,"",SHIPMENTS!I32)</f>
        <v/>
      </c>
      <c r="E26" s="176">
        <f>IF((SHIPMENTS!G32)=0,"",SHIPMENTS!G32)</f>
        <v>46323</v>
      </c>
      <c r="F26" s="98">
        <f>VLOOKUP(A26,load!$A$4:$W$5001,22,0)</f>
        <v>0</v>
      </c>
      <c r="G26" s="109">
        <v>13</v>
      </c>
      <c r="H26" s="98">
        <f t="shared" si="0"/>
        <v>118.3</v>
      </c>
      <c r="I26" s="99">
        <f t="shared" si="7"/>
        <v>0</v>
      </c>
      <c r="J26" s="99">
        <f t="shared" si="1"/>
        <v>0</v>
      </c>
      <c r="K26" s="98">
        <f t="shared" si="8"/>
        <v>0</v>
      </c>
      <c r="L26" s="98">
        <f t="shared" si="9"/>
        <v>0</v>
      </c>
      <c r="M26" s="181">
        <f t="shared" si="11"/>
        <v>46323.424555085941</v>
      </c>
      <c r="N26" s="181">
        <f t="shared" si="12"/>
        <v>46323.424555085941</v>
      </c>
      <c r="O26" s="112" t="str">
        <f>VLOOKUP(A26,SHIPMENTS!$A$7:$AP$76,42,0)</f>
        <v>n/a</v>
      </c>
      <c r="P26" s="101"/>
      <c r="Q26" s="127" t="str">
        <f t="shared" si="16"/>
        <v/>
      </c>
      <c r="R26" s="127" t="str">
        <f t="shared" si="16"/>
        <v/>
      </c>
      <c r="S26" s="127" t="str">
        <f t="shared" si="16"/>
        <v/>
      </c>
      <c r="T26" s="127" t="str">
        <f t="shared" si="16"/>
        <v/>
      </c>
      <c r="U26" s="127" t="str">
        <f t="shared" si="16"/>
        <v/>
      </c>
      <c r="V26" s="127" t="str">
        <f t="shared" si="16"/>
        <v/>
      </c>
      <c r="W26" s="127" t="str">
        <f t="shared" si="16"/>
        <v/>
      </c>
      <c r="X26" s="127" t="str">
        <f t="shared" si="16"/>
        <v/>
      </c>
      <c r="Y26" s="127" t="str">
        <f t="shared" si="16"/>
        <v>▲</v>
      </c>
      <c r="Z26" s="127" t="str">
        <f t="shared" si="16"/>
        <v/>
      </c>
      <c r="AA26" s="127" t="str">
        <f t="shared" si="16"/>
        <v/>
      </c>
      <c r="AB26" s="127" t="str">
        <f t="shared" si="16"/>
        <v/>
      </c>
      <c r="AC26" s="127" t="str">
        <f t="shared" si="16"/>
        <v/>
      </c>
      <c r="AD26" s="127" t="str">
        <f t="shared" si="16"/>
        <v/>
      </c>
      <c r="AE26" s="127" t="str">
        <f t="shared" si="16"/>
        <v/>
      </c>
      <c r="AF26" s="127" t="str">
        <f t="shared" si="16"/>
        <v/>
      </c>
      <c r="AG26" s="127" t="str">
        <f t="shared" si="15"/>
        <v/>
      </c>
      <c r="AH26" s="127" t="str">
        <f t="shared" si="15"/>
        <v/>
      </c>
      <c r="AI26" s="127" t="str">
        <f t="shared" si="15"/>
        <v/>
      </c>
      <c r="AJ26" s="127" t="str">
        <f t="shared" si="15"/>
        <v/>
      </c>
      <c r="AK26" s="127" t="str">
        <f t="shared" si="15"/>
        <v/>
      </c>
      <c r="AL26" s="127" t="str">
        <f t="shared" si="15"/>
        <v/>
      </c>
      <c r="AM26" s="127" t="str">
        <f t="shared" si="15"/>
        <v/>
      </c>
      <c r="AN26" s="127" t="str">
        <f t="shared" si="15"/>
        <v/>
      </c>
      <c r="AO26" s="127" t="str">
        <f t="shared" si="15"/>
        <v/>
      </c>
      <c r="AP26" s="127" t="str">
        <f t="shared" si="15"/>
        <v/>
      </c>
      <c r="AQ26" s="127" t="str">
        <f t="shared" si="15"/>
        <v/>
      </c>
      <c r="AR26" s="127" t="str">
        <f t="shared" si="15"/>
        <v/>
      </c>
      <c r="AS26" s="127" t="str">
        <f t="shared" si="15"/>
        <v/>
      </c>
      <c r="AT26" s="127" t="str">
        <f t="shared" si="15"/>
        <v/>
      </c>
      <c r="AU26" s="127" t="str">
        <f t="shared" si="15"/>
        <v/>
      </c>
      <c r="AV26" s="127" t="str">
        <f t="shared" si="15"/>
        <v/>
      </c>
      <c r="AW26" s="127" t="str">
        <f t="shared" si="15"/>
        <v/>
      </c>
      <c r="AX26" s="127" t="str">
        <f t="shared" si="15"/>
        <v/>
      </c>
      <c r="AY26" s="127" t="str">
        <f t="shared" si="15"/>
        <v/>
      </c>
      <c r="AZ26" s="127" t="str">
        <f t="shared" si="15"/>
        <v/>
      </c>
      <c r="BA26" s="127" t="str">
        <f t="shared" si="15"/>
        <v/>
      </c>
      <c r="BB26" s="127" t="str">
        <f t="shared" si="15"/>
        <v/>
      </c>
      <c r="BC26" s="127" t="str">
        <f t="shared" si="15"/>
        <v/>
      </c>
      <c r="BD26" s="127" t="str">
        <f t="shared" si="15"/>
        <v/>
      </c>
      <c r="BE26" s="127" t="str">
        <f t="shared" si="15"/>
        <v/>
      </c>
      <c r="BF26" s="127" t="str">
        <f t="shared" si="13"/>
        <v/>
      </c>
      <c r="BG26" s="127" t="str">
        <f t="shared" si="14"/>
        <v/>
      </c>
      <c r="BH26" s="127" t="str">
        <f t="shared" si="14"/>
        <v/>
      </c>
      <c r="BI26" s="127" t="str">
        <f t="shared" si="14"/>
        <v/>
      </c>
      <c r="BJ26" s="127" t="str">
        <f t="shared" si="14"/>
        <v/>
      </c>
      <c r="BK26" s="127" t="str">
        <f t="shared" si="14"/>
        <v/>
      </c>
      <c r="BL26" s="127" t="str">
        <f t="shared" si="13"/>
        <v/>
      </c>
      <c r="BM26" s="127" t="str">
        <f t="shared" si="14"/>
        <v/>
      </c>
      <c r="BN26" s="127" t="str">
        <f t="shared" si="14"/>
        <v/>
      </c>
      <c r="BO26" s="127" t="str">
        <f t="shared" si="14"/>
        <v/>
      </c>
      <c r="BP26" s="127" t="str">
        <f t="shared" si="14"/>
        <v/>
      </c>
      <c r="BQ26" s="127" t="str">
        <f t="shared" si="14"/>
        <v/>
      </c>
      <c r="BR26" s="127" t="str">
        <f t="shared" si="13"/>
        <v/>
      </c>
      <c r="BS26" s="127" t="str">
        <f t="shared" si="13"/>
        <v/>
      </c>
      <c r="BT26" s="127" t="str">
        <f t="shared" si="13"/>
        <v/>
      </c>
      <c r="BU26" s="127" t="str">
        <f t="shared" si="13"/>
        <v/>
      </c>
      <c r="BV26" s="127" t="str">
        <f t="shared" si="13"/>
        <v/>
      </c>
      <c r="BW26" s="127" t="str">
        <f t="shared" si="13"/>
        <v/>
      </c>
      <c r="BX26" s="127" t="str">
        <f t="shared" si="13"/>
        <v/>
      </c>
      <c r="BY26" s="127" t="str">
        <f t="shared" si="13"/>
        <v/>
      </c>
      <c r="BZ26" s="127" t="str">
        <f t="shared" si="13"/>
        <v/>
      </c>
      <c r="CA26" s="127" t="str">
        <f t="shared" si="13"/>
        <v/>
      </c>
      <c r="CB26" s="127" t="str">
        <f t="shared" si="13"/>
        <v/>
      </c>
      <c r="CC26" s="127" t="str">
        <f t="shared" si="13"/>
        <v/>
      </c>
      <c r="CD26" s="127" t="str">
        <f t="shared" si="13"/>
        <v/>
      </c>
    </row>
    <row r="27" spans="1:82" ht="12.6" customHeight="1" x14ac:dyDescent="0.2">
      <c r="A27" s="106">
        <f>SHIPMENTS!A33</f>
        <v>9116</v>
      </c>
      <c r="B27" s="106" t="str">
        <f>SHIPMENTS!B33</f>
        <v>15900- Dagupan City |Kerwin Fernandez</v>
      </c>
      <c r="C27" s="132">
        <f>SHIPMENTS!F33</f>
        <v>0.17</v>
      </c>
      <c r="D27" s="107" t="str">
        <f>IF((SHIPMENTS!I33)=0,"",SHIPMENTS!I33)</f>
        <v>1X20</v>
      </c>
      <c r="E27" s="176">
        <f>IF((SHIPMENTS!G33)=0,"",SHIPMENTS!G33)</f>
        <v>46323</v>
      </c>
      <c r="F27" s="98">
        <f>VLOOKUP(A27,load!$A$4:$W$5001,22,0)</f>
        <v>62.340916666666665</v>
      </c>
      <c r="G27" s="109">
        <v>13</v>
      </c>
      <c r="H27" s="98">
        <f t="shared" si="0"/>
        <v>118.3</v>
      </c>
      <c r="I27" s="99">
        <f t="shared" si="7"/>
        <v>0.52697309101155254</v>
      </c>
      <c r="J27" s="99">
        <f t="shared" si="1"/>
        <v>4.7954551282051279</v>
      </c>
      <c r="K27" s="98">
        <f t="shared" si="8"/>
        <v>0.52697309101155254</v>
      </c>
      <c r="L27" s="98">
        <f t="shared" si="9"/>
        <v>4.7954551282051279</v>
      </c>
      <c r="M27" s="181">
        <f t="shared" si="11"/>
        <v>46323.424555085941</v>
      </c>
      <c r="N27" s="181">
        <f t="shared" si="12"/>
        <v>46323.951528176956</v>
      </c>
      <c r="O27" s="112">
        <f>VLOOKUP(A27,SHIPMENTS!$A$7:$AP$76,42,0)</f>
        <v>0</v>
      </c>
      <c r="P27" s="101"/>
      <c r="Q27" s="127" t="str">
        <f t="shared" si="16"/>
        <v/>
      </c>
      <c r="R27" s="127" t="str">
        <f t="shared" si="16"/>
        <v/>
      </c>
      <c r="S27" s="127" t="str">
        <f t="shared" si="16"/>
        <v/>
      </c>
      <c r="T27" s="127" t="str">
        <f t="shared" si="16"/>
        <v/>
      </c>
      <c r="U27" s="127" t="str">
        <f t="shared" si="16"/>
        <v/>
      </c>
      <c r="V27" s="127" t="str">
        <f t="shared" si="16"/>
        <v/>
      </c>
      <c r="W27" s="127" t="str">
        <f t="shared" si="16"/>
        <v/>
      </c>
      <c r="X27" s="127" t="str">
        <f t="shared" si="16"/>
        <v/>
      </c>
      <c r="Y27" s="127" t="str">
        <f t="shared" si="16"/>
        <v>▲</v>
      </c>
      <c r="Z27" s="127" t="str">
        <f t="shared" si="16"/>
        <v/>
      </c>
      <c r="AA27" s="127" t="str">
        <f t="shared" si="16"/>
        <v/>
      </c>
      <c r="AB27" s="127" t="str">
        <f t="shared" si="16"/>
        <v/>
      </c>
      <c r="AC27" s="127" t="str">
        <f t="shared" si="16"/>
        <v/>
      </c>
      <c r="AD27" s="127" t="str">
        <f t="shared" si="16"/>
        <v/>
      </c>
      <c r="AE27" s="127" t="str">
        <f t="shared" si="16"/>
        <v/>
      </c>
      <c r="AF27" s="127" t="str">
        <f t="shared" si="16"/>
        <v/>
      </c>
      <c r="AG27" s="127" t="str">
        <f t="shared" si="15"/>
        <v/>
      </c>
      <c r="AH27" s="127" t="str">
        <f t="shared" si="15"/>
        <v/>
      </c>
      <c r="AI27" s="127" t="str">
        <f t="shared" si="15"/>
        <v/>
      </c>
      <c r="AJ27" s="127" t="str">
        <f t="shared" si="15"/>
        <v/>
      </c>
      <c r="AK27" s="127" t="str">
        <f t="shared" si="15"/>
        <v/>
      </c>
      <c r="AL27" s="127" t="str">
        <f t="shared" si="15"/>
        <v/>
      </c>
      <c r="AM27" s="127" t="str">
        <f t="shared" si="15"/>
        <v/>
      </c>
      <c r="AN27" s="127" t="str">
        <f t="shared" si="15"/>
        <v/>
      </c>
      <c r="AO27" s="127" t="str">
        <f t="shared" si="15"/>
        <v/>
      </c>
      <c r="AP27" s="127" t="str">
        <f t="shared" si="15"/>
        <v/>
      </c>
      <c r="AQ27" s="127" t="str">
        <f t="shared" si="15"/>
        <v/>
      </c>
      <c r="AR27" s="127" t="str">
        <f t="shared" si="15"/>
        <v/>
      </c>
      <c r="AS27" s="127" t="str">
        <f t="shared" si="15"/>
        <v/>
      </c>
      <c r="AT27" s="127" t="str">
        <f t="shared" si="15"/>
        <v/>
      </c>
      <c r="AU27" s="127" t="str">
        <f t="shared" si="15"/>
        <v/>
      </c>
      <c r="AV27" s="127" t="str">
        <f t="shared" si="15"/>
        <v/>
      </c>
      <c r="AW27" s="127" t="str">
        <f t="shared" si="15"/>
        <v/>
      </c>
      <c r="AX27" s="127" t="str">
        <f t="shared" si="15"/>
        <v/>
      </c>
      <c r="AY27" s="127" t="str">
        <f t="shared" si="15"/>
        <v/>
      </c>
      <c r="AZ27" s="127" t="str">
        <f t="shared" si="15"/>
        <v/>
      </c>
      <c r="BA27" s="127" t="str">
        <f t="shared" si="15"/>
        <v/>
      </c>
      <c r="BB27" s="127" t="str">
        <f t="shared" si="15"/>
        <v/>
      </c>
      <c r="BC27" s="127" t="str">
        <f t="shared" si="15"/>
        <v/>
      </c>
      <c r="BD27" s="127" t="str">
        <f t="shared" si="15"/>
        <v/>
      </c>
      <c r="BE27" s="127" t="str">
        <f t="shared" si="15"/>
        <v/>
      </c>
      <c r="BF27" s="127" t="str">
        <f t="shared" si="13"/>
        <v/>
      </c>
      <c r="BG27" s="127" t="str">
        <f t="shared" si="14"/>
        <v/>
      </c>
      <c r="BH27" s="127" t="str">
        <f t="shared" si="14"/>
        <v/>
      </c>
      <c r="BI27" s="127" t="str">
        <f t="shared" si="14"/>
        <v/>
      </c>
      <c r="BJ27" s="127" t="str">
        <f t="shared" si="14"/>
        <v/>
      </c>
      <c r="BK27" s="127" t="str">
        <f t="shared" si="14"/>
        <v/>
      </c>
      <c r="BL27" s="127" t="str">
        <f t="shared" si="13"/>
        <v/>
      </c>
      <c r="BM27" s="127" t="str">
        <f t="shared" si="14"/>
        <v/>
      </c>
      <c r="BN27" s="127" t="str">
        <f t="shared" si="14"/>
        <v/>
      </c>
      <c r="BO27" s="127" t="str">
        <f t="shared" si="14"/>
        <v/>
      </c>
      <c r="BP27" s="127" t="str">
        <f t="shared" si="14"/>
        <v/>
      </c>
      <c r="BQ27" s="127" t="str">
        <f t="shared" si="14"/>
        <v/>
      </c>
      <c r="BR27" s="127" t="str">
        <f t="shared" si="13"/>
        <v/>
      </c>
      <c r="BS27" s="127" t="str">
        <f t="shared" si="13"/>
        <v/>
      </c>
      <c r="BT27" s="127" t="str">
        <f t="shared" si="13"/>
        <v/>
      </c>
      <c r="BU27" s="127" t="str">
        <f t="shared" si="13"/>
        <v/>
      </c>
      <c r="BV27" s="127" t="str">
        <f t="shared" si="13"/>
        <v/>
      </c>
      <c r="BW27" s="127" t="str">
        <f t="shared" si="13"/>
        <v/>
      </c>
      <c r="BX27" s="127" t="str">
        <f t="shared" si="13"/>
        <v/>
      </c>
      <c r="BY27" s="127" t="str">
        <f t="shared" si="13"/>
        <v/>
      </c>
      <c r="BZ27" s="127" t="str">
        <f t="shared" si="13"/>
        <v/>
      </c>
      <c r="CA27" s="127" t="str">
        <f t="shared" si="13"/>
        <v/>
      </c>
      <c r="CB27" s="127" t="str">
        <f t="shared" si="13"/>
        <v/>
      </c>
      <c r="CC27" s="127" t="str">
        <f t="shared" si="13"/>
        <v/>
      </c>
      <c r="CD27" s="127" t="str">
        <f t="shared" si="13"/>
        <v/>
      </c>
    </row>
    <row r="28" spans="1:82" ht="12.6" customHeight="1" x14ac:dyDescent="0.2">
      <c r="A28" s="106">
        <f>SHIPMENTS!A34</f>
        <v>9247</v>
      </c>
      <c r="B28" s="106" t="str">
        <f>SHIPMENTS!B34</f>
        <v>15900- Batangas City |Angela Joy Medes Mandigma</v>
      </c>
      <c r="C28" s="132">
        <f>SHIPMENTS!F34</f>
        <v>0.188</v>
      </c>
      <c r="D28" s="107" t="str">
        <f>IF((SHIPMENTS!I34)=0,"",SHIPMENTS!I34)</f>
        <v/>
      </c>
      <c r="E28" s="176">
        <f>IF((SHIPMENTS!G34)=0,"",SHIPMENTS!G34)</f>
        <v>46323</v>
      </c>
      <c r="F28" s="98">
        <f>VLOOKUP(A28,load!$A$4:$W$5001,22,0)</f>
        <v>54.727833333333336</v>
      </c>
      <c r="G28" s="109">
        <v>13</v>
      </c>
      <c r="H28" s="98">
        <f t="shared" si="0"/>
        <v>118.3</v>
      </c>
      <c r="I28" s="99">
        <f t="shared" si="7"/>
        <v>0.46261904761904765</v>
      </c>
      <c r="J28" s="99">
        <f t="shared" si="1"/>
        <v>4.2098333333333331</v>
      </c>
      <c r="K28" s="98">
        <f t="shared" si="8"/>
        <v>0.46261904761904765</v>
      </c>
      <c r="L28" s="98">
        <f t="shared" si="9"/>
        <v>4.2098333333333331</v>
      </c>
      <c r="M28" s="181">
        <f t="shared" si="11"/>
        <v>46323.951528176956</v>
      </c>
      <c r="N28" s="181">
        <f t="shared" si="12"/>
        <v>46324.414147224576</v>
      </c>
      <c r="O28" s="112">
        <f>VLOOKUP(A28,SHIPMENTS!$A$7:$AP$76,42,0)</f>
        <v>0</v>
      </c>
      <c r="P28" s="101"/>
      <c r="Q28" s="127" t="str">
        <f t="shared" si="16"/>
        <v/>
      </c>
      <c r="R28" s="127" t="str">
        <f t="shared" si="16"/>
        <v/>
      </c>
      <c r="S28" s="127" t="str">
        <f t="shared" si="16"/>
        <v/>
      </c>
      <c r="T28" s="127" t="str">
        <f t="shared" si="16"/>
        <v/>
      </c>
      <c r="U28" s="127" t="str">
        <f t="shared" si="16"/>
        <v/>
      </c>
      <c r="V28" s="127" t="str">
        <f t="shared" si="16"/>
        <v/>
      </c>
      <c r="W28" s="127" t="str">
        <f t="shared" si="16"/>
        <v/>
      </c>
      <c r="X28" s="127" t="str">
        <f t="shared" si="16"/>
        <v/>
      </c>
      <c r="Y28" s="127" t="str">
        <f t="shared" si="16"/>
        <v>▲</v>
      </c>
      <c r="Z28" s="127" t="str">
        <f t="shared" si="16"/>
        <v/>
      </c>
      <c r="AA28" s="127" t="str">
        <f t="shared" si="16"/>
        <v/>
      </c>
      <c r="AB28" s="127" t="str">
        <f t="shared" si="16"/>
        <v/>
      </c>
      <c r="AC28" s="127" t="str">
        <f t="shared" si="16"/>
        <v/>
      </c>
      <c r="AD28" s="127" t="str">
        <f t="shared" si="16"/>
        <v/>
      </c>
      <c r="AE28" s="127" t="str">
        <f t="shared" si="16"/>
        <v/>
      </c>
      <c r="AF28" s="127" t="str">
        <f t="shared" si="16"/>
        <v/>
      </c>
      <c r="AG28" s="127" t="str">
        <f t="shared" si="15"/>
        <v/>
      </c>
      <c r="AH28" s="127" t="str">
        <f t="shared" si="15"/>
        <v/>
      </c>
      <c r="AI28" s="127" t="str">
        <f t="shared" si="15"/>
        <v/>
      </c>
      <c r="AJ28" s="127" t="str">
        <f t="shared" si="15"/>
        <v/>
      </c>
      <c r="AK28" s="127" t="str">
        <f t="shared" si="15"/>
        <v/>
      </c>
      <c r="AL28" s="127" t="str">
        <f t="shared" si="15"/>
        <v/>
      </c>
      <c r="AM28" s="127" t="str">
        <f t="shared" si="15"/>
        <v/>
      </c>
      <c r="AN28" s="127" t="str">
        <f t="shared" si="15"/>
        <v/>
      </c>
      <c r="AO28" s="127" t="str">
        <f t="shared" si="15"/>
        <v/>
      </c>
      <c r="AP28" s="127" t="str">
        <f t="shared" si="15"/>
        <v/>
      </c>
      <c r="AQ28" s="127" t="str">
        <f t="shared" si="15"/>
        <v/>
      </c>
      <c r="AR28" s="127" t="str">
        <f t="shared" si="15"/>
        <v/>
      </c>
      <c r="AS28" s="127" t="str">
        <f t="shared" si="15"/>
        <v/>
      </c>
      <c r="AT28" s="127" t="str">
        <f t="shared" si="15"/>
        <v/>
      </c>
      <c r="AU28" s="127" t="str">
        <f t="shared" si="15"/>
        <v/>
      </c>
      <c r="AV28" s="127" t="str">
        <f t="shared" si="15"/>
        <v/>
      </c>
      <c r="AW28" s="127" t="str">
        <f t="shared" si="15"/>
        <v/>
      </c>
      <c r="AX28" s="127" t="str">
        <f t="shared" si="15"/>
        <v/>
      </c>
      <c r="AY28" s="127" t="str">
        <f t="shared" si="15"/>
        <v/>
      </c>
      <c r="AZ28" s="127" t="str">
        <f t="shared" si="15"/>
        <v/>
      </c>
      <c r="BA28" s="127" t="str">
        <f t="shared" si="15"/>
        <v/>
      </c>
      <c r="BB28" s="127" t="str">
        <f t="shared" si="15"/>
        <v/>
      </c>
      <c r="BC28" s="127" t="str">
        <f t="shared" si="15"/>
        <v/>
      </c>
      <c r="BD28" s="127" t="str">
        <f t="shared" si="15"/>
        <v/>
      </c>
      <c r="BE28" s="127" t="str">
        <f t="shared" si="15"/>
        <v/>
      </c>
      <c r="BF28" s="127" t="str">
        <f t="shared" si="13"/>
        <v/>
      </c>
      <c r="BG28" s="127" t="str">
        <f t="shared" si="14"/>
        <v/>
      </c>
      <c r="BH28" s="127" t="str">
        <f t="shared" si="14"/>
        <v/>
      </c>
      <c r="BI28" s="127" t="str">
        <f t="shared" si="14"/>
        <v/>
      </c>
      <c r="BJ28" s="127" t="str">
        <f t="shared" si="14"/>
        <v/>
      </c>
      <c r="BK28" s="127" t="str">
        <f t="shared" si="14"/>
        <v/>
      </c>
      <c r="BL28" s="127" t="str">
        <f t="shared" si="13"/>
        <v/>
      </c>
      <c r="BM28" s="127" t="str">
        <f t="shared" si="14"/>
        <v/>
      </c>
      <c r="BN28" s="127" t="str">
        <f t="shared" si="14"/>
        <v/>
      </c>
      <c r="BO28" s="127" t="str">
        <f t="shared" si="14"/>
        <v/>
      </c>
      <c r="BP28" s="127" t="str">
        <f t="shared" si="14"/>
        <v/>
      </c>
      <c r="BQ28" s="127" t="str">
        <f t="shared" si="14"/>
        <v/>
      </c>
      <c r="BR28" s="127" t="str">
        <f t="shared" si="13"/>
        <v/>
      </c>
      <c r="BS28" s="127" t="str">
        <f t="shared" si="13"/>
        <v/>
      </c>
      <c r="BT28" s="127" t="str">
        <f t="shared" si="13"/>
        <v/>
      </c>
      <c r="BU28" s="127" t="str">
        <f t="shared" si="13"/>
        <v/>
      </c>
      <c r="BV28" s="127" t="str">
        <f t="shared" si="13"/>
        <v/>
      </c>
      <c r="BW28" s="127" t="str">
        <f t="shared" si="13"/>
        <v/>
      </c>
      <c r="BX28" s="127" t="str">
        <f t="shared" si="13"/>
        <v/>
      </c>
      <c r="BY28" s="127" t="str">
        <f t="shared" si="13"/>
        <v/>
      </c>
      <c r="BZ28" s="127" t="str">
        <f t="shared" si="13"/>
        <v/>
      </c>
      <c r="CA28" s="127" t="str">
        <f t="shared" si="13"/>
        <v/>
      </c>
      <c r="CB28" s="127" t="str">
        <f t="shared" si="13"/>
        <v/>
      </c>
      <c r="CC28" s="127" t="str">
        <f t="shared" si="13"/>
        <v/>
      </c>
      <c r="CD28" s="127" t="str">
        <f t="shared" si="13"/>
        <v/>
      </c>
    </row>
    <row r="29" spans="1:82" ht="12.6" customHeight="1" x14ac:dyDescent="0.2">
      <c r="A29" s="106">
        <f>SHIPMENTS!A35</f>
        <v>9302</v>
      </c>
      <c r="B29" s="106" t="str">
        <f>SHIPMENTS!B35</f>
        <v>15900- Binangonan Rizal |Dr. Jonathan Emmanuel Sandejas</v>
      </c>
      <c r="C29" s="132">
        <f>SHIPMENTS!F35</f>
        <v>0.14499999999999999</v>
      </c>
      <c r="D29" s="107" t="str">
        <f>IF((SHIPMENTS!I35)=0,"",SHIPMENTS!I35)</f>
        <v/>
      </c>
      <c r="E29" s="176">
        <f>IF((SHIPMENTS!G35)=0,"",SHIPMENTS!G35)</f>
        <v>46323</v>
      </c>
      <c r="F29" s="98">
        <f>VLOOKUP(A29,load!$A$4:$W$5001,22,0)</f>
        <v>54.372166666666665</v>
      </c>
      <c r="G29" s="109">
        <v>13</v>
      </c>
      <c r="H29" s="98">
        <f t="shared" si="0"/>
        <v>118.3</v>
      </c>
      <c r="I29" s="99">
        <f t="shared" si="7"/>
        <v>0.4596125669202592</v>
      </c>
      <c r="J29" s="99">
        <f t="shared" si="1"/>
        <v>4.1824743589743587</v>
      </c>
      <c r="K29" s="98">
        <f t="shared" si="8"/>
        <v>0.4596125669202592</v>
      </c>
      <c r="L29" s="98">
        <f t="shared" si="9"/>
        <v>4.1824743589743587</v>
      </c>
      <c r="M29" s="181">
        <f t="shared" si="11"/>
        <v>46324.414147224576</v>
      </c>
      <c r="N29" s="181">
        <f t="shared" si="12"/>
        <v>46324.873759791495</v>
      </c>
      <c r="O29" s="112">
        <f>VLOOKUP(A29,SHIPMENTS!$A$7:$AP$76,42,0)</f>
        <v>0</v>
      </c>
      <c r="P29" s="101"/>
      <c r="Q29" s="127" t="str">
        <f t="shared" si="16"/>
        <v/>
      </c>
      <c r="R29" s="127" t="str">
        <f t="shared" si="16"/>
        <v/>
      </c>
      <c r="S29" s="127" t="str">
        <f t="shared" si="16"/>
        <v/>
      </c>
      <c r="T29" s="127" t="str">
        <f t="shared" si="16"/>
        <v/>
      </c>
      <c r="U29" s="127" t="str">
        <f t="shared" si="16"/>
        <v/>
      </c>
      <c r="V29" s="127" t="str">
        <f t="shared" si="16"/>
        <v/>
      </c>
      <c r="W29" s="127" t="str">
        <f t="shared" si="16"/>
        <v/>
      </c>
      <c r="X29" s="127" t="str">
        <f t="shared" si="16"/>
        <v/>
      </c>
      <c r="Y29" s="127" t="str">
        <f t="shared" si="16"/>
        <v>▲</v>
      </c>
      <c r="Z29" s="127" t="str">
        <f t="shared" si="16"/>
        <v/>
      </c>
      <c r="AA29" s="127" t="str">
        <f t="shared" si="16"/>
        <v/>
      </c>
      <c r="AB29" s="127" t="str">
        <f t="shared" si="16"/>
        <v/>
      </c>
      <c r="AC29" s="127" t="str">
        <f t="shared" si="16"/>
        <v/>
      </c>
      <c r="AD29" s="127" t="str">
        <f t="shared" si="16"/>
        <v/>
      </c>
      <c r="AE29" s="127" t="str">
        <f t="shared" si="16"/>
        <v/>
      </c>
      <c r="AF29" s="127" t="str">
        <f t="shared" si="16"/>
        <v/>
      </c>
      <c r="AG29" s="127" t="str">
        <f t="shared" si="15"/>
        <v/>
      </c>
      <c r="AH29" s="127" t="str">
        <f t="shared" si="15"/>
        <v/>
      </c>
      <c r="AI29" s="127" t="str">
        <f t="shared" si="15"/>
        <v/>
      </c>
      <c r="AJ29" s="127" t="str">
        <f t="shared" si="15"/>
        <v/>
      </c>
      <c r="AK29" s="127" t="str">
        <f t="shared" si="15"/>
        <v/>
      </c>
      <c r="AL29" s="127" t="str">
        <f t="shared" si="15"/>
        <v/>
      </c>
      <c r="AM29" s="127" t="str">
        <f t="shared" si="15"/>
        <v/>
      </c>
      <c r="AN29" s="127" t="str">
        <f t="shared" si="15"/>
        <v/>
      </c>
      <c r="AO29" s="127" t="str">
        <f t="shared" si="15"/>
        <v/>
      </c>
      <c r="AP29" s="127" t="str">
        <f t="shared" si="15"/>
        <v/>
      </c>
      <c r="AQ29" s="127" t="str">
        <f t="shared" si="15"/>
        <v/>
      </c>
      <c r="AR29" s="127" t="str">
        <f t="shared" si="15"/>
        <v/>
      </c>
      <c r="AS29" s="127" t="str">
        <f t="shared" si="15"/>
        <v/>
      </c>
      <c r="AT29" s="127" t="str">
        <f t="shared" si="15"/>
        <v/>
      </c>
      <c r="AU29" s="127" t="str">
        <f t="shared" si="15"/>
        <v/>
      </c>
      <c r="AV29" s="127" t="str">
        <f t="shared" si="15"/>
        <v/>
      </c>
      <c r="AW29" s="127" t="str">
        <f t="shared" si="15"/>
        <v/>
      </c>
      <c r="AX29" s="127" t="str">
        <f t="shared" si="15"/>
        <v/>
      </c>
      <c r="AY29" s="127" t="str">
        <f t="shared" si="15"/>
        <v/>
      </c>
      <c r="AZ29" s="127" t="str">
        <f t="shared" si="15"/>
        <v/>
      </c>
      <c r="BA29" s="127" t="str">
        <f t="shared" si="15"/>
        <v/>
      </c>
      <c r="BB29" s="127" t="str">
        <f t="shared" si="15"/>
        <v/>
      </c>
      <c r="BC29" s="127" t="str">
        <f t="shared" si="15"/>
        <v/>
      </c>
      <c r="BD29" s="127" t="str">
        <f t="shared" si="15"/>
        <v/>
      </c>
      <c r="BE29" s="127" t="str">
        <f t="shared" si="15"/>
        <v/>
      </c>
      <c r="BF29" s="127" t="str">
        <f t="shared" si="13"/>
        <v/>
      </c>
      <c r="BG29" s="127" t="str">
        <f t="shared" si="14"/>
        <v/>
      </c>
      <c r="BH29" s="127" t="str">
        <f t="shared" si="14"/>
        <v/>
      </c>
      <c r="BI29" s="127" t="str">
        <f t="shared" si="14"/>
        <v/>
      </c>
      <c r="BJ29" s="127" t="str">
        <f t="shared" si="14"/>
        <v/>
      </c>
      <c r="BK29" s="127" t="str">
        <f t="shared" si="14"/>
        <v/>
      </c>
      <c r="BL29" s="127" t="str">
        <f t="shared" si="13"/>
        <v/>
      </c>
      <c r="BM29" s="127" t="str">
        <f t="shared" si="13"/>
        <v/>
      </c>
      <c r="BN29" s="127" t="str">
        <f t="shared" si="13"/>
        <v/>
      </c>
      <c r="BO29" s="127" t="str">
        <f t="shared" si="13"/>
        <v/>
      </c>
      <c r="BP29" s="127" t="str">
        <f t="shared" si="13"/>
        <v/>
      </c>
      <c r="BQ29" s="127" t="str">
        <f t="shared" si="13"/>
        <v/>
      </c>
      <c r="BR29" s="127" t="str">
        <f t="shared" si="13"/>
        <v/>
      </c>
      <c r="BS29" s="127" t="str">
        <f t="shared" si="13"/>
        <v/>
      </c>
      <c r="BT29" s="127" t="str">
        <f t="shared" si="13"/>
        <v/>
      </c>
      <c r="BU29" s="127" t="str">
        <f t="shared" si="13"/>
        <v/>
      </c>
      <c r="BV29" s="127" t="str">
        <f t="shared" si="13"/>
        <v/>
      </c>
      <c r="BW29" s="127" t="str">
        <f t="shared" si="13"/>
        <v/>
      </c>
      <c r="BX29" s="127" t="str">
        <f t="shared" si="13"/>
        <v/>
      </c>
      <c r="BY29" s="127" t="str">
        <f t="shared" si="13"/>
        <v/>
      </c>
      <c r="BZ29" s="127" t="str">
        <f t="shared" si="13"/>
        <v/>
      </c>
      <c r="CA29" s="127" t="str">
        <f t="shared" si="13"/>
        <v/>
      </c>
      <c r="CB29" s="127" t="str">
        <f t="shared" si="13"/>
        <v/>
      </c>
      <c r="CC29" s="127" t="str">
        <f t="shared" si="13"/>
        <v/>
      </c>
      <c r="CD29" s="127" t="str">
        <f t="shared" si="13"/>
        <v/>
      </c>
    </row>
    <row r="30" spans="1:82" ht="12.6" customHeight="1" x14ac:dyDescent="0.2">
      <c r="A30" s="106">
        <f>SHIPMENTS!A36</f>
        <v>8954</v>
      </c>
      <c r="B30" s="106" t="str">
        <f>SHIPMENTS!B36</f>
        <v>15900- Cainta Rizal | Mary Baquiran</v>
      </c>
      <c r="C30" s="132">
        <f>SHIPMENTS!F36</f>
        <v>6.4999999999999997E-3</v>
      </c>
      <c r="D30" s="107" t="str">
        <f>IF((SHIPMENTS!I36)=0,"",SHIPMENTS!I36)</f>
        <v/>
      </c>
      <c r="E30" s="176">
        <f>IF((SHIPMENTS!G36)=0,"",SHIPMENTS!G36)</f>
        <v>46323</v>
      </c>
      <c r="F30" s="98">
        <f>VLOOKUP(A30,load!$A$4:$W$5001,22,0)</f>
        <v>0</v>
      </c>
      <c r="G30" s="109">
        <v>13</v>
      </c>
      <c r="H30" s="98">
        <f t="shared" si="0"/>
        <v>118.3</v>
      </c>
      <c r="I30" s="99">
        <f t="shared" si="7"/>
        <v>0</v>
      </c>
      <c r="J30" s="99">
        <f t="shared" si="1"/>
        <v>0</v>
      </c>
      <c r="K30" s="98">
        <f t="shared" si="8"/>
        <v>0</v>
      </c>
      <c r="L30" s="98">
        <f t="shared" si="9"/>
        <v>0</v>
      </c>
      <c r="M30" s="181">
        <f t="shared" si="11"/>
        <v>46324.873759791495</v>
      </c>
      <c r="N30" s="181">
        <f t="shared" si="12"/>
        <v>46324.873759791495</v>
      </c>
      <c r="O30" s="112">
        <f>VLOOKUP(A30,SHIPMENTS!$A$7:$AP$76,42,0)</f>
        <v>0</v>
      </c>
      <c r="P30" s="101"/>
      <c r="Q30" s="127" t="str">
        <f t="shared" si="16"/>
        <v/>
      </c>
      <c r="R30" s="127" t="str">
        <f t="shared" si="16"/>
        <v/>
      </c>
      <c r="S30" s="127" t="str">
        <f t="shared" si="16"/>
        <v/>
      </c>
      <c r="T30" s="127" t="str">
        <f t="shared" si="16"/>
        <v/>
      </c>
      <c r="U30" s="127" t="str">
        <f t="shared" si="16"/>
        <v/>
      </c>
      <c r="V30" s="127" t="str">
        <f t="shared" si="16"/>
        <v/>
      </c>
      <c r="W30" s="127" t="str">
        <f t="shared" si="16"/>
        <v/>
      </c>
      <c r="X30" s="127" t="str">
        <f t="shared" si="16"/>
        <v/>
      </c>
      <c r="Y30" s="127" t="str">
        <f t="shared" si="16"/>
        <v>▲</v>
      </c>
      <c r="Z30" s="127" t="str">
        <f t="shared" si="16"/>
        <v/>
      </c>
      <c r="AA30" s="127" t="str">
        <f t="shared" si="16"/>
        <v/>
      </c>
      <c r="AB30" s="127" t="str">
        <f t="shared" si="16"/>
        <v/>
      </c>
      <c r="AC30" s="127" t="str">
        <f t="shared" si="16"/>
        <v/>
      </c>
      <c r="AD30" s="127" t="str">
        <f t="shared" si="16"/>
        <v/>
      </c>
      <c r="AE30" s="127" t="str">
        <f t="shared" si="16"/>
        <v/>
      </c>
      <c r="AF30" s="127" t="str">
        <f t="shared" si="16"/>
        <v/>
      </c>
      <c r="AG30" s="127" t="str">
        <f t="shared" si="15"/>
        <v/>
      </c>
      <c r="AH30" s="127" t="str">
        <f t="shared" si="15"/>
        <v/>
      </c>
      <c r="AI30" s="127" t="str">
        <f t="shared" si="15"/>
        <v/>
      </c>
      <c r="AJ30" s="127" t="str">
        <f t="shared" si="15"/>
        <v/>
      </c>
      <c r="AK30" s="127" t="str">
        <f t="shared" si="15"/>
        <v/>
      </c>
      <c r="AL30" s="127" t="str">
        <f t="shared" si="15"/>
        <v/>
      </c>
      <c r="AM30" s="127" t="str">
        <f t="shared" si="15"/>
        <v/>
      </c>
      <c r="AN30" s="127" t="str">
        <f t="shared" si="15"/>
        <v/>
      </c>
      <c r="AO30" s="127" t="str">
        <f t="shared" si="15"/>
        <v/>
      </c>
      <c r="AP30" s="127" t="str">
        <f t="shared" si="15"/>
        <v/>
      </c>
      <c r="AQ30" s="127" t="str">
        <f t="shared" si="15"/>
        <v/>
      </c>
      <c r="AR30" s="127" t="str">
        <f t="shared" si="15"/>
        <v/>
      </c>
      <c r="AS30" s="127" t="str">
        <f t="shared" si="15"/>
        <v/>
      </c>
      <c r="AT30" s="127" t="str">
        <f t="shared" si="15"/>
        <v/>
      </c>
      <c r="AU30" s="127" t="str">
        <f t="shared" si="15"/>
        <v/>
      </c>
      <c r="AV30" s="127" t="str">
        <f t="shared" si="15"/>
        <v/>
      </c>
      <c r="AW30" s="127" t="str">
        <f t="shared" si="15"/>
        <v/>
      </c>
      <c r="AX30" s="127" t="str">
        <f t="shared" si="15"/>
        <v/>
      </c>
      <c r="AY30" s="127" t="str">
        <f t="shared" si="15"/>
        <v/>
      </c>
      <c r="AZ30" s="127" t="str">
        <f t="shared" si="15"/>
        <v/>
      </c>
      <c r="BA30" s="127" t="str">
        <f t="shared" si="15"/>
        <v/>
      </c>
      <c r="BB30" s="127" t="str">
        <f t="shared" si="15"/>
        <v/>
      </c>
      <c r="BC30" s="127" t="str">
        <f t="shared" si="15"/>
        <v/>
      </c>
      <c r="BD30" s="127" t="str">
        <f t="shared" si="15"/>
        <v/>
      </c>
      <c r="BE30" s="127" t="str">
        <f t="shared" si="15"/>
        <v/>
      </c>
      <c r="BF30" s="127" t="str">
        <f t="shared" si="13"/>
        <v/>
      </c>
      <c r="BG30" s="127" t="str">
        <f t="shared" si="14"/>
        <v/>
      </c>
      <c r="BH30" s="127" t="str">
        <f t="shared" si="14"/>
        <v/>
      </c>
      <c r="BI30" s="127" t="str">
        <f t="shared" si="14"/>
        <v/>
      </c>
      <c r="BJ30" s="127" t="str">
        <f t="shared" si="14"/>
        <v/>
      </c>
      <c r="BK30" s="127" t="str">
        <f t="shared" si="14"/>
        <v/>
      </c>
      <c r="BL30" s="127" t="str">
        <f t="shared" si="13"/>
        <v/>
      </c>
      <c r="BM30" s="127" t="str">
        <f t="shared" si="13"/>
        <v/>
      </c>
      <c r="BN30" s="127" t="str">
        <f t="shared" si="13"/>
        <v/>
      </c>
      <c r="BO30" s="127" t="str">
        <f t="shared" si="13"/>
        <v/>
      </c>
      <c r="BP30" s="127" t="str">
        <f t="shared" si="13"/>
        <v/>
      </c>
      <c r="BQ30" s="127" t="str">
        <f t="shared" si="13"/>
        <v/>
      </c>
      <c r="BR30" s="127" t="str">
        <f t="shared" si="13"/>
        <v/>
      </c>
      <c r="BS30" s="127" t="str">
        <f t="shared" si="13"/>
        <v/>
      </c>
      <c r="BT30" s="127" t="str">
        <f t="shared" si="13"/>
        <v/>
      </c>
      <c r="BU30" s="127" t="str">
        <f t="shared" si="13"/>
        <v/>
      </c>
      <c r="BV30" s="127" t="str">
        <f t="shared" si="13"/>
        <v/>
      </c>
      <c r="BW30" s="127" t="str">
        <f t="shared" si="13"/>
        <v/>
      </c>
      <c r="BX30" s="127" t="str">
        <f t="shared" si="13"/>
        <v/>
      </c>
      <c r="BY30" s="127" t="str">
        <f t="shared" si="13"/>
        <v/>
      </c>
      <c r="BZ30" s="127" t="str">
        <f t="shared" si="13"/>
        <v/>
      </c>
      <c r="CA30" s="127" t="str">
        <f t="shared" si="13"/>
        <v/>
      </c>
      <c r="CB30" s="127" t="str">
        <f t="shared" si="13"/>
        <v/>
      </c>
      <c r="CC30" s="127" t="str">
        <f t="shared" si="13"/>
        <v/>
      </c>
      <c r="CD30" s="127" t="str">
        <f t="shared" si="13"/>
        <v/>
      </c>
    </row>
    <row r="31" spans="1:82" ht="12.6" hidden="1" customHeight="1" x14ac:dyDescent="0.2">
      <c r="A31" s="106">
        <f>SHIPMENTS!A37</f>
        <v>9064</v>
      </c>
      <c r="B31" s="106" t="str">
        <f>SHIPMENTS!B37</f>
        <v>15900- Quezon City | Hans Jason Tan</v>
      </c>
      <c r="C31" s="132">
        <f>SHIPMENTS!F37</f>
        <v>6.4999999999999997E-3</v>
      </c>
      <c r="D31" s="107" t="str">
        <f>IF((SHIPMENTS!I37)=0,"",SHIPMENTS!I37)</f>
        <v/>
      </c>
      <c r="E31" s="176">
        <f>IF((SHIPMENTS!G37)=0,"",SHIPMENTS!G37)</f>
        <v>46323</v>
      </c>
      <c r="F31" s="98">
        <f>VLOOKUP(A31,load!$A$4:$W$5001,22,0)</f>
        <v>0</v>
      </c>
      <c r="G31" s="109">
        <v>13</v>
      </c>
      <c r="H31" s="98">
        <f t="shared" si="0"/>
        <v>118.3</v>
      </c>
      <c r="I31" s="99">
        <f t="shared" si="7"/>
        <v>0</v>
      </c>
      <c r="J31" s="99">
        <f t="shared" si="1"/>
        <v>0</v>
      </c>
      <c r="K31" s="98">
        <f t="shared" si="8"/>
        <v>0</v>
      </c>
      <c r="L31" s="98">
        <f t="shared" si="9"/>
        <v>0</v>
      </c>
      <c r="M31" s="181">
        <f t="shared" si="11"/>
        <v>46324.873759791495</v>
      </c>
      <c r="N31" s="181">
        <f t="shared" si="12"/>
        <v>46324.873759791495</v>
      </c>
      <c r="O31" s="112" t="str">
        <f>VLOOKUP(A31,SHIPMENTS!$A$7:$AP$76,42,0)</f>
        <v>n/a</v>
      </c>
      <c r="P31" s="101"/>
      <c r="Q31" s="127" t="str">
        <f t="shared" si="16"/>
        <v/>
      </c>
      <c r="R31" s="127" t="str">
        <f t="shared" si="16"/>
        <v/>
      </c>
      <c r="S31" s="127" t="str">
        <f t="shared" si="16"/>
        <v/>
      </c>
      <c r="T31" s="127" t="str">
        <f t="shared" si="16"/>
        <v/>
      </c>
      <c r="U31" s="127" t="str">
        <f t="shared" si="16"/>
        <v/>
      </c>
      <c r="V31" s="127" t="str">
        <f t="shared" si="16"/>
        <v/>
      </c>
      <c r="W31" s="127" t="str">
        <f t="shared" si="16"/>
        <v/>
      </c>
      <c r="X31" s="127" t="str">
        <f t="shared" si="16"/>
        <v/>
      </c>
      <c r="Y31" s="127" t="str">
        <f t="shared" si="16"/>
        <v>▲</v>
      </c>
      <c r="Z31" s="127" t="str">
        <f t="shared" si="16"/>
        <v/>
      </c>
      <c r="AA31" s="127" t="str">
        <f t="shared" si="16"/>
        <v/>
      </c>
      <c r="AB31" s="127" t="str">
        <f t="shared" si="16"/>
        <v/>
      </c>
      <c r="AC31" s="127" t="str">
        <f t="shared" si="16"/>
        <v/>
      </c>
      <c r="AD31" s="127" t="str">
        <f t="shared" si="16"/>
        <v/>
      </c>
      <c r="AE31" s="127" t="str">
        <f t="shared" si="16"/>
        <v/>
      </c>
      <c r="AF31" s="127" t="str">
        <f t="shared" si="16"/>
        <v/>
      </c>
      <c r="AG31" s="127" t="str">
        <f t="shared" si="15"/>
        <v/>
      </c>
      <c r="AH31" s="127" t="str">
        <f t="shared" si="15"/>
        <v/>
      </c>
      <c r="AI31" s="127" t="str">
        <f t="shared" si="15"/>
        <v/>
      </c>
      <c r="AJ31" s="127" t="str">
        <f t="shared" si="15"/>
        <v/>
      </c>
      <c r="AK31" s="127" t="str">
        <f t="shared" si="15"/>
        <v/>
      </c>
      <c r="AL31" s="127" t="str">
        <f t="shared" si="15"/>
        <v/>
      </c>
      <c r="AM31" s="127" t="str">
        <f t="shared" si="15"/>
        <v/>
      </c>
      <c r="AN31" s="127" t="str">
        <f t="shared" si="15"/>
        <v/>
      </c>
      <c r="AO31" s="127" t="str">
        <f t="shared" si="15"/>
        <v/>
      </c>
      <c r="AP31" s="127" t="str">
        <f t="shared" si="15"/>
        <v/>
      </c>
      <c r="AQ31" s="127" t="str">
        <f t="shared" si="15"/>
        <v/>
      </c>
      <c r="AR31" s="127" t="str">
        <f t="shared" si="15"/>
        <v/>
      </c>
      <c r="AS31" s="127" t="str">
        <f t="shared" si="15"/>
        <v/>
      </c>
      <c r="AT31" s="127" t="str">
        <f t="shared" si="15"/>
        <v/>
      </c>
      <c r="AU31" s="127" t="str">
        <f t="shared" si="15"/>
        <v/>
      </c>
      <c r="AV31" s="127" t="str">
        <f t="shared" si="15"/>
        <v/>
      </c>
      <c r="AW31" s="127" t="str">
        <f t="shared" si="15"/>
        <v/>
      </c>
      <c r="AX31" s="127" t="str">
        <f t="shared" si="15"/>
        <v/>
      </c>
      <c r="AY31" s="127" t="str">
        <f t="shared" si="15"/>
        <v/>
      </c>
      <c r="AZ31" s="127" t="str">
        <f t="shared" si="15"/>
        <v/>
      </c>
      <c r="BA31" s="127" t="str">
        <f t="shared" si="15"/>
        <v/>
      </c>
      <c r="BB31" s="127" t="str">
        <f t="shared" si="15"/>
        <v/>
      </c>
      <c r="BC31" s="127" t="str">
        <f t="shared" si="15"/>
        <v/>
      </c>
      <c r="BD31" s="127" t="str">
        <f t="shared" si="15"/>
        <v/>
      </c>
      <c r="BE31" s="127" t="str">
        <f t="shared" si="15"/>
        <v/>
      </c>
      <c r="BF31" s="127" t="str">
        <f t="shared" si="13"/>
        <v/>
      </c>
      <c r="BG31" s="127" t="str">
        <f t="shared" si="14"/>
        <v/>
      </c>
      <c r="BH31" s="127" t="str">
        <f t="shared" si="14"/>
        <v/>
      </c>
      <c r="BI31" s="127" t="str">
        <f t="shared" si="14"/>
        <v/>
      </c>
      <c r="BJ31" s="127" t="str">
        <f t="shared" si="14"/>
        <v/>
      </c>
      <c r="BK31" s="127" t="str">
        <f t="shared" si="14"/>
        <v/>
      </c>
      <c r="BL31" s="127" t="str">
        <f t="shared" si="13"/>
        <v/>
      </c>
      <c r="BM31" s="127" t="str">
        <f t="shared" si="13"/>
        <v/>
      </c>
      <c r="BN31" s="127" t="str">
        <f t="shared" si="13"/>
        <v/>
      </c>
      <c r="BO31" s="127" t="str">
        <f t="shared" si="13"/>
        <v/>
      </c>
      <c r="BP31" s="127" t="str">
        <f t="shared" si="13"/>
        <v/>
      </c>
      <c r="BQ31" s="127" t="str">
        <f t="shared" si="13"/>
        <v/>
      </c>
      <c r="BR31" s="127" t="str">
        <f t="shared" si="13"/>
        <v/>
      </c>
      <c r="BS31" s="127" t="str">
        <f t="shared" si="13"/>
        <v/>
      </c>
      <c r="BT31" s="127" t="str">
        <f t="shared" si="13"/>
        <v/>
      </c>
      <c r="BU31" s="127" t="str">
        <f t="shared" si="13"/>
        <v/>
      </c>
      <c r="BV31" s="127" t="str">
        <f t="shared" si="13"/>
        <v/>
      </c>
      <c r="BW31" s="127" t="str">
        <f t="shared" si="13"/>
        <v/>
      </c>
      <c r="BX31" s="127" t="str">
        <f t="shared" si="13"/>
        <v/>
      </c>
      <c r="BY31" s="127" t="str">
        <f t="shared" si="13"/>
        <v/>
      </c>
      <c r="BZ31" s="127" t="str">
        <f t="shared" si="13"/>
        <v/>
      </c>
      <c r="CA31" s="127" t="str">
        <f t="shared" si="13"/>
        <v/>
      </c>
      <c r="CB31" s="127" t="str">
        <f t="shared" si="13"/>
        <v/>
      </c>
      <c r="CC31" s="127" t="str">
        <f t="shared" si="13"/>
        <v/>
      </c>
      <c r="CD31" s="127" t="str">
        <f t="shared" si="13"/>
        <v/>
      </c>
    </row>
    <row r="32" spans="1:82" ht="12.6" customHeight="1" x14ac:dyDescent="0.2">
      <c r="A32" s="106">
        <f>SHIPMENTS!A38</f>
        <v>9065</v>
      </c>
      <c r="B32" s="106" t="str">
        <f>SHIPMENTS!B38</f>
        <v>15900- Cavite | Kristine Austria</v>
      </c>
      <c r="C32" s="132">
        <f>SHIPMENTS!F38</f>
        <v>0</v>
      </c>
      <c r="D32" s="107" t="str">
        <f>IF((SHIPMENTS!I38)=0,"",SHIPMENTS!I38)</f>
        <v/>
      </c>
      <c r="E32" s="176">
        <f>IF((SHIPMENTS!G38)=0,"",SHIPMENTS!G38)</f>
        <v>46323</v>
      </c>
      <c r="F32" s="98">
        <f>VLOOKUP(A32,load!$A$4:$W$5001,22,0)</f>
        <v>0</v>
      </c>
      <c r="G32" s="109">
        <v>13</v>
      </c>
      <c r="H32" s="98">
        <f t="shared" si="0"/>
        <v>118.3</v>
      </c>
      <c r="I32" s="99">
        <f t="shared" si="7"/>
        <v>0</v>
      </c>
      <c r="J32" s="99">
        <f t="shared" si="1"/>
        <v>0</v>
      </c>
      <c r="K32" s="98">
        <f t="shared" si="8"/>
        <v>0</v>
      </c>
      <c r="L32" s="98">
        <f t="shared" si="9"/>
        <v>0</v>
      </c>
      <c r="M32" s="181">
        <f t="shared" si="11"/>
        <v>46324.873759791495</v>
      </c>
      <c r="N32" s="181">
        <f t="shared" si="12"/>
        <v>46324.873759791495</v>
      </c>
      <c r="O32" s="112">
        <f>VLOOKUP(A32,SHIPMENTS!$A$7:$AP$76,42,0)</f>
        <v>0</v>
      </c>
      <c r="P32" s="101"/>
      <c r="Q32" s="127" t="str">
        <f t="shared" si="16"/>
        <v/>
      </c>
      <c r="R32" s="127" t="str">
        <f t="shared" si="16"/>
        <v/>
      </c>
      <c r="S32" s="127" t="str">
        <f t="shared" si="16"/>
        <v/>
      </c>
      <c r="T32" s="127" t="str">
        <f t="shared" si="16"/>
        <v/>
      </c>
      <c r="U32" s="127" t="str">
        <f t="shared" si="16"/>
        <v/>
      </c>
      <c r="V32" s="127" t="str">
        <f t="shared" si="16"/>
        <v/>
      </c>
      <c r="W32" s="127" t="str">
        <f t="shared" si="16"/>
        <v/>
      </c>
      <c r="X32" s="127" t="str">
        <f t="shared" si="16"/>
        <v/>
      </c>
      <c r="Y32" s="127" t="str">
        <f t="shared" si="16"/>
        <v>▲</v>
      </c>
      <c r="Z32" s="127" t="str">
        <f t="shared" si="16"/>
        <v/>
      </c>
      <c r="AA32" s="127" t="str">
        <f t="shared" si="16"/>
        <v/>
      </c>
      <c r="AB32" s="127" t="str">
        <f t="shared" si="16"/>
        <v/>
      </c>
      <c r="AC32" s="127" t="str">
        <f t="shared" si="16"/>
        <v/>
      </c>
      <c r="AD32" s="127" t="str">
        <f t="shared" si="16"/>
        <v/>
      </c>
      <c r="AE32" s="127" t="str">
        <f t="shared" si="16"/>
        <v/>
      </c>
      <c r="AF32" s="127" t="str">
        <f t="shared" si="16"/>
        <v/>
      </c>
      <c r="AG32" s="127" t="str">
        <f t="shared" si="15"/>
        <v/>
      </c>
      <c r="AH32" s="127" t="str">
        <f t="shared" si="15"/>
        <v/>
      </c>
      <c r="AI32" s="127" t="str">
        <f t="shared" si="15"/>
        <v/>
      </c>
      <c r="AJ32" s="127" t="str">
        <f t="shared" si="15"/>
        <v/>
      </c>
      <c r="AK32" s="127" t="str">
        <f t="shared" si="15"/>
        <v/>
      </c>
      <c r="AL32" s="127" t="str">
        <f t="shared" si="15"/>
        <v/>
      </c>
      <c r="AM32" s="127" t="str">
        <f t="shared" si="15"/>
        <v/>
      </c>
      <c r="AN32" s="127" t="str">
        <f t="shared" si="15"/>
        <v/>
      </c>
      <c r="AO32" s="127" t="str">
        <f t="shared" si="15"/>
        <v/>
      </c>
      <c r="AP32" s="127" t="str">
        <f t="shared" si="15"/>
        <v/>
      </c>
      <c r="AQ32" s="127" t="str">
        <f t="shared" si="15"/>
        <v/>
      </c>
      <c r="AR32" s="127" t="str">
        <f t="shared" si="15"/>
        <v/>
      </c>
      <c r="AS32" s="127" t="str">
        <f t="shared" si="15"/>
        <v/>
      </c>
      <c r="AT32" s="127" t="str">
        <f t="shared" si="15"/>
        <v/>
      </c>
      <c r="AU32" s="127" t="str">
        <f t="shared" si="15"/>
        <v/>
      </c>
      <c r="AV32" s="127" t="str">
        <f t="shared" si="15"/>
        <v/>
      </c>
      <c r="AW32" s="127" t="str">
        <f t="shared" si="15"/>
        <v/>
      </c>
      <c r="AX32" s="127" t="str">
        <f t="shared" si="15"/>
        <v/>
      </c>
      <c r="AY32" s="127" t="str">
        <f t="shared" si="15"/>
        <v/>
      </c>
      <c r="AZ32" s="127" t="str">
        <f t="shared" si="15"/>
        <v/>
      </c>
      <c r="BA32" s="127" t="str">
        <f t="shared" si="15"/>
        <v/>
      </c>
      <c r="BB32" s="127" t="str">
        <f t="shared" si="15"/>
        <v/>
      </c>
      <c r="BC32" s="127" t="str">
        <f t="shared" si="15"/>
        <v/>
      </c>
      <c r="BD32" s="127" t="str">
        <f t="shared" si="15"/>
        <v/>
      </c>
      <c r="BE32" s="127" t="str">
        <f t="shared" si="15"/>
        <v/>
      </c>
      <c r="BF32" s="127" t="str">
        <f t="shared" si="13"/>
        <v/>
      </c>
      <c r="BG32" s="127" t="str">
        <f t="shared" si="14"/>
        <v/>
      </c>
      <c r="BH32" s="127" t="str">
        <f t="shared" si="14"/>
        <v/>
      </c>
      <c r="BI32" s="127" t="str">
        <f t="shared" si="14"/>
        <v/>
      </c>
      <c r="BJ32" s="127" t="str">
        <f t="shared" si="14"/>
        <v/>
      </c>
      <c r="BK32" s="127" t="str">
        <f t="shared" si="14"/>
        <v/>
      </c>
      <c r="BL32" s="127" t="str">
        <f t="shared" si="13"/>
        <v/>
      </c>
      <c r="BM32" s="127" t="str">
        <f t="shared" si="13"/>
        <v/>
      </c>
      <c r="BN32" s="127" t="str">
        <f t="shared" si="13"/>
        <v/>
      </c>
      <c r="BO32" s="127" t="str">
        <f t="shared" si="13"/>
        <v/>
      </c>
      <c r="BP32" s="127" t="str">
        <f t="shared" si="13"/>
        <v/>
      </c>
      <c r="BQ32" s="127" t="str">
        <f t="shared" si="13"/>
        <v/>
      </c>
      <c r="BR32" s="127" t="str">
        <f t="shared" si="13"/>
        <v/>
      </c>
      <c r="BS32" s="127" t="str">
        <f t="shared" si="13"/>
        <v/>
      </c>
      <c r="BT32" s="127" t="str">
        <f t="shared" si="13"/>
        <v/>
      </c>
      <c r="BU32" s="127" t="str">
        <f t="shared" si="13"/>
        <v/>
      </c>
      <c r="BV32" s="127" t="str">
        <f t="shared" si="13"/>
        <v/>
      </c>
      <c r="BW32" s="127" t="str">
        <f t="shared" si="13"/>
        <v/>
      </c>
      <c r="BX32" s="127" t="str">
        <f t="shared" si="13"/>
        <v/>
      </c>
      <c r="BY32" s="127" t="str">
        <f t="shared" si="13"/>
        <v/>
      </c>
      <c r="BZ32" s="127" t="str">
        <f t="shared" si="13"/>
        <v/>
      </c>
      <c r="CA32" s="127" t="str">
        <f t="shared" si="13"/>
        <v/>
      </c>
      <c r="CB32" s="127" t="str">
        <f t="shared" si="13"/>
        <v/>
      </c>
      <c r="CC32" s="127" t="str">
        <f t="shared" si="13"/>
        <v/>
      </c>
      <c r="CD32" s="127" t="str">
        <f t="shared" si="13"/>
        <v/>
      </c>
    </row>
    <row r="33" spans="1:82" ht="12.6" hidden="1" customHeight="1" x14ac:dyDescent="0.2">
      <c r="A33" s="106">
        <f>SHIPMENTS!A39</f>
        <v>9303</v>
      </c>
      <c r="B33" s="106" t="str">
        <f>SHIPMENTS!B39</f>
        <v>15900- Manila Office Stocking</v>
      </c>
      <c r="C33" s="132">
        <f>SHIPMENTS!F39</f>
        <v>0.63700000000000001</v>
      </c>
      <c r="D33" s="107" t="str">
        <f>IF((SHIPMENTS!I39)=0,"",SHIPMENTS!I39)</f>
        <v/>
      </c>
      <c r="E33" s="176">
        <f>IF((SHIPMENTS!G39)=0,"",SHIPMENTS!G39)</f>
        <v>46323</v>
      </c>
      <c r="F33" s="98">
        <f>VLOOKUP(A33,load!$A$4:$W$5001,22,0)</f>
        <v>0</v>
      </c>
      <c r="G33" s="109">
        <v>13</v>
      </c>
      <c r="H33" s="98">
        <f t="shared" ref="H33:H45" si="17">+G33*$H$4</f>
        <v>118.3</v>
      </c>
      <c r="I33" s="99">
        <f t="shared" ref="I33:I45" si="18">F33/H33</f>
        <v>0</v>
      </c>
      <c r="J33" s="99">
        <f t="shared" ref="J33:J45" si="19">+I33*$H$4</f>
        <v>0</v>
      </c>
      <c r="K33" s="98">
        <f t="shared" ref="K33:K45" si="20">IFERROR(I33-(I33*O33),0)</f>
        <v>0</v>
      </c>
      <c r="L33" s="98">
        <f t="shared" ref="L33:L45" si="21">IFERROR(J33-(J33*O33),0)</f>
        <v>0</v>
      </c>
      <c r="M33" s="181">
        <f t="shared" ref="M33:M45" si="22">N32</f>
        <v>46324.873759791495</v>
      </c>
      <c r="N33" s="181">
        <f t="shared" ref="N33:N45" si="23">+M33+K33</f>
        <v>46324.873759791495</v>
      </c>
      <c r="O33" s="112" t="str">
        <f>VLOOKUP(A33,SHIPMENTS!$A$7:$AP$76,42,0)</f>
        <v>n/a</v>
      </c>
      <c r="P33" s="101"/>
      <c r="Q33" s="127" t="str">
        <f t="shared" si="16"/>
        <v/>
      </c>
      <c r="R33" s="127" t="str">
        <f t="shared" si="16"/>
        <v/>
      </c>
      <c r="S33" s="127" t="str">
        <f t="shared" si="16"/>
        <v/>
      </c>
      <c r="T33" s="127" t="str">
        <f t="shared" si="16"/>
        <v/>
      </c>
      <c r="U33" s="127" t="str">
        <f t="shared" si="16"/>
        <v/>
      </c>
      <c r="V33" s="127" t="str">
        <f t="shared" si="16"/>
        <v/>
      </c>
      <c r="W33" s="127" t="str">
        <f t="shared" si="16"/>
        <v/>
      </c>
      <c r="X33" s="127" t="str">
        <f t="shared" si="16"/>
        <v/>
      </c>
      <c r="Y33" s="127" t="str">
        <f t="shared" si="16"/>
        <v>▲</v>
      </c>
      <c r="Z33" s="127" t="str">
        <f t="shared" si="16"/>
        <v/>
      </c>
      <c r="AA33" s="127" t="str">
        <f t="shared" si="16"/>
        <v/>
      </c>
      <c r="AB33" s="127" t="str">
        <f t="shared" si="16"/>
        <v/>
      </c>
      <c r="AC33" s="127" t="str">
        <f t="shared" si="16"/>
        <v/>
      </c>
      <c r="AD33" s="127" t="str">
        <f t="shared" si="16"/>
        <v/>
      </c>
      <c r="AE33" s="127" t="str">
        <f t="shared" si="16"/>
        <v/>
      </c>
      <c r="AF33" s="127" t="str">
        <f t="shared" si="16"/>
        <v/>
      </c>
      <c r="AG33" s="127" t="str">
        <f t="shared" si="15"/>
        <v/>
      </c>
      <c r="AH33" s="127" t="str">
        <f t="shared" si="15"/>
        <v/>
      </c>
      <c r="AI33" s="127" t="str">
        <f t="shared" si="15"/>
        <v/>
      </c>
      <c r="AJ33" s="127" t="str">
        <f t="shared" si="15"/>
        <v/>
      </c>
      <c r="AK33" s="127" t="str">
        <f t="shared" ref="AK33:AZ48" si="24">IF($E33=AK$3,"▲","")</f>
        <v/>
      </c>
      <c r="AL33" s="127" t="str">
        <f t="shared" si="24"/>
        <v/>
      </c>
      <c r="AM33" s="127" t="str">
        <f t="shared" si="24"/>
        <v/>
      </c>
      <c r="AN33" s="127" t="str">
        <f t="shared" si="24"/>
        <v/>
      </c>
      <c r="AO33" s="127" t="str">
        <f t="shared" si="24"/>
        <v/>
      </c>
      <c r="AP33" s="127" t="str">
        <f t="shared" si="24"/>
        <v/>
      </c>
      <c r="AQ33" s="127" t="str">
        <f t="shared" si="24"/>
        <v/>
      </c>
      <c r="AR33" s="127" t="str">
        <f t="shared" si="24"/>
        <v/>
      </c>
      <c r="AS33" s="127" t="str">
        <f t="shared" si="24"/>
        <v/>
      </c>
      <c r="AT33" s="127" t="str">
        <f t="shared" si="24"/>
        <v/>
      </c>
      <c r="AU33" s="127" t="str">
        <f t="shared" si="24"/>
        <v/>
      </c>
      <c r="AV33" s="127" t="str">
        <f t="shared" si="24"/>
        <v/>
      </c>
      <c r="AW33" s="127" t="str">
        <f t="shared" si="24"/>
        <v/>
      </c>
      <c r="AX33" s="127" t="str">
        <f t="shared" si="24"/>
        <v/>
      </c>
      <c r="AY33" s="127" t="str">
        <f t="shared" si="24"/>
        <v/>
      </c>
      <c r="AZ33" s="127" t="str">
        <f t="shared" si="24"/>
        <v/>
      </c>
      <c r="BA33" s="127" t="str">
        <f t="shared" ref="BA33:BP48" si="25">IF($E33=BA$3,"▲","")</f>
        <v/>
      </c>
      <c r="BB33" s="127" t="str">
        <f t="shared" si="25"/>
        <v/>
      </c>
      <c r="BC33" s="127" t="str">
        <f t="shared" si="25"/>
        <v/>
      </c>
      <c r="BD33" s="127" t="str">
        <f t="shared" si="25"/>
        <v/>
      </c>
      <c r="BE33" s="127" t="str">
        <f t="shared" si="25"/>
        <v/>
      </c>
      <c r="BF33" s="127" t="str">
        <f t="shared" si="13"/>
        <v/>
      </c>
      <c r="BG33" s="127" t="str">
        <f t="shared" si="13"/>
        <v/>
      </c>
      <c r="BH33" s="127" t="str">
        <f t="shared" si="13"/>
        <v/>
      </c>
      <c r="BI33" s="127" t="str">
        <f t="shared" si="13"/>
        <v/>
      </c>
      <c r="BJ33" s="127" t="str">
        <f t="shared" si="13"/>
        <v/>
      </c>
      <c r="BK33" s="127" t="str">
        <f t="shared" si="13"/>
        <v/>
      </c>
      <c r="BL33" s="127" t="str">
        <f t="shared" si="13"/>
        <v/>
      </c>
      <c r="BM33" s="127" t="str">
        <f t="shared" si="13"/>
        <v/>
      </c>
      <c r="BN33" s="127" t="str">
        <f t="shared" si="13"/>
        <v/>
      </c>
      <c r="BO33" s="127" t="str">
        <f t="shared" si="13"/>
        <v/>
      </c>
      <c r="BP33" s="127" t="str">
        <f t="shared" si="13"/>
        <v/>
      </c>
      <c r="BQ33" s="127" t="str">
        <f t="shared" si="13"/>
        <v/>
      </c>
      <c r="BR33" s="127" t="str">
        <f t="shared" si="13"/>
        <v/>
      </c>
      <c r="BS33" s="127" t="str">
        <f t="shared" si="13"/>
        <v/>
      </c>
      <c r="BT33" s="127" t="str">
        <f t="shared" si="13"/>
        <v/>
      </c>
      <c r="BU33" s="127" t="str">
        <f t="shared" si="13"/>
        <v/>
      </c>
      <c r="BV33" s="127" t="str">
        <f t="shared" si="13"/>
        <v/>
      </c>
      <c r="BW33" s="127" t="str">
        <f t="shared" si="13"/>
        <v/>
      </c>
      <c r="BX33" s="127" t="str">
        <f t="shared" si="13"/>
        <v/>
      </c>
      <c r="BY33" s="127" t="str">
        <f t="shared" si="13"/>
        <v/>
      </c>
      <c r="BZ33" s="127" t="str">
        <f t="shared" si="13"/>
        <v/>
      </c>
      <c r="CA33" s="127" t="str">
        <f t="shared" si="13"/>
        <v/>
      </c>
      <c r="CB33" s="127" t="str">
        <f t="shared" si="13"/>
        <v/>
      </c>
      <c r="CC33" s="127" t="str">
        <f t="shared" si="13"/>
        <v/>
      </c>
      <c r="CD33" s="127" t="str">
        <f t="shared" si="13"/>
        <v/>
      </c>
    </row>
    <row r="34" spans="1:82" ht="12.6" hidden="1" customHeight="1" x14ac:dyDescent="0.2">
      <c r="A34" s="106">
        <f>SHIPMENTS!A40</f>
        <v>9204</v>
      </c>
      <c r="B34" s="106" t="str">
        <f>SHIPMENTS!B40</f>
        <v>2300-HONGKONG</v>
      </c>
      <c r="C34" s="132">
        <f>SHIPMENTS!F40</f>
        <v>3.1</v>
      </c>
      <c r="D34" s="107" t="str">
        <f>IF((SHIPMENTS!I40)=0,"",SHIPMENTS!I40)</f>
        <v/>
      </c>
      <c r="E34" s="176">
        <f>IF((SHIPMENTS!G40)=0,"",SHIPMENTS!G40)</f>
        <v>46324</v>
      </c>
      <c r="F34" s="98">
        <f>VLOOKUP(A34,load!$A$4:$W$5001,22,0)</f>
        <v>0</v>
      </c>
      <c r="G34" s="109">
        <v>13</v>
      </c>
      <c r="H34" s="98">
        <f t="shared" si="17"/>
        <v>118.3</v>
      </c>
      <c r="I34" s="99">
        <f t="shared" si="18"/>
        <v>0</v>
      </c>
      <c r="J34" s="99">
        <f t="shared" si="19"/>
        <v>0</v>
      </c>
      <c r="K34" s="98">
        <f t="shared" si="20"/>
        <v>0</v>
      </c>
      <c r="L34" s="98">
        <f t="shared" si="21"/>
        <v>0</v>
      </c>
      <c r="M34" s="181">
        <f t="shared" si="22"/>
        <v>46324.873759791495</v>
      </c>
      <c r="N34" s="181">
        <f t="shared" si="23"/>
        <v>46324.873759791495</v>
      </c>
      <c r="O34" s="112" t="str">
        <f>VLOOKUP(A34,SHIPMENTS!$A$7:$AP$76,42,0)</f>
        <v>n/a</v>
      </c>
      <c r="P34" s="101"/>
      <c r="Q34" s="127" t="str">
        <f t="shared" si="16"/>
        <v/>
      </c>
      <c r="R34" s="127" t="str">
        <f t="shared" si="16"/>
        <v/>
      </c>
      <c r="S34" s="127" t="str">
        <f t="shared" si="16"/>
        <v/>
      </c>
      <c r="T34" s="127" t="str">
        <f t="shared" si="16"/>
        <v/>
      </c>
      <c r="U34" s="127" t="str">
        <f t="shared" si="16"/>
        <v/>
      </c>
      <c r="V34" s="127" t="str">
        <f t="shared" si="16"/>
        <v/>
      </c>
      <c r="W34" s="127" t="str">
        <f t="shared" si="16"/>
        <v/>
      </c>
      <c r="X34" s="127" t="str">
        <f t="shared" si="16"/>
        <v/>
      </c>
      <c r="Y34" s="127" t="str">
        <f t="shared" si="16"/>
        <v/>
      </c>
      <c r="Z34" s="127" t="str">
        <f t="shared" si="16"/>
        <v>▲</v>
      </c>
      <c r="AA34" s="127" t="str">
        <f t="shared" si="16"/>
        <v/>
      </c>
      <c r="AB34" s="127" t="str">
        <f t="shared" si="16"/>
        <v/>
      </c>
      <c r="AC34" s="127" t="str">
        <f t="shared" si="16"/>
        <v/>
      </c>
      <c r="AD34" s="127" t="str">
        <f t="shared" si="16"/>
        <v/>
      </c>
      <c r="AE34" s="127" t="str">
        <f t="shared" si="16"/>
        <v/>
      </c>
      <c r="AF34" s="127" t="str">
        <f t="shared" si="16"/>
        <v/>
      </c>
      <c r="AG34" s="127" t="str">
        <f t="shared" ref="AG34:AV49" si="26">IF($E34=AG$3,"▲","")</f>
        <v/>
      </c>
      <c r="AH34" s="127" t="str">
        <f t="shared" si="26"/>
        <v/>
      </c>
      <c r="AI34" s="127" t="str">
        <f t="shared" si="26"/>
        <v/>
      </c>
      <c r="AJ34" s="127" t="str">
        <f t="shared" si="26"/>
        <v/>
      </c>
      <c r="AK34" s="127" t="str">
        <f t="shared" si="26"/>
        <v/>
      </c>
      <c r="AL34" s="127" t="str">
        <f t="shared" si="26"/>
        <v/>
      </c>
      <c r="AM34" s="127" t="str">
        <f t="shared" si="26"/>
        <v/>
      </c>
      <c r="AN34" s="127" t="str">
        <f t="shared" si="26"/>
        <v/>
      </c>
      <c r="AO34" s="127" t="str">
        <f t="shared" si="26"/>
        <v/>
      </c>
      <c r="AP34" s="127" t="str">
        <f t="shared" si="26"/>
        <v/>
      </c>
      <c r="AQ34" s="127" t="str">
        <f t="shared" si="26"/>
        <v/>
      </c>
      <c r="AR34" s="127" t="str">
        <f t="shared" si="26"/>
        <v/>
      </c>
      <c r="AS34" s="127" t="str">
        <f t="shared" si="26"/>
        <v/>
      </c>
      <c r="AT34" s="127" t="str">
        <f t="shared" si="26"/>
        <v/>
      </c>
      <c r="AU34" s="127" t="str">
        <f t="shared" si="26"/>
        <v/>
      </c>
      <c r="AV34" s="127" t="str">
        <f t="shared" si="26"/>
        <v/>
      </c>
      <c r="AW34" s="127" t="str">
        <f t="shared" si="24"/>
        <v/>
      </c>
      <c r="AX34" s="127" t="str">
        <f t="shared" si="24"/>
        <v/>
      </c>
      <c r="AY34" s="127" t="str">
        <f t="shared" si="24"/>
        <v/>
      </c>
      <c r="AZ34" s="127" t="str">
        <f t="shared" si="24"/>
        <v/>
      </c>
      <c r="BA34" s="127" t="str">
        <f t="shared" si="25"/>
        <v/>
      </c>
      <c r="BB34" s="127" t="str">
        <f t="shared" si="25"/>
        <v/>
      </c>
      <c r="BC34" s="127" t="str">
        <f t="shared" si="25"/>
        <v/>
      </c>
      <c r="BD34" s="127" t="str">
        <f t="shared" si="25"/>
        <v/>
      </c>
      <c r="BE34" s="127" t="str">
        <f t="shared" si="25"/>
        <v/>
      </c>
      <c r="BF34" s="127" t="str">
        <f t="shared" si="25"/>
        <v/>
      </c>
      <c r="BG34" s="127" t="str">
        <f t="shared" si="25"/>
        <v/>
      </c>
      <c r="BH34" s="127" t="str">
        <f t="shared" si="25"/>
        <v/>
      </c>
      <c r="BI34" s="127" t="str">
        <f t="shared" si="25"/>
        <v/>
      </c>
      <c r="BJ34" s="127" t="str">
        <f t="shared" si="25"/>
        <v/>
      </c>
      <c r="BK34" s="127" t="str">
        <f t="shared" si="25"/>
        <v/>
      </c>
      <c r="BL34" s="127" t="str">
        <f t="shared" si="25"/>
        <v/>
      </c>
      <c r="BM34" s="127" t="str">
        <f t="shared" si="25"/>
        <v/>
      </c>
      <c r="BN34" s="127" t="str">
        <f t="shared" si="25"/>
        <v/>
      </c>
      <c r="BO34" s="127" t="str">
        <f t="shared" si="25"/>
        <v/>
      </c>
      <c r="BP34" s="127" t="str">
        <f t="shared" si="25"/>
        <v/>
      </c>
      <c r="BQ34" s="127" t="str">
        <f t="shared" ref="BQ34:CD49" si="27">IF($E34=BQ$3,"▲","")</f>
        <v/>
      </c>
      <c r="BR34" s="127" t="str">
        <f t="shared" si="27"/>
        <v/>
      </c>
      <c r="BS34" s="127" t="str">
        <f t="shared" si="27"/>
        <v/>
      </c>
      <c r="BT34" s="127" t="str">
        <f t="shared" si="27"/>
        <v/>
      </c>
      <c r="BU34" s="127" t="str">
        <f t="shared" si="27"/>
        <v/>
      </c>
      <c r="BV34" s="127" t="str">
        <f t="shared" si="27"/>
        <v/>
      </c>
      <c r="BW34" s="127" t="str">
        <f t="shared" si="27"/>
        <v/>
      </c>
      <c r="BX34" s="127" t="str">
        <f t="shared" si="27"/>
        <v/>
      </c>
      <c r="BY34" s="127" t="str">
        <f t="shared" si="27"/>
        <v/>
      </c>
      <c r="BZ34" s="127" t="str">
        <f t="shared" si="27"/>
        <v/>
      </c>
      <c r="CA34" s="127" t="str">
        <f t="shared" si="27"/>
        <v/>
      </c>
      <c r="CB34" s="127" t="str">
        <f t="shared" si="27"/>
        <v/>
      </c>
      <c r="CC34" s="127" t="str">
        <f t="shared" si="27"/>
        <v/>
      </c>
      <c r="CD34" s="127" t="str">
        <f t="shared" si="27"/>
        <v/>
      </c>
    </row>
    <row r="35" spans="1:82" ht="12.6" hidden="1" customHeight="1" x14ac:dyDescent="0.2">
      <c r="A35" s="106">
        <f>SHIPMENTS!A41</f>
        <v>9005</v>
      </c>
      <c r="B35" s="106" t="str">
        <f>SHIPMENTS!B41</f>
        <v>28100-AUSTRIA HARVIA</v>
      </c>
      <c r="C35" s="132">
        <f>SHIPMENTS!F41</f>
        <v>44.15</v>
      </c>
      <c r="D35" s="107" t="str">
        <f>IF((SHIPMENTS!I41)=0,"",SHIPMENTS!I41)</f>
        <v>1X20</v>
      </c>
      <c r="E35" s="176">
        <f>IF((SHIPMENTS!G41)=0,"",SHIPMENTS!G41)</f>
        <v>46325</v>
      </c>
      <c r="F35" s="98">
        <f>VLOOKUP(A35,load!$A$4:$W$5001,22,0)</f>
        <v>140.15416666666667</v>
      </c>
      <c r="G35" s="109">
        <v>13</v>
      </c>
      <c r="H35" s="98">
        <f t="shared" si="17"/>
        <v>118.3</v>
      </c>
      <c r="I35" s="99">
        <f t="shared" si="18"/>
        <v>1.1847351366582137</v>
      </c>
      <c r="J35" s="99">
        <f t="shared" si="19"/>
        <v>10.781089743589744</v>
      </c>
      <c r="K35" s="98">
        <f t="shared" si="20"/>
        <v>0</v>
      </c>
      <c r="L35" s="98">
        <f t="shared" si="21"/>
        <v>0</v>
      </c>
      <c r="M35" s="181">
        <f t="shared" si="22"/>
        <v>46324.873759791495</v>
      </c>
      <c r="N35" s="181">
        <f t="shared" si="23"/>
        <v>46324.873759791495</v>
      </c>
      <c r="O35" s="112" t="str">
        <f>VLOOKUP(A35,SHIPMENTS!$A$7:$AP$76,42,0)</f>
        <v>n/a</v>
      </c>
      <c r="P35" s="101"/>
      <c r="Q35" s="127" t="str">
        <f t="shared" si="16"/>
        <v/>
      </c>
      <c r="R35" s="127" t="str">
        <f t="shared" si="16"/>
        <v/>
      </c>
      <c r="S35" s="127" t="str">
        <f t="shared" si="16"/>
        <v/>
      </c>
      <c r="T35" s="127" t="str">
        <f t="shared" si="16"/>
        <v/>
      </c>
      <c r="U35" s="127" t="str">
        <f t="shared" si="16"/>
        <v/>
      </c>
      <c r="V35" s="127" t="str">
        <f t="shared" si="16"/>
        <v/>
      </c>
      <c r="W35" s="127" t="str">
        <f t="shared" si="16"/>
        <v/>
      </c>
      <c r="X35" s="127" t="str">
        <f t="shared" si="16"/>
        <v/>
      </c>
      <c r="Y35" s="127" t="str">
        <f t="shared" si="16"/>
        <v/>
      </c>
      <c r="Z35" s="127" t="str">
        <f t="shared" si="16"/>
        <v/>
      </c>
      <c r="AA35" s="127" t="str">
        <f t="shared" si="16"/>
        <v>▲</v>
      </c>
      <c r="AB35" s="127" t="str">
        <f t="shared" si="16"/>
        <v/>
      </c>
      <c r="AC35" s="127" t="str">
        <f t="shared" si="16"/>
        <v/>
      </c>
      <c r="AD35" s="127" t="str">
        <f t="shared" si="16"/>
        <v/>
      </c>
      <c r="AE35" s="127" t="str">
        <f t="shared" si="16"/>
        <v/>
      </c>
      <c r="AF35" s="127" t="str">
        <f t="shared" si="16"/>
        <v/>
      </c>
      <c r="AG35" s="127" t="str">
        <f t="shared" si="26"/>
        <v/>
      </c>
      <c r="AH35" s="127" t="str">
        <f t="shared" si="26"/>
        <v/>
      </c>
      <c r="AI35" s="127" t="str">
        <f t="shared" si="26"/>
        <v/>
      </c>
      <c r="AJ35" s="127" t="str">
        <f t="shared" si="26"/>
        <v/>
      </c>
      <c r="AK35" s="127" t="str">
        <f t="shared" si="26"/>
        <v/>
      </c>
      <c r="AL35" s="127" t="str">
        <f t="shared" si="26"/>
        <v/>
      </c>
      <c r="AM35" s="127" t="str">
        <f t="shared" si="26"/>
        <v/>
      </c>
      <c r="AN35" s="127" t="str">
        <f t="shared" si="26"/>
        <v/>
      </c>
      <c r="AO35" s="127" t="str">
        <f t="shared" si="26"/>
        <v/>
      </c>
      <c r="AP35" s="127" t="str">
        <f t="shared" si="26"/>
        <v/>
      </c>
      <c r="AQ35" s="127" t="str">
        <f t="shared" si="26"/>
        <v/>
      </c>
      <c r="AR35" s="127" t="str">
        <f t="shared" si="26"/>
        <v/>
      </c>
      <c r="AS35" s="127" t="str">
        <f t="shared" si="26"/>
        <v/>
      </c>
      <c r="AT35" s="127" t="str">
        <f t="shared" si="26"/>
        <v/>
      </c>
      <c r="AU35" s="127" t="str">
        <f t="shared" si="26"/>
        <v/>
      </c>
      <c r="AV35" s="127" t="str">
        <f t="shared" si="26"/>
        <v/>
      </c>
      <c r="AW35" s="127" t="str">
        <f t="shared" si="24"/>
        <v/>
      </c>
      <c r="AX35" s="127" t="str">
        <f t="shared" si="24"/>
        <v/>
      </c>
      <c r="AY35" s="127" t="str">
        <f t="shared" si="24"/>
        <v/>
      </c>
      <c r="AZ35" s="127" t="str">
        <f t="shared" si="24"/>
        <v/>
      </c>
      <c r="BA35" s="127" t="str">
        <f t="shared" si="25"/>
        <v/>
      </c>
      <c r="BB35" s="127" t="str">
        <f t="shared" si="25"/>
        <v/>
      </c>
      <c r="BC35" s="127" t="str">
        <f t="shared" si="25"/>
        <v/>
      </c>
      <c r="BD35" s="127" t="str">
        <f t="shared" si="25"/>
        <v/>
      </c>
      <c r="BE35" s="127" t="str">
        <f t="shared" si="25"/>
        <v/>
      </c>
      <c r="BF35" s="127" t="str">
        <f t="shared" si="25"/>
        <v/>
      </c>
      <c r="BG35" s="127" t="str">
        <f t="shared" si="25"/>
        <v/>
      </c>
      <c r="BH35" s="127" t="str">
        <f t="shared" si="25"/>
        <v/>
      </c>
      <c r="BI35" s="127" t="str">
        <f t="shared" si="25"/>
        <v/>
      </c>
      <c r="BJ35" s="127" t="str">
        <f t="shared" si="25"/>
        <v/>
      </c>
      <c r="BK35" s="127" t="str">
        <f t="shared" si="25"/>
        <v/>
      </c>
      <c r="BL35" s="127" t="str">
        <f t="shared" si="25"/>
        <v/>
      </c>
      <c r="BM35" s="127" t="str">
        <f t="shared" si="25"/>
        <v/>
      </c>
      <c r="BN35" s="127" t="str">
        <f t="shared" si="25"/>
        <v/>
      </c>
      <c r="BO35" s="127" t="str">
        <f t="shared" si="25"/>
        <v/>
      </c>
      <c r="BP35" s="127" t="str">
        <f t="shared" si="25"/>
        <v/>
      </c>
      <c r="BQ35" s="127" t="str">
        <f t="shared" si="27"/>
        <v/>
      </c>
      <c r="BR35" s="127" t="str">
        <f t="shared" si="27"/>
        <v/>
      </c>
      <c r="BS35" s="127" t="str">
        <f t="shared" si="27"/>
        <v/>
      </c>
      <c r="BT35" s="127" t="str">
        <f t="shared" si="27"/>
        <v/>
      </c>
      <c r="BU35" s="127" t="str">
        <f t="shared" si="27"/>
        <v/>
      </c>
      <c r="BV35" s="127" t="str">
        <f t="shared" si="27"/>
        <v/>
      </c>
      <c r="BW35" s="127" t="str">
        <f t="shared" si="27"/>
        <v/>
      </c>
      <c r="BX35" s="127" t="str">
        <f t="shared" si="27"/>
        <v/>
      </c>
      <c r="BY35" s="127" t="str">
        <f t="shared" si="27"/>
        <v/>
      </c>
      <c r="BZ35" s="127" t="str">
        <f t="shared" si="27"/>
        <v/>
      </c>
      <c r="CA35" s="127" t="str">
        <f t="shared" si="27"/>
        <v/>
      </c>
      <c r="CB35" s="127" t="str">
        <f t="shared" si="27"/>
        <v/>
      </c>
      <c r="CC35" s="127" t="str">
        <f t="shared" si="27"/>
        <v/>
      </c>
      <c r="CD35" s="127" t="str">
        <f t="shared" si="27"/>
        <v/>
      </c>
    </row>
    <row r="36" spans="1:82" ht="12.6" hidden="1" customHeight="1" x14ac:dyDescent="0.2">
      <c r="A36" s="106">
        <f>SHIPMENTS!A42</f>
        <v>8952</v>
      </c>
      <c r="B36" s="106" t="str">
        <f>SHIPMENTS!B42</f>
        <v>41300-CANADA SAUNAFIN</v>
      </c>
      <c r="C36" s="132">
        <f>SHIPMENTS!F42</f>
        <v>70.45</v>
      </c>
      <c r="D36" s="107" t="str">
        <f>IF((SHIPMENTS!I42)=0,"",SHIPMENTS!I42)</f>
        <v>1x40HC</v>
      </c>
      <c r="E36" s="176">
        <f>IF((SHIPMENTS!G42)=0,"",SHIPMENTS!G42)</f>
        <v>46332</v>
      </c>
      <c r="F36" s="98">
        <f>VLOOKUP(A36,load!$A$4:$W$5001,22,0)</f>
        <v>579.22249999999997</v>
      </c>
      <c r="G36" s="109">
        <v>13</v>
      </c>
      <c r="H36" s="98">
        <f t="shared" si="17"/>
        <v>118.3</v>
      </c>
      <c r="I36" s="99">
        <f t="shared" si="18"/>
        <v>4.8962172442941672</v>
      </c>
      <c r="J36" s="99">
        <f t="shared" si="19"/>
        <v>44.55557692307692</v>
      </c>
      <c r="K36" s="98">
        <f t="shared" si="20"/>
        <v>0</v>
      </c>
      <c r="L36" s="98">
        <f t="shared" si="21"/>
        <v>0</v>
      </c>
      <c r="M36" s="181">
        <f t="shared" si="22"/>
        <v>46324.873759791495</v>
      </c>
      <c r="N36" s="181">
        <f t="shared" si="23"/>
        <v>46324.873759791495</v>
      </c>
      <c r="O36" s="112" t="str">
        <f>VLOOKUP(A36,SHIPMENTS!$A$7:$AP$76,42,0)</f>
        <v>n/a</v>
      </c>
      <c r="P36" s="101"/>
      <c r="Q36" s="127" t="str">
        <f t="shared" si="16"/>
        <v/>
      </c>
      <c r="R36" s="127" t="str">
        <f t="shared" si="16"/>
        <v/>
      </c>
      <c r="S36" s="127" t="str">
        <f t="shared" si="16"/>
        <v/>
      </c>
      <c r="T36" s="127" t="str">
        <f t="shared" si="16"/>
        <v/>
      </c>
      <c r="U36" s="127" t="str">
        <f t="shared" si="16"/>
        <v/>
      </c>
      <c r="V36" s="127" t="str">
        <f t="shared" si="16"/>
        <v/>
      </c>
      <c r="W36" s="127" t="str">
        <f t="shared" si="16"/>
        <v/>
      </c>
      <c r="X36" s="127" t="str">
        <f t="shared" si="16"/>
        <v/>
      </c>
      <c r="Y36" s="127" t="str">
        <f t="shared" si="16"/>
        <v/>
      </c>
      <c r="Z36" s="127" t="str">
        <f t="shared" si="16"/>
        <v/>
      </c>
      <c r="AA36" s="127" t="str">
        <f t="shared" si="16"/>
        <v/>
      </c>
      <c r="AB36" s="127" t="str">
        <f t="shared" si="16"/>
        <v/>
      </c>
      <c r="AC36" s="127" t="str">
        <f t="shared" si="16"/>
        <v/>
      </c>
      <c r="AD36" s="127" t="str">
        <f t="shared" si="16"/>
        <v/>
      </c>
      <c r="AE36" s="127" t="str">
        <f t="shared" si="16"/>
        <v/>
      </c>
      <c r="AF36" s="127" t="str">
        <f t="shared" si="16"/>
        <v/>
      </c>
      <c r="AG36" s="127" t="str">
        <f t="shared" si="26"/>
        <v>▲</v>
      </c>
      <c r="AH36" s="127" t="str">
        <f t="shared" si="26"/>
        <v/>
      </c>
      <c r="AI36" s="127" t="str">
        <f t="shared" si="26"/>
        <v/>
      </c>
      <c r="AJ36" s="127" t="str">
        <f t="shared" si="26"/>
        <v/>
      </c>
      <c r="AK36" s="127" t="str">
        <f t="shared" si="26"/>
        <v/>
      </c>
      <c r="AL36" s="127" t="str">
        <f t="shared" si="26"/>
        <v/>
      </c>
      <c r="AM36" s="127" t="str">
        <f t="shared" si="26"/>
        <v/>
      </c>
      <c r="AN36" s="127" t="str">
        <f t="shared" si="26"/>
        <v/>
      </c>
      <c r="AO36" s="127" t="str">
        <f t="shared" si="26"/>
        <v/>
      </c>
      <c r="AP36" s="127" t="str">
        <f t="shared" si="26"/>
        <v/>
      </c>
      <c r="AQ36" s="127" t="str">
        <f t="shared" si="26"/>
        <v/>
      </c>
      <c r="AR36" s="127" t="str">
        <f t="shared" si="26"/>
        <v/>
      </c>
      <c r="AS36" s="127" t="str">
        <f t="shared" si="26"/>
        <v/>
      </c>
      <c r="AT36" s="127" t="str">
        <f t="shared" si="26"/>
        <v/>
      </c>
      <c r="AU36" s="127" t="str">
        <f t="shared" si="26"/>
        <v/>
      </c>
      <c r="AV36" s="127" t="str">
        <f t="shared" si="26"/>
        <v/>
      </c>
      <c r="AW36" s="127" t="str">
        <f t="shared" si="24"/>
        <v/>
      </c>
      <c r="AX36" s="127" t="str">
        <f t="shared" si="24"/>
        <v/>
      </c>
      <c r="AY36" s="127" t="str">
        <f t="shared" si="24"/>
        <v/>
      </c>
      <c r="AZ36" s="127" t="str">
        <f t="shared" si="24"/>
        <v/>
      </c>
      <c r="BA36" s="127" t="str">
        <f t="shared" si="25"/>
        <v/>
      </c>
      <c r="BB36" s="127" t="str">
        <f t="shared" si="25"/>
        <v/>
      </c>
      <c r="BC36" s="127" t="str">
        <f t="shared" si="25"/>
        <v/>
      </c>
      <c r="BD36" s="127" t="str">
        <f t="shared" si="25"/>
        <v/>
      </c>
      <c r="BE36" s="127" t="str">
        <f t="shared" si="25"/>
        <v/>
      </c>
      <c r="BF36" s="127" t="str">
        <f t="shared" si="25"/>
        <v/>
      </c>
      <c r="BG36" s="127" t="str">
        <f t="shared" si="25"/>
        <v/>
      </c>
      <c r="BH36" s="127" t="str">
        <f t="shared" si="25"/>
        <v/>
      </c>
      <c r="BI36" s="127" t="str">
        <f t="shared" si="25"/>
        <v/>
      </c>
      <c r="BJ36" s="127" t="str">
        <f t="shared" si="25"/>
        <v/>
      </c>
      <c r="BK36" s="127" t="str">
        <f t="shared" si="25"/>
        <v/>
      </c>
      <c r="BL36" s="127" t="str">
        <f t="shared" si="25"/>
        <v/>
      </c>
      <c r="BM36" s="127" t="str">
        <f t="shared" si="25"/>
        <v/>
      </c>
      <c r="BN36" s="127" t="str">
        <f t="shared" si="25"/>
        <v/>
      </c>
      <c r="BO36" s="127" t="str">
        <f t="shared" si="25"/>
        <v/>
      </c>
      <c r="BP36" s="127" t="str">
        <f t="shared" si="25"/>
        <v/>
      </c>
      <c r="BQ36" s="127" t="str">
        <f t="shared" si="27"/>
        <v/>
      </c>
      <c r="BR36" s="127" t="str">
        <f t="shared" si="27"/>
        <v/>
      </c>
      <c r="BS36" s="127" t="str">
        <f t="shared" si="27"/>
        <v/>
      </c>
      <c r="BT36" s="127" t="str">
        <f t="shared" si="27"/>
        <v/>
      </c>
      <c r="BU36" s="127" t="str">
        <f t="shared" si="27"/>
        <v/>
      </c>
      <c r="BV36" s="127" t="str">
        <f t="shared" si="27"/>
        <v/>
      </c>
      <c r="BW36" s="127" t="str">
        <f t="shared" si="27"/>
        <v/>
      </c>
      <c r="BX36" s="127" t="str">
        <f t="shared" si="27"/>
        <v/>
      </c>
      <c r="BY36" s="127" t="str">
        <f t="shared" si="27"/>
        <v/>
      </c>
      <c r="BZ36" s="127" t="str">
        <f t="shared" si="27"/>
        <v/>
      </c>
      <c r="CA36" s="127" t="str">
        <f t="shared" si="27"/>
        <v/>
      </c>
      <c r="CB36" s="127" t="str">
        <f t="shared" si="27"/>
        <v/>
      </c>
      <c r="CC36" s="127" t="str">
        <f t="shared" si="27"/>
        <v/>
      </c>
      <c r="CD36" s="127" t="str">
        <f t="shared" si="27"/>
        <v/>
      </c>
    </row>
    <row r="37" spans="1:82" ht="12.6" customHeight="1" x14ac:dyDescent="0.2">
      <c r="A37" s="106">
        <f>SHIPMENTS!A43</f>
        <v>9158</v>
      </c>
      <c r="B37" s="106" t="str">
        <f>SHIPMENTS!B43</f>
        <v>43300-THAILAND</v>
      </c>
      <c r="C37" s="132">
        <f>SHIPMENTS!F43</f>
        <v>0.10299999999999999</v>
      </c>
      <c r="D37" s="107" t="str">
        <f>IF((SHIPMENTS!I43)=0,"",SHIPMENTS!I43)</f>
        <v>LCL</v>
      </c>
      <c r="E37" s="176">
        <f>IF((SHIPMENTS!G43)=0,"",SHIPMENTS!G43)</f>
        <v>46332</v>
      </c>
      <c r="F37" s="98">
        <f>VLOOKUP(A37,load!$A$4:$W$5001,22,0)</f>
        <v>43.03125</v>
      </c>
      <c r="G37" s="109">
        <v>13</v>
      </c>
      <c r="H37" s="98">
        <f t="shared" si="17"/>
        <v>118.3</v>
      </c>
      <c r="I37" s="99">
        <f t="shared" si="18"/>
        <v>0.36374683009298397</v>
      </c>
      <c r="J37" s="99">
        <f t="shared" si="19"/>
        <v>3.3100961538461542</v>
      </c>
      <c r="K37" s="98">
        <f t="shared" si="20"/>
        <v>0.36374683009298397</v>
      </c>
      <c r="L37" s="98">
        <f t="shared" si="21"/>
        <v>3.3100961538461542</v>
      </c>
      <c r="M37" s="181">
        <f t="shared" si="22"/>
        <v>46324.873759791495</v>
      </c>
      <c r="N37" s="181">
        <f t="shared" si="23"/>
        <v>46325.23750662159</v>
      </c>
      <c r="O37" s="112">
        <f>VLOOKUP(A37,SHIPMENTS!$A$7:$AP$76,42,0)</f>
        <v>0</v>
      </c>
      <c r="P37" s="101"/>
      <c r="Q37" s="127" t="str">
        <f t="shared" si="16"/>
        <v/>
      </c>
      <c r="R37" s="127" t="str">
        <f t="shared" si="16"/>
        <v/>
      </c>
      <c r="S37" s="127" t="str">
        <f t="shared" si="16"/>
        <v/>
      </c>
      <c r="T37" s="127" t="str">
        <f t="shared" si="16"/>
        <v/>
      </c>
      <c r="U37" s="127" t="str">
        <f t="shared" si="16"/>
        <v/>
      </c>
      <c r="V37" s="127" t="str">
        <f t="shared" si="16"/>
        <v/>
      </c>
      <c r="W37" s="127" t="str">
        <f t="shared" si="16"/>
        <v/>
      </c>
      <c r="X37" s="127" t="str">
        <f t="shared" si="16"/>
        <v/>
      </c>
      <c r="Y37" s="127" t="str">
        <f t="shared" si="16"/>
        <v/>
      </c>
      <c r="Z37" s="127" t="str">
        <f t="shared" si="16"/>
        <v/>
      </c>
      <c r="AA37" s="127" t="str">
        <f t="shared" si="16"/>
        <v/>
      </c>
      <c r="AB37" s="127" t="str">
        <f t="shared" si="16"/>
        <v/>
      </c>
      <c r="AC37" s="127" t="str">
        <f t="shared" si="16"/>
        <v/>
      </c>
      <c r="AD37" s="127" t="str">
        <f t="shared" si="16"/>
        <v/>
      </c>
      <c r="AE37" s="127" t="str">
        <f t="shared" si="16"/>
        <v/>
      </c>
      <c r="AF37" s="127" t="str">
        <f t="shared" si="16"/>
        <v/>
      </c>
      <c r="AG37" s="127" t="str">
        <f t="shared" si="26"/>
        <v>▲</v>
      </c>
      <c r="AH37" s="127" t="str">
        <f t="shared" si="26"/>
        <v/>
      </c>
      <c r="AI37" s="127" t="str">
        <f t="shared" si="26"/>
        <v/>
      </c>
      <c r="AJ37" s="127" t="str">
        <f t="shared" si="26"/>
        <v/>
      </c>
      <c r="AK37" s="127" t="str">
        <f t="shared" si="26"/>
        <v/>
      </c>
      <c r="AL37" s="127" t="str">
        <f t="shared" si="26"/>
        <v/>
      </c>
      <c r="AM37" s="127" t="str">
        <f t="shared" si="26"/>
        <v/>
      </c>
      <c r="AN37" s="127" t="str">
        <f t="shared" si="26"/>
        <v/>
      </c>
      <c r="AO37" s="127" t="str">
        <f t="shared" si="26"/>
        <v/>
      </c>
      <c r="AP37" s="127" t="str">
        <f t="shared" si="26"/>
        <v/>
      </c>
      <c r="AQ37" s="127" t="str">
        <f t="shared" si="26"/>
        <v/>
      </c>
      <c r="AR37" s="127" t="str">
        <f t="shared" si="26"/>
        <v/>
      </c>
      <c r="AS37" s="127" t="str">
        <f t="shared" si="26"/>
        <v/>
      </c>
      <c r="AT37" s="127" t="str">
        <f t="shared" si="26"/>
        <v/>
      </c>
      <c r="AU37" s="127" t="str">
        <f t="shared" si="26"/>
        <v/>
      </c>
      <c r="AV37" s="127" t="str">
        <f t="shared" si="26"/>
        <v/>
      </c>
      <c r="AW37" s="127" t="str">
        <f t="shared" si="24"/>
        <v/>
      </c>
      <c r="AX37" s="127" t="str">
        <f t="shared" si="24"/>
        <v/>
      </c>
      <c r="AY37" s="127" t="str">
        <f t="shared" si="24"/>
        <v/>
      </c>
      <c r="AZ37" s="127" t="str">
        <f t="shared" si="24"/>
        <v/>
      </c>
      <c r="BA37" s="127" t="str">
        <f t="shared" si="25"/>
        <v/>
      </c>
      <c r="BB37" s="127" t="str">
        <f t="shared" si="25"/>
        <v/>
      </c>
      <c r="BC37" s="127" t="str">
        <f t="shared" si="25"/>
        <v/>
      </c>
      <c r="BD37" s="127" t="str">
        <f t="shared" si="25"/>
        <v/>
      </c>
      <c r="BE37" s="127" t="str">
        <f t="shared" si="25"/>
        <v/>
      </c>
      <c r="BF37" s="127" t="str">
        <f t="shared" si="25"/>
        <v/>
      </c>
      <c r="BG37" s="127" t="str">
        <f t="shared" si="25"/>
        <v/>
      </c>
      <c r="BH37" s="127" t="str">
        <f t="shared" si="25"/>
        <v/>
      </c>
      <c r="BI37" s="127" t="str">
        <f t="shared" si="25"/>
        <v/>
      </c>
      <c r="BJ37" s="127" t="str">
        <f t="shared" si="25"/>
        <v/>
      </c>
      <c r="BK37" s="127" t="str">
        <f t="shared" si="25"/>
        <v/>
      </c>
      <c r="BL37" s="127" t="str">
        <f t="shared" si="25"/>
        <v/>
      </c>
      <c r="BM37" s="127" t="str">
        <f t="shared" si="25"/>
        <v/>
      </c>
      <c r="BN37" s="127" t="str">
        <f t="shared" si="25"/>
        <v/>
      </c>
      <c r="BO37" s="127" t="str">
        <f t="shared" si="25"/>
        <v/>
      </c>
      <c r="BP37" s="127" t="str">
        <f t="shared" si="25"/>
        <v/>
      </c>
      <c r="BQ37" s="127" t="str">
        <f t="shared" si="27"/>
        <v/>
      </c>
      <c r="BR37" s="127" t="str">
        <f t="shared" si="27"/>
        <v/>
      </c>
      <c r="BS37" s="127" t="str">
        <f t="shared" si="27"/>
        <v/>
      </c>
      <c r="BT37" s="127" t="str">
        <f t="shared" si="27"/>
        <v/>
      </c>
      <c r="BU37" s="127" t="str">
        <f t="shared" si="27"/>
        <v/>
      </c>
      <c r="BV37" s="127" t="str">
        <f t="shared" si="27"/>
        <v/>
      </c>
      <c r="BW37" s="127" t="str">
        <f t="shared" si="27"/>
        <v/>
      </c>
      <c r="BX37" s="127" t="str">
        <f t="shared" si="27"/>
        <v/>
      </c>
      <c r="BY37" s="127" t="str">
        <f t="shared" si="27"/>
        <v/>
      </c>
      <c r="BZ37" s="127" t="str">
        <f t="shared" si="27"/>
        <v/>
      </c>
      <c r="CA37" s="127" t="str">
        <f t="shared" si="27"/>
        <v/>
      </c>
      <c r="CB37" s="127" t="str">
        <f t="shared" si="27"/>
        <v/>
      </c>
      <c r="CC37" s="127" t="str">
        <f t="shared" si="27"/>
        <v/>
      </c>
      <c r="CD37" s="127" t="str">
        <f t="shared" si="27"/>
        <v/>
      </c>
    </row>
    <row r="38" spans="1:82" ht="12.6" customHeight="1" x14ac:dyDescent="0.2">
      <c r="A38" s="106">
        <f>SHIPMENTS!A44</f>
        <v>8814</v>
      </c>
      <c r="B38" s="106" t="str">
        <f>SHIPMENTS!B44</f>
        <v>27200-UAE</v>
      </c>
      <c r="C38" s="132">
        <f>SHIPMENTS!F44</f>
        <v>0.06</v>
      </c>
      <c r="D38" s="107" t="str">
        <f>IF((SHIPMENTS!I44)=0,"",SHIPMENTS!I44)</f>
        <v>LCL</v>
      </c>
      <c r="E38" s="176">
        <f>IF((SHIPMENTS!G44)=0,"",SHIPMENTS!G44)</f>
        <v>46332</v>
      </c>
      <c r="F38" s="98">
        <f>VLOOKUP(A38,load!$A$4:$W$5001,22,0)</f>
        <v>133.875</v>
      </c>
      <c r="G38" s="109">
        <v>13</v>
      </c>
      <c r="H38" s="98">
        <f t="shared" si="17"/>
        <v>118.3</v>
      </c>
      <c r="I38" s="99">
        <f t="shared" si="18"/>
        <v>1.1316568047337279</v>
      </c>
      <c r="J38" s="99">
        <f t="shared" si="19"/>
        <v>10.298076923076923</v>
      </c>
      <c r="K38" s="98">
        <f t="shared" si="20"/>
        <v>1.1316568047337279</v>
      </c>
      <c r="L38" s="98">
        <f t="shared" si="21"/>
        <v>10.298076923076923</v>
      </c>
      <c r="M38" s="181">
        <f t="shared" si="22"/>
        <v>46325.23750662159</v>
      </c>
      <c r="N38" s="181">
        <f t="shared" si="23"/>
        <v>46326.369163426323</v>
      </c>
      <c r="O38" s="112">
        <f>VLOOKUP(A38,SHIPMENTS!$A$7:$AP$76,42,0)</f>
        <v>0</v>
      </c>
      <c r="P38" s="101"/>
      <c r="Q38" s="127" t="str">
        <f t="shared" si="16"/>
        <v/>
      </c>
      <c r="R38" s="127" t="str">
        <f t="shared" si="16"/>
        <v/>
      </c>
      <c r="S38" s="127" t="str">
        <f t="shared" si="16"/>
        <v/>
      </c>
      <c r="T38" s="127" t="str">
        <f t="shared" si="16"/>
        <v/>
      </c>
      <c r="U38" s="127" t="str">
        <f t="shared" si="16"/>
        <v/>
      </c>
      <c r="V38" s="127" t="str">
        <f t="shared" si="16"/>
        <v/>
      </c>
      <c r="W38" s="127" t="str">
        <f t="shared" si="16"/>
        <v/>
      </c>
      <c r="X38" s="127" t="str">
        <f t="shared" si="16"/>
        <v/>
      </c>
      <c r="Y38" s="127" t="str">
        <f t="shared" si="16"/>
        <v/>
      </c>
      <c r="Z38" s="127" t="str">
        <f t="shared" si="16"/>
        <v/>
      </c>
      <c r="AA38" s="127" t="str">
        <f t="shared" si="16"/>
        <v/>
      </c>
      <c r="AB38" s="127" t="str">
        <f t="shared" si="16"/>
        <v/>
      </c>
      <c r="AC38" s="127" t="str">
        <f t="shared" si="16"/>
        <v/>
      </c>
      <c r="AD38" s="127" t="str">
        <f t="shared" si="16"/>
        <v/>
      </c>
      <c r="AE38" s="127" t="str">
        <f t="shared" si="16"/>
        <v/>
      </c>
      <c r="AF38" s="127" t="str">
        <f t="shared" si="16"/>
        <v/>
      </c>
      <c r="AG38" s="127" t="str">
        <f t="shared" si="26"/>
        <v>▲</v>
      </c>
      <c r="AH38" s="127" t="str">
        <f t="shared" si="26"/>
        <v/>
      </c>
      <c r="AI38" s="127" t="str">
        <f t="shared" si="26"/>
        <v/>
      </c>
      <c r="AJ38" s="127" t="str">
        <f t="shared" si="26"/>
        <v/>
      </c>
      <c r="AK38" s="127" t="str">
        <f t="shared" si="26"/>
        <v/>
      </c>
      <c r="AL38" s="127" t="str">
        <f t="shared" si="26"/>
        <v/>
      </c>
      <c r="AM38" s="127" t="str">
        <f t="shared" si="26"/>
        <v/>
      </c>
      <c r="AN38" s="127" t="str">
        <f t="shared" si="26"/>
        <v/>
      </c>
      <c r="AO38" s="127" t="str">
        <f t="shared" si="26"/>
        <v/>
      </c>
      <c r="AP38" s="127" t="str">
        <f t="shared" si="26"/>
        <v/>
      </c>
      <c r="AQ38" s="127" t="str">
        <f t="shared" si="26"/>
        <v/>
      </c>
      <c r="AR38" s="127" t="str">
        <f t="shared" si="26"/>
        <v/>
      </c>
      <c r="AS38" s="127" t="str">
        <f t="shared" si="26"/>
        <v/>
      </c>
      <c r="AT38" s="127" t="str">
        <f t="shared" si="26"/>
        <v/>
      </c>
      <c r="AU38" s="127" t="str">
        <f t="shared" si="26"/>
        <v/>
      </c>
      <c r="AV38" s="127" t="str">
        <f t="shared" si="26"/>
        <v/>
      </c>
      <c r="AW38" s="127" t="str">
        <f t="shared" si="24"/>
        <v/>
      </c>
      <c r="AX38" s="127" t="str">
        <f t="shared" si="24"/>
        <v/>
      </c>
      <c r="AY38" s="127" t="str">
        <f t="shared" si="24"/>
        <v/>
      </c>
      <c r="AZ38" s="127" t="str">
        <f t="shared" si="24"/>
        <v/>
      </c>
      <c r="BA38" s="127" t="str">
        <f t="shared" si="25"/>
        <v/>
      </c>
      <c r="BB38" s="127" t="str">
        <f t="shared" si="25"/>
        <v/>
      </c>
      <c r="BC38" s="127" t="str">
        <f t="shared" si="25"/>
        <v/>
      </c>
      <c r="BD38" s="127" t="str">
        <f t="shared" si="25"/>
        <v/>
      </c>
      <c r="BE38" s="127" t="str">
        <f t="shared" si="25"/>
        <v/>
      </c>
      <c r="BF38" s="127" t="str">
        <f t="shared" si="25"/>
        <v/>
      </c>
      <c r="BG38" s="127" t="str">
        <f t="shared" si="25"/>
        <v/>
      </c>
      <c r="BH38" s="127" t="str">
        <f t="shared" si="25"/>
        <v/>
      </c>
      <c r="BI38" s="127" t="str">
        <f t="shared" si="25"/>
        <v/>
      </c>
      <c r="BJ38" s="127" t="str">
        <f t="shared" si="25"/>
        <v/>
      </c>
      <c r="BK38" s="127" t="str">
        <f t="shared" si="25"/>
        <v/>
      </c>
      <c r="BL38" s="127" t="str">
        <f t="shared" si="25"/>
        <v/>
      </c>
      <c r="BM38" s="127" t="str">
        <f t="shared" si="25"/>
        <v/>
      </c>
      <c r="BN38" s="127" t="str">
        <f t="shared" si="25"/>
        <v/>
      </c>
      <c r="BO38" s="127" t="str">
        <f t="shared" si="25"/>
        <v/>
      </c>
      <c r="BP38" s="127" t="str">
        <f t="shared" si="25"/>
        <v/>
      </c>
      <c r="BQ38" s="127" t="str">
        <f t="shared" si="27"/>
        <v/>
      </c>
      <c r="BR38" s="127" t="str">
        <f t="shared" si="27"/>
        <v/>
      </c>
      <c r="BS38" s="127" t="str">
        <f t="shared" si="27"/>
        <v/>
      </c>
      <c r="BT38" s="127" t="str">
        <f t="shared" si="27"/>
        <v/>
      </c>
      <c r="BU38" s="127" t="str">
        <f t="shared" si="27"/>
        <v/>
      </c>
      <c r="BV38" s="127" t="str">
        <f t="shared" si="27"/>
        <v/>
      </c>
      <c r="BW38" s="127" t="str">
        <f t="shared" si="27"/>
        <v/>
      </c>
      <c r="BX38" s="127" t="str">
        <f t="shared" si="27"/>
        <v/>
      </c>
      <c r="BY38" s="127" t="str">
        <f t="shared" si="27"/>
        <v/>
      </c>
      <c r="BZ38" s="127" t="str">
        <f t="shared" si="27"/>
        <v/>
      </c>
      <c r="CA38" s="127" t="str">
        <f t="shared" si="27"/>
        <v/>
      </c>
      <c r="CB38" s="127" t="str">
        <f t="shared" si="27"/>
        <v/>
      </c>
      <c r="CC38" s="127" t="str">
        <f t="shared" si="27"/>
        <v/>
      </c>
      <c r="CD38" s="127" t="str">
        <f t="shared" si="27"/>
        <v/>
      </c>
    </row>
    <row r="39" spans="1:82" ht="12.6" customHeight="1" x14ac:dyDescent="0.2">
      <c r="A39" s="106">
        <f>SHIPMENTS!A45</f>
        <v>9143</v>
      </c>
      <c r="B39" s="106" t="str">
        <f>SHIPMENTS!B45</f>
        <v>43301-THAILAND</v>
      </c>
      <c r="C39" s="132">
        <f>SHIPMENTS!F45</f>
        <v>4.75</v>
      </c>
      <c r="D39" s="107" t="str">
        <f>IF((SHIPMENTS!I45)=0,"",SHIPMENTS!I45)</f>
        <v>1x20</v>
      </c>
      <c r="E39" s="176">
        <f>IF((SHIPMENTS!G45)=0,"",SHIPMENTS!G45)</f>
        <v>46332</v>
      </c>
      <c r="F39" s="98">
        <f>VLOOKUP(A39,load!$A$4:$W$5001,22,0)</f>
        <v>154.03408333333334</v>
      </c>
      <c r="G39" s="109">
        <v>13</v>
      </c>
      <c r="H39" s="98">
        <f t="shared" si="17"/>
        <v>118.3</v>
      </c>
      <c r="I39" s="99">
        <f t="shared" si="18"/>
        <v>1.302063257255565</v>
      </c>
      <c r="J39" s="99">
        <f t="shared" si="19"/>
        <v>11.848775641025641</v>
      </c>
      <c r="K39" s="98">
        <f t="shared" si="20"/>
        <v>1.302063257255565</v>
      </c>
      <c r="L39" s="98">
        <f t="shared" si="21"/>
        <v>11.848775641025641</v>
      </c>
      <c r="M39" s="181">
        <f t="shared" si="22"/>
        <v>46326.369163426323</v>
      </c>
      <c r="N39" s="181">
        <f t="shared" si="23"/>
        <v>46327.671226683582</v>
      </c>
      <c r="O39" s="112">
        <f>VLOOKUP(A39,SHIPMENTS!$A$7:$AP$76,42,0)</f>
        <v>0</v>
      </c>
      <c r="P39" s="101"/>
      <c r="Q39" s="127" t="str">
        <f t="shared" si="16"/>
        <v/>
      </c>
      <c r="R39" s="127" t="str">
        <f t="shared" si="16"/>
        <v/>
      </c>
      <c r="S39" s="127" t="str">
        <f t="shared" si="16"/>
        <v/>
      </c>
      <c r="T39" s="127" t="str">
        <f t="shared" si="16"/>
        <v/>
      </c>
      <c r="U39" s="127" t="str">
        <f t="shared" si="16"/>
        <v/>
      </c>
      <c r="V39" s="127" t="str">
        <f t="shared" si="16"/>
        <v/>
      </c>
      <c r="W39" s="127" t="str">
        <f t="shared" si="16"/>
        <v/>
      </c>
      <c r="X39" s="127" t="str">
        <f t="shared" si="16"/>
        <v/>
      </c>
      <c r="Y39" s="127" t="str">
        <f t="shared" si="16"/>
        <v/>
      </c>
      <c r="Z39" s="127" t="str">
        <f t="shared" si="16"/>
        <v/>
      </c>
      <c r="AA39" s="127" t="str">
        <f t="shared" si="16"/>
        <v/>
      </c>
      <c r="AB39" s="127" t="str">
        <f t="shared" si="16"/>
        <v/>
      </c>
      <c r="AC39" s="127" t="str">
        <f t="shared" si="16"/>
        <v/>
      </c>
      <c r="AD39" s="127" t="str">
        <f t="shared" si="16"/>
        <v/>
      </c>
      <c r="AE39" s="127" t="str">
        <f t="shared" si="16"/>
        <v/>
      </c>
      <c r="AF39" s="127" t="str">
        <f t="shared" ref="Q39:AF53" si="28">IF($E39=AF$3,"▲","")</f>
        <v/>
      </c>
      <c r="AG39" s="127" t="str">
        <f t="shared" si="26"/>
        <v>▲</v>
      </c>
      <c r="AH39" s="127" t="str">
        <f t="shared" si="26"/>
        <v/>
      </c>
      <c r="AI39" s="127" t="str">
        <f t="shared" si="26"/>
        <v/>
      </c>
      <c r="AJ39" s="127" t="str">
        <f t="shared" si="26"/>
        <v/>
      </c>
      <c r="AK39" s="127" t="str">
        <f t="shared" si="26"/>
        <v/>
      </c>
      <c r="AL39" s="127" t="str">
        <f t="shared" si="26"/>
        <v/>
      </c>
      <c r="AM39" s="127" t="str">
        <f t="shared" si="26"/>
        <v/>
      </c>
      <c r="AN39" s="127" t="str">
        <f t="shared" si="26"/>
        <v/>
      </c>
      <c r="AO39" s="127" t="str">
        <f t="shared" si="26"/>
        <v/>
      </c>
      <c r="AP39" s="127" t="str">
        <f t="shared" si="26"/>
        <v/>
      </c>
      <c r="AQ39" s="127" t="str">
        <f t="shared" si="26"/>
        <v/>
      </c>
      <c r="AR39" s="127" t="str">
        <f t="shared" si="26"/>
        <v/>
      </c>
      <c r="AS39" s="127" t="str">
        <f t="shared" si="26"/>
        <v/>
      </c>
      <c r="AT39" s="127" t="str">
        <f t="shared" si="26"/>
        <v/>
      </c>
      <c r="AU39" s="127" t="str">
        <f t="shared" si="26"/>
        <v/>
      </c>
      <c r="AV39" s="127" t="str">
        <f t="shared" si="26"/>
        <v/>
      </c>
      <c r="AW39" s="127" t="str">
        <f t="shared" si="24"/>
        <v/>
      </c>
      <c r="AX39" s="127" t="str">
        <f t="shared" si="24"/>
        <v/>
      </c>
      <c r="AY39" s="127" t="str">
        <f t="shared" si="24"/>
        <v/>
      </c>
      <c r="AZ39" s="127" t="str">
        <f t="shared" si="24"/>
        <v/>
      </c>
      <c r="BA39" s="127" t="str">
        <f t="shared" si="25"/>
        <v/>
      </c>
      <c r="BB39" s="127" t="str">
        <f t="shared" si="25"/>
        <v/>
      </c>
      <c r="BC39" s="127" t="str">
        <f t="shared" si="25"/>
        <v/>
      </c>
      <c r="BD39" s="127" t="str">
        <f t="shared" si="25"/>
        <v/>
      </c>
      <c r="BE39" s="127" t="str">
        <f t="shared" si="25"/>
        <v/>
      </c>
      <c r="BF39" s="127" t="str">
        <f t="shared" si="25"/>
        <v/>
      </c>
      <c r="BG39" s="127" t="str">
        <f t="shared" si="25"/>
        <v/>
      </c>
      <c r="BH39" s="127" t="str">
        <f t="shared" si="25"/>
        <v/>
      </c>
      <c r="BI39" s="127" t="str">
        <f t="shared" si="25"/>
        <v/>
      </c>
      <c r="BJ39" s="127" t="str">
        <f t="shared" si="25"/>
        <v/>
      </c>
      <c r="BK39" s="127" t="str">
        <f t="shared" si="25"/>
        <v/>
      </c>
      <c r="BL39" s="127" t="str">
        <f t="shared" si="25"/>
        <v/>
      </c>
      <c r="BM39" s="127" t="str">
        <f t="shared" si="25"/>
        <v/>
      </c>
      <c r="BN39" s="127" t="str">
        <f t="shared" si="25"/>
        <v/>
      </c>
      <c r="BO39" s="127" t="str">
        <f t="shared" si="25"/>
        <v/>
      </c>
      <c r="BP39" s="127" t="str">
        <f t="shared" si="25"/>
        <v/>
      </c>
      <c r="BQ39" s="127" t="str">
        <f t="shared" si="27"/>
        <v/>
      </c>
      <c r="BR39" s="127" t="str">
        <f t="shared" si="27"/>
        <v/>
      </c>
      <c r="BS39" s="127" t="str">
        <f t="shared" si="27"/>
        <v/>
      </c>
      <c r="BT39" s="127" t="str">
        <f t="shared" si="27"/>
        <v/>
      </c>
      <c r="BU39" s="127" t="str">
        <f t="shared" si="27"/>
        <v/>
      </c>
      <c r="BV39" s="127" t="str">
        <f t="shared" si="27"/>
        <v/>
      </c>
      <c r="BW39" s="127" t="str">
        <f t="shared" si="27"/>
        <v/>
      </c>
      <c r="BX39" s="127" t="str">
        <f t="shared" si="27"/>
        <v/>
      </c>
      <c r="BY39" s="127" t="str">
        <f t="shared" si="27"/>
        <v/>
      </c>
      <c r="BZ39" s="127" t="str">
        <f t="shared" si="27"/>
        <v/>
      </c>
      <c r="CA39" s="127" t="str">
        <f t="shared" si="27"/>
        <v/>
      </c>
      <c r="CB39" s="127" t="str">
        <f t="shared" si="27"/>
        <v/>
      </c>
      <c r="CC39" s="127" t="str">
        <f t="shared" si="27"/>
        <v/>
      </c>
      <c r="CD39" s="127" t="str">
        <f t="shared" si="27"/>
        <v/>
      </c>
    </row>
    <row r="40" spans="1:82" ht="12.6" customHeight="1" x14ac:dyDescent="0.2">
      <c r="A40" s="106">
        <f>SHIPMENTS!A46</f>
        <v>9160</v>
      </c>
      <c r="B40" s="106" t="str">
        <f>SHIPMENTS!B46</f>
        <v>51700-MAURITIUS</v>
      </c>
      <c r="C40" s="132">
        <f>SHIPMENTS!F46</f>
        <v>0.97</v>
      </c>
      <c r="D40" s="107" t="str">
        <f>IF((SHIPMENTS!I46)=0,"",SHIPMENTS!I46)</f>
        <v>1x20</v>
      </c>
      <c r="E40" s="176">
        <f>IF((SHIPMENTS!G46)=0,"",SHIPMENTS!G46)</f>
        <v>46332</v>
      </c>
      <c r="F40" s="98">
        <f>VLOOKUP(A40,load!$A$4:$W$5001,22,0)</f>
        <v>302.81249999999989</v>
      </c>
      <c r="G40" s="109">
        <v>13</v>
      </c>
      <c r="H40" s="98">
        <f t="shared" si="17"/>
        <v>118.3</v>
      </c>
      <c r="I40" s="99">
        <f t="shared" si="18"/>
        <v>2.5596999154691455</v>
      </c>
      <c r="J40" s="99">
        <f t="shared" si="19"/>
        <v>23.293269230769223</v>
      </c>
      <c r="K40" s="98">
        <f t="shared" si="20"/>
        <v>2.5596999154691455</v>
      </c>
      <c r="L40" s="98">
        <f t="shared" si="21"/>
        <v>23.293269230769223</v>
      </c>
      <c r="M40" s="181">
        <f t="shared" si="22"/>
        <v>46327.671226683582</v>
      </c>
      <c r="N40" s="181">
        <f t="shared" si="23"/>
        <v>46330.230926599048</v>
      </c>
      <c r="O40" s="112">
        <f>VLOOKUP(A40,SHIPMENTS!$A$7:$AP$76,42,0)</f>
        <v>0</v>
      </c>
      <c r="P40" s="101"/>
      <c r="Q40" s="127" t="str">
        <f t="shared" si="28"/>
        <v/>
      </c>
      <c r="R40" s="127" t="str">
        <f t="shared" si="28"/>
        <v/>
      </c>
      <c r="S40" s="127" t="str">
        <f t="shared" si="28"/>
        <v/>
      </c>
      <c r="T40" s="127" t="str">
        <f t="shared" si="28"/>
        <v/>
      </c>
      <c r="U40" s="127" t="str">
        <f t="shared" si="28"/>
        <v/>
      </c>
      <c r="V40" s="127" t="str">
        <f t="shared" si="28"/>
        <v/>
      </c>
      <c r="W40" s="127" t="str">
        <f t="shared" si="28"/>
        <v/>
      </c>
      <c r="X40" s="127" t="str">
        <f t="shared" si="28"/>
        <v/>
      </c>
      <c r="Y40" s="127" t="str">
        <f t="shared" si="28"/>
        <v/>
      </c>
      <c r="Z40" s="127" t="str">
        <f t="shared" si="28"/>
        <v/>
      </c>
      <c r="AA40" s="127" t="str">
        <f t="shared" si="28"/>
        <v/>
      </c>
      <c r="AB40" s="127" t="str">
        <f t="shared" si="28"/>
        <v/>
      </c>
      <c r="AC40" s="127" t="str">
        <f t="shared" si="28"/>
        <v/>
      </c>
      <c r="AD40" s="127" t="str">
        <f t="shared" si="28"/>
        <v/>
      </c>
      <c r="AE40" s="127" t="str">
        <f t="shared" si="28"/>
        <v/>
      </c>
      <c r="AF40" s="127" t="str">
        <f t="shared" si="28"/>
        <v/>
      </c>
      <c r="AG40" s="127" t="str">
        <f t="shared" si="26"/>
        <v>▲</v>
      </c>
      <c r="AH40" s="127" t="str">
        <f t="shared" si="26"/>
        <v/>
      </c>
      <c r="AI40" s="127" t="str">
        <f t="shared" si="26"/>
        <v/>
      </c>
      <c r="AJ40" s="127" t="str">
        <f t="shared" si="26"/>
        <v/>
      </c>
      <c r="AK40" s="127" t="str">
        <f t="shared" si="26"/>
        <v/>
      </c>
      <c r="AL40" s="127" t="str">
        <f t="shared" si="26"/>
        <v/>
      </c>
      <c r="AM40" s="127" t="str">
        <f t="shared" si="26"/>
        <v/>
      </c>
      <c r="AN40" s="127" t="str">
        <f t="shared" si="26"/>
        <v/>
      </c>
      <c r="AO40" s="127" t="str">
        <f t="shared" si="26"/>
        <v/>
      </c>
      <c r="AP40" s="127" t="str">
        <f t="shared" si="26"/>
        <v/>
      </c>
      <c r="AQ40" s="127" t="str">
        <f t="shared" si="26"/>
        <v/>
      </c>
      <c r="AR40" s="127" t="str">
        <f t="shared" si="26"/>
        <v/>
      </c>
      <c r="AS40" s="127" t="str">
        <f t="shared" si="26"/>
        <v/>
      </c>
      <c r="AT40" s="127" t="str">
        <f t="shared" si="26"/>
        <v/>
      </c>
      <c r="AU40" s="127" t="str">
        <f t="shared" si="26"/>
        <v/>
      </c>
      <c r="AV40" s="127" t="str">
        <f t="shared" si="26"/>
        <v/>
      </c>
      <c r="AW40" s="127" t="str">
        <f t="shared" si="24"/>
        <v/>
      </c>
      <c r="AX40" s="127" t="str">
        <f t="shared" si="24"/>
        <v/>
      </c>
      <c r="AY40" s="127" t="str">
        <f t="shared" si="24"/>
        <v/>
      </c>
      <c r="AZ40" s="127" t="str">
        <f t="shared" si="24"/>
        <v/>
      </c>
      <c r="BA40" s="127" t="str">
        <f t="shared" si="25"/>
        <v/>
      </c>
      <c r="BB40" s="127" t="str">
        <f t="shared" si="25"/>
        <v/>
      </c>
      <c r="BC40" s="127" t="str">
        <f t="shared" si="25"/>
        <v/>
      </c>
      <c r="BD40" s="127" t="str">
        <f t="shared" si="25"/>
        <v/>
      </c>
      <c r="BE40" s="127" t="str">
        <f t="shared" si="25"/>
        <v/>
      </c>
      <c r="BF40" s="127" t="str">
        <f t="shared" si="25"/>
        <v/>
      </c>
      <c r="BG40" s="127" t="str">
        <f t="shared" si="25"/>
        <v/>
      </c>
      <c r="BH40" s="127" t="str">
        <f t="shared" si="25"/>
        <v/>
      </c>
      <c r="BI40" s="127" t="str">
        <f t="shared" si="25"/>
        <v/>
      </c>
      <c r="BJ40" s="127" t="str">
        <f t="shared" si="25"/>
        <v/>
      </c>
      <c r="BK40" s="127" t="str">
        <f t="shared" si="25"/>
        <v/>
      </c>
      <c r="BL40" s="127" t="str">
        <f t="shared" si="25"/>
        <v/>
      </c>
      <c r="BM40" s="127" t="str">
        <f t="shared" si="25"/>
        <v/>
      </c>
      <c r="BN40" s="127" t="str">
        <f t="shared" si="25"/>
        <v/>
      </c>
      <c r="BO40" s="127" t="str">
        <f t="shared" si="25"/>
        <v/>
      </c>
      <c r="BP40" s="127" t="str">
        <f t="shared" si="25"/>
        <v/>
      </c>
      <c r="BQ40" s="127" t="str">
        <f t="shared" si="27"/>
        <v/>
      </c>
      <c r="BR40" s="127" t="str">
        <f t="shared" si="27"/>
        <v/>
      </c>
      <c r="BS40" s="127" t="str">
        <f t="shared" si="27"/>
        <v/>
      </c>
      <c r="BT40" s="127" t="str">
        <f t="shared" si="27"/>
        <v/>
      </c>
      <c r="BU40" s="127" t="str">
        <f t="shared" si="27"/>
        <v/>
      </c>
      <c r="BV40" s="127" t="str">
        <f t="shared" si="27"/>
        <v/>
      </c>
      <c r="BW40" s="127" t="str">
        <f t="shared" si="27"/>
        <v/>
      </c>
      <c r="BX40" s="127" t="str">
        <f t="shared" si="27"/>
        <v/>
      </c>
      <c r="BY40" s="127" t="str">
        <f t="shared" si="27"/>
        <v/>
      </c>
      <c r="BZ40" s="127" t="str">
        <f t="shared" si="27"/>
        <v/>
      </c>
      <c r="CA40" s="127" t="str">
        <f t="shared" si="27"/>
        <v/>
      </c>
      <c r="CB40" s="127" t="str">
        <f t="shared" si="27"/>
        <v/>
      </c>
      <c r="CC40" s="127" t="str">
        <f t="shared" si="27"/>
        <v/>
      </c>
      <c r="CD40" s="127" t="str">
        <f t="shared" si="27"/>
        <v/>
      </c>
    </row>
    <row r="41" spans="1:82" ht="12.6" hidden="1" customHeight="1" x14ac:dyDescent="0.2">
      <c r="A41" s="106">
        <f>SHIPMENTS!A47</f>
        <v>9164</v>
      </c>
      <c r="B41" s="106" t="str">
        <f>SHIPMENTS!B47</f>
        <v>1500-SAWO SAUNA EUROPE BV BACKLOG</v>
      </c>
      <c r="C41" s="132">
        <f>SHIPMENTS!F47</f>
        <v>100.97952000000001</v>
      </c>
      <c r="D41" s="107" t="str">
        <f>IF((SHIPMENTS!I47)=0,"",SHIPMENTS!I47)</f>
        <v>1X40HC</v>
      </c>
      <c r="E41" s="176">
        <f>IF((SHIPMENTS!G47)=0,"",SHIPMENTS!G47)</f>
        <v>46339</v>
      </c>
      <c r="F41" s="98">
        <f>VLOOKUP(A41,load!$A$4:$W$5001,22,0)</f>
        <v>123.19166666666669</v>
      </c>
      <c r="G41" s="109">
        <v>13</v>
      </c>
      <c r="H41" s="98">
        <f t="shared" si="17"/>
        <v>118.3</v>
      </c>
      <c r="I41" s="99">
        <f t="shared" si="18"/>
        <v>1.0413496759650609</v>
      </c>
      <c r="J41" s="99">
        <f t="shared" si="19"/>
        <v>9.4762820512820536</v>
      </c>
      <c r="K41" s="98">
        <f t="shared" si="20"/>
        <v>0</v>
      </c>
      <c r="L41" s="98">
        <f t="shared" si="21"/>
        <v>0</v>
      </c>
      <c r="M41" s="181">
        <f t="shared" si="22"/>
        <v>46330.230926599048</v>
      </c>
      <c r="N41" s="181">
        <f t="shared" si="23"/>
        <v>46330.230926599048</v>
      </c>
      <c r="O41" s="112" t="str">
        <f>VLOOKUP(A41,SHIPMENTS!$A$7:$AP$76,42,0)</f>
        <v>n/a</v>
      </c>
      <c r="P41" s="101"/>
      <c r="Q41" s="127" t="str">
        <f t="shared" si="28"/>
        <v/>
      </c>
      <c r="R41" s="127" t="str">
        <f t="shared" si="28"/>
        <v/>
      </c>
      <c r="S41" s="127" t="str">
        <f t="shared" si="28"/>
        <v/>
      </c>
      <c r="T41" s="127" t="str">
        <f t="shared" si="28"/>
        <v/>
      </c>
      <c r="U41" s="127" t="str">
        <f t="shared" si="28"/>
        <v/>
      </c>
      <c r="V41" s="127" t="str">
        <f t="shared" si="28"/>
        <v/>
      </c>
      <c r="W41" s="127" t="str">
        <f t="shared" si="28"/>
        <v/>
      </c>
      <c r="X41" s="127" t="str">
        <f t="shared" si="28"/>
        <v/>
      </c>
      <c r="Y41" s="127" t="str">
        <f t="shared" si="28"/>
        <v/>
      </c>
      <c r="Z41" s="127" t="str">
        <f t="shared" si="28"/>
        <v/>
      </c>
      <c r="AA41" s="127" t="str">
        <f t="shared" si="28"/>
        <v/>
      </c>
      <c r="AB41" s="127" t="str">
        <f t="shared" si="28"/>
        <v/>
      </c>
      <c r="AC41" s="127" t="str">
        <f t="shared" si="28"/>
        <v/>
      </c>
      <c r="AD41" s="127" t="str">
        <f t="shared" si="28"/>
        <v/>
      </c>
      <c r="AE41" s="127" t="str">
        <f t="shared" si="28"/>
        <v/>
      </c>
      <c r="AF41" s="127" t="str">
        <f t="shared" si="28"/>
        <v/>
      </c>
      <c r="AG41" s="127" t="str">
        <f t="shared" si="26"/>
        <v/>
      </c>
      <c r="AH41" s="127" t="str">
        <f t="shared" si="26"/>
        <v/>
      </c>
      <c r="AI41" s="127" t="str">
        <f t="shared" si="26"/>
        <v/>
      </c>
      <c r="AJ41" s="127" t="str">
        <f t="shared" si="26"/>
        <v/>
      </c>
      <c r="AK41" s="127" t="str">
        <f t="shared" si="26"/>
        <v/>
      </c>
      <c r="AL41" s="127" t="str">
        <f t="shared" si="26"/>
        <v/>
      </c>
      <c r="AM41" s="127" t="str">
        <f t="shared" si="26"/>
        <v>▲</v>
      </c>
      <c r="AN41" s="127" t="str">
        <f t="shared" si="26"/>
        <v/>
      </c>
      <c r="AO41" s="127" t="str">
        <f t="shared" si="26"/>
        <v/>
      </c>
      <c r="AP41" s="127" t="str">
        <f t="shared" si="26"/>
        <v/>
      </c>
      <c r="AQ41" s="127" t="str">
        <f t="shared" si="26"/>
        <v/>
      </c>
      <c r="AR41" s="127" t="str">
        <f t="shared" si="26"/>
        <v/>
      </c>
      <c r="AS41" s="127" t="str">
        <f t="shared" si="26"/>
        <v/>
      </c>
      <c r="AT41" s="127" t="str">
        <f t="shared" si="26"/>
        <v/>
      </c>
      <c r="AU41" s="127" t="str">
        <f t="shared" si="26"/>
        <v/>
      </c>
      <c r="AV41" s="127" t="str">
        <f t="shared" si="26"/>
        <v/>
      </c>
      <c r="AW41" s="127" t="str">
        <f t="shared" si="24"/>
        <v/>
      </c>
      <c r="AX41" s="127" t="str">
        <f t="shared" si="24"/>
        <v/>
      </c>
      <c r="AY41" s="127" t="str">
        <f t="shared" si="24"/>
        <v/>
      </c>
      <c r="AZ41" s="127" t="str">
        <f t="shared" si="24"/>
        <v/>
      </c>
      <c r="BA41" s="127" t="str">
        <f t="shared" si="25"/>
        <v/>
      </c>
      <c r="BB41" s="127" t="str">
        <f t="shared" si="25"/>
        <v/>
      </c>
      <c r="BC41" s="127" t="str">
        <f t="shared" si="25"/>
        <v/>
      </c>
      <c r="BD41" s="127" t="str">
        <f t="shared" si="25"/>
        <v/>
      </c>
      <c r="BE41" s="127" t="str">
        <f t="shared" si="25"/>
        <v/>
      </c>
      <c r="BF41" s="127" t="str">
        <f t="shared" si="25"/>
        <v/>
      </c>
      <c r="BG41" s="127" t="str">
        <f t="shared" si="25"/>
        <v/>
      </c>
      <c r="BH41" s="127" t="str">
        <f t="shared" si="25"/>
        <v/>
      </c>
      <c r="BI41" s="127" t="str">
        <f t="shared" si="25"/>
        <v/>
      </c>
      <c r="BJ41" s="127" t="str">
        <f t="shared" si="25"/>
        <v/>
      </c>
      <c r="BK41" s="127" t="str">
        <f t="shared" si="25"/>
        <v/>
      </c>
      <c r="BL41" s="127" t="str">
        <f t="shared" si="25"/>
        <v/>
      </c>
      <c r="BM41" s="127" t="str">
        <f t="shared" si="25"/>
        <v/>
      </c>
      <c r="BN41" s="127" t="str">
        <f t="shared" si="25"/>
        <v/>
      </c>
      <c r="BO41" s="127" t="str">
        <f t="shared" si="25"/>
        <v/>
      </c>
      <c r="BP41" s="127" t="str">
        <f t="shared" si="25"/>
        <v/>
      </c>
      <c r="BQ41" s="127" t="str">
        <f t="shared" si="27"/>
        <v/>
      </c>
      <c r="BR41" s="127" t="str">
        <f t="shared" si="27"/>
        <v/>
      </c>
      <c r="BS41" s="127" t="str">
        <f t="shared" si="27"/>
        <v/>
      </c>
      <c r="BT41" s="127" t="str">
        <f t="shared" si="27"/>
        <v/>
      </c>
      <c r="BU41" s="127" t="str">
        <f t="shared" si="27"/>
        <v/>
      </c>
      <c r="BV41" s="127" t="str">
        <f t="shared" si="27"/>
        <v/>
      </c>
      <c r="BW41" s="127" t="str">
        <f t="shared" si="27"/>
        <v/>
      </c>
      <c r="BX41" s="127" t="str">
        <f t="shared" si="27"/>
        <v/>
      </c>
      <c r="BY41" s="127" t="str">
        <f t="shared" si="27"/>
        <v/>
      </c>
      <c r="BZ41" s="127" t="str">
        <f t="shared" si="27"/>
        <v/>
      </c>
      <c r="CA41" s="127" t="str">
        <f t="shared" si="27"/>
        <v/>
      </c>
      <c r="CB41" s="127" t="str">
        <f t="shared" si="27"/>
        <v/>
      </c>
      <c r="CC41" s="127" t="str">
        <f t="shared" si="27"/>
        <v/>
      </c>
      <c r="CD41" s="127" t="str">
        <f t="shared" si="27"/>
        <v/>
      </c>
    </row>
    <row r="42" spans="1:82" ht="12.6" hidden="1" customHeight="1" x14ac:dyDescent="0.2">
      <c r="A42" s="106">
        <f>SHIPMENTS!A48</f>
        <v>9288</v>
      </c>
      <c r="B42" s="106" t="str">
        <f>SHIPMENTS!B48</f>
        <v>12100-HOLLAND HALU</v>
      </c>
      <c r="C42" s="132">
        <f>SHIPMENTS!F48</f>
        <v>0</v>
      </c>
      <c r="D42" s="107" t="str">
        <f>IF((SHIPMENTS!I48)=0,"",SHIPMENTS!I48)</f>
        <v/>
      </c>
      <c r="E42" s="176">
        <f>IF((SHIPMENTS!G48)=0,"",SHIPMENTS!G48)</f>
        <v>46339</v>
      </c>
      <c r="F42" s="98">
        <f>VLOOKUP(A42,load!$A$4:$W$5001,22,0)</f>
        <v>0</v>
      </c>
      <c r="G42" s="109">
        <v>13</v>
      </c>
      <c r="H42" s="98">
        <f t="shared" si="17"/>
        <v>118.3</v>
      </c>
      <c r="I42" s="99">
        <f t="shared" si="18"/>
        <v>0</v>
      </c>
      <c r="J42" s="99">
        <f t="shared" si="19"/>
        <v>0</v>
      </c>
      <c r="K42" s="98">
        <f t="shared" si="20"/>
        <v>0</v>
      </c>
      <c r="L42" s="98">
        <f t="shared" si="21"/>
        <v>0</v>
      </c>
      <c r="M42" s="181">
        <f t="shared" si="22"/>
        <v>46330.230926599048</v>
      </c>
      <c r="N42" s="181">
        <f t="shared" si="23"/>
        <v>46330.230926599048</v>
      </c>
      <c r="O42" s="112" t="str">
        <f>VLOOKUP(A42,SHIPMENTS!$A$7:$AP$76,42,0)</f>
        <v>n/a</v>
      </c>
      <c r="P42" s="101"/>
      <c r="Q42" s="127" t="str">
        <f t="shared" si="28"/>
        <v/>
      </c>
      <c r="R42" s="127" t="str">
        <f t="shared" si="28"/>
        <v/>
      </c>
      <c r="S42" s="127" t="str">
        <f t="shared" si="28"/>
        <v/>
      </c>
      <c r="T42" s="127" t="str">
        <f t="shared" si="28"/>
        <v/>
      </c>
      <c r="U42" s="127" t="str">
        <f t="shared" si="28"/>
        <v/>
      </c>
      <c r="V42" s="127" t="str">
        <f t="shared" si="28"/>
        <v/>
      </c>
      <c r="W42" s="127" t="str">
        <f t="shared" si="28"/>
        <v/>
      </c>
      <c r="X42" s="127" t="str">
        <f t="shared" si="28"/>
        <v/>
      </c>
      <c r="Y42" s="127" t="str">
        <f t="shared" si="28"/>
        <v/>
      </c>
      <c r="Z42" s="127" t="str">
        <f t="shared" si="28"/>
        <v/>
      </c>
      <c r="AA42" s="127" t="str">
        <f t="shared" si="28"/>
        <v/>
      </c>
      <c r="AB42" s="127" t="str">
        <f t="shared" si="28"/>
        <v/>
      </c>
      <c r="AC42" s="127" t="str">
        <f t="shared" si="28"/>
        <v/>
      </c>
      <c r="AD42" s="127" t="str">
        <f t="shared" si="28"/>
        <v/>
      </c>
      <c r="AE42" s="127" t="str">
        <f t="shared" si="28"/>
        <v/>
      </c>
      <c r="AF42" s="127" t="str">
        <f t="shared" si="28"/>
        <v/>
      </c>
      <c r="AG42" s="127" t="str">
        <f t="shared" si="26"/>
        <v/>
      </c>
      <c r="AH42" s="127" t="str">
        <f t="shared" si="26"/>
        <v/>
      </c>
      <c r="AI42" s="127" t="str">
        <f t="shared" si="26"/>
        <v/>
      </c>
      <c r="AJ42" s="127" t="str">
        <f t="shared" si="26"/>
        <v/>
      </c>
      <c r="AK42" s="127" t="str">
        <f t="shared" si="26"/>
        <v/>
      </c>
      <c r="AL42" s="127" t="str">
        <f t="shared" si="26"/>
        <v/>
      </c>
      <c r="AM42" s="127" t="str">
        <f t="shared" si="26"/>
        <v>▲</v>
      </c>
      <c r="AN42" s="127" t="str">
        <f t="shared" si="26"/>
        <v/>
      </c>
      <c r="AO42" s="127" t="str">
        <f t="shared" si="26"/>
        <v/>
      </c>
      <c r="AP42" s="127" t="str">
        <f t="shared" si="26"/>
        <v/>
      </c>
      <c r="AQ42" s="127" t="str">
        <f t="shared" si="26"/>
        <v/>
      </c>
      <c r="AR42" s="127" t="str">
        <f t="shared" si="26"/>
        <v/>
      </c>
      <c r="AS42" s="127" t="str">
        <f t="shared" si="26"/>
        <v/>
      </c>
      <c r="AT42" s="127" t="str">
        <f t="shared" si="26"/>
        <v/>
      </c>
      <c r="AU42" s="127" t="str">
        <f t="shared" si="26"/>
        <v/>
      </c>
      <c r="AV42" s="127" t="str">
        <f t="shared" si="26"/>
        <v/>
      </c>
      <c r="AW42" s="127" t="str">
        <f t="shared" si="24"/>
        <v/>
      </c>
      <c r="AX42" s="127" t="str">
        <f t="shared" si="24"/>
        <v/>
      </c>
      <c r="AY42" s="127" t="str">
        <f t="shared" si="24"/>
        <v/>
      </c>
      <c r="AZ42" s="127" t="str">
        <f t="shared" si="24"/>
        <v/>
      </c>
      <c r="BA42" s="127" t="str">
        <f t="shared" si="25"/>
        <v/>
      </c>
      <c r="BB42" s="127" t="str">
        <f t="shared" si="25"/>
        <v/>
      </c>
      <c r="BC42" s="127" t="str">
        <f t="shared" si="25"/>
        <v/>
      </c>
      <c r="BD42" s="127" t="str">
        <f t="shared" si="25"/>
        <v/>
      </c>
      <c r="BE42" s="127" t="str">
        <f t="shared" si="25"/>
        <v/>
      </c>
      <c r="BF42" s="127" t="str">
        <f t="shared" si="25"/>
        <v/>
      </c>
      <c r="BG42" s="127" t="str">
        <f t="shared" si="25"/>
        <v/>
      </c>
      <c r="BH42" s="127" t="str">
        <f t="shared" si="25"/>
        <v/>
      </c>
      <c r="BI42" s="127" t="str">
        <f t="shared" si="25"/>
        <v/>
      </c>
      <c r="BJ42" s="127" t="str">
        <f t="shared" si="25"/>
        <v/>
      </c>
      <c r="BK42" s="127" t="str">
        <f t="shared" si="25"/>
        <v/>
      </c>
      <c r="BL42" s="127" t="str">
        <f t="shared" si="25"/>
        <v/>
      </c>
      <c r="BM42" s="127" t="str">
        <f t="shared" si="25"/>
        <v/>
      </c>
      <c r="BN42" s="127" t="str">
        <f t="shared" si="25"/>
        <v/>
      </c>
      <c r="BO42" s="127" t="str">
        <f t="shared" si="25"/>
        <v/>
      </c>
      <c r="BP42" s="127" t="str">
        <f t="shared" si="25"/>
        <v/>
      </c>
      <c r="BQ42" s="127" t="str">
        <f t="shared" si="27"/>
        <v/>
      </c>
      <c r="BR42" s="127" t="str">
        <f t="shared" si="27"/>
        <v/>
      </c>
      <c r="BS42" s="127" t="str">
        <f t="shared" si="27"/>
        <v/>
      </c>
      <c r="BT42" s="127" t="str">
        <f t="shared" si="27"/>
        <v/>
      </c>
      <c r="BU42" s="127" t="str">
        <f t="shared" si="27"/>
        <v/>
      </c>
      <c r="BV42" s="127" t="str">
        <f t="shared" si="27"/>
        <v/>
      </c>
      <c r="BW42" s="127" t="str">
        <f t="shared" si="27"/>
        <v/>
      </c>
      <c r="BX42" s="127" t="str">
        <f t="shared" si="27"/>
        <v/>
      </c>
      <c r="BY42" s="127" t="str">
        <f t="shared" si="27"/>
        <v/>
      </c>
      <c r="BZ42" s="127" t="str">
        <f t="shared" si="27"/>
        <v/>
      </c>
      <c r="CA42" s="127" t="str">
        <f t="shared" si="27"/>
        <v/>
      </c>
      <c r="CB42" s="127" t="str">
        <f t="shared" si="27"/>
        <v/>
      </c>
      <c r="CC42" s="127" t="str">
        <f t="shared" si="27"/>
        <v/>
      </c>
      <c r="CD42" s="127" t="str">
        <f t="shared" si="27"/>
        <v/>
      </c>
    </row>
    <row r="43" spans="1:82" ht="12.6" hidden="1" customHeight="1" x14ac:dyDescent="0.2">
      <c r="A43" s="106" t="str">
        <f>SHIPMENTS!A49</f>
        <v>SSE BACKLOG</v>
      </c>
      <c r="B43" s="106" t="str">
        <f>SHIPMENTS!B49</f>
        <v>11500-SAWO SAUNA EUROPE BV</v>
      </c>
      <c r="C43" s="132">
        <f>SHIPMENTS!F49</f>
        <v>0</v>
      </c>
      <c r="D43" s="107" t="str">
        <f>IF((SHIPMENTS!I49)=0,"",SHIPMENTS!I49)</f>
        <v/>
      </c>
      <c r="E43" s="176">
        <f>IF((SHIPMENTS!G49)=0,"",SHIPMENTS!G49)</f>
        <v>46339</v>
      </c>
      <c r="F43" s="98">
        <f>VLOOKUP(A43,load!$A$4:$W$5001,22,0)</f>
        <v>17.629166666666666</v>
      </c>
      <c r="G43" s="109">
        <v>13</v>
      </c>
      <c r="H43" s="98">
        <f t="shared" si="17"/>
        <v>118.3</v>
      </c>
      <c r="I43" s="99">
        <f t="shared" si="18"/>
        <v>0.14902085094392786</v>
      </c>
      <c r="J43" s="99">
        <f t="shared" si="19"/>
        <v>1.3560897435897434</v>
      </c>
      <c r="K43" s="98">
        <f t="shared" si="20"/>
        <v>0</v>
      </c>
      <c r="L43" s="98">
        <f t="shared" si="21"/>
        <v>0</v>
      </c>
      <c r="M43" s="181">
        <f t="shared" si="22"/>
        <v>46330.230926599048</v>
      </c>
      <c r="N43" s="181">
        <f t="shared" si="23"/>
        <v>46330.230926599048</v>
      </c>
      <c r="O43" s="112" t="str">
        <f>VLOOKUP(A43,SHIPMENTS!$A$7:$AP$76,42,0)</f>
        <v>n/a</v>
      </c>
      <c r="P43" s="101"/>
      <c r="Q43" s="127" t="str">
        <f t="shared" si="28"/>
        <v/>
      </c>
      <c r="R43" s="127" t="str">
        <f t="shared" si="28"/>
        <v/>
      </c>
      <c r="S43" s="127" t="str">
        <f t="shared" si="28"/>
        <v/>
      </c>
      <c r="T43" s="127" t="str">
        <f t="shared" si="28"/>
        <v/>
      </c>
      <c r="U43" s="127" t="str">
        <f t="shared" si="28"/>
        <v/>
      </c>
      <c r="V43" s="127" t="str">
        <f t="shared" si="28"/>
        <v/>
      </c>
      <c r="W43" s="127" t="str">
        <f t="shared" si="28"/>
        <v/>
      </c>
      <c r="X43" s="127" t="str">
        <f t="shared" si="28"/>
        <v/>
      </c>
      <c r="Y43" s="127" t="str">
        <f t="shared" si="28"/>
        <v/>
      </c>
      <c r="Z43" s="127" t="str">
        <f t="shared" si="28"/>
        <v/>
      </c>
      <c r="AA43" s="127" t="str">
        <f t="shared" si="28"/>
        <v/>
      </c>
      <c r="AB43" s="127" t="str">
        <f t="shared" si="28"/>
        <v/>
      </c>
      <c r="AC43" s="127" t="str">
        <f t="shared" si="28"/>
        <v/>
      </c>
      <c r="AD43" s="127" t="str">
        <f t="shared" si="28"/>
        <v/>
      </c>
      <c r="AE43" s="127" t="str">
        <f t="shared" si="28"/>
        <v/>
      </c>
      <c r="AF43" s="127" t="str">
        <f t="shared" si="28"/>
        <v/>
      </c>
      <c r="AG43" s="127" t="str">
        <f t="shared" si="26"/>
        <v/>
      </c>
      <c r="AH43" s="127" t="str">
        <f t="shared" si="26"/>
        <v/>
      </c>
      <c r="AI43" s="127" t="str">
        <f t="shared" si="26"/>
        <v/>
      </c>
      <c r="AJ43" s="127" t="str">
        <f t="shared" si="26"/>
        <v/>
      </c>
      <c r="AK43" s="127" t="str">
        <f t="shared" si="26"/>
        <v/>
      </c>
      <c r="AL43" s="127" t="str">
        <f t="shared" si="26"/>
        <v/>
      </c>
      <c r="AM43" s="127" t="str">
        <f t="shared" si="26"/>
        <v>▲</v>
      </c>
      <c r="AN43" s="127" t="str">
        <f t="shared" si="26"/>
        <v/>
      </c>
      <c r="AO43" s="127" t="str">
        <f t="shared" si="26"/>
        <v/>
      </c>
      <c r="AP43" s="127" t="str">
        <f t="shared" si="26"/>
        <v/>
      </c>
      <c r="AQ43" s="127" t="str">
        <f t="shared" si="26"/>
        <v/>
      </c>
      <c r="AR43" s="127" t="str">
        <f t="shared" si="26"/>
        <v/>
      </c>
      <c r="AS43" s="127" t="str">
        <f t="shared" si="26"/>
        <v/>
      </c>
      <c r="AT43" s="127" t="str">
        <f t="shared" si="26"/>
        <v/>
      </c>
      <c r="AU43" s="127" t="str">
        <f t="shared" si="26"/>
        <v/>
      </c>
      <c r="AV43" s="127" t="str">
        <f t="shared" si="26"/>
        <v/>
      </c>
      <c r="AW43" s="127" t="str">
        <f t="shared" si="24"/>
        <v/>
      </c>
      <c r="AX43" s="127" t="str">
        <f t="shared" si="24"/>
        <v/>
      </c>
      <c r="AY43" s="127" t="str">
        <f t="shared" si="24"/>
        <v/>
      </c>
      <c r="AZ43" s="127" t="str">
        <f t="shared" si="24"/>
        <v/>
      </c>
      <c r="BA43" s="127" t="str">
        <f t="shared" si="25"/>
        <v/>
      </c>
      <c r="BB43" s="127" t="str">
        <f t="shared" si="25"/>
        <v/>
      </c>
      <c r="BC43" s="127" t="str">
        <f t="shared" si="25"/>
        <v/>
      </c>
      <c r="BD43" s="127" t="str">
        <f t="shared" si="25"/>
        <v/>
      </c>
      <c r="BE43" s="127" t="str">
        <f t="shared" si="25"/>
        <v/>
      </c>
      <c r="BF43" s="127" t="str">
        <f t="shared" si="25"/>
        <v/>
      </c>
      <c r="BG43" s="127" t="str">
        <f t="shared" si="25"/>
        <v/>
      </c>
      <c r="BH43" s="127" t="str">
        <f t="shared" si="25"/>
        <v/>
      </c>
      <c r="BI43" s="127" t="str">
        <f t="shared" si="25"/>
        <v/>
      </c>
      <c r="BJ43" s="127" t="str">
        <f t="shared" si="25"/>
        <v/>
      </c>
      <c r="BK43" s="127" t="str">
        <f t="shared" si="25"/>
        <v/>
      </c>
      <c r="BL43" s="127" t="str">
        <f t="shared" si="25"/>
        <v/>
      </c>
      <c r="BM43" s="127" t="str">
        <f t="shared" si="25"/>
        <v/>
      </c>
      <c r="BN43" s="127" t="str">
        <f t="shared" si="25"/>
        <v/>
      </c>
      <c r="BO43" s="127" t="str">
        <f t="shared" si="25"/>
        <v/>
      </c>
      <c r="BP43" s="127" t="str">
        <f t="shared" si="25"/>
        <v/>
      </c>
      <c r="BQ43" s="127" t="str">
        <f t="shared" si="27"/>
        <v/>
      </c>
      <c r="BR43" s="127" t="str">
        <f t="shared" si="27"/>
        <v/>
      </c>
      <c r="BS43" s="127" t="str">
        <f t="shared" si="27"/>
        <v/>
      </c>
      <c r="BT43" s="127" t="str">
        <f t="shared" si="27"/>
        <v/>
      </c>
      <c r="BU43" s="127" t="str">
        <f t="shared" si="27"/>
        <v/>
      </c>
      <c r="BV43" s="127" t="str">
        <f t="shared" si="27"/>
        <v/>
      </c>
      <c r="BW43" s="127" t="str">
        <f t="shared" si="27"/>
        <v/>
      </c>
      <c r="BX43" s="127" t="str">
        <f t="shared" si="27"/>
        <v/>
      </c>
      <c r="BY43" s="127" t="str">
        <f t="shared" si="27"/>
        <v/>
      </c>
      <c r="BZ43" s="127" t="str">
        <f t="shared" si="27"/>
        <v/>
      </c>
      <c r="CA43" s="127" t="str">
        <f t="shared" si="27"/>
        <v/>
      </c>
      <c r="CB43" s="127" t="str">
        <f t="shared" si="27"/>
        <v/>
      </c>
      <c r="CC43" s="127" t="str">
        <f t="shared" si="27"/>
        <v/>
      </c>
      <c r="CD43" s="127" t="str">
        <f t="shared" si="27"/>
        <v/>
      </c>
    </row>
    <row r="44" spans="1:82" ht="12.6" customHeight="1" x14ac:dyDescent="0.2">
      <c r="A44" s="106">
        <f>SHIPMENTS!A50</f>
        <v>9113</v>
      </c>
      <c r="B44" s="106" t="str">
        <f>SHIPMENTS!B50</f>
        <v>15900- Mandaue |Stephen Chian</v>
      </c>
      <c r="C44" s="132">
        <f>SHIPMENTS!F50</f>
        <v>0.34</v>
      </c>
      <c r="D44" s="107" t="str">
        <f>IF((SHIPMENTS!I50)=0,"",SHIPMENTS!I50)</f>
        <v/>
      </c>
      <c r="E44" s="176">
        <f>IF((SHIPMENTS!G50)=0,"",SHIPMENTS!G50)</f>
        <v>46351</v>
      </c>
      <c r="F44" s="98">
        <f>VLOOKUP(A44,load!$A$4:$W$5001,22,0)</f>
        <v>64.361333333333334</v>
      </c>
      <c r="G44" s="109">
        <v>13</v>
      </c>
      <c r="H44" s="98">
        <f t="shared" si="17"/>
        <v>118.3</v>
      </c>
      <c r="I44" s="99">
        <f t="shared" si="18"/>
        <v>0.54405184559030717</v>
      </c>
      <c r="J44" s="99">
        <f t="shared" si="19"/>
        <v>4.9508717948717953</v>
      </c>
      <c r="K44" s="98">
        <f t="shared" si="20"/>
        <v>0.54405184559030717</v>
      </c>
      <c r="L44" s="98">
        <f t="shared" si="21"/>
        <v>4.9508717948717953</v>
      </c>
      <c r="M44" s="181">
        <f t="shared" si="22"/>
        <v>46330.230926599048</v>
      </c>
      <c r="N44" s="181">
        <f t="shared" si="23"/>
        <v>46330.774978444635</v>
      </c>
      <c r="O44" s="112">
        <f>VLOOKUP(A44,SHIPMENTS!$A$7:$AP$76,42,0)</f>
        <v>0</v>
      </c>
      <c r="P44" s="101"/>
      <c r="Q44" s="127" t="str">
        <f t="shared" si="28"/>
        <v/>
      </c>
      <c r="R44" s="127" t="str">
        <f t="shared" si="28"/>
        <v/>
      </c>
      <c r="S44" s="127" t="str">
        <f t="shared" si="28"/>
        <v/>
      </c>
      <c r="T44" s="127" t="str">
        <f t="shared" si="28"/>
        <v/>
      </c>
      <c r="U44" s="127" t="str">
        <f t="shared" si="28"/>
        <v/>
      </c>
      <c r="V44" s="127" t="str">
        <f t="shared" si="28"/>
        <v/>
      </c>
      <c r="W44" s="127" t="str">
        <f t="shared" si="28"/>
        <v/>
      </c>
      <c r="X44" s="127" t="str">
        <f t="shared" si="28"/>
        <v/>
      </c>
      <c r="Y44" s="127" t="str">
        <f t="shared" si="28"/>
        <v/>
      </c>
      <c r="Z44" s="127" t="str">
        <f t="shared" si="28"/>
        <v/>
      </c>
      <c r="AA44" s="127" t="str">
        <f t="shared" si="28"/>
        <v/>
      </c>
      <c r="AB44" s="127" t="str">
        <f t="shared" si="28"/>
        <v/>
      </c>
      <c r="AC44" s="127" t="str">
        <f t="shared" si="28"/>
        <v/>
      </c>
      <c r="AD44" s="127" t="str">
        <f t="shared" si="28"/>
        <v/>
      </c>
      <c r="AE44" s="127" t="str">
        <f t="shared" si="28"/>
        <v/>
      </c>
      <c r="AF44" s="127" t="str">
        <f t="shared" si="28"/>
        <v/>
      </c>
      <c r="AG44" s="127" t="str">
        <f t="shared" si="26"/>
        <v/>
      </c>
      <c r="AH44" s="127" t="str">
        <f t="shared" si="26"/>
        <v/>
      </c>
      <c r="AI44" s="127" t="str">
        <f t="shared" si="26"/>
        <v/>
      </c>
      <c r="AJ44" s="127" t="str">
        <f t="shared" si="26"/>
        <v/>
      </c>
      <c r="AK44" s="127" t="str">
        <f t="shared" si="26"/>
        <v/>
      </c>
      <c r="AL44" s="127" t="str">
        <f t="shared" si="26"/>
        <v/>
      </c>
      <c r="AM44" s="127" t="str">
        <f t="shared" si="26"/>
        <v/>
      </c>
      <c r="AN44" s="127" t="str">
        <f t="shared" si="26"/>
        <v/>
      </c>
      <c r="AO44" s="127" t="str">
        <f t="shared" si="26"/>
        <v/>
      </c>
      <c r="AP44" s="127" t="str">
        <f t="shared" si="26"/>
        <v/>
      </c>
      <c r="AQ44" s="127" t="str">
        <f t="shared" si="26"/>
        <v/>
      </c>
      <c r="AR44" s="127" t="str">
        <f t="shared" si="26"/>
        <v/>
      </c>
      <c r="AS44" s="127" t="str">
        <f t="shared" si="26"/>
        <v/>
      </c>
      <c r="AT44" s="127" t="str">
        <f t="shared" si="26"/>
        <v/>
      </c>
      <c r="AU44" s="127" t="str">
        <f t="shared" si="26"/>
        <v/>
      </c>
      <c r="AV44" s="127" t="str">
        <f t="shared" si="26"/>
        <v/>
      </c>
      <c r="AW44" s="127" t="str">
        <f t="shared" si="24"/>
        <v>▲</v>
      </c>
      <c r="AX44" s="127" t="str">
        <f t="shared" si="24"/>
        <v/>
      </c>
      <c r="AY44" s="127" t="str">
        <f t="shared" si="24"/>
        <v/>
      </c>
      <c r="AZ44" s="127" t="str">
        <f t="shared" si="24"/>
        <v/>
      </c>
      <c r="BA44" s="127" t="str">
        <f t="shared" si="25"/>
        <v/>
      </c>
      <c r="BB44" s="127" t="str">
        <f t="shared" si="25"/>
        <v/>
      </c>
      <c r="BC44" s="127" t="str">
        <f t="shared" si="25"/>
        <v/>
      </c>
      <c r="BD44" s="127" t="str">
        <f t="shared" si="25"/>
        <v/>
      </c>
      <c r="BE44" s="127" t="str">
        <f t="shared" si="25"/>
        <v/>
      </c>
      <c r="BF44" s="127" t="str">
        <f t="shared" si="25"/>
        <v/>
      </c>
      <c r="BG44" s="127" t="str">
        <f t="shared" si="25"/>
        <v/>
      </c>
      <c r="BH44" s="127" t="str">
        <f t="shared" si="25"/>
        <v/>
      </c>
      <c r="BI44" s="127" t="str">
        <f t="shared" si="25"/>
        <v/>
      </c>
      <c r="BJ44" s="127" t="str">
        <f t="shared" si="25"/>
        <v/>
      </c>
      <c r="BK44" s="127" t="str">
        <f t="shared" si="25"/>
        <v/>
      </c>
      <c r="BL44" s="127" t="str">
        <f t="shared" si="25"/>
        <v/>
      </c>
      <c r="BM44" s="127" t="str">
        <f t="shared" si="25"/>
        <v/>
      </c>
      <c r="BN44" s="127" t="str">
        <f t="shared" si="25"/>
        <v/>
      </c>
      <c r="BO44" s="127" t="str">
        <f t="shared" si="25"/>
        <v/>
      </c>
      <c r="BP44" s="127" t="str">
        <f t="shared" si="25"/>
        <v/>
      </c>
      <c r="BQ44" s="127" t="str">
        <f t="shared" si="27"/>
        <v/>
      </c>
      <c r="BR44" s="127" t="str">
        <f t="shared" si="27"/>
        <v/>
      </c>
      <c r="BS44" s="127" t="str">
        <f t="shared" si="27"/>
        <v/>
      </c>
      <c r="BT44" s="127" t="str">
        <f t="shared" si="27"/>
        <v/>
      </c>
      <c r="BU44" s="127" t="str">
        <f t="shared" si="27"/>
        <v/>
      </c>
      <c r="BV44" s="127" t="str">
        <f t="shared" si="27"/>
        <v/>
      </c>
      <c r="BW44" s="127" t="str">
        <f t="shared" si="27"/>
        <v/>
      </c>
      <c r="BX44" s="127" t="str">
        <f t="shared" si="27"/>
        <v/>
      </c>
      <c r="BY44" s="127" t="str">
        <f t="shared" si="27"/>
        <v/>
      </c>
      <c r="BZ44" s="127" t="str">
        <f t="shared" si="27"/>
        <v/>
      </c>
      <c r="CA44" s="127" t="str">
        <f t="shared" si="27"/>
        <v/>
      </c>
      <c r="CB44" s="127" t="str">
        <f t="shared" si="27"/>
        <v/>
      </c>
      <c r="CC44" s="127" t="str">
        <f t="shared" si="27"/>
        <v/>
      </c>
      <c r="CD44" s="127" t="str">
        <f t="shared" si="27"/>
        <v/>
      </c>
    </row>
    <row r="45" spans="1:82" ht="12.6" customHeight="1" x14ac:dyDescent="0.2">
      <c r="A45" s="106">
        <f>SHIPMENTS!A51</f>
        <v>8938</v>
      </c>
      <c r="B45" s="106" t="str">
        <f>SHIPMENTS!B51</f>
        <v>9600-NEW ZEALAND</v>
      </c>
      <c r="C45" s="132">
        <f>SHIPMENTS!F51</f>
        <v>36.496094285714285</v>
      </c>
      <c r="D45" s="107" t="str">
        <f>IF((SHIPMENTS!I51)=0,"",SHIPMENTS!I51)</f>
        <v>1X20</v>
      </c>
      <c r="E45" s="176" t="str">
        <f>IF((SHIPMENTS!G51)=0,"",SHIPMENTS!G51)</f>
        <v>TBA</v>
      </c>
      <c r="F45" s="98">
        <f>VLOOKUP(A45,load!$A$4:$W$5001,22,0)</f>
        <v>363.47500000000002</v>
      </c>
      <c r="G45" s="109">
        <v>13</v>
      </c>
      <c r="H45" s="98">
        <f t="shared" si="17"/>
        <v>118.3</v>
      </c>
      <c r="I45" s="99">
        <f t="shared" si="18"/>
        <v>3.0724852071005921</v>
      </c>
      <c r="J45" s="99">
        <f t="shared" si="19"/>
        <v>27.959615384615386</v>
      </c>
      <c r="K45" s="98">
        <f t="shared" si="20"/>
        <v>3.0724852071005921</v>
      </c>
      <c r="L45" s="98">
        <f t="shared" si="21"/>
        <v>27.959615384615386</v>
      </c>
      <c r="M45" s="181">
        <f t="shared" si="22"/>
        <v>46330.774978444635</v>
      </c>
      <c r="N45" s="181">
        <f t="shared" si="23"/>
        <v>46333.847463651735</v>
      </c>
      <c r="O45" s="112">
        <f>VLOOKUP(A45,SHIPMENTS!$A$7:$AP$76,42,0)</f>
        <v>0</v>
      </c>
      <c r="P45" s="101"/>
      <c r="Q45" s="127" t="str">
        <f t="shared" si="28"/>
        <v/>
      </c>
      <c r="R45" s="127" t="str">
        <f t="shared" si="28"/>
        <v/>
      </c>
      <c r="S45" s="127" t="str">
        <f t="shared" si="28"/>
        <v/>
      </c>
      <c r="T45" s="127" t="str">
        <f t="shared" si="28"/>
        <v/>
      </c>
      <c r="U45" s="127" t="str">
        <f t="shared" si="28"/>
        <v/>
      </c>
      <c r="V45" s="127" t="str">
        <f t="shared" si="28"/>
        <v/>
      </c>
      <c r="W45" s="127" t="str">
        <f t="shared" si="28"/>
        <v/>
      </c>
      <c r="X45" s="127" t="str">
        <f t="shared" si="28"/>
        <v/>
      </c>
      <c r="Y45" s="127" t="str">
        <f t="shared" si="28"/>
        <v/>
      </c>
      <c r="Z45" s="127" t="str">
        <f t="shared" si="28"/>
        <v/>
      </c>
      <c r="AA45" s="127" t="str">
        <f t="shared" si="28"/>
        <v/>
      </c>
      <c r="AB45" s="127" t="str">
        <f t="shared" si="28"/>
        <v/>
      </c>
      <c r="AC45" s="127" t="str">
        <f t="shared" si="28"/>
        <v/>
      </c>
      <c r="AD45" s="127" t="str">
        <f t="shared" si="28"/>
        <v/>
      </c>
      <c r="AE45" s="127" t="str">
        <f t="shared" si="28"/>
        <v/>
      </c>
      <c r="AF45" s="127" t="str">
        <f t="shared" si="28"/>
        <v/>
      </c>
      <c r="AG45" s="127" t="str">
        <f t="shared" si="26"/>
        <v/>
      </c>
      <c r="AH45" s="127" t="str">
        <f t="shared" si="26"/>
        <v/>
      </c>
      <c r="AI45" s="127" t="str">
        <f t="shared" si="26"/>
        <v/>
      </c>
      <c r="AJ45" s="127" t="str">
        <f t="shared" si="26"/>
        <v/>
      </c>
      <c r="AK45" s="127" t="str">
        <f t="shared" si="26"/>
        <v/>
      </c>
      <c r="AL45" s="127" t="str">
        <f t="shared" si="26"/>
        <v/>
      </c>
      <c r="AM45" s="127" t="str">
        <f t="shared" si="26"/>
        <v/>
      </c>
      <c r="AN45" s="127" t="str">
        <f t="shared" si="26"/>
        <v/>
      </c>
      <c r="AO45" s="127" t="str">
        <f t="shared" si="26"/>
        <v/>
      </c>
      <c r="AP45" s="127" t="str">
        <f t="shared" si="26"/>
        <v/>
      </c>
      <c r="AQ45" s="127" t="str">
        <f t="shared" si="26"/>
        <v/>
      </c>
      <c r="AR45" s="127" t="str">
        <f t="shared" si="26"/>
        <v/>
      </c>
      <c r="AS45" s="127" t="str">
        <f t="shared" si="26"/>
        <v/>
      </c>
      <c r="AT45" s="127" t="str">
        <f t="shared" si="26"/>
        <v/>
      </c>
      <c r="AU45" s="127" t="str">
        <f t="shared" si="26"/>
        <v/>
      </c>
      <c r="AV45" s="127" t="str">
        <f t="shared" si="26"/>
        <v/>
      </c>
      <c r="AW45" s="127" t="str">
        <f t="shared" si="24"/>
        <v/>
      </c>
      <c r="AX45" s="127" t="str">
        <f t="shared" si="24"/>
        <v/>
      </c>
      <c r="AY45" s="127" t="str">
        <f t="shared" si="24"/>
        <v/>
      </c>
      <c r="AZ45" s="127" t="str">
        <f t="shared" si="24"/>
        <v/>
      </c>
      <c r="BA45" s="127" t="str">
        <f t="shared" si="25"/>
        <v/>
      </c>
      <c r="BB45" s="127" t="str">
        <f t="shared" si="25"/>
        <v/>
      </c>
      <c r="BC45" s="127" t="str">
        <f t="shared" si="25"/>
        <v/>
      </c>
      <c r="BD45" s="127" t="str">
        <f t="shared" si="25"/>
        <v/>
      </c>
      <c r="BE45" s="127" t="str">
        <f t="shared" si="25"/>
        <v/>
      </c>
      <c r="BF45" s="127" t="str">
        <f t="shared" si="25"/>
        <v/>
      </c>
      <c r="BG45" s="127" t="str">
        <f t="shared" si="25"/>
        <v/>
      </c>
      <c r="BH45" s="127" t="str">
        <f t="shared" si="25"/>
        <v/>
      </c>
      <c r="BI45" s="127" t="str">
        <f t="shared" si="25"/>
        <v/>
      </c>
      <c r="BJ45" s="127" t="str">
        <f t="shared" si="25"/>
        <v/>
      </c>
      <c r="BK45" s="127" t="str">
        <f t="shared" si="25"/>
        <v/>
      </c>
      <c r="BL45" s="127" t="str">
        <f t="shared" si="25"/>
        <v/>
      </c>
      <c r="BM45" s="127" t="str">
        <f t="shared" si="25"/>
        <v/>
      </c>
      <c r="BN45" s="127" t="str">
        <f t="shared" si="25"/>
        <v/>
      </c>
      <c r="BO45" s="127" t="str">
        <f t="shared" si="25"/>
        <v/>
      </c>
      <c r="BP45" s="127" t="str">
        <f t="shared" si="25"/>
        <v/>
      </c>
      <c r="BQ45" s="127" t="str">
        <f t="shared" si="27"/>
        <v/>
      </c>
      <c r="BR45" s="127" t="str">
        <f t="shared" si="27"/>
        <v/>
      </c>
      <c r="BS45" s="127" t="str">
        <f t="shared" si="27"/>
        <v/>
      </c>
      <c r="BT45" s="127" t="str">
        <f t="shared" si="27"/>
        <v/>
      </c>
      <c r="BU45" s="127" t="str">
        <f t="shared" si="27"/>
        <v/>
      </c>
      <c r="BV45" s="127" t="str">
        <f t="shared" si="27"/>
        <v/>
      </c>
      <c r="BW45" s="127" t="str">
        <f t="shared" si="27"/>
        <v/>
      </c>
      <c r="BX45" s="127" t="str">
        <f t="shared" si="27"/>
        <v/>
      </c>
      <c r="BY45" s="127" t="str">
        <f t="shared" si="27"/>
        <v/>
      </c>
      <c r="BZ45" s="127" t="str">
        <f t="shared" si="27"/>
        <v/>
      </c>
      <c r="CA45" s="127" t="str">
        <f t="shared" si="27"/>
        <v/>
      </c>
      <c r="CB45" s="127" t="str">
        <f t="shared" si="27"/>
        <v/>
      </c>
      <c r="CC45" s="127" t="str">
        <f t="shared" si="27"/>
        <v/>
      </c>
      <c r="CD45" s="127" t="str">
        <f t="shared" si="27"/>
        <v/>
      </c>
    </row>
    <row r="46" spans="1:82" ht="12.6" customHeight="1" x14ac:dyDescent="0.2">
      <c r="A46" s="106">
        <f>SHIPMENTS!A52</f>
        <v>9153</v>
      </c>
      <c r="B46" s="106" t="str">
        <f>SHIPMENTS!B52</f>
        <v>9600-NEW ZEALAND</v>
      </c>
      <c r="C46" s="132">
        <f>SHIPMENTS!F52</f>
        <v>0</v>
      </c>
      <c r="D46" s="107" t="str">
        <f>IF((SHIPMENTS!I52)=0,"",SHIPMENTS!I52)</f>
        <v/>
      </c>
      <c r="E46" s="176" t="str">
        <f>IF((SHIPMENTS!G52)=0,"",SHIPMENTS!G52)</f>
        <v>TBA</v>
      </c>
      <c r="F46" s="98">
        <f>VLOOKUP(A46,load!$A$4:$W$5001,22,0)</f>
        <v>108.879</v>
      </c>
      <c r="G46" s="109">
        <v>13</v>
      </c>
      <c r="H46" s="98">
        <f t="shared" ref="H46:H52" si="29">+G46*$H$4</f>
        <v>118.3</v>
      </c>
      <c r="I46" s="99">
        <f t="shared" ref="I46:I52" si="30">F46/H46</f>
        <v>0.92036348267117507</v>
      </c>
      <c r="J46" s="99">
        <f t="shared" ref="J46:J52" si="31">+I46*$H$4</f>
        <v>8.3753076923076932</v>
      </c>
      <c r="K46" s="98">
        <f t="shared" ref="K46:K52" si="32">IFERROR(I46-(I46*O46),0)</f>
        <v>0.92036348267117507</v>
      </c>
      <c r="L46" s="98">
        <f t="shared" ref="L46:L52" si="33">IFERROR(J46-(J46*O46),0)</f>
        <v>8.3753076923076932</v>
      </c>
      <c r="M46" s="181">
        <f t="shared" ref="M46:M52" si="34">N45</f>
        <v>46333.847463651735</v>
      </c>
      <c r="N46" s="181">
        <f t="shared" ref="N46:N52" si="35">+M46+K46</f>
        <v>46334.767827134405</v>
      </c>
      <c r="O46" s="112">
        <f>VLOOKUP(A46,SHIPMENTS!$A$7:$AP$76,42,0)</f>
        <v>0</v>
      </c>
      <c r="P46" s="101"/>
      <c r="Q46" s="127" t="str">
        <f t="shared" si="28"/>
        <v/>
      </c>
      <c r="R46" s="127" t="str">
        <f t="shared" si="28"/>
        <v/>
      </c>
      <c r="S46" s="127" t="str">
        <f t="shared" si="28"/>
        <v/>
      </c>
      <c r="T46" s="127" t="str">
        <f t="shared" si="28"/>
        <v/>
      </c>
      <c r="U46" s="127" t="str">
        <f t="shared" si="28"/>
        <v/>
      </c>
      <c r="V46" s="127" t="str">
        <f t="shared" si="28"/>
        <v/>
      </c>
      <c r="W46" s="127" t="str">
        <f t="shared" si="28"/>
        <v/>
      </c>
      <c r="X46" s="127" t="str">
        <f t="shared" si="28"/>
        <v/>
      </c>
      <c r="Y46" s="127" t="str">
        <f t="shared" si="28"/>
        <v/>
      </c>
      <c r="Z46" s="127" t="str">
        <f t="shared" si="28"/>
        <v/>
      </c>
      <c r="AA46" s="127" t="str">
        <f t="shared" si="28"/>
        <v/>
      </c>
      <c r="AB46" s="127" t="str">
        <f t="shared" si="28"/>
        <v/>
      </c>
      <c r="AC46" s="127" t="str">
        <f t="shared" si="28"/>
        <v/>
      </c>
      <c r="AD46" s="127" t="str">
        <f t="shared" si="28"/>
        <v/>
      </c>
      <c r="AE46" s="127" t="str">
        <f t="shared" si="28"/>
        <v/>
      </c>
      <c r="AF46" s="127" t="str">
        <f t="shared" si="28"/>
        <v/>
      </c>
      <c r="AG46" s="127" t="str">
        <f t="shared" si="26"/>
        <v/>
      </c>
      <c r="AH46" s="127" t="str">
        <f t="shared" si="26"/>
        <v/>
      </c>
      <c r="AI46" s="127" t="str">
        <f t="shared" si="26"/>
        <v/>
      </c>
      <c r="AJ46" s="127" t="str">
        <f t="shared" si="26"/>
        <v/>
      </c>
      <c r="AK46" s="127" t="str">
        <f t="shared" si="26"/>
        <v/>
      </c>
      <c r="AL46" s="127" t="str">
        <f t="shared" si="26"/>
        <v/>
      </c>
      <c r="AM46" s="127" t="str">
        <f t="shared" si="26"/>
        <v/>
      </c>
      <c r="AN46" s="127" t="str">
        <f t="shared" si="26"/>
        <v/>
      </c>
      <c r="AO46" s="127" t="str">
        <f t="shared" si="26"/>
        <v/>
      </c>
      <c r="AP46" s="127" t="str">
        <f t="shared" si="26"/>
        <v/>
      </c>
      <c r="AQ46" s="127" t="str">
        <f t="shared" si="26"/>
        <v/>
      </c>
      <c r="AR46" s="127" t="str">
        <f t="shared" si="26"/>
        <v/>
      </c>
      <c r="AS46" s="127" t="str">
        <f t="shared" si="26"/>
        <v/>
      </c>
      <c r="AT46" s="127" t="str">
        <f t="shared" si="26"/>
        <v/>
      </c>
      <c r="AU46" s="127" t="str">
        <f t="shared" si="26"/>
        <v/>
      </c>
      <c r="AV46" s="127" t="str">
        <f t="shared" si="26"/>
        <v/>
      </c>
      <c r="AW46" s="127" t="str">
        <f t="shared" si="24"/>
        <v/>
      </c>
      <c r="AX46" s="127" t="str">
        <f t="shared" si="24"/>
        <v/>
      </c>
      <c r="AY46" s="127" t="str">
        <f t="shared" si="24"/>
        <v/>
      </c>
      <c r="AZ46" s="127" t="str">
        <f t="shared" si="24"/>
        <v/>
      </c>
      <c r="BA46" s="127" t="str">
        <f t="shared" si="25"/>
        <v/>
      </c>
      <c r="BB46" s="127" t="str">
        <f t="shared" si="25"/>
        <v/>
      </c>
      <c r="BC46" s="127" t="str">
        <f t="shared" si="25"/>
        <v/>
      </c>
      <c r="BD46" s="127" t="str">
        <f t="shared" si="25"/>
        <v/>
      </c>
      <c r="BE46" s="127" t="str">
        <f t="shared" si="25"/>
        <v/>
      </c>
      <c r="BF46" s="127" t="str">
        <f t="shared" si="25"/>
        <v/>
      </c>
      <c r="BG46" s="127" t="str">
        <f t="shared" si="25"/>
        <v/>
      </c>
      <c r="BH46" s="127" t="str">
        <f t="shared" si="25"/>
        <v/>
      </c>
      <c r="BI46" s="127" t="str">
        <f t="shared" si="25"/>
        <v/>
      </c>
      <c r="BJ46" s="127" t="str">
        <f t="shared" si="25"/>
        <v/>
      </c>
      <c r="BK46" s="127" t="str">
        <f t="shared" si="25"/>
        <v/>
      </c>
      <c r="BL46" s="127" t="str">
        <f t="shared" si="25"/>
        <v/>
      </c>
      <c r="BM46" s="127" t="str">
        <f t="shared" si="25"/>
        <v/>
      </c>
      <c r="BN46" s="127" t="str">
        <f t="shared" si="25"/>
        <v/>
      </c>
      <c r="BO46" s="127" t="str">
        <f t="shared" si="25"/>
        <v/>
      </c>
      <c r="BP46" s="127" t="str">
        <f t="shared" si="25"/>
        <v/>
      </c>
      <c r="BQ46" s="127" t="str">
        <f t="shared" si="27"/>
        <v/>
      </c>
      <c r="BR46" s="127" t="str">
        <f t="shared" si="27"/>
        <v/>
      </c>
      <c r="BS46" s="127" t="str">
        <f t="shared" si="27"/>
        <v/>
      </c>
      <c r="BT46" s="127" t="str">
        <f t="shared" si="27"/>
        <v/>
      </c>
      <c r="BU46" s="127" t="str">
        <f t="shared" si="27"/>
        <v/>
      </c>
      <c r="BV46" s="127" t="str">
        <f t="shared" si="27"/>
        <v/>
      </c>
      <c r="BW46" s="127" t="str">
        <f t="shared" si="27"/>
        <v/>
      </c>
      <c r="BX46" s="127" t="str">
        <f t="shared" si="27"/>
        <v/>
      </c>
      <c r="BY46" s="127" t="str">
        <f t="shared" si="27"/>
        <v/>
      </c>
      <c r="BZ46" s="127" t="str">
        <f t="shared" si="27"/>
        <v/>
      </c>
      <c r="CA46" s="127" t="str">
        <f t="shared" si="27"/>
        <v/>
      </c>
      <c r="CB46" s="127" t="str">
        <f t="shared" si="27"/>
        <v/>
      </c>
      <c r="CC46" s="127" t="str">
        <f t="shared" si="27"/>
        <v/>
      </c>
      <c r="CD46" s="127" t="str">
        <f t="shared" si="27"/>
        <v/>
      </c>
    </row>
    <row r="47" spans="1:82" ht="12.6" customHeight="1" x14ac:dyDescent="0.2">
      <c r="A47" s="106">
        <f>SHIPMENTS!A53</f>
        <v>8294</v>
      </c>
      <c r="B47" s="106" t="str">
        <f>SHIPMENTS!B53</f>
        <v>9600-NEW ZEALAND BACKLOG</v>
      </c>
      <c r="C47" s="132">
        <f>SHIPMENTS!F53</f>
        <v>0</v>
      </c>
      <c r="D47" s="107" t="str">
        <f>IF((SHIPMENTS!I53)=0,"",SHIPMENTS!I53)</f>
        <v/>
      </c>
      <c r="E47" s="176" t="str">
        <f>IF((SHIPMENTS!G53)=0,"",SHIPMENTS!G53)</f>
        <v>TBA</v>
      </c>
      <c r="F47" s="98">
        <f>VLOOKUP(A47,load!$A$4:$W$5001,22,0)</f>
        <v>704.23333333333323</v>
      </c>
      <c r="G47" s="109">
        <v>13</v>
      </c>
      <c r="H47" s="98">
        <f t="shared" si="29"/>
        <v>118.3</v>
      </c>
      <c r="I47" s="99">
        <f t="shared" si="30"/>
        <v>5.9529444914060292</v>
      </c>
      <c r="J47" s="99">
        <f t="shared" si="31"/>
        <v>54.171794871794866</v>
      </c>
      <c r="K47" s="98">
        <f t="shared" si="32"/>
        <v>5.9529444914060292</v>
      </c>
      <c r="L47" s="98">
        <f t="shared" si="33"/>
        <v>54.171794871794866</v>
      </c>
      <c r="M47" s="181">
        <f t="shared" si="34"/>
        <v>46334.767827134405</v>
      </c>
      <c r="N47" s="181">
        <f t="shared" si="35"/>
        <v>46340.720771625813</v>
      </c>
      <c r="O47" s="112">
        <f>VLOOKUP(A47,SHIPMENTS!$A$7:$AP$76,42,0)</f>
        <v>0</v>
      </c>
      <c r="P47" s="101"/>
      <c r="Q47" s="127" t="str">
        <f t="shared" si="28"/>
        <v/>
      </c>
      <c r="R47" s="127" t="str">
        <f t="shared" si="28"/>
        <v/>
      </c>
      <c r="S47" s="127" t="str">
        <f t="shared" si="28"/>
        <v/>
      </c>
      <c r="T47" s="127" t="str">
        <f t="shared" si="28"/>
        <v/>
      </c>
      <c r="U47" s="127" t="str">
        <f t="shared" si="28"/>
        <v/>
      </c>
      <c r="V47" s="127" t="str">
        <f t="shared" si="28"/>
        <v/>
      </c>
      <c r="W47" s="127" t="str">
        <f t="shared" si="28"/>
        <v/>
      </c>
      <c r="X47" s="127" t="str">
        <f t="shared" si="28"/>
        <v/>
      </c>
      <c r="Y47" s="127" t="str">
        <f t="shared" si="28"/>
        <v/>
      </c>
      <c r="Z47" s="127" t="str">
        <f t="shared" si="28"/>
        <v/>
      </c>
      <c r="AA47" s="127" t="str">
        <f t="shared" si="28"/>
        <v/>
      </c>
      <c r="AB47" s="127" t="str">
        <f t="shared" si="28"/>
        <v/>
      </c>
      <c r="AC47" s="127" t="str">
        <f t="shared" si="28"/>
        <v/>
      </c>
      <c r="AD47" s="127" t="str">
        <f t="shared" si="28"/>
        <v/>
      </c>
      <c r="AE47" s="127" t="str">
        <f t="shared" si="28"/>
        <v/>
      </c>
      <c r="AF47" s="127" t="str">
        <f t="shared" si="28"/>
        <v/>
      </c>
      <c r="AG47" s="127" t="str">
        <f t="shared" si="26"/>
        <v/>
      </c>
      <c r="AH47" s="127" t="str">
        <f t="shared" si="26"/>
        <v/>
      </c>
      <c r="AI47" s="127" t="str">
        <f t="shared" si="26"/>
        <v/>
      </c>
      <c r="AJ47" s="127" t="str">
        <f t="shared" si="26"/>
        <v/>
      </c>
      <c r="AK47" s="127" t="str">
        <f t="shared" si="26"/>
        <v/>
      </c>
      <c r="AL47" s="127" t="str">
        <f t="shared" si="26"/>
        <v/>
      </c>
      <c r="AM47" s="127" t="str">
        <f t="shared" si="26"/>
        <v/>
      </c>
      <c r="AN47" s="127" t="str">
        <f t="shared" si="26"/>
        <v/>
      </c>
      <c r="AO47" s="127" t="str">
        <f t="shared" si="26"/>
        <v/>
      </c>
      <c r="AP47" s="127" t="str">
        <f t="shared" si="26"/>
        <v/>
      </c>
      <c r="AQ47" s="127" t="str">
        <f t="shared" si="26"/>
        <v/>
      </c>
      <c r="AR47" s="127" t="str">
        <f t="shared" si="26"/>
        <v/>
      </c>
      <c r="AS47" s="127" t="str">
        <f t="shared" si="26"/>
        <v/>
      </c>
      <c r="AT47" s="127" t="str">
        <f t="shared" si="26"/>
        <v/>
      </c>
      <c r="AU47" s="127" t="str">
        <f t="shared" si="26"/>
        <v/>
      </c>
      <c r="AV47" s="127" t="str">
        <f t="shared" si="26"/>
        <v/>
      </c>
      <c r="AW47" s="127" t="str">
        <f t="shared" si="24"/>
        <v/>
      </c>
      <c r="AX47" s="127" t="str">
        <f t="shared" si="24"/>
        <v/>
      </c>
      <c r="AY47" s="127" t="str">
        <f t="shared" si="24"/>
        <v/>
      </c>
      <c r="AZ47" s="127" t="str">
        <f t="shared" si="24"/>
        <v/>
      </c>
      <c r="BA47" s="127" t="str">
        <f t="shared" si="25"/>
        <v/>
      </c>
      <c r="BB47" s="127" t="str">
        <f t="shared" si="25"/>
        <v/>
      </c>
      <c r="BC47" s="127" t="str">
        <f t="shared" si="25"/>
        <v/>
      </c>
      <c r="BD47" s="127" t="str">
        <f t="shared" si="25"/>
        <v/>
      </c>
      <c r="BE47" s="127" t="str">
        <f t="shared" si="25"/>
        <v/>
      </c>
      <c r="BF47" s="127" t="str">
        <f t="shared" si="25"/>
        <v/>
      </c>
      <c r="BG47" s="127" t="str">
        <f t="shared" si="25"/>
        <v/>
      </c>
      <c r="BH47" s="127" t="str">
        <f t="shared" si="25"/>
        <v/>
      </c>
      <c r="BI47" s="127" t="str">
        <f t="shared" si="25"/>
        <v/>
      </c>
      <c r="BJ47" s="127" t="str">
        <f t="shared" si="25"/>
        <v/>
      </c>
      <c r="BK47" s="127" t="str">
        <f t="shared" si="25"/>
        <v/>
      </c>
      <c r="BL47" s="127" t="str">
        <f t="shared" si="25"/>
        <v/>
      </c>
      <c r="BM47" s="127" t="str">
        <f t="shared" si="25"/>
        <v/>
      </c>
      <c r="BN47" s="127" t="str">
        <f t="shared" si="25"/>
        <v/>
      </c>
      <c r="BO47" s="127" t="str">
        <f t="shared" si="25"/>
        <v/>
      </c>
      <c r="BP47" s="127" t="str">
        <f t="shared" si="25"/>
        <v/>
      </c>
      <c r="BQ47" s="127" t="str">
        <f t="shared" si="27"/>
        <v/>
      </c>
      <c r="BR47" s="127" t="str">
        <f t="shared" si="27"/>
        <v/>
      </c>
      <c r="BS47" s="127" t="str">
        <f t="shared" si="27"/>
        <v/>
      </c>
      <c r="BT47" s="127" t="str">
        <f t="shared" si="27"/>
        <v/>
      </c>
      <c r="BU47" s="127" t="str">
        <f t="shared" si="27"/>
        <v/>
      </c>
      <c r="BV47" s="127" t="str">
        <f t="shared" si="27"/>
        <v/>
      </c>
      <c r="BW47" s="127" t="str">
        <f t="shared" si="27"/>
        <v/>
      </c>
      <c r="BX47" s="127" t="str">
        <f t="shared" si="27"/>
        <v/>
      </c>
      <c r="BY47" s="127" t="str">
        <f t="shared" si="27"/>
        <v/>
      </c>
      <c r="BZ47" s="127" t="str">
        <f t="shared" si="27"/>
        <v/>
      </c>
      <c r="CA47" s="127" t="str">
        <f t="shared" si="27"/>
        <v/>
      </c>
      <c r="CB47" s="127" t="str">
        <f t="shared" si="27"/>
        <v/>
      </c>
      <c r="CC47" s="127" t="str">
        <f t="shared" si="27"/>
        <v/>
      </c>
      <c r="CD47" s="127" t="str">
        <f t="shared" si="27"/>
        <v/>
      </c>
    </row>
    <row r="48" spans="1:82" ht="12.6" customHeight="1" x14ac:dyDescent="0.2">
      <c r="A48" s="106">
        <f>SHIPMENTS!A54</f>
        <v>7114</v>
      </c>
      <c r="B48" s="106" t="str">
        <f>SHIPMENTS!B54</f>
        <v>9600-NEW ZEALAND BACKLOG</v>
      </c>
      <c r="C48" s="132">
        <f>SHIPMENTS!F54</f>
        <v>0</v>
      </c>
      <c r="D48" s="107" t="str">
        <f>IF((SHIPMENTS!I54)=0,"",SHIPMENTS!I54)</f>
        <v/>
      </c>
      <c r="E48" s="176" t="str">
        <f>IF((SHIPMENTS!G54)=0,"",SHIPMENTS!G54)</f>
        <v/>
      </c>
      <c r="F48" s="98">
        <f>VLOOKUP(A48,load!$A$4:$W$5001,22,0)</f>
        <v>262.55866666666668</v>
      </c>
      <c r="G48" s="109">
        <v>13</v>
      </c>
      <c r="H48" s="98">
        <f t="shared" si="29"/>
        <v>118.3</v>
      </c>
      <c r="I48" s="99">
        <f t="shared" si="30"/>
        <v>2.2194308255846718</v>
      </c>
      <c r="J48" s="99">
        <f t="shared" si="31"/>
        <v>20.196820512820512</v>
      </c>
      <c r="K48" s="98">
        <f t="shared" si="32"/>
        <v>2.2194308255846718</v>
      </c>
      <c r="L48" s="98">
        <f t="shared" si="33"/>
        <v>20.196820512820512</v>
      </c>
      <c r="M48" s="181">
        <f t="shared" si="34"/>
        <v>46340.720771625813</v>
      </c>
      <c r="N48" s="181">
        <f t="shared" si="35"/>
        <v>46342.940202451398</v>
      </c>
      <c r="O48" s="112">
        <f>VLOOKUP(A48,SHIPMENTS!$A$7:$AP$76,42,0)</f>
        <v>0</v>
      </c>
      <c r="P48" s="101"/>
      <c r="Q48" s="127" t="str">
        <f t="shared" si="28"/>
        <v/>
      </c>
      <c r="R48" s="127" t="str">
        <f t="shared" si="28"/>
        <v/>
      </c>
      <c r="S48" s="127" t="str">
        <f t="shared" si="28"/>
        <v/>
      </c>
      <c r="T48" s="127" t="str">
        <f t="shared" si="28"/>
        <v/>
      </c>
      <c r="U48" s="127" t="str">
        <f t="shared" si="28"/>
        <v/>
      </c>
      <c r="V48" s="127" t="str">
        <f t="shared" si="28"/>
        <v/>
      </c>
      <c r="W48" s="127" t="str">
        <f t="shared" si="28"/>
        <v/>
      </c>
      <c r="X48" s="127" t="str">
        <f t="shared" si="28"/>
        <v/>
      </c>
      <c r="Y48" s="127" t="str">
        <f t="shared" si="28"/>
        <v/>
      </c>
      <c r="Z48" s="127" t="str">
        <f t="shared" si="28"/>
        <v/>
      </c>
      <c r="AA48" s="127" t="str">
        <f t="shared" si="28"/>
        <v/>
      </c>
      <c r="AB48" s="127" t="str">
        <f t="shared" si="28"/>
        <v/>
      </c>
      <c r="AC48" s="127" t="str">
        <f t="shared" si="28"/>
        <v/>
      </c>
      <c r="AD48" s="127" t="str">
        <f t="shared" si="28"/>
        <v/>
      </c>
      <c r="AE48" s="127" t="str">
        <f t="shared" si="28"/>
        <v/>
      </c>
      <c r="AF48" s="127" t="str">
        <f t="shared" si="28"/>
        <v/>
      </c>
      <c r="AG48" s="127" t="str">
        <f t="shared" si="26"/>
        <v/>
      </c>
      <c r="AH48" s="127" t="str">
        <f t="shared" si="26"/>
        <v/>
      </c>
      <c r="AI48" s="127" t="str">
        <f t="shared" si="26"/>
        <v/>
      </c>
      <c r="AJ48" s="127" t="str">
        <f t="shared" si="26"/>
        <v/>
      </c>
      <c r="AK48" s="127" t="str">
        <f t="shared" si="26"/>
        <v/>
      </c>
      <c r="AL48" s="127" t="str">
        <f t="shared" si="26"/>
        <v/>
      </c>
      <c r="AM48" s="127" t="str">
        <f t="shared" si="26"/>
        <v/>
      </c>
      <c r="AN48" s="127" t="str">
        <f t="shared" si="26"/>
        <v/>
      </c>
      <c r="AO48" s="127" t="str">
        <f t="shared" si="26"/>
        <v/>
      </c>
      <c r="AP48" s="127" t="str">
        <f t="shared" si="26"/>
        <v/>
      </c>
      <c r="AQ48" s="127" t="str">
        <f t="shared" si="26"/>
        <v/>
      </c>
      <c r="AR48" s="127" t="str">
        <f t="shared" si="26"/>
        <v/>
      </c>
      <c r="AS48" s="127" t="str">
        <f t="shared" si="26"/>
        <v/>
      </c>
      <c r="AT48" s="127" t="str">
        <f t="shared" si="26"/>
        <v/>
      </c>
      <c r="AU48" s="127" t="str">
        <f t="shared" si="26"/>
        <v/>
      </c>
      <c r="AV48" s="127" t="str">
        <f t="shared" si="26"/>
        <v/>
      </c>
      <c r="AW48" s="127" t="str">
        <f t="shared" si="24"/>
        <v/>
      </c>
      <c r="AX48" s="127" t="str">
        <f t="shared" si="24"/>
        <v/>
      </c>
      <c r="AY48" s="127" t="str">
        <f t="shared" si="24"/>
        <v/>
      </c>
      <c r="AZ48" s="127" t="str">
        <f t="shared" si="24"/>
        <v/>
      </c>
      <c r="BA48" s="127" t="str">
        <f t="shared" si="25"/>
        <v/>
      </c>
      <c r="BB48" s="127" t="str">
        <f t="shared" si="25"/>
        <v/>
      </c>
      <c r="BC48" s="127" t="str">
        <f t="shared" si="25"/>
        <v/>
      </c>
      <c r="BD48" s="127" t="str">
        <f t="shared" si="25"/>
        <v/>
      </c>
      <c r="BE48" s="127" t="str">
        <f t="shared" si="25"/>
        <v/>
      </c>
      <c r="BF48" s="127" t="str">
        <f t="shared" si="25"/>
        <v/>
      </c>
      <c r="BG48" s="127" t="str">
        <f t="shared" si="25"/>
        <v/>
      </c>
      <c r="BH48" s="127" t="str">
        <f t="shared" si="25"/>
        <v/>
      </c>
      <c r="BI48" s="127" t="str">
        <f t="shared" si="25"/>
        <v/>
      </c>
      <c r="BJ48" s="127" t="str">
        <f t="shared" si="25"/>
        <v/>
      </c>
      <c r="BK48" s="127" t="str">
        <f t="shared" si="25"/>
        <v/>
      </c>
      <c r="BL48" s="127" t="str">
        <f t="shared" si="25"/>
        <v/>
      </c>
      <c r="BM48" s="127" t="str">
        <f t="shared" si="25"/>
        <v/>
      </c>
      <c r="BN48" s="127" t="str">
        <f t="shared" si="25"/>
        <v/>
      </c>
      <c r="BO48" s="127" t="str">
        <f t="shared" si="25"/>
        <v/>
      </c>
      <c r="BP48" s="127" t="str">
        <f t="shared" si="25"/>
        <v/>
      </c>
      <c r="BQ48" s="127" t="str">
        <f t="shared" si="27"/>
        <v/>
      </c>
      <c r="BR48" s="127" t="str">
        <f t="shared" si="27"/>
        <v/>
      </c>
      <c r="BS48" s="127" t="str">
        <f t="shared" si="27"/>
        <v/>
      </c>
      <c r="BT48" s="127" t="str">
        <f t="shared" si="27"/>
        <v/>
      </c>
      <c r="BU48" s="127" t="str">
        <f t="shared" si="27"/>
        <v/>
      </c>
      <c r="BV48" s="127" t="str">
        <f t="shared" si="27"/>
        <v/>
      </c>
      <c r="BW48" s="127" t="str">
        <f t="shared" si="27"/>
        <v/>
      </c>
      <c r="BX48" s="127" t="str">
        <f t="shared" si="27"/>
        <v/>
      </c>
      <c r="BY48" s="127" t="str">
        <f t="shared" si="27"/>
        <v/>
      </c>
      <c r="BZ48" s="127" t="str">
        <f t="shared" si="27"/>
        <v/>
      </c>
      <c r="CA48" s="127" t="str">
        <f t="shared" si="27"/>
        <v/>
      </c>
      <c r="CB48" s="127" t="str">
        <f t="shared" si="27"/>
        <v/>
      </c>
      <c r="CC48" s="127" t="str">
        <f t="shared" si="27"/>
        <v/>
      </c>
      <c r="CD48" s="127" t="str">
        <f t="shared" si="27"/>
        <v/>
      </c>
    </row>
    <row r="49" spans="1:82" ht="12.6" hidden="1" customHeight="1" x14ac:dyDescent="0.2">
      <c r="A49" s="106">
        <f>SHIPMENTS!A55</f>
        <v>6967</v>
      </c>
      <c r="B49" s="106" t="str">
        <f>SHIPMENTS!B55</f>
        <v>9600-NEW ZEALAND BACKLOG</v>
      </c>
      <c r="C49" s="132">
        <f>SHIPMENTS!F55</f>
        <v>0</v>
      </c>
      <c r="D49" s="107" t="str">
        <f>IF((SHIPMENTS!I55)=0,"",SHIPMENTS!I55)</f>
        <v/>
      </c>
      <c r="E49" s="176" t="str">
        <f>IF((SHIPMENTS!G55)=0,"",SHIPMENTS!G55)</f>
        <v/>
      </c>
      <c r="F49" s="98">
        <f>VLOOKUP(A49,load!$A$4:$W$5001,22,0)</f>
        <v>0</v>
      </c>
      <c r="G49" s="109">
        <v>13</v>
      </c>
      <c r="H49" s="98">
        <f t="shared" si="29"/>
        <v>118.3</v>
      </c>
      <c r="I49" s="99">
        <f t="shared" si="30"/>
        <v>0</v>
      </c>
      <c r="J49" s="99">
        <f t="shared" si="31"/>
        <v>0</v>
      </c>
      <c r="K49" s="98">
        <f t="shared" si="32"/>
        <v>0</v>
      </c>
      <c r="L49" s="98">
        <f t="shared" si="33"/>
        <v>0</v>
      </c>
      <c r="M49" s="181">
        <f t="shared" si="34"/>
        <v>46342.940202451398</v>
      </c>
      <c r="N49" s="181">
        <f t="shared" si="35"/>
        <v>46342.940202451398</v>
      </c>
      <c r="O49" s="112" t="str">
        <f>VLOOKUP(A49,SHIPMENTS!$A$7:$AP$76,42,0)</f>
        <v>n/a</v>
      </c>
      <c r="P49" s="101"/>
      <c r="Q49" s="127" t="str">
        <f t="shared" si="28"/>
        <v/>
      </c>
      <c r="R49" s="127" t="str">
        <f t="shared" si="28"/>
        <v/>
      </c>
      <c r="S49" s="127" t="str">
        <f t="shared" si="28"/>
        <v/>
      </c>
      <c r="T49" s="127" t="str">
        <f t="shared" si="28"/>
        <v/>
      </c>
      <c r="U49" s="127" t="str">
        <f t="shared" si="28"/>
        <v/>
      </c>
      <c r="V49" s="127" t="str">
        <f t="shared" si="28"/>
        <v/>
      </c>
      <c r="W49" s="127" t="str">
        <f t="shared" si="28"/>
        <v/>
      </c>
      <c r="X49" s="127" t="str">
        <f t="shared" si="28"/>
        <v/>
      </c>
      <c r="Y49" s="127" t="str">
        <f t="shared" si="28"/>
        <v/>
      </c>
      <c r="Z49" s="127" t="str">
        <f t="shared" si="28"/>
        <v/>
      </c>
      <c r="AA49" s="127" t="str">
        <f t="shared" si="28"/>
        <v/>
      </c>
      <c r="AB49" s="127" t="str">
        <f t="shared" si="28"/>
        <v/>
      </c>
      <c r="AC49" s="127" t="str">
        <f t="shared" si="28"/>
        <v/>
      </c>
      <c r="AD49" s="127" t="str">
        <f t="shared" si="28"/>
        <v/>
      </c>
      <c r="AE49" s="127" t="str">
        <f t="shared" si="28"/>
        <v/>
      </c>
      <c r="AF49" s="127" t="str">
        <f t="shared" si="28"/>
        <v/>
      </c>
      <c r="AG49" s="127" t="str">
        <f t="shared" si="26"/>
        <v/>
      </c>
      <c r="AH49" s="127" t="str">
        <f t="shared" si="26"/>
        <v/>
      </c>
      <c r="AI49" s="127" t="str">
        <f t="shared" si="26"/>
        <v/>
      </c>
      <c r="AJ49" s="127" t="str">
        <f t="shared" si="26"/>
        <v/>
      </c>
      <c r="AK49" s="127" t="str">
        <f t="shared" si="26"/>
        <v/>
      </c>
      <c r="AL49" s="127" t="str">
        <f t="shared" si="26"/>
        <v/>
      </c>
      <c r="AM49" s="127" t="str">
        <f t="shared" si="26"/>
        <v/>
      </c>
      <c r="AN49" s="127" t="str">
        <f t="shared" si="26"/>
        <v/>
      </c>
      <c r="AO49" s="127" t="str">
        <f t="shared" si="26"/>
        <v/>
      </c>
      <c r="AP49" s="127" t="str">
        <f t="shared" si="26"/>
        <v/>
      </c>
      <c r="AQ49" s="127" t="str">
        <f t="shared" si="26"/>
        <v/>
      </c>
      <c r="AR49" s="127" t="str">
        <f t="shared" si="26"/>
        <v/>
      </c>
      <c r="AS49" s="127" t="str">
        <f t="shared" si="26"/>
        <v/>
      </c>
      <c r="AT49" s="127" t="str">
        <f t="shared" si="26"/>
        <v/>
      </c>
      <c r="AU49" s="127" t="str">
        <f t="shared" si="26"/>
        <v/>
      </c>
      <c r="AV49" s="127" t="str">
        <f t="shared" ref="AV49:BK53" si="36">IF($E49=AV$3,"▲","")</f>
        <v/>
      </c>
      <c r="AW49" s="127" t="str">
        <f t="shared" si="36"/>
        <v/>
      </c>
      <c r="AX49" s="127" t="str">
        <f t="shared" si="36"/>
        <v/>
      </c>
      <c r="AY49" s="127" t="str">
        <f t="shared" si="36"/>
        <v/>
      </c>
      <c r="AZ49" s="127" t="str">
        <f t="shared" si="36"/>
        <v/>
      </c>
      <c r="BA49" s="127" t="str">
        <f t="shared" si="36"/>
        <v/>
      </c>
      <c r="BB49" s="127" t="str">
        <f t="shared" si="36"/>
        <v/>
      </c>
      <c r="BC49" s="127" t="str">
        <f t="shared" si="36"/>
        <v/>
      </c>
      <c r="BD49" s="127" t="str">
        <f t="shared" si="36"/>
        <v/>
      </c>
      <c r="BE49" s="127" t="str">
        <f t="shared" si="36"/>
        <v/>
      </c>
      <c r="BF49" s="127" t="str">
        <f t="shared" si="36"/>
        <v/>
      </c>
      <c r="BG49" s="127" t="str">
        <f t="shared" si="36"/>
        <v/>
      </c>
      <c r="BH49" s="127" t="str">
        <f t="shared" si="36"/>
        <v/>
      </c>
      <c r="BI49" s="127" t="str">
        <f t="shared" si="36"/>
        <v/>
      </c>
      <c r="BJ49" s="127" t="str">
        <f t="shared" si="36"/>
        <v/>
      </c>
      <c r="BK49" s="127" t="str">
        <f t="shared" si="36"/>
        <v/>
      </c>
      <c r="BL49" s="127" t="str">
        <f t="shared" ref="BA49:BP53" si="37">IF($E49=BL$3,"▲","")</f>
        <v/>
      </c>
      <c r="BM49" s="127" t="str">
        <f t="shared" si="37"/>
        <v/>
      </c>
      <c r="BN49" s="127" t="str">
        <f t="shared" si="37"/>
        <v/>
      </c>
      <c r="BO49" s="127" t="str">
        <f t="shared" si="37"/>
        <v/>
      </c>
      <c r="BP49" s="127" t="str">
        <f t="shared" si="37"/>
        <v/>
      </c>
      <c r="BQ49" s="127" t="str">
        <f t="shared" si="27"/>
        <v/>
      </c>
      <c r="BR49" s="127" t="str">
        <f t="shared" si="27"/>
        <v/>
      </c>
      <c r="BS49" s="127" t="str">
        <f t="shared" si="27"/>
        <v/>
      </c>
      <c r="BT49" s="127" t="str">
        <f t="shared" si="27"/>
        <v/>
      </c>
      <c r="BU49" s="127" t="str">
        <f t="shared" si="27"/>
        <v/>
      </c>
      <c r="BV49" s="127" t="str">
        <f t="shared" si="27"/>
        <v/>
      </c>
      <c r="BW49" s="127" t="str">
        <f t="shared" si="27"/>
        <v/>
      </c>
      <c r="BX49" s="127" t="str">
        <f t="shared" si="27"/>
        <v/>
      </c>
      <c r="BY49" s="127" t="str">
        <f t="shared" si="27"/>
        <v/>
      </c>
      <c r="BZ49" s="127" t="str">
        <f t="shared" si="27"/>
        <v/>
      </c>
      <c r="CA49" s="127" t="str">
        <f t="shared" si="27"/>
        <v/>
      </c>
      <c r="CB49" s="127" t="str">
        <f t="shared" si="27"/>
        <v/>
      </c>
      <c r="CC49" s="127" t="str">
        <f t="shared" si="27"/>
        <v/>
      </c>
      <c r="CD49" s="127" t="str">
        <f t="shared" si="27"/>
        <v/>
      </c>
    </row>
    <row r="50" spans="1:82" ht="12.6" customHeight="1" x14ac:dyDescent="0.2">
      <c r="A50" s="106">
        <f>SHIPMENTS!A56</f>
        <v>6646</v>
      </c>
      <c r="B50" s="106" t="str">
        <f>SHIPMENTS!B56</f>
        <v>9600-NEW ZEALAND BACKLOG</v>
      </c>
      <c r="C50" s="132">
        <f>SHIPMENTS!F56</f>
        <v>0</v>
      </c>
      <c r="D50" s="107" t="str">
        <f>IF((SHIPMENTS!I56)=0,"",SHIPMENTS!I56)</f>
        <v/>
      </c>
      <c r="E50" s="176" t="str">
        <f>IF((SHIPMENTS!G56)=0,"",SHIPMENTS!G56)</f>
        <v/>
      </c>
      <c r="F50" s="98">
        <f>VLOOKUP(A50,load!$A$4:$W$5001,22,0)</f>
        <v>7.6533333333333333</v>
      </c>
      <c r="G50" s="109">
        <v>13</v>
      </c>
      <c r="H50" s="98">
        <f t="shared" si="29"/>
        <v>118.3</v>
      </c>
      <c r="I50" s="99">
        <f t="shared" si="30"/>
        <v>6.4694280078895466E-2</v>
      </c>
      <c r="J50" s="99">
        <f t="shared" si="31"/>
        <v>0.58871794871794869</v>
      </c>
      <c r="K50" s="98">
        <f t="shared" si="32"/>
        <v>6.4694280078895466E-2</v>
      </c>
      <c r="L50" s="98">
        <f t="shared" si="33"/>
        <v>0.58871794871794869</v>
      </c>
      <c r="M50" s="181">
        <f t="shared" si="34"/>
        <v>46342.940202451398</v>
      </c>
      <c r="N50" s="181">
        <f t="shared" si="35"/>
        <v>46343.00489673148</v>
      </c>
      <c r="O50" s="112">
        <f>VLOOKUP(A50,SHIPMENTS!$A$7:$AP$76,42,0)</f>
        <v>0</v>
      </c>
      <c r="P50" s="101"/>
      <c r="Q50" s="127" t="str">
        <f t="shared" si="28"/>
        <v/>
      </c>
      <c r="R50" s="127" t="str">
        <f t="shared" si="28"/>
        <v/>
      </c>
      <c r="S50" s="127" t="str">
        <f t="shared" si="28"/>
        <v/>
      </c>
      <c r="T50" s="127" t="str">
        <f t="shared" si="28"/>
        <v/>
      </c>
      <c r="U50" s="127" t="str">
        <f t="shared" si="28"/>
        <v/>
      </c>
      <c r="V50" s="127" t="str">
        <f t="shared" si="28"/>
        <v/>
      </c>
      <c r="W50" s="127" t="str">
        <f t="shared" si="28"/>
        <v/>
      </c>
      <c r="X50" s="127" t="str">
        <f t="shared" si="28"/>
        <v/>
      </c>
      <c r="Y50" s="127" t="str">
        <f t="shared" si="28"/>
        <v/>
      </c>
      <c r="Z50" s="127" t="str">
        <f t="shared" si="28"/>
        <v/>
      </c>
      <c r="AA50" s="127" t="str">
        <f t="shared" si="28"/>
        <v/>
      </c>
      <c r="AB50" s="127" t="str">
        <f t="shared" si="28"/>
        <v/>
      </c>
      <c r="AC50" s="127" t="str">
        <f t="shared" si="28"/>
        <v/>
      </c>
      <c r="AD50" s="127" t="str">
        <f t="shared" si="28"/>
        <v/>
      </c>
      <c r="AE50" s="127" t="str">
        <f t="shared" si="28"/>
        <v/>
      </c>
      <c r="AF50" s="127" t="str">
        <f t="shared" si="28"/>
        <v/>
      </c>
      <c r="AG50" s="127" t="str">
        <f t="shared" ref="AG50:AV53" si="38">IF($E50=AG$3,"▲","")</f>
        <v/>
      </c>
      <c r="AH50" s="127" t="str">
        <f t="shared" si="38"/>
        <v/>
      </c>
      <c r="AI50" s="127" t="str">
        <f t="shared" si="38"/>
        <v/>
      </c>
      <c r="AJ50" s="127" t="str">
        <f t="shared" si="38"/>
        <v/>
      </c>
      <c r="AK50" s="127" t="str">
        <f t="shared" si="38"/>
        <v/>
      </c>
      <c r="AL50" s="127" t="str">
        <f t="shared" si="38"/>
        <v/>
      </c>
      <c r="AM50" s="127" t="str">
        <f t="shared" si="38"/>
        <v/>
      </c>
      <c r="AN50" s="127" t="str">
        <f t="shared" si="38"/>
        <v/>
      </c>
      <c r="AO50" s="127" t="str">
        <f t="shared" si="38"/>
        <v/>
      </c>
      <c r="AP50" s="127" t="str">
        <f t="shared" si="38"/>
        <v/>
      </c>
      <c r="AQ50" s="127" t="str">
        <f t="shared" si="38"/>
        <v/>
      </c>
      <c r="AR50" s="127" t="str">
        <f t="shared" si="38"/>
        <v/>
      </c>
      <c r="AS50" s="127" t="str">
        <f t="shared" si="38"/>
        <v/>
      </c>
      <c r="AT50" s="127" t="str">
        <f t="shared" si="38"/>
        <v/>
      </c>
      <c r="AU50" s="127" t="str">
        <f t="shared" si="38"/>
        <v/>
      </c>
      <c r="AV50" s="127" t="str">
        <f t="shared" si="38"/>
        <v/>
      </c>
      <c r="AW50" s="127" t="str">
        <f t="shared" si="36"/>
        <v/>
      </c>
      <c r="AX50" s="127" t="str">
        <f t="shared" si="36"/>
        <v/>
      </c>
      <c r="AY50" s="127" t="str">
        <f t="shared" si="36"/>
        <v/>
      </c>
      <c r="AZ50" s="127" t="str">
        <f t="shared" si="36"/>
        <v/>
      </c>
      <c r="BA50" s="127" t="str">
        <f t="shared" si="37"/>
        <v/>
      </c>
      <c r="BB50" s="127" t="str">
        <f t="shared" si="37"/>
        <v/>
      </c>
      <c r="BC50" s="127" t="str">
        <f t="shared" si="37"/>
        <v/>
      </c>
      <c r="BD50" s="127" t="str">
        <f t="shared" si="37"/>
        <v/>
      </c>
      <c r="BE50" s="127" t="str">
        <f t="shared" si="37"/>
        <v/>
      </c>
      <c r="BF50" s="127" t="str">
        <f t="shared" si="37"/>
        <v/>
      </c>
      <c r="BG50" s="127" t="str">
        <f t="shared" si="37"/>
        <v/>
      </c>
      <c r="BH50" s="127" t="str">
        <f t="shared" si="37"/>
        <v/>
      </c>
      <c r="BI50" s="127" t="str">
        <f t="shared" si="37"/>
        <v/>
      </c>
      <c r="BJ50" s="127" t="str">
        <f t="shared" si="37"/>
        <v/>
      </c>
      <c r="BK50" s="127" t="str">
        <f t="shared" si="37"/>
        <v/>
      </c>
      <c r="BL50" s="127" t="str">
        <f t="shared" si="37"/>
        <v/>
      </c>
      <c r="BM50" s="127" t="str">
        <f t="shared" si="37"/>
        <v/>
      </c>
      <c r="BN50" s="127" t="str">
        <f t="shared" si="37"/>
        <v/>
      </c>
      <c r="BO50" s="127" t="str">
        <f t="shared" si="37"/>
        <v/>
      </c>
      <c r="BP50" s="127" t="str">
        <f t="shared" si="37"/>
        <v/>
      </c>
      <c r="BQ50" s="127" t="str">
        <f t="shared" ref="BQ50:CD53" si="39">IF($E50=BQ$3,"▲","")</f>
        <v/>
      </c>
      <c r="BR50" s="127" t="str">
        <f t="shared" si="39"/>
        <v/>
      </c>
      <c r="BS50" s="127" t="str">
        <f t="shared" si="39"/>
        <v/>
      </c>
      <c r="BT50" s="127" t="str">
        <f t="shared" si="39"/>
        <v/>
      </c>
      <c r="BU50" s="127" t="str">
        <f t="shared" si="39"/>
        <v/>
      </c>
      <c r="BV50" s="127" t="str">
        <f t="shared" si="39"/>
        <v/>
      </c>
      <c r="BW50" s="127" t="str">
        <f t="shared" si="39"/>
        <v/>
      </c>
      <c r="BX50" s="127" t="str">
        <f t="shared" si="39"/>
        <v/>
      </c>
      <c r="BY50" s="127" t="str">
        <f t="shared" si="39"/>
        <v/>
      </c>
      <c r="BZ50" s="127" t="str">
        <f t="shared" si="39"/>
        <v/>
      </c>
      <c r="CA50" s="127" t="str">
        <f t="shared" si="39"/>
        <v/>
      </c>
      <c r="CB50" s="127" t="str">
        <f t="shared" si="39"/>
        <v/>
      </c>
      <c r="CC50" s="127" t="str">
        <f t="shared" si="39"/>
        <v/>
      </c>
      <c r="CD50" s="127" t="str">
        <f t="shared" si="39"/>
        <v/>
      </c>
    </row>
    <row r="51" spans="1:82" ht="12.6" hidden="1" customHeight="1" x14ac:dyDescent="0.2">
      <c r="A51" s="106">
        <f>SHIPMENTS!A57</f>
        <v>9122</v>
      </c>
      <c r="B51" s="106" t="str">
        <f>SHIPMENTS!B57</f>
        <v>19300-USA SUPERIOR SAUNA</v>
      </c>
      <c r="C51" s="132">
        <f>SHIPMENTS!F57</f>
        <v>69.539999999999992</v>
      </c>
      <c r="D51" s="107" t="str">
        <f>IF((SHIPMENTS!I57)=0,"",SHIPMENTS!I57)</f>
        <v>1x40HC</v>
      </c>
      <c r="E51" s="176" t="str">
        <f>IF((SHIPMENTS!G57)=0,"",SHIPMENTS!G57)</f>
        <v>TBA</v>
      </c>
      <c r="F51" s="98">
        <f>VLOOKUP(A51,load!$A$4:$W$5001,22,0)</f>
        <v>704.42916666666679</v>
      </c>
      <c r="G51" s="109">
        <v>13</v>
      </c>
      <c r="H51" s="98">
        <f t="shared" si="29"/>
        <v>118.3</v>
      </c>
      <c r="I51" s="99">
        <f t="shared" si="30"/>
        <v>5.9545998872921961</v>
      </c>
      <c r="J51" s="99">
        <f t="shared" si="31"/>
        <v>54.186858974358984</v>
      </c>
      <c r="K51" s="98">
        <f t="shared" si="32"/>
        <v>0</v>
      </c>
      <c r="L51" s="98">
        <f t="shared" si="33"/>
        <v>0</v>
      </c>
      <c r="M51" s="181">
        <f t="shared" si="34"/>
        <v>46343.00489673148</v>
      </c>
      <c r="N51" s="181">
        <f t="shared" si="35"/>
        <v>46343.00489673148</v>
      </c>
      <c r="O51" s="112" t="str">
        <f>VLOOKUP(A51,SHIPMENTS!$A$7:$AP$76,42,0)</f>
        <v>n/a</v>
      </c>
      <c r="P51" s="101"/>
      <c r="Q51" s="127" t="str">
        <f t="shared" si="28"/>
        <v/>
      </c>
      <c r="R51" s="127" t="str">
        <f t="shared" si="28"/>
        <v/>
      </c>
      <c r="S51" s="127" t="str">
        <f t="shared" si="28"/>
        <v/>
      </c>
      <c r="T51" s="127" t="str">
        <f t="shared" si="28"/>
        <v/>
      </c>
      <c r="U51" s="127" t="str">
        <f t="shared" si="28"/>
        <v/>
      </c>
      <c r="V51" s="127" t="str">
        <f t="shared" si="28"/>
        <v/>
      </c>
      <c r="W51" s="127" t="str">
        <f t="shared" si="28"/>
        <v/>
      </c>
      <c r="X51" s="127" t="str">
        <f t="shared" si="28"/>
        <v/>
      </c>
      <c r="Y51" s="127" t="str">
        <f t="shared" si="28"/>
        <v/>
      </c>
      <c r="Z51" s="127" t="str">
        <f t="shared" si="28"/>
        <v/>
      </c>
      <c r="AA51" s="127" t="str">
        <f t="shared" si="28"/>
        <v/>
      </c>
      <c r="AB51" s="127" t="str">
        <f t="shared" si="28"/>
        <v/>
      </c>
      <c r="AC51" s="127" t="str">
        <f t="shared" si="28"/>
        <v/>
      </c>
      <c r="AD51" s="127" t="str">
        <f t="shared" si="28"/>
        <v/>
      </c>
      <c r="AE51" s="127" t="str">
        <f t="shared" si="28"/>
        <v/>
      </c>
      <c r="AF51" s="127" t="str">
        <f t="shared" si="28"/>
        <v/>
      </c>
      <c r="AG51" s="127" t="str">
        <f t="shared" si="38"/>
        <v/>
      </c>
      <c r="AH51" s="127" t="str">
        <f t="shared" si="38"/>
        <v/>
      </c>
      <c r="AI51" s="127" t="str">
        <f t="shared" si="38"/>
        <v/>
      </c>
      <c r="AJ51" s="127" t="str">
        <f t="shared" si="38"/>
        <v/>
      </c>
      <c r="AK51" s="127" t="str">
        <f t="shared" si="38"/>
        <v/>
      </c>
      <c r="AL51" s="127" t="str">
        <f t="shared" si="38"/>
        <v/>
      </c>
      <c r="AM51" s="127" t="str">
        <f t="shared" si="38"/>
        <v/>
      </c>
      <c r="AN51" s="127" t="str">
        <f t="shared" si="38"/>
        <v/>
      </c>
      <c r="AO51" s="127" t="str">
        <f t="shared" si="38"/>
        <v/>
      </c>
      <c r="AP51" s="127" t="str">
        <f t="shared" si="38"/>
        <v/>
      </c>
      <c r="AQ51" s="127" t="str">
        <f t="shared" si="38"/>
        <v/>
      </c>
      <c r="AR51" s="127" t="str">
        <f t="shared" si="38"/>
        <v/>
      </c>
      <c r="AS51" s="127" t="str">
        <f t="shared" si="38"/>
        <v/>
      </c>
      <c r="AT51" s="127" t="str">
        <f t="shared" si="38"/>
        <v/>
      </c>
      <c r="AU51" s="127" t="str">
        <f t="shared" si="38"/>
        <v/>
      </c>
      <c r="AV51" s="127" t="str">
        <f t="shared" si="38"/>
        <v/>
      </c>
      <c r="AW51" s="127" t="str">
        <f t="shared" si="36"/>
        <v/>
      </c>
      <c r="AX51" s="127" t="str">
        <f t="shared" si="36"/>
        <v/>
      </c>
      <c r="AY51" s="127" t="str">
        <f t="shared" si="36"/>
        <v/>
      </c>
      <c r="AZ51" s="127" t="str">
        <f t="shared" si="36"/>
        <v/>
      </c>
      <c r="BA51" s="127" t="str">
        <f t="shared" si="37"/>
        <v/>
      </c>
      <c r="BB51" s="127" t="str">
        <f t="shared" si="37"/>
        <v/>
      </c>
      <c r="BC51" s="127" t="str">
        <f t="shared" si="37"/>
        <v/>
      </c>
      <c r="BD51" s="127" t="str">
        <f t="shared" si="37"/>
        <v/>
      </c>
      <c r="BE51" s="127" t="str">
        <f t="shared" si="37"/>
        <v/>
      </c>
      <c r="BF51" s="127" t="str">
        <f t="shared" si="37"/>
        <v/>
      </c>
      <c r="BG51" s="127" t="str">
        <f t="shared" si="37"/>
        <v/>
      </c>
      <c r="BH51" s="127" t="str">
        <f t="shared" si="37"/>
        <v/>
      </c>
      <c r="BI51" s="127" t="str">
        <f t="shared" si="37"/>
        <v/>
      </c>
      <c r="BJ51" s="127" t="str">
        <f t="shared" si="37"/>
        <v/>
      </c>
      <c r="BK51" s="127" t="str">
        <f t="shared" si="37"/>
        <v/>
      </c>
      <c r="BL51" s="127" t="str">
        <f t="shared" si="37"/>
        <v/>
      </c>
      <c r="BM51" s="127" t="str">
        <f t="shared" si="37"/>
        <v/>
      </c>
      <c r="BN51" s="127" t="str">
        <f t="shared" si="37"/>
        <v/>
      </c>
      <c r="BO51" s="127" t="str">
        <f t="shared" si="37"/>
        <v/>
      </c>
      <c r="BP51" s="127" t="str">
        <f t="shared" si="37"/>
        <v/>
      </c>
      <c r="BQ51" s="127" t="str">
        <f t="shared" si="39"/>
        <v/>
      </c>
      <c r="BR51" s="127" t="str">
        <f t="shared" si="39"/>
        <v/>
      </c>
      <c r="BS51" s="127" t="str">
        <f t="shared" si="39"/>
        <v/>
      </c>
      <c r="BT51" s="127" t="str">
        <f t="shared" si="39"/>
        <v/>
      </c>
      <c r="BU51" s="127" t="str">
        <f t="shared" si="39"/>
        <v/>
      </c>
      <c r="BV51" s="127" t="str">
        <f t="shared" si="39"/>
        <v/>
      </c>
      <c r="BW51" s="127" t="str">
        <f t="shared" si="39"/>
        <v/>
      </c>
      <c r="BX51" s="127" t="str">
        <f t="shared" si="39"/>
        <v/>
      </c>
      <c r="BY51" s="127" t="str">
        <f t="shared" si="39"/>
        <v/>
      </c>
      <c r="BZ51" s="127" t="str">
        <f t="shared" si="39"/>
        <v/>
      </c>
      <c r="CA51" s="127" t="str">
        <f t="shared" si="39"/>
        <v/>
      </c>
      <c r="CB51" s="127" t="str">
        <f t="shared" si="39"/>
        <v/>
      </c>
      <c r="CC51" s="127" t="str">
        <f t="shared" si="39"/>
        <v/>
      </c>
      <c r="CD51" s="127" t="str">
        <f t="shared" si="39"/>
        <v/>
      </c>
    </row>
    <row r="52" spans="1:82" ht="12.6" hidden="1" customHeight="1" x14ac:dyDescent="0.2">
      <c r="A52" s="106">
        <f>SHIPMENTS!A58</f>
        <v>9197</v>
      </c>
      <c r="B52" s="106" t="str">
        <f>SHIPMENTS!B58</f>
        <v>19300-USA SUPERIOR SAUNA</v>
      </c>
      <c r="C52" s="132">
        <f>SHIPMENTS!F58</f>
        <v>0</v>
      </c>
      <c r="D52" s="107" t="str">
        <f>IF((SHIPMENTS!I58)=0,"",SHIPMENTS!I58)</f>
        <v/>
      </c>
      <c r="E52" s="176" t="str">
        <f>IF((SHIPMENTS!G58)=0,"",SHIPMENTS!G58)</f>
        <v>TBA</v>
      </c>
      <c r="F52" s="98">
        <f>VLOOKUP(A52,load!$A$4:$W$5001,22,0)</f>
        <v>187.54599999999999</v>
      </c>
      <c r="G52" s="109">
        <v>13</v>
      </c>
      <c r="H52" s="98">
        <f t="shared" si="29"/>
        <v>118.3</v>
      </c>
      <c r="I52" s="99">
        <f t="shared" si="30"/>
        <v>1.5853423499577346</v>
      </c>
      <c r="J52" s="99">
        <f t="shared" si="31"/>
        <v>14.426615384615385</v>
      </c>
      <c r="K52" s="98">
        <f t="shared" si="32"/>
        <v>0</v>
      </c>
      <c r="L52" s="98">
        <f t="shared" si="33"/>
        <v>0</v>
      </c>
      <c r="M52" s="181">
        <f t="shared" si="34"/>
        <v>46343.00489673148</v>
      </c>
      <c r="N52" s="181">
        <f t="shared" si="35"/>
        <v>46343.00489673148</v>
      </c>
      <c r="O52" s="112" t="str">
        <f>VLOOKUP(A52,SHIPMENTS!$A$7:$AP$76,42,0)</f>
        <v>n/a</v>
      </c>
      <c r="P52" s="101"/>
      <c r="Q52" s="127" t="str">
        <f t="shared" si="28"/>
        <v/>
      </c>
      <c r="R52" s="127" t="str">
        <f t="shared" si="28"/>
        <v/>
      </c>
      <c r="S52" s="127" t="str">
        <f t="shared" si="28"/>
        <v/>
      </c>
      <c r="T52" s="127" t="str">
        <f t="shared" si="28"/>
        <v/>
      </c>
      <c r="U52" s="127" t="str">
        <f t="shared" si="28"/>
        <v/>
      </c>
      <c r="V52" s="127" t="str">
        <f t="shared" si="28"/>
        <v/>
      </c>
      <c r="W52" s="127" t="str">
        <f t="shared" si="28"/>
        <v/>
      </c>
      <c r="X52" s="127" t="str">
        <f t="shared" si="28"/>
        <v/>
      </c>
      <c r="Y52" s="127" t="str">
        <f t="shared" si="28"/>
        <v/>
      </c>
      <c r="Z52" s="127" t="str">
        <f t="shared" si="28"/>
        <v/>
      </c>
      <c r="AA52" s="127" t="str">
        <f t="shared" si="28"/>
        <v/>
      </c>
      <c r="AB52" s="127" t="str">
        <f t="shared" si="28"/>
        <v/>
      </c>
      <c r="AC52" s="127" t="str">
        <f t="shared" si="28"/>
        <v/>
      </c>
      <c r="AD52" s="127" t="str">
        <f t="shared" si="28"/>
        <v/>
      </c>
      <c r="AE52" s="127" t="str">
        <f t="shared" si="28"/>
        <v/>
      </c>
      <c r="AF52" s="127" t="str">
        <f t="shared" si="28"/>
        <v/>
      </c>
      <c r="AG52" s="127" t="str">
        <f t="shared" si="38"/>
        <v/>
      </c>
      <c r="AH52" s="127" t="str">
        <f t="shared" si="38"/>
        <v/>
      </c>
      <c r="AI52" s="127" t="str">
        <f t="shared" si="38"/>
        <v/>
      </c>
      <c r="AJ52" s="127" t="str">
        <f t="shared" si="38"/>
        <v/>
      </c>
      <c r="AK52" s="127" t="str">
        <f t="shared" si="38"/>
        <v/>
      </c>
      <c r="AL52" s="127" t="str">
        <f t="shared" si="38"/>
        <v/>
      </c>
      <c r="AM52" s="127" t="str">
        <f t="shared" si="38"/>
        <v/>
      </c>
      <c r="AN52" s="127" t="str">
        <f t="shared" si="38"/>
        <v/>
      </c>
      <c r="AO52" s="127" t="str">
        <f t="shared" si="38"/>
        <v/>
      </c>
      <c r="AP52" s="127" t="str">
        <f t="shared" si="38"/>
        <v/>
      </c>
      <c r="AQ52" s="127" t="str">
        <f t="shared" si="38"/>
        <v/>
      </c>
      <c r="AR52" s="127" t="str">
        <f t="shared" si="38"/>
        <v/>
      </c>
      <c r="AS52" s="127" t="str">
        <f t="shared" si="38"/>
        <v/>
      </c>
      <c r="AT52" s="127" t="str">
        <f t="shared" si="38"/>
        <v/>
      </c>
      <c r="AU52" s="127" t="str">
        <f t="shared" si="38"/>
        <v/>
      </c>
      <c r="AV52" s="127" t="str">
        <f t="shared" si="38"/>
        <v/>
      </c>
      <c r="AW52" s="127" t="str">
        <f t="shared" si="36"/>
        <v/>
      </c>
      <c r="AX52" s="127" t="str">
        <f t="shared" si="36"/>
        <v/>
      </c>
      <c r="AY52" s="127" t="str">
        <f t="shared" si="36"/>
        <v/>
      </c>
      <c r="AZ52" s="127" t="str">
        <f t="shared" si="36"/>
        <v/>
      </c>
      <c r="BA52" s="127" t="str">
        <f t="shared" si="37"/>
        <v/>
      </c>
      <c r="BB52" s="127" t="str">
        <f t="shared" si="37"/>
        <v/>
      </c>
      <c r="BC52" s="127" t="str">
        <f t="shared" si="37"/>
        <v/>
      </c>
      <c r="BD52" s="127" t="str">
        <f t="shared" si="37"/>
        <v/>
      </c>
      <c r="BE52" s="127" t="str">
        <f t="shared" si="37"/>
        <v/>
      </c>
      <c r="BF52" s="127" t="str">
        <f t="shared" si="37"/>
        <v/>
      </c>
      <c r="BG52" s="127" t="str">
        <f t="shared" si="37"/>
        <v/>
      </c>
      <c r="BH52" s="127" t="str">
        <f t="shared" si="37"/>
        <v/>
      </c>
      <c r="BI52" s="127" t="str">
        <f t="shared" si="37"/>
        <v/>
      </c>
      <c r="BJ52" s="127" t="str">
        <f t="shared" si="37"/>
        <v/>
      </c>
      <c r="BK52" s="127" t="str">
        <f t="shared" si="37"/>
        <v/>
      </c>
      <c r="BL52" s="127" t="str">
        <f t="shared" si="37"/>
        <v/>
      </c>
      <c r="BM52" s="127" t="str">
        <f t="shared" si="37"/>
        <v/>
      </c>
      <c r="BN52" s="127" t="str">
        <f t="shared" si="37"/>
        <v/>
      </c>
      <c r="BO52" s="127" t="str">
        <f t="shared" si="37"/>
        <v/>
      </c>
      <c r="BP52" s="127" t="str">
        <f t="shared" si="37"/>
        <v/>
      </c>
      <c r="BQ52" s="127" t="str">
        <f t="shared" si="39"/>
        <v/>
      </c>
      <c r="BR52" s="127" t="str">
        <f t="shared" si="39"/>
        <v/>
      </c>
      <c r="BS52" s="127" t="str">
        <f t="shared" si="39"/>
        <v/>
      </c>
      <c r="BT52" s="127" t="str">
        <f t="shared" si="39"/>
        <v/>
      </c>
      <c r="BU52" s="127" t="str">
        <f t="shared" si="39"/>
        <v/>
      </c>
      <c r="BV52" s="127" t="str">
        <f t="shared" si="39"/>
        <v/>
      </c>
      <c r="BW52" s="127" t="str">
        <f t="shared" si="39"/>
        <v/>
      </c>
      <c r="BX52" s="127" t="str">
        <f t="shared" si="39"/>
        <v/>
      </c>
      <c r="BY52" s="127" t="str">
        <f t="shared" si="39"/>
        <v/>
      </c>
      <c r="BZ52" s="127" t="str">
        <f t="shared" si="39"/>
        <v/>
      </c>
      <c r="CA52" s="127" t="str">
        <f t="shared" si="39"/>
        <v/>
      </c>
      <c r="CB52" s="127" t="str">
        <f t="shared" si="39"/>
        <v/>
      </c>
      <c r="CC52" s="127" t="str">
        <f t="shared" si="39"/>
        <v/>
      </c>
      <c r="CD52" s="127" t="str">
        <f t="shared" si="39"/>
        <v/>
      </c>
    </row>
    <row r="53" spans="1:82" ht="12.6" hidden="1" customHeight="1" x14ac:dyDescent="0.2">
      <c r="A53" s="106">
        <f>SHIPMENTS!A59</f>
        <v>6542</v>
      </c>
      <c r="B53" s="106" t="str">
        <f>SHIPMENTS!B59</f>
        <v>75100-JORDAN
BACKLOG</v>
      </c>
      <c r="C53" s="132">
        <f>SHIPMENTS!F59</f>
        <v>2.9600000000000001E-2</v>
      </c>
      <c r="D53" s="107" t="str">
        <f>IF((SHIPMENTS!I59)=0,"",SHIPMENTS!I59)</f>
        <v/>
      </c>
      <c r="E53" s="176" t="str">
        <f>IF((SHIPMENTS!G59)=0,"",SHIPMENTS!G59)</f>
        <v>TBA</v>
      </c>
      <c r="F53" s="98">
        <f>VLOOKUP(A53,load!$A$4:$W$5001,22,0)</f>
        <v>0</v>
      </c>
      <c r="G53" s="109">
        <v>13</v>
      </c>
      <c r="H53" s="98">
        <f t="shared" ref="H53" si="40">+G53*$H$4</f>
        <v>118.3</v>
      </c>
      <c r="I53" s="99">
        <f t="shared" ref="I53" si="41">F53/H53</f>
        <v>0</v>
      </c>
      <c r="J53" s="99">
        <f t="shared" ref="J53" si="42">+I53*$H$4</f>
        <v>0</v>
      </c>
      <c r="K53" s="98">
        <f t="shared" ref="K53" si="43">IFERROR(I53-(I53*O53),0)</f>
        <v>0</v>
      </c>
      <c r="L53" s="98">
        <f t="shared" ref="L53" si="44">IFERROR(J53-(J53*O53),0)</f>
        <v>0</v>
      </c>
      <c r="M53" s="181">
        <f t="shared" ref="M53" si="45">N52</f>
        <v>46343.00489673148</v>
      </c>
      <c r="N53" s="181">
        <f t="shared" ref="N53" si="46">+M53+K53</f>
        <v>46343.00489673148</v>
      </c>
      <c r="O53" s="112" t="str">
        <f>VLOOKUP(A53,SHIPMENTS!$A$7:$AP$76,42,0)</f>
        <v>n/a</v>
      </c>
      <c r="P53" s="101"/>
      <c r="Q53" s="127" t="str">
        <f t="shared" si="28"/>
        <v/>
      </c>
      <c r="R53" s="127" t="str">
        <f t="shared" si="28"/>
        <v/>
      </c>
      <c r="S53" s="127" t="str">
        <f t="shared" si="28"/>
        <v/>
      </c>
      <c r="T53" s="127" t="str">
        <f t="shared" si="28"/>
        <v/>
      </c>
      <c r="U53" s="127" t="str">
        <f t="shared" si="28"/>
        <v/>
      </c>
      <c r="V53" s="127" t="str">
        <f t="shared" si="28"/>
        <v/>
      </c>
      <c r="W53" s="127" t="str">
        <f t="shared" si="28"/>
        <v/>
      </c>
      <c r="X53" s="127" t="str">
        <f t="shared" si="28"/>
        <v/>
      </c>
      <c r="Y53" s="127" t="str">
        <f t="shared" si="28"/>
        <v/>
      </c>
      <c r="Z53" s="127" t="str">
        <f t="shared" si="28"/>
        <v/>
      </c>
      <c r="AA53" s="127" t="str">
        <f t="shared" si="28"/>
        <v/>
      </c>
      <c r="AB53" s="127" t="str">
        <f t="shared" si="28"/>
        <v/>
      </c>
      <c r="AC53" s="127" t="str">
        <f t="shared" si="28"/>
        <v/>
      </c>
      <c r="AD53" s="127" t="str">
        <f t="shared" si="28"/>
        <v/>
      </c>
      <c r="AE53" s="127" t="str">
        <f t="shared" si="28"/>
        <v/>
      </c>
      <c r="AF53" s="127" t="str">
        <f t="shared" si="28"/>
        <v/>
      </c>
      <c r="AG53" s="127" t="str">
        <f t="shared" si="38"/>
        <v/>
      </c>
      <c r="AH53" s="127" t="str">
        <f t="shared" si="38"/>
        <v/>
      </c>
      <c r="AI53" s="127" t="str">
        <f t="shared" si="38"/>
        <v/>
      </c>
      <c r="AJ53" s="127" t="str">
        <f t="shared" si="38"/>
        <v/>
      </c>
      <c r="AK53" s="127" t="str">
        <f t="shared" si="38"/>
        <v/>
      </c>
      <c r="AL53" s="127" t="str">
        <f t="shared" si="38"/>
        <v/>
      </c>
      <c r="AM53" s="127" t="str">
        <f t="shared" si="38"/>
        <v/>
      </c>
      <c r="AN53" s="127" t="str">
        <f t="shared" si="38"/>
        <v/>
      </c>
      <c r="AO53" s="127" t="str">
        <f t="shared" si="38"/>
        <v/>
      </c>
      <c r="AP53" s="127" t="str">
        <f t="shared" si="38"/>
        <v/>
      </c>
      <c r="AQ53" s="127" t="str">
        <f t="shared" si="38"/>
        <v/>
      </c>
      <c r="AR53" s="127" t="str">
        <f t="shared" si="38"/>
        <v/>
      </c>
      <c r="AS53" s="127" t="str">
        <f t="shared" si="38"/>
        <v/>
      </c>
      <c r="AT53" s="127" t="str">
        <f t="shared" si="38"/>
        <v/>
      </c>
      <c r="AU53" s="127" t="str">
        <f t="shared" si="38"/>
        <v/>
      </c>
      <c r="AV53" s="127" t="str">
        <f t="shared" si="38"/>
        <v/>
      </c>
      <c r="AW53" s="127" t="str">
        <f t="shared" si="36"/>
        <v/>
      </c>
      <c r="AX53" s="127" t="str">
        <f t="shared" si="36"/>
        <v/>
      </c>
      <c r="AY53" s="127" t="str">
        <f t="shared" si="36"/>
        <v/>
      </c>
      <c r="AZ53" s="127" t="str">
        <f t="shared" si="36"/>
        <v/>
      </c>
      <c r="BA53" s="127" t="str">
        <f t="shared" si="37"/>
        <v/>
      </c>
      <c r="BB53" s="127" t="str">
        <f t="shared" si="37"/>
        <v/>
      </c>
      <c r="BC53" s="127" t="str">
        <f t="shared" si="37"/>
        <v/>
      </c>
      <c r="BD53" s="127" t="str">
        <f t="shared" si="37"/>
        <v/>
      </c>
      <c r="BE53" s="127" t="str">
        <f t="shared" si="37"/>
        <v/>
      </c>
      <c r="BF53" s="127" t="str">
        <f t="shared" si="37"/>
        <v/>
      </c>
      <c r="BG53" s="127" t="str">
        <f t="shared" si="37"/>
        <v/>
      </c>
      <c r="BH53" s="127" t="str">
        <f t="shared" si="37"/>
        <v/>
      </c>
      <c r="BI53" s="127" t="str">
        <f t="shared" si="37"/>
        <v/>
      </c>
      <c r="BJ53" s="127" t="str">
        <f t="shared" si="37"/>
        <v/>
      </c>
      <c r="BK53" s="127" t="str">
        <f t="shared" si="37"/>
        <v/>
      </c>
      <c r="BL53" s="127" t="str">
        <f t="shared" si="37"/>
        <v/>
      </c>
      <c r="BM53" s="127" t="str">
        <f t="shared" si="37"/>
        <v/>
      </c>
      <c r="BN53" s="127" t="str">
        <f t="shared" si="37"/>
        <v/>
      </c>
      <c r="BO53" s="127" t="str">
        <f t="shared" si="37"/>
        <v/>
      </c>
      <c r="BP53" s="127" t="str">
        <f t="shared" si="37"/>
        <v/>
      </c>
      <c r="BQ53" s="127" t="str">
        <f t="shared" si="39"/>
        <v/>
      </c>
      <c r="BR53" s="127" t="str">
        <f t="shared" si="39"/>
        <v/>
      </c>
      <c r="BS53" s="127" t="str">
        <f t="shared" si="39"/>
        <v/>
      </c>
      <c r="BT53" s="127" t="str">
        <f t="shared" si="39"/>
        <v/>
      </c>
      <c r="BU53" s="127" t="str">
        <f t="shared" si="39"/>
        <v/>
      </c>
      <c r="BV53" s="127" t="str">
        <f t="shared" si="39"/>
        <v/>
      </c>
      <c r="BW53" s="127" t="str">
        <f t="shared" si="39"/>
        <v/>
      </c>
      <c r="BX53" s="127" t="str">
        <f t="shared" si="39"/>
        <v/>
      </c>
      <c r="BY53" s="127" t="str">
        <f t="shared" si="39"/>
        <v/>
      </c>
      <c r="BZ53" s="127" t="str">
        <f t="shared" si="39"/>
        <v/>
      </c>
      <c r="CA53" s="127" t="str">
        <f t="shared" si="39"/>
        <v/>
      </c>
      <c r="CB53" s="127" t="str">
        <f t="shared" si="39"/>
        <v/>
      </c>
      <c r="CC53" s="127" t="str">
        <f t="shared" si="39"/>
        <v/>
      </c>
      <c r="CD53" s="127" t="str">
        <f t="shared" si="39"/>
        <v/>
      </c>
    </row>
  </sheetData>
  <autoFilter ref="A7:BL53" xr:uid="{00000000-0009-0000-0000-00000F000000}">
    <filterColumn colId="14">
      <filters>
        <filter val="0%"/>
        <filter val="100%"/>
        <filter val="40%"/>
        <filter val="50%"/>
      </filters>
    </filterColumn>
  </autoFilter>
  <mergeCells count="16">
    <mergeCell ref="P5:P6"/>
    <mergeCell ref="M5:M6"/>
    <mergeCell ref="N5:N6"/>
    <mergeCell ref="O5:O6"/>
    <mergeCell ref="G5:G6"/>
    <mergeCell ref="H5:H6"/>
    <mergeCell ref="I5:I6"/>
    <mergeCell ref="J5:J6"/>
    <mergeCell ref="K5:K6"/>
    <mergeCell ref="L5:L6"/>
    <mergeCell ref="F5:F6"/>
    <mergeCell ref="A5:A6"/>
    <mergeCell ref="B5:B6"/>
    <mergeCell ref="C5:C6"/>
    <mergeCell ref="D5:D6"/>
    <mergeCell ref="E5:E6"/>
  </mergeCells>
  <conditionalFormatting sqref="N8:N53">
    <cfRule type="cellIs" dxfId="41" priority="720" operator="greaterThan">
      <formula>E8</formula>
    </cfRule>
  </conditionalFormatting>
  <conditionalFormatting sqref="O8:O53">
    <cfRule type="dataBar" priority="722">
      <dataBar>
        <cfvo type="num" val="0"/>
        <cfvo type="num" val="1"/>
        <color rgb="FFFFB628"/>
      </dataBar>
      <extLst>
        <ext xmlns:x14="http://schemas.microsoft.com/office/spreadsheetml/2009/9/main" uri="{B025F937-C7B1-47D3-B67F-A62EFF666E3E}">
          <x14:id>{B0544279-8C82-44B4-8450-81141F4DE868}</x14:id>
        </ext>
      </extLst>
    </cfRule>
  </conditionalFormatting>
  <conditionalFormatting sqref="O1:P5 O7:P1048576">
    <cfRule type="cellIs" dxfId="40" priority="79" operator="lessThan">
      <formula>1</formula>
    </cfRule>
    <cfRule type="cellIs" dxfId="39" priority="80" operator="equal">
      <formula>1</formula>
    </cfRule>
  </conditionalFormatting>
  <conditionalFormatting sqref="P8:P27">
    <cfRule type="dataBar" priority="1092">
      <dataBar>
        <cfvo type="num" val="0"/>
        <cfvo type="num" val="1"/>
        <color rgb="FFFFB628"/>
      </dataBar>
      <extLst>
        <ext xmlns:x14="http://schemas.microsoft.com/office/spreadsheetml/2009/9/main" uri="{B025F937-C7B1-47D3-B67F-A62EFF666E3E}">
          <x14:id>{4238ED50-4CE2-42DF-8B3C-9F302842EB2F}</x14:id>
        </ext>
      </extLst>
    </cfRule>
  </conditionalFormatting>
  <conditionalFormatting sqref="P28">
    <cfRule type="dataBar" priority="1064">
      <dataBar>
        <cfvo type="num" val="0"/>
        <cfvo type="num" val="1"/>
        <color rgb="FFFFB628"/>
      </dataBar>
      <extLst>
        <ext xmlns:x14="http://schemas.microsoft.com/office/spreadsheetml/2009/9/main" uri="{B025F937-C7B1-47D3-B67F-A62EFF666E3E}">
          <x14:id>{4E171279-CA83-4E32-B6AB-F5F94AD46C2E}</x14:id>
        </ext>
      </extLst>
    </cfRule>
  </conditionalFormatting>
  <conditionalFormatting sqref="P29:P53">
    <cfRule type="dataBar" priority="1060">
      <dataBar>
        <cfvo type="num" val="0"/>
        <cfvo type="num" val="1"/>
        <color rgb="FFFFB628"/>
      </dataBar>
      <extLst>
        <ext xmlns:x14="http://schemas.microsoft.com/office/spreadsheetml/2009/9/main" uri="{B025F937-C7B1-47D3-B67F-A62EFF666E3E}">
          <x14:id>{E2E1582D-7E4C-4427-8945-5DE5E1A3AEED}</x14:id>
        </ext>
      </extLst>
    </cfRule>
  </conditionalFormatting>
  <conditionalFormatting sqref="Q8:BE27 AV8:CD32">
    <cfRule type="cellIs" dxfId="38" priority="1091" operator="equal">
      <formula>1</formula>
    </cfRule>
  </conditionalFormatting>
  <conditionalFormatting sqref="Q8:BE53">
    <cfRule type="cellIs" dxfId="37" priority="6" operator="equal">
      <formula>1</formula>
    </cfRule>
  </conditionalFormatting>
  <conditionalFormatting sqref="Q28:BE28">
    <cfRule type="cellIs" dxfId="36" priority="1063" operator="equal">
      <formula>1</formula>
    </cfRule>
  </conditionalFormatting>
  <conditionalFormatting sqref="Q29:BE53">
    <cfRule type="cellIs" dxfId="35" priority="7" operator="equal">
      <formula>1</formula>
    </cfRule>
  </conditionalFormatting>
  <conditionalFormatting sqref="Q1:CD1">
    <cfRule type="cellIs" dxfId="34" priority="762" operator="notEqual">
      <formula>0</formula>
    </cfRule>
  </conditionalFormatting>
  <conditionalFormatting sqref="Q8:CD53">
    <cfRule type="expression" dxfId="33" priority="8">
      <formula>IF(AND($M8&lt;=Q$3,$N8&gt;=Q$3),1,"")</formula>
    </cfRule>
  </conditionalFormatting>
  <conditionalFormatting sqref="AV8:CD32">
    <cfRule type="cellIs" dxfId="32" priority="1090" operator="equal">
      <formula>1</formula>
    </cfRule>
  </conditionalFormatting>
  <conditionalFormatting sqref="AV33:CD53">
    <cfRule type="cellIs" dxfId="31" priority="12" operator="equal">
      <formula>1</formula>
    </cfRule>
    <cfRule type="cellIs" dxfId="30" priority="13" operator="equal">
      <formula>1</formula>
    </cfRule>
  </conditionalFormatting>
  <conditionalFormatting sqref="BG8:BK53">
    <cfRule type="cellIs" dxfId="29" priority="5" operator="equal">
      <formula>1</formula>
    </cfRule>
    <cfRule type="cellIs" dxfId="28" priority="11" operator="equal">
      <formula>1</formula>
    </cfRule>
  </conditionalFormatting>
  <conditionalFormatting sqref="BM8:BQ53">
    <cfRule type="cellIs" dxfId="27" priority="4" operator="equal">
      <formula>1</formula>
    </cfRule>
    <cfRule type="cellIs" dxfId="26" priority="10" operator="equal">
      <formula>1</formula>
    </cfRule>
  </conditionalFormatting>
  <conditionalFormatting sqref="BS8:BW53">
    <cfRule type="cellIs" dxfId="25" priority="3" operator="equal">
      <formula>1</formula>
    </cfRule>
    <cfRule type="cellIs" dxfId="24" priority="9" operator="equal">
      <formula>1</formula>
    </cfRule>
  </conditionalFormatting>
  <conditionalFormatting sqref="BY8:CC27">
    <cfRule type="cellIs" dxfId="23" priority="981" operator="equal">
      <formula>1</formula>
    </cfRule>
  </conditionalFormatting>
  <conditionalFormatting sqref="BY8:CC53">
    <cfRule type="cellIs" dxfId="22" priority="1" operator="equal">
      <formula>1</formula>
    </cfRule>
  </conditionalFormatting>
  <conditionalFormatting sqref="BY28:CC53">
    <cfRule type="cellIs" dxfId="21" priority="2" operator="equal">
      <formula>1</formula>
    </cfRule>
  </conditionalFormatting>
  <pageMargins left="0.7" right="0.7" top="0.75" bottom="0.75" header="0.3" footer="0.3"/>
  <pageSetup paperSize="9" orientation="portrait" horizontalDpi="0" verticalDpi="0" r:id="rId1"/>
  <extLst>
    <ext xmlns:x14="http://schemas.microsoft.com/office/spreadsheetml/2009/9/main" uri="{78C0D931-6437-407d-A8EE-F0AAD7539E65}">
      <x14:conditionalFormattings>
        <x14:conditionalFormatting xmlns:xm="http://schemas.microsoft.com/office/excel/2006/main">
          <x14:cfRule type="dataBar" id="{B0544279-8C82-44B4-8450-81141F4DE868}">
            <x14:dataBar minLength="0" maxLength="100" gradient="0">
              <x14:cfvo type="num">
                <xm:f>0</xm:f>
              </x14:cfvo>
              <x14:cfvo type="num">
                <xm:f>1</xm:f>
              </x14:cfvo>
              <x14:negativeFillColor rgb="FFFF0000"/>
              <x14:axisColor rgb="FF000000"/>
            </x14:dataBar>
          </x14:cfRule>
          <xm:sqref>O8:O53</xm:sqref>
        </x14:conditionalFormatting>
        <x14:conditionalFormatting xmlns:xm="http://schemas.microsoft.com/office/excel/2006/main">
          <x14:cfRule type="dataBar" id="{4238ED50-4CE2-42DF-8B3C-9F302842EB2F}">
            <x14:dataBar minLength="0" maxLength="100" gradient="0">
              <x14:cfvo type="num">
                <xm:f>0</xm:f>
              </x14:cfvo>
              <x14:cfvo type="num">
                <xm:f>1</xm:f>
              </x14:cfvo>
              <x14:negativeFillColor rgb="FFFF0000"/>
              <x14:axisColor rgb="FF000000"/>
            </x14:dataBar>
          </x14:cfRule>
          <xm:sqref>P8:P27</xm:sqref>
        </x14:conditionalFormatting>
        <x14:conditionalFormatting xmlns:xm="http://schemas.microsoft.com/office/excel/2006/main">
          <x14:cfRule type="dataBar" id="{4E171279-CA83-4E32-B6AB-F5F94AD46C2E}">
            <x14:dataBar minLength="0" maxLength="100" gradient="0">
              <x14:cfvo type="num">
                <xm:f>0</xm:f>
              </x14:cfvo>
              <x14:cfvo type="num">
                <xm:f>1</xm:f>
              </x14:cfvo>
              <x14:negativeFillColor rgb="FFFF0000"/>
              <x14:axisColor rgb="FF000000"/>
            </x14:dataBar>
          </x14:cfRule>
          <xm:sqref>P28</xm:sqref>
        </x14:conditionalFormatting>
        <x14:conditionalFormatting xmlns:xm="http://schemas.microsoft.com/office/excel/2006/main">
          <x14:cfRule type="dataBar" id="{E2E1582D-7E4C-4427-8945-5DE5E1A3AEED}">
            <x14:dataBar minLength="0" maxLength="100" gradient="0">
              <x14:cfvo type="num">
                <xm:f>0</xm:f>
              </x14:cfvo>
              <x14:cfvo type="num">
                <xm:f>1</xm:f>
              </x14:cfvo>
              <x14:negativeFillColor rgb="FFFF0000"/>
              <x14:axisColor rgb="FF000000"/>
            </x14:dataBar>
          </x14:cfRule>
          <xm:sqref>P29:P53</xm:sqref>
        </x14:conditionalFormatting>
      </x14:conditionalFormatting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25" filterMode="1"/>
  <dimension ref="A1:CE53"/>
  <sheetViews>
    <sheetView showGridLines="0" zoomScaleNormal="100" zoomScaleSheetLayoutView="100" workbookViewId="0">
      <pane xSplit="16" ySplit="7" topLeftCell="Q8" activePane="bottomRight" state="frozen"/>
      <selection pane="topRight" activeCell="P1" sqref="P1"/>
      <selection pane="bottomLeft" activeCell="A8" sqref="A8"/>
      <selection pane="bottomRight" activeCell="B41" sqref="B41"/>
    </sheetView>
  </sheetViews>
  <sheetFormatPr defaultColWidth="9.28515625" defaultRowHeight="12.75" outlineLevelCol="1" x14ac:dyDescent="0.2"/>
  <cols>
    <col min="1" max="1" width="11.28515625" style="72" customWidth="1"/>
    <col min="2" max="2" width="21.7109375" style="71" customWidth="1"/>
    <col min="3" max="3" width="7.28515625" style="71" customWidth="1"/>
    <col min="4" max="4" width="7.7109375" style="71" customWidth="1"/>
    <col min="5" max="5" width="9.7109375" style="174" customWidth="1"/>
    <col min="6" max="6" width="7.5703125" style="174" customWidth="1"/>
    <col min="7" max="7" width="11.5703125" style="74" hidden="1" customWidth="1" outlineLevel="1"/>
    <col min="8" max="8" width="11.7109375" style="75" hidden="1" customWidth="1" outlineLevel="1"/>
    <col min="9" max="9" width="11.28515625" style="74" hidden="1" customWidth="1" outlineLevel="1"/>
    <col min="10" max="10" width="8.7109375" style="76" hidden="1" customWidth="1" outlineLevel="1"/>
    <col min="11" max="11" width="7.7109375" style="76" hidden="1" customWidth="1" outlineLevel="1"/>
    <col min="12" max="12" width="9" style="74" customWidth="1" collapsed="1"/>
    <col min="13" max="13" width="9" style="74" hidden="1" customWidth="1" outlineLevel="1"/>
    <col min="14" max="14" width="7.42578125" style="174" hidden="1" customWidth="1" outlineLevel="1"/>
    <col min="15" max="15" width="8.28515625" style="174" customWidth="1" collapsed="1"/>
    <col min="16" max="17" width="11.28515625" style="78" customWidth="1"/>
    <col min="18" max="32" width="6.5703125" style="71" bestFit="1" customWidth="1"/>
    <col min="33" max="83" width="7.28515625" style="71" bestFit="1" customWidth="1"/>
    <col min="84" max="16384" width="9.28515625" style="71"/>
  </cols>
  <sheetData>
    <row r="1" spans="1:83" x14ac:dyDescent="0.2">
      <c r="R1" s="105">
        <f>'T&amp;D'!Q1</f>
        <v>0</v>
      </c>
      <c r="S1" s="105">
        <f>'T&amp;D'!R1</f>
        <v>0</v>
      </c>
      <c r="T1" s="105">
        <f>'T&amp;D'!S1</f>
        <v>0</v>
      </c>
      <c r="U1" s="105">
        <f>'T&amp;D'!T1</f>
        <v>0</v>
      </c>
      <c r="V1" s="105">
        <f>'T&amp;D'!U1</f>
        <v>0</v>
      </c>
      <c r="W1" s="105">
        <f>'T&amp;D'!V1</f>
        <v>0</v>
      </c>
      <c r="X1" s="105">
        <f>'T&amp;D'!W1</f>
        <v>0</v>
      </c>
      <c r="Y1" s="105">
        <f>'T&amp;D'!X1</f>
        <v>0</v>
      </c>
      <c r="Z1" s="105">
        <f>'T&amp;D'!Y1</f>
        <v>0</v>
      </c>
      <c r="AA1" s="105">
        <f>'T&amp;D'!Z1</f>
        <v>0</v>
      </c>
      <c r="AB1" s="105">
        <f>'T&amp;D'!AA1</f>
        <v>0</v>
      </c>
      <c r="AC1" s="105">
        <f>'T&amp;D'!AB1</f>
        <v>0</v>
      </c>
      <c r="AD1" s="105">
        <f>'T&amp;D'!AC1</f>
        <v>0</v>
      </c>
      <c r="AE1" s="105">
        <f>'T&amp;D'!AD1</f>
        <v>0</v>
      </c>
      <c r="AF1" s="105">
        <f>'T&amp;D'!AE1</f>
        <v>0</v>
      </c>
      <c r="AG1" s="105">
        <f>'T&amp;D'!AF1</f>
        <v>0</v>
      </c>
      <c r="AH1" s="105">
        <f>'T&amp;D'!AG1</f>
        <v>0</v>
      </c>
      <c r="AI1" s="105">
        <f>'T&amp;D'!AH1</f>
        <v>0</v>
      </c>
      <c r="AJ1" s="105">
        <f>'T&amp;D'!AI1</f>
        <v>0</v>
      </c>
      <c r="AK1" s="105">
        <f>'T&amp;D'!AJ1</f>
        <v>0</v>
      </c>
      <c r="AL1" s="105">
        <f>'T&amp;D'!AK1</f>
        <v>0</v>
      </c>
      <c r="AM1" s="105">
        <f>'T&amp;D'!AL1</f>
        <v>0</v>
      </c>
      <c r="AN1" s="105">
        <f>'T&amp;D'!AM1</f>
        <v>0</v>
      </c>
      <c r="AO1" s="105">
        <f>'T&amp;D'!AN1</f>
        <v>0</v>
      </c>
      <c r="AP1" s="105">
        <f>'T&amp;D'!AO1</f>
        <v>0</v>
      </c>
      <c r="AQ1" s="105">
        <f>'T&amp;D'!AP1</f>
        <v>0</v>
      </c>
      <c r="AR1" s="105">
        <f>'T&amp;D'!AQ1</f>
        <v>0</v>
      </c>
      <c r="AS1" s="105">
        <f>'T&amp;D'!AR1</f>
        <v>0</v>
      </c>
      <c r="AT1" s="105">
        <f>'T&amp;D'!AS1</f>
        <v>0</v>
      </c>
      <c r="AU1" s="105">
        <f>'T&amp;D'!AT1</f>
        <v>0</v>
      </c>
      <c r="AV1" s="105">
        <f>'T&amp;D'!AU1</f>
        <v>0</v>
      </c>
      <c r="AW1" s="105">
        <f>'T&amp;D'!AV1</f>
        <v>0</v>
      </c>
      <c r="AX1" s="105">
        <f>'T&amp;D'!AW1</f>
        <v>0</v>
      </c>
      <c r="AY1" s="105">
        <f>'T&amp;D'!AX1</f>
        <v>0</v>
      </c>
      <c r="AZ1" s="105">
        <f>'T&amp;D'!AY1</f>
        <v>0</v>
      </c>
      <c r="BA1" s="105">
        <f>'T&amp;D'!AZ1</f>
        <v>0</v>
      </c>
      <c r="BB1" s="105">
        <f>'T&amp;D'!BA1</f>
        <v>0</v>
      </c>
      <c r="BC1" s="105">
        <f>'T&amp;D'!BB1</f>
        <v>0</v>
      </c>
      <c r="BD1" s="105">
        <f>'T&amp;D'!BC1</f>
        <v>0</v>
      </c>
      <c r="BE1" s="105">
        <f>'T&amp;D'!BD1</f>
        <v>0</v>
      </c>
      <c r="BF1" s="105">
        <f>'T&amp;D'!BE1</f>
        <v>0</v>
      </c>
      <c r="BG1" s="105">
        <f>'T&amp;D'!BF1</f>
        <v>0</v>
      </c>
      <c r="BH1" s="105">
        <f>'T&amp;D'!BG1</f>
        <v>0</v>
      </c>
      <c r="BI1" s="105">
        <f>'T&amp;D'!BH1</f>
        <v>0</v>
      </c>
      <c r="BJ1" s="105">
        <f>'T&amp;D'!BI1</f>
        <v>0</v>
      </c>
      <c r="BK1" s="105">
        <f>'T&amp;D'!BJ1</f>
        <v>0</v>
      </c>
      <c r="BL1" s="105">
        <f>'T&amp;D'!BK1</f>
        <v>0</v>
      </c>
      <c r="BM1" s="105">
        <f>'T&amp;D'!BL1</f>
        <v>0</v>
      </c>
      <c r="BN1" s="105">
        <f>'T&amp;D'!BM1</f>
        <v>0</v>
      </c>
      <c r="BO1" s="105">
        <f>'T&amp;D'!BN1</f>
        <v>0</v>
      </c>
      <c r="BP1" s="105">
        <f>'T&amp;D'!BO1</f>
        <v>0</v>
      </c>
      <c r="BQ1" s="105">
        <f>'T&amp;D'!BP1</f>
        <v>0</v>
      </c>
      <c r="BR1" s="105">
        <f>'T&amp;D'!BQ1</f>
        <v>0</v>
      </c>
      <c r="BS1" s="105">
        <f>'T&amp;D'!BR1</f>
        <v>0</v>
      </c>
      <c r="BT1" s="105">
        <f>'T&amp;D'!BS1</f>
        <v>0</v>
      </c>
      <c r="BU1" s="105">
        <f>'T&amp;D'!BT1</f>
        <v>0</v>
      </c>
      <c r="BV1" s="105">
        <f>'T&amp;D'!BU1</f>
        <v>0</v>
      </c>
      <c r="BW1" s="105">
        <f>'T&amp;D'!BV1</f>
        <v>0</v>
      </c>
      <c r="BX1" s="105">
        <f>'T&amp;D'!BW1</f>
        <v>0</v>
      </c>
      <c r="BY1" s="105">
        <f>'T&amp;D'!BX1</f>
        <v>0</v>
      </c>
      <c r="BZ1" s="105">
        <f>'T&amp;D'!BY1</f>
        <v>0</v>
      </c>
      <c r="CA1" s="105">
        <f>'T&amp;D'!BZ1</f>
        <v>0</v>
      </c>
      <c r="CB1" s="105">
        <f>'T&amp;D'!CA1</f>
        <v>0</v>
      </c>
      <c r="CC1" s="105">
        <f>'T&amp;D'!CB1</f>
        <v>0</v>
      </c>
      <c r="CD1" s="105">
        <f>'T&amp;D'!CC1</f>
        <v>0</v>
      </c>
      <c r="CE1" s="105">
        <f>'T&amp;D'!CD1</f>
        <v>0</v>
      </c>
    </row>
    <row r="2" spans="1:83" x14ac:dyDescent="0.2">
      <c r="A2" s="103" t="s">
        <v>227</v>
      </c>
      <c r="D2" s="75"/>
      <c r="R2" s="105" t="str">
        <f>'T&amp;D'!Q2</f>
        <v>w/O OT</v>
      </c>
      <c r="S2" s="105" t="str">
        <f>'T&amp;D'!R2</f>
        <v>w/O OT</v>
      </c>
      <c r="T2" s="105" t="str">
        <f>'T&amp;D'!S2</f>
        <v>w/O OT</v>
      </c>
      <c r="U2" s="105" t="str">
        <f>'T&amp;D'!T2</f>
        <v>w/O OT</v>
      </c>
      <c r="V2" s="105" t="str">
        <f>'T&amp;D'!U2</f>
        <v>Fri</v>
      </c>
      <c r="W2" s="105" t="str">
        <f>'T&amp;D'!V2</f>
        <v>Sat</v>
      </c>
      <c r="X2" s="105" t="str">
        <f>'T&amp;D'!W2</f>
        <v>w/O OT</v>
      </c>
      <c r="Y2" s="105" t="str">
        <f>'T&amp;D'!X2</f>
        <v>w/O OT</v>
      </c>
      <c r="Z2" s="105" t="str">
        <f>'T&amp;D'!Y2</f>
        <v>w/O OT</v>
      </c>
      <c r="AA2" s="105" t="str">
        <f>'T&amp;D'!Z2</f>
        <v>w/O OT</v>
      </c>
      <c r="AB2" s="105" t="str">
        <f>'T&amp;D'!AA2</f>
        <v>Fri</v>
      </c>
      <c r="AC2" s="105" t="str">
        <f>'T&amp;D'!AB2</f>
        <v>Sat</v>
      </c>
      <c r="AD2" s="105" t="str">
        <f>'T&amp;D'!AC2</f>
        <v>w/O OT</v>
      </c>
      <c r="AE2" s="105" t="str">
        <f>'T&amp;D'!AD2</f>
        <v>w/O OT</v>
      </c>
      <c r="AF2" s="105" t="str">
        <f>'T&amp;D'!AE2</f>
        <v>w/O OT</v>
      </c>
      <c r="AG2" s="105" t="str">
        <f>'T&amp;D'!AF2</f>
        <v>w/O OT</v>
      </c>
      <c r="AH2" s="105" t="str">
        <f>'T&amp;D'!AG2</f>
        <v>Fri</v>
      </c>
      <c r="AI2" s="105" t="str">
        <f>'T&amp;D'!AH2</f>
        <v>Sat</v>
      </c>
      <c r="AJ2" s="105" t="str">
        <f>'T&amp;D'!AI2</f>
        <v>w/O OT</v>
      </c>
      <c r="AK2" s="105" t="str">
        <f>'T&amp;D'!AJ2</f>
        <v>w/O OT</v>
      </c>
      <c r="AL2" s="105" t="str">
        <f>'T&amp;D'!AK2</f>
        <v>w/O OT</v>
      </c>
      <c r="AM2" s="105" t="str">
        <f>'T&amp;D'!AL2</f>
        <v>w/O OT</v>
      </c>
      <c r="AN2" s="105" t="str">
        <f>'T&amp;D'!AM2</f>
        <v>Fri</v>
      </c>
      <c r="AO2" s="105" t="str">
        <f>'T&amp;D'!AN2</f>
        <v>Sat</v>
      </c>
      <c r="AP2" s="105" t="str">
        <f>'T&amp;D'!AO2</f>
        <v>w/O OT</v>
      </c>
      <c r="AQ2" s="105" t="str">
        <f>'T&amp;D'!AP2</f>
        <v>w/O OT</v>
      </c>
      <c r="AR2" s="105" t="str">
        <f>'T&amp;D'!AQ2</f>
        <v>w/O OT</v>
      </c>
      <c r="AS2" s="105" t="str">
        <f>'T&amp;D'!AR2</f>
        <v>w/O OT</v>
      </c>
      <c r="AT2" s="105" t="str">
        <f>'T&amp;D'!AS2</f>
        <v>Fri</v>
      </c>
      <c r="AU2" s="105" t="str">
        <f>'T&amp;D'!AT2</f>
        <v>Sat</v>
      </c>
      <c r="AV2" s="105" t="str">
        <f>'T&amp;D'!AU2</f>
        <v>w/O OT</v>
      </c>
      <c r="AW2" s="105" t="str">
        <f>'T&amp;D'!AV2</f>
        <v>w/O OT</v>
      </c>
      <c r="AX2" s="105" t="str">
        <f>'T&amp;D'!AW2</f>
        <v>w/O OT</v>
      </c>
      <c r="AY2" s="105" t="str">
        <f>'T&amp;D'!AX2</f>
        <v>w/O OT</v>
      </c>
      <c r="AZ2" s="105" t="str">
        <f>'T&amp;D'!AY2</f>
        <v>Fri</v>
      </c>
      <c r="BA2" s="105" t="str">
        <f>'T&amp;D'!AZ2</f>
        <v>Sat</v>
      </c>
      <c r="BB2" s="105" t="str">
        <f>'T&amp;D'!BA2</f>
        <v>w/O OT</v>
      </c>
      <c r="BC2" s="105" t="str">
        <f>'T&amp;D'!BB2</f>
        <v>w/O OT</v>
      </c>
      <c r="BD2" s="105" t="str">
        <f>'T&amp;D'!BC2</f>
        <v>w/O OT</v>
      </c>
      <c r="BE2" s="105" t="str">
        <f>'T&amp;D'!BD2</f>
        <v>w/O OT</v>
      </c>
      <c r="BF2" s="105" t="str">
        <f>'T&amp;D'!BE2</f>
        <v>Fri</v>
      </c>
      <c r="BG2" s="105" t="str">
        <f>'T&amp;D'!BF2</f>
        <v>Sat</v>
      </c>
      <c r="BH2" s="105" t="str">
        <f>'T&amp;D'!BG2</f>
        <v>w/O OT</v>
      </c>
      <c r="BI2" s="105" t="str">
        <f>'T&amp;D'!BH2</f>
        <v>w/O OT</v>
      </c>
      <c r="BJ2" s="105" t="str">
        <f>'T&amp;D'!BI2</f>
        <v>w/O OT</v>
      </c>
      <c r="BK2" s="105" t="str">
        <f>'T&amp;D'!BJ2</f>
        <v>w/O OT</v>
      </c>
      <c r="BL2" s="105" t="str">
        <f>'T&amp;D'!BK2</f>
        <v>Fri</v>
      </c>
      <c r="BM2" s="105" t="str">
        <f>'T&amp;D'!BL2</f>
        <v>Sat</v>
      </c>
      <c r="BN2" s="105" t="str">
        <f>'T&amp;D'!BM2</f>
        <v>w/O OT</v>
      </c>
      <c r="BO2" s="105" t="str">
        <f>'T&amp;D'!BN2</f>
        <v>w/O OT</v>
      </c>
      <c r="BP2" s="105" t="str">
        <f>'T&amp;D'!BO2</f>
        <v>w/O OT</v>
      </c>
      <c r="BQ2" s="105" t="str">
        <f>'T&amp;D'!BP2</f>
        <v>w/O OT</v>
      </c>
      <c r="BR2" s="105" t="str">
        <f>'T&amp;D'!BQ2</f>
        <v>Fri</v>
      </c>
      <c r="BS2" s="105" t="str">
        <f>'T&amp;D'!BR2</f>
        <v>Sat</v>
      </c>
      <c r="BT2" s="105" t="str">
        <f>'T&amp;D'!BS2</f>
        <v>w/O OT</v>
      </c>
      <c r="BU2" s="105" t="str">
        <f>'T&amp;D'!BT2</f>
        <v>w/O OT</v>
      </c>
      <c r="BV2" s="105" t="str">
        <f>'T&amp;D'!BU2</f>
        <v>w/O OT</v>
      </c>
      <c r="BW2" s="105" t="str">
        <f>'T&amp;D'!BV2</f>
        <v>w/O OT</v>
      </c>
      <c r="BX2" s="105" t="str">
        <f>'T&amp;D'!BW2</f>
        <v>Fri</v>
      </c>
      <c r="BY2" s="105" t="str">
        <f>'T&amp;D'!BX2</f>
        <v>Sat</v>
      </c>
      <c r="BZ2" s="105" t="str">
        <f>'T&amp;D'!BY2</f>
        <v>w/O OT</v>
      </c>
      <c r="CA2" s="105" t="str">
        <f>'T&amp;D'!BZ2</f>
        <v>w/O OT</v>
      </c>
      <c r="CB2" s="105" t="str">
        <f>'T&amp;D'!CA2</f>
        <v>w/O OT</v>
      </c>
      <c r="CC2" s="105" t="str">
        <f>'T&amp;D'!CB2</f>
        <v>w/O OT</v>
      </c>
      <c r="CD2" s="105" t="str">
        <f>'T&amp;D'!CC2</f>
        <v>Fri</v>
      </c>
      <c r="CE2" s="105" t="str">
        <f>'T&amp;D'!CD2</f>
        <v>Sat</v>
      </c>
    </row>
    <row r="3" spans="1:83" s="80" customFormat="1" ht="12" customHeight="1" x14ac:dyDescent="0.2">
      <c r="A3" s="79"/>
      <c r="C3" s="71" t="s">
        <v>109</v>
      </c>
      <c r="D3" s="75" t="s">
        <v>110</v>
      </c>
      <c r="E3" s="174" t="s">
        <v>90</v>
      </c>
      <c r="F3" s="174"/>
      <c r="L3" s="85"/>
      <c r="M3" s="85"/>
      <c r="N3" s="177"/>
      <c r="O3" s="177"/>
      <c r="P3" s="81"/>
      <c r="Q3" s="81"/>
      <c r="R3" s="82">
        <f>'T&amp;D'!Q3</f>
        <v>46314</v>
      </c>
      <c r="S3" s="82">
        <f>'T&amp;D'!R3</f>
        <v>46315</v>
      </c>
      <c r="T3" s="82">
        <f>'T&amp;D'!S3</f>
        <v>46316</v>
      </c>
      <c r="U3" s="82">
        <f>'T&amp;D'!T3</f>
        <v>46317</v>
      </c>
      <c r="V3" s="82">
        <f>'T&amp;D'!U3</f>
        <v>46318</v>
      </c>
      <c r="W3" s="82">
        <f>'T&amp;D'!V3</f>
        <v>46319</v>
      </c>
      <c r="X3" s="82">
        <f>'T&amp;D'!W3</f>
        <v>46321</v>
      </c>
      <c r="Y3" s="82">
        <f>'T&amp;D'!X3</f>
        <v>46322</v>
      </c>
      <c r="Z3" s="82">
        <f>'T&amp;D'!Y3</f>
        <v>46323</v>
      </c>
      <c r="AA3" s="82">
        <f>'T&amp;D'!Z3</f>
        <v>46324</v>
      </c>
      <c r="AB3" s="82">
        <f>'T&amp;D'!AA3</f>
        <v>46325</v>
      </c>
      <c r="AC3" s="82">
        <f>'T&amp;D'!AB3</f>
        <v>46326</v>
      </c>
      <c r="AD3" s="82">
        <f>'T&amp;D'!AC3</f>
        <v>46328</v>
      </c>
      <c r="AE3" s="82">
        <f>'T&amp;D'!AD3</f>
        <v>46329</v>
      </c>
      <c r="AF3" s="82">
        <f>'T&amp;D'!AE3</f>
        <v>46330</v>
      </c>
      <c r="AG3" s="82">
        <f>'T&amp;D'!AF3</f>
        <v>46331</v>
      </c>
      <c r="AH3" s="82">
        <f>'T&amp;D'!AG3</f>
        <v>46332</v>
      </c>
      <c r="AI3" s="82">
        <f>'T&amp;D'!AH3</f>
        <v>46333</v>
      </c>
      <c r="AJ3" s="82">
        <f>'T&amp;D'!AI3</f>
        <v>46335</v>
      </c>
      <c r="AK3" s="82">
        <f>'T&amp;D'!AJ3</f>
        <v>46336</v>
      </c>
      <c r="AL3" s="82">
        <f>'T&amp;D'!AK3</f>
        <v>46337</v>
      </c>
      <c r="AM3" s="82">
        <f>'T&amp;D'!AL3</f>
        <v>46338</v>
      </c>
      <c r="AN3" s="82">
        <f>'T&amp;D'!AM3</f>
        <v>46339</v>
      </c>
      <c r="AO3" s="82">
        <f>'T&amp;D'!AN3</f>
        <v>46340</v>
      </c>
      <c r="AP3" s="82">
        <f>'T&amp;D'!AO3</f>
        <v>46342</v>
      </c>
      <c r="AQ3" s="82">
        <f>'T&amp;D'!AP3</f>
        <v>46343</v>
      </c>
      <c r="AR3" s="82">
        <f>'T&amp;D'!AQ3</f>
        <v>46344</v>
      </c>
      <c r="AS3" s="82">
        <f>'T&amp;D'!AR3</f>
        <v>46345</v>
      </c>
      <c r="AT3" s="82">
        <f>'T&amp;D'!AS3</f>
        <v>46346</v>
      </c>
      <c r="AU3" s="82">
        <f>'T&amp;D'!AT3</f>
        <v>46347</v>
      </c>
      <c r="AV3" s="82">
        <f>'T&amp;D'!AU3</f>
        <v>46349</v>
      </c>
      <c r="AW3" s="82">
        <f>'T&amp;D'!AV3</f>
        <v>46350</v>
      </c>
      <c r="AX3" s="82">
        <f>'T&amp;D'!AW3</f>
        <v>46351</v>
      </c>
      <c r="AY3" s="82">
        <f>'T&amp;D'!AX3</f>
        <v>46352</v>
      </c>
      <c r="AZ3" s="82">
        <f>'T&amp;D'!AY3</f>
        <v>46353</v>
      </c>
      <c r="BA3" s="82">
        <f>'T&amp;D'!AZ3</f>
        <v>46354</v>
      </c>
      <c r="BB3" s="82">
        <f>'T&amp;D'!BA3</f>
        <v>46356</v>
      </c>
      <c r="BC3" s="82">
        <f>'T&amp;D'!BB3</f>
        <v>46357</v>
      </c>
      <c r="BD3" s="82">
        <f>'T&amp;D'!BC3</f>
        <v>46358</v>
      </c>
      <c r="BE3" s="82">
        <f>'T&amp;D'!BD3</f>
        <v>46359</v>
      </c>
      <c r="BF3" s="82">
        <f>'T&amp;D'!BE3</f>
        <v>46360</v>
      </c>
      <c r="BG3" s="82">
        <f>'T&amp;D'!BF3</f>
        <v>46361</v>
      </c>
      <c r="BH3" s="82">
        <f>'T&amp;D'!BG3</f>
        <v>46363</v>
      </c>
      <c r="BI3" s="82">
        <f>'T&amp;D'!BH3</f>
        <v>46364</v>
      </c>
      <c r="BJ3" s="82">
        <f>'T&amp;D'!BI3</f>
        <v>46365</v>
      </c>
      <c r="BK3" s="82">
        <f>'T&amp;D'!BJ3</f>
        <v>46366</v>
      </c>
      <c r="BL3" s="82">
        <f>'T&amp;D'!BK3</f>
        <v>46367</v>
      </c>
      <c r="BM3" s="82">
        <f>'T&amp;D'!BL3</f>
        <v>46368</v>
      </c>
      <c r="BN3" s="82">
        <f>'T&amp;D'!BM3</f>
        <v>46370</v>
      </c>
      <c r="BO3" s="82">
        <f>'T&amp;D'!BN3</f>
        <v>46371</v>
      </c>
      <c r="BP3" s="82">
        <f>'T&amp;D'!BO3</f>
        <v>46372</v>
      </c>
      <c r="BQ3" s="82">
        <f>'T&amp;D'!BP3</f>
        <v>46373</v>
      </c>
      <c r="BR3" s="82">
        <f>'T&amp;D'!BQ3</f>
        <v>46374</v>
      </c>
      <c r="BS3" s="82">
        <f>'T&amp;D'!BR3</f>
        <v>46375</v>
      </c>
      <c r="BT3" s="82">
        <f>'T&amp;D'!BS3</f>
        <v>46377</v>
      </c>
      <c r="BU3" s="82">
        <f>'T&amp;D'!BT3</f>
        <v>46378</v>
      </c>
      <c r="BV3" s="82">
        <f>'T&amp;D'!BU3</f>
        <v>46379</v>
      </c>
      <c r="BW3" s="82">
        <f>'T&amp;D'!BV3</f>
        <v>46380</v>
      </c>
      <c r="BX3" s="82">
        <f>'T&amp;D'!BW3</f>
        <v>46381</v>
      </c>
      <c r="BY3" s="82">
        <f>'T&amp;D'!BX3</f>
        <v>46382</v>
      </c>
      <c r="BZ3" s="82">
        <f>'T&amp;D'!BY3</f>
        <v>46384</v>
      </c>
      <c r="CA3" s="82">
        <f>'T&amp;D'!BZ3</f>
        <v>46385</v>
      </c>
      <c r="CB3" s="82">
        <f>'T&amp;D'!CA3</f>
        <v>46386</v>
      </c>
      <c r="CC3" s="82">
        <f>'T&amp;D'!CB3</f>
        <v>46387</v>
      </c>
      <c r="CD3" s="82">
        <f>'T&amp;D'!CC3</f>
        <v>46388</v>
      </c>
      <c r="CE3" s="82">
        <f>'T&amp;D'!CD3</f>
        <v>46389</v>
      </c>
    </row>
    <row r="4" spans="1:83" s="84" customFormat="1" ht="12" customHeight="1" x14ac:dyDescent="0.2">
      <c r="A4" s="83"/>
      <c r="D4" s="173"/>
      <c r="E4" s="174" t="s">
        <v>228</v>
      </c>
      <c r="F4" s="157">
        <f>SUM(F8:F4664)</f>
        <v>43</v>
      </c>
      <c r="I4" s="85">
        <f>45.5/5</f>
        <v>9.1</v>
      </c>
      <c r="L4" s="85">
        <f>SUM(L8:L4662)</f>
        <v>16.998593256410253</v>
      </c>
      <c r="M4" s="85"/>
      <c r="N4" s="178">
        <f>'T&amp;D'!M4</f>
        <v>46314</v>
      </c>
      <c r="O4" s="177"/>
      <c r="P4" s="81"/>
      <c r="Q4" s="81"/>
      <c r="R4" s="104">
        <f>'T&amp;D'!Q4</f>
        <v>45817</v>
      </c>
      <c r="S4" s="104">
        <f>'T&amp;D'!R4</f>
        <v>45818</v>
      </c>
      <c r="T4" s="104">
        <f>'T&amp;D'!S4</f>
        <v>45819</v>
      </c>
      <c r="U4" s="104">
        <f>'T&amp;D'!T4</f>
        <v>45820</v>
      </c>
      <c r="V4" s="104">
        <f>'T&amp;D'!U4</f>
        <v>45821</v>
      </c>
      <c r="W4" s="104">
        <f>'T&amp;D'!V4</f>
        <v>45822</v>
      </c>
      <c r="X4" s="104">
        <f>'T&amp;D'!W4</f>
        <v>45824</v>
      </c>
      <c r="Y4" s="104">
        <f>'T&amp;D'!X4</f>
        <v>45825</v>
      </c>
      <c r="Z4" s="104">
        <f>'T&amp;D'!Y4</f>
        <v>45826</v>
      </c>
      <c r="AA4" s="104">
        <f>'T&amp;D'!Z4</f>
        <v>45827</v>
      </c>
      <c r="AB4" s="104">
        <f>'T&amp;D'!AA4</f>
        <v>45828</v>
      </c>
      <c r="AC4" s="104">
        <f>'T&amp;D'!AB4</f>
        <v>45829</v>
      </c>
      <c r="AD4" s="104">
        <f>'T&amp;D'!AC4</f>
        <v>45831</v>
      </c>
      <c r="AE4" s="104">
        <f>'T&amp;D'!AD4</f>
        <v>45832</v>
      </c>
      <c r="AF4" s="104">
        <f>'T&amp;D'!AE4</f>
        <v>45833</v>
      </c>
      <c r="AG4" s="104">
        <f>'T&amp;D'!AF4</f>
        <v>45834</v>
      </c>
      <c r="AH4" s="104">
        <f>'T&amp;D'!AG4</f>
        <v>45835</v>
      </c>
      <c r="AI4" s="104">
        <f>'T&amp;D'!AH4</f>
        <v>45836</v>
      </c>
      <c r="AJ4" s="104">
        <f>'T&amp;D'!AI4</f>
        <v>45838</v>
      </c>
      <c r="AK4" s="104">
        <f>'T&amp;D'!AJ4</f>
        <v>45839</v>
      </c>
      <c r="AL4" s="104">
        <f>'T&amp;D'!AK4</f>
        <v>45840</v>
      </c>
      <c r="AM4" s="104">
        <f>'T&amp;D'!AL4</f>
        <v>45841</v>
      </c>
      <c r="AN4" s="104">
        <f>'T&amp;D'!AM4</f>
        <v>45842</v>
      </c>
      <c r="AO4" s="104">
        <f>'T&amp;D'!AN4</f>
        <v>45843</v>
      </c>
      <c r="AP4" s="104">
        <f>'T&amp;D'!AO4</f>
        <v>45845</v>
      </c>
      <c r="AQ4" s="104">
        <f>'T&amp;D'!AP4</f>
        <v>45846</v>
      </c>
      <c r="AR4" s="104">
        <f>'T&amp;D'!AQ4</f>
        <v>45847</v>
      </c>
      <c r="AS4" s="104">
        <f>'T&amp;D'!AR4</f>
        <v>45848</v>
      </c>
      <c r="AT4" s="104">
        <f>'T&amp;D'!AS4</f>
        <v>45849</v>
      </c>
      <c r="AU4" s="104">
        <f>'T&amp;D'!AT4</f>
        <v>45850</v>
      </c>
      <c r="AV4" s="104">
        <f>'T&amp;D'!AU4</f>
        <v>45852</v>
      </c>
      <c r="AW4" s="104">
        <f>'T&amp;D'!AV4</f>
        <v>45853</v>
      </c>
      <c r="AX4" s="104">
        <f>'T&amp;D'!AW4</f>
        <v>45854</v>
      </c>
      <c r="AY4" s="104">
        <f>'T&amp;D'!AX4</f>
        <v>45855</v>
      </c>
      <c r="AZ4" s="104">
        <f>'T&amp;D'!AY4</f>
        <v>45856</v>
      </c>
      <c r="BA4" s="104">
        <f>'T&amp;D'!AZ4</f>
        <v>45857</v>
      </c>
      <c r="BB4" s="104">
        <f>'T&amp;D'!BA4</f>
        <v>45859</v>
      </c>
      <c r="BC4" s="104">
        <f>'T&amp;D'!BB4</f>
        <v>45860</v>
      </c>
      <c r="BD4" s="104">
        <f>'T&amp;D'!BC4</f>
        <v>45861</v>
      </c>
      <c r="BE4" s="104">
        <f>'T&amp;D'!BD4</f>
        <v>45862</v>
      </c>
      <c r="BF4" s="104">
        <f>'T&amp;D'!BE4</f>
        <v>45863</v>
      </c>
      <c r="BG4" s="104">
        <f>'T&amp;D'!BF4</f>
        <v>45864</v>
      </c>
      <c r="BH4" s="104">
        <f>'T&amp;D'!BG4</f>
        <v>45866</v>
      </c>
      <c r="BI4" s="104">
        <f>'T&amp;D'!BH4</f>
        <v>45867</v>
      </c>
      <c r="BJ4" s="104">
        <f>'T&amp;D'!BI4</f>
        <v>45868</v>
      </c>
      <c r="BK4" s="104">
        <f>'T&amp;D'!BJ4</f>
        <v>45869</v>
      </c>
      <c r="BL4" s="104">
        <f>'T&amp;D'!BK4</f>
        <v>45870</v>
      </c>
      <c r="BM4" s="104">
        <f>'T&amp;D'!BL4</f>
        <v>45871</v>
      </c>
      <c r="BN4" s="104">
        <f>'T&amp;D'!BM4</f>
        <v>45873</v>
      </c>
      <c r="BO4" s="104">
        <f>'T&amp;D'!BN4</f>
        <v>45874</v>
      </c>
      <c r="BP4" s="104">
        <f>'T&amp;D'!BO4</f>
        <v>45875</v>
      </c>
      <c r="BQ4" s="104">
        <f>'T&amp;D'!BP4</f>
        <v>45876</v>
      </c>
      <c r="BR4" s="104">
        <f>'T&amp;D'!BQ4</f>
        <v>45877</v>
      </c>
      <c r="BS4" s="104">
        <f>'T&amp;D'!BR4</f>
        <v>45878</v>
      </c>
      <c r="BT4" s="104">
        <f>'T&amp;D'!BS4</f>
        <v>45880</v>
      </c>
      <c r="BU4" s="104">
        <f>'T&amp;D'!BT4</f>
        <v>45881</v>
      </c>
      <c r="BV4" s="104">
        <f>'T&amp;D'!BU4</f>
        <v>45882</v>
      </c>
      <c r="BW4" s="104">
        <f>'T&amp;D'!BV4</f>
        <v>45883</v>
      </c>
      <c r="BX4" s="104">
        <f>'T&amp;D'!BW4</f>
        <v>45884</v>
      </c>
      <c r="BY4" s="104">
        <f>'T&amp;D'!BX4</f>
        <v>45885</v>
      </c>
      <c r="BZ4" s="104">
        <f>'T&amp;D'!BY4</f>
        <v>45887</v>
      </c>
      <c r="CA4" s="104">
        <f>'T&amp;D'!BZ4</f>
        <v>45888</v>
      </c>
      <c r="CB4" s="104">
        <f>'T&amp;D'!CA4</f>
        <v>45889</v>
      </c>
      <c r="CC4" s="104">
        <f>'T&amp;D'!CB4</f>
        <v>45890</v>
      </c>
      <c r="CD4" s="104">
        <f>'T&amp;D'!CC4</f>
        <v>45891</v>
      </c>
      <c r="CE4" s="104">
        <f>'T&amp;D'!CD4</f>
        <v>45892</v>
      </c>
    </row>
    <row r="5" spans="1:83" s="84" customFormat="1" ht="15" customHeight="1" x14ac:dyDescent="0.2">
      <c r="A5" s="386" t="s">
        <v>385</v>
      </c>
      <c r="B5" s="386" t="s">
        <v>214</v>
      </c>
      <c r="C5" s="387" t="s">
        <v>91</v>
      </c>
      <c r="D5" s="388" t="s">
        <v>0</v>
      </c>
      <c r="E5" s="389" t="s">
        <v>103</v>
      </c>
      <c r="F5" s="388" t="s">
        <v>89</v>
      </c>
      <c r="G5" s="392" t="s">
        <v>93</v>
      </c>
      <c r="H5" s="388" t="s">
        <v>94</v>
      </c>
      <c r="I5" s="390" t="s">
        <v>95</v>
      </c>
      <c r="J5" s="393" t="s">
        <v>519</v>
      </c>
      <c r="K5" s="393" t="s">
        <v>520</v>
      </c>
      <c r="L5" s="390" t="s">
        <v>241</v>
      </c>
      <c r="M5" s="390" t="s">
        <v>240</v>
      </c>
      <c r="N5" s="389" t="s">
        <v>98</v>
      </c>
      <c r="O5" s="389" t="s">
        <v>99</v>
      </c>
      <c r="P5" s="391" t="s">
        <v>102</v>
      </c>
      <c r="Q5" s="125" t="s">
        <v>106</v>
      </c>
      <c r="R5" s="126" cm="1">
        <f t="array" ref="R5">_xlfn.IFS(R2="w/ OT",12.25,R2="w/o OT",9.5,R2="FRI",7.5,R2="SAT",7.5,R2="SUN",7.5,R2="OFF",0)</f>
        <v>9.5</v>
      </c>
      <c r="S5" s="126" cm="1">
        <f t="array" ref="S5">_xlfn.IFS(S2="w/ OT",12.25,S2="w/o OT",9.5,S2="FRI",7.5,S2="SAT",7.5,S2="SUN",7.5,S2="OFF",0)</f>
        <v>9.5</v>
      </c>
      <c r="T5" s="126" cm="1">
        <f t="array" ref="T5">_xlfn.IFS(T2="w/ OT",12.25,T2="w/o OT",9.5,T2="FRI",7.5,T2="SAT",7.5,T2="SUN",7.5,T2="OFF",0)</f>
        <v>9.5</v>
      </c>
      <c r="U5" s="126" cm="1">
        <f t="array" ref="U5">_xlfn.IFS(U2="w/ OT",12.25,U2="w/o OT",9.5,U2="FRI",7.5,U2="SAT",7.5,U2="SUN",7.5,U2="OFF",0)</f>
        <v>9.5</v>
      </c>
      <c r="V5" s="126" cm="1">
        <f t="array" ref="V5">_xlfn.IFS(V2="w/ OT",12.25,V2="w/o OT",9.5,V2="FRI",7.5,V2="SAT",7.5,V2="SUN",7.5,V2="OFF",0)</f>
        <v>7.5</v>
      </c>
      <c r="W5" s="126" cm="1">
        <f t="array" ref="W5">_xlfn.IFS(W2="w/ OT",12.25,W2="w/o OT",9.5,W2="FRI",7.5,W2="SAT",7.5,W2="SUN",7.5,W2="OFF",0)</f>
        <v>7.5</v>
      </c>
      <c r="X5" s="126" cm="1">
        <f t="array" ref="X5">_xlfn.IFS(X2="w/ OT",12.25,X2="w/o OT",9.5,X2="FRI",7.5,X2="SAT",7.5,X2="SUN",7.5,X2="OFF",0)</f>
        <v>9.5</v>
      </c>
      <c r="Y5" s="126" cm="1">
        <f t="array" ref="Y5">_xlfn.IFS(Y2="w/ OT",12.25,Y2="w/o OT",9.5,Y2="FRI",7.5,Y2="SAT",7.5,Y2="SUN",7.5,Y2="OFF",0)</f>
        <v>9.5</v>
      </c>
      <c r="Z5" s="126" cm="1">
        <f t="array" ref="Z5">_xlfn.IFS(Z2="w/ OT",12.25,Z2="w/o OT",9.5,Z2="FRI",7.5,Z2="SAT",7.5,Z2="SUN",7.5,Z2="OFF",0)</f>
        <v>9.5</v>
      </c>
      <c r="AA5" s="126" cm="1">
        <f t="array" ref="AA5">_xlfn.IFS(AA2="w/ OT",12.25,AA2="w/o OT",9.5,AA2="FRI",7.5,AA2="SAT",7.5,AA2="SUN",7.5,AA2="OFF",0)</f>
        <v>9.5</v>
      </c>
      <c r="AB5" s="126" cm="1">
        <f t="array" ref="AB5">_xlfn.IFS(AB2="w/ OT",12.25,AB2="w/o OT",9.5,AB2="FRI",7.5,AB2="SAT",7.5,AB2="SUN",7.5,AB2="OFF",0)</f>
        <v>7.5</v>
      </c>
      <c r="AC5" s="126" cm="1">
        <f t="array" ref="AC5">_xlfn.IFS(AC2="w/ OT",12.25,AC2="w/o OT",9.5,AC2="FRI",7.5,AC2="SAT",7.5,AC2="SUN",7.5,AC2="OFF",0)</f>
        <v>7.5</v>
      </c>
      <c r="AD5" s="126" cm="1">
        <f t="array" ref="AD5">_xlfn.IFS(AD2="w/ OT",12.25,AD2="w/o OT",9.5,AD2="FRI",7.5,AD2="SAT",7.5,AD2="SUN",7.5,AD2="OFF",0)</f>
        <v>9.5</v>
      </c>
      <c r="AE5" s="126" cm="1">
        <f t="array" ref="AE5">_xlfn.IFS(AE2="w/ OT",12.25,AE2="w/o OT",9.5,AE2="FRI",7.5,AE2="SAT",7.5,AE2="SUN",7.5,AE2="OFF",0)</f>
        <v>9.5</v>
      </c>
      <c r="AF5" s="126" cm="1">
        <f t="array" ref="AF5">_xlfn.IFS(AF2="w/ OT",12.25,AF2="w/o OT",9.5,AF2="FRI",7.5,AF2="SAT",7.5,AF2="SUN",7.5,AF2="OFF",0)</f>
        <v>9.5</v>
      </c>
      <c r="AG5" s="126" cm="1">
        <f t="array" ref="AG5">_xlfn.IFS(AG2="w/ OT",12.25,AG2="w/o OT",9.5,AG2="FRI",7.5,AG2="SAT",7.5,AG2="SUN",7.5,AG2="OFF",0)</f>
        <v>9.5</v>
      </c>
      <c r="AH5" s="126" cm="1">
        <f t="array" ref="AH5">_xlfn.IFS(AH2="w/ OT",12.25,AH2="w/o OT",9.5,AH2="FRI",7.5,AH2="SAT",7.5,AH2="SUN",7.5,AH2="OFF",0)</f>
        <v>7.5</v>
      </c>
      <c r="AI5" s="126" cm="1">
        <f t="array" ref="AI5">_xlfn.IFS(AI2="w/ OT",12.25,AI2="w/o OT",9.5,AI2="FRI",7.5,AI2="SAT",7.5,AI2="SUN",7.5,AI2="OFF",0)</f>
        <v>7.5</v>
      </c>
      <c r="AJ5" s="126" cm="1">
        <f t="array" ref="AJ5">_xlfn.IFS(AJ2="w/ OT",12.25,AJ2="w/o OT",9.5,AJ2="FRI",7.5,AJ2="SAT",7.5,AJ2="SUN",7.5,AJ2="OFF",0)</f>
        <v>9.5</v>
      </c>
      <c r="AK5" s="126" cm="1">
        <f t="array" ref="AK5">_xlfn.IFS(AK2="w/ OT",12.25,AK2="w/o OT",9.5,AK2="FRI",7.5,AK2="SAT",7.5,AK2="SUN",7.5,AK2="OFF",0)</f>
        <v>9.5</v>
      </c>
      <c r="AL5" s="126" cm="1">
        <f t="array" ref="AL5">_xlfn.IFS(AL2="w/ OT",12.25,AL2="w/o OT",9.5,AL2="FRI",7.5,AL2="SAT",7.5,AL2="SUN",7.5,AL2="OFF",0)</f>
        <v>9.5</v>
      </c>
      <c r="AM5" s="126" cm="1">
        <f t="array" ref="AM5">_xlfn.IFS(AM2="w/ OT",12.25,AM2="w/o OT",9.5,AM2="FRI",7.5,AM2="SAT",7.5,AM2="SUN",7.5,AM2="OFF",0)</f>
        <v>9.5</v>
      </c>
      <c r="AN5" s="126" cm="1">
        <f t="array" ref="AN5">_xlfn.IFS(AN2="w/ OT",12.25,AN2="w/o OT",9.5,AN2="FRI",7.5,AN2="SAT",7.5,AN2="SUN",7.5,AN2="OFF",0)</f>
        <v>7.5</v>
      </c>
      <c r="AO5" s="126" cm="1">
        <f t="array" ref="AO5">_xlfn.IFS(AO2="w/ OT",12.25,AO2="w/o OT",9.5,AO2="FRI",7.5,AO2="SAT",7.5,AO2="SUN",7.5,AO2="OFF",0)</f>
        <v>7.5</v>
      </c>
      <c r="AP5" s="126" cm="1">
        <f t="array" ref="AP5">_xlfn.IFS(AP2="w/ OT",12.25,AP2="w/o OT",9.5,AP2="FRI",7.5,AP2="SAT",7.5,AP2="SUN",7.5,AP2="OFF",0)</f>
        <v>9.5</v>
      </c>
      <c r="AQ5" s="126" cm="1">
        <f t="array" ref="AQ5">_xlfn.IFS(AQ2="w/ OT",12.25,AQ2="w/o OT",9.5,AQ2="FRI",7.5,AQ2="SAT",7.5,AQ2="SUN",7.5,AQ2="OFF",0)</f>
        <v>9.5</v>
      </c>
      <c r="AR5" s="126" cm="1">
        <f t="array" ref="AR5">_xlfn.IFS(AR2="w/ OT",12.25,AR2="w/o OT",9.5,AR2="FRI",7.5,AR2="SAT",7.5,AR2="SUN",7.5,AR2="OFF",0)</f>
        <v>9.5</v>
      </c>
      <c r="AS5" s="126" cm="1">
        <f t="array" ref="AS5">_xlfn.IFS(AS2="w/ OT",12.25,AS2="w/o OT",9.5,AS2="FRI",7.5,AS2="SAT",7.5,AS2="SUN",7.5,AS2="OFF",0)</f>
        <v>9.5</v>
      </c>
      <c r="AT5" s="126" cm="1">
        <f t="array" ref="AT5">_xlfn.IFS(AT2="w/ OT",12.25,AT2="w/o OT",9.5,AT2="FRI",7.5,AT2="SAT",7.5,AT2="SUN",7.5,AT2="OFF",0)</f>
        <v>7.5</v>
      </c>
      <c r="AU5" s="126" cm="1">
        <f t="array" ref="AU5">_xlfn.IFS(AU2="w/ OT",12.25,AU2="w/o OT",9.5,AU2="FRI",7.5,AU2="SAT",7.5,AU2="SUN",7.5,AU2="OFF",0)</f>
        <v>7.5</v>
      </c>
      <c r="AV5" s="126" cm="1">
        <f t="array" ref="AV5">_xlfn.IFS(AV2="w/ OT",12.25,AV2="w/o OT",9.5,AV2="FRI",7.5,AV2="SAT",7.5,AV2="SUN",7.5,AV2="OFF",0)</f>
        <v>9.5</v>
      </c>
      <c r="AW5" s="126" cm="1">
        <f t="array" ref="AW5">_xlfn.IFS(AW2="w/ OT",12.25,AW2="w/o OT",9.5,AW2="FRI",7.5,AW2="SAT",7.5,AW2="SUN",7.5,AW2="OFF",0)</f>
        <v>9.5</v>
      </c>
      <c r="AX5" s="126" cm="1">
        <f t="array" ref="AX5">_xlfn.IFS(AX2="w/ OT",12.25,AX2="w/o OT",9.5,AX2="FRI",7.5,AX2="SAT",7.5,AX2="SUN",7.5,AX2="OFF",0)</f>
        <v>9.5</v>
      </c>
      <c r="AY5" s="126" cm="1">
        <f t="array" ref="AY5">_xlfn.IFS(AY2="w/ OT",12.25,AY2="w/o OT",9.5,AY2="FRI",7.5,AY2="SAT",7.5,AY2="SUN",7.5,AY2="OFF",0)</f>
        <v>9.5</v>
      </c>
      <c r="AZ5" s="126" cm="1">
        <f t="array" ref="AZ5">_xlfn.IFS(AZ2="w/ OT",12.25,AZ2="w/o OT",9.5,AZ2="FRI",7.5,AZ2="SAT",7.5,AZ2="SUN",7.5,AZ2="OFF",0)</f>
        <v>7.5</v>
      </c>
      <c r="BA5" s="126" cm="1">
        <f t="array" ref="BA5">_xlfn.IFS(BA2="w/ OT",12.25,BA2="w/o OT",9.5,BA2="FRI",7.5,BA2="SAT",7.5,BA2="SUN",7.5,BA2="OFF",0)</f>
        <v>7.5</v>
      </c>
      <c r="BB5" s="126" cm="1">
        <f t="array" ref="BB5">_xlfn.IFS(BB2="w/ OT",12.25,BB2="w/o OT",9.5,BB2="FRI",7.5,BB2="SAT",7.5,BB2="SUN",7.5,BB2="OFF",0)</f>
        <v>9.5</v>
      </c>
      <c r="BC5" s="126" cm="1">
        <f t="array" ref="BC5">_xlfn.IFS(BC2="w/ OT",12.25,BC2="w/o OT",9.5,BC2="FRI",7.5,BC2="SAT",7.5,BC2="SUN",7.5,BC2="OFF",0)</f>
        <v>9.5</v>
      </c>
      <c r="BD5" s="126" cm="1">
        <f t="array" ref="BD5">_xlfn.IFS(BD2="w/ OT",12.25,BD2="w/o OT",9.5,BD2="FRI",7.5,BD2="SAT",7.5,BD2="SUN",7.5,BD2="OFF",0)</f>
        <v>9.5</v>
      </c>
      <c r="BE5" s="126" cm="1">
        <f t="array" ref="BE5">_xlfn.IFS(BE2="w/ OT",12.25,BE2="w/o OT",9.5,BE2="FRI",7.5,BE2="SAT",7.5,BE2="SUN",7.5,BE2="OFF",0)</f>
        <v>9.5</v>
      </c>
      <c r="BF5" s="126" cm="1">
        <f t="array" ref="BF5">_xlfn.IFS(BF2="w/ OT",12.25,BF2="w/o OT",9.5,BF2="FRI",7.5,BF2="SAT",7.5,BF2="SUN",7.5,BF2="OFF",0)</f>
        <v>7.5</v>
      </c>
      <c r="BG5" s="126" cm="1">
        <f t="array" ref="BG5">_xlfn.IFS(BG2="w/ OT",12.25,BG2="w/o OT",9.5,BG2="FRI",7.5,BG2="SAT",7.5,BG2="SUN",7.5,BG2="OFF",0)</f>
        <v>7.5</v>
      </c>
      <c r="BH5" s="126" cm="1">
        <f t="array" ref="BH5">_xlfn.IFS(BH2="w/ OT",12.25,BH2="w/o OT",9.5,BH2="FRI",7.5,BH2="SAT",7.5,BH2="SUN",7.5,BH2="OFF",0)</f>
        <v>9.5</v>
      </c>
      <c r="BI5" s="126" cm="1">
        <f t="array" ref="BI5">_xlfn.IFS(BI2="w/ OT",12.25,BI2="w/o OT",9.5,BI2="FRI",7.5,BI2="SAT",7.5,BI2="SUN",7.5,BI2="OFF",0)</f>
        <v>9.5</v>
      </c>
      <c r="BJ5" s="126" cm="1">
        <f t="array" ref="BJ5">_xlfn.IFS(BJ2="w/ OT",12.25,BJ2="w/o OT",9.5,BJ2="FRI",7.5,BJ2="SAT",7.5,BJ2="SUN",7.5,BJ2="OFF",0)</f>
        <v>9.5</v>
      </c>
      <c r="BK5" s="126" cm="1">
        <f t="array" ref="BK5">_xlfn.IFS(BK2="w/ OT",12.25,BK2="w/o OT",9.5,BK2="FRI",7.5,BK2="SAT",7.5,BK2="SUN",7.5,BK2="OFF",0)</f>
        <v>9.5</v>
      </c>
      <c r="BL5" s="126" cm="1">
        <f t="array" ref="BL5">_xlfn.IFS(BL2="w/ OT",12.25,BL2="w/o OT",9.5,BL2="FRI",7.5,BL2="SAT",7.5,BL2="SUN",7.5,BL2="OFF",0)</f>
        <v>7.5</v>
      </c>
      <c r="BM5" s="126" cm="1">
        <f t="array" ref="BM5">_xlfn.IFS(BM2="w/ OT",12.25,BM2="w/o OT",9.5,BM2="FRI",7.5,BM2="SAT",7.5,BM2="SUN",7.5,BM2="OFF",0)</f>
        <v>7.5</v>
      </c>
      <c r="BN5" s="126" cm="1">
        <f t="array" ref="BN5">_xlfn.IFS(BN2="w/ OT",12.25,BN2="w/o OT",9.5,BN2="FRI",7.5,BN2="SAT",7.5,BN2="SUN",7.5,BN2="OFF",0)</f>
        <v>9.5</v>
      </c>
      <c r="BO5" s="126" cm="1">
        <f t="array" ref="BO5">_xlfn.IFS(BO2="w/ OT",12.25,BO2="w/o OT",9.5,BO2="FRI",7.5,BO2="SAT",7.5,BO2="SUN",7.5,BO2="OFF",0)</f>
        <v>9.5</v>
      </c>
      <c r="BP5" s="126" cm="1">
        <f t="array" ref="BP5">_xlfn.IFS(BP2="w/ OT",12.25,BP2="w/o OT",9.5,BP2="FRI",7.5,BP2="SAT",7.5,BP2="SUN",7.5,BP2="OFF",0)</f>
        <v>9.5</v>
      </c>
      <c r="BQ5" s="126" cm="1">
        <f t="array" ref="BQ5">_xlfn.IFS(BQ2="w/ OT",12.25,BQ2="w/o OT",9.5,BQ2="FRI",7.5,BQ2="SAT",7.5,BQ2="SUN",7.5,BQ2="OFF",0)</f>
        <v>9.5</v>
      </c>
      <c r="BR5" s="126" cm="1">
        <f t="array" ref="BR5">_xlfn.IFS(BR2="w/ OT",12.25,BR2="w/o OT",9.5,BR2="FRI",7.5,BR2="SAT",7.5,BR2="SUN",7.5,BR2="OFF",0)</f>
        <v>7.5</v>
      </c>
      <c r="BS5" s="126" cm="1">
        <f t="array" ref="BS5">_xlfn.IFS(BS2="w/ OT",12.25,BS2="w/o OT",9.5,BS2="FRI",7.5,BS2="SAT",7.5,BS2="SUN",7.5,BS2="OFF",0)</f>
        <v>7.5</v>
      </c>
      <c r="BT5" s="126" cm="1">
        <f t="array" ref="BT5">_xlfn.IFS(BT2="w/ OT",12.25,BT2="w/o OT",9.5,BT2="FRI",7.5,BT2="SAT",7.5,BT2="SUN",7.5,BT2="OFF",0)</f>
        <v>9.5</v>
      </c>
      <c r="BU5" s="126" cm="1">
        <f t="array" ref="BU5">_xlfn.IFS(BU2="w/ OT",12.25,BU2="w/o OT",9.5,BU2="FRI",7.5,BU2="SAT",7.5,BU2="SUN",7.5,BU2="OFF",0)</f>
        <v>9.5</v>
      </c>
      <c r="BV5" s="126" cm="1">
        <f t="array" ref="BV5">_xlfn.IFS(BV2="w/ OT",12.25,BV2="w/o OT",9.5,BV2="FRI",7.5,BV2="SAT",7.5,BV2="SUN",7.5,BV2="OFF",0)</f>
        <v>9.5</v>
      </c>
      <c r="BW5" s="126" cm="1">
        <f t="array" ref="BW5">_xlfn.IFS(BW2="w/ OT",12.25,BW2="w/o OT",9.5,BW2="FRI",7.5,BW2="SAT",7.5,BW2="SUN",7.5,BW2="OFF",0)</f>
        <v>9.5</v>
      </c>
      <c r="BX5" s="126" cm="1">
        <f t="array" ref="BX5">_xlfn.IFS(BX2="w/ OT",12.25,BX2="w/o OT",9.5,BX2="FRI",7.5,BX2="SAT",7.5,BX2="SUN",7.5,BX2="OFF",0)</f>
        <v>7.5</v>
      </c>
      <c r="BY5" s="126" cm="1">
        <f t="array" ref="BY5">_xlfn.IFS(BY2="w/ OT",12.25,BY2="w/o OT",9.5,BY2="FRI",7.5,BY2="SAT",7.5,BY2="SUN",7.5,BY2="OFF",0)</f>
        <v>7.5</v>
      </c>
      <c r="BZ5" s="126" cm="1">
        <f t="array" ref="BZ5">_xlfn.IFS(BZ2="w/ OT",12.25,BZ2="w/o OT",9.5,BZ2="FRI",7.5,BZ2="SAT",7.5,BZ2="SUN",7.5,BZ2="OFF",0)</f>
        <v>9.5</v>
      </c>
      <c r="CA5" s="126" cm="1">
        <f t="array" ref="CA5">_xlfn.IFS(CA2="w/ OT",12.25,CA2="w/o OT",9.5,CA2="FRI",7.5,CA2="SAT",7.5,CA2="SUN",7.5,CA2="OFF",0)</f>
        <v>9.5</v>
      </c>
      <c r="CB5" s="126" cm="1">
        <f t="array" ref="CB5">_xlfn.IFS(CB2="w/ OT",12.25,CB2="w/o OT",9.5,CB2="FRI",7.5,CB2="SAT",7.5,CB2="SUN",7.5,CB2="OFF",0)</f>
        <v>9.5</v>
      </c>
      <c r="CC5" s="126" cm="1">
        <f t="array" ref="CC5">_xlfn.IFS(CC2="w/ OT",12.25,CC2="w/o OT",9.5,CC2="FRI",7.5,CC2="SAT",7.5,CC2="SUN",7.5,CC2="OFF",0)</f>
        <v>9.5</v>
      </c>
      <c r="CD5" s="126" cm="1">
        <f t="array" ref="CD5">_xlfn.IFS(CD2="w/ OT",12.25,CD2="w/o OT",9.5,CD2="FRI",7.5,CD2="SAT",7.5,CD2="SUN",7.5,CD2="OFF",0)</f>
        <v>7.5</v>
      </c>
      <c r="CE5" s="126" cm="1">
        <f t="array" ref="CE5">_xlfn.IFS(CE2="w/ OT",12.25,CE2="w/o OT",9.5,CE2="FRI",7.5,CE2="SAT",7.5,CE2="SUN",7.5,CE2="OFF",0)</f>
        <v>7.5</v>
      </c>
    </row>
    <row r="6" spans="1:83" ht="15" customHeight="1" x14ac:dyDescent="0.2">
      <c r="A6" s="386"/>
      <c r="B6" s="386"/>
      <c r="C6" s="387"/>
      <c r="D6" s="388"/>
      <c r="E6" s="389"/>
      <c r="F6" s="388"/>
      <c r="G6" s="392"/>
      <c r="H6" s="388"/>
      <c r="I6" s="390"/>
      <c r="J6" s="393"/>
      <c r="K6" s="393"/>
      <c r="L6" s="390"/>
      <c r="M6" s="390"/>
      <c r="N6" s="389"/>
      <c r="O6" s="389"/>
      <c r="P6" s="391"/>
      <c r="Q6" s="123" t="s">
        <v>107</v>
      </c>
      <c r="R6" s="124"/>
      <c r="S6" s="124"/>
      <c r="T6" s="124"/>
      <c r="U6" s="124"/>
      <c r="V6" s="124"/>
      <c r="W6" s="124"/>
      <c r="X6" s="124"/>
      <c r="Y6" s="124"/>
      <c r="Z6" s="124"/>
      <c r="AA6" s="124"/>
      <c r="AB6" s="124"/>
      <c r="AC6" s="124"/>
      <c r="AD6" s="124"/>
      <c r="AE6" s="124"/>
      <c r="AF6" s="124"/>
      <c r="AG6" s="124"/>
      <c r="AH6" s="124"/>
      <c r="AI6" s="124"/>
      <c r="AJ6" s="124"/>
      <c r="AK6" s="124"/>
      <c r="AL6" s="124"/>
      <c r="AM6" s="124"/>
      <c r="AN6" s="124"/>
      <c r="AO6" s="124"/>
      <c r="AP6" s="124"/>
      <c r="AQ6" s="124"/>
      <c r="AR6" s="124"/>
      <c r="AS6" s="124"/>
      <c r="AT6" s="124"/>
      <c r="AU6" s="124"/>
      <c r="AV6" s="124"/>
      <c r="AW6" s="124"/>
      <c r="AX6" s="124"/>
      <c r="AY6" s="124"/>
      <c r="AZ6" s="124"/>
      <c r="BA6" s="124"/>
      <c r="BB6" s="124"/>
      <c r="BC6" s="124"/>
      <c r="BD6" s="124"/>
      <c r="BE6" s="124"/>
      <c r="BF6" s="124"/>
      <c r="BG6" s="124"/>
      <c r="BH6" s="124"/>
      <c r="BI6" s="124"/>
      <c r="BJ6" s="124"/>
      <c r="BK6" s="124"/>
      <c r="BL6" s="124"/>
      <c r="BM6" s="124"/>
      <c r="BN6" s="124"/>
      <c r="BO6" s="124"/>
      <c r="BP6" s="124"/>
      <c r="BQ6" s="124"/>
      <c r="BR6" s="124"/>
      <c r="BS6" s="124"/>
      <c r="BT6" s="124"/>
      <c r="BU6" s="124"/>
      <c r="BV6" s="124"/>
      <c r="BW6" s="124"/>
      <c r="BX6" s="124"/>
      <c r="BY6" s="124"/>
      <c r="BZ6" s="124"/>
      <c r="CA6" s="124"/>
      <c r="CB6" s="124"/>
      <c r="CC6" s="124"/>
      <c r="CD6" s="124"/>
      <c r="CE6" s="124"/>
    </row>
    <row r="7" spans="1:83" ht="9" customHeight="1" x14ac:dyDescent="0.2">
      <c r="A7" s="113"/>
      <c r="B7" s="114"/>
      <c r="C7" s="115"/>
      <c r="D7" s="116"/>
      <c r="E7" s="175"/>
      <c r="F7" s="89"/>
      <c r="G7" s="117"/>
      <c r="H7" s="116"/>
      <c r="I7" s="118"/>
      <c r="J7" s="119"/>
      <c r="K7" s="119"/>
      <c r="L7" s="186"/>
      <c r="M7" s="186"/>
      <c r="N7" s="179"/>
      <c r="O7" s="179"/>
      <c r="P7" s="120"/>
      <c r="Q7" s="120"/>
      <c r="R7" s="121"/>
      <c r="S7" s="121"/>
      <c r="T7" s="121"/>
      <c r="U7" s="121"/>
      <c r="V7" s="121"/>
      <c r="W7" s="121"/>
      <c r="X7" s="121"/>
      <c r="Y7" s="121"/>
      <c r="Z7" s="121"/>
      <c r="AA7" s="121"/>
      <c r="AB7" s="121"/>
      <c r="AC7" s="121"/>
      <c r="AD7" s="121"/>
      <c r="AE7" s="121"/>
      <c r="AF7" s="121"/>
      <c r="AG7" s="121"/>
      <c r="AH7" s="121"/>
      <c r="AI7" s="121"/>
      <c r="AJ7" s="121"/>
      <c r="AK7" s="121"/>
      <c r="AL7" s="121"/>
      <c r="AM7" s="121"/>
      <c r="AN7" s="121"/>
      <c r="AO7" s="121"/>
      <c r="AP7" s="121"/>
      <c r="AQ7" s="121"/>
      <c r="AR7" s="121"/>
      <c r="AS7" s="121"/>
      <c r="AT7" s="121"/>
      <c r="AU7" s="121"/>
      <c r="AV7" s="121"/>
    </row>
    <row r="8" spans="1:83" ht="12.6" hidden="1" customHeight="1" x14ac:dyDescent="0.2">
      <c r="A8" s="106">
        <f>SHIPMENTS!A14</f>
        <v>9296</v>
      </c>
      <c r="B8" s="106" t="str">
        <f>SHIPMENTS!B14</f>
        <v>15900- Makati |Techiron Resources Inc.</v>
      </c>
      <c r="C8" s="132">
        <f>SHIPMENTS!F14</f>
        <v>0.05</v>
      </c>
      <c r="D8" s="107" t="str">
        <f>IF((SHIPMENTS!I14)=0,"",SHIPMENTS!I14)</f>
        <v/>
      </c>
      <c r="E8" s="176">
        <f>IF((SHIPMENTS!G14)=0,"",SHIPMENTS!G14)</f>
        <v>46314</v>
      </c>
      <c r="F8" s="97">
        <f>VLOOKUP(A8,Items!$A$5:$J$1000,9,0)</f>
        <v>0</v>
      </c>
      <c r="G8" s="98">
        <f>VLOOKUP(A8,load!$A$4:$W$5001,23,0)</f>
        <v>0</v>
      </c>
      <c r="H8" s="109">
        <f>Manhours!$C$29+Manhours!$C$30</f>
        <v>10</v>
      </c>
      <c r="I8" s="110">
        <f t="shared" ref="I8:I32" si="0">+H8*$I$4</f>
        <v>91</v>
      </c>
      <c r="J8" s="111">
        <f>G8/I8</f>
        <v>0</v>
      </c>
      <c r="K8" s="111">
        <f t="shared" ref="K8:K32" si="1">+J8*$I$4</f>
        <v>0</v>
      </c>
      <c r="L8" s="110">
        <f>IFERROR(J8-(J8*P8),0)</f>
        <v>0</v>
      </c>
      <c r="M8" s="110">
        <f>IFERROR(K8-(K8*P8),0)</f>
        <v>0</v>
      </c>
      <c r="N8" s="181">
        <f>IF(G8&gt;0,('MP2-SFP2'!M8+3),'SFP2'!N4)</f>
        <v>46314</v>
      </c>
      <c r="O8" s="181">
        <f t="shared" ref="O8" si="2">+N8+L8</f>
        <v>46314</v>
      </c>
      <c r="P8" s="112" t="str">
        <f>VLOOKUP(A8,SHIPMENTS!$A$7:$N$171,14,0)</f>
        <v>n/a</v>
      </c>
      <c r="Q8" s="112"/>
      <c r="R8" s="127" t="str">
        <f t="shared" ref="R8:AG23" si="3">IF($E8=R$3,"▲","")</f>
        <v>▲</v>
      </c>
      <c r="S8" s="127" t="str">
        <f t="shared" si="3"/>
        <v/>
      </c>
      <c r="T8" s="127" t="str">
        <f t="shared" si="3"/>
        <v/>
      </c>
      <c r="U8" s="127" t="str">
        <f t="shared" si="3"/>
        <v/>
      </c>
      <c r="V8" s="127" t="str">
        <f t="shared" si="3"/>
        <v/>
      </c>
      <c r="W8" s="127" t="str">
        <f t="shared" si="3"/>
        <v/>
      </c>
      <c r="X8" s="127" t="str">
        <f t="shared" si="3"/>
        <v/>
      </c>
      <c r="Y8" s="127" t="str">
        <f t="shared" si="3"/>
        <v/>
      </c>
      <c r="Z8" s="127" t="str">
        <f t="shared" si="3"/>
        <v/>
      </c>
      <c r="AA8" s="127" t="str">
        <f t="shared" si="3"/>
        <v/>
      </c>
      <c r="AB8" s="127" t="str">
        <f t="shared" si="3"/>
        <v/>
      </c>
      <c r="AC8" s="127" t="str">
        <f t="shared" si="3"/>
        <v/>
      </c>
      <c r="AD8" s="127" t="str">
        <f t="shared" si="3"/>
        <v/>
      </c>
      <c r="AE8" s="127" t="str">
        <f t="shared" si="3"/>
        <v/>
      </c>
      <c r="AF8" s="127" t="str">
        <f t="shared" si="3"/>
        <v/>
      </c>
      <c r="AG8" s="127" t="str">
        <f t="shared" si="3"/>
        <v/>
      </c>
      <c r="AH8" s="127" t="str">
        <f t="shared" ref="AH8:BG17" si="4">IF($E8=AH$3,"▲","")</f>
        <v/>
      </c>
      <c r="AI8" s="127" t="str">
        <f t="shared" si="4"/>
        <v/>
      </c>
      <c r="AJ8" s="127" t="str">
        <f t="shared" si="4"/>
        <v/>
      </c>
      <c r="AK8" s="127" t="str">
        <f t="shared" si="4"/>
        <v/>
      </c>
      <c r="AL8" s="127" t="str">
        <f t="shared" si="4"/>
        <v/>
      </c>
      <c r="AM8" s="127" t="str">
        <f t="shared" si="4"/>
        <v/>
      </c>
      <c r="AN8" s="127" t="str">
        <f t="shared" si="4"/>
        <v/>
      </c>
      <c r="AO8" s="127" t="str">
        <f t="shared" si="4"/>
        <v/>
      </c>
      <c r="AP8" s="127" t="str">
        <f t="shared" si="4"/>
        <v/>
      </c>
      <c r="AQ8" s="127" t="str">
        <f t="shared" si="4"/>
        <v/>
      </c>
      <c r="AR8" s="127" t="str">
        <f t="shared" si="4"/>
        <v/>
      </c>
      <c r="AS8" s="127" t="str">
        <f t="shared" si="4"/>
        <v/>
      </c>
      <c r="AT8" s="127" t="str">
        <f t="shared" si="4"/>
        <v/>
      </c>
      <c r="AU8" s="127" t="str">
        <f t="shared" si="4"/>
        <v/>
      </c>
      <c r="AV8" s="127" t="str">
        <f t="shared" si="4"/>
        <v/>
      </c>
      <c r="AW8" s="127" t="str">
        <f t="shared" si="4"/>
        <v/>
      </c>
      <c r="AX8" s="127" t="str">
        <f t="shared" si="4"/>
        <v/>
      </c>
      <c r="AY8" s="127" t="str">
        <f t="shared" si="4"/>
        <v/>
      </c>
      <c r="AZ8" s="127" t="str">
        <f t="shared" si="4"/>
        <v/>
      </c>
      <c r="BA8" s="127" t="str">
        <f t="shared" si="4"/>
        <v/>
      </c>
      <c r="BB8" s="127" t="str">
        <f t="shared" si="4"/>
        <v/>
      </c>
      <c r="BC8" s="127" t="str">
        <f t="shared" si="4"/>
        <v/>
      </c>
      <c r="BD8" s="127" t="str">
        <f t="shared" si="4"/>
        <v/>
      </c>
      <c r="BE8" s="127" t="str">
        <f t="shared" si="4"/>
        <v/>
      </c>
      <c r="BF8" s="127" t="str">
        <f t="shared" si="4"/>
        <v/>
      </c>
      <c r="BG8" s="127" t="str">
        <f t="shared" si="4"/>
        <v/>
      </c>
      <c r="BH8" s="127" t="str">
        <f t="shared" ref="BH8:BW17" si="5">IF($E8=BH$3,"▲","")</f>
        <v/>
      </c>
      <c r="BI8" s="127" t="str">
        <f t="shared" si="5"/>
        <v/>
      </c>
      <c r="BJ8" s="127" t="str">
        <f t="shared" si="5"/>
        <v/>
      </c>
      <c r="BK8" s="127" t="str">
        <f t="shared" si="5"/>
        <v/>
      </c>
      <c r="BL8" s="127" t="str">
        <f t="shared" si="5"/>
        <v/>
      </c>
      <c r="BM8" s="127" t="str">
        <f t="shared" si="5"/>
        <v/>
      </c>
      <c r="BN8" s="127" t="str">
        <f t="shared" si="5"/>
        <v/>
      </c>
      <c r="BO8" s="127" t="str">
        <f t="shared" si="5"/>
        <v/>
      </c>
      <c r="BP8" s="127" t="str">
        <f t="shared" si="5"/>
        <v/>
      </c>
      <c r="BQ8" s="127" t="str">
        <f t="shared" si="5"/>
        <v/>
      </c>
      <c r="BR8" s="127" t="str">
        <f t="shared" si="5"/>
        <v/>
      </c>
      <c r="BS8" s="127" t="str">
        <f t="shared" si="5"/>
        <v/>
      </c>
      <c r="BT8" s="127" t="str">
        <f t="shared" si="5"/>
        <v/>
      </c>
      <c r="BU8" s="127" t="str">
        <f t="shared" si="5"/>
        <v/>
      </c>
      <c r="BV8" s="127" t="str">
        <f t="shared" si="5"/>
        <v/>
      </c>
      <c r="BW8" s="127" t="str">
        <f t="shared" si="5"/>
        <v/>
      </c>
      <c r="BX8" s="127" t="str">
        <f t="shared" ref="BT8:CE23" si="6">IF($E8=BX$3,"▲","")</f>
        <v/>
      </c>
      <c r="BY8" s="127" t="str">
        <f t="shared" si="6"/>
        <v/>
      </c>
      <c r="BZ8" s="127" t="str">
        <f t="shared" si="6"/>
        <v/>
      </c>
      <c r="CA8" s="127" t="str">
        <f t="shared" si="6"/>
        <v/>
      </c>
      <c r="CB8" s="127" t="str">
        <f t="shared" si="6"/>
        <v/>
      </c>
      <c r="CC8" s="127" t="str">
        <f t="shared" si="6"/>
        <v/>
      </c>
      <c r="CD8" s="127" t="str">
        <f t="shared" si="6"/>
        <v/>
      </c>
      <c r="CE8" s="127" t="str">
        <f t="shared" si="6"/>
        <v/>
      </c>
    </row>
    <row r="9" spans="1:83" ht="12.6" hidden="1" customHeight="1" x14ac:dyDescent="0.2">
      <c r="A9" s="106">
        <f>SHIPMENTS!A15</f>
        <v>9309</v>
      </c>
      <c r="B9" s="106" t="str">
        <f>SHIPMENTS!B15</f>
        <v>43940-THAILAND</v>
      </c>
      <c r="C9" s="132">
        <f>SHIPMENTS!F15</f>
        <v>6.4030000000000004E-2</v>
      </c>
      <c r="D9" s="107" t="str">
        <f>IF((SHIPMENTS!I15)=0,"",SHIPMENTS!I15)</f>
        <v>AIR</v>
      </c>
      <c r="E9" s="176">
        <f>IF((SHIPMENTS!G15)=0,"",SHIPMENTS!G15)</f>
        <v>46314</v>
      </c>
      <c r="F9" s="97">
        <f>VLOOKUP(A9,Items!$A$5:$J$1000,9,0)</f>
        <v>0</v>
      </c>
      <c r="G9" s="98">
        <f>VLOOKUP(A9,load!$A$4:$W$5001,23,0)</f>
        <v>0</v>
      </c>
      <c r="H9" s="109">
        <f>Manhours!$C$29+Manhours!$C$30</f>
        <v>10</v>
      </c>
      <c r="I9" s="98">
        <f t="shared" si="0"/>
        <v>91</v>
      </c>
      <c r="J9" s="99">
        <f t="shared" ref="J9:J32" si="7">G9/I9</f>
        <v>0</v>
      </c>
      <c r="K9" s="99">
        <f t="shared" si="1"/>
        <v>0</v>
      </c>
      <c r="L9" s="98">
        <f t="shared" ref="L9:L32" si="8">IFERROR(J9-(J9*P9),0)</f>
        <v>0</v>
      </c>
      <c r="M9" s="98">
        <f t="shared" ref="M9:M32" si="9">IFERROR(K9-(K9*P9),0)</f>
        <v>0</v>
      </c>
      <c r="N9" s="181">
        <f>IF(G9&gt;0,('MP2-SFP2'!M9+3),'SFP2'!O8)</f>
        <v>46314</v>
      </c>
      <c r="O9" s="181">
        <f t="shared" ref="O9" si="10">+N9+L9</f>
        <v>46314</v>
      </c>
      <c r="P9" s="112" t="str">
        <f>VLOOKUP(A9,SHIPMENTS!$A$7:$N$171,14,0)</f>
        <v>n/a</v>
      </c>
      <c r="Q9" s="101"/>
      <c r="R9" s="127" t="str">
        <f t="shared" si="3"/>
        <v>▲</v>
      </c>
      <c r="S9" s="127" t="str">
        <f t="shared" si="3"/>
        <v/>
      </c>
      <c r="T9" s="127" t="str">
        <f t="shared" si="3"/>
        <v/>
      </c>
      <c r="U9" s="127" t="str">
        <f t="shared" si="3"/>
        <v/>
      </c>
      <c r="V9" s="127" t="str">
        <f t="shared" si="3"/>
        <v/>
      </c>
      <c r="W9" s="127" t="str">
        <f t="shared" si="3"/>
        <v/>
      </c>
      <c r="X9" s="127" t="str">
        <f t="shared" si="3"/>
        <v/>
      </c>
      <c r="Y9" s="127" t="str">
        <f t="shared" si="3"/>
        <v/>
      </c>
      <c r="Z9" s="127" t="str">
        <f t="shared" si="3"/>
        <v/>
      </c>
      <c r="AA9" s="127" t="str">
        <f t="shared" si="3"/>
        <v/>
      </c>
      <c r="AB9" s="127" t="str">
        <f t="shared" si="3"/>
        <v/>
      </c>
      <c r="AC9" s="127" t="str">
        <f t="shared" si="3"/>
        <v/>
      </c>
      <c r="AD9" s="127" t="str">
        <f t="shared" si="3"/>
        <v/>
      </c>
      <c r="AE9" s="127" t="str">
        <f t="shared" si="3"/>
        <v/>
      </c>
      <c r="AF9" s="127" t="str">
        <f t="shared" si="3"/>
        <v/>
      </c>
      <c r="AG9" s="127" t="str">
        <f t="shared" si="3"/>
        <v/>
      </c>
      <c r="AH9" s="127" t="str">
        <f t="shared" si="4"/>
        <v/>
      </c>
      <c r="AI9" s="127" t="str">
        <f t="shared" si="4"/>
        <v/>
      </c>
      <c r="AJ9" s="127" t="str">
        <f t="shared" si="4"/>
        <v/>
      </c>
      <c r="AK9" s="127" t="str">
        <f t="shared" si="4"/>
        <v/>
      </c>
      <c r="AL9" s="127" t="str">
        <f t="shared" si="4"/>
        <v/>
      </c>
      <c r="AM9" s="127" t="str">
        <f t="shared" si="4"/>
        <v/>
      </c>
      <c r="AN9" s="127" t="str">
        <f t="shared" si="4"/>
        <v/>
      </c>
      <c r="AO9" s="127" t="str">
        <f t="shared" si="4"/>
        <v/>
      </c>
      <c r="AP9" s="127" t="str">
        <f t="shared" si="4"/>
        <v/>
      </c>
      <c r="AQ9" s="127" t="str">
        <f t="shared" si="4"/>
        <v/>
      </c>
      <c r="AR9" s="127" t="str">
        <f t="shared" si="4"/>
        <v/>
      </c>
      <c r="AS9" s="127" t="str">
        <f t="shared" si="4"/>
        <v/>
      </c>
      <c r="AT9" s="127" t="str">
        <f t="shared" si="4"/>
        <v/>
      </c>
      <c r="AU9" s="127" t="str">
        <f t="shared" si="4"/>
        <v/>
      </c>
      <c r="AV9" s="127" t="str">
        <f t="shared" si="4"/>
        <v/>
      </c>
      <c r="AW9" s="127" t="str">
        <f t="shared" si="4"/>
        <v/>
      </c>
      <c r="AX9" s="127" t="str">
        <f t="shared" si="4"/>
        <v/>
      </c>
      <c r="AY9" s="127" t="str">
        <f t="shared" si="4"/>
        <v/>
      </c>
      <c r="AZ9" s="127" t="str">
        <f t="shared" si="4"/>
        <v/>
      </c>
      <c r="BA9" s="127" t="str">
        <f t="shared" si="4"/>
        <v/>
      </c>
      <c r="BB9" s="127" t="str">
        <f t="shared" si="4"/>
        <v/>
      </c>
      <c r="BC9" s="127" t="str">
        <f t="shared" si="4"/>
        <v/>
      </c>
      <c r="BD9" s="127" t="str">
        <f t="shared" si="4"/>
        <v/>
      </c>
      <c r="BE9" s="127" t="str">
        <f t="shared" si="4"/>
        <v/>
      </c>
      <c r="BF9" s="127" t="str">
        <f t="shared" si="4"/>
        <v/>
      </c>
      <c r="BG9" s="127" t="str">
        <f t="shared" si="4"/>
        <v/>
      </c>
      <c r="BH9" s="127" t="str">
        <f t="shared" si="5"/>
        <v/>
      </c>
      <c r="BI9" s="127" t="str">
        <f t="shared" si="5"/>
        <v/>
      </c>
      <c r="BJ9" s="127" t="str">
        <f t="shared" si="5"/>
        <v/>
      </c>
      <c r="BK9" s="127" t="str">
        <f t="shared" si="5"/>
        <v/>
      </c>
      <c r="BL9" s="127" t="str">
        <f t="shared" si="5"/>
        <v/>
      </c>
      <c r="BM9" s="127" t="str">
        <f t="shared" si="5"/>
        <v/>
      </c>
      <c r="BN9" s="127" t="str">
        <f t="shared" si="5"/>
        <v/>
      </c>
      <c r="BO9" s="127" t="str">
        <f t="shared" si="5"/>
        <v/>
      </c>
      <c r="BP9" s="127" t="str">
        <f t="shared" si="5"/>
        <v/>
      </c>
      <c r="BQ9" s="127" t="str">
        <f t="shared" si="5"/>
        <v/>
      </c>
      <c r="BR9" s="127" t="str">
        <f t="shared" si="5"/>
        <v/>
      </c>
      <c r="BS9" s="127" t="str">
        <f t="shared" si="5"/>
        <v/>
      </c>
      <c r="BT9" s="127" t="str">
        <f t="shared" si="6"/>
        <v/>
      </c>
      <c r="BU9" s="127" t="str">
        <f t="shared" si="6"/>
        <v/>
      </c>
      <c r="BV9" s="127" t="str">
        <f t="shared" si="6"/>
        <v/>
      </c>
      <c r="BW9" s="127" t="str">
        <f t="shared" si="6"/>
        <v/>
      </c>
      <c r="BX9" s="127" t="str">
        <f t="shared" si="6"/>
        <v/>
      </c>
      <c r="BY9" s="127" t="str">
        <f t="shared" si="6"/>
        <v/>
      </c>
      <c r="BZ9" s="127" t="str">
        <f t="shared" si="6"/>
        <v/>
      </c>
      <c r="CA9" s="127" t="str">
        <f t="shared" si="6"/>
        <v/>
      </c>
      <c r="CB9" s="127" t="str">
        <f t="shared" si="6"/>
        <v/>
      </c>
      <c r="CC9" s="127" t="str">
        <f t="shared" si="6"/>
        <v/>
      </c>
      <c r="CD9" s="127" t="str">
        <f t="shared" si="6"/>
        <v/>
      </c>
      <c r="CE9" s="127" t="str">
        <f t="shared" si="6"/>
        <v/>
      </c>
    </row>
    <row r="10" spans="1:83" ht="12.6" customHeight="1" x14ac:dyDescent="0.2">
      <c r="A10" s="106">
        <f>SHIPMENTS!A16</f>
        <v>9117</v>
      </c>
      <c r="B10" s="106" t="str">
        <f>SHIPMENTS!B16</f>
        <v>41700-CANADA BSAUNAS</v>
      </c>
      <c r="C10" s="132">
        <f>SHIPMENTS!F16</f>
        <v>83.268000000000001</v>
      </c>
      <c r="D10" s="107" t="str">
        <f>IF((SHIPMENTS!I16)=0,"",SHIPMENTS!I16)</f>
        <v>1X40HC</v>
      </c>
      <c r="E10" s="176">
        <f>IF((SHIPMENTS!G16)=0,"",SHIPMENTS!G16)</f>
        <v>46315</v>
      </c>
      <c r="F10" s="97">
        <f>VLOOKUP(A10,Items!$A$5:$J$1000,9,0)</f>
        <v>2</v>
      </c>
      <c r="G10" s="98">
        <f>VLOOKUP(A10,load!$A$4:$W$5001,23,0)</f>
        <v>82.388333333333335</v>
      </c>
      <c r="H10" s="109">
        <f>Manhours!$C$29+Manhours!$C$30</f>
        <v>10</v>
      </c>
      <c r="I10" s="98">
        <f t="shared" si="0"/>
        <v>91</v>
      </c>
      <c r="J10" s="99">
        <f t="shared" si="7"/>
        <v>0.90536630036630039</v>
      </c>
      <c r="K10" s="99">
        <f t="shared" si="1"/>
        <v>8.2388333333333339</v>
      </c>
      <c r="L10" s="98">
        <f t="shared" si="8"/>
        <v>0.90536630036630039</v>
      </c>
      <c r="M10" s="98">
        <f t="shared" si="9"/>
        <v>8.2388333333333339</v>
      </c>
      <c r="N10" s="181">
        <f>IF(G10&gt;0,('MP2-SFP2'!M10+3),'SFP2'!O9)</f>
        <v>46322</v>
      </c>
      <c r="O10" s="181">
        <f t="shared" ref="O10:O32" si="11">+N10+L10</f>
        <v>46322.905366300365</v>
      </c>
      <c r="P10" s="112">
        <f>VLOOKUP(A10,SHIPMENTS!$A$7:$N$171,14,0)</f>
        <v>0</v>
      </c>
      <c r="Q10" s="101"/>
      <c r="R10" s="127" t="str">
        <f t="shared" si="3"/>
        <v/>
      </c>
      <c r="S10" s="127" t="str">
        <f t="shared" si="3"/>
        <v>▲</v>
      </c>
      <c r="T10" s="127" t="str">
        <f t="shared" si="3"/>
        <v/>
      </c>
      <c r="U10" s="127" t="str">
        <f t="shared" si="3"/>
        <v/>
      </c>
      <c r="V10" s="127" t="str">
        <f t="shared" si="3"/>
        <v/>
      </c>
      <c r="W10" s="127" t="str">
        <f t="shared" si="3"/>
        <v/>
      </c>
      <c r="X10" s="127" t="str">
        <f t="shared" si="3"/>
        <v/>
      </c>
      <c r="Y10" s="127" t="str">
        <f t="shared" si="3"/>
        <v/>
      </c>
      <c r="Z10" s="127" t="str">
        <f t="shared" si="3"/>
        <v/>
      </c>
      <c r="AA10" s="127" t="str">
        <f t="shared" si="3"/>
        <v/>
      </c>
      <c r="AB10" s="127" t="str">
        <f t="shared" si="3"/>
        <v/>
      </c>
      <c r="AC10" s="127" t="str">
        <f t="shared" si="3"/>
        <v/>
      </c>
      <c r="AD10" s="127" t="str">
        <f t="shared" si="3"/>
        <v/>
      </c>
      <c r="AE10" s="127" t="str">
        <f t="shared" si="3"/>
        <v/>
      </c>
      <c r="AF10" s="127" t="str">
        <f t="shared" si="3"/>
        <v/>
      </c>
      <c r="AG10" s="127" t="str">
        <f t="shared" si="3"/>
        <v/>
      </c>
      <c r="AH10" s="127" t="str">
        <f t="shared" si="4"/>
        <v/>
      </c>
      <c r="AI10" s="127" t="str">
        <f t="shared" si="4"/>
        <v/>
      </c>
      <c r="AJ10" s="127" t="str">
        <f t="shared" si="4"/>
        <v/>
      </c>
      <c r="AK10" s="127" t="str">
        <f t="shared" si="4"/>
        <v/>
      </c>
      <c r="AL10" s="127" t="str">
        <f t="shared" si="4"/>
        <v/>
      </c>
      <c r="AM10" s="127" t="str">
        <f t="shared" si="4"/>
        <v/>
      </c>
      <c r="AN10" s="127" t="str">
        <f t="shared" si="4"/>
        <v/>
      </c>
      <c r="AO10" s="127" t="str">
        <f t="shared" si="4"/>
        <v/>
      </c>
      <c r="AP10" s="127" t="str">
        <f t="shared" si="4"/>
        <v/>
      </c>
      <c r="AQ10" s="127" t="str">
        <f t="shared" si="4"/>
        <v/>
      </c>
      <c r="AR10" s="127" t="str">
        <f t="shared" si="4"/>
        <v/>
      </c>
      <c r="AS10" s="127" t="str">
        <f t="shared" si="4"/>
        <v/>
      </c>
      <c r="AT10" s="127" t="str">
        <f t="shared" si="4"/>
        <v/>
      </c>
      <c r="AU10" s="127" t="str">
        <f t="shared" si="4"/>
        <v/>
      </c>
      <c r="AV10" s="127" t="str">
        <f t="shared" si="4"/>
        <v/>
      </c>
      <c r="AW10" s="127" t="str">
        <f t="shared" si="4"/>
        <v/>
      </c>
      <c r="AX10" s="127" t="str">
        <f t="shared" si="4"/>
        <v/>
      </c>
      <c r="AY10" s="127" t="str">
        <f t="shared" si="4"/>
        <v/>
      </c>
      <c r="AZ10" s="127" t="str">
        <f t="shared" si="4"/>
        <v/>
      </c>
      <c r="BA10" s="127" t="str">
        <f t="shared" si="4"/>
        <v/>
      </c>
      <c r="BB10" s="127" t="str">
        <f t="shared" si="4"/>
        <v/>
      </c>
      <c r="BC10" s="127" t="str">
        <f t="shared" si="4"/>
        <v/>
      </c>
      <c r="BD10" s="127" t="str">
        <f t="shared" si="4"/>
        <v/>
      </c>
      <c r="BE10" s="127" t="str">
        <f t="shared" si="4"/>
        <v/>
      </c>
      <c r="BF10" s="127" t="str">
        <f t="shared" si="4"/>
        <v/>
      </c>
      <c r="BG10" s="127" t="str">
        <f t="shared" si="4"/>
        <v/>
      </c>
      <c r="BH10" s="127" t="str">
        <f t="shared" si="5"/>
        <v/>
      </c>
      <c r="BI10" s="127" t="str">
        <f t="shared" si="5"/>
        <v/>
      </c>
      <c r="BJ10" s="127" t="str">
        <f t="shared" si="5"/>
        <v/>
      </c>
      <c r="BK10" s="127" t="str">
        <f t="shared" si="5"/>
        <v/>
      </c>
      <c r="BL10" s="127" t="str">
        <f t="shared" si="5"/>
        <v/>
      </c>
      <c r="BM10" s="127" t="str">
        <f t="shared" si="5"/>
        <v/>
      </c>
      <c r="BN10" s="127" t="str">
        <f t="shared" si="5"/>
        <v/>
      </c>
      <c r="BO10" s="127" t="str">
        <f t="shared" si="5"/>
        <v/>
      </c>
      <c r="BP10" s="127" t="str">
        <f t="shared" si="5"/>
        <v/>
      </c>
      <c r="BQ10" s="127" t="str">
        <f t="shared" si="5"/>
        <v/>
      </c>
      <c r="BR10" s="127" t="str">
        <f t="shared" si="5"/>
        <v/>
      </c>
      <c r="BS10" s="127" t="str">
        <f t="shared" si="5"/>
        <v/>
      </c>
      <c r="BT10" s="127" t="str">
        <f t="shared" si="6"/>
        <v/>
      </c>
      <c r="BU10" s="127" t="str">
        <f t="shared" si="6"/>
        <v/>
      </c>
      <c r="BV10" s="127" t="str">
        <f t="shared" si="6"/>
        <v/>
      </c>
      <c r="BW10" s="127" t="str">
        <f t="shared" si="6"/>
        <v/>
      </c>
      <c r="BX10" s="127" t="str">
        <f t="shared" si="6"/>
        <v/>
      </c>
      <c r="BY10" s="127" t="str">
        <f t="shared" si="6"/>
        <v/>
      </c>
      <c r="BZ10" s="127" t="str">
        <f t="shared" si="6"/>
        <v/>
      </c>
      <c r="CA10" s="127" t="str">
        <f t="shared" si="6"/>
        <v/>
      </c>
      <c r="CB10" s="127" t="str">
        <f t="shared" si="6"/>
        <v/>
      </c>
      <c r="CC10" s="127" t="str">
        <f t="shared" si="6"/>
        <v/>
      </c>
      <c r="CD10" s="127" t="str">
        <f t="shared" si="6"/>
        <v/>
      </c>
      <c r="CE10" s="127" t="str">
        <f t="shared" si="6"/>
        <v/>
      </c>
    </row>
    <row r="11" spans="1:83" ht="12.6" hidden="1" customHeight="1" x14ac:dyDescent="0.2">
      <c r="A11" s="106">
        <f>SHIPMENTS!A17</f>
        <v>8641</v>
      </c>
      <c r="B11" s="106" t="str">
        <f>SHIPMENTS!B17</f>
        <v>41700-CANADA BSAUNAS BACKLOG</v>
      </c>
      <c r="C11" s="132">
        <f>SHIPMENTS!F17</f>
        <v>0</v>
      </c>
      <c r="D11" s="107" t="str">
        <f>IF((SHIPMENTS!I17)=0,"",SHIPMENTS!I17)</f>
        <v/>
      </c>
      <c r="E11" s="176">
        <f>IF((SHIPMENTS!G17)=0,"",SHIPMENTS!G17)</f>
        <v>46315</v>
      </c>
      <c r="F11" s="97">
        <f>VLOOKUP(A11,Items!$A$5:$J$1000,9,0)</f>
        <v>0</v>
      </c>
      <c r="G11" s="98">
        <f>VLOOKUP(A11,load!$A$4:$W$5001,23,0)</f>
        <v>1.83</v>
      </c>
      <c r="H11" s="109">
        <f>Manhours!$C$29+Manhours!$C$30</f>
        <v>10</v>
      </c>
      <c r="I11" s="98">
        <f t="shared" si="0"/>
        <v>91</v>
      </c>
      <c r="J11" s="99">
        <f t="shared" si="7"/>
        <v>2.0109890109890109E-2</v>
      </c>
      <c r="K11" s="99">
        <f t="shared" si="1"/>
        <v>0.183</v>
      </c>
      <c r="L11" s="98">
        <f t="shared" si="8"/>
        <v>0</v>
      </c>
      <c r="M11" s="98">
        <f t="shared" si="9"/>
        <v>0</v>
      </c>
      <c r="N11" s="181">
        <f>IF(G11&gt;0,('MP2-SFP2'!M11+3),'SFP2'!O10)</f>
        <v>46325.119139194139</v>
      </c>
      <c r="O11" s="181">
        <f t="shared" si="11"/>
        <v>46325.119139194139</v>
      </c>
      <c r="P11" s="112" t="str">
        <f>VLOOKUP(A11,SHIPMENTS!$A$7:$N$171,14,0)</f>
        <v>n/a</v>
      </c>
      <c r="Q11" s="101"/>
      <c r="R11" s="127" t="str">
        <f t="shared" si="3"/>
        <v/>
      </c>
      <c r="S11" s="127" t="str">
        <f t="shared" si="3"/>
        <v>▲</v>
      </c>
      <c r="T11" s="127" t="str">
        <f t="shared" si="3"/>
        <v/>
      </c>
      <c r="U11" s="127" t="str">
        <f t="shared" si="3"/>
        <v/>
      </c>
      <c r="V11" s="127" t="str">
        <f t="shared" si="3"/>
        <v/>
      </c>
      <c r="W11" s="127" t="str">
        <f t="shared" si="3"/>
        <v/>
      </c>
      <c r="X11" s="127" t="str">
        <f t="shared" si="3"/>
        <v/>
      </c>
      <c r="Y11" s="127" t="str">
        <f t="shared" si="3"/>
        <v/>
      </c>
      <c r="Z11" s="127" t="str">
        <f t="shared" si="3"/>
        <v/>
      </c>
      <c r="AA11" s="127" t="str">
        <f t="shared" si="3"/>
        <v/>
      </c>
      <c r="AB11" s="127" t="str">
        <f t="shared" si="3"/>
        <v/>
      </c>
      <c r="AC11" s="127" t="str">
        <f t="shared" si="3"/>
        <v/>
      </c>
      <c r="AD11" s="127" t="str">
        <f t="shared" si="3"/>
        <v/>
      </c>
      <c r="AE11" s="127" t="str">
        <f t="shared" si="3"/>
        <v/>
      </c>
      <c r="AF11" s="127" t="str">
        <f t="shared" si="3"/>
        <v/>
      </c>
      <c r="AG11" s="127" t="str">
        <f t="shared" si="3"/>
        <v/>
      </c>
      <c r="AH11" s="127" t="str">
        <f t="shared" si="4"/>
        <v/>
      </c>
      <c r="AI11" s="127" t="str">
        <f t="shared" si="4"/>
        <v/>
      </c>
      <c r="AJ11" s="127" t="str">
        <f t="shared" si="4"/>
        <v/>
      </c>
      <c r="AK11" s="127" t="str">
        <f t="shared" si="4"/>
        <v/>
      </c>
      <c r="AL11" s="127" t="str">
        <f t="shared" si="4"/>
        <v/>
      </c>
      <c r="AM11" s="127" t="str">
        <f t="shared" si="4"/>
        <v/>
      </c>
      <c r="AN11" s="127" t="str">
        <f t="shared" si="4"/>
        <v/>
      </c>
      <c r="AO11" s="127" t="str">
        <f t="shared" si="4"/>
        <v/>
      </c>
      <c r="AP11" s="127" t="str">
        <f t="shared" si="4"/>
        <v/>
      </c>
      <c r="AQ11" s="127" t="str">
        <f t="shared" si="4"/>
        <v/>
      </c>
      <c r="AR11" s="127" t="str">
        <f t="shared" si="4"/>
        <v/>
      </c>
      <c r="AS11" s="127" t="str">
        <f t="shared" si="4"/>
        <v/>
      </c>
      <c r="AT11" s="127" t="str">
        <f t="shared" si="4"/>
        <v/>
      </c>
      <c r="AU11" s="127" t="str">
        <f t="shared" si="4"/>
        <v/>
      </c>
      <c r="AV11" s="127" t="str">
        <f t="shared" si="4"/>
        <v/>
      </c>
      <c r="AW11" s="127" t="str">
        <f t="shared" si="4"/>
        <v/>
      </c>
      <c r="AX11" s="127" t="str">
        <f t="shared" si="4"/>
        <v/>
      </c>
      <c r="AY11" s="127" t="str">
        <f t="shared" si="4"/>
        <v/>
      </c>
      <c r="AZ11" s="127" t="str">
        <f t="shared" si="4"/>
        <v/>
      </c>
      <c r="BA11" s="127" t="str">
        <f t="shared" si="4"/>
        <v/>
      </c>
      <c r="BB11" s="127" t="str">
        <f t="shared" si="4"/>
        <v/>
      </c>
      <c r="BC11" s="127" t="str">
        <f t="shared" si="4"/>
        <v/>
      </c>
      <c r="BD11" s="127" t="str">
        <f t="shared" si="4"/>
        <v/>
      </c>
      <c r="BE11" s="127" t="str">
        <f t="shared" si="4"/>
        <v/>
      </c>
      <c r="BF11" s="127" t="str">
        <f t="shared" si="4"/>
        <v/>
      </c>
      <c r="BG11" s="127" t="str">
        <f t="shared" si="4"/>
        <v/>
      </c>
      <c r="BH11" s="127" t="str">
        <f t="shared" si="5"/>
        <v/>
      </c>
      <c r="BI11" s="127" t="str">
        <f t="shared" si="5"/>
        <v/>
      </c>
      <c r="BJ11" s="127" t="str">
        <f t="shared" si="5"/>
        <v/>
      </c>
      <c r="BK11" s="127" t="str">
        <f t="shared" si="5"/>
        <v/>
      </c>
      <c r="BL11" s="127" t="str">
        <f t="shared" si="5"/>
        <v/>
      </c>
      <c r="BM11" s="127" t="str">
        <f t="shared" si="5"/>
        <v/>
      </c>
      <c r="BN11" s="127" t="str">
        <f t="shared" si="5"/>
        <v/>
      </c>
      <c r="BO11" s="127" t="str">
        <f t="shared" si="5"/>
        <v/>
      </c>
      <c r="BP11" s="127" t="str">
        <f t="shared" si="5"/>
        <v/>
      </c>
      <c r="BQ11" s="127" t="str">
        <f t="shared" si="5"/>
        <v/>
      </c>
      <c r="BR11" s="127" t="str">
        <f t="shared" si="5"/>
        <v/>
      </c>
      <c r="BS11" s="127" t="str">
        <f t="shared" si="5"/>
        <v/>
      </c>
      <c r="BT11" s="127" t="str">
        <f t="shared" si="6"/>
        <v/>
      </c>
      <c r="BU11" s="127" t="str">
        <f t="shared" si="6"/>
        <v/>
      </c>
      <c r="BV11" s="127" t="str">
        <f t="shared" si="6"/>
        <v/>
      </c>
      <c r="BW11" s="127" t="str">
        <f t="shared" si="6"/>
        <v/>
      </c>
      <c r="BX11" s="127" t="str">
        <f t="shared" si="6"/>
        <v/>
      </c>
      <c r="BY11" s="127" t="str">
        <f t="shared" si="6"/>
        <v/>
      </c>
      <c r="BZ11" s="127" t="str">
        <f t="shared" si="6"/>
        <v/>
      </c>
      <c r="CA11" s="127" t="str">
        <f t="shared" si="6"/>
        <v/>
      </c>
      <c r="CB11" s="127" t="str">
        <f t="shared" si="6"/>
        <v/>
      </c>
      <c r="CC11" s="127" t="str">
        <f t="shared" si="6"/>
        <v/>
      </c>
      <c r="CD11" s="127" t="str">
        <f t="shared" si="6"/>
        <v/>
      </c>
      <c r="CE11" s="127" t="str">
        <f t="shared" si="6"/>
        <v/>
      </c>
    </row>
    <row r="12" spans="1:83" ht="12.6" customHeight="1" x14ac:dyDescent="0.2">
      <c r="A12" s="106">
        <f>SHIPMENTS!A18</f>
        <v>8102</v>
      </c>
      <c r="B12" s="106" t="str">
        <f>SHIPMENTS!B18</f>
        <v>41700-CANADA BSAUNAS BACKLOG</v>
      </c>
      <c r="C12" s="132">
        <f>SHIPMENTS!F18</f>
        <v>0</v>
      </c>
      <c r="D12" s="107" t="str">
        <f>IF((SHIPMENTS!I18)=0,"",SHIPMENTS!I18)</f>
        <v/>
      </c>
      <c r="E12" s="176">
        <f>IF((SHIPMENTS!G18)=0,"",SHIPMENTS!G18)</f>
        <v>46315</v>
      </c>
      <c r="F12" s="97">
        <f>VLOOKUP(A12,Items!$A$5:$J$1000,9,0)</f>
        <v>0</v>
      </c>
      <c r="G12" s="98">
        <f>VLOOKUP(A12,load!$A$4:$W$5001,23,0)</f>
        <v>0</v>
      </c>
      <c r="H12" s="109">
        <f>Manhours!$C$29+Manhours!$C$30</f>
        <v>10</v>
      </c>
      <c r="I12" s="98">
        <f t="shared" si="0"/>
        <v>91</v>
      </c>
      <c r="J12" s="99">
        <f t="shared" si="7"/>
        <v>0</v>
      </c>
      <c r="K12" s="99">
        <f t="shared" si="1"/>
        <v>0</v>
      </c>
      <c r="L12" s="98">
        <f t="shared" si="8"/>
        <v>0</v>
      </c>
      <c r="M12" s="98">
        <f t="shared" si="9"/>
        <v>0</v>
      </c>
      <c r="N12" s="181">
        <f>IF(G12&gt;0,('MP2-SFP2'!M12+3),'SFP2'!O11)</f>
        <v>46325.119139194139</v>
      </c>
      <c r="O12" s="181">
        <f t="shared" si="11"/>
        <v>46325.119139194139</v>
      </c>
      <c r="P12" s="112">
        <f>VLOOKUP(A12,SHIPMENTS!$A$7:$N$171,14,0)</f>
        <v>0.5</v>
      </c>
      <c r="Q12" s="101"/>
      <c r="R12" s="127" t="str">
        <f t="shared" si="3"/>
        <v/>
      </c>
      <c r="S12" s="127" t="str">
        <f t="shared" si="3"/>
        <v>▲</v>
      </c>
      <c r="T12" s="127" t="str">
        <f t="shared" si="3"/>
        <v/>
      </c>
      <c r="U12" s="127" t="str">
        <f t="shared" si="3"/>
        <v/>
      </c>
      <c r="V12" s="127" t="str">
        <f t="shared" si="3"/>
        <v/>
      </c>
      <c r="W12" s="127" t="str">
        <f t="shared" si="3"/>
        <v/>
      </c>
      <c r="X12" s="127" t="str">
        <f t="shared" si="3"/>
        <v/>
      </c>
      <c r="Y12" s="127" t="str">
        <f t="shared" si="3"/>
        <v/>
      </c>
      <c r="Z12" s="127" t="str">
        <f t="shared" si="3"/>
        <v/>
      </c>
      <c r="AA12" s="127" t="str">
        <f t="shared" si="3"/>
        <v/>
      </c>
      <c r="AB12" s="127" t="str">
        <f t="shared" si="3"/>
        <v/>
      </c>
      <c r="AC12" s="127" t="str">
        <f t="shared" si="3"/>
        <v/>
      </c>
      <c r="AD12" s="127" t="str">
        <f t="shared" si="3"/>
        <v/>
      </c>
      <c r="AE12" s="127" t="str">
        <f t="shared" si="3"/>
        <v/>
      </c>
      <c r="AF12" s="127" t="str">
        <f t="shared" si="3"/>
        <v/>
      </c>
      <c r="AG12" s="127" t="str">
        <f t="shared" si="3"/>
        <v/>
      </c>
      <c r="AH12" s="127" t="str">
        <f t="shared" si="4"/>
        <v/>
      </c>
      <c r="AI12" s="127" t="str">
        <f t="shared" si="4"/>
        <v/>
      </c>
      <c r="AJ12" s="127" t="str">
        <f t="shared" si="4"/>
        <v/>
      </c>
      <c r="AK12" s="127" t="str">
        <f t="shared" si="4"/>
        <v/>
      </c>
      <c r="AL12" s="127" t="str">
        <f t="shared" si="4"/>
        <v/>
      </c>
      <c r="AM12" s="127" t="str">
        <f t="shared" si="4"/>
        <v/>
      </c>
      <c r="AN12" s="127" t="str">
        <f t="shared" si="4"/>
        <v/>
      </c>
      <c r="AO12" s="127" t="str">
        <f t="shared" si="4"/>
        <v/>
      </c>
      <c r="AP12" s="127" t="str">
        <f t="shared" si="4"/>
        <v/>
      </c>
      <c r="AQ12" s="127" t="str">
        <f t="shared" si="4"/>
        <v/>
      </c>
      <c r="AR12" s="127" t="str">
        <f t="shared" si="4"/>
        <v/>
      </c>
      <c r="AS12" s="127" t="str">
        <f t="shared" si="4"/>
        <v/>
      </c>
      <c r="AT12" s="127" t="str">
        <f t="shared" si="4"/>
        <v/>
      </c>
      <c r="AU12" s="127" t="str">
        <f t="shared" si="4"/>
        <v/>
      </c>
      <c r="AV12" s="127" t="str">
        <f t="shared" si="4"/>
        <v/>
      </c>
      <c r="AW12" s="127" t="str">
        <f t="shared" si="4"/>
        <v/>
      </c>
      <c r="AX12" s="127" t="str">
        <f t="shared" si="4"/>
        <v/>
      </c>
      <c r="AY12" s="127" t="str">
        <f t="shared" si="4"/>
        <v/>
      </c>
      <c r="AZ12" s="127" t="str">
        <f t="shared" si="4"/>
        <v/>
      </c>
      <c r="BA12" s="127" t="str">
        <f t="shared" si="4"/>
        <v/>
      </c>
      <c r="BB12" s="127" t="str">
        <f t="shared" si="4"/>
        <v/>
      </c>
      <c r="BC12" s="127" t="str">
        <f t="shared" si="4"/>
        <v/>
      </c>
      <c r="BD12" s="127" t="str">
        <f t="shared" si="4"/>
        <v/>
      </c>
      <c r="BE12" s="127" t="str">
        <f t="shared" si="4"/>
        <v/>
      </c>
      <c r="BF12" s="127" t="str">
        <f t="shared" si="4"/>
        <v/>
      </c>
      <c r="BG12" s="127" t="str">
        <f t="shared" si="4"/>
        <v/>
      </c>
      <c r="BH12" s="127" t="str">
        <f t="shared" si="5"/>
        <v/>
      </c>
      <c r="BI12" s="127" t="str">
        <f t="shared" si="5"/>
        <v/>
      </c>
      <c r="BJ12" s="127" t="str">
        <f t="shared" si="5"/>
        <v/>
      </c>
      <c r="BK12" s="127" t="str">
        <f t="shared" si="5"/>
        <v/>
      </c>
      <c r="BL12" s="127" t="str">
        <f t="shared" si="5"/>
        <v/>
      </c>
      <c r="BM12" s="127" t="str">
        <f t="shared" si="5"/>
        <v/>
      </c>
      <c r="BN12" s="127" t="str">
        <f t="shared" si="5"/>
        <v/>
      </c>
      <c r="BO12" s="127" t="str">
        <f t="shared" si="5"/>
        <v/>
      </c>
      <c r="BP12" s="127" t="str">
        <f t="shared" si="5"/>
        <v/>
      </c>
      <c r="BQ12" s="127" t="str">
        <f t="shared" si="5"/>
        <v/>
      </c>
      <c r="BR12" s="127" t="str">
        <f t="shared" si="5"/>
        <v/>
      </c>
      <c r="BS12" s="127" t="str">
        <f t="shared" si="5"/>
        <v/>
      </c>
      <c r="BT12" s="127" t="str">
        <f t="shared" si="6"/>
        <v/>
      </c>
      <c r="BU12" s="127" t="str">
        <f t="shared" si="6"/>
        <v/>
      </c>
      <c r="BV12" s="127" t="str">
        <f t="shared" si="6"/>
        <v/>
      </c>
      <c r="BW12" s="127" t="str">
        <f t="shared" si="6"/>
        <v/>
      </c>
      <c r="BX12" s="127" t="str">
        <f t="shared" si="6"/>
        <v/>
      </c>
      <c r="BY12" s="127" t="str">
        <f t="shared" si="6"/>
        <v/>
      </c>
      <c r="BZ12" s="127" t="str">
        <f t="shared" si="6"/>
        <v/>
      </c>
      <c r="CA12" s="127" t="str">
        <f t="shared" si="6"/>
        <v/>
      </c>
      <c r="CB12" s="127" t="str">
        <f t="shared" si="6"/>
        <v/>
      </c>
      <c r="CC12" s="127" t="str">
        <f t="shared" si="6"/>
        <v/>
      </c>
      <c r="CD12" s="127" t="str">
        <f t="shared" si="6"/>
        <v/>
      </c>
      <c r="CE12" s="127" t="str">
        <f t="shared" si="6"/>
        <v/>
      </c>
    </row>
    <row r="13" spans="1:83" ht="12.6" hidden="1" customHeight="1" x14ac:dyDescent="0.2">
      <c r="A13" s="106">
        <f>SHIPMENTS!A19</f>
        <v>5928</v>
      </c>
      <c r="B13" s="106" t="str">
        <f>SHIPMENTS!B19</f>
        <v>41700-CANADA BSAUNAS BACKLOG</v>
      </c>
      <c r="C13" s="132">
        <f>SHIPMENTS!F19</f>
        <v>0</v>
      </c>
      <c r="D13" s="107" t="str">
        <f>IF((SHIPMENTS!I19)=0,"",SHIPMENTS!I19)</f>
        <v/>
      </c>
      <c r="E13" s="176" t="str">
        <f>IF((SHIPMENTS!G19)=0,"",SHIPMENTS!G19)</f>
        <v/>
      </c>
      <c r="F13" s="97">
        <f>VLOOKUP(A13,Items!$A$5:$J$1000,9,0)</f>
        <v>0</v>
      </c>
      <c r="G13" s="98">
        <f>VLOOKUP(A13,load!$A$4:$W$5001,23,0)</f>
        <v>12.983333333333334</v>
      </c>
      <c r="H13" s="109">
        <f>Manhours!$C$29+Manhours!$C$30</f>
        <v>10</v>
      </c>
      <c r="I13" s="98">
        <f t="shared" si="0"/>
        <v>91</v>
      </c>
      <c r="J13" s="99">
        <f t="shared" si="7"/>
        <v>0.14267399267399269</v>
      </c>
      <c r="K13" s="99">
        <f t="shared" si="1"/>
        <v>1.2983333333333336</v>
      </c>
      <c r="L13" s="98">
        <f t="shared" si="8"/>
        <v>0</v>
      </c>
      <c r="M13" s="98">
        <f t="shared" si="9"/>
        <v>0</v>
      </c>
      <c r="N13" s="181">
        <f>IF(G13&gt;0,('MP2-SFP2'!M13+3),'SFP2'!O12)</f>
        <v>46325.119139194139</v>
      </c>
      <c r="O13" s="181">
        <f t="shared" si="11"/>
        <v>46325.119139194139</v>
      </c>
      <c r="P13" s="112" t="str">
        <f>VLOOKUP(A13,SHIPMENTS!$A$7:$N$171,14,0)</f>
        <v>n/a</v>
      </c>
      <c r="Q13" s="101"/>
      <c r="R13" s="127" t="str">
        <f t="shared" si="3"/>
        <v/>
      </c>
      <c r="S13" s="127" t="str">
        <f t="shared" si="3"/>
        <v/>
      </c>
      <c r="T13" s="127" t="str">
        <f t="shared" si="3"/>
        <v/>
      </c>
      <c r="U13" s="127" t="str">
        <f t="shared" si="3"/>
        <v/>
      </c>
      <c r="V13" s="127" t="str">
        <f t="shared" si="3"/>
        <v/>
      </c>
      <c r="W13" s="127" t="str">
        <f t="shared" si="3"/>
        <v/>
      </c>
      <c r="X13" s="127" t="str">
        <f t="shared" si="3"/>
        <v/>
      </c>
      <c r="Y13" s="127" t="str">
        <f t="shared" si="3"/>
        <v/>
      </c>
      <c r="Z13" s="127" t="str">
        <f t="shared" si="3"/>
        <v/>
      </c>
      <c r="AA13" s="127" t="str">
        <f t="shared" si="3"/>
        <v/>
      </c>
      <c r="AB13" s="127" t="str">
        <f t="shared" si="3"/>
        <v/>
      </c>
      <c r="AC13" s="127" t="str">
        <f t="shared" si="3"/>
        <v/>
      </c>
      <c r="AD13" s="127" t="str">
        <f t="shared" si="3"/>
        <v/>
      </c>
      <c r="AE13" s="127" t="str">
        <f t="shared" si="3"/>
        <v/>
      </c>
      <c r="AF13" s="127" t="str">
        <f t="shared" si="3"/>
        <v/>
      </c>
      <c r="AG13" s="127" t="str">
        <f t="shared" si="3"/>
        <v/>
      </c>
      <c r="AH13" s="127" t="str">
        <f t="shared" si="4"/>
        <v/>
      </c>
      <c r="AI13" s="127" t="str">
        <f t="shared" si="4"/>
        <v/>
      </c>
      <c r="AJ13" s="127" t="str">
        <f t="shared" si="4"/>
        <v/>
      </c>
      <c r="AK13" s="127" t="str">
        <f t="shared" si="4"/>
        <v/>
      </c>
      <c r="AL13" s="127" t="str">
        <f t="shared" si="4"/>
        <v/>
      </c>
      <c r="AM13" s="127" t="str">
        <f t="shared" si="4"/>
        <v/>
      </c>
      <c r="AN13" s="127" t="str">
        <f t="shared" si="4"/>
        <v/>
      </c>
      <c r="AO13" s="127" t="str">
        <f t="shared" si="4"/>
        <v/>
      </c>
      <c r="AP13" s="127" t="str">
        <f t="shared" si="4"/>
        <v/>
      </c>
      <c r="AQ13" s="127" t="str">
        <f t="shared" si="4"/>
        <v/>
      </c>
      <c r="AR13" s="127" t="str">
        <f t="shared" si="4"/>
        <v/>
      </c>
      <c r="AS13" s="127" t="str">
        <f t="shared" si="4"/>
        <v/>
      </c>
      <c r="AT13" s="127" t="str">
        <f t="shared" si="4"/>
        <v/>
      </c>
      <c r="AU13" s="127" t="str">
        <f t="shared" si="4"/>
        <v/>
      </c>
      <c r="AV13" s="127" t="str">
        <f t="shared" si="4"/>
        <v/>
      </c>
      <c r="AW13" s="127" t="str">
        <f t="shared" si="4"/>
        <v/>
      </c>
      <c r="AX13" s="127" t="str">
        <f t="shared" si="4"/>
        <v/>
      </c>
      <c r="AY13" s="127" t="str">
        <f t="shared" si="4"/>
        <v/>
      </c>
      <c r="AZ13" s="127" t="str">
        <f t="shared" si="4"/>
        <v/>
      </c>
      <c r="BA13" s="127" t="str">
        <f t="shared" si="4"/>
        <v/>
      </c>
      <c r="BB13" s="127" t="str">
        <f t="shared" si="4"/>
        <v/>
      </c>
      <c r="BC13" s="127" t="str">
        <f t="shared" si="4"/>
        <v/>
      </c>
      <c r="BD13" s="127" t="str">
        <f t="shared" si="4"/>
        <v/>
      </c>
      <c r="BE13" s="127" t="str">
        <f t="shared" si="4"/>
        <v/>
      </c>
      <c r="BF13" s="127" t="str">
        <f t="shared" si="4"/>
        <v/>
      </c>
      <c r="BG13" s="127" t="str">
        <f t="shared" si="4"/>
        <v/>
      </c>
      <c r="BH13" s="127" t="str">
        <f t="shared" si="5"/>
        <v/>
      </c>
      <c r="BI13" s="127" t="str">
        <f t="shared" si="5"/>
        <v/>
      </c>
      <c r="BJ13" s="127" t="str">
        <f t="shared" si="5"/>
        <v/>
      </c>
      <c r="BK13" s="127" t="str">
        <f t="shared" si="5"/>
        <v/>
      </c>
      <c r="BL13" s="127" t="str">
        <f t="shared" si="5"/>
        <v/>
      </c>
      <c r="BM13" s="127" t="str">
        <f t="shared" si="5"/>
        <v/>
      </c>
      <c r="BN13" s="127" t="str">
        <f t="shared" si="5"/>
        <v/>
      </c>
      <c r="BO13" s="127" t="str">
        <f t="shared" si="5"/>
        <v/>
      </c>
      <c r="BP13" s="127" t="str">
        <f t="shared" si="5"/>
        <v/>
      </c>
      <c r="BQ13" s="127" t="str">
        <f t="shared" si="5"/>
        <v/>
      </c>
      <c r="BR13" s="127" t="str">
        <f t="shared" si="5"/>
        <v/>
      </c>
      <c r="BS13" s="127" t="str">
        <f t="shared" si="5"/>
        <v/>
      </c>
      <c r="BT13" s="127" t="str">
        <f t="shared" si="6"/>
        <v/>
      </c>
      <c r="BU13" s="127" t="str">
        <f t="shared" si="6"/>
        <v/>
      </c>
      <c r="BV13" s="127" t="str">
        <f t="shared" si="6"/>
        <v/>
      </c>
      <c r="BW13" s="127" t="str">
        <f t="shared" si="6"/>
        <v/>
      </c>
      <c r="BX13" s="127" t="str">
        <f t="shared" si="6"/>
        <v/>
      </c>
      <c r="BY13" s="127" t="str">
        <f t="shared" si="6"/>
        <v/>
      </c>
      <c r="BZ13" s="127" t="str">
        <f t="shared" si="6"/>
        <v/>
      </c>
      <c r="CA13" s="127" t="str">
        <f t="shared" si="6"/>
        <v/>
      </c>
      <c r="CB13" s="127" t="str">
        <f t="shared" si="6"/>
        <v/>
      </c>
      <c r="CC13" s="127" t="str">
        <f t="shared" si="6"/>
        <v/>
      </c>
      <c r="CD13" s="127" t="str">
        <f t="shared" si="6"/>
        <v/>
      </c>
      <c r="CE13" s="127" t="str">
        <f t="shared" si="6"/>
        <v/>
      </c>
    </row>
    <row r="14" spans="1:83" ht="12.6" hidden="1" customHeight="1" x14ac:dyDescent="0.2">
      <c r="A14" s="106">
        <f>SHIPMENTS!A20</f>
        <v>4781</v>
      </c>
      <c r="B14" s="106" t="str">
        <f>SHIPMENTS!B20</f>
        <v>41700-CANADA BSAUNAS BACKLOG</v>
      </c>
      <c r="C14" s="132">
        <f>SHIPMENTS!F20</f>
        <v>0</v>
      </c>
      <c r="D14" s="107" t="str">
        <f>IF((SHIPMENTS!I20)=0,"",SHIPMENTS!I20)</f>
        <v/>
      </c>
      <c r="E14" s="176" t="str">
        <f>IF((SHIPMENTS!G20)=0,"",SHIPMENTS!G20)</f>
        <v/>
      </c>
      <c r="F14" s="97">
        <f>VLOOKUP(A14,Items!$A$5:$J$1000,9,0)</f>
        <v>0</v>
      </c>
      <c r="G14" s="98">
        <f>VLOOKUP(A14,load!$A$4:$W$5001,23,0)</f>
        <v>13.425833333333335</v>
      </c>
      <c r="H14" s="109">
        <f>Manhours!$C$29+Manhours!$C$30</f>
        <v>10</v>
      </c>
      <c r="I14" s="98">
        <f t="shared" si="0"/>
        <v>91</v>
      </c>
      <c r="J14" s="99">
        <f t="shared" si="7"/>
        <v>0.14753663003663006</v>
      </c>
      <c r="K14" s="99">
        <f t="shared" si="1"/>
        <v>1.3425833333333335</v>
      </c>
      <c r="L14" s="98">
        <f t="shared" si="8"/>
        <v>0</v>
      </c>
      <c r="M14" s="98">
        <f t="shared" si="9"/>
        <v>0</v>
      </c>
      <c r="N14" s="181">
        <f>IF(G14&gt;0,('MP2-SFP2'!M14+3),'SFP2'!O13)</f>
        <v>46325.119139194139</v>
      </c>
      <c r="O14" s="181">
        <f t="shared" si="11"/>
        <v>46325.119139194139</v>
      </c>
      <c r="P14" s="112" t="str">
        <f>VLOOKUP(A14,SHIPMENTS!$A$7:$N$171,14,0)</f>
        <v>n/a</v>
      </c>
      <c r="Q14" s="101"/>
      <c r="R14" s="127" t="str">
        <f t="shared" si="3"/>
        <v/>
      </c>
      <c r="S14" s="127" t="str">
        <f t="shared" si="3"/>
        <v/>
      </c>
      <c r="T14" s="127" t="str">
        <f t="shared" si="3"/>
        <v/>
      </c>
      <c r="U14" s="127" t="str">
        <f t="shared" si="3"/>
        <v/>
      </c>
      <c r="V14" s="127" t="str">
        <f t="shared" si="3"/>
        <v/>
      </c>
      <c r="W14" s="127" t="str">
        <f t="shared" si="3"/>
        <v/>
      </c>
      <c r="X14" s="127" t="str">
        <f t="shared" si="3"/>
        <v/>
      </c>
      <c r="Y14" s="127" t="str">
        <f t="shared" si="3"/>
        <v/>
      </c>
      <c r="Z14" s="127" t="str">
        <f t="shared" si="3"/>
        <v/>
      </c>
      <c r="AA14" s="127" t="str">
        <f t="shared" si="3"/>
        <v/>
      </c>
      <c r="AB14" s="127" t="str">
        <f t="shared" si="3"/>
        <v/>
      </c>
      <c r="AC14" s="127" t="str">
        <f t="shared" si="3"/>
        <v/>
      </c>
      <c r="AD14" s="127" t="str">
        <f t="shared" si="3"/>
        <v/>
      </c>
      <c r="AE14" s="127" t="str">
        <f t="shared" si="3"/>
        <v/>
      </c>
      <c r="AF14" s="127" t="str">
        <f t="shared" si="3"/>
        <v/>
      </c>
      <c r="AG14" s="127" t="str">
        <f t="shared" si="3"/>
        <v/>
      </c>
      <c r="AH14" s="127" t="str">
        <f t="shared" si="4"/>
        <v/>
      </c>
      <c r="AI14" s="127" t="str">
        <f t="shared" si="4"/>
        <v/>
      </c>
      <c r="AJ14" s="127" t="str">
        <f t="shared" si="4"/>
        <v/>
      </c>
      <c r="AK14" s="127" t="str">
        <f t="shared" si="4"/>
        <v/>
      </c>
      <c r="AL14" s="127" t="str">
        <f t="shared" si="4"/>
        <v/>
      </c>
      <c r="AM14" s="127" t="str">
        <f t="shared" si="4"/>
        <v/>
      </c>
      <c r="AN14" s="127" t="str">
        <f t="shared" si="4"/>
        <v/>
      </c>
      <c r="AO14" s="127" t="str">
        <f t="shared" si="4"/>
        <v/>
      </c>
      <c r="AP14" s="127" t="str">
        <f t="shared" si="4"/>
        <v/>
      </c>
      <c r="AQ14" s="127" t="str">
        <f t="shared" si="4"/>
        <v/>
      </c>
      <c r="AR14" s="127" t="str">
        <f t="shared" si="4"/>
        <v/>
      </c>
      <c r="AS14" s="127" t="str">
        <f t="shared" si="4"/>
        <v/>
      </c>
      <c r="AT14" s="127" t="str">
        <f t="shared" si="4"/>
        <v/>
      </c>
      <c r="AU14" s="127" t="str">
        <f t="shared" si="4"/>
        <v/>
      </c>
      <c r="AV14" s="127" t="str">
        <f t="shared" si="4"/>
        <v/>
      </c>
      <c r="AW14" s="127" t="str">
        <f t="shared" si="4"/>
        <v/>
      </c>
      <c r="AX14" s="127" t="str">
        <f t="shared" si="4"/>
        <v/>
      </c>
      <c r="AY14" s="127" t="str">
        <f t="shared" si="4"/>
        <v/>
      </c>
      <c r="AZ14" s="127" t="str">
        <f t="shared" si="4"/>
        <v/>
      </c>
      <c r="BA14" s="127" t="str">
        <f t="shared" si="4"/>
        <v/>
      </c>
      <c r="BB14" s="127" t="str">
        <f t="shared" si="4"/>
        <v/>
      </c>
      <c r="BC14" s="127" t="str">
        <f t="shared" si="4"/>
        <v/>
      </c>
      <c r="BD14" s="127" t="str">
        <f t="shared" si="4"/>
        <v/>
      </c>
      <c r="BE14" s="127" t="str">
        <f t="shared" si="4"/>
        <v/>
      </c>
      <c r="BF14" s="127" t="str">
        <f t="shared" si="4"/>
        <v/>
      </c>
      <c r="BG14" s="127" t="str">
        <f t="shared" si="4"/>
        <v/>
      </c>
      <c r="BH14" s="127" t="str">
        <f t="shared" si="5"/>
        <v/>
      </c>
      <c r="BI14" s="127" t="str">
        <f t="shared" si="5"/>
        <v/>
      </c>
      <c r="BJ14" s="127" t="str">
        <f t="shared" si="5"/>
        <v/>
      </c>
      <c r="BK14" s="127" t="str">
        <f t="shared" si="5"/>
        <v/>
      </c>
      <c r="BL14" s="127" t="str">
        <f t="shared" si="5"/>
        <v/>
      </c>
      <c r="BM14" s="127" t="str">
        <f t="shared" si="5"/>
        <v/>
      </c>
      <c r="BN14" s="127" t="str">
        <f t="shared" si="5"/>
        <v/>
      </c>
      <c r="BO14" s="127" t="str">
        <f t="shared" si="5"/>
        <v/>
      </c>
      <c r="BP14" s="127" t="str">
        <f t="shared" si="5"/>
        <v/>
      </c>
      <c r="BQ14" s="127" t="str">
        <f t="shared" si="5"/>
        <v/>
      </c>
      <c r="BR14" s="127" t="str">
        <f t="shared" si="5"/>
        <v/>
      </c>
      <c r="BS14" s="127" t="str">
        <f t="shared" si="5"/>
        <v/>
      </c>
      <c r="BT14" s="127" t="str">
        <f t="shared" si="6"/>
        <v/>
      </c>
      <c r="BU14" s="127" t="str">
        <f t="shared" si="6"/>
        <v/>
      </c>
      <c r="BV14" s="127" t="str">
        <f t="shared" si="6"/>
        <v/>
      </c>
      <c r="BW14" s="127" t="str">
        <f t="shared" si="6"/>
        <v/>
      </c>
      <c r="BX14" s="127" t="str">
        <f t="shared" si="6"/>
        <v/>
      </c>
      <c r="BY14" s="127" t="str">
        <f t="shared" si="6"/>
        <v/>
      </c>
      <c r="BZ14" s="127" t="str">
        <f t="shared" si="6"/>
        <v/>
      </c>
      <c r="CA14" s="127" t="str">
        <f t="shared" si="6"/>
        <v/>
      </c>
      <c r="CB14" s="127" t="str">
        <f t="shared" si="6"/>
        <v/>
      </c>
      <c r="CC14" s="127" t="str">
        <f t="shared" si="6"/>
        <v/>
      </c>
      <c r="CD14" s="127" t="str">
        <f t="shared" si="6"/>
        <v/>
      </c>
      <c r="CE14" s="127" t="str">
        <f t="shared" si="6"/>
        <v/>
      </c>
    </row>
    <row r="15" spans="1:83" ht="12.6" hidden="1" customHeight="1" x14ac:dyDescent="0.2">
      <c r="A15" s="106">
        <f>SHIPMENTS!A21</f>
        <v>9259</v>
      </c>
      <c r="B15" s="106" t="str">
        <f>SHIPMENTS!B21</f>
        <v>27200-UAE</v>
      </c>
      <c r="C15" s="132">
        <f>SHIPMENTS!F21</f>
        <v>7.0000000000000007E-2</v>
      </c>
      <c r="D15" s="107" t="str">
        <f>IF((SHIPMENTS!I21)=0,"",SHIPMENTS!I21)</f>
        <v>AIR</v>
      </c>
      <c r="E15" s="176">
        <f>IF((SHIPMENTS!G21)=0,"",SHIPMENTS!G21)</f>
        <v>46316</v>
      </c>
      <c r="F15" s="97">
        <f>VLOOKUP(A15,Items!$A$5:$J$1000,9,0)</f>
        <v>0</v>
      </c>
      <c r="G15" s="98">
        <f>VLOOKUP(A15,load!$A$4:$W$5001,23,0)</f>
        <v>0</v>
      </c>
      <c r="H15" s="109">
        <f>Manhours!$C$29+Manhours!$C$30</f>
        <v>10</v>
      </c>
      <c r="I15" s="98">
        <f t="shared" si="0"/>
        <v>91</v>
      </c>
      <c r="J15" s="99">
        <f t="shared" si="7"/>
        <v>0</v>
      </c>
      <c r="K15" s="99">
        <f t="shared" si="1"/>
        <v>0</v>
      </c>
      <c r="L15" s="98">
        <f t="shared" si="8"/>
        <v>0</v>
      </c>
      <c r="M15" s="98">
        <f t="shared" si="9"/>
        <v>0</v>
      </c>
      <c r="N15" s="181">
        <f>IF(G15&gt;0,('MP2-SFP2'!M15+3),'SFP2'!O14)</f>
        <v>46325.119139194139</v>
      </c>
      <c r="O15" s="181">
        <f t="shared" si="11"/>
        <v>46325.119139194139</v>
      </c>
      <c r="P15" s="112" t="str">
        <f>VLOOKUP(A15,SHIPMENTS!$A$7:$N$171,14,0)</f>
        <v>n/a</v>
      </c>
      <c r="Q15" s="101"/>
      <c r="R15" s="127" t="str">
        <f t="shared" si="3"/>
        <v/>
      </c>
      <c r="S15" s="127" t="str">
        <f t="shared" si="3"/>
        <v/>
      </c>
      <c r="T15" s="127" t="str">
        <f t="shared" si="3"/>
        <v>▲</v>
      </c>
      <c r="U15" s="127" t="str">
        <f t="shared" si="3"/>
        <v/>
      </c>
      <c r="V15" s="127" t="str">
        <f t="shared" si="3"/>
        <v/>
      </c>
      <c r="W15" s="127" t="str">
        <f t="shared" si="3"/>
        <v/>
      </c>
      <c r="X15" s="127" t="str">
        <f t="shared" si="3"/>
        <v/>
      </c>
      <c r="Y15" s="127" t="str">
        <f t="shared" si="3"/>
        <v/>
      </c>
      <c r="Z15" s="127" t="str">
        <f t="shared" si="3"/>
        <v/>
      </c>
      <c r="AA15" s="127" t="str">
        <f t="shared" si="3"/>
        <v/>
      </c>
      <c r="AB15" s="127" t="str">
        <f t="shared" si="3"/>
        <v/>
      </c>
      <c r="AC15" s="127" t="str">
        <f t="shared" si="3"/>
        <v/>
      </c>
      <c r="AD15" s="127" t="str">
        <f t="shared" si="3"/>
        <v/>
      </c>
      <c r="AE15" s="127" t="str">
        <f t="shared" si="3"/>
        <v/>
      </c>
      <c r="AF15" s="127" t="str">
        <f t="shared" si="3"/>
        <v/>
      </c>
      <c r="AG15" s="127" t="str">
        <f t="shared" si="3"/>
        <v/>
      </c>
      <c r="AH15" s="127" t="str">
        <f t="shared" si="4"/>
        <v/>
      </c>
      <c r="AI15" s="127" t="str">
        <f t="shared" si="4"/>
        <v/>
      </c>
      <c r="AJ15" s="127" t="str">
        <f t="shared" si="4"/>
        <v/>
      </c>
      <c r="AK15" s="127" t="str">
        <f t="shared" si="4"/>
        <v/>
      </c>
      <c r="AL15" s="127" t="str">
        <f t="shared" si="4"/>
        <v/>
      </c>
      <c r="AM15" s="127" t="str">
        <f t="shared" si="4"/>
        <v/>
      </c>
      <c r="AN15" s="127" t="str">
        <f t="shared" si="4"/>
        <v/>
      </c>
      <c r="AO15" s="127" t="str">
        <f t="shared" si="4"/>
        <v/>
      </c>
      <c r="AP15" s="127" t="str">
        <f t="shared" si="4"/>
        <v/>
      </c>
      <c r="AQ15" s="127" t="str">
        <f t="shared" si="4"/>
        <v/>
      </c>
      <c r="AR15" s="127" t="str">
        <f t="shared" si="4"/>
        <v/>
      </c>
      <c r="AS15" s="127" t="str">
        <f t="shared" si="4"/>
        <v/>
      </c>
      <c r="AT15" s="127" t="str">
        <f t="shared" si="4"/>
        <v/>
      </c>
      <c r="AU15" s="127" t="str">
        <f t="shared" si="4"/>
        <v/>
      </c>
      <c r="AV15" s="127" t="str">
        <f t="shared" si="4"/>
        <v/>
      </c>
      <c r="AW15" s="127" t="str">
        <f t="shared" si="4"/>
        <v/>
      </c>
      <c r="AX15" s="127" t="str">
        <f t="shared" si="4"/>
        <v/>
      </c>
      <c r="AY15" s="127" t="str">
        <f t="shared" si="4"/>
        <v/>
      </c>
      <c r="AZ15" s="127" t="str">
        <f t="shared" si="4"/>
        <v/>
      </c>
      <c r="BA15" s="127" t="str">
        <f t="shared" si="4"/>
        <v/>
      </c>
      <c r="BB15" s="127" t="str">
        <f t="shared" si="4"/>
        <v/>
      </c>
      <c r="BC15" s="127" t="str">
        <f t="shared" si="4"/>
        <v/>
      </c>
      <c r="BD15" s="127" t="str">
        <f t="shared" si="4"/>
        <v/>
      </c>
      <c r="BE15" s="127" t="str">
        <f t="shared" si="4"/>
        <v/>
      </c>
      <c r="BF15" s="127" t="str">
        <f t="shared" si="4"/>
        <v/>
      </c>
      <c r="BG15" s="127" t="str">
        <f t="shared" si="4"/>
        <v/>
      </c>
      <c r="BH15" s="127" t="str">
        <f t="shared" si="5"/>
        <v/>
      </c>
      <c r="BI15" s="127" t="str">
        <f t="shared" si="5"/>
        <v/>
      </c>
      <c r="BJ15" s="127" t="str">
        <f t="shared" si="5"/>
        <v/>
      </c>
      <c r="BK15" s="127" t="str">
        <f t="shared" si="5"/>
        <v/>
      </c>
      <c r="BL15" s="127" t="str">
        <f t="shared" si="5"/>
        <v/>
      </c>
      <c r="BM15" s="127" t="str">
        <f t="shared" si="5"/>
        <v/>
      </c>
      <c r="BN15" s="127" t="str">
        <f t="shared" si="5"/>
        <v/>
      </c>
      <c r="BO15" s="127" t="str">
        <f t="shared" si="5"/>
        <v/>
      </c>
      <c r="BP15" s="127" t="str">
        <f t="shared" si="5"/>
        <v/>
      </c>
      <c r="BQ15" s="127" t="str">
        <f t="shared" si="5"/>
        <v/>
      </c>
      <c r="BR15" s="127" t="str">
        <f t="shared" si="5"/>
        <v/>
      </c>
      <c r="BS15" s="127" t="str">
        <f t="shared" si="5"/>
        <v/>
      </c>
      <c r="BT15" s="127" t="str">
        <f t="shared" si="6"/>
        <v/>
      </c>
      <c r="BU15" s="127" t="str">
        <f t="shared" si="6"/>
        <v/>
      </c>
      <c r="BV15" s="127" t="str">
        <f t="shared" si="6"/>
        <v/>
      </c>
      <c r="BW15" s="127" t="str">
        <f t="shared" si="6"/>
        <v/>
      </c>
      <c r="BX15" s="127" t="str">
        <f t="shared" si="6"/>
        <v/>
      </c>
      <c r="BY15" s="127" t="str">
        <f t="shared" si="6"/>
        <v/>
      </c>
      <c r="BZ15" s="127" t="str">
        <f t="shared" si="6"/>
        <v/>
      </c>
      <c r="CA15" s="127" t="str">
        <f t="shared" si="6"/>
        <v/>
      </c>
      <c r="CB15" s="127" t="str">
        <f t="shared" si="6"/>
        <v/>
      </c>
      <c r="CC15" s="127" t="str">
        <f t="shared" si="6"/>
        <v/>
      </c>
      <c r="CD15" s="127" t="str">
        <f t="shared" si="6"/>
        <v/>
      </c>
      <c r="CE15" s="127" t="str">
        <f t="shared" si="6"/>
        <v/>
      </c>
    </row>
    <row r="16" spans="1:83" ht="12.6" customHeight="1" x14ac:dyDescent="0.2">
      <c r="A16" s="106">
        <f>SHIPMENTS!A22</f>
        <v>8765</v>
      </c>
      <c r="B16" s="106" t="str">
        <f>SHIPMENTS!B22</f>
        <v>8200-AUSTRALIA</v>
      </c>
      <c r="C16" s="132">
        <f>SHIPMENTS!F22</f>
        <v>64.930000000000007</v>
      </c>
      <c r="D16" s="107" t="str">
        <f>IF((SHIPMENTS!I22)=0,"",SHIPMENTS!I22)</f>
        <v>1X40HC</v>
      </c>
      <c r="E16" s="176">
        <f>IF((SHIPMENTS!G22)=0,"",SHIPMENTS!G22)</f>
        <v>46316</v>
      </c>
      <c r="F16" s="97">
        <f>VLOOKUP(A16,Items!$A$5:$J$1000,9,0)</f>
        <v>17</v>
      </c>
      <c r="G16" s="98">
        <f>VLOOKUP(A16,load!$A$4:$W$5001,23,0)</f>
        <v>630.20899999999995</v>
      </c>
      <c r="H16" s="109">
        <f>Manhours!$C$29+Manhours!$C$30</f>
        <v>10</v>
      </c>
      <c r="I16" s="98">
        <f t="shared" si="0"/>
        <v>91</v>
      </c>
      <c r="J16" s="99">
        <f t="shared" si="7"/>
        <v>6.9253736263736254</v>
      </c>
      <c r="K16" s="99">
        <f t="shared" si="1"/>
        <v>63.02089999999999</v>
      </c>
      <c r="L16" s="98">
        <f t="shared" si="8"/>
        <v>6.3505676153846142</v>
      </c>
      <c r="M16" s="98">
        <f t="shared" si="9"/>
        <v>57.790165299999991</v>
      </c>
      <c r="N16" s="181">
        <f>IF(G16&gt;0,('MP2-SFP2'!M16+3),'SFP2'!O15)</f>
        <v>46325.119139194139</v>
      </c>
      <c r="O16" s="181">
        <f t="shared" si="11"/>
        <v>46331.469706809527</v>
      </c>
      <c r="P16" s="112">
        <f>VLOOKUP(A16,SHIPMENTS!$A$7:$N$171,14,0)</f>
        <v>8.3000000000000004E-2</v>
      </c>
      <c r="Q16" s="101"/>
      <c r="R16" s="127" t="str">
        <f t="shared" si="3"/>
        <v/>
      </c>
      <c r="S16" s="127" t="str">
        <f t="shared" si="3"/>
        <v/>
      </c>
      <c r="T16" s="127" t="str">
        <f t="shared" si="3"/>
        <v>▲</v>
      </c>
      <c r="U16" s="127" t="str">
        <f t="shared" si="3"/>
        <v/>
      </c>
      <c r="V16" s="127" t="str">
        <f t="shared" si="3"/>
        <v/>
      </c>
      <c r="W16" s="127" t="str">
        <f t="shared" si="3"/>
        <v/>
      </c>
      <c r="X16" s="127" t="str">
        <f t="shared" si="3"/>
        <v/>
      </c>
      <c r="Y16" s="127" t="str">
        <f t="shared" si="3"/>
        <v/>
      </c>
      <c r="Z16" s="127" t="str">
        <f t="shared" si="3"/>
        <v/>
      </c>
      <c r="AA16" s="127" t="str">
        <f t="shared" si="3"/>
        <v/>
      </c>
      <c r="AB16" s="127" t="str">
        <f t="shared" si="3"/>
        <v/>
      </c>
      <c r="AC16" s="127" t="str">
        <f t="shared" si="3"/>
        <v/>
      </c>
      <c r="AD16" s="127" t="str">
        <f t="shared" si="3"/>
        <v/>
      </c>
      <c r="AE16" s="127" t="str">
        <f t="shared" si="3"/>
        <v/>
      </c>
      <c r="AF16" s="127" t="str">
        <f t="shared" si="3"/>
        <v/>
      </c>
      <c r="AG16" s="127" t="str">
        <f t="shared" si="3"/>
        <v/>
      </c>
      <c r="AH16" s="127" t="str">
        <f t="shared" si="4"/>
        <v/>
      </c>
      <c r="AI16" s="127" t="str">
        <f t="shared" si="4"/>
        <v/>
      </c>
      <c r="AJ16" s="127" t="str">
        <f t="shared" si="4"/>
        <v/>
      </c>
      <c r="AK16" s="127" t="str">
        <f t="shared" si="4"/>
        <v/>
      </c>
      <c r="AL16" s="127" t="str">
        <f t="shared" si="4"/>
        <v/>
      </c>
      <c r="AM16" s="127" t="str">
        <f t="shared" si="4"/>
        <v/>
      </c>
      <c r="AN16" s="127" t="str">
        <f t="shared" si="4"/>
        <v/>
      </c>
      <c r="AO16" s="127" t="str">
        <f t="shared" si="4"/>
        <v/>
      </c>
      <c r="AP16" s="127" t="str">
        <f t="shared" si="4"/>
        <v/>
      </c>
      <c r="AQ16" s="127" t="str">
        <f t="shared" si="4"/>
        <v/>
      </c>
      <c r="AR16" s="127" t="str">
        <f t="shared" si="4"/>
        <v/>
      </c>
      <c r="AS16" s="127" t="str">
        <f t="shared" si="4"/>
        <v/>
      </c>
      <c r="AT16" s="127" t="str">
        <f t="shared" si="4"/>
        <v/>
      </c>
      <c r="AU16" s="127" t="str">
        <f t="shared" si="4"/>
        <v/>
      </c>
      <c r="AV16" s="127" t="str">
        <f t="shared" si="4"/>
        <v/>
      </c>
      <c r="AW16" s="127" t="str">
        <f t="shared" si="4"/>
        <v/>
      </c>
      <c r="AX16" s="127" t="str">
        <f t="shared" si="4"/>
        <v/>
      </c>
      <c r="AY16" s="127" t="str">
        <f t="shared" si="4"/>
        <v/>
      </c>
      <c r="AZ16" s="127" t="str">
        <f t="shared" si="4"/>
        <v/>
      </c>
      <c r="BA16" s="127" t="str">
        <f t="shared" si="4"/>
        <v/>
      </c>
      <c r="BB16" s="127" t="str">
        <f t="shared" si="4"/>
        <v/>
      </c>
      <c r="BC16" s="127" t="str">
        <f t="shared" si="4"/>
        <v/>
      </c>
      <c r="BD16" s="127" t="str">
        <f t="shared" si="4"/>
        <v/>
      </c>
      <c r="BE16" s="127" t="str">
        <f t="shared" si="4"/>
        <v/>
      </c>
      <c r="BF16" s="127" t="str">
        <f t="shared" si="4"/>
        <v/>
      </c>
      <c r="BG16" s="127" t="str">
        <f t="shared" si="4"/>
        <v/>
      </c>
      <c r="BH16" s="127" t="str">
        <f t="shared" si="5"/>
        <v/>
      </c>
      <c r="BI16" s="127" t="str">
        <f t="shared" si="5"/>
        <v/>
      </c>
      <c r="BJ16" s="127" t="str">
        <f t="shared" si="5"/>
        <v/>
      </c>
      <c r="BK16" s="127" t="str">
        <f t="shared" si="5"/>
        <v/>
      </c>
      <c r="BL16" s="127" t="str">
        <f t="shared" si="5"/>
        <v/>
      </c>
      <c r="BM16" s="127" t="str">
        <f t="shared" si="5"/>
        <v/>
      </c>
      <c r="BN16" s="127" t="str">
        <f t="shared" si="5"/>
        <v/>
      </c>
      <c r="BO16" s="127" t="str">
        <f t="shared" si="5"/>
        <v/>
      </c>
      <c r="BP16" s="127" t="str">
        <f t="shared" si="5"/>
        <v/>
      </c>
      <c r="BQ16" s="127" t="str">
        <f t="shared" si="5"/>
        <v/>
      </c>
      <c r="BR16" s="127" t="str">
        <f t="shared" si="5"/>
        <v/>
      </c>
      <c r="BS16" s="127" t="str">
        <f t="shared" si="5"/>
        <v/>
      </c>
      <c r="BT16" s="127" t="str">
        <f t="shared" si="6"/>
        <v/>
      </c>
      <c r="BU16" s="127" t="str">
        <f t="shared" si="6"/>
        <v/>
      </c>
      <c r="BV16" s="127" t="str">
        <f t="shared" si="6"/>
        <v/>
      </c>
      <c r="BW16" s="127" t="str">
        <f t="shared" si="6"/>
        <v/>
      </c>
      <c r="BX16" s="127" t="str">
        <f t="shared" si="6"/>
        <v/>
      </c>
      <c r="BY16" s="127" t="str">
        <f t="shared" si="6"/>
        <v/>
      </c>
      <c r="BZ16" s="127" t="str">
        <f t="shared" si="6"/>
        <v/>
      </c>
      <c r="CA16" s="127" t="str">
        <f t="shared" si="6"/>
        <v/>
      </c>
      <c r="CB16" s="127" t="str">
        <f t="shared" si="6"/>
        <v/>
      </c>
      <c r="CC16" s="127" t="str">
        <f t="shared" si="6"/>
        <v/>
      </c>
      <c r="CD16" s="127" t="str">
        <f t="shared" si="6"/>
        <v/>
      </c>
      <c r="CE16" s="127" t="str">
        <f t="shared" si="6"/>
        <v/>
      </c>
    </row>
    <row r="17" spans="1:83" ht="12.6" customHeight="1" x14ac:dyDescent="0.2">
      <c r="A17" s="106">
        <f>SHIPMENTS!A23</f>
        <v>7919</v>
      </c>
      <c r="B17" s="106" t="str">
        <f>SHIPMENTS!B23</f>
        <v>8200-AUSTRALIA</v>
      </c>
      <c r="C17" s="132">
        <f>SHIPMENTS!F23</f>
        <v>0</v>
      </c>
      <c r="D17" s="107" t="str">
        <f>IF((SHIPMENTS!I23)=0,"",SHIPMENTS!I23)</f>
        <v/>
      </c>
      <c r="E17" s="176" t="str">
        <f>IF((SHIPMENTS!G23)=0,"",SHIPMENTS!G23)</f>
        <v/>
      </c>
      <c r="F17" s="97">
        <f>VLOOKUP(A17,Items!$A$5:$J$1000,9,0)</f>
        <v>0</v>
      </c>
      <c r="G17" s="98">
        <f>VLOOKUP(A17,load!$A$4:$W$5001,23,0)</f>
        <v>0</v>
      </c>
      <c r="H17" s="109">
        <f>Manhours!$C$29+Manhours!$C$30</f>
        <v>10</v>
      </c>
      <c r="I17" s="98">
        <f t="shared" si="0"/>
        <v>91</v>
      </c>
      <c r="J17" s="99">
        <f t="shared" si="7"/>
        <v>0</v>
      </c>
      <c r="K17" s="99">
        <f t="shared" si="1"/>
        <v>0</v>
      </c>
      <c r="L17" s="98">
        <f t="shared" si="8"/>
        <v>0</v>
      </c>
      <c r="M17" s="98">
        <f t="shared" si="9"/>
        <v>0</v>
      </c>
      <c r="N17" s="181">
        <f>IF(G17&gt;0,('MP2-SFP2'!M17+3),'SFP2'!O16)</f>
        <v>46331.469706809527</v>
      </c>
      <c r="O17" s="181">
        <f t="shared" si="11"/>
        <v>46331.469706809527</v>
      </c>
      <c r="P17" s="112">
        <f>VLOOKUP(A17,SHIPMENTS!$A$7:$N$171,14,0)</f>
        <v>1</v>
      </c>
      <c r="Q17" s="101"/>
      <c r="R17" s="127" t="str">
        <f t="shared" si="3"/>
        <v/>
      </c>
      <c r="S17" s="127" t="str">
        <f t="shared" si="3"/>
        <v/>
      </c>
      <c r="T17" s="127" t="str">
        <f t="shared" si="3"/>
        <v/>
      </c>
      <c r="U17" s="127" t="str">
        <f t="shared" si="3"/>
        <v/>
      </c>
      <c r="V17" s="127" t="str">
        <f t="shared" si="3"/>
        <v/>
      </c>
      <c r="W17" s="127" t="str">
        <f t="shared" si="3"/>
        <v/>
      </c>
      <c r="X17" s="127" t="str">
        <f t="shared" si="3"/>
        <v/>
      </c>
      <c r="Y17" s="127" t="str">
        <f t="shared" si="3"/>
        <v/>
      </c>
      <c r="Z17" s="127" t="str">
        <f t="shared" si="3"/>
        <v/>
      </c>
      <c r="AA17" s="127" t="str">
        <f t="shared" si="3"/>
        <v/>
      </c>
      <c r="AB17" s="127" t="str">
        <f t="shared" si="3"/>
        <v/>
      </c>
      <c r="AC17" s="127" t="str">
        <f t="shared" si="3"/>
        <v/>
      </c>
      <c r="AD17" s="127" t="str">
        <f t="shared" si="3"/>
        <v/>
      </c>
      <c r="AE17" s="127" t="str">
        <f t="shared" si="3"/>
        <v/>
      </c>
      <c r="AF17" s="127" t="str">
        <f t="shared" si="3"/>
        <v/>
      </c>
      <c r="AG17" s="127" t="str">
        <f t="shared" si="3"/>
        <v/>
      </c>
      <c r="AH17" s="127" t="str">
        <f t="shared" si="4"/>
        <v/>
      </c>
      <c r="AI17" s="127" t="str">
        <f t="shared" si="4"/>
        <v/>
      </c>
      <c r="AJ17" s="127" t="str">
        <f t="shared" si="4"/>
        <v/>
      </c>
      <c r="AK17" s="127" t="str">
        <f t="shared" si="4"/>
        <v/>
      </c>
      <c r="AL17" s="127" t="str">
        <f t="shared" si="4"/>
        <v/>
      </c>
      <c r="AM17" s="127" t="str">
        <f t="shared" si="4"/>
        <v/>
      </c>
      <c r="AN17" s="127" t="str">
        <f t="shared" si="4"/>
        <v/>
      </c>
      <c r="AO17" s="127" t="str">
        <f t="shared" si="4"/>
        <v/>
      </c>
      <c r="AP17" s="127" t="str">
        <f t="shared" si="4"/>
        <v/>
      </c>
      <c r="AQ17" s="127" t="str">
        <f t="shared" si="4"/>
        <v/>
      </c>
      <c r="AR17" s="127" t="str">
        <f t="shared" si="4"/>
        <v/>
      </c>
      <c r="AS17" s="127" t="str">
        <f t="shared" si="4"/>
        <v/>
      </c>
      <c r="AT17" s="127" t="str">
        <f t="shared" si="4"/>
        <v/>
      </c>
      <c r="AU17" s="127" t="str">
        <f t="shared" si="4"/>
        <v/>
      </c>
      <c r="AV17" s="127" t="str">
        <f t="shared" si="4"/>
        <v/>
      </c>
      <c r="AW17" s="127" t="str">
        <f t="shared" si="4"/>
        <v/>
      </c>
      <c r="AX17" s="127" t="str">
        <f t="shared" si="4"/>
        <v/>
      </c>
      <c r="AY17" s="127" t="str">
        <f t="shared" si="4"/>
        <v/>
      </c>
      <c r="AZ17" s="127" t="str">
        <f t="shared" si="4"/>
        <v/>
      </c>
      <c r="BA17" s="127" t="str">
        <f t="shared" si="4"/>
        <v/>
      </c>
      <c r="BB17" s="127" t="str">
        <f t="shared" si="4"/>
        <v/>
      </c>
      <c r="BC17" s="127" t="str">
        <f t="shared" ref="BC17:CE33" si="12">IF($E17=BC$3,"▲","")</f>
        <v/>
      </c>
      <c r="BD17" s="127" t="str">
        <f t="shared" si="12"/>
        <v/>
      </c>
      <c r="BE17" s="127" t="str">
        <f t="shared" si="12"/>
        <v/>
      </c>
      <c r="BF17" s="127" t="str">
        <f t="shared" si="12"/>
        <v/>
      </c>
      <c r="BG17" s="127" t="str">
        <f t="shared" si="12"/>
        <v/>
      </c>
      <c r="BH17" s="127" t="str">
        <f t="shared" si="5"/>
        <v/>
      </c>
      <c r="BI17" s="127" t="str">
        <f t="shared" si="12"/>
        <v/>
      </c>
      <c r="BJ17" s="127" t="str">
        <f t="shared" si="12"/>
        <v/>
      </c>
      <c r="BK17" s="127" t="str">
        <f t="shared" si="12"/>
        <v/>
      </c>
      <c r="BL17" s="127" t="str">
        <f t="shared" si="12"/>
        <v/>
      </c>
      <c r="BM17" s="127" t="str">
        <f t="shared" si="12"/>
        <v/>
      </c>
      <c r="BN17" s="127" t="str">
        <f t="shared" si="5"/>
        <v/>
      </c>
      <c r="BO17" s="127" t="str">
        <f t="shared" si="12"/>
        <v/>
      </c>
      <c r="BP17" s="127" t="str">
        <f t="shared" si="12"/>
        <v/>
      </c>
      <c r="BQ17" s="127" t="str">
        <f t="shared" si="12"/>
        <v/>
      </c>
      <c r="BR17" s="127" t="str">
        <f t="shared" si="12"/>
        <v/>
      </c>
      <c r="BS17" s="127" t="str">
        <f t="shared" si="12"/>
        <v/>
      </c>
      <c r="BT17" s="127" t="str">
        <f t="shared" si="6"/>
        <v/>
      </c>
      <c r="BU17" s="127" t="str">
        <f t="shared" si="12"/>
        <v/>
      </c>
      <c r="BV17" s="127" t="str">
        <f t="shared" si="12"/>
        <v/>
      </c>
      <c r="BW17" s="127" t="str">
        <f t="shared" si="12"/>
        <v/>
      </c>
      <c r="BX17" s="127" t="str">
        <f t="shared" si="12"/>
        <v/>
      </c>
      <c r="BY17" s="127" t="str">
        <f t="shared" si="12"/>
        <v/>
      </c>
      <c r="BZ17" s="127" t="str">
        <f t="shared" si="6"/>
        <v/>
      </c>
      <c r="CA17" s="127" t="str">
        <f t="shared" si="12"/>
        <v/>
      </c>
      <c r="CB17" s="127" t="str">
        <f t="shared" si="12"/>
        <v/>
      </c>
      <c r="CC17" s="127" t="str">
        <f t="shared" si="12"/>
        <v/>
      </c>
      <c r="CD17" s="127" t="str">
        <f t="shared" si="12"/>
        <v/>
      </c>
      <c r="CE17" s="127" t="str">
        <f t="shared" si="12"/>
        <v/>
      </c>
    </row>
    <row r="18" spans="1:83" ht="12.6" customHeight="1" x14ac:dyDescent="0.2">
      <c r="A18" s="106">
        <f>SHIPMENTS!A24</f>
        <v>9015</v>
      </c>
      <c r="B18" s="106" t="str">
        <f>SHIPMENTS!B24</f>
        <v>15900- Mandaue City | Atty. Brando Raya</v>
      </c>
      <c r="C18" s="132">
        <f>SHIPMENTS!F24</f>
        <v>0.25600000000000001</v>
      </c>
      <c r="D18" s="107" t="str">
        <f>IF((SHIPMENTS!I24)=0,"",SHIPMENTS!I24)</f>
        <v>LCL</v>
      </c>
      <c r="E18" s="176">
        <f>IF((SHIPMENTS!G24)=0,"",SHIPMENTS!G24)</f>
        <v>46323</v>
      </c>
      <c r="F18" s="97">
        <f>VLOOKUP(A18,Items!$A$5:$J$1000,9,0)</f>
        <v>1</v>
      </c>
      <c r="G18" s="98">
        <f>VLOOKUP(A18,load!$A$4:$W$5001,23,0)</f>
        <v>46.75</v>
      </c>
      <c r="H18" s="109">
        <f>Manhours!$C$29+Manhours!$C$30</f>
        <v>10</v>
      </c>
      <c r="I18" s="98">
        <f t="shared" si="0"/>
        <v>91</v>
      </c>
      <c r="J18" s="99">
        <f t="shared" si="7"/>
        <v>0.51373626373626369</v>
      </c>
      <c r="K18" s="99">
        <f t="shared" si="1"/>
        <v>4.6749999999999989</v>
      </c>
      <c r="L18" s="98">
        <f t="shared" si="8"/>
        <v>0.51373626373626369</v>
      </c>
      <c r="M18" s="98">
        <f t="shared" si="9"/>
        <v>4.6749999999999989</v>
      </c>
      <c r="N18" s="181">
        <f>IF(G18&gt;0,('MP2-SFP2'!M18+3),'SFP2'!O17)</f>
        <v>46325.119139194139</v>
      </c>
      <c r="O18" s="181">
        <f t="shared" si="11"/>
        <v>46325.632875457879</v>
      </c>
      <c r="P18" s="112">
        <f>VLOOKUP(A18,SHIPMENTS!$A$7:$N$171,14,0)</f>
        <v>0</v>
      </c>
      <c r="Q18" s="101"/>
      <c r="R18" s="127" t="str">
        <f t="shared" si="3"/>
        <v/>
      </c>
      <c r="S18" s="127" t="str">
        <f t="shared" si="3"/>
        <v/>
      </c>
      <c r="T18" s="127" t="str">
        <f t="shared" si="3"/>
        <v/>
      </c>
      <c r="U18" s="127" t="str">
        <f t="shared" si="3"/>
        <v/>
      </c>
      <c r="V18" s="127" t="str">
        <f t="shared" si="3"/>
        <v/>
      </c>
      <c r="W18" s="127" t="str">
        <f t="shared" si="3"/>
        <v/>
      </c>
      <c r="X18" s="127" t="str">
        <f t="shared" si="3"/>
        <v/>
      </c>
      <c r="Y18" s="127" t="str">
        <f t="shared" si="3"/>
        <v/>
      </c>
      <c r="Z18" s="127" t="str">
        <f t="shared" si="3"/>
        <v>▲</v>
      </c>
      <c r="AA18" s="127" t="str">
        <f t="shared" si="3"/>
        <v/>
      </c>
      <c r="AB18" s="127" t="str">
        <f t="shared" si="3"/>
        <v/>
      </c>
      <c r="AC18" s="127" t="str">
        <f t="shared" si="3"/>
        <v/>
      </c>
      <c r="AD18" s="127" t="str">
        <f t="shared" si="3"/>
        <v/>
      </c>
      <c r="AE18" s="127" t="str">
        <f t="shared" si="3"/>
        <v/>
      </c>
      <c r="AF18" s="127" t="str">
        <f t="shared" si="3"/>
        <v/>
      </c>
      <c r="AG18" s="127" t="str">
        <f t="shared" si="3"/>
        <v/>
      </c>
      <c r="AH18" s="127" t="str">
        <f t="shared" ref="AH18:BR32" si="13">IF($E18=AH$3,"▲","")</f>
        <v/>
      </c>
      <c r="AI18" s="127" t="str">
        <f t="shared" si="13"/>
        <v/>
      </c>
      <c r="AJ18" s="127" t="str">
        <f t="shared" si="13"/>
        <v/>
      </c>
      <c r="AK18" s="127" t="str">
        <f t="shared" si="13"/>
        <v/>
      </c>
      <c r="AL18" s="127" t="str">
        <f t="shared" si="13"/>
        <v/>
      </c>
      <c r="AM18" s="127" t="str">
        <f t="shared" si="13"/>
        <v/>
      </c>
      <c r="AN18" s="127" t="str">
        <f t="shared" si="13"/>
        <v/>
      </c>
      <c r="AO18" s="127" t="str">
        <f t="shared" si="13"/>
        <v/>
      </c>
      <c r="AP18" s="127" t="str">
        <f t="shared" si="13"/>
        <v/>
      </c>
      <c r="AQ18" s="127" t="str">
        <f t="shared" si="13"/>
        <v/>
      </c>
      <c r="AR18" s="127" t="str">
        <f t="shared" si="13"/>
        <v/>
      </c>
      <c r="AS18" s="127" t="str">
        <f t="shared" si="13"/>
        <v/>
      </c>
      <c r="AT18" s="127" t="str">
        <f t="shared" si="13"/>
        <v/>
      </c>
      <c r="AU18" s="127" t="str">
        <f t="shared" si="13"/>
        <v/>
      </c>
      <c r="AV18" s="127" t="str">
        <f t="shared" si="13"/>
        <v/>
      </c>
      <c r="AW18" s="127" t="str">
        <f t="shared" si="13"/>
        <v/>
      </c>
      <c r="AX18" s="127" t="str">
        <f t="shared" si="13"/>
        <v/>
      </c>
      <c r="AY18" s="127" t="str">
        <f t="shared" si="13"/>
        <v/>
      </c>
      <c r="AZ18" s="127" t="str">
        <f t="shared" si="13"/>
        <v/>
      </c>
      <c r="BA18" s="127" t="str">
        <f t="shared" si="13"/>
        <v/>
      </c>
      <c r="BB18" s="127" t="str">
        <f t="shared" si="13"/>
        <v/>
      </c>
      <c r="BC18" s="127" t="str">
        <f t="shared" si="13"/>
        <v/>
      </c>
      <c r="BD18" s="127" t="str">
        <f t="shared" si="13"/>
        <v/>
      </c>
      <c r="BE18" s="127" t="str">
        <f t="shared" si="13"/>
        <v/>
      </c>
      <c r="BF18" s="127" t="str">
        <f t="shared" si="13"/>
        <v/>
      </c>
      <c r="BG18" s="127" t="str">
        <f t="shared" si="12"/>
        <v/>
      </c>
      <c r="BH18" s="127" t="str">
        <f t="shared" si="13"/>
        <v/>
      </c>
      <c r="BI18" s="127" t="str">
        <f t="shared" si="13"/>
        <v/>
      </c>
      <c r="BJ18" s="127" t="str">
        <f t="shared" si="13"/>
        <v/>
      </c>
      <c r="BK18" s="127" t="str">
        <f t="shared" si="13"/>
        <v/>
      </c>
      <c r="BL18" s="127" t="str">
        <f t="shared" si="13"/>
        <v/>
      </c>
      <c r="BM18" s="127" t="str">
        <f t="shared" si="12"/>
        <v/>
      </c>
      <c r="BN18" s="127" t="str">
        <f t="shared" si="13"/>
        <v/>
      </c>
      <c r="BO18" s="127" t="str">
        <f t="shared" si="13"/>
        <v/>
      </c>
      <c r="BP18" s="127" t="str">
        <f t="shared" si="13"/>
        <v/>
      </c>
      <c r="BQ18" s="127" t="str">
        <f t="shared" si="13"/>
        <v/>
      </c>
      <c r="BR18" s="127" t="str">
        <f t="shared" si="13"/>
        <v/>
      </c>
      <c r="BS18" s="127" t="str">
        <f t="shared" si="12"/>
        <v/>
      </c>
      <c r="BT18" s="127" t="str">
        <f t="shared" si="6"/>
        <v/>
      </c>
      <c r="BU18" s="127" t="str">
        <f t="shared" si="6"/>
        <v/>
      </c>
      <c r="BV18" s="127" t="str">
        <f t="shared" si="6"/>
        <v/>
      </c>
      <c r="BW18" s="127" t="str">
        <f t="shared" si="6"/>
        <v/>
      </c>
      <c r="BX18" s="127" t="str">
        <f t="shared" si="6"/>
        <v/>
      </c>
      <c r="BY18" s="127" t="str">
        <f t="shared" si="12"/>
        <v/>
      </c>
      <c r="BZ18" s="127" t="str">
        <f t="shared" si="6"/>
        <v/>
      </c>
      <c r="CA18" s="127" t="str">
        <f t="shared" si="6"/>
        <v/>
      </c>
      <c r="CB18" s="127" t="str">
        <f t="shared" si="6"/>
        <v/>
      </c>
      <c r="CC18" s="127" t="str">
        <f t="shared" si="6"/>
        <v/>
      </c>
      <c r="CD18" s="127" t="str">
        <f t="shared" si="6"/>
        <v/>
      </c>
      <c r="CE18" s="127" t="str">
        <f t="shared" si="12"/>
        <v/>
      </c>
    </row>
    <row r="19" spans="1:83" ht="12.6" customHeight="1" x14ac:dyDescent="0.2">
      <c r="A19" s="106">
        <f>SHIPMENTS!A25</f>
        <v>9063</v>
      </c>
      <c r="B19" s="106" t="str">
        <f>SHIPMENTS!B25</f>
        <v>15900- Borongan City | Kookie Lim Uy / 3K Salon And Spa</v>
      </c>
      <c r="C19" s="132">
        <f>SHIPMENTS!F25</f>
        <v>0.12</v>
      </c>
      <c r="D19" s="107" t="str">
        <f>IF((SHIPMENTS!I25)=0,"",SHIPMENTS!I25)</f>
        <v/>
      </c>
      <c r="E19" s="176">
        <f>IF((SHIPMENTS!G25)=0,"",SHIPMENTS!G25)</f>
        <v>46323</v>
      </c>
      <c r="F19" s="97">
        <f>VLOOKUP(A19,Items!$A$5:$J$1000,9,0)</f>
        <v>1</v>
      </c>
      <c r="G19" s="98">
        <f>VLOOKUP(A19,load!$A$4:$W$5001,23,0)</f>
        <v>29.749999999999993</v>
      </c>
      <c r="H19" s="109">
        <f>Manhours!$C$29+Manhours!$C$30</f>
        <v>10</v>
      </c>
      <c r="I19" s="98">
        <f t="shared" si="0"/>
        <v>91</v>
      </c>
      <c r="J19" s="99">
        <f t="shared" si="7"/>
        <v>0.32692307692307687</v>
      </c>
      <c r="K19" s="99">
        <f t="shared" si="1"/>
        <v>2.9749999999999992</v>
      </c>
      <c r="L19" s="98">
        <f t="shared" si="8"/>
        <v>0.32692307692307687</v>
      </c>
      <c r="M19" s="98">
        <f t="shared" si="9"/>
        <v>2.9749999999999992</v>
      </c>
      <c r="N19" s="181">
        <f>IF(G19&gt;0,('MP2-SFP2'!M19+3),'SFP2'!O18)</f>
        <v>46325.475739363203</v>
      </c>
      <c r="O19" s="181">
        <f t="shared" si="11"/>
        <v>46325.802662440125</v>
      </c>
      <c r="P19" s="112">
        <f>VLOOKUP(A19,SHIPMENTS!$A$7:$N$171,14,0)</f>
        <v>0</v>
      </c>
      <c r="Q19" s="101"/>
      <c r="R19" s="127" t="str">
        <f t="shared" si="3"/>
        <v/>
      </c>
      <c r="S19" s="127" t="str">
        <f t="shared" si="3"/>
        <v/>
      </c>
      <c r="T19" s="127" t="str">
        <f t="shared" si="3"/>
        <v/>
      </c>
      <c r="U19" s="127" t="str">
        <f t="shared" si="3"/>
        <v/>
      </c>
      <c r="V19" s="127" t="str">
        <f t="shared" si="3"/>
        <v/>
      </c>
      <c r="W19" s="127" t="str">
        <f t="shared" si="3"/>
        <v/>
      </c>
      <c r="X19" s="127" t="str">
        <f t="shared" si="3"/>
        <v/>
      </c>
      <c r="Y19" s="127" t="str">
        <f t="shared" si="3"/>
        <v/>
      </c>
      <c r="Z19" s="127" t="str">
        <f t="shared" si="3"/>
        <v>▲</v>
      </c>
      <c r="AA19" s="127" t="str">
        <f t="shared" si="3"/>
        <v/>
      </c>
      <c r="AB19" s="127" t="str">
        <f t="shared" si="3"/>
        <v/>
      </c>
      <c r="AC19" s="127" t="str">
        <f t="shared" si="3"/>
        <v/>
      </c>
      <c r="AD19" s="127" t="str">
        <f t="shared" si="3"/>
        <v/>
      </c>
      <c r="AE19" s="127" t="str">
        <f t="shared" si="3"/>
        <v/>
      </c>
      <c r="AF19" s="127" t="str">
        <f t="shared" si="3"/>
        <v/>
      </c>
      <c r="AG19" s="127" t="str">
        <f t="shared" si="3"/>
        <v/>
      </c>
      <c r="AH19" s="127" t="str">
        <f t="shared" si="13"/>
        <v/>
      </c>
      <c r="AI19" s="127" t="str">
        <f t="shared" si="13"/>
        <v/>
      </c>
      <c r="AJ19" s="127" t="str">
        <f t="shared" si="13"/>
        <v/>
      </c>
      <c r="AK19" s="127" t="str">
        <f t="shared" si="13"/>
        <v/>
      </c>
      <c r="AL19" s="127" t="str">
        <f t="shared" si="13"/>
        <v/>
      </c>
      <c r="AM19" s="127" t="str">
        <f t="shared" si="13"/>
        <v/>
      </c>
      <c r="AN19" s="127" t="str">
        <f t="shared" si="13"/>
        <v/>
      </c>
      <c r="AO19" s="127" t="str">
        <f t="shared" si="13"/>
        <v/>
      </c>
      <c r="AP19" s="127" t="str">
        <f t="shared" si="13"/>
        <v/>
      </c>
      <c r="AQ19" s="127" t="str">
        <f t="shared" si="13"/>
        <v/>
      </c>
      <c r="AR19" s="127" t="str">
        <f t="shared" si="13"/>
        <v/>
      </c>
      <c r="AS19" s="127" t="str">
        <f t="shared" si="13"/>
        <v/>
      </c>
      <c r="AT19" s="127" t="str">
        <f t="shared" si="13"/>
        <v/>
      </c>
      <c r="AU19" s="127" t="str">
        <f t="shared" si="13"/>
        <v/>
      </c>
      <c r="AV19" s="127" t="str">
        <f t="shared" si="13"/>
        <v/>
      </c>
      <c r="AW19" s="127" t="str">
        <f t="shared" si="13"/>
        <v/>
      </c>
      <c r="AX19" s="127" t="str">
        <f t="shared" si="13"/>
        <v/>
      </c>
      <c r="AY19" s="127" t="str">
        <f t="shared" si="13"/>
        <v/>
      </c>
      <c r="AZ19" s="127" t="str">
        <f t="shared" si="13"/>
        <v/>
      </c>
      <c r="BA19" s="127" t="str">
        <f t="shared" si="13"/>
        <v/>
      </c>
      <c r="BB19" s="127" t="str">
        <f t="shared" si="13"/>
        <v/>
      </c>
      <c r="BC19" s="127" t="str">
        <f t="shared" si="13"/>
        <v/>
      </c>
      <c r="BD19" s="127" t="str">
        <f t="shared" si="13"/>
        <v/>
      </c>
      <c r="BE19" s="127" t="str">
        <f t="shared" si="13"/>
        <v/>
      </c>
      <c r="BF19" s="127" t="str">
        <f t="shared" si="13"/>
        <v/>
      </c>
      <c r="BG19" s="127" t="str">
        <f t="shared" si="12"/>
        <v/>
      </c>
      <c r="BH19" s="127" t="str">
        <f t="shared" si="13"/>
        <v/>
      </c>
      <c r="BI19" s="127" t="str">
        <f t="shared" si="13"/>
        <v/>
      </c>
      <c r="BJ19" s="127" t="str">
        <f t="shared" si="13"/>
        <v/>
      </c>
      <c r="BK19" s="127" t="str">
        <f t="shared" si="13"/>
        <v/>
      </c>
      <c r="BL19" s="127" t="str">
        <f t="shared" si="13"/>
        <v/>
      </c>
      <c r="BM19" s="127" t="str">
        <f t="shared" si="12"/>
        <v/>
      </c>
      <c r="BN19" s="127" t="str">
        <f t="shared" si="13"/>
        <v/>
      </c>
      <c r="BO19" s="127" t="str">
        <f t="shared" si="13"/>
        <v/>
      </c>
      <c r="BP19" s="127" t="str">
        <f t="shared" si="13"/>
        <v/>
      </c>
      <c r="BQ19" s="127" t="str">
        <f t="shared" si="13"/>
        <v/>
      </c>
      <c r="BR19" s="127" t="str">
        <f t="shared" si="13"/>
        <v/>
      </c>
      <c r="BS19" s="127" t="str">
        <f t="shared" si="12"/>
        <v/>
      </c>
      <c r="BT19" s="127" t="str">
        <f t="shared" si="6"/>
        <v/>
      </c>
      <c r="BU19" s="127" t="str">
        <f t="shared" si="6"/>
        <v/>
      </c>
      <c r="BV19" s="127" t="str">
        <f t="shared" si="6"/>
        <v/>
      </c>
      <c r="BW19" s="127" t="str">
        <f t="shared" si="6"/>
        <v/>
      </c>
      <c r="BX19" s="127" t="str">
        <f t="shared" si="6"/>
        <v/>
      </c>
      <c r="BY19" s="127" t="str">
        <f t="shared" si="12"/>
        <v/>
      </c>
      <c r="BZ19" s="127" t="str">
        <f t="shared" si="6"/>
        <v/>
      </c>
      <c r="CA19" s="127" t="str">
        <f t="shared" si="6"/>
        <v/>
      </c>
      <c r="CB19" s="127" t="str">
        <f t="shared" si="6"/>
        <v/>
      </c>
      <c r="CC19" s="127" t="str">
        <f t="shared" si="6"/>
        <v/>
      </c>
      <c r="CD19" s="127" t="str">
        <f t="shared" si="6"/>
        <v/>
      </c>
      <c r="CE19" s="127" t="str">
        <f t="shared" si="12"/>
        <v/>
      </c>
    </row>
    <row r="20" spans="1:83" ht="12.6" customHeight="1" x14ac:dyDescent="0.2">
      <c r="A20" s="106">
        <f>SHIPMENTS!A26</f>
        <v>9131</v>
      </c>
      <c r="B20" s="106" t="str">
        <f>SHIPMENTS!B26</f>
        <v>15900- Cagayan De Oro |Kevin Anthony Pilapil Lagumbay</v>
      </c>
      <c r="C20" s="132">
        <f>SHIPMENTS!F26</f>
        <v>0.12</v>
      </c>
      <c r="D20" s="107" t="str">
        <f>IF((SHIPMENTS!I26)=0,"",SHIPMENTS!I26)</f>
        <v/>
      </c>
      <c r="E20" s="176">
        <f>IF((SHIPMENTS!G26)=0,"",SHIPMENTS!G26)</f>
        <v>46323</v>
      </c>
      <c r="F20" s="97">
        <f>VLOOKUP(A20,Items!$A$5:$J$1000,9,0)</f>
        <v>1</v>
      </c>
      <c r="G20" s="98">
        <f>VLOOKUP(A20,load!$A$4:$W$5001,23,0)</f>
        <v>31.875</v>
      </c>
      <c r="H20" s="109">
        <f>Manhours!$C$29+Manhours!$C$30</f>
        <v>10</v>
      </c>
      <c r="I20" s="98">
        <f t="shared" si="0"/>
        <v>91</v>
      </c>
      <c r="J20" s="99">
        <f t="shared" si="7"/>
        <v>0.35027472527472525</v>
      </c>
      <c r="K20" s="99">
        <f t="shared" si="1"/>
        <v>3.1874999999999996</v>
      </c>
      <c r="L20" s="98">
        <f t="shared" si="8"/>
        <v>0.35027472527472525</v>
      </c>
      <c r="M20" s="98">
        <f t="shared" si="9"/>
        <v>3.1874999999999996</v>
      </c>
      <c r="N20" s="181">
        <f>IF(G20&gt;0,('MP2-SFP2'!M20+3),'SFP2'!O19)</f>
        <v>46325.703280360663</v>
      </c>
      <c r="O20" s="181">
        <f t="shared" si="11"/>
        <v>46326.053555085935</v>
      </c>
      <c r="P20" s="112">
        <f>VLOOKUP(A20,SHIPMENTS!$A$7:$N$171,14,0)</f>
        <v>0</v>
      </c>
      <c r="Q20" s="101"/>
      <c r="R20" s="127" t="str">
        <f t="shared" si="3"/>
        <v/>
      </c>
      <c r="S20" s="127" t="str">
        <f t="shared" si="3"/>
        <v/>
      </c>
      <c r="T20" s="127" t="str">
        <f t="shared" si="3"/>
        <v/>
      </c>
      <c r="U20" s="127" t="str">
        <f t="shared" si="3"/>
        <v/>
      </c>
      <c r="V20" s="127" t="str">
        <f t="shared" si="3"/>
        <v/>
      </c>
      <c r="W20" s="127" t="str">
        <f t="shared" si="3"/>
        <v/>
      </c>
      <c r="X20" s="127" t="str">
        <f t="shared" si="3"/>
        <v/>
      </c>
      <c r="Y20" s="127" t="str">
        <f t="shared" si="3"/>
        <v/>
      </c>
      <c r="Z20" s="127" t="str">
        <f t="shared" si="3"/>
        <v>▲</v>
      </c>
      <c r="AA20" s="127" t="str">
        <f t="shared" si="3"/>
        <v/>
      </c>
      <c r="AB20" s="127" t="str">
        <f t="shared" si="3"/>
        <v/>
      </c>
      <c r="AC20" s="127" t="str">
        <f t="shared" si="3"/>
        <v/>
      </c>
      <c r="AD20" s="127" t="str">
        <f t="shared" si="3"/>
        <v/>
      </c>
      <c r="AE20" s="127" t="str">
        <f t="shared" si="3"/>
        <v/>
      </c>
      <c r="AF20" s="127" t="str">
        <f t="shared" si="3"/>
        <v/>
      </c>
      <c r="AG20" s="127" t="str">
        <f t="shared" si="3"/>
        <v/>
      </c>
      <c r="AH20" s="127" t="str">
        <f t="shared" si="13"/>
        <v/>
      </c>
      <c r="AI20" s="127" t="str">
        <f t="shared" si="13"/>
        <v/>
      </c>
      <c r="AJ20" s="127" t="str">
        <f t="shared" si="13"/>
        <v/>
      </c>
      <c r="AK20" s="127" t="str">
        <f t="shared" si="13"/>
        <v/>
      </c>
      <c r="AL20" s="127" t="str">
        <f t="shared" si="13"/>
        <v/>
      </c>
      <c r="AM20" s="127" t="str">
        <f t="shared" si="13"/>
        <v/>
      </c>
      <c r="AN20" s="127" t="str">
        <f t="shared" si="13"/>
        <v/>
      </c>
      <c r="AO20" s="127" t="str">
        <f t="shared" si="13"/>
        <v/>
      </c>
      <c r="AP20" s="127" t="str">
        <f t="shared" si="13"/>
        <v/>
      </c>
      <c r="AQ20" s="127" t="str">
        <f t="shared" si="13"/>
        <v/>
      </c>
      <c r="AR20" s="127" t="str">
        <f t="shared" si="13"/>
        <v/>
      </c>
      <c r="AS20" s="127" t="str">
        <f t="shared" si="13"/>
        <v/>
      </c>
      <c r="AT20" s="127" t="str">
        <f t="shared" si="13"/>
        <v/>
      </c>
      <c r="AU20" s="127" t="str">
        <f t="shared" si="13"/>
        <v/>
      </c>
      <c r="AV20" s="127" t="str">
        <f t="shared" si="13"/>
        <v/>
      </c>
      <c r="AW20" s="127" t="str">
        <f t="shared" si="13"/>
        <v/>
      </c>
      <c r="AX20" s="127" t="str">
        <f t="shared" si="13"/>
        <v/>
      </c>
      <c r="AY20" s="127" t="str">
        <f t="shared" si="13"/>
        <v/>
      </c>
      <c r="AZ20" s="127" t="str">
        <f t="shared" si="13"/>
        <v/>
      </c>
      <c r="BA20" s="127" t="str">
        <f t="shared" si="13"/>
        <v/>
      </c>
      <c r="BB20" s="127" t="str">
        <f t="shared" si="13"/>
        <v/>
      </c>
      <c r="BC20" s="127" t="str">
        <f t="shared" si="13"/>
        <v/>
      </c>
      <c r="BD20" s="127" t="str">
        <f t="shared" si="13"/>
        <v/>
      </c>
      <c r="BE20" s="127" t="str">
        <f t="shared" si="13"/>
        <v/>
      </c>
      <c r="BF20" s="127" t="str">
        <f t="shared" si="13"/>
        <v/>
      </c>
      <c r="BG20" s="127" t="str">
        <f t="shared" si="12"/>
        <v/>
      </c>
      <c r="BH20" s="127" t="str">
        <f t="shared" si="13"/>
        <v/>
      </c>
      <c r="BI20" s="127" t="str">
        <f t="shared" si="13"/>
        <v/>
      </c>
      <c r="BJ20" s="127" t="str">
        <f t="shared" si="13"/>
        <v/>
      </c>
      <c r="BK20" s="127" t="str">
        <f t="shared" si="13"/>
        <v/>
      </c>
      <c r="BL20" s="127" t="str">
        <f t="shared" si="13"/>
        <v/>
      </c>
      <c r="BM20" s="127" t="str">
        <f t="shared" si="12"/>
        <v/>
      </c>
      <c r="BN20" s="127" t="str">
        <f t="shared" si="13"/>
        <v/>
      </c>
      <c r="BO20" s="127" t="str">
        <f t="shared" si="13"/>
        <v/>
      </c>
      <c r="BP20" s="127" t="str">
        <f t="shared" si="13"/>
        <v/>
      </c>
      <c r="BQ20" s="127" t="str">
        <f t="shared" si="13"/>
        <v/>
      </c>
      <c r="BR20" s="127" t="str">
        <f t="shared" si="13"/>
        <v/>
      </c>
      <c r="BS20" s="127" t="str">
        <f t="shared" si="12"/>
        <v/>
      </c>
      <c r="BT20" s="127" t="str">
        <f t="shared" si="6"/>
        <v/>
      </c>
      <c r="BU20" s="127" t="str">
        <f t="shared" si="6"/>
        <v/>
      </c>
      <c r="BV20" s="127" t="str">
        <f t="shared" si="6"/>
        <v/>
      </c>
      <c r="BW20" s="127" t="str">
        <f t="shared" si="6"/>
        <v/>
      </c>
      <c r="BX20" s="127" t="str">
        <f t="shared" si="6"/>
        <v/>
      </c>
      <c r="BY20" s="127" t="str">
        <f t="shared" si="12"/>
        <v/>
      </c>
      <c r="BZ20" s="127" t="str">
        <f t="shared" si="6"/>
        <v/>
      </c>
      <c r="CA20" s="127" t="str">
        <f t="shared" si="6"/>
        <v/>
      </c>
      <c r="CB20" s="127" t="str">
        <f t="shared" si="6"/>
        <v/>
      </c>
      <c r="CC20" s="127" t="str">
        <f t="shared" si="6"/>
        <v/>
      </c>
      <c r="CD20" s="127" t="str">
        <f t="shared" si="6"/>
        <v/>
      </c>
      <c r="CE20" s="127" t="str">
        <f t="shared" si="12"/>
        <v/>
      </c>
    </row>
    <row r="21" spans="1:83" ht="12.6" customHeight="1" x14ac:dyDescent="0.2">
      <c r="A21" s="106">
        <f>SHIPMENTS!A27</f>
        <v>9228</v>
      </c>
      <c r="B21" s="106" t="str">
        <f>SHIPMENTS!B27</f>
        <v>15900- Cebu City |Stephanie Sarmiento</v>
      </c>
      <c r="C21" s="132">
        <f>SHIPMENTS!F27</f>
        <v>0.16</v>
      </c>
      <c r="D21" s="107" t="str">
        <f>IF((SHIPMENTS!I27)=0,"",SHIPMENTS!I27)</f>
        <v/>
      </c>
      <c r="E21" s="176">
        <f>IF((SHIPMENTS!G27)=0,"",SHIPMENTS!G27)</f>
        <v>46323</v>
      </c>
      <c r="F21" s="97">
        <f>VLOOKUP(A21,Items!$A$5:$J$1000,9,0)</f>
        <v>1</v>
      </c>
      <c r="G21" s="98">
        <f>VLOOKUP(A21,load!$A$4:$W$5001,23,0)</f>
        <v>29.749999999999993</v>
      </c>
      <c r="H21" s="109">
        <f>Manhours!$C$29+Manhours!$C$30</f>
        <v>10</v>
      </c>
      <c r="I21" s="98">
        <f t="shared" si="0"/>
        <v>91</v>
      </c>
      <c r="J21" s="99">
        <f t="shared" si="7"/>
        <v>0.32692307692307687</v>
      </c>
      <c r="K21" s="99">
        <f t="shared" si="1"/>
        <v>2.9749999999999992</v>
      </c>
      <c r="L21" s="98">
        <f t="shared" si="8"/>
        <v>0.32692307692307687</v>
      </c>
      <c r="M21" s="98">
        <f t="shared" si="9"/>
        <v>2.9749999999999992</v>
      </c>
      <c r="N21" s="181">
        <f>IF(G21&gt;0,('MP2-SFP2'!M21+3),'SFP2'!O20)</f>
        <v>46325.946714849255</v>
      </c>
      <c r="O21" s="181">
        <f t="shared" si="11"/>
        <v>46326.273637926177</v>
      </c>
      <c r="P21" s="112">
        <f>VLOOKUP(A21,SHIPMENTS!$A$7:$N$171,14,0)</f>
        <v>0</v>
      </c>
      <c r="Q21" s="101"/>
      <c r="R21" s="127" t="str">
        <f t="shared" si="3"/>
        <v/>
      </c>
      <c r="S21" s="127" t="str">
        <f t="shared" si="3"/>
        <v/>
      </c>
      <c r="T21" s="127" t="str">
        <f t="shared" si="3"/>
        <v/>
      </c>
      <c r="U21" s="127" t="str">
        <f t="shared" si="3"/>
        <v/>
      </c>
      <c r="V21" s="127" t="str">
        <f t="shared" si="3"/>
        <v/>
      </c>
      <c r="W21" s="127" t="str">
        <f t="shared" si="3"/>
        <v/>
      </c>
      <c r="X21" s="127" t="str">
        <f t="shared" si="3"/>
        <v/>
      </c>
      <c r="Y21" s="127" t="str">
        <f t="shared" si="3"/>
        <v/>
      </c>
      <c r="Z21" s="127" t="str">
        <f t="shared" si="3"/>
        <v>▲</v>
      </c>
      <c r="AA21" s="127" t="str">
        <f t="shared" si="3"/>
        <v/>
      </c>
      <c r="AB21" s="127" t="str">
        <f t="shared" si="3"/>
        <v/>
      </c>
      <c r="AC21" s="127" t="str">
        <f t="shared" si="3"/>
        <v/>
      </c>
      <c r="AD21" s="127" t="str">
        <f t="shared" si="3"/>
        <v/>
      </c>
      <c r="AE21" s="127" t="str">
        <f t="shared" si="3"/>
        <v/>
      </c>
      <c r="AF21" s="127" t="str">
        <f t="shared" si="3"/>
        <v/>
      </c>
      <c r="AG21" s="127" t="str">
        <f t="shared" si="3"/>
        <v/>
      </c>
      <c r="AH21" s="127" t="str">
        <f t="shared" si="13"/>
        <v/>
      </c>
      <c r="AI21" s="127" t="str">
        <f t="shared" si="13"/>
        <v/>
      </c>
      <c r="AJ21" s="127" t="str">
        <f t="shared" si="13"/>
        <v/>
      </c>
      <c r="AK21" s="127" t="str">
        <f t="shared" si="13"/>
        <v/>
      </c>
      <c r="AL21" s="127" t="str">
        <f t="shared" si="13"/>
        <v/>
      </c>
      <c r="AM21" s="127" t="str">
        <f t="shared" si="13"/>
        <v/>
      </c>
      <c r="AN21" s="127" t="str">
        <f t="shared" si="13"/>
        <v/>
      </c>
      <c r="AO21" s="127" t="str">
        <f t="shared" si="13"/>
        <v/>
      </c>
      <c r="AP21" s="127" t="str">
        <f t="shared" si="13"/>
        <v/>
      </c>
      <c r="AQ21" s="127" t="str">
        <f t="shared" si="13"/>
        <v/>
      </c>
      <c r="AR21" s="127" t="str">
        <f t="shared" si="13"/>
        <v/>
      </c>
      <c r="AS21" s="127" t="str">
        <f t="shared" si="13"/>
        <v/>
      </c>
      <c r="AT21" s="127" t="str">
        <f t="shared" si="13"/>
        <v/>
      </c>
      <c r="AU21" s="127" t="str">
        <f t="shared" si="13"/>
        <v/>
      </c>
      <c r="AV21" s="127" t="str">
        <f t="shared" si="13"/>
        <v/>
      </c>
      <c r="AW21" s="127" t="str">
        <f t="shared" si="13"/>
        <v/>
      </c>
      <c r="AX21" s="127" t="str">
        <f t="shared" si="13"/>
        <v/>
      </c>
      <c r="AY21" s="127" t="str">
        <f t="shared" si="13"/>
        <v/>
      </c>
      <c r="AZ21" s="127" t="str">
        <f t="shared" si="13"/>
        <v/>
      </c>
      <c r="BA21" s="127" t="str">
        <f t="shared" si="13"/>
        <v/>
      </c>
      <c r="BB21" s="127" t="str">
        <f t="shared" si="13"/>
        <v/>
      </c>
      <c r="BC21" s="127" t="str">
        <f t="shared" si="13"/>
        <v/>
      </c>
      <c r="BD21" s="127" t="str">
        <f t="shared" si="13"/>
        <v/>
      </c>
      <c r="BE21" s="127" t="str">
        <f t="shared" si="13"/>
        <v/>
      </c>
      <c r="BF21" s="127" t="str">
        <f t="shared" si="13"/>
        <v/>
      </c>
      <c r="BG21" s="127" t="str">
        <f t="shared" si="12"/>
        <v/>
      </c>
      <c r="BH21" s="127" t="str">
        <f t="shared" si="13"/>
        <v/>
      </c>
      <c r="BI21" s="127" t="str">
        <f t="shared" si="13"/>
        <v/>
      </c>
      <c r="BJ21" s="127" t="str">
        <f t="shared" si="13"/>
        <v/>
      </c>
      <c r="BK21" s="127" t="str">
        <f t="shared" si="13"/>
        <v/>
      </c>
      <c r="BL21" s="127" t="str">
        <f t="shared" si="13"/>
        <v/>
      </c>
      <c r="BM21" s="127" t="str">
        <f t="shared" si="12"/>
        <v/>
      </c>
      <c r="BN21" s="127" t="str">
        <f t="shared" si="13"/>
        <v/>
      </c>
      <c r="BO21" s="127" t="str">
        <f t="shared" si="13"/>
        <v/>
      </c>
      <c r="BP21" s="127" t="str">
        <f t="shared" si="13"/>
        <v/>
      </c>
      <c r="BQ21" s="127" t="str">
        <f t="shared" si="13"/>
        <v/>
      </c>
      <c r="BR21" s="127" t="str">
        <f t="shared" si="13"/>
        <v/>
      </c>
      <c r="BS21" s="127" t="str">
        <f t="shared" si="12"/>
        <v/>
      </c>
      <c r="BT21" s="127" t="str">
        <f t="shared" si="6"/>
        <v/>
      </c>
      <c r="BU21" s="127" t="str">
        <f t="shared" si="6"/>
        <v/>
      </c>
      <c r="BV21" s="127" t="str">
        <f t="shared" si="6"/>
        <v/>
      </c>
      <c r="BW21" s="127" t="str">
        <f t="shared" si="6"/>
        <v/>
      </c>
      <c r="BX21" s="127" t="str">
        <f t="shared" si="6"/>
        <v/>
      </c>
      <c r="BY21" s="127" t="str">
        <f t="shared" si="12"/>
        <v/>
      </c>
      <c r="BZ21" s="127" t="str">
        <f t="shared" si="6"/>
        <v/>
      </c>
      <c r="CA21" s="127" t="str">
        <f t="shared" si="6"/>
        <v/>
      </c>
      <c r="CB21" s="127" t="str">
        <f t="shared" si="6"/>
        <v/>
      </c>
      <c r="CC21" s="127" t="str">
        <f t="shared" si="6"/>
        <v/>
      </c>
      <c r="CD21" s="127" t="str">
        <f t="shared" si="6"/>
        <v/>
      </c>
      <c r="CE21" s="127" t="str">
        <f t="shared" si="12"/>
        <v/>
      </c>
    </row>
    <row r="22" spans="1:83" ht="12.6" customHeight="1" x14ac:dyDescent="0.2">
      <c r="A22" s="106">
        <f>SHIPMENTS!A28</f>
        <v>9279</v>
      </c>
      <c r="B22" s="106" t="str">
        <f>SHIPMENTS!B28</f>
        <v>15900- Iloilo |Rocky Go</v>
      </c>
      <c r="C22" s="132">
        <f>SHIPMENTS!F28</f>
        <v>0.34820000000000001</v>
      </c>
      <c r="D22" s="107" t="str">
        <f>IF((SHIPMENTS!I28)=0,"",SHIPMENTS!I28)</f>
        <v/>
      </c>
      <c r="E22" s="176">
        <f>IF((SHIPMENTS!G28)=0,"",SHIPMENTS!G28)</f>
        <v>46323</v>
      </c>
      <c r="F22" s="97">
        <f>VLOOKUP(A22,Items!$A$5:$J$1000,9,0)</f>
        <v>1</v>
      </c>
      <c r="G22" s="98">
        <f>VLOOKUP(A22,load!$A$4:$W$5001,23,0)</f>
        <v>31.875</v>
      </c>
      <c r="H22" s="109">
        <f>Manhours!$C$29+Manhours!$C$30</f>
        <v>10</v>
      </c>
      <c r="I22" s="98">
        <f t="shared" si="0"/>
        <v>91</v>
      </c>
      <c r="J22" s="99">
        <f t="shared" si="7"/>
        <v>0.35027472527472525</v>
      </c>
      <c r="K22" s="99">
        <f t="shared" si="1"/>
        <v>3.1874999999999996</v>
      </c>
      <c r="L22" s="98">
        <f t="shared" si="8"/>
        <v>0.35027472527472525</v>
      </c>
      <c r="M22" s="98">
        <f t="shared" si="9"/>
        <v>3.1874999999999996</v>
      </c>
      <c r="N22" s="181">
        <f>IF(G22&gt;0,('MP2-SFP2'!M22+3),'SFP2'!O21)</f>
        <v>46326.174255846716</v>
      </c>
      <c r="O22" s="181">
        <f t="shared" si="11"/>
        <v>46326.524530571987</v>
      </c>
      <c r="P22" s="112">
        <f>VLOOKUP(A22,SHIPMENTS!$A$7:$N$171,14,0)</f>
        <v>0</v>
      </c>
      <c r="Q22" s="101"/>
      <c r="R22" s="127" t="str">
        <f t="shared" si="3"/>
        <v/>
      </c>
      <c r="S22" s="127" t="str">
        <f t="shared" si="3"/>
        <v/>
      </c>
      <c r="T22" s="127" t="str">
        <f t="shared" si="3"/>
        <v/>
      </c>
      <c r="U22" s="127" t="str">
        <f t="shared" si="3"/>
        <v/>
      </c>
      <c r="V22" s="127" t="str">
        <f t="shared" si="3"/>
        <v/>
      </c>
      <c r="W22" s="127" t="str">
        <f t="shared" si="3"/>
        <v/>
      </c>
      <c r="X22" s="127" t="str">
        <f t="shared" si="3"/>
        <v/>
      </c>
      <c r="Y22" s="127" t="str">
        <f t="shared" si="3"/>
        <v/>
      </c>
      <c r="Z22" s="127" t="str">
        <f t="shared" si="3"/>
        <v>▲</v>
      </c>
      <c r="AA22" s="127" t="str">
        <f t="shared" si="3"/>
        <v/>
      </c>
      <c r="AB22" s="127" t="str">
        <f t="shared" si="3"/>
        <v/>
      </c>
      <c r="AC22" s="127" t="str">
        <f t="shared" si="3"/>
        <v/>
      </c>
      <c r="AD22" s="127" t="str">
        <f t="shared" si="3"/>
        <v/>
      </c>
      <c r="AE22" s="127" t="str">
        <f t="shared" si="3"/>
        <v/>
      </c>
      <c r="AF22" s="127" t="str">
        <f t="shared" si="3"/>
        <v/>
      </c>
      <c r="AG22" s="127" t="str">
        <f t="shared" si="3"/>
        <v/>
      </c>
      <c r="AH22" s="127" t="str">
        <f t="shared" si="13"/>
        <v/>
      </c>
      <c r="AI22" s="127" t="str">
        <f t="shared" si="13"/>
        <v/>
      </c>
      <c r="AJ22" s="127" t="str">
        <f t="shared" si="13"/>
        <v/>
      </c>
      <c r="AK22" s="127" t="str">
        <f t="shared" si="13"/>
        <v/>
      </c>
      <c r="AL22" s="127" t="str">
        <f t="shared" si="13"/>
        <v/>
      </c>
      <c r="AM22" s="127" t="str">
        <f t="shared" si="13"/>
        <v/>
      </c>
      <c r="AN22" s="127" t="str">
        <f t="shared" si="13"/>
        <v/>
      </c>
      <c r="AO22" s="127" t="str">
        <f t="shared" si="13"/>
        <v/>
      </c>
      <c r="AP22" s="127" t="str">
        <f t="shared" si="13"/>
        <v/>
      </c>
      <c r="AQ22" s="127" t="str">
        <f t="shared" si="13"/>
        <v/>
      </c>
      <c r="AR22" s="127" t="str">
        <f t="shared" si="13"/>
        <v/>
      </c>
      <c r="AS22" s="127" t="str">
        <f t="shared" si="13"/>
        <v/>
      </c>
      <c r="AT22" s="127" t="str">
        <f t="shared" si="13"/>
        <v/>
      </c>
      <c r="AU22" s="127" t="str">
        <f t="shared" si="13"/>
        <v/>
      </c>
      <c r="AV22" s="127" t="str">
        <f t="shared" si="13"/>
        <v/>
      </c>
      <c r="AW22" s="127" t="str">
        <f t="shared" si="13"/>
        <v/>
      </c>
      <c r="AX22" s="127" t="str">
        <f t="shared" si="13"/>
        <v/>
      </c>
      <c r="AY22" s="127" t="str">
        <f t="shared" si="13"/>
        <v/>
      </c>
      <c r="AZ22" s="127" t="str">
        <f t="shared" si="13"/>
        <v/>
      </c>
      <c r="BA22" s="127" t="str">
        <f t="shared" si="13"/>
        <v/>
      </c>
      <c r="BB22" s="127" t="str">
        <f t="shared" si="13"/>
        <v/>
      </c>
      <c r="BC22" s="127" t="str">
        <f t="shared" si="13"/>
        <v/>
      </c>
      <c r="BD22" s="127" t="str">
        <f t="shared" si="13"/>
        <v/>
      </c>
      <c r="BE22" s="127" t="str">
        <f t="shared" si="13"/>
        <v/>
      </c>
      <c r="BF22" s="127" t="str">
        <f t="shared" si="13"/>
        <v/>
      </c>
      <c r="BG22" s="127" t="str">
        <f t="shared" si="12"/>
        <v/>
      </c>
      <c r="BH22" s="127" t="str">
        <f t="shared" si="13"/>
        <v/>
      </c>
      <c r="BI22" s="127" t="str">
        <f t="shared" si="13"/>
        <v/>
      </c>
      <c r="BJ22" s="127" t="str">
        <f t="shared" si="13"/>
        <v/>
      </c>
      <c r="BK22" s="127" t="str">
        <f t="shared" si="13"/>
        <v/>
      </c>
      <c r="BL22" s="127" t="str">
        <f t="shared" si="13"/>
        <v/>
      </c>
      <c r="BM22" s="127" t="str">
        <f t="shared" si="12"/>
        <v/>
      </c>
      <c r="BN22" s="127" t="str">
        <f t="shared" si="13"/>
        <v/>
      </c>
      <c r="BO22" s="127" t="str">
        <f t="shared" si="13"/>
        <v/>
      </c>
      <c r="BP22" s="127" t="str">
        <f t="shared" si="13"/>
        <v/>
      </c>
      <c r="BQ22" s="127" t="str">
        <f t="shared" si="13"/>
        <v/>
      </c>
      <c r="BR22" s="127" t="str">
        <f t="shared" si="13"/>
        <v/>
      </c>
      <c r="BS22" s="127" t="str">
        <f t="shared" si="12"/>
        <v/>
      </c>
      <c r="BT22" s="127" t="str">
        <f t="shared" si="6"/>
        <v/>
      </c>
      <c r="BU22" s="127" t="str">
        <f t="shared" si="6"/>
        <v/>
      </c>
      <c r="BV22" s="127" t="str">
        <f t="shared" si="6"/>
        <v/>
      </c>
      <c r="BW22" s="127" t="str">
        <f t="shared" si="6"/>
        <v/>
      </c>
      <c r="BX22" s="127" t="str">
        <f t="shared" si="6"/>
        <v/>
      </c>
      <c r="BY22" s="127" t="str">
        <f t="shared" si="12"/>
        <v/>
      </c>
      <c r="BZ22" s="127" t="str">
        <f t="shared" si="6"/>
        <v/>
      </c>
      <c r="CA22" s="127" t="str">
        <f t="shared" si="6"/>
        <v/>
      </c>
      <c r="CB22" s="127" t="str">
        <f t="shared" si="6"/>
        <v/>
      </c>
      <c r="CC22" s="127" t="str">
        <f t="shared" si="6"/>
        <v/>
      </c>
      <c r="CD22" s="127" t="str">
        <f t="shared" si="6"/>
        <v/>
      </c>
      <c r="CE22" s="127" t="str">
        <f t="shared" si="12"/>
        <v/>
      </c>
    </row>
    <row r="23" spans="1:83" ht="12.6" hidden="1" customHeight="1" x14ac:dyDescent="0.2">
      <c r="A23" s="106">
        <f>SHIPMENTS!A29</f>
        <v>8964</v>
      </c>
      <c r="B23" s="106" t="str">
        <f>SHIPMENTS!B29</f>
        <v>15900- Mandaue Warehouse</v>
      </c>
      <c r="C23" s="132">
        <f>SHIPMENTS!F29</f>
        <v>0.11</v>
      </c>
      <c r="D23" s="107" t="str">
        <f>IF((SHIPMENTS!I29)=0,"",SHIPMENTS!I29)</f>
        <v/>
      </c>
      <c r="E23" s="176">
        <f>IF((SHIPMENTS!G29)=0,"",SHIPMENTS!G29)</f>
        <v>46323</v>
      </c>
      <c r="F23" s="97">
        <f>VLOOKUP(A23,Items!$A$5:$J$1000,9,0)</f>
        <v>0</v>
      </c>
      <c r="G23" s="98">
        <f>VLOOKUP(A23,load!$A$4:$W$5001,23,0)</f>
        <v>0</v>
      </c>
      <c r="H23" s="109">
        <f>Manhours!$C$29+Manhours!$C$30</f>
        <v>10</v>
      </c>
      <c r="I23" s="98">
        <f t="shared" si="0"/>
        <v>91</v>
      </c>
      <c r="J23" s="99">
        <f t="shared" si="7"/>
        <v>0</v>
      </c>
      <c r="K23" s="99">
        <f t="shared" si="1"/>
        <v>0</v>
      </c>
      <c r="L23" s="98">
        <f t="shared" si="8"/>
        <v>0</v>
      </c>
      <c r="M23" s="98">
        <f t="shared" si="9"/>
        <v>0</v>
      </c>
      <c r="N23" s="181">
        <f>IF(G23&gt;0,('MP2-SFP2'!M23+3),'SFP2'!O22)</f>
        <v>46326.524530571987</v>
      </c>
      <c r="O23" s="181">
        <f t="shared" si="11"/>
        <v>46326.524530571987</v>
      </c>
      <c r="P23" s="112" t="str">
        <f>VLOOKUP(A23,SHIPMENTS!$A$7:$N$171,14,0)</f>
        <v>n/a</v>
      </c>
      <c r="Q23" s="101"/>
      <c r="R23" s="127" t="str">
        <f t="shared" si="3"/>
        <v/>
      </c>
      <c r="S23" s="127" t="str">
        <f t="shared" si="3"/>
        <v/>
      </c>
      <c r="T23" s="127" t="str">
        <f t="shared" si="3"/>
        <v/>
      </c>
      <c r="U23" s="127" t="str">
        <f t="shared" si="3"/>
        <v/>
      </c>
      <c r="V23" s="127" t="str">
        <f t="shared" si="3"/>
        <v/>
      </c>
      <c r="W23" s="127" t="str">
        <f t="shared" si="3"/>
        <v/>
      </c>
      <c r="X23" s="127" t="str">
        <f t="shared" si="3"/>
        <v/>
      </c>
      <c r="Y23" s="127" t="str">
        <f t="shared" si="3"/>
        <v/>
      </c>
      <c r="Z23" s="127" t="str">
        <f t="shared" si="3"/>
        <v>▲</v>
      </c>
      <c r="AA23" s="127" t="str">
        <f t="shared" si="3"/>
        <v/>
      </c>
      <c r="AB23" s="127" t="str">
        <f t="shared" si="3"/>
        <v/>
      </c>
      <c r="AC23" s="127" t="str">
        <f t="shared" si="3"/>
        <v/>
      </c>
      <c r="AD23" s="127" t="str">
        <f t="shared" si="3"/>
        <v/>
      </c>
      <c r="AE23" s="127" t="str">
        <f t="shared" si="3"/>
        <v/>
      </c>
      <c r="AF23" s="127" t="str">
        <f t="shared" si="3"/>
        <v/>
      </c>
      <c r="AG23" s="127" t="str">
        <f t="shared" ref="AG23:BF33" si="14">IF($E23=AG$3,"▲","")</f>
        <v/>
      </c>
      <c r="AH23" s="127" t="str">
        <f t="shared" si="14"/>
        <v/>
      </c>
      <c r="AI23" s="127" t="str">
        <f t="shared" si="14"/>
        <v/>
      </c>
      <c r="AJ23" s="127" t="str">
        <f t="shared" si="14"/>
        <v/>
      </c>
      <c r="AK23" s="127" t="str">
        <f t="shared" si="14"/>
        <v/>
      </c>
      <c r="AL23" s="127" t="str">
        <f t="shared" si="14"/>
        <v/>
      </c>
      <c r="AM23" s="127" t="str">
        <f t="shared" si="14"/>
        <v/>
      </c>
      <c r="AN23" s="127" t="str">
        <f t="shared" si="14"/>
        <v/>
      </c>
      <c r="AO23" s="127" t="str">
        <f t="shared" si="14"/>
        <v/>
      </c>
      <c r="AP23" s="127" t="str">
        <f t="shared" si="14"/>
        <v/>
      </c>
      <c r="AQ23" s="127" t="str">
        <f t="shared" si="14"/>
        <v/>
      </c>
      <c r="AR23" s="127" t="str">
        <f t="shared" si="14"/>
        <v/>
      </c>
      <c r="AS23" s="127" t="str">
        <f t="shared" si="14"/>
        <v/>
      </c>
      <c r="AT23" s="127" t="str">
        <f t="shared" si="14"/>
        <v/>
      </c>
      <c r="AU23" s="127" t="str">
        <f t="shared" si="14"/>
        <v/>
      </c>
      <c r="AV23" s="127" t="str">
        <f t="shared" si="14"/>
        <v/>
      </c>
      <c r="AW23" s="127" t="str">
        <f t="shared" si="14"/>
        <v/>
      </c>
      <c r="AX23" s="127" t="str">
        <f t="shared" si="14"/>
        <v/>
      </c>
      <c r="AY23" s="127" t="str">
        <f t="shared" si="14"/>
        <v/>
      </c>
      <c r="AZ23" s="127" t="str">
        <f t="shared" si="14"/>
        <v/>
      </c>
      <c r="BA23" s="127" t="str">
        <f t="shared" si="14"/>
        <v/>
      </c>
      <c r="BB23" s="127" t="str">
        <f t="shared" si="14"/>
        <v/>
      </c>
      <c r="BC23" s="127" t="str">
        <f t="shared" si="14"/>
        <v/>
      </c>
      <c r="BD23" s="127" t="str">
        <f t="shared" si="14"/>
        <v/>
      </c>
      <c r="BE23" s="127" t="str">
        <f t="shared" si="14"/>
        <v/>
      </c>
      <c r="BF23" s="127" t="str">
        <f t="shared" si="14"/>
        <v/>
      </c>
      <c r="BG23" s="127" t="str">
        <f t="shared" si="12"/>
        <v/>
      </c>
      <c r="BH23" s="127" t="str">
        <f t="shared" si="13"/>
        <v/>
      </c>
      <c r="BI23" s="127" t="str">
        <f t="shared" si="13"/>
        <v/>
      </c>
      <c r="BJ23" s="127" t="str">
        <f t="shared" si="13"/>
        <v/>
      </c>
      <c r="BK23" s="127" t="str">
        <f t="shared" si="13"/>
        <v/>
      </c>
      <c r="BL23" s="127" t="str">
        <f t="shared" si="13"/>
        <v/>
      </c>
      <c r="BM23" s="127" t="str">
        <f t="shared" si="12"/>
        <v/>
      </c>
      <c r="BN23" s="127" t="str">
        <f t="shared" si="13"/>
        <v/>
      </c>
      <c r="BO23" s="127" t="str">
        <f t="shared" si="13"/>
        <v/>
      </c>
      <c r="BP23" s="127" t="str">
        <f t="shared" si="13"/>
        <v/>
      </c>
      <c r="BQ23" s="127" t="str">
        <f t="shared" si="13"/>
        <v/>
      </c>
      <c r="BR23" s="127" t="str">
        <f t="shared" si="13"/>
        <v/>
      </c>
      <c r="BS23" s="127" t="str">
        <f t="shared" si="12"/>
        <v/>
      </c>
      <c r="BT23" s="127" t="str">
        <f t="shared" si="6"/>
        <v/>
      </c>
      <c r="BU23" s="127" t="str">
        <f t="shared" si="6"/>
        <v/>
      </c>
      <c r="BV23" s="127" t="str">
        <f t="shared" si="6"/>
        <v/>
      </c>
      <c r="BW23" s="127" t="str">
        <f t="shared" si="6"/>
        <v/>
      </c>
      <c r="BX23" s="127" t="str">
        <f t="shared" si="6"/>
        <v/>
      </c>
      <c r="BY23" s="127" t="str">
        <f t="shared" si="12"/>
        <v/>
      </c>
      <c r="BZ23" s="127" t="str">
        <f t="shared" si="6"/>
        <v/>
      </c>
      <c r="CA23" s="127" t="str">
        <f t="shared" si="6"/>
        <v/>
      </c>
      <c r="CB23" s="127" t="str">
        <f t="shared" si="6"/>
        <v/>
      </c>
      <c r="CC23" s="127" t="str">
        <f t="shared" si="6"/>
        <v/>
      </c>
      <c r="CD23" s="127" t="str">
        <f t="shared" si="6"/>
        <v/>
      </c>
      <c r="CE23" s="127" t="str">
        <f t="shared" si="12"/>
        <v/>
      </c>
    </row>
    <row r="24" spans="1:83" ht="12.6" hidden="1" customHeight="1" x14ac:dyDescent="0.2">
      <c r="A24" s="106">
        <f>SHIPMENTS!A30</f>
        <v>9023</v>
      </c>
      <c r="B24" s="106" t="str">
        <f>SHIPMENTS!B30</f>
        <v>15900- Ubay | Danilo Varela</v>
      </c>
      <c r="C24" s="132">
        <f>SHIPMENTS!F30</f>
        <v>3.0849999999999999E-2</v>
      </c>
      <c r="D24" s="107" t="str">
        <f>IF((SHIPMENTS!I30)=0,"",SHIPMENTS!I30)</f>
        <v/>
      </c>
      <c r="E24" s="176">
        <f>IF((SHIPMENTS!G30)=0,"",SHIPMENTS!G30)</f>
        <v>46323</v>
      </c>
      <c r="F24" s="97">
        <f>VLOOKUP(A24,Items!$A$5:$J$1000,9,0)</f>
        <v>0</v>
      </c>
      <c r="G24" s="98">
        <f>VLOOKUP(A24,load!$A$4:$W$5001,23,0)</f>
        <v>0</v>
      </c>
      <c r="H24" s="109">
        <f>Manhours!$C$29+Manhours!$C$30</f>
        <v>10</v>
      </c>
      <c r="I24" s="98">
        <f t="shared" si="0"/>
        <v>91</v>
      </c>
      <c r="J24" s="99">
        <f t="shared" si="7"/>
        <v>0</v>
      </c>
      <c r="K24" s="99">
        <f t="shared" si="1"/>
        <v>0</v>
      </c>
      <c r="L24" s="98">
        <f t="shared" si="8"/>
        <v>0</v>
      </c>
      <c r="M24" s="98">
        <f t="shared" si="9"/>
        <v>0</v>
      </c>
      <c r="N24" s="181">
        <f>IF(G24&gt;0,('MP2-SFP2'!M24+3),'SFP2'!O23)</f>
        <v>46326.524530571987</v>
      </c>
      <c r="O24" s="181">
        <f t="shared" si="11"/>
        <v>46326.524530571987</v>
      </c>
      <c r="P24" s="112" t="str">
        <f>VLOOKUP(A24,SHIPMENTS!$A$7:$N$171,14,0)</f>
        <v>n/a</v>
      </c>
      <c r="Q24" s="101"/>
      <c r="R24" s="127" t="str">
        <f t="shared" ref="R24:AG39" si="15">IF($E24=R$3,"▲","")</f>
        <v/>
      </c>
      <c r="S24" s="127" t="str">
        <f t="shared" si="15"/>
        <v/>
      </c>
      <c r="T24" s="127" t="str">
        <f t="shared" si="15"/>
        <v/>
      </c>
      <c r="U24" s="127" t="str">
        <f t="shared" si="15"/>
        <v/>
      </c>
      <c r="V24" s="127" t="str">
        <f t="shared" si="15"/>
        <v/>
      </c>
      <c r="W24" s="127" t="str">
        <f t="shared" si="15"/>
        <v/>
      </c>
      <c r="X24" s="127" t="str">
        <f t="shared" si="15"/>
        <v/>
      </c>
      <c r="Y24" s="127" t="str">
        <f t="shared" si="15"/>
        <v/>
      </c>
      <c r="Z24" s="127" t="str">
        <f t="shared" si="15"/>
        <v>▲</v>
      </c>
      <c r="AA24" s="127" t="str">
        <f t="shared" si="15"/>
        <v/>
      </c>
      <c r="AB24" s="127" t="str">
        <f t="shared" si="15"/>
        <v/>
      </c>
      <c r="AC24" s="127" t="str">
        <f t="shared" si="15"/>
        <v/>
      </c>
      <c r="AD24" s="127" t="str">
        <f t="shared" si="15"/>
        <v/>
      </c>
      <c r="AE24" s="127" t="str">
        <f t="shared" si="15"/>
        <v/>
      </c>
      <c r="AF24" s="127" t="str">
        <f t="shared" si="15"/>
        <v/>
      </c>
      <c r="AG24" s="127" t="str">
        <f t="shared" si="15"/>
        <v/>
      </c>
      <c r="AH24" s="127" t="str">
        <f t="shared" si="14"/>
        <v/>
      </c>
      <c r="AI24" s="127" t="str">
        <f t="shared" si="14"/>
        <v/>
      </c>
      <c r="AJ24" s="127" t="str">
        <f t="shared" si="14"/>
        <v/>
      </c>
      <c r="AK24" s="127" t="str">
        <f t="shared" si="14"/>
        <v/>
      </c>
      <c r="AL24" s="127" t="str">
        <f t="shared" si="14"/>
        <v/>
      </c>
      <c r="AM24" s="127" t="str">
        <f t="shared" si="14"/>
        <v/>
      </c>
      <c r="AN24" s="127" t="str">
        <f t="shared" si="14"/>
        <v/>
      </c>
      <c r="AO24" s="127" t="str">
        <f t="shared" si="14"/>
        <v/>
      </c>
      <c r="AP24" s="127" t="str">
        <f t="shared" si="14"/>
        <v/>
      </c>
      <c r="AQ24" s="127" t="str">
        <f t="shared" si="14"/>
        <v/>
      </c>
      <c r="AR24" s="127" t="str">
        <f t="shared" si="14"/>
        <v/>
      </c>
      <c r="AS24" s="127" t="str">
        <f t="shared" si="14"/>
        <v/>
      </c>
      <c r="AT24" s="127" t="str">
        <f t="shared" si="14"/>
        <v/>
      </c>
      <c r="AU24" s="127" t="str">
        <f t="shared" si="14"/>
        <v/>
      </c>
      <c r="AV24" s="127" t="str">
        <f t="shared" si="14"/>
        <v/>
      </c>
      <c r="AW24" s="127" t="str">
        <f t="shared" si="14"/>
        <v/>
      </c>
      <c r="AX24" s="127" t="str">
        <f t="shared" si="14"/>
        <v/>
      </c>
      <c r="AY24" s="127" t="str">
        <f t="shared" si="14"/>
        <v/>
      </c>
      <c r="AZ24" s="127" t="str">
        <f t="shared" si="14"/>
        <v/>
      </c>
      <c r="BA24" s="127" t="str">
        <f t="shared" si="14"/>
        <v/>
      </c>
      <c r="BB24" s="127" t="str">
        <f t="shared" si="14"/>
        <v/>
      </c>
      <c r="BC24" s="127" t="str">
        <f t="shared" si="14"/>
        <v/>
      </c>
      <c r="BD24" s="127" t="str">
        <f t="shared" si="14"/>
        <v/>
      </c>
      <c r="BE24" s="127" t="str">
        <f t="shared" si="14"/>
        <v/>
      </c>
      <c r="BF24" s="127" t="str">
        <f t="shared" si="14"/>
        <v/>
      </c>
      <c r="BG24" s="127" t="str">
        <f t="shared" si="12"/>
        <v/>
      </c>
      <c r="BH24" s="127" t="str">
        <f t="shared" si="13"/>
        <v/>
      </c>
      <c r="BI24" s="127" t="str">
        <f t="shared" si="13"/>
        <v/>
      </c>
      <c r="BJ24" s="127" t="str">
        <f t="shared" si="13"/>
        <v/>
      </c>
      <c r="BK24" s="127" t="str">
        <f t="shared" si="13"/>
        <v/>
      </c>
      <c r="BL24" s="127" t="str">
        <f t="shared" si="13"/>
        <v/>
      </c>
      <c r="BM24" s="127" t="str">
        <f t="shared" si="12"/>
        <v/>
      </c>
      <c r="BN24" s="127" t="str">
        <f t="shared" si="13"/>
        <v/>
      </c>
      <c r="BO24" s="127" t="str">
        <f t="shared" si="13"/>
        <v/>
      </c>
      <c r="BP24" s="127" t="str">
        <f t="shared" si="13"/>
        <v/>
      </c>
      <c r="BQ24" s="127" t="str">
        <f t="shared" si="13"/>
        <v/>
      </c>
      <c r="BR24" s="127" t="str">
        <f t="shared" si="13"/>
        <v/>
      </c>
      <c r="BS24" s="127" t="str">
        <f t="shared" si="12"/>
        <v/>
      </c>
      <c r="BT24" s="127" t="str">
        <f t="shared" si="12"/>
        <v/>
      </c>
      <c r="BU24" s="127" t="str">
        <f t="shared" si="12"/>
        <v/>
      </c>
      <c r="BV24" s="127" t="str">
        <f t="shared" si="12"/>
        <v/>
      </c>
      <c r="BW24" s="127" t="str">
        <f t="shared" si="12"/>
        <v/>
      </c>
      <c r="BX24" s="127" t="str">
        <f t="shared" si="12"/>
        <v/>
      </c>
      <c r="BY24" s="127" t="str">
        <f t="shared" si="12"/>
        <v/>
      </c>
      <c r="BZ24" s="127" t="str">
        <f t="shared" si="12"/>
        <v/>
      </c>
      <c r="CA24" s="127" t="str">
        <f t="shared" si="12"/>
        <v/>
      </c>
      <c r="CB24" s="127" t="str">
        <f t="shared" si="12"/>
        <v/>
      </c>
      <c r="CC24" s="127" t="str">
        <f t="shared" si="12"/>
        <v/>
      </c>
      <c r="CD24" s="127" t="str">
        <f t="shared" si="12"/>
        <v/>
      </c>
      <c r="CE24" s="127" t="str">
        <f t="shared" si="12"/>
        <v/>
      </c>
    </row>
    <row r="25" spans="1:83" ht="12.6" hidden="1" customHeight="1" x14ac:dyDescent="0.2">
      <c r="A25" s="106">
        <f>SHIPMENTS!A31</f>
        <v>9105</v>
      </c>
      <c r="B25" s="106" t="str">
        <f>SHIPMENTS!B31</f>
        <v>15900- Cebu City |Nelsar Alvar</v>
      </c>
      <c r="C25" s="132">
        <f>SHIPMENTS!F31</f>
        <v>1.35E-2</v>
      </c>
      <c r="D25" s="107" t="str">
        <f>IF((SHIPMENTS!I31)=0,"",SHIPMENTS!I31)</f>
        <v/>
      </c>
      <c r="E25" s="176">
        <f>IF((SHIPMENTS!G31)=0,"",SHIPMENTS!G31)</f>
        <v>46323</v>
      </c>
      <c r="F25" s="97">
        <f>VLOOKUP(A25,Items!$A$5:$J$1000,9,0)</f>
        <v>0</v>
      </c>
      <c r="G25" s="98">
        <f>VLOOKUP(A25,load!$A$4:$W$5001,23,0)</f>
        <v>0</v>
      </c>
      <c r="H25" s="109">
        <f>Manhours!$C$29+Manhours!$C$30</f>
        <v>10</v>
      </c>
      <c r="I25" s="98">
        <f t="shared" si="0"/>
        <v>91</v>
      </c>
      <c r="J25" s="99">
        <f t="shared" si="7"/>
        <v>0</v>
      </c>
      <c r="K25" s="99">
        <f t="shared" si="1"/>
        <v>0</v>
      </c>
      <c r="L25" s="98">
        <f t="shared" si="8"/>
        <v>0</v>
      </c>
      <c r="M25" s="98">
        <f t="shared" si="9"/>
        <v>0</v>
      </c>
      <c r="N25" s="181">
        <f>IF(G25&gt;0,('MP2-SFP2'!M25+3),'SFP2'!O24)</f>
        <v>46326.524530571987</v>
      </c>
      <c r="O25" s="181">
        <f t="shared" si="11"/>
        <v>46326.524530571987</v>
      </c>
      <c r="P25" s="112" t="str">
        <f>VLOOKUP(A25,SHIPMENTS!$A$7:$N$171,14,0)</f>
        <v>n/a</v>
      </c>
      <c r="Q25" s="101"/>
      <c r="R25" s="127" t="str">
        <f t="shared" si="15"/>
        <v/>
      </c>
      <c r="S25" s="127" t="str">
        <f t="shared" si="15"/>
        <v/>
      </c>
      <c r="T25" s="127" t="str">
        <f t="shared" si="15"/>
        <v/>
      </c>
      <c r="U25" s="127" t="str">
        <f t="shared" si="15"/>
        <v/>
      </c>
      <c r="V25" s="127" t="str">
        <f t="shared" si="15"/>
        <v/>
      </c>
      <c r="W25" s="127" t="str">
        <f t="shared" si="15"/>
        <v/>
      </c>
      <c r="X25" s="127" t="str">
        <f t="shared" si="15"/>
        <v/>
      </c>
      <c r="Y25" s="127" t="str">
        <f t="shared" si="15"/>
        <v/>
      </c>
      <c r="Z25" s="127" t="str">
        <f t="shared" si="15"/>
        <v>▲</v>
      </c>
      <c r="AA25" s="127" t="str">
        <f t="shared" si="15"/>
        <v/>
      </c>
      <c r="AB25" s="127" t="str">
        <f t="shared" si="15"/>
        <v/>
      </c>
      <c r="AC25" s="127" t="str">
        <f t="shared" si="15"/>
        <v/>
      </c>
      <c r="AD25" s="127" t="str">
        <f t="shared" si="15"/>
        <v/>
      </c>
      <c r="AE25" s="127" t="str">
        <f t="shared" si="15"/>
        <v/>
      </c>
      <c r="AF25" s="127" t="str">
        <f t="shared" si="15"/>
        <v/>
      </c>
      <c r="AG25" s="127" t="str">
        <f t="shared" si="15"/>
        <v/>
      </c>
      <c r="AH25" s="127" t="str">
        <f t="shared" si="14"/>
        <v/>
      </c>
      <c r="AI25" s="127" t="str">
        <f t="shared" si="14"/>
        <v/>
      </c>
      <c r="AJ25" s="127" t="str">
        <f t="shared" si="14"/>
        <v/>
      </c>
      <c r="AK25" s="127" t="str">
        <f t="shared" si="14"/>
        <v/>
      </c>
      <c r="AL25" s="127" t="str">
        <f t="shared" si="14"/>
        <v/>
      </c>
      <c r="AM25" s="127" t="str">
        <f t="shared" si="14"/>
        <v/>
      </c>
      <c r="AN25" s="127" t="str">
        <f t="shared" si="14"/>
        <v/>
      </c>
      <c r="AO25" s="127" t="str">
        <f t="shared" si="14"/>
        <v/>
      </c>
      <c r="AP25" s="127" t="str">
        <f t="shared" si="14"/>
        <v/>
      </c>
      <c r="AQ25" s="127" t="str">
        <f t="shared" si="14"/>
        <v/>
      </c>
      <c r="AR25" s="127" t="str">
        <f t="shared" si="14"/>
        <v/>
      </c>
      <c r="AS25" s="127" t="str">
        <f t="shared" si="14"/>
        <v/>
      </c>
      <c r="AT25" s="127" t="str">
        <f t="shared" si="14"/>
        <v/>
      </c>
      <c r="AU25" s="127" t="str">
        <f t="shared" si="14"/>
        <v/>
      </c>
      <c r="AV25" s="127" t="str">
        <f t="shared" si="14"/>
        <v/>
      </c>
      <c r="AW25" s="127" t="str">
        <f t="shared" si="14"/>
        <v/>
      </c>
      <c r="AX25" s="127" t="str">
        <f t="shared" si="14"/>
        <v/>
      </c>
      <c r="AY25" s="127" t="str">
        <f t="shared" si="14"/>
        <v/>
      </c>
      <c r="AZ25" s="127" t="str">
        <f t="shared" si="14"/>
        <v/>
      </c>
      <c r="BA25" s="127" t="str">
        <f t="shared" si="14"/>
        <v/>
      </c>
      <c r="BB25" s="127" t="str">
        <f t="shared" si="14"/>
        <v/>
      </c>
      <c r="BC25" s="127" t="str">
        <f t="shared" si="14"/>
        <v/>
      </c>
      <c r="BD25" s="127" t="str">
        <f t="shared" si="14"/>
        <v/>
      </c>
      <c r="BE25" s="127" t="str">
        <f t="shared" si="14"/>
        <v/>
      </c>
      <c r="BF25" s="127" t="str">
        <f t="shared" si="14"/>
        <v/>
      </c>
      <c r="BG25" s="127" t="str">
        <f t="shared" si="12"/>
        <v/>
      </c>
      <c r="BH25" s="127" t="str">
        <f t="shared" si="13"/>
        <v/>
      </c>
      <c r="BI25" s="127" t="str">
        <f t="shared" si="13"/>
        <v/>
      </c>
      <c r="BJ25" s="127" t="str">
        <f t="shared" si="13"/>
        <v/>
      </c>
      <c r="BK25" s="127" t="str">
        <f t="shared" si="13"/>
        <v/>
      </c>
      <c r="BL25" s="127" t="str">
        <f t="shared" si="13"/>
        <v/>
      </c>
      <c r="BM25" s="127" t="str">
        <f t="shared" si="12"/>
        <v/>
      </c>
      <c r="BN25" s="127" t="str">
        <f t="shared" si="13"/>
        <v/>
      </c>
      <c r="BO25" s="127" t="str">
        <f t="shared" si="13"/>
        <v/>
      </c>
      <c r="BP25" s="127" t="str">
        <f t="shared" si="13"/>
        <v/>
      </c>
      <c r="BQ25" s="127" t="str">
        <f t="shared" si="13"/>
        <v/>
      </c>
      <c r="BR25" s="127" t="str">
        <f t="shared" si="13"/>
        <v/>
      </c>
      <c r="BS25" s="127" t="str">
        <f t="shared" si="12"/>
        <v/>
      </c>
      <c r="BT25" s="127" t="str">
        <f t="shared" si="12"/>
        <v/>
      </c>
      <c r="BU25" s="127" t="str">
        <f t="shared" si="12"/>
        <v/>
      </c>
      <c r="BV25" s="127" t="str">
        <f t="shared" si="12"/>
        <v/>
      </c>
      <c r="BW25" s="127" t="str">
        <f t="shared" si="12"/>
        <v/>
      </c>
      <c r="BX25" s="127" t="str">
        <f t="shared" si="12"/>
        <v/>
      </c>
      <c r="BY25" s="127" t="str">
        <f t="shared" si="12"/>
        <v/>
      </c>
      <c r="BZ25" s="127" t="str">
        <f t="shared" si="12"/>
        <v/>
      </c>
      <c r="CA25" s="127" t="str">
        <f t="shared" si="12"/>
        <v/>
      </c>
      <c r="CB25" s="127" t="str">
        <f t="shared" si="12"/>
        <v/>
      </c>
      <c r="CC25" s="127" t="str">
        <f t="shared" si="12"/>
        <v/>
      </c>
      <c r="CD25" s="127" t="str">
        <f t="shared" si="12"/>
        <v/>
      </c>
      <c r="CE25" s="127" t="str">
        <f t="shared" si="12"/>
        <v/>
      </c>
    </row>
    <row r="26" spans="1:83" ht="12.6" hidden="1" customHeight="1" x14ac:dyDescent="0.2">
      <c r="A26" s="106">
        <f>SHIPMENTS!A32</f>
        <v>9292</v>
      </c>
      <c r="B26" s="106" t="str">
        <f>SHIPMENTS!B32</f>
        <v>15900- Mandaue Warehouse</v>
      </c>
      <c r="C26" s="132">
        <f>SHIPMENTS!F32</f>
        <v>0.51459999999999995</v>
      </c>
      <c r="D26" s="107" t="str">
        <f>IF((SHIPMENTS!I32)=0,"",SHIPMENTS!I32)</f>
        <v/>
      </c>
      <c r="E26" s="176">
        <f>IF((SHIPMENTS!G32)=0,"",SHIPMENTS!G32)</f>
        <v>46323</v>
      </c>
      <c r="F26" s="97">
        <f>VLOOKUP(A26,Items!$A$5:$J$1000,9,0)</f>
        <v>0</v>
      </c>
      <c r="G26" s="98">
        <f>VLOOKUP(A26,load!$A$4:$W$5001,23,0)</f>
        <v>0</v>
      </c>
      <c r="H26" s="109">
        <f>Manhours!$C$29+Manhours!$C$30</f>
        <v>10</v>
      </c>
      <c r="I26" s="98">
        <f t="shared" si="0"/>
        <v>91</v>
      </c>
      <c r="J26" s="99">
        <f t="shared" si="7"/>
        <v>0</v>
      </c>
      <c r="K26" s="99">
        <f t="shared" si="1"/>
        <v>0</v>
      </c>
      <c r="L26" s="98">
        <f t="shared" si="8"/>
        <v>0</v>
      </c>
      <c r="M26" s="98">
        <f t="shared" si="9"/>
        <v>0</v>
      </c>
      <c r="N26" s="181">
        <f>IF(G26&gt;0,('MP2-SFP2'!M26+3),'SFP2'!O25)</f>
        <v>46326.524530571987</v>
      </c>
      <c r="O26" s="181">
        <f t="shared" si="11"/>
        <v>46326.524530571987</v>
      </c>
      <c r="P26" s="112" t="str">
        <f>VLOOKUP(A26,SHIPMENTS!$A$7:$N$171,14,0)</f>
        <v>n/a</v>
      </c>
      <c r="Q26" s="101"/>
      <c r="R26" s="127" t="str">
        <f t="shared" si="15"/>
        <v/>
      </c>
      <c r="S26" s="127" t="str">
        <f t="shared" si="15"/>
        <v/>
      </c>
      <c r="T26" s="127" t="str">
        <f t="shared" si="15"/>
        <v/>
      </c>
      <c r="U26" s="127" t="str">
        <f t="shared" si="15"/>
        <v/>
      </c>
      <c r="V26" s="127" t="str">
        <f t="shared" si="15"/>
        <v/>
      </c>
      <c r="W26" s="127" t="str">
        <f t="shared" si="15"/>
        <v/>
      </c>
      <c r="X26" s="127" t="str">
        <f t="shared" si="15"/>
        <v/>
      </c>
      <c r="Y26" s="127" t="str">
        <f t="shared" si="15"/>
        <v/>
      </c>
      <c r="Z26" s="127" t="str">
        <f t="shared" si="15"/>
        <v>▲</v>
      </c>
      <c r="AA26" s="127" t="str">
        <f t="shared" si="15"/>
        <v/>
      </c>
      <c r="AB26" s="127" t="str">
        <f t="shared" si="15"/>
        <v/>
      </c>
      <c r="AC26" s="127" t="str">
        <f t="shared" si="15"/>
        <v/>
      </c>
      <c r="AD26" s="127" t="str">
        <f t="shared" si="15"/>
        <v/>
      </c>
      <c r="AE26" s="127" t="str">
        <f t="shared" si="15"/>
        <v/>
      </c>
      <c r="AF26" s="127" t="str">
        <f t="shared" si="15"/>
        <v/>
      </c>
      <c r="AG26" s="127" t="str">
        <f t="shared" si="15"/>
        <v/>
      </c>
      <c r="AH26" s="127" t="str">
        <f t="shared" si="14"/>
        <v/>
      </c>
      <c r="AI26" s="127" t="str">
        <f t="shared" si="14"/>
        <v/>
      </c>
      <c r="AJ26" s="127" t="str">
        <f t="shared" si="14"/>
        <v/>
      </c>
      <c r="AK26" s="127" t="str">
        <f t="shared" si="14"/>
        <v/>
      </c>
      <c r="AL26" s="127" t="str">
        <f t="shared" si="14"/>
        <v/>
      </c>
      <c r="AM26" s="127" t="str">
        <f t="shared" si="14"/>
        <v/>
      </c>
      <c r="AN26" s="127" t="str">
        <f t="shared" si="14"/>
        <v/>
      </c>
      <c r="AO26" s="127" t="str">
        <f t="shared" si="14"/>
        <v/>
      </c>
      <c r="AP26" s="127" t="str">
        <f t="shared" si="14"/>
        <v/>
      </c>
      <c r="AQ26" s="127" t="str">
        <f t="shared" si="14"/>
        <v/>
      </c>
      <c r="AR26" s="127" t="str">
        <f t="shared" si="14"/>
        <v/>
      </c>
      <c r="AS26" s="127" t="str">
        <f t="shared" si="14"/>
        <v/>
      </c>
      <c r="AT26" s="127" t="str">
        <f t="shared" si="14"/>
        <v/>
      </c>
      <c r="AU26" s="127" t="str">
        <f t="shared" si="14"/>
        <v/>
      </c>
      <c r="AV26" s="127" t="str">
        <f t="shared" si="14"/>
        <v/>
      </c>
      <c r="AW26" s="127" t="str">
        <f t="shared" si="14"/>
        <v/>
      </c>
      <c r="AX26" s="127" t="str">
        <f t="shared" si="14"/>
        <v/>
      </c>
      <c r="AY26" s="127" t="str">
        <f t="shared" si="14"/>
        <v/>
      </c>
      <c r="AZ26" s="127" t="str">
        <f t="shared" si="14"/>
        <v/>
      </c>
      <c r="BA26" s="127" t="str">
        <f t="shared" si="14"/>
        <v/>
      </c>
      <c r="BB26" s="127" t="str">
        <f t="shared" si="14"/>
        <v/>
      </c>
      <c r="BC26" s="127" t="str">
        <f t="shared" si="14"/>
        <v/>
      </c>
      <c r="BD26" s="127" t="str">
        <f t="shared" si="14"/>
        <v/>
      </c>
      <c r="BE26" s="127" t="str">
        <f t="shared" si="14"/>
        <v/>
      </c>
      <c r="BF26" s="127" t="str">
        <f t="shared" si="14"/>
        <v/>
      </c>
      <c r="BG26" s="127" t="str">
        <f t="shared" si="12"/>
        <v/>
      </c>
      <c r="BH26" s="127" t="str">
        <f t="shared" si="13"/>
        <v/>
      </c>
      <c r="BI26" s="127" t="str">
        <f t="shared" si="13"/>
        <v/>
      </c>
      <c r="BJ26" s="127" t="str">
        <f t="shared" si="13"/>
        <v/>
      </c>
      <c r="BK26" s="127" t="str">
        <f t="shared" si="13"/>
        <v/>
      </c>
      <c r="BL26" s="127" t="str">
        <f t="shared" si="13"/>
        <v/>
      </c>
      <c r="BM26" s="127" t="str">
        <f t="shared" si="12"/>
        <v/>
      </c>
      <c r="BN26" s="127" t="str">
        <f t="shared" si="13"/>
        <v/>
      </c>
      <c r="BO26" s="127" t="str">
        <f t="shared" si="13"/>
        <v/>
      </c>
      <c r="BP26" s="127" t="str">
        <f t="shared" si="13"/>
        <v/>
      </c>
      <c r="BQ26" s="127" t="str">
        <f t="shared" si="13"/>
        <v/>
      </c>
      <c r="BR26" s="127" t="str">
        <f t="shared" si="13"/>
        <v/>
      </c>
      <c r="BS26" s="127" t="str">
        <f t="shared" si="12"/>
        <v/>
      </c>
      <c r="BT26" s="127" t="str">
        <f t="shared" si="12"/>
        <v/>
      </c>
      <c r="BU26" s="127" t="str">
        <f t="shared" si="12"/>
        <v/>
      </c>
      <c r="BV26" s="127" t="str">
        <f t="shared" si="12"/>
        <v/>
      </c>
      <c r="BW26" s="127" t="str">
        <f t="shared" si="12"/>
        <v/>
      </c>
      <c r="BX26" s="127" t="str">
        <f t="shared" si="12"/>
        <v/>
      </c>
      <c r="BY26" s="127" t="str">
        <f t="shared" si="12"/>
        <v/>
      </c>
      <c r="BZ26" s="127" t="str">
        <f t="shared" si="12"/>
        <v/>
      </c>
      <c r="CA26" s="127" t="str">
        <f t="shared" si="12"/>
        <v/>
      </c>
      <c r="CB26" s="127" t="str">
        <f t="shared" si="12"/>
        <v/>
      </c>
      <c r="CC26" s="127" t="str">
        <f t="shared" si="12"/>
        <v/>
      </c>
      <c r="CD26" s="127" t="str">
        <f t="shared" si="12"/>
        <v/>
      </c>
      <c r="CE26" s="127" t="str">
        <f t="shared" si="12"/>
        <v/>
      </c>
    </row>
    <row r="27" spans="1:83" ht="12.6" customHeight="1" x14ac:dyDescent="0.2">
      <c r="A27" s="106">
        <f>SHIPMENTS!A33</f>
        <v>9116</v>
      </c>
      <c r="B27" s="106" t="str">
        <f>SHIPMENTS!B33</f>
        <v>15900- Dagupan City |Kerwin Fernandez</v>
      </c>
      <c r="C27" s="132">
        <f>SHIPMENTS!F33</f>
        <v>0.17</v>
      </c>
      <c r="D27" s="107" t="str">
        <f>IF((SHIPMENTS!I33)=0,"",SHIPMENTS!I33)</f>
        <v>1X20</v>
      </c>
      <c r="E27" s="176">
        <f>IF((SHIPMENTS!G33)=0,"",SHIPMENTS!G33)</f>
        <v>46323</v>
      </c>
      <c r="F27" s="97">
        <f>VLOOKUP(A27,Items!$A$5:$J$1000,9,0)</f>
        <v>1</v>
      </c>
      <c r="G27" s="98">
        <f>VLOOKUP(A27,load!$A$4:$W$5001,23,0)</f>
        <v>41.4375</v>
      </c>
      <c r="H27" s="109">
        <f>Manhours!$C$29+Manhours!$C$30</f>
        <v>10</v>
      </c>
      <c r="I27" s="98">
        <f t="shared" si="0"/>
        <v>91</v>
      </c>
      <c r="J27" s="99">
        <f t="shared" si="7"/>
        <v>0.45535714285714285</v>
      </c>
      <c r="K27" s="99">
        <f t="shared" si="1"/>
        <v>4.1437499999999998</v>
      </c>
      <c r="L27" s="98">
        <f t="shared" si="8"/>
        <v>0.45535714285714285</v>
      </c>
      <c r="M27" s="98">
        <f t="shared" si="9"/>
        <v>4.1437499999999998</v>
      </c>
      <c r="N27" s="181">
        <f>IF(G27&gt;0,('MP2-SFP2'!M27+3),'SFP2'!O26)</f>
        <v>46326.424555085941</v>
      </c>
      <c r="O27" s="181">
        <f t="shared" si="11"/>
        <v>46326.879912228796</v>
      </c>
      <c r="P27" s="112">
        <f>VLOOKUP(A27,SHIPMENTS!$A$7:$N$171,14,0)</f>
        <v>0</v>
      </c>
      <c r="Q27" s="101"/>
      <c r="R27" s="127" t="str">
        <f t="shared" si="15"/>
        <v/>
      </c>
      <c r="S27" s="127" t="str">
        <f t="shared" si="15"/>
        <v/>
      </c>
      <c r="T27" s="127" t="str">
        <f t="shared" si="15"/>
        <v/>
      </c>
      <c r="U27" s="127" t="str">
        <f t="shared" si="15"/>
        <v/>
      </c>
      <c r="V27" s="127" t="str">
        <f t="shared" si="15"/>
        <v/>
      </c>
      <c r="W27" s="127" t="str">
        <f t="shared" si="15"/>
        <v/>
      </c>
      <c r="X27" s="127" t="str">
        <f t="shared" si="15"/>
        <v/>
      </c>
      <c r="Y27" s="127" t="str">
        <f t="shared" si="15"/>
        <v/>
      </c>
      <c r="Z27" s="127" t="str">
        <f t="shared" si="15"/>
        <v>▲</v>
      </c>
      <c r="AA27" s="127" t="str">
        <f t="shared" si="15"/>
        <v/>
      </c>
      <c r="AB27" s="127" t="str">
        <f t="shared" si="15"/>
        <v/>
      </c>
      <c r="AC27" s="127" t="str">
        <f t="shared" si="15"/>
        <v/>
      </c>
      <c r="AD27" s="127" t="str">
        <f t="shared" si="15"/>
        <v/>
      </c>
      <c r="AE27" s="127" t="str">
        <f t="shared" si="15"/>
        <v/>
      </c>
      <c r="AF27" s="127" t="str">
        <f t="shared" si="15"/>
        <v/>
      </c>
      <c r="AG27" s="127" t="str">
        <f t="shared" si="15"/>
        <v/>
      </c>
      <c r="AH27" s="127" t="str">
        <f t="shared" si="14"/>
        <v/>
      </c>
      <c r="AI27" s="127" t="str">
        <f t="shared" si="14"/>
        <v/>
      </c>
      <c r="AJ27" s="127" t="str">
        <f t="shared" si="14"/>
        <v/>
      </c>
      <c r="AK27" s="127" t="str">
        <f t="shared" si="14"/>
        <v/>
      </c>
      <c r="AL27" s="127" t="str">
        <f t="shared" si="14"/>
        <v/>
      </c>
      <c r="AM27" s="127" t="str">
        <f t="shared" si="14"/>
        <v/>
      </c>
      <c r="AN27" s="127" t="str">
        <f t="shared" si="14"/>
        <v/>
      </c>
      <c r="AO27" s="127" t="str">
        <f t="shared" si="14"/>
        <v/>
      </c>
      <c r="AP27" s="127" t="str">
        <f t="shared" si="14"/>
        <v/>
      </c>
      <c r="AQ27" s="127" t="str">
        <f t="shared" si="14"/>
        <v/>
      </c>
      <c r="AR27" s="127" t="str">
        <f t="shared" si="14"/>
        <v/>
      </c>
      <c r="AS27" s="127" t="str">
        <f t="shared" si="14"/>
        <v/>
      </c>
      <c r="AT27" s="127" t="str">
        <f t="shared" si="14"/>
        <v/>
      </c>
      <c r="AU27" s="127" t="str">
        <f t="shared" si="14"/>
        <v/>
      </c>
      <c r="AV27" s="127" t="str">
        <f t="shared" si="14"/>
        <v/>
      </c>
      <c r="AW27" s="127" t="str">
        <f t="shared" si="14"/>
        <v/>
      </c>
      <c r="AX27" s="127" t="str">
        <f t="shared" si="14"/>
        <v/>
      </c>
      <c r="AY27" s="127" t="str">
        <f t="shared" si="14"/>
        <v/>
      </c>
      <c r="AZ27" s="127" t="str">
        <f t="shared" si="14"/>
        <v/>
      </c>
      <c r="BA27" s="127" t="str">
        <f t="shared" si="14"/>
        <v/>
      </c>
      <c r="BB27" s="127" t="str">
        <f t="shared" si="14"/>
        <v/>
      </c>
      <c r="BC27" s="127" t="str">
        <f t="shared" si="14"/>
        <v/>
      </c>
      <c r="BD27" s="127" t="str">
        <f t="shared" si="14"/>
        <v/>
      </c>
      <c r="BE27" s="127" t="str">
        <f t="shared" si="14"/>
        <v/>
      </c>
      <c r="BF27" s="127" t="str">
        <f t="shared" si="14"/>
        <v/>
      </c>
      <c r="BG27" s="127" t="str">
        <f t="shared" si="12"/>
        <v/>
      </c>
      <c r="BH27" s="127" t="str">
        <f t="shared" si="13"/>
        <v/>
      </c>
      <c r="BI27" s="127" t="str">
        <f t="shared" si="13"/>
        <v/>
      </c>
      <c r="BJ27" s="127" t="str">
        <f t="shared" si="13"/>
        <v/>
      </c>
      <c r="BK27" s="127" t="str">
        <f t="shared" si="13"/>
        <v/>
      </c>
      <c r="BL27" s="127" t="str">
        <f t="shared" si="13"/>
        <v/>
      </c>
      <c r="BM27" s="127" t="str">
        <f t="shared" si="12"/>
        <v/>
      </c>
      <c r="BN27" s="127" t="str">
        <f t="shared" si="13"/>
        <v/>
      </c>
      <c r="BO27" s="127" t="str">
        <f t="shared" si="13"/>
        <v/>
      </c>
      <c r="BP27" s="127" t="str">
        <f t="shared" si="13"/>
        <v/>
      </c>
      <c r="BQ27" s="127" t="str">
        <f t="shared" si="13"/>
        <v/>
      </c>
      <c r="BR27" s="127" t="str">
        <f t="shared" si="13"/>
        <v/>
      </c>
      <c r="BS27" s="127" t="str">
        <f t="shared" si="12"/>
        <v/>
      </c>
      <c r="BT27" s="127" t="str">
        <f t="shared" si="12"/>
        <v/>
      </c>
      <c r="BU27" s="127" t="str">
        <f t="shared" si="12"/>
        <v/>
      </c>
      <c r="BV27" s="127" t="str">
        <f t="shared" si="12"/>
        <v/>
      </c>
      <c r="BW27" s="127" t="str">
        <f t="shared" si="12"/>
        <v/>
      </c>
      <c r="BX27" s="127" t="str">
        <f t="shared" si="12"/>
        <v/>
      </c>
      <c r="BY27" s="127" t="str">
        <f t="shared" si="12"/>
        <v/>
      </c>
      <c r="BZ27" s="127" t="str">
        <f t="shared" si="12"/>
        <v/>
      </c>
      <c r="CA27" s="127" t="str">
        <f t="shared" si="12"/>
        <v/>
      </c>
      <c r="CB27" s="127" t="str">
        <f t="shared" si="12"/>
        <v/>
      </c>
      <c r="CC27" s="127" t="str">
        <f t="shared" si="12"/>
        <v/>
      </c>
      <c r="CD27" s="127" t="str">
        <f t="shared" si="12"/>
        <v/>
      </c>
      <c r="CE27" s="127" t="str">
        <f t="shared" si="12"/>
        <v/>
      </c>
    </row>
    <row r="28" spans="1:83" ht="12.6" customHeight="1" x14ac:dyDescent="0.2">
      <c r="A28" s="106">
        <f>SHIPMENTS!A34</f>
        <v>9247</v>
      </c>
      <c r="B28" s="106" t="str">
        <f>SHIPMENTS!B34</f>
        <v>15900- Batangas City |Angela Joy Medes Mandigma</v>
      </c>
      <c r="C28" s="132">
        <f>SHIPMENTS!F34</f>
        <v>0.188</v>
      </c>
      <c r="D28" s="107" t="str">
        <f>IF((SHIPMENTS!I34)=0,"",SHIPMENTS!I34)</f>
        <v/>
      </c>
      <c r="E28" s="176">
        <f>IF((SHIPMENTS!G34)=0,"",SHIPMENTS!G34)</f>
        <v>46323</v>
      </c>
      <c r="F28" s="97">
        <f>VLOOKUP(A28,Items!$A$5:$J$1000,9,0)</f>
        <v>1</v>
      </c>
      <c r="G28" s="98">
        <f>VLOOKUP(A28,load!$A$4:$W$5001,23,0)</f>
        <v>36.125</v>
      </c>
      <c r="H28" s="109">
        <f>Manhours!$C$29+Manhours!$C$30</f>
        <v>10</v>
      </c>
      <c r="I28" s="98">
        <f t="shared" si="0"/>
        <v>91</v>
      </c>
      <c r="J28" s="99">
        <f t="shared" si="7"/>
        <v>0.39697802197802196</v>
      </c>
      <c r="K28" s="99">
        <f t="shared" si="1"/>
        <v>3.6124999999999998</v>
      </c>
      <c r="L28" s="98">
        <f t="shared" si="8"/>
        <v>0.39697802197802196</v>
      </c>
      <c r="M28" s="98">
        <f t="shared" si="9"/>
        <v>3.6124999999999998</v>
      </c>
      <c r="N28" s="181">
        <f>IF(G28&gt;0,('MP2-SFP2'!M28+3),'SFP2'!O27)</f>
        <v>46326.951528176956</v>
      </c>
      <c r="O28" s="181">
        <f t="shared" si="11"/>
        <v>46327.348506198934</v>
      </c>
      <c r="P28" s="112">
        <f>VLOOKUP(A28,SHIPMENTS!$A$7:$N$171,14,0)</f>
        <v>0</v>
      </c>
      <c r="Q28" s="101"/>
      <c r="R28" s="127" t="str">
        <f t="shared" si="15"/>
        <v/>
      </c>
      <c r="S28" s="127" t="str">
        <f t="shared" si="15"/>
        <v/>
      </c>
      <c r="T28" s="127" t="str">
        <f t="shared" si="15"/>
        <v/>
      </c>
      <c r="U28" s="127" t="str">
        <f t="shared" si="15"/>
        <v/>
      </c>
      <c r="V28" s="127" t="str">
        <f t="shared" si="15"/>
        <v/>
      </c>
      <c r="W28" s="127" t="str">
        <f t="shared" si="15"/>
        <v/>
      </c>
      <c r="X28" s="127" t="str">
        <f t="shared" si="15"/>
        <v/>
      </c>
      <c r="Y28" s="127" t="str">
        <f t="shared" si="15"/>
        <v/>
      </c>
      <c r="Z28" s="127" t="str">
        <f t="shared" si="15"/>
        <v>▲</v>
      </c>
      <c r="AA28" s="127" t="str">
        <f t="shared" si="15"/>
        <v/>
      </c>
      <c r="AB28" s="127" t="str">
        <f t="shared" si="15"/>
        <v/>
      </c>
      <c r="AC28" s="127" t="str">
        <f t="shared" si="15"/>
        <v/>
      </c>
      <c r="AD28" s="127" t="str">
        <f t="shared" si="15"/>
        <v/>
      </c>
      <c r="AE28" s="127" t="str">
        <f t="shared" si="15"/>
        <v/>
      </c>
      <c r="AF28" s="127" t="str">
        <f t="shared" si="15"/>
        <v/>
      </c>
      <c r="AG28" s="127" t="str">
        <f t="shared" si="15"/>
        <v/>
      </c>
      <c r="AH28" s="127" t="str">
        <f t="shared" si="14"/>
        <v/>
      </c>
      <c r="AI28" s="127" t="str">
        <f t="shared" si="14"/>
        <v/>
      </c>
      <c r="AJ28" s="127" t="str">
        <f t="shared" si="14"/>
        <v/>
      </c>
      <c r="AK28" s="127" t="str">
        <f t="shared" si="14"/>
        <v/>
      </c>
      <c r="AL28" s="127" t="str">
        <f t="shared" si="14"/>
        <v/>
      </c>
      <c r="AM28" s="127" t="str">
        <f t="shared" si="14"/>
        <v/>
      </c>
      <c r="AN28" s="127" t="str">
        <f t="shared" si="14"/>
        <v/>
      </c>
      <c r="AO28" s="127" t="str">
        <f t="shared" si="14"/>
        <v/>
      </c>
      <c r="AP28" s="127" t="str">
        <f t="shared" si="14"/>
        <v/>
      </c>
      <c r="AQ28" s="127" t="str">
        <f t="shared" si="14"/>
        <v/>
      </c>
      <c r="AR28" s="127" t="str">
        <f t="shared" si="14"/>
        <v/>
      </c>
      <c r="AS28" s="127" t="str">
        <f t="shared" si="14"/>
        <v/>
      </c>
      <c r="AT28" s="127" t="str">
        <f t="shared" si="14"/>
        <v/>
      </c>
      <c r="AU28" s="127" t="str">
        <f t="shared" si="14"/>
        <v/>
      </c>
      <c r="AV28" s="127" t="str">
        <f t="shared" si="14"/>
        <v/>
      </c>
      <c r="AW28" s="127" t="str">
        <f t="shared" si="14"/>
        <v/>
      </c>
      <c r="AX28" s="127" t="str">
        <f t="shared" si="14"/>
        <v/>
      </c>
      <c r="AY28" s="127" t="str">
        <f t="shared" si="14"/>
        <v/>
      </c>
      <c r="AZ28" s="127" t="str">
        <f t="shared" si="14"/>
        <v/>
      </c>
      <c r="BA28" s="127" t="str">
        <f t="shared" si="14"/>
        <v/>
      </c>
      <c r="BB28" s="127" t="str">
        <f t="shared" si="14"/>
        <v/>
      </c>
      <c r="BC28" s="127" t="str">
        <f t="shared" si="14"/>
        <v/>
      </c>
      <c r="BD28" s="127" t="str">
        <f t="shared" si="14"/>
        <v/>
      </c>
      <c r="BE28" s="127" t="str">
        <f t="shared" si="14"/>
        <v/>
      </c>
      <c r="BF28" s="127" t="str">
        <f t="shared" si="14"/>
        <v/>
      </c>
      <c r="BG28" s="127" t="str">
        <f t="shared" si="12"/>
        <v/>
      </c>
      <c r="BH28" s="127" t="str">
        <f t="shared" si="13"/>
        <v/>
      </c>
      <c r="BI28" s="127" t="str">
        <f t="shared" si="13"/>
        <v/>
      </c>
      <c r="BJ28" s="127" t="str">
        <f t="shared" si="13"/>
        <v/>
      </c>
      <c r="BK28" s="127" t="str">
        <f t="shared" si="13"/>
        <v/>
      </c>
      <c r="BL28" s="127" t="str">
        <f t="shared" si="13"/>
        <v/>
      </c>
      <c r="BM28" s="127" t="str">
        <f t="shared" si="12"/>
        <v/>
      </c>
      <c r="BN28" s="127" t="str">
        <f t="shared" si="13"/>
        <v/>
      </c>
      <c r="BO28" s="127" t="str">
        <f t="shared" si="13"/>
        <v/>
      </c>
      <c r="BP28" s="127" t="str">
        <f t="shared" si="13"/>
        <v/>
      </c>
      <c r="BQ28" s="127" t="str">
        <f t="shared" si="13"/>
        <v/>
      </c>
      <c r="BR28" s="127" t="str">
        <f t="shared" si="13"/>
        <v/>
      </c>
      <c r="BS28" s="127" t="str">
        <f t="shared" si="12"/>
        <v/>
      </c>
      <c r="BT28" s="127" t="str">
        <f t="shared" si="12"/>
        <v/>
      </c>
      <c r="BU28" s="127" t="str">
        <f t="shared" si="12"/>
        <v/>
      </c>
      <c r="BV28" s="127" t="str">
        <f t="shared" si="12"/>
        <v/>
      </c>
      <c r="BW28" s="127" t="str">
        <f t="shared" si="12"/>
        <v/>
      </c>
      <c r="BX28" s="127" t="str">
        <f t="shared" si="12"/>
        <v/>
      </c>
      <c r="BY28" s="127" t="str">
        <f t="shared" si="12"/>
        <v/>
      </c>
      <c r="BZ28" s="127" t="str">
        <f t="shared" si="12"/>
        <v/>
      </c>
      <c r="CA28" s="127" t="str">
        <f t="shared" si="12"/>
        <v/>
      </c>
      <c r="CB28" s="127" t="str">
        <f t="shared" si="12"/>
        <v/>
      </c>
      <c r="CC28" s="127" t="str">
        <f t="shared" si="12"/>
        <v/>
      </c>
      <c r="CD28" s="127" t="str">
        <f t="shared" si="12"/>
        <v/>
      </c>
      <c r="CE28" s="127" t="str">
        <f t="shared" si="12"/>
        <v/>
      </c>
    </row>
    <row r="29" spans="1:83" ht="12.6" customHeight="1" x14ac:dyDescent="0.2">
      <c r="A29" s="106">
        <f>SHIPMENTS!A35</f>
        <v>9302</v>
      </c>
      <c r="B29" s="106" t="str">
        <f>SHIPMENTS!B35</f>
        <v>15900- Binangonan Rizal |Dr. Jonathan Emmanuel Sandejas</v>
      </c>
      <c r="C29" s="132">
        <f>SHIPMENTS!F35</f>
        <v>0.14499999999999999</v>
      </c>
      <c r="D29" s="107" t="str">
        <f>IF((SHIPMENTS!I35)=0,"",SHIPMENTS!I35)</f>
        <v/>
      </c>
      <c r="E29" s="176">
        <f>IF((SHIPMENTS!G35)=0,"",SHIPMENTS!G35)</f>
        <v>46323</v>
      </c>
      <c r="F29" s="97">
        <f>VLOOKUP(A29,Items!$A$5:$J$1000,9,0)</f>
        <v>1</v>
      </c>
      <c r="G29" s="98">
        <f>VLOOKUP(A29,load!$A$4:$W$5001,23,0)</f>
        <v>36.125</v>
      </c>
      <c r="H29" s="109">
        <f>Manhours!$C$29+Manhours!$C$30</f>
        <v>10</v>
      </c>
      <c r="I29" s="98">
        <f t="shared" si="0"/>
        <v>91</v>
      </c>
      <c r="J29" s="99">
        <f t="shared" si="7"/>
        <v>0.39697802197802196</v>
      </c>
      <c r="K29" s="99">
        <f t="shared" si="1"/>
        <v>3.6124999999999998</v>
      </c>
      <c r="L29" s="98">
        <f t="shared" si="8"/>
        <v>0.39697802197802196</v>
      </c>
      <c r="M29" s="98">
        <f t="shared" si="9"/>
        <v>3.6124999999999998</v>
      </c>
      <c r="N29" s="181">
        <f>IF(G29&gt;0,('MP2-SFP2'!M29+3),'SFP2'!O28)</f>
        <v>46327.414147224576</v>
      </c>
      <c r="O29" s="181">
        <f t="shared" si="11"/>
        <v>46327.811125246553</v>
      </c>
      <c r="P29" s="112">
        <f>VLOOKUP(A29,SHIPMENTS!$A$7:$N$171,14,0)</f>
        <v>0</v>
      </c>
      <c r="Q29" s="101"/>
      <c r="R29" s="127" t="str">
        <f t="shared" si="15"/>
        <v/>
      </c>
      <c r="S29" s="127" t="str">
        <f t="shared" si="15"/>
        <v/>
      </c>
      <c r="T29" s="127" t="str">
        <f t="shared" si="15"/>
        <v/>
      </c>
      <c r="U29" s="127" t="str">
        <f t="shared" si="15"/>
        <v/>
      </c>
      <c r="V29" s="127" t="str">
        <f t="shared" si="15"/>
        <v/>
      </c>
      <c r="W29" s="127" t="str">
        <f t="shared" si="15"/>
        <v/>
      </c>
      <c r="X29" s="127" t="str">
        <f t="shared" si="15"/>
        <v/>
      </c>
      <c r="Y29" s="127" t="str">
        <f t="shared" si="15"/>
        <v/>
      </c>
      <c r="Z29" s="127" t="str">
        <f t="shared" si="15"/>
        <v>▲</v>
      </c>
      <c r="AA29" s="127" t="str">
        <f t="shared" si="15"/>
        <v/>
      </c>
      <c r="AB29" s="127" t="str">
        <f t="shared" si="15"/>
        <v/>
      </c>
      <c r="AC29" s="127" t="str">
        <f t="shared" si="15"/>
        <v/>
      </c>
      <c r="AD29" s="127" t="str">
        <f t="shared" si="15"/>
        <v/>
      </c>
      <c r="AE29" s="127" t="str">
        <f t="shared" si="15"/>
        <v/>
      </c>
      <c r="AF29" s="127" t="str">
        <f t="shared" si="15"/>
        <v/>
      </c>
      <c r="AG29" s="127" t="str">
        <f t="shared" si="15"/>
        <v/>
      </c>
      <c r="AH29" s="127" t="str">
        <f t="shared" si="14"/>
        <v/>
      </c>
      <c r="AI29" s="127" t="str">
        <f t="shared" si="14"/>
        <v/>
      </c>
      <c r="AJ29" s="127" t="str">
        <f t="shared" si="14"/>
        <v/>
      </c>
      <c r="AK29" s="127" t="str">
        <f t="shared" si="14"/>
        <v/>
      </c>
      <c r="AL29" s="127" t="str">
        <f t="shared" si="14"/>
        <v/>
      </c>
      <c r="AM29" s="127" t="str">
        <f t="shared" si="14"/>
        <v/>
      </c>
      <c r="AN29" s="127" t="str">
        <f t="shared" si="14"/>
        <v/>
      </c>
      <c r="AO29" s="127" t="str">
        <f t="shared" si="14"/>
        <v/>
      </c>
      <c r="AP29" s="127" t="str">
        <f t="shared" si="14"/>
        <v/>
      </c>
      <c r="AQ29" s="127" t="str">
        <f t="shared" si="14"/>
        <v/>
      </c>
      <c r="AR29" s="127" t="str">
        <f t="shared" si="14"/>
        <v/>
      </c>
      <c r="AS29" s="127" t="str">
        <f t="shared" si="14"/>
        <v/>
      </c>
      <c r="AT29" s="127" t="str">
        <f t="shared" si="14"/>
        <v/>
      </c>
      <c r="AU29" s="127" t="str">
        <f t="shared" si="14"/>
        <v/>
      </c>
      <c r="AV29" s="127" t="str">
        <f t="shared" si="14"/>
        <v/>
      </c>
      <c r="AW29" s="127" t="str">
        <f t="shared" si="14"/>
        <v/>
      </c>
      <c r="AX29" s="127" t="str">
        <f t="shared" si="14"/>
        <v/>
      </c>
      <c r="AY29" s="127" t="str">
        <f t="shared" si="14"/>
        <v/>
      </c>
      <c r="AZ29" s="127" t="str">
        <f t="shared" si="14"/>
        <v/>
      </c>
      <c r="BA29" s="127" t="str">
        <f t="shared" si="14"/>
        <v/>
      </c>
      <c r="BB29" s="127" t="str">
        <f t="shared" si="14"/>
        <v/>
      </c>
      <c r="BC29" s="127" t="str">
        <f t="shared" si="14"/>
        <v/>
      </c>
      <c r="BD29" s="127" t="str">
        <f t="shared" si="14"/>
        <v/>
      </c>
      <c r="BE29" s="127" t="str">
        <f t="shared" si="14"/>
        <v/>
      </c>
      <c r="BF29" s="127" t="str">
        <f t="shared" si="14"/>
        <v/>
      </c>
      <c r="BG29" s="127" t="str">
        <f t="shared" si="12"/>
        <v/>
      </c>
      <c r="BH29" s="127" t="str">
        <f t="shared" si="13"/>
        <v/>
      </c>
      <c r="BI29" s="127" t="str">
        <f t="shared" si="13"/>
        <v/>
      </c>
      <c r="BJ29" s="127" t="str">
        <f t="shared" si="13"/>
        <v/>
      </c>
      <c r="BK29" s="127" t="str">
        <f t="shared" si="13"/>
        <v/>
      </c>
      <c r="BL29" s="127" t="str">
        <f t="shared" si="13"/>
        <v/>
      </c>
      <c r="BM29" s="127" t="str">
        <f t="shared" si="12"/>
        <v/>
      </c>
      <c r="BN29" s="127" t="str">
        <f t="shared" si="12"/>
        <v/>
      </c>
      <c r="BO29" s="127" t="str">
        <f t="shared" si="12"/>
        <v/>
      </c>
      <c r="BP29" s="127" t="str">
        <f t="shared" si="12"/>
        <v/>
      </c>
      <c r="BQ29" s="127" t="str">
        <f t="shared" si="12"/>
        <v/>
      </c>
      <c r="BR29" s="127" t="str">
        <f t="shared" si="12"/>
        <v/>
      </c>
      <c r="BS29" s="127" t="str">
        <f t="shared" si="12"/>
        <v/>
      </c>
      <c r="BT29" s="127" t="str">
        <f t="shared" si="12"/>
        <v/>
      </c>
      <c r="BU29" s="127" t="str">
        <f t="shared" si="12"/>
        <v/>
      </c>
      <c r="BV29" s="127" t="str">
        <f t="shared" si="12"/>
        <v/>
      </c>
      <c r="BW29" s="127" t="str">
        <f t="shared" si="12"/>
        <v/>
      </c>
      <c r="BX29" s="127" t="str">
        <f t="shared" si="12"/>
        <v/>
      </c>
      <c r="BY29" s="127" t="str">
        <f t="shared" si="12"/>
        <v/>
      </c>
      <c r="BZ29" s="127" t="str">
        <f t="shared" si="12"/>
        <v/>
      </c>
      <c r="CA29" s="127" t="str">
        <f t="shared" si="12"/>
        <v/>
      </c>
      <c r="CB29" s="127" t="str">
        <f t="shared" si="12"/>
        <v/>
      </c>
      <c r="CC29" s="127" t="str">
        <f t="shared" si="12"/>
        <v/>
      </c>
      <c r="CD29" s="127" t="str">
        <f t="shared" si="12"/>
        <v/>
      </c>
      <c r="CE29" s="127" t="str">
        <f t="shared" si="12"/>
        <v/>
      </c>
    </row>
    <row r="30" spans="1:83" ht="12.6" customHeight="1" x14ac:dyDescent="0.2">
      <c r="A30" s="106">
        <f>SHIPMENTS!A36</f>
        <v>8954</v>
      </c>
      <c r="B30" s="106" t="str">
        <f>SHIPMENTS!B36</f>
        <v>15900- Cainta Rizal | Mary Baquiran</v>
      </c>
      <c r="C30" s="132">
        <f>SHIPMENTS!F36</f>
        <v>6.4999999999999997E-3</v>
      </c>
      <c r="D30" s="107" t="str">
        <f>IF((SHIPMENTS!I36)=0,"",SHIPMENTS!I36)</f>
        <v/>
      </c>
      <c r="E30" s="176">
        <f>IF((SHIPMENTS!G36)=0,"",SHIPMENTS!G36)</f>
        <v>46323</v>
      </c>
      <c r="F30" s="97">
        <f>VLOOKUP(A30,Items!$A$5:$J$1000,9,0)</f>
        <v>0</v>
      </c>
      <c r="G30" s="98">
        <f>VLOOKUP(A30,load!$A$4:$W$5001,23,0)</f>
        <v>0</v>
      </c>
      <c r="H30" s="109">
        <f>Manhours!$C$29+Manhours!$C$30</f>
        <v>10</v>
      </c>
      <c r="I30" s="98">
        <f t="shared" si="0"/>
        <v>91</v>
      </c>
      <c r="J30" s="99">
        <f t="shared" si="7"/>
        <v>0</v>
      </c>
      <c r="K30" s="99">
        <f t="shared" si="1"/>
        <v>0</v>
      </c>
      <c r="L30" s="98">
        <f t="shared" si="8"/>
        <v>0</v>
      </c>
      <c r="M30" s="98">
        <f t="shared" si="9"/>
        <v>0</v>
      </c>
      <c r="N30" s="181">
        <f>IF(G30&gt;0,('MP2-SFP2'!M30+3),'SFP2'!O29)</f>
        <v>46327.811125246553</v>
      </c>
      <c r="O30" s="181">
        <f t="shared" si="11"/>
        <v>46327.811125246553</v>
      </c>
      <c r="P30" s="112">
        <f>VLOOKUP(A30,SHIPMENTS!$A$7:$N$171,14,0)</f>
        <v>0</v>
      </c>
      <c r="Q30" s="101"/>
      <c r="R30" s="127" t="str">
        <f t="shared" si="15"/>
        <v/>
      </c>
      <c r="S30" s="127" t="str">
        <f t="shared" si="15"/>
        <v/>
      </c>
      <c r="T30" s="127" t="str">
        <f t="shared" si="15"/>
        <v/>
      </c>
      <c r="U30" s="127" t="str">
        <f t="shared" si="15"/>
        <v/>
      </c>
      <c r="V30" s="127" t="str">
        <f t="shared" si="15"/>
        <v/>
      </c>
      <c r="W30" s="127" t="str">
        <f t="shared" si="15"/>
        <v/>
      </c>
      <c r="X30" s="127" t="str">
        <f t="shared" si="15"/>
        <v/>
      </c>
      <c r="Y30" s="127" t="str">
        <f t="shared" si="15"/>
        <v/>
      </c>
      <c r="Z30" s="127" t="str">
        <f t="shared" si="15"/>
        <v>▲</v>
      </c>
      <c r="AA30" s="127" t="str">
        <f t="shared" si="15"/>
        <v/>
      </c>
      <c r="AB30" s="127" t="str">
        <f t="shared" si="15"/>
        <v/>
      </c>
      <c r="AC30" s="127" t="str">
        <f t="shared" si="15"/>
        <v/>
      </c>
      <c r="AD30" s="127" t="str">
        <f t="shared" si="15"/>
        <v/>
      </c>
      <c r="AE30" s="127" t="str">
        <f t="shared" si="15"/>
        <v/>
      </c>
      <c r="AF30" s="127" t="str">
        <f t="shared" si="15"/>
        <v/>
      </c>
      <c r="AG30" s="127" t="str">
        <f t="shared" si="15"/>
        <v/>
      </c>
      <c r="AH30" s="127" t="str">
        <f t="shared" si="14"/>
        <v/>
      </c>
      <c r="AI30" s="127" t="str">
        <f t="shared" si="14"/>
        <v/>
      </c>
      <c r="AJ30" s="127" t="str">
        <f t="shared" si="14"/>
        <v/>
      </c>
      <c r="AK30" s="127" t="str">
        <f t="shared" si="14"/>
        <v/>
      </c>
      <c r="AL30" s="127" t="str">
        <f t="shared" si="14"/>
        <v/>
      </c>
      <c r="AM30" s="127" t="str">
        <f t="shared" si="14"/>
        <v/>
      </c>
      <c r="AN30" s="127" t="str">
        <f t="shared" si="14"/>
        <v/>
      </c>
      <c r="AO30" s="127" t="str">
        <f t="shared" si="14"/>
        <v/>
      </c>
      <c r="AP30" s="127" t="str">
        <f t="shared" si="14"/>
        <v/>
      </c>
      <c r="AQ30" s="127" t="str">
        <f t="shared" si="14"/>
        <v/>
      </c>
      <c r="AR30" s="127" t="str">
        <f t="shared" si="14"/>
        <v/>
      </c>
      <c r="AS30" s="127" t="str">
        <f t="shared" si="14"/>
        <v/>
      </c>
      <c r="AT30" s="127" t="str">
        <f t="shared" si="14"/>
        <v/>
      </c>
      <c r="AU30" s="127" t="str">
        <f t="shared" si="14"/>
        <v/>
      </c>
      <c r="AV30" s="127" t="str">
        <f t="shared" si="14"/>
        <v/>
      </c>
      <c r="AW30" s="127" t="str">
        <f t="shared" si="14"/>
        <v/>
      </c>
      <c r="AX30" s="127" t="str">
        <f t="shared" si="14"/>
        <v/>
      </c>
      <c r="AY30" s="127" t="str">
        <f t="shared" si="14"/>
        <v/>
      </c>
      <c r="AZ30" s="127" t="str">
        <f t="shared" si="14"/>
        <v/>
      </c>
      <c r="BA30" s="127" t="str">
        <f t="shared" si="14"/>
        <v/>
      </c>
      <c r="BB30" s="127" t="str">
        <f t="shared" si="14"/>
        <v/>
      </c>
      <c r="BC30" s="127" t="str">
        <f t="shared" si="14"/>
        <v/>
      </c>
      <c r="BD30" s="127" t="str">
        <f t="shared" si="14"/>
        <v/>
      </c>
      <c r="BE30" s="127" t="str">
        <f t="shared" si="14"/>
        <v/>
      </c>
      <c r="BF30" s="127" t="str">
        <f t="shared" si="14"/>
        <v/>
      </c>
      <c r="BG30" s="127" t="str">
        <f t="shared" si="12"/>
        <v/>
      </c>
      <c r="BH30" s="127" t="str">
        <f t="shared" si="13"/>
        <v/>
      </c>
      <c r="BI30" s="127" t="str">
        <f t="shared" si="13"/>
        <v/>
      </c>
      <c r="BJ30" s="127" t="str">
        <f t="shared" si="13"/>
        <v/>
      </c>
      <c r="BK30" s="127" t="str">
        <f t="shared" si="13"/>
        <v/>
      </c>
      <c r="BL30" s="127" t="str">
        <f t="shared" si="13"/>
        <v/>
      </c>
      <c r="BM30" s="127" t="str">
        <f t="shared" si="12"/>
        <v/>
      </c>
      <c r="BN30" s="127" t="str">
        <f t="shared" si="12"/>
        <v/>
      </c>
      <c r="BO30" s="127" t="str">
        <f t="shared" si="12"/>
        <v/>
      </c>
      <c r="BP30" s="127" t="str">
        <f t="shared" si="12"/>
        <v/>
      </c>
      <c r="BQ30" s="127" t="str">
        <f t="shared" si="12"/>
        <v/>
      </c>
      <c r="BR30" s="127" t="str">
        <f t="shared" si="12"/>
        <v/>
      </c>
      <c r="BS30" s="127" t="str">
        <f t="shared" si="12"/>
        <v/>
      </c>
      <c r="BT30" s="127" t="str">
        <f t="shared" si="12"/>
        <v/>
      </c>
      <c r="BU30" s="127" t="str">
        <f t="shared" si="12"/>
        <v/>
      </c>
      <c r="BV30" s="127" t="str">
        <f t="shared" si="12"/>
        <v/>
      </c>
      <c r="BW30" s="127" t="str">
        <f t="shared" si="12"/>
        <v/>
      </c>
      <c r="BX30" s="127" t="str">
        <f t="shared" si="12"/>
        <v/>
      </c>
      <c r="BY30" s="127" t="str">
        <f t="shared" si="12"/>
        <v/>
      </c>
      <c r="BZ30" s="127" t="str">
        <f t="shared" si="12"/>
        <v/>
      </c>
      <c r="CA30" s="127" t="str">
        <f t="shared" si="12"/>
        <v/>
      </c>
      <c r="CB30" s="127" t="str">
        <f t="shared" si="12"/>
        <v/>
      </c>
      <c r="CC30" s="127" t="str">
        <f t="shared" si="12"/>
        <v/>
      </c>
      <c r="CD30" s="127" t="str">
        <f t="shared" si="12"/>
        <v/>
      </c>
      <c r="CE30" s="127" t="str">
        <f t="shared" si="12"/>
        <v/>
      </c>
    </row>
    <row r="31" spans="1:83" ht="12.6" hidden="1" customHeight="1" x14ac:dyDescent="0.2">
      <c r="A31" s="106">
        <f>SHIPMENTS!A37</f>
        <v>9064</v>
      </c>
      <c r="B31" s="106" t="str">
        <f>SHIPMENTS!B37</f>
        <v>15900- Quezon City | Hans Jason Tan</v>
      </c>
      <c r="C31" s="132">
        <f>SHIPMENTS!F37</f>
        <v>6.4999999999999997E-3</v>
      </c>
      <c r="D31" s="107" t="str">
        <f>IF((SHIPMENTS!I37)=0,"",SHIPMENTS!I37)</f>
        <v/>
      </c>
      <c r="E31" s="176">
        <f>IF((SHIPMENTS!G37)=0,"",SHIPMENTS!G37)</f>
        <v>46323</v>
      </c>
      <c r="F31" s="97">
        <f>VLOOKUP(A31,Items!$A$5:$J$1000,9,0)</f>
        <v>0</v>
      </c>
      <c r="G31" s="98">
        <f>VLOOKUP(A31,load!$A$4:$W$5001,23,0)</f>
        <v>0</v>
      </c>
      <c r="H31" s="109">
        <f>Manhours!$C$29+Manhours!$C$30</f>
        <v>10</v>
      </c>
      <c r="I31" s="98">
        <f t="shared" si="0"/>
        <v>91</v>
      </c>
      <c r="J31" s="99">
        <f t="shared" si="7"/>
        <v>0</v>
      </c>
      <c r="K31" s="99">
        <f t="shared" si="1"/>
        <v>0</v>
      </c>
      <c r="L31" s="98">
        <f t="shared" si="8"/>
        <v>0</v>
      </c>
      <c r="M31" s="98">
        <f t="shared" si="9"/>
        <v>0</v>
      </c>
      <c r="N31" s="181">
        <f>IF(G31&gt;0,('MP2-SFP2'!M31+3),'SFP2'!O30)</f>
        <v>46327.811125246553</v>
      </c>
      <c r="O31" s="181">
        <f t="shared" si="11"/>
        <v>46327.811125246553</v>
      </c>
      <c r="P31" s="112" t="str">
        <f>VLOOKUP(A31,SHIPMENTS!$A$7:$N$171,14,0)</f>
        <v>n/a</v>
      </c>
      <c r="Q31" s="101"/>
      <c r="R31" s="127" t="str">
        <f t="shared" si="15"/>
        <v/>
      </c>
      <c r="S31" s="127" t="str">
        <f t="shared" si="15"/>
        <v/>
      </c>
      <c r="T31" s="127" t="str">
        <f t="shared" si="15"/>
        <v/>
      </c>
      <c r="U31" s="127" t="str">
        <f t="shared" si="15"/>
        <v/>
      </c>
      <c r="V31" s="127" t="str">
        <f t="shared" si="15"/>
        <v/>
      </c>
      <c r="W31" s="127" t="str">
        <f t="shared" si="15"/>
        <v/>
      </c>
      <c r="X31" s="127" t="str">
        <f t="shared" si="15"/>
        <v/>
      </c>
      <c r="Y31" s="127" t="str">
        <f t="shared" si="15"/>
        <v/>
      </c>
      <c r="Z31" s="127" t="str">
        <f t="shared" si="15"/>
        <v>▲</v>
      </c>
      <c r="AA31" s="127" t="str">
        <f t="shared" si="15"/>
        <v/>
      </c>
      <c r="AB31" s="127" t="str">
        <f t="shared" si="15"/>
        <v/>
      </c>
      <c r="AC31" s="127" t="str">
        <f t="shared" si="15"/>
        <v/>
      </c>
      <c r="AD31" s="127" t="str">
        <f t="shared" si="15"/>
        <v/>
      </c>
      <c r="AE31" s="127" t="str">
        <f t="shared" si="15"/>
        <v/>
      </c>
      <c r="AF31" s="127" t="str">
        <f t="shared" si="15"/>
        <v/>
      </c>
      <c r="AG31" s="127" t="str">
        <f t="shared" si="15"/>
        <v/>
      </c>
      <c r="AH31" s="127" t="str">
        <f t="shared" si="14"/>
        <v/>
      </c>
      <c r="AI31" s="127" t="str">
        <f t="shared" si="14"/>
        <v/>
      </c>
      <c r="AJ31" s="127" t="str">
        <f t="shared" si="14"/>
        <v/>
      </c>
      <c r="AK31" s="127" t="str">
        <f t="shared" si="14"/>
        <v/>
      </c>
      <c r="AL31" s="127" t="str">
        <f t="shared" si="14"/>
        <v/>
      </c>
      <c r="AM31" s="127" t="str">
        <f t="shared" si="14"/>
        <v/>
      </c>
      <c r="AN31" s="127" t="str">
        <f t="shared" si="14"/>
        <v/>
      </c>
      <c r="AO31" s="127" t="str">
        <f t="shared" si="14"/>
        <v/>
      </c>
      <c r="AP31" s="127" t="str">
        <f t="shared" si="14"/>
        <v/>
      </c>
      <c r="AQ31" s="127" t="str">
        <f t="shared" si="14"/>
        <v/>
      </c>
      <c r="AR31" s="127" t="str">
        <f t="shared" si="14"/>
        <v/>
      </c>
      <c r="AS31" s="127" t="str">
        <f t="shared" si="14"/>
        <v/>
      </c>
      <c r="AT31" s="127" t="str">
        <f t="shared" si="14"/>
        <v/>
      </c>
      <c r="AU31" s="127" t="str">
        <f t="shared" si="14"/>
        <v/>
      </c>
      <c r="AV31" s="127" t="str">
        <f t="shared" si="14"/>
        <v/>
      </c>
      <c r="AW31" s="127" t="str">
        <f t="shared" si="14"/>
        <v/>
      </c>
      <c r="AX31" s="127" t="str">
        <f t="shared" si="14"/>
        <v/>
      </c>
      <c r="AY31" s="127" t="str">
        <f t="shared" si="14"/>
        <v/>
      </c>
      <c r="AZ31" s="127" t="str">
        <f t="shared" si="14"/>
        <v/>
      </c>
      <c r="BA31" s="127" t="str">
        <f t="shared" si="14"/>
        <v/>
      </c>
      <c r="BB31" s="127" t="str">
        <f t="shared" si="14"/>
        <v/>
      </c>
      <c r="BC31" s="127" t="str">
        <f t="shared" si="14"/>
        <v/>
      </c>
      <c r="BD31" s="127" t="str">
        <f t="shared" si="14"/>
        <v/>
      </c>
      <c r="BE31" s="127" t="str">
        <f t="shared" si="14"/>
        <v/>
      </c>
      <c r="BF31" s="127" t="str">
        <f t="shared" si="14"/>
        <v/>
      </c>
      <c r="BG31" s="127" t="str">
        <f t="shared" si="12"/>
        <v/>
      </c>
      <c r="BH31" s="127" t="str">
        <f t="shared" si="13"/>
        <v/>
      </c>
      <c r="BI31" s="127" t="str">
        <f t="shared" si="13"/>
        <v/>
      </c>
      <c r="BJ31" s="127" t="str">
        <f t="shared" si="13"/>
        <v/>
      </c>
      <c r="BK31" s="127" t="str">
        <f t="shared" si="13"/>
        <v/>
      </c>
      <c r="BL31" s="127" t="str">
        <f t="shared" si="13"/>
        <v/>
      </c>
      <c r="BM31" s="127" t="str">
        <f t="shared" si="12"/>
        <v/>
      </c>
      <c r="BN31" s="127" t="str">
        <f t="shared" si="12"/>
        <v/>
      </c>
      <c r="BO31" s="127" t="str">
        <f t="shared" si="12"/>
        <v/>
      </c>
      <c r="BP31" s="127" t="str">
        <f t="shared" si="12"/>
        <v/>
      </c>
      <c r="BQ31" s="127" t="str">
        <f t="shared" si="12"/>
        <v/>
      </c>
      <c r="BR31" s="127" t="str">
        <f t="shared" si="12"/>
        <v/>
      </c>
      <c r="BS31" s="127" t="str">
        <f t="shared" si="12"/>
        <v/>
      </c>
      <c r="BT31" s="127" t="str">
        <f t="shared" si="12"/>
        <v/>
      </c>
      <c r="BU31" s="127" t="str">
        <f t="shared" si="12"/>
        <v/>
      </c>
      <c r="BV31" s="127" t="str">
        <f t="shared" si="12"/>
        <v/>
      </c>
      <c r="BW31" s="127" t="str">
        <f t="shared" si="12"/>
        <v/>
      </c>
      <c r="BX31" s="127" t="str">
        <f t="shared" si="12"/>
        <v/>
      </c>
      <c r="BY31" s="127" t="str">
        <f t="shared" si="12"/>
        <v/>
      </c>
      <c r="BZ31" s="127" t="str">
        <f t="shared" si="12"/>
        <v/>
      </c>
      <c r="CA31" s="127" t="str">
        <f t="shared" si="12"/>
        <v/>
      </c>
      <c r="CB31" s="127" t="str">
        <f t="shared" si="12"/>
        <v/>
      </c>
      <c r="CC31" s="127" t="str">
        <f t="shared" si="12"/>
        <v/>
      </c>
      <c r="CD31" s="127" t="str">
        <f t="shared" si="12"/>
        <v/>
      </c>
      <c r="CE31" s="127" t="str">
        <f t="shared" si="12"/>
        <v/>
      </c>
    </row>
    <row r="32" spans="1:83" ht="12.6" customHeight="1" x14ac:dyDescent="0.2">
      <c r="A32" s="106">
        <f>SHIPMENTS!A38</f>
        <v>9065</v>
      </c>
      <c r="B32" s="106" t="str">
        <f>SHIPMENTS!B38</f>
        <v>15900- Cavite | Kristine Austria</v>
      </c>
      <c r="C32" s="132">
        <f>SHIPMENTS!F38</f>
        <v>0</v>
      </c>
      <c r="D32" s="107" t="str">
        <f>IF((SHIPMENTS!I38)=0,"",SHIPMENTS!I38)</f>
        <v/>
      </c>
      <c r="E32" s="176">
        <f>IF((SHIPMENTS!G38)=0,"",SHIPMENTS!G38)</f>
        <v>46323</v>
      </c>
      <c r="F32" s="97">
        <f>VLOOKUP(A32,Items!$A$5:$J$1000,9,0)</f>
        <v>0</v>
      </c>
      <c r="G32" s="98">
        <f>VLOOKUP(A32,load!$A$4:$W$5001,23,0)</f>
        <v>0</v>
      </c>
      <c r="H32" s="109">
        <f>Manhours!$C$29+Manhours!$C$30</f>
        <v>10</v>
      </c>
      <c r="I32" s="98">
        <f t="shared" si="0"/>
        <v>91</v>
      </c>
      <c r="J32" s="99">
        <f t="shared" si="7"/>
        <v>0</v>
      </c>
      <c r="K32" s="99">
        <f t="shared" si="1"/>
        <v>0</v>
      </c>
      <c r="L32" s="98">
        <f t="shared" si="8"/>
        <v>0</v>
      </c>
      <c r="M32" s="98">
        <f t="shared" si="9"/>
        <v>0</v>
      </c>
      <c r="N32" s="181">
        <f>IF(G32&gt;0,('MP2-SFP2'!M32+3),'SFP2'!O31)</f>
        <v>46327.811125246553</v>
      </c>
      <c r="O32" s="181">
        <f t="shared" si="11"/>
        <v>46327.811125246553</v>
      </c>
      <c r="P32" s="112">
        <f>VLOOKUP(A32,SHIPMENTS!$A$7:$N$171,14,0)</f>
        <v>0</v>
      </c>
      <c r="Q32" s="101"/>
      <c r="R32" s="127" t="str">
        <f t="shared" si="15"/>
        <v/>
      </c>
      <c r="S32" s="127" t="str">
        <f t="shared" si="15"/>
        <v/>
      </c>
      <c r="T32" s="127" t="str">
        <f t="shared" si="15"/>
        <v/>
      </c>
      <c r="U32" s="127" t="str">
        <f t="shared" si="15"/>
        <v/>
      </c>
      <c r="V32" s="127" t="str">
        <f t="shared" si="15"/>
        <v/>
      </c>
      <c r="W32" s="127" t="str">
        <f t="shared" si="15"/>
        <v/>
      </c>
      <c r="X32" s="127" t="str">
        <f t="shared" si="15"/>
        <v/>
      </c>
      <c r="Y32" s="127" t="str">
        <f t="shared" si="15"/>
        <v/>
      </c>
      <c r="Z32" s="127" t="str">
        <f t="shared" si="15"/>
        <v>▲</v>
      </c>
      <c r="AA32" s="127" t="str">
        <f t="shared" si="15"/>
        <v/>
      </c>
      <c r="AB32" s="127" t="str">
        <f t="shared" si="15"/>
        <v/>
      </c>
      <c r="AC32" s="127" t="str">
        <f t="shared" si="15"/>
        <v/>
      </c>
      <c r="AD32" s="127" t="str">
        <f t="shared" si="15"/>
        <v/>
      </c>
      <c r="AE32" s="127" t="str">
        <f t="shared" si="15"/>
        <v/>
      </c>
      <c r="AF32" s="127" t="str">
        <f t="shared" si="15"/>
        <v/>
      </c>
      <c r="AG32" s="127" t="str">
        <f t="shared" si="15"/>
        <v/>
      </c>
      <c r="AH32" s="127" t="str">
        <f t="shared" si="14"/>
        <v/>
      </c>
      <c r="AI32" s="127" t="str">
        <f t="shared" si="14"/>
        <v/>
      </c>
      <c r="AJ32" s="127" t="str">
        <f t="shared" si="14"/>
        <v/>
      </c>
      <c r="AK32" s="127" t="str">
        <f t="shared" si="14"/>
        <v/>
      </c>
      <c r="AL32" s="127" t="str">
        <f t="shared" si="14"/>
        <v/>
      </c>
      <c r="AM32" s="127" t="str">
        <f t="shared" si="14"/>
        <v/>
      </c>
      <c r="AN32" s="127" t="str">
        <f t="shared" si="14"/>
        <v/>
      </c>
      <c r="AO32" s="127" t="str">
        <f t="shared" si="14"/>
        <v/>
      </c>
      <c r="AP32" s="127" t="str">
        <f t="shared" si="14"/>
        <v/>
      </c>
      <c r="AQ32" s="127" t="str">
        <f t="shared" si="14"/>
        <v/>
      </c>
      <c r="AR32" s="127" t="str">
        <f t="shared" si="14"/>
        <v/>
      </c>
      <c r="AS32" s="127" t="str">
        <f t="shared" si="14"/>
        <v/>
      </c>
      <c r="AT32" s="127" t="str">
        <f t="shared" si="14"/>
        <v/>
      </c>
      <c r="AU32" s="127" t="str">
        <f t="shared" si="14"/>
        <v/>
      </c>
      <c r="AV32" s="127" t="str">
        <f t="shared" si="14"/>
        <v/>
      </c>
      <c r="AW32" s="127" t="str">
        <f t="shared" si="14"/>
        <v/>
      </c>
      <c r="AX32" s="127" t="str">
        <f t="shared" si="14"/>
        <v/>
      </c>
      <c r="AY32" s="127" t="str">
        <f t="shared" si="14"/>
        <v/>
      </c>
      <c r="AZ32" s="127" t="str">
        <f t="shared" si="14"/>
        <v/>
      </c>
      <c r="BA32" s="127" t="str">
        <f t="shared" si="14"/>
        <v/>
      </c>
      <c r="BB32" s="127" t="str">
        <f t="shared" si="14"/>
        <v/>
      </c>
      <c r="BC32" s="127" t="str">
        <f t="shared" si="14"/>
        <v/>
      </c>
      <c r="BD32" s="127" t="str">
        <f t="shared" si="14"/>
        <v/>
      </c>
      <c r="BE32" s="127" t="str">
        <f t="shared" si="14"/>
        <v/>
      </c>
      <c r="BF32" s="127" t="str">
        <f t="shared" si="14"/>
        <v/>
      </c>
      <c r="BG32" s="127" t="str">
        <f t="shared" si="12"/>
        <v/>
      </c>
      <c r="BH32" s="127" t="str">
        <f t="shared" si="13"/>
        <v/>
      </c>
      <c r="BI32" s="127" t="str">
        <f t="shared" si="13"/>
        <v/>
      </c>
      <c r="BJ32" s="127" t="str">
        <f t="shared" si="13"/>
        <v/>
      </c>
      <c r="BK32" s="127" t="str">
        <f t="shared" si="13"/>
        <v/>
      </c>
      <c r="BL32" s="127" t="str">
        <f t="shared" si="13"/>
        <v/>
      </c>
      <c r="BM32" s="127" t="str">
        <f t="shared" si="12"/>
        <v/>
      </c>
      <c r="BN32" s="127" t="str">
        <f t="shared" si="12"/>
        <v/>
      </c>
      <c r="BO32" s="127" t="str">
        <f t="shared" si="12"/>
        <v/>
      </c>
      <c r="BP32" s="127" t="str">
        <f t="shared" si="12"/>
        <v/>
      </c>
      <c r="BQ32" s="127" t="str">
        <f t="shared" si="12"/>
        <v/>
      </c>
      <c r="BR32" s="127" t="str">
        <f t="shared" si="12"/>
        <v/>
      </c>
      <c r="BS32" s="127" t="str">
        <f t="shared" si="12"/>
        <v/>
      </c>
      <c r="BT32" s="127" t="str">
        <f t="shared" si="12"/>
        <v/>
      </c>
      <c r="BU32" s="127" t="str">
        <f t="shared" si="12"/>
        <v/>
      </c>
      <c r="BV32" s="127" t="str">
        <f t="shared" si="12"/>
        <v/>
      </c>
      <c r="BW32" s="127" t="str">
        <f t="shared" si="12"/>
        <v/>
      </c>
      <c r="BX32" s="127" t="str">
        <f t="shared" si="12"/>
        <v/>
      </c>
      <c r="BY32" s="127" t="str">
        <f t="shared" si="12"/>
        <v/>
      </c>
      <c r="BZ32" s="127" t="str">
        <f t="shared" si="12"/>
        <v/>
      </c>
      <c r="CA32" s="127" t="str">
        <f t="shared" si="12"/>
        <v/>
      </c>
      <c r="CB32" s="127" t="str">
        <f t="shared" si="12"/>
        <v/>
      </c>
      <c r="CC32" s="127" t="str">
        <f t="shared" si="12"/>
        <v/>
      </c>
      <c r="CD32" s="127" t="str">
        <f t="shared" si="12"/>
        <v/>
      </c>
      <c r="CE32" s="127" t="str">
        <f t="shared" si="12"/>
        <v/>
      </c>
    </row>
    <row r="33" spans="1:83" ht="12.6" hidden="1" customHeight="1" x14ac:dyDescent="0.2">
      <c r="A33" s="106">
        <f>SHIPMENTS!A39</f>
        <v>9303</v>
      </c>
      <c r="B33" s="106" t="str">
        <f>SHIPMENTS!B39</f>
        <v>15900- Manila Office Stocking</v>
      </c>
      <c r="C33" s="132">
        <f>SHIPMENTS!F39</f>
        <v>0.63700000000000001</v>
      </c>
      <c r="D33" s="107" t="str">
        <f>IF((SHIPMENTS!I39)=0,"",SHIPMENTS!I39)</f>
        <v/>
      </c>
      <c r="E33" s="176">
        <f>IF((SHIPMENTS!G39)=0,"",SHIPMENTS!G39)</f>
        <v>46323</v>
      </c>
      <c r="F33" s="97">
        <f>VLOOKUP(A33,Items!$A$5:$J$1000,9,0)</f>
        <v>0</v>
      </c>
      <c r="G33" s="98">
        <f>VLOOKUP(A33,load!$A$4:$W$5001,23,0)</f>
        <v>0</v>
      </c>
      <c r="H33" s="109">
        <f>Manhours!$C$29+Manhours!$C$30</f>
        <v>10</v>
      </c>
      <c r="I33" s="98">
        <f t="shared" ref="I33:I45" si="16">+H33*$I$4</f>
        <v>91</v>
      </c>
      <c r="J33" s="99">
        <f t="shared" ref="J33:J45" si="17">G33/I33</f>
        <v>0</v>
      </c>
      <c r="K33" s="99">
        <f t="shared" ref="K33:K45" si="18">+J33*$I$4</f>
        <v>0</v>
      </c>
      <c r="L33" s="98">
        <f t="shared" ref="L33:L45" si="19">IFERROR(J33-(J33*P33),0)</f>
        <v>0</v>
      </c>
      <c r="M33" s="98">
        <f t="shared" ref="M33:M45" si="20">IFERROR(K33-(K33*P33),0)</f>
        <v>0</v>
      </c>
      <c r="N33" s="181">
        <f>IF(G33&gt;0,('MP2-SFP2'!M33+3),'SFP2'!O32)</f>
        <v>46327.811125246553</v>
      </c>
      <c r="O33" s="181">
        <f t="shared" ref="O33:O45" si="21">+N33+L33</f>
        <v>46327.811125246553</v>
      </c>
      <c r="P33" s="112" t="str">
        <f>VLOOKUP(A33,SHIPMENTS!$A$7:$N$171,14,0)</f>
        <v>n/a</v>
      </c>
      <c r="Q33" s="101"/>
      <c r="R33" s="127" t="str">
        <f t="shared" si="15"/>
        <v/>
      </c>
      <c r="S33" s="127" t="str">
        <f t="shared" si="15"/>
        <v/>
      </c>
      <c r="T33" s="127" t="str">
        <f t="shared" si="15"/>
        <v/>
      </c>
      <c r="U33" s="127" t="str">
        <f t="shared" si="15"/>
        <v/>
      </c>
      <c r="V33" s="127" t="str">
        <f t="shared" si="15"/>
        <v/>
      </c>
      <c r="W33" s="127" t="str">
        <f t="shared" si="15"/>
        <v/>
      </c>
      <c r="X33" s="127" t="str">
        <f t="shared" si="15"/>
        <v/>
      </c>
      <c r="Y33" s="127" t="str">
        <f t="shared" si="15"/>
        <v/>
      </c>
      <c r="Z33" s="127" t="str">
        <f t="shared" si="15"/>
        <v>▲</v>
      </c>
      <c r="AA33" s="127" t="str">
        <f t="shared" si="15"/>
        <v/>
      </c>
      <c r="AB33" s="127" t="str">
        <f t="shared" si="15"/>
        <v/>
      </c>
      <c r="AC33" s="127" t="str">
        <f t="shared" si="15"/>
        <v/>
      </c>
      <c r="AD33" s="127" t="str">
        <f t="shared" si="15"/>
        <v/>
      </c>
      <c r="AE33" s="127" t="str">
        <f t="shared" si="15"/>
        <v/>
      </c>
      <c r="AF33" s="127" t="str">
        <f t="shared" si="15"/>
        <v/>
      </c>
      <c r="AG33" s="127" t="str">
        <f t="shared" si="15"/>
        <v/>
      </c>
      <c r="AH33" s="127" t="str">
        <f t="shared" si="14"/>
        <v/>
      </c>
      <c r="AI33" s="127" t="str">
        <f t="shared" si="14"/>
        <v/>
      </c>
      <c r="AJ33" s="127" t="str">
        <f t="shared" si="14"/>
        <v/>
      </c>
      <c r="AK33" s="127" t="str">
        <f t="shared" si="14"/>
        <v/>
      </c>
      <c r="AL33" s="127" t="str">
        <f t="shared" ref="AL33:BA48" si="22">IF($E33=AL$3,"▲","")</f>
        <v/>
      </c>
      <c r="AM33" s="127" t="str">
        <f t="shared" si="22"/>
        <v/>
      </c>
      <c r="AN33" s="127" t="str">
        <f t="shared" si="22"/>
        <v/>
      </c>
      <c r="AO33" s="127" t="str">
        <f t="shared" si="22"/>
        <v/>
      </c>
      <c r="AP33" s="127" t="str">
        <f t="shared" si="22"/>
        <v/>
      </c>
      <c r="AQ33" s="127" t="str">
        <f t="shared" si="22"/>
        <v/>
      </c>
      <c r="AR33" s="127" t="str">
        <f t="shared" si="22"/>
        <v/>
      </c>
      <c r="AS33" s="127" t="str">
        <f t="shared" si="22"/>
        <v/>
      </c>
      <c r="AT33" s="127" t="str">
        <f t="shared" si="22"/>
        <v/>
      </c>
      <c r="AU33" s="127" t="str">
        <f t="shared" si="22"/>
        <v/>
      </c>
      <c r="AV33" s="127" t="str">
        <f t="shared" si="22"/>
        <v/>
      </c>
      <c r="AW33" s="127" t="str">
        <f t="shared" si="22"/>
        <v/>
      </c>
      <c r="AX33" s="127" t="str">
        <f t="shared" si="22"/>
        <v/>
      </c>
      <c r="AY33" s="127" t="str">
        <f t="shared" si="22"/>
        <v/>
      </c>
      <c r="AZ33" s="127" t="str">
        <f t="shared" si="22"/>
        <v/>
      </c>
      <c r="BA33" s="127" t="str">
        <f t="shared" si="22"/>
        <v/>
      </c>
      <c r="BB33" s="127" t="str">
        <f t="shared" ref="BB33:BQ48" si="23">IF($E33=BB$3,"▲","")</f>
        <v/>
      </c>
      <c r="BC33" s="127" t="str">
        <f t="shared" si="23"/>
        <v/>
      </c>
      <c r="BD33" s="127" t="str">
        <f t="shared" si="23"/>
        <v/>
      </c>
      <c r="BE33" s="127" t="str">
        <f t="shared" si="23"/>
        <v/>
      </c>
      <c r="BF33" s="127" t="str">
        <f t="shared" si="23"/>
        <v/>
      </c>
      <c r="BG33" s="127" t="str">
        <f t="shared" si="12"/>
        <v/>
      </c>
      <c r="BH33" s="127" t="str">
        <f t="shared" si="12"/>
        <v/>
      </c>
      <c r="BI33" s="127" t="str">
        <f t="shared" si="12"/>
        <v/>
      </c>
      <c r="BJ33" s="127" t="str">
        <f t="shared" si="12"/>
        <v/>
      </c>
      <c r="BK33" s="127" t="str">
        <f t="shared" si="12"/>
        <v/>
      </c>
      <c r="BL33" s="127" t="str">
        <f t="shared" si="12"/>
        <v/>
      </c>
      <c r="BM33" s="127" t="str">
        <f t="shared" si="12"/>
        <v/>
      </c>
      <c r="BN33" s="127" t="str">
        <f t="shared" si="12"/>
        <v/>
      </c>
      <c r="BO33" s="127" t="str">
        <f t="shared" si="12"/>
        <v/>
      </c>
      <c r="BP33" s="127" t="str">
        <f t="shared" si="12"/>
        <v/>
      </c>
      <c r="BQ33" s="127" t="str">
        <f t="shared" si="12"/>
        <v/>
      </c>
      <c r="BR33" s="127" t="str">
        <f t="shared" si="12"/>
        <v/>
      </c>
      <c r="BS33" s="127" t="str">
        <f t="shared" si="12"/>
        <v/>
      </c>
      <c r="BT33" s="127" t="str">
        <f t="shared" si="12"/>
        <v/>
      </c>
      <c r="BU33" s="127" t="str">
        <f t="shared" si="12"/>
        <v/>
      </c>
      <c r="BV33" s="127" t="str">
        <f t="shared" si="12"/>
        <v/>
      </c>
      <c r="BW33" s="127" t="str">
        <f t="shared" si="12"/>
        <v/>
      </c>
      <c r="BX33" s="127" t="str">
        <f t="shared" si="12"/>
        <v/>
      </c>
      <c r="BY33" s="127" t="str">
        <f t="shared" si="12"/>
        <v/>
      </c>
      <c r="BZ33" s="127" t="str">
        <f t="shared" si="12"/>
        <v/>
      </c>
      <c r="CA33" s="127" t="str">
        <f t="shared" si="12"/>
        <v/>
      </c>
      <c r="CB33" s="127" t="str">
        <f t="shared" si="12"/>
        <v/>
      </c>
      <c r="CC33" s="127" t="str">
        <f t="shared" si="12"/>
        <v/>
      </c>
      <c r="CD33" s="127" t="str">
        <f t="shared" si="12"/>
        <v/>
      </c>
      <c r="CE33" s="127" t="str">
        <f t="shared" si="12"/>
        <v/>
      </c>
    </row>
    <row r="34" spans="1:83" ht="12.6" hidden="1" customHeight="1" x14ac:dyDescent="0.2">
      <c r="A34" s="106">
        <f>SHIPMENTS!A40</f>
        <v>9204</v>
      </c>
      <c r="B34" s="106" t="str">
        <f>SHIPMENTS!B40</f>
        <v>2300-HONGKONG</v>
      </c>
      <c r="C34" s="132">
        <f>SHIPMENTS!F40</f>
        <v>3.1</v>
      </c>
      <c r="D34" s="107" t="str">
        <f>IF((SHIPMENTS!I40)=0,"",SHIPMENTS!I40)</f>
        <v/>
      </c>
      <c r="E34" s="176">
        <f>IF((SHIPMENTS!G40)=0,"",SHIPMENTS!G40)</f>
        <v>46324</v>
      </c>
      <c r="F34" s="97">
        <f>VLOOKUP(A34,Items!$A$5:$J$1000,9,0)</f>
        <v>0</v>
      </c>
      <c r="G34" s="98">
        <f>VLOOKUP(A34,load!$A$4:$W$5001,23,0)</f>
        <v>0</v>
      </c>
      <c r="H34" s="109">
        <f>Manhours!$C$29+Manhours!$C$30</f>
        <v>10</v>
      </c>
      <c r="I34" s="98">
        <f t="shared" si="16"/>
        <v>91</v>
      </c>
      <c r="J34" s="99">
        <f t="shared" si="17"/>
        <v>0</v>
      </c>
      <c r="K34" s="99">
        <f t="shared" si="18"/>
        <v>0</v>
      </c>
      <c r="L34" s="98">
        <f t="shared" si="19"/>
        <v>0</v>
      </c>
      <c r="M34" s="98">
        <f t="shared" si="20"/>
        <v>0</v>
      </c>
      <c r="N34" s="181">
        <f>IF(G34&gt;0,('MP2-SFP2'!M34+3),'SFP2'!O33)</f>
        <v>46327.811125246553</v>
      </c>
      <c r="O34" s="181">
        <f t="shared" si="21"/>
        <v>46327.811125246553</v>
      </c>
      <c r="P34" s="112" t="str">
        <f>VLOOKUP(A34,SHIPMENTS!$A$7:$N$171,14,0)</f>
        <v>n/a</v>
      </c>
      <c r="Q34" s="101"/>
      <c r="R34" s="127" t="str">
        <f t="shared" si="15"/>
        <v/>
      </c>
      <c r="S34" s="127" t="str">
        <f t="shared" si="15"/>
        <v/>
      </c>
      <c r="T34" s="127" t="str">
        <f t="shared" si="15"/>
        <v/>
      </c>
      <c r="U34" s="127" t="str">
        <f t="shared" si="15"/>
        <v/>
      </c>
      <c r="V34" s="127" t="str">
        <f t="shared" si="15"/>
        <v/>
      </c>
      <c r="W34" s="127" t="str">
        <f t="shared" si="15"/>
        <v/>
      </c>
      <c r="X34" s="127" t="str">
        <f t="shared" si="15"/>
        <v/>
      </c>
      <c r="Y34" s="127" t="str">
        <f t="shared" si="15"/>
        <v/>
      </c>
      <c r="Z34" s="127" t="str">
        <f t="shared" si="15"/>
        <v/>
      </c>
      <c r="AA34" s="127" t="str">
        <f t="shared" si="15"/>
        <v>▲</v>
      </c>
      <c r="AB34" s="127" t="str">
        <f t="shared" si="15"/>
        <v/>
      </c>
      <c r="AC34" s="127" t="str">
        <f t="shared" si="15"/>
        <v/>
      </c>
      <c r="AD34" s="127" t="str">
        <f t="shared" si="15"/>
        <v/>
      </c>
      <c r="AE34" s="127" t="str">
        <f t="shared" si="15"/>
        <v/>
      </c>
      <c r="AF34" s="127" t="str">
        <f t="shared" si="15"/>
        <v/>
      </c>
      <c r="AG34" s="127" t="str">
        <f t="shared" si="15"/>
        <v/>
      </c>
      <c r="AH34" s="127" t="str">
        <f t="shared" ref="AH34:AW49" si="24">IF($E34=AH$3,"▲","")</f>
        <v/>
      </c>
      <c r="AI34" s="127" t="str">
        <f t="shared" si="24"/>
        <v/>
      </c>
      <c r="AJ34" s="127" t="str">
        <f t="shared" si="24"/>
        <v/>
      </c>
      <c r="AK34" s="127" t="str">
        <f t="shared" si="24"/>
        <v/>
      </c>
      <c r="AL34" s="127" t="str">
        <f t="shared" si="24"/>
        <v/>
      </c>
      <c r="AM34" s="127" t="str">
        <f t="shared" si="24"/>
        <v/>
      </c>
      <c r="AN34" s="127" t="str">
        <f t="shared" si="24"/>
        <v/>
      </c>
      <c r="AO34" s="127" t="str">
        <f t="shared" si="24"/>
        <v/>
      </c>
      <c r="AP34" s="127" t="str">
        <f t="shared" si="24"/>
        <v/>
      </c>
      <c r="AQ34" s="127" t="str">
        <f t="shared" si="24"/>
        <v/>
      </c>
      <c r="AR34" s="127" t="str">
        <f t="shared" si="24"/>
        <v/>
      </c>
      <c r="AS34" s="127" t="str">
        <f t="shared" si="24"/>
        <v/>
      </c>
      <c r="AT34" s="127" t="str">
        <f t="shared" si="24"/>
        <v/>
      </c>
      <c r="AU34" s="127" t="str">
        <f t="shared" si="24"/>
        <v/>
      </c>
      <c r="AV34" s="127" t="str">
        <f t="shared" si="24"/>
        <v/>
      </c>
      <c r="AW34" s="127" t="str">
        <f t="shared" si="24"/>
        <v/>
      </c>
      <c r="AX34" s="127" t="str">
        <f t="shared" si="22"/>
        <v/>
      </c>
      <c r="AY34" s="127" t="str">
        <f t="shared" si="22"/>
        <v/>
      </c>
      <c r="AZ34" s="127" t="str">
        <f t="shared" si="22"/>
        <v/>
      </c>
      <c r="BA34" s="127" t="str">
        <f t="shared" si="22"/>
        <v/>
      </c>
      <c r="BB34" s="127" t="str">
        <f t="shared" si="23"/>
        <v/>
      </c>
      <c r="BC34" s="127" t="str">
        <f t="shared" si="23"/>
        <v/>
      </c>
      <c r="BD34" s="127" t="str">
        <f t="shared" si="23"/>
        <v/>
      </c>
      <c r="BE34" s="127" t="str">
        <f t="shared" si="23"/>
        <v/>
      </c>
      <c r="BF34" s="127" t="str">
        <f t="shared" si="23"/>
        <v/>
      </c>
      <c r="BG34" s="127" t="str">
        <f t="shared" si="23"/>
        <v/>
      </c>
      <c r="BH34" s="127" t="str">
        <f t="shared" si="23"/>
        <v/>
      </c>
      <c r="BI34" s="127" t="str">
        <f t="shared" si="23"/>
        <v/>
      </c>
      <c r="BJ34" s="127" t="str">
        <f t="shared" si="23"/>
        <v/>
      </c>
      <c r="BK34" s="127" t="str">
        <f t="shared" si="23"/>
        <v/>
      </c>
      <c r="BL34" s="127" t="str">
        <f t="shared" si="23"/>
        <v/>
      </c>
      <c r="BM34" s="127" t="str">
        <f t="shared" si="23"/>
        <v/>
      </c>
      <c r="BN34" s="127" t="str">
        <f t="shared" si="23"/>
        <v/>
      </c>
      <c r="BO34" s="127" t="str">
        <f t="shared" si="23"/>
        <v/>
      </c>
      <c r="BP34" s="127" t="str">
        <f t="shared" si="23"/>
        <v/>
      </c>
      <c r="BQ34" s="127" t="str">
        <f t="shared" si="23"/>
        <v/>
      </c>
      <c r="BR34" s="127" t="str">
        <f t="shared" ref="BR34:CE49" si="25">IF($E34=BR$3,"▲","")</f>
        <v/>
      </c>
      <c r="BS34" s="127" t="str">
        <f t="shared" si="25"/>
        <v/>
      </c>
      <c r="BT34" s="127" t="str">
        <f t="shared" si="25"/>
        <v/>
      </c>
      <c r="BU34" s="127" t="str">
        <f t="shared" si="25"/>
        <v/>
      </c>
      <c r="BV34" s="127" t="str">
        <f t="shared" si="25"/>
        <v/>
      </c>
      <c r="BW34" s="127" t="str">
        <f t="shared" si="25"/>
        <v/>
      </c>
      <c r="BX34" s="127" t="str">
        <f t="shared" si="25"/>
        <v/>
      </c>
      <c r="BY34" s="127" t="str">
        <f t="shared" si="25"/>
        <v/>
      </c>
      <c r="BZ34" s="127" t="str">
        <f t="shared" si="25"/>
        <v/>
      </c>
      <c r="CA34" s="127" t="str">
        <f t="shared" si="25"/>
        <v/>
      </c>
      <c r="CB34" s="127" t="str">
        <f t="shared" si="25"/>
        <v/>
      </c>
      <c r="CC34" s="127" t="str">
        <f t="shared" si="25"/>
        <v/>
      </c>
      <c r="CD34" s="127" t="str">
        <f t="shared" si="25"/>
        <v/>
      </c>
      <c r="CE34" s="127" t="str">
        <f t="shared" si="25"/>
        <v/>
      </c>
    </row>
    <row r="35" spans="1:83" ht="12.6" hidden="1" customHeight="1" x14ac:dyDescent="0.2">
      <c r="A35" s="106">
        <f>SHIPMENTS!A41</f>
        <v>9005</v>
      </c>
      <c r="B35" s="106" t="str">
        <f>SHIPMENTS!B41</f>
        <v>28100-AUSTRIA HARVIA</v>
      </c>
      <c r="C35" s="132">
        <f>SHIPMENTS!F41</f>
        <v>44.15</v>
      </c>
      <c r="D35" s="107" t="str">
        <f>IF((SHIPMENTS!I41)=0,"",SHIPMENTS!I41)</f>
        <v>1X20</v>
      </c>
      <c r="E35" s="176">
        <f>IF((SHIPMENTS!G41)=0,"",SHIPMENTS!G41)</f>
        <v>46325</v>
      </c>
      <c r="F35" s="97">
        <f>VLOOKUP(A35,Items!$A$5:$J$1000,9,0)</f>
        <v>0</v>
      </c>
      <c r="G35" s="98">
        <f>VLOOKUP(A35,load!$A$4:$W$5001,23,0)</f>
        <v>0</v>
      </c>
      <c r="H35" s="109">
        <f>Manhours!$C$29+Manhours!$C$30</f>
        <v>10</v>
      </c>
      <c r="I35" s="98">
        <f t="shared" si="16"/>
        <v>91</v>
      </c>
      <c r="J35" s="99">
        <f t="shared" si="17"/>
        <v>0</v>
      </c>
      <c r="K35" s="99">
        <f t="shared" si="18"/>
        <v>0</v>
      </c>
      <c r="L35" s="98">
        <f t="shared" si="19"/>
        <v>0</v>
      </c>
      <c r="M35" s="98">
        <f t="shared" si="20"/>
        <v>0</v>
      </c>
      <c r="N35" s="181">
        <f>IF(G35&gt;0,('MP2-SFP2'!M35+3),'SFP2'!O34)</f>
        <v>46327.811125246553</v>
      </c>
      <c r="O35" s="181">
        <f t="shared" si="21"/>
        <v>46327.811125246553</v>
      </c>
      <c r="P35" s="112" t="str">
        <f>VLOOKUP(A35,SHIPMENTS!$A$7:$N$171,14,0)</f>
        <v>n/a</v>
      </c>
      <c r="Q35" s="101"/>
      <c r="R35" s="127" t="str">
        <f t="shared" si="15"/>
        <v/>
      </c>
      <c r="S35" s="127" t="str">
        <f t="shared" si="15"/>
        <v/>
      </c>
      <c r="T35" s="127" t="str">
        <f t="shared" si="15"/>
        <v/>
      </c>
      <c r="U35" s="127" t="str">
        <f t="shared" si="15"/>
        <v/>
      </c>
      <c r="V35" s="127" t="str">
        <f t="shared" si="15"/>
        <v/>
      </c>
      <c r="W35" s="127" t="str">
        <f t="shared" si="15"/>
        <v/>
      </c>
      <c r="X35" s="127" t="str">
        <f t="shared" si="15"/>
        <v/>
      </c>
      <c r="Y35" s="127" t="str">
        <f t="shared" si="15"/>
        <v/>
      </c>
      <c r="Z35" s="127" t="str">
        <f t="shared" si="15"/>
        <v/>
      </c>
      <c r="AA35" s="127" t="str">
        <f t="shared" si="15"/>
        <v/>
      </c>
      <c r="AB35" s="127" t="str">
        <f t="shared" si="15"/>
        <v>▲</v>
      </c>
      <c r="AC35" s="127" t="str">
        <f t="shared" si="15"/>
        <v/>
      </c>
      <c r="AD35" s="127" t="str">
        <f t="shared" si="15"/>
        <v/>
      </c>
      <c r="AE35" s="127" t="str">
        <f t="shared" si="15"/>
        <v/>
      </c>
      <c r="AF35" s="127" t="str">
        <f t="shared" si="15"/>
        <v/>
      </c>
      <c r="AG35" s="127" t="str">
        <f t="shared" si="15"/>
        <v/>
      </c>
      <c r="AH35" s="127" t="str">
        <f t="shared" si="24"/>
        <v/>
      </c>
      <c r="AI35" s="127" t="str">
        <f t="shared" si="24"/>
        <v/>
      </c>
      <c r="AJ35" s="127" t="str">
        <f t="shared" si="24"/>
        <v/>
      </c>
      <c r="AK35" s="127" t="str">
        <f t="shared" si="24"/>
        <v/>
      </c>
      <c r="AL35" s="127" t="str">
        <f t="shared" si="24"/>
        <v/>
      </c>
      <c r="AM35" s="127" t="str">
        <f t="shared" si="24"/>
        <v/>
      </c>
      <c r="AN35" s="127" t="str">
        <f t="shared" si="24"/>
        <v/>
      </c>
      <c r="AO35" s="127" t="str">
        <f t="shared" si="24"/>
        <v/>
      </c>
      <c r="AP35" s="127" t="str">
        <f t="shared" si="24"/>
        <v/>
      </c>
      <c r="AQ35" s="127" t="str">
        <f t="shared" si="24"/>
        <v/>
      </c>
      <c r="AR35" s="127" t="str">
        <f t="shared" si="24"/>
        <v/>
      </c>
      <c r="AS35" s="127" t="str">
        <f t="shared" si="24"/>
        <v/>
      </c>
      <c r="AT35" s="127" t="str">
        <f t="shared" si="24"/>
        <v/>
      </c>
      <c r="AU35" s="127" t="str">
        <f t="shared" si="24"/>
        <v/>
      </c>
      <c r="AV35" s="127" t="str">
        <f t="shared" si="24"/>
        <v/>
      </c>
      <c r="AW35" s="127" t="str">
        <f t="shared" si="24"/>
        <v/>
      </c>
      <c r="AX35" s="127" t="str">
        <f t="shared" si="22"/>
        <v/>
      </c>
      <c r="AY35" s="127" t="str">
        <f t="shared" si="22"/>
        <v/>
      </c>
      <c r="AZ35" s="127" t="str">
        <f t="shared" si="22"/>
        <v/>
      </c>
      <c r="BA35" s="127" t="str">
        <f t="shared" si="22"/>
        <v/>
      </c>
      <c r="BB35" s="127" t="str">
        <f t="shared" si="23"/>
        <v/>
      </c>
      <c r="BC35" s="127" t="str">
        <f t="shared" si="23"/>
        <v/>
      </c>
      <c r="BD35" s="127" t="str">
        <f t="shared" si="23"/>
        <v/>
      </c>
      <c r="BE35" s="127" t="str">
        <f t="shared" si="23"/>
        <v/>
      </c>
      <c r="BF35" s="127" t="str">
        <f t="shared" si="23"/>
        <v/>
      </c>
      <c r="BG35" s="127" t="str">
        <f t="shared" si="23"/>
        <v/>
      </c>
      <c r="BH35" s="127" t="str">
        <f t="shared" si="23"/>
        <v/>
      </c>
      <c r="BI35" s="127" t="str">
        <f t="shared" si="23"/>
        <v/>
      </c>
      <c r="BJ35" s="127" t="str">
        <f t="shared" si="23"/>
        <v/>
      </c>
      <c r="BK35" s="127" t="str">
        <f t="shared" si="23"/>
        <v/>
      </c>
      <c r="BL35" s="127" t="str">
        <f t="shared" si="23"/>
        <v/>
      </c>
      <c r="BM35" s="127" t="str">
        <f t="shared" si="23"/>
        <v/>
      </c>
      <c r="BN35" s="127" t="str">
        <f t="shared" si="23"/>
        <v/>
      </c>
      <c r="BO35" s="127" t="str">
        <f t="shared" si="23"/>
        <v/>
      </c>
      <c r="BP35" s="127" t="str">
        <f t="shared" si="23"/>
        <v/>
      </c>
      <c r="BQ35" s="127" t="str">
        <f t="shared" si="23"/>
        <v/>
      </c>
      <c r="BR35" s="127" t="str">
        <f t="shared" si="25"/>
        <v/>
      </c>
      <c r="BS35" s="127" t="str">
        <f t="shared" si="25"/>
        <v/>
      </c>
      <c r="BT35" s="127" t="str">
        <f t="shared" si="25"/>
        <v/>
      </c>
      <c r="BU35" s="127" t="str">
        <f t="shared" si="25"/>
        <v/>
      </c>
      <c r="BV35" s="127" t="str">
        <f t="shared" si="25"/>
        <v/>
      </c>
      <c r="BW35" s="127" t="str">
        <f t="shared" si="25"/>
        <v/>
      </c>
      <c r="BX35" s="127" t="str">
        <f t="shared" si="25"/>
        <v/>
      </c>
      <c r="BY35" s="127" t="str">
        <f t="shared" si="25"/>
        <v/>
      </c>
      <c r="BZ35" s="127" t="str">
        <f t="shared" si="25"/>
        <v/>
      </c>
      <c r="CA35" s="127" t="str">
        <f t="shared" si="25"/>
        <v/>
      </c>
      <c r="CB35" s="127" t="str">
        <f t="shared" si="25"/>
        <v/>
      </c>
      <c r="CC35" s="127" t="str">
        <f t="shared" si="25"/>
        <v/>
      </c>
      <c r="CD35" s="127" t="str">
        <f t="shared" si="25"/>
        <v/>
      </c>
      <c r="CE35" s="127" t="str">
        <f t="shared" si="25"/>
        <v/>
      </c>
    </row>
    <row r="36" spans="1:83" ht="12.6" hidden="1" customHeight="1" x14ac:dyDescent="0.2">
      <c r="A36" s="106">
        <f>SHIPMENTS!A42</f>
        <v>8952</v>
      </c>
      <c r="B36" s="106" t="str">
        <f>SHIPMENTS!B42</f>
        <v>41300-CANADA SAUNAFIN</v>
      </c>
      <c r="C36" s="132">
        <f>SHIPMENTS!F42</f>
        <v>70.45</v>
      </c>
      <c r="D36" s="107" t="str">
        <f>IF((SHIPMENTS!I42)=0,"",SHIPMENTS!I42)</f>
        <v>1x40HC</v>
      </c>
      <c r="E36" s="176">
        <f>IF((SHIPMENTS!G42)=0,"",SHIPMENTS!G42)</f>
        <v>46332</v>
      </c>
      <c r="F36" s="97">
        <f>VLOOKUP(A36,Items!$A$5:$J$1000,9,0)</f>
        <v>0</v>
      </c>
      <c r="G36" s="98">
        <f>VLOOKUP(A36,load!$A$4:$W$5001,23,0)</f>
        <v>84.658333333333331</v>
      </c>
      <c r="H36" s="109">
        <f>Manhours!$C$29+Manhours!$C$30</f>
        <v>10</v>
      </c>
      <c r="I36" s="98">
        <f t="shared" si="16"/>
        <v>91</v>
      </c>
      <c r="J36" s="99">
        <f t="shared" si="17"/>
        <v>0.93031135531135534</v>
      </c>
      <c r="K36" s="99">
        <f t="shared" si="18"/>
        <v>8.4658333333333324</v>
      </c>
      <c r="L36" s="98">
        <f t="shared" si="19"/>
        <v>0</v>
      </c>
      <c r="M36" s="98">
        <f t="shared" si="20"/>
        <v>0</v>
      </c>
      <c r="N36" s="181">
        <f>IF(G36&gt;0,('MP2-SFP2'!M36+3),'SFP2'!O35)</f>
        <v>46327.873759791495</v>
      </c>
      <c r="O36" s="181">
        <f t="shared" si="21"/>
        <v>46327.873759791495</v>
      </c>
      <c r="P36" s="112" t="str">
        <f>VLOOKUP(A36,SHIPMENTS!$A$7:$N$171,14,0)</f>
        <v>n/a</v>
      </c>
      <c r="Q36" s="101"/>
      <c r="R36" s="127" t="str">
        <f t="shared" si="15"/>
        <v/>
      </c>
      <c r="S36" s="127" t="str">
        <f t="shared" si="15"/>
        <v/>
      </c>
      <c r="T36" s="127" t="str">
        <f t="shared" si="15"/>
        <v/>
      </c>
      <c r="U36" s="127" t="str">
        <f t="shared" si="15"/>
        <v/>
      </c>
      <c r="V36" s="127" t="str">
        <f t="shared" si="15"/>
        <v/>
      </c>
      <c r="W36" s="127" t="str">
        <f t="shared" si="15"/>
        <v/>
      </c>
      <c r="X36" s="127" t="str">
        <f t="shared" si="15"/>
        <v/>
      </c>
      <c r="Y36" s="127" t="str">
        <f t="shared" si="15"/>
        <v/>
      </c>
      <c r="Z36" s="127" t="str">
        <f t="shared" si="15"/>
        <v/>
      </c>
      <c r="AA36" s="127" t="str">
        <f t="shared" si="15"/>
        <v/>
      </c>
      <c r="AB36" s="127" t="str">
        <f t="shared" si="15"/>
        <v/>
      </c>
      <c r="AC36" s="127" t="str">
        <f t="shared" si="15"/>
        <v/>
      </c>
      <c r="AD36" s="127" t="str">
        <f t="shared" si="15"/>
        <v/>
      </c>
      <c r="AE36" s="127" t="str">
        <f t="shared" si="15"/>
        <v/>
      </c>
      <c r="AF36" s="127" t="str">
        <f t="shared" si="15"/>
        <v/>
      </c>
      <c r="AG36" s="127" t="str">
        <f t="shared" si="15"/>
        <v/>
      </c>
      <c r="AH36" s="127" t="str">
        <f t="shared" si="24"/>
        <v>▲</v>
      </c>
      <c r="AI36" s="127" t="str">
        <f t="shared" si="24"/>
        <v/>
      </c>
      <c r="AJ36" s="127" t="str">
        <f t="shared" si="24"/>
        <v/>
      </c>
      <c r="AK36" s="127" t="str">
        <f t="shared" si="24"/>
        <v/>
      </c>
      <c r="AL36" s="127" t="str">
        <f t="shared" si="24"/>
        <v/>
      </c>
      <c r="AM36" s="127" t="str">
        <f t="shared" si="24"/>
        <v/>
      </c>
      <c r="AN36" s="127" t="str">
        <f t="shared" si="24"/>
        <v/>
      </c>
      <c r="AO36" s="127" t="str">
        <f t="shared" si="24"/>
        <v/>
      </c>
      <c r="AP36" s="127" t="str">
        <f t="shared" si="24"/>
        <v/>
      </c>
      <c r="AQ36" s="127" t="str">
        <f t="shared" si="24"/>
        <v/>
      </c>
      <c r="AR36" s="127" t="str">
        <f t="shared" si="24"/>
        <v/>
      </c>
      <c r="AS36" s="127" t="str">
        <f t="shared" si="24"/>
        <v/>
      </c>
      <c r="AT36" s="127" t="str">
        <f t="shared" si="24"/>
        <v/>
      </c>
      <c r="AU36" s="127" t="str">
        <f t="shared" si="24"/>
        <v/>
      </c>
      <c r="AV36" s="127" t="str">
        <f t="shared" si="24"/>
        <v/>
      </c>
      <c r="AW36" s="127" t="str">
        <f t="shared" si="24"/>
        <v/>
      </c>
      <c r="AX36" s="127" t="str">
        <f t="shared" si="22"/>
        <v/>
      </c>
      <c r="AY36" s="127" t="str">
        <f t="shared" si="22"/>
        <v/>
      </c>
      <c r="AZ36" s="127" t="str">
        <f t="shared" si="22"/>
        <v/>
      </c>
      <c r="BA36" s="127" t="str">
        <f t="shared" si="22"/>
        <v/>
      </c>
      <c r="BB36" s="127" t="str">
        <f t="shared" si="23"/>
        <v/>
      </c>
      <c r="BC36" s="127" t="str">
        <f t="shared" si="23"/>
        <v/>
      </c>
      <c r="BD36" s="127" t="str">
        <f t="shared" si="23"/>
        <v/>
      </c>
      <c r="BE36" s="127" t="str">
        <f t="shared" si="23"/>
        <v/>
      </c>
      <c r="BF36" s="127" t="str">
        <f t="shared" si="23"/>
        <v/>
      </c>
      <c r="BG36" s="127" t="str">
        <f t="shared" si="23"/>
        <v/>
      </c>
      <c r="BH36" s="127" t="str">
        <f t="shared" si="23"/>
        <v/>
      </c>
      <c r="BI36" s="127" t="str">
        <f t="shared" si="23"/>
        <v/>
      </c>
      <c r="BJ36" s="127" t="str">
        <f t="shared" si="23"/>
        <v/>
      </c>
      <c r="BK36" s="127" t="str">
        <f t="shared" si="23"/>
        <v/>
      </c>
      <c r="BL36" s="127" t="str">
        <f t="shared" si="23"/>
        <v/>
      </c>
      <c r="BM36" s="127" t="str">
        <f t="shared" si="23"/>
        <v/>
      </c>
      <c r="BN36" s="127" t="str">
        <f t="shared" si="23"/>
        <v/>
      </c>
      <c r="BO36" s="127" t="str">
        <f t="shared" si="23"/>
        <v/>
      </c>
      <c r="BP36" s="127" t="str">
        <f t="shared" si="23"/>
        <v/>
      </c>
      <c r="BQ36" s="127" t="str">
        <f t="shared" si="23"/>
        <v/>
      </c>
      <c r="BR36" s="127" t="str">
        <f t="shared" si="25"/>
        <v/>
      </c>
      <c r="BS36" s="127" t="str">
        <f t="shared" si="25"/>
        <v/>
      </c>
      <c r="BT36" s="127" t="str">
        <f t="shared" si="25"/>
        <v/>
      </c>
      <c r="BU36" s="127" t="str">
        <f t="shared" si="25"/>
        <v/>
      </c>
      <c r="BV36" s="127" t="str">
        <f t="shared" si="25"/>
        <v/>
      </c>
      <c r="BW36" s="127" t="str">
        <f t="shared" si="25"/>
        <v/>
      </c>
      <c r="BX36" s="127" t="str">
        <f t="shared" si="25"/>
        <v/>
      </c>
      <c r="BY36" s="127" t="str">
        <f t="shared" si="25"/>
        <v/>
      </c>
      <c r="BZ36" s="127" t="str">
        <f t="shared" si="25"/>
        <v/>
      </c>
      <c r="CA36" s="127" t="str">
        <f t="shared" si="25"/>
        <v/>
      </c>
      <c r="CB36" s="127" t="str">
        <f t="shared" si="25"/>
        <v/>
      </c>
      <c r="CC36" s="127" t="str">
        <f t="shared" si="25"/>
        <v/>
      </c>
      <c r="CD36" s="127" t="str">
        <f t="shared" si="25"/>
        <v/>
      </c>
      <c r="CE36" s="127" t="str">
        <f t="shared" si="25"/>
        <v/>
      </c>
    </row>
    <row r="37" spans="1:83" ht="12.6" customHeight="1" x14ac:dyDescent="0.2">
      <c r="A37" s="106">
        <f>SHIPMENTS!A43</f>
        <v>9158</v>
      </c>
      <c r="B37" s="106" t="str">
        <f>SHIPMENTS!B43</f>
        <v>43300-THAILAND</v>
      </c>
      <c r="C37" s="132">
        <f>SHIPMENTS!F43</f>
        <v>0.10299999999999999</v>
      </c>
      <c r="D37" s="107" t="str">
        <f>IF((SHIPMENTS!I43)=0,"",SHIPMENTS!I43)</f>
        <v>LCL</v>
      </c>
      <c r="E37" s="176">
        <f>IF((SHIPMENTS!G43)=0,"",SHIPMENTS!G43)</f>
        <v>46332</v>
      </c>
      <c r="F37" s="97">
        <f>VLOOKUP(A37,Items!$A$5:$J$1000,9,0)</f>
        <v>1</v>
      </c>
      <c r="G37" s="98">
        <f>VLOOKUP(A37,load!$A$4:$W$5001,23,0)</f>
        <v>28.6875</v>
      </c>
      <c r="H37" s="109">
        <f>Manhours!$C$29+Manhours!$C$30</f>
        <v>10</v>
      </c>
      <c r="I37" s="98">
        <f t="shared" si="16"/>
        <v>91</v>
      </c>
      <c r="J37" s="99">
        <f t="shared" si="17"/>
        <v>0.31524725274725274</v>
      </c>
      <c r="K37" s="99">
        <f t="shared" si="18"/>
        <v>2.8687499999999999</v>
      </c>
      <c r="L37" s="98">
        <f t="shared" si="19"/>
        <v>0.31524725274725274</v>
      </c>
      <c r="M37" s="98">
        <f t="shared" si="20"/>
        <v>2.8687499999999999</v>
      </c>
      <c r="N37" s="181">
        <f>IF(G37&gt;0,('MP2-SFP2'!M37+3),'SFP2'!O36)</f>
        <v>46327.873759791495</v>
      </c>
      <c r="O37" s="181">
        <f t="shared" si="21"/>
        <v>46328.189007044246</v>
      </c>
      <c r="P37" s="112">
        <f>VLOOKUP(A37,SHIPMENTS!$A$7:$N$171,14,0)</f>
        <v>0</v>
      </c>
      <c r="Q37" s="101"/>
      <c r="R37" s="127" t="str">
        <f t="shared" si="15"/>
        <v/>
      </c>
      <c r="S37" s="127" t="str">
        <f t="shared" si="15"/>
        <v/>
      </c>
      <c r="T37" s="127" t="str">
        <f t="shared" si="15"/>
        <v/>
      </c>
      <c r="U37" s="127" t="str">
        <f t="shared" si="15"/>
        <v/>
      </c>
      <c r="V37" s="127" t="str">
        <f t="shared" si="15"/>
        <v/>
      </c>
      <c r="W37" s="127" t="str">
        <f t="shared" si="15"/>
        <v/>
      </c>
      <c r="X37" s="127" t="str">
        <f t="shared" si="15"/>
        <v/>
      </c>
      <c r="Y37" s="127" t="str">
        <f t="shared" si="15"/>
        <v/>
      </c>
      <c r="Z37" s="127" t="str">
        <f t="shared" si="15"/>
        <v/>
      </c>
      <c r="AA37" s="127" t="str">
        <f t="shared" si="15"/>
        <v/>
      </c>
      <c r="AB37" s="127" t="str">
        <f t="shared" si="15"/>
        <v/>
      </c>
      <c r="AC37" s="127" t="str">
        <f t="shared" si="15"/>
        <v/>
      </c>
      <c r="AD37" s="127" t="str">
        <f t="shared" si="15"/>
        <v/>
      </c>
      <c r="AE37" s="127" t="str">
        <f t="shared" si="15"/>
        <v/>
      </c>
      <c r="AF37" s="127" t="str">
        <f t="shared" si="15"/>
        <v/>
      </c>
      <c r="AG37" s="127" t="str">
        <f t="shared" si="15"/>
        <v/>
      </c>
      <c r="AH37" s="127" t="str">
        <f t="shared" si="24"/>
        <v>▲</v>
      </c>
      <c r="AI37" s="127" t="str">
        <f t="shared" si="24"/>
        <v/>
      </c>
      <c r="AJ37" s="127" t="str">
        <f t="shared" si="24"/>
        <v/>
      </c>
      <c r="AK37" s="127" t="str">
        <f t="shared" si="24"/>
        <v/>
      </c>
      <c r="AL37" s="127" t="str">
        <f t="shared" si="24"/>
        <v/>
      </c>
      <c r="AM37" s="127" t="str">
        <f t="shared" si="24"/>
        <v/>
      </c>
      <c r="AN37" s="127" t="str">
        <f t="shared" si="24"/>
        <v/>
      </c>
      <c r="AO37" s="127" t="str">
        <f t="shared" si="24"/>
        <v/>
      </c>
      <c r="AP37" s="127" t="str">
        <f t="shared" si="24"/>
        <v/>
      </c>
      <c r="AQ37" s="127" t="str">
        <f t="shared" si="24"/>
        <v/>
      </c>
      <c r="AR37" s="127" t="str">
        <f t="shared" si="24"/>
        <v/>
      </c>
      <c r="AS37" s="127" t="str">
        <f t="shared" si="24"/>
        <v/>
      </c>
      <c r="AT37" s="127" t="str">
        <f t="shared" si="24"/>
        <v/>
      </c>
      <c r="AU37" s="127" t="str">
        <f t="shared" si="24"/>
        <v/>
      </c>
      <c r="AV37" s="127" t="str">
        <f t="shared" si="24"/>
        <v/>
      </c>
      <c r="AW37" s="127" t="str">
        <f t="shared" si="24"/>
        <v/>
      </c>
      <c r="AX37" s="127" t="str">
        <f t="shared" si="22"/>
        <v/>
      </c>
      <c r="AY37" s="127" t="str">
        <f t="shared" si="22"/>
        <v/>
      </c>
      <c r="AZ37" s="127" t="str">
        <f t="shared" si="22"/>
        <v/>
      </c>
      <c r="BA37" s="127" t="str">
        <f t="shared" si="22"/>
        <v/>
      </c>
      <c r="BB37" s="127" t="str">
        <f t="shared" si="23"/>
        <v/>
      </c>
      <c r="BC37" s="127" t="str">
        <f t="shared" si="23"/>
        <v/>
      </c>
      <c r="BD37" s="127" t="str">
        <f t="shared" si="23"/>
        <v/>
      </c>
      <c r="BE37" s="127" t="str">
        <f t="shared" si="23"/>
        <v/>
      </c>
      <c r="BF37" s="127" t="str">
        <f t="shared" si="23"/>
        <v/>
      </c>
      <c r="BG37" s="127" t="str">
        <f t="shared" si="23"/>
        <v/>
      </c>
      <c r="BH37" s="127" t="str">
        <f t="shared" si="23"/>
        <v/>
      </c>
      <c r="BI37" s="127" t="str">
        <f t="shared" si="23"/>
        <v/>
      </c>
      <c r="BJ37" s="127" t="str">
        <f t="shared" si="23"/>
        <v/>
      </c>
      <c r="BK37" s="127" t="str">
        <f t="shared" si="23"/>
        <v/>
      </c>
      <c r="BL37" s="127" t="str">
        <f t="shared" si="23"/>
        <v/>
      </c>
      <c r="BM37" s="127" t="str">
        <f t="shared" si="23"/>
        <v/>
      </c>
      <c r="BN37" s="127" t="str">
        <f t="shared" si="23"/>
        <v/>
      </c>
      <c r="BO37" s="127" t="str">
        <f t="shared" si="23"/>
        <v/>
      </c>
      <c r="BP37" s="127" t="str">
        <f t="shared" si="23"/>
        <v/>
      </c>
      <c r="BQ37" s="127" t="str">
        <f t="shared" si="23"/>
        <v/>
      </c>
      <c r="BR37" s="127" t="str">
        <f t="shared" si="25"/>
        <v/>
      </c>
      <c r="BS37" s="127" t="str">
        <f t="shared" si="25"/>
        <v/>
      </c>
      <c r="BT37" s="127" t="str">
        <f t="shared" si="25"/>
        <v/>
      </c>
      <c r="BU37" s="127" t="str">
        <f t="shared" si="25"/>
        <v/>
      </c>
      <c r="BV37" s="127" t="str">
        <f t="shared" si="25"/>
        <v/>
      </c>
      <c r="BW37" s="127" t="str">
        <f t="shared" si="25"/>
        <v/>
      </c>
      <c r="BX37" s="127" t="str">
        <f t="shared" si="25"/>
        <v/>
      </c>
      <c r="BY37" s="127" t="str">
        <f t="shared" si="25"/>
        <v/>
      </c>
      <c r="BZ37" s="127" t="str">
        <f t="shared" si="25"/>
        <v/>
      </c>
      <c r="CA37" s="127" t="str">
        <f t="shared" si="25"/>
        <v/>
      </c>
      <c r="CB37" s="127" t="str">
        <f t="shared" si="25"/>
        <v/>
      </c>
      <c r="CC37" s="127" t="str">
        <f t="shared" si="25"/>
        <v/>
      </c>
      <c r="CD37" s="127" t="str">
        <f t="shared" si="25"/>
        <v/>
      </c>
      <c r="CE37" s="127" t="str">
        <f t="shared" si="25"/>
        <v/>
      </c>
    </row>
    <row r="38" spans="1:83" ht="12.6" customHeight="1" x14ac:dyDescent="0.2">
      <c r="A38" s="106">
        <f>SHIPMENTS!A44</f>
        <v>8814</v>
      </c>
      <c r="B38" s="106" t="str">
        <f>SHIPMENTS!B44</f>
        <v>27200-UAE</v>
      </c>
      <c r="C38" s="132">
        <f>SHIPMENTS!F44</f>
        <v>0.06</v>
      </c>
      <c r="D38" s="107" t="str">
        <f>IF((SHIPMENTS!I44)=0,"",SHIPMENTS!I44)</f>
        <v>LCL</v>
      </c>
      <c r="E38" s="176">
        <f>IF((SHIPMENTS!G44)=0,"",SHIPMENTS!G44)</f>
        <v>46332</v>
      </c>
      <c r="F38" s="97">
        <f>VLOOKUP(A38,Items!$A$5:$J$1000,9,0)</f>
        <v>2</v>
      </c>
      <c r="G38" s="98">
        <f>VLOOKUP(A38,load!$A$4:$W$5001,23,0)</f>
        <v>89.25</v>
      </c>
      <c r="H38" s="109">
        <f>Manhours!$C$29+Manhours!$C$30</f>
        <v>10</v>
      </c>
      <c r="I38" s="98">
        <f t="shared" si="16"/>
        <v>91</v>
      </c>
      <c r="J38" s="99">
        <f t="shared" si="17"/>
        <v>0.98076923076923073</v>
      </c>
      <c r="K38" s="99">
        <f t="shared" si="18"/>
        <v>8.9249999999999989</v>
      </c>
      <c r="L38" s="98">
        <f t="shared" si="19"/>
        <v>0.98076923076923073</v>
      </c>
      <c r="M38" s="98">
        <f t="shared" si="20"/>
        <v>8.9249999999999989</v>
      </c>
      <c r="N38" s="181">
        <f>IF(G38&gt;0,('MP2-SFP2'!M38+3),'SFP2'!O37)</f>
        <v>46328.23750662159</v>
      </c>
      <c r="O38" s="181">
        <f t="shared" si="21"/>
        <v>46329.218275852356</v>
      </c>
      <c r="P38" s="112">
        <f>VLOOKUP(A38,SHIPMENTS!$A$7:$N$171,14,0)</f>
        <v>0</v>
      </c>
      <c r="Q38" s="101"/>
      <c r="R38" s="127" t="str">
        <f t="shared" si="15"/>
        <v/>
      </c>
      <c r="S38" s="127" t="str">
        <f t="shared" si="15"/>
        <v/>
      </c>
      <c r="T38" s="127" t="str">
        <f t="shared" si="15"/>
        <v/>
      </c>
      <c r="U38" s="127" t="str">
        <f t="shared" si="15"/>
        <v/>
      </c>
      <c r="V38" s="127" t="str">
        <f t="shared" si="15"/>
        <v/>
      </c>
      <c r="W38" s="127" t="str">
        <f t="shared" si="15"/>
        <v/>
      </c>
      <c r="X38" s="127" t="str">
        <f t="shared" si="15"/>
        <v/>
      </c>
      <c r="Y38" s="127" t="str">
        <f t="shared" si="15"/>
        <v/>
      </c>
      <c r="Z38" s="127" t="str">
        <f t="shared" si="15"/>
        <v/>
      </c>
      <c r="AA38" s="127" t="str">
        <f t="shared" si="15"/>
        <v/>
      </c>
      <c r="AB38" s="127" t="str">
        <f t="shared" si="15"/>
        <v/>
      </c>
      <c r="AC38" s="127" t="str">
        <f t="shared" si="15"/>
        <v/>
      </c>
      <c r="AD38" s="127" t="str">
        <f t="shared" si="15"/>
        <v/>
      </c>
      <c r="AE38" s="127" t="str">
        <f t="shared" si="15"/>
        <v/>
      </c>
      <c r="AF38" s="127" t="str">
        <f t="shared" si="15"/>
        <v/>
      </c>
      <c r="AG38" s="127" t="str">
        <f t="shared" si="15"/>
        <v/>
      </c>
      <c r="AH38" s="127" t="str">
        <f t="shared" si="24"/>
        <v>▲</v>
      </c>
      <c r="AI38" s="127" t="str">
        <f t="shared" si="24"/>
        <v/>
      </c>
      <c r="AJ38" s="127" t="str">
        <f t="shared" si="24"/>
        <v/>
      </c>
      <c r="AK38" s="127" t="str">
        <f t="shared" si="24"/>
        <v/>
      </c>
      <c r="AL38" s="127" t="str">
        <f t="shared" si="24"/>
        <v/>
      </c>
      <c r="AM38" s="127" t="str">
        <f t="shared" si="24"/>
        <v/>
      </c>
      <c r="AN38" s="127" t="str">
        <f t="shared" si="24"/>
        <v/>
      </c>
      <c r="AO38" s="127" t="str">
        <f t="shared" si="24"/>
        <v/>
      </c>
      <c r="AP38" s="127" t="str">
        <f t="shared" si="24"/>
        <v/>
      </c>
      <c r="AQ38" s="127" t="str">
        <f t="shared" si="24"/>
        <v/>
      </c>
      <c r="AR38" s="127" t="str">
        <f t="shared" si="24"/>
        <v/>
      </c>
      <c r="AS38" s="127" t="str">
        <f t="shared" si="24"/>
        <v/>
      </c>
      <c r="AT38" s="127" t="str">
        <f t="shared" si="24"/>
        <v/>
      </c>
      <c r="AU38" s="127" t="str">
        <f t="shared" si="24"/>
        <v/>
      </c>
      <c r="AV38" s="127" t="str">
        <f t="shared" si="24"/>
        <v/>
      </c>
      <c r="AW38" s="127" t="str">
        <f t="shared" si="24"/>
        <v/>
      </c>
      <c r="AX38" s="127" t="str">
        <f t="shared" si="22"/>
        <v/>
      </c>
      <c r="AY38" s="127" t="str">
        <f t="shared" si="22"/>
        <v/>
      </c>
      <c r="AZ38" s="127" t="str">
        <f t="shared" si="22"/>
        <v/>
      </c>
      <c r="BA38" s="127" t="str">
        <f t="shared" si="22"/>
        <v/>
      </c>
      <c r="BB38" s="127" t="str">
        <f t="shared" si="23"/>
        <v/>
      </c>
      <c r="BC38" s="127" t="str">
        <f t="shared" si="23"/>
        <v/>
      </c>
      <c r="BD38" s="127" t="str">
        <f t="shared" si="23"/>
        <v/>
      </c>
      <c r="BE38" s="127" t="str">
        <f t="shared" si="23"/>
        <v/>
      </c>
      <c r="BF38" s="127" t="str">
        <f t="shared" si="23"/>
        <v/>
      </c>
      <c r="BG38" s="127" t="str">
        <f t="shared" si="23"/>
        <v/>
      </c>
      <c r="BH38" s="127" t="str">
        <f t="shared" si="23"/>
        <v/>
      </c>
      <c r="BI38" s="127" t="str">
        <f t="shared" si="23"/>
        <v/>
      </c>
      <c r="BJ38" s="127" t="str">
        <f t="shared" si="23"/>
        <v/>
      </c>
      <c r="BK38" s="127" t="str">
        <f t="shared" si="23"/>
        <v/>
      </c>
      <c r="BL38" s="127" t="str">
        <f t="shared" si="23"/>
        <v/>
      </c>
      <c r="BM38" s="127" t="str">
        <f t="shared" si="23"/>
        <v/>
      </c>
      <c r="BN38" s="127" t="str">
        <f t="shared" si="23"/>
        <v/>
      </c>
      <c r="BO38" s="127" t="str">
        <f t="shared" si="23"/>
        <v/>
      </c>
      <c r="BP38" s="127" t="str">
        <f t="shared" si="23"/>
        <v/>
      </c>
      <c r="BQ38" s="127" t="str">
        <f t="shared" si="23"/>
        <v/>
      </c>
      <c r="BR38" s="127" t="str">
        <f t="shared" si="25"/>
        <v/>
      </c>
      <c r="BS38" s="127" t="str">
        <f t="shared" si="25"/>
        <v/>
      </c>
      <c r="BT38" s="127" t="str">
        <f t="shared" si="25"/>
        <v/>
      </c>
      <c r="BU38" s="127" t="str">
        <f t="shared" si="25"/>
        <v/>
      </c>
      <c r="BV38" s="127" t="str">
        <f t="shared" si="25"/>
        <v/>
      </c>
      <c r="BW38" s="127" t="str">
        <f t="shared" si="25"/>
        <v/>
      </c>
      <c r="BX38" s="127" t="str">
        <f t="shared" si="25"/>
        <v/>
      </c>
      <c r="BY38" s="127" t="str">
        <f t="shared" si="25"/>
        <v/>
      </c>
      <c r="BZ38" s="127" t="str">
        <f t="shared" si="25"/>
        <v/>
      </c>
      <c r="CA38" s="127" t="str">
        <f t="shared" si="25"/>
        <v/>
      </c>
      <c r="CB38" s="127" t="str">
        <f t="shared" si="25"/>
        <v/>
      </c>
      <c r="CC38" s="127" t="str">
        <f t="shared" si="25"/>
        <v/>
      </c>
      <c r="CD38" s="127" t="str">
        <f t="shared" si="25"/>
        <v/>
      </c>
      <c r="CE38" s="127" t="str">
        <f t="shared" si="25"/>
        <v/>
      </c>
    </row>
    <row r="39" spans="1:83" ht="12.6" customHeight="1" x14ac:dyDescent="0.2">
      <c r="A39" s="106">
        <f>SHIPMENTS!A45</f>
        <v>9143</v>
      </c>
      <c r="B39" s="106" t="str">
        <f>SHIPMENTS!B45</f>
        <v>43301-THAILAND</v>
      </c>
      <c r="C39" s="132">
        <f>SHIPMENTS!F45</f>
        <v>4.75</v>
      </c>
      <c r="D39" s="107" t="str">
        <f>IF((SHIPMENTS!I45)=0,"",SHIPMENTS!I45)</f>
        <v>1x20</v>
      </c>
      <c r="E39" s="176">
        <f>IF((SHIPMENTS!G45)=0,"",SHIPMENTS!G45)</f>
        <v>46332</v>
      </c>
      <c r="F39" s="97">
        <f>VLOOKUP(A39,Items!$A$5:$J$1000,9,0)</f>
        <v>3</v>
      </c>
      <c r="G39" s="98">
        <f>VLOOKUP(A39,load!$A$4:$W$5001,23,0)</f>
        <v>95.628500000000003</v>
      </c>
      <c r="H39" s="109">
        <f>Manhours!$C$29+Manhours!$C$30</f>
        <v>10</v>
      </c>
      <c r="I39" s="98">
        <f t="shared" si="16"/>
        <v>91</v>
      </c>
      <c r="J39" s="99">
        <f t="shared" si="17"/>
        <v>1.0508626373626373</v>
      </c>
      <c r="K39" s="99">
        <f t="shared" si="18"/>
        <v>9.5628499999999992</v>
      </c>
      <c r="L39" s="98">
        <f t="shared" si="19"/>
        <v>1.0508626373626373</v>
      </c>
      <c r="M39" s="98">
        <f t="shared" si="20"/>
        <v>9.5628499999999992</v>
      </c>
      <c r="N39" s="181">
        <f>IF(G39&gt;0,('MP2-SFP2'!M39+3),'SFP2'!O38)</f>
        <v>46329.369163426323</v>
      </c>
      <c r="O39" s="181">
        <f t="shared" si="21"/>
        <v>46330.420026063686</v>
      </c>
      <c r="P39" s="112">
        <f>VLOOKUP(A39,SHIPMENTS!$A$7:$N$171,14,0)</f>
        <v>0</v>
      </c>
      <c r="Q39" s="101"/>
      <c r="R39" s="127" t="str">
        <f t="shared" si="15"/>
        <v/>
      </c>
      <c r="S39" s="127" t="str">
        <f t="shared" si="15"/>
        <v/>
      </c>
      <c r="T39" s="127" t="str">
        <f t="shared" si="15"/>
        <v/>
      </c>
      <c r="U39" s="127" t="str">
        <f t="shared" si="15"/>
        <v/>
      </c>
      <c r="V39" s="127" t="str">
        <f t="shared" si="15"/>
        <v/>
      </c>
      <c r="W39" s="127" t="str">
        <f t="shared" si="15"/>
        <v/>
      </c>
      <c r="X39" s="127" t="str">
        <f t="shared" si="15"/>
        <v/>
      </c>
      <c r="Y39" s="127" t="str">
        <f t="shared" si="15"/>
        <v/>
      </c>
      <c r="Z39" s="127" t="str">
        <f t="shared" si="15"/>
        <v/>
      </c>
      <c r="AA39" s="127" t="str">
        <f t="shared" si="15"/>
        <v/>
      </c>
      <c r="AB39" s="127" t="str">
        <f t="shared" si="15"/>
        <v/>
      </c>
      <c r="AC39" s="127" t="str">
        <f t="shared" si="15"/>
        <v/>
      </c>
      <c r="AD39" s="127" t="str">
        <f t="shared" si="15"/>
        <v/>
      </c>
      <c r="AE39" s="127" t="str">
        <f t="shared" si="15"/>
        <v/>
      </c>
      <c r="AF39" s="127" t="str">
        <f t="shared" si="15"/>
        <v/>
      </c>
      <c r="AG39" s="127" t="str">
        <f t="shared" ref="R39:AG53" si="26">IF($E39=AG$3,"▲","")</f>
        <v/>
      </c>
      <c r="AH39" s="127" t="str">
        <f t="shared" si="24"/>
        <v>▲</v>
      </c>
      <c r="AI39" s="127" t="str">
        <f t="shared" si="24"/>
        <v/>
      </c>
      <c r="AJ39" s="127" t="str">
        <f t="shared" si="24"/>
        <v/>
      </c>
      <c r="AK39" s="127" t="str">
        <f t="shared" si="24"/>
        <v/>
      </c>
      <c r="AL39" s="127" t="str">
        <f t="shared" si="24"/>
        <v/>
      </c>
      <c r="AM39" s="127" t="str">
        <f t="shared" si="24"/>
        <v/>
      </c>
      <c r="AN39" s="127" t="str">
        <f t="shared" si="24"/>
        <v/>
      </c>
      <c r="AO39" s="127" t="str">
        <f t="shared" si="24"/>
        <v/>
      </c>
      <c r="AP39" s="127" t="str">
        <f t="shared" si="24"/>
        <v/>
      </c>
      <c r="AQ39" s="127" t="str">
        <f t="shared" si="24"/>
        <v/>
      </c>
      <c r="AR39" s="127" t="str">
        <f t="shared" si="24"/>
        <v/>
      </c>
      <c r="AS39" s="127" t="str">
        <f t="shared" si="24"/>
        <v/>
      </c>
      <c r="AT39" s="127" t="str">
        <f t="shared" si="24"/>
        <v/>
      </c>
      <c r="AU39" s="127" t="str">
        <f t="shared" si="24"/>
        <v/>
      </c>
      <c r="AV39" s="127" t="str">
        <f t="shared" si="24"/>
        <v/>
      </c>
      <c r="AW39" s="127" t="str">
        <f t="shared" si="24"/>
        <v/>
      </c>
      <c r="AX39" s="127" t="str">
        <f t="shared" si="22"/>
        <v/>
      </c>
      <c r="AY39" s="127" t="str">
        <f t="shared" si="22"/>
        <v/>
      </c>
      <c r="AZ39" s="127" t="str">
        <f t="shared" si="22"/>
        <v/>
      </c>
      <c r="BA39" s="127" t="str">
        <f t="shared" si="22"/>
        <v/>
      </c>
      <c r="BB39" s="127" t="str">
        <f t="shared" si="23"/>
        <v/>
      </c>
      <c r="BC39" s="127" t="str">
        <f t="shared" si="23"/>
        <v/>
      </c>
      <c r="BD39" s="127" t="str">
        <f t="shared" si="23"/>
        <v/>
      </c>
      <c r="BE39" s="127" t="str">
        <f t="shared" si="23"/>
        <v/>
      </c>
      <c r="BF39" s="127" t="str">
        <f t="shared" si="23"/>
        <v/>
      </c>
      <c r="BG39" s="127" t="str">
        <f t="shared" si="23"/>
        <v/>
      </c>
      <c r="BH39" s="127" t="str">
        <f t="shared" si="23"/>
        <v/>
      </c>
      <c r="BI39" s="127" t="str">
        <f t="shared" si="23"/>
        <v/>
      </c>
      <c r="BJ39" s="127" t="str">
        <f t="shared" si="23"/>
        <v/>
      </c>
      <c r="BK39" s="127" t="str">
        <f t="shared" si="23"/>
        <v/>
      </c>
      <c r="BL39" s="127" t="str">
        <f t="shared" si="23"/>
        <v/>
      </c>
      <c r="BM39" s="127" t="str">
        <f t="shared" si="23"/>
        <v/>
      </c>
      <c r="BN39" s="127" t="str">
        <f t="shared" si="23"/>
        <v/>
      </c>
      <c r="BO39" s="127" t="str">
        <f t="shared" si="23"/>
        <v/>
      </c>
      <c r="BP39" s="127" t="str">
        <f t="shared" si="23"/>
        <v/>
      </c>
      <c r="BQ39" s="127" t="str">
        <f t="shared" si="23"/>
        <v/>
      </c>
      <c r="BR39" s="127" t="str">
        <f t="shared" si="25"/>
        <v/>
      </c>
      <c r="BS39" s="127" t="str">
        <f t="shared" si="25"/>
        <v/>
      </c>
      <c r="BT39" s="127" t="str">
        <f t="shared" si="25"/>
        <v/>
      </c>
      <c r="BU39" s="127" t="str">
        <f t="shared" si="25"/>
        <v/>
      </c>
      <c r="BV39" s="127" t="str">
        <f t="shared" si="25"/>
        <v/>
      </c>
      <c r="BW39" s="127" t="str">
        <f t="shared" si="25"/>
        <v/>
      </c>
      <c r="BX39" s="127" t="str">
        <f t="shared" si="25"/>
        <v/>
      </c>
      <c r="BY39" s="127" t="str">
        <f t="shared" si="25"/>
        <v/>
      </c>
      <c r="BZ39" s="127" t="str">
        <f t="shared" si="25"/>
        <v/>
      </c>
      <c r="CA39" s="127" t="str">
        <f t="shared" si="25"/>
        <v/>
      </c>
      <c r="CB39" s="127" t="str">
        <f t="shared" si="25"/>
        <v/>
      </c>
      <c r="CC39" s="127" t="str">
        <f t="shared" si="25"/>
        <v/>
      </c>
      <c r="CD39" s="127" t="str">
        <f t="shared" si="25"/>
        <v/>
      </c>
      <c r="CE39" s="127" t="str">
        <f t="shared" si="25"/>
        <v/>
      </c>
    </row>
    <row r="40" spans="1:83" ht="12.6" customHeight="1" x14ac:dyDescent="0.2">
      <c r="A40" s="106">
        <f>SHIPMENTS!A46</f>
        <v>9160</v>
      </c>
      <c r="B40" s="106" t="str">
        <f>SHIPMENTS!B46</f>
        <v>51700-MAURITIUS</v>
      </c>
      <c r="C40" s="132">
        <f>SHIPMENTS!F46</f>
        <v>0.97</v>
      </c>
      <c r="D40" s="107" t="str">
        <f>IF((SHIPMENTS!I46)=0,"",SHIPMENTS!I46)</f>
        <v>1x20</v>
      </c>
      <c r="E40" s="176">
        <f>IF((SHIPMENTS!G46)=0,"",SHIPMENTS!G46)</f>
        <v>46332</v>
      </c>
      <c r="F40" s="97">
        <f>VLOOKUP(A40,Items!$A$5:$J$1000,9,0)</f>
        <v>5</v>
      </c>
      <c r="G40" s="98">
        <f>VLOOKUP(A40,load!$A$4:$W$5001,23,0)</f>
        <v>201.87499999999994</v>
      </c>
      <c r="H40" s="109">
        <f>Manhours!$C$29+Manhours!$C$30</f>
        <v>10</v>
      </c>
      <c r="I40" s="98">
        <f t="shared" si="16"/>
        <v>91</v>
      </c>
      <c r="J40" s="99">
        <f t="shared" si="17"/>
        <v>2.2184065934065926</v>
      </c>
      <c r="K40" s="99">
        <f t="shared" si="18"/>
        <v>20.187499999999993</v>
      </c>
      <c r="L40" s="98">
        <f t="shared" si="19"/>
        <v>2.2184065934065926</v>
      </c>
      <c r="M40" s="98">
        <f t="shared" si="20"/>
        <v>20.187499999999993</v>
      </c>
      <c r="N40" s="181">
        <f>IF(G40&gt;0,('MP2-SFP2'!M40+3),'SFP2'!O39)</f>
        <v>46330.671226683582</v>
      </c>
      <c r="O40" s="181">
        <f t="shared" si="21"/>
        <v>46332.889633276987</v>
      </c>
      <c r="P40" s="112">
        <f>VLOOKUP(A40,SHIPMENTS!$A$7:$N$171,14,0)</f>
        <v>0</v>
      </c>
      <c r="Q40" s="101"/>
      <c r="R40" s="127" t="str">
        <f t="shared" si="26"/>
        <v/>
      </c>
      <c r="S40" s="127" t="str">
        <f t="shared" si="26"/>
        <v/>
      </c>
      <c r="T40" s="127" t="str">
        <f t="shared" si="26"/>
        <v/>
      </c>
      <c r="U40" s="127" t="str">
        <f t="shared" si="26"/>
        <v/>
      </c>
      <c r="V40" s="127" t="str">
        <f t="shared" si="26"/>
        <v/>
      </c>
      <c r="W40" s="127" t="str">
        <f t="shared" si="26"/>
        <v/>
      </c>
      <c r="X40" s="127" t="str">
        <f t="shared" si="26"/>
        <v/>
      </c>
      <c r="Y40" s="127" t="str">
        <f t="shared" si="26"/>
        <v/>
      </c>
      <c r="Z40" s="127" t="str">
        <f t="shared" si="26"/>
        <v/>
      </c>
      <c r="AA40" s="127" t="str">
        <f t="shared" si="26"/>
        <v/>
      </c>
      <c r="AB40" s="127" t="str">
        <f t="shared" si="26"/>
        <v/>
      </c>
      <c r="AC40" s="127" t="str">
        <f t="shared" si="26"/>
        <v/>
      </c>
      <c r="AD40" s="127" t="str">
        <f t="shared" si="26"/>
        <v/>
      </c>
      <c r="AE40" s="127" t="str">
        <f t="shared" si="26"/>
        <v/>
      </c>
      <c r="AF40" s="127" t="str">
        <f t="shared" si="26"/>
        <v/>
      </c>
      <c r="AG40" s="127" t="str">
        <f t="shared" si="26"/>
        <v/>
      </c>
      <c r="AH40" s="127" t="str">
        <f t="shared" si="24"/>
        <v>▲</v>
      </c>
      <c r="AI40" s="127" t="str">
        <f t="shared" si="24"/>
        <v/>
      </c>
      <c r="AJ40" s="127" t="str">
        <f t="shared" si="24"/>
        <v/>
      </c>
      <c r="AK40" s="127" t="str">
        <f t="shared" si="24"/>
        <v/>
      </c>
      <c r="AL40" s="127" t="str">
        <f t="shared" si="24"/>
        <v/>
      </c>
      <c r="AM40" s="127" t="str">
        <f t="shared" si="24"/>
        <v/>
      </c>
      <c r="AN40" s="127" t="str">
        <f t="shared" si="24"/>
        <v/>
      </c>
      <c r="AO40" s="127" t="str">
        <f t="shared" si="24"/>
        <v/>
      </c>
      <c r="AP40" s="127" t="str">
        <f t="shared" si="24"/>
        <v/>
      </c>
      <c r="AQ40" s="127" t="str">
        <f t="shared" si="24"/>
        <v/>
      </c>
      <c r="AR40" s="127" t="str">
        <f t="shared" si="24"/>
        <v/>
      </c>
      <c r="AS40" s="127" t="str">
        <f t="shared" si="24"/>
        <v/>
      </c>
      <c r="AT40" s="127" t="str">
        <f t="shared" si="24"/>
        <v/>
      </c>
      <c r="AU40" s="127" t="str">
        <f t="shared" si="24"/>
        <v/>
      </c>
      <c r="AV40" s="127" t="str">
        <f t="shared" si="24"/>
        <v/>
      </c>
      <c r="AW40" s="127" t="str">
        <f t="shared" si="24"/>
        <v/>
      </c>
      <c r="AX40" s="127" t="str">
        <f t="shared" si="22"/>
        <v/>
      </c>
      <c r="AY40" s="127" t="str">
        <f t="shared" si="22"/>
        <v/>
      </c>
      <c r="AZ40" s="127" t="str">
        <f t="shared" si="22"/>
        <v/>
      </c>
      <c r="BA40" s="127" t="str">
        <f t="shared" si="22"/>
        <v/>
      </c>
      <c r="BB40" s="127" t="str">
        <f t="shared" si="23"/>
        <v/>
      </c>
      <c r="BC40" s="127" t="str">
        <f t="shared" si="23"/>
        <v/>
      </c>
      <c r="BD40" s="127" t="str">
        <f t="shared" si="23"/>
        <v/>
      </c>
      <c r="BE40" s="127" t="str">
        <f t="shared" si="23"/>
        <v/>
      </c>
      <c r="BF40" s="127" t="str">
        <f t="shared" si="23"/>
        <v/>
      </c>
      <c r="BG40" s="127" t="str">
        <f t="shared" si="23"/>
        <v/>
      </c>
      <c r="BH40" s="127" t="str">
        <f t="shared" si="23"/>
        <v/>
      </c>
      <c r="BI40" s="127" t="str">
        <f t="shared" si="23"/>
        <v/>
      </c>
      <c r="BJ40" s="127" t="str">
        <f t="shared" si="23"/>
        <v/>
      </c>
      <c r="BK40" s="127" t="str">
        <f t="shared" si="23"/>
        <v/>
      </c>
      <c r="BL40" s="127" t="str">
        <f t="shared" si="23"/>
        <v/>
      </c>
      <c r="BM40" s="127" t="str">
        <f t="shared" si="23"/>
        <v/>
      </c>
      <c r="BN40" s="127" t="str">
        <f t="shared" si="23"/>
        <v/>
      </c>
      <c r="BO40" s="127" t="str">
        <f t="shared" si="23"/>
        <v/>
      </c>
      <c r="BP40" s="127" t="str">
        <f t="shared" si="23"/>
        <v/>
      </c>
      <c r="BQ40" s="127" t="str">
        <f t="shared" si="23"/>
        <v/>
      </c>
      <c r="BR40" s="127" t="str">
        <f t="shared" si="25"/>
        <v/>
      </c>
      <c r="BS40" s="127" t="str">
        <f t="shared" si="25"/>
        <v/>
      </c>
      <c r="BT40" s="127" t="str">
        <f t="shared" si="25"/>
        <v/>
      </c>
      <c r="BU40" s="127" t="str">
        <f t="shared" si="25"/>
        <v/>
      </c>
      <c r="BV40" s="127" t="str">
        <f t="shared" si="25"/>
        <v/>
      </c>
      <c r="BW40" s="127" t="str">
        <f t="shared" si="25"/>
        <v/>
      </c>
      <c r="BX40" s="127" t="str">
        <f t="shared" si="25"/>
        <v/>
      </c>
      <c r="BY40" s="127" t="str">
        <f t="shared" si="25"/>
        <v/>
      </c>
      <c r="BZ40" s="127" t="str">
        <f t="shared" si="25"/>
        <v/>
      </c>
      <c r="CA40" s="127" t="str">
        <f t="shared" si="25"/>
        <v/>
      </c>
      <c r="CB40" s="127" t="str">
        <f t="shared" si="25"/>
        <v/>
      </c>
      <c r="CC40" s="127" t="str">
        <f t="shared" si="25"/>
        <v/>
      </c>
      <c r="CD40" s="127" t="str">
        <f t="shared" si="25"/>
        <v/>
      </c>
      <c r="CE40" s="127" t="str">
        <f t="shared" si="25"/>
        <v/>
      </c>
    </row>
    <row r="41" spans="1:83" ht="12.6" hidden="1" customHeight="1" x14ac:dyDescent="0.2">
      <c r="A41" s="106">
        <f>SHIPMENTS!A47</f>
        <v>9164</v>
      </c>
      <c r="B41" s="106" t="str">
        <f>SHIPMENTS!B47</f>
        <v>1500-SAWO SAUNA EUROPE BV BACKLOG</v>
      </c>
      <c r="C41" s="132">
        <f>SHIPMENTS!F47</f>
        <v>100.97952000000001</v>
      </c>
      <c r="D41" s="107" t="str">
        <f>IF((SHIPMENTS!I47)=0,"",SHIPMENTS!I47)</f>
        <v>1X40HC</v>
      </c>
      <c r="E41" s="176">
        <f>IF((SHIPMENTS!G47)=0,"",SHIPMENTS!G47)</f>
        <v>46339</v>
      </c>
      <c r="F41" s="97">
        <f>VLOOKUP(A41,Items!$A$5:$J$1000,9,0)</f>
        <v>0</v>
      </c>
      <c r="G41" s="98">
        <f>VLOOKUP(A41,load!$A$4:$W$5001,23,0)</f>
        <v>0</v>
      </c>
      <c r="H41" s="109">
        <f>Manhours!$C$29+Manhours!$C$30</f>
        <v>10</v>
      </c>
      <c r="I41" s="98">
        <f t="shared" si="16"/>
        <v>91</v>
      </c>
      <c r="J41" s="99">
        <f t="shared" si="17"/>
        <v>0</v>
      </c>
      <c r="K41" s="99">
        <f t="shared" si="18"/>
        <v>0</v>
      </c>
      <c r="L41" s="98">
        <f t="shared" si="19"/>
        <v>0</v>
      </c>
      <c r="M41" s="98">
        <f t="shared" si="20"/>
        <v>0</v>
      </c>
      <c r="N41" s="181">
        <f>IF(G41&gt;0,('MP2-SFP2'!M41+3),'SFP2'!O40)</f>
        <v>46332.889633276987</v>
      </c>
      <c r="O41" s="181">
        <f t="shared" si="21"/>
        <v>46332.889633276987</v>
      </c>
      <c r="P41" s="112" t="str">
        <f>VLOOKUP(A41,SHIPMENTS!$A$7:$N$171,14,0)</f>
        <v>n/a</v>
      </c>
      <c r="Q41" s="101"/>
      <c r="R41" s="127" t="str">
        <f t="shared" si="26"/>
        <v/>
      </c>
      <c r="S41" s="127" t="str">
        <f t="shared" si="26"/>
        <v/>
      </c>
      <c r="T41" s="127" t="str">
        <f t="shared" si="26"/>
        <v/>
      </c>
      <c r="U41" s="127" t="str">
        <f t="shared" si="26"/>
        <v/>
      </c>
      <c r="V41" s="127" t="str">
        <f t="shared" si="26"/>
        <v/>
      </c>
      <c r="W41" s="127" t="str">
        <f t="shared" si="26"/>
        <v/>
      </c>
      <c r="X41" s="127" t="str">
        <f t="shared" si="26"/>
        <v/>
      </c>
      <c r="Y41" s="127" t="str">
        <f t="shared" si="26"/>
        <v/>
      </c>
      <c r="Z41" s="127" t="str">
        <f t="shared" si="26"/>
        <v/>
      </c>
      <c r="AA41" s="127" t="str">
        <f t="shared" si="26"/>
        <v/>
      </c>
      <c r="AB41" s="127" t="str">
        <f t="shared" si="26"/>
        <v/>
      </c>
      <c r="AC41" s="127" t="str">
        <f t="shared" si="26"/>
        <v/>
      </c>
      <c r="AD41" s="127" t="str">
        <f t="shared" si="26"/>
        <v/>
      </c>
      <c r="AE41" s="127" t="str">
        <f t="shared" si="26"/>
        <v/>
      </c>
      <c r="AF41" s="127" t="str">
        <f t="shared" si="26"/>
        <v/>
      </c>
      <c r="AG41" s="127" t="str">
        <f t="shared" si="26"/>
        <v/>
      </c>
      <c r="AH41" s="127" t="str">
        <f t="shared" si="24"/>
        <v/>
      </c>
      <c r="AI41" s="127" t="str">
        <f t="shared" si="24"/>
        <v/>
      </c>
      <c r="AJ41" s="127" t="str">
        <f t="shared" si="24"/>
        <v/>
      </c>
      <c r="AK41" s="127" t="str">
        <f t="shared" si="24"/>
        <v/>
      </c>
      <c r="AL41" s="127" t="str">
        <f t="shared" si="24"/>
        <v/>
      </c>
      <c r="AM41" s="127" t="str">
        <f t="shared" si="24"/>
        <v/>
      </c>
      <c r="AN41" s="127" t="str">
        <f t="shared" si="24"/>
        <v>▲</v>
      </c>
      <c r="AO41" s="127" t="str">
        <f t="shared" si="24"/>
        <v/>
      </c>
      <c r="AP41" s="127" t="str">
        <f t="shared" si="24"/>
        <v/>
      </c>
      <c r="AQ41" s="127" t="str">
        <f t="shared" si="24"/>
        <v/>
      </c>
      <c r="AR41" s="127" t="str">
        <f t="shared" si="24"/>
        <v/>
      </c>
      <c r="AS41" s="127" t="str">
        <f t="shared" si="24"/>
        <v/>
      </c>
      <c r="AT41" s="127" t="str">
        <f t="shared" si="24"/>
        <v/>
      </c>
      <c r="AU41" s="127" t="str">
        <f t="shared" si="24"/>
        <v/>
      </c>
      <c r="AV41" s="127" t="str">
        <f t="shared" si="24"/>
        <v/>
      </c>
      <c r="AW41" s="127" t="str">
        <f t="shared" si="24"/>
        <v/>
      </c>
      <c r="AX41" s="127" t="str">
        <f t="shared" si="22"/>
        <v/>
      </c>
      <c r="AY41" s="127" t="str">
        <f t="shared" si="22"/>
        <v/>
      </c>
      <c r="AZ41" s="127" t="str">
        <f t="shared" si="22"/>
        <v/>
      </c>
      <c r="BA41" s="127" t="str">
        <f t="shared" si="22"/>
        <v/>
      </c>
      <c r="BB41" s="127" t="str">
        <f t="shared" si="23"/>
        <v/>
      </c>
      <c r="BC41" s="127" t="str">
        <f t="shared" si="23"/>
        <v/>
      </c>
      <c r="BD41" s="127" t="str">
        <f t="shared" si="23"/>
        <v/>
      </c>
      <c r="BE41" s="127" t="str">
        <f t="shared" si="23"/>
        <v/>
      </c>
      <c r="BF41" s="127" t="str">
        <f t="shared" si="23"/>
        <v/>
      </c>
      <c r="BG41" s="127" t="str">
        <f t="shared" si="23"/>
        <v/>
      </c>
      <c r="BH41" s="127" t="str">
        <f t="shared" si="23"/>
        <v/>
      </c>
      <c r="BI41" s="127" t="str">
        <f t="shared" si="23"/>
        <v/>
      </c>
      <c r="BJ41" s="127" t="str">
        <f t="shared" si="23"/>
        <v/>
      </c>
      <c r="BK41" s="127" t="str">
        <f t="shared" si="23"/>
        <v/>
      </c>
      <c r="BL41" s="127" t="str">
        <f t="shared" si="23"/>
        <v/>
      </c>
      <c r="BM41" s="127" t="str">
        <f t="shared" si="23"/>
        <v/>
      </c>
      <c r="BN41" s="127" t="str">
        <f t="shared" si="23"/>
        <v/>
      </c>
      <c r="BO41" s="127" t="str">
        <f t="shared" si="23"/>
        <v/>
      </c>
      <c r="BP41" s="127" t="str">
        <f t="shared" si="23"/>
        <v/>
      </c>
      <c r="BQ41" s="127" t="str">
        <f t="shared" si="23"/>
        <v/>
      </c>
      <c r="BR41" s="127" t="str">
        <f t="shared" si="25"/>
        <v/>
      </c>
      <c r="BS41" s="127" t="str">
        <f t="shared" si="25"/>
        <v/>
      </c>
      <c r="BT41" s="127" t="str">
        <f t="shared" si="25"/>
        <v/>
      </c>
      <c r="BU41" s="127" t="str">
        <f t="shared" si="25"/>
        <v/>
      </c>
      <c r="BV41" s="127" t="str">
        <f t="shared" si="25"/>
        <v/>
      </c>
      <c r="BW41" s="127" t="str">
        <f t="shared" si="25"/>
        <v/>
      </c>
      <c r="BX41" s="127" t="str">
        <f t="shared" si="25"/>
        <v/>
      </c>
      <c r="BY41" s="127" t="str">
        <f t="shared" si="25"/>
        <v/>
      </c>
      <c r="BZ41" s="127" t="str">
        <f t="shared" si="25"/>
        <v/>
      </c>
      <c r="CA41" s="127" t="str">
        <f t="shared" si="25"/>
        <v/>
      </c>
      <c r="CB41" s="127" t="str">
        <f t="shared" si="25"/>
        <v/>
      </c>
      <c r="CC41" s="127" t="str">
        <f t="shared" si="25"/>
        <v/>
      </c>
      <c r="CD41" s="127" t="str">
        <f t="shared" si="25"/>
        <v/>
      </c>
      <c r="CE41" s="127" t="str">
        <f t="shared" si="25"/>
        <v/>
      </c>
    </row>
    <row r="42" spans="1:83" ht="12.6" hidden="1" customHeight="1" x14ac:dyDescent="0.2">
      <c r="A42" s="106">
        <f>SHIPMENTS!A48</f>
        <v>9288</v>
      </c>
      <c r="B42" s="106" t="str">
        <f>SHIPMENTS!B48</f>
        <v>12100-HOLLAND HALU</v>
      </c>
      <c r="C42" s="132">
        <f>SHIPMENTS!F48</f>
        <v>0</v>
      </c>
      <c r="D42" s="107" t="str">
        <f>IF((SHIPMENTS!I48)=0,"",SHIPMENTS!I48)</f>
        <v/>
      </c>
      <c r="E42" s="176">
        <f>IF((SHIPMENTS!G48)=0,"",SHIPMENTS!G48)</f>
        <v>46339</v>
      </c>
      <c r="F42" s="97">
        <f>VLOOKUP(A42,Items!$A$5:$J$1000,9,0)</f>
        <v>0</v>
      </c>
      <c r="G42" s="98">
        <f>VLOOKUP(A42,load!$A$4:$W$5001,23,0)</f>
        <v>0</v>
      </c>
      <c r="H42" s="109">
        <f>Manhours!$C$29+Manhours!$C$30</f>
        <v>10</v>
      </c>
      <c r="I42" s="98">
        <f t="shared" si="16"/>
        <v>91</v>
      </c>
      <c r="J42" s="99">
        <f t="shared" si="17"/>
        <v>0</v>
      </c>
      <c r="K42" s="99">
        <f t="shared" si="18"/>
        <v>0</v>
      </c>
      <c r="L42" s="98">
        <f t="shared" si="19"/>
        <v>0</v>
      </c>
      <c r="M42" s="98">
        <f t="shared" si="20"/>
        <v>0</v>
      </c>
      <c r="N42" s="181">
        <f>IF(G42&gt;0,('MP2-SFP2'!M42+3),'SFP2'!O41)</f>
        <v>46332.889633276987</v>
      </c>
      <c r="O42" s="181">
        <f t="shared" si="21"/>
        <v>46332.889633276987</v>
      </c>
      <c r="P42" s="112" t="str">
        <f>VLOOKUP(A42,SHIPMENTS!$A$7:$N$171,14,0)</f>
        <v>n/a</v>
      </c>
      <c r="Q42" s="101"/>
      <c r="R42" s="127" t="str">
        <f t="shared" si="26"/>
        <v/>
      </c>
      <c r="S42" s="127" t="str">
        <f t="shared" si="26"/>
        <v/>
      </c>
      <c r="T42" s="127" t="str">
        <f t="shared" si="26"/>
        <v/>
      </c>
      <c r="U42" s="127" t="str">
        <f t="shared" si="26"/>
        <v/>
      </c>
      <c r="V42" s="127" t="str">
        <f t="shared" si="26"/>
        <v/>
      </c>
      <c r="W42" s="127" t="str">
        <f t="shared" si="26"/>
        <v/>
      </c>
      <c r="X42" s="127" t="str">
        <f t="shared" si="26"/>
        <v/>
      </c>
      <c r="Y42" s="127" t="str">
        <f t="shared" si="26"/>
        <v/>
      </c>
      <c r="Z42" s="127" t="str">
        <f t="shared" si="26"/>
        <v/>
      </c>
      <c r="AA42" s="127" t="str">
        <f t="shared" si="26"/>
        <v/>
      </c>
      <c r="AB42" s="127" t="str">
        <f t="shared" si="26"/>
        <v/>
      </c>
      <c r="AC42" s="127" t="str">
        <f t="shared" si="26"/>
        <v/>
      </c>
      <c r="AD42" s="127" t="str">
        <f t="shared" si="26"/>
        <v/>
      </c>
      <c r="AE42" s="127" t="str">
        <f t="shared" si="26"/>
        <v/>
      </c>
      <c r="AF42" s="127" t="str">
        <f t="shared" si="26"/>
        <v/>
      </c>
      <c r="AG42" s="127" t="str">
        <f t="shared" si="26"/>
        <v/>
      </c>
      <c r="AH42" s="127" t="str">
        <f t="shared" si="24"/>
        <v/>
      </c>
      <c r="AI42" s="127" t="str">
        <f t="shared" si="24"/>
        <v/>
      </c>
      <c r="AJ42" s="127" t="str">
        <f t="shared" si="24"/>
        <v/>
      </c>
      <c r="AK42" s="127" t="str">
        <f t="shared" si="24"/>
        <v/>
      </c>
      <c r="AL42" s="127" t="str">
        <f t="shared" si="24"/>
        <v/>
      </c>
      <c r="AM42" s="127" t="str">
        <f t="shared" si="24"/>
        <v/>
      </c>
      <c r="AN42" s="127" t="str">
        <f t="shared" si="24"/>
        <v>▲</v>
      </c>
      <c r="AO42" s="127" t="str">
        <f t="shared" si="24"/>
        <v/>
      </c>
      <c r="AP42" s="127" t="str">
        <f t="shared" si="24"/>
        <v/>
      </c>
      <c r="AQ42" s="127" t="str">
        <f t="shared" si="24"/>
        <v/>
      </c>
      <c r="AR42" s="127" t="str">
        <f t="shared" si="24"/>
        <v/>
      </c>
      <c r="AS42" s="127" t="str">
        <f t="shared" si="24"/>
        <v/>
      </c>
      <c r="AT42" s="127" t="str">
        <f t="shared" si="24"/>
        <v/>
      </c>
      <c r="AU42" s="127" t="str">
        <f t="shared" si="24"/>
        <v/>
      </c>
      <c r="AV42" s="127" t="str">
        <f t="shared" si="24"/>
        <v/>
      </c>
      <c r="AW42" s="127" t="str">
        <f t="shared" si="24"/>
        <v/>
      </c>
      <c r="AX42" s="127" t="str">
        <f t="shared" si="22"/>
        <v/>
      </c>
      <c r="AY42" s="127" t="str">
        <f t="shared" si="22"/>
        <v/>
      </c>
      <c r="AZ42" s="127" t="str">
        <f t="shared" si="22"/>
        <v/>
      </c>
      <c r="BA42" s="127" t="str">
        <f t="shared" si="22"/>
        <v/>
      </c>
      <c r="BB42" s="127" t="str">
        <f t="shared" si="23"/>
        <v/>
      </c>
      <c r="BC42" s="127" t="str">
        <f t="shared" si="23"/>
        <v/>
      </c>
      <c r="BD42" s="127" t="str">
        <f t="shared" si="23"/>
        <v/>
      </c>
      <c r="BE42" s="127" t="str">
        <f t="shared" si="23"/>
        <v/>
      </c>
      <c r="BF42" s="127" t="str">
        <f t="shared" si="23"/>
        <v/>
      </c>
      <c r="BG42" s="127" t="str">
        <f t="shared" si="23"/>
        <v/>
      </c>
      <c r="BH42" s="127" t="str">
        <f t="shared" si="23"/>
        <v/>
      </c>
      <c r="BI42" s="127" t="str">
        <f t="shared" si="23"/>
        <v/>
      </c>
      <c r="BJ42" s="127" t="str">
        <f t="shared" si="23"/>
        <v/>
      </c>
      <c r="BK42" s="127" t="str">
        <f t="shared" si="23"/>
        <v/>
      </c>
      <c r="BL42" s="127" t="str">
        <f t="shared" si="23"/>
        <v/>
      </c>
      <c r="BM42" s="127" t="str">
        <f t="shared" si="23"/>
        <v/>
      </c>
      <c r="BN42" s="127" t="str">
        <f t="shared" si="23"/>
        <v/>
      </c>
      <c r="BO42" s="127" t="str">
        <f t="shared" si="23"/>
        <v/>
      </c>
      <c r="BP42" s="127" t="str">
        <f t="shared" si="23"/>
        <v/>
      </c>
      <c r="BQ42" s="127" t="str">
        <f t="shared" si="23"/>
        <v/>
      </c>
      <c r="BR42" s="127" t="str">
        <f t="shared" si="25"/>
        <v/>
      </c>
      <c r="BS42" s="127" t="str">
        <f t="shared" si="25"/>
        <v/>
      </c>
      <c r="BT42" s="127" t="str">
        <f t="shared" si="25"/>
        <v/>
      </c>
      <c r="BU42" s="127" t="str">
        <f t="shared" si="25"/>
        <v/>
      </c>
      <c r="BV42" s="127" t="str">
        <f t="shared" si="25"/>
        <v/>
      </c>
      <c r="BW42" s="127" t="str">
        <f t="shared" si="25"/>
        <v/>
      </c>
      <c r="BX42" s="127" t="str">
        <f t="shared" si="25"/>
        <v/>
      </c>
      <c r="BY42" s="127" t="str">
        <f t="shared" si="25"/>
        <v/>
      </c>
      <c r="BZ42" s="127" t="str">
        <f t="shared" si="25"/>
        <v/>
      </c>
      <c r="CA42" s="127" t="str">
        <f t="shared" si="25"/>
        <v/>
      </c>
      <c r="CB42" s="127" t="str">
        <f t="shared" si="25"/>
        <v/>
      </c>
      <c r="CC42" s="127" t="str">
        <f t="shared" si="25"/>
        <v/>
      </c>
      <c r="CD42" s="127" t="str">
        <f t="shared" si="25"/>
        <v/>
      </c>
      <c r="CE42" s="127" t="str">
        <f t="shared" si="25"/>
        <v/>
      </c>
    </row>
    <row r="43" spans="1:83" ht="12.6" hidden="1" customHeight="1" x14ac:dyDescent="0.2">
      <c r="A43" s="106" t="str">
        <f>SHIPMENTS!A49</f>
        <v>SSE BACKLOG</v>
      </c>
      <c r="B43" s="106" t="str">
        <f>SHIPMENTS!B49</f>
        <v>11500-SAWO SAUNA EUROPE BV</v>
      </c>
      <c r="C43" s="132">
        <f>SHIPMENTS!F49</f>
        <v>0</v>
      </c>
      <c r="D43" s="107" t="str">
        <f>IF((SHIPMENTS!I49)=0,"",SHIPMENTS!I49)</f>
        <v/>
      </c>
      <c r="E43" s="176">
        <f>IF((SHIPMENTS!G49)=0,"",SHIPMENTS!G49)</f>
        <v>46339</v>
      </c>
      <c r="F43" s="97">
        <f>VLOOKUP(A43,Items!$A$5:$J$1000,9,0)</f>
        <v>0</v>
      </c>
      <c r="G43" s="98">
        <f>VLOOKUP(A43,load!$A$4:$W$5001,23,0)</f>
        <v>0.91500000000000004</v>
      </c>
      <c r="H43" s="109">
        <f>Manhours!$C$29+Manhours!$C$30</f>
        <v>10</v>
      </c>
      <c r="I43" s="98">
        <f t="shared" si="16"/>
        <v>91</v>
      </c>
      <c r="J43" s="99">
        <f t="shared" si="17"/>
        <v>1.0054945054945055E-2</v>
      </c>
      <c r="K43" s="99">
        <f t="shared" si="18"/>
        <v>9.1499999999999998E-2</v>
      </c>
      <c r="L43" s="98">
        <f t="shared" si="19"/>
        <v>0</v>
      </c>
      <c r="M43" s="98">
        <f t="shared" si="20"/>
        <v>0</v>
      </c>
      <c r="N43" s="181">
        <f>IF(G43&gt;0,('MP2-SFP2'!M43+3),'SFP2'!O42)</f>
        <v>46333.230926599048</v>
      </c>
      <c r="O43" s="181">
        <f t="shared" si="21"/>
        <v>46333.230926599048</v>
      </c>
      <c r="P43" s="112" t="str">
        <f>VLOOKUP(A43,SHIPMENTS!$A$7:$N$171,14,0)</f>
        <v>n/a</v>
      </c>
      <c r="Q43" s="101"/>
      <c r="R43" s="127" t="str">
        <f t="shared" si="26"/>
        <v/>
      </c>
      <c r="S43" s="127" t="str">
        <f t="shared" si="26"/>
        <v/>
      </c>
      <c r="T43" s="127" t="str">
        <f t="shared" si="26"/>
        <v/>
      </c>
      <c r="U43" s="127" t="str">
        <f t="shared" si="26"/>
        <v/>
      </c>
      <c r="V43" s="127" t="str">
        <f t="shared" si="26"/>
        <v/>
      </c>
      <c r="W43" s="127" t="str">
        <f t="shared" si="26"/>
        <v/>
      </c>
      <c r="X43" s="127" t="str">
        <f t="shared" si="26"/>
        <v/>
      </c>
      <c r="Y43" s="127" t="str">
        <f t="shared" si="26"/>
        <v/>
      </c>
      <c r="Z43" s="127" t="str">
        <f t="shared" si="26"/>
        <v/>
      </c>
      <c r="AA43" s="127" t="str">
        <f t="shared" si="26"/>
        <v/>
      </c>
      <c r="AB43" s="127" t="str">
        <f t="shared" si="26"/>
        <v/>
      </c>
      <c r="AC43" s="127" t="str">
        <f t="shared" si="26"/>
        <v/>
      </c>
      <c r="AD43" s="127" t="str">
        <f t="shared" si="26"/>
        <v/>
      </c>
      <c r="AE43" s="127" t="str">
        <f t="shared" si="26"/>
        <v/>
      </c>
      <c r="AF43" s="127" t="str">
        <f t="shared" si="26"/>
        <v/>
      </c>
      <c r="AG43" s="127" t="str">
        <f t="shared" si="26"/>
        <v/>
      </c>
      <c r="AH43" s="127" t="str">
        <f t="shared" si="24"/>
        <v/>
      </c>
      <c r="AI43" s="127" t="str">
        <f t="shared" si="24"/>
        <v/>
      </c>
      <c r="AJ43" s="127" t="str">
        <f t="shared" si="24"/>
        <v/>
      </c>
      <c r="AK43" s="127" t="str">
        <f t="shared" si="24"/>
        <v/>
      </c>
      <c r="AL43" s="127" t="str">
        <f t="shared" si="24"/>
        <v/>
      </c>
      <c r="AM43" s="127" t="str">
        <f t="shared" si="24"/>
        <v/>
      </c>
      <c r="AN43" s="127" t="str">
        <f t="shared" si="24"/>
        <v>▲</v>
      </c>
      <c r="AO43" s="127" t="str">
        <f t="shared" si="24"/>
        <v/>
      </c>
      <c r="AP43" s="127" t="str">
        <f t="shared" si="24"/>
        <v/>
      </c>
      <c r="AQ43" s="127" t="str">
        <f t="shared" si="24"/>
        <v/>
      </c>
      <c r="AR43" s="127" t="str">
        <f t="shared" si="24"/>
        <v/>
      </c>
      <c r="AS43" s="127" t="str">
        <f t="shared" si="24"/>
        <v/>
      </c>
      <c r="AT43" s="127" t="str">
        <f t="shared" si="24"/>
        <v/>
      </c>
      <c r="AU43" s="127" t="str">
        <f t="shared" si="24"/>
        <v/>
      </c>
      <c r="AV43" s="127" t="str">
        <f t="shared" si="24"/>
        <v/>
      </c>
      <c r="AW43" s="127" t="str">
        <f t="shared" si="24"/>
        <v/>
      </c>
      <c r="AX43" s="127" t="str">
        <f t="shared" si="22"/>
        <v/>
      </c>
      <c r="AY43" s="127" t="str">
        <f t="shared" si="22"/>
        <v/>
      </c>
      <c r="AZ43" s="127" t="str">
        <f t="shared" si="22"/>
        <v/>
      </c>
      <c r="BA43" s="127" t="str">
        <f t="shared" si="22"/>
        <v/>
      </c>
      <c r="BB43" s="127" t="str">
        <f t="shared" si="23"/>
        <v/>
      </c>
      <c r="BC43" s="127" t="str">
        <f t="shared" si="23"/>
        <v/>
      </c>
      <c r="BD43" s="127" t="str">
        <f t="shared" si="23"/>
        <v/>
      </c>
      <c r="BE43" s="127" t="str">
        <f t="shared" si="23"/>
        <v/>
      </c>
      <c r="BF43" s="127" t="str">
        <f t="shared" si="23"/>
        <v/>
      </c>
      <c r="BG43" s="127" t="str">
        <f t="shared" si="23"/>
        <v/>
      </c>
      <c r="BH43" s="127" t="str">
        <f t="shared" si="23"/>
        <v/>
      </c>
      <c r="BI43" s="127" t="str">
        <f t="shared" si="23"/>
        <v/>
      </c>
      <c r="BJ43" s="127" t="str">
        <f t="shared" si="23"/>
        <v/>
      </c>
      <c r="BK43" s="127" t="str">
        <f t="shared" si="23"/>
        <v/>
      </c>
      <c r="BL43" s="127" t="str">
        <f t="shared" si="23"/>
        <v/>
      </c>
      <c r="BM43" s="127" t="str">
        <f t="shared" si="23"/>
        <v/>
      </c>
      <c r="BN43" s="127" t="str">
        <f t="shared" si="23"/>
        <v/>
      </c>
      <c r="BO43" s="127" t="str">
        <f t="shared" si="23"/>
        <v/>
      </c>
      <c r="BP43" s="127" t="str">
        <f t="shared" si="23"/>
        <v/>
      </c>
      <c r="BQ43" s="127" t="str">
        <f t="shared" si="23"/>
        <v/>
      </c>
      <c r="BR43" s="127" t="str">
        <f t="shared" si="25"/>
        <v/>
      </c>
      <c r="BS43" s="127" t="str">
        <f t="shared" si="25"/>
        <v/>
      </c>
      <c r="BT43" s="127" t="str">
        <f t="shared" si="25"/>
        <v/>
      </c>
      <c r="BU43" s="127" t="str">
        <f t="shared" si="25"/>
        <v/>
      </c>
      <c r="BV43" s="127" t="str">
        <f t="shared" si="25"/>
        <v/>
      </c>
      <c r="BW43" s="127" t="str">
        <f t="shared" si="25"/>
        <v/>
      </c>
      <c r="BX43" s="127" t="str">
        <f t="shared" si="25"/>
        <v/>
      </c>
      <c r="BY43" s="127" t="str">
        <f t="shared" si="25"/>
        <v/>
      </c>
      <c r="BZ43" s="127" t="str">
        <f t="shared" si="25"/>
        <v/>
      </c>
      <c r="CA43" s="127" t="str">
        <f t="shared" si="25"/>
        <v/>
      </c>
      <c r="CB43" s="127" t="str">
        <f t="shared" si="25"/>
        <v/>
      </c>
      <c r="CC43" s="127" t="str">
        <f t="shared" si="25"/>
        <v/>
      </c>
      <c r="CD43" s="127" t="str">
        <f t="shared" si="25"/>
        <v/>
      </c>
      <c r="CE43" s="127" t="str">
        <f t="shared" si="25"/>
        <v/>
      </c>
    </row>
    <row r="44" spans="1:83" ht="12.6" customHeight="1" x14ac:dyDescent="0.2">
      <c r="A44" s="106">
        <f>SHIPMENTS!A50</f>
        <v>9113</v>
      </c>
      <c r="B44" s="106" t="str">
        <f>SHIPMENTS!B50</f>
        <v>15900- Mandaue |Stephen Chian</v>
      </c>
      <c r="C44" s="132">
        <f>SHIPMENTS!F50</f>
        <v>0.34</v>
      </c>
      <c r="D44" s="107" t="str">
        <f>IF((SHIPMENTS!I50)=0,"",SHIPMENTS!I50)</f>
        <v/>
      </c>
      <c r="E44" s="176">
        <f>IF((SHIPMENTS!G50)=0,"",SHIPMENTS!G50)</f>
        <v>46351</v>
      </c>
      <c r="F44" s="97">
        <f>VLOOKUP(A44,Items!$A$5:$J$1000,9,0)</f>
        <v>1</v>
      </c>
      <c r="G44" s="98">
        <f>VLOOKUP(A44,load!$A$4:$W$5001,23,0)</f>
        <v>42.5</v>
      </c>
      <c r="H44" s="109">
        <f>Manhours!$C$29+Manhours!$C$30</f>
        <v>10</v>
      </c>
      <c r="I44" s="98">
        <f t="shared" si="16"/>
        <v>91</v>
      </c>
      <c r="J44" s="99">
        <f t="shared" si="17"/>
        <v>0.46703296703296704</v>
      </c>
      <c r="K44" s="99">
        <f t="shared" si="18"/>
        <v>4.25</v>
      </c>
      <c r="L44" s="98">
        <f t="shared" si="19"/>
        <v>0.46703296703296704</v>
      </c>
      <c r="M44" s="98">
        <f t="shared" si="20"/>
        <v>4.25</v>
      </c>
      <c r="N44" s="181">
        <f>IF(G44&gt;0,('MP2-SFP2'!M44+3),'SFP2'!O43)</f>
        <v>46333.230926599048</v>
      </c>
      <c r="O44" s="181">
        <f t="shared" si="21"/>
        <v>46333.697959566081</v>
      </c>
      <c r="P44" s="112">
        <f>VLOOKUP(A44,SHIPMENTS!$A$7:$N$171,14,0)</f>
        <v>0</v>
      </c>
      <c r="Q44" s="101"/>
      <c r="R44" s="127" t="str">
        <f t="shared" si="26"/>
        <v/>
      </c>
      <c r="S44" s="127" t="str">
        <f t="shared" si="26"/>
        <v/>
      </c>
      <c r="T44" s="127" t="str">
        <f t="shared" si="26"/>
        <v/>
      </c>
      <c r="U44" s="127" t="str">
        <f t="shared" si="26"/>
        <v/>
      </c>
      <c r="V44" s="127" t="str">
        <f t="shared" si="26"/>
        <v/>
      </c>
      <c r="W44" s="127" t="str">
        <f t="shared" si="26"/>
        <v/>
      </c>
      <c r="X44" s="127" t="str">
        <f t="shared" si="26"/>
        <v/>
      </c>
      <c r="Y44" s="127" t="str">
        <f t="shared" si="26"/>
        <v/>
      </c>
      <c r="Z44" s="127" t="str">
        <f t="shared" si="26"/>
        <v/>
      </c>
      <c r="AA44" s="127" t="str">
        <f t="shared" si="26"/>
        <v/>
      </c>
      <c r="AB44" s="127" t="str">
        <f t="shared" si="26"/>
        <v/>
      </c>
      <c r="AC44" s="127" t="str">
        <f t="shared" si="26"/>
        <v/>
      </c>
      <c r="AD44" s="127" t="str">
        <f t="shared" si="26"/>
        <v/>
      </c>
      <c r="AE44" s="127" t="str">
        <f t="shared" si="26"/>
        <v/>
      </c>
      <c r="AF44" s="127" t="str">
        <f t="shared" si="26"/>
        <v/>
      </c>
      <c r="AG44" s="127" t="str">
        <f t="shared" si="26"/>
        <v/>
      </c>
      <c r="AH44" s="127" t="str">
        <f t="shared" si="24"/>
        <v/>
      </c>
      <c r="AI44" s="127" t="str">
        <f t="shared" si="24"/>
        <v/>
      </c>
      <c r="AJ44" s="127" t="str">
        <f t="shared" si="24"/>
        <v/>
      </c>
      <c r="AK44" s="127" t="str">
        <f t="shared" si="24"/>
        <v/>
      </c>
      <c r="AL44" s="127" t="str">
        <f t="shared" si="24"/>
        <v/>
      </c>
      <c r="AM44" s="127" t="str">
        <f t="shared" si="24"/>
        <v/>
      </c>
      <c r="AN44" s="127" t="str">
        <f t="shared" si="24"/>
        <v/>
      </c>
      <c r="AO44" s="127" t="str">
        <f t="shared" si="24"/>
        <v/>
      </c>
      <c r="AP44" s="127" t="str">
        <f t="shared" si="24"/>
        <v/>
      </c>
      <c r="AQ44" s="127" t="str">
        <f t="shared" si="24"/>
        <v/>
      </c>
      <c r="AR44" s="127" t="str">
        <f t="shared" si="24"/>
        <v/>
      </c>
      <c r="AS44" s="127" t="str">
        <f t="shared" si="24"/>
        <v/>
      </c>
      <c r="AT44" s="127" t="str">
        <f t="shared" si="24"/>
        <v/>
      </c>
      <c r="AU44" s="127" t="str">
        <f t="shared" si="24"/>
        <v/>
      </c>
      <c r="AV44" s="127" t="str">
        <f t="shared" si="24"/>
        <v/>
      </c>
      <c r="AW44" s="127" t="str">
        <f t="shared" si="24"/>
        <v/>
      </c>
      <c r="AX44" s="127" t="str">
        <f t="shared" si="22"/>
        <v>▲</v>
      </c>
      <c r="AY44" s="127" t="str">
        <f t="shared" si="22"/>
        <v/>
      </c>
      <c r="AZ44" s="127" t="str">
        <f t="shared" si="22"/>
        <v/>
      </c>
      <c r="BA44" s="127" t="str">
        <f t="shared" si="22"/>
        <v/>
      </c>
      <c r="BB44" s="127" t="str">
        <f t="shared" si="23"/>
        <v/>
      </c>
      <c r="BC44" s="127" t="str">
        <f t="shared" si="23"/>
        <v/>
      </c>
      <c r="BD44" s="127" t="str">
        <f t="shared" si="23"/>
        <v/>
      </c>
      <c r="BE44" s="127" t="str">
        <f t="shared" si="23"/>
        <v/>
      </c>
      <c r="BF44" s="127" t="str">
        <f t="shared" si="23"/>
        <v/>
      </c>
      <c r="BG44" s="127" t="str">
        <f t="shared" si="23"/>
        <v/>
      </c>
      <c r="BH44" s="127" t="str">
        <f t="shared" si="23"/>
        <v/>
      </c>
      <c r="BI44" s="127" t="str">
        <f t="shared" si="23"/>
        <v/>
      </c>
      <c r="BJ44" s="127" t="str">
        <f t="shared" si="23"/>
        <v/>
      </c>
      <c r="BK44" s="127" t="str">
        <f t="shared" si="23"/>
        <v/>
      </c>
      <c r="BL44" s="127" t="str">
        <f t="shared" si="23"/>
        <v/>
      </c>
      <c r="BM44" s="127" t="str">
        <f t="shared" si="23"/>
        <v/>
      </c>
      <c r="BN44" s="127" t="str">
        <f t="shared" si="23"/>
        <v/>
      </c>
      <c r="BO44" s="127" t="str">
        <f t="shared" si="23"/>
        <v/>
      </c>
      <c r="BP44" s="127" t="str">
        <f t="shared" si="23"/>
        <v/>
      </c>
      <c r="BQ44" s="127" t="str">
        <f t="shared" si="23"/>
        <v/>
      </c>
      <c r="BR44" s="127" t="str">
        <f t="shared" si="25"/>
        <v/>
      </c>
      <c r="BS44" s="127" t="str">
        <f t="shared" si="25"/>
        <v/>
      </c>
      <c r="BT44" s="127" t="str">
        <f t="shared" si="25"/>
        <v/>
      </c>
      <c r="BU44" s="127" t="str">
        <f t="shared" si="25"/>
        <v/>
      </c>
      <c r="BV44" s="127" t="str">
        <f t="shared" si="25"/>
        <v/>
      </c>
      <c r="BW44" s="127" t="str">
        <f t="shared" si="25"/>
        <v/>
      </c>
      <c r="BX44" s="127" t="str">
        <f t="shared" si="25"/>
        <v/>
      </c>
      <c r="BY44" s="127" t="str">
        <f t="shared" si="25"/>
        <v/>
      </c>
      <c r="BZ44" s="127" t="str">
        <f t="shared" si="25"/>
        <v/>
      </c>
      <c r="CA44" s="127" t="str">
        <f t="shared" si="25"/>
        <v/>
      </c>
      <c r="CB44" s="127" t="str">
        <f t="shared" si="25"/>
        <v/>
      </c>
      <c r="CC44" s="127" t="str">
        <f t="shared" si="25"/>
        <v/>
      </c>
      <c r="CD44" s="127" t="str">
        <f t="shared" si="25"/>
        <v/>
      </c>
      <c r="CE44" s="127" t="str">
        <f t="shared" si="25"/>
        <v/>
      </c>
    </row>
    <row r="45" spans="1:83" ht="12.6" customHeight="1" x14ac:dyDescent="0.2">
      <c r="A45" s="106">
        <f>SHIPMENTS!A51</f>
        <v>8938</v>
      </c>
      <c r="B45" s="106" t="str">
        <f>SHIPMENTS!B51</f>
        <v>9600-NEW ZEALAND</v>
      </c>
      <c r="C45" s="132">
        <f>SHIPMENTS!F51</f>
        <v>36.496094285714285</v>
      </c>
      <c r="D45" s="107" t="str">
        <f>IF((SHIPMENTS!I51)=0,"",SHIPMENTS!I51)</f>
        <v>1X20</v>
      </c>
      <c r="E45" s="176" t="str">
        <f>IF((SHIPMENTS!G51)=0,"",SHIPMENTS!G51)</f>
        <v>TBA</v>
      </c>
      <c r="F45" s="97">
        <f>VLOOKUP(A45,Items!$A$5:$J$1000,9,0)</f>
        <v>2</v>
      </c>
      <c r="G45" s="98">
        <f>VLOOKUP(A45,load!$A$4:$W$5001,23,0)</f>
        <v>72.703500000000005</v>
      </c>
      <c r="H45" s="109">
        <f>Manhours!$C$29+Manhours!$C$30</f>
        <v>10</v>
      </c>
      <c r="I45" s="98">
        <f t="shared" si="16"/>
        <v>91</v>
      </c>
      <c r="J45" s="99">
        <f t="shared" si="17"/>
        <v>0.79893956043956049</v>
      </c>
      <c r="K45" s="99">
        <f t="shared" si="18"/>
        <v>7.2703500000000005</v>
      </c>
      <c r="L45" s="98">
        <f t="shared" si="19"/>
        <v>0.79893956043956049</v>
      </c>
      <c r="M45" s="98">
        <f t="shared" si="20"/>
        <v>7.2703500000000005</v>
      </c>
      <c r="N45" s="181">
        <f>IF(G45&gt;0,('MP2-SFP2'!M45+3),'SFP2'!O44)</f>
        <v>46333.774978444635</v>
      </c>
      <c r="O45" s="181">
        <f t="shared" si="21"/>
        <v>46334.573918005073</v>
      </c>
      <c r="P45" s="112">
        <f>VLOOKUP(A45,SHIPMENTS!$A$7:$N$171,14,0)</f>
        <v>0</v>
      </c>
      <c r="Q45" s="101"/>
      <c r="R45" s="127" t="str">
        <f t="shared" si="26"/>
        <v/>
      </c>
      <c r="S45" s="127" t="str">
        <f t="shared" si="26"/>
        <v/>
      </c>
      <c r="T45" s="127" t="str">
        <f t="shared" si="26"/>
        <v/>
      </c>
      <c r="U45" s="127" t="str">
        <f t="shared" si="26"/>
        <v/>
      </c>
      <c r="V45" s="127" t="str">
        <f t="shared" si="26"/>
        <v/>
      </c>
      <c r="W45" s="127" t="str">
        <f t="shared" si="26"/>
        <v/>
      </c>
      <c r="X45" s="127" t="str">
        <f t="shared" si="26"/>
        <v/>
      </c>
      <c r="Y45" s="127" t="str">
        <f t="shared" si="26"/>
        <v/>
      </c>
      <c r="Z45" s="127" t="str">
        <f t="shared" si="26"/>
        <v/>
      </c>
      <c r="AA45" s="127" t="str">
        <f t="shared" si="26"/>
        <v/>
      </c>
      <c r="AB45" s="127" t="str">
        <f t="shared" si="26"/>
        <v/>
      </c>
      <c r="AC45" s="127" t="str">
        <f t="shared" si="26"/>
        <v/>
      </c>
      <c r="AD45" s="127" t="str">
        <f t="shared" si="26"/>
        <v/>
      </c>
      <c r="AE45" s="127" t="str">
        <f t="shared" si="26"/>
        <v/>
      </c>
      <c r="AF45" s="127" t="str">
        <f t="shared" si="26"/>
        <v/>
      </c>
      <c r="AG45" s="127" t="str">
        <f t="shared" si="26"/>
        <v/>
      </c>
      <c r="AH45" s="127" t="str">
        <f t="shared" si="24"/>
        <v/>
      </c>
      <c r="AI45" s="127" t="str">
        <f t="shared" si="24"/>
        <v/>
      </c>
      <c r="AJ45" s="127" t="str">
        <f t="shared" si="24"/>
        <v/>
      </c>
      <c r="AK45" s="127" t="str">
        <f t="shared" si="24"/>
        <v/>
      </c>
      <c r="AL45" s="127" t="str">
        <f t="shared" si="24"/>
        <v/>
      </c>
      <c r="AM45" s="127" t="str">
        <f t="shared" si="24"/>
        <v/>
      </c>
      <c r="AN45" s="127" t="str">
        <f t="shared" si="24"/>
        <v/>
      </c>
      <c r="AO45" s="127" t="str">
        <f t="shared" si="24"/>
        <v/>
      </c>
      <c r="AP45" s="127" t="str">
        <f t="shared" si="24"/>
        <v/>
      </c>
      <c r="AQ45" s="127" t="str">
        <f t="shared" si="24"/>
        <v/>
      </c>
      <c r="AR45" s="127" t="str">
        <f t="shared" si="24"/>
        <v/>
      </c>
      <c r="AS45" s="127" t="str">
        <f t="shared" si="24"/>
        <v/>
      </c>
      <c r="AT45" s="127" t="str">
        <f t="shared" si="24"/>
        <v/>
      </c>
      <c r="AU45" s="127" t="str">
        <f t="shared" si="24"/>
        <v/>
      </c>
      <c r="AV45" s="127" t="str">
        <f t="shared" si="24"/>
        <v/>
      </c>
      <c r="AW45" s="127" t="str">
        <f t="shared" si="24"/>
        <v/>
      </c>
      <c r="AX45" s="127" t="str">
        <f t="shared" si="22"/>
        <v/>
      </c>
      <c r="AY45" s="127" t="str">
        <f t="shared" si="22"/>
        <v/>
      </c>
      <c r="AZ45" s="127" t="str">
        <f t="shared" si="22"/>
        <v/>
      </c>
      <c r="BA45" s="127" t="str">
        <f t="shared" si="22"/>
        <v/>
      </c>
      <c r="BB45" s="127" t="str">
        <f t="shared" si="23"/>
        <v/>
      </c>
      <c r="BC45" s="127" t="str">
        <f t="shared" si="23"/>
        <v/>
      </c>
      <c r="BD45" s="127" t="str">
        <f t="shared" si="23"/>
        <v/>
      </c>
      <c r="BE45" s="127" t="str">
        <f t="shared" si="23"/>
        <v/>
      </c>
      <c r="BF45" s="127" t="str">
        <f t="shared" si="23"/>
        <v/>
      </c>
      <c r="BG45" s="127" t="str">
        <f t="shared" si="23"/>
        <v/>
      </c>
      <c r="BH45" s="127" t="str">
        <f t="shared" si="23"/>
        <v/>
      </c>
      <c r="BI45" s="127" t="str">
        <f t="shared" si="23"/>
        <v/>
      </c>
      <c r="BJ45" s="127" t="str">
        <f t="shared" si="23"/>
        <v/>
      </c>
      <c r="BK45" s="127" t="str">
        <f t="shared" si="23"/>
        <v/>
      </c>
      <c r="BL45" s="127" t="str">
        <f t="shared" si="23"/>
        <v/>
      </c>
      <c r="BM45" s="127" t="str">
        <f t="shared" si="23"/>
        <v/>
      </c>
      <c r="BN45" s="127" t="str">
        <f t="shared" si="23"/>
        <v/>
      </c>
      <c r="BO45" s="127" t="str">
        <f t="shared" si="23"/>
        <v/>
      </c>
      <c r="BP45" s="127" t="str">
        <f t="shared" si="23"/>
        <v/>
      </c>
      <c r="BQ45" s="127" t="str">
        <f t="shared" si="23"/>
        <v/>
      </c>
      <c r="BR45" s="127" t="str">
        <f t="shared" si="25"/>
        <v/>
      </c>
      <c r="BS45" s="127" t="str">
        <f t="shared" si="25"/>
        <v/>
      </c>
      <c r="BT45" s="127" t="str">
        <f t="shared" si="25"/>
        <v/>
      </c>
      <c r="BU45" s="127" t="str">
        <f t="shared" si="25"/>
        <v/>
      </c>
      <c r="BV45" s="127" t="str">
        <f t="shared" si="25"/>
        <v/>
      </c>
      <c r="BW45" s="127" t="str">
        <f t="shared" si="25"/>
        <v/>
      </c>
      <c r="BX45" s="127" t="str">
        <f t="shared" si="25"/>
        <v/>
      </c>
      <c r="BY45" s="127" t="str">
        <f t="shared" si="25"/>
        <v/>
      </c>
      <c r="BZ45" s="127" t="str">
        <f t="shared" si="25"/>
        <v/>
      </c>
      <c r="CA45" s="127" t="str">
        <f t="shared" si="25"/>
        <v/>
      </c>
      <c r="CB45" s="127" t="str">
        <f t="shared" si="25"/>
        <v/>
      </c>
      <c r="CC45" s="127" t="str">
        <f t="shared" si="25"/>
        <v/>
      </c>
      <c r="CD45" s="127" t="str">
        <f t="shared" si="25"/>
        <v/>
      </c>
      <c r="CE45" s="127" t="str">
        <f t="shared" si="25"/>
        <v/>
      </c>
    </row>
    <row r="46" spans="1:83" ht="12.6" customHeight="1" x14ac:dyDescent="0.2">
      <c r="A46" s="106">
        <f>SHIPMENTS!A52</f>
        <v>9153</v>
      </c>
      <c r="B46" s="106" t="str">
        <f>SHIPMENTS!B52</f>
        <v>9600-NEW ZEALAND</v>
      </c>
      <c r="C46" s="132">
        <f>SHIPMENTS!F52</f>
        <v>0</v>
      </c>
      <c r="D46" s="107" t="str">
        <f>IF((SHIPMENTS!I52)=0,"",SHIPMENTS!I52)</f>
        <v/>
      </c>
      <c r="E46" s="176" t="str">
        <f>IF((SHIPMENTS!G52)=0,"",SHIPMENTS!G52)</f>
        <v>TBA</v>
      </c>
      <c r="F46" s="97">
        <f>VLOOKUP(A46,Items!$A$5:$J$1000,9,0)</f>
        <v>2</v>
      </c>
      <c r="G46" s="98">
        <f>VLOOKUP(A46,load!$A$4:$W$5001,23,0)</f>
        <v>72.25</v>
      </c>
      <c r="H46" s="109">
        <f>Manhours!$C$29+Manhours!$C$30</f>
        <v>10</v>
      </c>
      <c r="I46" s="98">
        <f t="shared" ref="I46:I52" si="27">+H46*$I$4</f>
        <v>91</v>
      </c>
      <c r="J46" s="99">
        <f t="shared" ref="J46:J52" si="28">G46/I46</f>
        <v>0.79395604395604391</v>
      </c>
      <c r="K46" s="99">
        <f t="shared" ref="K46:K52" si="29">+J46*$I$4</f>
        <v>7.2249999999999996</v>
      </c>
      <c r="L46" s="98">
        <f t="shared" ref="L46:L52" si="30">IFERROR(J46-(J46*P46),0)</f>
        <v>0.79395604395604391</v>
      </c>
      <c r="M46" s="98">
        <f t="shared" ref="M46:M52" si="31">IFERROR(K46-(K46*P46),0)</f>
        <v>7.2249999999999996</v>
      </c>
      <c r="N46" s="181">
        <f>IF(G46&gt;0,('MP2-SFP2'!M46+3),'SFP2'!O45)</f>
        <v>46336.847463651735</v>
      </c>
      <c r="O46" s="181">
        <f t="shared" ref="O46:O52" si="32">+N46+L46</f>
        <v>46337.64141969569</v>
      </c>
      <c r="P46" s="112">
        <f>VLOOKUP(A46,SHIPMENTS!$A$7:$N$171,14,0)</f>
        <v>0</v>
      </c>
      <c r="Q46" s="101"/>
      <c r="R46" s="127" t="str">
        <f t="shared" si="26"/>
        <v/>
      </c>
      <c r="S46" s="127" t="str">
        <f t="shared" si="26"/>
        <v/>
      </c>
      <c r="T46" s="127" t="str">
        <f t="shared" si="26"/>
        <v/>
      </c>
      <c r="U46" s="127" t="str">
        <f t="shared" si="26"/>
        <v/>
      </c>
      <c r="V46" s="127" t="str">
        <f t="shared" si="26"/>
        <v/>
      </c>
      <c r="W46" s="127" t="str">
        <f t="shared" si="26"/>
        <v/>
      </c>
      <c r="X46" s="127" t="str">
        <f t="shared" si="26"/>
        <v/>
      </c>
      <c r="Y46" s="127" t="str">
        <f t="shared" si="26"/>
        <v/>
      </c>
      <c r="Z46" s="127" t="str">
        <f t="shared" si="26"/>
        <v/>
      </c>
      <c r="AA46" s="127" t="str">
        <f t="shared" si="26"/>
        <v/>
      </c>
      <c r="AB46" s="127" t="str">
        <f t="shared" si="26"/>
        <v/>
      </c>
      <c r="AC46" s="127" t="str">
        <f t="shared" si="26"/>
        <v/>
      </c>
      <c r="AD46" s="127" t="str">
        <f t="shared" si="26"/>
        <v/>
      </c>
      <c r="AE46" s="127" t="str">
        <f t="shared" si="26"/>
        <v/>
      </c>
      <c r="AF46" s="127" t="str">
        <f t="shared" si="26"/>
        <v/>
      </c>
      <c r="AG46" s="127" t="str">
        <f t="shared" si="26"/>
        <v/>
      </c>
      <c r="AH46" s="127" t="str">
        <f t="shared" si="24"/>
        <v/>
      </c>
      <c r="AI46" s="127" t="str">
        <f t="shared" si="24"/>
        <v/>
      </c>
      <c r="AJ46" s="127" t="str">
        <f t="shared" si="24"/>
        <v/>
      </c>
      <c r="AK46" s="127" t="str">
        <f t="shared" si="24"/>
        <v/>
      </c>
      <c r="AL46" s="127" t="str">
        <f t="shared" si="24"/>
        <v/>
      </c>
      <c r="AM46" s="127" t="str">
        <f t="shared" si="24"/>
        <v/>
      </c>
      <c r="AN46" s="127" t="str">
        <f t="shared" si="24"/>
        <v/>
      </c>
      <c r="AO46" s="127" t="str">
        <f t="shared" si="24"/>
        <v/>
      </c>
      <c r="AP46" s="127" t="str">
        <f t="shared" si="24"/>
        <v/>
      </c>
      <c r="AQ46" s="127" t="str">
        <f t="shared" si="24"/>
        <v/>
      </c>
      <c r="AR46" s="127" t="str">
        <f t="shared" si="24"/>
        <v/>
      </c>
      <c r="AS46" s="127" t="str">
        <f t="shared" si="24"/>
        <v/>
      </c>
      <c r="AT46" s="127" t="str">
        <f t="shared" si="24"/>
        <v/>
      </c>
      <c r="AU46" s="127" t="str">
        <f t="shared" si="24"/>
        <v/>
      </c>
      <c r="AV46" s="127" t="str">
        <f t="shared" si="24"/>
        <v/>
      </c>
      <c r="AW46" s="127" t="str">
        <f t="shared" si="24"/>
        <v/>
      </c>
      <c r="AX46" s="127" t="str">
        <f t="shared" si="22"/>
        <v/>
      </c>
      <c r="AY46" s="127" t="str">
        <f t="shared" si="22"/>
        <v/>
      </c>
      <c r="AZ46" s="127" t="str">
        <f t="shared" si="22"/>
        <v/>
      </c>
      <c r="BA46" s="127" t="str">
        <f t="shared" si="22"/>
        <v/>
      </c>
      <c r="BB46" s="127" t="str">
        <f t="shared" si="23"/>
        <v/>
      </c>
      <c r="BC46" s="127" t="str">
        <f t="shared" si="23"/>
        <v/>
      </c>
      <c r="BD46" s="127" t="str">
        <f t="shared" si="23"/>
        <v/>
      </c>
      <c r="BE46" s="127" t="str">
        <f t="shared" si="23"/>
        <v/>
      </c>
      <c r="BF46" s="127" t="str">
        <f t="shared" si="23"/>
        <v/>
      </c>
      <c r="BG46" s="127" t="str">
        <f t="shared" si="23"/>
        <v/>
      </c>
      <c r="BH46" s="127" t="str">
        <f t="shared" si="23"/>
        <v/>
      </c>
      <c r="BI46" s="127" t="str">
        <f t="shared" si="23"/>
        <v/>
      </c>
      <c r="BJ46" s="127" t="str">
        <f t="shared" si="23"/>
        <v/>
      </c>
      <c r="BK46" s="127" t="str">
        <f t="shared" si="23"/>
        <v/>
      </c>
      <c r="BL46" s="127" t="str">
        <f t="shared" si="23"/>
        <v/>
      </c>
      <c r="BM46" s="127" t="str">
        <f t="shared" si="23"/>
        <v/>
      </c>
      <c r="BN46" s="127" t="str">
        <f t="shared" si="23"/>
        <v/>
      </c>
      <c r="BO46" s="127" t="str">
        <f t="shared" si="23"/>
        <v/>
      </c>
      <c r="BP46" s="127" t="str">
        <f t="shared" si="23"/>
        <v/>
      </c>
      <c r="BQ46" s="127" t="str">
        <f t="shared" si="23"/>
        <v/>
      </c>
      <c r="BR46" s="127" t="str">
        <f t="shared" si="25"/>
        <v/>
      </c>
      <c r="BS46" s="127" t="str">
        <f t="shared" si="25"/>
        <v/>
      </c>
      <c r="BT46" s="127" t="str">
        <f t="shared" si="25"/>
        <v/>
      </c>
      <c r="BU46" s="127" t="str">
        <f t="shared" si="25"/>
        <v/>
      </c>
      <c r="BV46" s="127" t="str">
        <f t="shared" si="25"/>
        <v/>
      </c>
      <c r="BW46" s="127" t="str">
        <f t="shared" si="25"/>
        <v/>
      </c>
      <c r="BX46" s="127" t="str">
        <f t="shared" si="25"/>
        <v/>
      </c>
      <c r="BY46" s="127" t="str">
        <f t="shared" si="25"/>
        <v/>
      </c>
      <c r="BZ46" s="127" t="str">
        <f t="shared" si="25"/>
        <v/>
      </c>
      <c r="CA46" s="127" t="str">
        <f t="shared" si="25"/>
        <v/>
      </c>
      <c r="CB46" s="127" t="str">
        <f t="shared" si="25"/>
        <v/>
      </c>
      <c r="CC46" s="127" t="str">
        <f t="shared" si="25"/>
        <v/>
      </c>
      <c r="CD46" s="127" t="str">
        <f t="shared" si="25"/>
        <v/>
      </c>
      <c r="CE46" s="127" t="str">
        <f t="shared" si="25"/>
        <v/>
      </c>
    </row>
    <row r="47" spans="1:83" ht="12.6" customHeight="1" x14ac:dyDescent="0.2">
      <c r="A47" s="106">
        <f>SHIPMENTS!A53</f>
        <v>8294</v>
      </c>
      <c r="B47" s="106" t="str">
        <f>SHIPMENTS!B53</f>
        <v>9600-NEW ZEALAND BACKLOG</v>
      </c>
      <c r="C47" s="132">
        <f>SHIPMENTS!F53</f>
        <v>0</v>
      </c>
      <c r="D47" s="107" t="str">
        <f>IF((SHIPMENTS!I53)=0,"",SHIPMENTS!I53)</f>
        <v/>
      </c>
      <c r="E47" s="176" t="str">
        <f>IF((SHIPMENTS!G53)=0,"",SHIPMENTS!G53)</f>
        <v>TBA</v>
      </c>
      <c r="F47" s="97">
        <f>VLOOKUP(A47,Items!$A$5:$J$1000,9,0)</f>
        <v>0</v>
      </c>
      <c r="G47" s="98">
        <f>VLOOKUP(A47,load!$A$4:$W$5001,23,0)</f>
        <v>0</v>
      </c>
      <c r="H47" s="109">
        <f>Manhours!$C$29+Manhours!$C$30</f>
        <v>10</v>
      </c>
      <c r="I47" s="98">
        <f t="shared" si="27"/>
        <v>91</v>
      </c>
      <c r="J47" s="99">
        <f t="shared" si="28"/>
        <v>0</v>
      </c>
      <c r="K47" s="99">
        <f t="shared" si="29"/>
        <v>0</v>
      </c>
      <c r="L47" s="98">
        <f t="shared" si="30"/>
        <v>0</v>
      </c>
      <c r="M47" s="98">
        <f t="shared" si="31"/>
        <v>0</v>
      </c>
      <c r="N47" s="181">
        <f>IF(G47&gt;0,('MP2-SFP2'!M47+3),'SFP2'!O46)</f>
        <v>46337.64141969569</v>
      </c>
      <c r="O47" s="181">
        <f t="shared" si="32"/>
        <v>46337.64141969569</v>
      </c>
      <c r="P47" s="112">
        <f>VLOOKUP(A47,SHIPMENTS!$A$7:$N$171,14,0)</f>
        <v>0</v>
      </c>
      <c r="Q47" s="101"/>
      <c r="R47" s="127" t="str">
        <f t="shared" si="26"/>
        <v/>
      </c>
      <c r="S47" s="127" t="str">
        <f t="shared" si="26"/>
        <v/>
      </c>
      <c r="T47" s="127" t="str">
        <f t="shared" si="26"/>
        <v/>
      </c>
      <c r="U47" s="127" t="str">
        <f t="shared" si="26"/>
        <v/>
      </c>
      <c r="V47" s="127" t="str">
        <f t="shared" si="26"/>
        <v/>
      </c>
      <c r="W47" s="127" t="str">
        <f t="shared" si="26"/>
        <v/>
      </c>
      <c r="X47" s="127" t="str">
        <f t="shared" si="26"/>
        <v/>
      </c>
      <c r="Y47" s="127" t="str">
        <f t="shared" si="26"/>
        <v/>
      </c>
      <c r="Z47" s="127" t="str">
        <f t="shared" si="26"/>
        <v/>
      </c>
      <c r="AA47" s="127" t="str">
        <f t="shared" si="26"/>
        <v/>
      </c>
      <c r="AB47" s="127" t="str">
        <f t="shared" si="26"/>
        <v/>
      </c>
      <c r="AC47" s="127" t="str">
        <f t="shared" si="26"/>
        <v/>
      </c>
      <c r="AD47" s="127" t="str">
        <f t="shared" si="26"/>
        <v/>
      </c>
      <c r="AE47" s="127" t="str">
        <f t="shared" si="26"/>
        <v/>
      </c>
      <c r="AF47" s="127" t="str">
        <f t="shared" si="26"/>
        <v/>
      </c>
      <c r="AG47" s="127" t="str">
        <f t="shared" si="26"/>
        <v/>
      </c>
      <c r="AH47" s="127" t="str">
        <f t="shared" si="24"/>
        <v/>
      </c>
      <c r="AI47" s="127" t="str">
        <f t="shared" si="24"/>
        <v/>
      </c>
      <c r="AJ47" s="127" t="str">
        <f t="shared" si="24"/>
        <v/>
      </c>
      <c r="AK47" s="127" t="str">
        <f t="shared" si="24"/>
        <v/>
      </c>
      <c r="AL47" s="127" t="str">
        <f t="shared" si="24"/>
        <v/>
      </c>
      <c r="AM47" s="127" t="str">
        <f t="shared" si="24"/>
        <v/>
      </c>
      <c r="AN47" s="127" t="str">
        <f t="shared" si="24"/>
        <v/>
      </c>
      <c r="AO47" s="127" t="str">
        <f t="shared" si="24"/>
        <v/>
      </c>
      <c r="AP47" s="127" t="str">
        <f t="shared" si="24"/>
        <v/>
      </c>
      <c r="AQ47" s="127" t="str">
        <f t="shared" si="24"/>
        <v/>
      </c>
      <c r="AR47" s="127" t="str">
        <f t="shared" si="24"/>
        <v/>
      </c>
      <c r="AS47" s="127" t="str">
        <f t="shared" si="24"/>
        <v/>
      </c>
      <c r="AT47" s="127" t="str">
        <f t="shared" si="24"/>
        <v/>
      </c>
      <c r="AU47" s="127" t="str">
        <f t="shared" si="24"/>
        <v/>
      </c>
      <c r="AV47" s="127" t="str">
        <f t="shared" si="24"/>
        <v/>
      </c>
      <c r="AW47" s="127" t="str">
        <f t="shared" si="24"/>
        <v/>
      </c>
      <c r="AX47" s="127" t="str">
        <f t="shared" si="22"/>
        <v/>
      </c>
      <c r="AY47" s="127" t="str">
        <f t="shared" si="22"/>
        <v/>
      </c>
      <c r="AZ47" s="127" t="str">
        <f t="shared" si="22"/>
        <v/>
      </c>
      <c r="BA47" s="127" t="str">
        <f t="shared" si="22"/>
        <v/>
      </c>
      <c r="BB47" s="127" t="str">
        <f t="shared" si="23"/>
        <v/>
      </c>
      <c r="BC47" s="127" t="str">
        <f t="shared" si="23"/>
        <v/>
      </c>
      <c r="BD47" s="127" t="str">
        <f t="shared" si="23"/>
        <v/>
      </c>
      <c r="BE47" s="127" t="str">
        <f t="shared" si="23"/>
        <v/>
      </c>
      <c r="BF47" s="127" t="str">
        <f t="shared" si="23"/>
        <v/>
      </c>
      <c r="BG47" s="127" t="str">
        <f t="shared" si="23"/>
        <v/>
      </c>
      <c r="BH47" s="127" t="str">
        <f t="shared" si="23"/>
        <v/>
      </c>
      <c r="BI47" s="127" t="str">
        <f t="shared" si="23"/>
        <v/>
      </c>
      <c r="BJ47" s="127" t="str">
        <f t="shared" si="23"/>
        <v/>
      </c>
      <c r="BK47" s="127" t="str">
        <f t="shared" si="23"/>
        <v/>
      </c>
      <c r="BL47" s="127" t="str">
        <f t="shared" si="23"/>
        <v/>
      </c>
      <c r="BM47" s="127" t="str">
        <f t="shared" si="23"/>
        <v/>
      </c>
      <c r="BN47" s="127" t="str">
        <f t="shared" si="23"/>
        <v/>
      </c>
      <c r="BO47" s="127" t="str">
        <f t="shared" si="23"/>
        <v/>
      </c>
      <c r="BP47" s="127" t="str">
        <f t="shared" si="23"/>
        <v/>
      </c>
      <c r="BQ47" s="127" t="str">
        <f t="shared" si="23"/>
        <v/>
      </c>
      <c r="BR47" s="127" t="str">
        <f t="shared" si="25"/>
        <v/>
      </c>
      <c r="BS47" s="127" t="str">
        <f t="shared" si="25"/>
        <v/>
      </c>
      <c r="BT47" s="127" t="str">
        <f t="shared" si="25"/>
        <v/>
      </c>
      <c r="BU47" s="127" t="str">
        <f t="shared" si="25"/>
        <v/>
      </c>
      <c r="BV47" s="127" t="str">
        <f t="shared" si="25"/>
        <v/>
      </c>
      <c r="BW47" s="127" t="str">
        <f t="shared" si="25"/>
        <v/>
      </c>
      <c r="BX47" s="127" t="str">
        <f t="shared" si="25"/>
        <v/>
      </c>
      <c r="BY47" s="127" t="str">
        <f t="shared" si="25"/>
        <v/>
      </c>
      <c r="BZ47" s="127" t="str">
        <f t="shared" si="25"/>
        <v/>
      </c>
      <c r="CA47" s="127" t="str">
        <f t="shared" si="25"/>
        <v/>
      </c>
      <c r="CB47" s="127" t="str">
        <f t="shared" si="25"/>
        <v/>
      </c>
      <c r="CC47" s="127" t="str">
        <f t="shared" si="25"/>
        <v/>
      </c>
      <c r="CD47" s="127" t="str">
        <f t="shared" si="25"/>
        <v/>
      </c>
      <c r="CE47" s="127" t="str">
        <f t="shared" si="25"/>
        <v/>
      </c>
    </row>
    <row r="48" spans="1:83" ht="12.6" customHeight="1" x14ac:dyDescent="0.2">
      <c r="A48" s="106">
        <f>SHIPMENTS!A54</f>
        <v>7114</v>
      </c>
      <c r="B48" s="106" t="str">
        <f>SHIPMENTS!B54</f>
        <v>9600-NEW ZEALAND BACKLOG</v>
      </c>
      <c r="C48" s="132">
        <f>SHIPMENTS!F54</f>
        <v>0</v>
      </c>
      <c r="D48" s="107" t="str">
        <f>IF((SHIPMENTS!I54)=0,"",SHIPMENTS!I54)</f>
        <v/>
      </c>
      <c r="E48" s="176" t="str">
        <f>IF((SHIPMENTS!G54)=0,"",SHIPMENTS!G54)</f>
        <v/>
      </c>
      <c r="F48" s="97">
        <f>VLOOKUP(A48,Items!$A$5:$J$1000,9,0)</f>
        <v>0</v>
      </c>
      <c r="G48" s="98">
        <f>VLOOKUP(A48,load!$A$4:$W$5001,23,0)</f>
        <v>0</v>
      </c>
      <c r="H48" s="109">
        <f>Manhours!$C$29+Manhours!$C$30</f>
        <v>10</v>
      </c>
      <c r="I48" s="98">
        <f t="shared" si="27"/>
        <v>91</v>
      </c>
      <c r="J48" s="99">
        <f t="shared" si="28"/>
        <v>0</v>
      </c>
      <c r="K48" s="99">
        <f t="shared" si="29"/>
        <v>0</v>
      </c>
      <c r="L48" s="98">
        <f t="shared" si="30"/>
        <v>0</v>
      </c>
      <c r="M48" s="98">
        <f t="shared" si="31"/>
        <v>0</v>
      </c>
      <c r="N48" s="181">
        <f>IF(G48&gt;0,('MP2-SFP2'!M48+3),'SFP2'!O47)</f>
        <v>46337.64141969569</v>
      </c>
      <c r="O48" s="181">
        <f t="shared" si="32"/>
        <v>46337.64141969569</v>
      </c>
      <c r="P48" s="112">
        <f>VLOOKUP(A48,SHIPMENTS!$A$7:$N$171,14,0)</f>
        <v>0</v>
      </c>
      <c r="Q48" s="101"/>
      <c r="R48" s="127" t="str">
        <f t="shared" si="26"/>
        <v/>
      </c>
      <c r="S48" s="127" t="str">
        <f t="shared" si="26"/>
        <v/>
      </c>
      <c r="T48" s="127" t="str">
        <f t="shared" si="26"/>
        <v/>
      </c>
      <c r="U48" s="127" t="str">
        <f t="shared" si="26"/>
        <v/>
      </c>
      <c r="V48" s="127" t="str">
        <f t="shared" si="26"/>
        <v/>
      </c>
      <c r="W48" s="127" t="str">
        <f t="shared" si="26"/>
        <v/>
      </c>
      <c r="X48" s="127" t="str">
        <f t="shared" si="26"/>
        <v/>
      </c>
      <c r="Y48" s="127" t="str">
        <f t="shared" si="26"/>
        <v/>
      </c>
      <c r="Z48" s="127" t="str">
        <f t="shared" si="26"/>
        <v/>
      </c>
      <c r="AA48" s="127" t="str">
        <f t="shared" si="26"/>
        <v/>
      </c>
      <c r="AB48" s="127" t="str">
        <f t="shared" si="26"/>
        <v/>
      </c>
      <c r="AC48" s="127" t="str">
        <f t="shared" si="26"/>
        <v/>
      </c>
      <c r="AD48" s="127" t="str">
        <f t="shared" si="26"/>
        <v/>
      </c>
      <c r="AE48" s="127" t="str">
        <f t="shared" si="26"/>
        <v/>
      </c>
      <c r="AF48" s="127" t="str">
        <f t="shared" si="26"/>
        <v/>
      </c>
      <c r="AG48" s="127" t="str">
        <f t="shared" si="26"/>
        <v/>
      </c>
      <c r="AH48" s="127" t="str">
        <f t="shared" si="24"/>
        <v/>
      </c>
      <c r="AI48" s="127" t="str">
        <f t="shared" si="24"/>
        <v/>
      </c>
      <c r="AJ48" s="127" t="str">
        <f t="shared" si="24"/>
        <v/>
      </c>
      <c r="AK48" s="127" t="str">
        <f t="shared" si="24"/>
        <v/>
      </c>
      <c r="AL48" s="127" t="str">
        <f t="shared" si="24"/>
        <v/>
      </c>
      <c r="AM48" s="127" t="str">
        <f t="shared" si="24"/>
        <v/>
      </c>
      <c r="AN48" s="127" t="str">
        <f t="shared" si="24"/>
        <v/>
      </c>
      <c r="AO48" s="127" t="str">
        <f t="shared" si="24"/>
        <v/>
      </c>
      <c r="AP48" s="127" t="str">
        <f t="shared" si="24"/>
        <v/>
      </c>
      <c r="AQ48" s="127" t="str">
        <f t="shared" si="24"/>
        <v/>
      </c>
      <c r="AR48" s="127" t="str">
        <f t="shared" si="24"/>
        <v/>
      </c>
      <c r="AS48" s="127" t="str">
        <f t="shared" si="24"/>
        <v/>
      </c>
      <c r="AT48" s="127" t="str">
        <f t="shared" si="24"/>
        <v/>
      </c>
      <c r="AU48" s="127" t="str">
        <f t="shared" si="24"/>
        <v/>
      </c>
      <c r="AV48" s="127" t="str">
        <f t="shared" si="24"/>
        <v/>
      </c>
      <c r="AW48" s="127" t="str">
        <f t="shared" si="24"/>
        <v/>
      </c>
      <c r="AX48" s="127" t="str">
        <f t="shared" si="22"/>
        <v/>
      </c>
      <c r="AY48" s="127" t="str">
        <f t="shared" si="22"/>
        <v/>
      </c>
      <c r="AZ48" s="127" t="str">
        <f t="shared" si="22"/>
        <v/>
      </c>
      <c r="BA48" s="127" t="str">
        <f t="shared" si="22"/>
        <v/>
      </c>
      <c r="BB48" s="127" t="str">
        <f t="shared" si="23"/>
        <v/>
      </c>
      <c r="BC48" s="127" t="str">
        <f t="shared" si="23"/>
        <v/>
      </c>
      <c r="BD48" s="127" t="str">
        <f t="shared" si="23"/>
        <v/>
      </c>
      <c r="BE48" s="127" t="str">
        <f t="shared" si="23"/>
        <v/>
      </c>
      <c r="BF48" s="127" t="str">
        <f t="shared" si="23"/>
        <v/>
      </c>
      <c r="BG48" s="127" t="str">
        <f t="shared" si="23"/>
        <v/>
      </c>
      <c r="BH48" s="127" t="str">
        <f t="shared" si="23"/>
        <v/>
      </c>
      <c r="BI48" s="127" t="str">
        <f t="shared" si="23"/>
        <v/>
      </c>
      <c r="BJ48" s="127" t="str">
        <f t="shared" si="23"/>
        <v/>
      </c>
      <c r="BK48" s="127" t="str">
        <f t="shared" si="23"/>
        <v/>
      </c>
      <c r="BL48" s="127" t="str">
        <f t="shared" si="23"/>
        <v/>
      </c>
      <c r="BM48" s="127" t="str">
        <f t="shared" si="23"/>
        <v/>
      </c>
      <c r="BN48" s="127" t="str">
        <f t="shared" si="23"/>
        <v/>
      </c>
      <c r="BO48" s="127" t="str">
        <f t="shared" si="23"/>
        <v/>
      </c>
      <c r="BP48" s="127" t="str">
        <f t="shared" si="23"/>
        <v/>
      </c>
      <c r="BQ48" s="127" t="str">
        <f t="shared" si="23"/>
        <v/>
      </c>
      <c r="BR48" s="127" t="str">
        <f t="shared" si="25"/>
        <v/>
      </c>
      <c r="BS48" s="127" t="str">
        <f t="shared" si="25"/>
        <v/>
      </c>
      <c r="BT48" s="127" t="str">
        <f t="shared" si="25"/>
        <v/>
      </c>
      <c r="BU48" s="127" t="str">
        <f t="shared" si="25"/>
        <v/>
      </c>
      <c r="BV48" s="127" t="str">
        <f t="shared" si="25"/>
        <v/>
      </c>
      <c r="BW48" s="127" t="str">
        <f t="shared" si="25"/>
        <v/>
      </c>
      <c r="BX48" s="127" t="str">
        <f t="shared" si="25"/>
        <v/>
      </c>
      <c r="BY48" s="127" t="str">
        <f t="shared" si="25"/>
        <v/>
      </c>
      <c r="BZ48" s="127" t="str">
        <f t="shared" si="25"/>
        <v/>
      </c>
      <c r="CA48" s="127" t="str">
        <f t="shared" si="25"/>
        <v/>
      </c>
      <c r="CB48" s="127" t="str">
        <f t="shared" si="25"/>
        <v/>
      </c>
      <c r="CC48" s="127" t="str">
        <f t="shared" si="25"/>
        <v/>
      </c>
      <c r="CD48" s="127" t="str">
        <f t="shared" si="25"/>
        <v/>
      </c>
      <c r="CE48" s="127" t="str">
        <f t="shared" si="25"/>
        <v/>
      </c>
    </row>
    <row r="49" spans="1:83" ht="12.6" customHeight="1" x14ac:dyDescent="0.2">
      <c r="A49" s="106">
        <f>SHIPMENTS!A55</f>
        <v>6967</v>
      </c>
      <c r="B49" s="106" t="str">
        <f>SHIPMENTS!B55</f>
        <v>9600-NEW ZEALAND BACKLOG</v>
      </c>
      <c r="C49" s="132">
        <f>SHIPMENTS!F55</f>
        <v>0</v>
      </c>
      <c r="D49" s="107" t="str">
        <f>IF((SHIPMENTS!I55)=0,"",SHIPMENTS!I55)</f>
        <v/>
      </c>
      <c r="E49" s="176" t="str">
        <f>IF((SHIPMENTS!G55)=0,"",SHIPMENTS!G55)</f>
        <v/>
      </c>
      <c r="F49" s="97">
        <f>VLOOKUP(A49,Items!$A$5:$J$1000,9,0)</f>
        <v>0</v>
      </c>
      <c r="G49" s="98">
        <f>VLOOKUP(A49,load!$A$4:$W$5001,23,0)</f>
        <v>0</v>
      </c>
      <c r="H49" s="109">
        <f>Manhours!$C$29+Manhours!$C$30</f>
        <v>10</v>
      </c>
      <c r="I49" s="98">
        <f t="shared" si="27"/>
        <v>91</v>
      </c>
      <c r="J49" s="99">
        <f t="shared" si="28"/>
        <v>0</v>
      </c>
      <c r="K49" s="99">
        <f t="shared" si="29"/>
        <v>0</v>
      </c>
      <c r="L49" s="98">
        <f t="shared" si="30"/>
        <v>0</v>
      </c>
      <c r="M49" s="98">
        <f t="shared" si="31"/>
        <v>0</v>
      </c>
      <c r="N49" s="181">
        <f>IF(G49&gt;0,('MP2-SFP2'!M49+3),'SFP2'!O48)</f>
        <v>46337.64141969569</v>
      </c>
      <c r="O49" s="181">
        <f t="shared" si="32"/>
        <v>46337.64141969569</v>
      </c>
      <c r="P49" s="112">
        <f>VLOOKUP(A49,SHIPMENTS!$A$7:$N$171,14,0)</f>
        <v>1</v>
      </c>
      <c r="Q49" s="101"/>
      <c r="R49" s="127" t="str">
        <f t="shared" si="26"/>
        <v/>
      </c>
      <c r="S49" s="127" t="str">
        <f t="shared" si="26"/>
        <v/>
      </c>
      <c r="T49" s="127" t="str">
        <f t="shared" si="26"/>
        <v/>
      </c>
      <c r="U49" s="127" t="str">
        <f t="shared" si="26"/>
        <v/>
      </c>
      <c r="V49" s="127" t="str">
        <f t="shared" si="26"/>
        <v/>
      </c>
      <c r="W49" s="127" t="str">
        <f t="shared" si="26"/>
        <v/>
      </c>
      <c r="X49" s="127" t="str">
        <f t="shared" si="26"/>
        <v/>
      </c>
      <c r="Y49" s="127" t="str">
        <f t="shared" si="26"/>
        <v/>
      </c>
      <c r="Z49" s="127" t="str">
        <f t="shared" si="26"/>
        <v/>
      </c>
      <c r="AA49" s="127" t="str">
        <f t="shared" si="26"/>
        <v/>
      </c>
      <c r="AB49" s="127" t="str">
        <f t="shared" si="26"/>
        <v/>
      </c>
      <c r="AC49" s="127" t="str">
        <f t="shared" si="26"/>
        <v/>
      </c>
      <c r="AD49" s="127" t="str">
        <f t="shared" si="26"/>
        <v/>
      </c>
      <c r="AE49" s="127" t="str">
        <f t="shared" si="26"/>
        <v/>
      </c>
      <c r="AF49" s="127" t="str">
        <f t="shared" si="26"/>
        <v/>
      </c>
      <c r="AG49" s="127" t="str">
        <f t="shared" si="26"/>
        <v/>
      </c>
      <c r="AH49" s="127" t="str">
        <f t="shared" si="24"/>
        <v/>
      </c>
      <c r="AI49" s="127" t="str">
        <f t="shared" si="24"/>
        <v/>
      </c>
      <c r="AJ49" s="127" t="str">
        <f t="shared" si="24"/>
        <v/>
      </c>
      <c r="AK49" s="127" t="str">
        <f t="shared" si="24"/>
        <v/>
      </c>
      <c r="AL49" s="127" t="str">
        <f t="shared" si="24"/>
        <v/>
      </c>
      <c r="AM49" s="127" t="str">
        <f t="shared" si="24"/>
        <v/>
      </c>
      <c r="AN49" s="127" t="str">
        <f t="shared" si="24"/>
        <v/>
      </c>
      <c r="AO49" s="127" t="str">
        <f t="shared" si="24"/>
        <v/>
      </c>
      <c r="AP49" s="127" t="str">
        <f t="shared" si="24"/>
        <v/>
      </c>
      <c r="AQ49" s="127" t="str">
        <f t="shared" si="24"/>
        <v/>
      </c>
      <c r="AR49" s="127" t="str">
        <f t="shared" si="24"/>
        <v/>
      </c>
      <c r="AS49" s="127" t="str">
        <f t="shared" si="24"/>
        <v/>
      </c>
      <c r="AT49" s="127" t="str">
        <f t="shared" si="24"/>
        <v/>
      </c>
      <c r="AU49" s="127" t="str">
        <f t="shared" si="24"/>
        <v/>
      </c>
      <c r="AV49" s="127" t="str">
        <f t="shared" si="24"/>
        <v/>
      </c>
      <c r="AW49" s="127" t="str">
        <f t="shared" ref="AW49:BL53" si="33">IF($E49=AW$3,"▲","")</f>
        <v/>
      </c>
      <c r="AX49" s="127" t="str">
        <f t="shared" si="33"/>
        <v/>
      </c>
      <c r="AY49" s="127" t="str">
        <f t="shared" si="33"/>
        <v/>
      </c>
      <c r="AZ49" s="127" t="str">
        <f t="shared" si="33"/>
        <v/>
      </c>
      <c r="BA49" s="127" t="str">
        <f t="shared" si="33"/>
        <v/>
      </c>
      <c r="BB49" s="127" t="str">
        <f t="shared" si="33"/>
        <v/>
      </c>
      <c r="BC49" s="127" t="str">
        <f t="shared" si="33"/>
        <v/>
      </c>
      <c r="BD49" s="127" t="str">
        <f t="shared" si="33"/>
        <v/>
      </c>
      <c r="BE49" s="127" t="str">
        <f t="shared" si="33"/>
        <v/>
      </c>
      <c r="BF49" s="127" t="str">
        <f t="shared" si="33"/>
        <v/>
      </c>
      <c r="BG49" s="127" t="str">
        <f t="shared" si="33"/>
        <v/>
      </c>
      <c r="BH49" s="127" t="str">
        <f t="shared" si="33"/>
        <v/>
      </c>
      <c r="BI49" s="127" t="str">
        <f t="shared" si="33"/>
        <v/>
      </c>
      <c r="BJ49" s="127" t="str">
        <f t="shared" si="33"/>
        <v/>
      </c>
      <c r="BK49" s="127" t="str">
        <f t="shared" si="33"/>
        <v/>
      </c>
      <c r="BL49" s="127" t="str">
        <f t="shared" si="33"/>
        <v/>
      </c>
      <c r="BM49" s="127" t="str">
        <f t="shared" ref="BB49:BQ53" si="34">IF($E49=BM$3,"▲","")</f>
        <v/>
      </c>
      <c r="BN49" s="127" t="str">
        <f t="shared" si="34"/>
        <v/>
      </c>
      <c r="BO49" s="127" t="str">
        <f t="shared" si="34"/>
        <v/>
      </c>
      <c r="BP49" s="127" t="str">
        <f t="shared" si="34"/>
        <v/>
      </c>
      <c r="BQ49" s="127" t="str">
        <f t="shared" si="34"/>
        <v/>
      </c>
      <c r="BR49" s="127" t="str">
        <f t="shared" si="25"/>
        <v/>
      </c>
      <c r="BS49" s="127" t="str">
        <f t="shared" si="25"/>
        <v/>
      </c>
      <c r="BT49" s="127" t="str">
        <f t="shared" si="25"/>
        <v/>
      </c>
      <c r="BU49" s="127" t="str">
        <f t="shared" si="25"/>
        <v/>
      </c>
      <c r="BV49" s="127" t="str">
        <f t="shared" si="25"/>
        <v/>
      </c>
      <c r="BW49" s="127" t="str">
        <f t="shared" si="25"/>
        <v/>
      </c>
      <c r="BX49" s="127" t="str">
        <f t="shared" si="25"/>
        <v/>
      </c>
      <c r="BY49" s="127" t="str">
        <f t="shared" si="25"/>
        <v/>
      </c>
      <c r="BZ49" s="127" t="str">
        <f t="shared" si="25"/>
        <v/>
      </c>
      <c r="CA49" s="127" t="str">
        <f t="shared" si="25"/>
        <v/>
      </c>
      <c r="CB49" s="127" t="str">
        <f t="shared" si="25"/>
        <v/>
      </c>
      <c r="CC49" s="127" t="str">
        <f t="shared" si="25"/>
        <v/>
      </c>
      <c r="CD49" s="127" t="str">
        <f t="shared" si="25"/>
        <v/>
      </c>
      <c r="CE49" s="127" t="str">
        <f t="shared" si="25"/>
        <v/>
      </c>
    </row>
    <row r="50" spans="1:83" ht="12.6" customHeight="1" x14ac:dyDescent="0.2">
      <c r="A50" s="106">
        <f>SHIPMENTS!A56</f>
        <v>6646</v>
      </c>
      <c r="B50" s="106" t="str">
        <f>SHIPMENTS!B56</f>
        <v>9600-NEW ZEALAND BACKLOG</v>
      </c>
      <c r="C50" s="132">
        <f>SHIPMENTS!F56</f>
        <v>0</v>
      </c>
      <c r="D50" s="107" t="str">
        <f>IF((SHIPMENTS!I56)=0,"",SHIPMENTS!I56)</f>
        <v/>
      </c>
      <c r="E50" s="176" t="str">
        <f>IF((SHIPMENTS!G56)=0,"",SHIPMENTS!G56)</f>
        <v/>
      </c>
      <c r="F50" s="97">
        <f>VLOOKUP(A50,Items!$A$5:$J$1000,9,0)</f>
        <v>0</v>
      </c>
      <c r="G50" s="98">
        <f>VLOOKUP(A50,load!$A$4:$W$5001,23,0)</f>
        <v>0</v>
      </c>
      <c r="H50" s="109">
        <f>Manhours!$C$29+Manhours!$C$30</f>
        <v>10</v>
      </c>
      <c r="I50" s="98">
        <f t="shared" si="27"/>
        <v>91</v>
      </c>
      <c r="J50" s="99">
        <f t="shared" si="28"/>
        <v>0</v>
      </c>
      <c r="K50" s="99">
        <f t="shared" si="29"/>
        <v>0</v>
      </c>
      <c r="L50" s="98">
        <f t="shared" si="30"/>
        <v>0</v>
      </c>
      <c r="M50" s="98">
        <f t="shared" si="31"/>
        <v>0</v>
      </c>
      <c r="N50" s="181">
        <f>IF(G50&gt;0,('MP2-SFP2'!M50+3),'SFP2'!O49)</f>
        <v>46337.64141969569</v>
      </c>
      <c r="O50" s="181">
        <f t="shared" si="32"/>
        <v>46337.64141969569</v>
      </c>
      <c r="P50" s="112">
        <f>VLOOKUP(A50,SHIPMENTS!$A$7:$N$171,14,0)</f>
        <v>0</v>
      </c>
      <c r="Q50" s="101"/>
      <c r="R50" s="127" t="str">
        <f t="shared" si="26"/>
        <v/>
      </c>
      <c r="S50" s="127" t="str">
        <f t="shared" si="26"/>
        <v/>
      </c>
      <c r="T50" s="127" t="str">
        <f t="shared" si="26"/>
        <v/>
      </c>
      <c r="U50" s="127" t="str">
        <f t="shared" si="26"/>
        <v/>
      </c>
      <c r="V50" s="127" t="str">
        <f t="shared" si="26"/>
        <v/>
      </c>
      <c r="W50" s="127" t="str">
        <f t="shared" si="26"/>
        <v/>
      </c>
      <c r="X50" s="127" t="str">
        <f t="shared" si="26"/>
        <v/>
      </c>
      <c r="Y50" s="127" t="str">
        <f t="shared" si="26"/>
        <v/>
      </c>
      <c r="Z50" s="127" t="str">
        <f t="shared" si="26"/>
        <v/>
      </c>
      <c r="AA50" s="127" t="str">
        <f t="shared" si="26"/>
        <v/>
      </c>
      <c r="AB50" s="127" t="str">
        <f t="shared" si="26"/>
        <v/>
      </c>
      <c r="AC50" s="127" t="str">
        <f t="shared" si="26"/>
        <v/>
      </c>
      <c r="AD50" s="127" t="str">
        <f t="shared" si="26"/>
        <v/>
      </c>
      <c r="AE50" s="127" t="str">
        <f t="shared" si="26"/>
        <v/>
      </c>
      <c r="AF50" s="127" t="str">
        <f t="shared" si="26"/>
        <v/>
      </c>
      <c r="AG50" s="127" t="str">
        <f t="shared" si="26"/>
        <v/>
      </c>
      <c r="AH50" s="127" t="str">
        <f t="shared" ref="AH50:AW53" si="35">IF($E50=AH$3,"▲","")</f>
        <v/>
      </c>
      <c r="AI50" s="127" t="str">
        <f t="shared" si="35"/>
        <v/>
      </c>
      <c r="AJ50" s="127" t="str">
        <f t="shared" si="35"/>
        <v/>
      </c>
      <c r="AK50" s="127" t="str">
        <f t="shared" si="35"/>
        <v/>
      </c>
      <c r="AL50" s="127" t="str">
        <f t="shared" si="35"/>
        <v/>
      </c>
      <c r="AM50" s="127" t="str">
        <f t="shared" si="35"/>
        <v/>
      </c>
      <c r="AN50" s="127" t="str">
        <f t="shared" si="35"/>
        <v/>
      </c>
      <c r="AO50" s="127" t="str">
        <f t="shared" si="35"/>
        <v/>
      </c>
      <c r="AP50" s="127" t="str">
        <f t="shared" si="35"/>
        <v/>
      </c>
      <c r="AQ50" s="127" t="str">
        <f t="shared" si="35"/>
        <v/>
      </c>
      <c r="AR50" s="127" t="str">
        <f t="shared" si="35"/>
        <v/>
      </c>
      <c r="AS50" s="127" t="str">
        <f t="shared" si="35"/>
        <v/>
      </c>
      <c r="AT50" s="127" t="str">
        <f t="shared" si="35"/>
        <v/>
      </c>
      <c r="AU50" s="127" t="str">
        <f t="shared" si="35"/>
        <v/>
      </c>
      <c r="AV50" s="127" t="str">
        <f t="shared" si="35"/>
        <v/>
      </c>
      <c r="AW50" s="127" t="str">
        <f t="shared" si="35"/>
        <v/>
      </c>
      <c r="AX50" s="127" t="str">
        <f t="shared" si="33"/>
        <v/>
      </c>
      <c r="AY50" s="127" t="str">
        <f t="shared" si="33"/>
        <v/>
      </c>
      <c r="AZ50" s="127" t="str">
        <f t="shared" si="33"/>
        <v/>
      </c>
      <c r="BA50" s="127" t="str">
        <f t="shared" si="33"/>
        <v/>
      </c>
      <c r="BB50" s="127" t="str">
        <f t="shared" si="34"/>
        <v/>
      </c>
      <c r="BC50" s="127" t="str">
        <f t="shared" si="34"/>
        <v/>
      </c>
      <c r="BD50" s="127" t="str">
        <f t="shared" si="34"/>
        <v/>
      </c>
      <c r="BE50" s="127" t="str">
        <f t="shared" si="34"/>
        <v/>
      </c>
      <c r="BF50" s="127" t="str">
        <f t="shared" si="34"/>
        <v/>
      </c>
      <c r="BG50" s="127" t="str">
        <f t="shared" si="34"/>
        <v/>
      </c>
      <c r="BH50" s="127" t="str">
        <f t="shared" si="34"/>
        <v/>
      </c>
      <c r="BI50" s="127" t="str">
        <f t="shared" si="34"/>
        <v/>
      </c>
      <c r="BJ50" s="127" t="str">
        <f t="shared" si="34"/>
        <v/>
      </c>
      <c r="BK50" s="127" t="str">
        <f t="shared" si="34"/>
        <v/>
      </c>
      <c r="BL50" s="127" t="str">
        <f t="shared" si="34"/>
        <v/>
      </c>
      <c r="BM50" s="127" t="str">
        <f t="shared" si="34"/>
        <v/>
      </c>
      <c r="BN50" s="127" t="str">
        <f t="shared" si="34"/>
        <v/>
      </c>
      <c r="BO50" s="127" t="str">
        <f t="shared" si="34"/>
        <v/>
      </c>
      <c r="BP50" s="127" t="str">
        <f t="shared" si="34"/>
        <v/>
      </c>
      <c r="BQ50" s="127" t="str">
        <f t="shared" si="34"/>
        <v/>
      </c>
      <c r="BR50" s="127" t="str">
        <f t="shared" ref="BR50:CE53" si="36">IF($E50=BR$3,"▲","")</f>
        <v/>
      </c>
      <c r="BS50" s="127" t="str">
        <f t="shared" si="36"/>
        <v/>
      </c>
      <c r="BT50" s="127" t="str">
        <f t="shared" si="36"/>
        <v/>
      </c>
      <c r="BU50" s="127" t="str">
        <f t="shared" si="36"/>
        <v/>
      </c>
      <c r="BV50" s="127" t="str">
        <f t="shared" si="36"/>
        <v/>
      </c>
      <c r="BW50" s="127" t="str">
        <f t="shared" si="36"/>
        <v/>
      </c>
      <c r="BX50" s="127" t="str">
        <f t="shared" si="36"/>
        <v/>
      </c>
      <c r="BY50" s="127" t="str">
        <f t="shared" si="36"/>
        <v/>
      </c>
      <c r="BZ50" s="127" t="str">
        <f t="shared" si="36"/>
        <v/>
      </c>
      <c r="CA50" s="127" t="str">
        <f t="shared" si="36"/>
        <v/>
      </c>
      <c r="CB50" s="127" t="str">
        <f t="shared" si="36"/>
        <v/>
      </c>
      <c r="CC50" s="127" t="str">
        <f t="shared" si="36"/>
        <v/>
      </c>
      <c r="CD50" s="127" t="str">
        <f t="shared" si="36"/>
        <v/>
      </c>
      <c r="CE50" s="127" t="str">
        <f t="shared" si="36"/>
        <v/>
      </c>
    </row>
    <row r="51" spans="1:83" ht="12.6" hidden="1" customHeight="1" x14ac:dyDescent="0.2">
      <c r="A51" s="106">
        <f>SHIPMENTS!A57</f>
        <v>9122</v>
      </c>
      <c r="B51" s="106" t="str">
        <f>SHIPMENTS!B57</f>
        <v>19300-USA SUPERIOR SAUNA</v>
      </c>
      <c r="C51" s="132">
        <f>SHIPMENTS!F57</f>
        <v>69.539999999999992</v>
      </c>
      <c r="D51" s="107" t="str">
        <f>IF((SHIPMENTS!I57)=0,"",SHIPMENTS!I57)</f>
        <v>1x40HC</v>
      </c>
      <c r="E51" s="176" t="str">
        <f>IF((SHIPMENTS!G57)=0,"",SHIPMENTS!G57)</f>
        <v>TBA</v>
      </c>
      <c r="F51" s="97">
        <f>VLOOKUP(A51,Items!$A$5:$J$1000,9,0)</f>
        <v>0</v>
      </c>
      <c r="G51" s="98">
        <f>VLOOKUP(A51,load!$A$4:$W$5001,23,0)</f>
        <v>30.138666666666669</v>
      </c>
      <c r="H51" s="109">
        <f>Manhours!$C$29+Manhours!$C$30</f>
        <v>10</v>
      </c>
      <c r="I51" s="98">
        <f t="shared" si="27"/>
        <v>91</v>
      </c>
      <c r="J51" s="99">
        <f t="shared" si="28"/>
        <v>0.3311941391941392</v>
      </c>
      <c r="K51" s="99">
        <f t="shared" si="29"/>
        <v>3.0138666666666665</v>
      </c>
      <c r="L51" s="98">
        <f t="shared" si="30"/>
        <v>0</v>
      </c>
      <c r="M51" s="98">
        <f t="shared" si="31"/>
        <v>0</v>
      </c>
      <c r="N51" s="181">
        <f>IF(G51&gt;0,('MP2-SFP2'!M51+3),'SFP2'!O50)</f>
        <v>46346.00489673148</v>
      </c>
      <c r="O51" s="181">
        <f t="shared" si="32"/>
        <v>46346.00489673148</v>
      </c>
      <c r="P51" s="112" t="str">
        <f>VLOOKUP(A51,SHIPMENTS!$A$7:$N$171,14,0)</f>
        <v>n/a</v>
      </c>
      <c r="Q51" s="101"/>
      <c r="R51" s="127" t="str">
        <f t="shared" si="26"/>
        <v/>
      </c>
      <c r="S51" s="127" t="str">
        <f t="shared" si="26"/>
        <v/>
      </c>
      <c r="T51" s="127" t="str">
        <f t="shared" si="26"/>
        <v/>
      </c>
      <c r="U51" s="127" t="str">
        <f t="shared" si="26"/>
        <v/>
      </c>
      <c r="V51" s="127" t="str">
        <f t="shared" si="26"/>
        <v/>
      </c>
      <c r="W51" s="127" t="str">
        <f t="shared" si="26"/>
        <v/>
      </c>
      <c r="X51" s="127" t="str">
        <f t="shared" si="26"/>
        <v/>
      </c>
      <c r="Y51" s="127" t="str">
        <f t="shared" si="26"/>
        <v/>
      </c>
      <c r="Z51" s="127" t="str">
        <f t="shared" si="26"/>
        <v/>
      </c>
      <c r="AA51" s="127" t="str">
        <f t="shared" si="26"/>
        <v/>
      </c>
      <c r="AB51" s="127" t="str">
        <f t="shared" si="26"/>
        <v/>
      </c>
      <c r="AC51" s="127" t="str">
        <f t="shared" si="26"/>
        <v/>
      </c>
      <c r="AD51" s="127" t="str">
        <f t="shared" si="26"/>
        <v/>
      </c>
      <c r="AE51" s="127" t="str">
        <f t="shared" si="26"/>
        <v/>
      </c>
      <c r="AF51" s="127" t="str">
        <f t="shared" si="26"/>
        <v/>
      </c>
      <c r="AG51" s="127" t="str">
        <f t="shared" si="26"/>
        <v/>
      </c>
      <c r="AH51" s="127" t="str">
        <f t="shared" si="35"/>
        <v/>
      </c>
      <c r="AI51" s="127" t="str">
        <f t="shared" si="35"/>
        <v/>
      </c>
      <c r="AJ51" s="127" t="str">
        <f t="shared" si="35"/>
        <v/>
      </c>
      <c r="AK51" s="127" t="str">
        <f t="shared" si="35"/>
        <v/>
      </c>
      <c r="AL51" s="127" t="str">
        <f t="shared" si="35"/>
        <v/>
      </c>
      <c r="AM51" s="127" t="str">
        <f t="shared" si="35"/>
        <v/>
      </c>
      <c r="AN51" s="127" t="str">
        <f t="shared" si="35"/>
        <v/>
      </c>
      <c r="AO51" s="127" t="str">
        <f t="shared" si="35"/>
        <v/>
      </c>
      <c r="AP51" s="127" t="str">
        <f t="shared" si="35"/>
        <v/>
      </c>
      <c r="AQ51" s="127" t="str">
        <f t="shared" si="35"/>
        <v/>
      </c>
      <c r="AR51" s="127" t="str">
        <f t="shared" si="35"/>
        <v/>
      </c>
      <c r="AS51" s="127" t="str">
        <f t="shared" si="35"/>
        <v/>
      </c>
      <c r="AT51" s="127" t="str">
        <f t="shared" si="35"/>
        <v/>
      </c>
      <c r="AU51" s="127" t="str">
        <f t="shared" si="35"/>
        <v/>
      </c>
      <c r="AV51" s="127" t="str">
        <f t="shared" si="35"/>
        <v/>
      </c>
      <c r="AW51" s="127" t="str">
        <f t="shared" si="35"/>
        <v/>
      </c>
      <c r="AX51" s="127" t="str">
        <f t="shared" si="33"/>
        <v/>
      </c>
      <c r="AY51" s="127" t="str">
        <f t="shared" si="33"/>
        <v/>
      </c>
      <c r="AZ51" s="127" t="str">
        <f t="shared" si="33"/>
        <v/>
      </c>
      <c r="BA51" s="127" t="str">
        <f t="shared" si="33"/>
        <v/>
      </c>
      <c r="BB51" s="127" t="str">
        <f t="shared" si="34"/>
        <v/>
      </c>
      <c r="BC51" s="127" t="str">
        <f t="shared" si="34"/>
        <v/>
      </c>
      <c r="BD51" s="127" t="str">
        <f t="shared" si="34"/>
        <v/>
      </c>
      <c r="BE51" s="127" t="str">
        <f t="shared" si="34"/>
        <v/>
      </c>
      <c r="BF51" s="127" t="str">
        <f t="shared" si="34"/>
        <v/>
      </c>
      <c r="BG51" s="127" t="str">
        <f t="shared" si="34"/>
        <v/>
      </c>
      <c r="BH51" s="127" t="str">
        <f t="shared" si="34"/>
        <v/>
      </c>
      <c r="BI51" s="127" t="str">
        <f t="shared" si="34"/>
        <v/>
      </c>
      <c r="BJ51" s="127" t="str">
        <f t="shared" si="34"/>
        <v/>
      </c>
      <c r="BK51" s="127" t="str">
        <f t="shared" si="34"/>
        <v/>
      </c>
      <c r="BL51" s="127" t="str">
        <f t="shared" si="34"/>
        <v/>
      </c>
      <c r="BM51" s="127" t="str">
        <f t="shared" si="34"/>
        <v/>
      </c>
      <c r="BN51" s="127" t="str">
        <f t="shared" si="34"/>
        <v/>
      </c>
      <c r="BO51" s="127" t="str">
        <f t="shared" si="34"/>
        <v/>
      </c>
      <c r="BP51" s="127" t="str">
        <f t="shared" si="34"/>
        <v/>
      </c>
      <c r="BQ51" s="127" t="str">
        <f t="shared" si="34"/>
        <v/>
      </c>
      <c r="BR51" s="127" t="str">
        <f t="shared" si="36"/>
        <v/>
      </c>
      <c r="BS51" s="127" t="str">
        <f t="shared" si="36"/>
        <v/>
      </c>
      <c r="BT51" s="127" t="str">
        <f t="shared" si="36"/>
        <v/>
      </c>
      <c r="BU51" s="127" t="str">
        <f t="shared" si="36"/>
        <v/>
      </c>
      <c r="BV51" s="127" t="str">
        <f t="shared" si="36"/>
        <v/>
      </c>
      <c r="BW51" s="127" t="str">
        <f t="shared" si="36"/>
        <v/>
      </c>
      <c r="BX51" s="127" t="str">
        <f t="shared" si="36"/>
        <v/>
      </c>
      <c r="BY51" s="127" t="str">
        <f t="shared" si="36"/>
        <v/>
      </c>
      <c r="BZ51" s="127" t="str">
        <f t="shared" si="36"/>
        <v/>
      </c>
      <c r="CA51" s="127" t="str">
        <f t="shared" si="36"/>
        <v/>
      </c>
      <c r="CB51" s="127" t="str">
        <f t="shared" si="36"/>
        <v/>
      </c>
      <c r="CC51" s="127" t="str">
        <f t="shared" si="36"/>
        <v/>
      </c>
      <c r="CD51" s="127" t="str">
        <f t="shared" si="36"/>
        <v/>
      </c>
      <c r="CE51" s="127" t="str">
        <f t="shared" si="36"/>
        <v/>
      </c>
    </row>
    <row r="52" spans="1:83" ht="12.6" hidden="1" customHeight="1" x14ac:dyDescent="0.2">
      <c r="A52" s="106">
        <f>SHIPMENTS!A58</f>
        <v>9197</v>
      </c>
      <c r="B52" s="106" t="str">
        <f>SHIPMENTS!B58</f>
        <v>19300-USA SUPERIOR SAUNA</v>
      </c>
      <c r="C52" s="132">
        <f>SHIPMENTS!F58</f>
        <v>0</v>
      </c>
      <c r="D52" s="107" t="str">
        <f>IF((SHIPMENTS!I58)=0,"",SHIPMENTS!I58)</f>
        <v/>
      </c>
      <c r="E52" s="176" t="str">
        <f>IF((SHIPMENTS!G58)=0,"",SHIPMENTS!G58)</f>
        <v>TBA</v>
      </c>
      <c r="F52" s="97">
        <f>VLOOKUP(A52,Items!$A$5:$J$1000,9,0)</f>
        <v>0</v>
      </c>
      <c r="G52" s="98">
        <f>VLOOKUP(A52,load!$A$4:$W$5001,23,0)</f>
        <v>5.262666666666667</v>
      </c>
      <c r="H52" s="109">
        <f>Manhours!$C$29+Manhours!$C$30</f>
        <v>10</v>
      </c>
      <c r="I52" s="98">
        <f t="shared" si="27"/>
        <v>91</v>
      </c>
      <c r="J52" s="99">
        <f t="shared" si="28"/>
        <v>5.7831501831501833E-2</v>
      </c>
      <c r="K52" s="99">
        <f t="shared" si="29"/>
        <v>0.52626666666666666</v>
      </c>
      <c r="L52" s="98">
        <f t="shared" si="30"/>
        <v>0</v>
      </c>
      <c r="M52" s="98">
        <f t="shared" si="31"/>
        <v>0</v>
      </c>
      <c r="N52" s="181">
        <f>IF(G52&gt;0,('MP2-SFP2'!M52+3),'SFP2'!O51)</f>
        <v>46346.00489673148</v>
      </c>
      <c r="O52" s="181">
        <f t="shared" si="32"/>
        <v>46346.00489673148</v>
      </c>
      <c r="P52" s="112" t="str">
        <f>VLOOKUP(A52,SHIPMENTS!$A$7:$N$171,14,0)</f>
        <v>n/a</v>
      </c>
      <c r="Q52" s="101"/>
      <c r="R52" s="127" t="str">
        <f t="shared" si="26"/>
        <v/>
      </c>
      <c r="S52" s="127" t="str">
        <f t="shared" si="26"/>
        <v/>
      </c>
      <c r="T52" s="127" t="str">
        <f t="shared" si="26"/>
        <v/>
      </c>
      <c r="U52" s="127" t="str">
        <f t="shared" si="26"/>
        <v/>
      </c>
      <c r="V52" s="127" t="str">
        <f t="shared" si="26"/>
        <v/>
      </c>
      <c r="W52" s="127" t="str">
        <f t="shared" si="26"/>
        <v/>
      </c>
      <c r="X52" s="127" t="str">
        <f t="shared" si="26"/>
        <v/>
      </c>
      <c r="Y52" s="127" t="str">
        <f t="shared" si="26"/>
        <v/>
      </c>
      <c r="Z52" s="127" t="str">
        <f t="shared" si="26"/>
        <v/>
      </c>
      <c r="AA52" s="127" t="str">
        <f t="shared" si="26"/>
        <v/>
      </c>
      <c r="AB52" s="127" t="str">
        <f t="shared" si="26"/>
        <v/>
      </c>
      <c r="AC52" s="127" t="str">
        <f t="shared" si="26"/>
        <v/>
      </c>
      <c r="AD52" s="127" t="str">
        <f t="shared" si="26"/>
        <v/>
      </c>
      <c r="AE52" s="127" t="str">
        <f t="shared" si="26"/>
        <v/>
      </c>
      <c r="AF52" s="127" t="str">
        <f t="shared" si="26"/>
        <v/>
      </c>
      <c r="AG52" s="127" t="str">
        <f t="shared" si="26"/>
        <v/>
      </c>
      <c r="AH52" s="127" t="str">
        <f t="shared" si="35"/>
        <v/>
      </c>
      <c r="AI52" s="127" t="str">
        <f t="shared" si="35"/>
        <v/>
      </c>
      <c r="AJ52" s="127" t="str">
        <f t="shared" si="35"/>
        <v/>
      </c>
      <c r="AK52" s="127" t="str">
        <f t="shared" si="35"/>
        <v/>
      </c>
      <c r="AL52" s="127" t="str">
        <f t="shared" si="35"/>
        <v/>
      </c>
      <c r="AM52" s="127" t="str">
        <f t="shared" si="35"/>
        <v/>
      </c>
      <c r="AN52" s="127" t="str">
        <f t="shared" si="35"/>
        <v/>
      </c>
      <c r="AO52" s="127" t="str">
        <f t="shared" si="35"/>
        <v/>
      </c>
      <c r="AP52" s="127" t="str">
        <f t="shared" si="35"/>
        <v/>
      </c>
      <c r="AQ52" s="127" t="str">
        <f t="shared" si="35"/>
        <v/>
      </c>
      <c r="AR52" s="127" t="str">
        <f t="shared" si="35"/>
        <v/>
      </c>
      <c r="AS52" s="127" t="str">
        <f t="shared" si="35"/>
        <v/>
      </c>
      <c r="AT52" s="127" t="str">
        <f t="shared" si="35"/>
        <v/>
      </c>
      <c r="AU52" s="127" t="str">
        <f t="shared" si="35"/>
        <v/>
      </c>
      <c r="AV52" s="127" t="str">
        <f t="shared" si="35"/>
        <v/>
      </c>
      <c r="AW52" s="127" t="str">
        <f t="shared" si="35"/>
        <v/>
      </c>
      <c r="AX52" s="127" t="str">
        <f t="shared" si="33"/>
        <v/>
      </c>
      <c r="AY52" s="127" t="str">
        <f t="shared" si="33"/>
        <v/>
      </c>
      <c r="AZ52" s="127" t="str">
        <f t="shared" si="33"/>
        <v/>
      </c>
      <c r="BA52" s="127" t="str">
        <f t="shared" si="33"/>
        <v/>
      </c>
      <c r="BB52" s="127" t="str">
        <f t="shared" si="34"/>
        <v/>
      </c>
      <c r="BC52" s="127" t="str">
        <f t="shared" si="34"/>
        <v/>
      </c>
      <c r="BD52" s="127" t="str">
        <f t="shared" si="34"/>
        <v/>
      </c>
      <c r="BE52" s="127" t="str">
        <f t="shared" si="34"/>
        <v/>
      </c>
      <c r="BF52" s="127" t="str">
        <f t="shared" si="34"/>
        <v/>
      </c>
      <c r="BG52" s="127" t="str">
        <f t="shared" si="34"/>
        <v/>
      </c>
      <c r="BH52" s="127" t="str">
        <f t="shared" si="34"/>
        <v/>
      </c>
      <c r="BI52" s="127" t="str">
        <f t="shared" si="34"/>
        <v/>
      </c>
      <c r="BJ52" s="127" t="str">
        <f t="shared" si="34"/>
        <v/>
      </c>
      <c r="BK52" s="127" t="str">
        <f t="shared" si="34"/>
        <v/>
      </c>
      <c r="BL52" s="127" t="str">
        <f t="shared" si="34"/>
        <v/>
      </c>
      <c r="BM52" s="127" t="str">
        <f t="shared" si="34"/>
        <v/>
      </c>
      <c r="BN52" s="127" t="str">
        <f t="shared" si="34"/>
        <v/>
      </c>
      <c r="BO52" s="127" t="str">
        <f t="shared" si="34"/>
        <v/>
      </c>
      <c r="BP52" s="127" t="str">
        <f t="shared" si="34"/>
        <v/>
      </c>
      <c r="BQ52" s="127" t="str">
        <f t="shared" si="34"/>
        <v/>
      </c>
      <c r="BR52" s="127" t="str">
        <f t="shared" si="36"/>
        <v/>
      </c>
      <c r="BS52" s="127" t="str">
        <f t="shared" si="36"/>
        <v/>
      </c>
      <c r="BT52" s="127" t="str">
        <f t="shared" si="36"/>
        <v/>
      </c>
      <c r="BU52" s="127" t="str">
        <f t="shared" si="36"/>
        <v/>
      </c>
      <c r="BV52" s="127" t="str">
        <f t="shared" si="36"/>
        <v/>
      </c>
      <c r="BW52" s="127" t="str">
        <f t="shared" si="36"/>
        <v/>
      </c>
      <c r="BX52" s="127" t="str">
        <f t="shared" si="36"/>
        <v/>
      </c>
      <c r="BY52" s="127" t="str">
        <f t="shared" si="36"/>
        <v/>
      </c>
      <c r="BZ52" s="127" t="str">
        <f t="shared" si="36"/>
        <v/>
      </c>
      <c r="CA52" s="127" t="str">
        <f t="shared" si="36"/>
        <v/>
      </c>
      <c r="CB52" s="127" t="str">
        <f t="shared" si="36"/>
        <v/>
      </c>
      <c r="CC52" s="127" t="str">
        <f t="shared" si="36"/>
        <v/>
      </c>
      <c r="CD52" s="127" t="str">
        <f t="shared" si="36"/>
        <v/>
      </c>
      <c r="CE52" s="127" t="str">
        <f t="shared" si="36"/>
        <v/>
      </c>
    </row>
    <row r="53" spans="1:83" ht="12.6" hidden="1" customHeight="1" x14ac:dyDescent="0.2">
      <c r="A53" s="106">
        <f>SHIPMENTS!A59</f>
        <v>6542</v>
      </c>
      <c r="B53" s="106" t="str">
        <f>SHIPMENTS!B59</f>
        <v>75100-JORDAN
BACKLOG</v>
      </c>
      <c r="C53" s="132">
        <f>SHIPMENTS!F59</f>
        <v>2.9600000000000001E-2</v>
      </c>
      <c r="D53" s="107" t="str">
        <f>IF((SHIPMENTS!I59)=0,"",SHIPMENTS!I59)</f>
        <v/>
      </c>
      <c r="E53" s="176" t="str">
        <f>IF((SHIPMENTS!G59)=0,"",SHIPMENTS!G59)</f>
        <v>TBA</v>
      </c>
      <c r="F53" s="97">
        <f>VLOOKUP(A53,Items!$A$5:$J$1000,9,0)</f>
        <v>0</v>
      </c>
      <c r="G53" s="98">
        <f>VLOOKUP(A53,load!$A$4:$W$5001,23,0)</f>
        <v>0</v>
      </c>
      <c r="H53" s="109">
        <f>Manhours!$C$29+Manhours!$C$30</f>
        <v>10</v>
      </c>
      <c r="I53" s="98">
        <f t="shared" ref="I53" si="37">+H53*$I$4</f>
        <v>91</v>
      </c>
      <c r="J53" s="99">
        <f t="shared" ref="J53" si="38">G53/I53</f>
        <v>0</v>
      </c>
      <c r="K53" s="99">
        <f t="shared" ref="K53" si="39">+J53*$I$4</f>
        <v>0</v>
      </c>
      <c r="L53" s="98">
        <f t="shared" ref="L53" si="40">IFERROR(J53-(J53*P53),0)</f>
        <v>0</v>
      </c>
      <c r="M53" s="98">
        <f t="shared" ref="M53" si="41">IFERROR(K53-(K53*P53),0)</f>
        <v>0</v>
      </c>
      <c r="N53" s="181">
        <f>IF(G53&gt;0,('MP2-SFP2'!M53+3),'SFP2'!O52)</f>
        <v>46346.00489673148</v>
      </c>
      <c r="O53" s="181">
        <f t="shared" ref="O53" si="42">+N53+L53</f>
        <v>46346.00489673148</v>
      </c>
      <c r="P53" s="112" t="str">
        <f>VLOOKUP(A53,SHIPMENTS!$A$7:$N$171,14,0)</f>
        <v>n/a</v>
      </c>
      <c r="Q53" s="101"/>
      <c r="R53" s="127" t="str">
        <f t="shared" si="26"/>
        <v/>
      </c>
      <c r="S53" s="127" t="str">
        <f t="shared" si="26"/>
        <v/>
      </c>
      <c r="T53" s="127" t="str">
        <f t="shared" si="26"/>
        <v/>
      </c>
      <c r="U53" s="127" t="str">
        <f t="shared" si="26"/>
        <v/>
      </c>
      <c r="V53" s="127" t="str">
        <f t="shared" si="26"/>
        <v/>
      </c>
      <c r="W53" s="127" t="str">
        <f t="shared" si="26"/>
        <v/>
      </c>
      <c r="X53" s="127" t="str">
        <f t="shared" si="26"/>
        <v/>
      </c>
      <c r="Y53" s="127" t="str">
        <f t="shared" si="26"/>
        <v/>
      </c>
      <c r="Z53" s="127" t="str">
        <f t="shared" si="26"/>
        <v/>
      </c>
      <c r="AA53" s="127" t="str">
        <f t="shared" si="26"/>
        <v/>
      </c>
      <c r="AB53" s="127" t="str">
        <f t="shared" si="26"/>
        <v/>
      </c>
      <c r="AC53" s="127" t="str">
        <f t="shared" si="26"/>
        <v/>
      </c>
      <c r="AD53" s="127" t="str">
        <f t="shared" si="26"/>
        <v/>
      </c>
      <c r="AE53" s="127" t="str">
        <f t="shared" si="26"/>
        <v/>
      </c>
      <c r="AF53" s="127" t="str">
        <f t="shared" si="26"/>
        <v/>
      </c>
      <c r="AG53" s="127" t="str">
        <f t="shared" si="26"/>
        <v/>
      </c>
      <c r="AH53" s="127" t="str">
        <f t="shared" si="35"/>
        <v/>
      </c>
      <c r="AI53" s="127" t="str">
        <f t="shared" si="35"/>
        <v/>
      </c>
      <c r="AJ53" s="127" t="str">
        <f t="shared" si="35"/>
        <v/>
      </c>
      <c r="AK53" s="127" t="str">
        <f t="shared" si="35"/>
        <v/>
      </c>
      <c r="AL53" s="127" t="str">
        <f t="shared" si="35"/>
        <v/>
      </c>
      <c r="AM53" s="127" t="str">
        <f t="shared" si="35"/>
        <v/>
      </c>
      <c r="AN53" s="127" t="str">
        <f t="shared" si="35"/>
        <v/>
      </c>
      <c r="AO53" s="127" t="str">
        <f t="shared" si="35"/>
        <v/>
      </c>
      <c r="AP53" s="127" t="str">
        <f t="shared" si="35"/>
        <v/>
      </c>
      <c r="AQ53" s="127" t="str">
        <f t="shared" si="35"/>
        <v/>
      </c>
      <c r="AR53" s="127" t="str">
        <f t="shared" si="35"/>
        <v/>
      </c>
      <c r="AS53" s="127" t="str">
        <f t="shared" si="35"/>
        <v/>
      </c>
      <c r="AT53" s="127" t="str">
        <f t="shared" si="35"/>
        <v/>
      </c>
      <c r="AU53" s="127" t="str">
        <f t="shared" si="35"/>
        <v/>
      </c>
      <c r="AV53" s="127" t="str">
        <f t="shared" si="35"/>
        <v/>
      </c>
      <c r="AW53" s="127" t="str">
        <f t="shared" si="35"/>
        <v/>
      </c>
      <c r="AX53" s="127" t="str">
        <f t="shared" si="33"/>
        <v/>
      </c>
      <c r="AY53" s="127" t="str">
        <f t="shared" si="33"/>
        <v/>
      </c>
      <c r="AZ53" s="127" t="str">
        <f t="shared" si="33"/>
        <v/>
      </c>
      <c r="BA53" s="127" t="str">
        <f t="shared" si="33"/>
        <v/>
      </c>
      <c r="BB53" s="127" t="str">
        <f t="shared" si="34"/>
        <v/>
      </c>
      <c r="BC53" s="127" t="str">
        <f t="shared" si="34"/>
        <v/>
      </c>
      <c r="BD53" s="127" t="str">
        <f t="shared" si="34"/>
        <v/>
      </c>
      <c r="BE53" s="127" t="str">
        <f t="shared" si="34"/>
        <v/>
      </c>
      <c r="BF53" s="127" t="str">
        <f t="shared" si="34"/>
        <v/>
      </c>
      <c r="BG53" s="127" t="str">
        <f t="shared" si="34"/>
        <v/>
      </c>
      <c r="BH53" s="127" t="str">
        <f t="shared" si="34"/>
        <v/>
      </c>
      <c r="BI53" s="127" t="str">
        <f t="shared" si="34"/>
        <v/>
      </c>
      <c r="BJ53" s="127" t="str">
        <f t="shared" si="34"/>
        <v/>
      </c>
      <c r="BK53" s="127" t="str">
        <f t="shared" si="34"/>
        <v/>
      </c>
      <c r="BL53" s="127" t="str">
        <f t="shared" si="34"/>
        <v/>
      </c>
      <c r="BM53" s="127" t="str">
        <f t="shared" si="34"/>
        <v/>
      </c>
      <c r="BN53" s="127" t="str">
        <f t="shared" si="34"/>
        <v/>
      </c>
      <c r="BO53" s="127" t="str">
        <f t="shared" si="34"/>
        <v/>
      </c>
      <c r="BP53" s="127" t="str">
        <f t="shared" si="34"/>
        <v/>
      </c>
      <c r="BQ53" s="127" t="str">
        <f t="shared" si="34"/>
        <v/>
      </c>
      <c r="BR53" s="127" t="str">
        <f t="shared" si="36"/>
        <v/>
      </c>
      <c r="BS53" s="127" t="str">
        <f t="shared" si="36"/>
        <v/>
      </c>
      <c r="BT53" s="127" t="str">
        <f t="shared" si="36"/>
        <v/>
      </c>
      <c r="BU53" s="127" t="str">
        <f t="shared" si="36"/>
        <v/>
      </c>
      <c r="BV53" s="127" t="str">
        <f t="shared" si="36"/>
        <v/>
      </c>
      <c r="BW53" s="127" t="str">
        <f t="shared" si="36"/>
        <v/>
      </c>
      <c r="BX53" s="127" t="str">
        <f t="shared" si="36"/>
        <v/>
      </c>
      <c r="BY53" s="127" t="str">
        <f t="shared" si="36"/>
        <v/>
      </c>
      <c r="BZ53" s="127" t="str">
        <f t="shared" si="36"/>
        <v/>
      </c>
      <c r="CA53" s="127" t="str">
        <f t="shared" si="36"/>
        <v/>
      </c>
      <c r="CB53" s="127" t="str">
        <f t="shared" si="36"/>
        <v/>
      </c>
      <c r="CC53" s="127" t="str">
        <f t="shared" si="36"/>
        <v/>
      </c>
      <c r="CD53" s="127" t="str">
        <f t="shared" si="36"/>
        <v/>
      </c>
      <c r="CE53" s="127" t="str">
        <f t="shared" si="36"/>
        <v/>
      </c>
    </row>
  </sheetData>
  <autoFilter ref="A7:BM53" xr:uid="{00000000-0009-0000-0000-000010000000}">
    <filterColumn colId="15">
      <filters>
        <filter val="0%"/>
        <filter val="100%"/>
        <filter val="50%"/>
        <filter val="8%"/>
      </filters>
    </filterColumn>
  </autoFilter>
  <mergeCells count="16">
    <mergeCell ref="G5:G6"/>
    <mergeCell ref="A5:A6"/>
    <mergeCell ref="B5:B6"/>
    <mergeCell ref="C5:C6"/>
    <mergeCell ref="D5:D6"/>
    <mergeCell ref="E5:E6"/>
    <mergeCell ref="F5:F6"/>
    <mergeCell ref="N5:N6"/>
    <mergeCell ref="O5:O6"/>
    <mergeCell ref="P5:P6"/>
    <mergeCell ref="H5:H6"/>
    <mergeCell ref="I5:I6"/>
    <mergeCell ref="J5:J6"/>
    <mergeCell ref="K5:K6"/>
    <mergeCell ref="L5:L6"/>
    <mergeCell ref="M5:M6"/>
  </mergeCells>
  <conditionalFormatting sqref="O8:O53">
    <cfRule type="cellIs" dxfId="20" priority="773" operator="greaterThan">
      <formula>E8</formula>
    </cfRule>
  </conditionalFormatting>
  <conditionalFormatting sqref="P1:Q5 P7:Q1048576">
    <cfRule type="cellIs" dxfId="19" priority="113" operator="lessThan">
      <formula>1</formula>
    </cfRule>
    <cfRule type="cellIs" dxfId="18" priority="114" operator="equal">
      <formula>1</formula>
    </cfRule>
  </conditionalFormatting>
  <conditionalFormatting sqref="P8:Q27 P9:P53">
    <cfRule type="dataBar" priority="1096">
      <dataBar>
        <cfvo type="num" val="0"/>
        <cfvo type="num" val="1"/>
        <color rgb="FFFFB628"/>
      </dataBar>
      <extLst>
        <ext xmlns:x14="http://schemas.microsoft.com/office/spreadsheetml/2009/9/main" uri="{B025F937-C7B1-47D3-B67F-A62EFF666E3E}">
          <x14:id>{05BF262D-7E90-462D-9BF9-79F17EF94B08}</x14:id>
        </ext>
      </extLst>
    </cfRule>
  </conditionalFormatting>
  <conditionalFormatting sqref="P28:Q28">
    <cfRule type="dataBar" priority="1068">
      <dataBar>
        <cfvo type="num" val="0"/>
        <cfvo type="num" val="1"/>
        <color rgb="FFFFB628"/>
      </dataBar>
      <extLst>
        <ext xmlns:x14="http://schemas.microsoft.com/office/spreadsheetml/2009/9/main" uri="{B025F937-C7B1-47D3-B67F-A62EFF666E3E}">
          <x14:id>{98B0496B-234A-46EF-B733-B286C32B2269}</x14:id>
        </ext>
      </extLst>
    </cfRule>
  </conditionalFormatting>
  <conditionalFormatting sqref="P29:Q32">
    <cfRule type="dataBar" priority="1064">
      <dataBar>
        <cfvo type="num" val="0"/>
        <cfvo type="num" val="1"/>
        <color rgb="FFFFB628"/>
      </dataBar>
      <extLst>
        <ext xmlns:x14="http://schemas.microsoft.com/office/spreadsheetml/2009/9/main" uri="{B025F937-C7B1-47D3-B67F-A62EFF666E3E}">
          <x14:id>{929A036B-FCA0-4DA0-8C5F-12AAEE459319}</x14:id>
        </ext>
      </extLst>
    </cfRule>
  </conditionalFormatting>
  <conditionalFormatting sqref="P33:Q45">
    <cfRule type="dataBar" priority="110">
      <dataBar>
        <cfvo type="num" val="0"/>
        <cfvo type="num" val="1"/>
        <color rgb="FFFFB628"/>
      </dataBar>
      <extLst>
        <ext xmlns:x14="http://schemas.microsoft.com/office/spreadsheetml/2009/9/main" uri="{B025F937-C7B1-47D3-B67F-A62EFF666E3E}">
          <x14:id>{A3FB8037-DDCE-4305-8E99-CE6EEFAE1CE3}</x14:id>
        </ext>
      </extLst>
    </cfRule>
  </conditionalFormatting>
  <conditionalFormatting sqref="P46:Q52">
    <cfRule type="dataBar" priority="96">
      <dataBar>
        <cfvo type="num" val="0"/>
        <cfvo type="num" val="1"/>
        <color rgb="FFFFB628"/>
      </dataBar>
      <extLst>
        <ext xmlns:x14="http://schemas.microsoft.com/office/spreadsheetml/2009/9/main" uri="{B025F937-C7B1-47D3-B67F-A62EFF666E3E}">
          <x14:id>{A4FD7B84-4796-4651-8B1D-5CEDD94EAD05}</x14:id>
        </ext>
      </extLst>
    </cfRule>
  </conditionalFormatting>
  <conditionalFormatting sqref="P53:Q53">
    <cfRule type="dataBar" priority="14">
      <dataBar>
        <cfvo type="num" val="0"/>
        <cfvo type="num" val="1"/>
        <color rgb="FFFFB628"/>
      </dataBar>
      <extLst>
        <ext xmlns:x14="http://schemas.microsoft.com/office/spreadsheetml/2009/9/main" uri="{B025F937-C7B1-47D3-B67F-A62EFF666E3E}">
          <x14:id>{2372F7DF-A85C-44B3-AC4C-3F097CA560FF}</x14:id>
        </ext>
      </extLst>
    </cfRule>
  </conditionalFormatting>
  <conditionalFormatting sqref="R8:BF27 AW8:CE32">
    <cfRule type="cellIs" dxfId="17" priority="1095" operator="equal">
      <formula>1</formula>
    </cfRule>
  </conditionalFormatting>
  <conditionalFormatting sqref="R8:BF53">
    <cfRule type="cellIs" dxfId="16" priority="6" operator="equal">
      <formula>1</formula>
    </cfRule>
  </conditionalFormatting>
  <conditionalFormatting sqref="R28:BF28">
    <cfRule type="cellIs" dxfId="15" priority="1067" operator="equal">
      <formula>1</formula>
    </cfRule>
  </conditionalFormatting>
  <conditionalFormatting sqref="R29:BF53">
    <cfRule type="cellIs" dxfId="14" priority="7" operator="equal">
      <formula>1</formula>
    </cfRule>
  </conditionalFormatting>
  <conditionalFormatting sqref="R1:CE1">
    <cfRule type="cellIs" dxfId="13" priority="799" operator="notEqual">
      <formula>0</formula>
    </cfRule>
  </conditionalFormatting>
  <conditionalFormatting sqref="R8:CE53">
    <cfRule type="expression" dxfId="12" priority="8">
      <formula>IF(AND($N8&lt;=R$3,$O8&gt;=R$3),1,"")</formula>
    </cfRule>
  </conditionalFormatting>
  <conditionalFormatting sqref="AW8:CE32">
    <cfRule type="cellIs" dxfId="11" priority="1094" operator="equal">
      <formula>1</formula>
    </cfRule>
  </conditionalFormatting>
  <conditionalFormatting sqref="AW33:CE53">
    <cfRule type="cellIs" dxfId="10" priority="12" operator="equal">
      <formula>1</formula>
    </cfRule>
    <cfRule type="cellIs" dxfId="9" priority="13" operator="equal">
      <formula>1</formula>
    </cfRule>
  </conditionalFormatting>
  <conditionalFormatting sqref="BH8:BL53">
    <cfRule type="cellIs" dxfId="8" priority="5" operator="equal">
      <formula>1</formula>
    </cfRule>
    <cfRule type="cellIs" dxfId="7" priority="11" operator="equal">
      <formula>1</formula>
    </cfRule>
  </conditionalFormatting>
  <conditionalFormatting sqref="BN8:BR53">
    <cfRule type="cellIs" dxfId="6" priority="4" operator="equal">
      <formula>1</formula>
    </cfRule>
    <cfRule type="cellIs" dxfId="5" priority="10" operator="equal">
      <formula>1</formula>
    </cfRule>
  </conditionalFormatting>
  <conditionalFormatting sqref="BT8:BX53">
    <cfRule type="cellIs" dxfId="4" priority="3" operator="equal">
      <formula>1</formula>
    </cfRule>
    <cfRule type="cellIs" dxfId="3" priority="9" operator="equal">
      <formula>1</formula>
    </cfRule>
  </conditionalFormatting>
  <conditionalFormatting sqref="BZ8:CD27">
    <cfRule type="cellIs" dxfId="2" priority="985" operator="equal">
      <formula>1</formula>
    </cfRule>
  </conditionalFormatting>
  <conditionalFormatting sqref="BZ8:CD53">
    <cfRule type="cellIs" dxfId="1" priority="1" operator="equal">
      <formula>1</formula>
    </cfRule>
  </conditionalFormatting>
  <conditionalFormatting sqref="BZ28:CD53">
    <cfRule type="cellIs" dxfId="0" priority="2" operator="equal">
      <formula>1</formula>
    </cfRule>
  </conditionalFormatting>
  <pageMargins left="0.7" right="0.7" top="0.75" bottom="0.75" header="0.3" footer="0.3"/>
  <pageSetup paperSize="9" orientation="portrait" horizontalDpi="0" verticalDpi="0" r:id="rId1"/>
  <extLst>
    <ext xmlns:x14="http://schemas.microsoft.com/office/spreadsheetml/2009/9/main" uri="{78C0D931-6437-407d-A8EE-F0AAD7539E65}">
      <x14:conditionalFormattings>
        <x14:conditionalFormatting xmlns:xm="http://schemas.microsoft.com/office/excel/2006/main">
          <x14:cfRule type="dataBar" id="{05BF262D-7E90-462D-9BF9-79F17EF94B08}">
            <x14:dataBar minLength="0" maxLength="100" gradient="0">
              <x14:cfvo type="num">
                <xm:f>0</xm:f>
              </x14:cfvo>
              <x14:cfvo type="num">
                <xm:f>1</xm:f>
              </x14:cfvo>
              <x14:negativeFillColor rgb="FFFF0000"/>
              <x14:axisColor rgb="FF000000"/>
            </x14:dataBar>
          </x14:cfRule>
          <xm:sqref>P8:Q27 P9:P53</xm:sqref>
        </x14:conditionalFormatting>
        <x14:conditionalFormatting xmlns:xm="http://schemas.microsoft.com/office/excel/2006/main">
          <x14:cfRule type="dataBar" id="{98B0496B-234A-46EF-B733-B286C32B2269}">
            <x14:dataBar minLength="0" maxLength="100" gradient="0">
              <x14:cfvo type="num">
                <xm:f>0</xm:f>
              </x14:cfvo>
              <x14:cfvo type="num">
                <xm:f>1</xm:f>
              </x14:cfvo>
              <x14:negativeFillColor rgb="FFFF0000"/>
              <x14:axisColor rgb="FF000000"/>
            </x14:dataBar>
          </x14:cfRule>
          <xm:sqref>P28:Q28</xm:sqref>
        </x14:conditionalFormatting>
        <x14:conditionalFormatting xmlns:xm="http://schemas.microsoft.com/office/excel/2006/main">
          <x14:cfRule type="dataBar" id="{929A036B-FCA0-4DA0-8C5F-12AAEE459319}">
            <x14:dataBar minLength="0" maxLength="100" gradient="0">
              <x14:cfvo type="num">
                <xm:f>0</xm:f>
              </x14:cfvo>
              <x14:cfvo type="num">
                <xm:f>1</xm:f>
              </x14:cfvo>
              <x14:negativeFillColor rgb="FFFF0000"/>
              <x14:axisColor rgb="FF000000"/>
            </x14:dataBar>
          </x14:cfRule>
          <xm:sqref>P29:Q32</xm:sqref>
        </x14:conditionalFormatting>
        <x14:conditionalFormatting xmlns:xm="http://schemas.microsoft.com/office/excel/2006/main">
          <x14:cfRule type="dataBar" id="{A3FB8037-DDCE-4305-8E99-CE6EEFAE1CE3}">
            <x14:dataBar minLength="0" maxLength="100" gradient="0">
              <x14:cfvo type="num">
                <xm:f>0</xm:f>
              </x14:cfvo>
              <x14:cfvo type="num">
                <xm:f>1</xm:f>
              </x14:cfvo>
              <x14:negativeFillColor rgb="FFFF0000"/>
              <x14:axisColor rgb="FF000000"/>
            </x14:dataBar>
          </x14:cfRule>
          <xm:sqref>P33:Q45</xm:sqref>
        </x14:conditionalFormatting>
        <x14:conditionalFormatting xmlns:xm="http://schemas.microsoft.com/office/excel/2006/main">
          <x14:cfRule type="dataBar" id="{A4FD7B84-4796-4651-8B1D-5CEDD94EAD05}">
            <x14:dataBar minLength="0" maxLength="100" gradient="0">
              <x14:cfvo type="num">
                <xm:f>0</xm:f>
              </x14:cfvo>
              <x14:cfvo type="num">
                <xm:f>1</xm:f>
              </x14:cfvo>
              <x14:negativeFillColor rgb="FFFF0000"/>
              <x14:axisColor rgb="FF000000"/>
            </x14:dataBar>
          </x14:cfRule>
          <xm:sqref>P46:Q52</xm:sqref>
        </x14:conditionalFormatting>
        <x14:conditionalFormatting xmlns:xm="http://schemas.microsoft.com/office/excel/2006/main">
          <x14:cfRule type="dataBar" id="{2372F7DF-A85C-44B3-AC4C-3F097CA560FF}">
            <x14:dataBar minLength="0" maxLength="100" gradient="0">
              <x14:cfvo type="num">
                <xm:f>0</xm:f>
              </x14:cfvo>
              <x14:cfvo type="num">
                <xm:f>1</xm:f>
              </x14:cfvo>
              <x14:negativeFillColor rgb="FFFF0000"/>
              <x14:axisColor rgb="FF000000"/>
            </x14:dataBar>
          </x14:cfRule>
          <xm:sqref>P53:Q53</xm:sqref>
        </x14:conditionalFormatting>
      </x14:conditionalFormattings>
    </ext>
  </extLs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4"/>
  <dimension ref="A1:O40"/>
  <sheetViews>
    <sheetView showGridLines="0" topLeftCell="A18" workbookViewId="0">
      <selection activeCell="I46" sqref="I46"/>
    </sheetView>
  </sheetViews>
  <sheetFormatPr defaultColWidth="9.28515625" defaultRowHeight="12.75" outlineLevelRow="1" x14ac:dyDescent="0.2"/>
  <cols>
    <col min="1" max="1" width="45.5703125" style="15" customWidth="1"/>
    <col min="2" max="2" width="27" style="15" hidden="1" customWidth="1"/>
    <col min="3" max="3" width="9.28515625" style="46" customWidth="1"/>
    <col min="4" max="4" width="9.7109375" style="19" bestFit="1" customWidth="1"/>
    <col min="5" max="5" width="9.7109375" style="19" customWidth="1"/>
    <col min="6" max="7" width="10.5703125" style="19" bestFit="1" customWidth="1"/>
    <col min="8" max="8" width="2.7109375" style="15" customWidth="1"/>
    <col min="9" max="10" width="9.28515625" style="19" customWidth="1"/>
    <col min="11" max="11" width="9.28515625" style="15"/>
    <col min="12" max="12" width="20.5703125" style="19" bestFit="1" customWidth="1"/>
    <col min="13" max="13" width="23.28515625" style="19" hidden="1" customWidth="1"/>
    <col min="14" max="14" width="16.7109375" style="44" bestFit="1" customWidth="1"/>
    <col min="15" max="15" width="9.28515625" style="19"/>
    <col min="16" max="16384" width="9.28515625" style="15"/>
  </cols>
  <sheetData>
    <row r="1" spans="1:15" ht="23.25" x14ac:dyDescent="0.2">
      <c r="A1" s="20" t="s">
        <v>7</v>
      </c>
      <c r="B1" s="20"/>
    </row>
    <row r="2" spans="1:15" ht="14.25" customHeight="1" x14ac:dyDescent="0.2">
      <c r="A2" s="45" t="s">
        <v>513</v>
      </c>
      <c r="B2" s="20"/>
    </row>
    <row r="3" spans="1:15" s="24" customFormat="1" ht="15.75" x14ac:dyDescent="0.2">
      <c r="A3" s="21"/>
      <c r="B3" s="21"/>
      <c r="C3" s="47"/>
      <c r="D3" s="22"/>
      <c r="E3" s="22"/>
      <c r="F3" s="22"/>
      <c r="G3" s="23"/>
      <c r="I3" s="22"/>
      <c r="J3" s="23"/>
      <c r="L3" s="41"/>
      <c r="M3" s="41"/>
      <c r="N3" s="43"/>
      <c r="O3" s="41"/>
    </row>
    <row r="4" spans="1:15" ht="32.25" customHeight="1" x14ac:dyDescent="0.2">
      <c r="C4" s="394" t="s">
        <v>8</v>
      </c>
      <c r="D4" s="394"/>
      <c r="E4" s="394"/>
      <c r="F4" s="394"/>
      <c r="G4" s="395"/>
      <c r="I4" s="396" t="s">
        <v>9</v>
      </c>
      <c r="J4" s="397"/>
      <c r="O4" s="65" t="s">
        <v>60</v>
      </c>
    </row>
    <row r="5" spans="1:15" ht="30" x14ac:dyDescent="0.2">
      <c r="C5" s="48" t="s">
        <v>34</v>
      </c>
      <c r="D5" s="40" t="s">
        <v>10</v>
      </c>
      <c r="E5" s="40" t="s">
        <v>39</v>
      </c>
      <c r="F5" s="40" t="s">
        <v>11</v>
      </c>
      <c r="G5" s="40" t="s">
        <v>41</v>
      </c>
      <c r="I5" s="25" t="s">
        <v>10</v>
      </c>
      <c r="J5" s="25" t="s">
        <v>11</v>
      </c>
      <c r="L5" s="44" t="s">
        <v>37</v>
      </c>
      <c r="M5" s="44" t="s">
        <v>36</v>
      </c>
      <c r="N5" s="44" t="s">
        <v>35</v>
      </c>
    </row>
    <row r="6" spans="1:15" ht="18.75" x14ac:dyDescent="0.2">
      <c r="A6" s="26" t="s">
        <v>12</v>
      </c>
      <c r="B6" s="26"/>
      <c r="C6" s="49">
        <f>SUM(C7:C10,C19)</f>
        <v>42.5</v>
      </c>
      <c r="D6" s="49">
        <f>SUM(D7:D10,D19)</f>
        <v>382.5</v>
      </c>
      <c r="E6" s="49">
        <f>SUM(E7:E10,E19)</f>
        <v>439.02500000000003</v>
      </c>
      <c r="F6" s="49">
        <f>SUM(F7:F10,F19)</f>
        <v>2295</v>
      </c>
      <c r="G6" s="49">
        <f>SUM(G7:G10,G19)</f>
        <v>2634.1499999999996</v>
      </c>
      <c r="I6" s="28">
        <f>SUM(I7:I10,I19)</f>
        <v>495.95</v>
      </c>
      <c r="J6" s="28">
        <f>SUM(J7:J10,J19)</f>
        <v>2479.75</v>
      </c>
      <c r="L6" s="42">
        <f>+F6/J6</f>
        <v>0.92549652182679709</v>
      </c>
      <c r="M6" s="42">
        <f>+G6/J6</f>
        <v>1.0622643411634236</v>
      </c>
      <c r="N6" s="44">
        <f>+G6/G35</f>
        <v>0.3125</v>
      </c>
    </row>
    <row r="7" spans="1:15" ht="18.75" hidden="1" outlineLevel="1" x14ac:dyDescent="0.2">
      <c r="A7" s="29" t="s">
        <v>13</v>
      </c>
      <c r="B7" s="29"/>
      <c r="C7" s="54">
        <v>9</v>
      </c>
      <c r="D7" s="27">
        <f>+C7*O7</f>
        <v>81</v>
      </c>
      <c r="E7" s="27">
        <f>+C7*10.33</f>
        <v>92.97</v>
      </c>
      <c r="F7" s="27">
        <f t="shared" ref="F7:G10" si="0">+D7*6</f>
        <v>486</v>
      </c>
      <c r="G7" s="27">
        <f t="shared" si="0"/>
        <v>557.81999999999994</v>
      </c>
      <c r="H7" s="30"/>
      <c r="I7" s="28">
        <f>18*9.1</f>
        <v>163.79999999999998</v>
      </c>
      <c r="J7" s="28">
        <f>+I7*5</f>
        <v>818.99999999999989</v>
      </c>
      <c r="L7" s="42">
        <f>+F7/J7</f>
        <v>0.59340659340659352</v>
      </c>
      <c r="M7" s="22"/>
      <c r="O7" s="19">
        <v>9</v>
      </c>
    </row>
    <row r="8" spans="1:15" ht="18.75" hidden="1" outlineLevel="1" x14ac:dyDescent="0.2">
      <c r="A8" s="29" t="s">
        <v>14</v>
      </c>
      <c r="B8" s="29"/>
      <c r="C8" s="54">
        <v>16</v>
      </c>
      <c r="D8" s="27">
        <f>+C8*O8</f>
        <v>144</v>
      </c>
      <c r="E8" s="27">
        <f>+C8*10.33</f>
        <v>165.28</v>
      </c>
      <c r="F8" s="27">
        <f t="shared" si="0"/>
        <v>864</v>
      </c>
      <c r="G8" s="27">
        <f t="shared" si="0"/>
        <v>991.68000000000006</v>
      </c>
      <c r="H8" s="30"/>
      <c r="I8" s="28">
        <f>12.5*9.1</f>
        <v>113.75</v>
      </c>
      <c r="J8" s="28">
        <f>+I8*5</f>
        <v>568.75</v>
      </c>
      <c r="L8" s="42">
        <f>+F8/J8</f>
        <v>1.5191208791208792</v>
      </c>
      <c r="M8" s="22"/>
      <c r="O8" s="19">
        <v>9</v>
      </c>
    </row>
    <row r="9" spans="1:15" ht="18.75" hidden="1" outlineLevel="1" x14ac:dyDescent="0.2">
      <c r="A9" s="29" t="s">
        <v>15</v>
      </c>
      <c r="B9" s="26"/>
      <c r="C9" s="54">
        <v>9</v>
      </c>
      <c r="D9" s="27">
        <f>+C9*O9</f>
        <v>81</v>
      </c>
      <c r="E9" s="27">
        <f>+C9*10.33</f>
        <v>92.97</v>
      </c>
      <c r="F9" s="27">
        <f t="shared" si="0"/>
        <v>486</v>
      </c>
      <c r="G9" s="27">
        <f t="shared" si="0"/>
        <v>557.81999999999994</v>
      </c>
      <c r="H9" s="30"/>
      <c r="I9" s="28">
        <f>13.5*9.1</f>
        <v>122.85</v>
      </c>
      <c r="J9" s="28">
        <f>+I9*5</f>
        <v>614.25</v>
      </c>
      <c r="L9" s="42">
        <f>+F9/J9</f>
        <v>0.79120879120879117</v>
      </c>
      <c r="M9" s="22"/>
      <c r="O9" s="19">
        <v>9</v>
      </c>
    </row>
    <row r="10" spans="1:15" ht="18.75" hidden="1" outlineLevel="1" x14ac:dyDescent="0.2">
      <c r="A10" s="29" t="s">
        <v>16</v>
      </c>
      <c r="B10" s="29"/>
      <c r="C10" s="54">
        <v>2.5</v>
      </c>
      <c r="D10" s="27">
        <f>+C10*O10</f>
        <v>22.5</v>
      </c>
      <c r="E10" s="27">
        <f>+C10*10.33</f>
        <v>25.824999999999999</v>
      </c>
      <c r="F10" s="27">
        <f t="shared" si="0"/>
        <v>135</v>
      </c>
      <c r="G10" s="27">
        <f t="shared" si="0"/>
        <v>154.94999999999999</v>
      </c>
      <c r="H10" s="30"/>
      <c r="I10" s="28">
        <f>2.5*9.1</f>
        <v>22.75</v>
      </c>
      <c r="J10" s="28">
        <f>+I10*5</f>
        <v>113.75</v>
      </c>
      <c r="L10" s="42">
        <f>+F10/J10</f>
        <v>1.1868131868131868</v>
      </c>
      <c r="M10" s="22"/>
      <c r="O10" s="19">
        <v>9</v>
      </c>
    </row>
    <row r="11" spans="1:15" ht="18.75" hidden="1" outlineLevel="1" x14ac:dyDescent="0.2">
      <c r="A11" s="29"/>
      <c r="B11" s="26" t="s">
        <v>32</v>
      </c>
      <c r="C11" s="50">
        <f>+C9+C19</f>
        <v>15</v>
      </c>
      <c r="D11" s="50">
        <f>+D9+D19</f>
        <v>135</v>
      </c>
      <c r="E11" s="50">
        <f>+E9+E19</f>
        <v>154.94999999999999</v>
      </c>
      <c r="F11" s="50">
        <f>+F9+F19</f>
        <v>810</v>
      </c>
      <c r="G11" s="50">
        <f>+G9+G19</f>
        <v>929.69999999999993</v>
      </c>
      <c r="H11" s="30"/>
      <c r="I11" s="31"/>
      <c r="J11" s="31"/>
      <c r="L11" s="22"/>
      <c r="M11" s="22"/>
    </row>
    <row r="12" spans="1:15" ht="18.75" hidden="1" customHeight="1" outlineLevel="1" x14ac:dyDescent="0.2">
      <c r="A12" s="32"/>
      <c r="B12" s="32"/>
      <c r="C12" s="51"/>
      <c r="D12" s="33"/>
      <c r="E12" s="33"/>
      <c r="F12" s="33"/>
      <c r="G12" s="33"/>
      <c r="I12" s="34"/>
      <c r="J12" s="34"/>
      <c r="L12" s="22"/>
      <c r="M12" s="22"/>
    </row>
    <row r="13" spans="1:15" ht="18.75" hidden="1" outlineLevel="1" x14ac:dyDescent="0.2">
      <c r="A13" s="26" t="s">
        <v>17</v>
      </c>
      <c r="B13" s="26"/>
      <c r="C13" s="49">
        <f>SUM(C14:C16,C26)</f>
        <v>8.5</v>
      </c>
      <c r="D13" s="33"/>
      <c r="E13" s="33"/>
      <c r="F13" s="33"/>
      <c r="G13" s="33"/>
      <c r="I13" s="34"/>
      <c r="J13" s="34"/>
      <c r="L13" s="22"/>
      <c r="M13" s="22"/>
    </row>
    <row r="14" spans="1:15" ht="18.75" hidden="1" outlineLevel="1" x14ac:dyDescent="0.2">
      <c r="A14" s="29" t="s">
        <v>18</v>
      </c>
      <c r="B14" s="29"/>
      <c r="C14" s="54">
        <v>1</v>
      </c>
      <c r="D14" s="27">
        <f>+C14*O14</f>
        <v>9</v>
      </c>
      <c r="E14" s="27">
        <f>+C14*10.33</f>
        <v>10.33</v>
      </c>
      <c r="F14" s="27">
        <f t="shared" ref="F14:G16" si="1">+D14*6</f>
        <v>54</v>
      </c>
      <c r="G14" s="27">
        <f t="shared" si="1"/>
        <v>61.980000000000004</v>
      </c>
      <c r="H14" s="30"/>
      <c r="I14" s="28">
        <f>2*9.1</f>
        <v>18.2</v>
      </c>
      <c r="J14" s="28">
        <f>+I14*5</f>
        <v>91</v>
      </c>
      <c r="L14" s="42">
        <f>+F14/J14</f>
        <v>0.59340659340659341</v>
      </c>
      <c r="M14" s="22"/>
      <c r="O14" s="19">
        <v>9</v>
      </c>
    </row>
    <row r="15" spans="1:15" ht="18.75" hidden="1" outlineLevel="1" x14ac:dyDescent="0.2">
      <c r="A15" s="29" t="s">
        <v>17</v>
      </c>
      <c r="B15" s="29"/>
      <c r="C15" s="54">
        <v>5</v>
      </c>
      <c r="D15" s="27">
        <f>+C15*O15</f>
        <v>45</v>
      </c>
      <c r="E15" s="27">
        <f>+C15*10.33</f>
        <v>51.65</v>
      </c>
      <c r="F15" s="27">
        <f t="shared" si="1"/>
        <v>270</v>
      </c>
      <c r="G15" s="27">
        <f t="shared" si="1"/>
        <v>309.89999999999998</v>
      </c>
      <c r="H15" s="30"/>
      <c r="I15" s="28">
        <f>6*9.1</f>
        <v>54.599999999999994</v>
      </c>
      <c r="J15" s="28">
        <f>+I15*5</f>
        <v>273</v>
      </c>
      <c r="L15" s="42">
        <f>+F15/J15</f>
        <v>0.98901098901098905</v>
      </c>
      <c r="M15" s="22"/>
      <c r="O15" s="19">
        <v>9</v>
      </c>
    </row>
    <row r="16" spans="1:15" ht="18.75" hidden="1" outlineLevel="1" x14ac:dyDescent="0.2">
      <c r="A16" s="29" t="s">
        <v>19</v>
      </c>
      <c r="B16" s="29"/>
      <c r="C16" s="54">
        <v>2.5</v>
      </c>
      <c r="D16" s="27">
        <f>+C16*O16</f>
        <v>22.5</v>
      </c>
      <c r="E16" s="27">
        <f>+C16*10.33</f>
        <v>25.824999999999999</v>
      </c>
      <c r="F16" s="27">
        <f t="shared" si="1"/>
        <v>135</v>
      </c>
      <c r="G16" s="27">
        <f t="shared" si="1"/>
        <v>154.94999999999999</v>
      </c>
      <c r="H16" s="30"/>
      <c r="I16" s="28">
        <f>4*9.1</f>
        <v>36.4</v>
      </c>
      <c r="J16" s="28">
        <f>+I16*5</f>
        <v>182</v>
      </c>
      <c r="L16" s="42">
        <f>+F16/J16</f>
        <v>0.74175824175824179</v>
      </c>
      <c r="M16" s="22"/>
      <c r="O16" s="19">
        <v>9</v>
      </c>
    </row>
    <row r="17" spans="1:15" ht="15" collapsed="1" x14ac:dyDescent="0.2">
      <c r="A17" s="32"/>
      <c r="B17" s="32"/>
      <c r="C17" s="51"/>
      <c r="D17" s="33"/>
      <c r="E17" s="33"/>
      <c r="F17" s="33"/>
      <c r="G17" s="33"/>
      <c r="I17" s="34"/>
      <c r="J17" s="34"/>
      <c r="L17" s="22"/>
      <c r="M17" s="22"/>
    </row>
    <row r="18" spans="1:15" ht="18.75" x14ac:dyDescent="0.2">
      <c r="A18" s="26" t="s">
        <v>38</v>
      </c>
      <c r="B18" s="26" t="s">
        <v>5</v>
      </c>
      <c r="C18" s="49">
        <f>+C20</f>
        <v>4</v>
      </c>
      <c r="D18" s="27">
        <f>+D20</f>
        <v>36</v>
      </c>
      <c r="E18" s="27">
        <f>+E20</f>
        <v>41.32</v>
      </c>
      <c r="F18" s="27">
        <f>+F20</f>
        <v>216</v>
      </c>
      <c r="G18" s="27">
        <f>+G20</f>
        <v>247.92000000000002</v>
      </c>
      <c r="I18" s="28">
        <f>+I20</f>
        <v>40.949999999999996</v>
      </c>
      <c r="J18" s="28">
        <f>+J20</f>
        <v>204.74999999999997</v>
      </c>
      <c r="L18" s="42">
        <f>+F18/J18</f>
        <v>1.0549450549450552</v>
      </c>
      <c r="M18" s="42">
        <f>+G18/J18</f>
        <v>1.2108424908424911</v>
      </c>
      <c r="N18" s="44">
        <f>+G18/G35</f>
        <v>2.9411764705882359E-2</v>
      </c>
    </row>
    <row r="19" spans="1:15" ht="18.75" hidden="1" outlineLevel="1" x14ac:dyDescent="0.2">
      <c r="A19" s="29" t="s">
        <v>20</v>
      </c>
      <c r="B19" s="29"/>
      <c r="C19" s="54">
        <v>6</v>
      </c>
      <c r="D19" s="27">
        <f>+C19*O19</f>
        <v>54</v>
      </c>
      <c r="E19" s="27">
        <f>+C19*10.33</f>
        <v>61.980000000000004</v>
      </c>
      <c r="F19" s="27">
        <f>+D19*6</f>
        <v>324</v>
      </c>
      <c r="G19" s="27">
        <f>+E19*6</f>
        <v>371.88</v>
      </c>
      <c r="H19" s="30"/>
      <c r="I19" s="28">
        <f>8*9.1</f>
        <v>72.8</v>
      </c>
      <c r="J19" s="28">
        <f>+I19*5</f>
        <v>364</v>
      </c>
      <c r="L19" s="42">
        <f>+F19/J19</f>
        <v>0.89010989010989006</v>
      </c>
      <c r="M19" s="22"/>
      <c r="O19" s="19">
        <v>9</v>
      </c>
    </row>
    <row r="20" spans="1:15" ht="18.75" hidden="1" outlineLevel="1" x14ac:dyDescent="0.2">
      <c r="A20" s="29" t="s">
        <v>21</v>
      </c>
      <c r="B20" s="29"/>
      <c r="C20" s="54">
        <v>4</v>
      </c>
      <c r="D20" s="27">
        <f>+C20*O20</f>
        <v>36</v>
      </c>
      <c r="E20" s="27">
        <f>+C20*10.33</f>
        <v>41.32</v>
      </c>
      <c r="F20" s="27">
        <f>+D20*6</f>
        <v>216</v>
      </c>
      <c r="G20" s="27">
        <f>+E20*6</f>
        <v>247.92000000000002</v>
      </c>
      <c r="H20" s="30"/>
      <c r="I20" s="28">
        <f>4.5*9.1</f>
        <v>40.949999999999996</v>
      </c>
      <c r="J20" s="28">
        <f>+I20*5</f>
        <v>204.74999999999997</v>
      </c>
      <c r="L20" s="42">
        <f>+F20/J20</f>
        <v>1.0549450549450552</v>
      </c>
      <c r="M20" s="22"/>
      <c r="O20" s="19">
        <v>9</v>
      </c>
    </row>
    <row r="21" spans="1:15" ht="15" collapsed="1" x14ac:dyDescent="0.2">
      <c r="A21" s="32"/>
      <c r="B21" s="32"/>
      <c r="C21" s="51"/>
      <c r="D21" s="55" t="s">
        <v>46</v>
      </c>
      <c r="E21" s="33"/>
      <c r="F21" s="33"/>
      <c r="G21" s="33"/>
      <c r="I21" s="34"/>
      <c r="J21" s="34"/>
      <c r="L21" s="22"/>
      <c r="M21" s="22"/>
    </row>
    <row r="22" spans="1:15" ht="18.75" x14ac:dyDescent="0.2">
      <c r="A22" s="26" t="s">
        <v>22</v>
      </c>
      <c r="B22" s="26" t="s">
        <v>66</v>
      </c>
      <c r="C22" s="49">
        <f>SUM(C23:C24)</f>
        <v>37</v>
      </c>
      <c r="D22" s="27">
        <f>+C22*O22</f>
        <v>333</v>
      </c>
      <c r="E22" s="49">
        <f>SUM(E23:E24,E14)</f>
        <v>392.53999999999996</v>
      </c>
      <c r="F22" s="49">
        <f>SUM(F23:F24,F14)</f>
        <v>2052</v>
      </c>
      <c r="G22" s="49">
        <f>SUM(G23:G24,G14)</f>
        <v>2355.2400000000002</v>
      </c>
      <c r="I22" s="28">
        <f>SUM(I23:I25,I14)</f>
        <v>382.19999999999993</v>
      </c>
      <c r="J22" s="28">
        <f>SUM(J23:J25,J14)</f>
        <v>1911</v>
      </c>
      <c r="L22" s="42">
        <f>+F22/J22</f>
        <v>1.0737833594976451</v>
      </c>
      <c r="M22" s="42">
        <f>+G22/J22</f>
        <v>1.2324646781789641</v>
      </c>
      <c r="N22" s="44">
        <f>+G22/G35</f>
        <v>0.27941176470588241</v>
      </c>
      <c r="O22" s="19">
        <v>9</v>
      </c>
    </row>
    <row r="23" spans="1:15" ht="18.75" outlineLevel="1" x14ac:dyDescent="0.2">
      <c r="A23" s="29" t="s">
        <v>23</v>
      </c>
      <c r="B23" s="29"/>
      <c r="C23" s="54">
        <v>32</v>
      </c>
      <c r="D23" s="27">
        <f>+C23*O23</f>
        <v>288</v>
      </c>
      <c r="E23" s="27">
        <f>+C23*10.33</f>
        <v>330.56</v>
      </c>
      <c r="F23" s="27">
        <f t="shared" ref="F23:G25" si="2">+D23*6</f>
        <v>1728</v>
      </c>
      <c r="G23" s="27">
        <f t="shared" si="2"/>
        <v>1983.3600000000001</v>
      </c>
      <c r="H23" s="30"/>
      <c r="I23" s="28">
        <f>29.5*9.1</f>
        <v>268.45</v>
      </c>
      <c r="J23" s="28">
        <f>+I23*5</f>
        <v>1342.25</v>
      </c>
      <c r="L23" s="42">
        <f>+F23/J23</f>
        <v>1.2873905755261688</v>
      </c>
      <c r="M23" s="22"/>
      <c r="O23" s="19">
        <v>9</v>
      </c>
    </row>
    <row r="24" spans="1:15" ht="18.75" outlineLevel="1" x14ac:dyDescent="0.2">
      <c r="A24" s="29" t="s">
        <v>24</v>
      </c>
      <c r="B24" s="26"/>
      <c r="C24" s="54">
        <v>5</v>
      </c>
      <c r="D24" s="27">
        <f>+C24*O24</f>
        <v>45</v>
      </c>
      <c r="E24" s="27">
        <f>+C24*10.33</f>
        <v>51.65</v>
      </c>
      <c r="F24" s="27">
        <f t="shared" si="2"/>
        <v>270</v>
      </c>
      <c r="G24" s="27">
        <f t="shared" si="2"/>
        <v>309.89999999999998</v>
      </c>
      <c r="H24" s="30"/>
      <c r="I24" s="28">
        <f>9*9.1</f>
        <v>81.899999999999991</v>
      </c>
      <c r="J24" s="28">
        <f>+I24*5</f>
        <v>409.49999999999994</v>
      </c>
      <c r="L24" s="42">
        <f>+F24/J24</f>
        <v>0.65934065934065944</v>
      </c>
      <c r="M24" s="22"/>
      <c r="O24" s="19">
        <v>9</v>
      </c>
    </row>
    <row r="25" spans="1:15" ht="18.75" outlineLevel="1" x14ac:dyDescent="0.2">
      <c r="A25" s="29" t="s">
        <v>25</v>
      </c>
      <c r="B25" s="29"/>
      <c r="C25" s="54">
        <v>2</v>
      </c>
      <c r="D25" s="27">
        <f>+C25*O25</f>
        <v>18</v>
      </c>
      <c r="E25" s="27">
        <f>+C25*10.33</f>
        <v>20.66</v>
      </c>
      <c r="F25" s="27">
        <f t="shared" si="2"/>
        <v>108</v>
      </c>
      <c r="G25" s="27">
        <f t="shared" si="2"/>
        <v>123.96000000000001</v>
      </c>
      <c r="H25" s="30"/>
      <c r="I25" s="28">
        <f>1.5*9.1</f>
        <v>13.649999999999999</v>
      </c>
      <c r="J25" s="28">
        <f>+I25*5</f>
        <v>68.25</v>
      </c>
      <c r="L25" s="42">
        <f>+F25/J25</f>
        <v>1.5824175824175823</v>
      </c>
      <c r="M25" s="22"/>
      <c r="O25" s="19">
        <v>9</v>
      </c>
    </row>
    <row r="26" spans="1:15" ht="15" x14ac:dyDescent="0.2">
      <c r="A26" s="32"/>
      <c r="B26" s="32"/>
      <c r="C26" s="51"/>
      <c r="D26" s="33"/>
      <c r="E26" s="33"/>
      <c r="F26" s="33"/>
      <c r="G26" s="33"/>
      <c r="I26" s="34"/>
      <c r="J26" s="34"/>
      <c r="L26" s="42"/>
      <c r="M26" s="22"/>
    </row>
    <row r="27" spans="1:15" ht="18.75" x14ac:dyDescent="0.2">
      <c r="A27" s="26" t="s">
        <v>26</v>
      </c>
      <c r="B27" s="26" t="s">
        <v>33</v>
      </c>
      <c r="C27" s="49">
        <f>SUM(C28:C30)</f>
        <v>42</v>
      </c>
      <c r="D27" s="27">
        <f>+C27*O27</f>
        <v>378</v>
      </c>
      <c r="E27" s="27">
        <f>SUM(E28:E30)</f>
        <v>433.86</v>
      </c>
      <c r="F27" s="27">
        <f>SUM(F28:F30)</f>
        <v>2268</v>
      </c>
      <c r="G27" s="27">
        <f>SUM(G28:G30)</f>
        <v>2603.16</v>
      </c>
      <c r="I27" s="28">
        <f>SUM(I28:I30)</f>
        <v>373.1</v>
      </c>
      <c r="J27" s="28">
        <f>SUM(J28:J30)</f>
        <v>1865.5</v>
      </c>
      <c r="L27" s="42">
        <f>+F27/J27</f>
        <v>1.2157598499061915</v>
      </c>
      <c r="M27" s="42">
        <f>+G27/J27</f>
        <v>1.3954221388367729</v>
      </c>
      <c r="N27" s="44">
        <f>+G27/G35</f>
        <v>0.30882352941176472</v>
      </c>
      <c r="O27" s="19">
        <v>9</v>
      </c>
    </row>
    <row r="28" spans="1:15" ht="18.75" hidden="1" outlineLevel="1" x14ac:dyDescent="0.2">
      <c r="A28" s="29" t="s">
        <v>27</v>
      </c>
      <c r="B28" s="29"/>
      <c r="C28" s="54">
        <v>32</v>
      </c>
      <c r="D28" s="27">
        <f>+C28*O28</f>
        <v>288</v>
      </c>
      <c r="E28" s="27">
        <f>+C28*10.33</f>
        <v>330.56</v>
      </c>
      <c r="F28" s="27">
        <f t="shared" ref="F28:G30" si="3">+D28*6</f>
        <v>1728</v>
      </c>
      <c r="G28" s="27">
        <f t="shared" si="3"/>
        <v>1983.3600000000001</v>
      </c>
      <c r="H28" s="30"/>
      <c r="I28" s="28">
        <f>20.5*9.1</f>
        <v>186.54999999999998</v>
      </c>
      <c r="J28" s="28">
        <f>+I28*5</f>
        <v>932.74999999999989</v>
      </c>
      <c r="L28" s="42">
        <f>+F28/J28</f>
        <v>1.8525864379522918</v>
      </c>
      <c r="O28" s="19">
        <v>9</v>
      </c>
    </row>
    <row r="29" spans="1:15" ht="18.75" hidden="1" outlineLevel="1" x14ac:dyDescent="0.2">
      <c r="A29" s="29" t="s">
        <v>28</v>
      </c>
      <c r="B29" s="29"/>
      <c r="C29" s="54"/>
      <c r="D29" s="27">
        <f>+C29*O29</f>
        <v>0</v>
      </c>
      <c r="E29" s="27">
        <f>+C29*10.33</f>
        <v>0</v>
      </c>
      <c r="F29" s="27">
        <f t="shared" si="3"/>
        <v>0</v>
      </c>
      <c r="G29" s="27">
        <f t="shared" si="3"/>
        <v>0</v>
      </c>
      <c r="H29" s="30"/>
      <c r="I29" s="28">
        <f>4*9.1</f>
        <v>36.4</v>
      </c>
      <c r="J29" s="28">
        <f>+I29*5</f>
        <v>182</v>
      </c>
      <c r="L29" s="42">
        <f>+F29/J29</f>
        <v>0</v>
      </c>
      <c r="O29" s="19">
        <v>9</v>
      </c>
    </row>
    <row r="30" spans="1:15" ht="18.75" hidden="1" outlineLevel="1" x14ac:dyDescent="0.2">
      <c r="A30" s="29" t="s">
        <v>29</v>
      </c>
      <c r="B30" s="26"/>
      <c r="C30" s="54">
        <v>10</v>
      </c>
      <c r="D30" s="27">
        <f>+C30*O30</f>
        <v>90</v>
      </c>
      <c r="E30" s="27">
        <f>+C30*10.33</f>
        <v>103.3</v>
      </c>
      <c r="F30" s="27">
        <f t="shared" si="3"/>
        <v>540</v>
      </c>
      <c r="G30" s="27">
        <f t="shared" si="3"/>
        <v>619.79999999999995</v>
      </c>
      <c r="H30" s="30"/>
      <c r="I30" s="28">
        <f>16.5*9.1</f>
        <v>150.15</v>
      </c>
      <c r="J30" s="28">
        <f>+I30*5</f>
        <v>750.75</v>
      </c>
      <c r="L30" s="42">
        <f>+F30/J30</f>
        <v>0.71928071928071924</v>
      </c>
      <c r="O30" s="19">
        <v>9</v>
      </c>
    </row>
    <row r="31" spans="1:15" collapsed="1" x14ac:dyDescent="0.2">
      <c r="C31" s="51"/>
      <c r="D31" s="33"/>
      <c r="E31" s="33"/>
      <c r="F31" s="33"/>
      <c r="G31" s="33"/>
      <c r="I31" s="34"/>
      <c r="J31" s="34"/>
    </row>
    <row r="32" spans="1:15" ht="18.75" x14ac:dyDescent="0.2">
      <c r="A32" s="26" t="s">
        <v>22</v>
      </c>
      <c r="B32" s="26" t="s">
        <v>65</v>
      </c>
      <c r="C32" s="49">
        <f>SUM(C33:C34)</f>
        <v>12</v>
      </c>
      <c r="D32" s="49">
        <f>SUM(D33:D34)</f>
        <v>27</v>
      </c>
      <c r="E32" s="49">
        <f>SUM(E33:E34)</f>
        <v>30.990000000000002</v>
      </c>
      <c r="F32" s="49">
        <f>SUM(F33:F34)</f>
        <v>162</v>
      </c>
      <c r="G32" s="49">
        <f>SUM(G33:G34)</f>
        <v>185.94</v>
      </c>
      <c r="I32" s="28">
        <f>SUM(I34:I36,I24)</f>
        <v>1642.55</v>
      </c>
      <c r="J32" s="28">
        <f>SUM(J34:J36,J24)</f>
        <v>8212.75</v>
      </c>
      <c r="L32" s="42">
        <f>+F32/J32</f>
        <v>1.9725426927642994E-2</v>
      </c>
      <c r="M32" s="42">
        <f>+G32/J32</f>
        <v>2.2640406684728016E-2</v>
      </c>
      <c r="N32" s="44" t="e">
        <f>+G32/G45</f>
        <v>#DIV/0!</v>
      </c>
    </row>
    <row r="33" spans="1:15" ht="18.75" hidden="1" outlineLevel="1" x14ac:dyDescent="0.2">
      <c r="A33" s="29" t="s">
        <v>111</v>
      </c>
      <c r="B33" s="26"/>
      <c r="C33" s="54">
        <v>9</v>
      </c>
      <c r="D33" s="49"/>
      <c r="E33" s="49"/>
      <c r="F33" s="49"/>
      <c r="G33" s="49"/>
      <c r="I33" s="28"/>
      <c r="J33" s="28"/>
      <c r="L33" s="42"/>
      <c r="M33" s="42"/>
    </row>
    <row r="34" spans="1:15" ht="18.75" hidden="1" outlineLevel="1" x14ac:dyDescent="0.2">
      <c r="A34" s="29" t="s">
        <v>67</v>
      </c>
      <c r="B34" s="29"/>
      <c r="C34" s="54">
        <v>3</v>
      </c>
      <c r="D34" s="27">
        <f>+C34*O34</f>
        <v>27</v>
      </c>
      <c r="E34" s="27">
        <f>+C34*10.33</f>
        <v>30.990000000000002</v>
      </c>
      <c r="F34" s="27">
        <f>+D34*6</f>
        <v>162</v>
      </c>
      <c r="G34" s="27">
        <f>+E34*6</f>
        <v>185.94</v>
      </c>
      <c r="H34" s="30"/>
      <c r="I34" s="28">
        <f>29.5*9.1</f>
        <v>268.45</v>
      </c>
      <c r="J34" s="28">
        <f>+I34*5</f>
        <v>1342.25</v>
      </c>
      <c r="L34" s="42">
        <f>+F34/J34</f>
        <v>0.12069286645557832</v>
      </c>
      <c r="M34" s="22"/>
      <c r="O34" s="19">
        <v>9</v>
      </c>
    </row>
    <row r="35" spans="1:15" ht="21" collapsed="1" x14ac:dyDescent="0.2">
      <c r="A35" s="36" t="s">
        <v>30</v>
      </c>
      <c r="B35" s="36"/>
      <c r="C35" s="49">
        <f>SUM(C7:C10,C14:C16,C19:C20,C23:C25,C28:C30)</f>
        <v>136</v>
      </c>
      <c r="D35" s="27">
        <f>SUM(D7:D10,D14:D16,D19:D20,D23:D25,D28:D30)</f>
        <v>1224</v>
      </c>
      <c r="E35" s="27">
        <f>SUM(E7:E10,E14:E16,E19:E20,E23:E25,E28:E30)</f>
        <v>1404.8799999999999</v>
      </c>
      <c r="F35" s="27">
        <f>SUM(F7:F10,F14:F16,F19:F20,F23:F25,F28:F30)</f>
        <v>7344</v>
      </c>
      <c r="G35" s="27">
        <f>SUM(G7:G10,G14:G16,G19:G20,G23:G25,G28:G30)</f>
        <v>8429.2799999999988</v>
      </c>
      <c r="H35" s="30"/>
      <c r="I35" s="28">
        <f>SUM(I6,I18,I22,I27)</f>
        <v>1292.1999999999998</v>
      </c>
      <c r="J35" s="28">
        <f>SUM(J6,J18,J22,J27)</f>
        <v>6461</v>
      </c>
      <c r="L35" s="42">
        <f>+F35/J35</f>
        <v>1.1366661507506577</v>
      </c>
    </row>
    <row r="36" spans="1:15" x14ac:dyDescent="0.2">
      <c r="C36" s="51"/>
      <c r="D36" s="33"/>
      <c r="E36" s="33"/>
      <c r="F36" s="33"/>
      <c r="G36" s="33"/>
      <c r="I36" s="34"/>
      <c r="J36" s="34"/>
    </row>
    <row r="37" spans="1:15" ht="21" x14ac:dyDescent="0.2">
      <c r="A37" s="36" t="s">
        <v>31</v>
      </c>
      <c r="B37" s="36"/>
      <c r="C37" s="49"/>
      <c r="D37" s="37">
        <f>+D35/I35</f>
        <v>0.94722179229221493</v>
      </c>
      <c r="E37" s="37"/>
      <c r="F37" s="37">
        <f>+F35/J35</f>
        <v>1.1366661507506577</v>
      </c>
      <c r="G37" s="37"/>
      <c r="H37" s="30"/>
      <c r="I37" s="38"/>
      <c r="J37" s="38"/>
    </row>
    <row r="39" spans="1:15" x14ac:dyDescent="0.2">
      <c r="C39" s="52"/>
      <c r="D39" s="39"/>
      <c r="E39" s="39"/>
      <c r="F39" s="39"/>
    </row>
    <row r="40" spans="1:15" x14ac:dyDescent="0.2">
      <c r="A40" s="35"/>
    </row>
  </sheetData>
  <mergeCells count="2">
    <mergeCell ref="C4:G4"/>
    <mergeCell ref="I4:J4"/>
  </mergeCells>
  <pageMargins left="0" right="0" top="0" bottom="0" header="0" footer="0"/>
  <pageSetup scale="80" orientation="landscape"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3"/>
  <dimension ref="A1:AE727"/>
  <sheetViews>
    <sheetView workbookViewId="0">
      <selection activeCell="A5" sqref="A5:N727"/>
    </sheetView>
  </sheetViews>
  <sheetFormatPr defaultRowHeight="12.75" x14ac:dyDescent="0.2"/>
  <cols>
    <col min="1" max="14" width="9.7109375" customWidth="1"/>
    <col min="16" max="16" width="10.5703125" bestFit="1" customWidth="1"/>
    <col min="32" max="39" width="10.7109375" customWidth="1"/>
  </cols>
  <sheetData>
    <row r="1" spans="1:31" x14ac:dyDescent="0.2">
      <c r="A1" s="18"/>
      <c r="B1" s="18"/>
      <c r="C1" s="18"/>
      <c r="D1" s="18"/>
      <c r="AE1" s="18">
        <v>32</v>
      </c>
    </row>
    <row r="2" spans="1:31" x14ac:dyDescent="0.2">
      <c r="A2" s="18">
        <v>1</v>
      </c>
      <c r="B2" s="18">
        <v>2</v>
      </c>
      <c r="C2" s="18">
        <v>3</v>
      </c>
      <c r="D2" s="18">
        <v>4</v>
      </c>
      <c r="E2" s="18">
        <v>5</v>
      </c>
      <c r="F2" s="18">
        <v>6</v>
      </c>
      <c r="G2" s="18">
        <v>7</v>
      </c>
      <c r="H2" s="18">
        <v>8</v>
      </c>
      <c r="I2" s="18">
        <v>9</v>
      </c>
      <c r="J2" s="18">
        <v>10</v>
      </c>
      <c r="K2" s="18">
        <v>11</v>
      </c>
      <c r="L2" s="18">
        <v>12</v>
      </c>
      <c r="M2" s="18">
        <v>13</v>
      </c>
      <c r="N2" s="18">
        <v>14</v>
      </c>
      <c r="O2" s="18">
        <v>15</v>
      </c>
      <c r="P2" s="18">
        <v>16</v>
      </c>
      <c r="Q2" s="18">
        <v>17</v>
      </c>
      <c r="R2" s="18">
        <v>18</v>
      </c>
      <c r="S2" s="18">
        <v>19</v>
      </c>
      <c r="T2" s="18">
        <v>20</v>
      </c>
      <c r="U2" s="18">
        <v>21</v>
      </c>
      <c r="V2" s="18">
        <v>22</v>
      </c>
      <c r="W2" s="18">
        <v>23</v>
      </c>
    </row>
    <row r="3" spans="1:31" x14ac:dyDescent="0.2">
      <c r="P3" s="169">
        <f>SUM(P5:P1000)</f>
        <v>41.900269999999999</v>
      </c>
      <c r="Q3" s="169">
        <f t="shared" ref="Q3:W3" si="0">SUM(Q5:Q1000)</f>
        <v>81.633740999999972</v>
      </c>
      <c r="R3" s="169">
        <f t="shared" si="0"/>
        <v>2.0793200000000001</v>
      </c>
      <c r="S3" s="169">
        <f t="shared" si="0"/>
        <v>11.91667</v>
      </c>
      <c r="T3" s="169">
        <f t="shared" si="0"/>
        <v>7.6299999999999993E-2</v>
      </c>
      <c r="U3" s="169">
        <f t="shared" si="0"/>
        <v>5.3544999999999998</v>
      </c>
      <c r="V3" s="169">
        <f t="shared" si="0"/>
        <v>0.15615999999999999</v>
      </c>
      <c r="W3" s="169">
        <f t="shared" si="0"/>
        <v>0.51519999999999999</v>
      </c>
    </row>
    <row r="4" spans="1:31" ht="90" x14ac:dyDescent="0.25">
      <c r="A4" s="215" t="s">
        <v>386</v>
      </c>
      <c r="B4" s="170" t="s">
        <v>199</v>
      </c>
      <c r="C4" s="170" t="s">
        <v>200</v>
      </c>
      <c r="D4" s="170" t="s">
        <v>201</v>
      </c>
      <c r="E4" s="170" t="s">
        <v>202</v>
      </c>
      <c r="F4" s="170" t="s">
        <v>206</v>
      </c>
      <c r="G4" s="170" t="s">
        <v>50</v>
      </c>
      <c r="H4" s="170" t="s">
        <v>51</v>
      </c>
      <c r="I4" s="170" t="s">
        <v>188</v>
      </c>
      <c r="J4" s="170" t="s">
        <v>198</v>
      </c>
      <c r="K4" s="170" t="s">
        <v>203</v>
      </c>
      <c r="L4" s="170" t="s">
        <v>204</v>
      </c>
      <c r="M4" s="170" t="s">
        <v>205</v>
      </c>
      <c r="N4" s="170" t="s">
        <v>189</v>
      </c>
      <c r="P4" s="168" t="s">
        <v>199</v>
      </c>
      <c r="Q4" s="168" t="s">
        <v>200</v>
      </c>
      <c r="R4" s="168" t="s">
        <v>201</v>
      </c>
      <c r="S4" s="168" t="s">
        <v>202</v>
      </c>
      <c r="T4" s="168" t="s">
        <v>203</v>
      </c>
      <c r="U4" s="168" t="s">
        <v>204</v>
      </c>
      <c r="V4" s="168" t="s">
        <v>205</v>
      </c>
      <c r="W4" s="168" t="s">
        <v>206</v>
      </c>
    </row>
    <row r="5" spans="1:31" x14ac:dyDescent="0.2">
      <c r="A5" s="17">
        <v>3713</v>
      </c>
      <c r="B5">
        <v>0</v>
      </c>
      <c r="C5">
        <v>0</v>
      </c>
      <c r="D5">
        <v>0</v>
      </c>
      <c r="E5">
        <v>0</v>
      </c>
      <c r="F5">
        <v>0</v>
      </c>
      <c r="G5">
        <v>0</v>
      </c>
      <c r="H5">
        <v>0</v>
      </c>
      <c r="I5">
        <v>0</v>
      </c>
      <c r="J5">
        <v>0</v>
      </c>
      <c r="K5">
        <v>0</v>
      </c>
      <c r="L5">
        <v>0</v>
      </c>
      <c r="M5">
        <v>0</v>
      </c>
      <c r="N5">
        <v>0.51519999999999999</v>
      </c>
      <c r="P5" s="18">
        <f>SUM(B5,G5)</f>
        <v>0</v>
      </c>
      <c r="Q5" s="18">
        <f>SUM(C5,H5)</f>
        <v>0</v>
      </c>
      <c r="R5" s="18">
        <f>SUM(D5,I5)</f>
        <v>0</v>
      </c>
      <c r="S5" s="18">
        <f>SUM(E5,J5)</f>
        <v>0</v>
      </c>
      <c r="T5" s="18">
        <f>K5</f>
        <v>0</v>
      </c>
      <c r="U5" s="18">
        <f>L5</f>
        <v>0</v>
      </c>
      <c r="V5" s="18">
        <f>M5</f>
        <v>0</v>
      </c>
      <c r="W5" s="18">
        <f>SUM(F5,N5)</f>
        <v>0.51519999999999999</v>
      </c>
    </row>
    <row r="6" spans="1:31" x14ac:dyDescent="0.2">
      <c r="A6" s="17">
        <v>4077</v>
      </c>
      <c r="B6">
        <v>0</v>
      </c>
      <c r="C6">
        <v>0</v>
      </c>
      <c r="D6">
        <v>0</v>
      </c>
      <c r="E6">
        <v>0</v>
      </c>
      <c r="F6">
        <v>0</v>
      </c>
      <c r="G6">
        <v>0</v>
      </c>
      <c r="H6">
        <v>0</v>
      </c>
      <c r="I6">
        <v>0</v>
      </c>
      <c r="J6">
        <v>0</v>
      </c>
      <c r="K6">
        <v>0</v>
      </c>
      <c r="L6">
        <v>0</v>
      </c>
      <c r="M6">
        <v>0</v>
      </c>
      <c r="N6">
        <v>0</v>
      </c>
      <c r="P6" s="18">
        <f t="shared" ref="P6:P69" si="1">SUM(B6,G6)</f>
        <v>0</v>
      </c>
      <c r="Q6" s="18">
        <f t="shared" ref="Q6:Q69" si="2">SUM(C6,H6)</f>
        <v>0</v>
      </c>
      <c r="R6" s="18">
        <f t="shared" ref="R6:R69" si="3">SUM(D6,I6)</f>
        <v>0</v>
      </c>
      <c r="S6" s="18">
        <f t="shared" ref="S6:S69" si="4">SUM(E6,J6)</f>
        <v>0</v>
      </c>
      <c r="T6" s="18">
        <f t="shared" ref="T6:T69" si="5">K6</f>
        <v>0</v>
      </c>
      <c r="U6" s="18">
        <f t="shared" ref="U6:U69" si="6">L6</f>
        <v>0</v>
      </c>
      <c r="V6" s="18">
        <f t="shared" ref="V6:V69" si="7">M6</f>
        <v>0</v>
      </c>
      <c r="W6" s="18">
        <f t="shared" ref="W6:W69" si="8">SUM(F6,N6)</f>
        <v>0</v>
      </c>
    </row>
    <row r="7" spans="1:31" x14ac:dyDescent="0.2">
      <c r="A7" s="17">
        <v>4079</v>
      </c>
      <c r="B7">
        <v>0</v>
      </c>
      <c r="C7">
        <v>0</v>
      </c>
      <c r="D7">
        <v>0</v>
      </c>
      <c r="E7">
        <v>0</v>
      </c>
      <c r="F7">
        <v>0</v>
      </c>
      <c r="G7">
        <v>0</v>
      </c>
      <c r="H7">
        <v>0</v>
      </c>
      <c r="I7">
        <v>0</v>
      </c>
      <c r="J7">
        <v>0</v>
      </c>
      <c r="K7">
        <v>0</v>
      </c>
      <c r="L7">
        <v>0</v>
      </c>
      <c r="M7">
        <v>0</v>
      </c>
      <c r="N7">
        <v>0</v>
      </c>
      <c r="P7" s="18">
        <f t="shared" si="1"/>
        <v>0</v>
      </c>
      <c r="Q7" s="18">
        <f t="shared" si="2"/>
        <v>0</v>
      </c>
      <c r="R7" s="18">
        <f t="shared" si="3"/>
        <v>0</v>
      </c>
      <c r="S7" s="18">
        <f t="shared" si="4"/>
        <v>0</v>
      </c>
      <c r="T7" s="18">
        <f t="shared" si="5"/>
        <v>0</v>
      </c>
      <c r="U7" s="18">
        <f t="shared" si="6"/>
        <v>0</v>
      </c>
      <c r="V7" s="18">
        <f t="shared" si="7"/>
        <v>0</v>
      </c>
      <c r="W7" s="18">
        <f t="shared" si="8"/>
        <v>0</v>
      </c>
    </row>
    <row r="8" spans="1:31" x14ac:dyDescent="0.2">
      <c r="A8" s="17">
        <v>4129</v>
      </c>
      <c r="B8">
        <v>0</v>
      </c>
      <c r="C8">
        <v>0</v>
      </c>
      <c r="D8">
        <v>0</v>
      </c>
      <c r="E8">
        <v>0</v>
      </c>
      <c r="F8">
        <v>0</v>
      </c>
      <c r="G8">
        <v>0</v>
      </c>
      <c r="H8">
        <v>0</v>
      </c>
      <c r="I8">
        <v>0</v>
      </c>
      <c r="J8">
        <v>0</v>
      </c>
      <c r="K8">
        <v>0</v>
      </c>
      <c r="L8">
        <v>0</v>
      </c>
      <c r="M8">
        <v>0</v>
      </c>
      <c r="N8">
        <v>0</v>
      </c>
      <c r="P8" s="18">
        <f t="shared" si="1"/>
        <v>0</v>
      </c>
      <c r="Q8" s="18">
        <f t="shared" si="2"/>
        <v>0</v>
      </c>
      <c r="R8" s="18">
        <f t="shared" si="3"/>
        <v>0</v>
      </c>
      <c r="S8" s="18">
        <f t="shared" si="4"/>
        <v>0</v>
      </c>
      <c r="T8" s="18">
        <f t="shared" si="5"/>
        <v>0</v>
      </c>
      <c r="U8" s="18">
        <f t="shared" si="6"/>
        <v>0</v>
      </c>
      <c r="V8" s="18">
        <f t="shared" si="7"/>
        <v>0</v>
      </c>
      <c r="W8" s="18">
        <f t="shared" si="8"/>
        <v>0</v>
      </c>
    </row>
    <row r="9" spans="1:31" x14ac:dyDescent="0.2">
      <c r="A9" s="17">
        <v>4150</v>
      </c>
      <c r="B9">
        <v>0</v>
      </c>
      <c r="C9">
        <v>0</v>
      </c>
      <c r="D9">
        <v>0</v>
      </c>
      <c r="E9">
        <v>0</v>
      </c>
      <c r="F9">
        <v>0</v>
      </c>
      <c r="G9">
        <v>0</v>
      </c>
      <c r="H9">
        <v>0</v>
      </c>
      <c r="I9">
        <v>0</v>
      </c>
      <c r="J9">
        <v>0</v>
      </c>
      <c r="K9">
        <v>0</v>
      </c>
      <c r="L9">
        <v>0</v>
      </c>
      <c r="M9">
        <v>0</v>
      </c>
      <c r="N9">
        <v>0</v>
      </c>
      <c r="P9" s="18">
        <f t="shared" si="1"/>
        <v>0</v>
      </c>
      <c r="Q9" s="18">
        <f t="shared" si="2"/>
        <v>0</v>
      </c>
      <c r="R9" s="18">
        <f t="shared" si="3"/>
        <v>0</v>
      </c>
      <c r="S9" s="18">
        <f t="shared" si="4"/>
        <v>0</v>
      </c>
      <c r="T9" s="18">
        <f t="shared" si="5"/>
        <v>0</v>
      </c>
      <c r="U9" s="18">
        <f t="shared" si="6"/>
        <v>0</v>
      </c>
      <c r="V9" s="18">
        <f t="shared" si="7"/>
        <v>0</v>
      </c>
      <c r="W9" s="18">
        <f t="shared" si="8"/>
        <v>0</v>
      </c>
    </row>
    <row r="10" spans="1:31" x14ac:dyDescent="0.2">
      <c r="A10" s="17">
        <v>4178</v>
      </c>
      <c r="B10">
        <v>0</v>
      </c>
      <c r="C10">
        <v>0</v>
      </c>
      <c r="D10">
        <v>0</v>
      </c>
      <c r="E10">
        <v>0</v>
      </c>
      <c r="F10">
        <v>0</v>
      </c>
      <c r="G10">
        <v>0</v>
      </c>
      <c r="H10">
        <v>0</v>
      </c>
      <c r="I10">
        <v>0</v>
      </c>
      <c r="J10">
        <v>0</v>
      </c>
      <c r="K10">
        <v>0</v>
      </c>
      <c r="L10">
        <v>0</v>
      </c>
      <c r="M10">
        <v>0</v>
      </c>
      <c r="N10">
        <v>0</v>
      </c>
      <c r="P10" s="18">
        <f t="shared" si="1"/>
        <v>0</v>
      </c>
      <c r="Q10" s="18">
        <f t="shared" si="2"/>
        <v>0</v>
      </c>
      <c r="R10" s="18">
        <f t="shared" si="3"/>
        <v>0</v>
      </c>
      <c r="S10" s="18">
        <f t="shared" si="4"/>
        <v>0</v>
      </c>
      <c r="T10" s="18">
        <f t="shared" si="5"/>
        <v>0</v>
      </c>
      <c r="U10" s="18">
        <f t="shared" si="6"/>
        <v>0</v>
      </c>
      <c r="V10" s="18">
        <f t="shared" si="7"/>
        <v>0</v>
      </c>
      <c r="W10" s="18">
        <f t="shared" si="8"/>
        <v>0</v>
      </c>
    </row>
    <row r="11" spans="1:31" x14ac:dyDescent="0.2">
      <c r="A11" s="17">
        <v>4235</v>
      </c>
      <c r="B11">
        <v>0</v>
      </c>
      <c r="C11">
        <v>0</v>
      </c>
      <c r="D11">
        <v>0</v>
      </c>
      <c r="E11">
        <v>0</v>
      </c>
      <c r="F11">
        <v>0</v>
      </c>
      <c r="G11">
        <v>0</v>
      </c>
      <c r="H11">
        <v>0</v>
      </c>
      <c r="I11">
        <v>0</v>
      </c>
      <c r="J11">
        <v>0</v>
      </c>
      <c r="K11">
        <v>0</v>
      </c>
      <c r="L11">
        <v>0</v>
      </c>
      <c r="M11">
        <v>0</v>
      </c>
      <c r="N11">
        <v>0</v>
      </c>
      <c r="P11" s="18">
        <f t="shared" si="1"/>
        <v>0</v>
      </c>
      <c r="Q11" s="18">
        <f t="shared" si="2"/>
        <v>0</v>
      </c>
      <c r="R11" s="18">
        <f t="shared" si="3"/>
        <v>0</v>
      </c>
      <c r="S11" s="18">
        <f t="shared" si="4"/>
        <v>0</v>
      </c>
      <c r="T11" s="18">
        <f t="shared" si="5"/>
        <v>0</v>
      </c>
      <c r="U11" s="18">
        <f t="shared" si="6"/>
        <v>0</v>
      </c>
      <c r="V11" s="18">
        <f t="shared" si="7"/>
        <v>0</v>
      </c>
      <c r="W11" s="18">
        <f t="shared" si="8"/>
        <v>0</v>
      </c>
    </row>
    <row r="12" spans="1:31" x14ac:dyDescent="0.2">
      <c r="A12" s="17">
        <v>4267</v>
      </c>
      <c r="B12">
        <v>0</v>
      </c>
      <c r="C12">
        <v>0</v>
      </c>
      <c r="D12">
        <v>0</v>
      </c>
      <c r="E12">
        <v>0</v>
      </c>
      <c r="F12">
        <v>0</v>
      </c>
      <c r="G12">
        <v>0.15129999999999999</v>
      </c>
      <c r="H12">
        <v>0.17149999999999999</v>
      </c>
      <c r="I12">
        <v>0</v>
      </c>
      <c r="J12">
        <v>0</v>
      </c>
      <c r="K12">
        <v>0</v>
      </c>
      <c r="L12">
        <v>0</v>
      </c>
      <c r="M12">
        <v>4.0000000000000002E-4</v>
      </c>
      <c r="N12">
        <v>0</v>
      </c>
      <c r="P12" s="18">
        <f t="shared" si="1"/>
        <v>0.15129999999999999</v>
      </c>
      <c r="Q12" s="18">
        <f t="shared" si="2"/>
        <v>0.17149999999999999</v>
      </c>
      <c r="R12" s="18">
        <f t="shared" si="3"/>
        <v>0</v>
      </c>
      <c r="S12" s="18">
        <f t="shared" si="4"/>
        <v>0</v>
      </c>
      <c r="T12" s="18">
        <f t="shared" si="5"/>
        <v>0</v>
      </c>
      <c r="U12" s="18">
        <f t="shared" si="6"/>
        <v>0</v>
      </c>
      <c r="V12" s="18">
        <f t="shared" si="7"/>
        <v>4.0000000000000002E-4</v>
      </c>
      <c r="W12" s="18">
        <f t="shared" si="8"/>
        <v>0</v>
      </c>
    </row>
    <row r="13" spans="1:31" x14ac:dyDescent="0.2">
      <c r="A13" s="17">
        <v>4441</v>
      </c>
      <c r="B13">
        <v>0</v>
      </c>
      <c r="C13">
        <v>0</v>
      </c>
      <c r="D13">
        <v>0</v>
      </c>
      <c r="E13">
        <v>0</v>
      </c>
      <c r="F13">
        <v>0</v>
      </c>
      <c r="G13">
        <v>0</v>
      </c>
      <c r="H13">
        <v>0</v>
      </c>
      <c r="I13">
        <v>0</v>
      </c>
      <c r="J13">
        <v>0</v>
      </c>
      <c r="K13">
        <v>0</v>
      </c>
      <c r="L13">
        <v>0</v>
      </c>
      <c r="M13">
        <v>0</v>
      </c>
      <c r="N13">
        <v>0</v>
      </c>
      <c r="P13" s="18">
        <f t="shared" si="1"/>
        <v>0</v>
      </c>
      <c r="Q13" s="18">
        <f t="shared" si="2"/>
        <v>0</v>
      </c>
      <c r="R13" s="18">
        <f t="shared" si="3"/>
        <v>0</v>
      </c>
      <c r="S13" s="18">
        <f t="shared" si="4"/>
        <v>0</v>
      </c>
      <c r="T13" s="18">
        <f t="shared" si="5"/>
        <v>0</v>
      </c>
      <c r="U13" s="18">
        <f t="shared" si="6"/>
        <v>0</v>
      </c>
      <c r="V13" s="18">
        <f t="shared" si="7"/>
        <v>0</v>
      </c>
      <c r="W13" s="18">
        <f t="shared" si="8"/>
        <v>0</v>
      </c>
    </row>
    <row r="14" spans="1:31" x14ac:dyDescent="0.2">
      <c r="A14" s="17">
        <v>4556</v>
      </c>
      <c r="B14">
        <v>0</v>
      </c>
      <c r="C14">
        <v>0</v>
      </c>
      <c r="D14">
        <v>0</v>
      </c>
      <c r="E14">
        <v>0</v>
      </c>
      <c r="F14">
        <v>0</v>
      </c>
      <c r="G14">
        <v>0</v>
      </c>
      <c r="H14">
        <v>0</v>
      </c>
      <c r="I14">
        <v>0</v>
      </c>
      <c r="J14">
        <v>0</v>
      </c>
      <c r="K14">
        <v>0</v>
      </c>
      <c r="L14">
        <v>0</v>
      </c>
      <c r="M14">
        <v>0</v>
      </c>
      <c r="N14">
        <v>0</v>
      </c>
      <c r="P14" s="18">
        <f t="shared" si="1"/>
        <v>0</v>
      </c>
      <c r="Q14" s="18">
        <f t="shared" si="2"/>
        <v>0</v>
      </c>
      <c r="R14" s="18">
        <f t="shared" si="3"/>
        <v>0</v>
      </c>
      <c r="S14" s="18">
        <f t="shared" si="4"/>
        <v>0</v>
      </c>
      <c r="T14" s="18">
        <f t="shared" si="5"/>
        <v>0</v>
      </c>
      <c r="U14" s="18">
        <f t="shared" si="6"/>
        <v>0</v>
      </c>
      <c r="V14" s="18">
        <f t="shared" si="7"/>
        <v>0</v>
      </c>
      <c r="W14" s="18">
        <f t="shared" si="8"/>
        <v>0</v>
      </c>
    </row>
    <row r="15" spans="1:31" x14ac:dyDescent="0.2">
      <c r="A15" s="17">
        <v>4603</v>
      </c>
      <c r="B15">
        <v>0</v>
      </c>
      <c r="C15">
        <v>0</v>
      </c>
      <c r="D15">
        <v>0</v>
      </c>
      <c r="E15">
        <v>0</v>
      </c>
      <c r="F15">
        <v>0</v>
      </c>
      <c r="G15">
        <v>0</v>
      </c>
      <c r="H15">
        <v>0</v>
      </c>
      <c r="I15">
        <v>0</v>
      </c>
      <c r="J15">
        <v>0</v>
      </c>
      <c r="K15">
        <v>0</v>
      </c>
      <c r="L15">
        <v>0</v>
      </c>
      <c r="M15">
        <v>0</v>
      </c>
      <c r="N15">
        <v>0</v>
      </c>
      <c r="P15" s="18">
        <f t="shared" si="1"/>
        <v>0</v>
      </c>
      <c r="Q15" s="18">
        <f t="shared" si="2"/>
        <v>0</v>
      </c>
      <c r="R15" s="18">
        <f t="shared" si="3"/>
        <v>0</v>
      </c>
      <c r="S15" s="18">
        <f t="shared" si="4"/>
        <v>0</v>
      </c>
      <c r="T15" s="18">
        <f t="shared" si="5"/>
        <v>0</v>
      </c>
      <c r="U15" s="18">
        <f t="shared" si="6"/>
        <v>0</v>
      </c>
      <c r="V15" s="18">
        <f t="shared" si="7"/>
        <v>0</v>
      </c>
      <c r="W15" s="18">
        <f t="shared" si="8"/>
        <v>0</v>
      </c>
    </row>
    <row r="16" spans="1:31" x14ac:dyDescent="0.2">
      <c r="A16" s="17">
        <v>4605</v>
      </c>
      <c r="B16">
        <v>0</v>
      </c>
      <c r="C16">
        <v>0</v>
      </c>
      <c r="D16">
        <v>0</v>
      </c>
      <c r="E16">
        <v>0</v>
      </c>
      <c r="F16">
        <v>0</v>
      </c>
      <c r="G16">
        <v>0</v>
      </c>
      <c r="H16">
        <v>0</v>
      </c>
      <c r="I16">
        <v>0</v>
      </c>
      <c r="J16">
        <v>0</v>
      </c>
      <c r="K16">
        <v>0</v>
      </c>
      <c r="L16">
        <v>0</v>
      </c>
      <c r="M16">
        <v>0</v>
      </c>
      <c r="N16">
        <v>0</v>
      </c>
      <c r="P16" s="18">
        <f t="shared" si="1"/>
        <v>0</v>
      </c>
      <c r="Q16" s="18">
        <f t="shared" si="2"/>
        <v>0</v>
      </c>
      <c r="R16" s="18">
        <f t="shared" si="3"/>
        <v>0</v>
      </c>
      <c r="S16" s="18">
        <f t="shared" si="4"/>
        <v>0</v>
      </c>
      <c r="T16" s="18">
        <f t="shared" si="5"/>
        <v>0</v>
      </c>
      <c r="U16" s="18">
        <f t="shared" si="6"/>
        <v>0</v>
      </c>
      <c r="V16" s="18">
        <f t="shared" si="7"/>
        <v>0</v>
      </c>
      <c r="W16" s="18">
        <f t="shared" si="8"/>
        <v>0</v>
      </c>
    </row>
    <row r="17" spans="1:23" x14ac:dyDescent="0.2">
      <c r="A17" s="17">
        <v>4606</v>
      </c>
      <c r="B17">
        <v>0</v>
      </c>
      <c r="C17">
        <v>0</v>
      </c>
      <c r="D17">
        <v>0</v>
      </c>
      <c r="E17">
        <v>0</v>
      </c>
      <c r="F17">
        <v>0</v>
      </c>
      <c r="G17">
        <v>0</v>
      </c>
      <c r="H17">
        <v>0</v>
      </c>
      <c r="I17">
        <v>0</v>
      </c>
      <c r="J17">
        <v>0</v>
      </c>
      <c r="K17">
        <v>0</v>
      </c>
      <c r="L17">
        <v>0</v>
      </c>
      <c r="M17">
        <v>0</v>
      </c>
      <c r="N17">
        <v>0</v>
      </c>
      <c r="P17" s="18">
        <f t="shared" si="1"/>
        <v>0</v>
      </c>
      <c r="Q17" s="18">
        <f t="shared" si="2"/>
        <v>0</v>
      </c>
      <c r="R17" s="18">
        <f t="shared" si="3"/>
        <v>0</v>
      </c>
      <c r="S17" s="18">
        <f t="shared" si="4"/>
        <v>0</v>
      </c>
      <c r="T17" s="18">
        <f t="shared" si="5"/>
        <v>0</v>
      </c>
      <c r="U17" s="18">
        <f t="shared" si="6"/>
        <v>0</v>
      </c>
      <c r="V17" s="18">
        <f t="shared" si="7"/>
        <v>0</v>
      </c>
      <c r="W17" s="18">
        <f t="shared" si="8"/>
        <v>0</v>
      </c>
    </row>
    <row r="18" spans="1:23" x14ac:dyDescent="0.2">
      <c r="A18" s="17">
        <v>4645</v>
      </c>
      <c r="B18">
        <v>0</v>
      </c>
      <c r="C18">
        <v>0</v>
      </c>
      <c r="D18">
        <v>0</v>
      </c>
      <c r="E18">
        <v>0</v>
      </c>
      <c r="F18">
        <v>0</v>
      </c>
      <c r="G18">
        <v>0</v>
      </c>
      <c r="H18">
        <v>0</v>
      </c>
      <c r="I18">
        <v>0</v>
      </c>
      <c r="J18">
        <v>0</v>
      </c>
      <c r="K18">
        <v>0</v>
      </c>
      <c r="L18">
        <v>0</v>
      </c>
      <c r="M18">
        <v>0</v>
      </c>
      <c r="N18">
        <v>0</v>
      </c>
      <c r="P18" s="18">
        <f t="shared" si="1"/>
        <v>0</v>
      </c>
      <c r="Q18" s="18">
        <f t="shared" si="2"/>
        <v>0</v>
      </c>
      <c r="R18" s="18">
        <f t="shared" si="3"/>
        <v>0</v>
      </c>
      <c r="S18" s="18">
        <f t="shared" si="4"/>
        <v>0</v>
      </c>
      <c r="T18" s="18">
        <f t="shared" si="5"/>
        <v>0</v>
      </c>
      <c r="U18" s="18">
        <f t="shared" si="6"/>
        <v>0</v>
      </c>
      <c r="V18" s="18">
        <f t="shared" si="7"/>
        <v>0</v>
      </c>
      <c r="W18" s="18">
        <f t="shared" si="8"/>
        <v>0</v>
      </c>
    </row>
    <row r="19" spans="1:23" x14ac:dyDescent="0.2">
      <c r="A19" s="17">
        <v>4767</v>
      </c>
      <c r="B19">
        <v>0</v>
      </c>
      <c r="C19">
        <v>0</v>
      </c>
      <c r="D19">
        <v>0</v>
      </c>
      <c r="E19">
        <v>0</v>
      </c>
      <c r="F19">
        <v>0</v>
      </c>
      <c r="G19">
        <v>0</v>
      </c>
      <c r="H19">
        <v>0</v>
      </c>
      <c r="I19">
        <v>0</v>
      </c>
      <c r="J19">
        <v>0</v>
      </c>
      <c r="K19">
        <v>0</v>
      </c>
      <c r="L19">
        <v>0</v>
      </c>
      <c r="M19">
        <v>0</v>
      </c>
      <c r="N19">
        <v>0</v>
      </c>
      <c r="P19" s="18">
        <f t="shared" si="1"/>
        <v>0</v>
      </c>
      <c r="Q19" s="18">
        <f t="shared" si="2"/>
        <v>0</v>
      </c>
      <c r="R19" s="18">
        <f t="shared" si="3"/>
        <v>0</v>
      </c>
      <c r="S19" s="18">
        <f t="shared" si="4"/>
        <v>0</v>
      </c>
      <c r="T19" s="18">
        <f t="shared" si="5"/>
        <v>0</v>
      </c>
      <c r="U19" s="18">
        <f t="shared" si="6"/>
        <v>0</v>
      </c>
      <c r="V19" s="18">
        <f t="shared" si="7"/>
        <v>0</v>
      </c>
      <c r="W19" s="18">
        <f t="shared" si="8"/>
        <v>0</v>
      </c>
    </row>
    <row r="20" spans="1:23" x14ac:dyDescent="0.2">
      <c r="A20" s="17">
        <v>4781</v>
      </c>
      <c r="B20">
        <v>0</v>
      </c>
      <c r="C20">
        <v>0</v>
      </c>
      <c r="D20">
        <v>0</v>
      </c>
      <c r="E20">
        <v>0</v>
      </c>
      <c r="F20">
        <v>0</v>
      </c>
      <c r="G20">
        <v>3.6117499999999998</v>
      </c>
      <c r="H20">
        <v>0.34109999999999996</v>
      </c>
      <c r="I20">
        <v>0</v>
      </c>
      <c r="J20">
        <v>0</v>
      </c>
      <c r="K20">
        <v>0</v>
      </c>
      <c r="L20">
        <v>0</v>
      </c>
      <c r="M20">
        <v>0</v>
      </c>
      <c r="N20">
        <v>0</v>
      </c>
      <c r="P20" s="18">
        <f t="shared" si="1"/>
        <v>3.6117499999999998</v>
      </c>
      <c r="Q20" s="18">
        <f t="shared" si="2"/>
        <v>0.34109999999999996</v>
      </c>
      <c r="R20" s="18">
        <f t="shared" si="3"/>
        <v>0</v>
      </c>
      <c r="S20" s="18">
        <f t="shared" si="4"/>
        <v>0</v>
      </c>
      <c r="T20" s="18">
        <f t="shared" si="5"/>
        <v>0</v>
      </c>
      <c r="U20" s="18">
        <f t="shared" si="6"/>
        <v>0</v>
      </c>
      <c r="V20" s="18">
        <f t="shared" si="7"/>
        <v>0</v>
      </c>
      <c r="W20" s="18">
        <f t="shared" si="8"/>
        <v>0</v>
      </c>
    </row>
    <row r="21" spans="1:23" x14ac:dyDescent="0.2">
      <c r="A21" s="17">
        <v>4804</v>
      </c>
      <c r="B21">
        <v>0</v>
      </c>
      <c r="C21">
        <v>0</v>
      </c>
      <c r="D21">
        <v>0</v>
      </c>
      <c r="E21">
        <v>0</v>
      </c>
      <c r="F21">
        <v>0</v>
      </c>
      <c r="G21">
        <v>1.1999999999999999E-3</v>
      </c>
      <c r="H21">
        <v>1.1999999999999999E-3</v>
      </c>
      <c r="I21">
        <v>0</v>
      </c>
      <c r="J21">
        <v>0</v>
      </c>
      <c r="K21">
        <v>0</v>
      </c>
      <c r="L21">
        <v>0</v>
      </c>
      <c r="M21">
        <v>0</v>
      </c>
      <c r="N21">
        <v>0</v>
      </c>
      <c r="P21" s="18">
        <f t="shared" si="1"/>
        <v>1.1999999999999999E-3</v>
      </c>
      <c r="Q21" s="18">
        <f t="shared" si="2"/>
        <v>1.1999999999999999E-3</v>
      </c>
      <c r="R21" s="18">
        <f t="shared" si="3"/>
        <v>0</v>
      </c>
      <c r="S21" s="18">
        <f t="shared" si="4"/>
        <v>0</v>
      </c>
      <c r="T21" s="18">
        <f t="shared" si="5"/>
        <v>0</v>
      </c>
      <c r="U21" s="18">
        <f t="shared" si="6"/>
        <v>0</v>
      </c>
      <c r="V21" s="18">
        <f t="shared" si="7"/>
        <v>0</v>
      </c>
      <c r="W21" s="18">
        <f t="shared" si="8"/>
        <v>0</v>
      </c>
    </row>
    <row r="22" spans="1:23" x14ac:dyDescent="0.2">
      <c r="A22" s="17">
        <v>4834</v>
      </c>
      <c r="B22">
        <v>0</v>
      </c>
      <c r="C22">
        <v>0</v>
      </c>
      <c r="D22">
        <v>0</v>
      </c>
      <c r="E22">
        <v>0</v>
      </c>
      <c r="F22">
        <v>0</v>
      </c>
      <c r="G22">
        <v>0</v>
      </c>
      <c r="H22">
        <v>0</v>
      </c>
      <c r="I22">
        <v>0</v>
      </c>
      <c r="J22">
        <v>0</v>
      </c>
      <c r="K22">
        <v>0</v>
      </c>
      <c r="L22">
        <v>0</v>
      </c>
      <c r="M22">
        <v>0</v>
      </c>
      <c r="N22">
        <v>0</v>
      </c>
      <c r="P22" s="18">
        <f t="shared" si="1"/>
        <v>0</v>
      </c>
      <c r="Q22" s="18">
        <f t="shared" si="2"/>
        <v>0</v>
      </c>
      <c r="R22" s="18">
        <f t="shared" si="3"/>
        <v>0</v>
      </c>
      <c r="S22" s="18">
        <f t="shared" si="4"/>
        <v>0</v>
      </c>
      <c r="T22" s="18">
        <f t="shared" si="5"/>
        <v>0</v>
      </c>
      <c r="U22" s="18">
        <f t="shared" si="6"/>
        <v>0</v>
      </c>
      <c r="V22" s="18">
        <f t="shared" si="7"/>
        <v>0</v>
      </c>
      <c r="W22" s="18">
        <f t="shared" si="8"/>
        <v>0</v>
      </c>
    </row>
    <row r="23" spans="1:23" x14ac:dyDescent="0.2">
      <c r="A23" s="17">
        <v>4849</v>
      </c>
      <c r="B23">
        <v>0</v>
      </c>
      <c r="C23">
        <v>0</v>
      </c>
      <c r="D23">
        <v>0</v>
      </c>
      <c r="E23">
        <v>0</v>
      </c>
      <c r="F23">
        <v>0</v>
      </c>
      <c r="G23">
        <v>0</v>
      </c>
      <c r="H23">
        <v>0</v>
      </c>
      <c r="I23">
        <v>0</v>
      </c>
      <c r="J23">
        <v>0</v>
      </c>
      <c r="K23">
        <v>0</v>
      </c>
      <c r="L23">
        <v>0</v>
      </c>
      <c r="M23">
        <v>0</v>
      </c>
      <c r="N23">
        <v>0</v>
      </c>
      <c r="P23" s="18">
        <f t="shared" si="1"/>
        <v>0</v>
      </c>
      <c r="Q23" s="18">
        <f t="shared" si="2"/>
        <v>0</v>
      </c>
      <c r="R23" s="18">
        <f t="shared" si="3"/>
        <v>0</v>
      </c>
      <c r="S23" s="18">
        <f t="shared" si="4"/>
        <v>0</v>
      </c>
      <c r="T23" s="18">
        <f t="shared" si="5"/>
        <v>0</v>
      </c>
      <c r="U23" s="18">
        <f t="shared" si="6"/>
        <v>0</v>
      </c>
      <c r="V23" s="18">
        <f t="shared" si="7"/>
        <v>0</v>
      </c>
      <c r="W23" s="18">
        <f t="shared" si="8"/>
        <v>0</v>
      </c>
    </row>
    <row r="24" spans="1:23" x14ac:dyDescent="0.2">
      <c r="A24" s="17">
        <v>4850</v>
      </c>
      <c r="B24">
        <v>0</v>
      </c>
      <c r="C24">
        <v>0</v>
      </c>
      <c r="D24">
        <v>0</v>
      </c>
      <c r="E24">
        <v>0</v>
      </c>
      <c r="F24">
        <v>0</v>
      </c>
      <c r="G24">
        <v>0</v>
      </c>
      <c r="H24">
        <v>0</v>
      </c>
      <c r="I24">
        <v>0</v>
      </c>
      <c r="J24">
        <v>0</v>
      </c>
      <c r="K24">
        <v>0</v>
      </c>
      <c r="L24">
        <v>0</v>
      </c>
      <c r="M24">
        <v>0</v>
      </c>
      <c r="N24">
        <v>0</v>
      </c>
      <c r="P24" s="18">
        <f t="shared" si="1"/>
        <v>0</v>
      </c>
      <c r="Q24" s="18">
        <f t="shared" si="2"/>
        <v>0</v>
      </c>
      <c r="R24" s="18">
        <f t="shared" si="3"/>
        <v>0</v>
      </c>
      <c r="S24" s="18">
        <f t="shared" si="4"/>
        <v>0</v>
      </c>
      <c r="T24" s="18">
        <f t="shared" si="5"/>
        <v>0</v>
      </c>
      <c r="U24" s="18">
        <f t="shared" si="6"/>
        <v>0</v>
      </c>
      <c r="V24" s="18">
        <f t="shared" si="7"/>
        <v>0</v>
      </c>
      <c r="W24" s="18">
        <f t="shared" si="8"/>
        <v>0</v>
      </c>
    </row>
    <row r="25" spans="1:23" x14ac:dyDescent="0.2">
      <c r="A25" s="17">
        <v>4852</v>
      </c>
      <c r="B25">
        <v>0</v>
      </c>
      <c r="C25">
        <v>0</v>
      </c>
      <c r="D25">
        <v>0</v>
      </c>
      <c r="E25">
        <v>0</v>
      </c>
      <c r="F25">
        <v>0</v>
      </c>
      <c r="G25">
        <v>0</v>
      </c>
      <c r="H25">
        <v>0</v>
      </c>
      <c r="I25">
        <v>0</v>
      </c>
      <c r="J25">
        <v>0</v>
      </c>
      <c r="K25">
        <v>0</v>
      </c>
      <c r="L25">
        <v>0</v>
      </c>
      <c r="M25">
        <v>0</v>
      </c>
      <c r="N25">
        <v>0</v>
      </c>
      <c r="P25" s="18">
        <f t="shared" si="1"/>
        <v>0</v>
      </c>
      <c r="Q25" s="18">
        <f t="shared" si="2"/>
        <v>0</v>
      </c>
      <c r="R25" s="18">
        <f t="shared" si="3"/>
        <v>0</v>
      </c>
      <c r="S25" s="18">
        <f t="shared" si="4"/>
        <v>0</v>
      </c>
      <c r="T25" s="18">
        <f t="shared" si="5"/>
        <v>0</v>
      </c>
      <c r="U25" s="18">
        <f t="shared" si="6"/>
        <v>0</v>
      </c>
      <c r="V25" s="18">
        <f t="shared" si="7"/>
        <v>0</v>
      </c>
      <c r="W25" s="18">
        <f t="shared" si="8"/>
        <v>0</v>
      </c>
    </row>
    <row r="26" spans="1:23" x14ac:dyDescent="0.2">
      <c r="A26" s="17">
        <v>4865</v>
      </c>
      <c r="B26">
        <v>0</v>
      </c>
      <c r="C26">
        <v>0</v>
      </c>
      <c r="D26">
        <v>0</v>
      </c>
      <c r="E26">
        <v>0</v>
      </c>
      <c r="F26">
        <v>0</v>
      </c>
      <c r="G26">
        <v>0</v>
      </c>
      <c r="H26">
        <v>0</v>
      </c>
      <c r="I26">
        <v>0</v>
      </c>
      <c r="J26">
        <v>0</v>
      </c>
      <c r="K26">
        <v>0</v>
      </c>
      <c r="L26">
        <v>0</v>
      </c>
      <c r="M26">
        <v>0</v>
      </c>
      <c r="N26">
        <v>0</v>
      </c>
      <c r="P26" s="18">
        <f t="shared" si="1"/>
        <v>0</v>
      </c>
      <c r="Q26" s="18">
        <f t="shared" si="2"/>
        <v>0</v>
      </c>
      <c r="R26" s="18">
        <f t="shared" si="3"/>
        <v>0</v>
      </c>
      <c r="S26" s="18">
        <f t="shared" si="4"/>
        <v>0</v>
      </c>
      <c r="T26" s="18">
        <f t="shared" si="5"/>
        <v>0</v>
      </c>
      <c r="U26" s="18">
        <f t="shared" si="6"/>
        <v>0</v>
      </c>
      <c r="V26" s="18">
        <f t="shared" si="7"/>
        <v>0</v>
      </c>
      <c r="W26" s="18">
        <f t="shared" si="8"/>
        <v>0</v>
      </c>
    </row>
    <row r="27" spans="1:23" x14ac:dyDescent="0.2">
      <c r="A27" s="17">
        <v>4943</v>
      </c>
      <c r="B27">
        <v>0</v>
      </c>
      <c r="C27">
        <v>0</v>
      </c>
      <c r="D27">
        <v>0</v>
      </c>
      <c r="E27">
        <v>0</v>
      </c>
      <c r="F27">
        <v>0</v>
      </c>
      <c r="G27">
        <v>0</v>
      </c>
      <c r="H27">
        <v>0</v>
      </c>
      <c r="I27">
        <v>0</v>
      </c>
      <c r="J27">
        <v>0</v>
      </c>
      <c r="K27">
        <v>0</v>
      </c>
      <c r="L27">
        <v>0</v>
      </c>
      <c r="M27">
        <v>0</v>
      </c>
      <c r="N27">
        <v>0</v>
      </c>
      <c r="P27" s="18">
        <f t="shared" si="1"/>
        <v>0</v>
      </c>
      <c r="Q27" s="18">
        <f t="shared" si="2"/>
        <v>0</v>
      </c>
      <c r="R27" s="18">
        <f t="shared" si="3"/>
        <v>0</v>
      </c>
      <c r="S27" s="18">
        <f t="shared" si="4"/>
        <v>0</v>
      </c>
      <c r="T27" s="18">
        <f t="shared" si="5"/>
        <v>0</v>
      </c>
      <c r="U27" s="18">
        <f t="shared" si="6"/>
        <v>0</v>
      </c>
      <c r="V27" s="18">
        <f t="shared" si="7"/>
        <v>0</v>
      </c>
      <c r="W27" s="18">
        <f t="shared" si="8"/>
        <v>0</v>
      </c>
    </row>
    <row r="28" spans="1:23" x14ac:dyDescent="0.2">
      <c r="A28" s="17">
        <v>4969</v>
      </c>
      <c r="B28">
        <v>0</v>
      </c>
      <c r="C28">
        <v>0</v>
      </c>
      <c r="D28">
        <v>0</v>
      </c>
      <c r="E28">
        <v>0</v>
      </c>
      <c r="F28">
        <v>0</v>
      </c>
      <c r="G28">
        <v>0</v>
      </c>
      <c r="H28">
        <v>0</v>
      </c>
      <c r="I28">
        <v>0</v>
      </c>
      <c r="J28">
        <v>0</v>
      </c>
      <c r="K28">
        <v>0</v>
      </c>
      <c r="L28">
        <v>0</v>
      </c>
      <c r="M28">
        <v>0</v>
      </c>
      <c r="N28">
        <v>0</v>
      </c>
      <c r="P28" s="18">
        <f t="shared" si="1"/>
        <v>0</v>
      </c>
      <c r="Q28" s="18">
        <f t="shared" si="2"/>
        <v>0</v>
      </c>
      <c r="R28" s="18">
        <f t="shared" si="3"/>
        <v>0</v>
      </c>
      <c r="S28" s="18">
        <f t="shared" si="4"/>
        <v>0</v>
      </c>
      <c r="T28" s="18">
        <f t="shared" si="5"/>
        <v>0</v>
      </c>
      <c r="U28" s="18">
        <f t="shared" si="6"/>
        <v>0</v>
      </c>
      <c r="V28" s="18">
        <f t="shared" si="7"/>
        <v>0</v>
      </c>
      <c r="W28" s="18">
        <f t="shared" si="8"/>
        <v>0</v>
      </c>
    </row>
    <row r="29" spans="1:23" x14ac:dyDescent="0.2">
      <c r="A29" s="17">
        <v>4972</v>
      </c>
      <c r="B29">
        <v>0</v>
      </c>
      <c r="C29">
        <v>0</v>
      </c>
      <c r="D29">
        <v>0</v>
      </c>
      <c r="E29">
        <v>0</v>
      </c>
      <c r="F29">
        <v>0</v>
      </c>
      <c r="G29">
        <v>0</v>
      </c>
      <c r="H29">
        <v>0</v>
      </c>
      <c r="I29">
        <v>0</v>
      </c>
      <c r="J29">
        <v>0</v>
      </c>
      <c r="K29">
        <v>0</v>
      </c>
      <c r="L29">
        <v>0</v>
      </c>
      <c r="M29">
        <v>0</v>
      </c>
      <c r="N29">
        <v>0</v>
      </c>
      <c r="P29" s="18">
        <f t="shared" si="1"/>
        <v>0</v>
      </c>
      <c r="Q29" s="18">
        <f t="shared" si="2"/>
        <v>0</v>
      </c>
      <c r="R29" s="18">
        <f t="shared" si="3"/>
        <v>0</v>
      </c>
      <c r="S29" s="18">
        <f t="shared" si="4"/>
        <v>0</v>
      </c>
      <c r="T29" s="18">
        <f t="shared" si="5"/>
        <v>0</v>
      </c>
      <c r="U29" s="18">
        <f t="shared" si="6"/>
        <v>0</v>
      </c>
      <c r="V29" s="18">
        <f t="shared" si="7"/>
        <v>0</v>
      </c>
      <c r="W29" s="18">
        <f t="shared" si="8"/>
        <v>0</v>
      </c>
    </row>
    <row r="30" spans="1:23" x14ac:dyDescent="0.2">
      <c r="A30" s="17">
        <v>4975</v>
      </c>
      <c r="B30">
        <v>0</v>
      </c>
      <c r="C30">
        <v>0</v>
      </c>
      <c r="D30">
        <v>0</v>
      </c>
      <c r="E30">
        <v>0</v>
      </c>
      <c r="F30">
        <v>0</v>
      </c>
      <c r="G30">
        <v>0</v>
      </c>
      <c r="H30">
        <v>0</v>
      </c>
      <c r="I30">
        <v>0</v>
      </c>
      <c r="J30">
        <v>0</v>
      </c>
      <c r="K30">
        <v>0</v>
      </c>
      <c r="L30">
        <v>0</v>
      </c>
      <c r="M30">
        <v>0</v>
      </c>
      <c r="N30">
        <v>0</v>
      </c>
      <c r="P30" s="18">
        <f t="shared" si="1"/>
        <v>0</v>
      </c>
      <c r="Q30" s="18">
        <f t="shared" si="2"/>
        <v>0</v>
      </c>
      <c r="R30" s="18">
        <f t="shared" si="3"/>
        <v>0</v>
      </c>
      <c r="S30" s="18">
        <f t="shared" si="4"/>
        <v>0</v>
      </c>
      <c r="T30" s="18">
        <f t="shared" si="5"/>
        <v>0</v>
      </c>
      <c r="U30" s="18">
        <f t="shared" si="6"/>
        <v>0</v>
      </c>
      <c r="V30" s="18">
        <f t="shared" si="7"/>
        <v>0</v>
      </c>
      <c r="W30" s="18">
        <f t="shared" si="8"/>
        <v>0</v>
      </c>
    </row>
    <row r="31" spans="1:23" x14ac:dyDescent="0.2">
      <c r="A31" s="17">
        <v>4991</v>
      </c>
      <c r="B31">
        <v>0</v>
      </c>
      <c r="C31">
        <v>0</v>
      </c>
      <c r="D31">
        <v>0</v>
      </c>
      <c r="E31">
        <v>0</v>
      </c>
      <c r="F31">
        <v>0</v>
      </c>
      <c r="G31">
        <v>0</v>
      </c>
      <c r="H31">
        <v>0</v>
      </c>
      <c r="I31">
        <v>0</v>
      </c>
      <c r="J31">
        <v>0</v>
      </c>
      <c r="K31">
        <v>0</v>
      </c>
      <c r="L31">
        <v>0</v>
      </c>
      <c r="M31">
        <v>0</v>
      </c>
      <c r="N31">
        <v>0</v>
      </c>
      <c r="P31" s="18">
        <f t="shared" si="1"/>
        <v>0</v>
      </c>
      <c r="Q31" s="18">
        <f t="shared" si="2"/>
        <v>0</v>
      </c>
      <c r="R31" s="18">
        <f t="shared" si="3"/>
        <v>0</v>
      </c>
      <c r="S31" s="18">
        <f t="shared" si="4"/>
        <v>0</v>
      </c>
      <c r="T31" s="18">
        <f t="shared" si="5"/>
        <v>0</v>
      </c>
      <c r="U31" s="18">
        <f t="shared" si="6"/>
        <v>0</v>
      </c>
      <c r="V31" s="18">
        <f t="shared" si="7"/>
        <v>0</v>
      </c>
      <c r="W31" s="18">
        <f t="shared" si="8"/>
        <v>0</v>
      </c>
    </row>
    <row r="32" spans="1:23" x14ac:dyDescent="0.2">
      <c r="A32" s="17">
        <v>5001</v>
      </c>
      <c r="B32">
        <v>0</v>
      </c>
      <c r="C32">
        <v>0</v>
      </c>
      <c r="D32">
        <v>0</v>
      </c>
      <c r="E32">
        <v>0</v>
      </c>
      <c r="F32">
        <v>0</v>
      </c>
      <c r="G32">
        <v>0</v>
      </c>
      <c r="H32">
        <v>0</v>
      </c>
      <c r="I32">
        <v>0</v>
      </c>
      <c r="J32">
        <v>0</v>
      </c>
      <c r="K32">
        <v>0</v>
      </c>
      <c r="L32">
        <v>0</v>
      </c>
      <c r="M32">
        <v>0</v>
      </c>
      <c r="N32">
        <v>0</v>
      </c>
      <c r="P32" s="18">
        <f t="shared" si="1"/>
        <v>0</v>
      </c>
      <c r="Q32" s="18">
        <f t="shared" si="2"/>
        <v>0</v>
      </c>
      <c r="R32" s="18">
        <f t="shared" si="3"/>
        <v>0</v>
      </c>
      <c r="S32" s="18">
        <f t="shared" si="4"/>
        <v>0</v>
      </c>
      <c r="T32" s="18">
        <f t="shared" si="5"/>
        <v>0</v>
      </c>
      <c r="U32" s="18">
        <f t="shared" si="6"/>
        <v>0</v>
      </c>
      <c r="V32" s="18">
        <f t="shared" si="7"/>
        <v>0</v>
      </c>
      <c r="W32" s="18">
        <f t="shared" si="8"/>
        <v>0</v>
      </c>
    </row>
    <row r="33" spans="1:23" x14ac:dyDescent="0.2">
      <c r="A33" s="17">
        <v>5013</v>
      </c>
      <c r="B33">
        <v>0</v>
      </c>
      <c r="C33">
        <v>0</v>
      </c>
      <c r="D33">
        <v>0</v>
      </c>
      <c r="E33">
        <v>0</v>
      </c>
      <c r="F33">
        <v>0</v>
      </c>
      <c r="G33">
        <v>0</v>
      </c>
      <c r="H33">
        <v>0</v>
      </c>
      <c r="I33">
        <v>0</v>
      </c>
      <c r="J33">
        <v>0</v>
      </c>
      <c r="K33">
        <v>0</v>
      </c>
      <c r="L33">
        <v>0</v>
      </c>
      <c r="M33">
        <v>0</v>
      </c>
      <c r="N33">
        <v>0</v>
      </c>
      <c r="P33" s="18">
        <f t="shared" si="1"/>
        <v>0</v>
      </c>
      <c r="Q33" s="18">
        <f t="shared" si="2"/>
        <v>0</v>
      </c>
      <c r="R33" s="18">
        <f t="shared" si="3"/>
        <v>0</v>
      </c>
      <c r="S33" s="18">
        <f t="shared" si="4"/>
        <v>0</v>
      </c>
      <c r="T33" s="18">
        <f t="shared" si="5"/>
        <v>0</v>
      </c>
      <c r="U33" s="18">
        <f t="shared" si="6"/>
        <v>0</v>
      </c>
      <c r="V33" s="18">
        <f t="shared" si="7"/>
        <v>0</v>
      </c>
      <c r="W33" s="18">
        <f t="shared" si="8"/>
        <v>0</v>
      </c>
    </row>
    <row r="34" spans="1:23" x14ac:dyDescent="0.2">
      <c r="A34" s="17">
        <v>5098</v>
      </c>
      <c r="B34">
        <v>0</v>
      </c>
      <c r="C34">
        <v>0</v>
      </c>
      <c r="D34">
        <v>0</v>
      </c>
      <c r="E34">
        <v>0</v>
      </c>
      <c r="F34">
        <v>0</v>
      </c>
      <c r="G34">
        <v>0</v>
      </c>
      <c r="H34">
        <v>0</v>
      </c>
      <c r="I34">
        <v>0</v>
      </c>
      <c r="J34">
        <v>0</v>
      </c>
      <c r="K34">
        <v>0</v>
      </c>
      <c r="L34">
        <v>0</v>
      </c>
      <c r="M34">
        <v>0</v>
      </c>
      <c r="N34">
        <v>0</v>
      </c>
      <c r="P34" s="18">
        <f t="shared" si="1"/>
        <v>0</v>
      </c>
      <c r="Q34" s="18">
        <f t="shared" si="2"/>
        <v>0</v>
      </c>
      <c r="R34" s="18">
        <f t="shared" si="3"/>
        <v>0</v>
      </c>
      <c r="S34" s="18">
        <f t="shared" si="4"/>
        <v>0</v>
      </c>
      <c r="T34" s="18">
        <f t="shared" si="5"/>
        <v>0</v>
      </c>
      <c r="U34" s="18">
        <f t="shared" si="6"/>
        <v>0</v>
      </c>
      <c r="V34" s="18">
        <f t="shared" si="7"/>
        <v>0</v>
      </c>
      <c r="W34" s="18">
        <f t="shared" si="8"/>
        <v>0</v>
      </c>
    </row>
    <row r="35" spans="1:23" x14ac:dyDescent="0.2">
      <c r="A35" s="17">
        <v>5146</v>
      </c>
      <c r="B35">
        <v>0</v>
      </c>
      <c r="C35">
        <v>0</v>
      </c>
      <c r="D35">
        <v>0</v>
      </c>
      <c r="E35">
        <v>0</v>
      </c>
      <c r="F35">
        <v>0</v>
      </c>
      <c r="G35">
        <v>0</v>
      </c>
      <c r="H35">
        <v>0</v>
      </c>
      <c r="I35">
        <v>0</v>
      </c>
      <c r="J35">
        <v>0</v>
      </c>
      <c r="K35">
        <v>0</v>
      </c>
      <c r="L35">
        <v>0</v>
      </c>
      <c r="M35">
        <v>0</v>
      </c>
      <c r="N35">
        <v>0</v>
      </c>
      <c r="P35" s="18">
        <f t="shared" si="1"/>
        <v>0</v>
      </c>
      <c r="Q35" s="18">
        <f t="shared" si="2"/>
        <v>0</v>
      </c>
      <c r="R35" s="18">
        <f t="shared" si="3"/>
        <v>0</v>
      </c>
      <c r="S35" s="18">
        <f t="shared" si="4"/>
        <v>0</v>
      </c>
      <c r="T35" s="18">
        <f t="shared" si="5"/>
        <v>0</v>
      </c>
      <c r="U35" s="18">
        <f t="shared" si="6"/>
        <v>0</v>
      </c>
      <c r="V35" s="18">
        <f t="shared" si="7"/>
        <v>0</v>
      </c>
      <c r="W35" s="18">
        <f t="shared" si="8"/>
        <v>0</v>
      </c>
    </row>
    <row r="36" spans="1:23" x14ac:dyDescent="0.2">
      <c r="A36" s="17">
        <v>5160</v>
      </c>
      <c r="B36">
        <v>0</v>
      </c>
      <c r="C36">
        <v>0</v>
      </c>
      <c r="D36">
        <v>0</v>
      </c>
      <c r="E36">
        <v>0</v>
      </c>
      <c r="F36">
        <v>0</v>
      </c>
      <c r="G36">
        <v>0</v>
      </c>
      <c r="H36">
        <v>0</v>
      </c>
      <c r="I36">
        <v>0</v>
      </c>
      <c r="J36">
        <v>0</v>
      </c>
      <c r="K36">
        <v>0</v>
      </c>
      <c r="L36">
        <v>0</v>
      </c>
      <c r="M36">
        <v>0</v>
      </c>
      <c r="N36">
        <v>0</v>
      </c>
      <c r="P36" s="18">
        <f t="shared" si="1"/>
        <v>0</v>
      </c>
      <c r="Q36" s="18">
        <f t="shared" si="2"/>
        <v>0</v>
      </c>
      <c r="R36" s="18">
        <f t="shared" si="3"/>
        <v>0</v>
      </c>
      <c r="S36" s="18">
        <f t="shared" si="4"/>
        <v>0</v>
      </c>
      <c r="T36" s="18">
        <f t="shared" si="5"/>
        <v>0</v>
      </c>
      <c r="U36" s="18">
        <f t="shared" si="6"/>
        <v>0</v>
      </c>
      <c r="V36" s="18">
        <f t="shared" si="7"/>
        <v>0</v>
      </c>
      <c r="W36" s="18">
        <f t="shared" si="8"/>
        <v>0</v>
      </c>
    </row>
    <row r="37" spans="1:23" x14ac:dyDescent="0.2">
      <c r="A37" s="17">
        <v>5163</v>
      </c>
      <c r="B37">
        <v>0</v>
      </c>
      <c r="C37">
        <v>0</v>
      </c>
      <c r="D37">
        <v>0</v>
      </c>
      <c r="E37">
        <v>0</v>
      </c>
      <c r="F37">
        <v>0</v>
      </c>
      <c r="G37">
        <v>0</v>
      </c>
      <c r="H37">
        <v>0</v>
      </c>
      <c r="I37">
        <v>0</v>
      </c>
      <c r="J37">
        <v>0</v>
      </c>
      <c r="K37">
        <v>0</v>
      </c>
      <c r="L37">
        <v>0</v>
      </c>
      <c r="M37">
        <v>0</v>
      </c>
      <c r="N37">
        <v>0</v>
      </c>
      <c r="P37" s="18">
        <f t="shared" si="1"/>
        <v>0</v>
      </c>
      <c r="Q37" s="18">
        <f t="shared" si="2"/>
        <v>0</v>
      </c>
      <c r="R37" s="18">
        <f t="shared" si="3"/>
        <v>0</v>
      </c>
      <c r="S37" s="18">
        <f t="shared" si="4"/>
        <v>0</v>
      </c>
      <c r="T37" s="18">
        <f t="shared" si="5"/>
        <v>0</v>
      </c>
      <c r="U37" s="18">
        <f t="shared" si="6"/>
        <v>0</v>
      </c>
      <c r="V37" s="18">
        <f t="shared" si="7"/>
        <v>0</v>
      </c>
      <c r="W37" s="18">
        <f t="shared" si="8"/>
        <v>0</v>
      </c>
    </row>
    <row r="38" spans="1:23" x14ac:dyDescent="0.2">
      <c r="A38" s="17">
        <v>5165</v>
      </c>
      <c r="B38">
        <v>0</v>
      </c>
      <c r="C38">
        <v>0</v>
      </c>
      <c r="D38">
        <v>0</v>
      </c>
      <c r="E38">
        <v>0</v>
      </c>
      <c r="F38">
        <v>0</v>
      </c>
      <c r="G38">
        <v>0</v>
      </c>
      <c r="H38">
        <v>0</v>
      </c>
      <c r="I38">
        <v>0</v>
      </c>
      <c r="J38">
        <v>0</v>
      </c>
      <c r="K38">
        <v>0</v>
      </c>
      <c r="L38">
        <v>0</v>
      </c>
      <c r="M38">
        <v>0</v>
      </c>
      <c r="N38">
        <v>0</v>
      </c>
      <c r="P38" s="18">
        <f t="shared" si="1"/>
        <v>0</v>
      </c>
      <c r="Q38" s="18">
        <f t="shared" si="2"/>
        <v>0</v>
      </c>
      <c r="R38" s="18">
        <f t="shared" si="3"/>
        <v>0</v>
      </c>
      <c r="S38" s="18">
        <f t="shared" si="4"/>
        <v>0</v>
      </c>
      <c r="T38" s="18">
        <f t="shared" si="5"/>
        <v>0</v>
      </c>
      <c r="U38" s="18">
        <f t="shared" si="6"/>
        <v>0</v>
      </c>
      <c r="V38" s="18">
        <f t="shared" si="7"/>
        <v>0</v>
      </c>
      <c r="W38" s="18">
        <f t="shared" si="8"/>
        <v>0</v>
      </c>
    </row>
    <row r="39" spans="1:23" x14ac:dyDescent="0.2">
      <c r="A39" s="17">
        <v>5177</v>
      </c>
      <c r="B39">
        <v>0</v>
      </c>
      <c r="C39">
        <v>0</v>
      </c>
      <c r="D39">
        <v>0</v>
      </c>
      <c r="E39">
        <v>0</v>
      </c>
      <c r="F39">
        <v>0</v>
      </c>
      <c r="G39">
        <v>0</v>
      </c>
      <c r="H39">
        <v>0</v>
      </c>
      <c r="I39">
        <v>0</v>
      </c>
      <c r="J39">
        <v>0</v>
      </c>
      <c r="K39">
        <v>0</v>
      </c>
      <c r="L39">
        <v>0</v>
      </c>
      <c r="M39">
        <v>0</v>
      </c>
      <c r="N39">
        <v>0</v>
      </c>
      <c r="P39" s="18">
        <f t="shared" si="1"/>
        <v>0</v>
      </c>
      <c r="Q39" s="18">
        <f t="shared" si="2"/>
        <v>0</v>
      </c>
      <c r="R39" s="18">
        <f t="shared" si="3"/>
        <v>0</v>
      </c>
      <c r="S39" s="18">
        <f t="shared" si="4"/>
        <v>0</v>
      </c>
      <c r="T39" s="18">
        <f t="shared" si="5"/>
        <v>0</v>
      </c>
      <c r="U39" s="18">
        <f t="shared" si="6"/>
        <v>0</v>
      </c>
      <c r="V39" s="18">
        <f t="shared" si="7"/>
        <v>0</v>
      </c>
      <c r="W39" s="18">
        <f t="shared" si="8"/>
        <v>0</v>
      </c>
    </row>
    <row r="40" spans="1:23" x14ac:dyDescent="0.2">
      <c r="A40" s="17">
        <v>5198</v>
      </c>
      <c r="B40">
        <v>0</v>
      </c>
      <c r="C40">
        <v>0</v>
      </c>
      <c r="D40">
        <v>0</v>
      </c>
      <c r="E40">
        <v>0</v>
      </c>
      <c r="F40">
        <v>0</v>
      </c>
      <c r="G40">
        <v>0</v>
      </c>
      <c r="H40">
        <v>0</v>
      </c>
      <c r="I40">
        <v>0</v>
      </c>
      <c r="J40">
        <v>0</v>
      </c>
      <c r="K40">
        <v>0</v>
      </c>
      <c r="L40">
        <v>0</v>
      </c>
      <c r="M40">
        <v>0</v>
      </c>
      <c r="N40">
        <v>0</v>
      </c>
      <c r="P40" s="18">
        <f t="shared" si="1"/>
        <v>0</v>
      </c>
      <c r="Q40" s="18">
        <f t="shared" si="2"/>
        <v>0</v>
      </c>
      <c r="R40" s="18">
        <f t="shared" si="3"/>
        <v>0</v>
      </c>
      <c r="S40" s="18">
        <f t="shared" si="4"/>
        <v>0</v>
      </c>
      <c r="T40" s="18">
        <f t="shared" si="5"/>
        <v>0</v>
      </c>
      <c r="U40" s="18">
        <f t="shared" si="6"/>
        <v>0</v>
      </c>
      <c r="V40" s="18">
        <f t="shared" si="7"/>
        <v>0</v>
      </c>
      <c r="W40" s="18">
        <f t="shared" si="8"/>
        <v>0</v>
      </c>
    </row>
    <row r="41" spans="1:23" x14ac:dyDescent="0.2">
      <c r="A41" s="17">
        <v>5210</v>
      </c>
      <c r="B41">
        <v>0</v>
      </c>
      <c r="C41">
        <v>0</v>
      </c>
      <c r="D41">
        <v>0</v>
      </c>
      <c r="E41">
        <v>0</v>
      </c>
      <c r="F41">
        <v>0</v>
      </c>
      <c r="G41">
        <v>0</v>
      </c>
      <c r="H41">
        <v>0</v>
      </c>
      <c r="I41">
        <v>0</v>
      </c>
      <c r="J41">
        <v>0</v>
      </c>
      <c r="K41">
        <v>0</v>
      </c>
      <c r="L41">
        <v>0</v>
      </c>
      <c r="M41">
        <v>0</v>
      </c>
      <c r="N41">
        <v>0</v>
      </c>
      <c r="P41" s="18">
        <f t="shared" si="1"/>
        <v>0</v>
      </c>
      <c r="Q41" s="18">
        <f t="shared" si="2"/>
        <v>0</v>
      </c>
      <c r="R41" s="18">
        <f t="shared" si="3"/>
        <v>0</v>
      </c>
      <c r="S41" s="18">
        <f t="shared" si="4"/>
        <v>0</v>
      </c>
      <c r="T41" s="18">
        <f t="shared" si="5"/>
        <v>0</v>
      </c>
      <c r="U41" s="18">
        <f t="shared" si="6"/>
        <v>0</v>
      </c>
      <c r="V41" s="18">
        <f t="shared" si="7"/>
        <v>0</v>
      </c>
      <c r="W41" s="18">
        <f t="shared" si="8"/>
        <v>0</v>
      </c>
    </row>
    <row r="42" spans="1:23" x14ac:dyDescent="0.2">
      <c r="A42" s="17">
        <v>5221</v>
      </c>
      <c r="B42">
        <v>0</v>
      </c>
      <c r="C42">
        <v>0</v>
      </c>
      <c r="D42">
        <v>0</v>
      </c>
      <c r="E42">
        <v>0</v>
      </c>
      <c r="F42">
        <v>0</v>
      </c>
      <c r="G42">
        <v>0</v>
      </c>
      <c r="H42">
        <v>0</v>
      </c>
      <c r="I42">
        <v>0</v>
      </c>
      <c r="J42">
        <v>0</v>
      </c>
      <c r="K42">
        <v>0</v>
      </c>
      <c r="L42">
        <v>0</v>
      </c>
      <c r="M42">
        <v>0</v>
      </c>
      <c r="N42">
        <v>0</v>
      </c>
      <c r="P42" s="18">
        <f t="shared" si="1"/>
        <v>0</v>
      </c>
      <c r="Q42" s="18">
        <f t="shared" si="2"/>
        <v>0</v>
      </c>
      <c r="R42" s="18">
        <f t="shared" si="3"/>
        <v>0</v>
      </c>
      <c r="S42" s="18">
        <f t="shared" si="4"/>
        <v>0</v>
      </c>
      <c r="T42" s="18">
        <f t="shared" si="5"/>
        <v>0</v>
      </c>
      <c r="U42" s="18">
        <f t="shared" si="6"/>
        <v>0</v>
      </c>
      <c r="V42" s="18">
        <f t="shared" si="7"/>
        <v>0</v>
      </c>
      <c r="W42" s="18">
        <f t="shared" si="8"/>
        <v>0</v>
      </c>
    </row>
    <row r="43" spans="1:23" x14ac:dyDescent="0.2">
      <c r="A43" s="17">
        <v>5247</v>
      </c>
      <c r="B43">
        <v>0</v>
      </c>
      <c r="C43">
        <v>0</v>
      </c>
      <c r="D43">
        <v>0</v>
      </c>
      <c r="E43">
        <v>0</v>
      </c>
      <c r="F43">
        <v>0</v>
      </c>
      <c r="G43">
        <v>0</v>
      </c>
      <c r="H43">
        <v>0</v>
      </c>
      <c r="I43">
        <v>0</v>
      </c>
      <c r="J43">
        <v>0</v>
      </c>
      <c r="K43">
        <v>0</v>
      </c>
      <c r="L43">
        <v>0</v>
      </c>
      <c r="M43">
        <v>0</v>
      </c>
      <c r="N43">
        <v>0</v>
      </c>
      <c r="P43" s="18">
        <f t="shared" si="1"/>
        <v>0</v>
      </c>
      <c r="Q43" s="18">
        <f t="shared" si="2"/>
        <v>0</v>
      </c>
      <c r="R43" s="18">
        <f t="shared" si="3"/>
        <v>0</v>
      </c>
      <c r="S43" s="18">
        <f t="shared" si="4"/>
        <v>0</v>
      </c>
      <c r="T43" s="18">
        <f t="shared" si="5"/>
        <v>0</v>
      </c>
      <c r="U43" s="18">
        <f t="shared" si="6"/>
        <v>0</v>
      </c>
      <c r="V43" s="18">
        <f t="shared" si="7"/>
        <v>0</v>
      </c>
      <c r="W43" s="18">
        <f t="shared" si="8"/>
        <v>0</v>
      </c>
    </row>
    <row r="44" spans="1:23" x14ac:dyDescent="0.2">
      <c r="A44" s="17">
        <v>5249</v>
      </c>
      <c r="B44">
        <v>0</v>
      </c>
      <c r="C44">
        <v>0</v>
      </c>
      <c r="D44">
        <v>0</v>
      </c>
      <c r="E44">
        <v>0</v>
      </c>
      <c r="F44">
        <v>0</v>
      </c>
      <c r="G44">
        <v>0</v>
      </c>
      <c r="H44">
        <v>0</v>
      </c>
      <c r="I44">
        <v>0</v>
      </c>
      <c r="J44">
        <v>0</v>
      </c>
      <c r="K44">
        <v>0</v>
      </c>
      <c r="L44">
        <v>0</v>
      </c>
      <c r="M44">
        <v>0</v>
      </c>
      <c r="N44">
        <v>0</v>
      </c>
      <c r="P44" s="18">
        <f t="shared" si="1"/>
        <v>0</v>
      </c>
      <c r="Q44" s="18">
        <f t="shared" si="2"/>
        <v>0</v>
      </c>
      <c r="R44" s="18">
        <f t="shared" si="3"/>
        <v>0</v>
      </c>
      <c r="S44" s="18">
        <f t="shared" si="4"/>
        <v>0</v>
      </c>
      <c r="T44" s="18">
        <f t="shared" si="5"/>
        <v>0</v>
      </c>
      <c r="U44" s="18">
        <f t="shared" si="6"/>
        <v>0</v>
      </c>
      <c r="V44" s="18">
        <f t="shared" si="7"/>
        <v>0</v>
      </c>
      <c r="W44" s="18">
        <f t="shared" si="8"/>
        <v>0</v>
      </c>
    </row>
    <row r="45" spans="1:23" x14ac:dyDescent="0.2">
      <c r="A45" s="17">
        <v>5258</v>
      </c>
      <c r="B45">
        <v>0</v>
      </c>
      <c r="C45">
        <v>0</v>
      </c>
      <c r="D45">
        <v>0</v>
      </c>
      <c r="E45">
        <v>0</v>
      </c>
      <c r="F45">
        <v>0</v>
      </c>
      <c r="G45">
        <v>0</v>
      </c>
      <c r="H45">
        <v>0</v>
      </c>
      <c r="I45">
        <v>0</v>
      </c>
      <c r="J45">
        <v>0</v>
      </c>
      <c r="K45">
        <v>0</v>
      </c>
      <c r="L45">
        <v>0</v>
      </c>
      <c r="M45">
        <v>0</v>
      </c>
      <c r="N45">
        <v>0</v>
      </c>
      <c r="P45" s="18">
        <f t="shared" si="1"/>
        <v>0</v>
      </c>
      <c r="Q45" s="18">
        <f t="shared" si="2"/>
        <v>0</v>
      </c>
      <c r="R45" s="18">
        <f t="shared" si="3"/>
        <v>0</v>
      </c>
      <c r="S45" s="18">
        <f t="shared" si="4"/>
        <v>0</v>
      </c>
      <c r="T45" s="18">
        <f t="shared" si="5"/>
        <v>0</v>
      </c>
      <c r="U45" s="18">
        <f t="shared" si="6"/>
        <v>0</v>
      </c>
      <c r="V45" s="18">
        <f t="shared" si="7"/>
        <v>0</v>
      </c>
      <c r="W45" s="18">
        <f t="shared" si="8"/>
        <v>0</v>
      </c>
    </row>
    <row r="46" spans="1:23" x14ac:dyDescent="0.2">
      <c r="A46" s="17">
        <v>5259</v>
      </c>
      <c r="B46">
        <v>0</v>
      </c>
      <c r="C46">
        <v>0</v>
      </c>
      <c r="D46">
        <v>0</v>
      </c>
      <c r="E46">
        <v>0</v>
      </c>
      <c r="F46">
        <v>0</v>
      </c>
      <c r="G46">
        <v>0</v>
      </c>
      <c r="H46">
        <v>0</v>
      </c>
      <c r="I46">
        <v>0</v>
      </c>
      <c r="J46">
        <v>0</v>
      </c>
      <c r="K46">
        <v>0</v>
      </c>
      <c r="L46">
        <v>0</v>
      </c>
      <c r="M46">
        <v>0</v>
      </c>
      <c r="N46">
        <v>0</v>
      </c>
      <c r="P46" s="18">
        <f t="shared" si="1"/>
        <v>0</v>
      </c>
      <c r="Q46" s="18">
        <f t="shared" si="2"/>
        <v>0</v>
      </c>
      <c r="R46" s="18">
        <f t="shared" si="3"/>
        <v>0</v>
      </c>
      <c r="S46" s="18">
        <f t="shared" si="4"/>
        <v>0</v>
      </c>
      <c r="T46" s="18">
        <f t="shared" si="5"/>
        <v>0</v>
      </c>
      <c r="U46" s="18">
        <f t="shared" si="6"/>
        <v>0</v>
      </c>
      <c r="V46" s="18">
        <f t="shared" si="7"/>
        <v>0</v>
      </c>
      <c r="W46" s="18">
        <f t="shared" si="8"/>
        <v>0</v>
      </c>
    </row>
    <row r="47" spans="1:23" x14ac:dyDescent="0.2">
      <c r="A47" s="17">
        <v>5277</v>
      </c>
      <c r="B47">
        <v>0</v>
      </c>
      <c r="C47">
        <v>0</v>
      </c>
      <c r="D47">
        <v>0</v>
      </c>
      <c r="E47">
        <v>0</v>
      </c>
      <c r="F47">
        <v>0</v>
      </c>
      <c r="G47">
        <v>0</v>
      </c>
      <c r="H47">
        <v>0</v>
      </c>
      <c r="I47">
        <v>0</v>
      </c>
      <c r="J47">
        <v>0</v>
      </c>
      <c r="K47">
        <v>0</v>
      </c>
      <c r="L47">
        <v>0</v>
      </c>
      <c r="M47">
        <v>0</v>
      </c>
      <c r="N47">
        <v>0</v>
      </c>
      <c r="P47" s="18">
        <f t="shared" si="1"/>
        <v>0</v>
      </c>
      <c r="Q47" s="18">
        <f t="shared" si="2"/>
        <v>0</v>
      </c>
      <c r="R47" s="18">
        <f t="shared" si="3"/>
        <v>0</v>
      </c>
      <c r="S47" s="18">
        <f t="shared" si="4"/>
        <v>0</v>
      </c>
      <c r="T47" s="18">
        <f t="shared" si="5"/>
        <v>0</v>
      </c>
      <c r="U47" s="18">
        <f t="shared" si="6"/>
        <v>0</v>
      </c>
      <c r="V47" s="18">
        <f t="shared" si="7"/>
        <v>0</v>
      </c>
      <c r="W47" s="18">
        <f t="shared" si="8"/>
        <v>0</v>
      </c>
    </row>
    <row r="48" spans="1:23" x14ac:dyDescent="0.2">
      <c r="A48" s="17">
        <v>5278</v>
      </c>
      <c r="B48">
        <v>0</v>
      </c>
      <c r="C48">
        <v>0</v>
      </c>
      <c r="D48">
        <v>0</v>
      </c>
      <c r="E48">
        <v>0</v>
      </c>
      <c r="F48">
        <v>0</v>
      </c>
      <c r="G48">
        <v>0</v>
      </c>
      <c r="H48">
        <v>0</v>
      </c>
      <c r="I48">
        <v>0</v>
      </c>
      <c r="J48">
        <v>0</v>
      </c>
      <c r="K48">
        <v>0</v>
      </c>
      <c r="L48">
        <v>0</v>
      </c>
      <c r="M48">
        <v>0</v>
      </c>
      <c r="N48">
        <v>0</v>
      </c>
      <c r="P48" s="18">
        <f t="shared" si="1"/>
        <v>0</v>
      </c>
      <c r="Q48" s="18">
        <f t="shared" si="2"/>
        <v>0</v>
      </c>
      <c r="R48" s="18">
        <f t="shared" si="3"/>
        <v>0</v>
      </c>
      <c r="S48" s="18">
        <f t="shared" si="4"/>
        <v>0</v>
      </c>
      <c r="T48" s="18">
        <f t="shared" si="5"/>
        <v>0</v>
      </c>
      <c r="U48" s="18">
        <f t="shared" si="6"/>
        <v>0</v>
      </c>
      <c r="V48" s="18">
        <f t="shared" si="7"/>
        <v>0</v>
      </c>
      <c r="W48" s="18">
        <f t="shared" si="8"/>
        <v>0</v>
      </c>
    </row>
    <row r="49" spans="1:23" x14ac:dyDescent="0.2">
      <c r="A49" s="17">
        <v>5280</v>
      </c>
      <c r="B49">
        <v>0</v>
      </c>
      <c r="C49">
        <v>0</v>
      </c>
      <c r="D49">
        <v>0</v>
      </c>
      <c r="E49">
        <v>0</v>
      </c>
      <c r="F49">
        <v>0</v>
      </c>
      <c r="G49">
        <v>0</v>
      </c>
      <c r="H49">
        <v>0</v>
      </c>
      <c r="I49">
        <v>0</v>
      </c>
      <c r="J49">
        <v>0</v>
      </c>
      <c r="K49">
        <v>0</v>
      </c>
      <c r="L49">
        <v>0</v>
      </c>
      <c r="M49">
        <v>0</v>
      </c>
      <c r="N49">
        <v>0</v>
      </c>
      <c r="P49" s="18">
        <f t="shared" si="1"/>
        <v>0</v>
      </c>
      <c r="Q49" s="18">
        <f t="shared" si="2"/>
        <v>0</v>
      </c>
      <c r="R49" s="18">
        <f t="shared" si="3"/>
        <v>0</v>
      </c>
      <c r="S49" s="18">
        <f t="shared" si="4"/>
        <v>0</v>
      </c>
      <c r="T49" s="18">
        <f t="shared" si="5"/>
        <v>0</v>
      </c>
      <c r="U49" s="18">
        <f t="shared" si="6"/>
        <v>0</v>
      </c>
      <c r="V49" s="18">
        <f t="shared" si="7"/>
        <v>0</v>
      </c>
      <c r="W49" s="18">
        <f t="shared" si="8"/>
        <v>0</v>
      </c>
    </row>
    <row r="50" spans="1:23" x14ac:dyDescent="0.2">
      <c r="A50" s="17">
        <v>5283</v>
      </c>
      <c r="B50">
        <v>0</v>
      </c>
      <c r="C50">
        <v>0</v>
      </c>
      <c r="D50">
        <v>0</v>
      </c>
      <c r="E50">
        <v>0</v>
      </c>
      <c r="F50">
        <v>0</v>
      </c>
      <c r="G50">
        <v>0</v>
      </c>
      <c r="H50">
        <v>0</v>
      </c>
      <c r="I50">
        <v>0</v>
      </c>
      <c r="J50">
        <v>0</v>
      </c>
      <c r="K50">
        <v>0</v>
      </c>
      <c r="L50">
        <v>0</v>
      </c>
      <c r="M50">
        <v>0</v>
      </c>
      <c r="N50">
        <v>0</v>
      </c>
      <c r="P50" s="18">
        <f t="shared" si="1"/>
        <v>0</v>
      </c>
      <c r="Q50" s="18">
        <f t="shared" si="2"/>
        <v>0</v>
      </c>
      <c r="R50" s="18">
        <f t="shared" si="3"/>
        <v>0</v>
      </c>
      <c r="S50" s="18">
        <f t="shared" si="4"/>
        <v>0</v>
      </c>
      <c r="T50" s="18">
        <f t="shared" si="5"/>
        <v>0</v>
      </c>
      <c r="U50" s="18">
        <f t="shared" si="6"/>
        <v>0</v>
      </c>
      <c r="V50" s="18">
        <f t="shared" si="7"/>
        <v>0</v>
      </c>
      <c r="W50" s="18">
        <f t="shared" si="8"/>
        <v>0</v>
      </c>
    </row>
    <row r="51" spans="1:23" x14ac:dyDescent="0.2">
      <c r="A51" s="17">
        <v>5286</v>
      </c>
      <c r="B51">
        <v>0</v>
      </c>
      <c r="C51">
        <v>0</v>
      </c>
      <c r="D51">
        <v>0</v>
      </c>
      <c r="E51">
        <v>0</v>
      </c>
      <c r="F51">
        <v>0</v>
      </c>
      <c r="G51">
        <v>0</v>
      </c>
      <c r="H51">
        <v>0</v>
      </c>
      <c r="I51">
        <v>0</v>
      </c>
      <c r="J51">
        <v>0</v>
      </c>
      <c r="K51">
        <v>0</v>
      </c>
      <c r="L51">
        <v>0</v>
      </c>
      <c r="M51">
        <v>0</v>
      </c>
      <c r="N51">
        <v>0</v>
      </c>
      <c r="P51" s="18">
        <f t="shared" si="1"/>
        <v>0</v>
      </c>
      <c r="Q51" s="18">
        <f t="shared" si="2"/>
        <v>0</v>
      </c>
      <c r="R51" s="18">
        <f t="shared" si="3"/>
        <v>0</v>
      </c>
      <c r="S51" s="18">
        <f t="shared" si="4"/>
        <v>0</v>
      </c>
      <c r="T51" s="18">
        <f t="shared" si="5"/>
        <v>0</v>
      </c>
      <c r="U51" s="18">
        <f t="shared" si="6"/>
        <v>0</v>
      </c>
      <c r="V51" s="18">
        <f t="shared" si="7"/>
        <v>0</v>
      </c>
      <c r="W51" s="18">
        <f t="shared" si="8"/>
        <v>0</v>
      </c>
    </row>
    <row r="52" spans="1:23" x14ac:dyDescent="0.2">
      <c r="A52" s="17">
        <v>5290</v>
      </c>
      <c r="B52">
        <v>0</v>
      </c>
      <c r="C52">
        <v>0</v>
      </c>
      <c r="D52">
        <v>0</v>
      </c>
      <c r="E52">
        <v>0</v>
      </c>
      <c r="F52">
        <v>0</v>
      </c>
      <c r="G52">
        <v>0</v>
      </c>
      <c r="H52">
        <v>0</v>
      </c>
      <c r="I52">
        <v>0</v>
      </c>
      <c r="J52">
        <v>0</v>
      </c>
      <c r="K52">
        <v>0</v>
      </c>
      <c r="L52">
        <v>0</v>
      </c>
      <c r="M52">
        <v>0</v>
      </c>
      <c r="N52">
        <v>0</v>
      </c>
      <c r="P52" s="18">
        <f t="shared" si="1"/>
        <v>0</v>
      </c>
      <c r="Q52" s="18">
        <f t="shared" si="2"/>
        <v>0</v>
      </c>
      <c r="R52" s="18">
        <f t="shared" si="3"/>
        <v>0</v>
      </c>
      <c r="S52" s="18">
        <f t="shared" si="4"/>
        <v>0</v>
      </c>
      <c r="T52" s="18">
        <f t="shared" si="5"/>
        <v>0</v>
      </c>
      <c r="U52" s="18">
        <f t="shared" si="6"/>
        <v>0</v>
      </c>
      <c r="V52" s="18">
        <f t="shared" si="7"/>
        <v>0</v>
      </c>
      <c r="W52" s="18">
        <f t="shared" si="8"/>
        <v>0</v>
      </c>
    </row>
    <row r="53" spans="1:23" x14ac:dyDescent="0.2">
      <c r="A53" s="17">
        <v>5333</v>
      </c>
      <c r="B53">
        <v>0</v>
      </c>
      <c r="C53">
        <v>0</v>
      </c>
      <c r="D53">
        <v>0</v>
      </c>
      <c r="E53">
        <v>0</v>
      </c>
      <c r="F53">
        <v>0</v>
      </c>
      <c r="G53">
        <v>0</v>
      </c>
      <c r="H53">
        <v>0</v>
      </c>
      <c r="I53">
        <v>0</v>
      </c>
      <c r="J53">
        <v>0</v>
      </c>
      <c r="K53">
        <v>0</v>
      </c>
      <c r="L53">
        <v>0</v>
      </c>
      <c r="M53">
        <v>0</v>
      </c>
      <c r="N53">
        <v>0</v>
      </c>
      <c r="P53" s="18">
        <f t="shared" si="1"/>
        <v>0</v>
      </c>
      <c r="Q53" s="18">
        <f t="shared" si="2"/>
        <v>0</v>
      </c>
      <c r="R53" s="18">
        <f t="shared" si="3"/>
        <v>0</v>
      </c>
      <c r="S53" s="18">
        <f t="shared" si="4"/>
        <v>0</v>
      </c>
      <c r="T53" s="18">
        <f t="shared" si="5"/>
        <v>0</v>
      </c>
      <c r="U53" s="18">
        <f t="shared" si="6"/>
        <v>0</v>
      </c>
      <c r="V53" s="18">
        <f t="shared" si="7"/>
        <v>0</v>
      </c>
      <c r="W53" s="18">
        <f t="shared" si="8"/>
        <v>0</v>
      </c>
    </row>
    <row r="54" spans="1:23" x14ac:dyDescent="0.2">
      <c r="A54" s="17">
        <v>5337</v>
      </c>
      <c r="B54">
        <v>0</v>
      </c>
      <c r="C54">
        <v>0</v>
      </c>
      <c r="D54">
        <v>0</v>
      </c>
      <c r="E54">
        <v>0</v>
      </c>
      <c r="F54">
        <v>0</v>
      </c>
      <c r="G54">
        <v>0</v>
      </c>
      <c r="H54">
        <v>0</v>
      </c>
      <c r="I54">
        <v>0</v>
      </c>
      <c r="J54">
        <v>0</v>
      </c>
      <c r="K54">
        <v>0</v>
      </c>
      <c r="L54">
        <v>0</v>
      </c>
      <c r="M54">
        <v>0</v>
      </c>
      <c r="N54">
        <v>0</v>
      </c>
      <c r="P54" s="18">
        <f t="shared" si="1"/>
        <v>0</v>
      </c>
      <c r="Q54" s="18">
        <f t="shared" si="2"/>
        <v>0</v>
      </c>
      <c r="R54" s="18">
        <f t="shared" si="3"/>
        <v>0</v>
      </c>
      <c r="S54" s="18">
        <f t="shared" si="4"/>
        <v>0</v>
      </c>
      <c r="T54" s="18">
        <f t="shared" si="5"/>
        <v>0</v>
      </c>
      <c r="U54" s="18">
        <f t="shared" si="6"/>
        <v>0</v>
      </c>
      <c r="V54" s="18">
        <f t="shared" si="7"/>
        <v>0</v>
      </c>
      <c r="W54" s="18">
        <f t="shared" si="8"/>
        <v>0</v>
      </c>
    </row>
    <row r="55" spans="1:23" x14ac:dyDescent="0.2">
      <c r="A55" s="17">
        <v>5338</v>
      </c>
      <c r="B55">
        <v>0</v>
      </c>
      <c r="C55">
        <v>0</v>
      </c>
      <c r="D55">
        <v>0</v>
      </c>
      <c r="E55">
        <v>0</v>
      </c>
      <c r="F55">
        <v>0</v>
      </c>
      <c r="G55">
        <v>0</v>
      </c>
      <c r="H55">
        <v>0</v>
      </c>
      <c r="I55">
        <v>0</v>
      </c>
      <c r="J55">
        <v>0</v>
      </c>
      <c r="K55">
        <v>0</v>
      </c>
      <c r="L55">
        <v>0</v>
      </c>
      <c r="M55">
        <v>0</v>
      </c>
      <c r="N55">
        <v>0</v>
      </c>
      <c r="P55" s="18">
        <f t="shared" si="1"/>
        <v>0</v>
      </c>
      <c r="Q55" s="18">
        <f t="shared" si="2"/>
        <v>0</v>
      </c>
      <c r="R55" s="18">
        <f t="shared" si="3"/>
        <v>0</v>
      </c>
      <c r="S55" s="18">
        <f t="shared" si="4"/>
        <v>0</v>
      </c>
      <c r="T55" s="18">
        <f t="shared" si="5"/>
        <v>0</v>
      </c>
      <c r="U55" s="18">
        <f t="shared" si="6"/>
        <v>0</v>
      </c>
      <c r="V55" s="18">
        <f t="shared" si="7"/>
        <v>0</v>
      </c>
      <c r="W55" s="18">
        <f t="shared" si="8"/>
        <v>0</v>
      </c>
    </row>
    <row r="56" spans="1:23" x14ac:dyDescent="0.2">
      <c r="A56" s="17">
        <v>5361</v>
      </c>
      <c r="B56">
        <v>0</v>
      </c>
      <c r="C56">
        <v>0</v>
      </c>
      <c r="D56">
        <v>0</v>
      </c>
      <c r="E56">
        <v>0</v>
      </c>
      <c r="F56">
        <v>0</v>
      </c>
      <c r="G56">
        <v>0</v>
      </c>
      <c r="H56">
        <v>0</v>
      </c>
      <c r="I56">
        <v>0</v>
      </c>
      <c r="J56">
        <v>0</v>
      </c>
      <c r="K56">
        <v>0</v>
      </c>
      <c r="L56">
        <v>0</v>
      </c>
      <c r="M56">
        <v>0</v>
      </c>
      <c r="N56">
        <v>0</v>
      </c>
      <c r="P56" s="18">
        <f t="shared" si="1"/>
        <v>0</v>
      </c>
      <c r="Q56" s="18">
        <f t="shared" si="2"/>
        <v>0</v>
      </c>
      <c r="R56" s="18">
        <f t="shared" si="3"/>
        <v>0</v>
      </c>
      <c r="S56" s="18">
        <f t="shared" si="4"/>
        <v>0</v>
      </c>
      <c r="T56" s="18">
        <f t="shared" si="5"/>
        <v>0</v>
      </c>
      <c r="U56" s="18">
        <f t="shared" si="6"/>
        <v>0</v>
      </c>
      <c r="V56" s="18">
        <f t="shared" si="7"/>
        <v>0</v>
      </c>
      <c r="W56" s="18">
        <f t="shared" si="8"/>
        <v>0</v>
      </c>
    </row>
    <row r="57" spans="1:23" x14ac:dyDescent="0.2">
      <c r="A57" s="17">
        <v>5370</v>
      </c>
      <c r="B57">
        <v>0</v>
      </c>
      <c r="C57">
        <v>0</v>
      </c>
      <c r="D57">
        <v>0</v>
      </c>
      <c r="E57">
        <v>0</v>
      </c>
      <c r="F57">
        <v>0</v>
      </c>
      <c r="G57">
        <v>0</v>
      </c>
      <c r="H57">
        <v>0</v>
      </c>
      <c r="I57">
        <v>0</v>
      </c>
      <c r="J57">
        <v>0</v>
      </c>
      <c r="K57">
        <v>0</v>
      </c>
      <c r="L57">
        <v>0</v>
      </c>
      <c r="M57">
        <v>0</v>
      </c>
      <c r="N57">
        <v>0</v>
      </c>
      <c r="P57" s="18">
        <f t="shared" si="1"/>
        <v>0</v>
      </c>
      <c r="Q57" s="18">
        <f t="shared" si="2"/>
        <v>0</v>
      </c>
      <c r="R57" s="18">
        <f t="shared" si="3"/>
        <v>0</v>
      </c>
      <c r="S57" s="18">
        <f t="shared" si="4"/>
        <v>0</v>
      </c>
      <c r="T57" s="18">
        <f t="shared" si="5"/>
        <v>0</v>
      </c>
      <c r="U57" s="18">
        <f t="shared" si="6"/>
        <v>0</v>
      </c>
      <c r="V57" s="18">
        <f t="shared" si="7"/>
        <v>0</v>
      </c>
      <c r="W57" s="18">
        <f t="shared" si="8"/>
        <v>0</v>
      </c>
    </row>
    <row r="58" spans="1:23" x14ac:dyDescent="0.2">
      <c r="A58" s="17">
        <v>5390</v>
      </c>
      <c r="B58">
        <v>0</v>
      </c>
      <c r="C58">
        <v>0</v>
      </c>
      <c r="D58">
        <v>0</v>
      </c>
      <c r="E58">
        <v>0</v>
      </c>
      <c r="F58">
        <v>0</v>
      </c>
      <c r="G58">
        <v>0</v>
      </c>
      <c r="H58">
        <v>0</v>
      </c>
      <c r="I58">
        <v>0</v>
      </c>
      <c r="J58">
        <v>0</v>
      </c>
      <c r="K58">
        <v>0</v>
      </c>
      <c r="L58">
        <v>0</v>
      </c>
      <c r="M58">
        <v>0</v>
      </c>
      <c r="N58">
        <v>0</v>
      </c>
      <c r="P58" s="18">
        <f t="shared" si="1"/>
        <v>0</v>
      </c>
      <c r="Q58" s="18">
        <f t="shared" si="2"/>
        <v>0</v>
      </c>
      <c r="R58" s="18">
        <f t="shared" si="3"/>
        <v>0</v>
      </c>
      <c r="S58" s="18">
        <f t="shared" si="4"/>
        <v>0</v>
      </c>
      <c r="T58" s="18">
        <f t="shared" si="5"/>
        <v>0</v>
      </c>
      <c r="U58" s="18">
        <f t="shared" si="6"/>
        <v>0</v>
      </c>
      <c r="V58" s="18">
        <f t="shared" si="7"/>
        <v>0</v>
      </c>
      <c r="W58" s="18">
        <f t="shared" si="8"/>
        <v>0</v>
      </c>
    </row>
    <row r="59" spans="1:23" x14ac:dyDescent="0.2">
      <c r="A59" s="17">
        <v>5391</v>
      </c>
      <c r="B59">
        <v>0</v>
      </c>
      <c r="C59">
        <v>0</v>
      </c>
      <c r="D59">
        <v>0</v>
      </c>
      <c r="E59">
        <v>0</v>
      </c>
      <c r="F59">
        <v>0</v>
      </c>
      <c r="G59">
        <v>0</v>
      </c>
      <c r="H59">
        <v>0</v>
      </c>
      <c r="I59">
        <v>0</v>
      </c>
      <c r="J59">
        <v>0</v>
      </c>
      <c r="K59">
        <v>0</v>
      </c>
      <c r="L59">
        <v>0</v>
      </c>
      <c r="M59">
        <v>0</v>
      </c>
      <c r="N59">
        <v>0</v>
      </c>
      <c r="P59" s="18">
        <f t="shared" si="1"/>
        <v>0</v>
      </c>
      <c r="Q59" s="18">
        <f t="shared" si="2"/>
        <v>0</v>
      </c>
      <c r="R59" s="18">
        <f t="shared" si="3"/>
        <v>0</v>
      </c>
      <c r="S59" s="18">
        <f t="shared" si="4"/>
        <v>0</v>
      </c>
      <c r="T59" s="18">
        <f t="shared" si="5"/>
        <v>0</v>
      </c>
      <c r="U59" s="18">
        <f t="shared" si="6"/>
        <v>0</v>
      </c>
      <c r="V59" s="18">
        <f t="shared" si="7"/>
        <v>0</v>
      </c>
      <c r="W59" s="18">
        <f t="shared" si="8"/>
        <v>0</v>
      </c>
    </row>
    <row r="60" spans="1:23" x14ac:dyDescent="0.2">
      <c r="A60" s="17">
        <v>5394</v>
      </c>
      <c r="B60">
        <v>0</v>
      </c>
      <c r="C60">
        <v>0</v>
      </c>
      <c r="D60">
        <v>0</v>
      </c>
      <c r="E60">
        <v>0</v>
      </c>
      <c r="F60">
        <v>0</v>
      </c>
      <c r="G60">
        <v>0</v>
      </c>
      <c r="H60">
        <v>0</v>
      </c>
      <c r="I60">
        <v>0</v>
      </c>
      <c r="J60">
        <v>0</v>
      </c>
      <c r="K60">
        <v>0</v>
      </c>
      <c r="L60">
        <v>0</v>
      </c>
      <c r="M60">
        <v>0</v>
      </c>
      <c r="N60">
        <v>0</v>
      </c>
      <c r="P60" s="18">
        <f t="shared" si="1"/>
        <v>0</v>
      </c>
      <c r="Q60" s="18">
        <f t="shared" si="2"/>
        <v>0</v>
      </c>
      <c r="R60" s="18">
        <f t="shared" si="3"/>
        <v>0</v>
      </c>
      <c r="S60" s="18">
        <f t="shared" si="4"/>
        <v>0</v>
      </c>
      <c r="T60" s="18">
        <f t="shared" si="5"/>
        <v>0</v>
      </c>
      <c r="U60" s="18">
        <f t="shared" si="6"/>
        <v>0</v>
      </c>
      <c r="V60" s="18">
        <f t="shared" si="7"/>
        <v>0</v>
      </c>
      <c r="W60" s="18">
        <f t="shared" si="8"/>
        <v>0</v>
      </c>
    </row>
    <row r="61" spans="1:23" x14ac:dyDescent="0.2">
      <c r="A61" s="17">
        <v>5397</v>
      </c>
      <c r="B61">
        <v>0</v>
      </c>
      <c r="C61">
        <v>0</v>
      </c>
      <c r="D61">
        <v>0</v>
      </c>
      <c r="E61">
        <v>0</v>
      </c>
      <c r="F61">
        <v>0</v>
      </c>
      <c r="G61">
        <v>0</v>
      </c>
      <c r="H61">
        <v>0</v>
      </c>
      <c r="I61">
        <v>0</v>
      </c>
      <c r="J61">
        <v>0</v>
      </c>
      <c r="K61">
        <v>0</v>
      </c>
      <c r="L61">
        <v>0</v>
      </c>
      <c r="M61">
        <v>0</v>
      </c>
      <c r="N61">
        <v>0</v>
      </c>
      <c r="P61" s="18">
        <f t="shared" si="1"/>
        <v>0</v>
      </c>
      <c r="Q61" s="18">
        <f t="shared" si="2"/>
        <v>0</v>
      </c>
      <c r="R61" s="18">
        <f t="shared" si="3"/>
        <v>0</v>
      </c>
      <c r="S61" s="18">
        <f t="shared" si="4"/>
        <v>0</v>
      </c>
      <c r="T61" s="18">
        <f t="shared" si="5"/>
        <v>0</v>
      </c>
      <c r="U61" s="18">
        <f t="shared" si="6"/>
        <v>0</v>
      </c>
      <c r="V61" s="18">
        <f t="shared" si="7"/>
        <v>0</v>
      </c>
      <c r="W61" s="18">
        <f t="shared" si="8"/>
        <v>0</v>
      </c>
    </row>
    <row r="62" spans="1:23" x14ac:dyDescent="0.2">
      <c r="A62" s="17">
        <v>5398</v>
      </c>
      <c r="B62">
        <v>0</v>
      </c>
      <c r="C62">
        <v>0</v>
      </c>
      <c r="D62">
        <v>0</v>
      </c>
      <c r="E62">
        <v>0</v>
      </c>
      <c r="F62">
        <v>0</v>
      </c>
      <c r="G62">
        <v>0</v>
      </c>
      <c r="H62">
        <v>0</v>
      </c>
      <c r="I62">
        <v>0</v>
      </c>
      <c r="J62">
        <v>0</v>
      </c>
      <c r="K62">
        <v>0</v>
      </c>
      <c r="L62">
        <v>0</v>
      </c>
      <c r="M62">
        <v>0</v>
      </c>
      <c r="N62">
        <v>0</v>
      </c>
      <c r="P62" s="18">
        <f t="shared" si="1"/>
        <v>0</v>
      </c>
      <c r="Q62" s="18">
        <f t="shared" si="2"/>
        <v>0</v>
      </c>
      <c r="R62" s="18">
        <f t="shared" si="3"/>
        <v>0</v>
      </c>
      <c r="S62" s="18">
        <f t="shared" si="4"/>
        <v>0</v>
      </c>
      <c r="T62" s="18">
        <f t="shared" si="5"/>
        <v>0</v>
      </c>
      <c r="U62" s="18">
        <f t="shared" si="6"/>
        <v>0</v>
      </c>
      <c r="V62" s="18">
        <f t="shared" si="7"/>
        <v>0</v>
      </c>
      <c r="W62" s="18">
        <f t="shared" si="8"/>
        <v>0</v>
      </c>
    </row>
    <row r="63" spans="1:23" x14ac:dyDescent="0.2">
      <c r="A63" s="17">
        <v>9051</v>
      </c>
      <c r="B63">
        <v>0</v>
      </c>
      <c r="C63">
        <v>0</v>
      </c>
      <c r="D63">
        <v>0</v>
      </c>
      <c r="E63">
        <v>0</v>
      </c>
      <c r="F63">
        <v>0</v>
      </c>
      <c r="G63">
        <v>0</v>
      </c>
      <c r="H63">
        <v>0</v>
      </c>
      <c r="I63">
        <v>0</v>
      </c>
      <c r="J63">
        <v>0</v>
      </c>
      <c r="K63">
        <v>0</v>
      </c>
      <c r="L63">
        <v>0</v>
      </c>
      <c r="M63">
        <v>0</v>
      </c>
      <c r="N63">
        <v>0</v>
      </c>
      <c r="P63" s="18">
        <f t="shared" si="1"/>
        <v>0</v>
      </c>
      <c r="Q63" s="18">
        <f t="shared" si="2"/>
        <v>0</v>
      </c>
      <c r="R63" s="18">
        <f t="shared" si="3"/>
        <v>0</v>
      </c>
      <c r="S63" s="18">
        <f t="shared" si="4"/>
        <v>0</v>
      </c>
      <c r="T63" s="18">
        <f t="shared" si="5"/>
        <v>0</v>
      </c>
      <c r="U63" s="18">
        <f t="shared" si="6"/>
        <v>0</v>
      </c>
      <c r="V63" s="18">
        <f t="shared" si="7"/>
        <v>0</v>
      </c>
      <c r="W63" s="18">
        <f t="shared" si="8"/>
        <v>0</v>
      </c>
    </row>
    <row r="64" spans="1:23" x14ac:dyDescent="0.2">
      <c r="A64" s="17">
        <v>9126</v>
      </c>
      <c r="B64">
        <v>0</v>
      </c>
      <c r="C64">
        <v>0</v>
      </c>
      <c r="D64">
        <v>0</v>
      </c>
      <c r="E64">
        <v>0</v>
      </c>
      <c r="F64">
        <v>0</v>
      </c>
      <c r="G64">
        <v>0</v>
      </c>
      <c r="H64">
        <v>0</v>
      </c>
      <c r="I64">
        <v>0</v>
      </c>
      <c r="J64">
        <v>0</v>
      </c>
      <c r="K64">
        <v>0</v>
      </c>
      <c r="L64">
        <v>0</v>
      </c>
      <c r="M64">
        <v>0</v>
      </c>
      <c r="N64">
        <v>0</v>
      </c>
      <c r="P64" s="18">
        <f t="shared" si="1"/>
        <v>0</v>
      </c>
      <c r="Q64" s="18">
        <f t="shared" si="2"/>
        <v>0</v>
      </c>
      <c r="R64" s="18">
        <f t="shared" si="3"/>
        <v>0</v>
      </c>
      <c r="S64" s="18">
        <f t="shared" si="4"/>
        <v>0</v>
      </c>
      <c r="T64" s="18">
        <f t="shared" si="5"/>
        <v>0</v>
      </c>
      <c r="U64" s="18">
        <f t="shared" si="6"/>
        <v>0</v>
      </c>
      <c r="V64" s="18">
        <f t="shared" si="7"/>
        <v>0</v>
      </c>
      <c r="W64" s="18">
        <f t="shared" si="8"/>
        <v>0</v>
      </c>
    </row>
    <row r="65" spans="1:23" x14ac:dyDescent="0.2">
      <c r="A65" s="17">
        <v>9132</v>
      </c>
      <c r="B65">
        <v>0</v>
      </c>
      <c r="C65">
        <v>0</v>
      </c>
      <c r="D65">
        <v>0</v>
      </c>
      <c r="E65">
        <v>0</v>
      </c>
      <c r="F65">
        <v>0</v>
      </c>
      <c r="G65">
        <v>0</v>
      </c>
      <c r="H65">
        <v>0</v>
      </c>
      <c r="I65">
        <v>0</v>
      </c>
      <c r="J65">
        <v>0</v>
      </c>
      <c r="K65">
        <v>0</v>
      </c>
      <c r="L65">
        <v>0</v>
      </c>
      <c r="M65">
        <v>0</v>
      </c>
      <c r="N65">
        <v>0</v>
      </c>
      <c r="P65" s="18">
        <f t="shared" si="1"/>
        <v>0</v>
      </c>
      <c r="Q65" s="18">
        <f t="shared" si="2"/>
        <v>0</v>
      </c>
      <c r="R65" s="18">
        <f t="shared" si="3"/>
        <v>0</v>
      </c>
      <c r="S65" s="18">
        <f t="shared" si="4"/>
        <v>0</v>
      </c>
      <c r="T65" s="18">
        <f t="shared" si="5"/>
        <v>0</v>
      </c>
      <c r="U65" s="18">
        <f t="shared" si="6"/>
        <v>0</v>
      </c>
      <c r="V65" s="18">
        <f t="shared" si="7"/>
        <v>0</v>
      </c>
      <c r="W65" s="18">
        <f t="shared" si="8"/>
        <v>0</v>
      </c>
    </row>
    <row r="66" spans="1:23" x14ac:dyDescent="0.2">
      <c r="A66" s="17">
        <v>9205</v>
      </c>
      <c r="B66">
        <v>0</v>
      </c>
      <c r="C66">
        <v>0</v>
      </c>
      <c r="D66">
        <v>0</v>
      </c>
      <c r="E66">
        <v>0</v>
      </c>
      <c r="F66">
        <v>0</v>
      </c>
      <c r="G66">
        <v>0</v>
      </c>
      <c r="H66">
        <v>0</v>
      </c>
      <c r="I66">
        <v>0</v>
      </c>
      <c r="J66">
        <v>0</v>
      </c>
      <c r="K66">
        <v>0</v>
      </c>
      <c r="L66">
        <v>0</v>
      </c>
      <c r="M66">
        <v>0</v>
      </c>
      <c r="N66">
        <v>0</v>
      </c>
      <c r="P66" s="18">
        <f t="shared" si="1"/>
        <v>0</v>
      </c>
      <c r="Q66" s="18">
        <f t="shared" si="2"/>
        <v>0</v>
      </c>
      <c r="R66" s="18">
        <f t="shared" si="3"/>
        <v>0</v>
      </c>
      <c r="S66" s="18">
        <f t="shared" si="4"/>
        <v>0</v>
      </c>
      <c r="T66" s="18">
        <f t="shared" si="5"/>
        <v>0</v>
      </c>
      <c r="U66" s="18">
        <f t="shared" si="6"/>
        <v>0</v>
      </c>
      <c r="V66" s="18">
        <f t="shared" si="7"/>
        <v>0</v>
      </c>
      <c r="W66" s="18">
        <f t="shared" si="8"/>
        <v>0</v>
      </c>
    </row>
    <row r="67" spans="1:23" x14ac:dyDescent="0.2">
      <c r="A67" s="17">
        <v>9250</v>
      </c>
      <c r="B67">
        <v>0</v>
      </c>
      <c r="C67">
        <v>0</v>
      </c>
      <c r="D67">
        <v>0</v>
      </c>
      <c r="E67">
        <v>0</v>
      </c>
      <c r="F67">
        <v>0</v>
      </c>
      <c r="G67">
        <v>0</v>
      </c>
      <c r="H67">
        <v>0</v>
      </c>
      <c r="I67">
        <v>0</v>
      </c>
      <c r="J67">
        <v>0</v>
      </c>
      <c r="K67">
        <v>0</v>
      </c>
      <c r="L67">
        <v>0</v>
      </c>
      <c r="M67">
        <v>0</v>
      </c>
      <c r="N67">
        <v>0</v>
      </c>
      <c r="P67" s="18">
        <f t="shared" si="1"/>
        <v>0</v>
      </c>
      <c r="Q67" s="18">
        <f t="shared" si="2"/>
        <v>0</v>
      </c>
      <c r="R67" s="18">
        <f t="shared" si="3"/>
        <v>0</v>
      </c>
      <c r="S67" s="18">
        <f t="shared" si="4"/>
        <v>0</v>
      </c>
      <c r="T67" s="18">
        <f t="shared" si="5"/>
        <v>0</v>
      </c>
      <c r="U67" s="18">
        <f t="shared" si="6"/>
        <v>0</v>
      </c>
      <c r="V67" s="18">
        <f t="shared" si="7"/>
        <v>0</v>
      </c>
      <c r="W67" s="18">
        <f t="shared" si="8"/>
        <v>0</v>
      </c>
    </row>
    <row r="68" spans="1:23" x14ac:dyDescent="0.2">
      <c r="A68" s="17" t="s">
        <v>112</v>
      </c>
      <c r="B68">
        <v>0</v>
      </c>
      <c r="C68">
        <v>0</v>
      </c>
      <c r="D68">
        <v>0</v>
      </c>
      <c r="E68">
        <v>0</v>
      </c>
      <c r="F68">
        <v>0</v>
      </c>
      <c r="G68">
        <v>0</v>
      </c>
      <c r="H68">
        <v>0</v>
      </c>
      <c r="I68">
        <v>0</v>
      </c>
      <c r="J68">
        <v>7.1760000000000004E-2</v>
      </c>
      <c r="K68">
        <v>0</v>
      </c>
      <c r="L68">
        <v>0</v>
      </c>
      <c r="M68">
        <v>0</v>
      </c>
      <c r="N68">
        <v>0</v>
      </c>
      <c r="P68" s="18">
        <f t="shared" si="1"/>
        <v>0</v>
      </c>
      <c r="Q68" s="18">
        <f t="shared" si="2"/>
        <v>0</v>
      </c>
      <c r="R68" s="18">
        <f t="shared" si="3"/>
        <v>0</v>
      </c>
      <c r="S68" s="18">
        <f t="shared" si="4"/>
        <v>7.1760000000000004E-2</v>
      </c>
      <c r="T68" s="18">
        <f t="shared" si="5"/>
        <v>0</v>
      </c>
      <c r="U68" s="18">
        <f t="shared" si="6"/>
        <v>0</v>
      </c>
      <c r="V68" s="18">
        <f t="shared" si="7"/>
        <v>0</v>
      </c>
      <c r="W68" s="18">
        <f t="shared" si="8"/>
        <v>0</v>
      </c>
    </row>
    <row r="69" spans="1:23" x14ac:dyDescent="0.2">
      <c r="A69" s="17" t="s">
        <v>362</v>
      </c>
      <c r="B69">
        <v>0</v>
      </c>
      <c r="C69">
        <v>0</v>
      </c>
      <c r="D69">
        <v>0</v>
      </c>
      <c r="E69">
        <v>0</v>
      </c>
      <c r="F69">
        <v>0</v>
      </c>
      <c r="G69">
        <v>0</v>
      </c>
      <c r="H69">
        <v>0</v>
      </c>
      <c r="I69">
        <v>0</v>
      </c>
      <c r="J69">
        <v>0</v>
      </c>
      <c r="K69">
        <v>0</v>
      </c>
      <c r="L69">
        <v>0</v>
      </c>
      <c r="M69">
        <v>0</v>
      </c>
      <c r="N69">
        <v>0</v>
      </c>
      <c r="P69" s="18">
        <f t="shared" si="1"/>
        <v>0</v>
      </c>
      <c r="Q69" s="18">
        <f t="shared" si="2"/>
        <v>0</v>
      </c>
      <c r="R69" s="18">
        <f t="shared" si="3"/>
        <v>0</v>
      </c>
      <c r="S69" s="18">
        <f t="shared" si="4"/>
        <v>0</v>
      </c>
      <c r="T69" s="18">
        <f t="shared" si="5"/>
        <v>0</v>
      </c>
      <c r="U69" s="18">
        <f t="shared" si="6"/>
        <v>0</v>
      </c>
      <c r="V69" s="18">
        <f t="shared" si="7"/>
        <v>0</v>
      </c>
      <c r="W69" s="18">
        <f t="shared" si="8"/>
        <v>0</v>
      </c>
    </row>
    <row r="70" spans="1:23" x14ac:dyDescent="0.2">
      <c r="A70" s="17" t="s">
        <v>363</v>
      </c>
      <c r="B70">
        <v>0</v>
      </c>
      <c r="C70">
        <v>0</v>
      </c>
      <c r="D70">
        <v>0</v>
      </c>
      <c r="E70">
        <v>0</v>
      </c>
      <c r="F70">
        <v>0</v>
      </c>
      <c r="G70">
        <v>0</v>
      </c>
      <c r="H70">
        <v>0</v>
      </c>
      <c r="I70">
        <v>0</v>
      </c>
      <c r="J70">
        <v>0</v>
      </c>
      <c r="K70">
        <v>0</v>
      </c>
      <c r="L70">
        <v>0</v>
      </c>
      <c r="M70">
        <v>0</v>
      </c>
      <c r="N70">
        <v>0</v>
      </c>
      <c r="P70" s="18">
        <f t="shared" ref="P70:P133" si="9">SUM(B70,G70)</f>
        <v>0</v>
      </c>
      <c r="Q70" s="18">
        <f t="shared" ref="Q70:Q133" si="10">SUM(C70,H70)</f>
        <v>0</v>
      </c>
      <c r="R70" s="18">
        <f t="shared" ref="R70:R133" si="11">SUM(D70,I70)</f>
        <v>0</v>
      </c>
      <c r="S70" s="18">
        <f t="shared" ref="S70:S133" si="12">SUM(E70,J70)</f>
        <v>0</v>
      </c>
      <c r="T70" s="18">
        <f t="shared" ref="T70:T133" si="13">K70</f>
        <v>0</v>
      </c>
      <c r="U70" s="18">
        <f t="shared" ref="U70:U133" si="14">L70</f>
        <v>0</v>
      </c>
      <c r="V70" s="18">
        <f t="shared" ref="V70:V133" si="15">M70</f>
        <v>0</v>
      </c>
      <c r="W70" s="18">
        <f t="shared" ref="W70:W133" si="16">SUM(F70,N70)</f>
        <v>0</v>
      </c>
    </row>
    <row r="71" spans="1:23" x14ac:dyDescent="0.2">
      <c r="A71" s="17" t="s">
        <v>364</v>
      </c>
      <c r="B71">
        <v>0</v>
      </c>
      <c r="C71">
        <v>0</v>
      </c>
      <c r="D71">
        <v>0</v>
      </c>
      <c r="E71">
        <v>0</v>
      </c>
      <c r="F71">
        <v>0</v>
      </c>
      <c r="G71">
        <v>0</v>
      </c>
      <c r="H71">
        <v>0</v>
      </c>
      <c r="I71">
        <v>0</v>
      </c>
      <c r="J71">
        <v>0</v>
      </c>
      <c r="K71">
        <v>0</v>
      </c>
      <c r="L71">
        <v>0</v>
      </c>
      <c r="M71">
        <v>0</v>
      </c>
      <c r="N71">
        <v>0</v>
      </c>
      <c r="P71" s="18">
        <f t="shared" si="9"/>
        <v>0</v>
      </c>
      <c r="Q71" s="18">
        <f t="shared" si="10"/>
        <v>0</v>
      </c>
      <c r="R71" s="18">
        <f t="shared" si="11"/>
        <v>0</v>
      </c>
      <c r="S71" s="18">
        <f t="shared" si="12"/>
        <v>0</v>
      </c>
      <c r="T71" s="18">
        <f t="shared" si="13"/>
        <v>0</v>
      </c>
      <c r="U71" s="18">
        <f t="shared" si="14"/>
        <v>0</v>
      </c>
      <c r="V71" s="18">
        <f t="shared" si="15"/>
        <v>0</v>
      </c>
      <c r="W71" s="18">
        <f t="shared" si="16"/>
        <v>0</v>
      </c>
    </row>
    <row r="72" spans="1:23" x14ac:dyDescent="0.2">
      <c r="A72" s="17" t="s">
        <v>365</v>
      </c>
      <c r="B72">
        <v>0</v>
      </c>
      <c r="C72">
        <v>0</v>
      </c>
      <c r="D72">
        <v>0</v>
      </c>
      <c r="E72">
        <v>0</v>
      </c>
      <c r="F72">
        <v>0</v>
      </c>
      <c r="G72">
        <v>0</v>
      </c>
      <c r="H72">
        <v>0</v>
      </c>
      <c r="I72">
        <v>0</v>
      </c>
      <c r="J72">
        <v>0</v>
      </c>
      <c r="K72">
        <v>0</v>
      </c>
      <c r="L72">
        <v>0</v>
      </c>
      <c r="M72">
        <v>0</v>
      </c>
      <c r="N72">
        <v>0</v>
      </c>
      <c r="P72" s="18">
        <f t="shared" si="9"/>
        <v>0</v>
      </c>
      <c r="Q72" s="18">
        <f t="shared" si="10"/>
        <v>0</v>
      </c>
      <c r="R72" s="18">
        <f t="shared" si="11"/>
        <v>0</v>
      </c>
      <c r="S72" s="18">
        <f t="shared" si="12"/>
        <v>0</v>
      </c>
      <c r="T72" s="18">
        <f t="shared" si="13"/>
        <v>0</v>
      </c>
      <c r="U72" s="18">
        <f t="shared" si="14"/>
        <v>0</v>
      </c>
      <c r="V72" s="18">
        <f t="shared" si="15"/>
        <v>0</v>
      </c>
      <c r="W72" s="18">
        <f t="shared" si="16"/>
        <v>0</v>
      </c>
    </row>
    <row r="73" spans="1:23" x14ac:dyDescent="0.2">
      <c r="A73" s="17" t="s">
        <v>382</v>
      </c>
      <c r="B73">
        <v>0</v>
      </c>
      <c r="C73">
        <v>0</v>
      </c>
      <c r="D73">
        <v>0</v>
      </c>
      <c r="E73">
        <v>0</v>
      </c>
      <c r="F73">
        <v>0</v>
      </c>
      <c r="G73">
        <v>0</v>
      </c>
      <c r="H73">
        <v>0</v>
      </c>
      <c r="I73">
        <v>0</v>
      </c>
      <c r="J73">
        <v>0</v>
      </c>
      <c r="K73">
        <v>0</v>
      </c>
      <c r="L73">
        <v>0</v>
      </c>
      <c r="M73">
        <v>0</v>
      </c>
      <c r="N73">
        <v>0</v>
      </c>
      <c r="P73" s="18">
        <f t="shared" si="9"/>
        <v>0</v>
      </c>
      <c r="Q73" s="18">
        <f t="shared" si="10"/>
        <v>0</v>
      </c>
      <c r="R73" s="18">
        <f t="shared" si="11"/>
        <v>0</v>
      </c>
      <c r="S73" s="18">
        <f t="shared" si="12"/>
        <v>0</v>
      </c>
      <c r="T73" s="18">
        <f t="shared" si="13"/>
        <v>0</v>
      </c>
      <c r="U73" s="18">
        <f t="shared" si="14"/>
        <v>0</v>
      </c>
      <c r="V73" s="18">
        <f t="shared" si="15"/>
        <v>0</v>
      </c>
      <c r="W73" s="18">
        <f t="shared" si="16"/>
        <v>0</v>
      </c>
    </row>
    <row r="74" spans="1:23" x14ac:dyDescent="0.2">
      <c r="A74" s="17">
        <v>5405</v>
      </c>
      <c r="B74">
        <v>0</v>
      </c>
      <c r="C74">
        <v>0</v>
      </c>
      <c r="D74">
        <v>0</v>
      </c>
      <c r="E74">
        <v>0</v>
      </c>
      <c r="F74">
        <v>0</v>
      </c>
      <c r="G74">
        <v>0</v>
      </c>
      <c r="H74">
        <v>0</v>
      </c>
      <c r="I74">
        <v>0</v>
      </c>
      <c r="J74">
        <v>0</v>
      </c>
      <c r="K74">
        <v>0</v>
      </c>
      <c r="L74">
        <v>0</v>
      </c>
      <c r="M74">
        <v>0</v>
      </c>
      <c r="N74">
        <v>0</v>
      </c>
      <c r="P74" s="18">
        <f t="shared" si="9"/>
        <v>0</v>
      </c>
      <c r="Q74" s="18">
        <f t="shared" si="10"/>
        <v>0</v>
      </c>
      <c r="R74" s="18">
        <f t="shared" si="11"/>
        <v>0</v>
      </c>
      <c r="S74" s="18">
        <f t="shared" si="12"/>
        <v>0</v>
      </c>
      <c r="T74" s="18">
        <f t="shared" si="13"/>
        <v>0</v>
      </c>
      <c r="U74" s="18">
        <f t="shared" si="14"/>
        <v>0</v>
      </c>
      <c r="V74" s="18">
        <f t="shared" si="15"/>
        <v>0</v>
      </c>
      <c r="W74" s="18">
        <f t="shared" si="16"/>
        <v>0</v>
      </c>
    </row>
    <row r="75" spans="1:23" x14ac:dyDescent="0.2">
      <c r="A75" s="17">
        <v>5412</v>
      </c>
      <c r="B75">
        <v>0</v>
      </c>
      <c r="C75">
        <v>0</v>
      </c>
      <c r="D75">
        <v>0</v>
      </c>
      <c r="E75">
        <v>0</v>
      </c>
      <c r="F75">
        <v>0</v>
      </c>
      <c r="G75">
        <v>0</v>
      </c>
      <c r="H75">
        <v>0</v>
      </c>
      <c r="I75">
        <v>0</v>
      </c>
      <c r="J75">
        <v>0</v>
      </c>
      <c r="K75">
        <v>0</v>
      </c>
      <c r="L75">
        <v>0</v>
      </c>
      <c r="M75">
        <v>0</v>
      </c>
      <c r="N75">
        <v>0</v>
      </c>
      <c r="P75" s="18">
        <f t="shared" si="9"/>
        <v>0</v>
      </c>
      <c r="Q75" s="18">
        <f t="shared" si="10"/>
        <v>0</v>
      </c>
      <c r="R75" s="18">
        <f t="shared" si="11"/>
        <v>0</v>
      </c>
      <c r="S75" s="18">
        <f t="shared" si="12"/>
        <v>0</v>
      </c>
      <c r="T75" s="18">
        <f t="shared" si="13"/>
        <v>0</v>
      </c>
      <c r="U75" s="18">
        <f t="shared" si="14"/>
        <v>0</v>
      </c>
      <c r="V75" s="18">
        <f t="shared" si="15"/>
        <v>0</v>
      </c>
      <c r="W75" s="18">
        <f t="shared" si="16"/>
        <v>0</v>
      </c>
    </row>
    <row r="76" spans="1:23" x14ac:dyDescent="0.2">
      <c r="A76" s="17">
        <v>5424</v>
      </c>
      <c r="B76">
        <v>0</v>
      </c>
      <c r="C76">
        <v>0</v>
      </c>
      <c r="D76">
        <v>0</v>
      </c>
      <c r="E76">
        <v>0</v>
      </c>
      <c r="F76">
        <v>0</v>
      </c>
      <c r="G76">
        <v>0</v>
      </c>
      <c r="H76">
        <v>0</v>
      </c>
      <c r="I76">
        <v>0</v>
      </c>
      <c r="J76">
        <v>0</v>
      </c>
      <c r="K76">
        <v>0</v>
      </c>
      <c r="L76">
        <v>0</v>
      </c>
      <c r="M76">
        <v>0</v>
      </c>
      <c r="N76">
        <v>0</v>
      </c>
      <c r="P76" s="18">
        <f t="shared" si="9"/>
        <v>0</v>
      </c>
      <c r="Q76" s="18">
        <f t="shared" si="10"/>
        <v>0</v>
      </c>
      <c r="R76" s="18">
        <f t="shared" si="11"/>
        <v>0</v>
      </c>
      <c r="S76" s="18">
        <f t="shared" si="12"/>
        <v>0</v>
      </c>
      <c r="T76" s="18">
        <f t="shared" si="13"/>
        <v>0</v>
      </c>
      <c r="U76" s="18">
        <f t="shared" si="14"/>
        <v>0</v>
      </c>
      <c r="V76" s="18">
        <f t="shared" si="15"/>
        <v>0</v>
      </c>
      <c r="W76" s="18">
        <f t="shared" si="16"/>
        <v>0</v>
      </c>
    </row>
    <row r="77" spans="1:23" x14ac:dyDescent="0.2">
      <c r="A77" s="17">
        <v>5427</v>
      </c>
      <c r="B77">
        <v>0</v>
      </c>
      <c r="C77">
        <v>0</v>
      </c>
      <c r="D77">
        <v>0</v>
      </c>
      <c r="E77">
        <v>0</v>
      </c>
      <c r="F77">
        <v>0</v>
      </c>
      <c r="G77">
        <v>0</v>
      </c>
      <c r="H77">
        <v>0</v>
      </c>
      <c r="I77">
        <v>0</v>
      </c>
      <c r="J77">
        <v>0</v>
      </c>
      <c r="K77">
        <v>0</v>
      </c>
      <c r="L77">
        <v>0</v>
      </c>
      <c r="M77">
        <v>0</v>
      </c>
      <c r="N77">
        <v>0</v>
      </c>
      <c r="P77" s="18">
        <f t="shared" si="9"/>
        <v>0</v>
      </c>
      <c r="Q77" s="18">
        <f t="shared" si="10"/>
        <v>0</v>
      </c>
      <c r="R77" s="18">
        <f t="shared" si="11"/>
        <v>0</v>
      </c>
      <c r="S77" s="18">
        <f t="shared" si="12"/>
        <v>0</v>
      </c>
      <c r="T77" s="18">
        <f t="shared" si="13"/>
        <v>0</v>
      </c>
      <c r="U77" s="18">
        <f t="shared" si="14"/>
        <v>0</v>
      </c>
      <c r="V77" s="18">
        <f t="shared" si="15"/>
        <v>0</v>
      </c>
      <c r="W77" s="18">
        <f t="shared" si="16"/>
        <v>0</v>
      </c>
    </row>
    <row r="78" spans="1:23" x14ac:dyDescent="0.2">
      <c r="A78" s="17">
        <v>5428</v>
      </c>
      <c r="B78">
        <v>0</v>
      </c>
      <c r="C78">
        <v>0</v>
      </c>
      <c r="D78">
        <v>0</v>
      </c>
      <c r="E78">
        <v>0</v>
      </c>
      <c r="F78">
        <v>0</v>
      </c>
      <c r="G78">
        <v>0</v>
      </c>
      <c r="H78">
        <v>0</v>
      </c>
      <c r="I78">
        <v>0</v>
      </c>
      <c r="J78">
        <v>0</v>
      </c>
      <c r="K78">
        <v>0</v>
      </c>
      <c r="L78">
        <v>0</v>
      </c>
      <c r="M78">
        <v>0</v>
      </c>
      <c r="N78">
        <v>0</v>
      </c>
      <c r="P78" s="18">
        <f t="shared" si="9"/>
        <v>0</v>
      </c>
      <c r="Q78" s="18">
        <f t="shared" si="10"/>
        <v>0</v>
      </c>
      <c r="R78" s="18">
        <f t="shared" si="11"/>
        <v>0</v>
      </c>
      <c r="S78" s="18">
        <f t="shared" si="12"/>
        <v>0</v>
      </c>
      <c r="T78" s="18">
        <f t="shared" si="13"/>
        <v>0</v>
      </c>
      <c r="U78" s="18">
        <f t="shared" si="14"/>
        <v>0</v>
      </c>
      <c r="V78" s="18">
        <f t="shared" si="15"/>
        <v>0</v>
      </c>
      <c r="W78" s="18">
        <f t="shared" si="16"/>
        <v>0</v>
      </c>
    </row>
    <row r="79" spans="1:23" x14ac:dyDescent="0.2">
      <c r="A79" s="17">
        <v>5430</v>
      </c>
      <c r="B79">
        <v>0</v>
      </c>
      <c r="C79">
        <v>0</v>
      </c>
      <c r="D79">
        <v>0</v>
      </c>
      <c r="E79">
        <v>0</v>
      </c>
      <c r="F79">
        <v>0</v>
      </c>
      <c r="G79">
        <v>0</v>
      </c>
      <c r="H79">
        <v>0</v>
      </c>
      <c r="I79">
        <v>0</v>
      </c>
      <c r="J79">
        <v>0</v>
      </c>
      <c r="K79">
        <v>0</v>
      </c>
      <c r="L79">
        <v>0</v>
      </c>
      <c r="M79">
        <v>0</v>
      </c>
      <c r="N79">
        <v>0</v>
      </c>
      <c r="P79" s="18">
        <f t="shared" si="9"/>
        <v>0</v>
      </c>
      <c r="Q79" s="18">
        <f t="shared" si="10"/>
        <v>0</v>
      </c>
      <c r="R79" s="18">
        <f t="shared" si="11"/>
        <v>0</v>
      </c>
      <c r="S79" s="18">
        <f t="shared" si="12"/>
        <v>0</v>
      </c>
      <c r="T79" s="18">
        <f t="shared" si="13"/>
        <v>0</v>
      </c>
      <c r="U79" s="18">
        <f t="shared" si="14"/>
        <v>0</v>
      </c>
      <c r="V79" s="18">
        <f t="shared" si="15"/>
        <v>0</v>
      </c>
      <c r="W79" s="18">
        <f t="shared" si="16"/>
        <v>0</v>
      </c>
    </row>
    <row r="80" spans="1:23" x14ac:dyDescent="0.2">
      <c r="A80" s="17">
        <v>5432</v>
      </c>
      <c r="B80">
        <v>0</v>
      </c>
      <c r="C80">
        <v>0</v>
      </c>
      <c r="D80">
        <v>0</v>
      </c>
      <c r="E80">
        <v>0</v>
      </c>
      <c r="F80">
        <v>0</v>
      </c>
      <c r="G80">
        <v>0</v>
      </c>
      <c r="H80">
        <v>0</v>
      </c>
      <c r="I80">
        <v>0</v>
      </c>
      <c r="J80">
        <v>0</v>
      </c>
      <c r="K80">
        <v>0</v>
      </c>
      <c r="L80">
        <v>0</v>
      </c>
      <c r="M80">
        <v>0</v>
      </c>
      <c r="N80">
        <v>0</v>
      </c>
      <c r="P80" s="18">
        <f t="shared" si="9"/>
        <v>0</v>
      </c>
      <c r="Q80" s="18">
        <f t="shared" si="10"/>
        <v>0</v>
      </c>
      <c r="R80" s="18">
        <f t="shared" si="11"/>
        <v>0</v>
      </c>
      <c r="S80" s="18">
        <f t="shared" si="12"/>
        <v>0</v>
      </c>
      <c r="T80" s="18">
        <f t="shared" si="13"/>
        <v>0</v>
      </c>
      <c r="U80" s="18">
        <f t="shared" si="14"/>
        <v>0</v>
      </c>
      <c r="V80" s="18">
        <f t="shared" si="15"/>
        <v>0</v>
      </c>
      <c r="W80" s="18">
        <f t="shared" si="16"/>
        <v>0</v>
      </c>
    </row>
    <row r="81" spans="1:23" x14ac:dyDescent="0.2">
      <c r="A81" s="17">
        <v>5437</v>
      </c>
      <c r="B81">
        <v>0</v>
      </c>
      <c r="C81">
        <v>0</v>
      </c>
      <c r="D81">
        <v>0</v>
      </c>
      <c r="E81">
        <v>0</v>
      </c>
      <c r="F81">
        <v>0</v>
      </c>
      <c r="G81">
        <v>0</v>
      </c>
      <c r="H81">
        <v>0</v>
      </c>
      <c r="I81">
        <v>0</v>
      </c>
      <c r="J81">
        <v>0</v>
      </c>
      <c r="K81">
        <v>0</v>
      </c>
      <c r="L81">
        <v>0</v>
      </c>
      <c r="M81">
        <v>0</v>
      </c>
      <c r="N81">
        <v>0</v>
      </c>
      <c r="P81" s="18">
        <f t="shared" si="9"/>
        <v>0</v>
      </c>
      <c r="Q81" s="18">
        <f t="shared" si="10"/>
        <v>0</v>
      </c>
      <c r="R81" s="18">
        <f t="shared" si="11"/>
        <v>0</v>
      </c>
      <c r="S81" s="18">
        <f t="shared" si="12"/>
        <v>0</v>
      </c>
      <c r="T81" s="18">
        <f t="shared" si="13"/>
        <v>0</v>
      </c>
      <c r="U81" s="18">
        <f t="shared" si="14"/>
        <v>0</v>
      </c>
      <c r="V81" s="18">
        <f t="shared" si="15"/>
        <v>0</v>
      </c>
      <c r="W81" s="18">
        <f t="shared" si="16"/>
        <v>0</v>
      </c>
    </row>
    <row r="82" spans="1:23" x14ac:dyDescent="0.2">
      <c r="A82" s="17">
        <v>5442</v>
      </c>
      <c r="B82">
        <v>0</v>
      </c>
      <c r="C82">
        <v>0</v>
      </c>
      <c r="D82">
        <v>0</v>
      </c>
      <c r="E82">
        <v>0</v>
      </c>
      <c r="F82">
        <v>0</v>
      </c>
      <c r="G82">
        <v>0</v>
      </c>
      <c r="H82">
        <v>0</v>
      </c>
      <c r="I82">
        <v>0</v>
      </c>
      <c r="J82">
        <v>0</v>
      </c>
      <c r="K82">
        <v>0</v>
      </c>
      <c r="L82">
        <v>0</v>
      </c>
      <c r="M82">
        <v>0</v>
      </c>
      <c r="N82">
        <v>0</v>
      </c>
      <c r="P82" s="18">
        <f t="shared" si="9"/>
        <v>0</v>
      </c>
      <c r="Q82" s="18">
        <f t="shared" si="10"/>
        <v>0</v>
      </c>
      <c r="R82" s="18">
        <f t="shared" si="11"/>
        <v>0</v>
      </c>
      <c r="S82" s="18">
        <f t="shared" si="12"/>
        <v>0</v>
      </c>
      <c r="T82" s="18">
        <f t="shared" si="13"/>
        <v>0</v>
      </c>
      <c r="U82" s="18">
        <f t="shared" si="14"/>
        <v>0</v>
      </c>
      <c r="V82" s="18">
        <f t="shared" si="15"/>
        <v>0</v>
      </c>
      <c r="W82" s="18">
        <f t="shared" si="16"/>
        <v>0</v>
      </c>
    </row>
    <row r="83" spans="1:23" x14ac:dyDescent="0.2">
      <c r="A83" s="17">
        <v>5445</v>
      </c>
      <c r="B83">
        <v>0</v>
      </c>
      <c r="C83">
        <v>0</v>
      </c>
      <c r="D83">
        <v>0</v>
      </c>
      <c r="E83">
        <v>0</v>
      </c>
      <c r="F83">
        <v>0</v>
      </c>
      <c r="G83">
        <v>0</v>
      </c>
      <c r="H83">
        <v>0</v>
      </c>
      <c r="I83">
        <v>0</v>
      </c>
      <c r="J83">
        <v>0</v>
      </c>
      <c r="K83">
        <v>0</v>
      </c>
      <c r="L83">
        <v>0</v>
      </c>
      <c r="M83">
        <v>0</v>
      </c>
      <c r="N83">
        <v>0</v>
      </c>
      <c r="P83" s="18">
        <f t="shared" si="9"/>
        <v>0</v>
      </c>
      <c r="Q83" s="18">
        <f t="shared" si="10"/>
        <v>0</v>
      </c>
      <c r="R83" s="18">
        <f t="shared" si="11"/>
        <v>0</v>
      </c>
      <c r="S83" s="18">
        <f t="shared" si="12"/>
        <v>0</v>
      </c>
      <c r="T83" s="18">
        <f t="shared" si="13"/>
        <v>0</v>
      </c>
      <c r="U83" s="18">
        <f t="shared" si="14"/>
        <v>0</v>
      </c>
      <c r="V83" s="18">
        <f t="shared" si="15"/>
        <v>0</v>
      </c>
      <c r="W83" s="18">
        <f t="shared" si="16"/>
        <v>0</v>
      </c>
    </row>
    <row r="84" spans="1:23" x14ac:dyDescent="0.2">
      <c r="A84" s="17">
        <v>5457</v>
      </c>
      <c r="B84">
        <v>0</v>
      </c>
      <c r="C84">
        <v>0</v>
      </c>
      <c r="D84">
        <v>0</v>
      </c>
      <c r="E84">
        <v>0</v>
      </c>
      <c r="F84">
        <v>0</v>
      </c>
      <c r="G84">
        <v>0</v>
      </c>
      <c r="H84">
        <v>0</v>
      </c>
      <c r="I84">
        <v>0</v>
      </c>
      <c r="J84">
        <v>0</v>
      </c>
      <c r="K84">
        <v>0</v>
      </c>
      <c r="L84">
        <v>0</v>
      </c>
      <c r="M84">
        <v>0</v>
      </c>
      <c r="N84">
        <v>0</v>
      </c>
      <c r="P84" s="18">
        <f t="shared" si="9"/>
        <v>0</v>
      </c>
      <c r="Q84" s="18">
        <f t="shared" si="10"/>
        <v>0</v>
      </c>
      <c r="R84" s="18">
        <f t="shared" si="11"/>
        <v>0</v>
      </c>
      <c r="S84" s="18">
        <f t="shared" si="12"/>
        <v>0</v>
      </c>
      <c r="T84" s="18">
        <f t="shared" si="13"/>
        <v>0</v>
      </c>
      <c r="U84" s="18">
        <f t="shared" si="14"/>
        <v>0</v>
      </c>
      <c r="V84" s="18">
        <f t="shared" si="15"/>
        <v>0</v>
      </c>
      <c r="W84" s="18">
        <f t="shared" si="16"/>
        <v>0</v>
      </c>
    </row>
    <row r="85" spans="1:23" x14ac:dyDescent="0.2">
      <c r="A85" s="17">
        <v>5458</v>
      </c>
      <c r="B85">
        <v>0</v>
      </c>
      <c r="C85">
        <v>0</v>
      </c>
      <c r="D85">
        <v>0</v>
      </c>
      <c r="E85">
        <v>0</v>
      </c>
      <c r="F85">
        <v>0</v>
      </c>
      <c r="G85">
        <v>0</v>
      </c>
      <c r="H85">
        <v>0</v>
      </c>
      <c r="I85">
        <v>0</v>
      </c>
      <c r="J85">
        <v>0</v>
      </c>
      <c r="K85">
        <v>0</v>
      </c>
      <c r="L85">
        <v>0</v>
      </c>
      <c r="M85">
        <v>0</v>
      </c>
      <c r="N85">
        <v>0</v>
      </c>
      <c r="P85" s="18">
        <f t="shared" si="9"/>
        <v>0</v>
      </c>
      <c r="Q85" s="18">
        <f t="shared" si="10"/>
        <v>0</v>
      </c>
      <c r="R85" s="18">
        <f t="shared" si="11"/>
        <v>0</v>
      </c>
      <c r="S85" s="18">
        <f t="shared" si="12"/>
        <v>0</v>
      </c>
      <c r="T85" s="18">
        <f t="shared" si="13"/>
        <v>0</v>
      </c>
      <c r="U85" s="18">
        <f t="shared" si="14"/>
        <v>0</v>
      </c>
      <c r="V85" s="18">
        <f t="shared" si="15"/>
        <v>0</v>
      </c>
      <c r="W85" s="18">
        <f t="shared" si="16"/>
        <v>0</v>
      </c>
    </row>
    <row r="86" spans="1:23" x14ac:dyDescent="0.2">
      <c r="A86" s="17">
        <v>5456</v>
      </c>
      <c r="B86">
        <v>0</v>
      </c>
      <c r="C86">
        <v>0</v>
      </c>
      <c r="D86">
        <v>0</v>
      </c>
      <c r="E86">
        <v>0</v>
      </c>
      <c r="F86">
        <v>0</v>
      </c>
      <c r="G86">
        <v>0</v>
      </c>
      <c r="H86">
        <v>0</v>
      </c>
      <c r="I86">
        <v>0</v>
      </c>
      <c r="J86">
        <v>0</v>
      </c>
      <c r="K86">
        <v>0</v>
      </c>
      <c r="L86">
        <v>0</v>
      </c>
      <c r="M86">
        <v>0</v>
      </c>
      <c r="N86">
        <v>0</v>
      </c>
      <c r="P86" s="18">
        <f t="shared" si="9"/>
        <v>0</v>
      </c>
      <c r="Q86" s="18">
        <f t="shared" si="10"/>
        <v>0</v>
      </c>
      <c r="R86" s="18">
        <f t="shared" si="11"/>
        <v>0</v>
      </c>
      <c r="S86" s="18">
        <f t="shared" si="12"/>
        <v>0</v>
      </c>
      <c r="T86" s="18">
        <f t="shared" si="13"/>
        <v>0</v>
      </c>
      <c r="U86" s="18">
        <f t="shared" si="14"/>
        <v>0</v>
      </c>
      <c r="V86" s="18">
        <f t="shared" si="15"/>
        <v>0</v>
      </c>
      <c r="W86" s="18">
        <f t="shared" si="16"/>
        <v>0</v>
      </c>
    </row>
    <row r="87" spans="1:23" x14ac:dyDescent="0.2">
      <c r="A87" s="17" t="s">
        <v>43</v>
      </c>
      <c r="B87">
        <v>0</v>
      </c>
      <c r="C87">
        <v>0</v>
      </c>
      <c r="D87">
        <v>0</v>
      </c>
      <c r="E87">
        <v>0</v>
      </c>
      <c r="F87">
        <v>0</v>
      </c>
      <c r="G87">
        <v>0</v>
      </c>
      <c r="H87">
        <v>0</v>
      </c>
      <c r="I87">
        <v>0</v>
      </c>
      <c r="J87">
        <v>0</v>
      </c>
      <c r="K87">
        <v>0</v>
      </c>
      <c r="L87">
        <v>0</v>
      </c>
      <c r="M87">
        <v>0</v>
      </c>
      <c r="N87">
        <v>0</v>
      </c>
      <c r="P87" s="18">
        <f t="shared" si="9"/>
        <v>0</v>
      </c>
      <c r="Q87" s="18">
        <f t="shared" si="10"/>
        <v>0</v>
      </c>
      <c r="R87" s="18">
        <f t="shared" si="11"/>
        <v>0</v>
      </c>
      <c r="S87" s="18">
        <f t="shared" si="12"/>
        <v>0</v>
      </c>
      <c r="T87" s="18">
        <f t="shared" si="13"/>
        <v>0</v>
      </c>
      <c r="U87" s="18">
        <f t="shared" si="14"/>
        <v>0</v>
      </c>
      <c r="V87" s="18">
        <f t="shared" si="15"/>
        <v>0</v>
      </c>
      <c r="W87" s="18">
        <f t="shared" si="16"/>
        <v>0</v>
      </c>
    </row>
    <row r="88" spans="1:23" x14ac:dyDescent="0.2">
      <c r="A88" s="17">
        <v>5463</v>
      </c>
      <c r="B88">
        <v>0.17200000000000001</v>
      </c>
      <c r="C88">
        <v>0.68800000000000006</v>
      </c>
      <c r="D88">
        <v>0</v>
      </c>
      <c r="E88">
        <v>0</v>
      </c>
      <c r="F88">
        <v>0</v>
      </c>
      <c r="G88">
        <v>8.2510000000000014E-2</v>
      </c>
      <c r="H88">
        <v>0.10924</v>
      </c>
      <c r="I88">
        <v>0</v>
      </c>
      <c r="J88">
        <v>0</v>
      </c>
      <c r="K88">
        <v>0</v>
      </c>
      <c r="L88">
        <v>0</v>
      </c>
      <c r="M88">
        <v>4.0000000000000003E-5</v>
      </c>
      <c r="N88">
        <v>0</v>
      </c>
      <c r="P88" s="18">
        <f t="shared" si="9"/>
        <v>0.25451000000000001</v>
      </c>
      <c r="Q88" s="18">
        <f t="shared" si="10"/>
        <v>0.79724000000000006</v>
      </c>
      <c r="R88" s="18">
        <f t="shared" si="11"/>
        <v>0</v>
      </c>
      <c r="S88" s="18">
        <f t="shared" si="12"/>
        <v>0</v>
      </c>
      <c r="T88" s="18">
        <f t="shared" si="13"/>
        <v>0</v>
      </c>
      <c r="U88" s="18">
        <f t="shared" si="14"/>
        <v>0</v>
      </c>
      <c r="V88" s="18">
        <f t="shared" si="15"/>
        <v>4.0000000000000003E-5</v>
      </c>
      <c r="W88" s="18">
        <f t="shared" si="16"/>
        <v>0</v>
      </c>
    </row>
    <row r="89" spans="1:23" x14ac:dyDescent="0.2">
      <c r="A89" s="17">
        <v>5475</v>
      </c>
      <c r="B89">
        <v>0</v>
      </c>
      <c r="C89">
        <v>0</v>
      </c>
      <c r="D89">
        <v>0</v>
      </c>
      <c r="E89">
        <v>0</v>
      </c>
      <c r="F89">
        <v>0</v>
      </c>
      <c r="G89">
        <v>0</v>
      </c>
      <c r="H89">
        <v>0</v>
      </c>
      <c r="I89">
        <v>0</v>
      </c>
      <c r="J89">
        <v>0</v>
      </c>
      <c r="K89">
        <v>0</v>
      </c>
      <c r="L89">
        <v>0</v>
      </c>
      <c r="M89">
        <v>0</v>
      </c>
      <c r="N89">
        <v>0</v>
      </c>
      <c r="P89" s="18">
        <f t="shared" si="9"/>
        <v>0</v>
      </c>
      <c r="Q89" s="18">
        <f t="shared" si="10"/>
        <v>0</v>
      </c>
      <c r="R89" s="18">
        <f t="shared" si="11"/>
        <v>0</v>
      </c>
      <c r="S89" s="18">
        <f t="shared" si="12"/>
        <v>0</v>
      </c>
      <c r="T89" s="18">
        <f t="shared" si="13"/>
        <v>0</v>
      </c>
      <c r="U89" s="18">
        <f t="shared" si="14"/>
        <v>0</v>
      </c>
      <c r="V89" s="18">
        <f t="shared" si="15"/>
        <v>0</v>
      </c>
      <c r="W89" s="18">
        <f t="shared" si="16"/>
        <v>0</v>
      </c>
    </row>
    <row r="90" spans="1:23" x14ac:dyDescent="0.2">
      <c r="A90" s="17">
        <v>5478</v>
      </c>
      <c r="B90">
        <v>0</v>
      </c>
      <c r="C90">
        <v>0</v>
      </c>
      <c r="D90">
        <v>0</v>
      </c>
      <c r="E90">
        <v>0</v>
      </c>
      <c r="F90">
        <v>0</v>
      </c>
      <c r="G90">
        <v>0</v>
      </c>
      <c r="H90">
        <v>0</v>
      </c>
      <c r="I90">
        <v>0</v>
      </c>
      <c r="J90">
        <v>0</v>
      </c>
      <c r="K90">
        <v>0</v>
      </c>
      <c r="L90">
        <v>0</v>
      </c>
      <c r="M90">
        <v>0</v>
      </c>
      <c r="N90">
        <v>0</v>
      </c>
      <c r="P90" s="18">
        <f t="shared" si="9"/>
        <v>0</v>
      </c>
      <c r="Q90" s="18">
        <f t="shared" si="10"/>
        <v>0</v>
      </c>
      <c r="R90" s="18">
        <f t="shared" si="11"/>
        <v>0</v>
      </c>
      <c r="S90" s="18">
        <f t="shared" si="12"/>
        <v>0</v>
      </c>
      <c r="T90" s="18">
        <f t="shared" si="13"/>
        <v>0</v>
      </c>
      <c r="U90" s="18">
        <f t="shared" si="14"/>
        <v>0</v>
      </c>
      <c r="V90" s="18">
        <f t="shared" si="15"/>
        <v>0</v>
      </c>
      <c r="W90" s="18">
        <f t="shared" si="16"/>
        <v>0</v>
      </c>
    </row>
    <row r="91" spans="1:23" x14ac:dyDescent="0.2">
      <c r="A91" s="17">
        <v>5114</v>
      </c>
      <c r="B91">
        <v>0</v>
      </c>
      <c r="C91">
        <v>0</v>
      </c>
      <c r="D91">
        <v>0</v>
      </c>
      <c r="E91">
        <v>0</v>
      </c>
      <c r="F91">
        <v>0</v>
      </c>
      <c r="G91">
        <v>0</v>
      </c>
      <c r="H91">
        <v>0</v>
      </c>
      <c r="I91">
        <v>0</v>
      </c>
      <c r="J91">
        <v>0</v>
      </c>
      <c r="K91">
        <v>0</v>
      </c>
      <c r="L91">
        <v>0</v>
      </c>
      <c r="M91">
        <v>0</v>
      </c>
      <c r="N91">
        <v>0</v>
      </c>
      <c r="P91" s="18">
        <f t="shared" si="9"/>
        <v>0</v>
      </c>
      <c r="Q91" s="18">
        <f t="shared" si="10"/>
        <v>0</v>
      </c>
      <c r="R91" s="18">
        <f t="shared" si="11"/>
        <v>0</v>
      </c>
      <c r="S91" s="18">
        <f t="shared" si="12"/>
        <v>0</v>
      </c>
      <c r="T91" s="18">
        <f t="shared" si="13"/>
        <v>0</v>
      </c>
      <c r="U91" s="18">
        <f t="shared" si="14"/>
        <v>0</v>
      </c>
      <c r="V91" s="18">
        <f t="shared" si="15"/>
        <v>0</v>
      </c>
      <c r="W91" s="18">
        <f t="shared" si="16"/>
        <v>0</v>
      </c>
    </row>
    <row r="92" spans="1:23" x14ac:dyDescent="0.2">
      <c r="A92" s="17">
        <v>5489</v>
      </c>
      <c r="B92">
        <v>0</v>
      </c>
      <c r="C92">
        <v>0</v>
      </c>
      <c r="D92">
        <v>0</v>
      </c>
      <c r="E92">
        <v>0</v>
      </c>
      <c r="F92">
        <v>0</v>
      </c>
      <c r="G92">
        <v>0</v>
      </c>
      <c r="H92">
        <v>0</v>
      </c>
      <c r="I92">
        <v>0</v>
      </c>
      <c r="J92">
        <v>0</v>
      </c>
      <c r="K92">
        <v>0</v>
      </c>
      <c r="L92">
        <v>0</v>
      </c>
      <c r="M92">
        <v>0</v>
      </c>
      <c r="N92">
        <v>0</v>
      </c>
      <c r="P92" s="18">
        <f t="shared" si="9"/>
        <v>0</v>
      </c>
      <c r="Q92" s="18">
        <f t="shared" si="10"/>
        <v>0</v>
      </c>
      <c r="R92" s="18">
        <f t="shared" si="11"/>
        <v>0</v>
      </c>
      <c r="S92" s="18">
        <f t="shared" si="12"/>
        <v>0</v>
      </c>
      <c r="T92" s="18">
        <f t="shared" si="13"/>
        <v>0</v>
      </c>
      <c r="U92" s="18">
        <f t="shared" si="14"/>
        <v>0</v>
      </c>
      <c r="V92" s="18">
        <f t="shared" si="15"/>
        <v>0</v>
      </c>
      <c r="W92" s="18">
        <f t="shared" si="16"/>
        <v>0</v>
      </c>
    </row>
    <row r="93" spans="1:23" x14ac:dyDescent="0.2">
      <c r="A93" s="17">
        <v>5488</v>
      </c>
      <c r="B93">
        <v>0</v>
      </c>
      <c r="C93">
        <v>0</v>
      </c>
      <c r="D93">
        <v>0</v>
      </c>
      <c r="E93">
        <v>0</v>
      </c>
      <c r="F93">
        <v>0</v>
      </c>
      <c r="G93">
        <v>0</v>
      </c>
      <c r="H93">
        <v>0</v>
      </c>
      <c r="I93">
        <v>0</v>
      </c>
      <c r="J93">
        <v>0</v>
      </c>
      <c r="K93">
        <v>0</v>
      </c>
      <c r="L93">
        <v>0</v>
      </c>
      <c r="M93">
        <v>0</v>
      </c>
      <c r="N93">
        <v>0</v>
      </c>
      <c r="P93" s="18">
        <f t="shared" si="9"/>
        <v>0</v>
      </c>
      <c r="Q93" s="18">
        <f t="shared" si="10"/>
        <v>0</v>
      </c>
      <c r="R93" s="18">
        <f t="shared" si="11"/>
        <v>0</v>
      </c>
      <c r="S93" s="18">
        <f t="shared" si="12"/>
        <v>0</v>
      </c>
      <c r="T93" s="18">
        <f t="shared" si="13"/>
        <v>0</v>
      </c>
      <c r="U93" s="18">
        <f t="shared" si="14"/>
        <v>0</v>
      </c>
      <c r="V93" s="18">
        <f t="shared" si="15"/>
        <v>0</v>
      </c>
      <c r="W93" s="18">
        <f t="shared" si="16"/>
        <v>0</v>
      </c>
    </row>
    <row r="94" spans="1:23" x14ac:dyDescent="0.2">
      <c r="A94" s="17">
        <v>5491</v>
      </c>
      <c r="B94">
        <v>0</v>
      </c>
      <c r="C94">
        <v>0</v>
      </c>
      <c r="D94">
        <v>0</v>
      </c>
      <c r="E94">
        <v>0</v>
      </c>
      <c r="F94">
        <v>0</v>
      </c>
      <c r="G94">
        <v>0</v>
      </c>
      <c r="H94">
        <v>0</v>
      </c>
      <c r="I94">
        <v>0</v>
      </c>
      <c r="J94">
        <v>0</v>
      </c>
      <c r="K94">
        <v>0</v>
      </c>
      <c r="L94">
        <v>0</v>
      </c>
      <c r="M94">
        <v>0</v>
      </c>
      <c r="N94">
        <v>0</v>
      </c>
      <c r="P94" s="18">
        <f t="shared" si="9"/>
        <v>0</v>
      </c>
      <c r="Q94" s="18">
        <f t="shared" si="10"/>
        <v>0</v>
      </c>
      <c r="R94" s="18">
        <f t="shared" si="11"/>
        <v>0</v>
      </c>
      <c r="S94" s="18">
        <f t="shared" si="12"/>
        <v>0</v>
      </c>
      <c r="T94" s="18">
        <f t="shared" si="13"/>
        <v>0</v>
      </c>
      <c r="U94" s="18">
        <f t="shared" si="14"/>
        <v>0</v>
      </c>
      <c r="V94" s="18">
        <f t="shared" si="15"/>
        <v>0</v>
      </c>
      <c r="W94" s="18">
        <f t="shared" si="16"/>
        <v>0</v>
      </c>
    </row>
    <row r="95" spans="1:23" x14ac:dyDescent="0.2">
      <c r="A95" s="17">
        <v>5495</v>
      </c>
      <c r="B95">
        <v>0</v>
      </c>
      <c r="C95">
        <v>0</v>
      </c>
      <c r="D95">
        <v>0</v>
      </c>
      <c r="E95">
        <v>0</v>
      </c>
      <c r="F95">
        <v>0</v>
      </c>
      <c r="G95">
        <v>0</v>
      </c>
      <c r="H95">
        <v>0</v>
      </c>
      <c r="I95">
        <v>0</v>
      </c>
      <c r="J95">
        <v>0</v>
      </c>
      <c r="K95">
        <v>0</v>
      </c>
      <c r="L95">
        <v>0</v>
      </c>
      <c r="M95">
        <v>0</v>
      </c>
      <c r="N95">
        <v>0</v>
      </c>
      <c r="P95" s="18">
        <f t="shared" si="9"/>
        <v>0</v>
      </c>
      <c r="Q95" s="18">
        <f t="shared" si="10"/>
        <v>0</v>
      </c>
      <c r="R95" s="18">
        <f t="shared" si="11"/>
        <v>0</v>
      </c>
      <c r="S95" s="18">
        <f t="shared" si="12"/>
        <v>0</v>
      </c>
      <c r="T95" s="18">
        <f t="shared" si="13"/>
        <v>0</v>
      </c>
      <c r="U95" s="18">
        <f t="shared" si="14"/>
        <v>0</v>
      </c>
      <c r="V95" s="18">
        <f t="shared" si="15"/>
        <v>0</v>
      </c>
      <c r="W95" s="18">
        <f t="shared" si="16"/>
        <v>0</v>
      </c>
    </row>
    <row r="96" spans="1:23" x14ac:dyDescent="0.2">
      <c r="A96" s="17">
        <v>5449</v>
      </c>
      <c r="B96">
        <v>0</v>
      </c>
      <c r="C96">
        <v>0</v>
      </c>
      <c r="D96">
        <v>0</v>
      </c>
      <c r="E96">
        <v>0</v>
      </c>
      <c r="F96">
        <v>0</v>
      </c>
      <c r="G96">
        <v>0</v>
      </c>
      <c r="H96">
        <v>0</v>
      </c>
      <c r="I96">
        <v>0</v>
      </c>
      <c r="J96">
        <v>0</v>
      </c>
      <c r="K96">
        <v>0</v>
      </c>
      <c r="L96">
        <v>0</v>
      </c>
      <c r="M96">
        <v>0</v>
      </c>
      <c r="N96">
        <v>0</v>
      </c>
      <c r="P96" s="18">
        <f t="shared" si="9"/>
        <v>0</v>
      </c>
      <c r="Q96" s="18">
        <f t="shared" si="10"/>
        <v>0</v>
      </c>
      <c r="R96" s="18">
        <f t="shared" si="11"/>
        <v>0</v>
      </c>
      <c r="S96" s="18">
        <f t="shared" si="12"/>
        <v>0</v>
      </c>
      <c r="T96" s="18">
        <f t="shared" si="13"/>
        <v>0</v>
      </c>
      <c r="U96" s="18">
        <f t="shared" si="14"/>
        <v>0</v>
      </c>
      <c r="V96" s="18">
        <f t="shared" si="15"/>
        <v>0</v>
      </c>
      <c r="W96" s="18">
        <f t="shared" si="16"/>
        <v>0</v>
      </c>
    </row>
    <row r="97" spans="1:23" x14ac:dyDescent="0.2">
      <c r="A97" s="17">
        <v>5507</v>
      </c>
      <c r="B97">
        <v>0</v>
      </c>
      <c r="C97">
        <v>0</v>
      </c>
      <c r="D97">
        <v>0</v>
      </c>
      <c r="E97">
        <v>0</v>
      </c>
      <c r="F97">
        <v>0</v>
      </c>
      <c r="G97">
        <v>0</v>
      </c>
      <c r="H97">
        <v>0</v>
      </c>
      <c r="I97">
        <v>0</v>
      </c>
      <c r="J97">
        <v>0</v>
      </c>
      <c r="K97">
        <v>0</v>
      </c>
      <c r="L97">
        <v>0</v>
      </c>
      <c r="M97">
        <v>0</v>
      </c>
      <c r="N97">
        <v>0</v>
      </c>
      <c r="P97" s="18">
        <f t="shared" si="9"/>
        <v>0</v>
      </c>
      <c r="Q97" s="18">
        <f t="shared" si="10"/>
        <v>0</v>
      </c>
      <c r="R97" s="18">
        <f t="shared" si="11"/>
        <v>0</v>
      </c>
      <c r="S97" s="18">
        <f t="shared" si="12"/>
        <v>0</v>
      </c>
      <c r="T97" s="18">
        <f t="shared" si="13"/>
        <v>0</v>
      </c>
      <c r="U97" s="18">
        <f t="shared" si="14"/>
        <v>0</v>
      </c>
      <c r="V97" s="18">
        <f t="shared" si="15"/>
        <v>0</v>
      </c>
      <c r="W97" s="18">
        <f t="shared" si="16"/>
        <v>0</v>
      </c>
    </row>
    <row r="98" spans="1:23" x14ac:dyDescent="0.2">
      <c r="A98" s="17">
        <v>5524</v>
      </c>
      <c r="B98">
        <v>0</v>
      </c>
      <c r="C98">
        <v>0</v>
      </c>
      <c r="D98">
        <v>0</v>
      </c>
      <c r="E98">
        <v>0</v>
      </c>
      <c r="F98">
        <v>0</v>
      </c>
      <c r="G98">
        <v>0</v>
      </c>
      <c r="H98">
        <v>0</v>
      </c>
      <c r="I98">
        <v>0</v>
      </c>
      <c r="J98">
        <v>0</v>
      </c>
      <c r="K98">
        <v>0</v>
      </c>
      <c r="L98">
        <v>0</v>
      </c>
      <c r="M98">
        <v>0</v>
      </c>
      <c r="N98">
        <v>0</v>
      </c>
      <c r="P98" s="18">
        <f t="shared" si="9"/>
        <v>0</v>
      </c>
      <c r="Q98" s="18">
        <f t="shared" si="10"/>
        <v>0</v>
      </c>
      <c r="R98" s="18">
        <f t="shared" si="11"/>
        <v>0</v>
      </c>
      <c r="S98" s="18">
        <f t="shared" si="12"/>
        <v>0</v>
      </c>
      <c r="T98" s="18">
        <f t="shared" si="13"/>
        <v>0</v>
      </c>
      <c r="U98" s="18">
        <f t="shared" si="14"/>
        <v>0</v>
      </c>
      <c r="V98" s="18">
        <f t="shared" si="15"/>
        <v>0</v>
      </c>
      <c r="W98" s="18">
        <f t="shared" si="16"/>
        <v>0</v>
      </c>
    </row>
    <row r="99" spans="1:23" x14ac:dyDescent="0.2">
      <c r="A99" s="17">
        <v>5534</v>
      </c>
      <c r="B99">
        <v>0</v>
      </c>
      <c r="C99">
        <v>0</v>
      </c>
      <c r="D99">
        <v>0</v>
      </c>
      <c r="E99">
        <v>0</v>
      </c>
      <c r="F99">
        <v>0</v>
      </c>
      <c r="G99">
        <v>0</v>
      </c>
      <c r="H99">
        <v>0</v>
      </c>
      <c r="I99">
        <v>0</v>
      </c>
      <c r="J99">
        <v>0</v>
      </c>
      <c r="K99">
        <v>0</v>
      </c>
      <c r="L99">
        <v>0</v>
      </c>
      <c r="M99">
        <v>0</v>
      </c>
      <c r="N99">
        <v>0</v>
      </c>
      <c r="P99" s="18">
        <f t="shared" si="9"/>
        <v>0</v>
      </c>
      <c r="Q99" s="18">
        <f t="shared" si="10"/>
        <v>0</v>
      </c>
      <c r="R99" s="18">
        <f t="shared" si="11"/>
        <v>0</v>
      </c>
      <c r="S99" s="18">
        <f t="shared" si="12"/>
        <v>0</v>
      </c>
      <c r="T99" s="18">
        <f t="shared" si="13"/>
        <v>0</v>
      </c>
      <c r="U99" s="18">
        <f t="shared" si="14"/>
        <v>0</v>
      </c>
      <c r="V99" s="18">
        <f t="shared" si="15"/>
        <v>0</v>
      </c>
      <c r="W99" s="18">
        <f t="shared" si="16"/>
        <v>0</v>
      </c>
    </row>
    <row r="100" spans="1:23" x14ac:dyDescent="0.2">
      <c r="A100" s="17">
        <v>5539</v>
      </c>
      <c r="B100">
        <v>0</v>
      </c>
      <c r="C100">
        <v>0</v>
      </c>
      <c r="D100">
        <v>0</v>
      </c>
      <c r="E100">
        <v>0</v>
      </c>
      <c r="F100">
        <v>0</v>
      </c>
      <c r="G100">
        <v>0</v>
      </c>
      <c r="H100">
        <v>0</v>
      </c>
      <c r="I100">
        <v>0</v>
      </c>
      <c r="J100">
        <v>0</v>
      </c>
      <c r="K100">
        <v>0</v>
      </c>
      <c r="L100">
        <v>0</v>
      </c>
      <c r="M100">
        <v>0</v>
      </c>
      <c r="N100">
        <v>0</v>
      </c>
      <c r="P100" s="18">
        <f t="shared" si="9"/>
        <v>0</v>
      </c>
      <c r="Q100" s="18">
        <f t="shared" si="10"/>
        <v>0</v>
      </c>
      <c r="R100" s="18">
        <f t="shared" si="11"/>
        <v>0</v>
      </c>
      <c r="S100" s="18">
        <f t="shared" si="12"/>
        <v>0</v>
      </c>
      <c r="T100" s="18">
        <f t="shared" si="13"/>
        <v>0</v>
      </c>
      <c r="U100" s="18">
        <f t="shared" si="14"/>
        <v>0</v>
      </c>
      <c r="V100" s="18">
        <f t="shared" si="15"/>
        <v>0</v>
      </c>
      <c r="W100" s="18">
        <f t="shared" si="16"/>
        <v>0</v>
      </c>
    </row>
    <row r="101" spans="1:23" x14ac:dyDescent="0.2">
      <c r="A101" s="17">
        <v>5543</v>
      </c>
      <c r="B101">
        <v>0</v>
      </c>
      <c r="C101">
        <v>0</v>
      </c>
      <c r="D101">
        <v>0</v>
      </c>
      <c r="E101">
        <v>0</v>
      </c>
      <c r="F101">
        <v>0</v>
      </c>
      <c r="G101">
        <v>0</v>
      </c>
      <c r="H101">
        <v>0</v>
      </c>
      <c r="I101">
        <v>0</v>
      </c>
      <c r="J101">
        <v>0</v>
      </c>
      <c r="K101">
        <v>0</v>
      </c>
      <c r="L101">
        <v>0</v>
      </c>
      <c r="M101">
        <v>0</v>
      </c>
      <c r="N101">
        <v>0</v>
      </c>
      <c r="P101" s="18">
        <f t="shared" si="9"/>
        <v>0</v>
      </c>
      <c r="Q101" s="18">
        <f t="shared" si="10"/>
        <v>0</v>
      </c>
      <c r="R101" s="18">
        <f t="shared" si="11"/>
        <v>0</v>
      </c>
      <c r="S101" s="18">
        <f t="shared" si="12"/>
        <v>0</v>
      </c>
      <c r="T101" s="18">
        <f t="shared" si="13"/>
        <v>0</v>
      </c>
      <c r="U101" s="18">
        <f t="shared" si="14"/>
        <v>0</v>
      </c>
      <c r="V101" s="18">
        <f t="shared" si="15"/>
        <v>0</v>
      </c>
      <c r="W101" s="18">
        <f t="shared" si="16"/>
        <v>0</v>
      </c>
    </row>
    <row r="102" spans="1:23" x14ac:dyDescent="0.2">
      <c r="A102" s="17">
        <v>5547</v>
      </c>
      <c r="B102">
        <v>0</v>
      </c>
      <c r="C102">
        <v>0</v>
      </c>
      <c r="D102">
        <v>0</v>
      </c>
      <c r="E102">
        <v>0</v>
      </c>
      <c r="F102">
        <v>0</v>
      </c>
      <c r="G102">
        <v>0</v>
      </c>
      <c r="H102">
        <v>0</v>
      </c>
      <c r="I102">
        <v>0</v>
      </c>
      <c r="J102">
        <v>0</v>
      </c>
      <c r="K102">
        <v>0</v>
      </c>
      <c r="L102">
        <v>0</v>
      </c>
      <c r="M102">
        <v>0</v>
      </c>
      <c r="N102">
        <v>0</v>
      </c>
      <c r="P102" s="18">
        <f t="shared" si="9"/>
        <v>0</v>
      </c>
      <c r="Q102" s="18">
        <f t="shared" si="10"/>
        <v>0</v>
      </c>
      <c r="R102" s="18">
        <f t="shared" si="11"/>
        <v>0</v>
      </c>
      <c r="S102" s="18">
        <f t="shared" si="12"/>
        <v>0</v>
      </c>
      <c r="T102" s="18">
        <f t="shared" si="13"/>
        <v>0</v>
      </c>
      <c r="U102" s="18">
        <f t="shared" si="14"/>
        <v>0</v>
      </c>
      <c r="V102" s="18">
        <f t="shared" si="15"/>
        <v>0</v>
      </c>
      <c r="W102" s="18">
        <f t="shared" si="16"/>
        <v>0</v>
      </c>
    </row>
    <row r="103" spans="1:23" x14ac:dyDescent="0.2">
      <c r="A103" s="17">
        <v>5546</v>
      </c>
      <c r="B103">
        <v>0</v>
      </c>
      <c r="C103">
        <v>0</v>
      </c>
      <c r="D103">
        <v>0</v>
      </c>
      <c r="E103">
        <v>0</v>
      </c>
      <c r="F103">
        <v>0</v>
      </c>
      <c r="G103">
        <v>0</v>
      </c>
      <c r="H103">
        <v>0</v>
      </c>
      <c r="I103">
        <v>0</v>
      </c>
      <c r="J103">
        <v>0</v>
      </c>
      <c r="K103">
        <v>0</v>
      </c>
      <c r="L103">
        <v>0</v>
      </c>
      <c r="M103">
        <v>0</v>
      </c>
      <c r="N103">
        <v>0</v>
      </c>
      <c r="P103" s="18">
        <f t="shared" si="9"/>
        <v>0</v>
      </c>
      <c r="Q103" s="18">
        <f t="shared" si="10"/>
        <v>0</v>
      </c>
      <c r="R103" s="18">
        <f t="shared" si="11"/>
        <v>0</v>
      </c>
      <c r="S103" s="18">
        <f t="shared" si="12"/>
        <v>0</v>
      </c>
      <c r="T103" s="18">
        <f t="shared" si="13"/>
        <v>0</v>
      </c>
      <c r="U103" s="18">
        <f t="shared" si="14"/>
        <v>0</v>
      </c>
      <c r="V103" s="18">
        <f t="shared" si="15"/>
        <v>0</v>
      </c>
      <c r="W103" s="18">
        <f t="shared" si="16"/>
        <v>0</v>
      </c>
    </row>
    <row r="104" spans="1:23" x14ac:dyDescent="0.2">
      <c r="A104" s="17">
        <v>5509</v>
      </c>
      <c r="B104">
        <v>0</v>
      </c>
      <c r="C104">
        <v>0</v>
      </c>
      <c r="D104">
        <v>0</v>
      </c>
      <c r="E104">
        <v>0</v>
      </c>
      <c r="F104">
        <v>0</v>
      </c>
      <c r="G104">
        <v>0</v>
      </c>
      <c r="H104">
        <v>0</v>
      </c>
      <c r="I104">
        <v>0</v>
      </c>
      <c r="J104">
        <v>0</v>
      </c>
      <c r="K104">
        <v>0</v>
      </c>
      <c r="L104">
        <v>0</v>
      </c>
      <c r="M104">
        <v>0</v>
      </c>
      <c r="N104">
        <v>0</v>
      </c>
      <c r="P104" s="18">
        <f t="shared" si="9"/>
        <v>0</v>
      </c>
      <c r="Q104" s="18">
        <f t="shared" si="10"/>
        <v>0</v>
      </c>
      <c r="R104" s="18">
        <f t="shared" si="11"/>
        <v>0</v>
      </c>
      <c r="S104" s="18">
        <f t="shared" si="12"/>
        <v>0</v>
      </c>
      <c r="T104" s="18">
        <f t="shared" si="13"/>
        <v>0</v>
      </c>
      <c r="U104" s="18">
        <f t="shared" si="14"/>
        <v>0</v>
      </c>
      <c r="V104" s="18">
        <f t="shared" si="15"/>
        <v>0</v>
      </c>
      <c r="W104" s="18">
        <f t="shared" si="16"/>
        <v>0</v>
      </c>
    </row>
    <row r="105" spans="1:23" x14ac:dyDescent="0.2">
      <c r="A105" s="17">
        <v>5565</v>
      </c>
      <c r="B105">
        <v>0</v>
      </c>
      <c r="C105">
        <v>0</v>
      </c>
      <c r="D105">
        <v>0</v>
      </c>
      <c r="E105">
        <v>0</v>
      </c>
      <c r="F105">
        <v>0</v>
      </c>
      <c r="G105">
        <v>0</v>
      </c>
      <c r="H105">
        <v>0</v>
      </c>
      <c r="I105">
        <v>0</v>
      </c>
      <c r="J105">
        <v>0</v>
      </c>
      <c r="K105">
        <v>0</v>
      </c>
      <c r="L105">
        <v>0</v>
      </c>
      <c r="M105">
        <v>0</v>
      </c>
      <c r="N105">
        <v>0</v>
      </c>
      <c r="P105" s="18">
        <f t="shared" si="9"/>
        <v>0</v>
      </c>
      <c r="Q105" s="18">
        <f t="shared" si="10"/>
        <v>0</v>
      </c>
      <c r="R105" s="18">
        <f t="shared" si="11"/>
        <v>0</v>
      </c>
      <c r="S105" s="18">
        <f t="shared" si="12"/>
        <v>0</v>
      </c>
      <c r="T105" s="18">
        <f t="shared" si="13"/>
        <v>0</v>
      </c>
      <c r="U105" s="18">
        <f t="shared" si="14"/>
        <v>0</v>
      </c>
      <c r="V105" s="18">
        <f t="shared" si="15"/>
        <v>0</v>
      </c>
      <c r="W105" s="18">
        <f t="shared" si="16"/>
        <v>0</v>
      </c>
    </row>
    <row r="106" spans="1:23" x14ac:dyDescent="0.2">
      <c r="A106" s="17">
        <v>5570</v>
      </c>
      <c r="B106">
        <v>0</v>
      </c>
      <c r="C106">
        <v>0</v>
      </c>
      <c r="D106">
        <v>0</v>
      </c>
      <c r="E106">
        <v>0</v>
      </c>
      <c r="F106">
        <v>0</v>
      </c>
      <c r="G106">
        <v>0</v>
      </c>
      <c r="H106">
        <v>0</v>
      </c>
      <c r="I106">
        <v>0</v>
      </c>
      <c r="J106">
        <v>0</v>
      </c>
      <c r="K106">
        <v>0</v>
      </c>
      <c r="L106">
        <v>0</v>
      </c>
      <c r="M106">
        <v>0</v>
      </c>
      <c r="N106">
        <v>0</v>
      </c>
      <c r="P106" s="18">
        <f t="shared" si="9"/>
        <v>0</v>
      </c>
      <c r="Q106" s="18">
        <f t="shared" si="10"/>
        <v>0</v>
      </c>
      <c r="R106" s="18">
        <f t="shared" si="11"/>
        <v>0</v>
      </c>
      <c r="S106" s="18">
        <f t="shared" si="12"/>
        <v>0</v>
      </c>
      <c r="T106" s="18">
        <f t="shared" si="13"/>
        <v>0</v>
      </c>
      <c r="U106" s="18">
        <f t="shared" si="14"/>
        <v>0</v>
      </c>
      <c r="V106" s="18">
        <f t="shared" si="15"/>
        <v>0</v>
      </c>
      <c r="W106" s="18">
        <f t="shared" si="16"/>
        <v>0</v>
      </c>
    </row>
    <row r="107" spans="1:23" x14ac:dyDescent="0.2">
      <c r="A107" s="17">
        <v>5355</v>
      </c>
      <c r="B107">
        <v>0</v>
      </c>
      <c r="C107">
        <v>0</v>
      </c>
      <c r="D107">
        <v>0</v>
      </c>
      <c r="E107">
        <v>0</v>
      </c>
      <c r="F107">
        <v>0</v>
      </c>
      <c r="G107">
        <v>0</v>
      </c>
      <c r="H107">
        <v>0</v>
      </c>
      <c r="I107">
        <v>0</v>
      </c>
      <c r="J107">
        <v>0</v>
      </c>
      <c r="K107">
        <v>0</v>
      </c>
      <c r="L107">
        <v>0</v>
      </c>
      <c r="M107">
        <v>0</v>
      </c>
      <c r="N107">
        <v>0</v>
      </c>
      <c r="P107" s="18">
        <f t="shared" si="9"/>
        <v>0</v>
      </c>
      <c r="Q107" s="18">
        <f t="shared" si="10"/>
        <v>0</v>
      </c>
      <c r="R107" s="18">
        <f t="shared" si="11"/>
        <v>0</v>
      </c>
      <c r="S107" s="18">
        <f t="shared" si="12"/>
        <v>0</v>
      </c>
      <c r="T107" s="18">
        <f t="shared" si="13"/>
        <v>0</v>
      </c>
      <c r="U107" s="18">
        <f t="shared" si="14"/>
        <v>0</v>
      </c>
      <c r="V107" s="18">
        <f t="shared" si="15"/>
        <v>0</v>
      </c>
      <c r="W107" s="18">
        <f t="shared" si="16"/>
        <v>0</v>
      </c>
    </row>
    <row r="108" spans="1:23" x14ac:dyDescent="0.2">
      <c r="A108" s="17">
        <v>5578</v>
      </c>
      <c r="B108">
        <v>0</v>
      </c>
      <c r="C108">
        <v>0</v>
      </c>
      <c r="D108">
        <v>0</v>
      </c>
      <c r="E108">
        <v>0</v>
      </c>
      <c r="F108">
        <v>0</v>
      </c>
      <c r="G108">
        <v>0</v>
      </c>
      <c r="H108">
        <v>0</v>
      </c>
      <c r="I108">
        <v>0</v>
      </c>
      <c r="J108">
        <v>0</v>
      </c>
      <c r="K108">
        <v>0</v>
      </c>
      <c r="L108">
        <v>0</v>
      </c>
      <c r="M108">
        <v>0</v>
      </c>
      <c r="N108">
        <v>0</v>
      </c>
      <c r="P108" s="18">
        <f t="shared" si="9"/>
        <v>0</v>
      </c>
      <c r="Q108" s="18">
        <f t="shared" si="10"/>
        <v>0</v>
      </c>
      <c r="R108" s="18">
        <f t="shared" si="11"/>
        <v>0</v>
      </c>
      <c r="S108" s="18">
        <f t="shared" si="12"/>
        <v>0</v>
      </c>
      <c r="T108" s="18">
        <f t="shared" si="13"/>
        <v>0</v>
      </c>
      <c r="U108" s="18">
        <f t="shared" si="14"/>
        <v>0</v>
      </c>
      <c r="V108" s="18">
        <f t="shared" si="15"/>
        <v>0</v>
      </c>
      <c r="W108" s="18">
        <f t="shared" si="16"/>
        <v>0</v>
      </c>
    </row>
    <row r="109" spans="1:23" x14ac:dyDescent="0.2">
      <c r="A109" s="17">
        <v>5576</v>
      </c>
      <c r="B109">
        <v>0</v>
      </c>
      <c r="C109">
        <v>0</v>
      </c>
      <c r="D109">
        <v>0</v>
      </c>
      <c r="E109">
        <v>0</v>
      </c>
      <c r="F109">
        <v>0</v>
      </c>
      <c r="G109">
        <v>0</v>
      </c>
      <c r="H109">
        <v>0</v>
      </c>
      <c r="I109">
        <v>0</v>
      </c>
      <c r="J109">
        <v>0</v>
      </c>
      <c r="K109">
        <v>0</v>
      </c>
      <c r="L109">
        <v>0</v>
      </c>
      <c r="M109">
        <v>0</v>
      </c>
      <c r="N109">
        <v>0</v>
      </c>
      <c r="P109" s="18">
        <f t="shared" si="9"/>
        <v>0</v>
      </c>
      <c r="Q109" s="18">
        <f t="shared" si="10"/>
        <v>0</v>
      </c>
      <c r="R109" s="18">
        <f t="shared" si="11"/>
        <v>0</v>
      </c>
      <c r="S109" s="18">
        <f t="shared" si="12"/>
        <v>0</v>
      </c>
      <c r="T109" s="18">
        <f t="shared" si="13"/>
        <v>0</v>
      </c>
      <c r="U109" s="18">
        <f t="shared" si="14"/>
        <v>0</v>
      </c>
      <c r="V109" s="18">
        <f t="shared" si="15"/>
        <v>0</v>
      </c>
      <c r="W109" s="18">
        <f t="shared" si="16"/>
        <v>0</v>
      </c>
    </row>
    <row r="110" spans="1:23" x14ac:dyDescent="0.2">
      <c r="A110" s="17">
        <v>5581</v>
      </c>
      <c r="B110">
        <v>0</v>
      </c>
      <c r="C110">
        <v>0</v>
      </c>
      <c r="D110">
        <v>0</v>
      </c>
      <c r="E110">
        <v>0</v>
      </c>
      <c r="F110">
        <v>0</v>
      </c>
      <c r="G110">
        <v>0</v>
      </c>
      <c r="H110">
        <v>0</v>
      </c>
      <c r="I110">
        <v>0</v>
      </c>
      <c r="J110">
        <v>0</v>
      </c>
      <c r="K110">
        <v>0</v>
      </c>
      <c r="L110">
        <v>0</v>
      </c>
      <c r="M110">
        <v>0</v>
      </c>
      <c r="N110">
        <v>0</v>
      </c>
      <c r="P110" s="18">
        <f t="shared" si="9"/>
        <v>0</v>
      </c>
      <c r="Q110" s="18">
        <f t="shared" si="10"/>
        <v>0</v>
      </c>
      <c r="R110" s="18">
        <f t="shared" si="11"/>
        <v>0</v>
      </c>
      <c r="S110" s="18">
        <f t="shared" si="12"/>
        <v>0</v>
      </c>
      <c r="T110" s="18">
        <f t="shared" si="13"/>
        <v>0</v>
      </c>
      <c r="U110" s="18">
        <f t="shared" si="14"/>
        <v>0</v>
      </c>
      <c r="V110" s="18">
        <f t="shared" si="15"/>
        <v>0</v>
      </c>
      <c r="W110" s="18">
        <f t="shared" si="16"/>
        <v>0</v>
      </c>
    </row>
    <row r="111" spans="1:23" x14ac:dyDescent="0.2">
      <c r="A111" s="17">
        <v>5584</v>
      </c>
      <c r="B111">
        <v>0</v>
      </c>
      <c r="C111">
        <v>0</v>
      </c>
      <c r="D111">
        <v>0</v>
      </c>
      <c r="E111">
        <v>0</v>
      </c>
      <c r="F111">
        <v>0</v>
      </c>
      <c r="G111">
        <v>0</v>
      </c>
      <c r="H111">
        <v>0</v>
      </c>
      <c r="I111">
        <v>0</v>
      </c>
      <c r="J111">
        <v>0</v>
      </c>
      <c r="K111">
        <v>0</v>
      </c>
      <c r="L111">
        <v>0</v>
      </c>
      <c r="M111">
        <v>0</v>
      </c>
      <c r="N111">
        <v>0</v>
      </c>
      <c r="P111" s="18">
        <f t="shared" si="9"/>
        <v>0</v>
      </c>
      <c r="Q111" s="18">
        <f t="shared" si="10"/>
        <v>0</v>
      </c>
      <c r="R111" s="18">
        <f t="shared" si="11"/>
        <v>0</v>
      </c>
      <c r="S111" s="18">
        <f t="shared" si="12"/>
        <v>0</v>
      </c>
      <c r="T111" s="18">
        <f t="shared" si="13"/>
        <v>0</v>
      </c>
      <c r="U111" s="18">
        <f t="shared" si="14"/>
        <v>0</v>
      </c>
      <c r="V111" s="18">
        <f t="shared" si="15"/>
        <v>0</v>
      </c>
      <c r="W111" s="18">
        <f t="shared" si="16"/>
        <v>0</v>
      </c>
    </row>
    <row r="112" spans="1:23" x14ac:dyDescent="0.2">
      <c r="A112" s="17">
        <v>5585</v>
      </c>
      <c r="B112">
        <v>0</v>
      </c>
      <c r="C112">
        <v>0</v>
      </c>
      <c r="D112">
        <v>0</v>
      </c>
      <c r="E112">
        <v>0</v>
      </c>
      <c r="F112">
        <v>0</v>
      </c>
      <c r="G112">
        <v>0</v>
      </c>
      <c r="H112">
        <v>0</v>
      </c>
      <c r="I112">
        <v>0</v>
      </c>
      <c r="J112">
        <v>0</v>
      </c>
      <c r="K112">
        <v>0</v>
      </c>
      <c r="L112">
        <v>0</v>
      </c>
      <c r="M112">
        <v>0</v>
      </c>
      <c r="N112">
        <v>0</v>
      </c>
      <c r="P112" s="18">
        <f t="shared" si="9"/>
        <v>0</v>
      </c>
      <c r="Q112" s="18">
        <f t="shared" si="10"/>
        <v>0</v>
      </c>
      <c r="R112" s="18">
        <f t="shared" si="11"/>
        <v>0</v>
      </c>
      <c r="S112" s="18">
        <f t="shared" si="12"/>
        <v>0</v>
      </c>
      <c r="T112" s="18">
        <f t="shared" si="13"/>
        <v>0</v>
      </c>
      <c r="U112" s="18">
        <f t="shared" si="14"/>
        <v>0</v>
      </c>
      <c r="V112" s="18">
        <f t="shared" si="15"/>
        <v>0</v>
      </c>
      <c r="W112" s="18">
        <f t="shared" si="16"/>
        <v>0</v>
      </c>
    </row>
    <row r="113" spans="1:23" x14ac:dyDescent="0.2">
      <c r="A113" s="17">
        <v>5588</v>
      </c>
      <c r="B113">
        <v>0</v>
      </c>
      <c r="C113">
        <v>0</v>
      </c>
      <c r="D113">
        <v>0</v>
      </c>
      <c r="E113">
        <v>0</v>
      </c>
      <c r="F113">
        <v>0</v>
      </c>
      <c r="G113">
        <v>0</v>
      </c>
      <c r="H113">
        <v>0</v>
      </c>
      <c r="I113">
        <v>0</v>
      </c>
      <c r="J113">
        <v>0</v>
      </c>
      <c r="K113">
        <v>0</v>
      </c>
      <c r="L113">
        <v>0</v>
      </c>
      <c r="M113">
        <v>0</v>
      </c>
      <c r="N113">
        <v>0</v>
      </c>
      <c r="P113" s="18">
        <f t="shared" si="9"/>
        <v>0</v>
      </c>
      <c r="Q113" s="18">
        <f t="shared" si="10"/>
        <v>0</v>
      </c>
      <c r="R113" s="18">
        <f t="shared" si="11"/>
        <v>0</v>
      </c>
      <c r="S113" s="18">
        <f t="shared" si="12"/>
        <v>0</v>
      </c>
      <c r="T113" s="18">
        <f t="shared" si="13"/>
        <v>0</v>
      </c>
      <c r="U113" s="18">
        <f t="shared" si="14"/>
        <v>0</v>
      </c>
      <c r="V113" s="18">
        <f t="shared" si="15"/>
        <v>0</v>
      </c>
      <c r="W113" s="18">
        <f t="shared" si="16"/>
        <v>0</v>
      </c>
    </row>
    <row r="114" spans="1:23" x14ac:dyDescent="0.2">
      <c r="A114" s="17">
        <v>5508</v>
      </c>
      <c r="B114">
        <v>0</v>
      </c>
      <c r="C114">
        <v>0</v>
      </c>
      <c r="D114">
        <v>0</v>
      </c>
      <c r="E114">
        <v>0</v>
      </c>
      <c r="F114">
        <v>0</v>
      </c>
      <c r="G114">
        <v>0</v>
      </c>
      <c r="H114">
        <v>0</v>
      </c>
      <c r="I114">
        <v>0</v>
      </c>
      <c r="J114">
        <v>0</v>
      </c>
      <c r="K114">
        <v>0</v>
      </c>
      <c r="L114">
        <v>0</v>
      </c>
      <c r="M114">
        <v>0</v>
      </c>
      <c r="N114">
        <v>0</v>
      </c>
      <c r="P114" s="18">
        <f t="shared" si="9"/>
        <v>0</v>
      </c>
      <c r="Q114" s="18">
        <f t="shared" si="10"/>
        <v>0</v>
      </c>
      <c r="R114" s="18">
        <f t="shared" si="11"/>
        <v>0</v>
      </c>
      <c r="S114" s="18">
        <f t="shared" si="12"/>
        <v>0</v>
      </c>
      <c r="T114" s="18">
        <f t="shared" si="13"/>
        <v>0</v>
      </c>
      <c r="U114" s="18">
        <f t="shared" si="14"/>
        <v>0</v>
      </c>
      <c r="V114" s="18">
        <f t="shared" si="15"/>
        <v>0</v>
      </c>
      <c r="W114" s="18">
        <f t="shared" si="16"/>
        <v>0</v>
      </c>
    </row>
    <row r="115" spans="1:23" x14ac:dyDescent="0.2">
      <c r="A115" s="17">
        <v>5589</v>
      </c>
      <c r="B115">
        <v>0</v>
      </c>
      <c r="C115">
        <v>0</v>
      </c>
      <c r="D115">
        <v>0</v>
      </c>
      <c r="E115">
        <v>0</v>
      </c>
      <c r="F115">
        <v>0</v>
      </c>
      <c r="G115">
        <v>0</v>
      </c>
      <c r="H115">
        <v>0</v>
      </c>
      <c r="I115">
        <v>0</v>
      </c>
      <c r="J115">
        <v>0</v>
      </c>
      <c r="K115">
        <v>0</v>
      </c>
      <c r="L115">
        <v>0</v>
      </c>
      <c r="M115">
        <v>0</v>
      </c>
      <c r="N115">
        <v>0</v>
      </c>
      <c r="P115" s="18">
        <f t="shared" si="9"/>
        <v>0</v>
      </c>
      <c r="Q115" s="18">
        <f t="shared" si="10"/>
        <v>0</v>
      </c>
      <c r="R115" s="18">
        <f t="shared" si="11"/>
        <v>0</v>
      </c>
      <c r="S115" s="18">
        <f t="shared" si="12"/>
        <v>0</v>
      </c>
      <c r="T115" s="18">
        <f t="shared" si="13"/>
        <v>0</v>
      </c>
      <c r="U115" s="18">
        <f t="shared" si="14"/>
        <v>0</v>
      </c>
      <c r="V115" s="18">
        <f t="shared" si="15"/>
        <v>0</v>
      </c>
      <c r="W115" s="18">
        <f t="shared" si="16"/>
        <v>0</v>
      </c>
    </row>
    <row r="116" spans="1:23" x14ac:dyDescent="0.2">
      <c r="A116" s="17">
        <v>5601</v>
      </c>
      <c r="B116">
        <v>0</v>
      </c>
      <c r="C116">
        <v>0</v>
      </c>
      <c r="D116">
        <v>0</v>
      </c>
      <c r="E116">
        <v>0</v>
      </c>
      <c r="F116">
        <v>0</v>
      </c>
      <c r="G116">
        <v>0</v>
      </c>
      <c r="H116">
        <v>0</v>
      </c>
      <c r="I116">
        <v>0</v>
      </c>
      <c r="J116">
        <v>0</v>
      </c>
      <c r="K116">
        <v>0</v>
      </c>
      <c r="L116">
        <v>0</v>
      </c>
      <c r="M116">
        <v>0</v>
      </c>
      <c r="N116">
        <v>0</v>
      </c>
      <c r="P116" s="18">
        <f t="shared" si="9"/>
        <v>0</v>
      </c>
      <c r="Q116" s="18">
        <f t="shared" si="10"/>
        <v>0</v>
      </c>
      <c r="R116" s="18">
        <f t="shared" si="11"/>
        <v>0</v>
      </c>
      <c r="S116" s="18">
        <f t="shared" si="12"/>
        <v>0</v>
      </c>
      <c r="T116" s="18">
        <f t="shared" si="13"/>
        <v>0</v>
      </c>
      <c r="U116" s="18">
        <f t="shared" si="14"/>
        <v>0</v>
      </c>
      <c r="V116" s="18">
        <f t="shared" si="15"/>
        <v>0</v>
      </c>
      <c r="W116" s="18">
        <f t="shared" si="16"/>
        <v>0</v>
      </c>
    </row>
    <row r="117" spans="1:23" x14ac:dyDescent="0.2">
      <c r="A117" s="17">
        <v>5602</v>
      </c>
      <c r="B117">
        <v>0</v>
      </c>
      <c r="C117">
        <v>0</v>
      </c>
      <c r="D117">
        <v>0</v>
      </c>
      <c r="E117">
        <v>0</v>
      </c>
      <c r="F117">
        <v>0</v>
      </c>
      <c r="G117">
        <v>0</v>
      </c>
      <c r="H117">
        <v>0</v>
      </c>
      <c r="I117">
        <v>0</v>
      </c>
      <c r="J117">
        <v>0</v>
      </c>
      <c r="K117">
        <v>0</v>
      </c>
      <c r="L117">
        <v>0</v>
      </c>
      <c r="M117">
        <v>0</v>
      </c>
      <c r="N117">
        <v>0</v>
      </c>
      <c r="P117" s="18">
        <f t="shared" si="9"/>
        <v>0</v>
      </c>
      <c r="Q117" s="18">
        <f t="shared" si="10"/>
        <v>0</v>
      </c>
      <c r="R117" s="18">
        <f t="shared" si="11"/>
        <v>0</v>
      </c>
      <c r="S117" s="18">
        <f t="shared" si="12"/>
        <v>0</v>
      </c>
      <c r="T117" s="18">
        <f t="shared" si="13"/>
        <v>0</v>
      </c>
      <c r="U117" s="18">
        <f t="shared" si="14"/>
        <v>0</v>
      </c>
      <c r="V117" s="18">
        <f t="shared" si="15"/>
        <v>0</v>
      </c>
      <c r="W117" s="18">
        <f t="shared" si="16"/>
        <v>0</v>
      </c>
    </row>
    <row r="118" spans="1:23" x14ac:dyDescent="0.2">
      <c r="A118" s="17">
        <v>5608</v>
      </c>
      <c r="B118">
        <v>0</v>
      </c>
      <c r="C118">
        <v>0</v>
      </c>
      <c r="D118">
        <v>0</v>
      </c>
      <c r="E118">
        <v>0</v>
      </c>
      <c r="F118">
        <v>0</v>
      </c>
      <c r="G118">
        <v>0</v>
      </c>
      <c r="H118">
        <v>0</v>
      </c>
      <c r="I118">
        <v>0</v>
      </c>
      <c r="J118">
        <v>0</v>
      </c>
      <c r="K118">
        <v>0</v>
      </c>
      <c r="L118">
        <v>0</v>
      </c>
      <c r="M118">
        <v>0</v>
      </c>
      <c r="N118">
        <v>0</v>
      </c>
      <c r="P118" s="18">
        <f t="shared" si="9"/>
        <v>0</v>
      </c>
      <c r="Q118" s="18">
        <f t="shared" si="10"/>
        <v>0</v>
      </c>
      <c r="R118" s="18">
        <f t="shared" si="11"/>
        <v>0</v>
      </c>
      <c r="S118" s="18">
        <f t="shared" si="12"/>
        <v>0</v>
      </c>
      <c r="T118" s="18">
        <f t="shared" si="13"/>
        <v>0</v>
      </c>
      <c r="U118" s="18">
        <f t="shared" si="14"/>
        <v>0</v>
      </c>
      <c r="V118" s="18">
        <f t="shared" si="15"/>
        <v>0</v>
      </c>
      <c r="W118" s="18">
        <f t="shared" si="16"/>
        <v>0</v>
      </c>
    </row>
    <row r="119" spans="1:23" x14ac:dyDescent="0.2">
      <c r="A119" s="17">
        <v>5300</v>
      </c>
      <c r="B119">
        <v>0</v>
      </c>
      <c r="C119">
        <v>0</v>
      </c>
      <c r="D119">
        <v>0</v>
      </c>
      <c r="E119">
        <v>0</v>
      </c>
      <c r="F119">
        <v>0</v>
      </c>
      <c r="G119">
        <v>0</v>
      </c>
      <c r="H119">
        <v>0</v>
      </c>
      <c r="I119">
        <v>0</v>
      </c>
      <c r="J119">
        <v>0</v>
      </c>
      <c r="K119">
        <v>0</v>
      </c>
      <c r="L119">
        <v>0</v>
      </c>
      <c r="M119">
        <v>0</v>
      </c>
      <c r="N119">
        <v>0</v>
      </c>
      <c r="P119" s="18">
        <f t="shared" si="9"/>
        <v>0</v>
      </c>
      <c r="Q119" s="18">
        <f t="shared" si="10"/>
        <v>0</v>
      </c>
      <c r="R119" s="18">
        <f t="shared" si="11"/>
        <v>0</v>
      </c>
      <c r="S119" s="18">
        <f t="shared" si="12"/>
        <v>0</v>
      </c>
      <c r="T119" s="18">
        <f t="shared" si="13"/>
        <v>0</v>
      </c>
      <c r="U119" s="18">
        <f t="shared" si="14"/>
        <v>0</v>
      </c>
      <c r="V119" s="18">
        <f t="shared" si="15"/>
        <v>0</v>
      </c>
      <c r="W119" s="18">
        <f t="shared" si="16"/>
        <v>0</v>
      </c>
    </row>
    <row r="120" spans="1:23" x14ac:dyDescent="0.2">
      <c r="A120" s="17">
        <v>5619</v>
      </c>
      <c r="B120">
        <v>0</v>
      </c>
      <c r="C120">
        <v>0</v>
      </c>
      <c r="D120">
        <v>0</v>
      </c>
      <c r="E120">
        <v>0</v>
      </c>
      <c r="F120">
        <v>0</v>
      </c>
      <c r="G120">
        <v>0</v>
      </c>
      <c r="H120">
        <v>0</v>
      </c>
      <c r="I120">
        <v>0</v>
      </c>
      <c r="J120">
        <v>0</v>
      </c>
      <c r="K120">
        <v>0</v>
      </c>
      <c r="L120">
        <v>0</v>
      </c>
      <c r="M120">
        <v>0</v>
      </c>
      <c r="N120">
        <v>0</v>
      </c>
      <c r="P120" s="18">
        <f t="shared" si="9"/>
        <v>0</v>
      </c>
      <c r="Q120" s="18">
        <f t="shared" si="10"/>
        <v>0</v>
      </c>
      <c r="R120" s="18">
        <f t="shared" si="11"/>
        <v>0</v>
      </c>
      <c r="S120" s="18">
        <f t="shared" si="12"/>
        <v>0</v>
      </c>
      <c r="T120" s="18">
        <f t="shared" si="13"/>
        <v>0</v>
      </c>
      <c r="U120" s="18">
        <f t="shared" si="14"/>
        <v>0</v>
      </c>
      <c r="V120" s="18">
        <f t="shared" si="15"/>
        <v>0</v>
      </c>
      <c r="W120" s="18">
        <f t="shared" si="16"/>
        <v>0</v>
      </c>
    </row>
    <row r="121" spans="1:23" x14ac:dyDescent="0.2">
      <c r="A121" s="17">
        <v>5613</v>
      </c>
      <c r="B121">
        <v>0</v>
      </c>
      <c r="C121">
        <v>0</v>
      </c>
      <c r="D121">
        <v>0</v>
      </c>
      <c r="E121">
        <v>0</v>
      </c>
      <c r="F121">
        <v>0</v>
      </c>
      <c r="G121">
        <v>0</v>
      </c>
      <c r="H121">
        <v>0</v>
      </c>
      <c r="I121">
        <v>0</v>
      </c>
      <c r="J121">
        <v>0</v>
      </c>
      <c r="K121">
        <v>0</v>
      </c>
      <c r="L121">
        <v>0</v>
      </c>
      <c r="M121">
        <v>0</v>
      </c>
      <c r="N121">
        <v>0</v>
      </c>
      <c r="P121" s="18">
        <f t="shared" si="9"/>
        <v>0</v>
      </c>
      <c r="Q121" s="18">
        <f t="shared" si="10"/>
        <v>0</v>
      </c>
      <c r="R121" s="18">
        <f t="shared" si="11"/>
        <v>0</v>
      </c>
      <c r="S121" s="18">
        <f t="shared" si="12"/>
        <v>0</v>
      </c>
      <c r="T121" s="18">
        <f t="shared" si="13"/>
        <v>0</v>
      </c>
      <c r="U121" s="18">
        <f t="shared" si="14"/>
        <v>0</v>
      </c>
      <c r="V121" s="18">
        <f t="shared" si="15"/>
        <v>0</v>
      </c>
      <c r="W121" s="18">
        <f t="shared" si="16"/>
        <v>0</v>
      </c>
    </row>
    <row r="122" spans="1:23" x14ac:dyDescent="0.2">
      <c r="A122" s="17">
        <v>5621</v>
      </c>
      <c r="B122">
        <v>0</v>
      </c>
      <c r="C122">
        <v>0</v>
      </c>
      <c r="D122">
        <v>0</v>
      </c>
      <c r="E122">
        <v>0</v>
      </c>
      <c r="F122">
        <v>0</v>
      </c>
      <c r="G122">
        <v>0.12033000000000001</v>
      </c>
      <c r="H122">
        <v>0.43823600000000013</v>
      </c>
      <c r="I122">
        <v>8.4399999999999996E-3</v>
      </c>
      <c r="J122">
        <v>0.19690500000000005</v>
      </c>
      <c r="K122">
        <v>3.3E-3</v>
      </c>
      <c r="L122">
        <v>1.0499999999999999E-3</v>
      </c>
      <c r="M122">
        <v>1.3679999999999999E-2</v>
      </c>
      <c r="N122">
        <v>0</v>
      </c>
      <c r="P122" s="18">
        <f t="shared" si="9"/>
        <v>0.12033000000000001</v>
      </c>
      <c r="Q122" s="18">
        <f t="shared" si="10"/>
        <v>0.43823600000000013</v>
      </c>
      <c r="R122" s="18">
        <f t="shared" si="11"/>
        <v>8.4399999999999996E-3</v>
      </c>
      <c r="S122" s="18">
        <f t="shared" si="12"/>
        <v>0.19690500000000005</v>
      </c>
      <c r="T122" s="18">
        <f t="shared" si="13"/>
        <v>3.3E-3</v>
      </c>
      <c r="U122" s="18">
        <f t="shared" si="14"/>
        <v>1.0499999999999999E-3</v>
      </c>
      <c r="V122" s="18">
        <f t="shared" si="15"/>
        <v>1.3679999999999999E-2</v>
      </c>
      <c r="W122" s="18">
        <f t="shared" si="16"/>
        <v>0</v>
      </c>
    </row>
    <row r="123" spans="1:23" x14ac:dyDescent="0.2">
      <c r="A123" s="17">
        <v>5649</v>
      </c>
      <c r="B123">
        <v>0</v>
      </c>
      <c r="C123">
        <v>0</v>
      </c>
      <c r="D123">
        <v>0</v>
      </c>
      <c r="E123">
        <v>0</v>
      </c>
      <c r="F123">
        <v>0</v>
      </c>
      <c r="G123">
        <v>0</v>
      </c>
      <c r="H123">
        <v>0</v>
      </c>
      <c r="I123">
        <v>0</v>
      </c>
      <c r="J123">
        <v>2.65E-3</v>
      </c>
      <c r="K123">
        <v>0</v>
      </c>
      <c r="L123">
        <v>0</v>
      </c>
      <c r="M123">
        <v>0</v>
      </c>
      <c r="N123">
        <v>0</v>
      </c>
      <c r="P123" s="18">
        <f t="shared" si="9"/>
        <v>0</v>
      </c>
      <c r="Q123" s="18">
        <f t="shared" si="10"/>
        <v>0</v>
      </c>
      <c r="R123" s="18">
        <f t="shared" si="11"/>
        <v>0</v>
      </c>
      <c r="S123" s="18">
        <f t="shared" si="12"/>
        <v>2.65E-3</v>
      </c>
      <c r="T123" s="18">
        <f t="shared" si="13"/>
        <v>0</v>
      </c>
      <c r="U123" s="18">
        <f t="shared" si="14"/>
        <v>0</v>
      </c>
      <c r="V123" s="18">
        <f t="shared" si="15"/>
        <v>0</v>
      </c>
      <c r="W123" s="18">
        <f t="shared" si="16"/>
        <v>0</v>
      </c>
    </row>
    <row r="124" spans="1:23" x14ac:dyDescent="0.2">
      <c r="A124" s="17">
        <v>5536</v>
      </c>
      <c r="B124">
        <v>0</v>
      </c>
      <c r="C124">
        <v>0</v>
      </c>
      <c r="D124">
        <v>0</v>
      </c>
      <c r="E124">
        <v>0</v>
      </c>
      <c r="F124">
        <v>0</v>
      </c>
      <c r="G124">
        <v>0</v>
      </c>
      <c r="H124">
        <v>0</v>
      </c>
      <c r="I124">
        <v>0</v>
      </c>
      <c r="J124">
        <v>0</v>
      </c>
      <c r="K124">
        <v>0</v>
      </c>
      <c r="L124">
        <v>0</v>
      </c>
      <c r="M124">
        <v>0</v>
      </c>
      <c r="N124">
        <v>0</v>
      </c>
      <c r="P124" s="18">
        <f t="shared" si="9"/>
        <v>0</v>
      </c>
      <c r="Q124" s="18">
        <f t="shared" si="10"/>
        <v>0</v>
      </c>
      <c r="R124" s="18">
        <f t="shared" si="11"/>
        <v>0</v>
      </c>
      <c r="S124" s="18">
        <f t="shared" si="12"/>
        <v>0</v>
      </c>
      <c r="T124" s="18">
        <f t="shared" si="13"/>
        <v>0</v>
      </c>
      <c r="U124" s="18">
        <f t="shared" si="14"/>
        <v>0</v>
      </c>
      <c r="V124" s="18">
        <f t="shared" si="15"/>
        <v>0</v>
      </c>
      <c r="W124" s="18">
        <f t="shared" si="16"/>
        <v>0</v>
      </c>
    </row>
    <row r="125" spans="1:23" x14ac:dyDescent="0.2">
      <c r="A125" s="17">
        <v>5504</v>
      </c>
      <c r="B125">
        <v>0</v>
      </c>
      <c r="C125">
        <v>0</v>
      </c>
      <c r="D125">
        <v>0</v>
      </c>
      <c r="E125">
        <v>0</v>
      </c>
      <c r="F125">
        <v>0</v>
      </c>
      <c r="G125">
        <v>0</v>
      </c>
      <c r="H125">
        <v>0</v>
      </c>
      <c r="I125">
        <v>0</v>
      </c>
      <c r="J125">
        <v>0</v>
      </c>
      <c r="K125">
        <v>0</v>
      </c>
      <c r="L125">
        <v>0</v>
      </c>
      <c r="M125">
        <v>0</v>
      </c>
      <c r="N125">
        <v>0</v>
      </c>
      <c r="P125" s="18">
        <f t="shared" si="9"/>
        <v>0</v>
      </c>
      <c r="Q125" s="18">
        <f t="shared" si="10"/>
        <v>0</v>
      </c>
      <c r="R125" s="18">
        <f t="shared" si="11"/>
        <v>0</v>
      </c>
      <c r="S125" s="18">
        <f t="shared" si="12"/>
        <v>0</v>
      </c>
      <c r="T125" s="18">
        <f t="shared" si="13"/>
        <v>0</v>
      </c>
      <c r="U125" s="18">
        <f t="shared" si="14"/>
        <v>0</v>
      </c>
      <c r="V125" s="18">
        <f t="shared" si="15"/>
        <v>0</v>
      </c>
      <c r="W125" s="18">
        <f t="shared" si="16"/>
        <v>0</v>
      </c>
    </row>
    <row r="126" spans="1:23" x14ac:dyDescent="0.2">
      <c r="A126" s="17">
        <v>5661</v>
      </c>
      <c r="B126">
        <v>0</v>
      </c>
      <c r="C126">
        <v>0</v>
      </c>
      <c r="D126">
        <v>0</v>
      </c>
      <c r="E126">
        <v>0</v>
      </c>
      <c r="F126">
        <v>0</v>
      </c>
      <c r="G126">
        <v>0</v>
      </c>
      <c r="H126">
        <v>0</v>
      </c>
      <c r="I126">
        <v>0</v>
      </c>
      <c r="J126">
        <v>0</v>
      </c>
      <c r="K126">
        <v>0</v>
      </c>
      <c r="L126">
        <v>0</v>
      </c>
      <c r="M126">
        <v>0</v>
      </c>
      <c r="N126">
        <v>0</v>
      </c>
      <c r="P126" s="18">
        <f t="shared" si="9"/>
        <v>0</v>
      </c>
      <c r="Q126" s="18">
        <f t="shared" si="10"/>
        <v>0</v>
      </c>
      <c r="R126" s="18">
        <f t="shared" si="11"/>
        <v>0</v>
      </c>
      <c r="S126" s="18">
        <f t="shared" si="12"/>
        <v>0</v>
      </c>
      <c r="T126" s="18">
        <f t="shared" si="13"/>
        <v>0</v>
      </c>
      <c r="U126" s="18">
        <f t="shared" si="14"/>
        <v>0</v>
      </c>
      <c r="V126" s="18">
        <f t="shared" si="15"/>
        <v>0</v>
      </c>
      <c r="W126" s="18">
        <f t="shared" si="16"/>
        <v>0</v>
      </c>
    </row>
    <row r="127" spans="1:23" x14ac:dyDescent="0.2">
      <c r="A127" s="17">
        <v>5665</v>
      </c>
      <c r="B127">
        <v>0</v>
      </c>
      <c r="C127">
        <v>0</v>
      </c>
      <c r="D127">
        <v>0</v>
      </c>
      <c r="E127">
        <v>0</v>
      </c>
      <c r="F127">
        <v>0</v>
      </c>
      <c r="G127">
        <v>0</v>
      </c>
      <c r="H127">
        <v>0</v>
      </c>
      <c r="I127">
        <v>0</v>
      </c>
      <c r="J127">
        <v>0</v>
      </c>
      <c r="K127">
        <v>0</v>
      </c>
      <c r="L127">
        <v>0</v>
      </c>
      <c r="M127">
        <v>0</v>
      </c>
      <c r="N127">
        <v>0</v>
      </c>
      <c r="P127" s="18">
        <f t="shared" si="9"/>
        <v>0</v>
      </c>
      <c r="Q127" s="18">
        <f t="shared" si="10"/>
        <v>0</v>
      </c>
      <c r="R127" s="18">
        <f t="shared" si="11"/>
        <v>0</v>
      </c>
      <c r="S127" s="18">
        <f t="shared" si="12"/>
        <v>0</v>
      </c>
      <c r="T127" s="18">
        <f t="shared" si="13"/>
        <v>0</v>
      </c>
      <c r="U127" s="18">
        <f t="shared" si="14"/>
        <v>0</v>
      </c>
      <c r="V127" s="18">
        <f t="shared" si="15"/>
        <v>0</v>
      </c>
      <c r="W127" s="18">
        <f t="shared" si="16"/>
        <v>0</v>
      </c>
    </row>
    <row r="128" spans="1:23" x14ac:dyDescent="0.2">
      <c r="A128" s="17">
        <v>5668</v>
      </c>
      <c r="B128">
        <v>0</v>
      </c>
      <c r="C128">
        <v>0</v>
      </c>
      <c r="D128">
        <v>0</v>
      </c>
      <c r="E128">
        <v>0</v>
      </c>
      <c r="F128">
        <v>0</v>
      </c>
      <c r="G128">
        <v>0</v>
      </c>
      <c r="H128">
        <v>0</v>
      </c>
      <c r="I128">
        <v>0</v>
      </c>
      <c r="J128">
        <v>0</v>
      </c>
      <c r="K128">
        <v>0</v>
      </c>
      <c r="L128">
        <v>0</v>
      </c>
      <c r="M128">
        <v>0</v>
      </c>
      <c r="N128">
        <v>0</v>
      </c>
      <c r="P128" s="18">
        <f t="shared" si="9"/>
        <v>0</v>
      </c>
      <c r="Q128" s="18">
        <f t="shared" si="10"/>
        <v>0</v>
      </c>
      <c r="R128" s="18">
        <f t="shared" si="11"/>
        <v>0</v>
      </c>
      <c r="S128" s="18">
        <f t="shared" si="12"/>
        <v>0</v>
      </c>
      <c r="T128" s="18">
        <f t="shared" si="13"/>
        <v>0</v>
      </c>
      <c r="U128" s="18">
        <f t="shared" si="14"/>
        <v>0</v>
      </c>
      <c r="V128" s="18">
        <f t="shared" si="15"/>
        <v>0</v>
      </c>
      <c r="W128" s="18">
        <f t="shared" si="16"/>
        <v>0</v>
      </c>
    </row>
    <row r="129" spans="1:23" x14ac:dyDescent="0.2">
      <c r="A129" s="17">
        <v>5670</v>
      </c>
      <c r="B129">
        <v>0</v>
      </c>
      <c r="C129">
        <v>0</v>
      </c>
      <c r="D129">
        <v>0</v>
      </c>
      <c r="E129">
        <v>0</v>
      </c>
      <c r="F129">
        <v>0</v>
      </c>
      <c r="G129">
        <v>0</v>
      </c>
      <c r="H129">
        <v>0</v>
      </c>
      <c r="I129">
        <v>0</v>
      </c>
      <c r="J129">
        <v>0</v>
      </c>
      <c r="K129">
        <v>0</v>
      </c>
      <c r="L129">
        <v>0</v>
      </c>
      <c r="M129">
        <v>0</v>
      </c>
      <c r="N129">
        <v>0</v>
      </c>
      <c r="P129" s="18">
        <f t="shared" si="9"/>
        <v>0</v>
      </c>
      <c r="Q129" s="18">
        <f t="shared" si="10"/>
        <v>0</v>
      </c>
      <c r="R129" s="18">
        <f t="shared" si="11"/>
        <v>0</v>
      </c>
      <c r="S129" s="18">
        <f t="shared" si="12"/>
        <v>0</v>
      </c>
      <c r="T129" s="18">
        <f t="shared" si="13"/>
        <v>0</v>
      </c>
      <c r="U129" s="18">
        <f t="shared" si="14"/>
        <v>0</v>
      </c>
      <c r="V129" s="18">
        <f t="shared" si="15"/>
        <v>0</v>
      </c>
      <c r="W129" s="18">
        <f t="shared" si="16"/>
        <v>0</v>
      </c>
    </row>
    <row r="130" spans="1:23" x14ac:dyDescent="0.2">
      <c r="A130" s="17">
        <v>5673</v>
      </c>
      <c r="B130">
        <v>0</v>
      </c>
      <c r="C130">
        <v>0</v>
      </c>
      <c r="D130">
        <v>0</v>
      </c>
      <c r="E130">
        <v>0</v>
      </c>
      <c r="F130">
        <v>0</v>
      </c>
      <c r="G130">
        <v>0</v>
      </c>
      <c r="H130">
        <v>0</v>
      </c>
      <c r="I130">
        <v>0</v>
      </c>
      <c r="J130">
        <v>0</v>
      </c>
      <c r="K130">
        <v>0</v>
      </c>
      <c r="L130">
        <v>0</v>
      </c>
      <c r="M130">
        <v>0</v>
      </c>
      <c r="N130">
        <v>0</v>
      </c>
      <c r="P130" s="18">
        <f t="shared" si="9"/>
        <v>0</v>
      </c>
      <c r="Q130" s="18">
        <f t="shared" si="10"/>
        <v>0</v>
      </c>
      <c r="R130" s="18">
        <f t="shared" si="11"/>
        <v>0</v>
      </c>
      <c r="S130" s="18">
        <f t="shared" si="12"/>
        <v>0</v>
      </c>
      <c r="T130" s="18">
        <f t="shared" si="13"/>
        <v>0</v>
      </c>
      <c r="U130" s="18">
        <f t="shared" si="14"/>
        <v>0</v>
      </c>
      <c r="V130" s="18">
        <f t="shared" si="15"/>
        <v>0</v>
      </c>
      <c r="W130" s="18">
        <f t="shared" si="16"/>
        <v>0</v>
      </c>
    </row>
    <row r="131" spans="1:23" x14ac:dyDescent="0.2">
      <c r="A131" s="17">
        <v>5677</v>
      </c>
      <c r="B131">
        <v>0</v>
      </c>
      <c r="C131">
        <v>0</v>
      </c>
      <c r="D131">
        <v>0</v>
      </c>
      <c r="E131">
        <v>0</v>
      </c>
      <c r="F131">
        <v>0</v>
      </c>
      <c r="G131">
        <v>0</v>
      </c>
      <c r="H131">
        <v>0</v>
      </c>
      <c r="I131">
        <v>0</v>
      </c>
      <c r="J131">
        <v>0</v>
      </c>
      <c r="K131">
        <v>0</v>
      </c>
      <c r="L131">
        <v>0</v>
      </c>
      <c r="M131">
        <v>0</v>
      </c>
      <c r="N131">
        <v>0</v>
      </c>
      <c r="P131" s="18">
        <f t="shared" si="9"/>
        <v>0</v>
      </c>
      <c r="Q131" s="18">
        <f t="shared" si="10"/>
        <v>0</v>
      </c>
      <c r="R131" s="18">
        <f t="shared" si="11"/>
        <v>0</v>
      </c>
      <c r="S131" s="18">
        <f t="shared" si="12"/>
        <v>0</v>
      </c>
      <c r="T131" s="18">
        <f t="shared" si="13"/>
        <v>0</v>
      </c>
      <c r="U131" s="18">
        <f t="shared" si="14"/>
        <v>0</v>
      </c>
      <c r="V131" s="18">
        <f t="shared" si="15"/>
        <v>0</v>
      </c>
      <c r="W131" s="18">
        <f t="shared" si="16"/>
        <v>0</v>
      </c>
    </row>
    <row r="132" spans="1:23" x14ac:dyDescent="0.2">
      <c r="A132" s="17">
        <v>5678</v>
      </c>
      <c r="B132">
        <v>0</v>
      </c>
      <c r="C132">
        <v>0</v>
      </c>
      <c r="D132">
        <v>0</v>
      </c>
      <c r="E132">
        <v>0</v>
      </c>
      <c r="F132">
        <v>0</v>
      </c>
      <c r="G132">
        <v>0</v>
      </c>
      <c r="H132">
        <v>0</v>
      </c>
      <c r="I132">
        <v>0</v>
      </c>
      <c r="J132">
        <v>0</v>
      </c>
      <c r="K132">
        <v>0</v>
      </c>
      <c r="L132">
        <v>0</v>
      </c>
      <c r="M132">
        <v>0</v>
      </c>
      <c r="N132">
        <v>0</v>
      </c>
      <c r="P132" s="18">
        <f t="shared" si="9"/>
        <v>0</v>
      </c>
      <c r="Q132" s="18">
        <f t="shared" si="10"/>
        <v>0</v>
      </c>
      <c r="R132" s="18">
        <f t="shared" si="11"/>
        <v>0</v>
      </c>
      <c r="S132" s="18">
        <f t="shared" si="12"/>
        <v>0</v>
      </c>
      <c r="T132" s="18">
        <f t="shared" si="13"/>
        <v>0</v>
      </c>
      <c r="U132" s="18">
        <f t="shared" si="14"/>
        <v>0</v>
      </c>
      <c r="V132" s="18">
        <f t="shared" si="15"/>
        <v>0</v>
      </c>
      <c r="W132" s="18">
        <f t="shared" si="16"/>
        <v>0</v>
      </c>
    </row>
    <row r="133" spans="1:23" x14ac:dyDescent="0.2">
      <c r="A133" s="17">
        <v>5681</v>
      </c>
      <c r="B133">
        <v>0</v>
      </c>
      <c r="C133">
        <v>0</v>
      </c>
      <c r="D133">
        <v>0</v>
      </c>
      <c r="E133">
        <v>0</v>
      </c>
      <c r="F133">
        <v>0</v>
      </c>
      <c r="G133">
        <v>0</v>
      </c>
      <c r="H133">
        <v>0</v>
      </c>
      <c r="I133">
        <v>0</v>
      </c>
      <c r="J133">
        <v>0</v>
      </c>
      <c r="K133">
        <v>0</v>
      </c>
      <c r="L133">
        <v>0</v>
      </c>
      <c r="M133">
        <v>0</v>
      </c>
      <c r="N133">
        <v>0</v>
      </c>
      <c r="P133" s="18">
        <f t="shared" si="9"/>
        <v>0</v>
      </c>
      <c r="Q133" s="18">
        <f t="shared" si="10"/>
        <v>0</v>
      </c>
      <c r="R133" s="18">
        <f t="shared" si="11"/>
        <v>0</v>
      </c>
      <c r="S133" s="18">
        <f t="shared" si="12"/>
        <v>0</v>
      </c>
      <c r="T133" s="18">
        <f t="shared" si="13"/>
        <v>0</v>
      </c>
      <c r="U133" s="18">
        <f t="shared" si="14"/>
        <v>0</v>
      </c>
      <c r="V133" s="18">
        <f t="shared" si="15"/>
        <v>0</v>
      </c>
      <c r="W133" s="18">
        <f t="shared" si="16"/>
        <v>0</v>
      </c>
    </row>
    <row r="134" spans="1:23" x14ac:dyDescent="0.2">
      <c r="A134" s="17">
        <v>5683</v>
      </c>
      <c r="B134">
        <v>0</v>
      </c>
      <c r="C134">
        <v>0</v>
      </c>
      <c r="D134">
        <v>0</v>
      </c>
      <c r="E134">
        <v>0</v>
      </c>
      <c r="F134">
        <v>0</v>
      </c>
      <c r="G134">
        <v>0</v>
      </c>
      <c r="H134">
        <v>0</v>
      </c>
      <c r="I134">
        <v>0</v>
      </c>
      <c r="J134">
        <v>0</v>
      </c>
      <c r="K134">
        <v>0</v>
      </c>
      <c r="L134">
        <v>0</v>
      </c>
      <c r="M134">
        <v>0</v>
      </c>
      <c r="N134">
        <v>0</v>
      </c>
      <c r="P134" s="18">
        <f t="shared" ref="P134:P197" si="17">SUM(B134,G134)</f>
        <v>0</v>
      </c>
      <c r="Q134" s="18">
        <f t="shared" ref="Q134:Q197" si="18">SUM(C134,H134)</f>
        <v>0</v>
      </c>
      <c r="R134" s="18">
        <f t="shared" ref="R134:R197" si="19">SUM(D134,I134)</f>
        <v>0</v>
      </c>
      <c r="S134" s="18">
        <f t="shared" ref="S134:S197" si="20">SUM(E134,J134)</f>
        <v>0</v>
      </c>
      <c r="T134" s="18">
        <f t="shared" ref="T134:T197" si="21">K134</f>
        <v>0</v>
      </c>
      <c r="U134" s="18">
        <f t="shared" ref="U134:U197" si="22">L134</f>
        <v>0</v>
      </c>
      <c r="V134" s="18">
        <f t="shared" ref="V134:V197" si="23">M134</f>
        <v>0</v>
      </c>
      <c r="W134" s="18">
        <f t="shared" ref="W134:W197" si="24">SUM(F134,N134)</f>
        <v>0</v>
      </c>
    </row>
    <row r="135" spans="1:23" x14ac:dyDescent="0.2">
      <c r="A135" s="17">
        <v>5699</v>
      </c>
      <c r="B135">
        <v>0</v>
      </c>
      <c r="C135">
        <v>0</v>
      </c>
      <c r="D135">
        <v>0</v>
      </c>
      <c r="E135">
        <v>0</v>
      </c>
      <c r="F135">
        <v>0</v>
      </c>
      <c r="G135">
        <v>0</v>
      </c>
      <c r="H135">
        <v>0</v>
      </c>
      <c r="I135">
        <v>0</v>
      </c>
      <c r="J135">
        <v>0</v>
      </c>
      <c r="K135">
        <v>0</v>
      </c>
      <c r="L135">
        <v>0</v>
      </c>
      <c r="M135">
        <v>0</v>
      </c>
      <c r="N135">
        <v>0</v>
      </c>
      <c r="P135" s="18">
        <f t="shared" si="17"/>
        <v>0</v>
      </c>
      <c r="Q135" s="18">
        <f t="shared" si="18"/>
        <v>0</v>
      </c>
      <c r="R135" s="18">
        <f t="shared" si="19"/>
        <v>0</v>
      </c>
      <c r="S135" s="18">
        <f t="shared" si="20"/>
        <v>0</v>
      </c>
      <c r="T135" s="18">
        <f t="shared" si="21"/>
        <v>0</v>
      </c>
      <c r="U135" s="18">
        <f t="shared" si="22"/>
        <v>0</v>
      </c>
      <c r="V135" s="18">
        <f t="shared" si="23"/>
        <v>0</v>
      </c>
      <c r="W135" s="18">
        <f t="shared" si="24"/>
        <v>0</v>
      </c>
    </row>
    <row r="136" spans="1:23" x14ac:dyDescent="0.2">
      <c r="A136" s="17">
        <v>5723</v>
      </c>
      <c r="B136">
        <v>0</v>
      </c>
      <c r="C136">
        <v>0</v>
      </c>
      <c r="D136">
        <v>0</v>
      </c>
      <c r="E136">
        <v>0</v>
      </c>
      <c r="F136">
        <v>0</v>
      </c>
      <c r="G136">
        <v>0</v>
      </c>
      <c r="H136">
        <v>0</v>
      </c>
      <c r="I136">
        <v>0</v>
      </c>
      <c r="J136">
        <v>0</v>
      </c>
      <c r="K136">
        <v>0</v>
      </c>
      <c r="L136">
        <v>0</v>
      </c>
      <c r="M136">
        <v>0</v>
      </c>
      <c r="N136">
        <v>0</v>
      </c>
      <c r="P136" s="18">
        <f t="shared" si="17"/>
        <v>0</v>
      </c>
      <c r="Q136" s="18">
        <f t="shared" si="18"/>
        <v>0</v>
      </c>
      <c r="R136" s="18">
        <f t="shared" si="19"/>
        <v>0</v>
      </c>
      <c r="S136" s="18">
        <f t="shared" si="20"/>
        <v>0</v>
      </c>
      <c r="T136" s="18">
        <f t="shared" si="21"/>
        <v>0</v>
      </c>
      <c r="U136" s="18">
        <f t="shared" si="22"/>
        <v>0</v>
      </c>
      <c r="V136" s="18">
        <f t="shared" si="23"/>
        <v>0</v>
      </c>
      <c r="W136" s="18">
        <f t="shared" si="24"/>
        <v>0</v>
      </c>
    </row>
    <row r="137" spans="1:23" x14ac:dyDescent="0.2">
      <c r="A137" s="17">
        <v>5721</v>
      </c>
      <c r="B137">
        <v>0</v>
      </c>
      <c r="C137">
        <v>0</v>
      </c>
      <c r="D137">
        <v>0</v>
      </c>
      <c r="E137">
        <v>0</v>
      </c>
      <c r="F137">
        <v>0</v>
      </c>
      <c r="G137">
        <v>0</v>
      </c>
      <c r="H137">
        <v>0</v>
      </c>
      <c r="I137">
        <v>0</v>
      </c>
      <c r="J137">
        <v>0</v>
      </c>
      <c r="K137">
        <v>0</v>
      </c>
      <c r="L137">
        <v>0</v>
      </c>
      <c r="M137">
        <v>0</v>
      </c>
      <c r="N137">
        <v>0</v>
      </c>
      <c r="P137" s="18">
        <f t="shared" si="17"/>
        <v>0</v>
      </c>
      <c r="Q137" s="18">
        <f t="shared" si="18"/>
        <v>0</v>
      </c>
      <c r="R137" s="18">
        <f t="shared" si="19"/>
        <v>0</v>
      </c>
      <c r="S137" s="18">
        <f t="shared" si="20"/>
        <v>0</v>
      </c>
      <c r="T137" s="18">
        <f t="shared" si="21"/>
        <v>0</v>
      </c>
      <c r="U137" s="18">
        <f t="shared" si="22"/>
        <v>0</v>
      </c>
      <c r="V137" s="18">
        <f t="shared" si="23"/>
        <v>0</v>
      </c>
      <c r="W137" s="18">
        <f t="shared" si="24"/>
        <v>0</v>
      </c>
    </row>
    <row r="138" spans="1:23" x14ac:dyDescent="0.2">
      <c r="A138" s="17">
        <v>5725</v>
      </c>
      <c r="B138">
        <v>0</v>
      </c>
      <c r="C138">
        <v>0</v>
      </c>
      <c r="D138">
        <v>0</v>
      </c>
      <c r="E138">
        <v>0</v>
      </c>
      <c r="F138">
        <v>0</v>
      </c>
      <c r="G138">
        <v>0</v>
      </c>
      <c r="H138">
        <v>0</v>
      </c>
      <c r="I138">
        <v>0</v>
      </c>
      <c r="J138">
        <v>0</v>
      </c>
      <c r="K138">
        <v>0</v>
      </c>
      <c r="L138">
        <v>0</v>
      </c>
      <c r="M138">
        <v>0</v>
      </c>
      <c r="N138">
        <v>0</v>
      </c>
      <c r="P138" s="18">
        <f t="shared" si="17"/>
        <v>0</v>
      </c>
      <c r="Q138" s="18">
        <f t="shared" si="18"/>
        <v>0</v>
      </c>
      <c r="R138" s="18">
        <f t="shared" si="19"/>
        <v>0</v>
      </c>
      <c r="S138" s="18">
        <f t="shared" si="20"/>
        <v>0</v>
      </c>
      <c r="T138" s="18">
        <f t="shared" si="21"/>
        <v>0</v>
      </c>
      <c r="U138" s="18">
        <f t="shared" si="22"/>
        <v>0</v>
      </c>
      <c r="V138" s="18">
        <f t="shared" si="23"/>
        <v>0</v>
      </c>
      <c r="W138" s="18">
        <f t="shared" si="24"/>
        <v>0</v>
      </c>
    </row>
    <row r="139" spans="1:23" x14ac:dyDescent="0.2">
      <c r="A139" s="17">
        <v>5697</v>
      </c>
      <c r="B139">
        <v>0</v>
      </c>
      <c r="C139">
        <v>0</v>
      </c>
      <c r="D139">
        <v>0</v>
      </c>
      <c r="E139">
        <v>0</v>
      </c>
      <c r="F139">
        <v>0</v>
      </c>
      <c r="G139">
        <v>0</v>
      </c>
      <c r="H139">
        <v>0</v>
      </c>
      <c r="I139">
        <v>0</v>
      </c>
      <c r="J139">
        <v>0</v>
      </c>
      <c r="K139">
        <v>0</v>
      </c>
      <c r="L139">
        <v>0</v>
      </c>
      <c r="M139">
        <v>0</v>
      </c>
      <c r="N139">
        <v>0</v>
      </c>
      <c r="P139" s="18">
        <f t="shared" si="17"/>
        <v>0</v>
      </c>
      <c r="Q139" s="18">
        <f t="shared" si="18"/>
        <v>0</v>
      </c>
      <c r="R139" s="18">
        <f t="shared" si="19"/>
        <v>0</v>
      </c>
      <c r="S139" s="18">
        <f t="shared" si="20"/>
        <v>0</v>
      </c>
      <c r="T139" s="18">
        <f t="shared" si="21"/>
        <v>0</v>
      </c>
      <c r="U139" s="18">
        <f t="shared" si="22"/>
        <v>0</v>
      </c>
      <c r="V139" s="18">
        <f t="shared" si="23"/>
        <v>0</v>
      </c>
      <c r="W139" s="18">
        <f t="shared" si="24"/>
        <v>0</v>
      </c>
    </row>
    <row r="140" spans="1:23" x14ac:dyDescent="0.2">
      <c r="A140" s="17">
        <v>5730</v>
      </c>
      <c r="B140">
        <v>0</v>
      </c>
      <c r="C140">
        <v>0</v>
      </c>
      <c r="D140">
        <v>0</v>
      </c>
      <c r="E140">
        <v>0</v>
      </c>
      <c r="F140">
        <v>0</v>
      </c>
      <c r="G140">
        <v>0</v>
      </c>
      <c r="H140">
        <v>0</v>
      </c>
      <c r="I140">
        <v>0</v>
      </c>
      <c r="J140">
        <v>0</v>
      </c>
      <c r="K140">
        <v>0</v>
      </c>
      <c r="L140">
        <v>0</v>
      </c>
      <c r="M140">
        <v>0</v>
      </c>
      <c r="N140">
        <v>0</v>
      </c>
      <c r="P140" s="18">
        <f t="shared" si="17"/>
        <v>0</v>
      </c>
      <c r="Q140" s="18">
        <f t="shared" si="18"/>
        <v>0</v>
      </c>
      <c r="R140" s="18">
        <f t="shared" si="19"/>
        <v>0</v>
      </c>
      <c r="S140" s="18">
        <f t="shared" si="20"/>
        <v>0</v>
      </c>
      <c r="T140" s="18">
        <f t="shared" si="21"/>
        <v>0</v>
      </c>
      <c r="U140" s="18">
        <f t="shared" si="22"/>
        <v>0</v>
      </c>
      <c r="V140" s="18">
        <f t="shared" si="23"/>
        <v>0</v>
      </c>
      <c r="W140" s="18">
        <f t="shared" si="24"/>
        <v>0</v>
      </c>
    </row>
    <row r="141" spans="1:23" x14ac:dyDescent="0.2">
      <c r="A141" s="17">
        <v>5741</v>
      </c>
      <c r="B141">
        <v>0</v>
      </c>
      <c r="C141">
        <v>0</v>
      </c>
      <c r="D141">
        <v>0</v>
      </c>
      <c r="E141">
        <v>0</v>
      </c>
      <c r="F141">
        <v>0</v>
      </c>
      <c r="G141">
        <v>0</v>
      </c>
      <c r="H141">
        <v>0</v>
      </c>
      <c r="I141">
        <v>0</v>
      </c>
      <c r="J141">
        <v>0</v>
      </c>
      <c r="K141">
        <v>0</v>
      </c>
      <c r="L141">
        <v>0</v>
      </c>
      <c r="M141">
        <v>0</v>
      </c>
      <c r="N141">
        <v>0</v>
      </c>
      <c r="P141" s="18">
        <f t="shared" si="17"/>
        <v>0</v>
      </c>
      <c r="Q141" s="18">
        <f t="shared" si="18"/>
        <v>0</v>
      </c>
      <c r="R141" s="18">
        <f t="shared" si="19"/>
        <v>0</v>
      </c>
      <c r="S141" s="18">
        <f t="shared" si="20"/>
        <v>0</v>
      </c>
      <c r="T141" s="18">
        <f t="shared" si="21"/>
        <v>0</v>
      </c>
      <c r="U141" s="18">
        <f t="shared" si="22"/>
        <v>0</v>
      </c>
      <c r="V141" s="18">
        <f t="shared" si="23"/>
        <v>0</v>
      </c>
      <c r="W141" s="18">
        <f t="shared" si="24"/>
        <v>0</v>
      </c>
    </row>
    <row r="142" spans="1:23" x14ac:dyDescent="0.2">
      <c r="A142" s="17">
        <v>5749</v>
      </c>
      <c r="B142">
        <v>0</v>
      </c>
      <c r="C142">
        <v>0</v>
      </c>
      <c r="D142">
        <v>0</v>
      </c>
      <c r="E142">
        <v>0</v>
      </c>
      <c r="F142">
        <v>0</v>
      </c>
      <c r="G142">
        <v>0</v>
      </c>
      <c r="H142">
        <v>0</v>
      </c>
      <c r="I142">
        <v>0</v>
      </c>
      <c r="J142">
        <v>0</v>
      </c>
      <c r="K142">
        <v>0</v>
      </c>
      <c r="L142">
        <v>0</v>
      </c>
      <c r="M142">
        <v>0</v>
      </c>
      <c r="N142">
        <v>0</v>
      </c>
      <c r="P142" s="18">
        <f t="shared" si="17"/>
        <v>0</v>
      </c>
      <c r="Q142" s="18">
        <f t="shared" si="18"/>
        <v>0</v>
      </c>
      <c r="R142" s="18">
        <f t="shared" si="19"/>
        <v>0</v>
      </c>
      <c r="S142" s="18">
        <f t="shared" si="20"/>
        <v>0</v>
      </c>
      <c r="T142" s="18">
        <f t="shared" si="21"/>
        <v>0</v>
      </c>
      <c r="U142" s="18">
        <f t="shared" si="22"/>
        <v>0</v>
      </c>
      <c r="V142" s="18">
        <f t="shared" si="23"/>
        <v>0</v>
      </c>
      <c r="W142" s="18">
        <f t="shared" si="24"/>
        <v>0</v>
      </c>
    </row>
    <row r="143" spans="1:23" x14ac:dyDescent="0.2">
      <c r="A143" s="17">
        <v>5751</v>
      </c>
      <c r="B143">
        <v>0</v>
      </c>
      <c r="C143">
        <v>0</v>
      </c>
      <c r="D143">
        <v>0</v>
      </c>
      <c r="E143">
        <v>0</v>
      </c>
      <c r="F143">
        <v>0</v>
      </c>
      <c r="G143">
        <v>0</v>
      </c>
      <c r="H143">
        <v>0</v>
      </c>
      <c r="I143">
        <v>0</v>
      </c>
      <c r="J143">
        <v>0</v>
      </c>
      <c r="K143">
        <v>0</v>
      </c>
      <c r="L143">
        <v>0</v>
      </c>
      <c r="M143">
        <v>0</v>
      </c>
      <c r="N143">
        <v>0</v>
      </c>
      <c r="P143" s="18">
        <f t="shared" si="17"/>
        <v>0</v>
      </c>
      <c r="Q143" s="18">
        <f t="shared" si="18"/>
        <v>0</v>
      </c>
      <c r="R143" s="18">
        <f t="shared" si="19"/>
        <v>0</v>
      </c>
      <c r="S143" s="18">
        <f t="shared" si="20"/>
        <v>0</v>
      </c>
      <c r="T143" s="18">
        <f t="shared" si="21"/>
        <v>0</v>
      </c>
      <c r="U143" s="18">
        <f t="shared" si="22"/>
        <v>0</v>
      </c>
      <c r="V143" s="18">
        <f t="shared" si="23"/>
        <v>0</v>
      </c>
      <c r="W143" s="18">
        <f t="shared" si="24"/>
        <v>0</v>
      </c>
    </row>
    <row r="144" spans="1:23" x14ac:dyDescent="0.2">
      <c r="A144" s="17">
        <v>5758</v>
      </c>
      <c r="B144">
        <v>0</v>
      </c>
      <c r="C144">
        <v>0</v>
      </c>
      <c r="D144">
        <v>0</v>
      </c>
      <c r="E144">
        <v>0</v>
      </c>
      <c r="F144">
        <v>0</v>
      </c>
      <c r="G144">
        <v>0</v>
      </c>
      <c r="H144">
        <v>0</v>
      </c>
      <c r="I144">
        <v>0</v>
      </c>
      <c r="J144">
        <v>0</v>
      </c>
      <c r="K144">
        <v>0</v>
      </c>
      <c r="L144">
        <v>0</v>
      </c>
      <c r="M144">
        <v>0</v>
      </c>
      <c r="N144">
        <v>0</v>
      </c>
      <c r="P144" s="18">
        <f t="shared" si="17"/>
        <v>0</v>
      </c>
      <c r="Q144" s="18">
        <f t="shared" si="18"/>
        <v>0</v>
      </c>
      <c r="R144" s="18">
        <f t="shared" si="19"/>
        <v>0</v>
      </c>
      <c r="S144" s="18">
        <f t="shared" si="20"/>
        <v>0</v>
      </c>
      <c r="T144" s="18">
        <f t="shared" si="21"/>
        <v>0</v>
      </c>
      <c r="U144" s="18">
        <f t="shared" si="22"/>
        <v>0</v>
      </c>
      <c r="V144" s="18">
        <f t="shared" si="23"/>
        <v>0</v>
      </c>
      <c r="W144" s="18">
        <f t="shared" si="24"/>
        <v>0</v>
      </c>
    </row>
    <row r="145" spans="1:23" x14ac:dyDescent="0.2">
      <c r="A145" s="17">
        <v>5759</v>
      </c>
      <c r="B145">
        <v>0</v>
      </c>
      <c r="C145">
        <v>0</v>
      </c>
      <c r="D145">
        <v>0</v>
      </c>
      <c r="E145">
        <v>0</v>
      </c>
      <c r="F145">
        <v>0</v>
      </c>
      <c r="G145">
        <v>0</v>
      </c>
      <c r="H145">
        <v>0</v>
      </c>
      <c r="I145">
        <v>0</v>
      </c>
      <c r="J145">
        <v>0</v>
      </c>
      <c r="K145">
        <v>0</v>
      </c>
      <c r="L145">
        <v>0</v>
      </c>
      <c r="M145">
        <v>0</v>
      </c>
      <c r="N145">
        <v>0</v>
      </c>
      <c r="P145" s="18">
        <f t="shared" si="17"/>
        <v>0</v>
      </c>
      <c r="Q145" s="18">
        <f t="shared" si="18"/>
        <v>0</v>
      </c>
      <c r="R145" s="18">
        <f t="shared" si="19"/>
        <v>0</v>
      </c>
      <c r="S145" s="18">
        <f t="shared" si="20"/>
        <v>0</v>
      </c>
      <c r="T145" s="18">
        <f t="shared" si="21"/>
        <v>0</v>
      </c>
      <c r="U145" s="18">
        <f t="shared" si="22"/>
        <v>0</v>
      </c>
      <c r="V145" s="18">
        <f t="shared" si="23"/>
        <v>0</v>
      </c>
      <c r="W145" s="18">
        <f t="shared" si="24"/>
        <v>0</v>
      </c>
    </row>
    <row r="146" spans="1:23" x14ac:dyDescent="0.2">
      <c r="A146" s="17">
        <v>5757</v>
      </c>
      <c r="B146">
        <v>0</v>
      </c>
      <c r="C146">
        <v>0</v>
      </c>
      <c r="D146">
        <v>0</v>
      </c>
      <c r="E146">
        <v>0</v>
      </c>
      <c r="F146">
        <v>0</v>
      </c>
      <c r="G146">
        <v>0</v>
      </c>
      <c r="H146">
        <v>0</v>
      </c>
      <c r="I146">
        <v>0</v>
      </c>
      <c r="J146">
        <v>0</v>
      </c>
      <c r="K146">
        <v>0</v>
      </c>
      <c r="L146">
        <v>0</v>
      </c>
      <c r="M146">
        <v>0</v>
      </c>
      <c r="N146">
        <v>0</v>
      </c>
      <c r="P146" s="18">
        <f t="shared" si="17"/>
        <v>0</v>
      </c>
      <c r="Q146" s="18">
        <f t="shared" si="18"/>
        <v>0</v>
      </c>
      <c r="R146" s="18">
        <f t="shared" si="19"/>
        <v>0</v>
      </c>
      <c r="S146" s="18">
        <f t="shared" si="20"/>
        <v>0</v>
      </c>
      <c r="T146" s="18">
        <f t="shared" si="21"/>
        <v>0</v>
      </c>
      <c r="U146" s="18">
        <f t="shared" si="22"/>
        <v>0</v>
      </c>
      <c r="V146" s="18">
        <f t="shared" si="23"/>
        <v>0</v>
      </c>
      <c r="W146" s="18">
        <f t="shared" si="24"/>
        <v>0</v>
      </c>
    </row>
    <row r="147" spans="1:23" x14ac:dyDescent="0.2">
      <c r="A147" s="17">
        <v>5492</v>
      </c>
      <c r="B147">
        <v>0</v>
      </c>
      <c r="C147">
        <v>0</v>
      </c>
      <c r="D147">
        <v>0</v>
      </c>
      <c r="E147">
        <v>0</v>
      </c>
      <c r="F147">
        <v>0</v>
      </c>
      <c r="G147">
        <v>0</v>
      </c>
      <c r="H147">
        <v>0</v>
      </c>
      <c r="I147">
        <v>0</v>
      </c>
      <c r="J147">
        <v>0</v>
      </c>
      <c r="K147">
        <v>0</v>
      </c>
      <c r="L147">
        <v>0</v>
      </c>
      <c r="M147">
        <v>0</v>
      </c>
      <c r="N147">
        <v>0</v>
      </c>
      <c r="P147" s="18">
        <f t="shared" si="17"/>
        <v>0</v>
      </c>
      <c r="Q147" s="18">
        <f t="shared" si="18"/>
        <v>0</v>
      </c>
      <c r="R147" s="18">
        <f t="shared" si="19"/>
        <v>0</v>
      </c>
      <c r="S147" s="18">
        <f t="shared" si="20"/>
        <v>0</v>
      </c>
      <c r="T147" s="18">
        <f t="shared" si="21"/>
        <v>0</v>
      </c>
      <c r="U147" s="18">
        <f t="shared" si="22"/>
        <v>0</v>
      </c>
      <c r="V147" s="18">
        <f t="shared" si="23"/>
        <v>0</v>
      </c>
      <c r="W147" s="18">
        <f t="shared" si="24"/>
        <v>0</v>
      </c>
    </row>
    <row r="148" spans="1:23" x14ac:dyDescent="0.2">
      <c r="A148" s="17">
        <v>5770</v>
      </c>
      <c r="B148">
        <v>0</v>
      </c>
      <c r="C148">
        <v>0</v>
      </c>
      <c r="D148">
        <v>0</v>
      </c>
      <c r="E148">
        <v>0</v>
      </c>
      <c r="F148">
        <v>0</v>
      </c>
      <c r="G148">
        <v>0</v>
      </c>
      <c r="H148">
        <v>0</v>
      </c>
      <c r="I148">
        <v>0</v>
      </c>
      <c r="J148">
        <v>0</v>
      </c>
      <c r="K148">
        <v>0</v>
      </c>
      <c r="L148">
        <v>0</v>
      </c>
      <c r="M148">
        <v>0</v>
      </c>
      <c r="N148">
        <v>0</v>
      </c>
      <c r="P148" s="18">
        <f t="shared" si="17"/>
        <v>0</v>
      </c>
      <c r="Q148" s="18">
        <f t="shared" si="18"/>
        <v>0</v>
      </c>
      <c r="R148" s="18">
        <f t="shared" si="19"/>
        <v>0</v>
      </c>
      <c r="S148" s="18">
        <f t="shared" si="20"/>
        <v>0</v>
      </c>
      <c r="T148" s="18">
        <f t="shared" si="21"/>
        <v>0</v>
      </c>
      <c r="U148" s="18">
        <f t="shared" si="22"/>
        <v>0</v>
      </c>
      <c r="V148" s="18">
        <f t="shared" si="23"/>
        <v>0</v>
      </c>
      <c r="W148" s="18">
        <f t="shared" si="24"/>
        <v>0</v>
      </c>
    </row>
    <row r="149" spans="1:23" x14ac:dyDescent="0.2">
      <c r="A149" s="17">
        <v>5785</v>
      </c>
      <c r="B149">
        <v>0</v>
      </c>
      <c r="C149">
        <v>0</v>
      </c>
      <c r="D149">
        <v>0</v>
      </c>
      <c r="E149">
        <v>0</v>
      </c>
      <c r="F149">
        <v>0</v>
      </c>
      <c r="G149">
        <v>0</v>
      </c>
      <c r="H149">
        <v>0</v>
      </c>
      <c r="I149">
        <v>0</v>
      </c>
      <c r="J149">
        <v>0</v>
      </c>
      <c r="K149">
        <v>0</v>
      </c>
      <c r="L149">
        <v>0</v>
      </c>
      <c r="M149">
        <v>0</v>
      </c>
      <c r="N149">
        <v>0</v>
      </c>
      <c r="P149" s="18">
        <f t="shared" si="17"/>
        <v>0</v>
      </c>
      <c r="Q149" s="18">
        <f t="shared" si="18"/>
        <v>0</v>
      </c>
      <c r="R149" s="18">
        <f t="shared" si="19"/>
        <v>0</v>
      </c>
      <c r="S149" s="18">
        <f t="shared" si="20"/>
        <v>0</v>
      </c>
      <c r="T149" s="18">
        <f t="shared" si="21"/>
        <v>0</v>
      </c>
      <c r="U149" s="18">
        <f t="shared" si="22"/>
        <v>0</v>
      </c>
      <c r="V149" s="18">
        <f t="shared" si="23"/>
        <v>0</v>
      </c>
      <c r="W149" s="18">
        <f t="shared" si="24"/>
        <v>0</v>
      </c>
    </row>
    <row r="150" spans="1:23" x14ac:dyDescent="0.2">
      <c r="A150" s="17">
        <v>5761</v>
      </c>
      <c r="B150">
        <v>0</v>
      </c>
      <c r="C150">
        <v>0</v>
      </c>
      <c r="D150">
        <v>0</v>
      </c>
      <c r="E150">
        <v>0</v>
      </c>
      <c r="F150">
        <v>0</v>
      </c>
      <c r="G150">
        <v>0</v>
      </c>
      <c r="H150">
        <v>0</v>
      </c>
      <c r="I150">
        <v>0</v>
      </c>
      <c r="J150">
        <v>0</v>
      </c>
      <c r="K150">
        <v>0</v>
      </c>
      <c r="L150">
        <v>0</v>
      </c>
      <c r="M150">
        <v>0</v>
      </c>
      <c r="N150">
        <v>0</v>
      </c>
      <c r="P150" s="18">
        <f t="shared" si="17"/>
        <v>0</v>
      </c>
      <c r="Q150" s="18">
        <f t="shared" si="18"/>
        <v>0</v>
      </c>
      <c r="R150" s="18">
        <f t="shared" si="19"/>
        <v>0</v>
      </c>
      <c r="S150" s="18">
        <f t="shared" si="20"/>
        <v>0</v>
      </c>
      <c r="T150" s="18">
        <f t="shared" si="21"/>
        <v>0</v>
      </c>
      <c r="U150" s="18">
        <f t="shared" si="22"/>
        <v>0</v>
      </c>
      <c r="V150" s="18">
        <f t="shared" si="23"/>
        <v>0</v>
      </c>
      <c r="W150" s="18">
        <f t="shared" si="24"/>
        <v>0</v>
      </c>
    </row>
    <row r="151" spans="1:23" x14ac:dyDescent="0.2">
      <c r="A151" s="17">
        <v>5805</v>
      </c>
      <c r="B151">
        <v>0</v>
      </c>
      <c r="C151">
        <v>0</v>
      </c>
      <c r="D151">
        <v>0</v>
      </c>
      <c r="E151">
        <v>0</v>
      </c>
      <c r="F151">
        <v>0</v>
      </c>
      <c r="G151">
        <v>0</v>
      </c>
      <c r="H151">
        <v>0</v>
      </c>
      <c r="I151">
        <v>0</v>
      </c>
      <c r="J151">
        <v>0</v>
      </c>
      <c r="K151">
        <v>0</v>
      </c>
      <c r="L151">
        <v>0</v>
      </c>
      <c r="M151">
        <v>0</v>
      </c>
      <c r="N151">
        <v>0</v>
      </c>
      <c r="P151" s="18">
        <f t="shared" si="17"/>
        <v>0</v>
      </c>
      <c r="Q151" s="18">
        <f t="shared" si="18"/>
        <v>0</v>
      </c>
      <c r="R151" s="18">
        <f t="shared" si="19"/>
        <v>0</v>
      </c>
      <c r="S151" s="18">
        <f t="shared" si="20"/>
        <v>0</v>
      </c>
      <c r="T151" s="18">
        <f t="shared" si="21"/>
        <v>0</v>
      </c>
      <c r="U151" s="18">
        <f t="shared" si="22"/>
        <v>0</v>
      </c>
      <c r="V151" s="18">
        <f t="shared" si="23"/>
        <v>0</v>
      </c>
      <c r="W151" s="18">
        <f t="shared" si="24"/>
        <v>0</v>
      </c>
    </row>
    <row r="152" spans="1:23" x14ac:dyDescent="0.2">
      <c r="A152" s="17">
        <v>5803</v>
      </c>
      <c r="B152">
        <v>0</v>
      </c>
      <c r="C152">
        <v>0</v>
      </c>
      <c r="D152">
        <v>0</v>
      </c>
      <c r="E152">
        <v>0</v>
      </c>
      <c r="F152">
        <v>0</v>
      </c>
      <c r="G152">
        <v>0</v>
      </c>
      <c r="H152">
        <v>0</v>
      </c>
      <c r="I152">
        <v>0</v>
      </c>
      <c r="J152">
        <v>0</v>
      </c>
      <c r="K152">
        <v>0</v>
      </c>
      <c r="L152">
        <v>0</v>
      </c>
      <c r="M152">
        <v>0</v>
      </c>
      <c r="N152">
        <v>0</v>
      </c>
      <c r="P152" s="18">
        <f t="shared" si="17"/>
        <v>0</v>
      </c>
      <c r="Q152" s="18">
        <f t="shared" si="18"/>
        <v>0</v>
      </c>
      <c r="R152" s="18">
        <f t="shared" si="19"/>
        <v>0</v>
      </c>
      <c r="S152" s="18">
        <f t="shared" si="20"/>
        <v>0</v>
      </c>
      <c r="T152" s="18">
        <f t="shared" si="21"/>
        <v>0</v>
      </c>
      <c r="U152" s="18">
        <f t="shared" si="22"/>
        <v>0</v>
      </c>
      <c r="V152" s="18">
        <f t="shared" si="23"/>
        <v>0</v>
      </c>
      <c r="W152" s="18">
        <f t="shared" si="24"/>
        <v>0</v>
      </c>
    </row>
    <row r="153" spans="1:23" x14ac:dyDescent="0.2">
      <c r="A153" s="17">
        <v>5804</v>
      </c>
      <c r="B153">
        <v>0</v>
      </c>
      <c r="C153">
        <v>0</v>
      </c>
      <c r="D153">
        <v>0</v>
      </c>
      <c r="E153">
        <v>0</v>
      </c>
      <c r="F153">
        <v>0</v>
      </c>
      <c r="G153">
        <v>0</v>
      </c>
      <c r="H153">
        <v>0</v>
      </c>
      <c r="I153">
        <v>0</v>
      </c>
      <c r="J153">
        <v>0</v>
      </c>
      <c r="K153">
        <v>0</v>
      </c>
      <c r="L153">
        <v>0</v>
      </c>
      <c r="M153">
        <v>0</v>
      </c>
      <c r="N153">
        <v>0</v>
      </c>
      <c r="P153" s="18">
        <f t="shared" si="17"/>
        <v>0</v>
      </c>
      <c r="Q153" s="18">
        <f t="shared" si="18"/>
        <v>0</v>
      </c>
      <c r="R153" s="18">
        <f t="shared" si="19"/>
        <v>0</v>
      </c>
      <c r="S153" s="18">
        <f t="shared" si="20"/>
        <v>0</v>
      </c>
      <c r="T153" s="18">
        <f t="shared" si="21"/>
        <v>0</v>
      </c>
      <c r="U153" s="18">
        <f t="shared" si="22"/>
        <v>0</v>
      </c>
      <c r="V153" s="18">
        <f t="shared" si="23"/>
        <v>0</v>
      </c>
      <c r="W153" s="18">
        <f t="shared" si="24"/>
        <v>0</v>
      </c>
    </row>
    <row r="154" spans="1:23" x14ac:dyDescent="0.2">
      <c r="A154" s="17">
        <v>5620</v>
      </c>
      <c r="B154">
        <v>0</v>
      </c>
      <c r="C154">
        <v>0</v>
      </c>
      <c r="D154">
        <v>0</v>
      </c>
      <c r="E154">
        <v>0</v>
      </c>
      <c r="F154">
        <v>0</v>
      </c>
      <c r="G154">
        <v>0</v>
      </c>
      <c r="H154">
        <v>0</v>
      </c>
      <c r="I154">
        <v>0</v>
      </c>
      <c r="J154">
        <v>0</v>
      </c>
      <c r="K154">
        <v>0</v>
      </c>
      <c r="L154">
        <v>0</v>
      </c>
      <c r="M154">
        <v>0</v>
      </c>
      <c r="N154">
        <v>0</v>
      </c>
      <c r="P154" s="18">
        <f t="shared" si="17"/>
        <v>0</v>
      </c>
      <c r="Q154" s="18">
        <f t="shared" si="18"/>
        <v>0</v>
      </c>
      <c r="R154" s="18">
        <f t="shared" si="19"/>
        <v>0</v>
      </c>
      <c r="S154" s="18">
        <f t="shared" si="20"/>
        <v>0</v>
      </c>
      <c r="T154" s="18">
        <f t="shared" si="21"/>
        <v>0</v>
      </c>
      <c r="U154" s="18">
        <f t="shared" si="22"/>
        <v>0</v>
      </c>
      <c r="V154" s="18">
        <f t="shared" si="23"/>
        <v>0</v>
      </c>
      <c r="W154" s="18">
        <f t="shared" si="24"/>
        <v>0</v>
      </c>
    </row>
    <row r="155" spans="1:23" x14ac:dyDescent="0.2">
      <c r="A155" s="17">
        <v>5827</v>
      </c>
      <c r="B155">
        <v>0</v>
      </c>
      <c r="C155">
        <v>0</v>
      </c>
      <c r="D155">
        <v>0</v>
      </c>
      <c r="E155">
        <v>0</v>
      </c>
      <c r="F155">
        <v>0</v>
      </c>
      <c r="G155">
        <v>0</v>
      </c>
      <c r="H155">
        <v>0</v>
      </c>
      <c r="I155">
        <v>0</v>
      </c>
      <c r="J155">
        <v>0</v>
      </c>
      <c r="K155">
        <v>0</v>
      </c>
      <c r="L155">
        <v>0</v>
      </c>
      <c r="M155">
        <v>0</v>
      </c>
      <c r="N155">
        <v>0</v>
      </c>
      <c r="P155" s="18">
        <f t="shared" si="17"/>
        <v>0</v>
      </c>
      <c r="Q155" s="18">
        <f t="shared" si="18"/>
        <v>0</v>
      </c>
      <c r="R155" s="18">
        <f t="shared" si="19"/>
        <v>0</v>
      </c>
      <c r="S155" s="18">
        <f t="shared" si="20"/>
        <v>0</v>
      </c>
      <c r="T155" s="18">
        <f t="shared" si="21"/>
        <v>0</v>
      </c>
      <c r="U155" s="18">
        <f t="shared" si="22"/>
        <v>0</v>
      </c>
      <c r="V155" s="18">
        <f t="shared" si="23"/>
        <v>0</v>
      </c>
      <c r="W155" s="18">
        <f t="shared" si="24"/>
        <v>0</v>
      </c>
    </row>
    <row r="156" spans="1:23" x14ac:dyDescent="0.2">
      <c r="A156" s="17">
        <v>5836</v>
      </c>
      <c r="B156">
        <v>0</v>
      </c>
      <c r="C156">
        <v>0</v>
      </c>
      <c r="D156">
        <v>0</v>
      </c>
      <c r="E156">
        <v>0</v>
      </c>
      <c r="F156">
        <v>0</v>
      </c>
      <c r="G156">
        <v>0</v>
      </c>
      <c r="H156">
        <v>0</v>
      </c>
      <c r="I156">
        <v>0</v>
      </c>
      <c r="J156">
        <v>0</v>
      </c>
      <c r="K156">
        <v>0</v>
      </c>
      <c r="L156">
        <v>0</v>
      </c>
      <c r="M156">
        <v>0</v>
      </c>
      <c r="N156">
        <v>0</v>
      </c>
      <c r="P156" s="18">
        <f t="shared" si="17"/>
        <v>0</v>
      </c>
      <c r="Q156" s="18">
        <f t="shared" si="18"/>
        <v>0</v>
      </c>
      <c r="R156" s="18">
        <f t="shared" si="19"/>
        <v>0</v>
      </c>
      <c r="S156" s="18">
        <f t="shared" si="20"/>
        <v>0</v>
      </c>
      <c r="T156" s="18">
        <f t="shared" si="21"/>
        <v>0</v>
      </c>
      <c r="U156" s="18">
        <f t="shared" si="22"/>
        <v>0</v>
      </c>
      <c r="V156" s="18">
        <f t="shared" si="23"/>
        <v>0</v>
      </c>
      <c r="W156" s="18">
        <f t="shared" si="24"/>
        <v>0</v>
      </c>
    </row>
    <row r="157" spans="1:23" x14ac:dyDescent="0.2">
      <c r="A157" s="17">
        <v>5839</v>
      </c>
      <c r="B157">
        <v>0</v>
      </c>
      <c r="C157">
        <v>0</v>
      </c>
      <c r="D157">
        <v>0</v>
      </c>
      <c r="E157">
        <v>0</v>
      </c>
      <c r="F157">
        <v>0</v>
      </c>
      <c r="G157">
        <v>0</v>
      </c>
      <c r="H157">
        <v>0</v>
      </c>
      <c r="I157">
        <v>0</v>
      </c>
      <c r="J157">
        <v>0</v>
      </c>
      <c r="K157">
        <v>0</v>
      </c>
      <c r="L157">
        <v>0</v>
      </c>
      <c r="M157">
        <v>0</v>
      </c>
      <c r="N157">
        <v>0</v>
      </c>
      <c r="P157" s="18">
        <f t="shared" si="17"/>
        <v>0</v>
      </c>
      <c r="Q157" s="18">
        <f t="shared" si="18"/>
        <v>0</v>
      </c>
      <c r="R157" s="18">
        <f t="shared" si="19"/>
        <v>0</v>
      </c>
      <c r="S157" s="18">
        <f t="shared" si="20"/>
        <v>0</v>
      </c>
      <c r="T157" s="18">
        <f t="shared" si="21"/>
        <v>0</v>
      </c>
      <c r="U157" s="18">
        <f t="shared" si="22"/>
        <v>0</v>
      </c>
      <c r="V157" s="18">
        <f t="shared" si="23"/>
        <v>0</v>
      </c>
      <c r="W157" s="18">
        <f t="shared" si="24"/>
        <v>0</v>
      </c>
    </row>
    <row r="158" spans="1:23" x14ac:dyDescent="0.2">
      <c r="A158" s="17">
        <v>5840</v>
      </c>
      <c r="B158">
        <v>0</v>
      </c>
      <c r="C158">
        <v>0</v>
      </c>
      <c r="D158">
        <v>0</v>
      </c>
      <c r="E158">
        <v>0</v>
      </c>
      <c r="F158">
        <v>0</v>
      </c>
      <c r="G158">
        <v>0</v>
      </c>
      <c r="H158">
        <v>0</v>
      </c>
      <c r="I158">
        <v>0</v>
      </c>
      <c r="J158">
        <v>0</v>
      </c>
      <c r="K158">
        <v>0</v>
      </c>
      <c r="L158">
        <v>0</v>
      </c>
      <c r="M158">
        <v>0</v>
      </c>
      <c r="N158">
        <v>0</v>
      </c>
      <c r="P158" s="18">
        <f t="shared" si="17"/>
        <v>0</v>
      </c>
      <c r="Q158" s="18">
        <f t="shared" si="18"/>
        <v>0</v>
      </c>
      <c r="R158" s="18">
        <f t="shared" si="19"/>
        <v>0</v>
      </c>
      <c r="S158" s="18">
        <f t="shared" si="20"/>
        <v>0</v>
      </c>
      <c r="T158" s="18">
        <f t="shared" si="21"/>
        <v>0</v>
      </c>
      <c r="U158" s="18">
        <f t="shared" si="22"/>
        <v>0</v>
      </c>
      <c r="V158" s="18">
        <f t="shared" si="23"/>
        <v>0</v>
      </c>
      <c r="W158" s="18">
        <f t="shared" si="24"/>
        <v>0</v>
      </c>
    </row>
    <row r="159" spans="1:23" x14ac:dyDescent="0.2">
      <c r="A159" s="17">
        <v>5406</v>
      </c>
      <c r="B159">
        <v>0</v>
      </c>
      <c r="C159">
        <v>0</v>
      </c>
      <c r="D159">
        <v>0</v>
      </c>
      <c r="E159">
        <v>0</v>
      </c>
      <c r="F159">
        <v>0</v>
      </c>
      <c r="G159">
        <v>0</v>
      </c>
      <c r="H159">
        <v>0</v>
      </c>
      <c r="I159">
        <v>0</v>
      </c>
      <c r="J159">
        <v>0</v>
      </c>
      <c r="K159">
        <v>0</v>
      </c>
      <c r="L159">
        <v>0</v>
      </c>
      <c r="M159">
        <v>0</v>
      </c>
      <c r="N159">
        <v>0</v>
      </c>
      <c r="P159" s="18">
        <f t="shared" si="17"/>
        <v>0</v>
      </c>
      <c r="Q159" s="18">
        <f t="shared" si="18"/>
        <v>0</v>
      </c>
      <c r="R159" s="18">
        <f t="shared" si="19"/>
        <v>0</v>
      </c>
      <c r="S159" s="18">
        <f t="shared" si="20"/>
        <v>0</v>
      </c>
      <c r="T159" s="18">
        <f t="shared" si="21"/>
        <v>0</v>
      </c>
      <c r="U159" s="18">
        <f t="shared" si="22"/>
        <v>0</v>
      </c>
      <c r="V159" s="18">
        <f t="shared" si="23"/>
        <v>0</v>
      </c>
      <c r="W159" s="18">
        <f t="shared" si="24"/>
        <v>0</v>
      </c>
    </row>
    <row r="160" spans="1:23" x14ac:dyDescent="0.2">
      <c r="A160" s="17">
        <v>5842</v>
      </c>
      <c r="B160">
        <v>0</v>
      </c>
      <c r="C160">
        <v>0</v>
      </c>
      <c r="D160">
        <v>0</v>
      </c>
      <c r="E160">
        <v>0</v>
      </c>
      <c r="F160">
        <v>0</v>
      </c>
      <c r="G160">
        <v>0</v>
      </c>
      <c r="H160">
        <v>0</v>
      </c>
      <c r="I160">
        <v>0</v>
      </c>
      <c r="J160">
        <v>0</v>
      </c>
      <c r="K160">
        <v>0</v>
      </c>
      <c r="L160">
        <v>0</v>
      </c>
      <c r="M160">
        <v>0</v>
      </c>
      <c r="N160">
        <v>0</v>
      </c>
      <c r="P160" s="18">
        <f t="shared" si="17"/>
        <v>0</v>
      </c>
      <c r="Q160" s="18">
        <f t="shared" si="18"/>
        <v>0</v>
      </c>
      <c r="R160" s="18">
        <f t="shared" si="19"/>
        <v>0</v>
      </c>
      <c r="S160" s="18">
        <f t="shared" si="20"/>
        <v>0</v>
      </c>
      <c r="T160" s="18">
        <f t="shared" si="21"/>
        <v>0</v>
      </c>
      <c r="U160" s="18">
        <f t="shared" si="22"/>
        <v>0</v>
      </c>
      <c r="V160" s="18">
        <f t="shared" si="23"/>
        <v>0</v>
      </c>
      <c r="W160" s="18">
        <f t="shared" si="24"/>
        <v>0</v>
      </c>
    </row>
    <row r="161" spans="1:23" x14ac:dyDescent="0.2">
      <c r="A161" s="17">
        <v>5844</v>
      </c>
      <c r="B161">
        <v>0</v>
      </c>
      <c r="C161">
        <v>0</v>
      </c>
      <c r="D161">
        <v>0</v>
      </c>
      <c r="E161">
        <v>0</v>
      </c>
      <c r="F161">
        <v>0</v>
      </c>
      <c r="G161">
        <v>0</v>
      </c>
      <c r="H161">
        <v>0</v>
      </c>
      <c r="I161">
        <v>0</v>
      </c>
      <c r="J161">
        <v>0</v>
      </c>
      <c r="K161">
        <v>0</v>
      </c>
      <c r="L161">
        <v>0</v>
      </c>
      <c r="M161">
        <v>0</v>
      </c>
      <c r="N161">
        <v>0</v>
      </c>
      <c r="P161" s="18">
        <f t="shared" si="17"/>
        <v>0</v>
      </c>
      <c r="Q161" s="18">
        <f t="shared" si="18"/>
        <v>0</v>
      </c>
      <c r="R161" s="18">
        <f t="shared" si="19"/>
        <v>0</v>
      </c>
      <c r="S161" s="18">
        <f t="shared" si="20"/>
        <v>0</v>
      </c>
      <c r="T161" s="18">
        <f t="shared" si="21"/>
        <v>0</v>
      </c>
      <c r="U161" s="18">
        <f t="shared" si="22"/>
        <v>0</v>
      </c>
      <c r="V161" s="18">
        <f t="shared" si="23"/>
        <v>0</v>
      </c>
      <c r="W161" s="18">
        <f t="shared" si="24"/>
        <v>0</v>
      </c>
    </row>
    <row r="162" spans="1:23" x14ac:dyDescent="0.2">
      <c r="A162" s="17">
        <v>5845</v>
      </c>
      <c r="B162">
        <v>0</v>
      </c>
      <c r="C162">
        <v>0</v>
      </c>
      <c r="D162">
        <v>0</v>
      </c>
      <c r="E162">
        <v>0</v>
      </c>
      <c r="F162">
        <v>0</v>
      </c>
      <c r="G162">
        <v>0</v>
      </c>
      <c r="H162">
        <v>0</v>
      </c>
      <c r="I162">
        <v>0</v>
      </c>
      <c r="J162">
        <v>0</v>
      </c>
      <c r="K162">
        <v>0</v>
      </c>
      <c r="L162">
        <v>0</v>
      </c>
      <c r="M162">
        <v>0</v>
      </c>
      <c r="N162">
        <v>0</v>
      </c>
      <c r="P162" s="18">
        <f t="shared" si="17"/>
        <v>0</v>
      </c>
      <c r="Q162" s="18">
        <f t="shared" si="18"/>
        <v>0</v>
      </c>
      <c r="R162" s="18">
        <f t="shared" si="19"/>
        <v>0</v>
      </c>
      <c r="S162" s="18">
        <f t="shared" si="20"/>
        <v>0</v>
      </c>
      <c r="T162" s="18">
        <f t="shared" si="21"/>
        <v>0</v>
      </c>
      <c r="U162" s="18">
        <f t="shared" si="22"/>
        <v>0</v>
      </c>
      <c r="V162" s="18">
        <f t="shared" si="23"/>
        <v>0</v>
      </c>
      <c r="W162" s="18">
        <f t="shared" si="24"/>
        <v>0</v>
      </c>
    </row>
    <row r="163" spans="1:23" x14ac:dyDescent="0.2">
      <c r="A163" s="17">
        <v>5887</v>
      </c>
      <c r="B163">
        <v>0</v>
      </c>
      <c r="C163">
        <v>0</v>
      </c>
      <c r="D163">
        <v>0</v>
      </c>
      <c r="E163">
        <v>0</v>
      </c>
      <c r="F163">
        <v>0</v>
      </c>
      <c r="G163">
        <v>0</v>
      </c>
      <c r="H163">
        <v>0</v>
      </c>
      <c r="I163">
        <v>0</v>
      </c>
      <c r="J163">
        <v>0</v>
      </c>
      <c r="K163">
        <v>0</v>
      </c>
      <c r="L163">
        <v>0</v>
      </c>
      <c r="M163">
        <v>0</v>
      </c>
      <c r="N163">
        <v>0</v>
      </c>
      <c r="P163" s="18">
        <f t="shared" si="17"/>
        <v>0</v>
      </c>
      <c r="Q163" s="18">
        <f t="shared" si="18"/>
        <v>0</v>
      </c>
      <c r="R163" s="18">
        <f t="shared" si="19"/>
        <v>0</v>
      </c>
      <c r="S163" s="18">
        <f t="shared" si="20"/>
        <v>0</v>
      </c>
      <c r="T163" s="18">
        <f t="shared" si="21"/>
        <v>0</v>
      </c>
      <c r="U163" s="18">
        <f t="shared" si="22"/>
        <v>0</v>
      </c>
      <c r="V163" s="18">
        <f t="shared" si="23"/>
        <v>0</v>
      </c>
      <c r="W163" s="18">
        <f t="shared" si="24"/>
        <v>0</v>
      </c>
    </row>
    <row r="164" spans="1:23" x14ac:dyDescent="0.2">
      <c r="A164" s="17">
        <v>5849</v>
      </c>
      <c r="B164">
        <v>0</v>
      </c>
      <c r="C164">
        <v>0</v>
      </c>
      <c r="D164">
        <v>0</v>
      </c>
      <c r="E164">
        <v>0</v>
      </c>
      <c r="F164">
        <v>0</v>
      </c>
      <c r="G164">
        <v>0</v>
      </c>
      <c r="H164">
        <v>0</v>
      </c>
      <c r="I164">
        <v>0</v>
      </c>
      <c r="J164">
        <v>0</v>
      </c>
      <c r="K164">
        <v>0</v>
      </c>
      <c r="L164">
        <v>0</v>
      </c>
      <c r="M164">
        <v>0</v>
      </c>
      <c r="N164">
        <v>0</v>
      </c>
      <c r="P164" s="18">
        <f t="shared" si="17"/>
        <v>0</v>
      </c>
      <c r="Q164" s="18">
        <f t="shared" si="18"/>
        <v>0</v>
      </c>
      <c r="R164" s="18">
        <f t="shared" si="19"/>
        <v>0</v>
      </c>
      <c r="S164" s="18">
        <f t="shared" si="20"/>
        <v>0</v>
      </c>
      <c r="T164" s="18">
        <f t="shared" si="21"/>
        <v>0</v>
      </c>
      <c r="U164" s="18">
        <f t="shared" si="22"/>
        <v>0</v>
      </c>
      <c r="V164" s="18">
        <f t="shared" si="23"/>
        <v>0</v>
      </c>
      <c r="W164" s="18">
        <f t="shared" si="24"/>
        <v>0</v>
      </c>
    </row>
    <row r="165" spans="1:23" x14ac:dyDescent="0.2">
      <c r="A165" s="17">
        <v>5890</v>
      </c>
      <c r="B165">
        <v>0</v>
      </c>
      <c r="C165">
        <v>0</v>
      </c>
      <c r="D165">
        <v>0</v>
      </c>
      <c r="E165">
        <v>0</v>
      </c>
      <c r="F165">
        <v>0</v>
      </c>
      <c r="G165">
        <v>0</v>
      </c>
      <c r="H165">
        <v>0</v>
      </c>
      <c r="I165">
        <v>0</v>
      </c>
      <c r="J165">
        <v>0</v>
      </c>
      <c r="K165">
        <v>0</v>
      </c>
      <c r="L165">
        <v>0</v>
      </c>
      <c r="M165">
        <v>0</v>
      </c>
      <c r="N165">
        <v>0</v>
      </c>
      <c r="P165" s="18">
        <f t="shared" si="17"/>
        <v>0</v>
      </c>
      <c r="Q165" s="18">
        <f t="shared" si="18"/>
        <v>0</v>
      </c>
      <c r="R165" s="18">
        <f t="shared" si="19"/>
        <v>0</v>
      </c>
      <c r="S165" s="18">
        <f t="shared" si="20"/>
        <v>0</v>
      </c>
      <c r="T165" s="18">
        <f t="shared" si="21"/>
        <v>0</v>
      </c>
      <c r="U165" s="18">
        <f t="shared" si="22"/>
        <v>0</v>
      </c>
      <c r="V165" s="18">
        <f t="shared" si="23"/>
        <v>0</v>
      </c>
      <c r="W165" s="18">
        <f t="shared" si="24"/>
        <v>0</v>
      </c>
    </row>
    <row r="166" spans="1:23" x14ac:dyDescent="0.2">
      <c r="A166" s="17">
        <v>5911</v>
      </c>
      <c r="B166">
        <v>0</v>
      </c>
      <c r="C166">
        <v>0</v>
      </c>
      <c r="D166">
        <v>0</v>
      </c>
      <c r="E166">
        <v>0</v>
      </c>
      <c r="F166">
        <v>0</v>
      </c>
      <c r="G166">
        <v>0</v>
      </c>
      <c r="H166">
        <v>0</v>
      </c>
      <c r="I166">
        <v>0</v>
      </c>
      <c r="J166">
        <v>0</v>
      </c>
      <c r="K166">
        <v>0</v>
      </c>
      <c r="L166">
        <v>0</v>
      </c>
      <c r="M166">
        <v>0</v>
      </c>
      <c r="N166">
        <v>0</v>
      </c>
      <c r="P166" s="18">
        <f t="shared" si="17"/>
        <v>0</v>
      </c>
      <c r="Q166" s="18">
        <f t="shared" si="18"/>
        <v>0</v>
      </c>
      <c r="R166" s="18">
        <f t="shared" si="19"/>
        <v>0</v>
      </c>
      <c r="S166" s="18">
        <f t="shared" si="20"/>
        <v>0</v>
      </c>
      <c r="T166" s="18">
        <f t="shared" si="21"/>
        <v>0</v>
      </c>
      <c r="U166" s="18">
        <f t="shared" si="22"/>
        <v>0</v>
      </c>
      <c r="V166" s="18">
        <f t="shared" si="23"/>
        <v>0</v>
      </c>
      <c r="W166" s="18">
        <f t="shared" si="24"/>
        <v>0</v>
      </c>
    </row>
    <row r="167" spans="1:23" x14ac:dyDescent="0.2">
      <c r="A167" s="17">
        <v>5919</v>
      </c>
      <c r="B167">
        <v>0</v>
      </c>
      <c r="C167">
        <v>0</v>
      </c>
      <c r="D167">
        <v>0</v>
      </c>
      <c r="E167">
        <v>0</v>
      </c>
      <c r="F167">
        <v>0</v>
      </c>
      <c r="G167">
        <v>0</v>
      </c>
      <c r="H167">
        <v>0</v>
      </c>
      <c r="I167">
        <v>0</v>
      </c>
      <c r="J167">
        <v>0</v>
      </c>
      <c r="K167">
        <v>0</v>
      </c>
      <c r="L167">
        <v>0</v>
      </c>
      <c r="M167">
        <v>0</v>
      </c>
      <c r="N167">
        <v>0</v>
      </c>
      <c r="P167" s="18">
        <f t="shared" si="17"/>
        <v>0</v>
      </c>
      <c r="Q167" s="18">
        <f t="shared" si="18"/>
        <v>0</v>
      </c>
      <c r="R167" s="18">
        <f t="shared" si="19"/>
        <v>0</v>
      </c>
      <c r="S167" s="18">
        <f t="shared" si="20"/>
        <v>0</v>
      </c>
      <c r="T167" s="18">
        <f t="shared" si="21"/>
        <v>0</v>
      </c>
      <c r="U167" s="18">
        <f t="shared" si="22"/>
        <v>0</v>
      </c>
      <c r="V167" s="18">
        <f t="shared" si="23"/>
        <v>0</v>
      </c>
      <c r="W167" s="18">
        <f t="shared" si="24"/>
        <v>0</v>
      </c>
    </row>
    <row r="168" spans="1:23" x14ac:dyDescent="0.2">
      <c r="A168" s="17">
        <v>5921</v>
      </c>
      <c r="B168">
        <v>0</v>
      </c>
      <c r="C168">
        <v>0</v>
      </c>
      <c r="D168">
        <v>0</v>
      </c>
      <c r="E168">
        <v>0</v>
      </c>
      <c r="F168">
        <v>0</v>
      </c>
      <c r="G168">
        <v>0</v>
      </c>
      <c r="H168">
        <v>0</v>
      </c>
      <c r="I168">
        <v>0</v>
      </c>
      <c r="J168">
        <v>0</v>
      </c>
      <c r="K168">
        <v>0</v>
      </c>
      <c r="L168">
        <v>0</v>
      </c>
      <c r="M168">
        <v>0</v>
      </c>
      <c r="N168">
        <v>0</v>
      </c>
      <c r="P168" s="18">
        <f t="shared" si="17"/>
        <v>0</v>
      </c>
      <c r="Q168" s="18">
        <f t="shared" si="18"/>
        <v>0</v>
      </c>
      <c r="R168" s="18">
        <f t="shared" si="19"/>
        <v>0</v>
      </c>
      <c r="S168" s="18">
        <f t="shared" si="20"/>
        <v>0</v>
      </c>
      <c r="T168" s="18">
        <f t="shared" si="21"/>
        <v>0</v>
      </c>
      <c r="U168" s="18">
        <f t="shared" si="22"/>
        <v>0</v>
      </c>
      <c r="V168" s="18">
        <f t="shared" si="23"/>
        <v>0</v>
      </c>
      <c r="W168" s="18">
        <f t="shared" si="24"/>
        <v>0</v>
      </c>
    </row>
    <row r="169" spans="1:23" x14ac:dyDescent="0.2">
      <c r="A169" s="17">
        <v>5933</v>
      </c>
      <c r="B169">
        <v>0</v>
      </c>
      <c r="C169">
        <v>0</v>
      </c>
      <c r="D169">
        <v>0</v>
      </c>
      <c r="E169">
        <v>0</v>
      </c>
      <c r="F169">
        <v>0</v>
      </c>
      <c r="G169">
        <v>0</v>
      </c>
      <c r="H169">
        <v>0</v>
      </c>
      <c r="I169">
        <v>0</v>
      </c>
      <c r="J169">
        <v>0</v>
      </c>
      <c r="K169">
        <v>0</v>
      </c>
      <c r="L169">
        <v>0</v>
      </c>
      <c r="M169">
        <v>0</v>
      </c>
      <c r="N169">
        <v>0</v>
      </c>
      <c r="P169" s="18">
        <f t="shared" si="17"/>
        <v>0</v>
      </c>
      <c r="Q169" s="18">
        <f t="shared" si="18"/>
        <v>0</v>
      </c>
      <c r="R169" s="18">
        <f t="shared" si="19"/>
        <v>0</v>
      </c>
      <c r="S169" s="18">
        <f t="shared" si="20"/>
        <v>0</v>
      </c>
      <c r="T169" s="18">
        <f t="shared" si="21"/>
        <v>0</v>
      </c>
      <c r="U169" s="18">
        <f t="shared" si="22"/>
        <v>0</v>
      </c>
      <c r="V169" s="18">
        <f t="shared" si="23"/>
        <v>0</v>
      </c>
      <c r="W169" s="18">
        <f t="shared" si="24"/>
        <v>0</v>
      </c>
    </row>
    <row r="170" spans="1:23" x14ac:dyDescent="0.2">
      <c r="A170" s="17">
        <v>5936</v>
      </c>
      <c r="B170">
        <v>0</v>
      </c>
      <c r="C170">
        <v>0</v>
      </c>
      <c r="D170">
        <v>0</v>
      </c>
      <c r="E170">
        <v>0</v>
      </c>
      <c r="F170">
        <v>0</v>
      </c>
      <c r="G170">
        <v>0</v>
      </c>
      <c r="H170">
        <v>0</v>
      </c>
      <c r="I170">
        <v>0</v>
      </c>
      <c r="J170">
        <v>0</v>
      </c>
      <c r="K170">
        <v>0</v>
      </c>
      <c r="L170">
        <v>0</v>
      </c>
      <c r="M170">
        <v>0</v>
      </c>
      <c r="N170">
        <v>0</v>
      </c>
      <c r="P170" s="18">
        <f t="shared" si="17"/>
        <v>0</v>
      </c>
      <c r="Q170" s="18">
        <f t="shared" si="18"/>
        <v>0</v>
      </c>
      <c r="R170" s="18">
        <f t="shared" si="19"/>
        <v>0</v>
      </c>
      <c r="S170" s="18">
        <f t="shared" si="20"/>
        <v>0</v>
      </c>
      <c r="T170" s="18">
        <f t="shared" si="21"/>
        <v>0</v>
      </c>
      <c r="U170" s="18">
        <f t="shared" si="22"/>
        <v>0</v>
      </c>
      <c r="V170" s="18">
        <f t="shared" si="23"/>
        <v>0</v>
      </c>
      <c r="W170" s="18">
        <f t="shared" si="24"/>
        <v>0</v>
      </c>
    </row>
    <row r="171" spans="1:23" x14ac:dyDescent="0.2">
      <c r="A171" s="17">
        <v>5939</v>
      </c>
      <c r="B171">
        <v>0</v>
      </c>
      <c r="C171">
        <v>0</v>
      </c>
      <c r="D171">
        <v>0</v>
      </c>
      <c r="E171">
        <v>0</v>
      </c>
      <c r="F171">
        <v>0</v>
      </c>
      <c r="G171">
        <v>0</v>
      </c>
      <c r="H171">
        <v>0</v>
      </c>
      <c r="I171">
        <v>0</v>
      </c>
      <c r="J171">
        <v>0</v>
      </c>
      <c r="K171">
        <v>0</v>
      </c>
      <c r="L171">
        <v>0</v>
      </c>
      <c r="M171">
        <v>0</v>
      </c>
      <c r="N171">
        <v>0</v>
      </c>
      <c r="P171" s="18">
        <f t="shared" si="17"/>
        <v>0</v>
      </c>
      <c r="Q171" s="18">
        <f t="shared" si="18"/>
        <v>0</v>
      </c>
      <c r="R171" s="18">
        <f t="shared" si="19"/>
        <v>0</v>
      </c>
      <c r="S171" s="18">
        <f t="shared" si="20"/>
        <v>0</v>
      </c>
      <c r="T171" s="18">
        <f t="shared" si="21"/>
        <v>0</v>
      </c>
      <c r="U171" s="18">
        <f t="shared" si="22"/>
        <v>0</v>
      </c>
      <c r="V171" s="18">
        <f t="shared" si="23"/>
        <v>0</v>
      </c>
      <c r="W171" s="18">
        <f t="shared" si="24"/>
        <v>0</v>
      </c>
    </row>
    <row r="172" spans="1:23" x14ac:dyDescent="0.2">
      <c r="A172" s="17">
        <v>5941</v>
      </c>
      <c r="B172">
        <v>0</v>
      </c>
      <c r="C172">
        <v>0</v>
      </c>
      <c r="D172">
        <v>0</v>
      </c>
      <c r="E172">
        <v>0</v>
      </c>
      <c r="F172">
        <v>0</v>
      </c>
      <c r="G172">
        <v>0</v>
      </c>
      <c r="H172">
        <v>0</v>
      </c>
      <c r="I172">
        <v>0</v>
      </c>
      <c r="J172">
        <v>0</v>
      </c>
      <c r="K172">
        <v>0</v>
      </c>
      <c r="L172">
        <v>0</v>
      </c>
      <c r="M172">
        <v>0</v>
      </c>
      <c r="N172">
        <v>0</v>
      </c>
      <c r="P172" s="18">
        <f t="shared" si="17"/>
        <v>0</v>
      </c>
      <c r="Q172" s="18">
        <f t="shared" si="18"/>
        <v>0</v>
      </c>
      <c r="R172" s="18">
        <f t="shared" si="19"/>
        <v>0</v>
      </c>
      <c r="S172" s="18">
        <f t="shared" si="20"/>
        <v>0</v>
      </c>
      <c r="T172" s="18">
        <f t="shared" si="21"/>
        <v>0</v>
      </c>
      <c r="U172" s="18">
        <f t="shared" si="22"/>
        <v>0</v>
      </c>
      <c r="V172" s="18">
        <f t="shared" si="23"/>
        <v>0</v>
      </c>
      <c r="W172" s="18">
        <f t="shared" si="24"/>
        <v>0</v>
      </c>
    </row>
    <row r="173" spans="1:23" x14ac:dyDescent="0.2">
      <c r="A173" s="17">
        <v>5942</v>
      </c>
      <c r="B173">
        <v>0</v>
      </c>
      <c r="C173">
        <v>0</v>
      </c>
      <c r="D173">
        <v>0</v>
      </c>
      <c r="E173">
        <v>0</v>
      </c>
      <c r="F173">
        <v>0</v>
      </c>
      <c r="G173">
        <v>0</v>
      </c>
      <c r="H173">
        <v>0</v>
      </c>
      <c r="I173">
        <v>0</v>
      </c>
      <c r="J173">
        <v>0</v>
      </c>
      <c r="K173">
        <v>0</v>
      </c>
      <c r="L173">
        <v>0</v>
      </c>
      <c r="M173">
        <v>0</v>
      </c>
      <c r="N173">
        <v>0</v>
      </c>
      <c r="P173" s="18">
        <f t="shared" si="17"/>
        <v>0</v>
      </c>
      <c r="Q173" s="18">
        <f t="shared" si="18"/>
        <v>0</v>
      </c>
      <c r="R173" s="18">
        <f t="shared" si="19"/>
        <v>0</v>
      </c>
      <c r="S173" s="18">
        <f t="shared" si="20"/>
        <v>0</v>
      </c>
      <c r="T173" s="18">
        <f t="shared" si="21"/>
        <v>0</v>
      </c>
      <c r="U173" s="18">
        <f t="shared" si="22"/>
        <v>0</v>
      </c>
      <c r="V173" s="18">
        <f t="shared" si="23"/>
        <v>0</v>
      </c>
      <c r="W173" s="18">
        <f t="shared" si="24"/>
        <v>0</v>
      </c>
    </row>
    <row r="174" spans="1:23" x14ac:dyDescent="0.2">
      <c r="A174" s="17">
        <v>5945</v>
      </c>
      <c r="B174">
        <v>0</v>
      </c>
      <c r="C174">
        <v>0</v>
      </c>
      <c r="D174">
        <v>0</v>
      </c>
      <c r="E174">
        <v>0</v>
      </c>
      <c r="F174">
        <v>0</v>
      </c>
      <c r="G174">
        <v>0</v>
      </c>
      <c r="H174">
        <v>0</v>
      </c>
      <c r="I174">
        <v>0</v>
      </c>
      <c r="J174">
        <v>0</v>
      </c>
      <c r="K174">
        <v>0</v>
      </c>
      <c r="L174">
        <v>0</v>
      </c>
      <c r="M174">
        <v>0</v>
      </c>
      <c r="N174">
        <v>0</v>
      </c>
      <c r="P174" s="18">
        <f t="shared" si="17"/>
        <v>0</v>
      </c>
      <c r="Q174" s="18">
        <f t="shared" si="18"/>
        <v>0</v>
      </c>
      <c r="R174" s="18">
        <f t="shared" si="19"/>
        <v>0</v>
      </c>
      <c r="S174" s="18">
        <f t="shared" si="20"/>
        <v>0</v>
      </c>
      <c r="T174" s="18">
        <f t="shared" si="21"/>
        <v>0</v>
      </c>
      <c r="U174" s="18">
        <f t="shared" si="22"/>
        <v>0</v>
      </c>
      <c r="V174" s="18">
        <f t="shared" si="23"/>
        <v>0</v>
      </c>
      <c r="W174" s="18">
        <f t="shared" si="24"/>
        <v>0</v>
      </c>
    </row>
    <row r="175" spans="1:23" x14ac:dyDescent="0.2">
      <c r="A175" s="17">
        <v>5912</v>
      </c>
      <c r="B175">
        <v>0</v>
      </c>
      <c r="C175">
        <v>0</v>
      </c>
      <c r="D175">
        <v>0</v>
      </c>
      <c r="E175">
        <v>0</v>
      </c>
      <c r="F175">
        <v>0</v>
      </c>
      <c r="G175">
        <v>0</v>
      </c>
      <c r="H175">
        <v>0</v>
      </c>
      <c r="I175">
        <v>0</v>
      </c>
      <c r="J175">
        <v>0</v>
      </c>
      <c r="K175">
        <v>0</v>
      </c>
      <c r="L175">
        <v>0</v>
      </c>
      <c r="M175">
        <v>0</v>
      </c>
      <c r="N175">
        <v>0</v>
      </c>
      <c r="P175" s="18">
        <f t="shared" si="17"/>
        <v>0</v>
      </c>
      <c r="Q175" s="18">
        <f t="shared" si="18"/>
        <v>0</v>
      </c>
      <c r="R175" s="18">
        <f t="shared" si="19"/>
        <v>0</v>
      </c>
      <c r="S175" s="18">
        <f t="shared" si="20"/>
        <v>0</v>
      </c>
      <c r="T175" s="18">
        <f t="shared" si="21"/>
        <v>0</v>
      </c>
      <c r="U175" s="18">
        <f t="shared" si="22"/>
        <v>0</v>
      </c>
      <c r="V175" s="18">
        <f t="shared" si="23"/>
        <v>0</v>
      </c>
      <c r="W175" s="18">
        <f t="shared" si="24"/>
        <v>0</v>
      </c>
    </row>
    <row r="176" spans="1:23" x14ac:dyDescent="0.2">
      <c r="A176" s="17">
        <v>5998</v>
      </c>
      <c r="B176">
        <v>0</v>
      </c>
      <c r="C176">
        <v>0</v>
      </c>
      <c r="D176">
        <v>0</v>
      </c>
      <c r="E176">
        <v>0</v>
      </c>
      <c r="F176">
        <v>0</v>
      </c>
      <c r="G176">
        <v>0</v>
      </c>
      <c r="H176">
        <v>0</v>
      </c>
      <c r="I176">
        <v>0</v>
      </c>
      <c r="J176">
        <v>0</v>
      </c>
      <c r="K176">
        <v>0</v>
      </c>
      <c r="L176">
        <v>0</v>
      </c>
      <c r="M176">
        <v>0</v>
      </c>
      <c r="N176">
        <v>0</v>
      </c>
      <c r="P176" s="18">
        <f t="shared" si="17"/>
        <v>0</v>
      </c>
      <c r="Q176" s="18">
        <f t="shared" si="18"/>
        <v>0</v>
      </c>
      <c r="R176" s="18">
        <f t="shared" si="19"/>
        <v>0</v>
      </c>
      <c r="S176" s="18">
        <f t="shared" si="20"/>
        <v>0</v>
      </c>
      <c r="T176" s="18">
        <f t="shared" si="21"/>
        <v>0</v>
      </c>
      <c r="U176" s="18">
        <f t="shared" si="22"/>
        <v>0</v>
      </c>
      <c r="V176" s="18">
        <f t="shared" si="23"/>
        <v>0</v>
      </c>
      <c r="W176" s="18">
        <f t="shared" si="24"/>
        <v>0</v>
      </c>
    </row>
    <row r="177" spans="1:23" x14ac:dyDescent="0.2">
      <c r="A177" s="17">
        <v>5975</v>
      </c>
      <c r="B177">
        <v>0</v>
      </c>
      <c r="C177">
        <v>0</v>
      </c>
      <c r="D177">
        <v>0</v>
      </c>
      <c r="E177">
        <v>0</v>
      </c>
      <c r="F177">
        <v>0</v>
      </c>
      <c r="G177">
        <v>0</v>
      </c>
      <c r="H177">
        <v>0</v>
      </c>
      <c r="I177">
        <v>0</v>
      </c>
      <c r="J177">
        <v>0</v>
      </c>
      <c r="K177">
        <v>0</v>
      </c>
      <c r="L177">
        <v>0</v>
      </c>
      <c r="M177">
        <v>0</v>
      </c>
      <c r="N177">
        <v>0</v>
      </c>
      <c r="P177" s="18">
        <f t="shared" si="17"/>
        <v>0</v>
      </c>
      <c r="Q177" s="18">
        <f t="shared" si="18"/>
        <v>0</v>
      </c>
      <c r="R177" s="18">
        <f t="shared" si="19"/>
        <v>0</v>
      </c>
      <c r="S177" s="18">
        <f t="shared" si="20"/>
        <v>0</v>
      </c>
      <c r="T177" s="18">
        <f t="shared" si="21"/>
        <v>0</v>
      </c>
      <c r="U177" s="18">
        <f t="shared" si="22"/>
        <v>0</v>
      </c>
      <c r="V177" s="18">
        <f t="shared" si="23"/>
        <v>0</v>
      </c>
      <c r="W177" s="18">
        <f t="shared" si="24"/>
        <v>0</v>
      </c>
    </row>
    <row r="178" spans="1:23" x14ac:dyDescent="0.2">
      <c r="A178" s="17">
        <v>6004</v>
      </c>
      <c r="B178">
        <v>0</v>
      </c>
      <c r="C178">
        <v>0</v>
      </c>
      <c r="D178">
        <v>0</v>
      </c>
      <c r="E178">
        <v>0</v>
      </c>
      <c r="F178">
        <v>0</v>
      </c>
      <c r="G178">
        <v>0</v>
      </c>
      <c r="H178">
        <v>0</v>
      </c>
      <c r="I178">
        <v>0</v>
      </c>
      <c r="J178">
        <v>0</v>
      </c>
      <c r="K178">
        <v>0</v>
      </c>
      <c r="L178">
        <v>0</v>
      </c>
      <c r="M178">
        <v>0</v>
      </c>
      <c r="N178">
        <v>0</v>
      </c>
      <c r="P178" s="18">
        <f t="shared" si="17"/>
        <v>0</v>
      </c>
      <c r="Q178" s="18">
        <f t="shared" si="18"/>
        <v>0</v>
      </c>
      <c r="R178" s="18">
        <f t="shared" si="19"/>
        <v>0</v>
      </c>
      <c r="S178" s="18">
        <f t="shared" si="20"/>
        <v>0</v>
      </c>
      <c r="T178" s="18">
        <f t="shared" si="21"/>
        <v>0</v>
      </c>
      <c r="U178" s="18">
        <f t="shared" si="22"/>
        <v>0</v>
      </c>
      <c r="V178" s="18">
        <f t="shared" si="23"/>
        <v>0</v>
      </c>
      <c r="W178" s="18">
        <f t="shared" si="24"/>
        <v>0</v>
      </c>
    </row>
    <row r="179" spans="1:23" x14ac:dyDescent="0.2">
      <c r="A179" s="17">
        <v>5991</v>
      </c>
      <c r="B179">
        <v>0</v>
      </c>
      <c r="C179">
        <v>0</v>
      </c>
      <c r="D179">
        <v>0</v>
      </c>
      <c r="E179">
        <v>0</v>
      </c>
      <c r="F179">
        <v>0</v>
      </c>
      <c r="G179">
        <v>0</v>
      </c>
      <c r="H179">
        <v>0</v>
      </c>
      <c r="I179">
        <v>0</v>
      </c>
      <c r="J179">
        <v>0</v>
      </c>
      <c r="K179">
        <v>0</v>
      </c>
      <c r="L179">
        <v>0</v>
      </c>
      <c r="M179">
        <v>0</v>
      </c>
      <c r="N179">
        <v>0</v>
      </c>
      <c r="P179" s="18">
        <f t="shared" si="17"/>
        <v>0</v>
      </c>
      <c r="Q179" s="18">
        <f t="shared" si="18"/>
        <v>0</v>
      </c>
      <c r="R179" s="18">
        <f t="shared" si="19"/>
        <v>0</v>
      </c>
      <c r="S179" s="18">
        <f t="shared" si="20"/>
        <v>0</v>
      </c>
      <c r="T179" s="18">
        <f t="shared" si="21"/>
        <v>0</v>
      </c>
      <c r="U179" s="18">
        <f t="shared" si="22"/>
        <v>0</v>
      </c>
      <c r="V179" s="18">
        <f t="shared" si="23"/>
        <v>0</v>
      </c>
      <c r="W179" s="18">
        <f t="shared" si="24"/>
        <v>0</v>
      </c>
    </row>
    <row r="180" spans="1:23" x14ac:dyDescent="0.2">
      <c r="A180" s="17">
        <v>6016</v>
      </c>
      <c r="B180">
        <v>0</v>
      </c>
      <c r="C180">
        <v>0</v>
      </c>
      <c r="D180">
        <v>0</v>
      </c>
      <c r="E180">
        <v>0</v>
      </c>
      <c r="F180">
        <v>0</v>
      </c>
      <c r="G180">
        <v>0</v>
      </c>
      <c r="H180">
        <v>0</v>
      </c>
      <c r="I180">
        <v>0</v>
      </c>
      <c r="J180">
        <v>0</v>
      </c>
      <c r="K180">
        <v>0</v>
      </c>
      <c r="L180">
        <v>0</v>
      </c>
      <c r="M180">
        <v>0</v>
      </c>
      <c r="N180">
        <v>0</v>
      </c>
      <c r="P180" s="18">
        <f t="shared" si="17"/>
        <v>0</v>
      </c>
      <c r="Q180" s="18">
        <f t="shared" si="18"/>
        <v>0</v>
      </c>
      <c r="R180" s="18">
        <f t="shared" si="19"/>
        <v>0</v>
      </c>
      <c r="S180" s="18">
        <f t="shared" si="20"/>
        <v>0</v>
      </c>
      <c r="T180" s="18">
        <f t="shared" si="21"/>
        <v>0</v>
      </c>
      <c r="U180" s="18">
        <f t="shared" si="22"/>
        <v>0</v>
      </c>
      <c r="V180" s="18">
        <f t="shared" si="23"/>
        <v>0</v>
      </c>
      <c r="W180" s="18">
        <f t="shared" si="24"/>
        <v>0</v>
      </c>
    </row>
    <row r="181" spans="1:23" x14ac:dyDescent="0.2">
      <c r="A181" s="17">
        <v>6025</v>
      </c>
      <c r="B181">
        <v>0</v>
      </c>
      <c r="C181">
        <v>0</v>
      </c>
      <c r="D181">
        <v>0</v>
      </c>
      <c r="E181">
        <v>0</v>
      </c>
      <c r="F181">
        <v>0</v>
      </c>
      <c r="G181">
        <v>0</v>
      </c>
      <c r="H181">
        <v>0</v>
      </c>
      <c r="I181">
        <v>0</v>
      </c>
      <c r="J181">
        <v>0</v>
      </c>
      <c r="K181">
        <v>0</v>
      </c>
      <c r="L181">
        <v>0</v>
      </c>
      <c r="M181">
        <v>0</v>
      </c>
      <c r="N181">
        <v>0</v>
      </c>
      <c r="P181" s="18">
        <f t="shared" si="17"/>
        <v>0</v>
      </c>
      <c r="Q181" s="18">
        <f t="shared" si="18"/>
        <v>0</v>
      </c>
      <c r="R181" s="18">
        <f t="shared" si="19"/>
        <v>0</v>
      </c>
      <c r="S181" s="18">
        <f t="shared" si="20"/>
        <v>0</v>
      </c>
      <c r="T181" s="18">
        <f t="shared" si="21"/>
        <v>0</v>
      </c>
      <c r="U181" s="18">
        <f t="shared" si="22"/>
        <v>0</v>
      </c>
      <c r="V181" s="18">
        <f t="shared" si="23"/>
        <v>0</v>
      </c>
      <c r="W181" s="18">
        <f t="shared" si="24"/>
        <v>0</v>
      </c>
    </row>
    <row r="182" spans="1:23" x14ac:dyDescent="0.2">
      <c r="A182" s="17">
        <v>6026</v>
      </c>
      <c r="B182">
        <v>0</v>
      </c>
      <c r="C182">
        <v>0</v>
      </c>
      <c r="D182">
        <v>0</v>
      </c>
      <c r="E182">
        <v>0</v>
      </c>
      <c r="F182">
        <v>0</v>
      </c>
      <c r="G182">
        <v>0</v>
      </c>
      <c r="H182">
        <v>0</v>
      </c>
      <c r="I182">
        <v>0</v>
      </c>
      <c r="J182">
        <v>0</v>
      </c>
      <c r="K182">
        <v>0</v>
      </c>
      <c r="L182">
        <v>0</v>
      </c>
      <c r="M182">
        <v>0</v>
      </c>
      <c r="N182">
        <v>0</v>
      </c>
      <c r="P182" s="18">
        <f t="shared" si="17"/>
        <v>0</v>
      </c>
      <c r="Q182" s="18">
        <f t="shared" si="18"/>
        <v>0</v>
      </c>
      <c r="R182" s="18">
        <f t="shared" si="19"/>
        <v>0</v>
      </c>
      <c r="S182" s="18">
        <f t="shared" si="20"/>
        <v>0</v>
      </c>
      <c r="T182" s="18">
        <f t="shared" si="21"/>
        <v>0</v>
      </c>
      <c r="U182" s="18">
        <f t="shared" si="22"/>
        <v>0</v>
      </c>
      <c r="V182" s="18">
        <f t="shared" si="23"/>
        <v>0</v>
      </c>
      <c r="W182" s="18">
        <f t="shared" si="24"/>
        <v>0</v>
      </c>
    </row>
    <row r="183" spans="1:23" x14ac:dyDescent="0.2">
      <c r="A183" s="17">
        <v>6029</v>
      </c>
      <c r="B183">
        <v>0</v>
      </c>
      <c r="C183">
        <v>0</v>
      </c>
      <c r="D183">
        <v>0</v>
      </c>
      <c r="E183">
        <v>0</v>
      </c>
      <c r="F183">
        <v>0</v>
      </c>
      <c r="G183">
        <v>0</v>
      </c>
      <c r="H183">
        <v>0</v>
      </c>
      <c r="I183">
        <v>0</v>
      </c>
      <c r="J183">
        <v>0</v>
      </c>
      <c r="K183">
        <v>0</v>
      </c>
      <c r="L183">
        <v>0</v>
      </c>
      <c r="M183">
        <v>0</v>
      </c>
      <c r="N183">
        <v>0</v>
      </c>
      <c r="P183" s="18">
        <f t="shared" si="17"/>
        <v>0</v>
      </c>
      <c r="Q183" s="18">
        <f t="shared" si="18"/>
        <v>0</v>
      </c>
      <c r="R183" s="18">
        <f t="shared" si="19"/>
        <v>0</v>
      </c>
      <c r="S183" s="18">
        <f t="shared" si="20"/>
        <v>0</v>
      </c>
      <c r="T183" s="18">
        <f t="shared" si="21"/>
        <v>0</v>
      </c>
      <c r="U183" s="18">
        <f t="shared" si="22"/>
        <v>0</v>
      </c>
      <c r="V183" s="18">
        <f t="shared" si="23"/>
        <v>0</v>
      </c>
      <c r="W183" s="18">
        <f t="shared" si="24"/>
        <v>0</v>
      </c>
    </row>
    <row r="184" spans="1:23" x14ac:dyDescent="0.2">
      <c r="A184" s="17">
        <v>6024</v>
      </c>
      <c r="B184">
        <v>0</v>
      </c>
      <c r="C184">
        <v>0</v>
      </c>
      <c r="D184">
        <v>0</v>
      </c>
      <c r="E184">
        <v>0</v>
      </c>
      <c r="F184">
        <v>0</v>
      </c>
      <c r="G184">
        <v>0</v>
      </c>
      <c r="H184">
        <v>0</v>
      </c>
      <c r="I184">
        <v>0</v>
      </c>
      <c r="J184">
        <v>0</v>
      </c>
      <c r="K184">
        <v>0</v>
      </c>
      <c r="L184">
        <v>0</v>
      </c>
      <c r="M184">
        <v>0</v>
      </c>
      <c r="N184">
        <v>0</v>
      </c>
      <c r="P184" s="18">
        <f t="shared" si="17"/>
        <v>0</v>
      </c>
      <c r="Q184" s="18">
        <f t="shared" si="18"/>
        <v>0</v>
      </c>
      <c r="R184" s="18">
        <f t="shared" si="19"/>
        <v>0</v>
      </c>
      <c r="S184" s="18">
        <f t="shared" si="20"/>
        <v>0</v>
      </c>
      <c r="T184" s="18">
        <f t="shared" si="21"/>
        <v>0</v>
      </c>
      <c r="U184" s="18">
        <f t="shared" si="22"/>
        <v>0</v>
      </c>
      <c r="V184" s="18">
        <f t="shared" si="23"/>
        <v>0</v>
      </c>
      <c r="W184" s="18">
        <f t="shared" si="24"/>
        <v>0</v>
      </c>
    </row>
    <row r="185" spans="1:23" x14ac:dyDescent="0.2">
      <c r="A185" s="17">
        <v>6051</v>
      </c>
      <c r="B185">
        <v>0</v>
      </c>
      <c r="C185">
        <v>0</v>
      </c>
      <c r="D185">
        <v>0</v>
      </c>
      <c r="E185">
        <v>0</v>
      </c>
      <c r="F185">
        <v>0</v>
      </c>
      <c r="G185">
        <v>0</v>
      </c>
      <c r="H185">
        <v>0</v>
      </c>
      <c r="I185">
        <v>0</v>
      </c>
      <c r="J185">
        <v>0</v>
      </c>
      <c r="K185">
        <v>0</v>
      </c>
      <c r="L185">
        <v>0</v>
      </c>
      <c r="M185">
        <v>0</v>
      </c>
      <c r="N185">
        <v>0</v>
      </c>
      <c r="P185" s="18">
        <f t="shared" si="17"/>
        <v>0</v>
      </c>
      <c r="Q185" s="18">
        <f t="shared" si="18"/>
        <v>0</v>
      </c>
      <c r="R185" s="18">
        <f t="shared" si="19"/>
        <v>0</v>
      </c>
      <c r="S185" s="18">
        <f t="shared" si="20"/>
        <v>0</v>
      </c>
      <c r="T185" s="18">
        <f t="shared" si="21"/>
        <v>0</v>
      </c>
      <c r="U185" s="18">
        <f t="shared" si="22"/>
        <v>0</v>
      </c>
      <c r="V185" s="18">
        <f t="shared" si="23"/>
        <v>0</v>
      </c>
      <c r="W185" s="18">
        <f t="shared" si="24"/>
        <v>0</v>
      </c>
    </row>
    <row r="186" spans="1:23" x14ac:dyDescent="0.2">
      <c r="A186" s="17">
        <v>6020</v>
      </c>
      <c r="B186">
        <v>0</v>
      </c>
      <c r="C186">
        <v>0</v>
      </c>
      <c r="D186">
        <v>0</v>
      </c>
      <c r="E186">
        <v>0</v>
      </c>
      <c r="F186">
        <v>0</v>
      </c>
      <c r="G186">
        <v>0</v>
      </c>
      <c r="H186">
        <v>0</v>
      </c>
      <c r="I186">
        <v>0</v>
      </c>
      <c r="J186">
        <v>0</v>
      </c>
      <c r="K186">
        <v>0</v>
      </c>
      <c r="L186">
        <v>0</v>
      </c>
      <c r="M186">
        <v>0</v>
      </c>
      <c r="N186">
        <v>0</v>
      </c>
      <c r="P186" s="18">
        <f t="shared" si="17"/>
        <v>0</v>
      </c>
      <c r="Q186" s="18">
        <f t="shared" si="18"/>
        <v>0</v>
      </c>
      <c r="R186" s="18">
        <f t="shared" si="19"/>
        <v>0</v>
      </c>
      <c r="S186" s="18">
        <f t="shared" si="20"/>
        <v>0</v>
      </c>
      <c r="T186" s="18">
        <f t="shared" si="21"/>
        <v>0</v>
      </c>
      <c r="U186" s="18">
        <f t="shared" si="22"/>
        <v>0</v>
      </c>
      <c r="V186" s="18">
        <f t="shared" si="23"/>
        <v>0</v>
      </c>
      <c r="W186" s="18">
        <f t="shared" si="24"/>
        <v>0</v>
      </c>
    </row>
    <row r="187" spans="1:23" x14ac:dyDescent="0.2">
      <c r="A187" s="17">
        <v>6079</v>
      </c>
      <c r="B187">
        <v>0</v>
      </c>
      <c r="C187">
        <v>0</v>
      </c>
      <c r="D187">
        <v>0</v>
      </c>
      <c r="E187">
        <v>0</v>
      </c>
      <c r="F187">
        <v>0</v>
      </c>
      <c r="G187">
        <v>0</v>
      </c>
      <c r="H187">
        <v>0</v>
      </c>
      <c r="I187">
        <v>0</v>
      </c>
      <c r="J187">
        <v>0</v>
      </c>
      <c r="K187">
        <v>0</v>
      </c>
      <c r="L187">
        <v>0</v>
      </c>
      <c r="M187">
        <v>0</v>
      </c>
      <c r="N187">
        <v>0</v>
      </c>
      <c r="P187" s="18">
        <f t="shared" si="17"/>
        <v>0</v>
      </c>
      <c r="Q187" s="18">
        <f t="shared" si="18"/>
        <v>0</v>
      </c>
      <c r="R187" s="18">
        <f t="shared" si="19"/>
        <v>0</v>
      </c>
      <c r="S187" s="18">
        <f t="shared" si="20"/>
        <v>0</v>
      </c>
      <c r="T187" s="18">
        <f t="shared" si="21"/>
        <v>0</v>
      </c>
      <c r="U187" s="18">
        <f t="shared" si="22"/>
        <v>0</v>
      </c>
      <c r="V187" s="18">
        <f t="shared" si="23"/>
        <v>0</v>
      </c>
      <c r="W187" s="18">
        <f t="shared" si="24"/>
        <v>0</v>
      </c>
    </row>
    <row r="188" spans="1:23" x14ac:dyDescent="0.2">
      <c r="A188" s="17">
        <v>6078</v>
      </c>
      <c r="B188">
        <v>0</v>
      </c>
      <c r="C188">
        <v>0</v>
      </c>
      <c r="D188">
        <v>0</v>
      </c>
      <c r="E188">
        <v>0</v>
      </c>
      <c r="F188">
        <v>0</v>
      </c>
      <c r="G188">
        <v>0</v>
      </c>
      <c r="H188">
        <v>0</v>
      </c>
      <c r="I188">
        <v>0</v>
      </c>
      <c r="J188">
        <v>0</v>
      </c>
      <c r="K188">
        <v>0</v>
      </c>
      <c r="L188">
        <v>0</v>
      </c>
      <c r="M188">
        <v>0</v>
      </c>
      <c r="N188">
        <v>0</v>
      </c>
      <c r="P188" s="18">
        <f t="shared" si="17"/>
        <v>0</v>
      </c>
      <c r="Q188" s="18">
        <f t="shared" si="18"/>
        <v>0</v>
      </c>
      <c r="R188" s="18">
        <f t="shared" si="19"/>
        <v>0</v>
      </c>
      <c r="S188" s="18">
        <f t="shared" si="20"/>
        <v>0</v>
      </c>
      <c r="T188" s="18">
        <f t="shared" si="21"/>
        <v>0</v>
      </c>
      <c r="U188" s="18">
        <f t="shared" si="22"/>
        <v>0</v>
      </c>
      <c r="V188" s="18">
        <f t="shared" si="23"/>
        <v>0</v>
      </c>
      <c r="W188" s="18">
        <f t="shared" si="24"/>
        <v>0</v>
      </c>
    </row>
    <row r="189" spans="1:23" x14ac:dyDescent="0.2">
      <c r="A189" s="17">
        <v>6048</v>
      </c>
      <c r="B189">
        <v>0</v>
      </c>
      <c r="C189">
        <v>0</v>
      </c>
      <c r="D189">
        <v>0</v>
      </c>
      <c r="E189">
        <v>0</v>
      </c>
      <c r="F189">
        <v>0</v>
      </c>
      <c r="G189">
        <v>0</v>
      </c>
      <c r="H189">
        <v>0</v>
      </c>
      <c r="I189">
        <v>0</v>
      </c>
      <c r="J189">
        <v>0</v>
      </c>
      <c r="K189">
        <v>0</v>
      </c>
      <c r="L189">
        <v>0</v>
      </c>
      <c r="M189">
        <v>0</v>
      </c>
      <c r="N189">
        <v>0</v>
      </c>
      <c r="P189" s="18">
        <f t="shared" si="17"/>
        <v>0</v>
      </c>
      <c r="Q189" s="18">
        <f t="shared" si="18"/>
        <v>0</v>
      </c>
      <c r="R189" s="18">
        <f t="shared" si="19"/>
        <v>0</v>
      </c>
      <c r="S189" s="18">
        <f t="shared" si="20"/>
        <v>0</v>
      </c>
      <c r="T189" s="18">
        <f t="shared" si="21"/>
        <v>0</v>
      </c>
      <c r="U189" s="18">
        <f t="shared" si="22"/>
        <v>0</v>
      </c>
      <c r="V189" s="18">
        <f t="shared" si="23"/>
        <v>0</v>
      </c>
      <c r="W189" s="18">
        <f t="shared" si="24"/>
        <v>0</v>
      </c>
    </row>
    <row r="190" spans="1:23" x14ac:dyDescent="0.2">
      <c r="A190" s="17">
        <v>6087</v>
      </c>
      <c r="B190">
        <v>0</v>
      </c>
      <c r="C190">
        <v>0</v>
      </c>
      <c r="D190">
        <v>0</v>
      </c>
      <c r="E190">
        <v>0</v>
      </c>
      <c r="F190">
        <v>0</v>
      </c>
      <c r="G190">
        <v>0</v>
      </c>
      <c r="H190">
        <v>0</v>
      </c>
      <c r="I190">
        <v>0</v>
      </c>
      <c r="J190">
        <v>0</v>
      </c>
      <c r="K190">
        <v>0</v>
      </c>
      <c r="L190">
        <v>0</v>
      </c>
      <c r="M190">
        <v>0</v>
      </c>
      <c r="N190">
        <v>0</v>
      </c>
      <c r="P190" s="18">
        <f t="shared" si="17"/>
        <v>0</v>
      </c>
      <c r="Q190" s="18">
        <f t="shared" si="18"/>
        <v>0</v>
      </c>
      <c r="R190" s="18">
        <f t="shared" si="19"/>
        <v>0</v>
      </c>
      <c r="S190" s="18">
        <f t="shared" si="20"/>
        <v>0</v>
      </c>
      <c r="T190" s="18">
        <f t="shared" si="21"/>
        <v>0</v>
      </c>
      <c r="U190" s="18">
        <f t="shared" si="22"/>
        <v>0</v>
      </c>
      <c r="V190" s="18">
        <f t="shared" si="23"/>
        <v>0</v>
      </c>
      <c r="W190" s="18">
        <f t="shared" si="24"/>
        <v>0</v>
      </c>
    </row>
    <row r="191" spans="1:23" x14ac:dyDescent="0.2">
      <c r="A191" s="17">
        <v>6091</v>
      </c>
      <c r="B191">
        <v>0</v>
      </c>
      <c r="C191">
        <v>0</v>
      </c>
      <c r="D191">
        <v>0</v>
      </c>
      <c r="E191">
        <v>0</v>
      </c>
      <c r="F191">
        <v>0</v>
      </c>
      <c r="G191">
        <v>0</v>
      </c>
      <c r="H191">
        <v>0</v>
      </c>
      <c r="I191">
        <v>0</v>
      </c>
      <c r="J191">
        <v>0</v>
      </c>
      <c r="K191">
        <v>0</v>
      </c>
      <c r="L191">
        <v>0</v>
      </c>
      <c r="M191">
        <v>0</v>
      </c>
      <c r="N191">
        <v>0</v>
      </c>
      <c r="P191" s="18">
        <f t="shared" si="17"/>
        <v>0</v>
      </c>
      <c r="Q191" s="18">
        <f t="shared" si="18"/>
        <v>0</v>
      </c>
      <c r="R191" s="18">
        <f t="shared" si="19"/>
        <v>0</v>
      </c>
      <c r="S191" s="18">
        <f t="shared" si="20"/>
        <v>0</v>
      </c>
      <c r="T191" s="18">
        <f t="shared" si="21"/>
        <v>0</v>
      </c>
      <c r="U191" s="18">
        <f t="shared" si="22"/>
        <v>0</v>
      </c>
      <c r="V191" s="18">
        <f t="shared" si="23"/>
        <v>0</v>
      </c>
      <c r="W191" s="18">
        <f t="shared" si="24"/>
        <v>0</v>
      </c>
    </row>
    <row r="192" spans="1:23" x14ac:dyDescent="0.2">
      <c r="A192" s="17">
        <v>6092</v>
      </c>
      <c r="B192">
        <v>0</v>
      </c>
      <c r="C192">
        <v>0</v>
      </c>
      <c r="D192">
        <v>0</v>
      </c>
      <c r="E192">
        <v>0</v>
      </c>
      <c r="F192">
        <v>0</v>
      </c>
      <c r="G192">
        <v>0</v>
      </c>
      <c r="H192">
        <v>0</v>
      </c>
      <c r="I192">
        <v>0</v>
      </c>
      <c r="J192">
        <v>0</v>
      </c>
      <c r="K192">
        <v>0</v>
      </c>
      <c r="L192">
        <v>0</v>
      </c>
      <c r="M192">
        <v>0</v>
      </c>
      <c r="N192">
        <v>0</v>
      </c>
      <c r="P192" s="18">
        <f t="shared" si="17"/>
        <v>0</v>
      </c>
      <c r="Q192" s="18">
        <f t="shared" si="18"/>
        <v>0</v>
      </c>
      <c r="R192" s="18">
        <f t="shared" si="19"/>
        <v>0</v>
      </c>
      <c r="S192" s="18">
        <f t="shared" si="20"/>
        <v>0</v>
      </c>
      <c r="T192" s="18">
        <f t="shared" si="21"/>
        <v>0</v>
      </c>
      <c r="U192" s="18">
        <f t="shared" si="22"/>
        <v>0</v>
      </c>
      <c r="V192" s="18">
        <f t="shared" si="23"/>
        <v>0</v>
      </c>
      <c r="W192" s="18">
        <f t="shared" si="24"/>
        <v>0</v>
      </c>
    </row>
    <row r="193" spans="1:23" x14ac:dyDescent="0.2">
      <c r="A193" s="17">
        <v>6096</v>
      </c>
      <c r="B193">
        <v>0</v>
      </c>
      <c r="C193">
        <v>0</v>
      </c>
      <c r="D193">
        <v>0</v>
      </c>
      <c r="E193">
        <v>0</v>
      </c>
      <c r="F193">
        <v>0</v>
      </c>
      <c r="G193">
        <v>0</v>
      </c>
      <c r="H193">
        <v>0</v>
      </c>
      <c r="I193">
        <v>0</v>
      </c>
      <c r="J193">
        <v>0</v>
      </c>
      <c r="K193">
        <v>0</v>
      </c>
      <c r="L193">
        <v>0</v>
      </c>
      <c r="M193">
        <v>0</v>
      </c>
      <c r="N193">
        <v>0</v>
      </c>
      <c r="P193" s="18">
        <f t="shared" si="17"/>
        <v>0</v>
      </c>
      <c r="Q193" s="18">
        <f t="shared" si="18"/>
        <v>0</v>
      </c>
      <c r="R193" s="18">
        <f t="shared" si="19"/>
        <v>0</v>
      </c>
      <c r="S193" s="18">
        <f t="shared" si="20"/>
        <v>0</v>
      </c>
      <c r="T193" s="18">
        <f t="shared" si="21"/>
        <v>0</v>
      </c>
      <c r="U193" s="18">
        <f t="shared" si="22"/>
        <v>0</v>
      </c>
      <c r="V193" s="18">
        <f t="shared" si="23"/>
        <v>0</v>
      </c>
      <c r="W193" s="18">
        <f t="shared" si="24"/>
        <v>0</v>
      </c>
    </row>
    <row r="194" spans="1:23" x14ac:dyDescent="0.2">
      <c r="A194" s="17">
        <v>6125</v>
      </c>
      <c r="B194">
        <v>0</v>
      </c>
      <c r="C194">
        <v>0</v>
      </c>
      <c r="D194">
        <v>0</v>
      </c>
      <c r="E194">
        <v>0</v>
      </c>
      <c r="F194">
        <v>0</v>
      </c>
      <c r="G194">
        <v>0</v>
      </c>
      <c r="H194">
        <v>0</v>
      </c>
      <c r="I194">
        <v>0</v>
      </c>
      <c r="J194">
        <v>0</v>
      </c>
      <c r="K194">
        <v>0</v>
      </c>
      <c r="L194">
        <v>0</v>
      </c>
      <c r="M194">
        <v>0</v>
      </c>
      <c r="N194">
        <v>0</v>
      </c>
      <c r="P194" s="18">
        <f t="shared" si="17"/>
        <v>0</v>
      </c>
      <c r="Q194" s="18">
        <f t="shared" si="18"/>
        <v>0</v>
      </c>
      <c r="R194" s="18">
        <f t="shared" si="19"/>
        <v>0</v>
      </c>
      <c r="S194" s="18">
        <f t="shared" si="20"/>
        <v>0</v>
      </c>
      <c r="T194" s="18">
        <f t="shared" si="21"/>
        <v>0</v>
      </c>
      <c r="U194" s="18">
        <f t="shared" si="22"/>
        <v>0</v>
      </c>
      <c r="V194" s="18">
        <f t="shared" si="23"/>
        <v>0</v>
      </c>
      <c r="W194" s="18">
        <f t="shared" si="24"/>
        <v>0</v>
      </c>
    </row>
    <row r="195" spans="1:23" x14ac:dyDescent="0.2">
      <c r="A195" s="17">
        <v>6134</v>
      </c>
      <c r="B195">
        <v>0</v>
      </c>
      <c r="C195">
        <v>0</v>
      </c>
      <c r="D195">
        <v>0</v>
      </c>
      <c r="E195">
        <v>0</v>
      </c>
      <c r="F195">
        <v>0</v>
      </c>
      <c r="G195">
        <v>0</v>
      </c>
      <c r="H195">
        <v>0</v>
      </c>
      <c r="I195">
        <v>0</v>
      </c>
      <c r="J195">
        <v>0</v>
      </c>
      <c r="K195">
        <v>0</v>
      </c>
      <c r="L195">
        <v>0</v>
      </c>
      <c r="M195">
        <v>0</v>
      </c>
      <c r="N195">
        <v>0</v>
      </c>
      <c r="P195" s="18">
        <f t="shared" si="17"/>
        <v>0</v>
      </c>
      <c r="Q195" s="18">
        <f t="shared" si="18"/>
        <v>0</v>
      </c>
      <c r="R195" s="18">
        <f t="shared" si="19"/>
        <v>0</v>
      </c>
      <c r="S195" s="18">
        <f t="shared" si="20"/>
        <v>0</v>
      </c>
      <c r="T195" s="18">
        <f t="shared" si="21"/>
        <v>0</v>
      </c>
      <c r="U195" s="18">
        <f t="shared" si="22"/>
        <v>0</v>
      </c>
      <c r="V195" s="18">
        <f t="shared" si="23"/>
        <v>0</v>
      </c>
      <c r="W195" s="18">
        <f t="shared" si="24"/>
        <v>0</v>
      </c>
    </row>
    <row r="196" spans="1:23" x14ac:dyDescent="0.2">
      <c r="A196" s="17">
        <v>6115</v>
      </c>
      <c r="B196">
        <v>0</v>
      </c>
      <c r="C196">
        <v>0</v>
      </c>
      <c r="D196">
        <v>0</v>
      </c>
      <c r="E196">
        <v>0</v>
      </c>
      <c r="F196">
        <v>0</v>
      </c>
      <c r="G196">
        <v>0</v>
      </c>
      <c r="H196">
        <v>0</v>
      </c>
      <c r="I196">
        <v>0</v>
      </c>
      <c r="J196">
        <v>0</v>
      </c>
      <c r="K196">
        <v>0</v>
      </c>
      <c r="L196">
        <v>0</v>
      </c>
      <c r="M196">
        <v>0</v>
      </c>
      <c r="N196">
        <v>0</v>
      </c>
      <c r="P196" s="18">
        <f t="shared" si="17"/>
        <v>0</v>
      </c>
      <c r="Q196" s="18">
        <f t="shared" si="18"/>
        <v>0</v>
      </c>
      <c r="R196" s="18">
        <f t="shared" si="19"/>
        <v>0</v>
      </c>
      <c r="S196" s="18">
        <f t="shared" si="20"/>
        <v>0</v>
      </c>
      <c r="T196" s="18">
        <f t="shared" si="21"/>
        <v>0</v>
      </c>
      <c r="U196" s="18">
        <f t="shared" si="22"/>
        <v>0</v>
      </c>
      <c r="V196" s="18">
        <f t="shared" si="23"/>
        <v>0</v>
      </c>
      <c r="W196" s="18">
        <f t="shared" si="24"/>
        <v>0</v>
      </c>
    </row>
    <row r="197" spans="1:23" x14ac:dyDescent="0.2">
      <c r="A197" s="17">
        <v>6136</v>
      </c>
      <c r="B197">
        <v>0</v>
      </c>
      <c r="C197">
        <v>0</v>
      </c>
      <c r="D197">
        <v>0</v>
      </c>
      <c r="E197">
        <v>0</v>
      </c>
      <c r="F197">
        <v>0</v>
      </c>
      <c r="G197">
        <v>0</v>
      </c>
      <c r="H197">
        <v>0</v>
      </c>
      <c r="I197">
        <v>0</v>
      </c>
      <c r="J197">
        <v>0</v>
      </c>
      <c r="K197">
        <v>0</v>
      </c>
      <c r="L197">
        <v>0</v>
      </c>
      <c r="M197">
        <v>0</v>
      </c>
      <c r="N197">
        <v>0</v>
      </c>
      <c r="P197" s="18">
        <f t="shared" si="17"/>
        <v>0</v>
      </c>
      <c r="Q197" s="18">
        <f t="shared" si="18"/>
        <v>0</v>
      </c>
      <c r="R197" s="18">
        <f t="shared" si="19"/>
        <v>0</v>
      </c>
      <c r="S197" s="18">
        <f t="shared" si="20"/>
        <v>0</v>
      </c>
      <c r="T197" s="18">
        <f t="shared" si="21"/>
        <v>0</v>
      </c>
      <c r="U197" s="18">
        <f t="shared" si="22"/>
        <v>0</v>
      </c>
      <c r="V197" s="18">
        <f t="shared" si="23"/>
        <v>0</v>
      </c>
      <c r="W197" s="18">
        <f t="shared" si="24"/>
        <v>0</v>
      </c>
    </row>
    <row r="198" spans="1:23" x14ac:dyDescent="0.2">
      <c r="A198" s="17">
        <v>6141</v>
      </c>
      <c r="B198">
        <v>0</v>
      </c>
      <c r="C198">
        <v>0</v>
      </c>
      <c r="D198">
        <v>0</v>
      </c>
      <c r="E198">
        <v>0</v>
      </c>
      <c r="F198">
        <v>0</v>
      </c>
      <c r="G198">
        <v>0</v>
      </c>
      <c r="H198">
        <v>0</v>
      </c>
      <c r="I198">
        <v>0</v>
      </c>
      <c r="J198">
        <v>0</v>
      </c>
      <c r="K198">
        <v>0</v>
      </c>
      <c r="L198">
        <v>0</v>
      </c>
      <c r="M198">
        <v>0</v>
      </c>
      <c r="N198">
        <v>0</v>
      </c>
      <c r="P198" s="18">
        <f t="shared" ref="P198:P261" si="25">SUM(B198,G198)</f>
        <v>0</v>
      </c>
      <c r="Q198" s="18">
        <f t="shared" ref="Q198:Q261" si="26">SUM(C198,H198)</f>
        <v>0</v>
      </c>
      <c r="R198" s="18">
        <f t="shared" ref="R198:R261" si="27">SUM(D198,I198)</f>
        <v>0</v>
      </c>
      <c r="S198" s="18">
        <f t="shared" ref="S198:S261" si="28">SUM(E198,J198)</f>
        <v>0</v>
      </c>
      <c r="T198" s="18">
        <f t="shared" ref="T198:T261" si="29">K198</f>
        <v>0</v>
      </c>
      <c r="U198" s="18">
        <f t="shared" ref="U198:U261" si="30">L198</f>
        <v>0</v>
      </c>
      <c r="V198" s="18">
        <f t="shared" ref="V198:V261" si="31">M198</f>
        <v>0</v>
      </c>
      <c r="W198" s="18">
        <f t="shared" ref="W198:W261" si="32">SUM(F198,N198)</f>
        <v>0</v>
      </c>
    </row>
    <row r="199" spans="1:23" x14ac:dyDescent="0.2">
      <c r="A199" s="17">
        <v>6142</v>
      </c>
      <c r="B199">
        <v>0</v>
      </c>
      <c r="C199">
        <v>0</v>
      </c>
      <c r="D199">
        <v>0</v>
      </c>
      <c r="E199">
        <v>0</v>
      </c>
      <c r="F199">
        <v>0</v>
      </c>
      <c r="G199">
        <v>0</v>
      </c>
      <c r="H199">
        <v>0</v>
      </c>
      <c r="I199">
        <v>0</v>
      </c>
      <c r="J199">
        <v>0</v>
      </c>
      <c r="K199">
        <v>0</v>
      </c>
      <c r="L199">
        <v>0</v>
      </c>
      <c r="M199">
        <v>0</v>
      </c>
      <c r="N199">
        <v>0</v>
      </c>
      <c r="P199" s="18">
        <f t="shared" si="25"/>
        <v>0</v>
      </c>
      <c r="Q199" s="18">
        <f t="shared" si="26"/>
        <v>0</v>
      </c>
      <c r="R199" s="18">
        <f t="shared" si="27"/>
        <v>0</v>
      </c>
      <c r="S199" s="18">
        <f t="shared" si="28"/>
        <v>0</v>
      </c>
      <c r="T199" s="18">
        <f t="shared" si="29"/>
        <v>0</v>
      </c>
      <c r="U199" s="18">
        <f t="shared" si="30"/>
        <v>0</v>
      </c>
      <c r="V199" s="18">
        <f t="shared" si="31"/>
        <v>0</v>
      </c>
      <c r="W199" s="18">
        <f t="shared" si="32"/>
        <v>0</v>
      </c>
    </row>
    <row r="200" spans="1:23" x14ac:dyDescent="0.2">
      <c r="A200" s="17">
        <v>6149</v>
      </c>
      <c r="B200">
        <v>0</v>
      </c>
      <c r="C200">
        <v>0</v>
      </c>
      <c r="D200">
        <v>0</v>
      </c>
      <c r="E200">
        <v>0</v>
      </c>
      <c r="F200">
        <v>0</v>
      </c>
      <c r="G200">
        <v>0</v>
      </c>
      <c r="H200">
        <v>0</v>
      </c>
      <c r="I200">
        <v>0</v>
      </c>
      <c r="J200">
        <v>0</v>
      </c>
      <c r="K200">
        <v>0</v>
      </c>
      <c r="L200">
        <v>0</v>
      </c>
      <c r="M200">
        <v>0</v>
      </c>
      <c r="N200">
        <v>0</v>
      </c>
      <c r="P200" s="18">
        <f t="shared" si="25"/>
        <v>0</v>
      </c>
      <c r="Q200" s="18">
        <f t="shared" si="26"/>
        <v>0</v>
      </c>
      <c r="R200" s="18">
        <f t="shared" si="27"/>
        <v>0</v>
      </c>
      <c r="S200" s="18">
        <f t="shared" si="28"/>
        <v>0</v>
      </c>
      <c r="T200" s="18">
        <f t="shared" si="29"/>
        <v>0</v>
      </c>
      <c r="U200" s="18">
        <f t="shared" si="30"/>
        <v>0</v>
      </c>
      <c r="V200" s="18">
        <f t="shared" si="31"/>
        <v>0</v>
      </c>
      <c r="W200" s="18">
        <f t="shared" si="32"/>
        <v>0</v>
      </c>
    </row>
    <row r="201" spans="1:23" x14ac:dyDescent="0.2">
      <c r="A201" s="17">
        <v>6151</v>
      </c>
      <c r="B201">
        <v>0</v>
      </c>
      <c r="C201">
        <v>0</v>
      </c>
      <c r="D201">
        <v>0</v>
      </c>
      <c r="E201">
        <v>0</v>
      </c>
      <c r="F201">
        <v>0</v>
      </c>
      <c r="G201">
        <v>0</v>
      </c>
      <c r="H201">
        <v>0</v>
      </c>
      <c r="I201">
        <v>0</v>
      </c>
      <c r="J201">
        <v>0</v>
      </c>
      <c r="K201">
        <v>0</v>
      </c>
      <c r="L201">
        <v>0</v>
      </c>
      <c r="M201">
        <v>0</v>
      </c>
      <c r="N201">
        <v>0</v>
      </c>
      <c r="P201" s="18">
        <f t="shared" si="25"/>
        <v>0</v>
      </c>
      <c r="Q201" s="18">
        <f t="shared" si="26"/>
        <v>0</v>
      </c>
      <c r="R201" s="18">
        <f t="shared" si="27"/>
        <v>0</v>
      </c>
      <c r="S201" s="18">
        <f t="shared" si="28"/>
        <v>0</v>
      </c>
      <c r="T201" s="18">
        <f t="shared" si="29"/>
        <v>0</v>
      </c>
      <c r="U201" s="18">
        <f t="shared" si="30"/>
        <v>0</v>
      </c>
      <c r="V201" s="18">
        <f t="shared" si="31"/>
        <v>0</v>
      </c>
      <c r="W201" s="18">
        <f t="shared" si="32"/>
        <v>0</v>
      </c>
    </row>
    <row r="202" spans="1:23" x14ac:dyDescent="0.2">
      <c r="A202" s="17">
        <v>6155</v>
      </c>
      <c r="B202">
        <v>0</v>
      </c>
      <c r="C202">
        <v>0</v>
      </c>
      <c r="D202">
        <v>0</v>
      </c>
      <c r="E202">
        <v>0</v>
      </c>
      <c r="F202">
        <v>0</v>
      </c>
      <c r="G202">
        <v>0</v>
      </c>
      <c r="H202">
        <v>0</v>
      </c>
      <c r="I202">
        <v>0</v>
      </c>
      <c r="J202">
        <v>0</v>
      </c>
      <c r="K202">
        <v>0</v>
      </c>
      <c r="L202">
        <v>0</v>
      </c>
      <c r="M202">
        <v>0</v>
      </c>
      <c r="N202">
        <v>0</v>
      </c>
      <c r="P202" s="18">
        <f t="shared" si="25"/>
        <v>0</v>
      </c>
      <c r="Q202" s="18">
        <f t="shared" si="26"/>
        <v>0</v>
      </c>
      <c r="R202" s="18">
        <f t="shared" si="27"/>
        <v>0</v>
      </c>
      <c r="S202" s="18">
        <f t="shared" si="28"/>
        <v>0</v>
      </c>
      <c r="T202" s="18">
        <f t="shared" si="29"/>
        <v>0</v>
      </c>
      <c r="U202" s="18">
        <f t="shared" si="30"/>
        <v>0</v>
      </c>
      <c r="V202" s="18">
        <f t="shared" si="31"/>
        <v>0</v>
      </c>
      <c r="W202" s="18">
        <f t="shared" si="32"/>
        <v>0</v>
      </c>
    </row>
    <row r="203" spans="1:23" x14ac:dyDescent="0.2">
      <c r="A203" s="17">
        <v>6157</v>
      </c>
      <c r="B203">
        <v>0</v>
      </c>
      <c r="C203">
        <v>0</v>
      </c>
      <c r="D203">
        <v>0</v>
      </c>
      <c r="E203">
        <v>0</v>
      </c>
      <c r="F203">
        <v>0</v>
      </c>
      <c r="G203">
        <v>0</v>
      </c>
      <c r="H203">
        <v>0</v>
      </c>
      <c r="I203">
        <v>0</v>
      </c>
      <c r="J203">
        <v>0</v>
      </c>
      <c r="K203">
        <v>0</v>
      </c>
      <c r="L203">
        <v>0</v>
      </c>
      <c r="M203">
        <v>0</v>
      </c>
      <c r="N203">
        <v>0</v>
      </c>
      <c r="P203" s="18">
        <f t="shared" si="25"/>
        <v>0</v>
      </c>
      <c r="Q203" s="18">
        <f t="shared" si="26"/>
        <v>0</v>
      </c>
      <c r="R203" s="18">
        <f t="shared" si="27"/>
        <v>0</v>
      </c>
      <c r="S203" s="18">
        <f t="shared" si="28"/>
        <v>0</v>
      </c>
      <c r="T203" s="18">
        <f t="shared" si="29"/>
        <v>0</v>
      </c>
      <c r="U203" s="18">
        <f t="shared" si="30"/>
        <v>0</v>
      </c>
      <c r="V203" s="18">
        <f t="shared" si="31"/>
        <v>0</v>
      </c>
      <c r="W203" s="18">
        <f t="shared" si="32"/>
        <v>0</v>
      </c>
    </row>
    <row r="204" spans="1:23" x14ac:dyDescent="0.2">
      <c r="A204" s="17">
        <v>6162</v>
      </c>
      <c r="B204">
        <v>0</v>
      </c>
      <c r="C204">
        <v>0</v>
      </c>
      <c r="D204">
        <v>0</v>
      </c>
      <c r="E204">
        <v>0</v>
      </c>
      <c r="F204">
        <v>0</v>
      </c>
      <c r="G204">
        <v>0</v>
      </c>
      <c r="H204">
        <v>0</v>
      </c>
      <c r="I204">
        <v>0</v>
      </c>
      <c r="J204">
        <v>0</v>
      </c>
      <c r="K204">
        <v>0</v>
      </c>
      <c r="L204">
        <v>0</v>
      </c>
      <c r="M204">
        <v>0</v>
      </c>
      <c r="N204">
        <v>0</v>
      </c>
      <c r="P204" s="18">
        <f t="shared" si="25"/>
        <v>0</v>
      </c>
      <c r="Q204" s="18">
        <f t="shared" si="26"/>
        <v>0</v>
      </c>
      <c r="R204" s="18">
        <f t="shared" si="27"/>
        <v>0</v>
      </c>
      <c r="S204" s="18">
        <f t="shared" si="28"/>
        <v>0</v>
      </c>
      <c r="T204" s="18">
        <f t="shared" si="29"/>
        <v>0</v>
      </c>
      <c r="U204" s="18">
        <f t="shared" si="30"/>
        <v>0</v>
      </c>
      <c r="V204" s="18">
        <f t="shared" si="31"/>
        <v>0</v>
      </c>
      <c r="W204" s="18">
        <f t="shared" si="32"/>
        <v>0</v>
      </c>
    </row>
    <row r="205" spans="1:23" x14ac:dyDescent="0.2">
      <c r="A205" s="17">
        <v>6164</v>
      </c>
      <c r="B205">
        <v>0</v>
      </c>
      <c r="C205">
        <v>0</v>
      </c>
      <c r="D205">
        <v>0</v>
      </c>
      <c r="E205">
        <v>0</v>
      </c>
      <c r="F205">
        <v>0</v>
      </c>
      <c r="G205">
        <v>0</v>
      </c>
      <c r="H205">
        <v>0</v>
      </c>
      <c r="I205">
        <v>0</v>
      </c>
      <c r="J205">
        <v>0</v>
      </c>
      <c r="K205">
        <v>0</v>
      </c>
      <c r="L205">
        <v>0</v>
      </c>
      <c r="M205">
        <v>0</v>
      </c>
      <c r="N205">
        <v>0</v>
      </c>
      <c r="P205" s="18">
        <f t="shared" si="25"/>
        <v>0</v>
      </c>
      <c r="Q205" s="18">
        <f t="shared" si="26"/>
        <v>0</v>
      </c>
      <c r="R205" s="18">
        <f t="shared" si="27"/>
        <v>0</v>
      </c>
      <c r="S205" s="18">
        <f t="shared" si="28"/>
        <v>0</v>
      </c>
      <c r="T205" s="18">
        <f t="shared" si="29"/>
        <v>0</v>
      </c>
      <c r="U205" s="18">
        <f t="shared" si="30"/>
        <v>0</v>
      </c>
      <c r="V205" s="18">
        <f t="shared" si="31"/>
        <v>0</v>
      </c>
      <c r="W205" s="18">
        <f t="shared" si="32"/>
        <v>0</v>
      </c>
    </row>
    <row r="206" spans="1:23" x14ac:dyDescent="0.2">
      <c r="A206" s="17">
        <v>6049</v>
      </c>
      <c r="B206">
        <v>0</v>
      </c>
      <c r="C206">
        <v>0</v>
      </c>
      <c r="D206">
        <v>0</v>
      </c>
      <c r="E206">
        <v>0</v>
      </c>
      <c r="F206">
        <v>0</v>
      </c>
      <c r="G206">
        <v>0</v>
      </c>
      <c r="H206">
        <v>0</v>
      </c>
      <c r="I206">
        <v>0</v>
      </c>
      <c r="J206">
        <v>0</v>
      </c>
      <c r="K206">
        <v>0</v>
      </c>
      <c r="L206">
        <v>0</v>
      </c>
      <c r="M206">
        <v>0</v>
      </c>
      <c r="N206">
        <v>0</v>
      </c>
      <c r="P206" s="18">
        <f t="shared" si="25"/>
        <v>0</v>
      </c>
      <c r="Q206" s="18">
        <f t="shared" si="26"/>
        <v>0</v>
      </c>
      <c r="R206" s="18">
        <f t="shared" si="27"/>
        <v>0</v>
      </c>
      <c r="S206" s="18">
        <f t="shared" si="28"/>
        <v>0</v>
      </c>
      <c r="T206" s="18">
        <f t="shared" si="29"/>
        <v>0</v>
      </c>
      <c r="U206" s="18">
        <f t="shared" si="30"/>
        <v>0</v>
      </c>
      <c r="V206" s="18">
        <f t="shared" si="31"/>
        <v>0</v>
      </c>
      <c r="W206" s="18">
        <f t="shared" si="32"/>
        <v>0</v>
      </c>
    </row>
    <row r="207" spans="1:23" x14ac:dyDescent="0.2">
      <c r="A207" s="17">
        <v>6185</v>
      </c>
      <c r="B207">
        <v>0</v>
      </c>
      <c r="C207">
        <v>0</v>
      </c>
      <c r="D207">
        <v>0</v>
      </c>
      <c r="E207">
        <v>0</v>
      </c>
      <c r="F207">
        <v>0</v>
      </c>
      <c r="G207">
        <v>0</v>
      </c>
      <c r="H207">
        <v>0</v>
      </c>
      <c r="I207">
        <v>0</v>
      </c>
      <c r="J207">
        <v>0</v>
      </c>
      <c r="K207">
        <v>0</v>
      </c>
      <c r="L207">
        <v>0</v>
      </c>
      <c r="M207">
        <v>0</v>
      </c>
      <c r="N207">
        <v>0</v>
      </c>
      <c r="P207" s="18">
        <f t="shared" si="25"/>
        <v>0</v>
      </c>
      <c r="Q207" s="18">
        <f t="shared" si="26"/>
        <v>0</v>
      </c>
      <c r="R207" s="18">
        <f t="shared" si="27"/>
        <v>0</v>
      </c>
      <c r="S207" s="18">
        <f t="shared" si="28"/>
        <v>0</v>
      </c>
      <c r="T207" s="18">
        <f t="shared" si="29"/>
        <v>0</v>
      </c>
      <c r="U207" s="18">
        <f t="shared" si="30"/>
        <v>0</v>
      </c>
      <c r="V207" s="18">
        <f t="shared" si="31"/>
        <v>0</v>
      </c>
      <c r="W207" s="18">
        <f t="shared" si="32"/>
        <v>0</v>
      </c>
    </row>
    <row r="208" spans="1:23" x14ac:dyDescent="0.2">
      <c r="A208" s="17">
        <v>6168</v>
      </c>
      <c r="B208">
        <v>0</v>
      </c>
      <c r="C208">
        <v>0</v>
      </c>
      <c r="D208">
        <v>0</v>
      </c>
      <c r="E208">
        <v>0</v>
      </c>
      <c r="F208">
        <v>0</v>
      </c>
      <c r="G208">
        <v>0</v>
      </c>
      <c r="H208">
        <v>0</v>
      </c>
      <c r="I208">
        <v>0</v>
      </c>
      <c r="J208">
        <v>0</v>
      </c>
      <c r="K208">
        <v>0</v>
      </c>
      <c r="L208">
        <v>0</v>
      </c>
      <c r="M208">
        <v>0</v>
      </c>
      <c r="N208">
        <v>0</v>
      </c>
      <c r="P208" s="18">
        <f t="shared" si="25"/>
        <v>0</v>
      </c>
      <c r="Q208" s="18">
        <f t="shared" si="26"/>
        <v>0</v>
      </c>
      <c r="R208" s="18">
        <f t="shared" si="27"/>
        <v>0</v>
      </c>
      <c r="S208" s="18">
        <f t="shared" si="28"/>
        <v>0</v>
      </c>
      <c r="T208" s="18">
        <f t="shared" si="29"/>
        <v>0</v>
      </c>
      <c r="U208" s="18">
        <f t="shared" si="30"/>
        <v>0</v>
      </c>
      <c r="V208" s="18">
        <f t="shared" si="31"/>
        <v>0</v>
      </c>
      <c r="W208" s="18">
        <f t="shared" si="32"/>
        <v>0</v>
      </c>
    </row>
    <row r="209" spans="1:23" x14ac:dyDescent="0.2">
      <c r="A209" s="17">
        <v>6167</v>
      </c>
      <c r="B209">
        <v>0</v>
      </c>
      <c r="C209">
        <v>0</v>
      </c>
      <c r="D209">
        <v>0</v>
      </c>
      <c r="E209">
        <v>0</v>
      </c>
      <c r="F209">
        <v>0</v>
      </c>
      <c r="G209">
        <v>0</v>
      </c>
      <c r="H209">
        <v>0</v>
      </c>
      <c r="I209">
        <v>0</v>
      </c>
      <c r="J209">
        <v>0</v>
      </c>
      <c r="K209">
        <v>0</v>
      </c>
      <c r="L209">
        <v>0</v>
      </c>
      <c r="M209">
        <v>0</v>
      </c>
      <c r="N209">
        <v>0</v>
      </c>
      <c r="P209" s="18">
        <f t="shared" si="25"/>
        <v>0</v>
      </c>
      <c r="Q209" s="18">
        <f t="shared" si="26"/>
        <v>0</v>
      </c>
      <c r="R209" s="18">
        <f t="shared" si="27"/>
        <v>0</v>
      </c>
      <c r="S209" s="18">
        <f t="shared" si="28"/>
        <v>0</v>
      </c>
      <c r="T209" s="18">
        <f t="shared" si="29"/>
        <v>0</v>
      </c>
      <c r="U209" s="18">
        <f t="shared" si="30"/>
        <v>0</v>
      </c>
      <c r="V209" s="18">
        <f t="shared" si="31"/>
        <v>0</v>
      </c>
      <c r="W209" s="18">
        <f t="shared" si="32"/>
        <v>0</v>
      </c>
    </row>
    <row r="210" spans="1:23" x14ac:dyDescent="0.2">
      <c r="A210" s="17">
        <v>6194</v>
      </c>
      <c r="B210">
        <v>0</v>
      </c>
      <c r="C210">
        <v>0</v>
      </c>
      <c r="D210">
        <v>0</v>
      </c>
      <c r="E210">
        <v>0</v>
      </c>
      <c r="F210">
        <v>0</v>
      </c>
      <c r="G210">
        <v>0</v>
      </c>
      <c r="H210">
        <v>0</v>
      </c>
      <c r="I210">
        <v>0</v>
      </c>
      <c r="J210">
        <v>0</v>
      </c>
      <c r="K210">
        <v>0</v>
      </c>
      <c r="L210">
        <v>0</v>
      </c>
      <c r="M210">
        <v>0</v>
      </c>
      <c r="N210">
        <v>0</v>
      </c>
      <c r="P210" s="18">
        <f t="shared" si="25"/>
        <v>0</v>
      </c>
      <c r="Q210" s="18">
        <f t="shared" si="26"/>
        <v>0</v>
      </c>
      <c r="R210" s="18">
        <f t="shared" si="27"/>
        <v>0</v>
      </c>
      <c r="S210" s="18">
        <f t="shared" si="28"/>
        <v>0</v>
      </c>
      <c r="T210" s="18">
        <f t="shared" si="29"/>
        <v>0</v>
      </c>
      <c r="U210" s="18">
        <f t="shared" si="30"/>
        <v>0</v>
      </c>
      <c r="V210" s="18">
        <f t="shared" si="31"/>
        <v>0</v>
      </c>
      <c r="W210" s="18">
        <f t="shared" si="32"/>
        <v>0</v>
      </c>
    </row>
    <row r="211" spans="1:23" x14ac:dyDescent="0.2">
      <c r="A211" s="17">
        <v>6189</v>
      </c>
      <c r="B211">
        <v>0</v>
      </c>
      <c r="C211">
        <v>0</v>
      </c>
      <c r="D211">
        <v>0</v>
      </c>
      <c r="E211">
        <v>0</v>
      </c>
      <c r="F211">
        <v>0</v>
      </c>
      <c r="G211">
        <v>0</v>
      </c>
      <c r="H211">
        <v>0</v>
      </c>
      <c r="I211">
        <v>0</v>
      </c>
      <c r="J211">
        <v>0</v>
      </c>
      <c r="K211">
        <v>0</v>
      </c>
      <c r="L211">
        <v>0</v>
      </c>
      <c r="M211">
        <v>0</v>
      </c>
      <c r="N211">
        <v>0</v>
      </c>
      <c r="P211" s="18">
        <f t="shared" si="25"/>
        <v>0</v>
      </c>
      <c r="Q211" s="18">
        <f t="shared" si="26"/>
        <v>0</v>
      </c>
      <c r="R211" s="18">
        <f t="shared" si="27"/>
        <v>0</v>
      </c>
      <c r="S211" s="18">
        <f t="shared" si="28"/>
        <v>0</v>
      </c>
      <c r="T211" s="18">
        <f t="shared" si="29"/>
        <v>0</v>
      </c>
      <c r="U211" s="18">
        <f t="shared" si="30"/>
        <v>0</v>
      </c>
      <c r="V211" s="18">
        <f t="shared" si="31"/>
        <v>0</v>
      </c>
      <c r="W211" s="18">
        <f t="shared" si="32"/>
        <v>0</v>
      </c>
    </row>
    <row r="212" spans="1:23" x14ac:dyDescent="0.2">
      <c r="A212" s="17">
        <v>6193</v>
      </c>
      <c r="B212">
        <v>0</v>
      </c>
      <c r="C212">
        <v>0</v>
      </c>
      <c r="D212">
        <v>0</v>
      </c>
      <c r="E212">
        <v>0</v>
      </c>
      <c r="F212">
        <v>0</v>
      </c>
      <c r="G212">
        <v>0</v>
      </c>
      <c r="H212">
        <v>0</v>
      </c>
      <c r="I212">
        <v>0</v>
      </c>
      <c r="J212">
        <v>0</v>
      </c>
      <c r="K212">
        <v>0</v>
      </c>
      <c r="L212">
        <v>0</v>
      </c>
      <c r="M212">
        <v>0</v>
      </c>
      <c r="N212">
        <v>0</v>
      </c>
      <c r="P212" s="18">
        <f t="shared" si="25"/>
        <v>0</v>
      </c>
      <c r="Q212" s="18">
        <f t="shared" si="26"/>
        <v>0</v>
      </c>
      <c r="R212" s="18">
        <f t="shared" si="27"/>
        <v>0</v>
      </c>
      <c r="S212" s="18">
        <f t="shared" si="28"/>
        <v>0</v>
      </c>
      <c r="T212" s="18">
        <f t="shared" si="29"/>
        <v>0</v>
      </c>
      <c r="U212" s="18">
        <f t="shared" si="30"/>
        <v>0</v>
      </c>
      <c r="V212" s="18">
        <f t="shared" si="31"/>
        <v>0</v>
      </c>
      <c r="W212" s="18">
        <f t="shared" si="32"/>
        <v>0</v>
      </c>
    </row>
    <row r="213" spans="1:23" x14ac:dyDescent="0.2">
      <c r="A213" s="17">
        <v>6197</v>
      </c>
      <c r="B213">
        <v>0</v>
      </c>
      <c r="C213">
        <v>0</v>
      </c>
      <c r="D213">
        <v>0</v>
      </c>
      <c r="E213">
        <v>0</v>
      </c>
      <c r="F213">
        <v>0</v>
      </c>
      <c r="G213">
        <v>0</v>
      </c>
      <c r="H213">
        <v>0</v>
      </c>
      <c r="I213">
        <v>0</v>
      </c>
      <c r="J213">
        <v>0</v>
      </c>
      <c r="K213">
        <v>0</v>
      </c>
      <c r="L213">
        <v>0</v>
      </c>
      <c r="M213">
        <v>0</v>
      </c>
      <c r="N213">
        <v>0</v>
      </c>
      <c r="P213" s="18">
        <f t="shared" si="25"/>
        <v>0</v>
      </c>
      <c r="Q213" s="18">
        <f t="shared" si="26"/>
        <v>0</v>
      </c>
      <c r="R213" s="18">
        <f t="shared" si="27"/>
        <v>0</v>
      </c>
      <c r="S213" s="18">
        <f t="shared" si="28"/>
        <v>0</v>
      </c>
      <c r="T213" s="18">
        <f t="shared" si="29"/>
        <v>0</v>
      </c>
      <c r="U213" s="18">
        <f t="shared" si="30"/>
        <v>0</v>
      </c>
      <c r="V213" s="18">
        <f t="shared" si="31"/>
        <v>0</v>
      </c>
      <c r="W213" s="18">
        <f t="shared" si="32"/>
        <v>0</v>
      </c>
    </row>
    <row r="214" spans="1:23" x14ac:dyDescent="0.2">
      <c r="A214" s="17">
        <v>6205</v>
      </c>
      <c r="B214">
        <v>0</v>
      </c>
      <c r="C214">
        <v>0</v>
      </c>
      <c r="D214">
        <v>0</v>
      </c>
      <c r="E214">
        <v>0</v>
      </c>
      <c r="F214">
        <v>0</v>
      </c>
      <c r="G214">
        <v>0</v>
      </c>
      <c r="H214">
        <v>0</v>
      </c>
      <c r="I214">
        <v>0</v>
      </c>
      <c r="J214">
        <v>0</v>
      </c>
      <c r="K214">
        <v>0</v>
      </c>
      <c r="L214">
        <v>0</v>
      </c>
      <c r="M214">
        <v>0</v>
      </c>
      <c r="N214">
        <v>0</v>
      </c>
      <c r="P214" s="18">
        <f t="shared" si="25"/>
        <v>0</v>
      </c>
      <c r="Q214" s="18">
        <f t="shared" si="26"/>
        <v>0</v>
      </c>
      <c r="R214" s="18">
        <f t="shared" si="27"/>
        <v>0</v>
      </c>
      <c r="S214" s="18">
        <f t="shared" si="28"/>
        <v>0</v>
      </c>
      <c r="T214" s="18">
        <f t="shared" si="29"/>
        <v>0</v>
      </c>
      <c r="U214" s="18">
        <f t="shared" si="30"/>
        <v>0</v>
      </c>
      <c r="V214" s="18">
        <f t="shared" si="31"/>
        <v>0</v>
      </c>
      <c r="W214" s="18">
        <f t="shared" si="32"/>
        <v>0</v>
      </c>
    </row>
    <row r="215" spans="1:23" x14ac:dyDescent="0.2">
      <c r="A215" s="17">
        <v>6212</v>
      </c>
      <c r="B215">
        <v>0</v>
      </c>
      <c r="C215">
        <v>0</v>
      </c>
      <c r="D215">
        <v>0</v>
      </c>
      <c r="E215">
        <v>0</v>
      </c>
      <c r="F215">
        <v>0</v>
      </c>
      <c r="G215">
        <v>0</v>
      </c>
      <c r="H215">
        <v>0</v>
      </c>
      <c r="I215">
        <v>0</v>
      </c>
      <c r="J215">
        <v>0</v>
      </c>
      <c r="K215">
        <v>0</v>
      </c>
      <c r="L215">
        <v>0</v>
      </c>
      <c r="M215">
        <v>0</v>
      </c>
      <c r="N215">
        <v>0</v>
      </c>
      <c r="P215" s="18">
        <f t="shared" si="25"/>
        <v>0</v>
      </c>
      <c r="Q215" s="18">
        <f t="shared" si="26"/>
        <v>0</v>
      </c>
      <c r="R215" s="18">
        <f t="shared" si="27"/>
        <v>0</v>
      </c>
      <c r="S215" s="18">
        <f t="shared" si="28"/>
        <v>0</v>
      </c>
      <c r="T215" s="18">
        <f t="shared" si="29"/>
        <v>0</v>
      </c>
      <c r="U215" s="18">
        <f t="shared" si="30"/>
        <v>0</v>
      </c>
      <c r="V215" s="18">
        <f t="shared" si="31"/>
        <v>0</v>
      </c>
      <c r="W215" s="18">
        <f t="shared" si="32"/>
        <v>0</v>
      </c>
    </row>
    <row r="216" spans="1:23" x14ac:dyDescent="0.2">
      <c r="A216" s="17">
        <v>6188</v>
      </c>
      <c r="B216">
        <v>0</v>
      </c>
      <c r="C216">
        <v>0</v>
      </c>
      <c r="D216">
        <v>0</v>
      </c>
      <c r="E216">
        <v>0</v>
      </c>
      <c r="F216">
        <v>0</v>
      </c>
      <c r="G216">
        <v>0</v>
      </c>
      <c r="H216">
        <v>0</v>
      </c>
      <c r="I216">
        <v>0</v>
      </c>
      <c r="J216">
        <v>0</v>
      </c>
      <c r="K216">
        <v>0</v>
      </c>
      <c r="L216">
        <v>0</v>
      </c>
      <c r="M216">
        <v>0</v>
      </c>
      <c r="N216">
        <v>0</v>
      </c>
      <c r="P216" s="18">
        <f t="shared" si="25"/>
        <v>0</v>
      </c>
      <c r="Q216" s="18">
        <f t="shared" si="26"/>
        <v>0</v>
      </c>
      <c r="R216" s="18">
        <f t="shared" si="27"/>
        <v>0</v>
      </c>
      <c r="S216" s="18">
        <f t="shared" si="28"/>
        <v>0</v>
      </c>
      <c r="T216" s="18">
        <f t="shared" si="29"/>
        <v>0</v>
      </c>
      <c r="U216" s="18">
        <f t="shared" si="30"/>
        <v>0</v>
      </c>
      <c r="V216" s="18">
        <f t="shared" si="31"/>
        <v>0</v>
      </c>
      <c r="W216" s="18">
        <f t="shared" si="32"/>
        <v>0</v>
      </c>
    </row>
    <row r="217" spans="1:23" x14ac:dyDescent="0.2">
      <c r="A217" s="17">
        <v>6236</v>
      </c>
      <c r="B217">
        <v>0</v>
      </c>
      <c r="C217">
        <v>0</v>
      </c>
      <c r="D217">
        <v>0</v>
      </c>
      <c r="E217">
        <v>0</v>
      </c>
      <c r="F217">
        <v>0</v>
      </c>
      <c r="G217">
        <v>0</v>
      </c>
      <c r="H217">
        <v>0</v>
      </c>
      <c r="I217">
        <v>0</v>
      </c>
      <c r="J217">
        <v>0</v>
      </c>
      <c r="K217">
        <v>0</v>
      </c>
      <c r="L217">
        <v>0</v>
      </c>
      <c r="M217">
        <v>0</v>
      </c>
      <c r="N217">
        <v>0</v>
      </c>
      <c r="P217" s="18">
        <f t="shared" si="25"/>
        <v>0</v>
      </c>
      <c r="Q217" s="18">
        <f t="shared" si="26"/>
        <v>0</v>
      </c>
      <c r="R217" s="18">
        <f t="shared" si="27"/>
        <v>0</v>
      </c>
      <c r="S217" s="18">
        <f t="shared" si="28"/>
        <v>0</v>
      </c>
      <c r="T217" s="18">
        <f t="shared" si="29"/>
        <v>0</v>
      </c>
      <c r="U217" s="18">
        <f t="shared" si="30"/>
        <v>0</v>
      </c>
      <c r="V217" s="18">
        <f t="shared" si="31"/>
        <v>0</v>
      </c>
      <c r="W217" s="18">
        <f t="shared" si="32"/>
        <v>0</v>
      </c>
    </row>
    <row r="218" spans="1:23" x14ac:dyDescent="0.2">
      <c r="A218" s="17">
        <v>6240</v>
      </c>
      <c r="B218">
        <v>0</v>
      </c>
      <c r="C218">
        <v>0</v>
      </c>
      <c r="D218">
        <v>0</v>
      </c>
      <c r="E218">
        <v>0</v>
      </c>
      <c r="F218">
        <v>0</v>
      </c>
      <c r="G218">
        <v>0</v>
      </c>
      <c r="H218">
        <v>0</v>
      </c>
      <c r="I218">
        <v>0</v>
      </c>
      <c r="J218">
        <v>0</v>
      </c>
      <c r="K218">
        <v>0</v>
      </c>
      <c r="L218">
        <v>0</v>
      </c>
      <c r="M218">
        <v>0</v>
      </c>
      <c r="N218">
        <v>0</v>
      </c>
      <c r="P218" s="18">
        <f t="shared" si="25"/>
        <v>0</v>
      </c>
      <c r="Q218" s="18">
        <f t="shared" si="26"/>
        <v>0</v>
      </c>
      <c r="R218" s="18">
        <f t="shared" si="27"/>
        <v>0</v>
      </c>
      <c r="S218" s="18">
        <f t="shared" si="28"/>
        <v>0</v>
      </c>
      <c r="T218" s="18">
        <f t="shared" si="29"/>
        <v>0</v>
      </c>
      <c r="U218" s="18">
        <f t="shared" si="30"/>
        <v>0</v>
      </c>
      <c r="V218" s="18">
        <f t="shared" si="31"/>
        <v>0</v>
      </c>
      <c r="W218" s="18">
        <f t="shared" si="32"/>
        <v>0</v>
      </c>
    </row>
    <row r="219" spans="1:23" x14ac:dyDescent="0.2">
      <c r="A219" s="17">
        <v>6242</v>
      </c>
      <c r="B219">
        <v>0</v>
      </c>
      <c r="C219">
        <v>0</v>
      </c>
      <c r="D219">
        <v>0</v>
      </c>
      <c r="E219">
        <v>0</v>
      </c>
      <c r="F219">
        <v>0</v>
      </c>
      <c r="G219">
        <v>0</v>
      </c>
      <c r="H219">
        <v>0</v>
      </c>
      <c r="I219">
        <v>0</v>
      </c>
      <c r="J219">
        <v>0</v>
      </c>
      <c r="K219">
        <v>0</v>
      </c>
      <c r="L219">
        <v>0</v>
      </c>
      <c r="M219">
        <v>0</v>
      </c>
      <c r="N219">
        <v>0</v>
      </c>
      <c r="P219" s="18">
        <f t="shared" si="25"/>
        <v>0</v>
      </c>
      <c r="Q219" s="18">
        <f t="shared" si="26"/>
        <v>0</v>
      </c>
      <c r="R219" s="18">
        <f t="shared" si="27"/>
        <v>0</v>
      </c>
      <c r="S219" s="18">
        <f t="shared" si="28"/>
        <v>0</v>
      </c>
      <c r="T219" s="18">
        <f t="shared" si="29"/>
        <v>0</v>
      </c>
      <c r="U219" s="18">
        <f t="shared" si="30"/>
        <v>0</v>
      </c>
      <c r="V219" s="18">
        <f t="shared" si="31"/>
        <v>0</v>
      </c>
      <c r="W219" s="18">
        <f t="shared" si="32"/>
        <v>0</v>
      </c>
    </row>
    <row r="220" spans="1:23" x14ac:dyDescent="0.2">
      <c r="A220" s="17">
        <v>5913</v>
      </c>
      <c r="B220">
        <v>0</v>
      </c>
      <c r="C220">
        <v>0</v>
      </c>
      <c r="D220">
        <v>0</v>
      </c>
      <c r="E220">
        <v>0</v>
      </c>
      <c r="F220">
        <v>0</v>
      </c>
      <c r="G220">
        <v>0</v>
      </c>
      <c r="H220">
        <v>0</v>
      </c>
      <c r="I220">
        <v>0</v>
      </c>
      <c r="J220">
        <v>0</v>
      </c>
      <c r="K220">
        <v>0</v>
      </c>
      <c r="L220">
        <v>0</v>
      </c>
      <c r="M220">
        <v>0</v>
      </c>
      <c r="N220">
        <v>0</v>
      </c>
      <c r="P220" s="18">
        <f t="shared" si="25"/>
        <v>0</v>
      </c>
      <c r="Q220" s="18">
        <f t="shared" si="26"/>
        <v>0</v>
      </c>
      <c r="R220" s="18">
        <f t="shared" si="27"/>
        <v>0</v>
      </c>
      <c r="S220" s="18">
        <f t="shared" si="28"/>
        <v>0</v>
      </c>
      <c r="T220" s="18">
        <f t="shared" si="29"/>
        <v>0</v>
      </c>
      <c r="U220" s="18">
        <f t="shared" si="30"/>
        <v>0</v>
      </c>
      <c r="V220" s="18">
        <f t="shared" si="31"/>
        <v>0</v>
      </c>
      <c r="W220" s="18">
        <f t="shared" si="32"/>
        <v>0</v>
      </c>
    </row>
    <row r="221" spans="1:23" x14ac:dyDescent="0.2">
      <c r="A221" s="17">
        <v>6246</v>
      </c>
      <c r="B221">
        <v>0</v>
      </c>
      <c r="C221">
        <v>0</v>
      </c>
      <c r="D221">
        <v>0</v>
      </c>
      <c r="E221">
        <v>0</v>
      </c>
      <c r="F221">
        <v>0</v>
      </c>
      <c r="G221">
        <v>0</v>
      </c>
      <c r="H221">
        <v>0</v>
      </c>
      <c r="I221">
        <v>0</v>
      </c>
      <c r="J221">
        <v>0</v>
      </c>
      <c r="K221">
        <v>0</v>
      </c>
      <c r="L221">
        <v>0</v>
      </c>
      <c r="M221">
        <v>0</v>
      </c>
      <c r="N221">
        <v>0</v>
      </c>
      <c r="P221" s="18">
        <f t="shared" si="25"/>
        <v>0</v>
      </c>
      <c r="Q221" s="18">
        <f t="shared" si="26"/>
        <v>0</v>
      </c>
      <c r="R221" s="18">
        <f t="shared" si="27"/>
        <v>0</v>
      </c>
      <c r="S221" s="18">
        <f t="shared" si="28"/>
        <v>0</v>
      </c>
      <c r="T221" s="18">
        <f t="shared" si="29"/>
        <v>0</v>
      </c>
      <c r="U221" s="18">
        <f t="shared" si="30"/>
        <v>0</v>
      </c>
      <c r="V221" s="18">
        <f t="shared" si="31"/>
        <v>0</v>
      </c>
      <c r="W221" s="18">
        <f t="shared" si="32"/>
        <v>0</v>
      </c>
    </row>
    <row r="222" spans="1:23" x14ac:dyDescent="0.2">
      <c r="A222" s="17">
        <v>6180</v>
      </c>
      <c r="B222">
        <v>0</v>
      </c>
      <c r="C222">
        <v>0</v>
      </c>
      <c r="D222">
        <v>0</v>
      </c>
      <c r="E222">
        <v>0</v>
      </c>
      <c r="F222">
        <v>0</v>
      </c>
      <c r="G222">
        <v>0</v>
      </c>
      <c r="H222">
        <v>0</v>
      </c>
      <c r="I222">
        <v>0</v>
      </c>
      <c r="J222">
        <v>0</v>
      </c>
      <c r="K222">
        <v>0</v>
      </c>
      <c r="L222">
        <v>0</v>
      </c>
      <c r="M222">
        <v>0</v>
      </c>
      <c r="N222">
        <v>0</v>
      </c>
      <c r="P222" s="18">
        <f t="shared" si="25"/>
        <v>0</v>
      </c>
      <c r="Q222" s="18">
        <f t="shared" si="26"/>
        <v>0</v>
      </c>
      <c r="R222" s="18">
        <f t="shared" si="27"/>
        <v>0</v>
      </c>
      <c r="S222" s="18">
        <f t="shared" si="28"/>
        <v>0</v>
      </c>
      <c r="T222" s="18">
        <f t="shared" si="29"/>
        <v>0</v>
      </c>
      <c r="U222" s="18">
        <f t="shared" si="30"/>
        <v>0</v>
      </c>
      <c r="V222" s="18">
        <f t="shared" si="31"/>
        <v>0</v>
      </c>
      <c r="W222" s="18">
        <f t="shared" si="32"/>
        <v>0</v>
      </c>
    </row>
    <row r="223" spans="1:23" x14ac:dyDescent="0.2">
      <c r="A223" s="17">
        <v>6247</v>
      </c>
      <c r="B223">
        <v>0</v>
      </c>
      <c r="C223">
        <v>0</v>
      </c>
      <c r="D223">
        <v>0</v>
      </c>
      <c r="E223">
        <v>0</v>
      </c>
      <c r="F223">
        <v>0</v>
      </c>
      <c r="G223">
        <v>0</v>
      </c>
      <c r="H223">
        <v>0</v>
      </c>
      <c r="I223">
        <v>0</v>
      </c>
      <c r="J223">
        <v>0</v>
      </c>
      <c r="K223">
        <v>0</v>
      </c>
      <c r="L223">
        <v>0</v>
      </c>
      <c r="M223">
        <v>0</v>
      </c>
      <c r="N223">
        <v>0</v>
      </c>
      <c r="P223" s="18">
        <f t="shared" si="25"/>
        <v>0</v>
      </c>
      <c r="Q223" s="18">
        <f t="shared" si="26"/>
        <v>0</v>
      </c>
      <c r="R223" s="18">
        <f t="shared" si="27"/>
        <v>0</v>
      </c>
      <c r="S223" s="18">
        <f t="shared" si="28"/>
        <v>0</v>
      </c>
      <c r="T223" s="18">
        <f t="shared" si="29"/>
        <v>0</v>
      </c>
      <c r="U223" s="18">
        <f t="shared" si="30"/>
        <v>0</v>
      </c>
      <c r="V223" s="18">
        <f t="shared" si="31"/>
        <v>0</v>
      </c>
      <c r="W223" s="18">
        <f t="shared" si="32"/>
        <v>0</v>
      </c>
    </row>
    <row r="224" spans="1:23" x14ac:dyDescent="0.2">
      <c r="A224" s="17">
        <v>6263</v>
      </c>
      <c r="B224">
        <v>0</v>
      </c>
      <c r="C224">
        <v>0</v>
      </c>
      <c r="D224">
        <v>0</v>
      </c>
      <c r="E224">
        <v>0</v>
      </c>
      <c r="F224">
        <v>0</v>
      </c>
      <c r="G224">
        <v>0</v>
      </c>
      <c r="H224">
        <v>0</v>
      </c>
      <c r="I224">
        <v>0</v>
      </c>
      <c r="J224">
        <v>0</v>
      </c>
      <c r="K224">
        <v>0</v>
      </c>
      <c r="L224">
        <v>0</v>
      </c>
      <c r="M224">
        <v>0</v>
      </c>
      <c r="N224">
        <v>0</v>
      </c>
      <c r="P224" s="18">
        <f t="shared" si="25"/>
        <v>0</v>
      </c>
      <c r="Q224" s="18">
        <f t="shared" si="26"/>
        <v>0</v>
      </c>
      <c r="R224" s="18">
        <f t="shared" si="27"/>
        <v>0</v>
      </c>
      <c r="S224" s="18">
        <f t="shared" si="28"/>
        <v>0</v>
      </c>
      <c r="T224" s="18">
        <f t="shared" si="29"/>
        <v>0</v>
      </c>
      <c r="U224" s="18">
        <f t="shared" si="30"/>
        <v>0</v>
      </c>
      <c r="V224" s="18">
        <f t="shared" si="31"/>
        <v>0</v>
      </c>
      <c r="W224" s="18">
        <f t="shared" si="32"/>
        <v>0</v>
      </c>
    </row>
    <row r="225" spans="1:23" x14ac:dyDescent="0.2">
      <c r="A225" s="17">
        <v>6265</v>
      </c>
      <c r="B225">
        <v>0</v>
      </c>
      <c r="C225">
        <v>0</v>
      </c>
      <c r="D225">
        <v>0</v>
      </c>
      <c r="E225">
        <v>0</v>
      </c>
      <c r="F225">
        <v>0</v>
      </c>
      <c r="G225">
        <v>0</v>
      </c>
      <c r="H225">
        <v>0</v>
      </c>
      <c r="I225">
        <v>0</v>
      </c>
      <c r="J225">
        <v>0</v>
      </c>
      <c r="K225">
        <v>0</v>
      </c>
      <c r="L225">
        <v>0</v>
      </c>
      <c r="M225">
        <v>0</v>
      </c>
      <c r="N225">
        <v>0</v>
      </c>
      <c r="P225" s="18">
        <f t="shared" si="25"/>
        <v>0</v>
      </c>
      <c r="Q225" s="18">
        <f t="shared" si="26"/>
        <v>0</v>
      </c>
      <c r="R225" s="18">
        <f t="shared" si="27"/>
        <v>0</v>
      </c>
      <c r="S225" s="18">
        <f t="shared" si="28"/>
        <v>0</v>
      </c>
      <c r="T225" s="18">
        <f t="shared" si="29"/>
        <v>0</v>
      </c>
      <c r="U225" s="18">
        <f t="shared" si="30"/>
        <v>0</v>
      </c>
      <c r="V225" s="18">
        <f t="shared" si="31"/>
        <v>0</v>
      </c>
      <c r="W225" s="18">
        <f t="shared" si="32"/>
        <v>0</v>
      </c>
    </row>
    <row r="226" spans="1:23" x14ac:dyDescent="0.2">
      <c r="A226" s="17">
        <v>6268</v>
      </c>
      <c r="B226">
        <v>0</v>
      </c>
      <c r="C226">
        <v>0</v>
      </c>
      <c r="D226">
        <v>0</v>
      </c>
      <c r="E226">
        <v>0</v>
      </c>
      <c r="F226">
        <v>0</v>
      </c>
      <c r="G226">
        <v>0</v>
      </c>
      <c r="H226">
        <v>0</v>
      </c>
      <c r="I226">
        <v>0</v>
      </c>
      <c r="J226">
        <v>0</v>
      </c>
      <c r="K226">
        <v>0</v>
      </c>
      <c r="L226">
        <v>0</v>
      </c>
      <c r="M226">
        <v>0</v>
      </c>
      <c r="N226">
        <v>0</v>
      </c>
      <c r="P226" s="18">
        <f t="shared" si="25"/>
        <v>0</v>
      </c>
      <c r="Q226" s="18">
        <f t="shared" si="26"/>
        <v>0</v>
      </c>
      <c r="R226" s="18">
        <f t="shared" si="27"/>
        <v>0</v>
      </c>
      <c r="S226" s="18">
        <f t="shared" si="28"/>
        <v>0</v>
      </c>
      <c r="T226" s="18">
        <f t="shared" si="29"/>
        <v>0</v>
      </c>
      <c r="U226" s="18">
        <f t="shared" si="30"/>
        <v>0</v>
      </c>
      <c r="V226" s="18">
        <f t="shared" si="31"/>
        <v>0</v>
      </c>
      <c r="W226" s="18">
        <f t="shared" si="32"/>
        <v>0</v>
      </c>
    </row>
    <row r="227" spans="1:23" x14ac:dyDescent="0.2">
      <c r="A227" s="17">
        <v>6336</v>
      </c>
      <c r="B227">
        <v>0</v>
      </c>
      <c r="C227">
        <v>0</v>
      </c>
      <c r="D227">
        <v>0</v>
      </c>
      <c r="E227">
        <v>0</v>
      </c>
      <c r="F227">
        <v>0</v>
      </c>
      <c r="G227">
        <v>0</v>
      </c>
      <c r="H227">
        <v>0</v>
      </c>
      <c r="I227">
        <v>0</v>
      </c>
      <c r="J227">
        <v>0</v>
      </c>
      <c r="K227">
        <v>0</v>
      </c>
      <c r="L227">
        <v>0</v>
      </c>
      <c r="M227">
        <v>0</v>
      </c>
      <c r="N227">
        <v>0</v>
      </c>
      <c r="P227" s="18">
        <f t="shared" si="25"/>
        <v>0</v>
      </c>
      <c r="Q227" s="18">
        <f t="shared" si="26"/>
        <v>0</v>
      </c>
      <c r="R227" s="18">
        <f t="shared" si="27"/>
        <v>0</v>
      </c>
      <c r="S227" s="18">
        <f t="shared" si="28"/>
        <v>0</v>
      </c>
      <c r="T227" s="18">
        <f t="shared" si="29"/>
        <v>0</v>
      </c>
      <c r="U227" s="18">
        <f t="shared" si="30"/>
        <v>0</v>
      </c>
      <c r="V227" s="18">
        <f t="shared" si="31"/>
        <v>0</v>
      </c>
      <c r="W227" s="18">
        <f t="shared" si="32"/>
        <v>0</v>
      </c>
    </row>
    <row r="228" spans="1:23" x14ac:dyDescent="0.2">
      <c r="A228" s="17">
        <v>6339</v>
      </c>
      <c r="B228">
        <v>0</v>
      </c>
      <c r="C228">
        <v>0</v>
      </c>
      <c r="D228">
        <v>0</v>
      </c>
      <c r="E228">
        <v>0</v>
      </c>
      <c r="F228">
        <v>0</v>
      </c>
      <c r="G228">
        <v>0</v>
      </c>
      <c r="H228">
        <v>0</v>
      </c>
      <c r="I228">
        <v>0</v>
      </c>
      <c r="J228">
        <v>0</v>
      </c>
      <c r="K228">
        <v>0</v>
      </c>
      <c r="L228">
        <v>0</v>
      </c>
      <c r="M228">
        <v>0</v>
      </c>
      <c r="N228">
        <v>0</v>
      </c>
      <c r="P228" s="18">
        <f t="shared" si="25"/>
        <v>0</v>
      </c>
      <c r="Q228" s="18">
        <f t="shared" si="26"/>
        <v>0</v>
      </c>
      <c r="R228" s="18">
        <f t="shared" si="27"/>
        <v>0</v>
      </c>
      <c r="S228" s="18">
        <f t="shared" si="28"/>
        <v>0</v>
      </c>
      <c r="T228" s="18">
        <f t="shared" si="29"/>
        <v>0</v>
      </c>
      <c r="U228" s="18">
        <f t="shared" si="30"/>
        <v>0</v>
      </c>
      <c r="V228" s="18">
        <f t="shared" si="31"/>
        <v>0</v>
      </c>
      <c r="W228" s="18">
        <f t="shared" si="32"/>
        <v>0</v>
      </c>
    </row>
    <row r="229" spans="1:23" x14ac:dyDescent="0.2">
      <c r="A229" s="17">
        <v>6333</v>
      </c>
      <c r="B229">
        <v>0</v>
      </c>
      <c r="C229">
        <v>0</v>
      </c>
      <c r="D229">
        <v>0</v>
      </c>
      <c r="E229">
        <v>0</v>
      </c>
      <c r="F229">
        <v>0</v>
      </c>
      <c r="G229">
        <v>0</v>
      </c>
      <c r="H229">
        <v>0</v>
      </c>
      <c r="I229">
        <v>0</v>
      </c>
      <c r="J229">
        <v>0</v>
      </c>
      <c r="K229">
        <v>0</v>
      </c>
      <c r="L229">
        <v>0</v>
      </c>
      <c r="M229">
        <v>0</v>
      </c>
      <c r="N229">
        <v>0</v>
      </c>
      <c r="P229" s="18">
        <f t="shared" si="25"/>
        <v>0</v>
      </c>
      <c r="Q229" s="18">
        <f t="shared" si="26"/>
        <v>0</v>
      </c>
      <c r="R229" s="18">
        <f t="shared" si="27"/>
        <v>0</v>
      </c>
      <c r="S229" s="18">
        <f t="shared" si="28"/>
        <v>0</v>
      </c>
      <c r="T229" s="18">
        <f t="shared" si="29"/>
        <v>0</v>
      </c>
      <c r="U229" s="18">
        <f t="shared" si="30"/>
        <v>0</v>
      </c>
      <c r="V229" s="18">
        <f t="shared" si="31"/>
        <v>0</v>
      </c>
      <c r="W229" s="18">
        <f t="shared" si="32"/>
        <v>0</v>
      </c>
    </row>
    <row r="230" spans="1:23" x14ac:dyDescent="0.2">
      <c r="A230" s="17">
        <v>6278</v>
      </c>
      <c r="B230">
        <v>0</v>
      </c>
      <c r="C230">
        <v>0</v>
      </c>
      <c r="D230">
        <v>0</v>
      </c>
      <c r="E230">
        <v>0</v>
      </c>
      <c r="F230">
        <v>0</v>
      </c>
      <c r="G230">
        <v>0</v>
      </c>
      <c r="H230">
        <v>0</v>
      </c>
      <c r="I230">
        <v>0</v>
      </c>
      <c r="J230">
        <v>0</v>
      </c>
      <c r="K230">
        <v>0</v>
      </c>
      <c r="L230">
        <v>0</v>
      </c>
      <c r="M230">
        <v>0</v>
      </c>
      <c r="N230">
        <v>0</v>
      </c>
      <c r="P230" s="18">
        <f t="shared" si="25"/>
        <v>0</v>
      </c>
      <c r="Q230" s="18">
        <f t="shared" si="26"/>
        <v>0</v>
      </c>
      <c r="R230" s="18">
        <f t="shared" si="27"/>
        <v>0</v>
      </c>
      <c r="S230" s="18">
        <f t="shared" si="28"/>
        <v>0</v>
      </c>
      <c r="T230" s="18">
        <f t="shared" si="29"/>
        <v>0</v>
      </c>
      <c r="U230" s="18">
        <f t="shared" si="30"/>
        <v>0</v>
      </c>
      <c r="V230" s="18">
        <f t="shared" si="31"/>
        <v>0</v>
      </c>
      <c r="W230" s="18">
        <f t="shared" si="32"/>
        <v>0</v>
      </c>
    </row>
    <row r="231" spans="1:23" x14ac:dyDescent="0.2">
      <c r="A231" s="17">
        <v>6061</v>
      </c>
      <c r="B231">
        <v>0</v>
      </c>
      <c r="C231">
        <v>0</v>
      </c>
      <c r="D231">
        <v>0</v>
      </c>
      <c r="E231">
        <v>0</v>
      </c>
      <c r="F231">
        <v>0</v>
      </c>
      <c r="G231">
        <v>0</v>
      </c>
      <c r="H231">
        <v>0</v>
      </c>
      <c r="I231">
        <v>0</v>
      </c>
      <c r="J231">
        <v>0</v>
      </c>
      <c r="K231">
        <v>0</v>
      </c>
      <c r="L231">
        <v>0</v>
      </c>
      <c r="M231">
        <v>0</v>
      </c>
      <c r="N231">
        <v>0</v>
      </c>
      <c r="P231" s="18">
        <f t="shared" si="25"/>
        <v>0</v>
      </c>
      <c r="Q231" s="18">
        <f t="shared" si="26"/>
        <v>0</v>
      </c>
      <c r="R231" s="18">
        <f t="shared" si="27"/>
        <v>0</v>
      </c>
      <c r="S231" s="18">
        <f t="shared" si="28"/>
        <v>0</v>
      </c>
      <c r="T231" s="18">
        <f t="shared" si="29"/>
        <v>0</v>
      </c>
      <c r="U231" s="18">
        <f t="shared" si="30"/>
        <v>0</v>
      </c>
      <c r="V231" s="18">
        <f t="shared" si="31"/>
        <v>0</v>
      </c>
      <c r="W231" s="18">
        <f t="shared" si="32"/>
        <v>0</v>
      </c>
    </row>
    <row r="232" spans="1:23" x14ac:dyDescent="0.2">
      <c r="A232" s="17">
        <v>6281</v>
      </c>
      <c r="B232">
        <v>0</v>
      </c>
      <c r="C232">
        <v>0</v>
      </c>
      <c r="D232">
        <v>0</v>
      </c>
      <c r="E232">
        <v>0</v>
      </c>
      <c r="F232">
        <v>0</v>
      </c>
      <c r="G232">
        <v>0</v>
      </c>
      <c r="H232">
        <v>0</v>
      </c>
      <c r="I232">
        <v>0</v>
      </c>
      <c r="J232">
        <v>0</v>
      </c>
      <c r="K232">
        <v>0</v>
      </c>
      <c r="L232">
        <v>0</v>
      </c>
      <c r="M232">
        <v>0</v>
      </c>
      <c r="N232">
        <v>0</v>
      </c>
      <c r="P232" s="18">
        <f t="shared" si="25"/>
        <v>0</v>
      </c>
      <c r="Q232" s="18">
        <f t="shared" si="26"/>
        <v>0</v>
      </c>
      <c r="R232" s="18">
        <f t="shared" si="27"/>
        <v>0</v>
      </c>
      <c r="S232" s="18">
        <f t="shared" si="28"/>
        <v>0</v>
      </c>
      <c r="T232" s="18">
        <f t="shared" si="29"/>
        <v>0</v>
      </c>
      <c r="U232" s="18">
        <f t="shared" si="30"/>
        <v>0</v>
      </c>
      <c r="V232" s="18">
        <f t="shared" si="31"/>
        <v>0</v>
      </c>
      <c r="W232" s="18">
        <f t="shared" si="32"/>
        <v>0</v>
      </c>
    </row>
    <row r="233" spans="1:23" x14ac:dyDescent="0.2">
      <c r="A233" s="17">
        <v>6286</v>
      </c>
      <c r="B233">
        <v>0</v>
      </c>
      <c r="C233">
        <v>0</v>
      </c>
      <c r="D233">
        <v>0</v>
      </c>
      <c r="E233">
        <v>0</v>
      </c>
      <c r="F233">
        <v>0</v>
      </c>
      <c r="G233">
        <v>0</v>
      </c>
      <c r="H233">
        <v>0</v>
      </c>
      <c r="I233">
        <v>0</v>
      </c>
      <c r="J233">
        <v>0</v>
      </c>
      <c r="K233">
        <v>0</v>
      </c>
      <c r="L233">
        <v>0</v>
      </c>
      <c r="M233">
        <v>0</v>
      </c>
      <c r="N233">
        <v>0</v>
      </c>
      <c r="P233" s="18">
        <f t="shared" si="25"/>
        <v>0</v>
      </c>
      <c r="Q233" s="18">
        <f t="shared" si="26"/>
        <v>0</v>
      </c>
      <c r="R233" s="18">
        <f t="shared" si="27"/>
        <v>0</v>
      </c>
      <c r="S233" s="18">
        <f t="shared" si="28"/>
        <v>0</v>
      </c>
      <c r="T233" s="18">
        <f t="shared" si="29"/>
        <v>0</v>
      </c>
      <c r="U233" s="18">
        <f t="shared" si="30"/>
        <v>0</v>
      </c>
      <c r="V233" s="18">
        <f t="shared" si="31"/>
        <v>0</v>
      </c>
      <c r="W233" s="18">
        <f t="shared" si="32"/>
        <v>0</v>
      </c>
    </row>
    <row r="234" spans="1:23" x14ac:dyDescent="0.2">
      <c r="A234" s="17">
        <v>6289</v>
      </c>
      <c r="B234">
        <v>0</v>
      </c>
      <c r="C234">
        <v>0</v>
      </c>
      <c r="D234">
        <v>0</v>
      </c>
      <c r="E234">
        <v>0</v>
      </c>
      <c r="F234">
        <v>0</v>
      </c>
      <c r="G234">
        <v>0</v>
      </c>
      <c r="H234">
        <v>0</v>
      </c>
      <c r="I234">
        <v>0</v>
      </c>
      <c r="J234">
        <v>0</v>
      </c>
      <c r="K234">
        <v>0</v>
      </c>
      <c r="L234">
        <v>0</v>
      </c>
      <c r="M234">
        <v>0</v>
      </c>
      <c r="N234">
        <v>0</v>
      </c>
      <c r="P234" s="18">
        <f t="shared" si="25"/>
        <v>0</v>
      </c>
      <c r="Q234" s="18">
        <f t="shared" si="26"/>
        <v>0</v>
      </c>
      <c r="R234" s="18">
        <f t="shared" si="27"/>
        <v>0</v>
      </c>
      <c r="S234" s="18">
        <f t="shared" si="28"/>
        <v>0</v>
      </c>
      <c r="T234" s="18">
        <f t="shared" si="29"/>
        <v>0</v>
      </c>
      <c r="U234" s="18">
        <f t="shared" si="30"/>
        <v>0</v>
      </c>
      <c r="V234" s="18">
        <f t="shared" si="31"/>
        <v>0</v>
      </c>
      <c r="W234" s="18">
        <f t="shared" si="32"/>
        <v>0</v>
      </c>
    </row>
    <row r="235" spans="1:23" x14ac:dyDescent="0.2">
      <c r="A235" s="17">
        <v>6291</v>
      </c>
      <c r="B235">
        <v>0</v>
      </c>
      <c r="C235">
        <v>0</v>
      </c>
      <c r="D235">
        <v>0</v>
      </c>
      <c r="E235">
        <v>0</v>
      </c>
      <c r="F235">
        <v>0</v>
      </c>
      <c r="G235">
        <v>0</v>
      </c>
      <c r="H235">
        <v>0</v>
      </c>
      <c r="I235">
        <v>0</v>
      </c>
      <c r="J235">
        <v>0</v>
      </c>
      <c r="K235">
        <v>0</v>
      </c>
      <c r="L235">
        <v>0</v>
      </c>
      <c r="M235">
        <v>0</v>
      </c>
      <c r="N235">
        <v>0</v>
      </c>
      <c r="P235" s="18">
        <f t="shared" si="25"/>
        <v>0</v>
      </c>
      <c r="Q235" s="18">
        <f t="shared" si="26"/>
        <v>0</v>
      </c>
      <c r="R235" s="18">
        <f t="shared" si="27"/>
        <v>0</v>
      </c>
      <c r="S235" s="18">
        <f t="shared" si="28"/>
        <v>0</v>
      </c>
      <c r="T235" s="18">
        <f t="shared" si="29"/>
        <v>0</v>
      </c>
      <c r="U235" s="18">
        <f t="shared" si="30"/>
        <v>0</v>
      </c>
      <c r="V235" s="18">
        <f t="shared" si="31"/>
        <v>0</v>
      </c>
      <c r="W235" s="18">
        <f t="shared" si="32"/>
        <v>0</v>
      </c>
    </row>
    <row r="236" spans="1:23" x14ac:dyDescent="0.2">
      <c r="A236" s="17">
        <v>6322</v>
      </c>
      <c r="B236">
        <v>0</v>
      </c>
      <c r="C236">
        <v>0</v>
      </c>
      <c r="D236">
        <v>0</v>
      </c>
      <c r="E236">
        <v>0</v>
      </c>
      <c r="F236">
        <v>0</v>
      </c>
      <c r="G236">
        <v>0</v>
      </c>
      <c r="H236">
        <v>0</v>
      </c>
      <c r="I236">
        <v>0</v>
      </c>
      <c r="J236">
        <v>0</v>
      </c>
      <c r="K236">
        <v>0</v>
      </c>
      <c r="L236">
        <v>0</v>
      </c>
      <c r="M236">
        <v>0</v>
      </c>
      <c r="N236">
        <v>0</v>
      </c>
      <c r="P236" s="18">
        <f t="shared" si="25"/>
        <v>0</v>
      </c>
      <c r="Q236" s="18">
        <f t="shared" si="26"/>
        <v>0</v>
      </c>
      <c r="R236" s="18">
        <f t="shared" si="27"/>
        <v>0</v>
      </c>
      <c r="S236" s="18">
        <f t="shared" si="28"/>
        <v>0</v>
      </c>
      <c r="T236" s="18">
        <f t="shared" si="29"/>
        <v>0</v>
      </c>
      <c r="U236" s="18">
        <f t="shared" si="30"/>
        <v>0</v>
      </c>
      <c r="V236" s="18">
        <f t="shared" si="31"/>
        <v>0</v>
      </c>
      <c r="W236" s="18">
        <f t="shared" si="32"/>
        <v>0</v>
      </c>
    </row>
    <row r="237" spans="1:23" x14ac:dyDescent="0.2">
      <c r="A237" s="17">
        <v>6305</v>
      </c>
      <c r="B237">
        <v>0</v>
      </c>
      <c r="C237">
        <v>0</v>
      </c>
      <c r="D237">
        <v>0</v>
      </c>
      <c r="E237">
        <v>0</v>
      </c>
      <c r="F237">
        <v>0</v>
      </c>
      <c r="G237">
        <v>0</v>
      </c>
      <c r="H237">
        <v>0</v>
      </c>
      <c r="I237">
        <v>0</v>
      </c>
      <c r="J237">
        <v>0</v>
      </c>
      <c r="K237">
        <v>0</v>
      </c>
      <c r="L237">
        <v>0</v>
      </c>
      <c r="M237">
        <v>0</v>
      </c>
      <c r="N237">
        <v>0</v>
      </c>
      <c r="P237" s="18">
        <f t="shared" si="25"/>
        <v>0</v>
      </c>
      <c r="Q237" s="18">
        <f t="shared" si="26"/>
        <v>0</v>
      </c>
      <c r="R237" s="18">
        <f t="shared" si="27"/>
        <v>0</v>
      </c>
      <c r="S237" s="18">
        <f t="shared" si="28"/>
        <v>0</v>
      </c>
      <c r="T237" s="18">
        <f t="shared" si="29"/>
        <v>0</v>
      </c>
      <c r="U237" s="18">
        <f t="shared" si="30"/>
        <v>0</v>
      </c>
      <c r="V237" s="18">
        <f t="shared" si="31"/>
        <v>0</v>
      </c>
      <c r="W237" s="18">
        <f t="shared" si="32"/>
        <v>0</v>
      </c>
    </row>
    <row r="238" spans="1:23" x14ac:dyDescent="0.2">
      <c r="A238" s="17">
        <v>6342</v>
      </c>
      <c r="B238">
        <v>0</v>
      </c>
      <c r="C238">
        <v>0</v>
      </c>
      <c r="D238">
        <v>0</v>
      </c>
      <c r="E238">
        <v>0</v>
      </c>
      <c r="F238">
        <v>0</v>
      </c>
      <c r="G238">
        <v>0</v>
      </c>
      <c r="H238">
        <v>0</v>
      </c>
      <c r="I238">
        <v>0</v>
      </c>
      <c r="J238">
        <v>0</v>
      </c>
      <c r="K238">
        <v>0</v>
      </c>
      <c r="L238">
        <v>0</v>
      </c>
      <c r="M238">
        <v>0</v>
      </c>
      <c r="N238">
        <v>0</v>
      </c>
      <c r="P238" s="18">
        <f t="shared" si="25"/>
        <v>0</v>
      </c>
      <c r="Q238" s="18">
        <f t="shared" si="26"/>
        <v>0</v>
      </c>
      <c r="R238" s="18">
        <f t="shared" si="27"/>
        <v>0</v>
      </c>
      <c r="S238" s="18">
        <f t="shared" si="28"/>
        <v>0</v>
      </c>
      <c r="T238" s="18">
        <f t="shared" si="29"/>
        <v>0</v>
      </c>
      <c r="U238" s="18">
        <f t="shared" si="30"/>
        <v>0</v>
      </c>
      <c r="V238" s="18">
        <f t="shared" si="31"/>
        <v>0</v>
      </c>
      <c r="W238" s="18">
        <f t="shared" si="32"/>
        <v>0</v>
      </c>
    </row>
    <row r="239" spans="1:23" x14ac:dyDescent="0.2">
      <c r="A239" s="17">
        <v>6344</v>
      </c>
      <c r="B239">
        <v>0</v>
      </c>
      <c r="C239">
        <v>0</v>
      </c>
      <c r="D239">
        <v>0</v>
      </c>
      <c r="E239">
        <v>0</v>
      </c>
      <c r="F239">
        <v>0</v>
      </c>
      <c r="G239">
        <v>0</v>
      </c>
      <c r="H239">
        <v>0</v>
      </c>
      <c r="I239">
        <v>0</v>
      </c>
      <c r="J239">
        <v>0</v>
      </c>
      <c r="K239">
        <v>0</v>
      </c>
      <c r="L239">
        <v>0</v>
      </c>
      <c r="M239">
        <v>0</v>
      </c>
      <c r="N239">
        <v>0</v>
      </c>
      <c r="P239" s="18">
        <f t="shared" si="25"/>
        <v>0</v>
      </c>
      <c r="Q239" s="18">
        <f t="shared" si="26"/>
        <v>0</v>
      </c>
      <c r="R239" s="18">
        <f t="shared" si="27"/>
        <v>0</v>
      </c>
      <c r="S239" s="18">
        <f t="shared" si="28"/>
        <v>0</v>
      </c>
      <c r="T239" s="18">
        <f t="shared" si="29"/>
        <v>0</v>
      </c>
      <c r="U239" s="18">
        <f t="shared" si="30"/>
        <v>0</v>
      </c>
      <c r="V239" s="18">
        <f t="shared" si="31"/>
        <v>0</v>
      </c>
      <c r="W239" s="18">
        <f t="shared" si="32"/>
        <v>0</v>
      </c>
    </row>
    <row r="240" spans="1:23" x14ac:dyDescent="0.2">
      <c r="A240" s="17">
        <v>6348</v>
      </c>
      <c r="B240">
        <v>0</v>
      </c>
      <c r="C240">
        <v>0</v>
      </c>
      <c r="D240">
        <v>0</v>
      </c>
      <c r="E240">
        <v>0</v>
      </c>
      <c r="F240">
        <v>0</v>
      </c>
      <c r="G240">
        <v>0</v>
      </c>
      <c r="H240">
        <v>0</v>
      </c>
      <c r="I240">
        <v>0</v>
      </c>
      <c r="J240">
        <v>0</v>
      </c>
      <c r="K240">
        <v>0</v>
      </c>
      <c r="L240">
        <v>0</v>
      </c>
      <c r="M240">
        <v>0</v>
      </c>
      <c r="N240">
        <v>0</v>
      </c>
      <c r="P240" s="18">
        <f t="shared" si="25"/>
        <v>0</v>
      </c>
      <c r="Q240" s="18">
        <f t="shared" si="26"/>
        <v>0</v>
      </c>
      <c r="R240" s="18">
        <f t="shared" si="27"/>
        <v>0</v>
      </c>
      <c r="S240" s="18">
        <f t="shared" si="28"/>
        <v>0</v>
      </c>
      <c r="T240" s="18">
        <f t="shared" si="29"/>
        <v>0</v>
      </c>
      <c r="U240" s="18">
        <f t="shared" si="30"/>
        <v>0</v>
      </c>
      <c r="V240" s="18">
        <f t="shared" si="31"/>
        <v>0</v>
      </c>
      <c r="W240" s="18">
        <f t="shared" si="32"/>
        <v>0</v>
      </c>
    </row>
    <row r="241" spans="1:23" x14ac:dyDescent="0.2">
      <c r="A241" s="17">
        <v>6346</v>
      </c>
      <c r="B241">
        <v>0</v>
      </c>
      <c r="C241">
        <v>0</v>
      </c>
      <c r="D241">
        <v>0</v>
      </c>
      <c r="E241">
        <v>0</v>
      </c>
      <c r="F241">
        <v>0</v>
      </c>
      <c r="G241">
        <v>0</v>
      </c>
      <c r="H241">
        <v>0</v>
      </c>
      <c r="I241">
        <v>0</v>
      </c>
      <c r="J241">
        <v>0</v>
      </c>
      <c r="K241">
        <v>0</v>
      </c>
      <c r="L241">
        <v>0</v>
      </c>
      <c r="M241">
        <v>0</v>
      </c>
      <c r="N241">
        <v>0</v>
      </c>
      <c r="P241" s="18">
        <f t="shared" si="25"/>
        <v>0</v>
      </c>
      <c r="Q241" s="18">
        <f t="shared" si="26"/>
        <v>0</v>
      </c>
      <c r="R241" s="18">
        <f t="shared" si="27"/>
        <v>0</v>
      </c>
      <c r="S241" s="18">
        <f t="shared" si="28"/>
        <v>0</v>
      </c>
      <c r="T241" s="18">
        <f t="shared" si="29"/>
        <v>0</v>
      </c>
      <c r="U241" s="18">
        <f t="shared" si="30"/>
        <v>0</v>
      </c>
      <c r="V241" s="18">
        <f t="shared" si="31"/>
        <v>0</v>
      </c>
      <c r="W241" s="18">
        <f t="shared" si="32"/>
        <v>0</v>
      </c>
    </row>
    <row r="242" spans="1:23" x14ac:dyDescent="0.2">
      <c r="A242" s="17">
        <v>6345</v>
      </c>
      <c r="B242">
        <v>0</v>
      </c>
      <c r="C242">
        <v>0</v>
      </c>
      <c r="D242">
        <v>0</v>
      </c>
      <c r="E242">
        <v>0</v>
      </c>
      <c r="F242">
        <v>0</v>
      </c>
      <c r="G242">
        <v>0</v>
      </c>
      <c r="H242">
        <v>0</v>
      </c>
      <c r="I242">
        <v>0</v>
      </c>
      <c r="J242">
        <v>0</v>
      </c>
      <c r="K242">
        <v>0</v>
      </c>
      <c r="L242">
        <v>0</v>
      </c>
      <c r="M242">
        <v>0</v>
      </c>
      <c r="N242">
        <v>0</v>
      </c>
      <c r="P242" s="18">
        <f t="shared" si="25"/>
        <v>0</v>
      </c>
      <c r="Q242" s="18">
        <f t="shared" si="26"/>
        <v>0</v>
      </c>
      <c r="R242" s="18">
        <f t="shared" si="27"/>
        <v>0</v>
      </c>
      <c r="S242" s="18">
        <f t="shared" si="28"/>
        <v>0</v>
      </c>
      <c r="T242" s="18">
        <f t="shared" si="29"/>
        <v>0</v>
      </c>
      <c r="U242" s="18">
        <f t="shared" si="30"/>
        <v>0</v>
      </c>
      <c r="V242" s="18">
        <f t="shared" si="31"/>
        <v>0</v>
      </c>
      <c r="W242" s="18">
        <f t="shared" si="32"/>
        <v>0</v>
      </c>
    </row>
    <row r="243" spans="1:23" x14ac:dyDescent="0.2">
      <c r="A243" s="17">
        <v>6352</v>
      </c>
      <c r="B243">
        <v>0</v>
      </c>
      <c r="C243">
        <v>0</v>
      </c>
      <c r="D243">
        <v>0</v>
      </c>
      <c r="E243">
        <v>0</v>
      </c>
      <c r="F243">
        <v>0</v>
      </c>
      <c r="G243">
        <v>0</v>
      </c>
      <c r="H243">
        <v>0</v>
      </c>
      <c r="I243">
        <v>0</v>
      </c>
      <c r="J243">
        <v>0</v>
      </c>
      <c r="K243">
        <v>0</v>
      </c>
      <c r="L243">
        <v>0</v>
      </c>
      <c r="M243">
        <v>0</v>
      </c>
      <c r="N243">
        <v>0</v>
      </c>
      <c r="P243" s="18">
        <f t="shared" si="25"/>
        <v>0</v>
      </c>
      <c r="Q243" s="18">
        <f t="shared" si="26"/>
        <v>0</v>
      </c>
      <c r="R243" s="18">
        <f t="shared" si="27"/>
        <v>0</v>
      </c>
      <c r="S243" s="18">
        <f t="shared" si="28"/>
        <v>0</v>
      </c>
      <c r="T243" s="18">
        <f t="shared" si="29"/>
        <v>0</v>
      </c>
      <c r="U243" s="18">
        <f t="shared" si="30"/>
        <v>0</v>
      </c>
      <c r="V243" s="18">
        <f t="shared" si="31"/>
        <v>0</v>
      </c>
      <c r="W243" s="18">
        <f t="shared" si="32"/>
        <v>0</v>
      </c>
    </row>
    <row r="244" spans="1:23" x14ac:dyDescent="0.2">
      <c r="A244" s="17">
        <v>6353</v>
      </c>
      <c r="B244">
        <v>0</v>
      </c>
      <c r="C244">
        <v>0</v>
      </c>
      <c r="D244">
        <v>0</v>
      </c>
      <c r="E244">
        <v>0</v>
      </c>
      <c r="F244">
        <v>0</v>
      </c>
      <c r="G244">
        <v>0</v>
      </c>
      <c r="H244">
        <v>0</v>
      </c>
      <c r="I244">
        <v>0</v>
      </c>
      <c r="J244">
        <v>0</v>
      </c>
      <c r="K244">
        <v>0</v>
      </c>
      <c r="L244">
        <v>0</v>
      </c>
      <c r="M244">
        <v>0</v>
      </c>
      <c r="N244">
        <v>0</v>
      </c>
      <c r="P244" s="18">
        <f t="shared" si="25"/>
        <v>0</v>
      </c>
      <c r="Q244" s="18">
        <f t="shared" si="26"/>
        <v>0</v>
      </c>
      <c r="R244" s="18">
        <f t="shared" si="27"/>
        <v>0</v>
      </c>
      <c r="S244" s="18">
        <f t="shared" si="28"/>
        <v>0</v>
      </c>
      <c r="T244" s="18">
        <f t="shared" si="29"/>
        <v>0</v>
      </c>
      <c r="U244" s="18">
        <f t="shared" si="30"/>
        <v>0</v>
      </c>
      <c r="V244" s="18">
        <f t="shared" si="31"/>
        <v>0</v>
      </c>
      <c r="W244" s="18">
        <f t="shared" si="32"/>
        <v>0</v>
      </c>
    </row>
    <row r="245" spans="1:23" x14ac:dyDescent="0.2">
      <c r="A245" s="17">
        <v>6358</v>
      </c>
      <c r="B245">
        <v>0</v>
      </c>
      <c r="C245">
        <v>0</v>
      </c>
      <c r="D245">
        <v>0</v>
      </c>
      <c r="E245">
        <v>0</v>
      </c>
      <c r="F245">
        <v>0</v>
      </c>
      <c r="G245">
        <v>0</v>
      </c>
      <c r="H245">
        <v>0</v>
      </c>
      <c r="I245">
        <v>0</v>
      </c>
      <c r="J245">
        <v>0</v>
      </c>
      <c r="K245">
        <v>0</v>
      </c>
      <c r="L245">
        <v>0</v>
      </c>
      <c r="M245">
        <v>0</v>
      </c>
      <c r="N245">
        <v>0</v>
      </c>
      <c r="P245" s="18">
        <f t="shared" si="25"/>
        <v>0</v>
      </c>
      <c r="Q245" s="18">
        <f t="shared" si="26"/>
        <v>0</v>
      </c>
      <c r="R245" s="18">
        <f t="shared" si="27"/>
        <v>0</v>
      </c>
      <c r="S245" s="18">
        <f t="shared" si="28"/>
        <v>0</v>
      </c>
      <c r="T245" s="18">
        <f t="shared" si="29"/>
        <v>0</v>
      </c>
      <c r="U245" s="18">
        <f t="shared" si="30"/>
        <v>0</v>
      </c>
      <c r="V245" s="18">
        <f t="shared" si="31"/>
        <v>0</v>
      </c>
      <c r="W245" s="18">
        <f t="shared" si="32"/>
        <v>0</v>
      </c>
    </row>
    <row r="246" spans="1:23" x14ac:dyDescent="0.2">
      <c r="A246" s="17">
        <v>6363</v>
      </c>
      <c r="B246">
        <v>0</v>
      </c>
      <c r="C246">
        <v>0</v>
      </c>
      <c r="D246">
        <v>0</v>
      </c>
      <c r="E246">
        <v>0</v>
      </c>
      <c r="F246">
        <v>0</v>
      </c>
      <c r="G246">
        <v>0</v>
      </c>
      <c r="H246">
        <v>0</v>
      </c>
      <c r="I246">
        <v>0</v>
      </c>
      <c r="J246">
        <v>0</v>
      </c>
      <c r="K246">
        <v>0</v>
      </c>
      <c r="L246">
        <v>0</v>
      </c>
      <c r="M246">
        <v>0</v>
      </c>
      <c r="N246">
        <v>0</v>
      </c>
      <c r="P246" s="18">
        <f t="shared" si="25"/>
        <v>0</v>
      </c>
      <c r="Q246" s="18">
        <f t="shared" si="26"/>
        <v>0</v>
      </c>
      <c r="R246" s="18">
        <f t="shared" si="27"/>
        <v>0</v>
      </c>
      <c r="S246" s="18">
        <f t="shared" si="28"/>
        <v>0</v>
      </c>
      <c r="T246" s="18">
        <f t="shared" si="29"/>
        <v>0</v>
      </c>
      <c r="U246" s="18">
        <f t="shared" si="30"/>
        <v>0</v>
      </c>
      <c r="V246" s="18">
        <f t="shared" si="31"/>
        <v>0</v>
      </c>
      <c r="W246" s="18">
        <f t="shared" si="32"/>
        <v>0</v>
      </c>
    </row>
    <row r="247" spans="1:23" x14ac:dyDescent="0.2">
      <c r="A247" s="17">
        <v>6376</v>
      </c>
      <c r="B247">
        <v>0</v>
      </c>
      <c r="C247">
        <v>0</v>
      </c>
      <c r="D247">
        <v>0</v>
      </c>
      <c r="E247">
        <v>0</v>
      </c>
      <c r="F247">
        <v>0</v>
      </c>
      <c r="G247">
        <v>0</v>
      </c>
      <c r="H247">
        <v>0</v>
      </c>
      <c r="I247">
        <v>0</v>
      </c>
      <c r="J247">
        <v>0</v>
      </c>
      <c r="K247">
        <v>0</v>
      </c>
      <c r="L247">
        <v>0</v>
      </c>
      <c r="M247">
        <v>0</v>
      </c>
      <c r="N247">
        <v>0</v>
      </c>
      <c r="P247" s="18">
        <f t="shared" si="25"/>
        <v>0</v>
      </c>
      <c r="Q247" s="18">
        <f t="shared" si="26"/>
        <v>0</v>
      </c>
      <c r="R247" s="18">
        <f t="shared" si="27"/>
        <v>0</v>
      </c>
      <c r="S247" s="18">
        <f t="shared" si="28"/>
        <v>0</v>
      </c>
      <c r="T247" s="18">
        <f t="shared" si="29"/>
        <v>0</v>
      </c>
      <c r="U247" s="18">
        <f t="shared" si="30"/>
        <v>0</v>
      </c>
      <c r="V247" s="18">
        <f t="shared" si="31"/>
        <v>0</v>
      </c>
      <c r="W247" s="18">
        <f t="shared" si="32"/>
        <v>0</v>
      </c>
    </row>
    <row r="248" spans="1:23" x14ac:dyDescent="0.2">
      <c r="A248" s="17">
        <v>5928</v>
      </c>
      <c r="B248">
        <v>0</v>
      </c>
      <c r="C248">
        <v>0</v>
      </c>
      <c r="D248">
        <v>0</v>
      </c>
      <c r="E248">
        <v>0</v>
      </c>
      <c r="F248">
        <v>0</v>
      </c>
      <c r="G248">
        <v>7.2538</v>
      </c>
      <c r="H248">
        <v>0.60440000000000005</v>
      </c>
      <c r="I248">
        <v>0</v>
      </c>
      <c r="J248">
        <v>0</v>
      </c>
      <c r="K248">
        <v>0</v>
      </c>
      <c r="L248">
        <v>0</v>
      </c>
      <c r="M248">
        <v>8.0000000000000004E-4</v>
      </c>
      <c r="N248">
        <v>0</v>
      </c>
      <c r="P248" s="18">
        <f t="shared" si="25"/>
        <v>7.2538</v>
      </c>
      <c r="Q248" s="18">
        <f t="shared" si="26"/>
        <v>0.60440000000000005</v>
      </c>
      <c r="R248" s="18">
        <f t="shared" si="27"/>
        <v>0</v>
      </c>
      <c r="S248" s="18">
        <f t="shared" si="28"/>
        <v>0</v>
      </c>
      <c r="T248" s="18">
        <f t="shared" si="29"/>
        <v>0</v>
      </c>
      <c r="U248" s="18">
        <f t="shared" si="30"/>
        <v>0</v>
      </c>
      <c r="V248" s="18">
        <f t="shared" si="31"/>
        <v>8.0000000000000004E-4</v>
      </c>
      <c r="W248" s="18">
        <f t="shared" si="32"/>
        <v>0</v>
      </c>
    </row>
    <row r="249" spans="1:23" x14ac:dyDescent="0.2">
      <c r="A249" s="17">
        <v>6379</v>
      </c>
      <c r="B249">
        <v>0</v>
      </c>
      <c r="C249">
        <v>0</v>
      </c>
      <c r="D249">
        <v>0</v>
      </c>
      <c r="E249">
        <v>0</v>
      </c>
      <c r="F249">
        <v>0</v>
      </c>
      <c r="G249">
        <v>0</v>
      </c>
      <c r="H249">
        <v>0</v>
      </c>
      <c r="I249">
        <v>0</v>
      </c>
      <c r="J249">
        <v>0</v>
      </c>
      <c r="K249">
        <v>0</v>
      </c>
      <c r="L249">
        <v>0</v>
      </c>
      <c r="M249">
        <v>0</v>
      </c>
      <c r="N249">
        <v>0</v>
      </c>
      <c r="P249" s="18">
        <f t="shared" si="25"/>
        <v>0</v>
      </c>
      <c r="Q249" s="18">
        <f t="shared" si="26"/>
        <v>0</v>
      </c>
      <c r="R249" s="18">
        <f t="shared" si="27"/>
        <v>0</v>
      </c>
      <c r="S249" s="18">
        <f t="shared" si="28"/>
        <v>0</v>
      </c>
      <c r="T249" s="18">
        <f t="shared" si="29"/>
        <v>0</v>
      </c>
      <c r="U249" s="18">
        <f t="shared" si="30"/>
        <v>0</v>
      </c>
      <c r="V249" s="18">
        <f t="shared" si="31"/>
        <v>0</v>
      </c>
      <c r="W249" s="18">
        <f t="shared" si="32"/>
        <v>0</v>
      </c>
    </row>
    <row r="250" spans="1:23" x14ac:dyDescent="0.2">
      <c r="A250" s="17">
        <v>6380</v>
      </c>
      <c r="B250">
        <v>0</v>
      </c>
      <c r="C250">
        <v>0</v>
      </c>
      <c r="D250">
        <v>0</v>
      </c>
      <c r="E250">
        <v>0</v>
      </c>
      <c r="F250">
        <v>0</v>
      </c>
      <c r="G250">
        <v>0</v>
      </c>
      <c r="H250">
        <v>0</v>
      </c>
      <c r="I250">
        <v>0</v>
      </c>
      <c r="J250">
        <v>0</v>
      </c>
      <c r="K250">
        <v>0</v>
      </c>
      <c r="L250">
        <v>0</v>
      </c>
      <c r="M250">
        <v>0</v>
      </c>
      <c r="N250">
        <v>0</v>
      </c>
      <c r="P250" s="18">
        <f t="shared" si="25"/>
        <v>0</v>
      </c>
      <c r="Q250" s="18">
        <f t="shared" si="26"/>
        <v>0</v>
      </c>
      <c r="R250" s="18">
        <f t="shared" si="27"/>
        <v>0</v>
      </c>
      <c r="S250" s="18">
        <f t="shared" si="28"/>
        <v>0</v>
      </c>
      <c r="T250" s="18">
        <f t="shared" si="29"/>
        <v>0</v>
      </c>
      <c r="U250" s="18">
        <f t="shared" si="30"/>
        <v>0</v>
      </c>
      <c r="V250" s="18">
        <f t="shared" si="31"/>
        <v>0</v>
      </c>
      <c r="W250" s="18">
        <f t="shared" si="32"/>
        <v>0</v>
      </c>
    </row>
    <row r="251" spans="1:23" x14ac:dyDescent="0.2">
      <c r="A251" s="17">
        <v>6382</v>
      </c>
      <c r="B251">
        <v>0</v>
      </c>
      <c r="C251">
        <v>0</v>
      </c>
      <c r="D251">
        <v>0</v>
      </c>
      <c r="E251">
        <v>0</v>
      </c>
      <c r="F251">
        <v>0</v>
      </c>
      <c r="G251">
        <v>0</v>
      </c>
      <c r="H251">
        <v>0</v>
      </c>
      <c r="I251">
        <v>0</v>
      </c>
      <c r="J251">
        <v>0</v>
      </c>
      <c r="K251">
        <v>0</v>
      </c>
      <c r="L251">
        <v>0</v>
      </c>
      <c r="M251">
        <v>0</v>
      </c>
      <c r="N251">
        <v>0</v>
      </c>
      <c r="P251" s="18">
        <f t="shared" si="25"/>
        <v>0</v>
      </c>
      <c r="Q251" s="18">
        <f t="shared" si="26"/>
        <v>0</v>
      </c>
      <c r="R251" s="18">
        <f t="shared" si="27"/>
        <v>0</v>
      </c>
      <c r="S251" s="18">
        <f t="shared" si="28"/>
        <v>0</v>
      </c>
      <c r="T251" s="18">
        <f t="shared" si="29"/>
        <v>0</v>
      </c>
      <c r="U251" s="18">
        <f t="shared" si="30"/>
        <v>0</v>
      </c>
      <c r="V251" s="18">
        <f t="shared" si="31"/>
        <v>0</v>
      </c>
      <c r="W251" s="18">
        <f t="shared" si="32"/>
        <v>0</v>
      </c>
    </row>
    <row r="252" spans="1:23" x14ac:dyDescent="0.2">
      <c r="A252" s="17">
        <v>6394</v>
      </c>
      <c r="B252">
        <v>0</v>
      </c>
      <c r="C252">
        <v>0</v>
      </c>
      <c r="D252">
        <v>0</v>
      </c>
      <c r="E252">
        <v>0</v>
      </c>
      <c r="F252">
        <v>0</v>
      </c>
      <c r="G252">
        <v>0</v>
      </c>
      <c r="H252">
        <v>0</v>
      </c>
      <c r="I252">
        <v>0</v>
      </c>
      <c r="J252">
        <v>0</v>
      </c>
      <c r="K252">
        <v>0</v>
      </c>
      <c r="L252">
        <v>0</v>
      </c>
      <c r="M252">
        <v>0</v>
      </c>
      <c r="N252">
        <v>0</v>
      </c>
      <c r="P252" s="18">
        <f t="shared" si="25"/>
        <v>0</v>
      </c>
      <c r="Q252" s="18">
        <f t="shared" si="26"/>
        <v>0</v>
      </c>
      <c r="R252" s="18">
        <f t="shared" si="27"/>
        <v>0</v>
      </c>
      <c r="S252" s="18">
        <f t="shared" si="28"/>
        <v>0</v>
      </c>
      <c r="T252" s="18">
        <f t="shared" si="29"/>
        <v>0</v>
      </c>
      <c r="U252" s="18">
        <f t="shared" si="30"/>
        <v>0</v>
      </c>
      <c r="V252" s="18">
        <f t="shared" si="31"/>
        <v>0</v>
      </c>
      <c r="W252" s="18">
        <f t="shared" si="32"/>
        <v>0</v>
      </c>
    </row>
    <row r="253" spans="1:23" x14ac:dyDescent="0.2">
      <c r="A253" s="17">
        <v>6389</v>
      </c>
      <c r="B253">
        <v>0</v>
      </c>
      <c r="C253">
        <v>0</v>
      </c>
      <c r="D253">
        <v>0</v>
      </c>
      <c r="E253">
        <v>0</v>
      </c>
      <c r="F253">
        <v>0</v>
      </c>
      <c r="G253">
        <v>0</v>
      </c>
      <c r="H253">
        <v>0</v>
      </c>
      <c r="I253">
        <v>0</v>
      </c>
      <c r="J253">
        <v>0</v>
      </c>
      <c r="K253">
        <v>0</v>
      </c>
      <c r="L253">
        <v>0</v>
      </c>
      <c r="M253">
        <v>0</v>
      </c>
      <c r="N253">
        <v>0</v>
      </c>
      <c r="P253" s="18">
        <f t="shared" si="25"/>
        <v>0</v>
      </c>
      <c r="Q253" s="18">
        <f t="shared" si="26"/>
        <v>0</v>
      </c>
      <c r="R253" s="18">
        <f t="shared" si="27"/>
        <v>0</v>
      </c>
      <c r="S253" s="18">
        <f t="shared" si="28"/>
        <v>0</v>
      </c>
      <c r="T253" s="18">
        <f t="shared" si="29"/>
        <v>0</v>
      </c>
      <c r="U253" s="18">
        <f t="shared" si="30"/>
        <v>0</v>
      </c>
      <c r="V253" s="18">
        <f t="shared" si="31"/>
        <v>0</v>
      </c>
      <c r="W253" s="18">
        <f t="shared" si="32"/>
        <v>0</v>
      </c>
    </row>
    <row r="254" spans="1:23" x14ac:dyDescent="0.2">
      <c r="A254" s="17">
        <v>6407</v>
      </c>
      <c r="B254">
        <v>0</v>
      </c>
      <c r="C254">
        <v>0</v>
      </c>
      <c r="D254">
        <v>0</v>
      </c>
      <c r="E254">
        <v>0</v>
      </c>
      <c r="F254">
        <v>0</v>
      </c>
      <c r="G254">
        <v>0</v>
      </c>
      <c r="H254">
        <v>0</v>
      </c>
      <c r="I254">
        <v>0</v>
      </c>
      <c r="J254">
        <v>0</v>
      </c>
      <c r="K254">
        <v>0</v>
      </c>
      <c r="L254">
        <v>0</v>
      </c>
      <c r="M254">
        <v>0</v>
      </c>
      <c r="N254">
        <v>0</v>
      </c>
      <c r="P254" s="18">
        <f t="shared" si="25"/>
        <v>0</v>
      </c>
      <c r="Q254" s="18">
        <f t="shared" si="26"/>
        <v>0</v>
      </c>
      <c r="R254" s="18">
        <f t="shared" si="27"/>
        <v>0</v>
      </c>
      <c r="S254" s="18">
        <f t="shared" si="28"/>
        <v>0</v>
      </c>
      <c r="T254" s="18">
        <f t="shared" si="29"/>
        <v>0</v>
      </c>
      <c r="U254" s="18">
        <f t="shared" si="30"/>
        <v>0</v>
      </c>
      <c r="V254" s="18">
        <f t="shared" si="31"/>
        <v>0</v>
      </c>
      <c r="W254" s="18">
        <f t="shared" si="32"/>
        <v>0</v>
      </c>
    </row>
    <row r="255" spans="1:23" x14ac:dyDescent="0.2">
      <c r="A255" s="17">
        <v>6397</v>
      </c>
      <c r="B255">
        <v>0</v>
      </c>
      <c r="C255">
        <v>0</v>
      </c>
      <c r="D255">
        <v>0</v>
      </c>
      <c r="E255">
        <v>0</v>
      </c>
      <c r="F255">
        <v>0</v>
      </c>
      <c r="G255">
        <v>0</v>
      </c>
      <c r="H255">
        <v>0</v>
      </c>
      <c r="I255">
        <v>0</v>
      </c>
      <c r="J255">
        <v>0</v>
      </c>
      <c r="K255">
        <v>0</v>
      </c>
      <c r="L255">
        <v>0</v>
      </c>
      <c r="M255">
        <v>0</v>
      </c>
      <c r="N255">
        <v>0</v>
      </c>
      <c r="P255" s="18">
        <f t="shared" si="25"/>
        <v>0</v>
      </c>
      <c r="Q255" s="18">
        <f t="shared" si="26"/>
        <v>0</v>
      </c>
      <c r="R255" s="18">
        <f t="shared" si="27"/>
        <v>0</v>
      </c>
      <c r="S255" s="18">
        <f t="shared" si="28"/>
        <v>0</v>
      </c>
      <c r="T255" s="18">
        <f t="shared" si="29"/>
        <v>0</v>
      </c>
      <c r="U255" s="18">
        <f t="shared" si="30"/>
        <v>0</v>
      </c>
      <c r="V255" s="18">
        <f t="shared" si="31"/>
        <v>0</v>
      </c>
      <c r="W255" s="18">
        <f t="shared" si="32"/>
        <v>0</v>
      </c>
    </row>
    <row r="256" spans="1:23" x14ac:dyDescent="0.2">
      <c r="A256" s="17">
        <v>5917</v>
      </c>
      <c r="B256">
        <v>0</v>
      </c>
      <c r="C256">
        <v>0</v>
      </c>
      <c r="D256">
        <v>0</v>
      </c>
      <c r="E256">
        <v>0</v>
      </c>
      <c r="F256">
        <v>0</v>
      </c>
      <c r="G256">
        <v>0</v>
      </c>
      <c r="H256">
        <v>0</v>
      </c>
      <c r="I256">
        <v>0</v>
      </c>
      <c r="J256">
        <v>0</v>
      </c>
      <c r="K256">
        <v>0</v>
      </c>
      <c r="L256">
        <v>0</v>
      </c>
      <c r="M256">
        <v>0</v>
      </c>
      <c r="N256">
        <v>0</v>
      </c>
      <c r="P256" s="18">
        <f t="shared" si="25"/>
        <v>0</v>
      </c>
      <c r="Q256" s="18">
        <f t="shared" si="26"/>
        <v>0</v>
      </c>
      <c r="R256" s="18">
        <f t="shared" si="27"/>
        <v>0</v>
      </c>
      <c r="S256" s="18">
        <f t="shared" si="28"/>
        <v>0</v>
      </c>
      <c r="T256" s="18">
        <f t="shared" si="29"/>
        <v>0</v>
      </c>
      <c r="U256" s="18">
        <f t="shared" si="30"/>
        <v>0</v>
      </c>
      <c r="V256" s="18">
        <f t="shared" si="31"/>
        <v>0</v>
      </c>
      <c r="W256" s="18">
        <f t="shared" si="32"/>
        <v>0</v>
      </c>
    </row>
    <row r="257" spans="1:23" x14ac:dyDescent="0.2">
      <c r="A257" s="17">
        <v>6216</v>
      </c>
      <c r="B257">
        <v>0</v>
      </c>
      <c r="C257">
        <v>0</v>
      </c>
      <c r="D257">
        <v>0</v>
      </c>
      <c r="E257">
        <v>0</v>
      </c>
      <c r="F257">
        <v>0</v>
      </c>
      <c r="G257">
        <v>0</v>
      </c>
      <c r="H257">
        <v>0</v>
      </c>
      <c r="I257">
        <v>0</v>
      </c>
      <c r="J257">
        <v>0</v>
      </c>
      <c r="K257">
        <v>0</v>
      </c>
      <c r="L257">
        <v>0</v>
      </c>
      <c r="M257">
        <v>0</v>
      </c>
      <c r="N257">
        <v>0</v>
      </c>
      <c r="P257" s="18">
        <f t="shared" si="25"/>
        <v>0</v>
      </c>
      <c r="Q257" s="18">
        <f t="shared" si="26"/>
        <v>0</v>
      </c>
      <c r="R257" s="18">
        <f t="shared" si="27"/>
        <v>0</v>
      </c>
      <c r="S257" s="18">
        <f t="shared" si="28"/>
        <v>0</v>
      </c>
      <c r="T257" s="18">
        <f t="shared" si="29"/>
        <v>0</v>
      </c>
      <c r="U257" s="18">
        <f t="shared" si="30"/>
        <v>0</v>
      </c>
      <c r="V257" s="18">
        <f t="shared" si="31"/>
        <v>0</v>
      </c>
      <c r="W257" s="18">
        <f t="shared" si="32"/>
        <v>0</v>
      </c>
    </row>
    <row r="258" spans="1:23" x14ac:dyDescent="0.2">
      <c r="A258" s="17">
        <v>6415</v>
      </c>
      <c r="B258">
        <v>0</v>
      </c>
      <c r="C258">
        <v>0</v>
      </c>
      <c r="D258">
        <v>0</v>
      </c>
      <c r="E258">
        <v>0</v>
      </c>
      <c r="F258">
        <v>0</v>
      </c>
      <c r="G258">
        <v>0</v>
      </c>
      <c r="H258">
        <v>0</v>
      </c>
      <c r="I258">
        <v>0</v>
      </c>
      <c r="J258">
        <v>0</v>
      </c>
      <c r="K258">
        <v>0</v>
      </c>
      <c r="L258">
        <v>0</v>
      </c>
      <c r="M258">
        <v>0</v>
      </c>
      <c r="N258">
        <v>0</v>
      </c>
      <c r="P258" s="18">
        <f t="shared" si="25"/>
        <v>0</v>
      </c>
      <c r="Q258" s="18">
        <f t="shared" si="26"/>
        <v>0</v>
      </c>
      <c r="R258" s="18">
        <f t="shared" si="27"/>
        <v>0</v>
      </c>
      <c r="S258" s="18">
        <f t="shared" si="28"/>
        <v>0</v>
      </c>
      <c r="T258" s="18">
        <f t="shared" si="29"/>
        <v>0</v>
      </c>
      <c r="U258" s="18">
        <f t="shared" si="30"/>
        <v>0</v>
      </c>
      <c r="V258" s="18">
        <f t="shared" si="31"/>
        <v>0</v>
      </c>
      <c r="W258" s="18">
        <f t="shared" si="32"/>
        <v>0</v>
      </c>
    </row>
    <row r="259" spans="1:23" x14ac:dyDescent="0.2">
      <c r="A259" s="17">
        <v>6418</v>
      </c>
      <c r="B259">
        <v>0</v>
      </c>
      <c r="C259">
        <v>0</v>
      </c>
      <c r="D259">
        <v>0</v>
      </c>
      <c r="E259">
        <v>0</v>
      </c>
      <c r="F259">
        <v>0</v>
      </c>
      <c r="G259">
        <v>0</v>
      </c>
      <c r="H259">
        <v>0</v>
      </c>
      <c r="I259">
        <v>0</v>
      </c>
      <c r="J259">
        <v>0</v>
      </c>
      <c r="K259">
        <v>0</v>
      </c>
      <c r="L259">
        <v>0</v>
      </c>
      <c r="M259">
        <v>0</v>
      </c>
      <c r="N259">
        <v>0</v>
      </c>
      <c r="P259" s="18">
        <f t="shared" si="25"/>
        <v>0</v>
      </c>
      <c r="Q259" s="18">
        <f t="shared" si="26"/>
        <v>0</v>
      </c>
      <c r="R259" s="18">
        <f t="shared" si="27"/>
        <v>0</v>
      </c>
      <c r="S259" s="18">
        <f t="shared" si="28"/>
        <v>0</v>
      </c>
      <c r="T259" s="18">
        <f t="shared" si="29"/>
        <v>0</v>
      </c>
      <c r="U259" s="18">
        <f t="shared" si="30"/>
        <v>0</v>
      </c>
      <c r="V259" s="18">
        <f t="shared" si="31"/>
        <v>0</v>
      </c>
      <c r="W259" s="18">
        <f t="shared" si="32"/>
        <v>0</v>
      </c>
    </row>
    <row r="260" spans="1:23" x14ac:dyDescent="0.2">
      <c r="A260" s="17">
        <v>6426</v>
      </c>
      <c r="B260">
        <v>0</v>
      </c>
      <c r="C260">
        <v>0</v>
      </c>
      <c r="D260">
        <v>0</v>
      </c>
      <c r="E260">
        <v>0</v>
      </c>
      <c r="F260">
        <v>0</v>
      </c>
      <c r="G260">
        <v>0</v>
      </c>
      <c r="H260">
        <v>0</v>
      </c>
      <c r="I260">
        <v>0</v>
      </c>
      <c r="J260">
        <v>0</v>
      </c>
      <c r="K260">
        <v>0</v>
      </c>
      <c r="L260">
        <v>0</v>
      </c>
      <c r="M260">
        <v>0</v>
      </c>
      <c r="N260">
        <v>0</v>
      </c>
      <c r="P260" s="18">
        <f t="shared" si="25"/>
        <v>0</v>
      </c>
      <c r="Q260" s="18">
        <f t="shared" si="26"/>
        <v>0</v>
      </c>
      <c r="R260" s="18">
        <f t="shared" si="27"/>
        <v>0</v>
      </c>
      <c r="S260" s="18">
        <f t="shared" si="28"/>
        <v>0</v>
      </c>
      <c r="T260" s="18">
        <f t="shared" si="29"/>
        <v>0</v>
      </c>
      <c r="U260" s="18">
        <f t="shared" si="30"/>
        <v>0</v>
      </c>
      <c r="V260" s="18">
        <f t="shared" si="31"/>
        <v>0</v>
      </c>
      <c r="W260" s="18">
        <f t="shared" si="32"/>
        <v>0</v>
      </c>
    </row>
    <row r="261" spans="1:23" x14ac:dyDescent="0.2">
      <c r="A261" s="17">
        <v>6447</v>
      </c>
      <c r="B261">
        <v>0</v>
      </c>
      <c r="C261">
        <v>0</v>
      </c>
      <c r="D261">
        <v>0</v>
      </c>
      <c r="E261">
        <v>0</v>
      </c>
      <c r="F261">
        <v>0</v>
      </c>
      <c r="G261">
        <v>0</v>
      </c>
      <c r="H261">
        <v>0</v>
      </c>
      <c r="I261">
        <v>0</v>
      </c>
      <c r="J261">
        <v>0</v>
      </c>
      <c r="K261">
        <v>0</v>
      </c>
      <c r="L261">
        <v>0</v>
      </c>
      <c r="M261">
        <v>0</v>
      </c>
      <c r="N261">
        <v>0</v>
      </c>
      <c r="P261" s="18">
        <f t="shared" si="25"/>
        <v>0</v>
      </c>
      <c r="Q261" s="18">
        <f t="shared" si="26"/>
        <v>0</v>
      </c>
      <c r="R261" s="18">
        <f t="shared" si="27"/>
        <v>0</v>
      </c>
      <c r="S261" s="18">
        <f t="shared" si="28"/>
        <v>0</v>
      </c>
      <c r="T261" s="18">
        <f t="shared" si="29"/>
        <v>0</v>
      </c>
      <c r="U261" s="18">
        <f t="shared" si="30"/>
        <v>0</v>
      </c>
      <c r="V261" s="18">
        <f t="shared" si="31"/>
        <v>0</v>
      </c>
      <c r="W261" s="18">
        <f t="shared" si="32"/>
        <v>0</v>
      </c>
    </row>
    <row r="262" spans="1:23" x14ac:dyDescent="0.2">
      <c r="A262" s="17">
        <v>6461</v>
      </c>
      <c r="B262">
        <v>0</v>
      </c>
      <c r="C262">
        <v>0</v>
      </c>
      <c r="D262">
        <v>0</v>
      </c>
      <c r="E262">
        <v>0</v>
      </c>
      <c r="F262">
        <v>0</v>
      </c>
      <c r="G262">
        <v>0</v>
      </c>
      <c r="H262">
        <v>0</v>
      </c>
      <c r="I262">
        <v>0</v>
      </c>
      <c r="J262">
        <v>0</v>
      </c>
      <c r="K262">
        <v>0</v>
      </c>
      <c r="L262">
        <v>0</v>
      </c>
      <c r="M262">
        <v>0</v>
      </c>
      <c r="N262">
        <v>0</v>
      </c>
      <c r="P262" s="18">
        <f t="shared" ref="P262:P308" si="33">SUM(B262,G262)</f>
        <v>0</v>
      </c>
      <c r="Q262" s="18">
        <f t="shared" ref="Q262:Q308" si="34">SUM(C262,H262)</f>
        <v>0</v>
      </c>
      <c r="R262" s="18">
        <f t="shared" ref="R262:R308" si="35">SUM(D262,I262)</f>
        <v>0</v>
      </c>
      <c r="S262" s="18">
        <f t="shared" ref="S262:S308" si="36">SUM(E262,J262)</f>
        <v>0</v>
      </c>
      <c r="T262" s="18">
        <f t="shared" ref="T262:T308" si="37">K262</f>
        <v>0</v>
      </c>
      <c r="U262" s="18">
        <f t="shared" ref="U262:U308" si="38">L262</f>
        <v>0</v>
      </c>
      <c r="V262" s="18">
        <f t="shared" ref="V262:V308" si="39">M262</f>
        <v>0</v>
      </c>
      <c r="W262" s="18">
        <f t="shared" ref="W262:W308" si="40">SUM(F262,N262)</f>
        <v>0</v>
      </c>
    </row>
    <row r="263" spans="1:23" x14ac:dyDescent="0.2">
      <c r="A263" s="17" t="s">
        <v>426</v>
      </c>
      <c r="B263">
        <v>0</v>
      </c>
      <c r="C263">
        <v>0</v>
      </c>
      <c r="D263">
        <v>0</v>
      </c>
      <c r="E263">
        <v>0</v>
      </c>
      <c r="F263">
        <v>0</v>
      </c>
      <c r="G263">
        <v>0</v>
      </c>
      <c r="H263">
        <v>0</v>
      </c>
      <c r="I263">
        <v>0</v>
      </c>
      <c r="J263">
        <v>0</v>
      </c>
      <c r="K263">
        <v>0</v>
      </c>
      <c r="L263">
        <v>0</v>
      </c>
      <c r="M263">
        <v>0</v>
      </c>
      <c r="N263">
        <v>0</v>
      </c>
      <c r="P263" s="18">
        <f t="shared" si="33"/>
        <v>0</v>
      </c>
      <c r="Q263" s="18">
        <f t="shared" si="34"/>
        <v>0</v>
      </c>
      <c r="R263" s="18">
        <f t="shared" si="35"/>
        <v>0</v>
      </c>
      <c r="S263" s="18">
        <f t="shared" si="36"/>
        <v>0</v>
      </c>
      <c r="T263" s="18">
        <f t="shared" si="37"/>
        <v>0</v>
      </c>
      <c r="U263" s="18">
        <f t="shared" si="38"/>
        <v>0</v>
      </c>
      <c r="V263" s="18">
        <f t="shared" si="39"/>
        <v>0</v>
      </c>
      <c r="W263" s="18">
        <f t="shared" si="40"/>
        <v>0</v>
      </c>
    </row>
    <row r="264" spans="1:23" x14ac:dyDescent="0.2">
      <c r="A264" s="17" t="s">
        <v>424</v>
      </c>
      <c r="B264">
        <v>0</v>
      </c>
      <c r="C264">
        <v>0</v>
      </c>
      <c r="D264">
        <v>0</v>
      </c>
      <c r="E264">
        <v>0</v>
      </c>
      <c r="F264">
        <v>0</v>
      </c>
      <c r="G264">
        <v>0</v>
      </c>
      <c r="H264">
        <v>0</v>
      </c>
      <c r="I264">
        <v>0</v>
      </c>
      <c r="J264">
        <v>0</v>
      </c>
      <c r="K264">
        <v>0</v>
      </c>
      <c r="L264">
        <v>0</v>
      </c>
      <c r="M264">
        <v>0</v>
      </c>
      <c r="N264">
        <v>0</v>
      </c>
      <c r="P264" s="18">
        <f t="shared" si="33"/>
        <v>0</v>
      </c>
      <c r="Q264" s="18">
        <f t="shared" si="34"/>
        <v>0</v>
      </c>
      <c r="R264" s="18">
        <f t="shared" si="35"/>
        <v>0</v>
      </c>
      <c r="S264" s="18">
        <f t="shared" si="36"/>
        <v>0</v>
      </c>
      <c r="T264" s="18">
        <f t="shared" si="37"/>
        <v>0</v>
      </c>
      <c r="U264" s="18">
        <f t="shared" si="38"/>
        <v>0</v>
      </c>
      <c r="V264" s="18">
        <f t="shared" si="39"/>
        <v>0</v>
      </c>
      <c r="W264" s="18">
        <f t="shared" si="40"/>
        <v>0</v>
      </c>
    </row>
    <row r="265" spans="1:23" x14ac:dyDescent="0.2">
      <c r="A265" s="17" t="s">
        <v>425</v>
      </c>
      <c r="B265">
        <v>0</v>
      </c>
      <c r="C265">
        <v>0</v>
      </c>
      <c r="D265">
        <v>0</v>
      </c>
      <c r="E265">
        <v>0</v>
      </c>
      <c r="F265">
        <v>0</v>
      </c>
      <c r="G265">
        <v>0</v>
      </c>
      <c r="H265">
        <v>0</v>
      </c>
      <c r="I265">
        <v>0</v>
      </c>
      <c r="J265">
        <v>0</v>
      </c>
      <c r="K265">
        <v>0</v>
      </c>
      <c r="L265">
        <v>0</v>
      </c>
      <c r="M265">
        <v>0</v>
      </c>
      <c r="N265">
        <v>0</v>
      </c>
      <c r="P265" s="18">
        <f t="shared" si="33"/>
        <v>0</v>
      </c>
      <c r="Q265" s="18">
        <f t="shared" si="34"/>
        <v>0</v>
      </c>
      <c r="R265" s="18">
        <f t="shared" si="35"/>
        <v>0</v>
      </c>
      <c r="S265" s="18">
        <f t="shared" si="36"/>
        <v>0</v>
      </c>
      <c r="T265" s="18">
        <f t="shared" si="37"/>
        <v>0</v>
      </c>
      <c r="U265" s="18">
        <f t="shared" si="38"/>
        <v>0</v>
      </c>
      <c r="V265" s="18">
        <f t="shared" si="39"/>
        <v>0</v>
      </c>
      <c r="W265" s="18">
        <f t="shared" si="40"/>
        <v>0</v>
      </c>
    </row>
    <row r="266" spans="1:23" x14ac:dyDescent="0.2">
      <c r="A266" s="17" t="s">
        <v>423</v>
      </c>
      <c r="B266">
        <v>0</v>
      </c>
      <c r="C266">
        <v>0</v>
      </c>
      <c r="D266">
        <v>0</v>
      </c>
      <c r="E266">
        <v>0</v>
      </c>
      <c r="F266">
        <v>0</v>
      </c>
      <c r="G266">
        <v>0</v>
      </c>
      <c r="H266">
        <v>0</v>
      </c>
      <c r="I266">
        <v>0</v>
      </c>
      <c r="J266">
        <v>0</v>
      </c>
      <c r="K266">
        <v>0</v>
      </c>
      <c r="L266">
        <v>0</v>
      </c>
      <c r="M266">
        <v>0</v>
      </c>
      <c r="N266">
        <v>0</v>
      </c>
      <c r="P266" s="18">
        <f t="shared" si="33"/>
        <v>0</v>
      </c>
      <c r="Q266" s="18">
        <f t="shared" si="34"/>
        <v>0</v>
      </c>
      <c r="R266" s="18">
        <f t="shared" si="35"/>
        <v>0</v>
      </c>
      <c r="S266" s="18">
        <f t="shared" si="36"/>
        <v>0</v>
      </c>
      <c r="T266" s="18">
        <f t="shared" si="37"/>
        <v>0</v>
      </c>
      <c r="U266" s="18">
        <f t="shared" si="38"/>
        <v>0</v>
      </c>
      <c r="V266" s="18">
        <f t="shared" si="39"/>
        <v>0</v>
      </c>
      <c r="W266" s="18">
        <f t="shared" si="40"/>
        <v>0</v>
      </c>
    </row>
    <row r="267" spans="1:23" x14ac:dyDescent="0.2">
      <c r="A267" s="17" t="s">
        <v>422</v>
      </c>
      <c r="B267">
        <v>0</v>
      </c>
      <c r="C267">
        <v>0</v>
      </c>
      <c r="D267">
        <v>0</v>
      </c>
      <c r="E267">
        <v>0</v>
      </c>
      <c r="F267">
        <v>0</v>
      </c>
      <c r="G267">
        <v>0</v>
      </c>
      <c r="H267">
        <v>0</v>
      </c>
      <c r="I267">
        <v>0</v>
      </c>
      <c r="J267">
        <v>0</v>
      </c>
      <c r="K267">
        <v>0</v>
      </c>
      <c r="L267">
        <v>0</v>
      </c>
      <c r="M267">
        <v>0</v>
      </c>
      <c r="N267">
        <v>0</v>
      </c>
      <c r="P267" s="18">
        <f t="shared" si="33"/>
        <v>0</v>
      </c>
      <c r="Q267" s="18">
        <f t="shared" si="34"/>
        <v>0</v>
      </c>
      <c r="R267" s="18">
        <f t="shared" si="35"/>
        <v>0</v>
      </c>
      <c r="S267" s="18">
        <f t="shared" si="36"/>
        <v>0</v>
      </c>
      <c r="T267" s="18">
        <f t="shared" si="37"/>
        <v>0</v>
      </c>
      <c r="U267" s="18">
        <f t="shared" si="38"/>
        <v>0</v>
      </c>
      <c r="V267" s="18">
        <f t="shared" si="39"/>
        <v>0</v>
      </c>
      <c r="W267" s="18">
        <f t="shared" si="40"/>
        <v>0</v>
      </c>
    </row>
    <row r="268" spans="1:23" x14ac:dyDescent="0.2">
      <c r="A268" s="17">
        <v>6485</v>
      </c>
      <c r="B268">
        <v>0</v>
      </c>
      <c r="C268">
        <v>0</v>
      </c>
      <c r="D268">
        <v>0</v>
      </c>
      <c r="E268">
        <v>0</v>
      </c>
      <c r="F268">
        <v>0</v>
      </c>
      <c r="G268">
        <v>0</v>
      </c>
      <c r="H268">
        <v>0</v>
      </c>
      <c r="I268">
        <v>0</v>
      </c>
      <c r="J268">
        <v>0</v>
      </c>
      <c r="K268">
        <v>0</v>
      </c>
      <c r="L268">
        <v>0</v>
      </c>
      <c r="M268">
        <v>0</v>
      </c>
      <c r="N268">
        <v>0</v>
      </c>
      <c r="P268" s="18">
        <f t="shared" si="33"/>
        <v>0</v>
      </c>
      <c r="Q268" s="18">
        <f t="shared" si="34"/>
        <v>0</v>
      </c>
      <c r="R268" s="18">
        <f t="shared" si="35"/>
        <v>0</v>
      </c>
      <c r="S268" s="18">
        <f t="shared" si="36"/>
        <v>0</v>
      </c>
      <c r="T268" s="18">
        <f t="shared" si="37"/>
        <v>0</v>
      </c>
      <c r="U268" s="18">
        <f t="shared" si="38"/>
        <v>0</v>
      </c>
      <c r="V268" s="18">
        <f t="shared" si="39"/>
        <v>0</v>
      </c>
      <c r="W268" s="18">
        <f t="shared" si="40"/>
        <v>0</v>
      </c>
    </row>
    <row r="269" spans="1:23" x14ac:dyDescent="0.2">
      <c r="A269" s="17">
        <v>6483</v>
      </c>
      <c r="B269">
        <v>0</v>
      </c>
      <c r="C269">
        <v>0</v>
      </c>
      <c r="D269">
        <v>0</v>
      </c>
      <c r="E269">
        <v>0</v>
      </c>
      <c r="F269">
        <v>0</v>
      </c>
      <c r="G269">
        <v>0</v>
      </c>
      <c r="H269">
        <v>0</v>
      </c>
      <c r="I269">
        <v>0</v>
      </c>
      <c r="J269">
        <v>0</v>
      </c>
      <c r="K269">
        <v>0</v>
      </c>
      <c r="L269">
        <v>0</v>
      </c>
      <c r="M269">
        <v>0</v>
      </c>
      <c r="N269">
        <v>0</v>
      </c>
      <c r="P269" s="18">
        <f t="shared" si="33"/>
        <v>0</v>
      </c>
      <c r="Q269" s="18">
        <f t="shared" si="34"/>
        <v>0</v>
      </c>
      <c r="R269" s="18">
        <f t="shared" si="35"/>
        <v>0</v>
      </c>
      <c r="S269" s="18">
        <f t="shared" si="36"/>
        <v>0</v>
      </c>
      <c r="T269" s="18">
        <f t="shared" si="37"/>
        <v>0</v>
      </c>
      <c r="U269" s="18">
        <f t="shared" si="38"/>
        <v>0</v>
      </c>
      <c r="V269" s="18">
        <f t="shared" si="39"/>
        <v>0</v>
      </c>
      <c r="W269" s="18">
        <f t="shared" si="40"/>
        <v>0</v>
      </c>
    </row>
    <row r="270" spans="1:23" x14ac:dyDescent="0.2">
      <c r="A270" s="17">
        <v>6482</v>
      </c>
      <c r="B270">
        <v>0</v>
      </c>
      <c r="C270">
        <v>0</v>
      </c>
      <c r="D270">
        <v>0</v>
      </c>
      <c r="E270">
        <v>0</v>
      </c>
      <c r="F270">
        <v>0</v>
      </c>
      <c r="G270">
        <v>0</v>
      </c>
      <c r="H270">
        <v>0</v>
      </c>
      <c r="I270">
        <v>0</v>
      </c>
      <c r="J270">
        <v>0</v>
      </c>
      <c r="K270">
        <v>0</v>
      </c>
      <c r="L270">
        <v>0</v>
      </c>
      <c r="M270">
        <v>0</v>
      </c>
      <c r="N270">
        <v>0</v>
      </c>
      <c r="P270" s="18">
        <f t="shared" si="33"/>
        <v>0</v>
      </c>
      <c r="Q270" s="18">
        <f t="shared" si="34"/>
        <v>0</v>
      </c>
      <c r="R270" s="18">
        <f t="shared" si="35"/>
        <v>0</v>
      </c>
      <c r="S270" s="18">
        <f t="shared" si="36"/>
        <v>0</v>
      </c>
      <c r="T270" s="18">
        <f t="shared" si="37"/>
        <v>0</v>
      </c>
      <c r="U270" s="18">
        <f t="shared" si="38"/>
        <v>0</v>
      </c>
      <c r="V270" s="18">
        <f t="shared" si="39"/>
        <v>0</v>
      </c>
      <c r="W270" s="18">
        <f t="shared" si="40"/>
        <v>0</v>
      </c>
    </row>
    <row r="271" spans="1:23" x14ac:dyDescent="0.2">
      <c r="A271" s="17">
        <v>6481</v>
      </c>
      <c r="B271">
        <v>0</v>
      </c>
      <c r="C271">
        <v>0</v>
      </c>
      <c r="D271">
        <v>0</v>
      </c>
      <c r="E271">
        <v>0</v>
      </c>
      <c r="F271">
        <v>0</v>
      </c>
      <c r="G271">
        <v>0</v>
      </c>
      <c r="H271">
        <v>0</v>
      </c>
      <c r="I271">
        <v>0</v>
      </c>
      <c r="J271">
        <v>0</v>
      </c>
      <c r="K271">
        <v>0</v>
      </c>
      <c r="L271">
        <v>0</v>
      </c>
      <c r="M271">
        <v>0</v>
      </c>
      <c r="N271">
        <v>0</v>
      </c>
      <c r="P271" s="18">
        <f t="shared" si="33"/>
        <v>0</v>
      </c>
      <c r="Q271" s="18">
        <f t="shared" si="34"/>
        <v>0</v>
      </c>
      <c r="R271" s="18">
        <f t="shared" si="35"/>
        <v>0</v>
      </c>
      <c r="S271" s="18">
        <f t="shared" si="36"/>
        <v>0</v>
      </c>
      <c r="T271" s="18">
        <f t="shared" si="37"/>
        <v>0</v>
      </c>
      <c r="U271" s="18">
        <f t="shared" si="38"/>
        <v>0</v>
      </c>
      <c r="V271" s="18">
        <f t="shared" si="39"/>
        <v>0</v>
      </c>
      <c r="W271" s="18">
        <f t="shared" si="40"/>
        <v>0</v>
      </c>
    </row>
    <row r="272" spans="1:23" x14ac:dyDescent="0.2">
      <c r="A272" s="17">
        <v>6477</v>
      </c>
      <c r="B272">
        <v>0</v>
      </c>
      <c r="C272">
        <v>0</v>
      </c>
      <c r="D272">
        <v>0</v>
      </c>
      <c r="E272">
        <v>0</v>
      </c>
      <c r="F272">
        <v>0</v>
      </c>
      <c r="G272">
        <v>0</v>
      </c>
      <c r="H272">
        <v>0</v>
      </c>
      <c r="I272">
        <v>0</v>
      </c>
      <c r="J272">
        <v>0</v>
      </c>
      <c r="K272">
        <v>0</v>
      </c>
      <c r="L272">
        <v>0</v>
      </c>
      <c r="M272">
        <v>0</v>
      </c>
      <c r="N272">
        <v>0</v>
      </c>
      <c r="P272" s="18">
        <f t="shared" si="33"/>
        <v>0</v>
      </c>
      <c r="Q272" s="18">
        <f t="shared" si="34"/>
        <v>0</v>
      </c>
      <c r="R272" s="18">
        <f t="shared" si="35"/>
        <v>0</v>
      </c>
      <c r="S272" s="18">
        <f t="shared" si="36"/>
        <v>0</v>
      </c>
      <c r="T272" s="18">
        <f t="shared" si="37"/>
        <v>0</v>
      </c>
      <c r="U272" s="18">
        <f t="shared" si="38"/>
        <v>0</v>
      </c>
      <c r="V272" s="18">
        <f t="shared" si="39"/>
        <v>0</v>
      </c>
      <c r="W272" s="18">
        <f t="shared" si="40"/>
        <v>0</v>
      </c>
    </row>
    <row r="273" spans="1:23" x14ac:dyDescent="0.2">
      <c r="A273" s="17">
        <v>6475</v>
      </c>
      <c r="B273">
        <v>0</v>
      </c>
      <c r="C273">
        <v>0</v>
      </c>
      <c r="D273">
        <v>0</v>
      </c>
      <c r="E273">
        <v>0</v>
      </c>
      <c r="F273">
        <v>0</v>
      </c>
      <c r="G273">
        <v>0</v>
      </c>
      <c r="H273">
        <v>0</v>
      </c>
      <c r="I273">
        <v>0</v>
      </c>
      <c r="J273">
        <v>0</v>
      </c>
      <c r="K273">
        <v>0</v>
      </c>
      <c r="L273">
        <v>0</v>
      </c>
      <c r="M273">
        <v>0</v>
      </c>
      <c r="N273">
        <v>0</v>
      </c>
      <c r="P273" s="18">
        <f t="shared" si="33"/>
        <v>0</v>
      </c>
      <c r="Q273" s="18">
        <f t="shared" si="34"/>
        <v>0</v>
      </c>
      <c r="R273" s="18">
        <f t="shared" si="35"/>
        <v>0</v>
      </c>
      <c r="S273" s="18">
        <f t="shared" si="36"/>
        <v>0</v>
      </c>
      <c r="T273" s="18">
        <f t="shared" si="37"/>
        <v>0</v>
      </c>
      <c r="U273" s="18">
        <f t="shared" si="38"/>
        <v>0</v>
      </c>
      <c r="V273" s="18">
        <f t="shared" si="39"/>
        <v>0</v>
      </c>
      <c r="W273" s="18">
        <f t="shared" si="40"/>
        <v>0</v>
      </c>
    </row>
    <row r="274" spans="1:23" x14ac:dyDescent="0.2">
      <c r="A274" s="17">
        <v>6474</v>
      </c>
      <c r="B274">
        <v>0</v>
      </c>
      <c r="C274">
        <v>0</v>
      </c>
      <c r="D274">
        <v>0</v>
      </c>
      <c r="E274">
        <v>0</v>
      </c>
      <c r="F274">
        <v>0</v>
      </c>
      <c r="G274">
        <v>0</v>
      </c>
      <c r="H274">
        <v>0</v>
      </c>
      <c r="I274">
        <v>0</v>
      </c>
      <c r="J274">
        <v>0</v>
      </c>
      <c r="K274">
        <v>0</v>
      </c>
      <c r="L274">
        <v>0</v>
      </c>
      <c r="M274">
        <v>0</v>
      </c>
      <c r="N274">
        <v>0</v>
      </c>
      <c r="P274" s="18">
        <f t="shared" si="33"/>
        <v>0</v>
      </c>
      <c r="Q274" s="18">
        <f t="shared" si="34"/>
        <v>0</v>
      </c>
      <c r="R274" s="18">
        <f t="shared" si="35"/>
        <v>0</v>
      </c>
      <c r="S274" s="18">
        <f t="shared" si="36"/>
        <v>0</v>
      </c>
      <c r="T274" s="18">
        <f t="shared" si="37"/>
        <v>0</v>
      </c>
      <c r="U274" s="18">
        <f t="shared" si="38"/>
        <v>0</v>
      </c>
      <c r="V274" s="18">
        <f t="shared" si="39"/>
        <v>0</v>
      </c>
      <c r="W274" s="18">
        <f t="shared" si="40"/>
        <v>0</v>
      </c>
    </row>
    <row r="275" spans="1:23" x14ac:dyDescent="0.2">
      <c r="A275" s="17">
        <v>6489</v>
      </c>
      <c r="B275">
        <v>0</v>
      </c>
      <c r="C275">
        <v>0</v>
      </c>
      <c r="D275">
        <v>0</v>
      </c>
      <c r="E275">
        <v>0</v>
      </c>
      <c r="F275">
        <v>0</v>
      </c>
      <c r="G275">
        <v>0</v>
      </c>
      <c r="H275">
        <v>0</v>
      </c>
      <c r="I275">
        <v>0</v>
      </c>
      <c r="J275">
        <v>0</v>
      </c>
      <c r="K275">
        <v>0</v>
      </c>
      <c r="L275">
        <v>0</v>
      </c>
      <c r="M275">
        <v>0</v>
      </c>
      <c r="N275">
        <v>0</v>
      </c>
      <c r="P275" s="18">
        <f t="shared" si="33"/>
        <v>0</v>
      </c>
      <c r="Q275" s="18">
        <f t="shared" si="34"/>
        <v>0</v>
      </c>
      <c r="R275" s="18">
        <f t="shared" si="35"/>
        <v>0</v>
      </c>
      <c r="S275" s="18">
        <f t="shared" si="36"/>
        <v>0</v>
      </c>
      <c r="T275" s="18">
        <f t="shared" si="37"/>
        <v>0</v>
      </c>
      <c r="U275" s="18">
        <f t="shared" si="38"/>
        <v>0</v>
      </c>
      <c r="V275" s="18">
        <f t="shared" si="39"/>
        <v>0</v>
      </c>
      <c r="W275" s="18">
        <f t="shared" si="40"/>
        <v>0</v>
      </c>
    </row>
    <row r="276" spans="1:23" x14ac:dyDescent="0.2">
      <c r="A276" s="17">
        <v>6498</v>
      </c>
      <c r="B276">
        <v>0</v>
      </c>
      <c r="C276">
        <v>0</v>
      </c>
      <c r="D276">
        <v>0</v>
      </c>
      <c r="E276">
        <v>0</v>
      </c>
      <c r="F276">
        <v>0</v>
      </c>
      <c r="G276">
        <v>0</v>
      </c>
      <c r="H276">
        <v>0</v>
      </c>
      <c r="I276">
        <v>0</v>
      </c>
      <c r="J276">
        <v>0</v>
      </c>
      <c r="K276">
        <v>0</v>
      </c>
      <c r="L276">
        <v>0</v>
      </c>
      <c r="M276">
        <v>0</v>
      </c>
      <c r="N276">
        <v>0</v>
      </c>
      <c r="P276" s="18">
        <f t="shared" si="33"/>
        <v>0</v>
      </c>
      <c r="Q276" s="18">
        <f t="shared" si="34"/>
        <v>0</v>
      </c>
      <c r="R276" s="18">
        <f t="shared" si="35"/>
        <v>0</v>
      </c>
      <c r="S276" s="18">
        <f t="shared" si="36"/>
        <v>0</v>
      </c>
      <c r="T276" s="18">
        <f t="shared" si="37"/>
        <v>0</v>
      </c>
      <c r="U276" s="18">
        <f t="shared" si="38"/>
        <v>0</v>
      </c>
      <c r="V276" s="18">
        <f t="shared" si="39"/>
        <v>0</v>
      </c>
      <c r="W276" s="18">
        <f t="shared" si="40"/>
        <v>0</v>
      </c>
    </row>
    <row r="277" spans="1:23" x14ac:dyDescent="0.2">
      <c r="A277" s="17" t="s">
        <v>428</v>
      </c>
      <c r="B277">
        <v>0</v>
      </c>
      <c r="C277">
        <v>0</v>
      </c>
      <c r="D277">
        <v>0</v>
      </c>
      <c r="E277">
        <v>0</v>
      </c>
      <c r="F277">
        <v>0</v>
      </c>
      <c r="G277">
        <v>0</v>
      </c>
      <c r="H277">
        <v>0</v>
      </c>
      <c r="I277">
        <v>0</v>
      </c>
      <c r="J277">
        <v>0</v>
      </c>
      <c r="K277">
        <v>0</v>
      </c>
      <c r="L277">
        <v>0</v>
      </c>
      <c r="M277">
        <v>0</v>
      </c>
      <c r="N277">
        <v>0</v>
      </c>
      <c r="P277" s="18">
        <f t="shared" si="33"/>
        <v>0</v>
      </c>
      <c r="Q277" s="18">
        <f t="shared" si="34"/>
        <v>0</v>
      </c>
      <c r="R277" s="18">
        <f t="shared" si="35"/>
        <v>0</v>
      </c>
      <c r="S277" s="18">
        <f t="shared" si="36"/>
        <v>0</v>
      </c>
      <c r="T277" s="18">
        <f t="shared" si="37"/>
        <v>0</v>
      </c>
      <c r="U277" s="18">
        <f t="shared" si="38"/>
        <v>0</v>
      </c>
      <c r="V277" s="18">
        <f t="shared" si="39"/>
        <v>0</v>
      </c>
      <c r="W277" s="18">
        <f t="shared" si="40"/>
        <v>0</v>
      </c>
    </row>
    <row r="278" spans="1:23" x14ac:dyDescent="0.2">
      <c r="A278" s="17" t="s">
        <v>427</v>
      </c>
      <c r="B278">
        <v>0</v>
      </c>
      <c r="C278">
        <v>0</v>
      </c>
      <c r="D278">
        <v>0</v>
      </c>
      <c r="E278">
        <v>0</v>
      </c>
      <c r="F278">
        <v>0</v>
      </c>
      <c r="G278">
        <v>0</v>
      </c>
      <c r="H278">
        <v>0</v>
      </c>
      <c r="I278">
        <v>0</v>
      </c>
      <c r="J278">
        <v>0</v>
      </c>
      <c r="K278">
        <v>0</v>
      </c>
      <c r="L278">
        <v>0</v>
      </c>
      <c r="M278">
        <v>0</v>
      </c>
      <c r="N278">
        <v>0</v>
      </c>
      <c r="P278" s="18">
        <f t="shared" si="33"/>
        <v>0</v>
      </c>
      <c r="Q278" s="18">
        <f t="shared" si="34"/>
        <v>0</v>
      </c>
      <c r="R278" s="18">
        <f t="shared" si="35"/>
        <v>0</v>
      </c>
      <c r="S278" s="18">
        <f t="shared" si="36"/>
        <v>0</v>
      </c>
      <c r="T278" s="18">
        <f t="shared" si="37"/>
        <v>0</v>
      </c>
      <c r="U278" s="18">
        <f t="shared" si="38"/>
        <v>0</v>
      </c>
      <c r="V278" s="18">
        <f t="shared" si="39"/>
        <v>0</v>
      </c>
      <c r="W278" s="18">
        <f t="shared" si="40"/>
        <v>0</v>
      </c>
    </row>
    <row r="279" spans="1:23" x14ac:dyDescent="0.2">
      <c r="A279" s="17">
        <v>6506</v>
      </c>
      <c r="B279">
        <v>0</v>
      </c>
      <c r="C279">
        <v>0</v>
      </c>
      <c r="D279">
        <v>0</v>
      </c>
      <c r="E279">
        <v>0</v>
      </c>
      <c r="F279">
        <v>0</v>
      </c>
      <c r="G279">
        <v>0</v>
      </c>
      <c r="H279">
        <v>0</v>
      </c>
      <c r="I279">
        <v>0</v>
      </c>
      <c r="J279">
        <v>0</v>
      </c>
      <c r="K279">
        <v>0</v>
      </c>
      <c r="L279">
        <v>0</v>
      </c>
      <c r="M279">
        <v>0</v>
      </c>
      <c r="N279">
        <v>0</v>
      </c>
      <c r="P279" s="18">
        <f t="shared" si="33"/>
        <v>0</v>
      </c>
      <c r="Q279" s="18">
        <f t="shared" si="34"/>
        <v>0</v>
      </c>
      <c r="R279" s="18">
        <f t="shared" si="35"/>
        <v>0</v>
      </c>
      <c r="S279" s="18">
        <f t="shared" si="36"/>
        <v>0</v>
      </c>
      <c r="T279" s="18">
        <f t="shared" si="37"/>
        <v>0</v>
      </c>
      <c r="U279" s="18">
        <f t="shared" si="38"/>
        <v>0</v>
      </c>
      <c r="V279" s="18">
        <f t="shared" si="39"/>
        <v>0</v>
      </c>
      <c r="W279" s="18">
        <f t="shared" si="40"/>
        <v>0</v>
      </c>
    </row>
    <row r="280" spans="1:23" x14ac:dyDescent="0.2">
      <c r="A280" s="17">
        <v>6508</v>
      </c>
      <c r="B280">
        <v>0</v>
      </c>
      <c r="C280">
        <v>0</v>
      </c>
      <c r="D280">
        <v>0</v>
      </c>
      <c r="E280">
        <v>0</v>
      </c>
      <c r="F280">
        <v>0</v>
      </c>
      <c r="G280">
        <v>0</v>
      </c>
      <c r="H280">
        <v>0</v>
      </c>
      <c r="I280">
        <v>0</v>
      </c>
      <c r="J280">
        <v>0</v>
      </c>
      <c r="K280">
        <v>0</v>
      </c>
      <c r="L280">
        <v>0</v>
      </c>
      <c r="M280">
        <v>0</v>
      </c>
      <c r="N280">
        <v>0</v>
      </c>
      <c r="P280" s="18">
        <f t="shared" si="33"/>
        <v>0</v>
      </c>
      <c r="Q280" s="18">
        <f t="shared" si="34"/>
        <v>0</v>
      </c>
      <c r="R280" s="18">
        <f t="shared" si="35"/>
        <v>0</v>
      </c>
      <c r="S280" s="18">
        <f t="shared" si="36"/>
        <v>0</v>
      </c>
      <c r="T280" s="18">
        <f t="shared" si="37"/>
        <v>0</v>
      </c>
      <c r="U280" s="18">
        <f t="shared" si="38"/>
        <v>0</v>
      </c>
      <c r="V280" s="18">
        <f t="shared" si="39"/>
        <v>0</v>
      </c>
      <c r="W280" s="18">
        <f t="shared" si="40"/>
        <v>0</v>
      </c>
    </row>
    <row r="281" spans="1:23" x14ac:dyDescent="0.2">
      <c r="A281" s="17">
        <v>6512</v>
      </c>
      <c r="B281">
        <v>0</v>
      </c>
      <c r="C281">
        <v>0</v>
      </c>
      <c r="D281">
        <v>0</v>
      </c>
      <c r="E281">
        <v>0</v>
      </c>
      <c r="F281">
        <v>0</v>
      </c>
      <c r="G281">
        <v>0</v>
      </c>
      <c r="H281">
        <v>0</v>
      </c>
      <c r="I281">
        <v>0</v>
      </c>
      <c r="J281">
        <v>0</v>
      </c>
      <c r="K281">
        <v>0</v>
      </c>
      <c r="L281">
        <v>0</v>
      </c>
      <c r="M281">
        <v>0</v>
      </c>
      <c r="N281">
        <v>0</v>
      </c>
      <c r="P281" s="18">
        <f t="shared" si="33"/>
        <v>0</v>
      </c>
      <c r="Q281" s="18">
        <f t="shared" si="34"/>
        <v>0</v>
      </c>
      <c r="R281" s="18">
        <f t="shared" si="35"/>
        <v>0</v>
      </c>
      <c r="S281" s="18">
        <f t="shared" si="36"/>
        <v>0</v>
      </c>
      <c r="T281" s="18">
        <f t="shared" si="37"/>
        <v>0</v>
      </c>
      <c r="U281" s="18">
        <f t="shared" si="38"/>
        <v>0</v>
      </c>
      <c r="V281" s="18">
        <f t="shared" si="39"/>
        <v>0</v>
      </c>
      <c r="W281" s="18">
        <f t="shared" si="40"/>
        <v>0</v>
      </c>
    </row>
    <row r="282" spans="1:23" x14ac:dyDescent="0.2">
      <c r="A282" s="17">
        <v>6514</v>
      </c>
      <c r="B282">
        <v>0</v>
      </c>
      <c r="C282">
        <v>0</v>
      </c>
      <c r="D282">
        <v>0</v>
      </c>
      <c r="E282">
        <v>0</v>
      </c>
      <c r="F282">
        <v>0</v>
      </c>
      <c r="G282">
        <v>0</v>
      </c>
      <c r="H282">
        <v>0</v>
      </c>
      <c r="I282">
        <v>0</v>
      </c>
      <c r="J282">
        <v>0</v>
      </c>
      <c r="K282">
        <v>0</v>
      </c>
      <c r="L282">
        <v>0</v>
      </c>
      <c r="M282">
        <v>0</v>
      </c>
      <c r="N282">
        <v>0</v>
      </c>
      <c r="P282" s="18">
        <f t="shared" si="33"/>
        <v>0</v>
      </c>
      <c r="Q282" s="18">
        <f t="shared" si="34"/>
        <v>0</v>
      </c>
      <c r="R282" s="18">
        <f t="shared" si="35"/>
        <v>0</v>
      </c>
      <c r="S282" s="18">
        <f t="shared" si="36"/>
        <v>0</v>
      </c>
      <c r="T282" s="18">
        <f t="shared" si="37"/>
        <v>0</v>
      </c>
      <c r="U282" s="18">
        <f t="shared" si="38"/>
        <v>0</v>
      </c>
      <c r="V282" s="18">
        <f t="shared" si="39"/>
        <v>0</v>
      </c>
      <c r="W282" s="18">
        <f t="shared" si="40"/>
        <v>0</v>
      </c>
    </row>
    <row r="283" spans="1:23" x14ac:dyDescent="0.2">
      <c r="A283" s="17">
        <v>6515</v>
      </c>
      <c r="B283">
        <v>0</v>
      </c>
      <c r="C283">
        <v>0</v>
      </c>
      <c r="D283">
        <v>0</v>
      </c>
      <c r="E283">
        <v>0</v>
      </c>
      <c r="F283">
        <v>0</v>
      </c>
      <c r="G283">
        <v>0</v>
      </c>
      <c r="H283">
        <v>0</v>
      </c>
      <c r="I283">
        <v>0</v>
      </c>
      <c r="J283">
        <v>0</v>
      </c>
      <c r="K283">
        <v>0</v>
      </c>
      <c r="L283">
        <v>0</v>
      </c>
      <c r="M283">
        <v>0</v>
      </c>
      <c r="N283">
        <v>0</v>
      </c>
      <c r="P283" s="18">
        <f t="shared" si="33"/>
        <v>0</v>
      </c>
      <c r="Q283" s="18">
        <f t="shared" si="34"/>
        <v>0</v>
      </c>
      <c r="R283" s="18">
        <f t="shared" si="35"/>
        <v>0</v>
      </c>
      <c r="S283" s="18">
        <f t="shared" si="36"/>
        <v>0</v>
      </c>
      <c r="T283" s="18">
        <f t="shared" si="37"/>
        <v>0</v>
      </c>
      <c r="U283" s="18">
        <f t="shared" si="38"/>
        <v>0</v>
      </c>
      <c r="V283" s="18">
        <f t="shared" si="39"/>
        <v>0</v>
      </c>
      <c r="W283" s="18">
        <f t="shared" si="40"/>
        <v>0</v>
      </c>
    </row>
    <row r="284" spans="1:23" x14ac:dyDescent="0.2">
      <c r="A284" s="17">
        <v>6528</v>
      </c>
      <c r="B284">
        <v>0</v>
      </c>
      <c r="C284">
        <v>0</v>
      </c>
      <c r="D284">
        <v>0</v>
      </c>
      <c r="E284">
        <v>0</v>
      </c>
      <c r="F284">
        <v>0</v>
      </c>
      <c r="G284">
        <v>0</v>
      </c>
      <c r="H284">
        <v>0</v>
      </c>
      <c r="I284">
        <v>0</v>
      </c>
      <c r="J284">
        <v>0</v>
      </c>
      <c r="K284">
        <v>0</v>
      </c>
      <c r="L284">
        <v>0</v>
      </c>
      <c r="M284">
        <v>0</v>
      </c>
      <c r="N284">
        <v>0</v>
      </c>
      <c r="P284" s="18">
        <f t="shared" si="33"/>
        <v>0</v>
      </c>
      <c r="Q284" s="18">
        <f t="shared" si="34"/>
        <v>0</v>
      </c>
      <c r="R284" s="18">
        <f t="shared" si="35"/>
        <v>0</v>
      </c>
      <c r="S284" s="18">
        <f t="shared" si="36"/>
        <v>0</v>
      </c>
      <c r="T284" s="18">
        <f t="shared" si="37"/>
        <v>0</v>
      </c>
      <c r="U284" s="18">
        <f t="shared" si="38"/>
        <v>0</v>
      </c>
      <c r="V284" s="18">
        <f t="shared" si="39"/>
        <v>0</v>
      </c>
      <c r="W284" s="18">
        <f t="shared" si="40"/>
        <v>0</v>
      </c>
    </row>
    <row r="285" spans="1:23" x14ac:dyDescent="0.2">
      <c r="A285" s="17">
        <v>6479</v>
      </c>
      <c r="B285">
        <v>0</v>
      </c>
      <c r="C285">
        <v>0</v>
      </c>
      <c r="D285">
        <v>0</v>
      </c>
      <c r="E285">
        <v>0</v>
      </c>
      <c r="F285">
        <v>0</v>
      </c>
      <c r="G285">
        <v>0</v>
      </c>
      <c r="H285">
        <v>0</v>
      </c>
      <c r="I285">
        <v>0</v>
      </c>
      <c r="J285">
        <v>0</v>
      </c>
      <c r="K285">
        <v>0</v>
      </c>
      <c r="L285">
        <v>0</v>
      </c>
      <c r="M285">
        <v>0</v>
      </c>
      <c r="N285">
        <v>0</v>
      </c>
      <c r="P285" s="18">
        <f t="shared" si="33"/>
        <v>0</v>
      </c>
      <c r="Q285" s="18">
        <f t="shared" si="34"/>
        <v>0</v>
      </c>
      <c r="R285" s="18">
        <f t="shared" si="35"/>
        <v>0</v>
      </c>
      <c r="S285" s="18">
        <f t="shared" si="36"/>
        <v>0</v>
      </c>
      <c r="T285" s="18">
        <f t="shared" si="37"/>
        <v>0</v>
      </c>
      <c r="U285" s="18">
        <f t="shared" si="38"/>
        <v>0</v>
      </c>
      <c r="V285" s="18">
        <f t="shared" si="39"/>
        <v>0</v>
      </c>
      <c r="W285" s="18">
        <f t="shared" si="40"/>
        <v>0</v>
      </c>
    </row>
    <row r="286" spans="1:23" x14ac:dyDescent="0.2">
      <c r="A286" s="17">
        <v>6545</v>
      </c>
      <c r="B286">
        <v>0</v>
      </c>
      <c r="C286">
        <v>0</v>
      </c>
      <c r="D286">
        <v>0</v>
      </c>
      <c r="E286">
        <v>0</v>
      </c>
      <c r="F286">
        <v>0</v>
      </c>
      <c r="G286">
        <v>0</v>
      </c>
      <c r="H286">
        <v>0</v>
      </c>
      <c r="I286">
        <v>0</v>
      </c>
      <c r="J286">
        <v>0</v>
      </c>
      <c r="K286">
        <v>0</v>
      </c>
      <c r="L286">
        <v>0</v>
      </c>
      <c r="M286">
        <v>0</v>
      </c>
      <c r="N286">
        <v>0</v>
      </c>
      <c r="P286" s="18">
        <f t="shared" si="33"/>
        <v>0</v>
      </c>
      <c r="Q286" s="18">
        <f t="shared" si="34"/>
        <v>0</v>
      </c>
      <c r="R286" s="18">
        <f t="shared" si="35"/>
        <v>0</v>
      </c>
      <c r="S286" s="18">
        <f t="shared" si="36"/>
        <v>0</v>
      </c>
      <c r="T286" s="18">
        <f t="shared" si="37"/>
        <v>0</v>
      </c>
      <c r="U286" s="18">
        <f t="shared" si="38"/>
        <v>0</v>
      </c>
      <c r="V286" s="18">
        <f t="shared" si="39"/>
        <v>0</v>
      </c>
      <c r="W286" s="18">
        <f t="shared" si="40"/>
        <v>0</v>
      </c>
    </row>
    <row r="287" spans="1:23" x14ac:dyDescent="0.2">
      <c r="A287" s="17">
        <v>6554</v>
      </c>
      <c r="B287">
        <v>0</v>
      </c>
      <c r="C287">
        <v>0</v>
      </c>
      <c r="D287">
        <v>0</v>
      </c>
      <c r="E287">
        <v>0</v>
      </c>
      <c r="F287">
        <v>0</v>
      </c>
      <c r="G287">
        <v>0</v>
      </c>
      <c r="H287">
        <v>0</v>
      </c>
      <c r="I287">
        <v>0</v>
      </c>
      <c r="J287">
        <v>0</v>
      </c>
      <c r="K287">
        <v>0</v>
      </c>
      <c r="L287">
        <v>0</v>
      </c>
      <c r="M287">
        <v>0</v>
      </c>
      <c r="N287">
        <v>0</v>
      </c>
      <c r="P287" s="18">
        <f t="shared" si="33"/>
        <v>0</v>
      </c>
      <c r="Q287" s="18">
        <f t="shared" si="34"/>
        <v>0</v>
      </c>
      <c r="R287" s="18">
        <f t="shared" si="35"/>
        <v>0</v>
      </c>
      <c r="S287" s="18">
        <f t="shared" si="36"/>
        <v>0</v>
      </c>
      <c r="T287" s="18">
        <f t="shared" si="37"/>
        <v>0</v>
      </c>
      <c r="U287" s="18">
        <f t="shared" si="38"/>
        <v>0</v>
      </c>
      <c r="V287" s="18">
        <f t="shared" si="39"/>
        <v>0</v>
      </c>
      <c r="W287" s="18">
        <f t="shared" si="40"/>
        <v>0</v>
      </c>
    </row>
    <row r="288" spans="1:23" x14ac:dyDescent="0.2">
      <c r="A288" s="17">
        <v>6562</v>
      </c>
      <c r="B288">
        <v>0</v>
      </c>
      <c r="C288">
        <v>0</v>
      </c>
      <c r="D288">
        <v>0</v>
      </c>
      <c r="E288">
        <v>0</v>
      </c>
      <c r="F288">
        <v>0</v>
      </c>
      <c r="G288">
        <v>0</v>
      </c>
      <c r="H288">
        <v>0</v>
      </c>
      <c r="I288">
        <v>0</v>
      </c>
      <c r="J288">
        <v>0</v>
      </c>
      <c r="K288">
        <v>0</v>
      </c>
      <c r="L288">
        <v>0</v>
      </c>
      <c r="M288">
        <v>0</v>
      </c>
      <c r="N288">
        <v>0</v>
      </c>
      <c r="P288" s="18">
        <f t="shared" si="33"/>
        <v>0</v>
      </c>
      <c r="Q288" s="18">
        <f t="shared" si="34"/>
        <v>0</v>
      </c>
      <c r="R288" s="18">
        <f t="shared" si="35"/>
        <v>0</v>
      </c>
      <c r="S288" s="18">
        <f t="shared" si="36"/>
        <v>0</v>
      </c>
      <c r="T288" s="18">
        <f t="shared" si="37"/>
        <v>0</v>
      </c>
      <c r="U288" s="18">
        <f t="shared" si="38"/>
        <v>0</v>
      </c>
      <c r="V288" s="18">
        <f t="shared" si="39"/>
        <v>0</v>
      </c>
      <c r="W288" s="18">
        <f t="shared" si="40"/>
        <v>0</v>
      </c>
    </row>
    <row r="289" spans="1:23" x14ac:dyDescent="0.2">
      <c r="A289" s="17">
        <v>6563</v>
      </c>
      <c r="B289">
        <v>0</v>
      </c>
      <c r="C289">
        <v>0</v>
      </c>
      <c r="D289">
        <v>0</v>
      </c>
      <c r="E289">
        <v>0</v>
      </c>
      <c r="F289">
        <v>0</v>
      </c>
      <c r="G289">
        <v>0</v>
      </c>
      <c r="H289">
        <v>0</v>
      </c>
      <c r="I289">
        <v>0</v>
      </c>
      <c r="J289">
        <v>0</v>
      </c>
      <c r="K289">
        <v>0</v>
      </c>
      <c r="L289">
        <v>0</v>
      </c>
      <c r="M289">
        <v>0</v>
      </c>
      <c r="N289">
        <v>0</v>
      </c>
      <c r="P289" s="18">
        <f t="shared" si="33"/>
        <v>0</v>
      </c>
      <c r="Q289" s="18">
        <f t="shared" si="34"/>
        <v>0</v>
      </c>
      <c r="R289" s="18">
        <f t="shared" si="35"/>
        <v>0</v>
      </c>
      <c r="S289" s="18">
        <f t="shared" si="36"/>
        <v>0</v>
      </c>
      <c r="T289" s="18">
        <f t="shared" si="37"/>
        <v>0</v>
      </c>
      <c r="U289" s="18">
        <f t="shared" si="38"/>
        <v>0</v>
      </c>
      <c r="V289" s="18">
        <f t="shared" si="39"/>
        <v>0</v>
      </c>
      <c r="W289" s="18">
        <f t="shared" si="40"/>
        <v>0</v>
      </c>
    </row>
    <row r="290" spans="1:23" x14ac:dyDescent="0.2">
      <c r="A290" s="17">
        <v>6566</v>
      </c>
      <c r="B290">
        <v>0</v>
      </c>
      <c r="C290">
        <v>0</v>
      </c>
      <c r="D290">
        <v>0</v>
      </c>
      <c r="E290">
        <v>0</v>
      </c>
      <c r="F290">
        <v>0</v>
      </c>
      <c r="G290">
        <v>0</v>
      </c>
      <c r="H290">
        <v>0</v>
      </c>
      <c r="I290">
        <v>0</v>
      </c>
      <c r="J290">
        <v>0</v>
      </c>
      <c r="K290">
        <v>0</v>
      </c>
      <c r="L290">
        <v>0</v>
      </c>
      <c r="M290">
        <v>0</v>
      </c>
      <c r="N290">
        <v>0</v>
      </c>
      <c r="P290" s="18">
        <f t="shared" si="33"/>
        <v>0</v>
      </c>
      <c r="Q290" s="18">
        <f t="shared" si="34"/>
        <v>0</v>
      </c>
      <c r="R290" s="18">
        <f t="shared" si="35"/>
        <v>0</v>
      </c>
      <c r="S290" s="18">
        <f t="shared" si="36"/>
        <v>0</v>
      </c>
      <c r="T290" s="18">
        <f t="shared" si="37"/>
        <v>0</v>
      </c>
      <c r="U290" s="18">
        <f t="shared" si="38"/>
        <v>0</v>
      </c>
      <c r="V290" s="18">
        <f t="shared" si="39"/>
        <v>0</v>
      </c>
      <c r="W290" s="18">
        <f t="shared" si="40"/>
        <v>0</v>
      </c>
    </row>
    <row r="291" spans="1:23" x14ac:dyDescent="0.2">
      <c r="A291" s="17">
        <v>6585</v>
      </c>
      <c r="B291">
        <v>0</v>
      </c>
      <c r="C291">
        <v>0</v>
      </c>
      <c r="D291">
        <v>0</v>
      </c>
      <c r="E291">
        <v>0</v>
      </c>
      <c r="F291">
        <v>0</v>
      </c>
      <c r="G291">
        <v>0</v>
      </c>
      <c r="H291">
        <v>0</v>
      </c>
      <c r="I291">
        <v>0</v>
      </c>
      <c r="J291">
        <v>0</v>
      </c>
      <c r="K291">
        <v>0</v>
      </c>
      <c r="L291">
        <v>0</v>
      </c>
      <c r="M291">
        <v>0</v>
      </c>
      <c r="N291">
        <v>0</v>
      </c>
      <c r="P291" s="18">
        <f t="shared" si="33"/>
        <v>0</v>
      </c>
      <c r="Q291" s="18">
        <f t="shared" si="34"/>
        <v>0</v>
      </c>
      <c r="R291" s="18">
        <f t="shared" si="35"/>
        <v>0</v>
      </c>
      <c r="S291" s="18">
        <f t="shared" si="36"/>
        <v>0</v>
      </c>
      <c r="T291" s="18">
        <f t="shared" si="37"/>
        <v>0</v>
      </c>
      <c r="U291" s="18">
        <f t="shared" si="38"/>
        <v>0</v>
      </c>
      <c r="V291" s="18">
        <f t="shared" si="39"/>
        <v>0</v>
      </c>
      <c r="W291" s="18">
        <f t="shared" si="40"/>
        <v>0</v>
      </c>
    </row>
    <row r="292" spans="1:23" x14ac:dyDescent="0.2">
      <c r="A292" s="17">
        <v>6586</v>
      </c>
      <c r="B292">
        <v>0</v>
      </c>
      <c r="C292">
        <v>0</v>
      </c>
      <c r="D292">
        <v>0</v>
      </c>
      <c r="E292">
        <v>0</v>
      </c>
      <c r="F292">
        <v>0</v>
      </c>
      <c r="G292">
        <v>0</v>
      </c>
      <c r="H292">
        <v>0</v>
      </c>
      <c r="I292">
        <v>0</v>
      </c>
      <c r="J292">
        <v>0</v>
      </c>
      <c r="K292">
        <v>0</v>
      </c>
      <c r="L292">
        <v>0</v>
      </c>
      <c r="M292">
        <v>0</v>
      </c>
      <c r="N292">
        <v>0</v>
      </c>
      <c r="P292" s="18">
        <f t="shared" si="33"/>
        <v>0</v>
      </c>
      <c r="Q292" s="18">
        <f t="shared" si="34"/>
        <v>0</v>
      </c>
      <c r="R292" s="18">
        <f t="shared" si="35"/>
        <v>0</v>
      </c>
      <c r="S292" s="18">
        <f t="shared" si="36"/>
        <v>0</v>
      </c>
      <c r="T292" s="18">
        <f t="shared" si="37"/>
        <v>0</v>
      </c>
      <c r="U292" s="18">
        <f t="shared" si="38"/>
        <v>0</v>
      </c>
      <c r="V292" s="18">
        <f t="shared" si="39"/>
        <v>0</v>
      </c>
      <c r="W292" s="18">
        <f t="shared" si="40"/>
        <v>0</v>
      </c>
    </row>
    <row r="293" spans="1:23" x14ac:dyDescent="0.2">
      <c r="A293" s="17">
        <v>6596</v>
      </c>
      <c r="B293">
        <v>0</v>
      </c>
      <c r="C293">
        <v>0</v>
      </c>
      <c r="D293">
        <v>0</v>
      </c>
      <c r="E293">
        <v>0</v>
      </c>
      <c r="F293">
        <v>0</v>
      </c>
      <c r="G293">
        <v>0</v>
      </c>
      <c r="H293">
        <v>0</v>
      </c>
      <c r="I293">
        <v>0</v>
      </c>
      <c r="J293">
        <v>0</v>
      </c>
      <c r="K293">
        <v>0</v>
      </c>
      <c r="L293">
        <v>0</v>
      </c>
      <c r="M293">
        <v>0</v>
      </c>
      <c r="N293">
        <v>0</v>
      </c>
      <c r="P293" s="18">
        <f t="shared" si="33"/>
        <v>0</v>
      </c>
      <c r="Q293" s="18">
        <f t="shared" si="34"/>
        <v>0</v>
      </c>
      <c r="R293" s="18">
        <f t="shared" si="35"/>
        <v>0</v>
      </c>
      <c r="S293" s="18">
        <f t="shared" si="36"/>
        <v>0</v>
      </c>
      <c r="T293" s="18">
        <f t="shared" si="37"/>
        <v>0</v>
      </c>
      <c r="U293" s="18">
        <f t="shared" si="38"/>
        <v>0</v>
      </c>
      <c r="V293" s="18">
        <f t="shared" si="39"/>
        <v>0</v>
      </c>
      <c r="W293" s="18">
        <f t="shared" si="40"/>
        <v>0</v>
      </c>
    </row>
    <row r="294" spans="1:23" x14ac:dyDescent="0.2">
      <c r="A294" s="17">
        <v>6598</v>
      </c>
      <c r="B294">
        <v>0</v>
      </c>
      <c r="C294">
        <v>0</v>
      </c>
      <c r="D294">
        <v>0</v>
      </c>
      <c r="E294">
        <v>0</v>
      </c>
      <c r="F294">
        <v>0</v>
      </c>
      <c r="G294">
        <v>0</v>
      </c>
      <c r="H294">
        <v>0</v>
      </c>
      <c r="I294">
        <v>0</v>
      </c>
      <c r="J294">
        <v>0</v>
      </c>
      <c r="K294">
        <v>0</v>
      </c>
      <c r="L294">
        <v>0</v>
      </c>
      <c r="M294">
        <v>0</v>
      </c>
      <c r="N294">
        <v>0</v>
      </c>
      <c r="P294" s="18">
        <f t="shared" si="33"/>
        <v>0</v>
      </c>
      <c r="Q294" s="18">
        <f t="shared" si="34"/>
        <v>0</v>
      </c>
      <c r="R294" s="18">
        <f t="shared" si="35"/>
        <v>0</v>
      </c>
      <c r="S294" s="18">
        <f t="shared" si="36"/>
        <v>0</v>
      </c>
      <c r="T294" s="18">
        <f t="shared" si="37"/>
        <v>0</v>
      </c>
      <c r="U294" s="18">
        <f t="shared" si="38"/>
        <v>0</v>
      </c>
      <c r="V294" s="18">
        <f t="shared" si="39"/>
        <v>0</v>
      </c>
      <c r="W294" s="18">
        <f t="shared" si="40"/>
        <v>0</v>
      </c>
    </row>
    <row r="295" spans="1:23" x14ac:dyDescent="0.2">
      <c r="A295" s="17">
        <v>6600</v>
      </c>
      <c r="B295">
        <v>0</v>
      </c>
      <c r="C295">
        <v>0</v>
      </c>
      <c r="D295">
        <v>0</v>
      </c>
      <c r="E295">
        <v>0</v>
      </c>
      <c r="F295">
        <v>0</v>
      </c>
      <c r="G295">
        <v>0</v>
      </c>
      <c r="H295">
        <v>0</v>
      </c>
      <c r="I295">
        <v>0</v>
      </c>
      <c r="J295">
        <v>0</v>
      </c>
      <c r="K295">
        <v>0</v>
      </c>
      <c r="L295">
        <v>0</v>
      </c>
      <c r="M295">
        <v>0</v>
      </c>
      <c r="N295">
        <v>0</v>
      </c>
      <c r="P295" s="18">
        <f t="shared" si="33"/>
        <v>0</v>
      </c>
      <c r="Q295" s="18">
        <f t="shared" si="34"/>
        <v>0</v>
      </c>
      <c r="R295" s="18">
        <f t="shared" si="35"/>
        <v>0</v>
      </c>
      <c r="S295" s="18">
        <f t="shared" si="36"/>
        <v>0</v>
      </c>
      <c r="T295" s="18">
        <f t="shared" si="37"/>
        <v>0</v>
      </c>
      <c r="U295" s="18">
        <f t="shared" si="38"/>
        <v>0</v>
      </c>
      <c r="V295" s="18">
        <f t="shared" si="39"/>
        <v>0</v>
      </c>
      <c r="W295" s="18">
        <f t="shared" si="40"/>
        <v>0</v>
      </c>
    </row>
    <row r="296" spans="1:23" x14ac:dyDescent="0.2">
      <c r="A296" s="17">
        <v>6605</v>
      </c>
      <c r="B296">
        <v>0</v>
      </c>
      <c r="C296">
        <v>0</v>
      </c>
      <c r="D296">
        <v>0</v>
      </c>
      <c r="E296">
        <v>0</v>
      </c>
      <c r="F296">
        <v>0</v>
      </c>
      <c r="G296">
        <v>0</v>
      </c>
      <c r="H296">
        <v>0</v>
      </c>
      <c r="I296">
        <v>0</v>
      </c>
      <c r="J296">
        <v>0</v>
      </c>
      <c r="K296">
        <v>0</v>
      </c>
      <c r="L296">
        <v>0</v>
      </c>
      <c r="M296">
        <v>0</v>
      </c>
      <c r="N296">
        <v>0</v>
      </c>
      <c r="P296" s="18">
        <f t="shared" si="33"/>
        <v>0</v>
      </c>
      <c r="Q296" s="18">
        <f t="shared" si="34"/>
        <v>0</v>
      </c>
      <c r="R296" s="18">
        <f t="shared" si="35"/>
        <v>0</v>
      </c>
      <c r="S296" s="18">
        <f t="shared" si="36"/>
        <v>0</v>
      </c>
      <c r="T296" s="18">
        <f t="shared" si="37"/>
        <v>0</v>
      </c>
      <c r="U296" s="18">
        <f t="shared" si="38"/>
        <v>0</v>
      </c>
      <c r="V296" s="18">
        <f t="shared" si="39"/>
        <v>0</v>
      </c>
      <c r="W296" s="18">
        <f t="shared" si="40"/>
        <v>0</v>
      </c>
    </row>
    <row r="297" spans="1:23" x14ac:dyDescent="0.2">
      <c r="A297" s="17">
        <v>6624</v>
      </c>
      <c r="B297">
        <v>0</v>
      </c>
      <c r="C297">
        <v>0</v>
      </c>
      <c r="D297">
        <v>0</v>
      </c>
      <c r="E297">
        <v>0</v>
      </c>
      <c r="F297">
        <v>0</v>
      </c>
      <c r="G297">
        <v>0</v>
      </c>
      <c r="H297">
        <v>0</v>
      </c>
      <c r="I297">
        <v>0</v>
      </c>
      <c r="J297">
        <v>0</v>
      </c>
      <c r="K297">
        <v>0</v>
      </c>
      <c r="L297">
        <v>0</v>
      </c>
      <c r="M297">
        <v>0</v>
      </c>
      <c r="N297">
        <v>0</v>
      </c>
      <c r="P297" s="18">
        <f t="shared" si="33"/>
        <v>0</v>
      </c>
      <c r="Q297" s="18">
        <f t="shared" si="34"/>
        <v>0</v>
      </c>
      <c r="R297" s="18">
        <f t="shared" si="35"/>
        <v>0</v>
      </c>
      <c r="S297" s="18">
        <f t="shared" si="36"/>
        <v>0</v>
      </c>
      <c r="T297" s="18">
        <f t="shared" si="37"/>
        <v>0</v>
      </c>
      <c r="U297" s="18">
        <f t="shared" si="38"/>
        <v>0</v>
      </c>
      <c r="V297" s="18">
        <f t="shared" si="39"/>
        <v>0</v>
      </c>
      <c r="W297" s="18">
        <f t="shared" si="40"/>
        <v>0</v>
      </c>
    </row>
    <row r="298" spans="1:23" x14ac:dyDescent="0.2">
      <c r="A298" s="17">
        <v>6628</v>
      </c>
      <c r="B298">
        <v>0</v>
      </c>
      <c r="C298">
        <v>0</v>
      </c>
      <c r="D298">
        <v>0</v>
      </c>
      <c r="E298">
        <v>0</v>
      </c>
      <c r="F298">
        <v>0</v>
      </c>
      <c r="G298">
        <v>0</v>
      </c>
      <c r="H298">
        <v>0</v>
      </c>
      <c r="I298">
        <v>0</v>
      </c>
      <c r="J298">
        <v>0</v>
      </c>
      <c r="K298">
        <v>0</v>
      </c>
      <c r="L298">
        <v>0</v>
      </c>
      <c r="M298">
        <v>0</v>
      </c>
      <c r="N298">
        <v>0</v>
      </c>
      <c r="P298" s="18">
        <f t="shared" si="33"/>
        <v>0</v>
      </c>
      <c r="Q298" s="18">
        <f t="shared" si="34"/>
        <v>0</v>
      </c>
      <c r="R298" s="18">
        <f t="shared" si="35"/>
        <v>0</v>
      </c>
      <c r="S298" s="18">
        <f t="shared" si="36"/>
        <v>0</v>
      </c>
      <c r="T298" s="18">
        <f t="shared" si="37"/>
        <v>0</v>
      </c>
      <c r="U298" s="18">
        <f t="shared" si="38"/>
        <v>0</v>
      </c>
      <c r="V298" s="18">
        <f t="shared" si="39"/>
        <v>0</v>
      </c>
      <c r="W298" s="18">
        <f t="shared" si="40"/>
        <v>0</v>
      </c>
    </row>
    <row r="299" spans="1:23" x14ac:dyDescent="0.2">
      <c r="A299" s="17">
        <v>6630</v>
      </c>
      <c r="B299">
        <v>0</v>
      </c>
      <c r="C299">
        <v>0</v>
      </c>
      <c r="D299">
        <v>0</v>
      </c>
      <c r="E299">
        <v>0</v>
      </c>
      <c r="F299">
        <v>0</v>
      </c>
      <c r="G299">
        <v>0</v>
      </c>
      <c r="H299">
        <v>0</v>
      </c>
      <c r="I299">
        <v>0</v>
      </c>
      <c r="J299">
        <v>0</v>
      </c>
      <c r="K299">
        <v>0</v>
      </c>
      <c r="L299">
        <v>0</v>
      </c>
      <c r="M299">
        <v>0</v>
      </c>
      <c r="N299">
        <v>0</v>
      </c>
      <c r="P299" s="18">
        <f t="shared" si="33"/>
        <v>0</v>
      </c>
      <c r="Q299" s="18">
        <f t="shared" si="34"/>
        <v>0</v>
      </c>
      <c r="R299" s="18">
        <f t="shared" si="35"/>
        <v>0</v>
      </c>
      <c r="S299" s="18">
        <f t="shared" si="36"/>
        <v>0</v>
      </c>
      <c r="T299" s="18">
        <f t="shared" si="37"/>
        <v>0</v>
      </c>
      <c r="U299" s="18">
        <f t="shared" si="38"/>
        <v>0</v>
      </c>
      <c r="V299" s="18">
        <f t="shared" si="39"/>
        <v>0</v>
      </c>
      <c r="W299" s="18">
        <f t="shared" si="40"/>
        <v>0</v>
      </c>
    </row>
    <row r="300" spans="1:23" x14ac:dyDescent="0.2">
      <c r="A300" s="17">
        <v>6633</v>
      </c>
      <c r="B300">
        <v>0</v>
      </c>
      <c r="C300">
        <v>0</v>
      </c>
      <c r="D300">
        <v>0</v>
      </c>
      <c r="E300">
        <v>0</v>
      </c>
      <c r="F300">
        <v>0</v>
      </c>
      <c r="G300">
        <v>0</v>
      </c>
      <c r="H300">
        <v>0</v>
      </c>
      <c r="I300">
        <v>0</v>
      </c>
      <c r="J300">
        <v>0</v>
      </c>
      <c r="K300">
        <v>0</v>
      </c>
      <c r="L300">
        <v>0</v>
      </c>
      <c r="M300">
        <v>0</v>
      </c>
      <c r="N300">
        <v>0</v>
      </c>
      <c r="P300" s="18">
        <f t="shared" si="33"/>
        <v>0</v>
      </c>
      <c r="Q300" s="18">
        <f t="shared" si="34"/>
        <v>0</v>
      </c>
      <c r="R300" s="18">
        <f t="shared" si="35"/>
        <v>0</v>
      </c>
      <c r="S300" s="18">
        <f t="shared" si="36"/>
        <v>0</v>
      </c>
      <c r="T300" s="18">
        <f t="shared" si="37"/>
        <v>0</v>
      </c>
      <c r="U300" s="18">
        <f t="shared" si="38"/>
        <v>0</v>
      </c>
      <c r="V300" s="18">
        <f t="shared" si="39"/>
        <v>0</v>
      </c>
      <c r="W300" s="18">
        <f t="shared" si="40"/>
        <v>0</v>
      </c>
    </row>
    <row r="301" spans="1:23" x14ac:dyDescent="0.2">
      <c r="A301" s="17">
        <v>6648</v>
      </c>
      <c r="B301">
        <v>0</v>
      </c>
      <c r="C301">
        <v>0</v>
      </c>
      <c r="D301">
        <v>0</v>
      </c>
      <c r="E301">
        <v>0</v>
      </c>
      <c r="F301">
        <v>0</v>
      </c>
      <c r="G301">
        <v>0</v>
      </c>
      <c r="H301">
        <v>0</v>
      </c>
      <c r="I301">
        <v>0</v>
      </c>
      <c r="J301">
        <v>0</v>
      </c>
      <c r="K301">
        <v>0</v>
      </c>
      <c r="L301">
        <v>0</v>
      </c>
      <c r="M301">
        <v>0</v>
      </c>
      <c r="N301">
        <v>0</v>
      </c>
      <c r="P301" s="18">
        <f t="shared" si="33"/>
        <v>0</v>
      </c>
      <c r="Q301" s="18">
        <f t="shared" si="34"/>
        <v>0</v>
      </c>
      <c r="R301" s="18">
        <f t="shared" si="35"/>
        <v>0</v>
      </c>
      <c r="S301" s="18">
        <f t="shared" si="36"/>
        <v>0</v>
      </c>
      <c r="T301" s="18">
        <f t="shared" si="37"/>
        <v>0</v>
      </c>
      <c r="U301" s="18">
        <f t="shared" si="38"/>
        <v>0</v>
      </c>
      <c r="V301" s="18">
        <f t="shared" si="39"/>
        <v>0</v>
      </c>
      <c r="W301" s="18">
        <f t="shared" si="40"/>
        <v>0</v>
      </c>
    </row>
    <row r="302" spans="1:23" x14ac:dyDescent="0.2">
      <c r="A302" s="17">
        <v>6552</v>
      </c>
      <c r="B302">
        <v>0</v>
      </c>
      <c r="C302">
        <v>0</v>
      </c>
      <c r="D302">
        <v>0</v>
      </c>
      <c r="E302">
        <v>0</v>
      </c>
      <c r="F302">
        <v>0</v>
      </c>
      <c r="G302">
        <v>0</v>
      </c>
      <c r="H302">
        <v>0</v>
      </c>
      <c r="I302">
        <v>0</v>
      </c>
      <c r="J302">
        <v>0</v>
      </c>
      <c r="K302">
        <v>0</v>
      </c>
      <c r="L302">
        <v>0</v>
      </c>
      <c r="M302">
        <v>0</v>
      </c>
      <c r="N302">
        <v>0</v>
      </c>
      <c r="P302" s="18">
        <f t="shared" si="33"/>
        <v>0</v>
      </c>
      <c r="Q302" s="18">
        <f t="shared" si="34"/>
        <v>0</v>
      </c>
      <c r="R302" s="18">
        <f t="shared" si="35"/>
        <v>0</v>
      </c>
      <c r="S302" s="18">
        <f t="shared" si="36"/>
        <v>0</v>
      </c>
      <c r="T302" s="18">
        <f t="shared" si="37"/>
        <v>0</v>
      </c>
      <c r="U302" s="18">
        <f t="shared" si="38"/>
        <v>0</v>
      </c>
      <c r="V302" s="18">
        <f t="shared" si="39"/>
        <v>0</v>
      </c>
      <c r="W302" s="18">
        <f t="shared" si="40"/>
        <v>0</v>
      </c>
    </row>
    <row r="303" spans="1:23" x14ac:dyDescent="0.2">
      <c r="A303" s="17">
        <v>6646</v>
      </c>
      <c r="B303">
        <v>0</v>
      </c>
      <c r="C303">
        <v>0</v>
      </c>
      <c r="D303">
        <v>0</v>
      </c>
      <c r="E303">
        <v>0</v>
      </c>
      <c r="F303">
        <v>0</v>
      </c>
      <c r="G303">
        <v>0</v>
      </c>
      <c r="H303">
        <v>9.5999999999999992E-3</v>
      </c>
      <c r="I303">
        <v>0</v>
      </c>
      <c r="J303">
        <v>0</v>
      </c>
      <c r="K303">
        <v>0</v>
      </c>
      <c r="L303">
        <v>0</v>
      </c>
      <c r="M303">
        <v>0</v>
      </c>
      <c r="N303">
        <v>0</v>
      </c>
      <c r="P303" s="18">
        <f t="shared" si="33"/>
        <v>0</v>
      </c>
      <c r="Q303" s="18">
        <f t="shared" si="34"/>
        <v>9.5999999999999992E-3</v>
      </c>
      <c r="R303" s="18">
        <f t="shared" si="35"/>
        <v>0</v>
      </c>
      <c r="S303" s="18">
        <f t="shared" si="36"/>
        <v>0</v>
      </c>
      <c r="T303" s="18">
        <f t="shared" si="37"/>
        <v>0</v>
      </c>
      <c r="U303" s="18">
        <f t="shared" si="38"/>
        <v>0</v>
      </c>
      <c r="V303" s="18">
        <f t="shared" si="39"/>
        <v>0</v>
      </c>
      <c r="W303" s="18">
        <f t="shared" si="40"/>
        <v>0</v>
      </c>
    </row>
    <row r="304" spans="1:23" x14ac:dyDescent="0.2">
      <c r="A304" s="17">
        <v>6634</v>
      </c>
      <c r="B304">
        <v>0</v>
      </c>
      <c r="C304">
        <v>0</v>
      </c>
      <c r="D304">
        <v>0</v>
      </c>
      <c r="E304">
        <v>0</v>
      </c>
      <c r="F304">
        <v>0</v>
      </c>
      <c r="G304">
        <v>0</v>
      </c>
      <c r="H304">
        <v>0</v>
      </c>
      <c r="I304">
        <v>0</v>
      </c>
      <c r="J304">
        <v>0</v>
      </c>
      <c r="K304">
        <v>0</v>
      </c>
      <c r="L304">
        <v>0</v>
      </c>
      <c r="M304">
        <v>0</v>
      </c>
      <c r="N304">
        <v>0</v>
      </c>
      <c r="P304" s="18">
        <f t="shared" si="33"/>
        <v>0</v>
      </c>
      <c r="Q304" s="18">
        <f t="shared" si="34"/>
        <v>0</v>
      </c>
      <c r="R304" s="18">
        <f t="shared" si="35"/>
        <v>0</v>
      </c>
      <c r="S304" s="18">
        <f t="shared" si="36"/>
        <v>0</v>
      </c>
      <c r="T304" s="18">
        <f t="shared" si="37"/>
        <v>0</v>
      </c>
      <c r="U304" s="18">
        <f t="shared" si="38"/>
        <v>0</v>
      </c>
      <c r="V304" s="18">
        <f t="shared" si="39"/>
        <v>0</v>
      </c>
      <c r="W304" s="18">
        <f t="shared" si="40"/>
        <v>0</v>
      </c>
    </row>
    <row r="305" spans="1:23" x14ac:dyDescent="0.2">
      <c r="A305" s="17">
        <v>6686</v>
      </c>
      <c r="B305">
        <v>0</v>
      </c>
      <c r="C305">
        <v>0</v>
      </c>
      <c r="D305">
        <v>0</v>
      </c>
      <c r="E305">
        <v>0</v>
      </c>
      <c r="F305">
        <v>0</v>
      </c>
      <c r="G305">
        <v>0</v>
      </c>
      <c r="H305">
        <v>0</v>
      </c>
      <c r="I305">
        <v>0</v>
      </c>
      <c r="J305">
        <v>0</v>
      </c>
      <c r="K305">
        <v>0</v>
      </c>
      <c r="L305">
        <v>0</v>
      </c>
      <c r="M305">
        <v>0</v>
      </c>
      <c r="N305">
        <v>0</v>
      </c>
      <c r="P305" s="18">
        <f t="shared" si="33"/>
        <v>0</v>
      </c>
      <c r="Q305" s="18">
        <f t="shared" si="34"/>
        <v>0</v>
      </c>
      <c r="R305" s="18">
        <f t="shared" si="35"/>
        <v>0</v>
      </c>
      <c r="S305" s="18">
        <f t="shared" si="36"/>
        <v>0</v>
      </c>
      <c r="T305" s="18">
        <f t="shared" si="37"/>
        <v>0</v>
      </c>
      <c r="U305" s="18">
        <f t="shared" si="38"/>
        <v>0</v>
      </c>
      <c r="V305" s="18">
        <f t="shared" si="39"/>
        <v>0</v>
      </c>
      <c r="W305" s="18">
        <f t="shared" si="40"/>
        <v>0</v>
      </c>
    </row>
    <row r="306" spans="1:23" x14ac:dyDescent="0.2">
      <c r="A306" s="17">
        <v>6583</v>
      </c>
      <c r="B306">
        <v>0</v>
      </c>
      <c r="C306">
        <v>0</v>
      </c>
      <c r="D306">
        <v>0</v>
      </c>
      <c r="E306">
        <v>0</v>
      </c>
      <c r="F306">
        <v>0</v>
      </c>
      <c r="G306">
        <v>0</v>
      </c>
      <c r="H306">
        <v>0</v>
      </c>
      <c r="I306">
        <v>0</v>
      </c>
      <c r="J306">
        <v>0</v>
      </c>
      <c r="K306">
        <v>0</v>
      </c>
      <c r="L306">
        <v>0</v>
      </c>
      <c r="M306">
        <v>0</v>
      </c>
      <c r="N306">
        <v>0</v>
      </c>
      <c r="P306" s="18">
        <f t="shared" si="33"/>
        <v>0</v>
      </c>
      <c r="Q306" s="18">
        <f t="shared" si="34"/>
        <v>0</v>
      </c>
      <c r="R306" s="18">
        <f t="shared" si="35"/>
        <v>0</v>
      </c>
      <c r="S306" s="18">
        <f t="shared" si="36"/>
        <v>0</v>
      </c>
      <c r="T306" s="18">
        <f t="shared" si="37"/>
        <v>0</v>
      </c>
      <c r="U306" s="18">
        <f t="shared" si="38"/>
        <v>0</v>
      </c>
      <c r="V306" s="18">
        <f t="shared" si="39"/>
        <v>0</v>
      </c>
      <c r="W306" s="18">
        <f t="shared" si="40"/>
        <v>0</v>
      </c>
    </row>
    <row r="307" spans="1:23" x14ac:dyDescent="0.2">
      <c r="A307" s="17" t="s">
        <v>434</v>
      </c>
      <c r="B307">
        <v>0</v>
      </c>
      <c r="C307">
        <v>0</v>
      </c>
      <c r="D307">
        <v>0</v>
      </c>
      <c r="E307">
        <v>0</v>
      </c>
      <c r="F307">
        <v>0</v>
      </c>
      <c r="G307">
        <v>0</v>
      </c>
      <c r="H307">
        <v>0</v>
      </c>
      <c r="I307">
        <v>0</v>
      </c>
      <c r="J307">
        <v>0</v>
      </c>
      <c r="K307">
        <v>0</v>
      </c>
      <c r="L307">
        <v>0</v>
      </c>
      <c r="M307">
        <v>0</v>
      </c>
      <c r="N307">
        <v>0</v>
      </c>
      <c r="P307" s="18">
        <f t="shared" si="33"/>
        <v>0</v>
      </c>
      <c r="Q307" s="18">
        <f t="shared" si="34"/>
        <v>0</v>
      </c>
      <c r="R307" s="18">
        <f t="shared" si="35"/>
        <v>0</v>
      </c>
      <c r="S307" s="18">
        <f t="shared" si="36"/>
        <v>0</v>
      </c>
      <c r="T307" s="18">
        <f t="shared" si="37"/>
        <v>0</v>
      </c>
      <c r="U307" s="18">
        <f t="shared" si="38"/>
        <v>0</v>
      </c>
      <c r="V307" s="18">
        <f t="shared" si="39"/>
        <v>0</v>
      </c>
      <c r="W307" s="18">
        <f t="shared" si="40"/>
        <v>0</v>
      </c>
    </row>
    <row r="308" spans="1:23" x14ac:dyDescent="0.2">
      <c r="A308" s="17" t="s">
        <v>435</v>
      </c>
      <c r="B308">
        <v>0</v>
      </c>
      <c r="C308">
        <v>0</v>
      </c>
      <c r="D308">
        <v>0</v>
      </c>
      <c r="E308">
        <v>0</v>
      </c>
      <c r="F308">
        <v>0</v>
      </c>
      <c r="G308">
        <v>0</v>
      </c>
      <c r="H308">
        <v>0</v>
      </c>
      <c r="I308">
        <v>0</v>
      </c>
      <c r="J308">
        <v>0</v>
      </c>
      <c r="K308">
        <v>0</v>
      </c>
      <c r="L308">
        <v>1.6799999999999999E-2</v>
      </c>
      <c r="M308">
        <v>0</v>
      </c>
      <c r="N308">
        <v>0</v>
      </c>
      <c r="P308" s="18">
        <f t="shared" si="33"/>
        <v>0</v>
      </c>
      <c r="Q308" s="18">
        <f t="shared" si="34"/>
        <v>0</v>
      </c>
      <c r="R308" s="18">
        <f t="shared" si="35"/>
        <v>0</v>
      </c>
      <c r="S308" s="18">
        <f t="shared" si="36"/>
        <v>0</v>
      </c>
      <c r="T308" s="18">
        <f t="shared" si="37"/>
        <v>0</v>
      </c>
      <c r="U308" s="18">
        <f t="shared" si="38"/>
        <v>1.6799999999999999E-2</v>
      </c>
      <c r="V308" s="18">
        <f t="shared" si="39"/>
        <v>0</v>
      </c>
      <c r="W308" s="18">
        <f t="shared" si="40"/>
        <v>0</v>
      </c>
    </row>
    <row r="309" spans="1:23" x14ac:dyDescent="0.2">
      <c r="A309" s="17">
        <v>6657</v>
      </c>
      <c r="B309">
        <v>0</v>
      </c>
      <c r="C309">
        <v>0</v>
      </c>
      <c r="D309">
        <v>0</v>
      </c>
      <c r="E309">
        <v>0</v>
      </c>
      <c r="F309">
        <v>0</v>
      </c>
      <c r="G309">
        <v>0</v>
      </c>
      <c r="H309">
        <v>0</v>
      </c>
      <c r="I309">
        <v>0</v>
      </c>
      <c r="J309">
        <v>0</v>
      </c>
      <c r="K309">
        <v>0</v>
      </c>
      <c r="L309">
        <v>0</v>
      </c>
      <c r="M309">
        <v>0</v>
      </c>
      <c r="N309">
        <v>0</v>
      </c>
      <c r="P309" s="18">
        <f t="shared" ref="P309:P325" si="41">SUM(B309,G309)</f>
        <v>0</v>
      </c>
      <c r="Q309" s="18">
        <f t="shared" ref="Q309:Q325" si="42">SUM(C309,H309)</f>
        <v>0</v>
      </c>
      <c r="R309" s="18">
        <f t="shared" ref="R309:R325" si="43">SUM(D309,I309)</f>
        <v>0</v>
      </c>
      <c r="S309" s="18">
        <f t="shared" ref="S309:S325" si="44">SUM(E309,J309)</f>
        <v>0</v>
      </c>
      <c r="T309" s="18">
        <f t="shared" ref="T309:T325" si="45">K309</f>
        <v>0</v>
      </c>
      <c r="U309" s="18">
        <f t="shared" ref="U309:U325" si="46">L309</f>
        <v>0</v>
      </c>
      <c r="V309" s="18">
        <f t="shared" ref="V309:V325" si="47">M309</f>
        <v>0</v>
      </c>
      <c r="W309" s="18">
        <f t="shared" ref="W309:W325" si="48">SUM(F309,N309)</f>
        <v>0</v>
      </c>
    </row>
    <row r="310" spans="1:23" x14ac:dyDescent="0.2">
      <c r="A310">
        <v>6667</v>
      </c>
      <c r="B310">
        <v>0</v>
      </c>
      <c r="C310">
        <v>0</v>
      </c>
      <c r="D310">
        <v>0</v>
      </c>
      <c r="E310">
        <v>0</v>
      </c>
      <c r="F310">
        <v>0</v>
      </c>
      <c r="G310">
        <v>0</v>
      </c>
      <c r="H310">
        <v>0</v>
      </c>
      <c r="I310">
        <v>0</v>
      </c>
      <c r="J310">
        <v>0</v>
      </c>
      <c r="K310">
        <v>0</v>
      </c>
      <c r="L310">
        <v>0</v>
      </c>
      <c r="M310">
        <v>0</v>
      </c>
      <c r="N310">
        <v>0</v>
      </c>
      <c r="P310" s="18">
        <f t="shared" si="41"/>
        <v>0</v>
      </c>
      <c r="Q310" s="18">
        <f t="shared" si="42"/>
        <v>0</v>
      </c>
      <c r="R310" s="18">
        <f t="shared" si="43"/>
        <v>0</v>
      </c>
      <c r="S310" s="18">
        <f t="shared" si="44"/>
        <v>0</v>
      </c>
      <c r="T310" s="18">
        <f t="shared" si="45"/>
        <v>0</v>
      </c>
      <c r="U310" s="18">
        <f t="shared" si="46"/>
        <v>0</v>
      </c>
      <c r="V310" s="18">
        <f t="shared" si="47"/>
        <v>0</v>
      </c>
      <c r="W310" s="18">
        <f t="shared" si="48"/>
        <v>0</v>
      </c>
    </row>
    <row r="311" spans="1:23" x14ac:dyDescent="0.2">
      <c r="A311">
        <v>6676</v>
      </c>
      <c r="B311">
        <v>0</v>
      </c>
      <c r="C311">
        <v>0</v>
      </c>
      <c r="D311">
        <v>0</v>
      </c>
      <c r="E311">
        <v>0</v>
      </c>
      <c r="F311">
        <v>0</v>
      </c>
      <c r="G311">
        <v>0</v>
      </c>
      <c r="H311">
        <v>0</v>
      </c>
      <c r="I311">
        <v>0</v>
      </c>
      <c r="J311">
        <v>0</v>
      </c>
      <c r="K311">
        <v>0</v>
      </c>
      <c r="L311">
        <v>0</v>
      </c>
      <c r="M311">
        <v>0</v>
      </c>
      <c r="N311">
        <v>0</v>
      </c>
      <c r="P311" s="18">
        <f t="shared" si="41"/>
        <v>0</v>
      </c>
      <c r="Q311" s="18">
        <f t="shared" si="42"/>
        <v>0</v>
      </c>
      <c r="R311" s="18">
        <f t="shared" si="43"/>
        <v>0</v>
      </c>
      <c r="S311" s="18">
        <f t="shared" si="44"/>
        <v>0</v>
      </c>
      <c r="T311" s="18">
        <f t="shared" si="45"/>
        <v>0</v>
      </c>
      <c r="U311" s="18">
        <f t="shared" si="46"/>
        <v>0</v>
      </c>
      <c r="V311" s="18">
        <f t="shared" si="47"/>
        <v>0</v>
      </c>
      <c r="W311" s="18">
        <f t="shared" si="48"/>
        <v>0</v>
      </c>
    </row>
    <row r="312" spans="1:23" x14ac:dyDescent="0.2">
      <c r="A312">
        <v>6677</v>
      </c>
      <c r="B312">
        <v>0</v>
      </c>
      <c r="C312">
        <v>0</v>
      </c>
      <c r="D312">
        <v>0</v>
      </c>
      <c r="E312">
        <v>0</v>
      </c>
      <c r="F312">
        <v>0</v>
      </c>
      <c r="G312">
        <v>0</v>
      </c>
      <c r="H312">
        <v>0</v>
      </c>
      <c r="I312">
        <v>0</v>
      </c>
      <c r="J312">
        <v>0</v>
      </c>
      <c r="K312">
        <v>0</v>
      </c>
      <c r="L312">
        <v>0</v>
      </c>
      <c r="M312">
        <v>0</v>
      </c>
      <c r="N312">
        <v>0</v>
      </c>
      <c r="P312" s="18">
        <f t="shared" si="41"/>
        <v>0</v>
      </c>
      <c r="Q312" s="18">
        <f t="shared" si="42"/>
        <v>0</v>
      </c>
      <c r="R312" s="18">
        <f t="shared" si="43"/>
        <v>0</v>
      </c>
      <c r="S312" s="18">
        <f t="shared" si="44"/>
        <v>0</v>
      </c>
      <c r="T312" s="18">
        <f t="shared" si="45"/>
        <v>0</v>
      </c>
      <c r="U312" s="18">
        <f t="shared" si="46"/>
        <v>0</v>
      </c>
      <c r="V312" s="18">
        <f t="shared" si="47"/>
        <v>0</v>
      </c>
      <c r="W312" s="18">
        <f t="shared" si="48"/>
        <v>0</v>
      </c>
    </row>
    <row r="313" spans="1:23" x14ac:dyDescent="0.2">
      <c r="A313">
        <v>6682</v>
      </c>
      <c r="B313">
        <v>0</v>
      </c>
      <c r="C313">
        <v>0</v>
      </c>
      <c r="D313">
        <v>0</v>
      </c>
      <c r="E313">
        <v>0</v>
      </c>
      <c r="F313">
        <v>0</v>
      </c>
      <c r="G313">
        <v>0</v>
      </c>
      <c r="H313">
        <v>0</v>
      </c>
      <c r="I313">
        <v>0</v>
      </c>
      <c r="J313">
        <v>0</v>
      </c>
      <c r="K313">
        <v>0</v>
      </c>
      <c r="L313">
        <v>0</v>
      </c>
      <c r="M313">
        <v>0</v>
      </c>
      <c r="N313">
        <v>0</v>
      </c>
      <c r="P313" s="18">
        <f t="shared" si="41"/>
        <v>0</v>
      </c>
      <c r="Q313" s="18">
        <f t="shared" si="42"/>
        <v>0</v>
      </c>
      <c r="R313" s="18">
        <f t="shared" si="43"/>
        <v>0</v>
      </c>
      <c r="S313" s="18">
        <f t="shared" si="44"/>
        <v>0</v>
      </c>
      <c r="T313" s="18">
        <f t="shared" si="45"/>
        <v>0</v>
      </c>
      <c r="U313" s="18">
        <f t="shared" si="46"/>
        <v>0</v>
      </c>
      <c r="V313" s="18">
        <f t="shared" si="47"/>
        <v>0</v>
      </c>
      <c r="W313" s="18">
        <f t="shared" si="48"/>
        <v>0</v>
      </c>
    </row>
    <row r="314" spans="1:23" x14ac:dyDescent="0.2">
      <c r="A314">
        <v>6683</v>
      </c>
      <c r="B314">
        <v>0</v>
      </c>
      <c r="C314">
        <v>0</v>
      </c>
      <c r="D314">
        <v>0</v>
      </c>
      <c r="E314">
        <v>0</v>
      </c>
      <c r="F314">
        <v>0</v>
      </c>
      <c r="G314">
        <v>0</v>
      </c>
      <c r="H314">
        <v>0</v>
      </c>
      <c r="I314">
        <v>0</v>
      </c>
      <c r="J314">
        <v>0</v>
      </c>
      <c r="K314">
        <v>0</v>
      </c>
      <c r="L314">
        <v>0</v>
      </c>
      <c r="M314">
        <v>0</v>
      </c>
      <c r="N314">
        <v>0</v>
      </c>
      <c r="P314" s="18">
        <f t="shared" si="41"/>
        <v>0</v>
      </c>
      <c r="Q314" s="18">
        <f t="shared" si="42"/>
        <v>0</v>
      </c>
      <c r="R314" s="18">
        <f t="shared" si="43"/>
        <v>0</v>
      </c>
      <c r="S314" s="18">
        <f t="shared" si="44"/>
        <v>0</v>
      </c>
      <c r="T314" s="18">
        <f t="shared" si="45"/>
        <v>0</v>
      </c>
      <c r="U314" s="18">
        <f t="shared" si="46"/>
        <v>0</v>
      </c>
      <c r="V314" s="18">
        <f t="shared" si="47"/>
        <v>0</v>
      </c>
      <c r="W314" s="18">
        <f t="shared" si="48"/>
        <v>0</v>
      </c>
    </row>
    <row r="315" spans="1:23" x14ac:dyDescent="0.2">
      <c r="A315">
        <v>6707</v>
      </c>
      <c r="B315">
        <v>0</v>
      </c>
      <c r="C315">
        <v>0</v>
      </c>
      <c r="D315">
        <v>0</v>
      </c>
      <c r="E315">
        <v>0</v>
      </c>
      <c r="F315">
        <v>0</v>
      </c>
      <c r="G315">
        <v>0</v>
      </c>
      <c r="H315">
        <v>0</v>
      </c>
      <c r="I315">
        <v>0</v>
      </c>
      <c r="J315">
        <v>0</v>
      </c>
      <c r="K315">
        <v>0</v>
      </c>
      <c r="L315">
        <v>0</v>
      </c>
      <c r="M315">
        <v>0</v>
      </c>
      <c r="N315">
        <v>0</v>
      </c>
      <c r="P315" s="18">
        <f t="shared" si="41"/>
        <v>0</v>
      </c>
      <c r="Q315" s="18">
        <f t="shared" si="42"/>
        <v>0</v>
      </c>
      <c r="R315" s="18">
        <f t="shared" si="43"/>
        <v>0</v>
      </c>
      <c r="S315" s="18">
        <f t="shared" si="44"/>
        <v>0</v>
      </c>
      <c r="T315" s="18">
        <f t="shared" si="45"/>
        <v>0</v>
      </c>
      <c r="U315" s="18">
        <f t="shared" si="46"/>
        <v>0</v>
      </c>
      <c r="V315" s="18">
        <f t="shared" si="47"/>
        <v>0</v>
      </c>
      <c r="W315" s="18">
        <f t="shared" si="48"/>
        <v>0</v>
      </c>
    </row>
    <row r="316" spans="1:23" x14ac:dyDescent="0.2">
      <c r="A316">
        <v>6712</v>
      </c>
      <c r="B316">
        <v>0</v>
      </c>
      <c r="C316">
        <v>0</v>
      </c>
      <c r="D316">
        <v>0</v>
      </c>
      <c r="E316">
        <v>0</v>
      </c>
      <c r="F316">
        <v>0</v>
      </c>
      <c r="G316">
        <v>0</v>
      </c>
      <c r="H316">
        <v>0</v>
      </c>
      <c r="I316">
        <v>0</v>
      </c>
      <c r="J316">
        <v>0</v>
      </c>
      <c r="K316">
        <v>0</v>
      </c>
      <c r="L316">
        <v>0</v>
      </c>
      <c r="M316">
        <v>0</v>
      </c>
      <c r="N316">
        <v>0</v>
      </c>
      <c r="P316" s="18">
        <f t="shared" si="41"/>
        <v>0</v>
      </c>
      <c r="Q316" s="18">
        <f t="shared" si="42"/>
        <v>0</v>
      </c>
      <c r="R316" s="18">
        <f t="shared" si="43"/>
        <v>0</v>
      </c>
      <c r="S316" s="18">
        <f t="shared" si="44"/>
        <v>0</v>
      </c>
      <c r="T316" s="18">
        <f t="shared" si="45"/>
        <v>0</v>
      </c>
      <c r="U316" s="18">
        <f t="shared" si="46"/>
        <v>0</v>
      </c>
      <c r="V316" s="18">
        <f t="shared" si="47"/>
        <v>0</v>
      </c>
      <c r="W316" s="18">
        <f t="shared" si="48"/>
        <v>0</v>
      </c>
    </row>
    <row r="317" spans="1:23" x14ac:dyDescent="0.2">
      <c r="A317">
        <v>6708</v>
      </c>
      <c r="B317">
        <v>0</v>
      </c>
      <c r="C317">
        <v>0</v>
      </c>
      <c r="D317">
        <v>0</v>
      </c>
      <c r="E317">
        <v>0</v>
      </c>
      <c r="F317">
        <v>0</v>
      </c>
      <c r="G317">
        <v>0</v>
      </c>
      <c r="H317">
        <v>0</v>
      </c>
      <c r="I317">
        <v>0</v>
      </c>
      <c r="J317">
        <v>0</v>
      </c>
      <c r="K317">
        <v>0</v>
      </c>
      <c r="L317">
        <v>0</v>
      </c>
      <c r="M317">
        <v>0</v>
      </c>
      <c r="N317">
        <v>0</v>
      </c>
      <c r="P317" s="18">
        <f t="shared" si="41"/>
        <v>0</v>
      </c>
      <c r="Q317" s="18">
        <f t="shared" si="42"/>
        <v>0</v>
      </c>
      <c r="R317" s="18">
        <f t="shared" si="43"/>
        <v>0</v>
      </c>
      <c r="S317" s="18">
        <f t="shared" si="44"/>
        <v>0</v>
      </c>
      <c r="T317" s="18">
        <f t="shared" si="45"/>
        <v>0</v>
      </c>
      <c r="U317" s="18">
        <f t="shared" si="46"/>
        <v>0</v>
      </c>
      <c r="V317" s="18">
        <f t="shared" si="47"/>
        <v>0</v>
      </c>
      <c r="W317" s="18">
        <f t="shared" si="48"/>
        <v>0</v>
      </c>
    </row>
    <row r="318" spans="1:23" x14ac:dyDescent="0.2">
      <c r="A318">
        <v>6705</v>
      </c>
      <c r="B318">
        <v>0</v>
      </c>
      <c r="C318">
        <v>0</v>
      </c>
      <c r="D318">
        <v>0</v>
      </c>
      <c r="E318">
        <v>0</v>
      </c>
      <c r="F318">
        <v>0</v>
      </c>
      <c r="G318">
        <v>0</v>
      </c>
      <c r="H318">
        <v>0</v>
      </c>
      <c r="I318">
        <v>0</v>
      </c>
      <c r="J318">
        <v>0</v>
      </c>
      <c r="K318">
        <v>0</v>
      </c>
      <c r="L318">
        <v>0</v>
      </c>
      <c r="M318">
        <v>0</v>
      </c>
      <c r="N318">
        <v>0</v>
      </c>
      <c r="P318" s="18">
        <f t="shared" si="41"/>
        <v>0</v>
      </c>
      <c r="Q318" s="18">
        <f t="shared" si="42"/>
        <v>0</v>
      </c>
      <c r="R318" s="18">
        <f t="shared" si="43"/>
        <v>0</v>
      </c>
      <c r="S318" s="18">
        <f t="shared" si="44"/>
        <v>0</v>
      </c>
      <c r="T318" s="18">
        <f t="shared" si="45"/>
        <v>0</v>
      </c>
      <c r="U318" s="18">
        <f t="shared" si="46"/>
        <v>0</v>
      </c>
      <c r="V318" s="18">
        <f t="shared" si="47"/>
        <v>0</v>
      </c>
      <c r="W318" s="18">
        <f t="shared" si="48"/>
        <v>0</v>
      </c>
    </row>
    <row r="319" spans="1:23" x14ac:dyDescent="0.2">
      <c r="A319">
        <v>6739</v>
      </c>
      <c r="B319">
        <v>0</v>
      </c>
      <c r="C319">
        <v>0</v>
      </c>
      <c r="D319">
        <v>0</v>
      </c>
      <c r="E319">
        <v>0</v>
      </c>
      <c r="F319">
        <v>0</v>
      </c>
      <c r="G319">
        <v>0</v>
      </c>
      <c r="H319">
        <v>0</v>
      </c>
      <c r="I319">
        <v>0</v>
      </c>
      <c r="J319">
        <v>0</v>
      </c>
      <c r="K319">
        <v>0</v>
      </c>
      <c r="L319">
        <v>0</v>
      </c>
      <c r="M319">
        <v>0</v>
      </c>
      <c r="N319">
        <v>0</v>
      </c>
      <c r="P319" s="18">
        <f t="shared" si="41"/>
        <v>0</v>
      </c>
      <c r="Q319" s="18">
        <f t="shared" si="42"/>
        <v>0</v>
      </c>
      <c r="R319" s="18">
        <f t="shared" si="43"/>
        <v>0</v>
      </c>
      <c r="S319" s="18">
        <f t="shared" si="44"/>
        <v>0</v>
      </c>
      <c r="T319" s="18">
        <f t="shared" si="45"/>
        <v>0</v>
      </c>
      <c r="U319" s="18">
        <f t="shared" si="46"/>
        <v>0</v>
      </c>
      <c r="V319" s="18">
        <f t="shared" si="47"/>
        <v>0</v>
      </c>
      <c r="W319" s="18">
        <f t="shared" si="48"/>
        <v>0</v>
      </c>
    </row>
    <row r="320" spans="1:23" x14ac:dyDescent="0.2">
      <c r="A320">
        <v>6756</v>
      </c>
      <c r="B320">
        <v>0</v>
      </c>
      <c r="C320">
        <v>0</v>
      </c>
      <c r="D320">
        <v>0</v>
      </c>
      <c r="E320">
        <v>0</v>
      </c>
      <c r="F320">
        <v>0</v>
      </c>
      <c r="G320">
        <v>0</v>
      </c>
      <c r="H320">
        <v>0</v>
      </c>
      <c r="I320">
        <v>0</v>
      </c>
      <c r="J320">
        <v>0</v>
      </c>
      <c r="K320">
        <v>0</v>
      </c>
      <c r="L320">
        <v>0</v>
      </c>
      <c r="M320">
        <v>0</v>
      </c>
      <c r="N320">
        <v>0</v>
      </c>
      <c r="P320" s="18">
        <f t="shared" si="41"/>
        <v>0</v>
      </c>
      <c r="Q320" s="18">
        <f t="shared" si="42"/>
        <v>0</v>
      </c>
      <c r="R320" s="18">
        <f t="shared" si="43"/>
        <v>0</v>
      </c>
      <c r="S320" s="18">
        <f t="shared" si="44"/>
        <v>0</v>
      </c>
      <c r="T320" s="18">
        <f t="shared" si="45"/>
        <v>0</v>
      </c>
      <c r="U320" s="18">
        <f t="shared" si="46"/>
        <v>0</v>
      </c>
      <c r="V320" s="18">
        <f t="shared" si="47"/>
        <v>0</v>
      </c>
      <c r="W320" s="18">
        <f t="shared" si="48"/>
        <v>0</v>
      </c>
    </row>
    <row r="321" spans="1:23" x14ac:dyDescent="0.2">
      <c r="A321">
        <v>6448</v>
      </c>
      <c r="B321">
        <v>0</v>
      </c>
      <c r="C321">
        <v>0</v>
      </c>
      <c r="D321">
        <v>0</v>
      </c>
      <c r="E321">
        <v>0</v>
      </c>
      <c r="F321">
        <v>0</v>
      </c>
      <c r="G321">
        <v>0</v>
      </c>
      <c r="H321">
        <v>0</v>
      </c>
      <c r="I321">
        <v>0</v>
      </c>
      <c r="J321">
        <v>0</v>
      </c>
      <c r="K321">
        <v>0</v>
      </c>
      <c r="L321">
        <v>0</v>
      </c>
      <c r="M321">
        <v>0</v>
      </c>
      <c r="N321">
        <v>0</v>
      </c>
      <c r="P321" s="18">
        <f t="shared" si="41"/>
        <v>0</v>
      </c>
      <c r="Q321" s="18">
        <f t="shared" si="42"/>
        <v>0</v>
      </c>
      <c r="R321" s="18">
        <f t="shared" si="43"/>
        <v>0</v>
      </c>
      <c r="S321" s="18">
        <f t="shared" si="44"/>
        <v>0</v>
      </c>
      <c r="T321" s="18">
        <f t="shared" si="45"/>
        <v>0</v>
      </c>
      <c r="U321" s="18">
        <f t="shared" si="46"/>
        <v>0</v>
      </c>
      <c r="V321" s="18">
        <f t="shared" si="47"/>
        <v>0</v>
      </c>
      <c r="W321" s="18">
        <f t="shared" si="48"/>
        <v>0</v>
      </c>
    </row>
    <row r="322" spans="1:23" x14ac:dyDescent="0.2">
      <c r="A322">
        <v>6747</v>
      </c>
      <c r="B322">
        <v>0</v>
      </c>
      <c r="C322">
        <v>0</v>
      </c>
      <c r="D322">
        <v>0</v>
      </c>
      <c r="E322">
        <v>0</v>
      </c>
      <c r="F322">
        <v>0</v>
      </c>
      <c r="G322">
        <v>0</v>
      </c>
      <c r="H322">
        <v>0</v>
      </c>
      <c r="I322">
        <v>0</v>
      </c>
      <c r="J322">
        <v>0</v>
      </c>
      <c r="K322">
        <v>0</v>
      </c>
      <c r="L322">
        <v>0</v>
      </c>
      <c r="M322">
        <v>0</v>
      </c>
      <c r="N322">
        <v>0</v>
      </c>
      <c r="P322" s="18">
        <f t="shared" si="41"/>
        <v>0</v>
      </c>
      <c r="Q322" s="18">
        <f t="shared" si="42"/>
        <v>0</v>
      </c>
      <c r="R322" s="18">
        <f t="shared" si="43"/>
        <v>0</v>
      </c>
      <c r="S322" s="18">
        <f t="shared" si="44"/>
        <v>0</v>
      </c>
      <c r="T322" s="18">
        <f t="shared" si="45"/>
        <v>0</v>
      </c>
      <c r="U322" s="18">
        <f t="shared" si="46"/>
        <v>0</v>
      </c>
      <c r="V322" s="18">
        <f t="shared" si="47"/>
        <v>0</v>
      </c>
      <c r="W322" s="18">
        <f t="shared" si="48"/>
        <v>0</v>
      </c>
    </row>
    <row r="323" spans="1:23" x14ac:dyDescent="0.2">
      <c r="A323">
        <v>6748</v>
      </c>
      <c r="B323">
        <v>0</v>
      </c>
      <c r="C323">
        <v>0</v>
      </c>
      <c r="D323">
        <v>0</v>
      </c>
      <c r="E323">
        <v>0</v>
      </c>
      <c r="F323">
        <v>0</v>
      </c>
      <c r="G323">
        <v>0</v>
      </c>
      <c r="H323">
        <v>0</v>
      </c>
      <c r="I323">
        <v>0</v>
      </c>
      <c r="J323">
        <v>0</v>
      </c>
      <c r="K323">
        <v>0</v>
      </c>
      <c r="L323">
        <v>0</v>
      </c>
      <c r="M323">
        <v>0</v>
      </c>
      <c r="N323">
        <v>0</v>
      </c>
      <c r="P323" s="18">
        <f t="shared" si="41"/>
        <v>0</v>
      </c>
      <c r="Q323" s="18">
        <f t="shared" si="42"/>
        <v>0</v>
      </c>
      <c r="R323" s="18">
        <f t="shared" si="43"/>
        <v>0</v>
      </c>
      <c r="S323" s="18">
        <f t="shared" si="44"/>
        <v>0</v>
      </c>
      <c r="T323" s="18">
        <f t="shared" si="45"/>
        <v>0</v>
      </c>
      <c r="U323" s="18">
        <f t="shared" si="46"/>
        <v>0</v>
      </c>
      <c r="V323" s="18">
        <f t="shared" si="47"/>
        <v>0</v>
      </c>
      <c r="W323" s="18">
        <f t="shared" si="48"/>
        <v>0</v>
      </c>
    </row>
    <row r="324" spans="1:23" x14ac:dyDescent="0.2">
      <c r="A324">
        <v>6751</v>
      </c>
      <c r="B324">
        <v>0</v>
      </c>
      <c r="C324">
        <v>0</v>
      </c>
      <c r="D324">
        <v>0</v>
      </c>
      <c r="E324">
        <v>0</v>
      </c>
      <c r="F324">
        <v>0</v>
      </c>
      <c r="G324">
        <v>0</v>
      </c>
      <c r="H324">
        <v>0</v>
      </c>
      <c r="I324">
        <v>0</v>
      </c>
      <c r="J324">
        <v>0</v>
      </c>
      <c r="K324">
        <v>0</v>
      </c>
      <c r="L324">
        <v>0</v>
      </c>
      <c r="M324">
        <v>0</v>
      </c>
      <c r="N324">
        <v>0</v>
      </c>
      <c r="P324" s="18">
        <f t="shared" si="41"/>
        <v>0</v>
      </c>
      <c r="Q324" s="18">
        <f t="shared" si="42"/>
        <v>0</v>
      </c>
      <c r="R324" s="18">
        <f t="shared" si="43"/>
        <v>0</v>
      </c>
      <c r="S324" s="18">
        <f t="shared" si="44"/>
        <v>0</v>
      </c>
      <c r="T324" s="18">
        <f t="shared" si="45"/>
        <v>0</v>
      </c>
      <c r="U324" s="18">
        <f t="shared" si="46"/>
        <v>0</v>
      </c>
      <c r="V324" s="18">
        <f t="shared" si="47"/>
        <v>0</v>
      </c>
      <c r="W324" s="18">
        <f t="shared" si="48"/>
        <v>0</v>
      </c>
    </row>
    <row r="325" spans="1:23" x14ac:dyDescent="0.2">
      <c r="A325">
        <v>6755</v>
      </c>
      <c r="B325">
        <v>0</v>
      </c>
      <c r="C325">
        <v>0</v>
      </c>
      <c r="D325">
        <v>0</v>
      </c>
      <c r="E325">
        <v>0</v>
      </c>
      <c r="F325">
        <v>0</v>
      </c>
      <c r="G325">
        <v>0</v>
      </c>
      <c r="H325">
        <v>0</v>
      </c>
      <c r="I325">
        <v>0</v>
      </c>
      <c r="J325">
        <v>0</v>
      </c>
      <c r="K325">
        <v>0</v>
      </c>
      <c r="L325">
        <v>0</v>
      </c>
      <c r="M325">
        <v>0</v>
      </c>
      <c r="N325">
        <v>0</v>
      </c>
      <c r="P325" s="18">
        <f t="shared" si="41"/>
        <v>0</v>
      </c>
      <c r="Q325" s="18">
        <f t="shared" si="42"/>
        <v>0</v>
      </c>
      <c r="R325" s="18">
        <f t="shared" si="43"/>
        <v>0</v>
      </c>
      <c r="S325" s="18">
        <f t="shared" si="44"/>
        <v>0</v>
      </c>
      <c r="T325" s="18">
        <f t="shared" si="45"/>
        <v>0</v>
      </c>
      <c r="U325" s="18">
        <f t="shared" si="46"/>
        <v>0</v>
      </c>
      <c r="V325" s="18">
        <f t="shared" si="47"/>
        <v>0</v>
      </c>
      <c r="W325" s="18">
        <f t="shared" si="48"/>
        <v>0</v>
      </c>
    </row>
    <row r="326" spans="1:23" x14ac:dyDescent="0.2">
      <c r="A326">
        <v>6743</v>
      </c>
      <c r="B326">
        <v>0</v>
      </c>
      <c r="C326">
        <v>0</v>
      </c>
      <c r="D326">
        <v>0</v>
      </c>
      <c r="E326">
        <v>0</v>
      </c>
      <c r="F326">
        <v>0</v>
      </c>
      <c r="G326">
        <v>0</v>
      </c>
      <c r="H326">
        <v>0</v>
      </c>
      <c r="I326">
        <v>0</v>
      </c>
      <c r="J326">
        <v>0</v>
      </c>
      <c r="K326">
        <v>0</v>
      </c>
      <c r="L326">
        <v>0</v>
      </c>
      <c r="M326">
        <v>0</v>
      </c>
      <c r="N326">
        <v>0</v>
      </c>
      <c r="P326" s="18">
        <f t="shared" ref="P326:P327" si="49">SUM(B326,G326)</f>
        <v>0</v>
      </c>
      <c r="Q326" s="18">
        <f t="shared" ref="Q326:Q327" si="50">SUM(C326,H326)</f>
        <v>0</v>
      </c>
      <c r="R326" s="18">
        <f t="shared" ref="R326:R327" si="51">SUM(D326,I326)</f>
        <v>0</v>
      </c>
      <c r="S326" s="18">
        <f t="shared" ref="S326:S327" si="52">SUM(E326,J326)</f>
        <v>0</v>
      </c>
      <c r="T326" s="18">
        <f t="shared" ref="T326:T327" si="53">K326</f>
        <v>0</v>
      </c>
      <c r="U326" s="18">
        <f t="shared" ref="U326:U327" si="54">L326</f>
        <v>0</v>
      </c>
      <c r="V326" s="18">
        <f t="shared" ref="V326:V327" si="55">M326</f>
        <v>0</v>
      </c>
      <c r="W326" s="18">
        <f t="shared" ref="W326:W327" si="56">SUM(F326,N326)</f>
        <v>0</v>
      </c>
    </row>
    <row r="327" spans="1:23" x14ac:dyDescent="0.2">
      <c r="A327">
        <v>6769</v>
      </c>
      <c r="B327">
        <v>0</v>
      </c>
      <c r="C327">
        <v>0</v>
      </c>
      <c r="D327">
        <v>0</v>
      </c>
      <c r="E327">
        <v>0</v>
      </c>
      <c r="F327">
        <v>0</v>
      </c>
      <c r="G327">
        <v>0</v>
      </c>
      <c r="H327">
        <v>0</v>
      </c>
      <c r="I327">
        <v>0</v>
      </c>
      <c r="J327">
        <v>0</v>
      </c>
      <c r="K327">
        <v>0</v>
      </c>
      <c r="L327">
        <v>0</v>
      </c>
      <c r="M327">
        <v>0</v>
      </c>
      <c r="N327">
        <v>0</v>
      </c>
      <c r="P327" s="18">
        <f t="shared" si="49"/>
        <v>0</v>
      </c>
      <c r="Q327" s="18">
        <f t="shared" si="50"/>
        <v>0</v>
      </c>
      <c r="R327" s="18">
        <f t="shared" si="51"/>
        <v>0</v>
      </c>
      <c r="S327" s="18">
        <f t="shared" si="52"/>
        <v>0</v>
      </c>
      <c r="T327" s="18">
        <f t="shared" si="53"/>
        <v>0</v>
      </c>
      <c r="U327" s="18">
        <f t="shared" si="54"/>
        <v>0</v>
      </c>
      <c r="V327" s="18">
        <f t="shared" si="55"/>
        <v>0</v>
      </c>
      <c r="W327" s="18">
        <f t="shared" si="56"/>
        <v>0</v>
      </c>
    </row>
    <row r="328" spans="1:23" x14ac:dyDescent="0.2">
      <c r="A328">
        <v>6776</v>
      </c>
      <c r="B328">
        <v>0</v>
      </c>
      <c r="C328">
        <v>0</v>
      </c>
      <c r="D328">
        <v>0</v>
      </c>
      <c r="E328">
        <v>0</v>
      </c>
      <c r="F328">
        <v>0</v>
      </c>
      <c r="G328">
        <v>0</v>
      </c>
      <c r="H328">
        <v>0</v>
      </c>
      <c r="I328">
        <v>0</v>
      </c>
      <c r="J328">
        <v>0</v>
      </c>
      <c r="K328">
        <v>0</v>
      </c>
      <c r="L328">
        <v>0</v>
      </c>
      <c r="M328">
        <v>0</v>
      </c>
      <c r="N328">
        <v>0</v>
      </c>
      <c r="P328" s="18">
        <f t="shared" ref="P328:P339" si="57">SUM(B328,G328)</f>
        <v>0</v>
      </c>
      <c r="Q328" s="18">
        <f t="shared" ref="Q328:Q339" si="58">SUM(C328,H328)</f>
        <v>0</v>
      </c>
      <c r="R328" s="18">
        <f t="shared" ref="R328:R339" si="59">SUM(D328,I328)</f>
        <v>0</v>
      </c>
      <c r="S328" s="18">
        <f t="shared" ref="S328:S339" si="60">SUM(E328,J328)</f>
        <v>0</v>
      </c>
      <c r="T328" s="18">
        <f t="shared" ref="T328:T339" si="61">K328</f>
        <v>0</v>
      </c>
      <c r="U328" s="18">
        <f t="shared" ref="U328:U339" si="62">L328</f>
        <v>0</v>
      </c>
      <c r="V328" s="18">
        <f t="shared" ref="V328:V339" si="63">M328</f>
        <v>0</v>
      </c>
      <c r="W328" s="18">
        <f t="shared" ref="W328:W339" si="64">SUM(F328,N328)</f>
        <v>0</v>
      </c>
    </row>
    <row r="329" spans="1:23" x14ac:dyDescent="0.2">
      <c r="A329">
        <v>6777</v>
      </c>
      <c r="B329">
        <v>0</v>
      </c>
      <c r="C329">
        <v>0</v>
      </c>
      <c r="D329">
        <v>0</v>
      </c>
      <c r="E329">
        <v>0</v>
      </c>
      <c r="F329">
        <v>0</v>
      </c>
      <c r="G329">
        <v>0</v>
      </c>
      <c r="H329">
        <v>0</v>
      </c>
      <c r="I329">
        <v>0</v>
      </c>
      <c r="J329">
        <v>0</v>
      </c>
      <c r="K329">
        <v>0</v>
      </c>
      <c r="L329">
        <v>0</v>
      </c>
      <c r="M329">
        <v>0</v>
      </c>
      <c r="N329">
        <v>0</v>
      </c>
      <c r="P329" s="18">
        <f t="shared" si="57"/>
        <v>0</v>
      </c>
      <c r="Q329" s="18">
        <f t="shared" si="58"/>
        <v>0</v>
      </c>
      <c r="R329" s="18">
        <f t="shared" si="59"/>
        <v>0</v>
      </c>
      <c r="S329" s="18">
        <f t="shared" si="60"/>
        <v>0</v>
      </c>
      <c r="T329" s="18">
        <f t="shared" si="61"/>
        <v>0</v>
      </c>
      <c r="U329" s="18">
        <f t="shared" si="62"/>
        <v>0</v>
      </c>
      <c r="V329" s="18">
        <f t="shared" si="63"/>
        <v>0</v>
      </c>
      <c r="W329" s="18">
        <f t="shared" si="64"/>
        <v>0</v>
      </c>
    </row>
    <row r="330" spans="1:23" x14ac:dyDescent="0.2">
      <c r="A330">
        <v>6795</v>
      </c>
      <c r="B330">
        <v>0</v>
      </c>
      <c r="C330">
        <v>0</v>
      </c>
      <c r="D330">
        <v>0</v>
      </c>
      <c r="E330">
        <v>0</v>
      </c>
      <c r="F330">
        <v>0</v>
      </c>
      <c r="G330">
        <v>0</v>
      </c>
      <c r="H330">
        <v>0</v>
      </c>
      <c r="I330">
        <v>0</v>
      </c>
      <c r="J330">
        <v>0</v>
      </c>
      <c r="K330">
        <v>0</v>
      </c>
      <c r="L330">
        <v>0</v>
      </c>
      <c r="M330">
        <v>0</v>
      </c>
      <c r="N330">
        <v>0</v>
      </c>
      <c r="P330" s="18">
        <f t="shared" si="57"/>
        <v>0</v>
      </c>
      <c r="Q330" s="18">
        <f t="shared" si="58"/>
        <v>0</v>
      </c>
      <c r="R330" s="18">
        <f t="shared" si="59"/>
        <v>0</v>
      </c>
      <c r="S330" s="18">
        <f t="shared" si="60"/>
        <v>0</v>
      </c>
      <c r="T330" s="18">
        <f t="shared" si="61"/>
        <v>0</v>
      </c>
      <c r="U330" s="18">
        <f t="shared" si="62"/>
        <v>0</v>
      </c>
      <c r="V330" s="18">
        <f t="shared" si="63"/>
        <v>0</v>
      </c>
      <c r="W330" s="18">
        <f t="shared" si="64"/>
        <v>0</v>
      </c>
    </row>
    <row r="331" spans="1:23" x14ac:dyDescent="0.2">
      <c r="A331">
        <v>6793</v>
      </c>
      <c r="B331">
        <v>0</v>
      </c>
      <c r="C331">
        <v>0</v>
      </c>
      <c r="D331">
        <v>0</v>
      </c>
      <c r="E331">
        <v>0</v>
      </c>
      <c r="F331">
        <v>0</v>
      </c>
      <c r="G331">
        <v>0</v>
      </c>
      <c r="H331">
        <v>0</v>
      </c>
      <c r="I331">
        <v>0</v>
      </c>
      <c r="J331">
        <v>0</v>
      </c>
      <c r="K331">
        <v>0</v>
      </c>
      <c r="L331">
        <v>0</v>
      </c>
      <c r="M331">
        <v>0</v>
      </c>
      <c r="N331">
        <v>0</v>
      </c>
      <c r="P331" s="18">
        <f t="shared" si="57"/>
        <v>0</v>
      </c>
      <c r="Q331" s="18">
        <f t="shared" si="58"/>
        <v>0</v>
      </c>
      <c r="R331" s="18">
        <f t="shared" si="59"/>
        <v>0</v>
      </c>
      <c r="S331" s="18">
        <f t="shared" si="60"/>
        <v>0</v>
      </c>
      <c r="T331" s="18">
        <f t="shared" si="61"/>
        <v>0</v>
      </c>
      <c r="U331" s="18">
        <f t="shared" si="62"/>
        <v>0</v>
      </c>
      <c r="V331" s="18">
        <f t="shared" si="63"/>
        <v>0</v>
      </c>
      <c r="W331" s="18">
        <f t="shared" si="64"/>
        <v>0</v>
      </c>
    </row>
    <row r="332" spans="1:23" x14ac:dyDescent="0.2">
      <c r="A332">
        <v>6796</v>
      </c>
      <c r="B332">
        <v>0</v>
      </c>
      <c r="C332">
        <v>0</v>
      </c>
      <c r="D332">
        <v>0</v>
      </c>
      <c r="E332">
        <v>0</v>
      </c>
      <c r="F332">
        <v>0</v>
      </c>
      <c r="G332">
        <v>0</v>
      </c>
      <c r="H332">
        <v>0</v>
      </c>
      <c r="I332">
        <v>0</v>
      </c>
      <c r="J332">
        <v>0</v>
      </c>
      <c r="K332">
        <v>0</v>
      </c>
      <c r="L332">
        <v>0</v>
      </c>
      <c r="M332">
        <v>0</v>
      </c>
      <c r="N332">
        <v>0</v>
      </c>
      <c r="P332" s="18">
        <f t="shared" si="57"/>
        <v>0</v>
      </c>
      <c r="Q332" s="18">
        <f t="shared" si="58"/>
        <v>0</v>
      </c>
      <c r="R332" s="18">
        <f t="shared" si="59"/>
        <v>0</v>
      </c>
      <c r="S332" s="18">
        <f t="shared" si="60"/>
        <v>0</v>
      </c>
      <c r="T332" s="18">
        <f t="shared" si="61"/>
        <v>0</v>
      </c>
      <c r="U332" s="18">
        <f t="shared" si="62"/>
        <v>0</v>
      </c>
      <c r="V332" s="18">
        <f t="shared" si="63"/>
        <v>0</v>
      </c>
      <c r="W332" s="18">
        <f t="shared" si="64"/>
        <v>0</v>
      </c>
    </row>
    <row r="333" spans="1:23" x14ac:dyDescent="0.2">
      <c r="A333">
        <v>6784</v>
      </c>
      <c r="B333">
        <v>0</v>
      </c>
      <c r="C333">
        <v>0</v>
      </c>
      <c r="D333">
        <v>0</v>
      </c>
      <c r="E333">
        <v>0</v>
      </c>
      <c r="F333">
        <v>0</v>
      </c>
      <c r="G333">
        <v>0</v>
      </c>
      <c r="H333">
        <v>0</v>
      </c>
      <c r="I333">
        <v>0</v>
      </c>
      <c r="J333">
        <v>0</v>
      </c>
      <c r="K333">
        <v>0</v>
      </c>
      <c r="L333">
        <v>0</v>
      </c>
      <c r="M333">
        <v>0</v>
      </c>
      <c r="N333">
        <v>0</v>
      </c>
      <c r="P333" s="18">
        <f t="shared" si="57"/>
        <v>0</v>
      </c>
      <c r="Q333" s="18">
        <f t="shared" si="58"/>
        <v>0</v>
      </c>
      <c r="R333" s="18">
        <f t="shared" si="59"/>
        <v>0</v>
      </c>
      <c r="S333" s="18">
        <f t="shared" si="60"/>
        <v>0</v>
      </c>
      <c r="T333" s="18">
        <f t="shared" si="61"/>
        <v>0</v>
      </c>
      <c r="U333" s="18">
        <f t="shared" si="62"/>
        <v>0</v>
      </c>
      <c r="V333" s="18">
        <f t="shared" si="63"/>
        <v>0</v>
      </c>
      <c r="W333" s="18">
        <f t="shared" si="64"/>
        <v>0</v>
      </c>
    </row>
    <row r="334" spans="1:23" x14ac:dyDescent="0.2">
      <c r="A334">
        <v>6799</v>
      </c>
      <c r="B334">
        <v>0</v>
      </c>
      <c r="C334">
        <v>0</v>
      </c>
      <c r="D334">
        <v>0</v>
      </c>
      <c r="E334">
        <v>0</v>
      </c>
      <c r="F334">
        <v>0</v>
      </c>
      <c r="G334">
        <v>0</v>
      </c>
      <c r="H334">
        <v>0</v>
      </c>
      <c r="I334">
        <v>0</v>
      </c>
      <c r="J334">
        <v>0</v>
      </c>
      <c r="K334">
        <v>0</v>
      </c>
      <c r="L334">
        <v>0</v>
      </c>
      <c r="M334">
        <v>0</v>
      </c>
      <c r="N334">
        <v>0</v>
      </c>
      <c r="P334" s="18">
        <f t="shared" si="57"/>
        <v>0</v>
      </c>
      <c r="Q334" s="18">
        <f t="shared" si="58"/>
        <v>0</v>
      </c>
      <c r="R334" s="18">
        <f t="shared" si="59"/>
        <v>0</v>
      </c>
      <c r="S334" s="18">
        <f t="shared" si="60"/>
        <v>0</v>
      </c>
      <c r="T334" s="18">
        <f t="shared" si="61"/>
        <v>0</v>
      </c>
      <c r="U334" s="18">
        <f t="shared" si="62"/>
        <v>0</v>
      </c>
      <c r="V334" s="18">
        <f t="shared" si="63"/>
        <v>0</v>
      </c>
      <c r="W334" s="18">
        <f t="shared" si="64"/>
        <v>0</v>
      </c>
    </row>
    <row r="335" spans="1:23" x14ac:dyDescent="0.2">
      <c r="A335" t="s">
        <v>439</v>
      </c>
      <c r="B335">
        <v>0</v>
      </c>
      <c r="C335">
        <v>0</v>
      </c>
      <c r="D335">
        <v>0</v>
      </c>
      <c r="E335">
        <v>0</v>
      </c>
      <c r="F335">
        <v>0</v>
      </c>
      <c r="G335">
        <v>0</v>
      </c>
      <c r="H335">
        <v>0</v>
      </c>
      <c r="I335">
        <v>0</v>
      </c>
      <c r="J335">
        <v>0</v>
      </c>
      <c r="K335">
        <v>0</v>
      </c>
      <c r="L335">
        <v>0</v>
      </c>
      <c r="M335">
        <v>0</v>
      </c>
      <c r="N335">
        <v>0</v>
      </c>
      <c r="P335" s="18">
        <f t="shared" si="57"/>
        <v>0</v>
      </c>
      <c r="Q335" s="18">
        <f t="shared" si="58"/>
        <v>0</v>
      </c>
      <c r="R335" s="18">
        <f t="shared" si="59"/>
        <v>0</v>
      </c>
      <c r="S335" s="18">
        <f t="shared" si="60"/>
        <v>0</v>
      </c>
      <c r="T335" s="18">
        <f t="shared" si="61"/>
        <v>0</v>
      </c>
      <c r="U335" s="18">
        <f t="shared" si="62"/>
        <v>0</v>
      </c>
      <c r="V335" s="18">
        <f t="shared" si="63"/>
        <v>0</v>
      </c>
      <c r="W335" s="18">
        <f t="shared" si="64"/>
        <v>0</v>
      </c>
    </row>
    <row r="336" spans="1:23" x14ac:dyDescent="0.2">
      <c r="A336">
        <v>6910</v>
      </c>
      <c r="B336">
        <v>0</v>
      </c>
      <c r="C336">
        <v>0</v>
      </c>
      <c r="D336">
        <v>0</v>
      </c>
      <c r="E336">
        <v>0</v>
      </c>
      <c r="F336">
        <v>0</v>
      </c>
      <c r="G336">
        <v>0</v>
      </c>
      <c r="H336">
        <v>0</v>
      </c>
      <c r="I336">
        <v>0</v>
      </c>
      <c r="J336">
        <v>0</v>
      </c>
      <c r="K336">
        <v>0</v>
      </c>
      <c r="L336">
        <v>0</v>
      </c>
      <c r="M336">
        <v>0</v>
      </c>
      <c r="N336">
        <v>0</v>
      </c>
      <c r="P336" s="18">
        <f t="shared" si="57"/>
        <v>0</v>
      </c>
      <c r="Q336" s="18">
        <f t="shared" si="58"/>
        <v>0</v>
      </c>
      <c r="R336" s="18">
        <f t="shared" si="59"/>
        <v>0</v>
      </c>
      <c r="S336" s="18">
        <f t="shared" si="60"/>
        <v>0</v>
      </c>
      <c r="T336" s="18">
        <f t="shared" si="61"/>
        <v>0</v>
      </c>
      <c r="U336" s="18">
        <f t="shared" si="62"/>
        <v>0</v>
      </c>
      <c r="V336" s="18">
        <f t="shared" si="63"/>
        <v>0</v>
      </c>
      <c r="W336" s="18">
        <f t="shared" si="64"/>
        <v>0</v>
      </c>
    </row>
    <row r="337" spans="1:23" x14ac:dyDescent="0.2">
      <c r="A337">
        <v>6892</v>
      </c>
      <c r="B337">
        <v>0</v>
      </c>
      <c r="C337">
        <v>0</v>
      </c>
      <c r="D337">
        <v>0</v>
      </c>
      <c r="E337">
        <v>0</v>
      </c>
      <c r="F337">
        <v>0</v>
      </c>
      <c r="G337">
        <v>0</v>
      </c>
      <c r="H337">
        <v>0</v>
      </c>
      <c r="I337">
        <v>0</v>
      </c>
      <c r="J337">
        <v>0</v>
      </c>
      <c r="K337">
        <v>0</v>
      </c>
      <c r="L337">
        <v>0</v>
      </c>
      <c r="M337">
        <v>0</v>
      </c>
      <c r="N337">
        <v>0</v>
      </c>
      <c r="P337" s="18">
        <f t="shared" si="57"/>
        <v>0</v>
      </c>
      <c r="Q337" s="18">
        <f t="shared" si="58"/>
        <v>0</v>
      </c>
      <c r="R337" s="18">
        <f t="shared" si="59"/>
        <v>0</v>
      </c>
      <c r="S337" s="18">
        <f t="shared" si="60"/>
        <v>0</v>
      </c>
      <c r="T337" s="18">
        <f t="shared" si="61"/>
        <v>0</v>
      </c>
      <c r="U337" s="18">
        <f t="shared" si="62"/>
        <v>0</v>
      </c>
      <c r="V337" s="18">
        <f t="shared" si="63"/>
        <v>0</v>
      </c>
      <c r="W337" s="18">
        <f t="shared" si="64"/>
        <v>0</v>
      </c>
    </row>
    <row r="338" spans="1:23" x14ac:dyDescent="0.2">
      <c r="A338">
        <v>6891</v>
      </c>
      <c r="B338">
        <v>0</v>
      </c>
      <c r="C338">
        <v>0</v>
      </c>
      <c r="D338">
        <v>0</v>
      </c>
      <c r="E338">
        <v>0</v>
      </c>
      <c r="F338">
        <v>0</v>
      </c>
      <c r="G338">
        <v>0</v>
      </c>
      <c r="H338">
        <v>0</v>
      </c>
      <c r="I338">
        <v>0</v>
      </c>
      <c r="J338">
        <v>0</v>
      </c>
      <c r="K338">
        <v>0</v>
      </c>
      <c r="L338">
        <v>0</v>
      </c>
      <c r="M338">
        <v>0</v>
      </c>
      <c r="N338">
        <v>0</v>
      </c>
      <c r="P338" s="18">
        <f t="shared" si="57"/>
        <v>0</v>
      </c>
      <c r="Q338" s="18">
        <f t="shared" si="58"/>
        <v>0</v>
      </c>
      <c r="R338" s="18">
        <f t="shared" si="59"/>
        <v>0</v>
      </c>
      <c r="S338" s="18">
        <f t="shared" si="60"/>
        <v>0</v>
      </c>
      <c r="T338" s="18">
        <f t="shared" si="61"/>
        <v>0</v>
      </c>
      <c r="U338" s="18">
        <f t="shared" si="62"/>
        <v>0</v>
      </c>
      <c r="V338" s="18">
        <f t="shared" si="63"/>
        <v>0</v>
      </c>
      <c r="W338" s="18">
        <f t="shared" si="64"/>
        <v>0</v>
      </c>
    </row>
    <row r="339" spans="1:23" x14ac:dyDescent="0.2">
      <c r="A339">
        <v>6834</v>
      </c>
      <c r="B339">
        <v>0</v>
      </c>
      <c r="C339">
        <v>0</v>
      </c>
      <c r="D339">
        <v>0</v>
      </c>
      <c r="E339">
        <v>0</v>
      </c>
      <c r="F339">
        <v>0</v>
      </c>
      <c r="G339">
        <v>0</v>
      </c>
      <c r="H339">
        <v>0</v>
      </c>
      <c r="I339">
        <v>0</v>
      </c>
      <c r="J339">
        <v>0</v>
      </c>
      <c r="K339">
        <v>0</v>
      </c>
      <c r="L339">
        <v>0</v>
      </c>
      <c r="M339">
        <v>0</v>
      </c>
      <c r="N339">
        <v>0</v>
      </c>
      <c r="P339" s="18">
        <f t="shared" si="57"/>
        <v>0</v>
      </c>
      <c r="Q339" s="18">
        <f t="shared" si="58"/>
        <v>0</v>
      </c>
      <c r="R339" s="18">
        <f t="shared" si="59"/>
        <v>0</v>
      </c>
      <c r="S339" s="18">
        <f t="shared" si="60"/>
        <v>0</v>
      </c>
      <c r="T339" s="18">
        <f t="shared" si="61"/>
        <v>0</v>
      </c>
      <c r="U339" s="18">
        <f t="shared" si="62"/>
        <v>0</v>
      </c>
      <c r="V339" s="18">
        <f t="shared" si="63"/>
        <v>0</v>
      </c>
      <c r="W339" s="18">
        <f t="shared" si="64"/>
        <v>0</v>
      </c>
    </row>
    <row r="340" spans="1:23" x14ac:dyDescent="0.2">
      <c r="A340">
        <v>6837</v>
      </c>
      <c r="B340">
        <v>0</v>
      </c>
      <c r="C340">
        <v>0</v>
      </c>
      <c r="D340">
        <v>0</v>
      </c>
      <c r="E340">
        <v>0</v>
      </c>
      <c r="F340">
        <v>0</v>
      </c>
      <c r="G340">
        <v>0</v>
      </c>
      <c r="H340">
        <v>0</v>
      </c>
      <c r="I340">
        <v>0</v>
      </c>
      <c r="J340">
        <v>0</v>
      </c>
      <c r="K340">
        <v>0</v>
      </c>
      <c r="L340">
        <v>0</v>
      </c>
      <c r="M340">
        <v>0</v>
      </c>
      <c r="N340">
        <v>0</v>
      </c>
      <c r="P340" s="18">
        <f t="shared" ref="P340:P342" si="65">SUM(B340,G340)</f>
        <v>0</v>
      </c>
      <c r="Q340" s="18">
        <f t="shared" ref="Q340:Q342" si="66">SUM(C340,H340)</f>
        <v>0</v>
      </c>
      <c r="R340" s="18">
        <f t="shared" ref="R340:R342" si="67">SUM(D340,I340)</f>
        <v>0</v>
      </c>
      <c r="S340" s="18">
        <f t="shared" ref="S340:S342" si="68">SUM(E340,J340)</f>
        <v>0</v>
      </c>
      <c r="T340" s="18">
        <f t="shared" ref="T340:T342" si="69">K340</f>
        <v>0</v>
      </c>
      <c r="U340" s="18">
        <f t="shared" ref="U340:U342" si="70">L340</f>
        <v>0</v>
      </c>
      <c r="V340" s="18">
        <f t="shared" ref="V340:V342" si="71">M340</f>
        <v>0</v>
      </c>
      <c r="W340" s="18">
        <f t="shared" ref="W340:W342" si="72">SUM(F340,N340)</f>
        <v>0</v>
      </c>
    </row>
    <row r="341" spans="1:23" x14ac:dyDescent="0.2">
      <c r="A341">
        <v>6842</v>
      </c>
      <c r="B341">
        <v>0</v>
      </c>
      <c r="C341">
        <v>0</v>
      </c>
      <c r="D341">
        <v>0</v>
      </c>
      <c r="E341">
        <v>0</v>
      </c>
      <c r="F341">
        <v>0</v>
      </c>
      <c r="G341">
        <v>0</v>
      </c>
      <c r="H341">
        <v>0</v>
      </c>
      <c r="I341">
        <v>0</v>
      </c>
      <c r="J341">
        <v>0</v>
      </c>
      <c r="K341">
        <v>0</v>
      </c>
      <c r="L341">
        <v>0</v>
      </c>
      <c r="M341">
        <v>0</v>
      </c>
      <c r="N341">
        <v>0</v>
      </c>
      <c r="P341" s="18">
        <f t="shared" si="65"/>
        <v>0</v>
      </c>
      <c r="Q341" s="18">
        <f t="shared" si="66"/>
        <v>0</v>
      </c>
      <c r="R341" s="18">
        <f t="shared" si="67"/>
        <v>0</v>
      </c>
      <c r="S341" s="18">
        <f t="shared" si="68"/>
        <v>0</v>
      </c>
      <c r="T341" s="18">
        <f t="shared" si="69"/>
        <v>0</v>
      </c>
      <c r="U341" s="18">
        <f t="shared" si="70"/>
        <v>0</v>
      </c>
      <c r="V341" s="18">
        <f t="shared" si="71"/>
        <v>0</v>
      </c>
      <c r="W341" s="18">
        <f t="shared" si="72"/>
        <v>0</v>
      </c>
    </row>
    <row r="342" spans="1:23" x14ac:dyDescent="0.2">
      <c r="A342">
        <v>6848</v>
      </c>
      <c r="B342">
        <v>0</v>
      </c>
      <c r="C342">
        <v>0</v>
      </c>
      <c r="D342">
        <v>0</v>
      </c>
      <c r="E342">
        <v>0</v>
      </c>
      <c r="F342">
        <v>0</v>
      </c>
      <c r="G342">
        <v>0</v>
      </c>
      <c r="H342">
        <v>0</v>
      </c>
      <c r="I342">
        <v>0</v>
      </c>
      <c r="J342">
        <v>0</v>
      </c>
      <c r="K342">
        <v>0</v>
      </c>
      <c r="L342">
        <v>0</v>
      </c>
      <c r="M342">
        <v>0</v>
      </c>
      <c r="N342">
        <v>0</v>
      </c>
      <c r="P342" s="18">
        <f t="shared" si="65"/>
        <v>0</v>
      </c>
      <c r="Q342" s="18">
        <f t="shared" si="66"/>
        <v>0</v>
      </c>
      <c r="R342" s="18">
        <f t="shared" si="67"/>
        <v>0</v>
      </c>
      <c r="S342" s="18">
        <f t="shared" si="68"/>
        <v>0</v>
      </c>
      <c r="T342" s="18">
        <f t="shared" si="69"/>
        <v>0</v>
      </c>
      <c r="U342" s="18">
        <f t="shared" si="70"/>
        <v>0</v>
      </c>
      <c r="V342" s="18">
        <f t="shared" si="71"/>
        <v>0</v>
      </c>
      <c r="W342" s="18">
        <f t="shared" si="72"/>
        <v>0</v>
      </c>
    </row>
    <row r="343" spans="1:23" x14ac:dyDescent="0.2">
      <c r="A343">
        <v>6853</v>
      </c>
      <c r="B343">
        <v>0</v>
      </c>
      <c r="C343">
        <v>0</v>
      </c>
      <c r="D343">
        <v>0</v>
      </c>
      <c r="E343">
        <v>0</v>
      </c>
      <c r="F343">
        <v>0</v>
      </c>
      <c r="G343">
        <v>0</v>
      </c>
      <c r="H343">
        <v>0</v>
      </c>
      <c r="I343">
        <v>0</v>
      </c>
      <c r="J343">
        <v>0</v>
      </c>
      <c r="K343">
        <v>0</v>
      </c>
      <c r="L343">
        <v>0</v>
      </c>
      <c r="M343">
        <v>0</v>
      </c>
      <c r="N343">
        <v>0</v>
      </c>
      <c r="P343" s="18">
        <f t="shared" ref="P343:P353" si="73">SUM(B343,G343)</f>
        <v>0</v>
      </c>
      <c r="Q343" s="18">
        <f t="shared" ref="Q343:Q353" si="74">SUM(C343,H343)</f>
        <v>0</v>
      </c>
      <c r="R343" s="18">
        <f t="shared" ref="R343:R353" si="75">SUM(D343,I343)</f>
        <v>0</v>
      </c>
      <c r="S343" s="18">
        <f t="shared" ref="S343:S353" si="76">SUM(E343,J343)</f>
        <v>0</v>
      </c>
      <c r="T343" s="18">
        <f t="shared" ref="T343:T353" si="77">K343</f>
        <v>0</v>
      </c>
      <c r="U343" s="18">
        <f t="shared" ref="U343:U353" si="78">L343</f>
        <v>0</v>
      </c>
      <c r="V343" s="18">
        <f t="shared" ref="V343:V353" si="79">M343</f>
        <v>0</v>
      </c>
      <c r="W343" s="18">
        <f t="shared" ref="W343:W353" si="80">SUM(F343,N343)</f>
        <v>0</v>
      </c>
    </row>
    <row r="344" spans="1:23" x14ac:dyDescent="0.2">
      <c r="A344">
        <v>6860</v>
      </c>
      <c r="B344">
        <v>0</v>
      </c>
      <c r="C344">
        <v>0</v>
      </c>
      <c r="D344">
        <v>0</v>
      </c>
      <c r="E344">
        <v>0</v>
      </c>
      <c r="F344">
        <v>0</v>
      </c>
      <c r="G344">
        <v>0</v>
      </c>
      <c r="H344">
        <v>0</v>
      </c>
      <c r="I344">
        <v>0</v>
      </c>
      <c r="J344">
        <v>0</v>
      </c>
      <c r="K344">
        <v>0</v>
      </c>
      <c r="L344">
        <v>0</v>
      </c>
      <c r="M344">
        <v>0</v>
      </c>
      <c r="N344">
        <v>0</v>
      </c>
      <c r="P344" s="18">
        <f t="shared" si="73"/>
        <v>0</v>
      </c>
      <c r="Q344" s="18">
        <f t="shared" si="74"/>
        <v>0</v>
      </c>
      <c r="R344" s="18">
        <f t="shared" si="75"/>
        <v>0</v>
      </c>
      <c r="S344" s="18">
        <f t="shared" si="76"/>
        <v>0</v>
      </c>
      <c r="T344" s="18">
        <f t="shared" si="77"/>
        <v>0</v>
      </c>
      <c r="U344" s="18">
        <f t="shared" si="78"/>
        <v>0</v>
      </c>
      <c r="V344" s="18">
        <f t="shared" si="79"/>
        <v>0</v>
      </c>
      <c r="W344" s="18">
        <f t="shared" si="80"/>
        <v>0</v>
      </c>
    </row>
    <row r="345" spans="1:23" x14ac:dyDescent="0.2">
      <c r="A345">
        <v>6863</v>
      </c>
      <c r="B345">
        <v>0</v>
      </c>
      <c r="C345">
        <v>0</v>
      </c>
      <c r="D345">
        <v>0</v>
      </c>
      <c r="E345">
        <v>0</v>
      </c>
      <c r="F345">
        <v>0</v>
      </c>
      <c r="G345">
        <v>0</v>
      </c>
      <c r="H345">
        <v>0</v>
      </c>
      <c r="I345">
        <v>0</v>
      </c>
      <c r="J345">
        <v>0</v>
      </c>
      <c r="K345">
        <v>0</v>
      </c>
      <c r="L345">
        <v>0</v>
      </c>
      <c r="M345">
        <v>0</v>
      </c>
      <c r="N345">
        <v>0</v>
      </c>
      <c r="P345" s="18">
        <f t="shared" si="73"/>
        <v>0</v>
      </c>
      <c r="Q345" s="18">
        <f t="shared" si="74"/>
        <v>0</v>
      </c>
      <c r="R345" s="18">
        <f t="shared" si="75"/>
        <v>0</v>
      </c>
      <c r="S345" s="18">
        <f t="shared" si="76"/>
        <v>0</v>
      </c>
      <c r="T345" s="18">
        <f t="shared" si="77"/>
        <v>0</v>
      </c>
      <c r="U345" s="18">
        <f t="shared" si="78"/>
        <v>0</v>
      </c>
      <c r="V345" s="18">
        <f t="shared" si="79"/>
        <v>0</v>
      </c>
      <c r="W345" s="18">
        <f t="shared" si="80"/>
        <v>0</v>
      </c>
    </row>
    <row r="346" spans="1:23" x14ac:dyDescent="0.2">
      <c r="A346">
        <v>6858</v>
      </c>
      <c r="B346">
        <v>0</v>
      </c>
      <c r="C346">
        <v>0</v>
      </c>
      <c r="D346">
        <v>0</v>
      </c>
      <c r="E346">
        <v>0</v>
      </c>
      <c r="F346">
        <v>0</v>
      </c>
      <c r="G346">
        <v>0</v>
      </c>
      <c r="H346">
        <v>0</v>
      </c>
      <c r="I346">
        <v>0</v>
      </c>
      <c r="J346">
        <v>0</v>
      </c>
      <c r="K346">
        <v>0</v>
      </c>
      <c r="L346">
        <v>0</v>
      </c>
      <c r="M346">
        <v>0</v>
      </c>
      <c r="N346">
        <v>0</v>
      </c>
      <c r="P346" s="18">
        <f t="shared" si="73"/>
        <v>0</v>
      </c>
      <c r="Q346" s="18">
        <f t="shared" si="74"/>
        <v>0</v>
      </c>
      <c r="R346" s="18">
        <f t="shared" si="75"/>
        <v>0</v>
      </c>
      <c r="S346" s="18">
        <f t="shared" si="76"/>
        <v>0</v>
      </c>
      <c r="T346" s="18">
        <f t="shared" si="77"/>
        <v>0</v>
      </c>
      <c r="U346" s="18">
        <f t="shared" si="78"/>
        <v>0</v>
      </c>
      <c r="V346" s="18">
        <f t="shared" si="79"/>
        <v>0</v>
      </c>
      <c r="W346" s="18">
        <f t="shared" si="80"/>
        <v>0</v>
      </c>
    </row>
    <row r="347" spans="1:23" x14ac:dyDescent="0.2">
      <c r="A347">
        <v>6878</v>
      </c>
      <c r="B347">
        <v>0</v>
      </c>
      <c r="C347">
        <v>0</v>
      </c>
      <c r="D347">
        <v>0</v>
      </c>
      <c r="E347">
        <v>0</v>
      </c>
      <c r="F347">
        <v>0</v>
      </c>
      <c r="G347">
        <v>0</v>
      </c>
      <c r="H347">
        <v>0</v>
      </c>
      <c r="I347">
        <v>0</v>
      </c>
      <c r="J347">
        <v>0</v>
      </c>
      <c r="K347">
        <v>0</v>
      </c>
      <c r="L347">
        <v>0</v>
      </c>
      <c r="M347">
        <v>0</v>
      </c>
      <c r="N347">
        <v>0</v>
      </c>
      <c r="P347" s="18">
        <f t="shared" si="73"/>
        <v>0</v>
      </c>
      <c r="Q347" s="18">
        <f t="shared" si="74"/>
        <v>0</v>
      </c>
      <c r="R347" s="18">
        <f t="shared" si="75"/>
        <v>0</v>
      </c>
      <c r="S347" s="18">
        <f t="shared" si="76"/>
        <v>0</v>
      </c>
      <c r="T347" s="18">
        <f t="shared" si="77"/>
        <v>0</v>
      </c>
      <c r="U347" s="18">
        <f t="shared" si="78"/>
        <v>0</v>
      </c>
      <c r="V347" s="18">
        <f t="shared" si="79"/>
        <v>0</v>
      </c>
      <c r="W347" s="18">
        <f t="shared" si="80"/>
        <v>0</v>
      </c>
    </row>
    <row r="348" spans="1:23" x14ac:dyDescent="0.2">
      <c r="A348">
        <v>6884</v>
      </c>
      <c r="B348">
        <v>0</v>
      </c>
      <c r="C348">
        <v>0</v>
      </c>
      <c r="D348">
        <v>0</v>
      </c>
      <c r="E348">
        <v>0</v>
      </c>
      <c r="F348">
        <v>0</v>
      </c>
      <c r="G348">
        <v>0</v>
      </c>
      <c r="H348">
        <v>0</v>
      </c>
      <c r="I348">
        <v>0</v>
      </c>
      <c r="J348">
        <v>0</v>
      </c>
      <c r="K348">
        <v>0</v>
      </c>
      <c r="L348">
        <v>0</v>
      </c>
      <c r="M348">
        <v>0</v>
      </c>
      <c r="N348">
        <v>0</v>
      </c>
      <c r="P348" s="18">
        <f t="shared" si="73"/>
        <v>0</v>
      </c>
      <c r="Q348" s="18">
        <f t="shared" si="74"/>
        <v>0</v>
      </c>
      <c r="R348" s="18">
        <f t="shared" si="75"/>
        <v>0</v>
      </c>
      <c r="S348" s="18">
        <f t="shared" si="76"/>
        <v>0</v>
      </c>
      <c r="T348" s="18">
        <f t="shared" si="77"/>
        <v>0</v>
      </c>
      <c r="U348" s="18">
        <f t="shared" si="78"/>
        <v>0</v>
      </c>
      <c r="V348" s="18">
        <f t="shared" si="79"/>
        <v>0</v>
      </c>
      <c r="W348" s="18">
        <f t="shared" si="80"/>
        <v>0</v>
      </c>
    </row>
    <row r="349" spans="1:23" x14ac:dyDescent="0.2">
      <c r="A349">
        <v>6886</v>
      </c>
      <c r="B349">
        <v>0</v>
      </c>
      <c r="C349">
        <v>0</v>
      </c>
      <c r="D349">
        <v>0</v>
      </c>
      <c r="E349">
        <v>0</v>
      </c>
      <c r="F349">
        <v>0</v>
      </c>
      <c r="G349">
        <v>0</v>
      </c>
      <c r="H349">
        <v>0</v>
      </c>
      <c r="I349">
        <v>0</v>
      </c>
      <c r="J349">
        <v>0</v>
      </c>
      <c r="K349">
        <v>0</v>
      </c>
      <c r="L349">
        <v>0</v>
      </c>
      <c r="M349">
        <v>0</v>
      </c>
      <c r="N349">
        <v>0</v>
      </c>
      <c r="P349" s="18">
        <f t="shared" si="73"/>
        <v>0</v>
      </c>
      <c r="Q349" s="18">
        <f t="shared" si="74"/>
        <v>0</v>
      </c>
      <c r="R349" s="18">
        <f t="shared" si="75"/>
        <v>0</v>
      </c>
      <c r="S349" s="18">
        <f t="shared" si="76"/>
        <v>0</v>
      </c>
      <c r="T349" s="18">
        <f t="shared" si="77"/>
        <v>0</v>
      </c>
      <c r="U349" s="18">
        <f t="shared" si="78"/>
        <v>0</v>
      </c>
      <c r="V349" s="18">
        <f t="shared" si="79"/>
        <v>0</v>
      </c>
      <c r="W349" s="18">
        <f t="shared" si="80"/>
        <v>0</v>
      </c>
    </row>
    <row r="350" spans="1:23" x14ac:dyDescent="0.2">
      <c r="A350">
        <v>6888</v>
      </c>
      <c r="B350">
        <v>0</v>
      </c>
      <c r="C350">
        <v>0</v>
      </c>
      <c r="D350">
        <v>0</v>
      </c>
      <c r="E350">
        <v>0</v>
      </c>
      <c r="F350">
        <v>0</v>
      </c>
      <c r="G350">
        <v>0</v>
      </c>
      <c r="H350">
        <v>0</v>
      </c>
      <c r="I350">
        <v>0</v>
      </c>
      <c r="J350">
        <v>0</v>
      </c>
      <c r="K350">
        <v>0</v>
      </c>
      <c r="L350">
        <v>0</v>
      </c>
      <c r="M350">
        <v>0</v>
      </c>
      <c r="N350">
        <v>0</v>
      </c>
      <c r="P350" s="18">
        <f t="shared" si="73"/>
        <v>0</v>
      </c>
      <c r="Q350" s="18">
        <f t="shared" si="74"/>
        <v>0</v>
      </c>
      <c r="R350" s="18">
        <f t="shared" si="75"/>
        <v>0</v>
      </c>
      <c r="S350" s="18">
        <f t="shared" si="76"/>
        <v>0</v>
      </c>
      <c r="T350" s="18">
        <f t="shared" si="77"/>
        <v>0</v>
      </c>
      <c r="U350" s="18">
        <f t="shared" si="78"/>
        <v>0</v>
      </c>
      <c r="V350" s="18">
        <f t="shared" si="79"/>
        <v>0</v>
      </c>
      <c r="W350" s="18">
        <f t="shared" si="80"/>
        <v>0</v>
      </c>
    </row>
    <row r="351" spans="1:23" x14ac:dyDescent="0.2">
      <c r="A351">
        <v>6897</v>
      </c>
      <c r="B351">
        <v>0</v>
      </c>
      <c r="C351">
        <v>0</v>
      </c>
      <c r="D351">
        <v>0</v>
      </c>
      <c r="E351">
        <v>0</v>
      </c>
      <c r="F351">
        <v>0</v>
      </c>
      <c r="G351">
        <v>0</v>
      </c>
      <c r="H351">
        <v>0</v>
      </c>
      <c r="I351">
        <v>0</v>
      </c>
      <c r="J351">
        <v>0</v>
      </c>
      <c r="K351">
        <v>0</v>
      </c>
      <c r="L351">
        <v>0</v>
      </c>
      <c r="M351">
        <v>0</v>
      </c>
      <c r="N351">
        <v>0</v>
      </c>
      <c r="P351" s="18">
        <f t="shared" si="73"/>
        <v>0</v>
      </c>
      <c r="Q351" s="18">
        <f t="shared" si="74"/>
        <v>0</v>
      </c>
      <c r="R351" s="18">
        <f t="shared" si="75"/>
        <v>0</v>
      </c>
      <c r="S351" s="18">
        <f t="shared" si="76"/>
        <v>0</v>
      </c>
      <c r="T351" s="18">
        <f t="shared" si="77"/>
        <v>0</v>
      </c>
      <c r="U351" s="18">
        <f t="shared" si="78"/>
        <v>0</v>
      </c>
      <c r="V351" s="18">
        <f t="shared" si="79"/>
        <v>0</v>
      </c>
      <c r="W351" s="18">
        <f t="shared" si="80"/>
        <v>0</v>
      </c>
    </row>
    <row r="352" spans="1:23" x14ac:dyDescent="0.2">
      <c r="A352">
        <v>6900</v>
      </c>
      <c r="B352">
        <v>0</v>
      </c>
      <c r="C352">
        <v>0</v>
      </c>
      <c r="D352">
        <v>0</v>
      </c>
      <c r="E352">
        <v>0</v>
      </c>
      <c r="F352">
        <v>0</v>
      </c>
      <c r="G352">
        <v>0</v>
      </c>
      <c r="H352">
        <v>0</v>
      </c>
      <c r="I352">
        <v>0</v>
      </c>
      <c r="J352">
        <v>0</v>
      </c>
      <c r="K352">
        <v>0</v>
      </c>
      <c r="L352">
        <v>0</v>
      </c>
      <c r="M352">
        <v>0</v>
      </c>
      <c r="N352">
        <v>0</v>
      </c>
      <c r="P352" s="18">
        <f t="shared" si="73"/>
        <v>0</v>
      </c>
      <c r="Q352" s="18">
        <f t="shared" si="74"/>
        <v>0</v>
      </c>
      <c r="R352" s="18">
        <f t="shared" si="75"/>
        <v>0</v>
      </c>
      <c r="S352" s="18">
        <f t="shared" si="76"/>
        <v>0</v>
      </c>
      <c r="T352" s="18">
        <f t="shared" si="77"/>
        <v>0</v>
      </c>
      <c r="U352" s="18">
        <f t="shared" si="78"/>
        <v>0</v>
      </c>
      <c r="V352" s="18">
        <f t="shared" si="79"/>
        <v>0</v>
      </c>
      <c r="W352" s="18">
        <f t="shared" si="80"/>
        <v>0</v>
      </c>
    </row>
    <row r="353" spans="1:23" x14ac:dyDescent="0.2">
      <c r="A353">
        <v>6907</v>
      </c>
      <c r="B353">
        <v>0</v>
      </c>
      <c r="C353">
        <v>0</v>
      </c>
      <c r="D353">
        <v>0</v>
      </c>
      <c r="E353">
        <v>0</v>
      </c>
      <c r="F353">
        <v>0</v>
      </c>
      <c r="G353">
        <v>0</v>
      </c>
      <c r="H353">
        <v>0</v>
      </c>
      <c r="I353">
        <v>0</v>
      </c>
      <c r="J353">
        <v>0</v>
      </c>
      <c r="K353">
        <v>0</v>
      </c>
      <c r="L353">
        <v>0</v>
      </c>
      <c r="M353">
        <v>0</v>
      </c>
      <c r="N353">
        <v>0</v>
      </c>
      <c r="P353" s="18">
        <f t="shared" si="73"/>
        <v>0</v>
      </c>
      <c r="Q353" s="18">
        <f t="shared" si="74"/>
        <v>0</v>
      </c>
      <c r="R353" s="18">
        <f t="shared" si="75"/>
        <v>0</v>
      </c>
      <c r="S353" s="18">
        <f t="shared" si="76"/>
        <v>0</v>
      </c>
      <c r="T353" s="18">
        <f t="shared" si="77"/>
        <v>0</v>
      </c>
      <c r="U353" s="18">
        <f t="shared" si="78"/>
        <v>0</v>
      </c>
      <c r="V353" s="18">
        <f t="shared" si="79"/>
        <v>0</v>
      </c>
      <c r="W353" s="18">
        <f t="shared" si="80"/>
        <v>0</v>
      </c>
    </row>
    <row r="354" spans="1:23" x14ac:dyDescent="0.2">
      <c r="A354">
        <v>6889</v>
      </c>
      <c r="B354">
        <v>0</v>
      </c>
      <c r="C354">
        <v>0</v>
      </c>
      <c r="D354">
        <v>0</v>
      </c>
      <c r="E354">
        <v>0</v>
      </c>
      <c r="F354">
        <v>0</v>
      </c>
      <c r="G354">
        <v>0</v>
      </c>
      <c r="H354">
        <v>0</v>
      </c>
      <c r="I354">
        <v>0</v>
      </c>
      <c r="J354">
        <v>0</v>
      </c>
      <c r="K354">
        <v>0</v>
      </c>
      <c r="L354">
        <v>0</v>
      </c>
      <c r="M354">
        <v>0</v>
      </c>
      <c r="N354">
        <v>0</v>
      </c>
      <c r="P354" s="18">
        <f t="shared" ref="P354:P361" si="81">SUM(B354,G354)</f>
        <v>0</v>
      </c>
      <c r="Q354" s="18">
        <f t="shared" ref="Q354:Q361" si="82">SUM(C354,H354)</f>
        <v>0</v>
      </c>
      <c r="R354" s="18">
        <f t="shared" ref="R354:R361" si="83">SUM(D354,I354)</f>
        <v>0</v>
      </c>
      <c r="S354" s="18">
        <f t="shared" ref="S354:S361" si="84">SUM(E354,J354)</f>
        <v>0</v>
      </c>
      <c r="T354" s="18">
        <f t="shared" ref="T354:T361" si="85">K354</f>
        <v>0</v>
      </c>
      <c r="U354" s="18">
        <f t="shared" ref="U354:U361" si="86">L354</f>
        <v>0</v>
      </c>
      <c r="V354" s="18">
        <f t="shared" ref="V354:V361" si="87">M354</f>
        <v>0</v>
      </c>
      <c r="W354" s="18">
        <f t="shared" ref="W354:W361" si="88">SUM(F354,N354)</f>
        <v>0</v>
      </c>
    </row>
    <row r="355" spans="1:23" x14ac:dyDescent="0.2">
      <c r="A355">
        <v>6909</v>
      </c>
      <c r="B355">
        <v>0</v>
      </c>
      <c r="C355">
        <v>0</v>
      </c>
      <c r="D355">
        <v>0</v>
      </c>
      <c r="E355">
        <v>0</v>
      </c>
      <c r="F355">
        <v>0</v>
      </c>
      <c r="G355">
        <v>0</v>
      </c>
      <c r="H355">
        <v>0</v>
      </c>
      <c r="I355">
        <v>0</v>
      </c>
      <c r="J355">
        <v>0</v>
      </c>
      <c r="K355">
        <v>0</v>
      </c>
      <c r="L355">
        <v>0</v>
      </c>
      <c r="M355">
        <v>0</v>
      </c>
      <c r="N355">
        <v>0</v>
      </c>
      <c r="P355" s="18">
        <f t="shared" si="81"/>
        <v>0</v>
      </c>
      <c r="Q355" s="18">
        <f t="shared" si="82"/>
        <v>0</v>
      </c>
      <c r="R355" s="18">
        <f t="shared" si="83"/>
        <v>0</v>
      </c>
      <c r="S355" s="18">
        <f t="shared" si="84"/>
        <v>0</v>
      </c>
      <c r="T355" s="18">
        <f t="shared" si="85"/>
        <v>0</v>
      </c>
      <c r="U355" s="18">
        <f t="shared" si="86"/>
        <v>0</v>
      </c>
      <c r="V355" s="18">
        <f t="shared" si="87"/>
        <v>0</v>
      </c>
      <c r="W355" s="18">
        <f t="shared" si="88"/>
        <v>0</v>
      </c>
    </row>
    <row r="356" spans="1:23" x14ac:dyDescent="0.2">
      <c r="A356">
        <v>6916</v>
      </c>
      <c r="B356">
        <v>0</v>
      </c>
      <c r="C356">
        <v>0</v>
      </c>
      <c r="D356">
        <v>0</v>
      </c>
      <c r="E356">
        <v>0</v>
      </c>
      <c r="F356">
        <v>0</v>
      </c>
      <c r="G356">
        <v>0</v>
      </c>
      <c r="H356">
        <v>0</v>
      </c>
      <c r="I356">
        <v>0</v>
      </c>
      <c r="J356">
        <v>0</v>
      </c>
      <c r="K356">
        <v>0</v>
      </c>
      <c r="L356">
        <v>0</v>
      </c>
      <c r="M356">
        <v>0</v>
      </c>
      <c r="N356">
        <v>0</v>
      </c>
      <c r="P356" s="18">
        <f t="shared" si="81"/>
        <v>0</v>
      </c>
      <c r="Q356" s="18">
        <f t="shared" si="82"/>
        <v>0</v>
      </c>
      <c r="R356" s="18">
        <f t="shared" si="83"/>
        <v>0</v>
      </c>
      <c r="S356" s="18">
        <f t="shared" si="84"/>
        <v>0</v>
      </c>
      <c r="T356" s="18">
        <f t="shared" si="85"/>
        <v>0</v>
      </c>
      <c r="U356" s="18">
        <f t="shared" si="86"/>
        <v>0</v>
      </c>
      <c r="V356" s="18">
        <f t="shared" si="87"/>
        <v>0</v>
      </c>
      <c r="W356" s="18">
        <f t="shared" si="88"/>
        <v>0</v>
      </c>
    </row>
    <row r="357" spans="1:23" x14ac:dyDescent="0.2">
      <c r="A357">
        <v>6925</v>
      </c>
      <c r="B357">
        <v>0</v>
      </c>
      <c r="C357">
        <v>0</v>
      </c>
      <c r="D357">
        <v>0</v>
      </c>
      <c r="E357">
        <v>0</v>
      </c>
      <c r="F357">
        <v>0</v>
      </c>
      <c r="G357">
        <v>0</v>
      </c>
      <c r="H357">
        <v>0</v>
      </c>
      <c r="I357">
        <v>0</v>
      </c>
      <c r="J357">
        <v>0</v>
      </c>
      <c r="K357">
        <v>0</v>
      </c>
      <c r="L357">
        <v>0</v>
      </c>
      <c r="M357">
        <v>0</v>
      </c>
      <c r="N357">
        <v>0</v>
      </c>
      <c r="P357" s="18">
        <f t="shared" si="81"/>
        <v>0</v>
      </c>
      <c r="Q357" s="18">
        <f t="shared" si="82"/>
        <v>0</v>
      </c>
      <c r="R357" s="18">
        <f t="shared" si="83"/>
        <v>0</v>
      </c>
      <c r="S357" s="18">
        <f t="shared" si="84"/>
        <v>0</v>
      </c>
      <c r="T357" s="18">
        <f t="shared" si="85"/>
        <v>0</v>
      </c>
      <c r="U357" s="18">
        <f t="shared" si="86"/>
        <v>0</v>
      </c>
      <c r="V357" s="18">
        <f t="shared" si="87"/>
        <v>0</v>
      </c>
      <c r="W357" s="18">
        <f t="shared" si="88"/>
        <v>0</v>
      </c>
    </row>
    <row r="358" spans="1:23" x14ac:dyDescent="0.2">
      <c r="A358">
        <v>6929</v>
      </c>
      <c r="B358">
        <v>0</v>
      </c>
      <c r="C358">
        <v>0</v>
      </c>
      <c r="D358">
        <v>0</v>
      </c>
      <c r="E358">
        <v>0</v>
      </c>
      <c r="F358">
        <v>0</v>
      </c>
      <c r="G358">
        <v>0</v>
      </c>
      <c r="H358">
        <v>0</v>
      </c>
      <c r="I358">
        <v>0</v>
      </c>
      <c r="J358">
        <v>0</v>
      </c>
      <c r="K358">
        <v>0</v>
      </c>
      <c r="L358">
        <v>0</v>
      </c>
      <c r="M358">
        <v>0</v>
      </c>
      <c r="N358">
        <v>0</v>
      </c>
      <c r="P358" s="18">
        <f t="shared" si="81"/>
        <v>0</v>
      </c>
      <c r="Q358" s="18">
        <f t="shared" si="82"/>
        <v>0</v>
      </c>
      <c r="R358" s="18">
        <f t="shared" si="83"/>
        <v>0</v>
      </c>
      <c r="S358" s="18">
        <f t="shared" si="84"/>
        <v>0</v>
      </c>
      <c r="T358" s="18">
        <f t="shared" si="85"/>
        <v>0</v>
      </c>
      <c r="U358" s="18">
        <f t="shared" si="86"/>
        <v>0</v>
      </c>
      <c r="V358" s="18">
        <f t="shared" si="87"/>
        <v>0</v>
      </c>
      <c r="W358" s="18">
        <f t="shared" si="88"/>
        <v>0</v>
      </c>
    </row>
    <row r="359" spans="1:23" x14ac:dyDescent="0.2">
      <c r="A359">
        <v>6930</v>
      </c>
      <c r="B359">
        <v>0</v>
      </c>
      <c r="C359">
        <v>0</v>
      </c>
      <c r="D359">
        <v>0</v>
      </c>
      <c r="E359">
        <v>0</v>
      </c>
      <c r="F359">
        <v>0</v>
      </c>
      <c r="G359">
        <v>0</v>
      </c>
      <c r="H359">
        <v>0</v>
      </c>
      <c r="I359">
        <v>0</v>
      </c>
      <c r="J359">
        <v>0</v>
      </c>
      <c r="K359">
        <v>0</v>
      </c>
      <c r="L359">
        <v>0</v>
      </c>
      <c r="M359">
        <v>0</v>
      </c>
      <c r="N359">
        <v>0</v>
      </c>
      <c r="P359" s="18">
        <f t="shared" si="81"/>
        <v>0</v>
      </c>
      <c r="Q359" s="18">
        <f t="shared" si="82"/>
        <v>0</v>
      </c>
      <c r="R359" s="18">
        <f t="shared" si="83"/>
        <v>0</v>
      </c>
      <c r="S359" s="18">
        <f t="shared" si="84"/>
        <v>0</v>
      </c>
      <c r="T359" s="18">
        <f t="shared" si="85"/>
        <v>0</v>
      </c>
      <c r="U359" s="18">
        <f t="shared" si="86"/>
        <v>0</v>
      </c>
      <c r="V359" s="18">
        <f t="shared" si="87"/>
        <v>0</v>
      </c>
      <c r="W359" s="18">
        <f t="shared" si="88"/>
        <v>0</v>
      </c>
    </row>
    <row r="360" spans="1:23" x14ac:dyDescent="0.2">
      <c r="A360">
        <v>6932</v>
      </c>
      <c r="B360">
        <v>0</v>
      </c>
      <c r="C360">
        <v>0</v>
      </c>
      <c r="D360">
        <v>0</v>
      </c>
      <c r="E360">
        <v>0</v>
      </c>
      <c r="F360">
        <v>0</v>
      </c>
      <c r="G360">
        <v>0</v>
      </c>
      <c r="H360">
        <v>0</v>
      </c>
      <c r="I360">
        <v>0</v>
      </c>
      <c r="J360">
        <v>0</v>
      </c>
      <c r="K360">
        <v>0</v>
      </c>
      <c r="L360">
        <v>0</v>
      </c>
      <c r="M360">
        <v>0</v>
      </c>
      <c r="N360">
        <v>0</v>
      </c>
      <c r="P360" s="18">
        <f t="shared" si="81"/>
        <v>0</v>
      </c>
      <c r="Q360" s="18">
        <f t="shared" si="82"/>
        <v>0</v>
      </c>
      <c r="R360" s="18">
        <f t="shared" si="83"/>
        <v>0</v>
      </c>
      <c r="S360" s="18">
        <f t="shared" si="84"/>
        <v>0</v>
      </c>
      <c r="T360" s="18">
        <f t="shared" si="85"/>
        <v>0</v>
      </c>
      <c r="U360" s="18">
        <f t="shared" si="86"/>
        <v>0</v>
      </c>
      <c r="V360" s="18">
        <f t="shared" si="87"/>
        <v>0</v>
      </c>
      <c r="W360" s="18">
        <f t="shared" si="88"/>
        <v>0</v>
      </c>
    </row>
    <row r="361" spans="1:23" x14ac:dyDescent="0.2">
      <c r="A361">
        <v>6967</v>
      </c>
      <c r="B361">
        <v>0</v>
      </c>
      <c r="C361">
        <v>0</v>
      </c>
      <c r="D361">
        <v>0</v>
      </c>
      <c r="E361">
        <v>0</v>
      </c>
      <c r="F361">
        <v>0</v>
      </c>
      <c r="G361">
        <v>0</v>
      </c>
      <c r="H361">
        <v>0</v>
      </c>
      <c r="I361">
        <v>0</v>
      </c>
      <c r="J361">
        <v>0</v>
      </c>
      <c r="K361">
        <v>0</v>
      </c>
      <c r="L361">
        <v>0</v>
      </c>
      <c r="M361">
        <v>0</v>
      </c>
      <c r="N361">
        <v>0</v>
      </c>
      <c r="P361" s="18">
        <f t="shared" si="81"/>
        <v>0</v>
      </c>
      <c r="Q361" s="18">
        <f t="shared" si="82"/>
        <v>0</v>
      </c>
      <c r="R361" s="18">
        <f t="shared" si="83"/>
        <v>0</v>
      </c>
      <c r="S361" s="18">
        <f t="shared" si="84"/>
        <v>0</v>
      </c>
      <c r="T361" s="18">
        <f t="shared" si="85"/>
        <v>0</v>
      </c>
      <c r="U361" s="18">
        <f t="shared" si="86"/>
        <v>0</v>
      </c>
      <c r="V361" s="18">
        <f t="shared" si="87"/>
        <v>0</v>
      </c>
      <c r="W361" s="18">
        <f t="shared" si="88"/>
        <v>0</v>
      </c>
    </row>
    <row r="362" spans="1:23" x14ac:dyDescent="0.2">
      <c r="A362">
        <v>6733</v>
      </c>
      <c r="B362">
        <v>0</v>
      </c>
      <c r="C362">
        <v>0</v>
      </c>
      <c r="D362">
        <v>0</v>
      </c>
      <c r="E362">
        <v>0</v>
      </c>
      <c r="F362">
        <v>0</v>
      </c>
      <c r="G362">
        <v>0</v>
      </c>
      <c r="H362">
        <v>0</v>
      </c>
      <c r="I362">
        <v>0</v>
      </c>
      <c r="J362">
        <v>0</v>
      </c>
      <c r="K362">
        <v>0</v>
      </c>
      <c r="L362">
        <v>0</v>
      </c>
      <c r="M362">
        <v>0</v>
      </c>
      <c r="N362">
        <v>0</v>
      </c>
      <c r="P362" s="18">
        <f t="shared" ref="P362" si="89">SUM(B362,G362)</f>
        <v>0</v>
      </c>
      <c r="Q362" s="18">
        <f t="shared" ref="Q362" si="90">SUM(C362,H362)</f>
        <v>0</v>
      </c>
      <c r="R362" s="18">
        <f t="shared" ref="R362" si="91">SUM(D362,I362)</f>
        <v>0</v>
      </c>
      <c r="S362" s="18">
        <f t="shared" ref="S362" si="92">SUM(E362,J362)</f>
        <v>0</v>
      </c>
      <c r="T362" s="18">
        <f t="shared" ref="T362" si="93">K362</f>
        <v>0</v>
      </c>
      <c r="U362" s="18">
        <f t="shared" ref="U362" si="94">L362</f>
        <v>0</v>
      </c>
      <c r="V362" s="18">
        <f t="shared" ref="V362" si="95">M362</f>
        <v>0</v>
      </c>
      <c r="W362" s="18">
        <f t="shared" ref="W362" si="96">SUM(F362,N362)</f>
        <v>0</v>
      </c>
    </row>
    <row r="363" spans="1:23" x14ac:dyDescent="0.2">
      <c r="A363">
        <v>6941</v>
      </c>
      <c r="B363">
        <v>0</v>
      </c>
      <c r="C363">
        <v>0</v>
      </c>
      <c r="D363">
        <v>0</v>
      </c>
      <c r="E363">
        <v>0</v>
      </c>
      <c r="F363">
        <v>0</v>
      </c>
      <c r="G363">
        <v>0</v>
      </c>
      <c r="H363">
        <v>0</v>
      </c>
      <c r="I363">
        <v>0</v>
      </c>
      <c r="J363">
        <v>0</v>
      </c>
      <c r="K363">
        <v>0</v>
      </c>
      <c r="L363">
        <v>0</v>
      </c>
      <c r="M363">
        <v>0</v>
      </c>
      <c r="N363">
        <v>0</v>
      </c>
      <c r="P363" s="18">
        <f t="shared" ref="P363" si="97">SUM(B363,G363)</f>
        <v>0</v>
      </c>
      <c r="Q363" s="18">
        <f t="shared" ref="Q363" si="98">SUM(C363,H363)</f>
        <v>0</v>
      </c>
      <c r="R363" s="18">
        <f t="shared" ref="R363" si="99">SUM(D363,I363)</f>
        <v>0</v>
      </c>
      <c r="S363" s="18">
        <f t="shared" ref="S363" si="100">SUM(E363,J363)</f>
        <v>0</v>
      </c>
      <c r="T363" s="18">
        <f t="shared" ref="T363" si="101">K363</f>
        <v>0</v>
      </c>
      <c r="U363" s="18">
        <f t="shared" ref="U363" si="102">L363</f>
        <v>0</v>
      </c>
      <c r="V363" s="18">
        <f t="shared" ref="V363" si="103">M363</f>
        <v>0</v>
      </c>
      <c r="W363" s="18">
        <f t="shared" ref="W363" si="104">SUM(F363,N363)</f>
        <v>0</v>
      </c>
    </row>
    <row r="364" spans="1:23" x14ac:dyDescent="0.2">
      <c r="A364">
        <v>6950</v>
      </c>
      <c r="B364">
        <v>0</v>
      </c>
      <c r="C364">
        <v>0</v>
      </c>
      <c r="D364">
        <v>0</v>
      </c>
      <c r="E364">
        <v>0</v>
      </c>
      <c r="F364">
        <v>0</v>
      </c>
      <c r="G364">
        <v>0</v>
      </c>
      <c r="H364">
        <v>0</v>
      </c>
      <c r="I364">
        <v>0</v>
      </c>
      <c r="J364">
        <v>0</v>
      </c>
      <c r="K364">
        <v>0</v>
      </c>
      <c r="L364">
        <v>0</v>
      </c>
      <c r="M364">
        <v>0</v>
      </c>
      <c r="N364">
        <v>0</v>
      </c>
      <c r="P364" s="18">
        <f t="shared" ref="P364:P369" si="105">SUM(B364,G364)</f>
        <v>0</v>
      </c>
      <c r="Q364" s="18">
        <f t="shared" ref="Q364:Q369" si="106">SUM(C364,H364)</f>
        <v>0</v>
      </c>
      <c r="R364" s="18">
        <f t="shared" ref="R364:R369" si="107">SUM(D364,I364)</f>
        <v>0</v>
      </c>
      <c r="S364" s="18">
        <f t="shared" ref="S364:S369" si="108">SUM(E364,J364)</f>
        <v>0</v>
      </c>
      <c r="T364" s="18">
        <f t="shared" ref="T364:T369" si="109">K364</f>
        <v>0</v>
      </c>
      <c r="U364" s="18">
        <f t="shared" ref="U364:U369" si="110">L364</f>
        <v>0</v>
      </c>
      <c r="V364" s="18">
        <f t="shared" ref="V364:V369" si="111">M364</f>
        <v>0</v>
      </c>
      <c r="W364" s="18">
        <f t="shared" ref="W364:W369" si="112">SUM(F364,N364)</f>
        <v>0</v>
      </c>
    </row>
    <row r="365" spans="1:23" x14ac:dyDescent="0.2">
      <c r="A365">
        <v>6951</v>
      </c>
      <c r="B365">
        <v>0</v>
      </c>
      <c r="C365">
        <v>0</v>
      </c>
      <c r="D365">
        <v>0</v>
      </c>
      <c r="E365">
        <v>0</v>
      </c>
      <c r="F365">
        <v>0</v>
      </c>
      <c r="G365">
        <v>0</v>
      </c>
      <c r="H365">
        <v>0</v>
      </c>
      <c r="I365">
        <v>0</v>
      </c>
      <c r="J365">
        <v>0</v>
      </c>
      <c r="K365">
        <v>0</v>
      </c>
      <c r="L365">
        <v>0</v>
      </c>
      <c r="M365">
        <v>0</v>
      </c>
      <c r="N365">
        <v>0</v>
      </c>
      <c r="P365" s="18">
        <f t="shared" si="105"/>
        <v>0</v>
      </c>
      <c r="Q365" s="18">
        <f t="shared" si="106"/>
        <v>0</v>
      </c>
      <c r="R365" s="18">
        <f t="shared" si="107"/>
        <v>0</v>
      </c>
      <c r="S365" s="18">
        <f t="shared" si="108"/>
        <v>0</v>
      </c>
      <c r="T365" s="18">
        <f t="shared" si="109"/>
        <v>0</v>
      </c>
      <c r="U365" s="18">
        <f t="shared" si="110"/>
        <v>0</v>
      </c>
      <c r="V365" s="18">
        <f t="shared" si="111"/>
        <v>0</v>
      </c>
      <c r="W365" s="18">
        <f t="shared" si="112"/>
        <v>0</v>
      </c>
    </row>
    <row r="366" spans="1:23" x14ac:dyDescent="0.2">
      <c r="A366">
        <v>6973</v>
      </c>
      <c r="B366">
        <v>0</v>
      </c>
      <c r="C366">
        <v>0</v>
      </c>
      <c r="D366">
        <v>0</v>
      </c>
      <c r="E366">
        <v>0</v>
      </c>
      <c r="F366">
        <v>0</v>
      </c>
      <c r="G366">
        <v>7.9560000000000006E-2</v>
      </c>
      <c r="H366">
        <v>7.5800000000000006E-2</v>
      </c>
      <c r="I366">
        <v>3.8699999999999998E-2</v>
      </c>
      <c r="J366">
        <v>0</v>
      </c>
      <c r="K366">
        <v>0</v>
      </c>
      <c r="L366">
        <v>0</v>
      </c>
      <c r="M366">
        <v>8.0000000000000007E-5</v>
      </c>
      <c r="N366">
        <v>0</v>
      </c>
      <c r="P366" s="18">
        <f t="shared" si="105"/>
        <v>7.9560000000000006E-2</v>
      </c>
      <c r="Q366" s="18">
        <f t="shared" si="106"/>
        <v>7.5800000000000006E-2</v>
      </c>
      <c r="R366" s="18">
        <f t="shared" si="107"/>
        <v>3.8699999999999998E-2</v>
      </c>
      <c r="S366" s="18">
        <f t="shared" si="108"/>
        <v>0</v>
      </c>
      <c r="T366" s="18">
        <f t="shared" si="109"/>
        <v>0</v>
      </c>
      <c r="U366" s="18">
        <f t="shared" si="110"/>
        <v>0</v>
      </c>
      <c r="V366" s="18">
        <f t="shared" si="111"/>
        <v>8.0000000000000007E-5</v>
      </c>
      <c r="W366" s="18">
        <f t="shared" si="112"/>
        <v>0</v>
      </c>
    </row>
    <row r="367" spans="1:23" x14ac:dyDescent="0.2">
      <c r="A367">
        <v>6960</v>
      </c>
      <c r="B367">
        <v>0</v>
      </c>
      <c r="C367">
        <v>0</v>
      </c>
      <c r="D367">
        <v>0</v>
      </c>
      <c r="E367">
        <v>0</v>
      </c>
      <c r="F367">
        <v>0</v>
      </c>
      <c r="G367">
        <v>0</v>
      </c>
      <c r="H367">
        <v>0</v>
      </c>
      <c r="I367">
        <v>0</v>
      </c>
      <c r="J367">
        <v>0</v>
      </c>
      <c r="K367">
        <v>0</v>
      </c>
      <c r="L367">
        <v>0</v>
      </c>
      <c r="M367">
        <v>0</v>
      </c>
      <c r="N367">
        <v>0</v>
      </c>
      <c r="P367" s="18">
        <f t="shared" si="105"/>
        <v>0</v>
      </c>
      <c r="Q367" s="18">
        <f t="shared" si="106"/>
        <v>0</v>
      </c>
      <c r="R367" s="18">
        <f t="shared" si="107"/>
        <v>0</v>
      </c>
      <c r="S367" s="18">
        <f t="shared" si="108"/>
        <v>0</v>
      </c>
      <c r="T367" s="18">
        <f t="shared" si="109"/>
        <v>0</v>
      </c>
      <c r="U367" s="18">
        <f t="shared" si="110"/>
        <v>0</v>
      </c>
      <c r="V367" s="18">
        <f t="shared" si="111"/>
        <v>0</v>
      </c>
      <c r="W367" s="18">
        <f t="shared" si="112"/>
        <v>0</v>
      </c>
    </row>
    <row r="368" spans="1:23" x14ac:dyDescent="0.2">
      <c r="A368">
        <v>6975</v>
      </c>
      <c r="B368">
        <v>0</v>
      </c>
      <c r="C368">
        <v>0</v>
      </c>
      <c r="D368">
        <v>0</v>
      </c>
      <c r="E368">
        <v>0</v>
      </c>
      <c r="F368">
        <v>0</v>
      </c>
      <c r="G368">
        <v>0</v>
      </c>
      <c r="H368">
        <v>0</v>
      </c>
      <c r="I368">
        <v>0</v>
      </c>
      <c r="J368">
        <v>0</v>
      </c>
      <c r="K368">
        <v>0</v>
      </c>
      <c r="L368">
        <v>0</v>
      </c>
      <c r="M368">
        <v>0</v>
      </c>
      <c r="N368">
        <v>0</v>
      </c>
      <c r="P368" s="18">
        <f t="shared" si="105"/>
        <v>0</v>
      </c>
      <c r="Q368" s="18">
        <f t="shared" si="106"/>
        <v>0</v>
      </c>
      <c r="R368" s="18">
        <f t="shared" si="107"/>
        <v>0</v>
      </c>
      <c r="S368" s="18">
        <f t="shared" si="108"/>
        <v>0</v>
      </c>
      <c r="T368" s="18">
        <f t="shared" si="109"/>
        <v>0</v>
      </c>
      <c r="U368" s="18">
        <f t="shared" si="110"/>
        <v>0</v>
      </c>
      <c r="V368" s="18">
        <f t="shared" si="111"/>
        <v>0</v>
      </c>
      <c r="W368" s="18">
        <f t="shared" si="112"/>
        <v>0</v>
      </c>
    </row>
    <row r="369" spans="1:23" x14ac:dyDescent="0.2">
      <c r="A369">
        <v>6952</v>
      </c>
      <c r="B369">
        <v>0</v>
      </c>
      <c r="C369">
        <v>0</v>
      </c>
      <c r="D369">
        <v>0</v>
      </c>
      <c r="E369">
        <v>0</v>
      </c>
      <c r="F369">
        <v>0</v>
      </c>
      <c r="G369">
        <v>0</v>
      </c>
      <c r="H369">
        <v>0</v>
      </c>
      <c r="I369">
        <v>0</v>
      </c>
      <c r="J369">
        <v>0</v>
      </c>
      <c r="K369">
        <v>0</v>
      </c>
      <c r="L369">
        <v>0</v>
      </c>
      <c r="M369">
        <v>0</v>
      </c>
      <c r="N369">
        <v>0</v>
      </c>
      <c r="P369" s="18">
        <f t="shared" si="105"/>
        <v>0</v>
      </c>
      <c r="Q369" s="18">
        <f t="shared" si="106"/>
        <v>0</v>
      </c>
      <c r="R369" s="18">
        <f t="shared" si="107"/>
        <v>0</v>
      </c>
      <c r="S369" s="18">
        <f t="shared" si="108"/>
        <v>0</v>
      </c>
      <c r="T369" s="18">
        <f t="shared" si="109"/>
        <v>0</v>
      </c>
      <c r="U369" s="18">
        <f t="shared" si="110"/>
        <v>0</v>
      </c>
      <c r="V369" s="18">
        <f t="shared" si="111"/>
        <v>0</v>
      </c>
      <c r="W369" s="18">
        <f t="shared" si="112"/>
        <v>0</v>
      </c>
    </row>
    <row r="370" spans="1:23" x14ac:dyDescent="0.2">
      <c r="A370">
        <v>6983</v>
      </c>
      <c r="B370">
        <v>0</v>
      </c>
      <c r="C370">
        <v>0</v>
      </c>
      <c r="D370">
        <v>0</v>
      </c>
      <c r="E370">
        <v>0</v>
      </c>
      <c r="F370">
        <v>0</v>
      </c>
      <c r="G370">
        <v>0</v>
      </c>
      <c r="H370">
        <v>0</v>
      </c>
      <c r="I370">
        <v>0</v>
      </c>
      <c r="J370">
        <v>0</v>
      </c>
      <c r="K370">
        <v>0</v>
      </c>
      <c r="L370">
        <v>0</v>
      </c>
      <c r="M370">
        <v>0</v>
      </c>
      <c r="N370">
        <v>0</v>
      </c>
      <c r="P370" s="18">
        <f t="shared" ref="P370:P381" si="113">SUM(B370,G370)</f>
        <v>0</v>
      </c>
      <c r="Q370" s="18">
        <f t="shared" ref="Q370:Q381" si="114">SUM(C370,H370)</f>
        <v>0</v>
      </c>
      <c r="R370" s="18">
        <f t="shared" ref="R370:R381" si="115">SUM(D370,I370)</f>
        <v>0</v>
      </c>
      <c r="S370" s="18">
        <f t="shared" ref="S370:S381" si="116">SUM(E370,J370)</f>
        <v>0</v>
      </c>
      <c r="T370" s="18">
        <f t="shared" ref="T370:T381" si="117">K370</f>
        <v>0</v>
      </c>
      <c r="U370" s="18">
        <f t="shared" ref="U370:U381" si="118">L370</f>
        <v>0</v>
      </c>
      <c r="V370" s="18">
        <f t="shared" ref="V370:V381" si="119">M370</f>
        <v>0</v>
      </c>
      <c r="W370" s="18">
        <f t="shared" ref="W370:W381" si="120">SUM(F370,N370)</f>
        <v>0</v>
      </c>
    </row>
    <row r="371" spans="1:23" x14ac:dyDescent="0.2">
      <c r="A371">
        <v>6979</v>
      </c>
      <c r="B371">
        <v>0</v>
      </c>
      <c r="C371">
        <v>0</v>
      </c>
      <c r="D371">
        <v>0</v>
      </c>
      <c r="E371">
        <v>0</v>
      </c>
      <c r="F371">
        <v>0</v>
      </c>
      <c r="G371">
        <v>0</v>
      </c>
      <c r="H371">
        <v>0</v>
      </c>
      <c r="I371">
        <v>0</v>
      </c>
      <c r="J371">
        <v>0</v>
      </c>
      <c r="K371">
        <v>0</v>
      </c>
      <c r="L371">
        <v>0</v>
      </c>
      <c r="M371">
        <v>0</v>
      </c>
      <c r="N371">
        <v>0</v>
      </c>
      <c r="P371" s="18">
        <f t="shared" si="113"/>
        <v>0</v>
      </c>
      <c r="Q371" s="18">
        <f t="shared" si="114"/>
        <v>0</v>
      </c>
      <c r="R371" s="18">
        <f t="shared" si="115"/>
        <v>0</v>
      </c>
      <c r="S371" s="18">
        <f t="shared" si="116"/>
        <v>0</v>
      </c>
      <c r="T371" s="18">
        <f t="shared" si="117"/>
        <v>0</v>
      </c>
      <c r="U371" s="18">
        <f t="shared" si="118"/>
        <v>0</v>
      </c>
      <c r="V371" s="18">
        <f t="shared" si="119"/>
        <v>0</v>
      </c>
      <c r="W371" s="18">
        <f t="shared" si="120"/>
        <v>0</v>
      </c>
    </row>
    <row r="372" spans="1:23" x14ac:dyDescent="0.2">
      <c r="A372">
        <v>6993</v>
      </c>
      <c r="B372">
        <v>0</v>
      </c>
      <c r="C372">
        <v>0</v>
      </c>
      <c r="D372">
        <v>0</v>
      </c>
      <c r="E372">
        <v>0</v>
      </c>
      <c r="F372">
        <v>0</v>
      </c>
      <c r="G372">
        <v>0</v>
      </c>
      <c r="H372">
        <v>0</v>
      </c>
      <c r="I372">
        <v>0</v>
      </c>
      <c r="J372">
        <v>0</v>
      </c>
      <c r="K372">
        <v>0</v>
      </c>
      <c r="L372">
        <v>0</v>
      </c>
      <c r="M372">
        <v>0</v>
      </c>
      <c r="N372">
        <v>0</v>
      </c>
      <c r="P372" s="18">
        <f t="shared" si="113"/>
        <v>0</v>
      </c>
      <c r="Q372" s="18">
        <f t="shared" si="114"/>
        <v>0</v>
      </c>
      <c r="R372" s="18">
        <f t="shared" si="115"/>
        <v>0</v>
      </c>
      <c r="S372" s="18">
        <f t="shared" si="116"/>
        <v>0</v>
      </c>
      <c r="T372" s="18">
        <f t="shared" si="117"/>
        <v>0</v>
      </c>
      <c r="U372" s="18">
        <f t="shared" si="118"/>
        <v>0</v>
      </c>
      <c r="V372" s="18">
        <f t="shared" si="119"/>
        <v>0</v>
      </c>
      <c r="W372" s="18">
        <f t="shared" si="120"/>
        <v>0</v>
      </c>
    </row>
    <row r="373" spans="1:23" x14ac:dyDescent="0.2">
      <c r="A373">
        <v>7010</v>
      </c>
      <c r="B373">
        <v>0</v>
      </c>
      <c r="C373">
        <v>0</v>
      </c>
      <c r="D373">
        <v>0</v>
      </c>
      <c r="E373">
        <v>0</v>
      </c>
      <c r="F373">
        <v>0</v>
      </c>
      <c r="G373">
        <v>0</v>
      </c>
      <c r="H373">
        <v>0</v>
      </c>
      <c r="I373">
        <v>0</v>
      </c>
      <c r="J373">
        <v>0</v>
      </c>
      <c r="K373">
        <v>0</v>
      </c>
      <c r="L373">
        <v>0</v>
      </c>
      <c r="M373">
        <v>0</v>
      </c>
      <c r="N373">
        <v>0</v>
      </c>
      <c r="P373" s="18">
        <f t="shared" si="113"/>
        <v>0</v>
      </c>
      <c r="Q373" s="18">
        <f t="shared" si="114"/>
        <v>0</v>
      </c>
      <c r="R373" s="18">
        <f t="shared" si="115"/>
        <v>0</v>
      </c>
      <c r="S373" s="18">
        <f t="shared" si="116"/>
        <v>0</v>
      </c>
      <c r="T373" s="18">
        <f t="shared" si="117"/>
        <v>0</v>
      </c>
      <c r="U373" s="18">
        <f t="shared" si="118"/>
        <v>0</v>
      </c>
      <c r="V373" s="18">
        <f t="shared" si="119"/>
        <v>0</v>
      </c>
      <c r="W373" s="18">
        <f t="shared" si="120"/>
        <v>0</v>
      </c>
    </row>
    <row r="374" spans="1:23" x14ac:dyDescent="0.2">
      <c r="A374">
        <v>7015</v>
      </c>
      <c r="B374">
        <v>0</v>
      </c>
      <c r="C374">
        <v>0</v>
      </c>
      <c r="D374">
        <v>0</v>
      </c>
      <c r="E374">
        <v>0</v>
      </c>
      <c r="F374">
        <v>0</v>
      </c>
      <c r="G374">
        <v>0</v>
      </c>
      <c r="H374">
        <v>0</v>
      </c>
      <c r="I374">
        <v>0</v>
      </c>
      <c r="J374">
        <v>0</v>
      </c>
      <c r="K374">
        <v>0</v>
      </c>
      <c r="L374">
        <v>0</v>
      </c>
      <c r="M374">
        <v>0</v>
      </c>
      <c r="N374">
        <v>0</v>
      </c>
      <c r="P374" s="18">
        <f t="shared" si="113"/>
        <v>0</v>
      </c>
      <c r="Q374" s="18">
        <f t="shared" si="114"/>
        <v>0</v>
      </c>
      <c r="R374" s="18">
        <f t="shared" si="115"/>
        <v>0</v>
      </c>
      <c r="S374" s="18">
        <f t="shared" si="116"/>
        <v>0</v>
      </c>
      <c r="T374" s="18">
        <f t="shared" si="117"/>
        <v>0</v>
      </c>
      <c r="U374" s="18">
        <f t="shared" si="118"/>
        <v>0</v>
      </c>
      <c r="V374" s="18">
        <f t="shared" si="119"/>
        <v>0</v>
      </c>
      <c r="W374" s="18">
        <f t="shared" si="120"/>
        <v>0</v>
      </c>
    </row>
    <row r="375" spans="1:23" x14ac:dyDescent="0.2">
      <c r="A375">
        <v>6972</v>
      </c>
      <c r="B375">
        <v>0</v>
      </c>
      <c r="C375">
        <v>0</v>
      </c>
      <c r="D375">
        <v>0</v>
      </c>
      <c r="E375">
        <v>0</v>
      </c>
      <c r="F375">
        <v>0</v>
      </c>
      <c r="G375">
        <v>0</v>
      </c>
      <c r="H375">
        <v>0</v>
      </c>
      <c r="I375">
        <v>0</v>
      </c>
      <c r="J375">
        <v>0</v>
      </c>
      <c r="K375">
        <v>0</v>
      </c>
      <c r="L375">
        <v>0</v>
      </c>
      <c r="M375">
        <v>0</v>
      </c>
      <c r="N375">
        <v>0</v>
      </c>
      <c r="P375" s="18">
        <f t="shared" si="113"/>
        <v>0</v>
      </c>
      <c r="Q375" s="18">
        <f t="shared" si="114"/>
        <v>0</v>
      </c>
      <c r="R375" s="18">
        <f t="shared" si="115"/>
        <v>0</v>
      </c>
      <c r="S375" s="18">
        <f t="shared" si="116"/>
        <v>0</v>
      </c>
      <c r="T375" s="18">
        <f t="shared" si="117"/>
        <v>0</v>
      </c>
      <c r="U375" s="18">
        <f t="shared" si="118"/>
        <v>0</v>
      </c>
      <c r="V375" s="18">
        <f t="shared" si="119"/>
        <v>0</v>
      </c>
      <c r="W375" s="18">
        <f t="shared" si="120"/>
        <v>0</v>
      </c>
    </row>
    <row r="376" spans="1:23" x14ac:dyDescent="0.2">
      <c r="A376">
        <v>7022</v>
      </c>
      <c r="B376">
        <v>0</v>
      </c>
      <c r="C376">
        <v>0</v>
      </c>
      <c r="D376">
        <v>0</v>
      </c>
      <c r="E376">
        <v>0</v>
      </c>
      <c r="F376">
        <v>0</v>
      </c>
      <c r="G376">
        <v>0</v>
      </c>
      <c r="H376">
        <v>0</v>
      </c>
      <c r="I376">
        <v>0</v>
      </c>
      <c r="J376">
        <v>0</v>
      </c>
      <c r="K376">
        <v>0</v>
      </c>
      <c r="L376">
        <v>0</v>
      </c>
      <c r="M376">
        <v>0</v>
      </c>
      <c r="N376">
        <v>0</v>
      </c>
      <c r="P376" s="18">
        <f t="shared" si="113"/>
        <v>0</v>
      </c>
      <c r="Q376" s="18">
        <f t="shared" si="114"/>
        <v>0</v>
      </c>
      <c r="R376" s="18">
        <f t="shared" si="115"/>
        <v>0</v>
      </c>
      <c r="S376" s="18">
        <f t="shared" si="116"/>
        <v>0</v>
      </c>
      <c r="T376" s="18">
        <f t="shared" si="117"/>
        <v>0</v>
      </c>
      <c r="U376" s="18">
        <f t="shared" si="118"/>
        <v>0</v>
      </c>
      <c r="V376" s="18">
        <f t="shared" si="119"/>
        <v>0</v>
      </c>
      <c r="W376" s="18">
        <f t="shared" si="120"/>
        <v>0</v>
      </c>
    </row>
    <row r="377" spans="1:23" x14ac:dyDescent="0.2">
      <c r="A377">
        <v>7030</v>
      </c>
      <c r="B377">
        <v>0</v>
      </c>
      <c r="C377">
        <v>0</v>
      </c>
      <c r="D377">
        <v>0</v>
      </c>
      <c r="E377">
        <v>0</v>
      </c>
      <c r="F377">
        <v>0</v>
      </c>
      <c r="G377">
        <v>0</v>
      </c>
      <c r="H377">
        <v>0</v>
      </c>
      <c r="I377">
        <v>0</v>
      </c>
      <c r="J377">
        <v>0</v>
      </c>
      <c r="K377">
        <v>0</v>
      </c>
      <c r="L377">
        <v>0</v>
      </c>
      <c r="M377">
        <v>0</v>
      </c>
      <c r="N377">
        <v>0</v>
      </c>
      <c r="P377" s="18">
        <f t="shared" si="113"/>
        <v>0</v>
      </c>
      <c r="Q377" s="18">
        <f t="shared" si="114"/>
        <v>0</v>
      </c>
      <c r="R377" s="18">
        <f t="shared" si="115"/>
        <v>0</v>
      </c>
      <c r="S377" s="18">
        <f t="shared" si="116"/>
        <v>0</v>
      </c>
      <c r="T377" s="18">
        <f t="shared" si="117"/>
        <v>0</v>
      </c>
      <c r="U377" s="18">
        <f t="shared" si="118"/>
        <v>0</v>
      </c>
      <c r="V377" s="18">
        <f t="shared" si="119"/>
        <v>0</v>
      </c>
      <c r="W377" s="18">
        <f t="shared" si="120"/>
        <v>0</v>
      </c>
    </row>
    <row r="378" spans="1:23" x14ac:dyDescent="0.2">
      <c r="A378">
        <v>7034</v>
      </c>
      <c r="B378">
        <v>0</v>
      </c>
      <c r="C378">
        <v>0</v>
      </c>
      <c r="D378">
        <v>0</v>
      </c>
      <c r="E378">
        <v>0</v>
      </c>
      <c r="F378">
        <v>0</v>
      </c>
      <c r="G378">
        <v>0</v>
      </c>
      <c r="H378">
        <v>0</v>
      </c>
      <c r="I378">
        <v>0</v>
      </c>
      <c r="J378">
        <v>0</v>
      </c>
      <c r="K378">
        <v>0</v>
      </c>
      <c r="L378">
        <v>0</v>
      </c>
      <c r="M378">
        <v>0</v>
      </c>
      <c r="N378">
        <v>0</v>
      </c>
      <c r="P378" s="18">
        <f t="shared" si="113"/>
        <v>0</v>
      </c>
      <c r="Q378" s="18">
        <f t="shared" si="114"/>
        <v>0</v>
      </c>
      <c r="R378" s="18">
        <f t="shared" si="115"/>
        <v>0</v>
      </c>
      <c r="S378" s="18">
        <f t="shared" si="116"/>
        <v>0</v>
      </c>
      <c r="T378" s="18">
        <f t="shared" si="117"/>
        <v>0</v>
      </c>
      <c r="U378" s="18">
        <f t="shared" si="118"/>
        <v>0</v>
      </c>
      <c r="V378" s="18">
        <f t="shared" si="119"/>
        <v>0</v>
      </c>
      <c r="W378" s="18">
        <f t="shared" si="120"/>
        <v>0</v>
      </c>
    </row>
    <row r="379" spans="1:23" x14ac:dyDescent="0.2">
      <c r="A379">
        <v>7037</v>
      </c>
      <c r="B379">
        <v>0</v>
      </c>
      <c r="C379">
        <v>0</v>
      </c>
      <c r="D379">
        <v>0</v>
      </c>
      <c r="E379">
        <v>0</v>
      </c>
      <c r="F379">
        <v>0</v>
      </c>
      <c r="G379">
        <v>0</v>
      </c>
      <c r="H379">
        <v>0</v>
      </c>
      <c r="I379">
        <v>0</v>
      </c>
      <c r="J379">
        <v>0</v>
      </c>
      <c r="K379">
        <v>0</v>
      </c>
      <c r="L379">
        <v>0</v>
      </c>
      <c r="M379">
        <v>0</v>
      </c>
      <c r="N379">
        <v>0</v>
      </c>
      <c r="P379" s="18">
        <f t="shared" si="113"/>
        <v>0</v>
      </c>
      <c r="Q379" s="18">
        <f t="shared" si="114"/>
        <v>0</v>
      </c>
      <c r="R379" s="18">
        <f t="shared" si="115"/>
        <v>0</v>
      </c>
      <c r="S379" s="18">
        <f t="shared" si="116"/>
        <v>0</v>
      </c>
      <c r="T379" s="18">
        <f t="shared" si="117"/>
        <v>0</v>
      </c>
      <c r="U379" s="18">
        <f t="shared" si="118"/>
        <v>0</v>
      </c>
      <c r="V379" s="18">
        <f t="shared" si="119"/>
        <v>0</v>
      </c>
      <c r="W379" s="18">
        <f t="shared" si="120"/>
        <v>0</v>
      </c>
    </row>
    <row r="380" spans="1:23" x14ac:dyDescent="0.2">
      <c r="A380">
        <v>7092</v>
      </c>
      <c r="B380">
        <v>0</v>
      </c>
      <c r="C380">
        <v>0</v>
      </c>
      <c r="D380">
        <v>0</v>
      </c>
      <c r="E380">
        <v>0</v>
      </c>
      <c r="F380">
        <v>0</v>
      </c>
      <c r="G380">
        <v>0</v>
      </c>
      <c r="H380">
        <v>0</v>
      </c>
      <c r="I380">
        <v>0</v>
      </c>
      <c r="J380">
        <v>0</v>
      </c>
      <c r="K380">
        <v>0</v>
      </c>
      <c r="L380">
        <v>0</v>
      </c>
      <c r="M380">
        <v>0</v>
      </c>
      <c r="N380">
        <v>0</v>
      </c>
      <c r="P380" s="18">
        <f t="shared" si="113"/>
        <v>0</v>
      </c>
      <c r="Q380" s="18">
        <f t="shared" si="114"/>
        <v>0</v>
      </c>
      <c r="R380" s="18">
        <f t="shared" si="115"/>
        <v>0</v>
      </c>
      <c r="S380" s="18">
        <f t="shared" si="116"/>
        <v>0</v>
      </c>
      <c r="T380" s="18">
        <f t="shared" si="117"/>
        <v>0</v>
      </c>
      <c r="U380" s="18">
        <f t="shared" si="118"/>
        <v>0</v>
      </c>
      <c r="V380" s="18">
        <f t="shared" si="119"/>
        <v>0</v>
      </c>
      <c r="W380" s="18">
        <f t="shared" si="120"/>
        <v>0</v>
      </c>
    </row>
    <row r="381" spans="1:23" x14ac:dyDescent="0.2">
      <c r="A381" t="s">
        <v>383</v>
      </c>
      <c r="B381">
        <v>0</v>
      </c>
      <c r="C381">
        <v>0</v>
      </c>
      <c r="D381">
        <v>0</v>
      </c>
      <c r="E381">
        <v>0</v>
      </c>
      <c r="F381">
        <v>0</v>
      </c>
      <c r="G381">
        <v>0</v>
      </c>
      <c r="H381">
        <v>0</v>
      </c>
      <c r="I381">
        <v>0</v>
      </c>
      <c r="J381">
        <v>0</v>
      </c>
      <c r="K381">
        <v>0</v>
      </c>
      <c r="L381">
        <v>0</v>
      </c>
      <c r="M381">
        <v>0</v>
      </c>
      <c r="N381">
        <v>0</v>
      </c>
      <c r="P381" s="18">
        <f t="shared" si="113"/>
        <v>0</v>
      </c>
      <c r="Q381" s="18">
        <f t="shared" si="114"/>
        <v>0</v>
      </c>
      <c r="R381" s="18">
        <f t="shared" si="115"/>
        <v>0</v>
      </c>
      <c r="S381" s="18">
        <f t="shared" si="116"/>
        <v>0</v>
      </c>
      <c r="T381" s="18">
        <f t="shared" si="117"/>
        <v>0</v>
      </c>
      <c r="U381" s="18">
        <f t="shared" si="118"/>
        <v>0</v>
      </c>
      <c r="V381" s="18">
        <f t="shared" si="119"/>
        <v>0</v>
      </c>
      <c r="W381" s="18">
        <f t="shared" si="120"/>
        <v>0</v>
      </c>
    </row>
    <row r="382" spans="1:23" x14ac:dyDescent="0.2">
      <c r="A382">
        <v>7051</v>
      </c>
      <c r="B382">
        <v>0</v>
      </c>
      <c r="C382">
        <v>0</v>
      </c>
      <c r="D382">
        <v>0</v>
      </c>
      <c r="E382">
        <v>0</v>
      </c>
      <c r="F382">
        <v>0</v>
      </c>
      <c r="G382">
        <v>0</v>
      </c>
      <c r="H382">
        <v>0</v>
      </c>
      <c r="I382">
        <v>0</v>
      </c>
      <c r="J382">
        <v>0</v>
      </c>
      <c r="K382">
        <v>0</v>
      </c>
      <c r="L382">
        <v>0</v>
      </c>
      <c r="M382">
        <v>0</v>
      </c>
      <c r="N382">
        <v>0</v>
      </c>
      <c r="P382" s="18">
        <f t="shared" ref="P382" si="121">SUM(B382,G382)</f>
        <v>0</v>
      </c>
      <c r="Q382" s="18">
        <f t="shared" ref="Q382" si="122">SUM(C382,H382)</f>
        <v>0</v>
      </c>
      <c r="R382" s="18">
        <f t="shared" ref="R382" si="123">SUM(D382,I382)</f>
        <v>0</v>
      </c>
      <c r="S382" s="18">
        <f t="shared" ref="S382" si="124">SUM(E382,J382)</f>
        <v>0</v>
      </c>
      <c r="T382" s="18">
        <f t="shared" ref="T382" si="125">K382</f>
        <v>0</v>
      </c>
      <c r="U382" s="18">
        <f t="shared" ref="U382" si="126">L382</f>
        <v>0</v>
      </c>
      <c r="V382" s="18">
        <f t="shared" ref="V382" si="127">M382</f>
        <v>0</v>
      </c>
      <c r="W382" s="18">
        <f t="shared" ref="W382" si="128">SUM(F382,N382)</f>
        <v>0</v>
      </c>
    </row>
    <row r="383" spans="1:23" x14ac:dyDescent="0.2">
      <c r="A383">
        <v>7055</v>
      </c>
      <c r="B383">
        <v>0</v>
      </c>
      <c r="C383">
        <v>0</v>
      </c>
      <c r="D383">
        <v>0</v>
      </c>
      <c r="E383">
        <v>0</v>
      </c>
      <c r="F383">
        <v>0</v>
      </c>
      <c r="G383">
        <v>0</v>
      </c>
      <c r="H383">
        <v>0</v>
      </c>
      <c r="I383">
        <v>0</v>
      </c>
      <c r="J383">
        <v>0</v>
      </c>
      <c r="K383">
        <v>0</v>
      </c>
      <c r="L383">
        <v>0</v>
      </c>
      <c r="M383">
        <v>0</v>
      </c>
      <c r="N383">
        <v>0</v>
      </c>
      <c r="P383" s="18">
        <f t="shared" ref="P383:P395" si="129">SUM(B383,G383)</f>
        <v>0</v>
      </c>
      <c r="Q383" s="18">
        <f t="shared" ref="Q383:Q395" si="130">SUM(C383,H383)</f>
        <v>0</v>
      </c>
      <c r="R383" s="18">
        <f t="shared" ref="R383:R395" si="131">SUM(D383,I383)</f>
        <v>0</v>
      </c>
      <c r="S383" s="18">
        <f t="shared" ref="S383:S395" si="132">SUM(E383,J383)</f>
        <v>0</v>
      </c>
      <c r="T383" s="18">
        <f t="shared" ref="T383:T395" si="133">K383</f>
        <v>0</v>
      </c>
      <c r="U383" s="18">
        <f t="shared" ref="U383:U395" si="134">L383</f>
        <v>0</v>
      </c>
      <c r="V383" s="18">
        <f t="shared" ref="V383:V395" si="135">M383</f>
        <v>0</v>
      </c>
      <c r="W383" s="18">
        <f t="shared" ref="W383:W395" si="136">SUM(F383,N383)</f>
        <v>0</v>
      </c>
    </row>
    <row r="384" spans="1:23" x14ac:dyDescent="0.2">
      <c r="A384">
        <v>7053</v>
      </c>
      <c r="B384">
        <v>0</v>
      </c>
      <c r="C384">
        <v>0</v>
      </c>
      <c r="D384">
        <v>0</v>
      </c>
      <c r="E384">
        <v>0</v>
      </c>
      <c r="F384">
        <v>0</v>
      </c>
      <c r="G384">
        <v>0</v>
      </c>
      <c r="H384">
        <v>0</v>
      </c>
      <c r="I384">
        <v>0</v>
      </c>
      <c r="J384">
        <v>0</v>
      </c>
      <c r="K384">
        <v>0</v>
      </c>
      <c r="L384">
        <v>0</v>
      </c>
      <c r="M384">
        <v>0</v>
      </c>
      <c r="N384">
        <v>0</v>
      </c>
      <c r="P384" s="18">
        <f t="shared" si="129"/>
        <v>0</v>
      </c>
      <c r="Q384" s="18">
        <f t="shared" si="130"/>
        <v>0</v>
      </c>
      <c r="R384" s="18">
        <f t="shared" si="131"/>
        <v>0</v>
      </c>
      <c r="S384" s="18">
        <f t="shared" si="132"/>
        <v>0</v>
      </c>
      <c r="T384" s="18">
        <f t="shared" si="133"/>
        <v>0</v>
      </c>
      <c r="U384" s="18">
        <f t="shared" si="134"/>
        <v>0</v>
      </c>
      <c r="V384" s="18">
        <f t="shared" si="135"/>
        <v>0</v>
      </c>
      <c r="W384" s="18">
        <f t="shared" si="136"/>
        <v>0</v>
      </c>
    </row>
    <row r="385" spans="1:23" x14ac:dyDescent="0.2">
      <c r="A385">
        <v>7062</v>
      </c>
      <c r="B385">
        <v>0</v>
      </c>
      <c r="C385">
        <v>0</v>
      </c>
      <c r="D385">
        <v>0</v>
      </c>
      <c r="E385">
        <v>0</v>
      </c>
      <c r="F385">
        <v>0</v>
      </c>
      <c r="G385">
        <v>0</v>
      </c>
      <c r="H385">
        <v>0</v>
      </c>
      <c r="I385">
        <v>0</v>
      </c>
      <c r="J385">
        <v>0</v>
      </c>
      <c r="K385">
        <v>0</v>
      </c>
      <c r="L385">
        <v>0</v>
      </c>
      <c r="M385">
        <v>0</v>
      </c>
      <c r="N385">
        <v>0</v>
      </c>
      <c r="P385" s="18">
        <f t="shared" si="129"/>
        <v>0</v>
      </c>
      <c r="Q385" s="18">
        <f t="shared" si="130"/>
        <v>0</v>
      </c>
      <c r="R385" s="18">
        <f t="shared" si="131"/>
        <v>0</v>
      </c>
      <c r="S385" s="18">
        <f t="shared" si="132"/>
        <v>0</v>
      </c>
      <c r="T385" s="18">
        <f t="shared" si="133"/>
        <v>0</v>
      </c>
      <c r="U385" s="18">
        <f t="shared" si="134"/>
        <v>0</v>
      </c>
      <c r="V385" s="18">
        <f t="shared" si="135"/>
        <v>0</v>
      </c>
      <c r="W385" s="18">
        <f t="shared" si="136"/>
        <v>0</v>
      </c>
    </row>
    <row r="386" spans="1:23" x14ac:dyDescent="0.2">
      <c r="A386">
        <v>6773</v>
      </c>
      <c r="B386">
        <v>0</v>
      </c>
      <c r="C386">
        <v>0</v>
      </c>
      <c r="D386">
        <v>0</v>
      </c>
      <c r="E386">
        <v>0</v>
      </c>
      <c r="F386">
        <v>0</v>
      </c>
      <c r="G386">
        <v>0.33139000000000002</v>
      </c>
      <c r="H386">
        <v>4.4221899999999996</v>
      </c>
      <c r="I386">
        <v>1.1999999999999999E-2</v>
      </c>
      <c r="J386">
        <v>6.2399999999999997E-2</v>
      </c>
      <c r="K386">
        <v>7.2999999999999995E-2</v>
      </c>
      <c r="L386">
        <v>0.21273999999999998</v>
      </c>
      <c r="M386">
        <v>6.5799999999999997E-2</v>
      </c>
      <c r="N386">
        <v>0</v>
      </c>
      <c r="P386" s="18">
        <f t="shared" si="129"/>
        <v>0.33139000000000002</v>
      </c>
      <c r="Q386" s="18">
        <f t="shared" si="130"/>
        <v>4.4221899999999996</v>
      </c>
      <c r="R386" s="18">
        <f t="shared" si="131"/>
        <v>1.1999999999999999E-2</v>
      </c>
      <c r="S386" s="18">
        <f t="shared" si="132"/>
        <v>6.2399999999999997E-2</v>
      </c>
      <c r="T386" s="18">
        <f t="shared" si="133"/>
        <v>7.2999999999999995E-2</v>
      </c>
      <c r="U386" s="18">
        <f t="shared" si="134"/>
        <v>0.21273999999999998</v>
      </c>
      <c r="V386" s="18">
        <f t="shared" si="135"/>
        <v>6.5799999999999997E-2</v>
      </c>
      <c r="W386" s="18">
        <f t="shared" si="136"/>
        <v>0</v>
      </c>
    </row>
    <row r="387" spans="1:23" x14ac:dyDescent="0.2">
      <c r="A387">
        <v>6649</v>
      </c>
      <c r="B387">
        <v>0</v>
      </c>
      <c r="C387">
        <v>0</v>
      </c>
      <c r="D387">
        <v>0</v>
      </c>
      <c r="E387">
        <v>0</v>
      </c>
      <c r="F387">
        <v>0</v>
      </c>
      <c r="G387">
        <v>0</v>
      </c>
      <c r="H387">
        <v>0</v>
      </c>
      <c r="I387">
        <v>0</v>
      </c>
      <c r="J387">
        <v>0</v>
      </c>
      <c r="K387">
        <v>0</v>
      </c>
      <c r="L387">
        <v>0</v>
      </c>
      <c r="M387">
        <v>0</v>
      </c>
      <c r="N387">
        <v>0</v>
      </c>
      <c r="P387" s="18">
        <f t="shared" si="129"/>
        <v>0</v>
      </c>
      <c r="Q387" s="18">
        <f t="shared" si="130"/>
        <v>0</v>
      </c>
      <c r="R387" s="18">
        <f t="shared" si="131"/>
        <v>0</v>
      </c>
      <c r="S387" s="18">
        <f t="shared" si="132"/>
        <v>0</v>
      </c>
      <c r="T387" s="18">
        <f t="shared" si="133"/>
        <v>0</v>
      </c>
      <c r="U387" s="18">
        <f t="shared" si="134"/>
        <v>0</v>
      </c>
      <c r="V387" s="18">
        <f t="shared" si="135"/>
        <v>0</v>
      </c>
      <c r="W387" s="18">
        <f t="shared" si="136"/>
        <v>0</v>
      </c>
    </row>
    <row r="388" spans="1:23" x14ac:dyDescent="0.2">
      <c r="A388">
        <v>7021</v>
      </c>
      <c r="B388">
        <v>0</v>
      </c>
      <c r="C388">
        <v>0</v>
      </c>
      <c r="D388">
        <v>0</v>
      </c>
      <c r="E388">
        <v>0</v>
      </c>
      <c r="F388">
        <v>0</v>
      </c>
      <c r="G388">
        <v>0</v>
      </c>
      <c r="H388">
        <v>0</v>
      </c>
      <c r="I388">
        <v>0</v>
      </c>
      <c r="J388">
        <v>0</v>
      </c>
      <c r="K388">
        <v>0</v>
      </c>
      <c r="L388">
        <v>0</v>
      </c>
      <c r="M388">
        <v>0</v>
      </c>
      <c r="N388">
        <v>0</v>
      </c>
      <c r="P388" s="18">
        <f t="shared" si="129"/>
        <v>0</v>
      </c>
      <c r="Q388" s="18">
        <f t="shared" si="130"/>
        <v>0</v>
      </c>
      <c r="R388" s="18">
        <f t="shared" si="131"/>
        <v>0</v>
      </c>
      <c r="S388" s="18">
        <f t="shared" si="132"/>
        <v>0</v>
      </c>
      <c r="T388" s="18">
        <f t="shared" si="133"/>
        <v>0</v>
      </c>
      <c r="U388" s="18">
        <f t="shared" si="134"/>
        <v>0</v>
      </c>
      <c r="V388" s="18">
        <f t="shared" si="135"/>
        <v>0</v>
      </c>
      <c r="W388" s="18">
        <f t="shared" si="136"/>
        <v>0</v>
      </c>
    </row>
    <row r="389" spans="1:23" x14ac:dyDescent="0.2">
      <c r="A389">
        <v>7088</v>
      </c>
      <c r="B389">
        <v>0</v>
      </c>
      <c r="C389">
        <v>0</v>
      </c>
      <c r="D389">
        <v>0</v>
      </c>
      <c r="E389">
        <v>0</v>
      </c>
      <c r="F389">
        <v>0</v>
      </c>
      <c r="G389">
        <v>0</v>
      </c>
      <c r="H389">
        <v>0</v>
      </c>
      <c r="I389">
        <v>0</v>
      </c>
      <c r="J389">
        <v>0</v>
      </c>
      <c r="K389">
        <v>0</v>
      </c>
      <c r="L389">
        <v>0</v>
      </c>
      <c r="M389">
        <v>0</v>
      </c>
      <c r="N389">
        <v>0</v>
      </c>
      <c r="P389" s="18">
        <f t="shared" si="129"/>
        <v>0</v>
      </c>
      <c r="Q389" s="18">
        <f t="shared" si="130"/>
        <v>0</v>
      </c>
      <c r="R389" s="18">
        <f t="shared" si="131"/>
        <v>0</v>
      </c>
      <c r="S389" s="18">
        <f t="shared" si="132"/>
        <v>0</v>
      </c>
      <c r="T389" s="18">
        <f t="shared" si="133"/>
        <v>0</v>
      </c>
      <c r="U389" s="18">
        <f t="shared" si="134"/>
        <v>0</v>
      </c>
      <c r="V389" s="18">
        <f t="shared" si="135"/>
        <v>0</v>
      </c>
      <c r="W389" s="18">
        <f t="shared" si="136"/>
        <v>0</v>
      </c>
    </row>
    <row r="390" spans="1:23" x14ac:dyDescent="0.2">
      <c r="A390">
        <v>6997</v>
      </c>
      <c r="B390">
        <v>0</v>
      </c>
      <c r="C390">
        <v>0</v>
      </c>
      <c r="D390">
        <v>0</v>
      </c>
      <c r="E390">
        <v>0</v>
      </c>
      <c r="F390">
        <v>0</v>
      </c>
      <c r="G390">
        <v>0</v>
      </c>
      <c r="H390">
        <v>0</v>
      </c>
      <c r="I390">
        <v>0</v>
      </c>
      <c r="J390">
        <v>0</v>
      </c>
      <c r="K390">
        <v>0</v>
      </c>
      <c r="L390">
        <v>0</v>
      </c>
      <c r="M390">
        <v>0</v>
      </c>
      <c r="N390">
        <v>0</v>
      </c>
      <c r="P390" s="18">
        <f t="shared" si="129"/>
        <v>0</v>
      </c>
      <c r="Q390" s="18">
        <f t="shared" si="130"/>
        <v>0</v>
      </c>
      <c r="R390" s="18">
        <f t="shared" si="131"/>
        <v>0</v>
      </c>
      <c r="S390" s="18">
        <f t="shared" si="132"/>
        <v>0</v>
      </c>
      <c r="T390" s="18">
        <f t="shared" si="133"/>
        <v>0</v>
      </c>
      <c r="U390" s="18">
        <f t="shared" si="134"/>
        <v>0</v>
      </c>
      <c r="V390" s="18">
        <f t="shared" si="135"/>
        <v>0</v>
      </c>
      <c r="W390" s="18">
        <f t="shared" si="136"/>
        <v>0</v>
      </c>
    </row>
    <row r="391" spans="1:23" x14ac:dyDescent="0.2">
      <c r="A391">
        <v>7049</v>
      </c>
      <c r="B391">
        <v>0</v>
      </c>
      <c r="C391">
        <v>0</v>
      </c>
      <c r="D391">
        <v>0</v>
      </c>
      <c r="E391">
        <v>0</v>
      </c>
      <c r="F391">
        <v>0</v>
      </c>
      <c r="G391">
        <v>0</v>
      </c>
      <c r="H391">
        <v>0</v>
      </c>
      <c r="I391">
        <v>0</v>
      </c>
      <c r="J391">
        <v>0</v>
      </c>
      <c r="K391">
        <v>0</v>
      </c>
      <c r="L391">
        <v>0</v>
      </c>
      <c r="M391">
        <v>0</v>
      </c>
      <c r="N391">
        <v>0</v>
      </c>
      <c r="P391" s="18">
        <f t="shared" si="129"/>
        <v>0</v>
      </c>
      <c r="Q391" s="18">
        <f t="shared" si="130"/>
        <v>0</v>
      </c>
      <c r="R391" s="18">
        <f t="shared" si="131"/>
        <v>0</v>
      </c>
      <c r="S391" s="18">
        <f t="shared" si="132"/>
        <v>0</v>
      </c>
      <c r="T391" s="18">
        <f t="shared" si="133"/>
        <v>0</v>
      </c>
      <c r="U391" s="18">
        <f t="shared" si="134"/>
        <v>0</v>
      </c>
      <c r="V391" s="18">
        <f t="shared" si="135"/>
        <v>0</v>
      </c>
      <c r="W391" s="18">
        <f t="shared" si="136"/>
        <v>0</v>
      </c>
    </row>
    <row r="392" spans="1:23" x14ac:dyDescent="0.2">
      <c r="A392">
        <v>7096</v>
      </c>
      <c r="B392">
        <v>0</v>
      </c>
      <c r="C392">
        <v>0</v>
      </c>
      <c r="D392">
        <v>0</v>
      </c>
      <c r="E392">
        <v>0</v>
      </c>
      <c r="F392">
        <v>0</v>
      </c>
      <c r="G392">
        <v>0</v>
      </c>
      <c r="H392">
        <v>0</v>
      </c>
      <c r="I392">
        <v>0</v>
      </c>
      <c r="J392">
        <v>0</v>
      </c>
      <c r="K392">
        <v>0</v>
      </c>
      <c r="L392">
        <v>0</v>
      </c>
      <c r="M392">
        <v>0</v>
      </c>
      <c r="N392">
        <v>0</v>
      </c>
      <c r="P392" s="18">
        <f t="shared" si="129"/>
        <v>0</v>
      </c>
      <c r="Q392" s="18">
        <f t="shared" si="130"/>
        <v>0</v>
      </c>
      <c r="R392" s="18">
        <f t="shared" si="131"/>
        <v>0</v>
      </c>
      <c r="S392" s="18">
        <f t="shared" si="132"/>
        <v>0</v>
      </c>
      <c r="T392" s="18">
        <f t="shared" si="133"/>
        <v>0</v>
      </c>
      <c r="U392" s="18">
        <f t="shared" si="134"/>
        <v>0</v>
      </c>
      <c r="V392" s="18">
        <f t="shared" si="135"/>
        <v>0</v>
      </c>
      <c r="W392" s="18">
        <f t="shared" si="136"/>
        <v>0</v>
      </c>
    </row>
    <row r="393" spans="1:23" x14ac:dyDescent="0.2">
      <c r="A393">
        <v>7136</v>
      </c>
      <c r="B393">
        <v>0</v>
      </c>
      <c r="C393">
        <v>0</v>
      </c>
      <c r="D393">
        <v>0</v>
      </c>
      <c r="E393">
        <v>0</v>
      </c>
      <c r="F393">
        <v>0</v>
      </c>
      <c r="G393">
        <v>0</v>
      </c>
      <c r="H393">
        <v>0</v>
      </c>
      <c r="I393">
        <v>0</v>
      </c>
      <c r="J393">
        <v>0</v>
      </c>
      <c r="K393">
        <v>0</v>
      </c>
      <c r="L393">
        <v>0</v>
      </c>
      <c r="M393">
        <v>0</v>
      </c>
      <c r="N393">
        <v>0</v>
      </c>
      <c r="P393" s="18">
        <f t="shared" si="129"/>
        <v>0</v>
      </c>
      <c r="Q393" s="18">
        <f t="shared" si="130"/>
        <v>0</v>
      </c>
      <c r="R393" s="18">
        <f t="shared" si="131"/>
        <v>0</v>
      </c>
      <c r="S393" s="18">
        <f t="shared" si="132"/>
        <v>0</v>
      </c>
      <c r="T393" s="18">
        <f t="shared" si="133"/>
        <v>0</v>
      </c>
      <c r="U393" s="18">
        <f t="shared" si="134"/>
        <v>0</v>
      </c>
      <c r="V393" s="18">
        <f t="shared" si="135"/>
        <v>0</v>
      </c>
      <c r="W393" s="18">
        <f t="shared" si="136"/>
        <v>0</v>
      </c>
    </row>
    <row r="394" spans="1:23" x14ac:dyDescent="0.2">
      <c r="A394">
        <v>7117</v>
      </c>
      <c r="B394">
        <v>0</v>
      </c>
      <c r="C394">
        <v>0</v>
      </c>
      <c r="D394">
        <v>0</v>
      </c>
      <c r="E394">
        <v>0</v>
      </c>
      <c r="F394">
        <v>0</v>
      </c>
      <c r="G394">
        <v>0</v>
      </c>
      <c r="H394">
        <v>0</v>
      </c>
      <c r="I394">
        <v>0</v>
      </c>
      <c r="J394">
        <v>0</v>
      </c>
      <c r="K394">
        <v>0</v>
      </c>
      <c r="L394">
        <v>0</v>
      </c>
      <c r="M394">
        <v>0</v>
      </c>
      <c r="N394">
        <v>0</v>
      </c>
      <c r="P394" s="18">
        <f t="shared" si="129"/>
        <v>0</v>
      </c>
      <c r="Q394" s="18">
        <f t="shared" si="130"/>
        <v>0</v>
      </c>
      <c r="R394" s="18">
        <f t="shared" si="131"/>
        <v>0</v>
      </c>
      <c r="S394" s="18">
        <f t="shared" si="132"/>
        <v>0</v>
      </c>
      <c r="T394" s="18">
        <f t="shared" si="133"/>
        <v>0</v>
      </c>
      <c r="U394" s="18">
        <f t="shared" si="134"/>
        <v>0</v>
      </c>
      <c r="V394" s="18">
        <f t="shared" si="135"/>
        <v>0</v>
      </c>
      <c r="W394" s="18">
        <f t="shared" si="136"/>
        <v>0</v>
      </c>
    </row>
    <row r="395" spans="1:23" x14ac:dyDescent="0.2">
      <c r="A395">
        <v>7110</v>
      </c>
      <c r="B395">
        <v>0</v>
      </c>
      <c r="C395">
        <v>0</v>
      </c>
      <c r="D395">
        <v>0</v>
      </c>
      <c r="E395">
        <v>0</v>
      </c>
      <c r="F395">
        <v>0</v>
      </c>
      <c r="G395">
        <v>0</v>
      </c>
      <c r="H395">
        <v>0</v>
      </c>
      <c r="I395">
        <v>0</v>
      </c>
      <c r="J395">
        <v>0</v>
      </c>
      <c r="K395">
        <v>0</v>
      </c>
      <c r="L395">
        <v>0</v>
      </c>
      <c r="M395">
        <v>0</v>
      </c>
      <c r="N395">
        <v>0</v>
      </c>
      <c r="P395" s="18">
        <f t="shared" si="129"/>
        <v>0</v>
      </c>
      <c r="Q395" s="18">
        <f t="shared" si="130"/>
        <v>0</v>
      </c>
      <c r="R395" s="18">
        <f t="shared" si="131"/>
        <v>0</v>
      </c>
      <c r="S395" s="18">
        <f t="shared" si="132"/>
        <v>0</v>
      </c>
      <c r="T395" s="18">
        <f t="shared" si="133"/>
        <v>0</v>
      </c>
      <c r="U395" s="18">
        <f t="shared" si="134"/>
        <v>0</v>
      </c>
      <c r="V395" s="18">
        <f t="shared" si="135"/>
        <v>0</v>
      </c>
      <c r="W395" s="18">
        <f t="shared" si="136"/>
        <v>0</v>
      </c>
    </row>
    <row r="396" spans="1:23" x14ac:dyDescent="0.2">
      <c r="A396">
        <v>7114</v>
      </c>
      <c r="B396">
        <v>0</v>
      </c>
      <c r="C396">
        <v>0</v>
      </c>
      <c r="D396">
        <v>0</v>
      </c>
      <c r="E396">
        <v>0</v>
      </c>
      <c r="F396">
        <v>0</v>
      </c>
      <c r="G396">
        <v>3.2000000000000002E-3</v>
      </c>
      <c r="H396">
        <v>1.9624800000000004</v>
      </c>
      <c r="I396">
        <v>0</v>
      </c>
      <c r="J396">
        <v>0</v>
      </c>
      <c r="K396">
        <v>0</v>
      </c>
      <c r="L396">
        <v>0</v>
      </c>
      <c r="M396">
        <v>0</v>
      </c>
      <c r="N396">
        <v>0</v>
      </c>
      <c r="P396" s="18">
        <f t="shared" ref="P396:P398" si="137">SUM(B396,G396)</f>
        <v>3.2000000000000002E-3</v>
      </c>
      <c r="Q396" s="18">
        <f t="shared" ref="Q396:Q398" si="138">SUM(C396,H396)</f>
        <v>1.9624800000000004</v>
      </c>
      <c r="R396" s="18">
        <f t="shared" ref="R396:R398" si="139">SUM(D396,I396)</f>
        <v>0</v>
      </c>
      <c r="S396" s="18">
        <f t="shared" ref="S396:S398" si="140">SUM(E396,J396)</f>
        <v>0</v>
      </c>
      <c r="T396" s="18">
        <f t="shared" ref="T396:T398" si="141">K396</f>
        <v>0</v>
      </c>
      <c r="U396" s="18">
        <f t="shared" ref="U396:U398" si="142">L396</f>
        <v>0</v>
      </c>
      <c r="V396" s="18">
        <f t="shared" ref="V396:V398" si="143">M396</f>
        <v>0</v>
      </c>
      <c r="W396" s="18">
        <f t="shared" ref="W396:W398" si="144">SUM(F396,N396)</f>
        <v>0</v>
      </c>
    </row>
    <row r="397" spans="1:23" x14ac:dyDescent="0.2">
      <c r="A397">
        <v>7147</v>
      </c>
      <c r="B397">
        <v>0</v>
      </c>
      <c r="C397">
        <v>0</v>
      </c>
      <c r="D397">
        <v>0</v>
      </c>
      <c r="E397">
        <v>0</v>
      </c>
      <c r="F397">
        <v>0</v>
      </c>
      <c r="G397">
        <v>0</v>
      </c>
      <c r="H397">
        <v>0</v>
      </c>
      <c r="I397">
        <v>0</v>
      </c>
      <c r="J397">
        <v>0</v>
      </c>
      <c r="K397">
        <v>0</v>
      </c>
      <c r="L397">
        <v>0</v>
      </c>
      <c r="M397">
        <v>0</v>
      </c>
      <c r="N397">
        <v>0</v>
      </c>
      <c r="P397" s="18">
        <f t="shared" si="137"/>
        <v>0</v>
      </c>
      <c r="Q397" s="18">
        <f t="shared" si="138"/>
        <v>0</v>
      </c>
      <c r="R397" s="18">
        <f t="shared" si="139"/>
        <v>0</v>
      </c>
      <c r="S397" s="18">
        <f t="shared" si="140"/>
        <v>0</v>
      </c>
      <c r="T397" s="18">
        <f t="shared" si="141"/>
        <v>0</v>
      </c>
      <c r="U397" s="18">
        <f t="shared" si="142"/>
        <v>0</v>
      </c>
      <c r="V397" s="18">
        <f t="shared" si="143"/>
        <v>0</v>
      </c>
      <c r="W397" s="18">
        <f t="shared" si="144"/>
        <v>0</v>
      </c>
    </row>
    <row r="398" spans="1:23" x14ac:dyDescent="0.2">
      <c r="A398">
        <v>7162</v>
      </c>
      <c r="B398">
        <v>0</v>
      </c>
      <c r="C398">
        <v>0</v>
      </c>
      <c r="D398">
        <v>0</v>
      </c>
      <c r="E398">
        <v>0</v>
      </c>
      <c r="F398">
        <v>0</v>
      </c>
      <c r="G398">
        <v>0</v>
      </c>
      <c r="H398">
        <v>0</v>
      </c>
      <c r="I398">
        <v>0</v>
      </c>
      <c r="J398">
        <v>0</v>
      </c>
      <c r="K398">
        <v>0</v>
      </c>
      <c r="L398">
        <v>0</v>
      </c>
      <c r="M398">
        <v>0</v>
      </c>
      <c r="N398">
        <v>0</v>
      </c>
      <c r="P398" s="18">
        <f t="shared" si="137"/>
        <v>0</v>
      </c>
      <c r="Q398" s="18">
        <f t="shared" si="138"/>
        <v>0</v>
      </c>
      <c r="R398" s="18">
        <f t="shared" si="139"/>
        <v>0</v>
      </c>
      <c r="S398" s="18">
        <f t="shared" si="140"/>
        <v>0</v>
      </c>
      <c r="T398" s="18">
        <f t="shared" si="141"/>
        <v>0</v>
      </c>
      <c r="U398" s="18">
        <f t="shared" si="142"/>
        <v>0</v>
      </c>
      <c r="V398" s="18">
        <f t="shared" si="143"/>
        <v>0</v>
      </c>
      <c r="W398" s="18">
        <f t="shared" si="144"/>
        <v>0</v>
      </c>
    </row>
    <row r="399" spans="1:23" x14ac:dyDescent="0.2">
      <c r="A399">
        <v>7167</v>
      </c>
      <c r="B399">
        <v>0</v>
      </c>
      <c r="C399">
        <v>0</v>
      </c>
      <c r="D399">
        <v>0</v>
      </c>
      <c r="E399">
        <v>0</v>
      </c>
      <c r="F399">
        <v>0</v>
      </c>
      <c r="G399">
        <v>0</v>
      </c>
      <c r="H399">
        <v>0</v>
      </c>
      <c r="I399">
        <v>0</v>
      </c>
      <c r="J399">
        <v>0</v>
      </c>
      <c r="K399">
        <v>0</v>
      </c>
      <c r="L399">
        <v>0</v>
      </c>
      <c r="M399">
        <v>0</v>
      </c>
      <c r="N399">
        <v>0</v>
      </c>
      <c r="P399" s="18">
        <f t="shared" ref="P399" si="145">SUM(B399,G399)</f>
        <v>0</v>
      </c>
      <c r="Q399" s="18">
        <f t="shared" ref="Q399" si="146">SUM(C399,H399)</f>
        <v>0</v>
      </c>
      <c r="R399" s="18">
        <f t="shared" ref="R399" si="147">SUM(D399,I399)</f>
        <v>0</v>
      </c>
      <c r="S399" s="18">
        <f t="shared" ref="S399" si="148">SUM(E399,J399)</f>
        <v>0</v>
      </c>
      <c r="T399" s="18">
        <f t="shared" ref="T399" si="149">K399</f>
        <v>0</v>
      </c>
      <c r="U399" s="18">
        <f t="shared" ref="U399" si="150">L399</f>
        <v>0</v>
      </c>
      <c r="V399" s="18">
        <f t="shared" ref="V399" si="151">M399</f>
        <v>0</v>
      </c>
      <c r="W399" s="18">
        <f t="shared" ref="W399" si="152">SUM(F399,N399)</f>
        <v>0</v>
      </c>
    </row>
    <row r="400" spans="1:23" x14ac:dyDescent="0.2">
      <c r="A400">
        <v>7170</v>
      </c>
      <c r="B400">
        <v>0</v>
      </c>
      <c r="C400">
        <v>0</v>
      </c>
      <c r="D400">
        <v>0</v>
      </c>
      <c r="E400">
        <v>0</v>
      </c>
      <c r="F400">
        <v>0</v>
      </c>
      <c r="G400">
        <v>0</v>
      </c>
      <c r="H400">
        <v>0</v>
      </c>
      <c r="I400">
        <v>0</v>
      </c>
      <c r="J400">
        <v>0</v>
      </c>
      <c r="K400">
        <v>0</v>
      </c>
      <c r="L400">
        <v>0</v>
      </c>
      <c r="M400">
        <v>0</v>
      </c>
      <c r="N400">
        <v>0</v>
      </c>
      <c r="P400" s="18">
        <f t="shared" ref="P400:P402" si="153">SUM(B400,G400)</f>
        <v>0</v>
      </c>
      <c r="Q400" s="18">
        <f t="shared" ref="Q400:Q402" si="154">SUM(C400,H400)</f>
        <v>0</v>
      </c>
      <c r="R400" s="18">
        <f t="shared" ref="R400:R402" si="155">SUM(D400,I400)</f>
        <v>0</v>
      </c>
      <c r="S400" s="18">
        <f t="shared" ref="S400:S402" si="156">SUM(E400,J400)</f>
        <v>0</v>
      </c>
      <c r="T400" s="18">
        <f t="shared" ref="T400:T402" si="157">K400</f>
        <v>0</v>
      </c>
      <c r="U400" s="18">
        <f t="shared" ref="U400:U402" si="158">L400</f>
        <v>0</v>
      </c>
      <c r="V400" s="18">
        <f t="shared" ref="V400:V402" si="159">M400</f>
        <v>0</v>
      </c>
      <c r="W400" s="18">
        <f t="shared" ref="W400:W402" si="160">SUM(F400,N400)</f>
        <v>0</v>
      </c>
    </row>
    <row r="401" spans="1:23" x14ac:dyDescent="0.2">
      <c r="A401">
        <v>7173</v>
      </c>
      <c r="B401">
        <v>0</v>
      </c>
      <c r="C401">
        <v>0</v>
      </c>
      <c r="D401">
        <v>0</v>
      </c>
      <c r="E401">
        <v>0</v>
      </c>
      <c r="F401">
        <v>0</v>
      </c>
      <c r="G401">
        <v>0</v>
      </c>
      <c r="H401">
        <v>0</v>
      </c>
      <c r="I401">
        <v>0</v>
      </c>
      <c r="J401">
        <v>0</v>
      </c>
      <c r="K401">
        <v>0</v>
      </c>
      <c r="L401">
        <v>0</v>
      </c>
      <c r="M401">
        <v>0</v>
      </c>
      <c r="N401">
        <v>0</v>
      </c>
      <c r="P401" s="18">
        <f t="shared" si="153"/>
        <v>0</v>
      </c>
      <c r="Q401" s="18">
        <f t="shared" si="154"/>
        <v>0</v>
      </c>
      <c r="R401" s="18">
        <f t="shared" si="155"/>
        <v>0</v>
      </c>
      <c r="S401" s="18">
        <f t="shared" si="156"/>
        <v>0</v>
      </c>
      <c r="T401" s="18">
        <f t="shared" si="157"/>
        <v>0</v>
      </c>
      <c r="U401" s="18">
        <f t="shared" si="158"/>
        <v>0</v>
      </c>
      <c r="V401" s="18">
        <f t="shared" si="159"/>
        <v>0</v>
      </c>
      <c r="W401" s="18">
        <f t="shared" si="160"/>
        <v>0</v>
      </c>
    </row>
    <row r="402" spans="1:23" x14ac:dyDescent="0.2">
      <c r="A402">
        <v>7176</v>
      </c>
      <c r="B402">
        <v>0</v>
      </c>
      <c r="C402">
        <v>0</v>
      </c>
      <c r="D402">
        <v>0</v>
      </c>
      <c r="E402">
        <v>0</v>
      </c>
      <c r="F402">
        <v>0</v>
      </c>
      <c r="G402">
        <v>0</v>
      </c>
      <c r="H402">
        <v>0</v>
      </c>
      <c r="I402">
        <v>0</v>
      </c>
      <c r="J402">
        <v>0</v>
      </c>
      <c r="K402">
        <v>0</v>
      </c>
      <c r="L402">
        <v>0</v>
      </c>
      <c r="M402">
        <v>0</v>
      </c>
      <c r="N402">
        <v>0</v>
      </c>
      <c r="P402" s="18">
        <f t="shared" si="153"/>
        <v>0</v>
      </c>
      <c r="Q402" s="18">
        <f t="shared" si="154"/>
        <v>0</v>
      </c>
      <c r="R402" s="18">
        <f t="shared" si="155"/>
        <v>0</v>
      </c>
      <c r="S402" s="18">
        <f t="shared" si="156"/>
        <v>0</v>
      </c>
      <c r="T402" s="18">
        <f t="shared" si="157"/>
        <v>0</v>
      </c>
      <c r="U402" s="18">
        <f t="shared" si="158"/>
        <v>0</v>
      </c>
      <c r="V402" s="18">
        <f t="shared" si="159"/>
        <v>0</v>
      </c>
      <c r="W402" s="18">
        <f t="shared" si="160"/>
        <v>0</v>
      </c>
    </row>
    <row r="403" spans="1:23" x14ac:dyDescent="0.2">
      <c r="A403">
        <v>7186</v>
      </c>
      <c r="B403">
        <v>0</v>
      </c>
      <c r="C403">
        <v>0</v>
      </c>
      <c r="D403">
        <v>0</v>
      </c>
      <c r="E403">
        <v>0</v>
      </c>
      <c r="F403">
        <v>0</v>
      </c>
      <c r="G403">
        <v>0</v>
      </c>
      <c r="H403">
        <v>0</v>
      </c>
      <c r="I403">
        <v>0</v>
      </c>
      <c r="J403">
        <v>0</v>
      </c>
      <c r="K403">
        <v>0</v>
      </c>
      <c r="L403">
        <v>0</v>
      </c>
      <c r="M403">
        <v>0</v>
      </c>
      <c r="N403">
        <v>0</v>
      </c>
      <c r="P403" s="18">
        <f t="shared" ref="P403:P409" si="161">SUM(B403,G403)</f>
        <v>0</v>
      </c>
      <c r="Q403" s="18">
        <f t="shared" ref="Q403:Q409" si="162">SUM(C403,H403)</f>
        <v>0</v>
      </c>
      <c r="R403" s="18">
        <f t="shared" ref="R403:R409" si="163">SUM(D403,I403)</f>
        <v>0</v>
      </c>
      <c r="S403" s="18">
        <f t="shared" ref="S403:S409" si="164">SUM(E403,J403)</f>
        <v>0</v>
      </c>
      <c r="T403" s="18">
        <f t="shared" ref="T403:T409" si="165">K403</f>
        <v>0</v>
      </c>
      <c r="U403" s="18">
        <f t="shared" ref="U403:U409" si="166">L403</f>
        <v>0</v>
      </c>
      <c r="V403" s="18">
        <f t="shared" ref="V403:V409" si="167">M403</f>
        <v>0</v>
      </c>
      <c r="W403" s="18">
        <f t="shared" ref="W403:W409" si="168">SUM(F403,N403)</f>
        <v>0</v>
      </c>
    </row>
    <row r="404" spans="1:23" x14ac:dyDescent="0.2">
      <c r="A404">
        <v>7195</v>
      </c>
      <c r="B404">
        <v>0</v>
      </c>
      <c r="C404">
        <v>0</v>
      </c>
      <c r="D404">
        <v>0</v>
      </c>
      <c r="E404">
        <v>0</v>
      </c>
      <c r="F404">
        <v>0</v>
      </c>
      <c r="G404">
        <v>0</v>
      </c>
      <c r="H404">
        <v>0</v>
      </c>
      <c r="I404">
        <v>0</v>
      </c>
      <c r="J404">
        <v>0</v>
      </c>
      <c r="K404">
        <v>0</v>
      </c>
      <c r="L404">
        <v>0</v>
      </c>
      <c r="M404">
        <v>0</v>
      </c>
      <c r="N404">
        <v>0</v>
      </c>
      <c r="P404" s="18">
        <f t="shared" si="161"/>
        <v>0</v>
      </c>
      <c r="Q404" s="18">
        <f t="shared" si="162"/>
        <v>0</v>
      </c>
      <c r="R404" s="18">
        <f t="shared" si="163"/>
        <v>0</v>
      </c>
      <c r="S404" s="18">
        <f t="shared" si="164"/>
        <v>0</v>
      </c>
      <c r="T404" s="18">
        <f t="shared" si="165"/>
        <v>0</v>
      </c>
      <c r="U404" s="18">
        <f t="shared" si="166"/>
        <v>0</v>
      </c>
      <c r="V404" s="18">
        <f t="shared" si="167"/>
        <v>0</v>
      </c>
      <c r="W404" s="18">
        <f t="shared" si="168"/>
        <v>0</v>
      </c>
    </row>
    <row r="405" spans="1:23" x14ac:dyDescent="0.2">
      <c r="A405">
        <v>7202</v>
      </c>
      <c r="B405">
        <v>0</v>
      </c>
      <c r="C405">
        <v>0</v>
      </c>
      <c r="D405">
        <v>0</v>
      </c>
      <c r="E405">
        <v>0</v>
      </c>
      <c r="F405">
        <v>0</v>
      </c>
      <c r="G405">
        <v>0</v>
      </c>
      <c r="H405">
        <v>0</v>
      </c>
      <c r="I405">
        <v>0</v>
      </c>
      <c r="J405">
        <v>0</v>
      </c>
      <c r="K405">
        <v>0</v>
      </c>
      <c r="L405">
        <v>0</v>
      </c>
      <c r="M405">
        <v>0</v>
      </c>
      <c r="N405">
        <v>0</v>
      </c>
      <c r="P405" s="18">
        <f t="shared" si="161"/>
        <v>0</v>
      </c>
      <c r="Q405" s="18">
        <f t="shared" si="162"/>
        <v>0</v>
      </c>
      <c r="R405" s="18">
        <f t="shared" si="163"/>
        <v>0</v>
      </c>
      <c r="S405" s="18">
        <f t="shared" si="164"/>
        <v>0</v>
      </c>
      <c r="T405" s="18">
        <f t="shared" si="165"/>
        <v>0</v>
      </c>
      <c r="U405" s="18">
        <f t="shared" si="166"/>
        <v>0</v>
      </c>
      <c r="V405" s="18">
        <f t="shared" si="167"/>
        <v>0</v>
      </c>
      <c r="W405" s="18">
        <f t="shared" si="168"/>
        <v>0</v>
      </c>
    </row>
    <row r="406" spans="1:23" x14ac:dyDescent="0.2">
      <c r="A406">
        <v>7074</v>
      </c>
      <c r="B406">
        <v>0</v>
      </c>
      <c r="C406">
        <v>0</v>
      </c>
      <c r="D406">
        <v>0</v>
      </c>
      <c r="E406">
        <v>0</v>
      </c>
      <c r="F406">
        <v>0</v>
      </c>
      <c r="G406">
        <v>0</v>
      </c>
      <c r="H406">
        <v>0</v>
      </c>
      <c r="I406">
        <v>0</v>
      </c>
      <c r="J406">
        <v>0</v>
      </c>
      <c r="K406">
        <v>0</v>
      </c>
      <c r="L406">
        <v>0</v>
      </c>
      <c r="M406">
        <v>0</v>
      </c>
      <c r="N406">
        <v>0</v>
      </c>
      <c r="P406" s="18">
        <f t="shared" si="161"/>
        <v>0</v>
      </c>
      <c r="Q406" s="18">
        <f t="shared" si="162"/>
        <v>0</v>
      </c>
      <c r="R406" s="18">
        <f t="shared" si="163"/>
        <v>0</v>
      </c>
      <c r="S406" s="18">
        <f t="shared" si="164"/>
        <v>0</v>
      </c>
      <c r="T406" s="18">
        <f t="shared" si="165"/>
        <v>0</v>
      </c>
      <c r="U406" s="18">
        <f t="shared" si="166"/>
        <v>0</v>
      </c>
      <c r="V406" s="18">
        <f t="shared" si="167"/>
        <v>0</v>
      </c>
      <c r="W406" s="18">
        <f t="shared" si="168"/>
        <v>0</v>
      </c>
    </row>
    <row r="407" spans="1:23" x14ac:dyDescent="0.2">
      <c r="A407" t="s">
        <v>446</v>
      </c>
      <c r="B407">
        <v>0</v>
      </c>
      <c r="C407">
        <v>0</v>
      </c>
      <c r="D407">
        <v>0</v>
      </c>
      <c r="E407">
        <v>0</v>
      </c>
      <c r="F407">
        <v>0</v>
      </c>
      <c r="G407">
        <v>0.57289999999999996</v>
      </c>
      <c r="H407">
        <v>3.5099999999999999E-2</v>
      </c>
      <c r="I407">
        <v>0</v>
      </c>
      <c r="J407">
        <v>0</v>
      </c>
      <c r="K407">
        <v>0</v>
      </c>
      <c r="L407">
        <v>0</v>
      </c>
      <c r="M407">
        <v>0</v>
      </c>
      <c r="N407">
        <v>0</v>
      </c>
      <c r="P407" s="18">
        <f t="shared" si="161"/>
        <v>0.57289999999999996</v>
      </c>
      <c r="Q407" s="18">
        <f t="shared" si="162"/>
        <v>3.5099999999999999E-2</v>
      </c>
      <c r="R407" s="18">
        <f t="shared" si="163"/>
        <v>0</v>
      </c>
      <c r="S407" s="18">
        <f t="shared" si="164"/>
        <v>0</v>
      </c>
      <c r="T407" s="18">
        <f t="shared" si="165"/>
        <v>0</v>
      </c>
      <c r="U407" s="18">
        <f t="shared" si="166"/>
        <v>0</v>
      </c>
      <c r="V407" s="18">
        <f t="shared" si="167"/>
        <v>0</v>
      </c>
      <c r="W407" s="18">
        <f t="shared" si="168"/>
        <v>0</v>
      </c>
    </row>
    <row r="408" spans="1:23" x14ac:dyDescent="0.2">
      <c r="A408" t="s">
        <v>443</v>
      </c>
      <c r="B408">
        <v>0</v>
      </c>
      <c r="C408">
        <v>0</v>
      </c>
      <c r="D408">
        <v>0</v>
      </c>
      <c r="E408">
        <v>0</v>
      </c>
      <c r="F408">
        <v>0</v>
      </c>
      <c r="G408">
        <v>0</v>
      </c>
      <c r="H408">
        <v>0</v>
      </c>
      <c r="I408">
        <v>0</v>
      </c>
      <c r="J408">
        <v>0</v>
      </c>
      <c r="K408">
        <v>0</v>
      </c>
      <c r="L408">
        <v>0</v>
      </c>
      <c r="M408">
        <v>0</v>
      </c>
      <c r="N408">
        <v>0</v>
      </c>
      <c r="P408" s="18">
        <f t="shared" si="161"/>
        <v>0</v>
      </c>
      <c r="Q408" s="18">
        <f t="shared" si="162"/>
        <v>0</v>
      </c>
      <c r="R408" s="18">
        <f t="shared" si="163"/>
        <v>0</v>
      </c>
      <c r="S408" s="18">
        <f t="shared" si="164"/>
        <v>0</v>
      </c>
      <c r="T408" s="18">
        <f t="shared" si="165"/>
        <v>0</v>
      </c>
      <c r="U408" s="18">
        <f t="shared" si="166"/>
        <v>0</v>
      </c>
      <c r="V408" s="18">
        <f t="shared" si="167"/>
        <v>0</v>
      </c>
      <c r="W408" s="18">
        <f t="shared" si="168"/>
        <v>0</v>
      </c>
    </row>
    <row r="409" spans="1:23" x14ac:dyDescent="0.2">
      <c r="A409" t="s">
        <v>444</v>
      </c>
      <c r="B409">
        <v>0</v>
      </c>
      <c r="C409">
        <v>0</v>
      </c>
      <c r="D409">
        <v>0</v>
      </c>
      <c r="E409">
        <v>0</v>
      </c>
      <c r="F409">
        <v>0</v>
      </c>
      <c r="G409">
        <v>0</v>
      </c>
      <c r="H409">
        <v>0</v>
      </c>
      <c r="I409">
        <v>0</v>
      </c>
      <c r="J409">
        <v>0</v>
      </c>
      <c r="K409">
        <v>0</v>
      </c>
      <c r="L409">
        <v>0</v>
      </c>
      <c r="M409">
        <v>0</v>
      </c>
      <c r="N409">
        <v>0</v>
      </c>
      <c r="P409" s="18">
        <f t="shared" si="161"/>
        <v>0</v>
      </c>
      <c r="Q409" s="18">
        <f t="shared" si="162"/>
        <v>0</v>
      </c>
      <c r="R409" s="18">
        <f t="shared" si="163"/>
        <v>0</v>
      </c>
      <c r="S409" s="18">
        <f t="shared" si="164"/>
        <v>0</v>
      </c>
      <c r="T409" s="18">
        <f t="shared" si="165"/>
        <v>0</v>
      </c>
      <c r="U409" s="18">
        <f t="shared" si="166"/>
        <v>0</v>
      </c>
      <c r="V409" s="18">
        <f t="shared" si="167"/>
        <v>0</v>
      </c>
      <c r="W409" s="18">
        <f t="shared" si="168"/>
        <v>0</v>
      </c>
    </row>
    <row r="410" spans="1:23" x14ac:dyDescent="0.2">
      <c r="A410" t="s">
        <v>445</v>
      </c>
      <c r="B410">
        <v>0</v>
      </c>
      <c r="C410">
        <v>0</v>
      </c>
      <c r="D410">
        <v>0</v>
      </c>
      <c r="E410">
        <v>0</v>
      </c>
      <c r="F410">
        <v>0</v>
      </c>
      <c r="G410">
        <v>0</v>
      </c>
      <c r="H410">
        <v>0</v>
      </c>
      <c r="I410">
        <v>0</v>
      </c>
      <c r="J410">
        <v>0</v>
      </c>
      <c r="K410">
        <v>0</v>
      </c>
      <c r="L410">
        <v>0</v>
      </c>
      <c r="M410">
        <v>0</v>
      </c>
      <c r="N410">
        <v>0</v>
      </c>
      <c r="P410" s="18">
        <f t="shared" ref="P410:P411" si="169">SUM(B410,G410)</f>
        <v>0</v>
      </c>
      <c r="Q410" s="18">
        <f t="shared" ref="Q410:Q411" si="170">SUM(C410,H410)</f>
        <v>0</v>
      </c>
      <c r="R410" s="18">
        <f t="shared" ref="R410:R411" si="171">SUM(D410,I410)</f>
        <v>0</v>
      </c>
      <c r="S410" s="18">
        <f t="shared" ref="S410:S411" si="172">SUM(E410,J410)</f>
        <v>0</v>
      </c>
      <c r="T410" s="18">
        <f t="shared" ref="T410:T411" si="173">K410</f>
        <v>0</v>
      </c>
      <c r="U410" s="18">
        <f t="shared" ref="U410:U411" si="174">L410</f>
        <v>0</v>
      </c>
      <c r="V410" s="18">
        <f t="shared" ref="V410:V411" si="175">M410</f>
        <v>0</v>
      </c>
      <c r="W410" s="18">
        <f t="shared" ref="W410:W411" si="176">SUM(F410,N410)</f>
        <v>0</v>
      </c>
    </row>
    <row r="411" spans="1:23" x14ac:dyDescent="0.2">
      <c r="A411">
        <v>7216</v>
      </c>
      <c r="B411">
        <v>0</v>
      </c>
      <c r="C411">
        <v>0</v>
      </c>
      <c r="D411">
        <v>0</v>
      </c>
      <c r="E411">
        <v>0</v>
      </c>
      <c r="F411">
        <v>0</v>
      </c>
      <c r="G411">
        <v>0</v>
      </c>
      <c r="H411">
        <v>0</v>
      </c>
      <c r="I411">
        <v>0</v>
      </c>
      <c r="J411">
        <v>0</v>
      </c>
      <c r="K411">
        <v>0</v>
      </c>
      <c r="L411">
        <v>0</v>
      </c>
      <c r="M411">
        <v>0</v>
      </c>
      <c r="N411">
        <v>0</v>
      </c>
      <c r="P411" s="18">
        <f t="shared" si="169"/>
        <v>0</v>
      </c>
      <c r="Q411" s="18">
        <f t="shared" si="170"/>
        <v>0</v>
      </c>
      <c r="R411" s="18">
        <f t="shared" si="171"/>
        <v>0</v>
      </c>
      <c r="S411" s="18">
        <f t="shared" si="172"/>
        <v>0</v>
      </c>
      <c r="T411" s="18">
        <f t="shared" si="173"/>
        <v>0</v>
      </c>
      <c r="U411" s="18">
        <f t="shared" si="174"/>
        <v>0</v>
      </c>
      <c r="V411" s="18">
        <f t="shared" si="175"/>
        <v>0</v>
      </c>
      <c r="W411" s="18">
        <f t="shared" si="176"/>
        <v>0</v>
      </c>
    </row>
    <row r="412" spans="1:23" x14ac:dyDescent="0.2">
      <c r="A412">
        <v>7218</v>
      </c>
      <c r="B412">
        <v>0</v>
      </c>
      <c r="C412">
        <v>0</v>
      </c>
      <c r="D412">
        <v>0</v>
      </c>
      <c r="E412">
        <v>0</v>
      </c>
      <c r="F412">
        <v>0</v>
      </c>
      <c r="G412">
        <v>0</v>
      </c>
      <c r="H412">
        <v>0</v>
      </c>
      <c r="I412">
        <v>0</v>
      </c>
      <c r="J412">
        <v>0</v>
      </c>
      <c r="K412">
        <v>0</v>
      </c>
      <c r="L412">
        <v>0</v>
      </c>
      <c r="M412">
        <v>0</v>
      </c>
      <c r="N412">
        <v>0</v>
      </c>
      <c r="P412" s="18">
        <f t="shared" ref="P412" si="177">SUM(B412,G412)</f>
        <v>0</v>
      </c>
      <c r="Q412" s="18">
        <f t="shared" ref="Q412" si="178">SUM(C412,H412)</f>
        <v>0</v>
      </c>
      <c r="R412" s="18">
        <f t="shared" ref="R412" si="179">SUM(D412,I412)</f>
        <v>0</v>
      </c>
      <c r="S412" s="18">
        <f t="shared" ref="S412" si="180">SUM(E412,J412)</f>
        <v>0</v>
      </c>
      <c r="T412" s="18">
        <f t="shared" ref="T412" si="181">K412</f>
        <v>0</v>
      </c>
      <c r="U412" s="18">
        <f t="shared" ref="U412" si="182">L412</f>
        <v>0</v>
      </c>
      <c r="V412" s="18">
        <f t="shared" ref="V412" si="183">M412</f>
        <v>0</v>
      </c>
      <c r="W412" s="18">
        <f t="shared" ref="W412" si="184">SUM(F412,N412)</f>
        <v>0</v>
      </c>
    </row>
    <row r="413" spans="1:23" x14ac:dyDescent="0.2">
      <c r="A413">
        <v>7220</v>
      </c>
      <c r="B413">
        <v>0</v>
      </c>
      <c r="C413">
        <v>0</v>
      </c>
      <c r="D413">
        <v>0</v>
      </c>
      <c r="E413">
        <v>0</v>
      </c>
      <c r="F413">
        <v>0</v>
      </c>
      <c r="G413">
        <v>0</v>
      </c>
      <c r="H413">
        <v>0</v>
      </c>
      <c r="I413">
        <v>0</v>
      </c>
      <c r="J413">
        <v>0</v>
      </c>
      <c r="K413">
        <v>0</v>
      </c>
      <c r="L413">
        <v>0</v>
      </c>
      <c r="M413">
        <v>0</v>
      </c>
      <c r="N413">
        <v>0</v>
      </c>
      <c r="P413" s="18">
        <f t="shared" ref="P413" si="185">SUM(B413,G413)</f>
        <v>0</v>
      </c>
      <c r="Q413" s="18">
        <f t="shared" ref="Q413" si="186">SUM(C413,H413)</f>
        <v>0</v>
      </c>
      <c r="R413" s="18">
        <f t="shared" ref="R413" si="187">SUM(D413,I413)</f>
        <v>0</v>
      </c>
      <c r="S413" s="18">
        <f t="shared" ref="S413" si="188">SUM(E413,J413)</f>
        <v>0</v>
      </c>
      <c r="T413" s="18">
        <f t="shared" ref="T413" si="189">K413</f>
        <v>0</v>
      </c>
      <c r="U413" s="18">
        <f t="shared" ref="U413" si="190">L413</f>
        <v>0</v>
      </c>
      <c r="V413" s="18">
        <f t="shared" ref="V413" si="191">M413</f>
        <v>0</v>
      </c>
      <c r="W413" s="18">
        <f t="shared" ref="W413" si="192">SUM(F413,N413)</f>
        <v>0</v>
      </c>
    </row>
    <row r="414" spans="1:23" x14ac:dyDescent="0.2">
      <c r="A414">
        <v>7228</v>
      </c>
      <c r="B414">
        <v>0</v>
      </c>
      <c r="C414">
        <v>0</v>
      </c>
      <c r="D414">
        <v>0</v>
      </c>
      <c r="E414">
        <v>0</v>
      </c>
      <c r="F414">
        <v>0</v>
      </c>
      <c r="G414">
        <v>0</v>
      </c>
      <c r="H414">
        <v>0</v>
      </c>
      <c r="I414">
        <v>0</v>
      </c>
      <c r="J414">
        <v>0</v>
      </c>
      <c r="K414">
        <v>0</v>
      </c>
      <c r="L414">
        <v>0</v>
      </c>
      <c r="M414">
        <v>0</v>
      </c>
      <c r="N414">
        <v>0</v>
      </c>
      <c r="P414" s="18">
        <f t="shared" ref="P414" si="193">SUM(B414,G414)</f>
        <v>0</v>
      </c>
      <c r="Q414" s="18">
        <f t="shared" ref="Q414" si="194">SUM(C414,H414)</f>
        <v>0</v>
      </c>
      <c r="R414" s="18">
        <f t="shared" ref="R414" si="195">SUM(D414,I414)</f>
        <v>0</v>
      </c>
      <c r="S414" s="18">
        <f t="shared" ref="S414" si="196">SUM(E414,J414)</f>
        <v>0</v>
      </c>
      <c r="T414" s="18">
        <f t="shared" ref="T414" si="197">K414</f>
        <v>0</v>
      </c>
      <c r="U414" s="18">
        <f t="shared" ref="U414" si="198">L414</f>
        <v>0</v>
      </c>
      <c r="V414" s="18">
        <f t="shared" ref="V414" si="199">M414</f>
        <v>0</v>
      </c>
      <c r="W414" s="18">
        <f t="shared" ref="W414" si="200">SUM(F414,N414)</f>
        <v>0</v>
      </c>
    </row>
    <row r="415" spans="1:23" x14ac:dyDescent="0.2">
      <c r="A415">
        <v>7226</v>
      </c>
      <c r="B415">
        <v>0</v>
      </c>
      <c r="C415">
        <v>0</v>
      </c>
      <c r="D415">
        <v>0</v>
      </c>
      <c r="E415">
        <v>0</v>
      </c>
      <c r="F415">
        <v>0</v>
      </c>
      <c r="G415">
        <v>0</v>
      </c>
      <c r="H415">
        <v>0</v>
      </c>
      <c r="I415">
        <v>0</v>
      </c>
      <c r="J415">
        <v>0</v>
      </c>
      <c r="K415">
        <v>0</v>
      </c>
      <c r="L415">
        <v>0</v>
      </c>
      <c r="M415">
        <v>0</v>
      </c>
      <c r="N415">
        <v>0</v>
      </c>
      <c r="P415" s="18">
        <f t="shared" ref="P415" si="201">SUM(B415,G415)</f>
        <v>0</v>
      </c>
      <c r="Q415" s="18">
        <f t="shared" ref="Q415" si="202">SUM(C415,H415)</f>
        <v>0</v>
      </c>
      <c r="R415" s="18">
        <f t="shared" ref="R415" si="203">SUM(D415,I415)</f>
        <v>0</v>
      </c>
      <c r="S415" s="18">
        <f t="shared" ref="S415" si="204">SUM(E415,J415)</f>
        <v>0</v>
      </c>
      <c r="T415" s="18">
        <f t="shared" ref="T415" si="205">K415</f>
        <v>0</v>
      </c>
      <c r="U415" s="18">
        <f t="shared" ref="U415" si="206">L415</f>
        <v>0</v>
      </c>
      <c r="V415" s="18">
        <f t="shared" ref="V415" si="207">M415</f>
        <v>0</v>
      </c>
      <c r="W415" s="18">
        <f t="shared" ref="W415" si="208">SUM(F415,N415)</f>
        <v>0</v>
      </c>
    </row>
    <row r="416" spans="1:23" x14ac:dyDescent="0.2">
      <c r="A416">
        <v>7242</v>
      </c>
      <c r="B416">
        <v>0</v>
      </c>
      <c r="C416">
        <v>0</v>
      </c>
      <c r="D416">
        <v>0</v>
      </c>
      <c r="E416">
        <v>0</v>
      </c>
      <c r="F416">
        <v>0</v>
      </c>
      <c r="G416">
        <v>0</v>
      </c>
      <c r="H416">
        <v>0</v>
      </c>
      <c r="I416">
        <v>0</v>
      </c>
      <c r="J416">
        <v>0</v>
      </c>
      <c r="K416">
        <v>0</v>
      </c>
      <c r="L416">
        <v>0</v>
      </c>
      <c r="M416">
        <v>0</v>
      </c>
      <c r="N416">
        <v>0</v>
      </c>
      <c r="P416" s="18">
        <f t="shared" ref="P416" si="209">SUM(B416,G416)</f>
        <v>0</v>
      </c>
      <c r="Q416" s="18">
        <f t="shared" ref="Q416" si="210">SUM(C416,H416)</f>
        <v>0</v>
      </c>
      <c r="R416" s="18">
        <f t="shared" ref="R416" si="211">SUM(D416,I416)</f>
        <v>0</v>
      </c>
      <c r="S416" s="18">
        <f t="shared" ref="S416" si="212">SUM(E416,J416)</f>
        <v>0</v>
      </c>
      <c r="T416" s="18">
        <f t="shared" ref="T416" si="213">K416</f>
        <v>0</v>
      </c>
      <c r="U416" s="18">
        <f t="shared" ref="U416" si="214">L416</f>
        <v>0</v>
      </c>
      <c r="V416" s="18">
        <f t="shared" ref="V416" si="215">M416</f>
        <v>0</v>
      </c>
      <c r="W416" s="18">
        <f t="shared" ref="W416" si="216">SUM(F416,N416)</f>
        <v>0</v>
      </c>
    </row>
    <row r="417" spans="1:23" x14ac:dyDescent="0.2">
      <c r="A417">
        <v>7253</v>
      </c>
      <c r="B417">
        <v>0</v>
      </c>
      <c r="C417">
        <v>0</v>
      </c>
      <c r="D417">
        <v>0</v>
      </c>
      <c r="E417">
        <v>0</v>
      </c>
      <c r="F417">
        <v>0</v>
      </c>
      <c r="G417">
        <v>0</v>
      </c>
      <c r="H417">
        <v>0</v>
      </c>
      <c r="I417">
        <v>0</v>
      </c>
      <c r="J417">
        <v>0</v>
      </c>
      <c r="K417">
        <v>0</v>
      </c>
      <c r="L417">
        <v>0</v>
      </c>
      <c r="M417">
        <v>0</v>
      </c>
      <c r="N417">
        <v>0</v>
      </c>
      <c r="P417" s="18">
        <f t="shared" ref="P417" si="217">SUM(B417,G417)</f>
        <v>0</v>
      </c>
      <c r="Q417" s="18">
        <f t="shared" ref="Q417" si="218">SUM(C417,H417)</f>
        <v>0</v>
      </c>
      <c r="R417" s="18">
        <f t="shared" ref="R417" si="219">SUM(D417,I417)</f>
        <v>0</v>
      </c>
      <c r="S417" s="18">
        <f t="shared" ref="S417" si="220">SUM(E417,J417)</f>
        <v>0</v>
      </c>
      <c r="T417" s="18">
        <f t="shared" ref="T417" si="221">K417</f>
        <v>0</v>
      </c>
      <c r="U417" s="18">
        <f t="shared" ref="U417" si="222">L417</f>
        <v>0</v>
      </c>
      <c r="V417" s="18">
        <f t="shared" ref="V417" si="223">M417</f>
        <v>0</v>
      </c>
      <c r="W417" s="18">
        <f t="shared" ref="W417" si="224">SUM(F417,N417)</f>
        <v>0</v>
      </c>
    </row>
    <row r="418" spans="1:23" x14ac:dyDescent="0.2">
      <c r="A418">
        <v>7255</v>
      </c>
      <c r="B418">
        <v>0</v>
      </c>
      <c r="C418">
        <v>0</v>
      </c>
      <c r="D418">
        <v>0</v>
      </c>
      <c r="E418">
        <v>0</v>
      </c>
      <c r="F418">
        <v>0</v>
      </c>
      <c r="G418">
        <v>0</v>
      </c>
      <c r="H418">
        <v>0</v>
      </c>
      <c r="I418">
        <v>0</v>
      </c>
      <c r="J418">
        <v>0</v>
      </c>
      <c r="K418">
        <v>0</v>
      </c>
      <c r="L418">
        <v>0</v>
      </c>
      <c r="M418">
        <v>0</v>
      </c>
      <c r="N418">
        <v>0</v>
      </c>
      <c r="P418" s="18">
        <f t="shared" ref="P418:P420" si="225">SUM(B418,G418)</f>
        <v>0</v>
      </c>
      <c r="Q418" s="18">
        <f t="shared" ref="Q418:Q420" si="226">SUM(C418,H418)</f>
        <v>0</v>
      </c>
      <c r="R418" s="18">
        <f t="shared" ref="R418:R420" si="227">SUM(D418,I418)</f>
        <v>0</v>
      </c>
      <c r="S418" s="18">
        <f t="shared" ref="S418:S420" si="228">SUM(E418,J418)</f>
        <v>0</v>
      </c>
      <c r="T418" s="18">
        <f t="shared" ref="T418:T420" si="229">K418</f>
        <v>0</v>
      </c>
      <c r="U418" s="18">
        <f t="shared" ref="U418:U420" si="230">L418</f>
        <v>0</v>
      </c>
      <c r="V418" s="18">
        <f t="shared" ref="V418:V420" si="231">M418</f>
        <v>0</v>
      </c>
      <c r="W418" s="18">
        <f t="shared" ref="W418:W420" si="232">SUM(F418,N418)</f>
        <v>0</v>
      </c>
    </row>
    <row r="419" spans="1:23" x14ac:dyDescent="0.2">
      <c r="A419">
        <v>7254</v>
      </c>
      <c r="B419">
        <v>0</v>
      </c>
      <c r="C419">
        <v>0</v>
      </c>
      <c r="D419">
        <v>0</v>
      </c>
      <c r="E419">
        <v>0</v>
      </c>
      <c r="F419">
        <v>0</v>
      </c>
      <c r="G419">
        <v>0</v>
      </c>
      <c r="H419">
        <v>0</v>
      </c>
      <c r="I419">
        <v>0</v>
      </c>
      <c r="J419">
        <v>0</v>
      </c>
      <c r="K419">
        <v>0</v>
      </c>
      <c r="L419">
        <v>0</v>
      </c>
      <c r="M419">
        <v>0</v>
      </c>
      <c r="N419">
        <v>0</v>
      </c>
      <c r="P419" s="18">
        <f t="shared" si="225"/>
        <v>0</v>
      </c>
      <c r="Q419" s="18">
        <f t="shared" si="226"/>
        <v>0</v>
      </c>
      <c r="R419" s="18">
        <f t="shared" si="227"/>
        <v>0</v>
      </c>
      <c r="S419" s="18">
        <f t="shared" si="228"/>
        <v>0</v>
      </c>
      <c r="T419" s="18">
        <f t="shared" si="229"/>
        <v>0</v>
      </c>
      <c r="U419" s="18">
        <f t="shared" si="230"/>
        <v>0</v>
      </c>
      <c r="V419" s="18">
        <f t="shared" si="231"/>
        <v>0</v>
      </c>
      <c r="W419" s="18">
        <f t="shared" si="232"/>
        <v>0</v>
      </c>
    </row>
    <row r="420" spans="1:23" x14ac:dyDescent="0.2">
      <c r="A420">
        <v>7247</v>
      </c>
      <c r="B420">
        <v>0</v>
      </c>
      <c r="C420">
        <v>0</v>
      </c>
      <c r="D420">
        <v>0</v>
      </c>
      <c r="E420">
        <v>0</v>
      </c>
      <c r="F420">
        <v>0</v>
      </c>
      <c r="G420">
        <v>0</v>
      </c>
      <c r="H420">
        <v>0</v>
      </c>
      <c r="I420">
        <v>0</v>
      </c>
      <c r="J420">
        <v>0</v>
      </c>
      <c r="K420">
        <v>0</v>
      </c>
      <c r="L420">
        <v>0</v>
      </c>
      <c r="M420">
        <v>0</v>
      </c>
      <c r="N420">
        <v>0</v>
      </c>
      <c r="P420" s="18">
        <f t="shared" si="225"/>
        <v>0</v>
      </c>
      <c r="Q420" s="18">
        <f t="shared" si="226"/>
        <v>0</v>
      </c>
      <c r="R420" s="18">
        <f t="shared" si="227"/>
        <v>0</v>
      </c>
      <c r="S420" s="18">
        <f t="shared" si="228"/>
        <v>0</v>
      </c>
      <c r="T420" s="18">
        <f t="shared" si="229"/>
        <v>0</v>
      </c>
      <c r="U420" s="18">
        <f t="shared" si="230"/>
        <v>0</v>
      </c>
      <c r="V420" s="18">
        <f t="shared" si="231"/>
        <v>0</v>
      </c>
      <c r="W420" s="18">
        <f t="shared" si="232"/>
        <v>0</v>
      </c>
    </row>
    <row r="421" spans="1:23" x14ac:dyDescent="0.2">
      <c r="A421">
        <v>7259</v>
      </c>
      <c r="B421">
        <v>0</v>
      </c>
      <c r="C421">
        <v>0</v>
      </c>
      <c r="D421">
        <v>0</v>
      </c>
      <c r="E421">
        <v>0</v>
      </c>
      <c r="F421">
        <v>0</v>
      </c>
      <c r="G421">
        <v>0</v>
      </c>
      <c r="H421">
        <v>0</v>
      </c>
      <c r="I421">
        <v>0</v>
      </c>
      <c r="J421">
        <v>0</v>
      </c>
      <c r="K421">
        <v>0</v>
      </c>
      <c r="L421">
        <v>0</v>
      </c>
      <c r="M421">
        <v>0</v>
      </c>
      <c r="N421">
        <v>0</v>
      </c>
      <c r="P421" s="18">
        <f t="shared" ref="P421:P423" si="233">SUM(B421,G421)</f>
        <v>0</v>
      </c>
      <c r="Q421" s="18">
        <f t="shared" ref="Q421:Q423" si="234">SUM(C421,H421)</f>
        <v>0</v>
      </c>
      <c r="R421" s="18">
        <f t="shared" ref="R421:R423" si="235">SUM(D421,I421)</f>
        <v>0</v>
      </c>
      <c r="S421" s="18">
        <f t="shared" ref="S421:S423" si="236">SUM(E421,J421)</f>
        <v>0</v>
      </c>
      <c r="T421" s="18">
        <f t="shared" ref="T421:T423" si="237">K421</f>
        <v>0</v>
      </c>
      <c r="U421" s="18">
        <f t="shared" ref="U421:U423" si="238">L421</f>
        <v>0</v>
      </c>
      <c r="V421" s="18">
        <f t="shared" ref="V421:V423" si="239">M421</f>
        <v>0</v>
      </c>
      <c r="W421" s="18">
        <f t="shared" ref="W421:W423" si="240">SUM(F421,N421)</f>
        <v>0</v>
      </c>
    </row>
    <row r="422" spans="1:23" x14ac:dyDescent="0.2">
      <c r="A422">
        <v>7273</v>
      </c>
      <c r="B422">
        <v>0</v>
      </c>
      <c r="C422">
        <v>0</v>
      </c>
      <c r="D422">
        <v>0</v>
      </c>
      <c r="E422">
        <v>0</v>
      </c>
      <c r="F422">
        <v>0</v>
      </c>
      <c r="G422">
        <v>0</v>
      </c>
      <c r="H422">
        <v>0</v>
      </c>
      <c r="I422">
        <v>0</v>
      </c>
      <c r="J422">
        <v>0</v>
      </c>
      <c r="K422">
        <v>0</v>
      </c>
      <c r="L422">
        <v>0</v>
      </c>
      <c r="M422">
        <v>0</v>
      </c>
      <c r="N422">
        <v>0</v>
      </c>
      <c r="P422" s="18">
        <f t="shared" si="233"/>
        <v>0</v>
      </c>
      <c r="Q422" s="18">
        <f t="shared" si="234"/>
        <v>0</v>
      </c>
      <c r="R422" s="18">
        <f t="shared" si="235"/>
        <v>0</v>
      </c>
      <c r="S422" s="18">
        <f t="shared" si="236"/>
        <v>0</v>
      </c>
      <c r="T422" s="18">
        <f t="shared" si="237"/>
        <v>0</v>
      </c>
      <c r="U422" s="18">
        <f t="shared" si="238"/>
        <v>0</v>
      </c>
      <c r="V422" s="18">
        <f t="shared" si="239"/>
        <v>0</v>
      </c>
      <c r="W422" s="18">
        <f t="shared" si="240"/>
        <v>0</v>
      </c>
    </row>
    <row r="423" spans="1:23" x14ac:dyDescent="0.2">
      <c r="A423">
        <v>7277</v>
      </c>
      <c r="B423">
        <v>0</v>
      </c>
      <c r="C423">
        <v>0</v>
      </c>
      <c r="D423">
        <v>0</v>
      </c>
      <c r="E423">
        <v>0</v>
      </c>
      <c r="F423">
        <v>0</v>
      </c>
      <c r="G423">
        <v>0</v>
      </c>
      <c r="H423">
        <v>0</v>
      </c>
      <c r="I423">
        <v>0</v>
      </c>
      <c r="J423">
        <v>0</v>
      </c>
      <c r="K423">
        <v>0</v>
      </c>
      <c r="L423">
        <v>0</v>
      </c>
      <c r="M423">
        <v>0</v>
      </c>
      <c r="N423">
        <v>0</v>
      </c>
      <c r="P423" s="18">
        <f t="shared" si="233"/>
        <v>0</v>
      </c>
      <c r="Q423" s="18">
        <f t="shared" si="234"/>
        <v>0</v>
      </c>
      <c r="R423" s="18">
        <f t="shared" si="235"/>
        <v>0</v>
      </c>
      <c r="S423" s="18">
        <f t="shared" si="236"/>
        <v>0</v>
      </c>
      <c r="T423" s="18">
        <f t="shared" si="237"/>
        <v>0</v>
      </c>
      <c r="U423" s="18">
        <f t="shared" si="238"/>
        <v>0</v>
      </c>
      <c r="V423" s="18">
        <f t="shared" si="239"/>
        <v>0</v>
      </c>
      <c r="W423" s="18">
        <f t="shared" si="240"/>
        <v>0</v>
      </c>
    </row>
    <row r="424" spans="1:23" x14ac:dyDescent="0.2">
      <c r="A424">
        <v>7275</v>
      </c>
      <c r="B424">
        <v>0</v>
      </c>
      <c r="C424">
        <v>0</v>
      </c>
      <c r="D424">
        <v>0</v>
      </c>
      <c r="E424">
        <v>0</v>
      </c>
      <c r="F424">
        <v>0</v>
      </c>
      <c r="G424">
        <v>0</v>
      </c>
      <c r="H424">
        <v>0</v>
      </c>
      <c r="I424">
        <v>0</v>
      </c>
      <c r="J424">
        <v>0</v>
      </c>
      <c r="K424">
        <v>0</v>
      </c>
      <c r="L424">
        <v>0</v>
      </c>
      <c r="M424">
        <v>0</v>
      </c>
      <c r="N424">
        <v>0</v>
      </c>
      <c r="P424" s="18">
        <f t="shared" ref="P424:P428" si="241">SUM(B424,G424)</f>
        <v>0</v>
      </c>
      <c r="Q424" s="18">
        <f t="shared" ref="Q424:Q428" si="242">SUM(C424,H424)</f>
        <v>0</v>
      </c>
      <c r="R424" s="18">
        <f t="shared" ref="R424:R428" si="243">SUM(D424,I424)</f>
        <v>0</v>
      </c>
      <c r="S424" s="18">
        <f t="shared" ref="S424:S428" si="244">SUM(E424,J424)</f>
        <v>0</v>
      </c>
      <c r="T424" s="18">
        <f t="shared" ref="T424:T428" si="245">K424</f>
        <v>0</v>
      </c>
      <c r="U424" s="18">
        <f t="shared" ref="U424:U428" si="246">L424</f>
        <v>0</v>
      </c>
      <c r="V424" s="18">
        <f t="shared" ref="V424:V428" si="247">M424</f>
        <v>0</v>
      </c>
      <c r="W424" s="18">
        <f t="shared" ref="W424:W428" si="248">SUM(F424,N424)</f>
        <v>0</v>
      </c>
    </row>
    <row r="425" spans="1:23" x14ac:dyDescent="0.2">
      <c r="A425">
        <v>7280</v>
      </c>
      <c r="B425">
        <v>0</v>
      </c>
      <c r="C425">
        <v>0</v>
      </c>
      <c r="D425">
        <v>0</v>
      </c>
      <c r="E425">
        <v>0</v>
      </c>
      <c r="F425">
        <v>0</v>
      </c>
      <c r="G425">
        <v>0</v>
      </c>
      <c r="H425">
        <v>0</v>
      </c>
      <c r="I425">
        <v>0</v>
      </c>
      <c r="J425">
        <v>0</v>
      </c>
      <c r="K425">
        <v>0</v>
      </c>
      <c r="L425">
        <v>0</v>
      </c>
      <c r="M425">
        <v>0</v>
      </c>
      <c r="N425">
        <v>0</v>
      </c>
      <c r="P425" s="18">
        <f t="shared" si="241"/>
        <v>0</v>
      </c>
      <c r="Q425" s="18">
        <f t="shared" si="242"/>
        <v>0</v>
      </c>
      <c r="R425" s="18">
        <f t="shared" si="243"/>
        <v>0</v>
      </c>
      <c r="S425" s="18">
        <f t="shared" si="244"/>
        <v>0</v>
      </c>
      <c r="T425" s="18">
        <f t="shared" si="245"/>
        <v>0</v>
      </c>
      <c r="U425" s="18">
        <f t="shared" si="246"/>
        <v>0</v>
      </c>
      <c r="V425" s="18">
        <f t="shared" si="247"/>
        <v>0</v>
      </c>
      <c r="W425" s="18">
        <f t="shared" si="248"/>
        <v>0</v>
      </c>
    </row>
    <row r="426" spans="1:23" x14ac:dyDescent="0.2">
      <c r="A426">
        <v>7281</v>
      </c>
      <c r="B426">
        <v>0</v>
      </c>
      <c r="C426">
        <v>0</v>
      </c>
      <c r="D426">
        <v>0</v>
      </c>
      <c r="E426">
        <v>0</v>
      </c>
      <c r="F426">
        <v>0</v>
      </c>
      <c r="G426">
        <v>0</v>
      </c>
      <c r="H426">
        <v>0</v>
      </c>
      <c r="I426">
        <v>0</v>
      </c>
      <c r="J426">
        <v>0</v>
      </c>
      <c r="K426">
        <v>0</v>
      </c>
      <c r="L426">
        <v>0</v>
      </c>
      <c r="M426">
        <v>0</v>
      </c>
      <c r="N426">
        <v>0</v>
      </c>
      <c r="P426" s="18">
        <f t="shared" si="241"/>
        <v>0</v>
      </c>
      <c r="Q426" s="18">
        <f t="shared" si="242"/>
        <v>0</v>
      </c>
      <c r="R426" s="18">
        <f t="shared" si="243"/>
        <v>0</v>
      </c>
      <c r="S426" s="18">
        <f t="shared" si="244"/>
        <v>0</v>
      </c>
      <c r="T426" s="18">
        <f t="shared" si="245"/>
        <v>0</v>
      </c>
      <c r="U426" s="18">
        <f t="shared" si="246"/>
        <v>0</v>
      </c>
      <c r="V426" s="18">
        <f t="shared" si="247"/>
        <v>0</v>
      </c>
      <c r="W426" s="18">
        <f t="shared" si="248"/>
        <v>0</v>
      </c>
    </row>
    <row r="427" spans="1:23" x14ac:dyDescent="0.2">
      <c r="A427">
        <v>7286</v>
      </c>
      <c r="B427">
        <v>0</v>
      </c>
      <c r="C427">
        <v>0</v>
      </c>
      <c r="D427">
        <v>0</v>
      </c>
      <c r="E427">
        <v>0</v>
      </c>
      <c r="F427">
        <v>0</v>
      </c>
      <c r="G427">
        <v>0</v>
      </c>
      <c r="H427">
        <v>0</v>
      </c>
      <c r="I427">
        <v>0</v>
      </c>
      <c r="J427">
        <v>0</v>
      </c>
      <c r="K427">
        <v>0</v>
      </c>
      <c r="L427">
        <v>0</v>
      </c>
      <c r="M427">
        <v>0</v>
      </c>
      <c r="N427">
        <v>0</v>
      </c>
      <c r="P427" s="18">
        <f t="shared" si="241"/>
        <v>0</v>
      </c>
      <c r="Q427" s="18">
        <f t="shared" si="242"/>
        <v>0</v>
      </c>
      <c r="R427" s="18">
        <f t="shared" si="243"/>
        <v>0</v>
      </c>
      <c r="S427" s="18">
        <f t="shared" si="244"/>
        <v>0</v>
      </c>
      <c r="T427" s="18">
        <f t="shared" si="245"/>
        <v>0</v>
      </c>
      <c r="U427" s="18">
        <f t="shared" si="246"/>
        <v>0</v>
      </c>
      <c r="V427" s="18">
        <f t="shared" si="247"/>
        <v>0</v>
      </c>
      <c r="W427" s="18">
        <f t="shared" si="248"/>
        <v>0</v>
      </c>
    </row>
    <row r="428" spans="1:23" x14ac:dyDescent="0.2">
      <c r="A428">
        <v>7289</v>
      </c>
      <c r="B428">
        <v>0</v>
      </c>
      <c r="C428">
        <v>0</v>
      </c>
      <c r="D428">
        <v>0</v>
      </c>
      <c r="E428">
        <v>0</v>
      </c>
      <c r="F428">
        <v>0</v>
      </c>
      <c r="G428">
        <v>0</v>
      </c>
      <c r="H428">
        <v>0</v>
      </c>
      <c r="I428">
        <v>0</v>
      </c>
      <c r="J428">
        <v>0</v>
      </c>
      <c r="K428">
        <v>0</v>
      </c>
      <c r="L428">
        <v>0</v>
      </c>
      <c r="M428">
        <v>0</v>
      </c>
      <c r="N428">
        <v>0</v>
      </c>
      <c r="P428" s="18">
        <f t="shared" si="241"/>
        <v>0</v>
      </c>
      <c r="Q428" s="18">
        <f t="shared" si="242"/>
        <v>0</v>
      </c>
      <c r="R428" s="18">
        <f t="shared" si="243"/>
        <v>0</v>
      </c>
      <c r="S428" s="18">
        <f t="shared" si="244"/>
        <v>0</v>
      </c>
      <c r="T428" s="18">
        <f t="shared" si="245"/>
        <v>0</v>
      </c>
      <c r="U428" s="18">
        <f t="shared" si="246"/>
        <v>0</v>
      </c>
      <c r="V428" s="18">
        <f t="shared" si="247"/>
        <v>0</v>
      </c>
      <c r="W428" s="18">
        <f t="shared" si="248"/>
        <v>0</v>
      </c>
    </row>
    <row r="429" spans="1:23" x14ac:dyDescent="0.2">
      <c r="A429">
        <v>7292</v>
      </c>
      <c r="B429">
        <v>0</v>
      </c>
      <c r="C429">
        <v>0</v>
      </c>
      <c r="D429">
        <v>0</v>
      </c>
      <c r="E429">
        <v>0</v>
      </c>
      <c r="F429">
        <v>0</v>
      </c>
      <c r="G429">
        <v>0</v>
      </c>
      <c r="H429">
        <v>0</v>
      </c>
      <c r="I429">
        <v>0</v>
      </c>
      <c r="J429">
        <v>0</v>
      </c>
      <c r="K429">
        <v>0</v>
      </c>
      <c r="L429">
        <v>0</v>
      </c>
      <c r="M429">
        <v>0</v>
      </c>
      <c r="N429">
        <v>0</v>
      </c>
      <c r="P429" s="18">
        <f t="shared" ref="P429:P439" si="249">SUM(B429,G429)</f>
        <v>0</v>
      </c>
      <c r="Q429" s="18">
        <f t="shared" ref="Q429:Q439" si="250">SUM(C429,H429)</f>
        <v>0</v>
      </c>
      <c r="R429" s="18">
        <f t="shared" ref="R429:R439" si="251">SUM(D429,I429)</f>
        <v>0</v>
      </c>
      <c r="S429" s="18">
        <f t="shared" ref="S429:S439" si="252">SUM(E429,J429)</f>
        <v>0</v>
      </c>
      <c r="T429" s="18">
        <f t="shared" ref="T429:T439" si="253">K429</f>
        <v>0</v>
      </c>
      <c r="U429" s="18">
        <f t="shared" ref="U429:U439" si="254">L429</f>
        <v>0</v>
      </c>
      <c r="V429" s="18">
        <f t="shared" ref="V429:V439" si="255">M429</f>
        <v>0</v>
      </c>
      <c r="W429" s="18">
        <f t="shared" ref="W429:W439" si="256">SUM(F429,N429)</f>
        <v>0</v>
      </c>
    </row>
    <row r="430" spans="1:23" x14ac:dyDescent="0.2">
      <c r="A430">
        <v>7293</v>
      </c>
      <c r="B430">
        <v>0</v>
      </c>
      <c r="C430">
        <v>0</v>
      </c>
      <c r="D430">
        <v>0</v>
      </c>
      <c r="E430">
        <v>0</v>
      </c>
      <c r="F430">
        <v>0</v>
      </c>
      <c r="G430">
        <v>0</v>
      </c>
      <c r="H430">
        <v>0</v>
      </c>
      <c r="I430">
        <v>0</v>
      </c>
      <c r="J430">
        <v>0</v>
      </c>
      <c r="K430">
        <v>0</v>
      </c>
      <c r="L430">
        <v>0</v>
      </c>
      <c r="M430">
        <v>0</v>
      </c>
      <c r="N430">
        <v>0</v>
      </c>
      <c r="P430" s="18">
        <f t="shared" si="249"/>
        <v>0</v>
      </c>
      <c r="Q430" s="18">
        <f t="shared" si="250"/>
        <v>0</v>
      </c>
      <c r="R430" s="18">
        <f t="shared" si="251"/>
        <v>0</v>
      </c>
      <c r="S430" s="18">
        <f t="shared" si="252"/>
        <v>0</v>
      </c>
      <c r="T430" s="18">
        <f t="shared" si="253"/>
        <v>0</v>
      </c>
      <c r="U430" s="18">
        <f t="shared" si="254"/>
        <v>0</v>
      </c>
      <c r="V430" s="18">
        <f t="shared" si="255"/>
        <v>0</v>
      </c>
      <c r="W430" s="18">
        <f t="shared" si="256"/>
        <v>0</v>
      </c>
    </row>
    <row r="431" spans="1:23" x14ac:dyDescent="0.2">
      <c r="A431">
        <v>7296</v>
      </c>
      <c r="B431">
        <v>0</v>
      </c>
      <c r="C431">
        <v>0</v>
      </c>
      <c r="D431">
        <v>0</v>
      </c>
      <c r="E431">
        <v>0</v>
      </c>
      <c r="F431">
        <v>0</v>
      </c>
      <c r="G431">
        <v>0</v>
      </c>
      <c r="H431">
        <v>0</v>
      </c>
      <c r="I431">
        <v>0</v>
      </c>
      <c r="J431">
        <v>0</v>
      </c>
      <c r="K431">
        <v>0</v>
      </c>
      <c r="L431">
        <v>0</v>
      </c>
      <c r="M431">
        <v>0</v>
      </c>
      <c r="N431">
        <v>0</v>
      </c>
      <c r="P431" s="18">
        <f t="shared" si="249"/>
        <v>0</v>
      </c>
      <c r="Q431" s="18">
        <f t="shared" si="250"/>
        <v>0</v>
      </c>
      <c r="R431" s="18">
        <f t="shared" si="251"/>
        <v>0</v>
      </c>
      <c r="S431" s="18">
        <f t="shared" si="252"/>
        <v>0</v>
      </c>
      <c r="T431" s="18">
        <f t="shared" si="253"/>
        <v>0</v>
      </c>
      <c r="U431" s="18">
        <f t="shared" si="254"/>
        <v>0</v>
      </c>
      <c r="V431" s="18">
        <f t="shared" si="255"/>
        <v>0</v>
      </c>
      <c r="W431" s="18">
        <f t="shared" si="256"/>
        <v>0</v>
      </c>
    </row>
    <row r="432" spans="1:23" x14ac:dyDescent="0.2">
      <c r="A432">
        <v>7300</v>
      </c>
      <c r="B432">
        <v>0</v>
      </c>
      <c r="C432">
        <v>0</v>
      </c>
      <c r="D432">
        <v>0</v>
      </c>
      <c r="E432">
        <v>0</v>
      </c>
      <c r="F432">
        <v>0</v>
      </c>
      <c r="G432">
        <v>0</v>
      </c>
      <c r="H432">
        <v>0</v>
      </c>
      <c r="I432">
        <v>0</v>
      </c>
      <c r="J432">
        <v>0</v>
      </c>
      <c r="K432">
        <v>0</v>
      </c>
      <c r="L432">
        <v>0</v>
      </c>
      <c r="M432">
        <v>0</v>
      </c>
      <c r="N432">
        <v>0</v>
      </c>
      <c r="P432" s="18">
        <f t="shared" si="249"/>
        <v>0</v>
      </c>
      <c r="Q432" s="18">
        <f t="shared" si="250"/>
        <v>0</v>
      </c>
      <c r="R432" s="18">
        <f t="shared" si="251"/>
        <v>0</v>
      </c>
      <c r="S432" s="18">
        <f t="shared" si="252"/>
        <v>0</v>
      </c>
      <c r="T432" s="18">
        <f t="shared" si="253"/>
        <v>0</v>
      </c>
      <c r="U432" s="18">
        <f t="shared" si="254"/>
        <v>0</v>
      </c>
      <c r="V432" s="18">
        <f t="shared" si="255"/>
        <v>0</v>
      </c>
      <c r="W432" s="18">
        <f t="shared" si="256"/>
        <v>0</v>
      </c>
    </row>
    <row r="433" spans="1:23" x14ac:dyDescent="0.2">
      <c r="A433" t="s">
        <v>438</v>
      </c>
      <c r="B433">
        <v>0</v>
      </c>
      <c r="C433">
        <v>0</v>
      </c>
      <c r="D433">
        <v>0</v>
      </c>
      <c r="E433">
        <v>0</v>
      </c>
      <c r="F433">
        <v>0</v>
      </c>
      <c r="G433">
        <v>0</v>
      </c>
      <c r="H433">
        <v>0</v>
      </c>
      <c r="I433">
        <v>0</v>
      </c>
      <c r="J433">
        <v>0</v>
      </c>
      <c r="K433">
        <v>0</v>
      </c>
      <c r="L433">
        <v>0</v>
      </c>
      <c r="M433">
        <v>0</v>
      </c>
      <c r="N433">
        <v>0</v>
      </c>
      <c r="P433" s="18">
        <f t="shared" si="249"/>
        <v>0</v>
      </c>
      <c r="Q433" s="18">
        <f t="shared" si="250"/>
        <v>0</v>
      </c>
      <c r="R433" s="18">
        <f t="shared" si="251"/>
        <v>0</v>
      </c>
      <c r="S433" s="18">
        <f t="shared" si="252"/>
        <v>0</v>
      </c>
      <c r="T433" s="18">
        <f t="shared" si="253"/>
        <v>0</v>
      </c>
      <c r="U433" s="18">
        <f t="shared" si="254"/>
        <v>0</v>
      </c>
      <c r="V433" s="18">
        <f t="shared" si="255"/>
        <v>0</v>
      </c>
      <c r="W433" s="18">
        <f t="shared" si="256"/>
        <v>0</v>
      </c>
    </row>
    <row r="434" spans="1:23" x14ac:dyDescent="0.2">
      <c r="A434">
        <v>7307</v>
      </c>
      <c r="B434">
        <v>0</v>
      </c>
      <c r="C434">
        <v>0</v>
      </c>
      <c r="D434">
        <v>0</v>
      </c>
      <c r="E434">
        <v>0</v>
      </c>
      <c r="F434">
        <v>0</v>
      </c>
      <c r="G434">
        <v>0</v>
      </c>
      <c r="H434">
        <v>0</v>
      </c>
      <c r="I434">
        <v>0</v>
      </c>
      <c r="J434">
        <v>0</v>
      </c>
      <c r="K434">
        <v>0</v>
      </c>
      <c r="L434">
        <v>0</v>
      </c>
      <c r="M434">
        <v>0</v>
      </c>
      <c r="N434">
        <v>0</v>
      </c>
      <c r="P434" s="18">
        <f t="shared" si="249"/>
        <v>0</v>
      </c>
      <c r="Q434" s="18">
        <f t="shared" si="250"/>
        <v>0</v>
      </c>
      <c r="R434" s="18">
        <f t="shared" si="251"/>
        <v>0</v>
      </c>
      <c r="S434" s="18">
        <f t="shared" si="252"/>
        <v>0</v>
      </c>
      <c r="T434" s="18">
        <f t="shared" si="253"/>
        <v>0</v>
      </c>
      <c r="U434" s="18">
        <f t="shared" si="254"/>
        <v>0</v>
      </c>
      <c r="V434" s="18">
        <f t="shared" si="255"/>
        <v>0</v>
      </c>
      <c r="W434" s="18">
        <f t="shared" si="256"/>
        <v>0</v>
      </c>
    </row>
    <row r="435" spans="1:23" x14ac:dyDescent="0.2">
      <c r="A435">
        <v>7311</v>
      </c>
      <c r="B435">
        <v>0</v>
      </c>
      <c r="C435">
        <v>0</v>
      </c>
      <c r="D435">
        <v>0</v>
      </c>
      <c r="E435">
        <v>0</v>
      </c>
      <c r="F435">
        <v>0</v>
      </c>
      <c r="G435">
        <v>0</v>
      </c>
      <c r="H435">
        <v>0</v>
      </c>
      <c r="I435">
        <v>0</v>
      </c>
      <c r="J435">
        <v>0</v>
      </c>
      <c r="K435">
        <v>0</v>
      </c>
      <c r="L435">
        <v>0</v>
      </c>
      <c r="M435">
        <v>0</v>
      </c>
      <c r="N435">
        <v>0</v>
      </c>
      <c r="P435" s="18">
        <f t="shared" si="249"/>
        <v>0</v>
      </c>
      <c r="Q435" s="18">
        <f t="shared" si="250"/>
        <v>0</v>
      </c>
      <c r="R435" s="18">
        <f t="shared" si="251"/>
        <v>0</v>
      </c>
      <c r="S435" s="18">
        <f t="shared" si="252"/>
        <v>0</v>
      </c>
      <c r="T435" s="18">
        <f t="shared" si="253"/>
        <v>0</v>
      </c>
      <c r="U435" s="18">
        <f t="shared" si="254"/>
        <v>0</v>
      </c>
      <c r="V435" s="18">
        <f t="shared" si="255"/>
        <v>0</v>
      </c>
      <c r="W435" s="18">
        <f t="shared" si="256"/>
        <v>0</v>
      </c>
    </row>
    <row r="436" spans="1:23" x14ac:dyDescent="0.2">
      <c r="A436">
        <v>7207</v>
      </c>
      <c r="B436">
        <v>0</v>
      </c>
      <c r="C436">
        <v>0</v>
      </c>
      <c r="D436">
        <v>0</v>
      </c>
      <c r="E436">
        <v>0</v>
      </c>
      <c r="F436">
        <v>0</v>
      </c>
      <c r="G436">
        <v>0</v>
      </c>
      <c r="H436">
        <v>0</v>
      </c>
      <c r="I436">
        <v>0</v>
      </c>
      <c r="J436">
        <v>0</v>
      </c>
      <c r="K436">
        <v>0</v>
      </c>
      <c r="L436">
        <v>0</v>
      </c>
      <c r="M436">
        <v>0</v>
      </c>
      <c r="N436">
        <v>0</v>
      </c>
      <c r="P436" s="18">
        <f t="shared" si="249"/>
        <v>0</v>
      </c>
      <c r="Q436" s="18">
        <f t="shared" si="250"/>
        <v>0</v>
      </c>
      <c r="R436" s="18">
        <f t="shared" si="251"/>
        <v>0</v>
      </c>
      <c r="S436" s="18">
        <f t="shared" si="252"/>
        <v>0</v>
      </c>
      <c r="T436" s="18">
        <f t="shared" si="253"/>
        <v>0</v>
      </c>
      <c r="U436" s="18">
        <f t="shared" si="254"/>
        <v>0</v>
      </c>
      <c r="V436" s="18">
        <f t="shared" si="255"/>
        <v>0</v>
      </c>
      <c r="W436" s="18">
        <f t="shared" si="256"/>
        <v>0</v>
      </c>
    </row>
    <row r="437" spans="1:23" x14ac:dyDescent="0.2">
      <c r="A437">
        <v>7319</v>
      </c>
      <c r="B437">
        <v>0</v>
      </c>
      <c r="C437">
        <v>0</v>
      </c>
      <c r="D437">
        <v>0</v>
      </c>
      <c r="E437">
        <v>0</v>
      </c>
      <c r="F437">
        <v>0</v>
      </c>
      <c r="G437">
        <v>0</v>
      </c>
      <c r="H437">
        <v>0</v>
      </c>
      <c r="I437">
        <v>0</v>
      </c>
      <c r="J437">
        <v>0</v>
      </c>
      <c r="K437">
        <v>0</v>
      </c>
      <c r="L437">
        <v>0</v>
      </c>
      <c r="M437">
        <v>0</v>
      </c>
      <c r="N437">
        <v>0</v>
      </c>
      <c r="P437" s="18">
        <f t="shared" si="249"/>
        <v>0</v>
      </c>
      <c r="Q437" s="18">
        <f t="shared" si="250"/>
        <v>0</v>
      </c>
      <c r="R437" s="18">
        <f t="shared" si="251"/>
        <v>0</v>
      </c>
      <c r="S437" s="18">
        <f t="shared" si="252"/>
        <v>0</v>
      </c>
      <c r="T437" s="18">
        <f t="shared" si="253"/>
        <v>0</v>
      </c>
      <c r="U437" s="18">
        <f t="shared" si="254"/>
        <v>0</v>
      </c>
      <c r="V437" s="18">
        <f t="shared" si="255"/>
        <v>0</v>
      </c>
      <c r="W437" s="18">
        <f t="shared" si="256"/>
        <v>0</v>
      </c>
    </row>
    <row r="438" spans="1:23" x14ac:dyDescent="0.2">
      <c r="A438">
        <v>7323</v>
      </c>
      <c r="B438">
        <v>0</v>
      </c>
      <c r="C438">
        <v>0</v>
      </c>
      <c r="D438">
        <v>0</v>
      </c>
      <c r="E438">
        <v>0</v>
      </c>
      <c r="F438">
        <v>0</v>
      </c>
      <c r="G438">
        <v>0</v>
      </c>
      <c r="H438">
        <v>0</v>
      </c>
      <c r="I438">
        <v>0</v>
      </c>
      <c r="J438">
        <v>0</v>
      </c>
      <c r="K438">
        <v>0</v>
      </c>
      <c r="L438">
        <v>0</v>
      </c>
      <c r="M438">
        <v>0</v>
      </c>
      <c r="N438">
        <v>0</v>
      </c>
      <c r="P438" s="18">
        <f t="shared" si="249"/>
        <v>0</v>
      </c>
      <c r="Q438" s="18">
        <f t="shared" si="250"/>
        <v>0</v>
      </c>
      <c r="R438" s="18">
        <f t="shared" si="251"/>
        <v>0</v>
      </c>
      <c r="S438" s="18">
        <f t="shared" si="252"/>
        <v>0</v>
      </c>
      <c r="T438" s="18">
        <f t="shared" si="253"/>
        <v>0</v>
      </c>
      <c r="U438" s="18">
        <f t="shared" si="254"/>
        <v>0</v>
      </c>
      <c r="V438" s="18">
        <f t="shared" si="255"/>
        <v>0</v>
      </c>
      <c r="W438" s="18">
        <f t="shared" si="256"/>
        <v>0</v>
      </c>
    </row>
    <row r="439" spans="1:23" x14ac:dyDescent="0.2">
      <c r="A439">
        <v>7350</v>
      </c>
      <c r="B439">
        <v>0</v>
      </c>
      <c r="C439">
        <v>0</v>
      </c>
      <c r="D439">
        <v>0</v>
      </c>
      <c r="E439">
        <v>0</v>
      </c>
      <c r="F439">
        <v>0</v>
      </c>
      <c r="G439">
        <v>0</v>
      </c>
      <c r="H439">
        <v>0</v>
      </c>
      <c r="I439">
        <v>0</v>
      </c>
      <c r="J439">
        <v>0</v>
      </c>
      <c r="K439">
        <v>0</v>
      </c>
      <c r="L439">
        <v>0</v>
      </c>
      <c r="M439">
        <v>0</v>
      </c>
      <c r="N439">
        <v>0</v>
      </c>
      <c r="P439" s="18">
        <f t="shared" si="249"/>
        <v>0</v>
      </c>
      <c r="Q439" s="18">
        <f t="shared" si="250"/>
        <v>0</v>
      </c>
      <c r="R439" s="18">
        <f t="shared" si="251"/>
        <v>0</v>
      </c>
      <c r="S439" s="18">
        <f t="shared" si="252"/>
        <v>0</v>
      </c>
      <c r="T439" s="18">
        <f t="shared" si="253"/>
        <v>0</v>
      </c>
      <c r="U439" s="18">
        <f t="shared" si="254"/>
        <v>0</v>
      </c>
      <c r="V439" s="18">
        <f t="shared" si="255"/>
        <v>0</v>
      </c>
      <c r="W439" s="18">
        <f t="shared" si="256"/>
        <v>0</v>
      </c>
    </row>
    <row r="440" spans="1:23" x14ac:dyDescent="0.2">
      <c r="A440">
        <v>6936</v>
      </c>
      <c r="B440">
        <v>0</v>
      </c>
      <c r="C440">
        <v>0</v>
      </c>
      <c r="D440">
        <v>0</v>
      </c>
      <c r="E440">
        <v>0</v>
      </c>
      <c r="F440">
        <v>0</v>
      </c>
      <c r="G440">
        <v>0</v>
      </c>
      <c r="H440">
        <v>0</v>
      </c>
      <c r="I440">
        <v>0</v>
      </c>
      <c r="J440">
        <v>0</v>
      </c>
      <c r="K440">
        <v>0</v>
      </c>
      <c r="L440">
        <v>0</v>
      </c>
      <c r="M440">
        <v>0</v>
      </c>
      <c r="N440">
        <v>0</v>
      </c>
      <c r="P440" s="18">
        <f t="shared" ref="P440" si="257">SUM(B440,G440)</f>
        <v>0</v>
      </c>
      <c r="Q440" s="18">
        <f t="shared" ref="Q440" si="258">SUM(C440,H440)</f>
        <v>0</v>
      </c>
      <c r="R440" s="18">
        <f t="shared" ref="R440" si="259">SUM(D440,I440)</f>
        <v>0</v>
      </c>
      <c r="S440" s="18">
        <f t="shared" ref="S440" si="260">SUM(E440,J440)</f>
        <v>0</v>
      </c>
      <c r="T440" s="18">
        <f t="shared" ref="T440" si="261">K440</f>
        <v>0</v>
      </c>
      <c r="U440" s="18">
        <f t="shared" ref="U440" si="262">L440</f>
        <v>0</v>
      </c>
      <c r="V440" s="18">
        <f t="shared" ref="V440" si="263">M440</f>
        <v>0</v>
      </c>
      <c r="W440" s="18">
        <f t="shared" ref="W440" si="264">SUM(F440,N440)</f>
        <v>0</v>
      </c>
    </row>
    <row r="441" spans="1:23" x14ac:dyDescent="0.2">
      <c r="A441">
        <v>7368</v>
      </c>
      <c r="B441">
        <v>0</v>
      </c>
      <c r="C441">
        <v>0</v>
      </c>
      <c r="D441">
        <v>0</v>
      </c>
      <c r="E441">
        <v>0</v>
      </c>
      <c r="F441">
        <v>0</v>
      </c>
      <c r="G441">
        <v>0</v>
      </c>
      <c r="H441">
        <v>0</v>
      </c>
      <c r="I441">
        <v>0</v>
      </c>
      <c r="J441">
        <v>0</v>
      </c>
      <c r="K441">
        <v>0</v>
      </c>
      <c r="L441">
        <v>0</v>
      </c>
      <c r="M441">
        <v>0</v>
      </c>
      <c r="N441">
        <v>0</v>
      </c>
      <c r="P441" s="18">
        <f t="shared" ref="P441" si="265">SUM(B441,G441)</f>
        <v>0</v>
      </c>
      <c r="Q441" s="18">
        <f t="shared" ref="Q441" si="266">SUM(C441,H441)</f>
        <v>0</v>
      </c>
      <c r="R441" s="18">
        <f t="shared" ref="R441" si="267">SUM(D441,I441)</f>
        <v>0</v>
      </c>
      <c r="S441" s="18">
        <f t="shared" ref="S441" si="268">SUM(E441,J441)</f>
        <v>0</v>
      </c>
      <c r="T441" s="18">
        <f t="shared" ref="T441" si="269">K441</f>
        <v>0</v>
      </c>
      <c r="U441" s="18">
        <f t="shared" ref="U441" si="270">L441</f>
        <v>0</v>
      </c>
      <c r="V441" s="18">
        <f t="shared" ref="V441" si="271">M441</f>
        <v>0</v>
      </c>
      <c r="W441" s="18">
        <f t="shared" ref="W441" si="272">SUM(F441,N441)</f>
        <v>0</v>
      </c>
    </row>
    <row r="442" spans="1:23" x14ac:dyDescent="0.2">
      <c r="A442">
        <v>7365</v>
      </c>
      <c r="B442">
        <v>0</v>
      </c>
      <c r="C442">
        <v>0</v>
      </c>
      <c r="D442">
        <v>0</v>
      </c>
      <c r="E442">
        <v>0</v>
      </c>
      <c r="F442">
        <v>0</v>
      </c>
      <c r="G442">
        <v>0</v>
      </c>
      <c r="H442">
        <v>0</v>
      </c>
      <c r="I442">
        <v>0</v>
      </c>
      <c r="J442">
        <v>0</v>
      </c>
      <c r="K442">
        <v>0</v>
      </c>
      <c r="L442">
        <v>0</v>
      </c>
      <c r="M442">
        <v>0</v>
      </c>
      <c r="N442">
        <v>0</v>
      </c>
      <c r="P442" s="18">
        <f t="shared" ref="P442" si="273">SUM(B442,G442)</f>
        <v>0</v>
      </c>
      <c r="Q442" s="18">
        <f t="shared" ref="Q442" si="274">SUM(C442,H442)</f>
        <v>0</v>
      </c>
      <c r="R442" s="18">
        <f t="shared" ref="R442" si="275">SUM(D442,I442)</f>
        <v>0</v>
      </c>
      <c r="S442" s="18">
        <f t="shared" ref="S442" si="276">SUM(E442,J442)</f>
        <v>0</v>
      </c>
      <c r="T442" s="18">
        <f t="shared" ref="T442" si="277">K442</f>
        <v>0</v>
      </c>
      <c r="U442" s="18">
        <f t="shared" ref="U442" si="278">L442</f>
        <v>0</v>
      </c>
      <c r="V442" s="18">
        <f t="shared" ref="V442" si="279">M442</f>
        <v>0</v>
      </c>
      <c r="W442" s="18">
        <f t="shared" ref="W442" si="280">SUM(F442,N442)</f>
        <v>0</v>
      </c>
    </row>
    <row r="443" spans="1:23" x14ac:dyDescent="0.2">
      <c r="A443">
        <v>7370</v>
      </c>
      <c r="B443">
        <v>0</v>
      </c>
      <c r="C443">
        <v>0</v>
      </c>
      <c r="D443">
        <v>0</v>
      </c>
      <c r="E443">
        <v>0</v>
      </c>
      <c r="F443">
        <v>0</v>
      </c>
      <c r="G443">
        <v>0</v>
      </c>
      <c r="H443">
        <v>0</v>
      </c>
      <c r="I443">
        <v>0</v>
      </c>
      <c r="J443">
        <v>0</v>
      </c>
      <c r="K443">
        <v>0</v>
      </c>
      <c r="L443">
        <v>0</v>
      </c>
      <c r="M443">
        <v>0</v>
      </c>
      <c r="N443">
        <v>0</v>
      </c>
      <c r="P443" s="18">
        <f t="shared" ref="P443:P445" si="281">SUM(B443,G443)</f>
        <v>0</v>
      </c>
      <c r="Q443" s="18">
        <f t="shared" ref="Q443:Q445" si="282">SUM(C443,H443)</f>
        <v>0</v>
      </c>
      <c r="R443" s="18">
        <f t="shared" ref="R443:R445" si="283">SUM(D443,I443)</f>
        <v>0</v>
      </c>
      <c r="S443" s="18">
        <f t="shared" ref="S443:S445" si="284">SUM(E443,J443)</f>
        <v>0</v>
      </c>
      <c r="T443" s="18">
        <f t="shared" ref="T443:T445" si="285">K443</f>
        <v>0</v>
      </c>
      <c r="U443" s="18">
        <f t="shared" ref="U443:U445" si="286">L443</f>
        <v>0</v>
      </c>
      <c r="V443" s="18">
        <f t="shared" ref="V443:V445" si="287">M443</f>
        <v>0</v>
      </c>
      <c r="W443" s="18">
        <f t="shared" ref="W443:W445" si="288">SUM(F443,N443)</f>
        <v>0</v>
      </c>
    </row>
    <row r="444" spans="1:23" x14ac:dyDescent="0.2">
      <c r="A444">
        <v>7373</v>
      </c>
      <c r="B444">
        <v>0</v>
      </c>
      <c r="C444">
        <v>0</v>
      </c>
      <c r="D444">
        <v>0</v>
      </c>
      <c r="E444">
        <v>0</v>
      </c>
      <c r="F444">
        <v>0</v>
      </c>
      <c r="G444">
        <v>0</v>
      </c>
      <c r="H444">
        <v>0</v>
      </c>
      <c r="I444">
        <v>0</v>
      </c>
      <c r="J444">
        <v>0</v>
      </c>
      <c r="K444">
        <v>0</v>
      </c>
      <c r="L444">
        <v>0</v>
      </c>
      <c r="M444">
        <v>0</v>
      </c>
      <c r="N444">
        <v>0</v>
      </c>
      <c r="P444" s="18">
        <f t="shared" si="281"/>
        <v>0</v>
      </c>
      <c r="Q444" s="18">
        <f t="shared" si="282"/>
        <v>0</v>
      </c>
      <c r="R444" s="18">
        <f t="shared" si="283"/>
        <v>0</v>
      </c>
      <c r="S444" s="18">
        <f t="shared" si="284"/>
        <v>0</v>
      </c>
      <c r="T444" s="18">
        <f t="shared" si="285"/>
        <v>0</v>
      </c>
      <c r="U444" s="18">
        <f t="shared" si="286"/>
        <v>0</v>
      </c>
      <c r="V444" s="18">
        <f t="shared" si="287"/>
        <v>0</v>
      </c>
      <c r="W444" s="18">
        <f t="shared" si="288"/>
        <v>0</v>
      </c>
    </row>
    <row r="445" spans="1:23" x14ac:dyDescent="0.2">
      <c r="A445">
        <v>7393</v>
      </c>
      <c r="B445">
        <v>0</v>
      </c>
      <c r="C445">
        <v>0</v>
      </c>
      <c r="D445">
        <v>0</v>
      </c>
      <c r="E445">
        <v>0</v>
      </c>
      <c r="F445">
        <v>0</v>
      </c>
      <c r="G445">
        <v>0</v>
      </c>
      <c r="H445">
        <v>0</v>
      </c>
      <c r="I445">
        <v>0</v>
      </c>
      <c r="J445">
        <v>0</v>
      </c>
      <c r="K445">
        <v>0</v>
      </c>
      <c r="L445">
        <v>0</v>
      </c>
      <c r="M445">
        <v>0</v>
      </c>
      <c r="N445">
        <v>0</v>
      </c>
      <c r="P445" s="18">
        <f t="shared" si="281"/>
        <v>0</v>
      </c>
      <c r="Q445" s="18">
        <f t="shared" si="282"/>
        <v>0</v>
      </c>
      <c r="R445" s="18">
        <f t="shared" si="283"/>
        <v>0</v>
      </c>
      <c r="S445" s="18">
        <f t="shared" si="284"/>
        <v>0</v>
      </c>
      <c r="T445" s="18">
        <f t="shared" si="285"/>
        <v>0</v>
      </c>
      <c r="U445" s="18">
        <f t="shared" si="286"/>
        <v>0</v>
      </c>
      <c r="V445" s="18">
        <f t="shared" si="287"/>
        <v>0</v>
      </c>
      <c r="W445" s="18">
        <f t="shared" si="288"/>
        <v>0</v>
      </c>
    </row>
    <row r="446" spans="1:23" x14ac:dyDescent="0.2">
      <c r="A446">
        <v>7407</v>
      </c>
      <c r="B446">
        <v>0</v>
      </c>
      <c r="C446">
        <v>0</v>
      </c>
      <c r="D446">
        <v>0</v>
      </c>
      <c r="E446">
        <v>0</v>
      </c>
      <c r="F446">
        <v>0</v>
      </c>
      <c r="G446">
        <v>0</v>
      </c>
      <c r="H446">
        <v>0</v>
      </c>
      <c r="I446">
        <v>0</v>
      </c>
      <c r="J446">
        <v>0</v>
      </c>
      <c r="K446">
        <v>0</v>
      </c>
      <c r="L446">
        <v>0</v>
      </c>
      <c r="M446">
        <v>0</v>
      </c>
      <c r="N446">
        <v>0</v>
      </c>
      <c r="P446" s="18">
        <f t="shared" ref="P446:P459" si="289">SUM(B446,G446)</f>
        <v>0</v>
      </c>
      <c r="Q446" s="18">
        <f t="shared" ref="Q446:Q459" si="290">SUM(C446,H446)</f>
        <v>0</v>
      </c>
      <c r="R446" s="18">
        <f t="shared" ref="R446:R459" si="291">SUM(D446,I446)</f>
        <v>0</v>
      </c>
      <c r="S446" s="18">
        <f t="shared" ref="S446:S459" si="292">SUM(E446,J446)</f>
        <v>0</v>
      </c>
      <c r="T446" s="18">
        <f t="shared" ref="T446:T459" si="293">K446</f>
        <v>0</v>
      </c>
      <c r="U446" s="18">
        <f t="shared" ref="U446:U459" si="294">L446</f>
        <v>0</v>
      </c>
      <c r="V446" s="18">
        <f t="shared" ref="V446:V459" si="295">M446</f>
        <v>0</v>
      </c>
      <c r="W446" s="18">
        <f t="shared" ref="W446:W459" si="296">SUM(F446,N446)</f>
        <v>0</v>
      </c>
    </row>
    <row r="447" spans="1:23" x14ac:dyDescent="0.2">
      <c r="A447">
        <v>7411</v>
      </c>
      <c r="B447">
        <v>0</v>
      </c>
      <c r="C447">
        <v>0</v>
      </c>
      <c r="D447">
        <v>0</v>
      </c>
      <c r="E447">
        <v>0</v>
      </c>
      <c r="F447">
        <v>0</v>
      </c>
      <c r="G447">
        <v>0</v>
      </c>
      <c r="H447">
        <v>0</v>
      </c>
      <c r="I447">
        <v>0</v>
      </c>
      <c r="J447">
        <v>0</v>
      </c>
      <c r="K447">
        <v>0</v>
      </c>
      <c r="L447">
        <v>0</v>
      </c>
      <c r="M447">
        <v>0</v>
      </c>
      <c r="N447">
        <v>0</v>
      </c>
      <c r="P447" s="18">
        <f t="shared" si="289"/>
        <v>0</v>
      </c>
      <c r="Q447" s="18">
        <f t="shared" si="290"/>
        <v>0</v>
      </c>
      <c r="R447" s="18">
        <f t="shared" si="291"/>
        <v>0</v>
      </c>
      <c r="S447" s="18">
        <f t="shared" si="292"/>
        <v>0</v>
      </c>
      <c r="T447" s="18">
        <f t="shared" si="293"/>
        <v>0</v>
      </c>
      <c r="U447" s="18">
        <f t="shared" si="294"/>
        <v>0</v>
      </c>
      <c r="V447" s="18">
        <f t="shared" si="295"/>
        <v>0</v>
      </c>
      <c r="W447" s="18">
        <f t="shared" si="296"/>
        <v>0</v>
      </c>
    </row>
    <row r="448" spans="1:23" x14ac:dyDescent="0.2">
      <c r="A448">
        <v>7409</v>
      </c>
      <c r="B448">
        <v>0</v>
      </c>
      <c r="C448">
        <v>0</v>
      </c>
      <c r="D448">
        <v>0</v>
      </c>
      <c r="E448">
        <v>0</v>
      </c>
      <c r="F448">
        <v>0</v>
      </c>
      <c r="G448">
        <v>0</v>
      </c>
      <c r="H448">
        <v>0</v>
      </c>
      <c r="I448">
        <v>0</v>
      </c>
      <c r="J448">
        <v>0</v>
      </c>
      <c r="K448">
        <v>0</v>
      </c>
      <c r="L448">
        <v>0</v>
      </c>
      <c r="M448">
        <v>0</v>
      </c>
      <c r="N448">
        <v>0</v>
      </c>
      <c r="P448" s="18">
        <f t="shared" si="289"/>
        <v>0</v>
      </c>
      <c r="Q448" s="18">
        <f t="shared" si="290"/>
        <v>0</v>
      </c>
      <c r="R448" s="18">
        <f t="shared" si="291"/>
        <v>0</v>
      </c>
      <c r="S448" s="18">
        <f t="shared" si="292"/>
        <v>0</v>
      </c>
      <c r="T448" s="18">
        <f t="shared" si="293"/>
        <v>0</v>
      </c>
      <c r="U448" s="18">
        <f t="shared" si="294"/>
        <v>0</v>
      </c>
      <c r="V448" s="18">
        <f t="shared" si="295"/>
        <v>0</v>
      </c>
      <c r="W448" s="18">
        <f t="shared" si="296"/>
        <v>0</v>
      </c>
    </row>
    <row r="449" spans="1:23" x14ac:dyDescent="0.2">
      <c r="A449">
        <v>7426</v>
      </c>
      <c r="B449">
        <v>0</v>
      </c>
      <c r="C449">
        <v>0</v>
      </c>
      <c r="D449">
        <v>0</v>
      </c>
      <c r="E449">
        <v>0</v>
      </c>
      <c r="F449">
        <v>0</v>
      </c>
      <c r="G449">
        <v>5.4900000000000001E-3</v>
      </c>
      <c r="H449">
        <v>1.83E-2</v>
      </c>
      <c r="I449">
        <v>0</v>
      </c>
      <c r="J449">
        <v>0</v>
      </c>
      <c r="K449">
        <v>0</v>
      </c>
      <c r="L449">
        <v>0</v>
      </c>
      <c r="M449">
        <v>0</v>
      </c>
      <c r="N449">
        <v>0</v>
      </c>
      <c r="P449" s="18">
        <f t="shared" si="289"/>
        <v>5.4900000000000001E-3</v>
      </c>
      <c r="Q449" s="18">
        <f t="shared" si="290"/>
        <v>1.83E-2</v>
      </c>
      <c r="R449" s="18">
        <f t="shared" si="291"/>
        <v>0</v>
      </c>
      <c r="S449" s="18">
        <f t="shared" si="292"/>
        <v>0</v>
      </c>
      <c r="T449" s="18">
        <f t="shared" si="293"/>
        <v>0</v>
      </c>
      <c r="U449" s="18">
        <f t="shared" si="294"/>
        <v>0</v>
      </c>
      <c r="V449" s="18">
        <f t="shared" si="295"/>
        <v>0</v>
      </c>
      <c r="W449" s="18">
        <f t="shared" si="296"/>
        <v>0</v>
      </c>
    </row>
    <row r="450" spans="1:23" x14ac:dyDescent="0.2">
      <c r="A450">
        <v>7352</v>
      </c>
      <c r="B450">
        <v>0</v>
      </c>
      <c r="C450">
        <v>0</v>
      </c>
      <c r="D450">
        <v>0</v>
      </c>
      <c r="E450">
        <v>0</v>
      </c>
      <c r="F450">
        <v>0</v>
      </c>
      <c r="G450">
        <v>0</v>
      </c>
      <c r="H450">
        <v>0</v>
      </c>
      <c r="I450">
        <v>0</v>
      </c>
      <c r="J450">
        <v>0</v>
      </c>
      <c r="K450">
        <v>0</v>
      </c>
      <c r="L450">
        <v>0</v>
      </c>
      <c r="M450">
        <v>0</v>
      </c>
      <c r="N450">
        <v>0</v>
      </c>
      <c r="P450" s="18">
        <f t="shared" si="289"/>
        <v>0</v>
      </c>
      <c r="Q450" s="18">
        <f t="shared" si="290"/>
        <v>0</v>
      </c>
      <c r="R450" s="18">
        <f t="shared" si="291"/>
        <v>0</v>
      </c>
      <c r="S450" s="18">
        <f t="shared" si="292"/>
        <v>0</v>
      </c>
      <c r="T450" s="18">
        <f t="shared" si="293"/>
        <v>0</v>
      </c>
      <c r="U450" s="18">
        <f t="shared" si="294"/>
        <v>0</v>
      </c>
      <c r="V450" s="18">
        <f t="shared" si="295"/>
        <v>0</v>
      </c>
      <c r="W450" s="18">
        <f t="shared" si="296"/>
        <v>0</v>
      </c>
    </row>
    <row r="451" spans="1:23" x14ac:dyDescent="0.2">
      <c r="A451">
        <v>7389</v>
      </c>
      <c r="B451">
        <v>0</v>
      </c>
      <c r="C451">
        <v>0</v>
      </c>
      <c r="D451">
        <v>0</v>
      </c>
      <c r="E451">
        <v>0</v>
      </c>
      <c r="F451">
        <v>0</v>
      </c>
      <c r="G451">
        <v>0</v>
      </c>
      <c r="H451">
        <v>0</v>
      </c>
      <c r="I451">
        <v>0</v>
      </c>
      <c r="J451">
        <v>0</v>
      </c>
      <c r="K451">
        <v>0</v>
      </c>
      <c r="L451">
        <v>0</v>
      </c>
      <c r="M451">
        <v>0</v>
      </c>
      <c r="N451">
        <v>0</v>
      </c>
      <c r="P451" s="18">
        <f t="shared" si="289"/>
        <v>0</v>
      </c>
      <c r="Q451" s="18">
        <f t="shared" si="290"/>
        <v>0</v>
      </c>
      <c r="R451" s="18">
        <f t="shared" si="291"/>
        <v>0</v>
      </c>
      <c r="S451" s="18">
        <f t="shared" si="292"/>
        <v>0</v>
      </c>
      <c r="T451" s="18">
        <f t="shared" si="293"/>
        <v>0</v>
      </c>
      <c r="U451" s="18">
        <f t="shared" si="294"/>
        <v>0</v>
      </c>
      <c r="V451" s="18">
        <f t="shared" si="295"/>
        <v>0</v>
      </c>
      <c r="W451" s="18">
        <f t="shared" si="296"/>
        <v>0</v>
      </c>
    </row>
    <row r="452" spans="1:23" x14ac:dyDescent="0.2">
      <c r="A452">
        <v>6542</v>
      </c>
      <c r="B452">
        <v>0</v>
      </c>
      <c r="C452">
        <v>0</v>
      </c>
      <c r="D452">
        <v>0</v>
      </c>
      <c r="E452">
        <v>0</v>
      </c>
      <c r="F452">
        <v>0</v>
      </c>
      <c r="G452">
        <v>0</v>
      </c>
      <c r="H452">
        <v>0</v>
      </c>
      <c r="I452">
        <v>0</v>
      </c>
      <c r="J452">
        <v>0</v>
      </c>
      <c r="K452">
        <v>0</v>
      </c>
      <c r="L452">
        <v>0</v>
      </c>
      <c r="M452">
        <v>0</v>
      </c>
      <c r="N452">
        <v>0</v>
      </c>
      <c r="P452" s="18">
        <f t="shared" si="289"/>
        <v>0</v>
      </c>
      <c r="Q452" s="18">
        <f t="shared" si="290"/>
        <v>0</v>
      </c>
      <c r="R452" s="18">
        <f t="shared" si="291"/>
        <v>0</v>
      </c>
      <c r="S452" s="18">
        <f t="shared" si="292"/>
        <v>0</v>
      </c>
      <c r="T452" s="18">
        <f t="shared" si="293"/>
        <v>0</v>
      </c>
      <c r="U452" s="18">
        <f t="shared" si="294"/>
        <v>0</v>
      </c>
      <c r="V452" s="18">
        <f t="shared" si="295"/>
        <v>0</v>
      </c>
      <c r="W452" s="18">
        <f t="shared" si="296"/>
        <v>0</v>
      </c>
    </row>
    <row r="453" spans="1:23" x14ac:dyDescent="0.2">
      <c r="A453">
        <v>7436</v>
      </c>
      <c r="B453">
        <v>0</v>
      </c>
      <c r="C453">
        <v>0</v>
      </c>
      <c r="D453">
        <v>0</v>
      </c>
      <c r="E453">
        <v>0</v>
      </c>
      <c r="F453">
        <v>0</v>
      </c>
      <c r="G453">
        <v>0</v>
      </c>
      <c r="H453">
        <v>0</v>
      </c>
      <c r="I453">
        <v>0</v>
      </c>
      <c r="J453">
        <v>0</v>
      </c>
      <c r="K453">
        <v>0</v>
      </c>
      <c r="L453">
        <v>0</v>
      </c>
      <c r="M453">
        <v>0</v>
      </c>
      <c r="N453">
        <v>0</v>
      </c>
      <c r="P453" s="18">
        <f t="shared" si="289"/>
        <v>0</v>
      </c>
      <c r="Q453" s="18">
        <f t="shared" si="290"/>
        <v>0</v>
      </c>
      <c r="R453" s="18">
        <f t="shared" si="291"/>
        <v>0</v>
      </c>
      <c r="S453" s="18">
        <f t="shared" si="292"/>
        <v>0</v>
      </c>
      <c r="T453" s="18">
        <f t="shared" si="293"/>
        <v>0</v>
      </c>
      <c r="U453" s="18">
        <f t="shared" si="294"/>
        <v>0</v>
      </c>
      <c r="V453" s="18">
        <f t="shared" si="295"/>
        <v>0</v>
      </c>
      <c r="W453" s="18">
        <f t="shared" si="296"/>
        <v>0</v>
      </c>
    </row>
    <row r="454" spans="1:23" x14ac:dyDescent="0.2">
      <c r="A454">
        <v>7482</v>
      </c>
      <c r="B454">
        <v>0</v>
      </c>
      <c r="C454">
        <v>0</v>
      </c>
      <c r="D454">
        <v>0</v>
      </c>
      <c r="E454">
        <v>0</v>
      </c>
      <c r="F454">
        <v>0</v>
      </c>
      <c r="G454">
        <v>0</v>
      </c>
      <c r="H454">
        <v>0</v>
      </c>
      <c r="I454">
        <v>0</v>
      </c>
      <c r="J454">
        <v>0</v>
      </c>
      <c r="K454">
        <v>0</v>
      </c>
      <c r="L454">
        <v>0</v>
      </c>
      <c r="M454">
        <v>0</v>
      </c>
      <c r="N454">
        <v>0</v>
      </c>
      <c r="P454" s="18">
        <f t="shared" si="289"/>
        <v>0</v>
      </c>
      <c r="Q454" s="18">
        <f t="shared" si="290"/>
        <v>0</v>
      </c>
      <c r="R454" s="18">
        <f t="shared" si="291"/>
        <v>0</v>
      </c>
      <c r="S454" s="18">
        <f t="shared" si="292"/>
        <v>0</v>
      </c>
      <c r="T454" s="18">
        <f t="shared" si="293"/>
        <v>0</v>
      </c>
      <c r="U454" s="18">
        <f t="shared" si="294"/>
        <v>0</v>
      </c>
      <c r="V454" s="18">
        <f t="shared" si="295"/>
        <v>0</v>
      </c>
      <c r="W454" s="18">
        <f t="shared" si="296"/>
        <v>0</v>
      </c>
    </row>
    <row r="455" spans="1:23" x14ac:dyDescent="0.2">
      <c r="A455">
        <v>7485</v>
      </c>
      <c r="B455">
        <v>0</v>
      </c>
      <c r="C455">
        <v>0</v>
      </c>
      <c r="D455">
        <v>0</v>
      </c>
      <c r="E455">
        <v>0</v>
      </c>
      <c r="F455">
        <v>0</v>
      </c>
      <c r="G455">
        <v>0</v>
      </c>
      <c r="H455">
        <v>0</v>
      </c>
      <c r="I455">
        <v>0</v>
      </c>
      <c r="J455">
        <v>0</v>
      </c>
      <c r="K455">
        <v>0</v>
      </c>
      <c r="L455">
        <v>0</v>
      </c>
      <c r="M455">
        <v>0</v>
      </c>
      <c r="N455">
        <v>0</v>
      </c>
      <c r="P455" s="18">
        <f t="shared" si="289"/>
        <v>0</v>
      </c>
      <c r="Q455" s="18">
        <f t="shared" si="290"/>
        <v>0</v>
      </c>
      <c r="R455" s="18">
        <f t="shared" si="291"/>
        <v>0</v>
      </c>
      <c r="S455" s="18">
        <f t="shared" si="292"/>
        <v>0</v>
      </c>
      <c r="T455" s="18">
        <f t="shared" si="293"/>
        <v>0</v>
      </c>
      <c r="U455" s="18">
        <f t="shared" si="294"/>
        <v>0</v>
      </c>
      <c r="V455" s="18">
        <f t="shared" si="295"/>
        <v>0</v>
      </c>
      <c r="W455" s="18">
        <f t="shared" si="296"/>
        <v>0</v>
      </c>
    </row>
    <row r="456" spans="1:23" x14ac:dyDescent="0.2">
      <c r="A456">
        <v>7486</v>
      </c>
      <c r="B456">
        <v>0</v>
      </c>
      <c r="C456">
        <v>0</v>
      </c>
      <c r="D456">
        <v>0</v>
      </c>
      <c r="E456">
        <v>0</v>
      </c>
      <c r="F456">
        <v>0</v>
      </c>
      <c r="G456">
        <v>0</v>
      </c>
      <c r="H456">
        <v>0</v>
      </c>
      <c r="I456">
        <v>0</v>
      </c>
      <c r="J456">
        <v>0</v>
      </c>
      <c r="K456">
        <v>0</v>
      </c>
      <c r="L456">
        <v>0</v>
      </c>
      <c r="M456">
        <v>0</v>
      </c>
      <c r="N456">
        <v>0</v>
      </c>
      <c r="P456" s="18">
        <f t="shared" si="289"/>
        <v>0</v>
      </c>
      <c r="Q456" s="18">
        <f t="shared" si="290"/>
        <v>0</v>
      </c>
      <c r="R456" s="18">
        <f t="shared" si="291"/>
        <v>0</v>
      </c>
      <c r="S456" s="18">
        <f t="shared" si="292"/>
        <v>0</v>
      </c>
      <c r="T456" s="18">
        <f t="shared" si="293"/>
        <v>0</v>
      </c>
      <c r="U456" s="18">
        <f t="shared" si="294"/>
        <v>0</v>
      </c>
      <c r="V456" s="18">
        <f t="shared" si="295"/>
        <v>0</v>
      </c>
      <c r="W456" s="18">
        <f t="shared" si="296"/>
        <v>0</v>
      </c>
    </row>
    <row r="457" spans="1:23" x14ac:dyDescent="0.2">
      <c r="A457">
        <v>7488</v>
      </c>
      <c r="B457">
        <v>0</v>
      </c>
      <c r="C457">
        <v>0</v>
      </c>
      <c r="D457">
        <v>0</v>
      </c>
      <c r="E457">
        <v>0</v>
      </c>
      <c r="F457">
        <v>0</v>
      </c>
      <c r="G457">
        <v>0</v>
      </c>
      <c r="H457">
        <v>0</v>
      </c>
      <c r="I457">
        <v>0</v>
      </c>
      <c r="J457">
        <v>0</v>
      </c>
      <c r="K457">
        <v>0</v>
      </c>
      <c r="L457">
        <v>0</v>
      </c>
      <c r="M457">
        <v>0</v>
      </c>
      <c r="N457">
        <v>0</v>
      </c>
      <c r="P457" s="18">
        <f t="shared" si="289"/>
        <v>0</v>
      </c>
      <c r="Q457" s="18">
        <f t="shared" si="290"/>
        <v>0</v>
      </c>
      <c r="R457" s="18">
        <f t="shared" si="291"/>
        <v>0</v>
      </c>
      <c r="S457" s="18">
        <f t="shared" si="292"/>
        <v>0</v>
      </c>
      <c r="T457" s="18">
        <f t="shared" si="293"/>
        <v>0</v>
      </c>
      <c r="U457" s="18">
        <f t="shared" si="294"/>
        <v>0</v>
      </c>
      <c r="V457" s="18">
        <f t="shared" si="295"/>
        <v>0</v>
      </c>
      <c r="W457" s="18">
        <f t="shared" si="296"/>
        <v>0</v>
      </c>
    </row>
    <row r="458" spans="1:23" x14ac:dyDescent="0.2">
      <c r="A458">
        <v>7495</v>
      </c>
      <c r="B458">
        <v>0</v>
      </c>
      <c r="C458">
        <v>0</v>
      </c>
      <c r="D458">
        <v>0</v>
      </c>
      <c r="E458">
        <v>0</v>
      </c>
      <c r="F458">
        <v>0</v>
      </c>
      <c r="G458">
        <v>0</v>
      </c>
      <c r="H458">
        <v>0</v>
      </c>
      <c r="I458">
        <v>0</v>
      </c>
      <c r="J458">
        <v>0</v>
      </c>
      <c r="K458">
        <v>0</v>
      </c>
      <c r="L458">
        <v>0</v>
      </c>
      <c r="M458">
        <v>0</v>
      </c>
      <c r="N458">
        <v>0</v>
      </c>
      <c r="P458" s="18">
        <f t="shared" si="289"/>
        <v>0</v>
      </c>
      <c r="Q458" s="18">
        <f t="shared" si="290"/>
        <v>0</v>
      </c>
      <c r="R458" s="18">
        <f t="shared" si="291"/>
        <v>0</v>
      </c>
      <c r="S458" s="18">
        <f t="shared" si="292"/>
        <v>0</v>
      </c>
      <c r="T458" s="18">
        <f t="shared" si="293"/>
        <v>0</v>
      </c>
      <c r="U458" s="18">
        <f t="shared" si="294"/>
        <v>0</v>
      </c>
      <c r="V458" s="18">
        <f t="shared" si="295"/>
        <v>0</v>
      </c>
      <c r="W458" s="18">
        <f t="shared" si="296"/>
        <v>0</v>
      </c>
    </row>
    <row r="459" spans="1:23" x14ac:dyDescent="0.2">
      <c r="A459">
        <v>7491</v>
      </c>
      <c r="B459">
        <v>0</v>
      </c>
      <c r="C459">
        <v>0</v>
      </c>
      <c r="D459">
        <v>0</v>
      </c>
      <c r="E459">
        <v>0</v>
      </c>
      <c r="F459">
        <v>0</v>
      </c>
      <c r="G459">
        <v>0</v>
      </c>
      <c r="H459">
        <v>0</v>
      </c>
      <c r="I459">
        <v>0</v>
      </c>
      <c r="J459">
        <v>0</v>
      </c>
      <c r="K459">
        <v>0</v>
      </c>
      <c r="L459">
        <v>0</v>
      </c>
      <c r="M459">
        <v>0</v>
      </c>
      <c r="N459">
        <v>0</v>
      </c>
      <c r="P459" s="18">
        <f t="shared" si="289"/>
        <v>0</v>
      </c>
      <c r="Q459" s="18">
        <f t="shared" si="290"/>
        <v>0</v>
      </c>
      <c r="R459" s="18">
        <f t="shared" si="291"/>
        <v>0</v>
      </c>
      <c r="S459" s="18">
        <f t="shared" si="292"/>
        <v>0</v>
      </c>
      <c r="T459" s="18">
        <f t="shared" si="293"/>
        <v>0</v>
      </c>
      <c r="U459" s="18">
        <f t="shared" si="294"/>
        <v>0</v>
      </c>
      <c r="V459" s="18">
        <f t="shared" si="295"/>
        <v>0</v>
      </c>
      <c r="W459" s="18">
        <f t="shared" si="296"/>
        <v>0</v>
      </c>
    </row>
    <row r="460" spans="1:23" x14ac:dyDescent="0.2">
      <c r="A460">
        <v>7330</v>
      </c>
      <c r="B460">
        <v>0</v>
      </c>
      <c r="C460">
        <v>0</v>
      </c>
      <c r="D460">
        <v>0</v>
      </c>
      <c r="E460">
        <v>0</v>
      </c>
      <c r="F460">
        <v>0</v>
      </c>
      <c r="G460">
        <v>0</v>
      </c>
      <c r="H460">
        <v>0</v>
      </c>
      <c r="I460">
        <v>0</v>
      </c>
      <c r="J460">
        <v>0</v>
      </c>
      <c r="K460">
        <v>0</v>
      </c>
      <c r="L460">
        <v>0</v>
      </c>
      <c r="M460">
        <v>0</v>
      </c>
      <c r="N460">
        <v>0</v>
      </c>
      <c r="P460" s="18">
        <f t="shared" ref="P460:P480" si="297">SUM(B460,G460)</f>
        <v>0</v>
      </c>
      <c r="Q460" s="18">
        <f t="shared" ref="Q460:Q480" si="298">SUM(C460,H460)</f>
        <v>0</v>
      </c>
      <c r="R460" s="18">
        <f t="shared" ref="R460:R480" si="299">SUM(D460,I460)</f>
        <v>0</v>
      </c>
      <c r="S460" s="18">
        <f t="shared" ref="S460:S480" si="300">SUM(E460,J460)</f>
        <v>0</v>
      </c>
      <c r="T460" s="18">
        <f t="shared" ref="T460:T480" si="301">K460</f>
        <v>0</v>
      </c>
      <c r="U460" s="18">
        <f t="shared" ref="U460:U480" si="302">L460</f>
        <v>0</v>
      </c>
      <c r="V460" s="18">
        <f t="shared" ref="V460:V480" si="303">M460</f>
        <v>0</v>
      </c>
      <c r="W460" s="18">
        <f t="shared" ref="W460:W480" si="304">SUM(F460,N460)</f>
        <v>0</v>
      </c>
    </row>
    <row r="461" spans="1:23" x14ac:dyDescent="0.2">
      <c r="A461">
        <v>7508</v>
      </c>
      <c r="B461">
        <v>0</v>
      </c>
      <c r="C461">
        <v>0</v>
      </c>
      <c r="D461">
        <v>0</v>
      </c>
      <c r="E461">
        <v>0</v>
      </c>
      <c r="F461">
        <v>0</v>
      </c>
      <c r="G461">
        <v>0</v>
      </c>
      <c r="H461">
        <v>0</v>
      </c>
      <c r="I461">
        <v>0</v>
      </c>
      <c r="J461">
        <v>0</v>
      </c>
      <c r="K461">
        <v>0</v>
      </c>
      <c r="L461">
        <v>0</v>
      </c>
      <c r="M461">
        <v>0</v>
      </c>
      <c r="N461">
        <v>0</v>
      </c>
      <c r="P461" s="18">
        <f t="shared" si="297"/>
        <v>0</v>
      </c>
      <c r="Q461" s="18">
        <f t="shared" si="298"/>
        <v>0</v>
      </c>
      <c r="R461" s="18">
        <f t="shared" si="299"/>
        <v>0</v>
      </c>
      <c r="S461" s="18">
        <f t="shared" si="300"/>
        <v>0</v>
      </c>
      <c r="T461" s="18">
        <f t="shared" si="301"/>
        <v>0</v>
      </c>
      <c r="U461" s="18">
        <f t="shared" si="302"/>
        <v>0</v>
      </c>
      <c r="V461" s="18">
        <f t="shared" si="303"/>
        <v>0</v>
      </c>
      <c r="W461" s="18">
        <f t="shared" si="304"/>
        <v>0</v>
      </c>
    </row>
    <row r="462" spans="1:23" x14ac:dyDescent="0.2">
      <c r="A462">
        <v>7509</v>
      </c>
      <c r="B462">
        <v>0</v>
      </c>
      <c r="C462">
        <v>0</v>
      </c>
      <c r="D462">
        <v>0</v>
      </c>
      <c r="E462">
        <v>0</v>
      </c>
      <c r="F462">
        <v>0</v>
      </c>
      <c r="G462">
        <v>0</v>
      </c>
      <c r="H462">
        <v>0</v>
      </c>
      <c r="I462">
        <v>0</v>
      </c>
      <c r="J462">
        <v>0</v>
      </c>
      <c r="K462">
        <v>0</v>
      </c>
      <c r="L462">
        <v>0</v>
      </c>
      <c r="M462">
        <v>0</v>
      </c>
      <c r="N462">
        <v>0</v>
      </c>
      <c r="P462" s="18">
        <f t="shared" si="297"/>
        <v>0</v>
      </c>
      <c r="Q462" s="18">
        <f t="shared" si="298"/>
        <v>0</v>
      </c>
      <c r="R462" s="18">
        <f t="shared" si="299"/>
        <v>0</v>
      </c>
      <c r="S462" s="18">
        <f t="shared" si="300"/>
        <v>0</v>
      </c>
      <c r="T462" s="18">
        <f t="shared" si="301"/>
        <v>0</v>
      </c>
      <c r="U462" s="18">
        <f t="shared" si="302"/>
        <v>0</v>
      </c>
      <c r="V462" s="18">
        <f t="shared" si="303"/>
        <v>0</v>
      </c>
      <c r="W462" s="18">
        <f t="shared" si="304"/>
        <v>0</v>
      </c>
    </row>
    <row r="463" spans="1:23" x14ac:dyDescent="0.2">
      <c r="A463">
        <v>7516</v>
      </c>
      <c r="B463">
        <v>0</v>
      </c>
      <c r="C463">
        <v>0</v>
      </c>
      <c r="D463">
        <v>0</v>
      </c>
      <c r="E463">
        <v>0</v>
      </c>
      <c r="F463">
        <v>0</v>
      </c>
      <c r="G463">
        <v>0</v>
      </c>
      <c r="H463">
        <v>0</v>
      </c>
      <c r="I463">
        <v>0</v>
      </c>
      <c r="J463">
        <v>0</v>
      </c>
      <c r="K463">
        <v>0</v>
      </c>
      <c r="L463">
        <v>0</v>
      </c>
      <c r="M463">
        <v>0</v>
      </c>
      <c r="N463">
        <v>0</v>
      </c>
      <c r="P463" s="18">
        <f t="shared" si="297"/>
        <v>0</v>
      </c>
      <c r="Q463" s="18">
        <f t="shared" si="298"/>
        <v>0</v>
      </c>
      <c r="R463" s="18">
        <f t="shared" si="299"/>
        <v>0</v>
      </c>
      <c r="S463" s="18">
        <f t="shared" si="300"/>
        <v>0</v>
      </c>
      <c r="T463" s="18">
        <f t="shared" si="301"/>
        <v>0</v>
      </c>
      <c r="U463" s="18">
        <f t="shared" si="302"/>
        <v>0</v>
      </c>
      <c r="V463" s="18">
        <f t="shared" si="303"/>
        <v>0</v>
      </c>
      <c r="W463" s="18">
        <f t="shared" si="304"/>
        <v>0</v>
      </c>
    </row>
    <row r="464" spans="1:23" x14ac:dyDescent="0.2">
      <c r="A464">
        <v>7517</v>
      </c>
      <c r="B464">
        <v>0</v>
      </c>
      <c r="C464">
        <v>0</v>
      </c>
      <c r="D464">
        <v>0</v>
      </c>
      <c r="E464">
        <v>0</v>
      </c>
      <c r="F464">
        <v>0</v>
      </c>
      <c r="G464">
        <v>0</v>
      </c>
      <c r="H464">
        <v>0</v>
      </c>
      <c r="I464">
        <v>0</v>
      </c>
      <c r="J464">
        <v>0</v>
      </c>
      <c r="K464">
        <v>0</v>
      </c>
      <c r="L464">
        <v>0</v>
      </c>
      <c r="M464">
        <v>0</v>
      </c>
      <c r="N464">
        <v>0</v>
      </c>
      <c r="P464" s="18">
        <f t="shared" si="297"/>
        <v>0</v>
      </c>
      <c r="Q464" s="18">
        <f t="shared" si="298"/>
        <v>0</v>
      </c>
      <c r="R464" s="18">
        <f t="shared" si="299"/>
        <v>0</v>
      </c>
      <c r="S464" s="18">
        <f t="shared" si="300"/>
        <v>0</v>
      </c>
      <c r="T464" s="18">
        <f t="shared" si="301"/>
        <v>0</v>
      </c>
      <c r="U464" s="18">
        <f t="shared" si="302"/>
        <v>0</v>
      </c>
      <c r="V464" s="18">
        <f t="shared" si="303"/>
        <v>0</v>
      </c>
      <c r="W464" s="18">
        <f t="shared" si="304"/>
        <v>0</v>
      </c>
    </row>
    <row r="465" spans="1:23" x14ac:dyDescent="0.2">
      <c r="A465">
        <v>7187</v>
      </c>
      <c r="B465">
        <v>0</v>
      </c>
      <c r="C465">
        <v>0</v>
      </c>
      <c r="D465">
        <v>0</v>
      </c>
      <c r="E465">
        <v>0</v>
      </c>
      <c r="F465">
        <v>0</v>
      </c>
      <c r="G465">
        <v>0</v>
      </c>
      <c r="H465">
        <v>0</v>
      </c>
      <c r="I465">
        <v>0</v>
      </c>
      <c r="J465">
        <v>0</v>
      </c>
      <c r="K465">
        <v>0</v>
      </c>
      <c r="L465">
        <v>0</v>
      </c>
      <c r="M465">
        <v>0</v>
      </c>
      <c r="N465">
        <v>0</v>
      </c>
      <c r="P465" s="18">
        <f t="shared" si="297"/>
        <v>0</v>
      </c>
      <c r="Q465" s="18">
        <f t="shared" si="298"/>
        <v>0</v>
      </c>
      <c r="R465" s="18">
        <f t="shared" si="299"/>
        <v>0</v>
      </c>
      <c r="S465" s="18">
        <f t="shared" si="300"/>
        <v>0</v>
      </c>
      <c r="T465" s="18">
        <f t="shared" si="301"/>
        <v>0</v>
      </c>
      <c r="U465" s="18">
        <f t="shared" si="302"/>
        <v>0</v>
      </c>
      <c r="V465" s="18">
        <f t="shared" si="303"/>
        <v>0</v>
      </c>
      <c r="W465" s="18">
        <f t="shared" si="304"/>
        <v>0</v>
      </c>
    </row>
    <row r="466" spans="1:23" x14ac:dyDescent="0.2">
      <c r="A466">
        <v>7427</v>
      </c>
      <c r="B466">
        <v>0</v>
      </c>
      <c r="C466">
        <v>0</v>
      </c>
      <c r="D466">
        <v>0</v>
      </c>
      <c r="E466">
        <v>0</v>
      </c>
      <c r="F466">
        <v>0</v>
      </c>
      <c r="G466">
        <v>0</v>
      </c>
      <c r="H466">
        <v>0</v>
      </c>
      <c r="I466">
        <v>0</v>
      </c>
      <c r="J466">
        <v>0</v>
      </c>
      <c r="K466">
        <v>0</v>
      </c>
      <c r="L466">
        <v>0</v>
      </c>
      <c r="M466">
        <v>0</v>
      </c>
      <c r="N466">
        <v>0</v>
      </c>
      <c r="P466" s="18">
        <f t="shared" si="297"/>
        <v>0</v>
      </c>
      <c r="Q466" s="18">
        <f t="shared" si="298"/>
        <v>0</v>
      </c>
      <c r="R466" s="18">
        <f t="shared" si="299"/>
        <v>0</v>
      </c>
      <c r="S466" s="18">
        <f t="shared" si="300"/>
        <v>0</v>
      </c>
      <c r="T466" s="18">
        <f t="shared" si="301"/>
        <v>0</v>
      </c>
      <c r="U466" s="18">
        <f t="shared" si="302"/>
        <v>0</v>
      </c>
      <c r="V466" s="18">
        <f t="shared" si="303"/>
        <v>0</v>
      </c>
      <c r="W466" s="18">
        <f t="shared" si="304"/>
        <v>0</v>
      </c>
    </row>
    <row r="467" spans="1:23" x14ac:dyDescent="0.2">
      <c r="A467">
        <v>7458</v>
      </c>
      <c r="B467">
        <v>0</v>
      </c>
      <c r="C467">
        <v>0</v>
      </c>
      <c r="D467">
        <v>0</v>
      </c>
      <c r="E467">
        <v>0</v>
      </c>
      <c r="F467">
        <v>0</v>
      </c>
      <c r="G467">
        <v>0</v>
      </c>
      <c r="H467">
        <v>0</v>
      </c>
      <c r="I467">
        <v>0</v>
      </c>
      <c r="J467">
        <v>0</v>
      </c>
      <c r="K467">
        <v>0</v>
      </c>
      <c r="L467">
        <v>0</v>
      </c>
      <c r="M467">
        <v>0</v>
      </c>
      <c r="N467">
        <v>0</v>
      </c>
      <c r="P467" s="18">
        <f t="shared" si="297"/>
        <v>0</v>
      </c>
      <c r="Q467" s="18">
        <f t="shared" si="298"/>
        <v>0</v>
      </c>
      <c r="R467" s="18">
        <f t="shared" si="299"/>
        <v>0</v>
      </c>
      <c r="S467" s="18">
        <f t="shared" si="300"/>
        <v>0</v>
      </c>
      <c r="T467" s="18">
        <f t="shared" si="301"/>
        <v>0</v>
      </c>
      <c r="U467" s="18">
        <f t="shared" si="302"/>
        <v>0</v>
      </c>
      <c r="V467" s="18">
        <f t="shared" si="303"/>
        <v>0</v>
      </c>
      <c r="W467" s="18">
        <f t="shared" si="304"/>
        <v>0</v>
      </c>
    </row>
    <row r="468" spans="1:23" x14ac:dyDescent="0.2">
      <c r="A468">
        <v>7397</v>
      </c>
      <c r="B468">
        <v>0</v>
      </c>
      <c r="C468">
        <v>0</v>
      </c>
      <c r="D468">
        <v>0</v>
      </c>
      <c r="E468">
        <v>0</v>
      </c>
      <c r="F468">
        <v>0</v>
      </c>
      <c r="G468">
        <v>0</v>
      </c>
      <c r="H468">
        <v>0</v>
      </c>
      <c r="I468">
        <v>0</v>
      </c>
      <c r="J468">
        <v>0</v>
      </c>
      <c r="K468">
        <v>0</v>
      </c>
      <c r="L468">
        <v>0</v>
      </c>
      <c r="M468">
        <v>0</v>
      </c>
      <c r="N468">
        <v>0</v>
      </c>
      <c r="P468" s="18">
        <f t="shared" si="297"/>
        <v>0</v>
      </c>
      <c r="Q468" s="18">
        <f t="shared" si="298"/>
        <v>0</v>
      </c>
      <c r="R468" s="18">
        <f t="shared" si="299"/>
        <v>0</v>
      </c>
      <c r="S468" s="18">
        <f t="shared" si="300"/>
        <v>0</v>
      </c>
      <c r="T468" s="18">
        <f t="shared" si="301"/>
        <v>0</v>
      </c>
      <c r="U468" s="18">
        <f t="shared" si="302"/>
        <v>0</v>
      </c>
      <c r="V468" s="18">
        <f t="shared" si="303"/>
        <v>0</v>
      </c>
      <c r="W468" s="18">
        <f t="shared" si="304"/>
        <v>0</v>
      </c>
    </row>
    <row r="469" spans="1:23" x14ac:dyDescent="0.2">
      <c r="A469">
        <v>7559</v>
      </c>
      <c r="B469">
        <v>0</v>
      </c>
      <c r="C469">
        <v>0</v>
      </c>
      <c r="D469">
        <v>0</v>
      </c>
      <c r="E469">
        <v>0</v>
      </c>
      <c r="F469">
        <v>0</v>
      </c>
      <c r="G469">
        <v>0</v>
      </c>
      <c r="H469">
        <v>0</v>
      </c>
      <c r="I469">
        <v>0</v>
      </c>
      <c r="J469">
        <v>0</v>
      </c>
      <c r="K469">
        <v>0</v>
      </c>
      <c r="L469">
        <v>0</v>
      </c>
      <c r="M469">
        <v>0</v>
      </c>
      <c r="N469">
        <v>0</v>
      </c>
      <c r="P469" s="18">
        <f t="shared" si="297"/>
        <v>0</v>
      </c>
      <c r="Q469" s="18">
        <f t="shared" si="298"/>
        <v>0</v>
      </c>
      <c r="R469" s="18">
        <f t="shared" si="299"/>
        <v>0</v>
      </c>
      <c r="S469" s="18">
        <f t="shared" si="300"/>
        <v>0</v>
      </c>
      <c r="T469" s="18">
        <f t="shared" si="301"/>
        <v>0</v>
      </c>
      <c r="U469" s="18">
        <f t="shared" si="302"/>
        <v>0</v>
      </c>
      <c r="V469" s="18">
        <f t="shared" si="303"/>
        <v>0</v>
      </c>
      <c r="W469" s="18">
        <f t="shared" si="304"/>
        <v>0</v>
      </c>
    </row>
    <row r="470" spans="1:23" x14ac:dyDescent="0.2">
      <c r="A470">
        <v>7560</v>
      </c>
      <c r="B470">
        <v>0</v>
      </c>
      <c r="C470">
        <v>0</v>
      </c>
      <c r="D470">
        <v>0</v>
      </c>
      <c r="E470">
        <v>0</v>
      </c>
      <c r="F470">
        <v>0</v>
      </c>
      <c r="G470">
        <v>0</v>
      </c>
      <c r="H470">
        <v>0</v>
      </c>
      <c r="I470">
        <v>0</v>
      </c>
      <c r="J470">
        <v>0</v>
      </c>
      <c r="K470">
        <v>0</v>
      </c>
      <c r="L470">
        <v>0</v>
      </c>
      <c r="M470">
        <v>0</v>
      </c>
      <c r="N470">
        <v>0</v>
      </c>
      <c r="P470" s="18">
        <f t="shared" si="297"/>
        <v>0</v>
      </c>
      <c r="Q470" s="18">
        <f t="shared" si="298"/>
        <v>0</v>
      </c>
      <c r="R470" s="18">
        <f t="shared" si="299"/>
        <v>0</v>
      </c>
      <c r="S470" s="18">
        <f t="shared" si="300"/>
        <v>0</v>
      </c>
      <c r="T470" s="18">
        <f t="shared" si="301"/>
        <v>0</v>
      </c>
      <c r="U470" s="18">
        <f t="shared" si="302"/>
        <v>0</v>
      </c>
      <c r="V470" s="18">
        <f t="shared" si="303"/>
        <v>0</v>
      </c>
      <c r="W470" s="18">
        <f t="shared" si="304"/>
        <v>0</v>
      </c>
    </row>
    <row r="471" spans="1:23" x14ac:dyDescent="0.2">
      <c r="A471">
        <v>7561</v>
      </c>
      <c r="B471">
        <v>0</v>
      </c>
      <c r="C471">
        <v>0</v>
      </c>
      <c r="D471">
        <v>0</v>
      </c>
      <c r="E471">
        <v>0</v>
      </c>
      <c r="F471">
        <v>0</v>
      </c>
      <c r="G471">
        <v>0</v>
      </c>
      <c r="H471">
        <v>0</v>
      </c>
      <c r="I471">
        <v>0</v>
      </c>
      <c r="J471">
        <v>0</v>
      </c>
      <c r="K471">
        <v>0</v>
      </c>
      <c r="L471">
        <v>0</v>
      </c>
      <c r="M471">
        <v>0</v>
      </c>
      <c r="N471">
        <v>0</v>
      </c>
      <c r="P471" s="18">
        <f t="shared" si="297"/>
        <v>0</v>
      </c>
      <c r="Q471" s="18">
        <f t="shared" si="298"/>
        <v>0</v>
      </c>
      <c r="R471" s="18">
        <f t="shared" si="299"/>
        <v>0</v>
      </c>
      <c r="S471" s="18">
        <f t="shared" si="300"/>
        <v>0</v>
      </c>
      <c r="T471" s="18">
        <f t="shared" si="301"/>
        <v>0</v>
      </c>
      <c r="U471" s="18">
        <f t="shared" si="302"/>
        <v>0</v>
      </c>
      <c r="V471" s="18">
        <f t="shared" si="303"/>
        <v>0</v>
      </c>
      <c r="W471" s="18">
        <f t="shared" si="304"/>
        <v>0</v>
      </c>
    </row>
    <row r="472" spans="1:23" x14ac:dyDescent="0.2">
      <c r="A472">
        <v>7565</v>
      </c>
      <c r="B472">
        <v>0</v>
      </c>
      <c r="C472">
        <v>0</v>
      </c>
      <c r="D472">
        <v>0</v>
      </c>
      <c r="E472">
        <v>0</v>
      </c>
      <c r="F472">
        <v>0</v>
      </c>
      <c r="G472">
        <v>0</v>
      </c>
      <c r="H472">
        <v>0</v>
      </c>
      <c r="I472">
        <v>0</v>
      </c>
      <c r="J472">
        <v>0</v>
      </c>
      <c r="K472">
        <v>0</v>
      </c>
      <c r="L472">
        <v>0</v>
      </c>
      <c r="M472">
        <v>0</v>
      </c>
      <c r="N472">
        <v>0</v>
      </c>
      <c r="P472" s="18">
        <f t="shared" si="297"/>
        <v>0</v>
      </c>
      <c r="Q472" s="18">
        <f t="shared" si="298"/>
        <v>0</v>
      </c>
      <c r="R472" s="18">
        <f t="shared" si="299"/>
        <v>0</v>
      </c>
      <c r="S472" s="18">
        <f t="shared" si="300"/>
        <v>0</v>
      </c>
      <c r="T472" s="18">
        <f t="shared" si="301"/>
        <v>0</v>
      </c>
      <c r="U472" s="18">
        <f t="shared" si="302"/>
        <v>0</v>
      </c>
      <c r="V472" s="18">
        <f t="shared" si="303"/>
        <v>0</v>
      </c>
      <c r="W472" s="18">
        <f t="shared" si="304"/>
        <v>0</v>
      </c>
    </row>
    <row r="473" spans="1:23" x14ac:dyDescent="0.2">
      <c r="A473">
        <v>7569</v>
      </c>
      <c r="B473">
        <v>0</v>
      </c>
      <c r="C473">
        <v>0</v>
      </c>
      <c r="D473">
        <v>0</v>
      </c>
      <c r="E473">
        <v>0</v>
      </c>
      <c r="F473">
        <v>0</v>
      </c>
      <c r="G473">
        <v>0</v>
      </c>
      <c r="H473">
        <v>0</v>
      </c>
      <c r="I473">
        <v>0</v>
      </c>
      <c r="J473">
        <v>0</v>
      </c>
      <c r="K473">
        <v>0</v>
      </c>
      <c r="L473">
        <v>0</v>
      </c>
      <c r="M473">
        <v>0</v>
      </c>
      <c r="N473">
        <v>0</v>
      </c>
      <c r="P473" s="18">
        <f t="shared" si="297"/>
        <v>0</v>
      </c>
      <c r="Q473" s="18">
        <f t="shared" si="298"/>
        <v>0</v>
      </c>
      <c r="R473" s="18">
        <f t="shared" si="299"/>
        <v>0</v>
      </c>
      <c r="S473" s="18">
        <f t="shared" si="300"/>
        <v>0</v>
      </c>
      <c r="T473" s="18">
        <f t="shared" si="301"/>
        <v>0</v>
      </c>
      <c r="U473" s="18">
        <f t="shared" si="302"/>
        <v>0</v>
      </c>
      <c r="V473" s="18">
        <f t="shared" si="303"/>
        <v>0</v>
      </c>
      <c r="W473" s="18">
        <f t="shared" si="304"/>
        <v>0</v>
      </c>
    </row>
    <row r="474" spans="1:23" x14ac:dyDescent="0.2">
      <c r="A474">
        <v>7572</v>
      </c>
      <c r="B474">
        <v>0</v>
      </c>
      <c r="C474">
        <v>0</v>
      </c>
      <c r="D474">
        <v>0</v>
      </c>
      <c r="E474">
        <v>0</v>
      </c>
      <c r="F474">
        <v>0</v>
      </c>
      <c r="G474">
        <v>0</v>
      </c>
      <c r="H474">
        <v>0</v>
      </c>
      <c r="I474">
        <v>0</v>
      </c>
      <c r="J474">
        <v>0</v>
      </c>
      <c r="K474">
        <v>0</v>
      </c>
      <c r="L474">
        <v>0</v>
      </c>
      <c r="M474">
        <v>0</v>
      </c>
      <c r="N474">
        <v>0</v>
      </c>
      <c r="P474" s="18">
        <f t="shared" si="297"/>
        <v>0</v>
      </c>
      <c r="Q474" s="18">
        <f t="shared" si="298"/>
        <v>0</v>
      </c>
      <c r="R474" s="18">
        <f t="shared" si="299"/>
        <v>0</v>
      </c>
      <c r="S474" s="18">
        <f t="shared" si="300"/>
        <v>0</v>
      </c>
      <c r="T474" s="18">
        <f t="shared" si="301"/>
        <v>0</v>
      </c>
      <c r="U474" s="18">
        <f t="shared" si="302"/>
        <v>0</v>
      </c>
      <c r="V474" s="18">
        <f t="shared" si="303"/>
        <v>0</v>
      </c>
      <c r="W474" s="18">
        <f t="shared" si="304"/>
        <v>0</v>
      </c>
    </row>
    <row r="475" spans="1:23" x14ac:dyDescent="0.2">
      <c r="A475">
        <v>7574</v>
      </c>
      <c r="B475">
        <v>0</v>
      </c>
      <c r="C475">
        <v>0</v>
      </c>
      <c r="D475">
        <v>0</v>
      </c>
      <c r="E475">
        <v>0</v>
      </c>
      <c r="F475">
        <v>0</v>
      </c>
      <c r="G475">
        <v>0</v>
      </c>
      <c r="H475">
        <v>0</v>
      </c>
      <c r="I475">
        <v>0</v>
      </c>
      <c r="J475">
        <v>0</v>
      </c>
      <c r="K475">
        <v>0</v>
      </c>
      <c r="L475">
        <v>0</v>
      </c>
      <c r="M475">
        <v>0</v>
      </c>
      <c r="N475">
        <v>0</v>
      </c>
      <c r="P475" s="18">
        <f t="shared" si="297"/>
        <v>0</v>
      </c>
      <c r="Q475" s="18">
        <f t="shared" si="298"/>
        <v>0</v>
      </c>
      <c r="R475" s="18">
        <f t="shared" si="299"/>
        <v>0</v>
      </c>
      <c r="S475" s="18">
        <f t="shared" si="300"/>
        <v>0</v>
      </c>
      <c r="T475" s="18">
        <f t="shared" si="301"/>
        <v>0</v>
      </c>
      <c r="U475" s="18">
        <f t="shared" si="302"/>
        <v>0</v>
      </c>
      <c r="V475" s="18">
        <f t="shared" si="303"/>
        <v>0</v>
      </c>
      <c r="W475" s="18">
        <f t="shared" si="304"/>
        <v>0</v>
      </c>
    </row>
    <row r="476" spans="1:23" x14ac:dyDescent="0.2">
      <c r="A476">
        <v>7581</v>
      </c>
      <c r="B476">
        <v>0</v>
      </c>
      <c r="C476">
        <v>0</v>
      </c>
      <c r="D476">
        <v>0</v>
      </c>
      <c r="E476">
        <v>0</v>
      </c>
      <c r="F476">
        <v>0</v>
      </c>
      <c r="G476">
        <v>0</v>
      </c>
      <c r="H476">
        <v>0</v>
      </c>
      <c r="I476">
        <v>0</v>
      </c>
      <c r="J476">
        <v>0</v>
      </c>
      <c r="K476">
        <v>0</v>
      </c>
      <c r="L476">
        <v>0</v>
      </c>
      <c r="M476">
        <v>0</v>
      </c>
      <c r="N476">
        <v>0</v>
      </c>
      <c r="P476" s="18">
        <f t="shared" si="297"/>
        <v>0</v>
      </c>
      <c r="Q476" s="18">
        <f t="shared" si="298"/>
        <v>0</v>
      </c>
      <c r="R476" s="18">
        <f t="shared" si="299"/>
        <v>0</v>
      </c>
      <c r="S476" s="18">
        <f t="shared" si="300"/>
        <v>0</v>
      </c>
      <c r="T476" s="18">
        <f t="shared" si="301"/>
        <v>0</v>
      </c>
      <c r="U476" s="18">
        <f t="shared" si="302"/>
        <v>0</v>
      </c>
      <c r="V476" s="18">
        <f t="shared" si="303"/>
        <v>0</v>
      </c>
      <c r="W476" s="18">
        <f t="shared" si="304"/>
        <v>0</v>
      </c>
    </row>
    <row r="477" spans="1:23" x14ac:dyDescent="0.2">
      <c r="A477">
        <v>7584</v>
      </c>
      <c r="B477">
        <v>0</v>
      </c>
      <c r="C477">
        <v>0</v>
      </c>
      <c r="D477">
        <v>0</v>
      </c>
      <c r="E477">
        <v>0</v>
      </c>
      <c r="F477">
        <v>0</v>
      </c>
      <c r="G477">
        <v>0</v>
      </c>
      <c r="H477">
        <v>0</v>
      </c>
      <c r="I477">
        <v>0</v>
      </c>
      <c r="J477">
        <v>0</v>
      </c>
      <c r="K477">
        <v>0</v>
      </c>
      <c r="L477">
        <v>0</v>
      </c>
      <c r="M477">
        <v>0</v>
      </c>
      <c r="N477">
        <v>0</v>
      </c>
      <c r="P477" s="18">
        <f t="shared" si="297"/>
        <v>0</v>
      </c>
      <c r="Q477" s="18">
        <f t="shared" si="298"/>
        <v>0</v>
      </c>
      <c r="R477" s="18">
        <f t="shared" si="299"/>
        <v>0</v>
      </c>
      <c r="S477" s="18">
        <f t="shared" si="300"/>
        <v>0</v>
      </c>
      <c r="T477" s="18">
        <f t="shared" si="301"/>
        <v>0</v>
      </c>
      <c r="U477" s="18">
        <f t="shared" si="302"/>
        <v>0</v>
      </c>
      <c r="V477" s="18">
        <f t="shared" si="303"/>
        <v>0</v>
      </c>
      <c r="W477" s="18">
        <f t="shared" si="304"/>
        <v>0</v>
      </c>
    </row>
    <row r="478" spans="1:23" x14ac:dyDescent="0.2">
      <c r="A478">
        <v>7507</v>
      </c>
      <c r="B478">
        <v>0</v>
      </c>
      <c r="C478">
        <v>0</v>
      </c>
      <c r="D478">
        <v>0</v>
      </c>
      <c r="E478">
        <v>0</v>
      </c>
      <c r="F478">
        <v>0</v>
      </c>
      <c r="G478">
        <v>0</v>
      </c>
      <c r="H478">
        <v>0</v>
      </c>
      <c r="I478">
        <v>0</v>
      </c>
      <c r="J478">
        <v>0</v>
      </c>
      <c r="K478">
        <v>0</v>
      </c>
      <c r="L478">
        <v>0</v>
      </c>
      <c r="M478">
        <v>0</v>
      </c>
      <c r="N478">
        <v>0</v>
      </c>
      <c r="P478" s="18">
        <f t="shared" si="297"/>
        <v>0</v>
      </c>
      <c r="Q478" s="18">
        <f t="shared" si="298"/>
        <v>0</v>
      </c>
      <c r="R478" s="18">
        <f t="shared" si="299"/>
        <v>0</v>
      </c>
      <c r="S478" s="18">
        <f t="shared" si="300"/>
        <v>0</v>
      </c>
      <c r="T478" s="18">
        <f t="shared" si="301"/>
        <v>0</v>
      </c>
      <c r="U478" s="18">
        <f t="shared" si="302"/>
        <v>0</v>
      </c>
      <c r="V478" s="18">
        <f t="shared" si="303"/>
        <v>0</v>
      </c>
      <c r="W478" s="18">
        <f t="shared" si="304"/>
        <v>0</v>
      </c>
    </row>
    <row r="479" spans="1:23" x14ac:dyDescent="0.2">
      <c r="A479">
        <v>7579</v>
      </c>
      <c r="B479">
        <v>0</v>
      </c>
      <c r="C479">
        <v>0</v>
      </c>
      <c r="D479">
        <v>0</v>
      </c>
      <c r="E479">
        <v>0</v>
      </c>
      <c r="F479">
        <v>0</v>
      </c>
      <c r="G479">
        <v>0</v>
      </c>
      <c r="H479">
        <v>0</v>
      </c>
      <c r="I479">
        <v>0</v>
      </c>
      <c r="J479">
        <v>0</v>
      </c>
      <c r="K479">
        <v>0</v>
      </c>
      <c r="L479">
        <v>0</v>
      </c>
      <c r="M479">
        <v>0</v>
      </c>
      <c r="N479">
        <v>0</v>
      </c>
      <c r="P479" s="18">
        <f t="shared" si="297"/>
        <v>0</v>
      </c>
      <c r="Q479" s="18">
        <f t="shared" si="298"/>
        <v>0</v>
      </c>
      <c r="R479" s="18">
        <f t="shared" si="299"/>
        <v>0</v>
      </c>
      <c r="S479" s="18">
        <f t="shared" si="300"/>
        <v>0</v>
      </c>
      <c r="T479" s="18">
        <f t="shared" si="301"/>
        <v>0</v>
      </c>
      <c r="U479" s="18">
        <f t="shared" si="302"/>
        <v>0</v>
      </c>
      <c r="V479" s="18">
        <f t="shared" si="303"/>
        <v>0</v>
      </c>
      <c r="W479" s="18">
        <f t="shared" si="304"/>
        <v>0</v>
      </c>
    </row>
    <row r="480" spans="1:23" x14ac:dyDescent="0.2">
      <c r="A480">
        <v>7583</v>
      </c>
      <c r="B480">
        <v>0</v>
      </c>
      <c r="C480">
        <v>0</v>
      </c>
      <c r="D480">
        <v>0</v>
      </c>
      <c r="E480">
        <v>0</v>
      </c>
      <c r="F480">
        <v>0</v>
      </c>
      <c r="G480">
        <v>0</v>
      </c>
      <c r="H480">
        <v>0</v>
      </c>
      <c r="I480">
        <v>0</v>
      </c>
      <c r="J480">
        <v>0</v>
      </c>
      <c r="K480">
        <v>0</v>
      </c>
      <c r="L480">
        <v>0</v>
      </c>
      <c r="M480">
        <v>0</v>
      </c>
      <c r="N480">
        <v>0</v>
      </c>
      <c r="P480" s="18">
        <f t="shared" si="297"/>
        <v>0</v>
      </c>
      <c r="Q480" s="18">
        <f t="shared" si="298"/>
        <v>0</v>
      </c>
      <c r="R480" s="18">
        <f t="shared" si="299"/>
        <v>0</v>
      </c>
      <c r="S480" s="18">
        <f t="shared" si="300"/>
        <v>0</v>
      </c>
      <c r="T480" s="18">
        <f t="shared" si="301"/>
        <v>0</v>
      </c>
      <c r="U480" s="18">
        <f t="shared" si="302"/>
        <v>0</v>
      </c>
      <c r="V480" s="18">
        <f t="shared" si="303"/>
        <v>0</v>
      </c>
      <c r="W480" s="18">
        <f t="shared" si="304"/>
        <v>0</v>
      </c>
    </row>
    <row r="481" spans="1:23" x14ac:dyDescent="0.2">
      <c r="A481">
        <v>7627</v>
      </c>
      <c r="B481">
        <v>0</v>
      </c>
      <c r="C481">
        <v>0</v>
      </c>
      <c r="D481">
        <v>0</v>
      </c>
      <c r="E481">
        <v>0</v>
      </c>
      <c r="F481">
        <v>0</v>
      </c>
      <c r="G481">
        <v>0</v>
      </c>
      <c r="H481">
        <v>0</v>
      </c>
      <c r="I481">
        <v>0</v>
      </c>
      <c r="J481">
        <v>0</v>
      </c>
      <c r="K481">
        <v>0</v>
      </c>
      <c r="L481">
        <v>0</v>
      </c>
      <c r="M481">
        <v>0</v>
      </c>
      <c r="N481">
        <v>0</v>
      </c>
      <c r="P481" s="18">
        <f t="shared" ref="P481:P488" si="305">SUM(B481,G481)</f>
        <v>0</v>
      </c>
      <c r="Q481" s="18">
        <f t="shared" ref="Q481:Q488" si="306">SUM(C481,H481)</f>
        <v>0</v>
      </c>
      <c r="R481" s="18">
        <f t="shared" ref="R481:R488" si="307">SUM(D481,I481)</f>
        <v>0</v>
      </c>
      <c r="S481" s="18">
        <f t="shared" ref="S481:S488" si="308">SUM(E481,J481)</f>
        <v>0</v>
      </c>
      <c r="T481" s="18">
        <f t="shared" ref="T481:T488" si="309">K481</f>
        <v>0</v>
      </c>
      <c r="U481" s="18">
        <f t="shared" ref="U481:U488" si="310">L481</f>
        <v>0</v>
      </c>
      <c r="V481" s="18">
        <f t="shared" ref="V481:V488" si="311">M481</f>
        <v>0</v>
      </c>
      <c r="W481" s="18">
        <f t="shared" ref="W481:W488" si="312">SUM(F481,N481)</f>
        <v>0</v>
      </c>
    </row>
    <row r="482" spans="1:23" x14ac:dyDescent="0.2">
      <c r="A482">
        <v>7628</v>
      </c>
      <c r="B482">
        <v>0</v>
      </c>
      <c r="C482">
        <v>0</v>
      </c>
      <c r="D482">
        <v>0</v>
      </c>
      <c r="E482">
        <v>0</v>
      </c>
      <c r="F482">
        <v>0</v>
      </c>
      <c r="G482">
        <v>0</v>
      </c>
      <c r="H482">
        <v>0</v>
      </c>
      <c r="I482">
        <v>0</v>
      </c>
      <c r="J482">
        <v>0</v>
      </c>
      <c r="K482">
        <v>0</v>
      </c>
      <c r="L482">
        <v>0</v>
      </c>
      <c r="M482">
        <v>0</v>
      </c>
      <c r="N482">
        <v>0</v>
      </c>
      <c r="P482" s="18">
        <f t="shared" si="305"/>
        <v>0</v>
      </c>
      <c r="Q482" s="18">
        <f t="shared" si="306"/>
        <v>0</v>
      </c>
      <c r="R482" s="18">
        <f t="shared" si="307"/>
        <v>0</v>
      </c>
      <c r="S482" s="18">
        <f t="shared" si="308"/>
        <v>0</v>
      </c>
      <c r="T482" s="18">
        <f t="shared" si="309"/>
        <v>0</v>
      </c>
      <c r="U482" s="18">
        <f t="shared" si="310"/>
        <v>0</v>
      </c>
      <c r="V482" s="18">
        <f t="shared" si="311"/>
        <v>0</v>
      </c>
      <c r="W482" s="18">
        <f t="shared" si="312"/>
        <v>0</v>
      </c>
    </row>
    <row r="483" spans="1:23" x14ac:dyDescent="0.2">
      <c r="A483">
        <v>7634</v>
      </c>
      <c r="B483">
        <v>0</v>
      </c>
      <c r="C483">
        <v>0</v>
      </c>
      <c r="D483">
        <v>0</v>
      </c>
      <c r="E483">
        <v>0</v>
      </c>
      <c r="F483">
        <v>0</v>
      </c>
      <c r="G483">
        <v>0</v>
      </c>
      <c r="H483">
        <v>0</v>
      </c>
      <c r="I483">
        <v>0</v>
      </c>
      <c r="J483">
        <v>0</v>
      </c>
      <c r="K483">
        <v>0</v>
      </c>
      <c r="L483">
        <v>0</v>
      </c>
      <c r="M483">
        <v>0</v>
      </c>
      <c r="N483">
        <v>0</v>
      </c>
      <c r="P483" s="18">
        <f t="shared" si="305"/>
        <v>0</v>
      </c>
      <c r="Q483" s="18">
        <f t="shared" si="306"/>
        <v>0</v>
      </c>
      <c r="R483" s="18">
        <f t="shared" si="307"/>
        <v>0</v>
      </c>
      <c r="S483" s="18">
        <f t="shared" si="308"/>
        <v>0</v>
      </c>
      <c r="T483" s="18">
        <f t="shared" si="309"/>
        <v>0</v>
      </c>
      <c r="U483" s="18">
        <f t="shared" si="310"/>
        <v>0</v>
      </c>
      <c r="V483" s="18">
        <f t="shared" si="311"/>
        <v>0</v>
      </c>
      <c r="W483" s="18">
        <f t="shared" si="312"/>
        <v>0</v>
      </c>
    </row>
    <row r="484" spans="1:23" x14ac:dyDescent="0.2">
      <c r="A484">
        <v>7625</v>
      </c>
      <c r="B484">
        <v>0</v>
      </c>
      <c r="C484">
        <v>0</v>
      </c>
      <c r="D484">
        <v>0</v>
      </c>
      <c r="E484">
        <v>0</v>
      </c>
      <c r="F484">
        <v>0</v>
      </c>
      <c r="G484">
        <v>0</v>
      </c>
      <c r="H484">
        <v>0</v>
      </c>
      <c r="I484">
        <v>0</v>
      </c>
      <c r="J484">
        <v>0</v>
      </c>
      <c r="K484">
        <v>0</v>
      </c>
      <c r="L484">
        <v>0</v>
      </c>
      <c r="M484">
        <v>0</v>
      </c>
      <c r="N484">
        <v>0</v>
      </c>
      <c r="P484" s="18">
        <f t="shared" si="305"/>
        <v>0</v>
      </c>
      <c r="Q484" s="18">
        <f t="shared" si="306"/>
        <v>0</v>
      </c>
      <c r="R484" s="18">
        <f t="shared" si="307"/>
        <v>0</v>
      </c>
      <c r="S484" s="18">
        <f t="shared" si="308"/>
        <v>0</v>
      </c>
      <c r="T484" s="18">
        <f t="shared" si="309"/>
        <v>0</v>
      </c>
      <c r="U484" s="18">
        <f t="shared" si="310"/>
        <v>0</v>
      </c>
      <c r="V484" s="18">
        <f t="shared" si="311"/>
        <v>0</v>
      </c>
      <c r="W484" s="18">
        <f t="shared" si="312"/>
        <v>0</v>
      </c>
    </row>
    <row r="485" spans="1:23" x14ac:dyDescent="0.2">
      <c r="A485">
        <v>7649</v>
      </c>
      <c r="B485">
        <v>0</v>
      </c>
      <c r="C485">
        <v>0</v>
      </c>
      <c r="D485">
        <v>0</v>
      </c>
      <c r="E485">
        <v>0</v>
      </c>
      <c r="F485">
        <v>0</v>
      </c>
      <c r="G485">
        <v>0</v>
      </c>
      <c r="H485">
        <v>0</v>
      </c>
      <c r="I485">
        <v>0</v>
      </c>
      <c r="J485">
        <v>0</v>
      </c>
      <c r="K485">
        <v>0</v>
      </c>
      <c r="L485">
        <v>0</v>
      </c>
      <c r="M485">
        <v>0</v>
      </c>
      <c r="N485">
        <v>0</v>
      </c>
      <c r="P485" s="18">
        <f t="shared" si="305"/>
        <v>0</v>
      </c>
      <c r="Q485" s="18">
        <f t="shared" si="306"/>
        <v>0</v>
      </c>
      <c r="R485" s="18">
        <f t="shared" si="307"/>
        <v>0</v>
      </c>
      <c r="S485" s="18">
        <f t="shared" si="308"/>
        <v>0</v>
      </c>
      <c r="T485" s="18">
        <f t="shared" si="309"/>
        <v>0</v>
      </c>
      <c r="U485" s="18">
        <f t="shared" si="310"/>
        <v>0</v>
      </c>
      <c r="V485" s="18">
        <f t="shared" si="311"/>
        <v>0</v>
      </c>
      <c r="W485" s="18">
        <f t="shared" si="312"/>
        <v>0</v>
      </c>
    </row>
    <row r="486" spans="1:23" x14ac:dyDescent="0.2">
      <c r="A486">
        <v>7621</v>
      </c>
      <c r="B486">
        <v>0</v>
      </c>
      <c r="C486">
        <v>0</v>
      </c>
      <c r="D486">
        <v>0</v>
      </c>
      <c r="E486">
        <v>0</v>
      </c>
      <c r="F486">
        <v>0</v>
      </c>
      <c r="G486">
        <v>0</v>
      </c>
      <c r="H486">
        <v>0</v>
      </c>
      <c r="I486">
        <v>0</v>
      </c>
      <c r="J486">
        <v>0</v>
      </c>
      <c r="K486">
        <v>0</v>
      </c>
      <c r="L486">
        <v>0</v>
      </c>
      <c r="M486">
        <v>0</v>
      </c>
      <c r="N486">
        <v>0</v>
      </c>
      <c r="P486" s="18">
        <f t="shared" si="305"/>
        <v>0</v>
      </c>
      <c r="Q486" s="18">
        <f t="shared" si="306"/>
        <v>0</v>
      </c>
      <c r="R486" s="18">
        <f t="shared" si="307"/>
        <v>0</v>
      </c>
      <c r="S486" s="18">
        <f t="shared" si="308"/>
        <v>0</v>
      </c>
      <c r="T486" s="18">
        <f t="shared" si="309"/>
        <v>0</v>
      </c>
      <c r="U486" s="18">
        <f t="shared" si="310"/>
        <v>0</v>
      </c>
      <c r="V486" s="18">
        <f t="shared" si="311"/>
        <v>0</v>
      </c>
      <c r="W486" s="18">
        <f t="shared" si="312"/>
        <v>0</v>
      </c>
    </row>
    <row r="487" spans="1:23" x14ac:dyDescent="0.2">
      <c r="A487">
        <v>7576</v>
      </c>
      <c r="B487">
        <v>0</v>
      </c>
      <c r="C487">
        <v>0</v>
      </c>
      <c r="D487">
        <v>0</v>
      </c>
      <c r="E487">
        <v>0</v>
      </c>
      <c r="F487">
        <v>0</v>
      </c>
      <c r="G487">
        <v>0</v>
      </c>
      <c r="H487">
        <v>0</v>
      </c>
      <c r="I487">
        <v>0</v>
      </c>
      <c r="J487">
        <v>0</v>
      </c>
      <c r="K487">
        <v>0</v>
      </c>
      <c r="L487">
        <v>0</v>
      </c>
      <c r="M487">
        <v>0</v>
      </c>
      <c r="N487">
        <v>0</v>
      </c>
      <c r="P487" s="18">
        <f t="shared" si="305"/>
        <v>0</v>
      </c>
      <c r="Q487" s="18">
        <f t="shared" si="306"/>
        <v>0</v>
      </c>
      <c r="R487" s="18">
        <f t="shared" si="307"/>
        <v>0</v>
      </c>
      <c r="S487" s="18">
        <f t="shared" si="308"/>
        <v>0</v>
      </c>
      <c r="T487" s="18">
        <f t="shared" si="309"/>
        <v>0</v>
      </c>
      <c r="U487" s="18">
        <f t="shared" si="310"/>
        <v>0</v>
      </c>
      <c r="V487" s="18">
        <f t="shared" si="311"/>
        <v>0</v>
      </c>
      <c r="W487" s="18">
        <f t="shared" si="312"/>
        <v>0</v>
      </c>
    </row>
    <row r="488" spans="1:23" x14ac:dyDescent="0.2">
      <c r="A488">
        <v>7669</v>
      </c>
      <c r="B488">
        <v>0</v>
      </c>
      <c r="C488">
        <v>0</v>
      </c>
      <c r="D488">
        <v>0</v>
      </c>
      <c r="E488">
        <v>0</v>
      </c>
      <c r="F488">
        <v>0</v>
      </c>
      <c r="G488">
        <v>0</v>
      </c>
      <c r="H488">
        <v>0</v>
      </c>
      <c r="I488">
        <v>0</v>
      </c>
      <c r="J488">
        <v>0</v>
      </c>
      <c r="K488">
        <v>0</v>
      </c>
      <c r="L488">
        <v>0</v>
      </c>
      <c r="M488">
        <v>0</v>
      </c>
      <c r="N488">
        <v>0</v>
      </c>
      <c r="P488" s="18">
        <f t="shared" si="305"/>
        <v>0</v>
      </c>
      <c r="Q488" s="18">
        <f t="shared" si="306"/>
        <v>0</v>
      </c>
      <c r="R488" s="18">
        <f t="shared" si="307"/>
        <v>0</v>
      </c>
      <c r="S488" s="18">
        <f t="shared" si="308"/>
        <v>0</v>
      </c>
      <c r="T488" s="18">
        <f t="shared" si="309"/>
        <v>0</v>
      </c>
      <c r="U488" s="18">
        <f t="shared" si="310"/>
        <v>0</v>
      </c>
      <c r="V488" s="18">
        <f t="shared" si="311"/>
        <v>0</v>
      </c>
      <c r="W488" s="18">
        <f t="shared" si="312"/>
        <v>0</v>
      </c>
    </row>
    <row r="489" spans="1:23" x14ac:dyDescent="0.2">
      <c r="A489">
        <v>7671</v>
      </c>
      <c r="B489">
        <v>0</v>
      </c>
      <c r="C489">
        <v>0</v>
      </c>
      <c r="D489">
        <v>0</v>
      </c>
      <c r="E489">
        <v>0</v>
      </c>
      <c r="F489">
        <v>0</v>
      </c>
      <c r="G489">
        <v>0</v>
      </c>
      <c r="H489">
        <v>0</v>
      </c>
      <c r="I489">
        <v>0</v>
      </c>
      <c r="J489">
        <v>0</v>
      </c>
      <c r="K489">
        <v>0</v>
      </c>
      <c r="L489">
        <v>0</v>
      </c>
      <c r="M489">
        <v>0</v>
      </c>
      <c r="N489">
        <v>0</v>
      </c>
      <c r="P489" s="18">
        <f t="shared" ref="P489" si="313">SUM(B489,G489)</f>
        <v>0</v>
      </c>
      <c r="Q489" s="18">
        <f t="shared" ref="Q489" si="314">SUM(C489,H489)</f>
        <v>0</v>
      </c>
      <c r="R489" s="18">
        <f t="shared" ref="R489" si="315">SUM(D489,I489)</f>
        <v>0</v>
      </c>
      <c r="S489" s="18">
        <f t="shared" ref="S489" si="316">SUM(E489,J489)</f>
        <v>0</v>
      </c>
      <c r="T489" s="18">
        <f t="shared" ref="T489" si="317">K489</f>
        <v>0</v>
      </c>
      <c r="U489" s="18">
        <f t="shared" ref="U489" si="318">L489</f>
        <v>0</v>
      </c>
      <c r="V489" s="18">
        <f t="shared" ref="V489" si="319">M489</f>
        <v>0</v>
      </c>
      <c r="W489" s="18">
        <f t="shared" ref="W489" si="320">SUM(F489,N489)</f>
        <v>0</v>
      </c>
    </row>
    <row r="490" spans="1:23" x14ac:dyDescent="0.2">
      <c r="A490">
        <v>7518</v>
      </c>
      <c r="B490">
        <v>0</v>
      </c>
      <c r="C490">
        <v>0</v>
      </c>
      <c r="D490">
        <v>0</v>
      </c>
      <c r="E490">
        <v>0</v>
      </c>
      <c r="F490">
        <v>0</v>
      </c>
      <c r="G490">
        <v>0</v>
      </c>
      <c r="H490">
        <v>0</v>
      </c>
      <c r="I490">
        <v>0</v>
      </c>
      <c r="J490">
        <v>0</v>
      </c>
      <c r="K490">
        <v>0</v>
      </c>
      <c r="L490">
        <v>0</v>
      </c>
      <c r="M490">
        <v>0</v>
      </c>
      <c r="N490">
        <v>0</v>
      </c>
      <c r="P490" s="18">
        <f t="shared" ref="P490:P503" si="321">SUM(B490,G490)</f>
        <v>0</v>
      </c>
      <c r="Q490" s="18">
        <f t="shared" ref="Q490:Q503" si="322">SUM(C490,H490)</f>
        <v>0</v>
      </c>
      <c r="R490" s="18">
        <f t="shared" ref="R490:R503" si="323">SUM(D490,I490)</f>
        <v>0</v>
      </c>
      <c r="S490" s="18">
        <f t="shared" ref="S490:S503" si="324">SUM(E490,J490)</f>
        <v>0</v>
      </c>
      <c r="T490" s="18">
        <f t="shared" ref="T490:T503" si="325">K490</f>
        <v>0</v>
      </c>
      <c r="U490" s="18">
        <f t="shared" ref="U490:U503" si="326">L490</f>
        <v>0</v>
      </c>
      <c r="V490" s="18">
        <f t="shared" ref="V490:V503" si="327">M490</f>
        <v>0</v>
      </c>
      <c r="W490" s="18">
        <f t="shared" ref="W490:W503" si="328">SUM(F490,N490)</f>
        <v>0</v>
      </c>
    </row>
    <row r="491" spans="1:23" x14ac:dyDescent="0.2">
      <c r="A491">
        <v>7684</v>
      </c>
      <c r="B491">
        <v>0</v>
      </c>
      <c r="C491">
        <v>0</v>
      </c>
      <c r="D491">
        <v>0</v>
      </c>
      <c r="E491">
        <v>0</v>
      </c>
      <c r="F491">
        <v>0</v>
      </c>
      <c r="G491">
        <v>0</v>
      </c>
      <c r="H491">
        <v>0</v>
      </c>
      <c r="I491">
        <v>0</v>
      </c>
      <c r="J491">
        <v>0</v>
      </c>
      <c r="K491">
        <v>0</v>
      </c>
      <c r="L491">
        <v>0</v>
      </c>
      <c r="M491">
        <v>0</v>
      </c>
      <c r="N491">
        <v>0</v>
      </c>
      <c r="P491" s="18">
        <f t="shared" si="321"/>
        <v>0</v>
      </c>
      <c r="Q491" s="18">
        <f t="shared" si="322"/>
        <v>0</v>
      </c>
      <c r="R491" s="18">
        <f t="shared" si="323"/>
        <v>0</v>
      </c>
      <c r="S491" s="18">
        <f t="shared" si="324"/>
        <v>0</v>
      </c>
      <c r="T491" s="18">
        <f t="shared" si="325"/>
        <v>0</v>
      </c>
      <c r="U491" s="18">
        <f t="shared" si="326"/>
        <v>0</v>
      </c>
      <c r="V491" s="18">
        <f t="shared" si="327"/>
        <v>0</v>
      </c>
      <c r="W491" s="18">
        <f t="shared" si="328"/>
        <v>0</v>
      </c>
    </row>
    <row r="492" spans="1:23" x14ac:dyDescent="0.2">
      <c r="A492">
        <v>7652</v>
      </c>
      <c r="B492">
        <v>0</v>
      </c>
      <c r="C492">
        <v>0</v>
      </c>
      <c r="D492">
        <v>0</v>
      </c>
      <c r="E492">
        <v>0</v>
      </c>
      <c r="F492">
        <v>0</v>
      </c>
      <c r="G492">
        <v>0</v>
      </c>
      <c r="H492">
        <v>0</v>
      </c>
      <c r="I492">
        <v>0</v>
      </c>
      <c r="J492">
        <v>0</v>
      </c>
      <c r="K492">
        <v>0</v>
      </c>
      <c r="L492">
        <v>0</v>
      </c>
      <c r="M492">
        <v>0</v>
      </c>
      <c r="N492">
        <v>0</v>
      </c>
      <c r="P492" s="18">
        <f t="shared" si="321"/>
        <v>0</v>
      </c>
      <c r="Q492" s="18">
        <f t="shared" si="322"/>
        <v>0</v>
      </c>
      <c r="R492" s="18">
        <f t="shared" si="323"/>
        <v>0</v>
      </c>
      <c r="S492" s="18">
        <f t="shared" si="324"/>
        <v>0</v>
      </c>
      <c r="T492" s="18">
        <f t="shared" si="325"/>
        <v>0</v>
      </c>
      <c r="U492" s="18">
        <f t="shared" si="326"/>
        <v>0</v>
      </c>
      <c r="V492" s="18">
        <f t="shared" si="327"/>
        <v>0</v>
      </c>
      <c r="W492" s="18">
        <f t="shared" si="328"/>
        <v>0</v>
      </c>
    </row>
    <row r="493" spans="1:23" x14ac:dyDescent="0.2">
      <c r="A493" t="s">
        <v>452</v>
      </c>
      <c r="B493">
        <v>0</v>
      </c>
      <c r="C493">
        <v>0</v>
      </c>
      <c r="D493">
        <v>0</v>
      </c>
      <c r="E493">
        <v>0</v>
      </c>
      <c r="F493">
        <v>0</v>
      </c>
      <c r="G493">
        <v>0</v>
      </c>
      <c r="H493">
        <v>0</v>
      </c>
      <c r="I493">
        <v>0</v>
      </c>
      <c r="J493">
        <v>0</v>
      </c>
      <c r="K493">
        <v>0</v>
      </c>
      <c r="L493">
        <v>0</v>
      </c>
      <c r="M493">
        <v>0</v>
      </c>
      <c r="N493">
        <v>0</v>
      </c>
      <c r="P493" s="18">
        <f t="shared" si="321"/>
        <v>0</v>
      </c>
      <c r="Q493" s="18">
        <f t="shared" si="322"/>
        <v>0</v>
      </c>
      <c r="R493" s="18">
        <f t="shared" si="323"/>
        <v>0</v>
      </c>
      <c r="S493" s="18">
        <f t="shared" si="324"/>
        <v>0</v>
      </c>
      <c r="T493" s="18">
        <f t="shared" si="325"/>
        <v>0</v>
      </c>
      <c r="U493" s="18">
        <f t="shared" si="326"/>
        <v>0</v>
      </c>
      <c r="V493" s="18">
        <f t="shared" si="327"/>
        <v>0</v>
      </c>
      <c r="W493" s="18">
        <f t="shared" si="328"/>
        <v>0</v>
      </c>
    </row>
    <row r="494" spans="1:23" x14ac:dyDescent="0.2">
      <c r="A494">
        <v>7697</v>
      </c>
      <c r="B494">
        <v>0</v>
      </c>
      <c r="C494">
        <v>0</v>
      </c>
      <c r="D494">
        <v>0</v>
      </c>
      <c r="E494">
        <v>0</v>
      </c>
      <c r="F494">
        <v>0</v>
      </c>
      <c r="G494">
        <v>0</v>
      </c>
      <c r="H494">
        <v>0</v>
      </c>
      <c r="I494">
        <v>0</v>
      </c>
      <c r="J494">
        <v>0</v>
      </c>
      <c r="K494">
        <v>0</v>
      </c>
      <c r="L494">
        <v>0</v>
      </c>
      <c r="M494">
        <v>0</v>
      </c>
      <c r="N494">
        <v>0</v>
      </c>
      <c r="P494" s="18">
        <f t="shared" si="321"/>
        <v>0</v>
      </c>
      <c r="Q494" s="18">
        <f t="shared" si="322"/>
        <v>0</v>
      </c>
      <c r="R494" s="18">
        <f t="shared" si="323"/>
        <v>0</v>
      </c>
      <c r="S494" s="18">
        <f t="shared" si="324"/>
        <v>0</v>
      </c>
      <c r="T494" s="18">
        <f t="shared" si="325"/>
        <v>0</v>
      </c>
      <c r="U494" s="18">
        <f t="shared" si="326"/>
        <v>0</v>
      </c>
      <c r="V494" s="18">
        <f t="shared" si="327"/>
        <v>0</v>
      </c>
      <c r="W494" s="18">
        <f t="shared" si="328"/>
        <v>0</v>
      </c>
    </row>
    <row r="495" spans="1:23" x14ac:dyDescent="0.2">
      <c r="A495">
        <v>7703</v>
      </c>
      <c r="B495">
        <v>0</v>
      </c>
      <c r="C495">
        <v>0</v>
      </c>
      <c r="D495">
        <v>0</v>
      </c>
      <c r="E495">
        <v>0</v>
      </c>
      <c r="F495">
        <v>0</v>
      </c>
      <c r="G495">
        <v>0</v>
      </c>
      <c r="H495">
        <v>0</v>
      </c>
      <c r="I495">
        <v>0</v>
      </c>
      <c r="J495">
        <v>0</v>
      </c>
      <c r="K495">
        <v>0</v>
      </c>
      <c r="L495">
        <v>0</v>
      </c>
      <c r="M495">
        <v>0</v>
      </c>
      <c r="N495">
        <v>0</v>
      </c>
      <c r="P495" s="18">
        <f t="shared" si="321"/>
        <v>0</v>
      </c>
      <c r="Q495" s="18">
        <f t="shared" si="322"/>
        <v>0</v>
      </c>
      <c r="R495" s="18">
        <f t="shared" si="323"/>
        <v>0</v>
      </c>
      <c r="S495" s="18">
        <f t="shared" si="324"/>
        <v>0</v>
      </c>
      <c r="T495" s="18">
        <f t="shared" si="325"/>
        <v>0</v>
      </c>
      <c r="U495" s="18">
        <f t="shared" si="326"/>
        <v>0</v>
      </c>
      <c r="V495" s="18">
        <f t="shared" si="327"/>
        <v>0</v>
      </c>
      <c r="W495" s="18">
        <f t="shared" si="328"/>
        <v>0</v>
      </c>
    </row>
    <row r="496" spans="1:23" x14ac:dyDescent="0.2">
      <c r="A496">
        <v>7716</v>
      </c>
      <c r="B496">
        <v>0</v>
      </c>
      <c r="C496">
        <v>0</v>
      </c>
      <c r="D496">
        <v>0</v>
      </c>
      <c r="E496">
        <v>0</v>
      </c>
      <c r="F496">
        <v>0</v>
      </c>
      <c r="G496">
        <v>0</v>
      </c>
      <c r="H496">
        <v>0</v>
      </c>
      <c r="I496">
        <v>0</v>
      </c>
      <c r="J496">
        <v>0</v>
      </c>
      <c r="K496">
        <v>0</v>
      </c>
      <c r="L496">
        <v>0</v>
      </c>
      <c r="M496">
        <v>0</v>
      </c>
      <c r="N496">
        <v>0</v>
      </c>
      <c r="P496" s="18">
        <f t="shared" si="321"/>
        <v>0</v>
      </c>
      <c r="Q496" s="18">
        <f t="shared" si="322"/>
        <v>0</v>
      </c>
      <c r="R496" s="18">
        <f t="shared" si="323"/>
        <v>0</v>
      </c>
      <c r="S496" s="18">
        <f t="shared" si="324"/>
        <v>0</v>
      </c>
      <c r="T496" s="18">
        <f t="shared" si="325"/>
        <v>0</v>
      </c>
      <c r="U496" s="18">
        <f t="shared" si="326"/>
        <v>0</v>
      </c>
      <c r="V496" s="18">
        <f t="shared" si="327"/>
        <v>0</v>
      </c>
      <c r="W496" s="18">
        <f t="shared" si="328"/>
        <v>0</v>
      </c>
    </row>
    <row r="497" spans="1:23" x14ac:dyDescent="0.2">
      <c r="A497">
        <v>7717</v>
      </c>
      <c r="B497">
        <v>0</v>
      </c>
      <c r="C497">
        <v>0</v>
      </c>
      <c r="D497">
        <v>0</v>
      </c>
      <c r="E497">
        <v>0</v>
      </c>
      <c r="F497">
        <v>0</v>
      </c>
      <c r="G497">
        <v>0</v>
      </c>
      <c r="H497">
        <v>0</v>
      </c>
      <c r="I497">
        <v>0</v>
      </c>
      <c r="J497">
        <v>0</v>
      </c>
      <c r="K497">
        <v>0</v>
      </c>
      <c r="L497">
        <v>0</v>
      </c>
      <c r="M497">
        <v>0</v>
      </c>
      <c r="N497">
        <v>0</v>
      </c>
      <c r="P497" s="18">
        <f t="shared" si="321"/>
        <v>0</v>
      </c>
      <c r="Q497" s="18">
        <f t="shared" si="322"/>
        <v>0</v>
      </c>
      <c r="R497" s="18">
        <f t="shared" si="323"/>
        <v>0</v>
      </c>
      <c r="S497" s="18">
        <f t="shared" si="324"/>
        <v>0</v>
      </c>
      <c r="T497" s="18">
        <f t="shared" si="325"/>
        <v>0</v>
      </c>
      <c r="U497" s="18">
        <f t="shared" si="326"/>
        <v>0</v>
      </c>
      <c r="V497" s="18">
        <f t="shared" si="327"/>
        <v>0</v>
      </c>
      <c r="W497" s="18">
        <f t="shared" si="328"/>
        <v>0</v>
      </c>
    </row>
    <row r="498" spans="1:23" x14ac:dyDescent="0.2">
      <c r="A498">
        <v>7724</v>
      </c>
      <c r="B498">
        <v>0</v>
      </c>
      <c r="C498">
        <v>0</v>
      </c>
      <c r="D498">
        <v>0</v>
      </c>
      <c r="E498">
        <v>0</v>
      </c>
      <c r="F498">
        <v>0</v>
      </c>
      <c r="G498">
        <v>0</v>
      </c>
      <c r="H498">
        <v>0</v>
      </c>
      <c r="I498">
        <v>0</v>
      </c>
      <c r="J498">
        <v>0</v>
      </c>
      <c r="K498">
        <v>0</v>
      </c>
      <c r="L498">
        <v>0</v>
      </c>
      <c r="M498">
        <v>0</v>
      </c>
      <c r="N498">
        <v>0</v>
      </c>
      <c r="P498" s="18">
        <f t="shared" si="321"/>
        <v>0</v>
      </c>
      <c r="Q498" s="18">
        <f t="shared" si="322"/>
        <v>0</v>
      </c>
      <c r="R498" s="18">
        <f t="shared" si="323"/>
        <v>0</v>
      </c>
      <c r="S498" s="18">
        <f t="shared" si="324"/>
        <v>0</v>
      </c>
      <c r="T498" s="18">
        <f t="shared" si="325"/>
        <v>0</v>
      </c>
      <c r="U498" s="18">
        <f t="shared" si="326"/>
        <v>0</v>
      </c>
      <c r="V498" s="18">
        <f t="shared" si="327"/>
        <v>0</v>
      </c>
      <c r="W498" s="18">
        <f t="shared" si="328"/>
        <v>0</v>
      </c>
    </row>
    <row r="499" spans="1:23" x14ac:dyDescent="0.2">
      <c r="A499">
        <v>7730</v>
      </c>
      <c r="B499">
        <v>0</v>
      </c>
      <c r="C499">
        <v>0</v>
      </c>
      <c r="D499">
        <v>0</v>
      </c>
      <c r="E499">
        <v>0</v>
      </c>
      <c r="F499">
        <v>0</v>
      </c>
      <c r="G499">
        <v>0</v>
      </c>
      <c r="H499">
        <v>0</v>
      </c>
      <c r="I499">
        <v>0</v>
      </c>
      <c r="J499">
        <v>0</v>
      </c>
      <c r="K499">
        <v>0</v>
      </c>
      <c r="L499">
        <v>0</v>
      </c>
      <c r="M499">
        <v>0</v>
      </c>
      <c r="N499">
        <v>0</v>
      </c>
      <c r="P499" s="18">
        <f t="shared" si="321"/>
        <v>0</v>
      </c>
      <c r="Q499" s="18">
        <f t="shared" si="322"/>
        <v>0</v>
      </c>
      <c r="R499" s="18">
        <f t="shared" si="323"/>
        <v>0</v>
      </c>
      <c r="S499" s="18">
        <f t="shared" si="324"/>
        <v>0</v>
      </c>
      <c r="T499" s="18">
        <f t="shared" si="325"/>
        <v>0</v>
      </c>
      <c r="U499" s="18">
        <f t="shared" si="326"/>
        <v>0</v>
      </c>
      <c r="V499" s="18">
        <f t="shared" si="327"/>
        <v>0</v>
      </c>
      <c r="W499" s="18">
        <f t="shared" si="328"/>
        <v>0</v>
      </c>
    </row>
    <row r="500" spans="1:23" x14ac:dyDescent="0.2">
      <c r="A500">
        <v>7738</v>
      </c>
      <c r="B500">
        <v>0</v>
      </c>
      <c r="C500">
        <v>0</v>
      </c>
      <c r="D500">
        <v>0</v>
      </c>
      <c r="E500">
        <v>0</v>
      </c>
      <c r="F500">
        <v>0</v>
      </c>
      <c r="G500">
        <v>0</v>
      </c>
      <c r="H500">
        <v>0</v>
      </c>
      <c r="I500">
        <v>0</v>
      </c>
      <c r="J500">
        <v>0</v>
      </c>
      <c r="K500">
        <v>0</v>
      </c>
      <c r="L500">
        <v>0</v>
      </c>
      <c r="M500">
        <v>0</v>
      </c>
      <c r="N500">
        <v>0</v>
      </c>
      <c r="P500" s="18">
        <f t="shared" si="321"/>
        <v>0</v>
      </c>
      <c r="Q500" s="18">
        <f t="shared" si="322"/>
        <v>0</v>
      </c>
      <c r="R500" s="18">
        <f t="shared" si="323"/>
        <v>0</v>
      </c>
      <c r="S500" s="18">
        <f t="shared" si="324"/>
        <v>0</v>
      </c>
      <c r="T500" s="18">
        <f t="shared" si="325"/>
        <v>0</v>
      </c>
      <c r="U500" s="18">
        <f t="shared" si="326"/>
        <v>0</v>
      </c>
      <c r="V500" s="18">
        <f t="shared" si="327"/>
        <v>0</v>
      </c>
      <c r="W500" s="18">
        <f t="shared" si="328"/>
        <v>0</v>
      </c>
    </row>
    <row r="501" spans="1:23" x14ac:dyDescent="0.2">
      <c r="A501">
        <v>7740</v>
      </c>
      <c r="B501">
        <v>0</v>
      </c>
      <c r="C501">
        <v>0</v>
      </c>
      <c r="D501">
        <v>0</v>
      </c>
      <c r="E501">
        <v>0</v>
      </c>
      <c r="F501">
        <v>0</v>
      </c>
      <c r="G501">
        <v>0</v>
      </c>
      <c r="H501">
        <v>0</v>
      </c>
      <c r="I501">
        <v>0</v>
      </c>
      <c r="J501">
        <v>0</v>
      </c>
      <c r="K501">
        <v>0</v>
      </c>
      <c r="L501">
        <v>0</v>
      </c>
      <c r="M501">
        <v>0</v>
      </c>
      <c r="N501">
        <v>0</v>
      </c>
      <c r="P501" s="18">
        <f t="shared" si="321"/>
        <v>0</v>
      </c>
      <c r="Q501" s="18">
        <f t="shared" si="322"/>
        <v>0</v>
      </c>
      <c r="R501" s="18">
        <f t="shared" si="323"/>
        <v>0</v>
      </c>
      <c r="S501" s="18">
        <f t="shared" si="324"/>
        <v>0</v>
      </c>
      <c r="T501" s="18">
        <f t="shared" si="325"/>
        <v>0</v>
      </c>
      <c r="U501" s="18">
        <f t="shared" si="326"/>
        <v>0</v>
      </c>
      <c r="V501" s="18">
        <f t="shared" si="327"/>
        <v>0</v>
      </c>
      <c r="W501" s="18">
        <f t="shared" si="328"/>
        <v>0</v>
      </c>
    </row>
    <row r="502" spans="1:23" x14ac:dyDescent="0.2">
      <c r="A502">
        <v>7743</v>
      </c>
      <c r="B502">
        <v>0</v>
      </c>
      <c r="C502">
        <v>0</v>
      </c>
      <c r="D502">
        <v>0</v>
      </c>
      <c r="E502">
        <v>0</v>
      </c>
      <c r="F502">
        <v>0</v>
      </c>
      <c r="G502">
        <v>0</v>
      </c>
      <c r="H502">
        <v>0</v>
      </c>
      <c r="I502">
        <v>0</v>
      </c>
      <c r="J502">
        <v>0</v>
      </c>
      <c r="K502">
        <v>0</v>
      </c>
      <c r="L502">
        <v>0</v>
      </c>
      <c r="M502">
        <v>0</v>
      </c>
      <c r="N502">
        <v>0</v>
      </c>
      <c r="P502" s="18">
        <f t="shared" si="321"/>
        <v>0</v>
      </c>
      <c r="Q502" s="18">
        <f t="shared" si="322"/>
        <v>0</v>
      </c>
      <c r="R502" s="18">
        <f t="shared" si="323"/>
        <v>0</v>
      </c>
      <c r="S502" s="18">
        <f t="shared" si="324"/>
        <v>0</v>
      </c>
      <c r="T502" s="18">
        <f t="shared" si="325"/>
        <v>0</v>
      </c>
      <c r="U502" s="18">
        <f t="shared" si="326"/>
        <v>0</v>
      </c>
      <c r="V502" s="18">
        <f t="shared" si="327"/>
        <v>0</v>
      </c>
      <c r="W502" s="18">
        <f t="shared" si="328"/>
        <v>0</v>
      </c>
    </row>
    <row r="503" spans="1:23" x14ac:dyDescent="0.2">
      <c r="A503">
        <v>7749</v>
      </c>
      <c r="B503">
        <v>0</v>
      </c>
      <c r="C503">
        <v>0</v>
      </c>
      <c r="D503">
        <v>0</v>
      </c>
      <c r="E503">
        <v>0</v>
      </c>
      <c r="F503">
        <v>0</v>
      </c>
      <c r="G503">
        <v>0</v>
      </c>
      <c r="H503">
        <v>0</v>
      </c>
      <c r="I503">
        <v>0</v>
      </c>
      <c r="J503">
        <v>0</v>
      </c>
      <c r="K503">
        <v>0</v>
      </c>
      <c r="L503">
        <v>0</v>
      </c>
      <c r="M503">
        <v>0</v>
      </c>
      <c r="N503">
        <v>0</v>
      </c>
      <c r="P503" s="18">
        <f t="shared" si="321"/>
        <v>0</v>
      </c>
      <c r="Q503" s="18">
        <f t="shared" si="322"/>
        <v>0</v>
      </c>
      <c r="R503" s="18">
        <f t="shared" si="323"/>
        <v>0</v>
      </c>
      <c r="S503" s="18">
        <f t="shared" si="324"/>
        <v>0</v>
      </c>
      <c r="T503" s="18">
        <f t="shared" si="325"/>
        <v>0</v>
      </c>
      <c r="U503" s="18">
        <f t="shared" si="326"/>
        <v>0</v>
      </c>
      <c r="V503" s="18">
        <f t="shared" si="327"/>
        <v>0</v>
      </c>
      <c r="W503" s="18">
        <f t="shared" si="328"/>
        <v>0</v>
      </c>
    </row>
    <row r="504" spans="1:23" x14ac:dyDescent="0.2">
      <c r="A504">
        <v>7751</v>
      </c>
      <c r="B504">
        <v>0</v>
      </c>
      <c r="C504">
        <v>0</v>
      </c>
      <c r="D504">
        <v>0</v>
      </c>
      <c r="E504">
        <v>0</v>
      </c>
      <c r="F504">
        <v>0</v>
      </c>
      <c r="G504">
        <v>0</v>
      </c>
      <c r="H504">
        <v>0</v>
      </c>
      <c r="I504">
        <v>0</v>
      </c>
      <c r="J504">
        <v>0</v>
      </c>
      <c r="K504">
        <v>0</v>
      </c>
      <c r="L504">
        <v>0</v>
      </c>
      <c r="M504">
        <v>0</v>
      </c>
      <c r="N504">
        <v>0</v>
      </c>
      <c r="P504" s="18">
        <f t="shared" ref="P504:P517" si="329">SUM(B504,G504)</f>
        <v>0</v>
      </c>
      <c r="Q504" s="18">
        <f t="shared" ref="Q504:Q517" si="330">SUM(C504,H504)</f>
        <v>0</v>
      </c>
      <c r="R504" s="18">
        <f t="shared" ref="R504:R517" si="331">SUM(D504,I504)</f>
        <v>0</v>
      </c>
      <c r="S504" s="18">
        <f t="shared" ref="S504:S517" si="332">SUM(E504,J504)</f>
        <v>0</v>
      </c>
      <c r="T504" s="18">
        <f t="shared" ref="T504:T517" si="333">K504</f>
        <v>0</v>
      </c>
      <c r="U504" s="18">
        <f t="shared" ref="U504:U517" si="334">L504</f>
        <v>0</v>
      </c>
      <c r="V504" s="18">
        <f t="shared" ref="V504:V517" si="335">M504</f>
        <v>0</v>
      </c>
      <c r="W504" s="18">
        <f t="shared" ref="W504:W517" si="336">SUM(F504,N504)</f>
        <v>0</v>
      </c>
    </row>
    <row r="505" spans="1:23" x14ac:dyDescent="0.2">
      <c r="A505">
        <v>7728</v>
      </c>
      <c r="B505">
        <v>2.58</v>
      </c>
      <c r="C505">
        <v>10.32</v>
      </c>
      <c r="D505">
        <v>0</v>
      </c>
      <c r="E505">
        <v>0</v>
      </c>
      <c r="F505">
        <v>0</v>
      </c>
      <c r="G505">
        <v>0.22916</v>
      </c>
      <c r="H505">
        <v>0.61902999999999997</v>
      </c>
      <c r="I505">
        <v>8.0000000000000002E-3</v>
      </c>
      <c r="J505">
        <v>6.7449999999999993E-3</v>
      </c>
      <c r="K505">
        <v>0</v>
      </c>
      <c r="L505">
        <v>0</v>
      </c>
      <c r="M505">
        <v>0</v>
      </c>
      <c r="N505">
        <v>0</v>
      </c>
      <c r="P505" s="18">
        <f t="shared" si="329"/>
        <v>2.8091599999999999</v>
      </c>
      <c r="Q505" s="18">
        <f t="shared" si="330"/>
        <v>10.939030000000001</v>
      </c>
      <c r="R505" s="18">
        <f t="shared" si="331"/>
        <v>8.0000000000000002E-3</v>
      </c>
      <c r="S505" s="18">
        <f t="shared" si="332"/>
        <v>6.7449999999999993E-3</v>
      </c>
      <c r="T505" s="18">
        <f t="shared" si="333"/>
        <v>0</v>
      </c>
      <c r="U505" s="18">
        <f t="shared" si="334"/>
        <v>0</v>
      </c>
      <c r="V505" s="18">
        <f t="shared" si="335"/>
        <v>0</v>
      </c>
      <c r="W505" s="18">
        <f t="shared" si="336"/>
        <v>0</v>
      </c>
    </row>
    <row r="506" spans="1:23" x14ac:dyDescent="0.2">
      <c r="A506">
        <v>7758</v>
      </c>
      <c r="B506">
        <v>0</v>
      </c>
      <c r="C506">
        <v>0</v>
      </c>
      <c r="D506">
        <v>0</v>
      </c>
      <c r="E506">
        <v>0</v>
      </c>
      <c r="F506">
        <v>0</v>
      </c>
      <c r="G506">
        <v>0</v>
      </c>
      <c r="H506">
        <v>0</v>
      </c>
      <c r="I506">
        <v>0</v>
      </c>
      <c r="J506">
        <v>0</v>
      </c>
      <c r="K506">
        <v>0</v>
      </c>
      <c r="L506">
        <v>0</v>
      </c>
      <c r="M506">
        <v>0</v>
      </c>
      <c r="N506">
        <v>0</v>
      </c>
      <c r="P506" s="18">
        <f t="shared" si="329"/>
        <v>0</v>
      </c>
      <c r="Q506" s="18">
        <f t="shared" si="330"/>
        <v>0</v>
      </c>
      <c r="R506" s="18">
        <f t="shared" si="331"/>
        <v>0</v>
      </c>
      <c r="S506" s="18">
        <f t="shared" si="332"/>
        <v>0</v>
      </c>
      <c r="T506" s="18">
        <f t="shared" si="333"/>
        <v>0</v>
      </c>
      <c r="U506" s="18">
        <f t="shared" si="334"/>
        <v>0</v>
      </c>
      <c r="V506" s="18">
        <f t="shared" si="335"/>
        <v>0</v>
      </c>
      <c r="W506" s="18">
        <f t="shared" si="336"/>
        <v>0</v>
      </c>
    </row>
    <row r="507" spans="1:23" x14ac:dyDescent="0.2">
      <c r="A507">
        <v>7767</v>
      </c>
      <c r="B507">
        <v>0</v>
      </c>
      <c r="C507">
        <v>0</v>
      </c>
      <c r="D507">
        <v>0</v>
      </c>
      <c r="E507">
        <v>0</v>
      </c>
      <c r="F507">
        <v>0</v>
      </c>
      <c r="G507">
        <v>0</v>
      </c>
      <c r="H507">
        <v>0</v>
      </c>
      <c r="I507">
        <v>0</v>
      </c>
      <c r="J507">
        <v>0</v>
      </c>
      <c r="K507">
        <v>0</v>
      </c>
      <c r="L507">
        <v>0</v>
      </c>
      <c r="M507">
        <v>0</v>
      </c>
      <c r="N507">
        <v>0</v>
      </c>
      <c r="P507" s="18">
        <f t="shared" si="329"/>
        <v>0</v>
      </c>
      <c r="Q507" s="18">
        <f t="shared" si="330"/>
        <v>0</v>
      </c>
      <c r="R507" s="18">
        <f t="shared" si="331"/>
        <v>0</v>
      </c>
      <c r="S507" s="18">
        <f t="shared" si="332"/>
        <v>0</v>
      </c>
      <c r="T507" s="18">
        <f t="shared" si="333"/>
        <v>0</v>
      </c>
      <c r="U507" s="18">
        <f t="shared" si="334"/>
        <v>0</v>
      </c>
      <c r="V507" s="18">
        <f t="shared" si="335"/>
        <v>0</v>
      </c>
      <c r="W507" s="18">
        <f t="shared" si="336"/>
        <v>0</v>
      </c>
    </row>
    <row r="508" spans="1:23" x14ac:dyDescent="0.2">
      <c r="A508">
        <v>7776</v>
      </c>
      <c r="B508">
        <v>0</v>
      </c>
      <c r="C508">
        <v>0</v>
      </c>
      <c r="D508">
        <v>0</v>
      </c>
      <c r="E508">
        <v>0</v>
      </c>
      <c r="F508">
        <v>0</v>
      </c>
      <c r="G508">
        <v>0</v>
      </c>
      <c r="H508">
        <v>0</v>
      </c>
      <c r="I508">
        <v>0</v>
      </c>
      <c r="J508">
        <v>0</v>
      </c>
      <c r="K508">
        <v>0</v>
      </c>
      <c r="L508">
        <v>0</v>
      </c>
      <c r="M508">
        <v>0</v>
      </c>
      <c r="N508">
        <v>0</v>
      </c>
      <c r="P508" s="18">
        <f t="shared" si="329"/>
        <v>0</v>
      </c>
      <c r="Q508" s="18">
        <f t="shared" si="330"/>
        <v>0</v>
      </c>
      <c r="R508" s="18">
        <f t="shared" si="331"/>
        <v>0</v>
      </c>
      <c r="S508" s="18">
        <f t="shared" si="332"/>
        <v>0</v>
      </c>
      <c r="T508" s="18">
        <f t="shared" si="333"/>
        <v>0</v>
      </c>
      <c r="U508" s="18">
        <f t="shared" si="334"/>
        <v>0</v>
      </c>
      <c r="V508" s="18">
        <f t="shared" si="335"/>
        <v>0</v>
      </c>
      <c r="W508" s="18">
        <f t="shared" si="336"/>
        <v>0</v>
      </c>
    </row>
    <row r="509" spans="1:23" x14ac:dyDescent="0.2">
      <c r="A509">
        <v>7800</v>
      </c>
      <c r="B509">
        <v>0</v>
      </c>
      <c r="C509">
        <v>0</v>
      </c>
      <c r="D509">
        <v>0</v>
      </c>
      <c r="E509">
        <v>0</v>
      </c>
      <c r="F509">
        <v>0</v>
      </c>
      <c r="G509">
        <v>0</v>
      </c>
      <c r="H509">
        <v>0</v>
      </c>
      <c r="I509">
        <v>0</v>
      </c>
      <c r="J509">
        <v>0</v>
      </c>
      <c r="K509">
        <v>0</v>
      </c>
      <c r="L509">
        <v>0</v>
      </c>
      <c r="M509">
        <v>0</v>
      </c>
      <c r="N509">
        <v>0</v>
      </c>
      <c r="P509" s="18">
        <f t="shared" si="329"/>
        <v>0</v>
      </c>
      <c r="Q509" s="18">
        <f t="shared" si="330"/>
        <v>0</v>
      </c>
      <c r="R509" s="18">
        <f t="shared" si="331"/>
        <v>0</v>
      </c>
      <c r="S509" s="18">
        <f t="shared" si="332"/>
        <v>0</v>
      </c>
      <c r="T509" s="18">
        <f t="shared" si="333"/>
        <v>0</v>
      </c>
      <c r="U509" s="18">
        <f t="shared" si="334"/>
        <v>0</v>
      </c>
      <c r="V509" s="18">
        <f t="shared" si="335"/>
        <v>0</v>
      </c>
      <c r="W509" s="18">
        <f t="shared" si="336"/>
        <v>0</v>
      </c>
    </row>
    <row r="510" spans="1:23" x14ac:dyDescent="0.2">
      <c r="A510" t="s">
        <v>461</v>
      </c>
      <c r="B510">
        <v>0</v>
      </c>
      <c r="C510">
        <v>0</v>
      </c>
      <c r="D510">
        <v>0</v>
      </c>
      <c r="E510">
        <v>0</v>
      </c>
      <c r="F510">
        <v>0</v>
      </c>
      <c r="G510">
        <v>0</v>
      </c>
      <c r="H510">
        <v>0</v>
      </c>
      <c r="I510">
        <v>0</v>
      </c>
      <c r="J510">
        <v>0</v>
      </c>
      <c r="K510">
        <v>0</v>
      </c>
      <c r="L510">
        <v>0</v>
      </c>
      <c r="M510">
        <v>0</v>
      </c>
      <c r="N510">
        <v>0</v>
      </c>
      <c r="P510" s="18">
        <f t="shared" si="329"/>
        <v>0</v>
      </c>
      <c r="Q510" s="18">
        <f t="shared" si="330"/>
        <v>0</v>
      </c>
      <c r="R510" s="18">
        <f t="shared" si="331"/>
        <v>0</v>
      </c>
      <c r="S510" s="18">
        <f t="shared" si="332"/>
        <v>0</v>
      </c>
      <c r="T510" s="18">
        <f t="shared" si="333"/>
        <v>0</v>
      </c>
      <c r="U510" s="18">
        <f t="shared" si="334"/>
        <v>0</v>
      </c>
      <c r="V510" s="18">
        <f t="shared" si="335"/>
        <v>0</v>
      </c>
      <c r="W510" s="18">
        <f t="shared" si="336"/>
        <v>0</v>
      </c>
    </row>
    <row r="511" spans="1:23" x14ac:dyDescent="0.2">
      <c r="A511" t="s">
        <v>460</v>
      </c>
      <c r="B511">
        <v>0</v>
      </c>
      <c r="C511">
        <v>0</v>
      </c>
      <c r="D511">
        <v>0</v>
      </c>
      <c r="E511">
        <v>0</v>
      </c>
      <c r="F511">
        <v>0</v>
      </c>
      <c r="G511">
        <v>0</v>
      </c>
      <c r="H511">
        <v>0</v>
      </c>
      <c r="I511">
        <v>0</v>
      </c>
      <c r="J511">
        <v>0</v>
      </c>
      <c r="K511">
        <v>0</v>
      </c>
      <c r="L511">
        <v>0</v>
      </c>
      <c r="M511">
        <v>0</v>
      </c>
      <c r="N511">
        <v>0</v>
      </c>
      <c r="P511" s="18">
        <f t="shared" si="329"/>
        <v>0</v>
      </c>
      <c r="Q511" s="18">
        <f t="shared" si="330"/>
        <v>0</v>
      </c>
      <c r="R511" s="18">
        <f t="shared" si="331"/>
        <v>0</v>
      </c>
      <c r="S511" s="18">
        <f t="shared" si="332"/>
        <v>0</v>
      </c>
      <c r="T511" s="18">
        <f t="shared" si="333"/>
        <v>0</v>
      </c>
      <c r="U511" s="18">
        <f t="shared" si="334"/>
        <v>0</v>
      </c>
      <c r="V511" s="18">
        <f t="shared" si="335"/>
        <v>0</v>
      </c>
      <c r="W511" s="18">
        <f t="shared" si="336"/>
        <v>0</v>
      </c>
    </row>
    <row r="512" spans="1:23" x14ac:dyDescent="0.2">
      <c r="A512">
        <v>7809</v>
      </c>
      <c r="B512">
        <v>0</v>
      </c>
      <c r="C512">
        <v>0</v>
      </c>
      <c r="D512">
        <v>0</v>
      </c>
      <c r="E512">
        <v>0</v>
      </c>
      <c r="F512">
        <v>0</v>
      </c>
      <c r="G512">
        <v>0</v>
      </c>
      <c r="H512">
        <v>0</v>
      </c>
      <c r="I512">
        <v>0</v>
      </c>
      <c r="J512">
        <v>0</v>
      </c>
      <c r="K512">
        <v>0</v>
      </c>
      <c r="L512">
        <v>0</v>
      </c>
      <c r="M512">
        <v>0</v>
      </c>
      <c r="N512">
        <v>0</v>
      </c>
      <c r="P512" s="18">
        <f t="shared" si="329"/>
        <v>0</v>
      </c>
      <c r="Q512" s="18">
        <f t="shared" si="330"/>
        <v>0</v>
      </c>
      <c r="R512" s="18">
        <f t="shared" si="331"/>
        <v>0</v>
      </c>
      <c r="S512" s="18">
        <f t="shared" si="332"/>
        <v>0</v>
      </c>
      <c r="T512" s="18">
        <f t="shared" si="333"/>
        <v>0</v>
      </c>
      <c r="U512" s="18">
        <f t="shared" si="334"/>
        <v>0</v>
      </c>
      <c r="V512" s="18">
        <f t="shared" si="335"/>
        <v>0</v>
      </c>
      <c r="W512" s="18">
        <f t="shared" si="336"/>
        <v>0</v>
      </c>
    </row>
    <row r="513" spans="1:23" x14ac:dyDescent="0.2">
      <c r="A513">
        <v>7752</v>
      </c>
      <c r="B513">
        <v>0</v>
      </c>
      <c r="C513">
        <v>0</v>
      </c>
      <c r="D513">
        <v>0</v>
      </c>
      <c r="E513">
        <v>0</v>
      </c>
      <c r="F513">
        <v>0</v>
      </c>
      <c r="G513">
        <v>0</v>
      </c>
      <c r="H513">
        <v>0</v>
      </c>
      <c r="I513">
        <v>0</v>
      </c>
      <c r="J513">
        <v>0</v>
      </c>
      <c r="K513">
        <v>0</v>
      </c>
      <c r="L513">
        <v>0</v>
      </c>
      <c r="M513">
        <v>0</v>
      </c>
      <c r="N513">
        <v>0</v>
      </c>
      <c r="P513" s="18">
        <f t="shared" si="329"/>
        <v>0</v>
      </c>
      <c r="Q513" s="18">
        <f t="shared" si="330"/>
        <v>0</v>
      </c>
      <c r="R513" s="18">
        <f t="shared" si="331"/>
        <v>0</v>
      </c>
      <c r="S513" s="18">
        <f t="shared" si="332"/>
        <v>0</v>
      </c>
      <c r="T513" s="18">
        <f t="shared" si="333"/>
        <v>0</v>
      </c>
      <c r="U513" s="18">
        <f t="shared" si="334"/>
        <v>0</v>
      </c>
      <c r="V513" s="18">
        <f t="shared" si="335"/>
        <v>0</v>
      </c>
      <c r="W513" s="18">
        <f t="shared" si="336"/>
        <v>0</v>
      </c>
    </row>
    <row r="514" spans="1:23" x14ac:dyDescent="0.2">
      <c r="A514">
        <v>7606</v>
      </c>
      <c r="B514">
        <v>0</v>
      </c>
      <c r="C514">
        <v>0</v>
      </c>
      <c r="D514">
        <v>0</v>
      </c>
      <c r="E514">
        <v>0</v>
      </c>
      <c r="F514">
        <v>0</v>
      </c>
      <c r="G514">
        <v>0</v>
      </c>
      <c r="H514">
        <v>0</v>
      </c>
      <c r="I514">
        <v>0</v>
      </c>
      <c r="J514">
        <v>0</v>
      </c>
      <c r="K514">
        <v>0</v>
      </c>
      <c r="L514">
        <v>0</v>
      </c>
      <c r="M514">
        <v>0</v>
      </c>
      <c r="N514">
        <v>0</v>
      </c>
      <c r="P514" s="18">
        <f t="shared" si="329"/>
        <v>0</v>
      </c>
      <c r="Q514" s="18">
        <f t="shared" si="330"/>
        <v>0</v>
      </c>
      <c r="R514" s="18">
        <f t="shared" si="331"/>
        <v>0</v>
      </c>
      <c r="S514" s="18">
        <f t="shared" si="332"/>
        <v>0</v>
      </c>
      <c r="T514" s="18">
        <f t="shared" si="333"/>
        <v>0</v>
      </c>
      <c r="U514" s="18">
        <f t="shared" si="334"/>
        <v>0</v>
      </c>
      <c r="V514" s="18">
        <f t="shared" si="335"/>
        <v>0</v>
      </c>
      <c r="W514" s="18">
        <f t="shared" si="336"/>
        <v>0</v>
      </c>
    </row>
    <row r="515" spans="1:23" x14ac:dyDescent="0.2">
      <c r="A515">
        <v>7829</v>
      </c>
      <c r="B515">
        <v>0</v>
      </c>
      <c r="C515">
        <v>0</v>
      </c>
      <c r="D515">
        <v>0</v>
      </c>
      <c r="E515">
        <v>0</v>
      </c>
      <c r="F515">
        <v>0</v>
      </c>
      <c r="G515">
        <v>0.16470000000000001</v>
      </c>
      <c r="H515">
        <v>1.9845000000000002</v>
      </c>
      <c r="I515">
        <v>0.73350000000000004</v>
      </c>
      <c r="J515">
        <v>0.34930000000000005</v>
      </c>
      <c r="K515">
        <v>0</v>
      </c>
      <c r="L515">
        <v>0</v>
      </c>
      <c r="M515">
        <v>0</v>
      </c>
      <c r="N515">
        <v>0</v>
      </c>
      <c r="P515" s="18">
        <f t="shared" si="329"/>
        <v>0.16470000000000001</v>
      </c>
      <c r="Q515" s="18">
        <f t="shared" si="330"/>
        <v>1.9845000000000002</v>
      </c>
      <c r="R515" s="18">
        <f t="shared" si="331"/>
        <v>0.73350000000000004</v>
      </c>
      <c r="S515" s="18">
        <f t="shared" si="332"/>
        <v>0.34930000000000005</v>
      </c>
      <c r="T515" s="18">
        <f t="shared" si="333"/>
        <v>0</v>
      </c>
      <c r="U515" s="18">
        <f t="shared" si="334"/>
        <v>0</v>
      </c>
      <c r="V515" s="18">
        <f t="shared" si="335"/>
        <v>0</v>
      </c>
      <c r="W515" s="18">
        <f t="shared" si="336"/>
        <v>0</v>
      </c>
    </row>
    <row r="516" spans="1:23" x14ac:dyDescent="0.2">
      <c r="A516">
        <v>7779</v>
      </c>
      <c r="B516">
        <v>0</v>
      </c>
      <c r="C516">
        <v>0</v>
      </c>
      <c r="D516">
        <v>0</v>
      </c>
      <c r="E516">
        <v>0</v>
      </c>
      <c r="F516">
        <v>0</v>
      </c>
      <c r="G516">
        <v>0</v>
      </c>
      <c r="H516">
        <v>0</v>
      </c>
      <c r="I516">
        <v>0</v>
      </c>
      <c r="J516">
        <v>0</v>
      </c>
      <c r="K516">
        <v>0</v>
      </c>
      <c r="L516">
        <v>0</v>
      </c>
      <c r="M516">
        <v>0</v>
      </c>
      <c r="N516">
        <v>0</v>
      </c>
      <c r="P516" s="18">
        <f t="shared" si="329"/>
        <v>0</v>
      </c>
      <c r="Q516" s="18">
        <f t="shared" si="330"/>
        <v>0</v>
      </c>
      <c r="R516" s="18">
        <f t="shared" si="331"/>
        <v>0</v>
      </c>
      <c r="S516" s="18">
        <f t="shared" si="332"/>
        <v>0</v>
      </c>
      <c r="T516" s="18">
        <f t="shared" si="333"/>
        <v>0</v>
      </c>
      <c r="U516" s="18">
        <f t="shared" si="334"/>
        <v>0</v>
      </c>
      <c r="V516" s="18">
        <f t="shared" si="335"/>
        <v>0</v>
      </c>
      <c r="W516" s="18">
        <f t="shared" si="336"/>
        <v>0</v>
      </c>
    </row>
    <row r="517" spans="1:23" x14ac:dyDescent="0.2">
      <c r="A517">
        <v>7811</v>
      </c>
      <c r="B517">
        <v>0</v>
      </c>
      <c r="C517">
        <v>0</v>
      </c>
      <c r="D517">
        <v>0</v>
      </c>
      <c r="E517">
        <v>0</v>
      </c>
      <c r="F517">
        <v>0</v>
      </c>
      <c r="G517">
        <v>0</v>
      </c>
      <c r="H517">
        <v>0</v>
      </c>
      <c r="I517">
        <v>0</v>
      </c>
      <c r="J517">
        <v>0</v>
      </c>
      <c r="K517">
        <v>0</v>
      </c>
      <c r="L517">
        <v>0</v>
      </c>
      <c r="M517">
        <v>0</v>
      </c>
      <c r="N517">
        <v>0</v>
      </c>
      <c r="P517" s="18">
        <f t="shared" si="329"/>
        <v>0</v>
      </c>
      <c r="Q517" s="18">
        <f t="shared" si="330"/>
        <v>0</v>
      </c>
      <c r="R517" s="18">
        <f t="shared" si="331"/>
        <v>0</v>
      </c>
      <c r="S517" s="18">
        <f t="shared" si="332"/>
        <v>0</v>
      </c>
      <c r="T517" s="18">
        <f t="shared" si="333"/>
        <v>0</v>
      </c>
      <c r="U517" s="18">
        <f t="shared" si="334"/>
        <v>0</v>
      </c>
      <c r="V517" s="18">
        <f t="shared" si="335"/>
        <v>0</v>
      </c>
      <c r="W517" s="18">
        <f t="shared" si="336"/>
        <v>0</v>
      </c>
    </row>
    <row r="518" spans="1:23" x14ac:dyDescent="0.2">
      <c r="A518">
        <v>7806</v>
      </c>
      <c r="B518">
        <v>0</v>
      </c>
      <c r="C518">
        <v>0</v>
      </c>
      <c r="D518">
        <v>0</v>
      </c>
      <c r="E518">
        <v>0</v>
      </c>
      <c r="F518">
        <v>0</v>
      </c>
      <c r="G518">
        <v>0</v>
      </c>
      <c r="H518">
        <v>0</v>
      </c>
      <c r="I518">
        <v>0</v>
      </c>
      <c r="J518">
        <v>0</v>
      </c>
      <c r="K518">
        <v>0</v>
      </c>
      <c r="L518">
        <v>0</v>
      </c>
      <c r="M518">
        <v>0</v>
      </c>
      <c r="N518">
        <v>0</v>
      </c>
      <c r="P518" s="18">
        <f t="shared" ref="P518:P533" si="337">SUM(B518,G518)</f>
        <v>0</v>
      </c>
      <c r="Q518" s="18">
        <f t="shared" ref="Q518:Q533" si="338">SUM(C518,H518)</f>
        <v>0</v>
      </c>
      <c r="R518" s="18">
        <f t="shared" ref="R518:R533" si="339">SUM(D518,I518)</f>
        <v>0</v>
      </c>
      <c r="S518" s="18">
        <f t="shared" ref="S518:S533" si="340">SUM(E518,J518)</f>
        <v>0</v>
      </c>
      <c r="T518" s="18">
        <f t="shared" ref="T518:T533" si="341">K518</f>
        <v>0</v>
      </c>
      <c r="U518" s="18">
        <f t="shared" ref="U518:U533" si="342">L518</f>
        <v>0</v>
      </c>
      <c r="V518" s="18">
        <f t="shared" ref="V518:V533" si="343">M518</f>
        <v>0</v>
      </c>
      <c r="W518" s="18">
        <f t="shared" ref="W518:W533" si="344">SUM(F518,N518)</f>
        <v>0</v>
      </c>
    </row>
    <row r="519" spans="1:23" x14ac:dyDescent="0.2">
      <c r="A519">
        <v>7842</v>
      </c>
      <c r="B519">
        <v>0</v>
      </c>
      <c r="C519">
        <v>0</v>
      </c>
      <c r="D519">
        <v>0</v>
      </c>
      <c r="E519">
        <v>0</v>
      </c>
      <c r="F519">
        <v>0</v>
      </c>
      <c r="G519">
        <v>0</v>
      </c>
      <c r="H519">
        <v>0</v>
      </c>
      <c r="I519">
        <v>0</v>
      </c>
      <c r="J519">
        <v>0</v>
      </c>
      <c r="K519">
        <v>0</v>
      </c>
      <c r="L519">
        <v>0</v>
      </c>
      <c r="M519">
        <v>0</v>
      </c>
      <c r="N519">
        <v>0</v>
      </c>
      <c r="P519" s="18">
        <f t="shared" si="337"/>
        <v>0</v>
      </c>
      <c r="Q519" s="18">
        <f t="shared" si="338"/>
        <v>0</v>
      </c>
      <c r="R519" s="18">
        <f t="shared" si="339"/>
        <v>0</v>
      </c>
      <c r="S519" s="18">
        <f t="shared" si="340"/>
        <v>0</v>
      </c>
      <c r="T519" s="18">
        <f t="shared" si="341"/>
        <v>0</v>
      </c>
      <c r="U519" s="18">
        <f t="shared" si="342"/>
        <v>0</v>
      </c>
      <c r="V519" s="18">
        <f t="shared" si="343"/>
        <v>0</v>
      </c>
      <c r="W519" s="18">
        <f t="shared" si="344"/>
        <v>0</v>
      </c>
    </row>
    <row r="520" spans="1:23" x14ac:dyDescent="0.2">
      <c r="A520">
        <v>7840</v>
      </c>
      <c r="B520">
        <v>0</v>
      </c>
      <c r="C520">
        <v>0</v>
      </c>
      <c r="D520">
        <v>0</v>
      </c>
      <c r="E520">
        <v>0</v>
      </c>
      <c r="F520">
        <v>0</v>
      </c>
      <c r="G520">
        <v>0</v>
      </c>
      <c r="H520">
        <v>0</v>
      </c>
      <c r="I520">
        <v>0</v>
      </c>
      <c r="J520">
        <v>0</v>
      </c>
      <c r="K520">
        <v>0</v>
      </c>
      <c r="L520">
        <v>0</v>
      </c>
      <c r="M520">
        <v>0</v>
      </c>
      <c r="N520">
        <v>0</v>
      </c>
      <c r="P520" s="18">
        <f t="shared" si="337"/>
        <v>0</v>
      </c>
      <c r="Q520" s="18">
        <f t="shared" si="338"/>
        <v>0</v>
      </c>
      <c r="R520" s="18">
        <f t="shared" si="339"/>
        <v>0</v>
      </c>
      <c r="S520" s="18">
        <f t="shared" si="340"/>
        <v>0</v>
      </c>
      <c r="T520" s="18">
        <f t="shared" si="341"/>
        <v>0</v>
      </c>
      <c r="U520" s="18">
        <f t="shared" si="342"/>
        <v>0</v>
      </c>
      <c r="V520" s="18">
        <f t="shared" si="343"/>
        <v>0</v>
      </c>
      <c r="W520" s="18">
        <f t="shared" si="344"/>
        <v>0</v>
      </c>
    </row>
    <row r="521" spans="1:23" x14ac:dyDescent="0.2">
      <c r="A521">
        <v>7862</v>
      </c>
      <c r="B521">
        <v>0</v>
      </c>
      <c r="C521">
        <v>0</v>
      </c>
      <c r="D521">
        <v>0</v>
      </c>
      <c r="E521">
        <v>0</v>
      </c>
      <c r="F521">
        <v>0</v>
      </c>
      <c r="G521">
        <v>0</v>
      </c>
      <c r="H521">
        <v>0</v>
      </c>
      <c r="I521">
        <v>0</v>
      </c>
      <c r="J521">
        <v>0</v>
      </c>
      <c r="K521">
        <v>0</v>
      </c>
      <c r="L521">
        <v>0</v>
      </c>
      <c r="M521">
        <v>0</v>
      </c>
      <c r="N521">
        <v>0</v>
      </c>
      <c r="P521" s="18">
        <f t="shared" si="337"/>
        <v>0</v>
      </c>
      <c r="Q521" s="18">
        <f t="shared" si="338"/>
        <v>0</v>
      </c>
      <c r="R521" s="18">
        <f t="shared" si="339"/>
        <v>0</v>
      </c>
      <c r="S521" s="18">
        <f t="shared" si="340"/>
        <v>0</v>
      </c>
      <c r="T521" s="18">
        <f t="shared" si="341"/>
        <v>0</v>
      </c>
      <c r="U521" s="18">
        <f t="shared" si="342"/>
        <v>0</v>
      </c>
      <c r="V521" s="18">
        <f t="shared" si="343"/>
        <v>0</v>
      </c>
      <c r="W521" s="18">
        <f t="shared" si="344"/>
        <v>0</v>
      </c>
    </row>
    <row r="522" spans="1:23" x14ac:dyDescent="0.2">
      <c r="A522">
        <v>7858</v>
      </c>
      <c r="B522">
        <v>0</v>
      </c>
      <c r="C522">
        <v>0</v>
      </c>
      <c r="D522">
        <v>0</v>
      </c>
      <c r="E522">
        <v>0</v>
      </c>
      <c r="F522">
        <v>0</v>
      </c>
      <c r="G522">
        <v>0</v>
      </c>
      <c r="H522">
        <v>0</v>
      </c>
      <c r="I522">
        <v>0</v>
      </c>
      <c r="J522">
        <v>0</v>
      </c>
      <c r="K522">
        <v>0</v>
      </c>
      <c r="L522">
        <v>0</v>
      </c>
      <c r="M522">
        <v>0</v>
      </c>
      <c r="N522">
        <v>0</v>
      </c>
      <c r="P522" s="18">
        <f t="shared" si="337"/>
        <v>0</v>
      </c>
      <c r="Q522" s="18">
        <f t="shared" si="338"/>
        <v>0</v>
      </c>
      <c r="R522" s="18">
        <f t="shared" si="339"/>
        <v>0</v>
      </c>
      <c r="S522" s="18">
        <f t="shared" si="340"/>
        <v>0</v>
      </c>
      <c r="T522" s="18">
        <f t="shared" si="341"/>
        <v>0</v>
      </c>
      <c r="U522" s="18">
        <f t="shared" si="342"/>
        <v>0</v>
      </c>
      <c r="V522" s="18">
        <f t="shared" si="343"/>
        <v>0</v>
      </c>
      <c r="W522" s="18">
        <f t="shared" si="344"/>
        <v>0</v>
      </c>
    </row>
    <row r="523" spans="1:23" x14ac:dyDescent="0.2">
      <c r="A523">
        <v>7859</v>
      </c>
      <c r="B523">
        <v>0</v>
      </c>
      <c r="C523">
        <v>0</v>
      </c>
      <c r="D523">
        <v>0</v>
      </c>
      <c r="E523">
        <v>0</v>
      </c>
      <c r="F523">
        <v>0</v>
      </c>
      <c r="G523">
        <v>0</v>
      </c>
      <c r="H523">
        <v>0</v>
      </c>
      <c r="I523">
        <v>0</v>
      </c>
      <c r="J523">
        <v>0</v>
      </c>
      <c r="K523">
        <v>0</v>
      </c>
      <c r="L523">
        <v>0</v>
      </c>
      <c r="M523">
        <v>0</v>
      </c>
      <c r="N523">
        <v>0</v>
      </c>
      <c r="P523" s="18">
        <f t="shared" si="337"/>
        <v>0</v>
      </c>
      <c r="Q523" s="18">
        <f t="shared" si="338"/>
        <v>0</v>
      </c>
      <c r="R523" s="18">
        <f t="shared" si="339"/>
        <v>0</v>
      </c>
      <c r="S523" s="18">
        <f t="shared" si="340"/>
        <v>0</v>
      </c>
      <c r="T523" s="18">
        <f t="shared" si="341"/>
        <v>0</v>
      </c>
      <c r="U523" s="18">
        <f t="shared" si="342"/>
        <v>0</v>
      </c>
      <c r="V523" s="18">
        <f t="shared" si="343"/>
        <v>0</v>
      </c>
      <c r="W523" s="18">
        <f t="shared" si="344"/>
        <v>0</v>
      </c>
    </row>
    <row r="524" spans="1:23" x14ac:dyDescent="0.2">
      <c r="A524">
        <v>7879</v>
      </c>
      <c r="B524">
        <v>0</v>
      </c>
      <c r="C524">
        <v>0</v>
      </c>
      <c r="D524">
        <v>0</v>
      </c>
      <c r="E524">
        <v>0</v>
      </c>
      <c r="F524">
        <v>0</v>
      </c>
      <c r="G524">
        <v>0</v>
      </c>
      <c r="H524">
        <v>0</v>
      </c>
      <c r="I524">
        <v>0</v>
      </c>
      <c r="J524">
        <v>0</v>
      </c>
      <c r="K524">
        <v>0</v>
      </c>
      <c r="L524">
        <v>0</v>
      </c>
      <c r="M524">
        <v>0</v>
      </c>
      <c r="N524">
        <v>0</v>
      </c>
      <c r="P524" s="18">
        <f t="shared" si="337"/>
        <v>0</v>
      </c>
      <c r="Q524" s="18">
        <f t="shared" si="338"/>
        <v>0</v>
      </c>
      <c r="R524" s="18">
        <f t="shared" si="339"/>
        <v>0</v>
      </c>
      <c r="S524" s="18">
        <f t="shared" si="340"/>
        <v>0</v>
      </c>
      <c r="T524" s="18">
        <f t="shared" si="341"/>
        <v>0</v>
      </c>
      <c r="U524" s="18">
        <f t="shared" si="342"/>
        <v>0</v>
      </c>
      <c r="V524" s="18">
        <f t="shared" si="343"/>
        <v>0</v>
      </c>
      <c r="W524" s="18">
        <f t="shared" si="344"/>
        <v>0</v>
      </c>
    </row>
    <row r="525" spans="1:23" x14ac:dyDescent="0.2">
      <c r="A525">
        <v>7831</v>
      </c>
      <c r="B525">
        <v>0</v>
      </c>
      <c r="C525">
        <v>0</v>
      </c>
      <c r="D525">
        <v>0</v>
      </c>
      <c r="E525">
        <v>0</v>
      </c>
      <c r="F525">
        <v>0</v>
      </c>
      <c r="G525">
        <v>0</v>
      </c>
      <c r="H525">
        <v>0</v>
      </c>
      <c r="I525">
        <v>0</v>
      </c>
      <c r="J525">
        <v>0</v>
      </c>
      <c r="K525">
        <v>0</v>
      </c>
      <c r="L525">
        <v>0</v>
      </c>
      <c r="M525">
        <v>0</v>
      </c>
      <c r="N525">
        <v>0</v>
      </c>
      <c r="P525" s="18">
        <f t="shared" si="337"/>
        <v>0</v>
      </c>
      <c r="Q525" s="18">
        <f t="shared" si="338"/>
        <v>0</v>
      </c>
      <c r="R525" s="18">
        <f t="shared" si="339"/>
        <v>0</v>
      </c>
      <c r="S525" s="18">
        <f t="shared" si="340"/>
        <v>0</v>
      </c>
      <c r="T525" s="18">
        <f t="shared" si="341"/>
        <v>0</v>
      </c>
      <c r="U525" s="18">
        <f t="shared" si="342"/>
        <v>0</v>
      </c>
      <c r="V525" s="18">
        <f t="shared" si="343"/>
        <v>0</v>
      </c>
      <c r="W525" s="18">
        <f t="shared" si="344"/>
        <v>0</v>
      </c>
    </row>
    <row r="526" spans="1:23" x14ac:dyDescent="0.2">
      <c r="A526">
        <v>7884</v>
      </c>
      <c r="B526">
        <v>0</v>
      </c>
      <c r="C526">
        <v>0</v>
      </c>
      <c r="D526">
        <v>0</v>
      </c>
      <c r="E526">
        <v>0</v>
      </c>
      <c r="F526">
        <v>0</v>
      </c>
      <c r="G526">
        <v>0</v>
      </c>
      <c r="H526">
        <v>0</v>
      </c>
      <c r="I526">
        <v>0</v>
      </c>
      <c r="J526">
        <v>0</v>
      </c>
      <c r="K526">
        <v>0</v>
      </c>
      <c r="L526">
        <v>0</v>
      </c>
      <c r="M526">
        <v>0</v>
      </c>
      <c r="N526">
        <v>0</v>
      </c>
      <c r="P526" s="18">
        <f t="shared" si="337"/>
        <v>0</v>
      </c>
      <c r="Q526" s="18">
        <f t="shared" si="338"/>
        <v>0</v>
      </c>
      <c r="R526" s="18">
        <f t="shared" si="339"/>
        <v>0</v>
      </c>
      <c r="S526" s="18">
        <f t="shared" si="340"/>
        <v>0</v>
      </c>
      <c r="T526" s="18">
        <f t="shared" si="341"/>
        <v>0</v>
      </c>
      <c r="U526" s="18">
        <f t="shared" si="342"/>
        <v>0</v>
      </c>
      <c r="V526" s="18">
        <f t="shared" si="343"/>
        <v>0</v>
      </c>
      <c r="W526" s="18">
        <f t="shared" si="344"/>
        <v>0</v>
      </c>
    </row>
    <row r="527" spans="1:23" x14ac:dyDescent="0.2">
      <c r="A527">
        <v>7904</v>
      </c>
      <c r="B527">
        <v>0</v>
      </c>
      <c r="C527">
        <v>0</v>
      </c>
      <c r="D527">
        <v>0</v>
      </c>
      <c r="E527">
        <v>0</v>
      </c>
      <c r="F527">
        <v>0</v>
      </c>
      <c r="G527">
        <v>0</v>
      </c>
      <c r="H527">
        <v>0</v>
      </c>
      <c r="I527">
        <v>0</v>
      </c>
      <c r="J527">
        <v>0</v>
      </c>
      <c r="K527">
        <v>0</v>
      </c>
      <c r="L527">
        <v>0</v>
      </c>
      <c r="M527">
        <v>0</v>
      </c>
      <c r="N527">
        <v>0</v>
      </c>
      <c r="P527" s="18">
        <f t="shared" si="337"/>
        <v>0</v>
      </c>
      <c r="Q527" s="18">
        <f t="shared" si="338"/>
        <v>0</v>
      </c>
      <c r="R527" s="18">
        <f t="shared" si="339"/>
        <v>0</v>
      </c>
      <c r="S527" s="18">
        <f t="shared" si="340"/>
        <v>0</v>
      </c>
      <c r="T527" s="18">
        <f t="shared" si="341"/>
        <v>0</v>
      </c>
      <c r="U527" s="18">
        <f t="shared" si="342"/>
        <v>0</v>
      </c>
      <c r="V527" s="18">
        <f t="shared" si="343"/>
        <v>0</v>
      </c>
      <c r="W527" s="18">
        <f t="shared" si="344"/>
        <v>0</v>
      </c>
    </row>
    <row r="528" spans="1:23" x14ac:dyDescent="0.2">
      <c r="A528">
        <v>7899</v>
      </c>
      <c r="B528">
        <v>0</v>
      </c>
      <c r="C528">
        <v>0</v>
      </c>
      <c r="D528">
        <v>0</v>
      </c>
      <c r="E528">
        <v>0</v>
      </c>
      <c r="F528">
        <v>0</v>
      </c>
      <c r="G528">
        <v>0</v>
      </c>
      <c r="H528">
        <v>0</v>
      </c>
      <c r="I528">
        <v>0</v>
      </c>
      <c r="J528">
        <v>0</v>
      </c>
      <c r="K528">
        <v>0</v>
      </c>
      <c r="L528">
        <v>0</v>
      </c>
      <c r="M528">
        <v>0</v>
      </c>
      <c r="N528">
        <v>0</v>
      </c>
      <c r="P528" s="18">
        <f t="shared" si="337"/>
        <v>0</v>
      </c>
      <c r="Q528" s="18">
        <f t="shared" si="338"/>
        <v>0</v>
      </c>
      <c r="R528" s="18">
        <f t="shared" si="339"/>
        <v>0</v>
      </c>
      <c r="S528" s="18">
        <f t="shared" si="340"/>
        <v>0</v>
      </c>
      <c r="T528" s="18">
        <f t="shared" si="341"/>
        <v>0</v>
      </c>
      <c r="U528" s="18">
        <f t="shared" si="342"/>
        <v>0</v>
      </c>
      <c r="V528" s="18">
        <f t="shared" si="343"/>
        <v>0</v>
      </c>
      <c r="W528" s="18">
        <f t="shared" si="344"/>
        <v>0</v>
      </c>
    </row>
    <row r="529" spans="1:23" x14ac:dyDescent="0.2">
      <c r="A529">
        <v>7902</v>
      </c>
      <c r="B529">
        <v>0</v>
      </c>
      <c r="C529">
        <v>0</v>
      </c>
      <c r="D529">
        <v>0</v>
      </c>
      <c r="E529">
        <v>0</v>
      </c>
      <c r="F529">
        <v>0</v>
      </c>
      <c r="G529">
        <v>0</v>
      </c>
      <c r="H529">
        <v>0</v>
      </c>
      <c r="I529">
        <v>0</v>
      </c>
      <c r="J529">
        <v>0</v>
      </c>
      <c r="K529">
        <v>0</v>
      </c>
      <c r="L529">
        <v>0</v>
      </c>
      <c r="M529">
        <v>0</v>
      </c>
      <c r="N529">
        <v>0</v>
      </c>
      <c r="P529" s="18">
        <f t="shared" si="337"/>
        <v>0</v>
      </c>
      <c r="Q529" s="18">
        <f t="shared" si="338"/>
        <v>0</v>
      </c>
      <c r="R529" s="18">
        <f t="shared" si="339"/>
        <v>0</v>
      </c>
      <c r="S529" s="18">
        <f t="shared" si="340"/>
        <v>0</v>
      </c>
      <c r="T529" s="18">
        <f t="shared" si="341"/>
        <v>0</v>
      </c>
      <c r="U529" s="18">
        <f t="shared" si="342"/>
        <v>0</v>
      </c>
      <c r="V529" s="18">
        <f t="shared" si="343"/>
        <v>0</v>
      </c>
      <c r="W529" s="18">
        <f t="shared" si="344"/>
        <v>0</v>
      </c>
    </row>
    <row r="530" spans="1:23" x14ac:dyDescent="0.2">
      <c r="A530">
        <v>7911</v>
      </c>
      <c r="B530">
        <v>0</v>
      </c>
      <c r="C530">
        <v>0</v>
      </c>
      <c r="D530">
        <v>0</v>
      </c>
      <c r="E530">
        <v>0</v>
      </c>
      <c r="F530">
        <v>0</v>
      </c>
      <c r="G530">
        <v>0</v>
      </c>
      <c r="H530">
        <v>0</v>
      </c>
      <c r="I530">
        <v>0</v>
      </c>
      <c r="J530">
        <v>0</v>
      </c>
      <c r="K530">
        <v>0</v>
      </c>
      <c r="L530">
        <v>0</v>
      </c>
      <c r="M530">
        <v>0</v>
      </c>
      <c r="N530">
        <v>0</v>
      </c>
      <c r="P530" s="18">
        <f t="shared" si="337"/>
        <v>0</v>
      </c>
      <c r="Q530" s="18">
        <f t="shared" si="338"/>
        <v>0</v>
      </c>
      <c r="R530" s="18">
        <f t="shared" si="339"/>
        <v>0</v>
      </c>
      <c r="S530" s="18">
        <f t="shared" si="340"/>
        <v>0</v>
      </c>
      <c r="T530" s="18">
        <f t="shared" si="341"/>
        <v>0</v>
      </c>
      <c r="U530" s="18">
        <f t="shared" si="342"/>
        <v>0</v>
      </c>
      <c r="V530" s="18">
        <f t="shared" si="343"/>
        <v>0</v>
      </c>
      <c r="W530" s="18">
        <f t="shared" si="344"/>
        <v>0</v>
      </c>
    </row>
    <row r="531" spans="1:23" x14ac:dyDescent="0.2">
      <c r="A531">
        <v>7919</v>
      </c>
      <c r="B531">
        <v>0</v>
      </c>
      <c r="C531">
        <v>0</v>
      </c>
      <c r="D531">
        <v>0</v>
      </c>
      <c r="E531">
        <v>0</v>
      </c>
      <c r="F531">
        <v>0</v>
      </c>
      <c r="G531">
        <v>0</v>
      </c>
      <c r="H531">
        <v>0</v>
      </c>
      <c r="I531">
        <v>0</v>
      </c>
      <c r="J531">
        <v>0</v>
      </c>
      <c r="K531">
        <v>0</v>
      </c>
      <c r="L531">
        <v>0</v>
      </c>
      <c r="M531">
        <v>0</v>
      </c>
      <c r="N531">
        <v>0</v>
      </c>
      <c r="P531" s="18">
        <f t="shared" si="337"/>
        <v>0</v>
      </c>
      <c r="Q531" s="18">
        <f t="shared" si="338"/>
        <v>0</v>
      </c>
      <c r="R531" s="18">
        <f t="shared" si="339"/>
        <v>0</v>
      </c>
      <c r="S531" s="18">
        <f t="shared" si="340"/>
        <v>0</v>
      </c>
      <c r="T531" s="18">
        <f t="shared" si="341"/>
        <v>0</v>
      </c>
      <c r="U531" s="18">
        <f t="shared" si="342"/>
        <v>0</v>
      </c>
      <c r="V531" s="18">
        <f t="shared" si="343"/>
        <v>0</v>
      </c>
      <c r="W531" s="18">
        <f t="shared" si="344"/>
        <v>0</v>
      </c>
    </row>
    <row r="532" spans="1:23" x14ac:dyDescent="0.2">
      <c r="A532">
        <v>7933</v>
      </c>
      <c r="B532">
        <v>0</v>
      </c>
      <c r="C532">
        <v>0</v>
      </c>
      <c r="D532">
        <v>0</v>
      </c>
      <c r="E532">
        <v>0</v>
      </c>
      <c r="F532">
        <v>0</v>
      </c>
      <c r="G532">
        <v>0</v>
      </c>
      <c r="H532">
        <v>0</v>
      </c>
      <c r="I532">
        <v>0</v>
      </c>
      <c r="J532">
        <v>0</v>
      </c>
      <c r="K532">
        <v>0</v>
      </c>
      <c r="L532">
        <v>0</v>
      </c>
      <c r="M532">
        <v>0</v>
      </c>
      <c r="N532">
        <v>0</v>
      </c>
      <c r="P532" s="18">
        <f t="shared" si="337"/>
        <v>0</v>
      </c>
      <c r="Q532" s="18">
        <f t="shared" si="338"/>
        <v>0</v>
      </c>
      <c r="R532" s="18">
        <f t="shared" si="339"/>
        <v>0</v>
      </c>
      <c r="S532" s="18">
        <f t="shared" si="340"/>
        <v>0</v>
      </c>
      <c r="T532" s="18">
        <f t="shared" si="341"/>
        <v>0</v>
      </c>
      <c r="U532" s="18">
        <f t="shared" si="342"/>
        <v>0</v>
      </c>
      <c r="V532" s="18">
        <f t="shared" si="343"/>
        <v>0</v>
      </c>
      <c r="W532" s="18">
        <f t="shared" si="344"/>
        <v>0</v>
      </c>
    </row>
    <row r="533" spans="1:23" x14ac:dyDescent="0.2">
      <c r="A533">
        <v>7936</v>
      </c>
      <c r="B533">
        <v>0</v>
      </c>
      <c r="C533">
        <v>0</v>
      </c>
      <c r="D533">
        <v>0</v>
      </c>
      <c r="E533">
        <v>0</v>
      </c>
      <c r="F533">
        <v>0</v>
      </c>
      <c r="G533">
        <v>0</v>
      </c>
      <c r="H533">
        <v>0</v>
      </c>
      <c r="I533">
        <v>0</v>
      </c>
      <c r="J533">
        <v>0</v>
      </c>
      <c r="K533">
        <v>0</v>
      </c>
      <c r="L533">
        <v>0</v>
      </c>
      <c r="M533">
        <v>0</v>
      </c>
      <c r="N533">
        <v>0</v>
      </c>
      <c r="P533" s="18">
        <f t="shared" si="337"/>
        <v>0</v>
      </c>
      <c r="Q533" s="18">
        <f t="shared" si="338"/>
        <v>0</v>
      </c>
      <c r="R533" s="18">
        <f t="shared" si="339"/>
        <v>0</v>
      </c>
      <c r="S533" s="18">
        <f t="shared" si="340"/>
        <v>0</v>
      </c>
      <c r="T533" s="18">
        <f t="shared" si="341"/>
        <v>0</v>
      </c>
      <c r="U533" s="18">
        <f t="shared" si="342"/>
        <v>0</v>
      </c>
      <c r="V533" s="18">
        <f t="shared" si="343"/>
        <v>0</v>
      </c>
      <c r="W533" s="18">
        <f t="shared" si="344"/>
        <v>0</v>
      </c>
    </row>
    <row r="534" spans="1:23" x14ac:dyDescent="0.2">
      <c r="A534">
        <v>7943</v>
      </c>
      <c r="B534">
        <v>0</v>
      </c>
      <c r="C534">
        <v>0</v>
      </c>
      <c r="D534">
        <v>0</v>
      </c>
      <c r="E534">
        <v>0</v>
      </c>
      <c r="F534">
        <v>0</v>
      </c>
      <c r="G534">
        <v>0</v>
      </c>
      <c r="H534">
        <v>0</v>
      </c>
      <c r="I534">
        <v>0</v>
      </c>
      <c r="J534">
        <v>0</v>
      </c>
      <c r="K534">
        <v>0</v>
      </c>
      <c r="L534">
        <v>0</v>
      </c>
      <c r="M534">
        <v>0</v>
      </c>
      <c r="N534">
        <v>0</v>
      </c>
      <c r="P534" s="18">
        <f t="shared" ref="P534:P554" si="345">SUM(B534,G534)</f>
        <v>0</v>
      </c>
      <c r="Q534" s="18">
        <f t="shared" ref="Q534:Q554" si="346">SUM(C534,H534)</f>
        <v>0</v>
      </c>
      <c r="R534" s="18">
        <f t="shared" ref="R534:R554" si="347">SUM(D534,I534)</f>
        <v>0</v>
      </c>
      <c r="S534" s="18">
        <f t="shared" ref="S534:S554" si="348">SUM(E534,J534)</f>
        <v>0</v>
      </c>
      <c r="T534" s="18">
        <f t="shared" ref="T534:T554" si="349">K534</f>
        <v>0</v>
      </c>
      <c r="U534" s="18">
        <f t="shared" ref="U534:U554" si="350">L534</f>
        <v>0</v>
      </c>
      <c r="V534" s="18">
        <f t="shared" ref="V534:V554" si="351">M534</f>
        <v>0</v>
      </c>
      <c r="W534" s="18">
        <f t="shared" ref="W534:W554" si="352">SUM(F534,N534)</f>
        <v>0</v>
      </c>
    </row>
    <row r="535" spans="1:23" x14ac:dyDescent="0.2">
      <c r="A535">
        <v>7938</v>
      </c>
      <c r="B535">
        <v>0</v>
      </c>
      <c r="C535">
        <v>0</v>
      </c>
      <c r="D535">
        <v>0</v>
      </c>
      <c r="E535">
        <v>0</v>
      </c>
      <c r="F535">
        <v>0</v>
      </c>
      <c r="G535">
        <v>0</v>
      </c>
      <c r="H535">
        <v>0</v>
      </c>
      <c r="I535">
        <v>0</v>
      </c>
      <c r="J535">
        <v>0</v>
      </c>
      <c r="K535">
        <v>0</v>
      </c>
      <c r="L535">
        <v>0</v>
      </c>
      <c r="M535">
        <v>0</v>
      </c>
      <c r="N535">
        <v>0</v>
      </c>
      <c r="P535" s="18">
        <f t="shared" si="345"/>
        <v>0</v>
      </c>
      <c r="Q535" s="18">
        <f t="shared" si="346"/>
        <v>0</v>
      </c>
      <c r="R535" s="18">
        <f t="shared" si="347"/>
        <v>0</v>
      </c>
      <c r="S535" s="18">
        <f t="shared" si="348"/>
        <v>0</v>
      </c>
      <c r="T535" s="18">
        <f t="shared" si="349"/>
        <v>0</v>
      </c>
      <c r="U535" s="18">
        <f t="shared" si="350"/>
        <v>0</v>
      </c>
      <c r="V535" s="18">
        <f t="shared" si="351"/>
        <v>0</v>
      </c>
      <c r="W535" s="18">
        <f t="shared" si="352"/>
        <v>0</v>
      </c>
    </row>
    <row r="536" spans="1:23" x14ac:dyDescent="0.2">
      <c r="A536">
        <v>7945</v>
      </c>
      <c r="B536">
        <v>0</v>
      </c>
      <c r="C536">
        <v>0</v>
      </c>
      <c r="D536">
        <v>0</v>
      </c>
      <c r="E536">
        <v>0</v>
      </c>
      <c r="F536">
        <v>0</v>
      </c>
      <c r="G536">
        <v>0</v>
      </c>
      <c r="H536">
        <v>0</v>
      </c>
      <c r="I536">
        <v>0</v>
      </c>
      <c r="J536">
        <v>0</v>
      </c>
      <c r="K536">
        <v>0</v>
      </c>
      <c r="L536">
        <v>0</v>
      </c>
      <c r="M536">
        <v>0</v>
      </c>
      <c r="N536">
        <v>0</v>
      </c>
      <c r="P536" s="18">
        <f t="shared" si="345"/>
        <v>0</v>
      </c>
      <c r="Q536" s="18">
        <f t="shared" si="346"/>
        <v>0</v>
      </c>
      <c r="R536" s="18">
        <f t="shared" si="347"/>
        <v>0</v>
      </c>
      <c r="S536" s="18">
        <f t="shared" si="348"/>
        <v>0</v>
      </c>
      <c r="T536" s="18">
        <f t="shared" si="349"/>
        <v>0</v>
      </c>
      <c r="U536" s="18">
        <f t="shared" si="350"/>
        <v>0</v>
      </c>
      <c r="V536" s="18">
        <f t="shared" si="351"/>
        <v>0</v>
      </c>
      <c r="W536" s="18">
        <f t="shared" si="352"/>
        <v>0</v>
      </c>
    </row>
    <row r="537" spans="1:23" x14ac:dyDescent="0.2">
      <c r="A537">
        <v>7947</v>
      </c>
      <c r="B537">
        <v>0</v>
      </c>
      <c r="C537">
        <v>0</v>
      </c>
      <c r="D537">
        <v>0</v>
      </c>
      <c r="E537">
        <v>0</v>
      </c>
      <c r="F537">
        <v>0</v>
      </c>
      <c r="G537">
        <v>0</v>
      </c>
      <c r="H537">
        <v>0</v>
      </c>
      <c r="I537">
        <v>0</v>
      </c>
      <c r="J537">
        <v>0</v>
      </c>
      <c r="K537">
        <v>0</v>
      </c>
      <c r="L537">
        <v>0</v>
      </c>
      <c r="M537">
        <v>0</v>
      </c>
      <c r="N537">
        <v>0</v>
      </c>
      <c r="P537" s="18">
        <f t="shared" si="345"/>
        <v>0</v>
      </c>
      <c r="Q537" s="18">
        <f t="shared" si="346"/>
        <v>0</v>
      </c>
      <c r="R537" s="18">
        <f t="shared" si="347"/>
        <v>0</v>
      </c>
      <c r="S537" s="18">
        <f t="shared" si="348"/>
        <v>0</v>
      </c>
      <c r="T537" s="18">
        <f t="shared" si="349"/>
        <v>0</v>
      </c>
      <c r="U537" s="18">
        <f t="shared" si="350"/>
        <v>0</v>
      </c>
      <c r="V537" s="18">
        <f t="shared" si="351"/>
        <v>0</v>
      </c>
      <c r="W537" s="18">
        <f t="shared" si="352"/>
        <v>0</v>
      </c>
    </row>
    <row r="538" spans="1:23" x14ac:dyDescent="0.2">
      <c r="A538">
        <v>7949</v>
      </c>
      <c r="B538">
        <v>0</v>
      </c>
      <c r="C538">
        <v>0</v>
      </c>
      <c r="D538">
        <v>0</v>
      </c>
      <c r="E538">
        <v>0</v>
      </c>
      <c r="F538">
        <v>0</v>
      </c>
      <c r="G538">
        <v>0</v>
      </c>
      <c r="H538">
        <v>0</v>
      </c>
      <c r="I538">
        <v>0</v>
      </c>
      <c r="J538">
        <v>0</v>
      </c>
      <c r="K538">
        <v>0</v>
      </c>
      <c r="L538">
        <v>0</v>
      </c>
      <c r="M538">
        <v>0</v>
      </c>
      <c r="N538">
        <v>0</v>
      </c>
      <c r="P538" s="18">
        <f t="shared" si="345"/>
        <v>0</v>
      </c>
      <c r="Q538" s="18">
        <f t="shared" si="346"/>
        <v>0</v>
      </c>
      <c r="R538" s="18">
        <f t="shared" si="347"/>
        <v>0</v>
      </c>
      <c r="S538" s="18">
        <f t="shared" si="348"/>
        <v>0</v>
      </c>
      <c r="T538" s="18">
        <f t="shared" si="349"/>
        <v>0</v>
      </c>
      <c r="U538" s="18">
        <f t="shared" si="350"/>
        <v>0</v>
      </c>
      <c r="V538" s="18">
        <f t="shared" si="351"/>
        <v>0</v>
      </c>
      <c r="W538" s="18">
        <f t="shared" si="352"/>
        <v>0</v>
      </c>
    </row>
    <row r="539" spans="1:23" x14ac:dyDescent="0.2">
      <c r="A539">
        <v>7924</v>
      </c>
      <c r="B539">
        <v>0</v>
      </c>
      <c r="C539">
        <v>0</v>
      </c>
      <c r="D539">
        <v>0</v>
      </c>
      <c r="E539">
        <v>0</v>
      </c>
      <c r="F539">
        <v>0</v>
      </c>
      <c r="G539">
        <v>0</v>
      </c>
      <c r="H539">
        <v>0</v>
      </c>
      <c r="I539">
        <v>0</v>
      </c>
      <c r="J539">
        <v>0</v>
      </c>
      <c r="K539">
        <v>0</v>
      </c>
      <c r="L539">
        <v>0</v>
      </c>
      <c r="M539">
        <v>0</v>
      </c>
      <c r="N539">
        <v>0</v>
      </c>
      <c r="P539" s="18">
        <f t="shared" si="345"/>
        <v>0</v>
      </c>
      <c r="Q539" s="18">
        <f t="shared" si="346"/>
        <v>0</v>
      </c>
      <c r="R539" s="18">
        <f t="shared" si="347"/>
        <v>0</v>
      </c>
      <c r="S539" s="18">
        <f t="shared" si="348"/>
        <v>0</v>
      </c>
      <c r="T539" s="18">
        <f t="shared" si="349"/>
        <v>0</v>
      </c>
      <c r="U539" s="18">
        <f t="shared" si="350"/>
        <v>0</v>
      </c>
      <c r="V539" s="18">
        <f t="shared" si="351"/>
        <v>0</v>
      </c>
      <c r="W539" s="18">
        <f t="shared" si="352"/>
        <v>0</v>
      </c>
    </row>
    <row r="540" spans="1:23" x14ac:dyDescent="0.2">
      <c r="A540">
        <v>7967</v>
      </c>
      <c r="B540">
        <v>0</v>
      </c>
      <c r="C540">
        <v>0</v>
      </c>
      <c r="D540">
        <v>0</v>
      </c>
      <c r="E540">
        <v>0</v>
      </c>
      <c r="F540">
        <v>0</v>
      </c>
      <c r="G540">
        <v>0</v>
      </c>
      <c r="H540">
        <v>0</v>
      </c>
      <c r="I540">
        <v>0</v>
      </c>
      <c r="J540">
        <v>0</v>
      </c>
      <c r="K540">
        <v>0</v>
      </c>
      <c r="L540">
        <v>0</v>
      </c>
      <c r="M540">
        <v>0</v>
      </c>
      <c r="N540">
        <v>0</v>
      </c>
      <c r="P540" s="18">
        <f t="shared" si="345"/>
        <v>0</v>
      </c>
      <c r="Q540" s="18">
        <f t="shared" si="346"/>
        <v>0</v>
      </c>
      <c r="R540" s="18">
        <f t="shared" si="347"/>
        <v>0</v>
      </c>
      <c r="S540" s="18">
        <f t="shared" si="348"/>
        <v>0</v>
      </c>
      <c r="T540" s="18">
        <f t="shared" si="349"/>
        <v>0</v>
      </c>
      <c r="U540" s="18">
        <f t="shared" si="350"/>
        <v>0</v>
      </c>
      <c r="V540" s="18">
        <f t="shared" si="351"/>
        <v>0</v>
      </c>
      <c r="W540" s="18">
        <f t="shared" si="352"/>
        <v>0</v>
      </c>
    </row>
    <row r="541" spans="1:23" x14ac:dyDescent="0.2">
      <c r="A541">
        <v>7812</v>
      </c>
      <c r="B541">
        <v>0</v>
      </c>
      <c r="C541">
        <v>0</v>
      </c>
      <c r="D541">
        <v>0</v>
      </c>
      <c r="E541">
        <v>0</v>
      </c>
      <c r="F541">
        <v>0</v>
      </c>
      <c r="G541">
        <v>0</v>
      </c>
      <c r="H541">
        <v>0</v>
      </c>
      <c r="I541">
        <v>0</v>
      </c>
      <c r="J541">
        <v>0</v>
      </c>
      <c r="K541">
        <v>0</v>
      </c>
      <c r="L541">
        <v>0</v>
      </c>
      <c r="M541">
        <v>0</v>
      </c>
      <c r="N541">
        <v>0</v>
      </c>
      <c r="P541" s="18">
        <f t="shared" si="345"/>
        <v>0</v>
      </c>
      <c r="Q541" s="18">
        <f t="shared" si="346"/>
        <v>0</v>
      </c>
      <c r="R541" s="18">
        <f t="shared" si="347"/>
        <v>0</v>
      </c>
      <c r="S541" s="18">
        <f t="shared" si="348"/>
        <v>0</v>
      </c>
      <c r="T541" s="18">
        <f t="shared" si="349"/>
        <v>0</v>
      </c>
      <c r="U541" s="18">
        <f t="shared" si="350"/>
        <v>0</v>
      </c>
      <c r="V541" s="18">
        <f t="shared" si="351"/>
        <v>0</v>
      </c>
      <c r="W541" s="18">
        <f t="shared" si="352"/>
        <v>0</v>
      </c>
    </row>
    <row r="542" spans="1:23" x14ac:dyDescent="0.2">
      <c r="A542">
        <v>7813</v>
      </c>
      <c r="B542">
        <v>0</v>
      </c>
      <c r="C542">
        <v>0</v>
      </c>
      <c r="D542">
        <v>0</v>
      </c>
      <c r="E542">
        <v>0</v>
      </c>
      <c r="F542">
        <v>0</v>
      </c>
      <c r="G542">
        <v>0</v>
      </c>
      <c r="H542">
        <v>0</v>
      </c>
      <c r="I542">
        <v>0</v>
      </c>
      <c r="J542">
        <v>0</v>
      </c>
      <c r="K542">
        <v>0</v>
      </c>
      <c r="L542">
        <v>0</v>
      </c>
      <c r="M542">
        <v>0</v>
      </c>
      <c r="N542">
        <v>0</v>
      </c>
      <c r="P542" s="18">
        <f t="shared" si="345"/>
        <v>0</v>
      </c>
      <c r="Q542" s="18">
        <f t="shared" si="346"/>
        <v>0</v>
      </c>
      <c r="R542" s="18">
        <f t="shared" si="347"/>
        <v>0</v>
      </c>
      <c r="S542" s="18">
        <f t="shared" si="348"/>
        <v>0</v>
      </c>
      <c r="T542" s="18">
        <f t="shared" si="349"/>
        <v>0</v>
      </c>
      <c r="U542" s="18">
        <f t="shared" si="350"/>
        <v>0</v>
      </c>
      <c r="V542" s="18">
        <f t="shared" si="351"/>
        <v>0</v>
      </c>
      <c r="W542" s="18">
        <f t="shared" si="352"/>
        <v>0</v>
      </c>
    </row>
    <row r="543" spans="1:23" x14ac:dyDescent="0.2">
      <c r="A543" t="s">
        <v>466</v>
      </c>
      <c r="B543">
        <v>0</v>
      </c>
      <c r="C543">
        <v>0</v>
      </c>
      <c r="D543">
        <v>0</v>
      </c>
      <c r="E543">
        <v>0</v>
      </c>
      <c r="F543">
        <v>0</v>
      </c>
      <c r="G543">
        <v>0</v>
      </c>
      <c r="H543">
        <v>2.7999999999999998E-4</v>
      </c>
      <c r="I543">
        <v>0</v>
      </c>
      <c r="J543">
        <v>0</v>
      </c>
      <c r="K543">
        <v>0</v>
      </c>
      <c r="L543">
        <v>0</v>
      </c>
      <c r="M543">
        <v>0</v>
      </c>
      <c r="N543">
        <v>0</v>
      </c>
      <c r="P543" s="18">
        <f t="shared" si="345"/>
        <v>0</v>
      </c>
      <c r="Q543" s="18">
        <f t="shared" si="346"/>
        <v>2.7999999999999998E-4</v>
      </c>
      <c r="R543" s="18">
        <f t="shared" si="347"/>
        <v>0</v>
      </c>
      <c r="S543" s="18">
        <f t="shared" si="348"/>
        <v>0</v>
      </c>
      <c r="T543" s="18">
        <f t="shared" si="349"/>
        <v>0</v>
      </c>
      <c r="U543" s="18">
        <f t="shared" si="350"/>
        <v>0</v>
      </c>
      <c r="V543" s="18">
        <f t="shared" si="351"/>
        <v>0</v>
      </c>
      <c r="W543" s="18">
        <f t="shared" si="352"/>
        <v>0</v>
      </c>
    </row>
    <row r="544" spans="1:23" x14ac:dyDescent="0.2">
      <c r="A544">
        <v>7928</v>
      </c>
      <c r="B544">
        <v>0</v>
      </c>
      <c r="C544">
        <v>0</v>
      </c>
      <c r="D544">
        <v>0</v>
      </c>
      <c r="E544">
        <v>0</v>
      </c>
      <c r="F544">
        <v>0</v>
      </c>
      <c r="G544">
        <v>0</v>
      </c>
      <c r="H544">
        <v>0</v>
      </c>
      <c r="I544">
        <v>0</v>
      </c>
      <c r="J544">
        <v>0</v>
      </c>
      <c r="K544">
        <v>0</v>
      </c>
      <c r="L544">
        <v>0</v>
      </c>
      <c r="M544">
        <v>0</v>
      </c>
      <c r="N544">
        <v>0</v>
      </c>
      <c r="P544" s="18">
        <f t="shared" si="345"/>
        <v>0</v>
      </c>
      <c r="Q544" s="18">
        <f t="shared" si="346"/>
        <v>0</v>
      </c>
      <c r="R544" s="18">
        <f t="shared" si="347"/>
        <v>0</v>
      </c>
      <c r="S544" s="18">
        <f t="shared" si="348"/>
        <v>0</v>
      </c>
      <c r="T544" s="18">
        <f t="shared" si="349"/>
        <v>0</v>
      </c>
      <c r="U544" s="18">
        <f t="shared" si="350"/>
        <v>0</v>
      </c>
      <c r="V544" s="18">
        <f t="shared" si="351"/>
        <v>0</v>
      </c>
      <c r="W544" s="18">
        <f t="shared" si="352"/>
        <v>0</v>
      </c>
    </row>
    <row r="545" spans="1:23" x14ac:dyDescent="0.2">
      <c r="A545">
        <v>8002</v>
      </c>
      <c r="B545">
        <v>0</v>
      </c>
      <c r="C545">
        <v>0</v>
      </c>
      <c r="D545">
        <v>0</v>
      </c>
      <c r="E545">
        <v>0</v>
      </c>
      <c r="F545">
        <v>0</v>
      </c>
      <c r="G545">
        <v>0</v>
      </c>
      <c r="H545">
        <v>0</v>
      </c>
      <c r="I545">
        <v>0</v>
      </c>
      <c r="J545">
        <v>0</v>
      </c>
      <c r="K545">
        <v>0</v>
      </c>
      <c r="L545">
        <v>0</v>
      </c>
      <c r="M545">
        <v>0</v>
      </c>
      <c r="N545">
        <v>0</v>
      </c>
      <c r="P545" s="18">
        <f t="shared" si="345"/>
        <v>0</v>
      </c>
      <c r="Q545" s="18">
        <f t="shared" si="346"/>
        <v>0</v>
      </c>
      <c r="R545" s="18">
        <f t="shared" si="347"/>
        <v>0</v>
      </c>
      <c r="S545" s="18">
        <f t="shared" si="348"/>
        <v>0</v>
      </c>
      <c r="T545" s="18">
        <f t="shared" si="349"/>
        <v>0</v>
      </c>
      <c r="U545" s="18">
        <f t="shared" si="350"/>
        <v>0</v>
      </c>
      <c r="V545" s="18">
        <f t="shared" si="351"/>
        <v>0</v>
      </c>
      <c r="W545" s="18">
        <f t="shared" si="352"/>
        <v>0</v>
      </c>
    </row>
    <row r="546" spans="1:23" x14ac:dyDescent="0.2">
      <c r="A546">
        <v>8010</v>
      </c>
      <c r="B546">
        <v>0</v>
      </c>
      <c r="C546">
        <v>0</v>
      </c>
      <c r="D546">
        <v>0</v>
      </c>
      <c r="E546">
        <v>0</v>
      </c>
      <c r="F546">
        <v>0</v>
      </c>
      <c r="G546">
        <v>0</v>
      </c>
      <c r="H546">
        <v>0</v>
      </c>
      <c r="I546">
        <v>0</v>
      </c>
      <c r="J546">
        <v>0</v>
      </c>
      <c r="K546">
        <v>0</v>
      </c>
      <c r="L546">
        <v>0</v>
      </c>
      <c r="M546">
        <v>0</v>
      </c>
      <c r="N546">
        <v>0</v>
      </c>
      <c r="P546" s="18">
        <f t="shared" si="345"/>
        <v>0</v>
      </c>
      <c r="Q546" s="18">
        <f t="shared" si="346"/>
        <v>0</v>
      </c>
      <c r="R546" s="18">
        <f t="shared" si="347"/>
        <v>0</v>
      </c>
      <c r="S546" s="18">
        <f t="shared" si="348"/>
        <v>0</v>
      </c>
      <c r="T546" s="18">
        <f t="shared" si="349"/>
        <v>0</v>
      </c>
      <c r="U546" s="18">
        <f t="shared" si="350"/>
        <v>0</v>
      </c>
      <c r="V546" s="18">
        <f t="shared" si="351"/>
        <v>0</v>
      </c>
      <c r="W546" s="18">
        <f t="shared" si="352"/>
        <v>0</v>
      </c>
    </row>
    <row r="547" spans="1:23" x14ac:dyDescent="0.2">
      <c r="A547">
        <v>7974</v>
      </c>
      <c r="B547">
        <v>0</v>
      </c>
      <c r="C547">
        <v>0</v>
      </c>
      <c r="D547">
        <v>0</v>
      </c>
      <c r="E547">
        <v>0</v>
      </c>
      <c r="F547">
        <v>0</v>
      </c>
      <c r="G547">
        <v>0</v>
      </c>
      <c r="H547">
        <v>0</v>
      </c>
      <c r="I547">
        <v>0</v>
      </c>
      <c r="J547">
        <v>0</v>
      </c>
      <c r="K547">
        <v>0</v>
      </c>
      <c r="L547">
        <v>0</v>
      </c>
      <c r="M547">
        <v>0</v>
      </c>
      <c r="N547">
        <v>0</v>
      </c>
      <c r="P547" s="18">
        <f t="shared" si="345"/>
        <v>0</v>
      </c>
      <c r="Q547" s="18">
        <f t="shared" si="346"/>
        <v>0</v>
      </c>
      <c r="R547" s="18">
        <f t="shared" si="347"/>
        <v>0</v>
      </c>
      <c r="S547" s="18">
        <f t="shared" si="348"/>
        <v>0</v>
      </c>
      <c r="T547" s="18">
        <f t="shared" si="349"/>
        <v>0</v>
      </c>
      <c r="U547" s="18">
        <f t="shared" si="350"/>
        <v>0</v>
      </c>
      <c r="V547" s="18">
        <f t="shared" si="351"/>
        <v>0</v>
      </c>
      <c r="W547" s="18">
        <f t="shared" si="352"/>
        <v>0</v>
      </c>
    </row>
    <row r="548" spans="1:23" x14ac:dyDescent="0.2">
      <c r="A548">
        <v>8027</v>
      </c>
      <c r="B548">
        <v>0</v>
      </c>
      <c r="C548">
        <v>0</v>
      </c>
      <c r="D548">
        <v>0</v>
      </c>
      <c r="E548">
        <v>0</v>
      </c>
      <c r="F548">
        <v>0</v>
      </c>
      <c r="G548">
        <v>0</v>
      </c>
      <c r="H548">
        <v>0</v>
      </c>
      <c r="I548">
        <v>0</v>
      </c>
      <c r="J548">
        <v>0</v>
      </c>
      <c r="K548">
        <v>0</v>
      </c>
      <c r="L548">
        <v>0</v>
      </c>
      <c r="M548">
        <v>0</v>
      </c>
      <c r="N548">
        <v>0</v>
      </c>
      <c r="P548" s="18">
        <f t="shared" si="345"/>
        <v>0</v>
      </c>
      <c r="Q548" s="18">
        <f t="shared" si="346"/>
        <v>0</v>
      </c>
      <c r="R548" s="18">
        <f t="shared" si="347"/>
        <v>0</v>
      </c>
      <c r="S548" s="18">
        <f t="shared" si="348"/>
        <v>0</v>
      </c>
      <c r="T548" s="18">
        <f t="shared" si="349"/>
        <v>0</v>
      </c>
      <c r="U548" s="18">
        <f t="shared" si="350"/>
        <v>0</v>
      </c>
      <c r="V548" s="18">
        <f t="shared" si="351"/>
        <v>0</v>
      </c>
      <c r="W548" s="18">
        <f t="shared" si="352"/>
        <v>0</v>
      </c>
    </row>
    <row r="549" spans="1:23" x14ac:dyDescent="0.2">
      <c r="A549">
        <v>8049</v>
      </c>
      <c r="B549">
        <v>0</v>
      </c>
      <c r="C549">
        <v>0</v>
      </c>
      <c r="D549">
        <v>0</v>
      </c>
      <c r="E549">
        <v>0</v>
      </c>
      <c r="F549">
        <v>0</v>
      </c>
      <c r="G549">
        <v>0</v>
      </c>
      <c r="H549">
        <v>0</v>
      </c>
      <c r="I549">
        <v>0</v>
      </c>
      <c r="J549">
        <v>0</v>
      </c>
      <c r="K549">
        <v>0</v>
      </c>
      <c r="L549">
        <v>0</v>
      </c>
      <c r="M549">
        <v>0</v>
      </c>
      <c r="N549">
        <v>0</v>
      </c>
      <c r="P549" s="18">
        <f t="shared" si="345"/>
        <v>0</v>
      </c>
      <c r="Q549" s="18">
        <f t="shared" si="346"/>
        <v>0</v>
      </c>
      <c r="R549" s="18">
        <f t="shared" si="347"/>
        <v>0</v>
      </c>
      <c r="S549" s="18">
        <f t="shared" si="348"/>
        <v>0</v>
      </c>
      <c r="T549" s="18">
        <f t="shared" si="349"/>
        <v>0</v>
      </c>
      <c r="U549" s="18">
        <f t="shared" si="350"/>
        <v>0</v>
      </c>
      <c r="V549" s="18">
        <f t="shared" si="351"/>
        <v>0</v>
      </c>
      <c r="W549" s="18">
        <f t="shared" si="352"/>
        <v>0</v>
      </c>
    </row>
    <row r="550" spans="1:23" x14ac:dyDescent="0.2">
      <c r="A550">
        <v>8050</v>
      </c>
      <c r="B550">
        <v>0</v>
      </c>
      <c r="C550">
        <v>0</v>
      </c>
      <c r="D550">
        <v>0</v>
      </c>
      <c r="E550">
        <v>0</v>
      </c>
      <c r="F550">
        <v>0</v>
      </c>
      <c r="G550">
        <v>0</v>
      </c>
      <c r="H550">
        <v>0</v>
      </c>
      <c r="I550">
        <v>0</v>
      </c>
      <c r="J550">
        <v>0</v>
      </c>
      <c r="K550">
        <v>0</v>
      </c>
      <c r="L550">
        <v>0</v>
      </c>
      <c r="M550">
        <v>0</v>
      </c>
      <c r="N550">
        <v>0</v>
      </c>
      <c r="P550" s="18">
        <f t="shared" si="345"/>
        <v>0</v>
      </c>
      <c r="Q550" s="18">
        <f t="shared" si="346"/>
        <v>0</v>
      </c>
      <c r="R550" s="18">
        <f t="shared" si="347"/>
        <v>0</v>
      </c>
      <c r="S550" s="18">
        <f t="shared" si="348"/>
        <v>0</v>
      </c>
      <c r="T550" s="18">
        <f t="shared" si="349"/>
        <v>0</v>
      </c>
      <c r="U550" s="18">
        <f t="shared" si="350"/>
        <v>0</v>
      </c>
      <c r="V550" s="18">
        <f t="shared" si="351"/>
        <v>0</v>
      </c>
      <c r="W550" s="18">
        <f t="shared" si="352"/>
        <v>0</v>
      </c>
    </row>
    <row r="551" spans="1:23" x14ac:dyDescent="0.2">
      <c r="A551">
        <v>8047</v>
      </c>
      <c r="B551">
        <v>0</v>
      </c>
      <c r="C551">
        <v>0</v>
      </c>
      <c r="D551">
        <v>0</v>
      </c>
      <c r="E551">
        <v>0</v>
      </c>
      <c r="F551">
        <v>0</v>
      </c>
      <c r="G551">
        <v>0</v>
      </c>
      <c r="H551">
        <v>0</v>
      </c>
      <c r="I551">
        <v>0</v>
      </c>
      <c r="J551">
        <v>0</v>
      </c>
      <c r="K551">
        <v>0</v>
      </c>
      <c r="L551">
        <v>0</v>
      </c>
      <c r="M551">
        <v>0</v>
      </c>
      <c r="N551">
        <v>0</v>
      </c>
      <c r="P551" s="18">
        <f t="shared" si="345"/>
        <v>0</v>
      </c>
      <c r="Q551" s="18">
        <f t="shared" si="346"/>
        <v>0</v>
      </c>
      <c r="R551" s="18">
        <f t="shared" si="347"/>
        <v>0</v>
      </c>
      <c r="S551" s="18">
        <f t="shared" si="348"/>
        <v>0</v>
      </c>
      <c r="T551" s="18">
        <f t="shared" si="349"/>
        <v>0</v>
      </c>
      <c r="U551" s="18">
        <f t="shared" si="350"/>
        <v>0</v>
      </c>
      <c r="V551" s="18">
        <f t="shared" si="351"/>
        <v>0</v>
      </c>
      <c r="W551" s="18">
        <f t="shared" si="352"/>
        <v>0</v>
      </c>
    </row>
    <row r="552" spans="1:23" x14ac:dyDescent="0.2">
      <c r="A552">
        <v>8056</v>
      </c>
      <c r="B552">
        <v>0</v>
      </c>
      <c r="C552">
        <v>0</v>
      </c>
      <c r="D552">
        <v>0</v>
      </c>
      <c r="E552">
        <v>0</v>
      </c>
      <c r="F552">
        <v>0</v>
      </c>
      <c r="G552">
        <v>0</v>
      </c>
      <c r="H552">
        <v>0</v>
      </c>
      <c r="I552">
        <v>0</v>
      </c>
      <c r="J552">
        <v>0</v>
      </c>
      <c r="K552">
        <v>0</v>
      </c>
      <c r="L552">
        <v>0</v>
      </c>
      <c r="M552">
        <v>0</v>
      </c>
      <c r="N552">
        <v>0</v>
      </c>
      <c r="P552" s="18">
        <f t="shared" si="345"/>
        <v>0</v>
      </c>
      <c r="Q552" s="18">
        <f t="shared" si="346"/>
        <v>0</v>
      </c>
      <c r="R552" s="18">
        <f t="shared" si="347"/>
        <v>0</v>
      </c>
      <c r="S552" s="18">
        <f t="shared" si="348"/>
        <v>0</v>
      </c>
      <c r="T552" s="18">
        <f t="shared" si="349"/>
        <v>0</v>
      </c>
      <c r="U552" s="18">
        <f t="shared" si="350"/>
        <v>0</v>
      </c>
      <c r="V552" s="18">
        <f t="shared" si="351"/>
        <v>0</v>
      </c>
      <c r="W552" s="18">
        <f t="shared" si="352"/>
        <v>0</v>
      </c>
    </row>
    <row r="553" spans="1:23" x14ac:dyDescent="0.2">
      <c r="A553">
        <v>8073</v>
      </c>
      <c r="B553">
        <v>0</v>
      </c>
      <c r="C553">
        <v>0</v>
      </c>
      <c r="D553">
        <v>0</v>
      </c>
      <c r="E553">
        <v>0</v>
      </c>
      <c r="F553">
        <v>0</v>
      </c>
      <c r="G553">
        <v>0</v>
      </c>
      <c r="H553">
        <v>0</v>
      </c>
      <c r="I553">
        <v>0</v>
      </c>
      <c r="J553">
        <v>0</v>
      </c>
      <c r="K553">
        <v>0</v>
      </c>
      <c r="L553">
        <v>0</v>
      </c>
      <c r="M553">
        <v>0</v>
      </c>
      <c r="N553">
        <v>0</v>
      </c>
      <c r="P553" s="18">
        <f t="shared" si="345"/>
        <v>0</v>
      </c>
      <c r="Q553" s="18">
        <f t="shared" si="346"/>
        <v>0</v>
      </c>
      <c r="R553" s="18">
        <f t="shared" si="347"/>
        <v>0</v>
      </c>
      <c r="S553" s="18">
        <f t="shared" si="348"/>
        <v>0</v>
      </c>
      <c r="T553" s="18">
        <f t="shared" si="349"/>
        <v>0</v>
      </c>
      <c r="U553" s="18">
        <f t="shared" si="350"/>
        <v>0</v>
      </c>
      <c r="V553" s="18">
        <f t="shared" si="351"/>
        <v>0</v>
      </c>
      <c r="W553" s="18">
        <f t="shared" si="352"/>
        <v>0</v>
      </c>
    </row>
    <row r="554" spans="1:23" x14ac:dyDescent="0.2">
      <c r="A554">
        <v>8074</v>
      </c>
      <c r="B554">
        <v>0</v>
      </c>
      <c r="C554">
        <v>0</v>
      </c>
      <c r="D554">
        <v>0</v>
      </c>
      <c r="E554">
        <v>0</v>
      </c>
      <c r="F554">
        <v>0</v>
      </c>
      <c r="G554">
        <v>0</v>
      </c>
      <c r="H554">
        <v>0</v>
      </c>
      <c r="I554">
        <v>0</v>
      </c>
      <c r="J554">
        <v>0</v>
      </c>
      <c r="K554">
        <v>0</v>
      </c>
      <c r="L554">
        <v>0</v>
      </c>
      <c r="M554">
        <v>0</v>
      </c>
      <c r="N554">
        <v>0</v>
      </c>
      <c r="P554" s="18">
        <f t="shared" si="345"/>
        <v>0</v>
      </c>
      <c r="Q554" s="18">
        <f t="shared" si="346"/>
        <v>0</v>
      </c>
      <c r="R554" s="18">
        <f t="shared" si="347"/>
        <v>0</v>
      </c>
      <c r="S554" s="18">
        <f t="shared" si="348"/>
        <v>0</v>
      </c>
      <c r="T554" s="18">
        <f t="shared" si="349"/>
        <v>0</v>
      </c>
      <c r="U554" s="18">
        <f t="shared" si="350"/>
        <v>0</v>
      </c>
      <c r="V554" s="18">
        <f t="shared" si="351"/>
        <v>0</v>
      </c>
      <c r="W554" s="18">
        <f t="shared" si="352"/>
        <v>0</v>
      </c>
    </row>
    <row r="555" spans="1:23" x14ac:dyDescent="0.2">
      <c r="A555">
        <v>8075</v>
      </c>
      <c r="B555">
        <v>0</v>
      </c>
      <c r="C555">
        <v>0</v>
      </c>
      <c r="D555">
        <v>0</v>
      </c>
      <c r="E555">
        <v>0</v>
      </c>
      <c r="F555">
        <v>0</v>
      </c>
      <c r="G555">
        <v>0</v>
      </c>
      <c r="H555">
        <v>0</v>
      </c>
      <c r="I555">
        <v>0</v>
      </c>
      <c r="J555">
        <v>0</v>
      </c>
      <c r="K555">
        <v>0</v>
      </c>
      <c r="L555">
        <v>0</v>
      </c>
      <c r="M555">
        <v>0</v>
      </c>
      <c r="N555">
        <v>0</v>
      </c>
      <c r="P555" s="18">
        <f t="shared" ref="P555:P568" si="353">SUM(B555,G555)</f>
        <v>0</v>
      </c>
      <c r="Q555" s="18">
        <f t="shared" ref="Q555:Q568" si="354">SUM(C555,H555)</f>
        <v>0</v>
      </c>
      <c r="R555" s="18">
        <f t="shared" ref="R555:R568" si="355">SUM(D555,I555)</f>
        <v>0</v>
      </c>
      <c r="S555" s="18">
        <f t="shared" ref="S555:S568" si="356">SUM(E555,J555)</f>
        <v>0</v>
      </c>
      <c r="T555" s="18">
        <f t="shared" ref="T555:T568" si="357">K555</f>
        <v>0</v>
      </c>
      <c r="U555" s="18">
        <f t="shared" ref="U555:U568" si="358">L555</f>
        <v>0</v>
      </c>
      <c r="V555" s="18">
        <f t="shared" ref="V555:V568" si="359">M555</f>
        <v>0</v>
      </c>
      <c r="W555" s="18">
        <f t="shared" ref="W555:W568" si="360">SUM(F555,N555)</f>
        <v>0</v>
      </c>
    </row>
    <row r="556" spans="1:23" x14ac:dyDescent="0.2">
      <c r="A556">
        <v>8065</v>
      </c>
      <c r="B556">
        <v>0</v>
      </c>
      <c r="C556">
        <v>0</v>
      </c>
      <c r="D556">
        <v>0</v>
      </c>
      <c r="E556">
        <v>0</v>
      </c>
      <c r="F556">
        <v>0</v>
      </c>
      <c r="G556">
        <v>0</v>
      </c>
      <c r="H556">
        <v>0</v>
      </c>
      <c r="I556">
        <v>0</v>
      </c>
      <c r="J556">
        <v>0</v>
      </c>
      <c r="K556">
        <v>0</v>
      </c>
      <c r="L556">
        <v>0</v>
      </c>
      <c r="M556">
        <v>0</v>
      </c>
      <c r="N556">
        <v>0</v>
      </c>
      <c r="P556" s="18">
        <f t="shared" si="353"/>
        <v>0</v>
      </c>
      <c r="Q556" s="18">
        <f t="shared" si="354"/>
        <v>0</v>
      </c>
      <c r="R556" s="18">
        <f t="shared" si="355"/>
        <v>0</v>
      </c>
      <c r="S556" s="18">
        <f t="shared" si="356"/>
        <v>0</v>
      </c>
      <c r="T556" s="18">
        <f t="shared" si="357"/>
        <v>0</v>
      </c>
      <c r="U556" s="18">
        <f t="shared" si="358"/>
        <v>0</v>
      </c>
      <c r="V556" s="18">
        <f t="shared" si="359"/>
        <v>0</v>
      </c>
      <c r="W556" s="18">
        <f t="shared" si="360"/>
        <v>0</v>
      </c>
    </row>
    <row r="557" spans="1:23" x14ac:dyDescent="0.2">
      <c r="A557">
        <v>8084</v>
      </c>
      <c r="B557">
        <v>0</v>
      </c>
      <c r="C557">
        <v>0</v>
      </c>
      <c r="D557">
        <v>0</v>
      </c>
      <c r="E557">
        <v>0</v>
      </c>
      <c r="F557">
        <v>0</v>
      </c>
      <c r="G557">
        <v>0</v>
      </c>
      <c r="H557">
        <v>0</v>
      </c>
      <c r="I557">
        <v>0</v>
      </c>
      <c r="J557">
        <v>0</v>
      </c>
      <c r="K557">
        <v>0</v>
      </c>
      <c r="L557">
        <v>0</v>
      </c>
      <c r="M557">
        <v>0</v>
      </c>
      <c r="N557">
        <v>0</v>
      </c>
      <c r="P557" s="18">
        <f t="shared" si="353"/>
        <v>0</v>
      </c>
      <c r="Q557" s="18">
        <f t="shared" si="354"/>
        <v>0</v>
      </c>
      <c r="R557" s="18">
        <f t="shared" si="355"/>
        <v>0</v>
      </c>
      <c r="S557" s="18">
        <f t="shared" si="356"/>
        <v>0</v>
      </c>
      <c r="T557" s="18">
        <f t="shared" si="357"/>
        <v>0</v>
      </c>
      <c r="U557" s="18">
        <f t="shared" si="358"/>
        <v>0</v>
      </c>
      <c r="V557" s="18">
        <f t="shared" si="359"/>
        <v>0</v>
      </c>
      <c r="W557" s="18">
        <f t="shared" si="360"/>
        <v>0</v>
      </c>
    </row>
    <row r="558" spans="1:23" x14ac:dyDescent="0.2">
      <c r="A558">
        <v>8015</v>
      </c>
      <c r="B558">
        <v>0</v>
      </c>
      <c r="C558">
        <v>0</v>
      </c>
      <c r="D558">
        <v>0</v>
      </c>
      <c r="E558">
        <v>0</v>
      </c>
      <c r="F558">
        <v>0</v>
      </c>
      <c r="G558">
        <v>0</v>
      </c>
      <c r="H558">
        <v>0</v>
      </c>
      <c r="I558">
        <v>0</v>
      </c>
      <c r="J558">
        <v>0</v>
      </c>
      <c r="K558">
        <v>0</v>
      </c>
      <c r="L558">
        <v>0</v>
      </c>
      <c r="M558">
        <v>0</v>
      </c>
      <c r="N558">
        <v>0</v>
      </c>
      <c r="P558" s="18">
        <f t="shared" si="353"/>
        <v>0</v>
      </c>
      <c r="Q558" s="18">
        <f t="shared" si="354"/>
        <v>0</v>
      </c>
      <c r="R558" s="18">
        <f t="shared" si="355"/>
        <v>0</v>
      </c>
      <c r="S558" s="18">
        <f t="shared" si="356"/>
        <v>0</v>
      </c>
      <c r="T558" s="18">
        <f t="shared" si="357"/>
        <v>0</v>
      </c>
      <c r="U558" s="18">
        <f t="shared" si="358"/>
        <v>0</v>
      </c>
      <c r="V558" s="18">
        <f t="shared" si="359"/>
        <v>0</v>
      </c>
      <c r="W558" s="18">
        <f t="shared" si="360"/>
        <v>0</v>
      </c>
    </row>
    <row r="559" spans="1:23" x14ac:dyDescent="0.2">
      <c r="A559">
        <v>8093</v>
      </c>
      <c r="B559">
        <v>0</v>
      </c>
      <c r="C559">
        <v>0</v>
      </c>
      <c r="D559">
        <v>0</v>
      </c>
      <c r="E559">
        <v>0</v>
      </c>
      <c r="F559">
        <v>0</v>
      </c>
      <c r="G559">
        <v>0</v>
      </c>
      <c r="H559">
        <v>0</v>
      </c>
      <c r="I559">
        <v>0</v>
      </c>
      <c r="J559">
        <v>0</v>
      </c>
      <c r="K559">
        <v>0</v>
      </c>
      <c r="L559">
        <v>0</v>
      </c>
      <c r="M559">
        <v>0</v>
      </c>
      <c r="N559">
        <v>0</v>
      </c>
      <c r="P559" s="18">
        <f t="shared" si="353"/>
        <v>0</v>
      </c>
      <c r="Q559" s="18">
        <f t="shared" si="354"/>
        <v>0</v>
      </c>
      <c r="R559" s="18">
        <f t="shared" si="355"/>
        <v>0</v>
      </c>
      <c r="S559" s="18">
        <f t="shared" si="356"/>
        <v>0</v>
      </c>
      <c r="T559" s="18">
        <f t="shared" si="357"/>
        <v>0</v>
      </c>
      <c r="U559" s="18">
        <f t="shared" si="358"/>
        <v>0</v>
      </c>
      <c r="V559" s="18">
        <f t="shared" si="359"/>
        <v>0</v>
      </c>
      <c r="W559" s="18">
        <f t="shared" si="360"/>
        <v>0</v>
      </c>
    </row>
    <row r="560" spans="1:23" x14ac:dyDescent="0.2">
      <c r="A560">
        <v>8119</v>
      </c>
      <c r="B560">
        <v>0</v>
      </c>
      <c r="C560">
        <v>0</v>
      </c>
      <c r="D560">
        <v>0</v>
      </c>
      <c r="E560">
        <v>0</v>
      </c>
      <c r="F560">
        <v>0</v>
      </c>
      <c r="G560">
        <v>0</v>
      </c>
      <c r="H560">
        <v>0</v>
      </c>
      <c r="I560">
        <v>0</v>
      </c>
      <c r="J560">
        <v>0</v>
      </c>
      <c r="K560">
        <v>0</v>
      </c>
      <c r="L560">
        <v>0</v>
      </c>
      <c r="M560">
        <v>0</v>
      </c>
      <c r="N560">
        <v>0</v>
      </c>
      <c r="P560" s="18">
        <f t="shared" si="353"/>
        <v>0</v>
      </c>
      <c r="Q560" s="18">
        <f t="shared" si="354"/>
        <v>0</v>
      </c>
      <c r="R560" s="18">
        <f t="shared" si="355"/>
        <v>0</v>
      </c>
      <c r="S560" s="18">
        <f t="shared" si="356"/>
        <v>0</v>
      </c>
      <c r="T560" s="18">
        <f t="shared" si="357"/>
        <v>0</v>
      </c>
      <c r="U560" s="18">
        <f t="shared" si="358"/>
        <v>0</v>
      </c>
      <c r="V560" s="18">
        <f t="shared" si="359"/>
        <v>0</v>
      </c>
      <c r="W560" s="18">
        <f t="shared" si="360"/>
        <v>0</v>
      </c>
    </row>
    <row r="561" spans="1:23" x14ac:dyDescent="0.2">
      <c r="A561">
        <v>7976</v>
      </c>
      <c r="B561">
        <v>0</v>
      </c>
      <c r="C561">
        <v>0</v>
      </c>
      <c r="D561">
        <v>0</v>
      </c>
      <c r="E561">
        <v>0</v>
      </c>
      <c r="F561">
        <v>0</v>
      </c>
      <c r="G561">
        <v>0</v>
      </c>
      <c r="H561">
        <v>0</v>
      </c>
      <c r="I561">
        <v>0</v>
      </c>
      <c r="J561">
        <v>0</v>
      </c>
      <c r="K561">
        <v>0</v>
      </c>
      <c r="L561">
        <v>0</v>
      </c>
      <c r="M561">
        <v>0</v>
      </c>
      <c r="N561">
        <v>0</v>
      </c>
      <c r="P561" s="18">
        <f t="shared" si="353"/>
        <v>0</v>
      </c>
      <c r="Q561" s="18">
        <f t="shared" si="354"/>
        <v>0</v>
      </c>
      <c r="R561" s="18">
        <f t="shared" si="355"/>
        <v>0</v>
      </c>
      <c r="S561" s="18">
        <f t="shared" si="356"/>
        <v>0</v>
      </c>
      <c r="T561" s="18">
        <f t="shared" si="357"/>
        <v>0</v>
      </c>
      <c r="U561" s="18">
        <f t="shared" si="358"/>
        <v>0</v>
      </c>
      <c r="V561" s="18">
        <f t="shared" si="359"/>
        <v>0</v>
      </c>
      <c r="W561" s="18">
        <f t="shared" si="360"/>
        <v>0</v>
      </c>
    </row>
    <row r="562" spans="1:23" x14ac:dyDescent="0.2">
      <c r="A562">
        <v>8128</v>
      </c>
      <c r="B562">
        <v>0</v>
      </c>
      <c r="C562">
        <v>0</v>
      </c>
      <c r="D562">
        <v>0</v>
      </c>
      <c r="E562">
        <v>0</v>
      </c>
      <c r="F562">
        <v>0</v>
      </c>
      <c r="G562">
        <v>0</v>
      </c>
      <c r="H562">
        <v>0</v>
      </c>
      <c r="I562">
        <v>0</v>
      </c>
      <c r="J562">
        <v>0</v>
      </c>
      <c r="K562">
        <v>0</v>
      </c>
      <c r="L562">
        <v>0</v>
      </c>
      <c r="M562">
        <v>0</v>
      </c>
      <c r="N562">
        <v>0</v>
      </c>
      <c r="P562" s="18">
        <f t="shared" si="353"/>
        <v>0</v>
      </c>
      <c r="Q562" s="18">
        <f t="shared" si="354"/>
        <v>0</v>
      </c>
      <c r="R562" s="18">
        <f t="shared" si="355"/>
        <v>0</v>
      </c>
      <c r="S562" s="18">
        <f t="shared" si="356"/>
        <v>0</v>
      </c>
      <c r="T562" s="18">
        <f t="shared" si="357"/>
        <v>0</v>
      </c>
      <c r="U562" s="18">
        <f t="shared" si="358"/>
        <v>0</v>
      </c>
      <c r="V562" s="18">
        <f t="shared" si="359"/>
        <v>0</v>
      </c>
      <c r="W562" s="18">
        <f t="shared" si="360"/>
        <v>0</v>
      </c>
    </row>
    <row r="563" spans="1:23" x14ac:dyDescent="0.2">
      <c r="A563">
        <v>8130</v>
      </c>
      <c r="B563">
        <v>0</v>
      </c>
      <c r="C563">
        <v>0</v>
      </c>
      <c r="D563">
        <v>0</v>
      </c>
      <c r="E563">
        <v>0</v>
      </c>
      <c r="F563">
        <v>0</v>
      </c>
      <c r="G563">
        <v>0</v>
      </c>
      <c r="H563">
        <v>0</v>
      </c>
      <c r="I563">
        <v>0</v>
      </c>
      <c r="J563">
        <v>0</v>
      </c>
      <c r="K563">
        <v>0</v>
      </c>
      <c r="L563">
        <v>0</v>
      </c>
      <c r="M563">
        <v>0</v>
      </c>
      <c r="N563">
        <v>0</v>
      </c>
      <c r="P563" s="18">
        <f t="shared" si="353"/>
        <v>0</v>
      </c>
      <c r="Q563" s="18">
        <f t="shared" si="354"/>
        <v>0</v>
      </c>
      <c r="R563" s="18">
        <f t="shared" si="355"/>
        <v>0</v>
      </c>
      <c r="S563" s="18">
        <f t="shared" si="356"/>
        <v>0</v>
      </c>
      <c r="T563" s="18">
        <f t="shared" si="357"/>
        <v>0</v>
      </c>
      <c r="U563" s="18">
        <f t="shared" si="358"/>
        <v>0</v>
      </c>
      <c r="V563" s="18">
        <f t="shared" si="359"/>
        <v>0</v>
      </c>
      <c r="W563" s="18">
        <f t="shared" si="360"/>
        <v>0</v>
      </c>
    </row>
    <row r="564" spans="1:23" x14ac:dyDescent="0.2">
      <c r="A564">
        <v>8159</v>
      </c>
      <c r="B564">
        <v>0.34400000000000003</v>
      </c>
      <c r="C564">
        <v>1.3760000000000001</v>
      </c>
      <c r="D564">
        <v>0</v>
      </c>
      <c r="E564">
        <v>0</v>
      </c>
      <c r="F564">
        <v>0</v>
      </c>
      <c r="G564">
        <v>0</v>
      </c>
      <c r="H564">
        <v>0</v>
      </c>
      <c r="I564">
        <v>0</v>
      </c>
      <c r="J564">
        <v>0</v>
      </c>
      <c r="K564">
        <v>0</v>
      </c>
      <c r="L564">
        <v>0</v>
      </c>
      <c r="M564">
        <v>0</v>
      </c>
      <c r="N564">
        <v>0</v>
      </c>
      <c r="P564" s="18">
        <f t="shared" si="353"/>
        <v>0.34400000000000003</v>
      </c>
      <c r="Q564" s="18">
        <f t="shared" si="354"/>
        <v>1.3760000000000001</v>
      </c>
      <c r="R564" s="18">
        <f t="shared" si="355"/>
        <v>0</v>
      </c>
      <c r="S564" s="18">
        <f t="shared" si="356"/>
        <v>0</v>
      </c>
      <c r="T564" s="18">
        <f t="shared" si="357"/>
        <v>0</v>
      </c>
      <c r="U564" s="18">
        <f t="shared" si="358"/>
        <v>0</v>
      </c>
      <c r="V564" s="18">
        <f t="shared" si="359"/>
        <v>0</v>
      </c>
      <c r="W564" s="18">
        <f t="shared" si="360"/>
        <v>0</v>
      </c>
    </row>
    <row r="565" spans="1:23" x14ac:dyDescent="0.2">
      <c r="A565">
        <v>8172</v>
      </c>
      <c r="B565">
        <v>0</v>
      </c>
      <c r="C565">
        <v>0</v>
      </c>
      <c r="D565">
        <v>0</v>
      </c>
      <c r="E565">
        <v>0</v>
      </c>
      <c r="F565">
        <v>0</v>
      </c>
      <c r="G565">
        <v>0</v>
      </c>
      <c r="H565">
        <v>0</v>
      </c>
      <c r="I565">
        <v>0</v>
      </c>
      <c r="J565">
        <v>0</v>
      </c>
      <c r="K565">
        <v>0</v>
      </c>
      <c r="L565">
        <v>0</v>
      </c>
      <c r="M565">
        <v>0</v>
      </c>
      <c r="N565">
        <v>0</v>
      </c>
      <c r="P565" s="18">
        <f t="shared" si="353"/>
        <v>0</v>
      </c>
      <c r="Q565" s="18">
        <f t="shared" si="354"/>
        <v>0</v>
      </c>
      <c r="R565" s="18">
        <f t="shared" si="355"/>
        <v>0</v>
      </c>
      <c r="S565" s="18">
        <f t="shared" si="356"/>
        <v>0</v>
      </c>
      <c r="T565" s="18">
        <f t="shared" si="357"/>
        <v>0</v>
      </c>
      <c r="U565" s="18">
        <f t="shared" si="358"/>
        <v>0</v>
      </c>
      <c r="V565" s="18">
        <f t="shared" si="359"/>
        <v>0</v>
      </c>
      <c r="W565" s="18">
        <f t="shared" si="360"/>
        <v>0</v>
      </c>
    </row>
    <row r="566" spans="1:23" x14ac:dyDescent="0.2">
      <c r="A566">
        <v>8117</v>
      </c>
      <c r="B566">
        <v>0</v>
      </c>
      <c r="C566">
        <v>0</v>
      </c>
      <c r="D566">
        <v>0</v>
      </c>
      <c r="E566">
        <v>0</v>
      </c>
      <c r="F566">
        <v>0</v>
      </c>
      <c r="G566">
        <v>0</v>
      </c>
      <c r="H566">
        <v>0</v>
      </c>
      <c r="I566">
        <v>0</v>
      </c>
      <c r="J566">
        <v>0</v>
      </c>
      <c r="K566">
        <v>0</v>
      </c>
      <c r="L566">
        <v>0</v>
      </c>
      <c r="M566">
        <v>0</v>
      </c>
      <c r="N566">
        <v>0</v>
      </c>
      <c r="P566" s="18">
        <f t="shared" si="353"/>
        <v>0</v>
      </c>
      <c r="Q566" s="18">
        <f t="shared" si="354"/>
        <v>0</v>
      </c>
      <c r="R566" s="18">
        <f t="shared" si="355"/>
        <v>0</v>
      </c>
      <c r="S566" s="18">
        <f t="shared" si="356"/>
        <v>0</v>
      </c>
      <c r="T566" s="18">
        <f t="shared" si="357"/>
        <v>0</v>
      </c>
      <c r="U566" s="18">
        <f t="shared" si="358"/>
        <v>0</v>
      </c>
      <c r="V566" s="18">
        <f t="shared" si="359"/>
        <v>0</v>
      </c>
      <c r="W566" s="18">
        <f t="shared" si="360"/>
        <v>0</v>
      </c>
    </row>
    <row r="567" spans="1:23" x14ac:dyDescent="0.2">
      <c r="A567">
        <v>8200</v>
      </c>
      <c r="B567">
        <v>0</v>
      </c>
      <c r="C567">
        <v>0</v>
      </c>
      <c r="D567">
        <v>0</v>
      </c>
      <c r="E567">
        <v>0</v>
      </c>
      <c r="F567">
        <v>0</v>
      </c>
      <c r="G567">
        <v>0</v>
      </c>
      <c r="H567">
        <v>0</v>
      </c>
      <c r="I567">
        <v>0</v>
      </c>
      <c r="J567">
        <v>0</v>
      </c>
      <c r="K567">
        <v>0</v>
      </c>
      <c r="L567">
        <v>0</v>
      </c>
      <c r="M567">
        <v>0</v>
      </c>
      <c r="N567">
        <v>0</v>
      </c>
      <c r="P567" s="18">
        <f t="shared" si="353"/>
        <v>0</v>
      </c>
      <c r="Q567" s="18">
        <f t="shared" si="354"/>
        <v>0</v>
      </c>
      <c r="R567" s="18">
        <f t="shared" si="355"/>
        <v>0</v>
      </c>
      <c r="S567" s="18">
        <f t="shared" si="356"/>
        <v>0</v>
      </c>
      <c r="T567" s="18">
        <f t="shared" si="357"/>
        <v>0</v>
      </c>
      <c r="U567" s="18">
        <f t="shared" si="358"/>
        <v>0</v>
      </c>
      <c r="V567" s="18">
        <f t="shared" si="359"/>
        <v>0</v>
      </c>
      <c r="W567" s="18">
        <f t="shared" si="360"/>
        <v>0</v>
      </c>
    </row>
    <row r="568" spans="1:23" x14ac:dyDescent="0.2">
      <c r="A568">
        <v>8192</v>
      </c>
      <c r="B568">
        <v>0</v>
      </c>
      <c r="C568">
        <v>0</v>
      </c>
      <c r="D568">
        <v>0</v>
      </c>
      <c r="E568">
        <v>0</v>
      </c>
      <c r="F568">
        <v>0</v>
      </c>
      <c r="G568">
        <v>0</v>
      </c>
      <c r="H568">
        <v>0</v>
      </c>
      <c r="I568">
        <v>0</v>
      </c>
      <c r="J568">
        <v>0</v>
      </c>
      <c r="K568">
        <v>0</v>
      </c>
      <c r="L568">
        <v>0</v>
      </c>
      <c r="M568">
        <v>0</v>
      </c>
      <c r="N568">
        <v>0</v>
      </c>
      <c r="P568" s="18">
        <f t="shared" si="353"/>
        <v>0</v>
      </c>
      <c r="Q568" s="18">
        <f t="shared" si="354"/>
        <v>0</v>
      </c>
      <c r="R568" s="18">
        <f t="shared" si="355"/>
        <v>0</v>
      </c>
      <c r="S568" s="18">
        <f t="shared" si="356"/>
        <v>0</v>
      </c>
      <c r="T568" s="18">
        <f t="shared" si="357"/>
        <v>0</v>
      </c>
      <c r="U568" s="18">
        <f t="shared" si="358"/>
        <v>0</v>
      </c>
      <c r="V568" s="18">
        <f t="shared" si="359"/>
        <v>0</v>
      </c>
      <c r="W568" s="18">
        <f t="shared" si="360"/>
        <v>0</v>
      </c>
    </row>
    <row r="569" spans="1:23" x14ac:dyDescent="0.2">
      <c r="A569">
        <v>8217</v>
      </c>
      <c r="B569">
        <v>0</v>
      </c>
      <c r="C569">
        <v>0</v>
      </c>
      <c r="D569">
        <v>0</v>
      </c>
      <c r="E569">
        <v>0</v>
      </c>
      <c r="F569">
        <v>0</v>
      </c>
      <c r="G569">
        <v>0</v>
      </c>
      <c r="H569">
        <v>0</v>
      </c>
      <c r="I569">
        <v>0</v>
      </c>
      <c r="J569">
        <v>0</v>
      </c>
      <c r="K569">
        <v>0</v>
      </c>
      <c r="L569">
        <v>4.2000000000000003E-2</v>
      </c>
      <c r="M569">
        <v>0</v>
      </c>
      <c r="N569">
        <v>0</v>
      </c>
      <c r="P569" s="18">
        <f t="shared" ref="P569:P581" si="361">SUM(B569,G569)</f>
        <v>0</v>
      </c>
      <c r="Q569" s="18">
        <f t="shared" ref="Q569:Q581" si="362">SUM(C569,H569)</f>
        <v>0</v>
      </c>
      <c r="R569" s="18">
        <f t="shared" ref="R569:R581" si="363">SUM(D569,I569)</f>
        <v>0</v>
      </c>
      <c r="S569" s="18">
        <f t="shared" ref="S569:S581" si="364">SUM(E569,J569)</f>
        <v>0</v>
      </c>
      <c r="T569" s="18">
        <f t="shared" ref="T569:T581" si="365">K569</f>
        <v>0</v>
      </c>
      <c r="U569" s="18">
        <f t="shared" ref="U569:U581" si="366">L569</f>
        <v>4.2000000000000003E-2</v>
      </c>
      <c r="V569" s="18">
        <f t="shared" ref="V569:V581" si="367">M569</f>
        <v>0</v>
      </c>
      <c r="W569" s="18">
        <f t="shared" ref="W569:W581" si="368">SUM(F569,N569)</f>
        <v>0</v>
      </c>
    </row>
    <row r="570" spans="1:23" x14ac:dyDescent="0.2">
      <c r="A570">
        <v>8226</v>
      </c>
      <c r="B570">
        <v>0</v>
      </c>
      <c r="C570">
        <v>0</v>
      </c>
      <c r="D570">
        <v>0</v>
      </c>
      <c r="E570">
        <v>0</v>
      </c>
      <c r="F570">
        <v>0</v>
      </c>
      <c r="G570">
        <v>0</v>
      </c>
      <c r="H570">
        <v>0</v>
      </c>
      <c r="I570">
        <v>0</v>
      </c>
      <c r="J570">
        <v>0</v>
      </c>
      <c r="K570">
        <v>0</v>
      </c>
      <c r="L570">
        <v>0</v>
      </c>
      <c r="M570">
        <v>0</v>
      </c>
      <c r="N570">
        <v>0</v>
      </c>
      <c r="P570" s="18">
        <f t="shared" si="361"/>
        <v>0</v>
      </c>
      <c r="Q570" s="18">
        <f t="shared" si="362"/>
        <v>0</v>
      </c>
      <c r="R570" s="18">
        <f t="shared" si="363"/>
        <v>0</v>
      </c>
      <c r="S570" s="18">
        <f t="shared" si="364"/>
        <v>0</v>
      </c>
      <c r="T570" s="18">
        <f t="shared" si="365"/>
        <v>0</v>
      </c>
      <c r="U570" s="18">
        <f t="shared" si="366"/>
        <v>0</v>
      </c>
      <c r="V570" s="18">
        <f t="shared" si="367"/>
        <v>0</v>
      </c>
      <c r="W570" s="18">
        <f t="shared" si="368"/>
        <v>0</v>
      </c>
    </row>
    <row r="571" spans="1:23" x14ac:dyDescent="0.2">
      <c r="A571">
        <v>8183</v>
      </c>
      <c r="B571">
        <v>0</v>
      </c>
      <c r="C571">
        <v>0</v>
      </c>
      <c r="D571">
        <v>0</v>
      </c>
      <c r="E571">
        <v>0</v>
      </c>
      <c r="F571">
        <v>0</v>
      </c>
      <c r="G571">
        <v>0</v>
      </c>
      <c r="H571">
        <v>0</v>
      </c>
      <c r="I571">
        <v>0</v>
      </c>
      <c r="J571">
        <v>0</v>
      </c>
      <c r="K571">
        <v>0</v>
      </c>
      <c r="L571">
        <v>0</v>
      </c>
      <c r="M571">
        <v>0</v>
      </c>
      <c r="N571">
        <v>0</v>
      </c>
      <c r="P571" s="18">
        <f t="shared" si="361"/>
        <v>0</v>
      </c>
      <c r="Q571" s="18">
        <f t="shared" si="362"/>
        <v>0</v>
      </c>
      <c r="R571" s="18">
        <f t="shared" si="363"/>
        <v>0</v>
      </c>
      <c r="S571" s="18">
        <f t="shared" si="364"/>
        <v>0</v>
      </c>
      <c r="T571" s="18">
        <f t="shared" si="365"/>
        <v>0</v>
      </c>
      <c r="U571" s="18">
        <f t="shared" si="366"/>
        <v>0</v>
      </c>
      <c r="V571" s="18">
        <f t="shared" si="367"/>
        <v>0</v>
      </c>
      <c r="W571" s="18">
        <f t="shared" si="368"/>
        <v>0</v>
      </c>
    </row>
    <row r="572" spans="1:23" x14ac:dyDescent="0.2">
      <c r="A572">
        <v>8235</v>
      </c>
      <c r="B572">
        <v>0</v>
      </c>
      <c r="C572">
        <v>0</v>
      </c>
      <c r="D572">
        <v>0</v>
      </c>
      <c r="E572">
        <v>0</v>
      </c>
      <c r="F572">
        <v>0</v>
      </c>
      <c r="G572">
        <v>0</v>
      </c>
      <c r="H572">
        <v>0</v>
      </c>
      <c r="I572">
        <v>0</v>
      </c>
      <c r="J572">
        <v>0</v>
      </c>
      <c r="K572">
        <v>0</v>
      </c>
      <c r="L572">
        <v>0</v>
      </c>
      <c r="M572">
        <v>0</v>
      </c>
      <c r="N572">
        <v>0</v>
      </c>
      <c r="P572" s="18">
        <f t="shared" si="361"/>
        <v>0</v>
      </c>
      <c r="Q572" s="18">
        <f t="shared" si="362"/>
        <v>0</v>
      </c>
      <c r="R572" s="18">
        <f t="shared" si="363"/>
        <v>0</v>
      </c>
      <c r="S572" s="18">
        <f t="shared" si="364"/>
        <v>0</v>
      </c>
      <c r="T572" s="18">
        <f t="shared" si="365"/>
        <v>0</v>
      </c>
      <c r="U572" s="18">
        <f t="shared" si="366"/>
        <v>0</v>
      </c>
      <c r="V572" s="18">
        <f t="shared" si="367"/>
        <v>0</v>
      </c>
      <c r="W572" s="18">
        <f t="shared" si="368"/>
        <v>0</v>
      </c>
    </row>
    <row r="573" spans="1:23" x14ac:dyDescent="0.2">
      <c r="A573">
        <v>8244</v>
      </c>
      <c r="B573">
        <v>0</v>
      </c>
      <c r="C573">
        <v>0</v>
      </c>
      <c r="D573">
        <v>0</v>
      </c>
      <c r="E573">
        <v>0</v>
      </c>
      <c r="F573">
        <v>0</v>
      </c>
      <c r="G573">
        <v>0</v>
      </c>
      <c r="H573">
        <v>0</v>
      </c>
      <c r="I573">
        <v>0</v>
      </c>
      <c r="J573">
        <v>0</v>
      </c>
      <c r="K573">
        <v>0</v>
      </c>
      <c r="L573">
        <v>0</v>
      </c>
      <c r="M573">
        <v>0</v>
      </c>
      <c r="N573">
        <v>0</v>
      </c>
      <c r="P573" s="18">
        <f t="shared" si="361"/>
        <v>0</v>
      </c>
      <c r="Q573" s="18">
        <f t="shared" si="362"/>
        <v>0</v>
      </c>
      <c r="R573" s="18">
        <f t="shared" si="363"/>
        <v>0</v>
      </c>
      <c r="S573" s="18">
        <f t="shared" si="364"/>
        <v>0</v>
      </c>
      <c r="T573" s="18">
        <f t="shared" si="365"/>
        <v>0</v>
      </c>
      <c r="U573" s="18">
        <f t="shared" si="366"/>
        <v>0</v>
      </c>
      <c r="V573" s="18">
        <f t="shared" si="367"/>
        <v>0</v>
      </c>
      <c r="W573" s="18">
        <f t="shared" si="368"/>
        <v>0</v>
      </c>
    </row>
    <row r="574" spans="1:23" x14ac:dyDescent="0.2">
      <c r="A574">
        <v>8258</v>
      </c>
      <c r="B574">
        <v>0</v>
      </c>
      <c r="C574">
        <v>0</v>
      </c>
      <c r="D574">
        <v>0</v>
      </c>
      <c r="E574">
        <v>0</v>
      </c>
      <c r="F574">
        <v>0</v>
      </c>
      <c r="G574">
        <v>0</v>
      </c>
      <c r="H574">
        <v>0</v>
      </c>
      <c r="I574">
        <v>0</v>
      </c>
      <c r="J574">
        <v>0</v>
      </c>
      <c r="K574">
        <v>0</v>
      </c>
      <c r="L574">
        <v>0</v>
      </c>
      <c r="M574">
        <v>0</v>
      </c>
      <c r="N574">
        <v>0</v>
      </c>
      <c r="P574" s="18">
        <f t="shared" si="361"/>
        <v>0</v>
      </c>
      <c r="Q574" s="18">
        <f t="shared" si="362"/>
        <v>0</v>
      </c>
      <c r="R574" s="18">
        <f t="shared" si="363"/>
        <v>0</v>
      </c>
      <c r="S574" s="18">
        <f t="shared" si="364"/>
        <v>0</v>
      </c>
      <c r="T574" s="18">
        <f t="shared" si="365"/>
        <v>0</v>
      </c>
      <c r="U574" s="18">
        <f t="shared" si="366"/>
        <v>0</v>
      </c>
      <c r="V574" s="18">
        <f t="shared" si="367"/>
        <v>0</v>
      </c>
      <c r="W574" s="18">
        <f t="shared" si="368"/>
        <v>0</v>
      </c>
    </row>
    <row r="575" spans="1:23" x14ac:dyDescent="0.2">
      <c r="A575">
        <v>8260</v>
      </c>
      <c r="B575">
        <v>0</v>
      </c>
      <c r="C575">
        <v>0</v>
      </c>
      <c r="D575">
        <v>0</v>
      </c>
      <c r="E575">
        <v>0</v>
      </c>
      <c r="F575">
        <v>0</v>
      </c>
      <c r="G575">
        <v>0</v>
      </c>
      <c r="H575">
        <v>0</v>
      </c>
      <c r="I575">
        <v>0</v>
      </c>
      <c r="J575">
        <v>0</v>
      </c>
      <c r="K575">
        <v>0</v>
      </c>
      <c r="L575">
        <v>0</v>
      </c>
      <c r="M575">
        <v>0</v>
      </c>
      <c r="N575">
        <v>0</v>
      </c>
      <c r="P575" s="18">
        <f t="shared" si="361"/>
        <v>0</v>
      </c>
      <c r="Q575" s="18">
        <f t="shared" si="362"/>
        <v>0</v>
      </c>
      <c r="R575" s="18">
        <f t="shared" si="363"/>
        <v>0</v>
      </c>
      <c r="S575" s="18">
        <f t="shared" si="364"/>
        <v>0</v>
      </c>
      <c r="T575" s="18">
        <f t="shared" si="365"/>
        <v>0</v>
      </c>
      <c r="U575" s="18">
        <f t="shared" si="366"/>
        <v>0</v>
      </c>
      <c r="V575" s="18">
        <f t="shared" si="367"/>
        <v>0</v>
      </c>
      <c r="W575" s="18">
        <f t="shared" si="368"/>
        <v>0</v>
      </c>
    </row>
    <row r="576" spans="1:23" x14ac:dyDescent="0.2">
      <c r="A576">
        <v>8269</v>
      </c>
      <c r="B576">
        <v>0</v>
      </c>
      <c r="C576">
        <v>0</v>
      </c>
      <c r="D576">
        <v>0</v>
      </c>
      <c r="E576">
        <v>0</v>
      </c>
      <c r="F576">
        <v>0</v>
      </c>
      <c r="G576">
        <v>0</v>
      </c>
      <c r="H576">
        <v>0</v>
      </c>
      <c r="I576">
        <v>0</v>
      </c>
      <c r="J576">
        <v>0</v>
      </c>
      <c r="K576">
        <v>0</v>
      </c>
      <c r="L576">
        <v>0</v>
      </c>
      <c r="M576">
        <v>0</v>
      </c>
      <c r="N576">
        <v>0</v>
      </c>
      <c r="P576" s="18">
        <f t="shared" si="361"/>
        <v>0</v>
      </c>
      <c r="Q576" s="18">
        <f t="shared" si="362"/>
        <v>0</v>
      </c>
      <c r="R576" s="18">
        <f t="shared" si="363"/>
        <v>0</v>
      </c>
      <c r="S576" s="18">
        <f t="shared" si="364"/>
        <v>0</v>
      </c>
      <c r="T576" s="18">
        <f t="shared" si="365"/>
        <v>0</v>
      </c>
      <c r="U576" s="18">
        <f t="shared" si="366"/>
        <v>0</v>
      </c>
      <c r="V576" s="18">
        <f t="shared" si="367"/>
        <v>0</v>
      </c>
      <c r="W576" s="18">
        <f t="shared" si="368"/>
        <v>0</v>
      </c>
    </row>
    <row r="577" spans="1:23" x14ac:dyDescent="0.2">
      <c r="A577">
        <v>8282</v>
      </c>
      <c r="B577">
        <v>0</v>
      </c>
      <c r="C577">
        <v>0</v>
      </c>
      <c r="D577">
        <v>0</v>
      </c>
      <c r="E577">
        <v>0</v>
      </c>
      <c r="F577">
        <v>0</v>
      </c>
      <c r="G577">
        <v>0</v>
      </c>
      <c r="H577">
        <v>0</v>
      </c>
      <c r="I577">
        <v>0</v>
      </c>
      <c r="J577">
        <v>0</v>
      </c>
      <c r="K577">
        <v>0</v>
      </c>
      <c r="L577">
        <v>0</v>
      </c>
      <c r="M577">
        <v>0</v>
      </c>
      <c r="N577">
        <v>0</v>
      </c>
      <c r="P577" s="18">
        <f t="shared" si="361"/>
        <v>0</v>
      </c>
      <c r="Q577" s="18">
        <f t="shared" si="362"/>
        <v>0</v>
      </c>
      <c r="R577" s="18">
        <f t="shared" si="363"/>
        <v>0</v>
      </c>
      <c r="S577" s="18">
        <f t="shared" si="364"/>
        <v>0</v>
      </c>
      <c r="T577" s="18">
        <f t="shared" si="365"/>
        <v>0</v>
      </c>
      <c r="U577" s="18">
        <f t="shared" si="366"/>
        <v>0</v>
      </c>
      <c r="V577" s="18">
        <f t="shared" si="367"/>
        <v>0</v>
      </c>
      <c r="W577" s="18">
        <f t="shared" si="368"/>
        <v>0</v>
      </c>
    </row>
    <row r="578" spans="1:23" x14ac:dyDescent="0.2">
      <c r="A578">
        <v>8285</v>
      </c>
      <c r="B578">
        <v>0</v>
      </c>
      <c r="C578">
        <v>0</v>
      </c>
      <c r="D578">
        <v>0</v>
      </c>
      <c r="E578">
        <v>0</v>
      </c>
      <c r="F578">
        <v>0</v>
      </c>
      <c r="G578">
        <v>0</v>
      </c>
      <c r="H578">
        <v>0</v>
      </c>
      <c r="I578">
        <v>0</v>
      </c>
      <c r="J578">
        <v>0</v>
      </c>
      <c r="K578">
        <v>0</v>
      </c>
      <c r="L578">
        <v>0</v>
      </c>
      <c r="M578">
        <v>0</v>
      </c>
      <c r="N578">
        <v>0</v>
      </c>
      <c r="P578" s="18">
        <f t="shared" si="361"/>
        <v>0</v>
      </c>
      <c r="Q578" s="18">
        <f t="shared" si="362"/>
        <v>0</v>
      </c>
      <c r="R578" s="18">
        <f t="shared" si="363"/>
        <v>0</v>
      </c>
      <c r="S578" s="18">
        <f t="shared" si="364"/>
        <v>0</v>
      </c>
      <c r="T578" s="18">
        <f t="shared" si="365"/>
        <v>0</v>
      </c>
      <c r="U578" s="18">
        <f t="shared" si="366"/>
        <v>0</v>
      </c>
      <c r="V578" s="18">
        <f t="shared" si="367"/>
        <v>0</v>
      </c>
      <c r="W578" s="18">
        <f t="shared" si="368"/>
        <v>0</v>
      </c>
    </row>
    <row r="579" spans="1:23" x14ac:dyDescent="0.2">
      <c r="A579">
        <v>8309</v>
      </c>
      <c r="B579">
        <v>0</v>
      </c>
      <c r="C579">
        <v>0</v>
      </c>
      <c r="D579">
        <v>0</v>
      </c>
      <c r="E579">
        <v>0</v>
      </c>
      <c r="F579">
        <v>0</v>
      </c>
      <c r="G579">
        <v>0</v>
      </c>
      <c r="H579">
        <v>0</v>
      </c>
      <c r="I579">
        <v>0</v>
      </c>
      <c r="J579">
        <v>0</v>
      </c>
      <c r="K579">
        <v>0</v>
      </c>
      <c r="L579">
        <v>0</v>
      </c>
      <c r="M579">
        <v>0</v>
      </c>
      <c r="N579">
        <v>0</v>
      </c>
      <c r="P579" s="18">
        <f t="shared" si="361"/>
        <v>0</v>
      </c>
      <c r="Q579" s="18">
        <f t="shared" si="362"/>
        <v>0</v>
      </c>
      <c r="R579" s="18">
        <f t="shared" si="363"/>
        <v>0</v>
      </c>
      <c r="S579" s="18">
        <f t="shared" si="364"/>
        <v>0</v>
      </c>
      <c r="T579" s="18">
        <f t="shared" si="365"/>
        <v>0</v>
      </c>
      <c r="U579" s="18">
        <f t="shared" si="366"/>
        <v>0</v>
      </c>
      <c r="V579" s="18">
        <f t="shared" si="367"/>
        <v>0</v>
      </c>
      <c r="W579" s="18">
        <f t="shared" si="368"/>
        <v>0</v>
      </c>
    </row>
    <row r="580" spans="1:23" x14ac:dyDescent="0.2">
      <c r="A580">
        <v>8307</v>
      </c>
      <c r="B580">
        <v>0</v>
      </c>
      <c r="C580">
        <v>0</v>
      </c>
      <c r="D580">
        <v>0</v>
      </c>
      <c r="E580">
        <v>0</v>
      </c>
      <c r="F580">
        <v>0</v>
      </c>
      <c r="G580">
        <v>0</v>
      </c>
      <c r="H580">
        <v>0</v>
      </c>
      <c r="I580">
        <v>0</v>
      </c>
      <c r="J580">
        <v>0</v>
      </c>
      <c r="K580">
        <v>0</v>
      </c>
      <c r="L580">
        <v>0</v>
      </c>
      <c r="M580">
        <v>0</v>
      </c>
      <c r="N580">
        <v>0</v>
      </c>
      <c r="P580" s="18">
        <f t="shared" si="361"/>
        <v>0</v>
      </c>
      <c r="Q580" s="18">
        <f t="shared" si="362"/>
        <v>0</v>
      </c>
      <c r="R580" s="18">
        <f t="shared" si="363"/>
        <v>0</v>
      </c>
      <c r="S580" s="18">
        <f t="shared" si="364"/>
        <v>0</v>
      </c>
      <c r="T580" s="18">
        <f t="shared" si="365"/>
        <v>0</v>
      </c>
      <c r="U580" s="18">
        <f t="shared" si="366"/>
        <v>0</v>
      </c>
      <c r="V580" s="18">
        <f t="shared" si="367"/>
        <v>0</v>
      </c>
      <c r="W580" s="18">
        <f t="shared" si="368"/>
        <v>0</v>
      </c>
    </row>
    <row r="581" spans="1:23" x14ac:dyDescent="0.2">
      <c r="A581">
        <v>8314</v>
      </c>
      <c r="B581">
        <v>0</v>
      </c>
      <c r="C581">
        <v>0</v>
      </c>
      <c r="D581">
        <v>0</v>
      </c>
      <c r="E581">
        <v>0</v>
      </c>
      <c r="F581">
        <v>0</v>
      </c>
      <c r="G581">
        <v>0</v>
      </c>
      <c r="H581">
        <v>0</v>
      </c>
      <c r="I581">
        <v>0</v>
      </c>
      <c r="J581">
        <v>0</v>
      </c>
      <c r="K581">
        <v>0</v>
      </c>
      <c r="L581">
        <v>0</v>
      </c>
      <c r="M581">
        <v>0</v>
      </c>
      <c r="N581">
        <v>0</v>
      </c>
      <c r="P581" s="18">
        <f t="shared" si="361"/>
        <v>0</v>
      </c>
      <c r="Q581" s="18">
        <f t="shared" si="362"/>
        <v>0</v>
      </c>
      <c r="R581" s="18">
        <f t="shared" si="363"/>
        <v>0</v>
      </c>
      <c r="S581" s="18">
        <f t="shared" si="364"/>
        <v>0</v>
      </c>
      <c r="T581" s="18">
        <f t="shared" si="365"/>
        <v>0</v>
      </c>
      <c r="U581" s="18">
        <f t="shared" si="366"/>
        <v>0</v>
      </c>
      <c r="V581" s="18">
        <f t="shared" si="367"/>
        <v>0</v>
      </c>
      <c r="W581" s="18">
        <f t="shared" si="368"/>
        <v>0</v>
      </c>
    </row>
    <row r="582" spans="1:23" x14ac:dyDescent="0.2">
      <c r="A582">
        <v>7998</v>
      </c>
      <c r="B582">
        <v>0</v>
      </c>
      <c r="C582">
        <v>0</v>
      </c>
      <c r="D582">
        <v>0</v>
      </c>
      <c r="E582">
        <v>0</v>
      </c>
      <c r="F582">
        <v>0</v>
      </c>
      <c r="G582">
        <v>0</v>
      </c>
      <c r="H582">
        <v>0</v>
      </c>
      <c r="I582">
        <v>0</v>
      </c>
      <c r="J582">
        <v>0</v>
      </c>
      <c r="K582">
        <v>0</v>
      </c>
      <c r="L582">
        <v>0</v>
      </c>
      <c r="M582">
        <v>0</v>
      </c>
      <c r="N582">
        <v>0</v>
      </c>
      <c r="P582" s="18">
        <f t="shared" ref="P582:P583" si="369">SUM(B582,G582)</f>
        <v>0</v>
      </c>
      <c r="Q582" s="18">
        <f t="shared" ref="Q582:Q583" si="370">SUM(C582,H582)</f>
        <v>0</v>
      </c>
      <c r="R582" s="18">
        <f t="shared" ref="R582:R583" si="371">SUM(D582,I582)</f>
        <v>0</v>
      </c>
      <c r="S582" s="18">
        <f t="shared" ref="S582:S583" si="372">SUM(E582,J582)</f>
        <v>0</v>
      </c>
      <c r="T582" s="18">
        <f t="shared" ref="T582:T583" si="373">K582</f>
        <v>0</v>
      </c>
      <c r="U582" s="18">
        <f t="shared" ref="U582:U583" si="374">L582</f>
        <v>0</v>
      </c>
      <c r="V582" s="18">
        <f t="shared" ref="V582:V583" si="375">M582</f>
        <v>0</v>
      </c>
      <c r="W582" s="18">
        <f t="shared" ref="W582:W583" si="376">SUM(F582,N582)</f>
        <v>0</v>
      </c>
    </row>
    <row r="583" spans="1:23" x14ac:dyDescent="0.2">
      <c r="A583">
        <v>8059</v>
      </c>
      <c r="B583">
        <v>0</v>
      </c>
      <c r="C583">
        <v>0</v>
      </c>
      <c r="D583">
        <v>0</v>
      </c>
      <c r="E583">
        <v>0</v>
      </c>
      <c r="F583">
        <v>0</v>
      </c>
      <c r="G583">
        <v>0</v>
      </c>
      <c r="H583">
        <v>0</v>
      </c>
      <c r="I583">
        <v>0</v>
      </c>
      <c r="J583">
        <v>0</v>
      </c>
      <c r="K583">
        <v>0</v>
      </c>
      <c r="L583">
        <v>0</v>
      </c>
      <c r="M583">
        <v>0</v>
      </c>
      <c r="N583">
        <v>0</v>
      </c>
      <c r="P583" s="18">
        <f t="shared" si="369"/>
        <v>0</v>
      </c>
      <c r="Q583" s="18">
        <f t="shared" si="370"/>
        <v>0</v>
      </c>
      <c r="R583" s="18">
        <f t="shared" si="371"/>
        <v>0</v>
      </c>
      <c r="S583" s="18">
        <f t="shared" si="372"/>
        <v>0</v>
      </c>
      <c r="T583" s="18">
        <f t="shared" si="373"/>
        <v>0</v>
      </c>
      <c r="U583" s="18">
        <f t="shared" si="374"/>
        <v>0</v>
      </c>
      <c r="V583" s="18">
        <f t="shared" si="375"/>
        <v>0</v>
      </c>
      <c r="W583" s="18">
        <f t="shared" si="376"/>
        <v>0</v>
      </c>
    </row>
    <row r="584" spans="1:23" x14ac:dyDescent="0.2">
      <c r="A584">
        <v>8319</v>
      </c>
      <c r="B584">
        <v>0</v>
      </c>
      <c r="C584">
        <v>0</v>
      </c>
      <c r="D584">
        <v>0</v>
      </c>
      <c r="E584">
        <v>0</v>
      </c>
      <c r="F584">
        <v>0</v>
      </c>
      <c r="G584">
        <v>0</v>
      </c>
      <c r="H584">
        <v>0</v>
      </c>
      <c r="I584">
        <v>0</v>
      </c>
      <c r="J584">
        <v>0</v>
      </c>
      <c r="K584">
        <v>0</v>
      </c>
      <c r="L584">
        <v>0</v>
      </c>
      <c r="M584">
        <v>0</v>
      </c>
      <c r="N584">
        <v>0</v>
      </c>
      <c r="P584" s="18">
        <f t="shared" ref="P584:P590" si="377">SUM(B584,G584)</f>
        <v>0</v>
      </c>
      <c r="Q584" s="18">
        <f t="shared" ref="Q584:Q590" si="378">SUM(C584,H584)</f>
        <v>0</v>
      </c>
      <c r="R584" s="18">
        <f t="shared" ref="R584:R590" si="379">SUM(D584,I584)</f>
        <v>0</v>
      </c>
      <c r="S584" s="18">
        <f t="shared" ref="S584:S590" si="380">SUM(E584,J584)</f>
        <v>0</v>
      </c>
      <c r="T584" s="18">
        <f t="shared" ref="T584:T590" si="381">K584</f>
        <v>0</v>
      </c>
      <c r="U584" s="18">
        <f t="shared" ref="U584:U590" si="382">L584</f>
        <v>0</v>
      </c>
      <c r="V584" s="18">
        <f t="shared" ref="V584:V590" si="383">M584</f>
        <v>0</v>
      </c>
      <c r="W584" s="18">
        <f t="shared" ref="W584:W590" si="384">SUM(F584,N584)</f>
        <v>0</v>
      </c>
    </row>
    <row r="585" spans="1:23" x14ac:dyDescent="0.2">
      <c r="A585">
        <v>8294</v>
      </c>
      <c r="B585">
        <v>0</v>
      </c>
      <c r="C585">
        <v>0</v>
      </c>
      <c r="D585">
        <v>0</v>
      </c>
      <c r="E585">
        <v>0</v>
      </c>
      <c r="F585">
        <v>0</v>
      </c>
      <c r="G585">
        <v>0</v>
      </c>
      <c r="H585">
        <v>2.9340000000000002</v>
      </c>
      <c r="I585">
        <v>0</v>
      </c>
      <c r="J585">
        <v>0</v>
      </c>
      <c r="K585">
        <v>0</v>
      </c>
      <c r="L585">
        <v>0</v>
      </c>
      <c r="M585">
        <v>0</v>
      </c>
      <c r="N585">
        <v>0</v>
      </c>
      <c r="P585" s="18">
        <f t="shared" si="377"/>
        <v>0</v>
      </c>
      <c r="Q585" s="18">
        <f t="shared" si="378"/>
        <v>2.9340000000000002</v>
      </c>
      <c r="R585" s="18">
        <f t="shared" si="379"/>
        <v>0</v>
      </c>
      <c r="S585" s="18">
        <f t="shared" si="380"/>
        <v>0</v>
      </c>
      <c r="T585" s="18">
        <f t="shared" si="381"/>
        <v>0</v>
      </c>
      <c r="U585" s="18">
        <f t="shared" si="382"/>
        <v>0</v>
      </c>
      <c r="V585" s="18">
        <f t="shared" si="383"/>
        <v>0</v>
      </c>
      <c r="W585" s="18">
        <f t="shared" si="384"/>
        <v>0</v>
      </c>
    </row>
    <row r="586" spans="1:23" x14ac:dyDescent="0.2">
      <c r="A586">
        <v>8325</v>
      </c>
      <c r="B586">
        <v>0</v>
      </c>
      <c r="C586">
        <v>0</v>
      </c>
      <c r="D586">
        <v>0</v>
      </c>
      <c r="E586">
        <v>0</v>
      </c>
      <c r="F586">
        <v>0</v>
      </c>
      <c r="G586">
        <v>0</v>
      </c>
      <c r="H586">
        <v>0</v>
      </c>
      <c r="I586">
        <v>0</v>
      </c>
      <c r="J586">
        <v>0</v>
      </c>
      <c r="K586">
        <v>0</v>
      </c>
      <c r="L586">
        <v>0</v>
      </c>
      <c r="M586">
        <v>0</v>
      </c>
      <c r="N586">
        <v>0</v>
      </c>
      <c r="P586" s="18">
        <f t="shared" si="377"/>
        <v>0</v>
      </c>
      <c r="Q586" s="18">
        <f t="shared" si="378"/>
        <v>0</v>
      </c>
      <c r="R586" s="18">
        <f t="shared" si="379"/>
        <v>0</v>
      </c>
      <c r="S586" s="18">
        <f t="shared" si="380"/>
        <v>0</v>
      </c>
      <c r="T586" s="18">
        <f t="shared" si="381"/>
        <v>0</v>
      </c>
      <c r="U586" s="18">
        <f t="shared" si="382"/>
        <v>0</v>
      </c>
      <c r="V586" s="18">
        <f t="shared" si="383"/>
        <v>0</v>
      </c>
      <c r="W586" s="18">
        <f t="shared" si="384"/>
        <v>0</v>
      </c>
    </row>
    <row r="587" spans="1:23" x14ac:dyDescent="0.2">
      <c r="A587">
        <v>8355</v>
      </c>
      <c r="B587">
        <v>0</v>
      </c>
      <c r="C587">
        <v>0</v>
      </c>
      <c r="D587">
        <v>0</v>
      </c>
      <c r="E587">
        <v>0</v>
      </c>
      <c r="F587">
        <v>0</v>
      </c>
      <c r="G587">
        <v>0</v>
      </c>
      <c r="H587">
        <v>0</v>
      </c>
      <c r="I587">
        <v>0</v>
      </c>
      <c r="J587">
        <v>0</v>
      </c>
      <c r="K587">
        <v>0</v>
      </c>
      <c r="L587">
        <v>0</v>
      </c>
      <c r="M587">
        <v>0</v>
      </c>
      <c r="N587">
        <v>0</v>
      </c>
      <c r="P587" s="18">
        <f t="shared" si="377"/>
        <v>0</v>
      </c>
      <c r="Q587" s="18">
        <f t="shared" si="378"/>
        <v>0</v>
      </c>
      <c r="R587" s="18">
        <f t="shared" si="379"/>
        <v>0</v>
      </c>
      <c r="S587" s="18">
        <f t="shared" si="380"/>
        <v>0</v>
      </c>
      <c r="T587" s="18">
        <f t="shared" si="381"/>
        <v>0</v>
      </c>
      <c r="U587" s="18">
        <f t="shared" si="382"/>
        <v>0</v>
      </c>
      <c r="V587" s="18">
        <f t="shared" si="383"/>
        <v>0</v>
      </c>
      <c r="W587" s="18">
        <f t="shared" si="384"/>
        <v>0</v>
      </c>
    </row>
    <row r="588" spans="1:23" x14ac:dyDescent="0.2">
      <c r="A588">
        <v>8336</v>
      </c>
      <c r="B588">
        <v>0</v>
      </c>
      <c r="C588">
        <v>0</v>
      </c>
      <c r="D588">
        <v>0</v>
      </c>
      <c r="E588">
        <v>0</v>
      </c>
      <c r="F588">
        <v>0</v>
      </c>
      <c r="G588">
        <v>0</v>
      </c>
      <c r="H588">
        <v>0</v>
      </c>
      <c r="I588">
        <v>0</v>
      </c>
      <c r="J588">
        <v>0</v>
      </c>
      <c r="K588">
        <v>0</v>
      </c>
      <c r="L588">
        <v>0</v>
      </c>
      <c r="M588">
        <v>0</v>
      </c>
      <c r="N588">
        <v>0</v>
      </c>
      <c r="P588" s="18">
        <f t="shared" si="377"/>
        <v>0</v>
      </c>
      <c r="Q588" s="18">
        <f t="shared" si="378"/>
        <v>0</v>
      </c>
      <c r="R588" s="18">
        <f t="shared" si="379"/>
        <v>0</v>
      </c>
      <c r="S588" s="18">
        <f t="shared" si="380"/>
        <v>0</v>
      </c>
      <c r="T588" s="18">
        <f t="shared" si="381"/>
        <v>0</v>
      </c>
      <c r="U588" s="18">
        <f t="shared" si="382"/>
        <v>0</v>
      </c>
      <c r="V588" s="18">
        <f t="shared" si="383"/>
        <v>0</v>
      </c>
      <c r="W588" s="18">
        <f t="shared" si="384"/>
        <v>0</v>
      </c>
    </row>
    <row r="589" spans="1:23" x14ac:dyDescent="0.2">
      <c r="A589">
        <v>8359</v>
      </c>
      <c r="B589">
        <v>0</v>
      </c>
      <c r="C589">
        <v>0</v>
      </c>
      <c r="D589">
        <v>0</v>
      </c>
      <c r="E589">
        <v>0</v>
      </c>
      <c r="F589">
        <v>0</v>
      </c>
      <c r="G589">
        <v>0</v>
      </c>
      <c r="H589">
        <v>0</v>
      </c>
      <c r="I589">
        <v>0</v>
      </c>
      <c r="J589">
        <v>0</v>
      </c>
      <c r="K589">
        <v>0</v>
      </c>
      <c r="L589">
        <v>0</v>
      </c>
      <c r="M589">
        <v>0</v>
      </c>
      <c r="N589">
        <v>0</v>
      </c>
      <c r="P589" s="18">
        <f t="shared" si="377"/>
        <v>0</v>
      </c>
      <c r="Q589" s="18">
        <f t="shared" si="378"/>
        <v>0</v>
      </c>
      <c r="R589" s="18">
        <f t="shared" si="379"/>
        <v>0</v>
      </c>
      <c r="S589" s="18">
        <f t="shared" si="380"/>
        <v>0</v>
      </c>
      <c r="T589" s="18">
        <f t="shared" si="381"/>
        <v>0</v>
      </c>
      <c r="U589" s="18">
        <f t="shared" si="382"/>
        <v>0</v>
      </c>
      <c r="V589" s="18">
        <f t="shared" si="383"/>
        <v>0</v>
      </c>
      <c r="W589" s="18">
        <f t="shared" si="384"/>
        <v>0</v>
      </c>
    </row>
    <row r="590" spans="1:23" x14ac:dyDescent="0.2">
      <c r="A590">
        <v>8369</v>
      </c>
      <c r="B590">
        <v>0</v>
      </c>
      <c r="C590">
        <v>0</v>
      </c>
      <c r="D590">
        <v>0</v>
      </c>
      <c r="E590">
        <v>0</v>
      </c>
      <c r="F590">
        <v>0</v>
      </c>
      <c r="G590">
        <v>0</v>
      </c>
      <c r="H590">
        <v>0</v>
      </c>
      <c r="I590">
        <v>0</v>
      </c>
      <c r="J590">
        <v>0</v>
      </c>
      <c r="K590">
        <v>0</v>
      </c>
      <c r="L590">
        <v>0</v>
      </c>
      <c r="M590">
        <v>0</v>
      </c>
      <c r="N590">
        <v>0</v>
      </c>
      <c r="P590" s="18">
        <f t="shared" si="377"/>
        <v>0</v>
      </c>
      <c r="Q590" s="18">
        <f t="shared" si="378"/>
        <v>0</v>
      </c>
      <c r="R590" s="18">
        <f t="shared" si="379"/>
        <v>0</v>
      </c>
      <c r="S590" s="18">
        <f t="shared" si="380"/>
        <v>0</v>
      </c>
      <c r="T590" s="18">
        <f t="shared" si="381"/>
        <v>0</v>
      </c>
      <c r="U590" s="18">
        <f t="shared" si="382"/>
        <v>0</v>
      </c>
      <c r="V590" s="18">
        <f t="shared" si="383"/>
        <v>0</v>
      </c>
      <c r="W590" s="18">
        <f t="shared" si="384"/>
        <v>0</v>
      </c>
    </row>
    <row r="591" spans="1:23" x14ac:dyDescent="0.2">
      <c r="A591">
        <v>8419</v>
      </c>
      <c r="B591">
        <v>0</v>
      </c>
      <c r="C591">
        <v>0</v>
      </c>
      <c r="D591">
        <v>0</v>
      </c>
      <c r="E591">
        <v>0</v>
      </c>
      <c r="F591">
        <v>0</v>
      </c>
      <c r="G591">
        <v>0</v>
      </c>
      <c r="H591">
        <v>0</v>
      </c>
      <c r="I591">
        <v>0</v>
      </c>
      <c r="J591">
        <v>0</v>
      </c>
      <c r="K591">
        <v>0</v>
      </c>
      <c r="L591">
        <v>0</v>
      </c>
      <c r="M591">
        <v>0</v>
      </c>
      <c r="N591">
        <v>0</v>
      </c>
      <c r="P591" s="18">
        <f t="shared" ref="P591:P602" si="385">SUM(B591,G591)</f>
        <v>0</v>
      </c>
      <c r="Q591" s="18">
        <f t="shared" ref="Q591:Q602" si="386">SUM(C591,H591)</f>
        <v>0</v>
      </c>
      <c r="R591" s="18">
        <f t="shared" ref="R591:R602" si="387">SUM(D591,I591)</f>
        <v>0</v>
      </c>
      <c r="S591" s="18">
        <f t="shared" ref="S591:S602" si="388">SUM(E591,J591)</f>
        <v>0</v>
      </c>
      <c r="T591" s="18">
        <f t="shared" ref="T591:T602" si="389">K591</f>
        <v>0</v>
      </c>
      <c r="U591" s="18">
        <f t="shared" ref="U591:U602" si="390">L591</f>
        <v>0</v>
      </c>
      <c r="V591" s="18">
        <f t="shared" ref="V591:V602" si="391">M591</f>
        <v>0</v>
      </c>
      <c r="W591" s="18">
        <f t="shared" ref="W591:W602" si="392">SUM(F591,N591)</f>
        <v>0</v>
      </c>
    </row>
    <row r="592" spans="1:23" x14ac:dyDescent="0.2">
      <c r="A592">
        <v>8425</v>
      </c>
      <c r="B592">
        <v>0</v>
      </c>
      <c r="C592">
        <v>0</v>
      </c>
      <c r="D592">
        <v>0</v>
      </c>
      <c r="E592">
        <v>0</v>
      </c>
      <c r="F592">
        <v>0</v>
      </c>
      <c r="G592">
        <v>0</v>
      </c>
      <c r="H592">
        <v>0</v>
      </c>
      <c r="I592">
        <v>0</v>
      </c>
      <c r="J592">
        <v>0</v>
      </c>
      <c r="K592">
        <v>0</v>
      </c>
      <c r="L592">
        <v>0</v>
      </c>
      <c r="M592">
        <v>0</v>
      </c>
      <c r="N592">
        <v>0</v>
      </c>
      <c r="P592" s="18">
        <f t="shared" si="385"/>
        <v>0</v>
      </c>
      <c r="Q592" s="18">
        <f t="shared" si="386"/>
        <v>0</v>
      </c>
      <c r="R592" s="18">
        <f t="shared" si="387"/>
        <v>0</v>
      </c>
      <c r="S592" s="18">
        <f t="shared" si="388"/>
        <v>0</v>
      </c>
      <c r="T592" s="18">
        <f t="shared" si="389"/>
        <v>0</v>
      </c>
      <c r="U592" s="18">
        <f t="shared" si="390"/>
        <v>0</v>
      </c>
      <c r="V592" s="18">
        <f t="shared" si="391"/>
        <v>0</v>
      </c>
      <c r="W592" s="18">
        <f t="shared" si="392"/>
        <v>0</v>
      </c>
    </row>
    <row r="593" spans="1:23" x14ac:dyDescent="0.2">
      <c r="A593">
        <v>8445</v>
      </c>
      <c r="B593">
        <v>0</v>
      </c>
      <c r="C593">
        <v>0</v>
      </c>
      <c r="D593">
        <v>0</v>
      </c>
      <c r="E593">
        <v>0</v>
      </c>
      <c r="F593">
        <v>0</v>
      </c>
      <c r="G593">
        <v>0</v>
      </c>
      <c r="H593">
        <v>0</v>
      </c>
      <c r="I593">
        <v>0</v>
      </c>
      <c r="J593">
        <v>0</v>
      </c>
      <c r="K593">
        <v>0</v>
      </c>
      <c r="L593">
        <v>0</v>
      </c>
      <c r="M593">
        <v>0</v>
      </c>
      <c r="N593">
        <v>0</v>
      </c>
      <c r="P593" s="18">
        <f t="shared" si="385"/>
        <v>0</v>
      </c>
      <c r="Q593" s="18">
        <f t="shared" si="386"/>
        <v>0</v>
      </c>
      <c r="R593" s="18">
        <f t="shared" si="387"/>
        <v>0</v>
      </c>
      <c r="S593" s="18">
        <f t="shared" si="388"/>
        <v>0</v>
      </c>
      <c r="T593" s="18">
        <f t="shared" si="389"/>
        <v>0</v>
      </c>
      <c r="U593" s="18">
        <f t="shared" si="390"/>
        <v>0</v>
      </c>
      <c r="V593" s="18">
        <f t="shared" si="391"/>
        <v>0</v>
      </c>
      <c r="W593" s="18">
        <f t="shared" si="392"/>
        <v>0</v>
      </c>
    </row>
    <row r="594" spans="1:23" x14ac:dyDescent="0.2">
      <c r="A594">
        <v>8434</v>
      </c>
      <c r="B594">
        <v>0</v>
      </c>
      <c r="C594">
        <v>0</v>
      </c>
      <c r="D594">
        <v>0</v>
      </c>
      <c r="E594">
        <v>0</v>
      </c>
      <c r="F594">
        <v>0</v>
      </c>
      <c r="G594">
        <v>0</v>
      </c>
      <c r="H594">
        <v>0</v>
      </c>
      <c r="I594">
        <v>0</v>
      </c>
      <c r="J594">
        <v>0</v>
      </c>
      <c r="K594">
        <v>0</v>
      </c>
      <c r="L594">
        <v>0</v>
      </c>
      <c r="M594">
        <v>0</v>
      </c>
      <c r="N594">
        <v>0</v>
      </c>
      <c r="P594" s="18">
        <f t="shared" si="385"/>
        <v>0</v>
      </c>
      <c r="Q594" s="18">
        <f t="shared" si="386"/>
        <v>0</v>
      </c>
      <c r="R594" s="18">
        <f t="shared" si="387"/>
        <v>0</v>
      </c>
      <c r="S594" s="18">
        <f t="shared" si="388"/>
        <v>0</v>
      </c>
      <c r="T594" s="18">
        <f t="shared" si="389"/>
        <v>0</v>
      </c>
      <c r="U594" s="18">
        <f t="shared" si="390"/>
        <v>0</v>
      </c>
      <c r="V594" s="18">
        <f t="shared" si="391"/>
        <v>0</v>
      </c>
      <c r="W594" s="18">
        <f t="shared" si="392"/>
        <v>0</v>
      </c>
    </row>
    <row r="595" spans="1:23" x14ac:dyDescent="0.2">
      <c r="A595">
        <v>8421</v>
      </c>
      <c r="B595">
        <v>0</v>
      </c>
      <c r="C595">
        <v>0</v>
      </c>
      <c r="D595">
        <v>0</v>
      </c>
      <c r="E595">
        <v>0</v>
      </c>
      <c r="F595">
        <v>0</v>
      </c>
      <c r="G595">
        <v>0</v>
      </c>
      <c r="H595">
        <v>0</v>
      </c>
      <c r="I595">
        <v>0</v>
      </c>
      <c r="J595">
        <v>0</v>
      </c>
      <c r="K595">
        <v>0</v>
      </c>
      <c r="L595">
        <v>0</v>
      </c>
      <c r="M595">
        <v>0</v>
      </c>
      <c r="N595">
        <v>0</v>
      </c>
      <c r="P595" s="18">
        <f t="shared" si="385"/>
        <v>0</v>
      </c>
      <c r="Q595" s="18">
        <f t="shared" si="386"/>
        <v>0</v>
      </c>
      <c r="R595" s="18">
        <f t="shared" si="387"/>
        <v>0</v>
      </c>
      <c r="S595" s="18">
        <f t="shared" si="388"/>
        <v>0</v>
      </c>
      <c r="T595" s="18">
        <f t="shared" si="389"/>
        <v>0</v>
      </c>
      <c r="U595" s="18">
        <f t="shared" si="390"/>
        <v>0</v>
      </c>
      <c r="V595" s="18">
        <f t="shared" si="391"/>
        <v>0</v>
      </c>
      <c r="W595" s="18">
        <f t="shared" si="392"/>
        <v>0</v>
      </c>
    </row>
    <row r="596" spans="1:23" x14ac:dyDescent="0.2">
      <c r="A596">
        <v>8447</v>
      </c>
      <c r="B596">
        <v>0</v>
      </c>
      <c r="C596">
        <v>0</v>
      </c>
      <c r="D596">
        <v>0</v>
      </c>
      <c r="E596">
        <v>0</v>
      </c>
      <c r="F596">
        <v>0</v>
      </c>
      <c r="G596">
        <v>0</v>
      </c>
      <c r="H596">
        <v>0</v>
      </c>
      <c r="I596">
        <v>0</v>
      </c>
      <c r="J596">
        <v>0</v>
      </c>
      <c r="K596">
        <v>0</v>
      </c>
      <c r="L596">
        <v>0</v>
      </c>
      <c r="M596">
        <v>0</v>
      </c>
      <c r="N596">
        <v>0</v>
      </c>
      <c r="P596" s="18">
        <f t="shared" si="385"/>
        <v>0</v>
      </c>
      <c r="Q596" s="18">
        <f t="shared" si="386"/>
        <v>0</v>
      </c>
      <c r="R596" s="18">
        <f t="shared" si="387"/>
        <v>0</v>
      </c>
      <c r="S596" s="18">
        <f t="shared" si="388"/>
        <v>0</v>
      </c>
      <c r="T596" s="18">
        <f t="shared" si="389"/>
        <v>0</v>
      </c>
      <c r="U596" s="18">
        <f t="shared" si="390"/>
        <v>0</v>
      </c>
      <c r="V596" s="18">
        <f t="shared" si="391"/>
        <v>0</v>
      </c>
      <c r="W596" s="18">
        <f t="shared" si="392"/>
        <v>0</v>
      </c>
    </row>
    <row r="597" spans="1:23" x14ac:dyDescent="0.2">
      <c r="A597">
        <v>8423</v>
      </c>
      <c r="B597">
        <v>0</v>
      </c>
      <c r="C597">
        <v>0</v>
      </c>
      <c r="D597">
        <v>0</v>
      </c>
      <c r="E597">
        <v>0</v>
      </c>
      <c r="F597">
        <v>0</v>
      </c>
      <c r="G597">
        <v>0</v>
      </c>
      <c r="H597">
        <v>0</v>
      </c>
      <c r="I597">
        <v>0</v>
      </c>
      <c r="J597">
        <v>0</v>
      </c>
      <c r="K597">
        <v>0</v>
      </c>
      <c r="L597">
        <v>0</v>
      </c>
      <c r="M597">
        <v>0</v>
      </c>
      <c r="N597">
        <v>0</v>
      </c>
      <c r="P597" s="18">
        <f t="shared" si="385"/>
        <v>0</v>
      </c>
      <c r="Q597" s="18">
        <f t="shared" si="386"/>
        <v>0</v>
      </c>
      <c r="R597" s="18">
        <f t="shared" si="387"/>
        <v>0</v>
      </c>
      <c r="S597" s="18">
        <f t="shared" si="388"/>
        <v>0</v>
      </c>
      <c r="T597" s="18">
        <f t="shared" si="389"/>
        <v>0</v>
      </c>
      <c r="U597" s="18">
        <f t="shared" si="390"/>
        <v>0</v>
      </c>
      <c r="V597" s="18">
        <f t="shared" si="391"/>
        <v>0</v>
      </c>
      <c r="W597" s="18">
        <f t="shared" si="392"/>
        <v>0</v>
      </c>
    </row>
    <row r="598" spans="1:23" x14ac:dyDescent="0.2">
      <c r="A598">
        <v>8417</v>
      </c>
      <c r="B598">
        <v>0</v>
      </c>
      <c r="C598">
        <v>0</v>
      </c>
      <c r="D598">
        <v>0</v>
      </c>
      <c r="E598">
        <v>0</v>
      </c>
      <c r="F598">
        <v>0</v>
      </c>
      <c r="G598">
        <v>0</v>
      </c>
      <c r="H598">
        <v>0</v>
      </c>
      <c r="I598">
        <v>0</v>
      </c>
      <c r="J598">
        <v>0</v>
      </c>
      <c r="K598">
        <v>0</v>
      </c>
      <c r="L598">
        <v>0</v>
      </c>
      <c r="M598">
        <v>0</v>
      </c>
      <c r="N598">
        <v>0</v>
      </c>
      <c r="P598" s="18">
        <f t="shared" si="385"/>
        <v>0</v>
      </c>
      <c r="Q598" s="18">
        <f t="shared" si="386"/>
        <v>0</v>
      </c>
      <c r="R598" s="18">
        <f t="shared" si="387"/>
        <v>0</v>
      </c>
      <c r="S598" s="18">
        <f t="shared" si="388"/>
        <v>0</v>
      </c>
      <c r="T598" s="18">
        <f t="shared" si="389"/>
        <v>0</v>
      </c>
      <c r="U598" s="18">
        <f t="shared" si="390"/>
        <v>0</v>
      </c>
      <c r="V598" s="18">
        <f t="shared" si="391"/>
        <v>0</v>
      </c>
      <c r="W598" s="18">
        <f t="shared" si="392"/>
        <v>0</v>
      </c>
    </row>
    <row r="599" spans="1:23" x14ac:dyDescent="0.2">
      <c r="A599">
        <v>8436</v>
      </c>
      <c r="B599">
        <v>0</v>
      </c>
      <c r="C599">
        <v>0</v>
      </c>
      <c r="D599">
        <v>0</v>
      </c>
      <c r="E599">
        <v>0</v>
      </c>
      <c r="F599">
        <v>0</v>
      </c>
      <c r="G599">
        <v>0</v>
      </c>
      <c r="H599">
        <v>0</v>
      </c>
      <c r="I599">
        <v>0</v>
      </c>
      <c r="J599">
        <v>0</v>
      </c>
      <c r="K599">
        <v>0</v>
      </c>
      <c r="L599">
        <v>0</v>
      </c>
      <c r="M599">
        <v>0</v>
      </c>
      <c r="N599">
        <v>0</v>
      </c>
      <c r="P599" s="18">
        <f t="shared" si="385"/>
        <v>0</v>
      </c>
      <c r="Q599" s="18">
        <f t="shared" si="386"/>
        <v>0</v>
      </c>
      <c r="R599" s="18">
        <f t="shared" si="387"/>
        <v>0</v>
      </c>
      <c r="S599" s="18">
        <f t="shared" si="388"/>
        <v>0</v>
      </c>
      <c r="T599" s="18">
        <f t="shared" si="389"/>
        <v>0</v>
      </c>
      <c r="U599" s="18">
        <f t="shared" si="390"/>
        <v>0</v>
      </c>
      <c r="V599" s="18">
        <f t="shared" si="391"/>
        <v>0</v>
      </c>
      <c r="W599" s="18">
        <f t="shared" si="392"/>
        <v>0</v>
      </c>
    </row>
    <row r="600" spans="1:23" x14ac:dyDescent="0.2">
      <c r="A600">
        <v>8459</v>
      </c>
      <c r="B600">
        <v>0</v>
      </c>
      <c r="C600">
        <v>0</v>
      </c>
      <c r="D600">
        <v>0</v>
      </c>
      <c r="E600">
        <v>0</v>
      </c>
      <c r="F600">
        <v>0</v>
      </c>
      <c r="G600">
        <v>0</v>
      </c>
      <c r="H600">
        <v>0</v>
      </c>
      <c r="I600">
        <v>0</v>
      </c>
      <c r="J600">
        <v>0</v>
      </c>
      <c r="K600">
        <v>0</v>
      </c>
      <c r="L600">
        <v>0</v>
      </c>
      <c r="M600">
        <v>0</v>
      </c>
      <c r="N600">
        <v>0</v>
      </c>
      <c r="P600" s="18">
        <f t="shared" si="385"/>
        <v>0</v>
      </c>
      <c r="Q600" s="18">
        <f t="shared" si="386"/>
        <v>0</v>
      </c>
      <c r="R600" s="18">
        <f t="shared" si="387"/>
        <v>0</v>
      </c>
      <c r="S600" s="18">
        <f t="shared" si="388"/>
        <v>0</v>
      </c>
      <c r="T600" s="18">
        <f t="shared" si="389"/>
        <v>0</v>
      </c>
      <c r="U600" s="18">
        <f t="shared" si="390"/>
        <v>0</v>
      </c>
      <c r="V600" s="18">
        <f t="shared" si="391"/>
        <v>0</v>
      </c>
      <c r="W600" s="18">
        <f t="shared" si="392"/>
        <v>0</v>
      </c>
    </row>
    <row r="601" spans="1:23" x14ac:dyDescent="0.2">
      <c r="A601">
        <v>8476</v>
      </c>
      <c r="B601">
        <v>0</v>
      </c>
      <c r="C601">
        <v>0</v>
      </c>
      <c r="D601">
        <v>0</v>
      </c>
      <c r="E601">
        <v>0</v>
      </c>
      <c r="F601">
        <v>0</v>
      </c>
      <c r="G601">
        <v>0</v>
      </c>
      <c r="H601">
        <v>0</v>
      </c>
      <c r="I601">
        <v>0</v>
      </c>
      <c r="J601">
        <v>0</v>
      </c>
      <c r="K601">
        <v>0</v>
      </c>
      <c r="L601">
        <v>0</v>
      </c>
      <c r="M601">
        <v>0</v>
      </c>
      <c r="N601">
        <v>0</v>
      </c>
      <c r="P601" s="18">
        <f t="shared" si="385"/>
        <v>0</v>
      </c>
      <c r="Q601" s="18">
        <f t="shared" si="386"/>
        <v>0</v>
      </c>
      <c r="R601" s="18">
        <f t="shared" si="387"/>
        <v>0</v>
      </c>
      <c r="S601" s="18">
        <f t="shared" si="388"/>
        <v>0</v>
      </c>
      <c r="T601" s="18">
        <f t="shared" si="389"/>
        <v>0</v>
      </c>
      <c r="U601" s="18">
        <f t="shared" si="390"/>
        <v>0</v>
      </c>
      <c r="V601" s="18">
        <f t="shared" si="391"/>
        <v>0</v>
      </c>
      <c r="W601" s="18">
        <f t="shared" si="392"/>
        <v>0</v>
      </c>
    </row>
    <row r="602" spans="1:23" x14ac:dyDescent="0.2">
      <c r="A602">
        <v>8428</v>
      </c>
      <c r="B602">
        <v>0</v>
      </c>
      <c r="C602">
        <v>0</v>
      </c>
      <c r="D602">
        <v>0</v>
      </c>
      <c r="E602">
        <v>0</v>
      </c>
      <c r="F602">
        <v>0</v>
      </c>
      <c r="G602">
        <v>0</v>
      </c>
      <c r="H602">
        <v>0</v>
      </c>
      <c r="I602">
        <v>0</v>
      </c>
      <c r="J602">
        <v>0</v>
      </c>
      <c r="K602">
        <v>0</v>
      </c>
      <c r="L602">
        <v>0</v>
      </c>
      <c r="M602">
        <v>0</v>
      </c>
      <c r="N602">
        <v>0</v>
      </c>
      <c r="P602" s="18">
        <f t="shared" si="385"/>
        <v>0</v>
      </c>
      <c r="Q602" s="18">
        <f t="shared" si="386"/>
        <v>0</v>
      </c>
      <c r="R602" s="18">
        <f t="shared" si="387"/>
        <v>0</v>
      </c>
      <c r="S602" s="18">
        <f t="shared" si="388"/>
        <v>0</v>
      </c>
      <c r="T602" s="18">
        <f t="shared" si="389"/>
        <v>0</v>
      </c>
      <c r="U602" s="18">
        <f t="shared" si="390"/>
        <v>0</v>
      </c>
      <c r="V602" s="18">
        <f t="shared" si="391"/>
        <v>0</v>
      </c>
      <c r="W602" s="18">
        <f t="shared" si="392"/>
        <v>0</v>
      </c>
    </row>
    <row r="603" spans="1:23" x14ac:dyDescent="0.2">
      <c r="A603">
        <v>8461</v>
      </c>
      <c r="B603">
        <v>0</v>
      </c>
      <c r="C603">
        <v>0</v>
      </c>
      <c r="D603">
        <v>0</v>
      </c>
      <c r="E603">
        <v>0</v>
      </c>
      <c r="F603">
        <v>0</v>
      </c>
      <c r="G603">
        <v>0</v>
      </c>
      <c r="H603">
        <v>0</v>
      </c>
      <c r="I603">
        <v>0</v>
      </c>
      <c r="J603">
        <v>0</v>
      </c>
      <c r="K603">
        <v>0</v>
      </c>
      <c r="L603">
        <v>0</v>
      </c>
      <c r="M603">
        <v>0</v>
      </c>
      <c r="N603">
        <v>0</v>
      </c>
      <c r="P603" s="18">
        <f t="shared" ref="P603:P619" si="393">SUM(B603,G603)</f>
        <v>0</v>
      </c>
      <c r="Q603" s="18">
        <f t="shared" ref="Q603:Q619" si="394">SUM(C603,H603)</f>
        <v>0</v>
      </c>
      <c r="R603" s="18">
        <f t="shared" ref="R603:R619" si="395">SUM(D603,I603)</f>
        <v>0</v>
      </c>
      <c r="S603" s="18">
        <f t="shared" ref="S603:S619" si="396">SUM(E603,J603)</f>
        <v>0</v>
      </c>
      <c r="T603" s="18">
        <f t="shared" ref="T603:T619" si="397">K603</f>
        <v>0</v>
      </c>
      <c r="U603" s="18">
        <f t="shared" ref="U603:U619" si="398">L603</f>
        <v>0</v>
      </c>
      <c r="V603" s="18">
        <f t="shared" ref="V603:V619" si="399">M603</f>
        <v>0</v>
      </c>
      <c r="W603" s="18">
        <f t="shared" ref="W603:W619" si="400">SUM(F603,N603)</f>
        <v>0</v>
      </c>
    </row>
    <row r="604" spans="1:23" x14ac:dyDescent="0.2">
      <c r="A604">
        <v>8517</v>
      </c>
      <c r="B604">
        <v>0</v>
      </c>
      <c r="C604">
        <v>0</v>
      </c>
      <c r="D604">
        <v>0</v>
      </c>
      <c r="E604">
        <v>0</v>
      </c>
      <c r="F604">
        <v>0</v>
      </c>
      <c r="G604">
        <v>0</v>
      </c>
      <c r="H604">
        <v>0</v>
      </c>
      <c r="I604">
        <v>0</v>
      </c>
      <c r="J604">
        <v>0</v>
      </c>
      <c r="K604">
        <v>0</v>
      </c>
      <c r="L604">
        <v>0</v>
      </c>
      <c r="M604">
        <v>0</v>
      </c>
      <c r="N604">
        <v>0</v>
      </c>
      <c r="P604" s="18">
        <f t="shared" si="393"/>
        <v>0</v>
      </c>
      <c r="Q604" s="18">
        <f t="shared" si="394"/>
        <v>0</v>
      </c>
      <c r="R604" s="18">
        <f t="shared" si="395"/>
        <v>0</v>
      </c>
      <c r="S604" s="18">
        <f t="shared" si="396"/>
        <v>0</v>
      </c>
      <c r="T604" s="18">
        <f t="shared" si="397"/>
        <v>0</v>
      </c>
      <c r="U604" s="18">
        <f t="shared" si="398"/>
        <v>0</v>
      </c>
      <c r="V604" s="18">
        <f t="shared" si="399"/>
        <v>0</v>
      </c>
      <c r="W604" s="18">
        <f t="shared" si="400"/>
        <v>0</v>
      </c>
    </row>
    <row r="605" spans="1:23" x14ac:dyDescent="0.2">
      <c r="A605">
        <v>8522</v>
      </c>
      <c r="B605">
        <v>0</v>
      </c>
      <c r="C605">
        <v>0</v>
      </c>
      <c r="D605">
        <v>0</v>
      </c>
      <c r="E605">
        <v>0</v>
      </c>
      <c r="F605">
        <v>0</v>
      </c>
      <c r="G605">
        <v>0</v>
      </c>
      <c r="H605">
        <v>0</v>
      </c>
      <c r="I605">
        <v>0</v>
      </c>
      <c r="J605">
        <v>0</v>
      </c>
      <c r="K605">
        <v>0</v>
      </c>
      <c r="L605">
        <v>0</v>
      </c>
      <c r="M605">
        <v>0</v>
      </c>
      <c r="N605">
        <v>0</v>
      </c>
      <c r="P605" s="18">
        <f t="shared" si="393"/>
        <v>0</v>
      </c>
      <c r="Q605" s="18">
        <f t="shared" si="394"/>
        <v>0</v>
      </c>
      <c r="R605" s="18">
        <f t="shared" si="395"/>
        <v>0</v>
      </c>
      <c r="S605" s="18">
        <f t="shared" si="396"/>
        <v>0</v>
      </c>
      <c r="T605" s="18">
        <f t="shared" si="397"/>
        <v>0</v>
      </c>
      <c r="U605" s="18">
        <f t="shared" si="398"/>
        <v>0</v>
      </c>
      <c r="V605" s="18">
        <f t="shared" si="399"/>
        <v>0</v>
      </c>
      <c r="W605" s="18">
        <f t="shared" si="400"/>
        <v>0</v>
      </c>
    </row>
    <row r="606" spans="1:23" x14ac:dyDescent="0.2">
      <c r="A606">
        <v>8525</v>
      </c>
      <c r="B606">
        <v>0</v>
      </c>
      <c r="C606">
        <v>0</v>
      </c>
      <c r="D606">
        <v>0</v>
      </c>
      <c r="E606">
        <v>0</v>
      </c>
      <c r="F606">
        <v>0</v>
      </c>
      <c r="G606">
        <v>0</v>
      </c>
      <c r="H606">
        <v>0</v>
      </c>
      <c r="I606">
        <v>0</v>
      </c>
      <c r="J606">
        <v>0</v>
      </c>
      <c r="K606">
        <v>0</v>
      </c>
      <c r="L606">
        <v>0</v>
      </c>
      <c r="M606">
        <v>0</v>
      </c>
      <c r="N606">
        <v>0</v>
      </c>
      <c r="P606" s="18">
        <f t="shared" si="393"/>
        <v>0</v>
      </c>
      <c r="Q606" s="18">
        <f t="shared" si="394"/>
        <v>0</v>
      </c>
      <c r="R606" s="18">
        <f t="shared" si="395"/>
        <v>0</v>
      </c>
      <c r="S606" s="18">
        <f t="shared" si="396"/>
        <v>0</v>
      </c>
      <c r="T606" s="18">
        <f t="shared" si="397"/>
        <v>0</v>
      </c>
      <c r="U606" s="18">
        <f t="shared" si="398"/>
        <v>0</v>
      </c>
      <c r="V606" s="18">
        <f t="shared" si="399"/>
        <v>0</v>
      </c>
      <c r="W606" s="18">
        <f t="shared" si="400"/>
        <v>0</v>
      </c>
    </row>
    <row r="607" spans="1:23" x14ac:dyDescent="0.2">
      <c r="A607">
        <v>8533</v>
      </c>
      <c r="B607">
        <v>0</v>
      </c>
      <c r="C607">
        <v>0</v>
      </c>
      <c r="D607">
        <v>0</v>
      </c>
      <c r="E607">
        <v>0</v>
      </c>
      <c r="F607">
        <v>0</v>
      </c>
      <c r="G607">
        <v>0</v>
      </c>
      <c r="H607">
        <v>0</v>
      </c>
      <c r="I607">
        <v>0</v>
      </c>
      <c r="J607">
        <v>0</v>
      </c>
      <c r="K607">
        <v>0</v>
      </c>
      <c r="L607">
        <v>0</v>
      </c>
      <c r="M607">
        <v>0</v>
      </c>
      <c r="N607">
        <v>0</v>
      </c>
      <c r="P607" s="18">
        <f t="shared" si="393"/>
        <v>0</v>
      </c>
      <c r="Q607" s="18">
        <f t="shared" si="394"/>
        <v>0</v>
      </c>
      <c r="R607" s="18">
        <f t="shared" si="395"/>
        <v>0</v>
      </c>
      <c r="S607" s="18">
        <f t="shared" si="396"/>
        <v>0</v>
      </c>
      <c r="T607" s="18">
        <f t="shared" si="397"/>
        <v>0</v>
      </c>
      <c r="U607" s="18">
        <f t="shared" si="398"/>
        <v>0</v>
      </c>
      <c r="V607" s="18">
        <f t="shared" si="399"/>
        <v>0</v>
      </c>
      <c r="W607" s="18">
        <f t="shared" si="400"/>
        <v>0</v>
      </c>
    </row>
    <row r="608" spans="1:23" x14ac:dyDescent="0.2">
      <c r="A608">
        <v>8534</v>
      </c>
      <c r="B608">
        <v>0</v>
      </c>
      <c r="C608">
        <v>0</v>
      </c>
      <c r="D608">
        <v>0</v>
      </c>
      <c r="E608">
        <v>0</v>
      </c>
      <c r="F608">
        <v>0</v>
      </c>
      <c r="G608">
        <v>0</v>
      </c>
      <c r="H608">
        <v>0</v>
      </c>
      <c r="I608">
        <v>0</v>
      </c>
      <c r="J608">
        <v>0</v>
      </c>
      <c r="K608">
        <v>0</v>
      </c>
      <c r="L608">
        <v>0</v>
      </c>
      <c r="M608">
        <v>0</v>
      </c>
      <c r="N608">
        <v>0</v>
      </c>
      <c r="P608" s="18">
        <f t="shared" si="393"/>
        <v>0</v>
      </c>
      <c r="Q608" s="18">
        <f t="shared" si="394"/>
        <v>0</v>
      </c>
      <c r="R608" s="18">
        <f t="shared" si="395"/>
        <v>0</v>
      </c>
      <c r="S608" s="18">
        <f t="shared" si="396"/>
        <v>0</v>
      </c>
      <c r="T608" s="18">
        <f t="shared" si="397"/>
        <v>0</v>
      </c>
      <c r="U608" s="18">
        <f t="shared" si="398"/>
        <v>0</v>
      </c>
      <c r="V608" s="18">
        <f t="shared" si="399"/>
        <v>0</v>
      </c>
      <c r="W608" s="18">
        <f t="shared" si="400"/>
        <v>0</v>
      </c>
    </row>
    <row r="609" spans="1:23" x14ac:dyDescent="0.2">
      <c r="A609">
        <v>8563</v>
      </c>
      <c r="B609">
        <v>0</v>
      </c>
      <c r="C609">
        <v>0</v>
      </c>
      <c r="D609">
        <v>0</v>
      </c>
      <c r="E609">
        <v>0</v>
      </c>
      <c r="F609">
        <v>0</v>
      </c>
      <c r="G609">
        <v>0</v>
      </c>
      <c r="H609">
        <v>0</v>
      </c>
      <c r="I609">
        <v>0</v>
      </c>
      <c r="J609">
        <v>0</v>
      </c>
      <c r="K609">
        <v>0</v>
      </c>
      <c r="L609">
        <v>0</v>
      </c>
      <c r="M609">
        <v>0</v>
      </c>
      <c r="N609">
        <v>0</v>
      </c>
      <c r="P609" s="18">
        <f t="shared" si="393"/>
        <v>0</v>
      </c>
      <c r="Q609" s="18">
        <f t="shared" si="394"/>
        <v>0</v>
      </c>
      <c r="R609" s="18">
        <f t="shared" si="395"/>
        <v>0</v>
      </c>
      <c r="S609" s="18">
        <f t="shared" si="396"/>
        <v>0</v>
      </c>
      <c r="T609" s="18">
        <f t="shared" si="397"/>
        <v>0</v>
      </c>
      <c r="U609" s="18">
        <f t="shared" si="398"/>
        <v>0</v>
      </c>
      <c r="V609" s="18">
        <f t="shared" si="399"/>
        <v>0</v>
      </c>
      <c r="W609" s="18">
        <f t="shared" si="400"/>
        <v>0</v>
      </c>
    </row>
    <row r="610" spans="1:23" x14ac:dyDescent="0.2">
      <c r="A610">
        <v>8477</v>
      </c>
      <c r="B610">
        <v>0</v>
      </c>
      <c r="C610">
        <v>0</v>
      </c>
      <c r="D610">
        <v>0</v>
      </c>
      <c r="E610">
        <v>0</v>
      </c>
      <c r="F610">
        <v>0</v>
      </c>
      <c r="G610">
        <v>0</v>
      </c>
      <c r="H610">
        <v>0</v>
      </c>
      <c r="I610">
        <v>0</v>
      </c>
      <c r="J610">
        <v>0</v>
      </c>
      <c r="K610">
        <v>0</v>
      </c>
      <c r="L610">
        <v>0</v>
      </c>
      <c r="M610">
        <v>0</v>
      </c>
      <c r="N610">
        <v>0</v>
      </c>
      <c r="P610" s="18">
        <f t="shared" si="393"/>
        <v>0</v>
      </c>
      <c r="Q610" s="18">
        <f t="shared" si="394"/>
        <v>0</v>
      </c>
      <c r="R610" s="18">
        <f t="shared" si="395"/>
        <v>0</v>
      </c>
      <c r="S610" s="18">
        <f t="shared" si="396"/>
        <v>0</v>
      </c>
      <c r="T610" s="18">
        <f t="shared" si="397"/>
        <v>0</v>
      </c>
      <c r="U610" s="18">
        <f t="shared" si="398"/>
        <v>0</v>
      </c>
      <c r="V610" s="18">
        <f t="shared" si="399"/>
        <v>0</v>
      </c>
      <c r="W610" s="18">
        <f t="shared" si="400"/>
        <v>0</v>
      </c>
    </row>
    <row r="611" spans="1:23" x14ac:dyDescent="0.2">
      <c r="A611">
        <v>8584</v>
      </c>
      <c r="B611">
        <v>0</v>
      </c>
      <c r="C611">
        <v>0</v>
      </c>
      <c r="D611">
        <v>0</v>
      </c>
      <c r="E611">
        <v>0</v>
      </c>
      <c r="F611">
        <v>0</v>
      </c>
      <c r="G611">
        <v>0</v>
      </c>
      <c r="H611">
        <v>0</v>
      </c>
      <c r="I611">
        <v>0</v>
      </c>
      <c r="J611">
        <v>0</v>
      </c>
      <c r="K611">
        <v>0</v>
      </c>
      <c r="L611">
        <v>0</v>
      </c>
      <c r="M611">
        <v>0</v>
      </c>
      <c r="N611">
        <v>0</v>
      </c>
      <c r="P611" s="18">
        <f t="shared" si="393"/>
        <v>0</v>
      </c>
      <c r="Q611" s="18">
        <f t="shared" si="394"/>
        <v>0</v>
      </c>
      <c r="R611" s="18">
        <f t="shared" si="395"/>
        <v>0</v>
      </c>
      <c r="S611" s="18">
        <f t="shared" si="396"/>
        <v>0</v>
      </c>
      <c r="T611" s="18">
        <f t="shared" si="397"/>
        <v>0</v>
      </c>
      <c r="U611" s="18">
        <f t="shared" si="398"/>
        <v>0</v>
      </c>
      <c r="V611" s="18">
        <f t="shared" si="399"/>
        <v>0</v>
      </c>
      <c r="W611" s="18">
        <f t="shared" si="400"/>
        <v>0</v>
      </c>
    </row>
    <row r="612" spans="1:23" x14ac:dyDescent="0.2">
      <c r="A612">
        <v>8527</v>
      </c>
      <c r="B612">
        <v>0</v>
      </c>
      <c r="C612">
        <v>0</v>
      </c>
      <c r="D612">
        <v>0</v>
      </c>
      <c r="E612">
        <v>0</v>
      </c>
      <c r="F612">
        <v>0</v>
      </c>
      <c r="G612">
        <v>0</v>
      </c>
      <c r="H612">
        <v>0</v>
      </c>
      <c r="I612">
        <v>0</v>
      </c>
      <c r="J612">
        <v>0</v>
      </c>
      <c r="K612">
        <v>0</v>
      </c>
      <c r="L612">
        <v>0</v>
      </c>
      <c r="M612">
        <v>0</v>
      </c>
      <c r="N612">
        <v>0</v>
      </c>
      <c r="P612" s="18">
        <f t="shared" si="393"/>
        <v>0</v>
      </c>
      <c r="Q612" s="18">
        <f t="shared" si="394"/>
        <v>0</v>
      </c>
      <c r="R612" s="18">
        <f t="shared" si="395"/>
        <v>0</v>
      </c>
      <c r="S612" s="18">
        <f t="shared" si="396"/>
        <v>0</v>
      </c>
      <c r="T612" s="18">
        <f t="shared" si="397"/>
        <v>0</v>
      </c>
      <c r="U612" s="18">
        <f t="shared" si="398"/>
        <v>0</v>
      </c>
      <c r="V612" s="18">
        <f t="shared" si="399"/>
        <v>0</v>
      </c>
      <c r="W612" s="18">
        <f t="shared" si="400"/>
        <v>0</v>
      </c>
    </row>
    <row r="613" spans="1:23" x14ac:dyDescent="0.2">
      <c r="A613">
        <v>8595</v>
      </c>
      <c r="B613">
        <v>0</v>
      </c>
      <c r="C613">
        <v>0</v>
      </c>
      <c r="D613">
        <v>0</v>
      </c>
      <c r="E613">
        <v>0</v>
      </c>
      <c r="F613">
        <v>0</v>
      </c>
      <c r="G613">
        <v>0</v>
      </c>
      <c r="H613">
        <v>0</v>
      </c>
      <c r="I613">
        <v>0</v>
      </c>
      <c r="J613">
        <v>0</v>
      </c>
      <c r="K613">
        <v>0</v>
      </c>
      <c r="L613">
        <v>0</v>
      </c>
      <c r="M613">
        <v>0</v>
      </c>
      <c r="N613">
        <v>0</v>
      </c>
      <c r="P613" s="18">
        <f t="shared" si="393"/>
        <v>0</v>
      </c>
      <c r="Q613" s="18">
        <f t="shared" si="394"/>
        <v>0</v>
      </c>
      <c r="R613" s="18">
        <f t="shared" si="395"/>
        <v>0</v>
      </c>
      <c r="S613" s="18">
        <f t="shared" si="396"/>
        <v>0</v>
      </c>
      <c r="T613" s="18">
        <f t="shared" si="397"/>
        <v>0</v>
      </c>
      <c r="U613" s="18">
        <f t="shared" si="398"/>
        <v>0</v>
      </c>
      <c r="V613" s="18">
        <f t="shared" si="399"/>
        <v>0</v>
      </c>
      <c r="W613" s="18">
        <f t="shared" si="400"/>
        <v>0</v>
      </c>
    </row>
    <row r="614" spans="1:23" x14ac:dyDescent="0.2">
      <c r="A614">
        <v>8610</v>
      </c>
      <c r="B614">
        <v>0</v>
      </c>
      <c r="C614">
        <v>0</v>
      </c>
      <c r="D614">
        <v>0</v>
      </c>
      <c r="E614">
        <v>0</v>
      </c>
      <c r="F614">
        <v>0</v>
      </c>
      <c r="G614">
        <v>0</v>
      </c>
      <c r="H614">
        <v>0</v>
      </c>
      <c r="I614">
        <v>0</v>
      </c>
      <c r="J614">
        <v>0</v>
      </c>
      <c r="K614">
        <v>0</v>
      </c>
      <c r="L614">
        <v>0</v>
      </c>
      <c r="M614">
        <v>0</v>
      </c>
      <c r="N614">
        <v>0</v>
      </c>
      <c r="P614" s="18">
        <f t="shared" si="393"/>
        <v>0</v>
      </c>
      <c r="Q614" s="18">
        <f t="shared" si="394"/>
        <v>0</v>
      </c>
      <c r="R614" s="18">
        <f t="shared" si="395"/>
        <v>0</v>
      </c>
      <c r="S614" s="18">
        <f t="shared" si="396"/>
        <v>0</v>
      </c>
      <c r="T614" s="18">
        <f t="shared" si="397"/>
        <v>0</v>
      </c>
      <c r="U614" s="18">
        <f t="shared" si="398"/>
        <v>0</v>
      </c>
      <c r="V614" s="18">
        <f t="shared" si="399"/>
        <v>0</v>
      </c>
      <c r="W614" s="18">
        <f t="shared" si="400"/>
        <v>0</v>
      </c>
    </row>
    <row r="615" spans="1:23" x14ac:dyDescent="0.2">
      <c r="A615">
        <v>8617</v>
      </c>
      <c r="B615">
        <v>0</v>
      </c>
      <c r="C615">
        <v>0</v>
      </c>
      <c r="D615">
        <v>0</v>
      </c>
      <c r="E615">
        <v>0</v>
      </c>
      <c r="F615">
        <v>0</v>
      </c>
      <c r="G615">
        <v>0</v>
      </c>
      <c r="H615">
        <v>0</v>
      </c>
      <c r="I615">
        <v>0</v>
      </c>
      <c r="J615">
        <v>0</v>
      </c>
      <c r="K615">
        <v>0</v>
      </c>
      <c r="L615">
        <v>0</v>
      </c>
      <c r="M615">
        <v>0</v>
      </c>
      <c r="N615">
        <v>0</v>
      </c>
      <c r="P615" s="18">
        <f t="shared" si="393"/>
        <v>0</v>
      </c>
      <c r="Q615" s="18">
        <f t="shared" si="394"/>
        <v>0</v>
      </c>
      <c r="R615" s="18">
        <f t="shared" si="395"/>
        <v>0</v>
      </c>
      <c r="S615" s="18">
        <f t="shared" si="396"/>
        <v>0</v>
      </c>
      <c r="T615" s="18">
        <f t="shared" si="397"/>
        <v>0</v>
      </c>
      <c r="U615" s="18">
        <f t="shared" si="398"/>
        <v>0</v>
      </c>
      <c r="V615" s="18">
        <f t="shared" si="399"/>
        <v>0</v>
      </c>
      <c r="W615" s="18">
        <f t="shared" si="400"/>
        <v>0</v>
      </c>
    </row>
    <row r="616" spans="1:23" x14ac:dyDescent="0.2">
      <c r="A616">
        <v>8618</v>
      </c>
      <c r="B616">
        <v>0</v>
      </c>
      <c r="C616">
        <v>0</v>
      </c>
      <c r="D616">
        <v>0</v>
      </c>
      <c r="E616">
        <v>0</v>
      </c>
      <c r="F616">
        <v>0</v>
      </c>
      <c r="G616">
        <v>0</v>
      </c>
      <c r="H616">
        <v>0</v>
      </c>
      <c r="I616">
        <v>0</v>
      </c>
      <c r="J616">
        <v>0</v>
      </c>
      <c r="K616">
        <v>0</v>
      </c>
      <c r="L616">
        <v>0</v>
      </c>
      <c r="M616">
        <v>0</v>
      </c>
      <c r="N616">
        <v>0</v>
      </c>
      <c r="P616" s="18">
        <f t="shared" si="393"/>
        <v>0</v>
      </c>
      <c r="Q616" s="18">
        <f t="shared" si="394"/>
        <v>0</v>
      </c>
      <c r="R616" s="18">
        <f t="shared" si="395"/>
        <v>0</v>
      </c>
      <c r="S616" s="18">
        <f t="shared" si="396"/>
        <v>0</v>
      </c>
      <c r="T616" s="18">
        <f t="shared" si="397"/>
        <v>0</v>
      </c>
      <c r="U616" s="18">
        <f t="shared" si="398"/>
        <v>0</v>
      </c>
      <c r="V616" s="18">
        <f t="shared" si="399"/>
        <v>0</v>
      </c>
      <c r="W616" s="18">
        <f t="shared" si="400"/>
        <v>0</v>
      </c>
    </row>
    <row r="617" spans="1:23" x14ac:dyDescent="0.2">
      <c r="A617">
        <v>8537</v>
      </c>
      <c r="B617">
        <v>0</v>
      </c>
      <c r="C617">
        <v>0</v>
      </c>
      <c r="D617">
        <v>0</v>
      </c>
      <c r="E617">
        <v>0</v>
      </c>
      <c r="F617">
        <v>0</v>
      </c>
      <c r="G617">
        <v>0</v>
      </c>
      <c r="H617">
        <v>0</v>
      </c>
      <c r="I617">
        <v>0</v>
      </c>
      <c r="J617">
        <v>0</v>
      </c>
      <c r="K617">
        <v>0</v>
      </c>
      <c r="L617">
        <v>0</v>
      </c>
      <c r="M617">
        <v>0</v>
      </c>
      <c r="N617">
        <v>0</v>
      </c>
      <c r="P617" s="18">
        <f t="shared" si="393"/>
        <v>0</v>
      </c>
      <c r="Q617" s="18">
        <f t="shared" si="394"/>
        <v>0</v>
      </c>
      <c r="R617" s="18">
        <f t="shared" si="395"/>
        <v>0</v>
      </c>
      <c r="S617" s="18">
        <f t="shared" si="396"/>
        <v>0</v>
      </c>
      <c r="T617" s="18">
        <f t="shared" si="397"/>
        <v>0</v>
      </c>
      <c r="U617" s="18">
        <f t="shared" si="398"/>
        <v>0</v>
      </c>
      <c r="V617" s="18">
        <f t="shared" si="399"/>
        <v>0</v>
      </c>
      <c r="W617" s="18">
        <f t="shared" si="400"/>
        <v>0</v>
      </c>
    </row>
    <row r="618" spans="1:23" x14ac:dyDescent="0.2">
      <c r="A618">
        <v>8632</v>
      </c>
      <c r="B618">
        <v>0</v>
      </c>
      <c r="C618">
        <v>0</v>
      </c>
      <c r="D618">
        <v>0</v>
      </c>
      <c r="E618">
        <v>0</v>
      </c>
      <c r="F618">
        <v>0</v>
      </c>
      <c r="G618">
        <v>0</v>
      </c>
      <c r="H618">
        <v>0</v>
      </c>
      <c r="I618">
        <v>0</v>
      </c>
      <c r="J618">
        <v>0</v>
      </c>
      <c r="K618">
        <v>0</v>
      </c>
      <c r="L618">
        <v>0</v>
      </c>
      <c r="M618">
        <v>0</v>
      </c>
      <c r="N618">
        <v>0</v>
      </c>
      <c r="P618" s="18">
        <f t="shared" si="393"/>
        <v>0</v>
      </c>
      <c r="Q618" s="18">
        <f t="shared" si="394"/>
        <v>0</v>
      </c>
      <c r="R618" s="18">
        <f t="shared" si="395"/>
        <v>0</v>
      </c>
      <c r="S618" s="18">
        <f t="shared" si="396"/>
        <v>0</v>
      </c>
      <c r="T618" s="18">
        <f t="shared" si="397"/>
        <v>0</v>
      </c>
      <c r="U618" s="18">
        <f t="shared" si="398"/>
        <v>0</v>
      </c>
      <c r="V618" s="18">
        <f t="shared" si="399"/>
        <v>0</v>
      </c>
      <c r="W618" s="18">
        <f t="shared" si="400"/>
        <v>0</v>
      </c>
    </row>
    <row r="619" spans="1:23" x14ac:dyDescent="0.2">
      <c r="A619">
        <v>8546</v>
      </c>
      <c r="B619">
        <v>0</v>
      </c>
      <c r="C619">
        <v>0</v>
      </c>
      <c r="D619">
        <v>0</v>
      </c>
      <c r="E619">
        <v>0</v>
      </c>
      <c r="F619">
        <v>0</v>
      </c>
      <c r="G619">
        <v>0</v>
      </c>
      <c r="H619">
        <v>0</v>
      </c>
      <c r="I619">
        <v>0</v>
      </c>
      <c r="J619">
        <v>0</v>
      </c>
      <c r="K619">
        <v>0</v>
      </c>
      <c r="L619">
        <v>0</v>
      </c>
      <c r="M619">
        <v>0</v>
      </c>
      <c r="N619">
        <v>0</v>
      </c>
      <c r="P619" s="18">
        <f t="shared" si="393"/>
        <v>0</v>
      </c>
      <c r="Q619" s="18">
        <f t="shared" si="394"/>
        <v>0</v>
      </c>
      <c r="R619" s="18">
        <f t="shared" si="395"/>
        <v>0</v>
      </c>
      <c r="S619" s="18">
        <f t="shared" si="396"/>
        <v>0</v>
      </c>
      <c r="T619" s="18">
        <f t="shared" si="397"/>
        <v>0</v>
      </c>
      <c r="U619" s="18">
        <f t="shared" si="398"/>
        <v>0</v>
      </c>
      <c r="V619" s="18">
        <f t="shared" si="399"/>
        <v>0</v>
      </c>
      <c r="W619" s="18">
        <f t="shared" si="400"/>
        <v>0</v>
      </c>
    </row>
    <row r="620" spans="1:23" x14ac:dyDescent="0.2">
      <c r="A620">
        <v>8643</v>
      </c>
      <c r="B620">
        <v>0</v>
      </c>
      <c r="C620">
        <v>0</v>
      </c>
      <c r="D620">
        <v>0</v>
      </c>
      <c r="E620">
        <v>0</v>
      </c>
      <c r="F620">
        <v>0</v>
      </c>
      <c r="G620">
        <v>0</v>
      </c>
      <c r="H620">
        <v>0</v>
      </c>
      <c r="I620">
        <v>0</v>
      </c>
      <c r="J620">
        <v>0</v>
      </c>
      <c r="K620">
        <v>0</v>
      </c>
      <c r="L620">
        <v>0</v>
      </c>
      <c r="M620">
        <v>0</v>
      </c>
      <c r="N620">
        <v>0</v>
      </c>
      <c r="P620" s="18">
        <f t="shared" ref="P620:P642" si="401">SUM(B620,G620)</f>
        <v>0</v>
      </c>
      <c r="Q620" s="18">
        <f t="shared" ref="Q620:Q642" si="402">SUM(C620,H620)</f>
        <v>0</v>
      </c>
      <c r="R620" s="18">
        <f t="shared" ref="R620:R642" si="403">SUM(D620,I620)</f>
        <v>0</v>
      </c>
      <c r="S620" s="18">
        <f t="shared" ref="S620:S642" si="404">SUM(E620,J620)</f>
        <v>0</v>
      </c>
      <c r="T620" s="18">
        <f t="shared" ref="T620:T642" si="405">K620</f>
        <v>0</v>
      </c>
      <c r="U620" s="18">
        <f t="shared" ref="U620:U642" si="406">L620</f>
        <v>0</v>
      </c>
      <c r="V620" s="18">
        <f t="shared" ref="V620:V642" si="407">M620</f>
        <v>0</v>
      </c>
      <c r="W620" s="18">
        <f t="shared" ref="W620:W642" si="408">SUM(F620,N620)</f>
        <v>0</v>
      </c>
    </row>
    <row r="621" spans="1:23" x14ac:dyDescent="0.2">
      <c r="A621">
        <v>8450</v>
      </c>
      <c r="B621">
        <v>0</v>
      </c>
      <c r="C621">
        <v>0</v>
      </c>
      <c r="D621">
        <v>0</v>
      </c>
      <c r="E621">
        <v>0</v>
      </c>
      <c r="F621">
        <v>0</v>
      </c>
      <c r="G621">
        <v>0</v>
      </c>
      <c r="H621">
        <v>0</v>
      </c>
      <c r="I621">
        <v>0</v>
      </c>
      <c r="J621">
        <v>0</v>
      </c>
      <c r="K621">
        <v>0</v>
      </c>
      <c r="L621">
        <v>0</v>
      </c>
      <c r="M621">
        <v>0</v>
      </c>
      <c r="N621">
        <v>0</v>
      </c>
      <c r="P621" s="18">
        <f t="shared" si="401"/>
        <v>0</v>
      </c>
      <c r="Q621" s="18">
        <f t="shared" si="402"/>
        <v>0</v>
      </c>
      <c r="R621" s="18">
        <f t="shared" si="403"/>
        <v>0</v>
      </c>
      <c r="S621" s="18">
        <f t="shared" si="404"/>
        <v>0</v>
      </c>
      <c r="T621" s="18">
        <f t="shared" si="405"/>
        <v>0</v>
      </c>
      <c r="U621" s="18">
        <f t="shared" si="406"/>
        <v>0</v>
      </c>
      <c r="V621" s="18">
        <f t="shared" si="407"/>
        <v>0</v>
      </c>
      <c r="W621" s="18">
        <f t="shared" si="408"/>
        <v>0</v>
      </c>
    </row>
    <row r="622" spans="1:23" x14ac:dyDescent="0.2">
      <c r="A622">
        <v>8655</v>
      </c>
      <c r="B622">
        <v>0</v>
      </c>
      <c r="C622">
        <v>0</v>
      </c>
      <c r="D622">
        <v>0</v>
      </c>
      <c r="E622">
        <v>0</v>
      </c>
      <c r="F622">
        <v>0</v>
      </c>
      <c r="G622">
        <v>0</v>
      </c>
      <c r="H622">
        <v>0</v>
      </c>
      <c r="I622">
        <v>0</v>
      </c>
      <c r="J622">
        <v>0</v>
      </c>
      <c r="K622">
        <v>0</v>
      </c>
      <c r="L622">
        <v>0</v>
      </c>
      <c r="M622">
        <v>0</v>
      </c>
      <c r="N622">
        <v>0</v>
      </c>
      <c r="P622" s="18">
        <f t="shared" si="401"/>
        <v>0</v>
      </c>
      <c r="Q622" s="18">
        <f t="shared" si="402"/>
        <v>0</v>
      </c>
      <c r="R622" s="18">
        <f t="shared" si="403"/>
        <v>0</v>
      </c>
      <c r="S622" s="18">
        <f t="shared" si="404"/>
        <v>0</v>
      </c>
      <c r="T622" s="18">
        <f t="shared" si="405"/>
        <v>0</v>
      </c>
      <c r="U622" s="18">
        <f t="shared" si="406"/>
        <v>0</v>
      </c>
      <c r="V622" s="18">
        <f t="shared" si="407"/>
        <v>0</v>
      </c>
      <c r="W622" s="18">
        <f t="shared" si="408"/>
        <v>0</v>
      </c>
    </row>
    <row r="623" spans="1:23" x14ac:dyDescent="0.2">
      <c r="A623">
        <v>8667</v>
      </c>
      <c r="B623">
        <v>0</v>
      </c>
      <c r="C623">
        <v>0</v>
      </c>
      <c r="D623">
        <v>0</v>
      </c>
      <c r="E623">
        <v>0</v>
      </c>
      <c r="F623">
        <v>0</v>
      </c>
      <c r="G623">
        <v>0</v>
      </c>
      <c r="H623">
        <v>0</v>
      </c>
      <c r="I623">
        <v>0</v>
      </c>
      <c r="J623">
        <v>0</v>
      </c>
      <c r="K623">
        <v>0</v>
      </c>
      <c r="L623">
        <v>0</v>
      </c>
      <c r="M623">
        <v>0</v>
      </c>
      <c r="N623">
        <v>0</v>
      </c>
      <c r="P623" s="18">
        <f t="shared" si="401"/>
        <v>0</v>
      </c>
      <c r="Q623" s="18">
        <f t="shared" si="402"/>
        <v>0</v>
      </c>
      <c r="R623" s="18">
        <f t="shared" si="403"/>
        <v>0</v>
      </c>
      <c r="S623" s="18">
        <f t="shared" si="404"/>
        <v>0</v>
      </c>
      <c r="T623" s="18">
        <f t="shared" si="405"/>
        <v>0</v>
      </c>
      <c r="U623" s="18">
        <f t="shared" si="406"/>
        <v>0</v>
      </c>
      <c r="V623" s="18">
        <f t="shared" si="407"/>
        <v>0</v>
      </c>
      <c r="W623" s="18">
        <f t="shared" si="408"/>
        <v>0</v>
      </c>
    </row>
    <row r="624" spans="1:23" x14ac:dyDescent="0.2">
      <c r="A624">
        <v>8645</v>
      </c>
      <c r="B624">
        <v>0</v>
      </c>
      <c r="C624">
        <v>0</v>
      </c>
      <c r="D624">
        <v>0</v>
      </c>
      <c r="E624">
        <v>0</v>
      </c>
      <c r="F624">
        <v>0</v>
      </c>
      <c r="G624">
        <v>0</v>
      </c>
      <c r="H624">
        <v>0</v>
      </c>
      <c r="I624">
        <v>0</v>
      </c>
      <c r="J624">
        <v>0</v>
      </c>
      <c r="K624">
        <v>0</v>
      </c>
      <c r="L624">
        <v>0</v>
      </c>
      <c r="M624">
        <v>0</v>
      </c>
      <c r="N624">
        <v>0</v>
      </c>
      <c r="P624" s="18">
        <f t="shared" si="401"/>
        <v>0</v>
      </c>
      <c r="Q624" s="18">
        <f t="shared" si="402"/>
        <v>0</v>
      </c>
      <c r="R624" s="18">
        <f t="shared" si="403"/>
        <v>0</v>
      </c>
      <c r="S624" s="18">
        <f t="shared" si="404"/>
        <v>0</v>
      </c>
      <c r="T624" s="18">
        <f t="shared" si="405"/>
        <v>0</v>
      </c>
      <c r="U624" s="18">
        <f t="shared" si="406"/>
        <v>0</v>
      </c>
      <c r="V624" s="18">
        <f t="shared" si="407"/>
        <v>0</v>
      </c>
      <c r="W624" s="18">
        <f t="shared" si="408"/>
        <v>0</v>
      </c>
    </row>
    <row r="625" spans="1:23" x14ac:dyDescent="0.2">
      <c r="A625">
        <v>8692</v>
      </c>
      <c r="B625">
        <v>0</v>
      </c>
      <c r="C625">
        <v>0</v>
      </c>
      <c r="D625">
        <v>0</v>
      </c>
      <c r="E625">
        <v>0</v>
      </c>
      <c r="F625">
        <v>0</v>
      </c>
      <c r="G625">
        <v>0</v>
      </c>
      <c r="H625">
        <v>0</v>
      </c>
      <c r="I625">
        <v>0</v>
      </c>
      <c r="J625">
        <v>0</v>
      </c>
      <c r="K625">
        <v>0</v>
      </c>
      <c r="L625">
        <v>0</v>
      </c>
      <c r="M625">
        <v>0</v>
      </c>
      <c r="N625">
        <v>0</v>
      </c>
      <c r="P625" s="18">
        <f t="shared" si="401"/>
        <v>0</v>
      </c>
      <c r="Q625" s="18">
        <f t="shared" si="402"/>
        <v>0</v>
      </c>
      <c r="R625" s="18">
        <f t="shared" si="403"/>
        <v>0</v>
      </c>
      <c r="S625" s="18">
        <f t="shared" si="404"/>
        <v>0</v>
      </c>
      <c r="T625" s="18">
        <f t="shared" si="405"/>
        <v>0</v>
      </c>
      <c r="U625" s="18">
        <f t="shared" si="406"/>
        <v>0</v>
      </c>
      <c r="V625" s="18">
        <f t="shared" si="407"/>
        <v>0</v>
      </c>
      <c r="W625" s="18">
        <f t="shared" si="408"/>
        <v>0</v>
      </c>
    </row>
    <row r="626" spans="1:23" x14ac:dyDescent="0.2">
      <c r="A626">
        <v>8720</v>
      </c>
      <c r="B626">
        <v>0</v>
      </c>
      <c r="C626">
        <v>0</v>
      </c>
      <c r="D626">
        <v>0</v>
      </c>
      <c r="E626">
        <v>0</v>
      </c>
      <c r="F626">
        <v>0</v>
      </c>
      <c r="G626">
        <v>0</v>
      </c>
      <c r="H626">
        <v>0</v>
      </c>
      <c r="I626">
        <v>0</v>
      </c>
      <c r="J626">
        <v>0</v>
      </c>
      <c r="K626">
        <v>0</v>
      </c>
      <c r="L626">
        <v>0</v>
      </c>
      <c r="M626">
        <v>0</v>
      </c>
      <c r="N626">
        <v>0</v>
      </c>
      <c r="P626" s="18">
        <f t="shared" si="401"/>
        <v>0</v>
      </c>
      <c r="Q626" s="18">
        <f t="shared" si="402"/>
        <v>0</v>
      </c>
      <c r="R626" s="18">
        <f t="shared" si="403"/>
        <v>0</v>
      </c>
      <c r="S626" s="18">
        <f t="shared" si="404"/>
        <v>0</v>
      </c>
      <c r="T626" s="18">
        <f t="shared" si="405"/>
        <v>0</v>
      </c>
      <c r="U626" s="18">
        <f t="shared" si="406"/>
        <v>0</v>
      </c>
      <c r="V626" s="18">
        <f t="shared" si="407"/>
        <v>0</v>
      </c>
      <c r="W626" s="18">
        <f t="shared" si="408"/>
        <v>0</v>
      </c>
    </row>
    <row r="627" spans="1:23" x14ac:dyDescent="0.2">
      <c r="A627">
        <v>8678</v>
      </c>
      <c r="B627">
        <v>0</v>
      </c>
      <c r="C627">
        <v>0</v>
      </c>
      <c r="D627">
        <v>0</v>
      </c>
      <c r="E627">
        <v>0</v>
      </c>
      <c r="F627">
        <v>0</v>
      </c>
      <c r="G627">
        <v>0</v>
      </c>
      <c r="H627">
        <v>0</v>
      </c>
      <c r="I627">
        <v>0</v>
      </c>
      <c r="J627">
        <v>0</v>
      </c>
      <c r="K627">
        <v>0</v>
      </c>
      <c r="L627">
        <v>0</v>
      </c>
      <c r="M627">
        <v>0</v>
      </c>
      <c r="N627">
        <v>0</v>
      </c>
      <c r="P627" s="18">
        <f t="shared" si="401"/>
        <v>0</v>
      </c>
      <c r="Q627" s="18">
        <f t="shared" si="402"/>
        <v>0</v>
      </c>
      <c r="R627" s="18">
        <f t="shared" si="403"/>
        <v>0</v>
      </c>
      <c r="S627" s="18">
        <f t="shared" si="404"/>
        <v>0</v>
      </c>
      <c r="T627" s="18">
        <f t="shared" si="405"/>
        <v>0</v>
      </c>
      <c r="U627" s="18">
        <f t="shared" si="406"/>
        <v>0</v>
      </c>
      <c r="V627" s="18">
        <f t="shared" si="407"/>
        <v>0</v>
      </c>
      <c r="W627" s="18">
        <f t="shared" si="408"/>
        <v>0</v>
      </c>
    </row>
    <row r="628" spans="1:23" x14ac:dyDescent="0.2">
      <c r="A628">
        <v>8722</v>
      </c>
      <c r="B628">
        <v>0</v>
      </c>
      <c r="C628">
        <v>0</v>
      </c>
      <c r="D628">
        <v>0</v>
      </c>
      <c r="E628">
        <v>0</v>
      </c>
      <c r="F628">
        <v>0</v>
      </c>
      <c r="G628">
        <v>0</v>
      </c>
      <c r="H628">
        <v>0</v>
      </c>
      <c r="I628">
        <v>0</v>
      </c>
      <c r="J628">
        <v>0</v>
      </c>
      <c r="K628">
        <v>0</v>
      </c>
      <c r="L628">
        <v>0</v>
      </c>
      <c r="M628">
        <v>0</v>
      </c>
      <c r="N628">
        <v>0</v>
      </c>
      <c r="P628" s="18">
        <f t="shared" si="401"/>
        <v>0</v>
      </c>
      <c r="Q628" s="18">
        <f t="shared" si="402"/>
        <v>0</v>
      </c>
      <c r="R628" s="18">
        <f t="shared" si="403"/>
        <v>0</v>
      </c>
      <c r="S628" s="18">
        <f t="shared" si="404"/>
        <v>0</v>
      </c>
      <c r="T628" s="18">
        <f t="shared" si="405"/>
        <v>0</v>
      </c>
      <c r="U628" s="18">
        <f t="shared" si="406"/>
        <v>0</v>
      </c>
      <c r="V628" s="18">
        <f t="shared" si="407"/>
        <v>0</v>
      </c>
      <c r="W628" s="18">
        <f t="shared" si="408"/>
        <v>0</v>
      </c>
    </row>
    <row r="629" spans="1:23" x14ac:dyDescent="0.2">
      <c r="A629">
        <v>8483</v>
      </c>
      <c r="B629">
        <v>0</v>
      </c>
      <c r="C629">
        <v>0</v>
      </c>
      <c r="D629">
        <v>0</v>
      </c>
      <c r="E629">
        <v>0</v>
      </c>
      <c r="F629">
        <v>0</v>
      </c>
      <c r="G629">
        <v>0</v>
      </c>
      <c r="H629">
        <v>0</v>
      </c>
      <c r="I629">
        <v>0</v>
      </c>
      <c r="J629">
        <v>0</v>
      </c>
      <c r="K629">
        <v>0</v>
      </c>
      <c r="L629">
        <v>0</v>
      </c>
      <c r="M629">
        <v>0</v>
      </c>
      <c r="N629">
        <v>0</v>
      </c>
      <c r="P629" s="18">
        <f t="shared" si="401"/>
        <v>0</v>
      </c>
      <c r="Q629" s="18">
        <f t="shared" si="402"/>
        <v>0</v>
      </c>
      <c r="R629" s="18">
        <f t="shared" si="403"/>
        <v>0</v>
      </c>
      <c r="S629" s="18">
        <f t="shared" si="404"/>
        <v>0</v>
      </c>
      <c r="T629" s="18">
        <f t="shared" si="405"/>
        <v>0</v>
      </c>
      <c r="U629" s="18">
        <f t="shared" si="406"/>
        <v>0</v>
      </c>
      <c r="V629" s="18">
        <f t="shared" si="407"/>
        <v>0</v>
      </c>
      <c r="W629" s="18">
        <f t="shared" si="408"/>
        <v>0</v>
      </c>
    </row>
    <row r="630" spans="1:23" x14ac:dyDescent="0.2">
      <c r="A630">
        <v>8727</v>
      </c>
      <c r="B630">
        <v>0</v>
      </c>
      <c r="C630">
        <v>0</v>
      </c>
      <c r="D630">
        <v>0</v>
      </c>
      <c r="E630">
        <v>0</v>
      </c>
      <c r="F630">
        <v>0</v>
      </c>
      <c r="G630">
        <v>0</v>
      </c>
      <c r="H630">
        <v>0</v>
      </c>
      <c r="I630">
        <v>0</v>
      </c>
      <c r="J630">
        <v>0</v>
      </c>
      <c r="K630">
        <v>0</v>
      </c>
      <c r="L630">
        <v>0</v>
      </c>
      <c r="M630">
        <v>0</v>
      </c>
      <c r="N630">
        <v>0</v>
      </c>
      <c r="P630" s="18">
        <f t="shared" si="401"/>
        <v>0</v>
      </c>
      <c r="Q630" s="18">
        <f t="shared" si="402"/>
        <v>0</v>
      </c>
      <c r="R630" s="18">
        <f t="shared" si="403"/>
        <v>0</v>
      </c>
      <c r="S630" s="18">
        <f t="shared" si="404"/>
        <v>0</v>
      </c>
      <c r="T630" s="18">
        <f t="shared" si="405"/>
        <v>0</v>
      </c>
      <c r="U630" s="18">
        <f t="shared" si="406"/>
        <v>0</v>
      </c>
      <c r="V630" s="18">
        <f t="shared" si="407"/>
        <v>0</v>
      </c>
      <c r="W630" s="18">
        <f t="shared" si="408"/>
        <v>0</v>
      </c>
    </row>
    <row r="631" spans="1:23" x14ac:dyDescent="0.2">
      <c r="A631">
        <v>8694</v>
      </c>
      <c r="B631">
        <v>0</v>
      </c>
      <c r="C631">
        <v>0</v>
      </c>
      <c r="D631">
        <v>0</v>
      </c>
      <c r="E631">
        <v>0</v>
      </c>
      <c r="F631">
        <v>0</v>
      </c>
      <c r="G631">
        <v>0</v>
      </c>
      <c r="H631">
        <v>0</v>
      </c>
      <c r="I631">
        <v>0</v>
      </c>
      <c r="J631">
        <v>0</v>
      </c>
      <c r="K631">
        <v>0</v>
      </c>
      <c r="L631">
        <v>0</v>
      </c>
      <c r="M631">
        <v>0</v>
      </c>
      <c r="N631">
        <v>0</v>
      </c>
      <c r="P631" s="18">
        <f t="shared" si="401"/>
        <v>0</v>
      </c>
      <c r="Q631" s="18">
        <f t="shared" si="402"/>
        <v>0</v>
      </c>
      <c r="R631" s="18">
        <f t="shared" si="403"/>
        <v>0</v>
      </c>
      <c r="S631" s="18">
        <f t="shared" si="404"/>
        <v>0</v>
      </c>
      <c r="T631" s="18">
        <f t="shared" si="405"/>
        <v>0</v>
      </c>
      <c r="U631" s="18">
        <f t="shared" si="406"/>
        <v>0</v>
      </c>
      <c r="V631" s="18">
        <f t="shared" si="407"/>
        <v>0</v>
      </c>
      <c r="W631" s="18">
        <f t="shared" si="408"/>
        <v>0</v>
      </c>
    </row>
    <row r="632" spans="1:23" x14ac:dyDescent="0.2">
      <c r="A632">
        <v>8735</v>
      </c>
      <c r="B632">
        <v>0</v>
      </c>
      <c r="C632">
        <v>0</v>
      </c>
      <c r="D632">
        <v>0</v>
      </c>
      <c r="E632">
        <v>0</v>
      </c>
      <c r="F632">
        <v>0</v>
      </c>
      <c r="G632">
        <v>0</v>
      </c>
      <c r="H632">
        <v>0</v>
      </c>
      <c r="I632">
        <v>0</v>
      </c>
      <c r="J632">
        <v>0</v>
      </c>
      <c r="K632">
        <v>0</v>
      </c>
      <c r="L632">
        <v>0</v>
      </c>
      <c r="M632">
        <v>0</v>
      </c>
      <c r="N632">
        <v>0</v>
      </c>
      <c r="P632" s="18">
        <f t="shared" si="401"/>
        <v>0</v>
      </c>
      <c r="Q632" s="18">
        <f t="shared" si="402"/>
        <v>0</v>
      </c>
      <c r="R632" s="18">
        <f t="shared" si="403"/>
        <v>0</v>
      </c>
      <c r="S632" s="18">
        <f t="shared" si="404"/>
        <v>0</v>
      </c>
      <c r="T632" s="18">
        <f t="shared" si="405"/>
        <v>0</v>
      </c>
      <c r="U632" s="18">
        <f t="shared" si="406"/>
        <v>0</v>
      </c>
      <c r="V632" s="18">
        <f t="shared" si="407"/>
        <v>0</v>
      </c>
      <c r="W632" s="18">
        <f t="shared" si="408"/>
        <v>0</v>
      </c>
    </row>
    <row r="633" spans="1:23" x14ac:dyDescent="0.2">
      <c r="A633">
        <v>8740</v>
      </c>
      <c r="B633">
        <v>0</v>
      </c>
      <c r="C633">
        <v>0</v>
      </c>
      <c r="D633">
        <v>0</v>
      </c>
      <c r="E633">
        <v>0</v>
      </c>
      <c r="F633">
        <v>0</v>
      </c>
      <c r="G633">
        <v>0</v>
      </c>
      <c r="H633">
        <v>0</v>
      </c>
      <c r="I633">
        <v>0</v>
      </c>
      <c r="J633">
        <v>0</v>
      </c>
      <c r="K633">
        <v>0</v>
      </c>
      <c r="L633">
        <v>0</v>
      </c>
      <c r="M633">
        <v>0</v>
      </c>
      <c r="N633">
        <v>0</v>
      </c>
      <c r="P633" s="18">
        <f t="shared" si="401"/>
        <v>0</v>
      </c>
      <c r="Q633" s="18">
        <f t="shared" si="402"/>
        <v>0</v>
      </c>
      <c r="R633" s="18">
        <f t="shared" si="403"/>
        <v>0</v>
      </c>
      <c r="S633" s="18">
        <f t="shared" si="404"/>
        <v>0</v>
      </c>
      <c r="T633" s="18">
        <f t="shared" si="405"/>
        <v>0</v>
      </c>
      <c r="U633" s="18">
        <f t="shared" si="406"/>
        <v>0</v>
      </c>
      <c r="V633" s="18">
        <f t="shared" si="407"/>
        <v>0</v>
      </c>
      <c r="W633" s="18">
        <f t="shared" si="408"/>
        <v>0</v>
      </c>
    </row>
    <row r="634" spans="1:23" x14ac:dyDescent="0.2">
      <c r="A634">
        <v>8303</v>
      </c>
      <c r="B634">
        <v>0</v>
      </c>
      <c r="C634">
        <v>0</v>
      </c>
      <c r="D634">
        <v>0</v>
      </c>
      <c r="E634">
        <v>0</v>
      </c>
      <c r="F634">
        <v>0</v>
      </c>
      <c r="G634">
        <v>0</v>
      </c>
      <c r="H634">
        <v>0</v>
      </c>
      <c r="I634">
        <v>0</v>
      </c>
      <c r="J634">
        <v>0</v>
      </c>
      <c r="K634">
        <v>0</v>
      </c>
      <c r="L634">
        <v>0</v>
      </c>
      <c r="M634">
        <v>0</v>
      </c>
      <c r="N634">
        <v>0</v>
      </c>
      <c r="P634" s="18">
        <f t="shared" si="401"/>
        <v>0</v>
      </c>
      <c r="Q634" s="18">
        <f t="shared" si="402"/>
        <v>0</v>
      </c>
      <c r="R634" s="18">
        <f t="shared" si="403"/>
        <v>0</v>
      </c>
      <c r="S634" s="18">
        <f t="shared" si="404"/>
        <v>0</v>
      </c>
      <c r="T634" s="18">
        <f t="shared" si="405"/>
        <v>0</v>
      </c>
      <c r="U634" s="18">
        <f t="shared" si="406"/>
        <v>0</v>
      </c>
      <c r="V634" s="18">
        <f t="shared" si="407"/>
        <v>0</v>
      </c>
      <c r="W634" s="18">
        <f t="shared" si="408"/>
        <v>0</v>
      </c>
    </row>
    <row r="635" spans="1:23" x14ac:dyDescent="0.2">
      <c r="A635">
        <v>8739</v>
      </c>
      <c r="B635">
        <v>0</v>
      </c>
      <c r="C635">
        <v>0</v>
      </c>
      <c r="D635">
        <v>0</v>
      </c>
      <c r="E635">
        <v>0</v>
      </c>
      <c r="F635">
        <v>0</v>
      </c>
      <c r="G635">
        <v>0</v>
      </c>
      <c r="H635">
        <v>0</v>
      </c>
      <c r="I635">
        <v>0</v>
      </c>
      <c r="J635">
        <v>0</v>
      </c>
      <c r="K635">
        <v>0</v>
      </c>
      <c r="L635">
        <v>0</v>
      </c>
      <c r="M635">
        <v>0</v>
      </c>
      <c r="N635">
        <v>0</v>
      </c>
      <c r="P635" s="18">
        <f t="shared" si="401"/>
        <v>0</v>
      </c>
      <c r="Q635" s="18">
        <f t="shared" si="402"/>
        <v>0</v>
      </c>
      <c r="R635" s="18">
        <f t="shared" si="403"/>
        <v>0</v>
      </c>
      <c r="S635" s="18">
        <f t="shared" si="404"/>
        <v>0</v>
      </c>
      <c r="T635" s="18">
        <f t="shared" si="405"/>
        <v>0</v>
      </c>
      <c r="U635" s="18">
        <f t="shared" si="406"/>
        <v>0</v>
      </c>
      <c r="V635" s="18">
        <f t="shared" si="407"/>
        <v>0</v>
      </c>
      <c r="W635" s="18">
        <f t="shared" si="408"/>
        <v>0</v>
      </c>
    </row>
    <row r="636" spans="1:23" x14ac:dyDescent="0.2">
      <c r="A636">
        <v>8806</v>
      </c>
      <c r="B636">
        <v>0</v>
      </c>
      <c r="C636">
        <v>0</v>
      </c>
      <c r="D636">
        <v>0</v>
      </c>
      <c r="E636">
        <v>0</v>
      </c>
      <c r="F636">
        <v>0</v>
      </c>
      <c r="G636">
        <v>0</v>
      </c>
      <c r="H636">
        <v>0</v>
      </c>
      <c r="I636">
        <v>0</v>
      </c>
      <c r="J636">
        <v>0</v>
      </c>
      <c r="K636">
        <v>0</v>
      </c>
      <c r="L636">
        <v>0</v>
      </c>
      <c r="M636">
        <v>0</v>
      </c>
      <c r="N636">
        <v>0</v>
      </c>
      <c r="P636" s="18">
        <f t="shared" si="401"/>
        <v>0</v>
      </c>
      <c r="Q636" s="18">
        <f t="shared" si="402"/>
        <v>0</v>
      </c>
      <c r="R636" s="18">
        <f t="shared" si="403"/>
        <v>0</v>
      </c>
      <c r="S636" s="18">
        <f t="shared" si="404"/>
        <v>0</v>
      </c>
      <c r="T636" s="18">
        <f t="shared" si="405"/>
        <v>0</v>
      </c>
      <c r="U636" s="18">
        <f t="shared" si="406"/>
        <v>0</v>
      </c>
      <c r="V636" s="18">
        <f t="shared" si="407"/>
        <v>0</v>
      </c>
      <c r="W636" s="18">
        <f t="shared" si="408"/>
        <v>0</v>
      </c>
    </row>
    <row r="637" spans="1:23" x14ac:dyDescent="0.2">
      <c r="A637">
        <v>8804</v>
      </c>
      <c r="B637">
        <v>0</v>
      </c>
      <c r="C637">
        <v>0</v>
      </c>
      <c r="D637">
        <v>0</v>
      </c>
      <c r="E637">
        <v>0</v>
      </c>
      <c r="F637">
        <v>0</v>
      </c>
      <c r="G637">
        <v>0</v>
      </c>
      <c r="H637">
        <v>0</v>
      </c>
      <c r="I637">
        <v>0</v>
      </c>
      <c r="J637">
        <v>0</v>
      </c>
      <c r="K637">
        <v>0</v>
      </c>
      <c r="L637">
        <v>0</v>
      </c>
      <c r="M637">
        <v>0</v>
      </c>
      <c r="N637">
        <v>0</v>
      </c>
      <c r="P637" s="18">
        <f t="shared" si="401"/>
        <v>0</v>
      </c>
      <c r="Q637" s="18">
        <f t="shared" si="402"/>
        <v>0</v>
      </c>
      <c r="R637" s="18">
        <f t="shared" si="403"/>
        <v>0</v>
      </c>
      <c r="S637" s="18">
        <f t="shared" si="404"/>
        <v>0</v>
      </c>
      <c r="T637" s="18">
        <f t="shared" si="405"/>
        <v>0</v>
      </c>
      <c r="U637" s="18">
        <f t="shared" si="406"/>
        <v>0</v>
      </c>
      <c r="V637" s="18">
        <f t="shared" si="407"/>
        <v>0</v>
      </c>
      <c r="W637" s="18">
        <f t="shared" si="408"/>
        <v>0</v>
      </c>
    </row>
    <row r="638" spans="1:23" x14ac:dyDescent="0.2">
      <c r="A638">
        <v>8802</v>
      </c>
      <c r="B638">
        <v>0.34400000000000003</v>
      </c>
      <c r="C638">
        <v>1.3760000000000001</v>
      </c>
      <c r="D638">
        <v>0</v>
      </c>
      <c r="E638">
        <v>0</v>
      </c>
      <c r="F638">
        <v>0</v>
      </c>
      <c r="G638">
        <v>1.1999999999999999E-3</v>
      </c>
      <c r="H638">
        <v>6.25E-2</v>
      </c>
      <c r="I638">
        <v>0</v>
      </c>
      <c r="J638">
        <v>0</v>
      </c>
      <c r="K638">
        <v>0</v>
      </c>
      <c r="L638">
        <v>0</v>
      </c>
      <c r="M638">
        <v>0</v>
      </c>
      <c r="N638">
        <v>0</v>
      </c>
      <c r="P638" s="18">
        <f t="shared" si="401"/>
        <v>0.34520000000000001</v>
      </c>
      <c r="Q638" s="18">
        <f t="shared" si="402"/>
        <v>1.4385000000000001</v>
      </c>
      <c r="R638" s="18">
        <f t="shared" si="403"/>
        <v>0</v>
      </c>
      <c r="S638" s="18">
        <f t="shared" si="404"/>
        <v>0</v>
      </c>
      <c r="T638" s="18">
        <f t="shared" si="405"/>
        <v>0</v>
      </c>
      <c r="U638" s="18">
        <f t="shared" si="406"/>
        <v>0</v>
      </c>
      <c r="V638" s="18">
        <f t="shared" si="407"/>
        <v>0</v>
      </c>
      <c r="W638" s="18">
        <f t="shared" si="408"/>
        <v>0</v>
      </c>
    </row>
    <row r="639" spans="1:23" x14ac:dyDescent="0.2">
      <c r="A639">
        <v>8795</v>
      </c>
      <c r="B639">
        <v>0</v>
      </c>
      <c r="C639">
        <v>0</v>
      </c>
      <c r="D639">
        <v>0</v>
      </c>
      <c r="E639">
        <v>0</v>
      </c>
      <c r="F639">
        <v>0</v>
      </c>
      <c r="G639">
        <v>0</v>
      </c>
      <c r="H639">
        <v>0</v>
      </c>
      <c r="I639">
        <v>0</v>
      </c>
      <c r="J639">
        <v>0</v>
      </c>
      <c r="K639">
        <v>0</v>
      </c>
      <c r="L639">
        <v>0</v>
      </c>
      <c r="M639">
        <v>0</v>
      </c>
      <c r="N639">
        <v>0</v>
      </c>
      <c r="P639" s="18">
        <f t="shared" si="401"/>
        <v>0</v>
      </c>
      <c r="Q639" s="18">
        <f t="shared" si="402"/>
        <v>0</v>
      </c>
      <c r="R639" s="18">
        <f t="shared" si="403"/>
        <v>0</v>
      </c>
      <c r="S639" s="18">
        <f t="shared" si="404"/>
        <v>0</v>
      </c>
      <c r="T639" s="18">
        <f t="shared" si="405"/>
        <v>0</v>
      </c>
      <c r="U639" s="18">
        <f t="shared" si="406"/>
        <v>0</v>
      </c>
      <c r="V639" s="18">
        <f t="shared" si="407"/>
        <v>0</v>
      </c>
      <c r="W639" s="18">
        <f t="shared" si="408"/>
        <v>0</v>
      </c>
    </row>
    <row r="640" spans="1:23" x14ac:dyDescent="0.2">
      <c r="A640">
        <v>8788</v>
      </c>
      <c r="B640">
        <v>0</v>
      </c>
      <c r="C640">
        <v>0</v>
      </c>
      <c r="D640">
        <v>0</v>
      </c>
      <c r="E640">
        <v>0</v>
      </c>
      <c r="F640">
        <v>0</v>
      </c>
      <c r="G640">
        <v>0</v>
      </c>
      <c r="H640">
        <v>0</v>
      </c>
      <c r="I640">
        <v>0</v>
      </c>
      <c r="J640">
        <v>0</v>
      </c>
      <c r="K640">
        <v>0</v>
      </c>
      <c r="L640">
        <v>0</v>
      </c>
      <c r="M640">
        <v>0</v>
      </c>
      <c r="N640">
        <v>0</v>
      </c>
      <c r="P640" s="18">
        <f t="shared" si="401"/>
        <v>0</v>
      </c>
      <c r="Q640" s="18">
        <f t="shared" si="402"/>
        <v>0</v>
      </c>
      <c r="R640" s="18">
        <f t="shared" si="403"/>
        <v>0</v>
      </c>
      <c r="S640" s="18">
        <f t="shared" si="404"/>
        <v>0</v>
      </c>
      <c r="T640" s="18">
        <f t="shared" si="405"/>
        <v>0</v>
      </c>
      <c r="U640" s="18">
        <f t="shared" si="406"/>
        <v>0</v>
      </c>
      <c r="V640" s="18">
        <f t="shared" si="407"/>
        <v>0</v>
      </c>
      <c r="W640" s="18">
        <f t="shared" si="408"/>
        <v>0</v>
      </c>
    </row>
    <row r="641" spans="1:23" x14ac:dyDescent="0.2">
      <c r="A641">
        <v>8789</v>
      </c>
      <c r="B641">
        <v>0</v>
      </c>
      <c r="C641">
        <v>0</v>
      </c>
      <c r="D641">
        <v>0</v>
      </c>
      <c r="E641">
        <v>0</v>
      </c>
      <c r="F641">
        <v>0</v>
      </c>
      <c r="G641">
        <v>0</v>
      </c>
      <c r="H641">
        <v>0</v>
      </c>
      <c r="I641">
        <v>0</v>
      </c>
      <c r="J641">
        <v>0</v>
      </c>
      <c r="K641">
        <v>0</v>
      </c>
      <c r="L641">
        <v>0</v>
      </c>
      <c r="M641">
        <v>0</v>
      </c>
      <c r="N641">
        <v>0</v>
      </c>
      <c r="P641" s="18">
        <f t="shared" si="401"/>
        <v>0</v>
      </c>
      <c r="Q641" s="18">
        <f t="shared" si="402"/>
        <v>0</v>
      </c>
      <c r="R641" s="18">
        <f t="shared" si="403"/>
        <v>0</v>
      </c>
      <c r="S641" s="18">
        <f t="shared" si="404"/>
        <v>0</v>
      </c>
      <c r="T641" s="18">
        <f t="shared" si="405"/>
        <v>0</v>
      </c>
      <c r="U641" s="18">
        <f t="shared" si="406"/>
        <v>0</v>
      </c>
      <c r="V641" s="18">
        <f t="shared" si="407"/>
        <v>0</v>
      </c>
      <c r="W641" s="18">
        <f t="shared" si="408"/>
        <v>0</v>
      </c>
    </row>
    <row r="642" spans="1:23" x14ac:dyDescent="0.2">
      <c r="A642">
        <v>8765</v>
      </c>
      <c r="B642">
        <v>2.9240000000000004</v>
      </c>
      <c r="C642">
        <v>11.696000000000002</v>
      </c>
      <c r="D642">
        <v>0</v>
      </c>
      <c r="E642">
        <v>0</v>
      </c>
      <c r="F642">
        <v>0</v>
      </c>
      <c r="G642">
        <v>0.47344000000000003</v>
      </c>
      <c r="H642">
        <v>0.96694000000000002</v>
      </c>
      <c r="I642">
        <v>0</v>
      </c>
      <c r="J642">
        <v>0</v>
      </c>
      <c r="K642">
        <v>0</v>
      </c>
      <c r="L642">
        <v>0</v>
      </c>
      <c r="M642">
        <v>0</v>
      </c>
      <c r="N642">
        <v>0</v>
      </c>
      <c r="P642" s="18">
        <f t="shared" si="401"/>
        <v>3.3974400000000005</v>
      </c>
      <c r="Q642" s="18">
        <f t="shared" si="402"/>
        <v>12.662940000000001</v>
      </c>
      <c r="R642" s="18">
        <f t="shared" si="403"/>
        <v>0</v>
      </c>
      <c r="S642" s="18">
        <f t="shared" si="404"/>
        <v>0</v>
      </c>
      <c r="T642" s="18">
        <f t="shared" si="405"/>
        <v>0</v>
      </c>
      <c r="U642" s="18">
        <f t="shared" si="406"/>
        <v>0</v>
      </c>
      <c r="V642" s="18">
        <f t="shared" si="407"/>
        <v>0</v>
      </c>
      <c r="W642" s="18">
        <f t="shared" si="408"/>
        <v>0</v>
      </c>
    </row>
    <row r="643" spans="1:23" x14ac:dyDescent="0.2">
      <c r="A643">
        <v>8785</v>
      </c>
      <c r="B643">
        <v>0</v>
      </c>
      <c r="C643">
        <v>0</v>
      </c>
      <c r="D643">
        <v>0</v>
      </c>
      <c r="E643">
        <v>0</v>
      </c>
      <c r="F643">
        <v>0</v>
      </c>
      <c r="G643">
        <v>0</v>
      </c>
      <c r="H643">
        <v>0</v>
      </c>
      <c r="I643">
        <v>0</v>
      </c>
      <c r="J643">
        <v>0</v>
      </c>
      <c r="K643">
        <v>0</v>
      </c>
      <c r="L643">
        <v>0</v>
      </c>
      <c r="M643">
        <v>0</v>
      </c>
      <c r="N643">
        <v>0</v>
      </c>
      <c r="P643" s="18">
        <f t="shared" ref="P643" si="409">SUM(B643,G643)</f>
        <v>0</v>
      </c>
      <c r="Q643" s="18">
        <f t="shared" ref="Q643" si="410">SUM(C643,H643)</f>
        <v>0</v>
      </c>
      <c r="R643" s="18">
        <f t="shared" ref="R643" si="411">SUM(D643,I643)</f>
        <v>0</v>
      </c>
      <c r="S643" s="18">
        <f t="shared" ref="S643" si="412">SUM(E643,J643)</f>
        <v>0</v>
      </c>
      <c r="T643" s="18">
        <f t="shared" ref="T643" si="413">K643</f>
        <v>0</v>
      </c>
      <c r="U643" s="18">
        <f t="shared" ref="U643" si="414">L643</f>
        <v>0</v>
      </c>
      <c r="V643" s="18">
        <f t="shared" ref="V643" si="415">M643</f>
        <v>0</v>
      </c>
      <c r="W643" s="18">
        <f t="shared" ref="W643" si="416">SUM(F643,N643)</f>
        <v>0</v>
      </c>
    </row>
    <row r="644" spans="1:23" x14ac:dyDescent="0.2">
      <c r="A644">
        <v>7391</v>
      </c>
      <c r="B644">
        <v>0</v>
      </c>
      <c r="C644">
        <v>0</v>
      </c>
      <c r="D644">
        <v>0</v>
      </c>
      <c r="E644">
        <v>0</v>
      </c>
      <c r="F644">
        <v>0</v>
      </c>
      <c r="G644">
        <v>0</v>
      </c>
      <c r="H644">
        <v>0</v>
      </c>
      <c r="I644">
        <v>0</v>
      </c>
      <c r="J644">
        <v>0</v>
      </c>
      <c r="K644">
        <v>0</v>
      </c>
      <c r="L644">
        <v>0</v>
      </c>
      <c r="M644">
        <v>0</v>
      </c>
      <c r="N644">
        <v>0</v>
      </c>
      <c r="P644" s="18">
        <f t="shared" ref="P644:P664" si="417">SUM(B644,G644)</f>
        <v>0</v>
      </c>
      <c r="Q644" s="18">
        <f t="shared" ref="Q644:Q664" si="418">SUM(C644,H644)</f>
        <v>0</v>
      </c>
      <c r="R644" s="18">
        <f t="shared" ref="R644:R664" si="419">SUM(D644,I644)</f>
        <v>0</v>
      </c>
      <c r="S644" s="18">
        <f t="shared" ref="S644:S664" si="420">SUM(E644,J644)</f>
        <v>0</v>
      </c>
      <c r="T644" s="18">
        <f t="shared" ref="T644:T664" si="421">K644</f>
        <v>0</v>
      </c>
      <c r="U644" s="18">
        <f t="shared" ref="U644:U664" si="422">L644</f>
        <v>0</v>
      </c>
      <c r="V644" s="18">
        <f t="shared" ref="V644:V664" si="423">M644</f>
        <v>0</v>
      </c>
      <c r="W644" s="18">
        <f t="shared" ref="W644:W664" si="424">SUM(F644,N644)</f>
        <v>0</v>
      </c>
    </row>
    <row r="645" spans="1:23" x14ac:dyDescent="0.2">
      <c r="A645">
        <v>8676</v>
      </c>
      <c r="B645">
        <v>0</v>
      </c>
      <c r="C645">
        <v>0</v>
      </c>
      <c r="D645">
        <v>0</v>
      </c>
      <c r="E645">
        <v>0</v>
      </c>
      <c r="F645">
        <v>0</v>
      </c>
      <c r="G645">
        <v>1.1519999999999999E-2</v>
      </c>
      <c r="H645">
        <v>2.2179999999999998E-2</v>
      </c>
      <c r="I645">
        <v>0</v>
      </c>
      <c r="J645">
        <v>0</v>
      </c>
      <c r="K645">
        <v>0</v>
      </c>
      <c r="L645">
        <v>0</v>
      </c>
      <c r="M645">
        <v>0</v>
      </c>
      <c r="N645">
        <v>0</v>
      </c>
      <c r="P645" s="18">
        <f t="shared" si="417"/>
        <v>1.1519999999999999E-2</v>
      </c>
      <c r="Q645" s="18">
        <f t="shared" si="418"/>
        <v>2.2179999999999998E-2</v>
      </c>
      <c r="R645" s="18">
        <f t="shared" si="419"/>
        <v>0</v>
      </c>
      <c r="S645" s="18">
        <f t="shared" si="420"/>
        <v>0</v>
      </c>
      <c r="T645" s="18">
        <f t="shared" si="421"/>
        <v>0</v>
      </c>
      <c r="U645" s="18">
        <f t="shared" si="422"/>
        <v>0</v>
      </c>
      <c r="V645" s="18">
        <f t="shared" si="423"/>
        <v>0</v>
      </c>
      <c r="W645" s="18">
        <f t="shared" si="424"/>
        <v>0</v>
      </c>
    </row>
    <row r="646" spans="1:23" x14ac:dyDescent="0.2">
      <c r="A646">
        <v>8817</v>
      </c>
      <c r="B646">
        <v>0</v>
      </c>
      <c r="C646">
        <v>0</v>
      </c>
      <c r="D646">
        <v>0</v>
      </c>
      <c r="E646">
        <v>0</v>
      </c>
      <c r="F646">
        <v>0</v>
      </c>
      <c r="G646">
        <v>0</v>
      </c>
      <c r="H646">
        <v>0</v>
      </c>
      <c r="I646">
        <v>0</v>
      </c>
      <c r="J646">
        <v>0</v>
      </c>
      <c r="K646">
        <v>0</v>
      </c>
      <c r="L646">
        <v>0</v>
      </c>
      <c r="M646">
        <v>0</v>
      </c>
      <c r="N646">
        <v>0</v>
      </c>
      <c r="P646" s="18">
        <f t="shared" si="417"/>
        <v>0</v>
      </c>
      <c r="Q646" s="18">
        <f t="shared" si="418"/>
        <v>0</v>
      </c>
      <c r="R646" s="18">
        <f t="shared" si="419"/>
        <v>0</v>
      </c>
      <c r="S646" s="18">
        <f t="shared" si="420"/>
        <v>0</v>
      </c>
      <c r="T646" s="18">
        <f t="shared" si="421"/>
        <v>0</v>
      </c>
      <c r="U646" s="18">
        <f t="shared" si="422"/>
        <v>0</v>
      </c>
      <c r="V646" s="18">
        <f t="shared" si="423"/>
        <v>0</v>
      </c>
      <c r="W646" s="18">
        <f t="shared" si="424"/>
        <v>0</v>
      </c>
    </row>
    <row r="647" spans="1:23" x14ac:dyDescent="0.2">
      <c r="A647">
        <v>8834</v>
      </c>
      <c r="B647">
        <v>0</v>
      </c>
      <c r="C647">
        <v>0</v>
      </c>
      <c r="D647">
        <v>0</v>
      </c>
      <c r="E647">
        <v>0</v>
      </c>
      <c r="F647">
        <v>0</v>
      </c>
      <c r="G647">
        <v>0</v>
      </c>
      <c r="H647">
        <v>0</v>
      </c>
      <c r="I647">
        <v>0</v>
      </c>
      <c r="J647">
        <v>0</v>
      </c>
      <c r="K647">
        <v>0</v>
      </c>
      <c r="L647">
        <v>0</v>
      </c>
      <c r="M647">
        <v>0</v>
      </c>
      <c r="N647">
        <v>0</v>
      </c>
      <c r="P647" s="18">
        <f t="shared" si="417"/>
        <v>0</v>
      </c>
      <c r="Q647" s="18">
        <f t="shared" si="418"/>
        <v>0</v>
      </c>
      <c r="R647" s="18">
        <f t="shared" si="419"/>
        <v>0</v>
      </c>
      <c r="S647" s="18">
        <f t="shared" si="420"/>
        <v>0</v>
      </c>
      <c r="T647" s="18">
        <f t="shared" si="421"/>
        <v>0</v>
      </c>
      <c r="U647" s="18">
        <f t="shared" si="422"/>
        <v>0</v>
      </c>
      <c r="V647" s="18">
        <f t="shared" si="423"/>
        <v>0</v>
      </c>
      <c r="W647" s="18">
        <f t="shared" si="424"/>
        <v>0</v>
      </c>
    </row>
    <row r="648" spans="1:23" x14ac:dyDescent="0.2">
      <c r="A648">
        <v>8828</v>
      </c>
      <c r="B648">
        <v>0</v>
      </c>
      <c r="C648">
        <v>0</v>
      </c>
      <c r="D648">
        <v>0</v>
      </c>
      <c r="E648">
        <v>0</v>
      </c>
      <c r="F648">
        <v>0</v>
      </c>
      <c r="G648">
        <v>0</v>
      </c>
      <c r="H648">
        <v>0</v>
      </c>
      <c r="I648">
        <v>0</v>
      </c>
      <c r="J648">
        <v>0</v>
      </c>
      <c r="K648">
        <v>0</v>
      </c>
      <c r="L648">
        <v>0</v>
      </c>
      <c r="M648">
        <v>0</v>
      </c>
      <c r="N648">
        <v>0</v>
      </c>
      <c r="P648" s="18">
        <f t="shared" si="417"/>
        <v>0</v>
      </c>
      <c r="Q648" s="18">
        <f t="shared" si="418"/>
        <v>0</v>
      </c>
      <c r="R648" s="18">
        <f t="shared" si="419"/>
        <v>0</v>
      </c>
      <c r="S648" s="18">
        <f t="shared" si="420"/>
        <v>0</v>
      </c>
      <c r="T648" s="18">
        <f t="shared" si="421"/>
        <v>0</v>
      </c>
      <c r="U648" s="18">
        <f t="shared" si="422"/>
        <v>0</v>
      </c>
      <c r="V648" s="18">
        <f t="shared" si="423"/>
        <v>0</v>
      </c>
      <c r="W648" s="18">
        <f t="shared" si="424"/>
        <v>0</v>
      </c>
    </row>
    <row r="649" spans="1:23" x14ac:dyDescent="0.2">
      <c r="A649">
        <v>8824</v>
      </c>
      <c r="B649">
        <v>0</v>
      </c>
      <c r="C649">
        <v>0</v>
      </c>
      <c r="D649">
        <v>0</v>
      </c>
      <c r="E649">
        <v>0</v>
      </c>
      <c r="F649">
        <v>0</v>
      </c>
      <c r="G649">
        <v>0</v>
      </c>
      <c r="H649">
        <v>0</v>
      </c>
      <c r="I649">
        <v>0</v>
      </c>
      <c r="J649">
        <v>0</v>
      </c>
      <c r="K649">
        <v>0</v>
      </c>
      <c r="L649">
        <v>0</v>
      </c>
      <c r="M649">
        <v>0</v>
      </c>
      <c r="N649">
        <v>0</v>
      </c>
      <c r="P649" s="18">
        <f t="shared" si="417"/>
        <v>0</v>
      </c>
      <c r="Q649" s="18">
        <f t="shared" si="418"/>
        <v>0</v>
      </c>
      <c r="R649" s="18">
        <f t="shared" si="419"/>
        <v>0</v>
      </c>
      <c r="S649" s="18">
        <f t="shared" si="420"/>
        <v>0</v>
      </c>
      <c r="T649" s="18">
        <f t="shared" si="421"/>
        <v>0</v>
      </c>
      <c r="U649" s="18">
        <f t="shared" si="422"/>
        <v>0</v>
      </c>
      <c r="V649" s="18">
        <f t="shared" si="423"/>
        <v>0</v>
      </c>
      <c r="W649" s="18">
        <f t="shared" si="424"/>
        <v>0</v>
      </c>
    </row>
    <row r="650" spans="1:23" x14ac:dyDescent="0.2">
      <c r="A650">
        <v>8750</v>
      </c>
      <c r="B650">
        <v>0</v>
      </c>
      <c r="C650">
        <v>0</v>
      </c>
      <c r="D650">
        <v>0</v>
      </c>
      <c r="E650">
        <v>0</v>
      </c>
      <c r="F650">
        <v>0</v>
      </c>
      <c r="G650">
        <v>0</v>
      </c>
      <c r="H650">
        <v>0</v>
      </c>
      <c r="I650">
        <v>0</v>
      </c>
      <c r="J650">
        <v>0</v>
      </c>
      <c r="K650">
        <v>0</v>
      </c>
      <c r="L650">
        <v>0</v>
      </c>
      <c r="M650">
        <v>0</v>
      </c>
      <c r="N650">
        <v>0</v>
      </c>
      <c r="P650" s="18">
        <f t="shared" si="417"/>
        <v>0</v>
      </c>
      <c r="Q650" s="18">
        <f t="shared" si="418"/>
        <v>0</v>
      </c>
      <c r="R650" s="18">
        <f t="shared" si="419"/>
        <v>0</v>
      </c>
      <c r="S650" s="18">
        <f t="shared" si="420"/>
        <v>0</v>
      </c>
      <c r="T650" s="18">
        <f t="shared" si="421"/>
        <v>0</v>
      </c>
      <c r="U650" s="18">
        <f t="shared" si="422"/>
        <v>0</v>
      </c>
      <c r="V650" s="18">
        <f t="shared" si="423"/>
        <v>0</v>
      </c>
      <c r="W650" s="18">
        <f t="shared" si="424"/>
        <v>0</v>
      </c>
    </row>
    <row r="651" spans="1:23" x14ac:dyDescent="0.2">
      <c r="A651">
        <v>8818</v>
      </c>
      <c r="B651">
        <v>0</v>
      </c>
      <c r="C651">
        <v>0</v>
      </c>
      <c r="D651">
        <v>0</v>
      </c>
      <c r="E651">
        <v>0</v>
      </c>
      <c r="F651">
        <v>0</v>
      </c>
      <c r="G651">
        <v>0</v>
      </c>
      <c r="H651">
        <v>0</v>
      </c>
      <c r="I651">
        <v>0</v>
      </c>
      <c r="J651">
        <v>0</v>
      </c>
      <c r="K651">
        <v>0</v>
      </c>
      <c r="L651">
        <v>0</v>
      </c>
      <c r="M651">
        <v>0</v>
      </c>
      <c r="N651">
        <v>0</v>
      </c>
      <c r="P651" s="18">
        <f t="shared" si="417"/>
        <v>0</v>
      </c>
      <c r="Q651" s="18">
        <f t="shared" si="418"/>
        <v>0</v>
      </c>
      <c r="R651" s="18">
        <f t="shared" si="419"/>
        <v>0</v>
      </c>
      <c r="S651" s="18">
        <f t="shared" si="420"/>
        <v>0</v>
      </c>
      <c r="T651" s="18">
        <f t="shared" si="421"/>
        <v>0</v>
      </c>
      <c r="U651" s="18">
        <f t="shared" si="422"/>
        <v>0</v>
      </c>
      <c r="V651" s="18">
        <f t="shared" si="423"/>
        <v>0</v>
      </c>
      <c r="W651" s="18">
        <f t="shared" si="424"/>
        <v>0</v>
      </c>
    </row>
    <row r="652" spans="1:23" x14ac:dyDescent="0.2">
      <c r="A652">
        <v>8859</v>
      </c>
      <c r="B652">
        <v>0</v>
      </c>
      <c r="C652">
        <v>0</v>
      </c>
      <c r="D652">
        <v>0</v>
      </c>
      <c r="E652">
        <v>0</v>
      </c>
      <c r="F652">
        <v>0</v>
      </c>
      <c r="G652">
        <v>0</v>
      </c>
      <c r="H652">
        <v>0</v>
      </c>
      <c r="I652">
        <v>0</v>
      </c>
      <c r="J652">
        <v>0</v>
      </c>
      <c r="K652">
        <v>0</v>
      </c>
      <c r="L652">
        <v>0</v>
      </c>
      <c r="M652">
        <v>0</v>
      </c>
      <c r="N652">
        <v>0</v>
      </c>
      <c r="P652" s="18">
        <f t="shared" si="417"/>
        <v>0</v>
      </c>
      <c r="Q652" s="18">
        <f t="shared" si="418"/>
        <v>0</v>
      </c>
      <c r="R652" s="18">
        <f t="shared" si="419"/>
        <v>0</v>
      </c>
      <c r="S652" s="18">
        <f t="shared" si="420"/>
        <v>0</v>
      </c>
      <c r="T652" s="18">
        <f t="shared" si="421"/>
        <v>0</v>
      </c>
      <c r="U652" s="18">
        <f t="shared" si="422"/>
        <v>0</v>
      </c>
      <c r="V652" s="18">
        <f t="shared" si="423"/>
        <v>0</v>
      </c>
      <c r="W652" s="18">
        <f t="shared" si="424"/>
        <v>0</v>
      </c>
    </row>
    <row r="653" spans="1:23" x14ac:dyDescent="0.2">
      <c r="A653">
        <v>8863</v>
      </c>
      <c r="B653">
        <v>0</v>
      </c>
      <c r="C653">
        <v>0</v>
      </c>
      <c r="D653">
        <v>0</v>
      </c>
      <c r="E653">
        <v>0</v>
      </c>
      <c r="F653">
        <v>0</v>
      </c>
      <c r="G653">
        <v>0</v>
      </c>
      <c r="H653">
        <v>0</v>
      </c>
      <c r="I653">
        <v>0</v>
      </c>
      <c r="J653">
        <v>0</v>
      </c>
      <c r="K653">
        <v>0</v>
      </c>
      <c r="L653">
        <v>0</v>
      </c>
      <c r="M653">
        <v>0</v>
      </c>
      <c r="N653">
        <v>0</v>
      </c>
      <c r="P653" s="18">
        <f t="shared" si="417"/>
        <v>0</v>
      </c>
      <c r="Q653" s="18">
        <f t="shared" si="418"/>
        <v>0</v>
      </c>
      <c r="R653" s="18">
        <f t="shared" si="419"/>
        <v>0</v>
      </c>
      <c r="S653" s="18">
        <f t="shared" si="420"/>
        <v>0</v>
      </c>
      <c r="T653" s="18">
        <f t="shared" si="421"/>
        <v>0</v>
      </c>
      <c r="U653" s="18">
        <f t="shared" si="422"/>
        <v>0</v>
      </c>
      <c r="V653" s="18">
        <f t="shared" si="423"/>
        <v>0</v>
      </c>
      <c r="W653" s="18">
        <f t="shared" si="424"/>
        <v>0</v>
      </c>
    </row>
    <row r="654" spans="1:23" x14ac:dyDescent="0.2">
      <c r="A654">
        <v>8862</v>
      </c>
      <c r="B654">
        <v>0</v>
      </c>
      <c r="C654">
        <v>0</v>
      </c>
      <c r="D654">
        <v>0</v>
      </c>
      <c r="E654">
        <v>0</v>
      </c>
      <c r="F654">
        <v>0</v>
      </c>
      <c r="G654">
        <v>0</v>
      </c>
      <c r="H654">
        <v>0</v>
      </c>
      <c r="I654">
        <v>0</v>
      </c>
      <c r="J654">
        <v>0</v>
      </c>
      <c r="K654">
        <v>0</v>
      </c>
      <c r="L654">
        <v>0</v>
      </c>
      <c r="M654">
        <v>0</v>
      </c>
      <c r="N654">
        <v>0</v>
      </c>
      <c r="P654" s="18">
        <f t="shared" si="417"/>
        <v>0</v>
      </c>
      <c r="Q654" s="18">
        <f t="shared" si="418"/>
        <v>0</v>
      </c>
      <c r="R654" s="18">
        <f t="shared" si="419"/>
        <v>0</v>
      </c>
      <c r="S654" s="18">
        <f t="shared" si="420"/>
        <v>0</v>
      </c>
      <c r="T654" s="18">
        <f t="shared" si="421"/>
        <v>0</v>
      </c>
      <c r="U654" s="18">
        <f t="shared" si="422"/>
        <v>0</v>
      </c>
      <c r="V654" s="18">
        <f t="shared" si="423"/>
        <v>0</v>
      </c>
      <c r="W654" s="18">
        <f t="shared" si="424"/>
        <v>0</v>
      </c>
    </row>
    <row r="655" spans="1:23" x14ac:dyDescent="0.2">
      <c r="A655">
        <v>8864</v>
      </c>
      <c r="B655">
        <v>0</v>
      </c>
      <c r="C655">
        <v>0</v>
      </c>
      <c r="D655">
        <v>0</v>
      </c>
      <c r="E655">
        <v>0</v>
      </c>
      <c r="F655">
        <v>0</v>
      </c>
      <c r="G655">
        <v>0</v>
      </c>
      <c r="H655">
        <v>0</v>
      </c>
      <c r="I655">
        <v>0</v>
      </c>
      <c r="J655">
        <v>0</v>
      </c>
      <c r="K655">
        <v>0</v>
      </c>
      <c r="L655">
        <v>0</v>
      </c>
      <c r="M655">
        <v>0</v>
      </c>
      <c r="N655">
        <v>0</v>
      </c>
      <c r="P655" s="18">
        <f t="shared" si="417"/>
        <v>0</v>
      </c>
      <c r="Q655" s="18">
        <f t="shared" si="418"/>
        <v>0</v>
      </c>
      <c r="R655" s="18">
        <f t="shared" si="419"/>
        <v>0</v>
      </c>
      <c r="S655" s="18">
        <f t="shared" si="420"/>
        <v>0</v>
      </c>
      <c r="T655" s="18">
        <f t="shared" si="421"/>
        <v>0</v>
      </c>
      <c r="U655" s="18">
        <f t="shared" si="422"/>
        <v>0</v>
      </c>
      <c r="V655" s="18">
        <f t="shared" si="423"/>
        <v>0</v>
      </c>
      <c r="W655" s="18">
        <f t="shared" si="424"/>
        <v>0</v>
      </c>
    </row>
    <row r="656" spans="1:23" x14ac:dyDescent="0.2">
      <c r="A656">
        <v>8861</v>
      </c>
      <c r="B656">
        <v>0</v>
      </c>
      <c r="C656">
        <v>0</v>
      </c>
      <c r="D656">
        <v>0</v>
      </c>
      <c r="E656">
        <v>0</v>
      </c>
      <c r="F656">
        <v>0</v>
      </c>
      <c r="G656">
        <v>0</v>
      </c>
      <c r="H656">
        <v>0</v>
      </c>
      <c r="I656">
        <v>0</v>
      </c>
      <c r="J656">
        <v>0</v>
      </c>
      <c r="K656">
        <v>0</v>
      </c>
      <c r="L656">
        <v>0</v>
      </c>
      <c r="M656">
        <v>0</v>
      </c>
      <c r="N656">
        <v>0</v>
      </c>
      <c r="P656" s="18">
        <f t="shared" si="417"/>
        <v>0</v>
      </c>
      <c r="Q656" s="18">
        <f t="shared" si="418"/>
        <v>0</v>
      </c>
      <c r="R656" s="18">
        <f t="shared" si="419"/>
        <v>0</v>
      </c>
      <c r="S656" s="18">
        <f t="shared" si="420"/>
        <v>0</v>
      </c>
      <c r="T656" s="18">
        <f t="shared" si="421"/>
        <v>0</v>
      </c>
      <c r="U656" s="18">
        <f t="shared" si="422"/>
        <v>0</v>
      </c>
      <c r="V656" s="18">
        <f t="shared" si="423"/>
        <v>0</v>
      </c>
      <c r="W656" s="18">
        <f t="shared" si="424"/>
        <v>0</v>
      </c>
    </row>
    <row r="657" spans="1:23" x14ac:dyDescent="0.2">
      <c r="A657">
        <v>8857</v>
      </c>
      <c r="B657">
        <v>0</v>
      </c>
      <c r="C657">
        <v>0</v>
      </c>
      <c r="D657">
        <v>0</v>
      </c>
      <c r="E657">
        <v>0</v>
      </c>
      <c r="F657">
        <v>0</v>
      </c>
      <c r="G657">
        <v>0</v>
      </c>
      <c r="H657">
        <v>0</v>
      </c>
      <c r="I657">
        <v>0</v>
      </c>
      <c r="J657">
        <v>0</v>
      </c>
      <c r="K657">
        <v>0</v>
      </c>
      <c r="L657">
        <v>0</v>
      </c>
      <c r="M657">
        <v>0</v>
      </c>
      <c r="N657">
        <v>0</v>
      </c>
      <c r="P657" s="18">
        <f t="shared" si="417"/>
        <v>0</v>
      </c>
      <c r="Q657" s="18">
        <f t="shared" si="418"/>
        <v>0</v>
      </c>
      <c r="R657" s="18">
        <f t="shared" si="419"/>
        <v>0</v>
      </c>
      <c r="S657" s="18">
        <f t="shared" si="420"/>
        <v>0</v>
      </c>
      <c r="T657" s="18">
        <f t="shared" si="421"/>
        <v>0</v>
      </c>
      <c r="U657" s="18">
        <f t="shared" si="422"/>
        <v>0</v>
      </c>
      <c r="V657" s="18">
        <f t="shared" si="423"/>
        <v>0</v>
      </c>
      <c r="W657" s="18">
        <f t="shared" si="424"/>
        <v>0</v>
      </c>
    </row>
    <row r="658" spans="1:23" x14ac:dyDescent="0.2">
      <c r="A658">
        <v>8888</v>
      </c>
      <c r="B658">
        <v>0</v>
      </c>
      <c r="C658">
        <v>0</v>
      </c>
      <c r="D658">
        <v>0</v>
      </c>
      <c r="E658">
        <v>0</v>
      </c>
      <c r="F658">
        <v>0</v>
      </c>
      <c r="G658">
        <v>0</v>
      </c>
      <c r="H658">
        <v>0</v>
      </c>
      <c r="I658">
        <v>0</v>
      </c>
      <c r="J658">
        <v>0</v>
      </c>
      <c r="K658">
        <v>0</v>
      </c>
      <c r="L658">
        <v>0</v>
      </c>
      <c r="M658">
        <v>0</v>
      </c>
      <c r="N658">
        <v>0</v>
      </c>
      <c r="P658" s="18">
        <f t="shared" si="417"/>
        <v>0</v>
      </c>
      <c r="Q658" s="18">
        <f t="shared" si="418"/>
        <v>0</v>
      </c>
      <c r="R658" s="18">
        <f t="shared" si="419"/>
        <v>0</v>
      </c>
      <c r="S658" s="18">
        <f t="shared" si="420"/>
        <v>0</v>
      </c>
      <c r="T658" s="18">
        <f t="shared" si="421"/>
        <v>0</v>
      </c>
      <c r="U658" s="18">
        <f t="shared" si="422"/>
        <v>0</v>
      </c>
      <c r="V658" s="18">
        <f t="shared" si="423"/>
        <v>0</v>
      </c>
      <c r="W658" s="18">
        <f t="shared" si="424"/>
        <v>0</v>
      </c>
    </row>
    <row r="659" spans="1:23" x14ac:dyDescent="0.2">
      <c r="A659">
        <v>8691</v>
      </c>
      <c r="B659">
        <v>0</v>
      </c>
      <c r="C659">
        <v>0</v>
      </c>
      <c r="D659">
        <v>0</v>
      </c>
      <c r="E659">
        <v>0</v>
      </c>
      <c r="F659">
        <v>0</v>
      </c>
      <c r="G659">
        <v>0</v>
      </c>
      <c r="H659">
        <v>0</v>
      </c>
      <c r="I659">
        <v>0</v>
      </c>
      <c r="J659">
        <v>0</v>
      </c>
      <c r="K659">
        <v>0</v>
      </c>
      <c r="L659">
        <v>0</v>
      </c>
      <c r="M659">
        <v>0</v>
      </c>
      <c r="N659">
        <v>0</v>
      </c>
      <c r="P659" s="18">
        <f t="shared" si="417"/>
        <v>0</v>
      </c>
      <c r="Q659" s="18">
        <f t="shared" si="418"/>
        <v>0</v>
      </c>
      <c r="R659" s="18">
        <f t="shared" si="419"/>
        <v>0</v>
      </c>
      <c r="S659" s="18">
        <f t="shared" si="420"/>
        <v>0</v>
      </c>
      <c r="T659" s="18">
        <f t="shared" si="421"/>
        <v>0</v>
      </c>
      <c r="U659" s="18">
        <f t="shared" si="422"/>
        <v>0</v>
      </c>
      <c r="V659" s="18">
        <f t="shared" si="423"/>
        <v>0</v>
      </c>
      <c r="W659" s="18">
        <f t="shared" si="424"/>
        <v>0</v>
      </c>
    </row>
    <row r="660" spans="1:23" x14ac:dyDescent="0.2">
      <c r="A660">
        <v>8878</v>
      </c>
      <c r="B660">
        <v>0</v>
      </c>
      <c r="C660">
        <v>0</v>
      </c>
      <c r="D660">
        <v>0</v>
      </c>
      <c r="E660">
        <v>0</v>
      </c>
      <c r="F660">
        <v>0</v>
      </c>
      <c r="G660">
        <v>0</v>
      </c>
      <c r="H660">
        <v>0</v>
      </c>
      <c r="I660">
        <v>0</v>
      </c>
      <c r="J660">
        <v>0</v>
      </c>
      <c r="K660">
        <v>0</v>
      </c>
      <c r="L660">
        <v>0</v>
      </c>
      <c r="M660">
        <v>0</v>
      </c>
      <c r="N660">
        <v>0</v>
      </c>
      <c r="P660" s="18">
        <f t="shared" si="417"/>
        <v>0</v>
      </c>
      <c r="Q660" s="18">
        <f t="shared" si="418"/>
        <v>0</v>
      </c>
      <c r="R660" s="18">
        <f t="shared" si="419"/>
        <v>0</v>
      </c>
      <c r="S660" s="18">
        <f t="shared" si="420"/>
        <v>0</v>
      </c>
      <c r="T660" s="18">
        <f t="shared" si="421"/>
        <v>0</v>
      </c>
      <c r="U660" s="18">
        <f t="shared" si="422"/>
        <v>0</v>
      </c>
      <c r="V660" s="18">
        <f t="shared" si="423"/>
        <v>0</v>
      </c>
      <c r="W660" s="18">
        <f t="shared" si="424"/>
        <v>0</v>
      </c>
    </row>
    <row r="661" spans="1:23" x14ac:dyDescent="0.2">
      <c r="A661">
        <v>8877</v>
      </c>
      <c r="B661">
        <v>0</v>
      </c>
      <c r="C661">
        <v>0</v>
      </c>
      <c r="D661">
        <v>0</v>
      </c>
      <c r="E661">
        <v>0</v>
      </c>
      <c r="F661">
        <v>0</v>
      </c>
      <c r="G661">
        <v>0</v>
      </c>
      <c r="H661">
        <v>0</v>
      </c>
      <c r="I661">
        <v>0</v>
      </c>
      <c r="J661">
        <v>0</v>
      </c>
      <c r="K661">
        <v>0</v>
      </c>
      <c r="L661">
        <v>0</v>
      </c>
      <c r="M661">
        <v>0</v>
      </c>
      <c r="N661">
        <v>0</v>
      </c>
      <c r="P661" s="18">
        <f t="shared" si="417"/>
        <v>0</v>
      </c>
      <c r="Q661" s="18">
        <f t="shared" si="418"/>
        <v>0</v>
      </c>
      <c r="R661" s="18">
        <f t="shared" si="419"/>
        <v>0</v>
      </c>
      <c r="S661" s="18">
        <f t="shared" si="420"/>
        <v>0</v>
      </c>
      <c r="T661" s="18">
        <f t="shared" si="421"/>
        <v>0</v>
      </c>
      <c r="U661" s="18">
        <f t="shared" si="422"/>
        <v>0</v>
      </c>
      <c r="V661" s="18">
        <f t="shared" si="423"/>
        <v>0</v>
      </c>
      <c r="W661" s="18">
        <f t="shared" si="424"/>
        <v>0</v>
      </c>
    </row>
    <row r="662" spans="1:23" x14ac:dyDescent="0.2">
      <c r="A662">
        <v>8876</v>
      </c>
      <c r="B662">
        <v>0</v>
      </c>
      <c r="C662">
        <v>0</v>
      </c>
      <c r="D662">
        <v>0</v>
      </c>
      <c r="E662">
        <v>0</v>
      </c>
      <c r="F662">
        <v>0</v>
      </c>
      <c r="G662">
        <v>0</v>
      </c>
      <c r="H662">
        <v>0</v>
      </c>
      <c r="I662">
        <v>0</v>
      </c>
      <c r="J662">
        <v>0</v>
      </c>
      <c r="K662">
        <v>0</v>
      </c>
      <c r="L662">
        <v>0</v>
      </c>
      <c r="M662">
        <v>0</v>
      </c>
      <c r="N662">
        <v>0</v>
      </c>
      <c r="P662" s="18">
        <f t="shared" si="417"/>
        <v>0</v>
      </c>
      <c r="Q662" s="18">
        <f t="shared" si="418"/>
        <v>0</v>
      </c>
      <c r="R662" s="18">
        <f t="shared" si="419"/>
        <v>0</v>
      </c>
      <c r="S662" s="18">
        <f t="shared" si="420"/>
        <v>0</v>
      </c>
      <c r="T662" s="18">
        <f t="shared" si="421"/>
        <v>0</v>
      </c>
      <c r="U662" s="18">
        <f t="shared" si="422"/>
        <v>0</v>
      </c>
      <c r="V662" s="18">
        <f t="shared" si="423"/>
        <v>0</v>
      </c>
      <c r="W662" s="18">
        <f t="shared" si="424"/>
        <v>0</v>
      </c>
    </row>
    <row r="663" spans="1:23" x14ac:dyDescent="0.2">
      <c r="A663">
        <v>8875</v>
      </c>
      <c r="B663">
        <v>0</v>
      </c>
      <c r="C663">
        <v>0</v>
      </c>
      <c r="D663">
        <v>0</v>
      </c>
      <c r="E663">
        <v>0</v>
      </c>
      <c r="F663">
        <v>0</v>
      </c>
      <c r="G663">
        <v>0</v>
      </c>
      <c r="H663">
        <v>0</v>
      </c>
      <c r="I663">
        <v>0</v>
      </c>
      <c r="J663">
        <v>0</v>
      </c>
      <c r="K663">
        <v>0</v>
      </c>
      <c r="L663">
        <v>0</v>
      </c>
      <c r="M663">
        <v>0</v>
      </c>
      <c r="N663">
        <v>0</v>
      </c>
      <c r="P663" s="18">
        <f t="shared" si="417"/>
        <v>0</v>
      </c>
      <c r="Q663" s="18">
        <f t="shared" si="418"/>
        <v>0</v>
      </c>
      <c r="R663" s="18">
        <f t="shared" si="419"/>
        <v>0</v>
      </c>
      <c r="S663" s="18">
        <f t="shared" si="420"/>
        <v>0</v>
      </c>
      <c r="T663" s="18">
        <f t="shared" si="421"/>
        <v>0</v>
      </c>
      <c r="U663" s="18">
        <f t="shared" si="422"/>
        <v>0</v>
      </c>
      <c r="V663" s="18">
        <f t="shared" si="423"/>
        <v>0</v>
      </c>
      <c r="W663" s="18">
        <f t="shared" si="424"/>
        <v>0</v>
      </c>
    </row>
    <row r="664" spans="1:23" x14ac:dyDescent="0.2">
      <c r="A664">
        <v>8102</v>
      </c>
      <c r="B664">
        <v>0</v>
      </c>
      <c r="C664">
        <v>0</v>
      </c>
      <c r="D664">
        <v>0</v>
      </c>
      <c r="E664">
        <v>0</v>
      </c>
      <c r="F664">
        <v>0</v>
      </c>
      <c r="G664">
        <v>0</v>
      </c>
      <c r="H664">
        <v>0</v>
      </c>
      <c r="I664">
        <v>0</v>
      </c>
      <c r="J664">
        <v>0</v>
      </c>
      <c r="K664">
        <v>0</v>
      </c>
      <c r="L664">
        <v>0</v>
      </c>
      <c r="M664">
        <v>0</v>
      </c>
      <c r="N664">
        <v>0</v>
      </c>
      <c r="P664" s="18">
        <f t="shared" si="417"/>
        <v>0</v>
      </c>
      <c r="Q664" s="18">
        <f t="shared" si="418"/>
        <v>0</v>
      </c>
      <c r="R664" s="18">
        <f t="shared" si="419"/>
        <v>0</v>
      </c>
      <c r="S664" s="18">
        <f t="shared" si="420"/>
        <v>0</v>
      </c>
      <c r="T664" s="18">
        <f t="shared" si="421"/>
        <v>0</v>
      </c>
      <c r="U664" s="18">
        <f t="shared" si="422"/>
        <v>0</v>
      </c>
      <c r="V664" s="18">
        <f t="shared" si="423"/>
        <v>0</v>
      </c>
      <c r="W664" s="18">
        <f t="shared" si="424"/>
        <v>0</v>
      </c>
    </row>
    <row r="665" spans="1:23" x14ac:dyDescent="0.2">
      <c r="A665">
        <v>8641</v>
      </c>
      <c r="B665">
        <v>0</v>
      </c>
      <c r="C665">
        <v>0</v>
      </c>
      <c r="D665">
        <v>0</v>
      </c>
      <c r="E665">
        <v>0</v>
      </c>
      <c r="F665">
        <v>0</v>
      </c>
      <c r="G665">
        <v>2.1492</v>
      </c>
      <c r="H665">
        <v>9.0580400000000001</v>
      </c>
      <c r="I665">
        <v>0.10079999999999999</v>
      </c>
      <c r="J665">
        <v>0</v>
      </c>
      <c r="K665">
        <v>0</v>
      </c>
      <c r="L665">
        <v>4.1939199999999994</v>
      </c>
      <c r="M665">
        <v>0</v>
      </c>
      <c r="N665">
        <v>0</v>
      </c>
      <c r="P665" s="18">
        <f t="shared" ref="P665:P678" si="425">SUM(B665,G665)</f>
        <v>2.1492</v>
      </c>
      <c r="Q665" s="18">
        <f t="shared" ref="Q665:Q678" si="426">SUM(C665,H665)</f>
        <v>9.0580400000000001</v>
      </c>
      <c r="R665" s="18">
        <f t="shared" ref="R665:R678" si="427">SUM(D665,I665)</f>
        <v>0.10079999999999999</v>
      </c>
      <c r="S665" s="18">
        <f t="shared" ref="S665:S678" si="428">SUM(E665,J665)</f>
        <v>0</v>
      </c>
      <c r="T665" s="18">
        <f t="shared" ref="T665:T678" si="429">K665</f>
        <v>0</v>
      </c>
      <c r="U665" s="18">
        <f t="shared" ref="U665:U678" si="430">L665</f>
        <v>4.1939199999999994</v>
      </c>
      <c r="V665" s="18">
        <f t="shared" ref="V665:V678" si="431">M665</f>
        <v>0</v>
      </c>
      <c r="W665" s="18">
        <f t="shared" ref="W665:W678" si="432">SUM(F665,N665)</f>
        <v>0</v>
      </c>
    </row>
    <row r="666" spans="1:23" x14ac:dyDescent="0.2">
      <c r="A666">
        <v>8792</v>
      </c>
      <c r="B666">
        <v>0</v>
      </c>
      <c r="C666">
        <v>0</v>
      </c>
      <c r="D666">
        <v>0</v>
      </c>
      <c r="E666">
        <v>0</v>
      </c>
      <c r="F666">
        <v>0</v>
      </c>
      <c r="G666">
        <v>0</v>
      </c>
      <c r="H666">
        <v>0</v>
      </c>
      <c r="I666">
        <v>0</v>
      </c>
      <c r="J666">
        <v>0</v>
      </c>
      <c r="K666">
        <v>0</v>
      </c>
      <c r="L666">
        <v>0</v>
      </c>
      <c r="M666">
        <v>0</v>
      </c>
      <c r="N666">
        <v>0</v>
      </c>
      <c r="P666" s="18">
        <f t="shared" si="425"/>
        <v>0</v>
      </c>
      <c r="Q666" s="18">
        <f t="shared" si="426"/>
        <v>0</v>
      </c>
      <c r="R666" s="18">
        <f t="shared" si="427"/>
        <v>0</v>
      </c>
      <c r="S666" s="18">
        <f t="shared" si="428"/>
        <v>0</v>
      </c>
      <c r="T666" s="18">
        <f t="shared" si="429"/>
        <v>0</v>
      </c>
      <c r="U666" s="18">
        <f t="shared" si="430"/>
        <v>0</v>
      </c>
      <c r="V666" s="18">
        <f t="shared" si="431"/>
        <v>0</v>
      </c>
      <c r="W666" s="18">
        <f t="shared" si="432"/>
        <v>0</v>
      </c>
    </row>
    <row r="667" spans="1:23" x14ac:dyDescent="0.2">
      <c r="A667">
        <v>8836</v>
      </c>
      <c r="B667">
        <v>0</v>
      </c>
      <c r="C667">
        <v>0</v>
      </c>
      <c r="D667">
        <v>0</v>
      </c>
      <c r="E667">
        <v>0</v>
      </c>
      <c r="F667">
        <v>0</v>
      </c>
      <c r="G667">
        <v>0</v>
      </c>
      <c r="H667">
        <v>0</v>
      </c>
      <c r="I667">
        <v>0</v>
      </c>
      <c r="J667">
        <v>0</v>
      </c>
      <c r="K667">
        <v>0</v>
      </c>
      <c r="L667">
        <v>0</v>
      </c>
      <c r="M667">
        <v>0</v>
      </c>
      <c r="N667">
        <v>0</v>
      </c>
      <c r="P667" s="18">
        <f t="shared" si="425"/>
        <v>0</v>
      </c>
      <c r="Q667" s="18">
        <f t="shared" si="426"/>
        <v>0</v>
      </c>
      <c r="R667" s="18">
        <f t="shared" si="427"/>
        <v>0</v>
      </c>
      <c r="S667" s="18">
        <f t="shared" si="428"/>
        <v>0</v>
      </c>
      <c r="T667" s="18">
        <f t="shared" si="429"/>
        <v>0</v>
      </c>
      <c r="U667" s="18">
        <f t="shared" si="430"/>
        <v>0</v>
      </c>
      <c r="V667" s="18">
        <f t="shared" si="431"/>
        <v>0</v>
      </c>
      <c r="W667" s="18">
        <f t="shared" si="432"/>
        <v>0</v>
      </c>
    </row>
    <row r="668" spans="1:23" x14ac:dyDescent="0.2">
      <c r="A668">
        <v>8383</v>
      </c>
      <c r="B668">
        <v>0</v>
      </c>
      <c r="C668">
        <v>0</v>
      </c>
      <c r="D668">
        <v>0</v>
      </c>
      <c r="E668">
        <v>0</v>
      </c>
      <c r="F668">
        <v>0</v>
      </c>
      <c r="G668">
        <v>0</v>
      </c>
      <c r="H668">
        <v>0</v>
      </c>
      <c r="I668">
        <v>0</v>
      </c>
      <c r="J668">
        <v>0</v>
      </c>
      <c r="K668">
        <v>0</v>
      </c>
      <c r="L668">
        <v>0</v>
      </c>
      <c r="M668">
        <v>0</v>
      </c>
      <c r="N668">
        <v>0</v>
      </c>
      <c r="P668" s="18">
        <f t="shared" si="425"/>
        <v>0</v>
      </c>
      <c r="Q668" s="18">
        <f t="shared" si="426"/>
        <v>0</v>
      </c>
      <c r="R668" s="18">
        <f t="shared" si="427"/>
        <v>0</v>
      </c>
      <c r="S668" s="18">
        <f t="shared" si="428"/>
        <v>0</v>
      </c>
      <c r="T668" s="18">
        <f t="shared" si="429"/>
        <v>0</v>
      </c>
      <c r="U668" s="18">
        <f t="shared" si="430"/>
        <v>0</v>
      </c>
      <c r="V668" s="18">
        <f t="shared" si="431"/>
        <v>0</v>
      </c>
      <c r="W668" s="18">
        <f t="shared" si="432"/>
        <v>0</v>
      </c>
    </row>
    <row r="669" spans="1:23" x14ac:dyDescent="0.2">
      <c r="A669">
        <v>8938</v>
      </c>
      <c r="B669">
        <v>0.34400000000000003</v>
      </c>
      <c r="C669">
        <v>1.3760000000000001</v>
      </c>
      <c r="D669">
        <v>0</v>
      </c>
      <c r="E669">
        <v>0</v>
      </c>
      <c r="F669">
        <v>0</v>
      </c>
      <c r="G669">
        <v>0.15085999999999999</v>
      </c>
      <c r="H669">
        <v>3.3164799999999999</v>
      </c>
      <c r="I669">
        <v>0</v>
      </c>
      <c r="J669">
        <v>0</v>
      </c>
      <c r="K669">
        <v>0</v>
      </c>
      <c r="L669">
        <v>0</v>
      </c>
      <c r="M669">
        <v>0</v>
      </c>
      <c r="N669">
        <v>0</v>
      </c>
      <c r="P669" s="18">
        <f t="shared" si="425"/>
        <v>0.49486000000000002</v>
      </c>
      <c r="Q669" s="18">
        <f t="shared" si="426"/>
        <v>4.6924799999999998</v>
      </c>
      <c r="R669" s="18">
        <f t="shared" si="427"/>
        <v>0</v>
      </c>
      <c r="S669" s="18">
        <f t="shared" si="428"/>
        <v>0</v>
      </c>
      <c r="T669" s="18">
        <f t="shared" si="429"/>
        <v>0</v>
      </c>
      <c r="U669" s="18">
        <f t="shared" si="430"/>
        <v>0</v>
      </c>
      <c r="V669" s="18">
        <f t="shared" si="431"/>
        <v>0</v>
      </c>
      <c r="W669" s="18">
        <f t="shared" si="432"/>
        <v>0</v>
      </c>
    </row>
    <row r="670" spans="1:23" x14ac:dyDescent="0.2">
      <c r="A670">
        <v>8941</v>
      </c>
      <c r="B670">
        <v>0</v>
      </c>
      <c r="C670">
        <v>0</v>
      </c>
      <c r="D670">
        <v>0</v>
      </c>
      <c r="E670">
        <v>0</v>
      </c>
      <c r="F670">
        <v>0</v>
      </c>
      <c r="G670">
        <v>0</v>
      </c>
      <c r="H670">
        <v>0</v>
      </c>
      <c r="I670">
        <v>0</v>
      </c>
      <c r="J670">
        <v>0</v>
      </c>
      <c r="K670">
        <v>0</v>
      </c>
      <c r="L670">
        <v>0</v>
      </c>
      <c r="M670">
        <v>0</v>
      </c>
      <c r="N670">
        <v>0</v>
      </c>
      <c r="P670" s="18">
        <f t="shared" si="425"/>
        <v>0</v>
      </c>
      <c r="Q670" s="18">
        <f t="shared" si="426"/>
        <v>0</v>
      </c>
      <c r="R670" s="18">
        <f t="shared" si="427"/>
        <v>0</v>
      </c>
      <c r="S670" s="18">
        <f t="shared" si="428"/>
        <v>0</v>
      </c>
      <c r="T670" s="18">
        <f t="shared" si="429"/>
        <v>0</v>
      </c>
      <c r="U670" s="18">
        <f t="shared" si="430"/>
        <v>0</v>
      </c>
      <c r="V670" s="18">
        <f t="shared" si="431"/>
        <v>0</v>
      </c>
      <c r="W670" s="18">
        <f t="shared" si="432"/>
        <v>0</v>
      </c>
    </row>
    <row r="671" spans="1:23" x14ac:dyDescent="0.2">
      <c r="A671">
        <v>8945</v>
      </c>
      <c r="B671">
        <v>0</v>
      </c>
      <c r="C671">
        <v>0</v>
      </c>
      <c r="D671">
        <v>0</v>
      </c>
      <c r="E671">
        <v>0</v>
      </c>
      <c r="F671">
        <v>0</v>
      </c>
      <c r="G671">
        <v>0</v>
      </c>
      <c r="H671">
        <v>0</v>
      </c>
      <c r="I671">
        <v>0</v>
      </c>
      <c r="J671">
        <v>0</v>
      </c>
      <c r="K671">
        <v>0</v>
      </c>
      <c r="L671">
        <v>0</v>
      </c>
      <c r="M671">
        <v>0</v>
      </c>
      <c r="N671">
        <v>0</v>
      </c>
      <c r="P671" s="18">
        <f t="shared" si="425"/>
        <v>0</v>
      </c>
      <c r="Q671" s="18">
        <f t="shared" si="426"/>
        <v>0</v>
      </c>
      <c r="R671" s="18">
        <f t="shared" si="427"/>
        <v>0</v>
      </c>
      <c r="S671" s="18">
        <f t="shared" si="428"/>
        <v>0</v>
      </c>
      <c r="T671" s="18">
        <f t="shared" si="429"/>
        <v>0</v>
      </c>
      <c r="U671" s="18">
        <f t="shared" si="430"/>
        <v>0</v>
      </c>
      <c r="V671" s="18">
        <f t="shared" si="431"/>
        <v>0</v>
      </c>
      <c r="W671" s="18">
        <f t="shared" si="432"/>
        <v>0</v>
      </c>
    </row>
    <row r="672" spans="1:23" x14ac:dyDescent="0.2">
      <c r="A672">
        <v>8946</v>
      </c>
      <c r="B672">
        <v>0</v>
      </c>
      <c r="C672">
        <v>0</v>
      </c>
      <c r="D672">
        <v>0</v>
      </c>
      <c r="E672">
        <v>0</v>
      </c>
      <c r="F672">
        <v>0</v>
      </c>
      <c r="G672">
        <v>0</v>
      </c>
      <c r="H672">
        <v>0</v>
      </c>
      <c r="I672">
        <v>0</v>
      </c>
      <c r="J672">
        <v>0</v>
      </c>
      <c r="K672">
        <v>0</v>
      </c>
      <c r="L672">
        <v>0</v>
      </c>
      <c r="M672">
        <v>0</v>
      </c>
      <c r="N672">
        <v>0</v>
      </c>
      <c r="P672" s="18">
        <f t="shared" si="425"/>
        <v>0</v>
      </c>
      <c r="Q672" s="18">
        <f t="shared" si="426"/>
        <v>0</v>
      </c>
      <c r="R672" s="18">
        <f t="shared" si="427"/>
        <v>0</v>
      </c>
      <c r="S672" s="18">
        <f t="shared" si="428"/>
        <v>0</v>
      </c>
      <c r="T672" s="18">
        <f t="shared" si="429"/>
        <v>0</v>
      </c>
      <c r="U672" s="18">
        <f t="shared" si="430"/>
        <v>0</v>
      </c>
      <c r="V672" s="18">
        <f t="shared" si="431"/>
        <v>0</v>
      </c>
      <c r="W672" s="18">
        <f t="shared" si="432"/>
        <v>0</v>
      </c>
    </row>
    <row r="673" spans="1:23" x14ac:dyDescent="0.2">
      <c r="A673">
        <v>8948</v>
      </c>
      <c r="B673">
        <v>0</v>
      </c>
      <c r="C673">
        <v>0</v>
      </c>
      <c r="D673">
        <v>0</v>
      </c>
      <c r="E673">
        <v>0</v>
      </c>
      <c r="F673">
        <v>0</v>
      </c>
      <c r="G673">
        <v>0</v>
      </c>
      <c r="H673">
        <v>0</v>
      </c>
      <c r="I673">
        <v>0</v>
      </c>
      <c r="J673">
        <v>0</v>
      </c>
      <c r="K673">
        <v>0</v>
      </c>
      <c r="L673">
        <v>0</v>
      </c>
      <c r="M673">
        <v>0</v>
      </c>
      <c r="N673">
        <v>0</v>
      </c>
      <c r="P673" s="18">
        <f t="shared" si="425"/>
        <v>0</v>
      </c>
      <c r="Q673" s="18">
        <f t="shared" si="426"/>
        <v>0</v>
      </c>
      <c r="R673" s="18">
        <f t="shared" si="427"/>
        <v>0</v>
      </c>
      <c r="S673" s="18">
        <f t="shared" si="428"/>
        <v>0</v>
      </c>
      <c r="T673" s="18">
        <f t="shared" si="429"/>
        <v>0</v>
      </c>
      <c r="U673" s="18">
        <f t="shared" si="430"/>
        <v>0</v>
      </c>
      <c r="V673" s="18">
        <f t="shared" si="431"/>
        <v>0</v>
      </c>
      <c r="W673" s="18">
        <f t="shared" si="432"/>
        <v>0</v>
      </c>
    </row>
    <row r="674" spans="1:23" x14ac:dyDescent="0.2">
      <c r="A674">
        <v>8952</v>
      </c>
      <c r="B674">
        <v>0</v>
      </c>
      <c r="C674">
        <v>0</v>
      </c>
      <c r="D674">
        <v>0</v>
      </c>
      <c r="E674">
        <v>0</v>
      </c>
      <c r="F674">
        <v>0</v>
      </c>
      <c r="G674">
        <v>2.0920000000000001</v>
      </c>
      <c r="H674">
        <v>5.6071999999999997</v>
      </c>
      <c r="I674">
        <v>0</v>
      </c>
      <c r="J674">
        <v>0.16405</v>
      </c>
      <c r="K674">
        <v>0</v>
      </c>
      <c r="L674">
        <v>2.5899999999999999E-2</v>
      </c>
      <c r="M674">
        <v>0</v>
      </c>
      <c r="N674">
        <v>0</v>
      </c>
      <c r="P674" s="18">
        <f t="shared" si="425"/>
        <v>2.0920000000000001</v>
      </c>
      <c r="Q674" s="18">
        <f t="shared" si="426"/>
        <v>5.6071999999999997</v>
      </c>
      <c r="R674" s="18">
        <f t="shared" si="427"/>
        <v>0</v>
      </c>
      <c r="S674" s="18">
        <f t="shared" si="428"/>
        <v>0.16405</v>
      </c>
      <c r="T674" s="18">
        <f t="shared" si="429"/>
        <v>0</v>
      </c>
      <c r="U674" s="18">
        <f t="shared" si="430"/>
        <v>2.5899999999999999E-2</v>
      </c>
      <c r="V674" s="18">
        <f t="shared" si="431"/>
        <v>0</v>
      </c>
      <c r="W674" s="18">
        <f t="shared" si="432"/>
        <v>0</v>
      </c>
    </row>
    <row r="675" spans="1:23" x14ac:dyDescent="0.2">
      <c r="A675">
        <v>8954</v>
      </c>
      <c r="B675">
        <v>0</v>
      </c>
      <c r="C675">
        <v>0</v>
      </c>
      <c r="D675">
        <v>0</v>
      </c>
      <c r="E675">
        <v>0</v>
      </c>
      <c r="F675">
        <v>0</v>
      </c>
      <c r="G675">
        <v>0</v>
      </c>
      <c r="H675">
        <v>0</v>
      </c>
      <c r="I675">
        <v>0</v>
      </c>
      <c r="J675">
        <v>0</v>
      </c>
      <c r="K675">
        <v>0</v>
      </c>
      <c r="L675">
        <v>0</v>
      </c>
      <c r="M675">
        <v>0</v>
      </c>
      <c r="N675">
        <v>0</v>
      </c>
      <c r="P675" s="18">
        <f t="shared" si="425"/>
        <v>0</v>
      </c>
      <c r="Q675" s="18">
        <f t="shared" si="426"/>
        <v>0</v>
      </c>
      <c r="R675" s="18">
        <f t="shared" si="427"/>
        <v>0</v>
      </c>
      <c r="S675" s="18">
        <f t="shared" si="428"/>
        <v>0</v>
      </c>
      <c r="T675" s="18">
        <f t="shared" si="429"/>
        <v>0</v>
      </c>
      <c r="U675" s="18">
        <f t="shared" si="430"/>
        <v>0</v>
      </c>
      <c r="V675" s="18">
        <f t="shared" si="431"/>
        <v>0</v>
      </c>
      <c r="W675" s="18">
        <f t="shared" si="432"/>
        <v>0</v>
      </c>
    </row>
    <row r="676" spans="1:23" x14ac:dyDescent="0.2">
      <c r="A676">
        <v>8956</v>
      </c>
      <c r="B676">
        <v>0</v>
      </c>
      <c r="C676">
        <v>0</v>
      </c>
      <c r="D676">
        <v>0</v>
      </c>
      <c r="E676">
        <v>0</v>
      </c>
      <c r="F676">
        <v>0</v>
      </c>
      <c r="G676">
        <v>0</v>
      </c>
      <c r="H676">
        <v>0</v>
      </c>
      <c r="I676">
        <v>0</v>
      </c>
      <c r="J676">
        <v>0</v>
      </c>
      <c r="K676">
        <v>0</v>
      </c>
      <c r="L676">
        <v>0</v>
      </c>
      <c r="M676">
        <v>0</v>
      </c>
      <c r="N676">
        <v>0</v>
      </c>
      <c r="P676" s="18">
        <f t="shared" si="425"/>
        <v>0</v>
      </c>
      <c r="Q676" s="18">
        <f t="shared" si="426"/>
        <v>0</v>
      </c>
      <c r="R676" s="18">
        <f t="shared" si="427"/>
        <v>0</v>
      </c>
      <c r="S676" s="18">
        <f t="shared" si="428"/>
        <v>0</v>
      </c>
      <c r="T676" s="18">
        <f t="shared" si="429"/>
        <v>0</v>
      </c>
      <c r="U676" s="18">
        <f t="shared" si="430"/>
        <v>0</v>
      </c>
      <c r="V676" s="18">
        <f t="shared" si="431"/>
        <v>0</v>
      </c>
      <c r="W676" s="18">
        <f t="shared" si="432"/>
        <v>0</v>
      </c>
    </row>
    <row r="677" spans="1:23" x14ac:dyDescent="0.2">
      <c r="A677">
        <v>8812</v>
      </c>
      <c r="B677">
        <v>0</v>
      </c>
      <c r="C677">
        <v>0</v>
      </c>
      <c r="D677">
        <v>0</v>
      </c>
      <c r="E677">
        <v>0</v>
      </c>
      <c r="F677">
        <v>0</v>
      </c>
      <c r="G677">
        <v>0</v>
      </c>
      <c r="H677">
        <v>0</v>
      </c>
      <c r="I677">
        <v>0</v>
      </c>
      <c r="J677">
        <v>0</v>
      </c>
      <c r="K677">
        <v>0</v>
      </c>
      <c r="L677">
        <v>0</v>
      </c>
      <c r="M677">
        <v>0</v>
      </c>
      <c r="N677">
        <v>0</v>
      </c>
      <c r="P677" s="18">
        <f t="shared" si="425"/>
        <v>0</v>
      </c>
      <c r="Q677" s="18">
        <f t="shared" si="426"/>
        <v>0</v>
      </c>
      <c r="R677" s="18">
        <f t="shared" si="427"/>
        <v>0</v>
      </c>
      <c r="S677" s="18">
        <f t="shared" si="428"/>
        <v>0</v>
      </c>
      <c r="T677" s="18">
        <f t="shared" si="429"/>
        <v>0</v>
      </c>
      <c r="U677" s="18">
        <f t="shared" si="430"/>
        <v>0</v>
      </c>
      <c r="V677" s="18">
        <f t="shared" si="431"/>
        <v>0</v>
      </c>
      <c r="W677" s="18">
        <f t="shared" si="432"/>
        <v>0</v>
      </c>
    </row>
    <row r="678" spans="1:23" x14ac:dyDescent="0.2">
      <c r="A678">
        <v>8988</v>
      </c>
      <c r="B678">
        <v>0</v>
      </c>
      <c r="C678">
        <v>0</v>
      </c>
      <c r="D678">
        <v>0</v>
      </c>
      <c r="E678">
        <v>0</v>
      </c>
      <c r="F678">
        <v>0</v>
      </c>
      <c r="G678">
        <v>0</v>
      </c>
      <c r="H678">
        <v>0</v>
      </c>
      <c r="I678">
        <v>0</v>
      </c>
      <c r="J678">
        <v>0</v>
      </c>
      <c r="K678">
        <v>0</v>
      </c>
      <c r="L678">
        <v>0</v>
      </c>
      <c r="M678">
        <v>0</v>
      </c>
      <c r="N678">
        <v>0</v>
      </c>
      <c r="P678" s="18">
        <f t="shared" si="425"/>
        <v>0</v>
      </c>
      <c r="Q678" s="18">
        <f t="shared" si="426"/>
        <v>0</v>
      </c>
      <c r="R678" s="18">
        <f t="shared" si="427"/>
        <v>0</v>
      </c>
      <c r="S678" s="18">
        <f t="shared" si="428"/>
        <v>0</v>
      </c>
      <c r="T678" s="18">
        <f t="shared" si="429"/>
        <v>0</v>
      </c>
      <c r="U678" s="18">
        <f t="shared" si="430"/>
        <v>0</v>
      </c>
      <c r="V678" s="18">
        <f t="shared" si="431"/>
        <v>0</v>
      </c>
      <c r="W678" s="18">
        <f t="shared" si="432"/>
        <v>0</v>
      </c>
    </row>
    <row r="679" spans="1:23" x14ac:dyDescent="0.2">
      <c r="A679">
        <v>8995</v>
      </c>
      <c r="B679">
        <v>0</v>
      </c>
      <c r="C679">
        <v>0</v>
      </c>
      <c r="D679">
        <v>0</v>
      </c>
      <c r="E679">
        <v>0</v>
      </c>
      <c r="F679">
        <v>0</v>
      </c>
      <c r="G679">
        <v>0</v>
      </c>
      <c r="H679">
        <v>0</v>
      </c>
      <c r="I679">
        <v>0</v>
      </c>
      <c r="J679">
        <v>0</v>
      </c>
      <c r="K679">
        <v>0</v>
      </c>
      <c r="L679">
        <v>0</v>
      </c>
      <c r="M679">
        <v>0</v>
      </c>
      <c r="N679">
        <v>0</v>
      </c>
      <c r="P679" s="18">
        <f t="shared" ref="P679:P702" si="433">SUM(B679,G679)</f>
        <v>0</v>
      </c>
      <c r="Q679" s="18">
        <f t="shared" ref="Q679:Q702" si="434">SUM(C679,H679)</f>
        <v>0</v>
      </c>
      <c r="R679" s="18">
        <f t="shared" ref="R679:R702" si="435">SUM(D679,I679)</f>
        <v>0</v>
      </c>
      <c r="S679" s="18">
        <f t="shared" ref="S679:S702" si="436">SUM(E679,J679)</f>
        <v>0</v>
      </c>
      <c r="T679" s="18">
        <f t="shared" ref="T679:T702" si="437">K679</f>
        <v>0</v>
      </c>
      <c r="U679" s="18">
        <f t="shared" ref="U679:U702" si="438">L679</f>
        <v>0</v>
      </c>
      <c r="V679" s="18">
        <f t="shared" ref="V679:V702" si="439">M679</f>
        <v>0</v>
      </c>
      <c r="W679" s="18">
        <f t="shared" ref="W679:W702" si="440">SUM(F679,N679)</f>
        <v>0</v>
      </c>
    </row>
    <row r="680" spans="1:23" x14ac:dyDescent="0.2">
      <c r="A680">
        <v>9005</v>
      </c>
      <c r="B680">
        <v>0</v>
      </c>
      <c r="C680">
        <v>0</v>
      </c>
      <c r="D680">
        <v>0</v>
      </c>
      <c r="E680">
        <v>0</v>
      </c>
      <c r="F680">
        <v>0</v>
      </c>
      <c r="G680">
        <v>0</v>
      </c>
      <c r="H680">
        <v>1.044</v>
      </c>
      <c r="I680">
        <v>0.60799999999999998</v>
      </c>
      <c r="J680">
        <v>5.492</v>
      </c>
      <c r="K680">
        <v>0</v>
      </c>
      <c r="L680">
        <v>0.84648999999999996</v>
      </c>
      <c r="M680">
        <v>7.2000000000000008E-2</v>
      </c>
      <c r="N680">
        <v>0</v>
      </c>
      <c r="P680" s="18">
        <f t="shared" si="433"/>
        <v>0</v>
      </c>
      <c r="Q680" s="18">
        <f t="shared" si="434"/>
        <v>1.044</v>
      </c>
      <c r="R680" s="18">
        <f t="shared" si="435"/>
        <v>0.60799999999999998</v>
      </c>
      <c r="S680" s="18">
        <f t="shared" si="436"/>
        <v>5.492</v>
      </c>
      <c r="T680" s="18">
        <f t="shared" si="437"/>
        <v>0</v>
      </c>
      <c r="U680" s="18">
        <f t="shared" si="438"/>
        <v>0.84648999999999996</v>
      </c>
      <c r="V680" s="18">
        <f t="shared" si="439"/>
        <v>7.2000000000000008E-2</v>
      </c>
      <c r="W680" s="18">
        <f t="shared" si="440"/>
        <v>0</v>
      </c>
    </row>
    <row r="681" spans="1:23" x14ac:dyDescent="0.2">
      <c r="A681">
        <v>9003</v>
      </c>
      <c r="B681">
        <v>0</v>
      </c>
      <c r="C681">
        <v>0</v>
      </c>
      <c r="D681">
        <v>0</v>
      </c>
      <c r="E681">
        <v>0</v>
      </c>
      <c r="F681">
        <v>0</v>
      </c>
      <c r="G681">
        <v>0</v>
      </c>
      <c r="H681">
        <v>0</v>
      </c>
      <c r="I681">
        <v>0</v>
      </c>
      <c r="J681">
        <v>0</v>
      </c>
      <c r="K681">
        <v>0</v>
      </c>
      <c r="L681">
        <v>0</v>
      </c>
      <c r="M681">
        <v>0</v>
      </c>
      <c r="N681">
        <v>0</v>
      </c>
      <c r="P681" s="18">
        <f t="shared" si="433"/>
        <v>0</v>
      </c>
      <c r="Q681" s="18">
        <f t="shared" si="434"/>
        <v>0</v>
      </c>
      <c r="R681" s="18">
        <f t="shared" si="435"/>
        <v>0</v>
      </c>
      <c r="S681" s="18">
        <f t="shared" si="436"/>
        <v>0</v>
      </c>
      <c r="T681" s="18">
        <f t="shared" si="437"/>
        <v>0</v>
      </c>
      <c r="U681" s="18">
        <f t="shared" si="438"/>
        <v>0</v>
      </c>
      <c r="V681" s="18">
        <f t="shared" si="439"/>
        <v>0</v>
      </c>
      <c r="W681" s="18">
        <f t="shared" si="440"/>
        <v>0</v>
      </c>
    </row>
    <row r="682" spans="1:23" x14ac:dyDescent="0.2">
      <c r="A682">
        <v>9015</v>
      </c>
      <c r="B682">
        <v>0.17200000000000001</v>
      </c>
      <c r="C682">
        <v>0.68800000000000006</v>
      </c>
      <c r="D682">
        <v>0</v>
      </c>
      <c r="E682">
        <v>0</v>
      </c>
      <c r="F682">
        <v>0</v>
      </c>
      <c r="G682">
        <v>0</v>
      </c>
      <c r="H682">
        <v>4.5599999999999998E-3</v>
      </c>
      <c r="I682">
        <v>0</v>
      </c>
      <c r="J682">
        <v>0</v>
      </c>
      <c r="K682">
        <v>0</v>
      </c>
      <c r="L682">
        <v>0</v>
      </c>
      <c r="M682">
        <v>0</v>
      </c>
      <c r="N682">
        <v>0</v>
      </c>
      <c r="P682" s="18">
        <f t="shared" si="433"/>
        <v>0.17200000000000001</v>
      </c>
      <c r="Q682" s="18">
        <f t="shared" si="434"/>
        <v>0.69256000000000006</v>
      </c>
      <c r="R682" s="18">
        <f t="shared" si="435"/>
        <v>0</v>
      </c>
      <c r="S682" s="18">
        <f t="shared" si="436"/>
        <v>0</v>
      </c>
      <c r="T682" s="18">
        <f t="shared" si="437"/>
        <v>0</v>
      </c>
      <c r="U682" s="18">
        <f t="shared" si="438"/>
        <v>0</v>
      </c>
      <c r="V682" s="18">
        <f t="shared" si="439"/>
        <v>0</v>
      </c>
      <c r="W682" s="18">
        <f t="shared" si="440"/>
        <v>0</v>
      </c>
    </row>
    <row r="683" spans="1:23" x14ac:dyDescent="0.2">
      <c r="A683">
        <v>9027</v>
      </c>
      <c r="B683">
        <v>0</v>
      </c>
      <c r="C683">
        <v>0</v>
      </c>
      <c r="D683">
        <v>0</v>
      </c>
      <c r="E683">
        <v>0</v>
      </c>
      <c r="F683">
        <v>0</v>
      </c>
      <c r="G683">
        <v>0</v>
      </c>
      <c r="H683">
        <v>0</v>
      </c>
      <c r="I683">
        <v>0</v>
      </c>
      <c r="J683">
        <v>0</v>
      </c>
      <c r="K683">
        <v>0</v>
      </c>
      <c r="L683">
        <v>0</v>
      </c>
      <c r="M683">
        <v>0</v>
      </c>
      <c r="N683">
        <v>0</v>
      </c>
      <c r="P683" s="18">
        <f t="shared" si="433"/>
        <v>0</v>
      </c>
      <c r="Q683" s="18">
        <f t="shared" si="434"/>
        <v>0</v>
      </c>
      <c r="R683" s="18">
        <f t="shared" si="435"/>
        <v>0</v>
      </c>
      <c r="S683" s="18">
        <f t="shared" si="436"/>
        <v>0</v>
      </c>
      <c r="T683" s="18">
        <f t="shared" si="437"/>
        <v>0</v>
      </c>
      <c r="U683" s="18">
        <f t="shared" si="438"/>
        <v>0</v>
      </c>
      <c r="V683" s="18">
        <f t="shared" si="439"/>
        <v>0</v>
      </c>
      <c r="W683" s="18">
        <f t="shared" si="440"/>
        <v>0</v>
      </c>
    </row>
    <row r="684" spans="1:23" x14ac:dyDescent="0.2">
      <c r="A684">
        <v>8964</v>
      </c>
      <c r="B684">
        <v>0</v>
      </c>
      <c r="C684">
        <v>0</v>
      </c>
      <c r="D684">
        <v>0</v>
      </c>
      <c r="E684">
        <v>0</v>
      </c>
      <c r="F684">
        <v>0</v>
      </c>
      <c r="G684">
        <v>0</v>
      </c>
      <c r="H684">
        <v>0</v>
      </c>
      <c r="I684">
        <v>0</v>
      </c>
      <c r="J684">
        <v>0</v>
      </c>
      <c r="K684">
        <v>0</v>
      </c>
      <c r="L684">
        <v>0</v>
      </c>
      <c r="M684">
        <v>0</v>
      </c>
      <c r="N684">
        <v>0</v>
      </c>
      <c r="P684" s="18">
        <f t="shared" si="433"/>
        <v>0</v>
      </c>
      <c r="Q684" s="18">
        <f t="shared" si="434"/>
        <v>0</v>
      </c>
      <c r="R684" s="18">
        <f t="shared" si="435"/>
        <v>0</v>
      </c>
      <c r="S684" s="18">
        <f t="shared" si="436"/>
        <v>0</v>
      </c>
      <c r="T684" s="18">
        <f t="shared" si="437"/>
        <v>0</v>
      </c>
      <c r="U684" s="18">
        <f t="shared" si="438"/>
        <v>0</v>
      </c>
      <c r="V684" s="18">
        <f t="shared" si="439"/>
        <v>0</v>
      </c>
      <c r="W684" s="18">
        <f t="shared" si="440"/>
        <v>0</v>
      </c>
    </row>
    <row r="685" spans="1:23" x14ac:dyDescent="0.2">
      <c r="A685">
        <v>9023</v>
      </c>
      <c r="B685">
        <v>0</v>
      </c>
      <c r="C685">
        <v>0</v>
      </c>
      <c r="D685">
        <v>0</v>
      </c>
      <c r="E685">
        <v>0</v>
      </c>
      <c r="F685">
        <v>0</v>
      </c>
      <c r="G685">
        <v>1.32E-3</v>
      </c>
      <c r="H685">
        <v>8.8299999999999993E-3</v>
      </c>
      <c r="I685">
        <v>0</v>
      </c>
      <c r="J685">
        <v>0</v>
      </c>
      <c r="K685">
        <v>0</v>
      </c>
      <c r="L685">
        <v>0</v>
      </c>
      <c r="M685">
        <v>0</v>
      </c>
      <c r="N685">
        <v>0</v>
      </c>
      <c r="P685" s="18">
        <f t="shared" si="433"/>
        <v>1.32E-3</v>
      </c>
      <c r="Q685" s="18">
        <f t="shared" si="434"/>
        <v>8.8299999999999993E-3</v>
      </c>
      <c r="R685" s="18">
        <f t="shared" si="435"/>
        <v>0</v>
      </c>
      <c r="S685" s="18">
        <f t="shared" si="436"/>
        <v>0</v>
      </c>
      <c r="T685" s="18">
        <f t="shared" si="437"/>
        <v>0</v>
      </c>
      <c r="U685" s="18">
        <f t="shared" si="438"/>
        <v>0</v>
      </c>
      <c r="V685" s="18">
        <f t="shared" si="439"/>
        <v>0</v>
      </c>
      <c r="W685" s="18">
        <f t="shared" si="440"/>
        <v>0</v>
      </c>
    </row>
    <row r="686" spans="1:23" x14ac:dyDescent="0.2">
      <c r="A686">
        <v>9035</v>
      </c>
      <c r="B686">
        <v>0</v>
      </c>
      <c r="C686">
        <v>0</v>
      </c>
      <c r="D686">
        <v>0</v>
      </c>
      <c r="E686">
        <v>0</v>
      </c>
      <c r="F686">
        <v>0</v>
      </c>
      <c r="G686">
        <v>0</v>
      </c>
      <c r="H686">
        <v>0</v>
      </c>
      <c r="I686">
        <v>0</v>
      </c>
      <c r="J686">
        <v>0</v>
      </c>
      <c r="K686">
        <v>0</v>
      </c>
      <c r="L686">
        <v>0</v>
      </c>
      <c r="M686">
        <v>0</v>
      </c>
      <c r="N686">
        <v>0</v>
      </c>
      <c r="P686" s="18">
        <f t="shared" si="433"/>
        <v>0</v>
      </c>
      <c r="Q686" s="18">
        <f t="shared" si="434"/>
        <v>0</v>
      </c>
      <c r="R686" s="18">
        <f t="shared" si="435"/>
        <v>0</v>
      </c>
      <c r="S686" s="18">
        <f t="shared" si="436"/>
        <v>0</v>
      </c>
      <c r="T686" s="18">
        <f t="shared" si="437"/>
        <v>0</v>
      </c>
      <c r="U686" s="18">
        <f t="shared" si="438"/>
        <v>0</v>
      </c>
      <c r="V686" s="18">
        <f t="shared" si="439"/>
        <v>0</v>
      </c>
      <c r="W686" s="18">
        <f t="shared" si="440"/>
        <v>0</v>
      </c>
    </row>
    <row r="687" spans="1:23" x14ac:dyDescent="0.2">
      <c r="A687">
        <v>9062</v>
      </c>
      <c r="B687">
        <v>0</v>
      </c>
      <c r="C687">
        <v>0</v>
      </c>
      <c r="D687">
        <v>0</v>
      </c>
      <c r="E687">
        <v>0</v>
      </c>
      <c r="F687">
        <v>0</v>
      </c>
      <c r="G687">
        <v>0</v>
      </c>
      <c r="H687">
        <v>0</v>
      </c>
      <c r="I687">
        <v>0</v>
      </c>
      <c r="J687">
        <v>0</v>
      </c>
      <c r="K687">
        <v>0</v>
      </c>
      <c r="L687">
        <v>0</v>
      </c>
      <c r="M687">
        <v>0</v>
      </c>
      <c r="N687">
        <v>0</v>
      </c>
      <c r="P687" s="18">
        <f t="shared" si="433"/>
        <v>0</v>
      </c>
      <c r="Q687" s="18">
        <f t="shared" si="434"/>
        <v>0</v>
      </c>
      <c r="R687" s="18">
        <f t="shared" si="435"/>
        <v>0</v>
      </c>
      <c r="S687" s="18">
        <f t="shared" si="436"/>
        <v>0</v>
      </c>
      <c r="T687" s="18">
        <f t="shared" si="437"/>
        <v>0</v>
      </c>
      <c r="U687" s="18">
        <f t="shared" si="438"/>
        <v>0</v>
      </c>
      <c r="V687" s="18">
        <f t="shared" si="439"/>
        <v>0</v>
      </c>
      <c r="W687" s="18">
        <f t="shared" si="440"/>
        <v>0</v>
      </c>
    </row>
    <row r="688" spans="1:23" x14ac:dyDescent="0.2">
      <c r="A688">
        <v>9064</v>
      </c>
      <c r="B688">
        <v>0</v>
      </c>
      <c r="C688">
        <v>0</v>
      </c>
      <c r="D688">
        <v>0</v>
      </c>
      <c r="E688">
        <v>0</v>
      </c>
      <c r="F688">
        <v>0</v>
      </c>
      <c r="G688">
        <v>0</v>
      </c>
      <c r="H688">
        <v>0</v>
      </c>
      <c r="I688">
        <v>0</v>
      </c>
      <c r="J688">
        <v>0</v>
      </c>
      <c r="K688">
        <v>0</v>
      </c>
      <c r="L688">
        <v>0</v>
      </c>
      <c r="M688">
        <v>0</v>
      </c>
      <c r="N688">
        <v>0</v>
      </c>
      <c r="P688" s="18">
        <f t="shared" si="433"/>
        <v>0</v>
      </c>
      <c r="Q688" s="18">
        <f t="shared" si="434"/>
        <v>0</v>
      </c>
      <c r="R688" s="18">
        <f t="shared" si="435"/>
        <v>0</v>
      </c>
      <c r="S688" s="18">
        <f t="shared" si="436"/>
        <v>0</v>
      </c>
      <c r="T688" s="18">
        <f t="shared" si="437"/>
        <v>0</v>
      </c>
      <c r="U688" s="18">
        <f t="shared" si="438"/>
        <v>0</v>
      </c>
      <c r="V688" s="18">
        <f t="shared" si="439"/>
        <v>0</v>
      </c>
      <c r="W688" s="18">
        <f t="shared" si="440"/>
        <v>0</v>
      </c>
    </row>
    <row r="689" spans="1:23" x14ac:dyDescent="0.2">
      <c r="A689">
        <v>9063</v>
      </c>
      <c r="B689">
        <v>0.17200000000000001</v>
      </c>
      <c r="C689">
        <v>0.68800000000000006</v>
      </c>
      <c r="D689">
        <v>0</v>
      </c>
      <c r="E689">
        <v>0</v>
      </c>
      <c r="F689">
        <v>0</v>
      </c>
      <c r="G689">
        <v>0</v>
      </c>
      <c r="H689">
        <v>5.7400000000000003E-3</v>
      </c>
      <c r="I689">
        <v>0</v>
      </c>
      <c r="J689">
        <v>0</v>
      </c>
      <c r="K689">
        <v>0</v>
      </c>
      <c r="L689">
        <v>0</v>
      </c>
      <c r="M689">
        <v>0</v>
      </c>
      <c r="N689">
        <v>0</v>
      </c>
      <c r="P689" s="18">
        <f t="shared" si="433"/>
        <v>0.17200000000000001</v>
      </c>
      <c r="Q689" s="18">
        <f t="shared" si="434"/>
        <v>0.69374000000000002</v>
      </c>
      <c r="R689" s="18">
        <f t="shared" si="435"/>
        <v>0</v>
      </c>
      <c r="S689" s="18">
        <f t="shared" si="436"/>
        <v>0</v>
      </c>
      <c r="T689" s="18">
        <f t="shared" si="437"/>
        <v>0</v>
      </c>
      <c r="U689" s="18">
        <f t="shared" si="438"/>
        <v>0</v>
      </c>
      <c r="V689" s="18">
        <f t="shared" si="439"/>
        <v>0</v>
      </c>
      <c r="W689" s="18">
        <f t="shared" si="440"/>
        <v>0</v>
      </c>
    </row>
    <row r="690" spans="1:23" x14ac:dyDescent="0.2">
      <c r="A690">
        <v>9065</v>
      </c>
      <c r="B690">
        <v>0</v>
      </c>
      <c r="C690">
        <v>0</v>
      </c>
      <c r="D690">
        <v>0</v>
      </c>
      <c r="E690">
        <v>0</v>
      </c>
      <c r="F690">
        <v>0</v>
      </c>
      <c r="G690">
        <v>0</v>
      </c>
      <c r="H690">
        <v>0</v>
      </c>
      <c r="I690">
        <v>0</v>
      </c>
      <c r="J690">
        <v>0</v>
      </c>
      <c r="K690">
        <v>0</v>
      </c>
      <c r="L690">
        <v>0</v>
      </c>
      <c r="M690">
        <v>0</v>
      </c>
      <c r="N690">
        <v>0</v>
      </c>
      <c r="P690" s="18">
        <f t="shared" si="433"/>
        <v>0</v>
      </c>
      <c r="Q690" s="18">
        <f t="shared" si="434"/>
        <v>0</v>
      </c>
      <c r="R690" s="18">
        <f t="shared" si="435"/>
        <v>0</v>
      </c>
      <c r="S690" s="18">
        <f t="shared" si="436"/>
        <v>0</v>
      </c>
      <c r="T690" s="18">
        <f t="shared" si="437"/>
        <v>0</v>
      </c>
      <c r="U690" s="18">
        <f t="shared" si="438"/>
        <v>0</v>
      </c>
      <c r="V690" s="18">
        <f t="shared" si="439"/>
        <v>0</v>
      </c>
      <c r="W690" s="18">
        <f t="shared" si="440"/>
        <v>0</v>
      </c>
    </row>
    <row r="691" spans="1:23" x14ac:dyDescent="0.2">
      <c r="A691">
        <v>9080</v>
      </c>
      <c r="B691">
        <v>0</v>
      </c>
      <c r="C691">
        <v>0</v>
      </c>
      <c r="D691">
        <v>0</v>
      </c>
      <c r="E691">
        <v>0</v>
      </c>
      <c r="F691">
        <v>0</v>
      </c>
      <c r="G691">
        <v>0</v>
      </c>
      <c r="H691">
        <v>0</v>
      </c>
      <c r="I691">
        <v>0</v>
      </c>
      <c r="J691">
        <v>0</v>
      </c>
      <c r="K691">
        <v>0</v>
      </c>
      <c r="L691">
        <v>0</v>
      </c>
      <c r="M691">
        <v>0</v>
      </c>
      <c r="N691">
        <v>0</v>
      </c>
      <c r="P691" s="18">
        <f t="shared" si="433"/>
        <v>0</v>
      </c>
      <c r="Q691" s="18">
        <f t="shared" si="434"/>
        <v>0</v>
      </c>
      <c r="R691" s="18">
        <f t="shared" si="435"/>
        <v>0</v>
      </c>
      <c r="S691" s="18">
        <f t="shared" si="436"/>
        <v>0</v>
      </c>
      <c r="T691" s="18">
        <f t="shared" si="437"/>
        <v>0</v>
      </c>
      <c r="U691" s="18">
        <f t="shared" si="438"/>
        <v>0</v>
      </c>
      <c r="V691" s="18">
        <f t="shared" si="439"/>
        <v>0</v>
      </c>
      <c r="W691" s="18">
        <f t="shared" si="440"/>
        <v>0</v>
      </c>
    </row>
    <row r="692" spans="1:23" x14ac:dyDescent="0.2">
      <c r="A692">
        <v>7626</v>
      </c>
      <c r="B692">
        <v>0</v>
      </c>
      <c r="C692">
        <v>0</v>
      </c>
      <c r="D692">
        <v>0</v>
      </c>
      <c r="E692">
        <v>0</v>
      </c>
      <c r="F692">
        <v>0</v>
      </c>
      <c r="G692">
        <v>0</v>
      </c>
      <c r="H692">
        <v>0</v>
      </c>
      <c r="I692">
        <v>0</v>
      </c>
      <c r="J692">
        <v>0</v>
      </c>
      <c r="K692">
        <v>0</v>
      </c>
      <c r="L692">
        <v>0</v>
      </c>
      <c r="M692">
        <v>0</v>
      </c>
      <c r="N692">
        <v>0</v>
      </c>
      <c r="P692" s="18">
        <f t="shared" si="433"/>
        <v>0</v>
      </c>
      <c r="Q692" s="18">
        <f t="shared" si="434"/>
        <v>0</v>
      </c>
      <c r="R692" s="18">
        <f t="shared" si="435"/>
        <v>0</v>
      </c>
      <c r="S692" s="18">
        <f t="shared" si="436"/>
        <v>0</v>
      </c>
      <c r="T692" s="18">
        <f t="shared" si="437"/>
        <v>0</v>
      </c>
      <c r="U692" s="18">
        <f t="shared" si="438"/>
        <v>0</v>
      </c>
      <c r="V692" s="18">
        <f t="shared" si="439"/>
        <v>0</v>
      </c>
      <c r="W692" s="18">
        <f t="shared" si="440"/>
        <v>0</v>
      </c>
    </row>
    <row r="693" spans="1:23" x14ac:dyDescent="0.2">
      <c r="A693">
        <v>7891</v>
      </c>
      <c r="B693">
        <v>0</v>
      </c>
      <c r="C693">
        <v>0</v>
      </c>
      <c r="D693">
        <v>0</v>
      </c>
      <c r="E693">
        <v>0</v>
      </c>
      <c r="F693">
        <v>0</v>
      </c>
      <c r="G693">
        <v>0</v>
      </c>
      <c r="H693">
        <v>0</v>
      </c>
      <c r="I693">
        <v>0</v>
      </c>
      <c r="J693">
        <v>0</v>
      </c>
      <c r="K693">
        <v>0</v>
      </c>
      <c r="L693">
        <v>0</v>
      </c>
      <c r="M693">
        <v>0</v>
      </c>
      <c r="N693">
        <v>0</v>
      </c>
      <c r="P693" s="18">
        <f t="shared" si="433"/>
        <v>0</v>
      </c>
      <c r="Q693" s="18">
        <f t="shared" si="434"/>
        <v>0</v>
      </c>
      <c r="R693" s="18">
        <f t="shared" si="435"/>
        <v>0</v>
      </c>
      <c r="S693" s="18">
        <f t="shared" si="436"/>
        <v>0</v>
      </c>
      <c r="T693" s="18">
        <f t="shared" si="437"/>
        <v>0</v>
      </c>
      <c r="U693" s="18">
        <f t="shared" si="438"/>
        <v>0</v>
      </c>
      <c r="V693" s="18">
        <f t="shared" si="439"/>
        <v>0</v>
      </c>
      <c r="W693" s="18">
        <f t="shared" si="440"/>
        <v>0</v>
      </c>
    </row>
    <row r="694" spans="1:23" x14ac:dyDescent="0.2">
      <c r="A694">
        <v>9116</v>
      </c>
      <c r="B694">
        <v>0.17200000000000001</v>
      </c>
      <c r="C694">
        <v>0.68800000000000006</v>
      </c>
      <c r="D694">
        <v>0</v>
      </c>
      <c r="E694">
        <v>0</v>
      </c>
      <c r="F694">
        <v>0</v>
      </c>
      <c r="G694">
        <v>1.08E-3</v>
      </c>
      <c r="H694">
        <v>3.1239999999999997E-2</v>
      </c>
      <c r="I694">
        <v>0</v>
      </c>
      <c r="J694">
        <v>0</v>
      </c>
      <c r="K694">
        <v>0</v>
      </c>
      <c r="L694">
        <v>0</v>
      </c>
      <c r="M694">
        <v>0</v>
      </c>
      <c r="N694">
        <v>0</v>
      </c>
      <c r="P694" s="18">
        <f t="shared" si="433"/>
        <v>0.17308000000000001</v>
      </c>
      <c r="Q694" s="18">
        <f t="shared" si="434"/>
        <v>0.7192400000000001</v>
      </c>
      <c r="R694" s="18">
        <f t="shared" si="435"/>
        <v>0</v>
      </c>
      <c r="S694" s="18">
        <f t="shared" si="436"/>
        <v>0</v>
      </c>
      <c r="T694" s="18">
        <f t="shared" si="437"/>
        <v>0</v>
      </c>
      <c r="U694" s="18">
        <f t="shared" si="438"/>
        <v>0</v>
      </c>
      <c r="V694" s="18">
        <f t="shared" si="439"/>
        <v>0</v>
      </c>
      <c r="W694" s="18">
        <f t="shared" si="440"/>
        <v>0</v>
      </c>
    </row>
    <row r="695" spans="1:23" x14ac:dyDescent="0.2">
      <c r="A695">
        <v>9113</v>
      </c>
      <c r="B695">
        <v>0.17200000000000001</v>
      </c>
      <c r="C695">
        <v>0.68800000000000006</v>
      </c>
      <c r="D695">
        <v>0</v>
      </c>
      <c r="E695">
        <v>0</v>
      </c>
      <c r="F695">
        <v>0</v>
      </c>
      <c r="G695">
        <v>4.1700000000000001E-3</v>
      </c>
      <c r="H695">
        <v>8.5599999999999999E-3</v>
      </c>
      <c r="I695">
        <v>0</v>
      </c>
      <c r="J695">
        <v>0</v>
      </c>
      <c r="K695">
        <v>0</v>
      </c>
      <c r="L695">
        <v>0</v>
      </c>
      <c r="M695">
        <v>0</v>
      </c>
      <c r="N695">
        <v>0</v>
      </c>
      <c r="P695" s="18">
        <f t="shared" si="433"/>
        <v>0.17617000000000002</v>
      </c>
      <c r="Q695" s="18">
        <f t="shared" si="434"/>
        <v>0.69656000000000007</v>
      </c>
      <c r="R695" s="18">
        <f t="shared" si="435"/>
        <v>0</v>
      </c>
      <c r="S695" s="18">
        <f t="shared" si="436"/>
        <v>0</v>
      </c>
      <c r="T695" s="18">
        <f t="shared" si="437"/>
        <v>0</v>
      </c>
      <c r="U695" s="18">
        <f t="shared" si="438"/>
        <v>0</v>
      </c>
      <c r="V695" s="18">
        <f t="shared" si="439"/>
        <v>0</v>
      </c>
      <c r="W695" s="18">
        <f t="shared" si="440"/>
        <v>0</v>
      </c>
    </row>
    <row r="696" spans="1:23" x14ac:dyDescent="0.2">
      <c r="A696">
        <v>9122</v>
      </c>
      <c r="B696">
        <v>0</v>
      </c>
      <c r="C696">
        <v>0</v>
      </c>
      <c r="D696">
        <v>0</v>
      </c>
      <c r="E696">
        <v>0</v>
      </c>
      <c r="F696">
        <v>0</v>
      </c>
      <c r="G696">
        <v>14.279959999999999</v>
      </c>
      <c r="H696">
        <v>9.2575399999999988</v>
      </c>
      <c r="I696">
        <v>0.56987999999999994</v>
      </c>
      <c r="J696">
        <v>2.8248599999999997</v>
      </c>
      <c r="K696">
        <v>0</v>
      </c>
      <c r="L696">
        <v>1.5599999999999999E-2</v>
      </c>
      <c r="M696">
        <v>1.6000000000000001E-4</v>
      </c>
      <c r="N696">
        <v>0</v>
      </c>
      <c r="P696" s="18">
        <f t="shared" si="433"/>
        <v>14.279959999999999</v>
      </c>
      <c r="Q696" s="18">
        <f t="shared" si="434"/>
        <v>9.2575399999999988</v>
      </c>
      <c r="R696" s="18">
        <f t="shared" si="435"/>
        <v>0.56987999999999994</v>
      </c>
      <c r="S696" s="18">
        <f t="shared" si="436"/>
        <v>2.8248599999999997</v>
      </c>
      <c r="T696" s="18">
        <f t="shared" si="437"/>
        <v>0</v>
      </c>
      <c r="U696" s="18">
        <f t="shared" si="438"/>
        <v>1.5599999999999999E-2</v>
      </c>
      <c r="V696" s="18">
        <f t="shared" si="439"/>
        <v>1.6000000000000001E-4</v>
      </c>
      <c r="W696" s="18">
        <f t="shared" si="440"/>
        <v>0</v>
      </c>
    </row>
    <row r="697" spans="1:23" x14ac:dyDescent="0.2">
      <c r="A697">
        <v>9105</v>
      </c>
      <c r="B697">
        <v>0</v>
      </c>
      <c r="C697">
        <v>0</v>
      </c>
      <c r="D697">
        <v>0</v>
      </c>
      <c r="E697">
        <v>0</v>
      </c>
      <c r="F697">
        <v>0</v>
      </c>
      <c r="G697">
        <v>0</v>
      </c>
      <c r="H697">
        <v>8.4000000000000012E-3</v>
      </c>
      <c r="I697">
        <v>0</v>
      </c>
      <c r="J697">
        <v>0</v>
      </c>
      <c r="K697">
        <v>0</v>
      </c>
      <c r="L697">
        <v>0</v>
      </c>
      <c r="M697">
        <v>0</v>
      </c>
      <c r="N697">
        <v>0</v>
      </c>
      <c r="P697" s="18">
        <f t="shared" si="433"/>
        <v>0</v>
      </c>
      <c r="Q697" s="18">
        <f t="shared" si="434"/>
        <v>8.4000000000000012E-3</v>
      </c>
      <c r="R697" s="18">
        <f t="shared" si="435"/>
        <v>0</v>
      </c>
      <c r="S697" s="18">
        <f t="shared" si="436"/>
        <v>0</v>
      </c>
      <c r="T697" s="18">
        <f t="shared" si="437"/>
        <v>0</v>
      </c>
      <c r="U697" s="18">
        <f t="shared" si="438"/>
        <v>0</v>
      </c>
      <c r="V697" s="18">
        <f t="shared" si="439"/>
        <v>0</v>
      </c>
      <c r="W697" s="18">
        <f t="shared" si="440"/>
        <v>0</v>
      </c>
    </row>
    <row r="698" spans="1:23" x14ac:dyDescent="0.2">
      <c r="A698">
        <v>9117</v>
      </c>
      <c r="B698">
        <v>0.34400000000000003</v>
      </c>
      <c r="C698">
        <v>1.3760000000000001</v>
      </c>
      <c r="D698">
        <v>0</v>
      </c>
      <c r="E698">
        <v>0</v>
      </c>
      <c r="F698">
        <v>0</v>
      </c>
      <c r="G698">
        <v>1.3959999999999999</v>
      </c>
      <c r="H698">
        <v>0.87679999999999991</v>
      </c>
      <c r="I698">
        <v>0</v>
      </c>
      <c r="J698">
        <v>0</v>
      </c>
      <c r="K698">
        <v>0</v>
      </c>
      <c r="L698">
        <v>0</v>
      </c>
      <c r="M698">
        <v>3.2000000000000002E-3</v>
      </c>
      <c r="N698">
        <v>0</v>
      </c>
      <c r="P698" s="18">
        <f t="shared" si="433"/>
        <v>1.74</v>
      </c>
      <c r="Q698" s="18">
        <f t="shared" si="434"/>
        <v>2.2528000000000001</v>
      </c>
      <c r="R698" s="18">
        <f t="shared" si="435"/>
        <v>0</v>
      </c>
      <c r="S698" s="18">
        <f t="shared" si="436"/>
        <v>0</v>
      </c>
      <c r="T698" s="18">
        <f t="shared" si="437"/>
        <v>0</v>
      </c>
      <c r="U698" s="18">
        <f t="shared" si="438"/>
        <v>0</v>
      </c>
      <c r="V698" s="18">
        <f t="shared" si="439"/>
        <v>3.2000000000000002E-3</v>
      </c>
      <c r="W698" s="18">
        <f t="shared" si="440"/>
        <v>0</v>
      </c>
    </row>
    <row r="699" spans="1:23" x14ac:dyDescent="0.2">
      <c r="A699">
        <v>8895</v>
      </c>
      <c r="B699">
        <v>0</v>
      </c>
      <c r="C699">
        <v>0</v>
      </c>
      <c r="D699">
        <v>0</v>
      </c>
      <c r="E699">
        <v>0</v>
      </c>
      <c r="F699">
        <v>0</v>
      </c>
      <c r="G699">
        <v>0</v>
      </c>
      <c r="H699">
        <v>0</v>
      </c>
      <c r="I699">
        <v>0</v>
      </c>
      <c r="J699">
        <v>0</v>
      </c>
      <c r="K699">
        <v>0</v>
      </c>
      <c r="L699">
        <v>0</v>
      </c>
      <c r="M699">
        <v>0</v>
      </c>
      <c r="N699">
        <v>0</v>
      </c>
      <c r="P699" s="18">
        <f t="shared" si="433"/>
        <v>0</v>
      </c>
      <c r="Q699" s="18">
        <f t="shared" si="434"/>
        <v>0</v>
      </c>
      <c r="R699" s="18">
        <f t="shared" si="435"/>
        <v>0</v>
      </c>
      <c r="S699" s="18">
        <f t="shared" si="436"/>
        <v>0</v>
      </c>
      <c r="T699" s="18">
        <f t="shared" si="437"/>
        <v>0</v>
      </c>
      <c r="U699" s="18">
        <f t="shared" si="438"/>
        <v>0</v>
      </c>
      <c r="V699" s="18">
        <f t="shared" si="439"/>
        <v>0</v>
      </c>
      <c r="W699" s="18">
        <f t="shared" si="440"/>
        <v>0</v>
      </c>
    </row>
    <row r="700" spans="1:23" x14ac:dyDescent="0.2">
      <c r="A700">
        <v>9143</v>
      </c>
      <c r="B700">
        <v>0.51600000000000001</v>
      </c>
      <c r="C700">
        <v>2.0640000000000001</v>
      </c>
      <c r="D700">
        <v>0</v>
      </c>
      <c r="E700">
        <v>0</v>
      </c>
      <c r="F700">
        <v>0</v>
      </c>
      <c r="G700">
        <v>0.30303000000000002</v>
      </c>
      <c r="H700">
        <v>4.4014999999999999E-2</v>
      </c>
      <c r="I700">
        <v>0</v>
      </c>
      <c r="J700">
        <v>0</v>
      </c>
      <c r="K700">
        <v>0</v>
      </c>
      <c r="L700">
        <v>0</v>
      </c>
      <c r="M700">
        <v>0</v>
      </c>
      <c r="N700">
        <v>0</v>
      </c>
      <c r="P700" s="18">
        <f t="shared" si="433"/>
        <v>0.81903000000000004</v>
      </c>
      <c r="Q700" s="18">
        <f t="shared" si="434"/>
        <v>2.108015</v>
      </c>
      <c r="R700" s="18">
        <f t="shared" si="435"/>
        <v>0</v>
      </c>
      <c r="S700" s="18">
        <f t="shared" si="436"/>
        <v>0</v>
      </c>
      <c r="T700" s="18">
        <f t="shared" si="437"/>
        <v>0</v>
      </c>
      <c r="U700" s="18">
        <f t="shared" si="438"/>
        <v>0</v>
      </c>
      <c r="V700" s="18">
        <f t="shared" si="439"/>
        <v>0</v>
      </c>
      <c r="W700" s="18">
        <f t="shared" si="440"/>
        <v>0</v>
      </c>
    </row>
    <row r="701" spans="1:23" x14ac:dyDescent="0.2">
      <c r="A701">
        <v>9131</v>
      </c>
      <c r="B701">
        <v>0.17200000000000001</v>
      </c>
      <c r="C701">
        <v>0.68800000000000006</v>
      </c>
      <c r="D701">
        <v>0</v>
      </c>
      <c r="E701">
        <v>0</v>
      </c>
      <c r="F701">
        <v>0</v>
      </c>
      <c r="G701">
        <v>1.1999999999999999E-3</v>
      </c>
      <c r="H701">
        <v>5.7599999999999995E-3</v>
      </c>
      <c r="I701">
        <v>0</v>
      </c>
      <c r="J701">
        <v>0</v>
      </c>
      <c r="K701">
        <v>0</v>
      </c>
      <c r="L701">
        <v>0</v>
      </c>
      <c r="M701">
        <v>0</v>
      </c>
      <c r="N701">
        <v>0</v>
      </c>
      <c r="P701" s="18">
        <f t="shared" si="433"/>
        <v>0.17320000000000002</v>
      </c>
      <c r="Q701" s="18">
        <f t="shared" si="434"/>
        <v>0.69376000000000004</v>
      </c>
      <c r="R701" s="18">
        <f t="shared" si="435"/>
        <v>0</v>
      </c>
      <c r="S701" s="18">
        <f t="shared" si="436"/>
        <v>0</v>
      </c>
      <c r="T701" s="18">
        <f t="shared" si="437"/>
        <v>0</v>
      </c>
      <c r="U701" s="18">
        <f t="shared" si="438"/>
        <v>0</v>
      </c>
      <c r="V701" s="18">
        <f t="shared" si="439"/>
        <v>0</v>
      </c>
      <c r="W701" s="18">
        <f t="shared" si="440"/>
        <v>0</v>
      </c>
    </row>
    <row r="702" spans="1:23" x14ac:dyDescent="0.2">
      <c r="A702">
        <v>8843</v>
      </c>
      <c r="B702">
        <v>0</v>
      </c>
      <c r="C702">
        <v>0</v>
      </c>
      <c r="D702">
        <v>0</v>
      </c>
      <c r="E702">
        <v>0</v>
      </c>
      <c r="F702">
        <v>0</v>
      </c>
      <c r="G702">
        <v>0</v>
      </c>
      <c r="H702">
        <v>0</v>
      </c>
      <c r="I702">
        <v>0</v>
      </c>
      <c r="J702">
        <v>0</v>
      </c>
      <c r="K702">
        <v>0</v>
      </c>
      <c r="L702">
        <v>0</v>
      </c>
      <c r="M702">
        <v>0</v>
      </c>
      <c r="N702">
        <v>0</v>
      </c>
      <c r="P702" s="18">
        <f t="shared" si="433"/>
        <v>0</v>
      </c>
      <c r="Q702" s="18">
        <f t="shared" si="434"/>
        <v>0</v>
      </c>
      <c r="R702" s="18">
        <f t="shared" si="435"/>
        <v>0</v>
      </c>
      <c r="S702" s="18">
        <f t="shared" si="436"/>
        <v>0</v>
      </c>
      <c r="T702" s="18">
        <f t="shared" si="437"/>
        <v>0</v>
      </c>
      <c r="U702" s="18">
        <f t="shared" si="438"/>
        <v>0</v>
      </c>
      <c r="V702" s="18">
        <f t="shared" si="439"/>
        <v>0</v>
      </c>
      <c r="W702" s="18">
        <f t="shared" si="440"/>
        <v>0</v>
      </c>
    </row>
    <row r="703" spans="1:23" x14ac:dyDescent="0.2">
      <c r="A703">
        <v>9164</v>
      </c>
      <c r="B703">
        <v>0</v>
      </c>
      <c r="C703">
        <v>0</v>
      </c>
      <c r="D703">
        <v>0</v>
      </c>
      <c r="E703">
        <v>0</v>
      </c>
      <c r="F703">
        <v>0</v>
      </c>
      <c r="G703">
        <v>0</v>
      </c>
      <c r="H703">
        <v>3.8660000000000001</v>
      </c>
      <c r="I703">
        <v>0</v>
      </c>
      <c r="J703">
        <v>2.746</v>
      </c>
      <c r="K703">
        <v>0</v>
      </c>
      <c r="L703">
        <v>0</v>
      </c>
      <c r="M703">
        <v>0</v>
      </c>
      <c r="N703">
        <v>0</v>
      </c>
      <c r="P703" s="18">
        <f t="shared" ref="P703" si="441">SUM(B703,G703)</f>
        <v>0</v>
      </c>
      <c r="Q703" s="18">
        <f t="shared" ref="Q703" si="442">SUM(C703,H703)</f>
        <v>3.8660000000000001</v>
      </c>
      <c r="R703" s="18">
        <f t="shared" ref="R703" si="443">SUM(D703,I703)</f>
        <v>0</v>
      </c>
      <c r="S703" s="18">
        <f t="shared" ref="S703" si="444">SUM(E703,J703)</f>
        <v>2.746</v>
      </c>
      <c r="T703" s="18">
        <f t="shared" ref="T703" si="445">K703</f>
        <v>0</v>
      </c>
      <c r="U703" s="18">
        <f t="shared" ref="U703" si="446">L703</f>
        <v>0</v>
      </c>
      <c r="V703" s="18">
        <f t="shared" ref="V703" si="447">M703</f>
        <v>0</v>
      </c>
      <c r="W703" s="18">
        <f t="shared" ref="W703" si="448">SUM(F703,N703)</f>
        <v>0</v>
      </c>
    </row>
    <row r="704" spans="1:23" x14ac:dyDescent="0.2">
      <c r="A704">
        <v>9160</v>
      </c>
      <c r="B704">
        <v>0</v>
      </c>
      <c r="C704">
        <v>0</v>
      </c>
      <c r="D704">
        <v>0</v>
      </c>
      <c r="E704">
        <v>0</v>
      </c>
      <c r="F704">
        <v>0</v>
      </c>
      <c r="G704">
        <v>0</v>
      </c>
      <c r="H704">
        <v>0</v>
      </c>
      <c r="I704">
        <v>0</v>
      </c>
      <c r="J704">
        <v>0</v>
      </c>
      <c r="K704">
        <v>0</v>
      </c>
      <c r="L704">
        <v>0</v>
      </c>
      <c r="M704">
        <v>0</v>
      </c>
      <c r="N704">
        <v>0</v>
      </c>
    </row>
    <row r="705" spans="1:14" x14ac:dyDescent="0.2">
      <c r="A705">
        <v>8869</v>
      </c>
      <c r="B705">
        <v>0</v>
      </c>
      <c r="C705">
        <v>0</v>
      </c>
      <c r="D705">
        <v>0</v>
      </c>
      <c r="E705">
        <v>0</v>
      </c>
      <c r="F705">
        <v>0</v>
      </c>
      <c r="G705">
        <v>0</v>
      </c>
      <c r="H705">
        <v>0</v>
      </c>
      <c r="I705">
        <v>0</v>
      </c>
      <c r="J705">
        <v>0</v>
      </c>
      <c r="K705">
        <v>0</v>
      </c>
      <c r="L705">
        <v>0</v>
      </c>
      <c r="M705">
        <v>0</v>
      </c>
      <c r="N705">
        <v>0</v>
      </c>
    </row>
    <row r="706" spans="1:14" x14ac:dyDescent="0.2">
      <c r="A706">
        <v>8786</v>
      </c>
      <c r="B706">
        <v>0</v>
      </c>
      <c r="C706">
        <v>0</v>
      </c>
      <c r="D706">
        <v>0</v>
      </c>
      <c r="E706">
        <v>0</v>
      </c>
      <c r="F706">
        <v>0</v>
      </c>
      <c r="G706">
        <v>0</v>
      </c>
      <c r="H706">
        <v>0</v>
      </c>
      <c r="I706">
        <v>0</v>
      </c>
      <c r="J706">
        <v>0</v>
      </c>
      <c r="K706">
        <v>0</v>
      </c>
      <c r="L706">
        <v>0</v>
      </c>
      <c r="M706">
        <v>0</v>
      </c>
      <c r="N706">
        <v>0</v>
      </c>
    </row>
    <row r="707" spans="1:14" x14ac:dyDescent="0.2">
      <c r="A707">
        <v>9158</v>
      </c>
      <c r="B707">
        <v>0</v>
      </c>
      <c r="C707">
        <v>0</v>
      </c>
      <c r="D707">
        <v>0</v>
      </c>
      <c r="E707">
        <v>0</v>
      </c>
      <c r="F707">
        <v>0</v>
      </c>
      <c r="G707">
        <v>0</v>
      </c>
      <c r="H707">
        <v>0</v>
      </c>
      <c r="I707">
        <v>0</v>
      </c>
      <c r="J707">
        <v>0</v>
      </c>
      <c r="K707">
        <v>0</v>
      </c>
      <c r="L707">
        <v>0</v>
      </c>
      <c r="M707">
        <v>0</v>
      </c>
      <c r="N707">
        <v>0</v>
      </c>
    </row>
    <row r="708" spans="1:14" x14ac:dyDescent="0.2">
      <c r="A708">
        <v>9107</v>
      </c>
      <c r="B708">
        <v>0</v>
      </c>
      <c r="C708">
        <v>0</v>
      </c>
      <c r="D708">
        <v>0</v>
      </c>
      <c r="E708">
        <v>0</v>
      </c>
      <c r="F708">
        <v>0</v>
      </c>
      <c r="G708">
        <v>0</v>
      </c>
      <c r="H708">
        <v>0</v>
      </c>
      <c r="I708">
        <v>0</v>
      </c>
      <c r="J708">
        <v>0</v>
      </c>
      <c r="K708">
        <v>0</v>
      </c>
      <c r="L708">
        <v>0</v>
      </c>
      <c r="M708">
        <v>0</v>
      </c>
      <c r="N708">
        <v>0</v>
      </c>
    </row>
    <row r="709" spans="1:14" x14ac:dyDescent="0.2">
      <c r="A709">
        <v>9152</v>
      </c>
      <c r="B709">
        <v>0</v>
      </c>
      <c r="C709">
        <v>0</v>
      </c>
      <c r="D709">
        <v>0</v>
      </c>
      <c r="E709">
        <v>0</v>
      </c>
      <c r="F709">
        <v>0</v>
      </c>
      <c r="G709">
        <v>0</v>
      </c>
      <c r="H709">
        <v>0</v>
      </c>
      <c r="I709">
        <v>0</v>
      </c>
      <c r="J709">
        <v>0</v>
      </c>
      <c r="K709">
        <v>0</v>
      </c>
      <c r="L709">
        <v>0</v>
      </c>
      <c r="M709">
        <v>0</v>
      </c>
      <c r="N709">
        <v>0</v>
      </c>
    </row>
    <row r="710" spans="1:14" x14ac:dyDescent="0.2">
      <c r="A710">
        <v>9153</v>
      </c>
      <c r="B710">
        <v>0.34400000000000003</v>
      </c>
      <c r="C710">
        <v>1.3760000000000001</v>
      </c>
      <c r="D710">
        <v>0</v>
      </c>
      <c r="E710">
        <v>0</v>
      </c>
      <c r="F710">
        <v>0</v>
      </c>
      <c r="G710">
        <v>2.16E-3</v>
      </c>
      <c r="H710">
        <v>6.9569999999999993E-2</v>
      </c>
      <c r="I710">
        <v>0</v>
      </c>
      <c r="J710">
        <v>0</v>
      </c>
      <c r="K710">
        <v>0</v>
      </c>
      <c r="L710">
        <v>0</v>
      </c>
      <c r="M710">
        <v>0</v>
      </c>
      <c r="N710">
        <v>0</v>
      </c>
    </row>
    <row r="711" spans="1:14" x14ac:dyDescent="0.2">
      <c r="A711">
        <v>8766</v>
      </c>
      <c r="B711">
        <v>0</v>
      </c>
      <c r="C711">
        <v>0</v>
      </c>
      <c r="D711">
        <v>0</v>
      </c>
      <c r="E711">
        <v>0</v>
      </c>
      <c r="F711">
        <v>0</v>
      </c>
      <c r="G711">
        <v>0</v>
      </c>
      <c r="H711">
        <v>0</v>
      </c>
      <c r="I711">
        <v>0</v>
      </c>
      <c r="J711">
        <v>0</v>
      </c>
      <c r="K711">
        <v>0</v>
      </c>
      <c r="L711">
        <v>0</v>
      </c>
      <c r="M711">
        <v>0</v>
      </c>
      <c r="N711">
        <v>0</v>
      </c>
    </row>
    <row r="712" spans="1:14" x14ac:dyDescent="0.2">
      <c r="A712">
        <v>9197</v>
      </c>
      <c r="B712">
        <v>0</v>
      </c>
      <c r="C712">
        <v>0</v>
      </c>
      <c r="D712">
        <v>0</v>
      </c>
      <c r="E712">
        <v>0</v>
      </c>
      <c r="F712">
        <v>0</v>
      </c>
      <c r="G712">
        <v>2.6205999999999996</v>
      </c>
      <c r="H712">
        <v>0.31575999999999999</v>
      </c>
      <c r="I712">
        <v>0</v>
      </c>
      <c r="J712">
        <v>0</v>
      </c>
      <c r="K712">
        <v>0</v>
      </c>
      <c r="L712">
        <v>0</v>
      </c>
      <c r="M712">
        <v>6.4000000000000005E-4</v>
      </c>
      <c r="N712">
        <v>0</v>
      </c>
    </row>
    <row r="713" spans="1:14" x14ac:dyDescent="0.2">
      <c r="A713">
        <v>9169</v>
      </c>
      <c r="B713">
        <v>0</v>
      </c>
      <c r="C713">
        <v>0</v>
      </c>
      <c r="D713">
        <v>0</v>
      </c>
      <c r="E713">
        <v>0</v>
      </c>
      <c r="F713">
        <v>0</v>
      </c>
      <c r="G713">
        <v>0</v>
      </c>
      <c r="H713">
        <v>0</v>
      </c>
      <c r="I713">
        <v>0</v>
      </c>
      <c r="J713">
        <v>0</v>
      </c>
      <c r="K713">
        <v>0</v>
      </c>
      <c r="L713">
        <v>0</v>
      </c>
      <c r="M713">
        <v>0</v>
      </c>
      <c r="N713">
        <v>0</v>
      </c>
    </row>
    <row r="714" spans="1:14" x14ac:dyDescent="0.2">
      <c r="A714">
        <v>8712</v>
      </c>
      <c r="B714">
        <v>0</v>
      </c>
      <c r="C714">
        <v>0</v>
      </c>
      <c r="D714">
        <v>0</v>
      </c>
      <c r="E714">
        <v>0</v>
      </c>
      <c r="F714">
        <v>0</v>
      </c>
      <c r="G714">
        <v>0</v>
      </c>
      <c r="H714">
        <v>0</v>
      </c>
      <c r="I714">
        <v>0</v>
      </c>
      <c r="J714">
        <v>0</v>
      </c>
      <c r="K714">
        <v>0</v>
      </c>
      <c r="L714">
        <v>0</v>
      </c>
      <c r="M714">
        <v>0</v>
      </c>
      <c r="N714">
        <v>0</v>
      </c>
    </row>
    <row r="715" spans="1:14" x14ac:dyDescent="0.2">
      <c r="A715">
        <v>9146</v>
      </c>
      <c r="B715">
        <v>0</v>
      </c>
      <c r="C715">
        <v>0</v>
      </c>
      <c r="D715">
        <v>0</v>
      </c>
      <c r="E715">
        <v>0</v>
      </c>
      <c r="F715">
        <v>0</v>
      </c>
      <c r="G715">
        <v>0</v>
      </c>
      <c r="H715">
        <v>0</v>
      </c>
      <c r="I715">
        <v>0</v>
      </c>
      <c r="J715">
        <v>0</v>
      </c>
      <c r="K715">
        <v>0</v>
      </c>
      <c r="L715">
        <v>0</v>
      </c>
      <c r="M715">
        <v>0</v>
      </c>
      <c r="N715">
        <v>0</v>
      </c>
    </row>
    <row r="716" spans="1:14" x14ac:dyDescent="0.2">
      <c r="A716">
        <v>9228</v>
      </c>
      <c r="B716">
        <v>0.17200000000000001</v>
      </c>
      <c r="C716">
        <v>0.68800000000000006</v>
      </c>
      <c r="D716">
        <v>0</v>
      </c>
      <c r="E716">
        <v>0</v>
      </c>
      <c r="F716">
        <v>0</v>
      </c>
      <c r="G716">
        <v>1.1999999999999999E-3</v>
      </c>
      <c r="H716">
        <v>8.4999999999999989E-3</v>
      </c>
      <c r="I716">
        <v>0</v>
      </c>
      <c r="J716">
        <v>0</v>
      </c>
      <c r="K716">
        <v>0</v>
      </c>
      <c r="L716">
        <v>0</v>
      </c>
      <c r="M716">
        <v>0</v>
      </c>
      <c r="N716">
        <v>0</v>
      </c>
    </row>
    <row r="717" spans="1:14" x14ac:dyDescent="0.2">
      <c r="A717">
        <v>9247</v>
      </c>
      <c r="B717">
        <v>0.17200000000000001</v>
      </c>
      <c r="C717">
        <v>0.68800000000000006</v>
      </c>
      <c r="D717">
        <v>0</v>
      </c>
      <c r="E717">
        <v>0</v>
      </c>
      <c r="F717">
        <v>0</v>
      </c>
      <c r="G717">
        <v>1.1999999999999999E-3</v>
      </c>
      <c r="H717">
        <v>6.3799999999999994E-3</v>
      </c>
      <c r="I717">
        <v>0</v>
      </c>
      <c r="J717">
        <v>0</v>
      </c>
      <c r="K717">
        <v>0</v>
      </c>
      <c r="L717">
        <v>0</v>
      </c>
      <c r="M717">
        <v>0</v>
      </c>
      <c r="N717">
        <v>0</v>
      </c>
    </row>
    <row r="718" spans="1:14" x14ac:dyDescent="0.2">
      <c r="A718">
        <v>9279</v>
      </c>
      <c r="B718">
        <v>0.17200000000000001</v>
      </c>
      <c r="C718">
        <v>0.68800000000000006</v>
      </c>
      <c r="D718">
        <v>0</v>
      </c>
      <c r="E718">
        <v>0</v>
      </c>
      <c r="F718">
        <v>0</v>
      </c>
      <c r="G718">
        <v>1.027E-2</v>
      </c>
      <c r="H718">
        <v>0.37307400000000002</v>
      </c>
      <c r="I718">
        <v>0</v>
      </c>
      <c r="J718">
        <v>0</v>
      </c>
      <c r="K718">
        <v>0</v>
      </c>
      <c r="L718">
        <v>0</v>
      </c>
      <c r="M718">
        <v>1.312E-2</v>
      </c>
      <c r="N718">
        <v>0</v>
      </c>
    </row>
    <row r="719" spans="1:14" x14ac:dyDescent="0.2">
      <c r="A719">
        <v>9288</v>
      </c>
      <c r="B719">
        <v>0</v>
      </c>
      <c r="C719">
        <v>0</v>
      </c>
      <c r="D719">
        <v>0</v>
      </c>
      <c r="E719">
        <v>0</v>
      </c>
      <c r="F719">
        <v>0</v>
      </c>
      <c r="G719">
        <v>0</v>
      </c>
      <c r="H719">
        <v>1.7186399999999999</v>
      </c>
      <c r="I719">
        <v>0</v>
      </c>
      <c r="J719">
        <v>0</v>
      </c>
      <c r="K719">
        <v>0</v>
      </c>
      <c r="L719">
        <v>0</v>
      </c>
      <c r="M719">
        <v>3.024E-2</v>
      </c>
      <c r="N719">
        <v>0</v>
      </c>
    </row>
    <row r="720" spans="1:14" x14ac:dyDescent="0.2">
      <c r="A720">
        <v>9292</v>
      </c>
      <c r="B720">
        <v>0</v>
      </c>
      <c r="C720">
        <v>0</v>
      </c>
      <c r="D720">
        <v>0</v>
      </c>
      <c r="E720">
        <v>0</v>
      </c>
      <c r="F720">
        <v>0</v>
      </c>
      <c r="G720">
        <v>0</v>
      </c>
      <c r="H720">
        <v>0</v>
      </c>
      <c r="I720">
        <v>0</v>
      </c>
      <c r="J720">
        <v>0</v>
      </c>
      <c r="K720">
        <v>0</v>
      </c>
      <c r="L720">
        <v>0</v>
      </c>
      <c r="M720">
        <v>0</v>
      </c>
      <c r="N720">
        <v>0</v>
      </c>
    </row>
    <row r="721" spans="1:14" x14ac:dyDescent="0.2">
      <c r="A721">
        <v>9296</v>
      </c>
      <c r="B721">
        <v>0</v>
      </c>
      <c r="C721">
        <v>0</v>
      </c>
      <c r="D721">
        <v>0</v>
      </c>
      <c r="E721">
        <v>0</v>
      </c>
      <c r="F721">
        <v>0</v>
      </c>
      <c r="G721">
        <v>3.2399999999999998E-3</v>
      </c>
      <c r="H721">
        <v>3.0599999999999998E-3</v>
      </c>
      <c r="I721">
        <v>0</v>
      </c>
      <c r="J721">
        <v>0</v>
      </c>
      <c r="K721">
        <v>0</v>
      </c>
      <c r="L721">
        <v>0</v>
      </c>
      <c r="M721">
        <v>0</v>
      </c>
      <c r="N721">
        <v>0</v>
      </c>
    </row>
    <row r="722" spans="1:14" x14ac:dyDescent="0.2">
      <c r="A722">
        <v>9204</v>
      </c>
      <c r="B722">
        <v>0</v>
      </c>
      <c r="C722">
        <v>0</v>
      </c>
      <c r="D722">
        <v>0</v>
      </c>
      <c r="E722">
        <v>0</v>
      </c>
      <c r="F722">
        <v>0</v>
      </c>
      <c r="G722">
        <v>1.7659999999999998</v>
      </c>
      <c r="H722">
        <v>0</v>
      </c>
      <c r="I722">
        <v>0</v>
      </c>
      <c r="J722">
        <v>0</v>
      </c>
      <c r="K722">
        <v>0</v>
      </c>
      <c r="L722">
        <v>0</v>
      </c>
      <c r="M722">
        <v>0</v>
      </c>
      <c r="N722">
        <v>0</v>
      </c>
    </row>
    <row r="723" spans="1:14" x14ac:dyDescent="0.2">
      <c r="A723">
        <v>9303</v>
      </c>
      <c r="B723">
        <v>0</v>
      </c>
      <c r="C723">
        <v>0</v>
      </c>
      <c r="D723">
        <v>0</v>
      </c>
      <c r="E723">
        <v>0</v>
      </c>
      <c r="F723">
        <v>0</v>
      </c>
      <c r="G723">
        <v>0</v>
      </c>
      <c r="H723">
        <v>0</v>
      </c>
      <c r="I723">
        <v>0</v>
      </c>
      <c r="J723">
        <v>0</v>
      </c>
      <c r="K723">
        <v>0</v>
      </c>
      <c r="L723">
        <v>0</v>
      </c>
      <c r="M723">
        <v>0</v>
      </c>
      <c r="N723">
        <v>0</v>
      </c>
    </row>
    <row r="724" spans="1:14" x14ac:dyDescent="0.2">
      <c r="A724">
        <v>9302</v>
      </c>
      <c r="B724">
        <v>0.17200000000000001</v>
      </c>
      <c r="C724">
        <v>0.68800000000000006</v>
      </c>
      <c r="D724">
        <v>0</v>
      </c>
      <c r="E724">
        <v>0</v>
      </c>
      <c r="F724">
        <v>0</v>
      </c>
      <c r="G724">
        <v>1.1999999999999999E-3</v>
      </c>
      <c r="H724">
        <v>6.3799999999999994E-3</v>
      </c>
      <c r="I724">
        <v>0</v>
      </c>
      <c r="J724">
        <v>0</v>
      </c>
      <c r="K724">
        <v>0</v>
      </c>
      <c r="L724">
        <v>0</v>
      </c>
      <c r="M724">
        <v>0</v>
      </c>
      <c r="N724">
        <v>0</v>
      </c>
    </row>
    <row r="725" spans="1:14" x14ac:dyDescent="0.2">
      <c r="A725">
        <v>9309</v>
      </c>
      <c r="B725">
        <v>0</v>
      </c>
      <c r="C725">
        <v>0</v>
      </c>
      <c r="D725">
        <v>0</v>
      </c>
      <c r="E725">
        <v>0</v>
      </c>
      <c r="F725">
        <v>0</v>
      </c>
      <c r="G725">
        <v>0</v>
      </c>
      <c r="H725">
        <v>0</v>
      </c>
      <c r="I725">
        <v>0</v>
      </c>
      <c r="J725">
        <v>0</v>
      </c>
      <c r="K725">
        <v>0</v>
      </c>
      <c r="L725">
        <v>0</v>
      </c>
      <c r="M725">
        <v>0</v>
      </c>
      <c r="N725">
        <v>0</v>
      </c>
    </row>
    <row r="726" spans="1:14" x14ac:dyDescent="0.2">
      <c r="A726">
        <v>9259</v>
      </c>
      <c r="B726">
        <v>0</v>
      </c>
      <c r="C726">
        <v>0</v>
      </c>
      <c r="D726">
        <v>0</v>
      </c>
      <c r="E726">
        <v>0</v>
      </c>
      <c r="F726">
        <v>0</v>
      </c>
      <c r="G726">
        <v>0</v>
      </c>
      <c r="H726">
        <v>0</v>
      </c>
      <c r="I726">
        <v>0</v>
      </c>
      <c r="J726">
        <v>0</v>
      </c>
      <c r="K726">
        <v>0</v>
      </c>
      <c r="L726">
        <v>0</v>
      </c>
      <c r="M726">
        <v>0</v>
      </c>
      <c r="N726">
        <v>0</v>
      </c>
    </row>
    <row r="727" spans="1:14" x14ac:dyDescent="0.2">
      <c r="A727">
        <v>8814</v>
      </c>
      <c r="B727">
        <v>0</v>
      </c>
      <c r="C727">
        <v>0</v>
      </c>
      <c r="D727">
        <v>0</v>
      </c>
      <c r="E727">
        <v>0</v>
      </c>
      <c r="F727">
        <v>0</v>
      </c>
      <c r="G727">
        <v>0</v>
      </c>
      <c r="H727">
        <v>0</v>
      </c>
      <c r="I727">
        <v>0</v>
      </c>
      <c r="J727">
        <v>0</v>
      </c>
      <c r="K727">
        <v>0</v>
      </c>
      <c r="L727">
        <v>0</v>
      </c>
      <c r="M727">
        <v>0</v>
      </c>
      <c r="N727">
        <v>0</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27"/>
  <dimension ref="A1:J727"/>
  <sheetViews>
    <sheetView topLeftCell="A688" zoomScaleNormal="100" workbookViewId="0">
      <selection activeCell="A703" sqref="A1:A1048576"/>
    </sheetView>
  </sheetViews>
  <sheetFormatPr defaultRowHeight="12.75" x14ac:dyDescent="0.2"/>
  <cols>
    <col min="1" max="1" width="21.28515625" style="18" bestFit="1" customWidth="1"/>
    <col min="2" max="2" width="19.7109375" style="18" bestFit="1" customWidth="1"/>
    <col min="3" max="3" width="8.7109375" style="18" bestFit="1" customWidth="1"/>
    <col min="4" max="4" width="18.28515625" style="18" bestFit="1" customWidth="1"/>
    <col min="5" max="5" width="14.7109375" style="18" bestFit="1" customWidth="1"/>
    <col min="6" max="6" width="12.5703125" style="18" bestFit="1" customWidth="1"/>
    <col min="7" max="7" width="22.28515625" style="18" bestFit="1" customWidth="1"/>
    <col min="8" max="8" width="10.42578125" style="18" bestFit="1" customWidth="1"/>
    <col min="9" max="9" width="14.7109375" style="18" bestFit="1" customWidth="1"/>
    <col min="10" max="10" width="11.28515625" style="18" bestFit="1" customWidth="1"/>
  </cols>
  <sheetData>
    <row r="1" spans="1:10" x14ac:dyDescent="0.2">
      <c r="A1" s="18">
        <v>1</v>
      </c>
      <c r="B1" s="18">
        <v>2</v>
      </c>
      <c r="C1" s="18">
        <v>3</v>
      </c>
      <c r="D1" s="18">
        <v>4</v>
      </c>
      <c r="E1" s="18">
        <v>5</v>
      </c>
      <c r="F1" s="18">
        <v>6</v>
      </c>
      <c r="G1" s="18">
        <v>7</v>
      </c>
      <c r="H1" s="18">
        <v>8</v>
      </c>
      <c r="I1" s="18">
        <v>9</v>
      </c>
      <c r="J1" s="18">
        <v>10</v>
      </c>
    </row>
    <row r="2" spans="1:10" x14ac:dyDescent="0.2">
      <c r="B2" s="18">
        <f>SUM(B5:B1000)</f>
        <v>784</v>
      </c>
      <c r="C2" s="18">
        <f t="shared" ref="C2:J2" si="0">SUM(C5:C1000)</f>
        <v>736</v>
      </c>
      <c r="D2" s="18">
        <f t="shared" si="0"/>
        <v>7518</v>
      </c>
      <c r="E2" s="18">
        <f t="shared" si="0"/>
        <v>913</v>
      </c>
      <c r="F2" s="18">
        <f t="shared" si="0"/>
        <v>2437</v>
      </c>
      <c r="G2" s="18">
        <f t="shared" si="0"/>
        <v>30642</v>
      </c>
      <c r="H2" s="18">
        <f t="shared" si="0"/>
        <v>1369</v>
      </c>
      <c r="I2" s="18">
        <f t="shared" si="0"/>
        <v>63</v>
      </c>
      <c r="J2" s="18">
        <f t="shared" si="0"/>
        <v>44462</v>
      </c>
    </row>
    <row r="3" spans="1:10" ht="15" x14ac:dyDescent="0.25">
      <c r="A3" s="139" t="s">
        <v>75</v>
      </c>
      <c r="B3" s="139" t="s">
        <v>76</v>
      </c>
      <c r="C3" s="139"/>
      <c r="D3" s="139"/>
      <c r="E3" s="139"/>
      <c r="F3" s="139"/>
      <c r="G3" s="139"/>
      <c r="H3" s="139"/>
      <c r="I3" s="139"/>
    </row>
    <row r="4" spans="1:10" ht="15" x14ac:dyDescent="0.25">
      <c r="A4" s="57" t="s">
        <v>386</v>
      </c>
      <c r="B4" s="57" t="s">
        <v>77</v>
      </c>
      <c r="C4" s="57" t="s">
        <v>62</v>
      </c>
      <c r="D4" s="57" t="s">
        <v>78</v>
      </c>
      <c r="E4" s="57" t="s">
        <v>79</v>
      </c>
      <c r="F4" s="57" t="s">
        <v>72</v>
      </c>
      <c r="G4" s="57" t="s">
        <v>456</v>
      </c>
      <c r="H4" s="57" t="s">
        <v>73</v>
      </c>
      <c r="I4" s="57" t="s">
        <v>80</v>
      </c>
      <c r="J4" s="57" t="s">
        <v>44</v>
      </c>
    </row>
    <row r="5" spans="1:10" x14ac:dyDescent="0.2">
      <c r="A5" s="18">
        <v>3713</v>
      </c>
      <c r="G5" s="18">
        <v>184</v>
      </c>
      <c r="J5">
        <v>184</v>
      </c>
    </row>
    <row r="6" spans="1:10" x14ac:dyDescent="0.2">
      <c r="A6" s="18">
        <v>4077</v>
      </c>
      <c r="D6" s="18">
        <v>0</v>
      </c>
      <c r="J6">
        <v>0</v>
      </c>
    </row>
    <row r="7" spans="1:10" x14ac:dyDescent="0.2">
      <c r="A7" s="18">
        <v>4079</v>
      </c>
      <c r="C7" s="18">
        <v>0</v>
      </c>
      <c r="D7" s="18">
        <v>0</v>
      </c>
      <c r="E7" s="18">
        <v>0</v>
      </c>
      <c r="F7" s="18">
        <v>0</v>
      </c>
      <c r="G7" s="18">
        <v>0</v>
      </c>
      <c r="H7" s="18">
        <v>0</v>
      </c>
      <c r="J7">
        <v>0</v>
      </c>
    </row>
    <row r="8" spans="1:10" x14ac:dyDescent="0.2">
      <c r="A8" s="18">
        <v>4129</v>
      </c>
      <c r="F8" s="18">
        <v>0</v>
      </c>
      <c r="G8" s="18">
        <v>0</v>
      </c>
      <c r="J8">
        <v>0</v>
      </c>
    </row>
    <row r="9" spans="1:10" x14ac:dyDescent="0.2">
      <c r="A9" s="18">
        <v>4150</v>
      </c>
      <c r="D9" s="18">
        <v>0</v>
      </c>
      <c r="J9">
        <v>0</v>
      </c>
    </row>
    <row r="10" spans="1:10" x14ac:dyDescent="0.2">
      <c r="A10" s="18">
        <v>4178</v>
      </c>
      <c r="D10" s="18">
        <v>0</v>
      </c>
      <c r="J10">
        <v>0</v>
      </c>
    </row>
    <row r="11" spans="1:10" x14ac:dyDescent="0.2">
      <c r="A11" s="18">
        <v>4235</v>
      </c>
      <c r="C11" s="18">
        <v>0</v>
      </c>
      <c r="J11">
        <v>0</v>
      </c>
    </row>
    <row r="12" spans="1:10" x14ac:dyDescent="0.2">
      <c r="A12" s="18">
        <v>4267</v>
      </c>
      <c r="G12" s="18">
        <v>10</v>
      </c>
      <c r="J12">
        <v>10</v>
      </c>
    </row>
    <row r="13" spans="1:10" x14ac:dyDescent="0.2">
      <c r="A13" s="18">
        <v>4441</v>
      </c>
      <c r="F13" s="18">
        <v>2</v>
      </c>
      <c r="J13">
        <v>2</v>
      </c>
    </row>
    <row r="14" spans="1:10" x14ac:dyDescent="0.2">
      <c r="A14" s="18">
        <v>4556</v>
      </c>
      <c r="F14" s="18">
        <v>1</v>
      </c>
      <c r="J14">
        <v>1</v>
      </c>
    </row>
    <row r="15" spans="1:10" x14ac:dyDescent="0.2">
      <c r="A15" s="18">
        <v>4603</v>
      </c>
      <c r="C15" s="18">
        <v>0</v>
      </c>
      <c r="G15" s="18">
        <v>0</v>
      </c>
      <c r="H15" s="18">
        <v>0</v>
      </c>
      <c r="J15">
        <v>0</v>
      </c>
    </row>
    <row r="16" spans="1:10" x14ac:dyDescent="0.2">
      <c r="A16" s="18">
        <v>4605</v>
      </c>
      <c r="C16" s="18">
        <v>0</v>
      </c>
      <c r="J16">
        <v>0</v>
      </c>
    </row>
    <row r="17" spans="1:10" x14ac:dyDescent="0.2">
      <c r="A17" s="18">
        <v>4606</v>
      </c>
      <c r="C17" s="18">
        <v>0</v>
      </c>
      <c r="J17">
        <v>0</v>
      </c>
    </row>
    <row r="18" spans="1:10" x14ac:dyDescent="0.2">
      <c r="A18" s="18">
        <v>4645</v>
      </c>
      <c r="C18" s="18">
        <v>0</v>
      </c>
      <c r="E18" s="18">
        <v>0</v>
      </c>
      <c r="F18" s="18">
        <v>0</v>
      </c>
      <c r="G18" s="18">
        <v>0</v>
      </c>
      <c r="I18" s="18">
        <v>0</v>
      </c>
      <c r="J18">
        <v>0</v>
      </c>
    </row>
    <row r="19" spans="1:10" x14ac:dyDescent="0.2">
      <c r="A19" s="18">
        <v>4767</v>
      </c>
      <c r="B19" s="18">
        <v>0</v>
      </c>
      <c r="C19" s="18">
        <v>0</v>
      </c>
      <c r="G19" s="18">
        <v>0</v>
      </c>
      <c r="J19">
        <v>0</v>
      </c>
    </row>
    <row r="20" spans="1:10" x14ac:dyDescent="0.2">
      <c r="A20" s="18">
        <v>4781</v>
      </c>
      <c r="B20" s="18">
        <v>65</v>
      </c>
      <c r="F20" s="18">
        <v>0</v>
      </c>
      <c r="G20" s="18">
        <v>0</v>
      </c>
      <c r="J20">
        <v>65</v>
      </c>
    </row>
    <row r="21" spans="1:10" x14ac:dyDescent="0.2">
      <c r="A21" s="18">
        <v>4804</v>
      </c>
      <c r="G21" s="18">
        <v>1</v>
      </c>
      <c r="J21">
        <v>1</v>
      </c>
    </row>
    <row r="22" spans="1:10" x14ac:dyDescent="0.2">
      <c r="A22" s="18">
        <v>4834</v>
      </c>
      <c r="C22" s="18">
        <v>0</v>
      </c>
      <c r="E22" s="18">
        <v>0</v>
      </c>
      <c r="F22" s="18">
        <v>0</v>
      </c>
      <c r="G22" s="18">
        <v>0</v>
      </c>
      <c r="H22" s="18">
        <v>0</v>
      </c>
      <c r="I22" s="18">
        <v>0</v>
      </c>
      <c r="J22">
        <v>0</v>
      </c>
    </row>
    <row r="23" spans="1:10" x14ac:dyDescent="0.2">
      <c r="A23" s="18">
        <v>4849</v>
      </c>
      <c r="C23" s="18">
        <v>0</v>
      </c>
      <c r="E23" s="18">
        <v>0</v>
      </c>
      <c r="F23" s="18">
        <v>0</v>
      </c>
      <c r="G23" s="18">
        <v>0</v>
      </c>
      <c r="H23" s="18">
        <v>0</v>
      </c>
      <c r="I23" s="18">
        <v>0</v>
      </c>
      <c r="J23">
        <v>0</v>
      </c>
    </row>
    <row r="24" spans="1:10" x14ac:dyDescent="0.2">
      <c r="A24" s="18">
        <v>4850</v>
      </c>
      <c r="J24">
        <v>0</v>
      </c>
    </row>
    <row r="25" spans="1:10" x14ac:dyDescent="0.2">
      <c r="A25" s="18">
        <v>4852</v>
      </c>
      <c r="B25" s="18">
        <v>0</v>
      </c>
      <c r="G25" s="18">
        <v>0</v>
      </c>
      <c r="J25">
        <v>0</v>
      </c>
    </row>
    <row r="26" spans="1:10" x14ac:dyDescent="0.2">
      <c r="A26" s="18">
        <v>4865</v>
      </c>
      <c r="C26" s="18">
        <v>0</v>
      </c>
      <c r="F26" s="18">
        <v>0</v>
      </c>
      <c r="G26" s="18">
        <v>0</v>
      </c>
      <c r="H26" s="18">
        <v>0</v>
      </c>
      <c r="I26" s="18">
        <v>0</v>
      </c>
      <c r="J26">
        <v>0</v>
      </c>
    </row>
    <row r="27" spans="1:10" x14ac:dyDescent="0.2">
      <c r="A27" s="18">
        <v>4943</v>
      </c>
      <c r="G27" s="18">
        <v>0</v>
      </c>
      <c r="J27">
        <v>0</v>
      </c>
    </row>
    <row r="28" spans="1:10" x14ac:dyDescent="0.2">
      <c r="A28" s="18">
        <v>4969</v>
      </c>
      <c r="C28" s="18">
        <v>0</v>
      </c>
      <c r="J28">
        <v>0</v>
      </c>
    </row>
    <row r="29" spans="1:10" x14ac:dyDescent="0.2">
      <c r="A29" s="18">
        <v>4972</v>
      </c>
      <c r="B29" s="18">
        <v>0</v>
      </c>
      <c r="C29" s="18">
        <v>0</v>
      </c>
      <c r="F29" s="18">
        <v>0</v>
      </c>
      <c r="G29" s="18">
        <v>0</v>
      </c>
      <c r="H29" s="18">
        <v>0</v>
      </c>
      <c r="J29">
        <v>0</v>
      </c>
    </row>
    <row r="30" spans="1:10" x14ac:dyDescent="0.2">
      <c r="A30" s="18">
        <v>4975</v>
      </c>
      <c r="B30" s="18">
        <v>0</v>
      </c>
      <c r="C30" s="18">
        <v>0</v>
      </c>
      <c r="F30" s="18">
        <v>0</v>
      </c>
      <c r="G30" s="18">
        <v>0</v>
      </c>
      <c r="H30" s="18">
        <v>0</v>
      </c>
      <c r="J30">
        <v>0</v>
      </c>
    </row>
    <row r="31" spans="1:10" x14ac:dyDescent="0.2">
      <c r="A31" s="18">
        <v>4991</v>
      </c>
      <c r="C31" s="18">
        <v>0</v>
      </c>
      <c r="F31" s="18">
        <v>0</v>
      </c>
      <c r="G31" s="18">
        <v>0</v>
      </c>
      <c r="H31" s="18">
        <v>0</v>
      </c>
      <c r="I31" s="18">
        <v>0</v>
      </c>
      <c r="J31">
        <v>0</v>
      </c>
    </row>
    <row r="32" spans="1:10" x14ac:dyDescent="0.2">
      <c r="A32" s="18">
        <v>5001</v>
      </c>
      <c r="G32" s="18">
        <v>0</v>
      </c>
      <c r="J32">
        <v>0</v>
      </c>
    </row>
    <row r="33" spans="1:10" x14ac:dyDescent="0.2">
      <c r="A33" s="18">
        <v>5013</v>
      </c>
      <c r="F33" s="18">
        <v>0</v>
      </c>
      <c r="J33">
        <v>0</v>
      </c>
    </row>
    <row r="34" spans="1:10" x14ac:dyDescent="0.2">
      <c r="A34" s="18">
        <v>5098</v>
      </c>
      <c r="F34" s="18">
        <v>0</v>
      </c>
      <c r="I34" s="18">
        <v>0</v>
      </c>
      <c r="J34">
        <v>0</v>
      </c>
    </row>
    <row r="35" spans="1:10" x14ac:dyDescent="0.2">
      <c r="A35" s="18">
        <v>5146</v>
      </c>
      <c r="B35" s="18">
        <v>0</v>
      </c>
      <c r="G35" s="18">
        <v>0</v>
      </c>
      <c r="J35">
        <v>0</v>
      </c>
    </row>
    <row r="36" spans="1:10" x14ac:dyDescent="0.2">
      <c r="A36" s="18">
        <v>5160</v>
      </c>
      <c r="C36" s="18">
        <v>0</v>
      </c>
      <c r="E36" s="18">
        <v>0</v>
      </c>
      <c r="F36" s="18">
        <v>0</v>
      </c>
      <c r="G36" s="18">
        <v>0</v>
      </c>
      <c r="H36" s="18">
        <v>0</v>
      </c>
      <c r="J36">
        <v>0</v>
      </c>
    </row>
    <row r="37" spans="1:10" x14ac:dyDescent="0.2">
      <c r="A37" s="18">
        <v>5163</v>
      </c>
      <c r="H37" s="18">
        <v>2</v>
      </c>
      <c r="J37">
        <v>2</v>
      </c>
    </row>
    <row r="38" spans="1:10" x14ac:dyDescent="0.2">
      <c r="A38" s="18">
        <v>5165</v>
      </c>
      <c r="F38" s="18">
        <v>0</v>
      </c>
      <c r="J38">
        <v>0</v>
      </c>
    </row>
    <row r="39" spans="1:10" x14ac:dyDescent="0.2">
      <c r="A39" s="18">
        <v>5177</v>
      </c>
      <c r="C39" s="18">
        <v>0</v>
      </c>
      <c r="E39" s="18">
        <v>0</v>
      </c>
      <c r="G39" s="18">
        <v>0</v>
      </c>
      <c r="H39" s="18">
        <v>0</v>
      </c>
      <c r="I39" s="18">
        <v>0</v>
      </c>
      <c r="J39">
        <v>0</v>
      </c>
    </row>
    <row r="40" spans="1:10" x14ac:dyDescent="0.2">
      <c r="A40" s="18">
        <v>5198</v>
      </c>
      <c r="C40" s="18">
        <v>0</v>
      </c>
      <c r="F40" s="18">
        <v>0</v>
      </c>
      <c r="G40" s="18">
        <v>0</v>
      </c>
      <c r="H40" s="18">
        <v>0</v>
      </c>
      <c r="J40">
        <v>0</v>
      </c>
    </row>
    <row r="41" spans="1:10" x14ac:dyDescent="0.2">
      <c r="A41" s="18">
        <v>5210</v>
      </c>
      <c r="G41" s="18">
        <v>0</v>
      </c>
      <c r="J41">
        <v>0</v>
      </c>
    </row>
    <row r="42" spans="1:10" x14ac:dyDescent="0.2">
      <c r="A42" s="18">
        <v>5221</v>
      </c>
      <c r="B42" s="18">
        <v>0</v>
      </c>
      <c r="E42" s="18">
        <v>0</v>
      </c>
      <c r="F42" s="18">
        <v>0</v>
      </c>
      <c r="G42" s="18">
        <v>0</v>
      </c>
      <c r="H42" s="18">
        <v>0</v>
      </c>
      <c r="J42">
        <v>0</v>
      </c>
    </row>
    <row r="43" spans="1:10" x14ac:dyDescent="0.2">
      <c r="A43" s="18">
        <v>5247</v>
      </c>
      <c r="B43" s="18">
        <v>0</v>
      </c>
      <c r="F43" s="18">
        <v>0</v>
      </c>
      <c r="J43">
        <v>0</v>
      </c>
    </row>
    <row r="44" spans="1:10" x14ac:dyDescent="0.2">
      <c r="A44" s="18">
        <v>5249</v>
      </c>
      <c r="C44" s="18">
        <v>0</v>
      </c>
      <c r="E44" s="18">
        <v>0</v>
      </c>
      <c r="F44" s="18">
        <v>0</v>
      </c>
      <c r="G44" s="18">
        <v>0</v>
      </c>
      <c r="H44" s="18">
        <v>0</v>
      </c>
      <c r="I44" s="18">
        <v>0</v>
      </c>
      <c r="J44">
        <v>0</v>
      </c>
    </row>
    <row r="45" spans="1:10" x14ac:dyDescent="0.2">
      <c r="A45" s="18">
        <v>5258</v>
      </c>
      <c r="C45" s="18">
        <v>0</v>
      </c>
      <c r="E45" s="18">
        <v>0</v>
      </c>
      <c r="F45" s="18">
        <v>0</v>
      </c>
      <c r="G45" s="18">
        <v>0</v>
      </c>
      <c r="H45" s="18">
        <v>0</v>
      </c>
      <c r="I45" s="18">
        <v>0</v>
      </c>
      <c r="J45">
        <v>0</v>
      </c>
    </row>
    <row r="46" spans="1:10" x14ac:dyDescent="0.2">
      <c r="A46" s="18">
        <v>5259</v>
      </c>
      <c r="C46" s="18">
        <v>0</v>
      </c>
      <c r="G46" s="18">
        <v>0</v>
      </c>
      <c r="J46">
        <v>0</v>
      </c>
    </row>
    <row r="47" spans="1:10" x14ac:dyDescent="0.2">
      <c r="A47" s="18">
        <v>5277</v>
      </c>
      <c r="I47" s="18">
        <v>0</v>
      </c>
      <c r="J47">
        <v>0</v>
      </c>
    </row>
    <row r="48" spans="1:10" x14ac:dyDescent="0.2">
      <c r="A48" s="18">
        <v>5278</v>
      </c>
      <c r="C48" s="18">
        <v>0</v>
      </c>
      <c r="E48" s="18">
        <v>0</v>
      </c>
      <c r="F48" s="18">
        <v>0</v>
      </c>
      <c r="G48" s="18">
        <v>0</v>
      </c>
      <c r="I48" s="18">
        <v>0</v>
      </c>
      <c r="J48">
        <v>0</v>
      </c>
    </row>
    <row r="49" spans="1:10" x14ac:dyDescent="0.2">
      <c r="A49" s="18">
        <v>5280</v>
      </c>
      <c r="C49" s="18">
        <v>0</v>
      </c>
      <c r="E49" s="18">
        <v>0</v>
      </c>
      <c r="F49" s="18">
        <v>0</v>
      </c>
      <c r="G49" s="18">
        <v>0</v>
      </c>
      <c r="H49" s="18">
        <v>0</v>
      </c>
      <c r="I49" s="18">
        <v>0</v>
      </c>
      <c r="J49">
        <v>0</v>
      </c>
    </row>
    <row r="50" spans="1:10" x14ac:dyDescent="0.2">
      <c r="A50" s="18">
        <v>5283</v>
      </c>
      <c r="C50" s="18">
        <v>0</v>
      </c>
      <c r="F50" s="18">
        <v>0</v>
      </c>
      <c r="G50" s="18">
        <v>0</v>
      </c>
      <c r="H50" s="18">
        <v>0</v>
      </c>
      <c r="I50" s="18">
        <v>0</v>
      </c>
      <c r="J50">
        <v>0</v>
      </c>
    </row>
    <row r="51" spans="1:10" x14ac:dyDescent="0.2">
      <c r="A51" s="18">
        <v>5286</v>
      </c>
      <c r="B51" s="18">
        <v>0</v>
      </c>
      <c r="C51" s="18">
        <v>0</v>
      </c>
      <c r="J51">
        <v>0</v>
      </c>
    </row>
    <row r="52" spans="1:10" x14ac:dyDescent="0.2">
      <c r="A52" s="18">
        <v>5290</v>
      </c>
      <c r="F52" s="18">
        <v>0</v>
      </c>
      <c r="I52" s="18">
        <v>0</v>
      </c>
      <c r="J52">
        <v>0</v>
      </c>
    </row>
    <row r="53" spans="1:10" x14ac:dyDescent="0.2">
      <c r="A53" s="18">
        <v>5333</v>
      </c>
      <c r="F53" s="18">
        <v>0</v>
      </c>
      <c r="G53" s="18">
        <v>0</v>
      </c>
      <c r="J53">
        <v>0</v>
      </c>
    </row>
    <row r="54" spans="1:10" x14ac:dyDescent="0.2">
      <c r="A54" s="18">
        <v>5337</v>
      </c>
      <c r="F54" s="18">
        <v>0</v>
      </c>
      <c r="J54">
        <v>0</v>
      </c>
    </row>
    <row r="55" spans="1:10" x14ac:dyDescent="0.2">
      <c r="A55" s="18">
        <v>5338</v>
      </c>
      <c r="C55" s="18">
        <v>0</v>
      </c>
      <c r="F55" s="18">
        <v>0</v>
      </c>
      <c r="G55" s="18">
        <v>0</v>
      </c>
      <c r="J55">
        <v>0</v>
      </c>
    </row>
    <row r="56" spans="1:10" x14ac:dyDescent="0.2">
      <c r="A56" s="18">
        <v>5361</v>
      </c>
      <c r="C56" s="18">
        <v>0</v>
      </c>
      <c r="F56" s="18">
        <v>0</v>
      </c>
      <c r="J56">
        <v>0</v>
      </c>
    </row>
    <row r="57" spans="1:10" x14ac:dyDescent="0.2">
      <c r="A57" s="18">
        <v>5370</v>
      </c>
      <c r="F57" s="18">
        <v>0</v>
      </c>
      <c r="J57">
        <v>0</v>
      </c>
    </row>
    <row r="58" spans="1:10" x14ac:dyDescent="0.2">
      <c r="A58" s="18">
        <v>5390</v>
      </c>
      <c r="F58" s="18">
        <v>0</v>
      </c>
      <c r="G58" s="18">
        <v>0</v>
      </c>
      <c r="H58" s="18">
        <v>0</v>
      </c>
      <c r="J58">
        <v>0</v>
      </c>
    </row>
    <row r="59" spans="1:10" x14ac:dyDescent="0.2">
      <c r="A59" s="18">
        <v>5391</v>
      </c>
      <c r="F59" s="18">
        <v>0</v>
      </c>
      <c r="J59">
        <v>0</v>
      </c>
    </row>
    <row r="60" spans="1:10" x14ac:dyDescent="0.2">
      <c r="A60" s="18">
        <v>5394</v>
      </c>
      <c r="G60" s="18">
        <v>0</v>
      </c>
      <c r="J60">
        <v>0</v>
      </c>
    </row>
    <row r="61" spans="1:10" x14ac:dyDescent="0.2">
      <c r="A61" s="18">
        <v>5397</v>
      </c>
      <c r="C61" s="18">
        <v>0</v>
      </c>
      <c r="J61">
        <v>0</v>
      </c>
    </row>
    <row r="62" spans="1:10" x14ac:dyDescent="0.2">
      <c r="A62" s="18">
        <v>5398</v>
      </c>
      <c r="C62" s="18">
        <v>0</v>
      </c>
      <c r="F62" s="18">
        <v>0</v>
      </c>
      <c r="G62" s="18">
        <v>0</v>
      </c>
      <c r="H62" s="18">
        <v>0</v>
      </c>
      <c r="J62">
        <v>0</v>
      </c>
    </row>
    <row r="63" spans="1:10" x14ac:dyDescent="0.2">
      <c r="A63" s="18">
        <v>5405</v>
      </c>
      <c r="C63" s="18">
        <v>0</v>
      </c>
      <c r="G63" s="18">
        <v>0</v>
      </c>
      <c r="J63">
        <v>0</v>
      </c>
    </row>
    <row r="64" spans="1:10" x14ac:dyDescent="0.2">
      <c r="A64" s="18">
        <v>5412</v>
      </c>
      <c r="B64" s="18">
        <v>0</v>
      </c>
      <c r="C64" s="18">
        <v>0</v>
      </c>
      <c r="D64" s="18">
        <v>0</v>
      </c>
      <c r="E64" s="18">
        <v>0</v>
      </c>
      <c r="F64" s="18">
        <v>0</v>
      </c>
      <c r="G64" s="18">
        <v>0</v>
      </c>
      <c r="H64" s="18">
        <v>0</v>
      </c>
      <c r="J64">
        <v>0</v>
      </c>
    </row>
    <row r="65" spans="1:10" x14ac:dyDescent="0.2">
      <c r="A65" s="18">
        <v>5424</v>
      </c>
      <c r="F65" s="18">
        <v>0</v>
      </c>
      <c r="G65" s="18">
        <v>0</v>
      </c>
      <c r="J65">
        <v>0</v>
      </c>
    </row>
    <row r="66" spans="1:10" x14ac:dyDescent="0.2">
      <c r="A66" s="18">
        <v>5427</v>
      </c>
      <c r="C66" s="18">
        <v>0</v>
      </c>
      <c r="J66">
        <v>0</v>
      </c>
    </row>
    <row r="67" spans="1:10" x14ac:dyDescent="0.2">
      <c r="A67" s="18">
        <v>5428</v>
      </c>
      <c r="C67" s="18">
        <v>0</v>
      </c>
      <c r="E67" s="18">
        <v>0</v>
      </c>
      <c r="F67" s="18">
        <v>0</v>
      </c>
      <c r="G67" s="18">
        <v>0</v>
      </c>
      <c r="H67" s="18">
        <v>0</v>
      </c>
      <c r="I67" s="18">
        <v>0</v>
      </c>
      <c r="J67">
        <v>0</v>
      </c>
    </row>
    <row r="68" spans="1:10" x14ac:dyDescent="0.2">
      <c r="A68" s="18">
        <v>5430</v>
      </c>
      <c r="F68" s="18">
        <v>0</v>
      </c>
      <c r="I68" s="18">
        <v>0</v>
      </c>
      <c r="J68">
        <v>0</v>
      </c>
    </row>
    <row r="69" spans="1:10" x14ac:dyDescent="0.2">
      <c r="A69" s="18">
        <v>5432</v>
      </c>
      <c r="F69" s="18">
        <v>0</v>
      </c>
      <c r="G69" s="18">
        <v>0</v>
      </c>
      <c r="J69">
        <v>0</v>
      </c>
    </row>
    <row r="70" spans="1:10" x14ac:dyDescent="0.2">
      <c r="A70" s="18">
        <v>5437</v>
      </c>
      <c r="C70" s="18">
        <v>0</v>
      </c>
      <c r="E70" s="18">
        <v>0</v>
      </c>
      <c r="F70" s="18">
        <v>0</v>
      </c>
      <c r="G70" s="18">
        <v>0</v>
      </c>
      <c r="H70" s="18">
        <v>0</v>
      </c>
      <c r="I70" s="18">
        <v>0</v>
      </c>
      <c r="J70">
        <v>0</v>
      </c>
    </row>
    <row r="71" spans="1:10" x14ac:dyDescent="0.2">
      <c r="A71" s="18">
        <v>5442</v>
      </c>
      <c r="B71" s="18">
        <v>0</v>
      </c>
      <c r="G71" s="18">
        <v>0</v>
      </c>
      <c r="J71">
        <v>0</v>
      </c>
    </row>
    <row r="72" spans="1:10" x14ac:dyDescent="0.2">
      <c r="A72" s="18">
        <v>5445</v>
      </c>
      <c r="H72" s="18">
        <v>0</v>
      </c>
      <c r="J72">
        <v>0</v>
      </c>
    </row>
    <row r="73" spans="1:10" x14ac:dyDescent="0.2">
      <c r="A73" s="18">
        <v>5456</v>
      </c>
      <c r="C73" s="18">
        <v>0</v>
      </c>
      <c r="E73" s="18">
        <v>0</v>
      </c>
      <c r="F73" s="18">
        <v>0</v>
      </c>
      <c r="G73" s="18">
        <v>0</v>
      </c>
      <c r="H73" s="18">
        <v>0</v>
      </c>
      <c r="I73" s="18">
        <v>0</v>
      </c>
      <c r="J73">
        <v>0</v>
      </c>
    </row>
    <row r="74" spans="1:10" x14ac:dyDescent="0.2">
      <c r="A74" s="18">
        <v>5457</v>
      </c>
      <c r="C74" s="18">
        <v>0</v>
      </c>
      <c r="F74" s="18">
        <v>0</v>
      </c>
      <c r="H74" s="18">
        <v>0</v>
      </c>
      <c r="J74">
        <v>0</v>
      </c>
    </row>
    <row r="75" spans="1:10" x14ac:dyDescent="0.2">
      <c r="A75" s="18">
        <v>5458</v>
      </c>
      <c r="E75" s="18">
        <v>0</v>
      </c>
      <c r="F75" s="18">
        <v>0</v>
      </c>
      <c r="G75" s="18">
        <v>0</v>
      </c>
      <c r="H75" s="18">
        <v>0</v>
      </c>
      <c r="J75">
        <v>0</v>
      </c>
    </row>
    <row r="76" spans="1:10" x14ac:dyDescent="0.2">
      <c r="A76" s="18">
        <v>9051</v>
      </c>
      <c r="C76" s="18">
        <v>0</v>
      </c>
      <c r="J76">
        <v>0</v>
      </c>
    </row>
    <row r="77" spans="1:10" x14ac:dyDescent="0.2">
      <c r="A77" s="18">
        <v>9126</v>
      </c>
      <c r="G77" s="18">
        <v>0</v>
      </c>
      <c r="J77">
        <v>0</v>
      </c>
    </row>
    <row r="78" spans="1:10" x14ac:dyDescent="0.2">
      <c r="A78" s="18">
        <v>9132</v>
      </c>
      <c r="G78" s="18">
        <v>0</v>
      </c>
      <c r="J78">
        <v>0</v>
      </c>
    </row>
    <row r="79" spans="1:10" x14ac:dyDescent="0.2">
      <c r="A79" s="18">
        <v>9205</v>
      </c>
      <c r="H79" s="18">
        <v>0</v>
      </c>
      <c r="J79">
        <v>0</v>
      </c>
    </row>
    <row r="80" spans="1:10" x14ac:dyDescent="0.2">
      <c r="A80" s="18">
        <v>9250</v>
      </c>
      <c r="C80" s="18">
        <v>0</v>
      </c>
      <c r="G80" s="18">
        <v>0</v>
      </c>
      <c r="J80">
        <v>0</v>
      </c>
    </row>
    <row r="81" spans="1:10" x14ac:dyDescent="0.2">
      <c r="A81" s="18" t="s">
        <v>112</v>
      </c>
      <c r="G81" s="18">
        <v>24</v>
      </c>
      <c r="J81">
        <v>24</v>
      </c>
    </row>
    <row r="82" spans="1:10" x14ac:dyDescent="0.2">
      <c r="A82" s="18" t="s">
        <v>362</v>
      </c>
      <c r="C82" s="18">
        <v>0</v>
      </c>
      <c r="F82" s="18">
        <v>0</v>
      </c>
      <c r="G82" s="18">
        <v>0</v>
      </c>
      <c r="H82" s="18">
        <v>0</v>
      </c>
      <c r="J82">
        <v>0</v>
      </c>
    </row>
    <row r="83" spans="1:10" x14ac:dyDescent="0.2">
      <c r="A83" s="18" t="s">
        <v>363</v>
      </c>
      <c r="C83" s="18">
        <v>0</v>
      </c>
      <c r="E83" s="18">
        <v>0</v>
      </c>
      <c r="G83" s="18">
        <v>0</v>
      </c>
      <c r="J83">
        <v>0</v>
      </c>
    </row>
    <row r="84" spans="1:10" x14ac:dyDescent="0.2">
      <c r="A84" s="18" t="s">
        <v>364</v>
      </c>
      <c r="C84" s="18">
        <v>0</v>
      </c>
      <c r="E84" s="18">
        <v>0</v>
      </c>
      <c r="F84" s="18">
        <v>0</v>
      </c>
      <c r="H84" s="18">
        <v>0</v>
      </c>
      <c r="J84">
        <v>0</v>
      </c>
    </row>
    <row r="85" spans="1:10" x14ac:dyDescent="0.2">
      <c r="A85" s="18" t="s">
        <v>365</v>
      </c>
      <c r="C85" s="18">
        <v>0</v>
      </c>
      <c r="F85" s="18">
        <v>0</v>
      </c>
      <c r="G85" s="18">
        <v>0</v>
      </c>
      <c r="J85">
        <v>0</v>
      </c>
    </row>
    <row r="86" spans="1:10" x14ac:dyDescent="0.2">
      <c r="A86" s="18" t="s">
        <v>382</v>
      </c>
      <c r="C86" s="18">
        <v>0</v>
      </c>
      <c r="E86" s="18">
        <v>0</v>
      </c>
      <c r="F86" s="18">
        <v>0</v>
      </c>
      <c r="G86" s="18">
        <v>0</v>
      </c>
      <c r="I86" s="18">
        <v>0</v>
      </c>
      <c r="J86">
        <v>0</v>
      </c>
    </row>
    <row r="87" spans="1:10" x14ac:dyDescent="0.2">
      <c r="A87" s="18" t="s">
        <v>43</v>
      </c>
      <c r="J87">
        <v>0</v>
      </c>
    </row>
    <row r="88" spans="1:10" x14ac:dyDescent="0.2">
      <c r="A88" s="18">
        <v>5463</v>
      </c>
      <c r="C88" s="18">
        <v>1</v>
      </c>
      <c r="E88" s="18">
        <v>1</v>
      </c>
      <c r="F88" s="18">
        <v>1</v>
      </c>
      <c r="G88" s="18">
        <v>8</v>
      </c>
      <c r="H88" s="18">
        <v>2</v>
      </c>
      <c r="I88" s="18">
        <v>1</v>
      </c>
      <c r="J88">
        <v>14</v>
      </c>
    </row>
    <row r="89" spans="1:10" x14ac:dyDescent="0.2">
      <c r="A89" s="18">
        <v>5475</v>
      </c>
      <c r="H89" s="18">
        <v>0</v>
      </c>
      <c r="J89">
        <v>0</v>
      </c>
    </row>
    <row r="90" spans="1:10" x14ac:dyDescent="0.2">
      <c r="A90" s="18">
        <v>5478</v>
      </c>
      <c r="G90" s="18">
        <v>0</v>
      </c>
      <c r="J90">
        <v>0</v>
      </c>
    </row>
    <row r="91" spans="1:10" x14ac:dyDescent="0.2">
      <c r="A91" s="18">
        <v>5114</v>
      </c>
      <c r="F91" s="18">
        <v>0</v>
      </c>
      <c r="I91" s="18">
        <v>0</v>
      </c>
      <c r="J91">
        <v>0</v>
      </c>
    </row>
    <row r="92" spans="1:10" x14ac:dyDescent="0.2">
      <c r="A92" s="18">
        <v>5489</v>
      </c>
      <c r="C92" s="18">
        <v>0</v>
      </c>
      <c r="E92" s="18">
        <v>0</v>
      </c>
      <c r="F92" s="18">
        <v>0</v>
      </c>
      <c r="G92" s="18">
        <v>0</v>
      </c>
      <c r="H92" s="18">
        <v>0</v>
      </c>
      <c r="I92" s="18">
        <v>0</v>
      </c>
      <c r="J92">
        <v>0</v>
      </c>
    </row>
    <row r="93" spans="1:10" x14ac:dyDescent="0.2">
      <c r="A93" s="18">
        <v>5488</v>
      </c>
      <c r="C93" s="18">
        <v>0</v>
      </c>
      <c r="E93" s="18">
        <v>0</v>
      </c>
      <c r="F93" s="18">
        <v>0</v>
      </c>
      <c r="G93" s="18">
        <v>0</v>
      </c>
      <c r="H93" s="18">
        <v>0</v>
      </c>
      <c r="I93" s="18">
        <v>0</v>
      </c>
      <c r="J93">
        <v>0</v>
      </c>
    </row>
    <row r="94" spans="1:10" x14ac:dyDescent="0.2">
      <c r="A94" s="18">
        <v>5491</v>
      </c>
      <c r="F94" s="18">
        <v>0</v>
      </c>
      <c r="J94">
        <v>0</v>
      </c>
    </row>
    <row r="95" spans="1:10" x14ac:dyDescent="0.2">
      <c r="A95" s="18">
        <v>5495</v>
      </c>
      <c r="D95" s="18">
        <v>0</v>
      </c>
      <c r="J95">
        <v>0</v>
      </c>
    </row>
    <row r="96" spans="1:10" x14ac:dyDescent="0.2">
      <c r="A96" s="18">
        <v>5449</v>
      </c>
      <c r="C96" s="18">
        <v>0</v>
      </c>
      <c r="J96">
        <v>0</v>
      </c>
    </row>
    <row r="97" spans="1:10" x14ac:dyDescent="0.2">
      <c r="A97" s="18">
        <v>5507</v>
      </c>
      <c r="F97" s="18">
        <v>0</v>
      </c>
      <c r="J97">
        <v>0</v>
      </c>
    </row>
    <row r="98" spans="1:10" x14ac:dyDescent="0.2">
      <c r="A98" s="18">
        <v>5524</v>
      </c>
      <c r="C98" s="18">
        <v>0</v>
      </c>
      <c r="E98" s="18">
        <v>0</v>
      </c>
      <c r="G98" s="18">
        <v>0</v>
      </c>
      <c r="I98" s="18">
        <v>0</v>
      </c>
      <c r="J98">
        <v>0</v>
      </c>
    </row>
    <row r="99" spans="1:10" x14ac:dyDescent="0.2">
      <c r="A99" s="18">
        <v>5534</v>
      </c>
      <c r="B99" s="18">
        <v>0</v>
      </c>
      <c r="E99" s="18">
        <v>0</v>
      </c>
      <c r="F99" s="18">
        <v>0</v>
      </c>
      <c r="G99" s="18">
        <v>0</v>
      </c>
      <c r="J99">
        <v>0</v>
      </c>
    </row>
    <row r="100" spans="1:10" x14ac:dyDescent="0.2">
      <c r="A100" s="18">
        <v>5539</v>
      </c>
      <c r="C100" s="18">
        <v>0</v>
      </c>
      <c r="E100" s="18">
        <v>0</v>
      </c>
      <c r="F100" s="18">
        <v>0</v>
      </c>
      <c r="G100" s="18">
        <v>0</v>
      </c>
      <c r="H100" s="18">
        <v>0</v>
      </c>
      <c r="I100" s="18">
        <v>0</v>
      </c>
      <c r="J100">
        <v>0</v>
      </c>
    </row>
    <row r="101" spans="1:10" x14ac:dyDescent="0.2">
      <c r="A101" s="18">
        <v>5543</v>
      </c>
      <c r="C101" s="18">
        <v>0</v>
      </c>
      <c r="F101" s="18">
        <v>0</v>
      </c>
      <c r="H101" s="18">
        <v>0</v>
      </c>
      <c r="J101">
        <v>0</v>
      </c>
    </row>
    <row r="102" spans="1:10" x14ac:dyDescent="0.2">
      <c r="A102" s="18">
        <v>5547</v>
      </c>
      <c r="C102" s="18">
        <v>0</v>
      </c>
      <c r="E102" s="18">
        <v>0</v>
      </c>
      <c r="F102" s="18">
        <v>0</v>
      </c>
      <c r="G102" s="18">
        <v>0</v>
      </c>
      <c r="H102" s="18">
        <v>0</v>
      </c>
      <c r="J102">
        <v>0</v>
      </c>
    </row>
    <row r="103" spans="1:10" x14ac:dyDescent="0.2">
      <c r="A103" s="18">
        <v>5546</v>
      </c>
      <c r="F103" s="18">
        <v>0</v>
      </c>
      <c r="J103">
        <v>0</v>
      </c>
    </row>
    <row r="104" spans="1:10" x14ac:dyDescent="0.2">
      <c r="A104" s="18">
        <v>5509</v>
      </c>
      <c r="C104" s="18">
        <v>0</v>
      </c>
      <c r="E104" s="18">
        <v>0</v>
      </c>
      <c r="F104" s="18">
        <v>0</v>
      </c>
      <c r="G104" s="18">
        <v>0</v>
      </c>
      <c r="H104" s="18">
        <v>0</v>
      </c>
      <c r="I104" s="18">
        <v>0</v>
      </c>
      <c r="J104">
        <v>0</v>
      </c>
    </row>
    <row r="105" spans="1:10" x14ac:dyDescent="0.2">
      <c r="A105" s="18">
        <v>5565</v>
      </c>
      <c r="G105" s="18">
        <v>0</v>
      </c>
      <c r="J105">
        <v>0</v>
      </c>
    </row>
    <row r="106" spans="1:10" x14ac:dyDescent="0.2">
      <c r="A106" s="18">
        <v>5570</v>
      </c>
      <c r="C106" s="18">
        <v>0</v>
      </c>
      <c r="E106" s="18">
        <v>0</v>
      </c>
      <c r="F106" s="18">
        <v>0</v>
      </c>
      <c r="J106">
        <v>0</v>
      </c>
    </row>
    <row r="107" spans="1:10" x14ac:dyDescent="0.2">
      <c r="A107" s="18">
        <v>5355</v>
      </c>
      <c r="H107" s="18">
        <v>0</v>
      </c>
      <c r="J107">
        <v>0</v>
      </c>
    </row>
    <row r="108" spans="1:10" x14ac:dyDescent="0.2">
      <c r="A108" s="18">
        <v>5578</v>
      </c>
      <c r="C108" s="18">
        <v>0</v>
      </c>
      <c r="E108" s="18">
        <v>0</v>
      </c>
      <c r="F108" s="18">
        <v>0</v>
      </c>
      <c r="G108" s="18">
        <v>0</v>
      </c>
      <c r="H108" s="18">
        <v>0</v>
      </c>
      <c r="I108" s="18">
        <v>0</v>
      </c>
      <c r="J108">
        <v>0</v>
      </c>
    </row>
    <row r="109" spans="1:10" x14ac:dyDescent="0.2">
      <c r="A109" s="18">
        <v>5576</v>
      </c>
      <c r="F109" s="18">
        <v>0</v>
      </c>
      <c r="I109" s="18">
        <v>0</v>
      </c>
      <c r="J109">
        <v>0</v>
      </c>
    </row>
    <row r="110" spans="1:10" x14ac:dyDescent="0.2">
      <c r="A110" s="18">
        <v>5581</v>
      </c>
      <c r="F110" s="18">
        <v>0</v>
      </c>
      <c r="J110">
        <v>0</v>
      </c>
    </row>
    <row r="111" spans="1:10" x14ac:dyDescent="0.2">
      <c r="A111" s="18">
        <v>5584</v>
      </c>
      <c r="F111" s="18">
        <v>0</v>
      </c>
      <c r="J111">
        <v>0</v>
      </c>
    </row>
    <row r="112" spans="1:10" x14ac:dyDescent="0.2">
      <c r="A112" s="18">
        <v>5585</v>
      </c>
      <c r="C112" s="18">
        <v>0</v>
      </c>
      <c r="G112" s="18">
        <v>0</v>
      </c>
      <c r="H112" s="18">
        <v>0</v>
      </c>
      <c r="J112">
        <v>0</v>
      </c>
    </row>
    <row r="113" spans="1:10" x14ac:dyDescent="0.2">
      <c r="A113" s="18">
        <v>5588</v>
      </c>
      <c r="C113" s="18">
        <v>0</v>
      </c>
      <c r="E113" s="18">
        <v>0</v>
      </c>
      <c r="F113" s="18">
        <v>0</v>
      </c>
      <c r="G113" s="18">
        <v>0</v>
      </c>
      <c r="I113" s="18">
        <v>0</v>
      </c>
      <c r="J113">
        <v>0</v>
      </c>
    </row>
    <row r="114" spans="1:10" x14ac:dyDescent="0.2">
      <c r="A114" s="18">
        <v>5508</v>
      </c>
      <c r="C114" s="18">
        <v>0</v>
      </c>
      <c r="E114" s="18">
        <v>0</v>
      </c>
      <c r="F114" s="18">
        <v>0</v>
      </c>
      <c r="G114" s="18">
        <v>0</v>
      </c>
      <c r="H114" s="18">
        <v>0</v>
      </c>
      <c r="I114" s="18">
        <v>0</v>
      </c>
      <c r="J114">
        <v>0</v>
      </c>
    </row>
    <row r="115" spans="1:10" x14ac:dyDescent="0.2">
      <c r="A115" s="18">
        <v>5589</v>
      </c>
      <c r="C115" s="18">
        <v>0</v>
      </c>
      <c r="G115" s="18">
        <v>0</v>
      </c>
      <c r="H115" s="18">
        <v>0</v>
      </c>
      <c r="J115">
        <v>0</v>
      </c>
    </row>
    <row r="116" spans="1:10" x14ac:dyDescent="0.2">
      <c r="A116" s="18">
        <v>5601</v>
      </c>
      <c r="C116" s="18">
        <v>0</v>
      </c>
      <c r="F116" s="18">
        <v>0</v>
      </c>
      <c r="G116" s="18">
        <v>0</v>
      </c>
      <c r="H116" s="18">
        <v>0</v>
      </c>
      <c r="J116">
        <v>0</v>
      </c>
    </row>
    <row r="117" spans="1:10" x14ac:dyDescent="0.2">
      <c r="A117" s="18">
        <v>5602</v>
      </c>
      <c r="C117" s="18">
        <v>0</v>
      </c>
      <c r="G117" s="18">
        <v>0</v>
      </c>
      <c r="H117" s="18">
        <v>0</v>
      </c>
      <c r="J117">
        <v>0</v>
      </c>
    </row>
    <row r="118" spans="1:10" x14ac:dyDescent="0.2">
      <c r="A118" s="18">
        <v>5608</v>
      </c>
      <c r="H118" s="18">
        <v>0</v>
      </c>
      <c r="J118">
        <v>0</v>
      </c>
    </row>
    <row r="119" spans="1:10" x14ac:dyDescent="0.2">
      <c r="A119" s="18">
        <v>5300</v>
      </c>
      <c r="F119" s="18">
        <v>1</v>
      </c>
      <c r="H119" s="18">
        <v>2</v>
      </c>
      <c r="J119">
        <v>3</v>
      </c>
    </row>
    <row r="120" spans="1:10" x14ac:dyDescent="0.2">
      <c r="A120" s="18">
        <v>5619</v>
      </c>
      <c r="F120" s="18">
        <v>0</v>
      </c>
      <c r="I120" s="18">
        <v>0</v>
      </c>
      <c r="J120">
        <v>0</v>
      </c>
    </row>
    <row r="121" spans="1:10" x14ac:dyDescent="0.2">
      <c r="A121" s="18">
        <v>5613</v>
      </c>
      <c r="F121" s="18">
        <v>0</v>
      </c>
      <c r="J121">
        <v>0</v>
      </c>
    </row>
    <row r="122" spans="1:10" x14ac:dyDescent="0.2">
      <c r="A122" s="18">
        <v>5621</v>
      </c>
      <c r="C122" s="18">
        <v>8</v>
      </c>
      <c r="G122" s="18">
        <v>189</v>
      </c>
      <c r="H122" s="18">
        <v>4</v>
      </c>
      <c r="J122">
        <v>201</v>
      </c>
    </row>
    <row r="123" spans="1:10" x14ac:dyDescent="0.2">
      <c r="A123" s="18">
        <v>5649</v>
      </c>
      <c r="G123" s="18">
        <v>1</v>
      </c>
      <c r="J123">
        <v>1</v>
      </c>
    </row>
    <row r="124" spans="1:10" x14ac:dyDescent="0.2">
      <c r="A124" s="18">
        <v>5536</v>
      </c>
      <c r="F124" s="18">
        <v>0</v>
      </c>
      <c r="J124">
        <v>0</v>
      </c>
    </row>
    <row r="125" spans="1:10" x14ac:dyDescent="0.2">
      <c r="A125" s="18">
        <v>5504</v>
      </c>
      <c r="F125" s="18">
        <v>0</v>
      </c>
      <c r="J125">
        <v>0</v>
      </c>
    </row>
    <row r="126" spans="1:10" x14ac:dyDescent="0.2">
      <c r="A126" s="18">
        <v>5661</v>
      </c>
      <c r="C126" s="18">
        <v>0</v>
      </c>
      <c r="J126">
        <v>0</v>
      </c>
    </row>
    <row r="127" spans="1:10" x14ac:dyDescent="0.2">
      <c r="A127" s="18">
        <v>5665</v>
      </c>
      <c r="B127" s="18">
        <v>0</v>
      </c>
      <c r="C127" s="18">
        <v>0</v>
      </c>
      <c r="F127" s="18">
        <v>0</v>
      </c>
      <c r="G127" s="18">
        <v>0</v>
      </c>
      <c r="J127">
        <v>0</v>
      </c>
    </row>
    <row r="128" spans="1:10" x14ac:dyDescent="0.2">
      <c r="A128" s="18">
        <v>5668</v>
      </c>
      <c r="F128" s="18">
        <v>0</v>
      </c>
      <c r="I128" s="18">
        <v>0</v>
      </c>
      <c r="J128">
        <v>0</v>
      </c>
    </row>
    <row r="129" spans="1:10" x14ac:dyDescent="0.2">
      <c r="A129" s="18">
        <v>5670</v>
      </c>
      <c r="C129" s="18">
        <v>0</v>
      </c>
      <c r="E129" s="18">
        <v>0</v>
      </c>
      <c r="F129" s="18">
        <v>0</v>
      </c>
      <c r="G129" s="18">
        <v>0</v>
      </c>
      <c r="H129" s="18">
        <v>0</v>
      </c>
      <c r="I129" s="18">
        <v>0</v>
      </c>
      <c r="J129">
        <v>0</v>
      </c>
    </row>
    <row r="130" spans="1:10" x14ac:dyDescent="0.2">
      <c r="A130" s="18">
        <v>5673</v>
      </c>
      <c r="C130" s="18">
        <v>0</v>
      </c>
      <c r="D130" s="18">
        <v>0</v>
      </c>
      <c r="E130" s="18">
        <v>0</v>
      </c>
      <c r="F130" s="18">
        <v>0</v>
      </c>
      <c r="G130" s="18">
        <v>0</v>
      </c>
      <c r="H130" s="18">
        <v>0</v>
      </c>
      <c r="I130" s="18">
        <v>0</v>
      </c>
      <c r="J130">
        <v>0</v>
      </c>
    </row>
    <row r="131" spans="1:10" x14ac:dyDescent="0.2">
      <c r="A131" s="18">
        <v>5677</v>
      </c>
      <c r="C131" s="18">
        <v>0</v>
      </c>
      <c r="F131" s="18">
        <v>0</v>
      </c>
      <c r="G131" s="18">
        <v>0</v>
      </c>
      <c r="H131" s="18">
        <v>0</v>
      </c>
      <c r="J131">
        <v>0</v>
      </c>
    </row>
    <row r="132" spans="1:10" x14ac:dyDescent="0.2">
      <c r="A132" s="18">
        <v>5678</v>
      </c>
      <c r="G132" s="18">
        <v>0</v>
      </c>
      <c r="J132">
        <v>0</v>
      </c>
    </row>
    <row r="133" spans="1:10" x14ac:dyDescent="0.2">
      <c r="A133" s="18">
        <v>5681</v>
      </c>
      <c r="F133" s="18">
        <v>0</v>
      </c>
      <c r="J133">
        <v>0</v>
      </c>
    </row>
    <row r="134" spans="1:10" x14ac:dyDescent="0.2">
      <c r="A134" s="18">
        <v>5683</v>
      </c>
      <c r="C134" s="18">
        <v>0</v>
      </c>
      <c r="G134" s="18">
        <v>0</v>
      </c>
      <c r="J134">
        <v>0</v>
      </c>
    </row>
    <row r="135" spans="1:10" x14ac:dyDescent="0.2">
      <c r="A135" s="18">
        <v>5699</v>
      </c>
      <c r="B135" s="18">
        <v>0</v>
      </c>
      <c r="C135" s="18">
        <v>0</v>
      </c>
      <c r="F135" s="18">
        <v>0</v>
      </c>
      <c r="G135" s="18">
        <v>0</v>
      </c>
      <c r="H135" s="18">
        <v>0</v>
      </c>
      <c r="J135">
        <v>0</v>
      </c>
    </row>
    <row r="136" spans="1:10" x14ac:dyDescent="0.2">
      <c r="A136" s="18">
        <v>5723</v>
      </c>
      <c r="F136" s="18">
        <v>0</v>
      </c>
      <c r="J136">
        <v>0</v>
      </c>
    </row>
    <row r="137" spans="1:10" x14ac:dyDescent="0.2">
      <c r="A137" s="18">
        <v>5721</v>
      </c>
      <c r="C137" s="18">
        <v>0</v>
      </c>
      <c r="J137">
        <v>0</v>
      </c>
    </row>
    <row r="138" spans="1:10" x14ac:dyDescent="0.2">
      <c r="A138" s="18">
        <v>5725</v>
      </c>
      <c r="B138" s="18">
        <v>0</v>
      </c>
      <c r="J138">
        <v>0</v>
      </c>
    </row>
    <row r="139" spans="1:10" x14ac:dyDescent="0.2">
      <c r="A139" s="18">
        <v>5697</v>
      </c>
      <c r="C139" s="18">
        <v>0</v>
      </c>
      <c r="F139" s="18">
        <v>0</v>
      </c>
      <c r="G139" s="18">
        <v>0</v>
      </c>
      <c r="J139">
        <v>0</v>
      </c>
    </row>
    <row r="140" spans="1:10" x14ac:dyDescent="0.2">
      <c r="A140" s="18">
        <v>5730</v>
      </c>
      <c r="C140" s="18">
        <v>0</v>
      </c>
      <c r="E140" s="18">
        <v>0</v>
      </c>
      <c r="F140" s="18">
        <v>0</v>
      </c>
      <c r="G140" s="18">
        <v>0</v>
      </c>
      <c r="H140" s="18">
        <v>0</v>
      </c>
      <c r="I140" s="18">
        <v>0</v>
      </c>
      <c r="J140">
        <v>0</v>
      </c>
    </row>
    <row r="141" spans="1:10" x14ac:dyDescent="0.2">
      <c r="A141" s="18">
        <v>5741</v>
      </c>
      <c r="C141" s="18">
        <v>0</v>
      </c>
      <c r="E141" s="18">
        <v>0</v>
      </c>
      <c r="F141" s="18">
        <v>0</v>
      </c>
      <c r="G141" s="18">
        <v>0</v>
      </c>
      <c r="H141" s="18">
        <v>0</v>
      </c>
      <c r="I141" s="18">
        <v>0</v>
      </c>
      <c r="J141">
        <v>0</v>
      </c>
    </row>
    <row r="142" spans="1:10" x14ac:dyDescent="0.2">
      <c r="A142" s="18">
        <v>5749</v>
      </c>
      <c r="G142" s="18">
        <v>0</v>
      </c>
      <c r="J142">
        <v>0</v>
      </c>
    </row>
    <row r="143" spans="1:10" x14ac:dyDescent="0.2">
      <c r="A143" s="18">
        <v>5751</v>
      </c>
      <c r="G143" s="18">
        <v>0</v>
      </c>
      <c r="J143">
        <v>0</v>
      </c>
    </row>
    <row r="144" spans="1:10" x14ac:dyDescent="0.2">
      <c r="A144" s="18">
        <v>5758</v>
      </c>
      <c r="F144" s="18">
        <v>0</v>
      </c>
      <c r="I144" s="18">
        <v>0</v>
      </c>
      <c r="J144">
        <v>0</v>
      </c>
    </row>
    <row r="145" spans="1:10" x14ac:dyDescent="0.2">
      <c r="A145" s="18">
        <v>5759</v>
      </c>
      <c r="C145" s="18">
        <v>0</v>
      </c>
      <c r="F145" s="18">
        <v>0</v>
      </c>
      <c r="H145" s="18">
        <v>0</v>
      </c>
      <c r="J145">
        <v>0</v>
      </c>
    </row>
    <row r="146" spans="1:10" x14ac:dyDescent="0.2">
      <c r="A146" s="18">
        <v>5757</v>
      </c>
      <c r="C146" s="18">
        <v>0</v>
      </c>
      <c r="H146" s="18">
        <v>0</v>
      </c>
      <c r="J146">
        <v>0</v>
      </c>
    </row>
    <row r="147" spans="1:10" x14ac:dyDescent="0.2">
      <c r="A147" s="18">
        <v>5492</v>
      </c>
      <c r="C147" s="18">
        <v>0</v>
      </c>
      <c r="J147">
        <v>0</v>
      </c>
    </row>
    <row r="148" spans="1:10" x14ac:dyDescent="0.2">
      <c r="A148" s="18">
        <v>5770</v>
      </c>
      <c r="F148" s="18">
        <v>0</v>
      </c>
      <c r="G148" s="18">
        <v>0</v>
      </c>
      <c r="J148">
        <v>0</v>
      </c>
    </row>
    <row r="149" spans="1:10" x14ac:dyDescent="0.2">
      <c r="A149" s="18">
        <v>5785</v>
      </c>
      <c r="C149" s="18">
        <v>0</v>
      </c>
      <c r="F149" s="18">
        <v>0</v>
      </c>
      <c r="G149" s="18">
        <v>0</v>
      </c>
      <c r="H149" s="18">
        <v>0</v>
      </c>
      <c r="J149">
        <v>0</v>
      </c>
    </row>
    <row r="150" spans="1:10" x14ac:dyDescent="0.2">
      <c r="A150" s="18">
        <v>5761</v>
      </c>
      <c r="C150" s="18">
        <v>0</v>
      </c>
      <c r="E150" s="18">
        <v>0</v>
      </c>
      <c r="F150" s="18">
        <v>0</v>
      </c>
      <c r="G150" s="18">
        <v>0</v>
      </c>
      <c r="H150" s="18">
        <v>0</v>
      </c>
      <c r="I150" s="18">
        <v>0</v>
      </c>
      <c r="J150">
        <v>0</v>
      </c>
    </row>
    <row r="151" spans="1:10" x14ac:dyDescent="0.2">
      <c r="A151" s="18">
        <v>5805</v>
      </c>
      <c r="C151" s="18">
        <v>0</v>
      </c>
      <c r="E151" s="18">
        <v>0</v>
      </c>
      <c r="F151" s="18">
        <v>0</v>
      </c>
      <c r="G151" s="18">
        <v>0</v>
      </c>
      <c r="H151" s="18">
        <v>0</v>
      </c>
      <c r="J151">
        <v>0</v>
      </c>
    </row>
    <row r="152" spans="1:10" x14ac:dyDescent="0.2">
      <c r="A152" s="18">
        <v>5803</v>
      </c>
      <c r="B152" s="18">
        <v>0</v>
      </c>
      <c r="C152" s="18">
        <v>0</v>
      </c>
      <c r="D152" s="18">
        <v>0</v>
      </c>
      <c r="F152" s="18">
        <v>0</v>
      </c>
      <c r="G152" s="18">
        <v>0</v>
      </c>
      <c r="H152" s="18">
        <v>0</v>
      </c>
      <c r="J152">
        <v>0</v>
      </c>
    </row>
    <row r="153" spans="1:10" x14ac:dyDescent="0.2">
      <c r="A153" s="18">
        <v>5804</v>
      </c>
      <c r="B153" s="18">
        <v>0</v>
      </c>
      <c r="C153" s="18">
        <v>0</v>
      </c>
      <c r="D153" s="18">
        <v>0</v>
      </c>
      <c r="G153" s="18">
        <v>0</v>
      </c>
      <c r="H153" s="18">
        <v>0</v>
      </c>
      <c r="J153">
        <v>0</v>
      </c>
    </row>
    <row r="154" spans="1:10" x14ac:dyDescent="0.2">
      <c r="A154" s="18">
        <v>5620</v>
      </c>
      <c r="C154" s="18">
        <v>0</v>
      </c>
      <c r="H154" s="18">
        <v>0</v>
      </c>
      <c r="J154">
        <v>0</v>
      </c>
    </row>
    <row r="155" spans="1:10" x14ac:dyDescent="0.2">
      <c r="A155" s="18">
        <v>5827</v>
      </c>
      <c r="F155" s="18">
        <v>0</v>
      </c>
      <c r="J155">
        <v>0</v>
      </c>
    </row>
    <row r="156" spans="1:10" x14ac:dyDescent="0.2">
      <c r="A156" s="18">
        <v>5836</v>
      </c>
      <c r="G156" s="18">
        <v>0</v>
      </c>
      <c r="J156">
        <v>0</v>
      </c>
    </row>
    <row r="157" spans="1:10" x14ac:dyDescent="0.2">
      <c r="A157" s="18">
        <v>5839</v>
      </c>
      <c r="C157" s="18">
        <v>0</v>
      </c>
      <c r="E157" s="18">
        <v>0</v>
      </c>
      <c r="F157" s="18">
        <v>0</v>
      </c>
      <c r="G157" s="18">
        <v>0</v>
      </c>
      <c r="H157" s="18">
        <v>0</v>
      </c>
      <c r="I157" s="18">
        <v>0</v>
      </c>
      <c r="J157">
        <v>0</v>
      </c>
    </row>
    <row r="158" spans="1:10" x14ac:dyDescent="0.2">
      <c r="A158" s="18">
        <v>5840</v>
      </c>
      <c r="B158" s="18">
        <v>0</v>
      </c>
      <c r="J158">
        <v>0</v>
      </c>
    </row>
    <row r="159" spans="1:10" x14ac:dyDescent="0.2">
      <c r="A159" s="18">
        <v>5406</v>
      </c>
      <c r="C159" s="18">
        <v>0</v>
      </c>
      <c r="H159" s="18">
        <v>0</v>
      </c>
      <c r="J159">
        <v>0</v>
      </c>
    </row>
    <row r="160" spans="1:10" x14ac:dyDescent="0.2">
      <c r="A160" s="18">
        <v>5842</v>
      </c>
      <c r="C160" s="18">
        <v>0</v>
      </c>
      <c r="J160">
        <v>0</v>
      </c>
    </row>
    <row r="161" spans="1:10" x14ac:dyDescent="0.2">
      <c r="A161" s="18">
        <v>5844</v>
      </c>
      <c r="F161" s="18">
        <v>0</v>
      </c>
      <c r="J161">
        <v>0</v>
      </c>
    </row>
    <row r="162" spans="1:10" x14ac:dyDescent="0.2">
      <c r="A162" s="18">
        <v>5845</v>
      </c>
      <c r="C162" s="18">
        <v>0</v>
      </c>
      <c r="E162" s="18">
        <v>0</v>
      </c>
      <c r="F162" s="18">
        <v>0</v>
      </c>
      <c r="G162" s="18">
        <v>0</v>
      </c>
      <c r="H162" s="18">
        <v>0</v>
      </c>
      <c r="I162" s="18">
        <v>0</v>
      </c>
      <c r="J162">
        <v>0</v>
      </c>
    </row>
    <row r="163" spans="1:10" x14ac:dyDescent="0.2">
      <c r="A163" s="18">
        <v>5887</v>
      </c>
      <c r="G163" s="18">
        <v>0</v>
      </c>
      <c r="J163">
        <v>0</v>
      </c>
    </row>
    <row r="164" spans="1:10" x14ac:dyDescent="0.2">
      <c r="A164" s="18">
        <v>5849</v>
      </c>
      <c r="C164" s="18">
        <v>0</v>
      </c>
      <c r="J164">
        <v>0</v>
      </c>
    </row>
    <row r="165" spans="1:10" x14ac:dyDescent="0.2">
      <c r="A165" s="18">
        <v>5890</v>
      </c>
      <c r="C165" s="18">
        <v>0</v>
      </c>
      <c r="F165" s="18">
        <v>0</v>
      </c>
      <c r="J165">
        <v>0</v>
      </c>
    </row>
    <row r="166" spans="1:10" x14ac:dyDescent="0.2">
      <c r="A166" s="18">
        <v>5911</v>
      </c>
      <c r="I166" s="18">
        <v>0</v>
      </c>
      <c r="J166">
        <v>0</v>
      </c>
    </row>
    <row r="167" spans="1:10" x14ac:dyDescent="0.2">
      <c r="A167" s="18">
        <v>5919</v>
      </c>
      <c r="C167" s="18">
        <v>0</v>
      </c>
      <c r="F167" s="18">
        <v>0</v>
      </c>
      <c r="G167" s="18">
        <v>0</v>
      </c>
      <c r="J167">
        <v>0</v>
      </c>
    </row>
    <row r="168" spans="1:10" x14ac:dyDescent="0.2">
      <c r="A168" s="18">
        <v>5921</v>
      </c>
      <c r="C168" s="18">
        <v>0</v>
      </c>
      <c r="F168" s="18">
        <v>0</v>
      </c>
      <c r="J168">
        <v>0</v>
      </c>
    </row>
    <row r="169" spans="1:10" x14ac:dyDescent="0.2">
      <c r="A169" s="18">
        <v>5933</v>
      </c>
      <c r="F169" s="18">
        <v>0</v>
      </c>
      <c r="I169" s="18">
        <v>0</v>
      </c>
      <c r="J169">
        <v>0</v>
      </c>
    </row>
    <row r="170" spans="1:10" x14ac:dyDescent="0.2">
      <c r="A170" s="18">
        <v>5936</v>
      </c>
      <c r="F170" s="18">
        <v>0</v>
      </c>
      <c r="I170" s="18">
        <v>0</v>
      </c>
      <c r="J170">
        <v>0</v>
      </c>
    </row>
    <row r="171" spans="1:10" x14ac:dyDescent="0.2">
      <c r="A171" s="18">
        <v>5939</v>
      </c>
      <c r="G171" s="18">
        <v>0</v>
      </c>
      <c r="J171">
        <v>0</v>
      </c>
    </row>
    <row r="172" spans="1:10" x14ac:dyDescent="0.2">
      <c r="A172" s="18">
        <v>5941</v>
      </c>
      <c r="G172" s="18">
        <v>0</v>
      </c>
      <c r="J172">
        <v>0</v>
      </c>
    </row>
    <row r="173" spans="1:10" x14ac:dyDescent="0.2">
      <c r="A173" s="18">
        <v>5942</v>
      </c>
      <c r="C173" s="18">
        <v>0</v>
      </c>
      <c r="J173">
        <v>0</v>
      </c>
    </row>
    <row r="174" spans="1:10" x14ac:dyDescent="0.2">
      <c r="A174" s="18">
        <v>5945</v>
      </c>
      <c r="C174" s="18">
        <v>2</v>
      </c>
      <c r="J174">
        <v>2</v>
      </c>
    </row>
    <row r="175" spans="1:10" x14ac:dyDescent="0.2">
      <c r="A175" s="18">
        <v>5912</v>
      </c>
      <c r="F175" s="18">
        <v>0</v>
      </c>
      <c r="H175" s="18">
        <v>0</v>
      </c>
      <c r="J175">
        <v>0</v>
      </c>
    </row>
    <row r="176" spans="1:10" x14ac:dyDescent="0.2">
      <c r="A176" s="18">
        <v>5998</v>
      </c>
      <c r="F176" s="18">
        <v>0</v>
      </c>
      <c r="J176">
        <v>0</v>
      </c>
    </row>
    <row r="177" spans="1:10" x14ac:dyDescent="0.2">
      <c r="A177" s="18">
        <v>5975</v>
      </c>
      <c r="C177" s="18">
        <v>0</v>
      </c>
      <c r="E177" s="18">
        <v>0</v>
      </c>
      <c r="F177" s="18">
        <v>0</v>
      </c>
      <c r="H177" s="18">
        <v>0</v>
      </c>
      <c r="J177">
        <v>0</v>
      </c>
    </row>
    <row r="178" spans="1:10" x14ac:dyDescent="0.2">
      <c r="A178" s="18">
        <v>6004</v>
      </c>
      <c r="C178" s="18">
        <v>0</v>
      </c>
      <c r="E178" s="18">
        <v>0</v>
      </c>
      <c r="J178">
        <v>0</v>
      </c>
    </row>
    <row r="179" spans="1:10" x14ac:dyDescent="0.2">
      <c r="A179" s="18">
        <v>5991</v>
      </c>
      <c r="G179" s="18">
        <v>0</v>
      </c>
      <c r="J179">
        <v>0</v>
      </c>
    </row>
    <row r="180" spans="1:10" x14ac:dyDescent="0.2">
      <c r="A180" s="18">
        <v>6016</v>
      </c>
      <c r="F180" s="18">
        <v>0</v>
      </c>
      <c r="H180" s="18">
        <v>0</v>
      </c>
      <c r="J180">
        <v>0</v>
      </c>
    </row>
    <row r="181" spans="1:10" x14ac:dyDescent="0.2">
      <c r="A181" s="18">
        <v>6025</v>
      </c>
      <c r="E181" s="18">
        <v>0</v>
      </c>
      <c r="F181" s="18">
        <v>0</v>
      </c>
      <c r="J181">
        <v>0</v>
      </c>
    </row>
    <row r="182" spans="1:10" x14ac:dyDescent="0.2">
      <c r="A182" s="18">
        <v>6026</v>
      </c>
      <c r="C182" s="18">
        <v>0</v>
      </c>
      <c r="J182">
        <v>0</v>
      </c>
    </row>
    <row r="183" spans="1:10" x14ac:dyDescent="0.2">
      <c r="A183" s="18">
        <v>6029</v>
      </c>
      <c r="F183" s="18">
        <v>0</v>
      </c>
      <c r="J183">
        <v>0</v>
      </c>
    </row>
    <row r="184" spans="1:10" x14ac:dyDescent="0.2">
      <c r="A184" s="18">
        <v>6024</v>
      </c>
      <c r="C184" s="18">
        <v>0</v>
      </c>
      <c r="J184">
        <v>0</v>
      </c>
    </row>
    <row r="185" spans="1:10" x14ac:dyDescent="0.2">
      <c r="A185" s="18">
        <v>6051</v>
      </c>
      <c r="H185" s="18">
        <v>0</v>
      </c>
      <c r="J185">
        <v>0</v>
      </c>
    </row>
    <row r="186" spans="1:10" x14ac:dyDescent="0.2">
      <c r="A186" s="18">
        <v>6020</v>
      </c>
      <c r="G186" s="18">
        <v>0</v>
      </c>
      <c r="J186">
        <v>0</v>
      </c>
    </row>
    <row r="187" spans="1:10" x14ac:dyDescent="0.2">
      <c r="A187" s="18">
        <v>6079</v>
      </c>
      <c r="C187" s="18">
        <v>0</v>
      </c>
      <c r="J187">
        <v>0</v>
      </c>
    </row>
    <row r="188" spans="1:10" x14ac:dyDescent="0.2">
      <c r="A188" s="18">
        <v>6078</v>
      </c>
      <c r="C188" s="18">
        <v>0</v>
      </c>
      <c r="F188" s="18">
        <v>0</v>
      </c>
      <c r="G188" s="18">
        <v>0</v>
      </c>
      <c r="J188">
        <v>0</v>
      </c>
    </row>
    <row r="189" spans="1:10" x14ac:dyDescent="0.2">
      <c r="A189" s="18">
        <v>6048</v>
      </c>
      <c r="F189" s="18">
        <v>0</v>
      </c>
      <c r="J189">
        <v>0</v>
      </c>
    </row>
    <row r="190" spans="1:10" x14ac:dyDescent="0.2">
      <c r="A190" s="18">
        <v>6087</v>
      </c>
      <c r="F190" s="18">
        <v>0</v>
      </c>
      <c r="I190" s="18">
        <v>0</v>
      </c>
      <c r="J190">
        <v>0</v>
      </c>
    </row>
    <row r="191" spans="1:10" x14ac:dyDescent="0.2">
      <c r="A191" s="18">
        <v>6091</v>
      </c>
      <c r="C191" s="18">
        <v>0</v>
      </c>
      <c r="E191" s="18">
        <v>0</v>
      </c>
      <c r="F191" s="18">
        <v>0</v>
      </c>
      <c r="G191" s="18">
        <v>0</v>
      </c>
      <c r="H191" s="18">
        <v>0</v>
      </c>
      <c r="I191" s="18">
        <v>0</v>
      </c>
      <c r="J191">
        <v>0</v>
      </c>
    </row>
    <row r="192" spans="1:10" x14ac:dyDescent="0.2">
      <c r="A192" s="18">
        <v>6092</v>
      </c>
      <c r="B192" s="18">
        <v>0</v>
      </c>
      <c r="F192" s="18">
        <v>0</v>
      </c>
      <c r="G192" s="18">
        <v>0</v>
      </c>
      <c r="J192">
        <v>0</v>
      </c>
    </row>
    <row r="193" spans="1:10" x14ac:dyDescent="0.2">
      <c r="A193" s="18">
        <v>6096</v>
      </c>
      <c r="C193" s="18">
        <v>0</v>
      </c>
      <c r="F193" s="18">
        <v>0</v>
      </c>
      <c r="J193">
        <v>0</v>
      </c>
    </row>
    <row r="194" spans="1:10" x14ac:dyDescent="0.2">
      <c r="A194" s="18">
        <v>6125</v>
      </c>
      <c r="F194" s="18">
        <v>0</v>
      </c>
      <c r="J194">
        <v>0</v>
      </c>
    </row>
    <row r="195" spans="1:10" x14ac:dyDescent="0.2">
      <c r="A195" s="18">
        <v>6134</v>
      </c>
      <c r="H195" s="18">
        <v>0</v>
      </c>
      <c r="J195">
        <v>0</v>
      </c>
    </row>
    <row r="196" spans="1:10" x14ac:dyDescent="0.2">
      <c r="A196" s="18">
        <v>6115</v>
      </c>
      <c r="C196" s="18">
        <v>0</v>
      </c>
      <c r="J196">
        <v>0</v>
      </c>
    </row>
    <row r="197" spans="1:10" x14ac:dyDescent="0.2">
      <c r="A197" s="18">
        <v>6136</v>
      </c>
      <c r="C197" s="18">
        <v>0</v>
      </c>
      <c r="F197" s="18">
        <v>0</v>
      </c>
      <c r="G197" s="18">
        <v>0</v>
      </c>
      <c r="H197" s="18">
        <v>0</v>
      </c>
      <c r="I197" s="18">
        <v>0</v>
      </c>
      <c r="J197">
        <v>0</v>
      </c>
    </row>
    <row r="198" spans="1:10" x14ac:dyDescent="0.2">
      <c r="A198" s="18">
        <v>6141</v>
      </c>
      <c r="F198" s="18">
        <v>0</v>
      </c>
      <c r="I198" s="18">
        <v>0</v>
      </c>
      <c r="J198">
        <v>0</v>
      </c>
    </row>
    <row r="199" spans="1:10" x14ac:dyDescent="0.2">
      <c r="A199" s="18">
        <v>6142</v>
      </c>
      <c r="F199" s="18">
        <v>0</v>
      </c>
      <c r="I199" s="18">
        <v>0</v>
      </c>
      <c r="J199">
        <v>0</v>
      </c>
    </row>
    <row r="200" spans="1:10" x14ac:dyDescent="0.2">
      <c r="A200" s="18">
        <v>6149</v>
      </c>
      <c r="C200" s="18">
        <v>0</v>
      </c>
      <c r="H200" s="18">
        <v>0</v>
      </c>
      <c r="J200">
        <v>0</v>
      </c>
    </row>
    <row r="201" spans="1:10" x14ac:dyDescent="0.2">
      <c r="A201" s="18">
        <v>6151</v>
      </c>
      <c r="H201" s="18">
        <v>0</v>
      </c>
      <c r="J201">
        <v>0</v>
      </c>
    </row>
    <row r="202" spans="1:10" x14ac:dyDescent="0.2">
      <c r="A202" s="18">
        <v>6155</v>
      </c>
      <c r="C202" s="18">
        <v>0</v>
      </c>
      <c r="D202" s="18">
        <v>0</v>
      </c>
      <c r="E202" s="18">
        <v>0</v>
      </c>
      <c r="F202" s="18">
        <v>0</v>
      </c>
      <c r="G202" s="18">
        <v>0</v>
      </c>
      <c r="H202" s="18">
        <v>0</v>
      </c>
      <c r="I202" s="18">
        <v>0</v>
      </c>
      <c r="J202">
        <v>0</v>
      </c>
    </row>
    <row r="203" spans="1:10" x14ac:dyDescent="0.2">
      <c r="A203" s="18">
        <v>6157</v>
      </c>
      <c r="B203" s="18">
        <v>0</v>
      </c>
      <c r="G203" s="18">
        <v>0</v>
      </c>
      <c r="I203" s="18">
        <v>0</v>
      </c>
      <c r="J203">
        <v>0</v>
      </c>
    </row>
    <row r="204" spans="1:10" x14ac:dyDescent="0.2">
      <c r="A204" s="18">
        <v>6162</v>
      </c>
      <c r="C204" s="18">
        <v>0</v>
      </c>
      <c r="E204" s="18">
        <v>0</v>
      </c>
      <c r="F204" s="18">
        <v>0</v>
      </c>
      <c r="G204" s="18">
        <v>0</v>
      </c>
      <c r="H204" s="18">
        <v>0</v>
      </c>
      <c r="I204" s="18">
        <v>0</v>
      </c>
      <c r="J204">
        <v>0</v>
      </c>
    </row>
    <row r="205" spans="1:10" x14ac:dyDescent="0.2">
      <c r="A205" s="18">
        <v>6164</v>
      </c>
      <c r="C205" s="18">
        <v>0</v>
      </c>
      <c r="E205" s="18">
        <v>0</v>
      </c>
      <c r="F205" s="18">
        <v>0</v>
      </c>
      <c r="G205" s="18">
        <v>0</v>
      </c>
      <c r="H205" s="18">
        <v>0</v>
      </c>
      <c r="I205" s="18">
        <v>0</v>
      </c>
      <c r="J205">
        <v>0</v>
      </c>
    </row>
    <row r="206" spans="1:10" x14ac:dyDescent="0.2">
      <c r="A206" s="18">
        <v>6049</v>
      </c>
      <c r="C206" s="18">
        <v>0</v>
      </c>
      <c r="G206" s="18">
        <v>0</v>
      </c>
      <c r="H206" s="18">
        <v>0</v>
      </c>
      <c r="J206">
        <v>0</v>
      </c>
    </row>
    <row r="207" spans="1:10" x14ac:dyDescent="0.2">
      <c r="A207" s="18">
        <v>6185</v>
      </c>
      <c r="H207" s="18">
        <v>0</v>
      </c>
      <c r="J207">
        <v>0</v>
      </c>
    </row>
    <row r="208" spans="1:10" x14ac:dyDescent="0.2">
      <c r="A208" s="18">
        <v>6168</v>
      </c>
      <c r="C208" s="18">
        <v>0</v>
      </c>
      <c r="E208" s="18">
        <v>0</v>
      </c>
      <c r="F208" s="18">
        <v>0</v>
      </c>
      <c r="G208" s="18">
        <v>0</v>
      </c>
      <c r="H208" s="18">
        <v>0</v>
      </c>
      <c r="I208" s="18">
        <v>0</v>
      </c>
      <c r="J208">
        <v>0</v>
      </c>
    </row>
    <row r="209" spans="1:10" s="66" customFormat="1" x14ac:dyDescent="0.2">
      <c r="A209" s="18">
        <v>6167</v>
      </c>
      <c r="B209" s="18"/>
      <c r="C209" s="18"/>
      <c r="D209" s="18"/>
      <c r="E209" s="18"/>
      <c r="F209" s="18">
        <v>0</v>
      </c>
      <c r="G209" s="18"/>
      <c r="H209" s="18"/>
      <c r="I209" s="18"/>
      <c r="J209">
        <v>0</v>
      </c>
    </row>
    <row r="210" spans="1:10" x14ac:dyDescent="0.2">
      <c r="A210" s="18">
        <v>6194</v>
      </c>
      <c r="C210" s="18">
        <v>0</v>
      </c>
      <c r="E210" s="18">
        <v>0</v>
      </c>
      <c r="F210" s="18">
        <v>0</v>
      </c>
      <c r="G210" s="18">
        <v>0</v>
      </c>
      <c r="I210" s="18">
        <v>0</v>
      </c>
      <c r="J210">
        <v>0</v>
      </c>
    </row>
    <row r="211" spans="1:10" x14ac:dyDescent="0.2">
      <c r="A211" s="18">
        <v>6189</v>
      </c>
      <c r="H211" s="18">
        <v>0</v>
      </c>
      <c r="J211">
        <v>0</v>
      </c>
    </row>
    <row r="212" spans="1:10" x14ac:dyDescent="0.2">
      <c r="A212" s="18">
        <v>6193</v>
      </c>
      <c r="G212" s="18">
        <v>0</v>
      </c>
      <c r="J212">
        <v>0</v>
      </c>
    </row>
    <row r="213" spans="1:10" ht="15" x14ac:dyDescent="0.25">
      <c r="A213" s="140">
        <v>6197</v>
      </c>
      <c r="B213" s="140"/>
      <c r="C213" s="140">
        <v>0</v>
      </c>
      <c r="D213" s="140"/>
      <c r="E213" s="140">
        <v>0</v>
      </c>
      <c r="F213" s="140">
        <v>0</v>
      </c>
      <c r="G213" s="140">
        <v>0</v>
      </c>
      <c r="H213" s="140"/>
      <c r="I213" s="140">
        <v>0</v>
      </c>
      <c r="J213">
        <v>0</v>
      </c>
    </row>
    <row r="214" spans="1:10" x14ac:dyDescent="0.2">
      <c r="A214" s="18">
        <v>6205</v>
      </c>
      <c r="G214" s="18">
        <v>0</v>
      </c>
      <c r="J214">
        <v>0</v>
      </c>
    </row>
    <row r="215" spans="1:10" x14ac:dyDescent="0.2">
      <c r="A215" s="18">
        <v>6212</v>
      </c>
      <c r="F215" s="18">
        <v>0</v>
      </c>
      <c r="J215">
        <v>0</v>
      </c>
    </row>
    <row r="216" spans="1:10" x14ac:dyDescent="0.2">
      <c r="A216" s="18">
        <v>6188</v>
      </c>
      <c r="B216" s="18">
        <v>0</v>
      </c>
      <c r="C216" s="18">
        <v>0</v>
      </c>
      <c r="E216" s="18">
        <v>0</v>
      </c>
      <c r="F216" s="18">
        <v>0</v>
      </c>
      <c r="G216" s="18">
        <v>0</v>
      </c>
      <c r="I216" s="18">
        <v>0</v>
      </c>
      <c r="J216">
        <v>0</v>
      </c>
    </row>
    <row r="217" spans="1:10" x14ac:dyDescent="0.2">
      <c r="A217" s="18">
        <v>6236</v>
      </c>
      <c r="F217" s="18">
        <v>0</v>
      </c>
      <c r="J217">
        <v>0</v>
      </c>
    </row>
    <row r="218" spans="1:10" x14ac:dyDescent="0.2">
      <c r="A218" s="18">
        <v>6240</v>
      </c>
      <c r="C218" s="18">
        <v>0</v>
      </c>
      <c r="E218" s="18">
        <v>0</v>
      </c>
      <c r="F218" s="18">
        <v>0</v>
      </c>
      <c r="G218" s="18">
        <v>0</v>
      </c>
      <c r="H218" s="18">
        <v>0</v>
      </c>
      <c r="I218" s="18">
        <v>0</v>
      </c>
      <c r="J218">
        <v>0</v>
      </c>
    </row>
    <row r="219" spans="1:10" x14ac:dyDescent="0.2">
      <c r="A219" s="18">
        <v>6242</v>
      </c>
      <c r="H219" s="18">
        <v>0</v>
      </c>
      <c r="J219">
        <v>0</v>
      </c>
    </row>
    <row r="220" spans="1:10" x14ac:dyDescent="0.2">
      <c r="A220" s="18">
        <v>5913</v>
      </c>
      <c r="C220" s="18">
        <v>0</v>
      </c>
      <c r="J220">
        <v>0</v>
      </c>
    </row>
    <row r="221" spans="1:10" x14ac:dyDescent="0.2">
      <c r="A221" s="18">
        <v>6246</v>
      </c>
      <c r="B221" s="18">
        <v>0</v>
      </c>
      <c r="C221" s="18">
        <v>0</v>
      </c>
      <c r="F221" s="18">
        <v>0</v>
      </c>
      <c r="G221" s="18">
        <v>0</v>
      </c>
      <c r="H221" s="18">
        <v>0</v>
      </c>
      <c r="J221">
        <v>0</v>
      </c>
    </row>
    <row r="222" spans="1:10" x14ac:dyDescent="0.2">
      <c r="A222" s="18">
        <v>6180</v>
      </c>
      <c r="C222" s="18">
        <v>0</v>
      </c>
      <c r="E222" s="18">
        <v>0</v>
      </c>
      <c r="F222" s="18">
        <v>0</v>
      </c>
      <c r="G222" s="18">
        <v>0</v>
      </c>
      <c r="H222" s="18">
        <v>0</v>
      </c>
      <c r="I222" s="18">
        <v>0</v>
      </c>
      <c r="J222">
        <v>0</v>
      </c>
    </row>
    <row r="223" spans="1:10" x14ac:dyDescent="0.2">
      <c r="A223" s="18">
        <v>6247</v>
      </c>
      <c r="C223" s="18">
        <v>0</v>
      </c>
      <c r="F223" s="18">
        <v>0</v>
      </c>
      <c r="H223" s="18">
        <v>0</v>
      </c>
      <c r="J223">
        <v>0</v>
      </c>
    </row>
    <row r="224" spans="1:10" x14ac:dyDescent="0.2">
      <c r="A224" s="18">
        <v>6263</v>
      </c>
      <c r="C224" s="18">
        <v>0</v>
      </c>
      <c r="E224" s="18">
        <v>0</v>
      </c>
      <c r="F224" s="18">
        <v>0</v>
      </c>
      <c r="G224" s="18">
        <v>0</v>
      </c>
      <c r="H224" s="18">
        <v>0</v>
      </c>
      <c r="I224" s="18">
        <v>0</v>
      </c>
      <c r="J224">
        <v>0</v>
      </c>
    </row>
    <row r="225" spans="1:10" x14ac:dyDescent="0.2">
      <c r="A225" s="18">
        <v>6265</v>
      </c>
      <c r="C225" s="18">
        <v>0</v>
      </c>
      <c r="F225" s="18">
        <v>0</v>
      </c>
      <c r="G225" s="18">
        <v>0</v>
      </c>
      <c r="J225">
        <v>0</v>
      </c>
    </row>
    <row r="226" spans="1:10" x14ac:dyDescent="0.2">
      <c r="A226" s="18">
        <v>6268</v>
      </c>
      <c r="F226" s="18">
        <v>0</v>
      </c>
      <c r="I226" s="18">
        <v>0</v>
      </c>
      <c r="J226">
        <v>0</v>
      </c>
    </row>
    <row r="227" spans="1:10" x14ac:dyDescent="0.2">
      <c r="A227" s="18">
        <v>6336</v>
      </c>
      <c r="F227" s="18">
        <v>0</v>
      </c>
      <c r="J227">
        <v>0</v>
      </c>
    </row>
    <row r="228" spans="1:10" x14ac:dyDescent="0.2">
      <c r="A228" s="18">
        <v>6339</v>
      </c>
      <c r="G228" s="18">
        <v>0</v>
      </c>
      <c r="J228">
        <v>0</v>
      </c>
    </row>
    <row r="229" spans="1:10" x14ac:dyDescent="0.2">
      <c r="A229" s="18">
        <v>6333</v>
      </c>
      <c r="F229" s="18">
        <v>0</v>
      </c>
      <c r="J229">
        <v>0</v>
      </c>
    </row>
    <row r="230" spans="1:10" x14ac:dyDescent="0.2">
      <c r="A230" s="18">
        <v>6278</v>
      </c>
      <c r="G230" s="18">
        <v>0</v>
      </c>
      <c r="J230">
        <v>0</v>
      </c>
    </row>
    <row r="231" spans="1:10" x14ac:dyDescent="0.2">
      <c r="A231" s="18">
        <v>6061</v>
      </c>
      <c r="C231" s="18">
        <v>0</v>
      </c>
      <c r="J231">
        <v>0</v>
      </c>
    </row>
    <row r="232" spans="1:10" x14ac:dyDescent="0.2">
      <c r="A232" s="18">
        <v>6281</v>
      </c>
      <c r="H232" s="18">
        <v>0</v>
      </c>
      <c r="J232">
        <v>0</v>
      </c>
    </row>
    <row r="233" spans="1:10" x14ac:dyDescent="0.2">
      <c r="A233" s="18">
        <v>6286</v>
      </c>
      <c r="F233" s="18">
        <v>0</v>
      </c>
      <c r="I233" s="18">
        <v>0</v>
      </c>
      <c r="J233">
        <v>0</v>
      </c>
    </row>
    <row r="234" spans="1:10" x14ac:dyDescent="0.2">
      <c r="A234" s="18">
        <v>6289</v>
      </c>
      <c r="B234" s="18">
        <v>0</v>
      </c>
      <c r="J234">
        <v>0</v>
      </c>
    </row>
    <row r="235" spans="1:10" x14ac:dyDescent="0.2">
      <c r="A235" s="18">
        <v>6291</v>
      </c>
      <c r="C235" s="18">
        <v>0</v>
      </c>
      <c r="E235" s="18">
        <v>0</v>
      </c>
      <c r="F235" s="18">
        <v>0</v>
      </c>
      <c r="J235">
        <v>0</v>
      </c>
    </row>
    <row r="236" spans="1:10" x14ac:dyDescent="0.2">
      <c r="A236" s="18">
        <v>6322</v>
      </c>
      <c r="G236" s="18">
        <v>0</v>
      </c>
      <c r="J236">
        <v>0</v>
      </c>
    </row>
    <row r="237" spans="1:10" x14ac:dyDescent="0.2">
      <c r="A237" s="18">
        <v>6305</v>
      </c>
      <c r="C237" s="18">
        <v>0</v>
      </c>
      <c r="F237" s="18">
        <v>0</v>
      </c>
      <c r="G237" s="18">
        <v>0</v>
      </c>
      <c r="H237" s="18">
        <v>0</v>
      </c>
      <c r="J237">
        <v>0</v>
      </c>
    </row>
    <row r="238" spans="1:10" x14ac:dyDescent="0.2">
      <c r="A238" s="18">
        <v>6342</v>
      </c>
      <c r="C238" s="18">
        <v>0</v>
      </c>
      <c r="E238" s="18">
        <v>0</v>
      </c>
      <c r="F238" s="18">
        <v>0</v>
      </c>
      <c r="G238" s="18">
        <v>0</v>
      </c>
      <c r="H238" s="18">
        <v>0</v>
      </c>
      <c r="I238" s="18">
        <v>0</v>
      </c>
      <c r="J238">
        <v>0</v>
      </c>
    </row>
    <row r="239" spans="1:10" x14ac:dyDescent="0.2">
      <c r="A239" s="18">
        <v>6344</v>
      </c>
      <c r="C239" s="18">
        <v>0</v>
      </c>
      <c r="E239" s="18">
        <v>0</v>
      </c>
      <c r="F239" s="18">
        <v>0</v>
      </c>
      <c r="G239" s="18">
        <v>0</v>
      </c>
      <c r="H239" s="18">
        <v>0</v>
      </c>
      <c r="J239">
        <v>0</v>
      </c>
    </row>
    <row r="240" spans="1:10" x14ac:dyDescent="0.2">
      <c r="A240" s="18">
        <v>6348</v>
      </c>
      <c r="F240" s="18">
        <v>0</v>
      </c>
      <c r="J240">
        <v>0</v>
      </c>
    </row>
    <row r="241" spans="1:10" x14ac:dyDescent="0.2">
      <c r="A241" s="18">
        <v>6346</v>
      </c>
      <c r="I241" s="18">
        <v>0</v>
      </c>
      <c r="J241">
        <v>0</v>
      </c>
    </row>
    <row r="242" spans="1:10" x14ac:dyDescent="0.2">
      <c r="A242" s="18">
        <v>6345</v>
      </c>
      <c r="C242" s="18">
        <v>0</v>
      </c>
      <c r="H242" s="18">
        <v>0</v>
      </c>
      <c r="J242">
        <v>0</v>
      </c>
    </row>
    <row r="243" spans="1:10" x14ac:dyDescent="0.2">
      <c r="A243" s="18">
        <v>6352</v>
      </c>
      <c r="F243" s="18">
        <v>0</v>
      </c>
      <c r="J243">
        <v>0</v>
      </c>
    </row>
    <row r="244" spans="1:10" x14ac:dyDescent="0.2">
      <c r="A244" s="18">
        <v>6353</v>
      </c>
      <c r="C244" s="18">
        <v>0</v>
      </c>
      <c r="F244" s="18">
        <v>0</v>
      </c>
      <c r="H244" s="18">
        <v>0</v>
      </c>
      <c r="J244">
        <v>0</v>
      </c>
    </row>
    <row r="245" spans="1:10" x14ac:dyDescent="0.2">
      <c r="A245" s="18">
        <v>6358</v>
      </c>
      <c r="F245" s="18">
        <v>0</v>
      </c>
      <c r="I245" s="18">
        <v>0</v>
      </c>
      <c r="J245">
        <v>0</v>
      </c>
    </row>
    <row r="246" spans="1:10" x14ac:dyDescent="0.2">
      <c r="A246" s="18">
        <v>6363</v>
      </c>
      <c r="F246" s="18">
        <v>0</v>
      </c>
      <c r="J246">
        <v>0</v>
      </c>
    </row>
    <row r="247" spans="1:10" x14ac:dyDescent="0.2">
      <c r="A247" s="18">
        <v>6376</v>
      </c>
      <c r="C247" s="18">
        <v>0</v>
      </c>
      <c r="G247" s="18">
        <v>0</v>
      </c>
      <c r="J247">
        <v>0</v>
      </c>
    </row>
    <row r="248" spans="1:10" x14ac:dyDescent="0.2">
      <c r="A248" s="18">
        <v>5928</v>
      </c>
      <c r="B248" s="18">
        <v>70</v>
      </c>
      <c r="G248" s="18">
        <v>0</v>
      </c>
      <c r="J248">
        <v>70</v>
      </c>
    </row>
    <row r="249" spans="1:10" x14ac:dyDescent="0.2">
      <c r="A249" s="18">
        <v>6379</v>
      </c>
      <c r="F249" s="18">
        <v>0</v>
      </c>
      <c r="I249" s="18">
        <v>0</v>
      </c>
      <c r="J249">
        <v>0</v>
      </c>
    </row>
    <row r="250" spans="1:10" x14ac:dyDescent="0.2">
      <c r="A250" s="18">
        <v>6380</v>
      </c>
      <c r="B250" s="18">
        <v>0</v>
      </c>
      <c r="J250">
        <v>0</v>
      </c>
    </row>
    <row r="251" spans="1:10" x14ac:dyDescent="0.2">
      <c r="A251" s="18">
        <v>6382</v>
      </c>
      <c r="F251" s="18">
        <v>0</v>
      </c>
      <c r="I251" s="18">
        <v>0</v>
      </c>
      <c r="J251">
        <v>0</v>
      </c>
    </row>
    <row r="252" spans="1:10" x14ac:dyDescent="0.2">
      <c r="A252" s="18">
        <v>6394</v>
      </c>
      <c r="C252" s="18">
        <v>0</v>
      </c>
      <c r="J252">
        <v>0</v>
      </c>
    </row>
    <row r="253" spans="1:10" x14ac:dyDescent="0.2">
      <c r="A253" s="18">
        <v>6389</v>
      </c>
      <c r="G253" s="18">
        <v>0</v>
      </c>
      <c r="J253">
        <v>0</v>
      </c>
    </row>
    <row r="254" spans="1:10" x14ac:dyDescent="0.2">
      <c r="A254" s="18">
        <v>6407</v>
      </c>
      <c r="F254" s="18">
        <v>0</v>
      </c>
      <c r="J254">
        <v>0</v>
      </c>
    </row>
    <row r="255" spans="1:10" x14ac:dyDescent="0.2">
      <c r="A255" s="18">
        <v>6397</v>
      </c>
      <c r="C255" s="18">
        <v>0</v>
      </c>
      <c r="G255" s="18">
        <v>0</v>
      </c>
      <c r="H255" s="18">
        <v>0</v>
      </c>
      <c r="J255">
        <v>0</v>
      </c>
    </row>
    <row r="256" spans="1:10" x14ac:dyDescent="0.2">
      <c r="A256" s="18">
        <v>5917</v>
      </c>
      <c r="C256" s="18">
        <v>0</v>
      </c>
      <c r="F256" s="18">
        <v>0</v>
      </c>
      <c r="G256" s="18">
        <v>0</v>
      </c>
      <c r="H256" s="18">
        <v>0</v>
      </c>
      <c r="J256">
        <v>0</v>
      </c>
    </row>
    <row r="257" spans="1:10" x14ac:dyDescent="0.2">
      <c r="A257" s="18">
        <v>6216</v>
      </c>
      <c r="C257" s="18">
        <v>0</v>
      </c>
      <c r="J257">
        <v>0</v>
      </c>
    </row>
    <row r="258" spans="1:10" x14ac:dyDescent="0.2">
      <c r="A258" s="18">
        <v>6415</v>
      </c>
      <c r="C258" s="18">
        <v>0</v>
      </c>
      <c r="J258">
        <v>0</v>
      </c>
    </row>
    <row r="259" spans="1:10" x14ac:dyDescent="0.2">
      <c r="A259" s="18">
        <v>6418</v>
      </c>
      <c r="C259" s="18">
        <v>0</v>
      </c>
      <c r="J259">
        <v>0</v>
      </c>
    </row>
    <row r="260" spans="1:10" x14ac:dyDescent="0.2">
      <c r="A260" s="18">
        <v>6426</v>
      </c>
      <c r="C260" s="18">
        <v>0</v>
      </c>
      <c r="F260" s="18">
        <v>0</v>
      </c>
      <c r="G260" s="18">
        <v>0</v>
      </c>
      <c r="H260" s="18">
        <v>0</v>
      </c>
      <c r="I260" s="18">
        <v>0</v>
      </c>
      <c r="J260">
        <v>0</v>
      </c>
    </row>
    <row r="261" spans="1:10" x14ac:dyDescent="0.2">
      <c r="A261" s="18">
        <v>6447</v>
      </c>
      <c r="F261" s="18">
        <v>0</v>
      </c>
      <c r="J261">
        <v>0</v>
      </c>
    </row>
    <row r="262" spans="1:10" x14ac:dyDescent="0.2">
      <c r="A262" s="18">
        <v>6461</v>
      </c>
      <c r="H262" s="18">
        <v>0</v>
      </c>
      <c r="J262">
        <v>0</v>
      </c>
    </row>
    <row r="263" spans="1:10" x14ac:dyDescent="0.2">
      <c r="A263" s="18" t="s">
        <v>426</v>
      </c>
      <c r="C263" s="18">
        <v>0</v>
      </c>
      <c r="E263" s="18">
        <v>0</v>
      </c>
      <c r="F263" s="18">
        <v>0</v>
      </c>
      <c r="G263" s="18">
        <v>0</v>
      </c>
      <c r="H263" s="18">
        <v>0</v>
      </c>
      <c r="I263" s="18">
        <v>0</v>
      </c>
      <c r="J263">
        <v>0</v>
      </c>
    </row>
    <row r="264" spans="1:10" x14ac:dyDescent="0.2">
      <c r="A264" s="18" t="s">
        <v>424</v>
      </c>
      <c r="G264" s="18">
        <v>0</v>
      </c>
      <c r="J264">
        <v>0</v>
      </c>
    </row>
    <row r="265" spans="1:10" x14ac:dyDescent="0.2">
      <c r="A265" s="18" t="s">
        <v>425</v>
      </c>
      <c r="C265" s="18">
        <v>0</v>
      </c>
      <c r="F265" s="18">
        <v>0</v>
      </c>
      <c r="J265">
        <v>0</v>
      </c>
    </row>
    <row r="266" spans="1:10" x14ac:dyDescent="0.2">
      <c r="A266" s="18" t="s">
        <v>423</v>
      </c>
      <c r="G266" s="18">
        <v>0</v>
      </c>
      <c r="J266">
        <v>0</v>
      </c>
    </row>
    <row r="267" spans="1:10" x14ac:dyDescent="0.2">
      <c r="A267" s="18" t="s">
        <v>422</v>
      </c>
      <c r="C267" s="18">
        <v>0</v>
      </c>
      <c r="J267">
        <v>0</v>
      </c>
    </row>
    <row r="268" spans="1:10" x14ac:dyDescent="0.2">
      <c r="A268" s="18">
        <v>6485</v>
      </c>
      <c r="C268" s="18">
        <v>0</v>
      </c>
      <c r="E268" s="18">
        <v>0</v>
      </c>
      <c r="F268" s="18">
        <v>0</v>
      </c>
      <c r="G268" s="18">
        <v>0</v>
      </c>
      <c r="H268" s="18">
        <v>0</v>
      </c>
      <c r="I268" s="18">
        <v>0</v>
      </c>
      <c r="J268">
        <v>0</v>
      </c>
    </row>
    <row r="269" spans="1:10" x14ac:dyDescent="0.2">
      <c r="A269" s="18">
        <v>6483</v>
      </c>
      <c r="F269" s="18">
        <v>0</v>
      </c>
      <c r="J269">
        <v>0</v>
      </c>
    </row>
    <row r="270" spans="1:10" x14ac:dyDescent="0.2">
      <c r="A270" s="18">
        <v>6482</v>
      </c>
      <c r="F270" s="18">
        <v>0</v>
      </c>
      <c r="I270" s="18">
        <v>0</v>
      </c>
      <c r="J270">
        <v>0</v>
      </c>
    </row>
    <row r="271" spans="1:10" x14ac:dyDescent="0.2">
      <c r="A271" s="18">
        <v>6481</v>
      </c>
      <c r="B271" s="18">
        <v>0</v>
      </c>
      <c r="C271" s="18">
        <v>0</v>
      </c>
      <c r="F271" s="18">
        <v>0</v>
      </c>
      <c r="G271" s="18">
        <v>0</v>
      </c>
      <c r="J271">
        <v>0</v>
      </c>
    </row>
    <row r="272" spans="1:10" x14ac:dyDescent="0.2">
      <c r="A272" s="18">
        <v>6477</v>
      </c>
      <c r="C272" s="18">
        <v>0</v>
      </c>
      <c r="E272" s="18">
        <v>0</v>
      </c>
      <c r="F272" s="18">
        <v>0</v>
      </c>
      <c r="G272" s="18">
        <v>0</v>
      </c>
      <c r="H272" s="18">
        <v>0</v>
      </c>
      <c r="I272" s="18">
        <v>0</v>
      </c>
      <c r="J272">
        <v>0</v>
      </c>
    </row>
    <row r="273" spans="1:10" x14ac:dyDescent="0.2">
      <c r="A273" s="18">
        <v>6475</v>
      </c>
      <c r="C273" s="18">
        <v>0</v>
      </c>
      <c r="G273" s="18">
        <v>0</v>
      </c>
      <c r="J273">
        <v>0</v>
      </c>
    </row>
    <row r="274" spans="1:10" x14ac:dyDescent="0.2">
      <c r="A274" s="18">
        <v>6474</v>
      </c>
      <c r="F274" s="18">
        <v>0</v>
      </c>
      <c r="J274">
        <v>0</v>
      </c>
    </row>
    <row r="275" spans="1:10" x14ac:dyDescent="0.2">
      <c r="A275" s="18">
        <v>6489</v>
      </c>
      <c r="G275" s="18">
        <v>0</v>
      </c>
      <c r="J275">
        <v>0</v>
      </c>
    </row>
    <row r="276" spans="1:10" x14ac:dyDescent="0.2">
      <c r="A276" s="18">
        <v>6498</v>
      </c>
      <c r="C276" s="18">
        <v>0</v>
      </c>
      <c r="E276" s="18">
        <v>0</v>
      </c>
      <c r="F276" s="18">
        <v>0</v>
      </c>
      <c r="G276" s="18">
        <v>0</v>
      </c>
      <c r="H276" s="18">
        <v>0</v>
      </c>
      <c r="I276" s="18">
        <v>0</v>
      </c>
      <c r="J276">
        <v>0</v>
      </c>
    </row>
    <row r="277" spans="1:10" x14ac:dyDescent="0.2">
      <c r="A277" s="18" t="s">
        <v>428</v>
      </c>
      <c r="G277" s="18">
        <v>0</v>
      </c>
      <c r="J277">
        <v>0</v>
      </c>
    </row>
    <row r="278" spans="1:10" x14ac:dyDescent="0.2">
      <c r="A278" s="18" t="s">
        <v>427</v>
      </c>
      <c r="C278" s="18">
        <v>0</v>
      </c>
      <c r="F278" s="18">
        <v>0</v>
      </c>
      <c r="J278">
        <v>0</v>
      </c>
    </row>
    <row r="279" spans="1:10" x14ac:dyDescent="0.2">
      <c r="A279" s="18">
        <v>6506</v>
      </c>
      <c r="C279" s="18">
        <v>0</v>
      </c>
      <c r="J279">
        <v>0</v>
      </c>
    </row>
    <row r="280" spans="1:10" x14ac:dyDescent="0.2">
      <c r="A280" s="18">
        <v>6508</v>
      </c>
      <c r="F280" s="18">
        <v>0</v>
      </c>
      <c r="I280" s="18">
        <v>0</v>
      </c>
      <c r="J280">
        <v>0</v>
      </c>
    </row>
    <row r="281" spans="1:10" x14ac:dyDescent="0.2">
      <c r="A281" s="18">
        <v>6512</v>
      </c>
      <c r="F281" s="18">
        <v>0</v>
      </c>
      <c r="I281" s="18">
        <v>0</v>
      </c>
      <c r="J281">
        <v>0</v>
      </c>
    </row>
    <row r="282" spans="1:10" x14ac:dyDescent="0.2">
      <c r="A282" s="18">
        <v>6514</v>
      </c>
      <c r="E282" s="18">
        <v>0</v>
      </c>
      <c r="J282">
        <v>0</v>
      </c>
    </row>
    <row r="283" spans="1:10" x14ac:dyDescent="0.2">
      <c r="A283" s="18">
        <v>6515</v>
      </c>
      <c r="C283" s="18">
        <v>0</v>
      </c>
      <c r="F283" s="18">
        <v>0</v>
      </c>
      <c r="G283" s="18">
        <v>0</v>
      </c>
      <c r="H283" s="18">
        <v>0</v>
      </c>
      <c r="J283">
        <v>0</v>
      </c>
    </row>
    <row r="284" spans="1:10" x14ac:dyDescent="0.2">
      <c r="A284" s="18">
        <v>6528</v>
      </c>
      <c r="H284" s="18">
        <v>0</v>
      </c>
      <c r="J284">
        <v>0</v>
      </c>
    </row>
    <row r="285" spans="1:10" x14ac:dyDescent="0.2">
      <c r="A285" s="18">
        <v>6479</v>
      </c>
      <c r="F285" s="18">
        <v>0</v>
      </c>
      <c r="I285" s="18">
        <v>0</v>
      </c>
      <c r="J285">
        <v>0</v>
      </c>
    </row>
    <row r="286" spans="1:10" x14ac:dyDescent="0.2">
      <c r="A286" s="18">
        <v>6545</v>
      </c>
      <c r="C286" s="18">
        <v>0</v>
      </c>
      <c r="G286" s="18">
        <v>0</v>
      </c>
      <c r="H286" s="18">
        <v>0</v>
      </c>
      <c r="J286">
        <v>0</v>
      </c>
    </row>
    <row r="287" spans="1:10" x14ac:dyDescent="0.2">
      <c r="A287" s="18">
        <v>6554</v>
      </c>
      <c r="B287" s="18">
        <v>0</v>
      </c>
      <c r="G287" s="18">
        <v>0</v>
      </c>
      <c r="J287">
        <v>0</v>
      </c>
    </row>
    <row r="288" spans="1:10" x14ac:dyDescent="0.2">
      <c r="A288" s="18">
        <v>6562</v>
      </c>
      <c r="G288" s="18">
        <v>0</v>
      </c>
      <c r="J288">
        <v>0</v>
      </c>
    </row>
    <row r="289" spans="1:10" x14ac:dyDescent="0.2">
      <c r="A289" s="18">
        <v>6563</v>
      </c>
      <c r="C289" s="18">
        <v>0</v>
      </c>
      <c r="E289" s="18">
        <v>0</v>
      </c>
      <c r="F289" s="18">
        <v>0</v>
      </c>
      <c r="G289" s="18">
        <v>0</v>
      </c>
      <c r="H289" s="18">
        <v>0</v>
      </c>
      <c r="I289" s="18">
        <v>0</v>
      </c>
      <c r="J289">
        <v>0</v>
      </c>
    </row>
    <row r="290" spans="1:10" x14ac:dyDescent="0.2">
      <c r="A290" s="18">
        <v>6566</v>
      </c>
      <c r="F290" s="18">
        <v>0</v>
      </c>
      <c r="J290">
        <v>0</v>
      </c>
    </row>
    <row r="291" spans="1:10" x14ac:dyDescent="0.2">
      <c r="A291" s="18">
        <v>6585</v>
      </c>
      <c r="F291" s="18">
        <v>0</v>
      </c>
      <c r="I291" s="18">
        <v>0</v>
      </c>
      <c r="J291">
        <v>0</v>
      </c>
    </row>
    <row r="292" spans="1:10" x14ac:dyDescent="0.2">
      <c r="A292" s="18">
        <v>6586</v>
      </c>
      <c r="F292" s="18">
        <v>0</v>
      </c>
      <c r="I292" s="18">
        <v>0</v>
      </c>
      <c r="J292">
        <v>0</v>
      </c>
    </row>
    <row r="293" spans="1:10" x14ac:dyDescent="0.2">
      <c r="A293" s="18">
        <v>6596</v>
      </c>
      <c r="F293" s="18">
        <v>0</v>
      </c>
      <c r="G293" s="18">
        <v>0</v>
      </c>
      <c r="H293" s="18">
        <v>0</v>
      </c>
      <c r="J293">
        <v>0</v>
      </c>
    </row>
    <row r="294" spans="1:10" x14ac:dyDescent="0.2">
      <c r="A294" s="18">
        <v>6598</v>
      </c>
      <c r="C294" s="18">
        <v>0</v>
      </c>
      <c r="J294">
        <v>0</v>
      </c>
    </row>
    <row r="295" spans="1:10" x14ac:dyDescent="0.2">
      <c r="A295" s="18">
        <v>6600</v>
      </c>
      <c r="F295" s="18">
        <v>0</v>
      </c>
      <c r="J295">
        <v>0</v>
      </c>
    </row>
    <row r="296" spans="1:10" x14ac:dyDescent="0.2">
      <c r="A296" s="18">
        <v>6605</v>
      </c>
      <c r="F296" s="18">
        <v>0</v>
      </c>
      <c r="J296">
        <v>0</v>
      </c>
    </row>
    <row r="297" spans="1:10" x14ac:dyDescent="0.2">
      <c r="A297" s="18">
        <v>6624</v>
      </c>
      <c r="F297" s="18">
        <v>0</v>
      </c>
      <c r="H297" s="18">
        <v>0</v>
      </c>
      <c r="J297">
        <v>0</v>
      </c>
    </row>
    <row r="298" spans="1:10" x14ac:dyDescent="0.2">
      <c r="A298" s="18">
        <v>6628</v>
      </c>
      <c r="H298" s="18">
        <v>0</v>
      </c>
      <c r="J298">
        <v>0</v>
      </c>
    </row>
    <row r="299" spans="1:10" x14ac:dyDescent="0.2">
      <c r="A299" s="18">
        <v>6630</v>
      </c>
      <c r="C299" s="18">
        <v>0</v>
      </c>
      <c r="F299" s="18">
        <v>0</v>
      </c>
      <c r="G299" s="18">
        <v>0</v>
      </c>
      <c r="H299" s="18">
        <v>0</v>
      </c>
      <c r="I299" s="18">
        <v>0</v>
      </c>
      <c r="J299">
        <v>0</v>
      </c>
    </row>
    <row r="300" spans="1:10" x14ac:dyDescent="0.2">
      <c r="A300" s="18">
        <v>6633</v>
      </c>
      <c r="F300" s="18">
        <v>0</v>
      </c>
      <c r="J300">
        <v>0</v>
      </c>
    </row>
    <row r="301" spans="1:10" x14ac:dyDescent="0.2">
      <c r="A301" s="18">
        <v>6648</v>
      </c>
      <c r="F301" s="18">
        <v>0</v>
      </c>
      <c r="H301" s="18">
        <v>0</v>
      </c>
      <c r="J301">
        <v>0</v>
      </c>
    </row>
    <row r="302" spans="1:10" x14ac:dyDescent="0.2">
      <c r="A302" s="18">
        <v>6552</v>
      </c>
      <c r="F302" s="18">
        <v>0</v>
      </c>
      <c r="G302" s="18">
        <v>0</v>
      </c>
      <c r="J302">
        <v>0</v>
      </c>
    </row>
    <row r="303" spans="1:10" x14ac:dyDescent="0.2">
      <c r="A303" s="18">
        <v>6646</v>
      </c>
      <c r="B303" s="18">
        <v>0</v>
      </c>
      <c r="C303" s="18">
        <v>0</v>
      </c>
      <c r="D303" s="18">
        <v>32</v>
      </c>
      <c r="F303" s="18">
        <v>0</v>
      </c>
      <c r="G303" s="18">
        <v>0</v>
      </c>
      <c r="H303" s="18">
        <v>0</v>
      </c>
      <c r="I303" s="18">
        <v>0</v>
      </c>
      <c r="J303">
        <v>32</v>
      </c>
    </row>
    <row r="304" spans="1:10" x14ac:dyDescent="0.2">
      <c r="A304" s="18">
        <v>6634</v>
      </c>
      <c r="F304" s="18">
        <v>0</v>
      </c>
      <c r="G304" s="18">
        <v>0</v>
      </c>
      <c r="H304" s="18">
        <v>0</v>
      </c>
      <c r="J304">
        <v>0</v>
      </c>
    </row>
    <row r="305" spans="1:10" x14ac:dyDescent="0.2">
      <c r="A305" s="18">
        <v>6686</v>
      </c>
      <c r="E305" s="18">
        <v>0</v>
      </c>
      <c r="J305">
        <v>0</v>
      </c>
    </row>
    <row r="306" spans="1:10" x14ac:dyDescent="0.2">
      <c r="A306" s="18">
        <v>6583</v>
      </c>
      <c r="F306" s="18">
        <v>0</v>
      </c>
      <c r="G306" s="18">
        <v>0</v>
      </c>
      <c r="J306">
        <v>0</v>
      </c>
    </row>
    <row r="307" spans="1:10" x14ac:dyDescent="0.2">
      <c r="A307" s="18" t="s">
        <v>434</v>
      </c>
      <c r="C307" s="18">
        <v>0</v>
      </c>
      <c r="E307" s="18">
        <v>0</v>
      </c>
      <c r="F307" s="18">
        <v>0</v>
      </c>
      <c r="H307" s="18">
        <v>0</v>
      </c>
      <c r="J307">
        <v>0</v>
      </c>
    </row>
    <row r="308" spans="1:10" x14ac:dyDescent="0.2">
      <c r="A308" s="18" t="s">
        <v>435</v>
      </c>
      <c r="B308" s="18">
        <v>0</v>
      </c>
      <c r="C308" s="18">
        <v>0</v>
      </c>
      <c r="E308" s="18">
        <v>0</v>
      </c>
      <c r="F308" s="18">
        <v>0</v>
      </c>
      <c r="G308" s="18">
        <v>24</v>
      </c>
      <c r="H308" s="18">
        <v>75</v>
      </c>
      <c r="J308">
        <v>99</v>
      </c>
    </row>
    <row r="309" spans="1:10" x14ac:dyDescent="0.2">
      <c r="A309" s="18">
        <v>6657</v>
      </c>
      <c r="C309" s="18">
        <v>0</v>
      </c>
      <c r="J309">
        <v>0</v>
      </c>
    </row>
    <row r="310" spans="1:10" x14ac:dyDescent="0.2">
      <c r="A310" s="18">
        <v>6667</v>
      </c>
      <c r="C310" s="18">
        <v>0</v>
      </c>
      <c r="E310" s="18">
        <v>0</v>
      </c>
      <c r="F310" s="18">
        <v>0</v>
      </c>
      <c r="G310" s="18">
        <v>0</v>
      </c>
      <c r="H310" s="18">
        <v>0</v>
      </c>
      <c r="J310">
        <v>0</v>
      </c>
    </row>
    <row r="311" spans="1:10" x14ac:dyDescent="0.2">
      <c r="A311" s="18">
        <v>6676</v>
      </c>
      <c r="F311" s="18">
        <v>0</v>
      </c>
      <c r="J311">
        <v>0</v>
      </c>
    </row>
    <row r="312" spans="1:10" x14ac:dyDescent="0.2">
      <c r="A312" s="18">
        <v>6677</v>
      </c>
      <c r="F312" s="18">
        <v>0</v>
      </c>
      <c r="J312">
        <v>0</v>
      </c>
    </row>
    <row r="313" spans="1:10" x14ac:dyDescent="0.2">
      <c r="A313" s="18">
        <v>6682</v>
      </c>
      <c r="C313" s="18">
        <v>0</v>
      </c>
      <c r="G313" s="18">
        <v>0</v>
      </c>
      <c r="H313" s="18">
        <v>0</v>
      </c>
      <c r="J313">
        <v>0</v>
      </c>
    </row>
    <row r="314" spans="1:10" x14ac:dyDescent="0.2">
      <c r="A314" s="18">
        <v>6683</v>
      </c>
      <c r="C314" s="18">
        <v>0</v>
      </c>
      <c r="H314" s="18">
        <v>0</v>
      </c>
      <c r="J314">
        <v>0</v>
      </c>
    </row>
    <row r="315" spans="1:10" x14ac:dyDescent="0.2">
      <c r="A315" s="18">
        <v>6707</v>
      </c>
      <c r="G315" s="18">
        <v>0</v>
      </c>
      <c r="J315">
        <v>0</v>
      </c>
    </row>
    <row r="316" spans="1:10" x14ac:dyDescent="0.2">
      <c r="A316" s="18">
        <v>6712</v>
      </c>
      <c r="F316" s="18">
        <v>0</v>
      </c>
      <c r="G316" s="18">
        <v>0</v>
      </c>
      <c r="H316" s="18">
        <v>0</v>
      </c>
      <c r="J316">
        <v>0</v>
      </c>
    </row>
    <row r="317" spans="1:10" x14ac:dyDescent="0.2">
      <c r="A317" s="18">
        <v>6708</v>
      </c>
      <c r="G317" s="18">
        <v>0</v>
      </c>
      <c r="J317">
        <v>0</v>
      </c>
    </row>
    <row r="318" spans="1:10" x14ac:dyDescent="0.2">
      <c r="A318" s="18">
        <v>6705</v>
      </c>
      <c r="C318" s="18">
        <v>0</v>
      </c>
      <c r="E318" s="18">
        <v>0</v>
      </c>
      <c r="G318" s="18">
        <v>0</v>
      </c>
      <c r="H318" s="18">
        <v>0</v>
      </c>
      <c r="I318" s="18">
        <v>0</v>
      </c>
      <c r="J318">
        <v>0</v>
      </c>
    </row>
    <row r="319" spans="1:10" x14ac:dyDescent="0.2">
      <c r="A319" s="18">
        <v>6739</v>
      </c>
      <c r="F319" s="18">
        <v>0</v>
      </c>
      <c r="G319" s="18">
        <v>0</v>
      </c>
      <c r="J319">
        <v>0</v>
      </c>
    </row>
    <row r="320" spans="1:10" x14ac:dyDescent="0.2">
      <c r="A320" s="18">
        <v>6756</v>
      </c>
      <c r="H320" s="18">
        <v>1</v>
      </c>
      <c r="J320">
        <v>1</v>
      </c>
    </row>
    <row r="321" spans="1:10" x14ac:dyDescent="0.2">
      <c r="A321" s="18">
        <v>6448</v>
      </c>
      <c r="B321" s="18">
        <v>0</v>
      </c>
      <c r="F321" s="18">
        <v>0</v>
      </c>
      <c r="G321" s="18">
        <v>0</v>
      </c>
      <c r="J321">
        <v>0</v>
      </c>
    </row>
    <row r="322" spans="1:10" x14ac:dyDescent="0.2">
      <c r="A322" s="18">
        <v>6747</v>
      </c>
      <c r="G322" s="18">
        <v>0</v>
      </c>
      <c r="J322">
        <v>0</v>
      </c>
    </row>
    <row r="323" spans="1:10" x14ac:dyDescent="0.2">
      <c r="A323" s="18">
        <v>6748</v>
      </c>
      <c r="C323" s="18">
        <v>0</v>
      </c>
      <c r="E323" s="18">
        <v>0</v>
      </c>
      <c r="F323" s="18">
        <v>0</v>
      </c>
      <c r="G323" s="18">
        <v>0</v>
      </c>
      <c r="H323" s="18">
        <v>0</v>
      </c>
      <c r="I323" s="18">
        <v>0</v>
      </c>
      <c r="J323">
        <v>0</v>
      </c>
    </row>
    <row r="324" spans="1:10" x14ac:dyDescent="0.2">
      <c r="A324" s="18">
        <v>6751</v>
      </c>
      <c r="F324" s="18">
        <v>0</v>
      </c>
      <c r="J324">
        <v>0</v>
      </c>
    </row>
    <row r="325" spans="1:10" x14ac:dyDescent="0.2">
      <c r="A325" s="18">
        <v>6755</v>
      </c>
      <c r="G325" s="18">
        <v>0</v>
      </c>
      <c r="J325">
        <v>0</v>
      </c>
    </row>
    <row r="326" spans="1:10" x14ac:dyDescent="0.2">
      <c r="A326" s="18">
        <v>6743</v>
      </c>
      <c r="B326" s="18">
        <v>0</v>
      </c>
      <c r="F326" s="18">
        <v>0</v>
      </c>
      <c r="J326">
        <v>0</v>
      </c>
    </row>
    <row r="327" spans="1:10" x14ac:dyDescent="0.2">
      <c r="A327" s="18">
        <v>6769</v>
      </c>
      <c r="C327" s="18">
        <v>0</v>
      </c>
      <c r="F327" s="18">
        <v>0</v>
      </c>
      <c r="G327" s="18">
        <v>0</v>
      </c>
      <c r="J327">
        <v>0</v>
      </c>
    </row>
    <row r="328" spans="1:10" x14ac:dyDescent="0.2">
      <c r="A328" s="18">
        <v>6776</v>
      </c>
      <c r="C328" s="18">
        <v>0</v>
      </c>
      <c r="F328" s="18">
        <v>0</v>
      </c>
      <c r="G328" s="18">
        <v>0</v>
      </c>
      <c r="I328" s="18">
        <v>0</v>
      </c>
      <c r="J328">
        <v>0</v>
      </c>
    </row>
    <row r="329" spans="1:10" x14ac:dyDescent="0.2">
      <c r="A329" s="18">
        <v>6777</v>
      </c>
      <c r="G329" s="18">
        <v>0</v>
      </c>
      <c r="J329">
        <v>0</v>
      </c>
    </row>
    <row r="330" spans="1:10" x14ac:dyDescent="0.2">
      <c r="A330" s="18">
        <v>6795</v>
      </c>
      <c r="B330" s="18">
        <v>0</v>
      </c>
      <c r="C330" s="18">
        <v>0</v>
      </c>
      <c r="E330" s="18">
        <v>0</v>
      </c>
      <c r="F330" s="18">
        <v>0</v>
      </c>
      <c r="H330" s="18">
        <v>0</v>
      </c>
      <c r="I330" s="18">
        <v>0</v>
      </c>
      <c r="J330">
        <v>0</v>
      </c>
    </row>
    <row r="331" spans="1:10" x14ac:dyDescent="0.2">
      <c r="A331" s="18">
        <v>6793</v>
      </c>
      <c r="F331" s="18">
        <v>0</v>
      </c>
      <c r="H331" s="18">
        <v>0</v>
      </c>
      <c r="J331">
        <v>0</v>
      </c>
    </row>
    <row r="332" spans="1:10" x14ac:dyDescent="0.2">
      <c r="A332" s="18">
        <v>6796</v>
      </c>
      <c r="F332" s="18">
        <v>0</v>
      </c>
      <c r="J332">
        <v>0</v>
      </c>
    </row>
    <row r="333" spans="1:10" x14ac:dyDescent="0.2">
      <c r="A333" s="18">
        <v>6784</v>
      </c>
      <c r="C333" s="18">
        <v>0</v>
      </c>
      <c r="H333" s="18">
        <v>0</v>
      </c>
      <c r="J333">
        <v>0</v>
      </c>
    </row>
    <row r="334" spans="1:10" x14ac:dyDescent="0.2">
      <c r="A334" s="18">
        <v>6799</v>
      </c>
      <c r="G334" s="18">
        <v>0</v>
      </c>
      <c r="J334">
        <v>0</v>
      </c>
    </row>
    <row r="335" spans="1:10" x14ac:dyDescent="0.2">
      <c r="A335" s="18" t="s">
        <v>439</v>
      </c>
      <c r="C335" s="18">
        <v>0</v>
      </c>
      <c r="E335" s="18">
        <v>0</v>
      </c>
      <c r="G335" s="18">
        <v>0</v>
      </c>
      <c r="I335" s="18">
        <v>0</v>
      </c>
      <c r="J335">
        <v>0</v>
      </c>
    </row>
    <row r="336" spans="1:10" x14ac:dyDescent="0.2">
      <c r="A336" s="18">
        <v>6910</v>
      </c>
      <c r="E336" s="18">
        <v>0</v>
      </c>
      <c r="J336">
        <v>0</v>
      </c>
    </row>
    <row r="337" spans="1:10" x14ac:dyDescent="0.2">
      <c r="A337" s="18">
        <v>6892</v>
      </c>
      <c r="E337" s="18">
        <v>0</v>
      </c>
      <c r="J337">
        <v>0</v>
      </c>
    </row>
    <row r="338" spans="1:10" x14ac:dyDescent="0.2">
      <c r="A338" s="18">
        <v>6891</v>
      </c>
      <c r="E338" s="18">
        <v>0</v>
      </c>
      <c r="J338">
        <v>0</v>
      </c>
    </row>
    <row r="339" spans="1:10" x14ac:dyDescent="0.2">
      <c r="A339" s="18">
        <v>6834</v>
      </c>
      <c r="F339" s="18">
        <v>0</v>
      </c>
      <c r="J339">
        <v>0</v>
      </c>
    </row>
    <row r="340" spans="1:10" x14ac:dyDescent="0.2">
      <c r="A340" s="18">
        <v>6837</v>
      </c>
      <c r="C340" s="18">
        <v>0</v>
      </c>
      <c r="E340" s="18">
        <v>0</v>
      </c>
      <c r="F340" s="18">
        <v>0</v>
      </c>
      <c r="G340" s="18">
        <v>0</v>
      </c>
      <c r="H340" s="18">
        <v>0</v>
      </c>
      <c r="I340" s="18">
        <v>0</v>
      </c>
      <c r="J340" s="18">
        <v>0</v>
      </c>
    </row>
    <row r="341" spans="1:10" x14ac:dyDescent="0.2">
      <c r="A341" s="18">
        <v>6842</v>
      </c>
      <c r="F341" s="18">
        <v>0</v>
      </c>
      <c r="J341" s="18">
        <v>0</v>
      </c>
    </row>
    <row r="342" spans="1:10" x14ac:dyDescent="0.2">
      <c r="A342" s="18">
        <v>6848</v>
      </c>
      <c r="C342" s="18">
        <v>0</v>
      </c>
      <c r="E342" s="18">
        <v>0</v>
      </c>
      <c r="F342" s="18">
        <v>0</v>
      </c>
      <c r="G342" s="18">
        <v>0</v>
      </c>
      <c r="H342" s="18">
        <v>0</v>
      </c>
      <c r="I342" s="18">
        <v>0</v>
      </c>
      <c r="J342" s="18">
        <v>0</v>
      </c>
    </row>
    <row r="343" spans="1:10" x14ac:dyDescent="0.2">
      <c r="A343" s="18">
        <v>6853</v>
      </c>
      <c r="F343" s="18">
        <v>0</v>
      </c>
      <c r="J343" s="18">
        <v>0</v>
      </c>
    </row>
    <row r="344" spans="1:10" x14ac:dyDescent="0.2">
      <c r="A344" s="18">
        <v>6860</v>
      </c>
      <c r="C344" s="18">
        <v>0</v>
      </c>
      <c r="F344" s="18">
        <v>0</v>
      </c>
      <c r="H344" s="18">
        <v>0</v>
      </c>
      <c r="J344" s="18">
        <v>0</v>
      </c>
    </row>
    <row r="345" spans="1:10" x14ac:dyDescent="0.2">
      <c r="A345" s="18">
        <v>6863</v>
      </c>
      <c r="C345" s="18">
        <v>2</v>
      </c>
      <c r="E345" s="18">
        <v>0</v>
      </c>
      <c r="F345" s="18">
        <v>0</v>
      </c>
      <c r="G345" s="18">
        <v>0</v>
      </c>
      <c r="H345" s="18">
        <v>0</v>
      </c>
      <c r="I345" s="18">
        <v>0</v>
      </c>
      <c r="J345" s="18">
        <v>2</v>
      </c>
    </row>
    <row r="346" spans="1:10" x14ac:dyDescent="0.2">
      <c r="A346" s="18">
        <v>6858</v>
      </c>
      <c r="C346" s="18">
        <v>0</v>
      </c>
      <c r="E346" s="18">
        <v>0</v>
      </c>
      <c r="F346" s="18">
        <v>0</v>
      </c>
      <c r="G346" s="18">
        <v>0</v>
      </c>
      <c r="H346" s="18">
        <v>0</v>
      </c>
      <c r="I346" s="18">
        <v>0</v>
      </c>
      <c r="J346" s="18">
        <v>0</v>
      </c>
    </row>
    <row r="347" spans="1:10" x14ac:dyDescent="0.2">
      <c r="A347" s="18">
        <v>6878</v>
      </c>
      <c r="F347" s="18">
        <v>0</v>
      </c>
      <c r="J347" s="18">
        <v>0</v>
      </c>
    </row>
    <row r="348" spans="1:10" x14ac:dyDescent="0.2">
      <c r="A348" s="18">
        <v>6884</v>
      </c>
      <c r="C348" s="18">
        <v>0</v>
      </c>
      <c r="F348" s="18">
        <v>0</v>
      </c>
      <c r="G348" s="18">
        <v>0</v>
      </c>
      <c r="J348" s="18">
        <v>0</v>
      </c>
    </row>
    <row r="349" spans="1:10" x14ac:dyDescent="0.2">
      <c r="A349" s="18">
        <v>6886</v>
      </c>
      <c r="B349" s="18">
        <v>0</v>
      </c>
      <c r="G349" s="18">
        <v>0</v>
      </c>
      <c r="J349" s="18">
        <v>0</v>
      </c>
    </row>
    <row r="350" spans="1:10" x14ac:dyDescent="0.2">
      <c r="A350" s="18">
        <v>6888</v>
      </c>
      <c r="C350" s="18">
        <v>0</v>
      </c>
      <c r="G350" s="18">
        <v>0</v>
      </c>
      <c r="J350" s="18">
        <v>0</v>
      </c>
    </row>
    <row r="351" spans="1:10" x14ac:dyDescent="0.2">
      <c r="A351" s="18">
        <v>6897</v>
      </c>
      <c r="F351" s="18">
        <v>0</v>
      </c>
      <c r="J351" s="18">
        <v>0</v>
      </c>
    </row>
    <row r="352" spans="1:10" x14ac:dyDescent="0.2">
      <c r="A352" s="18">
        <v>6900</v>
      </c>
      <c r="C352" s="18">
        <v>0</v>
      </c>
      <c r="J352" s="18">
        <v>0</v>
      </c>
    </row>
    <row r="353" spans="1:10" x14ac:dyDescent="0.2">
      <c r="A353" s="18">
        <v>6907</v>
      </c>
      <c r="G353" s="18">
        <v>0</v>
      </c>
      <c r="J353" s="18">
        <v>0</v>
      </c>
    </row>
    <row r="354" spans="1:10" x14ac:dyDescent="0.2">
      <c r="A354" s="18">
        <v>6889</v>
      </c>
      <c r="C354" s="18">
        <v>0</v>
      </c>
      <c r="J354" s="18">
        <v>0</v>
      </c>
    </row>
    <row r="355" spans="1:10" x14ac:dyDescent="0.2">
      <c r="A355" s="18">
        <v>6909</v>
      </c>
      <c r="C355" s="18">
        <v>0</v>
      </c>
      <c r="G355" s="18">
        <v>0</v>
      </c>
      <c r="H355" s="18">
        <v>0</v>
      </c>
      <c r="J355" s="18">
        <v>0</v>
      </c>
    </row>
    <row r="356" spans="1:10" x14ac:dyDescent="0.2">
      <c r="A356" s="18">
        <v>6916</v>
      </c>
      <c r="G356" s="18">
        <v>0</v>
      </c>
      <c r="J356" s="18">
        <v>0</v>
      </c>
    </row>
    <row r="357" spans="1:10" x14ac:dyDescent="0.2">
      <c r="A357" s="18">
        <v>6925</v>
      </c>
      <c r="C357" s="18">
        <v>0</v>
      </c>
      <c r="F357" s="18">
        <v>0</v>
      </c>
      <c r="H357" s="18">
        <v>0</v>
      </c>
      <c r="J357" s="18">
        <v>0</v>
      </c>
    </row>
    <row r="358" spans="1:10" x14ac:dyDescent="0.2">
      <c r="A358" s="18">
        <v>6929</v>
      </c>
      <c r="C358" s="18">
        <v>0</v>
      </c>
      <c r="G358" s="18">
        <v>0</v>
      </c>
      <c r="H358" s="18">
        <v>0</v>
      </c>
      <c r="J358" s="18">
        <v>0</v>
      </c>
    </row>
    <row r="359" spans="1:10" x14ac:dyDescent="0.2">
      <c r="A359" s="18">
        <v>6930</v>
      </c>
      <c r="F359" s="18">
        <v>0</v>
      </c>
      <c r="J359" s="18">
        <v>0</v>
      </c>
    </row>
    <row r="360" spans="1:10" x14ac:dyDescent="0.2">
      <c r="A360" s="18">
        <v>6932</v>
      </c>
      <c r="C360" s="18">
        <v>0</v>
      </c>
      <c r="G360" s="18">
        <v>0</v>
      </c>
      <c r="H360" s="18">
        <v>0</v>
      </c>
      <c r="J360" s="18">
        <v>0</v>
      </c>
    </row>
    <row r="361" spans="1:10" x14ac:dyDescent="0.2">
      <c r="A361" s="18">
        <v>6967</v>
      </c>
      <c r="E361" s="18">
        <v>20</v>
      </c>
      <c r="J361" s="18">
        <v>20</v>
      </c>
    </row>
    <row r="362" spans="1:10" x14ac:dyDescent="0.2">
      <c r="A362" s="18">
        <v>6733</v>
      </c>
      <c r="F362" s="18">
        <v>0</v>
      </c>
      <c r="G362" s="18">
        <v>0</v>
      </c>
      <c r="J362" s="18">
        <v>0</v>
      </c>
    </row>
    <row r="363" spans="1:10" x14ac:dyDescent="0.2">
      <c r="A363" s="18">
        <v>6941</v>
      </c>
      <c r="F363" s="18">
        <v>0</v>
      </c>
      <c r="J363" s="18">
        <v>0</v>
      </c>
    </row>
    <row r="364" spans="1:10" x14ac:dyDescent="0.2">
      <c r="A364" s="18">
        <v>6950</v>
      </c>
      <c r="C364" s="18">
        <v>0</v>
      </c>
      <c r="E364" s="18">
        <v>0</v>
      </c>
      <c r="F364" s="18">
        <v>0</v>
      </c>
      <c r="G364" s="18">
        <v>0</v>
      </c>
      <c r="H364" s="18">
        <v>0</v>
      </c>
      <c r="I364" s="18">
        <v>0</v>
      </c>
      <c r="J364" s="18">
        <v>0</v>
      </c>
    </row>
    <row r="365" spans="1:10" x14ac:dyDescent="0.2">
      <c r="A365" s="18">
        <v>6951</v>
      </c>
      <c r="C365" s="18">
        <v>0</v>
      </c>
      <c r="E365" s="18">
        <v>0</v>
      </c>
      <c r="F365" s="18">
        <v>0</v>
      </c>
      <c r="G365" s="18">
        <v>0</v>
      </c>
      <c r="H365" s="18">
        <v>0</v>
      </c>
      <c r="I365" s="18">
        <v>0</v>
      </c>
      <c r="J365" s="18">
        <v>0</v>
      </c>
    </row>
    <row r="366" spans="1:10" x14ac:dyDescent="0.2">
      <c r="A366" s="18">
        <v>6973</v>
      </c>
      <c r="G366" s="18">
        <v>2</v>
      </c>
      <c r="J366" s="18">
        <v>2</v>
      </c>
    </row>
    <row r="367" spans="1:10" x14ac:dyDescent="0.2">
      <c r="A367" s="18">
        <v>6960</v>
      </c>
      <c r="C367" s="18">
        <v>0</v>
      </c>
      <c r="F367" s="18">
        <v>0</v>
      </c>
      <c r="G367" s="18">
        <v>0</v>
      </c>
      <c r="J367" s="18">
        <v>0</v>
      </c>
    </row>
    <row r="368" spans="1:10" x14ac:dyDescent="0.2">
      <c r="A368" s="18">
        <v>6975</v>
      </c>
      <c r="G368" s="18">
        <v>1</v>
      </c>
      <c r="J368" s="18">
        <v>1</v>
      </c>
    </row>
    <row r="369" spans="1:10" x14ac:dyDescent="0.2">
      <c r="A369" s="18">
        <v>6952</v>
      </c>
      <c r="C369" s="18">
        <v>0</v>
      </c>
      <c r="G369" s="18">
        <v>0</v>
      </c>
      <c r="H369" s="18">
        <v>0</v>
      </c>
      <c r="J369" s="18">
        <v>0</v>
      </c>
    </row>
    <row r="370" spans="1:10" x14ac:dyDescent="0.2">
      <c r="A370" s="18">
        <v>6983</v>
      </c>
      <c r="C370" s="18">
        <v>0</v>
      </c>
      <c r="J370" s="18">
        <v>0</v>
      </c>
    </row>
    <row r="371" spans="1:10" x14ac:dyDescent="0.2">
      <c r="A371" s="18">
        <v>6979</v>
      </c>
      <c r="F371" s="18">
        <v>0</v>
      </c>
      <c r="G371" s="18">
        <v>0</v>
      </c>
      <c r="J371" s="18">
        <v>0</v>
      </c>
    </row>
    <row r="372" spans="1:10" x14ac:dyDescent="0.2">
      <c r="A372" s="18">
        <v>6993</v>
      </c>
      <c r="H372" s="18">
        <v>0</v>
      </c>
      <c r="J372" s="18">
        <v>0</v>
      </c>
    </row>
    <row r="373" spans="1:10" x14ac:dyDescent="0.2">
      <c r="A373" s="18">
        <v>7010</v>
      </c>
      <c r="G373" s="18">
        <v>0</v>
      </c>
      <c r="J373" s="18">
        <v>0</v>
      </c>
    </row>
    <row r="374" spans="1:10" x14ac:dyDescent="0.2">
      <c r="A374" s="18">
        <v>7015</v>
      </c>
      <c r="C374" s="18">
        <v>0</v>
      </c>
      <c r="H374" s="18">
        <v>0</v>
      </c>
      <c r="J374" s="18">
        <v>0</v>
      </c>
    </row>
    <row r="375" spans="1:10" x14ac:dyDescent="0.2">
      <c r="A375" s="18">
        <v>6972</v>
      </c>
      <c r="F375" s="18">
        <v>0</v>
      </c>
      <c r="H375" s="18">
        <v>0</v>
      </c>
      <c r="J375" s="18">
        <v>0</v>
      </c>
    </row>
    <row r="376" spans="1:10" x14ac:dyDescent="0.2">
      <c r="A376" s="18">
        <v>7022</v>
      </c>
      <c r="C376" s="18">
        <v>0</v>
      </c>
      <c r="J376" s="18">
        <v>0</v>
      </c>
    </row>
    <row r="377" spans="1:10" x14ac:dyDescent="0.2">
      <c r="A377" s="18">
        <v>7030</v>
      </c>
      <c r="C377" s="18">
        <v>0</v>
      </c>
      <c r="E377" s="18">
        <v>0</v>
      </c>
      <c r="F377" s="18">
        <v>0</v>
      </c>
      <c r="G377" s="18">
        <v>0</v>
      </c>
      <c r="I377" s="18">
        <v>0</v>
      </c>
      <c r="J377" s="18">
        <v>0</v>
      </c>
    </row>
    <row r="378" spans="1:10" x14ac:dyDescent="0.2">
      <c r="A378" s="18">
        <v>7034</v>
      </c>
      <c r="G378" s="18">
        <v>0</v>
      </c>
      <c r="H378" s="18">
        <v>0</v>
      </c>
      <c r="J378" s="18">
        <v>0</v>
      </c>
    </row>
    <row r="379" spans="1:10" x14ac:dyDescent="0.2">
      <c r="A379" s="18">
        <v>7037</v>
      </c>
      <c r="C379" s="18">
        <v>0</v>
      </c>
      <c r="E379" s="18">
        <v>0</v>
      </c>
      <c r="G379" s="18">
        <v>0</v>
      </c>
      <c r="H379" s="18">
        <v>0</v>
      </c>
      <c r="I379" s="18">
        <v>0</v>
      </c>
      <c r="J379" s="18">
        <v>0</v>
      </c>
    </row>
    <row r="380" spans="1:10" x14ac:dyDescent="0.2">
      <c r="A380" s="18">
        <v>7092</v>
      </c>
      <c r="C380" s="18">
        <v>0</v>
      </c>
      <c r="J380" s="18">
        <v>0</v>
      </c>
    </row>
    <row r="381" spans="1:10" x14ac:dyDescent="0.2">
      <c r="A381" s="18" t="s">
        <v>383</v>
      </c>
      <c r="C381" s="18">
        <v>0</v>
      </c>
      <c r="E381" s="18">
        <v>0</v>
      </c>
      <c r="F381" s="18">
        <v>0</v>
      </c>
      <c r="I381" s="18">
        <v>0</v>
      </c>
      <c r="J381" s="18">
        <v>0</v>
      </c>
    </row>
    <row r="382" spans="1:10" x14ac:dyDescent="0.2">
      <c r="A382" s="18">
        <v>7051</v>
      </c>
      <c r="C382" s="18">
        <v>0</v>
      </c>
      <c r="E382" s="18">
        <v>0</v>
      </c>
      <c r="H382" s="18">
        <v>0</v>
      </c>
      <c r="J382" s="18">
        <v>0</v>
      </c>
    </row>
    <row r="383" spans="1:10" x14ac:dyDescent="0.2">
      <c r="A383" s="18">
        <v>7055</v>
      </c>
      <c r="C383" s="18">
        <v>0</v>
      </c>
      <c r="J383" s="18">
        <v>0</v>
      </c>
    </row>
    <row r="384" spans="1:10" x14ac:dyDescent="0.2">
      <c r="A384" s="18">
        <v>7053</v>
      </c>
      <c r="E384" s="18">
        <v>0</v>
      </c>
      <c r="J384" s="18">
        <v>0</v>
      </c>
    </row>
    <row r="385" spans="1:10" x14ac:dyDescent="0.2">
      <c r="A385" s="18">
        <v>7062</v>
      </c>
      <c r="C385" s="18">
        <v>0</v>
      </c>
      <c r="J385" s="18">
        <v>0</v>
      </c>
    </row>
    <row r="386" spans="1:10" x14ac:dyDescent="0.2">
      <c r="A386" s="18">
        <v>6773</v>
      </c>
      <c r="B386" s="18">
        <v>19</v>
      </c>
      <c r="C386" s="18">
        <v>145</v>
      </c>
      <c r="F386" s="18">
        <v>53</v>
      </c>
      <c r="G386" s="18">
        <v>1266</v>
      </c>
      <c r="H386" s="18">
        <v>154</v>
      </c>
      <c r="J386" s="18">
        <v>1637</v>
      </c>
    </row>
    <row r="387" spans="1:10" x14ac:dyDescent="0.2">
      <c r="A387" s="18">
        <v>6649</v>
      </c>
      <c r="C387" s="18">
        <v>0</v>
      </c>
      <c r="F387" s="18">
        <v>0</v>
      </c>
      <c r="G387" s="18">
        <v>0</v>
      </c>
      <c r="H387" s="18">
        <v>0</v>
      </c>
      <c r="J387" s="18">
        <v>0</v>
      </c>
    </row>
    <row r="388" spans="1:10" x14ac:dyDescent="0.2">
      <c r="A388" s="18">
        <v>7021</v>
      </c>
      <c r="C388" s="18">
        <v>0</v>
      </c>
      <c r="F388" s="18">
        <v>0</v>
      </c>
      <c r="G388" s="18">
        <v>0</v>
      </c>
      <c r="H388" s="18">
        <v>0</v>
      </c>
      <c r="J388" s="18">
        <v>0</v>
      </c>
    </row>
    <row r="389" spans="1:10" x14ac:dyDescent="0.2">
      <c r="A389" s="18">
        <v>7088</v>
      </c>
      <c r="C389" s="18">
        <v>0</v>
      </c>
      <c r="J389" s="18">
        <v>0</v>
      </c>
    </row>
    <row r="390" spans="1:10" x14ac:dyDescent="0.2">
      <c r="A390" s="18">
        <v>6997</v>
      </c>
      <c r="H390" s="18">
        <v>0</v>
      </c>
      <c r="J390" s="18">
        <v>0</v>
      </c>
    </row>
    <row r="391" spans="1:10" x14ac:dyDescent="0.2">
      <c r="A391" s="18">
        <v>7049</v>
      </c>
      <c r="C391" s="18">
        <v>0</v>
      </c>
      <c r="G391" s="18">
        <v>0</v>
      </c>
      <c r="J391" s="18">
        <v>0</v>
      </c>
    </row>
    <row r="392" spans="1:10" x14ac:dyDescent="0.2">
      <c r="A392" s="18">
        <v>7096</v>
      </c>
      <c r="F392" s="18">
        <v>0</v>
      </c>
      <c r="I392" s="18">
        <v>0</v>
      </c>
      <c r="J392" s="18">
        <v>0</v>
      </c>
    </row>
    <row r="393" spans="1:10" x14ac:dyDescent="0.2">
      <c r="A393" s="18">
        <v>7136</v>
      </c>
      <c r="F393" s="18">
        <v>0</v>
      </c>
      <c r="J393" s="18">
        <v>0</v>
      </c>
    </row>
    <row r="394" spans="1:10" x14ac:dyDescent="0.2">
      <c r="A394" s="18">
        <v>7117</v>
      </c>
      <c r="C394" s="18">
        <v>0</v>
      </c>
      <c r="F394" s="18">
        <v>0</v>
      </c>
      <c r="G394" s="18">
        <v>0</v>
      </c>
      <c r="H394" s="18">
        <v>0</v>
      </c>
      <c r="I394" s="18">
        <v>0</v>
      </c>
      <c r="J394" s="18">
        <v>0</v>
      </c>
    </row>
    <row r="395" spans="1:10" x14ac:dyDescent="0.2">
      <c r="A395" s="18">
        <v>7110</v>
      </c>
      <c r="C395" s="18">
        <v>0</v>
      </c>
      <c r="G395" s="18">
        <v>0</v>
      </c>
      <c r="J395" s="18">
        <v>0</v>
      </c>
    </row>
    <row r="396" spans="1:10" x14ac:dyDescent="0.2">
      <c r="A396" s="18">
        <v>7114</v>
      </c>
      <c r="B396" s="18">
        <v>0</v>
      </c>
      <c r="C396" s="18">
        <v>0</v>
      </c>
      <c r="D396" s="18">
        <v>1408</v>
      </c>
      <c r="E396" s="18">
        <v>18</v>
      </c>
      <c r="F396" s="18">
        <v>0</v>
      </c>
      <c r="G396" s="18">
        <v>0</v>
      </c>
      <c r="H396" s="18">
        <v>0</v>
      </c>
      <c r="I396" s="18">
        <v>0</v>
      </c>
      <c r="J396" s="18">
        <v>1426</v>
      </c>
    </row>
    <row r="397" spans="1:10" x14ac:dyDescent="0.2">
      <c r="A397" s="18">
        <v>7147</v>
      </c>
      <c r="F397" s="18">
        <v>0</v>
      </c>
      <c r="J397" s="18">
        <v>0</v>
      </c>
    </row>
    <row r="398" spans="1:10" x14ac:dyDescent="0.2">
      <c r="A398" s="18">
        <v>7162</v>
      </c>
      <c r="G398" s="18">
        <v>0</v>
      </c>
      <c r="J398" s="18">
        <v>0</v>
      </c>
    </row>
    <row r="399" spans="1:10" x14ac:dyDescent="0.2">
      <c r="A399" s="18">
        <v>7167</v>
      </c>
      <c r="F399" s="18">
        <v>0</v>
      </c>
      <c r="G399" s="18">
        <v>0</v>
      </c>
      <c r="H399" s="18">
        <v>0</v>
      </c>
      <c r="J399" s="18">
        <v>0</v>
      </c>
    </row>
    <row r="400" spans="1:10" x14ac:dyDescent="0.2">
      <c r="A400" s="18">
        <v>7170</v>
      </c>
      <c r="F400" s="18">
        <v>0</v>
      </c>
      <c r="I400" s="18">
        <v>0</v>
      </c>
      <c r="J400" s="18">
        <v>0</v>
      </c>
    </row>
    <row r="401" spans="1:10" x14ac:dyDescent="0.2">
      <c r="A401" s="18">
        <v>7173</v>
      </c>
      <c r="D401" s="18">
        <v>0</v>
      </c>
      <c r="G401" s="18">
        <v>0</v>
      </c>
      <c r="J401" s="18">
        <v>0</v>
      </c>
    </row>
    <row r="402" spans="1:10" x14ac:dyDescent="0.2">
      <c r="A402" s="18">
        <v>7176</v>
      </c>
      <c r="F402" s="18">
        <v>0</v>
      </c>
      <c r="J402" s="18">
        <v>0</v>
      </c>
    </row>
    <row r="403" spans="1:10" x14ac:dyDescent="0.2">
      <c r="A403" s="18">
        <v>7186</v>
      </c>
      <c r="C403" s="18">
        <v>0</v>
      </c>
      <c r="F403" s="18">
        <v>0</v>
      </c>
      <c r="J403" s="18">
        <v>0</v>
      </c>
    </row>
    <row r="404" spans="1:10" x14ac:dyDescent="0.2">
      <c r="A404" s="18">
        <v>7195</v>
      </c>
      <c r="F404" s="18">
        <v>0</v>
      </c>
      <c r="J404" s="18">
        <v>0</v>
      </c>
    </row>
    <row r="405" spans="1:10" x14ac:dyDescent="0.2">
      <c r="A405" s="18">
        <v>7202</v>
      </c>
      <c r="C405" s="18">
        <v>0</v>
      </c>
      <c r="E405" s="18">
        <v>0</v>
      </c>
      <c r="F405" s="18">
        <v>0</v>
      </c>
      <c r="G405" s="18">
        <v>0</v>
      </c>
      <c r="H405" s="18">
        <v>0</v>
      </c>
      <c r="I405" s="18">
        <v>0</v>
      </c>
      <c r="J405" s="18">
        <v>0</v>
      </c>
    </row>
    <row r="406" spans="1:10" x14ac:dyDescent="0.2">
      <c r="A406" s="18">
        <v>7074</v>
      </c>
      <c r="C406" s="18">
        <v>0</v>
      </c>
      <c r="G406" s="18">
        <v>0</v>
      </c>
      <c r="J406" s="18">
        <v>0</v>
      </c>
    </row>
    <row r="407" spans="1:10" x14ac:dyDescent="0.2">
      <c r="A407" s="18" t="s">
        <v>446</v>
      </c>
      <c r="B407" s="18">
        <v>5</v>
      </c>
      <c r="C407" s="18">
        <v>269</v>
      </c>
      <c r="F407" s="18">
        <v>0</v>
      </c>
      <c r="G407" s="18">
        <v>0</v>
      </c>
      <c r="J407" s="18">
        <v>274</v>
      </c>
    </row>
    <row r="408" spans="1:10" x14ac:dyDescent="0.2">
      <c r="A408" s="18" t="s">
        <v>443</v>
      </c>
      <c r="B408" s="18">
        <v>0</v>
      </c>
      <c r="E408" s="18">
        <v>0</v>
      </c>
      <c r="F408" s="18">
        <v>0</v>
      </c>
      <c r="G408" s="18">
        <v>0</v>
      </c>
      <c r="I408" s="18">
        <v>0</v>
      </c>
      <c r="J408" s="18">
        <v>0</v>
      </c>
    </row>
    <row r="409" spans="1:10" x14ac:dyDescent="0.2">
      <c r="A409" s="18" t="s">
        <v>444</v>
      </c>
      <c r="B409" s="18">
        <v>0</v>
      </c>
      <c r="F409" s="18">
        <v>0</v>
      </c>
      <c r="G409" s="18">
        <v>0</v>
      </c>
      <c r="J409" s="18">
        <v>0</v>
      </c>
    </row>
    <row r="410" spans="1:10" x14ac:dyDescent="0.2">
      <c r="A410" s="18" t="s">
        <v>445</v>
      </c>
      <c r="B410" s="18">
        <v>0</v>
      </c>
      <c r="F410" s="18">
        <v>0</v>
      </c>
      <c r="G410" s="18">
        <v>0</v>
      </c>
      <c r="J410" s="18">
        <v>0</v>
      </c>
    </row>
    <row r="411" spans="1:10" x14ac:dyDescent="0.2">
      <c r="A411" s="18">
        <v>7216</v>
      </c>
      <c r="C411" s="18">
        <v>0</v>
      </c>
      <c r="E411" s="18">
        <v>0</v>
      </c>
      <c r="F411" s="18">
        <v>0</v>
      </c>
      <c r="G411" s="18">
        <v>0</v>
      </c>
      <c r="H411" s="18">
        <v>0</v>
      </c>
      <c r="I411" s="18">
        <v>0</v>
      </c>
      <c r="J411" s="18">
        <v>0</v>
      </c>
    </row>
    <row r="412" spans="1:10" x14ac:dyDescent="0.2">
      <c r="A412" s="18">
        <v>7218</v>
      </c>
      <c r="C412" s="18">
        <v>0</v>
      </c>
      <c r="E412" s="18">
        <v>0</v>
      </c>
      <c r="F412" s="18">
        <v>0</v>
      </c>
      <c r="G412" s="18">
        <v>0</v>
      </c>
      <c r="H412" s="18">
        <v>0</v>
      </c>
      <c r="I412" s="18">
        <v>0</v>
      </c>
      <c r="J412" s="18">
        <v>0</v>
      </c>
    </row>
    <row r="413" spans="1:10" x14ac:dyDescent="0.2">
      <c r="A413" s="18">
        <v>7220</v>
      </c>
      <c r="F413" s="18">
        <v>0</v>
      </c>
      <c r="J413" s="18">
        <v>0</v>
      </c>
    </row>
    <row r="414" spans="1:10" x14ac:dyDescent="0.2">
      <c r="A414" s="18">
        <v>7228</v>
      </c>
      <c r="C414" s="18">
        <v>0</v>
      </c>
      <c r="J414" s="18">
        <v>0</v>
      </c>
    </row>
    <row r="415" spans="1:10" x14ac:dyDescent="0.2">
      <c r="A415" s="18">
        <v>7226</v>
      </c>
      <c r="C415" s="18">
        <v>0</v>
      </c>
      <c r="H415" s="18">
        <v>0</v>
      </c>
      <c r="J415" s="18">
        <v>0</v>
      </c>
    </row>
    <row r="416" spans="1:10" x14ac:dyDescent="0.2">
      <c r="A416" s="18">
        <v>7242</v>
      </c>
      <c r="D416" s="18">
        <v>0</v>
      </c>
      <c r="E416" s="18">
        <v>0</v>
      </c>
      <c r="G416" s="18">
        <v>0</v>
      </c>
      <c r="J416" s="18">
        <v>0</v>
      </c>
    </row>
    <row r="417" spans="1:10" x14ac:dyDescent="0.2">
      <c r="A417" s="18">
        <v>7253</v>
      </c>
      <c r="F417" s="18">
        <v>0</v>
      </c>
      <c r="J417" s="18">
        <v>0</v>
      </c>
    </row>
    <row r="418" spans="1:10" x14ac:dyDescent="0.2">
      <c r="A418" s="18">
        <v>7255</v>
      </c>
      <c r="F418" s="18">
        <v>0</v>
      </c>
      <c r="J418" s="18">
        <v>0</v>
      </c>
    </row>
    <row r="419" spans="1:10" x14ac:dyDescent="0.2">
      <c r="A419" s="18">
        <v>7254</v>
      </c>
      <c r="C419" s="18">
        <v>0</v>
      </c>
      <c r="G419" s="18">
        <v>0</v>
      </c>
      <c r="J419" s="18">
        <v>0</v>
      </c>
    </row>
    <row r="420" spans="1:10" x14ac:dyDescent="0.2">
      <c r="A420" s="18">
        <v>7247</v>
      </c>
      <c r="C420" s="18">
        <v>0</v>
      </c>
      <c r="E420" s="18">
        <v>0</v>
      </c>
      <c r="H420" s="18">
        <v>0</v>
      </c>
      <c r="J420" s="18">
        <v>0</v>
      </c>
    </row>
    <row r="421" spans="1:10" x14ac:dyDescent="0.2">
      <c r="A421" s="18">
        <v>7259</v>
      </c>
      <c r="C421" s="18">
        <v>0</v>
      </c>
      <c r="G421" s="18">
        <v>0</v>
      </c>
      <c r="J421" s="18">
        <v>0</v>
      </c>
    </row>
    <row r="422" spans="1:10" x14ac:dyDescent="0.2">
      <c r="A422" s="18">
        <v>7273</v>
      </c>
      <c r="C422" s="18">
        <v>0</v>
      </c>
      <c r="E422" s="18">
        <v>0</v>
      </c>
      <c r="F422" s="18">
        <v>0</v>
      </c>
      <c r="G422" s="18">
        <v>0</v>
      </c>
      <c r="H422" s="18">
        <v>0</v>
      </c>
      <c r="I422" s="18">
        <v>0</v>
      </c>
      <c r="J422" s="18">
        <v>0</v>
      </c>
    </row>
    <row r="423" spans="1:10" x14ac:dyDescent="0.2">
      <c r="A423" s="18">
        <v>7277</v>
      </c>
      <c r="C423" s="18">
        <v>0</v>
      </c>
      <c r="E423" s="18">
        <v>0</v>
      </c>
      <c r="F423" s="18">
        <v>0</v>
      </c>
      <c r="G423" s="18">
        <v>0</v>
      </c>
      <c r="H423" s="18">
        <v>0</v>
      </c>
      <c r="I423" s="18">
        <v>0</v>
      </c>
      <c r="J423" s="18">
        <v>0</v>
      </c>
    </row>
    <row r="424" spans="1:10" x14ac:dyDescent="0.2">
      <c r="A424" s="18">
        <v>7275</v>
      </c>
      <c r="C424" s="18">
        <v>0</v>
      </c>
      <c r="E424" s="18">
        <v>0</v>
      </c>
      <c r="F424" s="18">
        <v>0</v>
      </c>
      <c r="G424" s="18">
        <v>0</v>
      </c>
      <c r="H424" s="18">
        <v>0</v>
      </c>
      <c r="I424" s="18">
        <v>0</v>
      </c>
      <c r="J424" s="18">
        <v>0</v>
      </c>
    </row>
    <row r="425" spans="1:10" x14ac:dyDescent="0.2">
      <c r="A425" s="18">
        <v>7280</v>
      </c>
      <c r="F425" s="18">
        <v>0</v>
      </c>
      <c r="J425" s="18">
        <v>0</v>
      </c>
    </row>
    <row r="426" spans="1:10" x14ac:dyDescent="0.2">
      <c r="A426" s="18">
        <v>7281</v>
      </c>
      <c r="F426" s="18">
        <v>0</v>
      </c>
      <c r="J426" s="18">
        <v>0</v>
      </c>
    </row>
    <row r="427" spans="1:10" x14ac:dyDescent="0.2">
      <c r="A427" s="18">
        <v>7286</v>
      </c>
      <c r="C427" s="18">
        <v>0</v>
      </c>
      <c r="E427" s="18">
        <v>0</v>
      </c>
      <c r="F427" s="18">
        <v>0</v>
      </c>
      <c r="G427" s="18">
        <v>0</v>
      </c>
      <c r="H427" s="18">
        <v>0</v>
      </c>
      <c r="I427" s="18">
        <v>0</v>
      </c>
      <c r="J427" s="18">
        <v>0</v>
      </c>
    </row>
    <row r="428" spans="1:10" x14ac:dyDescent="0.2">
      <c r="A428" s="18">
        <v>7289</v>
      </c>
      <c r="D428" s="18">
        <v>0</v>
      </c>
      <c r="J428" s="18">
        <v>0</v>
      </c>
    </row>
    <row r="429" spans="1:10" x14ac:dyDescent="0.2">
      <c r="A429" s="18">
        <v>7292</v>
      </c>
      <c r="F429" s="18">
        <v>0</v>
      </c>
      <c r="H429" s="18">
        <v>0</v>
      </c>
      <c r="J429" s="18">
        <v>0</v>
      </c>
    </row>
    <row r="430" spans="1:10" x14ac:dyDescent="0.2">
      <c r="A430" s="18">
        <v>7293</v>
      </c>
      <c r="F430" s="18">
        <v>0</v>
      </c>
      <c r="J430" s="18">
        <v>0</v>
      </c>
    </row>
    <row r="431" spans="1:10" x14ac:dyDescent="0.2">
      <c r="A431" s="18">
        <v>7296</v>
      </c>
      <c r="F431" s="18">
        <v>0</v>
      </c>
      <c r="J431" s="18">
        <v>0</v>
      </c>
    </row>
    <row r="432" spans="1:10" x14ac:dyDescent="0.2">
      <c r="A432" s="18">
        <v>7300</v>
      </c>
      <c r="G432" s="18">
        <v>0</v>
      </c>
      <c r="J432" s="18">
        <v>0</v>
      </c>
    </row>
    <row r="433" spans="1:10" x14ac:dyDescent="0.2">
      <c r="A433" s="18" t="s">
        <v>438</v>
      </c>
      <c r="C433" s="18">
        <v>0</v>
      </c>
      <c r="E433" s="18">
        <v>0</v>
      </c>
      <c r="F433" s="18">
        <v>0</v>
      </c>
      <c r="H433" s="18">
        <v>0</v>
      </c>
      <c r="I433" s="18">
        <v>0</v>
      </c>
      <c r="J433" s="18">
        <v>0</v>
      </c>
    </row>
    <row r="434" spans="1:10" x14ac:dyDescent="0.2">
      <c r="A434" s="18">
        <v>7307</v>
      </c>
      <c r="C434" s="18">
        <v>0</v>
      </c>
      <c r="E434" s="18">
        <v>0</v>
      </c>
      <c r="F434" s="18">
        <v>0</v>
      </c>
      <c r="G434" s="18">
        <v>0</v>
      </c>
      <c r="H434" s="18">
        <v>0</v>
      </c>
      <c r="J434" s="18">
        <v>0</v>
      </c>
    </row>
    <row r="435" spans="1:10" x14ac:dyDescent="0.2">
      <c r="A435" s="18">
        <v>7311</v>
      </c>
      <c r="F435" s="18">
        <v>0</v>
      </c>
      <c r="G435" s="18">
        <v>0</v>
      </c>
      <c r="J435" s="18">
        <v>0</v>
      </c>
    </row>
    <row r="436" spans="1:10" x14ac:dyDescent="0.2">
      <c r="A436" s="18">
        <v>7207</v>
      </c>
      <c r="C436" s="18">
        <v>0</v>
      </c>
      <c r="G436" s="18">
        <v>0</v>
      </c>
      <c r="H436" s="18">
        <v>0</v>
      </c>
      <c r="J436" s="18">
        <v>0</v>
      </c>
    </row>
    <row r="437" spans="1:10" x14ac:dyDescent="0.2">
      <c r="A437" s="18">
        <v>7319</v>
      </c>
      <c r="C437" s="18">
        <v>0</v>
      </c>
      <c r="F437" s="18">
        <v>0</v>
      </c>
      <c r="G437" s="18">
        <v>0</v>
      </c>
      <c r="H437" s="18">
        <v>0</v>
      </c>
      <c r="J437" s="18">
        <v>0</v>
      </c>
    </row>
    <row r="438" spans="1:10" x14ac:dyDescent="0.2">
      <c r="A438" s="18">
        <v>7323</v>
      </c>
      <c r="F438" s="18">
        <v>0</v>
      </c>
      <c r="J438" s="18">
        <v>0</v>
      </c>
    </row>
    <row r="439" spans="1:10" x14ac:dyDescent="0.2">
      <c r="A439" s="18">
        <v>7350</v>
      </c>
      <c r="C439" s="18">
        <v>0</v>
      </c>
      <c r="E439" s="18">
        <v>0</v>
      </c>
      <c r="F439" s="18">
        <v>0</v>
      </c>
      <c r="G439" s="18">
        <v>0</v>
      </c>
      <c r="H439" s="18">
        <v>0</v>
      </c>
      <c r="I439" s="18">
        <v>0</v>
      </c>
      <c r="J439" s="18">
        <v>0</v>
      </c>
    </row>
    <row r="440" spans="1:10" x14ac:dyDescent="0.2">
      <c r="A440" s="18">
        <v>6936</v>
      </c>
      <c r="F440" s="18">
        <v>0</v>
      </c>
      <c r="G440" s="18">
        <v>0</v>
      </c>
      <c r="H440" s="18">
        <v>0</v>
      </c>
      <c r="J440" s="18">
        <v>0</v>
      </c>
    </row>
    <row r="441" spans="1:10" x14ac:dyDescent="0.2">
      <c r="A441" s="18">
        <v>7368</v>
      </c>
      <c r="D441" s="18">
        <v>0</v>
      </c>
      <c r="J441" s="18">
        <v>0</v>
      </c>
    </row>
    <row r="442" spans="1:10" x14ac:dyDescent="0.2">
      <c r="A442" s="18">
        <v>7365</v>
      </c>
      <c r="F442" s="18">
        <v>0</v>
      </c>
      <c r="J442" s="18">
        <v>0</v>
      </c>
    </row>
    <row r="443" spans="1:10" x14ac:dyDescent="0.2">
      <c r="A443" s="18">
        <v>7370</v>
      </c>
      <c r="G443" s="18">
        <v>0</v>
      </c>
      <c r="J443" s="18">
        <v>0</v>
      </c>
    </row>
    <row r="444" spans="1:10" x14ac:dyDescent="0.2">
      <c r="A444" s="18">
        <v>7373</v>
      </c>
      <c r="G444" s="18">
        <v>0</v>
      </c>
      <c r="J444" s="18">
        <v>0</v>
      </c>
    </row>
    <row r="445" spans="1:10" x14ac:dyDescent="0.2">
      <c r="A445" s="18">
        <v>7393</v>
      </c>
      <c r="F445" s="18">
        <v>0</v>
      </c>
      <c r="J445" s="18">
        <v>0</v>
      </c>
    </row>
    <row r="446" spans="1:10" x14ac:dyDescent="0.2">
      <c r="A446" s="18">
        <v>7407</v>
      </c>
      <c r="F446" s="18">
        <v>0</v>
      </c>
      <c r="J446" s="18">
        <v>0</v>
      </c>
    </row>
    <row r="447" spans="1:10" x14ac:dyDescent="0.2">
      <c r="A447" s="18">
        <v>7411</v>
      </c>
      <c r="C447" s="18">
        <v>0</v>
      </c>
      <c r="F447" s="18">
        <v>1</v>
      </c>
      <c r="H447" s="18">
        <v>0</v>
      </c>
      <c r="J447" s="18">
        <v>1</v>
      </c>
    </row>
    <row r="448" spans="1:10" x14ac:dyDescent="0.2">
      <c r="A448" s="18">
        <v>7409</v>
      </c>
      <c r="F448" s="18">
        <v>0</v>
      </c>
      <c r="J448" s="18">
        <v>0</v>
      </c>
    </row>
    <row r="449" spans="1:10" x14ac:dyDescent="0.2">
      <c r="A449" s="18">
        <v>7426</v>
      </c>
      <c r="C449" s="18">
        <v>0</v>
      </c>
      <c r="F449" s="18">
        <v>0</v>
      </c>
      <c r="G449" s="18">
        <v>1</v>
      </c>
      <c r="H449" s="18">
        <v>0</v>
      </c>
      <c r="J449" s="18">
        <v>1</v>
      </c>
    </row>
    <row r="450" spans="1:10" x14ac:dyDescent="0.2">
      <c r="A450" s="18">
        <v>7352</v>
      </c>
      <c r="C450" s="18">
        <v>0</v>
      </c>
      <c r="G450" s="18">
        <v>0</v>
      </c>
      <c r="H450" s="18">
        <v>0</v>
      </c>
      <c r="J450" s="18">
        <v>0</v>
      </c>
    </row>
    <row r="451" spans="1:10" x14ac:dyDescent="0.2">
      <c r="A451" s="18">
        <v>7389</v>
      </c>
      <c r="F451" s="18">
        <v>0</v>
      </c>
      <c r="J451" s="18">
        <v>0</v>
      </c>
    </row>
    <row r="452" spans="1:10" x14ac:dyDescent="0.2">
      <c r="A452" s="18">
        <v>6542</v>
      </c>
      <c r="C452" s="18">
        <v>0</v>
      </c>
      <c r="D452" s="18">
        <v>0</v>
      </c>
      <c r="E452" s="18">
        <v>0</v>
      </c>
      <c r="F452" s="18">
        <v>0</v>
      </c>
      <c r="G452" s="18">
        <v>0</v>
      </c>
      <c r="H452" s="18">
        <v>0</v>
      </c>
      <c r="J452" s="18">
        <v>0</v>
      </c>
    </row>
    <row r="453" spans="1:10" x14ac:dyDescent="0.2">
      <c r="A453" s="18">
        <v>7436</v>
      </c>
      <c r="C453" s="18">
        <v>0</v>
      </c>
      <c r="H453" s="18">
        <v>0</v>
      </c>
      <c r="J453" s="18">
        <v>0</v>
      </c>
    </row>
    <row r="454" spans="1:10" x14ac:dyDescent="0.2">
      <c r="A454" s="18">
        <v>7482</v>
      </c>
      <c r="G454" s="18">
        <v>0</v>
      </c>
      <c r="J454" s="18">
        <v>0</v>
      </c>
    </row>
    <row r="455" spans="1:10" x14ac:dyDescent="0.2">
      <c r="A455" s="18">
        <v>7485</v>
      </c>
      <c r="C455" s="18">
        <v>0</v>
      </c>
      <c r="E455" s="18">
        <v>0</v>
      </c>
      <c r="F455" s="18">
        <v>0</v>
      </c>
      <c r="G455" s="18">
        <v>0</v>
      </c>
      <c r="H455" s="18">
        <v>0</v>
      </c>
      <c r="I455" s="18">
        <v>0</v>
      </c>
      <c r="J455" s="18">
        <v>0</v>
      </c>
    </row>
    <row r="456" spans="1:10" x14ac:dyDescent="0.2">
      <c r="A456" s="18">
        <v>7486</v>
      </c>
      <c r="C456" s="18">
        <v>0</v>
      </c>
      <c r="E456" s="18">
        <v>0</v>
      </c>
      <c r="F456" s="18">
        <v>0</v>
      </c>
      <c r="G456" s="18">
        <v>0</v>
      </c>
      <c r="H456" s="18">
        <v>0</v>
      </c>
      <c r="I456" s="18">
        <v>0</v>
      </c>
      <c r="J456" s="18">
        <v>0</v>
      </c>
    </row>
    <row r="457" spans="1:10" x14ac:dyDescent="0.2">
      <c r="A457" s="18">
        <v>7488</v>
      </c>
      <c r="C457" s="18">
        <v>0</v>
      </c>
      <c r="E457" s="18">
        <v>0</v>
      </c>
      <c r="F457" s="18">
        <v>0</v>
      </c>
      <c r="G457" s="18">
        <v>0</v>
      </c>
      <c r="H457" s="18">
        <v>0</v>
      </c>
      <c r="I457" s="18">
        <v>0</v>
      </c>
      <c r="J457" s="18">
        <v>0</v>
      </c>
    </row>
    <row r="458" spans="1:10" x14ac:dyDescent="0.2">
      <c r="A458" s="18">
        <v>7495</v>
      </c>
      <c r="C458" s="18">
        <v>0</v>
      </c>
      <c r="F458" s="18">
        <v>0</v>
      </c>
      <c r="G458" s="18">
        <v>0</v>
      </c>
      <c r="H458" s="18">
        <v>0</v>
      </c>
      <c r="I458" s="18">
        <v>0</v>
      </c>
      <c r="J458" s="18">
        <v>0</v>
      </c>
    </row>
    <row r="459" spans="1:10" x14ac:dyDescent="0.2">
      <c r="A459" s="18">
        <v>7491</v>
      </c>
      <c r="B459" s="18">
        <v>0</v>
      </c>
      <c r="C459" s="18">
        <v>0</v>
      </c>
      <c r="D459" s="18">
        <v>0</v>
      </c>
      <c r="E459" s="18">
        <v>0</v>
      </c>
      <c r="F459" s="18">
        <v>0</v>
      </c>
      <c r="G459" s="18">
        <v>0</v>
      </c>
      <c r="H459" s="18">
        <v>0</v>
      </c>
      <c r="I459" s="18">
        <v>0</v>
      </c>
      <c r="J459" s="18">
        <v>0</v>
      </c>
    </row>
    <row r="460" spans="1:10" x14ac:dyDescent="0.2">
      <c r="A460" s="18">
        <v>7330</v>
      </c>
      <c r="F460" s="18">
        <v>0</v>
      </c>
      <c r="J460" s="18">
        <v>0</v>
      </c>
    </row>
    <row r="461" spans="1:10" x14ac:dyDescent="0.2">
      <c r="A461" s="18">
        <v>7508</v>
      </c>
      <c r="C461" s="18">
        <v>0</v>
      </c>
      <c r="E461" s="18">
        <v>0</v>
      </c>
      <c r="F461" s="18">
        <v>0</v>
      </c>
      <c r="G461" s="18">
        <v>0</v>
      </c>
      <c r="I461" s="18">
        <v>0</v>
      </c>
      <c r="J461" s="18">
        <v>0</v>
      </c>
    </row>
    <row r="462" spans="1:10" x14ac:dyDescent="0.2">
      <c r="A462" s="18">
        <v>7509</v>
      </c>
      <c r="F462" s="18">
        <v>0</v>
      </c>
      <c r="H462" s="18">
        <v>0</v>
      </c>
      <c r="J462" s="18">
        <v>0</v>
      </c>
    </row>
    <row r="463" spans="1:10" x14ac:dyDescent="0.2">
      <c r="A463" s="18">
        <v>7516</v>
      </c>
      <c r="C463" s="18">
        <v>0</v>
      </c>
      <c r="J463" s="18">
        <v>0</v>
      </c>
    </row>
    <row r="464" spans="1:10" x14ac:dyDescent="0.2">
      <c r="A464" s="18">
        <v>7517</v>
      </c>
      <c r="C464" s="18">
        <v>0</v>
      </c>
      <c r="F464" s="18">
        <v>0</v>
      </c>
      <c r="G464" s="18">
        <v>0</v>
      </c>
      <c r="J464" s="18">
        <v>0</v>
      </c>
    </row>
    <row r="465" spans="1:10" x14ac:dyDescent="0.2">
      <c r="A465" s="18">
        <v>7187</v>
      </c>
      <c r="C465" s="18">
        <v>0</v>
      </c>
      <c r="J465" s="18">
        <v>0</v>
      </c>
    </row>
    <row r="466" spans="1:10" x14ac:dyDescent="0.2">
      <c r="A466" s="18">
        <v>7427</v>
      </c>
      <c r="C466" s="18">
        <v>0</v>
      </c>
      <c r="J466" s="18">
        <v>0</v>
      </c>
    </row>
    <row r="467" spans="1:10" x14ac:dyDescent="0.2">
      <c r="A467" s="18">
        <v>7458</v>
      </c>
      <c r="C467" s="18">
        <v>0</v>
      </c>
      <c r="E467" s="18">
        <v>0</v>
      </c>
      <c r="F467" s="18">
        <v>0</v>
      </c>
      <c r="G467" s="18">
        <v>0</v>
      </c>
      <c r="H467" s="18">
        <v>0</v>
      </c>
      <c r="I467" s="18">
        <v>0</v>
      </c>
      <c r="J467" s="18">
        <v>0</v>
      </c>
    </row>
    <row r="468" spans="1:10" x14ac:dyDescent="0.2">
      <c r="A468" s="18">
        <v>7397</v>
      </c>
      <c r="C468" s="18">
        <v>0</v>
      </c>
      <c r="G468" s="18">
        <v>0</v>
      </c>
      <c r="H468" s="18">
        <v>0</v>
      </c>
      <c r="J468" s="18">
        <v>0</v>
      </c>
    </row>
    <row r="469" spans="1:10" x14ac:dyDescent="0.2">
      <c r="A469" s="18">
        <v>7559</v>
      </c>
      <c r="C469" s="18">
        <v>0</v>
      </c>
      <c r="J469" s="18">
        <v>0</v>
      </c>
    </row>
    <row r="470" spans="1:10" x14ac:dyDescent="0.2">
      <c r="A470" s="18">
        <v>7560</v>
      </c>
      <c r="H470" s="18">
        <v>0</v>
      </c>
      <c r="J470" s="18">
        <v>0</v>
      </c>
    </row>
    <row r="471" spans="1:10" x14ac:dyDescent="0.2">
      <c r="A471" s="18">
        <v>7561</v>
      </c>
      <c r="C471" s="18">
        <v>0</v>
      </c>
      <c r="E471" s="18">
        <v>0</v>
      </c>
      <c r="F471" s="18">
        <v>0</v>
      </c>
      <c r="G471" s="18">
        <v>0</v>
      </c>
      <c r="I471" s="18">
        <v>0</v>
      </c>
      <c r="J471" s="18">
        <v>0</v>
      </c>
    </row>
    <row r="472" spans="1:10" x14ac:dyDescent="0.2">
      <c r="A472" s="18">
        <v>7565</v>
      </c>
      <c r="C472" s="18">
        <v>0</v>
      </c>
      <c r="G472" s="18">
        <v>0</v>
      </c>
      <c r="J472" s="18">
        <v>0</v>
      </c>
    </row>
    <row r="473" spans="1:10" x14ac:dyDescent="0.2">
      <c r="A473" s="18">
        <v>7569</v>
      </c>
      <c r="F473" s="18">
        <v>0</v>
      </c>
      <c r="H473" s="18">
        <v>0</v>
      </c>
      <c r="J473" s="18">
        <v>0</v>
      </c>
    </row>
    <row r="474" spans="1:10" x14ac:dyDescent="0.2">
      <c r="A474" s="18">
        <v>7572</v>
      </c>
      <c r="C474" s="18">
        <v>0</v>
      </c>
      <c r="E474" s="18">
        <v>0</v>
      </c>
      <c r="F474" s="18">
        <v>0</v>
      </c>
      <c r="G474" s="18">
        <v>0</v>
      </c>
      <c r="H474" s="18">
        <v>0</v>
      </c>
      <c r="I474" s="18">
        <v>0</v>
      </c>
      <c r="J474" s="18">
        <v>0</v>
      </c>
    </row>
    <row r="475" spans="1:10" x14ac:dyDescent="0.2">
      <c r="A475" s="18">
        <v>7574</v>
      </c>
      <c r="F475" s="18">
        <v>0</v>
      </c>
      <c r="J475" s="18">
        <v>0</v>
      </c>
    </row>
    <row r="476" spans="1:10" x14ac:dyDescent="0.2">
      <c r="A476" s="18">
        <v>7581</v>
      </c>
      <c r="C476" s="18">
        <v>0</v>
      </c>
      <c r="E476" s="18">
        <v>0</v>
      </c>
      <c r="F476" s="18">
        <v>0</v>
      </c>
      <c r="G476" s="18">
        <v>0</v>
      </c>
      <c r="H476" s="18">
        <v>0</v>
      </c>
      <c r="I476" s="18">
        <v>0</v>
      </c>
      <c r="J476" s="18">
        <v>0</v>
      </c>
    </row>
    <row r="477" spans="1:10" x14ac:dyDescent="0.2">
      <c r="A477" s="18">
        <v>7584</v>
      </c>
      <c r="H477" s="18">
        <v>0</v>
      </c>
      <c r="J477" s="18">
        <v>0</v>
      </c>
    </row>
    <row r="478" spans="1:10" x14ac:dyDescent="0.2">
      <c r="A478" s="18">
        <v>7507</v>
      </c>
      <c r="C478" s="18">
        <v>0</v>
      </c>
      <c r="J478" s="18">
        <v>0</v>
      </c>
    </row>
    <row r="479" spans="1:10" x14ac:dyDescent="0.2">
      <c r="A479" s="18">
        <v>7579</v>
      </c>
      <c r="F479" s="18">
        <v>0</v>
      </c>
      <c r="J479" s="18">
        <v>0</v>
      </c>
    </row>
    <row r="480" spans="1:10" x14ac:dyDescent="0.2">
      <c r="A480" s="18">
        <v>7583</v>
      </c>
      <c r="C480" s="18">
        <v>0</v>
      </c>
      <c r="J480" s="18">
        <v>0</v>
      </c>
    </row>
    <row r="481" spans="1:10" x14ac:dyDescent="0.2">
      <c r="A481" s="18">
        <v>7627</v>
      </c>
      <c r="C481" s="18">
        <v>0</v>
      </c>
      <c r="E481" s="18">
        <v>0</v>
      </c>
      <c r="F481" s="18">
        <v>0</v>
      </c>
      <c r="G481" s="18">
        <v>0</v>
      </c>
      <c r="H481" s="18">
        <v>0</v>
      </c>
      <c r="I481" s="18">
        <v>0</v>
      </c>
      <c r="J481" s="18">
        <v>0</v>
      </c>
    </row>
    <row r="482" spans="1:10" x14ac:dyDescent="0.2">
      <c r="A482" s="18">
        <v>7628</v>
      </c>
      <c r="C482" s="18">
        <v>0</v>
      </c>
      <c r="E482" s="18">
        <v>0</v>
      </c>
      <c r="F482" s="18">
        <v>0</v>
      </c>
      <c r="G482" s="18">
        <v>0</v>
      </c>
      <c r="I482" s="18">
        <v>0</v>
      </c>
      <c r="J482" s="18">
        <v>0</v>
      </c>
    </row>
    <row r="483" spans="1:10" x14ac:dyDescent="0.2">
      <c r="A483" s="18">
        <v>7634</v>
      </c>
      <c r="E483" s="18">
        <v>0</v>
      </c>
      <c r="F483" s="18">
        <v>0</v>
      </c>
      <c r="H483" s="18">
        <v>0</v>
      </c>
      <c r="J483" s="18">
        <v>0</v>
      </c>
    </row>
    <row r="484" spans="1:10" x14ac:dyDescent="0.2">
      <c r="A484" s="18">
        <v>7625</v>
      </c>
      <c r="C484" s="18">
        <v>0</v>
      </c>
      <c r="G484" s="18">
        <v>0</v>
      </c>
      <c r="H484" s="18">
        <v>0</v>
      </c>
      <c r="J484" s="18">
        <v>0</v>
      </c>
    </row>
    <row r="485" spans="1:10" x14ac:dyDescent="0.2">
      <c r="A485" s="18">
        <v>7649</v>
      </c>
      <c r="F485" s="18">
        <v>0</v>
      </c>
      <c r="J485" s="18">
        <v>0</v>
      </c>
    </row>
    <row r="486" spans="1:10" x14ac:dyDescent="0.2">
      <c r="A486" s="18">
        <v>7621</v>
      </c>
      <c r="C486" s="18">
        <v>0</v>
      </c>
      <c r="H486" s="18">
        <v>0</v>
      </c>
      <c r="J486" s="18">
        <v>0</v>
      </c>
    </row>
    <row r="487" spans="1:10" x14ac:dyDescent="0.2">
      <c r="A487" s="18">
        <v>7576</v>
      </c>
      <c r="G487" s="18">
        <v>0</v>
      </c>
      <c r="J487" s="18">
        <v>0</v>
      </c>
    </row>
    <row r="488" spans="1:10" x14ac:dyDescent="0.2">
      <c r="A488" s="18">
        <v>7669</v>
      </c>
      <c r="F488" s="18">
        <v>0</v>
      </c>
      <c r="J488" s="18">
        <v>0</v>
      </c>
    </row>
    <row r="489" spans="1:10" x14ac:dyDescent="0.2">
      <c r="A489" s="18">
        <v>7671</v>
      </c>
      <c r="E489" s="18">
        <v>0</v>
      </c>
      <c r="J489" s="18">
        <v>0</v>
      </c>
    </row>
    <row r="490" spans="1:10" x14ac:dyDescent="0.2">
      <c r="A490" s="18">
        <v>7518</v>
      </c>
      <c r="E490" s="18">
        <v>0</v>
      </c>
      <c r="J490" s="18">
        <v>0</v>
      </c>
    </row>
    <row r="491" spans="1:10" x14ac:dyDescent="0.2">
      <c r="A491" s="18">
        <v>7684</v>
      </c>
      <c r="C491" s="18">
        <v>0</v>
      </c>
      <c r="H491" s="18">
        <v>0</v>
      </c>
      <c r="J491" s="18">
        <v>0</v>
      </c>
    </row>
    <row r="492" spans="1:10" x14ac:dyDescent="0.2">
      <c r="A492" s="18">
        <v>7652</v>
      </c>
      <c r="C492" s="18">
        <v>0</v>
      </c>
      <c r="E492" s="18">
        <v>0</v>
      </c>
      <c r="F492" s="18">
        <v>0</v>
      </c>
      <c r="G492" s="18">
        <v>0</v>
      </c>
      <c r="H492" s="18">
        <v>0</v>
      </c>
      <c r="I492" s="18">
        <v>0</v>
      </c>
      <c r="J492" s="18">
        <v>0</v>
      </c>
    </row>
    <row r="493" spans="1:10" x14ac:dyDescent="0.2">
      <c r="A493" s="18" t="s">
        <v>452</v>
      </c>
      <c r="B493" s="18">
        <v>0</v>
      </c>
      <c r="C493" s="18">
        <v>0</v>
      </c>
      <c r="E493" s="18">
        <v>0</v>
      </c>
      <c r="F493" s="18">
        <v>0</v>
      </c>
      <c r="G493" s="18">
        <v>0</v>
      </c>
      <c r="H493" s="18">
        <v>0</v>
      </c>
      <c r="I493" s="18">
        <v>0</v>
      </c>
      <c r="J493" s="18">
        <v>0</v>
      </c>
    </row>
    <row r="494" spans="1:10" x14ac:dyDescent="0.2">
      <c r="A494" s="18">
        <v>7697</v>
      </c>
      <c r="F494" s="18">
        <v>0</v>
      </c>
      <c r="G494" s="18">
        <v>0</v>
      </c>
      <c r="I494" s="18">
        <v>0</v>
      </c>
      <c r="J494" s="18">
        <v>0</v>
      </c>
    </row>
    <row r="495" spans="1:10" x14ac:dyDescent="0.2">
      <c r="A495" s="18">
        <v>7703</v>
      </c>
      <c r="F495" s="18">
        <v>0</v>
      </c>
      <c r="J495" s="18">
        <v>0</v>
      </c>
    </row>
    <row r="496" spans="1:10" x14ac:dyDescent="0.2">
      <c r="A496" s="18">
        <v>7716</v>
      </c>
      <c r="F496" s="18">
        <v>0</v>
      </c>
      <c r="J496" s="18">
        <v>0</v>
      </c>
    </row>
    <row r="497" spans="1:10" x14ac:dyDescent="0.2">
      <c r="A497" s="18">
        <v>7717</v>
      </c>
      <c r="F497" s="18">
        <v>0</v>
      </c>
      <c r="J497" s="18">
        <v>0</v>
      </c>
    </row>
    <row r="498" spans="1:10" x14ac:dyDescent="0.2">
      <c r="A498" s="18">
        <v>7724</v>
      </c>
      <c r="C498" s="18">
        <v>0</v>
      </c>
      <c r="J498" s="18">
        <v>0</v>
      </c>
    </row>
    <row r="499" spans="1:10" x14ac:dyDescent="0.2">
      <c r="A499" s="18">
        <v>7730</v>
      </c>
      <c r="C499" s="18">
        <v>0</v>
      </c>
      <c r="E499" s="18">
        <v>0</v>
      </c>
      <c r="F499" s="18">
        <v>0</v>
      </c>
      <c r="G499" s="18">
        <v>0</v>
      </c>
      <c r="J499" s="18">
        <v>0</v>
      </c>
    </row>
    <row r="500" spans="1:10" x14ac:dyDescent="0.2">
      <c r="A500" s="18">
        <v>7738</v>
      </c>
      <c r="C500" s="18">
        <v>0</v>
      </c>
      <c r="E500" s="18">
        <v>0</v>
      </c>
      <c r="H500" s="18">
        <v>0</v>
      </c>
      <c r="J500" s="18">
        <v>0</v>
      </c>
    </row>
    <row r="501" spans="1:10" x14ac:dyDescent="0.2">
      <c r="A501" s="18">
        <v>7740</v>
      </c>
      <c r="C501" s="18">
        <v>0</v>
      </c>
      <c r="F501" s="18">
        <v>0</v>
      </c>
      <c r="J501" s="18">
        <v>0</v>
      </c>
    </row>
    <row r="502" spans="1:10" x14ac:dyDescent="0.2">
      <c r="A502" s="18">
        <v>7743</v>
      </c>
      <c r="F502" s="18">
        <v>0</v>
      </c>
      <c r="J502" s="18">
        <v>0</v>
      </c>
    </row>
    <row r="503" spans="1:10" x14ac:dyDescent="0.2">
      <c r="A503" s="18">
        <v>7749</v>
      </c>
      <c r="C503" s="18">
        <v>0</v>
      </c>
      <c r="E503" s="18">
        <v>0</v>
      </c>
      <c r="F503" s="18">
        <v>0</v>
      </c>
      <c r="G503" s="18">
        <v>0</v>
      </c>
      <c r="H503" s="18">
        <v>0</v>
      </c>
      <c r="I503" s="18">
        <v>0</v>
      </c>
      <c r="J503" s="18">
        <v>0</v>
      </c>
    </row>
    <row r="504" spans="1:10" x14ac:dyDescent="0.2">
      <c r="A504" s="18">
        <v>7751</v>
      </c>
      <c r="C504" s="18">
        <v>0</v>
      </c>
      <c r="E504" s="18">
        <v>0</v>
      </c>
      <c r="F504" s="18">
        <v>0</v>
      </c>
      <c r="G504" s="18">
        <v>0</v>
      </c>
      <c r="H504" s="18">
        <v>0</v>
      </c>
      <c r="I504" s="18">
        <v>0</v>
      </c>
      <c r="J504" s="18">
        <v>0</v>
      </c>
    </row>
    <row r="505" spans="1:10" x14ac:dyDescent="0.2">
      <c r="A505" s="18">
        <v>7728</v>
      </c>
      <c r="B505" s="18">
        <v>3</v>
      </c>
      <c r="C505" s="18">
        <v>13</v>
      </c>
      <c r="D505" s="18">
        <v>388</v>
      </c>
      <c r="E505" s="18">
        <v>2</v>
      </c>
      <c r="F505" s="18">
        <v>23</v>
      </c>
      <c r="G505" s="18">
        <v>85</v>
      </c>
      <c r="H505" s="18">
        <v>25</v>
      </c>
      <c r="I505" s="18">
        <v>15</v>
      </c>
      <c r="J505" s="18">
        <v>554</v>
      </c>
    </row>
    <row r="506" spans="1:10" x14ac:dyDescent="0.2">
      <c r="A506" s="18">
        <v>7758</v>
      </c>
      <c r="F506" s="18">
        <v>0</v>
      </c>
      <c r="J506" s="18">
        <v>0</v>
      </c>
    </row>
    <row r="507" spans="1:10" x14ac:dyDescent="0.2">
      <c r="A507" s="18">
        <v>7767</v>
      </c>
      <c r="H507" s="18">
        <v>0</v>
      </c>
      <c r="J507" s="18">
        <v>0</v>
      </c>
    </row>
    <row r="508" spans="1:10" x14ac:dyDescent="0.2">
      <c r="A508" s="18">
        <v>7776</v>
      </c>
      <c r="C508" s="18">
        <v>0</v>
      </c>
      <c r="F508" s="18">
        <v>0</v>
      </c>
      <c r="G508" s="18">
        <v>0</v>
      </c>
      <c r="H508" s="18">
        <v>0</v>
      </c>
      <c r="J508" s="18">
        <v>0</v>
      </c>
    </row>
    <row r="509" spans="1:10" x14ac:dyDescent="0.2">
      <c r="A509" s="18">
        <v>7800</v>
      </c>
      <c r="C509" s="18">
        <v>0</v>
      </c>
      <c r="E509" s="18">
        <v>0</v>
      </c>
      <c r="F509" s="18">
        <v>0</v>
      </c>
      <c r="G509" s="18">
        <v>0</v>
      </c>
      <c r="H509" s="18">
        <v>0</v>
      </c>
      <c r="I509" s="18">
        <v>0</v>
      </c>
      <c r="J509" s="18">
        <v>0</v>
      </c>
    </row>
    <row r="510" spans="1:10" x14ac:dyDescent="0.2">
      <c r="A510" s="18" t="s">
        <v>461</v>
      </c>
      <c r="C510" s="18">
        <v>0</v>
      </c>
      <c r="E510" s="18">
        <v>0</v>
      </c>
      <c r="F510" s="18">
        <v>0</v>
      </c>
      <c r="G510" s="18">
        <v>0</v>
      </c>
      <c r="H510" s="18">
        <v>0</v>
      </c>
      <c r="I510" s="18">
        <v>0</v>
      </c>
      <c r="J510" s="18">
        <v>0</v>
      </c>
    </row>
    <row r="511" spans="1:10" x14ac:dyDescent="0.2">
      <c r="A511" s="18" t="s">
        <v>460</v>
      </c>
      <c r="C511" s="18">
        <v>0</v>
      </c>
      <c r="E511" s="18">
        <v>0</v>
      </c>
      <c r="F511" s="18">
        <v>0</v>
      </c>
      <c r="G511" s="18">
        <v>0</v>
      </c>
      <c r="H511" s="18">
        <v>0</v>
      </c>
      <c r="I511" s="18">
        <v>0</v>
      </c>
      <c r="J511" s="18">
        <v>0</v>
      </c>
    </row>
    <row r="512" spans="1:10" x14ac:dyDescent="0.2">
      <c r="A512" s="18">
        <v>7809</v>
      </c>
      <c r="C512" s="18">
        <v>0</v>
      </c>
      <c r="E512" s="18">
        <v>0</v>
      </c>
      <c r="F512" s="18">
        <v>0</v>
      </c>
      <c r="G512" s="18">
        <v>0</v>
      </c>
      <c r="H512" s="18">
        <v>0</v>
      </c>
      <c r="I512" s="18">
        <v>0</v>
      </c>
      <c r="J512" s="18">
        <v>0</v>
      </c>
    </row>
    <row r="513" spans="1:10" x14ac:dyDescent="0.2">
      <c r="A513" s="18">
        <v>7752</v>
      </c>
      <c r="C513" s="18">
        <v>0</v>
      </c>
      <c r="G513" s="18">
        <v>0</v>
      </c>
      <c r="H513" s="18">
        <v>0</v>
      </c>
      <c r="J513" s="18">
        <v>0</v>
      </c>
    </row>
    <row r="514" spans="1:10" x14ac:dyDescent="0.2">
      <c r="A514" s="18">
        <v>7606</v>
      </c>
      <c r="F514" s="18">
        <v>0</v>
      </c>
      <c r="H514" s="18">
        <v>0</v>
      </c>
      <c r="J514" s="18">
        <v>0</v>
      </c>
    </row>
    <row r="515" spans="1:10" x14ac:dyDescent="0.2">
      <c r="A515" s="18">
        <v>7829</v>
      </c>
      <c r="B515" s="18">
        <v>40</v>
      </c>
      <c r="C515" s="18">
        <v>151</v>
      </c>
      <c r="D515" s="18">
        <v>1860</v>
      </c>
      <c r="F515" s="18">
        <v>448</v>
      </c>
      <c r="G515" s="18">
        <v>620</v>
      </c>
      <c r="H515" s="18">
        <v>297</v>
      </c>
      <c r="J515" s="18">
        <v>3416</v>
      </c>
    </row>
    <row r="516" spans="1:10" x14ac:dyDescent="0.2">
      <c r="A516" s="18">
        <v>7779</v>
      </c>
      <c r="C516" s="18">
        <v>0</v>
      </c>
      <c r="F516" s="18">
        <v>0</v>
      </c>
      <c r="G516" s="18">
        <v>0</v>
      </c>
      <c r="H516" s="18">
        <v>0</v>
      </c>
      <c r="I516" s="18">
        <v>0</v>
      </c>
      <c r="J516" s="18">
        <v>0</v>
      </c>
    </row>
    <row r="517" spans="1:10" x14ac:dyDescent="0.2">
      <c r="A517" s="18">
        <v>7811</v>
      </c>
      <c r="C517" s="18">
        <v>0</v>
      </c>
      <c r="J517" s="18">
        <v>0</v>
      </c>
    </row>
    <row r="518" spans="1:10" x14ac:dyDescent="0.2">
      <c r="A518" s="18">
        <v>7806</v>
      </c>
      <c r="G518" s="18">
        <v>4</v>
      </c>
      <c r="J518" s="18">
        <v>4</v>
      </c>
    </row>
    <row r="519" spans="1:10" x14ac:dyDescent="0.2">
      <c r="A519" s="18">
        <v>7842</v>
      </c>
      <c r="C519" s="18">
        <v>0</v>
      </c>
      <c r="F519" s="18">
        <v>0</v>
      </c>
      <c r="G519" s="18">
        <v>0</v>
      </c>
      <c r="H519" s="18">
        <v>0</v>
      </c>
      <c r="I519" s="18">
        <v>0</v>
      </c>
      <c r="J519" s="18">
        <v>0</v>
      </c>
    </row>
    <row r="520" spans="1:10" x14ac:dyDescent="0.2">
      <c r="A520" s="18">
        <v>7840</v>
      </c>
      <c r="F520" s="18">
        <v>0</v>
      </c>
      <c r="J520" s="18">
        <v>0</v>
      </c>
    </row>
    <row r="521" spans="1:10" x14ac:dyDescent="0.2">
      <c r="A521" s="18">
        <v>7862</v>
      </c>
      <c r="F521" s="18">
        <v>0</v>
      </c>
      <c r="J521" s="18">
        <v>0</v>
      </c>
    </row>
    <row r="522" spans="1:10" x14ac:dyDescent="0.2">
      <c r="A522" s="18">
        <v>7858</v>
      </c>
      <c r="C522" s="18">
        <v>0</v>
      </c>
      <c r="F522" s="18">
        <v>0</v>
      </c>
      <c r="G522" s="18">
        <v>0</v>
      </c>
      <c r="H522" s="18">
        <v>0</v>
      </c>
      <c r="J522" s="18">
        <v>0</v>
      </c>
    </row>
    <row r="523" spans="1:10" x14ac:dyDescent="0.2">
      <c r="A523" s="18">
        <v>7859</v>
      </c>
      <c r="B523" s="18">
        <v>0</v>
      </c>
      <c r="J523" s="18">
        <v>0</v>
      </c>
    </row>
    <row r="524" spans="1:10" x14ac:dyDescent="0.2">
      <c r="A524" s="18">
        <v>7879</v>
      </c>
      <c r="C524" s="18">
        <v>0</v>
      </c>
      <c r="H524" s="18">
        <v>0</v>
      </c>
      <c r="J524" s="18">
        <v>0</v>
      </c>
    </row>
    <row r="525" spans="1:10" x14ac:dyDescent="0.2">
      <c r="A525" s="18">
        <v>7831</v>
      </c>
      <c r="F525" s="18">
        <v>0</v>
      </c>
      <c r="J525" s="18">
        <v>0</v>
      </c>
    </row>
    <row r="526" spans="1:10" x14ac:dyDescent="0.2">
      <c r="A526" s="18">
        <v>7884</v>
      </c>
      <c r="C526" s="18">
        <v>0</v>
      </c>
      <c r="E526" s="18">
        <v>0</v>
      </c>
      <c r="F526" s="18">
        <v>0</v>
      </c>
      <c r="G526" s="18">
        <v>0</v>
      </c>
      <c r="H526" s="18">
        <v>0</v>
      </c>
      <c r="I526" s="18">
        <v>0</v>
      </c>
      <c r="J526" s="18">
        <v>0</v>
      </c>
    </row>
    <row r="527" spans="1:10" x14ac:dyDescent="0.2">
      <c r="A527" s="18">
        <v>7904</v>
      </c>
      <c r="F527" s="18">
        <v>0</v>
      </c>
      <c r="H527" s="18">
        <v>0</v>
      </c>
      <c r="J527" s="18">
        <v>0</v>
      </c>
    </row>
    <row r="528" spans="1:10" x14ac:dyDescent="0.2">
      <c r="A528" s="18">
        <v>7899</v>
      </c>
      <c r="F528" s="18">
        <v>327</v>
      </c>
      <c r="J528" s="18">
        <v>327</v>
      </c>
    </row>
    <row r="529" spans="1:10" x14ac:dyDescent="0.2">
      <c r="A529" s="18">
        <v>7902</v>
      </c>
      <c r="G529" s="18">
        <v>0</v>
      </c>
      <c r="J529" s="18">
        <v>0</v>
      </c>
    </row>
    <row r="530" spans="1:10" x14ac:dyDescent="0.2">
      <c r="A530" s="18">
        <v>7911</v>
      </c>
      <c r="C530" s="18">
        <v>0</v>
      </c>
      <c r="F530" s="18">
        <v>0</v>
      </c>
      <c r="G530" s="18">
        <v>0</v>
      </c>
      <c r="H530" s="18">
        <v>0</v>
      </c>
      <c r="J530" s="18">
        <v>0</v>
      </c>
    </row>
    <row r="531" spans="1:10" x14ac:dyDescent="0.2">
      <c r="A531" s="18">
        <v>7919</v>
      </c>
      <c r="B531" s="18">
        <v>0</v>
      </c>
      <c r="C531" s="18">
        <v>1</v>
      </c>
      <c r="E531" s="18">
        <v>0</v>
      </c>
      <c r="F531" s="18">
        <v>0</v>
      </c>
      <c r="G531" s="18">
        <v>0</v>
      </c>
      <c r="I531" s="18">
        <v>0</v>
      </c>
      <c r="J531" s="18">
        <v>1</v>
      </c>
    </row>
    <row r="532" spans="1:10" x14ac:dyDescent="0.2">
      <c r="A532" s="18">
        <v>7933</v>
      </c>
      <c r="H532" s="18">
        <v>0</v>
      </c>
      <c r="J532" s="18">
        <v>0</v>
      </c>
    </row>
    <row r="533" spans="1:10" x14ac:dyDescent="0.2">
      <c r="A533" s="18">
        <v>7936</v>
      </c>
      <c r="C533" s="18">
        <v>0</v>
      </c>
      <c r="E533" s="18">
        <v>0</v>
      </c>
      <c r="F533" s="18">
        <v>0</v>
      </c>
      <c r="G533" s="18">
        <v>0</v>
      </c>
      <c r="H533" s="18">
        <v>0</v>
      </c>
      <c r="I533" s="18">
        <v>0</v>
      </c>
      <c r="J533" s="18">
        <v>0</v>
      </c>
    </row>
    <row r="534" spans="1:10" x14ac:dyDescent="0.2">
      <c r="A534" s="18">
        <v>7943</v>
      </c>
      <c r="C534" s="18">
        <v>0</v>
      </c>
      <c r="E534" s="18">
        <v>0</v>
      </c>
      <c r="F534" s="18">
        <v>0</v>
      </c>
      <c r="G534" s="18">
        <v>0</v>
      </c>
      <c r="J534" s="18">
        <v>0</v>
      </c>
    </row>
    <row r="535" spans="1:10" x14ac:dyDescent="0.2">
      <c r="A535" s="18">
        <v>7938</v>
      </c>
      <c r="F535" s="18">
        <v>0</v>
      </c>
      <c r="J535" s="18">
        <v>0</v>
      </c>
    </row>
    <row r="536" spans="1:10" x14ac:dyDescent="0.2">
      <c r="A536" s="18">
        <v>7945</v>
      </c>
      <c r="F536" s="18">
        <v>0</v>
      </c>
      <c r="J536" s="18">
        <v>0</v>
      </c>
    </row>
    <row r="537" spans="1:10" x14ac:dyDescent="0.2">
      <c r="A537" s="18">
        <v>7947</v>
      </c>
      <c r="B537" s="18">
        <v>0</v>
      </c>
      <c r="C537" s="18">
        <v>0</v>
      </c>
      <c r="E537" s="18">
        <v>0</v>
      </c>
      <c r="F537" s="18">
        <v>0</v>
      </c>
      <c r="G537" s="18">
        <v>0</v>
      </c>
      <c r="H537" s="18">
        <v>0</v>
      </c>
      <c r="J537" s="18">
        <v>0</v>
      </c>
    </row>
    <row r="538" spans="1:10" x14ac:dyDescent="0.2">
      <c r="A538" s="18">
        <v>7949</v>
      </c>
      <c r="F538" s="18">
        <v>0</v>
      </c>
      <c r="J538" s="18">
        <v>0</v>
      </c>
    </row>
    <row r="539" spans="1:10" x14ac:dyDescent="0.2">
      <c r="A539" s="18">
        <v>7924</v>
      </c>
      <c r="F539" s="18">
        <v>0</v>
      </c>
      <c r="J539" s="18">
        <v>0</v>
      </c>
    </row>
    <row r="540" spans="1:10" x14ac:dyDescent="0.2">
      <c r="A540" s="18">
        <v>7967</v>
      </c>
      <c r="H540" s="18">
        <v>0</v>
      </c>
      <c r="J540" s="18">
        <v>0</v>
      </c>
    </row>
    <row r="541" spans="1:10" x14ac:dyDescent="0.2">
      <c r="A541" s="18">
        <v>7812</v>
      </c>
      <c r="F541" s="18">
        <v>0</v>
      </c>
      <c r="J541" s="18">
        <v>0</v>
      </c>
    </row>
    <row r="542" spans="1:10" x14ac:dyDescent="0.2">
      <c r="A542" s="18">
        <v>7813</v>
      </c>
      <c r="C542" s="18">
        <v>0</v>
      </c>
      <c r="G542" s="18">
        <v>0</v>
      </c>
      <c r="H542" s="18">
        <v>0</v>
      </c>
      <c r="J542" s="18">
        <v>0</v>
      </c>
    </row>
    <row r="543" spans="1:10" x14ac:dyDescent="0.2">
      <c r="A543" s="18" t="s">
        <v>466</v>
      </c>
      <c r="B543" s="18">
        <v>1</v>
      </c>
      <c r="H543" s="18">
        <v>5</v>
      </c>
      <c r="J543" s="18">
        <v>6</v>
      </c>
    </row>
    <row r="544" spans="1:10" x14ac:dyDescent="0.2">
      <c r="A544" s="18">
        <v>7928</v>
      </c>
      <c r="C544" s="18">
        <v>0</v>
      </c>
      <c r="E544" s="18">
        <v>0</v>
      </c>
      <c r="F544" s="18">
        <v>0</v>
      </c>
      <c r="G544" s="18">
        <v>0</v>
      </c>
      <c r="H544" s="18">
        <v>0</v>
      </c>
      <c r="J544" s="18">
        <v>0</v>
      </c>
    </row>
    <row r="545" spans="1:10" x14ac:dyDescent="0.2">
      <c r="A545" s="18">
        <v>8002</v>
      </c>
      <c r="B545" s="18">
        <v>0</v>
      </c>
      <c r="C545" s="18">
        <v>0</v>
      </c>
      <c r="G545" s="18">
        <v>0</v>
      </c>
      <c r="J545" s="18">
        <v>0</v>
      </c>
    </row>
    <row r="546" spans="1:10" x14ac:dyDescent="0.2">
      <c r="A546" s="18">
        <v>8010</v>
      </c>
      <c r="C546" s="18">
        <v>0</v>
      </c>
      <c r="F546" s="18">
        <v>0</v>
      </c>
      <c r="G546" s="18">
        <v>0</v>
      </c>
      <c r="H546" s="18">
        <v>0</v>
      </c>
      <c r="I546" s="18">
        <v>0</v>
      </c>
      <c r="J546" s="18">
        <v>0</v>
      </c>
    </row>
    <row r="547" spans="1:10" x14ac:dyDescent="0.2">
      <c r="A547" s="18">
        <v>7974</v>
      </c>
      <c r="F547" s="18">
        <v>0</v>
      </c>
      <c r="G547" s="18">
        <v>0</v>
      </c>
      <c r="J547" s="18">
        <v>0</v>
      </c>
    </row>
    <row r="548" spans="1:10" x14ac:dyDescent="0.2">
      <c r="A548" s="18">
        <v>8027</v>
      </c>
      <c r="H548" s="18">
        <v>0</v>
      </c>
      <c r="J548" s="18">
        <v>0</v>
      </c>
    </row>
    <row r="549" spans="1:10" x14ac:dyDescent="0.2">
      <c r="A549" s="18">
        <v>8049</v>
      </c>
      <c r="C549" s="18">
        <v>0</v>
      </c>
      <c r="H549" s="18">
        <v>0</v>
      </c>
      <c r="J549" s="18">
        <v>0</v>
      </c>
    </row>
    <row r="550" spans="1:10" x14ac:dyDescent="0.2">
      <c r="A550" s="18">
        <v>8050</v>
      </c>
      <c r="F550" s="18">
        <v>0</v>
      </c>
      <c r="H550" s="18">
        <v>0</v>
      </c>
      <c r="J550" s="18">
        <v>0</v>
      </c>
    </row>
    <row r="551" spans="1:10" x14ac:dyDescent="0.2">
      <c r="A551" s="18">
        <v>8047</v>
      </c>
      <c r="B551" s="18">
        <v>0</v>
      </c>
      <c r="C551" s="18">
        <v>0</v>
      </c>
      <c r="E551" s="18">
        <v>0</v>
      </c>
      <c r="F551" s="18">
        <v>0</v>
      </c>
      <c r="G551" s="18">
        <v>0</v>
      </c>
      <c r="H551" s="18">
        <v>0</v>
      </c>
      <c r="J551" s="18">
        <v>0</v>
      </c>
    </row>
    <row r="552" spans="1:10" x14ac:dyDescent="0.2">
      <c r="A552" s="18">
        <v>8056</v>
      </c>
      <c r="C552" s="18">
        <v>0</v>
      </c>
      <c r="F552" s="18">
        <v>0</v>
      </c>
      <c r="G552" s="18">
        <v>0</v>
      </c>
      <c r="H552" s="18">
        <v>0</v>
      </c>
      <c r="J552" s="18">
        <v>0</v>
      </c>
    </row>
    <row r="553" spans="1:10" x14ac:dyDescent="0.2">
      <c r="A553" s="18">
        <v>8073</v>
      </c>
      <c r="F553" s="18">
        <v>0</v>
      </c>
      <c r="G553" s="18">
        <v>0</v>
      </c>
      <c r="J553" s="18">
        <v>0</v>
      </c>
    </row>
    <row r="554" spans="1:10" x14ac:dyDescent="0.2">
      <c r="A554" s="18">
        <v>8074</v>
      </c>
      <c r="F554" s="18">
        <v>0</v>
      </c>
      <c r="I554" s="18">
        <v>0</v>
      </c>
      <c r="J554" s="18">
        <v>0</v>
      </c>
    </row>
    <row r="555" spans="1:10" x14ac:dyDescent="0.2">
      <c r="A555" s="18">
        <v>8075</v>
      </c>
      <c r="C555" s="18">
        <v>0</v>
      </c>
      <c r="F555" s="18">
        <v>0</v>
      </c>
      <c r="H555" s="18">
        <v>0</v>
      </c>
      <c r="J555" s="18">
        <v>0</v>
      </c>
    </row>
    <row r="556" spans="1:10" x14ac:dyDescent="0.2">
      <c r="A556" s="18">
        <v>8065</v>
      </c>
      <c r="F556" s="18">
        <v>0</v>
      </c>
      <c r="J556" s="18">
        <v>0</v>
      </c>
    </row>
    <row r="557" spans="1:10" x14ac:dyDescent="0.2">
      <c r="A557" s="18">
        <v>8084</v>
      </c>
      <c r="F557" s="18">
        <v>0</v>
      </c>
      <c r="G557" s="18">
        <v>0</v>
      </c>
      <c r="J557" s="18">
        <v>0</v>
      </c>
    </row>
    <row r="558" spans="1:10" x14ac:dyDescent="0.2">
      <c r="A558" s="18">
        <v>8015</v>
      </c>
      <c r="G558" s="18">
        <v>0</v>
      </c>
      <c r="J558" s="18">
        <v>0</v>
      </c>
    </row>
    <row r="559" spans="1:10" x14ac:dyDescent="0.2">
      <c r="A559" s="18">
        <v>8093</v>
      </c>
      <c r="C559" s="18">
        <v>0</v>
      </c>
      <c r="E559" s="18">
        <v>0</v>
      </c>
      <c r="F559" s="18">
        <v>0</v>
      </c>
      <c r="G559" s="18">
        <v>0</v>
      </c>
      <c r="H559" s="18">
        <v>0</v>
      </c>
      <c r="I559" s="18">
        <v>0</v>
      </c>
      <c r="J559" s="18">
        <v>0</v>
      </c>
    </row>
    <row r="560" spans="1:10" x14ac:dyDescent="0.2">
      <c r="A560" s="18">
        <v>8119</v>
      </c>
      <c r="C560" s="18">
        <v>0</v>
      </c>
      <c r="E560" s="18">
        <v>0</v>
      </c>
      <c r="F560" s="18">
        <v>0</v>
      </c>
      <c r="G560" s="18">
        <v>0</v>
      </c>
      <c r="H560" s="18">
        <v>0</v>
      </c>
      <c r="I560" s="18">
        <v>0</v>
      </c>
      <c r="J560" s="18">
        <v>0</v>
      </c>
    </row>
    <row r="561" spans="1:10" x14ac:dyDescent="0.2">
      <c r="A561" s="18">
        <v>7976</v>
      </c>
      <c r="C561" s="18">
        <v>0</v>
      </c>
      <c r="J561" s="18">
        <v>0</v>
      </c>
    </row>
    <row r="562" spans="1:10" x14ac:dyDescent="0.2">
      <c r="A562" s="18">
        <v>8128</v>
      </c>
      <c r="C562" s="18">
        <v>0</v>
      </c>
      <c r="G562" s="18">
        <v>0</v>
      </c>
      <c r="H562" s="18">
        <v>0</v>
      </c>
      <c r="J562" s="18">
        <v>0</v>
      </c>
    </row>
    <row r="563" spans="1:10" x14ac:dyDescent="0.2">
      <c r="A563" s="18">
        <v>8130</v>
      </c>
      <c r="E563" s="18">
        <v>0</v>
      </c>
      <c r="F563" s="18">
        <v>0</v>
      </c>
      <c r="H563" s="18">
        <v>0</v>
      </c>
      <c r="J563" s="18">
        <v>0</v>
      </c>
    </row>
    <row r="564" spans="1:10" x14ac:dyDescent="0.2">
      <c r="A564" s="18">
        <v>8159</v>
      </c>
      <c r="I564" s="18">
        <v>2</v>
      </c>
      <c r="J564" s="18">
        <v>2</v>
      </c>
    </row>
    <row r="565" spans="1:10" x14ac:dyDescent="0.2">
      <c r="A565" s="18">
        <v>8172</v>
      </c>
      <c r="C565" s="18">
        <v>0</v>
      </c>
      <c r="E565" s="18">
        <v>0</v>
      </c>
      <c r="F565" s="18">
        <v>0</v>
      </c>
      <c r="G565" s="18">
        <v>0</v>
      </c>
      <c r="H565" s="18">
        <v>0</v>
      </c>
      <c r="I565" s="18">
        <v>0</v>
      </c>
      <c r="J565" s="18">
        <v>0</v>
      </c>
    </row>
    <row r="566" spans="1:10" x14ac:dyDescent="0.2">
      <c r="A566" s="18">
        <v>8117</v>
      </c>
      <c r="C566" s="18">
        <v>0</v>
      </c>
      <c r="H566" s="18">
        <v>0</v>
      </c>
      <c r="J566" s="18">
        <v>0</v>
      </c>
    </row>
    <row r="567" spans="1:10" x14ac:dyDescent="0.2">
      <c r="A567" s="18">
        <v>8200</v>
      </c>
      <c r="C567" s="18">
        <v>0</v>
      </c>
      <c r="H567" s="18">
        <v>0</v>
      </c>
      <c r="J567" s="18">
        <v>0</v>
      </c>
    </row>
    <row r="568" spans="1:10" x14ac:dyDescent="0.2">
      <c r="A568" s="18">
        <v>8192</v>
      </c>
      <c r="F568" s="18">
        <v>0</v>
      </c>
      <c r="J568" s="18">
        <v>0</v>
      </c>
    </row>
    <row r="569" spans="1:10" x14ac:dyDescent="0.2">
      <c r="A569" s="18">
        <v>8217</v>
      </c>
      <c r="B569" s="18">
        <v>0</v>
      </c>
      <c r="F569" s="18">
        <v>0</v>
      </c>
      <c r="G569" s="18">
        <v>60</v>
      </c>
      <c r="I569" s="18">
        <v>0</v>
      </c>
      <c r="J569" s="18">
        <v>60</v>
      </c>
    </row>
    <row r="570" spans="1:10" x14ac:dyDescent="0.2">
      <c r="A570" s="18">
        <v>8226</v>
      </c>
      <c r="C570" s="18">
        <v>0</v>
      </c>
      <c r="J570" s="18">
        <v>0</v>
      </c>
    </row>
    <row r="571" spans="1:10" x14ac:dyDescent="0.2">
      <c r="A571" s="18">
        <v>8183</v>
      </c>
      <c r="C571" s="18">
        <v>0</v>
      </c>
      <c r="F571" s="18">
        <v>0</v>
      </c>
      <c r="J571" s="18">
        <v>0</v>
      </c>
    </row>
    <row r="572" spans="1:10" x14ac:dyDescent="0.2">
      <c r="A572" s="18">
        <v>8235</v>
      </c>
      <c r="C572" s="18">
        <v>0</v>
      </c>
      <c r="F572" s="18">
        <v>0</v>
      </c>
      <c r="G572" s="18">
        <v>0</v>
      </c>
      <c r="H572" s="18">
        <v>0</v>
      </c>
      <c r="J572" s="18">
        <v>0</v>
      </c>
    </row>
    <row r="573" spans="1:10" x14ac:dyDescent="0.2">
      <c r="A573" s="18">
        <v>8244</v>
      </c>
      <c r="D573" s="18">
        <v>0</v>
      </c>
      <c r="J573" s="18">
        <v>0</v>
      </c>
    </row>
    <row r="574" spans="1:10" x14ac:dyDescent="0.2">
      <c r="A574" s="18">
        <v>8258</v>
      </c>
      <c r="F574" s="18">
        <v>0</v>
      </c>
      <c r="J574" s="18">
        <v>0</v>
      </c>
    </row>
    <row r="575" spans="1:10" x14ac:dyDescent="0.2">
      <c r="A575" s="18">
        <v>8260</v>
      </c>
      <c r="E575" s="18">
        <v>0</v>
      </c>
      <c r="J575" s="18">
        <v>0</v>
      </c>
    </row>
    <row r="576" spans="1:10" x14ac:dyDescent="0.2">
      <c r="A576" s="18">
        <v>8269</v>
      </c>
      <c r="C576" s="18">
        <v>0</v>
      </c>
      <c r="E576" s="18">
        <v>0</v>
      </c>
      <c r="F576" s="18">
        <v>0</v>
      </c>
      <c r="G576" s="18">
        <v>0</v>
      </c>
      <c r="H576" s="18">
        <v>0</v>
      </c>
      <c r="I576" s="18">
        <v>0</v>
      </c>
      <c r="J576" s="18">
        <v>0</v>
      </c>
    </row>
    <row r="577" spans="1:10" x14ac:dyDescent="0.2">
      <c r="A577" s="18">
        <v>8282</v>
      </c>
      <c r="C577" s="18">
        <v>0</v>
      </c>
      <c r="E577" s="18">
        <v>0</v>
      </c>
      <c r="F577" s="18">
        <v>0</v>
      </c>
      <c r="G577" s="18">
        <v>0</v>
      </c>
      <c r="J577" s="18">
        <v>0</v>
      </c>
    </row>
    <row r="578" spans="1:10" x14ac:dyDescent="0.2">
      <c r="A578" s="18">
        <v>8285</v>
      </c>
      <c r="C578" s="18">
        <v>0</v>
      </c>
      <c r="E578" s="18">
        <v>0</v>
      </c>
      <c r="F578" s="18">
        <v>0</v>
      </c>
      <c r="G578" s="18">
        <v>0</v>
      </c>
      <c r="H578" s="18">
        <v>0</v>
      </c>
      <c r="I578" s="18">
        <v>0</v>
      </c>
      <c r="J578" s="18">
        <v>0</v>
      </c>
    </row>
    <row r="579" spans="1:10" x14ac:dyDescent="0.2">
      <c r="A579" s="18">
        <v>8309</v>
      </c>
      <c r="C579" s="18">
        <v>0</v>
      </c>
      <c r="E579" s="18">
        <v>0</v>
      </c>
      <c r="F579" s="18">
        <v>0</v>
      </c>
      <c r="G579" s="18">
        <v>0</v>
      </c>
      <c r="H579" s="18">
        <v>0</v>
      </c>
      <c r="I579" s="18">
        <v>0</v>
      </c>
      <c r="J579" s="18">
        <v>0</v>
      </c>
    </row>
    <row r="580" spans="1:10" x14ac:dyDescent="0.2">
      <c r="A580" s="18">
        <v>8307</v>
      </c>
      <c r="C580" s="18">
        <v>0</v>
      </c>
      <c r="F580" s="18">
        <v>0</v>
      </c>
      <c r="G580" s="18">
        <v>0</v>
      </c>
      <c r="H580" s="18">
        <v>0</v>
      </c>
      <c r="I580" s="18">
        <v>0</v>
      </c>
      <c r="J580" s="18">
        <v>0</v>
      </c>
    </row>
    <row r="581" spans="1:10" x14ac:dyDescent="0.2">
      <c r="A581" s="18">
        <v>8314</v>
      </c>
      <c r="B581" s="18">
        <v>0</v>
      </c>
      <c r="F581" s="18">
        <v>0</v>
      </c>
      <c r="G581" s="18">
        <v>0</v>
      </c>
      <c r="J581" s="18">
        <v>0</v>
      </c>
    </row>
    <row r="582" spans="1:10" x14ac:dyDescent="0.2">
      <c r="A582" s="18">
        <v>7998</v>
      </c>
      <c r="C582" s="18">
        <v>0</v>
      </c>
      <c r="F582" s="18">
        <v>0</v>
      </c>
      <c r="H582" s="18">
        <v>0</v>
      </c>
      <c r="J582" s="18">
        <v>0</v>
      </c>
    </row>
    <row r="583" spans="1:10" x14ac:dyDescent="0.2">
      <c r="A583" s="18">
        <v>8059</v>
      </c>
      <c r="C583" s="18">
        <v>0</v>
      </c>
      <c r="E583" s="18">
        <v>0</v>
      </c>
      <c r="J583" s="18">
        <v>0</v>
      </c>
    </row>
    <row r="584" spans="1:10" x14ac:dyDescent="0.2">
      <c r="A584" s="18">
        <v>8319</v>
      </c>
      <c r="F584" s="18">
        <v>0</v>
      </c>
      <c r="J584" s="18">
        <v>0</v>
      </c>
    </row>
    <row r="585" spans="1:10" x14ac:dyDescent="0.2">
      <c r="A585" s="18">
        <v>8294</v>
      </c>
      <c r="C585" s="18">
        <v>0</v>
      </c>
      <c r="D585" s="18">
        <v>2500</v>
      </c>
      <c r="E585" s="18">
        <v>0</v>
      </c>
      <c r="G585" s="18">
        <v>0</v>
      </c>
      <c r="I585" s="18">
        <v>0</v>
      </c>
      <c r="J585" s="18">
        <v>2500</v>
      </c>
    </row>
    <row r="586" spans="1:10" x14ac:dyDescent="0.2">
      <c r="A586" s="18">
        <v>8325</v>
      </c>
      <c r="C586" s="18">
        <v>0</v>
      </c>
      <c r="F586" s="18">
        <v>0</v>
      </c>
      <c r="J586" s="18">
        <v>0</v>
      </c>
    </row>
    <row r="587" spans="1:10" x14ac:dyDescent="0.2">
      <c r="A587" s="18">
        <v>8355</v>
      </c>
      <c r="F587" s="18">
        <v>0</v>
      </c>
      <c r="J587" s="18">
        <v>0</v>
      </c>
    </row>
    <row r="588" spans="1:10" x14ac:dyDescent="0.2">
      <c r="A588" s="18">
        <v>8336</v>
      </c>
      <c r="C588" s="18">
        <v>0</v>
      </c>
      <c r="E588" s="18">
        <v>0</v>
      </c>
      <c r="F588" s="18">
        <v>0</v>
      </c>
      <c r="G588" s="18">
        <v>0</v>
      </c>
      <c r="I588" s="18">
        <v>0</v>
      </c>
      <c r="J588" s="18">
        <v>0</v>
      </c>
    </row>
    <row r="589" spans="1:10" x14ac:dyDescent="0.2">
      <c r="A589" s="18">
        <v>8359</v>
      </c>
      <c r="C589" s="18">
        <v>0</v>
      </c>
      <c r="G589" s="18">
        <v>0</v>
      </c>
      <c r="H589" s="18">
        <v>0</v>
      </c>
      <c r="J589" s="18">
        <v>0</v>
      </c>
    </row>
    <row r="590" spans="1:10" x14ac:dyDescent="0.2">
      <c r="A590" s="18">
        <v>8369</v>
      </c>
      <c r="C590" s="18">
        <v>0</v>
      </c>
      <c r="G590" s="18">
        <v>0</v>
      </c>
      <c r="J590" s="18">
        <v>0</v>
      </c>
    </row>
    <row r="591" spans="1:10" x14ac:dyDescent="0.2">
      <c r="A591" s="18">
        <v>8419</v>
      </c>
      <c r="C591" s="18">
        <v>0</v>
      </c>
      <c r="E591" s="18">
        <v>0</v>
      </c>
      <c r="F591" s="18">
        <v>0</v>
      </c>
      <c r="G591" s="18">
        <v>0</v>
      </c>
      <c r="H591" s="18">
        <v>0</v>
      </c>
      <c r="I591" s="18">
        <v>0</v>
      </c>
      <c r="J591" s="18">
        <v>0</v>
      </c>
    </row>
    <row r="592" spans="1:10" x14ac:dyDescent="0.2">
      <c r="A592" s="18">
        <v>8425</v>
      </c>
      <c r="F592" s="18">
        <v>0</v>
      </c>
      <c r="J592" s="18">
        <v>0</v>
      </c>
    </row>
    <row r="593" spans="1:10" x14ac:dyDescent="0.2">
      <c r="A593" s="18">
        <v>8445</v>
      </c>
      <c r="F593" s="18">
        <v>0</v>
      </c>
      <c r="H593" s="18">
        <v>0</v>
      </c>
      <c r="J593" s="18">
        <v>0</v>
      </c>
    </row>
    <row r="594" spans="1:10" x14ac:dyDescent="0.2">
      <c r="A594" s="18">
        <v>8434</v>
      </c>
      <c r="C594" s="18">
        <v>0</v>
      </c>
      <c r="E594" s="18">
        <v>0</v>
      </c>
      <c r="F594" s="18">
        <v>0</v>
      </c>
      <c r="G594" s="18">
        <v>0</v>
      </c>
      <c r="H594" s="18">
        <v>0</v>
      </c>
      <c r="I594" s="18">
        <v>0</v>
      </c>
      <c r="J594" s="18">
        <v>0</v>
      </c>
    </row>
    <row r="595" spans="1:10" x14ac:dyDescent="0.2">
      <c r="A595" s="18">
        <v>8421</v>
      </c>
      <c r="C595" s="18">
        <v>0</v>
      </c>
      <c r="E595" s="18">
        <v>0</v>
      </c>
      <c r="F595" s="18">
        <v>0</v>
      </c>
      <c r="G595" s="18">
        <v>0</v>
      </c>
      <c r="I595" s="18">
        <v>0</v>
      </c>
      <c r="J595" s="18">
        <v>0</v>
      </c>
    </row>
    <row r="596" spans="1:10" x14ac:dyDescent="0.2">
      <c r="A596" s="18">
        <v>8447</v>
      </c>
      <c r="F596" s="18">
        <v>0</v>
      </c>
      <c r="G596" s="18">
        <v>0</v>
      </c>
      <c r="J596" s="18">
        <v>0</v>
      </c>
    </row>
    <row r="597" spans="1:10" x14ac:dyDescent="0.2">
      <c r="A597" s="18">
        <v>8423</v>
      </c>
      <c r="C597" s="18">
        <v>0</v>
      </c>
      <c r="E597" s="18">
        <v>0</v>
      </c>
      <c r="F597" s="18">
        <v>0</v>
      </c>
      <c r="G597" s="18">
        <v>0</v>
      </c>
      <c r="H597" s="18">
        <v>0</v>
      </c>
      <c r="I597" s="18">
        <v>0</v>
      </c>
      <c r="J597" s="18">
        <v>0</v>
      </c>
    </row>
    <row r="598" spans="1:10" x14ac:dyDescent="0.2">
      <c r="A598" s="18">
        <v>8417</v>
      </c>
      <c r="C598" s="18">
        <v>0</v>
      </c>
      <c r="E598" s="18">
        <v>0</v>
      </c>
      <c r="F598" s="18">
        <v>0</v>
      </c>
      <c r="G598" s="18">
        <v>0</v>
      </c>
      <c r="H598" s="18">
        <v>0</v>
      </c>
      <c r="I598" s="18">
        <v>0</v>
      </c>
      <c r="J598" s="18">
        <v>0</v>
      </c>
    </row>
    <row r="599" spans="1:10" x14ac:dyDescent="0.2">
      <c r="A599" s="18">
        <v>8436</v>
      </c>
      <c r="C599" s="18">
        <v>0</v>
      </c>
      <c r="J599" s="18">
        <v>0</v>
      </c>
    </row>
    <row r="600" spans="1:10" x14ac:dyDescent="0.2">
      <c r="A600" s="18">
        <v>8459</v>
      </c>
      <c r="F600" s="18">
        <v>0</v>
      </c>
      <c r="I600" s="18">
        <v>0</v>
      </c>
      <c r="J600" s="18">
        <v>0</v>
      </c>
    </row>
    <row r="601" spans="1:10" x14ac:dyDescent="0.2">
      <c r="A601" s="18">
        <v>8476</v>
      </c>
      <c r="C601" s="18">
        <v>0</v>
      </c>
      <c r="F601" s="18">
        <v>0</v>
      </c>
      <c r="G601" s="18">
        <v>0</v>
      </c>
      <c r="J601" s="18">
        <v>0</v>
      </c>
    </row>
    <row r="602" spans="1:10" x14ac:dyDescent="0.2">
      <c r="A602" s="18">
        <v>8428</v>
      </c>
      <c r="C602" s="18">
        <v>0</v>
      </c>
      <c r="G602" s="18">
        <v>0</v>
      </c>
      <c r="H602" s="18">
        <v>0</v>
      </c>
      <c r="J602" s="18">
        <v>0</v>
      </c>
    </row>
    <row r="603" spans="1:10" x14ac:dyDescent="0.2">
      <c r="A603" s="18">
        <v>8461</v>
      </c>
      <c r="C603" s="18">
        <v>0</v>
      </c>
      <c r="G603" s="18">
        <v>0</v>
      </c>
      <c r="H603" s="18">
        <v>0</v>
      </c>
      <c r="J603" s="18">
        <v>0</v>
      </c>
    </row>
    <row r="604" spans="1:10" x14ac:dyDescent="0.2">
      <c r="A604" s="18">
        <v>8517</v>
      </c>
      <c r="F604" s="18">
        <v>0</v>
      </c>
      <c r="I604" s="18">
        <v>0</v>
      </c>
      <c r="J604" s="18">
        <v>0</v>
      </c>
    </row>
    <row r="605" spans="1:10" x14ac:dyDescent="0.2">
      <c r="A605" s="18">
        <v>8522</v>
      </c>
      <c r="C605" s="18">
        <v>0</v>
      </c>
      <c r="F605" s="18">
        <v>0</v>
      </c>
      <c r="G605" s="18">
        <v>0</v>
      </c>
      <c r="J605" s="18">
        <v>0</v>
      </c>
    </row>
    <row r="606" spans="1:10" x14ac:dyDescent="0.2">
      <c r="A606" s="18">
        <v>8525</v>
      </c>
      <c r="G606" s="18">
        <v>0</v>
      </c>
      <c r="H606" s="18">
        <v>0</v>
      </c>
      <c r="J606" s="18">
        <v>0</v>
      </c>
    </row>
    <row r="607" spans="1:10" x14ac:dyDescent="0.2">
      <c r="A607" s="18">
        <v>8533</v>
      </c>
      <c r="F607" s="18">
        <v>0</v>
      </c>
      <c r="I607" s="18">
        <v>0</v>
      </c>
      <c r="J607" s="18">
        <v>0</v>
      </c>
    </row>
    <row r="608" spans="1:10" x14ac:dyDescent="0.2">
      <c r="A608" s="18">
        <v>8534</v>
      </c>
      <c r="F608" s="18">
        <v>0</v>
      </c>
      <c r="J608" s="18">
        <v>0</v>
      </c>
    </row>
    <row r="609" spans="1:10" x14ac:dyDescent="0.2">
      <c r="A609" s="18">
        <v>8563</v>
      </c>
      <c r="C609" s="18">
        <v>0</v>
      </c>
      <c r="F609" s="18">
        <v>0</v>
      </c>
      <c r="G609" s="18">
        <v>0</v>
      </c>
      <c r="H609" s="18">
        <v>0</v>
      </c>
      <c r="J609" s="18">
        <v>0</v>
      </c>
    </row>
    <row r="610" spans="1:10" x14ac:dyDescent="0.2">
      <c r="A610" s="18">
        <v>8477</v>
      </c>
      <c r="B610" s="18">
        <v>0</v>
      </c>
      <c r="C610" s="18">
        <v>0</v>
      </c>
      <c r="F610" s="18">
        <v>0</v>
      </c>
      <c r="G610" s="18">
        <v>0</v>
      </c>
      <c r="H610" s="18">
        <v>0</v>
      </c>
      <c r="I610" s="18">
        <v>0</v>
      </c>
      <c r="J610" s="18">
        <v>0</v>
      </c>
    </row>
    <row r="611" spans="1:10" x14ac:dyDescent="0.2">
      <c r="A611" s="18">
        <v>8584</v>
      </c>
      <c r="G611" s="18">
        <v>0</v>
      </c>
      <c r="J611" s="18">
        <v>0</v>
      </c>
    </row>
    <row r="612" spans="1:10" x14ac:dyDescent="0.2">
      <c r="A612" s="18">
        <v>8527</v>
      </c>
      <c r="C612" s="18">
        <v>0</v>
      </c>
      <c r="J612" s="18">
        <v>0</v>
      </c>
    </row>
    <row r="613" spans="1:10" x14ac:dyDescent="0.2">
      <c r="A613" s="18">
        <v>8595</v>
      </c>
      <c r="F613" s="18">
        <v>0</v>
      </c>
      <c r="H613" s="18">
        <v>0</v>
      </c>
      <c r="J613" s="18">
        <v>0</v>
      </c>
    </row>
    <row r="614" spans="1:10" x14ac:dyDescent="0.2">
      <c r="A614" s="18">
        <v>8610</v>
      </c>
      <c r="G614" s="18">
        <v>0</v>
      </c>
      <c r="J614" s="18">
        <v>0</v>
      </c>
    </row>
    <row r="615" spans="1:10" x14ac:dyDescent="0.2">
      <c r="A615" s="18">
        <v>8617</v>
      </c>
      <c r="F615" s="18">
        <v>0</v>
      </c>
      <c r="J615" s="18">
        <v>0</v>
      </c>
    </row>
    <row r="616" spans="1:10" x14ac:dyDescent="0.2">
      <c r="A616" s="18">
        <v>8618</v>
      </c>
      <c r="G616" s="18">
        <v>50</v>
      </c>
      <c r="J616" s="18">
        <v>50</v>
      </c>
    </row>
    <row r="617" spans="1:10" x14ac:dyDescent="0.2">
      <c r="A617" s="18">
        <v>8537</v>
      </c>
      <c r="C617" s="18">
        <v>0</v>
      </c>
      <c r="E617" s="18">
        <v>0</v>
      </c>
      <c r="F617" s="18">
        <v>0</v>
      </c>
      <c r="G617" s="18">
        <v>0</v>
      </c>
      <c r="H617" s="18">
        <v>0</v>
      </c>
      <c r="I617" s="18">
        <v>0</v>
      </c>
      <c r="J617" s="18">
        <v>0</v>
      </c>
    </row>
    <row r="618" spans="1:10" x14ac:dyDescent="0.2">
      <c r="A618" s="18">
        <v>8632</v>
      </c>
      <c r="G618" s="18">
        <v>0</v>
      </c>
      <c r="J618" s="18">
        <v>0</v>
      </c>
    </row>
    <row r="619" spans="1:10" x14ac:dyDescent="0.2">
      <c r="A619" s="18">
        <v>8546</v>
      </c>
      <c r="H619" s="18">
        <v>0</v>
      </c>
      <c r="J619" s="18">
        <v>0</v>
      </c>
    </row>
    <row r="620" spans="1:10" x14ac:dyDescent="0.2">
      <c r="A620" s="18">
        <v>8643</v>
      </c>
      <c r="C620" s="18">
        <v>0</v>
      </c>
      <c r="G620" s="18">
        <v>0</v>
      </c>
      <c r="H620" s="18">
        <v>0</v>
      </c>
      <c r="J620" s="18">
        <v>0</v>
      </c>
    </row>
    <row r="621" spans="1:10" x14ac:dyDescent="0.2">
      <c r="A621" s="18">
        <v>8450</v>
      </c>
      <c r="C621" s="18">
        <v>0</v>
      </c>
      <c r="E621" s="18">
        <v>0</v>
      </c>
      <c r="F621" s="18">
        <v>0</v>
      </c>
      <c r="G621" s="18">
        <v>0</v>
      </c>
      <c r="H621" s="18">
        <v>0</v>
      </c>
      <c r="J621" s="18">
        <v>0</v>
      </c>
    </row>
    <row r="622" spans="1:10" x14ac:dyDescent="0.2">
      <c r="A622" s="18">
        <v>8655</v>
      </c>
      <c r="F622" s="18">
        <v>0</v>
      </c>
      <c r="J622" s="18">
        <v>0</v>
      </c>
    </row>
    <row r="623" spans="1:10" x14ac:dyDescent="0.2">
      <c r="A623" s="18">
        <v>8667</v>
      </c>
      <c r="C623" s="18">
        <v>0</v>
      </c>
      <c r="F623" s="18">
        <v>0</v>
      </c>
      <c r="G623" s="18">
        <v>0</v>
      </c>
      <c r="H623" s="18">
        <v>0</v>
      </c>
      <c r="J623" s="18">
        <v>0</v>
      </c>
    </row>
    <row r="624" spans="1:10" x14ac:dyDescent="0.2">
      <c r="A624" s="18">
        <v>8645</v>
      </c>
      <c r="C624" s="18">
        <v>0</v>
      </c>
      <c r="J624" s="18">
        <v>0</v>
      </c>
    </row>
    <row r="625" spans="1:10" x14ac:dyDescent="0.2">
      <c r="A625" s="18">
        <v>8692</v>
      </c>
      <c r="C625" s="18">
        <v>0</v>
      </c>
      <c r="E625" s="18">
        <v>0</v>
      </c>
      <c r="F625" s="18">
        <v>0</v>
      </c>
      <c r="G625" s="18">
        <v>0</v>
      </c>
      <c r="H625" s="18">
        <v>0</v>
      </c>
      <c r="I625" s="18">
        <v>0</v>
      </c>
      <c r="J625" s="18">
        <v>0</v>
      </c>
    </row>
    <row r="626" spans="1:10" x14ac:dyDescent="0.2">
      <c r="A626" s="18">
        <v>8720</v>
      </c>
      <c r="C626" s="18">
        <v>0</v>
      </c>
      <c r="E626" s="18">
        <v>0</v>
      </c>
      <c r="F626" s="18">
        <v>0</v>
      </c>
      <c r="G626" s="18">
        <v>0</v>
      </c>
      <c r="H626" s="18">
        <v>0</v>
      </c>
      <c r="I626" s="18">
        <v>0</v>
      </c>
      <c r="J626" s="18">
        <v>0</v>
      </c>
    </row>
    <row r="627" spans="1:10" x14ac:dyDescent="0.2">
      <c r="A627" s="18">
        <v>8678</v>
      </c>
      <c r="F627" s="18">
        <v>0</v>
      </c>
      <c r="J627" s="18">
        <v>0</v>
      </c>
    </row>
    <row r="628" spans="1:10" x14ac:dyDescent="0.2">
      <c r="A628" s="18">
        <v>8722</v>
      </c>
      <c r="F628" s="18">
        <v>0</v>
      </c>
      <c r="I628" s="18">
        <v>0</v>
      </c>
      <c r="J628" s="18">
        <v>0</v>
      </c>
    </row>
    <row r="629" spans="1:10" x14ac:dyDescent="0.2">
      <c r="A629" s="18">
        <v>8483</v>
      </c>
      <c r="F629" s="18">
        <v>0</v>
      </c>
      <c r="G629" s="18">
        <v>0</v>
      </c>
      <c r="J629" s="18">
        <v>0</v>
      </c>
    </row>
    <row r="630" spans="1:10" x14ac:dyDescent="0.2">
      <c r="A630" s="18">
        <v>8727</v>
      </c>
      <c r="C630" s="18">
        <v>0</v>
      </c>
      <c r="G630" s="18">
        <v>0</v>
      </c>
      <c r="H630" s="18">
        <v>0</v>
      </c>
      <c r="J630" s="18">
        <v>0</v>
      </c>
    </row>
    <row r="631" spans="1:10" x14ac:dyDescent="0.2">
      <c r="A631" s="18">
        <v>8694</v>
      </c>
      <c r="C631" s="18">
        <v>0</v>
      </c>
      <c r="F631" s="18">
        <v>0</v>
      </c>
      <c r="H631" s="18">
        <v>0</v>
      </c>
      <c r="J631" s="18">
        <v>0</v>
      </c>
    </row>
    <row r="632" spans="1:10" x14ac:dyDescent="0.2">
      <c r="A632" s="18">
        <v>8735</v>
      </c>
      <c r="C632" s="18">
        <v>0</v>
      </c>
      <c r="E632" s="18">
        <v>0</v>
      </c>
      <c r="F632" s="18">
        <v>0</v>
      </c>
      <c r="G632" s="18">
        <v>0</v>
      </c>
      <c r="H632" s="18">
        <v>0</v>
      </c>
      <c r="I632" s="18">
        <v>0</v>
      </c>
      <c r="J632" s="18">
        <v>0</v>
      </c>
    </row>
    <row r="633" spans="1:10" x14ac:dyDescent="0.2">
      <c r="A633" s="18">
        <v>8740</v>
      </c>
      <c r="C633" s="18">
        <v>0</v>
      </c>
      <c r="E633" s="18">
        <v>0</v>
      </c>
      <c r="F633" s="18">
        <v>0</v>
      </c>
      <c r="G633" s="18">
        <v>0</v>
      </c>
      <c r="H633" s="18">
        <v>0</v>
      </c>
      <c r="I633" s="18">
        <v>0</v>
      </c>
      <c r="J633" s="18">
        <v>0</v>
      </c>
    </row>
    <row r="634" spans="1:10" x14ac:dyDescent="0.2">
      <c r="A634" s="18">
        <v>8303</v>
      </c>
      <c r="C634" s="18">
        <v>0</v>
      </c>
      <c r="E634" s="18">
        <v>0</v>
      </c>
      <c r="F634" s="18">
        <v>0</v>
      </c>
      <c r="G634" s="18">
        <v>0</v>
      </c>
      <c r="H634" s="18">
        <v>0</v>
      </c>
      <c r="I634" s="18">
        <v>0</v>
      </c>
      <c r="J634" s="18">
        <v>0</v>
      </c>
    </row>
    <row r="635" spans="1:10" x14ac:dyDescent="0.2">
      <c r="A635" s="18">
        <v>8739</v>
      </c>
      <c r="F635" s="18">
        <v>0</v>
      </c>
      <c r="J635" s="18">
        <v>0</v>
      </c>
    </row>
    <row r="636" spans="1:10" x14ac:dyDescent="0.2">
      <c r="A636" s="18">
        <v>8806</v>
      </c>
      <c r="F636" s="18">
        <v>0</v>
      </c>
      <c r="G636" s="18">
        <v>0</v>
      </c>
      <c r="J636" s="18">
        <v>0</v>
      </c>
    </row>
    <row r="637" spans="1:10" x14ac:dyDescent="0.2">
      <c r="A637" s="18">
        <v>8804</v>
      </c>
      <c r="F637" s="18">
        <v>0</v>
      </c>
      <c r="J637" s="18">
        <v>0</v>
      </c>
    </row>
    <row r="638" spans="1:10" x14ac:dyDescent="0.2">
      <c r="A638" s="18">
        <v>8802</v>
      </c>
      <c r="C638" s="18">
        <v>5</v>
      </c>
      <c r="E638" s="18">
        <v>36</v>
      </c>
      <c r="F638" s="18">
        <v>3</v>
      </c>
      <c r="G638" s="18">
        <v>24</v>
      </c>
      <c r="H638" s="18">
        <v>11</v>
      </c>
      <c r="I638" s="18">
        <v>2</v>
      </c>
      <c r="J638" s="18">
        <v>81</v>
      </c>
    </row>
    <row r="639" spans="1:10" x14ac:dyDescent="0.2">
      <c r="A639" s="18">
        <v>8795</v>
      </c>
      <c r="F639" s="18">
        <v>0</v>
      </c>
      <c r="I639" s="18">
        <v>0</v>
      </c>
      <c r="J639" s="18">
        <v>0</v>
      </c>
    </row>
    <row r="640" spans="1:10" x14ac:dyDescent="0.2">
      <c r="A640" s="18">
        <v>8788</v>
      </c>
      <c r="C640" s="18">
        <v>0</v>
      </c>
      <c r="E640" s="18">
        <v>0</v>
      </c>
      <c r="F640" s="18">
        <v>0</v>
      </c>
      <c r="G640" s="18">
        <v>0</v>
      </c>
      <c r="H640" s="18">
        <v>0</v>
      </c>
      <c r="I640" s="18">
        <v>0</v>
      </c>
      <c r="J640" s="18">
        <v>0</v>
      </c>
    </row>
    <row r="641" spans="1:10" x14ac:dyDescent="0.2">
      <c r="A641" s="18">
        <v>8789</v>
      </c>
      <c r="C641" s="18">
        <v>0</v>
      </c>
      <c r="E641" s="18">
        <v>0</v>
      </c>
      <c r="G641" s="18">
        <v>0</v>
      </c>
      <c r="H641" s="18">
        <v>0</v>
      </c>
      <c r="I641" s="18">
        <v>0</v>
      </c>
      <c r="J641" s="18">
        <v>0</v>
      </c>
    </row>
    <row r="642" spans="1:10" x14ac:dyDescent="0.2">
      <c r="A642" s="18">
        <v>8765</v>
      </c>
      <c r="B642" s="18">
        <v>4</v>
      </c>
      <c r="C642" s="18">
        <v>75</v>
      </c>
      <c r="E642" s="18">
        <v>101</v>
      </c>
      <c r="F642" s="18">
        <v>229</v>
      </c>
      <c r="G642" s="18">
        <v>230</v>
      </c>
      <c r="H642" s="18">
        <v>9</v>
      </c>
      <c r="I642" s="18">
        <v>17</v>
      </c>
      <c r="J642" s="18">
        <v>665</v>
      </c>
    </row>
    <row r="643" spans="1:10" x14ac:dyDescent="0.2">
      <c r="A643" s="18">
        <v>8785</v>
      </c>
      <c r="E643" s="18">
        <v>0</v>
      </c>
      <c r="J643" s="18">
        <v>0</v>
      </c>
    </row>
    <row r="644" spans="1:10" x14ac:dyDescent="0.2">
      <c r="A644" s="18">
        <v>7391</v>
      </c>
      <c r="C644" s="18">
        <v>10</v>
      </c>
      <c r="F644" s="18">
        <v>3</v>
      </c>
      <c r="H644" s="18">
        <v>11</v>
      </c>
      <c r="J644" s="18">
        <v>24</v>
      </c>
    </row>
    <row r="645" spans="1:10" x14ac:dyDescent="0.2">
      <c r="A645" s="18">
        <v>8676</v>
      </c>
      <c r="C645" s="18">
        <v>2</v>
      </c>
      <c r="E645" s="18">
        <v>4</v>
      </c>
      <c r="G645" s="18">
        <v>16</v>
      </c>
      <c r="H645" s="18">
        <v>6</v>
      </c>
      <c r="J645" s="18">
        <v>28</v>
      </c>
    </row>
    <row r="646" spans="1:10" x14ac:dyDescent="0.2">
      <c r="A646" s="18">
        <v>8817</v>
      </c>
      <c r="C646" s="18">
        <v>0</v>
      </c>
      <c r="E646" s="18">
        <v>0</v>
      </c>
      <c r="F646" s="18">
        <v>0</v>
      </c>
      <c r="G646" s="18">
        <v>0</v>
      </c>
      <c r="H646" s="18">
        <v>0</v>
      </c>
      <c r="I646" s="18">
        <v>0</v>
      </c>
      <c r="J646" s="18">
        <v>0</v>
      </c>
    </row>
    <row r="647" spans="1:10" x14ac:dyDescent="0.2">
      <c r="A647" s="18">
        <v>8834</v>
      </c>
      <c r="C647" s="18">
        <v>0</v>
      </c>
      <c r="F647" s="18">
        <v>0</v>
      </c>
      <c r="G647" s="18">
        <v>0</v>
      </c>
      <c r="H647" s="18">
        <v>0</v>
      </c>
      <c r="J647" s="18">
        <v>0</v>
      </c>
    </row>
    <row r="648" spans="1:10" x14ac:dyDescent="0.2">
      <c r="A648" s="18">
        <v>8828</v>
      </c>
      <c r="F648" s="18">
        <v>0</v>
      </c>
      <c r="J648" s="18">
        <v>0</v>
      </c>
    </row>
    <row r="649" spans="1:10" x14ac:dyDescent="0.2">
      <c r="A649" s="18">
        <v>8824</v>
      </c>
      <c r="F649" s="18">
        <v>0</v>
      </c>
      <c r="J649" s="18">
        <v>0</v>
      </c>
    </row>
    <row r="650" spans="1:10" x14ac:dyDescent="0.2">
      <c r="A650" s="18">
        <v>8750</v>
      </c>
      <c r="F650" s="18">
        <v>0</v>
      </c>
      <c r="H650" s="18">
        <v>20</v>
      </c>
      <c r="J650" s="18">
        <v>20</v>
      </c>
    </row>
    <row r="651" spans="1:10" x14ac:dyDescent="0.2">
      <c r="A651" s="18">
        <v>8818</v>
      </c>
      <c r="C651" s="18">
        <v>0</v>
      </c>
      <c r="J651" s="18">
        <v>0</v>
      </c>
    </row>
    <row r="652" spans="1:10" x14ac:dyDescent="0.2">
      <c r="A652" s="18">
        <v>8859</v>
      </c>
      <c r="C652" s="18">
        <v>0</v>
      </c>
      <c r="E652" s="18">
        <v>0</v>
      </c>
      <c r="F652" s="18">
        <v>0</v>
      </c>
      <c r="G652" s="18">
        <v>0</v>
      </c>
      <c r="I652" s="18">
        <v>0</v>
      </c>
      <c r="J652" s="18">
        <v>0</v>
      </c>
    </row>
    <row r="653" spans="1:10" x14ac:dyDescent="0.2">
      <c r="A653" s="18">
        <v>8863</v>
      </c>
      <c r="C653" s="18">
        <v>0</v>
      </c>
      <c r="G653" s="18">
        <v>0</v>
      </c>
      <c r="J653" s="18">
        <v>0</v>
      </c>
    </row>
    <row r="654" spans="1:10" x14ac:dyDescent="0.2">
      <c r="A654" s="18">
        <v>8862</v>
      </c>
      <c r="C654" s="18">
        <v>0</v>
      </c>
      <c r="E654" s="18">
        <v>0</v>
      </c>
      <c r="F654" s="18">
        <v>0</v>
      </c>
      <c r="G654" s="18">
        <v>0</v>
      </c>
      <c r="I654" s="18">
        <v>0</v>
      </c>
      <c r="J654" s="18">
        <v>0</v>
      </c>
    </row>
    <row r="655" spans="1:10" x14ac:dyDescent="0.2">
      <c r="A655" s="18">
        <v>8864</v>
      </c>
      <c r="C655" s="18">
        <v>0</v>
      </c>
      <c r="E655" s="18">
        <v>0</v>
      </c>
      <c r="G655" s="18">
        <v>0</v>
      </c>
      <c r="J655" s="18">
        <v>0</v>
      </c>
    </row>
    <row r="656" spans="1:10" x14ac:dyDescent="0.2">
      <c r="A656" s="18">
        <v>8861</v>
      </c>
      <c r="B656" s="18">
        <v>0</v>
      </c>
      <c r="C656" s="18">
        <v>0</v>
      </c>
      <c r="E656" s="18">
        <v>0</v>
      </c>
      <c r="F656" s="18">
        <v>0</v>
      </c>
      <c r="G656" s="18">
        <v>0</v>
      </c>
      <c r="H656" s="18">
        <v>0</v>
      </c>
      <c r="J656" s="18">
        <v>0</v>
      </c>
    </row>
    <row r="657" spans="1:10" x14ac:dyDescent="0.2">
      <c r="A657" s="18">
        <v>8857</v>
      </c>
      <c r="C657" s="18">
        <v>0</v>
      </c>
      <c r="J657" s="18">
        <v>0</v>
      </c>
    </row>
    <row r="658" spans="1:10" x14ac:dyDescent="0.2">
      <c r="A658" s="18">
        <v>8888</v>
      </c>
      <c r="C658" s="18">
        <v>0</v>
      </c>
      <c r="E658" s="18">
        <v>0</v>
      </c>
      <c r="F658" s="18">
        <v>0</v>
      </c>
      <c r="G658" s="18">
        <v>0</v>
      </c>
      <c r="H658" s="18">
        <v>0</v>
      </c>
      <c r="I658" s="18">
        <v>0</v>
      </c>
      <c r="J658" s="18">
        <v>0</v>
      </c>
    </row>
    <row r="659" spans="1:10" x14ac:dyDescent="0.2">
      <c r="A659" s="18">
        <v>8691</v>
      </c>
      <c r="C659" s="18">
        <v>0</v>
      </c>
      <c r="G659" s="18">
        <v>0</v>
      </c>
      <c r="H659" s="18">
        <v>0</v>
      </c>
      <c r="J659" s="18">
        <v>0</v>
      </c>
    </row>
    <row r="660" spans="1:10" x14ac:dyDescent="0.2">
      <c r="A660" s="18">
        <v>8878</v>
      </c>
      <c r="C660" s="18">
        <v>0</v>
      </c>
      <c r="G660" s="18">
        <v>0</v>
      </c>
      <c r="H660" s="18">
        <v>0</v>
      </c>
      <c r="J660" s="18">
        <v>0</v>
      </c>
    </row>
    <row r="661" spans="1:10" x14ac:dyDescent="0.2">
      <c r="A661" s="18">
        <v>8877</v>
      </c>
      <c r="C661" s="18">
        <v>0</v>
      </c>
      <c r="E661" s="18">
        <v>0</v>
      </c>
      <c r="F661" s="18">
        <v>0</v>
      </c>
      <c r="G661" s="18">
        <v>0</v>
      </c>
      <c r="H661" s="18">
        <v>0</v>
      </c>
      <c r="I661" s="18">
        <v>0</v>
      </c>
      <c r="J661" s="18">
        <v>0</v>
      </c>
    </row>
    <row r="662" spans="1:10" x14ac:dyDescent="0.2">
      <c r="A662" s="18">
        <v>8876</v>
      </c>
      <c r="H662" s="18">
        <v>0</v>
      </c>
      <c r="J662" s="18">
        <v>0</v>
      </c>
    </row>
    <row r="663" spans="1:10" x14ac:dyDescent="0.2">
      <c r="A663" s="18">
        <v>8875</v>
      </c>
      <c r="C663" s="18">
        <v>0</v>
      </c>
      <c r="E663" s="18">
        <v>0</v>
      </c>
      <c r="F663" s="18">
        <v>0</v>
      </c>
      <c r="G663" s="18">
        <v>0</v>
      </c>
      <c r="H663" s="18">
        <v>0</v>
      </c>
      <c r="I663" s="18">
        <v>0</v>
      </c>
      <c r="J663" s="18">
        <v>0</v>
      </c>
    </row>
    <row r="664" spans="1:10" x14ac:dyDescent="0.2">
      <c r="A664" s="18">
        <v>8102</v>
      </c>
      <c r="F664" s="18">
        <v>340</v>
      </c>
      <c r="J664" s="18">
        <v>340</v>
      </c>
    </row>
    <row r="665" spans="1:10" x14ac:dyDescent="0.2">
      <c r="A665" s="18">
        <v>8641</v>
      </c>
      <c r="B665" s="18">
        <v>10</v>
      </c>
      <c r="G665" s="18">
        <v>4074</v>
      </c>
      <c r="J665" s="18">
        <v>4084</v>
      </c>
    </row>
    <row r="666" spans="1:10" x14ac:dyDescent="0.2">
      <c r="A666" s="18">
        <v>8792</v>
      </c>
      <c r="G666" s="18">
        <v>0</v>
      </c>
      <c r="H666" s="18">
        <v>0</v>
      </c>
      <c r="J666" s="18">
        <v>0</v>
      </c>
    </row>
    <row r="667" spans="1:10" x14ac:dyDescent="0.2">
      <c r="A667" s="18">
        <v>8836</v>
      </c>
      <c r="F667" s="18">
        <v>0</v>
      </c>
      <c r="J667" s="18">
        <v>0</v>
      </c>
    </row>
    <row r="668" spans="1:10" x14ac:dyDescent="0.2">
      <c r="A668" s="18">
        <v>8383</v>
      </c>
      <c r="C668" s="18">
        <v>0</v>
      </c>
      <c r="E668" s="18">
        <v>0</v>
      </c>
      <c r="F668" s="18">
        <v>0</v>
      </c>
      <c r="G668" s="18">
        <v>0</v>
      </c>
      <c r="H668" s="18">
        <v>0</v>
      </c>
      <c r="J668" s="18">
        <v>0</v>
      </c>
    </row>
    <row r="669" spans="1:10" x14ac:dyDescent="0.2">
      <c r="A669" s="18">
        <v>8938</v>
      </c>
      <c r="B669" s="18">
        <v>3</v>
      </c>
      <c r="C669" s="18">
        <v>17</v>
      </c>
      <c r="D669" s="18">
        <v>1330</v>
      </c>
      <c r="E669" s="18">
        <v>49</v>
      </c>
      <c r="F669" s="18">
        <v>77</v>
      </c>
      <c r="G669" s="18">
        <v>25</v>
      </c>
      <c r="H669" s="18">
        <v>20</v>
      </c>
      <c r="I669" s="18">
        <v>2</v>
      </c>
      <c r="J669" s="18">
        <v>1523</v>
      </c>
    </row>
    <row r="670" spans="1:10" x14ac:dyDescent="0.2">
      <c r="A670" s="18">
        <v>8941</v>
      </c>
      <c r="G670" s="18">
        <v>0</v>
      </c>
      <c r="J670" s="18">
        <v>0</v>
      </c>
    </row>
    <row r="671" spans="1:10" x14ac:dyDescent="0.2">
      <c r="A671" s="18">
        <v>8945</v>
      </c>
      <c r="E671" s="18">
        <v>0</v>
      </c>
      <c r="F671" s="18">
        <v>0</v>
      </c>
      <c r="G671" s="18">
        <v>0</v>
      </c>
      <c r="J671" s="18">
        <v>0</v>
      </c>
    </row>
    <row r="672" spans="1:10" x14ac:dyDescent="0.2">
      <c r="A672" s="18">
        <v>8946</v>
      </c>
      <c r="G672" s="18">
        <v>0</v>
      </c>
      <c r="J672" s="18">
        <v>0</v>
      </c>
    </row>
    <row r="673" spans="1:10" x14ac:dyDescent="0.2">
      <c r="A673" s="18">
        <v>8948</v>
      </c>
      <c r="C673" s="18">
        <v>0</v>
      </c>
      <c r="G673" s="18">
        <v>0</v>
      </c>
      <c r="J673" s="18">
        <v>0</v>
      </c>
    </row>
    <row r="674" spans="1:10" x14ac:dyDescent="0.2">
      <c r="A674" s="18">
        <v>8952</v>
      </c>
      <c r="B674" s="18">
        <v>301</v>
      </c>
      <c r="F674" s="18">
        <v>250</v>
      </c>
      <c r="G674" s="18">
        <v>1700</v>
      </c>
      <c r="J674" s="18">
        <v>2251</v>
      </c>
    </row>
    <row r="675" spans="1:10" x14ac:dyDescent="0.2">
      <c r="A675" s="18">
        <v>8954</v>
      </c>
      <c r="F675" s="18">
        <v>0</v>
      </c>
      <c r="J675" s="18">
        <v>0</v>
      </c>
    </row>
    <row r="676" spans="1:10" x14ac:dyDescent="0.2">
      <c r="A676" s="18">
        <v>8956</v>
      </c>
      <c r="C676" s="18">
        <v>0</v>
      </c>
      <c r="H676" s="18">
        <v>0</v>
      </c>
      <c r="J676" s="18">
        <v>0</v>
      </c>
    </row>
    <row r="677" spans="1:10" x14ac:dyDescent="0.2">
      <c r="A677" s="18">
        <v>8812</v>
      </c>
      <c r="C677" s="18">
        <v>0</v>
      </c>
      <c r="H677" s="18">
        <v>0</v>
      </c>
      <c r="J677" s="18">
        <v>0</v>
      </c>
    </row>
    <row r="678" spans="1:10" x14ac:dyDescent="0.2">
      <c r="A678" s="18">
        <v>8988</v>
      </c>
      <c r="C678" s="18">
        <v>0</v>
      </c>
      <c r="F678" s="18">
        <v>0</v>
      </c>
      <c r="J678" s="18">
        <v>0</v>
      </c>
    </row>
    <row r="679" spans="1:10" x14ac:dyDescent="0.2">
      <c r="A679" s="18">
        <v>8995</v>
      </c>
      <c r="C679" s="18">
        <v>0</v>
      </c>
      <c r="G679" s="18">
        <v>0</v>
      </c>
      <c r="H679" s="18">
        <v>0</v>
      </c>
      <c r="J679" s="18">
        <v>0</v>
      </c>
    </row>
    <row r="680" spans="1:10" x14ac:dyDescent="0.2">
      <c r="A680" s="18">
        <v>9005</v>
      </c>
      <c r="G680" s="18">
        <v>8600</v>
      </c>
      <c r="J680" s="18">
        <v>8600</v>
      </c>
    </row>
    <row r="681" spans="1:10" x14ac:dyDescent="0.2">
      <c r="A681" s="18">
        <v>9003</v>
      </c>
      <c r="F681" s="18">
        <v>0</v>
      </c>
      <c r="J681" s="18">
        <v>0</v>
      </c>
    </row>
    <row r="682" spans="1:10" x14ac:dyDescent="0.2">
      <c r="A682" s="18">
        <v>9015</v>
      </c>
      <c r="C682" s="18">
        <v>1</v>
      </c>
      <c r="E682" s="18">
        <v>1</v>
      </c>
      <c r="F682" s="18">
        <v>1</v>
      </c>
      <c r="G682" s="18">
        <v>6</v>
      </c>
      <c r="H682" s="18">
        <v>2</v>
      </c>
      <c r="I682" s="18">
        <v>1</v>
      </c>
      <c r="J682" s="18">
        <v>12</v>
      </c>
    </row>
    <row r="683" spans="1:10" x14ac:dyDescent="0.2">
      <c r="A683" s="18">
        <v>9027</v>
      </c>
      <c r="C683" s="18">
        <v>0</v>
      </c>
      <c r="F683" s="18">
        <v>0</v>
      </c>
      <c r="G683" s="18">
        <v>0</v>
      </c>
      <c r="H683" s="18">
        <v>0</v>
      </c>
      <c r="J683" s="18">
        <v>0</v>
      </c>
    </row>
    <row r="684" spans="1:10" x14ac:dyDescent="0.2">
      <c r="A684" s="18">
        <v>8964</v>
      </c>
      <c r="C684" s="18">
        <v>0</v>
      </c>
      <c r="F684" s="18">
        <v>0</v>
      </c>
      <c r="G684" s="18">
        <v>0</v>
      </c>
      <c r="J684" s="18">
        <v>0</v>
      </c>
    </row>
    <row r="685" spans="1:10" x14ac:dyDescent="0.2">
      <c r="A685" s="18">
        <v>9023</v>
      </c>
      <c r="G685" s="18">
        <v>1</v>
      </c>
      <c r="J685" s="18">
        <v>1</v>
      </c>
    </row>
    <row r="686" spans="1:10" x14ac:dyDescent="0.2">
      <c r="A686" s="18">
        <v>9035</v>
      </c>
      <c r="C686" s="18">
        <v>0</v>
      </c>
      <c r="F686" s="18">
        <v>0</v>
      </c>
      <c r="H686" s="18">
        <v>0</v>
      </c>
      <c r="J686" s="18">
        <v>0</v>
      </c>
    </row>
    <row r="687" spans="1:10" x14ac:dyDescent="0.2">
      <c r="A687" s="18">
        <v>9062</v>
      </c>
      <c r="F687" s="18">
        <v>100</v>
      </c>
      <c r="G687" s="18">
        <v>53</v>
      </c>
      <c r="J687" s="18">
        <v>153</v>
      </c>
    </row>
    <row r="688" spans="1:10" x14ac:dyDescent="0.2">
      <c r="A688" s="18">
        <v>9064</v>
      </c>
      <c r="G688" s="18">
        <v>0</v>
      </c>
      <c r="J688" s="18">
        <v>0</v>
      </c>
    </row>
    <row r="689" spans="1:10" x14ac:dyDescent="0.2">
      <c r="A689" s="18">
        <v>9063</v>
      </c>
      <c r="C689" s="18">
        <v>1</v>
      </c>
      <c r="E689" s="18">
        <v>1</v>
      </c>
      <c r="F689" s="18">
        <v>1</v>
      </c>
      <c r="G689" s="18">
        <v>5</v>
      </c>
      <c r="H689" s="18">
        <v>2</v>
      </c>
      <c r="I689" s="18">
        <v>1</v>
      </c>
      <c r="J689" s="18">
        <v>11</v>
      </c>
    </row>
    <row r="690" spans="1:10" x14ac:dyDescent="0.2">
      <c r="A690" s="18">
        <v>9065</v>
      </c>
      <c r="F690" s="18">
        <v>1</v>
      </c>
      <c r="J690" s="18">
        <v>1</v>
      </c>
    </row>
    <row r="691" spans="1:10" x14ac:dyDescent="0.2">
      <c r="A691" s="18">
        <v>9080</v>
      </c>
      <c r="C691" s="18">
        <v>0</v>
      </c>
      <c r="F691" s="18">
        <v>0</v>
      </c>
      <c r="G691" s="18">
        <v>0</v>
      </c>
      <c r="H691" s="18">
        <v>0</v>
      </c>
      <c r="I691" s="18">
        <v>0</v>
      </c>
      <c r="J691" s="18">
        <v>0</v>
      </c>
    </row>
    <row r="692" spans="1:10" x14ac:dyDescent="0.2">
      <c r="A692" s="18">
        <v>7626</v>
      </c>
      <c r="C692" s="18">
        <v>0</v>
      </c>
      <c r="F692" s="18">
        <v>0</v>
      </c>
      <c r="G692" s="18">
        <v>0</v>
      </c>
      <c r="H692" s="18">
        <v>0</v>
      </c>
      <c r="J692" s="18">
        <v>0</v>
      </c>
    </row>
    <row r="693" spans="1:10" x14ac:dyDescent="0.2">
      <c r="A693" s="18">
        <v>7891</v>
      </c>
      <c r="C693" s="18">
        <v>0</v>
      </c>
      <c r="F693" s="18">
        <v>0</v>
      </c>
      <c r="G693" s="18">
        <v>0</v>
      </c>
      <c r="H693" s="18">
        <v>0</v>
      </c>
      <c r="J693" s="18">
        <v>0</v>
      </c>
    </row>
    <row r="694" spans="1:10" x14ac:dyDescent="0.2">
      <c r="A694" s="18">
        <v>9116</v>
      </c>
      <c r="C694" s="18">
        <v>1</v>
      </c>
      <c r="E694" s="18">
        <v>2</v>
      </c>
      <c r="F694" s="18">
        <v>1</v>
      </c>
      <c r="G694" s="18">
        <v>7</v>
      </c>
      <c r="H694" s="18">
        <v>2</v>
      </c>
      <c r="I694" s="18">
        <v>1</v>
      </c>
      <c r="J694" s="18">
        <v>14</v>
      </c>
    </row>
    <row r="695" spans="1:10" x14ac:dyDescent="0.2">
      <c r="A695" s="18">
        <v>9113</v>
      </c>
      <c r="C695" s="18">
        <v>1</v>
      </c>
      <c r="E695" s="18">
        <v>5</v>
      </c>
      <c r="F695" s="18">
        <v>2</v>
      </c>
      <c r="G695" s="18">
        <v>8</v>
      </c>
      <c r="H695" s="18">
        <v>2</v>
      </c>
      <c r="I695" s="18">
        <v>1</v>
      </c>
      <c r="J695" s="18">
        <v>19</v>
      </c>
    </row>
    <row r="696" spans="1:10" x14ac:dyDescent="0.2">
      <c r="A696" s="18">
        <v>9122</v>
      </c>
      <c r="B696" s="18">
        <v>189</v>
      </c>
      <c r="E696" s="18">
        <v>560</v>
      </c>
      <c r="F696" s="18">
        <v>30</v>
      </c>
      <c r="G696" s="18">
        <v>4110</v>
      </c>
      <c r="J696" s="18">
        <v>4889</v>
      </c>
    </row>
    <row r="697" spans="1:10" x14ac:dyDescent="0.2">
      <c r="A697" s="18">
        <v>9105</v>
      </c>
      <c r="G697" s="18">
        <v>10</v>
      </c>
      <c r="J697" s="18">
        <v>10</v>
      </c>
    </row>
    <row r="698" spans="1:10" x14ac:dyDescent="0.2">
      <c r="A698" s="18">
        <v>9117</v>
      </c>
      <c r="B698" s="18">
        <v>40</v>
      </c>
      <c r="G698" s="18">
        <v>540</v>
      </c>
      <c r="I698" s="18">
        <v>2</v>
      </c>
      <c r="J698" s="18">
        <v>582</v>
      </c>
    </row>
    <row r="699" spans="1:10" x14ac:dyDescent="0.2">
      <c r="A699" s="18">
        <v>8895</v>
      </c>
      <c r="H699" s="18">
        <v>0</v>
      </c>
      <c r="J699" s="18">
        <v>0</v>
      </c>
    </row>
    <row r="700" spans="1:10" x14ac:dyDescent="0.2">
      <c r="A700" s="18">
        <v>9143</v>
      </c>
      <c r="B700" s="18">
        <v>6</v>
      </c>
      <c r="C700" s="18">
        <v>12</v>
      </c>
      <c r="E700" s="18">
        <v>60</v>
      </c>
      <c r="F700" s="18">
        <v>6</v>
      </c>
      <c r="G700" s="18">
        <v>41</v>
      </c>
      <c r="H700" s="18">
        <v>14</v>
      </c>
      <c r="I700" s="18">
        <v>3</v>
      </c>
      <c r="J700" s="18">
        <v>142</v>
      </c>
    </row>
    <row r="701" spans="1:10" x14ac:dyDescent="0.2">
      <c r="A701" s="18">
        <v>9131</v>
      </c>
      <c r="C701" s="18">
        <v>1</v>
      </c>
      <c r="E701" s="18">
        <v>1</v>
      </c>
      <c r="F701" s="18">
        <v>1</v>
      </c>
      <c r="G701" s="18">
        <v>6</v>
      </c>
      <c r="H701" s="18">
        <v>2</v>
      </c>
      <c r="I701" s="18">
        <v>1</v>
      </c>
      <c r="J701" s="18">
        <v>12</v>
      </c>
    </row>
    <row r="702" spans="1:10" x14ac:dyDescent="0.2">
      <c r="A702" s="18">
        <v>8843</v>
      </c>
      <c r="D702" s="18">
        <v>0</v>
      </c>
      <c r="J702" s="18">
        <v>0</v>
      </c>
    </row>
    <row r="703" spans="1:10" x14ac:dyDescent="0.2">
      <c r="A703" s="18">
        <v>9164</v>
      </c>
      <c r="C703" s="18">
        <v>0</v>
      </c>
      <c r="E703" s="18">
        <v>0</v>
      </c>
      <c r="F703" s="18">
        <v>460</v>
      </c>
      <c r="G703" s="18">
        <v>8100</v>
      </c>
      <c r="H703" s="18">
        <v>683</v>
      </c>
      <c r="J703" s="18">
        <v>9243</v>
      </c>
    </row>
    <row r="704" spans="1:10" x14ac:dyDescent="0.2">
      <c r="A704" s="18">
        <v>9160</v>
      </c>
      <c r="C704" s="18">
        <v>5</v>
      </c>
      <c r="E704" s="18">
        <v>10</v>
      </c>
      <c r="F704" s="18">
        <v>5</v>
      </c>
      <c r="G704" s="18">
        <v>30</v>
      </c>
      <c r="H704" s="18">
        <v>10</v>
      </c>
      <c r="I704" s="18">
        <v>5</v>
      </c>
      <c r="J704" s="18">
        <v>65</v>
      </c>
    </row>
    <row r="705" spans="1:10" x14ac:dyDescent="0.2">
      <c r="A705" s="18">
        <v>8869</v>
      </c>
      <c r="G705" s="18">
        <v>0</v>
      </c>
      <c r="H705" s="18">
        <v>0</v>
      </c>
      <c r="J705" s="18">
        <v>0</v>
      </c>
    </row>
    <row r="706" spans="1:10" x14ac:dyDescent="0.2">
      <c r="A706" s="18">
        <v>8786</v>
      </c>
      <c r="C706" s="18">
        <v>0</v>
      </c>
      <c r="J706" s="18">
        <v>0</v>
      </c>
    </row>
    <row r="707" spans="1:10" x14ac:dyDescent="0.2">
      <c r="A707" s="18">
        <v>9158</v>
      </c>
      <c r="C707" s="18">
        <v>1</v>
      </c>
      <c r="E707" s="18">
        <v>2</v>
      </c>
      <c r="F707" s="18">
        <v>1</v>
      </c>
      <c r="G707" s="18">
        <v>1</v>
      </c>
      <c r="I707" s="18">
        <v>1</v>
      </c>
      <c r="J707" s="18">
        <v>6</v>
      </c>
    </row>
    <row r="708" spans="1:10" x14ac:dyDescent="0.2">
      <c r="A708" s="18">
        <v>9107</v>
      </c>
      <c r="F708" s="18">
        <v>0</v>
      </c>
      <c r="J708" s="18">
        <v>0</v>
      </c>
    </row>
    <row r="709" spans="1:10" x14ac:dyDescent="0.2">
      <c r="A709" s="18">
        <v>9152</v>
      </c>
      <c r="F709" s="18">
        <v>0</v>
      </c>
      <c r="J709" s="18">
        <v>0</v>
      </c>
    </row>
    <row r="710" spans="1:10" x14ac:dyDescent="0.2">
      <c r="A710" s="18">
        <v>9153</v>
      </c>
      <c r="E710" s="18">
        <v>4</v>
      </c>
      <c r="F710" s="18">
        <v>6</v>
      </c>
      <c r="G710" s="18">
        <v>14</v>
      </c>
      <c r="I710" s="18">
        <v>2</v>
      </c>
      <c r="J710" s="18">
        <v>26</v>
      </c>
    </row>
    <row r="711" spans="1:10" x14ac:dyDescent="0.2">
      <c r="A711" s="18">
        <v>8766</v>
      </c>
      <c r="C711" s="18">
        <v>0</v>
      </c>
      <c r="F711" s="18">
        <v>0</v>
      </c>
      <c r="G711" s="18">
        <v>0</v>
      </c>
      <c r="H711" s="18">
        <v>0</v>
      </c>
      <c r="J711" s="18">
        <v>0</v>
      </c>
    </row>
    <row r="712" spans="1:10" x14ac:dyDescent="0.2">
      <c r="A712" s="18">
        <v>9197</v>
      </c>
      <c r="B712" s="18">
        <v>28</v>
      </c>
      <c r="J712" s="18">
        <v>28</v>
      </c>
    </row>
    <row r="713" spans="1:10" x14ac:dyDescent="0.2">
      <c r="A713" s="18">
        <v>9169</v>
      </c>
      <c r="E713" s="18">
        <v>0</v>
      </c>
      <c r="J713" s="18">
        <v>0</v>
      </c>
    </row>
    <row r="714" spans="1:10" x14ac:dyDescent="0.2">
      <c r="A714" s="18">
        <v>8712</v>
      </c>
      <c r="C714" s="18">
        <v>0</v>
      </c>
      <c r="F714" s="18">
        <v>0</v>
      </c>
      <c r="H714" s="18">
        <v>0</v>
      </c>
      <c r="J714" s="18">
        <v>0</v>
      </c>
    </row>
    <row r="715" spans="1:10" x14ac:dyDescent="0.2">
      <c r="A715" s="18">
        <v>9146</v>
      </c>
      <c r="C715" s="18">
        <v>0</v>
      </c>
      <c r="F715" s="18">
        <v>0</v>
      </c>
      <c r="H715" s="18">
        <v>0</v>
      </c>
      <c r="J715" s="18">
        <v>0</v>
      </c>
    </row>
    <row r="716" spans="1:10" x14ac:dyDescent="0.2">
      <c r="A716" s="18">
        <v>9228</v>
      </c>
      <c r="C716" s="18">
        <v>1</v>
      </c>
      <c r="E716" s="18">
        <v>2</v>
      </c>
      <c r="F716" s="18">
        <v>1</v>
      </c>
      <c r="G716" s="18">
        <v>7</v>
      </c>
      <c r="H716" s="18">
        <v>2</v>
      </c>
      <c r="I716" s="18">
        <v>1</v>
      </c>
      <c r="J716" s="18">
        <v>14</v>
      </c>
    </row>
    <row r="717" spans="1:10" x14ac:dyDescent="0.2">
      <c r="A717" s="18">
        <v>9247</v>
      </c>
      <c r="C717" s="18">
        <v>1</v>
      </c>
      <c r="E717" s="18">
        <v>1</v>
      </c>
      <c r="F717" s="18">
        <v>1</v>
      </c>
      <c r="G717" s="18">
        <v>8</v>
      </c>
      <c r="H717" s="18">
        <v>2</v>
      </c>
      <c r="I717" s="18">
        <v>1</v>
      </c>
      <c r="J717" s="18">
        <v>14</v>
      </c>
    </row>
    <row r="718" spans="1:10" x14ac:dyDescent="0.2">
      <c r="A718" s="18">
        <v>9279</v>
      </c>
      <c r="C718" s="18">
        <v>1</v>
      </c>
      <c r="E718" s="18">
        <v>2</v>
      </c>
      <c r="F718" s="18">
        <v>1</v>
      </c>
      <c r="G718" s="18">
        <v>14</v>
      </c>
      <c r="H718" s="18">
        <v>2</v>
      </c>
      <c r="I718" s="18">
        <v>1</v>
      </c>
      <c r="J718" s="18">
        <v>21</v>
      </c>
    </row>
    <row r="719" spans="1:10" x14ac:dyDescent="0.2">
      <c r="A719" s="18">
        <v>9288</v>
      </c>
      <c r="G719" s="18">
        <v>252</v>
      </c>
      <c r="J719" s="18">
        <v>252</v>
      </c>
    </row>
    <row r="720" spans="1:10" x14ac:dyDescent="0.2">
      <c r="A720" s="18">
        <v>9292</v>
      </c>
      <c r="C720" s="18">
        <v>7</v>
      </c>
      <c r="J720" s="18">
        <v>7</v>
      </c>
    </row>
    <row r="721" spans="1:10" x14ac:dyDescent="0.2">
      <c r="A721" s="18">
        <v>9296</v>
      </c>
      <c r="F721" s="18">
        <v>1</v>
      </c>
      <c r="G721" s="18">
        <v>1</v>
      </c>
      <c r="J721" s="18">
        <v>2</v>
      </c>
    </row>
    <row r="722" spans="1:10" x14ac:dyDescent="0.2">
      <c r="A722" s="18">
        <v>9204</v>
      </c>
      <c r="G722" s="18">
        <v>200</v>
      </c>
      <c r="J722" s="18">
        <v>200</v>
      </c>
    </row>
    <row r="723" spans="1:10" x14ac:dyDescent="0.2">
      <c r="A723" s="18">
        <v>9303</v>
      </c>
      <c r="E723" s="18">
        <v>30</v>
      </c>
      <c r="F723" s="18">
        <v>40</v>
      </c>
      <c r="J723" s="18">
        <v>70</v>
      </c>
    </row>
    <row r="724" spans="1:10" x14ac:dyDescent="0.2">
      <c r="A724" s="18">
        <v>9302</v>
      </c>
      <c r="C724" s="18">
        <v>1</v>
      </c>
      <c r="E724" s="18">
        <v>1</v>
      </c>
      <c r="F724" s="18">
        <v>1</v>
      </c>
      <c r="G724" s="18">
        <v>7</v>
      </c>
      <c r="H724" s="18">
        <v>2</v>
      </c>
      <c r="I724" s="18">
        <v>1</v>
      </c>
      <c r="J724" s="18">
        <v>13</v>
      </c>
    </row>
    <row r="725" spans="1:10" x14ac:dyDescent="0.2">
      <c r="A725" s="18">
        <v>9309</v>
      </c>
      <c r="C725" s="18">
        <v>1</v>
      </c>
      <c r="J725" s="18">
        <v>1</v>
      </c>
    </row>
    <row r="726" spans="1:10" x14ac:dyDescent="0.2">
      <c r="A726" s="18">
        <v>9259</v>
      </c>
      <c r="F726" s="18">
        <v>16</v>
      </c>
      <c r="G726" s="18">
        <v>20</v>
      </c>
      <c r="J726" s="18">
        <v>36</v>
      </c>
    </row>
    <row r="727" spans="1:10" x14ac:dyDescent="0.2">
      <c r="A727" s="18">
        <v>8814</v>
      </c>
      <c r="F727" s="18">
        <v>2</v>
      </c>
      <c r="G727" s="18">
        <v>2</v>
      </c>
      <c r="I727" s="18">
        <v>2</v>
      </c>
      <c r="J727" s="18">
        <v>6</v>
      </c>
    </row>
  </sheetData>
  <autoFilter ref="A4:J583" xr:uid="{00000000-0009-0000-0000-000013000000}"/>
  <pageMargins left="0.7" right="0.7" top="0.75" bottom="0.75" header="0.3" footer="0.3"/>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9"/>
  <dimension ref="A1:Y753"/>
  <sheetViews>
    <sheetView zoomScale="80" zoomScaleNormal="80" workbookViewId="0">
      <pane xSplit="2" ySplit="3" topLeftCell="P4" activePane="bottomRight" state="frozen"/>
      <selection activeCell="O529" sqref="O529"/>
      <selection pane="topRight" activeCell="O529" sqref="O529"/>
      <selection pane="bottomLeft" activeCell="O529" sqref="O529"/>
      <selection pane="bottomRight" activeCell="X4" sqref="X4:Y726"/>
    </sheetView>
  </sheetViews>
  <sheetFormatPr defaultRowHeight="12.75" x14ac:dyDescent="0.2"/>
  <cols>
    <col min="1" max="2" width="9.28515625" style="18"/>
    <col min="3" max="3" width="31.28515625" style="18" bestFit="1" customWidth="1"/>
    <col min="4" max="4" width="27.7109375" style="18" bestFit="1" customWidth="1"/>
    <col min="5" max="5" width="31.28515625" style="18" customWidth="1"/>
    <col min="6" max="8" width="27.7109375" style="18" customWidth="1"/>
    <col min="9" max="9" width="16.7109375" style="18" customWidth="1"/>
    <col min="10" max="10" width="33" style="18" bestFit="1" customWidth="1"/>
    <col min="11" max="12" width="33.5703125" style="18" bestFit="1" customWidth="1"/>
    <col min="13" max="14" width="33.5703125" style="18" customWidth="1"/>
    <col min="15" max="15" width="34.7109375" style="18" bestFit="1" customWidth="1"/>
    <col min="16" max="16" width="33.5703125" style="18" customWidth="1"/>
    <col min="17" max="17" width="13.42578125" style="18" customWidth="1"/>
    <col min="18" max="18" width="18.7109375" bestFit="1" customWidth="1"/>
    <col min="19" max="19" width="26.5703125" bestFit="1" customWidth="1"/>
    <col min="20" max="20" width="24.7109375" bestFit="1" customWidth="1"/>
    <col min="21" max="21" width="23.28515625" bestFit="1" customWidth="1"/>
    <col min="22" max="23" width="18.28515625" style="18" bestFit="1" customWidth="1"/>
    <col min="24" max="24" width="21.28515625" bestFit="1" customWidth="1"/>
    <col min="25" max="25" width="22.28515625" bestFit="1" customWidth="1"/>
  </cols>
  <sheetData>
    <row r="1" spans="1:25" x14ac:dyDescent="0.2">
      <c r="A1" s="18">
        <v>1</v>
      </c>
      <c r="B1" s="18">
        <v>2</v>
      </c>
      <c r="C1" s="18">
        <v>3</v>
      </c>
      <c r="D1" s="18">
        <v>4</v>
      </c>
      <c r="E1" s="18">
        <v>5</v>
      </c>
      <c r="F1" s="18">
        <v>6</v>
      </c>
      <c r="G1" s="18">
        <v>7</v>
      </c>
      <c r="H1" s="18">
        <v>8</v>
      </c>
      <c r="I1" s="18">
        <v>9</v>
      </c>
      <c r="J1" s="18">
        <v>10</v>
      </c>
      <c r="K1" s="18">
        <v>11</v>
      </c>
      <c r="L1" s="18">
        <v>12</v>
      </c>
      <c r="M1" s="18">
        <v>13</v>
      </c>
      <c r="N1" s="18">
        <v>14</v>
      </c>
      <c r="O1" s="18">
        <v>15</v>
      </c>
      <c r="P1" s="18">
        <v>16</v>
      </c>
      <c r="Q1" s="18">
        <v>17</v>
      </c>
      <c r="R1" s="18">
        <v>18</v>
      </c>
      <c r="S1" s="18">
        <v>19</v>
      </c>
      <c r="T1" s="18">
        <v>20</v>
      </c>
      <c r="U1" s="18">
        <v>21</v>
      </c>
      <c r="V1" s="18">
        <v>22</v>
      </c>
      <c r="W1" s="18">
        <v>23</v>
      </c>
      <c r="X1" s="18">
        <v>24</v>
      </c>
      <c r="Y1" s="18">
        <v>25</v>
      </c>
    </row>
    <row r="2" spans="1:25" x14ac:dyDescent="0.2">
      <c r="C2" s="167" t="s">
        <v>236</v>
      </c>
      <c r="D2" s="167" t="s">
        <v>235</v>
      </c>
      <c r="E2" s="167" t="s">
        <v>234</v>
      </c>
      <c r="F2" s="167"/>
      <c r="I2" s="167" t="s">
        <v>233</v>
      </c>
      <c r="J2" s="167" t="s">
        <v>232</v>
      </c>
      <c r="K2" s="167" t="s">
        <v>231</v>
      </c>
      <c r="L2" s="167"/>
      <c r="R2" s="167" t="s">
        <v>237</v>
      </c>
      <c r="S2" s="167" t="s">
        <v>238</v>
      </c>
      <c r="T2" s="167" t="s">
        <v>239</v>
      </c>
      <c r="U2" s="167" t="s">
        <v>182</v>
      </c>
      <c r="V2" s="167" t="s">
        <v>230</v>
      </c>
      <c r="W2" s="167" t="s">
        <v>229</v>
      </c>
      <c r="X2" s="18" t="s">
        <v>181</v>
      </c>
      <c r="Y2" s="167" t="s">
        <v>180</v>
      </c>
    </row>
    <row r="3" spans="1:25" s="18" customFormat="1" ht="15" x14ac:dyDescent="0.25">
      <c r="A3" s="57" t="s">
        <v>386</v>
      </c>
      <c r="B3" s="57"/>
      <c r="C3" s="57" t="s">
        <v>47</v>
      </c>
      <c r="D3" s="57" t="s">
        <v>54</v>
      </c>
      <c r="E3" s="57" t="s">
        <v>55</v>
      </c>
      <c r="F3" s="57" t="s">
        <v>48</v>
      </c>
      <c r="G3" s="57" t="s">
        <v>56</v>
      </c>
      <c r="H3" s="57" t="s">
        <v>57</v>
      </c>
      <c r="I3" s="57" t="s">
        <v>52</v>
      </c>
      <c r="J3" s="58" t="s">
        <v>117</v>
      </c>
      <c r="K3" s="58" t="s">
        <v>74</v>
      </c>
      <c r="L3" s="58" t="s">
        <v>67</v>
      </c>
      <c r="M3" s="57" t="s">
        <v>68</v>
      </c>
      <c r="N3" s="57" t="s">
        <v>69</v>
      </c>
      <c r="O3" s="57" t="s">
        <v>70</v>
      </c>
      <c r="P3" s="57" t="s">
        <v>58</v>
      </c>
      <c r="Q3" s="58" t="s">
        <v>49</v>
      </c>
      <c r="R3" s="56" t="s">
        <v>113</v>
      </c>
      <c r="S3" s="56" t="s">
        <v>114</v>
      </c>
      <c r="T3" s="56" t="s">
        <v>115</v>
      </c>
      <c r="U3" s="56" t="s">
        <v>116</v>
      </c>
      <c r="V3" s="58" t="s">
        <v>164</v>
      </c>
      <c r="W3" s="58" t="s">
        <v>165</v>
      </c>
      <c r="X3" s="56" t="s">
        <v>166</v>
      </c>
      <c r="Y3" s="56" t="s">
        <v>167</v>
      </c>
    </row>
    <row r="4" spans="1:25" ht="15" x14ac:dyDescent="0.25">
      <c r="A4" s="59">
        <v>3713</v>
      </c>
      <c r="C4" s="18">
        <v>0</v>
      </c>
      <c r="D4" s="18">
        <v>0</v>
      </c>
      <c r="E4" s="18">
        <v>0</v>
      </c>
      <c r="F4" s="18">
        <f>SUM(D4:E4)</f>
        <v>0</v>
      </c>
      <c r="G4" s="18">
        <v>99.268000000000001</v>
      </c>
      <c r="H4" s="18">
        <v>6.5267866666666663</v>
      </c>
      <c r="I4" s="18">
        <f>SUM(G4:H4)</f>
        <v>105.79478666666667</v>
      </c>
      <c r="J4" s="18">
        <v>0</v>
      </c>
      <c r="K4" s="18">
        <v>0</v>
      </c>
      <c r="L4" s="18">
        <f>SUM(J4:K4)</f>
        <v>0</v>
      </c>
      <c r="M4" s="18">
        <v>0</v>
      </c>
      <c r="N4" s="18">
        <v>38.609333333333332</v>
      </c>
      <c r="O4" s="18">
        <v>0</v>
      </c>
      <c r="P4" s="18">
        <v>0</v>
      </c>
      <c r="Q4" s="18">
        <f t="shared" ref="Q4:Q67" si="0">SUM(M4:P4)</f>
        <v>38.609333333333332</v>
      </c>
      <c r="R4">
        <v>0</v>
      </c>
      <c r="S4">
        <v>0</v>
      </c>
      <c r="T4">
        <v>0</v>
      </c>
      <c r="U4">
        <v>0</v>
      </c>
      <c r="V4" s="18">
        <f t="shared" ref="V4:V67" si="1">M4+N4</f>
        <v>38.609333333333332</v>
      </c>
      <c r="W4" s="18">
        <f t="shared" ref="W4:W68" si="2">O4+P4</f>
        <v>0</v>
      </c>
      <c r="X4">
        <v>0</v>
      </c>
      <c r="Y4">
        <v>0</v>
      </c>
    </row>
    <row r="5" spans="1:25" ht="15" x14ac:dyDescent="0.25">
      <c r="A5" s="59">
        <v>4077</v>
      </c>
      <c r="C5" s="18">
        <v>0</v>
      </c>
      <c r="D5" s="18">
        <v>0</v>
      </c>
      <c r="E5" s="18">
        <v>0</v>
      </c>
      <c r="F5" s="18">
        <f t="shared" ref="F5:F68" si="3">SUM(D5:E5)</f>
        <v>0</v>
      </c>
      <c r="G5" s="18">
        <v>0</v>
      </c>
      <c r="H5" s="18">
        <v>0</v>
      </c>
      <c r="I5" s="18">
        <f t="shared" ref="I5:I68" si="4">SUM(G5:H5)</f>
        <v>0</v>
      </c>
      <c r="J5" s="18">
        <v>0</v>
      </c>
      <c r="K5" s="18">
        <v>0</v>
      </c>
      <c r="L5" s="18">
        <f t="shared" ref="L5:L68" si="5">SUM(J5:K5)</f>
        <v>0</v>
      </c>
      <c r="M5" s="18">
        <v>0</v>
      </c>
      <c r="N5" s="18">
        <v>0</v>
      </c>
      <c r="O5" s="18">
        <v>0</v>
      </c>
      <c r="P5" s="18">
        <v>0</v>
      </c>
      <c r="Q5" s="18">
        <f t="shared" si="0"/>
        <v>0</v>
      </c>
      <c r="R5">
        <v>0</v>
      </c>
      <c r="S5">
        <v>0</v>
      </c>
      <c r="T5">
        <v>0</v>
      </c>
      <c r="U5">
        <v>0</v>
      </c>
      <c r="V5" s="18">
        <f t="shared" si="1"/>
        <v>0</v>
      </c>
      <c r="W5" s="18">
        <f t="shared" si="2"/>
        <v>0</v>
      </c>
      <c r="X5">
        <v>0</v>
      </c>
      <c r="Y5">
        <v>0</v>
      </c>
    </row>
    <row r="6" spans="1:25" ht="15" x14ac:dyDescent="0.25">
      <c r="A6" s="59">
        <v>4079</v>
      </c>
      <c r="C6" s="18">
        <v>0</v>
      </c>
      <c r="D6" s="18">
        <v>0</v>
      </c>
      <c r="E6" s="18">
        <v>0</v>
      </c>
      <c r="F6" s="18">
        <f t="shared" si="3"/>
        <v>0</v>
      </c>
      <c r="G6" s="18">
        <v>0</v>
      </c>
      <c r="H6" s="18">
        <v>0</v>
      </c>
      <c r="I6" s="18">
        <f t="shared" si="4"/>
        <v>0</v>
      </c>
      <c r="J6" s="18">
        <v>0</v>
      </c>
      <c r="K6" s="18">
        <v>0</v>
      </c>
      <c r="L6" s="18">
        <f t="shared" si="5"/>
        <v>0</v>
      </c>
      <c r="M6" s="18">
        <v>0</v>
      </c>
      <c r="N6" s="18">
        <v>0</v>
      </c>
      <c r="O6" s="18">
        <v>0</v>
      </c>
      <c r="P6" s="18">
        <v>0</v>
      </c>
      <c r="Q6" s="18">
        <f t="shared" si="0"/>
        <v>0</v>
      </c>
      <c r="R6">
        <v>0</v>
      </c>
      <c r="S6">
        <v>0</v>
      </c>
      <c r="T6">
        <v>0</v>
      </c>
      <c r="U6">
        <v>0</v>
      </c>
      <c r="V6" s="18">
        <f t="shared" si="1"/>
        <v>0</v>
      </c>
      <c r="W6" s="18">
        <f t="shared" si="2"/>
        <v>0</v>
      </c>
      <c r="X6">
        <v>0</v>
      </c>
      <c r="Y6">
        <v>0</v>
      </c>
    </row>
    <row r="7" spans="1:25" ht="15" x14ac:dyDescent="0.25">
      <c r="A7" s="59">
        <v>4129</v>
      </c>
      <c r="C7" s="18">
        <v>0</v>
      </c>
      <c r="D7" s="18">
        <v>0</v>
      </c>
      <c r="E7" s="18">
        <v>0</v>
      </c>
      <c r="F7" s="18">
        <f t="shared" si="3"/>
        <v>0</v>
      </c>
      <c r="G7" s="18">
        <v>0</v>
      </c>
      <c r="H7" s="18">
        <v>0</v>
      </c>
      <c r="I7" s="18">
        <f t="shared" si="4"/>
        <v>0</v>
      </c>
      <c r="J7" s="18">
        <v>0</v>
      </c>
      <c r="K7" s="18">
        <v>0</v>
      </c>
      <c r="L7" s="18">
        <f t="shared" si="5"/>
        <v>0</v>
      </c>
      <c r="M7" s="18">
        <v>0</v>
      </c>
      <c r="N7" s="18">
        <v>0</v>
      </c>
      <c r="O7" s="18">
        <v>0</v>
      </c>
      <c r="P7" s="18">
        <v>0</v>
      </c>
      <c r="Q7" s="18">
        <f t="shared" si="0"/>
        <v>0</v>
      </c>
      <c r="R7">
        <v>0</v>
      </c>
      <c r="S7">
        <v>0</v>
      </c>
      <c r="T7">
        <v>0</v>
      </c>
      <c r="U7">
        <v>0</v>
      </c>
      <c r="V7" s="18">
        <f t="shared" si="1"/>
        <v>0</v>
      </c>
      <c r="W7" s="18">
        <f t="shared" si="2"/>
        <v>0</v>
      </c>
      <c r="X7">
        <v>0</v>
      </c>
      <c r="Y7">
        <v>0</v>
      </c>
    </row>
    <row r="8" spans="1:25" ht="15" x14ac:dyDescent="0.25">
      <c r="A8" s="59">
        <v>4150</v>
      </c>
      <c r="C8" s="18">
        <v>0</v>
      </c>
      <c r="D8" s="18">
        <v>0</v>
      </c>
      <c r="E8" s="18">
        <v>0</v>
      </c>
      <c r="F8" s="18">
        <f t="shared" si="3"/>
        <v>0</v>
      </c>
      <c r="G8" s="18">
        <v>0</v>
      </c>
      <c r="H8" s="18">
        <v>0</v>
      </c>
      <c r="I8" s="18">
        <f t="shared" si="4"/>
        <v>0</v>
      </c>
      <c r="J8" s="18">
        <v>0</v>
      </c>
      <c r="K8" s="18">
        <v>0</v>
      </c>
      <c r="L8" s="18">
        <f t="shared" si="5"/>
        <v>0</v>
      </c>
      <c r="M8" s="18">
        <v>0</v>
      </c>
      <c r="N8" s="18">
        <v>0</v>
      </c>
      <c r="O8" s="18">
        <v>0</v>
      </c>
      <c r="P8" s="18">
        <v>0</v>
      </c>
      <c r="Q8" s="18">
        <f t="shared" si="0"/>
        <v>0</v>
      </c>
      <c r="R8">
        <v>0</v>
      </c>
      <c r="S8">
        <v>0</v>
      </c>
      <c r="T8">
        <v>0</v>
      </c>
      <c r="U8">
        <v>0</v>
      </c>
      <c r="V8" s="18">
        <f t="shared" si="1"/>
        <v>0</v>
      </c>
      <c r="W8" s="18">
        <f t="shared" si="2"/>
        <v>0</v>
      </c>
      <c r="X8">
        <v>0</v>
      </c>
      <c r="Y8">
        <v>0</v>
      </c>
    </row>
    <row r="9" spans="1:25" ht="15" x14ac:dyDescent="0.25">
      <c r="A9" s="59">
        <v>4178</v>
      </c>
      <c r="C9" s="18">
        <v>0</v>
      </c>
      <c r="D9" s="18">
        <v>0</v>
      </c>
      <c r="E9" s="18">
        <v>0</v>
      </c>
      <c r="F9" s="18">
        <f t="shared" si="3"/>
        <v>0</v>
      </c>
      <c r="G9" s="18">
        <v>0</v>
      </c>
      <c r="H9" s="18">
        <v>0</v>
      </c>
      <c r="I9" s="18">
        <f t="shared" si="4"/>
        <v>0</v>
      </c>
      <c r="J9" s="18">
        <v>0</v>
      </c>
      <c r="K9" s="18">
        <v>0</v>
      </c>
      <c r="L9" s="18">
        <f t="shared" si="5"/>
        <v>0</v>
      </c>
      <c r="M9" s="18">
        <v>0</v>
      </c>
      <c r="N9" s="18">
        <v>0</v>
      </c>
      <c r="O9" s="18">
        <v>0</v>
      </c>
      <c r="P9" s="18">
        <v>0</v>
      </c>
      <c r="Q9" s="18">
        <f t="shared" si="0"/>
        <v>0</v>
      </c>
      <c r="R9">
        <v>0</v>
      </c>
      <c r="S9">
        <v>0</v>
      </c>
      <c r="T9">
        <v>0</v>
      </c>
      <c r="U9">
        <v>0</v>
      </c>
      <c r="V9" s="18">
        <f t="shared" si="1"/>
        <v>0</v>
      </c>
      <c r="W9" s="18">
        <f t="shared" si="2"/>
        <v>0</v>
      </c>
      <c r="X9">
        <v>0</v>
      </c>
      <c r="Y9">
        <v>0</v>
      </c>
    </row>
    <row r="10" spans="1:25" ht="15" x14ac:dyDescent="0.25">
      <c r="A10" s="59">
        <v>4235</v>
      </c>
      <c r="C10" s="18">
        <v>0</v>
      </c>
      <c r="D10" s="18">
        <v>0</v>
      </c>
      <c r="E10" s="18">
        <v>0</v>
      </c>
      <c r="F10" s="18">
        <f t="shared" si="3"/>
        <v>0</v>
      </c>
      <c r="G10" s="18">
        <v>0</v>
      </c>
      <c r="H10" s="18">
        <v>0</v>
      </c>
      <c r="I10" s="18">
        <f t="shared" si="4"/>
        <v>0</v>
      </c>
      <c r="J10" s="18">
        <v>0</v>
      </c>
      <c r="K10" s="18">
        <v>0</v>
      </c>
      <c r="L10" s="18">
        <f t="shared" si="5"/>
        <v>0</v>
      </c>
      <c r="M10" s="18">
        <v>0</v>
      </c>
      <c r="N10" s="18">
        <v>0</v>
      </c>
      <c r="O10" s="18">
        <v>0</v>
      </c>
      <c r="P10" s="18">
        <v>0</v>
      </c>
      <c r="Q10" s="18">
        <f t="shared" si="0"/>
        <v>0</v>
      </c>
      <c r="R10">
        <v>0</v>
      </c>
      <c r="S10">
        <v>0</v>
      </c>
      <c r="T10">
        <v>0</v>
      </c>
      <c r="U10">
        <v>0</v>
      </c>
      <c r="V10" s="18">
        <f t="shared" si="1"/>
        <v>0</v>
      </c>
      <c r="W10" s="18">
        <f t="shared" si="2"/>
        <v>0</v>
      </c>
      <c r="X10">
        <v>0</v>
      </c>
      <c r="Y10">
        <v>0</v>
      </c>
    </row>
    <row r="11" spans="1:25" ht="15" x14ac:dyDescent="0.25">
      <c r="A11" s="59">
        <v>4267</v>
      </c>
      <c r="C11" s="18">
        <v>0</v>
      </c>
      <c r="D11" s="18">
        <v>0</v>
      </c>
      <c r="E11" s="18">
        <v>0</v>
      </c>
      <c r="F11" s="18">
        <f t="shared" si="3"/>
        <v>0</v>
      </c>
      <c r="G11" s="18">
        <v>20.565000000000001</v>
      </c>
      <c r="H11" s="18">
        <v>3.012049999999999</v>
      </c>
      <c r="I11" s="18">
        <f t="shared" si="4"/>
        <v>23.57705</v>
      </c>
      <c r="J11" s="18">
        <v>0</v>
      </c>
      <c r="K11" s="18">
        <v>0</v>
      </c>
      <c r="L11" s="18">
        <f t="shared" si="5"/>
        <v>0</v>
      </c>
      <c r="M11" s="18">
        <v>0</v>
      </c>
      <c r="N11" s="18">
        <v>0</v>
      </c>
      <c r="O11" s="18">
        <v>0</v>
      </c>
      <c r="P11" s="18">
        <v>0</v>
      </c>
      <c r="Q11" s="18">
        <f t="shared" si="0"/>
        <v>0</v>
      </c>
      <c r="R11">
        <v>0</v>
      </c>
      <c r="S11">
        <v>0</v>
      </c>
      <c r="T11">
        <v>0.28000000000000003</v>
      </c>
      <c r="U11">
        <v>0</v>
      </c>
      <c r="V11" s="18">
        <f t="shared" si="1"/>
        <v>0</v>
      </c>
      <c r="W11" s="18">
        <f t="shared" si="2"/>
        <v>0</v>
      </c>
      <c r="X11">
        <v>0</v>
      </c>
      <c r="Y11">
        <v>0</v>
      </c>
    </row>
    <row r="12" spans="1:25" ht="15" x14ac:dyDescent="0.25">
      <c r="A12" s="59">
        <v>4441</v>
      </c>
      <c r="C12" s="18">
        <v>0</v>
      </c>
      <c r="D12" s="18">
        <v>0</v>
      </c>
      <c r="E12" s="18">
        <v>0</v>
      </c>
      <c r="F12" s="18">
        <f t="shared" si="3"/>
        <v>0</v>
      </c>
      <c r="G12" s="18">
        <v>0</v>
      </c>
      <c r="H12" s="18">
        <v>0</v>
      </c>
      <c r="I12" s="18">
        <f t="shared" si="4"/>
        <v>0</v>
      </c>
      <c r="J12" s="18">
        <v>0</v>
      </c>
      <c r="K12" s="18">
        <v>0</v>
      </c>
      <c r="L12" s="18">
        <f t="shared" si="5"/>
        <v>0</v>
      </c>
      <c r="M12" s="18">
        <v>0</v>
      </c>
      <c r="N12" s="18">
        <v>0</v>
      </c>
      <c r="O12" s="18">
        <v>0</v>
      </c>
      <c r="P12" s="18">
        <v>0</v>
      </c>
      <c r="Q12" s="18">
        <f t="shared" si="0"/>
        <v>0</v>
      </c>
      <c r="R12">
        <v>0</v>
      </c>
      <c r="S12">
        <v>0</v>
      </c>
      <c r="T12">
        <v>0</v>
      </c>
      <c r="U12">
        <v>0</v>
      </c>
      <c r="V12" s="18">
        <f t="shared" si="1"/>
        <v>0</v>
      </c>
      <c r="W12" s="18">
        <f t="shared" si="2"/>
        <v>0</v>
      </c>
      <c r="X12">
        <v>0</v>
      </c>
      <c r="Y12">
        <v>0</v>
      </c>
    </row>
    <row r="13" spans="1:25" ht="15" x14ac:dyDescent="0.25">
      <c r="A13" s="59">
        <v>4556</v>
      </c>
      <c r="C13" s="18">
        <v>0</v>
      </c>
      <c r="D13" s="18">
        <v>0</v>
      </c>
      <c r="E13" s="18">
        <v>0</v>
      </c>
      <c r="F13" s="18">
        <f t="shared" si="3"/>
        <v>0</v>
      </c>
      <c r="G13" s="18">
        <v>0.11233333333333334</v>
      </c>
      <c r="H13" s="18">
        <v>2.6833333333333334E-2</v>
      </c>
      <c r="I13" s="18">
        <f t="shared" si="4"/>
        <v>0.13916666666666666</v>
      </c>
      <c r="J13" s="18">
        <v>0</v>
      </c>
      <c r="K13" s="18">
        <v>0</v>
      </c>
      <c r="L13" s="18">
        <f t="shared" si="5"/>
        <v>0</v>
      </c>
      <c r="M13" s="18">
        <v>0</v>
      </c>
      <c r="N13" s="18">
        <v>0</v>
      </c>
      <c r="O13" s="18">
        <v>0</v>
      </c>
      <c r="P13" s="18">
        <v>0</v>
      </c>
      <c r="Q13" s="18">
        <f t="shared" si="0"/>
        <v>0</v>
      </c>
      <c r="R13">
        <v>0</v>
      </c>
      <c r="S13">
        <v>0</v>
      </c>
      <c r="T13">
        <v>9.3333333333333341E-3</v>
      </c>
      <c r="U13">
        <v>0</v>
      </c>
      <c r="V13" s="18">
        <f t="shared" si="1"/>
        <v>0</v>
      </c>
      <c r="W13" s="18">
        <f t="shared" si="2"/>
        <v>0</v>
      </c>
      <c r="X13">
        <v>0</v>
      </c>
      <c r="Y13">
        <v>0</v>
      </c>
    </row>
    <row r="14" spans="1:25" ht="15" x14ac:dyDescent="0.25">
      <c r="A14" s="59">
        <v>4603</v>
      </c>
      <c r="C14" s="18">
        <v>0</v>
      </c>
      <c r="D14" s="18">
        <v>0</v>
      </c>
      <c r="E14" s="18">
        <v>0</v>
      </c>
      <c r="F14" s="18">
        <f t="shared" si="3"/>
        <v>0</v>
      </c>
      <c r="G14" s="18">
        <v>0</v>
      </c>
      <c r="H14" s="18">
        <v>0</v>
      </c>
      <c r="I14" s="18">
        <f t="shared" si="4"/>
        <v>0</v>
      </c>
      <c r="J14" s="18">
        <v>0</v>
      </c>
      <c r="K14" s="18">
        <v>0</v>
      </c>
      <c r="L14" s="18">
        <f t="shared" si="5"/>
        <v>0</v>
      </c>
      <c r="M14" s="18">
        <v>0</v>
      </c>
      <c r="N14" s="18">
        <v>0</v>
      </c>
      <c r="O14" s="18">
        <v>0</v>
      </c>
      <c r="P14" s="18">
        <v>0</v>
      </c>
      <c r="Q14" s="18">
        <f t="shared" si="0"/>
        <v>0</v>
      </c>
      <c r="R14">
        <v>0</v>
      </c>
      <c r="S14">
        <v>0</v>
      </c>
      <c r="T14">
        <v>0</v>
      </c>
      <c r="U14">
        <v>0</v>
      </c>
      <c r="V14" s="18">
        <f t="shared" si="1"/>
        <v>0</v>
      </c>
      <c r="W14" s="18">
        <f t="shared" si="2"/>
        <v>0</v>
      </c>
      <c r="X14">
        <v>0</v>
      </c>
      <c r="Y14">
        <v>0</v>
      </c>
    </row>
    <row r="15" spans="1:25" ht="15" x14ac:dyDescent="0.25">
      <c r="A15" s="59">
        <v>4605</v>
      </c>
      <c r="C15" s="18">
        <v>0</v>
      </c>
      <c r="D15" s="18">
        <v>0</v>
      </c>
      <c r="E15" s="18">
        <v>0</v>
      </c>
      <c r="F15" s="18">
        <f t="shared" si="3"/>
        <v>0</v>
      </c>
      <c r="G15" s="18">
        <v>0</v>
      </c>
      <c r="H15" s="18">
        <v>0</v>
      </c>
      <c r="I15" s="18">
        <f t="shared" si="4"/>
        <v>0</v>
      </c>
      <c r="J15" s="18">
        <v>0</v>
      </c>
      <c r="K15" s="18">
        <v>0</v>
      </c>
      <c r="L15" s="18">
        <f t="shared" si="5"/>
        <v>0</v>
      </c>
      <c r="M15" s="18">
        <v>0</v>
      </c>
      <c r="N15" s="18">
        <v>0</v>
      </c>
      <c r="O15" s="18">
        <v>0</v>
      </c>
      <c r="P15" s="18">
        <v>0</v>
      </c>
      <c r="Q15" s="18">
        <f t="shared" si="0"/>
        <v>0</v>
      </c>
      <c r="R15">
        <v>0</v>
      </c>
      <c r="S15">
        <v>0</v>
      </c>
      <c r="T15">
        <v>0</v>
      </c>
      <c r="U15">
        <v>0</v>
      </c>
      <c r="V15" s="18">
        <f t="shared" si="1"/>
        <v>0</v>
      </c>
      <c r="W15" s="18">
        <f t="shared" si="2"/>
        <v>0</v>
      </c>
      <c r="X15">
        <v>0</v>
      </c>
      <c r="Y15">
        <v>0</v>
      </c>
    </row>
    <row r="16" spans="1:25" ht="15" x14ac:dyDescent="0.25">
      <c r="A16" s="59">
        <v>4606</v>
      </c>
      <c r="C16" s="18">
        <v>0</v>
      </c>
      <c r="D16" s="18">
        <v>0</v>
      </c>
      <c r="E16" s="18">
        <v>0</v>
      </c>
      <c r="F16" s="18">
        <f t="shared" si="3"/>
        <v>0</v>
      </c>
      <c r="G16" s="18">
        <v>0</v>
      </c>
      <c r="H16" s="18">
        <v>0</v>
      </c>
      <c r="I16" s="18">
        <f t="shared" si="4"/>
        <v>0</v>
      </c>
      <c r="J16" s="18">
        <v>0</v>
      </c>
      <c r="K16" s="18">
        <v>0</v>
      </c>
      <c r="L16" s="18">
        <f t="shared" si="5"/>
        <v>0</v>
      </c>
      <c r="M16" s="18">
        <v>0</v>
      </c>
      <c r="N16" s="18">
        <v>0</v>
      </c>
      <c r="O16" s="18">
        <v>0</v>
      </c>
      <c r="P16" s="18">
        <v>0</v>
      </c>
      <c r="Q16" s="18">
        <f t="shared" si="0"/>
        <v>0</v>
      </c>
      <c r="R16">
        <v>0</v>
      </c>
      <c r="S16">
        <v>0</v>
      </c>
      <c r="T16">
        <v>0</v>
      </c>
      <c r="U16">
        <v>0</v>
      </c>
      <c r="V16" s="18">
        <f t="shared" si="1"/>
        <v>0</v>
      </c>
      <c r="W16" s="18">
        <f t="shared" si="2"/>
        <v>0</v>
      </c>
      <c r="X16">
        <v>0</v>
      </c>
      <c r="Y16">
        <v>0</v>
      </c>
    </row>
    <row r="17" spans="1:25" ht="15" x14ac:dyDescent="0.25">
      <c r="A17" s="59">
        <v>4645</v>
      </c>
      <c r="C17" s="18">
        <v>0</v>
      </c>
      <c r="D17" s="18">
        <v>0</v>
      </c>
      <c r="E17" s="18">
        <v>0</v>
      </c>
      <c r="F17" s="18">
        <f t="shared" si="3"/>
        <v>0</v>
      </c>
      <c r="G17" s="18">
        <v>0</v>
      </c>
      <c r="H17" s="18">
        <v>0</v>
      </c>
      <c r="I17" s="18">
        <f t="shared" si="4"/>
        <v>0</v>
      </c>
      <c r="J17" s="18">
        <v>0</v>
      </c>
      <c r="K17" s="18">
        <v>0</v>
      </c>
      <c r="L17" s="18">
        <f t="shared" si="5"/>
        <v>0</v>
      </c>
      <c r="M17" s="18">
        <v>0</v>
      </c>
      <c r="N17" s="18">
        <v>0</v>
      </c>
      <c r="O17" s="18">
        <v>0</v>
      </c>
      <c r="P17" s="18">
        <v>0</v>
      </c>
      <c r="Q17" s="18">
        <f t="shared" si="0"/>
        <v>0</v>
      </c>
      <c r="R17">
        <v>0</v>
      </c>
      <c r="S17">
        <v>0</v>
      </c>
      <c r="T17">
        <v>0</v>
      </c>
      <c r="U17">
        <v>0</v>
      </c>
      <c r="V17" s="18">
        <f t="shared" si="1"/>
        <v>0</v>
      </c>
      <c r="W17" s="18">
        <f t="shared" si="2"/>
        <v>0</v>
      </c>
      <c r="X17">
        <v>0</v>
      </c>
      <c r="Y17">
        <v>0</v>
      </c>
    </row>
    <row r="18" spans="1:25" ht="15" x14ac:dyDescent="0.25">
      <c r="A18" s="59">
        <v>4767</v>
      </c>
      <c r="C18" s="18">
        <v>0</v>
      </c>
      <c r="D18" s="18">
        <v>0</v>
      </c>
      <c r="E18" s="18">
        <v>0</v>
      </c>
      <c r="F18" s="18">
        <f t="shared" si="3"/>
        <v>0</v>
      </c>
      <c r="G18" s="18">
        <v>0</v>
      </c>
      <c r="H18" s="18">
        <v>0</v>
      </c>
      <c r="I18" s="18">
        <f t="shared" si="4"/>
        <v>0</v>
      </c>
      <c r="J18" s="18">
        <v>0</v>
      </c>
      <c r="K18" s="18">
        <v>0</v>
      </c>
      <c r="L18" s="18">
        <f t="shared" si="5"/>
        <v>0</v>
      </c>
      <c r="M18" s="18">
        <v>0</v>
      </c>
      <c r="N18" s="18">
        <v>0</v>
      </c>
      <c r="O18" s="18">
        <v>0</v>
      </c>
      <c r="P18" s="18">
        <v>0</v>
      </c>
      <c r="Q18" s="18">
        <f t="shared" si="0"/>
        <v>0</v>
      </c>
      <c r="R18">
        <v>0</v>
      </c>
      <c r="S18">
        <v>0</v>
      </c>
      <c r="T18">
        <v>0</v>
      </c>
      <c r="U18">
        <v>0</v>
      </c>
      <c r="V18" s="18">
        <f t="shared" si="1"/>
        <v>0</v>
      </c>
      <c r="W18" s="18">
        <f t="shared" si="2"/>
        <v>0</v>
      </c>
      <c r="X18">
        <v>0</v>
      </c>
      <c r="Y18">
        <v>0</v>
      </c>
    </row>
    <row r="19" spans="1:25" ht="15" x14ac:dyDescent="0.25">
      <c r="A19" s="59">
        <v>4781</v>
      </c>
      <c r="C19" s="18">
        <v>0</v>
      </c>
      <c r="D19" s="18">
        <v>0</v>
      </c>
      <c r="E19" s="18">
        <v>0</v>
      </c>
      <c r="F19" s="18">
        <f t="shared" si="3"/>
        <v>0</v>
      </c>
      <c r="G19" s="18">
        <v>0</v>
      </c>
      <c r="H19" s="18">
        <v>0</v>
      </c>
      <c r="I19" s="18">
        <f t="shared" si="4"/>
        <v>0</v>
      </c>
      <c r="J19" s="18">
        <v>176.57416666666666</v>
      </c>
      <c r="K19" s="18">
        <v>245.85333333333332</v>
      </c>
      <c r="L19" s="18">
        <f t="shared" si="5"/>
        <v>422.42750000000001</v>
      </c>
      <c r="M19" s="18">
        <v>0</v>
      </c>
      <c r="N19" s="18">
        <v>176.57416666666666</v>
      </c>
      <c r="O19" s="18">
        <v>13.425833333333335</v>
      </c>
      <c r="P19" s="18">
        <v>0</v>
      </c>
      <c r="Q19" s="18">
        <f t="shared" si="0"/>
        <v>190</v>
      </c>
      <c r="R19">
        <v>6.3816666666666668</v>
      </c>
      <c r="S19">
        <v>0</v>
      </c>
      <c r="T19">
        <v>1.1700000000000002</v>
      </c>
      <c r="U19">
        <v>0</v>
      </c>
      <c r="V19" s="18">
        <f t="shared" si="1"/>
        <v>176.57416666666666</v>
      </c>
      <c r="W19" s="18">
        <f t="shared" si="2"/>
        <v>13.425833333333335</v>
      </c>
      <c r="X19">
        <v>0</v>
      </c>
      <c r="Y19">
        <v>0</v>
      </c>
    </row>
    <row r="20" spans="1:25" ht="15" x14ac:dyDescent="0.25">
      <c r="A20" s="59">
        <v>4804</v>
      </c>
      <c r="C20" s="18">
        <v>0</v>
      </c>
      <c r="D20" s="18">
        <v>0</v>
      </c>
      <c r="E20" s="18">
        <v>0</v>
      </c>
      <c r="F20" s="18">
        <f t="shared" si="3"/>
        <v>0</v>
      </c>
      <c r="G20" s="18">
        <v>0.35949999999999999</v>
      </c>
      <c r="H20" s="18">
        <v>5.5499999999999994E-2</v>
      </c>
      <c r="I20" s="18">
        <f t="shared" si="4"/>
        <v>0.41499999999999998</v>
      </c>
      <c r="J20" s="18">
        <v>0</v>
      </c>
      <c r="K20" s="18">
        <v>0</v>
      </c>
      <c r="L20" s="18">
        <f t="shared" si="5"/>
        <v>0</v>
      </c>
      <c r="M20" s="18">
        <v>0</v>
      </c>
      <c r="N20" s="18">
        <v>0</v>
      </c>
      <c r="O20" s="18">
        <v>0</v>
      </c>
      <c r="P20" s="18">
        <v>0</v>
      </c>
      <c r="Q20" s="18">
        <f t="shared" si="0"/>
        <v>0</v>
      </c>
      <c r="R20">
        <v>0</v>
      </c>
      <c r="S20">
        <v>0</v>
      </c>
      <c r="T20">
        <v>0</v>
      </c>
      <c r="U20">
        <v>0</v>
      </c>
      <c r="V20" s="18">
        <f t="shared" si="1"/>
        <v>0</v>
      </c>
      <c r="W20" s="18">
        <f t="shared" si="2"/>
        <v>0</v>
      </c>
      <c r="X20">
        <v>0</v>
      </c>
      <c r="Y20">
        <v>0</v>
      </c>
    </row>
    <row r="21" spans="1:25" ht="15" x14ac:dyDescent="0.25">
      <c r="A21" s="59">
        <v>4834</v>
      </c>
      <c r="C21" s="18">
        <v>0</v>
      </c>
      <c r="D21" s="18">
        <v>0</v>
      </c>
      <c r="E21" s="18">
        <v>0</v>
      </c>
      <c r="F21" s="18">
        <f t="shared" si="3"/>
        <v>0</v>
      </c>
      <c r="G21" s="18">
        <v>0</v>
      </c>
      <c r="H21" s="18">
        <v>0</v>
      </c>
      <c r="I21" s="18">
        <f t="shared" si="4"/>
        <v>0</v>
      </c>
      <c r="J21" s="18">
        <v>0</v>
      </c>
      <c r="K21" s="18">
        <v>0</v>
      </c>
      <c r="L21" s="18">
        <f t="shared" si="5"/>
        <v>0</v>
      </c>
      <c r="M21" s="18">
        <v>0</v>
      </c>
      <c r="N21" s="18">
        <v>0</v>
      </c>
      <c r="O21" s="18">
        <v>0</v>
      </c>
      <c r="P21" s="18">
        <v>0</v>
      </c>
      <c r="Q21" s="18">
        <f t="shared" si="0"/>
        <v>0</v>
      </c>
      <c r="R21">
        <v>0</v>
      </c>
      <c r="S21">
        <v>0</v>
      </c>
      <c r="T21">
        <v>0</v>
      </c>
      <c r="U21">
        <v>0</v>
      </c>
      <c r="V21" s="18">
        <f t="shared" si="1"/>
        <v>0</v>
      </c>
      <c r="W21" s="18">
        <f t="shared" si="2"/>
        <v>0</v>
      </c>
      <c r="X21">
        <v>0</v>
      </c>
      <c r="Y21">
        <v>0</v>
      </c>
    </row>
    <row r="22" spans="1:25" ht="15" x14ac:dyDescent="0.25">
      <c r="A22" s="59">
        <v>4849</v>
      </c>
      <c r="C22" s="18">
        <v>0</v>
      </c>
      <c r="D22" s="18">
        <v>0</v>
      </c>
      <c r="E22" s="18">
        <v>0</v>
      </c>
      <c r="F22" s="18">
        <f t="shared" si="3"/>
        <v>0</v>
      </c>
      <c r="G22" s="18">
        <v>0</v>
      </c>
      <c r="H22" s="18">
        <v>0</v>
      </c>
      <c r="I22" s="18">
        <f t="shared" si="4"/>
        <v>0</v>
      </c>
      <c r="J22" s="18">
        <v>0</v>
      </c>
      <c r="K22" s="18">
        <v>0</v>
      </c>
      <c r="L22" s="18">
        <f t="shared" si="5"/>
        <v>0</v>
      </c>
      <c r="M22" s="18">
        <v>0</v>
      </c>
      <c r="N22" s="18">
        <v>0</v>
      </c>
      <c r="O22" s="18">
        <v>0</v>
      </c>
      <c r="P22" s="18">
        <v>0</v>
      </c>
      <c r="Q22" s="18">
        <f t="shared" si="0"/>
        <v>0</v>
      </c>
      <c r="R22">
        <v>0</v>
      </c>
      <c r="S22">
        <v>0</v>
      </c>
      <c r="T22">
        <v>0</v>
      </c>
      <c r="U22">
        <v>0</v>
      </c>
      <c r="V22" s="18">
        <f t="shared" si="1"/>
        <v>0</v>
      </c>
      <c r="W22" s="18">
        <f t="shared" si="2"/>
        <v>0</v>
      </c>
      <c r="X22">
        <v>0</v>
      </c>
      <c r="Y22">
        <v>0</v>
      </c>
    </row>
    <row r="23" spans="1:25" ht="15" x14ac:dyDescent="0.25">
      <c r="A23" s="59">
        <v>4850</v>
      </c>
      <c r="C23" s="18">
        <v>0</v>
      </c>
      <c r="D23" s="18">
        <v>0</v>
      </c>
      <c r="E23" s="18">
        <v>0</v>
      </c>
      <c r="F23" s="18">
        <f t="shared" si="3"/>
        <v>0</v>
      </c>
      <c r="G23" s="18">
        <v>0</v>
      </c>
      <c r="H23" s="18">
        <v>0</v>
      </c>
      <c r="I23" s="18">
        <f t="shared" si="4"/>
        <v>0</v>
      </c>
      <c r="J23" s="18">
        <v>0</v>
      </c>
      <c r="K23" s="18">
        <v>0</v>
      </c>
      <c r="L23" s="18">
        <f t="shared" si="5"/>
        <v>0</v>
      </c>
      <c r="M23" s="18">
        <v>0</v>
      </c>
      <c r="N23" s="18">
        <v>0</v>
      </c>
      <c r="O23" s="18">
        <v>0</v>
      </c>
      <c r="P23" s="18">
        <v>0</v>
      </c>
      <c r="Q23" s="18">
        <f t="shared" si="0"/>
        <v>0</v>
      </c>
      <c r="R23">
        <v>0</v>
      </c>
      <c r="S23">
        <v>0</v>
      </c>
      <c r="T23">
        <v>0</v>
      </c>
      <c r="U23">
        <v>0</v>
      </c>
      <c r="V23" s="18">
        <f t="shared" si="1"/>
        <v>0</v>
      </c>
      <c r="W23" s="18">
        <f t="shared" si="2"/>
        <v>0</v>
      </c>
      <c r="X23">
        <v>0</v>
      </c>
      <c r="Y23">
        <v>0</v>
      </c>
    </row>
    <row r="24" spans="1:25" ht="15" x14ac:dyDescent="0.25">
      <c r="A24" s="59">
        <v>4852</v>
      </c>
      <c r="C24" s="18">
        <v>0</v>
      </c>
      <c r="D24" s="18">
        <v>0</v>
      </c>
      <c r="E24" s="18">
        <v>0</v>
      </c>
      <c r="F24" s="18">
        <f t="shared" si="3"/>
        <v>0</v>
      </c>
      <c r="G24" s="18">
        <v>0</v>
      </c>
      <c r="H24" s="18">
        <v>0</v>
      </c>
      <c r="I24" s="18">
        <f t="shared" si="4"/>
        <v>0</v>
      </c>
      <c r="J24" s="18">
        <v>0</v>
      </c>
      <c r="K24" s="18">
        <v>0</v>
      </c>
      <c r="L24" s="18">
        <f t="shared" si="5"/>
        <v>0</v>
      </c>
      <c r="M24" s="18">
        <v>0</v>
      </c>
      <c r="N24" s="18">
        <v>0</v>
      </c>
      <c r="O24" s="18">
        <v>0</v>
      </c>
      <c r="P24" s="18">
        <v>0</v>
      </c>
      <c r="Q24" s="18">
        <f t="shared" si="0"/>
        <v>0</v>
      </c>
      <c r="R24">
        <v>0</v>
      </c>
      <c r="S24">
        <v>0</v>
      </c>
      <c r="T24">
        <v>0</v>
      </c>
      <c r="U24">
        <v>0</v>
      </c>
      <c r="V24" s="18">
        <f t="shared" si="1"/>
        <v>0</v>
      </c>
      <c r="W24" s="18">
        <f t="shared" si="2"/>
        <v>0</v>
      </c>
      <c r="X24">
        <v>0</v>
      </c>
      <c r="Y24">
        <v>0</v>
      </c>
    </row>
    <row r="25" spans="1:25" ht="15" x14ac:dyDescent="0.25">
      <c r="A25" s="59">
        <v>4865</v>
      </c>
      <c r="C25" s="18">
        <v>0</v>
      </c>
      <c r="D25" s="18">
        <v>0</v>
      </c>
      <c r="E25" s="18">
        <v>0</v>
      </c>
      <c r="F25" s="18">
        <f t="shared" si="3"/>
        <v>0</v>
      </c>
      <c r="G25" s="18">
        <v>0</v>
      </c>
      <c r="H25" s="18">
        <v>0</v>
      </c>
      <c r="I25" s="18">
        <f t="shared" si="4"/>
        <v>0</v>
      </c>
      <c r="J25" s="18">
        <v>0</v>
      </c>
      <c r="K25" s="18">
        <v>0</v>
      </c>
      <c r="L25" s="18">
        <f t="shared" si="5"/>
        <v>0</v>
      </c>
      <c r="M25" s="18">
        <v>0</v>
      </c>
      <c r="N25" s="18">
        <v>0</v>
      </c>
      <c r="O25" s="18">
        <v>0</v>
      </c>
      <c r="P25" s="18">
        <v>0</v>
      </c>
      <c r="Q25" s="18">
        <f t="shared" si="0"/>
        <v>0</v>
      </c>
      <c r="R25">
        <v>0</v>
      </c>
      <c r="S25">
        <v>0</v>
      </c>
      <c r="T25">
        <v>0</v>
      </c>
      <c r="U25">
        <v>0</v>
      </c>
      <c r="V25" s="18">
        <f t="shared" si="1"/>
        <v>0</v>
      </c>
      <c r="W25" s="18">
        <f t="shared" si="2"/>
        <v>0</v>
      </c>
      <c r="X25">
        <v>0</v>
      </c>
      <c r="Y25">
        <v>0</v>
      </c>
    </row>
    <row r="26" spans="1:25" ht="15" x14ac:dyDescent="0.25">
      <c r="A26" s="59">
        <v>4943</v>
      </c>
      <c r="C26" s="18">
        <v>0</v>
      </c>
      <c r="D26" s="18">
        <v>0</v>
      </c>
      <c r="E26" s="18">
        <v>0</v>
      </c>
      <c r="F26" s="18">
        <f t="shared" si="3"/>
        <v>0</v>
      </c>
      <c r="G26" s="18">
        <v>0</v>
      </c>
      <c r="H26" s="18">
        <v>0</v>
      </c>
      <c r="I26" s="18">
        <f t="shared" si="4"/>
        <v>0</v>
      </c>
      <c r="J26" s="18">
        <v>0</v>
      </c>
      <c r="K26" s="18">
        <v>0</v>
      </c>
      <c r="L26" s="18">
        <f t="shared" si="5"/>
        <v>0</v>
      </c>
      <c r="M26" s="18">
        <v>0</v>
      </c>
      <c r="N26" s="18">
        <v>0</v>
      </c>
      <c r="O26" s="18">
        <v>0</v>
      </c>
      <c r="P26" s="18">
        <v>0</v>
      </c>
      <c r="Q26" s="18">
        <f t="shared" si="0"/>
        <v>0</v>
      </c>
      <c r="R26">
        <v>0</v>
      </c>
      <c r="S26">
        <v>0</v>
      </c>
      <c r="T26">
        <v>0</v>
      </c>
      <c r="U26">
        <v>0</v>
      </c>
      <c r="V26" s="18">
        <f t="shared" si="1"/>
        <v>0</v>
      </c>
      <c r="W26" s="18">
        <f t="shared" si="2"/>
        <v>0</v>
      </c>
      <c r="X26">
        <v>0</v>
      </c>
      <c r="Y26">
        <v>0</v>
      </c>
    </row>
    <row r="27" spans="1:25" ht="15" x14ac:dyDescent="0.25">
      <c r="A27" s="59">
        <v>4969</v>
      </c>
      <c r="C27" s="18">
        <v>0</v>
      </c>
      <c r="D27" s="18">
        <v>0</v>
      </c>
      <c r="E27" s="18">
        <v>0</v>
      </c>
      <c r="F27" s="18">
        <f t="shared" si="3"/>
        <v>0</v>
      </c>
      <c r="G27" s="18">
        <v>0</v>
      </c>
      <c r="H27" s="18">
        <v>0</v>
      </c>
      <c r="I27" s="18">
        <f t="shared" si="4"/>
        <v>0</v>
      </c>
      <c r="J27" s="18">
        <v>0</v>
      </c>
      <c r="K27" s="18">
        <v>0</v>
      </c>
      <c r="L27" s="18">
        <f t="shared" si="5"/>
        <v>0</v>
      </c>
      <c r="M27" s="18">
        <v>0</v>
      </c>
      <c r="N27" s="18">
        <v>0</v>
      </c>
      <c r="O27" s="18">
        <v>0</v>
      </c>
      <c r="P27" s="18">
        <v>0</v>
      </c>
      <c r="Q27" s="18">
        <f t="shared" si="0"/>
        <v>0</v>
      </c>
      <c r="R27">
        <v>0</v>
      </c>
      <c r="S27">
        <v>0</v>
      </c>
      <c r="T27">
        <v>0</v>
      </c>
      <c r="U27">
        <v>0</v>
      </c>
      <c r="V27" s="18">
        <f t="shared" si="1"/>
        <v>0</v>
      </c>
      <c r="W27" s="18">
        <f t="shared" si="2"/>
        <v>0</v>
      </c>
      <c r="X27">
        <v>0</v>
      </c>
      <c r="Y27">
        <v>0</v>
      </c>
    </row>
    <row r="28" spans="1:25" ht="15" x14ac:dyDescent="0.25">
      <c r="A28" s="59">
        <v>4972</v>
      </c>
      <c r="C28" s="18">
        <v>0</v>
      </c>
      <c r="D28" s="18">
        <v>0</v>
      </c>
      <c r="E28" s="18">
        <v>0</v>
      </c>
      <c r="F28" s="18">
        <f t="shared" si="3"/>
        <v>0</v>
      </c>
      <c r="G28" s="18">
        <v>0</v>
      </c>
      <c r="H28" s="18">
        <v>0</v>
      </c>
      <c r="I28" s="18">
        <f t="shared" si="4"/>
        <v>0</v>
      </c>
      <c r="J28" s="18">
        <v>0</v>
      </c>
      <c r="K28" s="18">
        <v>0</v>
      </c>
      <c r="L28" s="18">
        <f t="shared" si="5"/>
        <v>0</v>
      </c>
      <c r="M28" s="18">
        <v>0</v>
      </c>
      <c r="N28" s="18">
        <v>0</v>
      </c>
      <c r="O28" s="18">
        <v>0</v>
      </c>
      <c r="P28" s="18">
        <v>0</v>
      </c>
      <c r="Q28" s="18">
        <f t="shared" si="0"/>
        <v>0</v>
      </c>
      <c r="R28">
        <v>0</v>
      </c>
      <c r="S28">
        <v>0</v>
      </c>
      <c r="T28">
        <v>0</v>
      </c>
      <c r="U28">
        <v>0</v>
      </c>
      <c r="V28" s="18">
        <f t="shared" si="1"/>
        <v>0</v>
      </c>
      <c r="W28" s="18">
        <f t="shared" si="2"/>
        <v>0</v>
      </c>
      <c r="X28">
        <v>0</v>
      </c>
      <c r="Y28">
        <v>0</v>
      </c>
    </row>
    <row r="29" spans="1:25" ht="15" x14ac:dyDescent="0.25">
      <c r="A29" s="59">
        <v>4975</v>
      </c>
      <c r="C29" s="18">
        <v>0</v>
      </c>
      <c r="D29" s="18">
        <v>0</v>
      </c>
      <c r="E29" s="18">
        <v>0</v>
      </c>
      <c r="F29" s="18">
        <f t="shared" si="3"/>
        <v>0</v>
      </c>
      <c r="G29" s="18">
        <v>0</v>
      </c>
      <c r="H29" s="18">
        <v>0</v>
      </c>
      <c r="I29" s="18">
        <f t="shared" si="4"/>
        <v>0</v>
      </c>
      <c r="J29" s="18">
        <v>0</v>
      </c>
      <c r="K29" s="18">
        <v>0</v>
      </c>
      <c r="L29" s="18">
        <f t="shared" si="5"/>
        <v>0</v>
      </c>
      <c r="M29" s="18">
        <v>0</v>
      </c>
      <c r="N29" s="18">
        <v>0</v>
      </c>
      <c r="O29" s="18">
        <v>0</v>
      </c>
      <c r="P29" s="18">
        <v>0</v>
      </c>
      <c r="Q29" s="18">
        <f t="shared" si="0"/>
        <v>0</v>
      </c>
      <c r="R29">
        <v>0</v>
      </c>
      <c r="S29">
        <v>0</v>
      </c>
      <c r="T29">
        <v>0</v>
      </c>
      <c r="U29">
        <v>0</v>
      </c>
      <c r="V29" s="18">
        <f t="shared" si="1"/>
        <v>0</v>
      </c>
      <c r="W29" s="18">
        <f t="shared" si="2"/>
        <v>0</v>
      </c>
      <c r="X29">
        <v>0</v>
      </c>
      <c r="Y29">
        <v>0</v>
      </c>
    </row>
    <row r="30" spans="1:25" ht="15" x14ac:dyDescent="0.25">
      <c r="A30" s="59">
        <v>4991</v>
      </c>
      <c r="C30" s="18">
        <v>0</v>
      </c>
      <c r="D30" s="18">
        <v>0</v>
      </c>
      <c r="E30" s="18">
        <v>0</v>
      </c>
      <c r="F30" s="18">
        <f t="shared" si="3"/>
        <v>0</v>
      </c>
      <c r="G30" s="18">
        <v>0</v>
      </c>
      <c r="H30" s="18">
        <v>0</v>
      </c>
      <c r="I30" s="18">
        <f t="shared" si="4"/>
        <v>0</v>
      </c>
      <c r="J30" s="18">
        <v>0</v>
      </c>
      <c r="K30" s="18">
        <v>0</v>
      </c>
      <c r="L30" s="18">
        <f t="shared" si="5"/>
        <v>0</v>
      </c>
      <c r="M30" s="18">
        <v>0</v>
      </c>
      <c r="N30" s="18">
        <v>0</v>
      </c>
      <c r="O30" s="18">
        <v>0</v>
      </c>
      <c r="P30" s="18">
        <v>0</v>
      </c>
      <c r="Q30" s="18">
        <f t="shared" si="0"/>
        <v>0</v>
      </c>
      <c r="R30">
        <v>0</v>
      </c>
      <c r="S30">
        <v>0</v>
      </c>
      <c r="T30">
        <v>0</v>
      </c>
      <c r="U30">
        <v>0</v>
      </c>
      <c r="V30" s="18">
        <f t="shared" si="1"/>
        <v>0</v>
      </c>
      <c r="W30" s="18">
        <f t="shared" si="2"/>
        <v>0</v>
      </c>
      <c r="X30">
        <v>0</v>
      </c>
      <c r="Y30">
        <v>0</v>
      </c>
    </row>
    <row r="31" spans="1:25" ht="15" x14ac:dyDescent="0.25">
      <c r="A31" s="59">
        <v>5001</v>
      </c>
      <c r="C31" s="18">
        <v>0</v>
      </c>
      <c r="D31" s="18">
        <v>0</v>
      </c>
      <c r="E31" s="18">
        <v>0</v>
      </c>
      <c r="F31" s="18">
        <f t="shared" si="3"/>
        <v>0</v>
      </c>
      <c r="G31" s="18">
        <v>0</v>
      </c>
      <c r="H31" s="18">
        <v>0</v>
      </c>
      <c r="I31" s="18">
        <f t="shared" si="4"/>
        <v>0</v>
      </c>
      <c r="J31" s="18">
        <v>0</v>
      </c>
      <c r="K31" s="18">
        <v>0</v>
      </c>
      <c r="L31" s="18">
        <f t="shared" si="5"/>
        <v>0</v>
      </c>
      <c r="M31" s="18">
        <v>0</v>
      </c>
      <c r="N31" s="18">
        <v>0</v>
      </c>
      <c r="O31" s="18">
        <v>0</v>
      </c>
      <c r="P31" s="18">
        <v>0</v>
      </c>
      <c r="Q31" s="18">
        <f t="shared" si="0"/>
        <v>0</v>
      </c>
      <c r="R31">
        <v>0</v>
      </c>
      <c r="S31">
        <v>0</v>
      </c>
      <c r="T31">
        <v>0</v>
      </c>
      <c r="U31">
        <v>0</v>
      </c>
      <c r="V31" s="18">
        <f t="shared" si="1"/>
        <v>0</v>
      </c>
      <c r="W31" s="18">
        <f t="shared" si="2"/>
        <v>0</v>
      </c>
      <c r="X31">
        <v>0</v>
      </c>
      <c r="Y31">
        <v>0</v>
      </c>
    </row>
    <row r="32" spans="1:25" ht="15" x14ac:dyDescent="0.25">
      <c r="A32" s="59">
        <v>5013</v>
      </c>
      <c r="C32" s="18">
        <v>0</v>
      </c>
      <c r="D32" s="18">
        <v>0</v>
      </c>
      <c r="E32" s="18">
        <v>0</v>
      </c>
      <c r="F32" s="18">
        <f t="shared" si="3"/>
        <v>0</v>
      </c>
      <c r="G32" s="18">
        <v>0</v>
      </c>
      <c r="H32" s="18">
        <v>0</v>
      </c>
      <c r="I32" s="18">
        <f t="shared" si="4"/>
        <v>0</v>
      </c>
      <c r="J32" s="18">
        <v>0</v>
      </c>
      <c r="K32" s="18">
        <v>0</v>
      </c>
      <c r="L32" s="18">
        <f t="shared" si="5"/>
        <v>0</v>
      </c>
      <c r="M32" s="18">
        <v>0</v>
      </c>
      <c r="N32" s="18">
        <v>0</v>
      </c>
      <c r="O32" s="18">
        <v>0</v>
      </c>
      <c r="P32" s="18">
        <v>0</v>
      </c>
      <c r="Q32" s="18">
        <f t="shared" si="0"/>
        <v>0</v>
      </c>
      <c r="R32">
        <v>0</v>
      </c>
      <c r="S32">
        <v>0</v>
      </c>
      <c r="T32">
        <v>0</v>
      </c>
      <c r="U32">
        <v>0</v>
      </c>
      <c r="V32" s="18">
        <f t="shared" si="1"/>
        <v>0</v>
      </c>
      <c r="W32" s="18">
        <f t="shared" si="2"/>
        <v>0</v>
      </c>
      <c r="X32">
        <v>0</v>
      </c>
      <c r="Y32">
        <v>0</v>
      </c>
    </row>
    <row r="33" spans="1:25" ht="15" x14ac:dyDescent="0.25">
      <c r="A33" s="59">
        <v>5098</v>
      </c>
      <c r="C33" s="18">
        <v>0</v>
      </c>
      <c r="D33" s="18">
        <v>0</v>
      </c>
      <c r="E33" s="18">
        <v>0</v>
      </c>
      <c r="F33" s="18">
        <f t="shared" si="3"/>
        <v>0</v>
      </c>
      <c r="G33" s="18">
        <v>0</v>
      </c>
      <c r="H33" s="18">
        <v>0</v>
      </c>
      <c r="I33" s="18">
        <f t="shared" si="4"/>
        <v>0</v>
      </c>
      <c r="J33" s="18">
        <v>0</v>
      </c>
      <c r="K33" s="18">
        <v>0</v>
      </c>
      <c r="L33" s="18">
        <f t="shared" si="5"/>
        <v>0</v>
      </c>
      <c r="M33" s="18">
        <v>0</v>
      </c>
      <c r="N33" s="18">
        <v>0</v>
      </c>
      <c r="O33" s="18">
        <v>0</v>
      </c>
      <c r="P33" s="18">
        <v>0</v>
      </c>
      <c r="Q33" s="18">
        <f t="shared" si="0"/>
        <v>0</v>
      </c>
      <c r="R33">
        <v>0</v>
      </c>
      <c r="S33">
        <v>0</v>
      </c>
      <c r="T33">
        <v>0</v>
      </c>
      <c r="U33">
        <v>0</v>
      </c>
      <c r="V33" s="18">
        <f t="shared" si="1"/>
        <v>0</v>
      </c>
      <c r="W33" s="18">
        <f t="shared" si="2"/>
        <v>0</v>
      </c>
      <c r="X33">
        <v>0</v>
      </c>
      <c r="Y33">
        <v>0</v>
      </c>
    </row>
    <row r="34" spans="1:25" ht="15" x14ac:dyDescent="0.25">
      <c r="A34" s="59">
        <v>5146</v>
      </c>
      <c r="C34" s="18">
        <v>0</v>
      </c>
      <c r="D34" s="18">
        <v>0</v>
      </c>
      <c r="E34" s="18">
        <v>0</v>
      </c>
      <c r="F34" s="18">
        <f t="shared" si="3"/>
        <v>0</v>
      </c>
      <c r="G34" s="18">
        <v>0</v>
      </c>
      <c r="H34" s="18">
        <v>0</v>
      </c>
      <c r="I34" s="18">
        <f t="shared" si="4"/>
        <v>0</v>
      </c>
      <c r="J34" s="18">
        <v>0</v>
      </c>
      <c r="K34" s="18">
        <v>0</v>
      </c>
      <c r="L34" s="18">
        <f t="shared" si="5"/>
        <v>0</v>
      </c>
      <c r="M34" s="18">
        <v>0</v>
      </c>
      <c r="N34" s="18">
        <v>0</v>
      </c>
      <c r="O34" s="18">
        <v>0</v>
      </c>
      <c r="P34" s="18">
        <v>0</v>
      </c>
      <c r="Q34" s="18">
        <f t="shared" si="0"/>
        <v>0</v>
      </c>
      <c r="R34">
        <v>0</v>
      </c>
      <c r="S34">
        <v>0</v>
      </c>
      <c r="T34">
        <v>0</v>
      </c>
      <c r="U34">
        <v>0</v>
      </c>
      <c r="V34" s="18">
        <f t="shared" si="1"/>
        <v>0</v>
      </c>
      <c r="W34" s="18">
        <f t="shared" si="2"/>
        <v>0</v>
      </c>
      <c r="X34">
        <v>0</v>
      </c>
      <c r="Y34">
        <v>0</v>
      </c>
    </row>
    <row r="35" spans="1:25" ht="15" x14ac:dyDescent="0.25">
      <c r="A35" s="59">
        <v>5160</v>
      </c>
      <c r="C35" s="18">
        <v>0</v>
      </c>
      <c r="D35" s="18">
        <v>0</v>
      </c>
      <c r="E35" s="18">
        <v>0</v>
      </c>
      <c r="F35" s="18">
        <f t="shared" si="3"/>
        <v>0</v>
      </c>
      <c r="G35" s="18">
        <v>0</v>
      </c>
      <c r="H35" s="18">
        <v>0</v>
      </c>
      <c r="I35" s="18">
        <f t="shared" si="4"/>
        <v>0</v>
      </c>
      <c r="J35" s="18">
        <v>0</v>
      </c>
      <c r="K35" s="18">
        <v>0</v>
      </c>
      <c r="L35" s="18">
        <f t="shared" si="5"/>
        <v>0</v>
      </c>
      <c r="M35" s="18">
        <v>0</v>
      </c>
      <c r="N35" s="18">
        <v>0</v>
      </c>
      <c r="O35" s="18">
        <v>0</v>
      </c>
      <c r="P35" s="18">
        <v>0</v>
      </c>
      <c r="Q35" s="18">
        <f t="shared" si="0"/>
        <v>0</v>
      </c>
      <c r="R35">
        <v>0</v>
      </c>
      <c r="S35">
        <v>0</v>
      </c>
      <c r="T35">
        <v>0</v>
      </c>
      <c r="U35">
        <v>0</v>
      </c>
      <c r="V35" s="18">
        <f t="shared" si="1"/>
        <v>0</v>
      </c>
      <c r="W35" s="18">
        <f t="shared" si="2"/>
        <v>0</v>
      </c>
      <c r="X35">
        <v>0</v>
      </c>
      <c r="Y35">
        <v>0</v>
      </c>
    </row>
    <row r="36" spans="1:25" ht="15" x14ac:dyDescent="0.25">
      <c r="A36" s="59">
        <v>5163</v>
      </c>
      <c r="C36" s="18">
        <v>1.8549500000000001</v>
      </c>
      <c r="D36" s="18">
        <v>0.41049999999999998</v>
      </c>
      <c r="E36" s="18">
        <v>0</v>
      </c>
      <c r="F36" s="18">
        <f t="shared" si="3"/>
        <v>0.41049999999999998</v>
      </c>
      <c r="G36" s="18">
        <v>0.215</v>
      </c>
      <c r="H36" s="18">
        <v>0</v>
      </c>
      <c r="I36" s="18">
        <f t="shared" si="4"/>
        <v>0.215</v>
      </c>
      <c r="J36" s="18">
        <v>0</v>
      </c>
      <c r="K36" s="18">
        <v>0</v>
      </c>
      <c r="L36" s="18">
        <f t="shared" si="5"/>
        <v>0</v>
      </c>
      <c r="M36" s="18">
        <v>0</v>
      </c>
      <c r="N36" s="18">
        <v>0</v>
      </c>
      <c r="O36" s="18">
        <v>0</v>
      </c>
      <c r="P36" s="18">
        <v>0</v>
      </c>
      <c r="Q36" s="18">
        <f t="shared" si="0"/>
        <v>0</v>
      </c>
      <c r="R36">
        <v>0</v>
      </c>
      <c r="S36">
        <v>0</v>
      </c>
      <c r="T36">
        <v>0.24349999999999999</v>
      </c>
      <c r="U36">
        <v>3.6166666666666666E-2</v>
      </c>
      <c r="V36" s="18">
        <f t="shared" si="1"/>
        <v>0</v>
      </c>
      <c r="W36" s="18">
        <f t="shared" si="2"/>
        <v>0</v>
      </c>
      <c r="X36">
        <v>0.19</v>
      </c>
      <c r="Y36">
        <v>0</v>
      </c>
    </row>
    <row r="37" spans="1:25" ht="15" x14ac:dyDescent="0.25">
      <c r="A37" s="59">
        <v>5165</v>
      </c>
      <c r="C37" s="18">
        <v>0</v>
      </c>
      <c r="D37" s="18">
        <v>0</v>
      </c>
      <c r="E37" s="18">
        <v>0</v>
      </c>
      <c r="F37" s="18">
        <f t="shared" si="3"/>
        <v>0</v>
      </c>
      <c r="G37" s="18">
        <v>0</v>
      </c>
      <c r="H37" s="18">
        <v>0</v>
      </c>
      <c r="I37" s="18">
        <f t="shared" si="4"/>
        <v>0</v>
      </c>
      <c r="J37" s="18">
        <v>0</v>
      </c>
      <c r="K37" s="18">
        <v>0</v>
      </c>
      <c r="L37" s="18">
        <f t="shared" si="5"/>
        <v>0</v>
      </c>
      <c r="M37" s="18">
        <v>0</v>
      </c>
      <c r="N37" s="18">
        <v>0</v>
      </c>
      <c r="O37" s="18">
        <v>0</v>
      </c>
      <c r="P37" s="18">
        <v>0</v>
      </c>
      <c r="Q37" s="18">
        <f t="shared" si="0"/>
        <v>0</v>
      </c>
      <c r="R37">
        <v>0</v>
      </c>
      <c r="S37">
        <v>0</v>
      </c>
      <c r="T37">
        <v>0</v>
      </c>
      <c r="U37">
        <v>0</v>
      </c>
      <c r="V37" s="18">
        <f t="shared" si="1"/>
        <v>0</v>
      </c>
      <c r="W37" s="18">
        <f t="shared" si="2"/>
        <v>0</v>
      </c>
      <c r="X37">
        <v>0</v>
      </c>
      <c r="Y37">
        <v>0</v>
      </c>
    </row>
    <row r="38" spans="1:25" ht="15" x14ac:dyDescent="0.25">
      <c r="A38" s="59">
        <v>5177</v>
      </c>
      <c r="C38" s="18">
        <v>0</v>
      </c>
      <c r="D38" s="18">
        <v>0</v>
      </c>
      <c r="E38" s="18">
        <v>0</v>
      </c>
      <c r="F38" s="18">
        <f t="shared" si="3"/>
        <v>0</v>
      </c>
      <c r="G38" s="18">
        <v>0</v>
      </c>
      <c r="H38" s="18">
        <v>0</v>
      </c>
      <c r="I38" s="18">
        <f t="shared" si="4"/>
        <v>0</v>
      </c>
      <c r="J38" s="18">
        <v>0</v>
      </c>
      <c r="K38" s="18">
        <v>0</v>
      </c>
      <c r="L38" s="18">
        <f t="shared" si="5"/>
        <v>0</v>
      </c>
      <c r="M38" s="18">
        <v>0</v>
      </c>
      <c r="N38" s="18">
        <v>0</v>
      </c>
      <c r="O38" s="18">
        <v>0</v>
      </c>
      <c r="P38" s="18">
        <v>0</v>
      </c>
      <c r="Q38" s="18">
        <f t="shared" si="0"/>
        <v>0</v>
      </c>
      <c r="R38">
        <v>0</v>
      </c>
      <c r="S38">
        <v>0</v>
      </c>
      <c r="T38">
        <v>0</v>
      </c>
      <c r="U38">
        <v>0</v>
      </c>
      <c r="V38" s="18">
        <f t="shared" si="1"/>
        <v>0</v>
      </c>
      <c r="W38" s="18">
        <f t="shared" si="2"/>
        <v>0</v>
      </c>
      <c r="X38">
        <v>0</v>
      </c>
      <c r="Y38">
        <v>0</v>
      </c>
    </row>
    <row r="39" spans="1:25" ht="15" x14ac:dyDescent="0.25">
      <c r="A39" s="59">
        <v>5198</v>
      </c>
      <c r="C39" s="18">
        <v>0</v>
      </c>
      <c r="D39" s="18">
        <v>0</v>
      </c>
      <c r="E39" s="18">
        <v>0</v>
      </c>
      <c r="F39" s="18">
        <f t="shared" si="3"/>
        <v>0</v>
      </c>
      <c r="G39" s="18">
        <v>0</v>
      </c>
      <c r="H39" s="18">
        <v>0</v>
      </c>
      <c r="I39" s="18">
        <f t="shared" si="4"/>
        <v>0</v>
      </c>
      <c r="J39" s="18">
        <v>0</v>
      </c>
      <c r="K39" s="18">
        <v>0</v>
      </c>
      <c r="L39" s="18">
        <f t="shared" si="5"/>
        <v>0</v>
      </c>
      <c r="M39" s="18">
        <v>0</v>
      </c>
      <c r="N39" s="18">
        <v>0</v>
      </c>
      <c r="O39" s="18">
        <v>0</v>
      </c>
      <c r="P39" s="18">
        <v>0</v>
      </c>
      <c r="Q39" s="18">
        <f t="shared" si="0"/>
        <v>0</v>
      </c>
      <c r="R39">
        <v>0</v>
      </c>
      <c r="S39">
        <v>0</v>
      </c>
      <c r="T39">
        <v>0</v>
      </c>
      <c r="U39">
        <v>0</v>
      </c>
      <c r="V39" s="18">
        <f t="shared" si="1"/>
        <v>0</v>
      </c>
      <c r="W39" s="18">
        <f t="shared" si="2"/>
        <v>0</v>
      </c>
      <c r="X39">
        <v>0</v>
      </c>
      <c r="Y39">
        <v>0</v>
      </c>
    </row>
    <row r="40" spans="1:25" ht="15" x14ac:dyDescent="0.25">
      <c r="A40" s="59">
        <v>5210</v>
      </c>
      <c r="C40" s="18">
        <v>0</v>
      </c>
      <c r="D40" s="18">
        <v>0</v>
      </c>
      <c r="E40" s="18">
        <v>0</v>
      </c>
      <c r="F40" s="18">
        <f t="shared" si="3"/>
        <v>0</v>
      </c>
      <c r="G40" s="18">
        <v>0</v>
      </c>
      <c r="H40" s="18">
        <v>0</v>
      </c>
      <c r="I40" s="18">
        <f t="shared" si="4"/>
        <v>0</v>
      </c>
      <c r="J40" s="18">
        <v>0</v>
      </c>
      <c r="K40" s="18">
        <v>0</v>
      </c>
      <c r="L40" s="18">
        <f t="shared" si="5"/>
        <v>0</v>
      </c>
      <c r="M40" s="18">
        <v>0</v>
      </c>
      <c r="N40" s="18">
        <v>0</v>
      </c>
      <c r="O40" s="18">
        <v>0</v>
      </c>
      <c r="P40" s="18">
        <v>0</v>
      </c>
      <c r="Q40" s="18">
        <f t="shared" si="0"/>
        <v>0</v>
      </c>
      <c r="R40">
        <v>0</v>
      </c>
      <c r="S40">
        <v>0</v>
      </c>
      <c r="T40">
        <v>0</v>
      </c>
      <c r="U40">
        <v>0</v>
      </c>
      <c r="V40" s="18">
        <f t="shared" si="1"/>
        <v>0</v>
      </c>
      <c r="W40" s="18">
        <f t="shared" si="2"/>
        <v>0</v>
      </c>
      <c r="X40">
        <v>0</v>
      </c>
      <c r="Y40">
        <v>0</v>
      </c>
    </row>
    <row r="41" spans="1:25" ht="15" x14ac:dyDescent="0.25">
      <c r="A41" s="59">
        <v>5221</v>
      </c>
      <c r="C41" s="18">
        <v>0</v>
      </c>
      <c r="D41" s="18">
        <v>0</v>
      </c>
      <c r="E41" s="18">
        <v>0</v>
      </c>
      <c r="F41" s="18">
        <f t="shared" si="3"/>
        <v>0</v>
      </c>
      <c r="G41" s="18">
        <v>0</v>
      </c>
      <c r="H41" s="18">
        <v>0</v>
      </c>
      <c r="I41" s="18">
        <f t="shared" si="4"/>
        <v>0</v>
      </c>
      <c r="J41" s="18">
        <v>0</v>
      </c>
      <c r="K41" s="18">
        <v>0</v>
      </c>
      <c r="L41" s="18">
        <f t="shared" si="5"/>
        <v>0</v>
      </c>
      <c r="M41" s="18">
        <v>0</v>
      </c>
      <c r="N41" s="18">
        <v>0</v>
      </c>
      <c r="O41" s="18">
        <v>0</v>
      </c>
      <c r="P41" s="18">
        <v>0</v>
      </c>
      <c r="Q41" s="18">
        <f t="shared" si="0"/>
        <v>0</v>
      </c>
      <c r="R41">
        <v>0</v>
      </c>
      <c r="S41">
        <v>0</v>
      </c>
      <c r="T41">
        <v>0</v>
      </c>
      <c r="U41">
        <v>0</v>
      </c>
      <c r="V41" s="18">
        <f t="shared" si="1"/>
        <v>0</v>
      </c>
      <c r="W41" s="18">
        <f t="shared" si="2"/>
        <v>0</v>
      </c>
      <c r="X41">
        <v>0</v>
      </c>
      <c r="Y41">
        <v>0</v>
      </c>
    </row>
    <row r="42" spans="1:25" ht="15" x14ac:dyDescent="0.25">
      <c r="A42" s="59">
        <v>5247</v>
      </c>
      <c r="C42" s="18">
        <v>0</v>
      </c>
      <c r="D42" s="18">
        <v>0</v>
      </c>
      <c r="E42" s="18">
        <v>0</v>
      </c>
      <c r="F42" s="18">
        <f t="shared" si="3"/>
        <v>0</v>
      </c>
      <c r="G42" s="18">
        <v>0</v>
      </c>
      <c r="H42" s="18">
        <v>0</v>
      </c>
      <c r="I42" s="18">
        <f t="shared" si="4"/>
        <v>0</v>
      </c>
      <c r="J42" s="18">
        <v>0</v>
      </c>
      <c r="K42" s="18">
        <v>0</v>
      </c>
      <c r="L42" s="18">
        <f t="shared" si="5"/>
        <v>0</v>
      </c>
      <c r="M42" s="18">
        <v>0</v>
      </c>
      <c r="N42" s="18">
        <v>0</v>
      </c>
      <c r="O42" s="18">
        <v>0</v>
      </c>
      <c r="P42" s="18">
        <v>0</v>
      </c>
      <c r="Q42" s="18">
        <f t="shared" si="0"/>
        <v>0</v>
      </c>
      <c r="R42">
        <v>0</v>
      </c>
      <c r="S42">
        <v>0</v>
      </c>
      <c r="T42">
        <v>0</v>
      </c>
      <c r="U42">
        <v>0</v>
      </c>
      <c r="V42" s="18">
        <f t="shared" si="1"/>
        <v>0</v>
      </c>
      <c r="W42" s="18">
        <f t="shared" si="2"/>
        <v>0</v>
      </c>
      <c r="X42">
        <v>0</v>
      </c>
      <c r="Y42">
        <v>0</v>
      </c>
    </row>
    <row r="43" spans="1:25" ht="15" x14ac:dyDescent="0.25">
      <c r="A43" s="59">
        <v>5249</v>
      </c>
      <c r="C43" s="18">
        <v>0</v>
      </c>
      <c r="D43" s="18">
        <v>0</v>
      </c>
      <c r="E43" s="18">
        <v>0</v>
      </c>
      <c r="F43" s="18">
        <f t="shared" si="3"/>
        <v>0</v>
      </c>
      <c r="G43" s="18">
        <v>0</v>
      </c>
      <c r="H43" s="18">
        <v>0</v>
      </c>
      <c r="I43" s="18">
        <f t="shared" si="4"/>
        <v>0</v>
      </c>
      <c r="J43" s="18">
        <v>0</v>
      </c>
      <c r="K43" s="18">
        <v>0</v>
      </c>
      <c r="L43" s="18">
        <f t="shared" si="5"/>
        <v>0</v>
      </c>
      <c r="M43" s="18">
        <v>0</v>
      </c>
      <c r="N43" s="18">
        <v>0</v>
      </c>
      <c r="O43" s="18">
        <v>0</v>
      </c>
      <c r="P43" s="18">
        <v>0</v>
      </c>
      <c r="Q43" s="18">
        <f t="shared" si="0"/>
        <v>0</v>
      </c>
      <c r="R43">
        <v>0</v>
      </c>
      <c r="S43">
        <v>0</v>
      </c>
      <c r="T43">
        <v>0</v>
      </c>
      <c r="U43">
        <v>0</v>
      </c>
      <c r="V43" s="18">
        <f t="shared" si="1"/>
        <v>0</v>
      </c>
      <c r="W43" s="18">
        <f t="shared" si="2"/>
        <v>0</v>
      </c>
      <c r="X43">
        <v>0</v>
      </c>
      <c r="Y43">
        <v>0</v>
      </c>
    </row>
    <row r="44" spans="1:25" ht="15" x14ac:dyDescent="0.25">
      <c r="A44" s="59">
        <v>5258</v>
      </c>
      <c r="C44" s="18">
        <v>0</v>
      </c>
      <c r="D44" s="18">
        <v>0</v>
      </c>
      <c r="E44" s="18">
        <v>0</v>
      </c>
      <c r="F44" s="18">
        <f t="shared" si="3"/>
        <v>0</v>
      </c>
      <c r="G44" s="18">
        <v>0</v>
      </c>
      <c r="H44" s="18">
        <v>0</v>
      </c>
      <c r="I44" s="18">
        <f t="shared" si="4"/>
        <v>0</v>
      </c>
      <c r="J44" s="18">
        <v>0</v>
      </c>
      <c r="K44" s="18">
        <v>0</v>
      </c>
      <c r="L44" s="18">
        <f t="shared" si="5"/>
        <v>0</v>
      </c>
      <c r="M44" s="18">
        <v>0</v>
      </c>
      <c r="N44" s="18">
        <v>0</v>
      </c>
      <c r="O44" s="18">
        <v>0</v>
      </c>
      <c r="P44" s="18">
        <v>0</v>
      </c>
      <c r="Q44" s="18">
        <f t="shared" si="0"/>
        <v>0</v>
      </c>
      <c r="R44">
        <v>0</v>
      </c>
      <c r="S44">
        <v>0</v>
      </c>
      <c r="T44">
        <v>0</v>
      </c>
      <c r="U44">
        <v>0</v>
      </c>
      <c r="V44" s="18">
        <f t="shared" si="1"/>
        <v>0</v>
      </c>
      <c r="W44" s="18">
        <f t="shared" si="2"/>
        <v>0</v>
      </c>
      <c r="X44">
        <v>0</v>
      </c>
      <c r="Y44">
        <v>0</v>
      </c>
    </row>
    <row r="45" spans="1:25" ht="15" x14ac:dyDescent="0.25">
      <c r="A45" s="59">
        <v>5259</v>
      </c>
      <c r="C45" s="18">
        <v>0</v>
      </c>
      <c r="D45" s="18">
        <v>0</v>
      </c>
      <c r="E45" s="18">
        <v>0</v>
      </c>
      <c r="F45" s="18">
        <f t="shared" si="3"/>
        <v>0</v>
      </c>
      <c r="G45" s="18">
        <v>0</v>
      </c>
      <c r="H45" s="18">
        <v>0</v>
      </c>
      <c r="I45" s="18">
        <f t="shared" si="4"/>
        <v>0</v>
      </c>
      <c r="J45" s="18">
        <v>0</v>
      </c>
      <c r="K45" s="18">
        <v>0</v>
      </c>
      <c r="L45" s="18">
        <f t="shared" si="5"/>
        <v>0</v>
      </c>
      <c r="M45" s="18">
        <v>0</v>
      </c>
      <c r="N45" s="18">
        <v>0</v>
      </c>
      <c r="O45" s="18">
        <v>0</v>
      </c>
      <c r="P45" s="18">
        <v>0</v>
      </c>
      <c r="Q45" s="18">
        <f t="shared" si="0"/>
        <v>0</v>
      </c>
      <c r="R45">
        <v>0</v>
      </c>
      <c r="S45">
        <v>0</v>
      </c>
      <c r="T45">
        <v>0</v>
      </c>
      <c r="U45">
        <v>0</v>
      </c>
      <c r="V45" s="18">
        <f t="shared" si="1"/>
        <v>0</v>
      </c>
      <c r="W45" s="18">
        <f t="shared" si="2"/>
        <v>0</v>
      </c>
      <c r="X45">
        <v>0</v>
      </c>
      <c r="Y45">
        <v>0</v>
      </c>
    </row>
    <row r="46" spans="1:25" ht="15" x14ac:dyDescent="0.25">
      <c r="A46" s="59">
        <v>5277</v>
      </c>
      <c r="C46" s="18">
        <v>0</v>
      </c>
      <c r="D46" s="18">
        <v>0</v>
      </c>
      <c r="E46" s="18">
        <v>0</v>
      </c>
      <c r="F46" s="18">
        <f t="shared" si="3"/>
        <v>0</v>
      </c>
      <c r="G46" s="18">
        <v>0</v>
      </c>
      <c r="H46" s="18">
        <v>0</v>
      </c>
      <c r="I46" s="18">
        <f t="shared" si="4"/>
        <v>0</v>
      </c>
      <c r="J46" s="18">
        <v>0</v>
      </c>
      <c r="K46" s="18">
        <v>0</v>
      </c>
      <c r="L46" s="18">
        <f t="shared" si="5"/>
        <v>0</v>
      </c>
      <c r="M46" s="18">
        <v>0</v>
      </c>
      <c r="N46" s="18">
        <v>0</v>
      </c>
      <c r="O46" s="18">
        <v>0</v>
      </c>
      <c r="P46" s="18">
        <v>0</v>
      </c>
      <c r="Q46" s="18">
        <f t="shared" si="0"/>
        <v>0</v>
      </c>
      <c r="R46">
        <v>0</v>
      </c>
      <c r="S46">
        <v>0</v>
      </c>
      <c r="T46">
        <v>0</v>
      </c>
      <c r="U46">
        <v>0</v>
      </c>
      <c r="V46" s="18">
        <f t="shared" si="1"/>
        <v>0</v>
      </c>
      <c r="W46" s="18">
        <f t="shared" si="2"/>
        <v>0</v>
      </c>
      <c r="X46">
        <v>0</v>
      </c>
      <c r="Y46">
        <v>0</v>
      </c>
    </row>
    <row r="47" spans="1:25" ht="15" x14ac:dyDescent="0.25">
      <c r="A47" s="59">
        <v>5278</v>
      </c>
      <c r="C47" s="18">
        <v>0</v>
      </c>
      <c r="D47" s="18">
        <v>0</v>
      </c>
      <c r="E47" s="18">
        <v>0</v>
      </c>
      <c r="F47" s="18">
        <f t="shared" si="3"/>
        <v>0</v>
      </c>
      <c r="G47" s="18">
        <v>0</v>
      </c>
      <c r="H47" s="18">
        <v>0</v>
      </c>
      <c r="I47" s="18">
        <f t="shared" si="4"/>
        <v>0</v>
      </c>
      <c r="J47" s="18">
        <v>0</v>
      </c>
      <c r="K47" s="18">
        <v>0</v>
      </c>
      <c r="L47" s="18">
        <f t="shared" si="5"/>
        <v>0</v>
      </c>
      <c r="M47" s="18">
        <v>0</v>
      </c>
      <c r="N47" s="18">
        <v>0</v>
      </c>
      <c r="O47" s="18">
        <v>0</v>
      </c>
      <c r="P47" s="18">
        <v>0</v>
      </c>
      <c r="Q47" s="18">
        <f t="shared" si="0"/>
        <v>0</v>
      </c>
      <c r="R47">
        <v>0</v>
      </c>
      <c r="S47">
        <v>0</v>
      </c>
      <c r="T47">
        <v>0</v>
      </c>
      <c r="U47">
        <v>0</v>
      </c>
      <c r="V47" s="18">
        <f t="shared" si="1"/>
        <v>0</v>
      </c>
      <c r="W47" s="18">
        <f t="shared" si="2"/>
        <v>0</v>
      </c>
      <c r="X47">
        <v>0</v>
      </c>
      <c r="Y47">
        <v>0</v>
      </c>
    </row>
    <row r="48" spans="1:25" ht="15" x14ac:dyDescent="0.25">
      <c r="A48" s="59">
        <v>5280</v>
      </c>
      <c r="C48" s="18">
        <v>0</v>
      </c>
      <c r="D48" s="18">
        <v>0</v>
      </c>
      <c r="E48" s="18">
        <v>0</v>
      </c>
      <c r="F48" s="18">
        <f t="shared" si="3"/>
        <v>0</v>
      </c>
      <c r="G48" s="18">
        <v>0</v>
      </c>
      <c r="H48" s="18">
        <v>0</v>
      </c>
      <c r="I48" s="18">
        <f t="shared" si="4"/>
        <v>0</v>
      </c>
      <c r="J48" s="18">
        <v>0</v>
      </c>
      <c r="K48" s="18">
        <v>0</v>
      </c>
      <c r="L48" s="18">
        <f t="shared" si="5"/>
        <v>0</v>
      </c>
      <c r="M48" s="18">
        <v>0</v>
      </c>
      <c r="N48" s="18">
        <v>0</v>
      </c>
      <c r="O48" s="18">
        <v>0</v>
      </c>
      <c r="P48" s="18">
        <v>0</v>
      </c>
      <c r="Q48" s="18">
        <f t="shared" si="0"/>
        <v>0</v>
      </c>
      <c r="R48">
        <v>0</v>
      </c>
      <c r="S48">
        <v>0</v>
      </c>
      <c r="T48">
        <v>0</v>
      </c>
      <c r="U48">
        <v>0</v>
      </c>
      <c r="V48" s="18">
        <f t="shared" si="1"/>
        <v>0</v>
      </c>
      <c r="W48" s="18">
        <f t="shared" si="2"/>
        <v>0</v>
      </c>
      <c r="X48">
        <v>0</v>
      </c>
      <c r="Y48">
        <v>0</v>
      </c>
    </row>
    <row r="49" spans="1:25" ht="15" x14ac:dyDescent="0.25">
      <c r="A49" s="59">
        <v>5283</v>
      </c>
      <c r="C49" s="18">
        <v>0</v>
      </c>
      <c r="D49" s="18">
        <v>0</v>
      </c>
      <c r="E49" s="18">
        <v>0</v>
      </c>
      <c r="F49" s="18">
        <f t="shared" si="3"/>
        <v>0</v>
      </c>
      <c r="G49" s="18">
        <v>0</v>
      </c>
      <c r="H49" s="18">
        <v>0</v>
      </c>
      <c r="I49" s="18">
        <f t="shared" si="4"/>
        <v>0</v>
      </c>
      <c r="J49" s="18">
        <v>0</v>
      </c>
      <c r="K49" s="18">
        <v>0</v>
      </c>
      <c r="L49" s="18">
        <f t="shared" si="5"/>
        <v>0</v>
      </c>
      <c r="M49" s="18">
        <v>0</v>
      </c>
      <c r="N49" s="18">
        <v>0</v>
      </c>
      <c r="O49" s="18">
        <v>0</v>
      </c>
      <c r="P49" s="18">
        <v>0</v>
      </c>
      <c r="Q49" s="18">
        <f t="shared" si="0"/>
        <v>0</v>
      </c>
      <c r="R49">
        <v>0</v>
      </c>
      <c r="S49">
        <v>0</v>
      </c>
      <c r="T49">
        <v>0</v>
      </c>
      <c r="U49">
        <v>0</v>
      </c>
      <c r="V49" s="18">
        <f t="shared" si="1"/>
        <v>0</v>
      </c>
      <c r="W49" s="18">
        <f t="shared" si="2"/>
        <v>0</v>
      </c>
      <c r="X49">
        <v>0</v>
      </c>
      <c r="Y49">
        <v>0</v>
      </c>
    </row>
    <row r="50" spans="1:25" ht="15" x14ac:dyDescent="0.25">
      <c r="A50" s="59">
        <v>5286</v>
      </c>
      <c r="C50" s="18">
        <v>0</v>
      </c>
      <c r="D50" s="18">
        <v>0</v>
      </c>
      <c r="E50" s="18">
        <v>0</v>
      </c>
      <c r="F50" s="18">
        <f t="shared" si="3"/>
        <v>0</v>
      </c>
      <c r="G50" s="18">
        <v>0</v>
      </c>
      <c r="H50" s="18">
        <v>0</v>
      </c>
      <c r="I50" s="18">
        <f t="shared" si="4"/>
        <v>0</v>
      </c>
      <c r="J50" s="18">
        <v>0</v>
      </c>
      <c r="K50" s="18">
        <v>0</v>
      </c>
      <c r="L50" s="18">
        <f t="shared" si="5"/>
        <v>0</v>
      </c>
      <c r="M50" s="18">
        <v>0</v>
      </c>
      <c r="N50" s="18">
        <v>0</v>
      </c>
      <c r="O50" s="18">
        <v>0</v>
      </c>
      <c r="P50" s="18">
        <v>0</v>
      </c>
      <c r="Q50" s="18">
        <f t="shared" si="0"/>
        <v>0</v>
      </c>
      <c r="R50">
        <v>0</v>
      </c>
      <c r="S50">
        <v>0</v>
      </c>
      <c r="T50">
        <v>0</v>
      </c>
      <c r="U50">
        <v>0</v>
      </c>
      <c r="V50" s="18">
        <f t="shared" si="1"/>
        <v>0</v>
      </c>
      <c r="W50" s="18">
        <f t="shared" si="2"/>
        <v>0</v>
      </c>
      <c r="X50">
        <v>0</v>
      </c>
      <c r="Y50">
        <v>0</v>
      </c>
    </row>
    <row r="51" spans="1:25" ht="15" x14ac:dyDescent="0.25">
      <c r="A51" s="59">
        <v>5290</v>
      </c>
      <c r="C51" s="18">
        <v>0</v>
      </c>
      <c r="D51" s="18">
        <v>0</v>
      </c>
      <c r="E51" s="18">
        <v>0</v>
      </c>
      <c r="F51" s="18">
        <f t="shared" si="3"/>
        <v>0</v>
      </c>
      <c r="G51" s="18">
        <v>0</v>
      </c>
      <c r="H51" s="18">
        <v>0</v>
      </c>
      <c r="I51" s="18">
        <f t="shared" si="4"/>
        <v>0</v>
      </c>
      <c r="J51" s="18">
        <v>0</v>
      </c>
      <c r="K51" s="18">
        <v>0</v>
      </c>
      <c r="L51" s="18">
        <f t="shared" si="5"/>
        <v>0</v>
      </c>
      <c r="M51" s="18">
        <v>0</v>
      </c>
      <c r="N51" s="18">
        <v>0</v>
      </c>
      <c r="O51" s="18">
        <v>0</v>
      </c>
      <c r="P51" s="18">
        <v>0</v>
      </c>
      <c r="Q51" s="18">
        <f t="shared" si="0"/>
        <v>0</v>
      </c>
      <c r="R51">
        <v>0</v>
      </c>
      <c r="S51">
        <v>0</v>
      </c>
      <c r="T51">
        <v>0</v>
      </c>
      <c r="U51">
        <v>0</v>
      </c>
      <c r="V51" s="18">
        <f t="shared" si="1"/>
        <v>0</v>
      </c>
      <c r="W51" s="18">
        <f t="shared" si="2"/>
        <v>0</v>
      </c>
      <c r="X51">
        <v>0</v>
      </c>
      <c r="Y51">
        <v>0</v>
      </c>
    </row>
    <row r="52" spans="1:25" ht="15" x14ac:dyDescent="0.25">
      <c r="A52" s="59">
        <v>5333</v>
      </c>
      <c r="C52" s="18">
        <v>0</v>
      </c>
      <c r="D52" s="18">
        <v>0</v>
      </c>
      <c r="E52" s="18">
        <v>0</v>
      </c>
      <c r="F52" s="18">
        <f t="shared" si="3"/>
        <v>0</v>
      </c>
      <c r="G52" s="18">
        <v>0</v>
      </c>
      <c r="H52" s="18">
        <v>0</v>
      </c>
      <c r="I52" s="18">
        <f t="shared" si="4"/>
        <v>0</v>
      </c>
      <c r="J52" s="18">
        <v>0</v>
      </c>
      <c r="K52" s="18">
        <v>0</v>
      </c>
      <c r="L52" s="18">
        <f t="shared" si="5"/>
        <v>0</v>
      </c>
      <c r="M52" s="18">
        <v>0</v>
      </c>
      <c r="N52" s="18">
        <v>0</v>
      </c>
      <c r="O52" s="18">
        <v>0</v>
      </c>
      <c r="P52" s="18">
        <v>0</v>
      </c>
      <c r="Q52" s="18">
        <f t="shared" si="0"/>
        <v>0</v>
      </c>
      <c r="R52">
        <v>0</v>
      </c>
      <c r="S52">
        <v>0</v>
      </c>
      <c r="T52">
        <v>0</v>
      </c>
      <c r="U52">
        <v>0</v>
      </c>
      <c r="V52" s="18">
        <f t="shared" si="1"/>
        <v>0</v>
      </c>
      <c r="W52" s="18">
        <f t="shared" si="2"/>
        <v>0</v>
      </c>
      <c r="X52">
        <v>0</v>
      </c>
      <c r="Y52">
        <v>0</v>
      </c>
    </row>
    <row r="53" spans="1:25" ht="15" x14ac:dyDescent="0.25">
      <c r="A53" s="59">
        <v>5337</v>
      </c>
      <c r="C53" s="18">
        <v>0</v>
      </c>
      <c r="D53" s="18">
        <v>0</v>
      </c>
      <c r="E53" s="18">
        <v>0</v>
      </c>
      <c r="F53" s="18">
        <f t="shared" si="3"/>
        <v>0</v>
      </c>
      <c r="G53" s="18">
        <v>0</v>
      </c>
      <c r="H53" s="18">
        <v>0</v>
      </c>
      <c r="I53" s="18">
        <f t="shared" si="4"/>
        <v>0</v>
      </c>
      <c r="J53" s="18">
        <v>0</v>
      </c>
      <c r="K53" s="18">
        <v>0</v>
      </c>
      <c r="L53" s="18">
        <f t="shared" si="5"/>
        <v>0</v>
      </c>
      <c r="M53" s="18">
        <v>0</v>
      </c>
      <c r="N53" s="18">
        <v>0</v>
      </c>
      <c r="O53" s="18">
        <v>0</v>
      </c>
      <c r="P53" s="18">
        <v>0</v>
      </c>
      <c r="Q53" s="18">
        <f t="shared" si="0"/>
        <v>0</v>
      </c>
      <c r="R53">
        <v>0</v>
      </c>
      <c r="S53">
        <v>0</v>
      </c>
      <c r="T53">
        <v>0</v>
      </c>
      <c r="U53">
        <v>0</v>
      </c>
      <c r="V53" s="18">
        <f t="shared" si="1"/>
        <v>0</v>
      </c>
      <c r="W53" s="18">
        <f t="shared" si="2"/>
        <v>0</v>
      </c>
      <c r="X53">
        <v>0</v>
      </c>
      <c r="Y53">
        <v>0</v>
      </c>
    </row>
    <row r="54" spans="1:25" ht="15" x14ac:dyDescent="0.25">
      <c r="A54" s="59">
        <v>5338</v>
      </c>
      <c r="C54" s="18">
        <v>0</v>
      </c>
      <c r="D54" s="18">
        <v>0</v>
      </c>
      <c r="E54" s="18">
        <v>0</v>
      </c>
      <c r="F54" s="18">
        <f t="shared" si="3"/>
        <v>0</v>
      </c>
      <c r="G54" s="18">
        <v>0</v>
      </c>
      <c r="H54" s="18">
        <v>0</v>
      </c>
      <c r="I54" s="18">
        <f t="shared" si="4"/>
        <v>0</v>
      </c>
      <c r="J54" s="18">
        <v>0</v>
      </c>
      <c r="K54" s="18">
        <v>0</v>
      </c>
      <c r="L54" s="18">
        <f t="shared" si="5"/>
        <v>0</v>
      </c>
      <c r="M54" s="18">
        <v>0</v>
      </c>
      <c r="N54" s="18">
        <v>0</v>
      </c>
      <c r="O54" s="18">
        <v>0</v>
      </c>
      <c r="P54" s="18">
        <v>0</v>
      </c>
      <c r="Q54" s="18">
        <f t="shared" si="0"/>
        <v>0</v>
      </c>
      <c r="R54">
        <v>0</v>
      </c>
      <c r="S54">
        <v>0</v>
      </c>
      <c r="T54">
        <v>0</v>
      </c>
      <c r="U54">
        <v>0</v>
      </c>
      <c r="V54" s="18">
        <f t="shared" si="1"/>
        <v>0</v>
      </c>
      <c r="W54" s="18">
        <f t="shared" si="2"/>
        <v>0</v>
      </c>
      <c r="X54">
        <v>0</v>
      </c>
      <c r="Y54">
        <v>0</v>
      </c>
    </row>
    <row r="55" spans="1:25" ht="15" x14ac:dyDescent="0.25">
      <c r="A55" s="59">
        <v>5361</v>
      </c>
      <c r="C55" s="18">
        <v>0</v>
      </c>
      <c r="D55" s="18">
        <v>0</v>
      </c>
      <c r="E55" s="18">
        <v>0</v>
      </c>
      <c r="F55" s="18">
        <f t="shared" si="3"/>
        <v>0</v>
      </c>
      <c r="G55" s="18">
        <v>0</v>
      </c>
      <c r="H55" s="18">
        <v>0</v>
      </c>
      <c r="I55" s="18">
        <f t="shared" si="4"/>
        <v>0</v>
      </c>
      <c r="J55" s="18">
        <v>0</v>
      </c>
      <c r="K55" s="18">
        <v>0</v>
      </c>
      <c r="L55" s="18">
        <f t="shared" si="5"/>
        <v>0</v>
      </c>
      <c r="M55" s="18">
        <v>0</v>
      </c>
      <c r="N55" s="18">
        <v>0</v>
      </c>
      <c r="O55" s="18">
        <v>0</v>
      </c>
      <c r="P55" s="18">
        <v>0</v>
      </c>
      <c r="Q55" s="18">
        <f t="shared" si="0"/>
        <v>0</v>
      </c>
      <c r="R55">
        <v>0</v>
      </c>
      <c r="S55">
        <v>0</v>
      </c>
      <c r="T55">
        <v>0</v>
      </c>
      <c r="U55">
        <v>0</v>
      </c>
      <c r="V55" s="18">
        <f t="shared" si="1"/>
        <v>0</v>
      </c>
      <c r="W55" s="18">
        <f t="shared" si="2"/>
        <v>0</v>
      </c>
      <c r="X55">
        <v>0</v>
      </c>
      <c r="Y55">
        <v>0</v>
      </c>
    </row>
    <row r="56" spans="1:25" ht="15" x14ac:dyDescent="0.25">
      <c r="A56" s="59">
        <v>5370</v>
      </c>
      <c r="C56" s="18">
        <v>0</v>
      </c>
      <c r="D56" s="18">
        <v>0</v>
      </c>
      <c r="E56" s="18">
        <v>0</v>
      </c>
      <c r="F56" s="18">
        <f t="shared" si="3"/>
        <v>0</v>
      </c>
      <c r="G56" s="18">
        <v>0</v>
      </c>
      <c r="H56" s="18">
        <v>0</v>
      </c>
      <c r="I56" s="18">
        <f t="shared" si="4"/>
        <v>0</v>
      </c>
      <c r="J56" s="18">
        <v>0</v>
      </c>
      <c r="K56" s="18">
        <v>0</v>
      </c>
      <c r="L56" s="18">
        <f t="shared" si="5"/>
        <v>0</v>
      </c>
      <c r="M56" s="18">
        <v>0</v>
      </c>
      <c r="N56" s="18">
        <v>0</v>
      </c>
      <c r="O56" s="18">
        <v>0</v>
      </c>
      <c r="P56" s="18">
        <v>0</v>
      </c>
      <c r="Q56" s="18">
        <f t="shared" si="0"/>
        <v>0</v>
      </c>
      <c r="R56">
        <v>0</v>
      </c>
      <c r="S56">
        <v>0</v>
      </c>
      <c r="T56">
        <v>0</v>
      </c>
      <c r="U56">
        <v>0</v>
      </c>
      <c r="V56" s="18">
        <f t="shared" si="1"/>
        <v>0</v>
      </c>
      <c r="W56" s="18">
        <f t="shared" si="2"/>
        <v>0</v>
      </c>
      <c r="X56">
        <v>0</v>
      </c>
      <c r="Y56">
        <v>0</v>
      </c>
    </row>
    <row r="57" spans="1:25" ht="15" x14ac:dyDescent="0.25">
      <c r="A57" s="59">
        <v>5390</v>
      </c>
      <c r="C57" s="18">
        <v>0</v>
      </c>
      <c r="D57" s="18">
        <v>0</v>
      </c>
      <c r="E57" s="18">
        <v>0</v>
      </c>
      <c r="F57" s="18">
        <f t="shared" si="3"/>
        <v>0</v>
      </c>
      <c r="G57" s="18">
        <v>0</v>
      </c>
      <c r="H57" s="18">
        <v>0</v>
      </c>
      <c r="I57" s="18">
        <f t="shared" si="4"/>
        <v>0</v>
      </c>
      <c r="J57" s="18">
        <v>0</v>
      </c>
      <c r="K57" s="18">
        <v>0</v>
      </c>
      <c r="L57" s="18">
        <f t="shared" si="5"/>
        <v>0</v>
      </c>
      <c r="M57" s="18">
        <v>0</v>
      </c>
      <c r="N57" s="18">
        <v>0</v>
      </c>
      <c r="O57" s="18">
        <v>0</v>
      </c>
      <c r="P57" s="18">
        <v>0</v>
      </c>
      <c r="Q57" s="18">
        <f t="shared" si="0"/>
        <v>0</v>
      </c>
      <c r="R57">
        <v>0</v>
      </c>
      <c r="S57">
        <v>0</v>
      </c>
      <c r="T57">
        <v>0</v>
      </c>
      <c r="U57">
        <v>0</v>
      </c>
      <c r="V57" s="18">
        <f t="shared" si="1"/>
        <v>0</v>
      </c>
      <c r="W57" s="18">
        <f t="shared" si="2"/>
        <v>0</v>
      </c>
      <c r="X57">
        <v>0</v>
      </c>
      <c r="Y57">
        <v>0</v>
      </c>
    </row>
    <row r="58" spans="1:25" ht="15" x14ac:dyDescent="0.25">
      <c r="A58" s="59">
        <v>5391</v>
      </c>
      <c r="C58" s="18">
        <v>0</v>
      </c>
      <c r="D58" s="18">
        <v>0</v>
      </c>
      <c r="E58" s="18">
        <v>0</v>
      </c>
      <c r="F58" s="18">
        <f t="shared" si="3"/>
        <v>0</v>
      </c>
      <c r="G58" s="18">
        <v>0</v>
      </c>
      <c r="H58" s="18">
        <v>0</v>
      </c>
      <c r="I58" s="18">
        <f t="shared" si="4"/>
        <v>0</v>
      </c>
      <c r="J58" s="18">
        <v>0</v>
      </c>
      <c r="K58" s="18">
        <v>0</v>
      </c>
      <c r="L58" s="18">
        <f t="shared" si="5"/>
        <v>0</v>
      </c>
      <c r="M58" s="18">
        <v>0</v>
      </c>
      <c r="N58" s="18">
        <v>0</v>
      </c>
      <c r="O58" s="18">
        <v>0</v>
      </c>
      <c r="P58" s="18">
        <v>0</v>
      </c>
      <c r="Q58" s="18">
        <f t="shared" si="0"/>
        <v>0</v>
      </c>
      <c r="R58">
        <v>0</v>
      </c>
      <c r="S58">
        <v>0</v>
      </c>
      <c r="T58">
        <v>0</v>
      </c>
      <c r="U58">
        <v>0</v>
      </c>
      <c r="V58" s="18">
        <f t="shared" si="1"/>
        <v>0</v>
      </c>
      <c r="W58" s="18">
        <f t="shared" si="2"/>
        <v>0</v>
      </c>
      <c r="X58">
        <v>0</v>
      </c>
      <c r="Y58">
        <v>0</v>
      </c>
    </row>
    <row r="59" spans="1:25" ht="15" x14ac:dyDescent="0.25">
      <c r="A59" s="59">
        <v>5394</v>
      </c>
      <c r="C59" s="18">
        <v>0</v>
      </c>
      <c r="D59" s="18">
        <v>0</v>
      </c>
      <c r="E59" s="18">
        <v>0</v>
      </c>
      <c r="F59" s="18">
        <f t="shared" si="3"/>
        <v>0</v>
      </c>
      <c r="G59" s="18">
        <v>0</v>
      </c>
      <c r="H59" s="18">
        <v>0</v>
      </c>
      <c r="I59" s="18">
        <f t="shared" si="4"/>
        <v>0</v>
      </c>
      <c r="J59" s="18">
        <v>0</v>
      </c>
      <c r="K59" s="18">
        <v>0</v>
      </c>
      <c r="L59" s="18">
        <f t="shared" si="5"/>
        <v>0</v>
      </c>
      <c r="M59" s="18">
        <v>0</v>
      </c>
      <c r="N59" s="18">
        <v>0</v>
      </c>
      <c r="O59" s="18">
        <v>0</v>
      </c>
      <c r="P59" s="18">
        <v>0</v>
      </c>
      <c r="Q59" s="18">
        <f t="shared" si="0"/>
        <v>0</v>
      </c>
      <c r="R59">
        <v>0</v>
      </c>
      <c r="S59">
        <v>0</v>
      </c>
      <c r="T59">
        <v>0</v>
      </c>
      <c r="U59">
        <v>0</v>
      </c>
      <c r="V59" s="18">
        <f t="shared" si="1"/>
        <v>0</v>
      </c>
      <c r="W59" s="18">
        <f t="shared" si="2"/>
        <v>0</v>
      </c>
      <c r="X59">
        <v>0</v>
      </c>
      <c r="Y59">
        <v>0</v>
      </c>
    </row>
    <row r="60" spans="1:25" ht="15" x14ac:dyDescent="0.25">
      <c r="A60" s="59">
        <v>5397</v>
      </c>
      <c r="C60" s="18">
        <v>0</v>
      </c>
      <c r="D60" s="18">
        <v>0</v>
      </c>
      <c r="E60" s="18">
        <v>0</v>
      </c>
      <c r="F60" s="18">
        <f t="shared" si="3"/>
        <v>0</v>
      </c>
      <c r="G60" s="18">
        <v>0</v>
      </c>
      <c r="H60" s="18">
        <v>0</v>
      </c>
      <c r="I60" s="18">
        <f t="shared" si="4"/>
        <v>0</v>
      </c>
      <c r="J60" s="18">
        <v>0</v>
      </c>
      <c r="K60" s="18">
        <v>0</v>
      </c>
      <c r="L60" s="18">
        <f t="shared" si="5"/>
        <v>0</v>
      </c>
      <c r="M60" s="18">
        <v>0</v>
      </c>
      <c r="N60" s="18">
        <v>0</v>
      </c>
      <c r="O60" s="18">
        <v>0</v>
      </c>
      <c r="P60" s="18">
        <v>0</v>
      </c>
      <c r="Q60" s="18">
        <f t="shared" si="0"/>
        <v>0</v>
      </c>
      <c r="R60">
        <v>0</v>
      </c>
      <c r="S60">
        <v>0</v>
      </c>
      <c r="T60">
        <v>0</v>
      </c>
      <c r="U60">
        <v>0</v>
      </c>
      <c r="V60" s="18">
        <f t="shared" si="1"/>
        <v>0</v>
      </c>
      <c r="W60" s="18">
        <f t="shared" si="2"/>
        <v>0</v>
      </c>
      <c r="X60">
        <v>0</v>
      </c>
      <c r="Y60">
        <v>0</v>
      </c>
    </row>
    <row r="61" spans="1:25" ht="15" x14ac:dyDescent="0.25">
      <c r="A61" s="59">
        <v>5398</v>
      </c>
      <c r="C61" s="18">
        <v>0</v>
      </c>
      <c r="D61" s="18">
        <v>0</v>
      </c>
      <c r="E61" s="18">
        <v>0</v>
      </c>
      <c r="F61" s="18">
        <f t="shared" si="3"/>
        <v>0</v>
      </c>
      <c r="G61" s="18">
        <v>0</v>
      </c>
      <c r="H61" s="18">
        <v>0</v>
      </c>
      <c r="I61" s="18">
        <f t="shared" si="4"/>
        <v>0</v>
      </c>
      <c r="J61" s="18">
        <v>0</v>
      </c>
      <c r="K61" s="18">
        <v>0</v>
      </c>
      <c r="L61" s="18">
        <f t="shared" si="5"/>
        <v>0</v>
      </c>
      <c r="M61" s="18">
        <v>0</v>
      </c>
      <c r="N61" s="18">
        <v>0</v>
      </c>
      <c r="O61" s="18">
        <v>0</v>
      </c>
      <c r="P61" s="18">
        <v>0</v>
      </c>
      <c r="Q61" s="18">
        <f t="shared" si="0"/>
        <v>0</v>
      </c>
      <c r="R61">
        <v>0</v>
      </c>
      <c r="S61">
        <v>0</v>
      </c>
      <c r="T61">
        <v>0</v>
      </c>
      <c r="U61">
        <v>0</v>
      </c>
      <c r="V61" s="18">
        <f t="shared" si="1"/>
        <v>0</v>
      </c>
      <c r="W61" s="18">
        <f t="shared" si="2"/>
        <v>0</v>
      </c>
      <c r="X61">
        <v>0</v>
      </c>
      <c r="Y61">
        <v>0</v>
      </c>
    </row>
    <row r="62" spans="1:25" ht="15" x14ac:dyDescent="0.25">
      <c r="A62" s="59">
        <v>5405</v>
      </c>
      <c r="C62" s="18">
        <v>0</v>
      </c>
      <c r="D62" s="18">
        <v>0</v>
      </c>
      <c r="E62" s="18">
        <v>0</v>
      </c>
      <c r="F62" s="18">
        <f t="shared" si="3"/>
        <v>0</v>
      </c>
      <c r="G62" s="18">
        <v>0</v>
      </c>
      <c r="H62" s="18">
        <v>0</v>
      </c>
      <c r="I62" s="18">
        <f t="shared" si="4"/>
        <v>0</v>
      </c>
      <c r="J62" s="18">
        <v>0</v>
      </c>
      <c r="K62" s="18">
        <v>0</v>
      </c>
      <c r="L62" s="18">
        <f t="shared" si="5"/>
        <v>0</v>
      </c>
      <c r="M62" s="18">
        <v>0</v>
      </c>
      <c r="N62" s="18">
        <v>0</v>
      </c>
      <c r="O62" s="18">
        <v>0</v>
      </c>
      <c r="P62" s="18">
        <v>0</v>
      </c>
      <c r="Q62" s="18">
        <f t="shared" si="0"/>
        <v>0</v>
      </c>
      <c r="R62">
        <v>0</v>
      </c>
      <c r="S62">
        <v>0</v>
      </c>
      <c r="T62">
        <v>0</v>
      </c>
      <c r="U62">
        <v>0</v>
      </c>
      <c r="V62" s="18">
        <f t="shared" si="1"/>
        <v>0</v>
      </c>
      <c r="W62" s="18">
        <f t="shared" si="2"/>
        <v>0</v>
      </c>
      <c r="X62">
        <v>0</v>
      </c>
      <c r="Y62">
        <v>0</v>
      </c>
    </row>
    <row r="63" spans="1:25" ht="15" x14ac:dyDescent="0.25">
      <c r="A63" s="59">
        <v>5412</v>
      </c>
      <c r="C63" s="18">
        <v>0</v>
      </c>
      <c r="D63" s="18">
        <v>0</v>
      </c>
      <c r="E63" s="18">
        <v>0</v>
      </c>
      <c r="F63" s="18">
        <f t="shared" si="3"/>
        <v>0</v>
      </c>
      <c r="G63" s="18">
        <v>0</v>
      </c>
      <c r="H63" s="18">
        <v>0</v>
      </c>
      <c r="I63" s="18">
        <f t="shared" si="4"/>
        <v>0</v>
      </c>
      <c r="J63" s="18">
        <v>0</v>
      </c>
      <c r="K63" s="18">
        <v>0</v>
      </c>
      <c r="L63" s="18">
        <f t="shared" si="5"/>
        <v>0</v>
      </c>
      <c r="M63" s="18">
        <v>0</v>
      </c>
      <c r="N63" s="18">
        <v>0</v>
      </c>
      <c r="O63" s="18">
        <v>0</v>
      </c>
      <c r="P63" s="18">
        <v>0</v>
      </c>
      <c r="Q63" s="18">
        <f t="shared" si="0"/>
        <v>0</v>
      </c>
      <c r="R63">
        <v>0</v>
      </c>
      <c r="S63">
        <v>0</v>
      </c>
      <c r="T63">
        <v>0</v>
      </c>
      <c r="U63">
        <v>0</v>
      </c>
      <c r="V63" s="18">
        <f t="shared" si="1"/>
        <v>0</v>
      </c>
      <c r="W63" s="18">
        <f t="shared" si="2"/>
        <v>0</v>
      </c>
      <c r="X63">
        <v>0</v>
      </c>
      <c r="Y63">
        <v>0</v>
      </c>
    </row>
    <row r="64" spans="1:25" ht="15" x14ac:dyDescent="0.25">
      <c r="A64" s="59">
        <v>5424</v>
      </c>
      <c r="C64" s="18">
        <v>0</v>
      </c>
      <c r="D64" s="18">
        <v>0</v>
      </c>
      <c r="E64" s="18">
        <v>0</v>
      </c>
      <c r="F64" s="18">
        <f t="shared" si="3"/>
        <v>0</v>
      </c>
      <c r="G64" s="18">
        <v>0</v>
      </c>
      <c r="H64" s="18">
        <v>0</v>
      </c>
      <c r="I64" s="18">
        <f t="shared" si="4"/>
        <v>0</v>
      </c>
      <c r="J64" s="18">
        <v>0</v>
      </c>
      <c r="K64" s="18">
        <v>0</v>
      </c>
      <c r="L64" s="18">
        <f t="shared" si="5"/>
        <v>0</v>
      </c>
      <c r="M64" s="18">
        <v>0</v>
      </c>
      <c r="N64" s="18">
        <v>0</v>
      </c>
      <c r="O64" s="18">
        <v>0</v>
      </c>
      <c r="P64" s="18">
        <v>0</v>
      </c>
      <c r="Q64" s="18">
        <f t="shared" si="0"/>
        <v>0</v>
      </c>
      <c r="R64">
        <v>0</v>
      </c>
      <c r="S64">
        <v>0</v>
      </c>
      <c r="T64">
        <v>0</v>
      </c>
      <c r="U64">
        <v>0</v>
      </c>
      <c r="V64" s="18">
        <f t="shared" si="1"/>
        <v>0</v>
      </c>
      <c r="W64" s="18">
        <f t="shared" si="2"/>
        <v>0</v>
      </c>
      <c r="X64">
        <v>0</v>
      </c>
      <c r="Y64">
        <v>0</v>
      </c>
    </row>
    <row r="65" spans="1:25" ht="15" x14ac:dyDescent="0.25">
      <c r="A65" s="59">
        <v>5427</v>
      </c>
      <c r="C65" s="18">
        <v>0</v>
      </c>
      <c r="D65" s="18">
        <v>0</v>
      </c>
      <c r="E65" s="18">
        <v>0</v>
      </c>
      <c r="F65" s="18">
        <f t="shared" si="3"/>
        <v>0</v>
      </c>
      <c r="G65" s="18">
        <v>0</v>
      </c>
      <c r="H65" s="18">
        <v>0</v>
      </c>
      <c r="I65" s="18">
        <f t="shared" si="4"/>
        <v>0</v>
      </c>
      <c r="J65" s="18">
        <v>0</v>
      </c>
      <c r="K65" s="18">
        <v>0</v>
      </c>
      <c r="L65" s="18">
        <f t="shared" si="5"/>
        <v>0</v>
      </c>
      <c r="M65" s="18">
        <v>0</v>
      </c>
      <c r="N65" s="18">
        <v>0</v>
      </c>
      <c r="O65" s="18">
        <v>0</v>
      </c>
      <c r="P65" s="18">
        <v>0</v>
      </c>
      <c r="Q65" s="18">
        <f t="shared" si="0"/>
        <v>0</v>
      </c>
      <c r="R65">
        <v>0</v>
      </c>
      <c r="S65">
        <v>0</v>
      </c>
      <c r="T65">
        <v>0</v>
      </c>
      <c r="U65">
        <v>0</v>
      </c>
      <c r="V65" s="18">
        <f t="shared" si="1"/>
        <v>0</v>
      </c>
      <c r="W65" s="18">
        <f t="shared" si="2"/>
        <v>0</v>
      </c>
      <c r="X65">
        <v>0</v>
      </c>
      <c r="Y65">
        <v>0</v>
      </c>
    </row>
    <row r="66" spans="1:25" ht="15" x14ac:dyDescent="0.25">
      <c r="A66" s="59">
        <v>5428</v>
      </c>
      <c r="C66" s="18">
        <v>0</v>
      </c>
      <c r="D66" s="18">
        <v>0</v>
      </c>
      <c r="E66" s="18">
        <v>0</v>
      </c>
      <c r="F66" s="18">
        <f t="shared" si="3"/>
        <v>0</v>
      </c>
      <c r="G66" s="18">
        <v>0</v>
      </c>
      <c r="H66" s="18">
        <v>0</v>
      </c>
      <c r="I66" s="18">
        <f t="shared" si="4"/>
        <v>0</v>
      </c>
      <c r="J66" s="18">
        <v>0</v>
      </c>
      <c r="K66" s="18">
        <v>0</v>
      </c>
      <c r="L66" s="18">
        <f t="shared" si="5"/>
        <v>0</v>
      </c>
      <c r="M66" s="18">
        <v>0</v>
      </c>
      <c r="N66" s="18">
        <v>0</v>
      </c>
      <c r="O66" s="18">
        <v>0</v>
      </c>
      <c r="P66" s="18">
        <v>0</v>
      </c>
      <c r="Q66" s="18">
        <f t="shared" si="0"/>
        <v>0</v>
      </c>
      <c r="R66">
        <v>0</v>
      </c>
      <c r="S66">
        <v>0</v>
      </c>
      <c r="T66">
        <v>0</v>
      </c>
      <c r="U66">
        <v>0</v>
      </c>
      <c r="V66" s="18">
        <f t="shared" si="1"/>
        <v>0</v>
      </c>
      <c r="W66" s="18">
        <f t="shared" si="2"/>
        <v>0</v>
      </c>
      <c r="X66">
        <v>0</v>
      </c>
      <c r="Y66">
        <v>0</v>
      </c>
    </row>
    <row r="67" spans="1:25" ht="15" x14ac:dyDescent="0.25">
      <c r="A67" s="59">
        <v>5430</v>
      </c>
      <c r="C67" s="18">
        <v>0</v>
      </c>
      <c r="D67" s="18">
        <v>0</v>
      </c>
      <c r="E67" s="18">
        <v>0</v>
      </c>
      <c r="F67" s="18">
        <f t="shared" si="3"/>
        <v>0</v>
      </c>
      <c r="G67" s="18">
        <v>0</v>
      </c>
      <c r="H67" s="18">
        <v>0</v>
      </c>
      <c r="I67" s="18">
        <f t="shared" si="4"/>
        <v>0</v>
      </c>
      <c r="J67" s="18">
        <v>0</v>
      </c>
      <c r="K67" s="18">
        <v>0</v>
      </c>
      <c r="L67" s="18">
        <f t="shared" si="5"/>
        <v>0</v>
      </c>
      <c r="M67" s="18">
        <v>0</v>
      </c>
      <c r="N67" s="18">
        <v>0</v>
      </c>
      <c r="O67" s="18">
        <v>0</v>
      </c>
      <c r="P67" s="18">
        <v>0</v>
      </c>
      <c r="Q67" s="18">
        <f t="shared" si="0"/>
        <v>0</v>
      </c>
      <c r="R67">
        <v>0</v>
      </c>
      <c r="S67">
        <v>0</v>
      </c>
      <c r="T67">
        <v>0</v>
      </c>
      <c r="U67">
        <v>0</v>
      </c>
      <c r="V67" s="18">
        <f t="shared" si="1"/>
        <v>0</v>
      </c>
      <c r="W67" s="18">
        <f t="shared" si="2"/>
        <v>0</v>
      </c>
      <c r="X67">
        <v>0</v>
      </c>
      <c r="Y67">
        <v>0</v>
      </c>
    </row>
    <row r="68" spans="1:25" ht="15" x14ac:dyDescent="0.25">
      <c r="A68" s="59">
        <v>5432</v>
      </c>
      <c r="C68" s="18">
        <v>0</v>
      </c>
      <c r="D68" s="18">
        <v>0</v>
      </c>
      <c r="E68" s="18">
        <v>0</v>
      </c>
      <c r="F68" s="18">
        <f t="shared" si="3"/>
        <v>0</v>
      </c>
      <c r="G68" s="18">
        <v>0</v>
      </c>
      <c r="H68" s="18">
        <v>0</v>
      </c>
      <c r="I68" s="18">
        <f t="shared" si="4"/>
        <v>0</v>
      </c>
      <c r="J68" s="18">
        <v>0</v>
      </c>
      <c r="K68" s="18">
        <v>0</v>
      </c>
      <c r="L68" s="18">
        <f t="shared" si="5"/>
        <v>0</v>
      </c>
      <c r="M68" s="18">
        <v>0</v>
      </c>
      <c r="N68" s="18">
        <v>0</v>
      </c>
      <c r="O68" s="18">
        <v>0</v>
      </c>
      <c r="P68" s="18">
        <v>0</v>
      </c>
      <c r="Q68" s="18">
        <f t="shared" ref="Q68:Q131" si="6">SUM(M68:P68)</f>
        <v>0</v>
      </c>
      <c r="R68">
        <v>0</v>
      </c>
      <c r="S68">
        <v>0</v>
      </c>
      <c r="T68">
        <v>0</v>
      </c>
      <c r="U68">
        <v>0</v>
      </c>
      <c r="V68" s="18">
        <f t="shared" ref="V68:V131" si="7">M68+N68</f>
        <v>0</v>
      </c>
      <c r="W68" s="18">
        <f t="shared" si="2"/>
        <v>0</v>
      </c>
      <c r="X68">
        <v>0</v>
      </c>
      <c r="Y68">
        <v>0</v>
      </c>
    </row>
    <row r="69" spans="1:25" ht="15" x14ac:dyDescent="0.25">
      <c r="A69" s="59">
        <v>5437</v>
      </c>
      <c r="C69" s="18">
        <v>0</v>
      </c>
      <c r="D69" s="18">
        <v>0</v>
      </c>
      <c r="E69" s="18">
        <v>0</v>
      </c>
      <c r="F69" s="18">
        <f t="shared" ref="F69:F132" si="8">SUM(D69:E69)</f>
        <v>0</v>
      </c>
      <c r="G69" s="18">
        <v>0</v>
      </c>
      <c r="H69" s="18">
        <v>0</v>
      </c>
      <c r="I69" s="18">
        <f t="shared" ref="I69:I132" si="9">SUM(G69:H69)</f>
        <v>0</v>
      </c>
      <c r="J69" s="18">
        <v>0</v>
      </c>
      <c r="K69" s="18">
        <v>0</v>
      </c>
      <c r="L69" s="18">
        <f t="shared" ref="L69:L132" si="10">SUM(J69:K69)</f>
        <v>0</v>
      </c>
      <c r="M69" s="18">
        <v>0</v>
      </c>
      <c r="N69" s="18">
        <v>0</v>
      </c>
      <c r="O69" s="18">
        <v>0</v>
      </c>
      <c r="P69" s="18">
        <v>0</v>
      </c>
      <c r="Q69" s="18">
        <f t="shared" si="6"/>
        <v>0</v>
      </c>
      <c r="R69">
        <v>0</v>
      </c>
      <c r="S69">
        <v>0</v>
      </c>
      <c r="T69">
        <v>0</v>
      </c>
      <c r="U69">
        <v>0</v>
      </c>
      <c r="V69" s="18">
        <f t="shared" si="7"/>
        <v>0</v>
      </c>
      <c r="W69" s="18">
        <f t="shared" ref="W69:W132" si="11">O69+P69</f>
        <v>0</v>
      </c>
      <c r="X69">
        <v>0</v>
      </c>
      <c r="Y69">
        <v>0</v>
      </c>
    </row>
    <row r="70" spans="1:25" ht="15" x14ac:dyDescent="0.25">
      <c r="A70" s="59">
        <v>5442</v>
      </c>
      <c r="C70" s="18">
        <v>0</v>
      </c>
      <c r="D70" s="18">
        <v>0</v>
      </c>
      <c r="E70" s="18">
        <v>0</v>
      </c>
      <c r="F70" s="18">
        <f t="shared" si="8"/>
        <v>0</v>
      </c>
      <c r="G70" s="18">
        <v>0</v>
      </c>
      <c r="H70" s="18">
        <v>0</v>
      </c>
      <c r="I70" s="18">
        <f t="shared" si="9"/>
        <v>0</v>
      </c>
      <c r="J70" s="18">
        <v>0</v>
      </c>
      <c r="K70" s="18">
        <v>0</v>
      </c>
      <c r="L70" s="18">
        <f t="shared" si="10"/>
        <v>0</v>
      </c>
      <c r="M70" s="18">
        <v>0</v>
      </c>
      <c r="N70" s="18">
        <v>0</v>
      </c>
      <c r="O70" s="18">
        <v>0</v>
      </c>
      <c r="P70" s="18">
        <v>0</v>
      </c>
      <c r="Q70" s="18">
        <f t="shared" si="6"/>
        <v>0</v>
      </c>
      <c r="R70">
        <v>0</v>
      </c>
      <c r="S70">
        <v>0</v>
      </c>
      <c r="T70">
        <v>0</v>
      </c>
      <c r="U70">
        <v>0</v>
      </c>
      <c r="V70" s="18">
        <f t="shared" si="7"/>
        <v>0</v>
      </c>
      <c r="W70" s="18">
        <f t="shared" si="11"/>
        <v>0</v>
      </c>
      <c r="X70">
        <v>0</v>
      </c>
      <c r="Y70">
        <v>0</v>
      </c>
    </row>
    <row r="71" spans="1:25" ht="15" x14ac:dyDescent="0.25">
      <c r="A71" s="59">
        <v>5445</v>
      </c>
      <c r="C71" s="18">
        <v>0</v>
      </c>
      <c r="D71" s="18">
        <v>0</v>
      </c>
      <c r="E71" s="18">
        <v>0</v>
      </c>
      <c r="F71" s="18">
        <f t="shared" si="8"/>
        <v>0</v>
      </c>
      <c r="G71" s="18">
        <v>0</v>
      </c>
      <c r="H71" s="18">
        <v>0</v>
      </c>
      <c r="I71" s="18">
        <f t="shared" si="9"/>
        <v>0</v>
      </c>
      <c r="J71" s="18">
        <v>0</v>
      </c>
      <c r="K71" s="18">
        <v>0</v>
      </c>
      <c r="L71" s="18">
        <f t="shared" si="10"/>
        <v>0</v>
      </c>
      <c r="M71" s="18">
        <v>0</v>
      </c>
      <c r="N71" s="18">
        <v>0</v>
      </c>
      <c r="O71" s="18">
        <v>0</v>
      </c>
      <c r="P71" s="18">
        <v>0</v>
      </c>
      <c r="Q71" s="18">
        <f t="shared" si="6"/>
        <v>0</v>
      </c>
      <c r="R71">
        <v>0</v>
      </c>
      <c r="S71">
        <v>0</v>
      </c>
      <c r="T71">
        <v>0</v>
      </c>
      <c r="U71">
        <v>0</v>
      </c>
      <c r="V71" s="18">
        <f t="shared" si="7"/>
        <v>0</v>
      </c>
      <c r="W71" s="18">
        <f t="shared" si="11"/>
        <v>0</v>
      </c>
      <c r="X71">
        <v>0</v>
      </c>
      <c r="Y71">
        <v>0</v>
      </c>
    </row>
    <row r="72" spans="1:25" ht="15" x14ac:dyDescent="0.25">
      <c r="A72" s="59">
        <v>5456</v>
      </c>
      <c r="C72" s="18">
        <v>0</v>
      </c>
      <c r="D72" s="18">
        <v>0</v>
      </c>
      <c r="E72" s="18">
        <v>0</v>
      </c>
      <c r="F72" s="18">
        <f t="shared" si="8"/>
        <v>0</v>
      </c>
      <c r="G72" s="18">
        <v>0</v>
      </c>
      <c r="H72" s="18">
        <v>0</v>
      </c>
      <c r="I72" s="18">
        <f t="shared" si="9"/>
        <v>0</v>
      </c>
      <c r="J72" s="18">
        <v>0</v>
      </c>
      <c r="K72" s="18">
        <v>0</v>
      </c>
      <c r="L72" s="18">
        <f t="shared" si="10"/>
        <v>0</v>
      </c>
      <c r="M72" s="18">
        <v>0</v>
      </c>
      <c r="N72" s="18">
        <v>0</v>
      </c>
      <c r="O72" s="18">
        <v>0</v>
      </c>
      <c r="P72" s="18">
        <v>0</v>
      </c>
      <c r="Q72" s="18">
        <f t="shared" si="6"/>
        <v>0</v>
      </c>
      <c r="R72">
        <v>0</v>
      </c>
      <c r="S72">
        <v>0</v>
      </c>
      <c r="T72">
        <v>0</v>
      </c>
      <c r="U72">
        <v>0</v>
      </c>
      <c r="V72" s="18">
        <f t="shared" si="7"/>
        <v>0</v>
      </c>
      <c r="W72" s="18">
        <f t="shared" si="11"/>
        <v>0</v>
      </c>
      <c r="X72">
        <v>0</v>
      </c>
      <c r="Y72">
        <v>0</v>
      </c>
    </row>
    <row r="73" spans="1:25" ht="15" x14ac:dyDescent="0.25">
      <c r="A73" s="59">
        <v>5457</v>
      </c>
      <c r="C73" s="18">
        <v>0</v>
      </c>
      <c r="D73" s="18">
        <v>0</v>
      </c>
      <c r="E73" s="18">
        <v>0</v>
      </c>
      <c r="F73" s="18">
        <f t="shared" si="8"/>
        <v>0</v>
      </c>
      <c r="G73" s="18">
        <v>0</v>
      </c>
      <c r="H73" s="18">
        <v>0</v>
      </c>
      <c r="I73" s="18">
        <f t="shared" si="9"/>
        <v>0</v>
      </c>
      <c r="J73" s="18">
        <v>0</v>
      </c>
      <c r="K73" s="18">
        <v>0</v>
      </c>
      <c r="L73" s="18">
        <f t="shared" si="10"/>
        <v>0</v>
      </c>
      <c r="M73" s="18">
        <v>0</v>
      </c>
      <c r="N73" s="18">
        <v>0</v>
      </c>
      <c r="O73" s="18">
        <v>0</v>
      </c>
      <c r="P73" s="18">
        <v>0</v>
      </c>
      <c r="Q73" s="18">
        <f t="shared" si="6"/>
        <v>0</v>
      </c>
      <c r="R73">
        <v>0</v>
      </c>
      <c r="S73">
        <v>0</v>
      </c>
      <c r="T73">
        <v>0</v>
      </c>
      <c r="U73">
        <v>0</v>
      </c>
      <c r="V73" s="18">
        <f t="shared" si="7"/>
        <v>0</v>
      </c>
      <c r="W73" s="18">
        <f t="shared" si="11"/>
        <v>0</v>
      </c>
      <c r="X73">
        <v>0</v>
      </c>
      <c r="Y73">
        <v>0</v>
      </c>
    </row>
    <row r="74" spans="1:25" ht="15" x14ac:dyDescent="0.25">
      <c r="A74" s="59">
        <v>5458</v>
      </c>
      <c r="C74" s="18">
        <v>0</v>
      </c>
      <c r="D74" s="18">
        <v>0</v>
      </c>
      <c r="E74" s="18">
        <v>0</v>
      </c>
      <c r="F74" s="18">
        <f t="shared" si="8"/>
        <v>0</v>
      </c>
      <c r="G74" s="18">
        <v>0</v>
      </c>
      <c r="H74" s="18">
        <v>0</v>
      </c>
      <c r="I74" s="18">
        <f t="shared" si="9"/>
        <v>0</v>
      </c>
      <c r="J74" s="18">
        <v>0</v>
      </c>
      <c r="K74" s="18">
        <v>0</v>
      </c>
      <c r="L74" s="18">
        <f t="shared" si="10"/>
        <v>0</v>
      </c>
      <c r="M74" s="18">
        <v>0</v>
      </c>
      <c r="N74" s="18">
        <v>0</v>
      </c>
      <c r="O74" s="18">
        <v>0</v>
      </c>
      <c r="P74" s="18">
        <v>0</v>
      </c>
      <c r="Q74" s="18">
        <f t="shared" si="6"/>
        <v>0</v>
      </c>
      <c r="R74">
        <v>0</v>
      </c>
      <c r="S74">
        <v>0</v>
      </c>
      <c r="T74">
        <v>0</v>
      </c>
      <c r="U74">
        <v>0</v>
      </c>
      <c r="V74" s="18">
        <f t="shared" si="7"/>
        <v>0</v>
      </c>
      <c r="W74" s="18">
        <f t="shared" si="11"/>
        <v>0</v>
      </c>
      <c r="X74">
        <v>0</v>
      </c>
      <c r="Y74">
        <v>0</v>
      </c>
    </row>
    <row r="75" spans="1:25" ht="15" x14ac:dyDescent="0.25">
      <c r="A75" s="59">
        <v>9051</v>
      </c>
      <c r="C75" s="18">
        <v>0</v>
      </c>
      <c r="D75" s="18">
        <v>0</v>
      </c>
      <c r="E75" s="18">
        <v>0</v>
      </c>
      <c r="F75" s="18">
        <f t="shared" si="8"/>
        <v>0</v>
      </c>
      <c r="G75" s="18">
        <v>0</v>
      </c>
      <c r="H75" s="18">
        <v>0</v>
      </c>
      <c r="I75" s="18">
        <f t="shared" si="9"/>
        <v>0</v>
      </c>
      <c r="J75" s="18">
        <v>0</v>
      </c>
      <c r="K75" s="18">
        <v>0</v>
      </c>
      <c r="L75" s="18">
        <f t="shared" si="10"/>
        <v>0</v>
      </c>
      <c r="M75" s="18">
        <v>0</v>
      </c>
      <c r="N75" s="18">
        <v>0</v>
      </c>
      <c r="O75" s="18">
        <v>0</v>
      </c>
      <c r="P75" s="18">
        <v>0</v>
      </c>
      <c r="Q75" s="18">
        <f t="shared" si="6"/>
        <v>0</v>
      </c>
      <c r="R75">
        <v>0</v>
      </c>
      <c r="S75">
        <v>0</v>
      </c>
      <c r="T75">
        <v>0</v>
      </c>
      <c r="U75">
        <v>0</v>
      </c>
      <c r="V75" s="18">
        <f t="shared" si="7"/>
        <v>0</v>
      </c>
      <c r="W75" s="18">
        <f t="shared" si="11"/>
        <v>0</v>
      </c>
      <c r="X75">
        <v>0</v>
      </c>
      <c r="Y75">
        <v>0</v>
      </c>
    </row>
    <row r="76" spans="1:25" ht="15" x14ac:dyDescent="0.25">
      <c r="A76" s="59">
        <v>9126</v>
      </c>
      <c r="C76" s="18">
        <v>0</v>
      </c>
      <c r="D76" s="18">
        <v>0</v>
      </c>
      <c r="E76" s="18">
        <v>0</v>
      </c>
      <c r="F76" s="18">
        <f t="shared" si="8"/>
        <v>0</v>
      </c>
      <c r="G76" s="18">
        <v>0</v>
      </c>
      <c r="H76" s="18">
        <v>0</v>
      </c>
      <c r="I76" s="18">
        <f t="shared" si="9"/>
        <v>0</v>
      </c>
      <c r="J76" s="18">
        <v>0</v>
      </c>
      <c r="K76" s="18">
        <v>0</v>
      </c>
      <c r="L76" s="18">
        <f t="shared" si="10"/>
        <v>0</v>
      </c>
      <c r="M76" s="18">
        <v>0</v>
      </c>
      <c r="N76" s="18">
        <v>0</v>
      </c>
      <c r="O76" s="18">
        <v>0</v>
      </c>
      <c r="P76" s="18">
        <v>0</v>
      </c>
      <c r="Q76" s="18">
        <f t="shared" si="6"/>
        <v>0</v>
      </c>
      <c r="R76">
        <v>0</v>
      </c>
      <c r="S76">
        <v>0</v>
      </c>
      <c r="T76">
        <v>0</v>
      </c>
      <c r="U76">
        <v>0</v>
      </c>
      <c r="V76" s="18">
        <f t="shared" si="7"/>
        <v>0</v>
      </c>
      <c r="W76" s="18">
        <f t="shared" si="11"/>
        <v>0</v>
      </c>
      <c r="X76">
        <v>0</v>
      </c>
      <c r="Y76">
        <v>0</v>
      </c>
    </row>
    <row r="77" spans="1:25" ht="15" x14ac:dyDescent="0.25">
      <c r="A77" s="59">
        <v>9132</v>
      </c>
      <c r="C77" s="18">
        <v>0</v>
      </c>
      <c r="D77" s="18">
        <v>0</v>
      </c>
      <c r="E77" s="18">
        <v>0</v>
      </c>
      <c r="F77" s="18">
        <f t="shared" si="8"/>
        <v>0</v>
      </c>
      <c r="G77" s="18">
        <v>0</v>
      </c>
      <c r="H77" s="18">
        <v>0</v>
      </c>
      <c r="I77" s="18">
        <f t="shared" si="9"/>
        <v>0</v>
      </c>
      <c r="J77" s="18">
        <v>0</v>
      </c>
      <c r="K77" s="18">
        <v>0</v>
      </c>
      <c r="L77" s="18">
        <f t="shared" si="10"/>
        <v>0</v>
      </c>
      <c r="M77" s="18">
        <v>0</v>
      </c>
      <c r="N77" s="18">
        <v>0</v>
      </c>
      <c r="O77" s="18">
        <v>0</v>
      </c>
      <c r="P77" s="18">
        <v>0</v>
      </c>
      <c r="Q77" s="18">
        <f t="shared" si="6"/>
        <v>0</v>
      </c>
      <c r="R77">
        <v>0</v>
      </c>
      <c r="S77">
        <v>0</v>
      </c>
      <c r="T77">
        <v>0</v>
      </c>
      <c r="U77">
        <v>0</v>
      </c>
      <c r="V77" s="18">
        <f t="shared" si="7"/>
        <v>0</v>
      </c>
      <c r="W77" s="18">
        <f t="shared" si="11"/>
        <v>0</v>
      </c>
      <c r="X77">
        <v>0</v>
      </c>
      <c r="Y77">
        <v>0</v>
      </c>
    </row>
    <row r="78" spans="1:25" ht="15" x14ac:dyDescent="0.25">
      <c r="A78" s="59">
        <v>9205</v>
      </c>
      <c r="C78" s="18">
        <v>0</v>
      </c>
      <c r="D78" s="18">
        <v>0</v>
      </c>
      <c r="E78" s="18">
        <v>0</v>
      </c>
      <c r="F78" s="18">
        <f t="shared" si="8"/>
        <v>0</v>
      </c>
      <c r="G78" s="18">
        <v>0</v>
      </c>
      <c r="H78" s="18">
        <v>0</v>
      </c>
      <c r="I78" s="18">
        <f t="shared" si="9"/>
        <v>0</v>
      </c>
      <c r="J78" s="18">
        <v>0</v>
      </c>
      <c r="K78" s="18">
        <v>0</v>
      </c>
      <c r="L78" s="18">
        <f t="shared" si="10"/>
        <v>0</v>
      </c>
      <c r="M78" s="18">
        <v>0</v>
      </c>
      <c r="N78" s="18">
        <v>0</v>
      </c>
      <c r="O78" s="18">
        <v>0</v>
      </c>
      <c r="P78" s="18">
        <v>0</v>
      </c>
      <c r="Q78" s="18">
        <f t="shared" si="6"/>
        <v>0</v>
      </c>
      <c r="R78">
        <v>0</v>
      </c>
      <c r="S78">
        <v>0</v>
      </c>
      <c r="T78">
        <v>0</v>
      </c>
      <c r="U78">
        <v>0</v>
      </c>
      <c r="V78" s="18">
        <f t="shared" si="7"/>
        <v>0</v>
      </c>
      <c r="W78" s="18">
        <f t="shared" si="11"/>
        <v>0</v>
      </c>
      <c r="X78">
        <v>0</v>
      </c>
      <c r="Y78">
        <v>0</v>
      </c>
    </row>
    <row r="79" spans="1:25" ht="15" x14ac:dyDescent="0.25">
      <c r="A79" s="59">
        <v>9250</v>
      </c>
      <c r="C79" s="18">
        <v>0</v>
      </c>
      <c r="D79" s="18">
        <v>0</v>
      </c>
      <c r="E79" s="18">
        <v>0</v>
      </c>
      <c r="F79" s="18">
        <f t="shared" si="8"/>
        <v>0</v>
      </c>
      <c r="G79" s="18">
        <v>0</v>
      </c>
      <c r="H79" s="18">
        <v>0</v>
      </c>
      <c r="I79" s="18">
        <f t="shared" si="9"/>
        <v>0</v>
      </c>
      <c r="J79" s="18">
        <v>0</v>
      </c>
      <c r="K79" s="18">
        <v>0</v>
      </c>
      <c r="L79" s="18">
        <f t="shared" si="10"/>
        <v>0</v>
      </c>
      <c r="M79" s="18">
        <v>0</v>
      </c>
      <c r="N79" s="18">
        <v>0</v>
      </c>
      <c r="O79" s="18">
        <v>0</v>
      </c>
      <c r="P79" s="18">
        <v>0</v>
      </c>
      <c r="Q79" s="18">
        <f t="shared" si="6"/>
        <v>0</v>
      </c>
      <c r="R79">
        <v>0</v>
      </c>
      <c r="S79">
        <v>0</v>
      </c>
      <c r="T79">
        <v>0</v>
      </c>
      <c r="U79">
        <v>0</v>
      </c>
      <c r="V79" s="18">
        <f t="shared" si="7"/>
        <v>0</v>
      </c>
      <c r="W79" s="18">
        <f t="shared" si="11"/>
        <v>0</v>
      </c>
      <c r="X79">
        <v>0</v>
      </c>
      <c r="Y79">
        <v>0</v>
      </c>
    </row>
    <row r="80" spans="1:25" ht="15" x14ac:dyDescent="0.25">
      <c r="A80" s="59" t="s">
        <v>112</v>
      </c>
      <c r="C80" s="18">
        <v>0</v>
      </c>
      <c r="D80" s="18">
        <v>0</v>
      </c>
      <c r="E80" s="18">
        <v>0</v>
      </c>
      <c r="F80" s="18">
        <f t="shared" si="8"/>
        <v>0</v>
      </c>
      <c r="G80" s="18">
        <v>35.980000000000004</v>
      </c>
      <c r="H80" s="18">
        <v>2.60372</v>
      </c>
      <c r="I80" s="18">
        <f t="shared" si="9"/>
        <v>38.583720000000007</v>
      </c>
      <c r="J80" s="18">
        <v>0</v>
      </c>
      <c r="K80" s="18">
        <v>0</v>
      </c>
      <c r="L80" s="18">
        <f t="shared" si="10"/>
        <v>0</v>
      </c>
      <c r="M80" s="18">
        <v>0</v>
      </c>
      <c r="N80" s="18">
        <v>5.9560000000000004</v>
      </c>
      <c r="O80" s="18">
        <v>0</v>
      </c>
      <c r="P80" s="18">
        <v>0</v>
      </c>
      <c r="Q80" s="18">
        <f t="shared" si="6"/>
        <v>5.9560000000000004</v>
      </c>
      <c r="R80">
        <v>0</v>
      </c>
      <c r="S80">
        <v>0</v>
      </c>
      <c r="T80">
        <v>0</v>
      </c>
      <c r="U80">
        <v>0</v>
      </c>
      <c r="V80" s="18">
        <f t="shared" si="7"/>
        <v>5.9560000000000004</v>
      </c>
      <c r="W80" s="18">
        <f t="shared" si="11"/>
        <v>0</v>
      </c>
      <c r="X80">
        <v>0</v>
      </c>
      <c r="Y80">
        <v>0</v>
      </c>
    </row>
    <row r="81" spans="1:25" ht="15" x14ac:dyDescent="0.25">
      <c r="A81" s="59" t="s">
        <v>362</v>
      </c>
      <c r="C81" s="18">
        <v>0</v>
      </c>
      <c r="D81" s="18">
        <v>0</v>
      </c>
      <c r="E81" s="18">
        <v>0</v>
      </c>
      <c r="F81" s="18">
        <f t="shared" si="8"/>
        <v>0</v>
      </c>
      <c r="G81" s="18">
        <v>0</v>
      </c>
      <c r="H81" s="18">
        <v>0</v>
      </c>
      <c r="I81" s="18">
        <f t="shared" si="9"/>
        <v>0</v>
      </c>
      <c r="J81" s="18">
        <v>0</v>
      </c>
      <c r="K81" s="18">
        <v>0</v>
      </c>
      <c r="L81" s="18">
        <f t="shared" si="10"/>
        <v>0</v>
      </c>
      <c r="M81" s="18">
        <v>0</v>
      </c>
      <c r="N81" s="18">
        <v>0</v>
      </c>
      <c r="O81" s="18">
        <v>0</v>
      </c>
      <c r="P81" s="18">
        <v>0</v>
      </c>
      <c r="Q81" s="18">
        <f t="shared" si="6"/>
        <v>0</v>
      </c>
      <c r="R81">
        <v>0</v>
      </c>
      <c r="S81">
        <v>0</v>
      </c>
      <c r="T81">
        <v>0</v>
      </c>
      <c r="U81">
        <v>0</v>
      </c>
      <c r="V81" s="18">
        <f t="shared" si="7"/>
        <v>0</v>
      </c>
      <c r="W81" s="18">
        <f t="shared" si="11"/>
        <v>0</v>
      </c>
      <c r="X81">
        <v>0</v>
      </c>
      <c r="Y81">
        <v>0</v>
      </c>
    </row>
    <row r="82" spans="1:25" ht="15" x14ac:dyDescent="0.25">
      <c r="A82" s="59" t="s">
        <v>363</v>
      </c>
      <c r="C82" s="18">
        <v>0</v>
      </c>
      <c r="D82" s="18">
        <v>0</v>
      </c>
      <c r="E82" s="18">
        <v>0</v>
      </c>
      <c r="F82" s="18">
        <f t="shared" si="8"/>
        <v>0</v>
      </c>
      <c r="G82" s="18">
        <v>0</v>
      </c>
      <c r="H82" s="18">
        <v>0</v>
      </c>
      <c r="I82" s="18">
        <f t="shared" si="9"/>
        <v>0</v>
      </c>
      <c r="J82" s="18">
        <v>0</v>
      </c>
      <c r="K82" s="18">
        <v>0</v>
      </c>
      <c r="L82" s="18">
        <f t="shared" si="10"/>
        <v>0</v>
      </c>
      <c r="M82" s="18">
        <v>0</v>
      </c>
      <c r="N82" s="18">
        <v>0</v>
      </c>
      <c r="O82" s="18">
        <v>0</v>
      </c>
      <c r="P82" s="18">
        <v>0</v>
      </c>
      <c r="Q82" s="18">
        <f t="shared" si="6"/>
        <v>0</v>
      </c>
      <c r="R82">
        <v>0</v>
      </c>
      <c r="S82">
        <v>0</v>
      </c>
      <c r="T82">
        <v>0</v>
      </c>
      <c r="U82">
        <v>0</v>
      </c>
      <c r="V82" s="18">
        <f t="shared" si="7"/>
        <v>0</v>
      </c>
      <c r="W82" s="18">
        <f t="shared" si="11"/>
        <v>0</v>
      </c>
      <c r="X82">
        <v>0</v>
      </c>
      <c r="Y82">
        <v>0</v>
      </c>
    </row>
    <row r="83" spans="1:25" ht="15" x14ac:dyDescent="0.25">
      <c r="A83" s="59" t="s">
        <v>364</v>
      </c>
      <c r="C83" s="18">
        <v>0</v>
      </c>
      <c r="D83" s="18">
        <v>0</v>
      </c>
      <c r="E83" s="18">
        <v>0</v>
      </c>
      <c r="F83" s="18">
        <f t="shared" si="8"/>
        <v>0</v>
      </c>
      <c r="G83" s="18">
        <v>0</v>
      </c>
      <c r="H83" s="18">
        <v>0</v>
      </c>
      <c r="I83" s="18">
        <f t="shared" si="9"/>
        <v>0</v>
      </c>
      <c r="J83" s="18">
        <v>0</v>
      </c>
      <c r="K83" s="18">
        <v>0</v>
      </c>
      <c r="L83" s="18">
        <f t="shared" si="10"/>
        <v>0</v>
      </c>
      <c r="M83" s="18">
        <v>0</v>
      </c>
      <c r="N83" s="18">
        <v>0</v>
      </c>
      <c r="O83" s="18">
        <v>0</v>
      </c>
      <c r="P83" s="18">
        <v>0</v>
      </c>
      <c r="Q83" s="18">
        <f t="shared" si="6"/>
        <v>0</v>
      </c>
      <c r="R83">
        <v>0</v>
      </c>
      <c r="S83">
        <v>0</v>
      </c>
      <c r="T83">
        <v>0</v>
      </c>
      <c r="U83">
        <v>0</v>
      </c>
      <c r="V83" s="18">
        <f t="shared" si="7"/>
        <v>0</v>
      </c>
      <c r="W83" s="18">
        <f t="shared" si="11"/>
        <v>0</v>
      </c>
      <c r="X83">
        <v>0</v>
      </c>
      <c r="Y83">
        <v>0</v>
      </c>
    </row>
    <row r="84" spans="1:25" ht="15" x14ac:dyDescent="0.25">
      <c r="A84" s="59" t="s">
        <v>365</v>
      </c>
      <c r="C84" s="18">
        <v>0</v>
      </c>
      <c r="D84" s="18">
        <v>0</v>
      </c>
      <c r="E84" s="18">
        <v>0</v>
      </c>
      <c r="F84" s="18">
        <f t="shared" si="8"/>
        <v>0</v>
      </c>
      <c r="G84" s="18">
        <v>0</v>
      </c>
      <c r="H84" s="18">
        <v>0</v>
      </c>
      <c r="I84" s="18">
        <f t="shared" si="9"/>
        <v>0</v>
      </c>
      <c r="J84" s="18">
        <v>0</v>
      </c>
      <c r="K84" s="18">
        <v>0</v>
      </c>
      <c r="L84" s="18">
        <f t="shared" si="10"/>
        <v>0</v>
      </c>
      <c r="M84" s="18">
        <v>0</v>
      </c>
      <c r="N84" s="18">
        <v>0</v>
      </c>
      <c r="O84" s="18">
        <v>0</v>
      </c>
      <c r="P84" s="18">
        <v>0</v>
      </c>
      <c r="Q84" s="18">
        <f t="shared" si="6"/>
        <v>0</v>
      </c>
      <c r="R84">
        <v>0</v>
      </c>
      <c r="S84">
        <v>0</v>
      </c>
      <c r="T84">
        <v>0</v>
      </c>
      <c r="U84">
        <v>0</v>
      </c>
      <c r="V84" s="18">
        <f t="shared" si="7"/>
        <v>0</v>
      </c>
      <c r="W84" s="18">
        <f t="shared" si="11"/>
        <v>0</v>
      </c>
      <c r="X84">
        <v>0</v>
      </c>
      <c r="Y84">
        <v>0</v>
      </c>
    </row>
    <row r="85" spans="1:25" ht="15" x14ac:dyDescent="0.25">
      <c r="A85" s="59" t="s">
        <v>382</v>
      </c>
      <c r="C85" s="18">
        <v>0</v>
      </c>
      <c r="D85" s="18">
        <v>0</v>
      </c>
      <c r="E85" s="18">
        <v>0</v>
      </c>
      <c r="F85" s="18">
        <f t="shared" si="8"/>
        <v>0</v>
      </c>
      <c r="G85" s="18">
        <v>0</v>
      </c>
      <c r="H85" s="18">
        <v>0</v>
      </c>
      <c r="I85" s="18">
        <f t="shared" si="9"/>
        <v>0</v>
      </c>
      <c r="J85" s="18">
        <v>0</v>
      </c>
      <c r="K85" s="18">
        <v>0</v>
      </c>
      <c r="L85" s="18">
        <f t="shared" si="10"/>
        <v>0</v>
      </c>
      <c r="M85" s="18">
        <v>0</v>
      </c>
      <c r="N85" s="18">
        <v>0</v>
      </c>
      <c r="O85" s="18">
        <v>0</v>
      </c>
      <c r="P85" s="18">
        <v>0</v>
      </c>
      <c r="Q85" s="18">
        <f t="shared" si="6"/>
        <v>0</v>
      </c>
      <c r="R85">
        <v>0</v>
      </c>
      <c r="S85">
        <v>0</v>
      </c>
      <c r="T85">
        <v>0</v>
      </c>
      <c r="U85">
        <v>0</v>
      </c>
      <c r="V85" s="18">
        <f t="shared" si="7"/>
        <v>0</v>
      </c>
      <c r="W85" s="18">
        <f t="shared" si="11"/>
        <v>0</v>
      </c>
      <c r="X85">
        <v>0</v>
      </c>
      <c r="Y85">
        <v>0</v>
      </c>
    </row>
    <row r="86" spans="1:25" ht="15" x14ac:dyDescent="0.25">
      <c r="A86" s="59" t="s">
        <v>43</v>
      </c>
      <c r="C86" s="18">
        <v>0</v>
      </c>
      <c r="D86" s="18">
        <v>0</v>
      </c>
      <c r="E86" s="18">
        <v>0</v>
      </c>
      <c r="F86" s="18">
        <f t="shared" si="8"/>
        <v>0</v>
      </c>
      <c r="G86" s="18">
        <v>0</v>
      </c>
      <c r="H86" s="18">
        <v>0</v>
      </c>
      <c r="I86" s="18">
        <f t="shared" si="9"/>
        <v>0</v>
      </c>
      <c r="J86" s="18">
        <v>0</v>
      </c>
      <c r="K86" s="18">
        <v>0</v>
      </c>
      <c r="L86" s="18">
        <f t="shared" si="10"/>
        <v>0</v>
      </c>
      <c r="M86" s="18">
        <v>0</v>
      </c>
      <c r="N86" s="18">
        <v>0</v>
      </c>
      <c r="O86" s="18">
        <v>0</v>
      </c>
      <c r="P86" s="18">
        <v>0</v>
      </c>
      <c r="Q86" s="18">
        <f t="shared" si="6"/>
        <v>0</v>
      </c>
      <c r="R86">
        <v>0</v>
      </c>
      <c r="S86">
        <v>0</v>
      </c>
      <c r="T86">
        <v>0</v>
      </c>
      <c r="U86">
        <v>0</v>
      </c>
      <c r="V86" s="18">
        <f t="shared" si="7"/>
        <v>0</v>
      </c>
      <c r="W86" s="18">
        <f t="shared" si="11"/>
        <v>0</v>
      </c>
      <c r="X86">
        <v>0</v>
      </c>
      <c r="Y86">
        <v>0</v>
      </c>
    </row>
    <row r="87" spans="1:25" ht="15" x14ac:dyDescent="0.25">
      <c r="A87" s="59">
        <v>5463</v>
      </c>
      <c r="C87" s="18">
        <v>1.75475</v>
      </c>
      <c r="D87" s="18">
        <v>1.3196666666666668</v>
      </c>
      <c r="E87" s="18">
        <v>0.51366666666666672</v>
      </c>
      <c r="F87" s="18">
        <f t="shared" si="8"/>
        <v>1.8333333333333335</v>
      </c>
      <c r="G87" s="18">
        <v>6.0608333333333322</v>
      </c>
      <c r="H87" s="18">
        <v>0.79675433333333334</v>
      </c>
      <c r="I87" s="18">
        <f t="shared" si="9"/>
        <v>6.8575876666666655</v>
      </c>
      <c r="J87" s="18">
        <v>0</v>
      </c>
      <c r="K87" s="18">
        <v>0</v>
      </c>
      <c r="L87" s="18">
        <f t="shared" si="10"/>
        <v>0</v>
      </c>
      <c r="M87" s="18">
        <v>57.375</v>
      </c>
      <c r="N87" s="18">
        <v>0.82050000000000001</v>
      </c>
      <c r="O87" s="18">
        <v>0</v>
      </c>
      <c r="P87" s="18">
        <v>38.25</v>
      </c>
      <c r="Q87" s="18">
        <f t="shared" si="6"/>
        <v>96.44550000000001</v>
      </c>
      <c r="R87">
        <v>4.65E-2</v>
      </c>
      <c r="S87">
        <v>4.6833333333333331E-2</v>
      </c>
      <c r="T87">
        <v>1.603666666666667</v>
      </c>
      <c r="U87">
        <v>4.9000000000000002E-2</v>
      </c>
      <c r="V87" s="18">
        <f t="shared" si="7"/>
        <v>58.195500000000003</v>
      </c>
      <c r="W87" s="18">
        <f t="shared" si="11"/>
        <v>38.25</v>
      </c>
      <c r="X87">
        <v>1.0223333333333333</v>
      </c>
      <c r="Y87">
        <v>0.13483333333333333</v>
      </c>
    </row>
    <row r="88" spans="1:25" ht="15" x14ac:dyDescent="0.25">
      <c r="A88" s="59">
        <v>5475</v>
      </c>
      <c r="C88" s="18">
        <v>0</v>
      </c>
      <c r="D88" s="18">
        <v>0</v>
      </c>
      <c r="E88" s="18">
        <v>0</v>
      </c>
      <c r="F88" s="18">
        <f t="shared" si="8"/>
        <v>0</v>
      </c>
      <c r="G88" s="18">
        <v>0</v>
      </c>
      <c r="H88" s="18">
        <v>0</v>
      </c>
      <c r="I88" s="18">
        <f t="shared" si="9"/>
        <v>0</v>
      </c>
      <c r="J88" s="18">
        <v>0</v>
      </c>
      <c r="K88" s="18">
        <v>0</v>
      </c>
      <c r="L88" s="18">
        <f t="shared" si="10"/>
        <v>0</v>
      </c>
      <c r="M88" s="18">
        <v>0</v>
      </c>
      <c r="N88" s="18">
        <v>0</v>
      </c>
      <c r="O88" s="18">
        <v>0</v>
      </c>
      <c r="P88" s="18">
        <v>0</v>
      </c>
      <c r="Q88" s="18">
        <f t="shared" si="6"/>
        <v>0</v>
      </c>
      <c r="R88">
        <v>0</v>
      </c>
      <c r="S88">
        <v>0</v>
      </c>
      <c r="T88">
        <v>0</v>
      </c>
      <c r="U88">
        <v>0</v>
      </c>
      <c r="V88" s="18">
        <f t="shared" si="7"/>
        <v>0</v>
      </c>
      <c r="W88" s="18">
        <f t="shared" si="11"/>
        <v>0</v>
      </c>
      <c r="X88">
        <v>0</v>
      </c>
      <c r="Y88">
        <v>0</v>
      </c>
    </row>
    <row r="89" spans="1:25" ht="15" x14ac:dyDescent="0.25">
      <c r="A89" s="59">
        <v>5478</v>
      </c>
      <c r="C89" s="18">
        <v>0</v>
      </c>
      <c r="D89" s="18">
        <v>0</v>
      </c>
      <c r="E89" s="18">
        <v>0</v>
      </c>
      <c r="F89" s="18">
        <f t="shared" si="8"/>
        <v>0</v>
      </c>
      <c r="G89" s="18">
        <v>0</v>
      </c>
      <c r="H89" s="18">
        <v>0</v>
      </c>
      <c r="I89" s="18">
        <f t="shared" si="9"/>
        <v>0</v>
      </c>
      <c r="J89" s="18">
        <v>0</v>
      </c>
      <c r="K89" s="18">
        <v>0</v>
      </c>
      <c r="L89" s="18">
        <f t="shared" si="10"/>
        <v>0</v>
      </c>
      <c r="M89" s="18">
        <v>0</v>
      </c>
      <c r="N89" s="18">
        <v>0</v>
      </c>
      <c r="O89" s="18">
        <v>0</v>
      </c>
      <c r="P89" s="18">
        <v>0</v>
      </c>
      <c r="Q89" s="18">
        <f t="shared" si="6"/>
        <v>0</v>
      </c>
      <c r="R89">
        <v>0</v>
      </c>
      <c r="S89">
        <v>0</v>
      </c>
      <c r="T89">
        <v>0</v>
      </c>
      <c r="U89">
        <v>0</v>
      </c>
      <c r="V89" s="18">
        <f t="shared" si="7"/>
        <v>0</v>
      </c>
      <c r="W89" s="18">
        <f t="shared" si="11"/>
        <v>0</v>
      </c>
      <c r="X89">
        <v>0</v>
      </c>
      <c r="Y89">
        <v>0</v>
      </c>
    </row>
    <row r="90" spans="1:25" x14ac:dyDescent="0.2">
      <c r="A90" s="18">
        <v>5114</v>
      </c>
      <c r="C90" s="18">
        <v>0</v>
      </c>
      <c r="D90" s="18">
        <v>0</v>
      </c>
      <c r="E90" s="18">
        <v>0</v>
      </c>
      <c r="F90" s="18">
        <f t="shared" si="8"/>
        <v>0</v>
      </c>
      <c r="G90" s="18">
        <v>0</v>
      </c>
      <c r="H90" s="18">
        <v>0</v>
      </c>
      <c r="I90" s="18">
        <f t="shared" si="9"/>
        <v>0</v>
      </c>
      <c r="J90" s="18">
        <v>0</v>
      </c>
      <c r="K90" s="18">
        <v>0</v>
      </c>
      <c r="L90" s="18">
        <f t="shared" si="10"/>
        <v>0</v>
      </c>
      <c r="M90" s="18">
        <v>0</v>
      </c>
      <c r="N90" s="18">
        <v>0</v>
      </c>
      <c r="O90" s="18">
        <v>0</v>
      </c>
      <c r="P90" s="18">
        <v>0</v>
      </c>
      <c r="Q90" s="18">
        <f t="shared" si="6"/>
        <v>0</v>
      </c>
      <c r="R90">
        <v>0</v>
      </c>
      <c r="S90">
        <v>0</v>
      </c>
      <c r="T90">
        <v>0</v>
      </c>
      <c r="U90">
        <v>0</v>
      </c>
      <c r="V90" s="18">
        <f t="shared" si="7"/>
        <v>0</v>
      </c>
      <c r="W90" s="18">
        <f t="shared" si="11"/>
        <v>0</v>
      </c>
      <c r="X90">
        <v>0</v>
      </c>
      <c r="Y90">
        <v>0</v>
      </c>
    </row>
    <row r="91" spans="1:25" x14ac:dyDescent="0.2">
      <c r="A91" s="18">
        <v>5489</v>
      </c>
      <c r="C91" s="18">
        <v>0</v>
      </c>
      <c r="D91" s="18">
        <v>0</v>
      </c>
      <c r="E91" s="18">
        <v>0</v>
      </c>
      <c r="F91" s="18">
        <f t="shared" si="8"/>
        <v>0</v>
      </c>
      <c r="G91" s="18">
        <v>0</v>
      </c>
      <c r="H91" s="18">
        <v>0</v>
      </c>
      <c r="I91" s="18">
        <f t="shared" si="9"/>
        <v>0</v>
      </c>
      <c r="J91" s="18">
        <v>0</v>
      </c>
      <c r="K91" s="18">
        <v>0</v>
      </c>
      <c r="L91" s="18">
        <f t="shared" si="10"/>
        <v>0</v>
      </c>
      <c r="M91" s="18">
        <v>0</v>
      </c>
      <c r="N91" s="18">
        <v>0</v>
      </c>
      <c r="O91" s="18">
        <v>0</v>
      </c>
      <c r="P91" s="18">
        <v>0</v>
      </c>
      <c r="Q91" s="18">
        <f t="shared" si="6"/>
        <v>0</v>
      </c>
      <c r="R91">
        <v>0</v>
      </c>
      <c r="S91">
        <v>0</v>
      </c>
      <c r="T91">
        <v>0</v>
      </c>
      <c r="U91">
        <v>0</v>
      </c>
      <c r="V91" s="18">
        <f t="shared" si="7"/>
        <v>0</v>
      </c>
      <c r="W91" s="18">
        <f t="shared" si="11"/>
        <v>0</v>
      </c>
      <c r="X91">
        <v>0</v>
      </c>
      <c r="Y91">
        <v>0</v>
      </c>
    </row>
    <row r="92" spans="1:25" x14ac:dyDescent="0.2">
      <c r="A92" s="18">
        <v>5488</v>
      </c>
      <c r="C92" s="18">
        <v>0</v>
      </c>
      <c r="D92" s="18">
        <v>0</v>
      </c>
      <c r="E92" s="18">
        <v>0</v>
      </c>
      <c r="F92" s="18">
        <f t="shared" si="8"/>
        <v>0</v>
      </c>
      <c r="G92" s="18">
        <v>0</v>
      </c>
      <c r="H92" s="18">
        <v>0</v>
      </c>
      <c r="I92" s="18">
        <f t="shared" si="9"/>
        <v>0</v>
      </c>
      <c r="J92" s="18">
        <v>0</v>
      </c>
      <c r="K92" s="18">
        <v>0</v>
      </c>
      <c r="L92" s="18">
        <f t="shared" si="10"/>
        <v>0</v>
      </c>
      <c r="M92" s="18">
        <v>0</v>
      </c>
      <c r="N92" s="18">
        <v>0</v>
      </c>
      <c r="O92" s="18">
        <v>0</v>
      </c>
      <c r="P92" s="18">
        <v>0</v>
      </c>
      <c r="Q92" s="18">
        <f t="shared" si="6"/>
        <v>0</v>
      </c>
      <c r="R92">
        <v>0</v>
      </c>
      <c r="S92">
        <v>0</v>
      </c>
      <c r="T92">
        <v>0</v>
      </c>
      <c r="U92">
        <v>0</v>
      </c>
      <c r="V92" s="18">
        <f t="shared" si="7"/>
        <v>0</v>
      </c>
      <c r="W92" s="18">
        <f t="shared" si="11"/>
        <v>0</v>
      </c>
      <c r="X92">
        <v>0</v>
      </c>
      <c r="Y92">
        <v>0</v>
      </c>
    </row>
    <row r="93" spans="1:25" x14ac:dyDescent="0.2">
      <c r="A93" s="18">
        <v>5491</v>
      </c>
      <c r="C93" s="18">
        <v>0</v>
      </c>
      <c r="D93" s="18">
        <v>0</v>
      </c>
      <c r="E93" s="18">
        <v>0</v>
      </c>
      <c r="F93" s="18">
        <f t="shared" si="8"/>
        <v>0</v>
      </c>
      <c r="G93" s="18">
        <v>0</v>
      </c>
      <c r="H93" s="18">
        <v>0</v>
      </c>
      <c r="I93" s="18">
        <f t="shared" si="9"/>
        <v>0</v>
      </c>
      <c r="J93" s="18">
        <v>0</v>
      </c>
      <c r="K93" s="18">
        <v>0</v>
      </c>
      <c r="L93" s="18">
        <f t="shared" si="10"/>
        <v>0</v>
      </c>
      <c r="M93" s="18">
        <v>0</v>
      </c>
      <c r="N93" s="18">
        <v>0</v>
      </c>
      <c r="O93" s="18">
        <v>0</v>
      </c>
      <c r="P93" s="18">
        <v>0</v>
      </c>
      <c r="Q93" s="18">
        <f t="shared" si="6"/>
        <v>0</v>
      </c>
      <c r="R93">
        <v>0</v>
      </c>
      <c r="S93">
        <v>0</v>
      </c>
      <c r="T93">
        <v>0</v>
      </c>
      <c r="U93">
        <v>0</v>
      </c>
      <c r="V93" s="18">
        <f t="shared" si="7"/>
        <v>0</v>
      </c>
      <c r="W93" s="18">
        <f t="shared" si="11"/>
        <v>0</v>
      </c>
      <c r="X93">
        <v>0</v>
      </c>
      <c r="Y93">
        <v>0</v>
      </c>
    </row>
    <row r="94" spans="1:25" x14ac:dyDescent="0.2">
      <c r="A94" s="18">
        <v>5495</v>
      </c>
      <c r="C94" s="18">
        <v>0</v>
      </c>
      <c r="D94" s="18">
        <v>0</v>
      </c>
      <c r="E94" s="18">
        <v>0</v>
      </c>
      <c r="F94" s="18">
        <f t="shared" si="8"/>
        <v>0</v>
      </c>
      <c r="G94" s="18">
        <v>0</v>
      </c>
      <c r="H94" s="18">
        <v>0</v>
      </c>
      <c r="I94" s="18">
        <f t="shared" si="9"/>
        <v>0</v>
      </c>
      <c r="J94" s="18">
        <v>0</v>
      </c>
      <c r="K94" s="18">
        <v>0</v>
      </c>
      <c r="L94" s="18">
        <f t="shared" si="10"/>
        <v>0</v>
      </c>
      <c r="M94" s="18">
        <v>0</v>
      </c>
      <c r="N94" s="18">
        <v>0</v>
      </c>
      <c r="O94" s="18">
        <v>0</v>
      </c>
      <c r="P94" s="18">
        <v>0</v>
      </c>
      <c r="Q94" s="18">
        <f t="shared" si="6"/>
        <v>0</v>
      </c>
      <c r="R94">
        <v>0</v>
      </c>
      <c r="S94">
        <v>0</v>
      </c>
      <c r="T94">
        <v>0</v>
      </c>
      <c r="U94">
        <v>0</v>
      </c>
      <c r="V94" s="18">
        <f t="shared" si="7"/>
        <v>0</v>
      </c>
      <c r="W94" s="18">
        <f t="shared" si="11"/>
        <v>0</v>
      </c>
      <c r="X94">
        <v>0</v>
      </c>
      <c r="Y94">
        <v>0</v>
      </c>
    </row>
    <row r="95" spans="1:25" x14ac:dyDescent="0.2">
      <c r="A95" s="18">
        <v>5449</v>
      </c>
      <c r="C95" s="18">
        <v>0</v>
      </c>
      <c r="D95" s="18">
        <v>0</v>
      </c>
      <c r="E95" s="18">
        <v>0</v>
      </c>
      <c r="F95" s="18">
        <f t="shared" si="8"/>
        <v>0</v>
      </c>
      <c r="G95" s="18">
        <v>0</v>
      </c>
      <c r="H95" s="18">
        <v>0</v>
      </c>
      <c r="I95" s="18">
        <f t="shared" si="9"/>
        <v>0</v>
      </c>
      <c r="J95" s="18">
        <v>0</v>
      </c>
      <c r="K95" s="18">
        <v>0</v>
      </c>
      <c r="L95" s="18">
        <f t="shared" si="10"/>
        <v>0</v>
      </c>
      <c r="M95" s="18">
        <v>0</v>
      </c>
      <c r="N95" s="18">
        <v>0</v>
      </c>
      <c r="O95" s="18">
        <v>0</v>
      </c>
      <c r="P95" s="18">
        <v>0</v>
      </c>
      <c r="Q95" s="18">
        <f t="shared" si="6"/>
        <v>0</v>
      </c>
      <c r="R95">
        <v>0</v>
      </c>
      <c r="S95">
        <v>0</v>
      </c>
      <c r="T95">
        <v>0</v>
      </c>
      <c r="U95">
        <v>0</v>
      </c>
      <c r="V95" s="18">
        <f t="shared" si="7"/>
        <v>0</v>
      </c>
      <c r="W95" s="18">
        <f t="shared" si="11"/>
        <v>0</v>
      </c>
      <c r="X95">
        <v>0</v>
      </c>
      <c r="Y95">
        <v>0</v>
      </c>
    </row>
    <row r="96" spans="1:25" x14ac:dyDescent="0.2">
      <c r="A96" s="18">
        <v>5507</v>
      </c>
      <c r="C96" s="18">
        <v>0</v>
      </c>
      <c r="D96" s="18">
        <v>0</v>
      </c>
      <c r="E96" s="18">
        <v>0</v>
      </c>
      <c r="F96" s="18">
        <f t="shared" si="8"/>
        <v>0</v>
      </c>
      <c r="G96" s="18">
        <v>0</v>
      </c>
      <c r="H96" s="18">
        <v>0</v>
      </c>
      <c r="I96" s="18">
        <f t="shared" si="9"/>
        <v>0</v>
      </c>
      <c r="J96" s="18">
        <v>0</v>
      </c>
      <c r="K96" s="18">
        <v>0</v>
      </c>
      <c r="L96" s="18">
        <f t="shared" si="10"/>
        <v>0</v>
      </c>
      <c r="M96" s="18">
        <v>0</v>
      </c>
      <c r="N96" s="18">
        <v>0</v>
      </c>
      <c r="O96" s="18">
        <v>0</v>
      </c>
      <c r="P96" s="18">
        <v>0</v>
      </c>
      <c r="Q96" s="18">
        <f t="shared" si="6"/>
        <v>0</v>
      </c>
      <c r="R96">
        <v>0</v>
      </c>
      <c r="S96">
        <v>0</v>
      </c>
      <c r="T96">
        <v>0</v>
      </c>
      <c r="U96">
        <v>0</v>
      </c>
      <c r="V96" s="18">
        <f t="shared" si="7"/>
        <v>0</v>
      </c>
      <c r="W96" s="18">
        <f t="shared" si="11"/>
        <v>0</v>
      </c>
      <c r="X96">
        <v>0</v>
      </c>
      <c r="Y96">
        <v>0</v>
      </c>
    </row>
    <row r="97" spans="1:25" x14ac:dyDescent="0.2">
      <c r="A97" s="18">
        <v>5524</v>
      </c>
      <c r="C97" s="18">
        <v>0</v>
      </c>
      <c r="D97" s="18">
        <v>0</v>
      </c>
      <c r="E97" s="18">
        <v>0</v>
      </c>
      <c r="F97" s="18">
        <f t="shared" si="8"/>
        <v>0</v>
      </c>
      <c r="G97" s="18">
        <v>0</v>
      </c>
      <c r="H97" s="18">
        <v>0</v>
      </c>
      <c r="I97" s="18">
        <f t="shared" si="9"/>
        <v>0</v>
      </c>
      <c r="J97" s="18">
        <v>0</v>
      </c>
      <c r="K97" s="18">
        <v>0</v>
      </c>
      <c r="L97" s="18">
        <f t="shared" si="10"/>
        <v>0</v>
      </c>
      <c r="M97" s="18">
        <v>0</v>
      </c>
      <c r="N97" s="18">
        <v>0</v>
      </c>
      <c r="O97" s="18">
        <v>0</v>
      </c>
      <c r="P97" s="18">
        <v>0</v>
      </c>
      <c r="Q97" s="18">
        <f t="shared" si="6"/>
        <v>0</v>
      </c>
      <c r="R97">
        <v>0</v>
      </c>
      <c r="S97">
        <v>0</v>
      </c>
      <c r="T97">
        <v>0</v>
      </c>
      <c r="U97">
        <v>0</v>
      </c>
      <c r="V97" s="18">
        <f t="shared" si="7"/>
        <v>0</v>
      </c>
      <c r="W97" s="18">
        <f t="shared" si="11"/>
        <v>0</v>
      </c>
      <c r="X97">
        <v>0</v>
      </c>
      <c r="Y97">
        <v>0</v>
      </c>
    </row>
    <row r="98" spans="1:25" x14ac:dyDescent="0.2">
      <c r="A98" s="18">
        <v>5534</v>
      </c>
      <c r="C98" s="18">
        <v>0</v>
      </c>
      <c r="D98" s="18">
        <v>0</v>
      </c>
      <c r="E98" s="18">
        <v>0</v>
      </c>
      <c r="F98" s="18">
        <f t="shared" si="8"/>
        <v>0</v>
      </c>
      <c r="G98" s="18">
        <v>0</v>
      </c>
      <c r="H98" s="18">
        <v>0</v>
      </c>
      <c r="I98" s="18">
        <f t="shared" si="9"/>
        <v>0</v>
      </c>
      <c r="J98" s="18">
        <v>0</v>
      </c>
      <c r="K98" s="18">
        <v>0</v>
      </c>
      <c r="L98" s="18">
        <f t="shared" si="10"/>
        <v>0</v>
      </c>
      <c r="M98" s="18">
        <v>0</v>
      </c>
      <c r="N98" s="18">
        <v>0</v>
      </c>
      <c r="O98" s="18">
        <v>0</v>
      </c>
      <c r="P98" s="18">
        <v>0</v>
      </c>
      <c r="Q98" s="18">
        <f t="shared" si="6"/>
        <v>0</v>
      </c>
      <c r="R98">
        <v>0</v>
      </c>
      <c r="S98">
        <v>0</v>
      </c>
      <c r="T98">
        <v>0</v>
      </c>
      <c r="U98">
        <v>0</v>
      </c>
      <c r="V98" s="18">
        <f t="shared" si="7"/>
        <v>0</v>
      </c>
      <c r="W98" s="18">
        <f t="shared" si="11"/>
        <v>0</v>
      </c>
      <c r="X98" s="18">
        <v>0</v>
      </c>
      <c r="Y98" s="18">
        <v>0</v>
      </c>
    </row>
    <row r="99" spans="1:25" x14ac:dyDescent="0.2">
      <c r="A99" s="18">
        <v>5539</v>
      </c>
      <c r="C99" s="18">
        <v>0</v>
      </c>
      <c r="D99" s="18">
        <v>0</v>
      </c>
      <c r="E99" s="18">
        <v>0</v>
      </c>
      <c r="F99" s="18">
        <f t="shared" si="8"/>
        <v>0</v>
      </c>
      <c r="G99" s="18">
        <v>0</v>
      </c>
      <c r="H99" s="18">
        <v>0</v>
      </c>
      <c r="I99" s="18">
        <f t="shared" si="9"/>
        <v>0</v>
      </c>
      <c r="J99" s="18">
        <v>0</v>
      </c>
      <c r="K99" s="18">
        <v>0</v>
      </c>
      <c r="L99" s="18">
        <f t="shared" si="10"/>
        <v>0</v>
      </c>
      <c r="M99" s="18">
        <v>0</v>
      </c>
      <c r="N99" s="18">
        <v>0</v>
      </c>
      <c r="O99" s="18">
        <v>0</v>
      </c>
      <c r="P99" s="18">
        <v>0</v>
      </c>
      <c r="Q99" s="18">
        <f t="shared" si="6"/>
        <v>0</v>
      </c>
      <c r="R99">
        <v>0</v>
      </c>
      <c r="S99">
        <v>0</v>
      </c>
      <c r="T99">
        <v>0</v>
      </c>
      <c r="U99">
        <v>0</v>
      </c>
      <c r="V99" s="18">
        <f t="shared" si="7"/>
        <v>0</v>
      </c>
      <c r="W99" s="18">
        <f t="shared" si="11"/>
        <v>0</v>
      </c>
      <c r="X99" s="18">
        <v>0</v>
      </c>
      <c r="Y99" s="18">
        <v>0</v>
      </c>
    </row>
    <row r="100" spans="1:25" x14ac:dyDescent="0.2">
      <c r="A100" s="18">
        <v>5543</v>
      </c>
      <c r="C100" s="18">
        <v>0</v>
      </c>
      <c r="D100" s="18">
        <v>0</v>
      </c>
      <c r="E100" s="18">
        <v>0</v>
      </c>
      <c r="F100" s="18">
        <f t="shared" si="8"/>
        <v>0</v>
      </c>
      <c r="G100" s="18">
        <v>0</v>
      </c>
      <c r="H100" s="18">
        <v>0</v>
      </c>
      <c r="I100" s="18">
        <f t="shared" si="9"/>
        <v>0</v>
      </c>
      <c r="J100" s="18">
        <v>0</v>
      </c>
      <c r="K100" s="18">
        <v>0</v>
      </c>
      <c r="L100" s="18">
        <f t="shared" si="10"/>
        <v>0</v>
      </c>
      <c r="M100" s="18">
        <v>0</v>
      </c>
      <c r="N100" s="18">
        <v>0</v>
      </c>
      <c r="O100" s="18">
        <v>0</v>
      </c>
      <c r="P100" s="18">
        <v>0</v>
      </c>
      <c r="Q100" s="18">
        <f t="shared" si="6"/>
        <v>0</v>
      </c>
      <c r="R100">
        <v>0</v>
      </c>
      <c r="S100">
        <v>0</v>
      </c>
      <c r="T100">
        <v>0</v>
      </c>
      <c r="U100">
        <v>0</v>
      </c>
      <c r="V100" s="18">
        <f t="shared" si="7"/>
        <v>0</v>
      </c>
      <c r="W100" s="18">
        <f t="shared" si="11"/>
        <v>0</v>
      </c>
      <c r="X100" s="18">
        <v>0</v>
      </c>
      <c r="Y100" s="18">
        <v>0</v>
      </c>
    </row>
    <row r="101" spans="1:25" x14ac:dyDescent="0.2">
      <c r="A101" s="18">
        <v>5547</v>
      </c>
      <c r="C101" s="18">
        <v>0</v>
      </c>
      <c r="D101" s="18">
        <v>0</v>
      </c>
      <c r="E101" s="18">
        <v>0</v>
      </c>
      <c r="F101" s="18">
        <f t="shared" si="8"/>
        <v>0</v>
      </c>
      <c r="G101" s="18">
        <v>0</v>
      </c>
      <c r="H101" s="18">
        <v>0</v>
      </c>
      <c r="I101" s="18">
        <f t="shared" si="9"/>
        <v>0</v>
      </c>
      <c r="J101" s="18">
        <v>0</v>
      </c>
      <c r="K101" s="18">
        <v>0</v>
      </c>
      <c r="L101" s="18">
        <f t="shared" si="10"/>
        <v>0</v>
      </c>
      <c r="M101" s="18">
        <v>0</v>
      </c>
      <c r="N101" s="18">
        <v>0</v>
      </c>
      <c r="O101" s="18">
        <v>0</v>
      </c>
      <c r="P101" s="18">
        <v>0</v>
      </c>
      <c r="Q101" s="18">
        <f t="shared" si="6"/>
        <v>0</v>
      </c>
      <c r="R101">
        <v>0</v>
      </c>
      <c r="S101">
        <v>0</v>
      </c>
      <c r="T101">
        <v>0</v>
      </c>
      <c r="U101">
        <v>0</v>
      </c>
      <c r="V101" s="18">
        <f t="shared" si="7"/>
        <v>0</v>
      </c>
      <c r="W101" s="18">
        <f t="shared" si="11"/>
        <v>0</v>
      </c>
      <c r="X101" s="18">
        <v>0</v>
      </c>
      <c r="Y101" s="18">
        <v>0</v>
      </c>
    </row>
    <row r="102" spans="1:25" x14ac:dyDescent="0.2">
      <c r="A102" s="18">
        <v>5546</v>
      </c>
      <c r="C102" s="18">
        <v>0</v>
      </c>
      <c r="D102" s="18">
        <v>0</v>
      </c>
      <c r="E102" s="53">
        <v>0</v>
      </c>
      <c r="F102" s="18">
        <f t="shared" si="8"/>
        <v>0</v>
      </c>
      <c r="G102" s="18">
        <v>0</v>
      </c>
      <c r="H102" s="18">
        <v>0</v>
      </c>
      <c r="I102" s="18">
        <f t="shared" si="9"/>
        <v>0</v>
      </c>
      <c r="J102" s="18">
        <v>0</v>
      </c>
      <c r="K102" s="18">
        <v>0</v>
      </c>
      <c r="L102" s="18">
        <f t="shared" si="10"/>
        <v>0</v>
      </c>
      <c r="M102" s="18">
        <v>0</v>
      </c>
      <c r="N102" s="18">
        <v>0</v>
      </c>
      <c r="O102" s="18">
        <v>0</v>
      </c>
      <c r="P102" s="18">
        <v>0</v>
      </c>
      <c r="Q102" s="18">
        <f t="shared" si="6"/>
        <v>0</v>
      </c>
      <c r="R102">
        <v>0</v>
      </c>
      <c r="S102">
        <v>0</v>
      </c>
      <c r="T102">
        <v>0</v>
      </c>
      <c r="U102">
        <v>0</v>
      </c>
      <c r="V102" s="18">
        <f t="shared" si="7"/>
        <v>0</v>
      </c>
      <c r="W102" s="18">
        <f t="shared" si="11"/>
        <v>0</v>
      </c>
      <c r="X102" s="18">
        <v>0</v>
      </c>
      <c r="Y102" s="18">
        <v>0</v>
      </c>
    </row>
    <row r="103" spans="1:25" x14ac:dyDescent="0.2">
      <c r="A103" s="18">
        <v>5509</v>
      </c>
      <c r="C103" s="18">
        <v>0</v>
      </c>
      <c r="D103" s="18">
        <v>0</v>
      </c>
      <c r="E103" s="18">
        <v>0</v>
      </c>
      <c r="F103" s="18">
        <f t="shared" si="8"/>
        <v>0</v>
      </c>
      <c r="G103" s="18">
        <v>0</v>
      </c>
      <c r="H103" s="18">
        <v>0</v>
      </c>
      <c r="I103" s="18">
        <f t="shared" si="9"/>
        <v>0</v>
      </c>
      <c r="J103" s="18">
        <v>0</v>
      </c>
      <c r="K103" s="18">
        <v>0</v>
      </c>
      <c r="L103" s="18">
        <f t="shared" si="10"/>
        <v>0</v>
      </c>
      <c r="M103" s="18">
        <v>0</v>
      </c>
      <c r="N103" s="18">
        <v>0</v>
      </c>
      <c r="O103" s="18">
        <v>0</v>
      </c>
      <c r="P103" s="18">
        <v>0</v>
      </c>
      <c r="Q103" s="18">
        <f t="shared" si="6"/>
        <v>0</v>
      </c>
      <c r="R103">
        <v>0</v>
      </c>
      <c r="S103">
        <v>0</v>
      </c>
      <c r="T103">
        <v>0</v>
      </c>
      <c r="U103">
        <v>0</v>
      </c>
      <c r="V103" s="18">
        <f t="shared" si="7"/>
        <v>0</v>
      </c>
      <c r="W103" s="18">
        <f t="shared" si="11"/>
        <v>0</v>
      </c>
      <c r="X103" s="18">
        <v>0</v>
      </c>
      <c r="Y103" s="18">
        <v>0</v>
      </c>
    </row>
    <row r="104" spans="1:25" x14ac:dyDescent="0.2">
      <c r="A104" s="18">
        <v>5565</v>
      </c>
      <c r="C104" s="18">
        <v>0</v>
      </c>
      <c r="D104" s="18">
        <v>0</v>
      </c>
      <c r="E104" s="18">
        <v>0</v>
      </c>
      <c r="F104" s="18">
        <f t="shared" si="8"/>
        <v>0</v>
      </c>
      <c r="G104" s="18">
        <v>0</v>
      </c>
      <c r="H104" s="18">
        <v>0</v>
      </c>
      <c r="I104" s="18">
        <f t="shared" si="9"/>
        <v>0</v>
      </c>
      <c r="J104" s="18">
        <v>0</v>
      </c>
      <c r="K104" s="18">
        <v>0</v>
      </c>
      <c r="L104" s="18">
        <f t="shared" si="10"/>
        <v>0</v>
      </c>
      <c r="M104" s="18">
        <v>0</v>
      </c>
      <c r="N104" s="18">
        <v>0</v>
      </c>
      <c r="O104" s="18">
        <v>0</v>
      </c>
      <c r="P104" s="18">
        <v>0</v>
      </c>
      <c r="Q104" s="18">
        <f t="shared" si="6"/>
        <v>0</v>
      </c>
      <c r="R104">
        <v>0</v>
      </c>
      <c r="S104">
        <v>0</v>
      </c>
      <c r="T104">
        <v>0</v>
      </c>
      <c r="U104">
        <v>0</v>
      </c>
      <c r="V104" s="18">
        <f t="shared" si="7"/>
        <v>0</v>
      </c>
      <c r="W104" s="18">
        <f t="shared" si="11"/>
        <v>0</v>
      </c>
      <c r="X104" s="18">
        <v>0</v>
      </c>
      <c r="Y104" s="18">
        <v>0</v>
      </c>
    </row>
    <row r="105" spans="1:25" x14ac:dyDescent="0.2">
      <c r="A105" s="18">
        <v>5570</v>
      </c>
      <c r="C105" s="18">
        <v>0</v>
      </c>
      <c r="D105" s="18">
        <v>0</v>
      </c>
      <c r="E105" s="18">
        <v>0</v>
      </c>
      <c r="F105" s="18">
        <f t="shared" si="8"/>
        <v>0</v>
      </c>
      <c r="G105" s="18">
        <v>0</v>
      </c>
      <c r="H105" s="18">
        <v>0</v>
      </c>
      <c r="I105" s="18">
        <f t="shared" si="9"/>
        <v>0</v>
      </c>
      <c r="J105" s="18">
        <v>0</v>
      </c>
      <c r="K105" s="18">
        <v>0</v>
      </c>
      <c r="L105" s="18">
        <f t="shared" si="10"/>
        <v>0</v>
      </c>
      <c r="M105" s="18">
        <v>0</v>
      </c>
      <c r="N105" s="18">
        <v>0</v>
      </c>
      <c r="O105" s="18">
        <v>0</v>
      </c>
      <c r="P105" s="18">
        <v>0</v>
      </c>
      <c r="Q105" s="18">
        <f t="shared" si="6"/>
        <v>0</v>
      </c>
      <c r="R105">
        <v>0</v>
      </c>
      <c r="S105">
        <v>0</v>
      </c>
      <c r="T105">
        <v>0</v>
      </c>
      <c r="U105">
        <v>0</v>
      </c>
      <c r="V105" s="18">
        <f t="shared" si="7"/>
        <v>0</v>
      </c>
      <c r="W105" s="18">
        <f t="shared" si="11"/>
        <v>0</v>
      </c>
      <c r="X105" s="18">
        <v>0</v>
      </c>
      <c r="Y105" s="18">
        <v>0</v>
      </c>
    </row>
    <row r="106" spans="1:25" x14ac:dyDescent="0.2">
      <c r="A106" s="18">
        <v>5355</v>
      </c>
      <c r="C106" s="18">
        <v>0</v>
      </c>
      <c r="D106" s="18">
        <v>0</v>
      </c>
      <c r="E106" s="18">
        <v>0</v>
      </c>
      <c r="F106" s="18">
        <f t="shared" si="8"/>
        <v>0</v>
      </c>
      <c r="G106" s="18">
        <v>0</v>
      </c>
      <c r="H106" s="18">
        <v>0</v>
      </c>
      <c r="I106" s="18">
        <f t="shared" si="9"/>
        <v>0</v>
      </c>
      <c r="J106" s="18">
        <v>0</v>
      </c>
      <c r="K106" s="18">
        <v>0</v>
      </c>
      <c r="L106" s="18">
        <f t="shared" si="10"/>
        <v>0</v>
      </c>
      <c r="M106" s="18">
        <v>0</v>
      </c>
      <c r="N106" s="18">
        <v>0</v>
      </c>
      <c r="O106" s="18">
        <v>0</v>
      </c>
      <c r="P106" s="18">
        <v>0</v>
      </c>
      <c r="Q106" s="18">
        <f t="shared" si="6"/>
        <v>0</v>
      </c>
      <c r="R106">
        <v>0</v>
      </c>
      <c r="S106">
        <v>0</v>
      </c>
      <c r="T106">
        <v>0</v>
      </c>
      <c r="U106">
        <v>0</v>
      </c>
      <c r="V106" s="18">
        <f t="shared" si="7"/>
        <v>0</v>
      </c>
      <c r="W106" s="18">
        <f t="shared" si="11"/>
        <v>0</v>
      </c>
      <c r="X106" s="18">
        <v>0</v>
      </c>
      <c r="Y106" s="18">
        <v>0</v>
      </c>
    </row>
    <row r="107" spans="1:25" x14ac:dyDescent="0.2">
      <c r="A107" s="18">
        <v>5578</v>
      </c>
      <c r="C107" s="18">
        <v>0</v>
      </c>
      <c r="D107" s="18">
        <v>0</v>
      </c>
      <c r="E107" s="18">
        <v>0</v>
      </c>
      <c r="F107" s="18">
        <f t="shared" si="8"/>
        <v>0</v>
      </c>
      <c r="G107" s="18">
        <v>0</v>
      </c>
      <c r="H107" s="18">
        <v>0</v>
      </c>
      <c r="I107" s="18">
        <f t="shared" si="9"/>
        <v>0</v>
      </c>
      <c r="J107" s="18">
        <v>0</v>
      </c>
      <c r="K107" s="18">
        <v>0</v>
      </c>
      <c r="L107" s="18">
        <f t="shared" si="10"/>
        <v>0</v>
      </c>
      <c r="M107" s="18">
        <v>0</v>
      </c>
      <c r="N107" s="18">
        <v>0</v>
      </c>
      <c r="O107" s="18">
        <v>0</v>
      </c>
      <c r="P107" s="18">
        <v>0</v>
      </c>
      <c r="Q107" s="18">
        <f t="shared" si="6"/>
        <v>0</v>
      </c>
      <c r="R107">
        <v>0</v>
      </c>
      <c r="S107">
        <v>0</v>
      </c>
      <c r="T107">
        <v>0</v>
      </c>
      <c r="U107">
        <v>0</v>
      </c>
      <c r="V107" s="18">
        <f t="shared" si="7"/>
        <v>0</v>
      </c>
      <c r="W107" s="18">
        <f t="shared" si="11"/>
        <v>0</v>
      </c>
      <c r="X107" s="18">
        <v>0</v>
      </c>
      <c r="Y107" s="18">
        <v>0</v>
      </c>
    </row>
    <row r="108" spans="1:25" x14ac:dyDescent="0.2">
      <c r="A108" s="18">
        <v>5576</v>
      </c>
      <c r="C108" s="18">
        <v>0</v>
      </c>
      <c r="D108" s="18">
        <v>0</v>
      </c>
      <c r="E108" s="18">
        <v>0</v>
      </c>
      <c r="F108" s="18">
        <f t="shared" si="8"/>
        <v>0</v>
      </c>
      <c r="G108" s="18">
        <v>0</v>
      </c>
      <c r="H108" s="18">
        <v>0</v>
      </c>
      <c r="I108" s="18">
        <f t="shared" si="9"/>
        <v>0</v>
      </c>
      <c r="J108" s="18">
        <v>0</v>
      </c>
      <c r="K108" s="18">
        <v>0</v>
      </c>
      <c r="L108" s="18">
        <f t="shared" si="10"/>
        <v>0</v>
      </c>
      <c r="M108" s="18">
        <v>0</v>
      </c>
      <c r="N108" s="18">
        <v>0</v>
      </c>
      <c r="O108" s="18">
        <v>0</v>
      </c>
      <c r="P108" s="18">
        <v>0</v>
      </c>
      <c r="Q108" s="18">
        <f t="shared" si="6"/>
        <v>0</v>
      </c>
      <c r="R108">
        <v>0</v>
      </c>
      <c r="S108">
        <v>0</v>
      </c>
      <c r="T108">
        <v>0</v>
      </c>
      <c r="U108">
        <v>0</v>
      </c>
      <c r="V108" s="18">
        <f t="shared" si="7"/>
        <v>0</v>
      </c>
      <c r="W108" s="18">
        <f t="shared" si="11"/>
        <v>0</v>
      </c>
      <c r="X108" s="18">
        <v>0</v>
      </c>
      <c r="Y108" s="18">
        <v>0</v>
      </c>
    </row>
    <row r="109" spans="1:25" x14ac:dyDescent="0.2">
      <c r="A109" s="18">
        <v>5581</v>
      </c>
      <c r="C109" s="18">
        <v>0</v>
      </c>
      <c r="D109" s="18">
        <v>0</v>
      </c>
      <c r="E109" s="18">
        <v>0</v>
      </c>
      <c r="F109" s="18">
        <f t="shared" si="8"/>
        <v>0</v>
      </c>
      <c r="G109" s="18">
        <v>0</v>
      </c>
      <c r="H109" s="18">
        <v>0</v>
      </c>
      <c r="I109" s="18">
        <f t="shared" si="9"/>
        <v>0</v>
      </c>
      <c r="J109" s="18">
        <v>0</v>
      </c>
      <c r="K109" s="18">
        <v>0</v>
      </c>
      <c r="L109" s="18">
        <f t="shared" si="10"/>
        <v>0</v>
      </c>
      <c r="M109" s="18">
        <v>0</v>
      </c>
      <c r="N109" s="18">
        <v>0</v>
      </c>
      <c r="O109" s="18">
        <v>0</v>
      </c>
      <c r="P109" s="18">
        <v>0</v>
      </c>
      <c r="Q109" s="18">
        <f t="shared" si="6"/>
        <v>0</v>
      </c>
      <c r="R109">
        <v>0</v>
      </c>
      <c r="S109">
        <v>0</v>
      </c>
      <c r="T109">
        <v>0</v>
      </c>
      <c r="U109">
        <v>0</v>
      </c>
      <c r="V109" s="18">
        <f t="shared" si="7"/>
        <v>0</v>
      </c>
      <c r="W109" s="18">
        <f t="shared" si="11"/>
        <v>0</v>
      </c>
      <c r="X109" s="18">
        <v>0</v>
      </c>
      <c r="Y109" s="18">
        <v>0</v>
      </c>
    </row>
    <row r="110" spans="1:25" x14ac:dyDescent="0.2">
      <c r="A110" s="18">
        <v>5584</v>
      </c>
      <c r="C110" s="18">
        <v>0</v>
      </c>
      <c r="D110" s="18">
        <v>0</v>
      </c>
      <c r="E110" s="18">
        <v>0</v>
      </c>
      <c r="F110" s="18">
        <f t="shared" si="8"/>
        <v>0</v>
      </c>
      <c r="G110" s="18">
        <v>0</v>
      </c>
      <c r="H110" s="18">
        <v>0</v>
      </c>
      <c r="I110" s="18">
        <f t="shared" si="9"/>
        <v>0</v>
      </c>
      <c r="J110" s="18">
        <v>0</v>
      </c>
      <c r="K110" s="18">
        <v>0</v>
      </c>
      <c r="L110" s="18">
        <f t="shared" si="10"/>
        <v>0</v>
      </c>
      <c r="M110" s="18">
        <v>0</v>
      </c>
      <c r="N110" s="18">
        <v>0</v>
      </c>
      <c r="O110" s="18">
        <v>0</v>
      </c>
      <c r="P110" s="18">
        <v>0</v>
      </c>
      <c r="Q110" s="18">
        <f t="shared" si="6"/>
        <v>0</v>
      </c>
      <c r="R110">
        <v>0</v>
      </c>
      <c r="S110">
        <v>0</v>
      </c>
      <c r="T110">
        <v>0</v>
      </c>
      <c r="U110">
        <v>0</v>
      </c>
      <c r="V110" s="18">
        <f t="shared" si="7"/>
        <v>0</v>
      </c>
      <c r="W110" s="18">
        <f t="shared" si="11"/>
        <v>0</v>
      </c>
      <c r="X110" s="18">
        <v>0</v>
      </c>
      <c r="Y110" s="18">
        <v>0</v>
      </c>
    </row>
    <row r="111" spans="1:25" x14ac:dyDescent="0.2">
      <c r="A111" s="18">
        <v>5585</v>
      </c>
      <c r="C111" s="18">
        <v>0</v>
      </c>
      <c r="D111" s="18">
        <v>0</v>
      </c>
      <c r="E111" s="18">
        <v>0</v>
      </c>
      <c r="F111" s="18">
        <f t="shared" si="8"/>
        <v>0</v>
      </c>
      <c r="G111" s="18">
        <v>0</v>
      </c>
      <c r="H111" s="18">
        <v>0</v>
      </c>
      <c r="I111" s="18">
        <f t="shared" si="9"/>
        <v>0</v>
      </c>
      <c r="J111" s="18">
        <v>0</v>
      </c>
      <c r="K111" s="18">
        <v>0</v>
      </c>
      <c r="L111" s="18">
        <f t="shared" si="10"/>
        <v>0</v>
      </c>
      <c r="M111" s="18">
        <v>0</v>
      </c>
      <c r="N111" s="18">
        <v>0</v>
      </c>
      <c r="O111" s="18">
        <v>0</v>
      </c>
      <c r="P111" s="18">
        <v>0</v>
      </c>
      <c r="Q111" s="18">
        <f t="shared" si="6"/>
        <v>0</v>
      </c>
      <c r="R111">
        <v>0</v>
      </c>
      <c r="S111">
        <v>0</v>
      </c>
      <c r="T111">
        <v>0</v>
      </c>
      <c r="U111">
        <v>0</v>
      </c>
      <c r="V111" s="18">
        <f t="shared" si="7"/>
        <v>0</v>
      </c>
      <c r="W111" s="18">
        <f t="shared" si="11"/>
        <v>0</v>
      </c>
      <c r="X111" s="18">
        <v>0</v>
      </c>
      <c r="Y111" s="18">
        <v>0</v>
      </c>
    </row>
    <row r="112" spans="1:25" x14ac:dyDescent="0.2">
      <c r="A112" s="18">
        <v>5588</v>
      </c>
      <c r="C112" s="18">
        <v>0</v>
      </c>
      <c r="D112" s="18">
        <v>0</v>
      </c>
      <c r="E112" s="18">
        <v>0</v>
      </c>
      <c r="F112" s="18">
        <f t="shared" si="8"/>
        <v>0</v>
      </c>
      <c r="G112" s="18">
        <v>0</v>
      </c>
      <c r="H112" s="18">
        <v>0</v>
      </c>
      <c r="I112" s="18">
        <f t="shared" si="9"/>
        <v>0</v>
      </c>
      <c r="J112" s="18">
        <v>0</v>
      </c>
      <c r="K112" s="18">
        <v>0</v>
      </c>
      <c r="L112" s="18">
        <f t="shared" si="10"/>
        <v>0</v>
      </c>
      <c r="M112" s="18">
        <v>0</v>
      </c>
      <c r="N112" s="18">
        <v>0</v>
      </c>
      <c r="O112" s="18">
        <v>0</v>
      </c>
      <c r="P112" s="18">
        <v>0</v>
      </c>
      <c r="Q112" s="18">
        <f t="shared" si="6"/>
        <v>0</v>
      </c>
      <c r="R112">
        <v>0</v>
      </c>
      <c r="S112">
        <v>0</v>
      </c>
      <c r="T112">
        <v>0</v>
      </c>
      <c r="U112">
        <v>0</v>
      </c>
      <c r="V112" s="18">
        <f t="shared" si="7"/>
        <v>0</v>
      </c>
      <c r="W112" s="18">
        <f t="shared" si="11"/>
        <v>0</v>
      </c>
      <c r="X112" s="18">
        <v>0</v>
      </c>
      <c r="Y112" s="18">
        <v>0</v>
      </c>
    </row>
    <row r="113" spans="1:25" x14ac:dyDescent="0.2">
      <c r="A113" s="18">
        <v>5508</v>
      </c>
      <c r="C113" s="18">
        <v>0</v>
      </c>
      <c r="D113" s="18">
        <v>0</v>
      </c>
      <c r="E113" s="18">
        <v>0</v>
      </c>
      <c r="F113" s="18">
        <f t="shared" si="8"/>
        <v>0</v>
      </c>
      <c r="G113" s="18">
        <v>0</v>
      </c>
      <c r="H113" s="18">
        <v>0</v>
      </c>
      <c r="I113" s="18">
        <f t="shared" si="9"/>
        <v>0</v>
      </c>
      <c r="J113" s="18">
        <v>0</v>
      </c>
      <c r="K113" s="18">
        <v>0</v>
      </c>
      <c r="L113" s="18">
        <f t="shared" si="10"/>
        <v>0</v>
      </c>
      <c r="M113" s="18">
        <v>0</v>
      </c>
      <c r="N113" s="18">
        <v>0</v>
      </c>
      <c r="O113" s="18">
        <v>0</v>
      </c>
      <c r="P113" s="18">
        <v>0</v>
      </c>
      <c r="Q113" s="18">
        <f t="shared" si="6"/>
        <v>0</v>
      </c>
      <c r="R113">
        <v>0</v>
      </c>
      <c r="S113">
        <v>0</v>
      </c>
      <c r="T113">
        <v>0</v>
      </c>
      <c r="U113">
        <v>0</v>
      </c>
      <c r="V113" s="18">
        <f t="shared" si="7"/>
        <v>0</v>
      </c>
      <c r="W113" s="18">
        <f t="shared" si="11"/>
        <v>0</v>
      </c>
      <c r="X113" s="18">
        <v>0</v>
      </c>
      <c r="Y113" s="18">
        <v>0</v>
      </c>
    </row>
    <row r="114" spans="1:25" x14ac:dyDescent="0.2">
      <c r="A114" s="18">
        <v>5589</v>
      </c>
      <c r="C114" s="18">
        <v>0</v>
      </c>
      <c r="D114" s="18">
        <v>0</v>
      </c>
      <c r="E114" s="18">
        <v>0</v>
      </c>
      <c r="F114" s="18">
        <f t="shared" si="8"/>
        <v>0</v>
      </c>
      <c r="G114" s="18">
        <v>0</v>
      </c>
      <c r="H114" s="18">
        <v>0</v>
      </c>
      <c r="I114" s="18">
        <f t="shared" si="9"/>
        <v>0</v>
      </c>
      <c r="J114" s="18">
        <v>0</v>
      </c>
      <c r="K114" s="18">
        <v>0</v>
      </c>
      <c r="L114" s="18">
        <f t="shared" si="10"/>
        <v>0</v>
      </c>
      <c r="M114" s="18">
        <v>0</v>
      </c>
      <c r="N114" s="18">
        <v>0</v>
      </c>
      <c r="O114" s="18">
        <v>0</v>
      </c>
      <c r="P114" s="18">
        <v>0</v>
      </c>
      <c r="Q114" s="18">
        <f t="shared" si="6"/>
        <v>0</v>
      </c>
      <c r="R114">
        <v>0</v>
      </c>
      <c r="S114">
        <v>0</v>
      </c>
      <c r="T114">
        <v>0</v>
      </c>
      <c r="U114">
        <v>0</v>
      </c>
      <c r="V114" s="18">
        <f t="shared" si="7"/>
        <v>0</v>
      </c>
      <c r="W114" s="18">
        <f t="shared" si="11"/>
        <v>0</v>
      </c>
      <c r="X114" s="18">
        <v>0</v>
      </c>
      <c r="Y114" s="18">
        <v>0</v>
      </c>
    </row>
    <row r="115" spans="1:25" x14ac:dyDescent="0.2">
      <c r="A115" s="18">
        <v>5601</v>
      </c>
      <c r="C115" s="18">
        <v>0</v>
      </c>
      <c r="D115" s="18">
        <v>0</v>
      </c>
      <c r="E115" s="18">
        <v>0</v>
      </c>
      <c r="F115" s="18">
        <f t="shared" si="8"/>
        <v>0</v>
      </c>
      <c r="G115" s="18">
        <v>0</v>
      </c>
      <c r="H115" s="18">
        <v>0</v>
      </c>
      <c r="I115" s="18">
        <f t="shared" si="9"/>
        <v>0</v>
      </c>
      <c r="J115" s="18">
        <v>0</v>
      </c>
      <c r="K115" s="18">
        <v>0</v>
      </c>
      <c r="L115" s="18">
        <f t="shared" si="10"/>
        <v>0</v>
      </c>
      <c r="M115" s="18">
        <v>0</v>
      </c>
      <c r="N115" s="18">
        <v>0</v>
      </c>
      <c r="O115" s="18">
        <v>0</v>
      </c>
      <c r="P115" s="18">
        <v>0</v>
      </c>
      <c r="Q115" s="18">
        <f t="shared" si="6"/>
        <v>0</v>
      </c>
      <c r="R115">
        <v>0</v>
      </c>
      <c r="S115">
        <v>0</v>
      </c>
      <c r="T115">
        <v>0</v>
      </c>
      <c r="U115">
        <v>0</v>
      </c>
      <c r="V115" s="18">
        <f t="shared" si="7"/>
        <v>0</v>
      </c>
      <c r="W115" s="18">
        <f t="shared" si="11"/>
        <v>0</v>
      </c>
      <c r="X115" s="18">
        <v>0</v>
      </c>
      <c r="Y115" s="18">
        <v>0</v>
      </c>
    </row>
    <row r="116" spans="1:25" x14ac:dyDescent="0.2">
      <c r="A116" s="18">
        <v>5602</v>
      </c>
      <c r="C116" s="18">
        <v>0</v>
      </c>
      <c r="D116" s="18">
        <v>0</v>
      </c>
      <c r="E116" s="18">
        <v>0</v>
      </c>
      <c r="F116" s="18">
        <f t="shared" si="8"/>
        <v>0</v>
      </c>
      <c r="G116" s="18">
        <v>0</v>
      </c>
      <c r="H116" s="18">
        <v>0</v>
      </c>
      <c r="I116" s="18">
        <f t="shared" si="9"/>
        <v>0</v>
      </c>
      <c r="J116" s="18">
        <v>0</v>
      </c>
      <c r="K116" s="18">
        <v>0</v>
      </c>
      <c r="L116" s="18">
        <f t="shared" si="10"/>
        <v>0</v>
      </c>
      <c r="M116" s="18">
        <v>0</v>
      </c>
      <c r="N116" s="18">
        <v>0</v>
      </c>
      <c r="O116" s="18">
        <v>0</v>
      </c>
      <c r="P116" s="18">
        <v>0</v>
      </c>
      <c r="Q116" s="18">
        <f t="shared" si="6"/>
        <v>0</v>
      </c>
      <c r="R116">
        <v>0</v>
      </c>
      <c r="S116">
        <v>0</v>
      </c>
      <c r="T116">
        <v>0</v>
      </c>
      <c r="U116">
        <v>0</v>
      </c>
      <c r="V116" s="18">
        <f t="shared" si="7"/>
        <v>0</v>
      </c>
      <c r="W116" s="18">
        <f t="shared" si="11"/>
        <v>0</v>
      </c>
      <c r="X116" s="18">
        <v>0</v>
      </c>
      <c r="Y116" s="18">
        <v>0</v>
      </c>
    </row>
    <row r="117" spans="1:25" x14ac:dyDescent="0.2">
      <c r="A117" s="18">
        <v>5608</v>
      </c>
      <c r="C117" s="18">
        <v>0</v>
      </c>
      <c r="D117" s="18">
        <v>0</v>
      </c>
      <c r="E117" s="18">
        <v>0</v>
      </c>
      <c r="F117" s="18">
        <f t="shared" si="8"/>
        <v>0</v>
      </c>
      <c r="G117" s="18">
        <v>0</v>
      </c>
      <c r="H117" s="18">
        <v>0</v>
      </c>
      <c r="I117" s="18">
        <f t="shared" si="9"/>
        <v>0</v>
      </c>
      <c r="J117" s="18">
        <v>0</v>
      </c>
      <c r="K117" s="18">
        <v>0</v>
      </c>
      <c r="L117" s="18">
        <f t="shared" si="10"/>
        <v>0</v>
      </c>
      <c r="M117" s="18">
        <v>0</v>
      </c>
      <c r="N117" s="18">
        <v>0</v>
      </c>
      <c r="O117" s="18">
        <v>0</v>
      </c>
      <c r="P117" s="18">
        <v>0</v>
      </c>
      <c r="Q117" s="18">
        <f t="shared" si="6"/>
        <v>0</v>
      </c>
      <c r="R117">
        <v>0</v>
      </c>
      <c r="S117">
        <v>0</v>
      </c>
      <c r="T117">
        <v>0</v>
      </c>
      <c r="U117">
        <v>0</v>
      </c>
      <c r="V117" s="18">
        <f t="shared" si="7"/>
        <v>0</v>
      </c>
      <c r="W117" s="18">
        <f t="shared" si="11"/>
        <v>0</v>
      </c>
      <c r="X117" s="18">
        <v>0</v>
      </c>
      <c r="Y117" s="18">
        <v>0</v>
      </c>
    </row>
    <row r="118" spans="1:25" x14ac:dyDescent="0.2">
      <c r="A118" s="18">
        <v>5300</v>
      </c>
      <c r="C118" s="18">
        <v>2.0894166666666667</v>
      </c>
      <c r="D118" s="18">
        <v>0.67599999999999993</v>
      </c>
      <c r="E118" s="18">
        <v>0</v>
      </c>
      <c r="F118" s="18">
        <f t="shared" si="8"/>
        <v>0.67599999999999993</v>
      </c>
      <c r="G118" s="18">
        <v>0.215</v>
      </c>
      <c r="H118" s="18">
        <v>0</v>
      </c>
      <c r="I118" s="18">
        <f t="shared" si="9"/>
        <v>0.215</v>
      </c>
      <c r="J118" s="18">
        <v>0</v>
      </c>
      <c r="K118" s="18">
        <v>0</v>
      </c>
      <c r="L118" s="18">
        <f t="shared" si="10"/>
        <v>0</v>
      </c>
      <c r="M118" s="18">
        <v>0</v>
      </c>
      <c r="N118" s="18">
        <v>0</v>
      </c>
      <c r="O118" s="18">
        <v>0</v>
      </c>
      <c r="P118" s="18">
        <v>0</v>
      </c>
      <c r="Q118" s="18">
        <f t="shared" si="6"/>
        <v>0</v>
      </c>
      <c r="R118">
        <v>0</v>
      </c>
      <c r="S118">
        <v>0</v>
      </c>
      <c r="T118">
        <v>0.33166666666666672</v>
      </c>
      <c r="U118">
        <v>4.9000000000000002E-2</v>
      </c>
      <c r="V118" s="18">
        <f t="shared" si="7"/>
        <v>0</v>
      </c>
      <c r="W118" s="18">
        <f t="shared" si="11"/>
        <v>0</v>
      </c>
      <c r="X118" s="18">
        <v>0.20733333333333331</v>
      </c>
      <c r="Y118" s="18">
        <v>0</v>
      </c>
    </row>
    <row r="119" spans="1:25" x14ac:dyDescent="0.2">
      <c r="A119" s="18">
        <v>5619</v>
      </c>
      <c r="C119" s="18">
        <v>0</v>
      </c>
      <c r="D119" s="18">
        <v>0</v>
      </c>
      <c r="E119" s="18">
        <v>0</v>
      </c>
      <c r="F119" s="18">
        <f t="shared" si="8"/>
        <v>0</v>
      </c>
      <c r="G119" s="18">
        <v>0</v>
      </c>
      <c r="H119" s="18">
        <v>0</v>
      </c>
      <c r="I119" s="18">
        <f t="shared" si="9"/>
        <v>0</v>
      </c>
      <c r="J119" s="18">
        <v>0</v>
      </c>
      <c r="K119" s="18">
        <v>0</v>
      </c>
      <c r="L119" s="18">
        <f t="shared" si="10"/>
        <v>0</v>
      </c>
      <c r="M119" s="18">
        <v>0</v>
      </c>
      <c r="N119" s="18">
        <v>0</v>
      </c>
      <c r="O119" s="18">
        <v>0</v>
      </c>
      <c r="P119" s="18">
        <v>0</v>
      </c>
      <c r="Q119" s="18">
        <f t="shared" si="6"/>
        <v>0</v>
      </c>
      <c r="R119">
        <v>0</v>
      </c>
      <c r="S119">
        <v>0</v>
      </c>
      <c r="T119">
        <v>0</v>
      </c>
      <c r="U119">
        <v>0</v>
      </c>
      <c r="V119" s="18">
        <f t="shared" si="7"/>
        <v>0</v>
      </c>
      <c r="W119" s="18">
        <f t="shared" si="11"/>
        <v>0</v>
      </c>
      <c r="X119" s="18">
        <v>0</v>
      </c>
      <c r="Y119" s="18">
        <v>0</v>
      </c>
    </row>
    <row r="120" spans="1:25" x14ac:dyDescent="0.2">
      <c r="A120" s="18">
        <v>5613</v>
      </c>
      <c r="C120" s="18">
        <v>0</v>
      </c>
      <c r="D120" s="18">
        <v>0</v>
      </c>
      <c r="E120" s="18">
        <v>0</v>
      </c>
      <c r="F120" s="18">
        <f t="shared" si="8"/>
        <v>0</v>
      </c>
      <c r="G120" s="18">
        <v>0</v>
      </c>
      <c r="H120" s="18">
        <v>0</v>
      </c>
      <c r="I120" s="18">
        <f t="shared" si="9"/>
        <v>0</v>
      </c>
      <c r="J120" s="18">
        <v>0</v>
      </c>
      <c r="K120" s="18">
        <v>0</v>
      </c>
      <c r="L120" s="18">
        <f t="shared" si="10"/>
        <v>0</v>
      </c>
      <c r="M120" s="18">
        <v>0</v>
      </c>
      <c r="N120" s="18">
        <v>0</v>
      </c>
      <c r="O120" s="18">
        <v>0</v>
      </c>
      <c r="P120" s="18">
        <v>0</v>
      </c>
      <c r="Q120" s="18">
        <f t="shared" si="6"/>
        <v>0</v>
      </c>
      <c r="R120">
        <v>0</v>
      </c>
      <c r="S120">
        <v>0</v>
      </c>
      <c r="T120">
        <v>0</v>
      </c>
      <c r="U120">
        <v>0</v>
      </c>
      <c r="V120" s="18">
        <f t="shared" si="7"/>
        <v>0</v>
      </c>
      <c r="W120" s="18">
        <f t="shared" si="11"/>
        <v>0</v>
      </c>
      <c r="X120" s="18">
        <v>0</v>
      </c>
      <c r="Y120" s="18">
        <v>0</v>
      </c>
    </row>
    <row r="121" spans="1:25" x14ac:dyDescent="0.2">
      <c r="A121" s="18">
        <v>5621</v>
      </c>
      <c r="C121" s="18">
        <v>0</v>
      </c>
      <c r="D121" s="18">
        <v>0.84583333333333333</v>
      </c>
      <c r="E121" s="18">
        <v>4.1515201666666668</v>
      </c>
      <c r="F121" s="18">
        <f t="shared" si="8"/>
        <v>4.9973535</v>
      </c>
      <c r="G121" s="18">
        <v>61.283166666666659</v>
      </c>
      <c r="H121" s="18">
        <v>29.448127581500014</v>
      </c>
      <c r="I121" s="18">
        <f t="shared" si="9"/>
        <v>90.731294248166677</v>
      </c>
      <c r="J121" s="18">
        <v>0</v>
      </c>
      <c r="K121" s="18">
        <v>0</v>
      </c>
      <c r="L121" s="18">
        <f t="shared" si="10"/>
        <v>0</v>
      </c>
      <c r="M121" s="18">
        <v>0</v>
      </c>
      <c r="N121" s="18">
        <v>9.3103333333333325</v>
      </c>
      <c r="O121" s="18">
        <v>0</v>
      </c>
      <c r="P121" s="18">
        <v>0</v>
      </c>
      <c r="Q121" s="18">
        <f t="shared" si="6"/>
        <v>9.3103333333333325</v>
      </c>
      <c r="R121">
        <v>2.2833333333333337</v>
      </c>
      <c r="S121">
        <v>6.2031666666666645</v>
      </c>
      <c r="T121">
        <v>14.1915</v>
      </c>
      <c r="U121">
        <v>2.6593333333333335</v>
      </c>
      <c r="V121" s="18">
        <f t="shared" si="7"/>
        <v>9.3103333333333325</v>
      </c>
      <c r="W121" s="18">
        <f t="shared" si="11"/>
        <v>0</v>
      </c>
      <c r="X121" s="18">
        <v>19.553833333333333</v>
      </c>
      <c r="Y121" s="18">
        <v>0.44483333333333336</v>
      </c>
    </row>
    <row r="122" spans="1:25" x14ac:dyDescent="0.2">
      <c r="A122" s="18">
        <v>5649</v>
      </c>
      <c r="C122" s="18">
        <v>0</v>
      </c>
      <c r="D122" s="18">
        <v>0</v>
      </c>
      <c r="E122" s="18">
        <v>0</v>
      </c>
      <c r="F122" s="18">
        <f t="shared" si="8"/>
        <v>0</v>
      </c>
      <c r="G122" s="18">
        <v>0.59233333333333327</v>
      </c>
      <c r="H122" s="18">
        <v>0</v>
      </c>
      <c r="I122" s="18">
        <f t="shared" si="9"/>
        <v>0.59233333333333327</v>
      </c>
      <c r="J122" s="18">
        <v>0</v>
      </c>
      <c r="K122" s="18">
        <v>0</v>
      </c>
      <c r="L122" s="18">
        <f t="shared" si="10"/>
        <v>0</v>
      </c>
      <c r="M122" s="18">
        <v>0</v>
      </c>
      <c r="N122" s="18">
        <v>0</v>
      </c>
      <c r="O122" s="18">
        <v>0</v>
      </c>
      <c r="P122" s="18">
        <v>0</v>
      </c>
      <c r="Q122" s="18">
        <f t="shared" si="6"/>
        <v>0</v>
      </c>
      <c r="R122">
        <v>0</v>
      </c>
      <c r="S122">
        <v>0</v>
      </c>
      <c r="T122">
        <v>0</v>
      </c>
      <c r="U122">
        <v>0</v>
      </c>
      <c r="V122" s="18">
        <f t="shared" si="7"/>
        <v>0</v>
      </c>
      <c r="W122" s="18">
        <f t="shared" si="11"/>
        <v>0</v>
      </c>
      <c r="X122" s="18">
        <v>0</v>
      </c>
      <c r="Y122" s="18">
        <v>0</v>
      </c>
    </row>
    <row r="123" spans="1:25" x14ac:dyDescent="0.2">
      <c r="A123" s="18">
        <v>5536</v>
      </c>
      <c r="C123" s="18">
        <v>0</v>
      </c>
      <c r="D123" s="18">
        <v>0</v>
      </c>
      <c r="E123" s="18">
        <v>0</v>
      </c>
      <c r="F123" s="18">
        <f t="shared" si="8"/>
        <v>0</v>
      </c>
      <c r="G123" s="18">
        <v>0</v>
      </c>
      <c r="H123" s="18">
        <v>0</v>
      </c>
      <c r="I123" s="18">
        <f t="shared" si="9"/>
        <v>0</v>
      </c>
      <c r="J123" s="18">
        <v>0</v>
      </c>
      <c r="K123" s="18">
        <v>0</v>
      </c>
      <c r="L123" s="18">
        <f t="shared" si="10"/>
        <v>0</v>
      </c>
      <c r="M123" s="18">
        <v>0</v>
      </c>
      <c r="N123" s="18">
        <v>0</v>
      </c>
      <c r="O123" s="18">
        <v>0</v>
      </c>
      <c r="P123" s="18">
        <v>0</v>
      </c>
      <c r="Q123" s="18">
        <f t="shared" si="6"/>
        <v>0</v>
      </c>
      <c r="R123">
        <v>0</v>
      </c>
      <c r="S123">
        <v>0</v>
      </c>
      <c r="T123">
        <v>0</v>
      </c>
      <c r="U123">
        <v>0</v>
      </c>
      <c r="V123" s="18">
        <f t="shared" si="7"/>
        <v>0</v>
      </c>
      <c r="W123" s="18">
        <f t="shared" si="11"/>
        <v>0</v>
      </c>
      <c r="X123" s="18">
        <v>0</v>
      </c>
      <c r="Y123" s="18">
        <v>0</v>
      </c>
    </row>
    <row r="124" spans="1:25" x14ac:dyDescent="0.2">
      <c r="A124" s="18">
        <v>5504</v>
      </c>
      <c r="C124" s="18">
        <v>0</v>
      </c>
      <c r="D124" s="18">
        <v>0</v>
      </c>
      <c r="E124" s="18">
        <v>0</v>
      </c>
      <c r="F124" s="18">
        <f t="shared" si="8"/>
        <v>0</v>
      </c>
      <c r="G124" s="18">
        <v>0</v>
      </c>
      <c r="H124" s="18">
        <v>0</v>
      </c>
      <c r="I124" s="18">
        <f t="shared" si="9"/>
        <v>0</v>
      </c>
      <c r="J124" s="18">
        <v>0</v>
      </c>
      <c r="K124" s="18">
        <v>0</v>
      </c>
      <c r="L124" s="18">
        <f t="shared" si="10"/>
        <v>0</v>
      </c>
      <c r="M124" s="18">
        <v>0</v>
      </c>
      <c r="N124" s="18">
        <v>0</v>
      </c>
      <c r="O124" s="18">
        <v>0</v>
      </c>
      <c r="P124" s="18">
        <v>0</v>
      </c>
      <c r="Q124" s="18">
        <f t="shared" si="6"/>
        <v>0</v>
      </c>
      <c r="R124">
        <v>0</v>
      </c>
      <c r="S124">
        <v>0</v>
      </c>
      <c r="T124">
        <v>0</v>
      </c>
      <c r="U124">
        <v>0</v>
      </c>
      <c r="V124" s="18">
        <f t="shared" si="7"/>
        <v>0</v>
      </c>
      <c r="W124" s="18">
        <f t="shared" si="11"/>
        <v>0</v>
      </c>
      <c r="X124" s="18">
        <v>0</v>
      </c>
      <c r="Y124" s="18">
        <v>0</v>
      </c>
    </row>
    <row r="125" spans="1:25" x14ac:dyDescent="0.2">
      <c r="A125" s="18">
        <v>5661</v>
      </c>
      <c r="C125" s="18">
        <v>0</v>
      </c>
      <c r="D125" s="18">
        <v>0</v>
      </c>
      <c r="E125" s="18">
        <v>0</v>
      </c>
      <c r="F125" s="18">
        <f t="shared" si="8"/>
        <v>0</v>
      </c>
      <c r="G125" s="18">
        <v>0</v>
      </c>
      <c r="H125" s="18">
        <v>0</v>
      </c>
      <c r="I125" s="18">
        <f t="shared" si="9"/>
        <v>0</v>
      </c>
      <c r="J125" s="18">
        <v>0</v>
      </c>
      <c r="K125" s="18">
        <v>0</v>
      </c>
      <c r="L125" s="18">
        <f t="shared" si="10"/>
        <v>0</v>
      </c>
      <c r="M125" s="18">
        <v>0</v>
      </c>
      <c r="N125" s="18">
        <v>0</v>
      </c>
      <c r="O125" s="18">
        <v>0</v>
      </c>
      <c r="P125" s="18">
        <v>0</v>
      </c>
      <c r="Q125" s="18">
        <f t="shared" si="6"/>
        <v>0</v>
      </c>
      <c r="R125">
        <v>0</v>
      </c>
      <c r="S125">
        <v>0</v>
      </c>
      <c r="T125">
        <v>0</v>
      </c>
      <c r="U125">
        <v>0</v>
      </c>
      <c r="V125" s="18">
        <f t="shared" si="7"/>
        <v>0</v>
      </c>
      <c r="W125" s="18">
        <f t="shared" si="11"/>
        <v>0</v>
      </c>
      <c r="X125" s="18">
        <v>0</v>
      </c>
      <c r="Y125" s="18">
        <v>0</v>
      </c>
    </row>
    <row r="126" spans="1:25" x14ac:dyDescent="0.2">
      <c r="A126" s="18">
        <v>5665</v>
      </c>
      <c r="C126" s="18">
        <v>0</v>
      </c>
      <c r="D126" s="18">
        <v>0</v>
      </c>
      <c r="E126" s="18">
        <v>0</v>
      </c>
      <c r="F126" s="18">
        <f t="shared" si="8"/>
        <v>0</v>
      </c>
      <c r="G126" s="18">
        <v>0</v>
      </c>
      <c r="H126" s="18">
        <v>0</v>
      </c>
      <c r="I126" s="18">
        <f t="shared" si="9"/>
        <v>0</v>
      </c>
      <c r="J126" s="18">
        <v>0</v>
      </c>
      <c r="K126" s="18">
        <v>0</v>
      </c>
      <c r="L126" s="18">
        <f t="shared" si="10"/>
        <v>0</v>
      </c>
      <c r="M126" s="18">
        <v>0</v>
      </c>
      <c r="N126" s="18">
        <v>0</v>
      </c>
      <c r="O126" s="18">
        <v>0</v>
      </c>
      <c r="P126" s="18">
        <v>0</v>
      </c>
      <c r="Q126" s="18">
        <f t="shared" si="6"/>
        <v>0</v>
      </c>
      <c r="R126">
        <v>0</v>
      </c>
      <c r="S126">
        <v>0</v>
      </c>
      <c r="T126">
        <v>0</v>
      </c>
      <c r="U126">
        <v>0</v>
      </c>
      <c r="V126" s="18">
        <f t="shared" si="7"/>
        <v>0</v>
      </c>
      <c r="W126" s="18">
        <f t="shared" si="11"/>
        <v>0</v>
      </c>
      <c r="X126" s="18">
        <v>0</v>
      </c>
      <c r="Y126" s="18">
        <v>0</v>
      </c>
    </row>
    <row r="127" spans="1:25" x14ac:dyDescent="0.2">
      <c r="A127" s="18">
        <v>5668</v>
      </c>
      <c r="C127" s="18">
        <v>0</v>
      </c>
      <c r="D127" s="18">
        <v>0</v>
      </c>
      <c r="E127" s="18">
        <v>0</v>
      </c>
      <c r="F127" s="18">
        <f t="shared" si="8"/>
        <v>0</v>
      </c>
      <c r="G127" s="18">
        <v>0</v>
      </c>
      <c r="H127" s="18">
        <v>0</v>
      </c>
      <c r="I127" s="18">
        <f t="shared" si="9"/>
        <v>0</v>
      </c>
      <c r="J127" s="18">
        <v>0</v>
      </c>
      <c r="K127" s="18">
        <v>0</v>
      </c>
      <c r="L127" s="18">
        <f t="shared" si="10"/>
        <v>0</v>
      </c>
      <c r="M127" s="18">
        <v>0</v>
      </c>
      <c r="N127" s="18">
        <v>0</v>
      </c>
      <c r="O127" s="18">
        <v>0</v>
      </c>
      <c r="P127" s="18">
        <v>0</v>
      </c>
      <c r="Q127" s="18">
        <f t="shared" si="6"/>
        <v>0</v>
      </c>
      <c r="R127">
        <v>0</v>
      </c>
      <c r="S127">
        <v>0</v>
      </c>
      <c r="T127">
        <v>0</v>
      </c>
      <c r="U127">
        <v>0</v>
      </c>
      <c r="V127" s="18">
        <f t="shared" si="7"/>
        <v>0</v>
      </c>
      <c r="W127" s="18">
        <f t="shared" si="11"/>
        <v>0</v>
      </c>
      <c r="X127" s="18">
        <v>0</v>
      </c>
      <c r="Y127" s="18">
        <v>0</v>
      </c>
    </row>
    <row r="128" spans="1:25" x14ac:dyDescent="0.2">
      <c r="A128" s="18">
        <v>5670</v>
      </c>
      <c r="C128" s="18">
        <v>0</v>
      </c>
      <c r="D128" s="18">
        <v>0</v>
      </c>
      <c r="E128" s="18">
        <v>0</v>
      </c>
      <c r="F128" s="18">
        <f t="shared" si="8"/>
        <v>0</v>
      </c>
      <c r="G128" s="18">
        <v>0</v>
      </c>
      <c r="H128" s="18">
        <v>0</v>
      </c>
      <c r="I128" s="18">
        <f t="shared" si="9"/>
        <v>0</v>
      </c>
      <c r="J128" s="18">
        <v>0</v>
      </c>
      <c r="K128" s="18">
        <v>0</v>
      </c>
      <c r="L128" s="18">
        <f t="shared" si="10"/>
        <v>0</v>
      </c>
      <c r="M128" s="18">
        <v>0</v>
      </c>
      <c r="N128" s="18">
        <v>0</v>
      </c>
      <c r="O128" s="18">
        <v>0</v>
      </c>
      <c r="P128" s="18">
        <v>0</v>
      </c>
      <c r="Q128" s="18">
        <f t="shared" si="6"/>
        <v>0</v>
      </c>
      <c r="R128">
        <v>0</v>
      </c>
      <c r="S128">
        <v>0</v>
      </c>
      <c r="T128">
        <v>0</v>
      </c>
      <c r="U128">
        <v>0</v>
      </c>
      <c r="V128" s="18">
        <f t="shared" si="7"/>
        <v>0</v>
      </c>
      <c r="W128" s="18">
        <f t="shared" si="11"/>
        <v>0</v>
      </c>
      <c r="X128" s="18">
        <v>0</v>
      </c>
      <c r="Y128" s="18">
        <v>0</v>
      </c>
    </row>
    <row r="129" spans="1:25" x14ac:dyDescent="0.2">
      <c r="A129" s="18">
        <v>5673</v>
      </c>
      <c r="C129" s="18">
        <v>0</v>
      </c>
      <c r="D129" s="18">
        <v>0</v>
      </c>
      <c r="E129" s="18">
        <v>0</v>
      </c>
      <c r="F129" s="18">
        <f t="shared" si="8"/>
        <v>0</v>
      </c>
      <c r="G129" s="18">
        <v>0</v>
      </c>
      <c r="H129" s="18">
        <v>0</v>
      </c>
      <c r="I129" s="18">
        <f t="shared" si="9"/>
        <v>0</v>
      </c>
      <c r="J129" s="18">
        <v>0</v>
      </c>
      <c r="K129" s="18">
        <v>0</v>
      </c>
      <c r="L129" s="18">
        <f t="shared" si="10"/>
        <v>0</v>
      </c>
      <c r="M129" s="18">
        <v>0</v>
      </c>
      <c r="N129" s="18">
        <v>0</v>
      </c>
      <c r="O129" s="18">
        <v>0</v>
      </c>
      <c r="P129" s="18">
        <v>0</v>
      </c>
      <c r="Q129" s="18">
        <f t="shared" si="6"/>
        <v>0</v>
      </c>
      <c r="R129">
        <v>0</v>
      </c>
      <c r="S129">
        <v>0</v>
      </c>
      <c r="T129">
        <v>0</v>
      </c>
      <c r="U129">
        <v>0</v>
      </c>
      <c r="V129" s="18">
        <f t="shared" si="7"/>
        <v>0</v>
      </c>
      <c r="W129" s="18">
        <f t="shared" si="11"/>
        <v>0</v>
      </c>
      <c r="X129" s="18">
        <v>0</v>
      </c>
      <c r="Y129" s="18">
        <v>0</v>
      </c>
    </row>
    <row r="130" spans="1:25" x14ac:dyDescent="0.2">
      <c r="A130" s="18">
        <v>5677</v>
      </c>
      <c r="C130" s="18">
        <v>0</v>
      </c>
      <c r="D130" s="18">
        <v>0</v>
      </c>
      <c r="E130" s="18">
        <v>0</v>
      </c>
      <c r="F130" s="18">
        <f t="shared" si="8"/>
        <v>0</v>
      </c>
      <c r="G130" s="18">
        <v>0</v>
      </c>
      <c r="H130" s="18">
        <v>0</v>
      </c>
      <c r="I130" s="18">
        <f t="shared" si="9"/>
        <v>0</v>
      </c>
      <c r="J130" s="18">
        <v>0</v>
      </c>
      <c r="K130" s="18">
        <v>0</v>
      </c>
      <c r="L130" s="18">
        <f t="shared" si="10"/>
        <v>0</v>
      </c>
      <c r="M130" s="18">
        <v>0</v>
      </c>
      <c r="N130" s="18">
        <v>0</v>
      </c>
      <c r="O130" s="18">
        <v>0</v>
      </c>
      <c r="P130" s="18">
        <v>0</v>
      </c>
      <c r="Q130" s="18">
        <f t="shared" si="6"/>
        <v>0</v>
      </c>
      <c r="R130">
        <v>0</v>
      </c>
      <c r="S130">
        <v>0</v>
      </c>
      <c r="T130">
        <v>0</v>
      </c>
      <c r="U130">
        <v>0</v>
      </c>
      <c r="V130" s="18">
        <f t="shared" si="7"/>
        <v>0</v>
      </c>
      <c r="W130" s="18">
        <f t="shared" si="11"/>
        <v>0</v>
      </c>
      <c r="X130" s="18">
        <v>0</v>
      </c>
      <c r="Y130" s="18">
        <v>0</v>
      </c>
    </row>
    <row r="131" spans="1:25" x14ac:dyDescent="0.2">
      <c r="A131" s="18">
        <v>5678</v>
      </c>
      <c r="C131" s="18">
        <v>0</v>
      </c>
      <c r="D131" s="18">
        <v>0</v>
      </c>
      <c r="E131" s="18">
        <v>0</v>
      </c>
      <c r="F131" s="18">
        <f t="shared" si="8"/>
        <v>0</v>
      </c>
      <c r="G131" s="18">
        <v>0</v>
      </c>
      <c r="H131" s="18">
        <v>0</v>
      </c>
      <c r="I131" s="18">
        <f t="shared" si="9"/>
        <v>0</v>
      </c>
      <c r="J131" s="18">
        <v>0</v>
      </c>
      <c r="K131" s="18">
        <v>0</v>
      </c>
      <c r="L131" s="18">
        <f t="shared" si="10"/>
        <v>0</v>
      </c>
      <c r="M131" s="18">
        <v>0</v>
      </c>
      <c r="N131" s="18">
        <v>0</v>
      </c>
      <c r="O131" s="18">
        <v>0</v>
      </c>
      <c r="P131" s="18">
        <v>0</v>
      </c>
      <c r="Q131" s="18">
        <f t="shared" si="6"/>
        <v>0</v>
      </c>
      <c r="R131">
        <v>0</v>
      </c>
      <c r="S131">
        <v>0</v>
      </c>
      <c r="T131">
        <v>0</v>
      </c>
      <c r="U131">
        <v>0</v>
      </c>
      <c r="V131" s="18">
        <f t="shared" si="7"/>
        <v>0</v>
      </c>
      <c r="W131" s="18">
        <f t="shared" si="11"/>
        <v>0</v>
      </c>
      <c r="X131" s="18">
        <v>0</v>
      </c>
      <c r="Y131" s="18">
        <v>0</v>
      </c>
    </row>
    <row r="132" spans="1:25" x14ac:dyDescent="0.2">
      <c r="A132" s="18">
        <v>5681</v>
      </c>
      <c r="C132" s="18">
        <v>0</v>
      </c>
      <c r="D132" s="18">
        <v>0</v>
      </c>
      <c r="E132" s="18">
        <v>0</v>
      </c>
      <c r="F132" s="18">
        <f t="shared" si="8"/>
        <v>0</v>
      </c>
      <c r="G132" s="18">
        <v>0</v>
      </c>
      <c r="H132" s="18">
        <v>0</v>
      </c>
      <c r="I132" s="18">
        <f t="shared" si="9"/>
        <v>0</v>
      </c>
      <c r="J132" s="18">
        <v>0</v>
      </c>
      <c r="K132" s="18">
        <v>0</v>
      </c>
      <c r="L132" s="18">
        <f t="shared" si="10"/>
        <v>0</v>
      </c>
      <c r="M132" s="18">
        <v>0</v>
      </c>
      <c r="N132" s="18">
        <v>0</v>
      </c>
      <c r="O132" s="18">
        <v>0</v>
      </c>
      <c r="P132" s="18">
        <v>0</v>
      </c>
      <c r="Q132" s="18">
        <f t="shared" ref="Q132:Q195" si="12">SUM(M132:P132)</f>
        <v>0</v>
      </c>
      <c r="R132">
        <v>0</v>
      </c>
      <c r="S132">
        <v>0</v>
      </c>
      <c r="T132">
        <v>0</v>
      </c>
      <c r="U132">
        <v>0</v>
      </c>
      <c r="V132" s="18">
        <f t="shared" ref="V132:V195" si="13">M132+N132</f>
        <v>0</v>
      </c>
      <c r="W132" s="18">
        <f t="shared" si="11"/>
        <v>0</v>
      </c>
      <c r="X132" s="18">
        <v>0</v>
      </c>
      <c r="Y132" s="18">
        <v>0</v>
      </c>
    </row>
    <row r="133" spans="1:25" x14ac:dyDescent="0.2">
      <c r="A133" s="18">
        <v>5683</v>
      </c>
      <c r="C133" s="18">
        <v>0</v>
      </c>
      <c r="D133" s="18">
        <v>0</v>
      </c>
      <c r="E133" s="18">
        <v>0</v>
      </c>
      <c r="F133" s="18">
        <f t="shared" ref="F133:F196" si="14">SUM(D133:E133)</f>
        <v>0</v>
      </c>
      <c r="G133" s="18">
        <v>0</v>
      </c>
      <c r="H133" s="18">
        <v>0</v>
      </c>
      <c r="I133" s="18">
        <f t="shared" ref="I133:I196" si="15">SUM(G133:H133)</f>
        <v>0</v>
      </c>
      <c r="J133" s="18">
        <v>0</v>
      </c>
      <c r="K133" s="18">
        <v>0</v>
      </c>
      <c r="L133" s="18">
        <f t="shared" ref="L133:L196" si="16">SUM(J133:K133)</f>
        <v>0</v>
      </c>
      <c r="M133" s="18">
        <v>0</v>
      </c>
      <c r="N133" s="18">
        <v>0</v>
      </c>
      <c r="O133" s="18">
        <v>0</v>
      </c>
      <c r="P133" s="18">
        <v>0</v>
      </c>
      <c r="Q133" s="18">
        <f t="shared" si="12"/>
        <v>0</v>
      </c>
      <c r="R133">
        <v>0</v>
      </c>
      <c r="S133">
        <v>0</v>
      </c>
      <c r="T133">
        <v>0</v>
      </c>
      <c r="U133">
        <v>0</v>
      </c>
      <c r="V133" s="18">
        <f t="shared" si="13"/>
        <v>0</v>
      </c>
      <c r="W133" s="18">
        <f t="shared" ref="W133:W196" si="17">O133+P133</f>
        <v>0</v>
      </c>
      <c r="X133" s="18">
        <v>0</v>
      </c>
      <c r="Y133" s="18">
        <v>0</v>
      </c>
    </row>
    <row r="134" spans="1:25" x14ac:dyDescent="0.2">
      <c r="A134" s="18">
        <v>5699</v>
      </c>
      <c r="C134" s="18">
        <v>0</v>
      </c>
      <c r="D134" s="18">
        <v>0</v>
      </c>
      <c r="E134" s="18">
        <v>0</v>
      </c>
      <c r="F134" s="18">
        <f t="shared" si="14"/>
        <v>0</v>
      </c>
      <c r="G134" s="18">
        <v>0</v>
      </c>
      <c r="H134" s="18">
        <v>0</v>
      </c>
      <c r="I134" s="18">
        <f t="shared" si="15"/>
        <v>0</v>
      </c>
      <c r="J134" s="18">
        <v>0</v>
      </c>
      <c r="K134" s="18">
        <v>0</v>
      </c>
      <c r="L134" s="18">
        <f t="shared" si="16"/>
        <v>0</v>
      </c>
      <c r="M134" s="18">
        <v>0</v>
      </c>
      <c r="N134" s="18">
        <v>0</v>
      </c>
      <c r="O134" s="18">
        <v>0</v>
      </c>
      <c r="P134" s="18">
        <v>0</v>
      </c>
      <c r="Q134" s="18">
        <f t="shared" si="12"/>
        <v>0</v>
      </c>
      <c r="R134">
        <v>0</v>
      </c>
      <c r="S134">
        <v>0</v>
      </c>
      <c r="T134">
        <v>0</v>
      </c>
      <c r="U134">
        <v>0</v>
      </c>
      <c r="V134" s="18">
        <f t="shared" si="13"/>
        <v>0</v>
      </c>
      <c r="W134" s="18">
        <f t="shared" si="17"/>
        <v>0</v>
      </c>
      <c r="X134" s="18">
        <v>0</v>
      </c>
      <c r="Y134" s="18">
        <v>0</v>
      </c>
    </row>
    <row r="135" spans="1:25" x14ac:dyDescent="0.2">
      <c r="A135" s="18">
        <v>5723</v>
      </c>
      <c r="C135" s="18">
        <v>0</v>
      </c>
      <c r="D135" s="18">
        <v>0</v>
      </c>
      <c r="E135" s="18">
        <v>0</v>
      </c>
      <c r="F135" s="18">
        <f t="shared" si="14"/>
        <v>0</v>
      </c>
      <c r="G135" s="18">
        <v>0</v>
      </c>
      <c r="H135" s="18">
        <v>0</v>
      </c>
      <c r="I135" s="18">
        <f t="shared" si="15"/>
        <v>0</v>
      </c>
      <c r="J135" s="18">
        <v>0</v>
      </c>
      <c r="K135" s="18">
        <v>0</v>
      </c>
      <c r="L135" s="18">
        <f t="shared" si="16"/>
        <v>0</v>
      </c>
      <c r="M135" s="18">
        <v>0</v>
      </c>
      <c r="N135" s="18">
        <v>0</v>
      </c>
      <c r="O135" s="18">
        <v>0</v>
      </c>
      <c r="P135" s="18">
        <v>0</v>
      </c>
      <c r="Q135" s="18">
        <f t="shared" si="12"/>
        <v>0</v>
      </c>
      <c r="R135">
        <v>0</v>
      </c>
      <c r="S135">
        <v>0</v>
      </c>
      <c r="T135">
        <v>0</v>
      </c>
      <c r="U135">
        <v>0</v>
      </c>
      <c r="V135" s="18">
        <f t="shared" si="13"/>
        <v>0</v>
      </c>
      <c r="W135" s="18">
        <f t="shared" si="17"/>
        <v>0</v>
      </c>
      <c r="X135" s="18">
        <v>0</v>
      </c>
      <c r="Y135" s="18">
        <v>0</v>
      </c>
    </row>
    <row r="136" spans="1:25" x14ac:dyDescent="0.2">
      <c r="A136" s="18">
        <v>5721</v>
      </c>
      <c r="C136" s="18">
        <v>0</v>
      </c>
      <c r="D136" s="18">
        <v>0</v>
      </c>
      <c r="E136" s="18">
        <v>0</v>
      </c>
      <c r="F136" s="18">
        <f t="shared" si="14"/>
        <v>0</v>
      </c>
      <c r="G136" s="18">
        <v>0</v>
      </c>
      <c r="H136" s="18">
        <v>0</v>
      </c>
      <c r="I136" s="18">
        <f t="shared" si="15"/>
        <v>0</v>
      </c>
      <c r="J136" s="18">
        <v>0</v>
      </c>
      <c r="K136" s="18">
        <v>0</v>
      </c>
      <c r="L136" s="18">
        <f t="shared" si="16"/>
        <v>0</v>
      </c>
      <c r="M136" s="18">
        <v>0</v>
      </c>
      <c r="N136" s="18">
        <v>0</v>
      </c>
      <c r="O136" s="18">
        <v>0</v>
      </c>
      <c r="P136" s="18">
        <v>0</v>
      </c>
      <c r="Q136" s="18">
        <f t="shared" si="12"/>
        <v>0</v>
      </c>
      <c r="R136">
        <v>0</v>
      </c>
      <c r="S136">
        <v>0</v>
      </c>
      <c r="T136">
        <v>0</v>
      </c>
      <c r="U136">
        <v>0</v>
      </c>
      <c r="V136" s="18">
        <f t="shared" si="13"/>
        <v>0</v>
      </c>
      <c r="W136" s="18">
        <f t="shared" si="17"/>
        <v>0</v>
      </c>
      <c r="X136" s="18">
        <v>0</v>
      </c>
      <c r="Y136" s="18">
        <v>0</v>
      </c>
    </row>
    <row r="137" spans="1:25" x14ac:dyDescent="0.2">
      <c r="A137" s="18">
        <v>5725</v>
      </c>
      <c r="C137" s="18">
        <v>0</v>
      </c>
      <c r="D137" s="18">
        <v>0</v>
      </c>
      <c r="E137" s="18">
        <v>0</v>
      </c>
      <c r="F137" s="18">
        <f t="shared" si="14"/>
        <v>0</v>
      </c>
      <c r="G137" s="18">
        <v>0</v>
      </c>
      <c r="H137" s="18">
        <v>0</v>
      </c>
      <c r="I137" s="18">
        <f t="shared" si="15"/>
        <v>0</v>
      </c>
      <c r="J137" s="18">
        <v>0</v>
      </c>
      <c r="K137" s="18">
        <v>0</v>
      </c>
      <c r="L137" s="18">
        <f t="shared" si="16"/>
        <v>0</v>
      </c>
      <c r="M137" s="18">
        <v>0</v>
      </c>
      <c r="N137" s="18">
        <v>0</v>
      </c>
      <c r="O137" s="18">
        <v>0</v>
      </c>
      <c r="P137" s="18">
        <v>0</v>
      </c>
      <c r="Q137" s="18">
        <f t="shared" si="12"/>
        <v>0</v>
      </c>
      <c r="R137">
        <v>0</v>
      </c>
      <c r="S137">
        <v>0</v>
      </c>
      <c r="T137">
        <v>0</v>
      </c>
      <c r="U137">
        <v>0</v>
      </c>
      <c r="V137" s="18">
        <f t="shared" si="13"/>
        <v>0</v>
      </c>
      <c r="W137" s="18">
        <f t="shared" si="17"/>
        <v>0</v>
      </c>
      <c r="X137" s="18">
        <v>0</v>
      </c>
      <c r="Y137" s="18">
        <v>0</v>
      </c>
    </row>
    <row r="138" spans="1:25" x14ac:dyDescent="0.2">
      <c r="A138" s="18">
        <v>5697</v>
      </c>
      <c r="C138" s="18">
        <v>0</v>
      </c>
      <c r="D138" s="18">
        <v>0</v>
      </c>
      <c r="E138" s="18">
        <v>0</v>
      </c>
      <c r="F138" s="18">
        <f t="shared" si="14"/>
        <v>0</v>
      </c>
      <c r="G138" s="18">
        <v>0</v>
      </c>
      <c r="H138" s="18">
        <v>0</v>
      </c>
      <c r="I138" s="18">
        <f t="shared" si="15"/>
        <v>0</v>
      </c>
      <c r="J138" s="18">
        <v>0</v>
      </c>
      <c r="K138" s="18">
        <v>0</v>
      </c>
      <c r="L138" s="18">
        <f t="shared" si="16"/>
        <v>0</v>
      </c>
      <c r="M138" s="18">
        <v>0</v>
      </c>
      <c r="N138" s="18">
        <v>0</v>
      </c>
      <c r="O138" s="18">
        <v>0</v>
      </c>
      <c r="P138" s="18">
        <v>0</v>
      </c>
      <c r="Q138" s="18">
        <f t="shared" si="12"/>
        <v>0</v>
      </c>
      <c r="R138">
        <v>0</v>
      </c>
      <c r="S138">
        <v>0</v>
      </c>
      <c r="T138">
        <v>0</v>
      </c>
      <c r="U138">
        <v>0</v>
      </c>
      <c r="V138" s="18">
        <f t="shared" si="13"/>
        <v>0</v>
      </c>
      <c r="W138" s="18">
        <f t="shared" si="17"/>
        <v>0</v>
      </c>
      <c r="X138" s="18">
        <v>0</v>
      </c>
      <c r="Y138" s="18">
        <v>0</v>
      </c>
    </row>
    <row r="139" spans="1:25" x14ac:dyDescent="0.2">
      <c r="A139" s="18">
        <v>5730</v>
      </c>
      <c r="C139" s="18">
        <v>0</v>
      </c>
      <c r="D139" s="18">
        <v>0</v>
      </c>
      <c r="E139" s="18">
        <v>0</v>
      </c>
      <c r="F139" s="18">
        <f t="shared" si="14"/>
        <v>0</v>
      </c>
      <c r="G139" s="18">
        <v>0</v>
      </c>
      <c r="H139" s="18">
        <v>0</v>
      </c>
      <c r="I139" s="18">
        <f t="shared" si="15"/>
        <v>0</v>
      </c>
      <c r="J139" s="18">
        <v>0</v>
      </c>
      <c r="K139" s="18">
        <v>0</v>
      </c>
      <c r="L139" s="18">
        <f t="shared" si="16"/>
        <v>0</v>
      </c>
      <c r="M139" s="18">
        <v>0</v>
      </c>
      <c r="N139" s="18">
        <v>0</v>
      </c>
      <c r="O139" s="18">
        <v>0</v>
      </c>
      <c r="P139" s="18">
        <v>0</v>
      </c>
      <c r="Q139" s="18">
        <f t="shared" si="12"/>
        <v>0</v>
      </c>
      <c r="R139">
        <v>0</v>
      </c>
      <c r="S139">
        <v>0</v>
      </c>
      <c r="T139">
        <v>0</v>
      </c>
      <c r="U139">
        <v>0</v>
      </c>
      <c r="V139" s="18">
        <f t="shared" si="13"/>
        <v>0</v>
      </c>
      <c r="W139" s="18">
        <f t="shared" si="17"/>
        <v>0</v>
      </c>
      <c r="X139" s="18">
        <v>0</v>
      </c>
      <c r="Y139" s="18">
        <v>0</v>
      </c>
    </row>
    <row r="140" spans="1:25" x14ac:dyDescent="0.2">
      <c r="A140" s="18">
        <v>5741</v>
      </c>
      <c r="C140" s="18">
        <v>0</v>
      </c>
      <c r="D140" s="18">
        <v>0</v>
      </c>
      <c r="E140" s="18">
        <v>0</v>
      </c>
      <c r="F140" s="18">
        <f t="shared" si="14"/>
        <v>0</v>
      </c>
      <c r="G140" s="18">
        <v>0</v>
      </c>
      <c r="H140" s="18">
        <v>0</v>
      </c>
      <c r="I140" s="18">
        <f t="shared" si="15"/>
        <v>0</v>
      </c>
      <c r="J140" s="18">
        <v>0</v>
      </c>
      <c r="K140" s="18">
        <v>0</v>
      </c>
      <c r="L140" s="18">
        <f t="shared" si="16"/>
        <v>0</v>
      </c>
      <c r="M140" s="18">
        <v>0</v>
      </c>
      <c r="N140" s="18">
        <v>0</v>
      </c>
      <c r="O140" s="18">
        <v>0</v>
      </c>
      <c r="P140" s="18">
        <v>0</v>
      </c>
      <c r="Q140" s="18">
        <f t="shared" si="12"/>
        <v>0</v>
      </c>
      <c r="R140">
        <v>0</v>
      </c>
      <c r="S140">
        <v>0</v>
      </c>
      <c r="T140">
        <v>0</v>
      </c>
      <c r="U140">
        <v>0</v>
      </c>
      <c r="V140" s="18">
        <f t="shared" si="13"/>
        <v>0</v>
      </c>
      <c r="W140" s="18">
        <f t="shared" si="17"/>
        <v>0</v>
      </c>
      <c r="X140" s="18">
        <v>0</v>
      </c>
      <c r="Y140" s="18">
        <v>0</v>
      </c>
    </row>
    <row r="141" spans="1:25" x14ac:dyDescent="0.2">
      <c r="A141" s="18">
        <v>5749</v>
      </c>
      <c r="C141" s="18">
        <v>0</v>
      </c>
      <c r="D141" s="18">
        <v>0</v>
      </c>
      <c r="E141" s="18">
        <v>0</v>
      </c>
      <c r="F141" s="18">
        <f t="shared" si="14"/>
        <v>0</v>
      </c>
      <c r="G141" s="18">
        <v>0</v>
      </c>
      <c r="H141" s="18">
        <v>0</v>
      </c>
      <c r="I141" s="18">
        <f t="shared" si="15"/>
        <v>0</v>
      </c>
      <c r="J141" s="18">
        <v>0</v>
      </c>
      <c r="K141" s="18">
        <v>0</v>
      </c>
      <c r="L141" s="18">
        <f t="shared" si="16"/>
        <v>0</v>
      </c>
      <c r="M141" s="18">
        <v>0</v>
      </c>
      <c r="N141" s="18">
        <v>0</v>
      </c>
      <c r="O141" s="18">
        <v>0</v>
      </c>
      <c r="P141" s="18">
        <v>0</v>
      </c>
      <c r="Q141" s="18">
        <f t="shared" si="12"/>
        <v>0</v>
      </c>
      <c r="R141">
        <v>0</v>
      </c>
      <c r="S141">
        <v>0</v>
      </c>
      <c r="T141">
        <v>0</v>
      </c>
      <c r="U141">
        <v>0</v>
      </c>
      <c r="V141" s="18">
        <f t="shared" si="13"/>
        <v>0</v>
      </c>
      <c r="W141" s="18">
        <f t="shared" si="17"/>
        <v>0</v>
      </c>
      <c r="X141" s="18">
        <v>0</v>
      </c>
      <c r="Y141" s="18">
        <v>0</v>
      </c>
    </row>
    <row r="142" spans="1:25" x14ac:dyDescent="0.2">
      <c r="A142" s="18">
        <v>5751</v>
      </c>
      <c r="C142" s="18">
        <v>0</v>
      </c>
      <c r="D142" s="18">
        <v>0</v>
      </c>
      <c r="E142" s="18">
        <v>0</v>
      </c>
      <c r="F142" s="18">
        <f t="shared" si="14"/>
        <v>0</v>
      </c>
      <c r="G142" s="18">
        <v>0</v>
      </c>
      <c r="H142" s="18">
        <v>0</v>
      </c>
      <c r="I142" s="18">
        <f t="shared" si="15"/>
        <v>0</v>
      </c>
      <c r="J142" s="18">
        <v>0</v>
      </c>
      <c r="K142" s="18">
        <v>0</v>
      </c>
      <c r="L142" s="18">
        <f t="shared" si="16"/>
        <v>0</v>
      </c>
      <c r="M142" s="18">
        <v>0</v>
      </c>
      <c r="N142" s="18">
        <v>0</v>
      </c>
      <c r="O142" s="18">
        <v>0</v>
      </c>
      <c r="P142" s="18">
        <v>0</v>
      </c>
      <c r="Q142" s="18">
        <f t="shared" si="12"/>
        <v>0</v>
      </c>
      <c r="R142">
        <v>0</v>
      </c>
      <c r="S142">
        <v>0</v>
      </c>
      <c r="T142">
        <v>0</v>
      </c>
      <c r="U142">
        <v>0</v>
      </c>
      <c r="V142" s="18">
        <f t="shared" si="13"/>
        <v>0</v>
      </c>
      <c r="W142" s="18">
        <f t="shared" si="17"/>
        <v>0</v>
      </c>
      <c r="X142" s="18">
        <v>0</v>
      </c>
      <c r="Y142" s="18">
        <v>0</v>
      </c>
    </row>
    <row r="143" spans="1:25" x14ac:dyDescent="0.2">
      <c r="A143" s="18">
        <v>5758</v>
      </c>
      <c r="C143" s="18">
        <v>0</v>
      </c>
      <c r="D143" s="18">
        <v>0</v>
      </c>
      <c r="E143" s="18">
        <v>0</v>
      </c>
      <c r="F143" s="18">
        <f t="shared" si="14"/>
        <v>0</v>
      </c>
      <c r="G143" s="18">
        <v>0</v>
      </c>
      <c r="H143" s="18">
        <v>0</v>
      </c>
      <c r="I143" s="18">
        <f t="shared" si="15"/>
        <v>0</v>
      </c>
      <c r="J143" s="18">
        <v>0</v>
      </c>
      <c r="K143" s="18">
        <v>0</v>
      </c>
      <c r="L143" s="18">
        <f t="shared" si="16"/>
        <v>0</v>
      </c>
      <c r="M143" s="18">
        <v>0</v>
      </c>
      <c r="N143" s="18">
        <v>0</v>
      </c>
      <c r="O143" s="18">
        <v>0</v>
      </c>
      <c r="P143" s="18">
        <v>0</v>
      </c>
      <c r="Q143" s="18">
        <f t="shared" si="12"/>
        <v>0</v>
      </c>
      <c r="R143">
        <v>0</v>
      </c>
      <c r="S143">
        <v>0</v>
      </c>
      <c r="T143">
        <v>0</v>
      </c>
      <c r="U143">
        <v>0</v>
      </c>
      <c r="V143" s="18">
        <f t="shared" si="13"/>
        <v>0</v>
      </c>
      <c r="W143" s="18">
        <f t="shared" si="17"/>
        <v>0</v>
      </c>
      <c r="X143" s="18">
        <v>0</v>
      </c>
      <c r="Y143" s="18">
        <v>0</v>
      </c>
    </row>
    <row r="144" spans="1:25" x14ac:dyDescent="0.2">
      <c r="A144" s="18">
        <v>5759</v>
      </c>
      <c r="C144" s="18">
        <v>0</v>
      </c>
      <c r="D144" s="18">
        <v>0</v>
      </c>
      <c r="E144" s="18">
        <v>0</v>
      </c>
      <c r="F144" s="18">
        <f t="shared" si="14"/>
        <v>0</v>
      </c>
      <c r="G144" s="18">
        <v>0</v>
      </c>
      <c r="H144" s="18">
        <v>0</v>
      </c>
      <c r="I144" s="18">
        <f t="shared" si="15"/>
        <v>0</v>
      </c>
      <c r="J144" s="18">
        <v>0</v>
      </c>
      <c r="K144" s="18">
        <v>0</v>
      </c>
      <c r="L144" s="18">
        <f t="shared" si="16"/>
        <v>0</v>
      </c>
      <c r="M144" s="18">
        <v>0</v>
      </c>
      <c r="N144" s="18">
        <v>0</v>
      </c>
      <c r="O144" s="18">
        <v>0</v>
      </c>
      <c r="P144" s="18">
        <v>0</v>
      </c>
      <c r="Q144" s="18">
        <f t="shared" si="12"/>
        <v>0</v>
      </c>
      <c r="R144">
        <v>0</v>
      </c>
      <c r="S144">
        <v>0</v>
      </c>
      <c r="T144">
        <v>0</v>
      </c>
      <c r="U144">
        <v>0</v>
      </c>
      <c r="V144" s="18">
        <f t="shared" si="13"/>
        <v>0</v>
      </c>
      <c r="W144" s="18">
        <f t="shared" si="17"/>
        <v>0</v>
      </c>
      <c r="X144" s="18">
        <v>0</v>
      </c>
      <c r="Y144" s="18">
        <v>0</v>
      </c>
    </row>
    <row r="145" spans="1:25" x14ac:dyDescent="0.2">
      <c r="A145" s="18">
        <v>5757</v>
      </c>
      <c r="C145" s="18">
        <v>0</v>
      </c>
      <c r="D145" s="18">
        <v>0</v>
      </c>
      <c r="E145" s="18">
        <v>0</v>
      </c>
      <c r="F145" s="18">
        <f t="shared" si="14"/>
        <v>0</v>
      </c>
      <c r="G145" s="18">
        <v>0</v>
      </c>
      <c r="H145" s="18">
        <v>0</v>
      </c>
      <c r="I145" s="18">
        <f t="shared" si="15"/>
        <v>0</v>
      </c>
      <c r="J145" s="18">
        <v>0</v>
      </c>
      <c r="K145" s="18">
        <v>0</v>
      </c>
      <c r="L145" s="18">
        <f t="shared" si="16"/>
        <v>0</v>
      </c>
      <c r="M145" s="18">
        <v>0</v>
      </c>
      <c r="N145" s="18">
        <v>0</v>
      </c>
      <c r="O145" s="18">
        <v>0</v>
      </c>
      <c r="P145" s="18">
        <v>0</v>
      </c>
      <c r="Q145" s="18">
        <f t="shared" si="12"/>
        <v>0</v>
      </c>
      <c r="R145">
        <v>0</v>
      </c>
      <c r="S145">
        <v>0</v>
      </c>
      <c r="T145">
        <v>0</v>
      </c>
      <c r="U145">
        <v>0</v>
      </c>
      <c r="V145" s="18">
        <f t="shared" si="13"/>
        <v>0</v>
      </c>
      <c r="W145" s="18">
        <f t="shared" si="17"/>
        <v>0</v>
      </c>
      <c r="X145" s="18">
        <v>0</v>
      </c>
      <c r="Y145" s="18">
        <v>0</v>
      </c>
    </row>
    <row r="146" spans="1:25" x14ac:dyDescent="0.2">
      <c r="A146" s="18">
        <v>5492</v>
      </c>
      <c r="C146" s="18">
        <v>0</v>
      </c>
      <c r="D146" s="18">
        <v>0</v>
      </c>
      <c r="E146" s="18">
        <v>0</v>
      </c>
      <c r="F146" s="18">
        <f t="shared" si="14"/>
        <v>0</v>
      </c>
      <c r="G146" s="18">
        <v>0</v>
      </c>
      <c r="H146" s="18">
        <v>0</v>
      </c>
      <c r="I146" s="18">
        <f t="shared" si="15"/>
        <v>0</v>
      </c>
      <c r="J146" s="18">
        <v>0</v>
      </c>
      <c r="K146" s="18">
        <v>0</v>
      </c>
      <c r="L146" s="18">
        <f t="shared" si="16"/>
        <v>0</v>
      </c>
      <c r="M146" s="18">
        <v>0</v>
      </c>
      <c r="N146" s="18">
        <v>0</v>
      </c>
      <c r="O146" s="18">
        <v>0</v>
      </c>
      <c r="P146" s="18">
        <v>0</v>
      </c>
      <c r="Q146" s="18">
        <f t="shared" si="12"/>
        <v>0</v>
      </c>
      <c r="R146">
        <v>0</v>
      </c>
      <c r="S146">
        <v>0</v>
      </c>
      <c r="T146">
        <v>0</v>
      </c>
      <c r="U146">
        <v>0</v>
      </c>
      <c r="V146" s="18">
        <f t="shared" si="13"/>
        <v>0</v>
      </c>
      <c r="W146" s="18">
        <f t="shared" si="17"/>
        <v>0</v>
      </c>
      <c r="X146" s="18">
        <v>0</v>
      </c>
      <c r="Y146" s="18">
        <v>0</v>
      </c>
    </row>
    <row r="147" spans="1:25" x14ac:dyDescent="0.2">
      <c r="A147" s="18">
        <v>5770</v>
      </c>
      <c r="C147" s="18">
        <v>0</v>
      </c>
      <c r="D147" s="18">
        <v>0</v>
      </c>
      <c r="E147" s="18">
        <v>0</v>
      </c>
      <c r="F147" s="18">
        <f t="shared" si="14"/>
        <v>0</v>
      </c>
      <c r="G147" s="18">
        <v>0</v>
      </c>
      <c r="H147" s="18">
        <v>0</v>
      </c>
      <c r="I147" s="18">
        <f t="shared" si="15"/>
        <v>0</v>
      </c>
      <c r="J147" s="18">
        <v>0</v>
      </c>
      <c r="K147" s="18">
        <v>0</v>
      </c>
      <c r="L147" s="18">
        <f t="shared" si="16"/>
        <v>0</v>
      </c>
      <c r="M147" s="18">
        <v>0</v>
      </c>
      <c r="N147" s="18">
        <v>0</v>
      </c>
      <c r="O147" s="18">
        <v>0</v>
      </c>
      <c r="P147" s="18">
        <v>0</v>
      </c>
      <c r="Q147" s="18">
        <f t="shared" si="12"/>
        <v>0</v>
      </c>
      <c r="R147">
        <v>0</v>
      </c>
      <c r="S147">
        <v>0</v>
      </c>
      <c r="T147">
        <v>0</v>
      </c>
      <c r="U147">
        <v>0</v>
      </c>
      <c r="V147" s="18">
        <f t="shared" si="13"/>
        <v>0</v>
      </c>
      <c r="W147" s="18">
        <f t="shared" si="17"/>
        <v>0</v>
      </c>
      <c r="X147" s="18">
        <v>0</v>
      </c>
      <c r="Y147" s="18">
        <v>0</v>
      </c>
    </row>
    <row r="148" spans="1:25" x14ac:dyDescent="0.2">
      <c r="A148" s="18">
        <v>5785</v>
      </c>
      <c r="C148" s="18">
        <v>0</v>
      </c>
      <c r="D148" s="18">
        <v>0</v>
      </c>
      <c r="E148" s="18">
        <v>0</v>
      </c>
      <c r="F148" s="18">
        <f t="shared" si="14"/>
        <v>0</v>
      </c>
      <c r="G148" s="18">
        <v>0</v>
      </c>
      <c r="H148" s="18">
        <v>0</v>
      </c>
      <c r="I148" s="18">
        <f t="shared" si="15"/>
        <v>0</v>
      </c>
      <c r="J148" s="18">
        <v>0</v>
      </c>
      <c r="K148" s="18">
        <v>0</v>
      </c>
      <c r="L148" s="18">
        <f t="shared" si="16"/>
        <v>0</v>
      </c>
      <c r="M148" s="18">
        <v>0</v>
      </c>
      <c r="N148" s="18">
        <v>0</v>
      </c>
      <c r="O148" s="18">
        <v>0</v>
      </c>
      <c r="P148" s="18">
        <v>0</v>
      </c>
      <c r="Q148" s="18">
        <f t="shared" si="12"/>
        <v>0</v>
      </c>
      <c r="R148">
        <v>0</v>
      </c>
      <c r="S148">
        <v>0</v>
      </c>
      <c r="T148">
        <v>0</v>
      </c>
      <c r="U148">
        <v>0</v>
      </c>
      <c r="V148" s="18">
        <f t="shared" si="13"/>
        <v>0</v>
      </c>
      <c r="W148" s="18">
        <f t="shared" si="17"/>
        <v>0</v>
      </c>
      <c r="X148" s="18">
        <v>0</v>
      </c>
      <c r="Y148" s="18">
        <v>0</v>
      </c>
    </row>
    <row r="149" spans="1:25" x14ac:dyDescent="0.2">
      <c r="A149" s="18">
        <v>5761</v>
      </c>
      <c r="C149" s="18">
        <v>0</v>
      </c>
      <c r="D149" s="18">
        <v>0</v>
      </c>
      <c r="E149" s="18">
        <v>0</v>
      </c>
      <c r="F149" s="18">
        <f t="shared" si="14"/>
        <v>0</v>
      </c>
      <c r="G149" s="18">
        <v>0</v>
      </c>
      <c r="H149" s="18">
        <v>0</v>
      </c>
      <c r="I149" s="18">
        <f t="shared" si="15"/>
        <v>0</v>
      </c>
      <c r="J149" s="18">
        <v>0</v>
      </c>
      <c r="K149" s="18">
        <v>0</v>
      </c>
      <c r="L149" s="18">
        <f t="shared" si="16"/>
        <v>0</v>
      </c>
      <c r="M149" s="18">
        <v>0</v>
      </c>
      <c r="N149" s="18">
        <v>0</v>
      </c>
      <c r="O149" s="18">
        <v>0</v>
      </c>
      <c r="P149" s="18">
        <v>0</v>
      </c>
      <c r="Q149" s="18">
        <f t="shared" si="12"/>
        <v>0</v>
      </c>
      <c r="R149">
        <v>0</v>
      </c>
      <c r="S149">
        <v>0</v>
      </c>
      <c r="T149">
        <v>0</v>
      </c>
      <c r="U149">
        <v>0</v>
      </c>
      <c r="V149" s="18">
        <f t="shared" si="13"/>
        <v>0</v>
      </c>
      <c r="W149" s="18">
        <f t="shared" si="17"/>
        <v>0</v>
      </c>
      <c r="X149" s="18">
        <v>0</v>
      </c>
      <c r="Y149" s="18">
        <v>0</v>
      </c>
    </row>
    <row r="150" spans="1:25" x14ac:dyDescent="0.2">
      <c r="A150" s="18">
        <v>5805</v>
      </c>
      <c r="C150" s="18">
        <v>0</v>
      </c>
      <c r="D150" s="18">
        <v>0</v>
      </c>
      <c r="E150" s="18">
        <v>0</v>
      </c>
      <c r="F150" s="18">
        <f t="shared" si="14"/>
        <v>0</v>
      </c>
      <c r="G150" s="18">
        <v>0</v>
      </c>
      <c r="H150" s="18">
        <v>0</v>
      </c>
      <c r="I150" s="18">
        <f t="shared" si="15"/>
        <v>0</v>
      </c>
      <c r="J150" s="18">
        <v>0</v>
      </c>
      <c r="K150" s="18">
        <v>0</v>
      </c>
      <c r="L150" s="18">
        <f t="shared" si="16"/>
        <v>0</v>
      </c>
      <c r="M150" s="18">
        <v>0</v>
      </c>
      <c r="N150" s="18">
        <v>0</v>
      </c>
      <c r="O150" s="18">
        <v>0</v>
      </c>
      <c r="P150" s="18">
        <v>0</v>
      </c>
      <c r="Q150" s="18">
        <f t="shared" si="12"/>
        <v>0</v>
      </c>
      <c r="R150">
        <v>0</v>
      </c>
      <c r="S150">
        <v>0</v>
      </c>
      <c r="T150">
        <v>0</v>
      </c>
      <c r="U150">
        <v>0</v>
      </c>
      <c r="V150" s="18">
        <f t="shared" si="13"/>
        <v>0</v>
      </c>
      <c r="W150" s="18">
        <f t="shared" si="17"/>
        <v>0</v>
      </c>
      <c r="X150" s="18">
        <v>0</v>
      </c>
      <c r="Y150" s="18">
        <v>0</v>
      </c>
    </row>
    <row r="151" spans="1:25" x14ac:dyDescent="0.2">
      <c r="A151" s="18">
        <v>5803</v>
      </c>
      <c r="C151" s="18">
        <v>0</v>
      </c>
      <c r="D151" s="18">
        <v>0</v>
      </c>
      <c r="E151" s="18">
        <v>0</v>
      </c>
      <c r="F151" s="18">
        <f t="shared" si="14"/>
        <v>0</v>
      </c>
      <c r="G151" s="18">
        <v>0</v>
      </c>
      <c r="H151" s="18">
        <v>0</v>
      </c>
      <c r="I151" s="18">
        <f t="shared" si="15"/>
        <v>0</v>
      </c>
      <c r="J151" s="18">
        <v>0</v>
      </c>
      <c r="K151" s="18">
        <v>0</v>
      </c>
      <c r="L151" s="18">
        <f t="shared" si="16"/>
        <v>0</v>
      </c>
      <c r="M151" s="18">
        <v>0</v>
      </c>
      <c r="N151" s="18">
        <v>0</v>
      </c>
      <c r="O151" s="18">
        <v>0</v>
      </c>
      <c r="P151" s="18">
        <v>0</v>
      </c>
      <c r="Q151" s="18">
        <f t="shared" si="12"/>
        <v>0</v>
      </c>
      <c r="R151">
        <v>0</v>
      </c>
      <c r="S151">
        <v>0</v>
      </c>
      <c r="T151">
        <v>0</v>
      </c>
      <c r="U151">
        <v>0</v>
      </c>
      <c r="V151" s="18">
        <f t="shared" si="13"/>
        <v>0</v>
      </c>
      <c r="W151" s="18">
        <f t="shared" si="17"/>
        <v>0</v>
      </c>
      <c r="X151" s="18">
        <v>0</v>
      </c>
      <c r="Y151" s="18">
        <v>0</v>
      </c>
    </row>
    <row r="152" spans="1:25" x14ac:dyDescent="0.2">
      <c r="A152" s="18">
        <v>5804</v>
      </c>
      <c r="C152" s="18">
        <v>0</v>
      </c>
      <c r="D152" s="18">
        <v>0</v>
      </c>
      <c r="E152" s="18">
        <v>0</v>
      </c>
      <c r="F152" s="18">
        <f t="shared" si="14"/>
        <v>0</v>
      </c>
      <c r="G152" s="18">
        <v>0</v>
      </c>
      <c r="H152" s="18">
        <v>0</v>
      </c>
      <c r="I152" s="18">
        <f t="shared" si="15"/>
        <v>0</v>
      </c>
      <c r="J152" s="18">
        <v>0</v>
      </c>
      <c r="K152" s="18">
        <v>0</v>
      </c>
      <c r="L152" s="18">
        <f t="shared" si="16"/>
        <v>0</v>
      </c>
      <c r="M152" s="18">
        <v>0</v>
      </c>
      <c r="N152" s="18">
        <v>0</v>
      </c>
      <c r="O152" s="18">
        <v>0</v>
      </c>
      <c r="P152" s="18">
        <v>0</v>
      </c>
      <c r="Q152" s="18">
        <f t="shared" si="12"/>
        <v>0</v>
      </c>
      <c r="R152">
        <v>0</v>
      </c>
      <c r="S152">
        <v>0</v>
      </c>
      <c r="T152">
        <v>0</v>
      </c>
      <c r="U152">
        <v>0</v>
      </c>
      <c r="V152" s="18">
        <f t="shared" si="13"/>
        <v>0</v>
      </c>
      <c r="W152" s="18">
        <f t="shared" si="17"/>
        <v>0</v>
      </c>
      <c r="X152" s="18">
        <v>0</v>
      </c>
      <c r="Y152" s="18">
        <v>0</v>
      </c>
    </row>
    <row r="153" spans="1:25" x14ac:dyDescent="0.2">
      <c r="A153" s="18">
        <v>5620</v>
      </c>
      <c r="C153" s="18">
        <v>0</v>
      </c>
      <c r="D153" s="18">
        <v>0</v>
      </c>
      <c r="E153" s="18">
        <v>0</v>
      </c>
      <c r="F153" s="18">
        <f t="shared" si="14"/>
        <v>0</v>
      </c>
      <c r="G153" s="18">
        <v>0</v>
      </c>
      <c r="H153" s="18">
        <v>0</v>
      </c>
      <c r="I153" s="18">
        <f t="shared" si="15"/>
        <v>0</v>
      </c>
      <c r="J153" s="18">
        <v>0</v>
      </c>
      <c r="K153" s="18">
        <v>0</v>
      </c>
      <c r="L153" s="18">
        <f t="shared" si="16"/>
        <v>0</v>
      </c>
      <c r="M153" s="18">
        <v>0</v>
      </c>
      <c r="N153" s="18">
        <v>0</v>
      </c>
      <c r="O153" s="18">
        <v>0</v>
      </c>
      <c r="P153" s="18">
        <v>0</v>
      </c>
      <c r="Q153" s="18">
        <f t="shared" si="12"/>
        <v>0</v>
      </c>
      <c r="R153">
        <v>0</v>
      </c>
      <c r="S153">
        <v>0</v>
      </c>
      <c r="T153">
        <v>0</v>
      </c>
      <c r="U153">
        <v>0</v>
      </c>
      <c r="V153" s="18">
        <f t="shared" si="13"/>
        <v>0</v>
      </c>
      <c r="W153" s="18">
        <f t="shared" si="17"/>
        <v>0</v>
      </c>
      <c r="X153" s="18">
        <v>0</v>
      </c>
      <c r="Y153" s="18">
        <v>0</v>
      </c>
    </row>
    <row r="154" spans="1:25" x14ac:dyDescent="0.2">
      <c r="A154" s="18">
        <v>5827</v>
      </c>
      <c r="C154" s="18">
        <v>0</v>
      </c>
      <c r="D154" s="18">
        <v>0</v>
      </c>
      <c r="E154" s="18">
        <v>0</v>
      </c>
      <c r="F154" s="18">
        <f t="shared" si="14"/>
        <v>0</v>
      </c>
      <c r="G154" s="18">
        <v>0</v>
      </c>
      <c r="H154" s="18">
        <v>0</v>
      </c>
      <c r="I154" s="18">
        <f t="shared" si="15"/>
        <v>0</v>
      </c>
      <c r="J154" s="18">
        <v>0</v>
      </c>
      <c r="K154" s="18">
        <v>0</v>
      </c>
      <c r="L154" s="18">
        <f t="shared" si="16"/>
        <v>0</v>
      </c>
      <c r="M154" s="18">
        <v>0</v>
      </c>
      <c r="N154" s="18">
        <v>0</v>
      </c>
      <c r="O154" s="18">
        <v>0</v>
      </c>
      <c r="P154" s="18">
        <v>0</v>
      </c>
      <c r="Q154" s="18">
        <f t="shared" si="12"/>
        <v>0</v>
      </c>
      <c r="R154">
        <v>0</v>
      </c>
      <c r="S154">
        <v>0</v>
      </c>
      <c r="T154">
        <v>0</v>
      </c>
      <c r="U154">
        <v>0</v>
      </c>
      <c r="V154" s="18">
        <f t="shared" si="13"/>
        <v>0</v>
      </c>
      <c r="W154" s="18">
        <f t="shared" si="17"/>
        <v>0</v>
      </c>
      <c r="X154" s="18">
        <v>0</v>
      </c>
      <c r="Y154" s="18">
        <v>0</v>
      </c>
    </row>
    <row r="155" spans="1:25" x14ac:dyDescent="0.2">
      <c r="A155" s="18">
        <v>5836</v>
      </c>
      <c r="C155" s="18">
        <v>0</v>
      </c>
      <c r="D155" s="18">
        <v>0</v>
      </c>
      <c r="E155" s="18">
        <v>0</v>
      </c>
      <c r="F155" s="18">
        <f t="shared" si="14"/>
        <v>0</v>
      </c>
      <c r="G155" s="18">
        <v>0</v>
      </c>
      <c r="H155" s="18">
        <v>0</v>
      </c>
      <c r="I155" s="18">
        <f t="shared" si="15"/>
        <v>0</v>
      </c>
      <c r="J155" s="18">
        <v>0</v>
      </c>
      <c r="K155" s="18">
        <v>0</v>
      </c>
      <c r="L155" s="18">
        <f t="shared" si="16"/>
        <v>0</v>
      </c>
      <c r="M155" s="18">
        <v>0</v>
      </c>
      <c r="N155" s="18">
        <v>0</v>
      </c>
      <c r="O155" s="18">
        <v>0</v>
      </c>
      <c r="P155" s="18">
        <v>0</v>
      </c>
      <c r="Q155" s="18">
        <f t="shared" si="12"/>
        <v>0</v>
      </c>
      <c r="R155">
        <v>0</v>
      </c>
      <c r="S155">
        <v>0</v>
      </c>
      <c r="T155">
        <v>0</v>
      </c>
      <c r="U155">
        <v>0</v>
      </c>
      <c r="V155" s="18">
        <f t="shared" si="13"/>
        <v>0</v>
      </c>
      <c r="W155" s="18">
        <f t="shared" si="17"/>
        <v>0</v>
      </c>
      <c r="X155" s="18">
        <v>0</v>
      </c>
      <c r="Y155" s="18">
        <v>0</v>
      </c>
    </row>
    <row r="156" spans="1:25" x14ac:dyDescent="0.2">
      <c r="A156" s="18">
        <v>5839</v>
      </c>
      <c r="C156" s="18">
        <v>0</v>
      </c>
      <c r="D156" s="18">
        <v>0</v>
      </c>
      <c r="E156" s="18">
        <v>0</v>
      </c>
      <c r="F156" s="18">
        <f t="shared" si="14"/>
        <v>0</v>
      </c>
      <c r="G156" s="18">
        <v>0</v>
      </c>
      <c r="H156" s="18">
        <v>0</v>
      </c>
      <c r="I156" s="18">
        <f t="shared" si="15"/>
        <v>0</v>
      </c>
      <c r="J156" s="18">
        <v>0</v>
      </c>
      <c r="K156" s="18">
        <v>0</v>
      </c>
      <c r="L156" s="18">
        <f t="shared" si="16"/>
        <v>0</v>
      </c>
      <c r="M156" s="18">
        <v>0</v>
      </c>
      <c r="N156" s="18">
        <v>0</v>
      </c>
      <c r="O156" s="18">
        <v>0</v>
      </c>
      <c r="P156" s="18">
        <v>0</v>
      </c>
      <c r="Q156" s="18">
        <f t="shared" si="12"/>
        <v>0</v>
      </c>
      <c r="R156">
        <v>0</v>
      </c>
      <c r="S156">
        <v>0</v>
      </c>
      <c r="T156">
        <v>0</v>
      </c>
      <c r="U156">
        <v>0</v>
      </c>
      <c r="V156" s="18">
        <f t="shared" si="13"/>
        <v>0</v>
      </c>
      <c r="W156" s="18">
        <f t="shared" si="17"/>
        <v>0</v>
      </c>
      <c r="X156" s="18">
        <v>0</v>
      </c>
      <c r="Y156" s="18">
        <v>0</v>
      </c>
    </row>
    <row r="157" spans="1:25" x14ac:dyDescent="0.2">
      <c r="A157" s="18">
        <v>5840</v>
      </c>
      <c r="C157" s="18">
        <v>0</v>
      </c>
      <c r="D157" s="18">
        <v>0</v>
      </c>
      <c r="E157" s="18">
        <v>0</v>
      </c>
      <c r="F157" s="18">
        <f t="shared" si="14"/>
        <v>0</v>
      </c>
      <c r="G157" s="18">
        <v>0</v>
      </c>
      <c r="H157" s="18">
        <v>0</v>
      </c>
      <c r="I157" s="18">
        <f t="shared" si="15"/>
        <v>0</v>
      </c>
      <c r="J157" s="18">
        <v>0</v>
      </c>
      <c r="K157" s="18">
        <v>0</v>
      </c>
      <c r="L157" s="18">
        <f t="shared" si="16"/>
        <v>0</v>
      </c>
      <c r="M157" s="18">
        <v>0</v>
      </c>
      <c r="N157" s="18">
        <v>0</v>
      </c>
      <c r="O157" s="18">
        <v>0</v>
      </c>
      <c r="P157" s="18">
        <v>0</v>
      </c>
      <c r="Q157" s="18">
        <f t="shared" si="12"/>
        <v>0</v>
      </c>
      <c r="R157">
        <v>0</v>
      </c>
      <c r="S157">
        <v>0</v>
      </c>
      <c r="T157">
        <v>0</v>
      </c>
      <c r="U157">
        <v>0</v>
      </c>
      <c r="V157" s="18">
        <f t="shared" si="13"/>
        <v>0</v>
      </c>
      <c r="W157" s="18">
        <f t="shared" si="17"/>
        <v>0</v>
      </c>
      <c r="X157" s="18">
        <v>0</v>
      </c>
      <c r="Y157" s="18">
        <v>0</v>
      </c>
    </row>
    <row r="158" spans="1:25" x14ac:dyDescent="0.2">
      <c r="A158" s="18">
        <v>5406</v>
      </c>
      <c r="C158" s="18">
        <v>0</v>
      </c>
      <c r="D158" s="18">
        <v>0</v>
      </c>
      <c r="E158" s="18">
        <v>0</v>
      </c>
      <c r="F158" s="18">
        <f t="shared" si="14"/>
        <v>0</v>
      </c>
      <c r="G158" s="18">
        <v>0</v>
      </c>
      <c r="H158" s="18">
        <v>0</v>
      </c>
      <c r="I158" s="18">
        <f t="shared" si="15"/>
        <v>0</v>
      </c>
      <c r="J158" s="18">
        <v>0</v>
      </c>
      <c r="K158" s="18">
        <v>0</v>
      </c>
      <c r="L158" s="18">
        <f t="shared" si="16"/>
        <v>0</v>
      </c>
      <c r="M158" s="18">
        <v>0</v>
      </c>
      <c r="N158" s="18">
        <v>0</v>
      </c>
      <c r="O158" s="18">
        <v>0</v>
      </c>
      <c r="P158" s="18">
        <v>0</v>
      </c>
      <c r="Q158" s="18">
        <f t="shared" si="12"/>
        <v>0</v>
      </c>
      <c r="R158">
        <v>0</v>
      </c>
      <c r="S158">
        <v>0</v>
      </c>
      <c r="T158">
        <v>0</v>
      </c>
      <c r="U158">
        <v>0</v>
      </c>
      <c r="V158" s="18">
        <f t="shared" si="13"/>
        <v>0</v>
      </c>
      <c r="W158" s="18">
        <f t="shared" si="17"/>
        <v>0</v>
      </c>
      <c r="X158" s="18">
        <v>0</v>
      </c>
      <c r="Y158" s="18">
        <v>0</v>
      </c>
    </row>
    <row r="159" spans="1:25" x14ac:dyDescent="0.2">
      <c r="A159" s="18">
        <v>5842</v>
      </c>
      <c r="C159" s="18">
        <v>0</v>
      </c>
      <c r="D159" s="18">
        <v>0</v>
      </c>
      <c r="E159" s="18">
        <v>0</v>
      </c>
      <c r="F159" s="18">
        <f t="shared" si="14"/>
        <v>0</v>
      </c>
      <c r="G159" s="18">
        <v>0</v>
      </c>
      <c r="H159" s="18">
        <v>0</v>
      </c>
      <c r="I159" s="18">
        <f t="shared" si="15"/>
        <v>0</v>
      </c>
      <c r="J159" s="18">
        <v>0</v>
      </c>
      <c r="K159" s="18">
        <v>0</v>
      </c>
      <c r="L159" s="18">
        <f t="shared" si="16"/>
        <v>0</v>
      </c>
      <c r="M159" s="18">
        <v>0</v>
      </c>
      <c r="N159" s="18">
        <v>0</v>
      </c>
      <c r="O159" s="18">
        <v>0</v>
      </c>
      <c r="P159" s="18">
        <v>0</v>
      </c>
      <c r="Q159" s="18">
        <f t="shared" si="12"/>
        <v>0</v>
      </c>
      <c r="R159">
        <v>0</v>
      </c>
      <c r="S159">
        <v>0</v>
      </c>
      <c r="T159">
        <v>0</v>
      </c>
      <c r="U159">
        <v>0</v>
      </c>
      <c r="V159" s="18">
        <f t="shared" si="13"/>
        <v>0</v>
      </c>
      <c r="W159" s="18">
        <f t="shared" si="17"/>
        <v>0</v>
      </c>
      <c r="X159" s="18">
        <v>0</v>
      </c>
      <c r="Y159" s="18">
        <v>0</v>
      </c>
    </row>
    <row r="160" spans="1:25" x14ac:dyDescent="0.2">
      <c r="A160" s="18">
        <v>5844</v>
      </c>
      <c r="C160" s="18">
        <v>0</v>
      </c>
      <c r="D160" s="18">
        <v>0</v>
      </c>
      <c r="E160" s="18">
        <v>0</v>
      </c>
      <c r="F160" s="18">
        <f t="shared" si="14"/>
        <v>0</v>
      </c>
      <c r="G160" s="18">
        <v>0</v>
      </c>
      <c r="H160" s="18">
        <v>0</v>
      </c>
      <c r="I160" s="18">
        <f t="shared" si="15"/>
        <v>0</v>
      </c>
      <c r="J160" s="18">
        <v>0</v>
      </c>
      <c r="K160" s="18">
        <v>0</v>
      </c>
      <c r="L160" s="18">
        <f t="shared" si="16"/>
        <v>0</v>
      </c>
      <c r="M160" s="18">
        <v>0</v>
      </c>
      <c r="N160" s="18">
        <v>0</v>
      </c>
      <c r="O160" s="18">
        <v>0</v>
      </c>
      <c r="P160" s="18">
        <v>0</v>
      </c>
      <c r="Q160" s="18">
        <f t="shared" si="12"/>
        <v>0</v>
      </c>
      <c r="R160">
        <v>0</v>
      </c>
      <c r="S160">
        <v>0</v>
      </c>
      <c r="T160">
        <v>0</v>
      </c>
      <c r="U160">
        <v>0</v>
      </c>
      <c r="V160" s="18">
        <f t="shared" si="13"/>
        <v>0</v>
      </c>
      <c r="W160" s="18">
        <f t="shared" si="17"/>
        <v>0</v>
      </c>
      <c r="X160" s="18">
        <v>0</v>
      </c>
      <c r="Y160" s="18">
        <v>0</v>
      </c>
    </row>
    <row r="161" spans="1:25" x14ac:dyDescent="0.2">
      <c r="A161" s="18">
        <v>5845</v>
      </c>
      <c r="C161" s="18">
        <v>0</v>
      </c>
      <c r="D161" s="18">
        <v>0</v>
      </c>
      <c r="E161" s="18">
        <v>0</v>
      </c>
      <c r="F161" s="18">
        <f t="shared" si="14"/>
        <v>0</v>
      </c>
      <c r="G161" s="18">
        <v>0</v>
      </c>
      <c r="H161" s="18">
        <v>0</v>
      </c>
      <c r="I161" s="18">
        <f t="shared" si="15"/>
        <v>0</v>
      </c>
      <c r="J161" s="18">
        <v>0</v>
      </c>
      <c r="K161" s="18">
        <v>0</v>
      </c>
      <c r="L161" s="18">
        <f t="shared" si="16"/>
        <v>0</v>
      </c>
      <c r="M161" s="18">
        <v>0</v>
      </c>
      <c r="N161" s="18">
        <v>0</v>
      </c>
      <c r="O161" s="18">
        <v>0</v>
      </c>
      <c r="P161" s="18">
        <v>0</v>
      </c>
      <c r="Q161" s="18">
        <f t="shared" si="12"/>
        <v>0</v>
      </c>
      <c r="R161">
        <v>0</v>
      </c>
      <c r="S161">
        <v>0</v>
      </c>
      <c r="T161">
        <v>0</v>
      </c>
      <c r="U161">
        <v>0</v>
      </c>
      <c r="V161" s="18">
        <f t="shared" si="13"/>
        <v>0</v>
      </c>
      <c r="W161" s="18">
        <f t="shared" si="17"/>
        <v>0</v>
      </c>
      <c r="X161" s="18">
        <v>0</v>
      </c>
      <c r="Y161" s="18">
        <v>0</v>
      </c>
    </row>
    <row r="162" spans="1:25" x14ac:dyDescent="0.2">
      <c r="A162" s="18">
        <v>5887</v>
      </c>
      <c r="C162" s="18">
        <v>0</v>
      </c>
      <c r="D162" s="18">
        <v>0</v>
      </c>
      <c r="E162" s="18">
        <v>0</v>
      </c>
      <c r="F162" s="18">
        <f t="shared" si="14"/>
        <v>0</v>
      </c>
      <c r="G162" s="18">
        <v>0</v>
      </c>
      <c r="H162" s="18">
        <v>0</v>
      </c>
      <c r="I162" s="18">
        <f t="shared" si="15"/>
        <v>0</v>
      </c>
      <c r="J162" s="18">
        <v>0</v>
      </c>
      <c r="K162" s="18">
        <v>0</v>
      </c>
      <c r="L162" s="18">
        <f t="shared" si="16"/>
        <v>0</v>
      </c>
      <c r="M162" s="18">
        <v>0</v>
      </c>
      <c r="N162" s="18">
        <v>0</v>
      </c>
      <c r="O162" s="18">
        <v>0</v>
      </c>
      <c r="P162" s="18">
        <v>0</v>
      </c>
      <c r="Q162" s="18">
        <f t="shared" si="12"/>
        <v>0</v>
      </c>
      <c r="R162">
        <v>0</v>
      </c>
      <c r="S162">
        <v>0</v>
      </c>
      <c r="T162">
        <v>0</v>
      </c>
      <c r="U162">
        <v>0</v>
      </c>
      <c r="V162" s="18">
        <f t="shared" si="13"/>
        <v>0</v>
      </c>
      <c r="W162" s="18">
        <f t="shared" si="17"/>
        <v>0</v>
      </c>
      <c r="X162" s="18">
        <v>0</v>
      </c>
      <c r="Y162" s="18">
        <v>0</v>
      </c>
    </row>
    <row r="163" spans="1:25" x14ac:dyDescent="0.2">
      <c r="A163" s="18">
        <v>5849</v>
      </c>
      <c r="C163" s="18">
        <v>0</v>
      </c>
      <c r="D163" s="18">
        <v>0</v>
      </c>
      <c r="E163" s="18">
        <v>0</v>
      </c>
      <c r="F163" s="18">
        <f t="shared" si="14"/>
        <v>0</v>
      </c>
      <c r="G163" s="18">
        <v>0</v>
      </c>
      <c r="H163" s="18">
        <v>0</v>
      </c>
      <c r="I163" s="18">
        <f t="shared" si="15"/>
        <v>0</v>
      </c>
      <c r="J163" s="18">
        <v>0</v>
      </c>
      <c r="K163" s="18">
        <v>0</v>
      </c>
      <c r="L163" s="18">
        <f t="shared" si="16"/>
        <v>0</v>
      </c>
      <c r="M163" s="18">
        <v>0</v>
      </c>
      <c r="N163" s="18">
        <v>0</v>
      </c>
      <c r="O163" s="18">
        <v>0</v>
      </c>
      <c r="P163" s="18">
        <v>0</v>
      </c>
      <c r="Q163" s="18">
        <f t="shared" si="12"/>
        <v>0</v>
      </c>
      <c r="R163">
        <v>0</v>
      </c>
      <c r="S163">
        <v>0</v>
      </c>
      <c r="T163">
        <v>0</v>
      </c>
      <c r="U163">
        <v>0</v>
      </c>
      <c r="V163" s="18">
        <f t="shared" si="13"/>
        <v>0</v>
      </c>
      <c r="W163" s="18">
        <f t="shared" si="17"/>
        <v>0</v>
      </c>
      <c r="X163" s="18">
        <v>0</v>
      </c>
      <c r="Y163" s="18">
        <v>0</v>
      </c>
    </row>
    <row r="164" spans="1:25" x14ac:dyDescent="0.2">
      <c r="A164" s="18">
        <v>5890</v>
      </c>
      <c r="C164" s="18">
        <v>0</v>
      </c>
      <c r="D164" s="18">
        <v>0</v>
      </c>
      <c r="E164" s="18">
        <v>0</v>
      </c>
      <c r="F164" s="18">
        <f t="shared" si="14"/>
        <v>0</v>
      </c>
      <c r="G164" s="18">
        <v>0</v>
      </c>
      <c r="H164" s="18">
        <v>0</v>
      </c>
      <c r="I164" s="18">
        <f t="shared" si="15"/>
        <v>0</v>
      </c>
      <c r="J164" s="18">
        <v>0</v>
      </c>
      <c r="K164" s="18">
        <v>0</v>
      </c>
      <c r="L164" s="18">
        <f t="shared" si="16"/>
        <v>0</v>
      </c>
      <c r="M164" s="18">
        <v>0</v>
      </c>
      <c r="N164" s="18">
        <v>0</v>
      </c>
      <c r="O164" s="18">
        <v>0</v>
      </c>
      <c r="P164" s="18">
        <v>0</v>
      </c>
      <c r="Q164" s="18">
        <f t="shared" si="12"/>
        <v>0</v>
      </c>
      <c r="R164">
        <v>0</v>
      </c>
      <c r="S164">
        <v>0</v>
      </c>
      <c r="T164">
        <v>0</v>
      </c>
      <c r="U164">
        <v>0</v>
      </c>
      <c r="V164" s="18">
        <f t="shared" si="13"/>
        <v>0</v>
      </c>
      <c r="W164" s="18">
        <f t="shared" si="17"/>
        <v>0</v>
      </c>
      <c r="X164" s="18">
        <v>0</v>
      </c>
      <c r="Y164" s="18">
        <v>0</v>
      </c>
    </row>
    <row r="165" spans="1:25" x14ac:dyDescent="0.2">
      <c r="A165" s="18">
        <v>5911</v>
      </c>
      <c r="C165" s="18">
        <v>0</v>
      </c>
      <c r="D165" s="18">
        <v>0</v>
      </c>
      <c r="E165" s="18">
        <v>0</v>
      </c>
      <c r="F165" s="18">
        <f t="shared" si="14"/>
        <v>0</v>
      </c>
      <c r="G165" s="18">
        <v>0</v>
      </c>
      <c r="H165" s="18">
        <v>0</v>
      </c>
      <c r="I165" s="18">
        <f t="shared" si="15"/>
        <v>0</v>
      </c>
      <c r="J165" s="18">
        <v>0</v>
      </c>
      <c r="K165" s="18">
        <v>0</v>
      </c>
      <c r="L165" s="18">
        <f t="shared" si="16"/>
        <v>0</v>
      </c>
      <c r="M165" s="18">
        <v>0</v>
      </c>
      <c r="N165" s="18">
        <v>0</v>
      </c>
      <c r="O165" s="18">
        <v>0</v>
      </c>
      <c r="P165" s="18">
        <v>0</v>
      </c>
      <c r="Q165" s="18">
        <f t="shared" si="12"/>
        <v>0</v>
      </c>
      <c r="R165">
        <v>0</v>
      </c>
      <c r="S165">
        <v>0</v>
      </c>
      <c r="T165">
        <v>0</v>
      </c>
      <c r="U165">
        <v>0</v>
      </c>
      <c r="V165" s="18">
        <f t="shared" si="13"/>
        <v>0</v>
      </c>
      <c r="W165" s="18">
        <f t="shared" si="17"/>
        <v>0</v>
      </c>
      <c r="X165" s="18">
        <v>0</v>
      </c>
      <c r="Y165" s="18">
        <v>0</v>
      </c>
    </row>
    <row r="166" spans="1:25" x14ac:dyDescent="0.2">
      <c r="A166" s="18">
        <v>5919</v>
      </c>
      <c r="C166" s="18">
        <v>0</v>
      </c>
      <c r="D166" s="18">
        <v>0</v>
      </c>
      <c r="E166" s="18">
        <v>0</v>
      </c>
      <c r="F166" s="18">
        <f t="shared" si="14"/>
        <v>0</v>
      </c>
      <c r="G166" s="18">
        <v>0</v>
      </c>
      <c r="H166" s="18">
        <v>0</v>
      </c>
      <c r="I166" s="18">
        <f t="shared" si="15"/>
        <v>0</v>
      </c>
      <c r="J166" s="18">
        <v>0</v>
      </c>
      <c r="K166" s="18">
        <v>0</v>
      </c>
      <c r="L166" s="18">
        <f t="shared" si="16"/>
        <v>0</v>
      </c>
      <c r="M166" s="18">
        <v>0</v>
      </c>
      <c r="N166" s="18">
        <v>0</v>
      </c>
      <c r="O166" s="18">
        <v>0</v>
      </c>
      <c r="P166" s="18">
        <v>0</v>
      </c>
      <c r="Q166" s="18">
        <f t="shared" si="12"/>
        <v>0</v>
      </c>
      <c r="R166">
        <v>0</v>
      </c>
      <c r="S166">
        <v>0</v>
      </c>
      <c r="T166">
        <v>0</v>
      </c>
      <c r="U166">
        <v>0</v>
      </c>
      <c r="V166" s="18">
        <f t="shared" si="13"/>
        <v>0</v>
      </c>
      <c r="W166" s="18">
        <f t="shared" si="17"/>
        <v>0</v>
      </c>
      <c r="X166" s="18">
        <v>0</v>
      </c>
      <c r="Y166" s="18">
        <v>0</v>
      </c>
    </row>
    <row r="167" spans="1:25" x14ac:dyDescent="0.2">
      <c r="A167" s="18">
        <v>5921</v>
      </c>
      <c r="C167" s="18">
        <v>0</v>
      </c>
      <c r="D167" s="18">
        <v>0</v>
      </c>
      <c r="E167" s="18">
        <v>0</v>
      </c>
      <c r="F167" s="18">
        <f t="shared" si="14"/>
        <v>0</v>
      </c>
      <c r="G167" s="18">
        <v>0</v>
      </c>
      <c r="H167" s="18">
        <v>0</v>
      </c>
      <c r="I167" s="18">
        <f t="shared" si="15"/>
        <v>0</v>
      </c>
      <c r="J167" s="18">
        <v>0</v>
      </c>
      <c r="K167" s="18">
        <v>0</v>
      </c>
      <c r="L167" s="18">
        <f t="shared" si="16"/>
        <v>0</v>
      </c>
      <c r="M167" s="18">
        <v>0</v>
      </c>
      <c r="N167" s="18">
        <v>0</v>
      </c>
      <c r="O167" s="18">
        <v>0</v>
      </c>
      <c r="P167" s="18">
        <v>0</v>
      </c>
      <c r="Q167" s="18">
        <f t="shared" si="12"/>
        <v>0</v>
      </c>
      <c r="R167">
        <v>0</v>
      </c>
      <c r="S167">
        <v>0</v>
      </c>
      <c r="T167">
        <v>0</v>
      </c>
      <c r="U167">
        <v>0</v>
      </c>
      <c r="V167" s="18">
        <f t="shared" si="13"/>
        <v>0</v>
      </c>
      <c r="W167" s="18">
        <f t="shared" si="17"/>
        <v>0</v>
      </c>
      <c r="X167" s="18">
        <v>0</v>
      </c>
      <c r="Y167" s="18">
        <v>0</v>
      </c>
    </row>
    <row r="168" spans="1:25" x14ac:dyDescent="0.2">
      <c r="A168" s="18">
        <v>5933</v>
      </c>
      <c r="C168" s="18">
        <v>0</v>
      </c>
      <c r="D168" s="18">
        <v>0</v>
      </c>
      <c r="E168" s="18">
        <v>0</v>
      </c>
      <c r="F168" s="18">
        <f t="shared" si="14"/>
        <v>0</v>
      </c>
      <c r="G168" s="18">
        <v>0</v>
      </c>
      <c r="H168" s="18">
        <v>0</v>
      </c>
      <c r="I168" s="18">
        <f t="shared" si="15"/>
        <v>0</v>
      </c>
      <c r="J168" s="18">
        <v>0</v>
      </c>
      <c r="K168" s="18">
        <v>0</v>
      </c>
      <c r="L168" s="18">
        <f t="shared" si="16"/>
        <v>0</v>
      </c>
      <c r="M168" s="18">
        <v>0</v>
      </c>
      <c r="N168" s="18">
        <v>0</v>
      </c>
      <c r="O168" s="18">
        <v>0</v>
      </c>
      <c r="P168" s="18">
        <v>0</v>
      </c>
      <c r="Q168" s="18">
        <f t="shared" si="12"/>
        <v>0</v>
      </c>
      <c r="R168">
        <v>0</v>
      </c>
      <c r="S168">
        <v>0</v>
      </c>
      <c r="T168">
        <v>0</v>
      </c>
      <c r="U168">
        <v>0</v>
      </c>
      <c r="V168" s="18">
        <f t="shared" si="13"/>
        <v>0</v>
      </c>
      <c r="W168" s="18">
        <f t="shared" si="17"/>
        <v>0</v>
      </c>
      <c r="X168" s="18">
        <v>0</v>
      </c>
      <c r="Y168" s="18">
        <v>0</v>
      </c>
    </row>
    <row r="169" spans="1:25" x14ac:dyDescent="0.2">
      <c r="A169" s="18">
        <v>5936</v>
      </c>
      <c r="C169" s="18">
        <v>0</v>
      </c>
      <c r="D169" s="18">
        <v>0</v>
      </c>
      <c r="E169" s="18">
        <v>0</v>
      </c>
      <c r="F169" s="18">
        <f t="shared" si="14"/>
        <v>0</v>
      </c>
      <c r="G169" s="18">
        <v>0</v>
      </c>
      <c r="H169" s="18">
        <v>0</v>
      </c>
      <c r="I169" s="18">
        <f t="shared" si="15"/>
        <v>0</v>
      </c>
      <c r="J169" s="18">
        <v>0</v>
      </c>
      <c r="K169" s="18">
        <v>0</v>
      </c>
      <c r="L169" s="18">
        <f t="shared" si="16"/>
        <v>0</v>
      </c>
      <c r="M169" s="18">
        <v>0</v>
      </c>
      <c r="N169" s="18">
        <v>0</v>
      </c>
      <c r="O169" s="18">
        <v>0</v>
      </c>
      <c r="P169" s="18">
        <v>0</v>
      </c>
      <c r="Q169" s="18">
        <f t="shared" si="12"/>
        <v>0</v>
      </c>
      <c r="R169">
        <v>0</v>
      </c>
      <c r="S169">
        <v>0</v>
      </c>
      <c r="T169">
        <v>0</v>
      </c>
      <c r="U169">
        <v>0</v>
      </c>
      <c r="V169" s="18">
        <f t="shared" si="13"/>
        <v>0</v>
      </c>
      <c r="W169" s="18">
        <f t="shared" si="17"/>
        <v>0</v>
      </c>
      <c r="X169" s="18">
        <v>0</v>
      </c>
      <c r="Y169" s="18">
        <v>0</v>
      </c>
    </row>
    <row r="170" spans="1:25" x14ac:dyDescent="0.2">
      <c r="A170" s="18">
        <v>5939</v>
      </c>
      <c r="C170" s="18">
        <v>0</v>
      </c>
      <c r="D170" s="18">
        <v>0</v>
      </c>
      <c r="E170" s="18">
        <v>0</v>
      </c>
      <c r="F170" s="18">
        <f t="shared" si="14"/>
        <v>0</v>
      </c>
      <c r="G170" s="18">
        <v>0</v>
      </c>
      <c r="H170" s="18">
        <v>0</v>
      </c>
      <c r="I170" s="18">
        <f t="shared" si="15"/>
        <v>0</v>
      </c>
      <c r="J170" s="18">
        <v>0</v>
      </c>
      <c r="K170" s="18">
        <v>0</v>
      </c>
      <c r="L170" s="18">
        <f t="shared" si="16"/>
        <v>0</v>
      </c>
      <c r="M170" s="18">
        <v>0</v>
      </c>
      <c r="N170" s="18">
        <v>0</v>
      </c>
      <c r="O170" s="18">
        <v>0</v>
      </c>
      <c r="P170" s="18">
        <v>0</v>
      </c>
      <c r="Q170" s="18">
        <f t="shared" si="12"/>
        <v>0</v>
      </c>
      <c r="R170">
        <v>0</v>
      </c>
      <c r="S170">
        <v>0</v>
      </c>
      <c r="T170">
        <v>0</v>
      </c>
      <c r="U170">
        <v>0</v>
      </c>
      <c r="V170" s="18">
        <f t="shared" si="13"/>
        <v>0</v>
      </c>
      <c r="W170" s="18">
        <f t="shared" si="17"/>
        <v>0</v>
      </c>
      <c r="X170" s="18">
        <v>0</v>
      </c>
      <c r="Y170" s="18">
        <v>0</v>
      </c>
    </row>
    <row r="171" spans="1:25" x14ac:dyDescent="0.2">
      <c r="A171" s="18">
        <v>5941</v>
      </c>
      <c r="C171" s="18">
        <v>0</v>
      </c>
      <c r="D171" s="18">
        <v>0</v>
      </c>
      <c r="E171" s="18">
        <v>0</v>
      </c>
      <c r="F171" s="18">
        <f t="shared" si="14"/>
        <v>0</v>
      </c>
      <c r="G171" s="18">
        <v>0</v>
      </c>
      <c r="H171" s="18">
        <v>0</v>
      </c>
      <c r="I171" s="18">
        <f t="shared" si="15"/>
        <v>0</v>
      </c>
      <c r="J171" s="18">
        <v>0</v>
      </c>
      <c r="K171" s="18">
        <v>0</v>
      </c>
      <c r="L171" s="18">
        <f t="shared" si="16"/>
        <v>0</v>
      </c>
      <c r="M171" s="18">
        <v>0</v>
      </c>
      <c r="N171" s="18">
        <v>0</v>
      </c>
      <c r="O171" s="18">
        <v>0</v>
      </c>
      <c r="P171" s="18">
        <v>0</v>
      </c>
      <c r="Q171" s="18">
        <f t="shared" si="12"/>
        <v>0</v>
      </c>
      <c r="R171">
        <v>0</v>
      </c>
      <c r="S171">
        <v>0</v>
      </c>
      <c r="T171">
        <v>0</v>
      </c>
      <c r="U171">
        <v>0</v>
      </c>
      <c r="V171" s="18">
        <f t="shared" si="13"/>
        <v>0</v>
      </c>
      <c r="W171" s="18">
        <f t="shared" si="17"/>
        <v>0</v>
      </c>
      <c r="X171" s="18">
        <v>0</v>
      </c>
      <c r="Y171" s="18">
        <v>0</v>
      </c>
    </row>
    <row r="172" spans="1:25" x14ac:dyDescent="0.2">
      <c r="A172" s="18">
        <v>5942</v>
      </c>
      <c r="C172" s="18">
        <v>0</v>
      </c>
      <c r="D172" s="18">
        <v>0</v>
      </c>
      <c r="E172" s="18">
        <v>0</v>
      </c>
      <c r="F172" s="18">
        <f t="shared" si="14"/>
        <v>0</v>
      </c>
      <c r="G172" s="18">
        <v>0</v>
      </c>
      <c r="H172" s="18">
        <v>0</v>
      </c>
      <c r="I172" s="18">
        <f t="shared" si="15"/>
        <v>0</v>
      </c>
      <c r="J172" s="18">
        <v>0</v>
      </c>
      <c r="K172" s="18">
        <v>0</v>
      </c>
      <c r="L172" s="18">
        <f t="shared" si="16"/>
        <v>0</v>
      </c>
      <c r="M172" s="18">
        <v>0</v>
      </c>
      <c r="N172" s="18">
        <v>0</v>
      </c>
      <c r="O172" s="18">
        <v>0</v>
      </c>
      <c r="P172" s="18">
        <v>0</v>
      </c>
      <c r="Q172" s="18">
        <f t="shared" si="12"/>
        <v>0</v>
      </c>
      <c r="R172">
        <v>0</v>
      </c>
      <c r="S172">
        <v>0</v>
      </c>
      <c r="T172">
        <v>0</v>
      </c>
      <c r="U172">
        <v>0</v>
      </c>
      <c r="V172" s="18">
        <f t="shared" si="13"/>
        <v>0</v>
      </c>
      <c r="W172" s="18">
        <f t="shared" si="17"/>
        <v>0</v>
      </c>
      <c r="X172" s="18">
        <v>0</v>
      </c>
      <c r="Y172" s="18">
        <v>0</v>
      </c>
    </row>
    <row r="173" spans="1:25" x14ac:dyDescent="0.2">
      <c r="A173" s="18">
        <v>5945</v>
      </c>
      <c r="C173" s="18">
        <v>0</v>
      </c>
      <c r="D173" s="18">
        <v>0.28833333333333333</v>
      </c>
      <c r="E173" s="18">
        <v>2.2188581666666667</v>
      </c>
      <c r="F173" s="18">
        <f t="shared" si="14"/>
        <v>2.5071915000000002</v>
      </c>
      <c r="G173" s="18">
        <v>0</v>
      </c>
      <c r="H173" s="18">
        <v>0</v>
      </c>
      <c r="I173" s="18">
        <f t="shared" si="15"/>
        <v>0</v>
      </c>
      <c r="J173" s="18">
        <v>0</v>
      </c>
      <c r="K173" s="18">
        <v>0</v>
      </c>
      <c r="L173" s="18">
        <f t="shared" si="16"/>
        <v>0</v>
      </c>
      <c r="M173" s="18">
        <v>0</v>
      </c>
      <c r="N173" s="18">
        <v>0</v>
      </c>
      <c r="O173" s="18">
        <v>0</v>
      </c>
      <c r="P173" s="18">
        <v>0</v>
      </c>
      <c r="Q173" s="18">
        <f t="shared" si="12"/>
        <v>0</v>
      </c>
      <c r="R173">
        <v>0</v>
      </c>
      <c r="S173">
        <v>1.7331666666666665</v>
      </c>
      <c r="T173">
        <v>1.9086666666666665</v>
      </c>
      <c r="U173">
        <v>3.2643333333333335</v>
      </c>
      <c r="V173" s="18">
        <f t="shared" si="13"/>
        <v>0</v>
      </c>
      <c r="W173" s="18">
        <f t="shared" si="17"/>
        <v>0</v>
      </c>
      <c r="X173" s="18">
        <v>0.71599999999999997</v>
      </c>
      <c r="Y173" s="18">
        <v>0.53049999999999997</v>
      </c>
    </row>
    <row r="174" spans="1:25" x14ac:dyDescent="0.2">
      <c r="A174" s="18">
        <v>5912</v>
      </c>
      <c r="C174" s="18">
        <v>0</v>
      </c>
      <c r="D174" s="18">
        <v>0</v>
      </c>
      <c r="E174" s="18">
        <v>0</v>
      </c>
      <c r="F174" s="18">
        <f t="shared" si="14"/>
        <v>0</v>
      </c>
      <c r="G174" s="18">
        <v>0</v>
      </c>
      <c r="H174" s="18">
        <v>0</v>
      </c>
      <c r="I174" s="18">
        <f t="shared" si="15"/>
        <v>0</v>
      </c>
      <c r="J174" s="18">
        <v>0</v>
      </c>
      <c r="K174" s="18">
        <v>0</v>
      </c>
      <c r="L174" s="18">
        <f t="shared" si="16"/>
        <v>0</v>
      </c>
      <c r="M174" s="18">
        <v>0</v>
      </c>
      <c r="N174" s="18">
        <v>0</v>
      </c>
      <c r="O174" s="18">
        <v>0</v>
      </c>
      <c r="P174" s="18">
        <v>0</v>
      </c>
      <c r="Q174" s="18">
        <f t="shared" si="12"/>
        <v>0</v>
      </c>
      <c r="R174">
        <v>0</v>
      </c>
      <c r="S174">
        <v>0</v>
      </c>
      <c r="T174">
        <v>0</v>
      </c>
      <c r="U174">
        <v>0</v>
      </c>
      <c r="V174" s="18">
        <f t="shared" si="13"/>
        <v>0</v>
      </c>
      <c r="W174" s="18">
        <f t="shared" si="17"/>
        <v>0</v>
      </c>
      <c r="X174" s="18">
        <v>0</v>
      </c>
      <c r="Y174" s="18">
        <v>0</v>
      </c>
    </row>
    <row r="175" spans="1:25" x14ac:dyDescent="0.2">
      <c r="A175" s="18">
        <v>5998</v>
      </c>
      <c r="C175" s="18">
        <v>0</v>
      </c>
      <c r="D175" s="18">
        <v>0</v>
      </c>
      <c r="E175" s="18">
        <v>0</v>
      </c>
      <c r="F175" s="18">
        <f t="shared" si="14"/>
        <v>0</v>
      </c>
      <c r="G175" s="18">
        <v>0</v>
      </c>
      <c r="H175" s="18">
        <v>0</v>
      </c>
      <c r="I175" s="18">
        <f t="shared" si="15"/>
        <v>0</v>
      </c>
      <c r="J175" s="18">
        <v>0</v>
      </c>
      <c r="K175" s="18">
        <v>0</v>
      </c>
      <c r="L175" s="18">
        <f t="shared" si="16"/>
        <v>0</v>
      </c>
      <c r="M175" s="18">
        <v>0</v>
      </c>
      <c r="N175" s="18">
        <v>0</v>
      </c>
      <c r="O175" s="18">
        <v>0</v>
      </c>
      <c r="P175" s="18">
        <v>0</v>
      </c>
      <c r="Q175" s="18">
        <f t="shared" si="12"/>
        <v>0</v>
      </c>
      <c r="R175">
        <v>0</v>
      </c>
      <c r="S175">
        <v>0</v>
      </c>
      <c r="T175">
        <v>0</v>
      </c>
      <c r="U175">
        <v>0</v>
      </c>
      <c r="V175" s="18">
        <f t="shared" si="13"/>
        <v>0</v>
      </c>
      <c r="W175" s="18">
        <f t="shared" si="17"/>
        <v>0</v>
      </c>
      <c r="X175" s="18">
        <v>0</v>
      </c>
      <c r="Y175" s="18">
        <v>0</v>
      </c>
    </row>
    <row r="176" spans="1:25" x14ac:dyDescent="0.2">
      <c r="A176" s="18">
        <v>5975</v>
      </c>
      <c r="C176" s="18">
        <v>0</v>
      </c>
      <c r="D176" s="18">
        <v>0</v>
      </c>
      <c r="E176" s="18">
        <v>0</v>
      </c>
      <c r="F176" s="18">
        <f t="shared" si="14"/>
        <v>0</v>
      </c>
      <c r="G176" s="18">
        <v>0</v>
      </c>
      <c r="H176" s="18">
        <v>0</v>
      </c>
      <c r="I176" s="18">
        <f t="shared" si="15"/>
        <v>0</v>
      </c>
      <c r="J176" s="18">
        <v>0</v>
      </c>
      <c r="K176" s="18">
        <v>0</v>
      </c>
      <c r="L176" s="18">
        <f t="shared" si="16"/>
        <v>0</v>
      </c>
      <c r="M176" s="18">
        <v>0</v>
      </c>
      <c r="N176" s="18">
        <v>0</v>
      </c>
      <c r="O176" s="18">
        <v>0</v>
      </c>
      <c r="P176" s="18">
        <v>0</v>
      </c>
      <c r="Q176" s="18">
        <f t="shared" si="12"/>
        <v>0</v>
      </c>
      <c r="R176">
        <v>0</v>
      </c>
      <c r="S176">
        <v>0</v>
      </c>
      <c r="T176">
        <v>0</v>
      </c>
      <c r="U176">
        <v>0</v>
      </c>
      <c r="V176" s="18">
        <f t="shared" si="13"/>
        <v>0</v>
      </c>
      <c r="W176" s="18">
        <f t="shared" si="17"/>
        <v>0</v>
      </c>
      <c r="X176" s="18">
        <v>0</v>
      </c>
      <c r="Y176" s="18">
        <v>0</v>
      </c>
    </row>
    <row r="177" spans="1:25" x14ac:dyDescent="0.2">
      <c r="A177" s="18">
        <v>6004</v>
      </c>
      <c r="C177" s="18">
        <v>0</v>
      </c>
      <c r="D177" s="18">
        <v>0</v>
      </c>
      <c r="E177" s="18">
        <v>0</v>
      </c>
      <c r="F177" s="18">
        <f t="shared" si="14"/>
        <v>0</v>
      </c>
      <c r="G177" s="18">
        <v>0</v>
      </c>
      <c r="H177" s="18">
        <v>0</v>
      </c>
      <c r="I177" s="18">
        <f t="shared" si="15"/>
        <v>0</v>
      </c>
      <c r="J177" s="18">
        <v>0</v>
      </c>
      <c r="K177" s="18">
        <v>0</v>
      </c>
      <c r="L177" s="18">
        <f t="shared" si="16"/>
        <v>0</v>
      </c>
      <c r="M177" s="18">
        <v>0</v>
      </c>
      <c r="N177" s="18">
        <v>0</v>
      </c>
      <c r="O177" s="18">
        <v>0</v>
      </c>
      <c r="P177" s="18">
        <v>0</v>
      </c>
      <c r="Q177" s="18">
        <f t="shared" si="12"/>
        <v>0</v>
      </c>
      <c r="R177">
        <v>0</v>
      </c>
      <c r="S177">
        <v>0</v>
      </c>
      <c r="T177">
        <v>0</v>
      </c>
      <c r="U177">
        <v>0</v>
      </c>
      <c r="V177" s="18">
        <f t="shared" si="13"/>
        <v>0</v>
      </c>
      <c r="W177" s="18">
        <f t="shared" si="17"/>
        <v>0</v>
      </c>
      <c r="X177" s="18">
        <v>0</v>
      </c>
      <c r="Y177" s="18">
        <v>0</v>
      </c>
    </row>
    <row r="178" spans="1:25" x14ac:dyDescent="0.2">
      <c r="A178" s="18">
        <v>5991</v>
      </c>
      <c r="C178" s="18">
        <v>0</v>
      </c>
      <c r="D178" s="18">
        <v>0</v>
      </c>
      <c r="E178" s="18">
        <v>0</v>
      </c>
      <c r="F178" s="18">
        <f t="shared" si="14"/>
        <v>0</v>
      </c>
      <c r="G178" s="18">
        <v>0</v>
      </c>
      <c r="H178" s="18">
        <v>0</v>
      </c>
      <c r="I178" s="18">
        <f t="shared" si="15"/>
        <v>0</v>
      </c>
      <c r="J178" s="18">
        <v>0</v>
      </c>
      <c r="K178" s="18">
        <v>0</v>
      </c>
      <c r="L178" s="18">
        <f t="shared" si="16"/>
        <v>0</v>
      </c>
      <c r="M178" s="18">
        <v>0</v>
      </c>
      <c r="N178" s="18">
        <v>0</v>
      </c>
      <c r="O178" s="18">
        <v>0</v>
      </c>
      <c r="P178" s="18">
        <v>0</v>
      </c>
      <c r="Q178" s="18">
        <f t="shared" si="12"/>
        <v>0</v>
      </c>
      <c r="R178">
        <v>0</v>
      </c>
      <c r="S178">
        <v>0</v>
      </c>
      <c r="T178">
        <v>0</v>
      </c>
      <c r="U178">
        <v>0</v>
      </c>
      <c r="V178" s="18">
        <f t="shared" si="13"/>
        <v>0</v>
      </c>
      <c r="W178" s="18">
        <f t="shared" si="17"/>
        <v>0</v>
      </c>
      <c r="X178" s="18">
        <v>0</v>
      </c>
      <c r="Y178" s="18">
        <v>0</v>
      </c>
    </row>
    <row r="179" spans="1:25" x14ac:dyDescent="0.2">
      <c r="A179" s="18">
        <v>6016</v>
      </c>
      <c r="C179" s="18">
        <v>0</v>
      </c>
      <c r="D179" s="18">
        <v>0</v>
      </c>
      <c r="E179" s="18">
        <v>0</v>
      </c>
      <c r="F179" s="18">
        <f t="shared" si="14"/>
        <v>0</v>
      </c>
      <c r="G179" s="18">
        <v>0</v>
      </c>
      <c r="H179" s="18">
        <v>0</v>
      </c>
      <c r="I179" s="18">
        <f t="shared" si="15"/>
        <v>0</v>
      </c>
      <c r="J179" s="18">
        <v>0</v>
      </c>
      <c r="K179" s="18">
        <v>0</v>
      </c>
      <c r="L179" s="18">
        <f t="shared" si="16"/>
        <v>0</v>
      </c>
      <c r="M179" s="18">
        <v>0</v>
      </c>
      <c r="N179" s="18">
        <v>0</v>
      </c>
      <c r="O179" s="18">
        <v>0</v>
      </c>
      <c r="P179" s="18">
        <v>0</v>
      </c>
      <c r="Q179" s="18">
        <f t="shared" si="12"/>
        <v>0</v>
      </c>
      <c r="R179">
        <v>0</v>
      </c>
      <c r="S179">
        <v>0</v>
      </c>
      <c r="T179">
        <v>0</v>
      </c>
      <c r="U179">
        <v>0</v>
      </c>
      <c r="V179" s="18">
        <f t="shared" si="13"/>
        <v>0</v>
      </c>
      <c r="W179" s="18">
        <f t="shared" si="17"/>
        <v>0</v>
      </c>
      <c r="X179" s="18">
        <v>0</v>
      </c>
      <c r="Y179" s="18">
        <v>0</v>
      </c>
    </row>
    <row r="180" spans="1:25" x14ac:dyDescent="0.2">
      <c r="A180" s="18">
        <v>6025</v>
      </c>
      <c r="C180" s="18">
        <v>0</v>
      </c>
      <c r="D180" s="18">
        <v>0</v>
      </c>
      <c r="E180" s="18">
        <v>0</v>
      </c>
      <c r="F180" s="18">
        <f t="shared" si="14"/>
        <v>0</v>
      </c>
      <c r="G180" s="18">
        <v>0</v>
      </c>
      <c r="H180" s="18">
        <v>0</v>
      </c>
      <c r="I180" s="18">
        <f t="shared" si="15"/>
        <v>0</v>
      </c>
      <c r="J180" s="18">
        <v>0</v>
      </c>
      <c r="K180" s="18">
        <v>0</v>
      </c>
      <c r="L180" s="18">
        <f t="shared" si="16"/>
        <v>0</v>
      </c>
      <c r="M180" s="18">
        <v>0</v>
      </c>
      <c r="N180" s="18">
        <v>0</v>
      </c>
      <c r="O180" s="18">
        <v>0</v>
      </c>
      <c r="P180" s="18">
        <v>0</v>
      </c>
      <c r="Q180" s="18">
        <f t="shared" si="12"/>
        <v>0</v>
      </c>
      <c r="R180">
        <v>0</v>
      </c>
      <c r="S180">
        <v>0</v>
      </c>
      <c r="T180">
        <v>0</v>
      </c>
      <c r="U180">
        <v>0</v>
      </c>
      <c r="V180" s="18">
        <f t="shared" si="13"/>
        <v>0</v>
      </c>
      <c r="W180" s="18">
        <f t="shared" si="17"/>
        <v>0</v>
      </c>
      <c r="X180" s="18">
        <v>0</v>
      </c>
      <c r="Y180" s="18">
        <v>0</v>
      </c>
    </row>
    <row r="181" spans="1:25" x14ac:dyDescent="0.2">
      <c r="A181" s="18">
        <v>6026</v>
      </c>
      <c r="C181" s="18">
        <v>0</v>
      </c>
      <c r="D181" s="18">
        <v>0</v>
      </c>
      <c r="E181" s="18">
        <v>0</v>
      </c>
      <c r="F181" s="18">
        <f t="shared" si="14"/>
        <v>0</v>
      </c>
      <c r="G181" s="18">
        <v>0</v>
      </c>
      <c r="H181" s="18">
        <v>0</v>
      </c>
      <c r="I181" s="18">
        <f t="shared" si="15"/>
        <v>0</v>
      </c>
      <c r="J181" s="18">
        <v>0</v>
      </c>
      <c r="K181" s="18">
        <v>0</v>
      </c>
      <c r="L181" s="18">
        <f t="shared" si="16"/>
        <v>0</v>
      </c>
      <c r="M181" s="18">
        <v>0</v>
      </c>
      <c r="N181" s="18">
        <v>0</v>
      </c>
      <c r="O181" s="18">
        <v>0</v>
      </c>
      <c r="P181" s="18">
        <v>0</v>
      </c>
      <c r="Q181" s="18">
        <f t="shared" si="12"/>
        <v>0</v>
      </c>
      <c r="R181">
        <v>0</v>
      </c>
      <c r="S181">
        <v>0</v>
      </c>
      <c r="T181">
        <v>0</v>
      </c>
      <c r="U181">
        <v>0</v>
      </c>
      <c r="V181" s="18">
        <f t="shared" si="13"/>
        <v>0</v>
      </c>
      <c r="W181" s="18">
        <f t="shared" si="17"/>
        <v>0</v>
      </c>
      <c r="X181" s="18">
        <v>0</v>
      </c>
      <c r="Y181" s="18">
        <v>0</v>
      </c>
    </row>
    <row r="182" spans="1:25" x14ac:dyDescent="0.2">
      <c r="A182" s="18">
        <v>6029</v>
      </c>
      <c r="C182" s="18">
        <v>0</v>
      </c>
      <c r="D182" s="18">
        <v>0</v>
      </c>
      <c r="E182" s="18">
        <v>0</v>
      </c>
      <c r="F182" s="18">
        <f t="shared" si="14"/>
        <v>0</v>
      </c>
      <c r="G182" s="18">
        <v>0</v>
      </c>
      <c r="H182" s="18">
        <v>0</v>
      </c>
      <c r="I182" s="18">
        <f t="shared" si="15"/>
        <v>0</v>
      </c>
      <c r="J182" s="18">
        <v>0</v>
      </c>
      <c r="K182" s="18">
        <v>0</v>
      </c>
      <c r="L182" s="18">
        <f t="shared" si="16"/>
        <v>0</v>
      </c>
      <c r="M182" s="18">
        <v>0</v>
      </c>
      <c r="N182" s="18">
        <v>0</v>
      </c>
      <c r="O182" s="18">
        <v>0</v>
      </c>
      <c r="P182" s="18">
        <v>0</v>
      </c>
      <c r="Q182" s="18">
        <f t="shared" si="12"/>
        <v>0</v>
      </c>
      <c r="R182">
        <v>0</v>
      </c>
      <c r="S182">
        <v>0</v>
      </c>
      <c r="T182">
        <v>0</v>
      </c>
      <c r="U182">
        <v>0</v>
      </c>
      <c r="V182" s="18">
        <f t="shared" si="13"/>
        <v>0</v>
      </c>
      <c r="W182" s="18">
        <f t="shared" si="17"/>
        <v>0</v>
      </c>
      <c r="X182" s="18">
        <v>0</v>
      </c>
      <c r="Y182" s="18">
        <v>0</v>
      </c>
    </row>
    <row r="183" spans="1:25" x14ac:dyDescent="0.2">
      <c r="A183" s="18">
        <v>6024</v>
      </c>
      <c r="C183" s="18">
        <v>0</v>
      </c>
      <c r="D183" s="18">
        <v>0</v>
      </c>
      <c r="E183" s="18">
        <v>0</v>
      </c>
      <c r="F183" s="18">
        <f t="shared" si="14"/>
        <v>0</v>
      </c>
      <c r="G183" s="18">
        <v>0</v>
      </c>
      <c r="H183" s="18">
        <v>0</v>
      </c>
      <c r="I183" s="18">
        <f t="shared" si="15"/>
        <v>0</v>
      </c>
      <c r="J183" s="18">
        <v>0</v>
      </c>
      <c r="K183" s="18">
        <v>0</v>
      </c>
      <c r="L183" s="18">
        <f t="shared" si="16"/>
        <v>0</v>
      </c>
      <c r="M183" s="18">
        <v>0</v>
      </c>
      <c r="N183" s="18">
        <v>0</v>
      </c>
      <c r="O183" s="18">
        <v>0</v>
      </c>
      <c r="P183" s="18">
        <v>0</v>
      </c>
      <c r="Q183" s="18">
        <f t="shared" si="12"/>
        <v>0</v>
      </c>
      <c r="R183">
        <v>0</v>
      </c>
      <c r="S183">
        <v>0</v>
      </c>
      <c r="T183">
        <v>0</v>
      </c>
      <c r="U183">
        <v>0</v>
      </c>
      <c r="V183" s="18">
        <f t="shared" si="13"/>
        <v>0</v>
      </c>
      <c r="W183" s="18">
        <f t="shared" si="17"/>
        <v>0</v>
      </c>
      <c r="X183" s="18">
        <v>0</v>
      </c>
      <c r="Y183" s="18">
        <v>0</v>
      </c>
    </row>
    <row r="184" spans="1:25" x14ac:dyDescent="0.2">
      <c r="A184" s="18">
        <v>6051</v>
      </c>
      <c r="C184" s="18">
        <v>0</v>
      </c>
      <c r="D184" s="18">
        <v>0</v>
      </c>
      <c r="E184" s="18">
        <v>0</v>
      </c>
      <c r="F184" s="18">
        <f t="shared" si="14"/>
        <v>0</v>
      </c>
      <c r="G184" s="18">
        <v>0</v>
      </c>
      <c r="H184" s="18">
        <v>0</v>
      </c>
      <c r="I184" s="18">
        <f t="shared" si="15"/>
        <v>0</v>
      </c>
      <c r="J184" s="18">
        <v>0</v>
      </c>
      <c r="K184" s="18">
        <v>0</v>
      </c>
      <c r="L184" s="18">
        <f t="shared" si="16"/>
        <v>0</v>
      </c>
      <c r="M184" s="18">
        <v>0</v>
      </c>
      <c r="N184" s="18">
        <v>0</v>
      </c>
      <c r="O184" s="18">
        <v>0</v>
      </c>
      <c r="P184" s="18">
        <v>0</v>
      </c>
      <c r="Q184" s="18">
        <f t="shared" si="12"/>
        <v>0</v>
      </c>
      <c r="R184">
        <v>0</v>
      </c>
      <c r="S184">
        <v>0</v>
      </c>
      <c r="T184">
        <v>0</v>
      </c>
      <c r="U184">
        <v>0</v>
      </c>
      <c r="V184" s="18">
        <f t="shared" si="13"/>
        <v>0</v>
      </c>
      <c r="W184" s="18">
        <f t="shared" si="17"/>
        <v>0</v>
      </c>
      <c r="X184" s="18">
        <v>0</v>
      </c>
      <c r="Y184" s="18">
        <v>0</v>
      </c>
    </row>
    <row r="185" spans="1:25" x14ac:dyDescent="0.2">
      <c r="A185" s="18">
        <v>6020</v>
      </c>
      <c r="C185" s="18">
        <v>0</v>
      </c>
      <c r="D185" s="18">
        <v>0</v>
      </c>
      <c r="E185" s="18">
        <v>0</v>
      </c>
      <c r="F185" s="18">
        <f t="shared" si="14"/>
        <v>0</v>
      </c>
      <c r="G185" s="18">
        <v>0</v>
      </c>
      <c r="H185" s="18">
        <v>0</v>
      </c>
      <c r="I185" s="18">
        <f t="shared" si="15"/>
        <v>0</v>
      </c>
      <c r="J185" s="18">
        <v>0</v>
      </c>
      <c r="K185" s="18">
        <v>0</v>
      </c>
      <c r="L185" s="18">
        <f t="shared" si="16"/>
        <v>0</v>
      </c>
      <c r="M185" s="18">
        <v>0</v>
      </c>
      <c r="N185" s="18">
        <v>0</v>
      </c>
      <c r="O185" s="18">
        <v>0</v>
      </c>
      <c r="P185" s="18">
        <v>0</v>
      </c>
      <c r="Q185" s="18">
        <f t="shared" si="12"/>
        <v>0</v>
      </c>
      <c r="R185">
        <v>0</v>
      </c>
      <c r="S185">
        <v>0</v>
      </c>
      <c r="T185">
        <v>0</v>
      </c>
      <c r="U185">
        <v>0</v>
      </c>
      <c r="V185" s="18">
        <f t="shared" si="13"/>
        <v>0</v>
      </c>
      <c r="W185" s="18">
        <f t="shared" si="17"/>
        <v>0</v>
      </c>
      <c r="X185" s="18">
        <v>0</v>
      </c>
      <c r="Y185" s="18">
        <v>0</v>
      </c>
    </row>
    <row r="186" spans="1:25" x14ac:dyDescent="0.2">
      <c r="A186" s="18">
        <v>6079</v>
      </c>
      <c r="C186" s="18">
        <v>0</v>
      </c>
      <c r="D186" s="18">
        <v>0</v>
      </c>
      <c r="E186" s="18">
        <v>0</v>
      </c>
      <c r="F186" s="18">
        <f t="shared" si="14"/>
        <v>0</v>
      </c>
      <c r="G186" s="18">
        <v>0</v>
      </c>
      <c r="H186" s="18">
        <v>0</v>
      </c>
      <c r="I186" s="18">
        <f t="shared" si="15"/>
        <v>0</v>
      </c>
      <c r="J186" s="18">
        <v>0</v>
      </c>
      <c r="K186" s="18">
        <v>0</v>
      </c>
      <c r="L186" s="18">
        <f t="shared" si="16"/>
        <v>0</v>
      </c>
      <c r="M186" s="18">
        <v>0</v>
      </c>
      <c r="N186" s="18">
        <v>0</v>
      </c>
      <c r="O186" s="18">
        <v>0</v>
      </c>
      <c r="P186" s="18">
        <v>0</v>
      </c>
      <c r="Q186" s="18">
        <f t="shared" si="12"/>
        <v>0</v>
      </c>
      <c r="R186">
        <v>0</v>
      </c>
      <c r="S186">
        <v>0</v>
      </c>
      <c r="T186">
        <v>0</v>
      </c>
      <c r="U186">
        <v>0</v>
      </c>
      <c r="V186" s="18">
        <f t="shared" si="13"/>
        <v>0</v>
      </c>
      <c r="W186" s="18">
        <f t="shared" si="17"/>
        <v>0</v>
      </c>
      <c r="X186" s="18">
        <v>0</v>
      </c>
      <c r="Y186" s="18">
        <v>0</v>
      </c>
    </row>
    <row r="187" spans="1:25" x14ac:dyDescent="0.2">
      <c r="A187" s="18">
        <v>6078</v>
      </c>
      <c r="C187" s="18">
        <v>0</v>
      </c>
      <c r="D187" s="18">
        <v>0</v>
      </c>
      <c r="E187" s="18">
        <v>0</v>
      </c>
      <c r="F187" s="18">
        <f t="shared" si="14"/>
        <v>0</v>
      </c>
      <c r="G187" s="18">
        <v>0</v>
      </c>
      <c r="H187" s="18">
        <v>0</v>
      </c>
      <c r="I187" s="18">
        <f t="shared" si="15"/>
        <v>0</v>
      </c>
      <c r="J187" s="18">
        <v>0</v>
      </c>
      <c r="K187" s="18">
        <v>0</v>
      </c>
      <c r="L187" s="18">
        <f t="shared" si="16"/>
        <v>0</v>
      </c>
      <c r="M187" s="18">
        <v>0</v>
      </c>
      <c r="N187" s="18">
        <v>0</v>
      </c>
      <c r="O187" s="18">
        <v>0</v>
      </c>
      <c r="P187" s="18">
        <v>0</v>
      </c>
      <c r="Q187" s="18">
        <f t="shared" si="12"/>
        <v>0</v>
      </c>
      <c r="R187">
        <v>0</v>
      </c>
      <c r="S187">
        <v>0</v>
      </c>
      <c r="T187">
        <v>0</v>
      </c>
      <c r="U187">
        <v>0</v>
      </c>
      <c r="V187" s="18">
        <f t="shared" si="13"/>
        <v>0</v>
      </c>
      <c r="W187" s="18">
        <f t="shared" si="17"/>
        <v>0</v>
      </c>
      <c r="X187" s="18">
        <v>0</v>
      </c>
      <c r="Y187" s="18">
        <v>0</v>
      </c>
    </row>
    <row r="188" spans="1:25" x14ac:dyDescent="0.2">
      <c r="A188" s="18">
        <v>6048</v>
      </c>
      <c r="C188" s="18">
        <v>0</v>
      </c>
      <c r="D188" s="18">
        <v>0</v>
      </c>
      <c r="E188" s="18">
        <v>0</v>
      </c>
      <c r="F188" s="18">
        <f t="shared" si="14"/>
        <v>0</v>
      </c>
      <c r="G188" s="18">
        <v>0</v>
      </c>
      <c r="H188" s="18">
        <v>0</v>
      </c>
      <c r="I188" s="18">
        <f t="shared" si="15"/>
        <v>0</v>
      </c>
      <c r="J188" s="18">
        <v>0</v>
      </c>
      <c r="K188" s="18">
        <v>0</v>
      </c>
      <c r="L188" s="18">
        <f t="shared" si="16"/>
        <v>0</v>
      </c>
      <c r="M188" s="18">
        <v>0</v>
      </c>
      <c r="N188" s="18">
        <v>0</v>
      </c>
      <c r="O188" s="18">
        <v>0</v>
      </c>
      <c r="P188" s="18">
        <v>0</v>
      </c>
      <c r="Q188" s="18">
        <f t="shared" si="12"/>
        <v>0</v>
      </c>
      <c r="R188">
        <v>0</v>
      </c>
      <c r="S188">
        <v>0</v>
      </c>
      <c r="T188">
        <v>0</v>
      </c>
      <c r="U188">
        <v>0</v>
      </c>
      <c r="V188" s="18">
        <f t="shared" si="13"/>
        <v>0</v>
      </c>
      <c r="W188" s="18">
        <f t="shared" si="17"/>
        <v>0</v>
      </c>
      <c r="X188" s="18">
        <v>0</v>
      </c>
      <c r="Y188" s="18">
        <v>0</v>
      </c>
    </row>
    <row r="189" spans="1:25" x14ac:dyDescent="0.2">
      <c r="A189" s="18">
        <v>6087</v>
      </c>
      <c r="C189" s="18">
        <v>0</v>
      </c>
      <c r="D189" s="18">
        <v>0</v>
      </c>
      <c r="E189" s="18">
        <v>0</v>
      </c>
      <c r="F189" s="18">
        <f t="shared" si="14"/>
        <v>0</v>
      </c>
      <c r="G189" s="18">
        <v>0</v>
      </c>
      <c r="H189" s="18">
        <v>0</v>
      </c>
      <c r="I189" s="18">
        <f t="shared" si="15"/>
        <v>0</v>
      </c>
      <c r="J189" s="18">
        <v>0</v>
      </c>
      <c r="K189" s="18">
        <v>0</v>
      </c>
      <c r="L189" s="18">
        <f t="shared" si="16"/>
        <v>0</v>
      </c>
      <c r="M189" s="18">
        <v>0</v>
      </c>
      <c r="N189" s="18">
        <v>0</v>
      </c>
      <c r="O189" s="18">
        <v>0</v>
      </c>
      <c r="P189" s="18">
        <v>0</v>
      </c>
      <c r="Q189" s="18">
        <f t="shared" si="12"/>
        <v>0</v>
      </c>
      <c r="R189">
        <v>0</v>
      </c>
      <c r="S189">
        <v>0</v>
      </c>
      <c r="T189">
        <v>0</v>
      </c>
      <c r="U189">
        <v>0</v>
      </c>
      <c r="V189" s="18">
        <f t="shared" si="13"/>
        <v>0</v>
      </c>
      <c r="W189" s="18">
        <f t="shared" si="17"/>
        <v>0</v>
      </c>
      <c r="X189" s="18">
        <v>0</v>
      </c>
      <c r="Y189" s="18">
        <v>0</v>
      </c>
    </row>
    <row r="190" spans="1:25" x14ac:dyDescent="0.2">
      <c r="A190" s="18">
        <v>6091</v>
      </c>
      <c r="C190" s="18">
        <v>0</v>
      </c>
      <c r="D190" s="18">
        <v>0</v>
      </c>
      <c r="E190" s="18">
        <v>0</v>
      </c>
      <c r="F190" s="18">
        <f t="shared" si="14"/>
        <v>0</v>
      </c>
      <c r="G190" s="18">
        <v>0</v>
      </c>
      <c r="H190" s="18">
        <v>0</v>
      </c>
      <c r="I190" s="18">
        <f t="shared" si="15"/>
        <v>0</v>
      </c>
      <c r="J190" s="18">
        <v>0</v>
      </c>
      <c r="K190" s="18">
        <v>0</v>
      </c>
      <c r="L190" s="18">
        <f t="shared" si="16"/>
        <v>0</v>
      </c>
      <c r="M190" s="18">
        <v>0</v>
      </c>
      <c r="N190" s="18">
        <v>0</v>
      </c>
      <c r="O190" s="18">
        <v>0</v>
      </c>
      <c r="P190" s="18">
        <v>0</v>
      </c>
      <c r="Q190" s="18">
        <f t="shared" si="12"/>
        <v>0</v>
      </c>
      <c r="R190">
        <v>0</v>
      </c>
      <c r="S190">
        <v>0</v>
      </c>
      <c r="T190">
        <v>0</v>
      </c>
      <c r="U190">
        <v>0</v>
      </c>
      <c r="V190" s="18">
        <f t="shared" si="13"/>
        <v>0</v>
      </c>
      <c r="W190" s="18">
        <f t="shared" si="17"/>
        <v>0</v>
      </c>
      <c r="X190" s="18">
        <v>0</v>
      </c>
      <c r="Y190" s="18">
        <v>0</v>
      </c>
    </row>
    <row r="191" spans="1:25" x14ac:dyDescent="0.2">
      <c r="A191" s="18">
        <v>6092</v>
      </c>
      <c r="C191" s="18">
        <v>0</v>
      </c>
      <c r="D191" s="18">
        <v>0</v>
      </c>
      <c r="E191" s="18">
        <v>0</v>
      </c>
      <c r="F191" s="18">
        <f t="shared" si="14"/>
        <v>0</v>
      </c>
      <c r="G191" s="18">
        <v>0</v>
      </c>
      <c r="H191" s="18">
        <v>0</v>
      </c>
      <c r="I191" s="18">
        <f t="shared" si="15"/>
        <v>0</v>
      </c>
      <c r="J191" s="18">
        <v>0</v>
      </c>
      <c r="K191" s="18">
        <v>0</v>
      </c>
      <c r="L191" s="18">
        <f t="shared" si="16"/>
        <v>0</v>
      </c>
      <c r="M191" s="18">
        <v>0</v>
      </c>
      <c r="N191" s="18">
        <v>0</v>
      </c>
      <c r="O191" s="18">
        <v>0</v>
      </c>
      <c r="P191" s="18">
        <v>0</v>
      </c>
      <c r="Q191" s="18">
        <f t="shared" si="12"/>
        <v>0</v>
      </c>
      <c r="R191">
        <v>0</v>
      </c>
      <c r="S191">
        <v>0</v>
      </c>
      <c r="T191">
        <v>0</v>
      </c>
      <c r="U191">
        <v>0</v>
      </c>
      <c r="V191" s="18">
        <f t="shared" si="13"/>
        <v>0</v>
      </c>
      <c r="W191" s="18">
        <f t="shared" si="17"/>
        <v>0</v>
      </c>
      <c r="X191" s="18">
        <v>0</v>
      </c>
      <c r="Y191" s="18">
        <v>0</v>
      </c>
    </row>
    <row r="192" spans="1:25" x14ac:dyDescent="0.2">
      <c r="A192" s="18">
        <v>6096</v>
      </c>
      <c r="C192" s="18">
        <v>0</v>
      </c>
      <c r="D192" s="18">
        <v>0</v>
      </c>
      <c r="E192" s="18">
        <v>0</v>
      </c>
      <c r="F192" s="18">
        <f t="shared" si="14"/>
        <v>0</v>
      </c>
      <c r="G192" s="18">
        <v>0</v>
      </c>
      <c r="H192" s="18">
        <v>0</v>
      </c>
      <c r="I192" s="18">
        <f t="shared" si="15"/>
        <v>0</v>
      </c>
      <c r="J192" s="18">
        <v>0</v>
      </c>
      <c r="K192" s="18">
        <v>0</v>
      </c>
      <c r="L192" s="18">
        <f t="shared" si="16"/>
        <v>0</v>
      </c>
      <c r="M192" s="18">
        <v>0</v>
      </c>
      <c r="N192" s="18">
        <v>0</v>
      </c>
      <c r="O192" s="18">
        <v>0</v>
      </c>
      <c r="P192" s="18">
        <v>0</v>
      </c>
      <c r="Q192" s="18">
        <f t="shared" si="12"/>
        <v>0</v>
      </c>
      <c r="R192">
        <v>0</v>
      </c>
      <c r="S192">
        <v>0</v>
      </c>
      <c r="T192">
        <v>0</v>
      </c>
      <c r="U192">
        <v>0</v>
      </c>
      <c r="V192" s="18">
        <f t="shared" si="13"/>
        <v>0</v>
      </c>
      <c r="W192" s="18">
        <f t="shared" si="17"/>
        <v>0</v>
      </c>
      <c r="X192" s="18">
        <v>0</v>
      </c>
      <c r="Y192" s="18">
        <v>0</v>
      </c>
    </row>
    <row r="193" spans="1:25" x14ac:dyDescent="0.2">
      <c r="A193" s="18">
        <v>6125</v>
      </c>
      <c r="C193" s="18">
        <v>0</v>
      </c>
      <c r="D193" s="18">
        <v>0</v>
      </c>
      <c r="E193" s="18">
        <v>0</v>
      </c>
      <c r="F193" s="18">
        <f t="shared" si="14"/>
        <v>0</v>
      </c>
      <c r="G193" s="18">
        <v>0</v>
      </c>
      <c r="H193" s="18">
        <v>0</v>
      </c>
      <c r="I193" s="18">
        <f t="shared" si="15"/>
        <v>0</v>
      </c>
      <c r="J193" s="18">
        <v>0</v>
      </c>
      <c r="K193" s="18">
        <v>0</v>
      </c>
      <c r="L193" s="18">
        <f t="shared" si="16"/>
        <v>0</v>
      </c>
      <c r="M193" s="18">
        <v>0</v>
      </c>
      <c r="N193" s="18">
        <v>0</v>
      </c>
      <c r="O193" s="18">
        <v>0</v>
      </c>
      <c r="P193" s="18">
        <v>0</v>
      </c>
      <c r="Q193" s="18">
        <f t="shared" si="12"/>
        <v>0</v>
      </c>
      <c r="R193">
        <v>0</v>
      </c>
      <c r="S193">
        <v>0</v>
      </c>
      <c r="T193">
        <v>0</v>
      </c>
      <c r="U193">
        <v>0</v>
      </c>
      <c r="V193" s="18">
        <f t="shared" si="13"/>
        <v>0</v>
      </c>
      <c r="W193" s="18">
        <f t="shared" si="17"/>
        <v>0</v>
      </c>
      <c r="X193" s="18">
        <v>0</v>
      </c>
      <c r="Y193" s="18">
        <v>0</v>
      </c>
    </row>
    <row r="194" spans="1:25" x14ac:dyDescent="0.2">
      <c r="A194" s="18">
        <v>6134</v>
      </c>
      <c r="C194" s="18">
        <v>0</v>
      </c>
      <c r="D194" s="18">
        <v>0</v>
      </c>
      <c r="E194" s="18">
        <v>0</v>
      </c>
      <c r="F194" s="18">
        <f t="shared" si="14"/>
        <v>0</v>
      </c>
      <c r="G194" s="18">
        <v>0</v>
      </c>
      <c r="H194" s="18">
        <v>0</v>
      </c>
      <c r="I194" s="18">
        <f t="shared" si="15"/>
        <v>0</v>
      </c>
      <c r="J194" s="18">
        <v>0</v>
      </c>
      <c r="K194" s="18">
        <v>0</v>
      </c>
      <c r="L194" s="18">
        <f t="shared" si="16"/>
        <v>0</v>
      </c>
      <c r="M194" s="18">
        <v>0</v>
      </c>
      <c r="N194" s="18">
        <v>0</v>
      </c>
      <c r="O194" s="18">
        <v>0</v>
      </c>
      <c r="P194" s="18">
        <v>0</v>
      </c>
      <c r="Q194" s="18">
        <f t="shared" si="12"/>
        <v>0</v>
      </c>
      <c r="R194">
        <v>0</v>
      </c>
      <c r="S194">
        <v>0</v>
      </c>
      <c r="T194">
        <v>0</v>
      </c>
      <c r="U194">
        <v>0</v>
      </c>
      <c r="V194" s="18">
        <f t="shared" si="13"/>
        <v>0</v>
      </c>
      <c r="W194" s="18">
        <f t="shared" si="17"/>
        <v>0</v>
      </c>
      <c r="X194" s="18">
        <v>0</v>
      </c>
      <c r="Y194" s="18">
        <v>0</v>
      </c>
    </row>
    <row r="195" spans="1:25" x14ac:dyDescent="0.2">
      <c r="A195" s="18">
        <v>6115</v>
      </c>
      <c r="C195" s="18">
        <v>0</v>
      </c>
      <c r="D195" s="18">
        <v>0</v>
      </c>
      <c r="E195" s="18">
        <v>0</v>
      </c>
      <c r="F195" s="18">
        <f t="shared" si="14"/>
        <v>0</v>
      </c>
      <c r="G195" s="18">
        <v>0</v>
      </c>
      <c r="H195" s="18">
        <v>0</v>
      </c>
      <c r="I195" s="18">
        <f t="shared" si="15"/>
        <v>0</v>
      </c>
      <c r="J195" s="18">
        <v>0</v>
      </c>
      <c r="K195" s="18">
        <v>0</v>
      </c>
      <c r="L195" s="18">
        <f t="shared" si="16"/>
        <v>0</v>
      </c>
      <c r="M195" s="18">
        <v>0</v>
      </c>
      <c r="N195" s="18">
        <v>0</v>
      </c>
      <c r="O195" s="18">
        <v>0</v>
      </c>
      <c r="P195" s="18">
        <v>0</v>
      </c>
      <c r="Q195" s="18">
        <f t="shared" si="12"/>
        <v>0</v>
      </c>
      <c r="R195">
        <v>0</v>
      </c>
      <c r="S195">
        <v>0</v>
      </c>
      <c r="T195">
        <v>0</v>
      </c>
      <c r="U195">
        <v>0</v>
      </c>
      <c r="V195" s="18">
        <f t="shared" si="13"/>
        <v>0</v>
      </c>
      <c r="W195" s="18">
        <f t="shared" si="17"/>
        <v>0</v>
      </c>
      <c r="X195" s="18">
        <v>0</v>
      </c>
      <c r="Y195" s="18">
        <v>0</v>
      </c>
    </row>
    <row r="196" spans="1:25" x14ac:dyDescent="0.2">
      <c r="A196" s="18">
        <v>6136</v>
      </c>
      <c r="C196" s="18">
        <v>0</v>
      </c>
      <c r="D196" s="18">
        <v>0</v>
      </c>
      <c r="E196" s="18">
        <v>0</v>
      </c>
      <c r="F196" s="18">
        <f t="shared" si="14"/>
        <v>0</v>
      </c>
      <c r="G196" s="18">
        <v>0</v>
      </c>
      <c r="H196" s="18">
        <v>0</v>
      </c>
      <c r="I196" s="18">
        <f t="shared" si="15"/>
        <v>0</v>
      </c>
      <c r="J196" s="18">
        <v>0</v>
      </c>
      <c r="K196" s="18">
        <v>0</v>
      </c>
      <c r="L196" s="18">
        <f t="shared" si="16"/>
        <v>0</v>
      </c>
      <c r="M196" s="18">
        <v>0</v>
      </c>
      <c r="N196" s="18">
        <v>0</v>
      </c>
      <c r="O196" s="18">
        <v>0</v>
      </c>
      <c r="P196" s="18">
        <v>0</v>
      </c>
      <c r="Q196" s="18">
        <f t="shared" ref="Q196:Q221" si="18">SUM(M196:P196)</f>
        <v>0</v>
      </c>
      <c r="R196">
        <v>0</v>
      </c>
      <c r="S196">
        <v>0</v>
      </c>
      <c r="T196">
        <v>0</v>
      </c>
      <c r="U196">
        <v>0</v>
      </c>
      <c r="V196" s="18">
        <f t="shared" ref="V196:V259" si="19">M196+N196</f>
        <v>0</v>
      </c>
      <c r="W196" s="18">
        <f t="shared" si="17"/>
        <v>0</v>
      </c>
      <c r="X196" s="18">
        <v>0</v>
      </c>
      <c r="Y196" s="18">
        <v>0</v>
      </c>
    </row>
    <row r="197" spans="1:25" x14ac:dyDescent="0.2">
      <c r="A197" s="18">
        <v>6141</v>
      </c>
      <c r="C197" s="18">
        <v>0</v>
      </c>
      <c r="D197" s="18">
        <v>0</v>
      </c>
      <c r="E197" s="18">
        <v>0</v>
      </c>
      <c r="F197" s="18">
        <f t="shared" ref="F197:F260" si="20">SUM(D197:E197)</f>
        <v>0</v>
      </c>
      <c r="G197" s="18">
        <v>0</v>
      </c>
      <c r="H197" s="18">
        <v>0</v>
      </c>
      <c r="I197" s="18">
        <f t="shared" ref="I197:I260" si="21">SUM(G197:H197)</f>
        <v>0</v>
      </c>
      <c r="J197" s="18">
        <v>0</v>
      </c>
      <c r="K197" s="18">
        <v>0</v>
      </c>
      <c r="L197" s="18">
        <f t="shared" ref="L197:L260" si="22">SUM(J197:K197)</f>
        <v>0</v>
      </c>
      <c r="M197" s="18">
        <v>0</v>
      </c>
      <c r="N197" s="18">
        <v>0</v>
      </c>
      <c r="O197" s="18">
        <v>0</v>
      </c>
      <c r="P197" s="18">
        <v>0</v>
      </c>
      <c r="Q197" s="18">
        <f t="shared" si="18"/>
        <v>0</v>
      </c>
      <c r="R197">
        <v>0</v>
      </c>
      <c r="S197">
        <v>0</v>
      </c>
      <c r="T197">
        <v>0</v>
      </c>
      <c r="U197">
        <v>0</v>
      </c>
      <c r="V197" s="18">
        <f t="shared" si="19"/>
        <v>0</v>
      </c>
      <c r="W197" s="18">
        <f t="shared" ref="W197:W260" si="23">O197+P197</f>
        <v>0</v>
      </c>
      <c r="X197" s="18">
        <v>0</v>
      </c>
      <c r="Y197" s="18">
        <v>0</v>
      </c>
    </row>
    <row r="198" spans="1:25" x14ac:dyDescent="0.2">
      <c r="A198" s="18">
        <v>6142</v>
      </c>
      <c r="C198" s="18">
        <v>0</v>
      </c>
      <c r="D198" s="18">
        <v>0</v>
      </c>
      <c r="E198" s="18">
        <v>0</v>
      </c>
      <c r="F198" s="18">
        <f t="shared" si="20"/>
        <v>0</v>
      </c>
      <c r="G198" s="18">
        <v>0</v>
      </c>
      <c r="H198" s="18">
        <v>0</v>
      </c>
      <c r="I198" s="18">
        <f t="shared" si="21"/>
        <v>0</v>
      </c>
      <c r="J198" s="18">
        <v>0</v>
      </c>
      <c r="K198" s="18">
        <v>0</v>
      </c>
      <c r="L198" s="18">
        <f t="shared" si="22"/>
        <v>0</v>
      </c>
      <c r="M198" s="18">
        <v>0</v>
      </c>
      <c r="N198" s="18">
        <v>0</v>
      </c>
      <c r="O198" s="18">
        <v>0</v>
      </c>
      <c r="P198" s="18">
        <v>0</v>
      </c>
      <c r="Q198" s="18">
        <f t="shared" si="18"/>
        <v>0</v>
      </c>
      <c r="R198">
        <v>0</v>
      </c>
      <c r="S198">
        <v>0</v>
      </c>
      <c r="T198">
        <v>0</v>
      </c>
      <c r="U198">
        <v>0</v>
      </c>
      <c r="V198" s="18">
        <f t="shared" si="19"/>
        <v>0</v>
      </c>
      <c r="W198" s="18">
        <f t="shared" si="23"/>
        <v>0</v>
      </c>
      <c r="X198" s="18">
        <v>0</v>
      </c>
      <c r="Y198" s="18">
        <v>0</v>
      </c>
    </row>
    <row r="199" spans="1:25" x14ac:dyDescent="0.2">
      <c r="A199" s="18">
        <v>6149</v>
      </c>
      <c r="C199" s="18">
        <v>0</v>
      </c>
      <c r="D199" s="18">
        <v>0</v>
      </c>
      <c r="E199" s="18">
        <v>0</v>
      </c>
      <c r="F199" s="18">
        <f t="shared" si="20"/>
        <v>0</v>
      </c>
      <c r="G199" s="18">
        <v>0</v>
      </c>
      <c r="H199" s="18">
        <v>0</v>
      </c>
      <c r="I199" s="18">
        <f t="shared" si="21"/>
        <v>0</v>
      </c>
      <c r="J199" s="18">
        <v>0</v>
      </c>
      <c r="K199" s="18">
        <v>0</v>
      </c>
      <c r="L199" s="18">
        <f t="shared" si="22"/>
        <v>0</v>
      </c>
      <c r="M199" s="18">
        <v>0</v>
      </c>
      <c r="N199" s="18">
        <v>0</v>
      </c>
      <c r="O199" s="18">
        <v>0</v>
      </c>
      <c r="P199" s="18">
        <v>0</v>
      </c>
      <c r="Q199" s="18">
        <f t="shared" si="18"/>
        <v>0</v>
      </c>
      <c r="R199">
        <v>0</v>
      </c>
      <c r="S199">
        <v>0</v>
      </c>
      <c r="T199">
        <v>0</v>
      </c>
      <c r="U199">
        <v>0</v>
      </c>
      <c r="V199" s="18">
        <f t="shared" si="19"/>
        <v>0</v>
      </c>
      <c r="W199" s="18">
        <f t="shared" si="23"/>
        <v>0</v>
      </c>
      <c r="X199" s="18">
        <v>0</v>
      </c>
      <c r="Y199" s="18">
        <v>0</v>
      </c>
    </row>
    <row r="200" spans="1:25" x14ac:dyDescent="0.2">
      <c r="A200" s="18">
        <v>6151</v>
      </c>
      <c r="C200" s="18">
        <v>0</v>
      </c>
      <c r="D200" s="18">
        <v>0</v>
      </c>
      <c r="E200" s="18">
        <v>0</v>
      </c>
      <c r="F200" s="18">
        <f t="shared" si="20"/>
        <v>0</v>
      </c>
      <c r="G200" s="18">
        <v>0</v>
      </c>
      <c r="H200" s="18">
        <v>0</v>
      </c>
      <c r="I200" s="18">
        <f t="shared" si="21"/>
        <v>0</v>
      </c>
      <c r="J200" s="18">
        <v>0</v>
      </c>
      <c r="K200" s="18">
        <v>0</v>
      </c>
      <c r="L200" s="18">
        <f t="shared" si="22"/>
        <v>0</v>
      </c>
      <c r="M200" s="18">
        <v>0</v>
      </c>
      <c r="N200" s="18">
        <v>0</v>
      </c>
      <c r="O200" s="18">
        <v>0</v>
      </c>
      <c r="P200" s="18">
        <v>0</v>
      </c>
      <c r="Q200" s="18">
        <f t="shared" si="18"/>
        <v>0</v>
      </c>
      <c r="R200">
        <v>0</v>
      </c>
      <c r="S200">
        <v>0</v>
      </c>
      <c r="T200">
        <v>0</v>
      </c>
      <c r="U200">
        <v>0</v>
      </c>
      <c r="V200" s="18">
        <f t="shared" si="19"/>
        <v>0</v>
      </c>
      <c r="W200" s="18">
        <f t="shared" si="23"/>
        <v>0</v>
      </c>
      <c r="X200" s="18">
        <v>0</v>
      </c>
      <c r="Y200" s="18">
        <v>0</v>
      </c>
    </row>
    <row r="201" spans="1:25" x14ac:dyDescent="0.2">
      <c r="A201" s="18">
        <v>6155</v>
      </c>
      <c r="C201" s="18">
        <v>0</v>
      </c>
      <c r="D201" s="18">
        <v>0</v>
      </c>
      <c r="E201" s="18">
        <v>0</v>
      </c>
      <c r="F201" s="18">
        <f t="shared" si="20"/>
        <v>0</v>
      </c>
      <c r="G201" s="18">
        <v>0</v>
      </c>
      <c r="H201" s="18">
        <v>0</v>
      </c>
      <c r="I201" s="18">
        <f t="shared" si="21"/>
        <v>0</v>
      </c>
      <c r="J201" s="18">
        <v>0</v>
      </c>
      <c r="K201" s="18">
        <v>0</v>
      </c>
      <c r="L201" s="18">
        <f t="shared" si="22"/>
        <v>0</v>
      </c>
      <c r="M201" s="18">
        <v>0</v>
      </c>
      <c r="N201" s="18">
        <v>0</v>
      </c>
      <c r="O201" s="18">
        <v>0</v>
      </c>
      <c r="P201" s="18">
        <v>0</v>
      </c>
      <c r="Q201" s="18">
        <f t="shared" si="18"/>
        <v>0</v>
      </c>
      <c r="R201">
        <v>0</v>
      </c>
      <c r="S201">
        <v>0</v>
      </c>
      <c r="T201">
        <v>0</v>
      </c>
      <c r="U201">
        <v>0</v>
      </c>
      <c r="V201" s="18">
        <f t="shared" si="19"/>
        <v>0</v>
      </c>
      <c r="W201" s="18">
        <f t="shared" si="23"/>
        <v>0</v>
      </c>
      <c r="X201" s="18">
        <v>0</v>
      </c>
      <c r="Y201" s="18">
        <v>0</v>
      </c>
    </row>
    <row r="202" spans="1:25" x14ac:dyDescent="0.2">
      <c r="A202" s="18">
        <v>6157</v>
      </c>
      <c r="C202" s="18">
        <v>0</v>
      </c>
      <c r="D202" s="18">
        <v>0</v>
      </c>
      <c r="E202" s="18">
        <v>0</v>
      </c>
      <c r="F202" s="18">
        <f t="shared" si="20"/>
        <v>0</v>
      </c>
      <c r="G202" s="18">
        <v>0</v>
      </c>
      <c r="H202" s="18">
        <v>0</v>
      </c>
      <c r="I202" s="18">
        <f t="shared" si="21"/>
        <v>0</v>
      </c>
      <c r="J202" s="18">
        <v>0</v>
      </c>
      <c r="K202" s="18">
        <v>0</v>
      </c>
      <c r="L202" s="18">
        <f t="shared" si="22"/>
        <v>0</v>
      </c>
      <c r="M202" s="18">
        <v>0</v>
      </c>
      <c r="N202" s="18">
        <v>0</v>
      </c>
      <c r="O202" s="18">
        <v>0</v>
      </c>
      <c r="P202" s="18">
        <v>0</v>
      </c>
      <c r="Q202" s="18">
        <f t="shared" si="18"/>
        <v>0</v>
      </c>
      <c r="R202">
        <v>0</v>
      </c>
      <c r="S202">
        <v>0</v>
      </c>
      <c r="T202">
        <v>0</v>
      </c>
      <c r="U202">
        <v>0</v>
      </c>
      <c r="V202" s="18">
        <f t="shared" si="19"/>
        <v>0</v>
      </c>
      <c r="W202" s="18">
        <f t="shared" si="23"/>
        <v>0</v>
      </c>
      <c r="X202" s="18">
        <v>0</v>
      </c>
      <c r="Y202" s="18">
        <v>0</v>
      </c>
    </row>
    <row r="203" spans="1:25" x14ac:dyDescent="0.2">
      <c r="A203" s="18">
        <v>6162</v>
      </c>
      <c r="C203" s="18">
        <v>0</v>
      </c>
      <c r="D203" s="18">
        <v>0</v>
      </c>
      <c r="E203" s="18">
        <v>0</v>
      </c>
      <c r="F203" s="18">
        <f t="shared" si="20"/>
        <v>0</v>
      </c>
      <c r="G203" s="18">
        <v>0</v>
      </c>
      <c r="H203" s="18">
        <v>0</v>
      </c>
      <c r="I203" s="18">
        <f t="shared" si="21"/>
        <v>0</v>
      </c>
      <c r="J203" s="18">
        <v>0</v>
      </c>
      <c r="K203" s="18">
        <v>0</v>
      </c>
      <c r="L203" s="18">
        <f t="shared" si="22"/>
        <v>0</v>
      </c>
      <c r="M203" s="18">
        <v>0</v>
      </c>
      <c r="N203" s="18">
        <v>0</v>
      </c>
      <c r="O203" s="18">
        <v>0</v>
      </c>
      <c r="P203" s="18">
        <v>0</v>
      </c>
      <c r="Q203" s="18">
        <f t="shared" si="18"/>
        <v>0</v>
      </c>
      <c r="R203">
        <v>0</v>
      </c>
      <c r="S203">
        <v>0</v>
      </c>
      <c r="T203">
        <v>0</v>
      </c>
      <c r="U203">
        <v>0</v>
      </c>
      <c r="V203" s="18">
        <f t="shared" si="19"/>
        <v>0</v>
      </c>
      <c r="W203" s="18">
        <f t="shared" si="23"/>
        <v>0</v>
      </c>
      <c r="X203" s="18">
        <v>0</v>
      </c>
      <c r="Y203" s="18">
        <v>0</v>
      </c>
    </row>
    <row r="204" spans="1:25" x14ac:dyDescent="0.2">
      <c r="A204" s="18">
        <v>6164</v>
      </c>
      <c r="C204" s="18">
        <v>0</v>
      </c>
      <c r="D204" s="18">
        <v>0</v>
      </c>
      <c r="E204" s="18">
        <v>0</v>
      </c>
      <c r="F204" s="18">
        <f t="shared" si="20"/>
        <v>0</v>
      </c>
      <c r="G204" s="18">
        <v>0</v>
      </c>
      <c r="H204" s="18">
        <v>0</v>
      </c>
      <c r="I204" s="18">
        <f t="shared" si="21"/>
        <v>0</v>
      </c>
      <c r="J204" s="18">
        <v>0</v>
      </c>
      <c r="K204" s="18">
        <v>0</v>
      </c>
      <c r="L204" s="18">
        <f t="shared" si="22"/>
        <v>0</v>
      </c>
      <c r="M204" s="18">
        <v>0</v>
      </c>
      <c r="N204" s="18">
        <v>0</v>
      </c>
      <c r="O204" s="18">
        <v>0</v>
      </c>
      <c r="P204" s="18">
        <v>0</v>
      </c>
      <c r="Q204" s="18">
        <f t="shared" si="18"/>
        <v>0</v>
      </c>
      <c r="R204">
        <v>0</v>
      </c>
      <c r="S204">
        <v>0</v>
      </c>
      <c r="T204">
        <v>0</v>
      </c>
      <c r="U204">
        <v>0</v>
      </c>
      <c r="V204" s="18">
        <f t="shared" si="19"/>
        <v>0</v>
      </c>
      <c r="W204" s="18">
        <f t="shared" si="23"/>
        <v>0</v>
      </c>
      <c r="X204" s="18">
        <v>0</v>
      </c>
      <c r="Y204" s="18">
        <v>0</v>
      </c>
    </row>
    <row r="205" spans="1:25" x14ac:dyDescent="0.2">
      <c r="A205" s="18">
        <v>6049</v>
      </c>
      <c r="C205" s="18">
        <v>0</v>
      </c>
      <c r="D205" s="18">
        <v>0</v>
      </c>
      <c r="E205" s="18">
        <v>0</v>
      </c>
      <c r="F205" s="18">
        <f t="shared" si="20"/>
        <v>0</v>
      </c>
      <c r="G205" s="18">
        <v>0</v>
      </c>
      <c r="H205" s="18">
        <v>0</v>
      </c>
      <c r="I205" s="18">
        <f t="shared" si="21"/>
        <v>0</v>
      </c>
      <c r="J205" s="18">
        <v>0</v>
      </c>
      <c r="K205" s="18">
        <v>0</v>
      </c>
      <c r="L205" s="18">
        <f t="shared" si="22"/>
        <v>0</v>
      </c>
      <c r="M205" s="18">
        <v>0</v>
      </c>
      <c r="N205" s="18">
        <v>0</v>
      </c>
      <c r="O205" s="18">
        <v>0</v>
      </c>
      <c r="P205" s="18">
        <v>0</v>
      </c>
      <c r="Q205" s="18">
        <f t="shared" si="18"/>
        <v>0</v>
      </c>
      <c r="R205">
        <v>0</v>
      </c>
      <c r="S205">
        <v>0</v>
      </c>
      <c r="T205">
        <v>0</v>
      </c>
      <c r="U205">
        <v>0</v>
      </c>
      <c r="V205" s="18">
        <f t="shared" si="19"/>
        <v>0</v>
      </c>
      <c r="W205" s="18">
        <f t="shared" si="23"/>
        <v>0</v>
      </c>
      <c r="X205" s="18">
        <v>0</v>
      </c>
      <c r="Y205" s="18">
        <v>0</v>
      </c>
    </row>
    <row r="206" spans="1:25" x14ac:dyDescent="0.2">
      <c r="A206" s="18">
        <v>6185</v>
      </c>
      <c r="C206" s="18">
        <v>0</v>
      </c>
      <c r="D206" s="18">
        <v>0</v>
      </c>
      <c r="E206" s="18">
        <v>0</v>
      </c>
      <c r="F206" s="18">
        <f t="shared" si="20"/>
        <v>0</v>
      </c>
      <c r="G206" s="18">
        <v>0</v>
      </c>
      <c r="H206" s="18">
        <v>0</v>
      </c>
      <c r="I206" s="18">
        <f t="shared" si="21"/>
        <v>0</v>
      </c>
      <c r="J206" s="18">
        <v>0</v>
      </c>
      <c r="K206" s="18">
        <v>0</v>
      </c>
      <c r="L206" s="18">
        <f t="shared" si="22"/>
        <v>0</v>
      </c>
      <c r="M206" s="18">
        <v>0</v>
      </c>
      <c r="N206" s="18">
        <v>0</v>
      </c>
      <c r="O206" s="18">
        <v>0</v>
      </c>
      <c r="P206" s="18">
        <v>0</v>
      </c>
      <c r="Q206" s="18">
        <f t="shared" si="18"/>
        <v>0</v>
      </c>
      <c r="R206">
        <v>0</v>
      </c>
      <c r="S206">
        <v>0</v>
      </c>
      <c r="T206">
        <v>0</v>
      </c>
      <c r="U206">
        <v>0</v>
      </c>
      <c r="V206" s="18">
        <f t="shared" si="19"/>
        <v>0</v>
      </c>
      <c r="W206" s="18">
        <f t="shared" si="23"/>
        <v>0</v>
      </c>
      <c r="X206" s="18">
        <v>0</v>
      </c>
      <c r="Y206" s="18">
        <v>0</v>
      </c>
    </row>
    <row r="207" spans="1:25" x14ac:dyDescent="0.2">
      <c r="A207" s="18">
        <v>6168</v>
      </c>
      <c r="C207" s="18">
        <v>0</v>
      </c>
      <c r="D207" s="18">
        <v>0</v>
      </c>
      <c r="E207" s="18">
        <v>0</v>
      </c>
      <c r="F207" s="18">
        <f t="shared" si="20"/>
        <v>0</v>
      </c>
      <c r="G207" s="18">
        <v>0</v>
      </c>
      <c r="H207" s="18">
        <v>0</v>
      </c>
      <c r="I207" s="18">
        <f t="shared" si="21"/>
        <v>0</v>
      </c>
      <c r="J207" s="18">
        <v>0</v>
      </c>
      <c r="K207" s="18">
        <v>0</v>
      </c>
      <c r="L207" s="18">
        <f t="shared" si="22"/>
        <v>0</v>
      </c>
      <c r="M207" s="18">
        <v>0</v>
      </c>
      <c r="N207" s="18">
        <v>0</v>
      </c>
      <c r="O207" s="18">
        <v>0</v>
      </c>
      <c r="P207" s="18">
        <v>0</v>
      </c>
      <c r="Q207" s="18">
        <f t="shared" si="18"/>
        <v>0</v>
      </c>
      <c r="R207">
        <v>0</v>
      </c>
      <c r="S207">
        <v>0</v>
      </c>
      <c r="T207">
        <v>0</v>
      </c>
      <c r="U207">
        <v>0</v>
      </c>
      <c r="V207" s="18">
        <f t="shared" si="19"/>
        <v>0</v>
      </c>
      <c r="W207" s="18">
        <f t="shared" si="23"/>
        <v>0</v>
      </c>
      <c r="X207" s="18">
        <v>0</v>
      </c>
      <c r="Y207" s="18">
        <v>0</v>
      </c>
    </row>
    <row r="208" spans="1:25" x14ac:dyDescent="0.2">
      <c r="A208" s="18">
        <v>6167</v>
      </c>
      <c r="C208" s="18">
        <v>0</v>
      </c>
      <c r="D208" s="18">
        <v>0</v>
      </c>
      <c r="E208" s="18">
        <v>0</v>
      </c>
      <c r="F208" s="18">
        <f t="shared" si="20"/>
        <v>0</v>
      </c>
      <c r="G208" s="18">
        <v>0</v>
      </c>
      <c r="H208" s="18">
        <v>0</v>
      </c>
      <c r="I208" s="18">
        <f t="shared" si="21"/>
        <v>0</v>
      </c>
      <c r="J208" s="18">
        <v>0</v>
      </c>
      <c r="K208" s="18">
        <v>0</v>
      </c>
      <c r="L208" s="18">
        <f t="shared" si="22"/>
        <v>0</v>
      </c>
      <c r="M208" s="18">
        <v>0</v>
      </c>
      <c r="N208" s="18">
        <v>0</v>
      </c>
      <c r="O208" s="18">
        <v>0</v>
      </c>
      <c r="P208" s="18">
        <v>0</v>
      </c>
      <c r="Q208" s="18">
        <f t="shared" si="18"/>
        <v>0</v>
      </c>
      <c r="R208">
        <v>0</v>
      </c>
      <c r="S208">
        <v>0</v>
      </c>
      <c r="T208">
        <v>0</v>
      </c>
      <c r="U208">
        <v>0</v>
      </c>
      <c r="V208" s="18">
        <f t="shared" si="19"/>
        <v>0</v>
      </c>
      <c r="W208" s="18">
        <f t="shared" si="23"/>
        <v>0</v>
      </c>
      <c r="X208" s="18">
        <v>0</v>
      </c>
      <c r="Y208" s="18">
        <v>0</v>
      </c>
    </row>
    <row r="209" spans="1:25" x14ac:dyDescent="0.2">
      <c r="A209" s="18">
        <v>6194</v>
      </c>
      <c r="C209" s="18">
        <v>0</v>
      </c>
      <c r="D209" s="18">
        <v>0</v>
      </c>
      <c r="E209" s="18">
        <v>0</v>
      </c>
      <c r="F209" s="18">
        <f t="shared" si="20"/>
        <v>0</v>
      </c>
      <c r="G209" s="18">
        <v>0</v>
      </c>
      <c r="H209" s="18">
        <v>0</v>
      </c>
      <c r="I209" s="18">
        <f t="shared" si="21"/>
        <v>0</v>
      </c>
      <c r="J209" s="18">
        <v>0</v>
      </c>
      <c r="K209" s="18">
        <v>0</v>
      </c>
      <c r="L209" s="18">
        <f t="shared" si="22"/>
        <v>0</v>
      </c>
      <c r="M209" s="18">
        <v>0</v>
      </c>
      <c r="N209" s="18">
        <v>0</v>
      </c>
      <c r="O209" s="18">
        <v>0</v>
      </c>
      <c r="P209" s="18">
        <v>0</v>
      </c>
      <c r="Q209" s="18">
        <f t="shared" si="18"/>
        <v>0</v>
      </c>
      <c r="R209">
        <v>0</v>
      </c>
      <c r="S209">
        <v>0</v>
      </c>
      <c r="T209">
        <v>0</v>
      </c>
      <c r="U209">
        <v>0</v>
      </c>
      <c r="V209" s="18">
        <f t="shared" si="19"/>
        <v>0</v>
      </c>
      <c r="W209" s="18">
        <f t="shared" si="23"/>
        <v>0</v>
      </c>
      <c r="X209" s="18">
        <v>0</v>
      </c>
      <c r="Y209" s="18">
        <v>0</v>
      </c>
    </row>
    <row r="210" spans="1:25" x14ac:dyDescent="0.2">
      <c r="A210" s="18">
        <v>6189</v>
      </c>
      <c r="C210" s="18">
        <v>0</v>
      </c>
      <c r="D210" s="18">
        <v>0</v>
      </c>
      <c r="E210" s="18">
        <v>0</v>
      </c>
      <c r="F210" s="18">
        <f t="shared" si="20"/>
        <v>0</v>
      </c>
      <c r="G210" s="18">
        <v>0</v>
      </c>
      <c r="H210" s="18">
        <v>0</v>
      </c>
      <c r="I210" s="18">
        <f t="shared" si="21"/>
        <v>0</v>
      </c>
      <c r="J210" s="18">
        <v>0</v>
      </c>
      <c r="K210" s="18">
        <v>0</v>
      </c>
      <c r="L210" s="18">
        <f t="shared" si="22"/>
        <v>0</v>
      </c>
      <c r="M210" s="18">
        <v>0</v>
      </c>
      <c r="N210" s="18">
        <v>0</v>
      </c>
      <c r="O210" s="18">
        <v>0</v>
      </c>
      <c r="P210" s="18">
        <v>0</v>
      </c>
      <c r="Q210" s="18">
        <f t="shared" si="18"/>
        <v>0</v>
      </c>
      <c r="R210">
        <v>0</v>
      </c>
      <c r="S210">
        <v>0</v>
      </c>
      <c r="T210">
        <v>0</v>
      </c>
      <c r="U210">
        <v>0</v>
      </c>
      <c r="V210" s="18">
        <f t="shared" si="19"/>
        <v>0</v>
      </c>
      <c r="W210" s="18">
        <f t="shared" si="23"/>
        <v>0</v>
      </c>
      <c r="X210" s="18">
        <v>0</v>
      </c>
      <c r="Y210" s="18">
        <v>0</v>
      </c>
    </row>
    <row r="211" spans="1:25" x14ac:dyDescent="0.2">
      <c r="A211" s="18">
        <v>6193</v>
      </c>
      <c r="C211" s="18">
        <v>0</v>
      </c>
      <c r="D211" s="18">
        <v>0</v>
      </c>
      <c r="E211" s="18">
        <v>0</v>
      </c>
      <c r="F211" s="18">
        <f t="shared" si="20"/>
        <v>0</v>
      </c>
      <c r="G211" s="18">
        <v>0</v>
      </c>
      <c r="H211" s="18">
        <v>0</v>
      </c>
      <c r="I211" s="18">
        <f t="shared" si="21"/>
        <v>0</v>
      </c>
      <c r="J211" s="18">
        <v>0</v>
      </c>
      <c r="K211" s="18">
        <v>0</v>
      </c>
      <c r="L211" s="18">
        <f t="shared" si="22"/>
        <v>0</v>
      </c>
      <c r="M211" s="18">
        <v>0</v>
      </c>
      <c r="N211" s="18">
        <v>0</v>
      </c>
      <c r="O211" s="18">
        <v>0</v>
      </c>
      <c r="P211" s="18">
        <v>0</v>
      </c>
      <c r="Q211" s="18">
        <f t="shared" si="18"/>
        <v>0</v>
      </c>
      <c r="R211">
        <v>0</v>
      </c>
      <c r="S211">
        <v>0</v>
      </c>
      <c r="T211">
        <v>0</v>
      </c>
      <c r="U211">
        <v>0</v>
      </c>
      <c r="V211" s="18">
        <f t="shared" si="19"/>
        <v>0</v>
      </c>
      <c r="W211" s="18">
        <f t="shared" si="23"/>
        <v>0</v>
      </c>
      <c r="X211" s="18">
        <v>0</v>
      </c>
      <c r="Y211" s="18">
        <v>0</v>
      </c>
    </row>
    <row r="212" spans="1:25" x14ac:dyDescent="0.2">
      <c r="A212" s="18">
        <v>6197</v>
      </c>
      <c r="C212" s="18">
        <v>0</v>
      </c>
      <c r="D212" s="18">
        <v>0</v>
      </c>
      <c r="E212" s="18">
        <v>0</v>
      </c>
      <c r="F212" s="18">
        <f t="shared" si="20"/>
        <v>0</v>
      </c>
      <c r="G212" s="18">
        <v>0</v>
      </c>
      <c r="H212" s="18">
        <v>0</v>
      </c>
      <c r="I212" s="18">
        <f t="shared" si="21"/>
        <v>0</v>
      </c>
      <c r="J212" s="18">
        <v>0</v>
      </c>
      <c r="K212" s="18">
        <v>0</v>
      </c>
      <c r="L212" s="18">
        <f t="shared" si="22"/>
        <v>0</v>
      </c>
      <c r="M212" s="18">
        <v>0</v>
      </c>
      <c r="N212" s="18">
        <v>0</v>
      </c>
      <c r="O212" s="18">
        <v>0</v>
      </c>
      <c r="P212" s="18">
        <v>0</v>
      </c>
      <c r="Q212" s="18">
        <f t="shared" si="18"/>
        <v>0</v>
      </c>
      <c r="R212">
        <v>0</v>
      </c>
      <c r="S212">
        <v>0</v>
      </c>
      <c r="T212">
        <v>0</v>
      </c>
      <c r="U212">
        <v>0</v>
      </c>
      <c r="V212" s="18">
        <f t="shared" si="19"/>
        <v>0</v>
      </c>
      <c r="W212" s="18">
        <f t="shared" si="23"/>
        <v>0</v>
      </c>
      <c r="X212" s="18">
        <v>0</v>
      </c>
      <c r="Y212" s="18">
        <v>0</v>
      </c>
    </row>
    <row r="213" spans="1:25" x14ac:dyDescent="0.2">
      <c r="A213" s="18">
        <v>6205</v>
      </c>
      <c r="C213" s="18">
        <v>0</v>
      </c>
      <c r="D213" s="18">
        <v>0</v>
      </c>
      <c r="E213" s="18">
        <v>0</v>
      </c>
      <c r="F213" s="18">
        <f t="shared" si="20"/>
        <v>0</v>
      </c>
      <c r="G213" s="18">
        <v>0</v>
      </c>
      <c r="H213" s="18">
        <v>0</v>
      </c>
      <c r="I213" s="18">
        <f t="shared" si="21"/>
        <v>0</v>
      </c>
      <c r="J213" s="18">
        <v>0</v>
      </c>
      <c r="K213" s="18">
        <v>0</v>
      </c>
      <c r="L213" s="18">
        <f t="shared" si="22"/>
        <v>0</v>
      </c>
      <c r="M213" s="18">
        <v>0</v>
      </c>
      <c r="N213" s="18">
        <v>0</v>
      </c>
      <c r="O213" s="18">
        <v>0</v>
      </c>
      <c r="P213" s="18">
        <v>0</v>
      </c>
      <c r="Q213" s="18">
        <f t="shared" si="18"/>
        <v>0</v>
      </c>
      <c r="R213">
        <v>0</v>
      </c>
      <c r="S213">
        <v>0</v>
      </c>
      <c r="T213">
        <v>0</v>
      </c>
      <c r="U213">
        <v>0</v>
      </c>
      <c r="V213" s="18">
        <f t="shared" si="19"/>
        <v>0</v>
      </c>
      <c r="W213" s="18">
        <f t="shared" si="23"/>
        <v>0</v>
      </c>
      <c r="X213" s="18">
        <v>0</v>
      </c>
      <c r="Y213" s="18">
        <v>0</v>
      </c>
    </row>
    <row r="214" spans="1:25" x14ac:dyDescent="0.2">
      <c r="A214" s="18">
        <v>6212</v>
      </c>
      <c r="C214" s="18">
        <v>0</v>
      </c>
      <c r="D214" s="18">
        <v>0</v>
      </c>
      <c r="E214" s="18">
        <v>0</v>
      </c>
      <c r="F214" s="18">
        <f t="shared" si="20"/>
        <v>0</v>
      </c>
      <c r="G214" s="18">
        <v>0</v>
      </c>
      <c r="H214" s="18">
        <v>0</v>
      </c>
      <c r="I214" s="18">
        <f t="shared" si="21"/>
        <v>0</v>
      </c>
      <c r="J214" s="18">
        <v>0</v>
      </c>
      <c r="K214" s="18">
        <v>0</v>
      </c>
      <c r="L214" s="18">
        <f t="shared" si="22"/>
        <v>0</v>
      </c>
      <c r="M214" s="18">
        <v>0</v>
      </c>
      <c r="N214" s="18">
        <v>0</v>
      </c>
      <c r="O214" s="18">
        <v>0</v>
      </c>
      <c r="P214" s="18">
        <v>0</v>
      </c>
      <c r="Q214" s="18">
        <f t="shared" si="18"/>
        <v>0</v>
      </c>
      <c r="R214">
        <v>0</v>
      </c>
      <c r="S214">
        <v>0</v>
      </c>
      <c r="T214">
        <v>0</v>
      </c>
      <c r="U214">
        <v>0</v>
      </c>
      <c r="V214" s="18">
        <f t="shared" si="19"/>
        <v>0</v>
      </c>
      <c r="W214" s="18">
        <f t="shared" si="23"/>
        <v>0</v>
      </c>
      <c r="X214" s="18">
        <v>0</v>
      </c>
      <c r="Y214" s="18">
        <v>0</v>
      </c>
    </row>
    <row r="215" spans="1:25" x14ac:dyDescent="0.2">
      <c r="A215" s="18">
        <v>6188</v>
      </c>
      <c r="C215" s="18">
        <v>0</v>
      </c>
      <c r="D215" s="18">
        <v>0</v>
      </c>
      <c r="E215" s="18">
        <v>0</v>
      </c>
      <c r="F215" s="18">
        <f t="shared" si="20"/>
        <v>0</v>
      </c>
      <c r="G215" s="18">
        <v>0</v>
      </c>
      <c r="H215" s="18">
        <v>0</v>
      </c>
      <c r="I215" s="18">
        <f t="shared" si="21"/>
        <v>0</v>
      </c>
      <c r="J215" s="18">
        <v>0</v>
      </c>
      <c r="K215" s="18">
        <v>0</v>
      </c>
      <c r="L215" s="18">
        <f t="shared" si="22"/>
        <v>0</v>
      </c>
      <c r="M215" s="18">
        <v>0</v>
      </c>
      <c r="N215" s="18">
        <v>0</v>
      </c>
      <c r="O215" s="18">
        <v>0</v>
      </c>
      <c r="P215" s="18">
        <v>0</v>
      </c>
      <c r="Q215" s="18">
        <f t="shared" si="18"/>
        <v>0</v>
      </c>
      <c r="R215">
        <v>0</v>
      </c>
      <c r="S215">
        <v>0</v>
      </c>
      <c r="T215">
        <v>0</v>
      </c>
      <c r="U215">
        <v>0</v>
      </c>
      <c r="V215" s="18">
        <f t="shared" si="19"/>
        <v>0</v>
      </c>
      <c r="W215" s="18">
        <f t="shared" si="23"/>
        <v>0</v>
      </c>
      <c r="X215" s="18">
        <v>0</v>
      </c>
      <c r="Y215" s="18">
        <v>0</v>
      </c>
    </row>
    <row r="216" spans="1:25" x14ac:dyDescent="0.2">
      <c r="A216" s="18">
        <v>6236</v>
      </c>
      <c r="C216" s="18">
        <v>0</v>
      </c>
      <c r="D216" s="18">
        <v>0</v>
      </c>
      <c r="E216" s="18">
        <v>0</v>
      </c>
      <c r="F216" s="18">
        <f t="shared" si="20"/>
        <v>0</v>
      </c>
      <c r="G216" s="18">
        <v>0</v>
      </c>
      <c r="H216" s="18">
        <v>0</v>
      </c>
      <c r="I216" s="18">
        <f t="shared" si="21"/>
        <v>0</v>
      </c>
      <c r="J216" s="18">
        <v>0</v>
      </c>
      <c r="K216" s="18">
        <v>0</v>
      </c>
      <c r="L216" s="18">
        <f t="shared" si="22"/>
        <v>0</v>
      </c>
      <c r="M216" s="18">
        <v>0</v>
      </c>
      <c r="N216" s="18">
        <v>0</v>
      </c>
      <c r="O216" s="18">
        <v>0</v>
      </c>
      <c r="P216" s="18">
        <v>0</v>
      </c>
      <c r="Q216" s="18">
        <f t="shared" si="18"/>
        <v>0</v>
      </c>
      <c r="R216">
        <v>0</v>
      </c>
      <c r="S216">
        <v>0</v>
      </c>
      <c r="T216">
        <v>0</v>
      </c>
      <c r="U216">
        <v>0</v>
      </c>
      <c r="V216" s="18">
        <f t="shared" si="19"/>
        <v>0</v>
      </c>
      <c r="W216" s="18">
        <f t="shared" si="23"/>
        <v>0</v>
      </c>
      <c r="X216" s="18">
        <v>0</v>
      </c>
      <c r="Y216" s="18">
        <v>0</v>
      </c>
    </row>
    <row r="217" spans="1:25" x14ac:dyDescent="0.2">
      <c r="A217" s="18">
        <v>6240</v>
      </c>
      <c r="C217" s="18">
        <v>0</v>
      </c>
      <c r="D217" s="18">
        <v>0</v>
      </c>
      <c r="E217" s="18">
        <v>0</v>
      </c>
      <c r="F217" s="18">
        <f t="shared" si="20"/>
        <v>0</v>
      </c>
      <c r="G217" s="18">
        <v>0</v>
      </c>
      <c r="H217" s="18">
        <v>0</v>
      </c>
      <c r="I217" s="18">
        <f t="shared" si="21"/>
        <v>0</v>
      </c>
      <c r="J217" s="18">
        <v>0</v>
      </c>
      <c r="K217" s="18">
        <v>0</v>
      </c>
      <c r="L217" s="18">
        <f t="shared" si="22"/>
        <v>0</v>
      </c>
      <c r="M217" s="18">
        <v>0</v>
      </c>
      <c r="N217" s="18">
        <v>0</v>
      </c>
      <c r="O217" s="18">
        <v>0</v>
      </c>
      <c r="P217" s="18">
        <v>0</v>
      </c>
      <c r="Q217" s="18">
        <f t="shared" si="18"/>
        <v>0</v>
      </c>
      <c r="R217">
        <v>0</v>
      </c>
      <c r="S217">
        <v>0</v>
      </c>
      <c r="T217">
        <v>0</v>
      </c>
      <c r="U217">
        <v>0</v>
      </c>
      <c r="V217" s="18">
        <f t="shared" si="19"/>
        <v>0</v>
      </c>
      <c r="W217" s="18">
        <f t="shared" si="23"/>
        <v>0</v>
      </c>
      <c r="X217" s="18">
        <v>0</v>
      </c>
      <c r="Y217" s="18">
        <v>0</v>
      </c>
    </row>
    <row r="218" spans="1:25" x14ac:dyDescent="0.2">
      <c r="A218" s="18">
        <v>6242</v>
      </c>
      <c r="C218" s="18">
        <v>0</v>
      </c>
      <c r="D218" s="18">
        <v>0</v>
      </c>
      <c r="E218" s="18">
        <v>0</v>
      </c>
      <c r="F218" s="18">
        <f t="shared" si="20"/>
        <v>0</v>
      </c>
      <c r="G218" s="18">
        <v>0</v>
      </c>
      <c r="H218" s="18">
        <v>0</v>
      </c>
      <c r="I218" s="18">
        <f t="shared" si="21"/>
        <v>0</v>
      </c>
      <c r="J218" s="18">
        <v>0</v>
      </c>
      <c r="K218" s="18">
        <v>0</v>
      </c>
      <c r="L218" s="18">
        <f t="shared" si="22"/>
        <v>0</v>
      </c>
      <c r="M218" s="18">
        <v>0</v>
      </c>
      <c r="N218" s="18">
        <v>0</v>
      </c>
      <c r="O218" s="18">
        <v>0</v>
      </c>
      <c r="P218" s="18">
        <v>0</v>
      </c>
      <c r="Q218" s="18">
        <f t="shared" si="18"/>
        <v>0</v>
      </c>
      <c r="R218">
        <v>0</v>
      </c>
      <c r="S218">
        <v>0</v>
      </c>
      <c r="T218">
        <v>0</v>
      </c>
      <c r="U218">
        <v>0</v>
      </c>
      <c r="V218" s="18">
        <f t="shared" si="19"/>
        <v>0</v>
      </c>
      <c r="W218" s="18">
        <f t="shared" si="23"/>
        <v>0</v>
      </c>
      <c r="X218" s="18">
        <v>0</v>
      </c>
      <c r="Y218" s="18">
        <v>0</v>
      </c>
    </row>
    <row r="219" spans="1:25" x14ac:dyDescent="0.2">
      <c r="A219" s="18">
        <v>5913</v>
      </c>
      <c r="C219" s="18">
        <v>0</v>
      </c>
      <c r="D219" s="18">
        <v>0</v>
      </c>
      <c r="E219" s="18">
        <v>0</v>
      </c>
      <c r="F219" s="18">
        <f t="shared" si="20"/>
        <v>0</v>
      </c>
      <c r="G219" s="18">
        <v>0</v>
      </c>
      <c r="H219" s="18">
        <v>0</v>
      </c>
      <c r="I219" s="18">
        <f t="shared" si="21"/>
        <v>0</v>
      </c>
      <c r="J219" s="18">
        <v>0</v>
      </c>
      <c r="K219" s="18">
        <v>0</v>
      </c>
      <c r="L219" s="18">
        <f t="shared" si="22"/>
        <v>0</v>
      </c>
      <c r="M219" s="18">
        <v>0</v>
      </c>
      <c r="N219" s="18">
        <v>0</v>
      </c>
      <c r="O219" s="18">
        <v>0</v>
      </c>
      <c r="P219" s="18">
        <v>0</v>
      </c>
      <c r="Q219" s="18">
        <f t="shared" si="18"/>
        <v>0</v>
      </c>
      <c r="R219">
        <v>0</v>
      </c>
      <c r="S219">
        <v>0</v>
      </c>
      <c r="T219">
        <v>0</v>
      </c>
      <c r="U219">
        <v>0</v>
      </c>
      <c r="V219" s="18">
        <f t="shared" si="19"/>
        <v>0</v>
      </c>
      <c r="W219" s="18">
        <f t="shared" si="23"/>
        <v>0</v>
      </c>
      <c r="X219" s="18">
        <v>0</v>
      </c>
      <c r="Y219" s="18">
        <v>0</v>
      </c>
    </row>
    <row r="220" spans="1:25" x14ac:dyDescent="0.2">
      <c r="A220" s="18">
        <v>6246</v>
      </c>
      <c r="C220" s="18">
        <v>0</v>
      </c>
      <c r="D220" s="18">
        <v>0</v>
      </c>
      <c r="E220" s="18">
        <v>0</v>
      </c>
      <c r="F220" s="18">
        <f t="shared" si="20"/>
        <v>0</v>
      </c>
      <c r="G220" s="18">
        <v>0</v>
      </c>
      <c r="H220" s="18">
        <v>0</v>
      </c>
      <c r="I220" s="18">
        <f t="shared" si="21"/>
        <v>0</v>
      </c>
      <c r="J220" s="18">
        <v>0</v>
      </c>
      <c r="K220" s="18">
        <v>0</v>
      </c>
      <c r="L220" s="18">
        <f t="shared" si="22"/>
        <v>0</v>
      </c>
      <c r="M220" s="18">
        <v>0</v>
      </c>
      <c r="N220" s="18">
        <v>0</v>
      </c>
      <c r="O220" s="18">
        <v>0</v>
      </c>
      <c r="P220" s="18">
        <v>0</v>
      </c>
      <c r="Q220" s="18">
        <f t="shared" si="18"/>
        <v>0</v>
      </c>
      <c r="R220">
        <v>0</v>
      </c>
      <c r="S220">
        <v>0</v>
      </c>
      <c r="T220">
        <v>0</v>
      </c>
      <c r="U220">
        <v>0</v>
      </c>
      <c r="V220" s="18">
        <f t="shared" si="19"/>
        <v>0</v>
      </c>
      <c r="W220" s="18">
        <f t="shared" si="23"/>
        <v>0</v>
      </c>
      <c r="X220" s="18">
        <v>0</v>
      </c>
      <c r="Y220" s="18">
        <v>0</v>
      </c>
    </row>
    <row r="221" spans="1:25" x14ac:dyDescent="0.2">
      <c r="A221" s="18">
        <v>6180</v>
      </c>
      <c r="C221" s="18">
        <v>0</v>
      </c>
      <c r="D221" s="18">
        <v>0</v>
      </c>
      <c r="E221" s="18">
        <v>0</v>
      </c>
      <c r="F221" s="18">
        <f t="shared" si="20"/>
        <v>0</v>
      </c>
      <c r="G221" s="18">
        <v>0</v>
      </c>
      <c r="H221" s="18">
        <v>0</v>
      </c>
      <c r="I221" s="18">
        <f t="shared" si="21"/>
        <v>0</v>
      </c>
      <c r="J221" s="18">
        <v>0</v>
      </c>
      <c r="K221" s="18">
        <v>0</v>
      </c>
      <c r="L221" s="18">
        <f t="shared" si="22"/>
        <v>0</v>
      </c>
      <c r="M221" s="18">
        <v>0</v>
      </c>
      <c r="N221" s="18">
        <v>0</v>
      </c>
      <c r="O221" s="18">
        <v>0</v>
      </c>
      <c r="P221" s="18">
        <v>0</v>
      </c>
      <c r="Q221" s="18">
        <f t="shared" si="18"/>
        <v>0</v>
      </c>
      <c r="R221">
        <v>0</v>
      </c>
      <c r="S221">
        <v>0</v>
      </c>
      <c r="T221">
        <v>0</v>
      </c>
      <c r="U221">
        <v>0</v>
      </c>
      <c r="V221" s="18">
        <f t="shared" si="19"/>
        <v>0</v>
      </c>
      <c r="W221" s="18">
        <f t="shared" si="23"/>
        <v>0</v>
      </c>
      <c r="X221" s="18">
        <v>0</v>
      </c>
      <c r="Y221" s="18">
        <v>0</v>
      </c>
    </row>
    <row r="222" spans="1:25" x14ac:dyDescent="0.2">
      <c r="A222" s="18">
        <v>6247</v>
      </c>
      <c r="C222" s="18">
        <v>0</v>
      </c>
      <c r="D222" s="18">
        <v>0</v>
      </c>
      <c r="E222" s="18">
        <v>0</v>
      </c>
      <c r="F222" s="18">
        <f t="shared" si="20"/>
        <v>0</v>
      </c>
      <c r="G222" s="18">
        <v>0</v>
      </c>
      <c r="H222" s="18">
        <v>0</v>
      </c>
      <c r="I222" s="18">
        <f t="shared" si="21"/>
        <v>0</v>
      </c>
      <c r="J222" s="18">
        <v>0</v>
      </c>
      <c r="K222" s="18">
        <v>0</v>
      </c>
      <c r="L222" s="18">
        <f t="shared" si="22"/>
        <v>0</v>
      </c>
      <c r="M222" s="18">
        <v>0</v>
      </c>
      <c r="N222" s="18">
        <v>0</v>
      </c>
      <c r="O222" s="18">
        <v>0</v>
      </c>
      <c r="P222" s="18">
        <v>0</v>
      </c>
      <c r="Q222" s="18">
        <f>SUM(M219:P219)</f>
        <v>0</v>
      </c>
      <c r="R222">
        <v>0</v>
      </c>
      <c r="S222">
        <v>0</v>
      </c>
      <c r="T222">
        <v>0</v>
      </c>
      <c r="U222">
        <v>0</v>
      </c>
      <c r="V222" s="18">
        <f t="shared" si="19"/>
        <v>0</v>
      </c>
      <c r="W222" s="18">
        <f t="shared" si="23"/>
        <v>0</v>
      </c>
      <c r="X222" s="18">
        <v>0</v>
      </c>
      <c r="Y222" s="18">
        <v>0</v>
      </c>
    </row>
    <row r="223" spans="1:25" x14ac:dyDescent="0.2">
      <c r="A223" s="18">
        <v>6263</v>
      </c>
      <c r="C223" s="18">
        <v>0</v>
      </c>
      <c r="D223" s="18">
        <v>0</v>
      </c>
      <c r="E223" s="18">
        <v>0</v>
      </c>
      <c r="F223" s="18">
        <f t="shared" si="20"/>
        <v>0</v>
      </c>
      <c r="G223" s="18">
        <v>0</v>
      </c>
      <c r="H223" s="18">
        <v>0</v>
      </c>
      <c r="I223" s="18">
        <f t="shared" si="21"/>
        <v>0</v>
      </c>
      <c r="J223" s="18">
        <v>0</v>
      </c>
      <c r="K223" s="18">
        <v>0</v>
      </c>
      <c r="L223" s="18">
        <f t="shared" si="22"/>
        <v>0</v>
      </c>
      <c r="M223" s="18">
        <v>0</v>
      </c>
      <c r="N223" s="18">
        <v>0</v>
      </c>
      <c r="O223" s="18">
        <v>0</v>
      </c>
      <c r="P223" s="18">
        <v>0</v>
      </c>
      <c r="Q223" s="18">
        <f t="shared" ref="Q223:Q286" si="24">SUM(M223:P223)</f>
        <v>0</v>
      </c>
      <c r="R223">
        <v>0</v>
      </c>
      <c r="S223">
        <v>0</v>
      </c>
      <c r="T223">
        <v>0</v>
      </c>
      <c r="U223">
        <v>0</v>
      </c>
      <c r="V223" s="18">
        <f t="shared" si="19"/>
        <v>0</v>
      </c>
      <c r="W223" s="18">
        <f t="shared" si="23"/>
        <v>0</v>
      </c>
      <c r="X223" s="18">
        <v>0</v>
      </c>
      <c r="Y223" s="18">
        <v>0</v>
      </c>
    </row>
    <row r="224" spans="1:25" x14ac:dyDescent="0.2">
      <c r="A224" s="18">
        <v>6265</v>
      </c>
      <c r="C224" s="18">
        <v>0</v>
      </c>
      <c r="D224" s="18">
        <v>0</v>
      </c>
      <c r="E224" s="18">
        <v>0</v>
      </c>
      <c r="F224" s="18">
        <f t="shared" si="20"/>
        <v>0</v>
      </c>
      <c r="G224" s="18">
        <v>0</v>
      </c>
      <c r="H224" s="18">
        <v>0</v>
      </c>
      <c r="I224" s="18">
        <f t="shared" si="21"/>
        <v>0</v>
      </c>
      <c r="J224" s="18">
        <v>0</v>
      </c>
      <c r="K224" s="18">
        <v>0</v>
      </c>
      <c r="L224" s="18">
        <f t="shared" si="22"/>
        <v>0</v>
      </c>
      <c r="M224" s="18">
        <v>0</v>
      </c>
      <c r="N224" s="18">
        <v>0</v>
      </c>
      <c r="O224" s="18">
        <v>0</v>
      </c>
      <c r="P224" s="18">
        <v>0</v>
      </c>
      <c r="Q224" s="18">
        <f t="shared" si="24"/>
        <v>0</v>
      </c>
      <c r="R224">
        <v>0</v>
      </c>
      <c r="S224">
        <v>0</v>
      </c>
      <c r="T224">
        <v>0</v>
      </c>
      <c r="U224">
        <v>0</v>
      </c>
      <c r="V224" s="18">
        <f t="shared" si="19"/>
        <v>0</v>
      </c>
      <c r="W224" s="18">
        <f t="shared" si="23"/>
        <v>0</v>
      </c>
      <c r="X224" s="18">
        <v>0</v>
      </c>
      <c r="Y224" s="18">
        <v>0</v>
      </c>
    </row>
    <row r="225" spans="1:25" x14ac:dyDescent="0.2">
      <c r="A225" s="18">
        <v>6268</v>
      </c>
      <c r="C225" s="18">
        <v>0</v>
      </c>
      <c r="D225" s="18">
        <v>0</v>
      </c>
      <c r="E225" s="18">
        <v>0</v>
      </c>
      <c r="F225" s="18">
        <f t="shared" si="20"/>
        <v>0</v>
      </c>
      <c r="G225" s="18">
        <v>0</v>
      </c>
      <c r="H225" s="18">
        <v>0</v>
      </c>
      <c r="I225" s="18">
        <f t="shared" si="21"/>
        <v>0</v>
      </c>
      <c r="J225" s="18">
        <v>0</v>
      </c>
      <c r="K225" s="18">
        <v>0</v>
      </c>
      <c r="L225" s="18">
        <f t="shared" si="22"/>
        <v>0</v>
      </c>
      <c r="M225" s="18">
        <v>0</v>
      </c>
      <c r="N225" s="18">
        <v>0</v>
      </c>
      <c r="O225" s="18">
        <v>0</v>
      </c>
      <c r="P225" s="18">
        <v>0</v>
      </c>
      <c r="Q225" s="18">
        <f t="shared" si="24"/>
        <v>0</v>
      </c>
      <c r="R225">
        <v>0</v>
      </c>
      <c r="S225">
        <v>0</v>
      </c>
      <c r="T225">
        <v>0</v>
      </c>
      <c r="U225">
        <v>0</v>
      </c>
      <c r="V225" s="18">
        <f t="shared" si="19"/>
        <v>0</v>
      </c>
      <c r="W225" s="18">
        <f t="shared" si="23"/>
        <v>0</v>
      </c>
      <c r="X225" s="18">
        <v>0</v>
      </c>
      <c r="Y225" s="18">
        <v>0</v>
      </c>
    </row>
    <row r="226" spans="1:25" x14ac:dyDescent="0.2">
      <c r="A226" s="18">
        <v>6336</v>
      </c>
      <c r="C226" s="18">
        <v>0</v>
      </c>
      <c r="D226" s="18">
        <v>0</v>
      </c>
      <c r="E226" s="18">
        <v>0</v>
      </c>
      <c r="F226" s="18">
        <f t="shared" si="20"/>
        <v>0</v>
      </c>
      <c r="G226" s="18">
        <v>0</v>
      </c>
      <c r="H226" s="18">
        <v>0</v>
      </c>
      <c r="I226" s="18">
        <f t="shared" si="21"/>
        <v>0</v>
      </c>
      <c r="J226" s="18">
        <v>0</v>
      </c>
      <c r="K226" s="18">
        <v>0</v>
      </c>
      <c r="L226" s="18">
        <f t="shared" si="22"/>
        <v>0</v>
      </c>
      <c r="M226" s="18">
        <v>0</v>
      </c>
      <c r="N226" s="18">
        <v>0</v>
      </c>
      <c r="O226" s="18">
        <v>0</v>
      </c>
      <c r="P226" s="18">
        <v>0</v>
      </c>
      <c r="Q226" s="18">
        <f t="shared" si="24"/>
        <v>0</v>
      </c>
      <c r="R226">
        <v>0</v>
      </c>
      <c r="S226">
        <v>0</v>
      </c>
      <c r="T226">
        <v>0</v>
      </c>
      <c r="U226">
        <v>0</v>
      </c>
      <c r="V226" s="18">
        <f t="shared" si="19"/>
        <v>0</v>
      </c>
      <c r="W226" s="18">
        <f t="shared" si="23"/>
        <v>0</v>
      </c>
      <c r="X226" s="18">
        <v>0</v>
      </c>
      <c r="Y226" s="18">
        <v>0</v>
      </c>
    </row>
    <row r="227" spans="1:25" x14ac:dyDescent="0.2">
      <c r="A227" s="18">
        <v>6339</v>
      </c>
      <c r="C227" s="18">
        <v>0</v>
      </c>
      <c r="D227" s="18">
        <v>0</v>
      </c>
      <c r="E227" s="18">
        <v>0</v>
      </c>
      <c r="F227" s="18">
        <f t="shared" si="20"/>
        <v>0</v>
      </c>
      <c r="G227" s="18">
        <v>0</v>
      </c>
      <c r="H227" s="18">
        <v>0</v>
      </c>
      <c r="I227" s="18">
        <f t="shared" si="21"/>
        <v>0</v>
      </c>
      <c r="J227" s="18">
        <v>0</v>
      </c>
      <c r="K227" s="18">
        <v>0</v>
      </c>
      <c r="L227" s="18">
        <f t="shared" si="22"/>
        <v>0</v>
      </c>
      <c r="M227" s="18">
        <v>0</v>
      </c>
      <c r="N227" s="18">
        <v>0</v>
      </c>
      <c r="O227" s="18">
        <v>0</v>
      </c>
      <c r="P227" s="18">
        <v>0</v>
      </c>
      <c r="Q227" s="18">
        <f t="shared" si="24"/>
        <v>0</v>
      </c>
      <c r="R227">
        <v>0</v>
      </c>
      <c r="S227">
        <v>0</v>
      </c>
      <c r="T227">
        <v>0</v>
      </c>
      <c r="U227">
        <v>0</v>
      </c>
      <c r="V227" s="18">
        <f t="shared" si="19"/>
        <v>0</v>
      </c>
      <c r="W227" s="18">
        <f t="shared" si="23"/>
        <v>0</v>
      </c>
      <c r="X227" s="18">
        <v>0</v>
      </c>
      <c r="Y227" s="18">
        <v>0</v>
      </c>
    </row>
    <row r="228" spans="1:25" x14ac:dyDescent="0.2">
      <c r="A228" s="18">
        <v>6333</v>
      </c>
      <c r="C228" s="18">
        <v>0</v>
      </c>
      <c r="D228" s="18">
        <v>0</v>
      </c>
      <c r="E228" s="18">
        <v>0</v>
      </c>
      <c r="F228" s="18">
        <f t="shared" si="20"/>
        <v>0</v>
      </c>
      <c r="G228" s="18">
        <v>0</v>
      </c>
      <c r="H228" s="18">
        <v>0</v>
      </c>
      <c r="I228" s="18">
        <f t="shared" si="21"/>
        <v>0</v>
      </c>
      <c r="J228" s="18">
        <v>0</v>
      </c>
      <c r="K228" s="18">
        <v>0</v>
      </c>
      <c r="L228" s="18">
        <f t="shared" si="22"/>
        <v>0</v>
      </c>
      <c r="M228" s="18">
        <v>0</v>
      </c>
      <c r="N228" s="18">
        <v>0</v>
      </c>
      <c r="O228" s="18">
        <v>0</v>
      </c>
      <c r="P228" s="18">
        <v>0</v>
      </c>
      <c r="Q228" s="18">
        <f t="shared" si="24"/>
        <v>0</v>
      </c>
      <c r="R228">
        <v>0</v>
      </c>
      <c r="S228">
        <v>0</v>
      </c>
      <c r="T228">
        <v>0</v>
      </c>
      <c r="U228">
        <v>0</v>
      </c>
      <c r="V228" s="18">
        <f t="shared" si="19"/>
        <v>0</v>
      </c>
      <c r="W228" s="18">
        <f t="shared" si="23"/>
        <v>0</v>
      </c>
      <c r="X228" s="18">
        <v>0</v>
      </c>
      <c r="Y228" s="18">
        <v>0</v>
      </c>
    </row>
    <row r="229" spans="1:25" x14ac:dyDescent="0.2">
      <c r="A229" s="18">
        <v>6278</v>
      </c>
      <c r="C229" s="18">
        <v>0</v>
      </c>
      <c r="D229" s="18">
        <v>0</v>
      </c>
      <c r="E229" s="18">
        <v>0</v>
      </c>
      <c r="F229" s="18">
        <f t="shared" si="20"/>
        <v>0</v>
      </c>
      <c r="G229" s="18">
        <v>0</v>
      </c>
      <c r="H229" s="18">
        <v>0</v>
      </c>
      <c r="I229" s="18">
        <f t="shared" si="21"/>
        <v>0</v>
      </c>
      <c r="J229" s="18">
        <v>0</v>
      </c>
      <c r="K229" s="18">
        <v>0</v>
      </c>
      <c r="L229" s="18">
        <f t="shared" si="22"/>
        <v>0</v>
      </c>
      <c r="M229" s="18">
        <v>0</v>
      </c>
      <c r="N229" s="18">
        <v>0</v>
      </c>
      <c r="O229" s="18">
        <v>0</v>
      </c>
      <c r="P229" s="18">
        <v>0</v>
      </c>
      <c r="Q229" s="18">
        <f t="shared" si="24"/>
        <v>0</v>
      </c>
      <c r="R229">
        <v>0</v>
      </c>
      <c r="S229">
        <v>0</v>
      </c>
      <c r="T229">
        <v>0</v>
      </c>
      <c r="U229">
        <v>0</v>
      </c>
      <c r="V229" s="18">
        <f t="shared" si="19"/>
        <v>0</v>
      </c>
      <c r="W229" s="18">
        <f t="shared" si="23"/>
        <v>0</v>
      </c>
      <c r="X229" s="18">
        <v>0</v>
      </c>
      <c r="Y229" s="18">
        <v>0</v>
      </c>
    </row>
    <row r="230" spans="1:25" x14ac:dyDescent="0.2">
      <c r="A230" s="18">
        <v>6061</v>
      </c>
      <c r="C230" s="18">
        <v>0</v>
      </c>
      <c r="D230" s="18">
        <v>0</v>
      </c>
      <c r="E230" s="18">
        <v>0</v>
      </c>
      <c r="F230" s="18">
        <f t="shared" si="20"/>
        <v>0</v>
      </c>
      <c r="G230" s="18">
        <v>0</v>
      </c>
      <c r="H230" s="18">
        <v>0</v>
      </c>
      <c r="I230" s="18">
        <f t="shared" si="21"/>
        <v>0</v>
      </c>
      <c r="J230" s="18">
        <v>0</v>
      </c>
      <c r="K230" s="18">
        <v>0</v>
      </c>
      <c r="L230" s="18">
        <f t="shared" si="22"/>
        <v>0</v>
      </c>
      <c r="M230" s="18">
        <v>0</v>
      </c>
      <c r="N230" s="18">
        <v>0</v>
      </c>
      <c r="O230" s="18">
        <v>0</v>
      </c>
      <c r="P230" s="18">
        <v>0</v>
      </c>
      <c r="Q230" s="18">
        <f t="shared" si="24"/>
        <v>0</v>
      </c>
      <c r="R230">
        <v>0</v>
      </c>
      <c r="S230">
        <v>0</v>
      </c>
      <c r="T230">
        <v>0</v>
      </c>
      <c r="U230">
        <v>0</v>
      </c>
      <c r="V230" s="18">
        <f t="shared" si="19"/>
        <v>0</v>
      </c>
      <c r="W230" s="18">
        <f t="shared" si="23"/>
        <v>0</v>
      </c>
      <c r="X230" s="18">
        <v>0</v>
      </c>
      <c r="Y230" s="18">
        <v>0</v>
      </c>
    </row>
    <row r="231" spans="1:25" x14ac:dyDescent="0.2">
      <c r="A231" s="18">
        <v>6281</v>
      </c>
      <c r="C231" s="18">
        <v>0</v>
      </c>
      <c r="D231" s="18">
        <v>0</v>
      </c>
      <c r="E231" s="18">
        <v>0</v>
      </c>
      <c r="F231" s="18">
        <f t="shared" si="20"/>
        <v>0</v>
      </c>
      <c r="G231" s="18">
        <v>0</v>
      </c>
      <c r="H231" s="18">
        <v>0</v>
      </c>
      <c r="I231" s="18">
        <f t="shared" si="21"/>
        <v>0</v>
      </c>
      <c r="J231" s="18">
        <v>0</v>
      </c>
      <c r="K231" s="18">
        <v>0</v>
      </c>
      <c r="L231" s="18">
        <f t="shared" si="22"/>
        <v>0</v>
      </c>
      <c r="M231" s="18">
        <v>0</v>
      </c>
      <c r="N231" s="18">
        <v>0</v>
      </c>
      <c r="O231" s="18">
        <v>0</v>
      </c>
      <c r="P231" s="18">
        <v>0</v>
      </c>
      <c r="Q231" s="18">
        <f t="shared" si="24"/>
        <v>0</v>
      </c>
      <c r="R231">
        <v>0</v>
      </c>
      <c r="S231">
        <v>0</v>
      </c>
      <c r="T231">
        <v>0</v>
      </c>
      <c r="U231">
        <v>0</v>
      </c>
      <c r="V231" s="18">
        <f t="shared" si="19"/>
        <v>0</v>
      </c>
      <c r="W231" s="18">
        <f t="shared" si="23"/>
        <v>0</v>
      </c>
      <c r="X231" s="18">
        <v>0</v>
      </c>
      <c r="Y231" s="18">
        <v>0</v>
      </c>
    </row>
    <row r="232" spans="1:25" x14ac:dyDescent="0.2">
      <c r="A232" s="18">
        <v>6286</v>
      </c>
      <c r="C232" s="18">
        <v>0</v>
      </c>
      <c r="D232" s="18">
        <v>0</v>
      </c>
      <c r="E232" s="18">
        <v>0</v>
      </c>
      <c r="F232" s="18">
        <f t="shared" si="20"/>
        <v>0</v>
      </c>
      <c r="G232" s="18">
        <v>0</v>
      </c>
      <c r="H232" s="18">
        <v>0</v>
      </c>
      <c r="I232" s="18">
        <f t="shared" si="21"/>
        <v>0</v>
      </c>
      <c r="J232" s="18">
        <v>0</v>
      </c>
      <c r="K232" s="18">
        <v>0</v>
      </c>
      <c r="L232" s="18">
        <f t="shared" si="22"/>
        <v>0</v>
      </c>
      <c r="M232" s="18">
        <v>0</v>
      </c>
      <c r="N232" s="18">
        <v>0</v>
      </c>
      <c r="O232" s="18">
        <v>0</v>
      </c>
      <c r="P232" s="18">
        <v>0</v>
      </c>
      <c r="Q232" s="18">
        <f t="shared" si="24"/>
        <v>0</v>
      </c>
      <c r="R232">
        <v>0</v>
      </c>
      <c r="S232">
        <v>0</v>
      </c>
      <c r="T232">
        <v>0</v>
      </c>
      <c r="U232">
        <v>0</v>
      </c>
      <c r="V232" s="18">
        <f t="shared" si="19"/>
        <v>0</v>
      </c>
      <c r="W232" s="18">
        <f t="shared" si="23"/>
        <v>0</v>
      </c>
      <c r="X232" s="18">
        <v>0</v>
      </c>
      <c r="Y232" s="18">
        <v>0</v>
      </c>
    </row>
    <row r="233" spans="1:25" x14ac:dyDescent="0.2">
      <c r="A233" s="18">
        <v>6289</v>
      </c>
      <c r="C233" s="18">
        <v>0</v>
      </c>
      <c r="D233" s="18">
        <v>0</v>
      </c>
      <c r="E233" s="18">
        <v>0</v>
      </c>
      <c r="F233" s="18">
        <f t="shared" si="20"/>
        <v>0</v>
      </c>
      <c r="G233" s="18">
        <v>0</v>
      </c>
      <c r="H233" s="18">
        <v>0</v>
      </c>
      <c r="I233" s="18">
        <f t="shared" si="21"/>
        <v>0</v>
      </c>
      <c r="J233" s="18">
        <v>0</v>
      </c>
      <c r="K233" s="18">
        <v>0</v>
      </c>
      <c r="L233" s="18">
        <f t="shared" si="22"/>
        <v>0</v>
      </c>
      <c r="M233" s="18">
        <v>0</v>
      </c>
      <c r="N233" s="18">
        <v>0</v>
      </c>
      <c r="O233" s="18">
        <v>0</v>
      </c>
      <c r="P233" s="18">
        <v>0</v>
      </c>
      <c r="Q233" s="18">
        <f t="shared" si="24"/>
        <v>0</v>
      </c>
      <c r="R233">
        <v>0</v>
      </c>
      <c r="S233">
        <v>0</v>
      </c>
      <c r="T233">
        <v>0</v>
      </c>
      <c r="U233">
        <v>0</v>
      </c>
      <c r="V233" s="18">
        <f t="shared" si="19"/>
        <v>0</v>
      </c>
      <c r="W233" s="18">
        <f t="shared" si="23"/>
        <v>0</v>
      </c>
      <c r="X233" s="18">
        <v>0</v>
      </c>
      <c r="Y233" s="18">
        <v>0</v>
      </c>
    </row>
    <row r="234" spans="1:25" x14ac:dyDescent="0.2">
      <c r="A234" s="18">
        <v>6291</v>
      </c>
      <c r="C234" s="18">
        <v>0</v>
      </c>
      <c r="D234" s="18">
        <v>0</v>
      </c>
      <c r="E234" s="18">
        <v>0</v>
      </c>
      <c r="F234" s="18">
        <f t="shared" si="20"/>
        <v>0</v>
      </c>
      <c r="G234" s="18">
        <v>0</v>
      </c>
      <c r="H234" s="18">
        <v>0</v>
      </c>
      <c r="I234" s="18">
        <f t="shared" si="21"/>
        <v>0</v>
      </c>
      <c r="J234" s="18">
        <v>0</v>
      </c>
      <c r="K234" s="18">
        <v>0</v>
      </c>
      <c r="L234" s="18">
        <f t="shared" si="22"/>
        <v>0</v>
      </c>
      <c r="M234" s="18">
        <v>0</v>
      </c>
      <c r="N234" s="18">
        <v>0</v>
      </c>
      <c r="O234" s="18">
        <v>0</v>
      </c>
      <c r="P234" s="18">
        <v>0</v>
      </c>
      <c r="Q234" s="18">
        <f t="shared" si="24"/>
        <v>0</v>
      </c>
      <c r="R234">
        <v>0</v>
      </c>
      <c r="S234">
        <v>0</v>
      </c>
      <c r="T234">
        <v>0</v>
      </c>
      <c r="U234">
        <v>0</v>
      </c>
      <c r="V234" s="18">
        <f t="shared" si="19"/>
        <v>0</v>
      </c>
      <c r="W234" s="18">
        <f t="shared" si="23"/>
        <v>0</v>
      </c>
      <c r="X234" s="18">
        <v>0</v>
      </c>
      <c r="Y234" s="18">
        <v>0</v>
      </c>
    </row>
    <row r="235" spans="1:25" x14ac:dyDescent="0.2">
      <c r="A235" s="18">
        <v>6322</v>
      </c>
      <c r="C235" s="18">
        <v>0</v>
      </c>
      <c r="D235" s="18">
        <v>0</v>
      </c>
      <c r="E235" s="18">
        <v>0</v>
      </c>
      <c r="F235" s="18">
        <f t="shared" si="20"/>
        <v>0</v>
      </c>
      <c r="G235" s="18">
        <v>0</v>
      </c>
      <c r="H235" s="18">
        <v>0</v>
      </c>
      <c r="I235" s="18">
        <f t="shared" si="21"/>
        <v>0</v>
      </c>
      <c r="J235" s="18">
        <v>0</v>
      </c>
      <c r="K235" s="18">
        <v>0</v>
      </c>
      <c r="L235" s="18">
        <f t="shared" si="22"/>
        <v>0</v>
      </c>
      <c r="M235" s="18">
        <v>0</v>
      </c>
      <c r="N235" s="18">
        <v>0</v>
      </c>
      <c r="O235" s="18">
        <v>0</v>
      </c>
      <c r="P235" s="18">
        <v>0</v>
      </c>
      <c r="Q235" s="18">
        <f t="shared" si="24"/>
        <v>0</v>
      </c>
      <c r="R235">
        <v>0</v>
      </c>
      <c r="S235">
        <v>0</v>
      </c>
      <c r="T235">
        <v>0</v>
      </c>
      <c r="U235">
        <v>0</v>
      </c>
      <c r="V235" s="18">
        <f t="shared" si="19"/>
        <v>0</v>
      </c>
      <c r="W235" s="18">
        <f t="shared" si="23"/>
        <v>0</v>
      </c>
      <c r="X235" s="18">
        <v>0</v>
      </c>
      <c r="Y235" s="18">
        <v>0</v>
      </c>
    </row>
    <row r="236" spans="1:25" x14ac:dyDescent="0.2">
      <c r="A236" s="18">
        <v>6305</v>
      </c>
      <c r="C236" s="18">
        <v>0</v>
      </c>
      <c r="D236" s="18">
        <v>0</v>
      </c>
      <c r="E236" s="18">
        <v>0</v>
      </c>
      <c r="F236" s="18">
        <f t="shared" si="20"/>
        <v>0</v>
      </c>
      <c r="G236" s="18">
        <v>0</v>
      </c>
      <c r="H236" s="18">
        <v>0</v>
      </c>
      <c r="I236" s="18">
        <f t="shared" si="21"/>
        <v>0</v>
      </c>
      <c r="J236" s="18">
        <v>0</v>
      </c>
      <c r="K236" s="18">
        <v>0</v>
      </c>
      <c r="L236" s="18">
        <f t="shared" si="22"/>
        <v>0</v>
      </c>
      <c r="M236" s="18">
        <v>0</v>
      </c>
      <c r="N236" s="18">
        <v>0</v>
      </c>
      <c r="O236" s="18">
        <v>0</v>
      </c>
      <c r="P236" s="18">
        <v>0</v>
      </c>
      <c r="Q236" s="18">
        <f t="shared" si="24"/>
        <v>0</v>
      </c>
      <c r="R236">
        <v>0</v>
      </c>
      <c r="S236">
        <v>0</v>
      </c>
      <c r="T236">
        <v>0</v>
      </c>
      <c r="U236">
        <v>0</v>
      </c>
      <c r="V236" s="18">
        <f t="shared" si="19"/>
        <v>0</v>
      </c>
      <c r="W236" s="18">
        <f t="shared" si="23"/>
        <v>0</v>
      </c>
      <c r="X236" s="18">
        <v>0</v>
      </c>
      <c r="Y236" s="18">
        <v>0</v>
      </c>
    </row>
    <row r="237" spans="1:25" x14ac:dyDescent="0.2">
      <c r="A237" s="18">
        <v>6342</v>
      </c>
      <c r="C237" s="18">
        <v>0</v>
      </c>
      <c r="D237" s="18">
        <v>0</v>
      </c>
      <c r="E237" s="18">
        <v>0</v>
      </c>
      <c r="F237" s="18">
        <f t="shared" si="20"/>
        <v>0</v>
      </c>
      <c r="G237" s="18">
        <v>0</v>
      </c>
      <c r="H237" s="18">
        <v>0</v>
      </c>
      <c r="I237" s="18">
        <f t="shared" si="21"/>
        <v>0</v>
      </c>
      <c r="J237" s="18">
        <v>0</v>
      </c>
      <c r="K237" s="18">
        <v>0</v>
      </c>
      <c r="L237" s="18">
        <f t="shared" si="22"/>
        <v>0</v>
      </c>
      <c r="M237" s="18">
        <v>0</v>
      </c>
      <c r="N237" s="18">
        <v>0</v>
      </c>
      <c r="O237" s="18">
        <v>0</v>
      </c>
      <c r="P237" s="18">
        <v>0</v>
      </c>
      <c r="Q237" s="18">
        <f t="shared" si="24"/>
        <v>0</v>
      </c>
      <c r="R237">
        <v>0</v>
      </c>
      <c r="S237">
        <v>0</v>
      </c>
      <c r="T237">
        <v>0</v>
      </c>
      <c r="U237">
        <v>0</v>
      </c>
      <c r="V237" s="18">
        <f t="shared" si="19"/>
        <v>0</v>
      </c>
      <c r="W237" s="18">
        <f t="shared" si="23"/>
        <v>0</v>
      </c>
      <c r="X237" s="18">
        <v>0</v>
      </c>
      <c r="Y237" s="18">
        <v>0</v>
      </c>
    </row>
    <row r="238" spans="1:25" x14ac:dyDescent="0.2">
      <c r="A238" s="18">
        <v>6344</v>
      </c>
      <c r="C238" s="18">
        <v>0</v>
      </c>
      <c r="D238" s="18">
        <v>0</v>
      </c>
      <c r="E238" s="18">
        <v>0</v>
      </c>
      <c r="F238" s="18">
        <f t="shared" si="20"/>
        <v>0</v>
      </c>
      <c r="G238" s="18">
        <v>0</v>
      </c>
      <c r="H238" s="18">
        <v>0</v>
      </c>
      <c r="I238" s="18">
        <f t="shared" si="21"/>
        <v>0</v>
      </c>
      <c r="J238" s="18">
        <v>0</v>
      </c>
      <c r="K238" s="18">
        <v>0</v>
      </c>
      <c r="L238" s="18">
        <f t="shared" si="22"/>
        <v>0</v>
      </c>
      <c r="M238" s="18">
        <v>0</v>
      </c>
      <c r="N238" s="18">
        <v>0</v>
      </c>
      <c r="O238" s="18">
        <v>0</v>
      </c>
      <c r="P238" s="18">
        <v>0</v>
      </c>
      <c r="Q238" s="18">
        <f t="shared" si="24"/>
        <v>0</v>
      </c>
      <c r="R238">
        <v>0</v>
      </c>
      <c r="S238">
        <v>0</v>
      </c>
      <c r="T238">
        <v>0</v>
      </c>
      <c r="U238">
        <v>0</v>
      </c>
      <c r="V238" s="18">
        <f t="shared" si="19"/>
        <v>0</v>
      </c>
      <c r="W238" s="18">
        <f t="shared" si="23"/>
        <v>0</v>
      </c>
      <c r="X238" s="18">
        <v>0</v>
      </c>
      <c r="Y238" s="18">
        <v>0</v>
      </c>
    </row>
    <row r="239" spans="1:25" x14ac:dyDescent="0.2">
      <c r="A239" s="18">
        <v>6348</v>
      </c>
      <c r="C239" s="18">
        <v>0</v>
      </c>
      <c r="D239" s="18">
        <v>0</v>
      </c>
      <c r="E239" s="18">
        <v>0</v>
      </c>
      <c r="F239" s="18">
        <f t="shared" si="20"/>
        <v>0</v>
      </c>
      <c r="G239" s="18">
        <v>0</v>
      </c>
      <c r="H239" s="18">
        <v>0</v>
      </c>
      <c r="I239" s="18">
        <f t="shared" si="21"/>
        <v>0</v>
      </c>
      <c r="J239" s="18">
        <v>0</v>
      </c>
      <c r="K239" s="18">
        <v>0</v>
      </c>
      <c r="L239" s="18">
        <f t="shared" si="22"/>
        <v>0</v>
      </c>
      <c r="M239" s="18">
        <v>0</v>
      </c>
      <c r="N239" s="18">
        <v>0</v>
      </c>
      <c r="O239" s="18">
        <v>0</v>
      </c>
      <c r="P239" s="18">
        <v>0</v>
      </c>
      <c r="Q239" s="18">
        <f t="shared" si="24"/>
        <v>0</v>
      </c>
      <c r="R239">
        <v>0</v>
      </c>
      <c r="S239">
        <v>0</v>
      </c>
      <c r="T239">
        <v>0</v>
      </c>
      <c r="U239">
        <v>0</v>
      </c>
      <c r="V239" s="18">
        <f t="shared" si="19"/>
        <v>0</v>
      </c>
      <c r="W239" s="18">
        <f t="shared" si="23"/>
        <v>0</v>
      </c>
      <c r="X239" s="18">
        <v>0</v>
      </c>
      <c r="Y239" s="18">
        <v>0</v>
      </c>
    </row>
    <row r="240" spans="1:25" x14ac:dyDescent="0.2">
      <c r="A240" s="18">
        <v>6346</v>
      </c>
      <c r="C240" s="18">
        <v>0</v>
      </c>
      <c r="D240" s="18">
        <v>0</v>
      </c>
      <c r="E240" s="18">
        <v>0</v>
      </c>
      <c r="F240" s="18">
        <f t="shared" si="20"/>
        <v>0</v>
      </c>
      <c r="G240" s="18">
        <v>0</v>
      </c>
      <c r="H240" s="18">
        <v>0</v>
      </c>
      <c r="I240" s="18">
        <f t="shared" si="21"/>
        <v>0</v>
      </c>
      <c r="J240" s="18">
        <v>0</v>
      </c>
      <c r="K240" s="18">
        <v>0</v>
      </c>
      <c r="L240" s="18">
        <f t="shared" si="22"/>
        <v>0</v>
      </c>
      <c r="M240" s="18">
        <v>0</v>
      </c>
      <c r="N240" s="18">
        <v>0</v>
      </c>
      <c r="O240" s="18">
        <v>0</v>
      </c>
      <c r="P240" s="18">
        <v>0</v>
      </c>
      <c r="Q240" s="18">
        <f t="shared" si="24"/>
        <v>0</v>
      </c>
      <c r="R240">
        <v>0</v>
      </c>
      <c r="S240">
        <v>0</v>
      </c>
      <c r="T240">
        <v>0</v>
      </c>
      <c r="U240">
        <v>0</v>
      </c>
      <c r="V240" s="18">
        <f t="shared" si="19"/>
        <v>0</v>
      </c>
      <c r="W240" s="18">
        <f t="shared" si="23"/>
        <v>0</v>
      </c>
      <c r="X240" s="18">
        <v>0</v>
      </c>
      <c r="Y240" s="18">
        <v>0</v>
      </c>
    </row>
    <row r="241" spans="1:25" x14ac:dyDescent="0.2">
      <c r="A241" s="18">
        <v>6345</v>
      </c>
      <c r="C241" s="18">
        <v>0</v>
      </c>
      <c r="D241" s="18">
        <v>0</v>
      </c>
      <c r="E241" s="18">
        <v>0</v>
      </c>
      <c r="F241" s="18">
        <f t="shared" si="20"/>
        <v>0</v>
      </c>
      <c r="G241" s="18">
        <v>0</v>
      </c>
      <c r="H241" s="18">
        <v>0</v>
      </c>
      <c r="I241" s="18">
        <f t="shared" si="21"/>
        <v>0</v>
      </c>
      <c r="J241" s="18">
        <v>0</v>
      </c>
      <c r="K241" s="18">
        <v>0</v>
      </c>
      <c r="L241" s="18">
        <f t="shared" si="22"/>
        <v>0</v>
      </c>
      <c r="M241" s="18">
        <v>0</v>
      </c>
      <c r="N241" s="18">
        <v>0</v>
      </c>
      <c r="O241" s="18">
        <v>0</v>
      </c>
      <c r="P241" s="18">
        <v>0</v>
      </c>
      <c r="Q241" s="18">
        <f t="shared" si="24"/>
        <v>0</v>
      </c>
      <c r="R241">
        <v>0</v>
      </c>
      <c r="S241">
        <v>0</v>
      </c>
      <c r="T241">
        <v>0</v>
      </c>
      <c r="U241">
        <v>0</v>
      </c>
      <c r="V241" s="18">
        <f t="shared" si="19"/>
        <v>0</v>
      </c>
      <c r="W241" s="18">
        <f t="shared" si="23"/>
        <v>0</v>
      </c>
      <c r="X241" s="18">
        <v>0</v>
      </c>
      <c r="Y241" s="18">
        <v>0</v>
      </c>
    </row>
    <row r="242" spans="1:25" x14ac:dyDescent="0.2">
      <c r="A242" s="18">
        <v>6352</v>
      </c>
      <c r="C242" s="18">
        <v>0</v>
      </c>
      <c r="D242" s="18">
        <v>0</v>
      </c>
      <c r="E242" s="18">
        <v>0</v>
      </c>
      <c r="F242" s="18">
        <f t="shared" si="20"/>
        <v>0</v>
      </c>
      <c r="G242" s="18">
        <v>0</v>
      </c>
      <c r="H242" s="18">
        <v>0</v>
      </c>
      <c r="I242" s="18">
        <f t="shared" si="21"/>
        <v>0</v>
      </c>
      <c r="J242" s="18">
        <v>0</v>
      </c>
      <c r="K242" s="18">
        <v>0</v>
      </c>
      <c r="L242" s="18">
        <f t="shared" si="22"/>
        <v>0</v>
      </c>
      <c r="M242" s="18">
        <v>0</v>
      </c>
      <c r="N242" s="18">
        <v>0</v>
      </c>
      <c r="O242" s="18">
        <v>0</v>
      </c>
      <c r="P242" s="18">
        <v>0</v>
      </c>
      <c r="Q242" s="18">
        <f t="shared" si="24"/>
        <v>0</v>
      </c>
      <c r="R242">
        <v>0</v>
      </c>
      <c r="S242">
        <v>0</v>
      </c>
      <c r="T242">
        <v>0</v>
      </c>
      <c r="U242">
        <v>0</v>
      </c>
      <c r="V242" s="18">
        <f t="shared" si="19"/>
        <v>0</v>
      </c>
      <c r="W242" s="18">
        <f t="shared" si="23"/>
        <v>0</v>
      </c>
      <c r="X242" s="18">
        <v>0</v>
      </c>
      <c r="Y242" s="18">
        <v>0</v>
      </c>
    </row>
    <row r="243" spans="1:25" x14ac:dyDescent="0.2">
      <c r="A243" s="18">
        <v>6353</v>
      </c>
      <c r="C243" s="18">
        <v>0</v>
      </c>
      <c r="D243" s="18">
        <v>0</v>
      </c>
      <c r="E243" s="18">
        <v>0</v>
      </c>
      <c r="F243" s="18">
        <f t="shared" si="20"/>
        <v>0</v>
      </c>
      <c r="G243" s="18">
        <v>0</v>
      </c>
      <c r="H243" s="18">
        <v>0</v>
      </c>
      <c r="I243" s="18">
        <f t="shared" si="21"/>
        <v>0</v>
      </c>
      <c r="J243" s="18">
        <v>0</v>
      </c>
      <c r="K243" s="18">
        <v>0</v>
      </c>
      <c r="L243" s="18">
        <f t="shared" si="22"/>
        <v>0</v>
      </c>
      <c r="M243" s="18">
        <v>0</v>
      </c>
      <c r="N243" s="18">
        <v>0</v>
      </c>
      <c r="O243" s="18">
        <v>0</v>
      </c>
      <c r="P243" s="18">
        <v>0</v>
      </c>
      <c r="Q243" s="18">
        <f t="shared" si="24"/>
        <v>0</v>
      </c>
      <c r="R243">
        <v>0</v>
      </c>
      <c r="S243">
        <v>0</v>
      </c>
      <c r="T243">
        <v>0</v>
      </c>
      <c r="U243">
        <v>0</v>
      </c>
      <c r="V243" s="18">
        <f t="shared" si="19"/>
        <v>0</v>
      </c>
      <c r="W243" s="18">
        <f t="shared" si="23"/>
        <v>0</v>
      </c>
      <c r="X243" s="18">
        <v>0</v>
      </c>
      <c r="Y243" s="18">
        <v>0</v>
      </c>
    </row>
    <row r="244" spans="1:25" x14ac:dyDescent="0.2">
      <c r="A244" s="18">
        <v>6358</v>
      </c>
      <c r="C244" s="18">
        <v>0</v>
      </c>
      <c r="D244" s="18">
        <v>0</v>
      </c>
      <c r="E244" s="18">
        <v>0</v>
      </c>
      <c r="F244" s="18">
        <f t="shared" si="20"/>
        <v>0</v>
      </c>
      <c r="G244" s="18">
        <v>0</v>
      </c>
      <c r="H244" s="18">
        <v>0</v>
      </c>
      <c r="I244" s="18">
        <f t="shared" si="21"/>
        <v>0</v>
      </c>
      <c r="J244" s="18">
        <v>0</v>
      </c>
      <c r="K244" s="18">
        <v>0</v>
      </c>
      <c r="L244" s="18">
        <f t="shared" si="22"/>
        <v>0</v>
      </c>
      <c r="M244" s="18">
        <v>0</v>
      </c>
      <c r="N244" s="18">
        <v>0</v>
      </c>
      <c r="O244" s="18">
        <v>0</v>
      </c>
      <c r="P244" s="18">
        <v>0</v>
      </c>
      <c r="Q244" s="18">
        <f t="shared" si="24"/>
        <v>0</v>
      </c>
      <c r="R244">
        <v>0</v>
      </c>
      <c r="S244">
        <v>0</v>
      </c>
      <c r="T244">
        <v>0</v>
      </c>
      <c r="U244">
        <v>0</v>
      </c>
      <c r="V244" s="18">
        <f t="shared" si="19"/>
        <v>0</v>
      </c>
      <c r="W244" s="18">
        <f t="shared" si="23"/>
        <v>0</v>
      </c>
      <c r="X244" s="18">
        <v>0</v>
      </c>
      <c r="Y244" s="18">
        <v>0</v>
      </c>
    </row>
    <row r="245" spans="1:25" x14ac:dyDescent="0.2">
      <c r="A245" s="18">
        <v>6363</v>
      </c>
      <c r="C245" s="18">
        <v>0</v>
      </c>
      <c r="D245" s="18">
        <v>0</v>
      </c>
      <c r="E245" s="18">
        <v>0</v>
      </c>
      <c r="F245" s="18">
        <f t="shared" si="20"/>
        <v>0</v>
      </c>
      <c r="G245" s="18">
        <v>0</v>
      </c>
      <c r="H245" s="18">
        <v>0</v>
      </c>
      <c r="I245" s="18">
        <f t="shared" si="21"/>
        <v>0</v>
      </c>
      <c r="J245" s="18">
        <v>0</v>
      </c>
      <c r="K245" s="18">
        <v>0</v>
      </c>
      <c r="L245" s="18">
        <f t="shared" si="22"/>
        <v>0</v>
      </c>
      <c r="M245" s="18">
        <v>0</v>
      </c>
      <c r="N245" s="18">
        <v>0</v>
      </c>
      <c r="O245" s="18">
        <v>0</v>
      </c>
      <c r="P245" s="18">
        <v>0</v>
      </c>
      <c r="Q245" s="18">
        <f t="shared" si="24"/>
        <v>0</v>
      </c>
      <c r="R245">
        <v>0</v>
      </c>
      <c r="S245">
        <v>0</v>
      </c>
      <c r="T245">
        <v>0</v>
      </c>
      <c r="U245">
        <v>0</v>
      </c>
      <c r="V245" s="18">
        <f t="shared" si="19"/>
        <v>0</v>
      </c>
      <c r="W245" s="18">
        <f t="shared" si="23"/>
        <v>0</v>
      </c>
      <c r="X245" s="18">
        <v>0</v>
      </c>
      <c r="Y245" s="18">
        <v>0</v>
      </c>
    </row>
    <row r="246" spans="1:25" x14ac:dyDescent="0.2">
      <c r="A246" s="18">
        <v>6376</v>
      </c>
      <c r="C246" s="18">
        <v>0</v>
      </c>
      <c r="D246" s="18">
        <v>0</v>
      </c>
      <c r="E246" s="18">
        <v>0</v>
      </c>
      <c r="F246" s="18">
        <f t="shared" si="20"/>
        <v>0</v>
      </c>
      <c r="G246" s="18">
        <v>0</v>
      </c>
      <c r="H246" s="18">
        <v>0</v>
      </c>
      <c r="I246" s="18">
        <f t="shared" si="21"/>
        <v>0</v>
      </c>
      <c r="J246" s="18">
        <v>0</v>
      </c>
      <c r="K246" s="18">
        <v>0</v>
      </c>
      <c r="L246" s="18">
        <f t="shared" si="22"/>
        <v>0</v>
      </c>
      <c r="M246" s="18">
        <v>0</v>
      </c>
      <c r="N246" s="18">
        <v>0</v>
      </c>
      <c r="O246" s="18">
        <v>0</v>
      </c>
      <c r="P246" s="18">
        <v>0</v>
      </c>
      <c r="Q246" s="18">
        <f t="shared" si="24"/>
        <v>0</v>
      </c>
      <c r="R246">
        <v>0</v>
      </c>
      <c r="S246">
        <v>0</v>
      </c>
      <c r="T246">
        <v>0</v>
      </c>
      <c r="U246">
        <v>0</v>
      </c>
      <c r="V246" s="18">
        <f t="shared" si="19"/>
        <v>0</v>
      </c>
      <c r="W246" s="18">
        <f t="shared" si="23"/>
        <v>0</v>
      </c>
      <c r="X246" s="18">
        <v>0</v>
      </c>
      <c r="Y246" s="18">
        <v>0</v>
      </c>
    </row>
    <row r="247" spans="1:25" x14ac:dyDescent="0.2">
      <c r="A247" s="18">
        <v>5928</v>
      </c>
      <c r="C247" s="18">
        <v>0</v>
      </c>
      <c r="D247" s="18">
        <v>0</v>
      </c>
      <c r="E247" s="18">
        <v>0</v>
      </c>
      <c r="F247" s="18">
        <f t="shared" si="20"/>
        <v>0</v>
      </c>
      <c r="G247" s="18">
        <v>0</v>
      </c>
      <c r="H247" s="18">
        <v>0</v>
      </c>
      <c r="I247" s="18">
        <f t="shared" si="21"/>
        <v>0</v>
      </c>
      <c r="J247" s="18">
        <v>259.75833333333333</v>
      </c>
      <c r="K247" s="18">
        <v>277.29729166666669</v>
      </c>
      <c r="L247" s="18">
        <f t="shared" si="22"/>
        <v>537.05562499999996</v>
      </c>
      <c r="M247" s="18">
        <v>0</v>
      </c>
      <c r="N247" s="18">
        <v>259.75833333333333</v>
      </c>
      <c r="O247" s="18">
        <v>12.983333333333334</v>
      </c>
      <c r="P247" s="18">
        <v>0</v>
      </c>
      <c r="Q247" s="18">
        <f t="shared" si="24"/>
        <v>272.74166666666667</v>
      </c>
      <c r="R247">
        <v>13.133333333333333</v>
      </c>
      <c r="S247">
        <v>0</v>
      </c>
      <c r="T247">
        <v>1.5699999999999998</v>
      </c>
      <c r="U247">
        <v>0</v>
      </c>
      <c r="V247" s="18">
        <f t="shared" si="19"/>
        <v>259.75833333333333</v>
      </c>
      <c r="W247" s="18">
        <f t="shared" si="23"/>
        <v>12.983333333333334</v>
      </c>
      <c r="X247" s="18">
        <v>4.5549999999999997</v>
      </c>
      <c r="Y247" s="18">
        <v>0</v>
      </c>
    </row>
    <row r="248" spans="1:25" x14ac:dyDescent="0.2">
      <c r="A248" s="18">
        <v>6379</v>
      </c>
      <c r="C248" s="18">
        <v>0</v>
      </c>
      <c r="D248" s="18">
        <v>0</v>
      </c>
      <c r="E248" s="18">
        <v>0</v>
      </c>
      <c r="F248" s="18">
        <f t="shared" si="20"/>
        <v>0</v>
      </c>
      <c r="G248" s="18">
        <v>0</v>
      </c>
      <c r="H248" s="18">
        <v>0</v>
      </c>
      <c r="I248" s="18">
        <f t="shared" si="21"/>
        <v>0</v>
      </c>
      <c r="J248" s="18">
        <v>0</v>
      </c>
      <c r="K248" s="18">
        <v>0</v>
      </c>
      <c r="L248" s="18">
        <f t="shared" si="22"/>
        <v>0</v>
      </c>
      <c r="M248" s="18">
        <v>0</v>
      </c>
      <c r="N248" s="18">
        <v>0</v>
      </c>
      <c r="O248" s="18">
        <v>0</v>
      </c>
      <c r="P248" s="18">
        <v>0</v>
      </c>
      <c r="Q248" s="18">
        <f t="shared" si="24"/>
        <v>0</v>
      </c>
      <c r="R248">
        <v>0</v>
      </c>
      <c r="S248">
        <v>0</v>
      </c>
      <c r="T248">
        <v>0</v>
      </c>
      <c r="U248">
        <v>0</v>
      </c>
      <c r="V248" s="18">
        <f t="shared" si="19"/>
        <v>0</v>
      </c>
      <c r="W248" s="18">
        <f t="shared" si="23"/>
        <v>0</v>
      </c>
      <c r="X248" s="18">
        <v>0</v>
      </c>
      <c r="Y248" s="18">
        <v>0</v>
      </c>
    </row>
    <row r="249" spans="1:25" x14ac:dyDescent="0.2">
      <c r="A249" s="18">
        <v>6380</v>
      </c>
      <c r="C249" s="18">
        <v>0</v>
      </c>
      <c r="D249" s="18">
        <v>0</v>
      </c>
      <c r="E249" s="18">
        <v>0</v>
      </c>
      <c r="F249" s="18">
        <f t="shared" si="20"/>
        <v>0</v>
      </c>
      <c r="G249" s="18">
        <v>0</v>
      </c>
      <c r="H249" s="18">
        <v>0</v>
      </c>
      <c r="I249" s="18">
        <f t="shared" si="21"/>
        <v>0</v>
      </c>
      <c r="J249" s="18">
        <v>0</v>
      </c>
      <c r="K249" s="18">
        <v>0</v>
      </c>
      <c r="L249" s="18">
        <f t="shared" si="22"/>
        <v>0</v>
      </c>
      <c r="M249" s="18">
        <v>0</v>
      </c>
      <c r="N249" s="18">
        <v>0</v>
      </c>
      <c r="O249" s="18">
        <v>0</v>
      </c>
      <c r="P249" s="18">
        <v>0</v>
      </c>
      <c r="Q249" s="18">
        <f t="shared" si="24"/>
        <v>0</v>
      </c>
      <c r="R249">
        <v>0</v>
      </c>
      <c r="S249">
        <v>0</v>
      </c>
      <c r="T249">
        <v>0</v>
      </c>
      <c r="U249">
        <v>0</v>
      </c>
      <c r="V249" s="18">
        <f t="shared" si="19"/>
        <v>0</v>
      </c>
      <c r="W249" s="18">
        <f t="shared" si="23"/>
        <v>0</v>
      </c>
      <c r="X249" s="18">
        <v>0</v>
      </c>
      <c r="Y249" s="18">
        <v>0</v>
      </c>
    </row>
    <row r="250" spans="1:25" x14ac:dyDescent="0.2">
      <c r="A250" s="18">
        <v>6382</v>
      </c>
      <c r="C250" s="18">
        <v>0</v>
      </c>
      <c r="D250" s="18">
        <v>0</v>
      </c>
      <c r="E250" s="18">
        <v>0</v>
      </c>
      <c r="F250" s="18">
        <f t="shared" si="20"/>
        <v>0</v>
      </c>
      <c r="G250" s="18">
        <v>0</v>
      </c>
      <c r="H250" s="18">
        <v>0</v>
      </c>
      <c r="I250" s="18">
        <f t="shared" si="21"/>
        <v>0</v>
      </c>
      <c r="J250" s="18">
        <v>0</v>
      </c>
      <c r="K250" s="18">
        <v>0</v>
      </c>
      <c r="L250" s="18">
        <f t="shared" si="22"/>
        <v>0</v>
      </c>
      <c r="M250" s="18">
        <v>0</v>
      </c>
      <c r="N250" s="18">
        <v>0</v>
      </c>
      <c r="O250" s="18">
        <v>0</v>
      </c>
      <c r="P250" s="18">
        <v>0</v>
      </c>
      <c r="Q250" s="18">
        <f t="shared" si="24"/>
        <v>0</v>
      </c>
      <c r="R250">
        <v>0</v>
      </c>
      <c r="S250">
        <v>0</v>
      </c>
      <c r="T250">
        <v>0</v>
      </c>
      <c r="U250">
        <v>0</v>
      </c>
      <c r="V250" s="18">
        <f t="shared" si="19"/>
        <v>0</v>
      </c>
      <c r="W250" s="18">
        <f t="shared" si="23"/>
        <v>0</v>
      </c>
      <c r="X250" s="18">
        <v>0</v>
      </c>
      <c r="Y250" s="18">
        <v>0</v>
      </c>
    </row>
    <row r="251" spans="1:25" x14ac:dyDescent="0.2">
      <c r="A251" s="18">
        <v>6394</v>
      </c>
      <c r="C251" s="18">
        <v>0</v>
      </c>
      <c r="D251" s="18">
        <v>0</v>
      </c>
      <c r="E251" s="18">
        <v>0</v>
      </c>
      <c r="F251" s="18">
        <f t="shared" si="20"/>
        <v>0</v>
      </c>
      <c r="G251" s="18">
        <v>0</v>
      </c>
      <c r="H251" s="18">
        <v>0</v>
      </c>
      <c r="I251" s="18">
        <f t="shared" si="21"/>
        <v>0</v>
      </c>
      <c r="J251" s="18">
        <v>0</v>
      </c>
      <c r="K251" s="18">
        <v>0</v>
      </c>
      <c r="L251" s="18">
        <f t="shared" si="22"/>
        <v>0</v>
      </c>
      <c r="M251" s="18">
        <v>0</v>
      </c>
      <c r="N251" s="18">
        <v>0</v>
      </c>
      <c r="O251" s="18">
        <v>0</v>
      </c>
      <c r="P251" s="18">
        <v>0</v>
      </c>
      <c r="Q251" s="18">
        <f t="shared" si="24"/>
        <v>0</v>
      </c>
      <c r="R251">
        <v>0</v>
      </c>
      <c r="S251">
        <v>0</v>
      </c>
      <c r="T251">
        <v>0</v>
      </c>
      <c r="U251">
        <v>0</v>
      </c>
      <c r="V251" s="18">
        <f t="shared" si="19"/>
        <v>0</v>
      </c>
      <c r="W251" s="18">
        <f t="shared" si="23"/>
        <v>0</v>
      </c>
      <c r="X251" s="18">
        <v>0</v>
      </c>
      <c r="Y251" s="18">
        <v>0</v>
      </c>
    </row>
    <row r="252" spans="1:25" x14ac:dyDescent="0.2">
      <c r="A252" s="18">
        <v>6389</v>
      </c>
      <c r="C252" s="18">
        <v>0</v>
      </c>
      <c r="D252" s="18">
        <v>0</v>
      </c>
      <c r="E252" s="18">
        <v>0</v>
      </c>
      <c r="F252" s="18">
        <f t="shared" si="20"/>
        <v>0</v>
      </c>
      <c r="G252" s="18">
        <v>0</v>
      </c>
      <c r="H252" s="18">
        <v>0</v>
      </c>
      <c r="I252" s="18">
        <f t="shared" si="21"/>
        <v>0</v>
      </c>
      <c r="J252" s="18">
        <v>0</v>
      </c>
      <c r="K252" s="18">
        <v>0</v>
      </c>
      <c r="L252" s="18">
        <f t="shared" si="22"/>
        <v>0</v>
      </c>
      <c r="M252" s="18">
        <v>0</v>
      </c>
      <c r="N252" s="18">
        <v>0</v>
      </c>
      <c r="O252" s="18">
        <v>0</v>
      </c>
      <c r="P252" s="18">
        <v>0</v>
      </c>
      <c r="Q252" s="18">
        <f t="shared" si="24"/>
        <v>0</v>
      </c>
      <c r="R252">
        <v>0</v>
      </c>
      <c r="S252">
        <v>0</v>
      </c>
      <c r="T252">
        <v>0</v>
      </c>
      <c r="U252">
        <v>0</v>
      </c>
      <c r="V252" s="18">
        <f t="shared" si="19"/>
        <v>0</v>
      </c>
      <c r="W252" s="18">
        <f t="shared" si="23"/>
        <v>0</v>
      </c>
      <c r="X252" s="18">
        <v>0</v>
      </c>
      <c r="Y252" s="18">
        <v>0</v>
      </c>
    </row>
    <row r="253" spans="1:25" x14ac:dyDescent="0.2">
      <c r="A253" s="18">
        <v>6407</v>
      </c>
      <c r="C253" s="18">
        <v>0</v>
      </c>
      <c r="D253" s="18">
        <v>0</v>
      </c>
      <c r="E253" s="18">
        <v>0</v>
      </c>
      <c r="F253" s="18">
        <f t="shared" si="20"/>
        <v>0</v>
      </c>
      <c r="G253" s="18">
        <v>0</v>
      </c>
      <c r="H253" s="18">
        <v>0</v>
      </c>
      <c r="I253" s="18">
        <f t="shared" si="21"/>
        <v>0</v>
      </c>
      <c r="J253" s="18">
        <v>0</v>
      </c>
      <c r="K253" s="18">
        <v>0</v>
      </c>
      <c r="L253" s="18">
        <f t="shared" si="22"/>
        <v>0</v>
      </c>
      <c r="M253" s="18">
        <v>0</v>
      </c>
      <c r="N253" s="18">
        <v>0</v>
      </c>
      <c r="O253" s="18">
        <v>0</v>
      </c>
      <c r="P253" s="18">
        <v>0</v>
      </c>
      <c r="Q253" s="18">
        <f t="shared" si="24"/>
        <v>0</v>
      </c>
      <c r="R253">
        <v>0</v>
      </c>
      <c r="S253">
        <v>0</v>
      </c>
      <c r="T253">
        <v>0</v>
      </c>
      <c r="U253">
        <v>0</v>
      </c>
      <c r="V253" s="18">
        <f t="shared" si="19"/>
        <v>0</v>
      </c>
      <c r="W253" s="18">
        <f t="shared" si="23"/>
        <v>0</v>
      </c>
      <c r="X253" s="18">
        <v>0</v>
      </c>
      <c r="Y253" s="18">
        <v>0</v>
      </c>
    </row>
    <row r="254" spans="1:25" x14ac:dyDescent="0.2">
      <c r="A254" s="18">
        <v>6397</v>
      </c>
      <c r="C254" s="18">
        <v>0</v>
      </c>
      <c r="D254" s="18">
        <v>0</v>
      </c>
      <c r="E254" s="18">
        <v>0</v>
      </c>
      <c r="F254" s="18">
        <f t="shared" si="20"/>
        <v>0</v>
      </c>
      <c r="G254" s="18">
        <v>0</v>
      </c>
      <c r="H254" s="18">
        <v>0</v>
      </c>
      <c r="I254" s="18">
        <f t="shared" si="21"/>
        <v>0</v>
      </c>
      <c r="J254" s="18">
        <v>0</v>
      </c>
      <c r="K254" s="18">
        <v>0</v>
      </c>
      <c r="L254" s="18">
        <f t="shared" si="22"/>
        <v>0</v>
      </c>
      <c r="M254" s="18">
        <v>0</v>
      </c>
      <c r="N254" s="18">
        <v>0</v>
      </c>
      <c r="O254" s="18">
        <v>0</v>
      </c>
      <c r="P254" s="18">
        <v>0</v>
      </c>
      <c r="Q254" s="18">
        <f t="shared" si="24"/>
        <v>0</v>
      </c>
      <c r="R254">
        <v>0</v>
      </c>
      <c r="S254">
        <v>0</v>
      </c>
      <c r="T254">
        <v>0</v>
      </c>
      <c r="U254">
        <v>0</v>
      </c>
      <c r="V254" s="18">
        <f t="shared" si="19"/>
        <v>0</v>
      </c>
      <c r="W254" s="18">
        <f t="shared" si="23"/>
        <v>0</v>
      </c>
      <c r="X254" s="18">
        <v>0</v>
      </c>
      <c r="Y254" s="18">
        <v>0</v>
      </c>
    </row>
    <row r="255" spans="1:25" x14ac:dyDescent="0.2">
      <c r="A255" s="18">
        <v>5917</v>
      </c>
      <c r="C255" s="18">
        <v>0</v>
      </c>
      <c r="D255" s="18">
        <v>0</v>
      </c>
      <c r="E255" s="18">
        <v>0</v>
      </c>
      <c r="F255" s="18">
        <f t="shared" si="20"/>
        <v>0</v>
      </c>
      <c r="G255" s="18">
        <v>0</v>
      </c>
      <c r="H255" s="18">
        <v>0</v>
      </c>
      <c r="I255" s="18">
        <f t="shared" si="21"/>
        <v>0</v>
      </c>
      <c r="J255" s="18">
        <v>0</v>
      </c>
      <c r="K255" s="18">
        <v>0</v>
      </c>
      <c r="L255" s="18">
        <f t="shared" si="22"/>
        <v>0</v>
      </c>
      <c r="M255" s="18">
        <v>0</v>
      </c>
      <c r="N255" s="18">
        <v>0</v>
      </c>
      <c r="O255" s="18">
        <v>0</v>
      </c>
      <c r="P255" s="18">
        <v>0</v>
      </c>
      <c r="Q255" s="18">
        <f t="shared" si="24"/>
        <v>0</v>
      </c>
      <c r="R255">
        <v>0</v>
      </c>
      <c r="S255">
        <v>0</v>
      </c>
      <c r="T255">
        <v>0</v>
      </c>
      <c r="U255">
        <v>0</v>
      </c>
      <c r="V255" s="18">
        <f t="shared" si="19"/>
        <v>0</v>
      </c>
      <c r="W255" s="18">
        <f t="shared" si="23"/>
        <v>0</v>
      </c>
      <c r="X255" s="18">
        <v>0</v>
      </c>
      <c r="Y255" s="18">
        <v>0</v>
      </c>
    </row>
    <row r="256" spans="1:25" x14ac:dyDescent="0.2">
      <c r="A256" s="18">
        <v>6216</v>
      </c>
      <c r="C256" s="18">
        <v>0</v>
      </c>
      <c r="D256" s="18">
        <v>0</v>
      </c>
      <c r="E256" s="18">
        <v>0</v>
      </c>
      <c r="F256" s="18">
        <f t="shared" si="20"/>
        <v>0</v>
      </c>
      <c r="G256" s="18">
        <v>0</v>
      </c>
      <c r="H256" s="18">
        <v>0</v>
      </c>
      <c r="I256" s="18">
        <f t="shared" si="21"/>
        <v>0</v>
      </c>
      <c r="J256" s="18">
        <v>0</v>
      </c>
      <c r="K256" s="18">
        <v>0</v>
      </c>
      <c r="L256" s="18">
        <f t="shared" si="22"/>
        <v>0</v>
      </c>
      <c r="M256" s="18">
        <v>0</v>
      </c>
      <c r="N256" s="18">
        <v>0</v>
      </c>
      <c r="O256" s="18">
        <v>0</v>
      </c>
      <c r="P256" s="18">
        <v>0</v>
      </c>
      <c r="Q256" s="18">
        <f t="shared" si="24"/>
        <v>0</v>
      </c>
      <c r="R256">
        <v>0</v>
      </c>
      <c r="S256">
        <v>0</v>
      </c>
      <c r="T256">
        <v>0</v>
      </c>
      <c r="U256">
        <v>0</v>
      </c>
      <c r="V256" s="18">
        <f t="shared" si="19"/>
        <v>0</v>
      </c>
      <c r="W256" s="18">
        <f t="shared" si="23"/>
        <v>0</v>
      </c>
      <c r="X256" s="18">
        <v>0</v>
      </c>
      <c r="Y256" s="18">
        <v>0</v>
      </c>
    </row>
    <row r="257" spans="1:25" x14ac:dyDescent="0.2">
      <c r="A257" s="18">
        <v>6415</v>
      </c>
      <c r="C257" s="18">
        <v>0</v>
      </c>
      <c r="D257" s="18">
        <v>0</v>
      </c>
      <c r="E257" s="18">
        <v>0</v>
      </c>
      <c r="F257" s="18">
        <f t="shared" si="20"/>
        <v>0</v>
      </c>
      <c r="G257" s="18">
        <v>0</v>
      </c>
      <c r="H257" s="18">
        <v>0</v>
      </c>
      <c r="I257" s="18">
        <f t="shared" si="21"/>
        <v>0</v>
      </c>
      <c r="J257" s="18">
        <v>0</v>
      </c>
      <c r="K257" s="18">
        <v>0</v>
      </c>
      <c r="L257" s="18">
        <f t="shared" si="22"/>
        <v>0</v>
      </c>
      <c r="M257" s="18">
        <v>0</v>
      </c>
      <c r="N257" s="18">
        <v>0</v>
      </c>
      <c r="O257" s="18">
        <v>0</v>
      </c>
      <c r="P257" s="18">
        <v>0</v>
      </c>
      <c r="Q257" s="18">
        <f t="shared" si="24"/>
        <v>0</v>
      </c>
      <c r="R257">
        <v>0</v>
      </c>
      <c r="S257">
        <v>0</v>
      </c>
      <c r="T257">
        <v>0</v>
      </c>
      <c r="U257">
        <v>0</v>
      </c>
      <c r="V257" s="18">
        <f t="shared" si="19"/>
        <v>0</v>
      </c>
      <c r="W257" s="18">
        <f t="shared" si="23"/>
        <v>0</v>
      </c>
      <c r="X257" s="18">
        <v>0</v>
      </c>
      <c r="Y257" s="18">
        <v>0</v>
      </c>
    </row>
    <row r="258" spans="1:25" x14ac:dyDescent="0.2">
      <c r="A258" s="18">
        <v>6418</v>
      </c>
      <c r="C258" s="18">
        <v>0</v>
      </c>
      <c r="D258" s="18">
        <v>0</v>
      </c>
      <c r="E258" s="18">
        <v>0</v>
      </c>
      <c r="F258" s="18">
        <f t="shared" si="20"/>
        <v>0</v>
      </c>
      <c r="G258" s="18">
        <v>0</v>
      </c>
      <c r="H258" s="18">
        <v>0</v>
      </c>
      <c r="I258" s="18">
        <f t="shared" si="21"/>
        <v>0</v>
      </c>
      <c r="J258" s="18">
        <v>0</v>
      </c>
      <c r="K258" s="18">
        <v>0</v>
      </c>
      <c r="L258" s="18">
        <f t="shared" si="22"/>
        <v>0</v>
      </c>
      <c r="M258" s="18">
        <v>0</v>
      </c>
      <c r="N258" s="18">
        <v>0</v>
      </c>
      <c r="O258" s="18">
        <v>0</v>
      </c>
      <c r="P258" s="18">
        <v>0</v>
      </c>
      <c r="Q258" s="18">
        <f t="shared" si="24"/>
        <v>0</v>
      </c>
      <c r="R258">
        <v>0</v>
      </c>
      <c r="S258">
        <v>0</v>
      </c>
      <c r="T258">
        <v>0</v>
      </c>
      <c r="U258">
        <v>0</v>
      </c>
      <c r="V258" s="18">
        <f t="shared" si="19"/>
        <v>0</v>
      </c>
      <c r="W258" s="18">
        <f t="shared" si="23"/>
        <v>0</v>
      </c>
      <c r="X258" s="18">
        <v>0</v>
      </c>
      <c r="Y258" s="18">
        <v>0</v>
      </c>
    </row>
    <row r="259" spans="1:25" x14ac:dyDescent="0.2">
      <c r="A259" s="18">
        <v>6426</v>
      </c>
      <c r="C259" s="18">
        <v>0</v>
      </c>
      <c r="D259" s="18">
        <v>0</v>
      </c>
      <c r="E259" s="18">
        <v>0</v>
      </c>
      <c r="F259" s="18">
        <f t="shared" si="20"/>
        <v>0</v>
      </c>
      <c r="G259" s="18">
        <v>0</v>
      </c>
      <c r="H259" s="18">
        <v>0</v>
      </c>
      <c r="I259" s="18">
        <f t="shared" si="21"/>
        <v>0</v>
      </c>
      <c r="J259" s="18">
        <v>0</v>
      </c>
      <c r="K259" s="18">
        <v>0</v>
      </c>
      <c r="L259" s="18">
        <f t="shared" si="22"/>
        <v>0</v>
      </c>
      <c r="M259" s="18">
        <v>0</v>
      </c>
      <c r="N259" s="18">
        <v>0</v>
      </c>
      <c r="O259" s="18">
        <v>0</v>
      </c>
      <c r="P259" s="18">
        <v>0</v>
      </c>
      <c r="Q259" s="18">
        <f t="shared" si="24"/>
        <v>0</v>
      </c>
      <c r="R259">
        <v>0</v>
      </c>
      <c r="S259">
        <v>0</v>
      </c>
      <c r="T259">
        <v>0</v>
      </c>
      <c r="U259">
        <v>0</v>
      </c>
      <c r="V259" s="18">
        <f t="shared" si="19"/>
        <v>0</v>
      </c>
      <c r="W259" s="18">
        <f t="shared" si="23"/>
        <v>0</v>
      </c>
      <c r="X259" s="18">
        <v>0</v>
      </c>
      <c r="Y259" s="18">
        <v>0</v>
      </c>
    </row>
    <row r="260" spans="1:25" x14ac:dyDescent="0.2">
      <c r="A260" s="18">
        <v>6447</v>
      </c>
      <c r="C260" s="18">
        <v>0</v>
      </c>
      <c r="D260" s="18">
        <v>0</v>
      </c>
      <c r="E260" s="18">
        <v>0</v>
      </c>
      <c r="F260" s="18">
        <f t="shared" si="20"/>
        <v>0</v>
      </c>
      <c r="G260" s="18">
        <v>0</v>
      </c>
      <c r="H260" s="18">
        <v>0</v>
      </c>
      <c r="I260" s="18">
        <f t="shared" si="21"/>
        <v>0</v>
      </c>
      <c r="J260" s="18">
        <v>0</v>
      </c>
      <c r="K260" s="18">
        <v>0</v>
      </c>
      <c r="L260" s="18">
        <f t="shared" si="22"/>
        <v>0</v>
      </c>
      <c r="M260" s="18">
        <v>0</v>
      </c>
      <c r="N260" s="18">
        <v>0</v>
      </c>
      <c r="O260" s="18">
        <v>0</v>
      </c>
      <c r="P260" s="18">
        <v>0</v>
      </c>
      <c r="Q260" s="18">
        <f t="shared" si="24"/>
        <v>0</v>
      </c>
      <c r="R260">
        <v>0</v>
      </c>
      <c r="S260">
        <v>0</v>
      </c>
      <c r="T260">
        <v>0</v>
      </c>
      <c r="U260">
        <v>0</v>
      </c>
      <c r="V260" s="18">
        <f t="shared" ref="V260:V323" si="25">M260+N260</f>
        <v>0</v>
      </c>
      <c r="W260" s="18">
        <f t="shared" si="23"/>
        <v>0</v>
      </c>
      <c r="X260" s="18">
        <v>0</v>
      </c>
      <c r="Y260" s="18">
        <v>0</v>
      </c>
    </row>
    <row r="261" spans="1:25" x14ac:dyDescent="0.2">
      <c r="A261" s="18">
        <v>6461</v>
      </c>
      <c r="C261" s="18">
        <v>0</v>
      </c>
      <c r="D261" s="18">
        <v>0</v>
      </c>
      <c r="E261" s="18">
        <v>0</v>
      </c>
      <c r="F261" s="18">
        <f t="shared" ref="F261:F324" si="26">SUM(D261:E261)</f>
        <v>0</v>
      </c>
      <c r="G261" s="18">
        <v>0</v>
      </c>
      <c r="H261" s="18">
        <v>0</v>
      </c>
      <c r="I261" s="18">
        <f t="shared" ref="I261:I324" si="27">SUM(G261:H261)</f>
        <v>0</v>
      </c>
      <c r="J261" s="18">
        <v>0</v>
      </c>
      <c r="K261" s="18">
        <v>0</v>
      </c>
      <c r="L261" s="18">
        <f t="shared" ref="L261:L324" si="28">SUM(J261:K261)</f>
        <v>0</v>
      </c>
      <c r="M261" s="18">
        <v>0</v>
      </c>
      <c r="N261" s="18">
        <v>0</v>
      </c>
      <c r="O261" s="18">
        <v>0</v>
      </c>
      <c r="P261" s="18">
        <v>0</v>
      </c>
      <c r="Q261" s="18">
        <f t="shared" si="24"/>
        <v>0</v>
      </c>
      <c r="R261">
        <v>0</v>
      </c>
      <c r="S261">
        <v>0</v>
      </c>
      <c r="T261">
        <v>0</v>
      </c>
      <c r="U261">
        <v>0</v>
      </c>
      <c r="V261" s="18">
        <f t="shared" si="25"/>
        <v>0</v>
      </c>
      <c r="W261" s="18">
        <f t="shared" ref="W261:W324" si="29">O261+P261</f>
        <v>0</v>
      </c>
      <c r="X261" s="18">
        <v>0</v>
      </c>
      <c r="Y261" s="18">
        <v>0</v>
      </c>
    </row>
    <row r="262" spans="1:25" x14ac:dyDescent="0.2">
      <c r="A262" s="18" t="s">
        <v>426</v>
      </c>
      <c r="C262" s="18">
        <v>0</v>
      </c>
      <c r="D262" s="18">
        <v>0</v>
      </c>
      <c r="E262" s="18">
        <v>0</v>
      </c>
      <c r="F262" s="18">
        <f t="shared" si="26"/>
        <v>0</v>
      </c>
      <c r="G262" s="18">
        <v>0</v>
      </c>
      <c r="H262" s="18">
        <v>0</v>
      </c>
      <c r="I262" s="18">
        <f t="shared" si="27"/>
        <v>0</v>
      </c>
      <c r="J262" s="18">
        <v>0</v>
      </c>
      <c r="K262" s="18">
        <v>0</v>
      </c>
      <c r="L262" s="18">
        <f t="shared" si="28"/>
        <v>0</v>
      </c>
      <c r="M262" s="18">
        <v>0</v>
      </c>
      <c r="N262" s="18">
        <v>0</v>
      </c>
      <c r="O262" s="18">
        <v>0</v>
      </c>
      <c r="P262" s="18">
        <v>0</v>
      </c>
      <c r="Q262" s="18">
        <f t="shared" si="24"/>
        <v>0</v>
      </c>
      <c r="R262">
        <v>0</v>
      </c>
      <c r="S262">
        <v>0</v>
      </c>
      <c r="T262">
        <v>0</v>
      </c>
      <c r="U262">
        <v>0</v>
      </c>
      <c r="V262" s="18">
        <f t="shared" si="25"/>
        <v>0</v>
      </c>
      <c r="W262" s="18">
        <f t="shared" si="29"/>
        <v>0</v>
      </c>
      <c r="X262" s="18">
        <v>0</v>
      </c>
      <c r="Y262" s="18">
        <v>0</v>
      </c>
    </row>
    <row r="263" spans="1:25" x14ac:dyDescent="0.2">
      <c r="A263" s="18" t="s">
        <v>424</v>
      </c>
      <c r="C263" s="18">
        <v>0</v>
      </c>
      <c r="D263" s="18">
        <v>0</v>
      </c>
      <c r="E263" s="18">
        <v>0</v>
      </c>
      <c r="F263" s="18">
        <f t="shared" si="26"/>
        <v>0</v>
      </c>
      <c r="G263" s="18">
        <v>0</v>
      </c>
      <c r="H263" s="18">
        <v>0</v>
      </c>
      <c r="I263" s="18">
        <f t="shared" si="27"/>
        <v>0</v>
      </c>
      <c r="J263" s="18">
        <v>0</v>
      </c>
      <c r="K263" s="18">
        <v>0</v>
      </c>
      <c r="L263" s="18">
        <f t="shared" si="28"/>
        <v>0</v>
      </c>
      <c r="M263" s="18">
        <v>0</v>
      </c>
      <c r="N263" s="18">
        <v>0</v>
      </c>
      <c r="O263" s="18">
        <v>0</v>
      </c>
      <c r="P263" s="18">
        <v>0</v>
      </c>
      <c r="Q263" s="18">
        <f t="shared" si="24"/>
        <v>0</v>
      </c>
      <c r="R263">
        <v>0</v>
      </c>
      <c r="S263">
        <v>0</v>
      </c>
      <c r="T263">
        <v>0</v>
      </c>
      <c r="U263">
        <v>0</v>
      </c>
      <c r="V263" s="18">
        <f t="shared" si="25"/>
        <v>0</v>
      </c>
      <c r="W263" s="18">
        <f t="shared" si="29"/>
        <v>0</v>
      </c>
      <c r="X263" s="18">
        <v>0</v>
      </c>
      <c r="Y263" s="18">
        <v>0</v>
      </c>
    </row>
    <row r="264" spans="1:25" x14ac:dyDescent="0.2">
      <c r="A264" s="18" t="s">
        <v>425</v>
      </c>
      <c r="C264" s="18">
        <v>0</v>
      </c>
      <c r="D264" s="18">
        <v>0</v>
      </c>
      <c r="E264" s="18">
        <v>0</v>
      </c>
      <c r="F264" s="18">
        <f t="shared" si="26"/>
        <v>0</v>
      </c>
      <c r="G264" s="18">
        <v>0</v>
      </c>
      <c r="H264" s="18">
        <v>0</v>
      </c>
      <c r="I264" s="18">
        <f t="shared" si="27"/>
        <v>0</v>
      </c>
      <c r="J264" s="18">
        <v>0</v>
      </c>
      <c r="K264" s="18">
        <v>0</v>
      </c>
      <c r="L264" s="18">
        <f t="shared" si="28"/>
        <v>0</v>
      </c>
      <c r="M264" s="18">
        <v>0</v>
      </c>
      <c r="N264" s="18">
        <v>0</v>
      </c>
      <c r="O264" s="18">
        <v>0</v>
      </c>
      <c r="P264" s="18">
        <v>0</v>
      </c>
      <c r="Q264" s="18">
        <f t="shared" si="24"/>
        <v>0</v>
      </c>
      <c r="R264">
        <v>0</v>
      </c>
      <c r="S264">
        <v>0</v>
      </c>
      <c r="T264">
        <v>0</v>
      </c>
      <c r="U264">
        <v>0</v>
      </c>
      <c r="V264" s="18">
        <f t="shared" si="25"/>
        <v>0</v>
      </c>
      <c r="W264" s="18">
        <f t="shared" si="29"/>
        <v>0</v>
      </c>
      <c r="X264" s="18">
        <v>0</v>
      </c>
      <c r="Y264" s="18">
        <v>0</v>
      </c>
    </row>
    <row r="265" spans="1:25" x14ac:dyDescent="0.2">
      <c r="A265" s="18" t="s">
        <v>423</v>
      </c>
      <c r="C265" s="18">
        <v>0</v>
      </c>
      <c r="D265" s="18">
        <v>0</v>
      </c>
      <c r="E265" s="18">
        <v>0</v>
      </c>
      <c r="F265" s="18">
        <f t="shared" si="26"/>
        <v>0</v>
      </c>
      <c r="G265" s="18">
        <v>0</v>
      </c>
      <c r="H265" s="18">
        <v>0</v>
      </c>
      <c r="I265" s="18">
        <f t="shared" si="27"/>
        <v>0</v>
      </c>
      <c r="J265" s="18">
        <v>0</v>
      </c>
      <c r="K265" s="18">
        <v>0</v>
      </c>
      <c r="L265" s="18">
        <f t="shared" si="28"/>
        <v>0</v>
      </c>
      <c r="M265" s="18">
        <v>0</v>
      </c>
      <c r="N265" s="18">
        <v>0</v>
      </c>
      <c r="O265" s="18">
        <v>0</v>
      </c>
      <c r="P265" s="18">
        <v>0</v>
      </c>
      <c r="Q265" s="18">
        <f t="shared" si="24"/>
        <v>0</v>
      </c>
      <c r="R265">
        <v>0</v>
      </c>
      <c r="S265">
        <v>0</v>
      </c>
      <c r="T265">
        <v>0</v>
      </c>
      <c r="U265">
        <v>0</v>
      </c>
      <c r="V265" s="18">
        <f t="shared" si="25"/>
        <v>0</v>
      </c>
      <c r="W265" s="18">
        <f t="shared" si="29"/>
        <v>0</v>
      </c>
      <c r="X265" s="18">
        <v>0</v>
      </c>
      <c r="Y265" s="18">
        <v>0</v>
      </c>
    </row>
    <row r="266" spans="1:25" x14ac:dyDescent="0.2">
      <c r="A266" s="18" t="s">
        <v>422</v>
      </c>
      <c r="C266" s="18">
        <v>0</v>
      </c>
      <c r="D266" s="18">
        <v>0</v>
      </c>
      <c r="E266" s="18">
        <v>0</v>
      </c>
      <c r="F266" s="18">
        <f t="shared" si="26"/>
        <v>0</v>
      </c>
      <c r="G266" s="18">
        <v>0</v>
      </c>
      <c r="H266" s="18">
        <v>0</v>
      </c>
      <c r="I266" s="18">
        <f t="shared" si="27"/>
        <v>0</v>
      </c>
      <c r="J266" s="18">
        <v>0</v>
      </c>
      <c r="K266" s="18">
        <v>0</v>
      </c>
      <c r="L266" s="18">
        <f t="shared" si="28"/>
        <v>0</v>
      </c>
      <c r="M266" s="18">
        <v>0</v>
      </c>
      <c r="N266" s="18">
        <v>0</v>
      </c>
      <c r="O266" s="18">
        <v>0</v>
      </c>
      <c r="P266" s="18">
        <v>0</v>
      </c>
      <c r="Q266" s="18">
        <f t="shared" si="24"/>
        <v>0</v>
      </c>
      <c r="R266">
        <v>0</v>
      </c>
      <c r="S266">
        <v>0</v>
      </c>
      <c r="T266">
        <v>0</v>
      </c>
      <c r="U266">
        <v>0</v>
      </c>
      <c r="V266" s="18">
        <f t="shared" si="25"/>
        <v>0</v>
      </c>
      <c r="W266" s="18">
        <f t="shared" si="29"/>
        <v>0</v>
      </c>
      <c r="X266" s="18">
        <v>0</v>
      </c>
      <c r="Y266" s="18">
        <v>0</v>
      </c>
    </row>
    <row r="267" spans="1:25" x14ac:dyDescent="0.2">
      <c r="A267" s="18">
        <v>6485</v>
      </c>
      <c r="C267" s="18">
        <v>0</v>
      </c>
      <c r="D267" s="18">
        <v>0</v>
      </c>
      <c r="E267" s="18">
        <v>0</v>
      </c>
      <c r="F267" s="18">
        <f t="shared" si="26"/>
        <v>0</v>
      </c>
      <c r="G267" s="18">
        <v>0</v>
      </c>
      <c r="H267" s="18">
        <v>0</v>
      </c>
      <c r="I267" s="18">
        <f t="shared" si="27"/>
        <v>0</v>
      </c>
      <c r="J267" s="18">
        <v>0</v>
      </c>
      <c r="K267" s="18">
        <v>0</v>
      </c>
      <c r="L267" s="18">
        <f t="shared" si="28"/>
        <v>0</v>
      </c>
      <c r="M267" s="18">
        <v>0</v>
      </c>
      <c r="N267" s="18">
        <v>0</v>
      </c>
      <c r="O267" s="18">
        <v>0</v>
      </c>
      <c r="P267" s="18">
        <v>0</v>
      </c>
      <c r="Q267" s="18">
        <f t="shared" si="24"/>
        <v>0</v>
      </c>
      <c r="R267">
        <v>0</v>
      </c>
      <c r="S267">
        <v>0</v>
      </c>
      <c r="T267">
        <v>0</v>
      </c>
      <c r="U267">
        <v>0</v>
      </c>
      <c r="V267" s="18">
        <f t="shared" si="25"/>
        <v>0</v>
      </c>
      <c r="W267" s="18">
        <f t="shared" si="29"/>
        <v>0</v>
      </c>
      <c r="X267" s="18">
        <v>0</v>
      </c>
      <c r="Y267" s="18">
        <v>0</v>
      </c>
    </row>
    <row r="268" spans="1:25" x14ac:dyDescent="0.2">
      <c r="A268" s="18">
        <v>6483</v>
      </c>
      <c r="C268" s="18">
        <v>0</v>
      </c>
      <c r="D268" s="18">
        <v>0</v>
      </c>
      <c r="E268" s="18">
        <v>0</v>
      </c>
      <c r="F268" s="18">
        <f t="shared" si="26"/>
        <v>0</v>
      </c>
      <c r="G268" s="18">
        <v>0</v>
      </c>
      <c r="H268" s="18">
        <v>0</v>
      </c>
      <c r="I268" s="18">
        <f t="shared" si="27"/>
        <v>0</v>
      </c>
      <c r="J268" s="18">
        <v>0</v>
      </c>
      <c r="K268" s="18">
        <v>0</v>
      </c>
      <c r="L268" s="18">
        <f t="shared" si="28"/>
        <v>0</v>
      </c>
      <c r="M268" s="18">
        <v>0</v>
      </c>
      <c r="N268" s="18">
        <v>0</v>
      </c>
      <c r="O268" s="18">
        <v>0</v>
      </c>
      <c r="P268" s="18">
        <v>0</v>
      </c>
      <c r="Q268" s="18">
        <f t="shared" si="24"/>
        <v>0</v>
      </c>
      <c r="R268">
        <v>0</v>
      </c>
      <c r="S268">
        <v>0</v>
      </c>
      <c r="T268">
        <v>0</v>
      </c>
      <c r="U268">
        <v>0</v>
      </c>
      <c r="V268" s="18">
        <f t="shared" si="25"/>
        <v>0</v>
      </c>
      <c r="W268" s="18">
        <f t="shared" si="29"/>
        <v>0</v>
      </c>
      <c r="X268" s="18">
        <v>0</v>
      </c>
      <c r="Y268" s="18">
        <v>0</v>
      </c>
    </row>
    <row r="269" spans="1:25" x14ac:dyDescent="0.2">
      <c r="A269" s="18">
        <v>6482</v>
      </c>
      <c r="C269" s="18">
        <v>0</v>
      </c>
      <c r="D269" s="18">
        <v>0</v>
      </c>
      <c r="E269" s="18">
        <v>0</v>
      </c>
      <c r="F269" s="18">
        <f t="shared" si="26"/>
        <v>0</v>
      </c>
      <c r="G269" s="18">
        <v>0</v>
      </c>
      <c r="H269" s="18">
        <v>0</v>
      </c>
      <c r="I269" s="18">
        <f t="shared" si="27"/>
        <v>0</v>
      </c>
      <c r="J269" s="18">
        <v>0</v>
      </c>
      <c r="K269" s="18">
        <v>0</v>
      </c>
      <c r="L269" s="18">
        <f t="shared" si="28"/>
        <v>0</v>
      </c>
      <c r="M269" s="18">
        <v>0</v>
      </c>
      <c r="N269" s="18">
        <v>0</v>
      </c>
      <c r="O269" s="18">
        <v>0</v>
      </c>
      <c r="P269" s="18">
        <v>0</v>
      </c>
      <c r="Q269" s="18">
        <f t="shared" si="24"/>
        <v>0</v>
      </c>
      <c r="R269">
        <v>0</v>
      </c>
      <c r="S269">
        <v>0</v>
      </c>
      <c r="T269">
        <v>0</v>
      </c>
      <c r="U269">
        <v>0</v>
      </c>
      <c r="V269" s="18">
        <f t="shared" si="25"/>
        <v>0</v>
      </c>
      <c r="W269" s="18">
        <f t="shared" si="29"/>
        <v>0</v>
      </c>
      <c r="X269" s="18">
        <v>0</v>
      </c>
      <c r="Y269" s="18">
        <v>0</v>
      </c>
    </row>
    <row r="270" spans="1:25" x14ac:dyDescent="0.2">
      <c r="A270" s="18">
        <v>6481</v>
      </c>
      <c r="C270" s="18">
        <v>0</v>
      </c>
      <c r="D270" s="18">
        <v>0</v>
      </c>
      <c r="E270" s="18">
        <v>0</v>
      </c>
      <c r="F270" s="18">
        <f t="shared" si="26"/>
        <v>0</v>
      </c>
      <c r="G270" s="18">
        <v>0</v>
      </c>
      <c r="H270" s="18">
        <v>0</v>
      </c>
      <c r="I270" s="18">
        <f t="shared" si="27"/>
        <v>0</v>
      </c>
      <c r="J270" s="18">
        <v>0</v>
      </c>
      <c r="K270" s="18">
        <v>0</v>
      </c>
      <c r="L270" s="18">
        <f t="shared" si="28"/>
        <v>0</v>
      </c>
      <c r="M270" s="18">
        <v>0</v>
      </c>
      <c r="N270" s="18">
        <v>0</v>
      </c>
      <c r="O270" s="18">
        <v>0</v>
      </c>
      <c r="P270" s="18">
        <v>0</v>
      </c>
      <c r="Q270" s="18">
        <f t="shared" si="24"/>
        <v>0</v>
      </c>
      <c r="R270">
        <v>0</v>
      </c>
      <c r="S270">
        <v>0</v>
      </c>
      <c r="T270">
        <v>0</v>
      </c>
      <c r="U270">
        <v>0</v>
      </c>
      <c r="V270" s="18">
        <f t="shared" si="25"/>
        <v>0</v>
      </c>
      <c r="W270" s="18">
        <f t="shared" si="29"/>
        <v>0</v>
      </c>
      <c r="X270" s="18">
        <v>0</v>
      </c>
      <c r="Y270" s="18">
        <v>0</v>
      </c>
    </row>
    <row r="271" spans="1:25" x14ac:dyDescent="0.2">
      <c r="A271" s="18">
        <v>6477</v>
      </c>
      <c r="C271" s="18">
        <v>0</v>
      </c>
      <c r="D271" s="18">
        <v>0</v>
      </c>
      <c r="E271" s="18">
        <v>0</v>
      </c>
      <c r="F271" s="18">
        <f t="shared" si="26"/>
        <v>0</v>
      </c>
      <c r="G271" s="18">
        <v>0</v>
      </c>
      <c r="H271" s="18">
        <v>0</v>
      </c>
      <c r="I271" s="18">
        <f t="shared" si="27"/>
        <v>0</v>
      </c>
      <c r="J271" s="18">
        <v>0</v>
      </c>
      <c r="K271" s="18">
        <v>0</v>
      </c>
      <c r="L271" s="18">
        <f t="shared" si="28"/>
        <v>0</v>
      </c>
      <c r="M271" s="18">
        <v>0</v>
      </c>
      <c r="N271" s="18">
        <v>0</v>
      </c>
      <c r="O271" s="18">
        <v>0</v>
      </c>
      <c r="P271" s="18">
        <v>0</v>
      </c>
      <c r="Q271" s="18">
        <f t="shared" si="24"/>
        <v>0</v>
      </c>
      <c r="R271">
        <v>0</v>
      </c>
      <c r="S271">
        <v>0</v>
      </c>
      <c r="T271">
        <v>0</v>
      </c>
      <c r="U271">
        <v>0</v>
      </c>
      <c r="V271" s="18">
        <f t="shared" si="25"/>
        <v>0</v>
      </c>
      <c r="W271" s="18">
        <f t="shared" si="29"/>
        <v>0</v>
      </c>
      <c r="X271" s="18">
        <v>0</v>
      </c>
      <c r="Y271" s="18">
        <v>0</v>
      </c>
    </row>
    <row r="272" spans="1:25" x14ac:dyDescent="0.2">
      <c r="A272" s="18">
        <v>6475</v>
      </c>
      <c r="C272" s="18">
        <v>0</v>
      </c>
      <c r="D272" s="18">
        <v>0</v>
      </c>
      <c r="E272" s="18">
        <v>0</v>
      </c>
      <c r="F272" s="18">
        <f t="shared" si="26"/>
        <v>0</v>
      </c>
      <c r="G272" s="18">
        <v>0</v>
      </c>
      <c r="H272" s="18">
        <v>0</v>
      </c>
      <c r="I272" s="18">
        <f t="shared" si="27"/>
        <v>0</v>
      </c>
      <c r="J272" s="18">
        <v>0</v>
      </c>
      <c r="K272" s="18">
        <v>0</v>
      </c>
      <c r="L272" s="18">
        <f t="shared" si="28"/>
        <v>0</v>
      </c>
      <c r="M272" s="18">
        <v>0</v>
      </c>
      <c r="N272" s="18">
        <v>0</v>
      </c>
      <c r="O272" s="18">
        <v>0</v>
      </c>
      <c r="P272" s="18">
        <v>0</v>
      </c>
      <c r="Q272" s="18">
        <f t="shared" si="24"/>
        <v>0</v>
      </c>
      <c r="R272">
        <v>0</v>
      </c>
      <c r="S272">
        <v>0</v>
      </c>
      <c r="T272">
        <v>0</v>
      </c>
      <c r="U272">
        <v>0</v>
      </c>
      <c r="V272" s="18">
        <f t="shared" si="25"/>
        <v>0</v>
      </c>
      <c r="W272" s="18">
        <f t="shared" si="29"/>
        <v>0</v>
      </c>
      <c r="X272" s="18">
        <v>0</v>
      </c>
      <c r="Y272" s="18">
        <v>0</v>
      </c>
    </row>
    <row r="273" spans="1:25" x14ac:dyDescent="0.2">
      <c r="A273" s="18">
        <v>6474</v>
      </c>
      <c r="C273" s="18">
        <v>0</v>
      </c>
      <c r="D273" s="18">
        <v>0</v>
      </c>
      <c r="E273" s="18">
        <v>0</v>
      </c>
      <c r="F273" s="18">
        <f t="shared" si="26"/>
        <v>0</v>
      </c>
      <c r="G273" s="18">
        <v>0</v>
      </c>
      <c r="H273" s="18">
        <v>0</v>
      </c>
      <c r="I273" s="18">
        <f t="shared" si="27"/>
        <v>0</v>
      </c>
      <c r="J273" s="18">
        <v>0</v>
      </c>
      <c r="K273" s="18">
        <v>0</v>
      </c>
      <c r="L273" s="18">
        <f t="shared" si="28"/>
        <v>0</v>
      </c>
      <c r="M273" s="18">
        <v>0</v>
      </c>
      <c r="N273" s="18">
        <v>0</v>
      </c>
      <c r="O273" s="18">
        <v>0</v>
      </c>
      <c r="P273" s="18">
        <v>0</v>
      </c>
      <c r="Q273" s="18">
        <f t="shared" si="24"/>
        <v>0</v>
      </c>
      <c r="R273">
        <v>0</v>
      </c>
      <c r="S273">
        <v>0</v>
      </c>
      <c r="T273">
        <v>0</v>
      </c>
      <c r="U273">
        <v>0</v>
      </c>
      <c r="V273" s="18">
        <f t="shared" si="25"/>
        <v>0</v>
      </c>
      <c r="W273" s="18">
        <f t="shared" si="29"/>
        <v>0</v>
      </c>
      <c r="X273" s="18">
        <v>0</v>
      </c>
      <c r="Y273" s="18">
        <v>0</v>
      </c>
    </row>
    <row r="274" spans="1:25" x14ac:dyDescent="0.2">
      <c r="A274" s="18">
        <v>6489</v>
      </c>
      <c r="C274" s="18">
        <v>0</v>
      </c>
      <c r="D274" s="18">
        <v>0</v>
      </c>
      <c r="E274" s="18">
        <v>0</v>
      </c>
      <c r="F274" s="18">
        <f t="shared" si="26"/>
        <v>0</v>
      </c>
      <c r="G274" s="18">
        <v>0</v>
      </c>
      <c r="H274" s="18">
        <v>0</v>
      </c>
      <c r="I274" s="18">
        <f t="shared" si="27"/>
        <v>0</v>
      </c>
      <c r="J274" s="18">
        <v>0</v>
      </c>
      <c r="K274" s="18">
        <v>0</v>
      </c>
      <c r="L274" s="18">
        <f t="shared" si="28"/>
        <v>0</v>
      </c>
      <c r="M274" s="18">
        <v>0</v>
      </c>
      <c r="N274" s="18">
        <v>0</v>
      </c>
      <c r="O274" s="18">
        <v>0</v>
      </c>
      <c r="P274" s="18">
        <v>0</v>
      </c>
      <c r="Q274" s="18">
        <f t="shared" si="24"/>
        <v>0</v>
      </c>
      <c r="R274">
        <v>0</v>
      </c>
      <c r="S274">
        <v>0</v>
      </c>
      <c r="T274">
        <v>0</v>
      </c>
      <c r="U274">
        <v>0</v>
      </c>
      <c r="V274" s="18">
        <f t="shared" si="25"/>
        <v>0</v>
      </c>
      <c r="W274" s="18">
        <f t="shared" si="29"/>
        <v>0</v>
      </c>
      <c r="X274" s="18">
        <v>0</v>
      </c>
      <c r="Y274" s="18">
        <v>0</v>
      </c>
    </row>
    <row r="275" spans="1:25" x14ac:dyDescent="0.2">
      <c r="A275" s="18">
        <v>6498</v>
      </c>
      <c r="C275" s="18">
        <v>0</v>
      </c>
      <c r="D275" s="18">
        <v>0</v>
      </c>
      <c r="E275" s="18">
        <v>0</v>
      </c>
      <c r="F275" s="18">
        <f t="shared" si="26"/>
        <v>0</v>
      </c>
      <c r="G275" s="18">
        <v>0</v>
      </c>
      <c r="H275" s="18">
        <v>0</v>
      </c>
      <c r="I275" s="18">
        <f t="shared" si="27"/>
        <v>0</v>
      </c>
      <c r="J275" s="18">
        <v>0</v>
      </c>
      <c r="K275" s="18">
        <v>0</v>
      </c>
      <c r="L275" s="18">
        <f t="shared" si="28"/>
        <v>0</v>
      </c>
      <c r="M275" s="18">
        <v>0</v>
      </c>
      <c r="N275" s="18">
        <v>0</v>
      </c>
      <c r="O275" s="18">
        <v>0</v>
      </c>
      <c r="P275" s="18">
        <v>0</v>
      </c>
      <c r="Q275" s="18">
        <f t="shared" si="24"/>
        <v>0</v>
      </c>
      <c r="R275">
        <v>0</v>
      </c>
      <c r="S275">
        <v>0</v>
      </c>
      <c r="T275">
        <v>0</v>
      </c>
      <c r="U275">
        <v>0</v>
      </c>
      <c r="V275" s="18">
        <f t="shared" si="25"/>
        <v>0</v>
      </c>
      <c r="W275" s="18">
        <f t="shared" si="29"/>
        <v>0</v>
      </c>
      <c r="X275" s="18">
        <v>0</v>
      </c>
      <c r="Y275" s="18">
        <v>0</v>
      </c>
    </row>
    <row r="276" spans="1:25" x14ac:dyDescent="0.2">
      <c r="A276" s="18" t="s">
        <v>428</v>
      </c>
      <c r="C276" s="18">
        <v>0</v>
      </c>
      <c r="D276" s="18">
        <v>0</v>
      </c>
      <c r="E276" s="18">
        <v>0</v>
      </c>
      <c r="F276" s="18">
        <f t="shared" si="26"/>
        <v>0</v>
      </c>
      <c r="G276" s="18">
        <v>0</v>
      </c>
      <c r="H276" s="18">
        <v>0</v>
      </c>
      <c r="I276" s="18">
        <f t="shared" si="27"/>
        <v>0</v>
      </c>
      <c r="J276" s="18">
        <v>0</v>
      </c>
      <c r="K276" s="18">
        <v>0</v>
      </c>
      <c r="L276" s="18">
        <f t="shared" si="28"/>
        <v>0</v>
      </c>
      <c r="M276" s="18">
        <v>0</v>
      </c>
      <c r="N276" s="18">
        <v>0</v>
      </c>
      <c r="O276" s="18">
        <v>0</v>
      </c>
      <c r="P276" s="18">
        <v>0</v>
      </c>
      <c r="Q276" s="18">
        <f t="shared" si="24"/>
        <v>0</v>
      </c>
      <c r="R276">
        <v>0</v>
      </c>
      <c r="S276">
        <v>0</v>
      </c>
      <c r="T276">
        <v>0</v>
      </c>
      <c r="U276">
        <v>0</v>
      </c>
      <c r="V276" s="18">
        <f t="shared" si="25"/>
        <v>0</v>
      </c>
      <c r="W276" s="18">
        <f t="shared" si="29"/>
        <v>0</v>
      </c>
      <c r="X276" s="18">
        <v>0</v>
      </c>
      <c r="Y276" s="18">
        <v>0</v>
      </c>
    </row>
    <row r="277" spans="1:25" x14ac:dyDescent="0.2">
      <c r="A277" s="18" t="s">
        <v>427</v>
      </c>
      <c r="C277" s="18">
        <v>0</v>
      </c>
      <c r="D277" s="18">
        <v>0</v>
      </c>
      <c r="E277" s="18">
        <v>0</v>
      </c>
      <c r="F277" s="18">
        <f t="shared" si="26"/>
        <v>0</v>
      </c>
      <c r="G277" s="18">
        <v>0</v>
      </c>
      <c r="H277" s="18">
        <v>0</v>
      </c>
      <c r="I277" s="18">
        <f t="shared" si="27"/>
        <v>0</v>
      </c>
      <c r="J277" s="18">
        <v>0</v>
      </c>
      <c r="K277" s="18">
        <v>0</v>
      </c>
      <c r="L277" s="18">
        <f t="shared" si="28"/>
        <v>0</v>
      </c>
      <c r="M277" s="18">
        <v>0</v>
      </c>
      <c r="N277" s="18">
        <v>0</v>
      </c>
      <c r="O277" s="18">
        <v>0</v>
      </c>
      <c r="P277" s="18">
        <v>0</v>
      </c>
      <c r="Q277" s="18">
        <f t="shared" si="24"/>
        <v>0</v>
      </c>
      <c r="R277">
        <v>0</v>
      </c>
      <c r="S277">
        <v>0</v>
      </c>
      <c r="T277">
        <v>0</v>
      </c>
      <c r="U277">
        <v>0</v>
      </c>
      <c r="V277" s="18">
        <f t="shared" si="25"/>
        <v>0</v>
      </c>
      <c r="W277" s="18">
        <f t="shared" si="29"/>
        <v>0</v>
      </c>
      <c r="X277" s="18">
        <v>0</v>
      </c>
      <c r="Y277" s="18">
        <v>0</v>
      </c>
    </row>
    <row r="278" spans="1:25" x14ac:dyDescent="0.2">
      <c r="A278" s="18">
        <v>6506</v>
      </c>
      <c r="C278" s="18">
        <v>0</v>
      </c>
      <c r="D278" s="18">
        <v>0</v>
      </c>
      <c r="E278" s="18">
        <v>0</v>
      </c>
      <c r="F278" s="18">
        <f t="shared" si="26"/>
        <v>0</v>
      </c>
      <c r="G278" s="18">
        <v>0</v>
      </c>
      <c r="H278" s="18">
        <v>0</v>
      </c>
      <c r="I278" s="18">
        <f t="shared" si="27"/>
        <v>0</v>
      </c>
      <c r="J278" s="18">
        <v>0</v>
      </c>
      <c r="K278" s="18">
        <v>0</v>
      </c>
      <c r="L278" s="18">
        <f t="shared" si="28"/>
        <v>0</v>
      </c>
      <c r="M278" s="18">
        <v>0</v>
      </c>
      <c r="N278" s="18">
        <v>0</v>
      </c>
      <c r="O278" s="18">
        <v>0</v>
      </c>
      <c r="P278" s="18">
        <v>0</v>
      </c>
      <c r="Q278" s="18">
        <f t="shared" si="24"/>
        <v>0</v>
      </c>
      <c r="R278">
        <v>0</v>
      </c>
      <c r="S278">
        <v>0</v>
      </c>
      <c r="T278">
        <v>0</v>
      </c>
      <c r="U278">
        <v>0</v>
      </c>
      <c r="V278" s="18">
        <f t="shared" si="25"/>
        <v>0</v>
      </c>
      <c r="W278" s="18">
        <f t="shared" si="29"/>
        <v>0</v>
      </c>
      <c r="X278" s="18">
        <v>0</v>
      </c>
      <c r="Y278" s="18">
        <v>0</v>
      </c>
    </row>
    <row r="279" spans="1:25" x14ac:dyDescent="0.2">
      <c r="A279" s="18">
        <v>6508</v>
      </c>
      <c r="C279" s="18">
        <v>0</v>
      </c>
      <c r="D279" s="18">
        <v>0</v>
      </c>
      <c r="E279" s="18">
        <v>0</v>
      </c>
      <c r="F279" s="18">
        <f t="shared" si="26"/>
        <v>0</v>
      </c>
      <c r="G279" s="18">
        <v>0</v>
      </c>
      <c r="H279" s="18">
        <v>0</v>
      </c>
      <c r="I279" s="18">
        <f t="shared" si="27"/>
        <v>0</v>
      </c>
      <c r="J279" s="18">
        <v>0</v>
      </c>
      <c r="K279" s="18">
        <v>0</v>
      </c>
      <c r="L279" s="18">
        <f t="shared" si="28"/>
        <v>0</v>
      </c>
      <c r="M279" s="18">
        <v>0</v>
      </c>
      <c r="N279" s="18">
        <v>0</v>
      </c>
      <c r="O279" s="18">
        <v>0</v>
      </c>
      <c r="P279" s="18">
        <v>0</v>
      </c>
      <c r="Q279" s="18">
        <f t="shared" si="24"/>
        <v>0</v>
      </c>
      <c r="R279">
        <v>0</v>
      </c>
      <c r="S279">
        <v>0</v>
      </c>
      <c r="T279">
        <v>0</v>
      </c>
      <c r="U279">
        <v>0</v>
      </c>
      <c r="V279" s="18">
        <f t="shared" si="25"/>
        <v>0</v>
      </c>
      <c r="W279" s="18">
        <f t="shared" si="29"/>
        <v>0</v>
      </c>
      <c r="X279" s="18">
        <v>0</v>
      </c>
      <c r="Y279" s="18">
        <v>0</v>
      </c>
    </row>
    <row r="280" spans="1:25" x14ac:dyDescent="0.2">
      <c r="A280" s="18">
        <v>6512</v>
      </c>
      <c r="C280" s="18">
        <v>0</v>
      </c>
      <c r="D280" s="18">
        <v>0</v>
      </c>
      <c r="E280" s="18">
        <v>0</v>
      </c>
      <c r="F280" s="18">
        <f t="shared" si="26"/>
        <v>0</v>
      </c>
      <c r="G280" s="18">
        <v>0</v>
      </c>
      <c r="H280" s="18">
        <v>0</v>
      </c>
      <c r="I280" s="18">
        <f t="shared" si="27"/>
        <v>0</v>
      </c>
      <c r="J280" s="18">
        <v>0</v>
      </c>
      <c r="K280" s="18">
        <v>0</v>
      </c>
      <c r="L280" s="18">
        <f t="shared" si="28"/>
        <v>0</v>
      </c>
      <c r="M280" s="18">
        <v>0</v>
      </c>
      <c r="N280" s="18">
        <v>0</v>
      </c>
      <c r="O280" s="18">
        <v>0</v>
      </c>
      <c r="P280" s="18">
        <v>0</v>
      </c>
      <c r="Q280" s="18">
        <f t="shared" si="24"/>
        <v>0</v>
      </c>
      <c r="R280">
        <v>0</v>
      </c>
      <c r="S280">
        <v>0</v>
      </c>
      <c r="T280">
        <v>0</v>
      </c>
      <c r="U280">
        <v>0</v>
      </c>
      <c r="V280" s="18">
        <f t="shared" si="25"/>
        <v>0</v>
      </c>
      <c r="W280" s="18">
        <f t="shared" si="29"/>
        <v>0</v>
      </c>
      <c r="X280" s="18">
        <v>0</v>
      </c>
      <c r="Y280" s="18">
        <v>0</v>
      </c>
    </row>
    <row r="281" spans="1:25" x14ac:dyDescent="0.2">
      <c r="A281" s="18">
        <v>6514</v>
      </c>
      <c r="C281" s="18">
        <v>0</v>
      </c>
      <c r="D281" s="18">
        <v>0</v>
      </c>
      <c r="E281" s="18">
        <v>0</v>
      </c>
      <c r="F281" s="18">
        <f t="shared" si="26"/>
        <v>0</v>
      </c>
      <c r="G281" s="18">
        <v>0</v>
      </c>
      <c r="H281" s="18">
        <v>0</v>
      </c>
      <c r="I281" s="18">
        <f t="shared" si="27"/>
        <v>0</v>
      </c>
      <c r="J281" s="18">
        <v>0</v>
      </c>
      <c r="K281" s="18">
        <v>0</v>
      </c>
      <c r="L281" s="18">
        <f t="shared" si="28"/>
        <v>0</v>
      </c>
      <c r="M281" s="18">
        <v>0</v>
      </c>
      <c r="N281" s="18">
        <v>0</v>
      </c>
      <c r="O281" s="18">
        <v>0</v>
      </c>
      <c r="P281" s="18">
        <v>0</v>
      </c>
      <c r="Q281" s="18">
        <f t="shared" si="24"/>
        <v>0</v>
      </c>
      <c r="R281">
        <v>0</v>
      </c>
      <c r="S281">
        <v>0</v>
      </c>
      <c r="T281">
        <v>0</v>
      </c>
      <c r="U281">
        <v>0</v>
      </c>
      <c r="V281" s="18">
        <f t="shared" si="25"/>
        <v>0</v>
      </c>
      <c r="W281" s="18">
        <f t="shared" si="29"/>
        <v>0</v>
      </c>
      <c r="X281" s="18">
        <v>0</v>
      </c>
      <c r="Y281" s="18">
        <v>0</v>
      </c>
    </row>
    <row r="282" spans="1:25" x14ac:dyDescent="0.2">
      <c r="A282" s="18">
        <v>6515</v>
      </c>
      <c r="C282" s="18">
        <v>0</v>
      </c>
      <c r="D282" s="18">
        <v>0</v>
      </c>
      <c r="E282" s="18">
        <v>0</v>
      </c>
      <c r="F282" s="18">
        <f t="shared" si="26"/>
        <v>0</v>
      </c>
      <c r="G282" s="18">
        <v>0</v>
      </c>
      <c r="H282" s="18">
        <v>0</v>
      </c>
      <c r="I282" s="18">
        <f t="shared" si="27"/>
        <v>0</v>
      </c>
      <c r="J282" s="18">
        <v>0</v>
      </c>
      <c r="K282" s="18">
        <v>0</v>
      </c>
      <c r="L282" s="18">
        <f t="shared" si="28"/>
        <v>0</v>
      </c>
      <c r="M282" s="18">
        <v>0</v>
      </c>
      <c r="N282" s="18">
        <v>0</v>
      </c>
      <c r="O282" s="18">
        <v>0</v>
      </c>
      <c r="P282" s="18">
        <v>0</v>
      </c>
      <c r="Q282" s="18">
        <f t="shared" si="24"/>
        <v>0</v>
      </c>
      <c r="R282">
        <v>0</v>
      </c>
      <c r="S282">
        <v>0</v>
      </c>
      <c r="T282">
        <v>0</v>
      </c>
      <c r="U282">
        <v>0</v>
      </c>
      <c r="V282" s="18">
        <f t="shared" si="25"/>
        <v>0</v>
      </c>
      <c r="W282" s="18">
        <f t="shared" si="29"/>
        <v>0</v>
      </c>
      <c r="X282" s="18">
        <v>0</v>
      </c>
      <c r="Y282" s="18">
        <v>0</v>
      </c>
    </row>
    <row r="283" spans="1:25" x14ac:dyDescent="0.2">
      <c r="A283" s="18">
        <v>6528</v>
      </c>
      <c r="C283" s="18">
        <v>0</v>
      </c>
      <c r="D283" s="18">
        <v>0</v>
      </c>
      <c r="E283" s="18">
        <v>0</v>
      </c>
      <c r="F283" s="18">
        <f t="shared" si="26"/>
        <v>0</v>
      </c>
      <c r="G283" s="18">
        <v>0</v>
      </c>
      <c r="H283" s="18">
        <v>0</v>
      </c>
      <c r="I283" s="18">
        <f t="shared" si="27"/>
        <v>0</v>
      </c>
      <c r="J283" s="18">
        <v>0</v>
      </c>
      <c r="K283" s="18">
        <v>0</v>
      </c>
      <c r="L283" s="18">
        <f t="shared" si="28"/>
        <v>0</v>
      </c>
      <c r="M283" s="18">
        <v>0</v>
      </c>
      <c r="N283" s="18">
        <v>0</v>
      </c>
      <c r="O283" s="18">
        <v>0</v>
      </c>
      <c r="P283" s="18">
        <v>0</v>
      </c>
      <c r="Q283" s="18">
        <f t="shared" si="24"/>
        <v>0</v>
      </c>
      <c r="R283">
        <v>0</v>
      </c>
      <c r="S283">
        <v>0</v>
      </c>
      <c r="T283">
        <v>0</v>
      </c>
      <c r="U283">
        <v>0</v>
      </c>
      <c r="V283" s="18">
        <f t="shared" si="25"/>
        <v>0</v>
      </c>
      <c r="W283" s="18">
        <f t="shared" si="29"/>
        <v>0</v>
      </c>
      <c r="X283" s="18">
        <v>0</v>
      </c>
      <c r="Y283" s="18">
        <v>0</v>
      </c>
    </row>
    <row r="284" spans="1:25" x14ac:dyDescent="0.2">
      <c r="A284" s="18">
        <v>6479</v>
      </c>
      <c r="C284" s="18">
        <v>0</v>
      </c>
      <c r="D284" s="18">
        <v>0</v>
      </c>
      <c r="E284" s="18">
        <v>0</v>
      </c>
      <c r="F284" s="18">
        <f t="shared" si="26"/>
        <v>0</v>
      </c>
      <c r="G284" s="18">
        <v>0</v>
      </c>
      <c r="H284" s="18">
        <v>0</v>
      </c>
      <c r="I284" s="18">
        <f t="shared" si="27"/>
        <v>0</v>
      </c>
      <c r="J284" s="18">
        <v>0</v>
      </c>
      <c r="K284" s="18">
        <v>0</v>
      </c>
      <c r="L284" s="18">
        <f t="shared" si="28"/>
        <v>0</v>
      </c>
      <c r="M284" s="18">
        <v>0</v>
      </c>
      <c r="N284" s="18">
        <v>0</v>
      </c>
      <c r="O284" s="18">
        <v>0</v>
      </c>
      <c r="P284" s="18">
        <v>0</v>
      </c>
      <c r="Q284" s="18">
        <f t="shared" si="24"/>
        <v>0</v>
      </c>
      <c r="R284">
        <v>0</v>
      </c>
      <c r="S284">
        <v>0</v>
      </c>
      <c r="T284">
        <v>0</v>
      </c>
      <c r="U284">
        <v>0</v>
      </c>
      <c r="V284" s="18">
        <f t="shared" si="25"/>
        <v>0</v>
      </c>
      <c r="W284" s="18">
        <f t="shared" si="29"/>
        <v>0</v>
      </c>
      <c r="X284" s="18">
        <v>0</v>
      </c>
      <c r="Y284" s="18">
        <v>0</v>
      </c>
    </row>
    <row r="285" spans="1:25" x14ac:dyDescent="0.2">
      <c r="A285" s="18">
        <v>6545</v>
      </c>
      <c r="C285" s="18">
        <v>0</v>
      </c>
      <c r="D285" s="18">
        <v>0</v>
      </c>
      <c r="E285" s="18">
        <v>0</v>
      </c>
      <c r="F285" s="18">
        <f t="shared" si="26"/>
        <v>0</v>
      </c>
      <c r="G285" s="18">
        <v>0</v>
      </c>
      <c r="H285" s="18">
        <v>0</v>
      </c>
      <c r="I285" s="18">
        <f t="shared" si="27"/>
        <v>0</v>
      </c>
      <c r="J285" s="18">
        <v>0</v>
      </c>
      <c r="K285" s="18">
        <v>0</v>
      </c>
      <c r="L285" s="18">
        <f t="shared" si="28"/>
        <v>0</v>
      </c>
      <c r="M285" s="18">
        <v>0</v>
      </c>
      <c r="N285" s="18">
        <v>0</v>
      </c>
      <c r="O285" s="18">
        <v>0</v>
      </c>
      <c r="P285" s="18">
        <v>0</v>
      </c>
      <c r="Q285" s="18">
        <f t="shared" si="24"/>
        <v>0</v>
      </c>
      <c r="R285">
        <v>0</v>
      </c>
      <c r="S285">
        <v>0</v>
      </c>
      <c r="T285">
        <v>0</v>
      </c>
      <c r="U285">
        <v>0</v>
      </c>
      <c r="V285" s="18">
        <f t="shared" si="25"/>
        <v>0</v>
      </c>
      <c r="W285" s="18">
        <f t="shared" si="29"/>
        <v>0</v>
      </c>
      <c r="X285" s="18">
        <v>0</v>
      </c>
      <c r="Y285" s="18">
        <v>0</v>
      </c>
    </row>
    <row r="286" spans="1:25" x14ac:dyDescent="0.2">
      <c r="A286" s="18">
        <v>6554</v>
      </c>
      <c r="C286" s="18">
        <v>0</v>
      </c>
      <c r="D286" s="18">
        <v>0</v>
      </c>
      <c r="E286" s="18">
        <v>0</v>
      </c>
      <c r="F286" s="18">
        <f t="shared" si="26"/>
        <v>0</v>
      </c>
      <c r="G286" s="18">
        <v>0</v>
      </c>
      <c r="H286" s="18">
        <v>0</v>
      </c>
      <c r="I286" s="18">
        <f t="shared" si="27"/>
        <v>0</v>
      </c>
      <c r="J286" s="18">
        <v>0</v>
      </c>
      <c r="K286" s="18">
        <v>0</v>
      </c>
      <c r="L286" s="18">
        <f t="shared" si="28"/>
        <v>0</v>
      </c>
      <c r="M286" s="18">
        <v>0</v>
      </c>
      <c r="N286" s="18">
        <v>0</v>
      </c>
      <c r="O286" s="18">
        <v>0</v>
      </c>
      <c r="P286" s="18">
        <v>0</v>
      </c>
      <c r="Q286" s="18">
        <f t="shared" si="24"/>
        <v>0</v>
      </c>
      <c r="R286">
        <v>0</v>
      </c>
      <c r="S286">
        <v>0</v>
      </c>
      <c r="T286">
        <v>0</v>
      </c>
      <c r="U286">
        <v>0</v>
      </c>
      <c r="V286" s="18">
        <f t="shared" si="25"/>
        <v>0</v>
      </c>
      <c r="W286" s="18">
        <f t="shared" si="29"/>
        <v>0</v>
      </c>
      <c r="X286" s="18">
        <v>0</v>
      </c>
      <c r="Y286" s="18">
        <v>0</v>
      </c>
    </row>
    <row r="287" spans="1:25" x14ac:dyDescent="0.2">
      <c r="A287" s="18">
        <v>6562</v>
      </c>
      <c r="C287" s="18">
        <v>0</v>
      </c>
      <c r="D287" s="18">
        <v>0</v>
      </c>
      <c r="E287" s="18">
        <v>0</v>
      </c>
      <c r="F287" s="18">
        <f t="shared" si="26"/>
        <v>0</v>
      </c>
      <c r="G287" s="18">
        <v>0</v>
      </c>
      <c r="H287" s="18">
        <v>0</v>
      </c>
      <c r="I287" s="18">
        <f t="shared" si="27"/>
        <v>0</v>
      </c>
      <c r="J287" s="18">
        <v>0</v>
      </c>
      <c r="K287" s="18">
        <v>0</v>
      </c>
      <c r="L287" s="18">
        <f t="shared" si="28"/>
        <v>0</v>
      </c>
      <c r="M287" s="18">
        <v>0</v>
      </c>
      <c r="N287" s="18">
        <v>0</v>
      </c>
      <c r="O287" s="18">
        <v>0</v>
      </c>
      <c r="P287" s="18">
        <v>0</v>
      </c>
      <c r="Q287" s="18">
        <f t="shared" ref="Q287:Q350" si="30">SUM(M287:P287)</f>
        <v>0</v>
      </c>
      <c r="R287">
        <v>0</v>
      </c>
      <c r="S287">
        <v>0</v>
      </c>
      <c r="T287">
        <v>0</v>
      </c>
      <c r="U287">
        <v>0</v>
      </c>
      <c r="V287" s="18">
        <f t="shared" si="25"/>
        <v>0</v>
      </c>
      <c r="W287" s="18">
        <f t="shared" si="29"/>
        <v>0</v>
      </c>
      <c r="X287" s="18">
        <v>0</v>
      </c>
      <c r="Y287" s="18">
        <v>0</v>
      </c>
    </row>
    <row r="288" spans="1:25" x14ac:dyDescent="0.2">
      <c r="A288" s="18">
        <v>6563</v>
      </c>
      <c r="C288" s="18">
        <v>0</v>
      </c>
      <c r="D288" s="18">
        <v>0</v>
      </c>
      <c r="E288" s="18">
        <v>0</v>
      </c>
      <c r="F288" s="18">
        <f t="shared" si="26"/>
        <v>0</v>
      </c>
      <c r="G288" s="18">
        <v>0</v>
      </c>
      <c r="H288" s="18">
        <v>0</v>
      </c>
      <c r="I288" s="18">
        <f t="shared" si="27"/>
        <v>0</v>
      </c>
      <c r="J288" s="18">
        <v>0</v>
      </c>
      <c r="K288" s="18">
        <v>0</v>
      </c>
      <c r="L288" s="18">
        <f t="shared" si="28"/>
        <v>0</v>
      </c>
      <c r="M288" s="18">
        <v>0</v>
      </c>
      <c r="N288" s="18">
        <v>0</v>
      </c>
      <c r="O288" s="18">
        <v>0</v>
      </c>
      <c r="P288" s="18">
        <v>0</v>
      </c>
      <c r="Q288" s="18">
        <f t="shared" si="30"/>
        <v>0</v>
      </c>
      <c r="R288">
        <v>0</v>
      </c>
      <c r="S288">
        <v>0</v>
      </c>
      <c r="T288">
        <v>0</v>
      </c>
      <c r="U288">
        <v>0</v>
      </c>
      <c r="V288" s="18">
        <f t="shared" si="25"/>
        <v>0</v>
      </c>
      <c r="W288" s="18">
        <f t="shared" si="29"/>
        <v>0</v>
      </c>
      <c r="X288" s="18">
        <v>0</v>
      </c>
      <c r="Y288" s="18">
        <v>0</v>
      </c>
    </row>
    <row r="289" spans="1:25" x14ac:dyDescent="0.2">
      <c r="A289" s="18">
        <v>6566</v>
      </c>
      <c r="C289" s="18">
        <v>0</v>
      </c>
      <c r="D289" s="18">
        <v>0</v>
      </c>
      <c r="E289" s="18">
        <v>0</v>
      </c>
      <c r="F289" s="18">
        <f t="shared" si="26"/>
        <v>0</v>
      </c>
      <c r="G289" s="18">
        <v>0</v>
      </c>
      <c r="H289" s="18">
        <v>0</v>
      </c>
      <c r="I289" s="18">
        <f t="shared" si="27"/>
        <v>0</v>
      </c>
      <c r="J289" s="18">
        <v>0</v>
      </c>
      <c r="K289" s="18">
        <v>0</v>
      </c>
      <c r="L289" s="18">
        <f t="shared" si="28"/>
        <v>0</v>
      </c>
      <c r="M289" s="18">
        <v>0</v>
      </c>
      <c r="N289" s="18">
        <v>0</v>
      </c>
      <c r="O289" s="18">
        <v>0</v>
      </c>
      <c r="P289" s="18">
        <v>0</v>
      </c>
      <c r="Q289" s="18">
        <f t="shared" si="30"/>
        <v>0</v>
      </c>
      <c r="R289">
        <v>0</v>
      </c>
      <c r="S289">
        <v>0</v>
      </c>
      <c r="T289">
        <v>0</v>
      </c>
      <c r="U289">
        <v>0</v>
      </c>
      <c r="V289" s="18">
        <f t="shared" si="25"/>
        <v>0</v>
      </c>
      <c r="W289" s="18">
        <f t="shared" si="29"/>
        <v>0</v>
      </c>
      <c r="X289" s="18">
        <v>0</v>
      </c>
      <c r="Y289" s="18">
        <v>0</v>
      </c>
    </row>
    <row r="290" spans="1:25" x14ac:dyDescent="0.2">
      <c r="A290" s="18">
        <v>6585</v>
      </c>
      <c r="C290" s="18">
        <v>0</v>
      </c>
      <c r="D290" s="18">
        <v>0</v>
      </c>
      <c r="E290" s="18">
        <v>0</v>
      </c>
      <c r="F290" s="18">
        <f t="shared" si="26"/>
        <v>0</v>
      </c>
      <c r="G290" s="18">
        <v>0</v>
      </c>
      <c r="H290" s="18">
        <v>0</v>
      </c>
      <c r="I290" s="18">
        <f t="shared" si="27"/>
        <v>0</v>
      </c>
      <c r="J290" s="18">
        <v>0</v>
      </c>
      <c r="K290" s="18">
        <v>0</v>
      </c>
      <c r="L290" s="18">
        <f t="shared" si="28"/>
        <v>0</v>
      </c>
      <c r="M290" s="18">
        <v>0</v>
      </c>
      <c r="N290" s="18">
        <v>0</v>
      </c>
      <c r="O290" s="18">
        <v>0</v>
      </c>
      <c r="P290" s="18">
        <v>0</v>
      </c>
      <c r="Q290" s="18">
        <f t="shared" si="30"/>
        <v>0</v>
      </c>
      <c r="R290">
        <v>0</v>
      </c>
      <c r="S290">
        <v>0</v>
      </c>
      <c r="T290">
        <v>0</v>
      </c>
      <c r="U290">
        <v>0</v>
      </c>
      <c r="V290" s="18">
        <f t="shared" si="25"/>
        <v>0</v>
      </c>
      <c r="W290" s="18">
        <f t="shared" si="29"/>
        <v>0</v>
      </c>
      <c r="X290" s="18">
        <v>0</v>
      </c>
      <c r="Y290" s="18">
        <v>0</v>
      </c>
    </row>
    <row r="291" spans="1:25" x14ac:dyDescent="0.2">
      <c r="A291" s="18">
        <v>6586</v>
      </c>
      <c r="C291" s="18">
        <v>0</v>
      </c>
      <c r="D291" s="18">
        <v>0</v>
      </c>
      <c r="E291" s="18">
        <v>0</v>
      </c>
      <c r="F291" s="18">
        <f t="shared" si="26"/>
        <v>0</v>
      </c>
      <c r="G291" s="18">
        <v>0</v>
      </c>
      <c r="H291" s="18">
        <v>0</v>
      </c>
      <c r="I291" s="18">
        <f t="shared" si="27"/>
        <v>0</v>
      </c>
      <c r="J291" s="18">
        <v>0</v>
      </c>
      <c r="K291" s="18">
        <v>0</v>
      </c>
      <c r="L291" s="18">
        <f t="shared" si="28"/>
        <v>0</v>
      </c>
      <c r="M291" s="18">
        <v>0</v>
      </c>
      <c r="N291" s="18">
        <v>0</v>
      </c>
      <c r="O291" s="18">
        <v>0</v>
      </c>
      <c r="P291" s="18">
        <v>0</v>
      </c>
      <c r="Q291" s="18">
        <f t="shared" si="30"/>
        <v>0</v>
      </c>
      <c r="R291">
        <v>0</v>
      </c>
      <c r="S291">
        <v>0</v>
      </c>
      <c r="T291">
        <v>0</v>
      </c>
      <c r="U291">
        <v>0</v>
      </c>
      <c r="V291" s="18">
        <f t="shared" si="25"/>
        <v>0</v>
      </c>
      <c r="W291" s="18">
        <f t="shared" si="29"/>
        <v>0</v>
      </c>
      <c r="X291" s="18">
        <v>0</v>
      </c>
      <c r="Y291" s="18">
        <v>0</v>
      </c>
    </row>
    <row r="292" spans="1:25" x14ac:dyDescent="0.2">
      <c r="A292" s="18">
        <v>6596</v>
      </c>
      <c r="C292" s="18">
        <v>0</v>
      </c>
      <c r="D292" s="18">
        <v>0</v>
      </c>
      <c r="E292" s="18">
        <v>0</v>
      </c>
      <c r="F292" s="18">
        <f t="shared" si="26"/>
        <v>0</v>
      </c>
      <c r="G292" s="18">
        <v>0</v>
      </c>
      <c r="H292" s="18">
        <v>0</v>
      </c>
      <c r="I292" s="18">
        <f t="shared" si="27"/>
        <v>0</v>
      </c>
      <c r="J292" s="18">
        <v>0</v>
      </c>
      <c r="K292" s="18">
        <v>0</v>
      </c>
      <c r="L292" s="18">
        <f t="shared" si="28"/>
        <v>0</v>
      </c>
      <c r="M292" s="18">
        <v>0</v>
      </c>
      <c r="N292" s="18">
        <v>0</v>
      </c>
      <c r="O292" s="18">
        <v>0</v>
      </c>
      <c r="P292" s="18">
        <v>0</v>
      </c>
      <c r="Q292" s="18">
        <f t="shared" si="30"/>
        <v>0</v>
      </c>
      <c r="R292">
        <v>0</v>
      </c>
      <c r="S292">
        <v>0</v>
      </c>
      <c r="T292">
        <v>0</v>
      </c>
      <c r="U292">
        <v>0</v>
      </c>
      <c r="V292" s="18">
        <f t="shared" si="25"/>
        <v>0</v>
      </c>
      <c r="W292" s="18">
        <f t="shared" si="29"/>
        <v>0</v>
      </c>
      <c r="X292" s="18">
        <v>0</v>
      </c>
      <c r="Y292" s="18">
        <v>0</v>
      </c>
    </row>
    <row r="293" spans="1:25" x14ac:dyDescent="0.2">
      <c r="A293" s="18">
        <v>6598</v>
      </c>
      <c r="C293" s="18">
        <v>0</v>
      </c>
      <c r="D293" s="18">
        <v>0</v>
      </c>
      <c r="E293" s="18">
        <v>0</v>
      </c>
      <c r="F293" s="18">
        <f t="shared" si="26"/>
        <v>0</v>
      </c>
      <c r="G293" s="18">
        <v>0</v>
      </c>
      <c r="H293" s="18">
        <v>0</v>
      </c>
      <c r="I293" s="18">
        <f t="shared" si="27"/>
        <v>0</v>
      </c>
      <c r="J293" s="18">
        <v>0</v>
      </c>
      <c r="K293" s="18">
        <v>0</v>
      </c>
      <c r="L293" s="18">
        <f t="shared" si="28"/>
        <v>0</v>
      </c>
      <c r="M293" s="18">
        <v>0</v>
      </c>
      <c r="N293" s="18">
        <v>0</v>
      </c>
      <c r="O293" s="18">
        <v>0</v>
      </c>
      <c r="P293" s="18">
        <v>0</v>
      </c>
      <c r="Q293" s="18">
        <f t="shared" si="30"/>
        <v>0</v>
      </c>
      <c r="R293">
        <v>0</v>
      </c>
      <c r="S293">
        <v>0</v>
      </c>
      <c r="T293">
        <v>0</v>
      </c>
      <c r="U293">
        <v>0</v>
      </c>
      <c r="V293" s="18">
        <f t="shared" si="25"/>
        <v>0</v>
      </c>
      <c r="W293" s="18">
        <f t="shared" si="29"/>
        <v>0</v>
      </c>
      <c r="X293" s="18">
        <v>0</v>
      </c>
      <c r="Y293" s="18">
        <v>0</v>
      </c>
    </row>
    <row r="294" spans="1:25" x14ac:dyDescent="0.2">
      <c r="A294" s="18">
        <v>6600</v>
      </c>
      <c r="C294" s="18">
        <v>0</v>
      </c>
      <c r="D294" s="18">
        <v>0</v>
      </c>
      <c r="E294" s="18">
        <v>0</v>
      </c>
      <c r="F294" s="18">
        <f t="shared" si="26"/>
        <v>0</v>
      </c>
      <c r="G294" s="18">
        <v>0</v>
      </c>
      <c r="H294" s="18">
        <v>0</v>
      </c>
      <c r="I294" s="18">
        <f t="shared" si="27"/>
        <v>0</v>
      </c>
      <c r="J294" s="18">
        <v>0</v>
      </c>
      <c r="K294" s="18">
        <v>0</v>
      </c>
      <c r="L294" s="18">
        <f t="shared" si="28"/>
        <v>0</v>
      </c>
      <c r="M294" s="18">
        <v>0</v>
      </c>
      <c r="N294" s="18">
        <v>0</v>
      </c>
      <c r="O294" s="18">
        <v>0</v>
      </c>
      <c r="P294" s="18">
        <v>0</v>
      </c>
      <c r="Q294" s="18">
        <f t="shared" si="30"/>
        <v>0</v>
      </c>
      <c r="R294">
        <v>0</v>
      </c>
      <c r="S294">
        <v>0</v>
      </c>
      <c r="T294">
        <v>0</v>
      </c>
      <c r="U294">
        <v>0</v>
      </c>
      <c r="V294" s="18">
        <f t="shared" si="25"/>
        <v>0</v>
      </c>
      <c r="W294" s="18">
        <f t="shared" si="29"/>
        <v>0</v>
      </c>
      <c r="X294" s="18">
        <v>0</v>
      </c>
      <c r="Y294" s="18">
        <v>0</v>
      </c>
    </row>
    <row r="295" spans="1:25" x14ac:dyDescent="0.2">
      <c r="A295" s="18">
        <v>6605</v>
      </c>
      <c r="C295" s="18">
        <v>0</v>
      </c>
      <c r="D295" s="18">
        <v>0</v>
      </c>
      <c r="E295" s="18">
        <v>0</v>
      </c>
      <c r="F295" s="18">
        <f t="shared" si="26"/>
        <v>0</v>
      </c>
      <c r="G295" s="18">
        <v>0</v>
      </c>
      <c r="H295" s="18">
        <v>0</v>
      </c>
      <c r="I295" s="18">
        <f t="shared" si="27"/>
        <v>0</v>
      </c>
      <c r="J295" s="18">
        <v>0</v>
      </c>
      <c r="K295" s="18">
        <v>0</v>
      </c>
      <c r="L295" s="18">
        <f t="shared" si="28"/>
        <v>0</v>
      </c>
      <c r="M295" s="18">
        <v>0</v>
      </c>
      <c r="N295" s="18">
        <v>0</v>
      </c>
      <c r="O295" s="18">
        <v>0</v>
      </c>
      <c r="P295" s="18">
        <v>0</v>
      </c>
      <c r="Q295" s="18">
        <f t="shared" si="30"/>
        <v>0</v>
      </c>
      <c r="R295">
        <v>0</v>
      </c>
      <c r="S295">
        <v>0</v>
      </c>
      <c r="T295">
        <v>0</v>
      </c>
      <c r="U295">
        <v>0</v>
      </c>
      <c r="V295" s="18">
        <f t="shared" si="25"/>
        <v>0</v>
      </c>
      <c r="W295" s="18">
        <f t="shared" si="29"/>
        <v>0</v>
      </c>
      <c r="X295" s="18">
        <v>0</v>
      </c>
      <c r="Y295" s="18">
        <v>0</v>
      </c>
    </row>
    <row r="296" spans="1:25" x14ac:dyDescent="0.2">
      <c r="A296" s="18">
        <v>6624</v>
      </c>
      <c r="C296" s="18">
        <v>0</v>
      </c>
      <c r="D296" s="18">
        <v>0</v>
      </c>
      <c r="E296" s="18">
        <v>0</v>
      </c>
      <c r="F296" s="18">
        <f t="shared" si="26"/>
        <v>0</v>
      </c>
      <c r="G296" s="18">
        <v>0</v>
      </c>
      <c r="H296" s="18">
        <v>0</v>
      </c>
      <c r="I296" s="18">
        <f t="shared" si="27"/>
        <v>0</v>
      </c>
      <c r="J296" s="18">
        <v>0</v>
      </c>
      <c r="K296" s="18">
        <v>0</v>
      </c>
      <c r="L296" s="18">
        <f t="shared" si="28"/>
        <v>0</v>
      </c>
      <c r="M296" s="18">
        <v>0</v>
      </c>
      <c r="N296" s="18">
        <v>0</v>
      </c>
      <c r="O296" s="18">
        <v>0</v>
      </c>
      <c r="P296" s="18">
        <v>0</v>
      </c>
      <c r="Q296" s="18">
        <f t="shared" si="30"/>
        <v>0</v>
      </c>
      <c r="R296">
        <v>0</v>
      </c>
      <c r="S296">
        <v>0</v>
      </c>
      <c r="T296">
        <v>0</v>
      </c>
      <c r="U296">
        <v>0</v>
      </c>
      <c r="V296" s="18">
        <f t="shared" si="25"/>
        <v>0</v>
      </c>
      <c r="W296" s="18">
        <f t="shared" si="29"/>
        <v>0</v>
      </c>
      <c r="X296" s="18">
        <v>0</v>
      </c>
      <c r="Y296" s="18">
        <v>0</v>
      </c>
    </row>
    <row r="297" spans="1:25" x14ac:dyDescent="0.2">
      <c r="A297" s="18">
        <v>6628</v>
      </c>
      <c r="C297" s="18">
        <v>0</v>
      </c>
      <c r="D297" s="18">
        <v>0</v>
      </c>
      <c r="E297" s="18">
        <v>0</v>
      </c>
      <c r="F297" s="18">
        <f t="shared" si="26"/>
        <v>0</v>
      </c>
      <c r="G297" s="18">
        <v>0</v>
      </c>
      <c r="H297" s="18">
        <v>0</v>
      </c>
      <c r="I297" s="18">
        <f t="shared" si="27"/>
        <v>0</v>
      </c>
      <c r="J297" s="18">
        <v>0</v>
      </c>
      <c r="K297" s="18">
        <v>0</v>
      </c>
      <c r="L297" s="18">
        <f t="shared" si="28"/>
        <v>0</v>
      </c>
      <c r="M297" s="18">
        <v>0</v>
      </c>
      <c r="N297" s="18">
        <v>0</v>
      </c>
      <c r="O297" s="18">
        <v>0</v>
      </c>
      <c r="P297" s="18">
        <v>0</v>
      </c>
      <c r="Q297" s="18">
        <f t="shared" si="30"/>
        <v>0</v>
      </c>
      <c r="R297">
        <v>0</v>
      </c>
      <c r="S297">
        <v>0</v>
      </c>
      <c r="T297">
        <v>0</v>
      </c>
      <c r="U297">
        <v>0</v>
      </c>
      <c r="V297" s="18">
        <f t="shared" si="25"/>
        <v>0</v>
      </c>
      <c r="W297" s="18">
        <f t="shared" si="29"/>
        <v>0</v>
      </c>
      <c r="X297" s="18">
        <v>0</v>
      </c>
      <c r="Y297" s="18">
        <v>0</v>
      </c>
    </row>
    <row r="298" spans="1:25" x14ac:dyDescent="0.2">
      <c r="A298" s="18">
        <v>6630</v>
      </c>
      <c r="C298" s="18">
        <v>0</v>
      </c>
      <c r="D298" s="18">
        <v>0</v>
      </c>
      <c r="E298" s="18">
        <v>0</v>
      </c>
      <c r="F298" s="18">
        <f t="shared" si="26"/>
        <v>0</v>
      </c>
      <c r="G298" s="18">
        <v>0</v>
      </c>
      <c r="H298" s="18">
        <v>0</v>
      </c>
      <c r="I298" s="18">
        <f t="shared" si="27"/>
        <v>0</v>
      </c>
      <c r="J298" s="18">
        <v>0</v>
      </c>
      <c r="K298" s="18">
        <v>0</v>
      </c>
      <c r="L298" s="18">
        <f t="shared" si="28"/>
        <v>0</v>
      </c>
      <c r="M298" s="18">
        <v>0</v>
      </c>
      <c r="N298" s="18">
        <v>0</v>
      </c>
      <c r="O298" s="18">
        <v>0</v>
      </c>
      <c r="P298" s="18">
        <v>0</v>
      </c>
      <c r="Q298" s="18">
        <f t="shared" si="30"/>
        <v>0</v>
      </c>
      <c r="R298">
        <v>0</v>
      </c>
      <c r="S298">
        <v>0</v>
      </c>
      <c r="T298">
        <v>0</v>
      </c>
      <c r="U298">
        <v>0</v>
      </c>
      <c r="V298" s="18">
        <f t="shared" si="25"/>
        <v>0</v>
      </c>
      <c r="W298" s="18">
        <f t="shared" si="29"/>
        <v>0</v>
      </c>
      <c r="X298" s="18">
        <v>0</v>
      </c>
      <c r="Y298" s="18">
        <v>0</v>
      </c>
    </row>
    <row r="299" spans="1:25" x14ac:dyDescent="0.2">
      <c r="A299" s="18">
        <v>6633</v>
      </c>
      <c r="C299" s="18">
        <v>0</v>
      </c>
      <c r="D299" s="18">
        <v>0</v>
      </c>
      <c r="E299" s="18">
        <v>0</v>
      </c>
      <c r="F299" s="18">
        <f t="shared" si="26"/>
        <v>0</v>
      </c>
      <c r="G299" s="18">
        <v>0</v>
      </c>
      <c r="H299" s="18">
        <v>0</v>
      </c>
      <c r="I299" s="18">
        <f t="shared" si="27"/>
        <v>0</v>
      </c>
      <c r="J299" s="18">
        <v>0</v>
      </c>
      <c r="K299" s="18">
        <v>0</v>
      </c>
      <c r="L299" s="18">
        <f t="shared" si="28"/>
        <v>0</v>
      </c>
      <c r="M299" s="18">
        <v>0</v>
      </c>
      <c r="N299" s="18">
        <v>0</v>
      </c>
      <c r="O299" s="18">
        <v>0</v>
      </c>
      <c r="P299" s="18">
        <v>0</v>
      </c>
      <c r="Q299" s="18">
        <f t="shared" si="30"/>
        <v>0</v>
      </c>
      <c r="R299">
        <v>0</v>
      </c>
      <c r="S299">
        <v>0</v>
      </c>
      <c r="T299">
        <v>0</v>
      </c>
      <c r="U299">
        <v>0</v>
      </c>
      <c r="V299" s="18">
        <f t="shared" si="25"/>
        <v>0</v>
      </c>
      <c r="W299" s="18">
        <f t="shared" si="29"/>
        <v>0</v>
      </c>
      <c r="X299" s="18">
        <v>0</v>
      </c>
      <c r="Y299" s="18">
        <v>0</v>
      </c>
    </row>
    <row r="300" spans="1:25" x14ac:dyDescent="0.2">
      <c r="A300" s="18">
        <v>6648</v>
      </c>
      <c r="C300" s="18">
        <v>0</v>
      </c>
      <c r="D300" s="18">
        <v>0</v>
      </c>
      <c r="E300" s="18">
        <v>0</v>
      </c>
      <c r="F300" s="18">
        <f t="shared" si="26"/>
        <v>0</v>
      </c>
      <c r="G300" s="18">
        <v>0</v>
      </c>
      <c r="H300" s="18">
        <v>0</v>
      </c>
      <c r="I300" s="18">
        <f t="shared" si="27"/>
        <v>0</v>
      </c>
      <c r="J300" s="18">
        <v>0</v>
      </c>
      <c r="K300" s="18">
        <v>0</v>
      </c>
      <c r="L300" s="18">
        <f t="shared" si="28"/>
        <v>0</v>
      </c>
      <c r="M300" s="18">
        <v>0</v>
      </c>
      <c r="N300" s="18">
        <v>0</v>
      </c>
      <c r="O300" s="18">
        <v>0</v>
      </c>
      <c r="P300" s="18">
        <v>0</v>
      </c>
      <c r="Q300" s="18">
        <f t="shared" si="30"/>
        <v>0</v>
      </c>
      <c r="R300">
        <v>0</v>
      </c>
      <c r="S300">
        <v>0</v>
      </c>
      <c r="T300">
        <v>0</v>
      </c>
      <c r="U300">
        <v>0</v>
      </c>
      <c r="V300" s="18">
        <f t="shared" si="25"/>
        <v>0</v>
      </c>
      <c r="W300" s="18">
        <f t="shared" si="29"/>
        <v>0</v>
      </c>
      <c r="X300" s="18">
        <v>0</v>
      </c>
      <c r="Y300" s="18">
        <v>0</v>
      </c>
    </row>
    <row r="301" spans="1:25" x14ac:dyDescent="0.2">
      <c r="A301" s="18">
        <v>6552</v>
      </c>
      <c r="C301" s="18">
        <v>0</v>
      </c>
      <c r="D301" s="18">
        <v>0</v>
      </c>
      <c r="E301" s="18">
        <v>0</v>
      </c>
      <c r="F301" s="18">
        <f t="shared" si="26"/>
        <v>0</v>
      </c>
      <c r="G301" s="18">
        <v>0</v>
      </c>
      <c r="H301" s="18">
        <v>0</v>
      </c>
      <c r="I301" s="18">
        <f t="shared" si="27"/>
        <v>0</v>
      </c>
      <c r="J301" s="18">
        <v>0</v>
      </c>
      <c r="K301" s="18">
        <v>0</v>
      </c>
      <c r="L301" s="18">
        <f t="shared" si="28"/>
        <v>0</v>
      </c>
      <c r="M301" s="18">
        <v>0</v>
      </c>
      <c r="N301" s="18">
        <v>0</v>
      </c>
      <c r="O301" s="18">
        <v>0</v>
      </c>
      <c r="P301" s="18">
        <v>0</v>
      </c>
      <c r="Q301" s="18">
        <f t="shared" si="30"/>
        <v>0</v>
      </c>
      <c r="R301">
        <v>0</v>
      </c>
      <c r="S301">
        <v>0</v>
      </c>
      <c r="T301">
        <v>0</v>
      </c>
      <c r="U301">
        <v>0</v>
      </c>
      <c r="V301" s="18">
        <f t="shared" si="25"/>
        <v>0</v>
      </c>
      <c r="W301" s="18">
        <f t="shared" si="29"/>
        <v>0</v>
      </c>
      <c r="X301" s="18">
        <v>0</v>
      </c>
      <c r="Y301" s="18">
        <v>0</v>
      </c>
    </row>
    <row r="302" spans="1:25" x14ac:dyDescent="0.2">
      <c r="A302" s="18">
        <v>6646</v>
      </c>
      <c r="C302" s="18">
        <v>0</v>
      </c>
      <c r="D302" s="18">
        <v>0</v>
      </c>
      <c r="E302" s="18">
        <v>0</v>
      </c>
      <c r="F302" s="18">
        <f t="shared" si="26"/>
        <v>0</v>
      </c>
      <c r="G302" s="18">
        <v>0</v>
      </c>
      <c r="H302" s="18">
        <v>0</v>
      </c>
      <c r="I302" s="18">
        <f t="shared" si="27"/>
        <v>0</v>
      </c>
      <c r="J302" s="18">
        <v>0</v>
      </c>
      <c r="K302" s="18">
        <v>0</v>
      </c>
      <c r="L302" s="18">
        <f t="shared" si="28"/>
        <v>0</v>
      </c>
      <c r="M302" s="18">
        <v>0</v>
      </c>
      <c r="N302" s="18">
        <v>7.6533333333333333</v>
      </c>
      <c r="O302" s="18">
        <v>0</v>
      </c>
      <c r="P302" s="18">
        <v>0</v>
      </c>
      <c r="Q302" s="18">
        <f t="shared" si="30"/>
        <v>7.6533333333333333</v>
      </c>
      <c r="R302">
        <v>0</v>
      </c>
      <c r="S302">
        <v>0</v>
      </c>
      <c r="T302">
        <v>0</v>
      </c>
      <c r="U302">
        <v>0</v>
      </c>
      <c r="V302" s="18">
        <f t="shared" si="25"/>
        <v>7.6533333333333333</v>
      </c>
      <c r="W302" s="18">
        <f t="shared" si="29"/>
        <v>0</v>
      </c>
      <c r="X302" s="18">
        <v>0</v>
      </c>
      <c r="Y302" s="18">
        <v>0</v>
      </c>
    </row>
    <row r="303" spans="1:25" x14ac:dyDescent="0.2">
      <c r="A303" s="18">
        <v>6634</v>
      </c>
      <c r="C303" s="18">
        <v>0</v>
      </c>
      <c r="D303" s="18">
        <v>0</v>
      </c>
      <c r="E303" s="18">
        <v>0</v>
      </c>
      <c r="F303" s="18">
        <f t="shared" si="26"/>
        <v>0</v>
      </c>
      <c r="G303" s="18">
        <v>0</v>
      </c>
      <c r="H303" s="18">
        <v>0</v>
      </c>
      <c r="I303" s="18">
        <f t="shared" si="27"/>
        <v>0</v>
      </c>
      <c r="J303" s="18">
        <v>0</v>
      </c>
      <c r="K303" s="18">
        <v>0</v>
      </c>
      <c r="L303" s="18">
        <f t="shared" si="28"/>
        <v>0</v>
      </c>
      <c r="M303" s="18">
        <v>0</v>
      </c>
      <c r="N303" s="18">
        <v>0</v>
      </c>
      <c r="O303" s="18">
        <v>0</v>
      </c>
      <c r="P303" s="18">
        <v>0</v>
      </c>
      <c r="Q303" s="18">
        <f t="shared" si="30"/>
        <v>0</v>
      </c>
      <c r="R303">
        <v>0</v>
      </c>
      <c r="S303">
        <v>0</v>
      </c>
      <c r="T303">
        <v>0</v>
      </c>
      <c r="U303">
        <v>0</v>
      </c>
      <c r="V303" s="18">
        <f t="shared" si="25"/>
        <v>0</v>
      </c>
      <c r="W303" s="18">
        <f t="shared" si="29"/>
        <v>0</v>
      </c>
      <c r="X303" s="18">
        <v>0</v>
      </c>
      <c r="Y303" s="18">
        <v>0</v>
      </c>
    </row>
    <row r="304" spans="1:25" x14ac:dyDescent="0.2">
      <c r="A304" s="18">
        <v>6686</v>
      </c>
      <c r="C304" s="18">
        <v>0</v>
      </c>
      <c r="D304" s="18">
        <v>0</v>
      </c>
      <c r="E304" s="18">
        <v>0</v>
      </c>
      <c r="F304" s="18">
        <f t="shared" si="26"/>
        <v>0</v>
      </c>
      <c r="G304" s="18">
        <v>0</v>
      </c>
      <c r="H304" s="18">
        <v>0</v>
      </c>
      <c r="I304" s="18">
        <f t="shared" si="27"/>
        <v>0</v>
      </c>
      <c r="J304" s="18">
        <v>0</v>
      </c>
      <c r="K304" s="18">
        <v>0</v>
      </c>
      <c r="L304" s="18">
        <f t="shared" si="28"/>
        <v>0</v>
      </c>
      <c r="M304" s="18">
        <v>0</v>
      </c>
      <c r="N304" s="18">
        <v>0</v>
      </c>
      <c r="O304" s="18">
        <v>0</v>
      </c>
      <c r="P304" s="18">
        <v>0</v>
      </c>
      <c r="Q304" s="18">
        <f t="shared" si="30"/>
        <v>0</v>
      </c>
      <c r="R304">
        <v>0</v>
      </c>
      <c r="S304">
        <v>0</v>
      </c>
      <c r="T304">
        <v>0</v>
      </c>
      <c r="U304">
        <v>0</v>
      </c>
      <c r="V304" s="18">
        <f t="shared" si="25"/>
        <v>0</v>
      </c>
      <c r="W304" s="18">
        <f t="shared" si="29"/>
        <v>0</v>
      </c>
      <c r="X304" s="18">
        <v>0</v>
      </c>
      <c r="Y304" s="18">
        <v>0</v>
      </c>
    </row>
    <row r="305" spans="1:25" x14ac:dyDescent="0.2">
      <c r="A305" s="18">
        <v>6583</v>
      </c>
      <c r="C305" s="18">
        <v>0</v>
      </c>
      <c r="D305" s="18">
        <v>0</v>
      </c>
      <c r="E305" s="18">
        <v>0</v>
      </c>
      <c r="F305" s="18">
        <f t="shared" si="26"/>
        <v>0</v>
      </c>
      <c r="G305" s="18">
        <v>0</v>
      </c>
      <c r="H305" s="18">
        <v>0</v>
      </c>
      <c r="I305" s="18">
        <f t="shared" si="27"/>
        <v>0</v>
      </c>
      <c r="J305" s="18">
        <v>0</v>
      </c>
      <c r="K305" s="18">
        <v>0</v>
      </c>
      <c r="L305" s="18">
        <f t="shared" si="28"/>
        <v>0</v>
      </c>
      <c r="M305" s="18">
        <v>0</v>
      </c>
      <c r="N305" s="18">
        <v>0</v>
      </c>
      <c r="O305" s="18">
        <v>0</v>
      </c>
      <c r="P305" s="18">
        <v>0</v>
      </c>
      <c r="Q305" s="18">
        <f t="shared" si="30"/>
        <v>0</v>
      </c>
      <c r="R305">
        <v>0</v>
      </c>
      <c r="S305">
        <v>0</v>
      </c>
      <c r="T305">
        <v>0</v>
      </c>
      <c r="U305">
        <v>0</v>
      </c>
      <c r="V305" s="18">
        <f t="shared" si="25"/>
        <v>0</v>
      </c>
      <c r="W305" s="18">
        <f t="shared" si="29"/>
        <v>0</v>
      </c>
      <c r="X305" s="18">
        <v>0</v>
      </c>
      <c r="Y305" s="18">
        <v>0</v>
      </c>
    </row>
    <row r="306" spans="1:25" x14ac:dyDescent="0.2">
      <c r="A306" s="18" t="s">
        <v>434</v>
      </c>
      <c r="C306" s="18">
        <v>0</v>
      </c>
      <c r="D306" s="18">
        <v>0</v>
      </c>
      <c r="E306" s="18">
        <v>0</v>
      </c>
      <c r="F306" s="18">
        <f t="shared" si="26"/>
        <v>0</v>
      </c>
      <c r="G306" s="18">
        <v>0</v>
      </c>
      <c r="H306" s="18">
        <v>0</v>
      </c>
      <c r="I306" s="18">
        <f t="shared" si="27"/>
        <v>0</v>
      </c>
      <c r="J306" s="18">
        <v>0</v>
      </c>
      <c r="K306" s="18">
        <v>0</v>
      </c>
      <c r="L306" s="18">
        <f t="shared" si="28"/>
        <v>0</v>
      </c>
      <c r="M306" s="18">
        <v>0</v>
      </c>
      <c r="N306" s="18">
        <v>0</v>
      </c>
      <c r="O306" s="18">
        <v>0</v>
      </c>
      <c r="P306" s="18">
        <v>0</v>
      </c>
      <c r="Q306" s="18">
        <f t="shared" si="30"/>
        <v>0</v>
      </c>
      <c r="R306">
        <v>0</v>
      </c>
      <c r="S306">
        <v>0</v>
      </c>
      <c r="T306">
        <v>0</v>
      </c>
      <c r="U306">
        <v>0</v>
      </c>
      <c r="V306" s="18">
        <f t="shared" si="25"/>
        <v>0</v>
      </c>
      <c r="W306" s="18">
        <f t="shared" si="29"/>
        <v>0</v>
      </c>
      <c r="X306" s="18">
        <v>0</v>
      </c>
      <c r="Y306" s="18">
        <v>0</v>
      </c>
    </row>
    <row r="307" spans="1:25" x14ac:dyDescent="0.2">
      <c r="A307" s="18" t="s">
        <v>435</v>
      </c>
      <c r="C307" s="18">
        <v>32.766666666666673</v>
      </c>
      <c r="D307" s="18">
        <v>0</v>
      </c>
      <c r="E307" s="18">
        <v>0</v>
      </c>
      <c r="F307" s="18">
        <f t="shared" si="26"/>
        <v>0</v>
      </c>
      <c r="G307" s="18">
        <v>0</v>
      </c>
      <c r="H307" s="18">
        <v>2.1804000000000006</v>
      </c>
      <c r="I307" s="18">
        <f t="shared" si="27"/>
        <v>2.1804000000000006</v>
      </c>
      <c r="J307" s="18">
        <v>0</v>
      </c>
      <c r="K307" s="18">
        <v>0</v>
      </c>
      <c r="L307" s="18">
        <f t="shared" si="28"/>
        <v>0</v>
      </c>
      <c r="M307" s="18">
        <v>0</v>
      </c>
      <c r="N307" s="18">
        <v>0</v>
      </c>
      <c r="O307" s="18">
        <v>0</v>
      </c>
      <c r="P307" s="18">
        <v>0</v>
      </c>
      <c r="Q307" s="18">
        <f t="shared" si="30"/>
        <v>0</v>
      </c>
      <c r="R307">
        <v>0</v>
      </c>
      <c r="S307">
        <v>0</v>
      </c>
      <c r="T307">
        <v>0</v>
      </c>
      <c r="U307">
        <v>0</v>
      </c>
      <c r="V307" s="18">
        <f t="shared" si="25"/>
        <v>0</v>
      </c>
      <c r="W307" s="18">
        <f t="shared" si="29"/>
        <v>0</v>
      </c>
      <c r="X307" s="18">
        <v>0</v>
      </c>
      <c r="Y307" s="18">
        <v>0</v>
      </c>
    </row>
    <row r="308" spans="1:25" x14ac:dyDescent="0.2">
      <c r="A308" s="18">
        <v>6657</v>
      </c>
      <c r="C308" s="18">
        <v>0</v>
      </c>
      <c r="D308" s="18">
        <v>0</v>
      </c>
      <c r="E308" s="18">
        <v>0</v>
      </c>
      <c r="F308" s="18">
        <f t="shared" si="26"/>
        <v>0</v>
      </c>
      <c r="G308" s="18">
        <v>0</v>
      </c>
      <c r="H308" s="18">
        <v>0</v>
      </c>
      <c r="I308" s="18">
        <f t="shared" si="27"/>
        <v>0</v>
      </c>
      <c r="J308" s="18">
        <v>0</v>
      </c>
      <c r="K308" s="18">
        <v>0</v>
      </c>
      <c r="L308" s="18">
        <f t="shared" si="28"/>
        <v>0</v>
      </c>
      <c r="M308" s="18">
        <v>0</v>
      </c>
      <c r="N308" s="18">
        <v>0</v>
      </c>
      <c r="O308" s="18">
        <v>0</v>
      </c>
      <c r="P308" s="18">
        <v>0</v>
      </c>
      <c r="Q308" s="18">
        <f t="shared" si="30"/>
        <v>0</v>
      </c>
      <c r="R308">
        <v>0</v>
      </c>
      <c r="S308">
        <v>0</v>
      </c>
      <c r="T308">
        <v>0</v>
      </c>
      <c r="U308">
        <v>0</v>
      </c>
      <c r="V308" s="18">
        <f t="shared" si="25"/>
        <v>0</v>
      </c>
      <c r="W308" s="18">
        <f t="shared" si="29"/>
        <v>0</v>
      </c>
      <c r="X308" s="18">
        <v>0</v>
      </c>
      <c r="Y308" s="18">
        <v>0</v>
      </c>
    </row>
    <row r="309" spans="1:25" x14ac:dyDescent="0.2">
      <c r="A309" s="18">
        <v>6667</v>
      </c>
      <c r="C309" s="18">
        <v>0</v>
      </c>
      <c r="D309" s="18">
        <v>0</v>
      </c>
      <c r="E309" s="18">
        <v>0</v>
      </c>
      <c r="F309" s="18">
        <f t="shared" si="26"/>
        <v>0</v>
      </c>
      <c r="G309" s="18">
        <v>0</v>
      </c>
      <c r="H309" s="18">
        <v>0</v>
      </c>
      <c r="I309" s="18">
        <f t="shared" si="27"/>
        <v>0</v>
      </c>
      <c r="J309" s="18">
        <v>0</v>
      </c>
      <c r="K309" s="18">
        <v>0</v>
      </c>
      <c r="L309" s="18">
        <f t="shared" si="28"/>
        <v>0</v>
      </c>
      <c r="M309" s="18">
        <v>0</v>
      </c>
      <c r="N309" s="18">
        <v>0</v>
      </c>
      <c r="O309" s="18">
        <v>0</v>
      </c>
      <c r="P309" s="18">
        <v>0</v>
      </c>
      <c r="Q309" s="18">
        <f t="shared" si="30"/>
        <v>0</v>
      </c>
      <c r="R309">
        <v>0</v>
      </c>
      <c r="S309">
        <v>0</v>
      </c>
      <c r="T309">
        <v>0</v>
      </c>
      <c r="U309">
        <v>0</v>
      </c>
      <c r="V309" s="18">
        <f t="shared" si="25"/>
        <v>0</v>
      </c>
      <c r="W309" s="18">
        <f t="shared" si="29"/>
        <v>0</v>
      </c>
      <c r="X309" s="18">
        <v>0</v>
      </c>
      <c r="Y309" s="18">
        <v>0</v>
      </c>
    </row>
    <row r="310" spans="1:25" x14ac:dyDescent="0.2">
      <c r="A310" s="18">
        <v>6676</v>
      </c>
      <c r="C310" s="18">
        <v>0</v>
      </c>
      <c r="D310" s="18">
        <v>0</v>
      </c>
      <c r="E310" s="18">
        <v>0</v>
      </c>
      <c r="F310" s="18">
        <f t="shared" si="26"/>
        <v>0</v>
      </c>
      <c r="G310" s="18">
        <v>0</v>
      </c>
      <c r="H310" s="18">
        <v>0</v>
      </c>
      <c r="I310" s="18">
        <f t="shared" si="27"/>
        <v>0</v>
      </c>
      <c r="J310" s="18">
        <v>0</v>
      </c>
      <c r="K310" s="18">
        <v>0</v>
      </c>
      <c r="L310" s="18">
        <f t="shared" si="28"/>
        <v>0</v>
      </c>
      <c r="M310" s="18">
        <v>0</v>
      </c>
      <c r="N310" s="18">
        <v>0</v>
      </c>
      <c r="O310" s="18">
        <v>0</v>
      </c>
      <c r="P310" s="18">
        <v>0</v>
      </c>
      <c r="Q310" s="18">
        <f t="shared" si="30"/>
        <v>0</v>
      </c>
      <c r="R310">
        <v>0</v>
      </c>
      <c r="S310">
        <v>0</v>
      </c>
      <c r="T310">
        <v>0</v>
      </c>
      <c r="U310">
        <v>0</v>
      </c>
      <c r="V310" s="18">
        <f t="shared" si="25"/>
        <v>0</v>
      </c>
      <c r="W310" s="18">
        <f t="shared" si="29"/>
        <v>0</v>
      </c>
      <c r="X310" s="18">
        <v>0</v>
      </c>
      <c r="Y310" s="18">
        <v>0</v>
      </c>
    </row>
    <row r="311" spans="1:25" x14ac:dyDescent="0.2">
      <c r="A311" s="18">
        <v>6677</v>
      </c>
      <c r="C311" s="18">
        <v>0</v>
      </c>
      <c r="D311" s="18">
        <v>0</v>
      </c>
      <c r="E311" s="18">
        <v>0</v>
      </c>
      <c r="F311" s="18">
        <f t="shared" si="26"/>
        <v>0</v>
      </c>
      <c r="G311" s="18">
        <v>0</v>
      </c>
      <c r="H311" s="18">
        <v>0</v>
      </c>
      <c r="I311" s="18">
        <f t="shared" si="27"/>
        <v>0</v>
      </c>
      <c r="J311" s="18">
        <v>0</v>
      </c>
      <c r="K311" s="18">
        <v>0</v>
      </c>
      <c r="L311" s="18">
        <f t="shared" si="28"/>
        <v>0</v>
      </c>
      <c r="M311" s="18">
        <v>0</v>
      </c>
      <c r="N311" s="18">
        <v>0</v>
      </c>
      <c r="O311" s="18">
        <v>0</v>
      </c>
      <c r="P311" s="18">
        <v>0</v>
      </c>
      <c r="Q311" s="18">
        <f t="shared" si="30"/>
        <v>0</v>
      </c>
      <c r="R311">
        <v>0</v>
      </c>
      <c r="S311">
        <v>0</v>
      </c>
      <c r="T311">
        <v>0</v>
      </c>
      <c r="U311">
        <v>0</v>
      </c>
      <c r="V311" s="18">
        <f t="shared" si="25"/>
        <v>0</v>
      </c>
      <c r="W311" s="18">
        <f t="shared" si="29"/>
        <v>0</v>
      </c>
      <c r="X311" s="18">
        <v>0</v>
      </c>
      <c r="Y311" s="18">
        <v>0</v>
      </c>
    </row>
    <row r="312" spans="1:25" x14ac:dyDescent="0.2">
      <c r="A312" s="18">
        <v>6682</v>
      </c>
      <c r="C312" s="18">
        <v>0</v>
      </c>
      <c r="D312" s="18">
        <v>0</v>
      </c>
      <c r="E312" s="18">
        <v>0</v>
      </c>
      <c r="F312" s="18">
        <f t="shared" si="26"/>
        <v>0</v>
      </c>
      <c r="G312" s="18">
        <v>0</v>
      </c>
      <c r="H312" s="18">
        <v>0</v>
      </c>
      <c r="I312" s="18">
        <f t="shared" si="27"/>
        <v>0</v>
      </c>
      <c r="J312" s="18">
        <v>0</v>
      </c>
      <c r="K312" s="18">
        <v>0</v>
      </c>
      <c r="L312" s="18">
        <f t="shared" si="28"/>
        <v>0</v>
      </c>
      <c r="M312" s="18">
        <v>0</v>
      </c>
      <c r="N312" s="18">
        <v>0</v>
      </c>
      <c r="O312" s="18">
        <v>0</v>
      </c>
      <c r="P312" s="18">
        <v>0</v>
      </c>
      <c r="Q312" s="18">
        <f t="shared" si="30"/>
        <v>0</v>
      </c>
      <c r="R312">
        <v>0</v>
      </c>
      <c r="S312">
        <v>0</v>
      </c>
      <c r="T312">
        <v>0</v>
      </c>
      <c r="U312">
        <v>0</v>
      </c>
      <c r="V312" s="18">
        <f t="shared" si="25"/>
        <v>0</v>
      </c>
      <c r="W312" s="18">
        <f t="shared" si="29"/>
        <v>0</v>
      </c>
      <c r="X312" s="18">
        <v>0</v>
      </c>
      <c r="Y312" s="18">
        <v>0</v>
      </c>
    </row>
    <row r="313" spans="1:25" x14ac:dyDescent="0.2">
      <c r="A313" s="18">
        <v>6683</v>
      </c>
      <c r="C313" s="18">
        <v>0</v>
      </c>
      <c r="D313" s="18">
        <v>0</v>
      </c>
      <c r="E313" s="18">
        <v>0</v>
      </c>
      <c r="F313" s="18">
        <f t="shared" si="26"/>
        <v>0</v>
      </c>
      <c r="G313" s="18">
        <v>0</v>
      </c>
      <c r="H313" s="18">
        <v>0</v>
      </c>
      <c r="I313" s="18">
        <f t="shared" si="27"/>
        <v>0</v>
      </c>
      <c r="J313" s="18">
        <v>0</v>
      </c>
      <c r="K313" s="18">
        <v>0</v>
      </c>
      <c r="L313" s="18">
        <f t="shared" si="28"/>
        <v>0</v>
      </c>
      <c r="M313" s="18">
        <v>0</v>
      </c>
      <c r="N313" s="18">
        <v>0</v>
      </c>
      <c r="O313" s="18">
        <v>0</v>
      </c>
      <c r="P313" s="18">
        <v>0</v>
      </c>
      <c r="Q313" s="18">
        <f t="shared" si="30"/>
        <v>0</v>
      </c>
      <c r="R313">
        <v>0</v>
      </c>
      <c r="S313">
        <v>0</v>
      </c>
      <c r="T313">
        <v>0</v>
      </c>
      <c r="U313">
        <v>0</v>
      </c>
      <c r="V313" s="18">
        <f t="shared" si="25"/>
        <v>0</v>
      </c>
      <c r="W313" s="18">
        <f t="shared" si="29"/>
        <v>0</v>
      </c>
      <c r="X313" s="18">
        <v>0</v>
      </c>
      <c r="Y313" s="18">
        <v>0</v>
      </c>
    </row>
    <row r="314" spans="1:25" x14ac:dyDescent="0.2">
      <c r="A314" s="18">
        <v>6707</v>
      </c>
      <c r="C314" s="18">
        <v>0</v>
      </c>
      <c r="D314" s="18">
        <v>0</v>
      </c>
      <c r="E314" s="18">
        <v>0</v>
      </c>
      <c r="F314" s="18">
        <f t="shared" si="26"/>
        <v>0</v>
      </c>
      <c r="G314" s="18">
        <v>0</v>
      </c>
      <c r="H314" s="18">
        <v>0</v>
      </c>
      <c r="I314" s="18">
        <f t="shared" si="27"/>
        <v>0</v>
      </c>
      <c r="J314" s="18">
        <v>0</v>
      </c>
      <c r="K314" s="18">
        <v>0</v>
      </c>
      <c r="L314" s="18">
        <f t="shared" si="28"/>
        <v>0</v>
      </c>
      <c r="M314" s="18">
        <v>0</v>
      </c>
      <c r="N314" s="18">
        <v>0</v>
      </c>
      <c r="O314" s="18">
        <v>0</v>
      </c>
      <c r="P314" s="18">
        <v>0</v>
      </c>
      <c r="Q314" s="18">
        <f t="shared" si="30"/>
        <v>0</v>
      </c>
      <c r="R314">
        <v>0</v>
      </c>
      <c r="S314">
        <v>0</v>
      </c>
      <c r="T314">
        <v>0</v>
      </c>
      <c r="U314">
        <v>0</v>
      </c>
      <c r="V314" s="18">
        <f t="shared" si="25"/>
        <v>0</v>
      </c>
      <c r="W314" s="18">
        <f t="shared" si="29"/>
        <v>0</v>
      </c>
      <c r="X314" s="18">
        <v>0</v>
      </c>
      <c r="Y314" s="18">
        <v>0</v>
      </c>
    </row>
    <row r="315" spans="1:25" x14ac:dyDescent="0.2">
      <c r="A315" s="18">
        <v>6712</v>
      </c>
      <c r="C315" s="18">
        <v>0</v>
      </c>
      <c r="D315" s="18">
        <v>0</v>
      </c>
      <c r="E315" s="18">
        <v>0</v>
      </c>
      <c r="F315" s="18">
        <f t="shared" si="26"/>
        <v>0</v>
      </c>
      <c r="G315" s="18">
        <v>0</v>
      </c>
      <c r="H315" s="18">
        <v>0</v>
      </c>
      <c r="I315" s="18">
        <f t="shared" si="27"/>
        <v>0</v>
      </c>
      <c r="J315" s="18">
        <v>0</v>
      </c>
      <c r="K315" s="18">
        <v>0</v>
      </c>
      <c r="L315" s="18">
        <f t="shared" si="28"/>
        <v>0</v>
      </c>
      <c r="M315" s="18">
        <v>0</v>
      </c>
      <c r="N315" s="18">
        <v>0</v>
      </c>
      <c r="O315" s="18">
        <v>0</v>
      </c>
      <c r="P315" s="18">
        <v>0</v>
      </c>
      <c r="Q315" s="18">
        <f t="shared" si="30"/>
        <v>0</v>
      </c>
      <c r="R315">
        <v>0</v>
      </c>
      <c r="S315">
        <v>0</v>
      </c>
      <c r="T315">
        <v>0</v>
      </c>
      <c r="U315">
        <v>0</v>
      </c>
      <c r="V315" s="18">
        <f t="shared" si="25"/>
        <v>0</v>
      </c>
      <c r="W315" s="18">
        <f t="shared" si="29"/>
        <v>0</v>
      </c>
      <c r="X315" s="18">
        <v>0</v>
      </c>
      <c r="Y315" s="18">
        <v>0</v>
      </c>
    </row>
    <row r="316" spans="1:25" x14ac:dyDescent="0.2">
      <c r="A316" s="18">
        <v>6708</v>
      </c>
      <c r="C316" s="18">
        <v>0</v>
      </c>
      <c r="D316" s="18">
        <v>0</v>
      </c>
      <c r="E316" s="18">
        <v>0</v>
      </c>
      <c r="F316" s="18">
        <f t="shared" si="26"/>
        <v>0</v>
      </c>
      <c r="G316" s="18">
        <v>0</v>
      </c>
      <c r="H316" s="18">
        <v>0</v>
      </c>
      <c r="I316" s="18">
        <f t="shared" si="27"/>
        <v>0</v>
      </c>
      <c r="J316" s="18">
        <v>0</v>
      </c>
      <c r="K316" s="18">
        <v>0</v>
      </c>
      <c r="L316" s="18">
        <f t="shared" si="28"/>
        <v>0</v>
      </c>
      <c r="M316" s="18">
        <v>0</v>
      </c>
      <c r="N316" s="18">
        <v>0</v>
      </c>
      <c r="O316" s="18">
        <v>0</v>
      </c>
      <c r="P316" s="18">
        <v>0</v>
      </c>
      <c r="Q316" s="18">
        <f t="shared" si="30"/>
        <v>0</v>
      </c>
      <c r="R316">
        <v>0</v>
      </c>
      <c r="S316">
        <v>0</v>
      </c>
      <c r="T316">
        <v>0</v>
      </c>
      <c r="U316">
        <v>0</v>
      </c>
      <c r="V316" s="18">
        <f t="shared" si="25"/>
        <v>0</v>
      </c>
      <c r="W316" s="18">
        <f t="shared" si="29"/>
        <v>0</v>
      </c>
      <c r="X316" s="18">
        <v>0</v>
      </c>
      <c r="Y316" s="18">
        <v>0</v>
      </c>
    </row>
    <row r="317" spans="1:25" x14ac:dyDescent="0.2">
      <c r="A317" s="18">
        <v>6705</v>
      </c>
      <c r="C317" s="18">
        <v>0</v>
      </c>
      <c r="D317" s="18">
        <v>0</v>
      </c>
      <c r="E317" s="18">
        <v>0</v>
      </c>
      <c r="F317" s="18">
        <f t="shared" si="26"/>
        <v>0</v>
      </c>
      <c r="G317" s="18">
        <v>0</v>
      </c>
      <c r="H317" s="18">
        <v>0</v>
      </c>
      <c r="I317" s="18">
        <f t="shared" si="27"/>
        <v>0</v>
      </c>
      <c r="J317" s="18">
        <v>0</v>
      </c>
      <c r="K317" s="18">
        <v>0</v>
      </c>
      <c r="L317" s="18">
        <f t="shared" si="28"/>
        <v>0</v>
      </c>
      <c r="M317" s="18">
        <v>0</v>
      </c>
      <c r="N317" s="18">
        <v>0</v>
      </c>
      <c r="O317" s="18">
        <v>0</v>
      </c>
      <c r="P317" s="18">
        <v>0</v>
      </c>
      <c r="Q317" s="18">
        <f t="shared" si="30"/>
        <v>0</v>
      </c>
      <c r="R317">
        <v>0</v>
      </c>
      <c r="S317">
        <v>0</v>
      </c>
      <c r="T317">
        <v>0</v>
      </c>
      <c r="U317">
        <v>0</v>
      </c>
      <c r="V317" s="18">
        <f t="shared" si="25"/>
        <v>0</v>
      </c>
      <c r="W317" s="18">
        <f t="shared" si="29"/>
        <v>0</v>
      </c>
      <c r="X317" s="18">
        <v>0</v>
      </c>
      <c r="Y317" s="18">
        <v>0</v>
      </c>
    </row>
    <row r="318" spans="1:25" x14ac:dyDescent="0.2">
      <c r="A318" s="18">
        <v>6739</v>
      </c>
      <c r="C318" s="18">
        <v>0</v>
      </c>
      <c r="D318" s="18">
        <v>0</v>
      </c>
      <c r="E318" s="18">
        <v>0</v>
      </c>
      <c r="F318" s="18">
        <f t="shared" si="26"/>
        <v>0</v>
      </c>
      <c r="G318" s="18">
        <v>0</v>
      </c>
      <c r="H318" s="18">
        <v>0</v>
      </c>
      <c r="I318" s="18">
        <f t="shared" si="27"/>
        <v>0</v>
      </c>
      <c r="J318" s="18">
        <v>0</v>
      </c>
      <c r="K318" s="18">
        <v>0</v>
      </c>
      <c r="L318" s="18">
        <f t="shared" si="28"/>
        <v>0</v>
      </c>
      <c r="M318" s="18">
        <v>0</v>
      </c>
      <c r="N318" s="18">
        <v>0</v>
      </c>
      <c r="O318" s="18">
        <v>0</v>
      </c>
      <c r="P318" s="18">
        <v>0</v>
      </c>
      <c r="Q318" s="18">
        <f t="shared" si="30"/>
        <v>0</v>
      </c>
      <c r="R318">
        <v>0</v>
      </c>
      <c r="S318">
        <v>0</v>
      </c>
      <c r="T318">
        <v>0</v>
      </c>
      <c r="U318">
        <v>0</v>
      </c>
      <c r="V318" s="18">
        <f t="shared" si="25"/>
        <v>0</v>
      </c>
      <c r="W318" s="18">
        <f t="shared" si="29"/>
        <v>0</v>
      </c>
      <c r="X318" s="18">
        <v>0</v>
      </c>
      <c r="Y318" s="18">
        <v>0</v>
      </c>
    </row>
    <row r="319" spans="1:25" x14ac:dyDescent="0.2">
      <c r="A319" s="18">
        <v>6756</v>
      </c>
      <c r="C319" s="18">
        <v>0.71383333333333332</v>
      </c>
      <c r="D319" s="18">
        <v>0.22933333333333333</v>
      </c>
      <c r="E319" s="18">
        <v>0</v>
      </c>
      <c r="F319" s="18">
        <f t="shared" si="26"/>
        <v>0.22933333333333333</v>
      </c>
      <c r="G319" s="18">
        <v>0</v>
      </c>
      <c r="H319" s="18">
        <v>0</v>
      </c>
      <c r="I319" s="18">
        <f t="shared" si="27"/>
        <v>0</v>
      </c>
      <c r="J319" s="18">
        <v>0</v>
      </c>
      <c r="K319" s="18">
        <v>0</v>
      </c>
      <c r="L319" s="18">
        <f t="shared" si="28"/>
        <v>0</v>
      </c>
      <c r="M319" s="18">
        <v>0</v>
      </c>
      <c r="N319" s="18">
        <v>0</v>
      </c>
      <c r="O319" s="18">
        <v>0</v>
      </c>
      <c r="P319" s="18">
        <v>0</v>
      </c>
      <c r="Q319" s="18">
        <f t="shared" si="30"/>
        <v>0</v>
      </c>
      <c r="R319">
        <v>0</v>
      </c>
      <c r="S319">
        <v>0</v>
      </c>
      <c r="T319">
        <v>0.29600000000000004</v>
      </c>
      <c r="U319">
        <v>4.9000000000000002E-2</v>
      </c>
      <c r="V319" s="18">
        <f t="shared" si="25"/>
        <v>0</v>
      </c>
      <c r="W319" s="18">
        <f t="shared" si="29"/>
        <v>0</v>
      </c>
      <c r="X319" s="18">
        <v>0.20733333333333331</v>
      </c>
      <c r="Y319" s="18">
        <v>0</v>
      </c>
    </row>
    <row r="320" spans="1:25" x14ac:dyDescent="0.2">
      <c r="A320" s="18">
        <v>6448</v>
      </c>
      <c r="C320" s="18">
        <v>0</v>
      </c>
      <c r="D320" s="18">
        <v>0</v>
      </c>
      <c r="E320" s="18">
        <v>0</v>
      </c>
      <c r="F320" s="18">
        <f t="shared" si="26"/>
        <v>0</v>
      </c>
      <c r="G320" s="18">
        <v>0</v>
      </c>
      <c r="H320" s="18">
        <v>0</v>
      </c>
      <c r="I320" s="18">
        <f t="shared" si="27"/>
        <v>0</v>
      </c>
      <c r="J320" s="18">
        <v>0</v>
      </c>
      <c r="K320" s="18">
        <v>0</v>
      </c>
      <c r="L320" s="18">
        <f t="shared" si="28"/>
        <v>0</v>
      </c>
      <c r="M320" s="18">
        <v>0</v>
      </c>
      <c r="N320" s="18">
        <v>0</v>
      </c>
      <c r="O320" s="18">
        <v>0</v>
      </c>
      <c r="P320" s="18">
        <v>0</v>
      </c>
      <c r="Q320" s="18">
        <f t="shared" si="30"/>
        <v>0</v>
      </c>
      <c r="R320">
        <v>0</v>
      </c>
      <c r="S320">
        <v>0</v>
      </c>
      <c r="T320">
        <v>0</v>
      </c>
      <c r="U320">
        <v>0</v>
      </c>
      <c r="V320" s="18">
        <f t="shared" si="25"/>
        <v>0</v>
      </c>
      <c r="W320" s="18">
        <f t="shared" si="29"/>
        <v>0</v>
      </c>
      <c r="X320" s="18">
        <v>0</v>
      </c>
      <c r="Y320" s="18">
        <v>0</v>
      </c>
    </row>
    <row r="321" spans="1:25" x14ac:dyDescent="0.2">
      <c r="A321" s="18">
        <v>6747</v>
      </c>
      <c r="C321" s="18">
        <v>0</v>
      </c>
      <c r="D321" s="18">
        <v>0</v>
      </c>
      <c r="E321" s="18">
        <v>0</v>
      </c>
      <c r="F321" s="18">
        <f t="shared" si="26"/>
        <v>0</v>
      </c>
      <c r="G321" s="18">
        <v>0</v>
      </c>
      <c r="H321" s="18">
        <v>0</v>
      </c>
      <c r="I321" s="18">
        <f t="shared" si="27"/>
        <v>0</v>
      </c>
      <c r="J321" s="18">
        <v>0</v>
      </c>
      <c r="K321" s="18">
        <v>0</v>
      </c>
      <c r="L321" s="18">
        <f t="shared" si="28"/>
        <v>0</v>
      </c>
      <c r="M321" s="18">
        <v>0</v>
      </c>
      <c r="N321" s="18">
        <v>0</v>
      </c>
      <c r="O321" s="18">
        <v>0</v>
      </c>
      <c r="P321" s="18">
        <v>0</v>
      </c>
      <c r="Q321" s="18">
        <f t="shared" si="30"/>
        <v>0</v>
      </c>
      <c r="R321">
        <v>0</v>
      </c>
      <c r="S321">
        <v>0</v>
      </c>
      <c r="T321">
        <v>0</v>
      </c>
      <c r="U321">
        <v>0</v>
      </c>
      <c r="V321" s="18">
        <f t="shared" si="25"/>
        <v>0</v>
      </c>
      <c r="W321" s="18">
        <f t="shared" si="29"/>
        <v>0</v>
      </c>
      <c r="X321" s="18">
        <v>0</v>
      </c>
      <c r="Y321" s="18">
        <v>0</v>
      </c>
    </row>
    <row r="322" spans="1:25" x14ac:dyDescent="0.2">
      <c r="A322" s="18">
        <v>6748</v>
      </c>
      <c r="C322" s="18">
        <v>0</v>
      </c>
      <c r="D322" s="18">
        <v>0</v>
      </c>
      <c r="E322" s="18">
        <v>0</v>
      </c>
      <c r="F322" s="18">
        <f t="shared" si="26"/>
        <v>0</v>
      </c>
      <c r="G322" s="18">
        <v>0</v>
      </c>
      <c r="H322" s="18">
        <v>0</v>
      </c>
      <c r="I322" s="18">
        <f t="shared" si="27"/>
        <v>0</v>
      </c>
      <c r="J322" s="18">
        <v>0</v>
      </c>
      <c r="K322" s="18">
        <v>0</v>
      </c>
      <c r="L322" s="18">
        <f t="shared" si="28"/>
        <v>0</v>
      </c>
      <c r="M322" s="18">
        <v>0</v>
      </c>
      <c r="N322" s="18">
        <v>0</v>
      </c>
      <c r="O322" s="18">
        <v>0</v>
      </c>
      <c r="P322" s="18">
        <v>0</v>
      </c>
      <c r="Q322" s="18">
        <f t="shared" si="30"/>
        <v>0</v>
      </c>
      <c r="R322">
        <v>0</v>
      </c>
      <c r="S322">
        <v>0</v>
      </c>
      <c r="T322">
        <v>0</v>
      </c>
      <c r="U322">
        <v>0</v>
      </c>
      <c r="V322" s="18">
        <f t="shared" si="25"/>
        <v>0</v>
      </c>
      <c r="W322" s="18">
        <f t="shared" si="29"/>
        <v>0</v>
      </c>
      <c r="X322" s="18">
        <v>0</v>
      </c>
      <c r="Y322" s="18">
        <v>0</v>
      </c>
    </row>
    <row r="323" spans="1:25" x14ac:dyDescent="0.2">
      <c r="A323" s="18">
        <v>6751</v>
      </c>
      <c r="C323" s="18">
        <v>0</v>
      </c>
      <c r="D323" s="18">
        <v>0</v>
      </c>
      <c r="E323" s="18">
        <v>0</v>
      </c>
      <c r="F323" s="18">
        <f t="shared" si="26"/>
        <v>0</v>
      </c>
      <c r="G323" s="18">
        <v>0</v>
      </c>
      <c r="H323" s="18">
        <v>0</v>
      </c>
      <c r="I323" s="18">
        <f t="shared" si="27"/>
        <v>0</v>
      </c>
      <c r="J323" s="18">
        <v>0</v>
      </c>
      <c r="K323" s="18">
        <v>0</v>
      </c>
      <c r="L323" s="18">
        <f t="shared" si="28"/>
        <v>0</v>
      </c>
      <c r="M323" s="18">
        <v>0</v>
      </c>
      <c r="N323" s="18">
        <v>0</v>
      </c>
      <c r="O323" s="18">
        <v>0</v>
      </c>
      <c r="P323" s="18">
        <v>0</v>
      </c>
      <c r="Q323" s="18">
        <f t="shared" si="30"/>
        <v>0</v>
      </c>
      <c r="R323">
        <v>0</v>
      </c>
      <c r="S323">
        <v>0</v>
      </c>
      <c r="T323">
        <v>0</v>
      </c>
      <c r="U323">
        <v>0</v>
      </c>
      <c r="V323" s="18">
        <f t="shared" si="25"/>
        <v>0</v>
      </c>
      <c r="W323" s="18">
        <f t="shared" si="29"/>
        <v>0</v>
      </c>
      <c r="X323" s="18">
        <v>0</v>
      </c>
      <c r="Y323" s="18">
        <v>0</v>
      </c>
    </row>
    <row r="324" spans="1:25" x14ac:dyDescent="0.2">
      <c r="A324" s="18">
        <v>6755</v>
      </c>
      <c r="C324" s="18">
        <v>0</v>
      </c>
      <c r="D324" s="18">
        <v>0</v>
      </c>
      <c r="E324" s="18">
        <v>0</v>
      </c>
      <c r="F324" s="18">
        <f t="shared" si="26"/>
        <v>0</v>
      </c>
      <c r="G324" s="18">
        <v>0</v>
      </c>
      <c r="H324" s="18">
        <v>0</v>
      </c>
      <c r="I324" s="18">
        <f t="shared" si="27"/>
        <v>0</v>
      </c>
      <c r="J324" s="18">
        <v>0</v>
      </c>
      <c r="K324" s="18">
        <v>0</v>
      </c>
      <c r="L324" s="18">
        <f t="shared" si="28"/>
        <v>0</v>
      </c>
      <c r="M324" s="18">
        <v>0</v>
      </c>
      <c r="N324" s="18">
        <v>0</v>
      </c>
      <c r="O324" s="18">
        <v>0</v>
      </c>
      <c r="P324" s="18">
        <v>0</v>
      </c>
      <c r="Q324" s="18">
        <f t="shared" si="30"/>
        <v>0</v>
      </c>
      <c r="R324">
        <v>0</v>
      </c>
      <c r="S324">
        <v>0</v>
      </c>
      <c r="T324">
        <v>0</v>
      </c>
      <c r="U324">
        <v>0</v>
      </c>
      <c r="V324" s="18">
        <f t="shared" ref="V324:V387" si="31">M324+N324</f>
        <v>0</v>
      </c>
      <c r="W324" s="18">
        <f t="shared" si="29"/>
        <v>0</v>
      </c>
      <c r="X324" s="18">
        <v>0</v>
      </c>
      <c r="Y324" s="18">
        <v>0</v>
      </c>
    </row>
    <row r="325" spans="1:25" x14ac:dyDescent="0.2">
      <c r="A325" s="18">
        <v>6743</v>
      </c>
      <c r="C325" s="18">
        <v>0</v>
      </c>
      <c r="D325" s="18">
        <v>0</v>
      </c>
      <c r="E325" s="18">
        <v>0</v>
      </c>
      <c r="F325" s="18">
        <f t="shared" ref="F325:F388" si="32">SUM(D325:E325)</f>
        <v>0</v>
      </c>
      <c r="G325" s="18">
        <v>0</v>
      </c>
      <c r="H325" s="18">
        <v>0</v>
      </c>
      <c r="I325" s="18">
        <f t="shared" ref="I325:I388" si="33">SUM(G325:H325)</f>
        <v>0</v>
      </c>
      <c r="J325" s="18">
        <v>0</v>
      </c>
      <c r="K325" s="18">
        <v>0</v>
      </c>
      <c r="L325" s="18">
        <f t="shared" ref="L325:L388" si="34">SUM(J325:K325)</f>
        <v>0</v>
      </c>
      <c r="M325" s="18">
        <v>0</v>
      </c>
      <c r="N325" s="18">
        <v>0</v>
      </c>
      <c r="O325" s="18">
        <v>0</v>
      </c>
      <c r="P325" s="18">
        <v>0</v>
      </c>
      <c r="Q325" s="18">
        <f t="shared" si="30"/>
        <v>0</v>
      </c>
      <c r="R325">
        <v>0</v>
      </c>
      <c r="S325">
        <v>0</v>
      </c>
      <c r="T325">
        <v>0</v>
      </c>
      <c r="U325">
        <v>0</v>
      </c>
      <c r="V325" s="18">
        <f t="shared" si="31"/>
        <v>0</v>
      </c>
      <c r="W325" s="18">
        <f t="shared" ref="W325:W388" si="35">O325+P325</f>
        <v>0</v>
      </c>
      <c r="X325" s="18">
        <v>0</v>
      </c>
      <c r="Y325" s="18">
        <v>0</v>
      </c>
    </row>
    <row r="326" spans="1:25" x14ac:dyDescent="0.2">
      <c r="A326" s="18">
        <v>6769</v>
      </c>
      <c r="C326" s="18">
        <v>0</v>
      </c>
      <c r="D326" s="18">
        <v>0</v>
      </c>
      <c r="E326" s="18">
        <v>0</v>
      </c>
      <c r="F326" s="18">
        <f t="shared" si="32"/>
        <v>0</v>
      </c>
      <c r="G326" s="18">
        <v>0</v>
      </c>
      <c r="H326" s="18">
        <v>0</v>
      </c>
      <c r="I326" s="18">
        <f t="shared" si="33"/>
        <v>0</v>
      </c>
      <c r="J326" s="18">
        <v>0</v>
      </c>
      <c r="K326" s="18">
        <v>0</v>
      </c>
      <c r="L326" s="18">
        <f t="shared" si="34"/>
        <v>0</v>
      </c>
      <c r="M326" s="18">
        <v>0</v>
      </c>
      <c r="N326" s="18">
        <v>0</v>
      </c>
      <c r="O326" s="18">
        <v>0</v>
      </c>
      <c r="P326" s="18">
        <v>0</v>
      </c>
      <c r="Q326" s="18">
        <f t="shared" si="30"/>
        <v>0</v>
      </c>
      <c r="R326">
        <v>0</v>
      </c>
      <c r="S326">
        <v>0</v>
      </c>
      <c r="T326">
        <v>0</v>
      </c>
      <c r="U326">
        <v>0</v>
      </c>
      <c r="V326" s="18">
        <f t="shared" si="31"/>
        <v>0</v>
      </c>
      <c r="W326" s="18">
        <f t="shared" si="35"/>
        <v>0</v>
      </c>
      <c r="X326" s="18">
        <v>0</v>
      </c>
      <c r="Y326" s="18">
        <v>0</v>
      </c>
    </row>
    <row r="327" spans="1:25" x14ac:dyDescent="0.2">
      <c r="A327" s="18">
        <v>6776</v>
      </c>
      <c r="C327" s="18">
        <v>0</v>
      </c>
      <c r="D327" s="18">
        <v>0</v>
      </c>
      <c r="E327" s="18">
        <v>0</v>
      </c>
      <c r="F327" s="18">
        <f t="shared" si="32"/>
        <v>0</v>
      </c>
      <c r="G327" s="18">
        <v>0</v>
      </c>
      <c r="H327" s="18">
        <v>0</v>
      </c>
      <c r="I327" s="18">
        <f t="shared" si="33"/>
        <v>0</v>
      </c>
      <c r="J327" s="18">
        <v>0</v>
      </c>
      <c r="K327" s="18">
        <v>0</v>
      </c>
      <c r="L327" s="18">
        <f t="shared" si="34"/>
        <v>0</v>
      </c>
      <c r="M327" s="18">
        <v>0</v>
      </c>
      <c r="N327" s="18">
        <v>0</v>
      </c>
      <c r="O327" s="18">
        <v>0</v>
      </c>
      <c r="P327" s="18">
        <v>0</v>
      </c>
      <c r="Q327" s="18">
        <f t="shared" si="30"/>
        <v>0</v>
      </c>
      <c r="R327">
        <v>0</v>
      </c>
      <c r="S327">
        <v>0</v>
      </c>
      <c r="T327">
        <v>0</v>
      </c>
      <c r="U327">
        <v>0</v>
      </c>
      <c r="V327" s="18">
        <f t="shared" si="31"/>
        <v>0</v>
      </c>
      <c r="W327" s="18">
        <f t="shared" si="35"/>
        <v>0</v>
      </c>
      <c r="X327" s="18">
        <v>0</v>
      </c>
      <c r="Y327" s="18">
        <v>0</v>
      </c>
    </row>
    <row r="328" spans="1:25" x14ac:dyDescent="0.2">
      <c r="A328" s="18">
        <v>6777</v>
      </c>
      <c r="C328" s="18">
        <v>0</v>
      </c>
      <c r="D328" s="18">
        <v>0</v>
      </c>
      <c r="E328" s="18">
        <v>0</v>
      </c>
      <c r="F328" s="18">
        <f t="shared" si="32"/>
        <v>0</v>
      </c>
      <c r="G328" s="18">
        <v>0</v>
      </c>
      <c r="H328" s="18">
        <v>0</v>
      </c>
      <c r="I328" s="18">
        <f t="shared" si="33"/>
        <v>0</v>
      </c>
      <c r="J328" s="18">
        <v>0</v>
      </c>
      <c r="K328" s="18">
        <v>0</v>
      </c>
      <c r="L328" s="18">
        <f t="shared" si="34"/>
        <v>0</v>
      </c>
      <c r="M328" s="18">
        <v>0</v>
      </c>
      <c r="N328" s="18">
        <v>0</v>
      </c>
      <c r="O328" s="18">
        <v>0</v>
      </c>
      <c r="P328" s="18">
        <v>0</v>
      </c>
      <c r="Q328" s="18">
        <f t="shared" si="30"/>
        <v>0</v>
      </c>
      <c r="R328">
        <v>0</v>
      </c>
      <c r="S328">
        <v>0</v>
      </c>
      <c r="T328">
        <v>0</v>
      </c>
      <c r="U328">
        <v>0</v>
      </c>
      <c r="V328" s="18">
        <f t="shared" si="31"/>
        <v>0</v>
      </c>
      <c r="W328" s="18">
        <f t="shared" si="35"/>
        <v>0</v>
      </c>
      <c r="X328" s="18">
        <v>0</v>
      </c>
      <c r="Y328" s="18">
        <v>0</v>
      </c>
    </row>
    <row r="329" spans="1:25" x14ac:dyDescent="0.2">
      <c r="A329" s="18">
        <v>6795</v>
      </c>
      <c r="C329" s="18">
        <v>0</v>
      </c>
      <c r="D329" s="18">
        <v>0</v>
      </c>
      <c r="E329" s="18">
        <v>0</v>
      </c>
      <c r="F329" s="18">
        <f t="shared" si="32"/>
        <v>0</v>
      </c>
      <c r="G329" s="18">
        <v>0</v>
      </c>
      <c r="H329" s="18">
        <v>0</v>
      </c>
      <c r="I329" s="18">
        <f t="shared" si="33"/>
        <v>0</v>
      </c>
      <c r="J329" s="18">
        <v>0</v>
      </c>
      <c r="K329" s="18">
        <v>0</v>
      </c>
      <c r="L329" s="18">
        <f t="shared" si="34"/>
        <v>0</v>
      </c>
      <c r="M329" s="18">
        <v>0</v>
      </c>
      <c r="N329" s="18">
        <v>0</v>
      </c>
      <c r="O329" s="18">
        <v>0</v>
      </c>
      <c r="P329" s="18">
        <v>0</v>
      </c>
      <c r="Q329" s="18">
        <f t="shared" si="30"/>
        <v>0</v>
      </c>
      <c r="R329">
        <v>0</v>
      </c>
      <c r="S329">
        <v>0</v>
      </c>
      <c r="T329">
        <v>0</v>
      </c>
      <c r="U329">
        <v>0</v>
      </c>
      <c r="V329" s="18">
        <f t="shared" si="31"/>
        <v>0</v>
      </c>
      <c r="W329" s="18">
        <f t="shared" si="35"/>
        <v>0</v>
      </c>
      <c r="X329" s="18">
        <v>0</v>
      </c>
      <c r="Y329" s="18">
        <v>0</v>
      </c>
    </row>
    <row r="330" spans="1:25" x14ac:dyDescent="0.2">
      <c r="A330" s="18">
        <v>6793</v>
      </c>
      <c r="C330" s="18">
        <v>0</v>
      </c>
      <c r="D330" s="18">
        <v>0</v>
      </c>
      <c r="E330" s="18">
        <v>0</v>
      </c>
      <c r="F330" s="18">
        <f t="shared" si="32"/>
        <v>0</v>
      </c>
      <c r="G330" s="18">
        <v>0</v>
      </c>
      <c r="H330" s="18">
        <v>0</v>
      </c>
      <c r="I330" s="18">
        <f t="shared" si="33"/>
        <v>0</v>
      </c>
      <c r="J330" s="18">
        <v>0</v>
      </c>
      <c r="K330" s="18">
        <v>0</v>
      </c>
      <c r="L330" s="18">
        <f t="shared" si="34"/>
        <v>0</v>
      </c>
      <c r="M330" s="18">
        <v>0</v>
      </c>
      <c r="N330" s="18">
        <v>0</v>
      </c>
      <c r="O330" s="18">
        <v>0</v>
      </c>
      <c r="P330" s="18">
        <v>0</v>
      </c>
      <c r="Q330" s="18">
        <f t="shared" si="30"/>
        <v>0</v>
      </c>
      <c r="R330">
        <v>0</v>
      </c>
      <c r="S330">
        <v>0</v>
      </c>
      <c r="T330">
        <v>0</v>
      </c>
      <c r="U330">
        <v>0</v>
      </c>
      <c r="V330" s="18">
        <f t="shared" si="31"/>
        <v>0</v>
      </c>
      <c r="W330" s="18">
        <f t="shared" si="35"/>
        <v>0</v>
      </c>
      <c r="X330" s="18">
        <v>0</v>
      </c>
      <c r="Y330" s="18">
        <v>0</v>
      </c>
    </row>
    <row r="331" spans="1:25" x14ac:dyDescent="0.2">
      <c r="A331" s="18">
        <v>6796</v>
      </c>
      <c r="C331" s="18">
        <v>0</v>
      </c>
      <c r="D331" s="18">
        <v>0</v>
      </c>
      <c r="E331" s="18">
        <v>0</v>
      </c>
      <c r="F331" s="18">
        <f t="shared" si="32"/>
        <v>0</v>
      </c>
      <c r="G331" s="18">
        <v>0</v>
      </c>
      <c r="H331" s="18">
        <v>0</v>
      </c>
      <c r="I331" s="18">
        <f t="shared" si="33"/>
        <v>0</v>
      </c>
      <c r="J331" s="18">
        <v>0</v>
      </c>
      <c r="K331" s="18">
        <v>0</v>
      </c>
      <c r="L331" s="18">
        <f t="shared" si="34"/>
        <v>0</v>
      </c>
      <c r="M331" s="18">
        <v>0</v>
      </c>
      <c r="N331" s="18">
        <v>0</v>
      </c>
      <c r="O331" s="18">
        <v>0</v>
      </c>
      <c r="P331" s="18">
        <v>0</v>
      </c>
      <c r="Q331" s="18">
        <f t="shared" si="30"/>
        <v>0</v>
      </c>
      <c r="R331">
        <v>0</v>
      </c>
      <c r="S331">
        <v>0</v>
      </c>
      <c r="T331">
        <v>0</v>
      </c>
      <c r="U331">
        <v>0</v>
      </c>
      <c r="V331" s="18">
        <f t="shared" si="31"/>
        <v>0</v>
      </c>
      <c r="W331" s="18">
        <f t="shared" si="35"/>
        <v>0</v>
      </c>
      <c r="X331" s="18">
        <v>0</v>
      </c>
      <c r="Y331" s="18">
        <v>0</v>
      </c>
    </row>
    <row r="332" spans="1:25" x14ac:dyDescent="0.2">
      <c r="A332" s="18">
        <v>6784</v>
      </c>
      <c r="C332" s="18">
        <v>0</v>
      </c>
      <c r="D332" s="18">
        <v>0</v>
      </c>
      <c r="E332" s="18">
        <v>0</v>
      </c>
      <c r="F332" s="18">
        <f t="shared" si="32"/>
        <v>0</v>
      </c>
      <c r="G332" s="18">
        <v>0</v>
      </c>
      <c r="H332" s="18">
        <v>0</v>
      </c>
      <c r="I332" s="18">
        <f t="shared" si="33"/>
        <v>0</v>
      </c>
      <c r="J332" s="18">
        <v>0</v>
      </c>
      <c r="K332" s="18">
        <v>0</v>
      </c>
      <c r="L332" s="18">
        <f t="shared" si="34"/>
        <v>0</v>
      </c>
      <c r="M332" s="18">
        <v>0</v>
      </c>
      <c r="N332" s="18">
        <v>0</v>
      </c>
      <c r="O332" s="18">
        <v>0</v>
      </c>
      <c r="P332" s="18">
        <v>0</v>
      </c>
      <c r="Q332" s="18">
        <f t="shared" si="30"/>
        <v>0</v>
      </c>
      <c r="R332">
        <v>0</v>
      </c>
      <c r="S332">
        <v>0</v>
      </c>
      <c r="T332">
        <v>0</v>
      </c>
      <c r="U332">
        <v>0</v>
      </c>
      <c r="V332" s="18">
        <f t="shared" si="31"/>
        <v>0</v>
      </c>
      <c r="W332" s="18">
        <f t="shared" si="35"/>
        <v>0</v>
      </c>
      <c r="X332" s="18">
        <v>0</v>
      </c>
      <c r="Y332" s="18">
        <v>0</v>
      </c>
    </row>
    <row r="333" spans="1:25" x14ac:dyDescent="0.2">
      <c r="A333" s="18">
        <v>6799</v>
      </c>
      <c r="C333" s="18">
        <v>0</v>
      </c>
      <c r="D333" s="18">
        <v>0</v>
      </c>
      <c r="E333" s="18">
        <v>0</v>
      </c>
      <c r="F333" s="18">
        <f t="shared" si="32"/>
        <v>0</v>
      </c>
      <c r="G333" s="18">
        <v>0</v>
      </c>
      <c r="H333" s="18">
        <v>0</v>
      </c>
      <c r="I333" s="18">
        <f t="shared" si="33"/>
        <v>0</v>
      </c>
      <c r="J333" s="18">
        <v>0</v>
      </c>
      <c r="K333" s="18">
        <v>0</v>
      </c>
      <c r="L333" s="18">
        <f t="shared" si="34"/>
        <v>0</v>
      </c>
      <c r="M333" s="18">
        <v>0</v>
      </c>
      <c r="N333" s="18">
        <v>0</v>
      </c>
      <c r="O333" s="18">
        <v>0</v>
      </c>
      <c r="P333" s="18">
        <v>0</v>
      </c>
      <c r="Q333" s="18">
        <f t="shared" si="30"/>
        <v>0</v>
      </c>
      <c r="R333">
        <v>0</v>
      </c>
      <c r="S333">
        <v>0</v>
      </c>
      <c r="T333">
        <v>0</v>
      </c>
      <c r="U333">
        <v>0</v>
      </c>
      <c r="V333" s="18">
        <f t="shared" si="31"/>
        <v>0</v>
      </c>
      <c r="W333" s="18">
        <f t="shared" si="35"/>
        <v>0</v>
      </c>
      <c r="X333" s="18">
        <v>0</v>
      </c>
      <c r="Y333" s="18">
        <v>0</v>
      </c>
    </row>
    <row r="334" spans="1:25" x14ac:dyDescent="0.2">
      <c r="A334" s="18" t="s">
        <v>439</v>
      </c>
      <c r="C334" s="18">
        <v>0</v>
      </c>
      <c r="D334" s="18">
        <v>0</v>
      </c>
      <c r="E334" s="18">
        <v>0</v>
      </c>
      <c r="F334" s="18">
        <f t="shared" si="32"/>
        <v>0</v>
      </c>
      <c r="G334" s="18">
        <v>0</v>
      </c>
      <c r="H334" s="18">
        <v>0</v>
      </c>
      <c r="I334" s="18">
        <f t="shared" si="33"/>
        <v>0</v>
      </c>
      <c r="J334" s="18">
        <v>0</v>
      </c>
      <c r="K334" s="18">
        <v>0</v>
      </c>
      <c r="L334" s="18">
        <f t="shared" si="34"/>
        <v>0</v>
      </c>
      <c r="M334" s="18">
        <v>0</v>
      </c>
      <c r="N334" s="18">
        <v>0</v>
      </c>
      <c r="O334" s="18">
        <v>0</v>
      </c>
      <c r="P334" s="18">
        <v>0</v>
      </c>
      <c r="Q334" s="18">
        <f t="shared" si="30"/>
        <v>0</v>
      </c>
      <c r="R334">
        <v>0</v>
      </c>
      <c r="S334">
        <v>0</v>
      </c>
      <c r="T334">
        <v>0</v>
      </c>
      <c r="U334">
        <v>0</v>
      </c>
      <c r="V334" s="18">
        <f t="shared" si="31"/>
        <v>0</v>
      </c>
      <c r="W334" s="18">
        <f t="shared" si="35"/>
        <v>0</v>
      </c>
      <c r="X334" s="18">
        <v>0</v>
      </c>
      <c r="Y334" s="18">
        <v>0</v>
      </c>
    </row>
    <row r="335" spans="1:25" x14ac:dyDescent="0.2">
      <c r="A335" s="18">
        <v>6910</v>
      </c>
      <c r="C335" s="18">
        <v>0</v>
      </c>
      <c r="D335" s="18">
        <v>0</v>
      </c>
      <c r="E335" s="18">
        <v>0</v>
      </c>
      <c r="F335" s="18">
        <f t="shared" si="32"/>
        <v>0</v>
      </c>
      <c r="G335" s="18">
        <v>0</v>
      </c>
      <c r="H335" s="18">
        <v>0</v>
      </c>
      <c r="I335" s="18">
        <f t="shared" si="33"/>
        <v>0</v>
      </c>
      <c r="J335" s="18">
        <v>0</v>
      </c>
      <c r="K335" s="18">
        <v>0</v>
      </c>
      <c r="L335" s="18">
        <f t="shared" si="34"/>
        <v>0</v>
      </c>
      <c r="M335" s="18">
        <v>0</v>
      </c>
      <c r="N335" s="18">
        <v>0</v>
      </c>
      <c r="O335" s="18">
        <v>0</v>
      </c>
      <c r="P335" s="18">
        <v>0</v>
      </c>
      <c r="Q335" s="18">
        <f t="shared" si="30"/>
        <v>0</v>
      </c>
      <c r="R335">
        <v>0</v>
      </c>
      <c r="S335">
        <v>0</v>
      </c>
      <c r="T335">
        <v>0</v>
      </c>
      <c r="U335">
        <v>0</v>
      </c>
      <c r="V335" s="18">
        <f t="shared" si="31"/>
        <v>0</v>
      </c>
      <c r="W335" s="18">
        <f t="shared" si="35"/>
        <v>0</v>
      </c>
      <c r="X335" s="18">
        <v>0</v>
      </c>
      <c r="Y335" s="18">
        <v>0</v>
      </c>
    </row>
    <row r="336" spans="1:25" x14ac:dyDescent="0.2">
      <c r="A336" s="18">
        <v>6892</v>
      </c>
      <c r="C336" s="18">
        <v>0</v>
      </c>
      <c r="D336" s="18">
        <v>0</v>
      </c>
      <c r="E336" s="18">
        <v>0</v>
      </c>
      <c r="F336" s="18">
        <f t="shared" si="32"/>
        <v>0</v>
      </c>
      <c r="G336" s="18">
        <v>0</v>
      </c>
      <c r="H336" s="18">
        <v>0</v>
      </c>
      <c r="I336" s="18">
        <f t="shared" si="33"/>
        <v>0</v>
      </c>
      <c r="J336" s="18">
        <v>0</v>
      </c>
      <c r="K336" s="18">
        <v>0</v>
      </c>
      <c r="L336" s="18">
        <f t="shared" si="34"/>
        <v>0</v>
      </c>
      <c r="M336" s="18">
        <v>0</v>
      </c>
      <c r="N336" s="18">
        <v>0</v>
      </c>
      <c r="O336" s="18">
        <v>0</v>
      </c>
      <c r="P336" s="18">
        <v>0</v>
      </c>
      <c r="Q336" s="18">
        <f t="shared" si="30"/>
        <v>0</v>
      </c>
      <c r="R336">
        <v>0</v>
      </c>
      <c r="S336">
        <v>0</v>
      </c>
      <c r="T336">
        <v>0</v>
      </c>
      <c r="U336">
        <v>0</v>
      </c>
      <c r="V336" s="18">
        <f t="shared" si="31"/>
        <v>0</v>
      </c>
      <c r="W336" s="18">
        <f t="shared" si="35"/>
        <v>0</v>
      </c>
      <c r="X336" s="18">
        <v>0</v>
      </c>
      <c r="Y336" s="18">
        <v>0</v>
      </c>
    </row>
    <row r="337" spans="1:25" x14ac:dyDescent="0.2">
      <c r="A337" s="18">
        <v>6891</v>
      </c>
      <c r="C337" s="18">
        <v>0</v>
      </c>
      <c r="D337" s="18">
        <v>0</v>
      </c>
      <c r="E337" s="18">
        <v>0</v>
      </c>
      <c r="F337" s="18">
        <f t="shared" si="32"/>
        <v>0</v>
      </c>
      <c r="G337" s="18">
        <v>0</v>
      </c>
      <c r="H337" s="18">
        <v>0</v>
      </c>
      <c r="I337" s="18">
        <f t="shared" si="33"/>
        <v>0</v>
      </c>
      <c r="J337" s="18">
        <v>0</v>
      </c>
      <c r="K337" s="18">
        <v>0</v>
      </c>
      <c r="L337" s="18">
        <f t="shared" si="34"/>
        <v>0</v>
      </c>
      <c r="M337" s="18">
        <v>0</v>
      </c>
      <c r="N337" s="18">
        <v>0</v>
      </c>
      <c r="O337" s="18">
        <v>0</v>
      </c>
      <c r="P337" s="18">
        <v>0</v>
      </c>
      <c r="Q337" s="18">
        <f t="shared" si="30"/>
        <v>0</v>
      </c>
      <c r="R337">
        <v>0</v>
      </c>
      <c r="S337">
        <v>0</v>
      </c>
      <c r="T337">
        <v>0</v>
      </c>
      <c r="U337">
        <v>0</v>
      </c>
      <c r="V337" s="18">
        <f t="shared" si="31"/>
        <v>0</v>
      </c>
      <c r="W337" s="18">
        <f t="shared" si="35"/>
        <v>0</v>
      </c>
      <c r="X337" s="18">
        <v>0</v>
      </c>
      <c r="Y337" s="18">
        <v>0</v>
      </c>
    </row>
    <row r="338" spans="1:25" x14ac:dyDescent="0.2">
      <c r="A338" s="18">
        <v>6834</v>
      </c>
      <c r="C338" s="18">
        <v>0</v>
      </c>
      <c r="D338" s="18">
        <v>0</v>
      </c>
      <c r="E338" s="18">
        <v>0</v>
      </c>
      <c r="F338" s="18">
        <f t="shared" si="32"/>
        <v>0</v>
      </c>
      <c r="G338" s="18">
        <v>0</v>
      </c>
      <c r="H338" s="18">
        <v>0</v>
      </c>
      <c r="I338" s="18">
        <f t="shared" si="33"/>
        <v>0</v>
      </c>
      <c r="J338" s="18">
        <v>0</v>
      </c>
      <c r="K338" s="18">
        <v>0</v>
      </c>
      <c r="L338" s="18">
        <f t="shared" si="34"/>
        <v>0</v>
      </c>
      <c r="M338" s="18">
        <v>0</v>
      </c>
      <c r="N338" s="18">
        <v>0</v>
      </c>
      <c r="O338" s="18">
        <v>0</v>
      </c>
      <c r="P338" s="18">
        <v>0</v>
      </c>
      <c r="Q338" s="18">
        <f t="shared" si="30"/>
        <v>0</v>
      </c>
      <c r="R338">
        <v>0</v>
      </c>
      <c r="S338">
        <v>0</v>
      </c>
      <c r="T338">
        <v>0</v>
      </c>
      <c r="U338">
        <v>0</v>
      </c>
      <c r="V338" s="18">
        <f t="shared" si="31"/>
        <v>0</v>
      </c>
      <c r="W338" s="18">
        <f t="shared" si="35"/>
        <v>0</v>
      </c>
      <c r="X338" s="18">
        <v>0</v>
      </c>
      <c r="Y338" s="18">
        <v>0</v>
      </c>
    </row>
    <row r="339" spans="1:25" x14ac:dyDescent="0.2">
      <c r="A339" s="18">
        <v>6837</v>
      </c>
      <c r="C339" s="18">
        <v>0</v>
      </c>
      <c r="D339" s="18">
        <v>0</v>
      </c>
      <c r="E339" s="18">
        <v>0</v>
      </c>
      <c r="F339" s="18">
        <f t="shared" si="32"/>
        <v>0</v>
      </c>
      <c r="G339" s="18">
        <v>0</v>
      </c>
      <c r="H339" s="18">
        <v>0</v>
      </c>
      <c r="I339" s="18">
        <f t="shared" si="33"/>
        <v>0</v>
      </c>
      <c r="J339" s="18">
        <v>0</v>
      </c>
      <c r="K339" s="18">
        <v>0</v>
      </c>
      <c r="L339" s="18">
        <f t="shared" si="34"/>
        <v>0</v>
      </c>
      <c r="M339" s="18">
        <v>0</v>
      </c>
      <c r="N339" s="18">
        <v>0</v>
      </c>
      <c r="O339" s="18">
        <v>0</v>
      </c>
      <c r="P339" s="18">
        <v>0</v>
      </c>
      <c r="Q339" s="18">
        <f t="shared" si="30"/>
        <v>0</v>
      </c>
      <c r="R339">
        <v>0</v>
      </c>
      <c r="S339">
        <v>0</v>
      </c>
      <c r="T339">
        <v>0</v>
      </c>
      <c r="U339">
        <v>0</v>
      </c>
      <c r="V339" s="18">
        <f t="shared" si="31"/>
        <v>0</v>
      </c>
      <c r="W339" s="18">
        <f t="shared" si="35"/>
        <v>0</v>
      </c>
      <c r="X339" s="18">
        <v>0</v>
      </c>
      <c r="Y339" s="18">
        <v>0</v>
      </c>
    </row>
    <row r="340" spans="1:25" x14ac:dyDescent="0.2">
      <c r="A340" s="18">
        <v>6842</v>
      </c>
      <c r="C340" s="18">
        <v>0</v>
      </c>
      <c r="D340" s="18">
        <v>0</v>
      </c>
      <c r="E340" s="18">
        <v>0</v>
      </c>
      <c r="F340" s="18">
        <f t="shared" si="32"/>
        <v>0</v>
      </c>
      <c r="G340" s="18">
        <v>0</v>
      </c>
      <c r="H340" s="18">
        <v>0</v>
      </c>
      <c r="I340" s="18">
        <f t="shared" si="33"/>
        <v>0</v>
      </c>
      <c r="J340" s="18">
        <v>0</v>
      </c>
      <c r="K340" s="18">
        <v>0</v>
      </c>
      <c r="L340" s="18">
        <f t="shared" si="34"/>
        <v>0</v>
      </c>
      <c r="M340" s="18">
        <v>0</v>
      </c>
      <c r="N340" s="18">
        <v>0</v>
      </c>
      <c r="O340" s="18">
        <v>0</v>
      </c>
      <c r="P340" s="18">
        <v>0</v>
      </c>
      <c r="Q340" s="18">
        <f t="shared" si="30"/>
        <v>0</v>
      </c>
      <c r="R340">
        <v>0</v>
      </c>
      <c r="S340">
        <v>0</v>
      </c>
      <c r="T340">
        <v>0</v>
      </c>
      <c r="U340">
        <v>0</v>
      </c>
      <c r="V340" s="18">
        <f t="shared" si="31"/>
        <v>0</v>
      </c>
      <c r="W340" s="18">
        <f t="shared" si="35"/>
        <v>0</v>
      </c>
      <c r="X340" s="18">
        <v>0</v>
      </c>
      <c r="Y340" s="18">
        <v>0</v>
      </c>
    </row>
    <row r="341" spans="1:25" x14ac:dyDescent="0.2">
      <c r="A341" s="18">
        <v>6848</v>
      </c>
      <c r="C341" s="18">
        <v>0</v>
      </c>
      <c r="D341" s="18">
        <v>0</v>
      </c>
      <c r="E341" s="18">
        <v>0</v>
      </c>
      <c r="F341" s="18">
        <f t="shared" si="32"/>
        <v>0</v>
      </c>
      <c r="G341" s="18">
        <v>0</v>
      </c>
      <c r="H341" s="18">
        <v>0</v>
      </c>
      <c r="I341" s="18">
        <f t="shared" si="33"/>
        <v>0</v>
      </c>
      <c r="J341" s="18">
        <v>0</v>
      </c>
      <c r="K341" s="18">
        <v>0</v>
      </c>
      <c r="L341" s="18">
        <f t="shared" si="34"/>
        <v>0</v>
      </c>
      <c r="M341" s="18">
        <v>0</v>
      </c>
      <c r="N341" s="18">
        <v>0</v>
      </c>
      <c r="O341" s="18">
        <v>0</v>
      </c>
      <c r="P341" s="18">
        <v>0</v>
      </c>
      <c r="Q341" s="18">
        <f t="shared" si="30"/>
        <v>0</v>
      </c>
      <c r="R341">
        <v>0</v>
      </c>
      <c r="S341">
        <v>0</v>
      </c>
      <c r="T341">
        <v>0</v>
      </c>
      <c r="U341">
        <v>0</v>
      </c>
      <c r="V341" s="18">
        <f t="shared" si="31"/>
        <v>0</v>
      </c>
      <c r="W341" s="18">
        <f t="shared" si="35"/>
        <v>0</v>
      </c>
      <c r="X341" s="18">
        <v>0</v>
      </c>
      <c r="Y341" s="18">
        <v>0</v>
      </c>
    </row>
    <row r="342" spans="1:25" x14ac:dyDescent="0.2">
      <c r="A342" s="18">
        <v>6853</v>
      </c>
      <c r="C342" s="18">
        <v>0</v>
      </c>
      <c r="D342" s="18">
        <v>0</v>
      </c>
      <c r="E342" s="18">
        <v>0</v>
      </c>
      <c r="F342" s="18">
        <f t="shared" si="32"/>
        <v>0</v>
      </c>
      <c r="G342" s="18">
        <v>0</v>
      </c>
      <c r="H342" s="18">
        <v>0</v>
      </c>
      <c r="I342" s="18">
        <f t="shared" si="33"/>
        <v>0</v>
      </c>
      <c r="J342" s="18">
        <v>0</v>
      </c>
      <c r="K342" s="18">
        <v>0</v>
      </c>
      <c r="L342" s="18">
        <f t="shared" si="34"/>
        <v>0</v>
      </c>
      <c r="M342" s="18">
        <v>0</v>
      </c>
      <c r="N342" s="18">
        <v>0</v>
      </c>
      <c r="O342" s="18">
        <v>0</v>
      </c>
      <c r="P342" s="18">
        <v>0</v>
      </c>
      <c r="Q342" s="18">
        <f t="shared" si="30"/>
        <v>0</v>
      </c>
      <c r="R342">
        <v>0</v>
      </c>
      <c r="S342">
        <v>0</v>
      </c>
      <c r="T342">
        <v>0</v>
      </c>
      <c r="U342">
        <v>0</v>
      </c>
      <c r="V342" s="18">
        <f t="shared" si="31"/>
        <v>0</v>
      </c>
      <c r="W342" s="18">
        <f t="shared" si="35"/>
        <v>0</v>
      </c>
      <c r="X342" s="18">
        <v>0</v>
      </c>
      <c r="Y342" s="18">
        <v>0</v>
      </c>
    </row>
    <row r="343" spans="1:25" x14ac:dyDescent="0.2">
      <c r="A343" s="18">
        <v>6860</v>
      </c>
      <c r="C343" s="18">
        <v>0</v>
      </c>
      <c r="D343" s="18">
        <v>0</v>
      </c>
      <c r="E343" s="18">
        <v>0</v>
      </c>
      <c r="F343" s="18">
        <f t="shared" si="32"/>
        <v>0</v>
      </c>
      <c r="G343" s="18">
        <v>0</v>
      </c>
      <c r="H343" s="18">
        <v>0</v>
      </c>
      <c r="I343" s="18">
        <f t="shared" si="33"/>
        <v>0</v>
      </c>
      <c r="J343" s="18">
        <v>0</v>
      </c>
      <c r="K343" s="18">
        <v>0</v>
      </c>
      <c r="L343" s="18">
        <f t="shared" si="34"/>
        <v>0</v>
      </c>
      <c r="M343" s="18">
        <v>0</v>
      </c>
      <c r="N343" s="18">
        <v>0</v>
      </c>
      <c r="O343" s="18">
        <v>0</v>
      </c>
      <c r="P343" s="18">
        <v>0</v>
      </c>
      <c r="Q343" s="18">
        <f t="shared" si="30"/>
        <v>0</v>
      </c>
      <c r="R343">
        <v>0</v>
      </c>
      <c r="S343">
        <v>0</v>
      </c>
      <c r="T343">
        <v>0</v>
      </c>
      <c r="U343">
        <v>0</v>
      </c>
      <c r="V343" s="18">
        <f t="shared" si="31"/>
        <v>0</v>
      </c>
      <c r="W343" s="18">
        <f t="shared" si="35"/>
        <v>0</v>
      </c>
      <c r="X343" s="18">
        <v>0</v>
      </c>
      <c r="Y343" s="18">
        <v>0</v>
      </c>
    </row>
    <row r="344" spans="1:25" x14ac:dyDescent="0.2">
      <c r="A344" s="18">
        <v>6863</v>
      </c>
      <c r="C344" s="18">
        <v>0</v>
      </c>
      <c r="D344" s="18">
        <v>0</v>
      </c>
      <c r="E344" s="18">
        <v>0.26100000000000001</v>
      </c>
      <c r="F344" s="18">
        <f t="shared" si="32"/>
        <v>0.26100000000000001</v>
      </c>
      <c r="G344" s="18">
        <v>0</v>
      </c>
      <c r="H344" s="18">
        <v>0</v>
      </c>
      <c r="I344" s="18">
        <f t="shared" si="33"/>
        <v>0</v>
      </c>
      <c r="J344" s="18">
        <v>0</v>
      </c>
      <c r="K344" s="18">
        <v>0</v>
      </c>
      <c r="L344" s="18">
        <f t="shared" si="34"/>
        <v>0</v>
      </c>
      <c r="M344" s="18">
        <v>0</v>
      </c>
      <c r="N344" s="18">
        <v>0</v>
      </c>
      <c r="O344" s="18">
        <v>0</v>
      </c>
      <c r="P344" s="18">
        <v>0</v>
      </c>
      <c r="Q344" s="18">
        <f t="shared" si="30"/>
        <v>0</v>
      </c>
      <c r="R344">
        <v>0</v>
      </c>
      <c r="S344">
        <v>0</v>
      </c>
      <c r="T344">
        <v>6.0000000000000005E-2</v>
      </c>
      <c r="U344">
        <v>0</v>
      </c>
      <c r="V344" s="18">
        <f t="shared" si="31"/>
        <v>0</v>
      </c>
      <c r="W344" s="18">
        <f t="shared" si="35"/>
        <v>0</v>
      </c>
      <c r="X344" s="18">
        <v>0</v>
      </c>
      <c r="Y344" s="18">
        <v>0</v>
      </c>
    </row>
    <row r="345" spans="1:25" x14ac:dyDescent="0.2">
      <c r="A345" s="18">
        <v>6858</v>
      </c>
      <c r="C345" s="18">
        <v>0</v>
      </c>
      <c r="D345" s="18">
        <v>0</v>
      </c>
      <c r="E345" s="18">
        <v>0</v>
      </c>
      <c r="F345" s="18">
        <f t="shared" si="32"/>
        <v>0</v>
      </c>
      <c r="G345" s="18">
        <v>0</v>
      </c>
      <c r="H345" s="18">
        <v>0</v>
      </c>
      <c r="I345" s="18">
        <f t="shared" si="33"/>
        <v>0</v>
      </c>
      <c r="J345" s="18">
        <v>0</v>
      </c>
      <c r="K345" s="18">
        <v>0</v>
      </c>
      <c r="L345" s="18">
        <f t="shared" si="34"/>
        <v>0</v>
      </c>
      <c r="M345" s="18">
        <v>0</v>
      </c>
      <c r="N345" s="18">
        <v>0</v>
      </c>
      <c r="O345" s="18">
        <v>0</v>
      </c>
      <c r="P345" s="18">
        <v>0</v>
      </c>
      <c r="Q345" s="18">
        <f t="shared" si="30"/>
        <v>0</v>
      </c>
      <c r="R345">
        <v>0</v>
      </c>
      <c r="S345">
        <v>0</v>
      </c>
      <c r="T345">
        <v>0</v>
      </c>
      <c r="U345">
        <v>0</v>
      </c>
      <c r="V345" s="18">
        <f t="shared" si="31"/>
        <v>0</v>
      </c>
      <c r="W345" s="18">
        <f t="shared" si="35"/>
        <v>0</v>
      </c>
      <c r="X345" s="18">
        <v>0</v>
      </c>
      <c r="Y345" s="18">
        <v>0</v>
      </c>
    </row>
    <row r="346" spans="1:25" x14ac:dyDescent="0.2">
      <c r="A346" s="18">
        <v>6878</v>
      </c>
      <c r="C346" s="18">
        <v>0</v>
      </c>
      <c r="D346" s="18">
        <v>0</v>
      </c>
      <c r="E346" s="18">
        <v>0</v>
      </c>
      <c r="F346" s="18">
        <f t="shared" si="32"/>
        <v>0</v>
      </c>
      <c r="G346" s="18">
        <v>0</v>
      </c>
      <c r="H346" s="18">
        <v>0</v>
      </c>
      <c r="I346" s="18">
        <f t="shared" si="33"/>
        <v>0</v>
      </c>
      <c r="J346" s="18">
        <v>0</v>
      </c>
      <c r="K346" s="18">
        <v>0</v>
      </c>
      <c r="L346" s="18">
        <f t="shared" si="34"/>
        <v>0</v>
      </c>
      <c r="M346" s="18">
        <v>0</v>
      </c>
      <c r="N346" s="18">
        <v>0</v>
      </c>
      <c r="O346" s="18">
        <v>0</v>
      </c>
      <c r="P346" s="18">
        <v>0</v>
      </c>
      <c r="Q346" s="18">
        <f t="shared" si="30"/>
        <v>0</v>
      </c>
      <c r="R346">
        <v>0</v>
      </c>
      <c r="S346">
        <v>0</v>
      </c>
      <c r="T346">
        <v>0</v>
      </c>
      <c r="U346">
        <v>0</v>
      </c>
      <c r="V346" s="18">
        <f t="shared" si="31"/>
        <v>0</v>
      </c>
      <c r="W346" s="18">
        <f t="shared" si="35"/>
        <v>0</v>
      </c>
      <c r="X346" s="18">
        <v>0</v>
      </c>
      <c r="Y346" s="18">
        <v>0</v>
      </c>
    </row>
    <row r="347" spans="1:25" x14ac:dyDescent="0.2">
      <c r="A347" s="18">
        <v>6884</v>
      </c>
      <c r="C347" s="18">
        <v>0</v>
      </c>
      <c r="D347" s="18">
        <v>0</v>
      </c>
      <c r="E347" s="18">
        <v>0</v>
      </c>
      <c r="F347" s="18">
        <f t="shared" si="32"/>
        <v>0</v>
      </c>
      <c r="G347" s="18">
        <v>0</v>
      </c>
      <c r="H347" s="18">
        <v>0</v>
      </c>
      <c r="I347" s="18">
        <f t="shared" si="33"/>
        <v>0</v>
      </c>
      <c r="J347" s="18">
        <v>0</v>
      </c>
      <c r="K347" s="18">
        <v>0</v>
      </c>
      <c r="L347" s="18">
        <f t="shared" si="34"/>
        <v>0</v>
      </c>
      <c r="M347" s="18">
        <v>0</v>
      </c>
      <c r="N347" s="18">
        <v>0</v>
      </c>
      <c r="O347" s="18">
        <v>0</v>
      </c>
      <c r="P347" s="18">
        <v>0</v>
      </c>
      <c r="Q347" s="18">
        <f t="shared" si="30"/>
        <v>0</v>
      </c>
      <c r="R347">
        <v>0</v>
      </c>
      <c r="S347">
        <v>0</v>
      </c>
      <c r="T347">
        <v>0</v>
      </c>
      <c r="U347">
        <v>0</v>
      </c>
      <c r="V347" s="18">
        <f t="shared" si="31"/>
        <v>0</v>
      </c>
      <c r="W347" s="18">
        <f t="shared" si="35"/>
        <v>0</v>
      </c>
      <c r="X347" s="18">
        <v>0</v>
      </c>
      <c r="Y347" s="18">
        <v>0</v>
      </c>
    </row>
    <row r="348" spans="1:25" x14ac:dyDescent="0.2">
      <c r="A348" s="18">
        <v>6886</v>
      </c>
      <c r="C348" s="18">
        <v>0</v>
      </c>
      <c r="D348" s="18">
        <v>0</v>
      </c>
      <c r="E348" s="18">
        <v>0</v>
      </c>
      <c r="F348" s="18">
        <f t="shared" si="32"/>
        <v>0</v>
      </c>
      <c r="G348" s="18">
        <v>0</v>
      </c>
      <c r="H348" s="18">
        <v>0</v>
      </c>
      <c r="I348" s="18">
        <f t="shared" si="33"/>
        <v>0</v>
      </c>
      <c r="J348" s="18">
        <v>0</v>
      </c>
      <c r="K348" s="18">
        <v>0</v>
      </c>
      <c r="L348" s="18">
        <f t="shared" si="34"/>
        <v>0</v>
      </c>
      <c r="M348" s="18">
        <v>0</v>
      </c>
      <c r="N348" s="18">
        <v>0</v>
      </c>
      <c r="O348" s="18">
        <v>0</v>
      </c>
      <c r="P348" s="18">
        <v>0</v>
      </c>
      <c r="Q348" s="18">
        <f t="shared" si="30"/>
        <v>0</v>
      </c>
      <c r="R348">
        <v>0</v>
      </c>
      <c r="S348">
        <v>0</v>
      </c>
      <c r="T348">
        <v>0</v>
      </c>
      <c r="U348">
        <v>0</v>
      </c>
      <c r="V348" s="18">
        <f t="shared" si="31"/>
        <v>0</v>
      </c>
      <c r="W348" s="18">
        <f t="shared" si="35"/>
        <v>0</v>
      </c>
      <c r="X348" s="18">
        <v>0</v>
      </c>
      <c r="Y348" s="18">
        <v>0</v>
      </c>
    </row>
    <row r="349" spans="1:25" x14ac:dyDescent="0.2">
      <c r="A349" s="18">
        <v>6888</v>
      </c>
      <c r="C349" s="18">
        <v>0</v>
      </c>
      <c r="D349" s="18">
        <v>0</v>
      </c>
      <c r="E349" s="18">
        <v>0</v>
      </c>
      <c r="F349" s="18">
        <f t="shared" si="32"/>
        <v>0</v>
      </c>
      <c r="G349" s="18">
        <v>0</v>
      </c>
      <c r="H349" s="18">
        <v>0</v>
      </c>
      <c r="I349" s="18">
        <f t="shared" si="33"/>
        <v>0</v>
      </c>
      <c r="J349" s="18">
        <v>0</v>
      </c>
      <c r="K349" s="18">
        <v>0</v>
      </c>
      <c r="L349" s="18">
        <f t="shared" si="34"/>
        <v>0</v>
      </c>
      <c r="M349" s="18">
        <v>0</v>
      </c>
      <c r="N349" s="18">
        <v>0</v>
      </c>
      <c r="O349" s="18">
        <v>0</v>
      </c>
      <c r="P349" s="18">
        <v>0</v>
      </c>
      <c r="Q349" s="18">
        <f t="shared" si="30"/>
        <v>0</v>
      </c>
      <c r="R349">
        <v>0</v>
      </c>
      <c r="S349">
        <v>0</v>
      </c>
      <c r="T349">
        <v>0</v>
      </c>
      <c r="U349">
        <v>0</v>
      </c>
      <c r="V349" s="18">
        <f t="shared" si="31"/>
        <v>0</v>
      </c>
      <c r="W349" s="18">
        <f t="shared" si="35"/>
        <v>0</v>
      </c>
      <c r="X349" s="18">
        <v>0</v>
      </c>
      <c r="Y349" s="18">
        <v>0</v>
      </c>
    </row>
    <row r="350" spans="1:25" x14ac:dyDescent="0.2">
      <c r="A350" s="18">
        <v>6897</v>
      </c>
      <c r="C350" s="18">
        <v>0</v>
      </c>
      <c r="D350" s="18">
        <v>0</v>
      </c>
      <c r="E350" s="18">
        <v>0</v>
      </c>
      <c r="F350" s="18">
        <f t="shared" si="32"/>
        <v>0</v>
      </c>
      <c r="G350" s="18">
        <v>0</v>
      </c>
      <c r="H350" s="18">
        <v>0</v>
      </c>
      <c r="I350" s="18">
        <f t="shared" si="33"/>
        <v>0</v>
      </c>
      <c r="J350" s="18">
        <v>0</v>
      </c>
      <c r="K350" s="18">
        <v>0</v>
      </c>
      <c r="L350" s="18">
        <f t="shared" si="34"/>
        <v>0</v>
      </c>
      <c r="M350" s="18">
        <v>0</v>
      </c>
      <c r="N350" s="18">
        <v>0</v>
      </c>
      <c r="O350" s="18">
        <v>0</v>
      </c>
      <c r="P350" s="18">
        <v>0</v>
      </c>
      <c r="Q350" s="18">
        <f t="shared" si="30"/>
        <v>0</v>
      </c>
      <c r="R350">
        <v>0</v>
      </c>
      <c r="S350">
        <v>0</v>
      </c>
      <c r="T350">
        <v>0</v>
      </c>
      <c r="U350">
        <v>0</v>
      </c>
      <c r="V350" s="18">
        <f t="shared" si="31"/>
        <v>0</v>
      </c>
      <c r="W350" s="18">
        <f t="shared" si="35"/>
        <v>0</v>
      </c>
      <c r="X350" s="18">
        <v>0</v>
      </c>
      <c r="Y350" s="18">
        <v>0</v>
      </c>
    </row>
    <row r="351" spans="1:25" x14ac:dyDescent="0.2">
      <c r="A351" s="18">
        <v>6900</v>
      </c>
      <c r="C351" s="18">
        <v>0</v>
      </c>
      <c r="D351" s="18">
        <v>0</v>
      </c>
      <c r="E351" s="18">
        <v>0</v>
      </c>
      <c r="F351" s="18">
        <f t="shared" si="32"/>
        <v>0</v>
      </c>
      <c r="G351" s="18">
        <v>0</v>
      </c>
      <c r="H351" s="18">
        <v>0</v>
      </c>
      <c r="I351" s="18">
        <f t="shared" si="33"/>
        <v>0</v>
      </c>
      <c r="J351" s="18">
        <v>0</v>
      </c>
      <c r="K351" s="18">
        <v>0</v>
      </c>
      <c r="L351" s="18">
        <f t="shared" si="34"/>
        <v>0</v>
      </c>
      <c r="M351" s="18">
        <v>0</v>
      </c>
      <c r="N351" s="18">
        <v>0</v>
      </c>
      <c r="O351" s="18">
        <v>0</v>
      </c>
      <c r="P351" s="18">
        <v>0</v>
      </c>
      <c r="Q351" s="18">
        <f t="shared" ref="Q351:Q414" si="36">SUM(M351:P351)</f>
        <v>0</v>
      </c>
      <c r="R351">
        <v>0</v>
      </c>
      <c r="S351">
        <v>0</v>
      </c>
      <c r="T351">
        <v>0</v>
      </c>
      <c r="U351">
        <v>0</v>
      </c>
      <c r="V351" s="18">
        <f t="shared" si="31"/>
        <v>0</v>
      </c>
      <c r="W351" s="18">
        <f t="shared" si="35"/>
        <v>0</v>
      </c>
      <c r="X351" s="18">
        <v>0</v>
      </c>
      <c r="Y351" s="18">
        <v>0</v>
      </c>
    </row>
    <row r="352" spans="1:25" x14ac:dyDescent="0.2">
      <c r="A352" s="18">
        <v>6907</v>
      </c>
      <c r="C352" s="18">
        <v>0</v>
      </c>
      <c r="D352" s="18">
        <v>0</v>
      </c>
      <c r="E352" s="18">
        <v>0</v>
      </c>
      <c r="F352" s="18">
        <f t="shared" si="32"/>
        <v>0</v>
      </c>
      <c r="G352" s="18">
        <v>0</v>
      </c>
      <c r="H352" s="18">
        <v>0</v>
      </c>
      <c r="I352" s="18">
        <f t="shared" si="33"/>
        <v>0</v>
      </c>
      <c r="J352" s="18">
        <v>0</v>
      </c>
      <c r="K352" s="18">
        <v>0</v>
      </c>
      <c r="L352" s="18">
        <f t="shared" si="34"/>
        <v>0</v>
      </c>
      <c r="M352" s="18">
        <v>0</v>
      </c>
      <c r="N352" s="18">
        <v>0</v>
      </c>
      <c r="O352" s="18">
        <v>0</v>
      </c>
      <c r="P352" s="18">
        <v>0</v>
      </c>
      <c r="Q352" s="18">
        <f t="shared" si="36"/>
        <v>0</v>
      </c>
      <c r="R352">
        <v>0</v>
      </c>
      <c r="S352">
        <v>0</v>
      </c>
      <c r="T352">
        <v>0</v>
      </c>
      <c r="U352">
        <v>0</v>
      </c>
      <c r="V352" s="18">
        <f t="shared" si="31"/>
        <v>0</v>
      </c>
      <c r="W352" s="18">
        <f t="shared" si="35"/>
        <v>0</v>
      </c>
      <c r="X352" s="18">
        <v>0</v>
      </c>
      <c r="Y352" s="18">
        <v>0</v>
      </c>
    </row>
    <row r="353" spans="1:25" x14ac:dyDescent="0.2">
      <c r="A353" s="18">
        <v>6889</v>
      </c>
      <c r="C353" s="18">
        <v>0</v>
      </c>
      <c r="D353" s="18">
        <v>0</v>
      </c>
      <c r="E353" s="18">
        <v>0</v>
      </c>
      <c r="F353" s="18">
        <f t="shared" si="32"/>
        <v>0</v>
      </c>
      <c r="G353" s="18">
        <v>0</v>
      </c>
      <c r="H353" s="18">
        <v>0</v>
      </c>
      <c r="I353" s="18">
        <f t="shared" si="33"/>
        <v>0</v>
      </c>
      <c r="J353" s="18">
        <v>0</v>
      </c>
      <c r="K353" s="18">
        <v>0</v>
      </c>
      <c r="L353" s="18">
        <f t="shared" si="34"/>
        <v>0</v>
      </c>
      <c r="M353" s="18">
        <v>0</v>
      </c>
      <c r="N353" s="18">
        <v>0</v>
      </c>
      <c r="O353" s="18">
        <v>0</v>
      </c>
      <c r="P353" s="18">
        <v>0</v>
      </c>
      <c r="Q353" s="18">
        <f t="shared" si="36"/>
        <v>0</v>
      </c>
      <c r="R353">
        <v>0</v>
      </c>
      <c r="S353">
        <v>0</v>
      </c>
      <c r="T353">
        <v>0</v>
      </c>
      <c r="U353">
        <v>0</v>
      </c>
      <c r="V353" s="18">
        <f t="shared" si="31"/>
        <v>0</v>
      </c>
      <c r="W353" s="18">
        <f t="shared" si="35"/>
        <v>0</v>
      </c>
      <c r="X353" s="18">
        <v>0</v>
      </c>
      <c r="Y353" s="18">
        <v>0</v>
      </c>
    </row>
    <row r="354" spans="1:25" x14ac:dyDescent="0.2">
      <c r="A354" s="18">
        <v>6909</v>
      </c>
      <c r="C354" s="18">
        <v>0</v>
      </c>
      <c r="D354" s="18">
        <v>0</v>
      </c>
      <c r="E354" s="18">
        <v>0</v>
      </c>
      <c r="F354" s="18">
        <f t="shared" si="32"/>
        <v>0</v>
      </c>
      <c r="G354" s="18">
        <v>0</v>
      </c>
      <c r="H354" s="18">
        <v>0</v>
      </c>
      <c r="I354" s="18">
        <f t="shared" si="33"/>
        <v>0</v>
      </c>
      <c r="J354" s="18">
        <v>0</v>
      </c>
      <c r="K354" s="18">
        <v>0</v>
      </c>
      <c r="L354" s="18">
        <f t="shared" si="34"/>
        <v>0</v>
      </c>
      <c r="M354" s="18">
        <v>0</v>
      </c>
      <c r="N354" s="18">
        <v>0</v>
      </c>
      <c r="O354" s="18">
        <v>0</v>
      </c>
      <c r="P354" s="18">
        <v>0</v>
      </c>
      <c r="Q354" s="18">
        <f t="shared" si="36"/>
        <v>0</v>
      </c>
      <c r="R354">
        <v>0</v>
      </c>
      <c r="S354">
        <v>0</v>
      </c>
      <c r="T354">
        <v>0</v>
      </c>
      <c r="U354">
        <v>0</v>
      </c>
      <c r="V354" s="18">
        <f t="shared" si="31"/>
        <v>0</v>
      </c>
      <c r="W354" s="18">
        <f t="shared" si="35"/>
        <v>0</v>
      </c>
      <c r="X354" s="18">
        <v>0</v>
      </c>
      <c r="Y354" s="18">
        <v>0</v>
      </c>
    </row>
    <row r="355" spans="1:25" x14ac:dyDescent="0.2">
      <c r="A355" s="18">
        <v>6916</v>
      </c>
      <c r="C355" s="18">
        <v>0</v>
      </c>
      <c r="D355" s="18">
        <v>0</v>
      </c>
      <c r="E355" s="18">
        <v>0</v>
      </c>
      <c r="F355" s="18">
        <f t="shared" si="32"/>
        <v>0</v>
      </c>
      <c r="G355" s="18">
        <v>0</v>
      </c>
      <c r="H355" s="18">
        <v>0</v>
      </c>
      <c r="I355" s="18">
        <f t="shared" si="33"/>
        <v>0</v>
      </c>
      <c r="J355" s="18">
        <v>0</v>
      </c>
      <c r="K355" s="18">
        <v>0</v>
      </c>
      <c r="L355" s="18">
        <f t="shared" si="34"/>
        <v>0</v>
      </c>
      <c r="M355" s="18">
        <v>0</v>
      </c>
      <c r="N355" s="18">
        <v>0</v>
      </c>
      <c r="O355" s="18">
        <v>0</v>
      </c>
      <c r="P355" s="18">
        <v>0</v>
      </c>
      <c r="Q355" s="18">
        <f t="shared" si="36"/>
        <v>0</v>
      </c>
      <c r="R355">
        <v>0</v>
      </c>
      <c r="S355">
        <v>0</v>
      </c>
      <c r="T355">
        <v>0</v>
      </c>
      <c r="U355">
        <v>0</v>
      </c>
      <c r="V355" s="18">
        <f t="shared" si="31"/>
        <v>0</v>
      </c>
      <c r="W355" s="18">
        <f t="shared" si="35"/>
        <v>0</v>
      </c>
      <c r="X355" s="18">
        <v>0</v>
      </c>
      <c r="Y355" s="18">
        <v>0</v>
      </c>
    </row>
    <row r="356" spans="1:25" x14ac:dyDescent="0.2">
      <c r="A356" s="18">
        <v>6925</v>
      </c>
      <c r="C356" s="18">
        <v>0</v>
      </c>
      <c r="D356" s="18">
        <v>0</v>
      </c>
      <c r="E356" s="18">
        <v>0</v>
      </c>
      <c r="F356" s="18">
        <f t="shared" si="32"/>
        <v>0</v>
      </c>
      <c r="G356" s="18">
        <v>0</v>
      </c>
      <c r="H356" s="18">
        <v>0</v>
      </c>
      <c r="I356" s="18">
        <f t="shared" si="33"/>
        <v>0</v>
      </c>
      <c r="J356" s="18">
        <v>0</v>
      </c>
      <c r="K356" s="18">
        <v>0</v>
      </c>
      <c r="L356" s="18">
        <f t="shared" si="34"/>
        <v>0</v>
      </c>
      <c r="M356" s="18">
        <v>0</v>
      </c>
      <c r="N356" s="18">
        <v>0</v>
      </c>
      <c r="O356" s="18">
        <v>0</v>
      </c>
      <c r="P356" s="18">
        <v>0</v>
      </c>
      <c r="Q356" s="18">
        <f t="shared" si="36"/>
        <v>0</v>
      </c>
      <c r="R356">
        <v>0</v>
      </c>
      <c r="S356">
        <v>0</v>
      </c>
      <c r="T356">
        <v>0</v>
      </c>
      <c r="U356">
        <v>0</v>
      </c>
      <c r="V356" s="18">
        <f t="shared" si="31"/>
        <v>0</v>
      </c>
      <c r="W356" s="18">
        <f t="shared" si="35"/>
        <v>0</v>
      </c>
      <c r="X356" s="18">
        <v>0</v>
      </c>
      <c r="Y356" s="18">
        <v>0</v>
      </c>
    </row>
    <row r="357" spans="1:25" x14ac:dyDescent="0.2">
      <c r="A357" s="18">
        <v>6929</v>
      </c>
      <c r="C357" s="18">
        <v>0</v>
      </c>
      <c r="D357" s="18">
        <v>0</v>
      </c>
      <c r="E357" s="18">
        <v>0</v>
      </c>
      <c r="F357" s="18">
        <f t="shared" si="32"/>
        <v>0</v>
      </c>
      <c r="G357" s="18">
        <v>0</v>
      </c>
      <c r="H357" s="18">
        <v>0</v>
      </c>
      <c r="I357" s="18">
        <f t="shared" si="33"/>
        <v>0</v>
      </c>
      <c r="J357" s="18">
        <v>0</v>
      </c>
      <c r="K357" s="18">
        <v>0</v>
      </c>
      <c r="L357" s="18">
        <f t="shared" si="34"/>
        <v>0</v>
      </c>
      <c r="M357" s="18">
        <v>0</v>
      </c>
      <c r="N357" s="18">
        <v>0</v>
      </c>
      <c r="O357" s="18">
        <v>0</v>
      </c>
      <c r="P357" s="18">
        <v>0</v>
      </c>
      <c r="Q357" s="18">
        <f t="shared" si="36"/>
        <v>0</v>
      </c>
      <c r="R357">
        <v>0</v>
      </c>
      <c r="S357">
        <v>0</v>
      </c>
      <c r="T357">
        <v>0</v>
      </c>
      <c r="U357">
        <v>0</v>
      </c>
      <c r="V357" s="18">
        <f t="shared" si="31"/>
        <v>0</v>
      </c>
      <c r="W357" s="18">
        <f t="shared" si="35"/>
        <v>0</v>
      </c>
      <c r="X357" s="18">
        <v>0</v>
      </c>
      <c r="Y357" s="18">
        <v>0</v>
      </c>
    </row>
    <row r="358" spans="1:25" x14ac:dyDescent="0.2">
      <c r="A358" s="18">
        <v>6930</v>
      </c>
      <c r="C358" s="18">
        <v>0</v>
      </c>
      <c r="D358" s="18">
        <v>0</v>
      </c>
      <c r="E358" s="18">
        <v>0</v>
      </c>
      <c r="F358" s="18">
        <f t="shared" si="32"/>
        <v>0</v>
      </c>
      <c r="G358" s="18">
        <v>0</v>
      </c>
      <c r="H358" s="18">
        <v>0</v>
      </c>
      <c r="I358" s="18">
        <f t="shared" si="33"/>
        <v>0</v>
      </c>
      <c r="J358" s="18">
        <v>0</v>
      </c>
      <c r="K358" s="18">
        <v>0</v>
      </c>
      <c r="L358" s="18">
        <f t="shared" si="34"/>
        <v>0</v>
      </c>
      <c r="M358" s="18">
        <v>0</v>
      </c>
      <c r="N358" s="18">
        <v>0</v>
      </c>
      <c r="O358" s="18">
        <v>0</v>
      </c>
      <c r="P358" s="18">
        <v>0</v>
      </c>
      <c r="Q358" s="18">
        <f t="shared" si="36"/>
        <v>0</v>
      </c>
      <c r="R358">
        <v>0</v>
      </c>
      <c r="S358">
        <v>0</v>
      </c>
      <c r="T358">
        <v>0</v>
      </c>
      <c r="U358">
        <v>0</v>
      </c>
      <c r="V358" s="18">
        <f t="shared" si="31"/>
        <v>0</v>
      </c>
      <c r="W358" s="18">
        <f t="shared" si="35"/>
        <v>0</v>
      </c>
      <c r="X358" s="18">
        <v>0</v>
      </c>
      <c r="Y358" s="18">
        <v>0</v>
      </c>
    </row>
    <row r="359" spans="1:25" x14ac:dyDescent="0.2">
      <c r="A359" s="18">
        <v>6932</v>
      </c>
      <c r="C359" s="18">
        <v>0</v>
      </c>
      <c r="D359" s="18">
        <v>0</v>
      </c>
      <c r="E359" s="18">
        <v>0</v>
      </c>
      <c r="F359" s="18">
        <f t="shared" si="32"/>
        <v>0</v>
      </c>
      <c r="G359" s="18">
        <v>0</v>
      </c>
      <c r="H359" s="18">
        <v>0</v>
      </c>
      <c r="I359" s="18">
        <f t="shared" si="33"/>
        <v>0</v>
      </c>
      <c r="J359" s="18">
        <v>0</v>
      </c>
      <c r="K359" s="18">
        <v>0</v>
      </c>
      <c r="L359" s="18">
        <f t="shared" si="34"/>
        <v>0</v>
      </c>
      <c r="M359" s="18">
        <v>0</v>
      </c>
      <c r="N359" s="18">
        <v>0</v>
      </c>
      <c r="O359" s="18">
        <v>0</v>
      </c>
      <c r="P359" s="18">
        <v>0</v>
      </c>
      <c r="Q359" s="18">
        <f t="shared" si="36"/>
        <v>0</v>
      </c>
      <c r="R359">
        <v>0</v>
      </c>
      <c r="S359">
        <v>0</v>
      </c>
      <c r="T359">
        <v>0</v>
      </c>
      <c r="U359">
        <v>0</v>
      </c>
      <c r="V359" s="18">
        <f t="shared" si="31"/>
        <v>0</v>
      </c>
      <c r="W359" s="18">
        <f t="shared" si="35"/>
        <v>0</v>
      </c>
      <c r="X359" s="18">
        <v>0</v>
      </c>
      <c r="Y359" s="18">
        <v>0</v>
      </c>
    </row>
    <row r="360" spans="1:25" x14ac:dyDescent="0.2">
      <c r="A360" s="18">
        <v>6967</v>
      </c>
      <c r="C360" s="18">
        <v>0</v>
      </c>
      <c r="D360" s="18">
        <v>0</v>
      </c>
      <c r="E360" s="18">
        <v>0</v>
      </c>
      <c r="F360" s="18">
        <f t="shared" si="32"/>
        <v>0</v>
      </c>
      <c r="G360" s="18">
        <v>0</v>
      </c>
      <c r="H360" s="18">
        <v>0</v>
      </c>
      <c r="I360" s="18">
        <f t="shared" si="33"/>
        <v>0</v>
      </c>
      <c r="J360" s="18">
        <v>0</v>
      </c>
      <c r="K360" s="18">
        <v>0</v>
      </c>
      <c r="L360" s="18">
        <f t="shared" si="34"/>
        <v>0</v>
      </c>
      <c r="M360" s="18">
        <v>0</v>
      </c>
      <c r="N360" s="18">
        <v>0</v>
      </c>
      <c r="O360" s="18">
        <v>0</v>
      </c>
      <c r="P360" s="18">
        <v>0</v>
      </c>
      <c r="Q360" s="18">
        <f t="shared" si="36"/>
        <v>0</v>
      </c>
      <c r="R360">
        <v>0</v>
      </c>
      <c r="S360">
        <v>0</v>
      </c>
      <c r="T360">
        <v>0</v>
      </c>
      <c r="U360">
        <v>0</v>
      </c>
      <c r="V360" s="18">
        <f t="shared" si="31"/>
        <v>0</v>
      </c>
      <c r="W360" s="18">
        <f t="shared" si="35"/>
        <v>0</v>
      </c>
      <c r="X360" s="18">
        <v>0</v>
      </c>
      <c r="Y360" s="18">
        <v>0</v>
      </c>
    </row>
    <row r="361" spans="1:25" x14ac:dyDescent="0.2">
      <c r="A361" s="18">
        <v>6733</v>
      </c>
      <c r="C361" s="18">
        <v>0</v>
      </c>
      <c r="D361" s="18">
        <v>0</v>
      </c>
      <c r="E361" s="18">
        <v>0</v>
      </c>
      <c r="F361" s="18">
        <f t="shared" si="32"/>
        <v>0</v>
      </c>
      <c r="G361" s="18">
        <v>0</v>
      </c>
      <c r="H361" s="18">
        <v>0</v>
      </c>
      <c r="I361" s="18">
        <f t="shared" si="33"/>
        <v>0</v>
      </c>
      <c r="J361" s="18">
        <v>0</v>
      </c>
      <c r="K361" s="18">
        <v>0</v>
      </c>
      <c r="L361" s="18">
        <f t="shared" si="34"/>
        <v>0</v>
      </c>
      <c r="M361" s="18">
        <v>0</v>
      </c>
      <c r="N361" s="18">
        <v>0</v>
      </c>
      <c r="O361" s="18">
        <v>0</v>
      </c>
      <c r="P361" s="18">
        <v>0</v>
      </c>
      <c r="Q361" s="18">
        <f t="shared" si="36"/>
        <v>0</v>
      </c>
      <c r="R361">
        <v>0</v>
      </c>
      <c r="S361">
        <v>0</v>
      </c>
      <c r="T361">
        <v>0</v>
      </c>
      <c r="U361">
        <v>0</v>
      </c>
      <c r="V361" s="18">
        <f t="shared" si="31"/>
        <v>0</v>
      </c>
      <c r="W361" s="18">
        <f t="shared" si="35"/>
        <v>0</v>
      </c>
      <c r="X361" s="18">
        <v>0</v>
      </c>
      <c r="Y361" s="18">
        <v>0</v>
      </c>
    </row>
    <row r="362" spans="1:25" x14ac:dyDescent="0.2">
      <c r="A362" s="18">
        <v>6941</v>
      </c>
      <c r="C362" s="18">
        <v>0</v>
      </c>
      <c r="D362" s="18">
        <v>0</v>
      </c>
      <c r="E362" s="18">
        <v>0</v>
      </c>
      <c r="F362" s="18">
        <f t="shared" si="32"/>
        <v>0</v>
      </c>
      <c r="G362" s="18">
        <v>0</v>
      </c>
      <c r="H362" s="18">
        <v>0</v>
      </c>
      <c r="I362" s="18">
        <f t="shared" si="33"/>
        <v>0</v>
      </c>
      <c r="J362" s="18">
        <v>0</v>
      </c>
      <c r="K362" s="18">
        <v>0</v>
      </c>
      <c r="L362" s="18">
        <f t="shared" si="34"/>
        <v>0</v>
      </c>
      <c r="M362" s="18">
        <v>0</v>
      </c>
      <c r="N362" s="18">
        <v>0</v>
      </c>
      <c r="O362" s="18">
        <v>0</v>
      </c>
      <c r="P362" s="18">
        <v>0</v>
      </c>
      <c r="Q362" s="18">
        <f t="shared" si="36"/>
        <v>0</v>
      </c>
      <c r="R362">
        <v>0</v>
      </c>
      <c r="S362">
        <v>0</v>
      </c>
      <c r="T362">
        <v>0</v>
      </c>
      <c r="U362">
        <v>0</v>
      </c>
      <c r="V362" s="18">
        <f t="shared" si="31"/>
        <v>0</v>
      </c>
      <c r="W362" s="18">
        <f t="shared" si="35"/>
        <v>0</v>
      </c>
      <c r="X362" s="18">
        <v>0</v>
      </c>
      <c r="Y362" s="18">
        <v>0</v>
      </c>
    </row>
    <row r="363" spans="1:25" x14ac:dyDescent="0.2">
      <c r="A363" s="18">
        <v>6950</v>
      </c>
      <c r="C363" s="18">
        <v>0</v>
      </c>
      <c r="D363" s="18">
        <v>0</v>
      </c>
      <c r="E363" s="18">
        <v>0</v>
      </c>
      <c r="F363" s="18">
        <f t="shared" si="32"/>
        <v>0</v>
      </c>
      <c r="G363" s="18">
        <v>0</v>
      </c>
      <c r="H363" s="18">
        <v>0</v>
      </c>
      <c r="I363" s="18">
        <f t="shared" si="33"/>
        <v>0</v>
      </c>
      <c r="J363" s="18">
        <v>0</v>
      </c>
      <c r="K363" s="18">
        <v>0</v>
      </c>
      <c r="L363" s="18">
        <f t="shared" si="34"/>
        <v>0</v>
      </c>
      <c r="M363" s="18">
        <v>0</v>
      </c>
      <c r="N363" s="18">
        <v>0</v>
      </c>
      <c r="O363" s="18">
        <v>0</v>
      </c>
      <c r="P363" s="18">
        <v>0</v>
      </c>
      <c r="Q363" s="18">
        <f t="shared" si="36"/>
        <v>0</v>
      </c>
      <c r="R363">
        <v>0</v>
      </c>
      <c r="S363">
        <v>0</v>
      </c>
      <c r="T363">
        <v>0</v>
      </c>
      <c r="U363">
        <v>0</v>
      </c>
      <c r="V363" s="18">
        <f t="shared" si="31"/>
        <v>0</v>
      </c>
      <c r="W363" s="18">
        <f t="shared" si="35"/>
        <v>0</v>
      </c>
      <c r="X363" s="18">
        <v>0</v>
      </c>
      <c r="Y363" s="18">
        <v>0</v>
      </c>
    </row>
    <row r="364" spans="1:25" x14ac:dyDescent="0.2">
      <c r="A364" s="18">
        <v>6951</v>
      </c>
      <c r="C364" s="18">
        <v>0</v>
      </c>
      <c r="D364" s="18">
        <v>0</v>
      </c>
      <c r="E364" s="18">
        <v>0</v>
      </c>
      <c r="F364" s="18">
        <f t="shared" si="32"/>
        <v>0</v>
      </c>
      <c r="G364" s="18">
        <v>0</v>
      </c>
      <c r="H364" s="18">
        <v>0</v>
      </c>
      <c r="I364" s="18">
        <f t="shared" si="33"/>
        <v>0</v>
      </c>
      <c r="J364" s="18">
        <v>0</v>
      </c>
      <c r="K364" s="18">
        <v>0</v>
      </c>
      <c r="L364" s="18">
        <f t="shared" si="34"/>
        <v>0</v>
      </c>
      <c r="M364" s="18">
        <v>0</v>
      </c>
      <c r="N364" s="18">
        <v>0</v>
      </c>
      <c r="O364" s="18">
        <v>0</v>
      </c>
      <c r="P364" s="18">
        <v>0</v>
      </c>
      <c r="Q364" s="18">
        <f t="shared" si="36"/>
        <v>0</v>
      </c>
      <c r="R364">
        <v>0</v>
      </c>
      <c r="S364">
        <v>0</v>
      </c>
      <c r="T364">
        <v>0</v>
      </c>
      <c r="U364">
        <v>0</v>
      </c>
      <c r="V364" s="18">
        <f t="shared" si="31"/>
        <v>0</v>
      </c>
      <c r="W364" s="18">
        <f t="shared" si="35"/>
        <v>0</v>
      </c>
      <c r="X364" s="18">
        <v>0</v>
      </c>
      <c r="Y364" s="18">
        <v>0</v>
      </c>
    </row>
    <row r="365" spans="1:25" x14ac:dyDescent="0.2">
      <c r="A365" s="18">
        <v>6973</v>
      </c>
      <c r="C365" s="18">
        <v>0</v>
      </c>
      <c r="D365" s="18">
        <v>0.46066666666666667</v>
      </c>
      <c r="E365" s="18">
        <v>0</v>
      </c>
      <c r="F365" s="18">
        <f t="shared" si="32"/>
        <v>0.46066666666666667</v>
      </c>
      <c r="G365" s="18">
        <v>4.9396666666666667</v>
      </c>
      <c r="H365" s="18">
        <v>0.32878166666666664</v>
      </c>
      <c r="I365" s="18">
        <f t="shared" si="33"/>
        <v>5.2684483333333336</v>
      </c>
      <c r="J365" s="18">
        <v>0</v>
      </c>
      <c r="K365" s="18">
        <v>0</v>
      </c>
      <c r="L365" s="18">
        <f t="shared" si="34"/>
        <v>0</v>
      </c>
      <c r="M365" s="18">
        <v>0</v>
      </c>
      <c r="N365" s="18">
        <v>0.18966666666666668</v>
      </c>
      <c r="O365" s="18">
        <v>0</v>
      </c>
      <c r="P365" s="18">
        <v>0</v>
      </c>
      <c r="Q365" s="18">
        <f t="shared" si="36"/>
        <v>0.18966666666666668</v>
      </c>
      <c r="R365">
        <v>2.9666666666666668E-2</v>
      </c>
      <c r="S365">
        <v>0</v>
      </c>
      <c r="T365">
        <v>4.6666666666666662E-2</v>
      </c>
      <c r="U365">
        <v>0</v>
      </c>
      <c r="V365" s="18">
        <f t="shared" si="31"/>
        <v>0.18966666666666668</v>
      </c>
      <c r="W365" s="18">
        <f t="shared" si="35"/>
        <v>0</v>
      </c>
      <c r="X365" s="18">
        <v>0.49600000000000005</v>
      </c>
      <c r="Y365" s="18">
        <v>0</v>
      </c>
    </row>
    <row r="366" spans="1:25" x14ac:dyDescent="0.2">
      <c r="A366" s="18">
        <v>6960</v>
      </c>
      <c r="C366" s="18">
        <v>0</v>
      </c>
      <c r="D366" s="18">
        <v>0</v>
      </c>
      <c r="E366" s="18">
        <v>0</v>
      </c>
      <c r="F366" s="18">
        <f t="shared" si="32"/>
        <v>0</v>
      </c>
      <c r="G366" s="18">
        <v>0</v>
      </c>
      <c r="H366" s="18">
        <v>0</v>
      </c>
      <c r="I366" s="18">
        <f t="shared" si="33"/>
        <v>0</v>
      </c>
      <c r="J366" s="18">
        <v>0</v>
      </c>
      <c r="K366" s="18">
        <v>0</v>
      </c>
      <c r="L366" s="18">
        <f t="shared" si="34"/>
        <v>0</v>
      </c>
      <c r="M366" s="18">
        <v>0</v>
      </c>
      <c r="N366" s="18">
        <v>0</v>
      </c>
      <c r="O366" s="18">
        <v>0</v>
      </c>
      <c r="P366" s="18">
        <v>0</v>
      </c>
      <c r="Q366" s="18">
        <f t="shared" si="36"/>
        <v>0</v>
      </c>
      <c r="R366">
        <v>0</v>
      </c>
      <c r="S366">
        <v>0</v>
      </c>
      <c r="T366">
        <v>0</v>
      </c>
      <c r="U366">
        <v>0</v>
      </c>
      <c r="V366" s="18">
        <f t="shared" si="31"/>
        <v>0</v>
      </c>
      <c r="W366" s="18">
        <f t="shared" si="35"/>
        <v>0</v>
      </c>
      <c r="X366" s="18">
        <v>0</v>
      </c>
      <c r="Y366" s="18">
        <v>0</v>
      </c>
    </row>
    <row r="367" spans="1:25" x14ac:dyDescent="0.2">
      <c r="A367" s="18">
        <v>6975</v>
      </c>
      <c r="C367" s="18">
        <v>0</v>
      </c>
      <c r="D367" s="18">
        <v>0</v>
      </c>
      <c r="E367" s="18">
        <v>0</v>
      </c>
      <c r="F367" s="18">
        <f t="shared" si="32"/>
        <v>0</v>
      </c>
      <c r="G367" s="18">
        <v>0</v>
      </c>
      <c r="H367" s="18">
        <v>0.10820833333333332</v>
      </c>
      <c r="I367" s="18">
        <f t="shared" si="33"/>
        <v>0.10820833333333332</v>
      </c>
      <c r="J367" s="18">
        <v>0</v>
      </c>
      <c r="K367" s="18">
        <v>0</v>
      </c>
      <c r="L367" s="18">
        <f t="shared" si="34"/>
        <v>0</v>
      </c>
      <c r="M367" s="18">
        <v>0</v>
      </c>
      <c r="N367" s="18">
        <v>0</v>
      </c>
      <c r="O367" s="18">
        <v>0</v>
      </c>
      <c r="P367" s="18">
        <v>0</v>
      </c>
      <c r="Q367" s="18">
        <f t="shared" si="36"/>
        <v>0</v>
      </c>
      <c r="R367">
        <v>0</v>
      </c>
      <c r="S367">
        <v>0</v>
      </c>
      <c r="T367">
        <v>0</v>
      </c>
      <c r="U367">
        <v>0</v>
      </c>
      <c r="V367" s="18">
        <f t="shared" si="31"/>
        <v>0</v>
      </c>
      <c r="W367" s="18">
        <f t="shared" si="35"/>
        <v>0</v>
      </c>
      <c r="X367" s="18">
        <v>0</v>
      </c>
      <c r="Y367" s="18">
        <v>0</v>
      </c>
    </row>
    <row r="368" spans="1:25" x14ac:dyDescent="0.2">
      <c r="A368" s="18">
        <v>6952</v>
      </c>
      <c r="C368" s="18">
        <v>0</v>
      </c>
      <c r="D368" s="18">
        <v>0</v>
      </c>
      <c r="E368" s="18">
        <v>0</v>
      </c>
      <c r="F368" s="18">
        <f t="shared" si="32"/>
        <v>0</v>
      </c>
      <c r="G368" s="18">
        <v>0</v>
      </c>
      <c r="H368" s="18">
        <v>0</v>
      </c>
      <c r="I368" s="18">
        <f t="shared" si="33"/>
        <v>0</v>
      </c>
      <c r="J368" s="18">
        <v>0</v>
      </c>
      <c r="K368" s="18">
        <v>0</v>
      </c>
      <c r="L368" s="18">
        <f t="shared" si="34"/>
        <v>0</v>
      </c>
      <c r="M368" s="18">
        <v>0</v>
      </c>
      <c r="N368" s="18">
        <v>0</v>
      </c>
      <c r="O368" s="18">
        <v>0</v>
      </c>
      <c r="P368" s="18">
        <v>0</v>
      </c>
      <c r="Q368" s="18">
        <f t="shared" si="36"/>
        <v>0</v>
      </c>
      <c r="R368">
        <v>0</v>
      </c>
      <c r="S368">
        <v>0</v>
      </c>
      <c r="T368">
        <v>0</v>
      </c>
      <c r="U368">
        <v>0</v>
      </c>
      <c r="V368" s="18">
        <f t="shared" si="31"/>
        <v>0</v>
      </c>
      <c r="W368" s="18">
        <f t="shared" si="35"/>
        <v>0</v>
      </c>
      <c r="X368" s="18">
        <v>0</v>
      </c>
      <c r="Y368" s="18">
        <v>0</v>
      </c>
    </row>
    <row r="369" spans="1:25" x14ac:dyDescent="0.2">
      <c r="A369" s="18">
        <v>6983</v>
      </c>
      <c r="C369" s="18">
        <v>0</v>
      </c>
      <c r="D369" s="18">
        <v>0</v>
      </c>
      <c r="E369" s="18">
        <v>0</v>
      </c>
      <c r="F369" s="18">
        <f t="shared" si="32"/>
        <v>0</v>
      </c>
      <c r="G369" s="18">
        <v>0</v>
      </c>
      <c r="H369" s="18">
        <v>0</v>
      </c>
      <c r="I369" s="18">
        <f t="shared" si="33"/>
        <v>0</v>
      </c>
      <c r="J369" s="18">
        <v>0</v>
      </c>
      <c r="K369" s="18">
        <v>0</v>
      </c>
      <c r="L369" s="18">
        <f t="shared" si="34"/>
        <v>0</v>
      </c>
      <c r="M369" s="18">
        <v>0</v>
      </c>
      <c r="N369" s="18">
        <v>0</v>
      </c>
      <c r="O369" s="18">
        <v>0</v>
      </c>
      <c r="P369" s="18">
        <v>0</v>
      </c>
      <c r="Q369" s="18">
        <f t="shared" si="36"/>
        <v>0</v>
      </c>
      <c r="R369">
        <v>0</v>
      </c>
      <c r="S369">
        <v>0</v>
      </c>
      <c r="T369">
        <v>0</v>
      </c>
      <c r="U369">
        <v>0</v>
      </c>
      <c r="V369" s="18">
        <f t="shared" si="31"/>
        <v>0</v>
      </c>
      <c r="W369" s="18">
        <f t="shared" si="35"/>
        <v>0</v>
      </c>
      <c r="X369" s="18">
        <v>0</v>
      </c>
      <c r="Y369" s="18">
        <v>0</v>
      </c>
    </row>
    <row r="370" spans="1:25" x14ac:dyDescent="0.2">
      <c r="A370" s="18">
        <v>6979</v>
      </c>
      <c r="C370" s="18">
        <v>0</v>
      </c>
      <c r="D370" s="18">
        <v>0</v>
      </c>
      <c r="E370" s="18">
        <v>0</v>
      </c>
      <c r="F370" s="18">
        <f t="shared" si="32"/>
        <v>0</v>
      </c>
      <c r="G370" s="18">
        <v>0</v>
      </c>
      <c r="H370" s="18">
        <v>0</v>
      </c>
      <c r="I370" s="18">
        <f t="shared" si="33"/>
        <v>0</v>
      </c>
      <c r="J370" s="18">
        <v>0</v>
      </c>
      <c r="K370" s="18">
        <v>0</v>
      </c>
      <c r="L370" s="18">
        <f t="shared" si="34"/>
        <v>0</v>
      </c>
      <c r="M370" s="18">
        <v>0</v>
      </c>
      <c r="N370" s="18">
        <v>0</v>
      </c>
      <c r="O370" s="18">
        <v>0</v>
      </c>
      <c r="P370" s="18">
        <v>0</v>
      </c>
      <c r="Q370" s="18">
        <f t="shared" si="36"/>
        <v>0</v>
      </c>
      <c r="R370">
        <v>0</v>
      </c>
      <c r="S370">
        <v>0</v>
      </c>
      <c r="T370">
        <v>0</v>
      </c>
      <c r="U370">
        <v>0</v>
      </c>
      <c r="V370" s="18">
        <f t="shared" si="31"/>
        <v>0</v>
      </c>
      <c r="W370" s="18">
        <f t="shared" si="35"/>
        <v>0</v>
      </c>
      <c r="X370" s="18">
        <v>0</v>
      </c>
      <c r="Y370" s="18">
        <v>0</v>
      </c>
    </row>
    <row r="371" spans="1:25" x14ac:dyDescent="0.2">
      <c r="A371" s="18">
        <v>6993</v>
      </c>
      <c r="C371" s="18">
        <v>0</v>
      </c>
      <c r="D371" s="18">
        <v>0</v>
      </c>
      <c r="E371" s="18">
        <v>0</v>
      </c>
      <c r="F371" s="18">
        <f t="shared" si="32"/>
        <v>0</v>
      </c>
      <c r="G371" s="18">
        <v>0</v>
      </c>
      <c r="H371" s="18">
        <v>0</v>
      </c>
      <c r="I371" s="18">
        <f t="shared" si="33"/>
        <v>0</v>
      </c>
      <c r="J371" s="18">
        <v>0</v>
      </c>
      <c r="K371" s="18">
        <v>0</v>
      </c>
      <c r="L371" s="18">
        <f t="shared" si="34"/>
        <v>0</v>
      </c>
      <c r="M371" s="18">
        <v>0</v>
      </c>
      <c r="N371" s="18">
        <v>0</v>
      </c>
      <c r="O371" s="18">
        <v>0</v>
      </c>
      <c r="P371" s="18">
        <v>0</v>
      </c>
      <c r="Q371" s="18">
        <f t="shared" si="36"/>
        <v>0</v>
      </c>
      <c r="R371">
        <v>0</v>
      </c>
      <c r="S371">
        <v>0</v>
      </c>
      <c r="T371">
        <v>0</v>
      </c>
      <c r="U371">
        <v>0</v>
      </c>
      <c r="V371" s="18">
        <f t="shared" si="31"/>
        <v>0</v>
      </c>
      <c r="W371" s="18">
        <f t="shared" si="35"/>
        <v>0</v>
      </c>
      <c r="X371" s="18">
        <v>0</v>
      </c>
      <c r="Y371" s="18">
        <v>0</v>
      </c>
    </row>
    <row r="372" spans="1:25" x14ac:dyDescent="0.2">
      <c r="A372" s="18">
        <v>7010</v>
      </c>
      <c r="C372" s="18">
        <v>0</v>
      </c>
      <c r="D372" s="18">
        <v>0</v>
      </c>
      <c r="E372" s="18">
        <v>0</v>
      </c>
      <c r="F372" s="18">
        <f t="shared" si="32"/>
        <v>0</v>
      </c>
      <c r="G372" s="18">
        <v>0</v>
      </c>
      <c r="H372" s="18">
        <v>0</v>
      </c>
      <c r="I372" s="18">
        <f t="shared" si="33"/>
        <v>0</v>
      </c>
      <c r="J372" s="18">
        <v>0</v>
      </c>
      <c r="K372" s="18">
        <v>0</v>
      </c>
      <c r="L372" s="18">
        <f t="shared" si="34"/>
        <v>0</v>
      </c>
      <c r="M372" s="18">
        <v>0</v>
      </c>
      <c r="N372" s="18">
        <v>0</v>
      </c>
      <c r="O372" s="18">
        <v>0</v>
      </c>
      <c r="P372" s="18">
        <v>0</v>
      </c>
      <c r="Q372" s="18">
        <f t="shared" si="36"/>
        <v>0</v>
      </c>
      <c r="R372">
        <v>0</v>
      </c>
      <c r="S372">
        <v>0</v>
      </c>
      <c r="T372">
        <v>0</v>
      </c>
      <c r="U372">
        <v>0</v>
      </c>
      <c r="V372" s="18">
        <f t="shared" si="31"/>
        <v>0</v>
      </c>
      <c r="W372" s="18">
        <f t="shared" si="35"/>
        <v>0</v>
      </c>
      <c r="X372" s="18">
        <v>0</v>
      </c>
      <c r="Y372" s="18">
        <v>0</v>
      </c>
    </row>
    <row r="373" spans="1:25" x14ac:dyDescent="0.2">
      <c r="A373" s="18">
        <v>7015</v>
      </c>
      <c r="C373" s="18">
        <v>0</v>
      </c>
      <c r="D373" s="18">
        <v>0</v>
      </c>
      <c r="E373" s="18">
        <v>0</v>
      </c>
      <c r="F373" s="18">
        <f t="shared" si="32"/>
        <v>0</v>
      </c>
      <c r="G373" s="18">
        <v>0</v>
      </c>
      <c r="H373" s="18">
        <v>0</v>
      </c>
      <c r="I373" s="18">
        <f t="shared" si="33"/>
        <v>0</v>
      </c>
      <c r="J373" s="18">
        <v>0</v>
      </c>
      <c r="K373" s="18">
        <v>0</v>
      </c>
      <c r="L373" s="18">
        <f t="shared" si="34"/>
        <v>0</v>
      </c>
      <c r="M373" s="18">
        <v>0</v>
      </c>
      <c r="N373" s="18">
        <v>0</v>
      </c>
      <c r="O373" s="18">
        <v>0</v>
      </c>
      <c r="P373" s="18">
        <v>0</v>
      </c>
      <c r="Q373" s="18">
        <f t="shared" si="36"/>
        <v>0</v>
      </c>
      <c r="R373">
        <v>0</v>
      </c>
      <c r="S373">
        <v>0</v>
      </c>
      <c r="T373">
        <v>0</v>
      </c>
      <c r="U373">
        <v>0</v>
      </c>
      <c r="V373" s="18">
        <f t="shared" si="31"/>
        <v>0</v>
      </c>
      <c r="W373" s="18">
        <f t="shared" si="35"/>
        <v>0</v>
      </c>
      <c r="X373" s="18">
        <v>0</v>
      </c>
      <c r="Y373" s="18">
        <v>0</v>
      </c>
    </row>
    <row r="374" spans="1:25" x14ac:dyDescent="0.2">
      <c r="A374" s="18">
        <v>6972</v>
      </c>
      <c r="C374" s="18">
        <v>0</v>
      </c>
      <c r="D374" s="18">
        <v>0</v>
      </c>
      <c r="E374" s="18">
        <v>0</v>
      </c>
      <c r="F374" s="18">
        <f t="shared" si="32"/>
        <v>0</v>
      </c>
      <c r="G374" s="18">
        <v>0</v>
      </c>
      <c r="H374" s="18">
        <v>0</v>
      </c>
      <c r="I374" s="18">
        <f t="shared" si="33"/>
        <v>0</v>
      </c>
      <c r="J374" s="18">
        <v>0</v>
      </c>
      <c r="K374" s="18">
        <v>0</v>
      </c>
      <c r="L374" s="18">
        <f t="shared" si="34"/>
        <v>0</v>
      </c>
      <c r="M374" s="18">
        <v>0</v>
      </c>
      <c r="N374" s="18">
        <v>0</v>
      </c>
      <c r="O374" s="18">
        <v>0</v>
      </c>
      <c r="P374" s="18">
        <v>0</v>
      </c>
      <c r="Q374" s="18">
        <f t="shared" si="36"/>
        <v>0</v>
      </c>
      <c r="R374">
        <v>0</v>
      </c>
      <c r="S374">
        <v>0</v>
      </c>
      <c r="T374">
        <v>0</v>
      </c>
      <c r="U374">
        <v>0</v>
      </c>
      <c r="V374" s="18">
        <f t="shared" si="31"/>
        <v>0</v>
      </c>
      <c r="W374" s="18">
        <f t="shared" si="35"/>
        <v>0</v>
      </c>
      <c r="X374" s="18">
        <v>0</v>
      </c>
      <c r="Y374" s="18">
        <v>0</v>
      </c>
    </row>
    <row r="375" spans="1:25" x14ac:dyDescent="0.2">
      <c r="A375" s="18">
        <v>7022</v>
      </c>
      <c r="C375" s="18">
        <v>0</v>
      </c>
      <c r="D375" s="18">
        <v>0</v>
      </c>
      <c r="E375" s="18">
        <v>0</v>
      </c>
      <c r="F375" s="18">
        <f t="shared" si="32"/>
        <v>0</v>
      </c>
      <c r="G375" s="18">
        <v>0</v>
      </c>
      <c r="H375" s="18">
        <v>0</v>
      </c>
      <c r="I375" s="18">
        <f t="shared" si="33"/>
        <v>0</v>
      </c>
      <c r="J375" s="18">
        <v>0</v>
      </c>
      <c r="K375" s="18">
        <v>0</v>
      </c>
      <c r="L375" s="18">
        <f t="shared" si="34"/>
        <v>0</v>
      </c>
      <c r="M375" s="18">
        <v>0</v>
      </c>
      <c r="N375" s="18">
        <v>0</v>
      </c>
      <c r="O375" s="18">
        <v>0</v>
      </c>
      <c r="P375" s="18">
        <v>0</v>
      </c>
      <c r="Q375" s="18">
        <f t="shared" si="36"/>
        <v>0</v>
      </c>
      <c r="R375">
        <v>0</v>
      </c>
      <c r="S375">
        <v>0</v>
      </c>
      <c r="T375">
        <v>0</v>
      </c>
      <c r="U375">
        <v>0</v>
      </c>
      <c r="V375" s="18">
        <f t="shared" si="31"/>
        <v>0</v>
      </c>
      <c r="W375" s="18">
        <f t="shared" si="35"/>
        <v>0</v>
      </c>
      <c r="X375" s="18">
        <v>0</v>
      </c>
      <c r="Y375" s="18">
        <v>0</v>
      </c>
    </row>
    <row r="376" spans="1:25" x14ac:dyDescent="0.2">
      <c r="A376" s="18">
        <v>7030</v>
      </c>
      <c r="C376" s="18">
        <v>0</v>
      </c>
      <c r="D376" s="18">
        <v>0</v>
      </c>
      <c r="E376" s="18">
        <v>0</v>
      </c>
      <c r="F376" s="18">
        <f t="shared" si="32"/>
        <v>0</v>
      </c>
      <c r="G376" s="18">
        <v>0</v>
      </c>
      <c r="H376" s="18">
        <v>0</v>
      </c>
      <c r="I376" s="18">
        <f t="shared" si="33"/>
        <v>0</v>
      </c>
      <c r="J376" s="18">
        <v>0</v>
      </c>
      <c r="K376" s="18">
        <v>0</v>
      </c>
      <c r="L376" s="18">
        <f t="shared" si="34"/>
        <v>0</v>
      </c>
      <c r="M376" s="18">
        <v>0</v>
      </c>
      <c r="N376" s="18">
        <v>0</v>
      </c>
      <c r="O376" s="18">
        <v>0</v>
      </c>
      <c r="P376" s="18">
        <v>0</v>
      </c>
      <c r="Q376" s="18">
        <f t="shared" si="36"/>
        <v>0</v>
      </c>
      <c r="R376">
        <v>0</v>
      </c>
      <c r="S376">
        <v>0</v>
      </c>
      <c r="T376">
        <v>0</v>
      </c>
      <c r="U376">
        <v>0</v>
      </c>
      <c r="V376" s="18">
        <f t="shared" si="31"/>
        <v>0</v>
      </c>
      <c r="W376" s="18">
        <f t="shared" si="35"/>
        <v>0</v>
      </c>
      <c r="X376" s="18">
        <v>0</v>
      </c>
      <c r="Y376" s="18">
        <v>0</v>
      </c>
    </row>
    <row r="377" spans="1:25" x14ac:dyDescent="0.2">
      <c r="A377" s="18">
        <v>7034</v>
      </c>
      <c r="C377" s="18">
        <v>0</v>
      </c>
      <c r="D377" s="18">
        <v>0</v>
      </c>
      <c r="E377" s="18">
        <v>0</v>
      </c>
      <c r="F377" s="18">
        <f t="shared" si="32"/>
        <v>0</v>
      </c>
      <c r="G377" s="18">
        <v>0</v>
      </c>
      <c r="H377" s="18">
        <v>0</v>
      </c>
      <c r="I377" s="18">
        <f t="shared" si="33"/>
        <v>0</v>
      </c>
      <c r="J377" s="18">
        <v>0</v>
      </c>
      <c r="K377" s="18">
        <v>0</v>
      </c>
      <c r="L377" s="18">
        <f t="shared" si="34"/>
        <v>0</v>
      </c>
      <c r="M377" s="18">
        <v>0</v>
      </c>
      <c r="N377" s="18">
        <v>0</v>
      </c>
      <c r="O377" s="18">
        <v>0</v>
      </c>
      <c r="P377" s="18">
        <v>0</v>
      </c>
      <c r="Q377" s="18">
        <f t="shared" si="36"/>
        <v>0</v>
      </c>
      <c r="R377">
        <v>0</v>
      </c>
      <c r="S377">
        <v>0</v>
      </c>
      <c r="T377">
        <v>0</v>
      </c>
      <c r="U377">
        <v>0</v>
      </c>
      <c r="V377" s="18">
        <f t="shared" si="31"/>
        <v>0</v>
      </c>
      <c r="W377" s="18">
        <f t="shared" si="35"/>
        <v>0</v>
      </c>
      <c r="X377" s="18">
        <v>0</v>
      </c>
      <c r="Y377" s="18">
        <v>0</v>
      </c>
    </row>
    <row r="378" spans="1:25" x14ac:dyDescent="0.2">
      <c r="A378" s="18">
        <v>7037</v>
      </c>
      <c r="C378" s="18">
        <v>0</v>
      </c>
      <c r="D378" s="18">
        <v>0</v>
      </c>
      <c r="E378" s="18">
        <v>0</v>
      </c>
      <c r="F378" s="18">
        <f t="shared" si="32"/>
        <v>0</v>
      </c>
      <c r="G378" s="18">
        <v>0</v>
      </c>
      <c r="H378" s="18">
        <v>0</v>
      </c>
      <c r="I378" s="18">
        <f t="shared" si="33"/>
        <v>0</v>
      </c>
      <c r="J378" s="18">
        <v>0</v>
      </c>
      <c r="K378" s="18">
        <v>0</v>
      </c>
      <c r="L378" s="18">
        <f t="shared" si="34"/>
        <v>0</v>
      </c>
      <c r="M378" s="18">
        <v>0</v>
      </c>
      <c r="N378" s="18">
        <v>0</v>
      </c>
      <c r="O378" s="18">
        <v>0</v>
      </c>
      <c r="P378" s="18">
        <v>0</v>
      </c>
      <c r="Q378" s="18">
        <f t="shared" si="36"/>
        <v>0</v>
      </c>
      <c r="R378">
        <v>0</v>
      </c>
      <c r="S378">
        <v>0</v>
      </c>
      <c r="T378">
        <v>0</v>
      </c>
      <c r="U378">
        <v>0</v>
      </c>
      <c r="V378" s="18">
        <f t="shared" si="31"/>
        <v>0</v>
      </c>
      <c r="W378" s="18">
        <f t="shared" si="35"/>
        <v>0</v>
      </c>
      <c r="X378" s="18">
        <v>0</v>
      </c>
      <c r="Y378" s="18">
        <v>0</v>
      </c>
    </row>
    <row r="379" spans="1:25" x14ac:dyDescent="0.2">
      <c r="A379" s="18">
        <v>7092</v>
      </c>
      <c r="C379" s="18">
        <v>0</v>
      </c>
      <c r="D379" s="18">
        <v>0</v>
      </c>
      <c r="E379" s="18">
        <v>0</v>
      </c>
      <c r="F379" s="18">
        <f t="shared" si="32"/>
        <v>0</v>
      </c>
      <c r="G379" s="18">
        <v>0</v>
      </c>
      <c r="H379" s="18">
        <v>0</v>
      </c>
      <c r="I379" s="18">
        <f t="shared" si="33"/>
        <v>0</v>
      </c>
      <c r="J379" s="18">
        <v>0</v>
      </c>
      <c r="K379" s="18">
        <v>0</v>
      </c>
      <c r="L379" s="18">
        <f t="shared" si="34"/>
        <v>0</v>
      </c>
      <c r="M379" s="18">
        <v>0</v>
      </c>
      <c r="N379" s="18">
        <v>0</v>
      </c>
      <c r="O379" s="18">
        <v>0</v>
      </c>
      <c r="P379" s="18">
        <v>0</v>
      </c>
      <c r="Q379" s="18">
        <f t="shared" si="36"/>
        <v>0</v>
      </c>
      <c r="R379">
        <v>0</v>
      </c>
      <c r="S379">
        <v>0</v>
      </c>
      <c r="T379">
        <v>0</v>
      </c>
      <c r="U379">
        <v>0</v>
      </c>
      <c r="V379" s="18">
        <f t="shared" si="31"/>
        <v>0</v>
      </c>
      <c r="W379" s="18">
        <f t="shared" si="35"/>
        <v>0</v>
      </c>
      <c r="X379" s="18">
        <v>0</v>
      </c>
      <c r="Y379" s="18">
        <v>0</v>
      </c>
    </row>
    <row r="380" spans="1:25" x14ac:dyDescent="0.2">
      <c r="A380" s="18" t="s">
        <v>383</v>
      </c>
      <c r="C380" s="18">
        <v>0</v>
      </c>
      <c r="D380" s="18">
        <v>0</v>
      </c>
      <c r="E380" s="18">
        <v>0</v>
      </c>
      <c r="F380" s="18">
        <f t="shared" si="32"/>
        <v>0</v>
      </c>
      <c r="G380" s="18">
        <v>0</v>
      </c>
      <c r="H380" s="18">
        <v>0</v>
      </c>
      <c r="I380" s="18">
        <f t="shared" si="33"/>
        <v>0</v>
      </c>
      <c r="J380" s="18">
        <v>0</v>
      </c>
      <c r="K380" s="18">
        <v>0</v>
      </c>
      <c r="L380" s="18">
        <f t="shared" si="34"/>
        <v>0</v>
      </c>
      <c r="M380" s="18">
        <v>0</v>
      </c>
      <c r="N380" s="18">
        <v>0</v>
      </c>
      <c r="O380" s="18">
        <v>0</v>
      </c>
      <c r="P380" s="18">
        <v>0</v>
      </c>
      <c r="Q380" s="18">
        <f t="shared" si="36"/>
        <v>0</v>
      </c>
      <c r="R380">
        <v>0</v>
      </c>
      <c r="S380">
        <v>0</v>
      </c>
      <c r="T380">
        <v>0</v>
      </c>
      <c r="U380">
        <v>0</v>
      </c>
      <c r="V380" s="18">
        <f t="shared" si="31"/>
        <v>0</v>
      </c>
      <c r="W380" s="18">
        <f t="shared" si="35"/>
        <v>0</v>
      </c>
      <c r="X380" s="18">
        <v>0</v>
      </c>
      <c r="Y380" s="18">
        <v>0</v>
      </c>
    </row>
    <row r="381" spans="1:25" x14ac:dyDescent="0.2">
      <c r="A381" s="18">
        <v>7051</v>
      </c>
      <c r="C381" s="18">
        <v>0</v>
      </c>
      <c r="D381" s="18">
        <v>0</v>
      </c>
      <c r="E381" s="18">
        <v>0</v>
      </c>
      <c r="F381" s="18">
        <f t="shared" si="32"/>
        <v>0</v>
      </c>
      <c r="G381" s="18">
        <v>0</v>
      </c>
      <c r="H381" s="18">
        <v>0</v>
      </c>
      <c r="I381" s="18">
        <f t="shared" si="33"/>
        <v>0</v>
      </c>
      <c r="J381" s="18">
        <v>0</v>
      </c>
      <c r="K381" s="18">
        <v>0</v>
      </c>
      <c r="L381" s="18">
        <f t="shared" si="34"/>
        <v>0</v>
      </c>
      <c r="M381" s="18">
        <v>0</v>
      </c>
      <c r="N381" s="18">
        <v>0</v>
      </c>
      <c r="O381" s="18">
        <v>0</v>
      </c>
      <c r="P381" s="18">
        <v>0</v>
      </c>
      <c r="Q381" s="18">
        <f t="shared" si="36"/>
        <v>0</v>
      </c>
      <c r="R381">
        <v>0</v>
      </c>
      <c r="S381">
        <v>0</v>
      </c>
      <c r="T381">
        <v>0</v>
      </c>
      <c r="U381">
        <v>0</v>
      </c>
      <c r="V381" s="18">
        <f t="shared" si="31"/>
        <v>0</v>
      </c>
      <c r="W381" s="18">
        <f t="shared" si="35"/>
        <v>0</v>
      </c>
      <c r="X381" s="18">
        <v>0</v>
      </c>
      <c r="Y381" s="18">
        <v>0</v>
      </c>
    </row>
    <row r="382" spans="1:25" x14ac:dyDescent="0.2">
      <c r="A382" s="18">
        <v>7055</v>
      </c>
      <c r="C382" s="18">
        <v>0</v>
      </c>
      <c r="D382" s="18">
        <v>0</v>
      </c>
      <c r="E382" s="18">
        <v>0</v>
      </c>
      <c r="F382" s="18">
        <f t="shared" si="32"/>
        <v>0</v>
      </c>
      <c r="G382" s="18">
        <v>0</v>
      </c>
      <c r="H382" s="18">
        <v>0</v>
      </c>
      <c r="I382" s="18">
        <f t="shared" si="33"/>
        <v>0</v>
      </c>
      <c r="J382" s="18">
        <v>0</v>
      </c>
      <c r="K382" s="18">
        <v>0</v>
      </c>
      <c r="L382" s="18">
        <f t="shared" si="34"/>
        <v>0</v>
      </c>
      <c r="M382" s="18">
        <v>0</v>
      </c>
      <c r="N382" s="18">
        <v>0</v>
      </c>
      <c r="O382" s="18">
        <v>0</v>
      </c>
      <c r="P382" s="18">
        <v>0</v>
      </c>
      <c r="Q382" s="18">
        <f t="shared" si="36"/>
        <v>0</v>
      </c>
      <c r="R382">
        <v>0</v>
      </c>
      <c r="S382">
        <v>0</v>
      </c>
      <c r="T382">
        <v>0</v>
      </c>
      <c r="U382">
        <v>0</v>
      </c>
      <c r="V382" s="18">
        <f t="shared" si="31"/>
        <v>0</v>
      </c>
      <c r="W382" s="18">
        <f t="shared" si="35"/>
        <v>0</v>
      </c>
      <c r="X382" s="18">
        <v>0</v>
      </c>
      <c r="Y382" s="18">
        <v>0</v>
      </c>
    </row>
    <row r="383" spans="1:25" x14ac:dyDescent="0.2">
      <c r="A383" s="18">
        <v>7053</v>
      </c>
      <c r="C383" s="18">
        <v>0</v>
      </c>
      <c r="D383" s="18">
        <v>0</v>
      </c>
      <c r="E383" s="18">
        <v>0</v>
      </c>
      <c r="F383" s="18">
        <f t="shared" si="32"/>
        <v>0</v>
      </c>
      <c r="G383" s="18">
        <v>0</v>
      </c>
      <c r="H383" s="18">
        <v>0</v>
      </c>
      <c r="I383" s="18">
        <f t="shared" si="33"/>
        <v>0</v>
      </c>
      <c r="J383" s="18">
        <v>0</v>
      </c>
      <c r="K383" s="18">
        <v>0</v>
      </c>
      <c r="L383" s="18">
        <f t="shared" si="34"/>
        <v>0</v>
      </c>
      <c r="M383" s="18">
        <v>0</v>
      </c>
      <c r="N383" s="18">
        <v>0</v>
      </c>
      <c r="O383" s="18">
        <v>0</v>
      </c>
      <c r="P383" s="18">
        <v>0</v>
      </c>
      <c r="Q383" s="18">
        <f t="shared" si="36"/>
        <v>0</v>
      </c>
      <c r="R383">
        <v>0</v>
      </c>
      <c r="S383">
        <v>0</v>
      </c>
      <c r="T383">
        <v>0</v>
      </c>
      <c r="U383">
        <v>0</v>
      </c>
      <c r="V383" s="18">
        <f t="shared" si="31"/>
        <v>0</v>
      </c>
      <c r="W383" s="18">
        <f t="shared" si="35"/>
        <v>0</v>
      </c>
      <c r="X383" s="18">
        <v>0</v>
      </c>
      <c r="Y383" s="18">
        <v>0</v>
      </c>
    </row>
    <row r="384" spans="1:25" x14ac:dyDescent="0.2">
      <c r="A384" s="18">
        <v>7062</v>
      </c>
      <c r="C384" s="18">
        <v>0</v>
      </c>
      <c r="D384" s="18">
        <v>0</v>
      </c>
      <c r="E384" s="18">
        <v>0</v>
      </c>
      <c r="F384" s="18">
        <f t="shared" si="32"/>
        <v>0</v>
      </c>
      <c r="G384" s="18">
        <v>0</v>
      </c>
      <c r="H384" s="18">
        <v>0</v>
      </c>
      <c r="I384" s="18">
        <f t="shared" si="33"/>
        <v>0</v>
      </c>
      <c r="J384" s="18">
        <v>0</v>
      </c>
      <c r="K384" s="18">
        <v>0</v>
      </c>
      <c r="L384" s="18">
        <f t="shared" si="34"/>
        <v>0</v>
      </c>
      <c r="M384" s="18">
        <v>0</v>
      </c>
      <c r="N384" s="18">
        <v>0</v>
      </c>
      <c r="O384" s="18">
        <v>0</v>
      </c>
      <c r="P384" s="18">
        <v>0</v>
      </c>
      <c r="Q384" s="18">
        <f t="shared" si="36"/>
        <v>0</v>
      </c>
      <c r="R384">
        <v>0</v>
      </c>
      <c r="S384">
        <v>0</v>
      </c>
      <c r="T384">
        <v>0</v>
      </c>
      <c r="U384">
        <v>0</v>
      </c>
      <c r="V384" s="18">
        <f t="shared" si="31"/>
        <v>0</v>
      </c>
      <c r="W384" s="18">
        <f t="shared" si="35"/>
        <v>0</v>
      </c>
      <c r="X384" s="18">
        <v>0</v>
      </c>
      <c r="Y384" s="18">
        <v>0</v>
      </c>
    </row>
    <row r="385" spans="1:25" x14ac:dyDescent="0.2">
      <c r="A385" s="18">
        <v>6773</v>
      </c>
      <c r="C385" s="18">
        <v>137.58050833333334</v>
      </c>
      <c r="D385" s="18">
        <v>100.92433333333334</v>
      </c>
      <c r="E385" s="18">
        <v>160.88252033166501</v>
      </c>
      <c r="F385" s="18">
        <f t="shared" si="32"/>
        <v>261.80685366499836</v>
      </c>
      <c r="G385" s="18">
        <v>356.20383333333342</v>
      </c>
      <c r="H385" s="18">
        <v>142.14512816666667</v>
      </c>
      <c r="I385" s="18">
        <f t="shared" si="33"/>
        <v>498.34896150000009</v>
      </c>
      <c r="J385" s="18">
        <v>23.290666666666667</v>
      </c>
      <c r="K385" s="18">
        <v>10.858083333333333</v>
      </c>
      <c r="L385" s="18">
        <f t="shared" si="34"/>
        <v>34.14875</v>
      </c>
      <c r="M385" s="18">
        <v>0</v>
      </c>
      <c r="N385" s="18">
        <v>84.642666666666656</v>
      </c>
      <c r="O385" s="18">
        <v>2.8</v>
      </c>
      <c r="P385" s="18">
        <v>0</v>
      </c>
      <c r="Q385" s="18">
        <f t="shared" si="36"/>
        <v>87.442666666666653</v>
      </c>
      <c r="R385">
        <v>62.344000000000001</v>
      </c>
      <c r="S385">
        <v>30.404166666666669</v>
      </c>
      <c r="T385">
        <v>307.03133333333329</v>
      </c>
      <c r="U385">
        <v>64.524833333333333</v>
      </c>
      <c r="V385" s="18">
        <f t="shared" si="31"/>
        <v>84.642666666666656</v>
      </c>
      <c r="W385" s="18">
        <f t="shared" si="35"/>
        <v>2.8</v>
      </c>
      <c r="X385" s="18">
        <v>209.65933333333328</v>
      </c>
      <c r="Y385" s="18">
        <v>2.2803333333333335</v>
      </c>
    </row>
    <row r="386" spans="1:25" x14ac:dyDescent="0.2">
      <c r="A386" s="18">
        <v>6649</v>
      </c>
      <c r="C386" s="18">
        <v>0</v>
      </c>
      <c r="D386" s="18">
        <v>0</v>
      </c>
      <c r="E386" s="18">
        <v>0</v>
      </c>
      <c r="F386" s="18">
        <f t="shared" si="32"/>
        <v>0</v>
      </c>
      <c r="G386" s="18">
        <v>0</v>
      </c>
      <c r="H386" s="18">
        <v>0</v>
      </c>
      <c r="I386" s="18">
        <f t="shared" si="33"/>
        <v>0</v>
      </c>
      <c r="J386" s="18">
        <v>0</v>
      </c>
      <c r="K386" s="18">
        <v>0</v>
      </c>
      <c r="L386" s="18">
        <f t="shared" si="34"/>
        <v>0</v>
      </c>
      <c r="M386" s="18">
        <v>0</v>
      </c>
      <c r="N386" s="18">
        <v>0</v>
      </c>
      <c r="O386" s="18">
        <v>0</v>
      </c>
      <c r="P386" s="18">
        <v>0</v>
      </c>
      <c r="Q386" s="18">
        <f t="shared" si="36"/>
        <v>0</v>
      </c>
      <c r="R386">
        <v>0</v>
      </c>
      <c r="S386">
        <v>0</v>
      </c>
      <c r="T386">
        <v>0</v>
      </c>
      <c r="U386">
        <v>0</v>
      </c>
      <c r="V386" s="18">
        <f t="shared" si="31"/>
        <v>0</v>
      </c>
      <c r="W386" s="18">
        <f t="shared" si="35"/>
        <v>0</v>
      </c>
      <c r="X386" s="18">
        <v>0</v>
      </c>
      <c r="Y386" s="18">
        <v>0</v>
      </c>
    </row>
    <row r="387" spans="1:25" x14ac:dyDescent="0.2">
      <c r="A387" s="18">
        <v>7021</v>
      </c>
      <c r="C387" s="18">
        <v>0</v>
      </c>
      <c r="D387" s="18">
        <v>0</v>
      </c>
      <c r="E387" s="18">
        <v>0</v>
      </c>
      <c r="F387" s="18">
        <f t="shared" si="32"/>
        <v>0</v>
      </c>
      <c r="G387" s="18">
        <v>0</v>
      </c>
      <c r="H387" s="18">
        <v>0</v>
      </c>
      <c r="I387" s="18">
        <f t="shared" si="33"/>
        <v>0</v>
      </c>
      <c r="J387" s="18">
        <v>0</v>
      </c>
      <c r="K387" s="18">
        <v>0</v>
      </c>
      <c r="L387" s="18">
        <f t="shared" si="34"/>
        <v>0</v>
      </c>
      <c r="M387" s="18">
        <v>0</v>
      </c>
      <c r="N387" s="18">
        <v>0</v>
      </c>
      <c r="O387" s="18">
        <v>0</v>
      </c>
      <c r="P387" s="18">
        <v>0</v>
      </c>
      <c r="Q387" s="18">
        <f t="shared" si="36"/>
        <v>0</v>
      </c>
      <c r="R387">
        <v>0</v>
      </c>
      <c r="S387">
        <v>0</v>
      </c>
      <c r="T387">
        <v>0</v>
      </c>
      <c r="U387">
        <v>0</v>
      </c>
      <c r="V387" s="18">
        <f t="shared" si="31"/>
        <v>0</v>
      </c>
      <c r="W387" s="18">
        <f t="shared" si="35"/>
        <v>0</v>
      </c>
      <c r="X387" s="18">
        <v>0</v>
      </c>
      <c r="Y387" s="18">
        <v>0</v>
      </c>
    </row>
    <row r="388" spans="1:25" x14ac:dyDescent="0.2">
      <c r="A388" s="18">
        <v>7088</v>
      </c>
      <c r="C388" s="18">
        <v>0</v>
      </c>
      <c r="D388" s="18">
        <v>0</v>
      </c>
      <c r="E388" s="18">
        <v>0</v>
      </c>
      <c r="F388" s="18">
        <f t="shared" si="32"/>
        <v>0</v>
      </c>
      <c r="G388" s="18">
        <v>0</v>
      </c>
      <c r="H388" s="18">
        <v>0</v>
      </c>
      <c r="I388" s="18">
        <f t="shared" si="33"/>
        <v>0</v>
      </c>
      <c r="J388" s="18">
        <v>0</v>
      </c>
      <c r="K388" s="18">
        <v>0</v>
      </c>
      <c r="L388" s="18">
        <f t="shared" si="34"/>
        <v>0</v>
      </c>
      <c r="M388" s="18">
        <v>0</v>
      </c>
      <c r="N388" s="18">
        <v>0</v>
      </c>
      <c r="O388" s="18">
        <v>0</v>
      </c>
      <c r="P388" s="18">
        <v>0</v>
      </c>
      <c r="Q388" s="18">
        <f t="shared" si="36"/>
        <v>0</v>
      </c>
      <c r="R388">
        <v>0</v>
      </c>
      <c r="S388">
        <v>0</v>
      </c>
      <c r="T388">
        <v>0</v>
      </c>
      <c r="U388">
        <v>0</v>
      </c>
      <c r="V388" s="18">
        <f t="shared" ref="V388:V451" si="37">M388+N388</f>
        <v>0</v>
      </c>
      <c r="W388" s="18">
        <f t="shared" si="35"/>
        <v>0</v>
      </c>
      <c r="X388" s="18">
        <v>0</v>
      </c>
      <c r="Y388" s="18">
        <v>0</v>
      </c>
    </row>
    <row r="389" spans="1:25" x14ac:dyDescent="0.2">
      <c r="A389" s="18">
        <v>6997</v>
      </c>
      <c r="C389" s="18">
        <v>0</v>
      </c>
      <c r="D389" s="18">
        <v>0</v>
      </c>
      <c r="E389" s="18">
        <v>0</v>
      </c>
      <c r="F389" s="18">
        <f t="shared" ref="F389:F452" si="38">SUM(D389:E389)</f>
        <v>0</v>
      </c>
      <c r="G389" s="18">
        <v>0</v>
      </c>
      <c r="H389" s="18">
        <v>0</v>
      </c>
      <c r="I389" s="18">
        <f t="shared" ref="I389:I452" si="39">SUM(G389:H389)</f>
        <v>0</v>
      </c>
      <c r="J389" s="18">
        <v>0</v>
      </c>
      <c r="K389" s="18">
        <v>0</v>
      </c>
      <c r="L389" s="18">
        <f t="shared" ref="L389:L452" si="40">SUM(J389:K389)</f>
        <v>0</v>
      </c>
      <c r="M389" s="18">
        <v>0</v>
      </c>
      <c r="N389" s="18">
        <v>0</v>
      </c>
      <c r="O389" s="18">
        <v>0</v>
      </c>
      <c r="P389" s="18">
        <v>0</v>
      </c>
      <c r="Q389" s="18">
        <f t="shared" si="36"/>
        <v>0</v>
      </c>
      <c r="R389">
        <v>0</v>
      </c>
      <c r="S389">
        <v>0</v>
      </c>
      <c r="T389">
        <v>0</v>
      </c>
      <c r="U389">
        <v>0</v>
      </c>
      <c r="V389" s="18">
        <f t="shared" si="37"/>
        <v>0</v>
      </c>
      <c r="W389" s="18">
        <f t="shared" ref="W389:W452" si="41">O389+P389</f>
        <v>0</v>
      </c>
      <c r="X389" s="18">
        <v>0</v>
      </c>
      <c r="Y389" s="18">
        <v>0</v>
      </c>
    </row>
    <row r="390" spans="1:25" x14ac:dyDescent="0.2">
      <c r="A390" s="18">
        <v>7049</v>
      </c>
      <c r="C390" s="18">
        <v>0</v>
      </c>
      <c r="D390" s="18">
        <v>0</v>
      </c>
      <c r="E390" s="18">
        <v>0</v>
      </c>
      <c r="F390" s="18">
        <f t="shared" si="38"/>
        <v>0</v>
      </c>
      <c r="G390" s="18">
        <v>0</v>
      </c>
      <c r="H390" s="18">
        <v>0</v>
      </c>
      <c r="I390" s="18">
        <f t="shared" si="39"/>
        <v>0</v>
      </c>
      <c r="J390" s="18">
        <v>0</v>
      </c>
      <c r="K390" s="18">
        <v>0</v>
      </c>
      <c r="L390" s="18">
        <f t="shared" si="40"/>
        <v>0</v>
      </c>
      <c r="M390" s="18">
        <v>0</v>
      </c>
      <c r="N390" s="18">
        <v>0</v>
      </c>
      <c r="O390" s="18">
        <v>0</v>
      </c>
      <c r="P390" s="18">
        <v>0</v>
      </c>
      <c r="Q390" s="18">
        <f t="shared" si="36"/>
        <v>0</v>
      </c>
      <c r="R390">
        <v>0</v>
      </c>
      <c r="S390">
        <v>0</v>
      </c>
      <c r="T390">
        <v>0</v>
      </c>
      <c r="U390">
        <v>0</v>
      </c>
      <c r="V390" s="18">
        <f t="shared" si="37"/>
        <v>0</v>
      </c>
      <c r="W390" s="18">
        <f t="shared" si="41"/>
        <v>0</v>
      </c>
      <c r="X390" s="18">
        <v>0</v>
      </c>
      <c r="Y390" s="18">
        <v>0</v>
      </c>
    </row>
    <row r="391" spans="1:25" x14ac:dyDescent="0.2">
      <c r="A391" s="18">
        <v>7096</v>
      </c>
      <c r="C391" s="18">
        <v>0</v>
      </c>
      <c r="D391" s="18">
        <v>0</v>
      </c>
      <c r="E391" s="18">
        <v>0</v>
      </c>
      <c r="F391" s="18">
        <f t="shared" si="38"/>
        <v>0</v>
      </c>
      <c r="G391" s="18">
        <v>0</v>
      </c>
      <c r="H391" s="18">
        <v>0</v>
      </c>
      <c r="I391" s="18">
        <f t="shared" si="39"/>
        <v>0</v>
      </c>
      <c r="J391" s="18">
        <v>0</v>
      </c>
      <c r="K391" s="18">
        <v>0</v>
      </c>
      <c r="L391" s="18">
        <f t="shared" si="40"/>
        <v>0</v>
      </c>
      <c r="M391" s="18">
        <v>0</v>
      </c>
      <c r="N391" s="18">
        <v>0</v>
      </c>
      <c r="O391" s="18">
        <v>0</v>
      </c>
      <c r="P391" s="18">
        <v>0</v>
      </c>
      <c r="Q391" s="18">
        <f t="shared" si="36"/>
        <v>0</v>
      </c>
      <c r="R391">
        <v>0</v>
      </c>
      <c r="S391">
        <v>0</v>
      </c>
      <c r="T391">
        <v>0</v>
      </c>
      <c r="U391">
        <v>0</v>
      </c>
      <c r="V391" s="18">
        <f t="shared" si="37"/>
        <v>0</v>
      </c>
      <c r="W391" s="18">
        <f t="shared" si="41"/>
        <v>0</v>
      </c>
      <c r="X391" s="18">
        <v>0</v>
      </c>
      <c r="Y391" s="18">
        <v>0</v>
      </c>
    </row>
    <row r="392" spans="1:25" x14ac:dyDescent="0.2">
      <c r="A392" s="18">
        <v>7136</v>
      </c>
      <c r="C392" s="18">
        <v>0</v>
      </c>
      <c r="D392" s="18">
        <v>0</v>
      </c>
      <c r="E392" s="18">
        <v>0</v>
      </c>
      <c r="F392" s="18">
        <f t="shared" si="38"/>
        <v>0</v>
      </c>
      <c r="G392" s="18">
        <v>0</v>
      </c>
      <c r="H392" s="18">
        <v>0</v>
      </c>
      <c r="I392" s="18">
        <f t="shared" si="39"/>
        <v>0</v>
      </c>
      <c r="J392" s="18">
        <v>0</v>
      </c>
      <c r="K392" s="18">
        <v>0</v>
      </c>
      <c r="L392" s="18">
        <f t="shared" si="40"/>
        <v>0</v>
      </c>
      <c r="M392" s="18">
        <v>0</v>
      </c>
      <c r="N392" s="18">
        <v>0</v>
      </c>
      <c r="O392" s="18">
        <v>0</v>
      </c>
      <c r="P392" s="18">
        <v>0</v>
      </c>
      <c r="Q392" s="18">
        <f t="shared" si="36"/>
        <v>0</v>
      </c>
      <c r="R392">
        <v>0</v>
      </c>
      <c r="S392">
        <v>0</v>
      </c>
      <c r="T392">
        <v>0</v>
      </c>
      <c r="U392">
        <v>0</v>
      </c>
      <c r="V392" s="18">
        <f t="shared" si="37"/>
        <v>0</v>
      </c>
      <c r="W392" s="18">
        <f t="shared" si="41"/>
        <v>0</v>
      </c>
      <c r="X392" s="18">
        <v>0</v>
      </c>
      <c r="Y392" s="18">
        <v>0</v>
      </c>
    </row>
    <row r="393" spans="1:25" x14ac:dyDescent="0.2">
      <c r="A393" s="18">
        <v>7117</v>
      </c>
      <c r="C393" s="18">
        <v>0</v>
      </c>
      <c r="D393" s="18">
        <v>0</v>
      </c>
      <c r="E393" s="18">
        <v>0</v>
      </c>
      <c r="F393" s="18">
        <f t="shared" si="38"/>
        <v>0</v>
      </c>
      <c r="G393" s="18">
        <v>0</v>
      </c>
      <c r="H393" s="18">
        <v>0</v>
      </c>
      <c r="I393" s="18">
        <f t="shared" si="39"/>
        <v>0</v>
      </c>
      <c r="J393" s="18">
        <v>0</v>
      </c>
      <c r="K393" s="18">
        <v>0</v>
      </c>
      <c r="L393" s="18">
        <f t="shared" si="40"/>
        <v>0</v>
      </c>
      <c r="M393" s="18">
        <v>0</v>
      </c>
      <c r="N393" s="18">
        <v>0</v>
      </c>
      <c r="O393" s="18">
        <v>0</v>
      </c>
      <c r="P393" s="18">
        <v>0</v>
      </c>
      <c r="Q393" s="18">
        <f t="shared" si="36"/>
        <v>0</v>
      </c>
      <c r="R393">
        <v>0</v>
      </c>
      <c r="S393">
        <v>0</v>
      </c>
      <c r="T393">
        <v>0</v>
      </c>
      <c r="U393">
        <v>0</v>
      </c>
      <c r="V393" s="18">
        <f t="shared" si="37"/>
        <v>0</v>
      </c>
      <c r="W393" s="18">
        <f t="shared" si="41"/>
        <v>0</v>
      </c>
      <c r="X393" s="18">
        <v>0</v>
      </c>
      <c r="Y393" s="18">
        <v>0</v>
      </c>
    </row>
    <row r="394" spans="1:25" x14ac:dyDescent="0.2">
      <c r="A394" s="18">
        <v>7110</v>
      </c>
      <c r="C394" s="18">
        <v>0</v>
      </c>
      <c r="D394" s="18">
        <v>0</v>
      </c>
      <c r="E394" s="18">
        <v>0</v>
      </c>
      <c r="F394" s="18">
        <f t="shared" si="38"/>
        <v>0</v>
      </c>
      <c r="G394" s="18">
        <v>0</v>
      </c>
      <c r="H394" s="18">
        <v>0</v>
      </c>
      <c r="I394" s="18">
        <f t="shared" si="39"/>
        <v>0</v>
      </c>
      <c r="J394" s="18">
        <v>0</v>
      </c>
      <c r="K394" s="18">
        <v>0</v>
      </c>
      <c r="L394" s="18">
        <f t="shared" si="40"/>
        <v>0</v>
      </c>
      <c r="M394" s="18">
        <v>0</v>
      </c>
      <c r="N394" s="18">
        <v>0</v>
      </c>
      <c r="O394" s="18">
        <v>0</v>
      </c>
      <c r="P394" s="18">
        <v>0</v>
      </c>
      <c r="Q394" s="18">
        <f t="shared" si="36"/>
        <v>0</v>
      </c>
      <c r="R394">
        <v>0</v>
      </c>
      <c r="S394">
        <v>0</v>
      </c>
      <c r="T394">
        <v>0</v>
      </c>
      <c r="U394">
        <v>0</v>
      </c>
      <c r="V394" s="18">
        <f t="shared" si="37"/>
        <v>0</v>
      </c>
      <c r="W394" s="18">
        <f t="shared" si="41"/>
        <v>0</v>
      </c>
      <c r="X394" s="18">
        <v>0</v>
      </c>
      <c r="Y394" s="18">
        <v>0</v>
      </c>
    </row>
    <row r="395" spans="1:25" x14ac:dyDescent="0.2">
      <c r="A395" s="18">
        <v>7114</v>
      </c>
      <c r="C395" s="18">
        <v>0</v>
      </c>
      <c r="D395" s="18">
        <v>0</v>
      </c>
      <c r="E395" s="18">
        <v>0</v>
      </c>
      <c r="F395" s="18">
        <f t="shared" si="38"/>
        <v>0</v>
      </c>
      <c r="G395" s="18">
        <v>0</v>
      </c>
      <c r="H395" s="18">
        <v>0</v>
      </c>
      <c r="I395" s="18">
        <f t="shared" si="39"/>
        <v>0</v>
      </c>
      <c r="J395" s="18">
        <v>0</v>
      </c>
      <c r="K395" s="18">
        <v>0</v>
      </c>
      <c r="L395" s="18">
        <f t="shared" si="40"/>
        <v>0</v>
      </c>
      <c r="M395" s="18">
        <v>0</v>
      </c>
      <c r="N395" s="18">
        <v>262.55866666666668</v>
      </c>
      <c r="O395" s="18">
        <v>0</v>
      </c>
      <c r="P395" s="18">
        <v>0</v>
      </c>
      <c r="Q395" s="18">
        <f t="shared" si="36"/>
        <v>262.55866666666668</v>
      </c>
      <c r="R395">
        <v>0</v>
      </c>
      <c r="S395">
        <v>0</v>
      </c>
      <c r="T395">
        <v>0</v>
      </c>
      <c r="U395">
        <v>0</v>
      </c>
      <c r="V395" s="18">
        <f t="shared" si="37"/>
        <v>262.55866666666668</v>
      </c>
      <c r="W395" s="18">
        <f t="shared" si="41"/>
        <v>0</v>
      </c>
      <c r="X395" s="18">
        <v>0</v>
      </c>
      <c r="Y395" s="18">
        <v>0</v>
      </c>
    </row>
    <row r="396" spans="1:25" x14ac:dyDescent="0.2">
      <c r="A396" s="18">
        <v>7147</v>
      </c>
      <c r="C396" s="18">
        <v>0</v>
      </c>
      <c r="D396" s="18">
        <v>0</v>
      </c>
      <c r="E396" s="18">
        <v>0</v>
      </c>
      <c r="F396" s="18">
        <f t="shared" si="38"/>
        <v>0</v>
      </c>
      <c r="G396" s="18">
        <v>0</v>
      </c>
      <c r="H396" s="18">
        <v>0</v>
      </c>
      <c r="I396" s="18">
        <f t="shared" si="39"/>
        <v>0</v>
      </c>
      <c r="J396" s="18">
        <v>0</v>
      </c>
      <c r="K396" s="18">
        <v>0</v>
      </c>
      <c r="L396" s="18">
        <f t="shared" si="40"/>
        <v>0</v>
      </c>
      <c r="M396" s="18">
        <v>0</v>
      </c>
      <c r="N396" s="18">
        <v>0</v>
      </c>
      <c r="O396" s="18">
        <v>0</v>
      </c>
      <c r="P396" s="18">
        <v>0</v>
      </c>
      <c r="Q396" s="18">
        <f t="shared" si="36"/>
        <v>0</v>
      </c>
      <c r="R396">
        <v>0</v>
      </c>
      <c r="S396">
        <v>0</v>
      </c>
      <c r="T396">
        <v>0</v>
      </c>
      <c r="U396">
        <v>0</v>
      </c>
      <c r="V396" s="18">
        <f t="shared" si="37"/>
        <v>0</v>
      </c>
      <c r="W396" s="18">
        <f t="shared" si="41"/>
        <v>0</v>
      </c>
      <c r="X396" s="18">
        <v>0</v>
      </c>
      <c r="Y396" s="18">
        <v>0</v>
      </c>
    </row>
    <row r="397" spans="1:25" x14ac:dyDescent="0.2">
      <c r="A397" s="18">
        <v>7162</v>
      </c>
      <c r="C397" s="18">
        <v>0</v>
      </c>
      <c r="D397" s="18">
        <v>0</v>
      </c>
      <c r="E397" s="18">
        <v>0</v>
      </c>
      <c r="F397" s="18">
        <f t="shared" si="38"/>
        <v>0</v>
      </c>
      <c r="G397" s="18">
        <v>0</v>
      </c>
      <c r="H397" s="18">
        <v>0</v>
      </c>
      <c r="I397" s="18">
        <f t="shared" si="39"/>
        <v>0</v>
      </c>
      <c r="J397" s="18">
        <v>0</v>
      </c>
      <c r="K397" s="18">
        <v>0</v>
      </c>
      <c r="L397" s="18">
        <f t="shared" si="40"/>
        <v>0</v>
      </c>
      <c r="M397" s="18">
        <v>0</v>
      </c>
      <c r="N397" s="18">
        <v>0</v>
      </c>
      <c r="O397" s="18">
        <v>0</v>
      </c>
      <c r="P397" s="18">
        <v>0</v>
      </c>
      <c r="Q397" s="18">
        <f t="shared" si="36"/>
        <v>0</v>
      </c>
      <c r="R397">
        <v>0</v>
      </c>
      <c r="S397">
        <v>0</v>
      </c>
      <c r="T397">
        <v>0</v>
      </c>
      <c r="U397">
        <v>0</v>
      </c>
      <c r="V397" s="18">
        <f t="shared" si="37"/>
        <v>0</v>
      </c>
      <c r="W397" s="18">
        <f t="shared" si="41"/>
        <v>0</v>
      </c>
      <c r="X397" s="18">
        <v>0</v>
      </c>
      <c r="Y397" s="18">
        <v>0</v>
      </c>
    </row>
    <row r="398" spans="1:25" x14ac:dyDescent="0.2">
      <c r="A398" s="18">
        <v>7167</v>
      </c>
      <c r="C398" s="18">
        <v>0</v>
      </c>
      <c r="D398" s="18">
        <v>0</v>
      </c>
      <c r="E398" s="18">
        <v>0</v>
      </c>
      <c r="F398" s="18">
        <f t="shared" si="38"/>
        <v>0</v>
      </c>
      <c r="G398" s="18">
        <v>0</v>
      </c>
      <c r="H398" s="18">
        <v>0</v>
      </c>
      <c r="I398" s="18">
        <f t="shared" si="39"/>
        <v>0</v>
      </c>
      <c r="J398" s="18">
        <v>0</v>
      </c>
      <c r="K398" s="18">
        <v>0</v>
      </c>
      <c r="L398" s="18">
        <f t="shared" si="40"/>
        <v>0</v>
      </c>
      <c r="M398" s="18">
        <v>0</v>
      </c>
      <c r="N398" s="18">
        <v>0</v>
      </c>
      <c r="O398" s="18">
        <v>0</v>
      </c>
      <c r="P398" s="18">
        <v>0</v>
      </c>
      <c r="Q398" s="18">
        <f t="shared" si="36"/>
        <v>0</v>
      </c>
      <c r="R398">
        <v>0</v>
      </c>
      <c r="S398">
        <v>0</v>
      </c>
      <c r="T398">
        <v>0</v>
      </c>
      <c r="U398">
        <v>0</v>
      </c>
      <c r="V398" s="18">
        <f t="shared" si="37"/>
        <v>0</v>
      </c>
      <c r="W398" s="18">
        <f t="shared" si="41"/>
        <v>0</v>
      </c>
      <c r="X398" s="18">
        <v>0</v>
      </c>
      <c r="Y398" s="18">
        <v>0</v>
      </c>
    </row>
    <row r="399" spans="1:25" x14ac:dyDescent="0.2">
      <c r="A399" s="18">
        <v>7170</v>
      </c>
      <c r="C399" s="18">
        <v>0</v>
      </c>
      <c r="D399" s="18">
        <v>0</v>
      </c>
      <c r="E399" s="18">
        <v>0</v>
      </c>
      <c r="F399" s="18">
        <f t="shared" si="38"/>
        <v>0</v>
      </c>
      <c r="G399" s="18">
        <v>0</v>
      </c>
      <c r="H399" s="18">
        <v>0</v>
      </c>
      <c r="I399" s="18">
        <f t="shared" si="39"/>
        <v>0</v>
      </c>
      <c r="J399" s="18">
        <v>0</v>
      </c>
      <c r="K399" s="18">
        <v>0</v>
      </c>
      <c r="L399" s="18">
        <f t="shared" si="40"/>
        <v>0</v>
      </c>
      <c r="M399" s="18">
        <v>0</v>
      </c>
      <c r="N399" s="18">
        <v>0</v>
      </c>
      <c r="O399" s="18">
        <v>0</v>
      </c>
      <c r="P399" s="18">
        <v>0</v>
      </c>
      <c r="Q399" s="18">
        <f t="shared" si="36"/>
        <v>0</v>
      </c>
      <c r="R399">
        <v>0</v>
      </c>
      <c r="S399">
        <v>0</v>
      </c>
      <c r="T399">
        <v>0</v>
      </c>
      <c r="U399">
        <v>0</v>
      </c>
      <c r="V399" s="18">
        <f t="shared" si="37"/>
        <v>0</v>
      </c>
      <c r="W399" s="18">
        <f t="shared" si="41"/>
        <v>0</v>
      </c>
      <c r="X399" s="18">
        <v>0</v>
      </c>
      <c r="Y399" s="18">
        <v>0</v>
      </c>
    </row>
    <row r="400" spans="1:25" x14ac:dyDescent="0.2">
      <c r="A400" s="18">
        <v>7173</v>
      </c>
      <c r="C400" s="18">
        <v>0</v>
      </c>
      <c r="D400" s="18">
        <v>0</v>
      </c>
      <c r="E400" s="18">
        <v>0</v>
      </c>
      <c r="F400" s="18">
        <f t="shared" si="38"/>
        <v>0</v>
      </c>
      <c r="G400" s="18">
        <v>0</v>
      </c>
      <c r="H400" s="18">
        <v>0</v>
      </c>
      <c r="I400" s="18">
        <f t="shared" si="39"/>
        <v>0</v>
      </c>
      <c r="J400" s="18">
        <v>0</v>
      </c>
      <c r="K400" s="18">
        <v>0</v>
      </c>
      <c r="L400" s="18">
        <f t="shared" si="40"/>
        <v>0</v>
      </c>
      <c r="M400" s="18">
        <v>0</v>
      </c>
      <c r="N400" s="18">
        <v>0</v>
      </c>
      <c r="O400" s="18">
        <v>0</v>
      </c>
      <c r="P400" s="18">
        <v>0</v>
      </c>
      <c r="Q400" s="18">
        <f t="shared" si="36"/>
        <v>0</v>
      </c>
      <c r="R400">
        <v>0</v>
      </c>
      <c r="S400">
        <v>0</v>
      </c>
      <c r="T400">
        <v>0</v>
      </c>
      <c r="U400">
        <v>0</v>
      </c>
      <c r="V400" s="18">
        <f t="shared" si="37"/>
        <v>0</v>
      </c>
      <c r="W400" s="18">
        <f t="shared" si="41"/>
        <v>0</v>
      </c>
      <c r="X400" s="18">
        <v>0</v>
      </c>
      <c r="Y400" s="18">
        <v>0</v>
      </c>
    </row>
    <row r="401" spans="1:25" x14ac:dyDescent="0.2">
      <c r="A401" s="18">
        <v>7176</v>
      </c>
      <c r="C401" s="18">
        <v>0</v>
      </c>
      <c r="D401" s="18">
        <v>0</v>
      </c>
      <c r="E401" s="18">
        <v>0</v>
      </c>
      <c r="F401" s="18">
        <f t="shared" si="38"/>
        <v>0</v>
      </c>
      <c r="G401" s="18">
        <v>0</v>
      </c>
      <c r="H401" s="18">
        <v>0</v>
      </c>
      <c r="I401" s="18">
        <f t="shared" si="39"/>
        <v>0</v>
      </c>
      <c r="J401" s="18">
        <v>0</v>
      </c>
      <c r="K401" s="18">
        <v>0</v>
      </c>
      <c r="L401" s="18">
        <f t="shared" si="40"/>
        <v>0</v>
      </c>
      <c r="M401" s="18">
        <v>0</v>
      </c>
      <c r="N401" s="18">
        <v>0</v>
      </c>
      <c r="O401" s="18">
        <v>0</v>
      </c>
      <c r="P401" s="18">
        <v>0</v>
      </c>
      <c r="Q401" s="18">
        <f t="shared" si="36"/>
        <v>0</v>
      </c>
      <c r="R401">
        <v>0</v>
      </c>
      <c r="S401">
        <v>0</v>
      </c>
      <c r="T401">
        <v>0</v>
      </c>
      <c r="U401">
        <v>0</v>
      </c>
      <c r="V401" s="18">
        <f t="shared" si="37"/>
        <v>0</v>
      </c>
      <c r="W401" s="18">
        <f t="shared" si="41"/>
        <v>0</v>
      </c>
      <c r="X401" s="18">
        <v>0</v>
      </c>
      <c r="Y401" s="18">
        <v>0</v>
      </c>
    </row>
    <row r="402" spans="1:25" x14ac:dyDescent="0.2">
      <c r="A402" s="18">
        <v>7186</v>
      </c>
      <c r="C402" s="18">
        <v>0</v>
      </c>
      <c r="D402" s="18">
        <v>0</v>
      </c>
      <c r="E402" s="18">
        <v>0</v>
      </c>
      <c r="F402" s="18">
        <f t="shared" si="38"/>
        <v>0</v>
      </c>
      <c r="G402" s="18">
        <v>0</v>
      </c>
      <c r="H402" s="18">
        <v>0</v>
      </c>
      <c r="I402" s="18">
        <f t="shared" si="39"/>
        <v>0</v>
      </c>
      <c r="J402" s="18">
        <v>0</v>
      </c>
      <c r="K402" s="18">
        <v>0</v>
      </c>
      <c r="L402" s="18">
        <f t="shared" si="40"/>
        <v>0</v>
      </c>
      <c r="M402" s="18">
        <v>0</v>
      </c>
      <c r="N402" s="18">
        <v>0</v>
      </c>
      <c r="O402" s="18">
        <v>0</v>
      </c>
      <c r="P402" s="18">
        <v>0</v>
      </c>
      <c r="Q402" s="18">
        <f t="shared" si="36"/>
        <v>0</v>
      </c>
      <c r="R402">
        <v>0</v>
      </c>
      <c r="S402">
        <v>0</v>
      </c>
      <c r="T402">
        <v>0</v>
      </c>
      <c r="U402">
        <v>0</v>
      </c>
      <c r="V402" s="18">
        <f t="shared" si="37"/>
        <v>0</v>
      </c>
      <c r="W402" s="18">
        <f t="shared" si="41"/>
        <v>0</v>
      </c>
      <c r="X402" s="18">
        <v>0</v>
      </c>
      <c r="Y402" s="18">
        <v>0</v>
      </c>
    </row>
    <row r="403" spans="1:25" x14ac:dyDescent="0.2">
      <c r="A403" s="18">
        <v>7195</v>
      </c>
      <c r="C403" s="18">
        <v>0</v>
      </c>
      <c r="D403" s="18">
        <v>0</v>
      </c>
      <c r="E403" s="18">
        <v>0</v>
      </c>
      <c r="F403" s="18">
        <f t="shared" si="38"/>
        <v>0</v>
      </c>
      <c r="G403" s="18">
        <v>0</v>
      </c>
      <c r="H403" s="18">
        <v>0</v>
      </c>
      <c r="I403" s="18">
        <f t="shared" si="39"/>
        <v>0</v>
      </c>
      <c r="J403" s="18">
        <v>0</v>
      </c>
      <c r="K403" s="18">
        <v>0</v>
      </c>
      <c r="L403" s="18">
        <f t="shared" si="40"/>
        <v>0</v>
      </c>
      <c r="M403" s="18">
        <v>0</v>
      </c>
      <c r="N403" s="18">
        <v>0</v>
      </c>
      <c r="O403" s="18">
        <v>0</v>
      </c>
      <c r="P403" s="18">
        <v>0</v>
      </c>
      <c r="Q403" s="18">
        <f t="shared" si="36"/>
        <v>0</v>
      </c>
      <c r="R403">
        <v>0</v>
      </c>
      <c r="S403">
        <v>0</v>
      </c>
      <c r="T403">
        <v>0</v>
      </c>
      <c r="U403">
        <v>0</v>
      </c>
      <c r="V403" s="18">
        <f t="shared" si="37"/>
        <v>0</v>
      </c>
      <c r="W403" s="18">
        <f t="shared" si="41"/>
        <v>0</v>
      </c>
      <c r="X403" s="18">
        <v>0</v>
      </c>
      <c r="Y403" s="18">
        <v>0</v>
      </c>
    </row>
    <row r="404" spans="1:25" x14ac:dyDescent="0.2">
      <c r="A404" s="18">
        <v>7202</v>
      </c>
      <c r="C404" s="18">
        <v>0</v>
      </c>
      <c r="D404" s="18">
        <v>0</v>
      </c>
      <c r="E404" s="18">
        <v>0</v>
      </c>
      <c r="F404" s="18">
        <f t="shared" si="38"/>
        <v>0</v>
      </c>
      <c r="G404" s="18">
        <v>0</v>
      </c>
      <c r="H404" s="18">
        <v>0</v>
      </c>
      <c r="I404" s="18">
        <f t="shared" si="39"/>
        <v>0</v>
      </c>
      <c r="J404" s="18">
        <v>0</v>
      </c>
      <c r="K404" s="18">
        <v>0</v>
      </c>
      <c r="L404" s="18">
        <f t="shared" si="40"/>
        <v>0</v>
      </c>
      <c r="M404" s="18">
        <v>0</v>
      </c>
      <c r="N404" s="18">
        <v>0</v>
      </c>
      <c r="O404" s="18">
        <v>0</v>
      </c>
      <c r="P404" s="18">
        <v>0</v>
      </c>
      <c r="Q404" s="18">
        <f t="shared" si="36"/>
        <v>0</v>
      </c>
      <c r="R404">
        <v>0</v>
      </c>
      <c r="S404">
        <v>0</v>
      </c>
      <c r="T404">
        <v>0</v>
      </c>
      <c r="U404">
        <v>0</v>
      </c>
      <c r="V404" s="18">
        <f t="shared" si="37"/>
        <v>0</v>
      </c>
      <c r="W404" s="18">
        <f t="shared" si="41"/>
        <v>0</v>
      </c>
      <c r="X404" s="18">
        <v>0</v>
      </c>
      <c r="Y404" s="18">
        <v>0</v>
      </c>
    </row>
    <row r="405" spans="1:25" x14ac:dyDescent="0.2">
      <c r="A405" s="18">
        <v>7074</v>
      </c>
      <c r="C405" s="18">
        <v>0</v>
      </c>
      <c r="D405" s="18">
        <v>0</v>
      </c>
      <c r="E405" s="18">
        <v>0</v>
      </c>
      <c r="F405" s="18">
        <f t="shared" si="38"/>
        <v>0</v>
      </c>
      <c r="G405" s="18">
        <v>0</v>
      </c>
      <c r="H405" s="18">
        <v>0</v>
      </c>
      <c r="I405" s="18">
        <f t="shared" si="39"/>
        <v>0</v>
      </c>
      <c r="J405" s="18">
        <v>0</v>
      </c>
      <c r="K405" s="18">
        <v>0</v>
      </c>
      <c r="L405" s="18">
        <f t="shared" si="40"/>
        <v>0</v>
      </c>
      <c r="M405" s="18">
        <v>0</v>
      </c>
      <c r="N405" s="18">
        <v>0</v>
      </c>
      <c r="O405" s="18">
        <v>0</v>
      </c>
      <c r="P405" s="18">
        <v>0</v>
      </c>
      <c r="Q405" s="18">
        <f t="shared" si="36"/>
        <v>0</v>
      </c>
      <c r="R405">
        <v>0</v>
      </c>
      <c r="S405">
        <v>0</v>
      </c>
      <c r="T405">
        <v>0</v>
      </c>
      <c r="U405">
        <v>0</v>
      </c>
      <c r="V405" s="18">
        <f t="shared" si="37"/>
        <v>0</v>
      </c>
      <c r="W405" s="18">
        <f t="shared" si="41"/>
        <v>0</v>
      </c>
      <c r="X405" s="18">
        <v>0</v>
      </c>
      <c r="Y405" s="18">
        <v>0</v>
      </c>
    </row>
    <row r="406" spans="1:25" x14ac:dyDescent="0.2">
      <c r="A406" s="18" t="s">
        <v>446</v>
      </c>
      <c r="C406" s="18">
        <v>0</v>
      </c>
      <c r="D406" s="18">
        <v>49.469333333333331</v>
      </c>
      <c r="E406" s="18">
        <v>125.79491666666664</v>
      </c>
      <c r="F406" s="18">
        <f t="shared" si="38"/>
        <v>175.26424999999998</v>
      </c>
      <c r="G406" s="18">
        <v>0</v>
      </c>
      <c r="H406" s="18">
        <v>0</v>
      </c>
      <c r="I406" s="18">
        <f t="shared" si="39"/>
        <v>0</v>
      </c>
      <c r="J406" s="18">
        <v>17.629166666666666</v>
      </c>
      <c r="K406" s="18">
        <v>7.3775000000000004</v>
      </c>
      <c r="L406" s="18">
        <f t="shared" si="40"/>
        <v>25.006666666666668</v>
      </c>
      <c r="M406" s="18">
        <v>0</v>
      </c>
      <c r="N406" s="18">
        <v>17.629166666666666</v>
      </c>
      <c r="O406" s="18">
        <v>0.91500000000000004</v>
      </c>
      <c r="P406" s="18">
        <v>0</v>
      </c>
      <c r="Q406" s="18">
        <f t="shared" si="36"/>
        <v>18.544166666666666</v>
      </c>
      <c r="R406">
        <v>0.93583333333333341</v>
      </c>
      <c r="S406">
        <v>0</v>
      </c>
      <c r="T406">
        <v>343.57749999999999</v>
      </c>
      <c r="U406">
        <v>8.89</v>
      </c>
      <c r="V406" s="18">
        <f t="shared" si="37"/>
        <v>17.629166666666666</v>
      </c>
      <c r="W406" s="18">
        <f t="shared" si="41"/>
        <v>0.91500000000000004</v>
      </c>
      <c r="X406" s="18">
        <v>220.51900000000001</v>
      </c>
      <c r="Y406" s="18">
        <v>18.756666666666668</v>
      </c>
    </row>
    <row r="407" spans="1:25" x14ac:dyDescent="0.2">
      <c r="A407" s="18" t="s">
        <v>443</v>
      </c>
      <c r="C407" s="18">
        <v>0</v>
      </c>
      <c r="D407" s="18">
        <v>0</v>
      </c>
      <c r="E407" s="18">
        <v>0</v>
      </c>
      <c r="F407" s="18">
        <f t="shared" si="38"/>
        <v>0</v>
      </c>
      <c r="G407" s="18">
        <v>0</v>
      </c>
      <c r="H407" s="18">
        <v>0</v>
      </c>
      <c r="I407" s="18">
        <f t="shared" si="39"/>
        <v>0</v>
      </c>
      <c r="J407" s="18">
        <v>0</v>
      </c>
      <c r="K407" s="18">
        <v>0</v>
      </c>
      <c r="L407" s="18">
        <f t="shared" si="40"/>
        <v>0</v>
      </c>
      <c r="M407" s="18">
        <v>0</v>
      </c>
      <c r="N407" s="18">
        <v>0</v>
      </c>
      <c r="O407" s="18">
        <v>0</v>
      </c>
      <c r="P407" s="18">
        <v>0</v>
      </c>
      <c r="Q407" s="18">
        <f t="shared" si="36"/>
        <v>0</v>
      </c>
      <c r="R407">
        <v>0</v>
      </c>
      <c r="S407">
        <v>0</v>
      </c>
      <c r="T407">
        <v>0</v>
      </c>
      <c r="U407">
        <v>0</v>
      </c>
      <c r="V407" s="18">
        <f t="shared" si="37"/>
        <v>0</v>
      </c>
      <c r="W407" s="18">
        <f t="shared" si="41"/>
        <v>0</v>
      </c>
      <c r="X407" s="18">
        <v>0</v>
      </c>
      <c r="Y407" s="18">
        <v>0</v>
      </c>
    </row>
    <row r="408" spans="1:25" x14ac:dyDescent="0.2">
      <c r="A408" s="18" t="s">
        <v>444</v>
      </c>
      <c r="C408" s="18">
        <v>0</v>
      </c>
      <c r="D408" s="18">
        <v>0</v>
      </c>
      <c r="E408" s="18">
        <v>0</v>
      </c>
      <c r="F408" s="18">
        <f t="shared" si="38"/>
        <v>0</v>
      </c>
      <c r="G408" s="18">
        <v>0</v>
      </c>
      <c r="H408" s="18">
        <v>0</v>
      </c>
      <c r="I408" s="18">
        <f t="shared" si="39"/>
        <v>0</v>
      </c>
      <c r="J408" s="18">
        <v>0</v>
      </c>
      <c r="K408" s="18">
        <v>0</v>
      </c>
      <c r="L408" s="18">
        <f t="shared" si="40"/>
        <v>0</v>
      </c>
      <c r="M408" s="18">
        <v>0</v>
      </c>
      <c r="N408" s="18">
        <v>0</v>
      </c>
      <c r="O408" s="18">
        <v>0</v>
      </c>
      <c r="P408" s="18">
        <v>0</v>
      </c>
      <c r="Q408" s="18">
        <f t="shared" si="36"/>
        <v>0</v>
      </c>
      <c r="R408">
        <v>0</v>
      </c>
      <c r="S408">
        <v>0</v>
      </c>
      <c r="T408">
        <v>0</v>
      </c>
      <c r="U408">
        <v>0</v>
      </c>
      <c r="V408" s="18">
        <f t="shared" si="37"/>
        <v>0</v>
      </c>
      <c r="W408" s="18">
        <f t="shared" si="41"/>
        <v>0</v>
      </c>
      <c r="X408" s="18">
        <v>0</v>
      </c>
      <c r="Y408" s="18">
        <v>0</v>
      </c>
    </row>
    <row r="409" spans="1:25" x14ac:dyDescent="0.2">
      <c r="A409" s="18" t="s">
        <v>445</v>
      </c>
      <c r="C409" s="18">
        <v>0</v>
      </c>
      <c r="D409" s="18">
        <v>0</v>
      </c>
      <c r="E409" s="18">
        <v>0</v>
      </c>
      <c r="F409" s="18">
        <f t="shared" si="38"/>
        <v>0</v>
      </c>
      <c r="G409" s="18">
        <v>0</v>
      </c>
      <c r="H409" s="18">
        <v>0</v>
      </c>
      <c r="I409" s="18">
        <f t="shared" si="39"/>
        <v>0</v>
      </c>
      <c r="J409" s="18">
        <v>0</v>
      </c>
      <c r="K409" s="18">
        <v>0</v>
      </c>
      <c r="L409" s="18">
        <f t="shared" si="40"/>
        <v>0</v>
      </c>
      <c r="M409" s="18">
        <v>0</v>
      </c>
      <c r="N409" s="18">
        <v>0</v>
      </c>
      <c r="O409" s="18">
        <v>0</v>
      </c>
      <c r="P409" s="18">
        <v>0</v>
      </c>
      <c r="Q409" s="18">
        <f t="shared" si="36"/>
        <v>0</v>
      </c>
      <c r="R409">
        <v>0</v>
      </c>
      <c r="S409">
        <v>0</v>
      </c>
      <c r="T409">
        <v>0</v>
      </c>
      <c r="U409">
        <v>0</v>
      </c>
      <c r="V409" s="18">
        <f t="shared" si="37"/>
        <v>0</v>
      </c>
      <c r="W409" s="18">
        <f t="shared" si="41"/>
        <v>0</v>
      </c>
      <c r="X409" s="18">
        <v>0</v>
      </c>
      <c r="Y409" s="18">
        <v>0</v>
      </c>
    </row>
    <row r="410" spans="1:25" x14ac:dyDescent="0.2">
      <c r="A410" s="18">
        <v>7216</v>
      </c>
      <c r="C410" s="18">
        <v>0</v>
      </c>
      <c r="D410" s="18">
        <v>0</v>
      </c>
      <c r="E410" s="18">
        <v>0</v>
      </c>
      <c r="F410" s="18">
        <f t="shared" si="38"/>
        <v>0</v>
      </c>
      <c r="G410" s="18">
        <v>0</v>
      </c>
      <c r="H410" s="18">
        <v>0</v>
      </c>
      <c r="I410" s="18">
        <f t="shared" si="39"/>
        <v>0</v>
      </c>
      <c r="J410" s="18">
        <v>0</v>
      </c>
      <c r="K410" s="18">
        <v>0</v>
      </c>
      <c r="L410" s="18">
        <f t="shared" si="40"/>
        <v>0</v>
      </c>
      <c r="M410" s="18">
        <v>0</v>
      </c>
      <c r="N410" s="18">
        <v>0</v>
      </c>
      <c r="O410" s="18">
        <v>0</v>
      </c>
      <c r="P410" s="18">
        <v>0</v>
      </c>
      <c r="Q410" s="18">
        <f t="shared" si="36"/>
        <v>0</v>
      </c>
      <c r="R410">
        <v>0</v>
      </c>
      <c r="S410">
        <v>0</v>
      </c>
      <c r="T410">
        <v>0</v>
      </c>
      <c r="U410">
        <v>0</v>
      </c>
      <c r="V410" s="18">
        <f t="shared" si="37"/>
        <v>0</v>
      </c>
      <c r="W410" s="18">
        <f t="shared" si="41"/>
        <v>0</v>
      </c>
      <c r="X410" s="18">
        <v>0</v>
      </c>
      <c r="Y410" s="18">
        <v>0</v>
      </c>
    </row>
    <row r="411" spans="1:25" x14ac:dyDescent="0.2">
      <c r="A411" s="18">
        <v>7218</v>
      </c>
      <c r="C411" s="18">
        <v>0</v>
      </c>
      <c r="D411" s="18">
        <v>0</v>
      </c>
      <c r="E411" s="18">
        <v>0</v>
      </c>
      <c r="F411" s="18">
        <f t="shared" si="38"/>
        <v>0</v>
      </c>
      <c r="G411" s="18">
        <v>0</v>
      </c>
      <c r="H411" s="18">
        <v>0</v>
      </c>
      <c r="I411" s="18">
        <f t="shared" si="39"/>
        <v>0</v>
      </c>
      <c r="J411" s="18">
        <v>0</v>
      </c>
      <c r="K411" s="18">
        <v>0</v>
      </c>
      <c r="L411" s="18">
        <f t="shared" si="40"/>
        <v>0</v>
      </c>
      <c r="M411" s="18">
        <v>0</v>
      </c>
      <c r="N411" s="18">
        <v>0</v>
      </c>
      <c r="O411" s="18">
        <v>0</v>
      </c>
      <c r="P411" s="18">
        <v>0</v>
      </c>
      <c r="Q411" s="18">
        <f t="shared" si="36"/>
        <v>0</v>
      </c>
      <c r="R411">
        <v>0</v>
      </c>
      <c r="S411">
        <v>0</v>
      </c>
      <c r="T411">
        <v>0</v>
      </c>
      <c r="U411">
        <v>0</v>
      </c>
      <c r="V411" s="18">
        <f t="shared" si="37"/>
        <v>0</v>
      </c>
      <c r="W411" s="18">
        <f t="shared" si="41"/>
        <v>0</v>
      </c>
      <c r="X411" s="18">
        <v>0</v>
      </c>
      <c r="Y411" s="18">
        <v>0</v>
      </c>
    </row>
    <row r="412" spans="1:25" x14ac:dyDescent="0.2">
      <c r="A412" s="18">
        <v>7220</v>
      </c>
      <c r="C412" s="18">
        <v>0</v>
      </c>
      <c r="D412" s="18">
        <v>0</v>
      </c>
      <c r="E412" s="18">
        <v>0</v>
      </c>
      <c r="F412" s="18">
        <f t="shared" si="38"/>
        <v>0</v>
      </c>
      <c r="G412" s="18">
        <v>0</v>
      </c>
      <c r="H412" s="18">
        <v>0</v>
      </c>
      <c r="I412" s="18">
        <f t="shared" si="39"/>
        <v>0</v>
      </c>
      <c r="J412" s="18">
        <v>0</v>
      </c>
      <c r="K412" s="18">
        <v>0</v>
      </c>
      <c r="L412" s="18">
        <f t="shared" si="40"/>
        <v>0</v>
      </c>
      <c r="M412" s="18">
        <v>0</v>
      </c>
      <c r="N412" s="18">
        <v>0</v>
      </c>
      <c r="O412" s="18">
        <v>0</v>
      </c>
      <c r="P412" s="18">
        <v>0</v>
      </c>
      <c r="Q412" s="18">
        <f t="shared" si="36"/>
        <v>0</v>
      </c>
      <c r="R412">
        <v>0</v>
      </c>
      <c r="S412">
        <v>0</v>
      </c>
      <c r="T412">
        <v>0</v>
      </c>
      <c r="U412">
        <v>0</v>
      </c>
      <c r="V412" s="18">
        <f t="shared" si="37"/>
        <v>0</v>
      </c>
      <c r="W412" s="18">
        <f t="shared" si="41"/>
        <v>0</v>
      </c>
      <c r="X412" s="18">
        <v>0</v>
      </c>
      <c r="Y412" s="18">
        <v>0</v>
      </c>
    </row>
    <row r="413" spans="1:25" x14ac:dyDescent="0.2">
      <c r="A413" s="18">
        <v>7228</v>
      </c>
      <c r="C413" s="18">
        <v>0</v>
      </c>
      <c r="D413" s="18">
        <v>0</v>
      </c>
      <c r="E413" s="18">
        <v>0</v>
      </c>
      <c r="F413" s="18">
        <f t="shared" si="38"/>
        <v>0</v>
      </c>
      <c r="G413" s="18">
        <v>0</v>
      </c>
      <c r="H413" s="18">
        <v>0</v>
      </c>
      <c r="I413" s="18">
        <f t="shared" si="39"/>
        <v>0</v>
      </c>
      <c r="J413" s="18">
        <v>0</v>
      </c>
      <c r="K413" s="18">
        <v>0</v>
      </c>
      <c r="L413" s="18">
        <f t="shared" si="40"/>
        <v>0</v>
      </c>
      <c r="M413" s="18">
        <v>0</v>
      </c>
      <c r="N413" s="18">
        <v>0</v>
      </c>
      <c r="O413" s="18">
        <v>0</v>
      </c>
      <c r="P413" s="18">
        <v>0</v>
      </c>
      <c r="Q413" s="18">
        <f t="shared" si="36"/>
        <v>0</v>
      </c>
      <c r="R413">
        <v>0</v>
      </c>
      <c r="S413">
        <v>0</v>
      </c>
      <c r="T413">
        <v>0</v>
      </c>
      <c r="U413">
        <v>0</v>
      </c>
      <c r="V413" s="18">
        <f t="shared" si="37"/>
        <v>0</v>
      </c>
      <c r="W413" s="18">
        <f t="shared" si="41"/>
        <v>0</v>
      </c>
      <c r="X413" s="18">
        <v>0</v>
      </c>
      <c r="Y413" s="18">
        <v>0</v>
      </c>
    </row>
    <row r="414" spans="1:25" x14ac:dyDescent="0.2">
      <c r="A414" s="18">
        <v>7226</v>
      </c>
      <c r="C414" s="18">
        <v>0</v>
      </c>
      <c r="D414" s="18">
        <v>0</v>
      </c>
      <c r="E414" s="18">
        <v>0</v>
      </c>
      <c r="F414" s="18">
        <f t="shared" si="38"/>
        <v>0</v>
      </c>
      <c r="G414" s="18">
        <v>0</v>
      </c>
      <c r="H414" s="18">
        <v>0</v>
      </c>
      <c r="I414" s="18">
        <f t="shared" si="39"/>
        <v>0</v>
      </c>
      <c r="J414" s="18">
        <v>0</v>
      </c>
      <c r="K414" s="18">
        <v>0</v>
      </c>
      <c r="L414" s="18">
        <f t="shared" si="40"/>
        <v>0</v>
      </c>
      <c r="M414" s="18">
        <v>0</v>
      </c>
      <c r="N414" s="18">
        <v>0</v>
      </c>
      <c r="O414" s="18">
        <v>0</v>
      </c>
      <c r="P414" s="18">
        <v>0</v>
      </c>
      <c r="Q414" s="18">
        <f t="shared" si="36"/>
        <v>0</v>
      </c>
      <c r="R414">
        <v>0</v>
      </c>
      <c r="S414">
        <v>0</v>
      </c>
      <c r="T414">
        <v>0</v>
      </c>
      <c r="U414">
        <v>0</v>
      </c>
      <c r="V414" s="18">
        <f t="shared" si="37"/>
        <v>0</v>
      </c>
      <c r="W414" s="18">
        <f t="shared" si="41"/>
        <v>0</v>
      </c>
      <c r="X414" s="18">
        <v>0</v>
      </c>
      <c r="Y414" s="18">
        <v>0</v>
      </c>
    </row>
    <row r="415" spans="1:25" x14ac:dyDescent="0.2">
      <c r="A415" s="18">
        <v>7242</v>
      </c>
      <c r="C415" s="18">
        <v>0</v>
      </c>
      <c r="D415" s="18">
        <v>0</v>
      </c>
      <c r="E415" s="18">
        <v>0</v>
      </c>
      <c r="F415" s="18">
        <f t="shared" si="38"/>
        <v>0</v>
      </c>
      <c r="G415" s="18">
        <v>0</v>
      </c>
      <c r="H415" s="18">
        <v>0</v>
      </c>
      <c r="I415" s="18">
        <f t="shared" si="39"/>
        <v>0</v>
      </c>
      <c r="J415" s="18">
        <v>0</v>
      </c>
      <c r="K415" s="18">
        <v>0</v>
      </c>
      <c r="L415" s="18">
        <f t="shared" si="40"/>
        <v>0</v>
      </c>
      <c r="M415" s="18">
        <v>0</v>
      </c>
      <c r="N415" s="18">
        <v>0</v>
      </c>
      <c r="O415" s="18">
        <v>0</v>
      </c>
      <c r="P415" s="18">
        <v>0</v>
      </c>
      <c r="Q415" s="18">
        <f t="shared" ref="Q415:Q478" si="42">SUM(M415:P415)</f>
        <v>0</v>
      </c>
      <c r="R415">
        <v>0</v>
      </c>
      <c r="S415">
        <v>0</v>
      </c>
      <c r="T415">
        <v>0</v>
      </c>
      <c r="U415">
        <v>0</v>
      </c>
      <c r="V415" s="18">
        <f t="shared" si="37"/>
        <v>0</v>
      </c>
      <c r="W415" s="18">
        <f t="shared" si="41"/>
        <v>0</v>
      </c>
      <c r="X415" s="18">
        <v>0</v>
      </c>
      <c r="Y415" s="18">
        <v>0</v>
      </c>
    </row>
    <row r="416" spans="1:25" x14ac:dyDescent="0.2">
      <c r="A416" s="18">
        <v>7253</v>
      </c>
      <c r="C416" s="18">
        <v>0</v>
      </c>
      <c r="D416" s="18">
        <v>0</v>
      </c>
      <c r="E416" s="18">
        <v>0</v>
      </c>
      <c r="F416" s="18">
        <f t="shared" si="38"/>
        <v>0</v>
      </c>
      <c r="G416" s="18">
        <v>0</v>
      </c>
      <c r="H416" s="18">
        <v>0</v>
      </c>
      <c r="I416" s="18">
        <f t="shared" si="39"/>
        <v>0</v>
      </c>
      <c r="J416" s="18">
        <v>0</v>
      </c>
      <c r="K416" s="18">
        <v>0</v>
      </c>
      <c r="L416" s="18">
        <f t="shared" si="40"/>
        <v>0</v>
      </c>
      <c r="M416" s="18">
        <v>0</v>
      </c>
      <c r="N416" s="18">
        <v>0</v>
      </c>
      <c r="O416" s="18">
        <v>0</v>
      </c>
      <c r="P416" s="18">
        <v>0</v>
      </c>
      <c r="Q416" s="18">
        <f t="shared" si="42"/>
        <v>0</v>
      </c>
      <c r="R416">
        <v>0</v>
      </c>
      <c r="S416">
        <v>0</v>
      </c>
      <c r="T416">
        <v>0</v>
      </c>
      <c r="U416">
        <v>0</v>
      </c>
      <c r="V416" s="18">
        <f t="shared" si="37"/>
        <v>0</v>
      </c>
      <c r="W416" s="18">
        <f t="shared" si="41"/>
        <v>0</v>
      </c>
      <c r="X416" s="18">
        <v>0</v>
      </c>
      <c r="Y416" s="18">
        <v>0</v>
      </c>
    </row>
    <row r="417" spans="1:25" x14ac:dyDescent="0.2">
      <c r="A417" s="18">
        <v>7255</v>
      </c>
      <c r="C417" s="18">
        <v>0</v>
      </c>
      <c r="D417" s="18">
        <v>0</v>
      </c>
      <c r="E417" s="18">
        <v>0</v>
      </c>
      <c r="F417" s="18">
        <f t="shared" si="38"/>
        <v>0</v>
      </c>
      <c r="G417" s="18">
        <v>0</v>
      </c>
      <c r="H417" s="18">
        <v>0</v>
      </c>
      <c r="I417" s="18">
        <f t="shared" si="39"/>
        <v>0</v>
      </c>
      <c r="J417" s="18">
        <v>0</v>
      </c>
      <c r="K417" s="18">
        <v>0</v>
      </c>
      <c r="L417" s="18">
        <f t="shared" si="40"/>
        <v>0</v>
      </c>
      <c r="M417" s="18">
        <v>0</v>
      </c>
      <c r="N417" s="18">
        <v>0</v>
      </c>
      <c r="O417" s="18">
        <v>0</v>
      </c>
      <c r="P417" s="18">
        <v>0</v>
      </c>
      <c r="Q417" s="18">
        <f t="shared" si="42"/>
        <v>0</v>
      </c>
      <c r="R417">
        <v>0</v>
      </c>
      <c r="S417">
        <v>0</v>
      </c>
      <c r="T417">
        <v>0</v>
      </c>
      <c r="U417">
        <v>0</v>
      </c>
      <c r="V417" s="18">
        <f t="shared" si="37"/>
        <v>0</v>
      </c>
      <c r="W417" s="18">
        <f t="shared" si="41"/>
        <v>0</v>
      </c>
      <c r="X417" s="18">
        <v>0</v>
      </c>
      <c r="Y417" s="18">
        <v>0</v>
      </c>
    </row>
    <row r="418" spans="1:25" x14ac:dyDescent="0.2">
      <c r="A418" s="18">
        <v>7254</v>
      </c>
      <c r="C418" s="18">
        <v>0</v>
      </c>
      <c r="D418" s="18">
        <v>0</v>
      </c>
      <c r="E418" s="18">
        <v>0</v>
      </c>
      <c r="F418" s="18">
        <f t="shared" si="38"/>
        <v>0</v>
      </c>
      <c r="G418" s="18">
        <v>0</v>
      </c>
      <c r="H418" s="18">
        <v>0</v>
      </c>
      <c r="I418" s="18">
        <f t="shared" si="39"/>
        <v>0</v>
      </c>
      <c r="J418" s="18">
        <v>0</v>
      </c>
      <c r="K418" s="18">
        <v>0</v>
      </c>
      <c r="L418" s="18">
        <f t="shared" si="40"/>
        <v>0</v>
      </c>
      <c r="M418" s="18">
        <v>0</v>
      </c>
      <c r="N418" s="18">
        <v>0</v>
      </c>
      <c r="O418" s="18">
        <v>0</v>
      </c>
      <c r="P418" s="18">
        <v>0</v>
      </c>
      <c r="Q418" s="18">
        <f t="shared" si="42"/>
        <v>0</v>
      </c>
      <c r="R418">
        <v>0</v>
      </c>
      <c r="S418">
        <v>0</v>
      </c>
      <c r="T418">
        <v>0</v>
      </c>
      <c r="U418">
        <v>0</v>
      </c>
      <c r="V418" s="18">
        <f t="shared" si="37"/>
        <v>0</v>
      </c>
      <c r="W418" s="18">
        <f t="shared" si="41"/>
        <v>0</v>
      </c>
      <c r="X418" s="18">
        <v>0</v>
      </c>
      <c r="Y418" s="18">
        <v>0</v>
      </c>
    </row>
    <row r="419" spans="1:25" x14ac:dyDescent="0.2">
      <c r="A419" s="18">
        <v>7247</v>
      </c>
      <c r="C419" s="18">
        <v>0</v>
      </c>
      <c r="D419" s="18">
        <v>0</v>
      </c>
      <c r="E419" s="18">
        <v>0</v>
      </c>
      <c r="F419" s="18">
        <f t="shared" si="38"/>
        <v>0</v>
      </c>
      <c r="G419" s="18">
        <v>0</v>
      </c>
      <c r="H419" s="18">
        <v>0</v>
      </c>
      <c r="I419" s="18">
        <f t="shared" si="39"/>
        <v>0</v>
      </c>
      <c r="J419" s="18">
        <v>0</v>
      </c>
      <c r="K419" s="18">
        <v>0</v>
      </c>
      <c r="L419" s="18">
        <f t="shared" si="40"/>
        <v>0</v>
      </c>
      <c r="M419" s="18">
        <v>0</v>
      </c>
      <c r="N419" s="18">
        <v>0</v>
      </c>
      <c r="O419" s="18">
        <v>0</v>
      </c>
      <c r="P419" s="18">
        <v>0</v>
      </c>
      <c r="Q419" s="18">
        <f t="shared" si="42"/>
        <v>0</v>
      </c>
      <c r="R419">
        <v>0</v>
      </c>
      <c r="S419">
        <v>0</v>
      </c>
      <c r="T419">
        <v>0</v>
      </c>
      <c r="U419">
        <v>0</v>
      </c>
      <c r="V419" s="18">
        <f t="shared" si="37"/>
        <v>0</v>
      </c>
      <c r="W419" s="18">
        <f t="shared" si="41"/>
        <v>0</v>
      </c>
      <c r="X419" s="18">
        <v>0</v>
      </c>
      <c r="Y419" s="18">
        <v>0</v>
      </c>
    </row>
    <row r="420" spans="1:25" x14ac:dyDescent="0.2">
      <c r="A420" s="18">
        <v>7259</v>
      </c>
      <c r="C420" s="18">
        <v>0</v>
      </c>
      <c r="D420" s="18">
        <v>0</v>
      </c>
      <c r="E420" s="18">
        <v>0</v>
      </c>
      <c r="F420" s="18">
        <f t="shared" si="38"/>
        <v>0</v>
      </c>
      <c r="G420" s="18">
        <v>0</v>
      </c>
      <c r="H420" s="18">
        <v>0</v>
      </c>
      <c r="I420" s="18">
        <f t="shared" si="39"/>
        <v>0</v>
      </c>
      <c r="J420" s="18">
        <v>0</v>
      </c>
      <c r="K420" s="18">
        <v>0</v>
      </c>
      <c r="L420" s="18">
        <f t="shared" si="40"/>
        <v>0</v>
      </c>
      <c r="M420" s="18">
        <v>0</v>
      </c>
      <c r="N420" s="18">
        <v>0</v>
      </c>
      <c r="O420" s="18">
        <v>0</v>
      </c>
      <c r="P420" s="18">
        <v>0</v>
      </c>
      <c r="Q420" s="18">
        <f t="shared" si="42"/>
        <v>0</v>
      </c>
      <c r="R420">
        <v>0</v>
      </c>
      <c r="S420">
        <v>0</v>
      </c>
      <c r="T420">
        <v>0</v>
      </c>
      <c r="U420">
        <v>0</v>
      </c>
      <c r="V420" s="18">
        <f t="shared" si="37"/>
        <v>0</v>
      </c>
      <c r="W420" s="18">
        <f t="shared" si="41"/>
        <v>0</v>
      </c>
      <c r="X420" s="18">
        <v>0</v>
      </c>
      <c r="Y420" s="18">
        <v>0</v>
      </c>
    </row>
    <row r="421" spans="1:25" x14ac:dyDescent="0.2">
      <c r="A421" s="18">
        <v>7273</v>
      </c>
      <c r="C421" s="18">
        <v>0</v>
      </c>
      <c r="D421" s="18">
        <v>0</v>
      </c>
      <c r="E421" s="18">
        <v>0</v>
      </c>
      <c r="F421" s="18">
        <f t="shared" si="38"/>
        <v>0</v>
      </c>
      <c r="G421" s="18">
        <v>0</v>
      </c>
      <c r="H421" s="18">
        <v>0</v>
      </c>
      <c r="I421" s="18">
        <f t="shared" si="39"/>
        <v>0</v>
      </c>
      <c r="J421" s="18">
        <v>0</v>
      </c>
      <c r="K421" s="18">
        <v>0</v>
      </c>
      <c r="L421" s="18">
        <f t="shared" si="40"/>
        <v>0</v>
      </c>
      <c r="M421" s="18">
        <v>0</v>
      </c>
      <c r="N421" s="18">
        <v>0</v>
      </c>
      <c r="O421" s="18">
        <v>0</v>
      </c>
      <c r="P421" s="18">
        <v>0</v>
      </c>
      <c r="Q421" s="18">
        <f t="shared" si="42"/>
        <v>0</v>
      </c>
      <c r="R421">
        <v>0</v>
      </c>
      <c r="S421">
        <v>0</v>
      </c>
      <c r="T421">
        <v>0</v>
      </c>
      <c r="U421">
        <v>0</v>
      </c>
      <c r="V421" s="18">
        <f t="shared" si="37"/>
        <v>0</v>
      </c>
      <c r="W421" s="18">
        <f t="shared" si="41"/>
        <v>0</v>
      </c>
      <c r="X421" s="18">
        <v>0</v>
      </c>
      <c r="Y421" s="18">
        <v>0</v>
      </c>
    </row>
    <row r="422" spans="1:25" x14ac:dyDescent="0.2">
      <c r="A422" s="18">
        <v>7277</v>
      </c>
      <c r="C422" s="18">
        <v>0</v>
      </c>
      <c r="D422" s="18">
        <v>0</v>
      </c>
      <c r="E422" s="18">
        <v>0</v>
      </c>
      <c r="F422" s="18">
        <f t="shared" si="38"/>
        <v>0</v>
      </c>
      <c r="G422" s="18">
        <v>0</v>
      </c>
      <c r="H422" s="18">
        <v>0</v>
      </c>
      <c r="I422" s="18">
        <f t="shared" si="39"/>
        <v>0</v>
      </c>
      <c r="J422" s="18">
        <v>0</v>
      </c>
      <c r="K422" s="18">
        <v>0</v>
      </c>
      <c r="L422" s="18">
        <f t="shared" si="40"/>
        <v>0</v>
      </c>
      <c r="M422" s="18">
        <v>0</v>
      </c>
      <c r="N422" s="18">
        <v>0</v>
      </c>
      <c r="O422" s="18">
        <v>0</v>
      </c>
      <c r="P422" s="18">
        <v>0</v>
      </c>
      <c r="Q422" s="18">
        <f t="shared" si="42"/>
        <v>0</v>
      </c>
      <c r="R422">
        <v>0</v>
      </c>
      <c r="S422">
        <v>0</v>
      </c>
      <c r="T422">
        <v>0</v>
      </c>
      <c r="U422">
        <v>0</v>
      </c>
      <c r="V422" s="18">
        <f t="shared" si="37"/>
        <v>0</v>
      </c>
      <c r="W422" s="18">
        <f t="shared" si="41"/>
        <v>0</v>
      </c>
      <c r="X422" s="18">
        <v>0</v>
      </c>
      <c r="Y422" s="18">
        <v>0</v>
      </c>
    </row>
    <row r="423" spans="1:25" x14ac:dyDescent="0.2">
      <c r="A423" s="18">
        <v>7275</v>
      </c>
      <c r="C423" s="18">
        <v>0</v>
      </c>
      <c r="D423" s="18">
        <v>0</v>
      </c>
      <c r="E423" s="18">
        <v>0</v>
      </c>
      <c r="F423" s="18">
        <f t="shared" si="38"/>
        <v>0</v>
      </c>
      <c r="G423" s="18">
        <v>0</v>
      </c>
      <c r="H423" s="18">
        <v>0</v>
      </c>
      <c r="I423" s="18">
        <f t="shared" si="39"/>
        <v>0</v>
      </c>
      <c r="J423" s="18">
        <v>0</v>
      </c>
      <c r="K423" s="18">
        <v>0</v>
      </c>
      <c r="L423" s="18">
        <f t="shared" si="40"/>
        <v>0</v>
      </c>
      <c r="M423" s="18">
        <v>0</v>
      </c>
      <c r="N423" s="18">
        <v>0</v>
      </c>
      <c r="O423" s="18">
        <v>0</v>
      </c>
      <c r="P423" s="18">
        <v>0</v>
      </c>
      <c r="Q423" s="18">
        <f t="shared" si="42"/>
        <v>0</v>
      </c>
      <c r="R423">
        <v>0</v>
      </c>
      <c r="S423">
        <v>0</v>
      </c>
      <c r="T423">
        <v>0</v>
      </c>
      <c r="U423">
        <v>0</v>
      </c>
      <c r="V423" s="18">
        <f t="shared" si="37"/>
        <v>0</v>
      </c>
      <c r="W423" s="18">
        <f t="shared" si="41"/>
        <v>0</v>
      </c>
      <c r="X423" s="18">
        <v>0</v>
      </c>
      <c r="Y423" s="18">
        <v>0</v>
      </c>
    </row>
    <row r="424" spans="1:25" x14ac:dyDescent="0.2">
      <c r="A424" s="18">
        <v>7280</v>
      </c>
      <c r="C424" s="18">
        <v>0</v>
      </c>
      <c r="D424" s="18">
        <v>0</v>
      </c>
      <c r="E424" s="18">
        <v>0</v>
      </c>
      <c r="F424" s="18">
        <f t="shared" si="38"/>
        <v>0</v>
      </c>
      <c r="G424" s="18">
        <v>0</v>
      </c>
      <c r="H424" s="18">
        <v>0</v>
      </c>
      <c r="I424" s="18">
        <f t="shared" si="39"/>
        <v>0</v>
      </c>
      <c r="J424" s="18">
        <v>0</v>
      </c>
      <c r="K424" s="18">
        <v>0</v>
      </c>
      <c r="L424" s="18">
        <f t="shared" si="40"/>
        <v>0</v>
      </c>
      <c r="M424" s="18">
        <v>0</v>
      </c>
      <c r="N424" s="18">
        <v>0</v>
      </c>
      <c r="O424" s="18">
        <v>0</v>
      </c>
      <c r="P424" s="18">
        <v>0</v>
      </c>
      <c r="Q424" s="18">
        <f t="shared" si="42"/>
        <v>0</v>
      </c>
      <c r="R424">
        <v>0</v>
      </c>
      <c r="S424">
        <v>0</v>
      </c>
      <c r="T424">
        <v>0</v>
      </c>
      <c r="U424">
        <v>0</v>
      </c>
      <c r="V424" s="18">
        <f t="shared" si="37"/>
        <v>0</v>
      </c>
      <c r="W424" s="18">
        <f t="shared" si="41"/>
        <v>0</v>
      </c>
      <c r="X424" s="18">
        <v>0</v>
      </c>
      <c r="Y424" s="18">
        <v>0</v>
      </c>
    </row>
    <row r="425" spans="1:25" x14ac:dyDescent="0.2">
      <c r="A425" s="18">
        <v>7281</v>
      </c>
      <c r="C425" s="18">
        <v>0</v>
      </c>
      <c r="D425" s="18">
        <v>0</v>
      </c>
      <c r="E425" s="18">
        <v>0</v>
      </c>
      <c r="F425" s="18">
        <f t="shared" si="38"/>
        <v>0</v>
      </c>
      <c r="G425" s="18">
        <v>0</v>
      </c>
      <c r="H425" s="18">
        <v>0</v>
      </c>
      <c r="I425" s="18">
        <f t="shared" si="39"/>
        <v>0</v>
      </c>
      <c r="J425" s="18">
        <v>0</v>
      </c>
      <c r="K425" s="18">
        <v>0</v>
      </c>
      <c r="L425" s="18">
        <f t="shared" si="40"/>
        <v>0</v>
      </c>
      <c r="M425" s="18">
        <v>0</v>
      </c>
      <c r="N425" s="18">
        <v>0</v>
      </c>
      <c r="O425" s="18">
        <v>0</v>
      </c>
      <c r="P425" s="18">
        <v>0</v>
      </c>
      <c r="Q425" s="18">
        <f t="shared" si="42"/>
        <v>0</v>
      </c>
      <c r="R425">
        <v>0</v>
      </c>
      <c r="S425">
        <v>0</v>
      </c>
      <c r="T425">
        <v>0</v>
      </c>
      <c r="U425">
        <v>0</v>
      </c>
      <c r="V425" s="18">
        <f t="shared" si="37"/>
        <v>0</v>
      </c>
      <c r="W425" s="18">
        <f t="shared" si="41"/>
        <v>0</v>
      </c>
      <c r="X425" s="18">
        <v>0</v>
      </c>
      <c r="Y425" s="18">
        <v>0</v>
      </c>
    </row>
    <row r="426" spans="1:25" x14ac:dyDescent="0.2">
      <c r="A426" s="18">
        <v>7286</v>
      </c>
      <c r="C426" s="18">
        <v>0</v>
      </c>
      <c r="D426" s="18">
        <v>0</v>
      </c>
      <c r="E426" s="18">
        <v>0</v>
      </c>
      <c r="F426" s="18">
        <f t="shared" si="38"/>
        <v>0</v>
      </c>
      <c r="G426" s="18">
        <v>0</v>
      </c>
      <c r="H426" s="18">
        <v>0</v>
      </c>
      <c r="I426" s="18">
        <f t="shared" si="39"/>
        <v>0</v>
      </c>
      <c r="J426" s="18">
        <v>0</v>
      </c>
      <c r="K426" s="18">
        <v>0</v>
      </c>
      <c r="L426" s="18">
        <f t="shared" si="40"/>
        <v>0</v>
      </c>
      <c r="M426" s="18">
        <v>0</v>
      </c>
      <c r="N426" s="18">
        <v>0</v>
      </c>
      <c r="O426" s="18">
        <v>0</v>
      </c>
      <c r="P426" s="18">
        <v>0</v>
      </c>
      <c r="Q426" s="18">
        <f t="shared" si="42"/>
        <v>0</v>
      </c>
      <c r="R426">
        <v>0</v>
      </c>
      <c r="S426">
        <v>0</v>
      </c>
      <c r="T426">
        <v>0</v>
      </c>
      <c r="U426">
        <v>0</v>
      </c>
      <c r="V426" s="18">
        <f t="shared" si="37"/>
        <v>0</v>
      </c>
      <c r="W426" s="18">
        <f t="shared" si="41"/>
        <v>0</v>
      </c>
      <c r="X426" s="18">
        <v>0</v>
      </c>
      <c r="Y426" s="18">
        <v>0</v>
      </c>
    </row>
    <row r="427" spans="1:25" x14ac:dyDescent="0.2">
      <c r="A427" s="18">
        <v>7289</v>
      </c>
      <c r="C427" s="18">
        <v>0</v>
      </c>
      <c r="D427" s="18">
        <v>0</v>
      </c>
      <c r="E427" s="18">
        <v>0</v>
      </c>
      <c r="F427" s="18">
        <f t="shared" si="38"/>
        <v>0</v>
      </c>
      <c r="G427" s="18">
        <v>0</v>
      </c>
      <c r="H427" s="18">
        <v>0</v>
      </c>
      <c r="I427" s="18">
        <f t="shared" si="39"/>
        <v>0</v>
      </c>
      <c r="J427" s="18">
        <v>0</v>
      </c>
      <c r="K427" s="18">
        <v>0</v>
      </c>
      <c r="L427" s="18">
        <f t="shared" si="40"/>
        <v>0</v>
      </c>
      <c r="M427" s="18">
        <v>0</v>
      </c>
      <c r="N427" s="18">
        <v>0</v>
      </c>
      <c r="O427" s="18">
        <v>0</v>
      </c>
      <c r="P427" s="18">
        <v>0</v>
      </c>
      <c r="Q427" s="18">
        <f t="shared" si="42"/>
        <v>0</v>
      </c>
      <c r="R427">
        <v>0</v>
      </c>
      <c r="S427">
        <v>0</v>
      </c>
      <c r="T427">
        <v>0</v>
      </c>
      <c r="U427">
        <v>0</v>
      </c>
      <c r="V427" s="18">
        <f t="shared" si="37"/>
        <v>0</v>
      </c>
      <c r="W427" s="18">
        <f t="shared" si="41"/>
        <v>0</v>
      </c>
      <c r="X427" s="18">
        <v>0</v>
      </c>
      <c r="Y427" s="18">
        <v>0</v>
      </c>
    </row>
    <row r="428" spans="1:25" x14ac:dyDescent="0.2">
      <c r="A428" s="18">
        <v>7292</v>
      </c>
      <c r="C428" s="18">
        <v>0</v>
      </c>
      <c r="D428" s="18">
        <v>0</v>
      </c>
      <c r="E428" s="18">
        <v>0</v>
      </c>
      <c r="F428" s="18">
        <f t="shared" si="38"/>
        <v>0</v>
      </c>
      <c r="G428" s="18">
        <v>0</v>
      </c>
      <c r="H428" s="18">
        <v>0</v>
      </c>
      <c r="I428" s="18">
        <f t="shared" si="39"/>
        <v>0</v>
      </c>
      <c r="J428" s="18">
        <v>0</v>
      </c>
      <c r="K428" s="18">
        <v>0</v>
      </c>
      <c r="L428" s="18">
        <f t="shared" si="40"/>
        <v>0</v>
      </c>
      <c r="M428" s="18">
        <v>0</v>
      </c>
      <c r="N428" s="18">
        <v>0</v>
      </c>
      <c r="O428" s="18">
        <v>0</v>
      </c>
      <c r="P428" s="18">
        <v>0</v>
      </c>
      <c r="Q428" s="18">
        <f t="shared" si="42"/>
        <v>0</v>
      </c>
      <c r="R428">
        <v>0</v>
      </c>
      <c r="S428">
        <v>0</v>
      </c>
      <c r="T428">
        <v>0</v>
      </c>
      <c r="U428">
        <v>0</v>
      </c>
      <c r="V428" s="18">
        <f t="shared" si="37"/>
        <v>0</v>
      </c>
      <c r="W428" s="18">
        <f t="shared" si="41"/>
        <v>0</v>
      </c>
      <c r="X428" s="18">
        <v>0</v>
      </c>
      <c r="Y428" s="18">
        <v>0</v>
      </c>
    </row>
    <row r="429" spans="1:25" x14ac:dyDescent="0.2">
      <c r="A429" s="18">
        <v>7293</v>
      </c>
      <c r="C429" s="18">
        <v>0</v>
      </c>
      <c r="D429" s="18">
        <v>0</v>
      </c>
      <c r="E429" s="18">
        <v>0</v>
      </c>
      <c r="F429" s="18">
        <f t="shared" si="38"/>
        <v>0</v>
      </c>
      <c r="G429" s="18">
        <v>0</v>
      </c>
      <c r="H429" s="18">
        <v>0</v>
      </c>
      <c r="I429" s="18">
        <f t="shared" si="39"/>
        <v>0</v>
      </c>
      <c r="J429" s="18">
        <v>0</v>
      </c>
      <c r="K429" s="18">
        <v>0</v>
      </c>
      <c r="L429" s="18">
        <f t="shared" si="40"/>
        <v>0</v>
      </c>
      <c r="M429" s="18">
        <v>0</v>
      </c>
      <c r="N429" s="18">
        <v>0</v>
      </c>
      <c r="O429" s="18">
        <v>0</v>
      </c>
      <c r="P429" s="18">
        <v>0</v>
      </c>
      <c r="Q429" s="18">
        <f t="shared" si="42"/>
        <v>0</v>
      </c>
      <c r="R429">
        <v>0</v>
      </c>
      <c r="S429">
        <v>0</v>
      </c>
      <c r="T429">
        <v>0</v>
      </c>
      <c r="U429">
        <v>0</v>
      </c>
      <c r="V429" s="18">
        <f t="shared" si="37"/>
        <v>0</v>
      </c>
      <c r="W429" s="18">
        <f t="shared" si="41"/>
        <v>0</v>
      </c>
      <c r="X429" s="18">
        <v>0</v>
      </c>
      <c r="Y429" s="18">
        <v>0</v>
      </c>
    </row>
    <row r="430" spans="1:25" x14ac:dyDescent="0.2">
      <c r="A430" s="18">
        <v>7296</v>
      </c>
      <c r="C430" s="18">
        <v>0</v>
      </c>
      <c r="D430" s="18">
        <v>0</v>
      </c>
      <c r="E430" s="18">
        <v>0</v>
      </c>
      <c r="F430" s="18">
        <f t="shared" si="38"/>
        <v>0</v>
      </c>
      <c r="G430" s="18">
        <v>0</v>
      </c>
      <c r="H430" s="18">
        <v>0</v>
      </c>
      <c r="I430" s="18">
        <f t="shared" si="39"/>
        <v>0</v>
      </c>
      <c r="J430" s="18">
        <v>0</v>
      </c>
      <c r="K430" s="18">
        <v>0</v>
      </c>
      <c r="L430" s="18">
        <f t="shared" si="40"/>
        <v>0</v>
      </c>
      <c r="M430" s="18">
        <v>0</v>
      </c>
      <c r="N430" s="18">
        <v>0</v>
      </c>
      <c r="O430" s="18">
        <v>0</v>
      </c>
      <c r="P430" s="18">
        <v>0</v>
      </c>
      <c r="Q430" s="18">
        <f t="shared" si="42"/>
        <v>0</v>
      </c>
      <c r="R430">
        <v>0</v>
      </c>
      <c r="S430">
        <v>0</v>
      </c>
      <c r="T430">
        <v>0</v>
      </c>
      <c r="U430">
        <v>0</v>
      </c>
      <c r="V430" s="18">
        <f t="shared" si="37"/>
        <v>0</v>
      </c>
      <c r="W430" s="18">
        <f t="shared" si="41"/>
        <v>0</v>
      </c>
      <c r="X430" s="18">
        <v>0</v>
      </c>
      <c r="Y430" s="18">
        <v>0</v>
      </c>
    </row>
    <row r="431" spans="1:25" x14ac:dyDescent="0.2">
      <c r="A431" s="18">
        <v>7300</v>
      </c>
      <c r="C431" s="18">
        <v>0</v>
      </c>
      <c r="D431" s="18">
        <v>0</v>
      </c>
      <c r="E431" s="18">
        <v>0</v>
      </c>
      <c r="F431" s="18">
        <f t="shared" si="38"/>
        <v>0</v>
      </c>
      <c r="G431" s="18">
        <v>0</v>
      </c>
      <c r="H431" s="18">
        <v>0</v>
      </c>
      <c r="I431" s="18">
        <f t="shared" si="39"/>
        <v>0</v>
      </c>
      <c r="J431" s="18">
        <v>0</v>
      </c>
      <c r="K431" s="18">
        <v>0</v>
      </c>
      <c r="L431" s="18">
        <f t="shared" si="40"/>
        <v>0</v>
      </c>
      <c r="M431" s="18">
        <v>0</v>
      </c>
      <c r="N431" s="18">
        <v>0</v>
      </c>
      <c r="O431" s="18">
        <v>0</v>
      </c>
      <c r="P431" s="18">
        <v>0</v>
      </c>
      <c r="Q431" s="18">
        <f t="shared" si="42"/>
        <v>0</v>
      </c>
      <c r="R431">
        <v>0</v>
      </c>
      <c r="S431">
        <v>0</v>
      </c>
      <c r="T431">
        <v>0</v>
      </c>
      <c r="U431">
        <v>0</v>
      </c>
      <c r="V431" s="18">
        <f t="shared" si="37"/>
        <v>0</v>
      </c>
      <c r="W431" s="18">
        <f t="shared" si="41"/>
        <v>0</v>
      </c>
      <c r="X431" s="18">
        <v>0</v>
      </c>
      <c r="Y431" s="18">
        <v>0</v>
      </c>
    </row>
    <row r="432" spans="1:25" x14ac:dyDescent="0.2">
      <c r="A432" s="18" t="s">
        <v>438</v>
      </c>
      <c r="C432" s="18">
        <v>0</v>
      </c>
      <c r="D432" s="18">
        <v>0</v>
      </c>
      <c r="E432" s="18">
        <v>0</v>
      </c>
      <c r="F432" s="18">
        <f t="shared" si="38"/>
        <v>0</v>
      </c>
      <c r="G432" s="18">
        <v>0</v>
      </c>
      <c r="H432" s="18">
        <v>0</v>
      </c>
      <c r="I432" s="18">
        <f t="shared" si="39"/>
        <v>0</v>
      </c>
      <c r="J432" s="18">
        <v>0</v>
      </c>
      <c r="K432" s="18">
        <v>0</v>
      </c>
      <c r="L432" s="18">
        <f t="shared" si="40"/>
        <v>0</v>
      </c>
      <c r="M432" s="18">
        <v>0</v>
      </c>
      <c r="N432" s="18">
        <v>0</v>
      </c>
      <c r="O432" s="18">
        <v>0</v>
      </c>
      <c r="P432" s="18">
        <v>0</v>
      </c>
      <c r="Q432" s="18">
        <f t="shared" si="42"/>
        <v>0</v>
      </c>
      <c r="R432">
        <v>0</v>
      </c>
      <c r="S432">
        <v>0</v>
      </c>
      <c r="T432">
        <v>0</v>
      </c>
      <c r="U432">
        <v>0</v>
      </c>
      <c r="V432" s="18">
        <f t="shared" si="37"/>
        <v>0</v>
      </c>
      <c r="W432" s="18">
        <f t="shared" si="41"/>
        <v>0</v>
      </c>
      <c r="X432" s="18">
        <v>0</v>
      </c>
      <c r="Y432" s="18">
        <v>0</v>
      </c>
    </row>
    <row r="433" spans="1:25" x14ac:dyDescent="0.2">
      <c r="A433" s="18">
        <v>7307</v>
      </c>
      <c r="C433" s="18">
        <v>0</v>
      </c>
      <c r="D433" s="18">
        <v>0</v>
      </c>
      <c r="E433" s="18">
        <v>0</v>
      </c>
      <c r="F433" s="18">
        <f t="shared" si="38"/>
        <v>0</v>
      </c>
      <c r="G433" s="18">
        <v>0</v>
      </c>
      <c r="H433" s="18">
        <v>0</v>
      </c>
      <c r="I433" s="18">
        <f t="shared" si="39"/>
        <v>0</v>
      </c>
      <c r="J433" s="18">
        <v>0</v>
      </c>
      <c r="K433" s="18">
        <v>0</v>
      </c>
      <c r="L433" s="18">
        <f t="shared" si="40"/>
        <v>0</v>
      </c>
      <c r="M433" s="18">
        <v>0</v>
      </c>
      <c r="N433" s="18">
        <v>0</v>
      </c>
      <c r="O433" s="18">
        <v>0</v>
      </c>
      <c r="P433" s="18">
        <v>0</v>
      </c>
      <c r="Q433" s="18">
        <f t="shared" si="42"/>
        <v>0</v>
      </c>
      <c r="R433">
        <v>0</v>
      </c>
      <c r="S433">
        <v>0</v>
      </c>
      <c r="T433">
        <v>0</v>
      </c>
      <c r="U433">
        <v>0</v>
      </c>
      <c r="V433" s="18">
        <f t="shared" si="37"/>
        <v>0</v>
      </c>
      <c r="W433" s="18">
        <f t="shared" si="41"/>
        <v>0</v>
      </c>
      <c r="X433" s="18">
        <v>0</v>
      </c>
      <c r="Y433" s="18">
        <v>0</v>
      </c>
    </row>
    <row r="434" spans="1:25" x14ac:dyDescent="0.2">
      <c r="A434" s="18">
        <v>7311</v>
      </c>
      <c r="C434" s="18">
        <v>0</v>
      </c>
      <c r="D434" s="18">
        <v>0</v>
      </c>
      <c r="E434" s="18">
        <v>0</v>
      </c>
      <c r="F434" s="18">
        <f t="shared" si="38"/>
        <v>0</v>
      </c>
      <c r="G434" s="18">
        <v>0</v>
      </c>
      <c r="H434" s="18">
        <v>0</v>
      </c>
      <c r="I434" s="18">
        <f t="shared" si="39"/>
        <v>0</v>
      </c>
      <c r="J434" s="18">
        <v>0</v>
      </c>
      <c r="K434" s="18">
        <v>0</v>
      </c>
      <c r="L434" s="18">
        <f t="shared" si="40"/>
        <v>0</v>
      </c>
      <c r="M434" s="18">
        <v>0</v>
      </c>
      <c r="N434" s="18">
        <v>0</v>
      </c>
      <c r="O434" s="18">
        <v>0</v>
      </c>
      <c r="P434" s="18">
        <v>0</v>
      </c>
      <c r="Q434" s="18">
        <f t="shared" si="42"/>
        <v>0</v>
      </c>
      <c r="R434">
        <v>0</v>
      </c>
      <c r="S434">
        <v>0</v>
      </c>
      <c r="T434">
        <v>0</v>
      </c>
      <c r="U434">
        <v>0</v>
      </c>
      <c r="V434" s="18">
        <f t="shared" si="37"/>
        <v>0</v>
      </c>
      <c r="W434" s="18">
        <f t="shared" si="41"/>
        <v>0</v>
      </c>
      <c r="X434" s="18">
        <v>0</v>
      </c>
      <c r="Y434" s="18">
        <v>0</v>
      </c>
    </row>
    <row r="435" spans="1:25" x14ac:dyDescent="0.2">
      <c r="A435" s="18">
        <v>7207</v>
      </c>
      <c r="C435" s="18">
        <v>0</v>
      </c>
      <c r="D435" s="18">
        <v>0</v>
      </c>
      <c r="E435" s="18">
        <v>0</v>
      </c>
      <c r="F435" s="18">
        <f t="shared" si="38"/>
        <v>0</v>
      </c>
      <c r="G435" s="18">
        <v>0</v>
      </c>
      <c r="H435" s="18">
        <v>0</v>
      </c>
      <c r="I435" s="18">
        <f t="shared" si="39"/>
        <v>0</v>
      </c>
      <c r="J435" s="18">
        <v>0</v>
      </c>
      <c r="K435" s="18">
        <v>0</v>
      </c>
      <c r="L435" s="18">
        <f t="shared" si="40"/>
        <v>0</v>
      </c>
      <c r="M435" s="18">
        <v>0</v>
      </c>
      <c r="N435" s="18">
        <v>0</v>
      </c>
      <c r="O435" s="18">
        <v>0</v>
      </c>
      <c r="P435" s="18">
        <v>0</v>
      </c>
      <c r="Q435" s="18">
        <f t="shared" si="42"/>
        <v>0</v>
      </c>
      <c r="R435">
        <v>0</v>
      </c>
      <c r="S435">
        <v>0</v>
      </c>
      <c r="T435">
        <v>0</v>
      </c>
      <c r="U435">
        <v>0</v>
      </c>
      <c r="V435" s="18">
        <f t="shared" si="37"/>
        <v>0</v>
      </c>
      <c r="W435" s="18">
        <f t="shared" si="41"/>
        <v>0</v>
      </c>
      <c r="X435" s="18">
        <v>0</v>
      </c>
      <c r="Y435" s="18">
        <v>0</v>
      </c>
    </row>
    <row r="436" spans="1:25" x14ac:dyDescent="0.2">
      <c r="A436" s="18">
        <v>7319</v>
      </c>
      <c r="C436" s="18">
        <v>0</v>
      </c>
      <c r="D436" s="18">
        <v>0</v>
      </c>
      <c r="E436" s="18">
        <v>0</v>
      </c>
      <c r="F436" s="18">
        <f t="shared" si="38"/>
        <v>0</v>
      </c>
      <c r="G436" s="18">
        <v>0</v>
      </c>
      <c r="H436" s="18">
        <v>0</v>
      </c>
      <c r="I436" s="18">
        <f t="shared" si="39"/>
        <v>0</v>
      </c>
      <c r="J436" s="18">
        <v>0</v>
      </c>
      <c r="K436" s="18">
        <v>0</v>
      </c>
      <c r="L436" s="18">
        <f t="shared" si="40"/>
        <v>0</v>
      </c>
      <c r="M436" s="18">
        <v>0</v>
      </c>
      <c r="N436" s="18">
        <v>0</v>
      </c>
      <c r="O436" s="18">
        <v>0</v>
      </c>
      <c r="P436" s="18">
        <v>0</v>
      </c>
      <c r="Q436" s="18">
        <f t="shared" si="42"/>
        <v>0</v>
      </c>
      <c r="R436">
        <v>0</v>
      </c>
      <c r="S436">
        <v>0</v>
      </c>
      <c r="T436">
        <v>0</v>
      </c>
      <c r="U436">
        <v>0</v>
      </c>
      <c r="V436" s="18">
        <f t="shared" si="37"/>
        <v>0</v>
      </c>
      <c r="W436" s="18">
        <f t="shared" si="41"/>
        <v>0</v>
      </c>
      <c r="X436" s="18">
        <v>0</v>
      </c>
      <c r="Y436" s="18">
        <v>0</v>
      </c>
    </row>
    <row r="437" spans="1:25" x14ac:dyDescent="0.2">
      <c r="A437" s="18">
        <v>7323</v>
      </c>
      <c r="C437" s="18">
        <v>0</v>
      </c>
      <c r="D437" s="18">
        <v>0</v>
      </c>
      <c r="E437" s="18">
        <v>0</v>
      </c>
      <c r="F437" s="18">
        <f t="shared" si="38"/>
        <v>0</v>
      </c>
      <c r="G437" s="18">
        <v>0</v>
      </c>
      <c r="H437" s="18">
        <v>0</v>
      </c>
      <c r="I437" s="18">
        <f t="shared" si="39"/>
        <v>0</v>
      </c>
      <c r="J437" s="18">
        <v>0</v>
      </c>
      <c r="K437" s="18">
        <v>0</v>
      </c>
      <c r="L437" s="18">
        <f t="shared" si="40"/>
        <v>0</v>
      </c>
      <c r="M437" s="18">
        <v>0</v>
      </c>
      <c r="N437" s="18">
        <v>0</v>
      </c>
      <c r="O437" s="18">
        <v>0</v>
      </c>
      <c r="P437" s="18">
        <v>0</v>
      </c>
      <c r="Q437" s="18">
        <f t="shared" si="42"/>
        <v>0</v>
      </c>
      <c r="R437">
        <v>0</v>
      </c>
      <c r="S437">
        <v>0</v>
      </c>
      <c r="T437">
        <v>0</v>
      </c>
      <c r="U437">
        <v>0</v>
      </c>
      <c r="V437" s="18">
        <f t="shared" si="37"/>
        <v>0</v>
      </c>
      <c r="W437" s="18">
        <f t="shared" si="41"/>
        <v>0</v>
      </c>
      <c r="X437" s="18">
        <v>0</v>
      </c>
      <c r="Y437" s="18">
        <v>0</v>
      </c>
    </row>
    <row r="438" spans="1:25" x14ac:dyDescent="0.2">
      <c r="A438" s="18">
        <v>7350</v>
      </c>
      <c r="C438" s="18">
        <v>0</v>
      </c>
      <c r="D438" s="18">
        <v>0</v>
      </c>
      <c r="E438" s="18">
        <v>0</v>
      </c>
      <c r="F438" s="18">
        <f t="shared" si="38"/>
        <v>0</v>
      </c>
      <c r="G438" s="18">
        <v>0</v>
      </c>
      <c r="H438" s="18">
        <v>0</v>
      </c>
      <c r="I438" s="18">
        <f t="shared" si="39"/>
        <v>0</v>
      </c>
      <c r="J438" s="18">
        <v>0</v>
      </c>
      <c r="K438" s="18">
        <v>0</v>
      </c>
      <c r="L438" s="18">
        <f t="shared" si="40"/>
        <v>0</v>
      </c>
      <c r="M438" s="18">
        <v>0</v>
      </c>
      <c r="N438" s="18">
        <v>0</v>
      </c>
      <c r="O438" s="18">
        <v>0</v>
      </c>
      <c r="P438" s="18">
        <v>0</v>
      </c>
      <c r="Q438" s="18">
        <f t="shared" si="42"/>
        <v>0</v>
      </c>
      <c r="R438">
        <v>0</v>
      </c>
      <c r="S438">
        <v>0</v>
      </c>
      <c r="T438">
        <v>0</v>
      </c>
      <c r="U438">
        <v>0</v>
      </c>
      <c r="V438" s="18">
        <f t="shared" si="37"/>
        <v>0</v>
      </c>
      <c r="W438" s="18">
        <f t="shared" si="41"/>
        <v>0</v>
      </c>
      <c r="X438" s="18">
        <v>0</v>
      </c>
      <c r="Y438" s="18">
        <v>0</v>
      </c>
    </row>
    <row r="439" spans="1:25" x14ac:dyDescent="0.2">
      <c r="A439" s="18">
        <v>6936</v>
      </c>
      <c r="C439" s="18">
        <v>0</v>
      </c>
      <c r="D439" s="18">
        <v>0</v>
      </c>
      <c r="E439" s="18">
        <v>0</v>
      </c>
      <c r="F439" s="18">
        <f t="shared" si="38"/>
        <v>0</v>
      </c>
      <c r="G439" s="18">
        <v>0</v>
      </c>
      <c r="H439" s="18">
        <v>0</v>
      </c>
      <c r="I439" s="18">
        <f t="shared" si="39"/>
        <v>0</v>
      </c>
      <c r="J439" s="18">
        <v>0</v>
      </c>
      <c r="K439" s="18">
        <v>0</v>
      </c>
      <c r="L439" s="18">
        <f t="shared" si="40"/>
        <v>0</v>
      </c>
      <c r="M439" s="18">
        <v>0</v>
      </c>
      <c r="N439" s="18">
        <v>0</v>
      </c>
      <c r="O439" s="18">
        <v>0</v>
      </c>
      <c r="P439" s="18">
        <v>0</v>
      </c>
      <c r="Q439" s="18">
        <f t="shared" si="42"/>
        <v>0</v>
      </c>
      <c r="R439">
        <v>0</v>
      </c>
      <c r="S439">
        <v>0</v>
      </c>
      <c r="T439">
        <v>0</v>
      </c>
      <c r="U439">
        <v>0</v>
      </c>
      <c r="V439" s="18">
        <f t="shared" si="37"/>
        <v>0</v>
      </c>
      <c r="W439" s="18">
        <f t="shared" si="41"/>
        <v>0</v>
      </c>
      <c r="X439" s="18">
        <v>0</v>
      </c>
      <c r="Y439" s="18">
        <v>0</v>
      </c>
    </row>
    <row r="440" spans="1:25" x14ac:dyDescent="0.2">
      <c r="A440" s="18">
        <v>7368</v>
      </c>
      <c r="C440" s="18">
        <v>0</v>
      </c>
      <c r="D440" s="18">
        <v>0</v>
      </c>
      <c r="E440" s="18">
        <v>0</v>
      </c>
      <c r="F440" s="18">
        <f t="shared" si="38"/>
        <v>0</v>
      </c>
      <c r="G440" s="18">
        <v>0</v>
      </c>
      <c r="H440" s="18">
        <v>0</v>
      </c>
      <c r="I440" s="18">
        <f t="shared" si="39"/>
        <v>0</v>
      </c>
      <c r="J440" s="18">
        <v>0</v>
      </c>
      <c r="K440" s="18">
        <v>0</v>
      </c>
      <c r="L440" s="18">
        <f t="shared" si="40"/>
        <v>0</v>
      </c>
      <c r="M440" s="18">
        <v>0</v>
      </c>
      <c r="N440" s="18">
        <v>0</v>
      </c>
      <c r="O440" s="18">
        <v>0</v>
      </c>
      <c r="P440" s="18">
        <v>0</v>
      </c>
      <c r="Q440" s="18">
        <f t="shared" si="42"/>
        <v>0</v>
      </c>
      <c r="R440">
        <v>0</v>
      </c>
      <c r="S440">
        <v>0</v>
      </c>
      <c r="T440">
        <v>0</v>
      </c>
      <c r="U440">
        <v>0</v>
      </c>
      <c r="V440" s="18">
        <f t="shared" si="37"/>
        <v>0</v>
      </c>
      <c r="W440" s="18">
        <f t="shared" si="41"/>
        <v>0</v>
      </c>
      <c r="X440" s="18">
        <v>0</v>
      </c>
      <c r="Y440" s="18">
        <v>0</v>
      </c>
    </row>
    <row r="441" spans="1:25" x14ac:dyDescent="0.2">
      <c r="A441" s="18">
        <v>7365</v>
      </c>
      <c r="C441" s="18">
        <v>0</v>
      </c>
      <c r="D441" s="18">
        <v>0</v>
      </c>
      <c r="E441" s="18">
        <v>0</v>
      </c>
      <c r="F441" s="18">
        <f t="shared" si="38"/>
        <v>0</v>
      </c>
      <c r="G441" s="18">
        <v>0</v>
      </c>
      <c r="H441" s="18">
        <v>0</v>
      </c>
      <c r="I441" s="18">
        <f t="shared" si="39"/>
        <v>0</v>
      </c>
      <c r="J441" s="18">
        <v>0</v>
      </c>
      <c r="K441" s="18">
        <v>0</v>
      </c>
      <c r="L441" s="18">
        <f t="shared" si="40"/>
        <v>0</v>
      </c>
      <c r="M441" s="18">
        <v>0</v>
      </c>
      <c r="N441" s="18">
        <v>0</v>
      </c>
      <c r="O441" s="18">
        <v>0</v>
      </c>
      <c r="P441" s="18">
        <v>0</v>
      </c>
      <c r="Q441" s="18">
        <f t="shared" si="42"/>
        <v>0</v>
      </c>
      <c r="R441">
        <v>0</v>
      </c>
      <c r="S441">
        <v>0</v>
      </c>
      <c r="T441">
        <v>0</v>
      </c>
      <c r="U441">
        <v>0</v>
      </c>
      <c r="V441" s="18">
        <f t="shared" si="37"/>
        <v>0</v>
      </c>
      <c r="W441" s="18">
        <f t="shared" si="41"/>
        <v>0</v>
      </c>
      <c r="X441" s="18">
        <v>0</v>
      </c>
      <c r="Y441" s="18">
        <v>0</v>
      </c>
    </row>
    <row r="442" spans="1:25" x14ac:dyDescent="0.2">
      <c r="A442" s="18">
        <v>7370</v>
      </c>
      <c r="C442" s="18">
        <v>0</v>
      </c>
      <c r="D442" s="18">
        <v>0</v>
      </c>
      <c r="E442" s="18">
        <v>0</v>
      </c>
      <c r="F442" s="18">
        <f t="shared" si="38"/>
        <v>0</v>
      </c>
      <c r="G442" s="18">
        <v>0</v>
      </c>
      <c r="H442" s="18">
        <v>0</v>
      </c>
      <c r="I442" s="18">
        <f t="shared" si="39"/>
        <v>0</v>
      </c>
      <c r="J442" s="18">
        <v>0</v>
      </c>
      <c r="K442" s="18">
        <v>0</v>
      </c>
      <c r="L442" s="18">
        <f t="shared" si="40"/>
        <v>0</v>
      </c>
      <c r="M442" s="18">
        <v>0</v>
      </c>
      <c r="N442" s="18">
        <v>0</v>
      </c>
      <c r="O442" s="18">
        <v>0</v>
      </c>
      <c r="P442" s="18">
        <v>0</v>
      </c>
      <c r="Q442" s="18">
        <f t="shared" si="42"/>
        <v>0</v>
      </c>
      <c r="R442">
        <v>0</v>
      </c>
      <c r="S442">
        <v>0</v>
      </c>
      <c r="T442">
        <v>0</v>
      </c>
      <c r="U442">
        <v>0</v>
      </c>
      <c r="V442" s="18">
        <f t="shared" si="37"/>
        <v>0</v>
      </c>
      <c r="W442" s="18">
        <f t="shared" si="41"/>
        <v>0</v>
      </c>
      <c r="X442" s="18">
        <v>0</v>
      </c>
      <c r="Y442" s="18">
        <v>0</v>
      </c>
    </row>
    <row r="443" spans="1:25" x14ac:dyDescent="0.2">
      <c r="A443" s="18">
        <v>7373</v>
      </c>
      <c r="C443" s="18">
        <v>0</v>
      </c>
      <c r="D443" s="18">
        <v>0</v>
      </c>
      <c r="E443" s="18">
        <v>0</v>
      </c>
      <c r="F443" s="18">
        <f t="shared" si="38"/>
        <v>0</v>
      </c>
      <c r="G443" s="18">
        <v>0</v>
      </c>
      <c r="H443" s="18">
        <v>0</v>
      </c>
      <c r="I443" s="18">
        <f t="shared" si="39"/>
        <v>0</v>
      </c>
      <c r="J443" s="18">
        <v>0</v>
      </c>
      <c r="K443" s="18">
        <v>0</v>
      </c>
      <c r="L443" s="18">
        <f t="shared" si="40"/>
        <v>0</v>
      </c>
      <c r="M443" s="18">
        <v>0</v>
      </c>
      <c r="N443" s="18">
        <v>0</v>
      </c>
      <c r="O443" s="18">
        <v>0</v>
      </c>
      <c r="P443" s="18">
        <v>0</v>
      </c>
      <c r="Q443" s="18">
        <f t="shared" si="42"/>
        <v>0</v>
      </c>
      <c r="R443">
        <v>0</v>
      </c>
      <c r="S443">
        <v>0</v>
      </c>
      <c r="T443">
        <v>0</v>
      </c>
      <c r="U443">
        <v>0</v>
      </c>
      <c r="V443" s="18">
        <f t="shared" si="37"/>
        <v>0</v>
      </c>
      <c r="W443" s="18">
        <f t="shared" si="41"/>
        <v>0</v>
      </c>
      <c r="X443" s="18">
        <v>0</v>
      </c>
      <c r="Y443" s="18">
        <v>0</v>
      </c>
    </row>
    <row r="444" spans="1:25" x14ac:dyDescent="0.2">
      <c r="A444" s="18">
        <v>7393</v>
      </c>
      <c r="C444" s="18">
        <v>0</v>
      </c>
      <c r="D444" s="18">
        <v>0</v>
      </c>
      <c r="E444" s="18">
        <v>0</v>
      </c>
      <c r="F444" s="18">
        <f t="shared" si="38"/>
        <v>0</v>
      </c>
      <c r="G444" s="18">
        <v>0</v>
      </c>
      <c r="H444" s="18">
        <v>0</v>
      </c>
      <c r="I444" s="18">
        <f t="shared" si="39"/>
        <v>0</v>
      </c>
      <c r="J444" s="18">
        <v>0</v>
      </c>
      <c r="K444" s="18">
        <v>0</v>
      </c>
      <c r="L444" s="18">
        <f t="shared" si="40"/>
        <v>0</v>
      </c>
      <c r="M444" s="18">
        <v>0</v>
      </c>
      <c r="N444" s="18">
        <v>0</v>
      </c>
      <c r="O444" s="18">
        <v>0</v>
      </c>
      <c r="P444" s="18">
        <v>0</v>
      </c>
      <c r="Q444" s="18">
        <f t="shared" si="42"/>
        <v>0</v>
      </c>
      <c r="R444">
        <v>0</v>
      </c>
      <c r="S444">
        <v>0</v>
      </c>
      <c r="T444">
        <v>0</v>
      </c>
      <c r="U444">
        <v>0</v>
      </c>
      <c r="V444" s="18">
        <f t="shared" si="37"/>
        <v>0</v>
      </c>
      <c r="W444" s="18">
        <f t="shared" si="41"/>
        <v>0</v>
      </c>
      <c r="X444" s="18">
        <v>0</v>
      </c>
      <c r="Y444" s="18">
        <v>0</v>
      </c>
    </row>
    <row r="445" spans="1:25" x14ac:dyDescent="0.2">
      <c r="A445" s="18">
        <v>7407</v>
      </c>
      <c r="C445" s="18">
        <v>0</v>
      </c>
      <c r="D445" s="18">
        <v>0</v>
      </c>
      <c r="E445" s="18">
        <v>0</v>
      </c>
      <c r="F445" s="18">
        <f t="shared" si="38"/>
        <v>0</v>
      </c>
      <c r="G445" s="18">
        <v>0</v>
      </c>
      <c r="H445" s="18">
        <v>0</v>
      </c>
      <c r="I445" s="18">
        <f t="shared" si="39"/>
        <v>0</v>
      </c>
      <c r="J445" s="18">
        <v>0</v>
      </c>
      <c r="K445" s="18">
        <v>0</v>
      </c>
      <c r="L445" s="18">
        <f t="shared" si="40"/>
        <v>0</v>
      </c>
      <c r="M445" s="18">
        <v>0</v>
      </c>
      <c r="N445" s="18">
        <v>0</v>
      </c>
      <c r="O445" s="18">
        <v>0</v>
      </c>
      <c r="P445" s="18">
        <v>0</v>
      </c>
      <c r="Q445" s="18">
        <f t="shared" si="42"/>
        <v>0</v>
      </c>
      <c r="R445">
        <v>0</v>
      </c>
      <c r="S445">
        <v>0</v>
      </c>
      <c r="T445">
        <v>0</v>
      </c>
      <c r="U445">
        <v>0</v>
      </c>
      <c r="V445" s="18">
        <f t="shared" si="37"/>
        <v>0</v>
      </c>
      <c r="W445" s="18">
        <f t="shared" si="41"/>
        <v>0</v>
      </c>
      <c r="X445" s="18">
        <v>0</v>
      </c>
      <c r="Y445" s="18">
        <v>0</v>
      </c>
    </row>
    <row r="446" spans="1:25" x14ac:dyDescent="0.2">
      <c r="A446" s="18">
        <v>7411</v>
      </c>
      <c r="C446" s="18">
        <v>0</v>
      </c>
      <c r="D446" s="18">
        <v>0</v>
      </c>
      <c r="E446" s="18">
        <v>0</v>
      </c>
      <c r="F446" s="18">
        <f t="shared" si="38"/>
        <v>0</v>
      </c>
      <c r="G446" s="18">
        <v>0</v>
      </c>
      <c r="H446" s="18">
        <v>8.3333333333333332E-3</v>
      </c>
      <c r="I446" s="18">
        <f t="shared" si="39"/>
        <v>8.3333333333333332E-3</v>
      </c>
      <c r="J446" s="18">
        <v>0</v>
      </c>
      <c r="K446" s="18">
        <v>0</v>
      </c>
      <c r="L446" s="18">
        <f t="shared" si="40"/>
        <v>0</v>
      </c>
      <c r="M446" s="18">
        <v>0</v>
      </c>
      <c r="N446" s="18">
        <v>0</v>
      </c>
      <c r="O446" s="18">
        <v>0</v>
      </c>
      <c r="P446" s="18">
        <v>0</v>
      </c>
      <c r="Q446" s="18">
        <f t="shared" si="42"/>
        <v>0</v>
      </c>
      <c r="R446">
        <v>0</v>
      </c>
      <c r="S446">
        <v>0</v>
      </c>
      <c r="T446">
        <v>0</v>
      </c>
      <c r="U446">
        <v>0</v>
      </c>
      <c r="V446" s="18">
        <f t="shared" si="37"/>
        <v>0</v>
      </c>
      <c r="W446" s="18">
        <f t="shared" si="41"/>
        <v>0</v>
      </c>
      <c r="X446" s="18">
        <v>0</v>
      </c>
      <c r="Y446" s="18">
        <v>0</v>
      </c>
    </row>
    <row r="447" spans="1:25" x14ac:dyDescent="0.2">
      <c r="A447" s="18">
        <v>7409</v>
      </c>
      <c r="C447" s="18">
        <v>0</v>
      </c>
      <c r="D447" s="18">
        <v>0</v>
      </c>
      <c r="E447" s="18">
        <v>0</v>
      </c>
      <c r="F447" s="18">
        <f t="shared" si="38"/>
        <v>0</v>
      </c>
      <c r="G447" s="18">
        <v>0</v>
      </c>
      <c r="H447" s="18">
        <v>0</v>
      </c>
      <c r="I447" s="18">
        <f t="shared" si="39"/>
        <v>0</v>
      </c>
      <c r="J447" s="18">
        <v>0</v>
      </c>
      <c r="K447" s="18">
        <v>0</v>
      </c>
      <c r="L447" s="18">
        <f t="shared" si="40"/>
        <v>0</v>
      </c>
      <c r="M447" s="18">
        <v>0</v>
      </c>
      <c r="N447" s="18">
        <v>0</v>
      </c>
      <c r="O447" s="18">
        <v>0</v>
      </c>
      <c r="P447" s="18">
        <v>0</v>
      </c>
      <c r="Q447" s="18">
        <f t="shared" si="42"/>
        <v>0</v>
      </c>
      <c r="R447">
        <v>0</v>
      </c>
      <c r="S447">
        <v>0</v>
      </c>
      <c r="T447">
        <v>0</v>
      </c>
      <c r="U447">
        <v>0</v>
      </c>
      <c r="V447" s="18">
        <f t="shared" si="37"/>
        <v>0</v>
      </c>
      <c r="W447" s="18">
        <f t="shared" si="41"/>
        <v>0</v>
      </c>
      <c r="X447" s="18">
        <v>0</v>
      </c>
      <c r="Y447" s="18">
        <v>0</v>
      </c>
    </row>
    <row r="448" spans="1:25" x14ac:dyDescent="0.2">
      <c r="A448" s="18">
        <v>7426</v>
      </c>
      <c r="C448" s="18">
        <v>0</v>
      </c>
      <c r="D448" s="18">
        <v>0</v>
      </c>
      <c r="E448" s="18">
        <v>0</v>
      </c>
      <c r="F448" s="18">
        <f t="shared" si="38"/>
        <v>0</v>
      </c>
      <c r="G448" s="18">
        <v>3.2993333333333337</v>
      </c>
      <c r="H448" s="18">
        <v>0.71518833333333331</v>
      </c>
      <c r="I448" s="18">
        <f t="shared" si="39"/>
        <v>4.014521666666667</v>
      </c>
      <c r="J448" s="18">
        <v>0</v>
      </c>
      <c r="K448" s="18">
        <v>0</v>
      </c>
      <c r="L448" s="18">
        <f t="shared" si="40"/>
        <v>0</v>
      </c>
      <c r="M448" s="18">
        <v>0</v>
      </c>
      <c r="N448" s="18">
        <v>1.0138333333333334</v>
      </c>
      <c r="O448" s="18">
        <v>0</v>
      </c>
      <c r="P448" s="18">
        <v>0</v>
      </c>
      <c r="Q448" s="18">
        <f t="shared" si="42"/>
        <v>1.0138333333333334</v>
      </c>
      <c r="R448">
        <v>0.317</v>
      </c>
      <c r="S448">
        <v>0</v>
      </c>
      <c r="T448">
        <v>0.16299999999999998</v>
      </c>
      <c r="U448">
        <v>0</v>
      </c>
      <c r="V448" s="18">
        <f t="shared" si="37"/>
        <v>1.0138333333333334</v>
      </c>
      <c r="W448" s="18">
        <f t="shared" si="41"/>
        <v>0</v>
      </c>
      <c r="X448" s="18">
        <v>0</v>
      </c>
      <c r="Y448" s="18">
        <v>0</v>
      </c>
    </row>
    <row r="449" spans="1:25" x14ac:dyDescent="0.2">
      <c r="A449" s="18">
        <v>7352</v>
      </c>
      <c r="C449" s="18">
        <v>0</v>
      </c>
      <c r="D449" s="18">
        <v>0</v>
      </c>
      <c r="E449" s="18">
        <v>0</v>
      </c>
      <c r="F449" s="18">
        <f t="shared" si="38"/>
        <v>0</v>
      </c>
      <c r="G449" s="18">
        <v>0</v>
      </c>
      <c r="H449" s="18">
        <v>0</v>
      </c>
      <c r="I449" s="18">
        <f t="shared" si="39"/>
        <v>0</v>
      </c>
      <c r="J449" s="18">
        <v>0</v>
      </c>
      <c r="K449" s="18">
        <v>0</v>
      </c>
      <c r="L449" s="18">
        <f t="shared" si="40"/>
        <v>0</v>
      </c>
      <c r="M449" s="18">
        <v>0</v>
      </c>
      <c r="N449" s="18">
        <v>0</v>
      </c>
      <c r="O449" s="18">
        <v>0</v>
      </c>
      <c r="P449" s="18">
        <v>0</v>
      </c>
      <c r="Q449" s="18">
        <f t="shared" si="42"/>
        <v>0</v>
      </c>
      <c r="R449">
        <v>0</v>
      </c>
      <c r="S449">
        <v>0</v>
      </c>
      <c r="T449">
        <v>0</v>
      </c>
      <c r="U449">
        <v>0</v>
      </c>
      <c r="V449" s="18">
        <f t="shared" si="37"/>
        <v>0</v>
      </c>
      <c r="W449" s="18">
        <f t="shared" si="41"/>
        <v>0</v>
      </c>
      <c r="X449" s="18">
        <v>0</v>
      </c>
      <c r="Y449" s="18">
        <v>0</v>
      </c>
    </row>
    <row r="450" spans="1:25" x14ac:dyDescent="0.2">
      <c r="A450" s="18">
        <v>7389</v>
      </c>
      <c r="C450" s="18">
        <v>0</v>
      </c>
      <c r="D450" s="18">
        <v>0</v>
      </c>
      <c r="E450" s="18">
        <v>0</v>
      </c>
      <c r="F450" s="18">
        <f t="shared" si="38"/>
        <v>0</v>
      </c>
      <c r="G450" s="18">
        <v>0</v>
      </c>
      <c r="H450" s="18">
        <v>0</v>
      </c>
      <c r="I450" s="18">
        <f t="shared" si="39"/>
        <v>0</v>
      </c>
      <c r="J450" s="18">
        <v>0</v>
      </c>
      <c r="K450" s="18">
        <v>0</v>
      </c>
      <c r="L450" s="18">
        <f t="shared" si="40"/>
        <v>0</v>
      </c>
      <c r="M450" s="18">
        <v>0</v>
      </c>
      <c r="N450" s="18">
        <v>0</v>
      </c>
      <c r="O450" s="18">
        <v>0</v>
      </c>
      <c r="P450" s="18">
        <v>0</v>
      </c>
      <c r="Q450" s="18">
        <f t="shared" si="42"/>
        <v>0</v>
      </c>
      <c r="R450">
        <v>0</v>
      </c>
      <c r="S450">
        <v>0</v>
      </c>
      <c r="T450">
        <v>0</v>
      </c>
      <c r="U450">
        <v>0</v>
      </c>
      <c r="V450" s="18">
        <f t="shared" si="37"/>
        <v>0</v>
      </c>
      <c r="W450" s="18">
        <f t="shared" si="41"/>
        <v>0</v>
      </c>
      <c r="X450" s="18">
        <v>0</v>
      </c>
      <c r="Y450" s="18">
        <v>0</v>
      </c>
    </row>
    <row r="451" spans="1:25" x14ac:dyDescent="0.2">
      <c r="A451" s="18">
        <v>6542</v>
      </c>
      <c r="C451" s="18">
        <v>0</v>
      </c>
      <c r="D451" s="18">
        <v>0</v>
      </c>
      <c r="E451" s="18">
        <v>0</v>
      </c>
      <c r="F451" s="18">
        <f t="shared" si="38"/>
        <v>0</v>
      </c>
      <c r="G451" s="18">
        <v>0</v>
      </c>
      <c r="H451" s="18">
        <v>0</v>
      </c>
      <c r="I451" s="18">
        <f t="shared" si="39"/>
        <v>0</v>
      </c>
      <c r="J451" s="18">
        <v>0</v>
      </c>
      <c r="K451" s="18">
        <v>0</v>
      </c>
      <c r="L451" s="18">
        <f t="shared" si="40"/>
        <v>0</v>
      </c>
      <c r="M451" s="18">
        <v>0</v>
      </c>
      <c r="N451" s="18">
        <v>0</v>
      </c>
      <c r="O451" s="18">
        <v>0</v>
      </c>
      <c r="P451" s="18">
        <v>0</v>
      </c>
      <c r="Q451" s="18">
        <f t="shared" si="42"/>
        <v>0</v>
      </c>
      <c r="R451">
        <v>0</v>
      </c>
      <c r="S451">
        <v>0</v>
      </c>
      <c r="T451">
        <v>0</v>
      </c>
      <c r="U451">
        <v>0</v>
      </c>
      <c r="V451" s="18">
        <f t="shared" si="37"/>
        <v>0</v>
      </c>
      <c r="W451" s="18">
        <f t="shared" si="41"/>
        <v>0</v>
      </c>
      <c r="X451" s="18">
        <v>0</v>
      </c>
      <c r="Y451" s="18">
        <v>0</v>
      </c>
    </row>
    <row r="452" spans="1:25" x14ac:dyDescent="0.2">
      <c r="A452" s="18">
        <v>7436</v>
      </c>
      <c r="C452" s="18">
        <v>0</v>
      </c>
      <c r="D452" s="18">
        <v>0</v>
      </c>
      <c r="E452" s="18">
        <v>0</v>
      </c>
      <c r="F452" s="18">
        <f t="shared" si="38"/>
        <v>0</v>
      </c>
      <c r="G452" s="18">
        <v>0</v>
      </c>
      <c r="H452" s="18">
        <v>0</v>
      </c>
      <c r="I452" s="18">
        <f t="shared" si="39"/>
        <v>0</v>
      </c>
      <c r="J452" s="18">
        <v>0</v>
      </c>
      <c r="K452" s="18">
        <v>0</v>
      </c>
      <c r="L452" s="18">
        <f t="shared" si="40"/>
        <v>0</v>
      </c>
      <c r="M452" s="18">
        <v>0</v>
      </c>
      <c r="N452" s="18">
        <v>0</v>
      </c>
      <c r="O452" s="18">
        <v>0</v>
      </c>
      <c r="P452" s="18">
        <v>0</v>
      </c>
      <c r="Q452" s="18">
        <f t="shared" si="42"/>
        <v>0</v>
      </c>
      <c r="R452">
        <v>0</v>
      </c>
      <c r="S452">
        <v>0</v>
      </c>
      <c r="T452">
        <v>0</v>
      </c>
      <c r="U452">
        <v>0</v>
      </c>
      <c r="V452" s="18">
        <f t="shared" ref="V452:V515" si="43">M452+N452</f>
        <v>0</v>
      </c>
      <c r="W452" s="18">
        <f t="shared" si="41"/>
        <v>0</v>
      </c>
      <c r="X452" s="18">
        <v>0</v>
      </c>
      <c r="Y452" s="18">
        <v>0</v>
      </c>
    </row>
    <row r="453" spans="1:25" x14ac:dyDescent="0.2">
      <c r="A453" s="18">
        <v>7482</v>
      </c>
      <c r="C453" s="18">
        <v>0</v>
      </c>
      <c r="D453" s="18">
        <v>0</v>
      </c>
      <c r="E453" s="18">
        <v>0</v>
      </c>
      <c r="F453" s="18">
        <f t="shared" ref="F453:F516" si="44">SUM(D453:E453)</f>
        <v>0</v>
      </c>
      <c r="G453" s="18">
        <v>0</v>
      </c>
      <c r="H453" s="18">
        <v>0</v>
      </c>
      <c r="I453" s="18">
        <f t="shared" ref="I453:I516" si="45">SUM(G453:H453)</f>
        <v>0</v>
      </c>
      <c r="J453" s="18">
        <v>0</v>
      </c>
      <c r="K453" s="18">
        <v>0</v>
      </c>
      <c r="L453" s="18">
        <f t="shared" ref="L453:L516" si="46">SUM(J453:K453)</f>
        <v>0</v>
      </c>
      <c r="M453" s="18">
        <v>0</v>
      </c>
      <c r="N453" s="18">
        <v>0</v>
      </c>
      <c r="O453" s="18">
        <v>0</v>
      </c>
      <c r="P453" s="18">
        <v>0</v>
      </c>
      <c r="Q453" s="18">
        <f t="shared" si="42"/>
        <v>0</v>
      </c>
      <c r="R453">
        <v>0</v>
      </c>
      <c r="S453">
        <v>0</v>
      </c>
      <c r="T453">
        <v>0</v>
      </c>
      <c r="U453">
        <v>0</v>
      </c>
      <c r="V453" s="18">
        <f t="shared" si="43"/>
        <v>0</v>
      </c>
      <c r="W453" s="18">
        <f t="shared" ref="W453:W516" si="47">O453+P453</f>
        <v>0</v>
      </c>
      <c r="X453" s="18">
        <v>0</v>
      </c>
      <c r="Y453" s="18">
        <v>0</v>
      </c>
    </row>
    <row r="454" spans="1:25" x14ac:dyDescent="0.2">
      <c r="A454" s="18">
        <v>7485</v>
      </c>
      <c r="C454" s="18">
        <v>0</v>
      </c>
      <c r="D454" s="18">
        <v>0</v>
      </c>
      <c r="E454" s="18">
        <v>0</v>
      </c>
      <c r="F454" s="18">
        <f t="shared" si="44"/>
        <v>0</v>
      </c>
      <c r="G454" s="18">
        <v>0</v>
      </c>
      <c r="H454" s="18">
        <v>0</v>
      </c>
      <c r="I454" s="18">
        <f t="shared" si="45"/>
        <v>0</v>
      </c>
      <c r="J454" s="18">
        <v>0</v>
      </c>
      <c r="K454" s="18">
        <v>0</v>
      </c>
      <c r="L454" s="18">
        <f t="shared" si="46"/>
        <v>0</v>
      </c>
      <c r="M454" s="18">
        <v>0</v>
      </c>
      <c r="N454" s="18">
        <v>0</v>
      </c>
      <c r="O454" s="18">
        <v>0</v>
      </c>
      <c r="P454" s="18">
        <v>0</v>
      </c>
      <c r="Q454" s="18">
        <f t="shared" si="42"/>
        <v>0</v>
      </c>
      <c r="R454">
        <v>0</v>
      </c>
      <c r="S454">
        <v>0</v>
      </c>
      <c r="T454">
        <v>0</v>
      </c>
      <c r="U454">
        <v>0</v>
      </c>
      <c r="V454" s="18">
        <f t="shared" si="43"/>
        <v>0</v>
      </c>
      <c r="W454" s="18">
        <f t="shared" si="47"/>
        <v>0</v>
      </c>
      <c r="X454" s="18">
        <v>0</v>
      </c>
      <c r="Y454" s="18">
        <v>0</v>
      </c>
    </row>
    <row r="455" spans="1:25" x14ac:dyDescent="0.2">
      <c r="A455" s="18">
        <v>7486</v>
      </c>
      <c r="C455" s="18">
        <v>0</v>
      </c>
      <c r="D455" s="18">
        <v>0</v>
      </c>
      <c r="E455" s="18">
        <v>0</v>
      </c>
      <c r="F455" s="18">
        <f t="shared" si="44"/>
        <v>0</v>
      </c>
      <c r="G455" s="18">
        <v>0</v>
      </c>
      <c r="H455" s="18">
        <v>0</v>
      </c>
      <c r="I455" s="18">
        <f t="shared" si="45"/>
        <v>0</v>
      </c>
      <c r="J455" s="18">
        <v>0</v>
      </c>
      <c r="K455" s="18">
        <v>0</v>
      </c>
      <c r="L455" s="18">
        <f t="shared" si="46"/>
        <v>0</v>
      </c>
      <c r="M455" s="18">
        <v>0</v>
      </c>
      <c r="N455" s="18">
        <v>0</v>
      </c>
      <c r="O455" s="18">
        <v>0</v>
      </c>
      <c r="P455" s="18">
        <v>0</v>
      </c>
      <c r="Q455" s="18">
        <f t="shared" si="42"/>
        <v>0</v>
      </c>
      <c r="R455">
        <v>0</v>
      </c>
      <c r="S455">
        <v>0</v>
      </c>
      <c r="T455">
        <v>0</v>
      </c>
      <c r="U455">
        <v>0</v>
      </c>
      <c r="V455" s="18">
        <f t="shared" si="43"/>
        <v>0</v>
      </c>
      <c r="W455" s="18">
        <f t="shared" si="47"/>
        <v>0</v>
      </c>
      <c r="X455" s="18">
        <v>0</v>
      </c>
      <c r="Y455" s="18">
        <v>0</v>
      </c>
    </row>
    <row r="456" spans="1:25" x14ac:dyDescent="0.2">
      <c r="A456" s="18">
        <v>7488</v>
      </c>
      <c r="C456" s="18">
        <v>0</v>
      </c>
      <c r="D456" s="18">
        <v>0</v>
      </c>
      <c r="E456" s="18">
        <v>0</v>
      </c>
      <c r="F456" s="18">
        <f t="shared" si="44"/>
        <v>0</v>
      </c>
      <c r="G456" s="18">
        <v>0</v>
      </c>
      <c r="H456" s="18">
        <v>0</v>
      </c>
      <c r="I456" s="18">
        <f t="shared" si="45"/>
        <v>0</v>
      </c>
      <c r="J456" s="18">
        <v>0</v>
      </c>
      <c r="K456" s="18">
        <v>0</v>
      </c>
      <c r="L456" s="18">
        <f t="shared" si="46"/>
        <v>0</v>
      </c>
      <c r="M456" s="18">
        <v>0</v>
      </c>
      <c r="N456" s="18">
        <v>0</v>
      </c>
      <c r="O456" s="18">
        <v>0</v>
      </c>
      <c r="P456" s="18">
        <v>0</v>
      </c>
      <c r="Q456" s="18">
        <f t="shared" si="42"/>
        <v>0</v>
      </c>
      <c r="R456">
        <v>0</v>
      </c>
      <c r="S456">
        <v>0</v>
      </c>
      <c r="T456">
        <v>0</v>
      </c>
      <c r="U456">
        <v>0</v>
      </c>
      <c r="V456" s="18">
        <f t="shared" si="43"/>
        <v>0</v>
      </c>
      <c r="W456" s="18">
        <f t="shared" si="47"/>
        <v>0</v>
      </c>
      <c r="X456" s="18">
        <v>0</v>
      </c>
      <c r="Y456" s="18">
        <v>0</v>
      </c>
    </row>
    <row r="457" spans="1:25" x14ac:dyDescent="0.2">
      <c r="A457" s="18">
        <v>7495</v>
      </c>
      <c r="C457" s="18">
        <v>0</v>
      </c>
      <c r="D457" s="18">
        <v>0</v>
      </c>
      <c r="E457" s="18">
        <v>0</v>
      </c>
      <c r="F457" s="18">
        <f t="shared" si="44"/>
        <v>0</v>
      </c>
      <c r="G457" s="18">
        <v>0</v>
      </c>
      <c r="H457" s="18">
        <v>0</v>
      </c>
      <c r="I457" s="18">
        <f t="shared" si="45"/>
        <v>0</v>
      </c>
      <c r="J457" s="18">
        <v>0</v>
      </c>
      <c r="K457" s="18">
        <v>0</v>
      </c>
      <c r="L457" s="18">
        <f t="shared" si="46"/>
        <v>0</v>
      </c>
      <c r="M457" s="18">
        <v>0</v>
      </c>
      <c r="N457" s="18">
        <v>0</v>
      </c>
      <c r="O457" s="18">
        <v>0</v>
      </c>
      <c r="P457" s="18">
        <v>0</v>
      </c>
      <c r="Q457" s="18">
        <f t="shared" si="42"/>
        <v>0</v>
      </c>
      <c r="R457">
        <v>0</v>
      </c>
      <c r="S457">
        <v>0</v>
      </c>
      <c r="T457">
        <v>0</v>
      </c>
      <c r="U457">
        <v>0</v>
      </c>
      <c r="V457" s="18">
        <f t="shared" si="43"/>
        <v>0</v>
      </c>
      <c r="W457" s="18">
        <f t="shared" si="47"/>
        <v>0</v>
      </c>
      <c r="X457" s="18">
        <v>0</v>
      </c>
      <c r="Y457" s="18">
        <v>0</v>
      </c>
    </row>
    <row r="458" spans="1:25" x14ac:dyDescent="0.2">
      <c r="A458" s="18">
        <v>7491</v>
      </c>
      <c r="C458" s="18">
        <v>0</v>
      </c>
      <c r="D458" s="18">
        <v>0</v>
      </c>
      <c r="E458" s="18">
        <v>0</v>
      </c>
      <c r="F458" s="18">
        <f t="shared" si="44"/>
        <v>0</v>
      </c>
      <c r="G458" s="18">
        <v>0</v>
      </c>
      <c r="H458" s="18">
        <v>0</v>
      </c>
      <c r="I458" s="18">
        <f t="shared" si="45"/>
        <v>0</v>
      </c>
      <c r="J458" s="18">
        <v>0</v>
      </c>
      <c r="K458" s="18">
        <v>0</v>
      </c>
      <c r="L458" s="18">
        <f t="shared" si="46"/>
        <v>0</v>
      </c>
      <c r="M458" s="18">
        <v>0</v>
      </c>
      <c r="N458" s="18">
        <v>0</v>
      </c>
      <c r="O458" s="18">
        <v>0</v>
      </c>
      <c r="P458" s="18">
        <v>0</v>
      </c>
      <c r="Q458" s="18">
        <f t="shared" si="42"/>
        <v>0</v>
      </c>
      <c r="R458">
        <v>0</v>
      </c>
      <c r="S458">
        <v>0</v>
      </c>
      <c r="T458">
        <v>0</v>
      </c>
      <c r="U458">
        <v>0</v>
      </c>
      <c r="V458" s="18">
        <f t="shared" si="43"/>
        <v>0</v>
      </c>
      <c r="W458" s="18">
        <f t="shared" si="47"/>
        <v>0</v>
      </c>
      <c r="X458" s="18">
        <v>0</v>
      </c>
      <c r="Y458" s="18">
        <v>0</v>
      </c>
    </row>
    <row r="459" spans="1:25" x14ac:dyDescent="0.2">
      <c r="A459" s="18">
        <v>7330</v>
      </c>
      <c r="C459" s="18">
        <v>0</v>
      </c>
      <c r="D459" s="18">
        <v>0</v>
      </c>
      <c r="E459" s="18">
        <v>0</v>
      </c>
      <c r="F459" s="18">
        <f t="shared" si="44"/>
        <v>0</v>
      </c>
      <c r="G459" s="18">
        <v>0</v>
      </c>
      <c r="H459" s="18">
        <v>0</v>
      </c>
      <c r="I459" s="18">
        <f t="shared" si="45"/>
        <v>0</v>
      </c>
      <c r="J459" s="18">
        <v>0</v>
      </c>
      <c r="K459" s="18">
        <v>0</v>
      </c>
      <c r="L459" s="18">
        <f t="shared" si="46"/>
        <v>0</v>
      </c>
      <c r="M459" s="18">
        <v>0</v>
      </c>
      <c r="N459" s="18">
        <v>0</v>
      </c>
      <c r="O459" s="18">
        <v>0</v>
      </c>
      <c r="P459" s="18">
        <v>0</v>
      </c>
      <c r="Q459" s="18">
        <f t="shared" si="42"/>
        <v>0</v>
      </c>
      <c r="R459">
        <v>0</v>
      </c>
      <c r="S459">
        <v>0</v>
      </c>
      <c r="T459">
        <v>0</v>
      </c>
      <c r="U459">
        <v>0</v>
      </c>
      <c r="V459" s="18">
        <f t="shared" si="43"/>
        <v>0</v>
      </c>
      <c r="W459" s="18">
        <f t="shared" si="47"/>
        <v>0</v>
      </c>
      <c r="X459" s="18">
        <v>0</v>
      </c>
      <c r="Y459" s="18">
        <v>0</v>
      </c>
    </row>
    <row r="460" spans="1:25" x14ac:dyDescent="0.2">
      <c r="A460" s="18">
        <v>7508</v>
      </c>
      <c r="C460" s="18">
        <v>0</v>
      </c>
      <c r="D460" s="18">
        <v>0</v>
      </c>
      <c r="E460" s="18">
        <v>0</v>
      </c>
      <c r="F460" s="18">
        <f t="shared" si="44"/>
        <v>0</v>
      </c>
      <c r="G460" s="18">
        <v>0</v>
      </c>
      <c r="H460" s="18">
        <v>0</v>
      </c>
      <c r="I460" s="18">
        <f t="shared" si="45"/>
        <v>0</v>
      </c>
      <c r="J460" s="18">
        <v>0</v>
      </c>
      <c r="K460" s="18">
        <v>0</v>
      </c>
      <c r="L460" s="18">
        <f t="shared" si="46"/>
        <v>0</v>
      </c>
      <c r="M460" s="18">
        <v>0</v>
      </c>
      <c r="N460" s="18">
        <v>0</v>
      </c>
      <c r="O460" s="18">
        <v>0</v>
      </c>
      <c r="P460" s="18">
        <v>0</v>
      </c>
      <c r="Q460" s="18">
        <f t="shared" si="42"/>
        <v>0</v>
      </c>
      <c r="R460">
        <v>0</v>
      </c>
      <c r="S460">
        <v>0</v>
      </c>
      <c r="T460">
        <v>0</v>
      </c>
      <c r="U460">
        <v>0</v>
      </c>
      <c r="V460" s="18">
        <f t="shared" si="43"/>
        <v>0</v>
      </c>
      <c r="W460" s="18">
        <f t="shared" si="47"/>
        <v>0</v>
      </c>
      <c r="X460" s="18">
        <v>0</v>
      </c>
      <c r="Y460" s="18">
        <v>0</v>
      </c>
    </row>
    <row r="461" spans="1:25" x14ac:dyDescent="0.2">
      <c r="A461" s="18">
        <v>7509</v>
      </c>
      <c r="C461" s="18">
        <v>0</v>
      </c>
      <c r="D461" s="18">
        <v>0</v>
      </c>
      <c r="E461" s="18">
        <v>0</v>
      </c>
      <c r="F461" s="18">
        <f t="shared" si="44"/>
        <v>0</v>
      </c>
      <c r="G461" s="18">
        <v>0</v>
      </c>
      <c r="H461" s="18">
        <v>0</v>
      </c>
      <c r="I461" s="18">
        <f t="shared" si="45"/>
        <v>0</v>
      </c>
      <c r="J461" s="18">
        <v>0</v>
      </c>
      <c r="K461" s="18">
        <v>0</v>
      </c>
      <c r="L461" s="18">
        <f t="shared" si="46"/>
        <v>0</v>
      </c>
      <c r="M461" s="18">
        <v>0</v>
      </c>
      <c r="N461" s="18">
        <v>0</v>
      </c>
      <c r="O461" s="18">
        <v>0</v>
      </c>
      <c r="P461" s="18">
        <v>0</v>
      </c>
      <c r="Q461" s="18">
        <f t="shared" si="42"/>
        <v>0</v>
      </c>
      <c r="R461">
        <v>0</v>
      </c>
      <c r="S461">
        <v>0</v>
      </c>
      <c r="T461">
        <v>0</v>
      </c>
      <c r="U461">
        <v>0</v>
      </c>
      <c r="V461" s="18">
        <f t="shared" si="43"/>
        <v>0</v>
      </c>
      <c r="W461" s="18">
        <f t="shared" si="47"/>
        <v>0</v>
      </c>
      <c r="X461" s="18">
        <v>0</v>
      </c>
      <c r="Y461" s="18">
        <v>0</v>
      </c>
    </row>
    <row r="462" spans="1:25" x14ac:dyDescent="0.2">
      <c r="A462" s="18">
        <v>7516</v>
      </c>
      <c r="C462" s="18">
        <v>0</v>
      </c>
      <c r="D462" s="18">
        <v>0</v>
      </c>
      <c r="E462" s="18">
        <v>0</v>
      </c>
      <c r="F462" s="18">
        <f t="shared" si="44"/>
        <v>0</v>
      </c>
      <c r="G462" s="18">
        <v>0</v>
      </c>
      <c r="H462" s="18">
        <v>0</v>
      </c>
      <c r="I462" s="18">
        <f t="shared" si="45"/>
        <v>0</v>
      </c>
      <c r="J462" s="18">
        <v>0</v>
      </c>
      <c r="K462" s="18">
        <v>0</v>
      </c>
      <c r="L462" s="18">
        <f t="shared" si="46"/>
        <v>0</v>
      </c>
      <c r="M462" s="18">
        <v>0</v>
      </c>
      <c r="N462" s="18">
        <v>0</v>
      </c>
      <c r="O462" s="18">
        <v>0</v>
      </c>
      <c r="P462" s="18">
        <v>0</v>
      </c>
      <c r="Q462" s="18">
        <f t="shared" si="42"/>
        <v>0</v>
      </c>
      <c r="R462">
        <v>0</v>
      </c>
      <c r="S462">
        <v>0</v>
      </c>
      <c r="T462">
        <v>0</v>
      </c>
      <c r="U462">
        <v>0</v>
      </c>
      <c r="V462" s="18">
        <f t="shared" si="43"/>
        <v>0</v>
      </c>
      <c r="W462" s="18">
        <f t="shared" si="47"/>
        <v>0</v>
      </c>
      <c r="X462" s="18">
        <v>0</v>
      </c>
      <c r="Y462" s="18">
        <v>0</v>
      </c>
    </row>
    <row r="463" spans="1:25" x14ac:dyDescent="0.2">
      <c r="A463" s="18">
        <v>7517</v>
      </c>
      <c r="C463" s="18">
        <v>0</v>
      </c>
      <c r="D463" s="18">
        <v>0</v>
      </c>
      <c r="E463" s="18">
        <v>0</v>
      </c>
      <c r="F463" s="18">
        <f t="shared" si="44"/>
        <v>0</v>
      </c>
      <c r="G463" s="18">
        <v>0</v>
      </c>
      <c r="H463" s="18">
        <v>0</v>
      </c>
      <c r="I463" s="18">
        <f t="shared" si="45"/>
        <v>0</v>
      </c>
      <c r="J463" s="18">
        <v>0</v>
      </c>
      <c r="K463" s="18">
        <v>0</v>
      </c>
      <c r="L463" s="18">
        <f t="shared" si="46"/>
        <v>0</v>
      </c>
      <c r="M463" s="18">
        <v>0</v>
      </c>
      <c r="N463" s="18">
        <v>0</v>
      </c>
      <c r="O463" s="18">
        <v>0</v>
      </c>
      <c r="P463" s="18">
        <v>0</v>
      </c>
      <c r="Q463" s="18">
        <f t="shared" si="42"/>
        <v>0</v>
      </c>
      <c r="R463">
        <v>0</v>
      </c>
      <c r="S463">
        <v>0</v>
      </c>
      <c r="T463">
        <v>0</v>
      </c>
      <c r="U463">
        <v>0</v>
      </c>
      <c r="V463" s="18">
        <f t="shared" si="43"/>
        <v>0</v>
      </c>
      <c r="W463" s="18">
        <f t="shared" si="47"/>
        <v>0</v>
      </c>
      <c r="X463" s="18">
        <v>0</v>
      </c>
      <c r="Y463" s="18">
        <v>0</v>
      </c>
    </row>
    <row r="464" spans="1:25" x14ac:dyDescent="0.2">
      <c r="A464" s="18">
        <v>7187</v>
      </c>
      <c r="C464" s="18">
        <v>0</v>
      </c>
      <c r="D464" s="18">
        <v>0</v>
      </c>
      <c r="E464" s="18">
        <v>0</v>
      </c>
      <c r="F464" s="18">
        <f t="shared" si="44"/>
        <v>0</v>
      </c>
      <c r="G464" s="18">
        <v>0</v>
      </c>
      <c r="H464" s="18">
        <v>0</v>
      </c>
      <c r="I464" s="18">
        <f t="shared" si="45"/>
        <v>0</v>
      </c>
      <c r="J464" s="18">
        <v>0</v>
      </c>
      <c r="K464" s="18">
        <v>0</v>
      </c>
      <c r="L464" s="18">
        <f t="shared" si="46"/>
        <v>0</v>
      </c>
      <c r="M464" s="18">
        <v>0</v>
      </c>
      <c r="N464" s="18">
        <v>0</v>
      </c>
      <c r="O464" s="18">
        <v>0</v>
      </c>
      <c r="P464" s="18">
        <v>0</v>
      </c>
      <c r="Q464" s="18">
        <f t="shared" si="42"/>
        <v>0</v>
      </c>
      <c r="R464">
        <v>0</v>
      </c>
      <c r="S464">
        <v>0</v>
      </c>
      <c r="T464">
        <v>0</v>
      </c>
      <c r="U464">
        <v>0</v>
      </c>
      <c r="V464" s="18">
        <f t="shared" si="43"/>
        <v>0</v>
      </c>
      <c r="W464" s="18">
        <f t="shared" si="47"/>
        <v>0</v>
      </c>
      <c r="X464" s="18">
        <v>0</v>
      </c>
      <c r="Y464" s="18">
        <v>0</v>
      </c>
    </row>
    <row r="465" spans="1:25" x14ac:dyDescent="0.2">
      <c r="A465" s="18">
        <v>7427</v>
      </c>
      <c r="C465" s="18">
        <v>0</v>
      </c>
      <c r="D465" s="18">
        <v>0</v>
      </c>
      <c r="E465" s="18">
        <v>0</v>
      </c>
      <c r="F465" s="18">
        <f t="shared" si="44"/>
        <v>0</v>
      </c>
      <c r="G465" s="18">
        <v>0</v>
      </c>
      <c r="H465" s="18">
        <v>0</v>
      </c>
      <c r="I465" s="18">
        <f t="shared" si="45"/>
        <v>0</v>
      </c>
      <c r="J465" s="18">
        <v>0</v>
      </c>
      <c r="K465" s="18">
        <v>0</v>
      </c>
      <c r="L465" s="18">
        <f t="shared" si="46"/>
        <v>0</v>
      </c>
      <c r="M465" s="18">
        <v>0</v>
      </c>
      <c r="N465" s="18">
        <v>0</v>
      </c>
      <c r="O465" s="18">
        <v>0</v>
      </c>
      <c r="P465" s="18">
        <v>0</v>
      </c>
      <c r="Q465" s="18">
        <f t="shared" si="42"/>
        <v>0</v>
      </c>
      <c r="R465">
        <v>0</v>
      </c>
      <c r="S465">
        <v>0</v>
      </c>
      <c r="T465">
        <v>0</v>
      </c>
      <c r="U465">
        <v>0</v>
      </c>
      <c r="V465" s="18">
        <f t="shared" si="43"/>
        <v>0</v>
      </c>
      <c r="W465" s="18">
        <f t="shared" si="47"/>
        <v>0</v>
      </c>
      <c r="X465" s="18">
        <v>0</v>
      </c>
      <c r="Y465" s="18">
        <v>0</v>
      </c>
    </row>
    <row r="466" spans="1:25" x14ac:dyDescent="0.2">
      <c r="A466" s="18">
        <v>7458</v>
      </c>
      <c r="C466" s="18">
        <v>0</v>
      </c>
      <c r="D466" s="18">
        <v>0</v>
      </c>
      <c r="E466" s="18">
        <v>0</v>
      </c>
      <c r="F466" s="18">
        <f t="shared" si="44"/>
        <v>0</v>
      </c>
      <c r="G466" s="18">
        <v>0</v>
      </c>
      <c r="H466" s="18">
        <v>0</v>
      </c>
      <c r="I466" s="18">
        <f t="shared" si="45"/>
        <v>0</v>
      </c>
      <c r="J466" s="18">
        <v>0</v>
      </c>
      <c r="K466" s="18">
        <v>0</v>
      </c>
      <c r="L466" s="18">
        <f t="shared" si="46"/>
        <v>0</v>
      </c>
      <c r="M466" s="18">
        <v>0</v>
      </c>
      <c r="N466" s="18">
        <v>0</v>
      </c>
      <c r="O466" s="18">
        <v>0</v>
      </c>
      <c r="P466" s="18">
        <v>0</v>
      </c>
      <c r="Q466" s="18">
        <f t="shared" si="42"/>
        <v>0</v>
      </c>
      <c r="R466">
        <v>0</v>
      </c>
      <c r="S466">
        <v>0</v>
      </c>
      <c r="T466">
        <v>0</v>
      </c>
      <c r="U466">
        <v>0</v>
      </c>
      <c r="V466" s="18">
        <f t="shared" si="43"/>
        <v>0</v>
      </c>
      <c r="W466" s="18">
        <f t="shared" si="47"/>
        <v>0</v>
      </c>
      <c r="X466" s="18">
        <v>0</v>
      </c>
      <c r="Y466" s="18">
        <v>0</v>
      </c>
    </row>
    <row r="467" spans="1:25" x14ac:dyDescent="0.2">
      <c r="A467" s="18">
        <v>7397</v>
      </c>
      <c r="C467" s="18">
        <v>0</v>
      </c>
      <c r="D467" s="18">
        <v>0</v>
      </c>
      <c r="E467" s="18">
        <v>0</v>
      </c>
      <c r="F467" s="18">
        <f t="shared" si="44"/>
        <v>0</v>
      </c>
      <c r="G467" s="18">
        <v>0</v>
      </c>
      <c r="H467" s="18">
        <v>0</v>
      </c>
      <c r="I467" s="18">
        <f t="shared" si="45"/>
        <v>0</v>
      </c>
      <c r="J467" s="18">
        <v>0</v>
      </c>
      <c r="K467" s="18">
        <v>0</v>
      </c>
      <c r="L467" s="18">
        <f t="shared" si="46"/>
        <v>0</v>
      </c>
      <c r="M467" s="18">
        <v>0</v>
      </c>
      <c r="N467" s="18">
        <v>0</v>
      </c>
      <c r="O467" s="18">
        <v>0</v>
      </c>
      <c r="P467" s="18">
        <v>0</v>
      </c>
      <c r="Q467" s="18">
        <f t="shared" si="42"/>
        <v>0</v>
      </c>
      <c r="R467">
        <v>0</v>
      </c>
      <c r="S467">
        <v>0</v>
      </c>
      <c r="T467">
        <v>0</v>
      </c>
      <c r="U467">
        <v>0</v>
      </c>
      <c r="V467" s="18">
        <f t="shared" si="43"/>
        <v>0</v>
      </c>
      <c r="W467" s="18">
        <f t="shared" si="47"/>
        <v>0</v>
      </c>
      <c r="X467" s="18">
        <v>0</v>
      </c>
      <c r="Y467" s="18">
        <v>0</v>
      </c>
    </row>
    <row r="468" spans="1:25" x14ac:dyDescent="0.2">
      <c r="A468" s="18">
        <v>7559</v>
      </c>
      <c r="C468" s="18">
        <v>0</v>
      </c>
      <c r="D468" s="18">
        <v>0</v>
      </c>
      <c r="E468" s="18">
        <v>0</v>
      </c>
      <c r="F468" s="18">
        <f t="shared" si="44"/>
        <v>0</v>
      </c>
      <c r="G468" s="18">
        <v>0</v>
      </c>
      <c r="H468" s="18">
        <v>0</v>
      </c>
      <c r="I468" s="18">
        <f t="shared" si="45"/>
        <v>0</v>
      </c>
      <c r="J468" s="18">
        <v>0</v>
      </c>
      <c r="K468" s="18">
        <v>0</v>
      </c>
      <c r="L468" s="18">
        <f t="shared" si="46"/>
        <v>0</v>
      </c>
      <c r="M468" s="18">
        <v>0</v>
      </c>
      <c r="N468" s="18">
        <v>0</v>
      </c>
      <c r="O468" s="18">
        <v>0</v>
      </c>
      <c r="P468" s="18">
        <v>0</v>
      </c>
      <c r="Q468" s="18">
        <f t="shared" si="42"/>
        <v>0</v>
      </c>
      <c r="R468">
        <v>0</v>
      </c>
      <c r="S468">
        <v>0</v>
      </c>
      <c r="T468">
        <v>0</v>
      </c>
      <c r="U468">
        <v>0</v>
      </c>
      <c r="V468" s="18">
        <f t="shared" si="43"/>
        <v>0</v>
      </c>
      <c r="W468" s="18">
        <f t="shared" si="47"/>
        <v>0</v>
      </c>
      <c r="X468" s="18">
        <v>0</v>
      </c>
      <c r="Y468" s="18">
        <v>0</v>
      </c>
    </row>
    <row r="469" spans="1:25" x14ac:dyDescent="0.2">
      <c r="A469" s="18">
        <v>7560</v>
      </c>
      <c r="C469" s="18">
        <v>0</v>
      </c>
      <c r="D469" s="18">
        <v>0</v>
      </c>
      <c r="E469" s="18">
        <v>0</v>
      </c>
      <c r="F469" s="18">
        <f t="shared" si="44"/>
        <v>0</v>
      </c>
      <c r="G469" s="18">
        <v>0</v>
      </c>
      <c r="H469" s="18">
        <v>0</v>
      </c>
      <c r="I469" s="18">
        <f t="shared" si="45"/>
        <v>0</v>
      </c>
      <c r="J469" s="18">
        <v>0</v>
      </c>
      <c r="K469" s="18">
        <v>0</v>
      </c>
      <c r="L469" s="18">
        <f t="shared" si="46"/>
        <v>0</v>
      </c>
      <c r="M469" s="18">
        <v>0</v>
      </c>
      <c r="N469" s="18">
        <v>0</v>
      </c>
      <c r="O469" s="18">
        <v>0</v>
      </c>
      <c r="P469" s="18">
        <v>0</v>
      </c>
      <c r="Q469" s="18">
        <f t="shared" si="42"/>
        <v>0</v>
      </c>
      <c r="R469">
        <v>0</v>
      </c>
      <c r="S469">
        <v>0</v>
      </c>
      <c r="T469">
        <v>0</v>
      </c>
      <c r="U469">
        <v>0</v>
      </c>
      <c r="V469" s="18">
        <f t="shared" si="43"/>
        <v>0</v>
      </c>
      <c r="W469" s="18">
        <f t="shared" si="47"/>
        <v>0</v>
      </c>
      <c r="X469" s="18">
        <v>0</v>
      </c>
      <c r="Y469" s="18">
        <v>0</v>
      </c>
    </row>
    <row r="470" spans="1:25" x14ac:dyDescent="0.2">
      <c r="A470" s="18">
        <v>7561</v>
      </c>
      <c r="C470" s="18">
        <v>0</v>
      </c>
      <c r="D470" s="18">
        <v>0</v>
      </c>
      <c r="E470" s="18">
        <v>0</v>
      </c>
      <c r="F470" s="18">
        <f t="shared" si="44"/>
        <v>0</v>
      </c>
      <c r="G470" s="18">
        <v>0</v>
      </c>
      <c r="H470" s="18">
        <v>0</v>
      </c>
      <c r="I470" s="18">
        <f t="shared" si="45"/>
        <v>0</v>
      </c>
      <c r="J470" s="18">
        <v>0</v>
      </c>
      <c r="K470" s="18">
        <v>0</v>
      </c>
      <c r="L470" s="18">
        <f t="shared" si="46"/>
        <v>0</v>
      </c>
      <c r="M470" s="18">
        <v>0</v>
      </c>
      <c r="N470" s="18">
        <v>0</v>
      </c>
      <c r="O470" s="18">
        <v>0</v>
      </c>
      <c r="P470" s="18">
        <v>0</v>
      </c>
      <c r="Q470" s="18">
        <f t="shared" si="42"/>
        <v>0</v>
      </c>
      <c r="R470">
        <v>0</v>
      </c>
      <c r="S470">
        <v>0</v>
      </c>
      <c r="T470">
        <v>0</v>
      </c>
      <c r="U470">
        <v>0</v>
      </c>
      <c r="V470" s="18">
        <f t="shared" si="43"/>
        <v>0</v>
      </c>
      <c r="W470" s="18">
        <f t="shared" si="47"/>
        <v>0</v>
      </c>
      <c r="X470" s="18">
        <v>0</v>
      </c>
      <c r="Y470" s="18">
        <v>0</v>
      </c>
    </row>
    <row r="471" spans="1:25" x14ac:dyDescent="0.2">
      <c r="A471" s="18">
        <v>7565</v>
      </c>
      <c r="C471" s="18">
        <v>0</v>
      </c>
      <c r="D471" s="18">
        <v>0</v>
      </c>
      <c r="E471" s="18">
        <v>0</v>
      </c>
      <c r="F471" s="18">
        <f t="shared" si="44"/>
        <v>0</v>
      </c>
      <c r="G471" s="18">
        <v>0</v>
      </c>
      <c r="H471" s="18">
        <v>0</v>
      </c>
      <c r="I471" s="18">
        <f t="shared" si="45"/>
        <v>0</v>
      </c>
      <c r="J471" s="18">
        <v>0</v>
      </c>
      <c r="K471" s="18">
        <v>0</v>
      </c>
      <c r="L471" s="18">
        <f t="shared" si="46"/>
        <v>0</v>
      </c>
      <c r="M471" s="18">
        <v>0</v>
      </c>
      <c r="N471" s="18">
        <v>0</v>
      </c>
      <c r="O471" s="18">
        <v>0</v>
      </c>
      <c r="P471" s="18">
        <v>0</v>
      </c>
      <c r="Q471" s="18">
        <f t="shared" si="42"/>
        <v>0</v>
      </c>
      <c r="R471">
        <v>0</v>
      </c>
      <c r="S471">
        <v>0</v>
      </c>
      <c r="T471">
        <v>0</v>
      </c>
      <c r="U471">
        <v>0</v>
      </c>
      <c r="V471" s="18">
        <f t="shared" si="43"/>
        <v>0</v>
      </c>
      <c r="W471" s="18">
        <f t="shared" si="47"/>
        <v>0</v>
      </c>
      <c r="X471" s="18">
        <v>0</v>
      </c>
      <c r="Y471" s="18">
        <v>0</v>
      </c>
    </row>
    <row r="472" spans="1:25" x14ac:dyDescent="0.2">
      <c r="A472" s="18">
        <v>7569</v>
      </c>
      <c r="C472" s="18">
        <v>0</v>
      </c>
      <c r="D472" s="18">
        <v>0</v>
      </c>
      <c r="E472" s="18">
        <v>0</v>
      </c>
      <c r="F472" s="18">
        <f t="shared" si="44"/>
        <v>0</v>
      </c>
      <c r="G472" s="18">
        <v>0</v>
      </c>
      <c r="H472" s="18">
        <v>0</v>
      </c>
      <c r="I472" s="18">
        <f t="shared" si="45"/>
        <v>0</v>
      </c>
      <c r="J472" s="18">
        <v>0</v>
      </c>
      <c r="K472" s="18">
        <v>0</v>
      </c>
      <c r="L472" s="18">
        <f t="shared" si="46"/>
        <v>0</v>
      </c>
      <c r="M472" s="18">
        <v>0</v>
      </c>
      <c r="N472" s="18">
        <v>0</v>
      </c>
      <c r="O472" s="18">
        <v>0</v>
      </c>
      <c r="P472" s="18">
        <v>0</v>
      </c>
      <c r="Q472" s="18">
        <f t="shared" si="42"/>
        <v>0</v>
      </c>
      <c r="R472">
        <v>0</v>
      </c>
      <c r="S472">
        <v>0</v>
      </c>
      <c r="T472">
        <v>0</v>
      </c>
      <c r="U472">
        <v>0</v>
      </c>
      <c r="V472" s="18">
        <f t="shared" si="43"/>
        <v>0</v>
      </c>
      <c r="W472" s="18">
        <f t="shared" si="47"/>
        <v>0</v>
      </c>
      <c r="X472" s="18">
        <v>0</v>
      </c>
      <c r="Y472" s="18">
        <v>0</v>
      </c>
    </row>
    <row r="473" spans="1:25" x14ac:dyDescent="0.2">
      <c r="A473" s="18">
        <v>7572</v>
      </c>
      <c r="C473" s="18">
        <v>0</v>
      </c>
      <c r="D473" s="18">
        <v>0</v>
      </c>
      <c r="E473" s="18">
        <v>0</v>
      </c>
      <c r="F473" s="18">
        <f t="shared" si="44"/>
        <v>0</v>
      </c>
      <c r="G473" s="18">
        <v>0</v>
      </c>
      <c r="H473" s="18">
        <v>0</v>
      </c>
      <c r="I473" s="18">
        <f t="shared" si="45"/>
        <v>0</v>
      </c>
      <c r="J473" s="18">
        <v>0</v>
      </c>
      <c r="K473" s="18">
        <v>0</v>
      </c>
      <c r="L473" s="18">
        <f t="shared" si="46"/>
        <v>0</v>
      </c>
      <c r="M473" s="18">
        <v>0</v>
      </c>
      <c r="N473" s="18">
        <v>0</v>
      </c>
      <c r="O473" s="18">
        <v>0</v>
      </c>
      <c r="P473" s="18">
        <v>0</v>
      </c>
      <c r="Q473" s="18">
        <f t="shared" si="42"/>
        <v>0</v>
      </c>
      <c r="R473">
        <v>0</v>
      </c>
      <c r="S473">
        <v>0</v>
      </c>
      <c r="T473">
        <v>0</v>
      </c>
      <c r="U473">
        <v>0</v>
      </c>
      <c r="V473" s="18">
        <f t="shared" si="43"/>
        <v>0</v>
      </c>
      <c r="W473" s="18">
        <f t="shared" si="47"/>
        <v>0</v>
      </c>
      <c r="X473" s="18">
        <v>0</v>
      </c>
      <c r="Y473" s="18">
        <v>0</v>
      </c>
    </row>
    <row r="474" spans="1:25" x14ac:dyDescent="0.2">
      <c r="A474" s="18">
        <v>7574</v>
      </c>
      <c r="C474" s="18">
        <v>0</v>
      </c>
      <c r="D474" s="18">
        <v>0</v>
      </c>
      <c r="E474" s="18">
        <v>0</v>
      </c>
      <c r="F474" s="18">
        <f t="shared" si="44"/>
        <v>0</v>
      </c>
      <c r="G474" s="18">
        <v>0</v>
      </c>
      <c r="H474" s="18">
        <v>0</v>
      </c>
      <c r="I474" s="18">
        <f t="shared" si="45"/>
        <v>0</v>
      </c>
      <c r="J474" s="18">
        <v>0</v>
      </c>
      <c r="K474" s="18">
        <v>0</v>
      </c>
      <c r="L474" s="18">
        <f t="shared" si="46"/>
        <v>0</v>
      </c>
      <c r="M474" s="18">
        <v>0</v>
      </c>
      <c r="N474" s="18">
        <v>0</v>
      </c>
      <c r="O474" s="18">
        <v>0</v>
      </c>
      <c r="P474" s="18">
        <v>0</v>
      </c>
      <c r="Q474" s="18">
        <f t="shared" si="42"/>
        <v>0</v>
      </c>
      <c r="R474">
        <v>0</v>
      </c>
      <c r="S474">
        <v>0</v>
      </c>
      <c r="T474">
        <v>0</v>
      </c>
      <c r="U474">
        <v>0</v>
      </c>
      <c r="V474" s="18">
        <f t="shared" si="43"/>
        <v>0</v>
      </c>
      <c r="W474" s="18">
        <f t="shared" si="47"/>
        <v>0</v>
      </c>
      <c r="X474" s="18">
        <v>0</v>
      </c>
      <c r="Y474" s="18">
        <v>0</v>
      </c>
    </row>
    <row r="475" spans="1:25" x14ac:dyDescent="0.2">
      <c r="A475" s="18">
        <v>7581</v>
      </c>
      <c r="C475" s="18">
        <v>0</v>
      </c>
      <c r="D475" s="18">
        <v>0</v>
      </c>
      <c r="E475" s="18">
        <v>0</v>
      </c>
      <c r="F475" s="18">
        <f t="shared" si="44"/>
        <v>0</v>
      </c>
      <c r="G475" s="18">
        <v>0</v>
      </c>
      <c r="H475" s="18">
        <v>0</v>
      </c>
      <c r="I475" s="18">
        <f t="shared" si="45"/>
        <v>0</v>
      </c>
      <c r="J475" s="18">
        <v>0</v>
      </c>
      <c r="K475" s="18">
        <v>0</v>
      </c>
      <c r="L475" s="18">
        <f t="shared" si="46"/>
        <v>0</v>
      </c>
      <c r="M475" s="18">
        <v>0</v>
      </c>
      <c r="N475" s="18">
        <v>0</v>
      </c>
      <c r="O475" s="18">
        <v>0</v>
      </c>
      <c r="P475" s="18">
        <v>0</v>
      </c>
      <c r="Q475" s="18">
        <f t="shared" si="42"/>
        <v>0</v>
      </c>
      <c r="R475">
        <v>0</v>
      </c>
      <c r="S475">
        <v>0</v>
      </c>
      <c r="T475">
        <v>0</v>
      </c>
      <c r="U475">
        <v>0</v>
      </c>
      <c r="V475" s="18">
        <f t="shared" si="43"/>
        <v>0</v>
      </c>
      <c r="W475" s="18">
        <f t="shared" si="47"/>
        <v>0</v>
      </c>
      <c r="X475" s="18">
        <v>0</v>
      </c>
      <c r="Y475" s="18">
        <v>0</v>
      </c>
    </row>
    <row r="476" spans="1:25" x14ac:dyDescent="0.2">
      <c r="A476" s="18">
        <v>7584</v>
      </c>
      <c r="C476" s="18">
        <v>0</v>
      </c>
      <c r="D476" s="18">
        <v>0</v>
      </c>
      <c r="E476" s="18">
        <v>0</v>
      </c>
      <c r="F476" s="18">
        <f t="shared" si="44"/>
        <v>0</v>
      </c>
      <c r="G476" s="18">
        <v>0</v>
      </c>
      <c r="H476" s="18">
        <v>0</v>
      </c>
      <c r="I476" s="18">
        <f t="shared" si="45"/>
        <v>0</v>
      </c>
      <c r="J476" s="18">
        <v>0</v>
      </c>
      <c r="K476" s="18">
        <v>0</v>
      </c>
      <c r="L476" s="18">
        <f t="shared" si="46"/>
        <v>0</v>
      </c>
      <c r="M476" s="18">
        <v>0</v>
      </c>
      <c r="N476" s="18">
        <v>0</v>
      </c>
      <c r="O476" s="18">
        <v>0</v>
      </c>
      <c r="P476" s="18">
        <v>0</v>
      </c>
      <c r="Q476" s="18">
        <f t="shared" si="42"/>
        <v>0</v>
      </c>
      <c r="R476">
        <v>0</v>
      </c>
      <c r="S476">
        <v>0</v>
      </c>
      <c r="T476">
        <v>0</v>
      </c>
      <c r="U476">
        <v>0</v>
      </c>
      <c r="V476" s="18">
        <f t="shared" si="43"/>
        <v>0</v>
      </c>
      <c r="W476" s="18">
        <f t="shared" si="47"/>
        <v>0</v>
      </c>
      <c r="X476" s="18">
        <v>0</v>
      </c>
      <c r="Y476" s="18">
        <v>0</v>
      </c>
    </row>
    <row r="477" spans="1:25" x14ac:dyDescent="0.2">
      <c r="A477" s="18">
        <v>7507</v>
      </c>
      <c r="C477" s="18">
        <v>0</v>
      </c>
      <c r="D477" s="18">
        <v>0</v>
      </c>
      <c r="E477" s="18">
        <v>0</v>
      </c>
      <c r="F477" s="18">
        <f t="shared" si="44"/>
        <v>0</v>
      </c>
      <c r="G477" s="18">
        <v>0</v>
      </c>
      <c r="H477" s="18">
        <v>0</v>
      </c>
      <c r="I477" s="18">
        <f t="shared" si="45"/>
        <v>0</v>
      </c>
      <c r="J477" s="18">
        <v>0</v>
      </c>
      <c r="K477" s="18">
        <v>0</v>
      </c>
      <c r="L477" s="18">
        <f t="shared" si="46"/>
        <v>0</v>
      </c>
      <c r="M477" s="18">
        <v>0</v>
      </c>
      <c r="N477" s="18">
        <v>0</v>
      </c>
      <c r="O477" s="18">
        <v>0</v>
      </c>
      <c r="P477" s="18">
        <v>0</v>
      </c>
      <c r="Q477" s="18">
        <f t="shared" si="42"/>
        <v>0</v>
      </c>
      <c r="R477">
        <v>0</v>
      </c>
      <c r="S477">
        <v>0</v>
      </c>
      <c r="T477">
        <v>0</v>
      </c>
      <c r="U477">
        <v>0</v>
      </c>
      <c r="V477" s="18">
        <f t="shared" si="43"/>
        <v>0</v>
      </c>
      <c r="W477" s="18">
        <f t="shared" si="47"/>
        <v>0</v>
      </c>
      <c r="X477" s="18">
        <v>0</v>
      </c>
      <c r="Y477" s="18">
        <v>0</v>
      </c>
    </row>
    <row r="478" spans="1:25" x14ac:dyDescent="0.2">
      <c r="A478" s="18">
        <v>7579</v>
      </c>
      <c r="C478" s="18">
        <v>0</v>
      </c>
      <c r="D478" s="18">
        <v>0</v>
      </c>
      <c r="E478" s="18">
        <v>0</v>
      </c>
      <c r="F478" s="18">
        <f t="shared" si="44"/>
        <v>0</v>
      </c>
      <c r="G478" s="18">
        <v>0</v>
      </c>
      <c r="H478" s="18">
        <v>0</v>
      </c>
      <c r="I478" s="18">
        <f t="shared" si="45"/>
        <v>0</v>
      </c>
      <c r="J478" s="18">
        <v>0</v>
      </c>
      <c r="K478" s="18">
        <v>0</v>
      </c>
      <c r="L478" s="18">
        <f t="shared" si="46"/>
        <v>0</v>
      </c>
      <c r="M478" s="18">
        <v>0</v>
      </c>
      <c r="N478" s="18">
        <v>0</v>
      </c>
      <c r="O478" s="18">
        <v>0</v>
      </c>
      <c r="P478" s="18">
        <v>0</v>
      </c>
      <c r="Q478" s="18">
        <f t="shared" si="42"/>
        <v>0</v>
      </c>
      <c r="R478">
        <v>0</v>
      </c>
      <c r="S478">
        <v>0</v>
      </c>
      <c r="T478">
        <v>0</v>
      </c>
      <c r="U478">
        <v>0</v>
      </c>
      <c r="V478" s="18">
        <f t="shared" si="43"/>
        <v>0</v>
      </c>
      <c r="W478" s="18">
        <f t="shared" si="47"/>
        <v>0</v>
      </c>
      <c r="X478" s="18">
        <v>0</v>
      </c>
      <c r="Y478" s="18">
        <v>0</v>
      </c>
    </row>
    <row r="479" spans="1:25" x14ac:dyDescent="0.2">
      <c r="A479" s="18">
        <v>7583</v>
      </c>
      <c r="C479" s="18">
        <v>0</v>
      </c>
      <c r="D479" s="18">
        <v>0</v>
      </c>
      <c r="E479" s="18">
        <v>0</v>
      </c>
      <c r="F479" s="18">
        <f t="shared" si="44"/>
        <v>0</v>
      </c>
      <c r="G479" s="18">
        <v>0</v>
      </c>
      <c r="H479" s="18">
        <v>0</v>
      </c>
      <c r="I479" s="18">
        <f t="shared" si="45"/>
        <v>0</v>
      </c>
      <c r="J479" s="18">
        <v>0</v>
      </c>
      <c r="K479" s="18">
        <v>0</v>
      </c>
      <c r="L479" s="18">
        <f t="shared" si="46"/>
        <v>0</v>
      </c>
      <c r="M479" s="18">
        <v>0</v>
      </c>
      <c r="N479" s="18">
        <v>0</v>
      </c>
      <c r="O479" s="18">
        <v>0</v>
      </c>
      <c r="P479" s="18">
        <v>0</v>
      </c>
      <c r="Q479" s="18">
        <f t="shared" ref="Q479:Q542" si="48">SUM(M479:P479)</f>
        <v>0</v>
      </c>
      <c r="R479">
        <v>0</v>
      </c>
      <c r="S479">
        <v>0</v>
      </c>
      <c r="T479">
        <v>0</v>
      </c>
      <c r="U479">
        <v>0</v>
      </c>
      <c r="V479" s="18">
        <f t="shared" si="43"/>
        <v>0</v>
      </c>
      <c r="W479" s="18">
        <f t="shared" si="47"/>
        <v>0</v>
      </c>
      <c r="X479" s="18">
        <v>0</v>
      </c>
      <c r="Y479" s="18">
        <v>0</v>
      </c>
    </row>
    <row r="480" spans="1:25" x14ac:dyDescent="0.2">
      <c r="A480" s="18">
        <v>7627</v>
      </c>
      <c r="C480" s="18">
        <v>0</v>
      </c>
      <c r="D480" s="18">
        <v>0</v>
      </c>
      <c r="E480" s="18">
        <v>0</v>
      </c>
      <c r="F480" s="18">
        <f t="shared" si="44"/>
        <v>0</v>
      </c>
      <c r="G480" s="18">
        <v>0</v>
      </c>
      <c r="H480" s="18">
        <v>0</v>
      </c>
      <c r="I480" s="18">
        <f t="shared" si="45"/>
        <v>0</v>
      </c>
      <c r="J480" s="18">
        <v>0</v>
      </c>
      <c r="K480" s="18">
        <v>0</v>
      </c>
      <c r="L480" s="18">
        <f t="shared" si="46"/>
        <v>0</v>
      </c>
      <c r="M480" s="18">
        <v>0</v>
      </c>
      <c r="N480" s="18">
        <v>0</v>
      </c>
      <c r="O480" s="18">
        <v>0</v>
      </c>
      <c r="P480" s="18">
        <v>0</v>
      </c>
      <c r="Q480" s="18">
        <f t="shared" si="48"/>
        <v>0</v>
      </c>
      <c r="R480">
        <v>0</v>
      </c>
      <c r="S480">
        <v>0</v>
      </c>
      <c r="T480">
        <v>0</v>
      </c>
      <c r="U480">
        <v>0</v>
      </c>
      <c r="V480" s="18">
        <f t="shared" si="43"/>
        <v>0</v>
      </c>
      <c r="W480" s="18">
        <f t="shared" si="47"/>
        <v>0</v>
      </c>
      <c r="X480" s="18">
        <v>0</v>
      </c>
      <c r="Y480" s="18">
        <v>0</v>
      </c>
    </row>
    <row r="481" spans="1:25" x14ac:dyDescent="0.2">
      <c r="A481" s="18">
        <v>7628</v>
      </c>
      <c r="C481" s="18">
        <v>0</v>
      </c>
      <c r="D481" s="18">
        <v>0</v>
      </c>
      <c r="E481" s="18">
        <v>0</v>
      </c>
      <c r="F481" s="18">
        <f t="shared" si="44"/>
        <v>0</v>
      </c>
      <c r="G481" s="18">
        <v>0</v>
      </c>
      <c r="H481" s="18">
        <v>0</v>
      </c>
      <c r="I481" s="18">
        <f t="shared" si="45"/>
        <v>0</v>
      </c>
      <c r="J481" s="18">
        <v>0</v>
      </c>
      <c r="K481" s="18">
        <v>0</v>
      </c>
      <c r="L481" s="18">
        <f t="shared" si="46"/>
        <v>0</v>
      </c>
      <c r="M481" s="18">
        <v>0</v>
      </c>
      <c r="N481" s="18">
        <v>0</v>
      </c>
      <c r="O481" s="18">
        <v>0</v>
      </c>
      <c r="P481" s="18">
        <v>0</v>
      </c>
      <c r="Q481" s="18">
        <f t="shared" si="48"/>
        <v>0</v>
      </c>
      <c r="R481">
        <v>0</v>
      </c>
      <c r="S481">
        <v>0</v>
      </c>
      <c r="T481">
        <v>0</v>
      </c>
      <c r="U481">
        <v>0</v>
      </c>
      <c r="V481" s="18">
        <f t="shared" si="43"/>
        <v>0</v>
      </c>
      <c r="W481" s="18">
        <f t="shared" si="47"/>
        <v>0</v>
      </c>
      <c r="X481" s="18">
        <v>0</v>
      </c>
      <c r="Y481" s="18">
        <v>0</v>
      </c>
    </row>
    <row r="482" spans="1:25" x14ac:dyDescent="0.2">
      <c r="A482" s="18">
        <v>7634</v>
      </c>
      <c r="C482" s="18">
        <v>0</v>
      </c>
      <c r="D482" s="18">
        <v>0</v>
      </c>
      <c r="E482" s="18">
        <v>0</v>
      </c>
      <c r="F482" s="18">
        <f t="shared" si="44"/>
        <v>0</v>
      </c>
      <c r="G482" s="18">
        <v>0</v>
      </c>
      <c r="H482" s="18">
        <v>0</v>
      </c>
      <c r="I482" s="18">
        <f t="shared" si="45"/>
        <v>0</v>
      </c>
      <c r="J482" s="18">
        <v>0</v>
      </c>
      <c r="K482" s="18">
        <v>0</v>
      </c>
      <c r="L482" s="18">
        <f t="shared" si="46"/>
        <v>0</v>
      </c>
      <c r="M482" s="18">
        <v>0</v>
      </c>
      <c r="N482" s="18">
        <v>0</v>
      </c>
      <c r="O482" s="18">
        <v>0</v>
      </c>
      <c r="P482" s="18">
        <v>0</v>
      </c>
      <c r="Q482" s="18">
        <f t="shared" si="48"/>
        <v>0</v>
      </c>
      <c r="R482">
        <v>0</v>
      </c>
      <c r="S482">
        <v>0</v>
      </c>
      <c r="T482">
        <v>0</v>
      </c>
      <c r="U482">
        <v>0</v>
      </c>
      <c r="V482" s="18">
        <f t="shared" si="43"/>
        <v>0</v>
      </c>
      <c r="W482" s="18">
        <f t="shared" si="47"/>
        <v>0</v>
      </c>
      <c r="X482" s="18">
        <v>0</v>
      </c>
      <c r="Y482" s="18">
        <v>0</v>
      </c>
    </row>
    <row r="483" spans="1:25" x14ac:dyDescent="0.2">
      <c r="A483" s="18">
        <v>7625</v>
      </c>
      <c r="C483" s="18">
        <v>0</v>
      </c>
      <c r="D483" s="18">
        <v>0</v>
      </c>
      <c r="E483" s="18">
        <v>0</v>
      </c>
      <c r="F483" s="18">
        <f t="shared" si="44"/>
        <v>0</v>
      </c>
      <c r="G483" s="18">
        <v>0</v>
      </c>
      <c r="H483" s="18">
        <v>0</v>
      </c>
      <c r="I483" s="18">
        <f t="shared" si="45"/>
        <v>0</v>
      </c>
      <c r="J483" s="18">
        <v>0</v>
      </c>
      <c r="K483" s="18">
        <v>0</v>
      </c>
      <c r="L483" s="18">
        <f t="shared" si="46"/>
        <v>0</v>
      </c>
      <c r="M483" s="18">
        <v>0</v>
      </c>
      <c r="N483" s="18">
        <v>0</v>
      </c>
      <c r="O483" s="18">
        <v>0</v>
      </c>
      <c r="P483" s="18">
        <v>0</v>
      </c>
      <c r="Q483" s="18">
        <f t="shared" si="48"/>
        <v>0</v>
      </c>
      <c r="R483">
        <v>0</v>
      </c>
      <c r="S483">
        <v>0</v>
      </c>
      <c r="T483">
        <v>0</v>
      </c>
      <c r="U483">
        <v>0</v>
      </c>
      <c r="V483" s="18">
        <f t="shared" si="43"/>
        <v>0</v>
      </c>
      <c r="W483" s="18">
        <f t="shared" si="47"/>
        <v>0</v>
      </c>
      <c r="X483" s="18">
        <v>0</v>
      </c>
      <c r="Y483" s="18">
        <v>0</v>
      </c>
    </row>
    <row r="484" spans="1:25" x14ac:dyDescent="0.2">
      <c r="A484" s="18">
        <v>7649</v>
      </c>
      <c r="C484" s="18">
        <v>0</v>
      </c>
      <c r="D484" s="18">
        <v>0</v>
      </c>
      <c r="E484" s="18">
        <v>0</v>
      </c>
      <c r="F484" s="18">
        <f t="shared" si="44"/>
        <v>0</v>
      </c>
      <c r="G484" s="18">
        <v>0</v>
      </c>
      <c r="H484" s="18">
        <v>0</v>
      </c>
      <c r="I484" s="18">
        <f t="shared" si="45"/>
        <v>0</v>
      </c>
      <c r="J484" s="18">
        <v>0</v>
      </c>
      <c r="K484" s="18">
        <v>0</v>
      </c>
      <c r="L484" s="18">
        <f t="shared" si="46"/>
        <v>0</v>
      </c>
      <c r="M484" s="18">
        <v>0</v>
      </c>
      <c r="N484" s="18">
        <v>0</v>
      </c>
      <c r="O484" s="18">
        <v>0</v>
      </c>
      <c r="P484" s="18">
        <v>0</v>
      </c>
      <c r="Q484" s="18">
        <f t="shared" si="48"/>
        <v>0</v>
      </c>
      <c r="R484">
        <v>0</v>
      </c>
      <c r="S484">
        <v>0</v>
      </c>
      <c r="T484">
        <v>0</v>
      </c>
      <c r="U484">
        <v>0</v>
      </c>
      <c r="V484" s="18">
        <f t="shared" si="43"/>
        <v>0</v>
      </c>
      <c r="W484" s="18">
        <f t="shared" si="47"/>
        <v>0</v>
      </c>
      <c r="X484" s="18">
        <v>0</v>
      </c>
      <c r="Y484" s="18">
        <v>0</v>
      </c>
    </row>
    <row r="485" spans="1:25" x14ac:dyDescent="0.2">
      <c r="A485" s="18">
        <v>7621</v>
      </c>
      <c r="C485" s="18">
        <v>0</v>
      </c>
      <c r="D485" s="18">
        <v>0</v>
      </c>
      <c r="E485" s="18">
        <v>0</v>
      </c>
      <c r="F485" s="18">
        <f t="shared" si="44"/>
        <v>0</v>
      </c>
      <c r="G485" s="18">
        <v>0</v>
      </c>
      <c r="H485" s="18">
        <v>0</v>
      </c>
      <c r="I485" s="18">
        <f t="shared" si="45"/>
        <v>0</v>
      </c>
      <c r="J485" s="18">
        <v>0</v>
      </c>
      <c r="K485" s="18">
        <v>0</v>
      </c>
      <c r="L485" s="18">
        <f t="shared" si="46"/>
        <v>0</v>
      </c>
      <c r="M485" s="18">
        <v>0</v>
      </c>
      <c r="N485" s="18">
        <v>0</v>
      </c>
      <c r="O485" s="18">
        <v>0</v>
      </c>
      <c r="P485" s="18">
        <v>0</v>
      </c>
      <c r="Q485" s="18">
        <f t="shared" si="48"/>
        <v>0</v>
      </c>
      <c r="R485">
        <v>0</v>
      </c>
      <c r="S485">
        <v>0</v>
      </c>
      <c r="T485">
        <v>0</v>
      </c>
      <c r="U485">
        <v>0</v>
      </c>
      <c r="V485" s="18">
        <f t="shared" si="43"/>
        <v>0</v>
      </c>
      <c r="W485" s="18">
        <f t="shared" si="47"/>
        <v>0</v>
      </c>
      <c r="X485" s="18">
        <v>0</v>
      </c>
      <c r="Y485" s="18">
        <v>0</v>
      </c>
    </row>
    <row r="486" spans="1:25" x14ac:dyDescent="0.2">
      <c r="A486" s="18">
        <v>7576</v>
      </c>
      <c r="C486" s="18">
        <v>0</v>
      </c>
      <c r="D486" s="18">
        <v>0</v>
      </c>
      <c r="E486" s="18">
        <v>0</v>
      </c>
      <c r="F486" s="18">
        <f t="shared" si="44"/>
        <v>0</v>
      </c>
      <c r="G486" s="18">
        <v>0</v>
      </c>
      <c r="H486" s="18">
        <v>0</v>
      </c>
      <c r="I486" s="18">
        <f t="shared" si="45"/>
        <v>0</v>
      </c>
      <c r="J486" s="18">
        <v>0</v>
      </c>
      <c r="K486" s="18">
        <v>0</v>
      </c>
      <c r="L486" s="18">
        <f t="shared" si="46"/>
        <v>0</v>
      </c>
      <c r="M486" s="18">
        <v>0</v>
      </c>
      <c r="N486" s="18">
        <v>0</v>
      </c>
      <c r="O486" s="18">
        <v>0</v>
      </c>
      <c r="P486" s="18">
        <v>0</v>
      </c>
      <c r="Q486" s="18">
        <f t="shared" si="48"/>
        <v>0</v>
      </c>
      <c r="R486">
        <v>0</v>
      </c>
      <c r="S486">
        <v>0</v>
      </c>
      <c r="T486">
        <v>0</v>
      </c>
      <c r="U486">
        <v>0</v>
      </c>
      <c r="V486" s="18">
        <f t="shared" si="43"/>
        <v>0</v>
      </c>
      <c r="W486" s="18">
        <f t="shared" si="47"/>
        <v>0</v>
      </c>
      <c r="X486" s="18">
        <v>0</v>
      </c>
      <c r="Y486" s="18">
        <v>0</v>
      </c>
    </row>
    <row r="487" spans="1:25" x14ac:dyDescent="0.2">
      <c r="A487" s="18">
        <v>7669</v>
      </c>
      <c r="C487" s="18">
        <v>0</v>
      </c>
      <c r="D487" s="18">
        <v>0</v>
      </c>
      <c r="E487" s="18">
        <v>0</v>
      </c>
      <c r="F487" s="18">
        <f t="shared" si="44"/>
        <v>0</v>
      </c>
      <c r="G487" s="18">
        <v>0</v>
      </c>
      <c r="H487" s="18">
        <v>0</v>
      </c>
      <c r="I487" s="18">
        <f t="shared" si="45"/>
        <v>0</v>
      </c>
      <c r="J487" s="18">
        <v>0</v>
      </c>
      <c r="K487" s="18">
        <v>0</v>
      </c>
      <c r="L487" s="18">
        <f t="shared" si="46"/>
        <v>0</v>
      </c>
      <c r="M487" s="18">
        <v>0</v>
      </c>
      <c r="N487" s="18">
        <v>0</v>
      </c>
      <c r="O487" s="18">
        <v>0</v>
      </c>
      <c r="P487" s="18">
        <v>0</v>
      </c>
      <c r="Q487" s="18">
        <f t="shared" si="48"/>
        <v>0</v>
      </c>
      <c r="R487">
        <v>0</v>
      </c>
      <c r="S487">
        <v>0</v>
      </c>
      <c r="T487">
        <v>0</v>
      </c>
      <c r="U487">
        <v>0</v>
      </c>
      <c r="V487" s="18">
        <f t="shared" si="43"/>
        <v>0</v>
      </c>
      <c r="W487" s="18">
        <f t="shared" si="47"/>
        <v>0</v>
      </c>
      <c r="X487" s="18">
        <v>0</v>
      </c>
      <c r="Y487" s="18">
        <v>0</v>
      </c>
    </row>
    <row r="488" spans="1:25" x14ac:dyDescent="0.2">
      <c r="A488" s="18">
        <v>7671</v>
      </c>
      <c r="C488" s="18">
        <v>0</v>
      </c>
      <c r="D488" s="18">
        <v>0</v>
      </c>
      <c r="E488" s="18">
        <v>0</v>
      </c>
      <c r="F488" s="18">
        <f t="shared" si="44"/>
        <v>0</v>
      </c>
      <c r="G488" s="18">
        <v>0</v>
      </c>
      <c r="H488" s="18">
        <v>0</v>
      </c>
      <c r="I488" s="18">
        <f t="shared" si="45"/>
        <v>0</v>
      </c>
      <c r="J488" s="18">
        <v>0</v>
      </c>
      <c r="K488" s="18">
        <v>0</v>
      </c>
      <c r="L488" s="18">
        <f t="shared" si="46"/>
        <v>0</v>
      </c>
      <c r="M488" s="18">
        <v>0</v>
      </c>
      <c r="N488" s="18">
        <v>0</v>
      </c>
      <c r="O488" s="18">
        <v>0</v>
      </c>
      <c r="P488" s="18">
        <v>0</v>
      </c>
      <c r="Q488" s="18">
        <f t="shared" si="48"/>
        <v>0</v>
      </c>
      <c r="R488">
        <v>0</v>
      </c>
      <c r="S488">
        <v>0</v>
      </c>
      <c r="T488">
        <v>0</v>
      </c>
      <c r="U488">
        <v>0</v>
      </c>
      <c r="V488" s="18">
        <f t="shared" si="43"/>
        <v>0</v>
      </c>
      <c r="W488" s="18">
        <f t="shared" si="47"/>
        <v>0</v>
      </c>
      <c r="X488" s="18">
        <v>0</v>
      </c>
      <c r="Y488" s="18">
        <v>0</v>
      </c>
    </row>
    <row r="489" spans="1:25" x14ac:dyDescent="0.2">
      <c r="A489" s="18">
        <v>7518</v>
      </c>
      <c r="C489" s="18">
        <v>0</v>
      </c>
      <c r="D489" s="18">
        <v>0</v>
      </c>
      <c r="E489" s="18">
        <v>0</v>
      </c>
      <c r="F489" s="18">
        <f t="shared" si="44"/>
        <v>0</v>
      </c>
      <c r="G489" s="18">
        <v>0</v>
      </c>
      <c r="H489" s="18">
        <v>0</v>
      </c>
      <c r="I489" s="18">
        <f t="shared" si="45"/>
        <v>0</v>
      </c>
      <c r="J489" s="18">
        <v>0</v>
      </c>
      <c r="K489" s="18">
        <v>0</v>
      </c>
      <c r="L489" s="18">
        <f t="shared" si="46"/>
        <v>0</v>
      </c>
      <c r="M489" s="18">
        <v>0</v>
      </c>
      <c r="N489" s="18">
        <v>0</v>
      </c>
      <c r="O489" s="18">
        <v>0</v>
      </c>
      <c r="P489" s="18">
        <v>0</v>
      </c>
      <c r="Q489" s="18">
        <f t="shared" si="48"/>
        <v>0</v>
      </c>
      <c r="R489">
        <v>0</v>
      </c>
      <c r="S489">
        <v>0</v>
      </c>
      <c r="T489">
        <v>0</v>
      </c>
      <c r="U489">
        <v>0</v>
      </c>
      <c r="V489" s="18">
        <f t="shared" si="43"/>
        <v>0</v>
      </c>
      <c r="W489" s="18">
        <f t="shared" si="47"/>
        <v>0</v>
      </c>
      <c r="X489" s="18">
        <v>0</v>
      </c>
      <c r="Y489" s="18">
        <v>0</v>
      </c>
    </row>
    <row r="490" spans="1:25" x14ac:dyDescent="0.2">
      <c r="A490" s="18">
        <v>7684</v>
      </c>
      <c r="C490" s="18">
        <v>0</v>
      </c>
      <c r="D490" s="18">
        <v>0</v>
      </c>
      <c r="E490" s="18">
        <v>0</v>
      </c>
      <c r="F490" s="18">
        <f t="shared" si="44"/>
        <v>0</v>
      </c>
      <c r="G490" s="18">
        <v>0</v>
      </c>
      <c r="H490" s="18">
        <v>0</v>
      </c>
      <c r="I490" s="18">
        <f t="shared" si="45"/>
        <v>0</v>
      </c>
      <c r="J490" s="18">
        <v>0</v>
      </c>
      <c r="K490" s="18">
        <v>0</v>
      </c>
      <c r="L490" s="18">
        <f t="shared" si="46"/>
        <v>0</v>
      </c>
      <c r="M490" s="18">
        <v>0</v>
      </c>
      <c r="N490" s="18">
        <v>0</v>
      </c>
      <c r="O490" s="18">
        <v>0</v>
      </c>
      <c r="P490" s="18">
        <v>0</v>
      </c>
      <c r="Q490" s="18">
        <f t="shared" si="48"/>
        <v>0</v>
      </c>
      <c r="R490">
        <v>0</v>
      </c>
      <c r="S490">
        <v>0</v>
      </c>
      <c r="T490">
        <v>0</v>
      </c>
      <c r="U490">
        <v>0</v>
      </c>
      <c r="V490" s="18">
        <f t="shared" si="43"/>
        <v>0</v>
      </c>
      <c r="W490" s="18">
        <f t="shared" si="47"/>
        <v>0</v>
      </c>
      <c r="X490" s="18">
        <v>0</v>
      </c>
      <c r="Y490" s="18">
        <v>0</v>
      </c>
    </row>
    <row r="491" spans="1:25" x14ac:dyDescent="0.2">
      <c r="A491" s="18">
        <v>7652</v>
      </c>
      <c r="C491" s="18">
        <v>0</v>
      </c>
      <c r="D491" s="18">
        <v>0</v>
      </c>
      <c r="E491" s="18">
        <v>0</v>
      </c>
      <c r="F491" s="18">
        <f t="shared" si="44"/>
        <v>0</v>
      </c>
      <c r="G491" s="18">
        <v>0</v>
      </c>
      <c r="H491" s="18">
        <v>0</v>
      </c>
      <c r="I491" s="18">
        <f t="shared" si="45"/>
        <v>0</v>
      </c>
      <c r="J491" s="18">
        <v>0</v>
      </c>
      <c r="K491" s="18">
        <v>0</v>
      </c>
      <c r="L491" s="18">
        <f t="shared" si="46"/>
        <v>0</v>
      </c>
      <c r="M491" s="18">
        <v>0</v>
      </c>
      <c r="N491" s="18">
        <v>0</v>
      </c>
      <c r="O491" s="18">
        <v>0</v>
      </c>
      <c r="P491" s="18">
        <v>0</v>
      </c>
      <c r="Q491" s="18">
        <f t="shared" si="48"/>
        <v>0</v>
      </c>
      <c r="R491">
        <v>0</v>
      </c>
      <c r="S491">
        <v>0</v>
      </c>
      <c r="T491">
        <v>0</v>
      </c>
      <c r="U491">
        <v>0</v>
      </c>
      <c r="V491" s="18">
        <f t="shared" si="43"/>
        <v>0</v>
      </c>
      <c r="W491" s="18">
        <f t="shared" si="47"/>
        <v>0</v>
      </c>
      <c r="X491" s="18">
        <v>0</v>
      </c>
      <c r="Y491" s="18">
        <v>0</v>
      </c>
    </row>
    <row r="492" spans="1:25" x14ac:dyDescent="0.2">
      <c r="A492" s="18" t="s">
        <v>452</v>
      </c>
      <c r="C492" s="18">
        <v>0</v>
      </c>
      <c r="D492" s="18">
        <v>0</v>
      </c>
      <c r="E492" s="18">
        <v>0</v>
      </c>
      <c r="F492" s="18">
        <f t="shared" si="44"/>
        <v>0</v>
      </c>
      <c r="G492" s="18">
        <v>0</v>
      </c>
      <c r="H492" s="18">
        <v>0</v>
      </c>
      <c r="I492" s="18">
        <f t="shared" si="45"/>
        <v>0</v>
      </c>
      <c r="J492" s="18">
        <v>0</v>
      </c>
      <c r="K492" s="18">
        <v>0</v>
      </c>
      <c r="L492" s="18">
        <f t="shared" si="46"/>
        <v>0</v>
      </c>
      <c r="M492" s="18">
        <v>0</v>
      </c>
      <c r="N492" s="18">
        <v>0</v>
      </c>
      <c r="O492" s="18">
        <v>0</v>
      </c>
      <c r="P492" s="18">
        <v>0</v>
      </c>
      <c r="Q492" s="18">
        <f t="shared" si="48"/>
        <v>0</v>
      </c>
      <c r="R492">
        <v>0</v>
      </c>
      <c r="S492">
        <v>0</v>
      </c>
      <c r="T492">
        <v>0</v>
      </c>
      <c r="U492">
        <v>0</v>
      </c>
      <c r="V492" s="18">
        <f t="shared" si="43"/>
        <v>0</v>
      </c>
      <c r="W492" s="18">
        <f t="shared" si="47"/>
        <v>0</v>
      </c>
      <c r="X492" s="18">
        <v>0</v>
      </c>
      <c r="Y492" s="18">
        <v>0</v>
      </c>
    </row>
    <row r="493" spans="1:25" x14ac:dyDescent="0.2">
      <c r="A493" s="18">
        <v>7697</v>
      </c>
      <c r="C493" s="18">
        <v>0</v>
      </c>
      <c r="D493" s="18">
        <v>0</v>
      </c>
      <c r="E493" s="18">
        <v>0</v>
      </c>
      <c r="F493" s="18">
        <f t="shared" si="44"/>
        <v>0</v>
      </c>
      <c r="G493" s="18">
        <v>0</v>
      </c>
      <c r="H493" s="18">
        <v>0</v>
      </c>
      <c r="I493" s="18">
        <f t="shared" si="45"/>
        <v>0</v>
      </c>
      <c r="J493" s="18">
        <v>0</v>
      </c>
      <c r="K493" s="18">
        <v>0</v>
      </c>
      <c r="L493" s="18">
        <f t="shared" si="46"/>
        <v>0</v>
      </c>
      <c r="M493" s="18">
        <v>0</v>
      </c>
      <c r="N493" s="18">
        <v>0</v>
      </c>
      <c r="O493" s="18">
        <v>0</v>
      </c>
      <c r="P493" s="18">
        <v>0</v>
      </c>
      <c r="Q493" s="18">
        <f t="shared" si="48"/>
        <v>0</v>
      </c>
      <c r="R493">
        <v>0</v>
      </c>
      <c r="S493">
        <v>0</v>
      </c>
      <c r="T493">
        <v>0</v>
      </c>
      <c r="U493">
        <v>0</v>
      </c>
      <c r="V493" s="18">
        <f t="shared" si="43"/>
        <v>0</v>
      </c>
      <c r="W493" s="18">
        <f t="shared" si="47"/>
        <v>0</v>
      </c>
      <c r="X493" s="18">
        <v>0</v>
      </c>
      <c r="Y493" s="18">
        <v>0</v>
      </c>
    </row>
    <row r="494" spans="1:25" x14ac:dyDescent="0.2">
      <c r="A494" s="18">
        <v>7703</v>
      </c>
      <c r="C494" s="18">
        <v>0</v>
      </c>
      <c r="D494" s="18">
        <v>0</v>
      </c>
      <c r="E494" s="18">
        <v>0</v>
      </c>
      <c r="F494" s="18">
        <f t="shared" si="44"/>
        <v>0</v>
      </c>
      <c r="G494" s="18">
        <v>0</v>
      </c>
      <c r="H494" s="18">
        <v>0</v>
      </c>
      <c r="I494" s="18">
        <f t="shared" si="45"/>
        <v>0</v>
      </c>
      <c r="J494" s="18">
        <v>0</v>
      </c>
      <c r="K494" s="18">
        <v>0</v>
      </c>
      <c r="L494" s="18">
        <f t="shared" si="46"/>
        <v>0</v>
      </c>
      <c r="M494" s="18">
        <v>0</v>
      </c>
      <c r="N494" s="18">
        <v>0</v>
      </c>
      <c r="O494" s="18">
        <v>0</v>
      </c>
      <c r="P494" s="18">
        <v>0</v>
      </c>
      <c r="Q494" s="18">
        <f t="shared" si="48"/>
        <v>0</v>
      </c>
      <c r="R494">
        <v>0</v>
      </c>
      <c r="S494">
        <v>0</v>
      </c>
      <c r="T494">
        <v>0</v>
      </c>
      <c r="U494">
        <v>0</v>
      </c>
      <c r="V494" s="18">
        <f t="shared" si="43"/>
        <v>0</v>
      </c>
      <c r="W494" s="18">
        <f t="shared" si="47"/>
        <v>0</v>
      </c>
      <c r="X494" s="18">
        <v>0</v>
      </c>
      <c r="Y494" s="18">
        <v>0</v>
      </c>
    </row>
    <row r="495" spans="1:25" x14ac:dyDescent="0.2">
      <c r="A495" s="18">
        <v>7716</v>
      </c>
      <c r="C495" s="18">
        <v>0</v>
      </c>
      <c r="D495" s="18">
        <v>0</v>
      </c>
      <c r="E495" s="18">
        <v>0</v>
      </c>
      <c r="F495" s="18">
        <f t="shared" si="44"/>
        <v>0</v>
      </c>
      <c r="G495" s="18">
        <v>0</v>
      </c>
      <c r="H495" s="18">
        <v>0</v>
      </c>
      <c r="I495" s="18">
        <f t="shared" si="45"/>
        <v>0</v>
      </c>
      <c r="J495" s="18">
        <v>0</v>
      </c>
      <c r="K495" s="18">
        <v>0</v>
      </c>
      <c r="L495" s="18">
        <f t="shared" si="46"/>
        <v>0</v>
      </c>
      <c r="M495" s="18">
        <v>0</v>
      </c>
      <c r="N495" s="18">
        <v>0</v>
      </c>
      <c r="O495" s="18">
        <v>0</v>
      </c>
      <c r="P495" s="18">
        <v>0</v>
      </c>
      <c r="Q495" s="18">
        <f t="shared" si="48"/>
        <v>0</v>
      </c>
      <c r="R495">
        <v>0</v>
      </c>
      <c r="S495">
        <v>0</v>
      </c>
      <c r="T495">
        <v>0</v>
      </c>
      <c r="U495">
        <v>0</v>
      </c>
      <c r="V495" s="18">
        <f t="shared" si="43"/>
        <v>0</v>
      </c>
      <c r="W495" s="18">
        <f t="shared" si="47"/>
        <v>0</v>
      </c>
      <c r="X495" s="18">
        <v>0</v>
      </c>
      <c r="Y495" s="18">
        <v>0</v>
      </c>
    </row>
    <row r="496" spans="1:25" x14ac:dyDescent="0.2">
      <c r="A496" s="18">
        <v>7717</v>
      </c>
      <c r="C496" s="18">
        <v>0</v>
      </c>
      <c r="D496" s="18">
        <v>0</v>
      </c>
      <c r="E496" s="18">
        <v>0</v>
      </c>
      <c r="F496" s="18">
        <f t="shared" si="44"/>
        <v>0</v>
      </c>
      <c r="G496" s="18">
        <v>0</v>
      </c>
      <c r="H496" s="18">
        <v>0</v>
      </c>
      <c r="I496" s="18">
        <f t="shared" si="45"/>
        <v>0</v>
      </c>
      <c r="J496" s="18">
        <v>0</v>
      </c>
      <c r="K496" s="18">
        <v>0</v>
      </c>
      <c r="L496" s="18">
        <f t="shared" si="46"/>
        <v>0</v>
      </c>
      <c r="M496" s="18">
        <v>0</v>
      </c>
      <c r="N496" s="18">
        <v>0</v>
      </c>
      <c r="O496" s="18">
        <v>0</v>
      </c>
      <c r="P496" s="18">
        <v>0</v>
      </c>
      <c r="Q496" s="18">
        <f t="shared" si="48"/>
        <v>0</v>
      </c>
      <c r="R496">
        <v>0</v>
      </c>
      <c r="S496">
        <v>0</v>
      </c>
      <c r="T496">
        <v>0</v>
      </c>
      <c r="U496">
        <v>0</v>
      </c>
      <c r="V496" s="18">
        <f t="shared" si="43"/>
        <v>0</v>
      </c>
      <c r="W496" s="18">
        <f t="shared" si="47"/>
        <v>0</v>
      </c>
      <c r="X496" s="18">
        <v>0</v>
      </c>
      <c r="Y496" s="18">
        <v>0</v>
      </c>
    </row>
    <row r="497" spans="1:25" x14ac:dyDescent="0.2">
      <c r="A497" s="18">
        <v>7724</v>
      </c>
      <c r="C497" s="18">
        <v>0</v>
      </c>
      <c r="D497" s="18">
        <v>0</v>
      </c>
      <c r="E497" s="18">
        <v>0</v>
      </c>
      <c r="F497" s="18">
        <f t="shared" si="44"/>
        <v>0</v>
      </c>
      <c r="G497" s="18">
        <v>0</v>
      </c>
      <c r="H497" s="18">
        <v>0</v>
      </c>
      <c r="I497" s="18">
        <f t="shared" si="45"/>
        <v>0</v>
      </c>
      <c r="J497" s="18">
        <v>0</v>
      </c>
      <c r="K497" s="18">
        <v>0</v>
      </c>
      <c r="L497" s="18">
        <f t="shared" si="46"/>
        <v>0</v>
      </c>
      <c r="M497" s="18">
        <v>0</v>
      </c>
      <c r="N497" s="18">
        <v>0</v>
      </c>
      <c r="O497" s="18">
        <v>0</v>
      </c>
      <c r="P497" s="18">
        <v>0</v>
      </c>
      <c r="Q497" s="18">
        <f t="shared" si="48"/>
        <v>0</v>
      </c>
      <c r="R497">
        <v>0</v>
      </c>
      <c r="S497">
        <v>0</v>
      </c>
      <c r="T497">
        <v>0</v>
      </c>
      <c r="U497">
        <v>0</v>
      </c>
      <c r="V497" s="18">
        <f t="shared" si="43"/>
        <v>0</v>
      </c>
      <c r="W497" s="18">
        <f t="shared" si="47"/>
        <v>0</v>
      </c>
      <c r="X497" s="18">
        <v>0</v>
      </c>
      <c r="Y497" s="18">
        <v>0</v>
      </c>
    </row>
    <row r="498" spans="1:25" x14ac:dyDescent="0.2">
      <c r="A498" s="18">
        <v>7730</v>
      </c>
      <c r="C498" s="18">
        <v>0</v>
      </c>
      <c r="D498" s="18">
        <v>0</v>
      </c>
      <c r="E498" s="18">
        <v>0</v>
      </c>
      <c r="F498" s="18">
        <f t="shared" si="44"/>
        <v>0</v>
      </c>
      <c r="G498" s="18">
        <v>0</v>
      </c>
      <c r="H498" s="18">
        <v>0</v>
      </c>
      <c r="I498" s="18">
        <f t="shared" si="45"/>
        <v>0</v>
      </c>
      <c r="J498" s="18">
        <v>0</v>
      </c>
      <c r="K498" s="18">
        <v>0</v>
      </c>
      <c r="L498" s="18">
        <f t="shared" si="46"/>
        <v>0</v>
      </c>
      <c r="M498" s="18">
        <v>0</v>
      </c>
      <c r="N498" s="18">
        <v>0</v>
      </c>
      <c r="O498" s="18">
        <v>0</v>
      </c>
      <c r="P498" s="18">
        <v>0</v>
      </c>
      <c r="Q498" s="18">
        <f t="shared" si="48"/>
        <v>0</v>
      </c>
      <c r="R498">
        <v>0</v>
      </c>
      <c r="S498">
        <v>0</v>
      </c>
      <c r="T498">
        <v>0</v>
      </c>
      <c r="U498">
        <v>0</v>
      </c>
      <c r="V498" s="18">
        <f t="shared" si="43"/>
        <v>0</v>
      </c>
      <c r="W498" s="18">
        <f t="shared" si="47"/>
        <v>0</v>
      </c>
      <c r="X498" s="18">
        <v>0</v>
      </c>
      <c r="Y498" s="18">
        <v>0</v>
      </c>
    </row>
    <row r="499" spans="1:25" x14ac:dyDescent="0.2">
      <c r="A499" s="18">
        <v>7738</v>
      </c>
      <c r="C499" s="18">
        <v>0</v>
      </c>
      <c r="D499" s="18">
        <v>0</v>
      </c>
      <c r="E499" s="18">
        <v>0</v>
      </c>
      <c r="F499" s="18">
        <f t="shared" si="44"/>
        <v>0</v>
      </c>
      <c r="G499" s="18">
        <v>0</v>
      </c>
      <c r="H499" s="18">
        <v>0</v>
      </c>
      <c r="I499" s="18">
        <f t="shared" si="45"/>
        <v>0</v>
      </c>
      <c r="J499" s="18">
        <v>0</v>
      </c>
      <c r="K499" s="18">
        <v>0</v>
      </c>
      <c r="L499" s="18">
        <f t="shared" si="46"/>
        <v>0</v>
      </c>
      <c r="M499" s="18">
        <v>0</v>
      </c>
      <c r="N499" s="18">
        <v>0</v>
      </c>
      <c r="O499" s="18">
        <v>0</v>
      </c>
      <c r="P499" s="18">
        <v>0</v>
      </c>
      <c r="Q499" s="18">
        <f t="shared" si="48"/>
        <v>0</v>
      </c>
      <c r="R499">
        <v>0</v>
      </c>
      <c r="S499">
        <v>0</v>
      </c>
      <c r="T499">
        <v>0</v>
      </c>
      <c r="U499">
        <v>0</v>
      </c>
      <c r="V499" s="18">
        <f t="shared" si="43"/>
        <v>0</v>
      </c>
      <c r="W499" s="18">
        <f t="shared" si="47"/>
        <v>0</v>
      </c>
      <c r="X499" s="18">
        <v>0</v>
      </c>
      <c r="Y499" s="18">
        <v>0</v>
      </c>
    </row>
    <row r="500" spans="1:25" x14ac:dyDescent="0.2">
      <c r="A500" s="18">
        <v>7740</v>
      </c>
      <c r="C500" s="18">
        <v>0</v>
      </c>
      <c r="D500" s="18">
        <v>0</v>
      </c>
      <c r="E500" s="18">
        <v>0</v>
      </c>
      <c r="F500" s="18">
        <f t="shared" si="44"/>
        <v>0</v>
      </c>
      <c r="G500" s="18">
        <v>0</v>
      </c>
      <c r="H500" s="18">
        <v>0</v>
      </c>
      <c r="I500" s="18">
        <f t="shared" si="45"/>
        <v>0</v>
      </c>
      <c r="J500" s="18">
        <v>0</v>
      </c>
      <c r="K500" s="18">
        <v>0</v>
      </c>
      <c r="L500" s="18">
        <f t="shared" si="46"/>
        <v>0</v>
      </c>
      <c r="M500" s="18">
        <v>0</v>
      </c>
      <c r="N500" s="18">
        <v>0</v>
      </c>
      <c r="O500" s="18">
        <v>0</v>
      </c>
      <c r="P500" s="18">
        <v>0</v>
      </c>
      <c r="Q500" s="18">
        <f t="shared" si="48"/>
        <v>0</v>
      </c>
      <c r="R500">
        <v>0</v>
      </c>
      <c r="S500">
        <v>0</v>
      </c>
      <c r="T500">
        <v>0</v>
      </c>
      <c r="U500">
        <v>0</v>
      </c>
      <c r="V500" s="18">
        <f t="shared" si="43"/>
        <v>0</v>
      </c>
      <c r="W500" s="18">
        <f t="shared" si="47"/>
        <v>0</v>
      </c>
      <c r="X500" s="18">
        <v>0</v>
      </c>
      <c r="Y500" s="18">
        <v>0</v>
      </c>
    </row>
    <row r="501" spans="1:25" x14ac:dyDescent="0.2">
      <c r="A501" s="18">
        <v>7743</v>
      </c>
      <c r="C501" s="18">
        <v>0</v>
      </c>
      <c r="D501" s="18">
        <v>0</v>
      </c>
      <c r="E501" s="18">
        <v>0</v>
      </c>
      <c r="F501" s="18">
        <f t="shared" si="44"/>
        <v>0</v>
      </c>
      <c r="G501" s="18">
        <v>0</v>
      </c>
      <c r="H501" s="18">
        <v>0</v>
      </c>
      <c r="I501" s="18">
        <f t="shared" si="45"/>
        <v>0</v>
      </c>
      <c r="J501" s="18">
        <v>0</v>
      </c>
      <c r="K501" s="18">
        <v>0</v>
      </c>
      <c r="L501" s="18">
        <f t="shared" si="46"/>
        <v>0</v>
      </c>
      <c r="M501" s="18">
        <v>0</v>
      </c>
      <c r="N501" s="18">
        <v>0</v>
      </c>
      <c r="O501" s="18">
        <v>0</v>
      </c>
      <c r="P501" s="18">
        <v>0</v>
      </c>
      <c r="Q501" s="18">
        <f t="shared" si="48"/>
        <v>0</v>
      </c>
      <c r="R501">
        <v>0</v>
      </c>
      <c r="S501">
        <v>0</v>
      </c>
      <c r="T501">
        <v>0</v>
      </c>
      <c r="U501">
        <v>0</v>
      </c>
      <c r="V501" s="18">
        <f t="shared" si="43"/>
        <v>0</v>
      </c>
      <c r="W501" s="18">
        <f t="shared" si="47"/>
        <v>0</v>
      </c>
      <c r="X501" s="18">
        <v>0</v>
      </c>
      <c r="Y501" s="18">
        <v>0</v>
      </c>
    </row>
    <row r="502" spans="1:25" x14ac:dyDescent="0.2">
      <c r="A502" s="18">
        <v>7749</v>
      </c>
      <c r="C502" s="18">
        <v>0</v>
      </c>
      <c r="D502" s="18">
        <v>0</v>
      </c>
      <c r="E502" s="18">
        <v>0</v>
      </c>
      <c r="F502" s="18">
        <f t="shared" si="44"/>
        <v>0</v>
      </c>
      <c r="G502" s="18">
        <v>0</v>
      </c>
      <c r="H502" s="18">
        <v>0</v>
      </c>
      <c r="I502" s="18">
        <f t="shared" si="45"/>
        <v>0</v>
      </c>
      <c r="J502" s="18">
        <v>0</v>
      </c>
      <c r="K502" s="18">
        <v>0</v>
      </c>
      <c r="L502" s="18">
        <f t="shared" si="46"/>
        <v>0</v>
      </c>
      <c r="M502" s="18">
        <v>0</v>
      </c>
      <c r="N502" s="18">
        <v>0</v>
      </c>
      <c r="O502" s="18">
        <v>0</v>
      </c>
      <c r="P502" s="18">
        <v>0</v>
      </c>
      <c r="Q502" s="18">
        <f t="shared" si="48"/>
        <v>0</v>
      </c>
      <c r="R502">
        <v>0</v>
      </c>
      <c r="S502">
        <v>0</v>
      </c>
      <c r="T502">
        <v>0</v>
      </c>
      <c r="U502">
        <v>0</v>
      </c>
      <c r="V502" s="18">
        <f t="shared" si="43"/>
        <v>0</v>
      </c>
      <c r="W502" s="18">
        <f t="shared" si="47"/>
        <v>0</v>
      </c>
      <c r="X502" s="18">
        <v>0</v>
      </c>
      <c r="Y502" s="18">
        <v>0</v>
      </c>
    </row>
    <row r="503" spans="1:25" x14ac:dyDescent="0.2">
      <c r="A503" s="18">
        <v>7751</v>
      </c>
      <c r="C503" s="18">
        <v>0</v>
      </c>
      <c r="D503" s="18">
        <v>0</v>
      </c>
      <c r="E503" s="18">
        <v>0</v>
      </c>
      <c r="F503" s="18">
        <f t="shared" si="44"/>
        <v>0</v>
      </c>
      <c r="G503" s="18">
        <v>0</v>
      </c>
      <c r="H503" s="18">
        <v>0</v>
      </c>
      <c r="I503" s="18">
        <f t="shared" si="45"/>
        <v>0</v>
      </c>
      <c r="J503" s="18">
        <v>0</v>
      </c>
      <c r="K503" s="18">
        <v>0</v>
      </c>
      <c r="L503" s="18">
        <f t="shared" si="46"/>
        <v>0</v>
      </c>
      <c r="M503" s="18">
        <v>0</v>
      </c>
      <c r="N503" s="18">
        <v>0</v>
      </c>
      <c r="O503" s="18">
        <v>0</v>
      </c>
      <c r="P503" s="18">
        <v>0</v>
      </c>
      <c r="Q503" s="18">
        <f t="shared" si="48"/>
        <v>0</v>
      </c>
      <c r="R503">
        <v>0</v>
      </c>
      <c r="S503">
        <v>0</v>
      </c>
      <c r="T503">
        <v>0</v>
      </c>
      <c r="U503">
        <v>0</v>
      </c>
      <c r="V503" s="18">
        <f t="shared" si="43"/>
        <v>0</v>
      </c>
      <c r="W503" s="18">
        <f t="shared" si="47"/>
        <v>0</v>
      </c>
      <c r="X503" s="18">
        <v>0</v>
      </c>
      <c r="Y503" s="18">
        <v>0</v>
      </c>
    </row>
    <row r="504" spans="1:25" x14ac:dyDescent="0.2">
      <c r="A504" s="18">
        <v>7728</v>
      </c>
      <c r="C504" s="18">
        <v>23.170483333333333</v>
      </c>
      <c r="D504" s="18">
        <v>38.703166666666675</v>
      </c>
      <c r="E504" s="18">
        <v>35.93966666666666</v>
      </c>
      <c r="F504" s="18">
        <f t="shared" si="44"/>
        <v>74.642833333333328</v>
      </c>
      <c r="G504" s="18">
        <v>38.238</v>
      </c>
      <c r="H504" s="18">
        <v>12.24757038888889</v>
      </c>
      <c r="I504" s="18">
        <f t="shared" si="45"/>
        <v>50.485570388888888</v>
      </c>
      <c r="J504" s="18">
        <v>8.1361666666666661</v>
      </c>
      <c r="K504" s="18">
        <v>3.4921666666666669</v>
      </c>
      <c r="L504" s="18">
        <f t="shared" si="46"/>
        <v>11.628333333333334</v>
      </c>
      <c r="M504" s="18">
        <v>454.21875</v>
      </c>
      <c r="N504" s="18">
        <v>15.495000000000001</v>
      </c>
      <c r="O504" s="18">
        <v>0.54099999999999993</v>
      </c>
      <c r="P504" s="18">
        <v>302.8125</v>
      </c>
      <c r="Q504" s="18">
        <f t="shared" si="48"/>
        <v>773.06725000000006</v>
      </c>
      <c r="R504">
        <v>19.626833333333334</v>
      </c>
      <c r="S504">
        <v>0</v>
      </c>
      <c r="T504">
        <v>40.342333333333336</v>
      </c>
      <c r="U504">
        <v>2.367</v>
      </c>
      <c r="V504" s="18">
        <f t="shared" si="43"/>
        <v>469.71375</v>
      </c>
      <c r="W504" s="18">
        <f t="shared" si="47"/>
        <v>303.3535</v>
      </c>
      <c r="X504" s="18">
        <v>37.719666666666662</v>
      </c>
      <c r="Y504" s="18">
        <v>1.7166666666666667E-2</v>
      </c>
    </row>
    <row r="505" spans="1:25" x14ac:dyDescent="0.2">
      <c r="A505" s="18">
        <v>7758</v>
      </c>
      <c r="C505" s="18">
        <v>0</v>
      </c>
      <c r="D505" s="18">
        <v>0</v>
      </c>
      <c r="E505" s="18">
        <v>0</v>
      </c>
      <c r="F505" s="18">
        <f t="shared" si="44"/>
        <v>0</v>
      </c>
      <c r="G505" s="18">
        <v>0</v>
      </c>
      <c r="H505" s="18">
        <v>0</v>
      </c>
      <c r="I505" s="18">
        <f t="shared" si="45"/>
        <v>0</v>
      </c>
      <c r="J505" s="18">
        <v>0</v>
      </c>
      <c r="K505" s="18">
        <v>0</v>
      </c>
      <c r="L505" s="18">
        <f t="shared" si="46"/>
        <v>0</v>
      </c>
      <c r="M505" s="18">
        <v>0</v>
      </c>
      <c r="N505" s="18">
        <v>0</v>
      </c>
      <c r="O505" s="18">
        <v>0</v>
      </c>
      <c r="P505" s="18">
        <v>0</v>
      </c>
      <c r="Q505" s="18">
        <f t="shared" si="48"/>
        <v>0</v>
      </c>
      <c r="R505">
        <v>0</v>
      </c>
      <c r="S505">
        <v>0</v>
      </c>
      <c r="T505">
        <v>0</v>
      </c>
      <c r="U505">
        <v>0</v>
      </c>
      <c r="V505" s="18">
        <f t="shared" si="43"/>
        <v>0</v>
      </c>
      <c r="W505" s="18">
        <f t="shared" si="47"/>
        <v>0</v>
      </c>
      <c r="X505" s="18">
        <v>0</v>
      </c>
      <c r="Y505" s="18">
        <v>0</v>
      </c>
    </row>
    <row r="506" spans="1:25" x14ac:dyDescent="0.2">
      <c r="A506" s="18">
        <v>7767</v>
      </c>
      <c r="C506" s="18">
        <v>0</v>
      </c>
      <c r="D506" s="18">
        <v>0</v>
      </c>
      <c r="E506" s="18">
        <v>0</v>
      </c>
      <c r="F506" s="18">
        <f t="shared" si="44"/>
        <v>0</v>
      </c>
      <c r="G506" s="18">
        <v>0</v>
      </c>
      <c r="H506" s="18">
        <v>0</v>
      </c>
      <c r="I506" s="18">
        <f t="shared" si="45"/>
        <v>0</v>
      </c>
      <c r="J506" s="18">
        <v>0</v>
      </c>
      <c r="K506" s="18">
        <v>0</v>
      </c>
      <c r="L506" s="18">
        <f t="shared" si="46"/>
        <v>0</v>
      </c>
      <c r="M506" s="18">
        <v>0</v>
      </c>
      <c r="N506" s="18">
        <v>0</v>
      </c>
      <c r="O506" s="18">
        <v>0</v>
      </c>
      <c r="P506" s="18">
        <v>0</v>
      </c>
      <c r="Q506" s="18">
        <f t="shared" si="48"/>
        <v>0</v>
      </c>
      <c r="R506">
        <v>0</v>
      </c>
      <c r="S506">
        <v>0</v>
      </c>
      <c r="T506">
        <v>0</v>
      </c>
      <c r="U506">
        <v>0</v>
      </c>
      <c r="V506" s="18">
        <f t="shared" si="43"/>
        <v>0</v>
      </c>
      <c r="W506" s="18">
        <f t="shared" si="47"/>
        <v>0</v>
      </c>
      <c r="X506" s="18">
        <v>0</v>
      </c>
      <c r="Y506" s="18">
        <v>0</v>
      </c>
    </row>
    <row r="507" spans="1:25" x14ac:dyDescent="0.2">
      <c r="A507" s="18">
        <v>7776</v>
      </c>
      <c r="C507" s="18">
        <v>0</v>
      </c>
      <c r="D507" s="18">
        <v>0</v>
      </c>
      <c r="E507" s="18">
        <v>0</v>
      </c>
      <c r="F507" s="18">
        <f t="shared" si="44"/>
        <v>0</v>
      </c>
      <c r="G507" s="18">
        <v>0</v>
      </c>
      <c r="H507" s="18">
        <v>0</v>
      </c>
      <c r="I507" s="18">
        <f t="shared" si="45"/>
        <v>0</v>
      </c>
      <c r="J507" s="18">
        <v>0</v>
      </c>
      <c r="K507" s="18">
        <v>0</v>
      </c>
      <c r="L507" s="18">
        <f t="shared" si="46"/>
        <v>0</v>
      </c>
      <c r="M507" s="18">
        <v>0</v>
      </c>
      <c r="N507" s="18">
        <v>0</v>
      </c>
      <c r="O507" s="18">
        <v>0</v>
      </c>
      <c r="P507" s="18">
        <v>0</v>
      </c>
      <c r="Q507" s="18">
        <f t="shared" si="48"/>
        <v>0</v>
      </c>
      <c r="R507">
        <v>0</v>
      </c>
      <c r="S507">
        <v>0</v>
      </c>
      <c r="T507">
        <v>0</v>
      </c>
      <c r="U507">
        <v>0</v>
      </c>
      <c r="V507" s="18">
        <f t="shared" si="43"/>
        <v>0</v>
      </c>
      <c r="W507" s="18">
        <f t="shared" si="47"/>
        <v>0</v>
      </c>
      <c r="X507" s="18">
        <v>0</v>
      </c>
      <c r="Y507" s="18">
        <v>0</v>
      </c>
    </row>
    <row r="508" spans="1:25" x14ac:dyDescent="0.2">
      <c r="A508" s="18">
        <v>7800</v>
      </c>
      <c r="C508" s="18">
        <v>0</v>
      </c>
      <c r="D508" s="18">
        <v>0</v>
      </c>
      <c r="E508" s="18">
        <v>0</v>
      </c>
      <c r="F508" s="18">
        <f t="shared" si="44"/>
        <v>0</v>
      </c>
      <c r="G508" s="18">
        <v>0</v>
      </c>
      <c r="H508" s="18">
        <v>0</v>
      </c>
      <c r="I508" s="18">
        <f t="shared" si="45"/>
        <v>0</v>
      </c>
      <c r="J508" s="18">
        <v>0</v>
      </c>
      <c r="K508" s="18">
        <v>0</v>
      </c>
      <c r="L508" s="18">
        <f t="shared" si="46"/>
        <v>0</v>
      </c>
      <c r="M508" s="18">
        <v>0</v>
      </c>
      <c r="N508" s="18">
        <v>0</v>
      </c>
      <c r="O508" s="18">
        <v>0</v>
      </c>
      <c r="P508" s="18">
        <v>0</v>
      </c>
      <c r="Q508" s="18">
        <f t="shared" si="48"/>
        <v>0</v>
      </c>
      <c r="R508">
        <v>0</v>
      </c>
      <c r="S508">
        <v>0</v>
      </c>
      <c r="T508">
        <v>0</v>
      </c>
      <c r="U508">
        <v>0</v>
      </c>
      <c r="V508" s="18">
        <f t="shared" si="43"/>
        <v>0</v>
      </c>
      <c r="W508" s="18">
        <f t="shared" si="47"/>
        <v>0</v>
      </c>
      <c r="X508" s="18">
        <v>0</v>
      </c>
      <c r="Y508" s="18">
        <v>0</v>
      </c>
    </row>
    <row r="509" spans="1:25" x14ac:dyDescent="0.2">
      <c r="A509" s="18" t="s">
        <v>461</v>
      </c>
      <c r="C509" s="18">
        <v>0</v>
      </c>
      <c r="D509" s="18">
        <v>0</v>
      </c>
      <c r="E509" s="18">
        <v>0</v>
      </c>
      <c r="F509" s="18">
        <f t="shared" si="44"/>
        <v>0</v>
      </c>
      <c r="G509" s="18">
        <v>0</v>
      </c>
      <c r="H509" s="18">
        <v>0</v>
      </c>
      <c r="I509" s="18">
        <f t="shared" si="45"/>
        <v>0</v>
      </c>
      <c r="J509" s="18">
        <v>0</v>
      </c>
      <c r="K509" s="18">
        <v>0</v>
      </c>
      <c r="L509" s="18">
        <f t="shared" si="46"/>
        <v>0</v>
      </c>
      <c r="M509" s="18">
        <v>0</v>
      </c>
      <c r="N509" s="18">
        <v>0</v>
      </c>
      <c r="O509" s="18">
        <v>0</v>
      </c>
      <c r="P509" s="18">
        <v>0</v>
      </c>
      <c r="Q509" s="18">
        <f t="shared" si="48"/>
        <v>0</v>
      </c>
      <c r="R509">
        <v>0</v>
      </c>
      <c r="S509">
        <v>0</v>
      </c>
      <c r="T509">
        <v>0</v>
      </c>
      <c r="U509">
        <v>0</v>
      </c>
      <c r="V509" s="18">
        <f t="shared" si="43"/>
        <v>0</v>
      </c>
      <c r="W509" s="18">
        <f t="shared" si="47"/>
        <v>0</v>
      </c>
      <c r="X509" s="18">
        <v>0</v>
      </c>
      <c r="Y509" s="18">
        <v>0</v>
      </c>
    </row>
    <row r="510" spans="1:25" x14ac:dyDescent="0.2">
      <c r="A510" s="18" t="s">
        <v>460</v>
      </c>
      <c r="C510" s="18">
        <v>0</v>
      </c>
      <c r="D510" s="18">
        <v>0</v>
      </c>
      <c r="E510" s="18">
        <v>0</v>
      </c>
      <c r="F510" s="18">
        <f t="shared" si="44"/>
        <v>0</v>
      </c>
      <c r="G510" s="18">
        <v>0</v>
      </c>
      <c r="H510" s="18">
        <v>0</v>
      </c>
      <c r="I510" s="18">
        <f t="shared" si="45"/>
        <v>0</v>
      </c>
      <c r="J510" s="18">
        <v>0</v>
      </c>
      <c r="K510" s="18">
        <v>0</v>
      </c>
      <c r="L510" s="18">
        <f t="shared" si="46"/>
        <v>0</v>
      </c>
      <c r="M510" s="18">
        <v>0</v>
      </c>
      <c r="N510" s="18">
        <v>0</v>
      </c>
      <c r="O510" s="18">
        <v>0</v>
      </c>
      <c r="P510" s="18">
        <v>0</v>
      </c>
      <c r="Q510" s="18">
        <f t="shared" si="48"/>
        <v>0</v>
      </c>
      <c r="R510">
        <v>0</v>
      </c>
      <c r="S510">
        <v>0</v>
      </c>
      <c r="T510">
        <v>0</v>
      </c>
      <c r="U510">
        <v>0</v>
      </c>
      <c r="V510" s="18">
        <f t="shared" si="43"/>
        <v>0</v>
      </c>
      <c r="W510" s="18">
        <f t="shared" si="47"/>
        <v>0</v>
      </c>
      <c r="X510" s="18">
        <v>0</v>
      </c>
      <c r="Y510" s="18">
        <v>0</v>
      </c>
    </row>
    <row r="511" spans="1:25" x14ac:dyDescent="0.2">
      <c r="A511" s="18">
        <v>7809</v>
      </c>
      <c r="C511" s="18">
        <v>0</v>
      </c>
      <c r="D511" s="18">
        <v>0</v>
      </c>
      <c r="E511" s="18">
        <v>0</v>
      </c>
      <c r="F511" s="18">
        <f t="shared" si="44"/>
        <v>0</v>
      </c>
      <c r="G511" s="18">
        <v>0</v>
      </c>
      <c r="H511" s="18">
        <v>0</v>
      </c>
      <c r="I511" s="18">
        <f t="shared" si="45"/>
        <v>0</v>
      </c>
      <c r="J511" s="18">
        <v>0</v>
      </c>
      <c r="K511" s="18">
        <v>0</v>
      </c>
      <c r="L511" s="18">
        <f t="shared" si="46"/>
        <v>0</v>
      </c>
      <c r="M511" s="18">
        <v>0</v>
      </c>
      <c r="N511" s="18">
        <v>0</v>
      </c>
      <c r="O511" s="18">
        <v>0</v>
      </c>
      <c r="P511" s="18">
        <v>0</v>
      </c>
      <c r="Q511" s="18">
        <f t="shared" si="48"/>
        <v>0</v>
      </c>
      <c r="R511">
        <v>0</v>
      </c>
      <c r="S511">
        <v>0</v>
      </c>
      <c r="T511">
        <v>0</v>
      </c>
      <c r="U511">
        <v>0</v>
      </c>
      <c r="V511" s="18">
        <f t="shared" si="43"/>
        <v>0</v>
      </c>
      <c r="W511" s="18">
        <f t="shared" si="47"/>
        <v>0</v>
      </c>
      <c r="X511" s="18">
        <v>0</v>
      </c>
      <c r="Y511" s="18">
        <v>0</v>
      </c>
    </row>
    <row r="512" spans="1:25" x14ac:dyDescent="0.2">
      <c r="A512" s="18">
        <v>7752</v>
      </c>
      <c r="C512" s="18">
        <v>0</v>
      </c>
      <c r="D512" s="18">
        <v>0</v>
      </c>
      <c r="E512" s="18">
        <v>0</v>
      </c>
      <c r="F512" s="18">
        <f t="shared" si="44"/>
        <v>0</v>
      </c>
      <c r="G512" s="18">
        <v>0</v>
      </c>
      <c r="H512" s="18">
        <v>0</v>
      </c>
      <c r="I512" s="18">
        <f t="shared" si="45"/>
        <v>0</v>
      </c>
      <c r="J512" s="18">
        <v>0</v>
      </c>
      <c r="K512" s="18">
        <v>0</v>
      </c>
      <c r="L512" s="18">
        <f t="shared" si="46"/>
        <v>0</v>
      </c>
      <c r="M512" s="18">
        <v>0</v>
      </c>
      <c r="N512" s="18">
        <v>0</v>
      </c>
      <c r="O512" s="18">
        <v>0</v>
      </c>
      <c r="P512" s="18">
        <v>0</v>
      </c>
      <c r="Q512" s="18">
        <f t="shared" si="48"/>
        <v>0</v>
      </c>
      <c r="R512">
        <v>0</v>
      </c>
      <c r="S512">
        <v>0</v>
      </c>
      <c r="T512">
        <v>0</v>
      </c>
      <c r="U512">
        <v>0</v>
      </c>
      <c r="V512" s="18">
        <f t="shared" si="43"/>
        <v>0</v>
      </c>
      <c r="W512" s="18">
        <f t="shared" si="47"/>
        <v>0</v>
      </c>
      <c r="X512" s="18">
        <v>0</v>
      </c>
      <c r="Y512" s="18">
        <v>0</v>
      </c>
    </row>
    <row r="513" spans="1:25" x14ac:dyDescent="0.2">
      <c r="A513" s="18">
        <v>7606</v>
      </c>
      <c r="C513" s="18">
        <v>0</v>
      </c>
      <c r="D513" s="18">
        <v>0</v>
      </c>
      <c r="E513" s="18">
        <v>0</v>
      </c>
      <c r="F513" s="18">
        <f t="shared" si="44"/>
        <v>0</v>
      </c>
      <c r="G513" s="18">
        <v>0</v>
      </c>
      <c r="H513" s="18">
        <v>0</v>
      </c>
      <c r="I513" s="18">
        <f t="shared" si="45"/>
        <v>0</v>
      </c>
      <c r="J513" s="18">
        <v>0</v>
      </c>
      <c r="K513" s="18">
        <v>0</v>
      </c>
      <c r="L513" s="18">
        <f t="shared" si="46"/>
        <v>0</v>
      </c>
      <c r="M513" s="18">
        <v>0</v>
      </c>
      <c r="N513" s="18">
        <v>0</v>
      </c>
      <c r="O513" s="18">
        <v>0</v>
      </c>
      <c r="P513" s="18">
        <v>0</v>
      </c>
      <c r="Q513" s="18">
        <f t="shared" si="48"/>
        <v>0</v>
      </c>
      <c r="R513">
        <v>0</v>
      </c>
      <c r="S513">
        <v>0</v>
      </c>
      <c r="T513">
        <v>0</v>
      </c>
      <c r="U513">
        <v>0</v>
      </c>
      <c r="V513" s="18">
        <f t="shared" si="43"/>
        <v>0</v>
      </c>
      <c r="W513" s="18">
        <f t="shared" si="47"/>
        <v>0</v>
      </c>
      <c r="X513" s="18">
        <v>0</v>
      </c>
      <c r="Y513" s="18">
        <v>0</v>
      </c>
    </row>
    <row r="514" spans="1:25" x14ac:dyDescent="0.2">
      <c r="A514" s="18">
        <v>7829</v>
      </c>
      <c r="C514" s="18">
        <v>259.14602777777776</v>
      </c>
      <c r="D514" s="18">
        <v>187.78649999999999</v>
      </c>
      <c r="E514" s="18">
        <v>236.86636983333338</v>
      </c>
      <c r="F514" s="18">
        <f t="shared" si="44"/>
        <v>424.6528698333334</v>
      </c>
      <c r="G514" s="18">
        <v>330.08416666666665</v>
      </c>
      <c r="H514" s="18">
        <v>92.397789000000003</v>
      </c>
      <c r="I514" s="18">
        <f t="shared" si="45"/>
        <v>422.48195566666664</v>
      </c>
      <c r="J514" s="18">
        <v>0</v>
      </c>
      <c r="K514" s="18">
        <v>12.68</v>
      </c>
      <c r="L514" s="18">
        <f t="shared" si="46"/>
        <v>12.68</v>
      </c>
      <c r="M514" s="18">
        <v>0</v>
      </c>
      <c r="N514" s="334">
        <v>115.47666666666669</v>
      </c>
      <c r="O514" s="18">
        <v>0</v>
      </c>
      <c r="P514" s="18">
        <v>0</v>
      </c>
      <c r="Q514" s="18">
        <f t="shared" si="48"/>
        <v>115.47666666666669</v>
      </c>
      <c r="R514">
        <v>187.68383333333333</v>
      </c>
      <c r="S514">
        <v>0</v>
      </c>
      <c r="T514">
        <v>423.8293333333333</v>
      </c>
      <c r="U514">
        <v>123.36783333333332</v>
      </c>
      <c r="V514" s="18">
        <f t="shared" si="43"/>
        <v>115.47666666666669</v>
      </c>
      <c r="W514" s="18">
        <f t="shared" si="47"/>
        <v>0</v>
      </c>
      <c r="X514" s="18">
        <v>451.70033333333333</v>
      </c>
      <c r="Y514" s="18">
        <v>38.323666666666675</v>
      </c>
    </row>
    <row r="515" spans="1:25" x14ac:dyDescent="0.2">
      <c r="A515" s="18">
        <v>7779</v>
      </c>
      <c r="C515" s="18">
        <v>0</v>
      </c>
      <c r="D515" s="18">
        <v>0</v>
      </c>
      <c r="E515" s="18">
        <v>0</v>
      </c>
      <c r="F515" s="18">
        <f t="shared" si="44"/>
        <v>0</v>
      </c>
      <c r="G515" s="18">
        <v>0</v>
      </c>
      <c r="H515" s="18">
        <v>0</v>
      </c>
      <c r="I515" s="18">
        <f t="shared" si="45"/>
        <v>0</v>
      </c>
      <c r="J515" s="18">
        <v>0</v>
      </c>
      <c r="K515" s="18">
        <v>0</v>
      </c>
      <c r="L515" s="18">
        <f t="shared" si="46"/>
        <v>0</v>
      </c>
      <c r="M515" s="18">
        <v>0</v>
      </c>
      <c r="N515" s="18">
        <v>0</v>
      </c>
      <c r="O515" s="18">
        <v>0</v>
      </c>
      <c r="P515" s="18">
        <v>0</v>
      </c>
      <c r="Q515" s="18">
        <f t="shared" si="48"/>
        <v>0</v>
      </c>
      <c r="R515">
        <v>0</v>
      </c>
      <c r="S515">
        <v>0</v>
      </c>
      <c r="T515">
        <v>0</v>
      </c>
      <c r="U515">
        <v>0</v>
      </c>
      <c r="V515" s="18">
        <f t="shared" si="43"/>
        <v>0</v>
      </c>
      <c r="W515" s="18">
        <f t="shared" si="47"/>
        <v>0</v>
      </c>
      <c r="X515" s="18">
        <v>0</v>
      </c>
      <c r="Y515" s="18">
        <v>0</v>
      </c>
    </row>
    <row r="516" spans="1:25" x14ac:dyDescent="0.2">
      <c r="A516" s="18">
        <v>7811</v>
      </c>
      <c r="C516" s="18">
        <v>0</v>
      </c>
      <c r="D516" s="18">
        <v>0</v>
      </c>
      <c r="E516" s="18">
        <v>0</v>
      </c>
      <c r="F516" s="18">
        <f t="shared" si="44"/>
        <v>0</v>
      </c>
      <c r="G516" s="18">
        <v>0</v>
      </c>
      <c r="H516" s="18">
        <v>0</v>
      </c>
      <c r="I516" s="18">
        <f t="shared" si="45"/>
        <v>0</v>
      </c>
      <c r="J516" s="18">
        <v>0</v>
      </c>
      <c r="K516" s="18">
        <v>0</v>
      </c>
      <c r="L516" s="18">
        <f t="shared" si="46"/>
        <v>0</v>
      </c>
      <c r="M516" s="18">
        <v>0</v>
      </c>
      <c r="N516" s="18">
        <v>0</v>
      </c>
      <c r="O516" s="18">
        <v>0</v>
      </c>
      <c r="P516" s="18">
        <v>0</v>
      </c>
      <c r="Q516" s="18">
        <f t="shared" si="48"/>
        <v>0</v>
      </c>
      <c r="R516">
        <v>0</v>
      </c>
      <c r="S516">
        <v>0</v>
      </c>
      <c r="T516">
        <v>0</v>
      </c>
      <c r="U516">
        <v>0</v>
      </c>
      <c r="V516" s="18">
        <f t="shared" ref="V516:V579" si="49">M516+N516</f>
        <v>0</v>
      </c>
      <c r="W516" s="18">
        <f t="shared" si="47"/>
        <v>0</v>
      </c>
      <c r="X516" s="18">
        <v>0</v>
      </c>
      <c r="Y516" s="18">
        <v>0</v>
      </c>
    </row>
    <row r="517" spans="1:25" x14ac:dyDescent="0.2">
      <c r="A517" s="18">
        <v>7806</v>
      </c>
      <c r="C517" s="18">
        <v>0</v>
      </c>
      <c r="D517" s="18">
        <v>0</v>
      </c>
      <c r="E517" s="18">
        <v>0</v>
      </c>
      <c r="F517" s="18">
        <f t="shared" ref="F517:F580" si="50">SUM(D517:E517)</f>
        <v>0</v>
      </c>
      <c r="G517" s="18">
        <v>0</v>
      </c>
      <c r="H517" s="18">
        <v>0.26683333333333337</v>
      </c>
      <c r="I517" s="18">
        <f t="shared" ref="I517:I580" si="51">SUM(G517:H517)</f>
        <v>0.26683333333333337</v>
      </c>
      <c r="J517" s="18">
        <v>0</v>
      </c>
      <c r="K517" s="18">
        <v>0</v>
      </c>
      <c r="L517" s="18">
        <f t="shared" ref="L517:L580" si="52">SUM(J517:K517)</f>
        <v>0</v>
      </c>
      <c r="M517" s="18">
        <v>0</v>
      </c>
      <c r="N517" s="18">
        <v>0</v>
      </c>
      <c r="O517" s="18">
        <v>0</v>
      </c>
      <c r="P517" s="18">
        <v>0</v>
      </c>
      <c r="Q517" s="18">
        <f t="shared" si="48"/>
        <v>0</v>
      </c>
      <c r="R517">
        <v>0</v>
      </c>
      <c r="S517">
        <v>0</v>
      </c>
      <c r="T517">
        <v>0</v>
      </c>
      <c r="U517">
        <v>0</v>
      </c>
      <c r="V517" s="18">
        <f t="shared" si="49"/>
        <v>0</v>
      </c>
      <c r="W517" s="18">
        <f t="shared" ref="W517:W580" si="53">O517+P517</f>
        <v>0</v>
      </c>
      <c r="X517" s="18">
        <v>0</v>
      </c>
      <c r="Y517" s="18">
        <v>0</v>
      </c>
    </row>
    <row r="518" spans="1:25" x14ac:dyDescent="0.2">
      <c r="A518" s="18">
        <v>7842</v>
      </c>
      <c r="C518" s="18">
        <v>0</v>
      </c>
      <c r="D518" s="18">
        <v>0</v>
      </c>
      <c r="E518" s="18">
        <v>0</v>
      </c>
      <c r="F518" s="18">
        <f t="shared" si="50"/>
        <v>0</v>
      </c>
      <c r="G518" s="18">
        <v>0</v>
      </c>
      <c r="H518" s="18">
        <v>0</v>
      </c>
      <c r="I518" s="18">
        <f t="shared" si="51"/>
        <v>0</v>
      </c>
      <c r="J518" s="18">
        <v>0</v>
      </c>
      <c r="K518" s="18">
        <v>0</v>
      </c>
      <c r="L518" s="18">
        <f t="shared" si="52"/>
        <v>0</v>
      </c>
      <c r="M518" s="18">
        <v>0</v>
      </c>
      <c r="N518" s="18">
        <v>0</v>
      </c>
      <c r="O518" s="18">
        <v>0</v>
      </c>
      <c r="P518" s="18">
        <v>0</v>
      </c>
      <c r="Q518" s="18">
        <f t="shared" ref="Q518:Q533" si="54">SUM(M518:P518)</f>
        <v>0</v>
      </c>
      <c r="R518">
        <v>0</v>
      </c>
      <c r="S518">
        <v>0</v>
      </c>
      <c r="T518">
        <v>0</v>
      </c>
      <c r="U518">
        <v>0</v>
      </c>
      <c r="V518" s="18">
        <f t="shared" si="49"/>
        <v>0</v>
      </c>
      <c r="W518" s="18">
        <f t="shared" si="53"/>
        <v>0</v>
      </c>
      <c r="X518" s="18">
        <v>0</v>
      </c>
      <c r="Y518" s="18">
        <v>0</v>
      </c>
    </row>
    <row r="519" spans="1:25" x14ac:dyDescent="0.2">
      <c r="A519" s="18">
        <v>7840</v>
      </c>
      <c r="C519" s="18">
        <v>0</v>
      </c>
      <c r="D519" s="18">
        <v>0</v>
      </c>
      <c r="E519" s="18">
        <v>0</v>
      </c>
      <c r="F519" s="18">
        <f t="shared" si="50"/>
        <v>0</v>
      </c>
      <c r="G519" s="18">
        <v>0</v>
      </c>
      <c r="H519" s="18">
        <v>0</v>
      </c>
      <c r="I519" s="18">
        <f t="shared" si="51"/>
        <v>0</v>
      </c>
      <c r="J519" s="18">
        <v>0</v>
      </c>
      <c r="K519" s="18">
        <v>0</v>
      </c>
      <c r="L519" s="18">
        <f t="shared" si="52"/>
        <v>0</v>
      </c>
      <c r="M519" s="18">
        <v>0</v>
      </c>
      <c r="N519" s="18">
        <v>0</v>
      </c>
      <c r="O519" s="18">
        <v>0</v>
      </c>
      <c r="P519" s="18">
        <v>0</v>
      </c>
      <c r="Q519" s="18">
        <f t="shared" si="54"/>
        <v>0</v>
      </c>
      <c r="R519">
        <v>0</v>
      </c>
      <c r="S519">
        <v>0</v>
      </c>
      <c r="T519">
        <v>0</v>
      </c>
      <c r="U519">
        <v>0</v>
      </c>
      <c r="V519" s="18">
        <f t="shared" si="49"/>
        <v>0</v>
      </c>
      <c r="W519" s="18">
        <f t="shared" si="53"/>
        <v>0</v>
      </c>
      <c r="X519" s="18">
        <v>0</v>
      </c>
      <c r="Y519" s="18">
        <v>0</v>
      </c>
    </row>
    <row r="520" spans="1:25" x14ac:dyDescent="0.2">
      <c r="A520" s="18">
        <v>7862</v>
      </c>
      <c r="C520" s="18">
        <v>0</v>
      </c>
      <c r="D520" s="18">
        <v>0</v>
      </c>
      <c r="E520" s="18">
        <v>0</v>
      </c>
      <c r="F520" s="18">
        <f t="shared" si="50"/>
        <v>0</v>
      </c>
      <c r="G520" s="18">
        <v>0</v>
      </c>
      <c r="H520" s="18">
        <v>0</v>
      </c>
      <c r="I520" s="18">
        <f t="shared" si="51"/>
        <v>0</v>
      </c>
      <c r="J520" s="18">
        <v>0</v>
      </c>
      <c r="K520" s="18">
        <v>0</v>
      </c>
      <c r="L520" s="18">
        <f t="shared" si="52"/>
        <v>0</v>
      </c>
      <c r="M520" s="18">
        <v>0</v>
      </c>
      <c r="N520" s="18">
        <v>0</v>
      </c>
      <c r="O520" s="18">
        <v>0</v>
      </c>
      <c r="P520" s="18">
        <v>0</v>
      </c>
      <c r="Q520" s="18">
        <f t="shared" si="54"/>
        <v>0</v>
      </c>
      <c r="R520">
        <v>0</v>
      </c>
      <c r="S520">
        <v>0</v>
      </c>
      <c r="T520">
        <v>0</v>
      </c>
      <c r="U520">
        <v>0</v>
      </c>
      <c r="V520" s="18">
        <f t="shared" si="49"/>
        <v>0</v>
      </c>
      <c r="W520" s="18">
        <f t="shared" si="53"/>
        <v>0</v>
      </c>
      <c r="X520" s="18">
        <v>0</v>
      </c>
      <c r="Y520" s="18">
        <v>0</v>
      </c>
    </row>
    <row r="521" spans="1:25" x14ac:dyDescent="0.2">
      <c r="A521" s="18">
        <v>7858</v>
      </c>
      <c r="C521" s="18">
        <v>0</v>
      </c>
      <c r="D521" s="18">
        <v>0</v>
      </c>
      <c r="E521" s="18">
        <v>0</v>
      </c>
      <c r="F521" s="18">
        <f t="shared" si="50"/>
        <v>0</v>
      </c>
      <c r="G521" s="18">
        <v>0</v>
      </c>
      <c r="H521" s="18">
        <v>0</v>
      </c>
      <c r="I521" s="18">
        <f t="shared" si="51"/>
        <v>0</v>
      </c>
      <c r="J521" s="18">
        <v>0</v>
      </c>
      <c r="K521" s="18">
        <v>0</v>
      </c>
      <c r="L521" s="18">
        <f t="shared" si="52"/>
        <v>0</v>
      </c>
      <c r="M521" s="18">
        <v>0</v>
      </c>
      <c r="N521" s="18">
        <v>0</v>
      </c>
      <c r="O521" s="18">
        <v>0</v>
      </c>
      <c r="P521" s="18">
        <v>0</v>
      </c>
      <c r="Q521" s="18">
        <f t="shared" si="54"/>
        <v>0</v>
      </c>
      <c r="R521">
        <v>0</v>
      </c>
      <c r="S521">
        <v>0</v>
      </c>
      <c r="T521">
        <v>0</v>
      </c>
      <c r="U521">
        <v>0</v>
      </c>
      <c r="V521" s="18">
        <f t="shared" si="49"/>
        <v>0</v>
      </c>
      <c r="W521" s="18">
        <f t="shared" si="53"/>
        <v>0</v>
      </c>
      <c r="X521" s="18">
        <v>0</v>
      </c>
      <c r="Y521" s="18">
        <v>0</v>
      </c>
    </row>
    <row r="522" spans="1:25" x14ac:dyDescent="0.2">
      <c r="A522" s="18">
        <v>7859</v>
      </c>
      <c r="C522" s="18">
        <v>0</v>
      </c>
      <c r="D522" s="18">
        <v>0</v>
      </c>
      <c r="E522" s="18">
        <v>0</v>
      </c>
      <c r="F522" s="18">
        <f t="shared" si="50"/>
        <v>0</v>
      </c>
      <c r="G522" s="18">
        <v>0</v>
      </c>
      <c r="H522" s="18">
        <v>0</v>
      </c>
      <c r="I522" s="18">
        <f t="shared" si="51"/>
        <v>0</v>
      </c>
      <c r="J522" s="18">
        <v>0</v>
      </c>
      <c r="K522" s="18">
        <v>0</v>
      </c>
      <c r="L522" s="18">
        <f t="shared" si="52"/>
        <v>0</v>
      </c>
      <c r="M522" s="18">
        <v>0</v>
      </c>
      <c r="N522" s="18">
        <v>0</v>
      </c>
      <c r="O522" s="18">
        <v>0</v>
      </c>
      <c r="P522" s="18">
        <v>0</v>
      </c>
      <c r="Q522" s="18">
        <f t="shared" si="54"/>
        <v>0</v>
      </c>
      <c r="R522">
        <v>0</v>
      </c>
      <c r="S522">
        <v>0</v>
      </c>
      <c r="T522">
        <v>0</v>
      </c>
      <c r="U522">
        <v>0</v>
      </c>
      <c r="V522" s="18">
        <f t="shared" si="49"/>
        <v>0</v>
      </c>
      <c r="W522" s="18">
        <f t="shared" si="53"/>
        <v>0</v>
      </c>
      <c r="X522" s="18">
        <v>0</v>
      </c>
      <c r="Y522" s="18">
        <v>0</v>
      </c>
    </row>
    <row r="523" spans="1:25" x14ac:dyDescent="0.2">
      <c r="A523" s="18">
        <v>7879</v>
      </c>
      <c r="C523" s="18">
        <v>0</v>
      </c>
      <c r="D523" s="18">
        <v>0</v>
      </c>
      <c r="E523" s="18">
        <v>0</v>
      </c>
      <c r="F523" s="18">
        <f t="shared" si="50"/>
        <v>0</v>
      </c>
      <c r="G523" s="18">
        <v>0</v>
      </c>
      <c r="H523" s="18">
        <v>0</v>
      </c>
      <c r="I523" s="18">
        <f t="shared" si="51"/>
        <v>0</v>
      </c>
      <c r="J523" s="18">
        <v>0</v>
      </c>
      <c r="K523" s="18">
        <v>0</v>
      </c>
      <c r="L523" s="18">
        <f t="shared" si="52"/>
        <v>0</v>
      </c>
      <c r="M523" s="18">
        <v>0</v>
      </c>
      <c r="N523" s="18">
        <v>0</v>
      </c>
      <c r="O523" s="18">
        <v>0</v>
      </c>
      <c r="P523" s="18">
        <v>0</v>
      </c>
      <c r="Q523" s="18">
        <f t="shared" si="54"/>
        <v>0</v>
      </c>
      <c r="R523">
        <v>0</v>
      </c>
      <c r="S523">
        <v>0</v>
      </c>
      <c r="T523">
        <v>0</v>
      </c>
      <c r="U523">
        <v>0</v>
      </c>
      <c r="V523" s="18">
        <f t="shared" si="49"/>
        <v>0</v>
      </c>
      <c r="W523" s="18">
        <f t="shared" si="53"/>
        <v>0</v>
      </c>
      <c r="X523" s="18">
        <v>0</v>
      </c>
      <c r="Y523" s="18">
        <v>0</v>
      </c>
    </row>
    <row r="524" spans="1:25" x14ac:dyDescent="0.2">
      <c r="A524" s="18">
        <v>7831</v>
      </c>
      <c r="C524" s="18">
        <v>0</v>
      </c>
      <c r="D524" s="18">
        <v>0</v>
      </c>
      <c r="E524" s="18">
        <v>0</v>
      </c>
      <c r="F524" s="18">
        <f t="shared" si="50"/>
        <v>0</v>
      </c>
      <c r="G524" s="18">
        <v>0</v>
      </c>
      <c r="H524" s="18">
        <v>0</v>
      </c>
      <c r="I524" s="18">
        <f t="shared" si="51"/>
        <v>0</v>
      </c>
      <c r="J524" s="18">
        <v>0</v>
      </c>
      <c r="K524" s="18">
        <v>0</v>
      </c>
      <c r="L524" s="18">
        <f t="shared" si="52"/>
        <v>0</v>
      </c>
      <c r="M524" s="18">
        <v>0</v>
      </c>
      <c r="N524" s="18">
        <v>0</v>
      </c>
      <c r="O524" s="18">
        <v>0</v>
      </c>
      <c r="P524" s="18">
        <v>0</v>
      </c>
      <c r="Q524" s="18">
        <f t="shared" si="54"/>
        <v>0</v>
      </c>
      <c r="R524">
        <v>0</v>
      </c>
      <c r="S524">
        <v>0</v>
      </c>
      <c r="T524">
        <v>0</v>
      </c>
      <c r="U524">
        <v>0</v>
      </c>
      <c r="V524" s="18">
        <f t="shared" si="49"/>
        <v>0</v>
      </c>
      <c r="W524" s="18">
        <f t="shared" si="53"/>
        <v>0</v>
      </c>
      <c r="X524" s="18">
        <v>0</v>
      </c>
      <c r="Y524" s="18">
        <v>0</v>
      </c>
    </row>
    <row r="525" spans="1:25" x14ac:dyDescent="0.2">
      <c r="A525" s="18">
        <v>7884</v>
      </c>
      <c r="C525" s="18">
        <v>0</v>
      </c>
      <c r="D525" s="18">
        <v>0</v>
      </c>
      <c r="E525" s="18">
        <v>0</v>
      </c>
      <c r="F525" s="18">
        <f t="shared" si="50"/>
        <v>0</v>
      </c>
      <c r="G525" s="18">
        <v>0</v>
      </c>
      <c r="H525" s="18">
        <v>0</v>
      </c>
      <c r="I525" s="18">
        <f t="shared" si="51"/>
        <v>0</v>
      </c>
      <c r="J525" s="18">
        <v>0</v>
      </c>
      <c r="K525" s="18">
        <v>0</v>
      </c>
      <c r="L525" s="18">
        <f t="shared" si="52"/>
        <v>0</v>
      </c>
      <c r="M525" s="18">
        <v>0</v>
      </c>
      <c r="N525" s="18">
        <v>0</v>
      </c>
      <c r="O525" s="18">
        <v>0</v>
      </c>
      <c r="P525" s="18">
        <v>0</v>
      </c>
      <c r="Q525" s="18">
        <f t="shared" si="54"/>
        <v>0</v>
      </c>
      <c r="R525">
        <v>0</v>
      </c>
      <c r="S525">
        <v>0</v>
      </c>
      <c r="T525">
        <v>0</v>
      </c>
      <c r="U525">
        <v>0</v>
      </c>
      <c r="V525" s="18">
        <f t="shared" si="49"/>
        <v>0</v>
      </c>
      <c r="W525" s="18">
        <f t="shared" si="53"/>
        <v>0</v>
      </c>
      <c r="X525" s="18">
        <v>0</v>
      </c>
      <c r="Y525" s="18">
        <v>0</v>
      </c>
    </row>
    <row r="526" spans="1:25" x14ac:dyDescent="0.2">
      <c r="A526" s="18">
        <v>7904</v>
      </c>
      <c r="C526" s="18">
        <v>0</v>
      </c>
      <c r="D526" s="18">
        <v>0</v>
      </c>
      <c r="E526" s="18">
        <v>0</v>
      </c>
      <c r="F526" s="18">
        <f t="shared" si="50"/>
        <v>0</v>
      </c>
      <c r="G526" s="18">
        <v>0</v>
      </c>
      <c r="H526" s="18">
        <v>0</v>
      </c>
      <c r="I526" s="18">
        <f t="shared" si="51"/>
        <v>0</v>
      </c>
      <c r="J526" s="18">
        <v>0</v>
      </c>
      <c r="K526" s="18">
        <v>0</v>
      </c>
      <c r="L526" s="18">
        <f t="shared" si="52"/>
        <v>0</v>
      </c>
      <c r="M526" s="18">
        <v>0</v>
      </c>
      <c r="N526" s="18">
        <v>0</v>
      </c>
      <c r="O526" s="18">
        <v>0</v>
      </c>
      <c r="P526" s="18">
        <v>0</v>
      </c>
      <c r="Q526" s="18">
        <f t="shared" si="54"/>
        <v>0</v>
      </c>
      <c r="R526">
        <v>0</v>
      </c>
      <c r="S526">
        <v>0</v>
      </c>
      <c r="T526">
        <v>0</v>
      </c>
      <c r="U526">
        <v>0</v>
      </c>
      <c r="V526" s="18">
        <f t="shared" si="49"/>
        <v>0</v>
      </c>
      <c r="W526" s="18">
        <f t="shared" si="53"/>
        <v>0</v>
      </c>
      <c r="X526" s="18">
        <v>0</v>
      </c>
      <c r="Y526" s="18">
        <v>0</v>
      </c>
    </row>
    <row r="527" spans="1:25" x14ac:dyDescent="0.2">
      <c r="A527" s="18">
        <v>7899</v>
      </c>
      <c r="C527" s="18">
        <v>0</v>
      </c>
      <c r="D527" s="18">
        <v>0</v>
      </c>
      <c r="E527" s="18">
        <v>0</v>
      </c>
      <c r="F527" s="18">
        <f t="shared" si="50"/>
        <v>0</v>
      </c>
      <c r="G527" s="18">
        <v>0</v>
      </c>
      <c r="H527" s="18">
        <v>3.5983333333333345</v>
      </c>
      <c r="I527" s="18">
        <f t="shared" si="51"/>
        <v>3.5983333333333345</v>
      </c>
      <c r="J527" s="18">
        <v>0</v>
      </c>
      <c r="K527" s="18">
        <v>0</v>
      </c>
      <c r="L527" s="18">
        <f t="shared" si="52"/>
        <v>0</v>
      </c>
      <c r="M527" s="18">
        <v>0</v>
      </c>
      <c r="N527" s="18">
        <v>0</v>
      </c>
      <c r="O527" s="18">
        <v>0</v>
      </c>
      <c r="P527" s="18">
        <v>0</v>
      </c>
      <c r="Q527" s="18">
        <f t="shared" si="54"/>
        <v>0</v>
      </c>
      <c r="R527">
        <v>0</v>
      </c>
      <c r="S527">
        <v>0</v>
      </c>
      <c r="T527">
        <v>0</v>
      </c>
      <c r="U527">
        <v>0</v>
      </c>
      <c r="V527" s="18">
        <f t="shared" si="49"/>
        <v>0</v>
      </c>
      <c r="W527" s="18">
        <f t="shared" si="53"/>
        <v>0</v>
      </c>
      <c r="X527" s="18">
        <v>0</v>
      </c>
      <c r="Y527" s="18">
        <v>0</v>
      </c>
    </row>
    <row r="528" spans="1:25" x14ac:dyDescent="0.2">
      <c r="A528" s="18">
        <v>7902</v>
      </c>
      <c r="C528" s="18">
        <v>0</v>
      </c>
      <c r="D528" s="18">
        <v>0</v>
      </c>
      <c r="E528" s="18">
        <v>0</v>
      </c>
      <c r="F528" s="18">
        <f t="shared" si="50"/>
        <v>0</v>
      </c>
      <c r="G528" s="18">
        <v>0</v>
      </c>
      <c r="H528" s="18">
        <v>0</v>
      </c>
      <c r="I528" s="18">
        <f t="shared" si="51"/>
        <v>0</v>
      </c>
      <c r="J528" s="18">
        <v>0</v>
      </c>
      <c r="K528" s="18">
        <v>0</v>
      </c>
      <c r="L528" s="18">
        <f t="shared" si="52"/>
        <v>0</v>
      </c>
      <c r="M528" s="18">
        <v>0</v>
      </c>
      <c r="N528" s="18">
        <v>0</v>
      </c>
      <c r="O528" s="18">
        <v>0</v>
      </c>
      <c r="P528" s="18">
        <v>0</v>
      </c>
      <c r="Q528" s="18">
        <f t="shared" si="54"/>
        <v>0</v>
      </c>
      <c r="R528">
        <v>0</v>
      </c>
      <c r="S528">
        <v>0</v>
      </c>
      <c r="T528">
        <v>0</v>
      </c>
      <c r="U528">
        <v>0</v>
      </c>
      <c r="V528" s="18">
        <f t="shared" si="49"/>
        <v>0</v>
      </c>
      <c r="W528" s="18">
        <f t="shared" si="53"/>
        <v>0</v>
      </c>
      <c r="X528" s="18">
        <v>0</v>
      </c>
      <c r="Y528" s="18">
        <v>0</v>
      </c>
    </row>
    <row r="529" spans="1:25" x14ac:dyDescent="0.2">
      <c r="A529" s="18">
        <v>7911</v>
      </c>
      <c r="C529" s="18">
        <v>0</v>
      </c>
      <c r="D529" s="18">
        <v>0</v>
      </c>
      <c r="E529" s="18">
        <v>0</v>
      </c>
      <c r="F529" s="18">
        <f t="shared" si="50"/>
        <v>0</v>
      </c>
      <c r="G529" s="18">
        <v>0</v>
      </c>
      <c r="H529" s="18">
        <v>0</v>
      </c>
      <c r="I529" s="18">
        <f t="shared" si="51"/>
        <v>0</v>
      </c>
      <c r="J529" s="18">
        <v>0</v>
      </c>
      <c r="K529" s="18">
        <v>0</v>
      </c>
      <c r="L529" s="18">
        <f t="shared" si="52"/>
        <v>0</v>
      </c>
      <c r="M529" s="18">
        <v>0</v>
      </c>
      <c r="N529" s="18">
        <v>0</v>
      </c>
      <c r="O529" s="18">
        <v>0</v>
      </c>
      <c r="P529" s="18">
        <v>0</v>
      </c>
      <c r="Q529" s="18">
        <f t="shared" si="54"/>
        <v>0</v>
      </c>
      <c r="R529">
        <v>0</v>
      </c>
      <c r="S529">
        <v>0</v>
      </c>
      <c r="T529">
        <v>0</v>
      </c>
      <c r="U529">
        <v>0</v>
      </c>
      <c r="V529" s="18">
        <f t="shared" si="49"/>
        <v>0</v>
      </c>
      <c r="W529" s="18">
        <f t="shared" si="53"/>
        <v>0</v>
      </c>
      <c r="X529" s="18">
        <v>0</v>
      </c>
      <c r="Y529" s="18">
        <v>0</v>
      </c>
    </row>
    <row r="530" spans="1:25" x14ac:dyDescent="0.2">
      <c r="A530" s="18">
        <v>7919</v>
      </c>
      <c r="C530" s="18">
        <v>0</v>
      </c>
      <c r="D530" s="18">
        <v>0</v>
      </c>
      <c r="E530" s="18">
        <v>0.1305</v>
      </c>
      <c r="F530" s="18">
        <f t="shared" si="50"/>
        <v>0.1305</v>
      </c>
      <c r="G530" s="18">
        <v>0</v>
      </c>
      <c r="H530" s="18">
        <v>0</v>
      </c>
      <c r="I530" s="18">
        <f t="shared" si="51"/>
        <v>0</v>
      </c>
      <c r="J530" s="18">
        <v>0</v>
      </c>
      <c r="K530" s="18">
        <v>0</v>
      </c>
      <c r="L530" s="18">
        <f t="shared" si="52"/>
        <v>0</v>
      </c>
      <c r="M530" s="18">
        <v>0</v>
      </c>
      <c r="N530" s="18">
        <v>0</v>
      </c>
      <c r="O530" s="18">
        <v>0</v>
      </c>
      <c r="P530" s="18">
        <v>0</v>
      </c>
      <c r="Q530" s="18">
        <f t="shared" si="54"/>
        <v>0</v>
      </c>
      <c r="R530">
        <v>0</v>
      </c>
      <c r="S530">
        <v>0</v>
      </c>
      <c r="T530">
        <v>3.0000000000000002E-2</v>
      </c>
      <c r="U530">
        <v>0</v>
      </c>
      <c r="V530" s="18">
        <f t="shared" si="49"/>
        <v>0</v>
      </c>
      <c r="W530" s="18">
        <f t="shared" si="53"/>
        <v>0</v>
      </c>
      <c r="X530" s="18">
        <v>0</v>
      </c>
      <c r="Y530" s="18">
        <v>0</v>
      </c>
    </row>
    <row r="531" spans="1:25" x14ac:dyDescent="0.2">
      <c r="A531" s="18">
        <v>7933</v>
      </c>
      <c r="C531" s="18">
        <v>0</v>
      </c>
      <c r="D531" s="18">
        <v>0</v>
      </c>
      <c r="E531" s="18">
        <v>0</v>
      </c>
      <c r="F531" s="18">
        <f t="shared" si="50"/>
        <v>0</v>
      </c>
      <c r="G531" s="18">
        <v>0</v>
      </c>
      <c r="H531" s="18">
        <v>0</v>
      </c>
      <c r="I531" s="18">
        <f t="shared" si="51"/>
        <v>0</v>
      </c>
      <c r="J531" s="18">
        <v>0</v>
      </c>
      <c r="K531" s="18">
        <v>0</v>
      </c>
      <c r="L531" s="18">
        <f t="shared" si="52"/>
        <v>0</v>
      </c>
      <c r="M531" s="18">
        <v>0</v>
      </c>
      <c r="N531" s="18">
        <v>0</v>
      </c>
      <c r="O531" s="18">
        <v>0</v>
      </c>
      <c r="P531" s="18">
        <v>0</v>
      </c>
      <c r="Q531" s="18">
        <f t="shared" si="54"/>
        <v>0</v>
      </c>
      <c r="R531">
        <v>0</v>
      </c>
      <c r="S531">
        <v>0</v>
      </c>
      <c r="T531">
        <v>0</v>
      </c>
      <c r="U531">
        <v>0</v>
      </c>
      <c r="V531" s="18">
        <f t="shared" si="49"/>
        <v>0</v>
      </c>
      <c r="W531" s="18">
        <f t="shared" si="53"/>
        <v>0</v>
      </c>
      <c r="X531" s="18">
        <v>0</v>
      </c>
      <c r="Y531" s="18">
        <v>0</v>
      </c>
    </row>
    <row r="532" spans="1:25" x14ac:dyDescent="0.2">
      <c r="A532" s="18">
        <v>7936</v>
      </c>
      <c r="C532" s="18">
        <v>0</v>
      </c>
      <c r="D532" s="18">
        <v>0</v>
      </c>
      <c r="E532" s="18">
        <v>0</v>
      </c>
      <c r="F532" s="18">
        <f t="shared" si="50"/>
        <v>0</v>
      </c>
      <c r="G532" s="18">
        <v>0</v>
      </c>
      <c r="H532" s="18">
        <v>0</v>
      </c>
      <c r="I532" s="18">
        <f t="shared" si="51"/>
        <v>0</v>
      </c>
      <c r="J532" s="18">
        <v>0</v>
      </c>
      <c r="K532" s="18">
        <v>0</v>
      </c>
      <c r="L532" s="18">
        <f t="shared" si="52"/>
        <v>0</v>
      </c>
      <c r="M532" s="18">
        <v>0</v>
      </c>
      <c r="N532" s="18">
        <v>0</v>
      </c>
      <c r="O532" s="18">
        <v>0</v>
      </c>
      <c r="P532" s="18">
        <v>0</v>
      </c>
      <c r="Q532" s="18">
        <f t="shared" si="54"/>
        <v>0</v>
      </c>
      <c r="R532">
        <v>0</v>
      </c>
      <c r="S532">
        <v>0</v>
      </c>
      <c r="T532">
        <v>0</v>
      </c>
      <c r="U532">
        <v>0</v>
      </c>
      <c r="V532" s="18">
        <f t="shared" si="49"/>
        <v>0</v>
      </c>
      <c r="W532" s="18">
        <f t="shared" si="53"/>
        <v>0</v>
      </c>
      <c r="X532" s="18">
        <v>0</v>
      </c>
      <c r="Y532" s="18">
        <v>0</v>
      </c>
    </row>
    <row r="533" spans="1:25" x14ac:dyDescent="0.2">
      <c r="A533" s="18">
        <v>7943</v>
      </c>
      <c r="C533" s="18">
        <v>0</v>
      </c>
      <c r="D533" s="18">
        <v>0</v>
      </c>
      <c r="E533" s="18">
        <v>0</v>
      </c>
      <c r="F533" s="18">
        <f t="shared" si="50"/>
        <v>0</v>
      </c>
      <c r="G533" s="18">
        <v>0</v>
      </c>
      <c r="H533" s="18">
        <v>0</v>
      </c>
      <c r="I533" s="18">
        <f t="shared" si="51"/>
        <v>0</v>
      </c>
      <c r="J533" s="18">
        <v>0</v>
      </c>
      <c r="K533" s="18">
        <v>0</v>
      </c>
      <c r="L533" s="18">
        <f t="shared" si="52"/>
        <v>0</v>
      </c>
      <c r="M533" s="18">
        <v>0</v>
      </c>
      <c r="N533" s="18">
        <v>0</v>
      </c>
      <c r="O533" s="18">
        <v>0</v>
      </c>
      <c r="P533" s="18">
        <v>0</v>
      </c>
      <c r="Q533" s="18">
        <f t="shared" si="54"/>
        <v>0</v>
      </c>
      <c r="R533">
        <v>0</v>
      </c>
      <c r="S533">
        <v>0</v>
      </c>
      <c r="T533">
        <v>0</v>
      </c>
      <c r="U533">
        <v>0</v>
      </c>
      <c r="V533" s="18">
        <f t="shared" si="49"/>
        <v>0</v>
      </c>
      <c r="W533" s="18">
        <f t="shared" si="53"/>
        <v>0</v>
      </c>
      <c r="X533" s="18">
        <v>0</v>
      </c>
      <c r="Y533" s="18">
        <v>0</v>
      </c>
    </row>
    <row r="534" spans="1:25" x14ac:dyDescent="0.2">
      <c r="A534" s="18">
        <v>7938</v>
      </c>
      <c r="C534" s="18">
        <v>0</v>
      </c>
      <c r="D534" s="18">
        <v>0</v>
      </c>
      <c r="E534" s="18">
        <v>0</v>
      </c>
      <c r="F534" s="18">
        <f t="shared" si="50"/>
        <v>0</v>
      </c>
      <c r="G534" s="18">
        <v>0</v>
      </c>
      <c r="H534" s="18">
        <v>0</v>
      </c>
      <c r="I534" s="18">
        <f t="shared" si="51"/>
        <v>0</v>
      </c>
      <c r="J534" s="18">
        <v>0</v>
      </c>
      <c r="K534" s="18">
        <v>0</v>
      </c>
      <c r="L534" s="18">
        <f t="shared" si="52"/>
        <v>0</v>
      </c>
      <c r="M534" s="18">
        <v>0</v>
      </c>
      <c r="N534" s="18">
        <v>0</v>
      </c>
      <c r="O534" s="18">
        <v>0</v>
      </c>
      <c r="P534" s="18">
        <v>0</v>
      </c>
      <c r="Q534" s="18">
        <f t="shared" si="48"/>
        <v>0</v>
      </c>
      <c r="R534">
        <v>0</v>
      </c>
      <c r="S534">
        <v>0</v>
      </c>
      <c r="T534">
        <v>0</v>
      </c>
      <c r="U534">
        <v>0</v>
      </c>
      <c r="V534" s="18">
        <f t="shared" si="49"/>
        <v>0</v>
      </c>
      <c r="W534" s="18">
        <f t="shared" si="53"/>
        <v>0</v>
      </c>
      <c r="X534" s="18">
        <v>0</v>
      </c>
      <c r="Y534" s="18">
        <v>0</v>
      </c>
    </row>
    <row r="535" spans="1:25" x14ac:dyDescent="0.2">
      <c r="A535" s="18">
        <v>7945</v>
      </c>
      <c r="C535" s="18">
        <v>0</v>
      </c>
      <c r="D535" s="18">
        <v>0</v>
      </c>
      <c r="E535" s="18">
        <v>0</v>
      </c>
      <c r="F535" s="18">
        <f t="shared" si="50"/>
        <v>0</v>
      </c>
      <c r="G535" s="18">
        <v>0</v>
      </c>
      <c r="H535" s="18">
        <v>0</v>
      </c>
      <c r="I535" s="18">
        <f t="shared" si="51"/>
        <v>0</v>
      </c>
      <c r="J535" s="18">
        <v>0</v>
      </c>
      <c r="K535" s="18">
        <v>0</v>
      </c>
      <c r="L535" s="18">
        <f t="shared" si="52"/>
        <v>0</v>
      </c>
      <c r="M535" s="18">
        <v>0</v>
      </c>
      <c r="N535" s="18">
        <v>0</v>
      </c>
      <c r="O535" s="18">
        <v>0</v>
      </c>
      <c r="P535" s="18">
        <v>0</v>
      </c>
      <c r="Q535" s="18">
        <f t="shared" si="48"/>
        <v>0</v>
      </c>
      <c r="R535">
        <v>0</v>
      </c>
      <c r="S535">
        <v>0</v>
      </c>
      <c r="T535">
        <v>0</v>
      </c>
      <c r="U535">
        <v>0</v>
      </c>
      <c r="V535" s="18">
        <f t="shared" si="49"/>
        <v>0</v>
      </c>
      <c r="W535" s="18">
        <f t="shared" si="53"/>
        <v>0</v>
      </c>
      <c r="X535" s="18">
        <v>0</v>
      </c>
      <c r="Y535" s="18">
        <v>0</v>
      </c>
    </row>
    <row r="536" spans="1:25" x14ac:dyDescent="0.2">
      <c r="A536" s="18">
        <v>7947</v>
      </c>
      <c r="C536" s="18">
        <v>0</v>
      </c>
      <c r="D536" s="18">
        <v>0</v>
      </c>
      <c r="E536" s="18">
        <v>0</v>
      </c>
      <c r="F536" s="18">
        <f t="shared" si="50"/>
        <v>0</v>
      </c>
      <c r="G536" s="18">
        <v>0</v>
      </c>
      <c r="H536" s="18">
        <v>0</v>
      </c>
      <c r="I536" s="18">
        <f t="shared" si="51"/>
        <v>0</v>
      </c>
      <c r="J536" s="18">
        <v>0</v>
      </c>
      <c r="K536" s="18">
        <v>0</v>
      </c>
      <c r="L536" s="18">
        <f t="shared" si="52"/>
        <v>0</v>
      </c>
      <c r="M536" s="18">
        <v>0</v>
      </c>
      <c r="N536" s="18">
        <v>0</v>
      </c>
      <c r="O536" s="18">
        <v>0</v>
      </c>
      <c r="P536" s="18">
        <v>0</v>
      </c>
      <c r="Q536" s="18">
        <f t="shared" si="48"/>
        <v>0</v>
      </c>
      <c r="R536">
        <v>0</v>
      </c>
      <c r="S536">
        <v>0</v>
      </c>
      <c r="T536">
        <v>0</v>
      </c>
      <c r="U536">
        <v>0</v>
      </c>
      <c r="V536" s="18">
        <f t="shared" si="49"/>
        <v>0</v>
      </c>
      <c r="W536" s="18">
        <f t="shared" si="53"/>
        <v>0</v>
      </c>
      <c r="X536" s="18">
        <v>0</v>
      </c>
      <c r="Y536" s="18">
        <v>0</v>
      </c>
    </row>
    <row r="537" spans="1:25" x14ac:dyDescent="0.2">
      <c r="A537" s="18">
        <v>7949</v>
      </c>
      <c r="C537" s="18">
        <v>0</v>
      </c>
      <c r="D537" s="18">
        <v>0</v>
      </c>
      <c r="E537" s="18">
        <v>0</v>
      </c>
      <c r="F537" s="18">
        <f t="shared" si="50"/>
        <v>0</v>
      </c>
      <c r="G537" s="18">
        <v>0</v>
      </c>
      <c r="H537" s="18">
        <v>0</v>
      </c>
      <c r="I537" s="18">
        <f t="shared" si="51"/>
        <v>0</v>
      </c>
      <c r="J537" s="18">
        <v>0</v>
      </c>
      <c r="K537" s="18">
        <v>0</v>
      </c>
      <c r="L537" s="18">
        <f t="shared" si="52"/>
        <v>0</v>
      </c>
      <c r="M537" s="18">
        <v>0</v>
      </c>
      <c r="N537" s="18">
        <v>0</v>
      </c>
      <c r="O537" s="18">
        <v>0</v>
      </c>
      <c r="P537" s="18">
        <v>0</v>
      </c>
      <c r="Q537" s="18">
        <f t="shared" si="48"/>
        <v>0</v>
      </c>
      <c r="R537">
        <v>0</v>
      </c>
      <c r="S537">
        <v>0</v>
      </c>
      <c r="T537">
        <v>0</v>
      </c>
      <c r="U537">
        <v>0</v>
      </c>
      <c r="V537" s="18">
        <f t="shared" si="49"/>
        <v>0</v>
      </c>
      <c r="W537" s="18">
        <f t="shared" si="53"/>
        <v>0</v>
      </c>
      <c r="X537" s="18">
        <v>0</v>
      </c>
      <c r="Y537" s="18">
        <v>0</v>
      </c>
    </row>
    <row r="538" spans="1:25" x14ac:dyDescent="0.2">
      <c r="A538" s="18">
        <v>7924</v>
      </c>
      <c r="C538" s="18">
        <v>0</v>
      </c>
      <c r="D538" s="18">
        <v>0</v>
      </c>
      <c r="E538" s="18">
        <v>0</v>
      </c>
      <c r="F538" s="18">
        <f t="shared" si="50"/>
        <v>0</v>
      </c>
      <c r="G538" s="18">
        <v>0</v>
      </c>
      <c r="H538" s="18">
        <v>0</v>
      </c>
      <c r="I538" s="18">
        <f t="shared" si="51"/>
        <v>0</v>
      </c>
      <c r="J538" s="18">
        <v>0</v>
      </c>
      <c r="K538" s="18">
        <v>0</v>
      </c>
      <c r="L538" s="18">
        <f t="shared" si="52"/>
        <v>0</v>
      </c>
      <c r="M538" s="18">
        <v>0</v>
      </c>
      <c r="N538" s="18">
        <v>0</v>
      </c>
      <c r="O538" s="18">
        <v>0</v>
      </c>
      <c r="P538" s="18">
        <v>0</v>
      </c>
      <c r="Q538" s="18">
        <f t="shared" si="48"/>
        <v>0</v>
      </c>
      <c r="R538">
        <v>0</v>
      </c>
      <c r="S538">
        <v>0</v>
      </c>
      <c r="T538">
        <v>0</v>
      </c>
      <c r="U538">
        <v>0</v>
      </c>
      <c r="V538" s="18">
        <f t="shared" si="49"/>
        <v>0</v>
      </c>
      <c r="W538" s="18">
        <f t="shared" si="53"/>
        <v>0</v>
      </c>
      <c r="X538" s="18">
        <v>0</v>
      </c>
      <c r="Y538" s="18">
        <v>0</v>
      </c>
    </row>
    <row r="539" spans="1:25" x14ac:dyDescent="0.2">
      <c r="A539" s="18">
        <v>7967</v>
      </c>
      <c r="C539" s="18">
        <v>0</v>
      </c>
      <c r="D539" s="18">
        <v>0</v>
      </c>
      <c r="E539" s="18">
        <v>0</v>
      </c>
      <c r="F539" s="18">
        <f t="shared" si="50"/>
        <v>0</v>
      </c>
      <c r="G539" s="18">
        <v>0</v>
      </c>
      <c r="H539" s="18">
        <v>0</v>
      </c>
      <c r="I539" s="18">
        <f t="shared" si="51"/>
        <v>0</v>
      </c>
      <c r="J539" s="18">
        <v>0</v>
      </c>
      <c r="K539" s="18">
        <v>0</v>
      </c>
      <c r="L539" s="18">
        <f t="shared" si="52"/>
        <v>0</v>
      </c>
      <c r="M539" s="18">
        <v>0</v>
      </c>
      <c r="N539" s="18">
        <v>0</v>
      </c>
      <c r="O539" s="18">
        <v>0</v>
      </c>
      <c r="P539" s="18">
        <v>0</v>
      </c>
      <c r="Q539" s="18">
        <f t="shared" si="48"/>
        <v>0</v>
      </c>
      <c r="R539">
        <v>0</v>
      </c>
      <c r="S539">
        <v>0</v>
      </c>
      <c r="T539">
        <v>0</v>
      </c>
      <c r="U539">
        <v>0</v>
      </c>
      <c r="V539" s="18">
        <f t="shared" si="49"/>
        <v>0</v>
      </c>
      <c r="W539" s="18">
        <f t="shared" si="53"/>
        <v>0</v>
      </c>
      <c r="X539" s="18">
        <v>0</v>
      </c>
      <c r="Y539" s="18">
        <v>0</v>
      </c>
    </row>
    <row r="540" spans="1:25" x14ac:dyDescent="0.2">
      <c r="A540" s="18">
        <v>7812</v>
      </c>
      <c r="C540" s="18">
        <v>0</v>
      </c>
      <c r="D540" s="18">
        <v>0</v>
      </c>
      <c r="E540" s="18">
        <v>0</v>
      </c>
      <c r="F540" s="18">
        <f t="shared" si="50"/>
        <v>0</v>
      </c>
      <c r="G540" s="18">
        <v>0</v>
      </c>
      <c r="H540" s="18">
        <v>0</v>
      </c>
      <c r="I540" s="18">
        <f t="shared" si="51"/>
        <v>0</v>
      </c>
      <c r="J540" s="18">
        <v>0</v>
      </c>
      <c r="K540" s="18">
        <v>0</v>
      </c>
      <c r="L540" s="18">
        <f t="shared" si="52"/>
        <v>0</v>
      </c>
      <c r="M540" s="18">
        <v>0</v>
      </c>
      <c r="N540" s="18">
        <v>0</v>
      </c>
      <c r="O540" s="18">
        <v>0</v>
      </c>
      <c r="P540" s="18">
        <v>0</v>
      </c>
      <c r="Q540" s="18">
        <f t="shared" si="48"/>
        <v>0</v>
      </c>
      <c r="R540">
        <v>0</v>
      </c>
      <c r="S540">
        <v>0</v>
      </c>
      <c r="T540">
        <v>0</v>
      </c>
      <c r="U540">
        <v>0</v>
      </c>
      <c r="V540" s="18">
        <f t="shared" si="49"/>
        <v>0</v>
      </c>
      <c r="W540" s="18">
        <f t="shared" si="53"/>
        <v>0</v>
      </c>
      <c r="X540" s="18">
        <v>0</v>
      </c>
      <c r="Y540" s="18">
        <v>0</v>
      </c>
    </row>
    <row r="541" spans="1:25" x14ac:dyDescent="0.2">
      <c r="A541" s="18">
        <v>7813</v>
      </c>
      <c r="C541" s="18">
        <v>0</v>
      </c>
      <c r="D541" s="18">
        <v>0</v>
      </c>
      <c r="E541" s="18">
        <v>0</v>
      </c>
      <c r="F541" s="18">
        <f t="shared" si="50"/>
        <v>0</v>
      </c>
      <c r="G541" s="18">
        <v>0</v>
      </c>
      <c r="H541" s="18">
        <v>0</v>
      </c>
      <c r="I541" s="18">
        <f t="shared" si="51"/>
        <v>0</v>
      </c>
      <c r="J541" s="18">
        <v>0</v>
      </c>
      <c r="K541" s="18">
        <v>0</v>
      </c>
      <c r="L541" s="18">
        <f t="shared" si="52"/>
        <v>0</v>
      </c>
      <c r="M541" s="18">
        <v>0</v>
      </c>
      <c r="N541" s="18">
        <v>0</v>
      </c>
      <c r="O541" s="18">
        <v>0</v>
      </c>
      <c r="P541" s="18">
        <v>0</v>
      </c>
      <c r="Q541" s="18">
        <f t="shared" si="48"/>
        <v>0</v>
      </c>
      <c r="R541">
        <v>0</v>
      </c>
      <c r="S541">
        <v>0</v>
      </c>
      <c r="T541">
        <v>0</v>
      </c>
      <c r="U541">
        <v>0</v>
      </c>
      <c r="V541" s="18">
        <f t="shared" si="49"/>
        <v>0</v>
      </c>
      <c r="W541" s="18">
        <f t="shared" si="53"/>
        <v>0</v>
      </c>
      <c r="X541" s="18">
        <v>0</v>
      </c>
      <c r="Y541" s="18">
        <v>0</v>
      </c>
    </row>
    <row r="542" spans="1:25" x14ac:dyDescent="0.2">
      <c r="A542" s="18" t="s">
        <v>466</v>
      </c>
      <c r="C542" s="18">
        <v>1.7578766666666665</v>
      </c>
      <c r="D542" s="18">
        <v>0.63616666666666666</v>
      </c>
      <c r="E542" s="18">
        <v>0</v>
      </c>
      <c r="F542" s="18">
        <f t="shared" si="50"/>
        <v>0.63616666666666666</v>
      </c>
      <c r="G542" s="18">
        <v>0.215</v>
      </c>
      <c r="H542" s="18">
        <v>0</v>
      </c>
      <c r="I542" s="18">
        <f t="shared" si="51"/>
        <v>0.215</v>
      </c>
      <c r="J542" s="18">
        <v>0</v>
      </c>
      <c r="K542" s="18">
        <v>0.60716666666666663</v>
      </c>
      <c r="L542" s="18">
        <f t="shared" si="52"/>
        <v>0.60716666666666663</v>
      </c>
      <c r="M542" s="18">
        <v>0</v>
      </c>
      <c r="N542" s="18">
        <v>0</v>
      </c>
      <c r="O542" s="18">
        <v>0</v>
      </c>
      <c r="P542" s="18">
        <v>0</v>
      </c>
      <c r="Q542" s="18">
        <f t="shared" si="48"/>
        <v>0</v>
      </c>
      <c r="R542">
        <v>1.7873333333333332</v>
      </c>
      <c r="S542">
        <v>0</v>
      </c>
      <c r="T542">
        <v>0.59600000000000009</v>
      </c>
      <c r="U542">
        <v>0</v>
      </c>
      <c r="V542" s="18">
        <f t="shared" si="49"/>
        <v>0</v>
      </c>
      <c r="W542" s="18">
        <f t="shared" si="53"/>
        <v>0</v>
      </c>
      <c r="X542" s="18">
        <v>2.2231666666666667</v>
      </c>
      <c r="Y542" s="18">
        <v>0</v>
      </c>
    </row>
    <row r="543" spans="1:25" x14ac:dyDescent="0.2">
      <c r="A543" s="18">
        <v>7928</v>
      </c>
      <c r="C543" s="18">
        <v>0</v>
      </c>
      <c r="D543" s="18">
        <v>0</v>
      </c>
      <c r="E543" s="18">
        <v>0</v>
      </c>
      <c r="F543" s="18">
        <f t="shared" si="50"/>
        <v>0</v>
      </c>
      <c r="G543" s="18">
        <v>0</v>
      </c>
      <c r="H543" s="18">
        <v>0</v>
      </c>
      <c r="I543" s="18">
        <f t="shared" si="51"/>
        <v>0</v>
      </c>
      <c r="J543" s="18">
        <v>0</v>
      </c>
      <c r="K543" s="18">
        <v>0</v>
      </c>
      <c r="L543" s="18">
        <f t="shared" si="52"/>
        <v>0</v>
      </c>
      <c r="M543" s="18">
        <v>0</v>
      </c>
      <c r="N543" s="18">
        <v>0</v>
      </c>
      <c r="O543" s="18">
        <v>0</v>
      </c>
      <c r="P543" s="18">
        <v>0</v>
      </c>
      <c r="Q543" s="18">
        <f t="shared" ref="Q543:Q606" si="55">SUM(M543:P543)</f>
        <v>0</v>
      </c>
      <c r="R543">
        <v>0</v>
      </c>
      <c r="S543">
        <v>0</v>
      </c>
      <c r="T543">
        <v>0</v>
      </c>
      <c r="U543">
        <v>0</v>
      </c>
      <c r="V543" s="18">
        <f t="shared" si="49"/>
        <v>0</v>
      </c>
      <c r="W543" s="18">
        <f t="shared" si="53"/>
        <v>0</v>
      </c>
      <c r="X543" s="18">
        <v>0</v>
      </c>
      <c r="Y543" s="18">
        <v>0</v>
      </c>
    </row>
    <row r="544" spans="1:25" x14ac:dyDescent="0.2">
      <c r="A544" s="18">
        <v>8002</v>
      </c>
      <c r="C544" s="18">
        <v>0</v>
      </c>
      <c r="D544" s="18">
        <v>0</v>
      </c>
      <c r="E544" s="18">
        <v>0</v>
      </c>
      <c r="F544" s="18">
        <f t="shared" si="50"/>
        <v>0</v>
      </c>
      <c r="G544" s="18">
        <v>0</v>
      </c>
      <c r="H544" s="18">
        <v>0</v>
      </c>
      <c r="I544" s="18">
        <f t="shared" si="51"/>
        <v>0</v>
      </c>
      <c r="J544" s="18">
        <v>0</v>
      </c>
      <c r="K544" s="18">
        <v>0</v>
      </c>
      <c r="L544" s="18">
        <f t="shared" si="52"/>
        <v>0</v>
      </c>
      <c r="M544" s="18">
        <v>0</v>
      </c>
      <c r="N544" s="18">
        <v>0</v>
      </c>
      <c r="O544" s="18">
        <v>0</v>
      </c>
      <c r="P544" s="18">
        <v>0</v>
      </c>
      <c r="Q544" s="18">
        <f t="shared" si="55"/>
        <v>0</v>
      </c>
      <c r="R544">
        <v>0</v>
      </c>
      <c r="S544">
        <v>0</v>
      </c>
      <c r="T544">
        <v>0</v>
      </c>
      <c r="U544">
        <v>0</v>
      </c>
      <c r="V544" s="18">
        <f t="shared" si="49"/>
        <v>0</v>
      </c>
      <c r="W544" s="18">
        <f t="shared" si="53"/>
        <v>0</v>
      </c>
      <c r="X544" s="18">
        <v>0</v>
      </c>
      <c r="Y544" s="18">
        <v>0</v>
      </c>
    </row>
    <row r="545" spans="1:25" x14ac:dyDescent="0.2">
      <c r="A545" s="18">
        <v>8010</v>
      </c>
      <c r="C545" s="18">
        <v>0</v>
      </c>
      <c r="D545" s="18">
        <v>0</v>
      </c>
      <c r="E545" s="18">
        <v>0</v>
      </c>
      <c r="F545" s="18">
        <f t="shared" si="50"/>
        <v>0</v>
      </c>
      <c r="G545" s="18">
        <v>0</v>
      </c>
      <c r="H545" s="18">
        <v>0</v>
      </c>
      <c r="I545" s="18">
        <f t="shared" si="51"/>
        <v>0</v>
      </c>
      <c r="J545" s="18">
        <v>0</v>
      </c>
      <c r="K545" s="18">
        <v>0</v>
      </c>
      <c r="L545" s="18">
        <f t="shared" si="52"/>
        <v>0</v>
      </c>
      <c r="M545" s="18">
        <v>0</v>
      </c>
      <c r="N545" s="18">
        <v>0</v>
      </c>
      <c r="O545" s="18">
        <v>0</v>
      </c>
      <c r="P545" s="18">
        <v>0</v>
      </c>
      <c r="Q545" s="18">
        <f t="shared" si="55"/>
        <v>0</v>
      </c>
      <c r="R545">
        <v>0</v>
      </c>
      <c r="S545">
        <v>0</v>
      </c>
      <c r="T545">
        <v>0</v>
      </c>
      <c r="U545">
        <v>0</v>
      </c>
      <c r="V545" s="18">
        <f t="shared" si="49"/>
        <v>0</v>
      </c>
      <c r="W545" s="18">
        <f t="shared" si="53"/>
        <v>0</v>
      </c>
      <c r="X545" s="18">
        <v>0</v>
      </c>
      <c r="Y545" s="18">
        <v>0</v>
      </c>
    </row>
    <row r="546" spans="1:25" x14ac:dyDescent="0.2">
      <c r="A546" s="18">
        <v>7974</v>
      </c>
      <c r="C546" s="18">
        <v>0</v>
      </c>
      <c r="D546" s="18">
        <v>0</v>
      </c>
      <c r="E546" s="18">
        <v>0</v>
      </c>
      <c r="F546" s="18">
        <f t="shared" si="50"/>
        <v>0</v>
      </c>
      <c r="G546" s="18">
        <v>0</v>
      </c>
      <c r="H546" s="18">
        <v>0</v>
      </c>
      <c r="I546" s="18">
        <f t="shared" si="51"/>
        <v>0</v>
      </c>
      <c r="J546" s="18">
        <v>0</v>
      </c>
      <c r="K546" s="18">
        <v>0</v>
      </c>
      <c r="L546" s="18">
        <f t="shared" si="52"/>
        <v>0</v>
      </c>
      <c r="M546" s="18">
        <v>0</v>
      </c>
      <c r="N546" s="18">
        <v>0</v>
      </c>
      <c r="O546" s="18">
        <v>0</v>
      </c>
      <c r="P546" s="18">
        <v>0</v>
      </c>
      <c r="Q546" s="18">
        <f t="shared" si="55"/>
        <v>0</v>
      </c>
      <c r="R546">
        <v>0</v>
      </c>
      <c r="S546">
        <v>0</v>
      </c>
      <c r="T546">
        <v>0</v>
      </c>
      <c r="U546">
        <v>0</v>
      </c>
      <c r="V546" s="18">
        <f t="shared" si="49"/>
        <v>0</v>
      </c>
      <c r="W546" s="18">
        <f t="shared" si="53"/>
        <v>0</v>
      </c>
      <c r="X546" s="18">
        <v>0</v>
      </c>
      <c r="Y546" s="18">
        <v>0</v>
      </c>
    </row>
    <row r="547" spans="1:25" x14ac:dyDescent="0.2">
      <c r="A547" s="18">
        <v>8027</v>
      </c>
      <c r="C547" s="18">
        <v>0</v>
      </c>
      <c r="D547" s="18">
        <v>0</v>
      </c>
      <c r="E547" s="18">
        <v>0</v>
      </c>
      <c r="F547" s="18">
        <f t="shared" si="50"/>
        <v>0</v>
      </c>
      <c r="G547" s="18">
        <v>0</v>
      </c>
      <c r="H547" s="18">
        <v>0</v>
      </c>
      <c r="I547" s="18">
        <f t="shared" si="51"/>
        <v>0</v>
      </c>
      <c r="J547" s="18">
        <v>0</v>
      </c>
      <c r="K547" s="18">
        <v>0</v>
      </c>
      <c r="L547" s="18">
        <f t="shared" si="52"/>
        <v>0</v>
      </c>
      <c r="M547" s="18">
        <v>0</v>
      </c>
      <c r="N547" s="18">
        <v>0</v>
      </c>
      <c r="O547" s="18">
        <v>0</v>
      </c>
      <c r="P547" s="18">
        <v>0</v>
      </c>
      <c r="Q547" s="18">
        <f t="shared" si="55"/>
        <v>0</v>
      </c>
      <c r="R547">
        <v>0</v>
      </c>
      <c r="S547">
        <v>0</v>
      </c>
      <c r="T547">
        <v>0</v>
      </c>
      <c r="U547">
        <v>0</v>
      </c>
      <c r="V547" s="18">
        <f t="shared" si="49"/>
        <v>0</v>
      </c>
      <c r="W547" s="18">
        <f t="shared" si="53"/>
        <v>0</v>
      </c>
      <c r="X547" s="18">
        <v>0</v>
      </c>
      <c r="Y547" s="18">
        <v>0</v>
      </c>
    </row>
    <row r="548" spans="1:25" x14ac:dyDescent="0.2">
      <c r="A548" s="18">
        <v>8049</v>
      </c>
      <c r="C548" s="18">
        <v>0</v>
      </c>
      <c r="D548" s="18">
        <v>0</v>
      </c>
      <c r="E548" s="18">
        <v>0</v>
      </c>
      <c r="F548" s="18">
        <f t="shared" si="50"/>
        <v>0</v>
      </c>
      <c r="G548" s="18">
        <v>0</v>
      </c>
      <c r="H548" s="18">
        <v>0</v>
      </c>
      <c r="I548" s="18">
        <f t="shared" si="51"/>
        <v>0</v>
      </c>
      <c r="J548" s="18">
        <v>0</v>
      </c>
      <c r="K548" s="18">
        <v>0</v>
      </c>
      <c r="L548" s="18">
        <f t="shared" si="52"/>
        <v>0</v>
      </c>
      <c r="M548" s="18">
        <v>0</v>
      </c>
      <c r="N548" s="18">
        <v>0</v>
      </c>
      <c r="O548" s="18">
        <v>0</v>
      </c>
      <c r="P548" s="18">
        <v>0</v>
      </c>
      <c r="Q548" s="18">
        <f t="shared" si="55"/>
        <v>0</v>
      </c>
      <c r="R548">
        <v>0</v>
      </c>
      <c r="S548">
        <v>0</v>
      </c>
      <c r="T548">
        <v>0</v>
      </c>
      <c r="U548">
        <v>0</v>
      </c>
      <c r="V548" s="18">
        <f t="shared" si="49"/>
        <v>0</v>
      </c>
      <c r="W548" s="18">
        <f t="shared" si="53"/>
        <v>0</v>
      </c>
      <c r="X548" s="18">
        <v>0</v>
      </c>
      <c r="Y548" s="18">
        <v>0</v>
      </c>
    </row>
    <row r="549" spans="1:25" x14ac:dyDescent="0.2">
      <c r="A549" s="18">
        <v>8050</v>
      </c>
      <c r="C549" s="18">
        <v>0</v>
      </c>
      <c r="D549" s="18">
        <v>0</v>
      </c>
      <c r="E549" s="18">
        <v>0</v>
      </c>
      <c r="F549" s="18">
        <f t="shared" si="50"/>
        <v>0</v>
      </c>
      <c r="G549" s="18">
        <v>0</v>
      </c>
      <c r="H549" s="18">
        <v>0</v>
      </c>
      <c r="I549" s="18">
        <f t="shared" si="51"/>
        <v>0</v>
      </c>
      <c r="J549" s="18">
        <v>0</v>
      </c>
      <c r="K549" s="18">
        <v>0</v>
      </c>
      <c r="L549" s="18">
        <f t="shared" si="52"/>
        <v>0</v>
      </c>
      <c r="M549" s="18">
        <v>0</v>
      </c>
      <c r="N549" s="18">
        <v>0</v>
      </c>
      <c r="O549" s="18">
        <v>0</v>
      </c>
      <c r="P549" s="18">
        <v>0</v>
      </c>
      <c r="Q549" s="18">
        <f t="shared" si="55"/>
        <v>0</v>
      </c>
      <c r="R549">
        <v>0</v>
      </c>
      <c r="S549">
        <v>0</v>
      </c>
      <c r="T549">
        <v>0</v>
      </c>
      <c r="U549">
        <v>0</v>
      </c>
      <c r="V549" s="18">
        <f t="shared" si="49"/>
        <v>0</v>
      </c>
      <c r="W549" s="18">
        <f t="shared" si="53"/>
        <v>0</v>
      </c>
      <c r="X549" s="18">
        <v>0</v>
      </c>
      <c r="Y549" s="18">
        <v>0</v>
      </c>
    </row>
    <row r="550" spans="1:25" x14ac:dyDescent="0.2">
      <c r="A550" s="18">
        <v>8047</v>
      </c>
      <c r="C550" s="18">
        <v>0</v>
      </c>
      <c r="D550" s="18">
        <v>0</v>
      </c>
      <c r="E550" s="18">
        <v>0</v>
      </c>
      <c r="F550" s="18">
        <f t="shared" si="50"/>
        <v>0</v>
      </c>
      <c r="G550" s="18">
        <v>0</v>
      </c>
      <c r="H550" s="18">
        <v>0</v>
      </c>
      <c r="I550" s="18">
        <f t="shared" si="51"/>
        <v>0</v>
      </c>
      <c r="J550" s="18">
        <v>0</v>
      </c>
      <c r="K550" s="18">
        <v>0</v>
      </c>
      <c r="L550" s="18">
        <f t="shared" si="52"/>
        <v>0</v>
      </c>
      <c r="M550" s="18">
        <v>0</v>
      </c>
      <c r="N550" s="18">
        <v>0</v>
      </c>
      <c r="O550" s="18">
        <v>0</v>
      </c>
      <c r="P550" s="18">
        <v>0</v>
      </c>
      <c r="Q550" s="18">
        <f t="shared" si="55"/>
        <v>0</v>
      </c>
      <c r="R550">
        <v>0</v>
      </c>
      <c r="S550">
        <v>0</v>
      </c>
      <c r="T550">
        <v>0</v>
      </c>
      <c r="U550">
        <v>0</v>
      </c>
      <c r="V550" s="18">
        <f t="shared" si="49"/>
        <v>0</v>
      </c>
      <c r="W550" s="18">
        <f t="shared" si="53"/>
        <v>0</v>
      </c>
      <c r="X550" s="18">
        <v>0</v>
      </c>
      <c r="Y550" s="18">
        <v>0</v>
      </c>
    </row>
    <row r="551" spans="1:25" x14ac:dyDescent="0.2">
      <c r="A551" s="18">
        <v>8056</v>
      </c>
      <c r="C551" s="18">
        <v>0</v>
      </c>
      <c r="D551" s="18">
        <v>0</v>
      </c>
      <c r="E551" s="18">
        <v>0</v>
      </c>
      <c r="F551" s="18">
        <f t="shared" si="50"/>
        <v>0</v>
      </c>
      <c r="G551" s="18">
        <v>0</v>
      </c>
      <c r="H551" s="18">
        <v>0</v>
      </c>
      <c r="I551" s="18">
        <f t="shared" si="51"/>
        <v>0</v>
      </c>
      <c r="J551" s="18">
        <v>0</v>
      </c>
      <c r="K551" s="18">
        <v>0</v>
      </c>
      <c r="L551" s="18">
        <f t="shared" si="52"/>
        <v>0</v>
      </c>
      <c r="M551" s="18">
        <v>0</v>
      </c>
      <c r="N551" s="18">
        <v>0</v>
      </c>
      <c r="O551" s="18">
        <v>0</v>
      </c>
      <c r="P551" s="18">
        <v>0</v>
      </c>
      <c r="Q551" s="18">
        <f t="shared" si="55"/>
        <v>0</v>
      </c>
      <c r="R551">
        <v>0</v>
      </c>
      <c r="S551">
        <v>0</v>
      </c>
      <c r="T551">
        <v>0</v>
      </c>
      <c r="U551">
        <v>0</v>
      </c>
      <c r="V551" s="18">
        <f t="shared" si="49"/>
        <v>0</v>
      </c>
      <c r="W551" s="18">
        <f t="shared" si="53"/>
        <v>0</v>
      </c>
      <c r="X551" s="18">
        <v>0</v>
      </c>
      <c r="Y551" s="18">
        <v>0</v>
      </c>
    </row>
    <row r="552" spans="1:25" x14ac:dyDescent="0.2">
      <c r="A552" s="18">
        <v>8073</v>
      </c>
      <c r="C552" s="18">
        <v>0</v>
      </c>
      <c r="D552" s="18">
        <v>0</v>
      </c>
      <c r="E552" s="18">
        <v>0</v>
      </c>
      <c r="F552" s="18">
        <f t="shared" si="50"/>
        <v>0</v>
      </c>
      <c r="G552" s="18">
        <v>0</v>
      </c>
      <c r="H552" s="18">
        <v>0</v>
      </c>
      <c r="I552" s="18">
        <f t="shared" si="51"/>
        <v>0</v>
      </c>
      <c r="J552" s="18">
        <v>0</v>
      </c>
      <c r="K552" s="18">
        <v>0</v>
      </c>
      <c r="L552" s="18">
        <f t="shared" si="52"/>
        <v>0</v>
      </c>
      <c r="M552" s="18">
        <v>0</v>
      </c>
      <c r="N552" s="18">
        <v>0</v>
      </c>
      <c r="O552" s="18">
        <v>0</v>
      </c>
      <c r="P552" s="18">
        <v>0</v>
      </c>
      <c r="Q552" s="18">
        <f t="shared" si="55"/>
        <v>0</v>
      </c>
      <c r="R552">
        <v>0</v>
      </c>
      <c r="S552">
        <v>0</v>
      </c>
      <c r="T552">
        <v>0</v>
      </c>
      <c r="U552">
        <v>0</v>
      </c>
      <c r="V552" s="18">
        <f t="shared" si="49"/>
        <v>0</v>
      </c>
      <c r="W552" s="18">
        <f t="shared" si="53"/>
        <v>0</v>
      </c>
      <c r="X552" s="18">
        <v>0</v>
      </c>
      <c r="Y552" s="18">
        <v>0</v>
      </c>
    </row>
    <row r="553" spans="1:25" x14ac:dyDescent="0.2">
      <c r="A553" s="18">
        <v>8074</v>
      </c>
      <c r="C553" s="18">
        <v>0</v>
      </c>
      <c r="D553" s="18">
        <v>0</v>
      </c>
      <c r="E553" s="18">
        <v>0</v>
      </c>
      <c r="F553" s="18">
        <f t="shared" si="50"/>
        <v>0</v>
      </c>
      <c r="G553" s="18">
        <v>0</v>
      </c>
      <c r="H553" s="18">
        <v>0</v>
      </c>
      <c r="I553" s="18">
        <f t="shared" si="51"/>
        <v>0</v>
      </c>
      <c r="J553" s="18">
        <v>0</v>
      </c>
      <c r="K553" s="18">
        <v>0</v>
      </c>
      <c r="L553" s="18">
        <f t="shared" si="52"/>
        <v>0</v>
      </c>
      <c r="M553" s="18">
        <v>0</v>
      </c>
      <c r="N553" s="18">
        <v>0</v>
      </c>
      <c r="O553" s="18">
        <v>0</v>
      </c>
      <c r="P553" s="18">
        <v>0</v>
      </c>
      <c r="Q553" s="18">
        <f t="shared" si="55"/>
        <v>0</v>
      </c>
      <c r="R553">
        <v>0</v>
      </c>
      <c r="S553">
        <v>0</v>
      </c>
      <c r="T553">
        <v>0</v>
      </c>
      <c r="U553">
        <v>0</v>
      </c>
      <c r="V553" s="18">
        <f t="shared" si="49"/>
        <v>0</v>
      </c>
      <c r="W553" s="18">
        <f t="shared" si="53"/>
        <v>0</v>
      </c>
      <c r="X553" s="18">
        <v>0</v>
      </c>
      <c r="Y553" s="18">
        <v>0</v>
      </c>
    </row>
    <row r="554" spans="1:25" x14ac:dyDescent="0.2">
      <c r="A554" s="18">
        <v>8075</v>
      </c>
      <c r="C554" s="18">
        <v>0</v>
      </c>
      <c r="D554" s="18">
        <v>0</v>
      </c>
      <c r="E554" s="18">
        <v>0</v>
      </c>
      <c r="F554" s="18">
        <f t="shared" si="50"/>
        <v>0</v>
      </c>
      <c r="G554" s="18">
        <v>0</v>
      </c>
      <c r="H554" s="18">
        <v>0</v>
      </c>
      <c r="I554" s="18">
        <f t="shared" si="51"/>
        <v>0</v>
      </c>
      <c r="J554" s="18">
        <v>0</v>
      </c>
      <c r="K554" s="18">
        <v>0</v>
      </c>
      <c r="L554" s="18">
        <f t="shared" si="52"/>
        <v>0</v>
      </c>
      <c r="M554" s="18">
        <v>0</v>
      </c>
      <c r="N554" s="18">
        <v>0</v>
      </c>
      <c r="O554" s="18">
        <v>0</v>
      </c>
      <c r="P554" s="18">
        <v>0</v>
      </c>
      <c r="Q554" s="18">
        <f t="shared" si="55"/>
        <v>0</v>
      </c>
      <c r="R554">
        <v>0</v>
      </c>
      <c r="S554">
        <v>0</v>
      </c>
      <c r="T554">
        <v>0</v>
      </c>
      <c r="U554">
        <v>0</v>
      </c>
      <c r="V554" s="18">
        <f t="shared" si="49"/>
        <v>0</v>
      </c>
      <c r="W554" s="18">
        <f t="shared" si="53"/>
        <v>0</v>
      </c>
      <c r="X554" s="18">
        <v>0</v>
      </c>
      <c r="Y554" s="18">
        <v>0</v>
      </c>
    </row>
    <row r="555" spans="1:25" x14ac:dyDescent="0.2">
      <c r="A555" s="18">
        <v>8065</v>
      </c>
      <c r="C555" s="18">
        <v>0</v>
      </c>
      <c r="D555" s="18">
        <v>0</v>
      </c>
      <c r="E555" s="18">
        <v>0</v>
      </c>
      <c r="F555" s="18">
        <f t="shared" si="50"/>
        <v>0</v>
      </c>
      <c r="G555" s="18">
        <v>0</v>
      </c>
      <c r="H555" s="18">
        <v>0</v>
      </c>
      <c r="I555" s="18">
        <f t="shared" si="51"/>
        <v>0</v>
      </c>
      <c r="J555" s="18">
        <v>0</v>
      </c>
      <c r="K555" s="18">
        <v>0</v>
      </c>
      <c r="L555" s="18">
        <f t="shared" si="52"/>
        <v>0</v>
      </c>
      <c r="M555" s="18">
        <v>0</v>
      </c>
      <c r="N555" s="18">
        <v>0</v>
      </c>
      <c r="O555" s="18">
        <v>0</v>
      </c>
      <c r="P555" s="18">
        <v>0</v>
      </c>
      <c r="Q555" s="18">
        <f t="shared" si="55"/>
        <v>0</v>
      </c>
      <c r="R555">
        <v>0</v>
      </c>
      <c r="S555">
        <v>0</v>
      </c>
      <c r="T555">
        <v>0</v>
      </c>
      <c r="U555">
        <v>0</v>
      </c>
      <c r="V555" s="18">
        <f t="shared" si="49"/>
        <v>0</v>
      </c>
      <c r="W555" s="18">
        <f t="shared" si="53"/>
        <v>0</v>
      </c>
      <c r="X555" s="18">
        <v>0</v>
      </c>
      <c r="Y555" s="18">
        <v>0</v>
      </c>
    </row>
    <row r="556" spans="1:25" x14ac:dyDescent="0.2">
      <c r="A556" s="18">
        <v>8084</v>
      </c>
      <c r="C556" s="18">
        <v>0</v>
      </c>
      <c r="D556" s="18">
        <v>0</v>
      </c>
      <c r="E556" s="18">
        <v>0</v>
      </c>
      <c r="F556" s="18">
        <f t="shared" si="50"/>
        <v>0</v>
      </c>
      <c r="G556" s="18">
        <v>0</v>
      </c>
      <c r="H556" s="18">
        <v>0</v>
      </c>
      <c r="I556" s="18">
        <f t="shared" si="51"/>
        <v>0</v>
      </c>
      <c r="J556" s="18">
        <v>0</v>
      </c>
      <c r="K556" s="18">
        <v>0</v>
      </c>
      <c r="L556" s="18">
        <f t="shared" si="52"/>
        <v>0</v>
      </c>
      <c r="M556" s="18">
        <v>0</v>
      </c>
      <c r="N556" s="18">
        <v>0</v>
      </c>
      <c r="O556" s="18">
        <v>0</v>
      </c>
      <c r="P556" s="18">
        <v>0</v>
      </c>
      <c r="Q556" s="18">
        <f t="shared" si="55"/>
        <v>0</v>
      </c>
      <c r="R556">
        <v>0</v>
      </c>
      <c r="S556">
        <v>0</v>
      </c>
      <c r="T556">
        <v>0</v>
      </c>
      <c r="U556">
        <v>0</v>
      </c>
      <c r="V556" s="18">
        <f t="shared" si="49"/>
        <v>0</v>
      </c>
      <c r="W556" s="18">
        <f t="shared" si="53"/>
        <v>0</v>
      </c>
      <c r="X556" s="18">
        <v>0</v>
      </c>
      <c r="Y556" s="18">
        <v>0</v>
      </c>
    </row>
    <row r="557" spans="1:25" x14ac:dyDescent="0.2">
      <c r="A557" s="18">
        <v>8015</v>
      </c>
      <c r="C557" s="18">
        <v>0</v>
      </c>
      <c r="D557" s="18">
        <v>0</v>
      </c>
      <c r="E557" s="18">
        <v>0</v>
      </c>
      <c r="F557" s="18">
        <f t="shared" si="50"/>
        <v>0</v>
      </c>
      <c r="G557" s="18">
        <v>0</v>
      </c>
      <c r="H557" s="18">
        <v>0</v>
      </c>
      <c r="I557" s="18">
        <f t="shared" si="51"/>
        <v>0</v>
      </c>
      <c r="J557" s="18">
        <v>0</v>
      </c>
      <c r="K557" s="18">
        <v>0</v>
      </c>
      <c r="L557" s="18">
        <f t="shared" si="52"/>
        <v>0</v>
      </c>
      <c r="M557" s="18">
        <v>0</v>
      </c>
      <c r="N557" s="18">
        <v>0</v>
      </c>
      <c r="O557" s="18">
        <v>0</v>
      </c>
      <c r="P557" s="18">
        <v>0</v>
      </c>
      <c r="Q557" s="18">
        <f t="shared" si="55"/>
        <v>0</v>
      </c>
      <c r="R557">
        <v>0</v>
      </c>
      <c r="S557">
        <v>0</v>
      </c>
      <c r="T557">
        <v>0</v>
      </c>
      <c r="U557">
        <v>0</v>
      </c>
      <c r="V557" s="18">
        <f t="shared" si="49"/>
        <v>0</v>
      </c>
      <c r="W557" s="18">
        <f t="shared" si="53"/>
        <v>0</v>
      </c>
      <c r="X557" s="18">
        <v>0</v>
      </c>
      <c r="Y557" s="18">
        <v>0</v>
      </c>
    </row>
    <row r="558" spans="1:25" x14ac:dyDescent="0.2">
      <c r="A558" s="18">
        <v>8093</v>
      </c>
      <c r="C558" s="18">
        <v>0</v>
      </c>
      <c r="D558" s="18">
        <v>0</v>
      </c>
      <c r="E558" s="18">
        <v>0</v>
      </c>
      <c r="F558" s="18">
        <f t="shared" si="50"/>
        <v>0</v>
      </c>
      <c r="G558" s="18">
        <v>0</v>
      </c>
      <c r="H558" s="18">
        <v>0</v>
      </c>
      <c r="I558" s="18">
        <f t="shared" si="51"/>
        <v>0</v>
      </c>
      <c r="J558" s="18">
        <v>0</v>
      </c>
      <c r="K558" s="18">
        <v>0</v>
      </c>
      <c r="L558" s="18">
        <f t="shared" si="52"/>
        <v>0</v>
      </c>
      <c r="M558" s="18">
        <v>0</v>
      </c>
      <c r="N558" s="18">
        <v>0</v>
      </c>
      <c r="O558" s="18">
        <v>0</v>
      </c>
      <c r="P558" s="18">
        <v>0</v>
      </c>
      <c r="Q558" s="18">
        <f t="shared" si="55"/>
        <v>0</v>
      </c>
      <c r="R558">
        <v>0</v>
      </c>
      <c r="S558">
        <v>0</v>
      </c>
      <c r="T558">
        <v>0</v>
      </c>
      <c r="U558">
        <v>0</v>
      </c>
      <c r="V558" s="18">
        <f t="shared" si="49"/>
        <v>0</v>
      </c>
      <c r="W558" s="18">
        <f t="shared" si="53"/>
        <v>0</v>
      </c>
      <c r="X558" s="18">
        <v>0</v>
      </c>
      <c r="Y558" s="18">
        <v>0</v>
      </c>
    </row>
    <row r="559" spans="1:25" x14ac:dyDescent="0.2">
      <c r="A559" s="18">
        <v>8119</v>
      </c>
      <c r="C559" s="18">
        <v>0</v>
      </c>
      <c r="D559" s="18">
        <v>0</v>
      </c>
      <c r="E559" s="18">
        <v>0</v>
      </c>
      <c r="F559" s="18">
        <f t="shared" si="50"/>
        <v>0</v>
      </c>
      <c r="G559" s="18">
        <v>0</v>
      </c>
      <c r="H559" s="18">
        <v>0</v>
      </c>
      <c r="I559" s="18">
        <f t="shared" si="51"/>
        <v>0</v>
      </c>
      <c r="J559" s="18">
        <v>0</v>
      </c>
      <c r="K559" s="18">
        <v>0</v>
      </c>
      <c r="L559" s="18">
        <f t="shared" si="52"/>
        <v>0</v>
      </c>
      <c r="M559" s="18">
        <v>0</v>
      </c>
      <c r="N559" s="18">
        <v>0</v>
      </c>
      <c r="O559" s="18">
        <v>0</v>
      </c>
      <c r="P559" s="18">
        <v>0</v>
      </c>
      <c r="Q559" s="18">
        <f t="shared" si="55"/>
        <v>0</v>
      </c>
      <c r="R559">
        <v>0</v>
      </c>
      <c r="S559">
        <v>0</v>
      </c>
      <c r="T559">
        <v>0</v>
      </c>
      <c r="U559">
        <v>0</v>
      </c>
      <c r="V559" s="18">
        <f t="shared" si="49"/>
        <v>0</v>
      </c>
      <c r="W559" s="18">
        <f t="shared" si="53"/>
        <v>0</v>
      </c>
      <c r="X559" s="18">
        <v>0</v>
      </c>
      <c r="Y559" s="18">
        <v>0</v>
      </c>
    </row>
    <row r="560" spans="1:25" x14ac:dyDescent="0.2">
      <c r="A560" s="18">
        <v>7976</v>
      </c>
      <c r="C560" s="18">
        <v>0</v>
      </c>
      <c r="D560" s="18">
        <v>0</v>
      </c>
      <c r="E560" s="18">
        <v>0</v>
      </c>
      <c r="F560" s="18">
        <f t="shared" si="50"/>
        <v>0</v>
      </c>
      <c r="G560" s="18">
        <v>0</v>
      </c>
      <c r="H560" s="18">
        <v>0</v>
      </c>
      <c r="I560" s="18">
        <f t="shared" si="51"/>
        <v>0</v>
      </c>
      <c r="J560" s="18">
        <v>0</v>
      </c>
      <c r="K560" s="18">
        <v>0</v>
      </c>
      <c r="L560" s="18">
        <f t="shared" si="52"/>
        <v>0</v>
      </c>
      <c r="M560" s="18">
        <v>0</v>
      </c>
      <c r="N560" s="18">
        <v>0</v>
      </c>
      <c r="O560" s="18">
        <v>0</v>
      </c>
      <c r="P560" s="18">
        <v>0</v>
      </c>
      <c r="Q560" s="18">
        <f t="shared" si="55"/>
        <v>0</v>
      </c>
      <c r="R560">
        <v>0</v>
      </c>
      <c r="S560">
        <v>0</v>
      </c>
      <c r="T560">
        <v>0</v>
      </c>
      <c r="U560">
        <v>0</v>
      </c>
      <c r="V560" s="18">
        <f t="shared" si="49"/>
        <v>0</v>
      </c>
      <c r="W560" s="18">
        <f t="shared" si="53"/>
        <v>0</v>
      </c>
      <c r="X560" s="18">
        <v>0</v>
      </c>
      <c r="Y560" s="18">
        <v>0</v>
      </c>
    </row>
    <row r="561" spans="1:25" x14ac:dyDescent="0.2">
      <c r="A561" s="18">
        <v>8128</v>
      </c>
      <c r="C561" s="18">
        <v>0</v>
      </c>
      <c r="D561" s="18">
        <v>0</v>
      </c>
      <c r="E561" s="18">
        <v>0</v>
      </c>
      <c r="F561" s="18">
        <f t="shared" si="50"/>
        <v>0</v>
      </c>
      <c r="G561" s="18">
        <v>0</v>
      </c>
      <c r="H561" s="18">
        <v>0</v>
      </c>
      <c r="I561" s="18">
        <f t="shared" si="51"/>
        <v>0</v>
      </c>
      <c r="J561" s="18">
        <v>0</v>
      </c>
      <c r="K561" s="18">
        <v>0</v>
      </c>
      <c r="L561" s="18">
        <f t="shared" si="52"/>
        <v>0</v>
      </c>
      <c r="M561" s="18">
        <v>0</v>
      </c>
      <c r="N561" s="18">
        <v>0</v>
      </c>
      <c r="O561" s="18">
        <v>0</v>
      </c>
      <c r="P561" s="18">
        <v>0</v>
      </c>
      <c r="Q561" s="18">
        <f t="shared" si="55"/>
        <v>0</v>
      </c>
      <c r="R561">
        <v>0</v>
      </c>
      <c r="S561">
        <v>0</v>
      </c>
      <c r="T561">
        <v>0</v>
      </c>
      <c r="U561">
        <v>0</v>
      </c>
      <c r="V561" s="18">
        <f t="shared" si="49"/>
        <v>0</v>
      </c>
      <c r="W561" s="18">
        <f t="shared" si="53"/>
        <v>0</v>
      </c>
      <c r="X561" s="18">
        <v>0</v>
      </c>
      <c r="Y561" s="18">
        <v>0</v>
      </c>
    </row>
    <row r="562" spans="1:25" x14ac:dyDescent="0.2">
      <c r="A562" s="18">
        <v>8130</v>
      </c>
      <c r="C562" s="18">
        <v>0</v>
      </c>
      <c r="D562" s="18">
        <v>0</v>
      </c>
      <c r="E562" s="18">
        <v>0</v>
      </c>
      <c r="F562" s="18">
        <f t="shared" si="50"/>
        <v>0</v>
      </c>
      <c r="G562" s="18">
        <v>0</v>
      </c>
      <c r="H562" s="18">
        <v>0</v>
      </c>
      <c r="I562" s="18">
        <f t="shared" si="51"/>
        <v>0</v>
      </c>
      <c r="J562" s="18">
        <v>0</v>
      </c>
      <c r="K562" s="18">
        <v>0</v>
      </c>
      <c r="L562" s="18">
        <f t="shared" si="52"/>
        <v>0</v>
      </c>
      <c r="M562" s="18">
        <v>0</v>
      </c>
      <c r="N562" s="18">
        <v>0</v>
      </c>
      <c r="O562" s="18">
        <v>0</v>
      </c>
      <c r="P562" s="18">
        <v>0</v>
      </c>
      <c r="Q562" s="18">
        <f t="shared" si="55"/>
        <v>0</v>
      </c>
      <c r="R562">
        <v>0</v>
      </c>
      <c r="S562">
        <v>0</v>
      </c>
      <c r="T562">
        <v>0</v>
      </c>
      <c r="U562">
        <v>0</v>
      </c>
      <c r="V562" s="18">
        <f t="shared" si="49"/>
        <v>0</v>
      </c>
      <c r="W562" s="18">
        <f t="shared" si="53"/>
        <v>0</v>
      </c>
      <c r="X562" s="18">
        <v>0</v>
      </c>
      <c r="Y562" s="18">
        <v>0</v>
      </c>
    </row>
    <row r="563" spans="1:25" x14ac:dyDescent="0.2">
      <c r="A563" s="18">
        <v>8159</v>
      </c>
      <c r="C563" s="18">
        <v>0</v>
      </c>
      <c r="D563" s="18">
        <v>0</v>
      </c>
      <c r="E563" s="18">
        <v>0</v>
      </c>
      <c r="F563" s="18">
        <f t="shared" si="50"/>
        <v>0</v>
      </c>
      <c r="G563" s="18">
        <v>0</v>
      </c>
      <c r="H563" s="18">
        <v>0</v>
      </c>
      <c r="I563" s="18">
        <f t="shared" si="51"/>
        <v>0</v>
      </c>
      <c r="J563" s="18">
        <v>0</v>
      </c>
      <c r="K563" s="18">
        <v>0</v>
      </c>
      <c r="L563" s="18">
        <f t="shared" si="52"/>
        <v>0</v>
      </c>
      <c r="M563" s="18">
        <v>76.5</v>
      </c>
      <c r="N563" s="18">
        <v>0</v>
      </c>
      <c r="O563" s="18">
        <v>0</v>
      </c>
      <c r="P563" s="18">
        <v>51</v>
      </c>
      <c r="Q563" s="18">
        <f t="shared" si="55"/>
        <v>127.5</v>
      </c>
      <c r="R563">
        <v>0</v>
      </c>
      <c r="S563">
        <v>0</v>
      </c>
      <c r="T563">
        <v>0</v>
      </c>
      <c r="U563">
        <v>0</v>
      </c>
      <c r="V563" s="18">
        <f t="shared" si="49"/>
        <v>76.5</v>
      </c>
      <c r="W563" s="18">
        <f t="shared" si="53"/>
        <v>51</v>
      </c>
      <c r="X563" s="18">
        <v>0</v>
      </c>
      <c r="Y563" s="18">
        <v>0</v>
      </c>
    </row>
    <row r="564" spans="1:25" x14ac:dyDescent="0.2">
      <c r="A564" s="18">
        <v>8172</v>
      </c>
      <c r="C564" s="18">
        <v>0</v>
      </c>
      <c r="D564" s="18">
        <v>0</v>
      </c>
      <c r="E564" s="18">
        <v>0</v>
      </c>
      <c r="F564" s="18">
        <f t="shared" si="50"/>
        <v>0</v>
      </c>
      <c r="G564" s="18">
        <v>0</v>
      </c>
      <c r="H564" s="18">
        <v>0</v>
      </c>
      <c r="I564" s="18">
        <f t="shared" si="51"/>
        <v>0</v>
      </c>
      <c r="J564" s="18">
        <v>0</v>
      </c>
      <c r="K564" s="18">
        <v>0</v>
      </c>
      <c r="L564" s="18">
        <f t="shared" si="52"/>
        <v>0</v>
      </c>
      <c r="M564" s="18">
        <v>0</v>
      </c>
      <c r="N564" s="18">
        <v>0</v>
      </c>
      <c r="O564" s="18">
        <v>0</v>
      </c>
      <c r="P564" s="18">
        <v>0</v>
      </c>
      <c r="Q564" s="18">
        <f t="shared" si="55"/>
        <v>0</v>
      </c>
      <c r="R564">
        <v>0</v>
      </c>
      <c r="S564">
        <v>0</v>
      </c>
      <c r="T564">
        <v>0</v>
      </c>
      <c r="U564">
        <v>0</v>
      </c>
      <c r="V564" s="18">
        <f t="shared" si="49"/>
        <v>0</v>
      </c>
      <c r="W564" s="18">
        <f t="shared" si="53"/>
        <v>0</v>
      </c>
      <c r="X564" s="18">
        <v>0</v>
      </c>
      <c r="Y564" s="18">
        <v>0</v>
      </c>
    </row>
    <row r="565" spans="1:25" x14ac:dyDescent="0.2">
      <c r="A565" s="18">
        <v>8117</v>
      </c>
      <c r="C565" s="18">
        <v>0</v>
      </c>
      <c r="D565" s="18">
        <v>0</v>
      </c>
      <c r="E565" s="18">
        <v>0</v>
      </c>
      <c r="F565" s="18">
        <f t="shared" si="50"/>
        <v>0</v>
      </c>
      <c r="G565" s="18">
        <v>0</v>
      </c>
      <c r="H565" s="18">
        <v>0</v>
      </c>
      <c r="I565" s="18">
        <f t="shared" si="51"/>
        <v>0</v>
      </c>
      <c r="J565" s="18">
        <v>0</v>
      </c>
      <c r="K565" s="18">
        <v>0</v>
      </c>
      <c r="L565" s="18">
        <f t="shared" si="52"/>
        <v>0</v>
      </c>
      <c r="M565" s="18">
        <v>0</v>
      </c>
      <c r="N565" s="18">
        <v>0</v>
      </c>
      <c r="O565" s="18">
        <v>0</v>
      </c>
      <c r="P565" s="18">
        <v>0</v>
      </c>
      <c r="Q565" s="18">
        <f t="shared" si="55"/>
        <v>0</v>
      </c>
      <c r="R565">
        <v>0</v>
      </c>
      <c r="S565">
        <v>0</v>
      </c>
      <c r="T565">
        <v>0</v>
      </c>
      <c r="U565">
        <v>0</v>
      </c>
      <c r="V565" s="18">
        <f t="shared" si="49"/>
        <v>0</v>
      </c>
      <c r="W565" s="18">
        <f t="shared" si="53"/>
        <v>0</v>
      </c>
      <c r="X565" s="18">
        <v>0</v>
      </c>
      <c r="Y565" s="18">
        <v>0</v>
      </c>
    </row>
    <row r="566" spans="1:25" x14ac:dyDescent="0.2">
      <c r="A566" s="18">
        <v>8200</v>
      </c>
      <c r="C566" s="18">
        <v>0</v>
      </c>
      <c r="D566" s="18">
        <v>0</v>
      </c>
      <c r="E566" s="18">
        <v>0</v>
      </c>
      <c r="F566" s="18">
        <f t="shared" si="50"/>
        <v>0</v>
      </c>
      <c r="G566" s="18">
        <v>0</v>
      </c>
      <c r="H566" s="18">
        <v>0</v>
      </c>
      <c r="I566" s="18">
        <f t="shared" si="51"/>
        <v>0</v>
      </c>
      <c r="J566" s="18">
        <v>0</v>
      </c>
      <c r="K566" s="18">
        <v>0</v>
      </c>
      <c r="L566" s="18">
        <f t="shared" si="52"/>
        <v>0</v>
      </c>
      <c r="M566" s="18">
        <v>0</v>
      </c>
      <c r="N566" s="18">
        <v>0</v>
      </c>
      <c r="O566" s="18">
        <v>0</v>
      </c>
      <c r="P566" s="18">
        <v>0</v>
      </c>
      <c r="Q566" s="18">
        <f t="shared" si="55"/>
        <v>0</v>
      </c>
      <c r="R566">
        <v>0</v>
      </c>
      <c r="S566">
        <v>0</v>
      </c>
      <c r="T566">
        <v>0</v>
      </c>
      <c r="U566">
        <v>0</v>
      </c>
      <c r="V566" s="18">
        <f t="shared" si="49"/>
        <v>0</v>
      </c>
      <c r="W566" s="18">
        <f t="shared" si="53"/>
        <v>0</v>
      </c>
      <c r="X566" s="18">
        <v>0</v>
      </c>
      <c r="Y566" s="18">
        <v>0</v>
      </c>
    </row>
    <row r="567" spans="1:25" x14ac:dyDescent="0.2">
      <c r="A567" s="18">
        <v>8192</v>
      </c>
      <c r="C567" s="18">
        <v>0</v>
      </c>
      <c r="D567" s="18">
        <v>0</v>
      </c>
      <c r="E567" s="18">
        <v>0</v>
      </c>
      <c r="F567" s="18">
        <f t="shared" si="50"/>
        <v>0</v>
      </c>
      <c r="G567" s="18">
        <v>0</v>
      </c>
      <c r="H567" s="18">
        <v>0</v>
      </c>
      <c r="I567" s="18">
        <f t="shared" si="51"/>
        <v>0</v>
      </c>
      <c r="J567" s="18">
        <v>0</v>
      </c>
      <c r="K567" s="18">
        <v>0</v>
      </c>
      <c r="L567" s="18">
        <f t="shared" si="52"/>
        <v>0</v>
      </c>
      <c r="M567" s="18">
        <v>0</v>
      </c>
      <c r="N567" s="18">
        <v>0</v>
      </c>
      <c r="O567" s="18">
        <v>0</v>
      </c>
      <c r="P567" s="18">
        <v>0</v>
      </c>
      <c r="Q567" s="18">
        <f t="shared" si="55"/>
        <v>0</v>
      </c>
      <c r="R567">
        <v>0</v>
      </c>
      <c r="S567">
        <v>0</v>
      </c>
      <c r="T567">
        <v>0</v>
      </c>
      <c r="U567">
        <v>0</v>
      </c>
      <c r="V567" s="18">
        <f t="shared" si="49"/>
        <v>0</v>
      </c>
      <c r="W567" s="18">
        <f t="shared" si="53"/>
        <v>0</v>
      </c>
      <c r="X567" s="18">
        <v>0</v>
      </c>
      <c r="Y567" s="18">
        <v>0</v>
      </c>
    </row>
    <row r="568" spans="1:25" x14ac:dyDescent="0.2">
      <c r="A568" s="18">
        <v>8217</v>
      </c>
      <c r="C568" s="18">
        <v>0</v>
      </c>
      <c r="D568" s="18">
        <v>0</v>
      </c>
      <c r="E568" s="18">
        <v>0</v>
      </c>
      <c r="F568" s="18">
        <f t="shared" si="50"/>
        <v>0</v>
      </c>
      <c r="G568" s="18">
        <v>0</v>
      </c>
      <c r="H568" s="18">
        <v>5.4510000000000014</v>
      </c>
      <c r="I568" s="18">
        <f t="shared" si="51"/>
        <v>5.4510000000000014</v>
      </c>
      <c r="J568" s="18">
        <v>0</v>
      </c>
      <c r="K568" s="18">
        <v>0</v>
      </c>
      <c r="L568" s="18">
        <f t="shared" si="52"/>
        <v>0</v>
      </c>
      <c r="M568" s="18">
        <v>0</v>
      </c>
      <c r="N568" s="18">
        <v>0</v>
      </c>
      <c r="O568" s="18">
        <v>0</v>
      </c>
      <c r="P568" s="18">
        <v>0</v>
      </c>
      <c r="Q568" s="18">
        <f t="shared" si="55"/>
        <v>0</v>
      </c>
      <c r="R568">
        <v>0</v>
      </c>
      <c r="S568">
        <v>0</v>
      </c>
      <c r="T568">
        <v>0</v>
      </c>
      <c r="U568">
        <v>0</v>
      </c>
      <c r="V568" s="18">
        <f t="shared" si="49"/>
        <v>0</v>
      </c>
      <c r="W568" s="18">
        <f t="shared" si="53"/>
        <v>0</v>
      </c>
      <c r="X568">
        <v>0</v>
      </c>
      <c r="Y568">
        <v>0</v>
      </c>
    </row>
    <row r="569" spans="1:25" x14ac:dyDescent="0.2">
      <c r="A569" s="18">
        <v>8226</v>
      </c>
      <c r="C569" s="18">
        <v>0</v>
      </c>
      <c r="D569" s="18">
        <v>0</v>
      </c>
      <c r="E569" s="18">
        <v>0</v>
      </c>
      <c r="F569" s="18">
        <f t="shared" si="50"/>
        <v>0</v>
      </c>
      <c r="G569" s="18">
        <v>0</v>
      </c>
      <c r="H569" s="18">
        <v>0</v>
      </c>
      <c r="I569" s="18">
        <f t="shared" si="51"/>
        <v>0</v>
      </c>
      <c r="J569" s="18">
        <v>0</v>
      </c>
      <c r="K569" s="18">
        <v>0</v>
      </c>
      <c r="L569" s="18">
        <f t="shared" si="52"/>
        <v>0</v>
      </c>
      <c r="M569" s="18">
        <v>0</v>
      </c>
      <c r="N569" s="18">
        <v>0</v>
      </c>
      <c r="O569" s="18">
        <v>0</v>
      </c>
      <c r="P569" s="18">
        <v>0</v>
      </c>
      <c r="Q569" s="18">
        <f t="shared" si="55"/>
        <v>0</v>
      </c>
      <c r="R569">
        <v>0</v>
      </c>
      <c r="S569">
        <v>0</v>
      </c>
      <c r="T569">
        <v>0</v>
      </c>
      <c r="U569">
        <v>0</v>
      </c>
      <c r="V569" s="18">
        <f t="shared" si="49"/>
        <v>0</v>
      </c>
      <c r="W569" s="18">
        <f t="shared" si="53"/>
        <v>0</v>
      </c>
      <c r="X569">
        <v>0</v>
      </c>
      <c r="Y569">
        <v>0</v>
      </c>
    </row>
    <row r="570" spans="1:25" x14ac:dyDescent="0.2">
      <c r="A570" s="18">
        <v>8183</v>
      </c>
      <c r="C570" s="18">
        <v>0</v>
      </c>
      <c r="D570" s="18">
        <v>0</v>
      </c>
      <c r="E570" s="18">
        <v>0</v>
      </c>
      <c r="F570" s="18">
        <f t="shared" si="50"/>
        <v>0</v>
      </c>
      <c r="G570" s="18">
        <v>0</v>
      </c>
      <c r="H570" s="18">
        <v>0</v>
      </c>
      <c r="I570" s="18">
        <f t="shared" si="51"/>
        <v>0</v>
      </c>
      <c r="J570" s="18">
        <v>0</v>
      </c>
      <c r="K570" s="18">
        <v>0</v>
      </c>
      <c r="L570" s="18">
        <f t="shared" si="52"/>
        <v>0</v>
      </c>
      <c r="M570" s="18">
        <v>0</v>
      </c>
      <c r="N570" s="18">
        <v>0</v>
      </c>
      <c r="O570" s="18">
        <v>0</v>
      </c>
      <c r="P570" s="18">
        <v>0</v>
      </c>
      <c r="Q570" s="18">
        <f t="shared" si="55"/>
        <v>0</v>
      </c>
      <c r="R570">
        <v>0</v>
      </c>
      <c r="S570">
        <v>0</v>
      </c>
      <c r="T570">
        <v>0</v>
      </c>
      <c r="U570">
        <v>0</v>
      </c>
      <c r="V570" s="18">
        <f t="shared" si="49"/>
        <v>0</v>
      </c>
      <c r="W570" s="18">
        <f t="shared" si="53"/>
        <v>0</v>
      </c>
      <c r="X570">
        <v>0</v>
      </c>
      <c r="Y570">
        <v>0</v>
      </c>
    </row>
    <row r="571" spans="1:25" x14ac:dyDescent="0.2">
      <c r="A571" s="18">
        <v>8235</v>
      </c>
      <c r="C571" s="18">
        <v>0</v>
      </c>
      <c r="D571" s="18">
        <v>0</v>
      </c>
      <c r="E571" s="18">
        <v>0</v>
      </c>
      <c r="F571" s="18">
        <f t="shared" si="50"/>
        <v>0</v>
      </c>
      <c r="G571" s="18">
        <v>0</v>
      </c>
      <c r="H571" s="18">
        <v>0</v>
      </c>
      <c r="I571" s="18">
        <f t="shared" si="51"/>
        <v>0</v>
      </c>
      <c r="J571" s="18">
        <v>0</v>
      </c>
      <c r="K571" s="18">
        <v>0</v>
      </c>
      <c r="L571" s="18">
        <f t="shared" si="52"/>
        <v>0</v>
      </c>
      <c r="M571" s="18">
        <v>0</v>
      </c>
      <c r="N571" s="18">
        <v>0</v>
      </c>
      <c r="O571" s="18">
        <v>0</v>
      </c>
      <c r="P571" s="18">
        <v>0</v>
      </c>
      <c r="Q571" s="18">
        <f t="shared" si="55"/>
        <v>0</v>
      </c>
      <c r="R571">
        <v>0</v>
      </c>
      <c r="S571">
        <v>0</v>
      </c>
      <c r="T571">
        <v>0</v>
      </c>
      <c r="U571">
        <v>0</v>
      </c>
      <c r="V571" s="18">
        <f t="shared" si="49"/>
        <v>0</v>
      </c>
      <c r="W571" s="18">
        <f t="shared" si="53"/>
        <v>0</v>
      </c>
      <c r="X571">
        <v>0</v>
      </c>
      <c r="Y571">
        <v>0</v>
      </c>
    </row>
    <row r="572" spans="1:25" x14ac:dyDescent="0.2">
      <c r="A572" s="18">
        <v>8244</v>
      </c>
      <c r="C572" s="18">
        <v>0</v>
      </c>
      <c r="D572" s="18">
        <v>0</v>
      </c>
      <c r="E572" s="18">
        <v>0</v>
      </c>
      <c r="F572" s="18">
        <f t="shared" si="50"/>
        <v>0</v>
      </c>
      <c r="G572" s="18">
        <v>0</v>
      </c>
      <c r="H572" s="18">
        <v>0</v>
      </c>
      <c r="I572" s="18">
        <f t="shared" si="51"/>
        <v>0</v>
      </c>
      <c r="J572" s="18">
        <v>0</v>
      </c>
      <c r="K572" s="18">
        <v>0</v>
      </c>
      <c r="L572" s="18">
        <f t="shared" si="52"/>
        <v>0</v>
      </c>
      <c r="M572" s="18">
        <v>0</v>
      </c>
      <c r="N572" s="18">
        <v>0</v>
      </c>
      <c r="O572" s="18">
        <v>0</v>
      </c>
      <c r="P572" s="18">
        <v>0</v>
      </c>
      <c r="Q572" s="18">
        <f t="shared" si="55"/>
        <v>0</v>
      </c>
      <c r="R572">
        <v>0</v>
      </c>
      <c r="S572">
        <v>0</v>
      </c>
      <c r="T572">
        <v>0</v>
      </c>
      <c r="U572">
        <v>0</v>
      </c>
      <c r="V572" s="18">
        <f t="shared" si="49"/>
        <v>0</v>
      </c>
      <c r="W572" s="18">
        <f t="shared" si="53"/>
        <v>0</v>
      </c>
      <c r="X572">
        <v>0</v>
      </c>
      <c r="Y572">
        <v>0</v>
      </c>
    </row>
    <row r="573" spans="1:25" x14ac:dyDescent="0.2">
      <c r="A573" s="18">
        <v>8258</v>
      </c>
      <c r="C573" s="18">
        <v>0</v>
      </c>
      <c r="D573" s="18">
        <v>0</v>
      </c>
      <c r="E573" s="18">
        <v>0</v>
      </c>
      <c r="F573" s="18">
        <f t="shared" si="50"/>
        <v>0</v>
      </c>
      <c r="G573" s="18">
        <v>0</v>
      </c>
      <c r="H573" s="18">
        <v>0</v>
      </c>
      <c r="I573" s="18">
        <f t="shared" si="51"/>
        <v>0</v>
      </c>
      <c r="J573" s="18">
        <v>0</v>
      </c>
      <c r="K573" s="18">
        <v>0</v>
      </c>
      <c r="L573" s="18">
        <f t="shared" si="52"/>
        <v>0</v>
      </c>
      <c r="M573" s="18">
        <v>0</v>
      </c>
      <c r="N573" s="18">
        <v>0</v>
      </c>
      <c r="O573" s="18">
        <v>0</v>
      </c>
      <c r="P573" s="18">
        <v>0</v>
      </c>
      <c r="Q573" s="18">
        <f t="shared" si="55"/>
        <v>0</v>
      </c>
      <c r="R573">
        <v>0</v>
      </c>
      <c r="S573">
        <v>0</v>
      </c>
      <c r="T573">
        <v>0</v>
      </c>
      <c r="U573">
        <v>0</v>
      </c>
      <c r="V573" s="18">
        <f t="shared" si="49"/>
        <v>0</v>
      </c>
      <c r="W573" s="18">
        <f t="shared" si="53"/>
        <v>0</v>
      </c>
      <c r="X573">
        <v>0</v>
      </c>
      <c r="Y573">
        <v>0</v>
      </c>
    </row>
    <row r="574" spans="1:25" x14ac:dyDescent="0.2">
      <c r="A574" s="18">
        <v>8260</v>
      </c>
      <c r="C574" s="18">
        <v>0</v>
      </c>
      <c r="D574" s="18">
        <v>0</v>
      </c>
      <c r="E574" s="18">
        <v>0</v>
      </c>
      <c r="F574" s="18">
        <f t="shared" si="50"/>
        <v>0</v>
      </c>
      <c r="G574" s="18">
        <v>0</v>
      </c>
      <c r="H574" s="18">
        <v>0</v>
      </c>
      <c r="I574" s="18">
        <f t="shared" si="51"/>
        <v>0</v>
      </c>
      <c r="J574" s="18">
        <v>0</v>
      </c>
      <c r="K574" s="18">
        <v>0</v>
      </c>
      <c r="L574" s="18">
        <f t="shared" si="52"/>
        <v>0</v>
      </c>
      <c r="M574" s="18">
        <v>0</v>
      </c>
      <c r="N574" s="18">
        <v>0</v>
      </c>
      <c r="O574" s="18">
        <v>0</v>
      </c>
      <c r="P574" s="18">
        <v>0</v>
      </c>
      <c r="Q574" s="18">
        <f t="shared" si="55"/>
        <v>0</v>
      </c>
      <c r="R574">
        <v>0</v>
      </c>
      <c r="S574">
        <v>0</v>
      </c>
      <c r="T574">
        <v>0</v>
      </c>
      <c r="U574">
        <v>0</v>
      </c>
      <c r="V574" s="18">
        <f t="shared" si="49"/>
        <v>0</v>
      </c>
      <c r="W574" s="18">
        <f t="shared" si="53"/>
        <v>0</v>
      </c>
      <c r="X574">
        <v>0</v>
      </c>
      <c r="Y574">
        <v>0</v>
      </c>
    </row>
    <row r="575" spans="1:25" x14ac:dyDescent="0.2">
      <c r="A575" s="18">
        <v>8269</v>
      </c>
      <c r="C575" s="18">
        <v>0</v>
      </c>
      <c r="D575" s="18">
        <v>0</v>
      </c>
      <c r="E575" s="18">
        <v>0</v>
      </c>
      <c r="F575" s="18">
        <f t="shared" si="50"/>
        <v>0</v>
      </c>
      <c r="G575" s="18">
        <v>0</v>
      </c>
      <c r="H575" s="18">
        <v>0</v>
      </c>
      <c r="I575" s="18">
        <f t="shared" si="51"/>
        <v>0</v>
      </c>
      <c r="J575" s="18">
        <v>0</v>
      </c>
      <c r="K575" s="18">
        <v>0</v>
      </c>
      <c r="L575" s="18">
        <f t="shared" si="52"/>
        <v>0</v>
      </c>
      <c r="M575" s="18">
        <v>0</v>
      </c>
      <c r="N575" s="18">
        <v>0</v>
      </c>
      <c r="O575" s="18">
        <v>0</v>
      </c>
      <c r="P575" s="18">
        <v>0</v>
      </c>
      <c r="Q575" s="18">
        <f t="shared" si="55"/>
        <v>0</v>
      </c>
      <c r="R575">
        <v>0</v>
      </c>
      <c r="S575">
        <v>0</v>
      </c>
      <c r="T575">
        <v>0</v>
      </c>
      <c r="U575">
        <v>0</v>
      </c>
      <c r="V575" s="18">
        <f t="shared" si="49"/>
        <v>0</v>
      </c>
      <c r="W575" s="18">
        <f t="shared" si="53"/>
        <v>0</v>
      </c>
      <c r="X575">
        <v>0</v>
      </c>
      <c r="Y575">
        <v>0</v>
      </c>
    </row>
    <row r="576" spans="1:25" x14ac:dyDescent="0.2">
      <c r="A576" s="18">
        <v>8282</v>
      </c>
      <c r="C576" s="18">
        <v>0</v>
      </c>
      <c r="D576" s="18">
        <v>0</v>
      </c>
      <c r="E576" s="18">
        <v>0</v>
      </c>
      <c r="F576" s="18">
        <f t="shared" si="50"/>
        <v>0</v>
      </c>
      <c r="G576" s="18">
        <v>0</v>
      </c>
      <c r="H576" s="18">
        <v>0</v>
      </c>
      <c r="I576" s="18">
        <f t="shared" si="51"/>
        <v>0</v>
      </c>
      <c r="J576" s="18">
        <v>0</v>
      </c>
      <c r="K576" s="18">
        <v>0</v>
      </c>
      <c r="L576" s="18">
        <f t="shared" si="52"/>
        <v>0</v>
      </c>
      <c r="M576" s="18">
        <v>0</v>
      </c>
      <c r="N576" s="18">
        <v>0</v>
      </c>
      <c r="O576" s="18">
        <v>0</v>
      </c>
      <c r="P576" s="18">
        <v>0</v>
      </c>
      <c r="Q576" s="18">
        <f t="shared" si="55"/>
        <v>0</v>
      </c>
      <c r="R576">
        <v>0</v>
      </c>
      <c r="S576">
        <v>0</v>
      </c>
      <c r="T576">
        <v>0</v>
      </c>
      <c r="U576">
        <v>0</v>
      </c>
      <c r="V576" s="18">
        <f t="shared" si="49"/>
        <v>0</v>
      </c>
      <c r="W576" s="18">
        <f t="shared" si="53"/>
        <v>0</v>
      </c>
      <c r="X576">
        <v>0</v>
      </c>
      <c r="Y576">
        <v>0</v>
      </c>
    </row>
    <row r="577" spans="1:25" x14ac:dyDescent="0.2">
      <c r="A577" s="18">
        <v>8285</v>
      </c>
      <c r="C577" s="18">
        <v>0</v>
      </c>
      <c r="D577" s="18">
        <v>0</v>
      </c>
      <c r="E577" s="18">
        <v>0</v>
      </c>
      <c r="F577" s="18">
        <f t="shared" si="50"/>
        <v>0</v>
      </c>
      <c r="G577" s="18">
        <v>0</v>
      </c>
      <c r="H577" s="18">
        <v>0</v>
      </c>
      <c r="I577" s="18">
        <f t="shared" si="51"/>
        <v>0</v>
      </c>
      <c r="J577" s="18">
        <v>0</v>
      </c>
      <c r="K577" s="18">
        <v>0</v>
      </c>
      <c r="L577" s="18">
        <f t="shared" si="52"/>
        <v>0</v>
      </c>
      <c r="M577" s="18">
        <v>0</v>
      </c>
      <c r="N577" s="18">
        <v>0</v>
      </c>
      <c r="O577" s="18">
        <v>0</v>
      </c>
      <c r="P577" s="18">
        <v>0</v>
      </c>
      <c r="Q577" s="18">
        <f t="shared" si="55"/>
        <v>0</v>
      </c>
      <c r="R577">
        <v>0</v>
      </c>
      <c r="S577">
        <v>0</v>
      </c>
      <c r="T577">
        <v>0</v>
      </c>
      <c r="U577">
        <v>0</v>
      </c>
      <c r="V577" s="18">
        <f t="shared" si="49"/>
        <v>0</v>
      </c>
      <c r="W577" s="18">
        <f t="shared" si="53"/>
        <v>0</v>
      </c>
      <c r="X577">
        <v>0</v>
      </c>
      <c r="Y577">
        <v>0</v>
      </c>
    </row>
    <row r="578" spans="1:25" x14ac:dyDescent="0.2">
      <c r="A578" s="18">
        <v>8309</v>
      </c>
      <c r="C578" s="18">
        <v>0</v>
      </c>
      <c r="D578" s="18">
        <v>0</v>
      </c>
      <c r="E578" s="18">
        <v>0</v>
      </c>
      <c r="F578" s="18">
        <f t="shared" si="50"/>
        <v>0</v>
      </c>
      <c r="G578" s="18">
        <v>0</v>
      </c>
      <c r="H578" s="18">
        <v>0</v>
      </c>
      <c r="I578" s="18">
        <f t="shared" si="51"/>
        <v>0</v>
      </c>
      <c r="J578" s="18">
        <v>0</v>
      </c>
      <c r="K578" s="18">
        <v>0</v>
      </c>
      <c r="L578" s="18">
        <f t="shared" si="52"/>
        <v>0</v>
      </c>
      <c r="M578" s="18">
        <v>0</v>
      </c>
      <c r="N578" s="18">
        <v>0</v>
      </c>
      <c r="O578" s="18">
        <v>0</v>
      </c>
      <c r="P578" s="18">
        <v>0</v>
      </c>
      <c r="Q578" s="18">
        <f t="shared" si="55"/>
        <v>0</v>
      </c>
      <c r="R578">
        <v>0</v>
      </c>
      <c r="S578">
        <v>0</v>
      </c>
      <c r="T578">
        <v>0</v>
      </c>
      <c r="U578">
        <v>0</v>
      </c>
      <c r="V578" s="18">
        <f t="shared" si="49"/>
        <v>0</v>
      </c>
      <c r="W578" s="18">
        <f t="shared" si="53"/>
        <v>0</v>
      </c>
      <c r="X578">
        <v>0</v>
      </c>
      <c r="Y578">
        <v>0</v>
      </c>
    </row>
    <row r="579" spans="1:25" x14ac:dyDescent="0.2">
      <c r="A579" s="18">
        <v>8307</v>
      </c>
      <c r="C579" s="18">
        <v>0</v>
      </c>
      <c r="D579" s="18">
        <v>0</v>
      </c>
      <c r="E579" s="18">
        <v>0</v>
      </c>
      <c r="F579" s="18">
        <f t="shared" si="50"/>
        <v>0</v>
      </c>
      <c r="G579" s="18">
        <v>0</v>
      </c>
      <c r="H579" s="18">
        <v>0</v>
      </c>
      <c r="I579" s="18">
        <f t="shared" si="51"/>
        <v>0</v>
      </c>
      <c r="J579" s="18">
        <v>0</v>
      </c>
      <c r="K579" s="18">
        <v>0</v>
      </c>
      <c r="L579" s="18">
        <f t="shared" si="52"/>
        <v>0</v>
      </c>
      <c r="M579" s="18">
        <v>0</v>
      </c>
      <c r="N579" s="18">
        <v>0</v>
      </c>
      <c r="O579" s="18">
        <v>0</v>
      </c>
      <c r="P579" s="18">
        <v>0</v>
      </c>
      <c r="Q579" s="18">
        <f t="shared" si="55"/>
        <v>0</v>
      </c>
      <c r="R579">
        <v>0</v>
      </c>
      <c r="S579">
        <v>0</v>
      </c>
      <c r="T579">
        <v>0</v>
      </c>
      <c r="U579">
        <v>0</v>
      </c>
      <c r="V579" s="18">
        <f t="shared" si="49"/>
        <v>0</v>
      </c>
      <c r="W579" s="18">
        <f t="shared" si="53"/>
        <v>0</v>
      </c>
      <c r="X579">
        <v>0</v>
      </c>
      <c r="Y579">
        <v>0</v>
      </c>
    </row>
    <row r="580" spans="1:25" x14ac:dyDescent="0.2">
      <c r="A580" s="18">
        <v>8314</v>
      </c>
      <c r="C580" s="18">
        <v>0</v>
      </c>
      <c r="D580" s="18">
        <v>0</v>
      </c>
      <c r="E580" s="18">
        <v>0</v>
      </c>
      <c r="F580" s="18">
        <f t="shared" si="50"/>
        <v>0</v>
      </c>
      <c r="G580" s="18">
        <v>0</v>
      </c>
      <c r="H580" s="18">
        <v>0</v>
      </c>
      <c r="I580" s="18">
        <f t="shared" si="51"/>
        <v>0</v>
      </c>
      <c r="J580" s="18">
        <v>0</v>
      </c>
      <c r="K580" s="18">
        <v>0</v>
      </c>
      <c r="L580" s="18">
        <f t="shared" si="52"/>
        <v>0</v>
      </c>
      <c r="M580" s="18">
        <v>0</v>
      </c>
      <c r="N580" s="18">
        <v>0</v>
      </c>
      <c r="O580" s="18">
        <v>0</v>
      </c>
      <c r="P580" s="18">
        <v>0</v>
      </c>
      <c r="Q580" s="18">
        <f t="shared" si="55"/>
        <v>0</v>
      </c>
      <c r="R580">
        <v>0</v>
      </c>
      <c r="S580">
        <v>0</v>
      </c>
      <c r="T580">
        <v>0</v>
      </c>
      <c r="U580">
        <v>0</v>
      </c>
      <c r="V580" s="18">
        <f t="shared" ref="V580:V622" si="56">M580+N580</f>
        <v>0</v>
      </c>
      <c r="W580" s="18">
        <f t="shared" si="53"/>
        <v>0</v>
      </c>
      <c r="X580">
        <v>0</v>
      </c>
      <c r="Y580">
        <v>0</v>
      </c>
    </row>
    <row r="581" spans="1:25" x14ac:dyDescent="0.2">
      <c r="A581" s="18">
        <v>7998</v>
      </c>
      <c r="C581" s="18">
        <v>0</v>
      </c>
      <c r="D581" s="18">
        <v>0</v>
      </c>
      <c r="E581" s="18">
        <v>0</v>
      </c>
      <c r="F581" s="18">
        <f t="shared" ref="F581:F644" si="57">SUM(D581:E581)</f>
        <v>0</v>
      </c>
      <c r="G581" s="18">
        <v>0</v>
      </c>
      <c r="H581" s="18">
        <v>0</v>
      </c>
      <c r="I581" s="18">
        <f t="shared" ref="I581:I644" si="58">SUM(G581:H581)</f>
        <v>0</v>
      </c>
      <c r="J581" s="18">
        <v>0</v>
      </c>
      <c r="K581" s="18">
        <v>0</v>
      </c>
      <c r="L581" s="18">
        <f t="shared" ref="L581:L644" si="59">SUM(J581:K581)</f>
        <v>0</v>
      </c>
      <c r="M581" s="18">
        <v>0</v>
      </c>
      <c r="N581" s="18">
        <v>0</v>
      </c>
      <c r="O581" s="18">
        <v>0</v>
      </c>
      <c r="P581" s="18">
        <v>0</v>
      </c>
      <c r="Q581" s="18">
        <f t="shared" si="55"/>
        <v>0</v>
      </c>
      <c r="R581">
        <v>0</v>
      </c>
      <c r="S581">
        <v>0</v>
      </c>
      <c r="T581">
        <v>0</v>
      </c>
      <c r="U581">
        <v>0</v>
      </c>
      <c r="V581" s="18">
        <f t="shared" si="56"/>
        <v>0</v>
      </c>
      <c r="W581" s="18">
        <f t="shared" ref="W581:W644" si="60">O581+P581</f>
        <v>0</v>
      </c>
      <c r="X581">
        <v>0</v>
      </c>
      <c r="Y581">
        <v>0</v>
      </c>
    </row>
    <row r="582" spans="1:25" x14ac:dyDescent="0.2">
      <c r="A582" s="18">
        <v>8059</v>
      </c>
      <c r="C582" s="18">
        <v>0</v>
      </c>
      <c r="D582" s="18">
        <v>0</v>
      </c>
      <c r="E582" s="18">
        <v>0</v>
      </c>
      <c r="F582" s="18">
        <f t="shared" si="57"/>
        <v>0</v>
      </c>
      <c r="G582" s="18">
        <v>0</v>
      </c>
      <c r="H582" s="18">
        <v>0</v>
      </c>
      <c r="I582" s="18">
        <f t="shared" si="58"/>
        <v>0</v>
      </c>
      <c r="J582" s="18">
        <v>0</v>
      </c>
      <c r="K582" s="18">
        <v>0</v>
      </c>
      <c r="L582" s="18">
        <f t="shared" si="59"/>
        <v>0</v>
      </c>
      <c r="M582" s="18">
        <v>0</v>
      </c>
      <c r="N582" s="18">
        <v>0</v>
      </c>
      <c r="O582" s="18">
        <v>0</v>
      </c>
      <c r="P582" s="18">
        <v>0</v>
      </c>
      <c r="Q582" s="18">
        <f t="shared" si="55"/>
        <v>0</v>
      </c>
      <c r="R582">
        <v>0</v>
      </c>
      <c r="S582">
        <v>0</v>
      </c>
      <c r="T582">
        <v>0</v>
      </c>
      <c r="U582">
        <v>0</v>
      </c>
      <c r="V582" s="18">
        <f t="shared" si="56"/>
        <v>0</v>
      </c>
      <c r="W582" s="18">
        <f t="shared" si="60"/>
        <v>0</v>
      </c>
      <c r="X582">
        <v>0</v>
      </c>
      <c r="Y582">
        <v>0</v>
      </c>
    </row>
    <row r="583" spans="1:25" x14ac:dyDescent="0.2">
      <c r="A583" s="18">
        <v>8319</v>
      </c>
      <c r="C583" s="18">
        <v>0</v>
      </c>
      <c r="D583" s="18">
        <v>0</v>
      </c>
      <c r="E583" s="18">
        <v>0</v>
      </c>
      <c r="F583" s="18">
        <f t="shared" si="57"/>
        <v>0</v>
      </c>
      <c r="G583" s="18">
        <v>0</v>
      </c>
      <c r="H583" s="18">
        <v>0</v>
      </c>
      <c r="I583" s="18">
        <f t="shared" si="58"/>
        <v>0</v>
      </c>
      <c r="J583" s="18">
        <v>0</v>
      </c>
      <c r="K583" s="18">
        <v>0</v>
      </c>
      <c r="L583" s="18">
        <f t="shared" si="59"/>
        <v>0</v>
      </c>
      <c r="M583" s="18">
        <v>0</v>
      </c>
      <c r="N583" s="18">
        <v>0</v>
      </c>
      <c r="O583" s="18">
        <v>0</v>
      </c>
      <c r="P583" s="18">
        <v>0</v>
      </c>
      <c r="Q583" s="18">
        <f t="shared" si="55"/>
        <v>0</v>
      </c>
      <c r="R583">
        <v>0</v>
      </c>
      <c r="S583">
        <v>0</v>
      </c>
      <c r="T583">
        <v>0</v>
      </c>
      <c r="U583">
        <v>0</v>
      </c>
      <c r="V583" s="18">
        <f t="shared" si="56"/>
        <v>0</v>
      </c>
      <c r="W583" s="18">
        <f t="shared" si="60"/>
        <v>0</v>
      </c>
      <c r="X583">
        <v>0</v>
      </c>
      <c r="Y583">
        <v>0</v>
      </c>
    </row>
    <row r="584" spans="1:25" x14ac:dyDescent="0.2">
      <c r="A584" s="18">
        <v>8294</v>
      </c>
      <c r="C584" s="18">
        <v>0</v>
      </c>
      <c r="D584" s="18">
        <v>0</v>
      </c>
      <c r="E584" s="18">
        <v>0</v>
      </c>
      <c r="F584" s="18">
        <f t="shared" si="57"/>
        <v>0</v>
      </c>
      <c r="G584" s="18">
        <v>0</v>
      </c>
      <c r="H584" s="18">
        <v>0</v>
      </c>
      <c r="I584" s="18">
        <f t="shared" si="58"/>
        <v>0</v>
      </c>
      <c r="J584" s="18">
        <v>0</v>
      </c>
      <c r="K584" s="18">
        <v>0</v>
      </c>
      <c r="L584" s="18">
        <f t="shared" si="59"/>
        <v>0</v>
      </c>
      <c r="M584" s="18">
        <v>0</v>
      </c>
      <c r="N584" s="18">
        <v>704.23333333333323</v>
      </c>
      <c r="O584" s="18">
        <v>0</v>
      </c>
      <c r="P584" s="18">
        <v>0</v>
      </c>
      <c r="Q584" s="18">
        <f t="shared" si="55"/>
        <v>704.23333333333323</v>
      </c>
      <c r="R584">
        <v>0</v>
      </c>
      <c r="S584">
        <v>0</v>
      </c>
      <c r="T584">
        <v>0</v>
      </c>
      <c r="U584">
        <v>0</v>
      </c>
      <c r="V584" s="18">
        <f t="shared" si="56"/>
        <v>704.23333333333323</v>
      </c>
      <c r="W584" s="18">
        <f t="shared" si="60"/>
        <v>0</v>
      </c>
      <c r="X584">
        <v>0</v>
      </c>
      <c r="Y584">
        <v>0</v>
      </c>
    </row>
    <row r="585" spans="1:25" x14ac:dyDescent="0.2">
      <c r="A585" s="18">
        <v>8325</v>
      </c>
      <c r="C585" s="18">
        <v>0</v>
      </c>
      <c r="D585" s="18">
        <v>0</v>
      </c>
      <c r="E585" s="18">
        <v>0</v>
      </c>
      <c r="F585" s="18">
        <f t="shared" si="57"/>
        <v>0</v>
      </c>
      <c r="G585" s="18">
        <v>0</v>
      </c>
      <c r="H585" s="18">
        <v>0</v>
      </c>
      <c r="I585" s="18">
        <f t="shared" si="58"/>
        <v>0</v>
      </c>
      <c r="J585" s="18">
        <v>0</v>
      </c>
      <c r="K585" s="18">
        <v>0</v>
      </c>
      <c r="L585" s="18">
        <f t="shared" si="59"/>
        <v>0</v>
      </c>
      <c r="M585" s="18">
        <v>0</v>
      </c>
      <c r="N585" s="18">
        <v>0</v>
      </c>
      <c r="O585" s="18">
        <v>0</v>
      </c>
      <c r="P585" s="18">
        <v>0</v>
      </c>
      <c r="Q585" s="18">
        <f t="shared" si="55"/>
        <v>0</v>
      </c>
      <c r="R585">
        <v>0</v>
      </c>
      <c r="S585">
        <v>0</v>
      </c>
      <c r="T585">
        <v>0</v>
      </c>
      <c r="U585">
        <v>0</v>
      </c>
      <c r="V585" s="18">
        <f t="shared" si="56"/>
        <v>0</v>
      </c>
      <c r="W585" s="18">
        <f t="shared" si="60"/>
        <v>0</v>
      </c>
      <c r="X585">
        <v>0</v>
      </c>
      <c r="Y585">
        <v>0</v>
      </c>
    </row>
    <row r="586" spans="1:25" x14ac:dyDescent="0.2">
      <c r="A586" s="18">
        <v>8355</v>
      </c>
      <c r="C586" s="18">
        <v>0</v>
      </c>
      <c r="D586" s="18">
        <v>0</v>
      </c>
      <c r="E586" s="18">
        <v>0</v>
      </c>
      <c r="F586" s="18">
        <f t="shared" si="57"/>
        <v>0</v>
      </c>
      <c r="G586" s="18">
        <v>0</v>
      </c>
      <c r="H586" s="18">
        <v>0</v>
      </c>
      <c r="I586" s="18">
        <f t="shared" si="58"/>
        <v>0</v>
      </c>
      <c r="J586" s="18">
        <v>0</v>
      </c>
      <c r="K586" s="18">
        <v>0</v>
      </c>
      <c r="L586" s="18">
        <f t="shared" si="59"/>
        <v>0</v>
      </c>
      <c r="M586" s="18">
        <v>0</v>
      </c>
      <c r="N586" s="18">
        <v>0</v>
      </c>
      <c r="O586" s="18">
        <v>0</v>
      </c>
      <c r="P586" s="18">
        <v>0</v>
      </c>
      <c r="Q586" s="18">
        <f t="shared" si="55"/>
        <v>0</v>
      </c>
      <c r="R586">
        <v>0</v>
      </c>
      <c r="S586">
        <v>0</v>
      </c>
      <c r="T586">
        <v>0</v>
      </c>
      <c r="U586">
        <v>0</v>
      </c>
      <c r="V586" s="18">
        <f t="shared" si="56"/>
        <v>0</v>
      </c>
      <c r="W586" s="18">
        <f t="shared" si="60"/>
        <v>0</v>
      </c>
      <c r="X586">
        <v>0</v>
      </c>
      <c r="Y586">
        <v>0</v>
      </c>
    </row>
    <row r="587" spans="1:25" x14ac:dyDescent="0.2">
      <c r="A587" s="18">
        <v>8336</v>
      </c>
      <c r="C587" s="18">
        <v>0</v>
      </c>
      <c r="D587" s="18">
        <v>0</v>
      </c>
      <c r="E587" s="18">
        <v>0</v>
      </c>
      <c r="F587" s="18">
        <f t="shared" si="57"/>
        <v>0</v>
      </c>
      <c r="G587" s="18">
        <v>0</v>
      </c>
      <c r="H587" s="18">
        <v>0</v>
      </c>
      <c r="I587" s="18">
        <f t="shared" si="58"/>
        <v>0</v>
      </c>
      <c r="J587" s="18">
        <v>0</v>
      </c>
      <c r="K587" s="18">
        <v>0</v>
      </c>
      <c r="L587" s="18">
        <f t="shared" si="59"/>
        <v>0</v>
      </c>
      <c r="M587" s="18">
        <v>0</v>
      </c>
      <c r="N587" s="18">
        <v>0</v>
      </c>
      <c r="O587" s="18">
        <v>0</v>
      </c>
      <c r="P587" s="18">
        <v>0</v>
      </c>
      <c r="Q587" s="18">
        <f t="shared" si="55"/>
        <v>0</v>
      </c>
      <c r="R587">
        <v>0</v>
      </c>
      <c r="S587">
        <v>0</v>
      </c>
      <c r="T587">
        <v>0</v>
      </c>
      <c r="U587">
        <v>0</v>
      </c>
      <c r="V587" s="18">
        <f t="shared" si="56"/>
        <v>0</v>
      </c>
      <c r="W587" s="18">
        <f t="shared" si="60"/>
        <v>0</v>
      </c>
      <c r="X587">
        <v>0</v>
      </c>
      <c r="Y587">
        <v>0</v>
      </c>
    </row>
    <row r="588" spans="1:25" x14ac:dyDescent="0.2">
      <c r="A588" s="18">
        <v>8359</v>
      </c>
      <c r="C588" s="18">
        <v>0</v>
      </c>
      <c r="D588" s="18">
        <v>0</v>
      </c>
      <c r="E588" s="18">
        <v>0</v>
      </c>
      <c r="F588" s="18">
        <f t="shared" si="57"/>
        <v>0</v>
      </c>
      <c r="G588" s="18">
        <v>0</v>
      </c>
      <c r="H588" s="18">
        <v>0</v>
      </c>
      <c r="I588" s="18">
        <f t="shared" si="58"/>
        <v>0</v>
      </c>
      <c r="J588" s="18">
        <v>0</v>
      </c>
      <c r="K588" s="18">
        <v>0</v>
      </c>
      <c r="L588" s="18">
        <f t="shared" si="59"/>
        <v>0</v>
      </c>
      <c r="M588" s="18">
        <v>0</v>
      </c>
      <c r="N588" s="18">
        <v>0</v>
      </c>
      <c r="O588" s="18">
        <v>0</v>
      </c>
      <c r="P588" s="18">
        <v>0</v>
      </c>
      <c r="Q588" s="18">
        <f t="shared" si="55"/>
        <v>0</v>
      </c>
      <c r="R588">
        <v>0</v>
      </c>
      <c r="S588">
        <v>0</v>
      </c>
      <c r="T588">
        <v>0</v>
      </c>
      <c r="U588">
        <v>0</v>
      </c>
      <c r="V588" s="18">
        <f t="shared" si="56"/>
        <v>0</v>
      </c>
      <c r="W588" s="18">
        <f t="shared" si="60"/>
        <v>0</v>
      </c>
      <c r="X588">
        <v>0</v>
      </c>
      <c r="Y588">
        <v>0</v>
      </c>
    </row>
    <row r="589" spans="1:25" x14ac:dyDescent="0.2">
      <c r="A589" s="18">
        <v>8369</v>
      </c>
      <c r="C589" s="18">
        <v>0</v>
      </c>
      <c r="D589" s="18">
        <v>0</v>
      </c>
      <c r="E589" s="18">
        <v>0</v>
      </c>
      <c r="F589" s="18">
        <f t="shared" si="57"/>
        <v>0</v>
      </c>
      <c r="G589" s="18">
        <v>0</v>
      </c>
      <c r="H589" s="18">
        <v>0</v>
      </c>
      <c r="I589" s="18">
        <f t="shared" si="58"/>
        <v>0</v>
      </c>
      <c r="J589" s="18">
        <v>0</v>
      </c>
      <c r="K589" s="18">
        <v>0</v>
      </c>
      <c r="L589" s="18">
        <f t="shared" si="59"/>
        <v>0</v>
      </c>
      <c r="M589" s="18">
        <v>0</v>
      </c>
      <c r="N589" s="18">
        <v>0</v>
      </c>
      <c r="O589" s="18">
        <v>0</v>
      </c>
      <c r="P589" s="18">
        <v>0</v>
      </c>
      <c r="Q589" s="18">
        <f t="shared" si="55"/>
        <v>0</v>
      </c>
      <c r="R589">
        <v>0</v>
      </c>
      <c r="S589">
        <v>0</v>
      </c>
      <c r="T589">
        <v>0</v>
      </c>
      <c r="U589">
        <v>0</v>
      </c>
      <c r="V589" s="18">
        <f t="shared" si="56"/>
        <v>0</v>
      </c>
      <c r="W589" s="18">
        <f t="shared" si="60"/>
        <v>0</v>
      </c>
      <c r="X589">
        <v>0</v>
      </c>
      <c r="Y589">
        <v>0</v>
      </c>
    </row>
    <row r="590" spans="1:25" x14ac:dyDescent="0.2">
      <c r="A590" s="18">
        <v>8419</v>
      </c>
      <c r="C590" s="18">
        <v>0</v>
      </c>
      <c r="D590" s="18">
        <v>0</v>
      </c>
      <c r="E590" s="18">
        <v>0</v>
      </c>
      <c r="F590" s="18">
        <f t="shared" si="57"/>
        <v>0</v>
      </c>
      <c r="G590" s="18">
        <v>0</v>
      </c>
      <c r="H590" s="18">
        <v>0</v>
      </c>
      <c r="I590" s="18">
        <f t="shared" si="58"/>
        <v>0</v>
      </c>
      <c r="J590" s="18">
        <v>0</v>
      </c>
      <c r="K590" s="18">
        <v>0</v>
      </c>
      <c r="L590" s="18">
        <f t="shared" si="59"/>
        <v>0</v>
      </c>
      <c r="M590" s="18">
        <v>0</v>
      </c>
      <c r="N590" s="18">
        <v>0</v>
      </c>
      <c r="O590" s="18">
        <v>0</v>
      </c>
      <c r="P590" s="18">
        <v>0</v>
      </c>
      <c r="Q590" s="18">
        <f t="shared" si="55"/>
        <v>0</v>
      </c>
      <c r="R590">
        <v>0</v>
      </c>
      <c r="S590">
        <v>0</v>
      </c>
      <c r="T590">
        <v>0</v>
      </c>
      <c r="U590">
        <v>0</v>
      </c>
      <c r="V590" s="18">
        <f t="shared" si="56"/>
        <v>0</v>
      </c>
      <c r="W590" s="18">
        <f t="shared" si="60"/>
        <v>0</v>
      </c>
      <c r="X590">
        <v>0</v>
      </c>
      <c r="Y590">
        <v>0</v>
      </c>
    </row>
    <row r="591" spans="1:25" x14ac:dyDescent="0.2">
      <c r="A591" s="18">
        <v>8425</v>
      </c>
      <c r="C591" s="18">
        <v>0</v>
      </c>
      <c r="D591" s="18">
        <v>0</v>
      </c>
      <c r="E591" s="18">
        <v>0</v>
      </c>
      <c r="F591" s="18">
        <f t="shared" si="57"/>
        <v>0</v>
      </c>
      <c r="G591" s="18">
        <v>0</v>
      </c>
      <c r="H591" s="18">
        <v>0</v>
      </c>
      <c r="I591" s="18">
        <f t="shared" si="58"/>
        <v>0</v>
      </c>
      <c r="J591" s="18">
        <v>0</v>
      </c>
      <c r="K591" s="18">
        <v>0</v>
      </c>
      <c r="L591" s="18">
        <f t="shared" si="59"/>
        <v>0</v>
      </c>
      <c r="M591" s="18">
        <v>0</v>
      </c>
      <c r="N591" s="18">
        <v>0</v>
      </c>
      <c r="O591" s="18">
        <v>0</v>
      </c>
      <c r="P591" s="18">
        <v>0</v>
      </c>
      <c r="Q591" s="18">
        <f t="shared" si="55"/>
        <v>0</v>
      </c>
      <c r="R591">
        <v>0</v>
      </c>
      <c r="S591">
        <v>0</v>
      </c>
      <c r="T591">
        <v>0</v>
      </c>
      <c r="U591">
        <v>0</v>
      </c>
      <c r="V591" s="18">
        <f t="shared" si="56"/>
        <v>0</v>
      </c>
      <c r="W591" s="18">
        <f t="shared" si="60"/>
        <v>0</v>
      </c>
      <c r="X591">
        <v>0</v>
      </c>
      <c r="Y591">
        <v>0</v>
      </c>
    </row>
    <row r="592" spans="1:25" x14ac:dyDescent="0.2">
      <c r="A592" s="18">
        <v>8445</v>
      </c>
      <c r="C592" s="18">
        <v>0</v>
      </c>
      <c r="D592" s="18">
        <v>0</v>
      </c>
      <c r="E592" s="18">
        <v>0</v>
      </c>
      <c r="F592" s="18">
        <f t="shared" si="57"/>
        <v>0</v>
      </c>
      <c r="G592" s="18">
        <v>0</v>
      </c>
      <c r="H592" s="18">
        <v>0</v>
      </c>
      <c r="I592" s="18">
        <f t="shared" si="58"/>
        <v>0</v>
      </c>
      <c r="J592" s="18">
        <v>0</v>
      </c>
      <c r="K592" s="18">
        <v>0</v>
      </c>
      <c r="L592" s="18">
        <f t="shared" si="59"/>
        <v>0</v>
      </c>
      <c r="M592" s="18">
        <v>0</v>
      </c>
      <c r="N592" s="18">
        <v>0</v>
      </c>
      <c r="O592" s="18">
        <v>0</v>
      </c>
      <c r="P592" s="18">
        <v>0</v>
      </c>
      <c r="Q592" s="18">
        <f t="shared" si="55"/>
        <v>0</v>
      </c>
      <c r="R592">
        <v>0</v>
      </c>
      <c r="S592">
        <v>0</v>
      </c>
      <c r="T592">
        <v>0</v>
      </c>
      <c r="U592">
        <v>0</v>
      </c>
      <c r="V592" s="18">
        <f t="shared" si="56"/>
        <v>0</v>
      </c>
      <c r="W592" s="18">
        <f t="shared" si="60"/>
        <v>0</v>
      </c>
      <c r="X592">
        <v>0</v>
      </c>
      <c r="Y592">
        <v>0</v>
      </c>
    </row>
    <row r="593" spans="1:25" x14ac:dyDescent="0.2">
      <c r="A593" s="18">
        <v>8434</v>
      </c>
      <c r="C593" s="18">
        <v>0</v>
      </c>
      <c r="D593" s="18">
        <v>0</v>
      </c>
      <c r="E593" s="18">
        <v>0</v>
      </c>
      <c r="F593" s="18">
        <f t="shared" si="57"/>
        <v>0</v>
      </c>
      <c r="G593" s="18">
        <v>0</v>
      </c>
      <c r="H593" s="18">
        <v>0</v>
      </c>
      <c r="I593" s="18">
        <f t="shared" si="58"/>
        <v>0</v>
      </c>
      <c r="J593" s="18">
        <v>0</v>
      </c>
      <c r="K593" s="18">
        <v>0</v>
      </c>
      <c r="L593" s="18">
        <f t="shared" si="59"/>
        <v>0</v>
      </c>
      <c r="M593" s="18">
        <v>0</v>
      </c>
      <c r="N593" s="18">
        <v>0</v>
      </c>
      <c r="O593" s="18">
        <v>0</v>
      </c>
      <c r="P593" s="18">
        <v>0</v>
      </c>
      <c r="Q593" s="18">
        <f t="shared" si="55"/>
        <v>0</v>
      </c>
      <c r="R593">
        <v>0</v>
      </c>
      <c r="S593">
        <v>0</v>
      </c>
      <c r="T593">
        <v>0</v>
      </c>
      <c r="U593">
        <v>0</v>
      </c>
      <c r="V593" s="18">
        <f t="shared" si="56"/>
        <v>0</v>
      </c>
      <c r="W593" s="18">
        <f t="shared" si="60"/>
        <v>0</v>
      </c>
      <c r="X593">
        <v>0</v>
      </c>
      <c r="Y593">
        <v>0</v>
      </c>
    </row>
    <row r="594" spans="1:25" x14ac:dyDescent="0.2">
      <c r="A594" s="18">
        <v>8421</v>
      </c>
      <c r="C594" s="18">
        <v>0</v>
      </c>
      <c r="D594" s="18">
        <v>0</v>
      </c>
      <c r="E594" s="18">
        <v>0</v>
      </c>
      <c r="F594" s="18">
        <f t="shared" si="57"/>
        <v>0</v>
      </c>
      <c r="G594" s="18">
        <v>0</v>
      </c>
      <c r="H594" s="18">
        <v>0</v>
      </c>
      <c r="I594" s="18">
        <f t="shared" si="58"/>
        <v>0</v>
      </c>
      <c r="J594" s="18">
        <v>0</v>
      </c>
      <c r="K594" s="18">
        <v>0</v>
      </c>
      <c r="L594" s="18">
        <f t="shared" si="59"/>
        <v>0</v>
      </c>
      <c r="M594" s="18">
        <v>0</v>
      </c>
      <c r="N594" s="18">
        <v>0</v>
      </c>
      <c r="O594" s="18">
        <v>0</v>
      </c>
      <c r="P594" s="18">
        <v>0</v>
      </c>
      <c r="Q594" s="18">
        <f t="shared" si="55"/>
        <v>0</v>
      </c>
      <c r="R594">
        <v>0</v>
      </c>
      <c r="S594">
        <v>0</v>
      </c>
      <c r="T594">
        <v>0</v>
      </c>
      <c r="U594">
        <v>0</v>
      </c>
      <c r="V594" s="18">
        <f t="shared" si="56"/>
        <v>0</v>
      </c>
      <c r="W594" s="18">
        <f t="shared" si="60"/>
        <v>0</v>
      </c>
      <c r="X594">
        <v>0</v>
      </c>
      <c r="Y594">
        <v>0</v>
      </c>
    </row>
    <row r="595" spans="1:25" x14ac:dyDescent="0.2">
      <c r="A595" s="18">
        <v>8447</v>
      </c>
      <c r="C595" s="18">
        <v>0</v>
      </c>
      <c r="D595" s="18">
        <v>0</v>
      </c>
      <c r="E595" s="18">
        <v>0</v>
      </c>
      <c r="F595" s="18">
        <f t="shared" si="57"/>
        <v>0</v>
      </c>
      <c r="G595" s="18">
        <v>0</v>
      </c>
      <c r="H595" s="18">
        <v>0</v>
      </c>
      <c r="I595" s="18">
        <f t="shared" si="58"/>
        <v>0</v>
      </c>
      <c r="J595" s="18">
        <v>0</v>
      </c>
      <c r="K595" s="18">
        <v>0</v>
      </c>
      <c r="L595" s="18">
        <f t="shared" si="59"/>
        <v>0</v>
      </c>
      <c r="M595" s="18">
        <v>0</v>
      </c>
      <c r="N595" s="18">
        <v>0</v>
      </c>
      <c r="O595" s="18">
        <v>0</v>
      </c>
      <c r="P595" s="18">
        <v>0</v>
      </c>
      <c r="Q595" s="18">
        <f t="shared" si="55"/>
        <v>0</v>
      </c>
      <c r="R595">
        <v>0</v>
      </c>
      <c r="S595">
        <v>0</v>
      </c>
      <c r="T595">
        <v>0</v>
      </c>
      <c r="U595">
        <v>0</v>
      </c>
      <c r="V595" s="18">
        <f t="shared" si="56"/>
        <v>0</v>
      </c>
      <c r="W595" s="18">
        <f t="shared" si="60"/>
        <v>0</v>
      </c>
      <c r="X595">
        <v>0</v>
      </c>
      <c r="Y595">
        <v>0</v>
      </c>
    </row>
    <row r="596" spans="1:25" x14ac:dyDescent="0.2">
      <c r="A596" s="18">
        <v>8423</v>
      </c>
      <c r="C596" s="18">
        <v>0</v>
      </c>
      <c r="D596" s="18">
        <v>0</v>
      </c>
      <c r="E596" s="18">
        <v>0</v>
      </c>
      <c r="F596" s="18">
        <f t="shared" si="57"/>
        <v>0</v>
      </c>
      <c r="G596" s="18">
        <v>0</v>
      </c>
      <c r="H596" s="18">
        <v>0</v>
      </c>
      <c r="I596" s="18">
        <f t="shared" si="58"/>
        <v>0</v>
      </c>
      <c r="J596" s="18">
        <v>0</v>
      </c>
      <c r="K596" s="18">
        <v>0</v>
      </c>
      <c r="L596" s="18">
        <f t="shared" si="59"/>
        <v>0</v>
      </c>
      <c r="M596" s="18">
        <v>0</v>
      </c>
      <c r="N596" s="18">
        <v>0</v>
      </c>
      <c r="O596" s="18">
        <v>0</v>
      </c>
      <c r="P596" s="18">
        <v>0</v>
      </c>
      <c r="Q596" s="18">
        <f t="shared" si="55"/>
        <v>0</v>
      </c>
      <c r="R596">
        <v>0</v>
      </c>
      <c r="S596">
        <v>0</v>
      </c>
      <c r="T596">
        <v>0</v>
      </c>
      <c r="U596">
        <v>0</v>
      </c>
      <c r="V596" s="18">
        <f t="shared" si="56"/>
        <v>0</v>
      </c>
      <c r="W596" s="18">
        <f t="shared" si="60"/>
        <v>0</v>
      </c>
      <c r="X596">
        <v>0</v>
      </c>
      <c r="Y596">
        <v>0</v>
      </c>
    </row>
    <row r="597" spans="1:25" x14ac:dyDescent="0.2">
      <c r="A597" s="18">
        <v>8417</v>
      </c>
      <c r="C597" s="18">
        <v>0</v>
      </c>
      <c r="D597" s="18">
        <v>0</v>
      </c>
      <c r="E597" s="18">
        <v>0</v>
      </c>
      <c r="F597" s="18">
        <f t="shared" si="57"/>
        <v>0</v>
      </c>
      <c r="G597" s="18">
        <v>0</v>
      </c>
      <c r="H597" s="18">
        <v>0</v>
      </c>
      <c r="I597" s="18">
        <f t="shared" si="58"/>
        <v>0</v>
      </c>
      <c r="J597" s="18">
        <v>0</v>
      </c>
      <c r="K597" s="18">
        <v>0</v>
      </c>
      <c r="L597" s="18">
        <f t="shared" si="59"/>
        <v>0</v>
      </c>
      <c r="M597" s="18">
        <v>0</v>
      </c>
      <c r="N597" s="18">
        <v>0</v>
      </c>
      <c r="O597" s="18">
        <v>0</v>
      </c>
      <c r="P597" s="18">
        <v>0</v>
      </c>
      <c r="Q597" s="18">
        <f t="shared" si="55"/>
        <v>0</v>
      </c>
      <c r="R597">
        <v>0</v>
      </c>
      <c r="S597">
        <v>0</v>
      </c>
      <c r="T597">
        <v>0</v>
      </c>
      <c r="U597">
        <v>0</v>
      </c>
      <c r="V597" s="18">
        <f t="shared" si="56"/>
        <v>0</v>
      </c>
      <c r="W597" s="18">
        <f t="shared" si="60"/>
        <v>0</v>
      </c>
      <c r="X597">
        <v>0</v>
      </c>
      <c r="Y597">
        <v>0</v>
      </c>
    </row>
    <row r="598" spans="1:25" x14ac:dyDescent="0.2">
      <c r="A598" s="18">
        <v>8436</v>
      </c>
      <c r="C598" s="18">
        <v>0</v>
      </c>
      <c r="D598" s="18">
        <v>0</v>
      </c>
      <c r="E598" s="18">
        <v>0</v>
      </c>
      <c r="F598" s="18">
        <f t="shared" si="57"/>
        <v>0</v>
      </c>
      <c r="G598" s="18">
        <v>0</v>
      </c>
      <c r="H598" s="18">
        <v>0</v>
      </c>
      <c r="I598" s="18">
        <f t="shared" si="58"/>
        <v>0</v>
      </c>
      <c r="J598" s="18">
        <v>0</v>
      </c>
      <c r="K598" s="18">
        <v>0</v>
      </c>
      <c r="L598" s="18">
        <f t="shared" si="59"/>
        <v>0</v>
      </c>
      <c r="M598" s="18">
        <v>0</v>
      </c>
      <c r="N598" s="18">
        <v>0</v>
      </c>
      <c r="O598" s="18">
        <v>0</v>
      </c>
      <c r="P598" s="18">
        <v>0</v>
      </c>
      <c r="Q598" s="18">
        <f t="shared" si="55"/>
        <v>0</v>
      </c>
      <c r="R598">
        <v>0</v>
      </c>
      <c r="S598">
        <v>0</v>
      </c>
      <c r="T598">
        <v>0</v>
      </c>
      <c r="U598">
        <v>0</v>
      </c>
      <c r="V598" s="18">
        <f t="shared" si="56"/>
        <v>0</v>
      </c>
      <c r="W598" s="18">
        <f t="shared" si="60"/>
        <v>0</v>
      </c>
      <c r="X598">
        <v>0</v>
      </c>
      <c r="Y598">
        <v>0</v>
      </c>
    </row>
    <row r="599" spans="1:25" x14ac:dyDescent="0.2">
      <c r="A599" s="18">
        <v>8459</v>
      </c>
      <c r="C599" s="18">
        <v>0</v>
      </c>
      <c r="D599" s="18">
        <v>0</v>
      </c>
      <c r="E599" s="18">
        <v>0</v>
      </c>
      <c r="F599" s="18">
        <f t="shared" si="57"/>
        <v>0</v>
      </c>
      <c r="G599" s="18">
        <v>0</v>
      </c>
      <c r="H599" s="18">
        <v>0</v>
      </c>
      <c r="I599" s="18">
        <f t="shared" si="58"/>
        <v>0</v>
      </c>
      <c r="J599" s="18">
        <v>0</v>
      </c>
      <c r="K599" s="18">
        <v>0</v>
      </c>
      <c r="L599" s="18">
        <f t="shared" si="59"/>
        <v>0</v>
      </c>
      <c r="M599" s="18">
        <v>0</v>
      </c>
      <c r="N599" s="18">
        <v>0</v>
      </c>
      <c r="O599" s="18">
        <v>0</v>
      </c>
      <c r="P599" s="18">
        <v>0</v>
      </c>
      <c r="Q599" s="18">
        <f t="shared" si="55"/>
        <v>0</v>
      </c>
      <c r="R599">
        <v>0</v>
      </c>
      <c r="S599">
        <v>0</v>
      </c>
      <c r="T599">
        <v>0</v>
      </c>
      <c r="U599">
        <v>0</v>
      </c>
      <c r="V599" s="18">
        <f t="shared" si="56"/>
        <v>0</v>
      </c>
      <c r="W599" s="18">
        <f t="shared" si="60"/>
        <v>0</v>
      </c>
      <c r="X599">
        <v>0</v>
      </c>
      <c r="Y599">
        <v>0</v>
      </c>
    </row>
    <row r="600" spans="1:25" x14ac:dyDescent="0.2">
      <c r="A600" s="18">
        <v>8476</v>
      </c>
      <c r="C600" s="18">
        <v>0</v>
      </c>
      <c r="D600" s="18">
        <v>0</v>
      </c>
      <c r="E600" s="18">
        <v>0</v>
      </c>
      <c r="F600" s="18">
        <f t="shared" si="57"/>
        <v>0</v>
      </c>
      <c r="G600" s="18">
        <v>0</v>
      </c>
      <c r="H600" s="18">
        <v>0</v>
      </c>
      <c r="I600" s="18">
        <f t="shared" si="58"/>
        <v>0</v>
      </c>
      <c r="J600" s="18">
        <v>0</v>
      </c>
      <c r="K600" s="18">
        <v>0</v>
      </c>
      <c r="L600" s="18">
        <f t="shared" si="59"/>
        <v>0</v>
      </c>
      <c r="M600" s="18">
        <v>0</v>
      </c>
      <c r="N600" s="18">
        <v>0</v>
      </c>
      <c r="O600" s="18">
        <v>0</v>
      </c>
      <c r="P600" s="18">
        <v>0</v>
      </c>
      <c r="Q600" s="18">
        <f t="shared" si="55"/>
        <v>0</v>
      </c>
      <c r="R600">
        <v>0</v>
      </c>
      <c r="S600">
        <v>0</v>
      </c>
      <c r="T600">
        <v>0</v>
      </c>
      <c r="U600">
        <v>0</v>
      </c>
      <c r="V600" s="18">
        <f t="shared" si="56"/>
        <v>0</v>
      </c>
      <c r="W600" s="18">
        <f t="shared" si="60"/>
        <v>0</v>
      </c>
      <c r="X600">
        <v>0</v>
      </c>
      <c r="Y600">
        <v>0</v>
      </c>
    </row>
    <row r="601" spans="1:25" x14ac:dyDescent="0.2">
      <c r="A601" s="18">
        <v>8428</v>
      </c>
      <c r="C601" s="18">
        <v>0</v>
      </c>
      <c r="D601" s="18">
        <v>0</v>
      </c>
      <c r="E601" s="18">
        <v>0</v>
      </c>
      <c r="F601" s="18">
        <f t="shared" si="57"/>
        <v>0</v>
      </c>
      <c r="G601" s="18">
        <v>0</v>
      </c>
      <c r="H601" s="18">
        <v>0</v>
      </c>
      <c r="I601" s="18">
        <f t="shared" si="58"/>
        <v>0</v>
      </c>
      <c r="J601" s="18">
        <v>0</v>
      </c>
      <c r="K601" s="18">
        <v>0</v>
      </c>
      <c r="L601" s="18">
        <f t="shared" si="59"/>
        <v>0</v>
      </c>
      <c r="M601" s="18">
        <v>0</v>
      </c>
      <c r="N601" s="18">
        <v>0</v>
      </c>
      <c r="O601" s="18">
        <v>0</v>
      </c>
      <c r="P601" s="18">
        <v>0</v>
      </c>
      <c r="Q601" s="18">
        <f t="shared" si="55"/>
        <v>0</v>
      </c>
      <c r="R601">
        <v>0</v>
      </c>
      <c r="S601">
        <v>0</v>
      </c>
      <c r="T601">
        <v>0</v>
      </c>
      <c r="U601">
        <v>0</v>
      </c>
      <c r="V601" s="18">
        <f t="shared" si="56"/>
        <v>0</v>
      </c>
      <c r="W601" s="18">
        <f t="shared" si="60"/>
        <v>0</v>
      </c>
      <c r="X601">
        <v>0</v>
      </c>
      <c r="Y601">
        <v>0</v>
      </c>
    </row>
    <row r="602" spans="1:25" x14ac:dyDescent="0.2">
      <c r="A602" s="18">
        <v>8461</v>
      </c>
      <c r="C602" s="18">
        <v>0</v>
      </c>
      <c r="D602" s="18">
        <v>0</v>
      </c>
      <c r="E602" s="18">
        <v>0</v>
      </c>
      <c r="F602" s="18">
        <f t="shared" si="57"/>
        <v>0</v>
      </c>
      <c r="G602" s="18">
        <v>0</v>
      </c>
      <c r="H602" s="18">
        <v>0</v>
      </c>
      <c r="I602" s="18">
        <f t="shared" si="58"/>
        <v>0</v>
      </c>
      <c r="J602" s="18">
        <v>0</v>
      </c>
      <c r="K602" s="18">
        <v>0</v>
      </c>
      <c r="L602" s="18">
        <f t="shared" si="59"/>
        <v>0</v>
      </c>
      <c r="M602" s="18">
        <v>0</v>
      </c>
      <c r="N602" s="18">
        <v>0</v>
      </c>
      <c r="O602" s="18">
        <v>0</v>
      </c>
      <c r="P602" s="18">
        <v>0</v>
      </c>
      <c r="Q602" s="18">
        <f t="shared" si="55"/>
        <v>0</v>
      </c>
      <c r="R602">
        <v>0</v>
      </c>
      <c r="S602">
        <v>0</v>
      </c>
      <c r="T602">
        <v>0</v>
      </c>
      <c r="U602">
        <v>0</v>
      </c>
      <c r="V602" s="18">
        <f t="shared" si="56"/>
        <v>0</v>
      </c>
      <c r="W602" s="18">
        <f t="shared" si="60"/>
        <v>0</v>
      </c>
      <c r="X602">
        <v>0</v>
      </c>
      <c r="Y602">
        <v>0</v>
      </c>
    </row>
    <row r="603" spans="1:25" x14ac:dyDescent="0.2">
      <c r="A603" s="18">
        <v>8517</v>
      </c>
      <c r="C603" s="18">
        <v>0</v>
      </c>
      <c r="D603" s="18">
        <v>0</v>
      </c>
      <c r="E603" s="18">
        <v>0</v>
      </c>
      <c r="F603" s="18">
        <f t="shared" si="57"/>
        <v>0</v>
      </c>
      <c r="G603" s="18">
        <v>0</v>
      </c>
      <c r="H603" s="18">
        <v>0</v>
      </c>
      <c r="I603" s="18">
        <f t="shared" si="58"/>
        <v>0</v>
      </c>
      <c r="J603" s="18">
        <v>0</v>
      </c>
      <c r="K603" s="18">
        <v>0</v>
      </c>
      <c r="L603" s="18">
        <f t="shared" si="59"/>
        <v>0</v>
      </c>
      <c r="M603" s="18">
        <v>0</v>
      </c>
      <c r="N603" s="18">
        <v>0</v>
      </c>
      <c r="O603" s="18">
        <v>0</v>
      </c>
      <c r="P603" s="18">
        <v>0</v>
      </c>
      <c r="Q603" s="18">
        <f t="shared" si="55"/>
        <v>0</v>
      </c>
      <c r="R603">
        <v>0</v>
      </c>
      <c r="S603">
        <v>0</v>
      </c>
      <c r="T603">
        <v>0</v>
      </c>
      <c r="U603">
        <v>0</v>
      </c>
      <c r="V603" s="18">
        <f t="shared" si="56"/>
        <v>0</v>
      </c>
      <c r="W603" s="18">
        <f t="shared" si="60"/>
        <v>0</v>
      </c>
      <c r="X603">
        <v>0</v>
      </c>
      <c r="Y603">
        <v>0</v>
      </c>
    </row>
    <row r="604" spans="1:25" x14ac:dyDescent="0.2">
      <c r="A604" s="18">
        <v>8522</v>
      </c>
      <c r="C604" s="18">
        <v>0</v>
      </c>
      <c r="D604" s="18">
        <v>0</v>
      </c>
      <c r="E604" s="18">
        <v>0</v>
      </c>
      <c r="F604" s="18">
        <f t="shared" si="57"/>
        <v>0</v>
      </c>
      <c r="G604" s="18">
        <v>0</v>
      </c>
      <c r="H604" s="18">
        <v>0</v>
      </c>
      <c r="I604" s="18">
        <f t="shared" si="58"/>
        <v>0</v>
      </c>
      <c r="J604" s="18">
        <v>0</v>
      </c>
      <c r="K604" s="18">
        <v>0</v>
      </c>
      <c r="L604" s="18">
        <f t="shared" si="59"/>
        <v>0</v>
      </c>
      <c r="M604" s="18">
        <v>0</v>
      </c>
      <c r="N604" s="18">
        <v>0</v>
      </c>
      <c r="O604" s="18">
        <v>0</v>
      </c>
      <c r="P604" s="18">
        <v>0</v>
      </c>
      <c r="Q604" s="18">
        <f t="shared" si="55"/>
        <v>0</v>
      </c>
      <c r="R604">
        <v>0</v>
      </c>
      <c r="S604">
        <v>0</v>
      </c>
      <c r="T604">
        <v>0</v>
      </c>
      <c r="U604">
        <v>0</v>
      </c>
      <c r="V604" s="18">
        <f t="shared" si="56"/>
        <v>0</v>
      </c>
      <c r="W604" s="18">
        <f t="shared" si="60"/>
        <v>0</v>
      </c>
      <c r="X604">
        <v>0</v>
      </c>
      <c r="Y604">
        <v>0</v>
      </c>
    </row>
    <row r="605" spans="1:25" x14ac:dyDescent="0.2">
      <c r="A605" s="18">
        <v>8525</v>
      </c>
      <c r="C605" s="18">
        <v>0</v>
      </c>
      <c r="D605" s="18">
        <v>0</v>
      </c>
      <c r="E605" s="18">
        <v>0</v>
      </c>
      <c r="F605" s="18">
        <f t="shared" si="57"/>
        <v>0</v>
      </c>
      <c r="G605" s="18">
        <v>0</v>
      </c>
      <c r="H605" s="18">
        <v>0</v>
      </c>
      <c r="I605" s="18">
        <f t="shared" si="58"/>
        <v>0</v>
      </c>
      <c r="J605" s="18">
        <v>0</v>
      </c>
      <c r="K605" s="18">
        <v>0</v>
      </c>
      <c r="L605" s="18">
        <f t="shared" si="59"/>
        <v>0</v>
      </c>
      <c r="M605" s="18">
        <v>0</v>
      </c>
      <c r="N605" s="18">
        <v>0</v>
      </c>
      <c r="O605" s="18">
        <v>0</v>
      </c>
      <c r="P605" s="18">
        <v>0</v>
      </c>
      <c r="Q605" s="18">
        <f t="shared" si="55"/>
        <v>0</v>
      </c>
      <c r="R605">
        <v>0</v>
      </c>
      <c r="S605">
        <v>0</v>
      </c>
      <c r="T605">
        <v>0</v>
      </c>
      <c r="U605">
        <v>0</v>
      </c>
      <c r="V605" s="18">
        <f t="shared" si="56"/>
        <v>0</v>
      </c>
      <c r="W605" s="18">
        <f t="shared" si="60"/>
        <v>0</v>
      </c>
      <c r="X605">
        <v>0</v>
      </c>
      <c r="Y605">
        <v>0</v>
      </c>
    </row>
    <row r="606" spans="1:25" x14ac:dyDescent="0.2">
      <c r="A606" s="18">
        <v>8533</v>
      </c>
      <c r="C606" s="18">
        <v>0</v>
      </c>
      <c r="D606" s="18">
        <v>0</v>
      </c>
      <c r="E606" s="18">
        <v>0</v>
      </c>
      <c r="F606" s="18">
        <f t="shared" si="57"/>
        <v>0</v>
      </c>
      <c r="G606" s="18">
        <v>0</v>
      </c>
      <c r="H606" s="18">
        <v>0</v>
      </c>
      <c r="I606" s="18">
        <f t="shared" si="58"/>
        <v>0</v>
      </c>
      <c r="J606" s="18">
        <v>0</v>
      </c>
      <c r="K606" s="18">
        <v>0</v>
      </c>
      <c r="L606" s="18">
        <f t="shared" si="59"/>
        <v>0</v>
      </c>
      <c r="M606" s="18">
        <v>0</v>
      </c>
      <c r="N606" s="18">
        <v>0</v>
      </c>
      <c r="O606" s="18">
        <v>0</v>
      </c>
      <c r="P606" s="18">
        <v>0</v>
      </c>
      <c r="Q606" s="18">
        <f t="shared" si="55"/>
        <v>0</v>
      </c>
      <c r="R606">
        <v>0</v>
      </c>
      <c r="S606">
        <v>0</v>
      </c>
      <c r="T606">
        <v>0</v>
      </c>
      <c r="U606">
        <v>0</v>
      </c>
      <c r="V606" s="18">
        <f t="shared" si="56"/>
        <v>0</v>
      </c>
      <c r="W606" s="18">
        <f t="shared" si="60"/>
        <v>0</v>
      </c>
      <c r="X606">
        <v>0</v>
      </c>
      <c r="Y606">
        <v>0</v>
      </c>
    </row>
    <row r="607" spans="1:25" x14ac:dyDescent="0.2">
      <c r="A607" s="18">
        <v>8534</v>
      </c>
      <c r="C607" s="18">
        <v>0</v>
      </c>
      <c r="D607" s="18">
        <v>0</v>
      </c>
      <c r="E607" s="18">
        <v>0</v>
      </c>
      <c r="F607" s="18">
        <f t="shared" si="57"/>
        <v>0</v>
      </c>
      <c r="G607" s="18">
        <v>0</v>
      </c>
      <c r="H607" s="18">
        <v>0</v>
      </c>
      <c r="I607" s="18">
        <f t="shared" si="58"/>
        <v>0</v>
      </c>
      <c r="J607" s="18">
        <v>0</v>
      </c>
      <c r="K607" s="18">
        <v>0</v>
      </c>
      <c r="L607" s="18">
        <f t="shared" si="59"/>
        <v>0</v>
      </c>
      <c r="M607" s="18">
        <v>0</v>
      </c>
      <c r="N607" s="18">
        <v>0</v>
      </c>
      <c r="O607" s="18">
        <v>0</v>
      </c>
      <c r="P607" s="18">
        <v>0</v>
      </c>
      <c r="Q607" s="18">
        <f t="shared" ref="Q607:Q670" si="61">SUM(M607:P607)</f>
        <v>0</v>
      </c>
      <c r="R607">
        <v>0</v>
      </c>
      <c r="S607">
        <v>0</v>
      </c>
      <c r="T607">
        <v>0</v>
      </c>
      <c r="U607">
        <v>0</v>
      </c>
      <c r="V607" s="18">
        <f t="shared" si="56"/>
        <v>0</v>
      </c>
      <c r="W607" s="18">
        <f t="shared" si="60"/>
        <v>0</v>
      </c>
      <c r="X607">
        <v>0</v>
      </c>
      <c r="Y607">
        <v>0</v>
      </c>
    </row>
    <row r="608" spans="1:25" x14ac:dyDescent="0.2">
      <c r="A608" s="18">
        <v>8563</v>
      </c>
      <c r="C608" s="18">
        <v>0</v>
      </c>
      <c r="D608" s="18">
        <v>0</v>
      </c>
      <c r="E608" s="18">
        <v>0</v>
      </c>
      <c r="F608" s="18">
        <f t="shared" si="57"/>
        <v>0</v>
      </c>
      <c r="G608" s="18">
        <v>0</v>
      </c>
      <c r="H608" s="18">
        <v>0</v>
      </c>
      <c r="I608" s="18">
        <f t="shared" si="58"/>
        <v>0</v>
      </c>
      <c r="J608" s="18">
        <v>0</v>
      </c>
      <c r="K608" s="18">
        <v>0</v>
      </c>
      <c r="L608" s="18">
        <f t="shared" si="59"/>
        <v>0</v>
      </c>
      <c r="M608" s="18">
        <v>0</v>
      </c>
      <c r="N608" s="18">
        <v>0</v>
      </c>
      <c r="O608" s="18">
        <v>0</v>
      </c>
      <c r="P608" s="18">
        <v>0</v>
      </c>
      <c r="Q608" s="18">
        <f t="shared" si="61"/>
        <v>0</v>
      </c>
      <c r="R608">
        <v>0</v>
      </c>
      <c r="S608">
        <v>0</v>
      </c>
      <c r="T608">
        <v>0</v>
      </c>
      <c r="U608">
        <v>0</v>
      </c>
      <c r="V608" s="18">
        <f t="shared" si="56"/>
        <v>0</v>
      </c>
      <c r="W608" s="18">
        <f t="shared" si="60"/>
        <v>0</v>
      </c>
      <c r="X608">
        <v>0</v>
      </c>
      <c r="Y608">
        <v>0</v>
      </c>
    </row>
    <row r="609" spans="1:25" x14ac:dyDescent="0.2">
      <c r="A609" s="18">
        <v>8477</v>
      </c>
      <c r="C609" s="18">
        <v>0</v>
      </c>
      <c r="D609" s="18">
        <v>0</v>
      </c>
      <c r="E609" s="18">
        <v>0</v>
      </c>
      <c r="F609" s="18">
        <f t="shared" si="57"/>
        <v>0</v>
      </c>
      <c r="G609" s="18">
        <v>0</v>
      </c>
      <c r="H609" s="18">
        <v>0</v>
      </c>
      <c r="I609" s="18">
        <f t="shared" si="58"/>
        <v>0</v>
      </c>
      <c r="J609" s="18">
        <v>0</v>
      </c>
      <c r="K609" s="18">
        <v>0</v>
      </c>
      <c r="L609" s="18">
        <f t="shared" si="59"/>
        <v>0</v>
      </c>
      <c r="M609" s="18">
        <v>0</v>
      </c>
      <c r="N609" s="18">
        <v>0</v>
      </c>
      <c r="O609" s="18">
        <v>0</v>
      </c>
      <c r="P609" s="18">
        <v>0</v>
      </c>
      <c r="Q609" s="18">
        <f t="shared" si="61"/>
        <v>0</v>
      </c>
      <c r="R609">
        <v>0</v>
      </c>
      <c r="S609">
        <v>0</v>
      </c>
      <c r="T609">
        <v>0</v>
      </c>
      <c r="U609">
        <v>0</v>
      </c>
      <c r="V609" s="18">
        <f t="shared" si="56"/>
        <v>0</v>
      </c>
      <c r="W609" s="18">
        <f t="shared" si="60"/>
        <v>0</v>
      </c>
      <c r="X609">
        <v>0</v>
      </c>
      <c r="Y609">
        <v>0</v>
      </c>
    </row>
    <row r="610" spans="1:25" x14ac:dyDescent="0.2">
      <c r="A610" s="18">
        <v>8584</v>
      </c>
      <c r="C610" s="18">
        <v>0</v>
      </c>
      <c r="D610" s="18">
        <v>0</v>
      </c>
      <c r="E610" s="18">
        <v>0</v>
      </c>
      <c r="F610" s="18">
        <f t="shared" si="57"/>
        <v>0</v>
      </c>
      <c r="G610" s="18">
        <v>0</v>
      </c>
      <c r="H610" s="18">
        <v>0</v>
      </c>
      <c r="I610" s="18">
        <f t="shared" si="58"/>
        <v>0</v>
      </c>
      <c r="J610" s="18">
        <v>0</v>
      </c>
      <c r="K610" s="18">
        <v>0</v>
      </c>
      <c r="L610" s="18">
        <f t="shared" si="59"/>
        <v>0</v>
      </c>
      <c r="M610" s="18">
        <v>0</v>
      </c>
      <c r="N610" s="18">
        <v>0</v>
      </c>
      <c r="O610" s="18">
        <v>0</v>
      </c>
      <c r="P610" s="18">
        <v>0</v>
      </c>
      <c r="Q610" s="18">
        <f t="shared" si="61"/>
        <v>0</v>
      </c>
      <c r="R610">
        <v>0</v>
      </c>
      <c r="S610">
        <v>0</v>
      </c>
      <c r="T610">
        <v>0</v>
      </c>
      <c r="U610">
        <v>0</v>
      </c>
      <c r="V610" s="18">
        <f t="shared" si="56"/>
        <v>0</v>
      </c>
      <c r="W610" s="18">
        <f t="shared" si="60"/>
        <v>0</v>
      </c>
      <c r="X610">
        <v>0</v>
      </c>
      <c r="Y610">
        <v>0</v>
      </c>
    </row>
    <row r="611" spans="1:25" x14ac:dyDescent="0.2">
      <c r="A611" s="18">
        <v>8527</v>
      </c>
      <c r="C611" s="18">
        <v>0</v>
      </c>
      <c r="D611" s="18">
        <v>0</v>
      </c>
      <c r="E611" s="18">
        <v>0</v>
      </c>
      <c r="F611" s="18">
        <f t="shared" si="57"/>
        <v>0</v>
      </c>
      <c r="G611" s="18">
        <v>0</v>
      </c>
      <c r="H611" s="18">
        <v>0</v>
      </c>
      <c r="I611" s="18">
        <f t="shared" si="58"/>
        <v>0</v>
      </c>
      <c r="J611" s="18">
        <v>0</v>
      </c>
      <c r="K611" s="18">
        <v>0</v>
      </c>
      <c r="L611" s="18">
        <f t="shared" si="59"/>
        <v>0</v>
      </c>
      <c r="M611" s="18">
        <v>0</v>
      </c>
      <c r="N611" s="18">
        <v>0</v>
      </c>
      <c r="O611" s="18">
        <v>0</v>
      </c>
      <c r="P611" s="18">
        <v>0</v>
      </c>
      <c r="Q611" s="18">
        <f t="shared" si="61"/>
        <v>0</v>
      </c>
      <c r="R611">
        <v>0</v>
      </c>
      <c r="S611">
        <v>0</v>
      </c>
      <c r="T611">
        <v>0</v>
      </c>
      <c r="U611">
        <v>0</v>
      </c>
      <c r="V611" s="18">
        <f t="shared" si="56"/>
        <v>0</v>
      </c>
      <c r="W611" s="18">
        <f t="shared" si="60"/>
        <v>0</v>
      </c>
      <c r="X611">
        <v>0</v>
      </c>
      <c r="Y611">
        <v>0</v>
      </c>
    </row>
    <row r="612" spans="1:25" x14ac:dyDescent="0.2">
      <c r="A612" s="18">
        <v>8595</v>
      </c>
      <c r="C612" s="18">
        <v>0</v>
      </c>
      <c r="D612" s="18">
        <v>0</v>
      </c>
      <c r="E612" s="18">
        <v>0</v>
      </c>
      <c r="F612" s="18">
        <f t="shared" si="57"/>
        <v>0</v>
      </c>
      <c r="G612" s="18">
        <v>0</v>
      </c>
      <c r="H612" s="18">
        <v>0</v>
      </c>
      <c r="I612" s="18">
        <f t="shared" si="58"/>
        <v>0</v>
      </c>
      <c r="J612" s="18">
        <v>0</v>
      </c>
      <c r="K612" s="18">
        <v>0</v>
      </c>
      <c r="L612" s="18">
        <f t="shared" si="59"/>
        <v>0</v>
      </c>
      <c r="M612" s="18">
        <v>0</v>
      </c>
      <c r="N612" s="18">
        <v>0</v>
      </c>
      <c r="O612" s="18">
        <v>0</v>
      </c>
      <c r="P612" s="18">
        <v>0</v>
      </c>
      <c r="Q612" s="18">
        <f t="shared" si="61"/>
        <v>0</v>
      </c>
      <c r="R612">
        <v>0</v>
      </c>
      <c r="S612">
        <v>0</v>
      </c>
      <c r="T612">
        <v>0</v>
      </c>
      <c r="U612">
        <v>0</v>
      </c>
      <c r="V612" s="18">
        <f t="shared" si="56"/>
        <v>0</v>
      </c>
      <c r="W612" s="18">
        <f t="shared" si="60"/>
        <v>0</v>
      </c>
      <c r="X612">
        <v>0</v>
      </c>
      <c r="Y612">
        <v>0</v>
      </c>
    </row>
    <row r="613" spans="1:25" x14ac:dyDescent="0.2">
      <c r="A613" s="18">
        <v>8610</v>
      </c>
      <c r="C613" s="18">
        <v>0</v>
      </c>
      <c r="D613" s="18">
        <v>0</v>
      </c>
      <c r="E613" s="18">
        <v>0</v>
      </c>
      <c r="F613" s="18">
        <f t="shared" si="57"/>
        <v>0</v>
      </c>
      <c r="G613" s="18">
        <v>0</v>
      </c>
      <c r="H613" s="18">
        <v>0</v>
      </c>
      <c r="I613" s="18">
        <f t="shared" si="58"/>
        <v>0</v>
      </c>
      <c r="J613" s="18">
        <v>0</v>
      </c>
      <c r="K613" s="18">
        <v>0</v>
      </c>
      <c r="L613" s="18">
        <f t="shared" si="59"/>
        <v>0</v>
      </c>
      <c r="M613" s="18">
        <v>0</v>
      </c>
      <c r="N613" s="18">
        <v>0</v>
      </c>
      <c r="O613" s="18">
        <v>0</v>
      </c>
      <c r="P613" s="18">
        <v>0</v>
      </c>
      <c r="Q613" s="18">
        <f t="shared" si="61"/>
        <v>0</v>
      </c>
      <c r="R613">
        <v>0</v>
      </c>
      <c r="S613">
        <v>0</v>
      </c>
      <c r="T613">
        <v>0</v>
      </c>
      <c r="U613">
        <v>0</v>
      </c>
      <c r="V613" s="18">
        <f t="shared" si="56"/>
        <v>0</v>
      </c>
      <c r="W613" s="18">
        <f t="shared" si="60"/>
        <v>0</v>
      </c>
      <c r="X613">
        <v>0</v>
      </c>
      <c r="Y613">
        <v>0</v>
      </c>
    </row>
    <row r="614" spans="1:25" x14ac:dyDescent="0.2">
      <c r="A614" s="18">
        <v>8617</v>
      </c>
      <c r="C614" s="18">
        <v>0</v>
      </c>
      <c r="D614" s="18">
        <v>0</v>
      </c>
      <c r="E614" s="18">
        <v>0</v>
      </c>
      <c r="F614" s="18">
        <f t="shared" si="57"/>
        <v>0</v>
      </c>
      <c r="G614" s="18">
        <v>0</v>
      </c>
      <c r="H614" s="18">
        <v>0</v>
      </c>
      <c r="I614" s="18">
        <f t="shared" si="58"/>
        <v>0</v>
      </c>
      <c r="J614" s="18">
        <v>0</v>
      </c>
      <c r="K614" s="18">
        <v>0</v>
      </c>
      <c r="L614" s="18">
        <f t="shared" si="59"/>
        <v>0</v>
      </c>
      <c r="M614" s="18">
        <v>0</v>
      </c>
      <c r="N614" s="18">
        <v>0</v>
      </c>
      <c r="O614" s="18">
        <v>0</v>
      </c>
      <c r="P614" s="18">
        <v>0</v>
      </c>
      <c r="Q614" s="18">
        <f t="shared" si="61"/>
        <v>0</v>
      </c>
      <c r="R614">
        <v>0</v>
      </c>
      <c r="S614">
        <v>0</v>
      </c>
      <c r="T614">
        <v>0</v>
      </c>
      <c r="U614">
        <v>0</v>
      </c>
      <c r="V614" s="18">
        <f t="shared" si="56"/>
        <v>0</v>
      </c>
      <c r="W614" s="18">
        <f t="shared" si="60"/>
        <v>0</v>
      </c>
      <c r="X614">
        <v>0</v>
      </c>
      <c r="Y614">
        <v>0</v>
      </c>
    </row>
    <row r="615" spans="1:25" x14ac:dyDescent="0.2">
      <c r="A615" s="18">
        <v>8618</v>
      </c>
      <c r="C615" s="18">
        <v>0</v>
      </c>
      <c r="D615" s="18">
        <v>0</v>
      </c>
      <c r="E615" s="18">
        <v>0</v>
      </c>
      <c r="F615" s="18">
        <f t="shared" si="57"/>
        <v>0</v>
      </c>
      <c r="G615" s="18">
        <v>0</v>
      </c>
      <c r="H615" s="18">
        <v>34.358333333333341</v>
      </c>
      <c r="I615" s="18">
        <f t="shared" si="58"/>
        <v>34.358333333333341</v>
      </c>
      <c r="J615" s="18">
        <v>0</v>
      </c>
      <c r="K615" s="18">
        <v>0</v>
      </c>
      <c r="L615" s="18">
        <f t="shared" si="59"/>
        <v>0</v>
      </c>
      <c r="M615" s="18">
        <v>0</v>
      </c>
      <c r="N615" s="18">
        <v>0</v>
      </c>
      <c r="O615" s="18">
        <v>0</v>
      </c>
      <c r="P615" s="18">
        <v>0</v>
      </c>
      <c r="Q615" s="18">
        <f t="shared" si="61"/>
        <v>0</v>
      </c>
      <c r="R615">
        <v>0</v>
      </c>
      <c r="S615">
        <v>0</v>
      </c>
      <c r="T615">
        <v>0</v>
      </c>
      <c r="U615">
        <v>0</v>
      </c>
      <c r="V615" s="18">
        <f t="shared" si="56"/>
        <v>0</v>
      </c>
      <c r="W615" s="18">
        <f t="shared" si="60"/>
        <v>0</v>
      </c>
      <c r="X615">
        <v>0</v>
      </c>
      <c r="Y615">
        <v>0</v>
      </c>
    </row>
    <row r="616" spans="1:25" x14ac:dyDescent="0.2">
      <c r="A616" s="18">
        <v>8537</v>
      </c>
      <c r="C616" s="18">
        <v>0</v>
      </c>
      <c r="D616" s="18">
        <v>0</v>
      </c>
      <c r="E616" s="18">
        <v>0</v>
      </c>
      <c r="F616" s="18">
        <f t="shared" si="57"/>
        <v>0</v>
      </c>
      <c r="G616" s="18">
        <v>0</v>
      </c>
      <c r="H616" s="18">
        <v>0</v>
      </c>
      <c r="I616" s="18">
        <f t="shared" si="58"/>
        <v>0</v>
      </c>
      <c r="J616" s="18">
        <v>0</v>
      </c>
      <c r="K616" s="18">
        <v>0</v>
      </c>
      <c r="L616" s="18">
        <f t="shared" si="59"/>
        <v>0</v>
      </c>
      <c r="M616" s="18">
        <v>0</v>
      </c>
      <c r="N616" s="18">
        <v>0</v>
      </c>
      <c r="O616" s="18">
        <v>0</v>
      </c>
      <c r="P616" s="18">
        <v>0</v>
      </c>
      <c r="Q616" s="18">
        <f t="shared" si="61"/>
        <v>0</v>
      </c>
      <c r="R616">
        <v>0</v>
      </c>
      <c r="S616">
        <v>0</v>
      </c>
      <c r="T616">
        <v>0</v>
      </c>
      <c r="U616">
        <v>0</v>
      </c>
      <c r="V616" s="18">
        <f t="shared" si="56"/>
        <v>0</v>
      </c>
      <c r="W616" s="18">
        <f t="shared" si="60"/>
        <v>0</v>
      </c>
      <c r="X616">
        <v>0</v>
      </c>
      <c r="Y616">
        <v>0</v>
      </c>
    </row>
    <row r="617" spans="1:25" x14ac:dyDescent="0.2">
      <c r="A617" s="18">
        <v>8632</v>
      </c>
      <c r="C617" s="18">
        <v>0</v>
      </c>
      <c r="D617" s="18">
        <v>0</v>
      </c>
      <c r="E617" s="18">
        <v>0</v>
      </c>
      <c r="F617" s="18">
        <f t="shared" si="57"/>
        <v>0</v>
      </c>
      <c r="G617" s="18">
        <v>0</v>
      </c>
      <c r="H617" s="18">
        <v>0</v>
      </c>
      <c r="I617" s="18">
        <f t="shared" si="58"/>
        <v>0</v>
      </c>
      <c r="J617" s="18">
        <v>0</v>
      </c>
      <c r="K617" s="18">
        <v>0</v>
      </c>
      <c r="L617" s="18">
        <f t="shared" si="59"/>
        <v>0</v>
      </c>
      <c r="M617" s="18">
        <v>0</v>
      </c>
      <c r="N617" s="18">
        <v>0</v>
      </c>
      <c r="O617" s="18">
        <v>0</v>
      </c>
      <c r="P617" s="18">
        <v>0</v>
      </c>
      <c r="Q617" s="18">
        <f t="shared" si="61"/>
        <v>0</v>
      </c>
      <c r="R617">
        <v>0</v>
      </c>
      <c r="S617">
        <v>0</v>
      </c>
      <c r="T617">
        <v>0</v>
      </c>
      <c r="U617">
        <v>0</v>
      </c>
      <c r="V617" s="18">
        <f t="shared" si="56"/>
        <v>0</v>
      </c>
      <c r="W617" s="18">
        <f t="shared" si="60"/>
        <v>0</v>
      </c>
      <c r="X617">
        <v>0</v>
      </c>
      <c r="Y617">
        <v>0</v>
      </c>
    </row>
    <row r="618" spans="1:25" x14ac:dyDescent="0.2">
      <c r="A618" s="18">
        <v>8546</v>
      </c>
      <c r="C618" s="18">
        <v>0</v>
      </c>
      <c r="D618" s="18">
        <v>0</v>
      </c>
      <c r="E618" s="18">
        <v>0</v>
      </c>
      <c r="F618" s="18">
        <f t="shared" si="57"/>
        <v>0</v>
      </c>
      <c r="G618" s="18">
        <v>0</v>
      </c>
      <c r="H618" s="18">
        <v>0</v>
      </c>
      <c r="I618" s="18">
        <f t="shared" si="58"/>
        <v>0</v>
      </c>
      <c r="J618" s="18">
        <v>0</v>
      </c>
      <c r="K618" s="18">
        <v>0</v>
      </c>
      <c r="L618" s="18">
        <f t="shared" si="59"/>
        <v>0</v>
      </c>
      <c r="M618" s="18">
        <v>0</v>
      </c>
      <c r="N618" s="18">
        <v>0</v>
      </c>
      <c r="O618" s="18">
        <v>0</v>
      </c>
      <c r="P618" s="18">
        <v>0</v>
      </c>
      <c r="Q618" s="18">
        <f t="shared" si="61"/>
        <v>0</v>
      </c>
      <c r="R618">
        <v>0</v>
      </c>
      <c r="S618">
        <v>0</v>
      </c>
      <c r="T618">
        <v>0</v>
      </c>
      <c r="U618">
        <v>0</v>
      </c>
      <c r="V618" s="18">
        <f t="shared" si="56"/>
        <v>0</v>
      </c>
      <c r="W618" s="18">
        <f t="shared" si="60"/>
        <v>0</v>
      </c>
      <c r="X618">
        <v>0</v>
      </c>
      <c r="Y618">
        <v>0</v>
      </c>
    </row>
    <row r="619" spans="1:25" x14ac:dyDescent="0.2">
      <c r="A619" s="18">
        <v>8643</v>
      </c>
      <c r="C619" s="18">
        <v>0</v>
      </c>
      <c r="D619" s="18">
        <v>0</v>
      </c>
      <c r="E619" s="18">
        <v>0</v>
      </c>
      <c r="F619" s="18">
        <f t="shared" si="57"/>
        <v>0</v>
      </c>
      <c r="G619" s="18">
        <v>0</v>
      </c>
      <c r="H619" s="18">
        <v>0</v>
      </c>
      <c r="I619" s="18">
        <f t="shared" si="58"/>
        <v>0</v>
      </c>
      <c r="J619" s="18">
        <v>0</v>
      </c>
      <c r="K619" s="18">
        <v>0</v>
      </c>
      <c r="L619" s="18">
        <f t="shared" si="59"/>
        <v>0</v>
      </c>
      <c r="M619" s="18">
        <v>0</v>
      </c>
      <c r="N619" s="18">
        <v>0</v>
      </c>
      <c r="O619" s="18">
        <v>0</v>
      </c>
      <c r="P619" s="18">
        <v>0</v>
      </c>
      <c r="Q619" s="18">
        <f t="shared" si="61"/>
        <v>0</v>
      </c>
      <c r="R619">
        <v>0</v>
      </c>
      <c r="S619">
        <v>0</v>
      </c>
      <c r="T619">
        <v>0</v>
      </c>
      <c r="U619">
        <v>0</v>
      </c>
      <c r="V619" s="18">
        <f t="shared" si="56"/>
        <v>0</v>
      </c>
      <c r="W619" s="18">
        <f t="shared" si="60"/>
        <v>0</v>
      </c>
      <c r="X619">
        <v>0</v>
      </c>
      <c r="Y619">
        <v>0</v>
      </c>
    </row>
    <row r="620" spans="1:25" x14ac:dyDescent="0.2">
      <c r="A620" s="18">
        <v>8450</v>
      </c>
      <c r="C620" s="18">
        <v>0</v>
      </c>
      <c r="D620" s="18">
        <v>0</v>
      </c>
      <c r="E620" s="18">
        <v>0</v>
      </c>
      <c r="F620" s="18">
        <f t="shared" si="57"/>
        <v>0</v>
      </c>
      <c r="G620" s="18">
        <v>0</v>
      </c>
      <c r="H620" s="18">
        <v>0</v>
      </c>
      <c r="I620" s="18">
        <f t="shared" si="58"/>
        <v>0</v>
      </c>
      <c r="J620" s="18">
        <v>0</v>
      </c>
      <c r="K620" s="18">
        <v>0</v>
      </c>
      <c r="L620" s="18">
        <f t="shared" si="59"/>
        <v>0</v>
      </c>
      <c r="M620" s="18">
        <v>0</v>
      </c>
      <c r="N620" s="18">
        <v>0</v>
      </c>
      <c r="O620" s="18">
        <v>0</v>
      </c>
      <c r="P620" s="18">
        <v>0</v>
      </c>
      <c r="Q620" s="18">
        <f t="shared" si="61"/>
        <v>0</v>
      </c>
      <c r="R620">
        <v>0</v>
      </c>
      <c r="S620">
        <v>0</v>
      </c>
      <c r="T620">
        <v>0</v>
      </c>
      <c r="U620">
        <v>0</v>
      </c>
      <c r="V620" s="18">
        <f t="shared" si="56"/>
        <v>0</v>
      </c>
      <c r="W620" s="18">
        <f t="shared" si="60"/>
        <v>0</v>
      </c>
      <c r="X620">
        <v>0</v>
      </c>
      <c r="Y620">
        <v>0</v>
      </c>
    </row>
    <row r="621" spans="1:25" x14ac:dyDescent="0.2">
      <c r="A621" s="18">
        <v>8655</v>
      </c>
      <c r="C621" s="18">
        <v>0</v>
      </c>
      <c r="D621" s="18">
        <v>0</v>
      </c>
      <c r="E621" s="18">
        <v>0</v>
      </c>
      <c r="F621" s="18">
        <f t="shared" si="57"/>
        <v>0</v>
      </c>
      <c r="G621" s="18">
        <v>0</v>
      </c>
      <c r="H621" s="18">
        <v>0</v>
      </c>
      <c r="I621" s="18">
        <f t="shared" si="58"/>
        <v>0</v>
      </c>
      <c r="J621" s="18">
        <v>0</v>
      </c>
      <c r="K621" s="18">
        <v>0</v>
      </c>
      <c r="L621" s="18">
        <f t="shared" si="59"/>
        <v>0</v>
      </c>
      <c r="M621" s="18">
        <v>0</v>
      </c>
      <c r="N621" s="18">
        <v>0</v>
      </c>
      <c r="O621" s="18">
        <v>0</v>
      </c>
      <c r="P621" s="18">
        <v>0</v>
      </c>
      <c r="Q621" s="18">
        <f t="shared" si="61"/>
        <v>0</v>
      </c>
      <c r="R621">
        <v>0</v>
      </c>
      <c r="S621">
        <v>0</v>
      </c>
      <c r="T621">
        <v>0</v>
      </c>
      <c r="U621">
        <v>0</v>
      </c>
      <c r="V621" s="18">
        <f t="shared" si="56"/>
        <v>0</v>
      </c>
      <c r="W621" s="18">
        <f t="shared" si="60"/>
        <v>0</v>
      </c>
      <c r="X621">
        <v>0</v>
      </c>
      <c r="Y621">
        <v>0</v>
      </c>
    </row>
    <row r="622" spans="1:25" x14ac:dyDescent="0.2">
      <c r="A622" s="18">
        <v>8667</v>
      </c>
      <c r="C622" s="18">
        <v>0</v>
      </c>
      <c r="D622" s="18">
        <v>0</v>
      </c>
      <c r="E622" s="18">
        <v>0</v>
      </c>
      <c r="F622" s="18">
        <f t="shared" si="57"/>
        <v>0</v>
      </c>
      <c r="G622" s="18">
        <v>0</v>
      </c>
      <c r="H622" s="18">
        <v>0</v>
      </c>
      <c r="I622" s="18">
        <f t="shared" si="58"/>
        <v>0</v>
      </c>
      <c r="J622" s="18">
        <v>0</v>
      </c>
      <c r="K622" s="18">
        <v>0</v>
      </c>
      <c r="L622" s="18">
        <f t="shared" si="59"/>
        <v>0</v>
      </c>
      <c r="M622" s="18">
        <v>0</v>
      </c>
      <c r="N622" s="18">
        <v>0</v>
      </c>
      <c r="O622" s="18">
        <v>0</v>
      </c>
      <c r="P622" s="18">
        <v>0</v>
      </c>
      <c r="Q622" s="18">
        <f t="shared" si="61"/>
        <v>0</v>
      </c>
      <c r="R622">
        <v>0</v>
      </c>
      <c r="S622">
        <v>0</v>
      </c>
      <c r="T622">
        <v>0</v>
      </c>
      <c r="U622">
        <v>0</v>
      </c>
      <c r="V622" s="18">
        <f t="shared" si="56"/>
        <v>0</v>
      </c>
      <c r="W622" s="18">
        <f t="shared" si="60"/>
        <v>0</v>
      </c>
      <c r="X622">
        <v>0</v>
      </c>
      <c r="Y622">
        <v>0</v>
      </c>
    </row>
    <row r="623" spans="1:25" x14ac:dyDescent="0.2">
      <c r="A623" s="18">
        <v>8645</v>
      </c>
      <c r="C623" s="18">
        <v>0</v>
      </c>
      <c r="D623" s="18">
        <v>0</v>
      </c>
      <c r="E623" s="18">
        <v>0</v>
      </c>
      <c r="F623" s="18">
        <f t="shared" si="57"/>
        <v>0</v>
      </c>
      <c r="G623" s="18">
        <v>0</v>
      </c>
      <c r="H623" s="18">
        <v>0</v>
      </c>
      <c r="I623" s="18">
        <f t="shared" si="58"/>
        <v>0</v>
      </c>
      <c r="J623" s="18">
        <v>0</v>
      </c>
      <c r="K623" s="18">
        <v>0</v>
      </c>
      <c r="L623" s="18">
        <f t="shared" si="59"/>
        <v>0</v>
      </c>
      <c r="M623" s="18">
        <v>0</v>
      </c>
      <c r="N623" s="18">
        <v>0</v>
      </c>
      <c r="O623" s="18">
        <v>0</v>
      </c>
      <c r="P623" s="18">
        <v>0</v>
      </c>
      <c r="Q623" s="18">
        <f t="shared" si="61"/>
        <v>0</v>
      </c>
      <c r="R623">
        <v>0</v>
      </c>
      <c r="S623">
        <v>0</v>
      </c>
      <c r="T623">
        <v>0</v>
      </c>
      <c r="U623">
        <v>0</v>
      </c>
      <c r="V623" s="18">
        <f t="shared" ref="V623:V686" si="62">M623+N623</f>
        <v>0</v>
      </c>
      <c r="W623" s="18">
        <f t="shared" si="60"/>
        <v>0</v>
      </c>
      <c r="X623">
        <v>0</v>
      </c>
      <c r="Y623">
        <v>0</v>
      </c>
    </row>
    <row r="624" spans="1:25" x14ac:dyDescent="0.2">
      <c r="A624" s="18">
        <v>8692</v>
      </c>
      <c r="C624" s="18">
        <v>0</v>
      </c>
      <c r="D624" s="18">
        <v>0</v>
      </c>
      <c r="E624" s="18">
        <v>0</v>
      </c>
      <c r="F624" s="18">
        <f t="shared" si="57"/>
        <v>0</v>
      </c>
      <c r="G624" s="18">
        <v>0</v>
      </c>
      <c r="H624" s="18">
        <v>0</v>
      </c>
      <c r="I624" s="18">
        <f t="shared" si="58"/>
        <v>0</v>
      </c>
      <c r="J624" s="18">
        <v>0</v>
      </c>
      <c r="K624" s="18">
        <v>0</v>
      </c>
      <c r="L624" s="18">
        <f t="shared" si="59"/>
        <v>0</v>
      </c>
      <c r="M624" s="18">
        <v>0</v>
      </c>
      <c r="N624" s="18">
        <v>0</v>
      </c>
      <c r="O624" s="18">
        <v>0</v>
      </c>
      <c r="P624" s="18">
        <v>0</v>
      </c>
      <c r="Q624" s="18">
        <f t="shared" si="61"/>
        <v>0</v>
      </c>
      <c r="R624">
        <v>0</v>
      </c>
      <c r="S624">
        <v>0</v>
      </c>
      <c r="T624">
        <v>0</v>
      </c>
      <c r="U624">
        <v>0</v>
      </c>
      <c r="V624" s="18">
        <f t="shared" si="62"/>
        <v>0</v>
      </c>
      <c r="W624" s="18">
        <f t="shared" si="60"/>
        <v>0</v>
      </c>
      <c r="X624">
        <v>0</v>
      </c>
      <c r="Y624">
        <v>0</v>
      </c>
    </row>
    <row r="625" spans="1:25" x14ac:dyDescent="0.2">
      <c r="A625" s="18">
        <v>8720</v>
      </c>
      <c r="C625" s="18">
        <v>0</v>
      </c>
      <c r="D625" s="18">
        <v>0</v>
      </c>
      <c r="E625" s="18">
        <v>0</v>
      </c>
      <c r="F625" s="18">
        <f t="shared" si="57"/>
        <v>0</v>
      </c>
      <c r="G625" s="18">
        <v>0</v>
      </c>
      <c r="H625" s="18">
        <v>0</v>
      </c>
      <c r="I625" s="18">
        <f t="shared" si="58"/>
        <v>0</v>
      </c>
      <c r="J625" s="18">
        <v>0</v>
      </c>
      <c r="K625" s="18">
        <v>0</v>
      </c>
      <c r="L625" s="18">
        <f t="shared" si="59"/>
        <v>0</v>
      </c>
      <c r="M625" s="18">
        <v>0</v>
      </c>
      <c r="N625" s="18">
        <v>0</v>
      </c>
      <c r="O625" s="18">
        <v>0</v>
      </c>
      <c r="P625" s="18">
        <v>0</v>
      </c>
      <c r="Q625" s="18">
        <f t="shared" si="61"/>
        <v>0</v>
      </c>
      <c r="R625">
        <v>0</v>
      </c>
      <c r="S625">
        <v>0</v>
      </c>
      <c r="T625">
        <v>0</v>
      </c>
      <c r="U625">
        <v>0</v>
      </c>
      <c r="V625" s="18">
        <f t="shared" si="62"/>
        <v>0</v>
      </c>
      <c r="W625" s="18">
        <f t="shared" si="60"/>
        <v>0</v>
      </c>
      <c r="X625">
        <v>0</v>
      </c>
      <c r="Y625">
        <v>0</v>
      </c>
    </row>
    <row r="626" spans="1:25" x14ac:dyDescent="0.2">
      <c r="A626" s="18">
        <v>8678</v>
      </c>
      <c r="C626" s="18">
        <v>0</v>
      </c>
      <c r="D626" s="18">
        <v>0</v>
      </c>
      <c r="E626" s="18">
        <v>0</v>
      </c>
      <c r="F626" s="18">
        <f t="shared" si="57"/>
        <v>0</v>
      </c>
      <c r="G626" s="18">
        <v>0</v>
      </c>
      <c r="H626" s="18">
        <v>0</v>
      </c>
      <c r="I626" s="18">
        <f t="shared" si="58"/>
        <v>0</v>
      </c>
      <c r="J626" s="18">
        <v>0</v>
      </c>
      <c r="K626" s="18">
        <v>0</v>
      </c>
      <c r="L626" s="18">
        <f t="shared" si="59"/>
        <v>0</v>
      </c>
      <c r="M626" s="18">
        <v>0</v>
      </c>
      <c r="N626" s="18">
        <v>0</v>
      </c>
      <c r="O626" s="18">
        <v>0</v>
      </c>
      <c r="P626" s="18">
        <v>0</v>
      </c>
      <c r="Q626" s="18">
        <f t="shared" si="61"/>
        <v>0</v>
      </c>
      <c r="R626">
        <v>0</v>
      </c>
      <c r="S626">
        <v>0</v>
      </c>
      <c r="T626">
        <v>0</v>
      </c>
      <c r="U626">
        <v>0</v>
      </c>
      <c r="V626" s="18">
        <f t="shared" si="62"/>
        <v>0</v>
      </c>
      <c r="W626" s="18">
        <f t="shared" si="60"/>
        <v>0</v>
      </c>
      <c r="X626">
        <v>0</v>
      </c>
      <c r="Y626">
        <v>0</v>
      </c>
    </row>
    <row r="627" spans="1:25" x14ac:dyDescent="0.2">
      <c r="A627" s="18">
        <v>8722</v>
      </c>
      <c r="C627" s="18">
        <v>0</v>
      </c>
      <c r="D627" s="18">
        <v>0</v>
      </c>
      <c r="E627" s="18">
        <v>0</v>
      </c>
      <c r="F627" s="18">
        <f t="shared" si="57"/>
        <v>0</v>
      </c>
      <c r="G627" s="18">
        <v>0</v>
      </c>
      <c r="H627" s="18">
        <v>0</v>
      </c>
      <c r="I627" s="18">
        <f t="shared" si="58"/>
        <v>0</v>
      </c>
      <c r="J627" s="18">
        <v>0</v>
      </c>
      <c r="K627" s="18">
        <v>0</v>
      </c>
      <c r="L627" s="18">
        <f t="shared" si="59"/>
        <v>0</v>
      </c>
      <c r="M627" s="18">
        <v>0</v>
      </c>
      <c r="N627" s="18">
        <v>0</v>
      </c>
      <c r="O627" s="18">
        <v>0</v>
      </c>
      <c r="P627" s="18">
        <v>0</v>
      </c>
      <c r="Q627" s="18">
        <f t="shared" si="61"/>
        <v>0</v>
      </c>
      <c r="R627">
        <v>0</v>
      </c>
      <c r="S627">
        <v>0</v>
      </c>
      <c r="T627">
        <v>0</v>
      </c>
      <c r="U627">
        <v>0</v>
      </c>
      <c r="V627" s="18">
        <f t="shared" si="62"/>
        <v>0</v>
      </c>
      <c r="W627" s="18">
        <f t="shared" si="60"/>
        <v>0</v>
      </c>
      <c r="X627">
        <v>0</v>
      </c>
      <c r="Y627">
        <v>0</v>
      </c>
    </row>
    <row r="628" spans="1:25" x14ac:dyDescent="0.2">
      <c r="A628" s="18">
        <v>8483</v>
      </c>
      <c r="C628" s="18">
        <v>0</v>
      </c>
      <c r="D628" s="18">
        <v>0</v>
      </c>
      <c r="E628" s="18">
        <v>0</v>
      </c>
      <c r="F628" s="18">
        <f t="shared" si="57"/>
        <v>0</v>
      </c>
      <c r="G628" s="18">
        <v>0</v>
      </c>
      <c r="H628" s="18">
        <v>0</v>
      </c>
      <c r="I628" s="18">
        <f t="shared" si="58"/>
        <v>0</v>
      </c>
      <c r="J628" s="18">
        <v>0</v>
      </c>
      <c r="K628" s="18">
        <v>0</v>
      </c>
      <c r="L628" s="18">
        <f t="shared" si="59"/>
        <v>0</v>
      </c>
      <c r="M628" s="18">
        <v>0</v>
      </c>
      <c r="N628" s="18">
        <v>0</v>
      </c>
      <c r="O628" s="18">
        <v>0</v>
      </c>
      <c r="P628" s="18">
        <v>0</v>
      </c>
      <c r="Q628" s="18">
        <f t="shared" si="61"/>
        <v>0</v>
      </c>
      <c r="R628">
        <v>0</v>
      </c>
      <c r="S628">
        <v>0</v>
      </c>
      <c r="T628">
        <v>0</v>
      </c>
      <c r="U628">
        <v>0</v>
      </c>
      <c r="V628" s="18">
        <f t="shared" si="62"/>
        <v>0</v>
      </c>
      <c r="W628" s="18">
        <f t="shared" si="60"/>
        <v>0</v>
      </c>
      <c r="X628">
        <v>0</v>
      </c>
      <c r="Y628">
        <v>0</v>
      </c>
    </row>
    <row r="629" spans="1:25" x14ac:dyDescent="0.2">
      <c r="A629" s="18">
        <v>8727</v>
      </c>
      <c r="C629" s="18">
        <v>0</v>
      </c>
      <c r="D629" s="18">
        <v>0</v>
      </c>
      <c r="E629" s="18">
        <v>0</v>
      </c>
      <c r="F629" s="18">
        <f t="shared" si="57"/>
        <v>0</v>
      </c>
      <c r="G629" s="18">
        <v>0</v>
      </c>
      <c r="H629" s="18">
        <v>0</v>
      </c>
      <c r="I629" s="18">
        <f t="shared" si="58"/>
        <v>0</v>
      </c>
      <c r="J629" s="18">
        <v>0</v>
      </c>
      <c r="K629" s="18">
        <v>0</v>
      </c>
      <c r="L629" s="18">
        <f t="shared" si="59"/>
        <v>0</v>
      </c>
      <c r="M629" s="18">
        <v>0</v>
      </c>
      <c r="N629" s="18">
        <v>0</v>
      </c>
      <c r="O629" s="18">
        <v>0</v>
      </c>
      <c r="P629" s="18">
        <v>0</v>
      </c>
      <c r="Q629" s="18">
        <f t="shared" si="61"/>
        <v>0</v>
      </c>
      <c r="R629">
        <v>0</v>
      </c>
      <c r="S629">
        <v>0</v>
      </c>
      <c r="T629">
        <v>0</v>
      </c>
      <c r="U629">
        <v>0</v>
      </c>
      <c r="V629" s="18">
        <f t="shared" si="62"/>
        <v>0</v>
      </c>
      <c r="W629" s="18">
        <f t="shared" si="60"/>
        <v>0</v>
      </c>
      <c r="X629">
        <v>0</v>
      </c>
      <c r="Y629">
        <v>0</v>
      </c>
    </row>
    <row r="630" spans="1:25" x14ac:dyDescent="0.2">
      <c r="A630" s="18">
        <v>8694</v>
      </c>
      <c r="C630" s="18">
        <v>0</v>
      </c>
      <c r="D630" s="18">
        <v>0</v>
      </c>
      <c r="E630" s="18">
        <v>0</v>
      </c>
      <c r="F630" s="18">
        <f t="shared" si="57"/>
        <v>0</v>
      </c>
      <c r="G630" s="18">
        <v>0</v>
      </c>
      <c r="H630" s="18">
        <v>0</v>
      </c>
      <c r="I630" s="18">
        <f t="shared" si="58"/>
        <v>0</v>
      </c>
      <c r="J630" s="18">
        <v>0</v>
      </c>
      <c r="K630" s="18">
        <v>0</v>
      </c>
      <c r="L630" s="18">
        <f t="shared" si="59"/>
        <v>0</v>
      </c>
      <c r="M630" s="18">
        <v>0</v>
      </c>
      <c r="N630" s="18">
        <v>0</v>
      </c>
      <c r="O630" s="18">
        <v>0</v>
      </c>
      <c r="P630" s="18">
        <v>0</v>
      </c>
      <c r="Q630" s="18">
        <f t="shared" si="61"/>
        <v>0</v>
      </c>
      <c r="R630">
        <v>0</v>
      </c>
      <c r="S630">
        <v>0</v>
      </c>
      <c r="T630">
        <v>0</v>
      </c>
      <c r="U630">
        <v>0</v>
      </c>
      <c r="V630" s="18">
        <f t="shared" si="62"/>
        <v>0</v>
      </c>
      <c r="W630" s="18">
        <f t="shared" si="60"/>
        <v>0</v>
      </c>
      <c r="X630">
        <v>0</v>
      </c>
      <c r="Y630">
        <v>0</v>
      </c>
    </row>
    <row r="631" spans="1:25" x14ac:dyDescent="0.2">
      <c r="A631" s="18">
        <v>8735</v>
      </c>
      <c r="C631" s="18">
        <v>0</v>
      </c>
      <c r="D631" s="18">
        <v>0</v>
      </c>
      <c r="E631" s="18">
        <v>0</v>
      </c>
      <c r="F631" s="18">
        <f t="shared" si="57"/>
        <v>0</v>
      </c>
      <c r="G631" s="18">
        <v>0</v>
      </c>
      <c r="H631" s="18">
        <v>0</v>
      </c>
      <c r="I631" s="18">
        <f t="shared" si="58"/>
        <v>0</v>
      </c>
      <c r="J631" s="18">
        <v>0</v>
      </c>
      <c r="K631" s="18">
        <v>0</v>
      </c>
      <c r="L631" s="18">
        <f t="shared" si="59"/>
        <v>0</v>
      </c>
      <c r="M631" s="18">
        <v>0</v>
      </c>
      <c r="N631" s="18">
        <v>0</v>
      </c>
      <c r="O631" s="18">
        <v>0</v>
      </c>
      <c r="P631" s="18">
        <v>0</v>
      </c>
      <c r="Q631" s="18">
        <f t="shared" si="61"/>
        <v>0</v>
      </c>
      <c r="R631">
        <v>0</v>
      </c>
      <c r="S631">
        <v>0</v>
      </c>
      <c r="T631">
        <v>0</v>
      </c>
      <c r="U631">
        <v>0</v>
      </c>
      <c r="V631" s="18">
        <f t="shared" si="62"/>
        <v>0</v>
      </c>
      <c r="W631" s="18">
        <f t="shared" si="60"/>
        <v>0</v>
      </c>
      <c r="X631">
        <v>0</v>
      </c>
      <c r="Y631">
        <v>0</v>
      </c>
    </row>
    <row r="632" spans="1:25" x14ac:dyDescent="0.2">
      <c r="A632" s="18">
        <v>8740</v>
      </c>
      <c r="C632" s="18">
        <v>0</v>
      </c>
      <c r="D632" s="18">
        <v>0</v>
      </c>
      <c r="E632" s="18">
        <v>0</v>
      </c>
      <c r="F632" s="18">
        <f t="shared" si="57"/>
        <v>0</v>
      </c>
      <c r="G632" s="18">
        <v>0</v>
      </c>
      <c r="H632" s="18">
        <v>0</v>
      </c>
      <c r="I632" s="18">
        <f t="shared" si="58"/>
        <v>0</v>
      </c>
      <c r="J632" s="18">
        <v>0</v>
      </c>
      <c r="K632" s="18">
        <v>0</v>
      </c>
      <c r="L632" s="18">
        <f t="shared" si="59"/>
        <v>0</v>
      </c>
      <c r="M632" s="18">
        <v>0</v>
      </c>
      <c r="N632" s="18">
        <v>0</v>
      </c>
      <c r="O632" s="18">
        <v>0</v>
      </c>
      <c r="P632" s="18">
        <v>0</v>
      </c>
      <c r="Q632" s="18">
        <f t="shared" si="61"/>
        <v>0</v>
      </c>
      <c r="R632">
        <v>0</v>
      </c>
      <c r="S632">
        <v>0</v>
      </c>
      <c r="T632">
        <v>0</v>
      </c>
      <c r="U632">
        <v>0</v>
      </c>
      <c r="V632" s="18">
        <f t="shared" si="62"/>
        <v>0</v>
      </c>
      <c r="W632" s="18">
        <f t="shared" si="60"/>
        <v>0</v>
      </c>
      <c r="X632">
        <v>0</v>
      </c>
      <c r="Y632">
        <v>0</v>
      </c>
    </row>
    <row r="633" spans="1:25" x14ac:dyDescent="0.2">
      <c r="A633" s="18">
        <v>8303</v>
      </c>
      <c r="C633" s="18">
        <v>0</v>
      </c>
      <c r="D633" s="18">
        <v>0</v>
      </c>
      <c r="E633" s="18">
        <v>0</v>
      </c>
      <c r="F633" s="18">
        <f t="shared" si="57"/>
        <v>0</v>
      </c>
      <c r="G633" s="18">
        <v>0</v>
      </c>
      <c r="H633" s="18">
        <v>0</v>
      </c>
      <c r="I633" s="18">
        <f t="shared" si="58"/>
        <v>0</v>
      </c>
      <c r="J633" s="18">
        <v>0</v>
      </c>
      <c r="K633" s="18">
        <v>0</v>
      </c>
      <c r="L633" s="18">
        <f t="shared" si="59"/>
        <v>0</v>
      </c>
      <c r="M633" s="18">
        <v>0</v>
      </c>
      <c r="N633" s="18">
        <v>0</v>
      </c>
      <c r="O633" s="18">
        <v>0</v>
      </c>
      <c r="P633" s="18">
        <v>0</v>
      </c>
      <c r="Q633" s="18">
        <f t="shared" si="61"/>
        <v>0</v>
      </c>
      <c r="R633">
        <v>0</v>
      </c>
      <c r="S633">
        <v>0</v>
      </c>
      <c r="T633">
        <v>0</v>
      </c>
      <c r="U633">
        <v>0</v>
      </c>
      <c r="V633" s="18">
        <f t="shared" si="62"/>
        <v>0</v>
      </c>
      <c r="W633" s="18">
        <f t="shared" si="60"/>
        <v>0</v>
      </c>
      <c r="X633">
        <v>0</v>
      </c>
      <c r="Y633">
        <v>0</v>
      </c>
    </row>
    <row r="634" spans="1:25" x14ac:dyDescent="0.2">
      <c r="A634" s="18">
        <v>8739</v>
      </c>
      <c r="C634" s="18">
        <v>0</v>
      </c>
      <c r="D634" s="18">
        <v>0</v>
      </c>
      <c r="E634" s="18">
        <v>0</v>
      </c>
      <c r="F634" s="18">
        <f t="shared" si="57"/>
        <v>0</v>
      </c>
      <c r="G634" s="18">
        <v>0</v>
      </c>
      <c r="H634" s="18">
        <v>0</v>
      </c>
      <c r="I634" s="18">
        <f t="shared" si="58"/>
        <v>0</v>
      </c>
      <c r="J634" s="18">
        <v>0</v>
      </c>
      <c r="K634" s="18">
        <v>0</v>
      </c>
      <c r="L634" s="18">
        <f t="shared" si="59"/>
        <v>0</v>
      </c>
      <c r="M634" s="18">
        <v>0</v>
      </c>
      <c r="N634" s="18">
        <v>0</v>
      </c>
      <c r="O634" s="18">
        <v>0</v>
      </c>
      <c r="P634" s="18">
        <v>0</v>
      </c>
      <c r="Q634" s="18">
        <f t="shared" si="61"/>
        <v>0</v>
      </c>
      <c r="R634">
        <v>0</v>
      </c>
      <c r="S634">
        <v>0</v>
      </c>
      <c r="T634">
        <v>0</v>
      </c>
      <c r="U634">
        <v>0</v>
      </c>
      <c r="V634" s="18">
        <f t="shared" si="62"/>
        <v>0</v>
      </c>
      <c r="W634" s="18">
        <f t="shared" si="60"/>
        <v>0</v>
      </c>
      <c r="X634">
        <v>0</v>
      </c>
      <c r="Y634">
        <v>0</v>
      </c>
    </row>
    <row r="635" spans="1:25" x14ac:dyDescent="0.2">
      <c r="A635" s="18">
        <v>8806</v>
      </c>
      <c r="C635" s="18">
        <v>0</v>
      </c>
      <c r="D635" s="18">
        <v>0</v>
      </c>
      <c r="E635" s="18">
        <v>0</v>
      </c>
      <c r="F635" s="18">
        <f t="shared" si="57"/>
        <v>0</v>
      </c>
      <c r="G635" s="18">
        <v>0</v>
      </c>
      <c r="H635" s="18">
        <v>0</v>
      </c>
      <c r="I635" s="18">
        <f t="shared" si="58"/>
        <v>0</v>
      </c>
      <c r="J635" s="18">
        <v>0</v>
      </c>
      <c r="K635" s="18">
        <v>0</v>
      </c>
      <c r="L635" s="18">
        <f t="shared" si="59"/>
        <v>0</v>
      </c>
      <c r="M635" s="18">
        <v>0</v>
      </c>
      <c r="N635" s="18">
        <v>0</v>
      </c>
      <c r="O635" s="18">
        <v>0</v>
      </c>
      <c r="P635" s="18">
        <v>0</v>
      </c>
      <c r="Q635" s="18">
        <f t="shared" si="61"/>
        <v>0</v>
      </c>
      <c r="R635">
        <v>0</v>
      </c>
      <c r="S635">
        <v>0</v>
      </c>
      <c r="T635">
        <v>0</v>
      </c>
      <c r="U635">
        <v>0</v>
      </c>
      <c r="V635" s="18">
        <f t="shared" si="62"/>
        <v>0</v>
      </c>
      <c r="W635" s="18">
        <f t="shared" si="60"/>
        <v>0</v>
      </c>
      <c r="X635">
        <v>0</v>
      </c>
      <c r="Y635">
        <v>0</v>
      </c>
    </row>
    <row r="636" spans="1:25" x14ac:dyDescent="0.2">
      <c r="A636" s="18">
        <v>8804</v>
      </c>
      <c r="C636" s="18">
        <v>0</v>
      </c>
      <c r="D636" s="18">
        <v>0</v>
      </c>
      <c r="E636" s="18">
        <v>0</v>
      </c>
      <c r="F636" s="18">
        <f t="shared" si="57"/>
        <v>0</v>
      </c>
      <c r="G636" s="18">
        <v>0</v>
      </c>
      <c r="H636" s="18">
        <v>0</v>
      </c>
      <c r="I636" s="18">
        <f t="shared" si="58"/>
        <v>0</v>
      </c>
      <c r="J636" s="18">
        <v>0</v>
      </c>
      <c r="K636" s="18">
        <v>0</v>
      </c>
      <c r="L636" s="18">
        <f t="shared" si="59"/>
        <v>0</v>
      </c>
      <c r="M636" s="18">
        <v>0</v>
      </c>
      <c r="N636" s="18">
        <v>0</v>
      </c>
      <c r="O636" s="18">
        <v>0</v>
      </c>
      <c r="P636" s="18">
        <v>0</v>
      </c>
      <c r="Q636" s="18">
        <f t="shared" si="61"/>
        <v>0</v>
      </c>
      <c r="R636">
        <v>0</v>
      </c>
      <c r="S636">
        <v>0</v>
      </c>
      <c r="T636">
        <v>0</v>
      </c>
      <c r="U636">
        <v>0</v>
      </c>
      <c r="V636" s="18">
        <f t="shared" si="62"/>
        <v>0</v>
      </c>
      <c r="W636" s="18">
        <f t="shared" si="60"/>
        <v>0</v>
      </c>
      <c r="X636">
        <v>0</v>
      </c>
      <c r="Y636">
        <v>0</v>
      </c>
    </row>
    <row r="637" spans="1:25" x14ac:dyDescent="0.2">
      <c r="A637" s="18">
        <v>8802</v>
      </c>
      <c r="C637" s="18">
        <v>10.441293333333331</v>
      </c>
      <c r="D637" s="18">
        <v>4.0743333333333336</v>
      </c>
      <c r="E637" s="18">
        <v>4.2063499999999996</v>
      </c>
      <c r="F637" s="18">
        <f t="shared" si="57"/>
        <v>8.2806833333333323</v>
      </c>
      <c r="G637" s="18">
        <v>7.8704999999999998</v>
      </c>
      <c r="H637" s="18">
        <v>1.4804198333333334</v>
      </c>
      <c r="I637" s="18">
        <f t="shared" si="58"/>
        <v>9.3509198333333323</v>
      </c>
      <c r="J637" s="18">
        <v>0</v>
      </c>
      <c r="K637" s="18">
        <v>0</v>
      </c>
      <c r="L637" s="18">
        <f t="shared" si="59"/>
        <v>0</v>
      </c>
      <c r="M637" s="18">
        <v>124.31249999999999</v>
      </c>
      <c r="N637" s="18">
        <v>0.59416666666666673</v>
      </c>
      <c r="O637" s="18">
        <v>0</v>
      </c>
      <c r="P637" s="18">
        <v>82.874999999999986</v>
      </c>
      <c r="Q637" s="18">
        <f t="shared" si="61"/>
        <v>207.78166666666664</v>
      </c>
      <c r="R637">
        <v>0</v>
      </c>
      <c r="S637">
        <v>0</v>
      </c>
      <c r="T637">
        <v>13.637999999999998</v>
      </c>
      <c r="U637">
        <v>2.4045000000000001</v>
      </c>
      <c r="V637" s="18">
        <f t="shared" si="62"/>
        <v>124.90666666666665</v>
      </c>
      <c r="W637" s="18">
        <f t="shared" si="60"/>
        <v>82.874999999999986</v>
      </c>
      <c r="X637">
        <v>9.3579999999999988</v>
      </c>
      <c r="Y637">
        <v>1.26</v>
      </c>
    </row>
    <row r="638" spans="1:25" x14ac:dyDescent="0.2">
      <c r="A638" s="18">
        <v>8795</v>
      </c>
      <c r="C638" s="18">
        <v>0</v>
      </c>
      <c r="D638" s="18">
        <v>0</v>
      </c>
      <c r="E638" s="18">
        <v>0</v>
      </c>
      <c r="F638" s="18">
        <f t="shared" si="57"/>
        <v>0</v>
      </c>
      <c r="G638" s="18">
        <v>0</v>
      </c>
      <c r="H638" s="18">
        <v>0</v>
      </c>
      <c r="I638" s="18">
        <f t="shared" si="58"/>
        <v>0</v>
      </c>
      <c r="J638" s="18">
        <v>0</v>
      </c>
      <c r="K638" s="18">
        <v>0</v>
      </c>
      <c r="L638" s="18">
        <f t="shared" si="59"/>
        <v>0</v>
      </c>
      <c r="M638" s="18">
        <v>0</v>
      </c>
      <c r="N638" s="18">
        <v>0</v>
      </c>
      <c r="O638" s="18">
        <v>0</v>
      </c>
      <c r="P638" s="18">
        <v>0</v>
      </c>
      <c r="Q638" s="18">
        <f t="shared" si="61"/>
        <v>0</v>
      </c>
      <c r="R638">
        <v>0</v>
      </c>
      <c r="S638">
        <v>0</v>
      </c>
      <c r="T638">
        <v>0</v>
      </c>
      <c r="U638">
        <v>0</v>
      </c>
      <c r="V638" s="18">
        <f t="shared" si="62"/>
        <v>0</v>
      </c>
      <c r="W638" s="18">
        <f t="shared" si="60"/>
        <v>0</v>
      </c>
      <c r="X638">
        <v>0</v>
      </c>
      <c r="Y638">
        <v>0</v>
      </c>
    </row>
    <row r="639" spans="1:25" x14ac:dyDescent="0.2">
      <c r="A639" s="18">
        <v>8788</v>
      </c>
      <c r="C639" s="18">
        <v>0</v>
      </c>
      <c r="D639" s="18">
        <v>0</v>
      </c>
      <c r="E639" s="18">
        <v>0</v>
      </c>
      <c r="F639" s="18">
        <f t="shared" si="57"/>
        <v>0</v>
      </c>
      <c r="G639" s="18">
        <v>0</v>
      </c>
      <c r="H639" s="18">
        <v>0</v>
      </c>
      <c r="I639" s="18">
        <f t="shared" si="58"/>
        <v>0</v>
      </c>
      <c r="J639" s="18">
        <v>0</v>
      </c>
      <c r="K639" s="18">
        <v>0</v>
      </c>
      <c r="L639" s="18">
        <f t="shared" si="59"/>
        <v>0</v>
      </c>
      <c r="M639" s="18">
        <v>0</v>
      </c>
      <c r="N639" s="18">
        <v>0</v>
      </c>
      <c r="O639" s="18">
        <v>0</v>
      </c>
      <c r="P639" s="18">
        <v>0</v>
      </c>
      <c r="Q639" s="18">
        <f t="shared" si="61"/>
        <v>0</v>
      </c>
      <c r="R639">
        <v>0</v>
      </c>
      <c r="S639">
        <v>0</v>
      </c>
      <c r="T639">
        <v>0</v>
      </c>
      <c r="U639">
        <v>0</v>
      </c>
      <c r="V639" s="18">
        <f t="shared" si="62"/>
        <v>0</v>
      </c>
      <c r="W639" s="18">
        <f t="shared" si="60"/>
        <v>0</v>
      </c>
      <c r="X639">
        <v>0</v>
      </c>
      <c r="Y639">
        <v>0</v>
      </c>
    </row>
    <row r="640" spans="1:25" x14ac:dyDescent="0.2">
      <c r="A640" s="18">
        <v>8789</v>
      </c>
      <c r="C640" s="18">
        <v>0</v>
      </c>
      <c r="D640" s="18">
        <v>0</v>
      </c>
      <c r="E640" s="18">
        <v>0</v>
      </c>
      <c r="F640" s="18">
        <f t="shared" si="57"/>
        <v>0</v>
      </c>
      <c r="G640" s="18">
        <v>0</v>
      </c>
      <c r="H640" s="18">
        <v>0</v>
      </c>
      <c r="I640" s="18">
        <f t="shared" si="58"/>
        <v>0</v>
      </c>
      <c r="J640" s="18">
        <v>0</v>
      </c>
      <c r="K640" s="18">
        <v>0</v>
      </c>
      <c r="L640" s="18">
        <f t="shared" si="59"/>
        <v>0</v>
      </c>
      <c r="M640" s="18">
        <v>0</v>
      </c>
      <c r="N640" s="18">
        <v>0</v>
      </c>
      <c r="O640" s="18">
        <v>0</v>
      </c>
      <c r="P640" s="18">
        <v>0</v>
      </c>
      <c r="Q640" s="18">
        <f t="shared" si="61"/>
        <v>0</v>
      </c>
      <c r="R640">
        <v>0</v>
      </c>
      <c r="S640">
        <v>0</v>
      </c>
      <c r="T640">
        <v>0</v>
      </c>
      <c r="U640">
        <v>0</v>
      </c>
      <c r="V640" s="18">
        <f t="shared" si="62"/>
        <v>0</v>
      </c>
      <c r="W640" s="18">
        <f t="shared" si="60"/>
        <v>0</v>
      </c>
      <c r="X640">
        <v>0</v>
      </c>
      <c r="Y640">
        <v>0</v>
      </c>
    </row>
    <row r="641" spans="1:25" x14ac:dyDescent="0.2">
      <c r="A641" s="18">
        <v>8765</v>
      </c>
      <c r="C641" s="18">
        <v>7.8478683333333334</v>
      </c>
      <c r="D641" s="18">
        <v>84.970833333333331</v>
      </c>
      <c r="E641" s="18">
        <v>134.19530327777778</v>
      </c>
      <c r="F641" s="18">
        <f t="shared" si="57"/>
        <v>219.16613661111111</v>
      </c>
      <c r="G641" s="18">
        <v>106.43866666666668</v>
      </c>
      <c r="H641" s="18">
        <v>18.734217833333336</v>
      </c>
      <c r="I641" s="18">
        <f t="shared" si="58"/>
        <v>125.17288450000001</v>
      </c>
      <c r="J641" s="18">
        <v>14.103333333333333</v>
      </c>
      <c r="K641" s="18">
        <v>5.9020000000000001</v>
      </c>
      <c r="L641" s="18">
        <f t="shared" si="59"/>
        <v>20.005333333333333</v>
      </c>
      <c r="M641" s="18">
        <v>863.8125</v>
      </c>
      <c r="N641" s="18">
        <v>94.44583333333334</v>
      </c>
      <c r="O641" s="18">
        <v>54.333999999999989</v>
      </c>
      <c r="P641" s="18">
        <v>575.875</v>
      </c>
      <c r="Q641" s="18">
        <f t="shared" si="61"/>
        <v>1588.4673333333333</v>
      </c>
      <c r="R641">
        <v>68.522166666666664</v>
      </c>
      <c r="S641">
        <v>0</v>
      </c>
      <c r="T641">
        <v>119.61116666666666</v>
      </c>
      <c r="U641">
        <v>51.688499999999983</v>
      </c>
      <c r="V641" s="18">
        <f t="shared" si="62"/>
        <v>958.25833333333333</v>
      </c>
      <c r="W641" s="18">
        <f t="shared" si="60"/>
        <v>630.20899999999995</v>
      </c>
      <c r="X641">
        <v>123.94683333333332</v>
      </c>
      <c r="Y641">
        <v>13.831666666666665</v>
      </c>
    </row>
    <row r="642" spans="1:25" x14ac:dyDescent="0.2">
      <c r="A642" s="18">
        <v>8785</v>
      </c>
      <c r="C642" s="18">
        <v>0</v>
      </c>
      <c r="D642" s="18">
        <v>0</v>
      </c>
      <c r="E642" s="18">
        <v>0</v>
      </c>
      <c r="F642" s="18">
        <f t="shared" si="57"/>
        <v>0</v>
      </c>
      <c r="G642" s="18">
        <v>0</v>
      </c>
      <c r="H642" s="18">
        <v>0</v>
      </c>
      <c r="I642" s="18">
        <f t="shared" si="58"/>
        <v>0</v>
      </c>
      <c r="J642" s="18">
        <v>0</v>
      </c>
      <c r="K642" s="18">
        <v>0</v>
      </c>
      <c r="L642" s="18">
        <f t="shared" si="59"/>
        <v>0</v>
      </c>
      <c r="M642" s="18">
        <v>0</v>
      </c>
      <c r="N642" s="18">
        <v>0</v>
      </c>
      <c r="O642" s="18">
        <v>0</v>
      </c>
      <c r="P642" s="18">
        <v>0</v>
      </c>
      <c r="Q642" s="18">
        <f t="shared" si="61"/>
        <v>0</v>
      </c>
      <c r="R642">
        <v>0</v>
      </c>
      <c r="S642">
        <v>0</v>
      </c>
      <c r="T642">
        <v>0</v>
      </c>
      <c r="U642">
        <v>0</v>
      </c>
      <c r="V642" s="18">
        <f t="shared" si="62"/>
        <v>0</v>
      </c>
      <c r="W642" s="18">
        <f t="shared" si="60"/>
        <v>0</v>
      </c>
      <c r="X642">
        <v>0</v>
      </c>
      <c r="Y642">
        <v>0</v>
      </c>
    </row>
    <row r="643" spans="1:25" x14ac:dyDescent="0.2">
      <c r="A643" s="18">
        <v>7391</v>
      </c>
      <c r="C643" s="18">
        <v>13.790566666666667</v>
      </c>
      <c r="D643" s="18">
        <v>12.2295</v>
      </c>
      <c r="E643" s="18">
        <v>21.522499999999997</v>
      </c>
      <c r="F643" s="18">
        <f t="shared" si="57"/>
        <v>33.751999999999995</v>
      </c>
      <c r="G643" s="18">
        <v>1.29</v>
      </c>
      <c r="H643" s="18">
        <v>0</v>
      </c>
      <c r="I643" s="18">
        <f t="shared" si="58"/>
        <v>1.29</v>
      </c>
      <c r="J643" s="18">
        <v>0</v>
      </c>
      <c r="K643" s="18">
        <v>0</v>
      </c>
      <c r="L643" s="18">
        <f t="shared" si="59"/>
        <v>0</v>
      </c>
      <c r="M643" s="18">
        <v>0</v>
      </c>
      <c r="N643" s="18">
        <v>0</v>
      </c>
      <c r="O643" s="18">
        <v>0</v>
      </c>
      <c r="P643" s="18">
        <v>0</v>
      </c>
      <c r="Q643" s="18">
        <f t="shared" si="61"/>
        <v>0</v>
      </c>
      <c r="R643">
        <v>6.2844999999999995</v>
      </c>
      <c r="S643">
        <v>0</v>
      </c>
      <c r="T643">
        <v>19.225000000000001</v>
      </c>
      <c r="U643">
        <v>0.77333333333333321</v>
      </c>
      <c r="V643" s="18">
        <f t="shared" si="62"/>
        <v>0</v>
      </c>
      <c r="W643" s="18">
        <f t="shared" si="60"/>
        <v>0</v>
      </c>
      <c r="X643">
        <v>14.487666666666668</v>
      </c>
      <c r="Y643">
        <v>0</v>
      </c>
    </row>
    <row r="644" spans="1:25" x14ac:dyDescent="0.2">
      <c r="A644" s="18">
        <v>8676</v>
      </c>
      <c r="C644" s="18">
        <v>6.304666666666666</v>
      </c>
      <c r="D644" s="18">
        <v>1.7106666666666668</v>
      </c>
      <c r="E644" s="18">
        <v>1.9963123333333332</v>
      </c>
      <c r="F644" s="18">
        <f t="shared" si="57"/>
        <v>3.706979</v>
      </c>
      <c r="G644" s="18">
        <v>7.2780000000000005</v>
      </c>
      <c r="H644" s="18">
        <v>1.1263533333333333</v>
      </c>
      <c r="I644" s="18">
        <f t="shared" si="58"/>
        <v>8.4043533333333329</v>
      </c>
      <c r="J644" s="18">
        <v>0</v>
      </c>
      <c r="K644" s="18">
        <v>0</v>
      </c>
      <c r="L644" s="18">
        <f t="shared" si="59"/>
        <v>0</v>
      </c>
      <c r="M644" s="18">
        <v>0</v>
      </c>
      <c r="N644" s="18">
        <v>2.7440000000000002</v>
      </c>
      <c r="O644" s="18">
        <v>0</v>
      </c>
      <c r="P644" s="18">
        <v>0</v>
      </c>
      <c r="Q644" s="18">
        <f t="shared" si="61"/>
        <v>2.7440000000000002</v>
      </c>
      <c r="R644">
        <v>0</v>
      </c>
      <c r="S644">
        <v>0</v>
      </c>
      <c r="T644">
        <v>3.9450000000000003</v>
      </c>
      <c r="U644">
        <v>1.1686666666666667</v>
      </c>
      <c r="V644" s="18">
        <f t="shared" si="62"/>
        <v>2.7440000000000002</v>
      </c>
      <c r="W644" s="18">
        <f t="shared" si="60"/>
        <v>0</v>
      </c>
      <c r="X644">
        <v>3.8679999999999999</v>
      </c>
      <c r="Y644">
        <v>1.4856666666666667</v>
      </c>
    </row>
    <row r="645" spans="1:25" x14ac:dyDescent="0.2">
      <c r="A645" s="18">
        <v>8817</v>
      </c>
      <c r="C645" s="18">
        <v>0</v>
      </c>
      <c r="D645" s="18">
        <v>0</v>
      </c>
      <c r="E645" s="18">
        <v>0</v>
      </c>
      <c r="F645" s="18">
        <f t="shared" ref="F645:F708" si="63">SUM(D645:E645)</f>
        <v>0</v>
      </c>
      <c r="G645" s="18">
        <v>0</v>
      </c>
      <c r="H645" s="18">
        <v>0</v>
      </c>
      <c r="I645" s="18">
        <f t="shared" ref="I645:I708" si="64">SUM(G645:H645)</f>
        <v>0</v>
      </c>
      <c r="J645" s="18">
        <v>0</v>
      </c>
      <c r="K645" s="18">
        <v>0</v>
      </c>
      <c r="L645" s="18">
        <f t="shared" ref="L645:L708" si="65">SUM(J645:K645)</f>
        <v>0</v>
      </c>
      <c r="M645" s="18">
        <v>0</v>
      </c>
      <c r="N645" s="18">
        <v>0</v>
      </c>
      <c r="O645" s="18">
        <v>0</v>
      </c>
      <c r="P645" s="18">
        <v>0</v>
      </c>
      <c r="Q645" s="18">
        <f t="shared" si="61"/>
        <v>0</v>
      </c>
      <c r="R645">
        <v>0</v>
      </c>
      <c r="S645">
        <v>0</v>
      </c>
      <c r="T645">
        <v>0</v>
      </c>
      <c r="U645">
        <v>0</v>
      </c>
      <c r="V645" s="18">
        <f t="shared" si="62"/>
        <v>0</v>
      </c>
      <c r="W645" s="18">
        <f t="shared" ref="W645:W708" si="66">O645+P645</f>
        <v>0</v>
      </c>
      <c r="X645">
        <v>0</v>
      </c>
      <c r="Y645">
        <v>0</v>
      </c>
    </row>
    <row r="646" spans="1:25" x14ac:dyDescent="0.2">
      <c r="A646" s="18">
        <v>8834</v>
      </c>
      <c r="C646" s="18">
        <v>0</v>
      </c>
      <c r="D646" s="18">
        <v>0</v>
      </c>
      <c r="E646" s="18">
        <v>0</v>
      </c>
      <c r="F646" s="18">
        <f t="shared" si="63"/>
        <v>0</v>
      </c>
      <c r="G646" s="18">
        <v>0</v>
      </c>
      <c r="H646" s="18">
        <v>0</v>
      </c>
      <c r="I646" s="18">
        <f t="shared" si="64"/>
        <v>0</v>
      </c>
      <c r="J646" s="18">
        <v>0</v>
      </c>
      <c r="K646" s="18">
        <v>0</v>
      </c>
      <c r="L646" s="18">
        <f t="shared" si="65"/>
        <v>0</v>
      </c>
      <c r="M646" s="18">
        <v>0</v>
      </c>
      <c r="N646" s="18">
        <v>0</v>
      </c>
      <c r="O646" s="18">
        <v>0</v>
      </c>
      <c r="P646" s="18">
        <v>0</v>
      </c>
      <c r="Q646" s="18">
        <f t="shared" si="61"/>
        <v>0</v>
      </c>
      <c r="R646">
        <v>0</v>
      </c>
      <c r="S646">
        <v>0</v>
      </c>
      <c r="T646">
        <v>0</v>
      </c>
      <c r="U646">
        <v>0</v>
      </c>
      <c r="V646" s="18">
        <f t="shared" si="62"/>
        <v>0</v>
      </c>
      <c r="W646" s="18">
        <f t="shared" si="66"/>
        <v>0</v>
      </c>
      <c r="X646">
        <v>0</v>
      </c>
      <c r="Y646">
        <v>0</v>
      </c>
    </row>
    <row r="647" spans="1:25" x14ac:dyDescent="0.2">
      <c r="A647" s="18">
        <v>8828</v>
      </c>
      <c r="C647" s="18">
        <v>0</v>
      </c>
      <c r="D647" s="18">
        <v>0</v>
      </c>
      <c r="E647" s="18">
        <v>0</v>
      </c>
      <c r="F647" s="18">
        <f t="shared" si="63"/>
        <v>0</v>
      </c>
      <c r="G647" s="18">
        <v>0</v>
      </c>
      <c r="H647" s="18">
        <v>0</v>
      </c>
      <c r="I647" s="18">
        <f t="shared" si="64"/>
        <v>0</v>
      </c>
      <c r="J647" s="18">
        <v>0</v>
      </c>
      <c r="K647" s="18">
        <v>0</v>
      </c>
      <c r="L647" s="18">
        <f t="shared" si="65"/>
        <v>0</v>
      </c>
      <c r="M647" s="18">
        <v>0</v>
      </c>
      <c r="N647" s="18">
        <v>0</v>
      </c>
      <c r="O647" s="18">
        <v>0</v>
      </c>
      <c r="P647" s="18">
        <v>0</v>
      </c>
      <c r="Q647" s="18">
        <f t="shared" si="61"/>
        <v>0</v>
      </c>
      <c r="R647">
        <v>0</v>
      </c>
      <c r="S647">
        <v>0</v>
      </c>
      <c r="T647">
        <v>0</v>
      </c>
      <c r="U647">
        <v>0</v>
      </c>
      <c r="V647" s="18">
        <f t="shared" si="62"/>
        <v>0</v>
      </c>
      <c r="W647" s="18">
        <f t="shared" si="66"/>
        <v>0</v>
      </c>
      <c r="X647">
        <v>0</v>
      </c>
      <c r="Y647">
        <v>0</v>
      </c>
    </row>
    <row r="648" spans="1:25" x14ac:dyDescent="0.2">
      <c r="A648" s="18">
        <v>8824</v>
      </c>
      <c r="C648" s="18">
        <v>0</v>
      </c>
      <c r="D648" s="18">
        <v>0</v>
      </c>
      <c r="E648" s="18">
        <v>0</v>
      </c>
      <c r="F648" s="18">
        <f t="shared" si="63"/>
        <v>0</v>
      </c>
      <c r="G648" s="18">
        <v>0</v>
      </c>
      <c r="H648" s="18">
        <v>0</v>
      </c>
      <c r="I648" s="18">
        <f t="shared" si="64"/>
        <v>0</v>
      </c>
      <c r="J648" s="18">
        <v>0</v>
      </c>
      <c r="K648" s="18">
        <v>0</v>
      </c>
      <c r="L648" s="18">
        <f t="shared" si="65"/>
        <v>0</v>
      </c>
      <c r="M648" s="18">
        <v>0</v>
      </c>
      <c r="N648" s="18">
        <v>0</v>
      </c>
      <c r="O648" s="18">
        <v>0</v>
      </c>
      <c r="P648" s="18">
        <v>0</v>
      </c>
      <c r="Q648" s="18">
        <f t="shared" si="61"/>
        <v>0</v>
      </c>
      <c r="R648">
        <v>0</v>
      </c>
      <c r="S648">
        <v>0</v>
      </c>
      <c r="T648">
        <v>0</v>
      </c>
      <c r="U648">
        <v>0</v>
      </c>
      <c r="V648" s="18">
        <f t="shared" si="62"/>
        <v>0</v>
      </c>
      <c r="W648" s="18">
        <f t="shared" si="66"/>
        <v>0</v>
      </c>
      <c r="X648">
        <v>0</v>
      </c>
      <c r="Y648">
        <v>0</v>
      </c>
    </row>
    <row r="649" spans="1:25" x14ac:dyDescent="0.2">
      <c r="A649" s="18">
        <v>8750</v>
      </c>
      <c r="C649" s="18">
        <v>13.106666666666666</v>
      </c>
      <c r="D649" s="18">
        <v>0</v>
      </c>
      <c r="E649" s="18">
        <v>0</v>
      </c>
      <c r="F649" s="18">
        <f t="shared" si="63"/>
        <v>0</v>
      </c>
      <c r="G649" s="18">
        <v>0</v>
      </c>
      <c r="H649" s="18">
        <v>0</v>
      </c>
      <c r="I649" s="18">
        <f t="shared" si="64"/>
        <v>0</v>
      </c>
      <c r="J649" s="18">
        <v>0</v>
      </c>
      <c r="K649" s="18">
        <v>0</v>
      </c>
      <c r="L649" s="18">
        <f t="shared" si="65"/>
        <v>0</v>
      </c>
      <c r="M649" s="18">
        <v>0</v>
      </c>
      <c r="N649" s="18">
        <v>0</v>
      </c>
      <c r="O649" s="18">
        <v>0</v>
      </c>
      <c r="P649" s="18">
        <v>0</v>
      </c>
      <c r="Q649" s="18">
        <f t="shared" si="61"/>
        <v>0</v>
      </c>
      <c r="R649">
        <v>0</v>
      </c>
      <c r="S649">
        <v>0</v>
      </c>
      <c r="T649">
        <v>0</v>
      </c>
      <c r="U649">
        <v>0</v>
      </c>
      <c r="V649" s="18">
        <f t="shared" si="62"/>
        <v>0</v>
      </c>
      <c r="W649" s="18">
        <f t="shared" si="66"/>
        <v>0</v>
      </c>
      <c r="X649">
        <v>0</v>
      </c>
      <c r="Y649">
        <v>0</v>
      </c>
    </row>
    <row r="650" spans="1:25" x14ac:dyDescent="0.2">
      <c r="A650" s="18">
        <v>8818</v>
      </c>
      <c r="C650" s="18">
        <v>0</v>
      </c>
      <c r="D650" s="18">
        <v>0</v>
      </c>
      <c r="E650" s="18">
        <v>0</v>
      </c>
      <c r="F650" s="18">
        <f t="shared" si="63"/>
        <v>0</v>
      </c>
      <c r="G650" s="18">
        <v>0</v>
      </c>
      <c r="H650" s="18">
        <v>0</v>
      </c>
      <c r="I650" s="18">
        <f t="shared" si="64"/>
        <v>0</v>
      </c>
      <c r="J650" s="18">
        <v>0</v>
      </c>
      <c r="K650" s="18">
        <v>0</v>
      </c>
      <c r="L650" s="18">
        <f t="shared" si="65"/>
        <v>0</v>
      </c>
      <c r="M650" s="18">
        <v>0</v>
      </c>
      <c r="N650" s="18">
        <v>0</v>
      </c>
      <c r="O650" s="18">
        <v>0</v>
      </c>
      <c r="P650" s="18">
        <v>0</v>
      </c>
      <c r="Q650" s="18">
        <f t="shared" si="61"/>
        <v>0</v>
      </c>
      <c r="R650">
        <v>0</v>
      </c>
      <c r="S650">
        <v>0</v>
      </c>
      <c r="T650">
        <v>0</v>
      </c>
      <c r="U650">
        <v>0</v>
      </c>
      <c r="V650" s="18">
        <f t="shared" si="62"/>
        <v>0</v>
      </c>
      <c r="W650" s="18">
        <f t="shared" si="66"/>
        <v>0</v>
      </c>
      <c r="X650">
        <v>0</v>
      </c>
      <c r="Y650">
        <v>0</v>
      </c>
    </row>
    <row r="651" spans="1:25" x14ac:dyDescent="0.2">
      <c r="A651" s="18">
        <v>8859</v>
      </c>
      <c r="C651" s="18">
        <v>0</v>
      </c>
      <c r="D651" s="18">
        <v>0</v>
      </c>
      <c r="E651" s="18">
        <v>0</v>
      </c>
      <c r="F651" s="18">
        <f t="shared" si="63"/>
        <v>0</v>
      </c>
      <c r="G651" s="18">
        <v>0</v>
      </c>
      <c r="H651" s="18">
        <v>0</v>
      </c>
      <c r="I651" s="18">
        <f t="shared" si="64"/>
        <v>0</v>
      </c>
      <c r="J651" s="18">
        <v>0</v>
      </c>
      <c r="K651" s="18">
        <v>0</v>
      </c>
      <c r="L651" s="18">
        <f t="shared" si="65"/>
        <v>0</v>
      </c>
      <c r="M651" s="18">
        <v>0</v>
      </c>
      <c r="N651" s="18">
        <v>0</v>
      </c>
      <c r="O651" s="18">
        <v>0</v>
      </c>
      <c r="P651" s="18">
        <v>0</v>
      </c>
      <c r="Q651" s="18">
        <f t="shared" si="61"/>
        <v>0</v>
      </c>
      <c r="R651">
        <v>0</v>
      </c>
      <c r="S651">
        <v>0</v>
      </c>
      <c r="T651">
        <v>0</v>
      </c>
      <c r="U651">
        <v>0</v>
      </c>
      <c r="V651" s="18">
        <f t="shared" si="62"/>
        <v>0</v>
      </c>
      <c r="W651" s="18">
        <f t="shared" si="66"/>
        <v>0</v>
      </c>
      <c r="X651">
        <v>0</v>
      </c>
      <c r="Y651">
        <v>0</v>
      </c>
    </row>
    <row r="652" spans="1:25" x14ac:dyDescent="0.2">
      <c r="A652" s="18">
        <v>8863</v>
      </c>
      <c r="C652" s="18">
        <v>0</v>
      </c>
      <c r="D652" s="18">
        <v>0</v>
      </c>
      <c r="E652" s="18">
        <v>0</v>
      </c>
      <c r="F652" s="18">
        <f t="shared" si="63"/>
        <v>0</v>
      </c>
      <c r="G652" s="18">
        <v>0</v>
      </c>
      <c r="H652" s="18">
        <v>0</v>
      </c>
      <c r="I652" s="18">
        <f t="shared" si="64"/>
        <v>0</v>
      </c>
      <c r="J652" s="18">
        <v>0</v>
      </c>
      <c r="K652" s="18">
        <v>0</v>
      </c>
      <c r="L652" s="18">
        <f t="shared" si="65"/>
        <v>0</v>
      </c>
      <c r="M652" s="18">
        <v>0</v>
      </c>
      <c r="N652" s="18">
        <v>0</v>
      </c>
      <c r="O652" s="18">
        <v>0</v>
      </c>
      <c r="P652" s="18">
        <v>0</v>
      </c>
      <c r="Q652" s="18">
        <f t="shared" si="61"/>
        <v>0</v>
      </c>
      <c r="R652">
        <v>0</v>
      </c>
      <c r="S652">
        <v>0</v>
      </c>
      <c r="T652">
        <v>0</v>
      </c>
      <c r="U652">
        <v>0</v>
      </c>
      <c r="V652" s="18">
        <f t="shared" si="62"/>
        <v>0</v>
      </c>
      <c r="W652" s="18">
        <f t="shared" si="66"/>
        <v>0</v>
      </c>
      <c r="X652">
        <v>0</v>
      </c>
      <c r="Y652">
        <v>0</v>
      </c>
    </row>
    <row r="653" spans="1:25" x14ac:dyDescent="0.2">
      <c r="A653" s="18">
        <v>8862</v>
      </c>
      <c r="C653" s="18">
        <v>0</v>
      </c>
      <c r="D653" s="18">
        <v>0</v>
      </c>
      <c r="E653" s="18">
        <v>0</v>
      </c>
      <c r="F653" s="18">
        <f t="shared" si="63"/>
        <v>0</v>
      </c>
      <c r="G653" s="18">
        <v>0</v>
      </c>
      <c r="H653" s="18">
        <v>0</v>
      </c>
      <c r="I653" s="18">
        <f t="shared" si="64"/>
        <v>0</v>
      </c>
      <c r="J653" s="18">
        <v>0</v>
      </c>
      <c r="K653" s="18">
        <v>0</v>
      </c>
      <c r="L653" s="18">
        <f t="shared" si="65"/>
        <v>0</v>
      </c>
      <c r="M653" s="18">
        <v>0</v>
      </c>
      <c r="N653" s="18">
        <v>0</v>
      </c>
      <c r="O653" s="18">
        <v>0</v>
      </c>
      <c r="P653" s="18">
        <v>0</v>
      </c>
      <c r="Q653" s="18">
        <f t="shared" si="61"/>
        <v>0</v>
      </c>
      <c r="R653">
        <v>0</v>
      </c>
      <c r="S653">
        <v>0</v>
      </c>
      <c r="T653">
        <v>0</v>
      </c>
      <c r="U653">
        <v>0</v>
      </c>
      <c r="V653" s="18">
        <f t="shared" si="62"/>
        <v>0</v>
      </c>
      <c r="W653" s="18">
        <f t="shared" si="66"/>
        <v>0</v>
      </c>
      <c r="X653">
        <v>0</v>
      </c>
      <c r="Y653">
        <v>0</v>
      </c>
    </row>
    <row r="654" spans="1:25" x14ac:dyDescent="0.2">
      <c r="A654" s="18">
        <v>8864</v>
      </c>
      <c r="C654" s="18">
        <v>0</v>
      </c>
      <c r="D654" s="18">
        <v>0</v>
      </c>
      <c r="E654" s="18">
        <v>0</v>
      </c>
      <c r="F654" s="18">
        <f t="shared" si="63"/>
        <v>0</v>
      </c>
      <c r="G654" s="18">
        <v>0</v>
      </c>
      <c r="H654" s="18">
        <v>0</v>
      </c>
      <c r="I654" s="18">
        <f t="shared" si="64"/>
        <v>0</v>
      </c>
      <c r="J654" s="18">
        <v>0</v>
      </c>
      <c r="K654" s="18">
        <v>0</v>
      </c>
      <c r="L654" s="18">
        <f t="shared" si="65"/>
        <v>0</v>
      </c>
      <c r="M654" s="18">
        <v>0</v>
      </c>
      <c r="N654" s="18">
        <v>0</v>
      </c>
      <c r="O654" s="18">
        <v>0</v>
      </c>
      <c r="P654" s="18">
        <v>0</v>
      </c>
      <c r="Q654" s="18">
        <f t="shared" si="61"/>
        <v>0</v>
      </c>
      <c r="R654">
        <v>0</v>
      </c>
      <c r="S654">
        <v>0</v>
      </c>
      <c r="T654">
        <v>0</v>
      </c>
      <c r="U654">
        <v>0</v>
      </c>
      <c r="V654" s="18">
        <f t="shared" si="62"/>
        <v>0</v>
      </c>
      <c r="W654" s="18">
        <f t="shared" si="66"/>
        <v>0</v>
      </c>
      <c r="X654">
        <v>0</v>
      </c>
      <c r="Y654">
        <v>0</v>
      </c>
    </row>
    <row r="655" spans="1:25" x14ac:dyDescent="0.2">
      <c r="A655" s="18">
        <v>8861</v>
      </c>
      <c r="C655" s="18">
        <v>0</v>
      </c>
      <c r="D655" s="18">
        <v>0</v>
      </c>
      <c r="E655" s="18">
        <v>0</v>
      </c>
      <c r="F655" s="18">
        <f t="shared" si="63"/>
        <v>0</v>
      </c>
      <c r="G655" s="18">
        <v>0</v>
      </c>
      <c r="H655" s="18">
        <v>0</v>
      </c>
      <c r="I655" s="18">
        <f t="shared" si="64"/>
        <v>0</v>
      </c>
      <c r="J655" s="18">
        <v>0</v>
      </c>
      <c r="K655" s="18">
        <v>0</v>
      </c>
      <c r="L655" s="18">
        <f t="shared" si="65"/>
        <v>0</v>
      </c>
      <c r="M655" s="18">
        <v>0</v>
      </c>
      <c r="N655" s="18">
        <v>0</v>
      </c>
      <c r="O655" s="18">
        <v>0</v>
      </c>
      <c r="P655" s="18">
        <v>0</v>
      </c>
      <c r="Q655" s="18">
        <f t="shared" si="61"/>
        <v>0</v>
      </c>
      <c r="R655">
        <v>0</v>
      </c>
      <c r="S655">
        <v>0</v>
      </c>
      <c r="T655">
        <v>0</v>
      </c>
      <c r="U655">
        <v>0</v>
      </c>
      <c r="V655" s="18">
        <f t="shared" si="62"/>
        <v>0</v>
      </c>
      <c r="W655" s="18">
        <f t="shared" si="66"/>
        <v>0</v>
      </c>
      <c r="X655">
        <v>0</v>
      </c>
      <c r="Y655">
        <v>0</v>
      </c>
    </row>
    <row r="656" spans="1:25" x14ac:dyDescent="0.2">
      <c r="A656" s="18">
        <v>8857</v>
      </c>
      <c r="C656" s="18">
        <v>0</v>
      </c>
      <c r="D656" s="18">
        <v>0</v>
      </c>
      <c r="E656" s="18">
        <v>0</v>
      </c>
      <c r="F656" s="18">
        <f t="shared" si="63"/>
        <v>0</v>
      </c>
      <c r="G656" s="18">
        <v>0</v>
      </c>
      <c r="H656" s="18">
        <v>0</v>
      </c>
      <c r="I656" s="18">
        <f t="shared" si="64"/>
        <v>0</v>
      </c>
      <c r="J656" s="18">
        <v>0</v>
      </c>
      <c r="K656" s="18">
        <v>0</v>
      </c>
      <c r="L656" s="18">
        <f t="shared" si="65"/>
        <v>0</v>
      </c>
      <c r="M656" s="18">
        <v>0</v>
      </c>
      <c r="N656" s="18">
        <v>0</v>
      </c>
      <c r="O656" s="18">
        <v>0</v>
      </c>
      <c r="P656" s="18">
        <v>0</v>
      </c>
      <c r="Q656" s="18">
        <f t="shared" si="61"/>
        <v>0</v>
      </c>
      <c r="R656">
        <v>0</v>
      </c>
      <c r="S656">
        <v>0</v>
      </c>
      <c r="T656">
        <v>0</v>
      </c>
      <c r="U656">
        <v>0</v>
      </c>
      <c r="V656" s="18">
        <f t="shared" si="62"/>
        <v>0</v>
      </c>
      <c r="W656" s="18">
        <f t="shared" si="66"/>
        <v>0</v>
      </c>
      <c r="X656">
        <v>0</v>
      </c>
      <c r="Y656">
        <v>0</v>
      </c>
    </row>
    <row r="657" spans="1:25" x14ac:dyDescent="0.2">
      <c r="A657" s="18">
        <v>8888</v>
      </c>
      <c r="C657" s="18">
        <v>0</v>
      </c>
      <c r="D657" s="18">
        <v>0</v>
      </c>
      <c r="E657" s="18">
        <v>0</v>
      </c>
      <c r="F657" s="18">
        <f t="shared" si="63"/>
        <v>0</v>
      </c>
      <c r="G657" s="18">
        <v>0</v>
      </c>
      <c r="H657" s="18">
        <v>0</v>
      </c>
      <c r="I657" s="18">
        <f t="shared" si="64"/>
        <v>0</v>
      </c>
      <c r="J657" s="18">
        <v>0</v>
      </c>
      <c r="K657" s="18">
        <v>0</v>
      </c>
      <c r="L657" s="18">
        <f t="shared" si="65"/>
        <v>0</v>
      </c>
      <c r="M657" s="18">
        <v>0</v>
      </c>
      <c r="N657" s="18">
        <v>0</v>
      </c>
      <c r="O657" s="18">
        <v>0</v>
      </c>
      <c r="P657" s="18">
        <v>0</v>
      </c>
      <c r="Q657" s="18">
        <f t="shared" si="61"/>
        <v>0</v>
      </c>
      <c r="R657">
        <v>0</v>
      </c>
      <c r="S657">
        <v>0</v>
      </c>
      <c r="T657">
        <v>0</v>
      </c>
      <c r="U657">
        <v>0</v>
      </c>
      <c r="V657" s="18">
        <f t="shared" si="62"/>
        <v>0</v>
      </c>
      <c r="W657" s="18">
        <f t="shared" si="66"/>
        <v>0</v>
      </c>
      <c r="X657">
        <v>0</v>
      </c>
      <c r="Y657">
        <v>0</v>
      </c>
    </row>
    <row r="658" spans="1:25" x14ac:dyDescent="0.2">
      <c r="A658" s="18">
        <v>8691</v>
      </c>
      <c r="C658" s="18">
        <v>0</v>
      </c>
      <c r="D658" s="18">
        <v>0</v>
      </c>
      <c r="E658" s="18">
        <v>0</v>
      </c>
      <c r="F658" s="18">
        <f t="shared" si="63"/>
        <v>0</v>
      </c>
      <c r="G658" s="18">
        <v>0</v>
      </c>
      <c r="H658" s="18">
        <v>0</v>
      </c>
      <c r="I658" s="18">
        <f t="shared" si="64"/>
        <v>0</v>
      </c>
      <c r="J658" s="18">
        <v>0</v>
      </c>
      <c r="K658" s="18">
        <v>0</v>
      </c>
      <c r="L658" s="18">
        <f t="shared" si="65"/>
        <v>0</v>
      </c>
      <c r="M658" s="18">
        <v>0</v>
      </c>
      <c r="N658" s="18">
        <v>0</v>
      </c>
      <c r="O658" s="18">
        <v>0</v>
      </c>
      <c r="P658" s="18">
        <v>0</v>
      </c>
      <c r="Q658" s="18">
        <f t="shared" si="61"/>
        <v>0</v>
      </c>
      <c r="R658">
        <v>0</v>
      </c>
      <c r="S658">
        <v>0</v>
      </c>
      <c r="T658">
        <v>0</v>
      </c>
      <c r="U658">
        <v>0</v>
      </c>
      <c r="V658" s="18">
        <f t="shared" si="62"/>
        <v>0</v>
      </c>
      <c r="W658" s="18">
        <f t="shared" si="66"/>
        <v>0</v>
      </c>
      <c r="X658">
        <v>0</v>
      </c>
      <c r="Y658">
        <v>0</v>
      </c>
    </row>
    <row r="659" spans="1:25" x14ac:dyDescent="0.2">
      <c r="A659" s="18">
        <v>8878</v>
      </c>
      <c r="C659" s="18">
        <v>0</v>
      </c>
      <c r="D659" s="18">
        <v>0</v>
      </c>
      <c r="E659" s="18">
        <v>0</v>
      </c>
      <c r="F659" s="18">
        <f t="shared" si="63"/>
        <v>0</v>
      </c>
      <c r="G659" s="18">
        <v>0</v>
      </c>
      <c r="H659" s="18">
        <v>0</v>
      </c>
      <c r="I659" s="18">
        <f t="shared" si="64"/>
        <v>0</v>
      </c>
      <c r="J659" s="18">
        <v>0</v>
      </c>
      <c r="K659" s="18">
        <v>0</v>
      </c>
      <c r="L659" s="18">
        <f t="shared" si="65"/>
        <v>0</v>
      </c>
      <c r="M659" s="18">
        <v>0</v>
      </c>
      <c r="N659" s="18">
        <v>0</v>
      </c>
      <c r="O659" s="18">
        <v>0</v>
      </c>
      <c r="P659" s="18">
        <v>0</v>
      </c>
      <c r="Q659" s="18">
        <f t="shared" si="61"/>
        <v>0</v>
      </c>
      <c r="R659">
        <v>0</v>
      </c>
      <c r="S659">
        <v>0</v>
      </c>
      <c r="T659">
        <v>0</v>
      </c>
      <c r="U659">
        <v>0</v>
      </c>
      <c r="V659" s="18">
        <f t="shared" si="62"/>
        <v>0</v>
      </c>
      <c r="W659" s="18">
        <f t="shared" si="66"/>
        <v>0</v>
      </c>
      <c r="X659">
        <v>0</v>
      </c>
      <c r="Y659">
        <v>0</v>
      </c>
    </row>
    <row r="660" spans="1:25" x14ac:dyDescent="0.2">
      <c r="A660" s="18">
        <v>8877</v>
      </c>
      <c r="C660" s="18">
        <v>0</v>
      </c>
      <c r="D660" s="18">
        <v>0</v>
      </c>
      <c r="E660" s="18">
        <v>0</v>
      </c>
      <c r="F660" s="18">
        <f t="shared" si="63"/>
        <v>0</v>
      </c>
      <c r="G660" s="18">
        <v>0</v>
      </c>
      <c r="H660" s="18">
        <v>0</v>
      </c>
      <c r="I660" s="18">
        <f t="shared" si="64"/>
        <v>0</v>
      </c>
      <c r="J660" s="18">
        <v>0</v>
      </c>
      <c r="K660" s="18">
        <v>0</v>
      </c>
      <c r="L660" s="18">
        <f t="shared" si="65"/>
        <v>0</v>
      </c>
      <c r="M660" s="18">
        <v>0</v>
      </c>
      <c r="N660" s="18">
        <v>0</v>
      </c>
      <c r="O660" s="18">
        <v>0</v>
      </c>
      <c r="P660" s="18">
        <v>0</v>
      </c>
      <c r="Q660" s="18">
        <f t="shared" si="61"/>
        <v>0</v>
      </c>
      <c r="R660">
        <v>0</v>
      </c>
      <c r="S660">
        <v>0</v>
      </c>
      <c r="T660">
        <v>0</v>
      </c>
      <c r="U660">
        <v>0</v>
      </c>
      <c r="V660" s="18">
        <f t="shared" si="62"/>
        <v>0</v>
      </c>
      <c r="W660" s="18">
        <f t="shared" si="66"/>
        <v>0</v>
      </c>
      <c r="X660">
        <v>0</v>
      </c>
      <c r="Y660">
        <v>0</v>
      </c>
    </row>
    <row r="661" spans="1:25" x14ac:dyDescent="0.2">
      <c r="A661" s="18">
        <v>8876</v>
      </c>
      <c r="C661" s="18">
        <v>0</v>
      </c>
      <c r="D661" s="18">
        <v>0</v>
      </c>
      <c r="E661" s="18">
        <v>0</v>
      </c>
      <c r="F661" s="18">
        <f t="shared" si="63"/>
        <v>0</v>
      </c>
      <c r="G661" s="18">
        <v>0</v>
      </c>
      <c r="H661" s="18">
        <v>0</v>
      </c>
      <c r="I661" s="18">
        <f t="shared" si="64"/>
        <v>0</v>
      </c>
      <c r="J661" s="18">
        <v>0</v>
      </c>
      <c r="K661" s="18">
        <v>0</v>
      </c>
      <c r="L661" s="18">
        <f t="shared" si="65"/>
        <v>0</v>
      </c>
      <c r="M661" s="18">
        <v>0</v>
      </c>
      <c r="N661" s="18">
        <v>0</v>
      </c>
      <c r="O661" s="18">
        <v>0</v>
      </c>
      <c r="P661" s="18">
        <v>0</v>
      </c>
      <c r="Q661" s="18">
        <f t="shared" si="61"/>
        <v>0</v>
      </c>
      <c r="R661">
        <v>0</v>
      </c>
      <c r="S661">
        <v>0</v>
      </c>
      <c r="T661">
        <v>0</v>
      </c>
      <c r="U661">
        <v>0</v>
      </c>
      <c r="V661" s="18">
        <f t="shared" si="62"/>
        <v>0</v>
      </c>
      <c r="W661" s="18">
        <f t="shared" si="66"/>
        <v>0</v>
      </c>
      <c r="X661">
        <v>0</v>
      </c>
      <c r="Y661">
        <v>0</v>
      </c>
    </row>
    <row r="662" spans="1:25" x14ac:dyDescent="0.2">
      <c r="A662" s="18">
        <v>8875</v>
      </c>
      <c r="C662" s="18">
        <v>0</v>
      </c>
      <c r="D662" s="18">
        <v>0</v>
      </c>
      <c r="E662" s="18">
        <v>0</v>
      </c>
      <c r="F662" s="18">
        <f t="shared" si="63"/>
        <v>0</v>
      </c>
      <c r="G662" s="18">
        <v>0</v>
      </c>
      <c r="H662" s="18">
        <v>0</v>
      </c>
      <c r="I662" s="18">
        <f t="shared" si="64"/>
        <v>0</v>
      </c>
      <c r="J662" s="18">
        <v>0</v>
      </c>
      <c r="K662" s="18">
        <v>0</v>
      </c>
      <c r="L662" s="18">
        <f t="shared" si="65"/>
        <v>0</v>
      </c>
      <c r="M662" s="18">
        <v>0</v>
      </c>
      <c r="N662" s="18">
        <v>0</v>
      </c>
      <c r="O662" s="18">
        <v>0</v>
      </c>
      <c r="P662" s="18">
        <v>0</v>
      </c>
      <c r="Q662" s="18">
        <f t="shared" si="61"/>
        <v>0</v>
      </c>
      <c r="R662">
        <v>0</v>
      </c>
      <c r="S662">
        <v>0</v>
      </c>
      <c r="T662">
        <v>0</v>
      </c>
      <c r="U662">
        <v>0</v>
      </c>
      <c r="V662" s="18">
        <f t="shared" si="62"/>
        <v>0</v>
      </c>
      <c r="W662" s="18">
        <f t="shared" si="66"/>
        <v>0</v>
      </c>
      <c r="X662">
        <v>0</v>
      </c>
      <c r="Y662">
        <v>0</v>
      </c>
    </row>
    <row r="663" spans="1:25" x14ac:dyDescent="0.2">
      <c r="A663" s="18">
        <v>8102</v>
      </c>
      <c r="C663" s="18">
        <v>0</v>
      </c>
      <c r="D663" s="18">
        <v>0</v>
      </c>
      <c r="E663" s="18">
        <v>0</v>
      </c>
      <c r="F663" s="18">
        <f t="shared" si="63"/>
        <v>0</v>
      </c>
      <c r="G663" s="18">
        <v>0</v>
      </c>
      <c r="H663" s="18">
        <v>0</v>
      </c>
      <c r="I663" s="18">
        <f t="shared" si="64"/>
        <v>0</v>
      </c>
      <c r="J663" s="18">
        <v>0</v>
      </c>
      <c r="K663" s="18">
        <v>0</v>
      </c>
      <c r="L663" s="18">
        <f t="shared" si="65"/>
        <v>0</v>
      </c>
      <c r="M663" s="18">
        <v>0</v>
      </c>
      <c r="N663" s="18">
        <v>0</v>
      </c>
      <c r="O663" s="18">
        <v>0</v>
      </c>
      <c r="P663" s="18">
        <v>0</v>
      </c>
      <c r="Q663" s="18">
        <f t="shared" si="61"/>
        <v>0</v>
      </c>
      <c r="R663">
        <v>0</v>
      </c>
      <c r="S663">
        <v>0</v>
      </c>
      <c r="T663">
        <v>0</v>
      </c>
      <c r="U663">
        <v>0</v>
      </c>
      <c r="V663" s="18">
        <f t="shared" si="62"/>
        <v>0</v>
      </c>
      <c r="W663" s="18">
        <f t="shared" si="66"/>
        <v>0</v>
      </c>
      <c r="X663">
        <v>0</v>
      </c>
      <c r="Y663">
        <v>0</v>
      </c>
    </row>
    <row r="664" spans="1:25" x14ac:dyDescent="0.2">
      <c r="A664" s="18">
        <v>8641</v>
      </c>
      <c r="C664" s="18">
        <v>0</v>
      </c>
      <c r="D664" s="18">
        <v>0</v>
      </c>
      <c r="E664" s="18">
        <v>0</v>
      </c>
      <c r="F664" s="18">
        <f t="shared" si="63"/>
        <v>0</v>
      </c>
      <c r="G664" s="18">
        <v>2010.663</v>
      </c>
      <c r="H664" s="18">
        <v>454.1029388888889</v>
      </c>
      <c r="I664" s="18">
        <f t="shared" si="64"/>
        <v>2464.7659388888887</v>
      </c>
      <c r="J664" s="18">
        <v>35.258333333333333</v>
      </c>
      <c r="K664" s="18">
        <v>33.237458333333336</v>
      </c>
      <c r="L664" s="18">
        <f t="shared" si="65"/>
        <v>68.495791666666662</v>
      </c>
      <c r="M664" s="18">
        <v>0</v>
      </c>
      <c r="N664" s="18">
        <v>162.59533333333331</v>
      </c>
      <c r="O664" s="18">
        <v>1.83</v>
      </c>
      <c r="P664" s="18">
        <v>0</v>
      </c>
      <c r="Q664" s="18">
        <f t="shared" si="61"/>
        <v>164.42533333333333</v>
      </c>
      <c r="R664">
        <v>43.234333333333332</v>
      </c>
      <c r="S664">
        <v>0</v>
      </c>
      <c r="T664">
        <v>74.713333333333338</v>
      </c>
      <c r="U664">
        <v>2.2216666666666667</v>
      </c>
      <c r="V664" s="18">
        <f t="shared" si="62"/>
        <v>162.59533333333331</v>
      </c>
      <c r="W664" s="18">
        <f t="shared" si="66"/>
        <v>1.83</v>
      </c>
      <c r="X664">
        <v>22.91333333333333</v>
      </c>
      <c r="Y664">
        <v>0</v>
      </c>
    </row>
    <row r="665" spans="1:25" x14ac:dyDescent="0.2">
      <c r="A665" s="18">
        <v>8792</v>
      </c>
      <c r="C665" s="18">
        <v>0</v>
      </c>
      <c r="D665" s="18">
        <v>0</v>
      </c>
      <c r="E665" s="18">
        <v>0</v>
      </c>
      <c r="F665" s="18">
        <f t="shared" si="63"/>
        <v>0</v>
      </c>
      <c r="G665" s="18">
        <v>0</v>
      </c>
      <c r="H665" s="18">
        <v>0</v>
      </c>
      <c r="I665" s="18">
        <f t="shared" si="64"/>
        <v>0</v>
      </c>
      <c r="J665" s="18">
        <v>0</v>
      </c>
      <c r="K665" s="18">
        <v>0</v>
      </c>
      <c r="L665" s="18">
        <f t="shared" si="65"/>
        <v>0</v>
      </c>
      <c r="M665" s="18">
        <v>0</v>
      </c>
      <c r="N665" s="18">
        <v>0</v>
      </c>
      <c r="O665" s="18">
        <v>0</v>
      </c>
      <c r="P665" s="18">
        <v>0</v>
      </c>
      <c r="Q665" s="18">
        <f t="shared" si="61"/>
        <v>0</v>
      </c>
      <c r="R665">
        <v>0</v>
      </c>
      <c r="S665">
        <v>0</v>
      </c>
      <c r="T665">
        <v>0</v>
      </c>
      <c r="U665">
        <v>0</v>
      </c>
      <c r="V665" s="18">
        <f t="shared" si="62"/>
        <v>0</v>
      </c>
      <c r="W665" s="18">
        <f t="shared" si="66"/>
        <v>0</v>
      </c>
      <c r="X665">
        <v>0</v>
      </c>
      <c r="Y665">
        <v>0</v>
      </c>
    </row>
    <row r="666" spans="1:25" x14ac:dyDescent="0.2">
      <c r="A666" s="18">
        <v>8836</v>
      </c>
      <c r="C666" s="18">
        <v>0</v>
      </c>
      <c r="D666" s="18">
        <v>0</v>
      </c>
      <c r="E666" s="18">
        <v>0</v>
      </c>
      <c r="F666" s="18">
        <f t="shared" si="63"/>
        <v>0</v>
      </c>
      <c r="G666" s="18">
        <v>0</v>
      </c>
      <c r="H666" s="18">
        <v>0</v>
      </c>
      <c r="I666" s="18">
        <f t="shared" si="64"/>
        <v>0</v>
      </c>
      <c r="J666" s="18">
        <v>0</v>
      </c>
      <c r="K666" s="18">
        <v>0</v>
      </c>
      <c r="L666" s="18">
        <f t="shared" si="65"/>
        <v>0</v>
      </c>
      <c r="M666" s="18">
        <v>0</v>
      </c>
      <c r="N666" s="18">
        <v>0</v>
      </c>
      <c r="O666" s="18">
        <v>0</v>
      </c>
      <c r="P666" s="18">
        <v>0</v>
      </c>
      <c r="Q666" s="18">
        <f t="shared" si="61"/>
        <v>0</v>
      </c>
      <c r="R666">
        <v>0</v>
      </c>
      <c r="S666">
        <v>0</v>
      </c>
      <c r="T666">
        <v>0</v>
      </c>
      <c r="U666">
        <v>0</v>
      </c>
      <c r="V666" s="18">
        <f t="shared" si="62"/>
        <v>0</v>
      </c>
      <c r="W666" s="18">
        <f t="shared" si="66"/>
        <v>0</v>
      </c>
      <c r="X666">
        <v>0</v>
      </c>
      <c r="Y666">
        <v>0</v>
      </c>
    </row>
    <row r="667" spans="1:25" x14ac:dyDescent="0.2">
      <c r="A667" s="18">
        <v>8383</v>
      </c>
      <c r="C667" s="18">
        <v>0</v>
      </c>
      <c r="D667" s="18">
        <v>0</v>
      </c>
      <c r="E667" s="18">
        <v>0</v>
      </c>
      <c r="F667" s="18">
        <f t="shared" si="63"/>
        <v>0</v>
      </c>
      <c r="G667" s="18">
        <v>0</v>
      </c>
      <c r="H667" s="18">
        <v>0</v>
      </c>
      <c r="I667" s="18">
        <f t="shared" si="64"/>
        <v>0</v>
      </c>
      <c r="J667" s="18">
        <v>0</v>
      </c>
      <c r="K667" s="18">
        <v>0</v>
      </c>
      <c r="L667" s="18">
        <f t="shared" si="65"/>
        <v>0</v>
      </c>
      <c r="M667" s="18">
        <v>0</v>
      </c>
      <c r="N667" s="18">
        <v>0</v>
      </c>
      <c r="O667" s="18">
        <v>0</v>
      </c>
      <c r="P667" s="18">
        <v>0</v>
      </c>
      <c r="Q667" s="18">
        <f t="shared" si="61"/>
        <v>0</v>
      </c>
      <c r="R667">
        <v>0</v>
      </c>
      <c r="S667">
        <v>0</v>
      </c>
      <c r="T667">
        <v>0</v>
      </c>
      <c r="U667">
        <v>0</v>
      </c>
      <c r="V667" s="18">
        <f t="shared" si="62"/>
        <v>0</v>
      </c>
      <c r="W667" s="18">
        <f t="shared" si="66"/>
        <v>0</v>
      </c>
      <c r="X667">
        <v>0</v>
      </c>
      <c r="Y667">
        <v>0</v>
      </c>
    </row>
    <row r="668" spans="1:25" x14ac:dyDescent="0.2">
      <c r="A668" s="18">
        <v>8938</v>
      </c>
      <c r="C668" s="18">
        <v>20.488881666666668</v>
      </c>
      <c r="D668" s="18">
        <v>9.2681666666666693</v>
      </c>
      <c r="E668" s="18">
        <v>15.674963333333334</v>
      </c>
      <c r="F668" s="18">
        <f t="shared" si="63"/>
        <v>24.943130000000004</v>
      </c>
      <c r="G668" s="18">
        <v>13.458499999999999</v>
      </c>
      <c r="H668" s="18">
        <v>4.4987763333333337</v>
      </c>
      <c r="I668" s="18">
        <f t="shared" si="64"/>
        <v>17.957276333333333</v>
      </c>
      <c r="J668" s="18">
        <v>3.5920000000000001</v>
      </c>
      <c r="K668" s="18">
        <v>1.6585000000000001</v>
      </c>
      <c r="L668" s="18">
        <f t="shared" si="65"/>
        <v>5.2505000000000006</v>
      </c>
      <c r="M668" s="18">
        <v>108.375</v>
      </c>
      <c r="N668" s="18">
        <v>255.1</v>
      </c>
      <c r="O668" s="18">
        <v>0.45350000000000001</v>
      </c>
      <c r="P668" s="18">
        <v>72.25</v>
      </c>
      <c r="Q668" s="18">
        <f t="shared" si="61"/>
        <v>436.17850000000004</v>
      </c>
      <c r="R668">
        <v>2.1556666666666668</v>
      </c>
      <c r="S668">
        <v>1.6964999999999999</v>
      </c>
      <c r="T668">
        <v>40.545000000000002</v>
      </c>
      <c r="U668">
        <v>8.7329999999999988</v>
      </c>
      <c r="V668" s="18">
        <f t="shared" si="62"/>
        <v>363.47500000000002</v>
      </c>
      <c r="W668" s="18">
        <f t="shared" si="66"/>
        <v>72.703500000000005</v>
      </c>
      <c r="X668">
        <v>41.160499999999992</v>
      </c>
      <c r="Y668">
        <v>2.988</v>
      </c>
    </row>
    <row r="669" spans="1:25" x14ac:dyDescent="0.2">
      <c r="A669" s="18">
        <v>8941</v>
      </c>
      <c r="C669" s="18">
        <v>0</v>
      </c>
      <c r="D669" s="18">
        <v>0</v>
      </c>
      <c r="E669" s="18">
        <v>0</v>
      </c>
      <c r="F669" s="18">
        <f t="shared" si="63"/>
        <v>0</v>
      </c>
      <c r="G669" s="18">
        <v>0</v>
      </c>
      <c r="H669" s="18">
        <v>0</v>
      </c>
      <c r="I669" s="18">
        <f t="shared" si="64"/>
        <v>0</v>
      </c>
      <c r="J669" s="18">
        <v>0</v>
      </c>
      <c r="K669" s="18">
        <v>0</v>
      </c>
      <c r="L669" s="18">
        <f t="shared" si="65"/>
        <v>0</v>
      </c>
      <c r="M669" s="18">
        <v>0</v>
      </c>
      <c r="N669" s="18">
        <v>0</v>
      </c>
      <c r="O669" s="18">
        <v>0</v>
      </c>
      <c r="P669" s="18">
        <v>0</v>
      </c>
      <c r="Q669" s="18">
        <f t="shared" si="61"/>
        <v>0</v>
      </c>
      <c r="R669">
        <v>0</v>
      </c>
      <c r="S669">
        <v>0</v>
      </c>
      <c r="T669">
        <v>0</v>
      </c>
      <c r="U669">
        <v>0</v>
      </c>
      <c r="V669" s="18">
        <f t="shared" si="62"/>
        <v>0</v>
      </c>
      <c r="W669" s="18">
        <f t="shared" si="66"/>
        <v>0</v>
      </c>
      <c r="X669">
        <v>0</v>
      </c>
      <c r="Y669">
        <v>0</v>
      </c>
    </row>
    <row r="670" spans="1:25" x14ac:dyDescent="0.2">
      <c r="A670" s="18">
        <v>8945</v>
      </c>
      <c r="C670" s="18">
        <v>0</v>
      </c>
      <c r="D670" s="18">
        <v>0</v>
      </c>
      <c r="E670" s="18">
        <v>0</v>
      </c>
      <c r="F670" s="18">
        <f t="shared" si="63"/>
        <v>0</v>
      </c>
      <c r="G670" s="18">
        <v>0</v>
      </c>
      <c r="H670" s="18">
        <v>0</v>
      </c>
      <c r="I670" s="18">
        <f t="shared" si="64"/>
        <v>0</v>
      </c>
      <c r="J670" s="18">
        <v>0</v>
      </c>
      <c r="K670" s="18">
        <v>0</v>
      </c>
      <c r="L670" s="18">
        <f t="shared" si="65"/>
        <v>0</v>
      </c>
      <c r="M670" s="18">
        <v>0</v>
      </c>
      <c r="N670" s="18">
        <v>0</v>
      </c>
      <c r="O670" s="18">
        <v>0</v>
      </c>
      <c r="P670" s="18">
        <v>0</v>
      </c>
      <c r="Q670" s="18">
        <f t="shared" si="61"/>
        <v>0</v>
      </c>
      <c r="R670">
        <v>0</v>
      </c>
      <c r="S670">
        <v>0</v>
      </c>
      <c r="T670">
        <v>0</v>
      </c>
      <c r="U670">
        <v>0</v>
      </c>
      <c r="V670" s="18">
        <f t="shared" si="62"/>
        <v>0</v>
      </c>
      <c r="W670" s="18">
        <f t="shared" si="66"/>
        <v>0</v>
      </c>
      <c r="X670">
        <v>0</v>
      </c>
      <c r="Y670">
        <v>0</v>
      </c>
    </row>
    <row r="671" spans="1:25" x14ac:dyDescent="0.2">
      <c r="A671" s="18">
        <v>8946</v>
      </c>
      <c r="C671" s="18">
        <v>0</v>
      </c>
      <c r="D671" s="18">
        <v>0</v>
      </c>
      <c r="E671" s="18">
        <v>0</v>
      </c>
      <c r="F671" s="18">
        <f t="shared" si="63"/>
        <v>0</v>
      </c>
      <c r="G671" s="18">
        <v>0</v>
      </c>
      <c r="H671" s="18">
        <v>0</v>
      </c>
      <c r="I671" s="18">
        <f t="shared" si="64"/>
        <v>0</v>
      </c>
      <c r="J671" s="18">
        <v>0</v>
      </c>
      <c r="K671" s="18">
        <v>0</v>
      </c>
      <c r="L671" s="18">
        <f t="shared" si="65"/>
        <v>0</v>
      </c>
      <c r="M671" s="18">
        <v>0</v>
      </c>
      <c r="N671" s="18">
        <v>0</v>
      </c>
      <c r="O671" s="18">
        <v>0</v>
      </c>
      <c r="P671" s="18">
        <v>0</v>
      </c>
      <c r="Q671" s="18">
        <f t="shared" ref="Q671:Q734" si="67">SUM(M671:P671)</f>
        <v>0</v>
      </c>
      <c r="R671">
        <v>0</v>
      </c>
      <c r="S671">
        <v>0</v>
      </c>
      <c r="T671">
        <v>0</v>
      </c>
      <c r="U671">
        <v>0</v>
      </c>
      <c r="V671" s="18">
        <f t="shared" si="62"/>
        <v>0</v>
      </c>
      <c r="W671" s="18">
        <f t="shared" si="66"/>
        <v>0</v>
      </c>
      <c r="X671">
        <v>0</v>
      </c>
      <c r="Y671">
        <v>0</v>
      </c>
    </row>
    <row r="672" spans="1:25" x14ac:dyDescent="0.2">
      <c r="A672" s="18">
        <v>8948</v>
      </c>
      <c r="C672" s="18">
        <v>0</v>
      </c>
      <c r="D672" s="18">
        <v>0</v>
      </c>
      <c r="E672" s="18">
        <v>0</v>
      </c>
      <c r="F672" s="18">
        <f t="shared" si="63"/>
        <v>0</v>
      </c>
      <c r="G672" s="18">
        <v>0</v>
      </c>
      <c r="H672" s="18">
        <v>0</v>
      </c>
      <c r="I672" s="18">
        <f t="shared" si="64"/>
        <v>0</v>
      </c>
      <c r="J672" s="18">
        <v>0</v>
      </c>
      <c r="K672" s="18">
        <v>0</v>
      </c>
      <c r="L672" s="18">
        <f t="shared" si="65"/>
        <v>0</v>
      </c>
      <c r="M672" s="18">
        <v>0</v>
      </c>
      <c r="N672" s="18">
        <v>0</v>
      </c>
      <c r="O672" s="18">
        <v>0</v>
      </c>
      <c r="P672" s="18">
        <v>0</v>
      </c>
      <c r="Q672" s="18">
        <f t="shared" si="67"/>
        <v>0</v>
      </c>
      <c r="R672">
        <v>0</v>
      </c>
      <c r="S672">
        <v>0</v>
      </c>
      <c r="T672">
        <v>0</v>
      </c>
      <c r="U672">
        <v>0</v>
      </c>
      <c r="V672" s="18">
        <f t="shared" si="62"/>
        <v>0</v>
      </c>
      <c r="W672" s="18">
        <f t="shared" si="66"/>
        <v>0</v>
      </c>
      <c r="X672">
        <v>0</v>
      </c>
      <c r="Y672">
        <v>0</v>
      </c>
    </row>
    <row r="673" spans="1:25" x14ac:dyDescent="0.2">
      <c r="A673" s="18">
        <v>8952</v>
      </c>
      <c r="C673" s="18">
        <v>0</v>
      </c>
      <c r="D673" s="18">
        <v>0</v>
      </c>
      <c r="E673" s="18">
        <v>0</v>
      </c>
      <c r="F673" s="18">
        <f t="shared" si="63"/>
        <v>0</v>
      </c>
      <c r="G673" s="18">
        <v>573.74416666666673</v>
      </c>
      <c r="H673" s="18">
        <v>124.41338333333334</v>
      </c>
      <c r="I673" s="18">
        <f t="shared" si="64"/>
        <v>698.15755000000013</v>
      </c>
      <c r="J673" s="18">
        <v>463.45000000000005</v>
      </c>
      <c r="K673" s="18">
        <v>243.25</v>
      </c>
      <c r="L673" s="18">
        <f t="shared" si="65"/>
        <v>706.7</v>
      </c>
      <c r="M673" s="18">
        <v>0</v>
      </c>
      <c r="N673" s="18">
        <v>579.22249999999997</v>
      </c>
      <c r="O673" s="18">
        <v>84.658333333333331</v>
      </c>
      <c r="P673" s="18">
        <v>0</v>
      </c>
      <c r="Q673" s="18">
        <f t="shared" si="67"/>
        <v>663.88083333333327</v>
      </c>
      <c r="R673">
        <v>111.63833333333335</v>
      </c>
      <c r="S673">
        <v>0</v>
      </c>
      <c r="T673">
        <v>22.404999999999998</v>
      </c>
      <c r="U673">
        <v>15.560000000000002</v>
      </c>
      <c r="V673" s="18">
        <f t="shared" si="62"/>
        <v>579.22249999999997</v>
      </c>
      <c r="W673" s="18">
        <f t="shared" si="66"/>
        <v>84.658333333333331</v>
      </c>
      <c r="X673">
        <v>302.9083333333333</v>
      </c>
      <c r="Y673">
        <v>0</v>
      </c>
    </row>
    <row r="674" spans="1:25" x14ac:dyDescent="0.2">
      <c r="A674" s="18">
        <v>8954</v>
      </c>
      <c r="C674" s="18">
        <v>0</v>
      </c>
      <c r="D674" s="18">
        <v>0</v>
      </c>
      <c r="E674" s="18">
        <v>0</v>
      </c>
      <c r="F674" s="18">
        <f t="shared" si="63"/>
        <v>0</v>
      </c>
      <c r="G674" s="18">
        <v>0</v>
      </c>
      <c r="H674" s="18">
        <v>0</v>
      </c>
      <c r="I674" s="18">
        <f t="shared" si="64"/>
        <v>0</v>
      </c>
      <c r="J674" s="18">
        <v>0</v>
      </c>
      <c r="K674" s="18">
        <v>0</v>
      </c>
      <c r="L674" s="18">
        <f t="shared" si="65"/>
        <v>0</v>
      </c>
      <c r="M674" s="18">
        <v>0</v>
      </c>
      <c r="N674" s="18">
        <v>0</v>
      </c>
      <c r="O674" s="18">
        <v>0</v>
      </c>
      <c r="P674" s="18">
        <v>0</v>
      </c>
      <c r="Q674" s="18">
        <f t="shared" si="67"/>
        <v>0</v>
      </c>
      <c r="R674">
        <v>0</v>
      </c>
      <c r="S674">
        <v>0</v>
      </c>
      <c r="T674">
        <v>0</v>
      </c>
      <c r="U674">
        <v>0</v>
      </c>
      <c r="V674" s="18">
        <f t="shared" si="62"/>
        <v>0</v>
      </c>
      <c r="W674" s="18">
        <f t="shared" si="66"/>
        <v>0</v>
      </c>
      <c r="X674">
        <v>0</v>
      </c>
      <c r="Y674">
        <v>0</v>
      </c>
    </row>
    <row r="675" spans="1:25" x14ac:dyDescent="0.2">
      <c r="A675" s="18">
        <v>8956</v>
      </c>
      <c r="C675" s="18">
        <v>0</v>
      </c>
      <c r="D675" s="18">
        <v>0</v>
      </c>
      <c r="E675" s="18">
        <v>0</v>
      </c>
      <c r="F675" s="18">
        <f t="shared" si="63"/>
        <v>0</v>
      </c>
      <c r="G675" s="18">
        <v>0</v>
      </c>
      <c r="H675" s="18">
        <v>0</v>
      </c>
      <c r="I675" s="18">
        <f t="shared" si="64"/>
        <v>0</v>
      </c>
      <c r="J675" s="18">
        <v>0</v>
      </c>
      <c r="K675" s="18">
        <v>0</v>
      </c>
      <c r="L675" s="18">
        <f t="shared" si="65"/>
        <v>0</v>
      </c>
      <c r="M675" s="18">
        <v>0</v>
      </c>
      <c r="N675" s="18">
        <v>0</v>
      </c>
      <c r="O675" s="18">
        <v>0</v>
      </c>
      <c r="P675" s="18">
        <v>0</v>
      </c>
      <c r="Q675" s="18">
        <f t="shared" si="67"/>
        <v>0</v>
      </c>
      <c r="R675">
        <v>0</v>
      </c>
      <c r="S675">
        <v>0</v>
      </c>
      <c r="T675">
        <v>0</v>
      </c>
      <c r="U675">
        <v>0</v>
      </c>
      <c r="V675" s="18">
        <f t="shared" si="62"/>
        <v>0</v>
      </c>
      <c r="W675" s="18">
        <f t="shared" si="66"/>
        <v>0</v>
      </c>
      <c r="X675">
        <v>0</v>
      </c>
      <c r="Y675">
        <v>0</v>
      </c>
    </row>
    <row r="676" spans="1:25" x14ac:dyDescent="0.2">
      <c r="A676" s="18">
        <v>8812</v>
      </c>
      <c r="C676" s="18">
        <v>0</v>
      </c>
      <c r="D676" s="18">
        <v>0</v>
      </c>
      <c r="E676" s="18">
        <v>0</v>
      </c>
      <c r="F676" s="18">
        <f t="shared" si="63"/>
        <v>0</v>
      </c>
      <c r="G676" s="18">
        <v>0</v>
      </c>
      <c r="H676" s="18">
        <v>0</v>
      </c>
      <c r="I676" s="18">
        <f t="shared" si="64"/>
        <v>0</v>
      </c>
      <c r="J676" s="18">
        <v>0</v>
      </c>
      <c r="K676" s="18">
        <v>0</v>
      </c>
      <c r="L676" s="18">
        <f t="shared" si="65"/>
        <v>0</v>
      </c>
      <c r="M676" s="18">
        <v>0</v>
      </c>
      <c r="N676" s="18">
        <v>0</v>
      </c>
      <c r="O676" s="18">
        <v>0</v>
      </c>
      <c r="P676" s="18">
        <v>0</v>
      </c>
      <c r="Q676" s="18">
        <f t="shared" si="67"/>
        <v>0</v>
      </c>
      <c r="R676">
        <v>0</v>
      </c>
      <c r="S676">
        <v>0</v>
      </c>
      <c r="T676">
        <v>0</v>
      </c>
      <c r="U676">
        <v>0</v>
      </c>
      <c r="V676" s="18">
        <f t="shared" si="62"/>
        <v>0</v>
      </c>
      <c r="W676" s="18">
        <f t="shared" si="66"/>
        <v>0</v>
      </c>
      <c r="X676">
        <v>0</v>
      </c>
      <c r="Y676">
        <v>0</v>
      </c>
    </row>
    <row r="677" spans="1:25" x14ac:dyDescent="0.2">
      <c r="A677" s="18">
        <v>8988</v>
      </c>
      <c r="C677" s="18">
        <v>0</v>
      </c>
      <c r="D677" s="18">
        <v>0</v>
      </c>
      <c r="E677" s="18">
        <v>0</v>
      </c>
      <c r="F677" s="18">
        <f t="shared" si="63"/>
        <v>0</v>
      </c>
      <c r="G677" s="18">
        <v>0</v>
      </c>
      <c r="H677" s="18">
        <v>0</v>
      </c>
      <c r="I677" s="18">
        <f t="shared" si="64"/>
        <v>0</v>
      </c>
      <c r="J677" s="18">
        <v>0</v>
      </c>
      <c r="K677" s="18">
        <v>0</v>
      </c>
      <c r="L677" s="18">
        <f t="shared" si="65"/>
        <v>0</v>
      </c>
      <c r="M677" s="18">
        <v>0</v>
      </c>
      <c r="N677" s="18">
        <v>0</v>
      </c>
      <c r="O677" s="18">
        <v>0</v>
      </c>
      <c r="P677" s="18">
        <v>0</v>
      </c>
      <c r="Q677" s="18">
        <f t="shared" si="67"/>
        <v>0</v>
      </c>
      <c r="R677">
        <v>0</v>
      </c>
      <c r="S677">
        <v>0</v>
      </c>
      <c r="T677">
        <v>0</v>
      </c>
      <c r="U677">
        <v>0</v>
      </c>
      <c r="V677" s="18">
        <f t="shared" si="62"/>
        <v>0</v>
      </c>
      <c r="W677" s="18">
        <f t="shared" si="66"/>
        <v>0</v>
      </c>
      <c r="X677">
        <v>0</v>
      </c>
      <c r="Y677">
        <v>0</v>
      </c>
    </row>
    <row r="678" spans="1:25" x14ac:dyDescent="0.2">
      <c r="A678" s="18">
        <v>8995</v>
      </c>
      <c r="C678" s="18">
        <v>0</v>
      </c>
      <c r="D678" s="18">
        <v>0</v>
      </c>
      <c r="E678" s="18">
        <v>0</v>
      </c>
      <c r="F678" s="18">
        <f t="shared" si="63"/>
        <v>0</v>
      </c>
      <c r="G678" s="18">
        <v>0</v>
      </c>
      <c r="H678" s="18">
        <v>0</v>
      </c>
      <c r="I678" s="18">
        <f t="shared" si="64"/>
        <v>0</v>
      </c>
      <c r="J678" s="18">
        <v>0</v>
      </c>
      <c r="K678" s="18">
        <v>0</v>
      </c>
      <c r="L678" s="18">
        <f t="shared" si="65"/>
        <v>0</v>
      </c>
      <c r="M678" s="18">
        <v>0</v>
      </c>
      <c r="N678" s="18">
        <v>0</v>
      </c>
      <c r="O678" s="18">
        <v>0</v>
      </c>
      <c r="P678" s="18">
        <v>0</v>
      </c>
      <c r="Q678" s="18">
        <f t="shared" si="67"/>
        <v>0</v>
      </c>
      <c r="R678">
        <v>0</v>
      </c>
      <c r="S678">
        <v>0</v>
      </c>
      <c r="T678">
        <v>0</v>
      </c>
      <c r="U678">
        <v>0</v>
      </c>
      <c r="V678" s="18">
        <f t="shared" si="62"/>
        <v>0</v>
      </c>
      <c r="W678" s="18">
        <f t="shared" si="66"/>
        <v>0</v>
      </c>
      <c r="X678">
        <v>0</v>
      </c>
      <c r="Y678">
        <v>0</v>
      </c>
    </row>
    <row r="679" spans="1:25" x14ac:dyDescent="0.2">
      <c r="A679" s="18">
        <v>9005</v>
      </c>
      <c r="C679" s="18">
        <v>0</v>
      </c>
      <c r="D679" s="18">
        <v>0</v>
      </c>
      <c r="E679" s="18">
        <v>0</v>
      </c>
      <c r="F679" s="18">
        <f t="shared" si="63"/>
        <v>0</v>
      </c>
      <c r="G679" s="18">
        <v>1496.9653333333335</v>
      </c>
      <c r="H679" s="18">
        <v>552.44035383333335</v>
      </c>
      <c r="I679" s="18">
        <f t="shared" si="64"/>
        <v>2049.4056871666671</v>
      </c>
      <c r="J679" s="18">
        <v>0</v>
      </c>
      <c r="K679" s="18">
        <v>0</v>
      </c>
      <c r="L679" s="18">
        <f t="shared" si="65"/>
        <v>0</v>
      </c>
      <c r="M679" s="18">
        <v>0</v>
      </c>
      <c r="N679" s="18">
        <v>140.15416666666667</v>
      </c>
      <c r="O679" s="18">
        <v>0</v>
      </c>
      <c r="P679" s="18">
        <v>0</v>
      </c>
      <c r="Q679" s="18">
        <f t="shared" si="67"/>
        <v>140.15416666666667</v>
      </c>
      <c r="R679">
        <v>0</v>
      </c>
      <c r="S679">
        <v>0</v>
      </c>
      <c r="T679">
        <v>22.67</v>
      </c>
      <c r="U679">
        <v>0</v>
      </c>
      <c r="V679" s="18">
        <f t="shared" si="62"/>
        <v>140.15416666666667</v>
      </c>
      <c r="W679" s="18">
        <f t="shared" si="66"/>
        <v>0</v>
      </c>
      <c r="X679">
        <v>0</v>
      </c>
      <c r="Y679">
        <v>0</v>
      </c>
    </row>
    <row r="680" spans="1:25" x14ac:dyDescent="0.2">
      <c r="A680" s="18">
        <v>9003</v>
      </c>
      <c r="C680" s="18">
        <v>0</v>
      </c>
      <c r="D680" s="18">
        <v>0</v>
      </c>
      <c r="E680" s="18">
        <v>0</v>
      </c>
      <c r="F680" s="18">
        <f t="shared" si="63"/>
        <v>0</v>
      </c>
      <c r="G680" s="18">
        <v>0</v>
      </c>
      <c r="H680" s="18">
        <v>0</v>
      </c>
      <c r="I680" s="18">
        <f t="shared" si="64"/>
        <v>0</v>
      </c>
      <c r="J680" s="18">
        <v>0</v>
      </c>
      <c r="K680" s="18">
        <v>0</v>
      </c>
      <c r="L680" s="18">
        <f t="shared" si="65"/>
        <v>0</v>
      </c>
      <c r="M680" s="18">
        <v>0</v>
      </c>
      <c r="N680" s="18">
        <v>0</v>
      </c>
      <c r="O680" s="18">
        <v>0</v>
      </c>
      <c r="P680" s="18">
        <v>0</v>
      </c>
      <c r="Q680" s="18">
        <f t="shared" si="67"/>
        <v>0</v>
      </c>
      <c r="R680">
        <v>0</v>
      </c>
      <c r="S680">
        <v>0</v>
      </c>
      <c r="T680">
        <v>0</v>
      </c>
      <c r="U680">
        <v>0</v>
      </c>
      <c r="V680" s="18">
        <f t="shared" si="62"/>
        <v>0</v>
      </c>
      <c r="W680" s="18">
        <f t="shared" si="66"/>
        <v>0</v>
      </c>
      <c r="X680">
        <v>0</v>
      </c>
      <c r="Y680">
        <v>0</v>
      </c>
    </row>
    <row r="681" spans="1:25" x14ac:dyDescent="0.2">
      <c r="A681" s="18">
        <v>9015</v>
      </c>
      <c r="C681" s="18">
        <v>1.5248333333333333</v>
      </c>
      <c r="D681" s="18">
        <v>0.8623333333333334</v>
      </c>
      <c r="E681" s="18">
        <v>0.96333333333333337</v>
      </c>
      <c r="F681" s="18">
        <f t="shared" si="63"/>
        <v>1.8256666666666668</v>
      </c>
      <c r="G681" s="18">
        <v>2.7568333333333332</v>
      </c>
      <c r="H681" s="18">
        <v>0.69022833333333333</v>
      </c>
      <c r="I681" s="18">
        <f t="shared" si="64"/>
        <v>3.4470616666666665</v>
      </c>
      <c r="J681" s="18">
        <v>0</v>
      </c>
      <c r="K681" s="18">
        <v>0</v>
      </c>
      <c r="L681" s="18">
        <f t="shared" si="65"/>
        <v>0</v>
      </c>
      <c r="M681" s="18">
        <v>70.125</v>
      </c>
      <c r="N681" s="18">
        <v>0.18466666666666667</v>
      </c>
      <c r="O681" s="18">
        <v>0</v>
      </c>
      <c r="P681" s="18">
        <v>46.75</v>
      </c>
      <c r="Q681" s="18">
        <f t="shared" si="67"/>
        <v>117.05966666666667</v>
      </c>
      <c r="R681">
        <v>0.1865</v>
      </c>
      <c r="S681">
        <v>0.50683333333333336</v>
      </c>
      <c r="T681">
        <v>3.79</v>
      </c>
      <c r="U681">
        <v>1.7525000000000002</v>
      </c>
      <c r="V681" s="18">
        <f t="shared" si="62"/>
        <v>70.309666666666672</v>
      </c>
      <c r="W681" s="18">
        <f t="shared" si="66"/>
        <v>46.75</v>
      </c>
      <c r="X681">
        <v>9.8008333333333333</v>
      </c>
      <c r="Y681">
        <v>8.1666666666666665E-2</v>
      </c>
    </row>
    <row r="682" spans="1:25" x14ac:dyDescent="0.2">
      <c r="A682" s="18">
        <v>9027</v>
      </c>
      <c r="C682" s="18">
        <v>0</v>
      </c>
      <c r="D682" s="18">
        <v>0</v>
      </c>
      <c r="E682" s="18">
        <v>0</v>
      </c>
      <c r="F682" s="18">
        <f t="shared" si="63"/>
        <v>0</v>
      </c>
      <c r="G682" s="18">
        <v>0</v>
      </c>
      <c r="H682" s="18">
        <v>0</v>
      </c>
      <c r="I682" s="18">
        <f t="shared" si="64"/>
        <v>0</v>
      </c>
      <c r="J682" s="18">
        <v>0</v>
      </c>
      <c r="K682" s="18">
        <v>0</v>
      </c>
      <c r="L682" s="18">
        <f t="shared" si="65"/>
        <v>0</v>
      </c>
      <c r="M682" s="18">
        <v>0</v>
      </c>
      <c r="N682" s="18">
        <v>0</v>
      </c>
      <c r="O682" s="18">
        <v>0</v>
      </c>
      <c r="P682" s="18">
        <v>0</v>
      </c>
      <c r="Q682" s="18">
        <f t="shared" si="67"/>
        <v>0</v>
      </c>
      <c r="R682">
        <v>0</v>
      </c>
      <c r="S682">
        <v>0</v>
      </c>
      <c r="T682">
        <v>0</v>
      </c>
      <c r="U682">
        <v>0</v>
      </c>
      <c r="V682" s="18">
        <f t="shared" si="62"/>
        <v>0</v>
      </c>
      <c r="W682" s="18">
        <f t="shared" si="66"/>
        <v>0</v>
      </c>
      <c r="X682">
        <v>0</v>
      </c>
      <c r="Y682">
        <v>0</v>
      </c>
    </row>
    <row r="683" spans="1:25" x14ac:dyDescent="0.2">
      <c r="A683" s="18">
        <v>8964</v>
      </c>
      <c r="C683" s="18">
        <v>0</v>
      </c>
      <c r="D683" s="18">
        <v>0</v>
      </c>
      <c r="E683" s="18">
        <v>0</v>
      </c>
      <c r="F683" s="18">
        <f t="shared" si="63"/>
        <v>0</v>
      </c>
      <c r="G683" s="18">
        <v>0</v>
      </c>
      <c r="H683" s="18">
        <v>0</v>
      </c>
      <c r="I683" s="18">
        <f t="shared" si="64"/>
        <v>0</v>
      </c>
      <c r="J683" s="18">
        <v>0</v>
      </c>
      <c r="K683" s="18">
        <v>0</v>
      </c>
      <c r="L683" s="18">
        <f t="shared" si="65"/>
        <v>0</v>
      </c>
      <c r="M683" s="18">
        <v>0</v>
      </c>
      <c r="N683" s="18">
        <v>0</v>
      </c>
      <c r="O683" s="18">
        <v>0</v>
      </c>
      <c r="P683" s="18">
        <v>0</v>
      </c>
      <c r="Q683" s="18">
        <f t="shared" si="67"/>
        <v>0</v>
      </c>
      <c r="R683">
        <v>0</v>
      </c>
      <c r="S683">
        <v>0</v>
      </c>
      <c r="T683">
        <v>0</v>
      </c>
      <c r="U683">
        <v>0</v>
      </c>
      <c r="V683" s="18">
        <f t="shared" si="62"/>
        <v>0</v>
      </c>
      <c r="W683" s="18">
        <f t="shared" si="66"/>
        <v>0</v>
      </c>
      <c r="X683">
        <v>0</v>
      </c>
      <c r="Y683">
        <v>0</v>
      </c>
    </row>
    <row r="684" spans="1:25" x14ac:dyDescent="0.2">
      <c r="A684" s="18">
        <v>9023</v>
      </c>
      <c r="C684" s="18">
        <v>0</v>
      </c>
      <c r="D684" s="18">
        <v>0.73949999999999994</v>
      </c>
      <c r="E684" s="18">
        <v>0</v>
      </c>
      <c r="F684" s="18">
        <f t="shared" si="63"/>
        <v>0.73949999999999994</v>
      </c>
      <c r="G684" s="18">
        <v>1.0048333333333332</v>
      </c>
      <c r="H684" s="18">
        <v>4.9721666666666664E-2</v>
      </c>
      <c r="I684" s="18">
        <f t="shared" si="64"/>
        <v>1.0545549999999999</v>
      </c>
      <c r="J684" s="18">
        <v>0</v>
      </c>
      <c r="K684" s="18">
        <v>0</v>
      </c>
      <c r="L684" s="18">
        <f t="shared" si="65"/>
        <v>0</v>
      </c>
      <c r="M684" s="18">
        <v>0</v>
      </c>
      <c r="N684" s="18">
        <v>0</v>
      </c>
      <c r="O684" s="18">
        <v>0</v>
      </c>
      <c r="P684" s="18">
        <v>0</v>
      </c>
      <c r="Q684" s="18">
        <f t="shared" si="67"/>
        <v>0</v>
      </c>
      <c r="R684">
        <v>4.3166666666666666E-2</v>
      </c>
      <c r="S684">
        <v>0</v>
      </c>
      <c r="T684">
        <v>0.10666666666666667</v>
      </c>
      <c r="U684">
        <v>0</v>
      </c>
      <c r="V684" s="18">
        <f t="shared" si="62"/>
        <v>0</v>
      </c>
      <c r="W684" s="18">
        <f t="shared" si="66"/>
        <v>0</v>
      </c>
      <c r="X684">
        <v>0.24800000000000003</v>
      </c>
      <c r="Y684">
        <v>0</v>
      </c>
    </row>
    <row r="685" spans="1:25" x14ac:dyDescent="0.2">
      <c r="A685" s="18">
        <v>9035</v>
      </c>
      <c r="C685" s="18">
        <v>0</v>
      </c>
      <c r="D685" s="18">
        <v>0</v>
      </c>
      <c r="E685" s="18">
        <v>0</v>
      </c>
      <c r="F685" s="18">
        <f t="shared" si="63"/>
        <v>0</v>
      </c>
      <c r="G685" s="18">
        <v>0</v>
      </c>
      <c r="H685" s="18">
        <v>0</v>
      </c>
      <c r="I685" s="18">
        <f t="shared" si="64"/>
        <v>0</v>
      </c>
      <c r="J685" s="18">
        <v>0</v>
      </c>
      <c r="K685" s="18">
        <v>0</v>
      </c>
      <c r="L685" s="18">
        <f t="shared" si="65"/>
        <v>0</v>
      </c>
      <c r="M685" s="18">
        <v>0</v>
      </c>
      <c r="N685" s="18">
        <v>0</v>
      </c>
      <c r="O685" s="18">
        <v>0</v>
      </c>
      <c r="P685" s="18">
        <v>0</v>
      </c>
      <c r="Q685" s="18">
        <f t="shared" si="67"/>
        <v>0</v>
      </c>
      <c r="R685">
        <v>0</v>
      </c>
      <c r="S685">
        <v>0</v>
      </c>
      <c r="T685">
        <v>0</v>
      </c>
      <c r="U685">
        <v>0</v>
      </c>
      <c r="V685" s="18">
        <f t="shared" si="62"/>
        <v>0</v>
      </c>
      <c r="W685" s="18">
        <f t="shared" si="66"/>
        <v>0</v>
      </c>
      <c r="X685">
        <v>0</v>
      </c>
      <c r="Y685">
        <v>0</v>
      </c>
    </row>
    <row r="686" spans="1:25" x14ac:dyDescent="0.2">
      <c r="A686" s="18">
        <v>9062</v>
      </c>
      <c r="C686" s="18">
        <v>0</v>
      </c>
      <c r="D686" s="18">
        <v>0</v>
      </c>
      <c r="E686" s="18">
        <v>0</v>
      </c>
      <c r="F686" s="18">
        <f t="shared" si="63"/>
        <v>0</v>
      </c>
      <c r="G686" s="18">
        <v>3.6499999999999995</v>
      </c>
      <c r="H686" s="18">
        <v>2.1999999999999997</v>
      </c>
      <c r="I686" s="18">
        <f t="shared" si="64"/>
        <v>5.85</v>
      </c>
      <c r="J686" s="18">
        <v>0</v>
      </c>
      <c r="K686" s="18">
        <v>0</v>
      </c>
      <c r="L686" s="18">
        <f t="shared" si="65"/>
        <v>0</v>
      </c>
      <c r="M686" s="18">
        <v>0</v>
      </c>
      <c r="N686" s="18">
        <v>2.7E-2</v>
      </c>
      <c r="O686" s="18">
        <v>0</v>
      </c>
      <c r="P686" s="18">
        <v>0</v>
      </c>
      <c r="Q686" s="18">
        <f t="shared" si="67"/>
        <v>2.7E-2</v>
      </c>
      <c r="R686">
        <v>0</v>
      </c>
      <c r="S686">
        <v>0</v>
      </c>
      <c r="T686">
        <v>0</v>
      </c>
      <c r="U686">
        <v>0</v>
      </c>
      <c r="V686" s="18">
        <f t="shared" si="62"/>
        <v>2.7E-2</v>
      </c>
      <c r="W686" s="18">
        <f t="shared" si="66"/>
        <v>0</v>
      </c>
      <c r="X686">
        <v>0</v>
      </c>
      <c r="Y686">
        <v>0</v>
      </c>
    </row>
    <row r="687" spans="1:25" x14ac:dyDescent="0.2">
      <c r="A687" s="18">
        <v>9064</v>
      </c>
      <c r="C687" s="18">
        <v>0</v>
      </c>
      <c r="D687" s="18">
        <v>0</v>
      </c>
      <c r="E687" s="18">
        <v>0</v>
      </c>
      <c r="F687" s="18">
        <f t="shared" si="63"/>
        <v>0</v>
      </c>
      <c r="G687" s="18">
        <v>0</v>
      </c>
      <c r="H687" s="18">
        <v>0</v>
      </c>
      <c r="I687" s="18">
        <f t="shared" si="64"/>
        <v>0</v>
      </c>
      <c r="J687" s="18">
        <v>0</v>
      </c>
      <c r="K687" s="18">
        <v>0</v>
      </c>
      <c r="L687" s="18">
        <f t="shared" si="65"/>
        <v>0</v>
      </c>
      <c r="M687" s="18">
        <v>0</v>
      </c>
      <c r="N687" s="18">
        <v>0</v>
      </c>
      <c r="O687" s="18">
        <v>0</v>
      </c>
      <c r="P687" s="18">
        <v>0</v>
      </c>
      <c r="Q687" s="18">
        <f t="shared" si="67"/>
        <v>0</v>
      </c>
      <c r="R687">
        <v>0</v>
      </c>
      <c r="S687">
        <v>0</v>
      </c>
      <c r="T687">
        <v>0</v>
      </c>
      <c r="U687">
        <v>0</v>
      </c>
      <c r="V687" s="18">
        <f t="shared" ref="V687:V750" si="68">M687+N687</f>
        <v>0</v>
      </c>
      <c r="W687" s="18">
        <f t="shared" si="66"/>
        <v>0</v>
      </c>
      <c r="X687">
        <v>0</v>
      </c>
      <c r="Y687">
        <v>0</v>
      </c>
    </row>
    <row r="688" spans="1:25" x14ac:dyDescent="0.2">
      <c r="A688" s="18">
        <v>9063</v>
      </c>
      <c r="C688" s="18">
        <v>1.75475</v>
      </c>
      <c r="D688" s="18">
        <v>1.0538333333333334</v>
      </c>
      <c r="E688" s="18">
        <v>0.47400000000000003</v>
      </c>
      <c r="F688" s="18">
        <f t="shared" si="63"/>
        <v>1.5278333333333334</v>
      </c>
      <c r="G688" s="18">
        <v>1.2923333333333333</v>
      </c>
      <c r="H688" s="18">
        <v>0.50679566666666664</v>
      </c>
      <c r="I688" s="18">
        <f t="shared" si="64"/>
        <v>1.799129</v>
      </c>
      <c r="J688" s="18">
        <v>0</v>
      </c>
      <c r="K688" s="18">
        <v>0</v>
      </c>
      <c r="L688" s="18">
        <f t="shared" si="65"/>
        <v>0</v>
      </c>
      <c r="M688" s="18">
        <v>44.624999999999993</v>
      </c>
      <c r="N688" s="18">
        <v>0.23850000000000002</v>
      </c>
      <c r="O688" s="18">
        <v>0</v>
      </c>
      <c r="P688" s="18">
        <v>29.749999999999993</v>
      </c>
      <c r="Q688" s="18">
        <f t="shared" si="67"/>
        <v>74.613499999999988</v>
      </c>
      <c r="R688">
        <v>0</v>
      </c>
      <c r="S688">
        <v>0</v>
      </c>
      <c r="T688">
        <v>1.502</v>
      </c>
      <c r="U688">
        <v>4.9000000000000002E-2</v>
      </c>
      <c r="V688" s="18">
        <f t="shared" si="68"/>
        <v>44.863499999999995</v>
      </c>
      <c r="W688" s="18">
        <f t="shared" si="66"/>
        <v>29.749999999999993</v>
      </c>
      <c r="X688">
        <v>0.70633333333333326</v>
      </c>
      <c r="Y688">
        <v>0.115</v>
      </c>
    </row>
    <row r="689" spans="1:25" x14ac:dyDescent="0.2">
      <c r="A689" s="18">
        <v>9065</v>
      </c>
      <c r="C689" s="18">
        <v>0</v>
      </c>
      <c r="D689" s="18">
        <v>0</v>
      </c>
      <c r="E689" s="18">
        <v>0</v>
      </c>
      <c r="F689" s="18">
        <f t="shared" si="63"/>
        <v>0</v>
      </c>
      <c r="G689" s="18">
        <v>0</v>
      </c>
      <c r="H689" s="18">
        <v>0</v>
      </c>
      <c r="I689" s="18">
        <f t="shared" si="64"/>
        <v>0</v>
      </c>
      <c r="J689" s="18">
        <v>0</v>
      </c>
      <c r="K689" s="18">
        <v>0</v>
      </c>
      <c r="L689" s="18">
        <f t="shared" si="65"/>
        <v>0</v>
      </c>
      <c r="M689" s="18">
        <v>0</v>
      </c>
      <c r="N689" s="18">
        <v>0</v>
      </c>
      <c r="O689" s="18">
        <v>0</v>
      </c>
      <c r="P689" s="18">
        <v>0</v>
      </c>
      <c r="Q689" s="18">
        <f t="shared" si="67"/>
        <v>0</v>
      </c>
      <c r="R689">
        <v>0</v>
      </c>
      <c r="S689">
        <v>0</v>
      </c>
      <c r="T689">
        <v>0</v>
      </c>
      <c r="U689">
        <v>0</v>
      </c>
      <c r="V689" s="18">
        <f t="shared" si="68"/>
        <v>0</v>
      </c>
      <c r="W689" s="18">
        <f t="shared" si="66"/>
        <v>0</v>
      </c>
      <c r="X689">
        <v>0</v>
      </c>
      <c r="Y689">
        <v>0</v>
      </c>
    </row>
    <row r="690" spans="1:25" x14ac:dyDescent="0.2">
      <c r="A690" s="18">
        <v>9080</v>
      </c>
      <c r="C690" s="18">
        <v>0</v>
      </c>
      <c r="D690" s="18">
        <v>0</v>
      </c>
      <c r="E690" s="18">
        <v>0</v>
      </c>
      <c r="F690" s="18">
        <f t="shared" si="63"/>
        <v>0</v>
      </c>
      <c r="G690" s="18">
        <v>0</v>
      </c>
      <c r="H690" s="18">
        <v>0</v>
      </c>
      <c r="I690" s="18">
        <f t="shared" si="64"/>
        <v>0</v>
      </c>
      <c r="J690" s="18">
        <v>0</v>
      </c>
      <c r="K690" s="18">
        <v>0</v>
      </c>
      <c r="L690" s="18">
        <f t="shared" si="65"/>
        <v>0</v>
      </c>
      <c r="M690" s="18">
        <v>0</v>
      </c>
      <c r="N690" s="18">
        <v>0</v>
      </c>
      <c r="O690" s="18">
        <v>0</v>
      </c>
      <c r="P690" s="18">
        <v>0</v>
      </c>
      <c r="Q690" s="18">
        <f t="shared" si="67"/>
        <v>0</v>
      </c>
      <c r="R690">
        <v>0</v>
      </c>
      <c r="S690">
        <v>0</v>
      </c>
      <c r="T690">
        <v>0</v>
      </c>
      <c r="U690">
        <v>0</v>
      </c>
      <c r="V690" s="18">
        <f t="shared" si="68"/>
        <v>0</v>
      </c>
      <c r="W690" s="18">
        <f t="shared" si="66"/>
        <v>0</v>
      </c>
      <c r="X690">
        <v>0</v>
      </c>
      <c r="Y690">
        <v>0</v>
      </c>
    </row>
    <row r="691" spans="1:25" x14ac:dyDescent="0.2">
      <c r="A691" s="18">
        <v>7626</v>
      </c>
      <c r="C691" s="18">
        <v>0</v>
      </c>
      <c r="D691" s="18">
        <v>0</v>
      </c>
      <c r="E691" s="18">
        <v>0</v>
      </c>
      <c r="F691" s="18">
        <f t="shared" si="63"/>
        <v>0</v>
      </c>
      <c r="G691" s="18">
        <v>0</v>
      </c>
      <c r="H691" s="18">
        <v>0</v>
      </c>
      <c r="I691" s="18">
        <f t="shared" si="64"/>
        <v>0</v>
      </c>
      <c r="J691" s="18">
        <v>0</v>
      </c>
      <c r="K691" s="18">
        <v>0</v>
      </c>
      <c r="L691" s="18">
        <f t="shared" si="65"/>
        <v>0</v>
      </c>
      <c r="M691" s="18">
        <v>0</v>
      </c>
      <c r="N691" s="18">
        <v>0</v>
      </c>
      <c r="O691" s="18">
        <v>0</v>
      </c>
      <c r="P691" s="18">
        <v>0</v>
      </c>
      <c r="Q691" s="18">
        <f t="shared" si="67"/>
        <v>0</v>
      </c>
      <c r="R691">
        <v>0</v>
      </c>
      <c r="S691">
        <v>0</v>
      </c>
      <c r="T691">
        <v>0</v>
      </c>
      <c r="U691">
        <v>0</v>
      </c>
      <c r="V691" s="18">
        <f t="shared" si="68"/>
        <v>0</v>
      </c>
      <c r="W691" s="18">
        <f t="shared" si="66"/>
        <v>0</v>
      </c>
      <c r="X691">
        <v>0</v>
      </c>
      <c r="Y691">
        <v>0</v>
      </c>
    </row>
    <row r="692" spans="1:25" x14ac:dyDescent="0.2">
      <c r="A692" s="18">
        <v>7891</v>
      </c>
      <c r="C692" s="18">
        <v>0</v>
      </c>
      <c r="D692" s="18">
        <v>0</v>
      </c>
      <c r="E692" s="18">
        <v>0</v>
      </c>
      <c r="F692" s="18">
        <f t="shared" si="63"/>
        <v>0</v>
      </c>
      <c r="G692" s="18">
        <v>0</v>
      </c>
      <c r="H692" s="18">
        <v>0</v>
      </c>
      <c r="I692" s="18">
        <f t="shared" si="64"/>
        <v>0</v>
      </c>
      <c r="J692" s="18">
        <v>0</v>
      </c>
      <c r="K692" s="18">
        <v>0</v>
      </c>
      <c r="L692" s="18">
        <f t="shared" si="65"/>
        <v>0</v>
      </c>
      <c r="M692" s="18">
        <v>0</v>
      </c>
      <c r="N692" s="18">
        <v>0</v>
      </c>
      <c r="O692" s="18">
        <v>0</v>
      </c>
      <c r="P692" s="18">
        <v>0</v>
      </c>
      <c r="Q692" s="18">
        <f t="shared" si="67"/>
        <v>0</v>
      </c>
      <c r="R692">
        <v>0</v>
      </c>
      <c r="S692">
        <v>0</v>
      </c>
      <c r="T692">
        <v>0</v>
      </c>
      <c r="U692">
        <v>0</v>
      </c>
      <c r="V692" s="18">
        <f t="shared" si="68"/>
        <v>0</v>
      </c>
      <c r="W692" s="18">
        <f t="shared" si="66"/>
        <v>0</v>
      </c>
      <c r="X692">
        <v>0</v>
      </c>
      <c r="Y692">
        <v>0</v>
      </c>
    </row>
    <row r="693" spans="1:25" x14ac:dyDescent="0.2">
      <c r="A693" s="18">
        <v>9116</v>
      </c>
      <c r="C693" s="18">
        <v>1.8490833333333334</v>
      </c>
      <c r="D693" s="18">
        <v>1.0673333333333335</v>
      </c>
      <c r="E693" s="18">
        <v>0.51366666666666672</v>
      </c>
      <c r="F693" s="18">
        <f t="shared" si="63"/>
        <v>1.5810000000000002</v>
      </c>
      <c r="G693" s="18">
        <v>3.9913333333333334</v>
      </c>
      <c r="H693" s="18">
        <v>0.79970333333333343</v>
      </c>
      <c r="I693" s="18">
        <f t="shared" si="64"/>
        <v>4.7910366666666668</v>
      </c>
      <c r="J693" s="18">
        <v>0</v>
      </c>
      <c r="K693" s="18">
        <v>0</v>
      </c>
      <c r="L693" s="18">
        <f t="shared" si="65"/>
        <v>0</v>
      </c>
      <c r="M693" s="18">
        <v>62.15625</v>
      </c>
      <c r="N693" s="18">
        <v>0.18466666666666667</v>
      </c>
      <c r="O693" s="18">
        <v>0</v>
      </c>
      <c r="P693" s="18">
        <v>41.4375</v>
      </c>
      <c r="Q693" s="18">
        <f t="shared" si="67"/>
        <v>103.77841666666666</v>
      </c>
      <c r="R693">
        <v>4.7E-2</v>
      </c>
      <c r="S693">
        <v>4.6833333333333331E-2</v>
      </c>
      <c r="T693">
        <v>1.5863333333333334</v>
      </c>
      <c r="U693">
        <v>4.9000000000000002E-2</v>
      </c>
      <c r="V693" s="18">
        <f t="shared" si="68"/>
        <v>62.340916666666665</v>
      </c>
      <c r="W693" s="18">
        <f t="shared" si="66"/>
        <v>41.4375</v>
      </c>
      <c r="X693">
        <v>0.79899999999999993</v>
      </c>
      <c r="Y693">
        <v>0.13033333333333333</v>
      </c>
    </row>
    <row r="694" spans="1:25" x14ac:dyDescent="0.2">
      <c r="A694" s="18">
        <v>9113</v>
      </c>
      <c r="C694" s="18">
        <v>1.9172499999999999</v>
      </c>
      <c r="D694" s="18">
        <v>1.0585</v>
      </c>
      <c r="E694" s="18">
        <v>1.5094466666666668</v>
      </c>
      <c r="F694" s="18">
        <f t="shared" si="63"/>
        <v>2.5679466666666668</v>
      </c>
      <c r="G694" s="18">
        <v>3.5673333333333335</v>
      </c>
      <c r="H694" s="18">
        <v>0.548211</v>
      </c>
      <c r="I694" s="18">
        <f t="shared" si="64"/>
        <v>4.1155443333333332</v>
      </c>
      <c r="J694" s="18">
        <v>0</v>
      </c>
      <c r="K694" s="18">
        <v>0</v>
      </c>
      <c r="L694" s="18">
        <f t="shared" si="65"/>
        <v>0</v>
      </c>
      <c r="M694" s="18">
        <v>63.75</v>
      </c>
      <c r="N694" s="18">
        <v>0.6113333333333334</v>
      </c>
      <c r="O694" s="18">
        <v>0</v>
      </c>
      <c r="P694" s="18">
        <v>42.5</v>
      </c>
      <c r="Q694" s="18">
        <f t="shared" si="67"/>
        <v>106.86133333333333</v>
      </c>
      <c r="R694">
        <v>0</v>
      </c>
      <c r="S694">
        <v>4.6833333333333331E-2</v>
      </c>
      <c r="T694">
        <v>3.0668333333333333</v>
      </c>
      <c r="U694">
        <v>0.94450000000000001</v>
      </c>
      <c r="V694" s="18">
        <f t="shared" si="68"/>
        <v>64.361333333333334</v>
      </c>
      <c r="W694" s="18">
        <f t="shared" si="66"/>
        <v>42.5</v>
      </c>
      <c r="X694">
        <v>3.6478333333333324</v>
      </c>
      <c r="Y694">
        <v>0.30683333333333335</v>
      </c>
    </row>
    <row r="695" spans="1:25" x14ac:dyDescent="0.2">
      <c r="A695" s="18">
        <v>9122</v>
      </c>
      <c r="C695" s="18">
        <v>0</v>
      </c>
      <c r="D695" s="18">
        <v>0</v>
      </c>
      <c r="E695" s="18">
        <v>0</v>
      </c>
      <c r="F695" s="18">
        <f t="shared" si="63"/>
        <v>0</v>
      </c>
      <c r="G695" s="18">
        <v>2056.769666666667</v>
      </c>
      <c r="H695" s="18">
        <v>485.03099646666664</v>
      </c>
      <c r="I695" s="18">
        <f t="shared" si="64"/>
        <v>2541.8006631333337</v>
      </c>
      <c r="J695" s="18">
        <v>625.20883333333347</v>
      </c>
      <c r="K695" s="18">
        <v>535.20600000000002</v>
      </c>
      <c r="L695" s="18">
        <f t="shared" si="65"/>
        <v>1160.4148333333335</v>
      </c>
      <c r="M695" s="18">
        <v>0</v>
      </c>
      <c r="N695" s="18">
        <v>704.42916666666679</v>
      </c>
      <c r="O695" s="18">
        <v>30.138666666666669</v>
      </c>
      <c r="P695" s="18">
        <v>0</v>
      </c>
      <c r="Q695" s="18">
        <f t="shared" si="67"/>
        <v>734.56783333333351</v>
      </c>
      <c r="R695">
        <v>52.204166666666666</v>
      </c>
      <c r="S695">
        <v>0</v>
      </c>
      <c r="T695">
        <v>19.896666666666672</v>
      </c>
      <c r="U695">
        <v>20.74666666666667</v>
      </c>
      <c r="V695" s="18">
        <f t="shared" si="68"/>
        <v>704.42916666666679</v>
      </c>
      <c r="W695" s="18">
        <f t="shared" si="66"/>
        <v>30.138666666666669</v>
      </c>
      <c r="X695">
        <v>86.117666666666665</v>
      </c>
      <c r="Y695">
        <v>0</v>
      </c>
    </row>
    <row r="696" spans="1:25" x14ac:dyDescent="0.2">
      <c r="A696" s="18">
        <v>9105</v>
      </c>
      <c r="C696" s="18">
        <v>0</v>
      </c>
      <c r="D696" s="18">
        <v>0</v>
      </c>
      <c r="E696" s="18">
        <v>0</v>
      </c>
      <c r="F696" s="18">
        <f t="shared" si="63"/>
        <v>0</v>
      </c>
      <c r="G696" s="18">
        <v>0.76166666666666671</v>
      </c>
      <c r="H696" s="18">
        <v>0.54144333333333328</v>
      </c>
      <c r="I696" s="18">
        <f t="shared" si="64"/>
        <v>1.30311</v>
      </c>
      <c r="J696" s="18">
        <v>0</v>
      </c>
      <c r="K696" s="18">
        <v>0</v>
      </c>
      <c r="L696" s="18">
        <f t="shared" si="65"/>
        <v>0</v>
      </c>
      <c r="M696" s="18">
        <v>0</v>
      </c>
      <c r="N696" s="18">
        <v>0</v>
      </c>
      <c r="O696" s="18">
        <v>0</v>
      </c>
      <c r="P696" s="18">
        <v>0</v>
      </c>
      <c r="Q696" s="18">
        <f t="shared" si="67"/>
        <v>0</v>
      </c>
      <c r="R696">
        <v>1</v>
      </c>
      <c r="S696">
        <v>0</v>
      </c>
      <c r="T696">
        <v>0.65333333333333332</v>
      </c>
      <c r="U696">
        <v>0</v>
      </c>
      <c r="V696" s="18">
        <f t="shared" si="68"/>
        <v>0</v>
      </c>
      <c r="W696" s="18">
        <f t="shared" si="66"/>
        <v>0</v>
      </c>
      <c r="X696">
        <v>0</v>
      </c>
      <c r="Y696">
        <v>0</v>
      </c>
    </row>
    <row r="697" spans="1:25" x14ac:dyDescent="0.2">
      <c r="A697" s="18">
        <v>9117</v>
      </c>
      <c r="C697" s="18">
        <v>0</v>
      </c>
      <c r="D697" s="18">
        <v>0</v>
      </c>
      <c r="E697" s="18">
        <v>0</v>
      </c>
      <c r="F697" s="18">
        <f t="shared" si="63"/>
        <v>0</v>
      </c>
      <c r="G697" s="18">
        <v>85.24499999999999</v>
      </c>
      <c r="H697" s="18">
        <v>36.734999999999999</v>
      </c>
      <c r="I697" s="18">
        <f t="shared" si="64"/>
        <v>121.97999999999999</v>
      </c>
      <c r="J697" s="18">
        <v>238.54666666666668</v>
      </c>
      <c r="K697" s="18">
        <v>228.69499999999999</v>
      </c>
      <c r="L697" s="18">
        <f t="shared" si="65"/>
        <v>467.24166666666667</v>
      </c>
      <c r="M697" s="18">
        <v>111.5625</v>
      </c>
      <c r="N697" s="18">
        <v>257.43166666666667</v>
      </c>
      <c r="O697" s="18">
        <v>8.0133333333333336</v>
      </c>
      <c r="P697" s="18">
        <v>74.375</v>
      </c>
      <c r="Q697" s="18">
        <f t="shared" si="67"/>
        <v>451.38249999999999</v>
      </c>
      <c r="R697">
        <v>7.6133333333333333</v>
      </c>
      <c r="S697">
        <v>0</v>
      </c>
      <c r="T697">
        <v>1.96</v>
      </c>
      <c r="U697">
        <v>0</v>
      </c>
      <c r="V697" s="18">
        <f t="shared" si="68"/>
        <v>368.99416666666667</v>
      </c>
      <c r="W697" s="18">
        <f t="shared" si="66"/>
        <v>82.388333333333335</v>
      </c>
      <c r="X697">
        <v>18.22</v>
      </c>
      <c r="Y697">
        <v>0</v>
      </c>
    </row>
    <row r="698" spans="1:25" x14ac:dyDescent="0.2">
      <c r="A698" s="18">
        <v>8895</v>
      </c>
      <c r="C698" s="18">
        <v>0</v>
      </c>
      <c r="D698" s="18">
        <v>0</v>
      </c>
      <c r="E698" s="18">
        <v>0</v>
      </c>
      <c r="F698" s="18">
        <f t="shared" si="63"/>
        <v>0</v>
      </c>
      <c r="G698" s="18">
        <v>0</v>
      </c>
      <c r="H698" s="18">
        <v>0</v>
      </c>
      <c r="I698" s="18">
        <f t="shared" si="64"/>
        <v>0</v>
      </c>
      <c r="J698" s="18">
        <v>0</v>
      </c>
      <c r="K698" s="18">
        <v>0</v>
      </c>
      <c r="L698" s="18">
        <f t="shared" si="65"/>
        <v>0</v>
      </c>
      <c r="M698" s="18">
        <v>0</v>
      </c>
      <c r="N698" s="18">
        <v>0</v>
      </c>
      <c r="O698" s="18">
        <v>0</v>
      </c>
      <c r="P698" s="18">
        <v>0</v>
      </c>
      <c r="Q698" s="18">
        <f t="shared" si="67"/>
        <v>0</v>
      </c>
      <c r="R698">
        <v>0</v>
      </c>
      <c r="S698">
        <v>0</v>
      </c>
      <c r="T698">
        <v>0</v>
      </c>
      <c r="U698">
        <v>0</v>
      </c>
      <c r="V698" s="18">
        <f t="shared" si="68"/>
        <v>0</v>
      </c>
      <c r="W698" s="18">
        <f t="shared" si="66"/>
        <v>0</v>
      </c>
      <c r="X698">
        <v>0</v>
      </c>
      <c r="Y698">
        <v>0</v>
      </c>
    </row>
    <row r="699" spans="1:25" x14ac:dyDescent="0.2">
      <c r="A699" s="18">
        <v>9143</v>
      </c>
      <c r="C699" s="18">
        <v>10.971495555555556</v>
      </c>
      <c r="D699" s="18">
        <v>7.0283333333333333</v>
      </c>
      <c r="E699" s="18">
        <v>10.921889499999999</v>
      </c>
      <c r="F699" s="18">
        <f t="shared" si="63"/>
        <v>17.950222833333331</v>
      </c>
      <c r="G699" s="18">
        <v>17.869166666666665</v>
      </c>
      <c r="H699" s="18">
        <v>3.5690755555555556</v>
      </c>
      <c r="I699" s="18">
        <f t="shared" si="64"/>
        <v>21.438242222222222</v>
      </c>
      <c r="J699" s="18">
        <v>10.41</v>
      </c>
      <c r="K699" s="18">
        <v>12.132333333333333</v>
      </c>
      <c r="L699" s="18">
        <f t="shared" si="65"/>
        <v>22.542333333333332</v>
      </c>
      <c r="M699" s="18">
        <v>141.84375</v>
      </c>
      <c r="N699" s="18">
        <v>12.190333333333333</v>
      </c>
      <c r="O699" s="18">
        <v>1.0659999999999998</v>
      </c>
      <c r="P699" s="18">
        <v>94.5625</v>
      </c>
      <c r="Q699" s="18">
        <f t="shared" si="67"/>
        <v>249.66258333333334</v>
      </c>
      <c r="R699">
        <v>2.7298333333333336</v>
      </c>
      <c r="S699">
        <v>0</v>
      </c>
      <c r="T699">
        <v>23.574333333333339</v>
      </c>
      <c r="U699">
        <v>9.6701666666666668</v>
      </c>
      <c r="V699" s="18">
        <f t="shared" si="68"/>
        <v>154.03408333333334</v>
      </c>
      <c r="W699" s="18">
        <f t="shared" si="66"/>
        <v>95.628500000000003</v>
      </c>
      <c r="X699">
        <v>22.099333333333334</v>
      </c>
      <c r="Y699">
        <v>2.7038333333333333</v>
      </c>
    </row>
    <row r="700" spans="1:25" x14ac:dyDescent="0.2">
      <c r="A700" s="18">
        <v>9131</v>
      </c>
      <c r="C700" s="18">
        <v>1.8490833333333334</v>
      </c>
      <c r="D700" s="18">
        <v>1.0538333333333334</v>
      </c>
      <c r="E700" s="18">
        <v>0.47499999999999998</v>
      </c>
      <c r="F700" s="18">
        <f t="shared" si="63"/>
        <v>1.5288333333333335</v>
      </c>
      <c r="G700" s="18">
        <v>2.9890000000000003</v>
      </c>
      <c r="H700" s="18">
        <v>0.6053683333333334</v>
      </c>
      <c r="I700" s="18">
        <f t="shared" si="64"/>
        <v>3.5943683333333336</v>
      </c>
      <c r="J700" s="18">
        <v>0</v>
      </c>
      <c r="K700" s="18">
        <v>0</v>
      </c>
      <c r="L700" s="18">
        <f t="shared" si="65"/>
        <v>0</v>
      </c>
      <c r="M700" s="18">
        <v>47.8125</v>
      </c>
      <c r="N700" s="18">
        <v>0.18466666666666667</v>
      </c>
      <c r="O700" s="18">
        <v>0</v>
      </c>
      <c r="P700" s="18">
        <v>31.875</v>
      </c>
      <c r="Q700" s="18">
        <f t="shared" si="67"/>
        <v>79.872166666666658</v>
      </c>
      <c r="R700">
        <v>4.7E-2</v>
      </c>
      <c r="S700">
        <v>4.6833333333333331E-2</v>
      </c>
      <c r="T700">
        <v>1.5243333333333335</v>
      </c>
      <c r="U700">
        <v>4.9000000000000002E-2</v>
      </c>
      <c r="V700" s="18">
        <f t="shared" si="68"/>
        <v>47.997166666666665</v>
      </c>
      <c r="W700" s="18">
        <f t="shared" si="66"/>
        <v>31.875</v>
      </c>
      <c r="X700">
        <v>0.79099999999999993</v>
      </c>
      <c r="Y700">
        <v>0.13216666666666668</v>
      </c>
    </row>
    <row r="701" spans="1:25" x14ac:dyDescent="0.2">
      <c r="A701" s="18">
        <v>8843</v>
      </c>
      <c r="C701" s="18">
        <v>0</v>
      </c>
      <c r="D701" s="18">
        <v>0</v>
      </c>
      <c r="E701" s="18">
        <v>0</v>
      </c>
      <c r="F701" s="18">
        <f t="shared" si="63"/>
        <v>0</v>
      </c>
      <c r="G701" s="18">
        <v>0</v>
      </c>
      <c r="H701" s="18">
        <v>0</v>
      </c>
      <c r="I701" s="18">
        <f t="shared" si="64"/>
        <v>0</v>
      </c>
      <c r="J701" s="18">
        <v>0</v>
      </c>
      <c r="K701" s="18">
        <v>0</v>
      </c>
      <c r="L701" s="18">
        <f t="shared" si="65"/>
        <v>0</v>
      </c>
      <c r="M701" s="18">
        <v>0</v>
      </c>
      <c r="N701" s="18">
        <v>0</v>
      </c>
      <c r="O701" s="18">
        <v>0</v>
      </c>
      <c r="P701" s="18">
        <v>0</v>
      </c>
      <c r="Q701" s="18">
        <f t="shared" si="67"/>
        <v>0</v>
      </c>
      <c r="R701">
        <v>0</v>
      </c>
      <c r="S701">
        <v>0</v>
      </c>
      <c r="T701">
        <v>0</v>
      </c>
      <c r="U701">
        <v>0</v>
      </c>
      <c r="V701" s="18">
        <f t="shared" si="68"/>
        <v>0</v>
      </c>
      <c r="W701" s="18">
        <f t="shared" si="66"/>
        <v>0</v>
      </c>
      <c r="X701">
        <v>0</v>
      </c>
      <c r="Y701">
        <v>0</v>
      </c>
    </row>
    <row r="702" spans="1:25" x14ac:dyDescent="0.2">
      <c r="A702" s="18">
        <v>9164</v>
      </c>
      <c r="C702" s="18">
        <v>451.44583333333333</v>
      </c>
      <c r="D702" s="18">
        <v>32.482500000000002</v>
      </c>
      <c r="E702" s="18">
        <v>0</v>
      </c>
      <c r="F702" s="18">
        <f t="shared" si="63"/>
        <v>32.482500000000002</v>
      </c>
      <c r="G702" s="18">
        <v>1265.3033333333333</v>
      </c>
      <c r="H702" s="18">
        <v>667.51808055555591</v>
      </c>
      <c r="I702" s="18">
        <f t="shared" si="64"/>
        <v>1932.8214138888893</v>
      </c>
      <c r="J702" s="18">
        <v>0</v>
      </c>
      <c r="K702" s="18">
        <v>0</v>
      </c>
      <c r="L702" s="18">
        <f t="shared" si="65"/>
        <v>0</v>
      </c>
      <c r="M702" s="18">
        <v>0</v>
      </c>
      <c r="N702" s="18">
        <v>123.19166666666669</v>
      </c>
      <c r="O702" s="18">
        <v>0</v>
      </c>
      <c r="P702" s="18">
        <v>0</v>
      </c>
      <c r="Q702" s="18">
        <f t="shared" si="67"/>
        <v>123.19166666666669</v>
      </c>
      <c r="R702">
        <v>0</v>
      </c>
      <c r="S702">
        <v>0</v>
      </c>
      <c r="T702">
        <v>9.8666666666666671</v>
      </c>
      <c r="U702">
        <v>0</v>
      </c>
      <c r="V702" s="18">
        <f t="shared" si="68"/>
        <v>123.19166666666669</v>
      </c>
      <c r="W702" s="18">
        <f t="shared" si="66"/>
        <v>0</v>
      </c>
      <c r="X702">
        <v>0</v>
      </c>
      <c r="Y702">
        <v>0</v>
      </c>
    </row>
    <row r="703" spans="1:25" x14ac:dyDescent="0.2">
      <c r="A703" s="18">
        <v>9160</v>
      </c>
      <c r="C703" s="18">
        <v>6.5519444444444446</v>
      </c>
      <c r="D703" s="18">
        <v>5.1950000000000003</v>
      </c>
      <c r="E703" s="18">
        <v>2.6308333333333329</v>
      </c>
      <c r="F703" s="18">
        <f t="shared" si="63"/>
        <v>7.8258333333333336</v>
      </c>
      <c r="G703" s="18">
        <v>1.075</v>
      </c>
      <c r="H703" s="18">
        <v>2.9765083333333333</v>
      </c>
      <c r="I703" s="18">
        <f t="shared" si="64"/>
        <v>4.0515083333333335</v>
      </c>
      <c r="J703" s="18">
        <v>0</v>
      </c>
      <c r="K703" s="18">
        <v>0</v>
      </c>
      <c r="L703" s="18">
        <f t="shared" si="65"/>
        <v>0</v>
      </c>
      <c r="M703" s="18">
        <v>302.81249999999989</v>
      </c>
      <c r="N703" s="18">
        <v>0</v>
      </c>
      <c r="O703" s="18">
        <v>0</v>
      </c>
      <c r="P703" s="18">
        <v>201.87499999999994</v>
      </c>
      <c r="Q703" s="18">
        <f t="shared" si="67"/>
        <v>504.68749999999983</v>
      </c>
      <c r="R703">
        <v>0</v>
      </c>
      <c r="S703">
        <v>0</v>
      </c>
      <c r="T703">
        <v>12.82</v>
      </c>
      <c r="U703">
        <v>0.18083333333333335</v>
      </c>
      <c r="V703" s="18">
        <f t="shared" si="68"/>
        <v>302.81249999999989</v>
      </c>
      <c r="W703" s="18">
        <f t="shared" si="66"/>
        <v>201.87499999999994</v>
      </c>
      <c r="X703">
        <v>6.019166666666667</v>
      </c>
      <c r="Y703">
        <v>0</v>
      </c>
    </row>
    <row r="704" spans="1:25" x14ac:dyDescent="0.2">
      <c r="A704" s="18">
        <v>8869</v>
      </c>
      <c r="C704" s="18">
        <v>0</v>
      </c>
      <c r="D704" s="18">
        <v>0</v>
      </c>
      <c r="E704" s="18">
        <v>0</v>
      </c>
      <c r="F704" s="18">
        <f t="shared" si="63"/>
        <v>0</v>
      </c>
      <c r="G704" s="18">
        <v>0</v>
      </c>
      <c r="H704" s="18">
        <v>0</v>
      </c>
      <c r="I704" s="18">
        <f t="shared" si="64"/>
        <v>0</v>
      </c>
      <c r="J704" s="18">
        <v>0</v>
      </c>
      <c r="K704" s="18">
        <v>0</v>
      </c>
      <c r="L704" s="18">
        <f t="shared" si="65"/>
        <v>0</v>
      </c>
      <c r="M704" s="18">
        <v>0</v>
      </c>
      <c r="N704" s="18">
        <v>0</v>
      </c>
      <c r="O704" s="18">
        <v>0</v>
      </c>
      <c r="P704" s="18">
        <v>0</v>
      </c>
      <c r="Q704" s="18">
        <f t="shared" si="67"/>
        <v>0</v>
      </c>
      <c r="R704">
        <v>0</v>
      </c>
      <c r="S704">
        <v>0</v>
      </c>
      <c r="T704">
        <v>0</v>
      </c>
      <c r="U704">
        <v>0</v>
      </c>
      <c r="V704" s="18">
        <f t="shared" si="68"/>
        <v>0</v>
      </c>
      <c r="W704" s="18">
        <f t="shared" si="66"/>
        <v>0</v>
      </c>
      <c r="X704">
        <v>0</v>
      </c>
      <c r="Y704">
        <v>0</v>
      </c>
    </row>
    <row r="705" spans="1:25" x14ac:dyDescent="0.2">
      <c r="A705" s="18">
        <v>8786</v>
      </c>
      <c r="C705" s="18">
        <v>0</v>
      </c>
      <c r="D705" s="18">
        <v>0</v>
      </c>
      <c r="E705" s="18">
        <v>0</v>
      </c>
      <c r="F705" s="18">
        <f t="shared" si="63"/>
        <v>0</v>
      </c>
      <c r="G705" s="18">
        <v>0</v>
      </c>
      <c r="H705" s="18">
        <v>0</v>
      </c>
      <c r="I705" s="18">
        <f t="shared" si="64"/>
        <v>0</v>
      </c>
      <c r="J705" s="18">
        <v>0</v>
      </c>
      <c r="K705" s="18">
        <v>0</v>
      </c>
      <c r="L705" s="18">
        <f t="shared" si="65"/>
        <v>0</v>
      </c>
      <c r="M705" s="18">
        <v>0</v>
      </c>
      <c r="N705" s="18">
        <v>0</v>
      </c>
      <c r="O705" s="18">
        <v>0</v>
      </c>
      <c r="P705" s="18">
        <v>0</v>
      </c>
      <c r="Q705" s="18">
        <f t="shared" si="67"/>
        <v>0</v>
      </c>
      <c r="R705">
        <v>0</v>
      </c>
      <c r="S705">
        <v>0</v>
      </c>
      <c r="T705">
        <v>0</v>
      </c>
      <c r="U705">
        <v>0</v>
      </c>
      <c r="V705" s="18">
        <f t="shared" si="68"/>
        <v>0</v>
      </c>
      <c r="W705" s="18">
        <f t="shared" si="66"/>
        <v>0</v>
      </c>
      <c r="X705">
        <v>0</v>
      </c>
      <c r="Y705">
        <v>0</v>
      </c>
    </row>
    <row r="706" spans="1:25" x14ac:dyDescent="0.2">
      <c r="A706" s="18">
        <v>9158</v>
      </c>
      <c r="C706" s="18">
        <v>0</v>
      </c>
      <c r="D706" s="18">
        <v>0.83883333333333332</v>
      </c>
      <c r="E706" s="18">
        <v>0.53116666666666668</v>
      </c>
      <c r="F706" s="18">
        <f t="shared" si="63"/>
        <v>1.37</v>
      </c>
      <c r="G706" s="18">
        <v>0</v>
      </c>
      <c r="H706" s="18">
        <v>0.20749999999999999</v>
      </c>
      <c r="I706" s="18">
        <f t="shared" si="64"/>
        <v>0.20749999999999999</v>
      </c>
      <c r="J706" s="18">
        <v>0</v>
      </c>
      <c r="K706" s="18">
        <v>0</v>
      </c>
      <c r="L706" s="18">
        <f t="shared" si="65"/>
        <v>0</v>
      </c>
      <c r="M706" s="18">
        <v>43.03125</v>
      </c>
      <c r="N706" s="18">
        <v>0</v>
      </c>
      <c r="O706" s="18">
        <v>0</v>
      </c>
      <c r="P706" s="18">
        <v>28.6875</v>
      </c>
      <c r="Q706" s="18">
        <f t="shared" si="67"/>
        <v>71.71875</v>
      </c>
      <c r="R706">
        <v>0</v>
      </c>
      <c r="S706">
        <v>0</v>
      </c>
      <c r="T706">
        <v>1.6883333333333335</v>
      </c>
      <c r="U706">
        <v>0</v>
      </c>
      <c r="V706" s="18">
        <f t="shared" si="68"/>
        <v>43.03125</v>
      </c>
      <c r="W706" s="18">
        <f t="shared" si="66"/>
        <v>28.6875</v>
      </c>
      <c r="X706">
        <v>0.5043333333333333</v>
      </c>
      <c r="Y706">
        <v>0</v>
      </c>
    </row>
    <row r="707" spans="1:25" x14ac:dyDescent="0.2">
      <c r="A707" s="18">
        <v>9107</v>
      </c>
      <c r="C707" s="18">
        <v>0</v>
      </c>
      <c r="D707" s="18">
        <v>0</v>
      </c>
      <c r="E707" s="18">
        <v>0</v>
      </c>
      <c r="F707" s="18">
        <f t="shared" si="63"/>
        <v>0</v>
      </c>
      <c r="G707" s="18">
        <v>0</v>
      </c>
      <c r="H707" s="18">
        <v>0</v>
      </c>
      <c r="I707" s="18">
        <f t="shared" si="64"/>
        <v>0</v>
      </c>
      <c r="J707" s="18">
        <v>0</v>
      </c>
      <c r="K707" s="18">
        <v>0</v>
      </c>
      <c r="L707" s="18">
        <f t="shared" si="65"/>
        <v>0</v>
      </c>
      <c r="M707" s="18">
        <v>0</v>
      </c>
      <c r="N707" s="18">
        <v>0</v>
      </c>
      <c r="O707" s="18">
        <v>0</v>
      </c>
      <c r="P707" s="18">
        <v>0</v>
      </c>
      <c r="Q707" s="18">
        <f t="shared" si="67"/>
        <v>0</v>
      </c>
      <c r="R707">
        <v>0</v>
      </c>
      <c r="S707">
        <v>0</v>
      </c>
      <c r="T707">
        <v>0</v>
      </c>
      <c r="U707">
        <v>0</v>
      </c>
      <c r="V707" s="18">
        <f t="shared" si="68"/>
        <v>0</v>
      </c>
      <c r="W707" s="18">
        <f t="shared" si="66"/>
        <v>0</v>
      </c>
      <c r="X707">
        <v>0</v>
      </c>
      <c r="Y707">
        <v>0</v>
      </c>
    </row>
    <row r="708" spans="1:25" x14ac:dyDescent="0.2">
      <c r="A708" s="18">
        <v>9152</v>
      </c>
      <c r="C708" s="18">
        <v>0</v>
      </c>
      <c r="D708" s="18">
        <v>0</v>
      </c>
      <c r="E708" s="18">
        <v>0</v>
      </c>
      <c r="F708" s="18">
        <f t="shared" si="63"/>
        <v>0</v>
      </c>
      <c r="G708" s="18">
        <v>0</v>
      </c>
      <c r="H708" s="18">
        <v>0</v>
      </c>
      <c r="I708" s="18">
        <f t="shared" si="64"/>
        <v>0</v>
      </c>
      <c r="J708" s="18">
        <v>0</v>
      </c>
      <c r="K708" s="18">
        <v>0</v>
      </c>
      <c r="L708" s="18">
        <f t="shared" si="65"/>
        <v>0</v>
      </c>
      <c r="M708" s="18">
        <v>0</v>
      </c>
      <c r="N708" s="18">
        <v>0</v>
      </c>
      <c r="O708" s="18">
        <v>0</v>
      </c>
      <c r="P708" s="18">
        <v>0</v>
      </c>
      <c r="Q708" s="18">
        <f t="shared" si="67"/>
        <v>0</v>
      </c>
      <c r="R708">
        <v>0</v>
      </c>
      <c r="S708">
        <v>0</v>
      </c>
      <c r="T708">
        <v>0</v>
      </c>
      <c r="U708">
        <v>0</v>
      </c>
      <c r="V708" s="18">
        <f t="shared" si="68"/>
        <v>0</v>
      </c>
      <c r="W708" s="18">
        <f t="shared" si="66"/>
        <v>0</v>
      </c>
      <c r="X708">
        <v>0</v>
      </c>
      <c r="Y708">
        <v>0</v>
      </c>
    </row>
    <row r="709" spans="1:25" x14ac:dyDescent="0.2">
      <c r="A709" s="18">
        <v>9153</v>
      </c>
      <c r="C709" s="18">
        <v>1.7640866666666666</v>
      </c>
      <c r="D709" s="18">
        <v>0.57933333333333326</v>
      </c>
      <c r="E709" s="18">
        <v>1.6666666666666666E-2</v>
      </c>
      <c r="F709" s="18">
        <f t="shared" ref="F709:F748" si="69">SUM(D709:E709)</f>
        <v>0.59599999999999997</v>
      </c>
      <c r="G709" s="18">
        <v>6.6276666666666664</v>
      </c>
      <c r="H709" s="18">
        <v>1.2349430000000001</v>
      </c>
      <c r="I709" s="18">
        <f t="shared" ref="I709:I748" si="70">SUM(G709:H709)</f>
        <v>7.8626096666666667</v>
      </c>
      <c r="J709" s="18">
        <v>0</v>
      </c>
      <c r="K709" s="18">
        <v>0</v>
      </c>
      <c r="L709" s="18">
        <f t="shared" ref="L709:L715" si="71">SUM(J709:K709)</f>
        <v>0</v>
      </c>
      <c r="M709" s="18">
        <v>108.375</v>
      </c>
      <c r="N709" s="18">
        <v>0.504</v>
      </c>
      <c r="O709" s="18">
        <v>0</v>
      </c>
      <c r="P709" s="18">
        <v>72.25</v>
      </c>
      <c r="Q709" s="18">
        <f t="shared" si="67"/>
        <v>181.12900000000002</v>
      </c>
      <c r="R709">
        <v>0</v>
      </c>
      <c r="S709">
        <v>0</v>
      </c>
      <c r="T709">
        <v>0.37433333333333335</v>
      </c>
      <c r="U709">
        <v>0</v>
      </c>
      <c r="V709" s="18">
        <f t="shared" si="68"/>
        <v>108.879</v>
      </c>
      <c r="W709" s="18">
        <f t="shared" ref="W709:W753" si="72">O709+P709</f>
        <v>72.25</v>
      </c>
      <c r="X709">
        <v>6.2333333333333338E-2</v>
      </c>
      <c r="Y709">
        <v>0</v>
      </c>
    </row>
    <row r="710" spans="1:25" x14ac:dyDescent="0.2">
      <c r="A710" s="18">
        <v>8766</v>
      </c>
      <c r="C710" s="18">
        <v>0</v>
      </c>
      <c r="D710" s="18">
        <v>0</v>
      </c>
      <c r="E710" s="18">
        <v>0</v>
      </c>
      <c r="F710" s="18">
        <f t="shared" si="69"/>
        <v>0</v>
      </c>
      <c r="G710" s="18">
        <v>0</v>
      </c>
      <c r="H710" s="18">
        <v>0</v>
      </c>
      <c r="I710" s="18">
        <f t="shared" si="70"/>
        <v>0</v>
      </c>
      <c r="J710" s="18">
        <v>0</v>
      </c>
      <c r="K710" s="18">
        <v>0</v>
      </c>
      <c r="L710" s="18">
        <f t="shared" si="71"/>
        <v>0</v>
      </c>
      <c r="M710" s="18">
        <v>0</v>
      </c>
      <c r="N710" s="18">
        <v>0</v>
      </c>
      <c r="O710" s="18">
        <v>0</v>
      </c>
      <c r="P710" s="18">
        <v>0</v>
      </c>
      <c r="Q710" s="18">
        <f t="shared" si="67"/>
        <v>0</v>
      </c>
      <c r="R710">
        <v>0</v>
      </c>
      <c r="S710">
        <v>0</v>
      </c>
      <c r="T710">
        <v>0</v>
      </c>
      <c r="U710">
        <v>0</v>
      </c>
      <c r="V710" s="18">
        <f t="shared" si="68"/>
        <v>0</v>
      </c>
      <c r="W710" s="18">
        <f t="shared" si="72"/>
        <v>0</v>
      </c>
      <c r="X710">
        <v>0</v>
      </c>
      <c r="Y710">
        <v>0</v>
      </c>
    </row>
    <row r="711" spans="1:25" x14ac:dyDescent="0.2">
      <c r="A711" s="18">
        <v>9197</v>
      </c>
      <c r="C711" s="18">
        <v>0</v>
      </c>
      <c r="D711" s="18">
        <v>0</v>
      </c>
      <c r="E711" s="18">
        <v>0</v>
      </c>
      <c r="F711" s="18">
        <f t="shared" si="69"/>
        <v>0</v>
      </c>
      <c r="G711" s="18">
        <v>0</v>
      </c>
      <c r="H711" s="18">
        <v>0</v>
      </c>
      <c r="I711" s="18">
        <f t="shared" si="70"/>
        <v>0</v>
      </c>
      <c r="J711" s="18">
        <v>187.54599999999999</v>
      </c>
      <c r="K711" s="18">
        <v>151.79866666666663</v>
      </c>
      <c r="L711" s="18">
        <f t="shared" si="71"/>
        <v>339.34466666666663</v>
      </c>
      <c r="M711" s="18">
        <v>0</v>
      </c>
      <c r="N711" s="18">
        <v>187.54599999999999</v>
      </c>
      <c r="O711" s="18">
        <v>5.262666666666667</v>
      </c>
      <c r="P711" s="18">
        <v>0</v>
      </c>
      <c r="Q711" s="18">
        <f t="shared" si="67"/>
        <v>192.80866666666665</v>
      </c>
      <c r="R711">
        <v>5.266</v>
      </c>
      <c r="S711">
        <v>0</v>
      </c>
      <c r="T711">
        <v>0.75200000000000011</v>
      </c>
      <c r="U711">
        <v>0</v>
      </c>
      <c r="V711" s="18">
        <f t="shared" si="68"/>
        <v>187.54599999999999</v>
      </c>
      <c r="W711" s="18">
        <f t="shared" si="72"/>
        <v>5.262666666666667</v>
      </c>
      <c r="X711">
        <v>3.6439999999999997</v>
      </c>
      <c r="Y711">
        <v>0</v>
      </c>
    </row>
    <row r="712" spans="1:25" x14ac:dyDescent="0.2">
      <c r="A712" s="18">
        <v>9169</v>
      </c>
      <c r="C712" s="18">
        <v>0</v>
      </c>
      <c r="D712" s="18">
        <v>0</v>
      </c>
      <c r="E712" s="18">
        <v>0</v>
      </c>
      <c r="F712" s="18">
        <f t="shared" si="69"/>
        <v>0</v>
      </c>
      <c r="G712" s="18">
        <v>0</v>
      </c>
      <c r="H712" s="18">
        <v>0</v>
      </c>
      <c r="I712" s="18">
        <f t="shared" si="70"/>
        <v>0</v>
      </c>
      <c r="J712" s="18">
        <v>0</v>
      </c>
      <c r="K712" s="18">
        <v>0</v>
      </c>
      <c r="L712" s="18">
        <f t="shared" si="71"/>
        <v>0</v>
      </c>
      <c r="M712" s="18">
        <v>0</v>
      </c>
      <c r="N712" s="18">
        <v>0</v>
      </c>
      <c r="O712" s="18">
        <v>0</v>
      </c>
      <c r="P712" s="18">
        <v>0</v>
      </c>
      <c r="Q712" s="18">
        <f t="shared" si="67"/>
        <v>0</v>
      </c>
      <c r="R712">
        <v>0</v>
      </c>
      <c r="S712">
        <v>0</v>
      </c>
      <c r="T712">
        <v>0</v>
      </c>
      <c r="U712">
        <v>0</v>
      </c>
      <c r="V712" s="18">
        <f t="shared" si="68"/>
        <v>0</v>
      </c>
      <c r="W712" s="18">
        <f t="shared" si="72"/>
        <v>0</v>
      </c>
      <c r="X712">
        <v>0</v>
      </c>
      <c r="Y712">
        <v>0</v>
      </c>
    </row>
    <row r="713" spans="1:25" x14ac:dyDescent="0.2">
      <c r="A713" s="18">
        <v>8712</v>
      </c>
      <c r="C713" s="18">
        <v>0</v>
      </c>
      <c r="D713" s="18">
        <v>0</v>
      </c>
      <c r="E713" s="18">
        <v>0</v>
      </c>
      <c r="F713" s="18">
        <f t="shared" si="69"/>
        <v>0</v>
      </c>
      <c r="G713" s="18">
        <v>0</v>
      </c>
      <c r="H713" s="18">
        <v>0</v>
      </c>
      <c r="I713" s="18">
        <f t="shared" si="70"/>
        <v>0</v>
      </c>
      <c r="J713" s="18">
        <v>0</v>
      </c>
      <c r="K713" s="18">
        <v>0</v>
      </c>
      <c r="L713" s="18">
        <f t="shared" si="71"/>
        <v>0</v>
      </c>
      <c r="M713" s="18">
        <v>0</v>
      </c>
      <c r="N713" s="18">
        <v>0</v>
      </c>
      <c r="O713" s="18">
        <v>0</v>
      </c>
      <c r="P713" s="18">
        <v>0</v>
      </c>
      <c r="Q713" s="18">
        <f t="shared" si="67"/>
        <v>0</v>
      </c>
      <c r="R713">
        <v>0</v>
      </c>
      <c r="S713">
        <v>0</v>
      </c>
      <c r="T713">
        <v>0</v>
      </c>
      <c r="U713">
        <v>0</v>
      </c>
      <c r="V713" s="18">
        <f t="shared" si="68"/>
        <v>0</v>
      </c>
      <c r="W713" s="18">
        <f t="shared" si="72"/>
        <v>0</v>
      </c>
      <c r="X713">
        <v>0</v>
      </c>
      <c r="Y713">
        <v>0</v>
      </c>
    </row>
    <row r="714" spans="1:25" x14ac:dyDescent="0.2">
      <c r="A714" s="18">
        <v>9146</v>
      </c>
      <c r="C714" s="18">
        <v>0</v>
      </c>
      <c r="D714" s="18">
        <v>0</v>
      </c>
      <c r="E714" s="18">
        <v>0</v>
      </c>
      <c r="F714" s="18">
        <f t="shared" si="69"/>
        <v>0</v>
      </c>
      <c r="G714" s="18">
        <v>0</v>
      </c>
      <c r="H714" s="18">
        <v>0</v>
      </c>
      <c r="I714" s="18">
        <f t="shared" si="70"/>
        <v>0</v>
      </c>
      <c r="J714" s="18">
        <v>0</v>
      </c>
      <c r="K714" s="18">
        <v>0</v>
      </c>
      <c r="L714" s="18">
        <f t="shared" si="71"/>
        <v>0</v>
      </c>
      <c r="M714" s="18">
        <v>0</v>
      </c>
      <c r="N714" s="18">
        <v>0</v>
      </c>
      <c r="O714" s="18">
        <v>0</v>
      </c>
      <c r="P714" s="18">
        <v>0</v>
      </c>
      <c r="Q714" s="18">
        <f t="shared" si="67"/>
        <v>0</v>
      </c>
      <c r="R714">
        <v>0</v>
      </c>
      <c r="S714">
        <v>0</v>
      </c>
      <c r="T714">
        <v>0</v>
      </c>
      <c r="U714">
        <v>0</v>
      </c>
      <c r="V714" s="18">
        <f t="shared" si="68"/>
        <v>0</v>
      </c>
      <c r="W714" s="18">
        <f t="shared" si="72"/>
        <v>0</v>
      </c>
      <c r="X714">
        <v>0</v>
      </c>
      <c r="Y714">
        <v>0</v>
      </c>
    </row>
    <row r="715" spans="1:25" x14ac:dyDescent="0.2">
      <c r="A715" s="18">
        <v>9228</v>
      </c>
      <c r="C715" s="18">
        <v>1.8490833333333334</v>
      </c>
      <c r="D715" s="18">
        <v>1.0428333333333333</v>
      </c>
      <c r="E715" s="18">
        <v>0.49114999999999998</v>
      </c>
      <c r="F715" s="18">
        <f t="shared" si="69"/>
        <v>1.5339833333333333</v>
      </c>
      <c r="G715" s="18">
        <v>1.9058333333333333</v>
      </c>
      <c r="H715" s="18">
        <v>0.76893650000000002</v>
      </c>
      <c r="I715" s="18">
        <f t="shared" si="70"/>
        <v>2.6747698333333334</v>
      </c>
      <c r="J715" s="18">
        <v>0</v>
      </c>
      <c r="K715" s="18">
        <v>0</v>
      </c>
      <c r="L715" s="18">
        <f t="shared" si="71"/>
        <v>0</v>
      </c>
      <c r="M715" s="18">
        <v>44.624999999999993</v>
      </c>
      <c r="N715" s="18">
        <v>0.23850000000000002</v>
      </c>
      <c r="O715" s="18">
        <v>0</v>
      </c>
      <c r="P715" s="18">
        <v>29.749999999999993</v>
      </c>
      <c r="Q715" s="18">
        <f t="shared" si="67"/>
        <v>74.613499999999988</v>
      </c>
      <c r="R715">
        <v>0</v>
      </c>
      <c r="S715">
        <v>0</v>
      </c>
      <c r="T715">
        <v>1.9791666666666667</v>
      </c>
      <c r="U715">
        <v>4.9000000000000002E-2</v>
      </c>
      <c r="V715" s="18">
        <f t="shared" si="68"/>
        <v>44.863499999999995</v>
      </c>
      <c r="W715" s="18">
        <f t="shared" si="72"/>
        <v>29.749999999999993</v>
      </c>
      <c r="X715">
        <v>0.70516666666666672</v>
      </c>
      <c r="Y715">
        <v>0</v>
      </c>
    </row>
    <row r="716" spans="1:25" x14ac:dyDescent="0.2">
      <c r="A716" s="18">
        <v>9247</v>
      </c>
      <c r="C716" s="18">
        <v>1.8490833333333334</v>
      </c>
      <c r="D716" s="18">
        <v>1.0678333333333334</v>
      </c>
      <c r="E716" s="18">
        <v>0.52616666666666656</v>
      </c>
      <c r="F716" s="18">
        <f t="shared" si="69"/>
        <v>1.5939999999999999</v>
      </c>
      <c r="G716" s="18">
        <v>3.7435</v>
      </c>
      <c r="H716" s="18">
        <v>0.77180333333333351</v>
      </c>
      <c r="I716" s="18">
        <f t="shared" si="70"/>
        <v>4.5153033333333337</v>
      </c>
      <c r="J716" s="18">
        <v>0</v>
      </c>
      <c r="K716" s="18">
        <v>0</v>
      </c>
      <c r="M716" s="18">
        <v>54.1875</v>
      </c>
      <c r="N716" s="18">
        <v>0.54033333333333344</v>
      </c>
      <c r="O716" s="18">
        <v>0</v>
      </c>
      <c r="P716" s="18">
        <v>36.125</v>
      </c>
      <c r="Q716" s="18">
        <f t="shared" si="67"/>
        <v>90.852833333333336</v>
      </c>
      <c r="R716">
        <v>4.7E-2</v>
      </c>
      <c r="S716">
        <v>4.6833333333333331E-2</v>
      </c>
      <c r="T716">
        <v>2.6901666666666673</v>
      </c>
      <c r="U716">
        <v>4.9000000000000002E-2</v>
      </c>
      <c r="V716" s="18">
        <f t="shared" si="68"/>
        <v>54.727833333333336</v>
      </c>
      <c r="W716" s="18">
        <f t="shared" si="72"/>
        <v>36.125</v>
      </c>
      <c r="X716">
        <v>1.3058333333333334</v>
      </c>
      <c r="Y716">
        <v>1.7166666666666667E-2</v>
      </c>
    </row>
    <row r="717" spans="1:25" x14ac:dyDescent="0.2">
      <c r="A717" s="18">
        <v>9279</v>
      </c>
      <c r="C717" s="18">
        <v>1.8490833333333334</v>
      </c>
      <c r="D717" s="18">
        <v>1.0676666666666668</v>
      </c>
      <c r="E717" s="18">
        <v>0.45833333333333331</v>
      </c>
      <c r="F717" s="18">
        <f t="shared" si="69"/>
        <v>1.526</v>
      </c>
      <c r="G717" s="18">
        <v>6.7716666666666665</v>
      </c>
      <c r="H717" s="18">
        <v>2.7255536611111113</v>
      </c>
      <c r="I717" s="18">
        <f t="shared" si="70"/>
        <v>9.4972203277777787</v>
      </c>
      <c r="J717" s="18">
        <v>0</v>
      </c>
      <c r="K717" s="18">
        <v>0</v>
      </c>
      <c r="M717" s="18">
        <v>47.8125</v>
      </c>
      <c r="N717" s="18">
        <v>1.5381666666666667</v>
      </c>
      <c r="O717" s="18">
        <v>0</v>
      </c>
      <c r="P717" s="18">
        <v>31.875</v>
      </c>
      <c r="Q717" s="18">
        <f t="shared" si="67"/>
        <v>81.225666666666669</v>
      </c>
      <c r="R717">
        <v>0.35549999999999998</v>
      </c>
      <c r="S717">
        <v>1.1433333333333333</v>
      </c>
      <c r="T717">
        <v>2.1028333333333338</v>
      </c>
      <c r="U717">
        <v>4.9000000000000002E-2</v>
      </c>
      <c r="V717" s="18">
        <f t="shared" si="68"/>
        <v>49.350666666666669</v>
      </c>
      <c r="W717" s="18">
        <f t="shared" si="72"/>
        <v>31.875</v>
      </c>
      <c r="X717">
        <v>0.8158333333333333</v>
      </c>
      <c r="Y717">
        <v>0</v>
      </c>
    </row>
    <row r="718" spans="1:25" x14ac:dyDescent="0.2">
      <c r="A718" s="18">
        <v>9288</v>
      </c>
      <c r="C718" s="18">
        <v>0</v>
      </c>
      <c r="D718" s="18">
        <v>0</v>
      </c>
      <c r="E718" s="18">
        <v>0</v>
      </c>
      <c r="F718" s="18">
        <f t="shared" si="69"/>
        <v>0</v>
      </c>
      <c r="G718" s="18">
        <v>398.32799999999997</v>
      </c>
      <c r="H718" s="18">
        <v>21.898800000000001</v>
      </c>
      <c r="I718" s="18">
        <f t="shared" si="70"/>
        <v>420.22679999999997</v>
      </c>
      <c r="J718" s="18">
        <v>0</v>
      </c>
      <c r="K718" s="18">
        <v>0</v>
      </c>
      <c r="M718" s="18">
        <v>0</v>
      </c>
      <c r="N718" s="18">
        <v>0</v>
      </c>
      <c r="O718" s="18">
        <v>0</v>
      </c>
      <c r="P718" s="18">
        <v>0</v>
      </c>
      <c r="Q718" s="18">
        <f t="shared" si="67"/>
        <v>0</v>
      </c>
      <c r="R718">
        <v>11.424000000000001</v>
      </c>
      <c r="S718">
        <v>0</v>
      </c>
      <c r="T718">
        <v>0</v>
      </c>
      <c r="U718">
        <v>0</v>
      </c>
      <c r="V718" s="18">
        <f t="shared" si="68"/>
        <v>0</v>
      </c>
      <c r="W718" s="18">
        <f t="shared" si="72"/>
        <v>0</v>
      </c>
      <c r="X718">
        <v>0</v>
      </c>
      <c r="Y718">
        <v>0</v>
      </c>
    </row>
    <row r="719" spans="1:25" x14ac:dyDescent="0.2">
      <c r="A719" s="18">
        <v>9292</v>
      </c>
      <c r="C719" s="18">
        <v>0</v>
      </c>
      <c r="D719" s="18">
        <v>7.1479999999999997</v>
      </c>
      <c r="E719" s="18">
        <v>9.4267933333333325</v>
      </c>
      <c r="F719" s="18">
        <f t="shared" si="69"/>
        <v>16.574793333333332</v>
      </c>
      <c r="G719" s="18">
        <v>0</v>
      </c>
      <c r="H719" s="18">
        <v>0</v>
      </c>
      <c r="I719" s="18">
        <f t="shared" si="70"/>
        <v>0</v>
      </c>
      <c r="J719" s="18">
        <v>0</v>
      </c>
      <c r="K719" s="18">
        <v>0</v>
      </c>
      <c r="M719" s="18">
        <v>0</v>
      </c>
      <c r="N719" s="18">
        <v>0</v>
      </c>
      <c r="O719" s="18">
        <v>0</v>
      </c>
      <c r="P719" s="18">
        <v>0</v>
      </c>
      <c r="Q719" s="18">
        <f t="shared" si="67"/>
        <v>0</v>
      </c>
      <c r="R719">
        <v>4.1896666666666667</v>
      </c>
      <c r="S719">
        <v>0</v>
      </c>
      <c r="T719">
        <v>11.508166666666666</v>
      </c>
      <c r="U719">
        <v>3.9513333333333334</v>
      </c>
      <c r="V719" s="18">
        <f t="shared" si="68"/>
        <v>0</v>
      </c>
      <c r="W719" s="18">
        <f t="shared" si="72"/>
        <v>0</v>
      </c>
      <c r="X719">
        <v>9.6643333333333334</v>
      </c>
      <c r="Y719">
        <v>0.9351666666666667</v>
      </c>
    </row>
    <row r="720" spans="1:25" x14ac:dyDescent="0.2">
      <c r="A720" s="18">
        <v>9296</v>
      </c>
      <c r="C720" s="18">
        <v>0</v>
      </c>
      <c r="D720" s="18">
        <v>0</v>
      </c>
      <c r="E720" s="18">
        <v>0.16666666666666666</v>
      </c>
      <c r="F720" s="18">
        <f t="shared" si="69"/>
        <v>0.16666666666666666</v>
      </c>
      <c r="G720" s="18">
        <v>0.27116666666666667</v>
      </c>
      <c r="H720" s="18">
        <v>5.0166666666666665E-2</v>
      </c>
      <c r="I720" s="18">
        <f t="shared" si="70"/>
        <v>0.32133333333333336</v>
      </c>
      <c r="J720" s="18">
        <v>0</v>
      </c>
      <c r="K720" s="18">
        <v>0</v>
      </c>
      <c r="M720" s="18">
        <v>0</v>
      </c>
      <c r="N720" s="18">
        <v>0.40316666666666667</v>
      </c>
      <c r="O720" s="18">
        <v>0</v>
      </c>
      <c r="P720" s="18">
        <v>0</v>
      </c>
      <c r="Q720" s="18">
        <f t="shared" si="67"/>
        <v>0.40316666666666667</v>
      </c>
      <c r="R720">
        <v>0</v>
      </c>
      <c r="S720">
        <v>0</v>
      </c>
      <c r="T720">
        <v>0.52966666666666673</v>
      </c>
      <c r="U720">
        <v>0.16666666666666666</v>
      </c>
      <c r="V720" s="18">
        <f t="shared" si="68"/>
        <v>0.40316666666666667</v>
      </c>
      <c r="W720" s="18">
        <f t="shared" si="72"/>
        <v>0</v>
      </c>
      <c r="X720">
        <v>1.1906666666666665</v>
      </c>
      <c r="Y720">
        <v>0</v>
      </c>
    </row>
    <row r="721" spans="1:25" x14ac:dyDescent="0.2">
      <c r="A721" s="18">
        <v>9204</v>
      </c>
      <c r="C721" s="18">
        <v>0</v>
      </c>
      <c r="D721" s="18">
        <v>147.89999999999998</v>
      </c>
      <c r="E721" s="18">
        <v>0</v>
      </c>
      <c r="F721" s="18">
        <f t="shared" si="69"/>
        <v>147.89999999999998</v>
      </c>
      <c r="G721" s="18">
        <v>197.63333333333333</v>
      </c>
      <c r="H721" s="18">
        <v>9.9443333333333328</v>
      </c>
      <c r="I721" s="18">
        <f t="shared" si="70"/>
        <v>207.57766666666666</v>
      </c>
      <c r="J721" s="18">
        <v>0</v>
      </c>
      <c r="K721" s="18">
        <v>0</v>
      </c>
      <c r="M721" s="18">
        <v>0</v>
      </c>
      <c r="N721" s="18">
        <v>0</v>
      </c>
      <c r="O721" s="18">
        <v>0</v>
      </c>
      <c r="P721" s="18">
        <v>0</v>
      </c>
      <c r="Q721" s="18">
        <f t="shared" si="67"/>
        <v>0</v>
      </c>
      <c r="R721">
        <v>8.6333333333333329</v>
      </c>
      <c r="S721">
        <v>0</v>
      </c>
      <c r="T721">
        <v>13.466666666666665</v>
      </c>
      <c r="U721">
        <v>0</v>
      </c>
      <c r="V721" s="18">
        <f t="shared" si="68"/>
        <v>0</v>
      </c>
      <c r="W721" s="18">
        <f t="shared" si="72"/>
        <v>0</v>
      </c>
      <c r="X721">
        <v>49.600000000000009</v>
      </c>
      <c r="Y721">
        <v>0</v>
      </c>
    </row>
    <row r="722" spans="1:25" x14ac:dyDescent="0.2">
      <c r="A722" s="18">
        <v>9303</v>
      </c>
      <c r="C722" s="18">
        <v>0</v>
      </c>
      <c r="D722" s="18">
        <v>0</v>
      </c>
      <c r="E722" s="18">
        <v>1.5712666666666664</v>
      </c>
      <c r="F722" s="18">
        <f t="shared" si="69"/>
        <v>1.5712666666666664</v>
      </c>
      <c r="G722" s="18">
        <v>0</v>
      </c>
      <c r="H722" s="18">
        <v>0</v>
      </c>
      <c r="I722" s="18">
        <f t="shared" si="70"/>
        <v>0</v>
      </c>
      <c r="J722" s="18">
        <v>0</v>
      </c>
      <c r="K722" s="18">
        <v>0</v>
      </c>
      <c r="M722" s="18">
        <v>0</v>
      </c>
      <c r="N722" s="18">
        <v>0</v>
      </c>
      <c r="O722" s="18">
        <v>0</v>
      </c>
      <c r="P722" s="18">
        <v>0</v>
      </c>
      <c r="Q722" s="18">
        <f t="shared" si="67"/>
        <v>0</v>
      </c>
      <c r="R722">
        <v>0</v>
      </c>
      <c r="S722">
        <v>0</v>
      </c>
      <c r="T722">
        <v>0</v>
      </c>
      <c r="U722">
        <v>0</v>
      </c>
      <c r="V722" s="18">
        <f t="shared" si="68"/>
        <v>0</v>
      </c>
      <c r="W722" s="18">
        <f t="shared" si="72"/>
        <v>0</v>
      </c>
      <c r="X722">
        <v>0</v>
      </c>
      <c r="Y722">
        <v>0</v>
      </c>
    </row>
    <row r="723" spans="1:25" x14ac:dyDescent="0.2">
      <c r="A723" s="18">
        <v>9302</v>
      </c>
      <c r="C723" s="18">
        <v>1.75475</v>
      </c>
      <c r="D723" s="18">
        <v>1.0673333333333335</v>
      </c>
      <c r="E723" s="18">
        <v>0.51366666666666672</v>
      </c>
      <c r="F723" s="18">
        <f t="shared" si="69"/>
        <v>1.5810000000000002</v>
      </c>
      <c r="G723" s="18">
        <v>3.2446666666666664</v>
      </c>
      <c r="H723" s="18">
        <v>0.72988666666666679</v>
      </c>
      <c r="I723" s="18">
        <f t="shared" si="70"/>
        <v>3.9745533333333332</v>
      </c>
      <c r="J723" s="18">
        <v>0</v>
      </c>
      <c r="K723" s="18">
        <v>0</v>
      </c>
      <c r="M723" s="18">
        <v>54.1875</v>
      </c>
      <c r="N723" s="18">
        <v>0.18466666666666667</v>
      </c>
      <c r="O723" s="18">
        <v>0</v>
      </c>
      <c r="P723" s="18">
        <v>36.125</v>
      </c>
      <c r="Q723" s="18">
        <f t="shared" si="67"/>
        <v>90.497166666666658</v>
      </c>
      <c r="R723">
        <v>4.7E-2</v>
      </c>
      <c r="S723">
        <v>4.6833333333333331E-2</v>
      </c>
      <c r="T723">
        <v>1.5886666666666669</v>
      </c>
      <c r="U723">
        <v>4.9000000000000002E-2</v>
      </c>
      <c r="V723" s="18">
        <f t="shared" si="68"/>
        <v>54.372166666666665</v>
      </c>
      <c r="W723" s="18">
        <f t="shared" si="72"/>
        <v>36.125</v>
      </c>
      <c r="X723">
        <v>0.79899999999999993</v>
      </c>
      <c r="Y723">
        <v>0.13033333333333333</v>
      </c>
    </row>
    <row r="724" spans="1:25" x14ac:dyDescent="0.2">
      <c r="A724" s="18">
        <v>9309</v>
      </c>
      <c r="C724" s="18">
        <v>0</v>
      </c>
      <c r="D724" s="18">
        <v>9.9666666666666667E-2</v>
      </c>
      <c r="E724" s="18">
        <v>0.5024911666666666</v>
      </c>
      <c r="F724" s="18">
        <f t="shared" si="69"/>
        <v>0.60215783333333328</v>
      </c>
      <c r="G724" s="18">
        <v>0</v>
      </c>
      <c r="H724" s="18">
        <v>0</v>
      </c>
      <c r="I724" s="18">
        <f t="shared" si="70"/>
        <v>0</v>
      </c>
      <c r="J724" s="18">
        <v>0</v>
      </c>
      <c r="K724" s="18">
        <v>0</v>
      </c>
      <c r="M724" s="18">
        <v>0</v>
      </c>
      <c r="N724" s="18">
        <v>0</v>
      </c>
      <c r="O724" s="18">
        <v>0</v>
      </c>
      <c r="P724" s="18">
        <v>0</v>
      </c>
      <c r="Q724" s="18">
        <f t="shared" si="67"/>
        <v>0</v>
      </c>
      <c r="R724">
        <v>0</v>
      </c>
      <c r="S724">
        <v>0</v>
      </c>
      <c r="T724">
        <v>1.0868333333333333</v>
      </c>
      <c r="U724">
        <v>0.17666666666666667</v>
      </c>
      <c r="V724" s="18">
        <f t="shared" si="68"/>
        <v>0</v>
      </c>
      <c r="W724" s="18">
        <f t="shared" si="72"/>
        <v>0</v>
      </c>
      <c r="X724">
        <v>0.80966666666666665</v>
      </c>
      <c r="Y724">
        <v>0.10066666666666667</v>
      </c>
    </row>
    <row r="725" spans="1:25" x14ac:dyDescent="0.2">
      <c r="A725" s="18">
        <v>9259</v>
      </c>
      <c r="C725" s="18">
        <v>0</v>
      </c>
      <c r="D725" s="18">
        <v>0</v>
      </c>
      <c r="E725" s="18">
        <v>0.68183333333333329</v>
      </c>
      <c r="F725" s="18">
        <f t="shared" si="69"/>
        <v>0.68183333333333329</v>
      </c>
      <c r="G725" s="18">
        <v>0</v>
      </c>
      <c r="H725" s="18">
        <v>2.2234833333333337</v>
      </c>
      <c r="I725" s="18">
        <f t="shared" si="70"/>
        <v>2.2234833333333337</v>
      </c>
      <c r="J725" s="18">
        <v>0</v>
      </c>
      <c r="K725" s="18">
        <v>0</v>
      </c>
      <c r="M725" s="18">
        <v>0</v>
      </c>
      <c r="N725" s="18">
        <v>0</v>
      </c>
      <c r="O725" s="18">
        <v>0</v>
      </c>
      <c r="P725" s="18">
        <v>0</v>
      </c>
      <c r="Q725" s="18">
        <f t="shared" si="67"/>
        <v>0</v>
      </c>
      <c r="R725">
        <v>0</v>
      </c>
      <c r="S725">
        <v>0</v>
      </c>
      <c r="T725">
        <v>0</v>
      </c>
      <c r="U725">
        <v>0</v>
      </c>
      <c r="V725" s="18">
        <f t="shared" si="68"/>
        <v>0</v>
      </c>
      <c r="W725" s="18">
        <f t="shared" si="72"/>
        <v>0</v>
      </c>
      <c r="X725">
        <v>0</v>
      </c>
      <c r="Y725">
        <v>0</v>
      </c>
    </row>
    <row r="726" spans="1:25" x14ac:dyDescent="0.2">
      <c r="A726" s="18">
        <v>8814</v>
      </c>
      <c r="C726" s="18">
        <v>0</v>
      </c>
      <c r="D726" s="18">
        <v>1.1080000000000001</v>
      </c>
      <c r="E726" s="18">
        <v>0</v>
      </c>
      <c r="F726" s="18">
        <f t="shared" si="69"/>
        <v>1.1080000000000001</v>
      </c>
      <c r="G726" s="18">
        <v>0</v>
      </c>
      <c r="H726" s="18">
        <v>0.14133333333333334</v>
      </c>
      <c r="I726" s="18">
        <f t="shared" si="70"/>
        <v>0.14133333333333334</v>
      </c>
      <c r="J726" s="18">
        <v>0</v>
      </c>
      <c r="K726" s="18">
        <v>0</v>
      </c>
      <c r="M726" s="18">
        <v>133.875</v>
      </c>
      <c r="N726" s="18">
        <v>0</v>
      </c>
      <c r="O726" s="18">
        <v>0</v>
      </c>
      <c r="P726" s="18">
        <v>89.25</v>
      </c>
      <c r="Q726" s="18">
        <f t="shared" si="67"/>
        <v>223.125</v>
      </c>
      <c r="R726">
        <v>0</v>
      </c>
      <c r="S726">
        <v>0</v>
      </c>
      <c r="T726">
        <v>0.58399999999999996</v>
      </c>
      <c r="U726">
        <v>0</v>
      </c>
      <c r="V726" s="18">
        <f t="shared" si="68"/>
        <v>133.875</v>
      </c>
      <c r="W726" s="18">
        <f t="shared" si="72"/>
        <v>89.25</v>
      </c>
      <c r="X726">
        <v>0.254</v>
      </c>
      <c r="Y726">
        <v>0</v>
      </c>
    </row>
    <row r="727" spans="1:25" x14ac:dyDescent="0.2">
      <c r="F727" s="18">
        <f t="shared" si="69"/>
        <v>0</v>
      </c>
      <c r="I727" s="18">
        <f t="shared" si="70"/>
        <v>0</v>
      </c>
      <c r="Q727" s="18">
        <f t="shared" si="67"/>
        <v>0</v>
      </c>
      <c r="V727" s="18">
        <f t="shared" si="68"/>
        <v>0</v>
      </c>
      <c r="W727" s="18">
        <f t="shared" si="72"/>
        <v>0</v>
      </c>
    </row>
    <row r="728" spans="1:25" x14ac:dyDescent="0.2">
      <c r="F728" s="18">
        <f t="shared" si="69"/>
        <v>0</v>
      </c>
      <c r="I728" s="18">
        <f t="shared" si="70"/>
        <v>0</v>
      </c>
      <c r="Q728" s="18">
        <f t="shared" si="67"/>
        <v>0</v>
      </c>
      <c r="V728" s="18">
        <f t="shared" si="68"/>
        <v>0</v>
      </c>
      <c r="W728" s="18">
        <f t="shared" si="72"/>
        <v>0</v>
      </c>
    </row>
    <row r="729" spans="1:25" x14ac:dyDescent="0.2">
      <c r="F729" s="18">
        <f t="shared" si="69"/>
        <v>0</v>
      </c>
      <c r="I729" s="18">
        <f t="shared" si="70"/>
        <v>0</v>
      </c>
      <c r="Q729" s="18">
        <f t="shared" si="67"/>
        <v>0</v>
      </c>
      <c r="V729" s="18">
        <f t="shared" si="68"/>
        <v>0</v>
      </c>
      <c r="W729" s="18">
        <f t="shared" si="72"/>
        <v>0</v>
      </c>
    </row>
    <row r="730" spans="1:25" x14ac:dyDescent="0.2">
      <c r="F730" s="18">
        <f t="shared" si="69"/>
        <v>0</v>
      </c>
      <c r="I730" s="18">
        <f t="shared" si="70"/>
        <v>0</v>
      </c>
      <c r="Q730" s="18">
        <f t="shared" si="67"/>
        <v>0</v>
      </c>
      <c r="V730" s="18">
        <f t="shared" si="68"/>
        <v>0</v>
      </c>
      <c r="W730" s="18">
        <f t="shared" si="72"/>
        <v>0</v>
      </c>
    </row>
    <row r="731" spans="1:25" x14ac:dyDescent="0.2">
      <c r="F731" s="18">
        <f t="shared" si="69"/>
        <v>0</v>
      </c>
      <c r="I731" s="18">
        <f t="shared" si="70"/>
        <v>0</v>
      </c>
      <c r="Q731" s="18">
        <f t="shared" si="67"/>
        <v>0</v>
      </c>
      <c r="V731" s="18">
        <f t="shared" si="68"/>
        <v>0</v>
      </c>
      <c r="W731" s="18">
        <f t="shared" si="72"/>
        <v>0</v>
      </c>
    </row>
    <row r="732" spans="1:25" x14ac:dyDescent="0.2">
      <c r="F732" s="18">
        <f t="shared" si="69"/>
        <v>0</v>
      </c>
      <c r="I732" s="18">
        <f t="shared" si="70"/>
        <v>0</v>
      </c>
      <c r="Q732" s="18">
        <f t="shared" si="67"/>
        <v>0</v>
      </c>
      <c r="V732" s="18">
        <f t="shared" si="68"/>
        <v>0</v>
      </c>
      <c r="W732" s="18">
        <f t="shared" si="72"/>
        <v>0</v>
      </c>
    </row>
    <row r="733" spans="1:25" x14ac:dyDescent="0.2">
      <c r="F733" s="18">
        <f t="shared" si="69"/>
        <v>0</v>
      </c>
      <c r="I733" s="18">
        <f t="shared" si="70"/>
        <v>0</v>
      </c>
      <c r="Q733" s="18">
        <f t="shared" si="67"/>
        <v>0</v>
      </c>
      <c r="V733" s="18">
        <f t="shared" si="68"/>
        <v>0</v>
      </c>
      <c r="W733" s="18">
        <f t="shared" si="72"/>
        <v>0</v>
      </c>
    </row>
    <row r="734" spans="1:25" x14ac:dyDescent="0.2">
      <c r="F734" s="18">
        <f t="shared" si="69"/>
        <v>0</v>
      </c>
      <c r="I734" s="18">
        <f t="shared" si="70"/>
        <v>0</v>
      </c>
      <c r="Q734" s="18">
        <f t="shared" si="67"/>
        <v>0</v>
      </c>
      <c r="V734" s="18">
        <f t="shared" si="68"/>
        <v>0</v>
      </c>
      <c r="W734" s="18">
        <f t="shared" si="72"/>
        <v>0</v>
      </c>
    </row>
    <row r="735" spans="1:25" x14ac:dyDescent="0.2">
      <c r="F735" s="18">
        <f t="shared" si="69"/>
        <v>0</v>
      </c>
      <c r="I735" s="18">
        <f t="shared" si="70"/>
        <v>0</v>
      </c>
      <c r="Q735" s="18">
        <f t="shared" ref="Q735:Q746" si="73">SUM(M735:P735)</f>
        <v>0</v>
      </c>
      <c r="V735" s="18">
        <f t="shared" si="68"/>
        <v>0</v>
      </c>
      <c r="W735" s="18">
        <f t="shared" si="72"/>
        <v>0</v>
      </c>
    </row>
    <row r="736" spans="1:25" x14ac:dyDescent="0.2">
      <c r="F736" s="18">
        <f t="shared" si="69"/>
        <v>0</v>
      </c>
      <c r="I736" s="18">
        <f t="shared" si="70"/>
        <v>0</v>
      </c>
      <c r="Q736" s="18">
        <f t="shared" si="73"/>
        <v>0</v>
      </c>
      <c r="V736" s="18">
        <f t="shared" si="68"/>
        <v>0</v>
      </c>
      <c r="W736" s="18">
        <f t="shared" si="72"/>
        <v>0</v>
      </c>
    </row>
    <row r="737" spans="6:23" x14ac:dyDescent="0.2">
      <c r="F737" s="18">
        <f t="shared" si="69"/>
        <v>0</v>
      </c>
      <c r="I737" s="18">
        <f t="shared" si="70"/>
        <v>0</v>
      </c>
      <c r="Q737" s="18">
        <f t="shared" si="73"/>
        <v>0</v>
      </c>
      <c r="V737" s="18">
        <f t="shared" si="68"/>
        <v>0</v>
      </c>
      <c r="W737" s="18">
        <f t="shared" si="72"/>
        <v>0</v>
      </c>
    </row>
    <row r="738" spans="6:23" x14ac:dyDescent="0.2">
      <c r="F738" s="18">
        <f t="shared" si="69"/>
        <v>0</v>
      </c>
      <c r="I738" s="18">
        <f t="shared" si="70"/>
        <v>0</v>
      </c>
      <c r="Q738" s="18">
        <f t="shared" si="73"/>
        <v>0</v>
      </c>
      <c r="V738" s="18">
        <f t="shared" si="68"/>
        <v>0</v>
      </c>
      <c r="W738" s="18">
        <f t="shared" si="72"/>
        <v>0</v>
      </c>
    </row>
    <row r="739" spans="6:23" x14ac:dyDescent="0.2">
      <c r="F739" s="18">
        <f t="shared" si="69"/>
        <v>0</v>
      </c>
      <c r="I739" s="18">
        <f t="shared" si="70"/>
        <v>0</v>
      </c>
      <c r="Q739" s="18">
        <f t="shared" si="73"/>
        <v>0</v>
      </c>
      <c r="V739" s="18">
        <f t="shared" si="68"/>
        <v>0</v>
      </c>
      <c r="W739" s="18">
        <f t="shared" si="72"/>
        <v>0</v>
      </c>
    </row>
    <row r="740" spans="6:23" x14ac:dyDescent="0.2">
      <c r="F740" s="18">
        <f t="shared" si="69"/>
        <v>0</v>
      </c>
      <c r="I740" s="18">
        <f t="shared" si="70"/>
        <v>0</v>
      </c>
      <c r="Q740" s="18">
        <f t="shared" si="73"/>
        <v>0</v>
      </c>
      <c r="V740" s="18">
        <f t="shared" si="68"/>
        <v>0</v>
      </c>
      <c r="W740" s="18">
        <f t="shared" si="72"/>
        <v>0</v>
      </c>
    </row>
    <row r="741" spans="6:23" x14ac:dyDescent="0.2">
      <c r="F741" s="18">
        <f t="shared" si="69"/>
        <v>0</v>
      </c>
      <c r="I741" s="18">
        <f t="shared" si="70"/>
        <v>0</v>
      </c>
      <c r="Q741" s="18">
        <f t="shared" si="73"/>
        <v>0</v>
      </c>
      <c r="V741" s="18">
        <f t="shared" si="68"/>
        <v>0</v>
      </c>
      <c r="W741" s="18">
        <f t="shared" si="72"/>
        <v>0</v>
      </c>
    </row>
    <row r="742" spans="6:23" x14ac:dyDescent="0.2">
      <c r="F742" s="18">
        <f t="shared" si="69"/>
        <v>0</v>
      </c>
      <c r="I742" s="18">
        <f t="shared" si="70"/>
        <v>0</v>
      </c>
      <c r="Q742" s="18">
        <f t="shared" si="73"/>
        <v>0</v>
      </c>
      <c r="V742" s="18">
        <f t="shared" si="68"/>
        <v>0</v>
      </c>
      <c r="W742" s="18">
        <f t="shared" si="72"/>
        <v>0</v>
      </c>
    </row>
    <row r="743" spans="6:23" x14ac:dyDescent="0.2">
      <c r="F743" s="18">
        <f t="shared" si="69"/>
        <v>0</v>
      </c>
      <c r="I743" s="18">
        <f t="shared" si="70"/>
        <v>0</v>
      </c>
      <c r="Q743" s="18">
        <f t="shared" si="73"/>
        <v>0</v>
      </c>
      <c r="V743" s="18">
        <f t="shared" si="68"/>
        <v>0</v>
      </c>
      <c r="W743" s="18">
        <f t="shared" si="72"/>
        <v>0</v>
      </c>
    </row>
    <row r="744" spans="6:23" x14ac:dyDescent="0.2">
      <c r="F744" s="18">
        <f t="shared" si="69"/>
        <v>0</v>
      </c>
      <c r="I744" s="18">
        <f t="shared" si="70"/>
        <v>0</v>
      </c>
      <c r="Q744" s="18">
        <f t="shared" si="73"/>
        <v>0</v>
      </c>
      <c r="V744" s="18">
        <f t="shared" si="68"/>
        <v>0</v>
      </c>
      <c r="W744" s="18">
        <f t="shared" si="72"/>
        <v>0</v>
      </c>
    </row>
    <row r="745" spans="6:23" x14ac:dyDescent="0.2">
      <c r="F745" s="18">
        <f t="shared" si="69"/>
        <v>0</v>
      </c>
      <c r="I745" s="18">
        <f t="shared" si="70"/>
        <v>0</v>
      </c>
      <c r="Q745" s="18">
        <f t="shared" si="73"/>
        <v>0</v>
      </c>
      <c r="V745" s="18">
        <f t="shared" si="68"/>
        <v>0</v>
      </c>
      <c r="W745" s="18">
        <f t="shared" si="72"/>
        <v>0</v>
      </c>
    </row>
    <row r="746" spans="6:23" x14ac:dyDescent="0.2">
      <c r="F746" s="18">
        <f t="shared" si="69"/>
        <v>0</v>
      </c>
      <c r="I746" s="18">
        <f t="shared" si="70"/>
        <v>0</v>
      </c>
      <c r="Q746" s="18">
        <f t="shared" si="73"/>
        <v>0</v>
      </c>
      <c r="V746" s="18">
        <f t="shared" si="68"/>
        <v>0</v>
      </c>
      <c r="W746" s="18">
        <f t="shared" si="72"/>
        <v>0</v>
      </c>
    </row>
    <row r="747" spans="6:23" x14ac:dyDescent="0.2">
      <c r="F747" s="18">
        <f t="shared" si="69"/>
        <v>0</v>
      </c>
      <c r="I747" s="18">
        <f t="shared" si="70"/>
        <v>0</v>
      </c>
      <c r="V747" s="18">
        <f t="shared" si="68"/>
        <v>0</v>
      </c>
      <c r="W747" s="18">
        <f t="shared" si="72"/>
        <v>0</v>
      </c>
    </row>
    <row r="748" spans="6:23" x14ac:dyDescent="0.2">
      <c r="F748" s="18">
        <f t="shared" si="69"/>
        <v>0</v>
      </c>
      <c r="I748" s="18">
        <f t="shared" si="70"/>
        <v>0</v>
      </c>
      <c r="V748" s="18">
        <f t="shared" si="68"/>
        <v>0</v>
      </c>
      <c r="W748" s="18">
        <f t="shared" si="72"/>
        <v>0</v>
      </c>
    </row>
    <row r="749" spans="6:23" x14ac:dyDescent="0.2">
      <c r="V749" s="18">
        <f t="shared" si="68"/>
        <v>0</v>
      </c>
      <c r="W749" s="18">
        <f t="shared" si="72"/>
        <v>0</v>
      </c>
    </row>
    <row r="750" spans="6:23" x14ac:dyDescent="0.2">
      <c r="V750" s="18">
        <f t="shared" si="68"/>
        <v>0</v>
      </c>
      <c r="W750" s="18">
        <f t="shared" si="72"/>
        <v>0</v>
      </c>
    </row>
    <row r="751" spans="6:23" x14ac:dyDescent="0.2">
      <c r="V751" s="18">
        <f t="shared" ref="V751:V753" si="74">M751+N751</f>
        <v>0</v>
      </c>
      <c r="W751" s="18">
        <f t="shared" si="72"/>
        <v>0</v>
      </c>
    </row>
    <row r="752" spans="6:23" x14ac:dyDescent="0.2">
      <c r="V752" s="18">
        <f t="shared" si="74"/>
        <v>0</v>
      </c>
      <c r="W752" s="18">
        <f t="shared" si="72"/>
        <v>0</v>
      </c>
    </row>
    <row r="753" spans="22:23" x14ac:dyDescent="0.2">
      <c r="V753" s="18">
        <f t="shared" si="74"/>
        <v>0</v>
      </c>
      <c r="W753" s="18">
        <f t="shared" si="72"/>
        <v>0</v>
      </c>
    </row>
  </sheetData>
  <autoFilter ref="A3:U623" xr:uid="{00000000-0009-0000-0000-000014000000}"/>
  <pageMargins left="0.7" right="0.7" top="0.75" bottom="0.75" header="0.3" footer="0.3"/>
  <legacy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5" filterMode="1"/>
  <dimension ref="A2:C4296"/>
  <sheetViews>
    <sheetView zoomScale="90" zoomScaleNormal="90" workbookViewId="0">
      <selection activeCell="G480" sqref="G480"/>
    </sheetView>
  </sheetViews>
  <sheetFormatPr defaultRowHeight="12.75" x14ac:dyDescent="0.2"/>
  <cols>
    <col min="1" max="1" width="17.28515625" style="18" bestFit="1" customWidth="1"/>
    <col min="2" max="2" width="29.28515625" style="17" bestFit="1" customWidth="1"/>
    <col min="3" max="3" width="21.28515625" style="18" bestFit="1" customWidth="1"/>
  </cols>
  <sheetData>
    <row r="2" spans="1:3" s="18" customFormat="1" ht="15" x14ac:dyDescent="0.25">
      <c r="A2" s="57" t="s">
        <v>386</v>
      </c>
      <c r="B2" s="192" t="s">
        <v>244</v>
      </c>
      <c r="C2" s="57" t="s">
        <v>317</v>
      </c>
    </row>
    <row r="3" spans="1:3" ht="15" x14ac:dyDescent="0.25">
      <c r="A3" s="189">
        <v>3713</v>
      </c>
      <c r="B3" s="17" t="s">
        <v>245</v>
      </c>
      <c r="C3" s="18">
        <v>184</v>
      </c>
    </row>
    <row r="4" spans="1:3" ht="15" hidden="1" x14ac:dyDescent="0.25">
      <c r="A4" s="190">
        <v>4077</v>
      </c>
      <c r="B4" s="17">
        <v>0</v>
      </c>
      <c r="C4" s="18">
        <v>0</v>
      </c>
    </row>
    <row r="5" spans="1:3" ht="15" hidden="1" x14ac:dyDescent="0.25">
      <c r="A5" s="190"/>
      <c r="B5" s="17" t="s">
        <v>78</v>
      </c>
      <c r="C5" s="18">
        <v>0</v>
      </c>
    </row>
    <row r="6" spans="1:3" ht="15" hidden="1" x14ac:dyDescent="0.25">
      <c r="A6" s="190">
        <v>4079</v>
      </c>
      <c r="B6">
        <v>0</v>
      </c>
      <c r="C6" s="18">
        <v>0</v>
      </c>
    </row>
    <row r="7" spans="1:3" ht="15" hidden="1" x14ac:dyDescent="0.25">
      <c r="A7" s="189"/>
      <c r="B7" t="s">
        <v>247</v>
      </c>
      <c r="C7" s="18">
        <v>0</v>
      </c>
    </row>
    <row r="8" spans="1:3" ht="15" hidden="1" x14ac:dyDescent="0.25">
      <c r="A8" s="190"/>
      <c r="B8" t="s">
        <v>291</v>
      </c>
      <c r="C8" s="18">
        <v>0</v>
      </c>
    </row>
    <row r="9" spans="1:3" ht="15" hidden="1" x14ac:dyDescent="0.25">
      <c r="A9" s="190"/>
      <c r="B9" t="s">
        <v>256</v>
      </c>
      <c r="C9" s="18">
        <v>0</v>
      </c>
    </row>
    <row r="10" spans="1:3" ht="15" hidden="1" x14ac:dyDescent="0.25">
      <c r="A10" s="190"/>
      <c r="B10" t="s">
        <v>311</v>
      </c>
      <c r="C10" s="18">
        <v>0</v>
      </c>
    </row>
    <row r="11" spans="1:3" ht="15" hidden="1" x14ac:dyDescent="0.25">
      <c r="A11" s="190"/>
      <c r="B11" t="s">
        <v>245</v>
      </c>
      <c r="C11" s="18">
        <v>0</v>
      </c>
    </row>
    <row r="12" spans="1:3" ht="15" hidden="1" x14ac:dyDescent="0.25">
      <c r="A12" s="190"/>
      <c r="B12" t="s">
        <v>248</v>
      </c>
      <c r="C12" s="18">
        <v>0</v>
      </c>
    </row>
    <row r="13" spans="1:3" ht="15" hidden="1" x14ac:dyDescent="0.25">
      <c r="A13" s="190"/>
      <c r="B13" t="s">
        <v>249</v>
      </c>
      <c r="C13" s="18">
        <v>0</v>
      </c>
    </row>
    <row r="14" spans="1:3" ht="15" hidden="1" x14ac:dyDescent="0.25">
      <c r="A14" s="189"/>
      <c r="B14" t="s">
        <v>273</v>
      </c>
      <c r="C14" s="18">
        <v>0</v>
      </c>
    </row>
    <row r="15" spans="1:3" ht="15" hidden="1" x14ac:dyDescent="0.25">
      <c r="A15" s="190"/>
      <c r="B15" t="s">
        <v>263</v>
      </c>
      <c r="C15" s="18">
        <v>0</v>
      </c>
    </row>
    <row r="16" spans="1:3" ht="15" hidden="1" x14ac:dyDescent="0.25">
      <c r="A16" s="189"/>
      <c r="B16" t="s">
        <v>274</v>
      </c>
      <c r="C16" s="18">
        <v>0</v>
      </c>
    </row>
    <row r="17" spans="1:3" ht="15" hidden="1" x14ac:dyDescent="0.25">
      <c r="A17" s="190"/>
      <c r="B17" t="s">
        <v>272</v>
      </c>
      <c r="C17" s="18">
        <v>0</v>
      </c>
    </row>
    <row r="18" spans="1:3" ht="15" hidden="1" x14ac:dyDescent="0.25">
      <c r="A18" s="190"/>
      <c r="B18" t="s">
        <v>264</v>
      </c>
      <c r="C18" s="18">
        <v>0</v>
      </c>
    </row>
    <row r="19" spans="1:3" ht="15" hidden="1" x14ac:dyDescent="0.25">
      <c r="A19" s="190"/>
      <c r="B19" t="s">
        <v>319</v>
      </c>
      <c r="C19" s="18">
        <v>0</v>
      </c>
    </row>
    <row r="20" spans="1:3" ht="15" hidden="1" x14ac:dyDescent="0.25">
      <c r="A20" s="189"/>
      <c r="B20" t="s">
        <v>318</v>
      </c>
      <c r="C20" s="18">
        <v>0</v>
      </c>
    </row>
    <row r="21" spans="1:3" ht="15" hidden="1" x14ac:dyDescent="0.25">
      <c r="A21" s="190"/>
      <c r="B21" t="s">
        <v>78</v>
      </c>
      <c r="C21" s="18">
        <v>0</v>
      </c>
    </row>
    <row r="22" spans="1:3" ht="15" hidden="1" x14ac:dyDescent="0.25">
      <c r="A22" s="59">
        <v>4129</v>
      </c>
      <c r="B22" s="17">
        <v>0</v>
      </c>
      <c r="C22" s="18">
        <v>0</v>
      </c>
    </row>
    <row r="23" spans="1:3" ht="15" hidden="1" x14ac:dyDescent="0.25">
      <c r="A23" s="189"/>
      <c r="B23" t="s">
        <v>246</v>
      </c>
      <c r="C23" s="18">
        <v>0</v>
      </c>
    </row>
    <row r="24" spans="1:3" ht="15" hidden="1" x14ac:dyDescent="0.25">
      <c r="A24" s="189"/>
      <c r="B24" t="s">
        <v>247</v>
      </c>
      <c r="C24" s="18">
        <v>0</v>
      </c>
    </row>
    <row r="25" spans="1:3" ht="15" hidden="1" x14ac:dyDescent="0.25">
      <c r="A25" s="190"/>
      <c r="B25" t="s">
        <v>311</v>
      </c>
      <c r="C25" s="18">
        <v>0</v>
      </c>
    </row>
    <row r="26" spans="1:3" ht="15" hidden="1" x14ac:dyDescent="0.25">
      <c r="A26" s="190"/>
      <c r="B26" t="s">
        <v>245</v>
      </c>
      <c r="C26" s="18">
        <v>0</v>
      </c>
    </row>
    <row r="27" spans="1:3" ht="15" hidden="1" x14ac:dyDescent="0.25">
      <c r="A27" s="189"/>
      <c r="B27" t="s">
        <v>249</v>
      </c>
      <c r="C27" s="18">
        <v>0</v>
      </c>
    </row>
    <row r="28" spans="1:3" ht="15" hidden="1" x14ac:dyDescent="0.25">
      <c r="A28" s="190"/>
      <c r="B28" t="s">
        <v>254</v>
      </c>
      <c r="C28" s="18">
        <v>0</v>
      </c>
    </row>
    <row r="29" spans="1:3" ht="15" hidden="1" x14ac:dyDescent="0.25">
      <c r="A29" s="189"/>
      <c r="B29" t="s">
        <v>264</v>
      </c>
      <c r="C29" s="18">
        <v>0</v>
      </c>
    </row>
    <row r="30" spans="1:3" ht="15" hidden="1" x14ac:dyDescent="0.25">
      <c r="A30" s="189"/>
      <c r="B30" t="s">
        <v>319</v>
      </c>
      <c r="C30" s="18">
        <v>0</v>
      </c>
    </row>
    <row r="31" spans="1:3" ht="15" hidden="1" x14ac:dyDescent="0.25">
      <c r="A31" s="189">
        <v>4150</v>
      </c>
      <c r="B31" s="17">
        <v>0</v>
      </c>
      <c r="C31" s="18">
        <v>0</v>
      </c>
    </row>
    <row r="32" spans="1:3" ht="15" hidden="1" x14ac:dyDescent="0.25">
      <c r="A32" s="189"/>
      <c r="B32" s="17" t="s">
        <v>78</v>
      </c>
      <c r="C32" s="18">
        <v>0</v>
      </c>
    </row>
    <row r="33" spans="1:3" ht="15" hidden="1" x14ac:dyDescent="0.25">
      <c r="A33" s="190">
        <v>4178</v>
      </c>
      <c r="B33" s="17" t="s">
        <v>327</v>
      </c>
      <c r="C33" s="18">
        <v>0</v>
      </c>
    </row>
    <row r="34" spans="1:3" ht="15" hidden="1" x14ac:dyDescent="0.25">
      <c r="A34" s="189"/>
      <c r="B34" s="17" t="s">
        <v>78</v>
      </c>
      <c r="C34" s="18">
        <v>0</v>
      </c>
    </row>
    <row r="35" spans="1:3" ht="15" hidden="1" x14ac:dyDescent="0.25">
      <c r="A35" s="190">
        <v>4235</v>
      </c>
      <c r="B35" s="17" t="s">
        <v>312</v>
      </c>
      <c r="C35" s="18">
        <v>0</v>
      </c>
    </row>
    <row r="36" spans="1:3" ht="15" x14ac:dyDescent="0.25">
      <c r="A36" s="190">
        <v>4267</v>
      </c>
      <c r="B36" s="17" t="s">
        <v>289</v>
      </c>
      <c r="C36" s="18">
        <v>10</v>
      </c>
    </row>
    <row r="37" spans="1:3" ht="15" x14ac:dyDescent="0.25">
      <c r="A37" s="190">
        <v>4441</v>
      </c>
      <c r="B37" s="17" t="s">
        <v>72</v>
      </c>
      <c r="C37" s="18">
        <v>2</v>
      </c>
    </row>
    <row r="38" spans="1:3" ht="15" x14ac:dyDescent="0.25">
      <c r="A38" s="189">
        <v>4556</v>
      </c>
      <c r="B38" s="17" t="s">
        <v>302</v>
      </c>
      <c r="C38" s="18">
        <v>1</v>
      </c>
    </row>
    <row r="39" spans="1:3" ht="15" hidden="1" x14ac:dyDescent="0.25">
      <c r="A39" s="189">
        <v>4603</v>
      </c>
      <c r="B39" s="17" t="s">
        <v>257</v>
      </c>
      <c r="C39" s="18">
        <v>0</v>
      </c>
    </row>
    <row r="40" spans="1:3" ht="15" hidden="1" x14ac:dyDescent="0.25">
      <c r="A40" s="59"/>
      <c r="B40" s="17" t="s">
        <v>304</v>
      </c>
      <c r="C40" s="18">
        <v>0</v>
      </c>
    </row>
    <row r="41" spans="1:3" ht="15" hidden="1" x14ac:dyDescent="0.25">
      <c r="A41" s="189"/>
      <c r="B41" s="17" t="s">
        <v>298</v>
      </c>
      <c r="C41" s="18">
        <v>0</v>
      </c>
    </row>
    <row r="42" spans="1:3" ht="15" hidden="1" x14ac:dyDescent="0.25">
      <c r="A42" s="191"/>
      <c r="B42" s="17" t="s">
        <v>268</v>
      </c>
      <c r="C42" s="18">
        <v>0</v>
      </c>
    </row>
    <row r="43" spans="1:3" ht="15" hidden="1" x14ac:dyDescent="0.25">
      <c r="A43" s="190"/>
      <c r="B43" s="17" t="s">
        <v>299</v>
      </c>
      <c r="C43" s="18">
        <v>0</v>
      </c>
    </row>
    <row r="44" spans="1:3" ht="15" hidden="1" x14ac:dyDescent="0.25">
      <c r="A44" s="190"/>
      <c r="B44" s="17" t="s">
        <v>294</v>
      </c>
      <c r="C44" s="18">
        <v>0</v>
      </c>
    </row>
    <row r="45" spans="1:3" ht="15" hidden="1" x14ac:dyDescent="0.25">
      <c r="A45" s="190"/>
      <c r="B45" s="17" t="s">
        <v>248</v>
      </c>
      <c r="C45" s="18">
        <v>0</v>
      </c>
    </row>
    <row r="46" spans="1:3" ht="15" hidden="1" x14ac:dyDescent="0.25">
      <c r="A46" s="190"/>
      <c r="B46" s="17" t="s">
        <v>249</v>
      </c>
      <c r="C46" s="18">
        <v>0</v>
      </c>
    </row>
    <row r="47" spans="1:3" ht="15" hidden="1" x14ac:dyDescent="0.25">
      <c r="A47" s="190"/>
      <c r="B47" s="17" t="s">
        <v>272</v>
      </c>
      <c r="C47" s="18">
        <v>0</v>
      </c>
    </row>
    <row r="48" spans="1:3" ht="15" hidden="1" x14ac:dyDescent="0.25">
      <c r="A48" s="190"/>
      <c r="B48" s="17" t="s">
        <v>266</v>
      </c>
      <c r="C48" s="18">
        <v>0</v>
      </c>
    </row>
    <row r="49" spans="1:3" ht="15" hidden="1" x14ac:dyDescent="0.25">
      <c r="A49" s="190"/>
      <c r="B49" s="17" t="s">
        <v>307</v>
      </c>
      <c r="C49" s="18">
        <v>0</v>
      </c>
    </row>
    <row r="50" spans="1:3" ht="15" hidden="1" x14ac:dyDescent="0.25">
      <c r="A50" s="190"/>
      <c r="B50" s="17" t="s">
        <v>309</v>
      </c>
      <c r="C50" s="18">
        <v>0</v>
      </c>
    </row>
    <row r="51" spans="1:3" ht="15" hidden="1" x14ac:dyDescent="0.25">
      <c r="A51" s="190"/>
      <c r="B51" s="17" t="s">
        <v>318</v>
      </c>
      <c r="C51" s="18">
        <v>0</v>
      </c>
    </row>
    <row r="52" spans="1:3" ht="15" hidden="1" x14ac:dyDescent="0.25">
      <c r="A52" s="190"/>
      <c r="B52" s="17" t="s">
        <v>73</v>
      </c>
      <c r="C52" s="18">
        <v>0</v>
      </c>
    </row>
    <row r="53" spans="1:3" ht="15" hidden="1" x14ac:dyDescent="0.25">
      <c r="A53" s="190"/>
      <c r="B53" s="17" t="s">
        <v>344</v>
      </c>
      <c r="C53" s="18">
        <v>0</v>
      </c>
    </row>
    <row r="54" spans="1:3" ht="15" hidden="1" x14ac:dyDescent="0.25">
      <c r="A54" s="189"/>
      <c r="B54" s="17" t="s">
        <v>361</v>
      </c>
      <c r="C54" s="18">
        <v>0</v>
      </c>
    </row>
    <row r="55" spans="1:3" ht="15" hidden="1" x14ac:dyDescent="0.25">
      <c r="A55" s="190">
        <v>4605</v>
      </c>
      <c r="B55" s="17" t="s">
        <v>252</v>
      </c>
      <c r="C55" s="18">
        <v>0</v>
      </c>
    </row>
    <row r="56" spans="1:3" ht="15" hidden="1" x14ac:dyDescent="0.25">
      <c r="A56" s="189">
        <v>4606</v>
      </c>
      <c r="B56" t="s">
        <v>252</v>
      </c>
      <c r="C56" s="18">
        <v>0</v>
      </c>
    </row>
    <row r="57" spans="1:3" ht="15" hidden="1" x14ac:dyDescent="0.25">
      <c r="A57" s="190">
        <v>4645</v>
      </c>
      <c r="B57">
        <v>0</v>
      </c>
      <c r="C57" s="18">
        <v>0</v>
      </c>
    </row>
    <row r="58" spans="1:3" ht="15" hidden="1" x14ac:dyDescent="0.25">
      <c r="A58" s="190"/>
      <c r="B58" s="17" t="s">
        <v>245</v>
      </c>
      <c r="C58" s="18">
        <v>0</v>
      </c>
    </row>
    <row r="59" spans="1:3" ht="15" hidden="1" x14ac:dyDescent="0.25">
      <c r="A59" s="190"/>
      <c r="B59" t="s">
        <v>248</v>
      </c>
      <c r="C59" s="18">
        <v>0</v>
      </c>
    </row>
    <row r="60" spans="1:3" ht="15" hidden="1" x14ac:dyDescent="0.25">
      <c r="A60" s="190"/>
      <c r="B60" t="s">
        <v>249</v>
      </c>
      <c r="C60" s="18">
        <v>0</v>
      </c>
    </row>
    <row r="61" spans="1:3" ht="15" hidden="1" x14ac:dyDescent="0.25">
      <c r="A61" s="189"/>
      <c r="B61" t="s">
        <v>260</v>
      </c>
      <c r="C61" s="18">
        <v>0</v>
      </c>
    </row>
    <row r="62" spans="1:3" ht="15" hidden="1" x14ac:dyDescent="0.25">
      <c r="A62" s="189"/>
      <c r="B62" t="s">
        <v>264</v>
      </c>
      <c r="C62" s="18">
        <v>0</v>
      </c>
    </row>
    <row r="63" spans="1:3" ht="15" hidden="1" x14ac:dyDescent="0.25">
      <c r="A63" s="190"/>
      <c r="B63" t="s">
        <v>319</v>
      </c>
      <c r="C63" s="18">
        <v>0</v>
      </c>
    </row>
    <row r="64" spans="1:3" ht="15" hidden="1" x14ac:dyDescent="0.25">
      <c r="A64" s="189"/>
      <c r="B64" t="s">
        <v>80</v>
      </c>
      <c r="C64" s="18">
        <v>0</v>
      </c>
    </row>
    <row r="65" spans="1:3" ht="15" hidden="1" x14ac:dyDescent="0.25">
      <c r="A65" s="189">
        <v>4767</v>
      </c>
      <c r="B65">
        <v>0</v>
      </c>
      <c r="C65" s="18">
        <v>0</v>
      </c>
    </row>
    <row r="66" spans="1:3" ht="15" hidden="1" x14ac:dyDescent="0.25">
      <c r="A66" s="189"/>
      <c r="B66" t="s">
        <v>268</v>
      </c>
      <c r="C66" s="18">
        <v>0</v>
      </c>
    </row>
    <row r="67" spans="1:3" ht="15" hidden="1" x14ac:dyDescent="0.25">
      <c r="A67" s="190"/>
      <c r="B67" s="17" t="s">
        <v>271</v>
      </c>
      <c r="C67" s="18">
        <v>0</v>
      </c>
    </row>
    <row r="68" spans="1:3" ht="15" hidden="1" x14ac:dyDescent="0.25">
      <c r="A68" s="190"/>
      <c r="B68" t="s">
        <v>274</v>
      </c>
      <c r="C68" s="18">
        <v>0</v>
      </c>
    </row>
    <row r="69" spans="1:3" ht="15" hidden="1" x14ac:dyDescent="0.25">
      <c r="A69" s="190"/>
      <c r="B69" t="s">
        <v>320</v>
      </c>
      <c r="C69" s="18">
        <v>0</v>
      </c>
    </row>
    <row r="70" spans="1:3" ht="15" hidden="1" x14ac:dyDescent="0.25">
      <c r="A70" s="190"/>
      <c r="B70" t="s">
        <v>321</v>
      </c>
      <c r="C70" s="18">
        <v>0</v>
      </c>
    </row>
    <row r="71" spans="1:3" ht="15" hidden="1" x14ac:dyDescent="0.25">
      <c r="A71" s="190"/>
      <c r="B71" t="s">
        <v>329</v>
      </c>
      <c r="C71" s="18">
        <v>0</v>
      </c>
    </row>
    <row r="72" spans="1:3" ht="15" hidden="1" x14ac:dyDescent="0.25">
      <c r="A72" s="190"/>
      <c r="B72" t="s">
        <v>419</v>
      </c>
      <c r="C72" s="18">
        <v>0</v>
      </c>
    </row>
    <row r="73" spans="1:3" ht="15" hidden="1" x14ac:dyDescent="0.25">
      <c r="A73" s="190">
        <v>4781</v>
      </c>
      <c r="B73" t="s">
        <v>246</v>
      </c>
      <c r="C73" s="18">
        <v>0</v>
      </c>
    </row>
    <row r="74" spans="1:3" ht="15" hidden="1" x14ac:dyDescent="0.25">
      <c r="A74" s="190"/>
      <c r="B74" t="s">
        <v>306</v>
      </c>
      <c r="C74" s="18">
        <v>0</v>
      </c>
    </row>
    <row r="75" spans="1:3" ht="15" hidden="1" x14ac:dyDescent="0.25">
      <c r="A75" s="190"/>
      <c r="B75" t="s">
        <v>247</v>
      </c>
      <c r="C75" s="18">
        <v>0</v>
      </c>
    </row>
    <row r="76" spans="1:3" ht="15" hidden="1" x14ac:dyDescent="0.25">
      <c r="A76" s="190"/>
      <c r="B76" t="s">
        <v>292</v>
      </c>
      <c r="C76" s="18">
        <v>0</v>
      </c>
    </row>
    <row r="77" spans="1:3" ht="15" hidden="1" x14ac:dyDescent="0.25">
      <c r="A77" s="190"/>
      <c r="B77" t="s">
        <v>311</v>
      </c>
      <c r="C77" s="18">
        <v>0</v>
      </c>
    </row>
    <row r="78" spans="1:3" ht="15" hidden="1" x14ac:dyDescent="0.25">
      <c r="A78" s="189"/>
      <c r="B78" t="s">
        <v>245</v>
      </c>
      <c r="C78" s="18">
        <v>0</v>
      </c>
    </row>
    <row r="79" spans="1:3" ht="15" hidden="1" x14ac:dyDescent="0.25">
      <c r="A79" s="190"/>
      <c r="B79" t="s">
        <v>249</v>
      </c>
      <c r="C79" s="18">
        <v>0</v>
      </c>
    </row>
    <row r="80" spans="1:3" ht="15" hidden="1" x14ac:dyDescent="0.25">
      <c r="A80" s="190"/>
      <c r="B80" t="s">
        <v>263</v>
      </c>
      <c r="C80" s="18">
        <v>0</v>
      </c>
    </row>
    <row r="81" spans="1:3" ht="15" hidden="1" x14ac:dyDescent="0.25">
      <c r="A81" s="190"/>
      <c r="B81" t="s">
        <v>303</v>
      </c>
      <c r="C81" s="18">
        <v>0</v>
      </c>
    </row>
    <row r="82" spans="1:3" ht="15" hidden="1" x14ac:dyDescent="0.25">
      <c r="A82" s="190"/>
      <c r="B82" t="s">
        <v>72</v>
      </c>
      <c r="C82" s="18">
        <v>0</v>
      </c>
    </row>
    <row r="83" spans="1:3" ht="15" hidden="1" x14ac:dyDescent="0.25">
      <c r="A83" s="190"/>
      <c r="B83" t="s">
        <v>264</v>
      </c>
      <c r="C83" s="18">
        <v>0</v>
      </c>
    </row>
    <row r="84" spans="1:3" ht="15" hidden="1" x14ac:dyDescent="0.25">
      <c r="A84" s="189"/>
      <c r="B84" t="s">
        <v>320</v>
      </c>
      <c r="C84" s="18">
        <v>0</v>
      </c>
    </row>
    <row r="85" spans="1:3" ht="15" x14ac:dyDescent="0.25">
      <c r="A85" s="190"/>
      <c r="B85" t="s">
        <v>321</v>
      </c>
      <c r="C85" s="18">
        <v>10</v>
      </c>
    </row>
    <row r="86" spans="1:3" ht="15" hidden="1" x14ac:dyDescent="0.25">
      <c r="A86" s="190"/>
      <c r="B86" s="17" t="s">
        <v>328</v>
      </c>
      <c r="C86" s="18">
        <v>0</v>
      </c>
    </row>
    <row r="87" spans="1:3" ht="15" x14ac:dyDescent="0.25">
      <c r="A87" s="189"/>
      <c r="B87" s="17" t="s">
        <v>329</v>
      </c>
      <c r="C87" s="18">
        <v>55</v>
      </c>
    </row>
    <row r="88" spans="1:3" ht="15" hidden="1" x14ac:dyDescent="0.25">
      <c r="A88" s="189"/>
      <c r="B88" t="s">
        <v>378</v>
      </c>
      <c r="C88" s="18">
        <v>0</v>
      </c>
    </row>
    <row r="89" spans="1:3" ht="15" x14ac:dyDescent="0.25">
      <c r="A89" s="190">
        <v>4804</v>
      </c>
      <c r="B89" s="17" t="s">
        <v>256</v>
      </c>
      <c r="C89" s="18">
        <v>1</v>
      </c>
    </row>
    <row r="90" spans="1:3" ht="15" hidden="1" x14ac:dyDescent="0.25">
      <c r="A90" s="190">
        <v>4834</v>
      </c>
      <c r="B90">
        <v>0</v>
      </c>
      <c r="C90" s="18">
        <v>0</v>
      </c>
    </row>
    <row r="91" spans="1:3" ht="15" hidden="1" x14ac:dyDescent="0.25">
      <c r="A91" s="191"/>
      <c r="B91" s="17" t="s">
        <v>245</v>
      </c>
      <c r="C91" s="18">
        <v>0</v>
      </c>
    </row>
    <row r="92" spans="1:3" ht="15" hidden="1" x14ac:dyDescent="0.25">
      <c r="A92" s="190"/>
      <c r="B92" t="s">
        <v>248</v>
      </c>
      <c r="C92" s="18">
        <v>0</v>
      </c>
    </row>
    <row r="93" spans="1:3" ht="15" hidden="1" x14ac:dyDescent="0.25">
      <c r="A93" s="190"/>
      <c r="B93" t="s">
        <v>249</v>
      </c>
      <c r="C93" s="18">
        <v>0</v>
      </c>
    </row>
    <row r="94" spans="1:3" ht="15" hidden="1" x14ac:dyDescent="0.25">
      <c r="A94" s="190"/>
      <c r="B94" t="s">
        <v>260</v>
      </c>
      <c r="C94" s="18">
        <v>0</v>
      </c>
    </row>
    <row r="95" spans="1:3" ht="15" hidden="1" x14ac:dyDescent="0.25">
      <c r="A95" s="190"/>
      <c r="B95" t="s">
        <v>264</v>
      </c>
      <c r="C95" s="18">
        <v>0</v>
      </c>
    </row>
    <row r="96" spans="1:3" ht="15" hidden="1" x14ac:dyDescent="0.25">
      <c r="A96" s="189"/>
      <c r="B96" t="s">
        <v>319</v>
      </c>
      <c r="C96" s="18">
        <v>0</v>
      </c>
    </row>
    <row r="97" spans="1:3" ht="15" hidden="1" x14ac:dyDescent="0.25">
      <c r="A97" s="190"/>
      <c r="B97" t="s">
        <v>318</v>
      </c>
      <c r="C97" s="18">
        <v>0</v>
      </c>
    </row>
    <row r="98" spans="1:3" ht="15" hidden="1" x14ac:dyDescent="0.25">
      <c r="A98" s="190"/>
      <c r="B98" t="s">
        <v>80</v>
      </c>
      <c r="C98" s="18">
        <v>0</v>
      </c>
    </row>
    <row r="99" spans="1:3" ht="15" hidden="1" x14ac:dyDescent="0.25">
      <c r="A99" s="190">
        <v>4849</v>
      </c>
      <c r="B99">
        <v>0</v>
      </c>
      <c r="C99" s="18">
        <v>0</v>
      </c>
    </row>
    <row r="100" spans="1:3" ht="15" hidden="1" x14ac:dyDescent="0.25">
      <c r="A100" s="190"/>
      <c r="B100" t="s">
        <v>257</v>
      </c>
      <c r="C100" s="18">
        <v>0</v>
      </c>
    </row>
    <row r="101" spans="1:3" ht="15" hidden="1" x14ac:dyDescent="0.25">
      <c r="A101" s="190"/>
      <c r="B101" s="17" t="s">
        <v>292</v>
      </c>
      <c r="C101" s="18">
        <v>0</v>
      </c>
    </row>
    <row r="102" spans="1:3" ht="15" hidden="1" x14ac:dyDescent="0.25">
      <c r="A102" s="190"/>
      <c r="B102" t="s">
        <v>304</v>
      </c>
      <c r="C102" s="18">
        <v>0</v>
      </c>
    </row>
    <row r="103" spans="1:3" ht="15" hidden="1" x14ac:dyDescent="0.25">
      <c r="A103" s="190"/>
      <c r="B103" t="s">
        <v>305</v>
      </c>
      <c r="C103" s="18">
        <v>0</v>
      </c>
    </row>
    <row r="104" spans="1:3" ht="15" hidden="1" x14ac:dyDescent="0.25">
      <c r="A104" s="190"/>
      <c r="B104" t="s">
        <v>270</v>
      </c>
      <c r="C104" s="18">
        <v>0</v>
      </c>
    </row>
    <row r="105" spans="1:3" ht="15" hidden="1" x14ac:dyDescent="0.25">
      <c r="A105" s="190"/>
      <c r="B105" t="s">
        <v>276</v>
      </c>
      <c r="C105" s="18">
        <v>0</v>
      </c>
    </row>
    <row r="106" spans="1:3" ht="15" hidden="1" x14ac:dyDescent="0.25">
      <c r="A106" s="189"/>
      <c r="B106" s="17" t="s">
        <v>245</v>
      </c>
      <c r="C106" s="18">
        <v>0</v>
      </c>
    </row>
    <row r="107" spans="1:3" ht="15" hidden="1" x14ac:dyDescent="0.25">
      <c r="A107" s="190"/>
      <c r="B107" t="s">
        <v>248</v>
      </c>
      <c r="C107" s="18">
        <v>0</v>
      </c>
    </row>
    <row r="108" spans="1:3" ht="15" hidden="1" x14ac:dyDescent="0.25">
      <c r="A108" s="189"/>
      <c r="B108" s="17" t="s">
        <v>249</v>
      </c>
      <c r="C108" s="18">
        <v>0</v>
      </c>
    </row>
    <row r="109" spans="1:3" ht="15" hidden="1" x14ac:dyDescent="0.25">
      <c r="A109" s="190"/>
      <c r="B109" s="17" t="s">
        <v>274</v>
      </c>
      <c r="C109" s="18">
        <v>0</v>
      </c>
    </row>
    <row r="110" spans="1:3" ht="15" hidden="1" x14ac:dyDescent="0.25">
      <c r="A110" s="189"/>
      <c r="B110" s="17" t="s">
        <v>316</v>
      </c>
      <c r="C110" s="18">
        <v>0</v>
      </c>
    </row>
    <row r="111" spans="1:3" ht="15" hidden="1" x14ac:dyDescent="0.25">
      <c r="A111" s="189"/>
      <c r="B111" t="s">
        <v>260</v>
      </c>
      <c r="C111" s="18">
        <v>0</v>
      </c>
    </row>
    <row r="112" spans="1:3" ht="15" hidden="1" x14ac:dyDescent="0.25">
      <c r="A112" s="190"/>
      <c r="B112" t="s">
        <v>272</v>
      </c>
      <c r="C112" s="18">
        <v>0</v>
      </c>
    </row>
    <row r="113" spans="1:3" ht="15" hidden="1" x14ac:dyDescent="0.25">
      <c r="A113" s="190"/>
      <c r="B113" s="17" t="s">
        <v>286</v>
      </c>
      <c r="C113" s="18">
        <v>0</v>
      </c>
    </row>
    <row r="114" spans="1:3" ht="15" hidden="1" x14ac:dyDescent="0.25">
      <c r="A114" s="190"/>
      <c r="B114" t="s">
        <v>264</v>
      </c>
      <c r="C114" s="18">
        <v>0</v>
      </c>
    </row>
    <row r="115" spans="1:3" ht="15" hidden="1" x14ac:dyDescent="0.25">
      <c r="A115" s="190"/>
      <c r="B115" t="s">
        <v>319</v>
      </c>
      <c r="C115" s="18">
        <v>0</v>
      </c>
    </row>
    <row r="116" spans="1:3" ht="15" hidden="1" x14ac:dyDescent="0.25">
      <c r="A116" s="190"/>
      <c r="B116" s="17" t="s">
        <v>318</v>
      </c>
      <c r="C116" s="18">
        <v>0</v>
      </c>
    </row>
    <row r="117" spans="1:3" ht="15" hidden="1" x14ac:dyDescent="0.25">
      <c r="A117" s="190"/>
      <c r="B117" s="17" t="s">
        <v>80</v>
      </c>
      <c r="C117" s="18">
        <v>0</v>
      </c>
    </row>
    <row r="118" spans="1:3" ht="15" hidden="1" x14ac:dyDescent="0.25">
      <c r="A118" s="190"/>
      <c r="B118" t="s">
        <v>73</v>
      </c>
      <c r="C118" s="18">
        <v>0</v>
      </c>
    </row>
    <row r="119" spans="1:3" ht="15" hidden="1" x14ac:dyDescent="0.25">
      <c r="A119" s="190">
        <v>4850</v>
      </c>
      <c r="B119" s="17" t="s">
        <v>366</v>
      </c>
      <c r="C119" s="18">
        <v>0</v>
      </c>
    </row>
    <row r="120" spans="1:3" ht="15" hidden="1" x14ac:dyDescent="0.25">
      <c r="A120" s="190">
        <v>4852</v>
      </c>
      <c r="B120" s="17" t="s">
        <v>246</v>
      </c>
      <c r="C120" s="18">
        <v>0</v>
      </c>
    </row>
    <row r="121" spans="1:3" ht="15" hidden="1" x14ac:dyDescent="0.25">
      <c r="A121" s="189"/>
      <c r="B121" t="s">
        <v>289</v>
      </c>
      <c r="C121" s="18">
        <v>0</v>
      </c>
    </row>
    <row r="122" spans="1:3" ht="15" hidden="1" x14ac:dyDescent="0.25">
      <c r="A122" s="190"/>
      <c r="B122" t="s">
        <v>250</v>
      </c>
      <c r="C122" s="18">
        <v>0</v>
      </c>
    </row>
    <row r="123" spans="1:3" ht="15" hidden="1" x14ac:dyDescent="0.25">
      <c r="A123" s="190"/>
      <c r="B123" t="s">
        <v>247</v>
      </c>
      <c r="C123" s="18">
        <v>0</v>
      </c>
    </row>
    <row r="124" spans="1:3" ht="15" hidden="1" x14ac:dyDescent="0.25">
      <c r="A124" s="190"/>
      <c r="B124" t="s">
        <v>311</v>
      </c>
      <c r="C124" s="18">
        <v>0</v>
      </c>
    </row>
    <row r="125" spans="1:3" ht="15" hidden="1" x14ac:dyDescent="0.25">
      <c r="A125" s="190"/>
      <c r="B125" t="s">
        <v>245</v>
      </c>
      <c r="C125" s="18">
        <v>0</v>
      </c>
    </row>
    <row r="126" spans="1:3" ht="15" hidden="1" x14ac:dyDescent="0.25">
      <c r="A126" s="190"/>
      <c r="B126" t="s">
        <v>263</v>
      </c>
      <c r="C126" s="18">
        <v>0</v>
      </c>
    </row>
    <row r="127" spans="1:3" ht="15" hidden="1" x14ac:dyDescent="0.25">
      <c r="A127" s="190"/>
      <c r="B127" t="s">
        <v>264</v>
      </c>
      <c r="C127" s="18">
        <v>0</v>
      </c>
    </row>
    <row r="128" spans="1:3" ht="15" hidden="1" x14ac:dyDescent="0.25">
      <c r="A128" s="190"/>
      <c r="B128" t="s">
        <v>319</v>
      </c>
      <c r="C128" s="18">
        <v>0</v>
      </c>
    </row>
    <row r="129" spans="1:3" ht="15" hidden="1" x14ac:dyDescent="0.25">
      <c r="A129" s="190"/>
      <c r="B129" t="s">
        <v>320</v>
      </c>
      <c r="C129" s="18">
        <v>0</v>
      </c>
    </row>
    <row r="130" spans="1:3" ht="15" hidden="1" x14ac:dyDescent="0.25">
      <c r="A130" s="190"/>
      <c r="B130" t="s">
        <v>321</v>
      </c>
      <c r="C130" s="18">
        <v>0</v>
      </c>
    </row>
    <row r="131" spans="1:3" ht="15" hidden="1" x14ac:dyDescent="0.25">
      <c r="A131" s="190"/>
      <c r="B131" t="s">
        <v>322</v>
      </c>
      <c r="C131" s="18">
        <v>0</v>
      </c>
    </row>
    <row r="132" spans="1:3" ht="15" hidden="1" x14ac:dyDescent="0.25">
      <c r="A132" s="190"/>
      <c r="B132" t="s">
        <v>326</v>
      </c>
      <c r="C132" s="18">
        <v>0</v>
      </c>
    </row>
    <row r="133" spans="1:3" ht="15" hidden="1" x14ac:dyDescent="0.25">
      <c r="A133" s="189"/>
      <c r="B133" t="s">
        <v>330</v>
      </c>
      <c r="C133" s="18">
        <v>0</v>
      </c>
    </row>
    <row r="134" spans="1:3" ht="15" hidden="1" x14ac:dyDescent="0.25">
      <c r="A134" s="189"/>
      <c r="B134" t="s">
        <v>331</v>
      </c>
      <c r="C134" s="18">
        <v>0</v>
      </c>
    </row>
    <row r="135" spans="1:3" ht="15" hidden="1" x14ac:dyDescent="0.25">
      <c r="A135" s="189"/>
      <c r="B135" t="s">
        <v>378</v>
      </c>
      <c r="C135" s="18">
        <v>0</v>
      </c>
    </row>
    <row r="136" spans="1:3" ht="15" hidden="1" x14ac:dyDescent="0.25">
      <c r="A136" s="190">
        <v>4865</v>
      </c>
      <c r="B136">
        <v>0</v>
      </c>
      <c r="C136" s="18">
        <v>0</v>
      </c>
    </row>
    <row r="137" spans="1:3" ht="15" hidden="1" x14ac:dyDescent="0.25">
      <c r="A137" s="190"/>
      <c r="B137" t="s">
        <v>256</v>
      </c>
      <c r="C137" s="18">
        <v>0</v>
      </c>
    </row>
    <row r="138" spans="1:3" ht="15" hidden="1" x14ac:dyDescent="0.25">
      <c r="A138" s="190"/>
      <c r="B138" t="s">
        <v>262</v>
      </c>
      <c r="C138" s="18">
        <v>0</v>
      </c>
    </row>
    <row r="139" spans="1:3" ht="15" hidden="1" x14ac:dyDescent="0.25">
      <c r="A139" s="190"/>
      <c r="B139" t="s">
        <v>276</v>
      </c>
      <c r="C139" s="18">
        <v>0</v>
      </c>
    </row>
    <row r="140" spans="1:3" ht="15" hidden="1" x14ac:dyDescent="0.25">
      <c r="A140" s="190"/>
      <c r="B140" t="s">
        <v>245</v>
      </c>
      <c r="C140" s="18">
        <v>0</v>
      </c>
    </row>
    <row r="141" spans="1:3" ht="15" hidden="1" x14ac:dyDescent="0.25">
      <c r="A141" s="190"/>
      <c r="B141" t="s">
        <v>249</v>
      </c>
      <c r="C141" s="18">
        <v>0</v>
      </c>
    </row>
    <row r="142" spans="1:3" ht="15" hidden="1" x14ac:dyDescent="0.25">
      <c r="A142" s="190"/>
      <c r="B142" t="s">
        <v>264</v>
      </c>
      <c r="C142" s="18">
        <v>0</v>
      </c>
    </row>
    <row r="143" spans="1:3" ht="15" hidden="1" x14ac:dyDescent="0.25">
      <c r="A143" s="190"/>
      <c r="B143" t="s">
        <v>319</v>
      </c>
      <c r="C143" s="18">
        <v>0</v>
      </c>
    </row>
    <row r="144" spans="1:3" ht="15" hidden="1" x14ac:dyDescent="0.25">
      <c r="A144" s="190"/>
      <c r="B144" t="s">
        <v>318</v>
      </c>
      <c r="C144" s="18">
        <v>0</v>
      </c>
    </row>
    <row r="145" spans="1:3" ht="15" hidden="1" x14ac:dyDescent="0.25">
      <c r="A145" s="190"/>
      <c r="B145" t="s">
        <v>80</v>
      </c>
      <c r="C145" s="18">
        <v>0</v>
      </c>
    </row>
    <row r="146" spans="1:3" ht="15" hidden="1" x14ac:dyDescent="0.25">
      <c r="A146" s="190">
        <v>4943</v>
      </c>
      <c r="B146" t="s">
        <v>246</v>
      </c>
      <c r="C146" s="18">
        <v>0</v>
      </c>
    </row>
    <row r="147" spans="1:3" ht="15" hidden="1" x14ac:dyDescent="0.25">
      <c r="A147" s="190"/>
      <c r="B147" s="17" t="s">
        <v>248</v>
      </c>
      <c r="C147" s="18">
        <v>0</v>
      </c>
    </row>
    <row r="148" spans="1:3" ht="15" hidden="1" x14ac:dyDescent="0.25">
      <c r="A148" s="190">
        <v>4969</v>
      </c>
      <c r="B148" s="17" t="s">
        <v>274</v>
      </c>
      <c r="C148" s="18">
        <v>0</v>
      </c>
    </row>
    <row r="149" spans="1:3" ht="15" hidden="1" x14ac:dyDescent="0.25">
      <c r="A149" s="190">
        <v>4972</v>
      </c>
      <c r="B149">
        <v>0</v>
      </c>
      <c r="C149" s="18">
        <v>0</v>
      </c>
    </row>
    <row r="150" spans="1:3" ht="15" hidden="1" x14ac:dyDescent="0.25">
      <c r="A150" s="190"/>
      <c r="B150" s="17" t="s">
        <v>257</v>
      </c>
      <c r="C150" s="18">
        <v>0</v>
      </c>
    </row>
    <row r="151" spans="1:3" ht="15" hidden="1" x14ac:dyDescent="0.25">
      <c r="A151" s="190"/>
      <c r="B151" s="17" t="s">
        <v>278</v>
      </c>
      <c r="C151" s="18">
        <v>0</v>
      </c>
    </row>
    <row r="152" spans="1:3" ht="15" hidden="1" x14ac:dyDescent="0.25">
      <c r="A152" s="190"/>
      <c r="B152" s="17" t="s">
        <v>246</v>
      </c>
      <c r="C152" s="18">
        <v>0</v>
      </c>
    </row>
    <row r="153" spans="1:3" ht="15" hidden="1" x14ac:dyDescent="0.25">
      <c r="A153" s="190"/>
      <c r="B153" t="s">
        <v>289</v>
      </c>
      <c r="C153" s="18">
        <v>0</v>
      </c>
    </row>
    <row r="154" spans="1:3" ht="15" hidden="1" x14ac:dyDescent="0.25">
      <c r="A154" s="190"/>
      <c r="B154" s="17" t="s">
        <v>279</v>
      </c>
      <c r="C154" s="18">
        <v>0</v>
      </c>
    </row>
    <row r="155" spans="1:3" ht="15" hidden="1" x14ac:dyDescent="0.25">
      <c r="A155" s="190"/>
      <c r="B155" s="17" t="s">
        <v>267</v>
      </c>
      <c r="C155" s="18">
        <v>0</v>
      </c>
    </row>
    <row r="156" spans="1:3" ht="15" hidden="1" x14ac:dyDescent="0.25">
      <c r="A156" s="189"/>
      <c r="B156" s="17" t="s">
        <v>250</v>
      </c>
      <c r="C156" s="18">
        <v>0</v>
      </c>
    </row>
    <row r="157" spans="1:3" ht="15" hidden="1" x14ac:dyDescent="0.25">
      <c r="A157" s="190"/>
      <c r="B157" s="17" t="s">
        <v>258</v>
      </c>
      <c r="C157" s="18">
        <v>0</v>
      </c>
    </row>
    <row r="158" spans="1:3" ht="15" hidden="1" x14ac:dyDescent="0.25">
      <c r="A158" s="190"/>
      <c r="B158" s="17" t="s">
        <v>256</v>
      </c>
      <c r="C158" s="18">
        <v>0</v>
      </c>
    </row>
    <row r="159" spans="1:3" ht="15" hidden="1" x14ac:dyDescent="0.25">
      <c r="A159" s="190"/>
      <c r="B159" s="17" t="s">
        <v>298</v>
      </c>
      <c r="C159" s="18">
        <v>0</v>
      </c>
    </row>
    <row r="160" spans="1:3" ht="15" hidden="1" x14ac:dyDescent="0.25">
      <c r="A160" s="190"/>
      <c r="B160" s="17" t="s">
        <v>268</v>
      </c>
      <c r="C160" s="18">
        <v>0</v>
      </c>
    </row>
    <row r="161" spans="1:3" ht="15" hidden="1" x14ac:dyDescent="0.25">
      <c r="A161" s="190"/>
      <c r="B161" s="17" t="s">
        <v>311</v>
      </c>
      <c r="C161" s="18">
        <v>0</v>
      </c>
    </row>
    <row r="162" spans="1:3" ht="15" hidden="1" x14ac:dyDescent="0.25">
      <c r="A162" s="190"/>
      <c r="B162" s="17" t="s">
        <v>269</v>
      </c>
      <c r="C162" s="18">
        <v>0</v>
      </c>
    </row>
    <row r="163" spans="1:3" ht="15" hidden="1" x14ac:dyDescent="0.25">
      <c r="A163" s="190"/>
      <c r="B163" s="17" t="s">
        <v>305</v>
      </c>
      <c r="C163" s="18">
        <v>0</v>
      </c>
    </row>
    <row r="164" spans="1:3" ht="15" hidden="1" x14ac:dyDescent="0.25">
      <c r="A164" s="190"/>
      <c r="B164" s="17" t="s">
        <v>270</v>
      </c>
      <c r="C164" s="18">
        <v>0</v>
      </c>
    </row>
    <row r="165" spans="1:3" ht="15" hidden="1" x14ac:dyDescent="0.25">
      <c r="A165" s="190"/>
      <c r="B165" s="17" t="s">
        <v>283</v>
      </c>
      <c r="C165" s="18">
        <v>0</v>
      </c>
    </row>
    <row r="166" spans="1:3" ht="15" hidden="1" x14ac:dyDescent="0.25">
      <c r="A166" s="190"/>
      <c r="B166" s="17" t="s">
        <v>295</v>
      </c>
      <c r="C166" s="18">
        <v>0</v>
      </c>
    </row>
    <row r="167" spans="1:3" ht="15" hidden="1" x14ac:dyDescent="0.25">
      <c r="A167" s="190"/>
      <c r="B167" s="17" t="s">
        <v>275</v>
      </c>
      <c r="C167" s="18">
        <v>0</v>
      </c>
    </row>
    <row r="168" spans="1:3" ht="15" hidden="1" x14ac:dyDescent="0.25">
      <c r="A168" s="190"/>
      <c r="B168" t="s">
        <v>262</v>
      </c>
      <c r="C168" s="18">
        <v>0</v>
      </c>
    </row>
    <row r="169" spans="1:3" ht="15" hidden="1" x14ac:dyDescent="0.25">
      <c r="A169" s="190"/>
      <c r="B169" s="17" t="s">
        <v>280</v>
      </c>
      <c r="C169" s="18">
        <v>0</v>
      </c>
    </row>
    <row r="170" spans="1:3" ht="15" hidden="1" x14ac:dyDescent="0.25">
      <c r="A170" s="190"/>
      <c r="B170" s="17" t="s">
        <v>276</v>
      </c>
      <c r="C170" s="18">
        <v>0</v>
      </c>
    </row>
    <row r="171" spans="1:3" ht="15" hidden="1" x14ac:dyDescent="0.25">
      <c r="A171" s="190"/>
      <c r="B171" s="17" t="s">
        <v>299</v>
      </c>
      <c r="C171" s="18">
        <v>0</v>
      </c>
    </row>
    <row r="172" spans="1:3" ht="15" hidden="1" x14ac:dyDescent="0.25">
      <c r="A172" s="190"/>
      <c r="B172" s="17" t="s">
        <v>248</v>
      </c>
      <c r="C172" s="18">
        <v>0</v>
      </c>
    </row>
    <row r="173" spans="1:3" ht="15" hidden="1" x14ac:dyDescent="0.25">
      <c r="A173" s="190"/>
      <c r="B173" s="17" t="s">
        <v>249</v>
      </c>
      <c r="C173" s="18">
        <v>0</v>
      </c>
    </row>
    <row r="174" spans="1:3" ht="15" hidden="1" x14ac:dyDescent="0.25">
      <c r="A174" s="190"/>
      <c r="B174" s="17" t="s">
        <v>263</v>
      </c>
      <c r="C174" s="18">
        <v>0</v>
      </c>
    </row>
    <row r="175" spans="1:3" ht="15" hidden="1" x14ac:dyDescent="0.25">
      <c r="A175" s="190"/>
      <c r="B175" s="17" t="s">
        <v>274</v>
      </c>
      <c r="C175" s="18">
        <v>0</v>
      </c>
    </row>
    <row r="176" spans="1:3" ht="15" hidden="1" x14ac:dyDescent="0.25">
      <c r="A176" s="189"/>
      <c r="B176" s="17" t="s">
        <v>281</v>
      </c>
      <c r="C176" s="18">
        <v>0</v>
      </c>
    </row>
    <row r="177" spans="1:3" ht="15" hidden="1" x14ac:dyDescent="0.25">
      <c r="A177" s="189"/>
      <c r="B177" s="17" t="s">
        <v>260</v>
      </c>
      <c r="C177" s="18">
        <v>0</v>
      </c>
    </row>
    <row r="178" spans="1:3" ht="15" hidden="1" x14ac:dyDescent="0.25">
      <c r="A178" s="189"/>
      <c r="B178" s="17" t="s">
        <v>293</v>
      </c>
      <c r="C178" s="18">
        <v>0</v>
      </c>
    </row>
    <row r="179" spans="1:3" ht="15" hidden="1" x14ac:dyDescent="0.25">
      <c r="A179" s="190"/>
      <c r="B179" s="17" t="s">
        <v>285</v>
      </c>
      <c r="C179" s="18">
        <v>0</v>
      </c>
    </row>
    <row r="180" spans="1:3" ht="15" hidden="1" x14ac:dyDescent="0.25">
      <c r="A180" s="190"/>
      <c r="B180" s="17" t="s">
        <v>272</v>
      </c>
      <c r="C180" s="18">
        <v>0</v>
      </c>
    </row>
    <row r="181" spans="1:3" ht="15" hidden="1" x14ac:dyDescent="0.25">
      <c r="A181" s="190"/>
      <c r="B181" s="17" t="s">
        <v>253</v>
      </c>
      <c r="C181" s="18">
        <v>0</v>
      </c>
    </row>
    <row r="182" spans="1:3" ht="15" hidden="1" x14ac:dyDescent="0.25">
      <c r="A182" s="190"/>
      <c r="B182" s="17" t="s">
        <v>255</v>
      </c>
      <c r="C182" s="18">
        <v>0</v>
      </c>
    </row>
    <row r="183" spans="1:3" ht="15" hidden="1" x14ac:dyDescent="0.25">
      <c r="A183" s="190"/>
      <c r="B183" s="17" t="s">
        <v>319</v>
      </c>
      <c r="C183" s="18">
        <v>0</v>
      </c>
    </row>
    <row r="184" spans="1:3" ht="15" hidden="1" x14ac:dyDescent="0.25">
      <c r="A184" s="190"/>
      <c r="B184" t="s">
        <v>324</v>
      </c>
      <c r="C184" s="18">
        <v>0</v>
      </c>
    </row>
    <row r="185" spans="1:3" ht="15" hidden="1" x14ac:dyDescent="0.25">
      <c r="A185" s="190"/>
      <c r="B185" s="17" t="s">
        <v>318</v>
      </c>
      <c r="C185" s="18">
        <v>0</v>
      </c>
    </row>
    <row r="186" spans="1:3" ht="15" hidden="1" x14ac:dyDescent="0.25">
      <c r="A186" s="190"/>
      <c r="B186" t="s">
        <v>328</v>
      </c>
      <c r="C186" s="18">
        <v>0</v>
      </c>
    </row>
    <row r="187" spans="1:3" ht="15" hidden="1" x14ac:dyDescent="0.25">
      <c r="A187" s="189">
        <v>4975</v>
      </c>
      <c r="B187">
        <v>0</v>
      </c>
      <c r="C187" s="18">
        <v>0</v>
      </c>
    </row>
    <row r="188" spans="1:3" ht="15" hidden="1" x14ac:dyDescent="0.25">
      <c r="A188" s="189"/>
      <c r="B188" s="17" t="s">
        <v>257</v>
      </c>
      <c r="C188" s="18">
        <v>0</v>
      </c>
    </row>
    <row r="189" spans="1:3" ht="15" hidden="1" x14ac:dyDescent="0.25">
      <c r="A189" s="190"/>
      <c r="B189" s="17" t="s">
        <v>278</v>
      </c>
      <c r="C189" s="18">
        <v>0</v>
      </c>
    </row>
    <row r="190" spans="1:3" ht="15" hidden="1" x14ac:dyDescent="0.25">
      <c r="A190" s="190"/>
      <c r="B190" s="17" t="s">
        <v>246</v>
      </c>
      <c r="C190" s="18">
        <v>0</v>
      </c>
    </row>
    <row r="191" spans="1:3" ht="15" hidden="1" x14ac:dyDescent="0.25">
      <c r="A191" s="190"/>
      <c r="B191" t="s">
        <v>289</v>
      </c>
      <c r="C191" s="18">
        <v>0</v>
      </c>
    </row>
    <row r="192" spans="1:3" ht="15" hidden="1" x14ac:dyDescent="0.25">
      <c r="A192" s="190"/>
      <c r="B192" s="17" t="s">
        <v>265</v>
      </c>
      <c r="C192" s="18">
        <v>0</v>
      </c>
    </row>
    <row r="193" spans="1:3" ht="15" hidden="1" x14ac:dyDescent="0.25">
      <c r="A193" s="190"/>
      <c r="B193" s="17" t="s">
        <v>279</v>
      </c>
      <c r="C193" s="18">
        <v>0</v>
      </c>
    </row>
    <row r="194" spans="1:3" ht="15" hidden="1" x14ac:dyDescent="0.25">
      <c r="A194" s="190"/>
      <c r="B194" t="s">
        <v>267</v>
      </c>
      <c r="C194" s="18">
        <v>0</v>
      </c>
    </row>
    <row r="195" spans="1:3" ht="15" hidden="1" x14ac:dyDescent="0.25">
      <c r="A195" s="190"/>
      <c r="B195" s="17" t="s">
        <v>250</v>
      </c>
      <c r="C195" s="18">
        <v>0</v>
      </c>
    </row>
    <row r="196" spans="1:3" ht="15" hidden="1" x14ac:dyDescent="0.25">
      <c r="A196" s="190"/>
      <c r="B196" t="s">
        <v>247</v>
      </c>
      <c r="C196" s="18">
        <v>0</v>
      </c>
    </row>
    <row r="197" spans="1:3" ht="15" hidden="1" x14ac:dyDescent="0.25">
      <c r="A197" s="190"/>
      <c r="B197" t="s">
        <v>258</v>
      </c>
      <c r="C197" s="18">
        <v>0</v>
      </c>
    </row>
    <row r="198" spans="1:3" ht="15" hidden="1" x14ac:dyDescent="0.25">
      <c r="A198" s="190"/>
      <c r="B198" s="17" t="s">
        <v>292</v>
      </c>
      <c r="C198" s="18">
        <v>0</v>
      </c>
    </row>
    <row r="199" spans="1:3" ht="15" hidden="1" x14ac:dyDescent="0.25">
      <c r="A199" s="190"/>
      <c r="B199" t="s">
        <v>256</v>
      </c>
      <c r="C199" s="18">
        <v>0</v>
      </c>
    </row>
    <row r="200" spans="1:3" ht="15" hidden="1" x14ac:dyDescent="0.25">
      <c r="A200" s="190"/>
      <c r="B200" t="s">
        <v>298</v>
      </c>
      <c r="C200" s="18">
        <v>0</v>
      </c>
    </row>
    <row r="201" spans="1:3" ht="15" hidden="1" x14ac:dyDescent="0.25">
      <c r="A201" s="189"/>
      <c r="B201" s="17" t="s">
        <v>268</v>
      </c>
      <c r="C201" s="18">
        <v>0</v>
      </c>
    </row>
    <row r="202" spans="1:3" ht="15" hidden="1" x14ac:dyDescent="0.25">
      <c r="A202" s="189"/>
      <c r="B202" s="17" t="s">
        <v>311</v>
      </c>
      <c r="C202" s="18">
        <v>0</v>
      </c>
    </row>
    <row r="203" spans="1:3" ht="15" hidden="1" x14ac:dyDescent="0.25">
      <c r="A203" s="190"/>
      <c r="B203" s="17" t="s">
        <v>269</v>
      </c>
      <c r="C203" s="18">
        <v>0</v>
      </c>
    </row>
    <row r="204" spans="1:3" ht="15" hidden="1" x14ac:dyDescent="0.25">
      <c r="A204" s="189"/>
      <c r="B204" t="s">
        <v>270</v>
      </c>
      <c r="C204" s="18">
        <v>0</v>
      </c>
    </row>
    <row r="205" spans="1:3" ht="15" hidden="1" x14ac:dyDescent="0.25">
      <c r="A205" s="189"/>
      <c r="B205" s="17" t="s">
        <v>295</v>
      </c>
      <c r="C205" s="18">
        <v>0</v>
      </c>
    </row>
    <row r="206" spans="1:3" ht="15" hidden="1" x14ac:dyDescent="0.25">
      <c r="A206" s="191"/>
      <c r="B206" s="17" t="s">
        <v>275</v>
      </c>
      <c r="C206" s="18">
        <v>0</v>
      </c>
    </row>
    <row r="207" spans="1:3" ht="15" hidden="1" x14ac:dyDescent="0.25">
      <c r="A207" s="191"/>
      <c r="B207" s="17" t="s">
        <v>262</v>
      </c>
      <c r="C207" s="18">
        <v>0</v>
      </c>
    </row>
    <row r="208" spans="1:3" ht="15" hidden="1" x14ac:dyDescent="0.25">
      <c r="A208" s="190"/>
      <c r="B208" s="17" t="s">
        <v>280</v>
      </c>
      <c r="C208" s="18">
        <v>0</v>
      </c>
    </row>
    <row r="209" spans="1:3" ht="15" hidden="1" x14ac:dyDescent="0.25">
      <c r="A209" s="191"/>
      <c r="B209" s="17" t="s">
        <v>299</v>
      </c>
      <c r="C209" s="18">
        <v>0</v>
      </c>
    </row>
    <row r="210" spans="1:3" ht="15" hidden="1" x14ac:dyDescent="0.25">
      <c r="A210" s="190"/>
      <c r="B210" s="17" t="s">
        <v>245</v>
      </c>
      <c r="C210" s="18">
        <v>0</v>
      </c>
    </row>
    <row r="211" spans="1:3" ht="15" hidden="1" x14ac:dyDescent="0.25">
      <c r="A211" s="190"/>
      <c r="B211" s="17" t="s">
        <v>296</v>
      </c>
      <c r="C211" s="18">
        <v>0</v>
      </c>
    </row>
    <row r="212" spans="1:3" ht="15" hidden="1" x14ac:dyDescent="0.25">
      <c r="A212" s="190"/>
      <c r="B212" s="17" t="s">
        <v>248</v>
      </c>
      <c r="C212" s="18">
        <v>0</v>
      </c>
    </row>
    <row r="213" spans="1:3" ht="15" hidden="1" x14ac:dyDescent="0.25">
      <c r="A213" s="189"/>
      <c r="B213" t="s">
        <v>284</v>
      </c>
      <c r="C213" s="18">
        <v>0</v>
      </c>
    </row>
    <row r="214" spans="1:3" ht="15" hidden="1" x14ac:dyDescent="0.25">
      <c r="A214" s="190"/>
      <c r="B214" s="17" t="s">
        <v>249</v>
      </c>
      <c r="C214" s="18">
        <v>0</v>
      </c>
    </row>
    <row r="215" spans="1:3" ht="15" hidden="1" x14ac:dyDescent="0.25">
      <c r="A215" s="190"/>
      <c r="B215" t="s">
        <v>263</v>
      </c>
      <c r="C215" s="18">
        <v>0</v>
      </c>
    </row>
    <row r="216" spans="1:3" ht="15" hidden="1" x14ac:dyDescent="0.25">
      <c r="A216" s="190"/>
      <c r="B216" s="17" t="s">
        <v>274</v>
      </c>
      <c r="C216" s="18">
        <v>0</v>
      </c>
    </row>
    <row r="217" spans="1:3" ht="15" hidden="1" x14ac:dyDescent="0.25">
      <c r="A217" s="190"/>
      <c r="B217" s="17" t="s">
        <v>281</v>
      </c>
      <c r="C217" s="18">
        <v>0</v>
      </c>
    </row>
    <row r="218" spans="1:3" ht="15" hidden="1" x14ac:dyDescent="0.25">
      <c r="A218" s="190"/>
      <c r="B218" s="17" t="s">
        <v>260</v>
      </c>
      <c r="C218" s="18">
        <v>0</v>
      </c>
    </row>
    <row r="219" spans="1:3" ht="15" hidden="1" x14ac:dyDescent="0.25">
      <c r="A219" s="190"/>
      <c r="B219" s="17" t="s">
        <v>293</v>
      </c>
      <c r="C219" s="18">
        <v>0</v>
      </c>
    </row>
    <row r="220" spans="1:3" ht="15" hidden="1" x14ac:dyDescent="0.25">
      <c r="A220" s="190"/>
      <c r="B220" t="s">
        <v>72</v>
      </c>
      <c r="C220" s="18">
        <v>0</v>
      </c>
    </row>
    <row r="221" spans="1:3" ht="15" hidden="1" x14ac:dyDescent="0.25">
      <c r="A221" s="190"/>
      <c r="B221" s="17" t="s">
        <v>297</v>
      </c>
      <c r="C221" s="18">
        <v>0</v>
      </c>
    </row>
    <row r="222" spans="1:3" ht="15" hidden="1" x14ac:dyDescent="0.25">
      <c r="A222" s="190"/>
      <c r="B222" s="17" t="s">
        <v>285</v>
      </c>
      <c r="C222" s="18">
        <v>0</v>
      </c>
    </row>
    <row r="223" spans="1:3" ht="15" hidden="1" x14ac:dyDescent="0.25">
      <c r="A223" s="190"/>
      <c r="B223" s="17" t="s">
        <v>272</v>
      </c>
      <c r="C223" s="18">
        <v>0</v>
      </c>
    </row>
    <row r="224" spans="1:3" ht="15" hidden="1" x14ac:dyDescent="0.25">
      <c r="A224" s="190"/>
      <c r="B224" s="17" t="s">
        <v>253</v>
      </c>
      <c r="C224" s="18">
        <v>0</v>
      </c>
    </row>
    <row r="225" spans="1:3" ht="15" hidden="1" x14ac:dyDescent="0.25">
      <c r="A225" s="190"/>
      <c r="B225" s="17" t="s">
        <v>255</v>
      </c>
      <c r="C225" s="18">
        <v>0</v>
      </c>
    </row>
    <row r="226" spans="1:3" ht="15" hidden="1" x14ac:dyDescent="0.25">
      <c r="A226" s="190"/>
      <c r="B226" s="17" t="s">
        <v>264</v>
      </c>
      <c r="C226" s="18">
        <v>0</v>
      </c>
    </row>
    <row r="227" spans="1:3" ht="15" hidden="1" x14ac:dyDescent="0.25">
      <c r="A227" s="190"/>
      <c r="B227" s="17" t="s">
        <v>319</v>
      </c>
      <c r="C227" s="18">
        <v>0</v>
      </c>
    </row>
    <row r="228" spans="1:3" ht="15" hidden="1" x14ac:dyDescent="0.25">
      <c r="A228" s="190"/>
      <c r="B228" s="17" t="s">
        <v>323</v>
      </c>
      <c r="C228" s="18">
        <v>0</v>
      </c>
    </row>
    <row r="229" spans="1:3" ht="15" hidden="1" x14ac:dyDescent="0.25">
      <c r="A229" s="190"/>
      <c r="B229" s="17" t="s">
        <v>324</v>
      </c>
      <c r="C229" s="18">
        <v>0</v>
      </c>
    </row>
    <row r="230" spans="1:3" ht="15" hidden="1" x14ac:dyDescent="0.25">
      <c r="A230" s="190"/>
      <c r="B230" s="17" t="s">
        <v>318</v>
      </c>
      <c r="C230" s="18">
        <v>0</v>
      </c>
    </row>
    <row r="231" spans="1:3" ht="15" hidden="1" x14ac:dyDescent="0.25">
      <c r="A231" s="190"/>
      <c r="B231" s="17" t="s">
        <v>328</v>
      </c>
      <c r="C231" s="18">
        <v>0</v>
      </c>
    </row>
    <row r="232" spans="1:3" ht="15" hidden="1" x14ac:dyDescent="0.25">
      <c r="A232" s="190">
        <v>4991</v>
      </c>
      <c r="B232">
        <v>0</v>
      </c>
      <c r="C232" s="18">
        <v>0</v>
      </c>
    </row>
    <row r="233" spans="1:3" ht="15" hidden="1" x14ac:dyDescent="0.25">
      <c r="A233" s="190"/>
      <c r="B233" t="s">
        <v>256</v>
      </c>
      <c r="C233" s="18">
        <v>0</v>
      </c>
    </row>
    <row r="234" spans="1:3" ht="15" hidden="1" x14ac:dyDescent="0.25">
      <c r="A234" s="190"/>
      <c r="B234" t="s">
        <v>262</v>
      </c>
      <c r="C234" s="18">
        <v>0</v>
      </c>
    </row>
    <row r="235" spans="1:3" ht="15" hidden="1" x14ac:dyDescent="0.25">
      <c r="A235" s="190"/>
      <c r="B235" t="s">
        <v>245</v>
      </c>
      <c r="C235" s="18">
        <v>0</v>
      </c>
    </row>
    <row r="236" spans="1:3" ht="15" hidden="1" x14ac:dyDescent="0.25">
      <c r="A236" s="190"/>
      <c r="B236" t="s">
        <v>249</v>
      </c>
      <c r="C236" s="18">
        <v>0</v>
      </c>
    </row>
    <row r="237" spans="1:3" ht="15" hidden="1" x14ac:dyDescent="0.25">
      <c r="A237" s="190"/>
      <c r="B237" t="s">
        <v>264</v>
      </c>
      <c r="C237" s="18">
        <v>0</v>
      </c>
    </row>
    <row r="238" spans="1:3" ht="15" hidden="1" x14ac:dyDescent="0.25">
      <c r="A238" s="190"/>
      <c r="B238" t="s">
        <v>319</v>
      </c>
      <c r="C238" s="18">
        <v>0</v>
      </c>
    </row>
    <row r="239" spans="1:3" ht="15" hidden="1" x14ac:dyDescent="0.25">
      <c r="A239" s="189"/>
      <c r="B239" t="s">
        <v>318</v>
      </c>
      <c r="C239" s="18">
        <v>0</v>
      </c>
    </row>
    <row r="240" spans="1:3" ht="15" hidden="1" x14ac:dyDescent="0.25">
      <c r="A240" s="190"/>
      <c r="B240" t="s">
        <v>80</v>
      </c>
      <c r="C240" s="18">
        <v>0</v>
      </c>
    </row>
    <row r="241" spans="1:3" ht="15" hidden="1" x14ac:dyDescent="0.25">
      <c r="A241" s="190">
        <v>5001</v>
      </c>
      <c r="B241" t="s">
        <v>311</v>
      </c>
      <c r="C241" s="18">
        <v>0</v>
      </c>
    </row>
    <row r="242" spans="1:3" ht="15" hidden="1" x14ac:dyDescent="0.25">
      <c r="A242" s="189"/>
      <c r="B242" t="s">
        <v>378</v>
      </c>
      <c r="C242" s="18">
        <v>0</v>
      </c>
    </row>
    <row r="243" spans="1:3" ht="15" hidden="1" x14ac:dyDescent="0.25">
      <c r="A243" s="190">
        <v>5013</v>
      </c>
      <c r="B243" s="17">
        <v>0</v>
      </c>
      <c r="C243" s="18">
        <v>0</v>
      </c>
    </row>
    <row r="244" spans="1:3" ht="15" hidden="1" x14ac:dyDescent="0.25">
      <c r="A244" s="190">
        <v>5098</v>
      </c>
      <c r="B244">
        <v>0</v>
      </c>
      <c r="C244" s="18">
        <v>0</v>
      </c>
    </row>
    <row r="245" spans="1:3" ht="15" hidden="1" x14ac:dyDescent="0.25">
      <c r="A245" s="190"/>
      <c r="B245" t="s">
        <v>80</v>
      </c>
      <c r="C245" s="18">
        <v>0</v>
      </c>
    </row>
    <row r="246" spans="1:3" ht="15" hidden="1" x14ac:dyDescent="0.25">
      <c r="A246" s="190">
        <v>5146</v>
      </c>
      <c r="B246" t="s">
        <v>246</v>
      </c>
      <c r="C246" s="18">
        <v>0</v>
      </c>
    </row>
    <row r="247" spans="1:3" ht="15" hidden="1" x14ac:dyDescent="0.25">
      <c r="A247" s="190"/>
      <c r="B247" t="s">
        <v>265</v>
      </c>
      <c r="C247" s="18">
        <v>0</v>
      </c>
    </row>
    <row r="248" spans="1:3" ht="15" hidden="1" x14ac:dyDescent="0.25">
      <c r="A248" s="189"/>
      <c r="B248" t="s">
        <v>323</v>
      </c>
      <c r="C248" s="18">
        <v>0</v>
      </c>
    </row>
    <row r="249" spans="1:3" ht="15" hidden="1" x14ac:dyDescent="0.25">
      <c r="A249" s="190">
        <v>5160</v>
      </c>
      <c r="B249">
        <v>0</v>
      </c>
      <c r="C249" s="18">
        <v>0</v>
      </c>
    </row>
    <row r="250" spans="1:3" ht="15" hidden="1" x14ac:dyDescent="0.25">
      <c r="A250" s="190"/>
      <c r="B250" t="s">
        <v>306</v>
      </c>
      <c r="C250" s="18">
        <v>0</v>
      </c>
    </row>
    <row r="251" spans="1:3" ht="15" hidden="1" x14ac:dyDescent="0.25">
      <c r="A251" s="190"/>
      <c r="B251" t="s">
        <v>250</v>
      </c>
      <c r="C251" s="18">
        <v>0</v>
      </c>
    </row>
    <row r="252" spans="1:3" ht="15" hidden="1" x14ac:dyDescent="0.25">
      <c r="A252" s="190"/>
      <c r="B252" t="s">
        <v>245</v>
      </c>
      <c r="C252" s="18">
        <v>0</v>
      </c>
    </row>
    <row r="253" spans="1:3" ht="15" hidden="1" x14ac:dyDescent="0.25">
      <c r="A253" s="190"/>
      <c r="B253" t="s">
        <v>249</v>
      </c>
      <c r="C253" s="18">
        <v>0</v>
      </c>
    </row>
    <row r="254" spans="1:3" ht="15" hidden="1" x14ac:dyDescent="0.25">
      <c r="A254" s="190"/>
      <c r="B254" t="s">
        <v>263</v>
      </c>
      <c r="C254" s="18">
        <v>0</v>
      </c>
    </row>
    <row r="255" spans="1:3" ht="15" hidden="1" x14ac:dyDescent="0.25">
      <c r="A255" s="189"/>
      <c r="B255" t="s">
        <v>274</v>
      </c>
      <c r="C255" s="18">
        <v>0</v>
      </c>
    </row>
    <row r="256" spans="1:3" ht="15" hidden="1" x14ac:dyDescent="0.25">
      <c r="A256" s="189"/>
      <c r="B256" t="s">
        <v>260</v>
      </c>
      <c r="C256" s="18">
        <v>0</v>
      </c>
    </row>
    <row r="257" spans="1:3" ht="15" hidden="1" x14ac:dyDescent="0.25">
      <c r="A257" s="189"/>
      <c r="B257" t="s">
        <v>72</v>
      </c>
      <c r="C257" s="18">
        <v>0</v>
      </c>
    </row>
    <row r="258" spans="1:3" ht="15" hidden="1" x14ac:dyDescent="0.25">
      <c r="A258" s="190"/>
      <c r="B258" t="s">
        <v>272</v>
      </c>
      <c r="C258" s="18">
        <v>0</v>
      </c>
    </row>
    <row r="259" spans="1:3" ht="15" hidden="1" x14ac:dyDescent="0.25">
      <c r="A259" s="190"/>
      <c r="B259" t="s">
        <v>264</v>
      </c>
      <c r="C259" s="18">
        <v>0</v>
      </c>
    </row>
    <row r="260" spans="1:3" ht="15" hidden="1" x14ac:dyDescent="0.25">
      <c r="A260" s="190"/>
      <c r="B260" t="s">
        <v>318</v>
      </c>
      <c r="C260" s="18">
        <v>0</v>
      </c>
    </row>
    <row r="261" spans="1:3" ht="15" x14ac:dyDescent="0.25">
      <c r="A261" s="190">
        <v>5163</v>
      </c>
      <c r="B261" s="17" t="s">
        <v>318</v>
      </c>
      <c r="C261" s="18">
        <v>2</v>
      </c>
    </row>
    <row r="262" spans="1:3" ht="15" hidden="1" x14ac:dyDescent="0.25">
      <c r="A262" s="190">
        <v>5165</v>
      </c>
      <c r="B262">
        <v>0</v>
      </c>
      <c r="C262" s="18">
        <v>0</v>
      </c>
    </row>
    <row r="263" spans="1:3" ht="15" hidden="1" x14ac:dyDescent="0.25">
      <c r="A263" s="190"/>
      <c r="B263" t="s">
        <v>72</v>
      </c>
      <c r="C263" s="18">
        <v>0</v>
      </c>
    </row>
    <row r="264" spans="1:3" ht="15" hidden="1" x14ac:dyDescent="0.25">
      <c r="A264" s="190">
        <v>5177</v>
      </c>
      <c r="B264">
        <v>0</v>
      </c>
      <c r="C264" s="18">
        <v>0</v>
      </c>
    </row>
    <row r="265" spans="1:3" ht="15" hidden="1" x14ac:dyDescent="0.25">
      <c r="A265" s="190"/>
      <c r="B265" t="s">
        <v>245</v>
      </c>
      <c r="C265" s="18">
        <v>0</v>
      </c>
    </row>
    <row r="266" spans="1:3" ht="15" hidden="1" x14ac:dyDescent="0.25">
      <c r="A266" s="189"/>
      <c r="B266" t="s">
        <v>249</v>
      </c>
      <c r="C266" s="18">
        <v>0</v>
      </c>
    </row>
    <row r="267" spans="1:3" ht="15" hidden="1" x14ac:dyDescent="0.25">
      <c r="A267" s="190"/>
      <c r="B267" t="s">
        <v>260</v>
      </c>
      <c r="C267" s="18">
        <v>0</v>
      </c>
    </row>
    <row r="268" spans="1:3" ht="15" hidden="1" x14ac:dyDescent="0.25">
      <c r="A268" s="190"/>
      <c r="B268" t="s">
        <v>264</v>
      </c>
      <c r="C268" s="18">
        <v>0</v>
      </c>
    </row>
    <row r="269" spans="1:3" ht="15" hidden="1" x14ac:dyDescent="0.25">
      <c r="A269" s="190"/>
      <c r="B269" t="s">
        <v>319</v>
      </c>
      <c r="C269" s="18">
        <v>0</v>
      </c>
    </row>
    <row r="270" spans="1:3" ht="15" hidden="1" x14ac:dyDescent="0.25">
      <c r="A270" s="190"/>
      <c r="B270" t="s">
        <v>318</v>
      </c>
      <c r="C270" s="18">
        <v>0</v>
      </c>
    </row>
    <row r="271" spans="1:3" ht="15" hidden="1" x14ac:dyDescent="0.25">
      <c r="A271" s="190"/>
      <c r="B271" t="s">
        <v>80</v>
      </c>
      <c r="C271" s="18">
        <v>0</v>
      </c>
    </row>
    <row r="272" spans="1:3" ht="15" hidden="1" x14ac:dyDescent="0.25">
      <c r="A272" s="190">
        <v>5198</v>
      </c>
      <c r="B272" s="17">
        <v>0</v>
      </c>
      <c r="C272" s="18">
        <v>0</v>
      </c>
    </row>
    <row r="273" spans="1:3" ht="15" hidden="1" x14ac:dyDescent="0.25">
      <c r="A273" s="190"/>
      <c r="B273" s="17" t="s">
        <v>256</v>
      </c>
      <c r="C273" s="18">
        <v>0</v>
      </c>
    </row>
    <row r="274" spans="1:3" ht="15" hidden="1" x14ac:dyDescent="0.25">
      <c r="A274" s="190"/>
      <c r="B274" s="17" t="s">
        <v>281</v>
      </c>
      <c r="C274" s="18">
        <v>0</v>
      </c>
    </row>
    <row r="275" spans="1:3" ht="15" hidden="1" x14ac:dyDescent="0.25">
      <c r="A275" s="190"/>
      <c r="B275" s="17" t="s">
        <v>72</v>
      </c>
      <c r="C275" s="18">
        <v>0</v>
      </c>
    </row>
    <row r="276" spans="1:3" ht="15" hidden="1" x14ac:dyDescent="0.25">
      <c r="A276" s="190"/>
      <c r="B276" s="17" t="s">
        <v>319</v>
      </c>
      <c r="C276" s="18">
        <v>0</v>
      </c>
    </row>
    <row r="277" spans="1:3" ht="15" hidden="1" x14ac:dyDescent="0.25">
      <c r="A277" s="190"/>
      <c r="B277" s="17" t="s">
        <v>318</v>
      </c>
      <c r="C277" s="18">
        <v>0</v>
      </c>
    </row>
    <row r="278" spans="1:3" ht="15" hidden="1" x14ac:dyDescent="0.25">
      <c r="A278" s="190">
        <v>5210</v>
      </c>
      <c r="B278" t="s">
        <v>245</v>
      </c>
      <c r="C278" s="18">
        <v>0</v>
      </c>
    </row>
    <row r="279" spans="1:3" ht="15" hidden="1" x14ac:dyDescent="0.25">
      <c r="A279" s="189">
        <v>5221</v>
      </c>
      <c r="B279">
        <v>0</v>
      </c>
      <c r="C279" s="18">
        <v>0</v>
      </c>
    </row>
    <row r="280" spans="1:3" ht="15" hidden="1" x14ac:dyDescent="0.25">
      <c r="A280" s="190"/>
      <c r="B280" t="s">
        <v>245</v>
      </c>
      <c r="C280" s="18">
        <v>0</v>
      </c>
    </row>
    <row r="281" spans="1:3" ht="15" hidden="1" x14ac:dyDescent="0.25">
      <c r="A281" s="190"/>
      <c r="B281" t="s">
        <v>264</v>
      </c>
      <c r="C281" s="18">
        <v>0</v>
      </c>
    </row>
    <row r="282" spans="1:3" ht="15" hidden="1" x14ac:dyDescent="0.25">
      <c r="A282" s="190"/>
      <c r="B282" t="s">
        <v>319</v>
      </c>
      <c r="C282" s="18">
        <v>0</v>
      </c>
    </row>
    <row r="283" spans="1:3" ht="15" hidden="1" x14ac:dyDescent="0.25">
      <c r="A283" s="189"/>
      <c r="B283" t="s">
        <v>323</v>
      </c>
      <c r="C283" s="18">
        <v>0</v>
      </c>
    </row>
    <row r="284" spans="1:3" ht="15" hidden="1" x14ac:dyDescent="0.25">
      <c r="A284" s="190"/>
      <c r="B284" t="s">
        <v>318</v>
      </c>
      <c r="C284" s="18">
        <v>0</v>
      </c>
    </row>
    <row r="285" spans="1:3" ht="15" hidden="1" x14ac:dyDescent="0.25">
      <c r="A285" s="190">
        <v>5247</v>
      </c>
      <c r="B285">
        <v>0</v>
      </c>
      <c r="C285" s="18">
        <v>0</v>
      </c>
    </row>
    <row r="286" spans="1:3" ht="15" hidden="1" x14ac:dyDescent="0.25">
      <c r="A286" s="190"/>
      <c r="B286" t="s">
        <v>324</v>
      </c>
      <c r="C286" s="18">
        <v>0</v>
      </c>
    </row>
    <row r="287" spans="1:3" ht="15" hidden="1" x14ac:dyDescent="0.25">
      <c r="A287" s="190">
        <v>5249</v>
      </c>
      <c r="B287">
        <v>0</v>
      </c>
      <c r="C287" s="18">
        <v>0</v>
      </c>
    </row>
    <row r="288" spans="1:3" ht="15" hidden="1" x14ac:dyDescent="0.25">
      <c r="A288" s="190"/>
      <c r="B288" t="s">
        <v>258</v>
      </c>
      <c r="C288" s="18">
        <v>0</v>
      </c>
    </row>
    <row r="289" spans="1:3" ht="15" hidden="1" x14ac:dyDescent="0.25">
      <c r="A289" s="190"/>
      <c r="B289" t="s">
        <v>294</v>
      </c>
      <c r="C289" s="18">
        <v>0</v>
      </c>
    </row>
    <row r="290" spans="1:3" ht="15" hidden="1" x14ac:dyDescent="0.25">
      <c r="A290" s="190"/>
      <c r="B290" t="s">
        <v>245</v>
      </c>
      <c r="C290" s="18">
        <v>0</v>
      </c>
    </row>
    <row r="291" spans="1:3" ht="15" hidden="1" x14ac:dyDescent="0.25">
      <c r="A291" s="190"/>
      <c r="B291" t="s">
        <v>248</v>
      </c>
      <c r="C291" s="18">
        <v>0</v>
      </c>
    </row>
    <row r="292" spans="1:3" ht="15" hidden="1" x14ac:dyDescent="0.25">
      <c r="A292" s="190"/>
      <c r="B292" t="s">
        <v>249</v>
      </c>
      <c r="C292" s="18">
        <v>0</v>
      </c>
    </row>
    <row r="293" spans="1:3" ht="15" hidden="1" x14ac:dyDescent="0.25">
      <c r="A293" s="190"/>
      <c r="B293" t="s">
        <v>282</v>
      </c>
      <c r="C293" s="18">
        <v>0</v>
      </c>
    </row>
    <row r="294" spans="1:3" ht="15" hidden="1" x14ac:dyDescent="0.25">
      <c r="A294" s="190"/>
      <c r="B294" t="s">
        <v>264</v>
      </c>
      <c r="C294" s="18">
        <v>0</v>
      </c>
    </row>
    <row r="295" spans="1:3" ht="15" hidden="1" x14ac:dyDescent="0.25">
      <c r="A295" s="190"/>
      <c r="B295" t="s">
        <v>319</v>
      </c>
      <c r="C295" s="18">
        <v>0</v>
      </c>
    </row>
    <row r="296" spans="1:3" ht="15" hidden="1" x14ac:dyDescent="0.25">
      <c r="A296" s="190"/>
      <c r="B296" t="s">
        <v>318</v>
      </c>
      <c r="C296" s="18">
        <v>0</v>
      </c>
    </row>
    <row r="297" spans="1:3" ht="15" hidden="1" x14ac:dyDescent="0.25">
      <c r="A297" s="190"/>
      <c r="B297" t="s">
        <v>80</v>
      </c>
      <c r="C297" s="18">
        <v>0</v>
      </c>
    </row>
    <row r="298" spans="1:3" ht="15" hidden="1" x14ac:dyDescent="0.25">
      <c r="A298" s="189">
        <v>5258</v>
      </c>
      <c r="B298">
        <v>0</v>
      </c>
      <c r="C298" s="18">
        <v>0</v>
      </c>
    </row>
    <row r="299" spans="1:3" ht="15" hidden="1" x14ac:dyDescent="0.25">
      <c r="A299" s="190"/>
      <c r="B299" t="s">
        <v>270</v>
      </c>
      <c r="C299" s="18">
        <v>0</v>
      </c>
    </row>
    <row r="300" spans="1:3" ht="15" hidden="1" x14ac:dyDescent="0.25">
      <c r="A300" s="190"/>
      <c r="B300" t="s">
        <v>245</v>
      </c>
      <c r="C300" s="18">
        <v>0</v>
      </c>
    </row>
    <row r="301" spans="1:3" ht="15" hidden="1" x14ac:dyDescent="0.25">
      <c r="A301" s="190"/>
      <c r="B301" t="s">
        <v>248</v>
      </c>
      <c r="C301" s="18">
        <v>0</v>
      </c>
    </row>
    <row r="302" spans="1:3" ht="15" hidden="1" x14ac:dyDescent="0.25">
      <c r="A302" s="190"/>
      <c r="B302" t="s">
        <v>249</v>
      </c>
      <c r="C302" s="18">
        <v>0</v>
      </c>
    </row>
    <row r="303" spans="1:3" ht="15" hidden="1" x14ac:dyDescent="0.25">
      <c r="A303" s="190"/>
      <c r="B303" t="s">
        <v>264</v>
      </c>
      <c r="C303" s="18">
        <v>0</v>
      </c>
    </row>
    <row r="304" spans="1:3" ht="15" hidden="1" x14ac:dyDescent="0.25">
      <c r="A304" s="189"/>
      <c r="B304" t="s">
        <v>319</v>
      </c>
      <c r="C304" s="18">
        <v>0</v>
      </c>
    </row>
    <row r="305" spans="1:3" ht="15" hidden="1" x14ac:dyDescent="0.25">
      <c r="A305" s="190"/>
      <c r="B305" t="s">
        <v>318</v>
      </c>
      <c r="C305" s="18">
        <v>0</v>
      </c>
    </row>
    <row r="306" spans="1:3" ht="15" hidden="1" x14ac:dyDescent="0.25">
      <c r="A306" s="190"/>
      <c r="B306" t="s">
        <v>80</v>
      </c>
      <c r="C306" s="18">
        <v>0</v>
      </c>
    </row>
    <row r="307" spans="1:3" ht="15" hidden="1" x14ac:dyDescent="0.25">
      <c r="A307" s="190">
        <v>5259</v>
      </c>
      <c r="B307" t="s">
        <v>256</v>
      </c>
      <c r="C307" s="18">
        <v>0</v>
      </c>
    </row>
    <row r="308" spans="1:3" ht="15" hidden="1" x14ac:dyDescent="0.25">
      <c r="A308" s="190"/>
      <c r="B308" t="s">
        <v>272</v>
      </c>
      <c r="C308" s="18">
        <v>0</v>
      </c>
    </row>
    <row r="309" spans="1:3" ht="15" hidden="1" x14ac:dyDescent="0.25">
      <c r="A309" s="190">
        <v>5277</v>
      </c>
      <c r="B309" t="s">
        <v>80</v>
      </c>
      <c r="C309" s="18">
        <v>0</v>
      </c>
    </row>
    <row r="310" spans="1:3" ht="15" hidden="1" x14ac:dyDescent="0.25">
      <c r="A310" s="190">
        <v>5278</v>
      </c>
      <c r="B310">
        <v>0</v>
      </c>
      <c r="C310" s="18">
        <v>0</v>
      </c>
    </row>
    <row r="311" spans="1:3" ht="15" hidden="1" x14ac:dyDescent="0.25">
      <c r="A311" s="189"/>
      <c r="B311" t="s">
        <v>251</v>
      </c>
      <c r="C311" s="18">
        <v>0</v>
      </c>
    </row>
    <row r="312" spans="1:3" ht="15" hidden="1" x14ac:dyDescent="0.25">
      <c r="A312" s="190"/>
      <c r="B312" t="s">
        <v>270</v>
      </c>
      <c r="C312" s="18">
        <v>0</v>
      </c>
    </row>
    <row r="313" spans="1:3" ht="15" hidden="1" x14ac:dyDescent="0.25">
      <c r="A313" s="190"/>
      <c r="B313" t="s">
        <v>245</v>
      </c>
      <c r="C313" s="18">
        <v>0</v>
      </c>
    </row>
    <row r="314" spans="1:3" ht="15" hidden="1" x14ac:dyDescent="0.25">
      <c r="A314" s="190"/>
      <c r="B314" t="s">
        <v>249</v>
      </c>
      <c r="C314" s="18">
        <v>0</v>
      </c>
    </row>
    <row r="315" spans="1:3" ht="15" hidden="1" x14ac:dyDescent="0.25">
      <c r="A315" s="190"/>
      <c r="B315" t="s">
        <v>264</v>
      </c>
      <c r="C315" s="18">
        <v>0</v>
      </c>
    </row>
    <row r="316" spans="1:3" ht="15" hidden="1" x14ac:dyDescent="0.25">
      <c r="A316" s="190"/>
      <c r="B316" t="s">
        <v>319</v>
      </c>
      <c r="C316" s="18">
        <v>0</v>
      </c>
    </row>
    <row r="317" spans="1:3" ht="15" hidden="1" x14ac:dyDescent="0.25">
      <c r="A317" s="190"/>
      <c r="B317" t="s">
        <v>80</v>
      </c>
      <c r="C317" s="18">
        <v>0</v>
      </c>
    </row>
    <row r="318" spans="1:3" ht="15" hidden="1" x14ac:dyDescent="0.25">
      <c r="A318" s="190">
        <v>5280</v>
      </c>
      <c r="B318">
        <v>0</v>
      </c>
      <c r="C318" s="18">
        <v>0</v>
      </c>
    </row>
    <row r="319" spans="1:3" ht="15" hidden="1" x14ac:dyDescent="0.25">
      <c r="A319" s="190"/>
      <c r="B319" t="s">
        <v>251</v>
      </c>
      <c r="C319" s="18">
        <v>0</v>
      </c>
    </row>
    <row r="320" spans="1:3" ht="15" hidden="1" x14ac:dyDescent="0.25">
      <c r="A320" s="190"/>
      <c r="B320" t="s">
        <v>291</v>
      </c>
      <c r="C320" s="18">
        <v>0</v>
      </c>
    </row>
    <row r="321" spans="1:3" ht="15" hidden="1" x14ac:dyDescent="0.25">
      <c r="A321" s="190"/>
      <c r="B321" t="s">
        <v>245</v>
      </c>
      <c r="C321" s="18">
        <v>0</v>
      </c>
    </row>
    <row r="322" spans="1:3" ht="15" hidden="1" x14ac:dyDescent="0.25">
      <c r="A322" s="190"/>
      <c r="B322" t="s">
        <v>248</v>
      </c>
      <c r="C322" s="18">
        <v>0</v>
      </c>
    </row>
    <row r="323" spans="1:3" ht="15" hidden="1" x14ac:dyDescent="0.25">
      <c r="A323" s="190"/>
      <c r="B323" t="s">
        <v>249</v>
      </c>
      <c r="C323" s="18">
        <v>0</v>
      </c>
    </row>
    <row r="324" spans="1:3" ht="15" hidden="1" x14ac:dyDescent="0.25">
      <c r="A324" s="190"/>
      <c r="B324" t="s">
        <v>260</v>
      </c>
      <c r="C324" s="18">
        <v>0</v>
      </c>
    </row>
    <row r="325" spans="1:3" ht="15" hidden="1" x14ac:dyDescent="0.25">
      <c r="A325" s="190"/>
      <c r="B325" t="s">
        <v>264</v>
      </c>
      <c r="C325" s="18">
        <v>0</v>
      </c>
    </row>
    <row r="326" spans="1:3" ht="15" hidden="1" x14ac:dyDescent="0.25">
      <c r="A326" s="190"/>
      <c r="B326" t="s">
        <v>319</v>
      </c>
      <c r="C326" s="18">
        <v>0</v>
      </c>
    </row>
    <row r="327" spans="1:3" ht="15" hidden="1" x14ac:dyDescent="0.25">
      <c r="A327" s="190"/>
      <c r="B327" t="s">
        <v>318</v>
      </c>
      <c r="C327" s="18">
        <v>0</v>
      </c>
    </row>
    <row r="328" spans="1:3" ht="15" hidden="1" x14ac:dyDescent="0.25">
      <c r="A328" s="190"/>
      <c r="B328" t="s">
        <v>80</v>
      </c>
      <c r="C328" s="18">
        <v>0</v>
      </c>
    </row>
    <row r="329" spans="1:3" ht="15" hidden="1" x14ac:dyDescent="0.25">
      <c r="A329" s="189">
        <v>5283</v>
      </c>
      <c r="B329">
        <v>0</v>
      </c>
      <c r="C329" s="18">
        <v>0</v>
      </c>
    </row>
    <row r="330" spans="1:3" ht="15" hidden="1" x14ac:dyDescent="0.25">
      <c r="A330" s="190"/>
      <c r="B330" t="s">
        <v>311</v>
      </c>
      <c r="C330" s="18">
        <v>0</v>
      </c>
    </row>
    <row r="331" spans="1:3" ht="15" hidden="1" x14ac:dyDescent="0.25">
      <c r="A331" s="190"/>
      <c r="B331" t="s">
        <v>262</v>
      </c>
      <c r="C331" s="18">
        <v>0</v>
      </c>
    </row>
    <row r="332" spans="1:3" ht="15" hidden="1" x14ac:dyDescent="0.25">
      <c r="A332" s="190"/>
      <c r="B332" t="s">
        <v>245</v>
      </c>
      <c r="C332" s="18">
        <v>0</v>
      </c>
    </row>
    <row r="333" spans="1:3" ht="15" hidden="1" x14ac:dyDescent="0.25">
      <c r="A333" s="190"/>
      <c r="B333" t="s">
        <v>249</v>
      </c>
      <c r="C333" s="18">
        <v>0</v>
      </c>
    </row>
    <row r="334" spans="1:3" ht="15" hidden="1" x14ac:dyDescent="0.25">
      <c r="A334" s="190"/>
      <c r="B334" t="s">
        <v>264</v>
      </c>
      <c r="C334" s="18">
        <v>0</v>
      </c>
    </row>
    <row r="335" spans="1:3" ht="15" hidden="1" x14ac:dyDescent="0.25">
      <c r="A335" s="190"/>
      <c r="B335" t="s">
        <v>319</v>
      </c>
      <c r="C335" s="18">
        <v>0</v>
      </c>
    </row>
    <row r="336" spans="1:3" ht="15" hidden="1" x14ac:dyDescent="0.25">
      <c r="A336" s="189"/>
      <c r="B336" t="s">
        <v>318</v>
      </c>
      <c r="C336" s="18">
        <v>0</v>
      </c>
    </row>
    <row r="337" spans="1:3" ht="15" hidden="1" x14ac:dyDescent="0.25">
      <c r="A337" s="190"/>
      <c r="B337" t="s">
        <v>80</v>
      </c>
      <c r="C337" s="18">
        <v>0</v>
      </c>
    </row>
    <row r="338" spans="1:3" ht="15" hidden="1" x14ac:dyDescent="0.25">
      <c r="A338" s="189">
        <v>5286</v>
      </c>
      <c r="B338" t="s">
        <v>272</v>
      </c>
      <c r="C338" s="18">
        <v>0</v>
      </c>
    </row>
    <row r="339" spans="1:3" ht="15" hidden="1" x14ac:dyDescent="0.25">
      <c r="A339" s="190"/>
      <c r="B339" t="s">
        <v>324</v>
      </c>
      <c r="C339" s="18">
        <v>0</v>
      </c>
    </row>
    <row r="340" spans="1:3" ht="15" hidden="1" x14ac:dyDescent="0.25">
      <c r="A340" s="190">
        <v>5290</v>
      </c>
      <c r="B340">
        <v>0</v>
      </c>
      <c r="C340" s="18">
        <v>0</v>
      </c>
    </row>
    <row r="341" spans="1:3" ht="15" hidden="1" x14ac:dyDescent="0.25">
      <c r="A341" s="190"/>
      <c r="B341" s="17" t="s">
        <v>80</v>
      </c>
      <c r="C341" s="18">
        <v>0</v>
      </c>
    </row>
    <row r="342" spans="1:3" ht="15" hidden="1" x14ac:dyDescent="0.25">
      <c r="A342" s="190">
        <v>5333</v>
      </c>
      <c r="B342" s="17">
        <v>0</v>
      </c>
      <c r="C342" s="18">
        <v>0</v>
      </c>
    </row>
    <row r="343" spans="1:3" ht="15" hidden="1" x14ac:dyDescent="0.25">
      <c r="A343" s="190"/>
      <c r="B343" s="17" t="s">
        <v>258</v>
      </c>
      <c r="C343" s="18">
        <v>0</v>
      </c>
    </row>
    <row r="344" spans="1:3" ht="15" hidden="1" x14ac:dyDescent="0.25">
      <c r="A344" s="190"/>
      <c r="B344" s="17" t="s">
        <v>245</v>
      </c>
      <c r="C344" s="18">
        <v>0</v>
      </c>
    </row>
    <row r="345" spans="1:3" ht="15" hidden="1" x14ac:dyDescent="0.25">
      <c r="A345" s="190">
        <v>5337</v>
      </c>
      <c r="B345" s="17">
        <v>0</v>
      </c>
      <c r="C345" s="18">
        <v>0</v>
      </c>
    </row>
    <row r="346" spans="1:3" ht="15" hidden="1" x14ac:dyDescent="0.25">
      <c r="A346" s="190">
        <v>5338</v>
      </c>
      <c r="B346">
        <v>0</v>
      </c>
      <c r="C346" s="18">
        <v>0</v>
      </c>
    </row>
    <row r="347" spans="1:3" ht="15" hidden="1" x14ac:dyDescent="0.25">
      <c r="A347" s="190"/>
      <c r="B347" t="s">
        <v>258</v>
      </c>
      <c r="C347" s="18">
        <v>0</v>
      </c>
    </row>
    <row r="348" spans="1:3" ht="15" hidden="1" x14ac:dyDescent="0.25">
      <c r="A348" s="190"/>
      <c r="B348" s="17" t="s">
        <v>268</v>
      </c>
      <c r="C348" s="18">
        <v>0</v>
      </c>
    </row>
    <row r="349" spans="1:3" ht="15" hidden="1" x14ac:dyDescent="0.25">
      <c r="A349" s="190"/>
      <c r="B349" t="s">
        <v>72</v>
      </c>
      <c r="C349" s="18">
        <v>0</v>
      </c>
    </row>
    <row r="350" spans="1:3" ht="15" hidden="1" x14ac:dyDescent="0.25">
      <c r="A350" s="190">
        <v>5361</v>
      </c>
      <c r="B350">
        <v>0</v>
      </c>
      <c r="C350" s="18">
        <v>0</v>
      </c>
    </row>
    <row r="351" spans="1:3" ht="15" hidden="1" x14ac:dyDescent="0.25">
      <c r="A351" s="190"/>
      <c r="B351" t="s">
        <v>255</v>
      </c>
      <c r="C351" s="18">
        <v>0</v>
      </c>
    </row>
    <row r="352" spans="1:3" ht="15" hidden="1" x14ac:dyDescent="0.25">
      <c r="A352" s="190">
        <v>5370</v>
      </c>
      <c r="B352">
        <v>0</v>
      </c>
      <c r="C352" s="18">
        <v>0</v>
      </c>
    </row>
    <row r="353" spans="1:3" ht="15" hidden="1" x14ac:dyDescent="0.25">
      <c r="A353" s="190">
        <v>5390</v>
      </c>
      <c r="B353">
        <v>0</v>
      </c>
      <c r="C353" s="18">
        <v>0</v>
      </c>
    </row>
    <row r="354" spans="1:3" ht="15" hidden="1" x14ac:dyDescent="0.25">
      <c r="A354" s="190"/>
      <c r="B354" t="s">
        <v>247</v>
      </c>
      <c r="C354" s="18">
        <v>0</v>
      </c>
    </row>
    <row r="355" spans="1:3" ht="15" hidden="1" x14ac:dyDescent="0.25">
      <c r="A355" s="189"/>
      <c r="B355" t="s">
        <v>292</v>
      </c>
      <c r="C355" s="18">
        <v>0</v>
      </c>
    </row>
    <row r="356" spans="1:3" ht="15" hidden="1" x14ac:dyDescent="0.25">
      <c r="A356" s="190"/>
      <c r="B356" t="s">
        <v>318</v>
      </c>
      <c r="C356" s="18">
        <v>0</v>
      </c>
    </row>
    <row r="357" spans="1:3" ht="15" hidden="1" x14ac:dyDescent="0.25">
      <c r="A357" s="190">
        <v>5391</v>
      </c>
      <c r="B357">
        <v>0</v>
      </c>
      <c r="C357" s="18">
        <v>0</v>
      </c>
    </row>
    <row r="358" spans="1:3" ht="15" hidden="1" x14ac:dyDescent="0.25">
      <c r="A358" s="190">
        <v>5394</v>
      </c>
      <c r="B358" t="s">
        <v>246</v>
      </c>
      <c r="C358" s="18">
        <v>0</v>
      </c>
    </row>
    <row r="359" spans="1:3" ht="15" hidden="1" x14ac:dyDescent="0.25">
      <c r="A359" s="190">
        <v>5397</v>
      </c>
      <c r="B359" s="17" t="s">
        <v>274</v>
      </c>
      <c r="C359" s="18">
        <v>0</v>
      </c>
    </row>
    <row r="360" spans="1:3" ht="15" hidden="1" x14ac:dyDescent="0.25">
      <c r="A360" s="190"/>
      <c r="B360" t="s">
        <v>260</v>
      </c>
      <c r="C360" s="18">
        <v>0</v>
      </c>
    </row>
    <row r="361" spans="1:3" ht="15" hidden="1" x14ac:dyDescent="0.25">
      <c r="A361" s="190"/>
      <c r="B361" t="s">
        <v>266</v>
      </c>
      <c r="C361" s="18">
        <v>0</v>
      </c>
    </row>
    <row r="362" spans="1:3" ht="15" hidden="1" x14ac:dyDescent="0.25">
      <c r="A362" s="190">
        <v>5398</v>
      </c>
      <c r="B362">
        <v>0</v>
      </c>
      <c r="C362" s="18">
        <v>0</v>
      </c>
    </row>
    <row r="363" spans="1:3" ht="15" hidden="1" x14ac:dyDescent="0.25">
      <c r="A363" s="190"/>
      <c r="B363" t="s">
        <v>257</v>
      </c>
      <c r="C363" s="18">
        <v>0</v>
      </c>
    </row>
    <row r="364" spans="1:3" ht="15" hidden="1" x14ac:dyDescent="0.25">
      <c r="A364" s="190"/>
      <c r="B364" t="s">
        <v>278</v>
      </c>
      <c r="C364" s="18">
        <v>0</v>
      </c>
    </row>
    <row r="365" spans="1:3" ht="15" hidden="1" x14ac:dyDescent="0.25">
      <c r="A365" s="190"/>
      <c r="B365" t="s">
        <v>258</v>
      </c>
      <c r="C365" s="18">
        <v>0</v>
      </c>
    </row>
    <row r="366" spans="1:3" ht="15" hidden="1" x14ac:dyDescent="0.25">
      <c r="A366" s="190"/>
      <c r="B366" t="s">
        <v>298</v>
      </c>
      <c r="C366" s="18">
        <v>0</v>
      </c>
    </row>
    <row r="367" spans="1:3" ht="15" hidden="1" x14ac:dyDescent="0.25">
      <c r="A367" s="190"/>
      <c r="B367" t="s">
        <v>282</v>
      </c>
      <c r="C367" s="18">
        <v>0</v>
      </c>
    </row>
    <row r="368" spans="1:3" ht="15" hidden="1" x14ac:dyDescent="0.25">
      <c r="A368" s="190"/>
      <c r="B368" t="s">
        <v>255</v>
      </c>
      <c r="C368" s="18">
        <v>0</v>
      </c>
    </row>
    <row r="369" spans="1:3" ht="15" hidden="1" x14ac:dyDescent="0.25">
      <c r="A369" s="190"/>
      <c r="B369" t="s">
        <v>318</v>
      </c>
      <c r="C369" s="18">
        <v>0</v>
      </c>
    </row>
    <row r="370" spans="1:3" ht="15" hidden="1" x14ac:dyDescent="0.25">
      <c r="A370" s="190">
        <v>5405</v>
      </c>
      <c r="B370" t="s">
        <v>257</v>
      </c>
      <c r="C370" s="18">
        <v>0</v>
      </c>
    </row>
    <row r="371" spans="1:3" ht="15" hidden="1" x14ac:dyDescent="0.25">
      <c r="A371" s="190"/>
      <c r="B371" s="17" t="s">
        <v>268</v>
      </c>
      <c r="C371" s="18">
        <v>0</v>
      </c>
    </row>
    <row r="372" spans="1:3" ht="15" hidden="1" x14ac:dyDescent="0.25">
      <c r="A372" s="190"/>
      <c r="B372" s="17" t="s">
        <v>264</v>
      </c>
      <c r="C372" s="18">
        <v>0</v>
      </c>
    </row>
    <row r="373" spans="1:3" ht="15" hidden="1" x14ac:dyDescent="0.25">
      <c r="A373" s="190">
        <v>5412</v>
      </c>
      <c r="B373" s="17">
        <v>0</v>
      </c>
      <c r="C373" s="18">
        <v>0</v>
      </c>
    </row>
    <row r="374" spans="1:3" ht="15" hidden="1" x14ac:dyDescent="0.25">
      <c r="A374" s="190"/>
      <c r="B374" s="17" t="s">
        <v>278</v>
      </c>
      <c r="C374" s="18">
        <v>0</v>
      </c>
    </row>
    <row r="375" spans="1:3" ht="15" hidden="1" x14ac:dyDescent="0.25">
      <c r="A375" s="190"/>
      <c r="B375" t="s">
        <v>251</v>
      </c>
      <c r="C375" s="18">
        <v>0</v>
      </c>
    </row>
    <row r="376" spans="1:3" ht="15" hidden="1" x14ac:dyDescent="0.25">
      <c r="A376" s="190"/>
      <c r="B376" t="s">
        <v>246</v>
      </c>
      <c r="C376" s="18">
        <v>0</v>
      </c>
    </row>
    <row r="377" spans="1:3" ht="15" hidden="1" x14ac:dyDescent="0.25">
      <c r="A377" s="190"/>
      <c r="B377" t="s">
        <v>267</v>
      </c>
      <c r="C377" s="18">
        <v>0</v>
      </c>
    </row>
    <row r="378" spans="1:3" ht="15" hidden="1" x14ac:dyDescent="0.25">
      <c r="A378" s="190"/>
      <c r="B378" t="s">
        <v>250</v>
      </c>
      <c r="C378" s="18">
        <v>0</v>
      </c>
    </row>
    <row r="379" spans="1:3" ht="15" hidden="1" x14ac:dyDescent="0.25">
      <c r="A379" s="190"/>
      <c r="B379" t="s">
        <v>247</v>
      </c>
      <c r="C379" s="18">
        <v>0</v>
      </c>
    </row>
    <row r="380" spans="1:3" ht="15" hidden="1" x14ac:dyDescent="0.25">
      <c r="A380" s="190"/>
      <c r="B380" t="s">
        <v>258</v>
      </c>
      <c r="C380" s="18">
        <v>0</v>
      </c>
    </row>
    <row r="381" spans="1:3" ht="15" hidden="1" x14ac:dyDescent="0.25">
      <c r="A381" s="190"/>
      <c r="B381" t="s">
        <v>287</v>
      </c>
      <c r="C381" s="18">
        <v>0</v>
      </c>
    </row>
    <row r="382" spans="1:3" ht="15" hidden="1" x14ac:dyDescent="0.25">
      <c r="A382" s="190"/>
      <c r="B382" t="s">
        <v>311</v>
      </c>
      <c r="C382" s="18">
        <v>0</v>
      </c>
    </row>
    <row r="383" spans="1:3" ht="15" hidden="1" x14ac:dyDescent="0.25">
      <c r="A383" s="190"/>
      <c r="B383" t="s">
        <v>245</v>
      </c>
      <c r="C383" s="18">
        <v>0</v>
      </c>
    </row>
    <row r="384" spans="1:3" ht="15" hidden="1" x14ac:dyDescent="0.25">
      <c r="A384" s="190"/>
      <c r="B384" t="s">
        <v>284</v>
      </c>
      <c r="C384" s="18">
        <v>0</v>
      </c>
    </row>
    <row r="385" spans="1:3" ht="15" hidden="1" x14ac:dyDescent="0.25">
      <c r="A385" s="190"/>
      <c r="B385" t="s">
        <v>249</v>
      </c>
      <c r="C385" s="18">
        <v>0</v>
      </c>
    </row>
    <row r="386" spans="1:3" ht="15" hidden="1" x14ac:dyDescent="0.25">
      <c r="A386" s="190"/>
      <c r="B386" t="s">
        <v>273</v>
      </c>
      <c r="C386" s="18">
        <v>0</v>
      </c>
    </row>
    <row r="387" spans="1:3" ht="15" hidden="1" x14ac:dyDescent="0.25">
      <c r="A387" s="190"/>
      <c r="B387" t="s">
        <v>274</v>
      </c>
      <c r="C387" s="18">
        <v>0</v>
      </c>
    </row>
    <row r="388" spans="1:3" ht="15" hidden="1" x14ac:dyDescent="0.25">
      <c r="A388" s="190"/>
      <c r="B388" t="s">
        <v>260</v>
      </c>
      <c r="C388" s="18">
        <v>0</v>
      </c>
    </row>
    <row r="389" spans="1:3" ht="15" hidden="1" x14ac:dyDescent="0.25">
      <c r="A389" s="189"/>
      <c r="B389" t="s">
        <v>272</v>
      </c>
      <c r="C389" s="18">
        <v>0</v>
      </c>
    </row>
    <row r="390" spans="1:3" ht="15" hidden="1" x14ac:dyDescent="0.25">
      <c r="A390" s="189"/>
      <c r="B390" t="s">
        <v>255</v>
      </c>
      <c r="C390" s="18">
        <v>0</v>
      </c>
    </row>
    <row r="391" spans="1:3" ht="15" hidden="1" x14ac:dyDescent="0.25">
      <c r="A391" s="189"/>
      <c r="B391" t="s">
        <v>264</v>
      </c>
      <c r="C391" s="18">
        <v>0</v>
      </c>
    </row>
    <row r="392" spans="1:3" ht="15" hidden="1" x14ac:dyDescent="0.25">
      <c r="A392" s="189"/>
      <c r="B392" t="s">
        <v>319</v>
      </c>
      <c r="C392" s="18">
        <v>0</v>
      </c>
    </row>
    <row r="393" spans="1:3" ht="15" hidden="1" x14ac:dyDescent="0.25">
      <c r="A393" s="190"/>
      <c r="B393" t="s">
        <v>320</v>
      </c>
      <c r="C393" s="18">
        <v>0</v>
      </c>
    </row>
    <row r="394" spans="1:3" ht="15" hidden="1" x14ac:dyDescent="0.25">
      <c r="A394" s="190"/>
      <c r="B394" t="s">
        <v>318</v>
      </c>
      <c r="C394" s="18">
        <v>0</v>
      </c>
    </row>
    <row r="395" spans="1:3" ht="15" hidden="1" x14ac:dyDescent="0.25">
      <c r="A395" s="190"/>
      <c r="B395" t="s">
        <v>327</v>
      </c>
      <c r="C395" s="18">
        <v>0</v>
      </c>
    </row>
    <row r="396" spans="1:3" ht="15" hidden="1" x14ac:dyDescent="0.25">
      <c r="A396" s="189"/>
      <c r="B396" t="s">
        <v>328</v>
      </c>
      <c r="C396" s="18">
        <v>0</v>
      </c>
    </row>
    <row r="397" spans="1:3" ht="15" hidden="1" x14ac:dyDescent="0.25">
      <c r="A397" s="190"/>
      <c r="B397" t="s">
        <v>329</v>
      </c>
      <c r="C397" s="18">
        <v>0</v>
      </c>
    </row>
    <row r="398" spans="1:3" ht="15" hidden="1" x14ac:dyDescent="0.25">
      <c r="A398" s="189"/>
      <c r="B398" t="s">
        <v>78</v>
      </c>
      <c r="C398" s="18">
        <v>0</v>
      </c>
    </row>
    <row r="399" spans="1:3" ht="15" hidden="1" x14ac:dyDescent="0.25">
      <c r="A399" s="190">
        <v>5424</v>
      </c>
      <c r="B399">
        <v>0</v>
      </c>
      <c r="C399" s="18">
        <v>0</v>
      </c>
    </row>
    <row r="400" spans="1:3" ht="15" hidden="1" x14ac:dyDescent="0.25">
      <c r="A400" s="190"/>
      <c r="B400" t="s">
        <v>253</v>
      </c>
      <c r="C400" s="18">
        <v>0</v>
      </c>
    </row>
    <row r="401" spans="1:3" ht="15" hidden="1" x14ac:dyDescent="0.25">
      <c r="A401" s="190">
        <v>5427</v>
      </c>
      <c r="B401" t="s">
        <v>314</v>
      </c>
      <c r="C401" s="18">
        <v>0</v>
      </c>
    </row>
    <row r="402" spans="1:3" ht="15" hidden="1" x14ac:dyDescent="0.25">
      <c r="A402" s="190"/>
      <c r="B402" t="s">
        <v>313</v>
      </c>
      <c r="C402" s="18">
        <v>0</v>
      </c>
    </row>
    <row r="403" spans="1:3" ht="15" hidden="1" x14ac:dyDescent="0.25">
      <c r="A403" s="190"/>
      <c r="B403" s="17" t="s">
        <v>315</v>
      </c>
      <c r="C403" s="18">
        <v>0</v>
      </c>
    </row>
    <row r="404" spans="1:3" ht="15" hidden="1" x14ac:dyDescent="0.25">
      <c r="A404" s="190">
        <v>5428</v>
      </c>
      <c r="B404" s="17">
        <v>0</v>
      </c>
      <c r="C404" s="18">
        <v>0</v>
      </c>
    </row>
    <row r="405" spans="1:3" ht="15" hidden="1" x14ac:dyDescent="0.25">
      <c r="A405" s="190"/>
      <c r="B405" s="17" t="s">
        <v>251</v>
      </c>
      <c r="C405" s="18">
        <v>0</v>
      </c>
    </row>
    <row r="406" spans="1:3" ht="15" hidden="1" x14ac:dyDescent="0.25">
      <c r="A406" s="189"/>
      <c r="B406" t="s">
        <v>256</v>
      </c>
      <c r="C406" s="18">
        <v>0</v>
      </c>
    </row>
    <row r="407" spans="1:3" ht="15" hidden="1" x14ac:dyDescent="0.25">
      <c r="A407" s="189"/>
      <c r="B407" t="s">
        <v>262</v>
      </c>
      <c r="C407" s="18">
        <v>0</v>
      </c>
    </row>
    <row r="408" spans="1:3" ht="15" hidden="1" x14ac:dyDescent="0.25">
      <c r="A408" s="189"/>
      <c r="B408" t="s">
        <v>245</v>
      </c>
      <c r="C408" s="18">
        <v>0</v>
      </c>
    </row>
    <row r="409" spans="1:3" ht="15" hidden="1" x14ac:dyDescent="0.25">
      <c r="A409" s="190"/>
      <c r="B409" t="s">
        <v>249</v>
      </c>
      <c r="C409" s="18">
        <v>0</v>
      </c>
    </row>
    <row r="410" spans="1:3" ht="15" hidden="1" x14ac:dyDescent="0.25">
      <c r="A410" s="190"/>
      <c r="B410" t="s">
        <v>72</v>
      </c>
      <c r="C410" s="18">
        <v>0</v>
      </c>
    </row>
    <row r="411" spans="1:3" ht="15" hidden="1" x14ac:dyDescent="0.25">
      <c r="A411" s="190"/>
      <c r="B411" t="s">
        <v>264</v>
      </c>
      <c r="C411" s="18">
        <v>0</v>
      </c>
    </row>
    <row r="412" spans="1:3" ht="15" hidden="1" x14ac:dyDescent="0.25">
      <c r="A412" s="189"/>
      <c r="B412" t="s">
        <v>319</v>
      </c>
      <c r="C412" s="18">
        <v>0</v>
      </c>
    </row>
    <row r="413" spans="1:3" ht="15" hidden="1" x14ac:dyDescent="0.25">
      <c r="A413" s="190"/>
      <c r="B413" t="s">
        <v>318</v>
      </c>
      <c r="C413" s="18">
        <v>0</v>
      </c>
    </row>
    <row r="414" spans="1:3" ht="15" hidden="1" x14ac:dyDescent="0.25">
      <c r="A414" s="190"/>
      <c r="B414" t="s">
        <v>80</v>
      </c>
      <c r="C414" s="18">
        <v>0</v>
      </c>
    </row>
    <row r="415" spans="1:3" ht="15" hidden="1" x14ac:dyDescent="0.25">
      <c r="A415" s="190">
        <v>5430</v>
      </c>
      <c r="B415">
        <v>0</v>
      </c>
      <c r="C415" s="18">
        <v>0</v>
      </c>
    </row>
    <row r="416" spans="1:3" ht="15" hidden="1" x14ac:dyDescent="0.25">
      <c r="A416" s="190"/>
      <c r="B416" t="s">
        <v>80</v>
      </c>
      <c r="C416" s="18">
        <v>0</v>
      </c>
    </row>
    <row r="417" spans="1:3" ht="15" hidden="1" x14ac:dyDescent="0.25">
      <c r="A417" s="190">
        <v>5432</v>
      </c>
      <c r="B417">
        <v>0</v>
      </c>
      <c r="C417" s="18">
        <v>0</v>
      </c>
    </row>
    <row r="418" spans="1:3" ht="15" hidden="1" x14ac:dyDescent="0.25">
      <c r="A418" s="190"/>
      <c r="B418" t="s">
        <v>246</v>
      </c>
      <c r="C418" s="18">
        <v>0</v>
      </c>
    </row>
    <row r="419" spans="1:3" ht="15" hidden="1" x14ac:dyDescent="0.25">
      <c r="A419" s="189"/>
      <c r="B419" s="17" t="s">
        <v>247</v>
      </c>
      <c r="C419" s="18">
        <v>0</v>
      </c>
    </row>
    <row r="420" spans="1:3" ht="15" hidden="1" x14ac:dyDescent="0.25">
      <c r="A420" s="190"/>
      <c r="B420" s="17" t="s">
        <v>311</v>
      </c>
      <c r="C420" s="18">
        <v>0</v>
      </c>
    </row>
    <row r="421" spans="1:3" ht="15" hidden="1" x14ac:dyDescent="0.25">
      <c r="A421" s="190"/>
      <c r="B421" s="17" t="s">
        <v>248</v>
      </c>
      <c r="C421" s="18">
        <v>0</v>
      </c>
    </row>
    <row r="422" spans="1:3" ht="15" hidden="1" x14ac:dyDescent="0.25">
      <c r="A422" s="190"/>
      <c r="B422" s="17" t="s">
        <v>249</v>
      </c>
      <c r="C422" s="18">
        <v>0</v>
      </c>
    </row>
    <row r="423" spans="1:3" ht="15" hidden="1" x14ac:dyDescent="0.25">
      <c r="A423" s="190"/>
      <c r="B423" s="17" t="s">
        <v>263</v>
      </c>
      <c r="C423" s="18">
        <v>0</v>
      </c>
    </row>
    <row r="424" spans="1:3" ht="15" hidden="1" x14ac:dyDescent="0.25">
      <c r="A424" s="190"/>
      <c r="B424" s="17" t="s">
        <v>254</v>
      </c>
      <c r="C424" s="18">
        <v>0</v>
      </c>
    </row>
    <row r="425" spans="1:3" ht="15" hidden="1" x14ac:dyDescent="0.25">
      <c r="A425" s="189"/>
      <c r="B425" s="17" t="s">
        <v>264</v>
      </c>
      <c r="C425" s="18">
        <v>0</v>
      </c>
    </row>
    <row r="426" spans="1:3" ht="15" hidden="1" x14ac:dyDescent="0.25">
      <c r="A426" s="190">
        <v>5437</v>
      </c>
      <c r="B426" s="17">
        <v>0</v>
      </c>
      <c r="C426" s="18">
        <v>0</v>
      </c>
    </row>
    <row r="427" spans="1:3" ht="15" hidden="1" x14ac:dyDescent="0.25">
      <c r="A427" s="190"/>
      <c r="B427" s="17" t="s">
        <v>258</v>
      </c>
      <c r="C427" s="18">
        <v>0</v>
      </c>
    </row>
    <row r="428" spans="1:3" ht="15" hidden="1" x14ac:dyDescent="0.25">
      <c r="A428" s="190"/>
      <c r="B428" s="17" t="s">
        <v>269</v>
      </c>
      <c r="C428" s="18">
        <v>0</v>
      </c>
    </row>
    <row r="429" spans="1:3" ht="15" hidden="1" x14ac:dyDescent="0.25">
      <c r="A429" s="190"/>
      <c r="B429" s="17" t="s">
        <v>245</v>
      </c>
      <c r="C429" s="18">
        <v>0</v>
      </c>
    </row>
    <row r="430" spans="1:3" ht="15" hidden="1" x14ac:dyDescent="0.25">
      <c r="A430" s="190"/>
      <c r="B430" s="17" t="s">
        <v>248</v>
      </c>
      <c r="C430" s="18">
        <v>0</v>
      </c>
    </row>
    <row r="431" spans="1:3" ht="15" hidden="1" x14ac:dyDescent="0.25">
      <c r="A431" s="190"/>
      <c r="B431" t="s">
        <v>249</v>
      </c>
      <c r="C431" s="18">
        <v>0</v>
      </c>
    </row>
    <row r="432" spans="1:3" ht="15" hidden="1" x14ac:dyDescent="0.25">
      <c r="A432" s="190"/>
      <c r="B432" s="17" t="s">
        <v>273</v>
      </c>
      <c r="C432" s="18">
        <v>0</v>
      </c>
    </row>
    <row r="433" spans="1:3" ht="15" hidden="1" x14ac:dyDescent="0.25">
      <c r="A433" s="190"/>
      <c r="B433" s="17" t="s">
        <v>263</v>
      </c>
      <c r="C433" s="18">
        <v>0</v>
      </c>
    </row>
    <row r="434" spans="1:3" ht="15" hidden="1" x14ac:dyDescent="0.25">
      <c r="A434" s="190"/>
      <c r="B434" s="17" t="s">
        <v>260</v>
      </c>
      <c r="C434" s="18">
        <v>0</v>
      </c>
    </row>
    <row r="435" spans="1:3" ht="15" hidden="1" x14ac:dyDescent="0.25">
      <c r="A435" s="190"/>
      <c r="B435" s="17" t="s">
        <v>255</v>
      </c>
      <c r="C435" s="18">
        <v>0</v>
      </c>
    </row>
    <row r="436" spans="1:3" ht="15" hidden="1" x14ac:dyDescent="0.25">
      <c r="A436" s="190"/>
      <c r="B436" s="17" t="s">
        <v>264</v>
      </c>
      <c r="C436" s="18">
        <v>0</v>
      </c>
    </row>
    <row r="437" spans="1:3" ht="15" hidden="1" x14ac:dyDescent="0.25">
      <c r="A437" s="190"/>
      <c r="B437" s="17" t="s">
        <v>319</v>
      </c>
      <c r="C437" s="18">
        <v>0</v>
      </c>
    </row>
    <row r="438" spans="1:3" ht="15" hidden="1" x14ac:dyDescent="0.25">
      <c r="A438" s="190"/>
      <c r="B438" s="17" t="s">
        <v>318</v>
      </c>
      <c r="C438" s="18">
        <v>0</v>
      </c>
    </row>
    <row r="439" spans="1:3" ht="15" hidden="1" x14ac:dyDescent="0.25">
      <c r="A439" s="190"/>
      <c r="B439" s="17" t="s">
        <v>80</v>
      </c>
      <c r="C439" s="18">
        <v>0</v>
      </c>
    </row>
    <row r="440" spans="1:3" ht="15" hidden="1" x14ac:dyDescent="0.25">
      <c r="A440" s="190">
        <v>5442</v>
      </c>
      <c r="B440" s="17" t="s">
        <v>246</v>
      </c>
      <c r="C440" s="18">
        <v>0</v>
      </c>
    </row>
    <row r="441" spans="1:3" ht="15" hidden="1" x14ac:dyDescent="0.25">
      <c r="A441" s="190"/>
      <c r="B441" s="17" t="s">
        <v>247</v>
      </c>
      <c r="C441" s="18">
        <v>0</v>
      </c>
    </row>
    <row r="442" spans="1:3" ht="15" hidden="1" x14ac:dyDescent="0.25">
      <c r="A442" s="190"/>
      <c r="B442" s="17" t="s">
        <v>311</v>
      </c>
      <c r="C442" s="18">
        <v>0</v>
      </c>
    </row>
    <row r="443" spans="1:3" ht="15" hidden="1" x14ac:dyDescent="0.25">
      <c r="A443" s="190"/>
      <c r="B443" t="s">
        <v>245</v>
      </c>
      <c r="C443" s="18">
        <v>0</v>
      </c>
    </row>
    <row r="444" spans="1:3" ht="15" hidden="1" x14ac:dyDescent="0.25">
      <c r="A444" s="190"/>
      <c r="B444" s="17" t="s">
        <v>263</v>
      </c>
      <c r="C444" s="18">
        <v>0</v>
      </c>
    </row>
    <row r="445" spans="1:3" ht="15" hidden="1" x14ac:dyDescent="0.25">
      <c r="A445" s="190"/>
      <c r="B445" s="17" t="s">
        <v>319</v>
      </c>
      <c r="C445" s="18">
        <v>0</v>
      </c>
    </row>
    <row r="446" spans="1:3" ht="15" hidden="1" x14ac:dyDescent="0.25">
      <c r="A446" s="189"/>
      <c r="B446" s="17" t="s">
        <v>328</v>
      </c>
      <c r="C446" s="18">
        <v>0</v>
      </c>
    </row>
    <row r="447" spans="1:3" ht="15" hidden="1" x14ac:dyDescent="0.25">
      <c r="A447" s="189"/>
      <c r="B447" s="17" t="s">
        <v>419</v>
      </c>
      <c r="C447" s="18">
        <v>0</v>
      </c>
    </row>
    <row r="448" spans="1:3" ht="15" hidden="1" x14ac:dyDescent="0.25">
      <c r="A448" s="190">
        <v>5445</v>
      </c>
      <c r="B448" s="17" t="s">
        <v>318</v>
      </c>
      <c r="C448" s="18">
        <v>0</v>
      </c>
    </row>
    <row r="449" spans="1:3" ht="15" hidden="1" x14ac:dyDescent="0.25">
      <c r="A449" s="190">
        <v>5456</v>
      </c>
      <c r="B449" s="17">
        <v>0</v>
      </c>
      <c r="C449" s="18">
        <v>0</v>
      </c>
    </row>
    <row r="450" spans="1:3" ht="15" hidden="1" x14ac:dyDescent="0.25">
      <c r="A450" s="190"/>
      <c r="B450" s="17" t="s">
        <v>291</v>
      </c>
      <c r="C450" s="18">
        <v>0</v>
      </c>
    </row>
    <row r="451" spans="1:3" ht="15" hidden="1" x14ac:dyDescent="0.25">
      <c r="A451" s="190"/>
      <c r="B451" s="17" t="s">
        <v>258</v>
      </c>
      <c r="C451" s="18">
        <v>0</v>
      </c>
    </row>
    <row r="452" spans="1:3" ht="15" hidden="1" x14ac:dyDescent="0.25">
      <c r="A452" s="190"/>
      <c r="B452" t="s">
        <v>245</v>
      </c>
      <c r="C452" s="18">
        <v>0</v>
      </c>
    </row>
    <row r="453" spans="1:3" ht="15" hidden="1" x14ac:dyDescent="0.25">
      <c r="A453" s="190"/>
      <c r="B453" t="s">
        <v>248</v>
      </c>
      <c r="C453" s="18">
        <v>0</v>
      </c>
    </row>
    <row r="454" spans="1:3" ht="15" hidden="1" x14ac:dyDescent="0.25">
      <c r="A454" s="190"/>
      <c r="B454" t="s">
        <v>249</v>
      </c>
      <c r="C454" s="18">
        <v>0</v>
      </c>
    </row>
    <row r="455" spans="1:3" ht="15" hidden="1" x14ac:dyDescent="0.25">
      <c r="A455" s="189"/>
      <c r="B455" t="s">
        <v>266</v>
      </c>
      <c r="C455" s="18">
        <v>0</v>
      </c>
    </row>
    <row r="456" spans="1:3" ht="15" hidden="1" x14ac:dyDescent="0.25">
      <c r="A456" s="190"/>
      <c r="B456" t="s">
        <v>255</v>
      </c>
      <c r="C456" s="18">
        <v>0</v>
      </c>
    </row>
    <row r="457" spans="1:3" ht="15" hidden="1" x14ac:dyDescent="0.25">
      <c r="A457" s="190"/>
      <c r="B457" t="s">
        <v>264</v>
      </c>
      <c r="C457" s="18">
        <v>0</v>
      </c>
    </row>
    <row r="458" spans="1:3" ht="15" hidden="1" x14ac:dyDescent="0.25">
      <c r="A458" s="190"/>
      <c r="B458" t="s">
        <v>319</v>
      </c>
      <c r="C458" s="18">
        <v>0</v>
      </c>
    </row>
    <row r="459" spans="1:3" ht="15" hidden="1" x14ac:dyDescent="0.25">
      <c r="A459" s="190"/>
      <c r="B459" t="s">
        <v>318</v>
      </c>
      <c r="C459" s="18">
        <v>0</v>
      </c>
    </row>
    <row r="460" spans="1:3" ht="15" hidden="1" x14ac:dyDescent="0.25">
      <c r="A460" s="190"/>
      <c r="B460" t="s">
        <v>80</v>
      </c>
      <c r="C460" s="18">
        <v>0</v>
      </c>
    </row>
    <row r="461" spans="1:3" ht="15" hidden="1" x14ac:dyDescent="0.25">
      <c r="A461" s="190"/>
      <c r="B461" t="s">
        <v>261</v>
      </c>
      <c r="C461" s="18">
        <v>0</v>
      </c>
    </row>
    <row r="462" spans="1:3" ht="15" hidden="1" x14ac:dyDescent="0.25">
      <c r="A462" s="190">
        <v>5457</v>
      </c>
      <c r="B462">
        <v>0</v>
      </c>
      <c r="C462" s="18">
        <v>0</v>
      </c>
    </row>
    <row r="463" spans="1:3" ht="15" hidden="1" x14ac:dyDescent="0.25">
      <c r="A463" s="189"/>
      <c r="B463" t="s">
        <v>280</v>
      </c>
      <c r="C463" s="18">
        <v>0</v>
      </c>
    </row>
    <row r="464" spans="1:3" ht="15" hidden="1" x14ac:dyDescent="0.25">
      <c r="A464" s="190"/>
      <c r="B464" t="s">
        <v>260</v>
      </c>
      <c r="C464" s="18">
        <v>0</v>
      </c>
    </row>
    <row r="465" spans="1:3" ht="15" hidden="1" x14ac:dyDescent="0.25">
      <c r="A465" s="190"/>
      <c r="B465" t="s">
        <v>318</v>
      </c>
      <c r="C465" s="18">
        <v>0</v>
      </c>
    </row>
    <row r="466" spans="1:3" ht="15" hidden="1" x14ac:dyDescent="0.25">
      <c r="A466" s="190">
        <v>5458</v>
      </c>
      <c r="B466">
        <v>0</v>
      </c>
      <c r="C466" s="18">
        <v>0</v>
      </c>
    </row>
    <row r="467" spans="1:3" ht="15" hidden="1" x14ac:dyDescent="0.25">
      <c r="A467" s="190"/>
      <c r="B467" t="s">
        <v>245</v>
      </c>
      <c r="C467" s="18">
        <v>0</v>
      </c>
    </row>
    <row r="468" spans="1:3" ht="15" hidden="1" x14ac:dyDescent="0.25">
      <c r="A468" s="190"/>
      <c r="B468" t="s">
        <v>263</v>
      </c>
      <c r="C468" s="18">
        <v>0</v>
      </c>
    </row>
    <row r="469" spans="1:3" ht="15" hidden="1" x14ac:dyDescent="0.25">
      <c r="A469" s="190"/>
      <c r="B469" t="s">
        <v>318</v>
      </c>
      <c r="C469" s="18">
        <v>0</v>
      </c>
    </row>
    <row r="470" spans="1:3" ht="15" x14ac:dyDescent="0.25">
      <c r="A470" s="190">
        <v>5463</v>
      </c>
      <c r="B470">
        <v>0</v>
      </c>
      <c r="C470" s="18">
        <v>2</v>
      </c>
    </row>
    <row r="471" spans="1:3" ht="15" x14ac:dyDescent="0.25">
      <c r="A471" s="190"/>
      <c r="B471" t="s">
        <v>251</v>
      </c>
      <c r="C471" s="18">
        <v>1</v>
      </c>
    </row>
    <row r="472" spans="1:3" ht="15" x14ac:dyDescent="0.25">
      <c r="A472" s="190"/>
      <c r="B472" t="s">
        <v>246</v>
      </c>
      <c r="C472" s="18">
        <v>1</v>
      </c>
    </row>
    <row r="473" spans="1:3" ht="15" x14ac:dyDescent="0.25">
      <c r="A473" s="190"/>
      <c r="B473" t="s">
        <v>265</v>
      </c>
      <c r="C473" s="18">
        <v>1</v>
      </c>
    </row>
    <row r="474" spans="1:3" ht="15" x14ac:dyDescent="0.25">
      <c r="A474" s="190"/>
      <c r="B474" s="17" t="s">
        <v>256</v>
      </c>
      <c r="C474" s="18">
        <v>1</v>
      </c>
    </row>
    <row r="475" spans="1:3" ht="15" x14ac:dyDescent="0.25">
      <c r="A475" s="190"/>
      <c r="B475" s="17" t="s">
        <v>245</v>
      </c>
      <c r="C475" s="18">
        <v>1</v>
      </c>
    </row>
    <row r="476" spans="1:3" ht="15" x14ac:dyDescent="0.25">
      <c r="A476" s="189"/>
      <c r="B476" s="17" t="s">
        <v>249</v>
      </c>
      <c r="C476" s="18">
        <v>1</v>
      </c>
    </row>
    <row r="477" spans="1:3" ht="15" x14ac:dyDescent="0.25">
      <c r="A477" s="190"/>
      <c r="B477" s="17" t="s">
        <v>260</v>
      </c>
      <c r="C477" s="18">
        <v>1</v>
      </c>
    </row>
    <row r="478" spans="1:3" ht="15" x14ac:dyDescent="0.25">
      <c r="A478" s="189"/>
      <c r="B478" s="17" t="s">
        <v>264</v>
      </c>
      <c r="C478" s="18">
        <v>1</v>
      </c>
    </row>
    <row r="479" spans="1:3" ht="15" x14ac:dyDescent="0.25">
      <c r="A479" s="190"/>
      <c r="B479" s="17" t="s">
        <v>319</v>
      </c>
      <c r="C479" s="18">
        <v>1</v>
      </c>
    </row>
    <row r="480" spans="1:3" ht="15" x14ac:dyDescent="0.25">
      <c r="A480" s="190"/>
      <c r="B480" s="17" t="s">
        <v>318</v>
      </c>
      <c r="C480" s="18">
        <v>2</v>
      </c>
    </row>
    <row r="481" spans="1:3" ht="15" x14ac:dyDescent="0.25">
      <c r="A481" s="190"/>
      <c r="B481" s="17" t="s">
        <v>80</v>
      </c>
      <c r="C481" s="18">
        <v>1</v>
      </c>
    </row>
    <row r="482" spans="1:3" ht="15" hidden="1" x14ac:dyDescent="0.25">
      <c r="A482" s="190">
        <v>5475</v>
      </c>
      <c r="B482" s="17" t="s">
        <v>318</v>
      </c>
      <c r="C482" s="18">
        <v>0</v>
      </c>
    </row>
    <row r="483" spans="1:3" ht="15" hidden="1" x14ac:dyDescent="0.25">
      <c r="A483" s="190">
        <v>5478</v>
      </c>
      <c r="B483" s="17" t="s">
        <v>253</v>
      </c>
      <c r="C483" s="18">
        <v>0</v>
      </c>
    </row>
    <row r="484" spans="1:3" ht="15" hidden="1" x14ac:dyDescent="0.25">
      <c r="A484" s="190">
        <v>9051</v>
      </c>
      <c r="B484" s="17" t="s">
        <v>308</v>
      </c>
      <c r="C484" s="18">
        <v>0</v>
      </c>
    </row>
    <row r="485" spans="1:3" ht="15" hidden="1" x14ac:dyDescent="0.25">
      <c r="A485" s="189">
        <v>9126</v>
      </c>
      <c r="B485" s="17" t="s">
        <v>245</v>
      </c>
      <c r="C485" s="18">
        <v>0</v>
      </c>
    </row>
    <row r="486" spans="1:3" ht="15" hidden="1" x14ac:dyDescent="0.25">
      <c r="A486" s="189">
        <v>9132</v>
      </c>
      <c r="B486" t="s">
        <v>246</v>
      </c>
      <c r="C486" s="18">
        <v>0</v>
      </c>
    </row>
    <row r="487" spans="1:3" ht="15" hidden="1" x14ac:dyDescent="0.25">
      <c r="A487" s="190">
        <v>9205</v>
      </c>
      <c r="B487" t="s">
        <v>318</v>
      </c>
      <c r="C487" s="18">
        <v>0</v>
      </c>
    </row>
    <row r="488" spans="1:3" ht="15" hidden="1" x14ac:dyDescent="0.25">
      <c r="A488" s="189">
        <v>9250</v>
      </c>
      <c r="B488" s="17" t="s">
        <v>257</v>
      </c>
      <c r="C488" s="18">
        <v>0</v>
      </c>
    </row>
    <row r="489" spans="1:3" ht="15" hidden="1" x14ac:dyDescent="0.25">
      <c r="A489" s="189"/>
      <c r="B489" t="s">
        <v>245</v>
      </c>
      <c r="C489" s="18">
        <v>0</v>
      </c>
    </row>
    <row r="490" spans="1:3" ht="15" hidden="1" x14ac:dyDescent="0.25">
      <c r="A490" s="190"/>
      <c r="B490" t="s">
        <v>274</v>
      </c>
      <c r="C490" s="18">
        <v>0</v>
      </c>
    </row>
    <row r="491" spans="1:3" ht="15" hidden="1" x14ac:dyDescent="0.25">
      <c r="A491" s="190" t="s">
        <v>112</v>
      </c>
      <c r="B491" t="s">
        <v>246</v>
      </c>
      <c r="C491" s="18">
        <v>0</v>
      </c>
    </row>
    <row r="492" spans="1:3" ht="15" hidden="1" x14ac:dyDescent="0.25">
      <c r="A492" s="190"/>
      <c r="B492" t="s">
        <v>289</v>
      </c>
      <c r="C492" s="18">
        <v>0</v>
      </c>
    </row>
    <row r="493" spans="1:3" ht="15" x14ac:dyDescent="0.25">
      <c r="A493" s="190"/>
      <c r="B493" s="17" t="s">
        <v>245</v>
      </c>
      <c r="C493" s="18">
        <v>24</v>
      </c>
    </row>
    <row r="494" spans="1:3" ht="15" hidden="1" x14ac:dyDescent="0.25">
      <c r="A494" s="190" t="s">
        <v>362</v>
      </c>
      <c r="B494">
        <v>0</v>
      </c>
      <c r="C494" s="18">
        <v>0</v>
      </c>
    </row>
    <row r="495" spans="1:3" ht="15" hidden="1" x14ac:dyDescent="0.25">
      <c r="A495" s="190"/>
      <c r="B495" t="s">
        <v>257</v>
      </c>
      <c r="C495" s="18">
        <v>0</v>
      </c>
    </row>
    <row r="496" spans="1:3" ht="15" hidden="1" x14ac:dyDescent="0.25">
      <c r="A496" s="190"/>
      <c r="B496" t="s">
        <v>278</v>
      </c>
      <c r="C496" s="18">
        <v>0</v>
      </c>
    </row>
    <row r="497" spans="1:3" ht="15" hidden="1" x14ac:dyDescent="0.25">
      <c r="A497" s="190"/>
      <c r="B497" s="17" t="s">
        <v>267</v>
      </c>
      <c r="C497" s="18">
        <v>0</v>
      </c>
    </row>
    <row r="498" spans="1:3" ht="15" hidden="1" x14ac:dyDescent="0.25">
      <c r="A498" s="190"/>
      <c r="B498" s="17" t="s">
        <v>268</v>
      </c>
      <c r="C498" s="18">
        <v>0</v>
      </c>
    </row>
    <row r="499" spans="1:3" ht="15" hidden="1" x14ac:dyDescent="0.25">
      <c r="A499" s="190"/>
      <c r="B499" t="s">
        <v>283</v>
      </c>
      <c r="C499" s="18">
        <v>0</v>
      </c>
    </row>
    <row r="500" spans="1:3" ht="15" hidden="1" x14ac:dyDescent="0.25">
      <c r="A500" s="190"/>
      <c r="B500" t="s">
        <v>295</v>
      </c>
      <c r="C500" s="18">
        <v>0</v>
      </c>
    </row>
    <row r="501" spans="1:3" ht="15" hidden="1" x14ac:dyDescent="0.25">
      <c r="A501" s="190"/>
      <c r="B501" t="s">
        <v>271</v>
      </c>
      <c r="C501" s="18">
        <v>0</v>
      </c>
    </row>
    <row r="502" spans="1:3" ht="15" hidden="1" x14ac:dyDescent="0.25">
      <c r="A502" s="190"/>
      <c r="B502" t="s">
        <v>274</v>
      </c>
      <c r="C502" s="18">
        <v>0</v>
      </c>
    </row>
    <row r="503" spans="1:3" ht="15" hidden="1" x14ac:dyDescent="0.25">
      <c r="A503" s="190"/>
      <c r="B503" t="s">
        <v>308</v>
      </c>
      <c r="C503" s="18">
        <v>0</v>
      </c>
    </row>
    <row r="504" spans="1:3" ht="15" hidden="1" x14ac:dyDescent="0.25">
      <c r="A504" s="190"/>
      <c r="B504" t="s">
        <v>282</v>
      </c>
      <c r="C504" s="18">
        <v>0</v>
      </c>
    </row>
    <row r="505" spans="1:3" ht="15" hidden="1" x14ac:dyDescent="0.25">
      <c r="A505" s="190"/>
      <c r="B505" s="17" t="s">
        <v>260</v>
      </c>
      <c r="C505" s="18">
        <v>0</v>
      </c>
    </row>
    <row r="506" spans="1:3" ht="15" hidden="1" x14ac:dyDescent="0.25">
      <c r="A506" s="190"/>
      <c r="B506" s="17" t="s">
        <v>72</v>
      </c>
      <c r="C506" s="18">
        <v>0</v>
      </c>
    </row>
    <row r="507" spans="1:3" ht="15" hidden="1" x14ac:dyDescent="0.25">
      <c r="A507" s="190"/>
      <c r="B507" s="17" t="s">
        <v>272</v>
      </c>
      <c r="C507" s="18">
        <v>0</v>
      </c>
    </row>
    <row r="508" spans="1:3" ht="15" hidden="1" x14ac:dyDescent="0.25">
      <c r="A508" s="190"/>
      <c r="B508" s="17" t="s">
        <v>255</v>
      </c>
      <c r="C508" s="18">
        <v>0</v>
      </c>
    </row>
    <row r="509" spans="1:3" ht="15" hidden="1" x14ac:dyDescent="0.25">
      <c r="A509" s="190"/>
      <c r="B509" s="17" t="s">
        <v>318</v>
      </c>
      <c r="C509" s="18">
        <v>0</v>
      </c>
    </row>
    <row r="510" spans="1:3" ht="15" hidden="1" x14ac:dyDescent="0.25">
      <c r="A510" s="190"/>
      <c r="B510" s="17" t="s">
        <v>419</v>
      </c>
      <c r="C510" s="18">
        <v>0</v>
      </c>
    </row>
    <row r="511" spans="1:3" ht="15" hidden="1" x14ac:dyDescent="0.25">
      <c r="A511" s="189" t="s">
        <v>363</v>
      </c>
      <c r="B511" s="17" t="s">
        <v>257</v>
      </c>
      <c r="C511" s="18">
        <v>0</v>
      </c>
    </row>
    <row r="512" spans="1:3" ht="15" hidden="1" x14ac:dyDescent="0.25">
      <c r="A512" s="190"/>
      <c r="B512" s="17" t="s">
        <v>278</v>
      </c>
      <c r="C512" s="18">
        <v>0</v>
      </c>
    </row>
    <row r="513" spans="1:3" ht="15" hidden="1" x14ac:dyDescent="0.25">
      <c r="A513" s="190"/>
      <c r="B513" t="s">
        <v>269</v>
      </c>
      <c r="C513" s="18">
        <v>0</v>
      </c>
    </row>
    <row r="514" spans="1:3" ht="15" hidden="1" x14ac:dyDescent="0.25">
      <c r="A514" s="190"/>
      <c r="B514" t="s">
        <v>270</v>
      </c>
      <c r="C514" s="18">
        <v>0</v>
      </c>
    </row>
    <row r="515" spans="1:3" ht="15" hidden="1" x14ac:dyDescent="0.25">
      <c r="A515" s="190"/>
      <c r="B515" s="17" t="s">
        <v>271</v>
      </c>
      <c r="C515" s="18">
        <v>0</v>
      </c>
    </row>
    <row r="516" spans="1:3" ht="15" hidden="1" x14ac:dyDescent="0.25">
      <c r="A516" s="190"/>
      <c r="B516" s="17" t="s">
        <v>300</v>
      </c>
      <c r="C516" s="18">
        <v>0</v>
      </c>
    </row>
    <row r="517" spans="1:3" ht="15" hidden="1" x14ac:dyDescent="0.25">
      <c r="A517" s="190"/>
      <c r="B517" t="s">
        <v>288</v>
      </c>
      <c r="C517" s="18">
        <v>0</v>
      </c>
    </row>
    <row r="518" spans="1:3" ht="15" hidden="1" x14ac:dyDescent="0.25">
      <c r="A518" s="190"/>
      <c r="B518" t="s">
        <v>274</v>
      </c>
      <c r="C518" s="18">
        <v>0</v>
      </c>
    </row>
    <row r="519" spans="1:3" ht="15" hidden="1" x14ac:dyDescent="0.25">
      <c r="A519" s="190"/>
      <c r="B519" s="17" t="s">
        <v>281</v>
      </c>
      <c r="C519" s="18">
        <v>0</v>
      </c>
    </row>
    <row r="520" spans="1:3" ht="15" hidden="1" x14ac:dyDescent="0.25">
      <c r="A520" s="190"/>
      <c r="B520" s="17" t="s">
        <v>308</v>
      </c>
      <c r="C520" s="18">
        <v>0</v>
      </c>
    </row>
    <row r="521" spans="1:3" ht="15" hidden="1" x14ac:dyDescent="0.25">
      <c r="A521" s="189"/>
      <c r="B521" s="17" t="s">
        <v>282</v>
      </c>
      <c r="C521" s="18">
        <v>0</v>
      </c>
    </row>
    <row r="522" spans="1:3" ht="15" hidden="1" x14ac:dyDescent="0.25">
      <c r="A522" s="190"/>
      <c r="B522" s="17" t="s">
        <v>260</v>
      </c>
      <c r="C522" s="18">
        <v>0</v>
      </c>
    </row>
    <row r="523" spans="1:3" ht="15" hidden="1" x14ac:dyDescent="0.25">
      <c r="A523" s="190"/>
      <c r="B523" s="17" t="s">
        <v>293</v>
      </c>
      <c r="C523" s="18">
        <v>0</v>
      </c>
    </row>
    <row r="524" spans="1:3" ht="15" hidden="1" x14ac:dyDescent="0.25">
      <c r="A524" s="190"/>
      <c r="B524" s="17" t="s">
        <v>255</v>
      </c>
      <c r="C524" s="18">
        <v>0</v>
      </c>
    </row>
    <row r="525" spans="1:3" ht="15" hidden="1" x14ac:dyDescent="0.25">
      <c r="A525" s="190"/>
      <c r="B525" s="17" t="s">
        <v>344</v>
      </c>
      <c r="C525" s="18">
        <v>0</v>
      </c>
    </row>
    <row r="526" spans="1:3" ht="15" hidden="1" x14ac:dyDescent="0.25">
      <c r="A526" s="190"/>
      <c r="B526" s="17" t="s">
        <v>419</v>
      </c>
      <c r="C526" s="18">
        <v>0</v>
      </c>
    </row>
    <row r="527" spans="1:3" ht="15" hidden="1" x14ac:dyDescent="0.25">
      <c r="A527" s="190"/>
      <c r="B527" s="17" t="s">
        <v>79</v>
      </c>
      <c r="C527" s="18">
        <v>0</v>
      </c>
    </row>
    <row r="528" spans="1:3" ht="15" hidden="1" x14ac:dyDescent="0.25">
      <c r="A528" s="190" t="s">
        <v>364</v>
      </c>
      <c r="B528" s="17">
        <v>0</v>
      </c>
      <c r="C528" s="18">
        <v>0</v>
      </c>
    </row>
    <row r="529" spans="1:3" ht="15" hidden="1" x14ac:dyDescent="0.25">
      <c r="A529" s="190"/>
      <c r="B529" s="17" t="s">
        <v>257</v>
      </c>
      <c r="C529" s="18">
        <v>0</v>
      </c>
    </row>
    <row r="530" spans="1:3" ht="15" hidden="1" x14ac:dyDescent="0.25">
      <c r="A530" s="190"/>
      <c r="B530" s="17" t="s">
        <v>278</v>
      </c>
      <c r="C530" s="18">
        <v>0</v>
      </c>
    </row>
    <row r="531" spans="1:3" ht="15" hidden="1" x14ac:dyDescent="0.25">
      <c r="A531" s="190"/>
      <c r="B531" s="17" t="s">
        <v>267</v>
      </c>
      <c r="C531" s="18">
        <v>0</v>
      </c>
    </row>
    <row r="532" spans="1:3" ht="15" hidden="1" x14ac:dyDescent="0.25">
      <c r="A532" s="190"/>
      <c r="B532" s="17" t="s">
        <v>268</v>
      </c>
      <c r="C532" s="18">
        <v>0</v>
      </c>
    </row>
    <row r="533" spans="1:3" ht="15" hidden="1" x14ac:dyDescent="0.25">
      <c r="A533" s="190"/>
      <c r="B533" s="17" t="s">
        <v>271</v>
      </c>
      <c r="C533" s="18">
        <v>0</v>
      </c>
    </row>
    <row r="534" spans="1:3" ht="15" hidden="1" x14ac:dyDescent="0.25">
      <c r="A534" s="190"/>
      <c r="B534" s="17" t="s">
        <v>276</v>
      </c>
      <c r="C534" s="18">
        <v>0</v>
      </c>
    </row>
    <row r="535" spans="1:3" ht="15" hidden="1" x14ac:dyDescent="0.25">
      <c r="A535" s="190"/>
      <c r="B535" s="17" t="s">
        <v>260</v>
      </c>
      <c r="C535" s="18">
        <v>0</v>
      </c>
    </row>
    <row r="536" spans="1:3" ht="15" hidden="1" x14ac:dyDescent="0.25">
      <c r="A536" s="190"/>
      <c r="B536" s="17" t="s">
        <v>72</v>
      </c>
      <c r="C536" s="18">
        <v>0</v>
      </c>
    </row>
    <row r="537" spans="1:3" ht="15" hidden="1" x14ac:dyDescent="0.25">
      <c r="A537" s="190"/>
      <c r="B537" s="17" t="s">
        <v>255</v>
      </c>
      <c r="C537" s="18">
        <v>0</v>
      </c>
    </row>
    <row r="538" spans="1:3" ht="15" hidden="1" x14ac:dyDescent="0.25">
      <c r="A538" s="190"/>
      <c r="B538" s="17" t="s">
        <v>318</v>
      </c>
      <c r="C538" s="18">
        <v>0</v>
      </c>
    </row>
    <row r="539" spans="1:3" ht="15" hidden="1" x14ac:dyDescent="0.25">
      <c r="A539" s="190"/>
      <c r="B539" s="17" t="s">
        <v>79</v>
      </c>
      <c r="C539" s="18">
        <v>0</v>
      </c>
    </row>
    <row r="540" spans="1:3" ht="15" hidden="1" x14ac:dyDescent="0.25">
      <c r="A540" s="190" t="s">
        <v>365</v>
      </c>
      <c r="B540" s="17" t="s">
        <v>258</v>
      </c>
      <c r="C540" s="18">
        <v>0</v>
      </c>
    </row>
    <row r="541" spans="1:3" ht="15" hidden="1" x14ac:dyDescent="0.25">
      <c r="A541" s="190"/>
      <c r="B541" s="17" t="s">
        <v>292</v>
      </c>
      <c r="C541" s="18">
        <v>0</v>
      </c>
    </row>
    <row r="542" spans="1:3" ht="15" hidden="1" x14ac:dyDescent="0.25">
      <c r="A542" s="190"/>
      <c r="B542" t="s">
        <v>72</v>
      </c>
      <c r="C542" s="18">
        <v>0</v>
      </c>
    </row>
    <row r="543" spans="1:3" ht="15" hidden="1" x14ac:dyDescent="0.25">
      <c r="A543" s="189"/>
      <c r="B543" t="s">
        <v>430</v>
      </c>
      <c r="C543" s="18">
        <v>0</v>
      </c>
    </row>
    <row r="544" spans="1:3" ht="15" hidden="1" x14ac:dyDescent="0.25">
      <c r="A544" s="189" t="s">
        <v>382</v>
      </c>
      <c r="B544" s="17">
        <v>0</v>
      </c>
      <c r="C544" s="18">
        <v>0</v>
      </c>
    </row>
    <row r="545" spans="1:3" ht="15" hidden="1" x14ac:dyDescent="0.25">
      <c r="A545" s="190"/>
      <c r="B545" s="17" t="s">
        <v>257</v>
      </c>
      <c r="C545" s="18">
        <v>0</v>
      </c>
    </row>
    <row r="546" spans="1:3" ht="15" hidden="1" x14ac:dyDescent="0.25">
      <c r="A546" s="190"/>
      <c r="B546" s="17" t="s">
        <v>258</v>
      </c>
      <c r="C546" s="18">
        <v>0</v>
      </c>
    </row>
    <row r="547" spans="1:3" ht="15" hidden="1" x14ac:dyDescent="0.25">
      <c r="A547" s="190"/>
      <c r="B547" s="17" t="s">
        <v>260</v>
      </c>
      <c r="C547" s="18">
        <v>0</v>
      </c>
    </row>
    <row r="548" spans="1:3" ht="15" hidden="1" x14ac:dyDescent="0.25">
      <c r="A548" s="190"/>
      <c r="B548" s="17" t="s">
        <v>72</v>
      </c>
      <c r="C548" s="18">
        <v>0</v>
      </c>
    </row>
    <row r="549" spans="1:3" ht="15" hidden="1" x14ac:dyDescent="0.25">
      <c r="A549" s="190"/>
      <c r="B549" s="17" t="s">
        <v>430</v>
      </c>
      <c r="C549" s="18">
        <v>0</v>
      </c>
    </row>
    <row r="550" spans="1:3" ht="15" hidden="1" x14ac:dyDescent="0.25">
      <c r="A550" s="190"/>
      <c r="B550" s="17" t="s">
        <v>79</v>
      </c>
      <c r="C550" s="18">
        <v>0</v>
      </c>
    </row>
    <row r="551" spans="1:3" ht="15" hidden="1" x14ac:dyDescent="0.25">
      <c r="A551" s="190"/>
      <c r="B551" s="17" t="s">
        <v>457</v>
      </c>
      <c r="C551" s="18">
        <v>0</v>
      </c>
    </row>
    <row r="552" spans="1:3" ht="15" hidden="1" x14ac:dyDescent="0.25">
      <c r="A552" s="190" t="s">
        <v>43</v>
      </c>
      <c r="B552" s="17" t="s">
        <v>43</v>
      </c>
    </row>
    <row r="553" spans="1:3" ht="15" hidden="1" x14ac:dyDescent="0.25">
      <c r="A553" s="190"/>
      <c r="B553" s="17" t="s">
        <v>515</v>
      </c>
      <c r="C553" s="18">
        <v>0</v>
      </c>
    </row>
    <row r="554" spans="1:3" ht="15" hidden="1" x14ac:dyDescent="0.25">
      <c r="A554" s="190">
        <v>5114</v>
      </c>
      <c r="B554" s="17">
        <v>0</v>
      </c>
      <c r="C554" s="18">
        <v>0</v>
      </c>
    </row>
    <row r="555" spans="1:3" ht="15" hidden="1" x14ac:dyDescent="0.25">
      <c r="A555" s="189"/>
      <c r="B555" s="17" t="s">
        <v>80</v>
      </c>
      <c r="C555" s="18">
        <v>0</v>
      </c>
    </row>
    <row r="556" spans="1:3" ht="15" hidden="1" x14ac:dyDescent="0.25">
      <c r="A556" s="190">
        <v>5489</v>
      </c>
      <c r="B556" s="17">
        <v>0</v>
      </c>
      <c r="C556" s="18">
        <v>0</v>
      </c>
    </row>
    <row r="557" spans="1:3" ht="15" hidden="1" x14ac:dyDescent="0.25">
      <c r="A557" s="190"/>
      <c r="B557" s="17" t="s">
        <v>251</v>
      </c>
      <c r="C557" s="18">
        <v>0</v>
      </c>
    </row>
    <row r="558" spans="1:3" ht="15" hidden="1" x14ac:dyDescent="0.25">
      <c r="A558" s="189"/>
      <c r="B558" s="17" t="s">
        <v>246</v>
      </c>
      <c r="C558" s="18">
        <v>0</v>
      </c>
    </row>
    <row r="559" spans="1:3" ht="15" hidden="1" x14ac:dyDescent="0.25">
      <c r="A559" s="190"/>
      <c r="B559" s="17" t="s">
        <v>256</v>
      </c>
      <c r="C559" s="18">
        <v>0</v>
      </c>
    </row>
    <row r="560" spans="1:3" ht="15" hidden="1" x14ac:dyDescent="0.25">
      <c r="A560" s="189"/>
      <c r="B560" s="17" t="s">
        <v>270</v>
      </c>
      <c r="C560" s="18">
        <v>0</v>
      </c>
    </row>
    <row r="561" spans="1:3" ht="15" hidden="1" x14ac:dyDescent="0.25">
      <c r="A561" s="190"/>
      <c r="B561" s="17" t="s">
        <v>245</v>
      </c>
      <c r="C561" s="18">
        <v>0</v>
      </c>
    </row>
    <row r="562" spans="1:3" ht="15" hidden="1" x14ac:dyDescent="0.25">
      <c r="A562" s="190"/>
      <c r="B562" s="17" t="s">
        <v>249</v>
      </c>
      <c r="C562" s="18">
        <v>0</v>
      </c>
    </row>
    <row r="563" spans="1:3" ht="15" hidden="1" x14ac:dyDescent="0.25">
      <c r="A563" s="190"/>
      <c r="B563" s="17" t="s">
        <v>264</v>
      </c>
      <c r="C563" s="18">
        <v>0</v>
      </c>
    </row>
    <row r="564" spans="1:3" ht="15" hidden="1" x14ac:dyDescent="0.25">
      <c r="A564" s="190"/>
      <c r="B564" t="s">
        <v>319</v>
      </c>
      <c r="C564" s="18">
        <v>0</v>
      </c>
    </row>
    <row r="565" spans="1:3" ht="15" hidden="1" x14ac:dyDescent="0.25">
      <c r="A565" s="190"/>
      <c r="B565" t="s">
        <v>318</v>
      </c>
      <c r="C565" s="18">
        <v>0</v>
      </c>
    </row>
    <row r="566" spans="1:3" ht="15" hidden="1" x14ac:dyDescent="0.25">
      <c r="A566" s="190"/>
      <c r="B566" t="s">
        <v>80</v>
      </c>
      <c r="C566" s="18">
        <v>0</v>
      </c>
    </row>
    <row r="567" spans="1:3" ht="15" hidden="1" x14ac:dyDescent="0.25">
      <c r="A567" s="189">
        <v>5488</v>
      </c>
      <c r="B567" s="17">
        <v>0</v>
      </c>
      <c r="C567" s="18">
        <v>0</v>
      </c>
    </row>
    <row r="568" spans="1:3" ht="15" hidden="1" x14ac:dyDescent="0.25">
      <c r="A568" s="190"/>
      <c r="B568" t="s">
        <v>251</v>
      </c>
      <c r="C568" s="18">
        <v>0</v>
      </c>
    </row>
    <row r="569" spans="1:3" ht="15" hidden="1" x14ac:dyDescent="0.25">
      <c r="A569" s="190"/>
      <c r="B569" t="s">
        <v>246</v>
      </c>
      <c r="C569" s="18">
        <v>0</v>
      </c>
    </row>
    <row r="570" spans="1:3" ht="15" hidden="1" x14ac:dyDescent="0.25">
      <c r="A570" s="190"/>
      <c r="B570" t="s">
        <v>256</v>
      </c>
      <c r="C570" s="18">
        <v>0</v>
      </c>
    </row>
    <row r="571" spans="1:3" ht="15" hidden="1" x14ac:dyDescent="0.25">
      <c r="A571" s="190"/>
      <c r="B571" t="s">
        <v>270</v>
      </c>
      <c r="C571" s="18">
        <v>0</v>
      </c>
    </row>
    <row r="572" spans="1:3" ht="15" hidden="1" x14ac:dyDescent="0.25">
      <c r="A572" s="190"/>
      <c r="B572" t="s">
        <v>245</v>
      </c>
      <c r="C572" s="18">
        <v>0</v>
      </c>
    </row>
    <row r="573" spans="1:3" ht="15" hidden="1" x14ac:dyDescent="0.25">
      <c r="A573" s="190"/>
      <c r="B573" t="s">
        <v>249</v>
      </c>
      <c r="C573" s="18">
        <v>0</v>
      </c>
    </row>
    <row r="574" spans="1:3" ht="15" hidden="1" x14ac:dyDescent="0.25">
      <c r="A574" s="190"/>
      <c r="B574" t="s">
        <v>264</v>
      </c>
      <c r="C574" s="18">
        <v>0</v>
      </c>
    </row>
    <row r="575" spans="1:3" ht="15" hidden="1" x14ac:dyDescent="0.25">
      <c r="A575" s="190"/>
      <c r="B575" t="s">
        <v>319</v>
      </c>
      <c r="C575" s="18">
        <v>0</v>
      </c>
    </row>
    <row r="576" spans="1:3" ht="15" hidden="1" x14ac:dyDescent="0.25">
      <c r="A576" s="190"/>
      <c r="B576" t="s">
        <v>318</v>
      </c>
      <c r="C576" s="18">
        <v>0</v>
      </c>
    </row>
    <row r="577" spans="1:3" ht="15" hidden="1" x14ac:dyDescent="0.25">
      <c r="A577" s="190"/>
      <c r="B577" t="s">
        <v>80</v>
      </c>
      <c r="C577" s="18">
        <v>0</v>
      </c>
    </row>
    <row r="578" spans="1:3" ht="15" hidden="1" x14ac:dyDescent="0.25">
      <c r="A578" s="190"/>
      <c r="B578" t="s">
        <v>387</v>
      </c>
      <c r="C578" s="18">
        <v>0</v>
      </c>
    </row>
    <row r="579" spans="1:3" ht="15" hidden="1" x14ac:dyDescent="0.25">
      <c r="A579" s="190">
        <v>5491</v>
      </c>
      <c r="B579">
        <v>0</v>
      </c>
      <c r="C579" s="18">
        <v>0</v>
      </c>
    </row>
    <row r="580" spans="1:3" ht="15" hidden="1" x14ac:dyDescent="0.25">
      <c r="A580" s="190">
        <v>5495</v>
      </c>
      <c r="B580" t="s">
        <v>78</v>
      </c>
      <c r="C580" s="18">
        <v>0</v>
      </c>
    </row>
    <row r="581" spans="1:3" ht="15" hidden="1" x14ac:dyDescent="0.25">
      <c r="A581" s="190">
        <v>5449</v>
      </c>
      <c r="B581" t="s">
        <v>262</v>
      </c>
      <c r="C581" s="18">
        <v>0</v>
      </c>
    </row>
    <row r="582" spans="1:3" ht="15" hidden="1" x14ac:dyDescent="0.25">
      <c r="A582" s="190">
        <v>5507</v>
      </c>
      <c r="B582">
        <v>0</v>
      </c>
      <c r="C582" s="18">
        <v>0</v>
      </c>
    </row>
    <row r="583" spans="1:3" ht="15" hidden="1" x14ac:dyDescent="0.25">
      <c r="A583" s="190">
        <v>5524</v>
      </c>
      <c r="B583">
        <v>0</v>
      </c>
      <c r="C583" s="18">
        <v>0</v>
      </c>
    </row>
    <row r="584" spans="1:3" ht="15" hidden="1" x14ac:dyDescent="0.25">
      <c r="A584" s="190"/>
      <c r="B584" t="s">
        <v>245</v>
      </c>
      <c r="C584" s="18">
        <v>0</v>
      </c>
    </row>
    <row r="585" spans="1:3" ht="15" hidden="1" x14ac:dyDescent="0.25">
      <c r="A585" s="190"/>
      <c r="B585" t="s">
        <v>248</v>
      </c>
      <c r="C585" s="18">
        <v>0</v>
      </c>
    </row>
    <row r="586" spans="1:3" ht="15" hidden="1" x14ac:dyDescent="0.25">
      <c r="A586" s="190"/>
      <c r="B586" t="s">
        <v>249</v>
      </c>
      <c r="C586" s="18">
        <v>0</v>
      </c>
    </row>
    <row r="587" spans="1:3" ht="15" hidden="1" x14ac:dyDescent="0.25">
      <c r="A587" s="190"/>
      <c r="B587" t="s">
        <v>273</v>
      </c>
      <c r="C587" s="18">
        <v>0</v>
      </c>
    </row>
    <row r="588" spans="1:3" ht="15" hidden="1" x14ac:dyDescent="0.25">
      <c r="A588" s="190"/>
      <c r="B588" t="s">
        <v>263</v>
      </c>
      <c r="C588" s="18">
        <v>0</v>
      </c>
    </row>
    <row r="589" spans="1:3" ht="15" hidden="1" x14ac:dyDescent="0.25">
      <c r="A589" s="190"/>
      <c r="B589" t="s">
        <v>260</v>
      </c>
      <c r="C589" s="18">
        <v>0</v>
      </c>
    </row>
    <row r="590" spans="1:3" ht="15" hidden="1" x14ac:dyDescent="0.25">
      <c r="A590" s="190"/>
      <c r="B590" t="s">
        <v>264</v>
      </c>
      <c r="C590" s="18">
        <v>0</v>
      </c>
    </row>
    <row r="591" spans="1:3" ht="15" hidden="1" x14ac:dyDescent="0.25">
      <c r="A591" s="190"/>
      <c r="B591" t="s">
        <v>319</v>
      </c>
      <c r="C591" s="18">
        <v>0</v>
      </c>
    </row>
    <row r="592" spans="1:3" ht="15" hidden="1" x14ac:dyDescent="0.25">
      <c r="A592" s="190"/>
      <c r="B592" t="s">
        <v>80</v>
      </c>
      <c r="C592" s="18">
        <v>0</v>
      </c>
    </row>
    <row r="593" spans="1:3" ht="15" hidden="1" x14ac:dyDescent="0.25">
      <c r="A593" s="190">
        <v>5534</v>
      </c>
      <c r="B593">
        <v>0</v>
      </c>
      <c r="C593" s="18">
        <v>0</v>
      </c>
    </row>
    <row r="594" spans="1:3" ht="15" hidden="1" x14ac:dyDescent="0.25">
      <c r="A594" s="190"/>
      <c r="B594" t="s">
        <v>245</v>
      </c>
      <c r="C594" s="18">
        <v>0</v>
      </c>
    </row>
    <row r="595" spans="1:3" ht="15" hidden="1" x14ac:dyDescent="0.25">
      <c r="A595" s="190"/>
      <c r="B595" t="s">
        <v>296</v>
      </c>
      <c r="C595" s="18">
        <v>0</v>
      </c>
    </row>
    <row r="596" spans="1:3" ht="15" hidden="1" x14ac:dyDescent="0.25">
      <c r="A596" s="190"/>
      <c r="B596" t="s">
        <v>249</v>
      </c>
      <c r="C596" s="18">
        <v>0</v>
      </c>
    </row>
    <row r="597" spans="1:3" ht="15" hidden="1" x14ac:dyDescent="0.25">
      <c r="A597" s="189"/>
      <c r="B597" t="s">
        <v>72</v>
      </c>
      <c r="C597" s="18">
        <v>0</v>
      </c>
    </row>
    <row r="598" spans="1:3" ht="15" hidden="1" x14ac:dyDescent="0.25">
      <c r="A598" s="190"/>
      <c r="B598" s="17" t="s">
        <v>264</v>
      </c>
      <c r="C598" s="18">
        <v>0</v>
      </c>
    </row>
    <row r="599" spans="1:3" ht="15" hidden="1" x14ac:dyDescent="0.25">
      <c r="A599" s="190"/>
      <c r="B599" s="17" t="s">
        <v>319</v>
      </c>
      <c r="C599" s="18">
        <v>0</v>
      </c>
    </row>
    <row r="600" spans="1:3" ht="15" hidden="1" x14ac:dyDescent="0.25">
      <c r="A600" s="190"/>
      <c r="B600" s="17" t="s">
        <v>320</v>
      </c>
      <c r="C600" s="18">
        <v>0</v>
      </c>
    </row>
    <row r="601" spans="1:3" ht="15" hidden="1" x14ac:dyDescent="0.25">
      <c r="A601" s="190"/>
      <c r="B601" s="17" t="s">
        <v>328</v>
      </c>
      <c r="C601" s="18">
        <v>0</v>
      </c>
    </row>
    <row r="602" spans="1:3" ht="15" hidden="1" x14ac:dyDescent="0.25">
      <c r="A602" s="190"/>
      <c r="B602" s="17" t="s">
        <v>329</v>
      </c>
      <c r="C602" s="18">
        <v>0</v>
      </c>
    </row>
    <row r="603" spans="1:3" ht="15" hidden="1" x14ac:dyDescent="0.25">
      <c r="A603" s="189"/>
      <c r="B603" s="17" t="s">
        <v>387</v>
      </c>
      <c r="C603" s="18">
        <v>0</v>
      </c>
    </row>
    <row r="604" spans="1:3" ht="15" hidden="1" x14ac:dyDescent="0.25">
      <c r="A604" s="190">
        <v>5539</v>
      </c>
      <c r="B604" s="17">
        <v>0</v>
      </c>
      <c r="C604" s="18">
        <v>0</v>
      </c>
    </row>
    <row r="605" spans="1:3" ht="15" hidden="1" x14ac:dyDescent="0.25">
      <c r="A605" s="190"/>
      <c r="B605" s="17" t="s">
        <v>251</v>
      </c>
      <c r="C605" s="18">
        <v>0</v>
      </c>
    </row>
    <row r="606" spans="1:3" ht="15" hidden="1" x14ac:dyDescent="0.25">
      <c r="A606" s="190"/>
      <c r="B606" s="17" t="s">
        <v>256</v>
      </c>
      <c r="C606" s="18">
        <v>0</v>
      </c>
    </row>
    <row r="607" spans="1:3" ht="15" hidden="1" x14ac:dyDescent="0.25">
      <c r="A607" s="190"/>
      <c r="B607" s="17" t="s">
        <v>270</v>
      </c>
      <c r="C607" s="18">
        <v>0</v>
      </c>
    </row>
    <row r="608" spans="1:3" ht="15" hidden="1" x14ac:dyDescent="0.25">
      <c r="A608" s="190"/>
      <c r="B608" s="17" t="s">
        <v>245</v>
      </c>
      <c r="C608" s="18">
        <v>0</v>
      </c>
    </row>
    <row r="609" spans="1:3" ht="15" hidden="1" x14ac:dyDescent="0.25">
      <c r="A609" s="190"/>
      <c r="B609" s="17" t="s">
        <v>249</v>
      </c>
      <c r="C609" s="18">
        <v>0</v>
      </c>
    </row>
    <row r="610" spans="1:3" ht="15" hidden="1" x14ac:dyDescent="0.25">
      <c r="A610" s="190"/>
      <c r="B610" s="17" t="s">
        <v>264</v>
      </c>
      <c r="C610" s="18">
        <v>0</v>
      </c>
    </row>
    <row r="611" spans="1:3" ht="15" hidden="1" x14ac:dyDescent="0.25">
      <c r="A611" s="190"/>
      <c r="B611" s="17" t="s">
        <v>319</v>
      </c>
      <c r="C611" s="18">
        <v>0</v>
      </c>
    </row>
    <row r="612" spans="1:3" ht="15" hidden="1" x14ac:dyDescent="0.25">
      <c r="A612" s="190"/>
      <c r="B612" s="17" t="s">
        <v>318</v>
      </c>
      <c r="C612" s="18">
        <v>0</v>
      </c>
    </row>
    <row r="613" spans="1:3" ht="15" hidden="1" x14ac:dyDescent="0.25">
      <c r="A613" s="190"/>
      <c r="B613" s="17" t="s">
        <v>80</v>
      </c>
      <c r="C613" s="18">
        <v>0</v>
      </c>
    </row>
    <row r="614" spans="1:3" ht="15" hidden="1" x14ac:dyDescent="0.25">
      <c r="A614" s="190">
        <v>5543</v>
      </c>
      <c r="B614" s="17">
        <v>0</v>
      </c>
      <c r="C614" s="18">
        <v>0</v>
      </c>
    </row>
    <row r="615" spans="1:3" ht="15" hidden="1" x14ac:dyDescent="0.25">
      <c r="A615" s="190"/>
      <c r="B615" s="17" t="s">
        <v>260</v>
      </c>
      <c r="C615" s="18">
        <v>0</v>
      </c>
    </row>
    <row r="616" spans="1:3" ht="15" hidden="1" x14ac:dyDescent="0.25">
      <c r="A616" s="189"/>
      <c r="B616" s="17" t="s">
        <v>318</v>
      </c>
      <c r="C616" s="18">
        <v>0</v>
      </c>
    </row>
    <row r="617" spans="1:3" ht="15" hidden="1" x14ac:dyDescent="0.25">
      <c r="A617" s="190">
        <v>5547</v>
      </c>
      <c r="B617" s="17">
        <v>0</v>
      </c>
      <c r="C617" s="18">
        <v>0</v>
      </c>
    </row>
    <row r="618" spans="1:3" ht="15" hidden="1" x14ac:dyDescent="0.25">
      <c r="A618" s="190"/>
      <c r="B618" t="s">
        <v>251</v>
      </c>
      <c r="C618" s="18">
        <v>0</v>
      </c>
    </row>
    <row r="619" spans="1:3" ht="15" hidden="1" x14ac:dyDescent="0.25">
      <c r="A619" s="190"/>
      <c r="B619" t="s">
        <v>256</v>
      </c>
      <c r="C619" s="18">
        <v>0</v>
      </c>
    </row>
    <row r="620" spans="1:3" ht="15" hidden="1" x14ac:dyDescent="0.25">
      <c r="A620" s="190"/>
      <c r="B620" t="s">
        <v>270</v>
      </c>
      <c r="C620" s="18">
        <v>0</v>
      </c>
    </row>
    <row r="621" spans="1:3" ht="15" hidden="1" x14ac:dyDescent="0.25">
      <c r="A621" s="190"/>
      <c r="B621" t="s">
        <v>245</v>
      </c>
      <c r="C621" s="18">
        <v>0</v>
      </c>
    </row>
    <row r="622" spans="1:3" ht="15" hidden="1" x14ac:dyDescent="0.25">
      <c r="A622" s="190"/>
      <c r="B622" t="s">
        <v>249</v>
      </c>
      <c r="C622" s="18">
        <v>0</v>
      </c>
    </row>
    <row r="623" spans="1:3" ht="15" hidden="1" x14ac:dyDescent="0.25">
      <c r="A623" s="189"/>
      <c r="B623" t="s">
        <v>264</v>
      </c>
      <c r="C623" s="18">
        <v>0</v>
      </c>
    </row>
    <row r="624" spans="1:3" ht="15" hidden="1" x14ac:dyDescent="0.25">
      <c r="A624" s="190"/>
      <c r="B624" t="s">
        <v>319</v>
      </c>
      <c r="C624" s="18">
        <v>0</v>
      </c>
    </row>
    <row r="625" spans="1:3" ht="15" hidden="1" x14ac:dyDescent="0.25">
      <c r="A625" s="190"/>
      <c r="B625" t="s">
        <v>318</v>
      </c>
      <c r="C625" s="18">
        <v>0</v>
      </c>
    </row>
    <row r="626" spans="1:3" ht="15" hidden="1" x14ac:dyDescent="0.25">
      <c r="A626" s="190">
        <v>5546</v>
      </c>
      <c r="B626">
        <v>0</v>
      </c>
      <c r="C626" s="18">
        <v>0</v>
      </c>
    </row>
    <row r="627" spans="1:3" ht="15" hidden="1" x14ac:dyDescent="0.25">
      <c r="A627" s="189">
        <v>5509</v>
      </c>
      <c r="B627">
        <v>0</v>
      </c>
      <c r="C627" s="18">
        <v>0</v>
      </c>
    </row>
    <row r="628" spans="1:3" ht="15" hidden="1" x14ac:dyDescent="0.25">
      <c r="A628" s="189"/>
      <c r="B628" t="s">
        <v>251</v>
      </c>
      <c r="C628" s="18">
        <v>0</v>
      </c>
    </row>
    <row r="629" spans="1:3" ht="15" hidden="1" x14ac:dyDescent="0.25">
      <c r="A629" s="190"/>
      <c r="B629" t="s">
        <v>246</v>
      </c>
      <c r="C629" s="18">
        <v>0</v>
      </c>
    </row>
    <row r="630" spans="1:3" ht="15" hidden="1" x14ac:dyDescent="0.25">
      <c r="A630" s="189"/>
      <c r="B630" t="s">
        <v>256</v>
      </c>
      <c r="C630" s="18">
        <v>0</v>
      </c>
    </row>
    <row r="631" spans="1:3" ht="15" hidden="1" x14ac:dyDescent="0.25">
      <c r="A631" s="190"/>
      <c r="B631" t="s">
        <v>270</v>
      </c>
      <c r="C631" s="18">
        <v>0</v>
      </c>
    </row>
    <row r="632" spans="1:3" ht="15" hidden="1" x14ac:dyDescent="0.25">
      <c r="A632" s="189"/>
      <c r="B632" t="s">
        <v>245</v>
      </c>
      <c r="C632" s="18">
        <v>0</v>
      </c>
    </row>
    <row r="633" spans="1:3" ht="15" hidden="1" x14ac:dyDescent="0.25">
      <c r="A633" s="189"/>
      <c r="B633" t="s">
        <v>249</v>
      </c>
      <c r="C633" s="18">
        <v>0</v>
      </c>
    </row>
    <row r="634" spans="1:3" ht="15" hidden="1" x14ac:dyDescent="0.25">
      <c r="A634" s="189"/>
      <c r="B634" t="s">
        <v>264</v>
      </c>
      <c r="C634" s="18">
        <v>0</v>
      </c>
    </row>
    <row r="635" spans="1:3" ht="15" hidden="1" x14ac:dyDescent="0.25">
      <c r="A635" s="190"/>
      <c r="B635" t="s">
        <v>319</v>
      </c>
      <c r="C635" s="18">
        <v>0</v>
      </c>
    </row>
    <row r="636" spans="1:3" ht="15" hidden="1" x14ac:dyDescent="0.25">
      <c r="A636" s="189"/>
      <c r="B636" t="s">
        <v>318</v>
      </c>
      <c r="C636" s="18">
        <v>0</v>
      </c>
    </row>
    <row r="637" spans="1:3" ht="15" hidden="1" x14ac:dyDescent="0.25">
      <c r="A637" s="190"/>
      <c r="B637" t="s">
        <v>80</v>
      </c>
      <c r="C637" s="18">
        <v>0</v>
      </c>
    </row>
    <row r="638" spans="1:3" ht="15" hidden="1" x14ac:dyDescent="0.25">
      <c r="A638" s="190">
        <v>5565</v>
      </c>
      <c r="B638" t="s">
        <v>311</v>
      </c>
      <c r="C638" s="18">
        <v>0</v>
      </c>
    </row>
    <row r="639" spans="1:3" ht="15" hidden="1" x14ac:dyDescent="0.25">
      <c r="A639" s="190"/>
      <c r="B639" t="s">
        <v>249</v>
      </c>
      <c r="C639" s="18">
        <v>0</v>
      </c>
    </row>
    <row r="640" spans="1:3" ht="15" hidden="1" x14ac:dyDescent="0.25">
      <c r="A640" s="190">
        <v>5570</v>
      </c>
      <c r="B640" s="17">
        <v>0</v>
      </c>
      <c r="C640" s="18">
        <v>0</v>
      </c>
    </row>
    <row r="641" spans="1:3" ht="15" hidden="1" x14ac:dyDescent="0.25">
      <c r="A641" s="190"/>
      <c r="B641" s="17" t="s">
        <v>274</v>
      </c>
      <c r="C641" s="18">
        <v>0</v>
      </c>
    </row>
    <row r="642" spans="1:3" ht="15" hidden="1" x14ac:dyDescent="0.25">
      <c r="A642" s="190">
        <v>5355</v>
      </c>
      <c r="B642" s="17" t="s">
        <v>318</v>
      </c>
      <c r="C642" s="18">
        <v>0</v>
      </c>
    </row>
    <row r="643" spans="1:3" ht="15" hidden="1" x14ac:dyDescent="0.25">
      <c r="A643" s="189">
        <v>5578</v>
      </c>
      <c r="B643" s="17">
        <v>0</v>
      </c>
      <c r="C643" s="18">
        <v>0</v>
      </c>
    </row>
    <row r="644" spans="1:3" ht="15" hidden="1" x14ac:dyDescent="0.25">
      <c r="A644" s="189"/>
      <c r="B644" s="17" t="s">
        <v>265</v>
      </c>
      <c r="C644" s="18">
        <v>0</v>
      </c>
    </row>
    <row r="645" spans="1:3" ht="15" hidden="1" x14ac:dyDescent="0.25">
      <c r="A645" s="190"/>
      <c r="B645" s="17" t="s">
        <v>291</v>
      </c>
      <c r="C645" s="18">
        <v>0</v>
      </c>
    </row>
    <row r="646" spans="1:3" ht="15" hidden="1" x14ac:dyDescent="0.25">
      <c r="A646" s="190"/>
      <c r="B646" s="17" t="s">
        <v>258</v>
      </c>
      <c r="C646" s="18">
        <v>0</v>
      </c>
    </row>
    <row r="647" spans="1:3" ht="15" hidden="1" x14ac:dyDescent="0.25">
      <c r="A647" s="190"/>
      <c r="B647" s="17" t="s">
        <v>256</v>
      </c>
      <c r="C647" s="18">
        <v>0</v>
      </c>
    </row>
    <row r="648" spans="1:3" ht="15" hidden="1" x14ac:dyDescent="0.25">
      <c r="A648" s="190"/>
      <c r="B648" s="17" t="s">
        <v>270</v>
      </c>
      <c r="C648" s="18">
        <v>0</v>
      </c>
    </row>
    <row r="649" spans="1:3" ht="15" hidden="1" x14ac:dyDescent="0.25">
      <c r="A649" s="190"/>
      <c r="B649" s="17" t="s">
        <v>245</v>
      </c>
      <c r="C649" s="18">
        <v>0</v>
      </c>
    </row>
    <row r="650" spans="1:3" ht="15" hidden="1" x14ac:dyDescent="0.25">
      <c r="A650" s="190"/>
      <c r="B650" s="17" t="s">
        <v>249</v>
      </c>
      <c r="C650" s="18">
        <v>0</v>
      </c>
    </row>
    <row r="651" spans="1:3" ht="15" hidden="1" x14ac:dyDescent="0.25">
      <c r="A651" s="190"/>
      <c r="B651" s="17" t="s">
        <v>274</v>
      </c>
      <c r="C651" s="18">
        <v>0</v>
      </c>
    </row>
    <row r="652" spans="1:3" ht="15" hidden="1" x14ac:dyDescent="0.25">
      <c r="A652" s="190"/>
      <c r="B652" t="s">
        <v>260</v>
      </c>
      <c r="C652" s="18">
        <v>0</v>
      </c>
    </row>
    <row r="653" spans="1:3" ht="15" hidden="1" x14ac:dyDescent="0.25">
      <c r="A653" s="190"/>
      <c r="B653" t="s">
        <v>272</v>
      </c>
      <c r="C653" s="18">
        <v>0</v>
      </c>
    </row>
    <row r="654" spans="1:3" ht="15" hidden="1" x14ac:dyDescent="0.25">
      <c r="A654" s="190"/>
      <c r="B654" t="s">
        <v>253</v>
      </c>
      <c r="C654" s="18">
        <v>0</v>
      </c>
    </row>
    <row r="655" spans="1:3" ht="15" hidden="1" x14ac:dyDescent="0.25">
      <c r="A655" s="190"/>
      <c r="B655" t="s">
        <v>255</v>
      </c>
      <c r="C655" s="18">
        <v>0</v>
      </c>
    </row>
    <row r="656" spans="1:3" ht="15" hidden="1" x14ac:dyDescent="0.25">
      <c r="A656" s="190"/>
      <c r="B656" t="s">
        <v>264</v>
      </c>
      <c r="C656" s="18">
        <v>0</v>
      </c>
    </row>
    <row r="657" spans="1:3" ht="15" hidden="1" x14ac:dyDescent="0.25">
      <c r="A657" s="190"/>
      <c r="B657" t="s">
        <v>319</v>
      </c>
      <c r="C657" s="18">
        <v>0</v>
      </c>
    </row>
    <row r="658" spans="1:3" ht="15" hidden="1" x14ac:dyDescent="0.25">
      <c r="A658" s="190"/>
      <c r="B658" t="s">
        <v>318</v>
      </c>
      <c r="C658" s="18">
        <v>0</v>
      </c>
    </row>
    <row r="659" spans="1:3" ht="15" hidden="1" x14ac:dyDescent="0.25">
      <c r="A659" s="190"/>
      <c r="B659" t="s">
        <v>80</v>
      </c>
      <c r="C659" s="18">
        <v>0</v>
      </c>
    </row>
    <row r="660" spans="1:3" ht="15" hidden="1" x14ac:dyDescent="0.25">
      <c r="A660" s="190">
        <v>5576</v>
      </c>
      <c r="B660">
        <v>0</v>
      </c>
      <c r="C660" s="18">
        <v>0</v>
      </c>
    </row>
    <row r="661" spans="1:3" ht="15" hidden="1" x14ac:dyDescent="0.25">
      <c r="A661" s="190"/>
      <c r="B661" t="s">
        <v>80</v>
      </c>
      <c r="C661" s="18">
        <v>0</v>
      </c>
    </row>
    <row r="662" spans="1:3" ht="15" hidden="1" x14ac:dyDescent="0.25">
      <c r="A662" s="190">
        <v>5581</v>
      </c>
      <c r="B662">
        <v>0</v>
      </c>
      <c r="C662" s="18">
        <v>0</v>
      </c>
    </row>
    <row r="663" spans="1:3" ht="15" hidden="1" x14ac:dyDescent="0.25">
      <c r="A663" s="190">
        <v>5584</v>
      </c>
      <c r="B663">
        <v>0</v>
      </c>
      <c r="C663" s="18">
        <v>0</v>
      </c>
    </row>
    <row r="664" spans="1:3" ht="15" hidden="1" x14ac:dyDescent="0.25">
      <c r="A664" s="190">
        <v>5585</v>
      </c>
      <c r="B664" t="s">
        <v>278</v>
      </c>
      <c r="C664" s="18">
        <v>0</v>
      </c>
    </row>
    <row r="665" spans="1:3" ht="15" hidden="1" x14ac:dyDescent="0.25">
      <c r="A665" s="190"/>
      <c r="B665" t="s">
        <v>258</v>
      </c>
      <c r="C665" s="18">
        <v>0</v>
      </c>
    </row>
    <row r="666" spans="1:3" ht="15" hidden="1" x14ac:dyDescent="0.25">
      <c r="A666" s="190"/>
      <c r="B666" t="s">
        <v>318</v>
      </c>
      <c r="C666" s="18">
        <v>0</v>
      </c>
    </row>
    <row r="667" spans="1:3" ht="15" hidden="1" x14ac:dyDescent="0.25">
      <c r="A667" s="190">
        <v>5588</v>
      </c>
      <c r="B667">
        <v>0</v>
      </c>
      <c r="C667" s="18">
        <v>0</v>
      </c>
    </row>
    <row r="668" spans="1:3" ht="15" hidden="1" x14ac:dyDescent="0.25">
      <c r="A668" s="190"/>
      <c r="B668" t="s">
        <v>251</v>
      </c>
      <c r="C668" s="18">
        <v>0</v>
      </c>
    </row>
    <row r="669" spans="1:3" ht="15" hidden="1" x14ac:dyDescent="0.25">
      <c r="A669" s="190"/>
      <c r="B669" t="s">
        <v>246</v>
      </c>
      <c r="C669" s="18">
        <v>0</v>
      </c>
    </row>
    <row r="670" spans="1:3" ht="15" hidden="1" x14ac:dyDescent="0.25">
      <c r="A670" s="189"/>
      <c r="B670" t="s">
        <v>270</v>
      </c>
      <c r="C670" s="18">
        <v>0</v>
      </c>
    </row>
    <row r="671" spans="1:3" ht="15" hidden="1" x14ac:dyDescent="0.25">
      <c r="A671" s="189"/>
      <c r="B671" t="s">
        <v>245</v>
      </c>
      <c r="C671" s="18">
        <v>0</v>
      </c>
    </row>
    <row r="672" spans="1:3" ht="15" hidden="1" x14ac:dyDescent="0.25">
      <c r="A672" s="190"/>
      <c r="B672" t="s">
        <v>249</v>
      </c>
      <c r="C672" s="18">
        <v>0</v>
      </c>
    </row>
    <row r="673" spans="1:3" ht="15" hidden="1" x14ac:dyDescent="0.25">
      <c r="A673" s="190"/>
      <c r="B673" t="s">
        <v>264</v>
      </c>
      <c r="C673" s="18">
        <v>0</v>
      </c>
    </row>
    <row r="674" spans="1:3" ht="15" hidden="1" x14ac:dyDescent="0.25">
      <c r="A674" s="190"/>
      <c r="B674" t="s">
        <v>319</v>
      </c>
      <c r="C674" s="18">
        <v>0</v>
      </c>
    </row>
    <row r="675" spans="1:3" ht="15" hidden="1" x14ac:dyDescent="0.25">
      <c r="A675" s="190"/>
      <c r="B675" t="s">
        <v>80</v>
      </c>
      <c r="C675" s="18">
        <v>0</v>
      </c>
    </row>
    <row r="676" spans="1:3" ht="15" hidden="1" x14ac:dyDescent="0.25">
      <c r="A676" s="190">
        <v>5508</v>
      </c>
      <c r="B676">
        <v>0</v>
      </c>
      <c r="C676" s="18">
        <v>0</v>
      </c>
    </row>
    <row r="677" spans="1:3" ht="15" hidden="1" x14ac:dyDescent="0.25">
      <c r="A677" s="190"/>
      <c r="B677" s="17" t="s">
        <v>251</v>
      </c>
      <c r="C677" s="18">
        <v>0</v>
      </c>
    </row>
    <row r="678" spans="1:3" ht="15" hidden="1" x14ac:dyDescent="0.25">
      <c r="A678" s="190"/>
      <c r="B678" t="s">
        <v>246</v>
      </c>
      <c r="C678" s="18">
        <v>0</v>
      </c>
    </row>
    <row r="679" spans="1:3" ht="15" hidden="1" x14ac:dyDescent="0.25">
      <c r="A679" s="189"/>
      <c r="B679" t="s">
        <v>258</v>
      </c>
      <c r="C679" s="18">
        <v>0</v>
      </c>
    </row>
    <row r="680" spans="1:3" ht="15" hidden="1" x14ac:dyDescent="0.25">
      <c r="A680" s="190"/>
      <c r="B680" t="s">
        <v>256</v>
      </c>
      <c r="C680" s="18">
        <v>0</v>
      </c>
    </row>
    <row r="681" spans="1:3" ht="15" hidden="1" x14ac:dyDescent="0.25">
      <c r="A681" s="190"/>
      <c r="B681" t="s">
        <v>270</v>
      </c>
      <c r="C681" s="18">
        <v>0</v>
      </c>
    </row>
    <row r="682" spans="1:3" ht="15" hidden="1" x14ac:dyDescent="0.25">
      <c r="A682" s="190"/>
      <c r="B682" s="17" t="s">
        <v>245</v>
      </c>
      <c r="C682" s="18">
        <v>0</v>
      </c>
    </row>
    <row r="683" spans="1:3" ht="15" hidden="1" x14ac:dyDescent="0.25">
      <c r="A683" s="190"/>
      <c r="B683" s="17" t="s">
        <v>249</v>
      </c>
      <c r="C683" s="18">
        <v>0</v>
      </c>
    </row>
    <row r="684" spans="1:3" ht="15" hidden="1" x14ac:dyDescent="0.25">
      <c r="A684" s="190"/>
      <c r="B684" s="17" t="s">
        <v>255</v>
      </c>
      <c r="C684" s="18">
        <v>0</v>
      </c>
    </row>
    <row r="685" spans="1:3" ht="15" hidden="1" x14ac:dyDescent="0.25">
      <c r="A685" s="190"/>
      <c r="B685" s="17" t="s">
        <v>264</v>
      </c>
      <c r="C685" s="18">
        <v>0</v>
      </c>
    </row>
    <row r="686" spans="1:3" ht="15" hidden="1" x14ac:dyDescent="0.25">
      <c r="A686" s="190"/>
      <c r="B686" s="17" t="s">
        <v>319</v>
      </c>
      <c r="C686" s="18">
        <v>0</v>
      </c>
    </row>
    <row r="687" spans="1:3" ht="15" hidden="1" x14ac:dyDescent="0.25">
      <c r="A687" s="190"/>
      <c r="B687" s="17" t="s">
        <v>318</v>
      </c>
      <c r="C687" s="18">
        <v>0</v>
      </c>
    </row>
    <row r="688" spans="1:3" ht="15" hidden="1" x14ac:dyDescent="0.25">
      <c r="A688" s="190"/>
      <c r="B688" s="17" t="s">
        <v>80</v>
      </c>
      <c r="C688" s="18">
        <v>0</v>
      </c>
    </row>
    <row r="689" spans="1:3" ht="15" hidden="1" x14ac:dyDescent="0.25">
      <c r="A689" s="190">
        <v>5589</v>
      </c>
      <c r="B689" s="17" t="s">
        <v>257</v>
      </c>
      <c r="C689" s="18">
        <v>0</v>
      </c>
    </row>
    <row r="690" spans="1:3" ht="15" hidden="1" x14ac:dyDescent="0.25">
      <c r="A690" s="190"/>
      <c r="B690" s="17" t="s">
        <v>267</v>
      </c>
      <c r="C690" s="18">
        <v>0</v>
      </c>
    </row>
    <row r="691" spans="1:3" ht="15" hidden="1" x14ac:dyDescent="0.25">
      <c r="A691" s="190"/>
      <c r="B691" t="s">
        <v>304</v>
      </c>
      <c r="C691" s="18">
        <v>0</v>
      </c>
    </row>
    <row r="692" spans="1:3" ht="15" hidden="1" x14ac:dyDescent="0.25">
      <c r="A692" s="189"/>
      <c r="B692" t="s">
        <v>271</v>
      </c>
      <c r="C692" s="18">
        <v>0</v>
      </c>
    </row>
    <row r="693" spans="1:3" ht="15" hidden="1" x14ac:dyDescent="0.25">
      <c r="A693" s="190"/>
      <c r="B693" t="s">
        <v>299</v>
      </c>
      <c r="C693" s="18">
        <v>0</v>
      </c>
    </row>
    <row r="694" spans="1:3" ht="15" hidden="1" x14ac:dyDescent="0.25">
      <c r="A694" s="190"/>
      <c r="B694" t="s">
        <v>249</v>
      </c>
      <c r="C694" s="18">
        <v>0</v>
      </c>
    </row>
    <row r="695" spans="1:3" ht="15" hidden="1" x14ac:dyDescent="0.25">
      <c r="A695" s="190"/>
      <c r="B695" t="s">
        <v>260</v>
      </c>
      <c r="C695" s="18">
        <v>0</v>
      </c>
    </row>
    <row r="696" spans="1:3" ht="15" hidden="1" x14ac:dyDescent="0.25">
      <c r="A696" s="190"/>
      <c r="B696" t="s">
        <v>285</v>
      </c>
      <c r="C696" s="18">
        <v>0</v>
      </c>
    </row>
    <row r="697" spans="1:3" ht="15" hidden="1" x14ac:dyDescent="0.25">
      <c r="A697" s="190"/>
      <c r="B697" t="s">
        <v>264</v>
      </c>
      <c r="C697" s="18">
        <v>0</v>
      </c>
    </row>
    <row r="698" spans="1:3" ht="15" hidden="1" x14ac:dyDescent="0.25">
      <c r="A698" s="190"/>
      <c r="B698" t="s">
        <v>319</v>
      </c>
      <c r="C698" s="18">
        <v>0</v>
      </c>
    </row>
    <row r="699" spans="1:3" ht="15" hidden="1" x14ac:dyDescent="0.25">
      <c r="A699" s="190"/>
      <c r="B699" t="s">
        <v>318</v>
      </c>
      <c r="C699" s="18">
        <v>0</v>
      </c>
    </row>
    <row r="700" spans="1:3" ht="15" hidden="1" x14ac:dyDescent="0.25">
      <c r="A700" s="190">
        <v>5601</v>
      </c>
      <c r="B700">
        <v>0</v>
      </c>
      <c r="C700" s="18">
        <v>0</v>
      </c>
    </row>
    <row r="701" spans="1:3" ht="15" hidden="1" x14ac:dyDescent="0.25">
      <c r="A701" s="190"/>
      <c r="B701" t="s">
        <v>257</v>
      </c>
      <c r="C701" s="18">
        <v>0</v>
      </c>
    </row>
    <row r="702" spans="1:3" ht="15" hidden="1" x14ac:dyDescent="0.25">
      <c r="A702" s="190"/>
      <c r="B702" t="s">
        <v>258</v>
      </c>
      <c r="C702" s="18">
        <v>0</v>
      </c>
    </row>
    <row r="703" spans="1:3" ht="15" hidden="1" x14ac:dyDescent="0.25">
      <c r="A703" s="190"/>
      <c r="B703" s="17" t="s">
        <v>256</v>
      </c>
      <c r="C703" s="18">
        <v>0</v>
      </c>
    </row>
    <row r="704" spans="1:3" ht="15" hidden="1" x14ac:dyDescent="0.25">
      <c r="A704" s="190"/>
      <c r="B704" t="s">
        <v>318</v>
      </c>
      <c r="C704" s="18">
        <v>0</v>
      </c>
    </row>
    <row r="705" spans="1:3" ht="15" hidden="1" x14ac:dyDescent="0.25">
      <c r="A705" s="190">
        <v>5602</v>
      </c>
      <c r="B705" t="s">
        <v>258</v>
      </c>
      <c r="C705" s="18">
        <v>0</v>
      </c>
    </row>
    <row r="706" spans="1:3" ht="15" hidden="1" x14ac:dyDescent="0.25">
      <c r="A706" s="190"/>
      <c r="B706" t="s">
        <v>298</v>
      </c>
      <c r="C706" s="18">
        <v>0</v>
      </c>
    </row>
    <row r="707" spans="1:3" ht="15" hidden="1" x14ac:dyDescent="0.25">
      <c r="A707" s="189"/>
      <c r="B707" t="s">
        <v>268</v>
      </c>
      <c r="C707" s="18">
        <v>0</v>
      </c>
    </row>
    <row r="708" spans="1:3" ht="15" hidden="1" x14ac:dyDescent="0.25">
      <c r="A708" s="190"/>
      <c r="B708" t="s">
        <v>270</v>
      </c>
      <c r="C708" s="18">
        <v>0</v>
      </c>
    </row>
    <row r="709" spans="1:3" ht="15" hidden="1" x14ac:dyDescent="0.25">
      <c r="A709" s="190"/>
      <c r="B709" t="s">
        <v>260</v>
      </c>
      <c r="C709" s="18">
        <v>0</v>
      </c>
    </row>
    <row r="710" spans="1:3" ht="15" hidden="1" x14ac:dyDescent="0.25">
      <c r="A710" s="190"/>
      <c r="B710" t="s">
        <v>318</v>
      </c>
      <c r="C710" s="18">
        <v>0</v>
      </c>
    </row>
    <row r="711" spans="1:3" ht="15" hidden="1" x14ac:dyDescent="0.25">
      <c r="A711" s="190">
        <v>5608</v>
      </c>
      <c r="B711" t="s">
        <v>318</v>
      </c>
      <c r="C711" s="18">
        <v>0</v>
      </c>
    </row>
    <row r="712" spans="1:3" ht="15" x14ac:dyDescent="0.25">
      <c r="A712" s="190">
        <v>5300</v>
      </c>
      <c r="B712">
        <v>0</v>
      </c>
      <c r="C712" s="18">
        <v>1</v>
      </c>
    </row>
    <row r="713" spans="1:3" ht="15" x14ac:dyDescent="0.25">
      <c r="A713" s="190"/>
      <c r="B713" t="s">
        <v>318</v>
      </c>
      <c r="C713" s="18">
        <v>2</v>
      </c>
    </row>
    <row r="714" spans="1:3" ht="15" hidden="1" x14ac:dyDescent="0.25">
      <c r="A714" s="190">
        <v>5619</v>
      </c>
      <c r="B714">
        <v>0</v>
      </c>
      <c r="C714" s="18">
        <v>0</v>
      </c>
    </row>
    <row r="715" spans="1:3" ht="15" hidden="1" x14ac:dyDescent="0.25">
      <c r="A715" s="190"/>
      <c r="B715" s="17" t="s">
        <v>80</v>
      </c>
      <c r="C715" s="18">
        <v>0</v>
      </c>
    </row>
    <row r="716" spans="1:3" ht="15" hidden="1" x14ac:dyDescent="0.25">
      <c r="A716" s="190">
        <v>5613</v>
      </c>
      <c r="B716" s="17" t="s">
        <v>72</v>
      </c>
      <c r="C716" s="18">
        <v>0</v>
      </c>
    </row>
    <row r="717" spans="1:3" ht="15" x14ac:dyDescent="0.25">
      <c r="A717" s="190">
        <v>5621</v>
      </c>
      <c r="B717" s="17">
        <v>0</v>
      </c>
      <c r="C717" s="18">
        <v>3</v>
      </c>
    </row>
    <row r="718" spans="1:3" ht="15" x14ac:dyDescent="0.25">
      <c r="A718" s="190"/>
      <c r="B718" s="17" t="s">
        <v>246</v>
      </c>
      <c r="C718" s="18">
        <v>5</v>
      </c>
    </row>
    <row r="719" spans="1:3" ht="15" x14ac:dyDescent="0.25">
      <c r="A719" s="190"/>
      <c r="B719" s="17" t="s">
        <v>289</v>
      </c>
      <c r="C719" s="18">
        <v>8</v>
      </c>
    </row>
    <row r="720" spans="1:3" ht="15" x14ac:dyDescent="0.25">
      <c r="A720" s="190"/>
      <c r="B720" t="s">
        <v>265</v>
      </c>
      <c r="C720" s="18">
        <v>5</v>
      </c>
    </row>
    <row r="721" spans="1:3" ht="15" hidden="1" x14ac:dyDescent="0.25">
      <c r="A721" s="190"/>
      <c r="B721" t="s">
        <v>279</v>
      </c>
      <c r="C721" s="18">
        <v>0</v>
      </c>
    </row>
    <row r="722" spans="1:3" ht="15" x14ac:dyDescent="0.25">
      <c r="A722" s="190"/>
      <c r="B722" t="s">
        <v>250</v>
      </c>
      <c r="C722" s="18">
        <v>9</v>
      </c>
    </row>
    <row r="723" spans="1:3" ht="15" x14ac:dyDescent="0.25">
      <c r="A723" s="190"/>
      <c r="B723" t="s">
        <v>291</v>
      </c>
      <c r="C723" s="18">
        <v>5</v>
      </c>
    </row>
    <row r="724" spans="1:3" ht="15" x14ac:dyDescent="0.25">
      <c r="A724" s="190"/>
      <c r="B724" t="s">
        <v>287</v>
      </c>
      <c r="C724" s="18">
        <v>1</v>
      </c>
    </row>
    <row r="725" spans="1:3" ht="15" x14ac:dyDescent="0.25">
      <c r="A725" s="190"/>
      <c r="B725" t="s">
        <v>256</v>
      </c>
      <c r="C725" s="18">
        <v>1</v>
      </c>
    </row>
    <row r="726" spans="1:3" ht="15" x14ac:dyDescent="0.25">
      <c r="A726" s="190"/>
      <c r="B726" t="s">
        <v>311</v>
      </c>
      <c r="C726" s="18">
        <v>3</v>
      </c>
    </row>
    <row r="727" spans="1:3" ht="15" x14ac:dyDescent="0.25">
      <c r="A727" s="189"/>
      <c r="B727" s="17" t="s">
        <v>275</v>
      </c>
      <c r="C727" s="18">
        <v>1</v>
      </c>
    </row>
    <row r="728" spans="1:3" ht="15" x14ac:dyDescent="0.25">
      <c r="A728" s="190"/>
      <c r="B728" s="17" t="s">
        <v>280</v>
      </c>
      <c r="C728" s="18">
        <v>1</v>
      </c>
    </row>
    <row r="729" spans="1:3" ht="15" x14ac:dyDescent="0.25">
      <c r="A729" s="190"/>
      <c r="B729" t="s">
        <v>288</v>
      </c>
      <c r="C729" s="18">
        <v>1</v>
      </c>
    </row>
    <row r="730" spans="1:3" ht="15" x14ac:dyDescent="0.25">
      <c r="A730" s="190"/>
      <c r="B730" t="s">
        <v>245</v>
      </c>
      <c r="C730" s="18">
        <v>27</v>
      </c>
    </row>
    <row r="731" spans="1:3" ht="15" x14ac:dyDescent="0.25">
      <c r="A731" s="190"/>
      <c r="B731" t="s">
        <v>296</v>
      </c>
      <c r="C731" s="18">
        <v>6</v>
      </c>
    </row>
    <row r="732" spans="1:3" ht="15" x14ac:dyDescent="0.25">
      <c r="A732" s="190"/>
      <c r="B732" s="17" t="s">
        <v>248</v>
      </c>
      <c r="C732" s="18">
        <v>3</v>
      </c>
    </row>
    <row r="733" spans="1:3" ht="15" x14ac:dyDescent="0.25">
      <c r="A733" s="190"/>
      <c r="B733" s="17" t="s">
        <v>249</v>
      </c>
      <c r="C733" s="18">
        <v>4</v>
      </c>
    </row>
    <row r="734" spans="1:3" ht="15" x14ac:dyDescent="0.25">
      <c r="A734" s="190"/>
      <c r="B734" s="17" t="s">
        <v>263</v>
      </c>
      <c r="C734" s="18">
        <v>9</v>
      </c>
    </row>
    <row r="735" spans="1:3" ht="15" x14ac:dyDescent="0.25">
      <c r="A735" s="190"/>
      <c r="B735" s="17" t="s">
        <v>260</v>
      </c>
      <c r="C735" s="18">
        <v>1</v>
      </c>
    </row>
    <row r="736" spans="1:3" ht="15" x14ac:dyDescent="0.25">
      <c r="A736" s="190"/>
      <c r="B736" t="s">
        <v>303</v>
      </c>
      <c r="C736" s="18">
        <v>1</v>
      </c>
    </row>
    <row r="737" spans="1:3" ht="15" x14ac:dyDescent="0.25">
      <c r="A737" s="189"/>
      <c r="B737" s="17" t="s">
        <v>253</v>
      </c>
      <c r="C737" s="18">
        <v>12</v>
      </c>
    </row>
    <row r="738" spans="1:3" ht="15" x14ac:dyDescent="0.25">
      <c r="A738" s="189"/>
      <c r="B738" s="17" t="s">
        <v>264</v>
      </c>
      <c r="C738" s="18">
        <v>47</v>
      </c>
    </row>
    <row r="739" spans="1:3" ht="15" x14ac:dyDescent="0.25">
      <c r="A739" s="190"/>
      <c r="B739" s="17" t="s">
        <v>319</v>
      </c>
      <c r="C739" s="18">
        <v>35</v>
      </c>
    </row>
    <row r="740" spans="1:3" ht="15" x14ac:dyDescent="0.25">
      <c r="A740" s="190"/>
      <c r="B740" s="17" t="s">
        <v>73</v>
      </c>
      <c r="C740" s="18">
        <v>4</v>
      </c>
    </row>
    <row r="741" spans="1:3" ht="15" x14ac:dyDescent="0.25">
      <c r="A741" s="190"/>
      <c r="B741" s="17" t="s">
        <v>344</v>
      </c>
      <c r="C741" s="18">
        <v>1</v>
      </c>
    </row>
    <row r="742" spans="1:3" ht="15" x14ac:dyDescent="0.25">
      <c r="A742" s="190"/>
      <c r="B742" s="17" t="s">
        <v>378</v>
      </c>
      <c r="C742" s="18">
        <v>2</v>
      </c>
    </row>
    <row r="743" spans="1:3" ht="15" x14ac:dyDescent="0.25">
      <c r="A743" s="190"/>
      <c r="B743" s="17" t="s">
        <v>388</v>
      </c>
      <c r="C743" s="18">
        <v>1</v>
      </c>
    </row>
    <row r="744" spans="1:3" ht="15" x14ac:dyDescent="0.25">
      <c r="A744" s="190"/>
      <c r="B744" s="17" t="s">
        <v>389</v>
      </c>
      <c r="C744" s="18">
        <v>2</v>
      </c>
    </row>
    <row r="745" spans="1:3" ht="15" x14ac:dyDescent="0.25">
      <c r="A745" s="190"/>
      <c r="B745" s="17" t="s">
        <v>390</v>
      </c>
      <c r="C745" s="18">
        <v>1</v>
      </c>
    </row>
    <row r="746" spans="1:3" ht="15" hidden="1" x14ac:dyDescent="0.25">
      <c r="A746" s="190"/>
      <c r="B746" s="17" t="s">
        <v>391</v>
      </c>
      <c r="C746" s="18">
        <v>0</v>
      </c>
    </row>
    <row r="747" spans="1:3" ht="15" x14ac:dyDescent="0.25">
      <c r="A747" s="190"/>
      <c r="B747" s="17" t="s">
        <v>392</v>
      </c>
      <c r="C747" s="18">
        <v>1</v>
      </c>
    </row>
    <row r="748" spans="1:3" ht="15" x14ac:dyDescent="0.25">
      <c r="A748" s="189"/>
      <c r="B748" s="17" t="s">
        <v>393</v>
      </c>
      <c r="C748" s="18">
        <v>1</v>
      </c>
    </row>
    <row r="749" spans="1:3" ht="15" x14ac:dyDescent="0.25">
      <c r="A749" s="190">
        <v>5649</v>
      </c>
      <c r="B749" s="17" t="s">
        <v>246</v>
      </c>
      <c r="C749" s="18">
        <v>1</v>
      </c>
    </row>
    <row r="750" spans="1:3" ht="15" hidden="1" x14ac:dyDescent="0.25">
      <c r="A750" s="190">
        <v>5536</v>
      </c>
      <c r="B750" s="17">
        <v>0</v>
      </c>
      <c r="C750" s="18">
        <v>0</v>
      </c>
    </row>
    <row r="751" spans="1:3" ht="15" hidden="1" x14ac:dyDescent="0.25">
      <c r="A751" s="190">
        <v>5504</v>
      </c>
      <c r="B751" s="17">
        <v>0</v>
      </c>
      <c r="C751" s="18">
        <v>0</v>
      </c>
    </row>
    <row r="752" spans="1:3" ht="15" hidden="1" x14ac:dyDescent="0.25">
      <c r="A752" s="190">
        <v>5661</v>
      </c>
      <c r="B752" s="17" t="s">
        <v>314</v>
      </c>
      <c r="C752" s="18">
        <v>0</v>
      </c>
    </row>
    <row r="753" spans="1:3" ht="15" hidden="1" x14ac:dyDescent="0.25">
      <c r="A753" s="190"/>
      <c r="B753" s="17" t="s">
        <v>313</v>
      </c>
      <c r="C753" s="18">
        <v>0</v>
      </c>
    </row>
    <row r="754" spans="1:3" ht="15" hidden="1" x14ac:dyDescent="0.25">
      <c r="A754" s="190"/>
      <c r="B754" s="17" t="s">
        <v>315</v>
      </c>
      <c r="C754" s="18">
        <v>0</v>
      </c>
    </row>
    <row r="755" spans="1:3" ht="15" hidden="1" x14ac:dyDescent="0.25">
      <c r="A755" s="190">
        <v>5665</v>
      </c>
      <c r="B755" s="17">
        <v>0</v>
      </c>
      <c r="C755" s="18">
        <v>0</v>
      </c>
    </row>
    <row r="756" spans="1:3" ht="15" hidden="1" x14ac:dyDescent="0.25">
      <c r="A756" s="190"/>
      <c r="B756" s="17" t="s">
        <v>251</v>
      </c>
      <c r="C756" s="18">
        <v>0</v>
      </c>
    </row>
    <row r="757" spans="1:3" ht="15" hidden="1" x14ac:dyDescent="0.25">
      <c r="A757" s="190"/>
      <c r="B757" s="17" t="s">
        <v>256</v>
      </c>
      <c r="C757" s="18">
        <v>0</v>
      </c>
    </row>
    <row r="758" spans="1:3" ht="15" hidden="1" x14ac:dyDescent="0.25">
      <c r="A758" s="190"/>
      <c r="B758" s="17" t="s">
        <v>272</v>
      </c>
      <c r="C758" s="18">
        <v>0</v>
      </c>
    </row>
    <row r="759" spans="1:3" ht="15" hidden="1" x14ac:dyDescent="0.25">
      <c r="A759" s="189"/>
      <c r="B759" s="17" t="s">
        <v>323</v>
      </c>
      <c r="C759" s="18">
        <v>0</v>
      </c>
    </row>
    <row r="760" spans="1:3" ht="15" hidden="1" x14ac:dyDescent="0.25">
      <c r="A760" s="190"/>
      <c r="B760" s="17" t="s">
        <v>261</v>
      </c>
      <c r="C760" s="18">
        <v>0</v>
      </c>
    </row>
    <row r="761" spans="1:3" ht="15" hidden="1" x14ac:dyDescent="0.25">
      <c r="A761" s="190">
        <v>5668</v>
      </c>
      <c r="B761" s="17">
        <v>0</v>
      </c>
      <c r="C761" s="18">
        <v>0</v>
      </c>
    </row>
    <row r="762" spans="1:3" ht="15" hidden="1" x14ac:dyDescent="0.25">
      <c r="A762" s="190"/>
      <c r="B762" t="s">
        <v>80</v>
      </c>
      <c r="C762" s="18">
        <v>0</v>
      </c>
    </row>
    <row r="763" spans="1:3" ht="15" hidden="1" x14ac:dyDescent="0.25">
      <c r="A763" s="190">
        <v>5670</v>
      </c>
      <c r="B763" s="17">
        <v>0</v>
      </c>
      <c r="C763" s="18">
        <v>0</v>
      </c>
    </row>
    <row r="764" spans="1:3" ht="15" hidden="1" x14ac:dyDescent="0.25">
      <c r="A764" s="189"/>
      <c r="B764" s="17" t="s">
        <v>256</v>
      </c>
      <c r="C764" s="18">
        <v>0</v>
      </c>
    </row>
    <row r="765" spans="1:3" ht="15" hidden="1" x14ac:dyDescent="0.25">
      <c r="A765" s="189"/>
      <c r="B765" s="17" t="s">
        <v>245</v>
      </c>
      <c r="C765" s="18">
        <v>0</v>
      </c>
    </row>
    <row r="766" spans="1:3" ht="15" hidden="1" x14ac:dyDescent="0.25">
      <c r="A766" s="190"/>
      <c r="B766" t="s">
        <v>249</v>
      </c>
      <c r="C766" s="18">
        <v>0</v>
      </c>
    </row>
    <row r="767" spans="1:3" ht="15" hidden="1" x14ac:dyDescent="0.25">
      <c r="A767" s="190"/>
      <c r="B767" t="s">
        <v>260</v>
      </c>
      <c r="C767" s="18">
        <v>0</v>
      </c>
    </row>
    <row r="768" spans="1:3" ht="15" hidden="1" x14ac:dyDescent="0.25">
      <c r="A768" s="190"/>
      <c r="B768" s="17" t="s">
        <v>264</v>
      </c>
      <c r="C768" s="18">
        <v>0</v>
      </c>
    </row>
    <row r="769" spans="1:3" ht="15" hidden="1" x14ac:dyDescent="0.25">
      <c r="A769" s="189"/>
      <c r="B769" s="17" t="s">
        <v>319</v>
      </c>
      <c r="C769" s="18">
        <v>0</v>
      </c>
    </row>
    <row r="770" spans="1:3" ht="15" hidden="1" x14ac:dyDescent="0.25">
      <c r="A770" s="190"/>
      <c r="B770" s="17" t="s">
        <v>318</v>
      </c>
      <c r="C770" s="18">
        <v>0</v>
      </c>
    </row>
    <row r="771" spans="1:3" ht="15" hidden="1" x14ac:dyDescent="0.25">
      <c r="A771" s="190"/>
      <c r="B771" s="17" t="s">
        <v>80</v>
      </c>
      <c r="C771" s="18">
        <v>0</v>
      </c>
    </row>
    <row r="772" spans="1:3" ht="15" hidden="1" x14ac:dyDescent="0.25">
      <c r="A772" s="190">
        <v>5673</v>
      </c>
      <c r="B772" s="17">
        <v>0</v>
      </c>
      <c r="C772" s="18">
        <v>0</v>
      </c>
    </row>
    <row r="773" spans="1:3" ht="15" hidden="1" x14ac:dyDescent="0.25">
      <c r="A773" s="189"/>
      <c r="B773" s="17" t="s">
        <v>258</v>
      </c>
      <c r="C773" s="18">
        <v>0</v>
      </c>
    </row>
    <row r="774" spans="1:3" ht="15" hidden="1" x14ac:dyDescent="0.25">
      <c r="A774" s="190"/>
      <c r="B774" s="17" t="s">
        <v>292</v>
      </c>
      <c r="C774" s="18">
        <v>0</v>
      </c>
    </row>
    <row r="775" spans="1:3" ht="15" hidden="1" x14ac:dyDescent="0.25">
      <c r="A775" s="190"/>
      <c r="B775" s="17" t="s">
        <v>311</v>
      </c>
      <c r="C775" s="18">
        <v>0</v>
      </c>
    </row>
    <row r="776" spans="1:3" ht="15" hidden="1" x14ac:dyDescent="0.25">
      <c r="A776" s="190"/>
      <c r="B776" s="17" t="s">
        <v>269</v>
      </c>
      <c r="C776" s="18">
        <v>0</v>
      </c>
    </row>
    <row r="777" spans="1:3" ht="15" hidden="1" x14ac:dyDescent="0.25">
      <c r="A777" s="190"/>
      <c r="B777" t="s">
        <v>245</v>
      </c>
      <c r="C777" s="18">
        <v>0</v>
      </c>
    </row>
    <row r="778" spans="1:3" ht="15" hidden="1" x14ac:dyDescent="0.25">
      <c r="A778" s="190"/>
      <c r="B778" t="s">
        <v>248</v>
      </c>
      <c r="C778" s="18">
        <v>0</v>
      </c>
    </row>
    <row r="779" spans="1:3" ht="15" hidden="1" x14ac:dyDescent="0.25">
      <c r="A779" s="190"/>
      <c r="B779" t="s">
        <v>249</v>
      </c>
      <c r="C779" s="18">
        <v>0</v>
      </c>
    </row>
    <row r="780" spans="1:3" ht="15" hidden="1" x14ac:dyDescent="0.25">
      <c r="A780" s="190"/>
      <c r="B780" t="s">
        <v>273</v>
      </c>
      <c r="C780" s="18">
        <v>0</v>
      </c>
    </row>
    <row r="781" spans="1:3" ht="15" hidden="1" x14ac:dyDescent="0.25">
      <c r="A781" s="190"/>
      <c r="B781" t="s">
        <v>263</v>
      </c>
      <c r="C781" s="18">
        <v>0</v>
      </c>
    </row>
    <row r="782" spans="1:3" ht="15" hidden="1" x14ac:dyDescent="0.25">
      <c r="A782" s="190"/>
      <c r="B782" t="s">
        <v>260</v>
      </c>
      <c r="C782" s="18">
        <v>0</v>
      </c>
    </row>
    <row r="783" spans="1:3" ht="15" hidden="1" x14ac:dyDescent="0.25">
      <c r="A783" s="189"/>
      <c r="B783" t="s">
        <v>255</v>
      </c>
      <c r="C783" s="18">
        <v>0</v>
      </c>
    </row>
    <row r="784" spans="1:3" ht="15" hidden="1" x14ac:dyDescent="0.25">
      <c r="A784" s="189"/>
      <c r="B784" t="s">
        <v>264</v>
      </c>
      <c r="C784" s="18">
        <v>0</v>
      </c>
    </row>
    <row r="785" spans="1:3" ht="15" hidden="1" x14ac:dyDescent="0.25">
      <c r="A785" s="190"/>
      <c r="B785" t="s">
        <v>319</v>
      </c>
      <c r="C785" s="18">
        <v>0</v>
      </c>
    </row>
    <row r="786" spans="1:3" ht="15" hidden="1" x14ac:dyDescent="0.25">
      <c r="A786" s="190"/>
      <c r="B786" t="s">
        <v>318</v>
      </c>
      <c r="C786" s="18">
        <v>0</v>
      </c>
    </row>
    <row r="787" spans="1:3" ht="15" hidden="1" x14ac:dyDescent="0.25">
      <c r="A787" s="190"/>
      <c r="B787" t="s">
        <v>80</v>
      </c>
      <c r="C787" s="18">
        <v>0</v>
      </c>
    </row>
    <row r="788" spans="1:3" ht="15" hidden="1" x14ac:dyDescent="0.25">
      <c r="A788" s="190"/>
      <c r="B788" s="17" t="s">
        <v>327</v>
      </c>
      <c r="C788" s="18">
        <v>0</v>
      </c>
    </row>
    <row r="789" spans="1:3" ht="15" hidden="1" x14ac:dyDescent="0.25">
      <c r="A789" s="189">
        <v>5677</v>
      </c>
      <c r="B789" s="17">
        <v>0</v>
      </c>
      <c r="C789" s="18">
        <v>0</v>
      </c>
    </row>
    <row r="790" spans="1:3" ht="15" hidden="1" x14ac:dyDescent="0.25">
      <c r="A790" s="190"/>
      <c r="B790" s="17" t="s">
        <v>257</v>
      </c>
      <c r="C790" s="18">
        <v>0</v>
      </c>
    </row>
    <row r="791" spans="1:3" ht="15" hidden="1" x14ac:dyDescent="0.25">
      <c r="A791" s="190"/>
      <c r="B791" s="17" t="s">
        <v>278</v>
      </c>
      <c r="C791" s="18">
        <v>0</v>
      </c>
    </row>
    <row r="792" spans="1:3" ht="15" hidden="1" x14ac:dyDescent="0.25">
      <c r="A792" s="190"/>
      <c r="B792" s="17" t="s">
        <v>246</v>
      </c>
      <c r="C792" s="18">
        <v>0</v>
      </c>
    </row>
    <row r="793" spans="1:3" ht="15" hidden="1" x14ac:dyDescent="0.25">
      <c r="A793" s="190"/>
      <c r="B793" s="17" t="s">
        <v>279</v>
      </c>
      <c r="C793" s="18">
        <v>0</v>
      </c>
    </row>
    <row r="794" spans="1:3" ht="15" hidden="1" x14ac:dyDescent="0.25">
      <c r="A794" s="189"/>
      <c r="B794" s="17" t="s">
        <v>267</v>
      </c>
      <c r="C794" s="18">
        <v>0</v>
      </c>
    </row>
    <row r="795" spans="1:3" ht="15" hidden="1" x14ac:dyDescent="0.25">
      <c r="A795" s="190"/>
      <c r="B795" s="17" t="s">
        <v>250</v>
      </c>
      <c r="C795" s="18">
        <v>0</v>
      </c>
    </row>
    <row r="796" spans="1:3" ht="15" hidden="1" x14ac:dyDescent="0.25">
      <c r="A796" s="190"/>
      <c r="B796" s="17" t="s">
        <v>291</v>
      </c>
      <c r="C796" s="18">
        <v>0</v>
      </c>
    </row>
    <row r="797" spans="1:3" ht="15" hidden="1" x14ac:dyDescent="0.25">
      <c r="A797" s="190"/>
      <c r="B797" s="17" t="s">
        <v>258</v>
      </c>
      <c r="C797" s="18">
        <v>0</v>
      </c>
    </row>
    <row r="798" spans="1:3" ht="15" hidden="1" x14ac:dyDescent="0.25">
      <c r="A798" s="190"/>
      <c r="B798" s="17" t="s">
        <v>256</v>
      </c>
      <c r="C798" s="18">
        <v>0</v>
      </c>
    </row>
    <row r="799" spans="1:3" ht="15" hidden="1" x14ac:dyDescent="0.25">
      <c r="A799" s="190"/>
      <c r="B799" s="17" t="s">
        <v>268</v>
      </c>
      <c r="C799" s="18">
        <v>0</v>
      </c>
    </row>
    <row r="800" spans="1:3" ht="15" hidden="1" x14ac:dyDescent="0.25">
      <c r="A800" s="190"/>
      <c r="B800" s="17" t="s">
        <v>311</v>
      </c>
      <c r="C800" s="18">
        <v>0</v>
      </c>
    </row>
    <row r="801" spans="1:3" ht="15" hidden="1" x14ac:dyDescent="0.25">
      <c r="A801" s="190"/>
      <c r="B801" s="17" t="s">
        <v>269</v>
      </c>
      <c r="C801" s="18">
        <v>0</v>
      </c>
    </row>
    <row r="802" spans="1:3" ht="15" hidden="1" x14ac:dyDescent="0.25">
      <c r="A802" s="190"/>
      <c r="B802" t="s">
        <v>270</v>
      </c>
      <c r="C802" s="18">
        <v>0</v>
      </c>
    </row>
    <row r="803" spans="1:3" ht="15" hidden="1" x14ac:dyDescent="0.25">
      <c r="A803" s="190"/>
      <c r="B803" s="17" t="s">
        <v>271</v>
      </c>
      <c r="C803" s="18">
        <v>0</v>
      </c>
    </row>
    <row r="804" spans="1:3" ht="15" hidden="1" x14ac:dyDescent="0.25">
      <c r="A804" s="190"/>
      <c r="B804" s="17" t="s">
        <v>262</v>
      </c>
      <c r="C804" s="18">
        <v>0</v>
      </c>
    </row>
    <row r="805" spans="1:3" ht="15" hidden="1" x14ac:dyDescent="0.25">
      <c r="A805" s="190"/>
      <c r="B805" s="17" t="s">
        <v>280</v>
      </c>
      <c r="C805" s="18">
        <v>0</v>
      </c>
    </row>
    <row r="806" spans="1:3" ht="15" hidden="1" x14ac:dyDescent="0.25">
      <c r="A806" s="189"/>
      <c r="B806" s="17" t="s">
        <v>276</v>
      </c>
      <c r="C806" s="18">
        <v>0</v>
      </c>
    </row>
    <row r="807" spans="1:3" ht="15" hidden="1" x14ac:dyDescent="0.25">
      <c r="A807" s="190"/>
      <c r="B807" s="17" t="s">
        <v>300</v>
      </c>
      <c r="C807" s="18">
        <v>0</v>
      </c>
    </row>
    <row r="808" spans="1:3" ht="15" hidden="1" x14ac:dyDescent="0.25">
      <c r="A808" s="190"/>
      <c r="B808" s="17" t="s">
        <v>245</v>
      </c>
      <c r="C808" s="18">
        <v>0</v>
      </c>
    </row>
    <row r="809" spans="1:3" ht="15" hidden="1" x14ac:dyDescent="0.25">
      <c r="A809" s="190"/>
      <c r="B809" s="17" t="s">
        <v>296</v>
      </c>
      <c r="C809" s="18">
        <v>0</v>
      </c>
    </row>
    <row r="810" spans="1:3" ht="15" hidden="1" x14ac:dyDescent="0.25">
      <c r="A810" s="190"/>
      <c r="B810" s="17" t="s">
        <v>248</v>
      </c>
      <c r="C810" s="18">
        <v>0</v>
      </c>
    </row>
    <row r="811" spans="1:3" ht="15" hidden="1" x14ac:dyDescent="0.25">
      <c r="A811" s="190"/>
      <c r="B811" s="17" t="s">
        <v>249</v>
      </c>
      <c r="C811" s="18">
        <v>0</v>
      </c>
    </row>
    <row r="812" spans="1:3" ht="15" hidden="1" x14ac:dyDescent="0.25">
      <c r="A812" s="190"/>
      <c r="B812" s="17" t="s">
        <v>263</v>
      </c>
      <c r="C812" s="18">
        <v>0</v>
      </c>
    </row>
    <row r="813" spans="1:3" ht="15" hidden="1" x14ac:dyDescent="0.25">
      <c r="A813" s="189"/>
      <c r="B813" s="17" t="s">
        <v>274</v>
      </c>
      <c r="C813" s="18">
        <v>0</v>
      </c>
    </row>
    <row r="814" spans="1:3" ht="15" hidden="1" x14ac:dyDescent="0.25">
      <c r="A814" s="190"/>
      <c r="B814" s="17" t="s">
        <v>281</v>
      </c>
      <c r="C814" s="18">
        <v>0</v>
      </c>
    </row>
    <row r="815" spans="1:3" ht="15" hidden="1" x14ac:dyDescent="0.25">
      <c r="A815" s="190"/>
      <c r="B815" s="17" t="s">
        <v>260</v>
      </c>
      <c r="C815" s="18">
        <v>0</v>
      </c>
    </row>
    <row r="816" spans="1:3" ht="15" hidden="1" x14ac:dyDescent="0.25">
      <c r="A816" s="190"/>
      <c r="B816" s="17" t="s">
        <v>264</v>
      </c>
      <c r="C816" s="18">
        <v>0</v>
      </c>
    </row>
    <row r="817" spans="1:3" ht="15" hidden="1" x14ac:dyDescent="0.25">
      <c r="A817" s="190"/>
      <c r="B817" s="17" t="s">
        <v>318</v>
      </c>
      <c r="C817" s="18">
        <v>0</v>
      </c>
    </row>
    <row r="818" spans="1:3" ht="15" hidden="1" x14ac:dyDescent="0.25">
      <c r="A818" s="190"/>
      <c r="B818" s="17" t="s">
        <v>394</v>
      </c>
      <c r="C818" s="18">
        <v>0</v>
      </c>
    </row>
    <row r="819" spans="1:3" ht="15" hidden="1" x14ac:dyDescent="0.25">
      <c r="A819" s="190">
        <v>5678</v>
      </c>
      <c r="B819" s="17" t="s">
        <v>250</v>
      </c>
      <c r="C819" s="18">
        <v>0</v>
      </c>
    </row>
    <row r="820" spans="1:3" ht="15" hidden="1" x14ac:dyDescent="0.25">
      <c r="A820" s="189">
        <v>5681</v>
      </c>
      <c r="B820" s="17">
        <v>0</v>
      </c>
      <c r="C820" s="18">
        <v>0</v>
      </c>
    </row>
    <row r="821" spans="1:3" ht="15" hidden="1" x14ac:dyDescent="0.25">
      <c r="A821" s="189">
        <v>5683</v>
      </c>
      <c r="B821" s="17" t="s">
        <v>258</v>
      </c>
      <c r="C821" s="18">
        <v>0</v>
      </c>
    </row>
    <row r="822" spans="1:3" ht="15" hidden="1" x14ac:dyDescent="0.25">
      <c r="A822" s="190"/>
      <c r="B822" s="17" t="s">
        <v>255</v>
      </c>
      <c r="C822" s="18">
        <v>0</v>
      </c>
    </row>
    <row r="823" spans="1:3" ht="15" hidden="1" x14ac:dyDescent="0.25">
      <c r="A823" s="190">
        <v>5699</v>
      </c>
      <c r="B823" s="17">
        <v>0</v>
      </c>
      <c r="C823" s="18">
        <v>0</v>
      </c>
    </row>
    <row r="824" spans="1:3" ht="15" hidden="1" x14ac:dyDescent="0.25">
      <c r="A824" s="190"/>
      <c r="B824" s="17" t="s">
        <v>249</v>
      </c>
      <c r="C824" s="18">
        <v>0</v>
      </c>
    </row>
    <row r="825" spans="1:3" ht="15" hidden="1" x14ac:dyDescent="0.25">
      <c r="A825" s="190"/>
      <c r="B825" s="17" t="s">
        <v>274</v>
      </c>
      <c r="C825" s="18">
        <v>0</v>
      </c>
    </row>
    <row r="826" spans="1:3" ht="15" hidden="1" x14ac:dyDescent="0.25">
      <c r="A826" s="190"/>
      <c r="B826" s="17" t="s">
        <v>260</v>
      </c>
      <c r="C826" s="18">
        <v>0</v>
      </c>
    </row>
    <row r="827" spans="1:3" ht="15" hidden="1" x14ac:dyDescent="0.25">
      <c r="A827" s="190"/>
      <c r="B827" s="17" t="s">
        <v>272</v>
      </c>
      <c r="C827" s="18">
        <v>0</v>
      </c>
    </row>
    <row r="828" spans="1:3" ht="15" hidden="1" x14ac:dyDescent="0.25">
      <c r="A828" s="190"/>
      <c r="B828" s="17" t="s">
        <v>264</v>
      </c>
      <c r="C828" s="18">
        <v>0</v>
      </c>
    </row>
    <row r="829" spans="1:3" ht="15" hidden="1" x14ac:dyDescent="0.25">
      <c r="A829" s="190"/>
      <c r="B829" s="17" t="s">
        <v>319</v>
      </c>
      <c r="C829" s="18">
        <v>0</v>
      </c>
    </row>
    <row r="830" spans="1:3" ht="15" hidden="1" x14ac:dyDescent="0.25">
      <c r="A830" s="190"/>
      <c r="B830" s="17" t="s">
        <v>324</v>
      </c>
      <c r="C830" s="18">
        <v>0</v>
      </c>
    </row>
    <row r="831" spans="1:3" ht="15" hidden="1" x14ac:dyDescent="0.25">
      <c r="A831" s="190"/>
      <c r="B831" s="17" t="s">
        <v>318</v>
      </c>
      <c r="C831" s="18">
        <v>0</v>
      </c>
    </row>
    <row r="832" spans="1:3" ht="15" hidden="1" x14ac:dyDescent="0.25">
      <c r="A832" s="190"/>
      <c r="B832" s="17" t="s">
        <v>325</v>
      </c>
      <c r="C832" s="18">
        <v>0</v>
      </c>
    </row>
    <row r="833" spans="1:3" ht="15" hidden="1" x14ac:dyDescent="0.25">
      <c r="A833" s="190">
        <v>5723</v>
      </c>
      <c r="B833" s="17" t="s">
        <v>72</v>
      </c>
      <c r="C833" s="18">
        <v>0</v>
      </c>
    </row>
    <row r="834" spans="1:3" ht="15" hidden="1" x14ac:dyDescent="0.25">
      <c r="A834" s="190">
        <v>5721</v>
      </c>
      <c r="B834" s="17" t="s">
        <v>255</v>
      </c>
      <c r="C834" s="18">
        <v>0</v>
      </c>
    </row>
    <row r="835" spans="1:3" ht="15" hidden="1" x14ac:dyDescent="0.25">
      <c r="A835" s="190">
        <v>5725</v>
      </c>
      <c r="B835" s="17" t="s">
        <v>324</v>
      </c>
      <c r="C835" s="18">
        <v>0</v>
      </c>
    </row>
    <row r="836" spans="1:3" ht="15" hidden="1" x14ac:dyDescent="0.25">
      <c r="A836" s="190">
        <v>5697</v>
      </c>
      <c r="B836" s="17">
        <v>0</v>
      </c>
      <c r="C836" s="18">
        <v>0</v>
      </c>
    </row>
    <row r="837" spans="1:3" ht="15" hidden="1" x14ac:dyDescent="0.25">
      <c r="A837" s="190"/>
      <c r="B837" s="17" t="s">
        <v>257</v>
      </c>
      <c r="C837" s="18">
        <v>0</v>
      </c>
    </row>
    <row r="838" spans="1:3" ht="15" hidden="1" x14ac:dyDescent="0.25">
      <c r="A838" s="190"/>
      <c r="B838" s="17" t="s">
        <v>278</v>
      </c>
      <c r="C838" s="18">
        <v>0</v>
      </c>
    </row>
    <row r="839" spans="1:3" ht="15" hidden="1" x14ac:dyDescent="0.25">
      <c r="A839" s="190"/>
      <c r="B839" t="s">
        <v>247</v>
      </c>
      <c r="C839" s="18">
        <v>0</v>
      </c>
    </row>
    <row r="840" spans="1:3" ht="15" hidden="1" x14ac:dyDescent="0.25">
      <c r="A840" s="190"/>
      <c r="B840" t="s">
        <v>258</v>
      </c>
      <c r="C840" s="18">
        <v>0</v>
      </c>
    </row>
    <row r="841" spans="1:3" ht="15" hidden="1" x14ac:dyDescent="0.25">
      <c r="A841" s="190"/>
      <c r="B841" t="s">
        <v>305</v>
      </c>
      <c r="C841" s="18">
        <v>0</v>
      </c>
    </row>
    <row r="842" spans="1:3" ht="15" hidden="1" x14ac:dyDescent="0.25">
      <c r="A842" s="190"/>
      <c r="B842" t="s">
        <v>270</v>
      </c>
      <c r="C842" s="18">
        <v>0</v>
      </c>
    </row>
    <row r="843" spans="1:3" ht="15" hidden="1" x14ac:dyDescent="0.25">
      <c r="A843" s="190"/>
      <c r="B843" t="s">
        <v>283</v>
      </c>
      <c r="C843" s="18">
        <v>0</v>
      </c>
    </row>
    <row r="844" spans="1:3" ht="15" hidden="1" x14ac:dyDescent="0.25">
      <c r="A844" s="190"/>
      <c r="B844" t="s">
        <v>275</v>
      </c>
      <c r="C844" s="18">
        <v>0</v>
      </c>
    </row>
    <row r="845" spans="1:3" ht="15" hidden="1" x14ac:dyDescent="0.25">
      <c r="A845" s="190"/>
      <c r="B845" t="s">
        <v>245</v>
      </c>
      <c r="C845" s="18">
        <v>0</v>
      </c>
    </row>
    <row r="846" spans="1:3" ht="15" hidden="1" x14ac:dyDescent="0.25">
      <c r="A846" s="190"/>
      <c r="B846" t="s">
        <v>249</v>
      </c>
      <c r="C846" s="18">
        <v>0</v>
      </c>
    </row>
    <row r="847" spans="1:3" ht="15" hidden="1" x14ac:dyDescent="0.25">
      <c r="A847" s="190"/>
      <c r="B847" t="s">
        <v>281</v>
      </c>
      <c r="C847" s="18">
        <v>0</v>
      </c>
    </row>
    <row r="848" spans="1:3" ht="15" hidden="1" x14ac:dyDescent="0.25">
      <c r="A848" s="190"/>
      <c r="B848" t="s">
        <v>255</v>
      </c>
      <c r="C848" s="18">
        <v>0</v>
      </c>
    </row>
    <row r="849" spans="1:3" ht="15" hidden="1" x14ac:dyDescent="0.25">
      <c r="A849" s="190"/>
      <c r="B849" t="s">
        <v>264</v>
      </c>
      <c r="C849" s="18">
        <v>0</v>
      </c>
    </row>
    <row r="850" spans="1:3" ht="15" hidden="1" x14ac:dyDescent="0.25">
      <c r="A850" s="190"/>
      <c r="B850" t="s">
        <v>319</v>
      </c>
      <c r="C850" s="18">
        <v>0</v>
      </c>
    </row>
    <row r="851" spans="1:3" ht="15" hidden="1" x14ac:dyDescent="0.25">
      <c r="A851" s="190">
        <v>5730</v>
      </c>
      <c r="B851">
        <v>0</v>
      </c>
      <c r="C851" s="18">
        <v>0</v>
      </c>
    </row>
    <row r="852" spans="1:3" ht="15" hidden="1" x14ac:dyDescent="0.25">
      <c r="A852" s="190"/>
      <c r="B852" t="s">
        <v>251</v>
      </c>
      <c r="C852" s="18">
        <v>0</v>
      </c>
    </row>
    <row r="853" spans="1:3" ht="15" hidden="1" x14ac:dyDescent="0.25">
      <c r="A853" s="190"/>
      <c r="B853" s="17" t="s">
        <v>246</v>
      </c>
      <c r="C853" s="18">
        <v>0</v>
      </c>
    </row>
    <row r="854" spans="1:3" ht="15" hidden="1" x14ac:dyDescent="0.25">
      <c r="A854" s="190"/>
      <c r="B854" t="s">
        <v>291</v>
      </c>
      <c r="C854" s="18">
        <v>0</v>
      </c>
    </row>
    <row r="855" spans="1:3" ht="15" hidden="1" x14ac:dyDescent="0.25">
      <c r="A855" s="190"/>
      <c r="B855" t="s">
        <v>258</v>
      </c>
      <c r="C855" s="18">
        <v>0</v>
      </c>
    </row>
    <row r="856" spans="1:3" ht="15" hidden="1" x14ac:dyDescent="0.25">
      <c r="A856" s="190"/>
      <c r="B856" s="17" t="s">
        <v>256</v>
      </c>
      <c r="C856" s="18">
        <v>0</v>
      </c>
    </row>
    <row r="857" spans="1:3" ht="15" hidden="1" x14ac:dyDescent="0.25">
      <c r="A857" s="190"/>
      <c r="B857" s="17" t="s">
        <v>245</v>
      </c>
      <c r="C857" s="18">
        <v>0</v>
      </c>
    </row>
    <row r="858" spans="1:3" ht="15" hidden="1" x14ac:dyDescent="0.25">
      <c r="A858" s="190"/>
      <c r="B858" s="17" t="s">
        <v>296</v>
      </c>
      <c r="C858" s="18">
        <v>0</v>
      </c>
    </row>
    <row r="859" spans="1:3" ht="15" hidden="1" x14ac:dyDescent="0.25">
      <c r="A859" s="190"/>
      <c r="B859" s="17" t="s">
        <v>248</v>
      </c>
      <c r="C859" s="18">
        <v>0</v>
      </c>
    </row>
    <row r="860" spans="1:3" ht="15" hidden="1" x14ac:dyDescent="0.25">
      <c r="A860" s="190"/>
      <c r="B860" s="17" t="s">
        <v>249</v>
      </c>
      <c r="C860" s="18">
        <v>0</v>
      </c>
    </row>
    <row r="861" spans="1:3" ht="15" hidden="1" x14ac:dyDescent="0.25">
      <c r="A861" s="190"/>
      <c r="B861" s="17" t="s">
        <v>273</v>
      </c>
      <c r="C861" s="18">
        <v>0</v>
      </c>
    </row>
    <row r="862" spans="1:3" ht="15" hidden="1" x14ac:dyDescent="0.25">
      <c r="A862" s="190"/>
      <c r="B862" s="17" t="s">
        <v>263</v>
      </c>
      <c r="C862" s="18">
        <v>0</v>
      </c>
    </row>
    <row r="863" spans="1:3" ht="15" hidden="1" x14ac:dyDescent="0.25">
      <c r="A863" s="189"/>
      <c r="B863" s="17" t="s">
        <v>255</v>
      </c>
      <c r="C863" s="18">
        <v>0</v>
      </c>
    </row>
    <row r="864" spans="1:3" ht="15" hidden="1" x14ac:dyDescent="0.25">
      <c r="A864" s="190"/>
      <c r="B864" s="17" t="s">
        <v>264</v>
      </c>
      <c r="C864" s="18">
        <v>0</v>
      </c>
    </row>
    <row r="865" spans="1:3" ht="15" hidden="1" x14ac:dyDescent="0.25">
      <c r="A865" s="190"/>
      <c r="B865" s="17" t="s">
        <v>319</v>
      </c>
      <c r="C865" s="18">
        <v>0</v>
      </c>
    </row>
    <row r="866" spans="1:3" ht="15" hidden="1" x14ac:dyDescent="0.25">
      <c r="A866" s="190"/>
      <c r="B866" s="17" t="s">
        <v>318</v>
      </c>
      <c r="C866" s="18">
        <v>0</v>
      </c>
    </row>
    <row r="867" spans="1:3" ht="15" hidden="1" x14ac:dyDescent="0.25">
      <c r="A867" s="190"/>
      <c r="B867" s="17" t="s">
        <v>80</v>
      </c>
      <c r="C867" s="18">
        <v>0</v>
      </c>
    </row>
    <row r="868" spans="1:3" ht="15" hidden="1" x14ac:dyDescent="0.25">
      <c r="A868" s="190"/>
      <c r="B868" s="17" t="s">
        <v>387</v>
      </c>
      <c r="C868" s="18">
        <v>0</v>
      </c>
    </row>
    <row r="869" spans="1:3" ht="15" hidden="1" x14ac:dyDescent="0.25">
      <c r="A869" s="189">
        <v>5741</v>
      </c>
      <c r="B869" s="17">
        <v>0</v>
      </c>
      <c r="C869" s="18">
        <v>0</v>
      </c>
    </row>
    <row r="870" spans="1:3" ht="15" hidden="1" x14ac:dyDescent="0.25">
      <c r="A870" s="190"/>
      <c r="B870" s="17" t="s">
        <v>251</v>
      </c>
      <c r="C870" s="18">
        <v>0</v>
      </c>
    </row>
    <row r="871" spans="1:3" ht="15" hidden="1" x14ac:dyDescent="0.25">
      <c r="A871" s="189"/>
      <c r="B871" s="17" t="s">
        <v>265</v>
      </c>
      <c r="C871" s="18">
        <v>0</v>
      </c>
    </row>
    <row r="872" spans="1:3" ht="15" hidden="1" x14ac:dyDescent="0.25">
      <c r="A872" s="190"/>
      <c r="B872" s="17" t="s">
        <v>250</v>
      </c>
      <c r="C872" s="18">
        <v>0</v>
      </c>
    </row>
    <row r="873" spans="1:3" ht="15" hidden="1" x14ac:dyDescent="0.25">
      <c r="A873" s="190"/>
      <c r="B873" s="17" t="s">
        <v>258</v>
      </c>
      <c r="C873" s="18">
        <v>0</v>
      </c>
    </row>
    <row r="874" spans="1:3" ht="15" hidden="1" x14ac:dyDescent="0.25">
      <c r="A874" s="189"/>
      <c r="B874" s="17" t="s">
        <v>256</v>
      </c>
      <c r="C874" s="18">
        <v>0</v>
      </c>
    </row>
    <row r="875" spans="1:3" ht="15" hidden="1" x14ac:dyDescent="0.25">
      <c r="A875" s="190"/>
      <c r="B875" s="17" t="s">
        <v>245</v>
      </c>
      <c r="C875" s="18">
        <v>0</v>
      </c>
    </row>
    <row r="876" spans="1:3" ht="15" hidden="1" x14ac:dyDescent="0.25">
      <c r="A876" s="190"/>
      <c r="B876" s="17" t="s">
        <v>249</v>
      </c>
      <c r="C876" s="18">
        <v>0</v>
      </c>
    </row>
    <row r="877" spans="1:3" ht="15" hidden="1" x14ac:dyDescent="0.25">
      <c r="A877" s="190"/>
      <c r="B877" s="17" t="s">
        <v>273</v>
      </c>
      <c r="C877" s="18">
        <v>0</v>
      </c>
    </row>
    <row r="878" spans="1:3" ht="15" hidden="1" x14ac:dyDescent="0.25">
      <c r="A878" s="190"/>
      <c r="B878" s="17" t="s">
        <v>263</v>
      </c>
      <c r="C878" s="18">
        <v>0</v>
      </c>
    </row>
    <row r="879" spans="1:3" ht="15" hidden="1" x14ac:dyDescent="0.25">
      <c r="A879" s="190"/>
      <c r="B879" s="17" t="s">
        <v>255</v>
      </c>
      <c r="C879" s="18">
        <v>0</v>
      </c>
    </row>
    <row r="880" spans="1:3" ht="15" hidden="1" x14ac:dyDescent="0.25">
      <c r="A880" s="190"/>
      <c r="B880" s="17" t="s">
        <v>264</v>
      </c>
      <c r="C880" s="18">
        <v>0</v>
      </c>
    </row>
    <row r="881" spans="1:3" ht="15" hidden="1" x14ac:dyDescent="0.25">
      <c r="A881" s="190"/>
      <c r="B881" s="17" t="s">
        <v>319</v>
      </c>
      <c r="C881" s="18">
        <v>0</v>
      </c>
    </row>
    <row r="882" spans="1:3" ht="15" hidden="1" x14ac:dyDescent="0.25">
      <c r="A882" s="190"/>
      <c r="B882" s="17" t="s">
        <v>318</v>
      </c>
      <c r="C882" s="18">
        <v>0</v>
      </c>
    </row>
    <row r="883" spans="1:3" ht="15" hidden="1" x14ac:dyDescent="0.25">
      <c r="A883" s="190"/>
      <c r="B883" s="17" t="s">
        <v>80</v>
      </c>
      <c r="C883" s="18">
        <v>0</v>
      </c>
    </row>
    <row r="884" spans="1:3" ht="15" hidden="1" x14ac:dyDescent="0.25">
      <c r="A884" s="190">
        <v>5749</v>
      </c>
      <c r="B884" s="17" t="s">
        <v>258</v>
      </c>
      <c r="C884" s="18">
        <v>0</v>
      </c>
    </row>
    <row r="885" spans="1:3" ht="15" hidden="1" x14ac:dyDescent="0.25">
      <c r="A885" s="190">
        <v>5751</v>
      </c>
      <c r="B885" s="17" t="s">
        <v>247</v>
      </c>
      <c r="C885" s="18">
        <v>0</v>
      </c>
    </row>
    <row r="886" spans="1:3" ht="15" hidden="1" x14ac:dyDescent="0.25">
      <c r="A886" s="190">
        <v>5758</v>
      </c>
      <c r="B886" s="17">
        <v>0</v>
      </c>
      <c r="C886" s="18">
        <v>0</v>
      </c>
    </row>
    <row r="887" spans="1:3" ht="15" hidden="1" x14ac:dyDescent="0.25">
      <c r="A887" s="189"/>
      <c r="B887" s="17" t="s">
        <v>80</v>
      </c>
      <c r="C887" s="18">
        <v>0</v>
      </c>
    </row>
    <row r="888" spans="1:3" ht="15" hidden="1" x14ac:dyDescent="0.25">
      <c r="A888" s="189">
        <v>5759</v>
      </c>
      <c r="B888" s="17">
        <v>0</v>
      </c>
      <c r="C888" s="18">
        <v>0</v>
      </c>
    </row>
    <row r="889" spans="1:3" ht="15" hidden="1" x14ac:dyDescent="0.25">
      <c r="A889" s="190"/>
      <c r="B889" s="17" t="s">
        <v>260</v>
      </c>
      <c r="C889" s="18">
        <v>0</v>
      </c>
    </row>
    <row r="890" spans="1:3" ht="15" hidden="1" x14ac:dyDescent="0.25">
      <c r="A890" s="190"/>
      <c r="B890" s="17" t="s">
        <v>318</v>
      </c>
      <c r="C890" s="18">
        <v>0</v>
      </c>
    </row>
    <row r="891" spans="1:3" ht="15" hidden="1" x14ac:dyDescent="0.25">
      <c r="A891" s="190">
        <v>5757</v>
      </c>
      <c r="B891" s="17" t="s">
        <v>274</v>
      </c>
      <c r="C891" s="18">
        <v>0</v>
      </c>
    </row>
    <row r="892" spans="1:3" ht="15" hidden="1" x14ac:dyDescent="0.25">
      <c r="A892" s="190"/>
      <c r="B892" s="17" t="s">
        <v>318</v>
      </c>
      <c r="C892" s="18">
        <v>0</v>
      </c>
    </row>
    <row r="893" spans="1:3" ht="15" hidden="1" x14ac:dyDescent="0.25">
      <c r="A893" s="190">
        <v>5492</v>
      </c>
      <c r="B893" s="17" t="s">
        <v>280</v>
      </c>
      <c r="C893" s="18">
        <v>0</v>
      </c>
    </row>
    <row r="894" spans="1:3" ht="15" hidden="1" x14ac:dyDescent="0.25">
      <c r="A894" s="190">
        <v>5770</v>
      </c>
      <c r="B894" s="17">
        <v>0</v>
      </c>
      <c r="C894" s="18">
        <v>0</v>
      </c>
    </row>
    <row r="895" spans="1:3" ht="15" hidden="1" x14ac:dyDescent="0.25">
      <c r="A895" s="190"/>
      <c r="B895" s="17" t="s">
        <v>245</v>
      </c>
      <c r="C895" s="18">
        <v>0</v>
      </c>
    </row>
    <row r="896" spans="1:3" ht="15" hidden="1" x14ac:dyDescent="0.25">
      <c r="A896" s="190"/>
      <c r="B896" s="17" t="s">
        <v>248</v>
      </c>
      <c r="C896" s="18">
        <v>0</v>
      </c>
    </row>
    <row r="897" spans="1:3" ht="15" hidden="1" x14ac:dyDescent="0.25">
      <c r="A897" s="190"/>
      <c r="B897" s="17" t="s">
        <v>249</v>
      </c>
      <c r="C897" s="18">
        <v>0</v>
      </c>
    </row>
    <row r="898" spans="1:3" ht="15" hidden="1" x14ac:dyDescent="0.25">
      <c r="A898" s="190"/>
      <c r="B898" s="17" t="s">
        <v>253</v>
      </c>
      <c r="C898" s="18">
        <v>0</v>
      </c>
    </row>
    <row r="899" spans="1:3" ht="15" hidden="1" x14ac:dyDescent="0.25">
      <c r="A899" s="190"/>
      <c r="B899" s="17" t="s">
        <v>264</v>
      </c>
      <c r="C899" s="18">
        <v>0</v>
      </c>
    </row>
    <row r="900" spans="1:3" ht="15" hidden="1" x14ac:dyDescent="0.25">
      <c r="A900" s="190"/>
      <c r="B900" s="17" t="s">
        <v>319</v>
      </c>
      <c r="C900" s="18">
        <v>0</v>
      </c>
    </row>
    <row r="901" spans="1:3" ht="15" hidden="1" x14ac:dyDescent="0.25">
      <c r="A901" s="190"/>
      <c r="B901" s="17" t="s">
        <v>419</v>
      </c>
      <c r="C901" s="18">
        <v>0</v>
      </c>
    </row>
    <row r="902" spans="1:3" ht="15" hidden="1" x14ac:dyDescent="0.25">
      <c r="A902" s="190">
        <v>5785</v>
      </c>
      <c r="B902" s="17">
        <v>0</v>
      </c>
      <c r="C902" s="18">
        <v>0</v>
      </c>
    </row>
    <row r="903" spans="1:3" ht="15" hidden="1" x14ac:dyDescent="0.25">
      <c r="A903" s="190"/>
      <c r="B903" s="17" t="s">
        <v>257</v>
      </c>
      <c r="C903" s="18">
        <v>0</v>
      </c>
    </row>
    <row r="904" spans="1:3" ht="15" hidden="1" x14ac:dyDescent="0.25">
      <c r="A904" s="190"/>
      <c r="B904" s="17" t="s">
        <v>258</v>
      </c>
      <c r="C904" s="18">
        <v>0</v>
      </c>
    </row>
    <row r="905" spans="1:3" ht="15" hidden="1" x14ac:dyDescent="0.25">
      <c r="A905" s="190"/>
      <c r="B905" t="s">
        <v>245</v>
      </c>
      <c r="C905" s="18">
        <v>0</v>
      </c>
    </row>
    <row r="906" spans="1:3" ht="15" hidden="1" x14ac:dyDescent="0.25">
      <c r="A906" s="189"/>
      <c r="B906" s="17" t="s">
        <v>249</v>
      </c>
      <c r="C906" s="18">
        <v>0</v>
      </c>
    </row>
    <row r="907" spans="1:3" ht="15" hidden="1" x14ac:dyDescent="0.25">
      <c r="A907" s="190"/>
      <c r="B907" s="17" t="s">
        <v>255</v>
      </c>
      <c r="C907" s="18">
        <v>0</v>
      </c>
    </row>
    <row r="908" spans="1:3" ht="15" hidden="1" x14ac:dyDescent="0.25">
      <c r="A908" s="190"/>
      <c r="B908" t="s">
        <v>264</v>
      </c>
      <c r="C908" s="18">
        <v>0</v>
      </c>
    </row>
    <row r="909" spans="1:3" ht="15" hidden="1" x14ac:dyDescent="0.25">
      <c r="A909" s="189"/>
      <c r="B909" t="s">
        <v>307</v>
      </c>
      <c r="C909" s="18">
        <v>0</v>
      </c>
    </row>
    <row r="910" spans="1:3" ht="15" hidden="1" x14ac:dyDescent="0.25">
      <c r="A910" s="190"/>
      <c r="B910" t="s">
        <v>319</v>
      </c>
      <c r="C910" s="18">
        <v>0</v>
      </c>
    </row>
    <row r="911" spans="1:3" ht="15" hidden="1" x14ac:dyDescent="0.25">
      <c r="A911" s="190"/>
      <c r="B911" t="s">
        <v>318</v>
      </c>
      <c r="C911" s="18">
        <v>0</v>
      </c>
    </row>
    <row r="912" spans="1:3" ht="15" hidden="1" x14ac:dyDescent="0.25">
      <c r="A912" s="190">
        <v>5761</v>
      </c>
      <c r="B912">
        <v>0</v>
      </c>
      <c r="C912" s="18">
        <v>0</v>
      </c>
    </row>
    <row r="913" spans="1:3" ht="15" hidden="1" x14ac:dyDescent="0.25">
      <c r="A913" s="190"/>
      <c r="B913" t="s">
        <v>251</v>
      </c>
      <c r="C913" s="18">
        <v>0</v>
      </c>
    </row>
    <row r="914" spans="1:3" ht="15" hidden="1" x14ac:dyDescent="0.25">
      <c r="A914" s="190"/>
      <c r="B914" t="s">
        <v>256</v>
      </c>
      <c r="C914" s="18">
        <v>0</v>
      </c>
    </row>
    <row r="915" spans="1:3" ht="15" hidden="1" x14ac:dyDescent="0.25">
      <c r="A915" s="190"/>
      <c r="B915" t="s">
        <v>262</v>
      </c>
      <c r="C915" s="18">
        <v>0</v>
      </c>
    </row>
    <row r="916" spans="1:3" ht="15" hidden="1" x14ac:dyDescent="0.25">
      <c r="A916" s="190"/>
      <c r="B916" t="s">
        <v>245</v>
      </c>
      <c r="C916" s="18">
        <v>0</v>
      </c>
    </row>
    <row r="917" spans="1:3" ht="15" hidden="1" x14ac:dyDescent="0.25">
      <c r="A917" s="190"/>
      <c r="B917" t="s">
        <v>249</v>
      </c>
      <c r="C917" s="18">
        <v>0</v>
      </c>
    </row>
    <row r="918" spans="1:3" ht="15" hidden="1" x14ac:dyDescent="0.25">
      <c r="A918" s="190"/>
      <c r="B918" t="s">
        <v>264</v>
      </c>
      <c r="C918" s="18">
        <v>0</v>
      </c>
    </row>
    <row r="919" spans="1:3" ht="15" hidden="1" x14ac:dyDescent="0.25">
      <c r="A919" s="190"/>
      <c r="B919" t="s">
        <v>319</v>
      </c>
      <c r="C919" s="18">
        <v>0</v>
      </c>
    </row>
    <row r="920" spans="1:3" ht="15" hidden="1" x14ac:dyDescent="0.25">
      <c r="A920" s="190"/>
      <c r="B920" t="s">
        <v>318</v>
      </c>
      <c r="C920" s="18">
        <v>0</v>
      </c>
    </row>
    <row r="921" spans="1:3" ht="15" hidden="1" x14ac:dyDescent="0.25">
      <c r="A921" s="190"/>
      <c r="B921" t="s">
        <v>80</v>
      </c>
      <c r="C921" s="18">
        <v>0</v>
      </c>
    </row>
    <row r="922" spans="1:3" ht="15" hidden="1" x14ac:dyDescent="0.25">
      <c r="A922" s="190">
        <v>5805</v>
      </c>
      <c r="B922">
        <v>0</v>
      </c>
      <c r="C922" s="18">
        <v>0</v>
      </c>
    </row>
    <row r="923" spans="1:3" ht="15" hidden="1" x14ac:dyDescent="0.25">
      <c r="A923" s="190"/>
      <c r="B923" t="s">
        <v>267</v>
      </c>
      <c r="C923" s="18">
        <v>0</v>
      </c>
    </row>
    <row r="924" spans="1:3" ht="15" hidden="1" x14ac:dyDescent="0.25">
      <c r="A924" s="190"/>
      <c r="B924" t="s">
        <v>304</v>
      </c>
      <c r="C924" s="18">
        <v>0</v>
      </c>
    </row>
    <row r="925" spans="1:3" ht="15" hidden="1" x14ac:dyDescent="0.25">
      <c r="A925" s="190"/>
      <c r="B925" t="s">
        <v>245</v>
      </c>
      <c r="C925" s="18">
        <v>0</v>
      </c>
    </row>
    <row r="926" spans="1:3" ht="15" hidden="1" x14ac:dyDescent="0.25">
      <c r="A926" s="190"/>
      <c r="B926" t="s">
        <v>249</v>
      </c>
      <c r="C926" s="18">
        <v>0</v>
      </c>
    </row>
    <row r="927" spans="1:3" ht="15" hidden="1" x14ac:dyDescent="0.25">
      <c r="A927" s="190"/>
      <c r="B927" t="s">
        <v>274</v>
      </c>
      <c r="C927" s="18">
        <v>0</v>
      </c>
    </row>
    <row r="928" spans="1:3" ht="15" hidden="1" x14ac:dyDescent="0.25">
      <c r="A928" s="190"/>
      <c r="B928" t="s">
        <v>260</v>
      </c>
      <c r="C928" s="18">
        <v>0</v>
      </c>
    </row>
    <row r="929" spans="1:3" ht="15" hidden="1" x14ac:dyDescent="0.25">
      <c r="A929" s="190"/>
      <c r="B929" t="s">
        <v>285</v>
      </c>
      <c r="C929" s="18">
        <v>0</v>
      </c>
    </row>
    <row r="930" spans="1:3" ht="15" hidden="1" x14ac:dyDescent="0.25">
      <c r="A930" s="190"/>
      <c r="B930" t="s">
        <v>272</v>
      </c>
      <c r="C930" s="18">
        <v>0</v>
      </c>
    </row>
    <row r="931" spans="1:3" ht="15" hidden="1" x14ac:dyDescent="0.25">
      <c r="A931" s="190"/>
      <c r="B931" t="s">
        <v>264</v>
      </c>
      <c r="C931" s="18">
        <v>0</v>
      </c>
    </row>
    <row r="932" spans="1:3" ht="15" hidden="1" x14ac:dyDescent="0.25">
      <c r="A932" s="190"/>
      <c r="B932" s="17" t="s">
        <v>319</v>
      </c>
      <c r="C932" s="18">
        <v>0</v>
      </c>
    </row>
    <row r="933" spans="1:3" ht="15" hidden="1" x14ac:dyDescent="0.25">
      <c r="A933" s="190"/>
      <c r="B933" s="17" t="s">
        <v>318</v>
      </c>
      <c r="C933" s="18">
        <v>0</v>
      </c>
    </row>
    <row r="934" spans="1:3" ht="15" hidden="1" x14ac:dyDescent="0.25">
      <c r="A934" s="190">
        <v>5803</v>
      </c>
      <c r="B934" s="17">
        <v>0</v>
      </c>
      <c r="C934" s="18">
        <v>0</v>
      </c>
    </row>
    <row r="935" spans="1:3" ht="15" hidden="1" x14ac:dyDescent="0.25">
      <c r="A935" s="190"/>
      <c r="B935" t="s">
        <v>265</v>
      </c>
      <c r="C935" s="18">
        <v>0</v>
      </c>
    </row>
    <row r="936" spans="1:3" ht="15" hidden="1" x14ac:dyDescent="0.25">
      <c r="A936" s="189"/>
      <c r="B936" s="17" t="s">
        <v>256</v>
      </c>
      <c r="C936" s="18">
        <v>0</v>
      </c>
    </row>
    <row r="937" spans="1:3" ht="15" hidden="1" x14ac:dyDescent="0.25">
      <c r="A937" s="190"/>
      <c r="B937" s="17" t="s">
        <v>245</v>
      </c>
      <c r="C937" s="18">
        <v>0</v>
      </c>
    </row>
    <row r="938" spans="1:3" ht="15" hidden="1" x14ac:dyDescent="0.25">
      <c r="A938" s="190"/>
      <c r="B938" s="17" t="s">
        <v>281</v>
      </c>
      <c r="C938" s="18">
        <v>0</v>
      </c>
    </row>
    <row r="939" spans="1:3" ht="15" hidden="1" x14ac:dyDescent="0.25">
      <c r="A939" s="190"/>
      <c r="B939" s="17" t="s">
        <v>72</v>
      </c>
      <c r="C939" s="18">
        <v>0</v>
      </c>
    </row>
    <row r="940" spans="1:3" ht="15" hidden="1" x14ac:dyDescent="0.25">
      <c r="A940" s="190"/>
      <c r="B940" s="17" t="s">
        <v>266</v>
      </c>
      <c r="C940" s="18">
        <v>0</v>
      </c>
    </row>
    <row r="941" spans="1:3" ht="15" hidden="1" x14ac:dyDescent="0.25">
      <c r="A941" s="190"/>
      <c r="B941" s="17" t="s">
        <v>264</v>
      </c>
      <c r="C941" s="18">
        <v>0</v>
      </c>
    </row>
    <row r="942" spans="1:3" ht="15" hidden="1" x14ac:dyDescent="0.25">
      <c r="A942" s="190"/>
      <c r="B942" s="17" t="s">
        <v>307</v>
      </c>
      <c r="C942" s="18">
        <v>0</v>
      </c>
    </row>
    <row r="943" spans="1:3" ht="15" hidden="1" x14ac:dyDescent="0.25">
      <c r="A943" s="190"/>
      <c r="B943" s="17" t="s">
        <v>319</v>
      </c>
      <c r="C943" s="18">
        <v>0</v>
      </c>
    </row>
    <row r="944" spans="1:3" ht="15" hidden="1" x14ac:dyDescent="0.25">
      <c r="A944" s="190"/>
      <c r="B944" s="17" t="s">
        <v>318</v>
      </c>
      <c r="C944" s="18">
        <v>0</v>
      </c>
    </row>
    <row r="945" spans="1:3" ht="15" hidden="1" x14ac:dyDescent="0.25">
      <c r="A945" s="190"/>
      <c r="B945" s="17" t="s">
        <v>325</v>
      </c>
      <c r="C945" s="18">
        <v>0</v>
      </c>
    </row>
    <row r="946" spans="1:3" ht="15" hidden="1" x14ac:dyDescent="0.25">
      <c r="A946" s="190"/>
      <c r="B946" s="17" t="s">
        <v>78</v>
      </c>
      <c r="C946" s="18">
        <v>0</v>
      </c>
    </row>
    <row r="947" spans="1:3" ht="15" hidden="1" x14ac:dyDescent="0.25">
      <c r="A947" s="190">
        <v>5804</v>
      </c>
      <c r="B947" s="17">
        <v>0</v>
      </c>
      <c r="C947" s="18">
        <v>0</v>
      </c>
    </row>
    <row r="948" spans="1:3" ht="15" hidden="1" x14ac:dyDescent="0.25">
      <c r="A948" s="190"/>
      <c r="B948" s="17" t="s">
        <v>278</v>
      </c>
      <c r="C948" s="18">
        <v>0</v>
      </c>
    </row>
    <row r="949" spans="1:3" ht="15" hidden="1" x14ac:dyDescent="0.25">
      <c r="A949" s="190"/>
      <c r="B949" s="17" t="s">
        <v>256</v>
      </c>
      <c r="C949" s="18">
        <v>0</v>
      </c>
    </row>
    <row r="950" spans="1:3" ht="15" hidden="1" x14ac:dyDescent="0.25">
      <c r="A950" s="189"/>
      <c r="B950" s="17" t="s">
        <v>266</v>
      </c>
      <c r="C950" s="18">
        <v>0</v>
      </c>
    </row>
    <row r="951" spans="1:3" ht="15" hidden="1" x14ac:dyDescent="0.25">
      <c r="A951" s="190"/>
      <c r="B951" s="17" t="s">
        <v>323</v>
      </c>
      <c r="C951" s="18">
        <v>0</v>
      </c>
    </row>
    <row r="952" spans="1:3" ht="15" hidden="1" x14ac:dyDescent="0.25">
      <c r="A952" s="190"/>
      <c r="B952" s="17" t="s">
        <v>318</v>
      </c>
      <c r="C952" s="18">
        <v>0</v>
      </c>
    </row>
    <row r="953" spans="1:3" ht="15" hidden="1" x14ac:dyDescent="0.25">
      <c r="A953" s="190"/>
      <c r="B953" s="17" t="s">
        <v>327</v>
      </c>
      <c r="C953" s="18">
        <v>0</v>
      </c>
    </row>
    <row r="954" spans="1:3" ht="15" hidden="1" x14ac:dyDescent="0.25">
      <c r="A954" s="190">
        <v>5620</v>
      </c>
      <c r="B954" t="s">
        <v>260</v>
      </c>
      <c r="C954" s="18">
        <v>0</v>
      </c>
    </row>
    <row r="955" spans="1:3" ht="15" hidden="1" x14ac:dyDescent="0.25">
      <c r="A955" s="190"/>
      <c r="B955" t="s">
        <v>285</v>
      </c>
      <c r="C955" s="18">
        <v>0</v>
      </c>
    </row>
    <row r="956" spans="1:3" ht="15" hidden="1" x14ac:dyDescent="0.25">
      <c r="A956" s="190"/>
      <c r="B956" t="s">
        <v>318</v>
      </c>
      <c r="C956" s="18">
        <v>0</v>
      </c>
    </row>
    <row r="957" spans="1:3" ht="15" hidden="1" x14ac:dyDescent="0.25">
      <c r="A957" s="190">
        <v>5827</v>
      </c>
      <c r="B957">
        <v>0</v>
      </c>
      <c r="C957" s="18">
        <v>0</v>
      </c>
    </row>
    <row r="958" spans="1:3" ht="15" hidden="1" x14ac:dyDescent="0.25">
      <c r="A958" s="190">
        <v>5836</v>
      </c>
      <c r="B958" t="s">
        <v>247</v>
      </c>
      <c r="C958" s="18">
        <v>0</v>
      </c>
    </row>
    <row r="959" spans="1:3" ht="15" hidden="1" x14ac:dyDescent="0.25">
      <c r="A959" s="190"/>
      <c r="B959" t="s">
        <v>311</v>
      </c>
      <c r="C959" s="18">
        <v>0</v>
      </c>
    </row>
    <row r="960" spans="1:3" ht="15" hidden="1" x14ac:dyDescent="0.25">
      <c r="A960" s="190"/>
      <c r="B960" t="s">
        <v>249</v>
      </c>
      <c r="C960" s="18">
        <v>0</v>
      </c>
    </row>
    <row r="961" spans="1:3" ht="15" hidden="1" x14ac:dyDescent="0.25">
      <c r="A961" s="190"/>
      <c r="B961" t="s">
        <v>263</v>
      </c>
      <c r="C961" s="18">
        <v>0</v>
      </c>
    </row>
    <row r="962" spans="1:3" ht="15" hidden="1" x14ac:dyDescent="0.25">
      <c r="A962" s="189">
        <v>5839</v>
      </c>
      <c r="B962">
        <v>0</v>
      </c>
      <c r="C962" s="18">
        <v>0</v>
      </c>
    </row>
    <row r="963" spans="1:3" ht="15" hidden="1" x14ac:dyDescent="0.25">
      <c r="A963" s="190"/>
      <c r="B963" t="s">
        <v>256</v>
      </c>
      <c r="C963" s="18">
        <v>0</v>
      </c>
    </row>
    <row r="964" spans="1:3" ht="15" hidden="1" x14ac:dyDescent="0.25">
      <c r="A964" s="190"/>
      <c r="B964" t="s">
        <v>288</v>
      </c>
      <c r="C964" s="18">
        <v>0</v>
      </c>
    </row>
    <row r="965" spans="1:3" ht="15" hidden="1" x14ac:dyDescent="0.25">
      <c r="A965" s="189"/>
      <c r="B965" t="s">
        <v>245</v>
      </c>
      <c r="C965" s="18">
        <v>0</v>
      </c>
    </row>
    <row r="966" spans="1:3" ht="15" hidden="1" x14ac:dyDescent="0.25">
      <c r="A966" s="190"/>
      <c r="B966" t="s">
        <v>249</v>
      </c>
      <c r="C966" s="18">
        <v>0</v>
      </c>
    </row>
    <row r="967" spans="1:3" ht="15" hidden="1" x14ac:dyDescent="0.25">
      <c r="A967" s="190"/>
      <c r="B967" t="s">
        <v>266</v>
      </c>
      <c r="C967" s="18">
        <v>0</v>
      </c>
    </row>
    <row r="968" spans="1:3" ht="15" hidden="1" x14ac:dyDescent="0.25">
      <c r="A968" s="190"/>
      <c r="B968" t="s">
        <v>264</v>
      </c>
      <c r="C968" s="18">
        <v>0</v>
      </c>
    </row>
    <row r="969" spans="1:3" ht="15" hidden="1" x14ac:dyDescent="0.25">
      <c r="A969" s="190"/>
      <c r="B969" t="s">
        <v>319</v>
      </c>
      <c r="C969" s="18">
        <v>0</v>
      </c>
    </row>
    <row r="970" spans="1:3" ht="15" hidden="1" x14ac:dyDescent="0.25">
      <c r="A970" s="190"/>
      <c r="B970" t="s">
        <v>318</v>
      </c>
      <c r="C970" s="18">
        <v>0</v>
      </c>
    </row>
    <row r="971" spans="1:3" ht="15" hidden="1" x14ac:dyDescent="0.25">
      <c r="A971" s="189"/>
      <c r="B971" t="s">
        <v>80</v>
      </c>
      <c r="C971" s="18">
        <v>0</v>
      </c>
    </row>
    <row r="972" spans="1:3" ht="15" hidden="1" x14ac:dyDescent="0.25">
      <c r="A972" s="190">
        <v>5840</v>
      </c>
      <c r="B972" t="s">
        <v>412</v>
      </c>
      <c r="C972" s="18">
        <v>0</v>
      </c>
    </row>
    <row r="973" spans="1:3" ht="15" hidden="1" x14ac:dyDescent="0.25">
      <c r="A973" s="190">
        <v>5406</v>
      </c>
      <c r="B973" t="s">
        <v>318</v>
      </c>
      <c r="C973" s="18">
        <v>0</v>
      </c>
    </row>
    <row r="974" spans="1:3" ht="15" hidden="1" x14ac:dyDescent="0.25">
      <c r="A974" s="190"/>
      <c r="B974" t="s">
        <v>413</v>
      </c>
      <c r="C974" s="18">
        <v>0</v>
      </c>
    </row>
    <row r="975" spans="1:3" ht="15" hidden="1" x14ac:dyDescent="0.25">
      <c r="A975" s="190">
        <v>5842</v>
      </c>
      <c r="B975" t="s">
        <v>262</v>
      </c>
      <c r="C975" s="18">
        <v>0</v>
      </c>
    </row>
    <row r="976" spans="1:3" ht="15" hidden="1" x14ac:dyDescent="0.25">
      <c r="A976" s="190">
        <v>5844</v>
      </c>
      <c r="B976">
        <v>0</v>
      </c>
      <c r="C976" s="18">
        <v>0</v>
      </c>
    </row>
    <row r="977" spans="1:3" ht="15" hidden="1" x14ac:dyDescent="0.25">
      <c r="A977" s="190"/>
      <c r="B977" t="s">
        <v>72</v>
      </c>
      <c r="C977" s="18">
        <v>0</v>
      </c>
    </row>
    <row r="978" spans="1:3" ht="15" hidden="1" x14ac:dyDescent="0.25">
      <c r="A978" s="190">
        <v>5845</v>
      </c>
      <c r="B978" s="17">
        <v>0</v>
      </c>
      <c r="C978" s="18">
        <v>0</v>
      </c>
    </row>
    <row r="979" spans="1:3" ht="15" hidden="1" x14ac:dyDescent="0.25">
      <c r="A979" s="190"/>
      <c r="B979" s="17" t="s">
        <v>251</v>
      </c>
      <c r="C979" s="18">
        <v>0</v>
      </c>
    </row>
    <row r="980" spans="1:3" ht="15" hidden="1" x14ac:dyDescent="0.25">
      <c r="A980" s="190"/>
      <c r="B980" s="17" t="s">
        <v>256</v>
      </c>
      <c r="C980" s="18">
        <v>0</v>
      </c>
    </row>
    <row r="981" spans="1:3" ht="15" hidden="1" x14ac:dyDescent="0.25">
      <c r="A981" s="190"/>
      <c r="B981" s="17" t="s">
        <v>270</v>
      </c>
      <c r="C981" s="18">
        <v>0</v>
      </c>
    </row>
    <row r="982" spans="1:3" ht="15" hidden="1" x14ac:dyDescent="0.25">
      <c r="A982" s="189"/>
      <c r="B982" s="17" t="s">
        <v>245</v>
      </c>
      <c r="C982" s="18">
        <v>0</v>
      </c>
    </row>
    <row r="983" spans="1:3" ht="15" hidden="1" x14ac:dyDescent="0.25">
      <c r="A983" s="189"/>
      <c r="B983" s="17" t="s">
        <v>249</v>
      </c>
      <c r="C983" s="18">
        <v>0</v>
      </c>
    </row>
    <row r="984" spans="1:3" ht="15" hidden="1" x14ac:dyDescent="0.25">
      <c r="A984" s="190"/>
      <c r="B984" s="17" t="s">
        <v>264</v>
      </c>
      <c r="C984" s="18">
        <v>0</v>
      </c>
    </row>
    <row r="985" spans="1:3" ht="15" hidden="1" x14ac:dyDescent="0.25">
      <c r="A985" s="190"/>
      <c r="B985" s="17" t="s">
        <v>319</v>
      </c>
      <c r="C985" s="18">
        <v>0</v>
      </c>
    </row>
    <row r="986" spans="1:3" ht="15" hidden="1" x14ac:dyDescent="0.25">
      <c r="A986" s="190"/>
      <c r="B986" s="17" t="s">
        <v>318</v>
      </c>
      <c r="C986" s="18">
        <v>0</v>
      </c>
    </row>
    <row r="987" spans="1:3" ht="15" hidden="1" x14ac:dyDescent="0.25">
      <c r="A987" s="190"/>
      <c r="B987" s="17" t="s">
        <v>80</v>
      </c>
      <c r="C987" s="18">
        <v>0</v>
      </c>
    </row>
    <row r="988" spans="1:3" ht="15" hidden="1" x14ac:dyDescent="0.25">
      <c r="A988" s="190">
        <v>5887</v>
      </c>
      <c r="B988" s="17" t="s">
        <v>304</v>
      </c>
      <c r="C988" s="18">
        <v>0</v>
      </c>
    </row>
    <row r="989" spans="1:3" ht="15" hidden="1" x14ac:dyDescent="0.25">
      <c r="A989" s="190">
        <v>5849</v>
      </c>
      <c r="B989" s="17" t="s">
        <v>274</v>
      </c>
      <c r="C989" s="18">
        <v>0</v>
      </c>
    </row>
    <row r="990" spans="1:3" ht="15" hidden="1" x14ac:dyDescent="0.25">
      <c r="A990" s="190">
        <v>5890</v>
      </c>
      <c r="B990" s="17">
        <v>0</v>
      </c>
      <c r="C990" s="18">
        <v>0</v>
      </c>
    </row>
    <row r="991" spans="1:3" ht="15" hidden="1" x14ac:dyDescent="0.25">
      <c r="A991" s="190"/>
      <c r="B991" s="17" t="s">
        <v>257</v>
      </c>
      <c r="C991" s="18">
        <v>0</v>
      </c>
    </row>
    <row r="992" spans="1:3" ht="15" hidden="1" x14ac:dyDescent="0.25">
      <c r="A992" s="190"/>
      <c r="B992" s="17" t="s">
        <v>267</v>
      </c>
      <c r="C992" s="18">
        <v>0</v>
      </c>
    </row>
    <row r="993" spans="1:3" ht="15" hidden="1" x14ac:dyDescent="0.25">
      <c r="A993" s="189"/>
      <c r="B993" s="17" t="s">
        <v>274</v>
      </c>
      <c r="C993" s="18">
        <v>0</v>
      </c>
    </row>
    <row r="994" spans="1:3" ht="15" hidden="1" x14ac:dyDescent="0.25">
      <c r="A994" s="190"/>
      <c r="B994" s="17" t="s">
        <v>285</v>
      </c>
      <c r="C994" s="18">
        <v>0</v>
      </c>
    </row>
    <row r="995" spans="1:3" ht="15" hidden="1" x14ac:dyDescent="0.25">
      <c r="A995" s="190"/>
      <c r="B995" s="17" t="s">
        <v>272</v>
      </c>
      <c r="C995" s="18">
        <v>0</v>
      </c>
    </row>
    <row r="996" spans="1:3" ht="15" hidden="1" x14ac:dyDescent="0.25">
      <c r="A996" s="190">
        <v>5911</v>
      </c>
      <c r="B996" t="s">
        <v>457</v>
      </c>
      <c r="C996" s="18">
        <v>0</v>
      </c>
    </row>
    <row r="997" spans="1:3" ht="15" hidden="1" x14ac:dyDescent="0.25">
      <c r="A997" s="190">
        <v>5919</v>
      </c>
      <c r="B997">
        <v>0</v>
      </c>
      <c r="C997" s="18">
        <v>0</v>
      </c>
    </row>
    <row r="998" spans="1:3" ht="15" hidden="1" x14ac:dyDescent="0.25">
      <c r="A998" s="190"/>
      <c r="B998" s="17" t="s">
        <v>256</v>
      </c>
      <c r="C998" s="18">
        <v>0</v>
      </c>
    </row>
    <row r="999" spans="1:3" ht="15" hidden="1" x14ac:dyDescent="0.25">
      <c r="A999" s="190"/>
      <c r="B999" s="17" t="s">
        <v>272</v>
      </c>
      <c r="C999" s="18">
        <v>0</v>
      </c>
    </row>
    <row r="1000" spans="1:3" ht="15" hidden="1" x14ac:dyDescent="0.25">
      <c r="A1000" s="190"/>
      <c r="B1000" s="17" t="s">
        <v>261</v>
      </c>
      <c r="C1000" s="18">
        <v>0</v>
      </c>
    </row>
    <row r="1001" spans="1:3" ht="15" hidden="1" x14ac:dyDescent="0.25">
      <c r="A1001" s="189">
        <v>5921</v>
      </c>
      <c r="B1001" s="17">
        <v>0</v>
      </c>
      <c r="C1001" s="18">
        <v>0</v>
      </c>
    </row>
    <row r="1002" spans="1:3" ht="15" hidden="1" x14ac:dyDescent="0.25">
      <c r="A1002" s="190"/>
      <c r="B1002" s="17" t="s">
        <v>257</v>
      </c>
      <c r="C1002" s="18">
        <v>0</v>
      </c>
    </row>
    <row r="1003" spans="1:3" ht="15" hidden="1" x14ac:dyDescent="0.25">
      <c r="A1003" s="190">
        <v>5933</v>
      </c>
      <c r="B1003" s="17">
        <v>0</v>
      </c>
      <c r="C1003" s="18">
        <v>0</v>
      </c>
    </row>
    <row r="1004" spans="1:3" ht="15" hidden="1" x14ac:dyDescent="0.25">
      <c r="A1004" s="190"/>
      <c r="B1004" s="17" t="s">
        <v>80</v>
      </c>
      <c r="C1004" s="18">
        <v>0</v>
      </c>
    </row>
    <row r="1005" spans="1:3" ht="15" hidden="1" x14ac:dyDescent="0.25">
      <c r="A1005" s="190">
        <v>5936</v>
      </c>
      <c r="B1005" s="17">
        <v>0</v>
      </c>
      <c r="C1005" s="18">
        <v>0</v>
      </c>
    </row>
    <row r="1006" spans="1:3" ht="15" hidden="1" x14ac:dyDescent="0.25">
      <c r="A1006" s="190"/>
      <c r="B1006" s="17" t="s">
        <v>80</v>
      </c>
      <c r="C1006" s="18">
        <v>0</v>
      </c>
    </row>
    <row r="1007" spans="1:3" ht="15" hidden="1" x14ac:dyDescent="0.25">
      <c r="A1007" s="190">
        <v>5939</v>
      </c>
      <c r="B1007" s="17" t="s">
        <v>245</v>
      </c>
      <c r="C1007" s="18">
        <v>0</v>
      </c>
    </row>
    <row r="1008" spans="1:3" ht="15" hidden="1" x14ac:dyDescent="0.25">
      <c r="A1008" s="190"/>
      <c r="B1008" t="s">
        <v>248</v>
      </c>
      <c r="C1008" s="18">
        <v>0</v>
      </c>
    </row>
    <row r="1009" spans="1:3" ht="15" hidden="1" x14ac:dyDescent="0.25">
      <c r="A1009" s="190"/>
      <c r="B1009" t="s">
        <v>249</v>
      </c>
      <c r="C1009" s="18">
        <v>0</v>
      </c>
    </row>
    <row r="1010" spans="1:3" ht="15" hidden="1" x14ac:dyDescent="0.25">
      <c r="A1010" s="189"/>
      <c r="B1010" t="s">
        <v>263</v>
      </c>
      <c r="C1010" s="18">
        <v>0</v>
      </c>
    </row>
    <row r="1011" spans="1:3" ht="15" hidden="1" x14ac:dyDescent="0.25">
      <c r="A1011" s="190"/>
      <c r="B1011" t="s">
        <v>264</v>
      </c>
      <c r="C1011" s="18">
        <v>0</v>
      </c>
    </row>
    <row r="1012" spans="1:3" ht="15" hidden="1" x14ac:dyDescent="0.25">
      <c r="A1012" s="190"/>
      <c r="B1012" t="s">
        <v>319</v>
      </c>
      <c r="C1012" s="18">
        <v>0</v>
      </c>
    </row>
    <row r="1013" spans="1:3" ht="15" hidden="1" x14ac:dyDescent="0.25">
      <c r="A1013" s="190"/>
      <c r="B1013" t="s">
        <v>414</v>
      </c>
      <c r="C1013" s="18">
        <v>0</v>
      </c>
    </row>
    <row r="1014" spans="1:3" ht="15" hidden="1" x14ac:dyDescent="0.25">
      <c r="A1014" s="190">
        <v>5941</v>
      </c>
      <c r="B1014" t="s">
        <v>245</v>
      </c>
      <c r="C1014" s="18">
        <v>0</v>
      </c>
    </row>
    <row r="1015" spans="1:3" ht="15" hidden="1" x14ac:dyDescent="0.25">
      <c r="A1015" s="190"/>
      <c r="B1015" t="s">
        <v>248</v>
      </c>
      <c r="C1015" s="18">
        <v>0</v>
      </c>
    </row>
    <row r="1016" spans="1:3" ht="15" hidden="1" x14ac:dyDescent="0.25">
      <c r="A1016" s="190"/>
      <c r="B1016" s="17" t="s">
        <v>249</v>
      </c>
      <c r="C1016" s="18">
        <v>0</v>
      </c>
    </row>
    <row r="1017" spans="1:3" ht="15" hidden="1" x14ac:dyDescent="0.25">
      <c r="A1017" s="190"/>
      <c r="B1017" s="17" t="s">
        <v>263</v>
      </c>
      <c r="C1017" s="18">
        <v>0</v>
      </c>
    </row>
    <row r="1018" spans="1:3" ht="15" hidden="1" x14ac:dyDescent="0.25">
      <c r="A1018" s="190"/>
      <c r="B1018" s="17" t="s">
        <v>264</v>
      </c>
      <c r="C1018" s="18">
        <v>0</v>
      </c>
    </row>
    <row r="1019" spans="1:3" ht="15" hidden="1" x14ac:dyDescent="0.25">
      <c r="A1019" s="189"/>
      <c r="B1019" s="17" t="s">
        <v>319</v>
      </c>
      <c r="C1019" s="18">
        <v>0</v>
      </c>
    </row>
    <row r="1020" spans="1:3" ht="15" hidden="1" x14ac:dyDescent="0.25">
      <c r="A1020" s="190"/>
      <c r="B1020" s="17" t="s">
        <v>414</v>
      </c>
      <c r="C1020" s="18">
        <v>0</v>
      </c>
    </row>
    <row r="1021" spans="1:3" ht="15" hidden="1" x14ac:dyDescent="0.25">
      <c r="A1021" s="190">
        <v>5942</v>
      </c>
      <c r="B1021" t="s">
        <v>274</v>
      </c>
      <c r="C1021" s="18">
        <v>0</v>
      </c>
    </row>
    <row r="1022" spans="1:3" ht="15" x14ac:dyDescent="0.25">
      <c r="A1022" s="190">
        <v>5945</v>
      </c>
      <c r="B1022" t="s">
        <v>279</v>
      </c>
      <c r="C1022" s="18">
        <v>1</v>
      </c>
    </row>
    <row r="1023" spans="1:3" ht="15" x14ac:dyDescent="0.25">
      <c r="A1023" s="190"/>
      <c r="B1023" s="17" t="s">
        <v>391</v>
      </c>
      <c r="C1023" s="18">
        <v>1</v>
      </c>
    </row>
    <row r="1024" spans="1:3" ht="15" hidden="1" x14ac:dyDescent="0.25">
      <c r="A1024" s="190">
        <v>5912</v>
      </c>
      <c r="B1024" s="17" t="s">
        <v>72</v>
      </c>
      <c r="C1024" s="18">
        <v>0</v>
      </c>
    </row>
    <row r="1025" spans="1:3" ht="15" hidden="1" x14ac:dyDescent="0.25">
      <c r="A1025" s="190"/>
      <c r="B1025" s="17" t="s">
        <v>318</v>
      </c>
      <c r="C1025" s="18">
        <v>0</v>
      </c>
    </row>
    <row r="1026" spans="1:3" ht="15" hidden="1" x14ac:dyDescent="0.25">
      <c r="A1026" s="190">
        <v>5998</v>
      </c>
      <c r="B1026" s="17" t="s">
        <v>72</v>
      </c>
      <c r="C1026" s="18">
        <v>0</v>
      </c>
    </row>
    <row r="1027" spans="1:3" ht="15" hidden="1" x14ac:dyDescent="0.25">
      <c r="A1027" s="190">
        <v>5975</v>
      </c>
      <c r="B1027" s="17">
        <v>0</v>
      </c>
      <c r="C1027" s="18">
        <v>0</v>
      </c>
    </row>
    <row r="1028" spans="1:3" ht="15" hidden="1" x14ac:dyDescent="0.25">
      <c r="A1028" s="190"/>
      <c r="B1028" s="17" t="s">
        <v>279</v>
      </c>
      <c r="C1028" s="18">
        <v>0</v>
      </c>
    </row>
    <row r="1029" spans="1:3" ht="15" hidden="1" x14ac:dyDescent="0.25">
      <c r="A1029" s="190"/>
      <c r="B1029" s="17" t="s">
        <v>269</v>
      </c>
      <c r="C1029" s="18">
        <v>0</v>
      </c>
    </row>
    <row r="1030" spans="1:3" ht="15" hidden="1" x14ac:dyDescent="0.25">
      <c r="A1030" s="190"/>
      <c r="B1030" s="17" t="s">
        <v>274</v>
      </c>
      <c r="C1030" s="18">
        <v>0</v>
      </c>
    </row>
    <row r="1031" spans="1:3" ht="15" hidden="1" x14ac:dyDescent="0.25">
      <c r="A1031" s="190"/>
      <c r="B1031" s="17" t="s">
        <v>260</v>
      </c>
      <c r="C1031" s="18">
        <v>0</v>
      </c>
    </row>
    <row r="1032" spans="1:3" ht="15" hidden="1" x14ac:dyDescent="0.25">
      <c r="A1032" s="189"/>
      <c r="B1032" s="17" t="s">
        <v>72</v>
      </c>
      <c r="C1032" s="18">
        <v>0</v>
      </c>
    </row>
    <row r="1033" spans="1:3" ht="15" hidden="1" x14ac:dyDescent="0.25">
      <c r="A1033" s="190"/>
      <c r="B1033" s="17" t="s">
        <v>272</v>
      </c>
      <c r="C1033" s="18">
        <v>0</v>
      </c>
    </row>
    <row r="1034" spans="1:3" ht="15" hidden="1" x14ac:dyDescent="0.25">
      <c r="A1034" s="189"/>
      <c r="B1034" s="17" t="s">
        <v>318</v>
      </c>
      <c r="C1034" s="18">
        <v>0</v>
      </c>
    </row>
    <row r="1035" spans="1:3" ht="15" hidden="1" x14ac:dyDescent="0.25">
      <c r="A1035" s="190">
        <v>6004</v>
      </c>
      <c r="B1035" s="17">
        <v>0</v>
      </c>
      <c r="C1035" s="18">
        <v>0</v>
      </c>
    </row>
    <row r="1036" spans="1:3" ht="15" hidden="1" x14ac:dyDescent="0.25">
      <c r="A1036" s="190"/>
      <c r="B1036" s="17" t="s">
        <v>260</v>
      </c>
      <c r="C1036" s="18">
        <v>0</v>
      </c>
    </row>
    <row r="1037" spans="1:3" ht="15" hidden="1" x14ac:dyDescent="0.25">
      <c r="A1037" s="190">
        <v>5991</v>
      </c>
      <c r="B1037" s="17" t="s">
        <v>247</v>
      </c>
      <c r="C1037" s="18">
        <v>0</v>
      </c>
    </row>
    <row r="1038" spans="1:3" ht="15" hidden="1" x14ac:dyDescent="0.25">
      <c r="A1038" s="190">
        <v>6016</v>
      </c>
      <c r="B1038" s="17">
        <v>0</v>
      </c>
      <c r="C1038" s="18">
        <v>0</v>
      </c>
    </row>
    <row r="1039" spans="1:3" ht="15" hidden="1" x14ac:dyDescent="0.25">
      <c r="A1039" s="190"/>
      <c r="B1039" s="17" t="s">
        <v>72</v>
      </c>
      <c r="C1039" s="18">
        <v>0</v>
      </c>
    </row>
    <row r="1040" spans="1:3" ht="15" hidden="1" x14ac:dyDescent="0.25">
      <c r="A1040" s="190"/>
      <c r="B1040" s="17" t="s">
        <v>318</v>
      </c>
      <c r="C1040" s="18">
        <v>0</v>
      </c>
    </row>
    <row r="1041" spans="1:3" ht="15" hidden="1" x14ac:dyDescent="0.25">
      <c r="A1041" s="190">
        <v>6025</v>
      </c>
      <c r="B1041" s="17">
        <v>0</v>
      </c>
      <c r="C1041" s="18">
        <v>0</v>
      </c>
    </row>
    <row r="1042" spans="1:3" ht="15" hidden="1" x14ac:dyDescent="0.25">
      <c r="A1042" s="190"/>
      <c r="B1042" s="17" t="s">
        <v>72</v>
      </c>
      <c r="C1042" s="18">
        <v>0</v>
      </c>
    </row>
    <row r="1043" spans="1:3" ht="15" hidden="1" x14ac:dyDescent="0.25">
      <c r="A1043" s="190">
        <v>6026</v>
      </c>
      <c r="B1043" s="17" t="s">
        <v>266</v>
      </c>
      <c r="C1043" s="18">
        <v>0</v>
      </c>
    </row>
    <row r="1044" spans="1:3" ht="15" hidden="1" x14ac:dyDescent="0.25">
      <c r="A1044" s="190">
        <v>6029</v>
      </c>
      <c r="B1044">
        <v>0</v>
      </c>
      <c r="C1044" s="18">
        <v>0</v>
      </c>
    </row>
    <row r="1045" spans="1:3" ht="15" hidden="1" x14ac:dyDescent="0.25">
      <c r="A1045" s="190">
        <v>6024</v>
      </c>
      <c r="B1045" t="s">
        <v>282</v>
      </c>
      <c r="C1045" s="18">
        <v>0</v>
      </c>
    </row>
    <row r="1046" spans="1:3" ht="15" hidden="1" x14ac:dyDescent="0.25">
      <c r="A1046" s="190"/>
      <c r="B1046" s="17" t="s">
        <v>260</v>
      </c>
      <c r="C1046" s="18">
        <v>0</v>
      </c>
    </row>
    <row r="1047" spans="1:3" ht="15" hidden="1" x14ac:dyDescent="0.25">
      <c r="A1047" s="190"/>
      <c r="B1047" t="s">
        <v>344</v>
      </c>
      <c r="C1047" s="18">
        <v>0</v>
      </c>
    </row>
    <row r="1048" spans="1:3" ht="15" hidden="1" x14ac:dyDescent="0.25">
      <c r="A1048" s="190">
        <v>6051</v>
      </c>
      <c r="B1048" t="s">
        <v>318</v>
      </c>
      <c r="C1048" s="18">
        <v>0</v>
      </c>
    </row>
    <row r="1049" spans="1:3" ht="15" hidden="1" x14ac:dyDescent="0.25">
      <c r="A1049" s="190">
        <v>6020</v>
      </c>
      <c r="B1049" t="s">
        <v>245</v>
      </c>
      <c r="C1049" s="18">
        <v>0</v>
      </c>
    </row>
    <row r="1050" spans="1:3" ht="15" hidden="1" x14ac:dyDescent="0.25">
      <c r="A1050" s="190"/>
      <c r="B1050" t="s">
        <v>248</v>
      </c>
      <c r="C1050" s="18">
        <v>0</v>
      </c>
    </row>
    <row r="1051" spans="1:3" ht="15" hidden="1" x14ac:dyDescent="0.25">
      <c r="A1051" s="190"/>
      <c r="B1051" t="s">
        <v>319</v>
      </c>
      <c r="C1051" s="18">
        <v>0</v>
      </c>
    </row>
    <row r="1052" spans="1:3" ht="15" hidden="1" x14ac:dyDescent="0.25">
      <c r="A1052" s="190">
        <v>6079</v>
      </c>
      <c r="B1052" t="s">
        <v>266</v>
      </c>
      <c r="C1052" s="18">
        <v>0</v>
      </c>
    </row>
    <row r="1053" spans="1:3" ht="15" hidden="1" x14ac:dyDescent="0.25">
      <c r="A1053" s="190">
        <v>6078</v>
      </c>
      <c r="B1053">
        <v>0</v>
      </c>
      <c r="C1053" s="18">
        <v>0</v>
      </c>
    </row>
    <row r="1054" spans="1:3" ht="15" hidden="1" x14ac:dyDescent="0.25">
      <c r="A1054" s="189"/>
      <c r="B1054" t="s">
        <v>278</v>
      </c>
      <c r="C1054" s="18">
        <v>0</v>
      </c>
    </row>
    <row r="1055" spans="1:3" ht="15" hidden="1" x14ac:dyDescent="0.25">
      <c r="A1055" s="190"/>
      <c r="B1055" s="17" t="s">
        <v>258</v>
      </c>
      <c r="C1055" s="18">
        <v>0</v>
      </c>
    </row>
    <row r="1056" spans="1:3" ht="15" hidden="1" x14ac:dyDescent="0.25">
      <c r="A1056" s="190">
        <v>6048</v>
      </c>
      <c r="B1056" s="17">
        <v>0</v>
      </c>
      <c r="C1056" s="18">
        <v>0</v>
      </c>
    </row>
    <row r="1057" spans="1:3" ht="15" hidden="1" x14ac:dyDescent="0.25">
      <c r="A1057" s="190">
        <v>6087</v>
      </c>
      <c r="B1057">
        <v>0</v>
      </c>
      <c r="C1057" s="18">
        <v>0</v>
      </c>
    </row>
    <row r="1058" spans="1:3" ht="15" hidden="1" x14ac:dyDescent="0.25">
      <c r="A1058" s="190"/>
      <c r="B1058" t="s">
        <v>80</v>
      </c>
      <c r="C1058" s="18">
        <v>0</v>
      </c>
    </row>
    <row r="1059" spans="1:3" ht="15" hidden="1" x14ac:dyDescent="0.25">
      <c r="A1059" s="190">
        <v>6091</v>
      </c>
      <c r="B1059">
        <v>0</v>
      </c>
      <c r="C1059" s="18">
        <v>0</v>
      </c>
    </row>
    <row r="1060" spans="1:3" ht="15" hidden="1" x14ac:dyDescent="0.25">
      <c r="A1060" s="190"/>
      <c r="B1060" t="s">
        <v>251</v>
      </c>
      <c r="C1060" s="18">
        <v>0</v>
      </c>
    </row>
    <row r="1061" spans="1:3" ht="15" hidden="1" x14ac:dyDescent="0.25">
      <c r="A1061" s="190"/>
      <c r="B1061" s="17" t="s">
        <v>256</v>
      </c>
      <c r="C1061" s="18">
        <v>0</v>
      </c>
    </row>
    <row r="1062" spans="1:3" ht="15" hidden="1" x14ac:dyDescent="0.25">
      <c r="A1062" s="190"/>
      <c r="B1062" s="17" t="s">
        <v>270</v>
      </c>
      <c r="C1062" s="18">
        <v>0</v>
      </c>
    </row>
    <row r="1063" spans="1:3" ht="15" hidden="1" x14ac:dyDescent="0.25">
      <c r="A1063" s="190"/>
      <c r="B1063" t="s">
        <v>245</v>
      </c>
      <c r="C1063" s="18">
        <v>0</v>
      </c>
    </row>
    <row r="1064" spans="1:3" ht="15" hidden="1" x14ac:dyDescent="0.25">
      <c r="A1064" s="190"/>
      <c r="B1064" t="s">
        <v>249</v>
      </c>
      <c r="C1064" s="18">
        <v>0</v>
      </c>
    </row>
    <row r="1065" spans="1:3" ht="15" hidden="1" x14ac:dyDescent="0.25">
      <c r="A1065" s="190"/>
      <c r="B1065" t="s">
        <v>264</v>
      </c>
      <c r="C1065" s="18">
        <v>0</v>
      </c>
    </row>
    <row r="1066" spans="1:3" ht="15" hidden="1" x14ac:dyDescent="0.25">
      <c r="A1066" s="189"/>
      <c r="B1066" t="s">
        <v>319</v>
      </c>
      <c r="C1066" s="18">
        <v>0</v>
      </c>
    </row>
    <row r="1067" spans="1:3" ht="15" hidden="1" x14ac:dyDescent="0.25">
      <c r="A1067" s="189"/>
      <c r="B1067" t="s">
        <v>318</v>
      </c>
      <c r="C1067" s="18">
        <v>0</v>
      </c>
    </row>
    <row r="1068" spans="1:3" ht="15" hidden="1" x14ac:dyDescent="0.25">
      <c r="A1068" s="190"/>
      <c r="B1068" t="s">
        <v>80</v>
      </c>
      <c r="C1068" s="18">
        <v>0</v>
      </c>
    </row>
    <row r="1069" spans="1:3" ht="15" hidden="1" x14ac:dyDescent="0.25">
      <c r="A1069" s="191"/>
      <c r="B1069" s="17" t="s">
        <v>387</v>
      </c>
      <c r="C1069" s="18">
        <v>0</v>
      </c>
    </row>
    <row r="1070" spans="1:3" ht="15" hidden="1" x14ac:dyDescent="0.25">
      <c r="A1070" s="189">
        <v>6092</v>
      </c>
      <c r="B1070" s="17" t="s">
        <v>247</v>
      </c>
      <c r="C1070" s="18">
        <v>0</v>
      </c>
    </row>
    <row r="1071" spans="1:3" ht="15" hidden="1" x14ac:dyDescent="0.25">
      <c r="A1071" s="190"/>
      <c r="B1071" s="17" t="s">
        <v>245</v>
      </c>
      <c r="C1071" s="18">
        <v>0</v>
      </c>
    </row>
    <row r="1072" spans="1:3" ht="15" hidden="1" x14ac:dyDescent="0.25">
      <c r="A1072" s="190"/>
      <c r="B1072" t="s">
        <v>249</v>
      </c>
      <c r="C1072" s="18">
        <v>0</v>
      </c>
    </row>
    <row r="1073" spans="1:3" ht="15" hidden="1" x14ac:dyDescent="0.25">
      <c r="A1073" s="190"/>
      <c r="B1073" t="s">
        <v>72</v>
      </c>
      <c r="C1073" s="18">
        <v>0</v>
      </c>
    </row>
    <row r="1074" spans="1:3" ht="15" hidden="1" x14ac:dyDescent="0.25">
      <c r="A1074" s="190"/>
      <c r="B1074" t="s">
        <v>323</v>
      </c>
      <c r="C1074" s="18">
        <v>0</v>
      </c>
    </row>
    <row r="1075" spans="1:3" ht="15" hidden="1" x14ac:dyDescent="0.25">
      <c r="A1075" s="190"/>
      <c r="B1075" t="s">
        <v>328</v>
      </c>
      <c r="C1075" s="18">
        <v>0</v>
      </c>
    </row>
    <row r="1076" spans="1:3" ht="15" hidden="1" x14ac:dyDescent="0.25">
      <c r="A1076" s="190">
        <v>6096</v>
      </c>
      <c r="B1076">
        <v>0</v>
      </c>
      <c r="C1076" s="18">
        <v>0</v>
      </c>
    </row>
    <row r="1077" spans="1:3" ht="15" hidden="1" x14ac:dyDescent="0.25">
      <c r="A1077" s="190"/>
      <c r="B1077" s="17" t="s">
        <v>306</v>
      </c>
      <c r="C1077" s="18">
        <v>0</v>
      </c>
    </row>
    <row r="1078" spans="1:3" ht="15" hidden="1" x14ac:dyDescent="0.25">
      <c r="A1078" s="190"/>
      <c r="B1078" s="17" t="s">
        <v>255</v>
      </c>
      <c r="C1078" s="18">
        <v>0</v>
      </c>
    </row>
    <row r="1079" spans="1:3" ht="15" hidden="1" x14ac:dyDescent="0.25">
      <c r="A1079" s="190">
        <v>6125</v>
      </c>
      <c r="B1079">
        <v>0</v>
      </c>
      <c r="C1079" s="18">
        <v>0</v>
      </c>
    </row>
    <row r="1080" spans="1:3" ht="15" hidden="1" x14ac:dyDescent="0.25">
      <c r="A1080" s="189">
        <v>6134</v>
      </c>
      <c r="B1080" t="s">
        <v>318</v>
      </c>
      <c r="C1080" s="18">
        <v>0</v>
      </c>
    </row>
    <row r="1081" spans="1:3" ht="15" hidden="1" x14ac:dyDescent="0.25">
      <c r="A1081" s="190">
        <v>6115</v>
      </c>
      <c r="B1081" t="s">
        <v>286</v>
      </c>
      <c r="C1081" s="18">
        <v>0</v>
      </c>
    </row>
    <row r="1082" spans="1:3" ht="15" hidden="1" x14ac:dyDescent="0.25">
      <c r="A1082" s="190">
        <v>6136</v>
      </c>
      <c r="B1082">
        <v>0</v>
      </c>
      <c r="C1082" s="18">
        <v>0</v>
      </c>
    </row>
    <row r="1083" spans="1:3" ht="15" hidden="1" x14ac:dyDescent="0.25">
      <c r="A1083" s="190"/>
      <c r="B1083" t="s">
        <v>256</v>
      </c>
      <c r="C1083" s="18">
        <v>0</v>
      </c>
    </row>
    <row r="1084" spans="1:3" ht="15" hidden="1" x14ac:dyDescent="0.25">
      <c r="A1084" s="190"/>
      <c r="B1084" t="s">
        <v>262</v>
      </c>
      <c r="C1084" s="18">
        <v>0</v>
      </c>
    </row>
    <row r="1085" spans="1:3" ht="15" hidden="1" x14ac:dyDescent="0.25">
      <c r="A1085" s="190"/>
      <c r="B1085" t="s">
        <v>245</v>
      </c>
      <c r="C1085" s="18">
        <v>0</v>
      </c>
    </row>
    <row r="1086" spans="1:3" ht="15" hidden="1" x14ac:dyDescent="0.25">
      <c r="A1086" s="190"/>
      <c r="B1086" t="s">
        <v>249</v>
      </c>
      <c r="C1086" s="18">
        <v>0</v>
      </c>
    </row>
    <row r="1087" spans="1:3" ht="15" hidden="1" x14ac:dyDescent="0.25">
      <c r="A1087" s="190"/>
      <c r="B1087" t="s">
        <v>264</v>
      </c>
      <c r="C1087" s="18">
        <v>0</v>
      </c>
    </row>
    <row r="1088" spans="1:3" ht="15" hidden="1" x14ac:dyDescent="0.25">
      <c r="A1088" s="190"/>
      <c r="B1088" t="s">
        <v>319</v>
      </c>
      <c r="C1088" s="18">
        <v>0</v>
      </c>
    </row>
    <row r="1089" spans="1:3" ht="15" hidden="1" x14ac:dyDescent="0.25">
      <c r="A1089" s="190"/>
      <c r="B1089" t="s">
        <v>318</v>
      </c>
      <c r="C1089" s="18">
        <v>0</v>
      </c>
    </row>
    <row r="1090" spans="1:3" ht="15" hidden="1" x14ac:dyDescent="0.25">
      <c r="A1090" s="190"/>
      <c r="B1090" s="17" t="s">
        <v>80</v>
      </c>
      <c r="C1090" s="18">
        <v>0</v>
      </c>
    </row>
    <row r="1091" spans="1:3" ht="15" hidden="1" x14ac:dyDescent="0.25">
      <c r="A1091" s="190">
        <v>6141</v>
      </c>
      <c r="B1091" s="17">
        <v>0</v>
      </c>
      <c r="C1091" s="18">
        <v>0</v>
      </c>
    </row>
    <row r="1092" spans="1:3" ht="15" hidden="1" x14ac:dyDescent="0.25">
      <c r="A1092" s="190"/>
      <c r="B1092" s="17" t="s">
        <v>80</v>
      </c>
      <c r="C1092" s="18">
        <v>0</v>
      </c>
    </row>
    <row r="1093" spans="1:3" ht="15" hidden="1" x14ac:dyDescent="0.25">
      <c r="A1093" s="190">
        <v>6142</v>
      </c>
      <c r="B1093" s="17">
        <v>0</v>
      </c>
      <c r="C1093" s="18">
        <v>0</v>
      </c>
    </row>
    <row r="1094" spans="1:3" ht="15" hidden="1" x14ac:dyDescent="0.25">
      <c r="A1094" s="190"/>
      <c r="B1094" s="17" t="s">
        <v>80</v>
      </c>
      <c r="C1094" s="18">
        <v>0</v>
      </c>
    </row>
    <row r="1095" spans="1:3" ht="15" hidden="1" x14ac:dyDescent="0.25">
      <c r="A1095" s="190">
        <v>6149</v>
      </c>
      <c r="B1095" s="17" t="s">
        <v>260</v>
      </c>
      <c r="C1095" s="18">
        <v>0</v>
      </c>
    </row>
    <row r="1096" spans="1:3" ht="15" hidden="1" x14ac:dyDescent="0.25">
      <c r="A1096" s="190"/>
      <c r="B1096" s="17" t="s">
        <v>318</v>
      </c>
      <c r="C1096" s="18">
        <v>0</v>
      </c>
    </row>
    <row r="1097" spans="1:3" ht="15" hidden="1" x14ac:dyDescent="0.25">
      <c r="A1097" s="190">
        <v>6151</v>
      </c>
      <c r="B1097" t="s">
        <v>73</v>
      </c>
      <c r="C1097" s="18">
        <v>0</v>
      </c>
    </row>
    <row r="1098" spans="1:3" ht="15" hidden="1" x14ac:dyDescent="0.25">
      <c r="A1098" s="190">
        <v>6155</v>
      </c>
      <c r="B1098">
        <v>0</v>
      </c>
      <c r="C1098" s="18">
        <v>0</v>
      </c>
    </row>
    <row r="1099" spans="1:3" ht="15" hidden="1" x14ac:dyDescent="0.25">
      <c r="A1099" s="190"/>
      <c r="B1099" t="s">
        <v>251</v>
      </c>
      <c r="C1099" s="18">
        <v>0</v>
      </c>
    </row>
    <row r="1100" spans="1:3" ht="15" hidden="1" x14ac:dyDescent="0.25">
      <c r="A1100" s="190"/>
      <c r="B1100" t="s">
        <v>256</v>
      </c>
      <c r="C1100" s="18">
        <v>0</v>
      </c>
    </row>
    <row r="1101" spans="1:3" ht="15" hidden="1" x14ac:dyDescent="0.25">
      <c r="A1101" s="190"/>
      <c r="B1101" t="s">
        <v>270</v>
      </c>
      <c r="C1101" s="18">
        <v>0</v>
      </c>
    </row>
    <row r="1102" spans="1:3" ht="15" hidden="1" x14ac:dyDescent="0.25">
      <c r="A1102" s="190"/>
      <c r="B1102" s="17" t="s">
        <v>245</v>
      </c>
      <c r="C1102" s="18">
        <v>0</v>
      </c>
    </row>
    <row r="1103" spans="1:3" ht="15" hidden="1" x14ac:dyDescent="0.25">
      <c r="A1103" s="190"/>
      <c r="B1103" s="17" t="s">
        <v>264</v>
      </c>
      <c r="C1103" s="18">
        <v>0</v>
      </c>
    </row>
    <row r="1104" spans="1:3" ht="15" hidden="1" x14ac:dyDescent="0.25">
      <c r="A1104" s="190"/>
      <c r="B1104" s="17" t="s">
        <v>319</v>
      </c>
      <c r="C1104" s="18">
        <v>0</v>
      </c>
    </row>
    <row r="1105" spans="1:3" ht="15" hidden="1" x14ac:dyDescent="0.25">
      <c r="A1105" s="189"/>
      <c r="B1105" s="17" t="s">
        <v>318</v>
      </c>
      <c r="C1105" s="18">
        <v>0</v>
      </c>
    </row>
    <row r="1106" spans="1:3" ht="15" hidden="1" x14ac:dyDescent="0.25">
      <c r="A1106" s="189"/>
      <c r="B1106" s="17" t="s">
        <v>80</v>
      </c>
      <c r="C1106" s="18">
        <v>0</v>
      </c>
    </row>
    <row r="1107" spans="1:3" ht="15" hidden="1" x14ac:dyDescent="0.25">
      <c r="A1107" s="189"/>
      <c r="B1107" s="17" t="s">
        <v>78</v>
      </c>
      <c r="C1107" s="18">
        <v>0</v>
      </c>
    </row>
    <row r="1108" spans="1:3" ht="15" hidden="1" x14ac:dyDescent="0.25">
      <c r="A1108" s="190"/>
      <c r="B1108" s="17" t="s">
        <v>387</v>
      </c>
      <c r="C1108" s="18">
        <v>0</v>
      </c>
    </row>
    <row r="1109" spans="1:3" ht="15" hidden="1" x14ac:dyDescent="0.25">
      <c r="A1109" s="190">
        <v>6157</v>
      </c>
      <c r="B1109" s="17" t="s">
        <v>289</v>
      </c>
      <c r="C1109" s="18">
        <v>0</v>
      </c>
    </row>
    <row r="1110" spans="1:3" ht="15" hidden="1" x14ac:dyDescent="0.25">
      <c r="A1110" s="190"/>
      <c r="B1110" s="17" t="s">
        <v>250</v>
      </c>
      <c r="C1110" s="18">
        <v>0</v>
      </c>
    </row>
    <row r="1111" spans="1:3" ht="15" hidden="1" x14ac:dyDescent="0.25">
      <c r="A1111" s="190"/>
      <c r="B1111" s="17" t="s">
        <v>247</v>
      </c>
      <c r="C1111" s="18">
        <v>0</v>
      </c>
    </row>
    <row r="1112" spans="1:3" ht="15" hidden="1" x14ac:dyDescent="0.25">
      <c r="A1112" s="190"/>
      <c r="B1112" s="17" t="s">
        <v>291</v>
      </c>
      <c r="C1112" s="18">
        <v>0</v>
      </c>
    </row>
    <row r="1113" spans="1:3" ht="15" hidden="1" x14ac:dyDescent="0.25">
      <c r="A1113" s="190"/>
      <c r="B1113" s="17" t="s">
        <v>311</v>
      </c>
      <c r="C1113" s="18">
        <v>0</v>
      </c>
    </row>
    <row r="1114" spans="1:3" ht="15" hidden="1" x14ac:dyDescent="0.25">
      <c r="A1114" s="190"/>
      <c r="B1114" s="17" t="s">
        <v>245</v>
      </c>
      <c r="C1114" s="18">
        <v>0</v>
      </c>
    </row>
    <row r="1115" spans="1:3" ht="15" hidden="1" x14ac:dyDescent="0.25">
      <c r="A1115" s="190"/>
      <c r="B1115" s="17" t="s">
        <v>248</v>
      </c>
      <c r="C1115" s="18">
        <v>0</v>
      </c>
    </row>
    <row r="1116" spans="1:3" ht="15" hidden="1" x14ac:dyDescent="0.25">
      <c r="A1116" s="190"/>
      <c r="B1116" t="s">
        <v>249</v>
      </c>
      <c r="C1116" s="18">
        <v>0</v>
      </c>
    </row>
    <row r="1117" spans="1:3" ht="15" hidden="1" x14ac:dyDescent="0.25">
      <c r="A1117" s="190"/>
      <c r="B1117" t="s">
        <v>263</v>
      </c>
      <c r="C1117" s="18">
        <v>0</v>
      </c>
    </row>
    <row r="1118" spans="1:3" ht="15" hidden="1" x14ac:dyDescent="0.25">
      <c r="A1118" s="190"/>
      <c r="B1118" s="17" t="s">
        <v>264</v>
      </c>
      <c r="C1118" s="18">
        <v>0</v>
      </c>
    </row>
    <row r="1119" spans="1:3" ht="15" hidden="1" x14ac:dyDescent="0.25">
      <c r="A1119" s="190"/>
      <c r="B1119" s="17" t="s">
        <v>319</v>
      </c>
      <c r="C1119" s="18">
        <v>0</v>
      </c>
    </row>
    <row r="1120" spans="1:3" ht="15" hidden="1" x14ac:dyDescent="0.25">
      <c r="A1120" s="190"/>
      <c r="B1120" s="17" t="s">
        <v>320</v>
      </c>
      <c r="C1120" s="18">
        <v>0</v>
      </c>
    </row>
    <row r="1121" spans="1:3" ht="15" hidden="1" x14ac:dyDescent="0.25">
      <c r="A1121" s="190"/>
      <c r="B1121" s="17" t="s">
        <v>321</v>
      </c>
      <c r="C1121" s="18">
        <v>0</v>
      </c>
    </row>
    <row r="1122" spans="1:3" ht="15" hidden="1" x14ac:dyDescent="0.25">
      <c r="A1122" s="190"/>
      <c r="B1122" s="17" t="s">
        <v>322</v>
      </c>
      <c r="C1122" s="18">
        <v>0</v>
      </c>
    </row>
    <row r="1123" spans="1:3" ht="15" hidden="1" x14ac:dyDescent="0.25">
      <c r="A1123" s="189"/>
      <c r="B1123" s="17" t="s">
        <v>80</v>
      </c>
      <c r="C1123" s="18">
        <v>0</v>
      </c>
    </row>
    <row r="1124" spans="1:3" ht="15" hidden="1" x14ac:dyDescent="0.25">
      <c r="A1124" s="190">
        <v>6162</v>
      </c>
      <c r="B1124" s="17">
        <v>0</v>
      </c>
      <c r="C1124" s="18">
        <v>0</v>
      </c>
    </row>
    <row r="1125" spans="1:3" ht="15" hidden="1" x14ac:dyDescent="0.25">
      <c r="A1125" s="190"/>
      <c r="B1125" s="17" t="s">
        <v>251</v>
      </c>
      <c r="C1125" s="18">
        <v>0</v>
      </c>
    </row>
    <row r="1126" spans="1:3" ht="15" hidden="1" x14ac:dyDescent="0.25">
      <c r="A1126" s="190"/>
      <c r="B1126" s="17" t="s">
        <v>291</v>
      </c>
      <c r="C1126" s="18">
        <v>0</v>
      </c>
    </row>
    <row r="1127" spans="1:3" ht="15" hidden="1" x14ac:dyDescent="0.25">
      <c r="A1127" s="190"/>
      <c r="B1127" s="17" t="s">
        <v>258</v>
      </c>
      <c r="C1127" s="18">
        <v>0</v>
      </c>
    </row>
    <row r="1128" spans="1:3" ht="15" hidden="1" x14ac:dyDescent="0.25">
      <c r="A1128" s="190"/>
      <c r="B1128" s="17" t="s">
        <v>256</v>
      </c>
      <c r="C1128" s="18">
        <v>0</v>
      </c>
    </row>
    <row r="1129" spans="1:3" ht="15" hidden="1" x14ac:dyDescent="0.25">
      <c r="A1129" s="190"/>
      <c r="B1129" s="17" t="s">
        <v>245</v>
      </c>
      <c r="C1129" s="18">
        <v>0</v>
      </c>
    </row>
    <row r="1130" spans="1:3" ht="15" hidden="1" x14ac:dyDescent="0.25">
      <c r="A1130" s="189"/>
      <c r="B1130" s="17" t="s">
        <v>248</v>
      </c>
      <c r="C1130" s="18">
        <v>0</v>
      </c>
    </row>
    <row r="1131" spans="1:3" ht="15" hidden="1" x14ac:dyDescent="0.25">
      <c r="A1131" s="189"/>
      <c r="B1131" s="17" t="s">
        <v>249</v>
      </c>
      <c r="C1131" s="18">
        <v>0</v>
      </c>
    </row>
    <row r="1132" spans="1:3" ht="15" hidden="1" x14ac:dyDescent="0.25">
      <c r="A1132" s="190"/>
      <c r="B1132" s="17" t="s">
        <v>255</v>
      </c>
      <c r="C1132" s="18">
        <v>0</v>
      </c>
    </row>
    <row r="1133" spans="1:3" ht="15" hidden="1" x14ac:dyDescent="0.25">
      <c r="A1133" s="190"/>
      <c r="B1133" s="17" t="s">
        <v>264</v>
      </c>
      <c r="C1133" s="18">
        <v>0</v>
      </c>
    </row>
    <row r="1134" spans="1:3" ht="15" hidden="1" x14ac:dyDescent="0.25">
      <c r="A1134" s="190"/>
      <c r="B1134" s="17" t="s">
        <v>319</v>
      </c>
      <c r="C1134" s="18">
        <v>0</v>
      </c>
    </row>
    <row r="1135" spans="1:3" ht="15" hidden="1" x14ac:dyDescent="0.25">
      <c r="A1135" s="190"/>
      <c r="B1135" s="17" t="s">
        <v>318</v>
      </c>
      <c r="C1135" s="18">
        <v>0</v>
      </c>
    </row>
    <row r="1136" spans="1:3" ht="15" hidden="1" x14ac:dyDescent="0.25">
      <c r="A1136" s="190"/>
      <c r="B1136" s="17" t="s">
        <v>80</v>
      </c>
      <c r="C1136" s="18">
        <v>0</v>
      </c>
    </row>
    <row r="1137" spans="1:3" ht="15" hidden="1" x14ac:dyDescent="0.25">
      <c r="A1137" s="190">
        <v>6164</v>
      </c>
      <c r="B1137" s="17">
        <v>0</v>
      </c>
      <c r="C1137" s="18">
        <v>0</v>
      </c>
    </row>
    <row r="1138" spans="1:3" ht="15" hidden="1" x14ac:dyDescent="0.25">
      <c r="A1138" s="190"/>
      <c r="B1138" s="17" t="s">
        <v>251</v>
      </c>
      <c r="C1138" s="18">
        <v>0</v>
      </c>
    </row>
    <row r="1139" spans="1:3" ht="15" hidden="1" x14ac:dyDescent="0.25">
      <c r="A1139" s="190"/>
      <c r="B1139" s="17" t="s">
        <v>256</v>
      </c>
      <c r="C1139" s="18">
        <v>0</v>
      </c>
    </row>
    <row r="1140" spans="1:3" ht="15" hidden="1" x14ac:dyDescent="0.25">
      <c r="A1140" s="190"/>
      <c r="B1140" s="17" t="s">
        <v>270</v>
      </c>
      <c r="C1140" s="18">
        <v>0</v>
      </c>
    </row>
    <row r="1141" spans="1:3" ht="15" hidden="1" x14ac:dyDescent="0.25">
      <c r="A1141" s="189"/>
      <c r="B1141" s="17" t="s">
        <v>245</v>
      </c>
      <c r="C1141" s="18">
        <v>0</v>
      </c>
    </row>
    <row r="1142" spans="1:3" ht="15" hidden="1" x14ac:dyDescent="0.25">
      <c r="A1142" s="190"/>
      <c r="B1142" s="17" t="s">
        <v>249</v>
      </c>
      <c r="C1142" s="18">
        <v>0</v>
      </c>
    </row>
    <row r="1143" spans="1:3" ht="15" hidden="1" x14ac:dyDescent="0.25">
      <c r="A1143" s="190"/>
      <c r="B1143" s="17" t="s">
        <v>264</v>
      </c>
      <c r="C1143" s="18">
        <v>0</v>
      </c>
    </row>
    <row r="1144" spans="1:3" ht="15" hidden="1" x14ac:dyDescent="0.25">
      <c r="A1144" s="190"/>
      <c r="B1144" s="17" t="s">
        <v>319</v>
      </c>
      <c r="C1144" s="18">
        <v>0</v>
      </c>
    </row>
    <row r="1145" spans="1:3" ht="15" hidden="1" x14ac:dyDescent="0.25">
      <c r="A1145" s="190"/>
      <c r="B1145" s="17" t="s">
        <v>318</v>
      </c>
      <c r="C1145" s="18">
        <v>0</v>
      </c>
    </row>
    <row r="1146" spans="1:3" ht="15" hidden="1" x14ac:dyDescent="0.25">
      <c r="A1146" s="189"/>
      <c r="B1146" s="17" t="s">
        <v>80</v>
      </c>
      <c r="C1146" s="18">
        <v>0</v>
      </c>
    </row>
    <row r="1147" spans="1:3" ht="15" hidden="1" x14ac:dyDescent="0.25">
      <c r="A1147" s="189">
        <v>6049</v>
      </c>
      <c r="B1147" s="17" t="s">
        <v>256</v>
      </c>
      <c r="C1147" s="18">
        <v>0</v>
      </c>
    </row>
    <row r="1148" spans="1:3" ht="15" hidden="1" x14ac:dyDescent="0.25">
      <c r="A1148" s="190"/>
      <c r="B1148" s="17" t="s">
        <v>280</v>
      </c>
      <c r="C1148" s="18">
        <v>0</v>
      </c>
    </row>
    <row r="1149" spans="1:3" ht="15" hidden="1" x14ac:dyDescent="0.25">
      <c r="A1149" s="190"/>
      <c r="B1149" s="17" t="s">
        <v>249</v>
      </c>
      <c r="C1149" s="18">
        <v>0</v>
      </c>
    </row>
    <row r="1150" spans="1:3" ht="15" hidden="1" x14ac:dyDescent="0.25">
      <c r="A1150" s="190"/>
      <c r="B1150" s="17" t="s">
        <v>274</v>
      </c>
      <c r="C1150" s="18">
        <v>0</v>
      </c>
    </row>
    <row r="1151" spans="1:3" ht="15" hidden="1" x14ac:dyDescent="0.25">
      <c r="A1151" s="190"/>
      <c r="B1151" s="17" t="s">
        <v>266</v>
      </c>
      <c r="C1151" s="18">
        <v>0</v>
      </c>
    </row>
    <row r="1152" spans="1:3" ht="15" hidden="1" x14ac:dyDescent="0.25">
      <c r="A1152" s="190"/>
      <c r="B1152" s="17" t="s">
        <v>264</v>
      </c>
      <c r="C1152" s="18">
        <v>0</v>
      </c>
    </row>
    <row r="1153" spans="1:3" ht="15" hidden="1" x14ac:dyDescent="0.25">
      <c r="A1153" s="190"/>
      <c r="B1153" s="17" t="s">
        <v>318</v>
      </c>
      <c r="C1153" s="18">
        <v>0</v>
      </c>
    </row>
    <row r="1154" spans="1:3" ht="15" hidden="1" x14ac:dyDescent="0.25">
      <c r="A1154" s="190">
        <v>6185</v>
      </c>
      <c r="B1154" s="17" t="s">
        <v>318</v>
      </c>
      <c r="C1154" s="18">
        <v>0</v>
      </c>
    </row>
    <row r="1155" spans="1:3" ht="15" hidden="1" x14ac:dyDescent="0.25">
      <c r="A1155" s="190">
        <v>6168</v>
      </c>
      <c r="B1155" s="17">
        <v>0</v>
      </c>
      <c r="C1155" s="18">
        <v>0</v>
      </c>
    </row>
    <row r="1156" spans="1:3" ht="15" hidden="1" x14ac:dyDescent="0.25">
      <c r="A1156" s="190"/>
      <c r="B1156" s="17" t="s">
        <v>251</v>
      </c>
      <c r="C1156" s="18">
        <v>0</v>
      </c>
    </row>
    <row r="1157" spans="1:3" ht="15" hidden="1" x14ac:dyDescent="0.25">
      <c r="A1157" s="190"/>
      <c r="B1157" s="17" t="s">
        <v>280</v>
      </c>
      <c r="C1157" s="18">
        <v>0</v>
      </c>
    </row>
    <row r="1158" spans="1:3" ht="15" hidden="1" x14ac:dyDescent="0.25">
      <c r="A1158" s="189"/>
      <c r="B1158" s="17" t="s">
        <v>245</v>
      </c>
      <c r="C1158" s="18">
        <v>0</v>
      </c>
    </row>
    <row r="1159" spans="1:3" ht="15" hidden="1" x14ac:dyDescent="0.25">
      <c r="A1159" s="189"/>
      <c r="B1159" s="17" t="s">
        <v>249</v>
      </c>
      <c r="C1159" s="18">
        <v>0</v>
      </c>
    </row>
    <row r="1160" spans="1:3" ht="15" hidden="1" x14ac:dyDescent="0.25">
      <c r="A1160" s="190"/>
      <c r="B1160" s="17" t="s">
        <v>264</v>
      </c>
      <c r="C1160" s="18">
        <v>0</v>
      </c>
    </row>
    <row r="1161" spans="1:3" ht="15" hidden="1" x14ac:dyDescent="0.25">
      <c r="A1161" s="190"/>
      <c r="B1161" s="17" t="s">
        <v>319</v>
      </c>
      <c r="C1161" s="18">
        <v>0</v>
      </c>
    </row>
    <row r="1162" spans="1:3" ht="15" hidden="1" x14ac:dyDescent="0.25">
      <c r="A1162" s="190"/>
      <c r="B1162" s="17" t="s">
        <v>318</v>
      </c>
      <c r="C1162" s="18">
        <v>0</v>
      </c>
    </row>
    <row r="1163" spans="1:3" ht="15" hidden="1" x14ac:dyDescent="0.25">
      <c r="A1163" s="190"/>
      <c r="B1163" s="17" t="s">
        <v>80</v>
      </c>
      <c r="C1163" s="18">
        <v>0</v>
      </c>
    </row>
    <row r="1164" spans="1:3" ht="15" hidden="1" x14ac:dyDescent="0.25">
      <c r="A1164" s="190">
        <v>6167</v>
      </c>
      <c r="B1164" s="17" t="s">
        <v>72</v>
      </c>
      <c r="C1164" s="18">
        <v>0</v>
      </c>
    </row>
    <row r="1165" spans="1:3" ht="15" hidden="1" x14ac:dyDescent="0.25">
      <c r="A1165" s="190">
        <v>6194</v>
      </c>
      <c r="B1165" s="17">
        <v>0</v>
      </c>
      <c r="C1165" s="18">
        <v>0</v>
      </c>
    </row>
    <row r="1166" spans="1:3" ht="15" hidden="1" x14ac:dyDescent="0.25">
      <c r="A1166" s="190"/>
      <c r="B1166" s="17" t="s">
        <v>251</v>
      </c>
      <c r="C1166" s="18">
        <v>0</v>
      </c>
    </row>
    <row r="1167" spans="1:3" ht="15" hidden="1" x14ac:dyDescent="0.25">
      <c r="A1167" s="189"/>
      <c r="B1167" s="17" t="s">
        <v>262</v>
      </c>
      <c r="C1167" s="18">
        <v>0</v>
      </c>
    </row>
    <row r="1168" spans="1:3" ht="15" hidden="1" x14ac:dyDescent="0.25">
      <c r="A1168" s="189"/>
      <c r="B1168" s="17" t="s">
        <v>245</v>
      </c>
      <c r="C1168" s="18">
        <v>0</v>
      </c>
    </row>
    <row r="1169" spans="1:3" ht="15" hidden="1" x14ac:dyDescent="0.25">
      <c r="A1169" s="189"/>
      <c r="B1169" s="17" t="s">
        <v>249</v>
      </c>
      <c r="C1169" s="18">
        <v>0</v>
      </c>
    </row>
    <row r="1170" spans="1:3" ht="15" hidden="1" x14ac:dyDescent="0.25">
      <c r="A1170" s="190"/>
      <c r="B1170" s="17" t="s">
        <v>264</v>
      </c>
      <c r="C1170" s="18">
        <v>0</v>
      </c>
    </row>
    <row r="1171" spans="1:3" ht="15" hidden="1" x14ac:dyDescent="0.25">
      <c r="A1171" s="190"/>
      <c r="B1171" s="17" t="s">
        <v>319</v>
      </c>
      <c r="C1171" s="18">
        <v>0</v>
      </c>
    </row>
    <row r="1172" spans="1:3" ht="15" hidden="1" x14ac:dyDescent="0.25">
      <c r="A1172" s="190"/>
      <c r="B1172" s="17" t="s">
        <v>80</v>
      </c>
      <c r="C1172" s="18">
        <v>0</v>
      </c>
    </row>
    <row r="1173" spans="1:3" ht="15" hidden="1" x14ac:dyDescent="0.25">
      <c r="A1173" s="189">
        <v>6189</v>
      </c>
      <c r="B1173" s="17" t="s">
        <v>318</v>
      </c>
      <c r="C1173" s="18">
        <v>0</v>
      </c>
    </row>
    <row r="1174" spans="1:3" ht="15" hidden="1" x14ac:dyDescent="0.25">
      <c r="A1174" s="190">
        <v>6193</v>
      </c>
      <c r="B1174" s="17" t="s">
        <v>253</v>
      </c>
      <c r="C1174" s="18">
        <v>0</v>
      </c>
    </row>
    <row r="1175" spans="1:3" ht="15" hidden="1" x14ac:dyDescent="0.25">
      <c r="A1175" s="190">
        <v>6197</v>
      </c>
      <c r="B1175" s="17">
        <v>0</v>
      </c>
      <c r="C1175" s="18">
        <v>0</v>
      </c>
    </row>
    <row r="1176" spans="1:3" ht="15" hidden="1" x14ac:dyDescent="0.25">
      <c r="A1176" s="190"/>
      <c r="B1176" s="17" t="s">
        <v>251</v>
      </c>
      <c r="C1176" s="18">
        <v>0</v>
      </c>
    </row>
    <row r="1177" spans="1:3" ht="15" hidden="1" x14ac:dyDescent="0.25">
      <c r="A1177" s="189"/>
      <c r="B1177" s="17" t="s">
        <v>262</v>
      </c>
      <c r="C1177" s="18">
        <v>0</v>
      </c>
    </row>
    <row r="1178" spans="1:3" ht="15" hidden="1" x14ac:dyDescent="0.25">
      <c r="A1178" s="190"/>
      <c r="B1178" s="17" t="s">
        <v>245</v>
      </c>
      <c r="C1178" s="18">
        <v>0</v>
      </c>
    </row>
    <row r="1179" spans="1:3" ht="15" hidden="1" x14ac:dyDescent="0.25">
      <c r="A1179" s="190"/>
      <c r="B1179" s="17" t="s">
        <v>249</v>
      </c>
      <c r="C1179" s="18">
        <v>0</v>
      </c>
    </row>
    <row r="1180" spans="1:3" ht="15" hidden="1" x14ac:dyDescent="0.25">
      <c r="A1180" s="191"/>
      <c r="B1180" s="17" t="s">
        <v>264</v>
      </c>
      <c r="C1180" s="18">
        <v>0</v>
      </c>
    </row>
    <row r="1181" spans="1:3" ht="15" hidden="1" x14ac:dyDescent="0.25">
      <c r="A1181" s="190"/>
      <c r="B1181" s="17" t="s">
        <v>319</v>
      </c>
      <c r="C1181" s="18">
        <v>0</v>
      </c>
    </row>
    <row r="1182" spans="1:3" ht="15" hidden="1" x14ac:dyDescent="0.25">
      <c r="A1182" s="190"/>
      <c r="B1182" s="17" t="s">
        <v>80</v>
      </c>
      <c r="C1182" s="18">
        <v>0</v>
      </c>
    </row>
    <row r="1183" spans="1:3" ht="15" hidden="1" x14ac:dyDescent="0.25">
      <c r="A1183" s="190">
        <v>6205</v>
      </c>
      <c r="B1183" s="17" t="s">
        <v>258</v>
      </c>
      <c r="C1183" s="18">
        <v>0</v>
      </c>
    </row>
    <row r="1184" spans="1:3" ht="15" hidden="1" x14ac:dyDescent="0.25">
      <c r="A1184" s="190">
        <v>6212</v>
      </c>
      <c r="B1184" s="17" t="s">
        <v>72</v>
      </c>
      <c r="C1184" s="18">
        <v>0</v>
      </c>
    </row>
    <row r="1185" spans="1:3" ht="15" hidden="1" x14ac:dyDescent="0.25">
      <c r="A1185" s="189">
        <v>6188</v>
      </c>
      <c r="B1185" s="17">
        <v>0</v>
      </c>
      <c r="C1185" s="18">
        <v>0</v>
      </c>
    </row>
    <row r="1186" spans="1:3" ht="15" hidden="1" x14ac:dyDescent="0.25">
      <c r="A1186" s="190"/>
      <c r="B1186" s="17" t="s">
        <v>311</v>
      </c>
      <c r="C1186" s="18">
        <v>0</v>
      </c>
    </row>
    <row r="1187" spans="1:3" ht="15" hidden="1" x14ac:dyDescent="0.25">
      <c r="A1187" s="190"/>
      <c r="B1187" s="17" t="s">
        <v>270</v>
      </c>
      <c r="C1187" s="18">
        <v>0</v>
      </c>
    </row>
    <row r="1188" spans="1:3" ht="15" hidden="1" x14ac:dyDescent="0.25">
      <c r="A1188" s="190"/>
      <c r="B1188" s="17" t="s">
        <v>245</v>
      </c>
      <c r="C1188" s="18">
        <v>0</v>
      </c>
    </row>
    <row r="1189" spans="1:3" ht="15" hidden="1" x14ac:dyDescent="0.25">
      <c r="A1189" s="190"/>
      <c r="B1189" s="17" t="s">
        <v>248</v>
      </c>
      <c r="C1189" s="18">
        <v>0</v>
      </c>
    </row>
    <row r="1190" spans="1:3" ht="15" hidden="1" x14ac:dyDescent="0.25">
      <c r="A1190" s="190"/>
      <c r="B1190" s="17" t="s">
        <v>249</v>
      </c>
      <c r="C1190" s="18">
        <v>0</v>
      </c>
    </row>
    <row r="1191" spans="1:3" ht="15" hidden="1" x14ac:dyDescent="0.25">
      <c r="A1191" s="190"/>
      <c r="B1191" s="17" t="s">
        <v>274</v>
      </c>
      <c r="C1191" s="18">
        <v>0</v>
      </c>
    </row>
    <row r="1192" spans="1:3" ht="15" hidden="1" x14ac:dyDescent="0.25">
      <c r="A1192" s="190"/>
      <c r="B1192" s="17" t="s">
        <v>260</v>
      </c>
      <c r="C1192" s="18">
        <v>0</v>
      </c>
    </row>
    <row r="1193" spans="1:3" ht="15" hidden="1" x14ac:dyDescent="0.25">
      <c r="A1193" s="190"/>
      <c r="B1193" s="17" t="s">
        <v>272</v>
      </c>
      <c r="C1193" s="18">
        <v>0</v>
      </c>
    </row>
    <row r="1194" spans="1:3" ht="15" hidden="1" x14ac:dyDescent="0.25">
      <c r="A1194" s="190"/>
      <c r="B1194" t="s">
        <v>264</v>
      </c>
      <c r="C1194" s="18">
        <v>0</v>
      </c>
    </row>
    <row r="1195" spans="1:3" ht="15" hidden="1" x14ac:dyDescent="0.25">
      <c r="A1195" s="190"/>
      <c r="B1195" t="s">
        <v>319</v>
      </c>
      <c r="C1195" s="18">
        <v>0</v>
      </c>
    </row>
    <row r="1196" spans="1:3" ht="15" hidden="1" x14ac:dyDescent="0.25">
      <c r="A1196" s="190"/>
      <c r="B1196" s="17" t="s">
        <v>323</v>
      </c>
      <c r="C1196" s="18">
        <v>0</v>
      </c>
    </row>
    <row r="1197" spans="1:3" ht="15" hidden="1" x14ac:dyDescent="0.25">
      <c r="A1197" s="190"/>
      <c r="B1197" s="17" t="s">
        <v>80</v>
      </c>
      <c r="C1197" s="18">
        <v>0</v>
      </c>
    </row>
    <row r="1198" spans="1:3" ht="15" hidden="1" x14ac:dyDescent="0.25">
      <c r="A1198" s="190"/>
      <c r="B1198" s="17" t="s">
        <v>261</v>
      </c>
      <c r="C1198" s="18">
        <v>0</v>
      </c>
    </row>
    <row r="1199" spans="1:3" ht="15" hidden="1" x14ac:dyDescent="0.25">
      <c r="A1199" s="190">
        <v>6236</v>
      </c>
      <c r="B1199" s="17">
        <v>0</v>
      </c>
      <c r="C1199" s="18">
        <v>0</v>
      </c>
    </row>
    <row r="1200" spans="1:3" ht="15" hidden="1" x14ac:dyDescent="0.25">
      <c r="A1200" s="190">
        <v>6240</v>
      </c>
      <c r="B1200" s="17">
        <v>0</v>
      </c>
      <c r="C1200" s="18">
        <v>0</v>
      </c>
    </row>
    <row r="1201" spans="1:3" ht="15" hidden="1" x14ac:dyDescent="0.25">
      <c r="A1201" s="190"/>
      <c r="B1201" s="17" t="s">
        <v>251</v>
      </c>
      <c r="C1201" s="18">
        <v>0</v>
      </c>
    </row>
    <row r="1202" spans="1:3" ht="15" hidden="1" x14ac:dyDescent="0.25">
      <c r="A1202" s="190"/>
      <c r="B1202" s="17" t="s">
        <v>265</v>
      </c>
      <c r="C1202" s="18">
        <v>0</v>
      </c>
    </row>
    <row r="1203" spans="1:3" ht="15" hidden="1" x14ac:dyDescent="0.25">
      <c r="A1203" s="190"/>
      <c r="B1203" s="17" t="s">
        <v>256</v>
      </c>
      <c r="C1203" s="18">
        <v>0</v>
      </c>
    </row>
    <row r="1204" spans="1:3" ht="15" hidden="1" x14ac:dyDescent="0.25">
      <c r="A1204" s="190"/>
      <c r="B1204" s="17" t="s">
        <v>269</v>
      </c>
      <c r="C1204" s="18">
        <v>0</v>
      </c>
    </row>
    <row r="1205" spans="1:3" ht="15" hidden="1" x14ac:dyDescent="0.25">
      <c r="A1205" s="190"/>
      <c r="B1205" s="17" t="s">
        <v>270</v>
      </c>
      <c r="C1205" s="18">
        <v>0</v>
      </c>
    </row>
    <row r="1206" spans="1:3" ht="15" hidden="1" x14ac:dyDescent="0.25">
      <c r="A1206" s="190"/>
      <c r="B1206" s="17" t="s">
        <v>245</v>
      </c>
      <c r="C1206" s="18">
        <v>0</v>
      </c>
    </row>
    <row r="1207" spans="1:3" ht="15" hidden="1" x14ac:dyDescent="0.25">
      <c r="A1207" s="190"/>
      <c r="B1207" s="17" t="s">
        <v>249</v>
      </c>
      <c r="C1207" s="18">
        <v>0</v>
      </c>
    </row>
    <row r="1208" spans="1:3" ht="15" hidden="1" x14ac:dyDescent="0.25">
      <c r="A1208" s="189"/>
      <c r="B1208" s="17" t="s">
        <v>260</v>
      </c>
      <c r="C1208" s="18">
        <v>0</v>
      </c>
    </row>
    <row r="1209" spans="1:3" ht="15" hidden="1" x14ac:dyDescent="0.25">
      <c r="A1209" s="189"/>
      <c r="B1209" s="17" t="s">
        <v>264</v>
      </c>
      <c r="C1209" s="18">
        <v>0</v>
      </c>
    </row>
    <row r="1210" spans="1:3" ht="15" hidden="1" x14ac:dyDescent="0.25">
      <c r="A1210" s="190"/>
      <c r="B1210" s="17" t="s">
        <v>319</v>
      </c>
      <c r="C1210" s="18">
        <v>0</v>
      </c>
    </row>
    <row r="1211" spans="1:3" ht="15" hidden="1" x14ac:dyDescent="0.25">
      <c r="A1211" s="190"/>
      <c r="B1211" s="17" t="s">
        <v>318</v>
      </c>
      <c r="C1211" s="18">
        <v>0</v>
      </c>
    </row>
    <row r="1212" spans="1:3" ht="15" hidden="1" x14ac:dyDescent="0.25">
      <c r="A1212" s="190"/>
      <c r="B1212" s="17" t="s">
        <v>80</v>
      </c>
      <c r="C1212" s="18">
        <v>0</v>
      </c>
    </row>
    <row r="1213" spans="1:3" ht="15" hidden="1" x14ac:dyDescent="0.25">
      <c r="A1213" s="190">
        <v>6242</v>
      </c>
      <c r="B1213" s="17" t="s">
        <v>318</v>
      </c>
      <c r="C1213" s="18">
        <v>0</v>
      </c>
    </row>
    <row r="1214" spans="1:3" ht="15" hidden="1" x14ac:dyDescent="0.25">
      <c r="A1214" s="190">
        <v>5913</v>
      </c>
      <c r="B1214" s="17" t="s">
        <v>257</v>
      </c>
      <c r="C1214" s="18">
        <v>0</v>
      </c>
    </row>
    <row r="1215" spans="1:3" ht="15" hidden="1" x14ac:dyDescent="0.25">
      <c r="A1215" s="190">
        <v>6246</v>
      </c>
      <c r="B1215" s="17">
        <v>0</v>
      </c>
      <c r="C1215" s="18">
        <v>0</v>
      </c>
    </row>
    <row r="1216" spans="1:3" ht="15" hidden="1" x14ac:dyDescent="0.25">
      <c r="A1216" s="189"/>
      <c r="B1216" s="17" t="s">
        <v>257</v>
      </c>
      <c r="C1216" s="18">
        <v>0</v>
      </c>
    </row>
    <row r="1217" spans="1:3" ht="15" hidden="1" x14ac:dyDescent="0.25">
      <c r="A1217" s="189"/>
      <c r="B1217" s="17" t="s">
        <v>278</v>
      </c>
      <c r="C1217" s="18">
        <v>0</v>
      </c>
    </row>
    <row r="1218" spans="1:3" ht="15" hidden="1" x14ac:dyDescent="0.25">
      <c r="A1218" s="189"/>
      <c r="B1218" s="17" t="s">
        <v>246</v>
      </c>
      <c r="C1218" s="18">
        <v>0</v>
      </c>
    </row>
    <row r="1219" spans="1:3" ht="15" hidden="1" x14ac:dyDescent="0.25">
      <c r="A1219" s="190"/>
      <c r="B1219" s="17" t="s">
        <v>279</v>
      </c>
      <c r="C1219" s="18">
        <v>0</v>
      </c>
    </row>
    <row r="1220" spans="1:3" ht="15" hidden="1" x14ac:dyDescent="0.25">
      <c r="A1220" s="189"/>
      <c r="B1220" s="17" t="s">
        <v>291</v>
      </c>
      <c r="C1220" s="18">
        <v>0</v>
      </c>
    </row>
    <row r="1221" spans="1:3" ht="15" hidden="1" x14ac:dyDescent="0.25">
      <c r="A1221" s="189"/>
      <c r="B1221" s="17" t="s">
        <v>258</v>
      </c>
      <c r="C1221" s="18">
        <v>0</v>
      </c>
    </row>
    <row r="1222" spans="1:3" ht="15" hidden="1" x14ac:dyDescent="0.25">
      <c r="A1222" s="190"/>
      <c r="B1222" s="17" t="s">
        <v>269</v>
      </c>
      <c r="C1222" s="18">
        <v>0</v>
      </c>
    </row>
    <row r="1223" spans="1:3" ht="15" hidden="1" x14ac:dyDescent="0.25">
      <c r="A1223" s="189"/>
      <c r="B1223" s="17" t="s">
        <v>275</v>
      </c>
      <c r="C1223" s="18">
        <v>0</v>
      </c>
    </row>
    <row r="1224" spans="1:3" ht="15" hidden="1" x14ac:dyDescent="0.25">
      <c r="A1224" s="190"/>
      <c r="B1224" s="17" t="s">
        <v>262</v>
      </c>
      <c r="C1224" s="18">
        <v>0</v>
      </c>
    </row>
    <row r="1225" spans="1:3" ht="15" hidden="1" x14ac:dyDescent="0.25">
      <c r="A1225" s="190"/>
      <c r="B1225" s="17" t="s">
        <v>249</v>
      </c>
      <c r="C1225" s="18">
        <v>0</v>
      </c>
    </row>
    <row r="1226" spans="1:3" ht="15" hidden="1" x14ac:dyDescent="0.25">
      <c r="A1226" s="190"/>
      <c r="B1226" s="17" t="s">
        <v>274</v>
      </c>
      <c r="C1226" s="18">
        <v>0</v>
      </c>
    </row>
    <row r="1227" spans="1:3" ht="15" hidden="1" x14ac:dyDescent="0.25">
      <c r="A1227" s="190"/>
      <c r="B1227" s="17" t="s">
        <v>260</v>
      </c>
      <c r="C1227" s="18">
        <v>0</v>
      </c>
    </row>
    <row r="1228" spans="1:3" ht="15" hidden="1" x14ac:dyDescent="0.25">
      <c r="A1228" s="190"/>
      <c r="B1228" s="17" t="s">
        <v>293</v>
      </c>
      <c r="C1228" s="18">
        <v>0</v>
      </c>
    </row>
    <row r="1229" spans="1:3" ht="15" hidden="1" x14ac:dyDescent="0.25">
      <c r="A1229" s="190"/>
      <c r="B1229" s="17" t="s">
        <v>272</v>
      </c>
      <c r="C1229" s="18">
        <v>0</v>
      </c>
    </row>
    <row r="1230" spans="1:3" ht="15" hidden="1" x14ac:dyDescent="0.25">
      <c r="A1230" s="190"/>
      <c r="B1230" s="17" t="s">
        <v>255</v>
      </c>
      <c r="C1230" s="18">
        <v>0</v>
      </c>
    </row>
    <row r="1231" spans="1:3" ht="15" hidden="1" x14ac:dyDescent="0.25">
      <c r="A1231" s="190"/>
      <c r="B1231" s="17" t="s">
        <v>264</v>
      </c>
      <c r="C1231" s="18">
        <v>0</v>
      </c>
    </row>
    <row r="1232" spans="1:3" ht="15" hidden="1" x14ac:dyDescent="0.25">
      <c r="A1232" s="190"/>
      <c r="B1232" s="17" t="s">
        <v>318</v>
      </c>
      <c r="C1232" s="18">
        <v>0</v>
      </c>
    </row>
    <row r="1233" spans="1:3" ht="15" hidden="1" x14ac:dyDescent="0.25">
      <c r="A1233" s="190"/>
      <c r="B1233" s="17" t="s">
        <v>329</v>
      </c>
      <c r="C1233" s="18">
        <v>0</v>
      </c>
    </row>
    <row r="1234" spans="1:3" ht="15" hidden="1" x14ac:dyDescent="0.25">
      <c r="A1234" s="189">
        <v>6180</v>
      </c>
      <c r="B1234" s="17">
        <v>0</v>
      </c>
      <c r="C1234" s="18">
        <v>0</v>
      </c>
    </row>
    <row r="1235" spans="1:3" ht="15" hidden="1" x14ac:dyDescent="0.25">
      <c r="A1235" s="189"/>
      <c r="B1235" s="17" t="s">
        <v>251</v>
      </c>
      <c r="C1235" s="18">
        <v>0</v>
      </c>
    </row>
    <row r="1236" spans="1:3" ht="15" hidden="1" x14ac:dyDescent="0.25">
      <c r="A1236" s="190"/>
      <c r="B1236" s="17" t="s">
        <v>287</v>
      </c>
      <c r="C1236" s="18">
        <v>0</v>
      </c>
    </row>
    <row r="1237" spans="1:3" ht="15" hidden="1" x14ac:dyDescent="0.25">
      <c r="A1237" s="190"/>
      <c r="B1237" s="17" t="s">
        <v>311</v>
      </c>
      <c r="C1237" s="18">
        <v>0</v>
      </c>
    </row>
    <row r="1238" spans="1:3" ht="15" hidden="1" x14ac:dyDescent="0.25">
      <c r="A1238" s="190"/>
      <c r="B1238" s="17" t="s">
        <v>245</v>
      </c>
      <c r="C1238" s="18">
        <v>0</v>
      </c>
    </row>
    <row r="1239" spans="1:3" ht="15" hidden="1" x14ac:dyDescent="0.25">
      <c r="A1239" s="190"/>
      <c r="B1239" s="17" t="s">
        <v>248</v>
      </c>
      <c r="C1239" s="18">
        <v>0</v>
      </c>
    </row>
    <row r="1240" spans="1:3" ht="15" hidden="1" x14ac:dyDescent="0.25">
      <c r="A1240" s="190"/>
      <c r="B1240" s="17" t="s">
        <v>249</v>
      </c>
      <c r="C1240" s="18">
        <v>0</v>
      </c>
    </row>
    <row r="1241" spans="1:3" ht="15" hidden="1" x14ac:dyDescent="0.25">
      <c r="A1241" s="190"/>
      <c r="B1241" s="17" t="s">
        <v>273</v>
      </c>
      <c r="C1241" s="18">
        <v>0</v>
      </c>
    </row>
    <row r="1242" spans="1:3" ht="15" hidden="1" x14ac:dyDescent="0.25">
      <c r="A1242" s="190"/>
      <c r="B1242" s="17" t="s">
        <v>263</v>
      </c>
      <c r="C1242" s="18">
        <v>0</v>
      </c>
    </row>
    <row r="1243" spans="1:3" ht="15" hidden="1" x14ac:dyDescent="0.25">
      <c r="A1243" s="190"/>
      <c r="B1243" s="17" t="s">
        <v>260</v>
      </c>
      <c r="C1243" s="18">
        <v>0</v>
      </c>
    </row>
    <row r="1244" spans="1:3" ht="15" hidden="1" x14ac:dyDescent="0.25">
      <c r="A1244" s="189"/>
      <c r="B1244" s="17" t="s">
        <v>264</v>
      </c>
      <c r="C1244" s="18">
        <v>0</v>
      </c>
    </row>
    <row r="1245" spans="1:3" ht="15" hidden="1" x14ac:dyDescent="0.25">
      <c r="A1245" s="190"/>
      <c r="B1245" s="17" t="s">
        <v>319</v>
      </c>
      <c r="C1245" s="18">
        <v>0</v>
      </c>
    </row>
    <row r="1246" spans="1:3" ht="15" hidden="1" x14ac:dyDescent="0.25">
      <c r="A1246" s="190"/>
      <c r="B1246" s="17" t="s">
        <v>318</v>
      </c>
      <c r="C1246" s="18">
        <v>0</v>
      </c>
    </row>
    <row r="1247" spans="1:3" ht="15" hidden="1" x14ac:dyDescent="0.25">
      <c r="A1247" s="190"/>
      <c r="B1247" s="17" t="s">
        <v>80</v>
      </c>
      <c r="C1247" s="18">
        <v>0</v>
      </c>
    </row>
    <row r="1248" spans="1:3" ht="15" hidden="1" x14ac:dyDescent="0.25">
      <c r="A1248" s="190"/>
      <c r="B1248" s="17" t="s">
        <v>261</v>
      </c>
      <c r="C1248" s="18">
        <v>0</v>
      </c>
    </row>
    <row r="1249" spans="1:3" ht="15" hidden="1" x14ac:dyDescent="0.25">
      <c r="A1249" s="190">
        <v>6247</v>
      </c>
      <c r="B1249" s="17">
        <v>0</v>
      </c>
      <c r="C1249" s="18">
        <v>0</v>
      </c>
    </row>
    <row r="1250" spans="1:3" ht="15" hidden="1" x14ac:dyDescent="0.25">
      <c r="A1250" s="190"/>
      <c r="B1250" s="17" t="s">
        <v>269</v>
      </c>
      <c r="C1250" s="18">
        <v>0</v>
      </c>
    </row>
    <row r="1251" spans="1:3" ht="15" hidden="1" x14ac:dyDescent="0.25">
      <c r="A1251" s="189"/>
      <c r="B1251" s="17" t="s">
        <v>260</v>
      </c>
      <c r="C1251" s="18">
        <v>0</v>
      </c>
    </row>
    <row r="1252" spans="1:3" ht="15" hidden="1" x14ac:dyDescent="0.25">
      <c r="A1252" s="190"/>
      <c r="B1252" s="17" t="s">
        <v>318</v>
      </c>
      <c r="C1252" s="18">
        <v>0</v>
      </c>
    </row>
    <row r="1253" spans="1:3" ht="15" hidden="1" x14ac:dyDescent="0.25">
      <c r="A1253" s="189">
        <v>6263</v>
      </c>
      <c r="B1253" s="17">
        <v>0</v>
      </c>
      <c r="C1253" s="18">
        <v>0</v>
      </c>
    </row>
    <row r="1254" spans="1:3" ht="15" hidden="1" x14ac:dyDescent="0.25">
      <c r="A1254" s="189"/>
      <c r="B1254" s="17" t="s">
        <v>257</v>
      </c>
      <c r="C1254" s="18">
        <v>0</v>
      </c>
    </row>
    <row r="1255" spans="1:3" ht="15" hidden="1" x14ac:dyDescent="0.25">
      <c r="A1255" s="189"/>
      <c r="B1255" s="17" t="s">
        <v>291</v>
      </c>
      <c r="C1255" s="18">
        <v>0</v>
      </c>
    </row>
    <row r="1256" spans="1:3" ht="15" hidden="1" x14ac:dyDescent="0.25">
      <c r="A1256" s="190"/>
      <c r="B1256" s="17" t="s">
        <v>258</v>
      </c>
      <c r="C1256" s="18">
        <v>0</v>
      </c>
    </row>
    <row r="1257" spans="1:3" ht="15" hidden="1" x14ac:dyDescent="0.25">
      <c r="A1257" s="190"/>
      <c r="B1257" s="17" t="s">
        <v>245</v>
      </c>
      <c r="C1257" s="18">
        <v>0</v>
      </c>
    </row>
    <row r="1258" spans="1:3" ht="15" hidden="1" x14ac:dyDescent="0.25">
      <c r="A1258" s="190"/>
      <c r="B1258" s="17" t="s">
        <v>248</v>
      </c>
      <c r="C1258" s="18">
        <v>0</v>
      </c>
    </row>
    <row r="1259" spans="1:3" ht="15" hidden="1" x14ac:dyDescent="0.25">
      <c r="A1259" s="190"/>
      <c r="B1259" s="17" t="s">
        <v>249</v>
      </c>
      <c r="C1259" s="18">
        <v>0</v>
      </c>
    </row>
    <row r="1260" spans="1:3" ht="15" hidden="1" x14ac:dyDescent="0.25">
      <c r="A1260" s="190"/>
      <c r="B1260" s="17" t="s">
        <v>274</v>
      </c>
      <c r="C1260" s="18">
        <v>0</v>
      </c>
    </row>
    <row r="1261" spans="1:3" ht="15" hidden="1" x14ac:dyDescent="0.25">
      <c r="A1261" s="189"/>
      <c r="B1261" s="17" t="s">
        <v>264</v>
      </c>
      <c r="C1261" s="18">
        <v>0</v>
      </c>
    </row>
    <row r="1262" spans="1:3" ht="15" hidden="1" x14ac:dyDescent="0.25">
      <c r="A1262" s="190"/>
      <c r="B1262" s="17" t="s">
        <v>319</v>
      </c>
      <c r="C1262" s="18">
        <v>0</v>
      </c>
    </row>
    <row r="1263" spans="1:3" ht="15" hidden="1" x14ac:dyDescent="0.25">
      <c r="A1263" s="189"/>
      <c r="B1263" s="17" t="s">
        <v>318</v>
      </c>
      <c r="C1263" s="18">
        <v>0</v>
      </c>
    </row>
    <row r="1264" spans="1:3" ht="15" hidden="1" x14ac:dyDescent="0.25">
      <c r="A1264" s="190"/>
      <c r="B1264" s="17" t="s">
        <v>80</v>
      </c>
      <c r="C1264" s="18">
        <v>0</v>
      </c>
    </row>
    <row r="1265" spans="1:3" ht="15" hidden="1" x14ac:dyDescent="0.25">
      <c r="A1265" s="189"/>
      <c r="B1265" s="17" t="s">
        <v>387</v>
      </c>
      <c r="C1265" s="18">
        <v>0</v>
      </c>
    </row>
    <row r="1266" spans="1:3" ht="15" hidden="1" x14ac:dyDescent="0.25">
      <c r="A1266" s="189">
        <v>6265</v>
      </c>
      <c r="B1266" s="17">
        <v>0</v>
      </c>
      <c r="C1266" s="18">
        <v>0</v>
      </c>
    </row>
    <row r="1267" spans="1:3" ht="15" hidden="1" x14ac:dyDescent="0.25">
      <c r="A1267" s="190"/>
      <c r="B1267" s="17" t="s">
        <v>276</v>
      </c>
      <c r="C1267" s="18">
        <v>0</v>
      </c>
    </row>
    <row r="1268" spans="1:3" ht="15" hidden="1" x14ac:dyDescent="0.25">
      <c r="A1268" s="190"/>
      <c r="B1268" s="17" t="s">
        <v>245</v>
      </c>
      <c r="C1268" s="18">
        <v>0</v>
      </c>
    </row>
    <row r="1269" spans="1:3" ht="15" hidden="1" x14ac:dyDescent="0.25">
      <c r="A1269" s="190"/>
      <c r="B1269" s="17" t="s">
        <v>319</v>
      </c>
      <c r="C1269" s="18">
        <v>0</v>
      </c>
    </row>
    <row r="1270" spans="1:3" ht="15" hidden="1" x14ac:dyDescent="0.25">
      <c r="A1270" s="190">
        <v>6268</v>
      </c>
      <c r="B1270" s="17">
        <v>0</v>
      </c>
      <c r="C1270" s="18">
        <v>0</v>
      </c>
    </row>
    <row r="1271" spans="1:3" ht="15" hidden="1" x14ac:dyDescent="0.25">
      <c r="A1271" s="190"/>
      <c r="B1271" s="17" t="s">
        <v>80</v>
      </c>
      <c r="C1271" s="18">
        <v>0</v>
      </c>
    </row>
    <row r="1272" spans="1:3" ht="15" hidden="1" x14ac:dyDescent="0.25">
      <c r="A1272" s="189">
        <v>6336</v>
      </c>
      <c r="B1272" s="17">
        <v>0</v>
      </c>
      <c r="C1272" s="18">
        <v>0</v>
      </c>
    </row>
    <row r="1273" spans="1:3" ht="15" hidden="1" x14ac:dyDescent="0.25">
      <c r="A1273" s="189">
        <v>6339</v>
      </c>
      <c r="B1273" s="17" t="s">
        <v>245</v>
      </c>
      <c r="C1273" s="18">
        <v>0</v>
      </c>
    </row>
    <row r="1274" spans="1:3" ht="15" hidden="1" x14ac:dyDescent="0.25">
      <c r="A1274" s="190"/>
      <c r="B1274" s="17" t="s">
        <v>264</v>
      </c>
      <c r="C1274" s="18">
        <v>0</v>
      </c>
    </row>
    <row r="1275" spans="1:3" ht="15" hidden="1" x14ac:dyDescent="0.25">
      <c r="A1275" s="190">
        <v>6333</v>
      </c>
      <c r="B1275" s="17">
        <v>0</v>
      </c>
      <c r="C1275" s="18">
        <v>0</v>
      </c>
    </row>
    <row r="1276" spans="1:3" ht="15" hidden="1" x14ac:dyDescent="0.25">
      <c r="A1276" s="190">
        <v>6278</v>
      </c>
      <c r="B1276" s="17" t="s">
        <v>304</v>
      </c>
      <c r="C1276" s="18">
        <v>0</v>
      </c>
    </row>
    <row r="1277" spans="1:3" ht="15" hidden="1" x14ac:dyDescent="0.25">
      <c r="A1277" s="190">
        <v>6061</v>
      </c>
      <c r="B1277" s="17" t="s">
        <v>272</v>
      </c>
      <c r="C1277" s="18">
        <v>0</v>
      </c>
    </row>
    <row r="1278" spans="1:3" ht="15" hidden="1" x14ac:dyDescent="0.25">
      <c r="A1278" s="190">
        <v>6281</v>
      </c>
      <c r="B1278" s="17" t="s">
        <v>318</v>
      </c>
      <c r="C1278" s="18">
        <v>0</v>
      </c>
    </row>
    <row r="1279" spans="1:3" ht="15" hidden="1" x14ac:dyDescent="0.25">
      <c r="A1279" s="190">
        <v>6286</v>
      </c>
      <c r="B1279" s="17">
        <v>0</v>
      </c>
      <c r="C1279" s="18">
        <v>0</v>
      </c>
    </row>
    <row r="1280" spans="1:3" ht="15" hidden="1" x14ac:dyDescent="0.25">
      <c r="A1280" s="190"/>
      <c r="B1280" s="17" t="s">
        <v>80</v>
      </c>
      <c r="C1280" s="18">
        <v>0</v>
      </c>
    </row>
    <row r="1281" spans="1:3" ht="15" hidden="1" x14ac:dyDescent="0.25">
      <c r="A1281" s="190">
        <v>6289</v>
      </c>
      <c r="B1281" s="17" t="s">
        <v>328</v>
      </c>
      <c r="C1281" s="18">
        <v>0</v>
      </c>
    </row>
    <row r="1282" spans="1:3" ht="15" hidden="1" x14ac:dyDescent="0.25">
      <c r="A1282" s="189">
        <v>6291</v>
      </c>
      <c r="B1282" s="17">
        <v>0</v>
      </c>
      <c r="C1282" s="18">
        <v>0</v>
      </c>
    </row>
    <row r="1283" spans="1:3" ht="15" hidden="1" x14ac:dyDescent="0.25">
      <c r="A1283" s="190"/>
      <c r="B1283" s="17" t="s">
        <v>287</v>
      </c>
      <c r="C1283" s="18">
        <v>0</v>
      </c>
    </row>
    <row r="1284" spans="1:3" ht="15" hidden="1" x14ac:dyDescent="0.25">
      <c r="A1284" s="190"/>
      <c r="B1284" s="17" t="s">
        <v>294</v>
      </c>
      <c r="C1284" s="18">
        <v>0</v>
      </c>
    </row>
    <row r="1285" spans="1:3" ht="15" hidden="1" x14ac:dyDescent="0.25">
      <c r="A1285" s="190"/>
      <c r="B1285" s="17" t="s">
        <v>288</v>
      </c>
      <c r="C1285" s="18">
        <v>0</v>
      </c>
    </row>
    <row r="1286" spans="1:3" ht="15" hidden="1" x14ac:dyDescent="0.25">
      <c r="A1286" s="190"/>
      <c r="B1286" s="17" t="s">
        <v>255</v>
      </c>
      <c r="C1286" s="18">
        <v>0</v>
      </c>
    </row>
    <row r="1287" spans="1:3" ht="15" hidden="1" x14ac:dyDescent="0.25">
      <c r="A1287" s="190">
        <v>6322</v>
      </c>
      <c r="B1287" s="17" t="s">
        <v>249</v>
      </c>
      <c r="C1287" s="18">
        <v>0</v>
      </c>
    </row>
    <row r="1288" spans="1:3" ht="15" hidden="1" x14ac:dyDescent="0.25">
      <c r="A1288" s="190">
        <v>6305</v>
      </c>
      <c r="B1288" s="17">
        <v>0</v>
      </c>
      <c r="C1288" s="18">
        <v>0</v>
      </c>
    </row>
    <row r="1289" spans="1:3" ht="15" hidden="1" x14ac:dyDescent="0.25">
      <c r="A1289" s="190"/>
      <c r="B1289" s="17" t="s">
        <v>258</v>
      </c>
      <c r="C1289" s="18">
        <v>0</v>
      </c>
    </row>
    <row r="1290" spans="1:3" ht="15" hidden="1" x14ac:dyDescent="0.25">
      <c r="A1290" s="190"/>
      <c r="B1290" s="17" t="s">
        <v>301</v>
      </c>
      <c r="C1290" s="18">
        <v>0</v>
      </c>
    </row>
    <row r="1291" spans="1:3" ht="15" hidden="1" x14ac:dyDescent="0.25">
      <c r="A1291" s="190"/>
      <c r="B1291" s="17" t="s">
        <v>274</v>
      </c>
      <c r="C1291" s="18">
        <v>0</v>
      </c>
    </row>
    <row r="1292" spans="1:3" ht="15" hidden="1" x14ac:dyDescent="0.25">
      <c r="A1292" s="190"/>
      <c r="B1292" s="17" t="s">
        <v>281</v>
      </c>
      <c r="C1292" s="18">
        <v>0</v>
      </c>
    </row>
    <row r="1293" spans="1:3" ht="15" hidden="1" x14ac:dyDescent="0.25">
      <c r="A1293" s="189"/>
      <c r="B1293" s="17" t="s">
        <v>318</v>
      </c>
      <c r="C1293" s="18">
        <v>0</v>
      </c>
    </row>
    <row r="1294" spans="1:3" ht="15" hidden="1" x14ac:dyDescent="0.25">
      <c r="A1294" s="190">
        <v>6342</v>
      </c>
      <c r="B1294" s="17">
        <v>0</v>
      </c>
      <c r="C1294" s="18">
        <v>0</v>
      </c>
    </row>
    <row r="1295" spans="1:3" ht="15" hidden="1" x14ac:dyDescent="0.25">
      <c r="A1295" s="190"/>
      <c r="B1295" s="17" t="s">
        <v>278</v>
      </c>
      <c r="C1295" s="18">
        <v>0</v>
      </c>
    </row>
    <row r="1296" spans="1:3" ht="15" hidden="1" x14ac:dyDescent="0.25">
      <c r="A1296" s="190"/>
      <c r="B1296" s="17" t="s">
        <v>258</v>
      </c>
      <c r="C1296" s="18">
        <v>0</v>
      </c>
    </row>
    <row r="1297" spans="1:3" ht="15" hidden="1" x14ac:dyDescent="0.25">
      <c r="A1297" s="190"/>
      <c r="B1297" s="17" t="s">
        <v>256</v>
      </c>
      <c r="C1297" s="18">
        <v>0</v>
      </c>
    </row>
    <row r="1298" spans="1:3" ht="15" hidden="1" x14ac:dyDescent="0.25">
      <c r="A1298" s="190"/>
      <c r="B1298" s="17" t="s">
        <v>245</v>
      </c>
      <c r="C1298" s="18">
        <v>0</v>
      </c>
    </row>
    <row r="1299" spans="1:3" ht="15" hidden="1" x14ac:dyDescent="0.25">
      <c r="A1299" s="190"/>
      <c r="B1299" s="17" t="s">
        <v>248</v>
      </c>
      <c r="C1299" s="18">
        <v>0</v>
      </c>
    </row>
    <row r="1300" spans="1:3" ht="15" hidden="1" x14ac:dyDescent="0.25">
      <c r="A1300" s="190"/>
      <c r="B1300" s="17" t="s">
        <v>249</v>
      </c>
      <c r="C1300" s="18">
        <v>0</v>
      </c>
    </row>
    <row r="1301" spans="1:3" ht="15" hidden="1" x14ac:dyDescent="0.25">
      <c r="A1301" s="190"/>
      <c r="B1301" s="17" t="s">
        <v>264</v>
      </c>
      <c r="C1301" s="18">
        <v>0</v>
      </c>
    </row>
    <row r="1302" spans="1:3" ht="15" hidden="1" x14ac:dyDescent="0.25">
      <c r="A1302" s="190"/>
      <c r="B1302" s="17" t="s">
        <v>319</v>
      </c>
      <c r="C1302" s="18">
        <v>0</v>
      </c>
    </row>
    <row r="1303" spans="1:3" ht="15" hidden="1" x14ac:dyDescent="0.25">
      <c r="A1303" s="190"/>
      <c r="B1303" s="17" t="s">
        <v>318</v>
      </c>
      <c r="C1303" s="18">
        <v>0</v>
      </c>
    </row>
    <row r="1304" spans="1:3" ht="15" hidden="1" x14ac:dyDescent="0.25">
      <c r="A1304" s="190"/>
      <c r="B1304" s="17" t="s">
        <v>80</v>
      </c>
      <c r="C1304" s="18">
        <v>0</v>
      </c>
    </row>
    <row r="1305" spans="1:3" ht="15" hidden="1" x14ac:dyDescent="0.25">
      <c r="A1305" s="190">
        <v>6344</v>
      </c>
      <c r="B1305" s="17">
        <v>0</v>
      </c>
      <c r="C1305" s="18">
        <v>0</v>
      </c>
    </row>
    <row r="1306" spans="1:3" ht="15" hidden="1" x14ac:dyDescent="0.25">
      <c r="A1306" s="190"/>
      <c r="B1306" s="17" t="s">
        <v>72</v>
      </c>
      <c r="C1306" s="18">
        <v>0</v>
      </c>
    </row>
    <row r="1307" spans="1:3" ht="15" hidden="1" x14ac:dyDescent="0.25">
      <c r="A1307" s="190"/>
      <c r="B1307" s="17" t="s">
        <v>318</v>
      </c>
      <c r="C1307" s="18">
        <v>0</v>
      </c>
    </row>
    <row r="1308" spans="1:3" ht="15" hidden="1" x14ac:dyDescent="0.25">
      <c r="A1308" s="190"/>
      <c r="B1308" s="17" t="s">
        <v>73</v>
      </c>
      <c r="C1308" s="18">
        <v>0</v>
      </c>
    </row>
    <row r="1309" spans="1:3" ht="15" hidden="1" x14ac:dyDescent="0.25">
      <c r="A1309" s="190"/>
      <c r="B1309" s="17" t="s">
        <v>344</v>
      </c>
      <c r="C1309" s="18">
        <v>0</v>
      </c>
    </row>
    <row r="1310" spans="1:3" ht="15" hidden="1" x14ac:dyDescent="0.25">
      <c r="A1310" s="190"/>
      <c r="B1310" s="17" t="s">
        <v>419</v>
      </c>
      <c r="C1310" s="18">
        <v>0</v>
      </c>
    </row>
    <row r="1311" spans="1:3" ht="15" hidden="1" x14ac:dyDescent="0.25">
      <c r="A1311" s="190"/>
      <c r="B1311" s="17" t="s">
        <v>79</v>
      </c>
      <c r="C1311" s="18">
        <v>0</v>
      </c>
    </row>
    <row r="1312" spans="1:3" ht="15" hidden="1" x14ac:dyDescent="0.25">
      <c r="A1312" s="190">
        <v>6348</v>
      </c>
      <c r="B1312" s="17">
        <v>0</v>
      </c>
      <c r="C1312" s="18">
        <v>0</v>
      </c>
    </row>
    <row r="1313" spans="1:3" ht="15" hidden="1" x14ac:dyDescent="0.25">
      <c r="A1313" s="190">
        <v>6346</v>
      </c>
      <c r="B1313" s="17" t="s">
        <v>80</v>
      </c>
      <c r="C1313" s="18">
        <v>0</v>
      </c>
    </row>
    <row r="1314" spans="1:3" ht="15" hidden="1" x14ac:dyDescent="0.25">
      <c r="A1314" s="190">
        <v>6345</v>
      </c>
      <c r="B1314" s="17" t="s">
        <v>280</v>
      </c>
      <c r="C1314" s="18">
        <v>0</v>
      </c>
    </row>
    <row r="1315" spans="1:3" ht="15" hidden="1" x14ac:dyDescent="0.25">
      <c r="A1315" s="190"/>
      <c r="B1315" s="17" t="s">
        <v>318</v>
      </c>
      <c r="C1315" s="18">
        <v>0</v>
      </c>
    </row>
    <row r="1316" spans="1:3" ht="15" hidden="1" x14ac:dyDescent="0.25">
      <c r="A1316" s="190">
        <v>6352</v>
      </c>
      <c r="B1316" s="17" t="s">
        <v>72</v>
      </c>
      <c r="C1316" s="18">
        <v>0</v>
      </c>
    </row>
    <row r="1317" spans="1:3" ht="15" hidden="1" x14ac:dyDescent="0.25">
      <c r="A1317" s="189">
        <v>6353</v>
      </c>
      <c r="B1317" s="17" t="s">
        <v>268</v>
      </c>
      <c r="C1317" s="18">
        <v>0</v>
      </c>
    </row>
    <row r="1318" spans="1:3" ht="15" hidden="1" x14ac:dyDescent="0.25">
      <c r="A1318" s="190"/>
      <c r="B1318" s="17" t="s">
        <v>72</v>
      </c>
      <c r="C1318" s="18">
        <v>0</v>
      </c>
    </row>
    <row r="1319" spans="1:3" ht="15" hidden="1" x14ac:dyDescent="0.25">
      <c r="A1319" s="190"/>
      <c r="B1319" s="17" t="s">
        <v>318</v>
      </c>
      <c r="C1319" s="18">
        <v>0</v>
      </c>
    </row>
    <row r="1320" spans="1:3" ht="15" hidden="1" x14ac:dyDescent="0.25">
      <c r="A1320" s="190">
        <v>6358</v>
      </c>
      <c r="B1320" s="17">
        <v>0</v>
      </c>
      <c r="C1320" s="18">
        <v>0</v>
      </c>
    </row>
    <row r="1321" spans="1:3" ht="15" hidden="1" x14ac:dyDescent="0.25">
      <c r="A1321" s="190"/>
      <c r="B1321" s="17" t="s">
        <v>80</v>
      </c>
      <c r="C1321" s="18">
        <v>0</v>
      </c>
    </row>
    <row r="1322" spans="1:3" ht="15" hidden="1" x14ac:dyDescent="0.25">
      <c r="A1322" s="190">
        <v>6363</v>
      </c>
      <c r="B1322" s="17">
        <v>0</v>
      </c>
      <c r="C1322" s="18">
        <v>0</v>
      </c>
    </row>
    <row r="1323" spans="1:3" ht="15" hidden="1" x14ac:dyDescent="0.25">
      <c r="A1323" s="190">
        <v>6376</v>
      </c>
      <c r="B1323" s="17" t="s">
        <v>256</v>
      </c>
      <c r="C1323" s="18">
        <v>0</v>
      </c>
    </row>
    <row r="1324" spans="1:3" ht="15" hidden="1" x14ac:dyDescent="0.25">
      <c r="A1324" s="190"/>
      <c r="B1324" s="17" t="s">
        <v>272</v>
      </c>
      <c r="C1324" s="18">
        <v>0</v>
      </c>
    </row>
    <row r="1325" spans="1:3" ht="15" hidden="1" x14ac:dyDescent="0.25">
      <c r="A1325" s="190"/>
      <c r="B1325" s="17" t="s">
        <v>261</v>
      </c>
      <c r="C1325" s="18">
        <v>0</v>
      </c>
    </row>
    <row r="1326" spans="1:3" ht="15" x14ac:dyDescent="0.25">
      <c r="A1326" s="190">
        <v>5928</v>
      </c>
      <c r="B1326" s="17" t="s">
        <v>320</v>
      </c>
      <c r="C1326" s="18">
        <v>50</v>
      </c>
    </row>
    <row r="1327" spans="1:3" ht="15" x14ac:dyDescent="0.25">
      <c r="A1327" s="190"/>
      <c r="B1327" s="17" t="s">
        <v>321</v>
      </c>
      <c r="C1327" s="18">
        <v>10</v>
      </c>
    </row>
    <row r="1328" spans="1:3" ht="15" x14ac:dyDescent="0.25">
      <c r="A1328" s="190"/>
      <c r="B1328" s="17" t="s">
        <v>322</v>
      </c>
      <c r="C1328" s="18">
        <v>10</v>
      </c>
    </row>
    <row r="1329" spans="1:3" ht="15" hidden="1" x14ac:dyDescent="0.25">
      <c r="A1329" s="190"/>
      <c r="B1329" s="17" t="s">
        <v>419</v>
      </c>
      <c r="C1329" s="18">
        <v>0</v>
      </c>
    </row>
    <row r="1330" spans="1:3" ht="15" hidden="1" x14ac:dyDescent="0.25">
      <c r="A1330" s="190">
        <v>6379</v>
      </c>
      <c r="B1330" s="17">
        <v>0</v>
      </c>
      <c r="C1330" s="18">
        <v>0</v>
      </c>
    </row>
    <row r="1331" spans="1:3" ht="15" hidden="1" x14ac:dyDescent="0.25">
      <c r="A1331" s="189"/>
      <c r="B1331" s="17" t="s">
        <v>80</v>
      </c>
      <c r="C1331" s="18">
        <v>0</v>
      </c>
    </row>
    <row r="1332" spans="1:3" ht="15" hidden="1" x14ac:dyDescent="0.25">
      <c r="A1332" s="190">
        <v>6380</v>
      </c>
      <c r="B1332" s="17" t="s">
        <v>421</v>
      </c>
      <c r="C1332" s="18">
        <v>0</v>
      </c>
    </row>
    <row r="1333" spans="1:3" ht="15" hidden="1" x14ac:dyDescent="0.25">
      <c r="A1333" s="189">
        <v>6382</v>
      </c>
      <c r="B1333" s="17">
        <v>0</v>
      </c>
      <c r="C1333" s="18">
        <v>0</v>
      </c>
    </row>
    <row r="1334" spans="1:3" ht="15" hidden="1" x14ac:dyDescent="0.25">
      <c r="A1334" s="190"/>
      <c r="B1334" s="17" t="s">
        <v>80</v>
      </c>
      <c r="C1334" s="18">
        <v>0</v>
      </c>
    </row>
    <row r="1335" spans="1:3" ht="15" hidden="1" x14ac:dyDescent="0.25">
      <c r="A1335" s="190">
        <v>6394</v>
      </c>
      <c r="B1335" s="17" t="s">
        <v>276</v>
      </c>
      <c r="C1335" s="18">
        <v>0</v>
      </c>
    </row>
    <row r="1336" spans="1:3" ht="15" hidden="1" x14ac:dyDescent="0.25">
      <c r="A1336" s="189">
        <v>6389</v>
      </c>
      <c r="B1336" s="17" t="s">
        <v>289</v>
      </c>
      <c r="C1336" s="18">
        <v>0</v>
      </c>
    </row>
    <row r="1337" spans="1:3" ht="15" hidden="1" x14ac:dyDescent="0.25">
      <c r="A1337" s="190"/>
      <c r="B1337" s="17" t="s">
        <v>291</v>
      </c>
      <c r="C1337" s="18">
        <v>0</v>
      </c>
    </row>
    <row r="1338" spans="1:3" ht="15" hidden="1" x14ac:dyDescent="0.25">
      <c r="A1338" s="190"/>
      <c r="B1338" s="17" t="s">
        <v>245</v>
      </c>
      <c r="C1338" s="18">
        <v>0</v>
      </c>
    </row>
    <row r="1339" spans="1:3" ht="15" hidden="1" x14ac:dyDescent="0.25">
      <c r="A1339" s="190"/>
      <c r="B1339" s="17" t="s">
        <v>249</v>
      </c>
      <c r="C1339" s="18">
        <v>0</v>
      </c>
    </row>
    <row r="1340" spans="1:3" ht="15" hidden="1" x14ac:dyDescent="0.25">
      <c r="A1340" s="190"/>
      <c r="B1340" s="17" t="s">
        <v>264</v>
      </c>
      <c r="C1340" s="18">
        <v>0</v>
      </c>
    </row>
    <row r="1341" spans="1:3" ht="15" hidden="1" x14ac:dyDescent="0.25">
      <c r="A1341" s="190"/>
      <c r="B1341" s="17" t="s">
        <v>319</v>
      </c>
      <c r="C1341" s="18">
        <v>0</v>
      </c>
    </row>
    <row r="1342" spans="1:3" ht="15" hidden="1" x14ac:dyDescent="0.25">
      <c r="A1342" s="190">
        <v>6407</v>
      </c>
      <c r="B1342" s="17" t="s">
        <v>72</v>
      </c>
      <c r="C1342" s="18">
        <v>0</v>
      </c>
    </row>
    <row r="1343" spans="1:3" ht="15" hidden="1" x14ac:dyDescent="0.25">
      <c r="A1343" s="190">
        <v>6397</v>
      </c>
      <c r="B1343" s="17" t="s">
        <v>257</v>
      </c>
      <c r="C1343" s="18">
        <v>0</v>
      </c>
    </row>
    <row r="1344" spans="1:3" ht="15" hidden="1" x14ac:dyDescent="0.25">
      <c r="A1344" s="190"/>
      <c r="B1344" s="17" t="s">
        <v>258</v>
      </c>
      <c r="C1344" s="18">
        <v>0</v>
      </c>
    </row>
    <row r="1345" spans="1:3" ht="15" hidden="1" x14ac:dyDescent="0.25">
      <c r="A1345" s="190"/>
      <c r="B1345" s="17" t="s">
        <v>298</v>
      </c>
      <c r="C1345" s="18">
        <v>0</v>
      </c>
    </row>
    <row r="1346" spans="1:3" ht="15" hidden="1" x14ac:dyDescent="0.25">
      <c r="A1346" s="190"/>
      <c r="B1346" s="17" t="s">
        <v>280</v>
      </c>
      <c r="C1346" s="18">
        <v>0</v>
      </c>
    </row>
    <row r="1347" spans="1:3" ht="15" hidden="1" x14ac:dyDescent="0.25">
      <c r="A1347" s="189"/>
      <c r="B1347" s="17" t="s">
        <v>294</v>
      </c>
      <c r="C1347" s="18">
        <v>0</v>
      </c>
    </row>
    <row r="1348" spans="1:3" ht="15" hidden="1" x14ac:dyDescent="0.25">
      <c r="A1348" s="189"/>
      <c r="B1348" s="17" t="s">
        <v>272</v>
      </c>
      <c r="C1348" s="18">
        <v>0</v>
      </c>
    </row>
    <row r="1349" spans="1:3" ht="15" hidden="1" x14ac:dyDescent="0.25">
      <c r="A1349" s="189"/>
      <c r="B1349" s="17" t="s">
        <v>318</v>
      </c>
      <c r="C1349" s="18">
        <v>0</v>
      </c>
    </row>
    <row r="1350" spans="1:3" ht="15" hidden="1" x14ac:dyDescent="0.25">
      <c r="A1350" s="190">
        <v>5917</v>
      </c>
      <c r="B1350" s="17">
        <v>0</v>
      </c>
      <c r="C1350" s="18">
        <v>0</v>
      </c>
    </row>
    <row r="1351" spans="1:3" ht="15" hidden="1" x14ac:dyDescent="0.25">
      <c r="A1351" s="190"/>
      <c r="B1351" s="17" t="s">
        <v>258</v>
      </c>
      <c r="C1351" s="18">
        <v>0</v>
      </c>
    </row>
    <row r="1352" spans="1:3" ht="15" hidden="1" x14ac:dyDescent="0.25">
      <c r="A1352" s="189"/>
      <c r="B1352" s="17" t="s">
        <v>311</v>
      </c>
      <c r="C1352" s="18">
        <v>0</v>
      </c>
    </row>
    <row r="1353" spans="1:3" ht="15" hidden="1" x14ac:dyDescent="0.25">
      <c r="A1353" s="190"/>
      <c r="B1353" s="17" t="s">
        <v>245</v>
      </c>
      <c r="C1353" s="18">
        <v>0</v>
      </c>
    </row>
    <row r="1354" spans="1:3" ht="15" hidden="1" x14ac:dyDescent="0.25">
      <c r="A1354" s="189"/>
      <c r="B1354" s="17" t="s">
        <v>249</v>
      </c>
      <c r="C1354" s="18">
        <v>0</v>
      </c>
    </row>
    <row r="1355" spans="1:3" ht="15" hidden="1" x14ac:dyDescent="0.25">
      <c r="A1355" s="190"/>
      <c r="B1355" s="17" t="s">
        <v>272</v>
      </c>
      <c r="C1355" s="18">
        <v>0</v>
      </c>
    </row>
    <row r="1356" spans="1:3" ht="15" hidden="1" x14ac:dyDescent="0.25">
      <c r="A1356" s="189"/>
      <c r="B1356" s="17" t="s">
        <v>286</v>
      </c>
      <c r="C1356" s="18">
        <v>0</v>
      </c>
    </row>
    <row r="1357" spans="1:3" ht="15" hidden="1" x14ac:dyDescent="0.25">
      <c r="A1357" s="191"/>
      <c r="B1357" s="17" t="s">
        <v>255</v>
      </c>
      <c r="C1357" s="18">
        <v>0</v>
      </c>
    </row>
    <row r="1358" spans="1:3" ht="15" hidden="1" x14ac:dyDescent="0.25">
      <c r="A1358" s="190"/>
      <c r="B1358" s="17" t="s">
        <v>318</v>
      </c>
      <c r="C1358" s="18">
        <v>0</v>
      </c>
    </row>
    <row r="1359" spans="1:3" ht="15" hidden="1" x14ac:dyDescent="0.25">
      <c r="A1359" s="190">
        <v>6216</v>
      </c>
      <c r="B1359" s="17" t="s">
        <v>299</v>
      </c>
      <c r="C1359" s="18">
        <v>0</v>
      </c>
    </row>
    <row r="1360" spans="1:3" ht="15" hidden="1" x14ac:dyDescent="0.25">
      <c r="A1360" s="190">
        <v>6415</v>
      </c>
      <c r="B1360" s="17" t="s">
        <v>287</v>
      </c>
      <c r="C1360" s="18">
        <v>0</v>
      </c>
    </row>
    <row r="1361" spans="1:3" ht="15" hidden="1" x14ac:dyDescent="0.25">
      <c r="A1361" s="190">
        <v>6418</v>
      </c>
      <c r="B1361" s="17" t="s">
        <v>287</v>
      </c>
      <c r="C1361" s="18">
        <v>0</v>
      </c>
    </row>
    <row r="1362" spans="1:3" ht="15" hidden="1" x14ac:dyDescent="0.25">
      <c r="A1362" s="190"/>
      <c r="B1362" s="17" t="s">
        <v>288</v>
      </c>
      <c r="C1362" s="18">
        <v>0</v>
      </c>
    </row>
    <row r="1363" spans="1:3" ht="15" hidden="1" x14ac:dyDescent="0.25">
      <c r="A1363" s="190">
        <v>6426</v>
      </c>
      <c r="B1363" s="17">
        <v>0</v>
      </c>
      <c r="C1363" s="18">
        <v>0</v>
      </c>
    </row>
    <row r="1364" spans="1:3" ht="15" hidden="1" x14ac:dyDescent="0.25">
      <c r="A1364" s="190"/>
      <c r="B1364" s="17" t="s">
        <v>256</v>
      </c>
      <c r="C1364" s="18">
        <v>0</v>
      </c>
    </row>
    <row r="1365" spans="1:3" ht="15" hidden="1" x14ac:dyDescent="0.25">
      <c r="A1365" s="190"/>
      <c r="B1365" s="17" t="s">
        <v>275</v>
      </c>
      <c r="C1365" s="18">
        <v>0</v>
      </c>
    </row>
    <row r="1366" spans="1:3" ht="15" hidden="1" x14ac:dyDescent="0.25">
      <c r="A1366" s="190"/>
      <c r="B1366" s="17" t="s">
        <v>318</v>
      </c>
      <c r="C1366" s="18">
        <v>0</v>
      </c>
    </row>
    <row r="1367" spans="1:3" ht="15" hidden="1" x14ac:dyDescent="0.25">
      <c r="A1367" s="190"/>
      <c r="B1367" s="17" t="s">
        <v>80</v>
      </c>
      <c r="C1367" s="18">
        <v>0</v>
      </c>
    </row>
    <row r="1368" spans="1:3" ht="15" hidden="1" x14ac:dyDescent="0.25">
      <c r="A1368" s="190">
        <v>6447</v>
      </c>
      <c r="B1368" s="17" t="s">
        <v>72</v>
      </c>
      <c r="C1368" s="18">
        <v>0</v>
      </c>
    </row>
    <row r="1369" spans="1:3" ht="15" hidden="1" x14ac:dyDescent="0.25">
      <c r="A1369" s="189">
        <v>6461</v>
      </c>
      <c r="B1369" s="17" t="s">
        <v>318</v>
      </c>
      <c r="C1369" s="18">
        <v>0</v>
      </c>
    </row>
    <row r="1370" spans="1:3" ht="15" hidden="1" x14ac:dyDescent="0.25">
      <c r="A1370" s="189" t="s">
        <v>426</v>
      </c>
      <c r="B1370" s="17">
        <v>0</v>
      </c>
      <c r="C1370" s="18">
        <v>0</v>
      </c>
    </row>
    <row r="1371" spans="1:3" ht="15" hidden="1" x14ac:dyDescent="0.25">
      <c r="A1371" s="190"/>
      <c r="B1371" s="17" t="s">
        <v>257</v>
      </c>
      <c r="C1371" s="18">
        <v>0</v>
      </c>
    </row>
    <row r="1372" spans="1:3" ht="15" hidden="1" x14ac:dyDescent="0.25">
      <c r="A1372" s="190"/>
      <c r="B1372" s="17" t="s">
        <v>278</v>
      </c>
      <c r="C1372" s="18">
        <v>0</v>
      </c>
    </row>
    <row r="1373" spans="1:3" ht="15" hidden="1" x14ac:dyDescent="0.25">
      <c r="A1373" s="190"/>
      <c r="B1373" s="17" t="s">
        <v>267</v>
      </c>
      <c r="C1373" s="18">
        <v>0</v>
      </c>
    </row>
    <row r="1374" spans="1:3" ht="15" hidden="1" x14ac:dyDescent="0.25">
      <c r="A1374" s="190"/>
      <c r="B1374" s="17" t="s">
        <v>258</v>
      </c>
      <c r="C1374" s="18">
        <v>0</v>
      </c>
    </row>
    <row r="1375" spans="1:3" ht="15" hidden="1" x14ac:dyDescent="0.25">
      <c r="A1375" s="190"/>
      <c r="B1375" s="17" t="s">
        <v>72</v>
      </c>
      <c r="C1375" s="18">
        <v>0</v>
      </c>
    </row>
    <row r="1376" spans="1:3" ht="15" hidden="1" x14ac:dyDescent="0.25">
      <c r="A1376" s="190"/>
      <c r="B1376" s="17" t="s">
        <v>318</v>
      </c>
      <c r="C1376" s="18">
        <v>0</v>
      </c>
    </row>
    <row r="1377" spans="1:3" ht="15" hidden="1" x14ac:dyDescent="0.25">
      <c r="A1377" s="190"/>
      <c r="B1377" s="17" t="s">
        <v>344</v>
      </c>
      <c r="C1377" s="18">
        <v>0</v>
      </c>
    </row>
    <row r="1378" spans="1:3" ht="15" hidden="1" x14ac:dyDescent="0.25">
      <c r="A1378" s="190"/>
      <c r="B1378" s="17" t="s">
        <v>419</v>
      </c>
      <c r="C1378" s="18">
        <v>0</v>
      </c>
    </row>
    <row r="1379" spans="1:3" ht="15" hidden="1" x14ac:dyDescent="0.25">
      <c r="A1379" s="190"/>
      <c r="B1379" s="17" t="s">
        <v>430</v>
      </c>
      <c r="C1379" s="18">
        <v>0</v>
      </c>
    </row>
    <row r="1380" spans="1:3" ht="15" hidden="1" x14ac:dyDescent="0.25">
      <c r="A1380" s="190"/>
      <c r="B1380" s="17" t="s">
        <v>457</v>
      </c>
      <c r="C1380" s="18">
        <v>0</v>
      </c>
    </row>
    <row r="1381" spans="1:3" ht="15" hidden="1" x14ac:dyDescent="0.25">
      <c r="A1381" s="190" t="s">
        <v>424</v>
      </c>
      <c r="B1381" s="17" t="s">
        <v>246</v>
      </c>
      <c r="C1381" s="18">
        <v>0</v>
      </c>
    </row>
    <row r="1382" spans="1:3" ht="15" hidden="1" x14ac:dyDescent="0.25">
      <c r="A1382" s="190"/>
      <c r="B1382" s="17" t="s">
        <v>311</v>
      </c>
      <c r="C1382" s="18">
        <v>0</v>
      </c>
    </row>
    <row r="1383" spans="1:3" ht="15" hidden="1" x14ac:dyDescent="0.25">
      <c r="A1383" s="190"/>
      <c r="B1383" s="17" t="s">
        <v>245</v>
      </c>
      <c r="C1383" s="18">
        <v>0</v>
      </c>
    </row>
    <row r="1384" spans="1:3" ht="15" hidden="1" x14ac:dyDescent="0.25">
      <c r="A1384" s="190"/>
      <c r="B1384" s="17" t="s">
        <v>248</v>
      </c>
      <c r="C1384" s="18">
        <v>0</v>
      </c>
    </row>
    <row r="1385" spans="1:3" ht="15" hidden="1" x14ac:dyDescent="0.25">
      <c r="A1385" s="190"/>
      <c r="B1385" s="17" t="s">
        <v>249</v>
      </c>
      <c r="C1385" s="18">
        <v>0</v>
      </c>
    </row>
    <row r="1386" spans="1:3" ht="15" hidden="1" x14ac:dyDescent="0.25">
      <c r="A1386" s="190"/>
      <c r="B1386" s="17" t="s">
        <v>263</v>
      </c>
      <c r="C1386" s="18">
        <v>0</v>
      </c>
    </row>
    <row r="1387" spans="1:3" ht="15" hidden="1" x14ac:dyDescent="0.25">
      <c r="A1387" s="190"/>
      <c r="B1387" s="17" t="s">
        <v>253</v>
      </c>
      <c r="C1387" s="18">
        <v>0</v>
      </c>
    </row>
    <row r="1388" spans="1:3" ht="15" hidden="1" x14ac:dyDescent="0.25">
      <c r="A1388" s="190"/>
      <c r="B1388" s="17" t="s">
        <v>264</v>
      </c>
      <c r="C1388" s="18">
        <v>0</v>
      </c>
    </row>
    <row r="1389" spans="1:3" ht="15" hidden="1" x14ac:dyDescent="0.25">
      <c r="A1389" s="190"/>
      <c r="B1389" s="17" t="s">
        <v>319</v>
      </c>
      <c r="C1389" s="18">
        <v>0</v>
      </c>
    </row>
    <row r="1390" spans="1:3" ht="15" hidden="1" x14ac:dyDescent="0.25">
      <c r="A1390" s="190" t="s">
        <v>425</v>
      </c>
      <c r="B1390" s="17">
        <v>0</v>
      </c>
      <c r="C1390" s="18">
        <v>0</v>
      </c>
    </row>
    <row r="1391" spans="1:3" ht="15" hidden="1" x14ac:dyDescent="0.25">
      <c r="A1391" s="189"/>
      <c r="B1391" s="17" t="s">
        <v>281</v>
      </c>
      <c r="C1391" s="18">
        <v>0</v>
      </c>
    </row>
    <row r="1392" spans="1:3" ht="15" hidden="1" x14ac:dyDescent="0.25">
      <c r="A1392" s="189" t="s">
        <v>423</v>
      </c>
      <c r="B1392" s="17" t="s">
        <v>246</v>
      </c>
      <c r="C1392" s="18">
        <v>0</v>
      </c>
    </row>
    <row r="1393" spans="1:3" ht="15" hidden="1" x14ac:dyDescent="0.25">
      <c r="A1393" s="189"/>
      <c r="B1393" s="17" t="s">
        <v>258</v>
      </c>
      <c r="C1393" s="18">
        <v>0</v>
      </c>
    </row>
    <row r="1394" spans="1:3" ht="15" hidden="1" x14ac:dyDescent="0.25">
      <c r="A1394" s="190"/>
      <c r="B1394" s="17" t="s">
        <v>245</v>
      </c>
      <c r="C1394" s="18">
        <v>0</v>
      </c>
    </row>
    <row r="1395" spans="1:3" ht="15" hidden="1" x14ac:dyDescent="0.25">
      <c r="A1395" s="190"/>
      <c r="B1395" s="17" t="s">
        <v>263</v>
      </c>
      <c r="C1395" s="18">
        <v>0</v>
      </c>
    </row>
    <row r="1396" spans="1:3" ht="15" hidden="1" x14ac:dyDescent="0.25">
      <c r="A1396" s="189"/>
      <c r="B1396" s="17" t="s">
        <v>264</v>
      </c>
      <c r="C1396" s="18">
        <v>0</v>
      </c>
    </row>
    <row r="1397" spans="1:3" ht="15" hidden="1" x14ac:dyDescent="0.25">
      <c r="A1397" s="189"/>
      <c r="B1397" s="17" t="s">
        <v>319</v>
      </c>
      <c r="C1397" s="18">
        <v>0</v>
      </c>
    </row>
    <row r="1398" spans="1:3" ht="15" hidden="1" x14ac:dyDescent="0.25">
      <c r="A1398" s="190" t="s">
        <v>422</v>
      </c>
      <c r="B1398" s="17" t="s">
        <v>257</v>
      </c>
      <c r="C1398" s="18">
        <v>0</v>
      </c>
    </row>
    <row r="1399" spans="1:3" ht="15" hidden="1" x14ac:dyDescent="0.25">
      <c r="A1399" s="190"/>
      <c r="B1399" s="17" t="s">
        <v>268</v>
      </c>
      <c r="C1399" s="18">
        <v>0</v>
      </c>
    </row>
    <row r="1400" spans="1:3" ht="15" hidden="1" x14ac:dyDescent="0.25">
      <c r="A1400" s="190"/>
      <c r="B1400" s="17" t="s">
        <v>269</v>
      </c>
      <c r="C1400" s="18">
        <v>0</v>
      </c>
    </row>
    <row r="1401" spans="1:3" ht="15" hidden="1" x14ac:dyDescent="0.25">
      <c r="A1401" s="190"/>
      <c r="B1401" s="17" t="s">
        <v>260</v>
      </c>
      <c r="C1401" s="18">
        <v>0</v>
      </c>
    </row>
    <row r="1402" spans="1:3" ht="15" hidden="1" x14ac:dyDescent="0.25">
      <c r="A1402" s="190"/>
      <c r="B1402" s="17" t="s">
        <v>255</v>
      </c>
      <c r="C1402" s="18">
        <v>0</v>
      </c>
    </row>
    <row r="1403" spans="1:3" ht="15" hidden="1" x14ac:dyDescent="0.25">
      <c r="A1403" s="190">
        <v>6485</v>
      </c>
      <c r="B1403" s="17">
        <v>0</v>
      </c>
      <c r="C1403" s="18">
        <v>0</v>
      </c>
    </row>
    <row r="1404" spans="1:3" ht="15" hidden="1" x14ac:dyDescent="0.25">
      <c r="A1404" s="190"/>
      <c r="B1404" s="17" t="s">
        <v>251</v>
      </c>
      <c r="C1404" s="18">
        <v>0</v>
      </c>
    </row>
    <row r="1405" spans="1:3" ht="15" hidden="1" x14ac:dyDescent="0.25">
      <c r="A1405" s="190"/>
      <c r="B1405" s="17" t="s">
        <v>265</v>
      </c>
      <c r="C1405" s="18">
        <v>0</v>
      </c>
    </row>
    <row r="1406" spans="1:3" ht="15" hidden="1" x14ac:dyDescent="0.25">
      <c r="A1406" s="189"/>
      <c r="B1406" s="17" t="s">
        <v>256</v>
      </c>
      <c r="C1406" s="18">
        <v>0</v>
      </c>
    </row>
    <row r="1407" spans="1:3" ht="15" hidden="1" x14ac:dyDescent="0.25">
      <c r="A1407" s="189"/>
      <c r="B1407" s="17" t="s">
        <v>270</v>
      </c>
      <c r="C1407" s="18">
        <v>0</v>
      </c>
    </row>
    <row r="1408" spans="1:3" ht="15" hidden="1" x14ac:dyDescent="0.25">
      <c r="A1408" s="190"/>
      <c r="B1408" s="17" t="s">
        <v>245</v>
      </c>
      <c r="C1408" s="18">
        <v>0</v>
      </c>
    </row>
    <row r="1409" spans="1:3" ht="15" hidden="1" x14ac:dyDescent="0.25">
      <c r="A1409" s="189"/>
      <c r="B1409" s="17" t="s">
        <v>249</v>
      </c>
      <c r="C1409" s="18">
        <v>0</v>
      </c>
    </row>
    <row r="1410" spans="1:3" ht="15" hidden="1" x14ac:dyDescent="0.25">
      <c r="A1410" s="189"/>
      <c r="B1410" s="17" t="s">
        <v>264</v>
      </c>
      <c r="C1410" s="18">
        <v>0</v>
      </c>
    </row>
    <row r="1411" spans="1:3" ht="15" hidden="1" x14ac:dyDescent="0.25">
      <c r="A1411" s="190"/>
      <c r="B1411" s="17" t="s">
        <v>319</v>
      </c>
      <c r="C1411" s="18">
        <v>0</v>
      </c>
    </row>
    <row r="1412" spans="1:3" ht="15" hidden="1" x14ac:dyDescent="0.25">
      <c r="A1412" s="189"/>
      <c r="B1412" s="17" t="s">
        <v>318</v>
      </c>
      <c r="C1412" s="18">
        <v>0</v>
      </c>
    </row>
    <row r="1413" spans="1:3" ht="15" hidden="1" x14ac:dyDescent="0.25">
      <c r="A1413" s="190"/>
      <c r="B1413" s="17" t="s">
        <v>80</v>
      </c>
      <c r="C1413" s="18">
        <v>0</v>
      </c>
    </row>
    <row r="1414" spans="1:3" ht="15" hidden="1" x14ac:dyDescent="0.25">
      <c r="A1414" s="190">
        <v>6483</v>
      </c>
      <c r="B1414" s="17" t="s">
        <v>72</v>
      </c>
      <c r="C1414" s="18">
        <v>0</v>
      </c>
    </row>
    <row r="1415" spans="1:3" ht="15" hidden="1" x14ac:dyDescent="0.25">
      <c r="A1415" s="190">
        <v>6482</v>
      </c>
      <c r="B1415" s="17">
        <v>0</v>
      </c>
      <c r="C1415" s="18">
        <v>0</v>
      </c>
    </row>
    <row r="1416" spans="1:3" ht="15" hidden="1" x14ac:dyDescent="0.25">
      <c r="A1416" s="189"/>
      <c r="B1416" s="17" t="s">
        <v>80</v>
      </c>
      <c r="C1416" s="18">
        <v>0</v>
      </c>
    </row>
    <row r="1417" spans="1:3" ht="15" hidden="1" x14ac:dyDescent="0.25">
      <c r="A1417" s="190">
        <v>6481</v>
      </c>
      <c r="B1417" s="17">
        <v>0</v>
      </c>
      <c r="C1417" s="18">
        <v>0</v>
      </c>
    </row>
    <row r="1418" spans="1:3" ht="15" hidden="1" x14ac:dyDescent="0.25">
      <c r="A1418" s="190"/>
      <c r="B1418" s="17" t="s">
        <v>251</v>
      </c>
      <c r="C1418" s="18">
        <v>0</v>
      </c>
    </row>
    <row r="1419" spans="1:3" ht="15" hidden="1" x14ac:dyDescent="0.25">
      <c r="A1419" s="190"/>
      <c r="B1419" s="17" t="s">
        <v>256</v>
      </c>
      <c r="C1419" s="18">
        <v>0</v>
      </c>
    </row>
    <row r="1420" spans="1:3" ht="15" hidden="1" x14ac:dyDescent="0.25">
      <c r="A1420" s="190"/>
      <c r="B1420" s="17" t="s">
        <v>272</v>
      </c>
      <c r="C1420" s="18">
        <v>0</v>
      </c>
    </row>
    <row r="1421" spans="1:3" ht="15" hidden="1" x14ac:dyDescent="0.25">
      <c r="A1421" s="190"/>
      <c r="B1421" s="17" t="s">
        <v>323</v>
      </c>
      <c r="C1421" s="18">
        <v>0</v>
      </c>
    </row>
    <row r="1422" spans="1:3" ht="15" hidden="1" x14ac:dyDescent="0.25">
      <c r="A1422" s="190"/>
      <c r="B1422" s="17" t="s">
        <v>261</v>
      </c>
      <c r="C1422" s="18">
        <v>0</v>
      </c>
    </row>
    <row r="1423" spans="1:3" ht="15" hidden="1" x14ac:dyDescent="0.25">
      <c r="A1423" s="190">
        <v>6477</v>
      </c>
      <c r="B1423" s="17">
        <v>0</v>
      </c>
      <c r="C1423" s="18">
        <v>0</v>
      </c>
    </row>
    <row r="1424" spans="1:3" ht="15" hidden="1" x14ac:dyDescent="0.25">
      <c r="A1424" s="189"/>
      <c r="B1424" s="17" t="s">
        <v>251</v>
      </c>
      <c r="C1424" s="18">
        <v>0</v>
      </c>
    </row>
    <row r="1425" spans="1:3" ht="15" hidden="1" x14ac:dyDescent="0.25">
      <c r="A1425" s="189"/>
      <c r="B1425" s="17" t="s">
        <v>256</v>
      </c>
      <c r="C1425" s="18">
        <v>0</v>
      </c>
    </row>
    <row r="1426" spans="1:3" ht="15" hidden="1" x14ac:dyDescent="0.25">
      <c r="A1426" s="190"/>
      <c r="B1426" s="17" t="s">
        <v>245</v>
      </c>
      <c r="C1426" s="18">
        <v>0</v>
      </c>
    </row>
    <row r="1427" spans="1:3" ht="15" hidden="1" x14ac:dyDescent="0.25">
      <c r="A1427" s="190"/>
      <c r="B1427" s="17" t="s">
        <v>249</v>
      </c>
      <c r="C1427" s="18">
        <v>0</v>
      </c>
    </row>
    <row r="1428" spans="1:3" ht="15" hidden="1" x14ac:dyDescent="0.25">
      <c r="A1428" s="190"/>
      <c r="B1428" s="17" t="s">
        <v>260</v>
      </c>
      <c r="C1428" s="18">
        <v>0</v>
      </c>
    </row>
    <row r="1429" spans="1:3" ht="15" hidden="1" x14ac:dyDescent="0.25">
      <c r="A1429" s="190"/>
      <c r="B1429" s="17" t="s">
        <v>264</v>
      </c>
      <c r="C1429" s="18">
        <v>0</v>
      </c>
    </row>
    <row r="1430" spans="1:3" ht="15" hidden="1" x14ac:dyDescent="0.25">
      <c r="A1430" s="189"/>
      <c r="B1430" s="17" t="s">
        <v>319</v>
      </c>
      <c r="C1430" s="18">
        <v>0</v>
      </c>
    </row>
    <row r="1431" spans="1:3" ht="15" hidden="1" x14ac:dyDescent="0.25">
      <c r="A1431" s="190"/>
      <c r="B1431" s="17" t="s">
        <v>318</v>
      </c>
      <c r="C1431" s="18">
        <v>0</v>
      </c>
    </row>
    <row r="1432" spans="1:3" ht="15" hidden="1" x14ac:dyDescent="0.25">
      <c r="A1432" s="190"/>
      <c r="B1432" s="17" t="s">
        <v>80</v>
      </c>
      <c r="C1432" s="18">
        <v>0</v>
      </c>
    </row>
    <row r="1433" spans="1:3" ht="15" hidden="1" x14ac:dyDescent="0.25">
      <c r="A1433" s="190">
        <v>6475</v>
      </c>
      <c r="B1433" s="17" t="s">
        <v>256</v>
      </c>
      <c r="C1433" s="18">
        <v>0</v>
      </c>
    </row>
    <row r="1434" spans="1:3" ht="15" hidden="1" x14ac:dyDescent="0.25">
      <c r="A1434" s="190"/>
      <c r="B1434" s="17" t="s">
        <v>272</v>
      </c>
      <c r="C1434" s="18">
        <v>0</v>
      </c>
    </row>
    <row r="1435" spans="1:3" ht="15" hidden="1" x14ac:dyDescent="0.25">
      <c r="A1435" s="190"/>
      <c r="B1435" s="17" t="s">
        <v>261</v>
      </c>
      <c r="C1435" s="18">
        <v>0</v>
      </c>
    </row>
    <row r="1436" spans="1:3" ht="15" hidden="1" x14ac:dyDescent="0.25">
      <c r="A1436" s="190">
        <v>6474</v>
      </c>
      <c r="B1436" s="17" t="s">
        <v>72</v>
      </c>
      <c r="C1436" s="18">
        <v>0</v>
      </c>
    </row>
    <row r="1437" spans="1:3" ht="15" hidden="1" x14ac:dyDescent="0.25">
      <c r="A1437" s="190">
        <v>6489</v>
      </c>
      <c r="B1437" s="17" t="s">
        <v>245</v>
      </c>
      <c r="C1437" s="18">
        <v>0</v>
      </c>
    </row>
    <row r="1438" spans="1:3" ht="15" hidden="1" x14ac:dyDescent="0.25">
      <c r="A1438" s="190">
        <v>6498</v>
      </c>
      <c r="B1438" s="17">
        <v>0</v>
      </c>
      <c r="C1438" s="18">
        <v>0</v>
      </c>
    </row>
    <row r="1439" spans="1:3" ht="15" hidden="1" x14ac:dyDescent="0.25">
      <c r="A1439" s="190"/>
      <c r="B1439" s="17" t="s">
        <v>251</v>
      </c>
      <c r="C1439" s="18">
        <v>0</v>
      </c>
    </row>
    <row r="1440" spans="1:3" ht="15" hidden="1" x14ac:dyDescent="0.25">
      <c r="A1440" s="190"/>
      <c r="B1440" s="17" t="s">
        <v>256</v>
      </c>
      <c r="C1440" s="18">
        <v>0</v>
      </c>
    </row>
    <row r="1441" spans="1:3" ht="15" hidden="1" x14ac:dyDescent="0.25">
      <c r="A1441" s="190"/>
      <c r="B1441" s="17" t="s">
        <v>262</v>
      </c>
      <c r="C1441" s="18">
        <v>0</v>
      </c>
    </row>
    <row r="1442" spans="1:3" ht="15" hidden="1" x14ac:dyDescent="0.25">
      <c r="A1442" s="190"/>
      <c r="B1442" s="17" t="s">
        <v>245</v>
      </c>
      <c r="C1442" s="18">
        <v>0</v>
      </c>
    </row>
    <row r="1443" spans="1:3" ht="15" hidden="1" x14ac:dyDescent="0.25">
      <c r="A1443" s="190"/>
      <c r="B1443" s="17" t="s">
        <v>249</v>
      </c>
      <c r="C1443" s="18">
        <v>0</v>
      </c>
    </row>
    <row r="1444" spans="1:3" ht="15" hidden="1" x14ac:dyDescent="0.25">
      <c r="A1444" s="190"/>
      <c r="B1444" s="17" t="s">
        <v>303</v>
      </c>
      <c r="C1444" s="18">
        <v>0</v>
      </c>
    </row>
    <row r="1445" spans="1:3" ht="15" hidden="1" x14ac:dyDescent="0.25">
      <c r="A1445" s="190"/>
      <c r="B1445" s="17" t="s">
        <v>264</v>
      </c>
      <c r="C1445" s="18">
        <v>0</v>
      </c>
    </row>
    <row r="1446" spans="1:3" ht="15" hidden="1" x14ac:dyDescent="0.25">
      <c r="A1446" s="190"/>
      <c r="B1446" s="17" t="s">
        <v>319</v>
      </c>
      <c r="C1446" s="18">
        <v>0</v>
      </c>
    </row>
    <row r="1447" spans="1:3" ht="15" hidden="1" x14ac:dyDescent="0.25">
      <c r="A1447" s="190"/>
      <c r="B1447" s="17" t="s">
        <v>318</v>
      </c>
      <c r="C1447" s="18">
        <v>0</v>
      </c>
    </row>
    <row r="1448" spans="1:3" ht="15" hidden="1" x14ac:dyDescent="0.25">
      <c r="A1448" s="190"/>
      <c r="B1448" s="17" t="s">
        <v>80</v>
      </c>
      <c r="C1448" s="18">
        <v>0</v>
      </c>
    </row>
    <row r="1449" spans="1:3" ht="15" hidden="1" x14ac:dyDescent="0.25">
      <c r="A1449" s="190" t="s">
        <v>428</v>
      </c>
      <c r="B1449" s="17" t="s">
        <v>311</v>
      </c>
      <c r="C1449" s="18">
        <v>0</v>
      </c>
    </row>
    <row r="1450" spans="1:3" ht="15" hidden="1" x14ac:dyDescent="0.25">
      <c r="A1450" s="190"/>
      <c r="B1450" s="17" t="s">
        <v>245</v>
      </c>
      <c r="C1450" s="18">
        <v>0</v>
      </c>
    </row>
    <row r="1451" spans="1:3" ht="15" hidden="1" x14ac:dyDescent="0.25">
      <c r="A1451" s="190"/>
      <c r="B1451" s="17" t="s">
        <v>249</v>
      </c>
      <c r="C1451" s="18">
        <v>0</v>
      </c>
    </row>
    <row r="1452" spans="1:3" ht="15" hidden="1" x14ac:dyDescent="0.25">
      <c r="A1452" s="190"/>
      <c r="B1452" s="17" t="s">
        <v>263</v>
      </c>
      <c r="C1452" s="18">
        <v>0</v>
      </c>
    </row>
    <row r="1453" spans="1:3" ht="15" hidden="1" x14ac:dyDescent="0.25">
      <c r="A1453" s="191"/>
      <c r="B1453" s="17" t="s">
        <v>264</v>
      </c>
      <c r="C1453" s="18">
        <v>0</v>
      </c>
    </row>
    <row r="1454" spans="1:3" ht="15" hidden="1" x14ac:dyDescent="0.25">
      <c r="A1454" s="190"/>
      <c r="B1454" s="17" t="s">
        <v>319</v>
      </c>
      <c r="C1454" s="18">
        <v>0</v>
      </c>
    </row>
    <row r="1455" spans="1:3" ht="15" hidden="1" x14ac:dyDescent="0.25">
      <c r="A1455" s="190" t="s">
        <v>427</v>
      </c>
      <c r="B1455" s="17">
        <v>0</v>
      </c>
      <c r="C1455" s="18">
        <v>0</v>
      </c>
    </row>
    <row r="1456" spans="1:3" ht="15" hidden="1" x14ac:dyDescent="0.25">
      <c r="A1456" s="190"/>
      <c r="B1456" s="17" t="s">
        <v>257</v>
      </c>
      <c r="C1456" s="18">
        <v>0</v>
      </c>
    </row>
    <row r="1457" spans="1:3" ht="15" hidden="1" x14ac:dyDescent="0.25">
      <c r="A1457" s="190"/>
      <c r="B1457" s="17" t="s">
        <v>274</v>
      </c>
      <c r="C1457" s="18">
        <v>0</v>
      </c>
    </row>
    <row r="1458" spans="1:3" ht="15" hidden="1" x14ac:dyDescent="0.25">
      <c r="A1458" s="189"/>
      <c r="B1458" s="17" t="s">
        <v>260</v>
      </c>
      <c r="C1458" s="18">
        <v>0</v>
      </c>
    </row>
    <row r="1459" spans="1:3" ht="15" hidden="1" x14ac:dyDescent="0.25">
      <c r="A1459" s="190"/>
      <c r="B1459" s="17" t="s">
        <v>293</v>
      </c>
      <c r="C1459" s="18">
        <v>0</v>
      </c>
    </row>
    <row r="1460" spans="1:3" ht="15" hidden="1" x14ac:dyDescent="0.25">
      <c r="A1460" s="190">
        <v>6506</v>
      </c>
      <c r="B1460" s="17" t="s">
        <v>278</v>
      </c>
      <c r="C1460" s="18">
        <v>0</v>
      </c>
    </row>
    <row r="1461" spans="1:3" ht="15" hidden="1" x14ac:dyDescent="0.25">
      <c r="A1461" s="190">
        <v>6508</v>
      </c>
      <c r="B1461" s="17">
        <v>0</v>
      </c>
      <c r="C1461" s="18">
        <v>0</v>
      </c>
    </row>
    <row r="1462" spans="1:3" ht="15" hidden="1" x14ac:dyDescent="0.25">
      <c r="A1462" s="190"/>
      <c r="B1462" s="17" t="s">
        <v>80</v>
      </c>
      <c r="C1462" s="18">
        <v>0</v>
      </c>
    </row>
    <row r="1463" spans="1:3" ht="15" hidden="1" x14ac:dyDescent="0.25">
      <c r="A1463" s="190">
        <v>6512</v>
      </c>
      <c r="B1463" s="17">
        <v>0</v>
      </c>
      <c r="C1463" s="18">
        <v>0</v>
      </c>
    </row>
    <row r="1464" spans="1:3" ht="15" hidden="1" x14ac:dyDescent="0.25">
      <c r="A1464" s="190"/>
      <c r="B1464" s="17" t="s">
        <v>80</v>
      </c>
      <c r="C1464" s="18">
        <v>0</v>
      </c>
    </row>
    <row r="1465" spans="1:3" ht="15" hidden="1" x14ac:dyDescent="0.25">
      <c r="A1465" s="190">
        <v>6514</v>
      </c>
      <c r="B1465" s="17">
        <v>0</v>
      </c>
      <c r="C1465" s="18">
        <v>0</v>
      </c>
    </row>
    <row r="1466" spans="1:3" ht="15" hidden="1" x14ac:dyDescent="0.25">
      <c r="A1466" s="190">
        <v>6515</v>
      </c>
      <c r="B1466" s="17">
        <v>0</v>
      </c>
      <c r="C1466" s="18">
        <v>0</v>
      </c>
    </row>
    <row r="1467" spans="1:3" ht="15" hidden="1" x14ac:dyDescent="0.25">
      <c r="A1467" s="190"/>
      <c r="B1467" s="17" t="s">
        <v>270</v>
      </c>
      <c r="C1467" s="18">
        <v>0</v>
      </c>
    </row>
    <row r="1468" spans="1:3" ht="15" hidden="1" x14ac:dyDescent="0.25">
      <c r="A1468" s="190"/>
      <c r="B1468" s="17" t="s">
        <v>249</v>
      </c>
      <c r="C1468" s="18">
        <v>0</v>
      </c>
    </row>
    <row r="1469" spans="1:3" ht="15" hidden="1" x14ac:dyDescent="0.25">
      <c r="A1469" s="189"/>
      <c r="B1469" s="17" t="s">
        <v>260</v>
      </c>
      <c r="C1469" s="18">
        <v>0</v>
      </c>
    </row>
    <row r="1470" spans="1:3" ht="15" hidden="1" x14ac:dyDescent="0.25">
      <c r="A1470" s="190"/>
      <c r="B1470" s="17" t="s">
        <v>318</v>
      </c>
      <c r="C1470" s="18">
        <v>0</v>
      </c>
    </row>
    <row r="1471" spans="1:3" ht="15" hidden="1" x14ac:dyDescent="0.25">
      <c r="A1471" s="190">
        <v>6528</v>
      </c>
      <c r="B1471" s="17" t="s">
        <v>318</v>
      </c>
      <c r="C1471" s="18">
        <v>0</v>
      </c>
    </row>
    <row r="1472" spans="1:3" ht="15" hidden="1" x14ac:dyDescent="0.25">
      <c r="A1472" s="190">
        <v>6479</v>
      </c>
      <c r="B1472" s="17">
        <v>0</v>
      </c>
      <c r="C1472" s="18">
        <v>0</v>
      </c>
    </row>
    <row r="1473" spans="1:3" ht="15" hidden="1" x14ac:dyDescent="0.25">
      <c r="A1473" s="190"/>
      <c r="B1473" s="17" t="s">
        <v>80</v>
      </c>
      <c r="C1473" s="18">
        <v>0</v>
      </c>
    </row>
    <row r="1474" spans="1:3" ht="15" hidden="1" x14ac:dyDescent="0.25">
      <c r="A1474" s="190">
        <v>6545</v>
      </c>
      <c r="B1474" s="17" t="s">
        <v>257</v>
      </c>
      <c r="C1474" s="18">
        <v>0</v>
      </c>
    </row>
    <row r="1475" spans="1:3" ht="15" hidden="1" x14ac:dyDescent="0.25">
      <c r="A1475" s="189"/>
      <c r="B1475" s="17" t="s">
        <v>258</v>
      </c>
      <c r="C1475" s="18">
        <v>0</v>
      </c>
    </row>
    <row r="1476" spans="1:3" ht="15" hidden="1" x14ac:dyDescent="0.25">
      <c r="A1476" s="190"/>
      <c r="B1476" s="17" t="s">
        <v>268</v>
      </c>
      <c r="C1476" s="18">
        <v>0</v>
      </c>
    </row>
    <row r="1477" spans="1:3" ht="15" hidden="1" x14ac:dyDescent="0.25">
      <c r="A1477" s="190"/>
      <c r="B1477" s="17" t="s">
        <v>318</v>
      </c>
      <c r="C1477" s="18">
        <v>0</v>
      </c>
    </row>
    <row r="1478" spans="1:3" ht="15" hidden="1" x14ac:dyDescent="0.25">
      <c r="A1478" s="190">
        <v>6554</v>
      </c>
      <c r="B1478" s="17" t="s">
        <v>246</v>
      </c>
      <c r="C1478" s="18">
        <v>0</v>
      </c>
    </row>
    <row r="1479" spans="1:3" ht="15" hidden="1" x14ac:dyDescent="0.25">
      <c r="A1479" s="190"/>
      <c r="B1479" s="17" t="s">
        <v>289</v>
      </c>
      <c r="C1479" s="18">
        <v>0</v>
      </c>
    </row>
    <row r="1480" spans="1:3" ht="15" hidden="1" x14ac:dyDescent="0.25">
      <c r="A1480" s="190"/>
      <c r="B1480" s="17" t="s">
        <v>265</v>
      </c>
      <c r="C1480" s="18">
        <v>0</v>
      </c>
    </row>
    <row r="1481" spans="1:3" ht="15" hidden="1" x14ac:dyDescent="0.25">
      <c r="A1481" s="190"/>
      <c r="B1481" s="17" t="s">
        <v>250</v>
      </c>
      <c r="C1481" s="18">
        <v>0</v>
      </c>
    </row>
    <row r="1482" spans="1:3" ht="15" hidden="1" x14ac:dyDescent="0.25">
      <c r="A1482" s="190"/>
      <c r="B1482" s="17" t="s">
        <v>247</v>
      </c>
      <c r="C1482" s="18">
        <v>0</v>
      </c>
    </row>
    <row r="1483" spans="1:3" ht="15" hidden="1" x14ac:dyDescent="0.25">
      <c r="A1483" s="190"/>
      <c r="B1483" s="17" t="s">
        <v>291</v>
      </c>
      <c r="C1483" s="18">
        <v>0</v>
      </c>
    </row>
    <row r="1484" spans="1:3" ht="15" hidden="1" x14ac:dyDescent="0.25">
      <c r="A1484" s="190"/>
      <c r="B1484" s="17" t="s">
        <v>311</v>
      </c>
      <c r="C1484" s="18">
        <v>0</v>
      </c>
    </row>
    <row r="1485" spans="1:3" ht="15" hidden="1" x14ac:dyDescent="0.25">
      <c r="A1485" s="190"/>
      <c r="B1485" s="17" t="s">
        <v>245</v>
      </c>
      <c r="C1485" s="18">
        <v>0</v>
      </c>
    </row>
    <row r="1486" spans="1:3" ht="15" hidden="1" x14ac:dyDescent="0.25">
      <c r="A1486" s="189"/>
      <c r="B1486" s="17" t="s">
        <v>249</v>
      </c>
      <c r="C1486" s="18">
        <v>0</v>
      </c>
    </row>
    <row r="1487" spans="1:3" ht="15" hidden="1" x14ac:dyDescent="0.25">
      <c r="A1487" s="189"/>
      <c r="B1487" s="17" t="s">
        <v>263</v>
      </c>
      <c r="C1487" s="18">
        <v>0</v>
      </c>
    </row>
    <row r="1488" spans="1:3" ht="15" hidden="1" x14ac:dyDescent="0.25">
      <c r="A1488" s="189"/>
      <c r="B1488" s="17" t="s">
        <v>264</v>
      </c>
      <c r="C1488" s="18">
        <v>0</v>
      </c>
    </row>
    <row r="1489" spans="1:3" ht="15" hidden="1" x14ac:dyDescent="0.25">
      <c r="A1489" s="190"/>
      <c r="B1489" s="17" t="s">
        <v>319</v>
      </c>
      <c r="C1489" s="18">
        <v>0</v>
      </c>
    </row>
    <row r="1490" spans="1:3" ht="15" hidden="1" x14ac:dyDescent="0.25">
      <c r="A1490" s="190"/>
      <c r="B1490" s="17" t="s">
        <v>320</v>
      </c>
      <c r="C1490" s="18">
        <v>0</v>
      </c>
    </row>
    <row r="1491" spans="1:3" ht="15" hidden="1" x14ac:dyDescent="0.25">
      <c r="A1491" s="190"/>
      <c r="B1491" s="17" t="s">
        <v>321</v>
      </c>
      <c r="C1491" s="18">
        <v>0</v>
      </c>
    </row>
    <row r="1492" spans="1:3" ht="15" hidden="1" x14ac:dyDescent="0.25">
      <c r="A1492" s="190"/>
      <c r="B1492" s="17" t="s">
        <v>322</v>
      </c>
      <c r="C1492" s="18">
        <v>0</v>
      </c>
    </row>
    <row r="1493" spans="1:3" ht="15" hidden="1" x14ac:dyDescent="0.25">
      <c r="A1493" s="189"/>
      <c r="B1493" s="17" t="s">
        <v>326</v>
      </c>
      <c r="C1493" s="18">
        <v>0</v>
      </c>
    </row>
    <row r="1494" spans="1:3" ht="15" hidden="1" x14ac:dyDescent="0.25">
      <c r="A1494" s="190"/>
      <c r="B1494" s="17" t="s">
        <v>330</v>
      </c>
      <c r="C1494" s="18">
        <v>0</v>
      </c>
    </row>
    <row r="1495" spans="1:3" ht="15" hidden="1" x14ac:dyDescent="0.25">
      <c r="A1495" s="190"/>
      <c r="B1495" s="17" t="s">
        <v>331</v>
      </c>
      <c r="C1495" s="18">
        <v>0</v>
      </c>
    </row>
    <row r="1496" spans="1:3" ht="15" hidden="1" x14ac:dyDescent="0.25">
      <c r="A1496" s="189"/>
      <c r="B1496" s="17" t="s">
        <v>378</v>
      </c>
      <c r="C1496" s="18">
        <v>0</v>
      </c>
    </row>
    <row r="1497" spans="1:3" ht="15" hidden="1" x14ac:dyDescent="0.25">
      <c r="A1497" s="189">
        <v>6562</v>
      </c>
      <c r="B1497" s="17" t="s">
        <v>246</v>
      </c>
      <c r="C1497" s="18">
        <v>0</v>
      </c>
    </row>
    <row r="1498" spans="1:3" ht="15" hidden="1" x14ac:dyDescent="0.25">
      <c r="A1498" s="190"/>
      <c r="B1498" s="17" t="s">
        <v>311</v>
      </c>
      <c r="C1498" s="18">
        <v>0</v>
      </c>
    </row>
    <row r="1499" spans="1:3" ht="15" hidden="1" x14ac:dyDescent="0.25">
      <c r="A1499" s="190"/>
      <c r="B1499" s="17" t="s">
        <v>245</v>
      </c>
      <c r="C1499" s="18">
        <v>0</v>
      </c>
    </row>
    <row r="1500" spans="1:3" ht="15" hidden="1" x14ac:dyDescent="0.25">
      <c r="A1500" s="190"/>
      <c r="B1500" s="17" t="s">
        <v>248</v>
      </c>
      <c r="C1500" s="18">
        <v>0</v>
      </c>
    </row>
    <row r="1501" spans="1:3" ht="15" hidden="1" x14ac:dyDescent="0.25">
      <c r="A1501" s="190"/>
      <c r="B1501" s="17" t="s">
        <v>249</v>
      </c>
      <c r="C1501" s="18">
        <v>0</v>
      </c>
    </row>
    <row r="1502" spans="1:3" ht="15" hidden="1" x14ac:dyDescent="0.25">
      <c r="A1502" s="190"/>
      <c r="B1502" s="17" t="s">
        <v>263</v>
      </c>
      <c r="C1502" s="18">
        <v>0</v>
      </c>
    </row>
    <row r="1503" spans="1:3" ht="15" hidden="1" x14ac:dyDescent="0.25">
      <c r="A1503" s="190"/>
      <c r="B1503" s="17" t="s">
        <v>253</v>
      </c>
      <c r="C1503" s="18">
        <v>0</v>
      </c>
    </row>
    <row r="1504" spans="1:3" ht="15" hidden="1" x14ac:dyDescent="0.25">
      <c r="A1504" s="189"/>
      <c r="B1504" s="17" t="s">
        <v>264</v>
      </c>
      <c r="C1504" s="18">
        <v>0</v>
      </c>
    </row>
    <row r="1505" spans="1:3" ht="15" hidden="1" x14ac:dyDescent="0.25">
      <c r="A1505" s="190"/>
      <c r="B1505" s="17" t="s">
        <v>319</v>
      </c>
      <c r="C1505" s="18">
        <v>0</v>
      </c>
    </row>
    <row r="1506" spans="1:3" ht="15" hidden="1" x14ac:dyDescent="0.25">
      <c r="A1506" s="190"/>
      <c r="B1506" s="17" t="s">
        <v>378</v>
      </c>
      <c r="C1506" s="18">
        <v>0</v>
      </c>
    </row>
    <row r="1507" spans="1:3" ht="15" hidden="1" x14ac:dyDescent="0.25">
      <c r="A1507" s="189">
        <v>6563</v>
      </c>
      <c r="B1507" s="17">
        <v>0</v>
      </c>
      <c r="C1507" s="18">
        <v>0</v>
      </c>
    </row>
    <row r="1508" spans="1:3" ht="15" hidden="1" x14ac:dyDescent="0.25">
      <c r="A1508" s="189"/>
      <c r="B1508" s="17" t="s">
        <v>251</v>
      </c>
      <c r="C1508" s="18">
        <v>0</v>
      </c>
    </row>
    <row r="1509" spans="1:3" ht="15" hidden="1" x14ac:dyDescent="0.25">
      <c r="A1509" s="189"/>
      <c r="B1509" s="17" t="s">
        <v>275</v>
      </c>
      <c r="C1509" s="18">
        <v>0</v>
      </c>
    </row>
    <row r="1510" spans="1:3" ht="15" hidden="1" x14ac:dyDescent="0.25">
      <c r="A1510" s="190"/>
      <c r="B1510" s="17" t="s">
        <v>245</v>
      </c>
      <c r="C1510" s="18">
        <v>0</v>
      </c>
    </row>
    <row r="1511" spans="1:3" ht="15" hidden="1" x14ac:dyDescent="0.25">
      <c r="A1511" s="190"/>
      <c r="B1511" s="17" t="s">
        <v>249</v>
      </c>
      <c r="C1511" s="18">
        <v>0</v>
      </c>
    </row>
    <row r="1512" spans="1:3" ht="15" hidden="1" x14ac:dyDescent="0.25">
      <c r="A1512" s="190"/>
      <c r="B1512" s="17" t="s">
        <v>264</v>
      </c>
      <c r="C1512" s="18">
        <v>0</v>
      </c>
    </row>
    <row r="1513" spans="1:3" ht="15" hidden="1" x14ac:dyDescent="0.25">
      <c r="A1513" s="190"/>
      <c r="B1513" s="17" t="s">
        <v>319</v>
      </c>
      <c r="C1513" s="18">
        <v>0</v>
      </c>
    </row>
    <row r="1514" spans="1:3" ht="15" hidden="1" x14ac:dyDescent="0.25">
      <c r="A1514" s="190"/>
      <c r="B1514" s="17" t="s">
        <v>318</v>
      </c>
      <c r="C1514" s="18">
        <v>0</v>
      </c>
    </row>
    <row r="1515" spans="1:3" ht="15" hidden="1" x14ac:dyDescent="0.25">
      <c r="A1515" s="190"/>
      <c r="B1515" s="17" t="s">
        <v>80</v>
      </c>
      <c r="C1515" s="18">
        <v>0</v>
      </c>
    </row>
    <row r="1516" spans="1:3" ht="15" hidden="1" x14ac:dyDescent="0.25">
      <c r="A1516" s="190">
        <v>6566</v>
      </c>
      <c r="B1516" s="17">
        <v>0</v>
      </c>
      <c r="C1516" s="18">
        <v>0</v>
      </c>
    </row>
    <row r="1517" spans="1:3" ht="15" hidden="1" x14ac:dyDescent="0.25">
      <c r="A1517" s="190">
        <v>6585</v>
      </c>
      <c r="B1517" s="17">
        <v>0</v>
      </c>
      <c r="C1517" s="18">
        <v>0</v>
      </c>
    </row>
    <row r="1518" spans="1:3" ht="15" hidden="1" x14ac:dyDescent="0.25">
      <c r="A1518" s="190"/>
      <c r="B1518" s="17" t="s">
        <v>80</v>
      </c>
      <c r="C1518" s="18">
        <v>0</v>
      </c>
    </row>
    <row r="1519" spans="1:3" ht="15" hidden="1" x14ac:dyDescent="0.25">
      <c r="A1519" s="190">
        <v>6586</v>
      </c>
      <c r="B1519" s="17">
        <v>0</v>
      </c>
      <c r="C1519" s="18">
        <v>0</v>
      </c>
    </row>
    <row r="1520" spans="1:3" ht="15" hidden="1" x14ac:dyDescent="0.25">
      <c r="A1520" s="190"/>
      <c r="B1520" s="17" t="s">
        <v>80</v>
      </c>
      <c r="C1520" s="18">
        <v>0</v>
      </c>
    </row>
    <row r="1521" spans="1:3" ht="15" hidden="1" x14ac:dyDescent="0.25">
      <c r="A1521" s="189">
        <v>6596</v>
      </c>
      <c r="B1521" s="17">
        <v>0</v>
      </c>
      <c r="C1521" s="18">
        <v>0</v>
      </c>
    </row>
    <row r="1522" spans="1:3" ht="15" hidden="1" x14ac:dyDescent="0.25">
      <c r="A1522" s="190"/>
      <c r="B1522" s="17" t="s">
        <v>251</v>
      </c>
      <c r="C1522" s="18">
        <v>0</v>
      </c>
    </row>
    <row r="1523" spans="1:3" ht="15" hidden="1" x14ac:dyDescent="0.25">
      <c r="A1523" s="190"/>
      <c r="B1523" s="17" t="s">
        <v>256</v>
      </c>
      <c r="C1523" s="18">
        <v>0</v>
      </c>
    </row>
    <row r="1524" spans="1:3" ht="15" hidden="1" x14ac:dyDescent="0.25">
      <c r="A1524" s="190"/>
      <c r="B1524" s="17" t="s">
        <v>318</v>
      </c>
      <c r="C1524" s="18">
        <v>0</v>
      </c>
    </row>
    <row r="1525" spans="1:3" ht="15" hidden="1" x14ac:dyDescent="0.25">
      <c r="A1525" s="190">
        <v>6598</v>
      </c>
      <c r="B1525" s="17" t="s">
        <v>299</v>
      </c>
      <c r="C1525" s="18">
        <v>0</v>
      </c>
    </row>
    <row r="1526" spans="1:3" ht="15" hidden="1" x14ac:dyDescent="0.25">
      <c r="A1526" s="190">
        <v>6600</v>
      </c>
      <c r="B1526" s="17">
        <v>0</v>
      </c>
      <c r="C1526" s="18">
        <v>0</v>
      </c>
    </row>
    <row r="1527" spans="1:3" ht="15" hidden="1" x14ac:dyDescent="0.25">
      <c r="A1527" s="190">
        <v>6605</v>
      </c>
      <c r="B1527" s="17" t="s">
        <v>72</v>
      </c>
      <c r="C1527" s="18">
        <v>0</v>
      </c>
    </row>
    <row r="1528" spans="1:3" ht="15" hidden="1" x14ac:dyDescent="0.25">
      <c r="A1528" s="190">
        <v>6624</v>
      </c>
      <c r="B1528" s="17">
        <v>0</v>
      </c>
      <c r="C1528" s="18">
        <v>0</v>
      </c>
    </row>
    <row r="1529" spans="1:3" ht="15" hidden="1" x14ac:dyDescent="0.25">
      <c r="A1529" s="189"/>
      <c r="B1529" s="17" t="s">
        <v>318</v>
      </c>
      <c r="C1529" s="18">
        <v>0</v>
      </c>
    </row>
    <row r="1530" spans="1:3" ht="15" hidden="1" x14ac:dyDescent="0.25">
      <c r="A1530" s="191">
        <v>6628</v>
      </c>
      <c r="B1530" s="17" t="s">
        <v>318</v>
      </c>
      <c r="C1530" s="18">
        <v>0</v>
      </c>
    </row>
    <row r="1531" spans="1:3" ht="15" hidden="1" x14ac:dyDescent="0.25">
      <c r="A1531" s="191">
        <v>6630</v>
      </c>
      <c r="B1531" s="17">
        <v>0</v>
      </c>
      <c r="C1531" s="18">
        <v>0</v>
      </c>
    </row>
    <row r="1532" spans="1:3" ht="15" hidden="1" x14ac:dyDescent="0.25">
      <c r="A1532" s="191"/>
      <c r="B1532" s="17" t="s">
        <v>251</v>
      </c>
      <c r="C1532" s="18">
        <v>0</v>
      </c>
    </row>
    <row r="1533" spans="1:3" ht="15" hidden="1" x14ac:dyDescent="0.25">
      <c r="A1533" s="191"/>
      <c r="B1533" s="17" t="s">
        <v>246</v>
      </c>
      <c r="C1533" s="18">
        <v>0</v>
      </c>
    </row>
    <row r="1534" spans="1:3" ht="15" hidden="1" x14ac:dyDescent="0.25">
      <c r="A1534" s="190"/>
      <c r="B1534" s="17" t="s">
        <v>256</v>
      </c>
      <c r="C1534" s="18">
        <v>0</v>
      </c>
    </row>
    <row r="1535" spans="1:3" ht="15" hidden="1" x14ac:dyDescent="0.25">
      <c r="A1535" s="191"/>
      <c r="B1535" s="17" t="s">
        <v>270</v>
      </c>
      <c r="C1535" s="18">
        <v>0</v>
      </c>
    </row>
    <row r="1536" spans="1:3" ht="15" hidden="1" x14ac:dyDescent="0.25">
      <c r="A1536" s="191"/>
      <c r="B1536" s="17" t="s">
        <v>245</v>
      </c>
      <c r="C1536" s="18">
        <v>0</v>
      </c>
    </row>
    <row r="1537" spans="1:3" ht="15" hidden="1" x14ac:dyDescent="0.25">
      <c r="A1537" s="59"/>
      <c r="B1537" s="17" t="s">
        <v>249</v>
      </c>
      <c r="C1537" s="18">
        <v>0</v>
      </c>
    </row>
    <row r="1538" spans="1:3" ht="15" hidden="1" x14ac:dyDescent="0.25">
      <c r="A1538" s="190"/>
      <c r="B1538" s="17" t="s">
        <v>264</v>
      </c>
      <c r="C1538" s="18">
        <v>0</v>
      </c>
    </row>
    <row r="1539" spans="1:3" ht="15" hidden="1" x14ac:dyDescent="0.25">
      <c r="A1539" s="190"/>
      <c r="B1539" s="17" t="s">
        <v>319</v>
      </c>
      <c r="C1539" s="18">
        <v>0</v>
      </c>
    </row>
    <row r="1540" spans="1:3" ht="15" hidden="1" x14ac:dyDescent="0.25">
      <c r="A1540" s="190"/>
      <c r="B1540" s="17" t="s">
        <v>318</v>
      </c>
      <c r="C1540" s="18">
        <v>0</v>
      </c>
    </row>
    <row r="1541" spans="1:3" ht="15" hidden="1" x14ac:dyDescent="0.25">
      <c r="A1541" s="190"/>
      <c r="B1541" s="17" t="s">
        <v>80</v>
      </c>
      <c r="C1541" s="18">
        <v>0</v>
      </c>
    </row>
    <row r="1542" spans="1:3" ht="15" hidden="1" x14ac:dyDescent="0.25">
      <c r="A1542" s="190">
        <v>6633</v>
      </c>
      <c r="B1542" s="17">
        <v>0</v>
      </c>
      <c r="C1542" s="18">
        <v>0</v>
      </c>
    </row>
    <row r="1543" spans="1:3" ht="15" hidden="1" x14ac:dyDescent="0.25">
      <c r="A1543" s="190">
        <v>6648</v>
      </c>
      <c r="B1543" s="17">
        <v>0</v>
      </c>
      <c r="C1543" s="18">
        <v>0</v>
      </c>
    </row>
    <row r="1544" spans="1:3" ht="15" hidden="1" x14ac:dyDescent="0.25">
      <c r="A1544" s="190"/>
      <c r="B1544" s="17" t="s">
        <v>318</v>
      </c>
      <c r="C1544" s="18">
        <v>0</v>
      </c>
    </row>
    <row r="1545" spans="1:3" ht="15" hidden="1" x14ac:dyDescent="0.25">
      <c r="A1545" s="190">
        <v>6552</v>
      </c>
      <c r="B1545" s="17">
        <v>0</v>
      </c>
      <c r="C1545" s="18">
        <v>0</v>
      </c>
    </row>
    <row r="1546" spans="1:3" ht="15" hidden="1" x14ac:dyDescent="0.25">
      <c r="A1546" s="190"/>
      <c r="B1546" s="17" t="s">
        <v>245</v>
      </c>
      <c r="C1546" s="18">
        <v>0</v>
      </c>
    </row>
    <row r="1547" spans="1:3" ht="15" hidden="1" x14ac:dyDescent="0.25">
      <c r="A1547" s="189"/>
      <c r="B1547" s="17" t="s">
        <v>284</v>
      </c>
      <c r="C1547" s="18">
        <v>0</v>
      </c>
    </row>
    <row r="1548" spans="1:3" ht="15" hidden="1" x14ac:dyDescent="0.25">
      <c r="A1548" s="189"/>
      <c r="B1548" s="17" t="s">
        <v>249</v>
      </c>
      <c r="C1548" s="18">
        <v>0</v>
      </c>
    </row>
    <row r="1549" spans="1:3" ht="15" hidden="1" x14ac:dyDescent="0.25">
      <c r="A1549" s="190"/>
      <c r="B1549" s="17" t="s">
        <v>253</v>
      </c>
      <c r="C1549" s="18">
        <v>0</v>
      </c>
    </row>
    <row r="1550" spans="1:3" ht="15" hidden="1" x14ac:dyDescent="0.25">
      <c r="A1550" s="190"/>
      <c r="B1550" s="17" t="s">
        <v>264</v>
      </c>
      <c r="C1550" s="18">
        <v>0</v>
      </c>
    </row>
    <row r="1551" spans="1:3" ht="15" hidden="1" x14ac:dyDescent="0.25">
      <c r="A1551" s="189"/>
      <c r="B1551" s="17" t="s">
        <v>319</v>
      </c>
      <c r="C1551" s="18">
        <v>0</v>
      </c>
    </row>
    <row r="1552" spans="1:3" ht="15" hidden="1" x14ac:dyDescent="0.25">
      <c r="A1552" s="189"/>
      <c r="B1552" s="17" t="s">
        <v>433</v>
      </c>
      <c r="C1552" s="18">
        <v>0</v>
      </c>
    </row>
    <row r="1553" spans="1:3" ht="15" x14ac:dyDescent="0.25">
      <c r="A1553" s="189">
        <v>6646</v>
      </c>
      <c r="B1553" s="17">
        <v>0</v>
      </c>
      <c r="C1553" s="18">
        <v>32</v>
      </c>
    </row>
    <row r="1554" spans="1:3" ht="15" hidden="1" x14ac:dyDescent="0.25">
      <c r="A1554" s="190"/>
      <c r="B1554" s="17" t="s">
        <v>278</v>
      </c>
      <c r="C1554" s="18">
        <v>0</v>
      </c>
    </row>
    <row r="1555" spans="1:3" ht="15" hidden="1" x14ac:dyDescent="0.25">
      <c r="A1555" s="190"/>
      <c r="B1555" s="17" t="s">
        <v>251</v>
      </c>
      <c r="C1555" s="18">
        <v>0</v>
      </c>
    </row>
    <row r="1556" spans="1:3" ht="15" hidden="1" x14ac:dyDescent="0.25">
      <c r="A1556" s="190"/>
      <c r="B1556" s="17" t="s">
        <v>265</v>
      </c>
      <c r="C1556" s="18">
        <v>0</v>
      </c>
    </row>
    <row r="1557" spans="1:3" ht="15" hidden="1" x14ac:dyDescent="0.25">
      <c r="A1557" s="190"/>
      <c r="B1557" s="17" t="s">
        <v>267</v>
      </c>
      <c r="C1557" s="18">
        <v>0</v>
      </c>
    </row>
    <row r="1558" spans="1:3" ht="15" hidden="1" x14ac:dyDescent="0.25">
      <c r="A1558" s="190"/>
      <c r="B1558" s="17" t="s">
        <v>258</v>
      </c>
      <c r="C1558" s="18">
        <v>0</v>
      </c>
    </row>
    <row r="1559" spans="1:3" ht="15" hidden="1" x14ac:dyDescent="0.25">
      <c r="A1559" s="190"/>
      <c r="B1559" s="17" t="s">
        <v>287</v>
      </c>
      <c r="C1559" s="18">
        <v>0</v>
      </c>
    </row>
    <row r="1560" spans="1:3" ht="15" hidden="1" x14ac:dyDescent="0.25">
      <c r="A1560" s="190"/>
      <c r="B1560" s="17" t="s">
        <v>292</v>
      </c>
      <c r="C1560" s="18">
        <v>0</v>
      </c>
    </row>
    <row r="1561" spans="1:3" ht="15" hidden="1" x14ac:dyDescent="0.25">
      <c r="A1561" s="190"/>
      <c r="B1561" s="17" t="s">
        <v>298</v>
      </c>
      <c r="C1561" s="18">
        <v>0</v>
      </c>
    </row>
    <row r="1562" spans="1:3" ht="15" hidden="1" x14ac:dyDescent="0.25">
      <c r="A1562" s="190"/>
      <c r="B1562" s="17" t="s">
        <v>268</v>
      </c>
      <c r="C1562" s="18">
        <v>0</v>
      </c>
    </row>
    <row r="1563" spans="1:3" ht="15" hidden="1" x14ac:dyDescent="0.25">
      <c r="A1563" s="190"/>
      <c r="B1563" s="17" t="s">
        <v>311</v>
      </c>
      <c r="C1563" s="18">
        <v>0</v>
      </c>
    </row>
    <row r="1564" spans="1:3" ht="15" hidden="1" x14ac:dyDescent="0.25">
      <c r="A1564" s="189"/>
      <c r="B1564" s="17" t="s">
        <v>269</v>
      </c>
      <c r="C1564" s="18">
        <v>0</v>
      </c>
    </row>
    <row r="1565" spans="1:3" ht="15" hidden="1" x14ac:dyDescent="0.25">
      <c r="A1565" s="189"/>
      <c r="B1565" s="17" t="s">
        <v>262</v>
      </c>
      <c r="C1565" s="18">
        <v>0</v>
      </c>
    </row>
    <row r="1566" spans="1:3" ht="15" hidden="1" x14ac:dyDescent="0.25">
      <c r="A1566" s="190"/>
      <c r="B1566" s="17" t="s">
        <v>276</v>
      </c>
      <c r="C1566" s="18">
        <v>0</v>
      </c>
    </row>
    <row r="1567" spans="1:3" ht="15" hidden="1" x14ac:dyDescent="0.25">
      <c r="A1567" s="190"/>
      <c r="B1567" s="17" t="s">
        <v>245</v>
      </c>
      <c r="C1567" s="18">
        <v>0</v>
      </c>
    </row>
    <row r="1568" spans="1:3" ht="15" hidden="1" x14ac:dyDescent="0.25">
      <c r="A1568" s="190"/>
      <c r="B1568" s="17" t="s">
        <v>248</v>
      </c>
      <c r="C1568" s="18">
        <v>0</v>
      </c>
    </row>
    <row r="1569" spans="1:3" ht="15" hidden="1" x14ac:dyDescent="0.25">
      <c r="A1569" s="190"/>
      <c r="B1569" s="17" t="s">
        <v>249</v>
      </c>
      <c r="C1569" s="18">
        <v>0</v>
      </c>
    </row>
    <row r="1570" spans="1:3" ht="15" hidden="1" x14ac:dyDescent="0.25">
      <c r="A1570" s="190"/>
      <c r="B1570" s="17" t="s">
        <v>273</v>
      </c>
      <c r="C1570" s="18">
        <v>0</v>
      </c>
    </row>
    <row r="1571" spans="1:3" ht="15" hidden="1" x14ac:dyDescent="0.25">
      <c r="A1571" s="190"/>
      <c r="B1571" s="17" t="s">
        <v>263</v>
      </c>
      <c r="C1571" s="18">
        <v>0</v>
      </c>
    </row>
    <row r="1572" spans="1:3" ht="15" hidden="1" x14ac:dyDescent="0.25">
      <c r="A1572" s="189"/>
      <c r="B1572" s="17" t="s">
        <v>274</v>
      </c>
      <c r="C1572" s="18">
        <v>0</v>
      </c>
    </row>
    <row r="1573" spans="1:3" ht="15" hidden="1" x14ac:dyDescent="0.25">
      <c r="A1573" s="190"/>
      <c r="B1573" s="17" t="s">
        <v>260</v>
      </c>
      <c r="C1573" s="18">
        <v>0</v>
      </c>
    </row>
    <row r="1574" spans="1:3" ht="15" hidden="1" x14ac:dyDescent="0.25">
      <c r="A1574" s="190"/>
      <c r="B1574" s="17" t="s">
        <v>72</v>
      </c>
      <c r="C1574" s="18">
        <v>0</v>
      </c>
    </row>
    <row r="1575" spans="1:3" ht="15" hidden="1" x14ac:dyDescent="0.25">
      <c r="A1575" s="190"/>
      <c r="B1575" s="17" t="s">
        <v>272</v>
      </c>
      <c r="C1575" s="18">
        <v>0</v>
      </c>
    </row>
    <row r="1576" spans="1:3" ht="15" hidden="1" x14ac:dyDescent="0.25">
      <c r="A1576" s="190"/>
      <c r="B1576" s="17" t="s">
        <v>255</v>
      </c>
      <c r="C1576" s="18">
        <v>0</v>
      </c>
    </row>
    <row r="1577" spans="1:3" ht="15" hidden="1" x14ac:dyDescent="0.25">
      <c r="A1577" s="189"/>
      <c r="B1577" s="17" t="s">
        <v>264</v>
      </c>
      <c r="C1577" s="18">
        <v>0</v>
      </c>
    </row>
    <row r="1578" spans="1:3" ht="15" hidden="1" x14ac:dyDescent="0.25">
      <c r="A1578" s="190"/>
      <c r="B1578" s="17" t="s">
        <v>319</v>
      </c>
      <c r="C1578" s="18">
        <v>0</v>
      </c>
    </row>
    <row r="1579" spans="1:3" ht="15" hidden="1" x14ac:dyDescent="0.25">
      <c r="A1579" s="190"/>
      <c r="B1579" s="17" t="s">
        <v>323</v>
      </c>
      <c r="C1579" s="18">
        <v>0</v>
      </c>
    </row>
    <row r="1580" spans="1:3" ht="15" hidden="1" x14ac:dyDescent="0.25">
      <c r="A1580" s="190"/>
      <c r="B1580" s="17" t="s">
        <v>318</v>
      </c>
      <c r="C1580" s="18">
        <v>0</v>
      </c>
    </row>
    <row r="1581" spans="1:3" ht="15" hidden="1" x14ac:dyDescent="0.25">
      <c r="A1581" s="190"/>
      <c r="B1581" s="17" t="s">
        <v>80</v>
      </c>
      <c r="C1581" s="18">
        <v>0</v>
      </c>
    </row>
    <row r="1582" spans="1:3" ht="15" hidden="1" x14ac:dyDescent="0.25">
      <c r="A1582" s="190"/>
      <c r="B1582" s="17" t="s">
        <v>344</v>
      </c>
      <c r="C1582" s="18">
        <v>0</v>
      </c>
    </row>
    <row r="1583" spans="1:3" ht="15" hidden="1" x14ac:dyDescent="0.25">
      <c r="A1583" s="190"/>
      <c r="B1583" s="17" t="s">
        <v>261</v>
      </c>
      <c r="C1583" s="18">
        <v>0</v>
      </c>
    </row>
    <row r="1584" spans="1:3" ht="15" hidden="1" x14ac:dyDescent="0.25">
      <c r="A1584" s="190">
        <v>6634</v>
      </c>
      <c r="B1584" s="17" t="s">
        <v>247</v>
      </c>
      <c r="C1584" s="18">
        <v>0</v>
      </c>
    </row>
    <row r="1585" spans="1:3" ht="15" hidden="1" x14ac:dyDescent="0.25">
      <c r="A1585" s="190"/>
      <c r="B1585" s="17" t="s">
        <v>304</v>
      </c>
      <c r="C1585" s="18">
        <v>0</v>
      </c>
    </row>
    <row r="1586" spans="1:3" ht="15" hidden="1" x14ac:dyDescent="0.25">
      <c r="A1586" s="190"/>
      <c r="B1586" s="17" t="s">
        <v>273</v>
      </c>
      <c r="C1586" s="18">
        <v>0</v>
      </c>
    </row>
    <row r="1587" spans="1:3" ht="15" hidden="1" x14ac:dyDescent="0.25">
      <c r="A1587" s="190"/>
      <c r="B1587" s="17" t="s">
        <v>263</v>
      </c>
      <c r="C1587" s="18">
        <v>0</v>
      </c>
    </row>
    <row r="1588" spans="1:3" ht="15" hidden="1" x14ac:dyDescent="0.25">
      <c r="A1588" s="190"/>
      <c r="B1588" s="17" t="s">
        <v>72</v>
      </c>
      <c r="C1588" s="18">
        <v>0</v>
      </c>
    </row>
    <row r="1589" spans="1:3" ht="15" hidden="1" x14ac:dyDescent="0.25">
      <c r="A1589" s="190"/>
      <c r="B1589" s="17" t="s">
        <v>253</v>
      </c>
      <c r="C1589" s="18">
        <v>0</v>
      </c>
    </row>
    <row r="1590" spans="1:3" ht="15" hidden="1" x14ac:dyDescent="0.25">
      <c r="A1590" s="190"/>
      <c r="B1590" s="17" t="s">
        <v>318</v>
      </c>
      <c r="C1590" s="18">
        <v>0</v>
      </c>
    </row>
    <row r="1591" spans="1:3" ht="15" hidden="1" x14ac:dyDescent="0.25">
      <c r="A1591" s="189">
        <v>6686</v>
      </c>
      <c r="B1591" s="17" t="s">
        <v>79</v>
      </c>
      <c r="C1591" s="18">
        <v>0</v>
      </c>
    </row>
    <row r="1592" spans="1:3" ht="15" hidden="1" x14ac:dyDescent="0.25">
      <c r="A1592" s="189">
        <v>6583</v>
      </c>
      <c r="B1592" s="17">
        <v>0</v>
      </c>
      <c r="C1592" s="18">
        <v>0</v>
      </c>
    </row>
    <row r="1593" spans="1:3" ht="15" hidden="1" x14ac:dyDescent="0.25">
      <c r="A1593" s="189"/>
      <c r="B1593" s="17" t="s">
        <v>263</v>
      </c>
      <c r="C1593" s="18">
        <v>0</v>
      </c>
    </row>
    <row r="1594" spans="1:3" ht="15" hidden="1" x14ac:dyDescent="0.25">
      <c r="A1594" s="189"/>
      <c r="B1594" s="17" t="s">
        <v>72</v>
      </c>
      <c r="C1594" s="18">
        <v>0</v>
      </c>
    </row>
    <row r="1595" spans="1:3" ht="15" hidden="1" x14ac:dyDescent="0.25">
      <c r="A1595" s="190" t="s">
        <v>434</v>
      </c>
      <c r="B1595" s="17">
        <v>0</v>
      </c>
      <c r="C1595" s="18">
        <v>0</v>
      </c>
    </row>
    <row r="1596" spans="1:3" ht="15" hidden="1" x14ac:dyDescent="0.25">
      <c r="A1596" s="190"/>
      <c r="B1596" s="17" t="s">
        <v>318</v>
      </c>
      <c r="C1596" s="18">
        <v>0</v>
      </c>
    </row>
    <row r="1597" spans="1:3" ht="15" hidden="1" x14ac:dyDescent="0.25">
      <c r="A1597" s="190"/>
      <c r="B1597" s="17" t="s">
        <v>430</v>
      </c>
      <c r="C1597" s="18">
        <v>0</v>
      </c>
    </row>
    <row r="1598" spans="1:3" ht="15" hidden="1" x14ac:dyDescent="0.25">
      <c r="A1598" s="190"/>
      <c r="B1598" s="17" t="s">
        <v>79</v>
      </c>
      <c r="C1598" s="18">
        <v>0</v>
      </c>
    </row>
    <row r="1599" spans="1:3" ht="15" hidden="1" x14ac:dyDescent="0.25">
      <c r="A1599" s="190" t="s">
        <v>435</v>
      </c>
      <c r="B1599" s="17">
        <v>0</v>
      </c>
      <c r="C1599" s="18">
        <v>0</v>
      </c>
    </row>
    <row r="1600" spans="1:3" ht="15" hidden="1" x14ac:dyDescent="0.25">
      <c r="A1600" s="190"/>
      <c r="B1600" s="17" t="s">
        <v>251</v>
      </c>
      <c r="C1600" s="18">
        <v>0</v>
      </c>
    </row>
    <row r="1601" spans="1:3" ht="15" hidden="1" x14ac:dyDescent="0.25">
      <c r="A1601" s="190"/>
      <c r="B1601" s="17" t="s">
        <v>246</v>
      </c>
      <c r="C1601" s="18">
        <v>0</v>
      </c>
    </row>
    <row r="1602" spans="1:3" ht="15" hidden="1" x14ac:dyDescent="0.25">
      <c r="A1602" s="190"/>
      <c r="B1602" s="17" t="s">
        <v>265</v>
      </c>
      <c r="C1602" s="18">
        <v>0</v>
      </c>
    </row>
    <row r="1603" spans="1:3" ht="15" hidden="1" x14ac:dyDescent="0.25">
      <c r="A1603" s="189"/>
      <c r="B1603" s="17" t="s">
        <v>291</v>
      </c>
      <c r="C1603" s="18">
        <v>0</v>
      </c>
    </row>
    <row r="1604" spans="1:3" ht="15" hidden="1" x14ac:dyDescent="0.25">
      <c r="A1604" s="190"/>
      <c r="B1604" s="17" t="s">
        <v>258</v>
      </c>
      <c r="C1604" s="18">
        <v>0</v>
      </c>
    </row>
    <row r="1605" spans="1:3" ht="15" hidden="1" x14ac:dyDescent="0.25">
      <c r="A1605" s="190"/>
      <c r="B1605" s="17" t="s">
        <v>287</v>
      </c>
      <c r="C1605" s="18">
        <v>0</v>
      </c>
    </row>
    <row r="1606" spans="1:3" ht="15" hidden="1" x14ac:dyDescent="0.25">
      <c r="A1606" s="190"/>
      <c r="B1606" s="17" t="s">
        <v>292</v>
      </c>
      <c r="C1606" s="18">
        <v>0</v>
      </c>
    </row>
    <row r="1607" spans="1:3" ht="15" hidden="1" x14ac:dyDescent="0.25">
      <c r="A1607" s="189"/>
      <c r="B1607" s="17" t="s">
        <v>256</v>
      </c>
      <c r="C1607" s="18">
        <v>0</v>
      </c>
    </row>
    <row r="1608" spans="1:3" ht="15" hidden="1" x14ac:dyDescent="0.25">
      <c r="A1608" s="190"/>
      <c r="B1608" s="17" t="s">
        <v>304</v>
      </c>
      <c r="C1608" s="18">
        <v>0</v>
      </c>
    </row>
    <row r="1609" spans="1:3" ht="15" hidden="1" x14ac:dyDescent="0.25">
      <c r="A1609" s="190"/>
      <c r="B1609" s="17" t="s">
        <v>268</v>
      </c>
      <c r="C1609" s="18">
        <v>0</v>
      </c>
    </row>
    <row r="1610" spans="1:3" ht="15" x14ac:dyDescent="0.25">
      <c r="A1610" s="190"/>
      <c r="B1610" s="17" t="s">
        <v>311</v>
      </c>
      <c r="C1610" s="18">
        <v>24</v>
      </c>
    </row>
    <row r="1611" spans="1:3" ht="15" hidden="1" x14ac:dyDescent="0.25">
      <c r="A1611" s="190"/>
      <c r="B1611" s="17" t="s">
        <v>269</v>
      </c>
      <c r="C1611" s="18">
        <v>0</v>
      </c>
    </row>
    <row r="1612" spans="1:3" ht="15" hidden="1" x14ac:dyDescent="0.25">
      <c r="A1612" s="190"/>
      <c r="B1612" s="17" t="s">
        <v>275</v>
      </c>
      <c r="C1612" s="18">
        <v>0</v>
      </c>
    </row>
    <row r="1613" spans="1:3" ht="15" hidden="1" x14ac:dyDescent="0.25">
      <c r="A1613" s="190"/>
      <c r="B1613" s="17" t="s">
        <v>262</v>
      </c>
      <c r="C1613" s="18">
        <v>0</v>
      </c>
    </row>
    <row r="1614" spans="1:3" ht="15" hidden="1" x14ac:dyDescent="0.25">
      <c r="A1614" s="190"/>
      <c r="B1614" s="17" t="s">
        <v>280</v>
      </c>
      <c r="C1614" s="18">
        <v>0</v>
      </c>
    </row>
    <row r="1615" spans="1:3" ht="15" hidden="1" x14ac:dyDescent="0.25">
      <c r="A1615" s="190"/>
      <c r="B1615" s="17" t="s">
        <v>276</v>
      </c>
      <c r="C1615" s="18">
        <v>0</v>
      </c>
    </row>
    <row r="1616" spans="1:3" ht="15" hidden="1" x14ac:dyDescent="0.25">
      <c r="A1616" s="190"/>
      <c r="B1616" s="17" t="s">
        <v>299</v>
      </c>
      <c r="C1616" s="18">
        <v>0</v>
      </c>
    </row>
    <row r="1617" spans="1:3" ht="15" hidden="1" x14ac:dyDescent="0.25">
      <c r="A1617" s="190"/>
      <c r="B1617" s="17" t="s">
        <v>294</v>
      </c>
      <c r="C1617" s="18">
        <v>0</v>
      </c>
    </row>
    <row r="1618" spans="1:3" ht="15" hidden="1" x14ac:dyDescent="0.25">
      <c r="A1618" s="190"/>
      <c r="B1618" s="17" t="s">
        <v>300</v>
      </c>
      <c r="C1618" s="18">
        <v>0</v>
      </c>
    </row>
    <row r="1619" spans="1:3" ht="15" hidden="1" x14ac:dyDescent="0.25">
      <c r="A1619" s="190"/>
      <c r="B1619" s="17" t="s">
        <v>245</v>
      </c>
      <c r="C1619" s="18">
        <v>0</v>
      </c>
    </row>
    <row r="1620" spans="1:3" ht="15" hidden="1" x14ac:dyDescent="0.25">
      <c r="A1620" s="190"/>
      <c r="B1620" s="17" t="s">
        <v>296</v>
      </c>
      <c r="C1620" s="18">
        <v>0</v>
      </c>
    </row>
    <row r="1621" spans="1:3" ht="15" hidden="1" x14ac:dyDescent="0.25">
      <c r="A1621" s="190"/>
      <c r="B1621" s="17" t="s">
        <v>248</v>
      </c>
      <c r="C1621" s="18">
        <v>0</v>
      </c>
    </row>
    <row r="1622" spans="1:3" ht="15" hidden="1" x14ac:dyDescent="0.25">
      <c r="A1622" s="189"/>
      <c r="B1622" s="17" t="s">
        <v>284</v>
      </c>
      <c r="C1622" s="18">
        <v>0</v>
      </c>
    </row>
    <row r="1623" spans="1:3" ht="15" hidden="1" x14ac:dyDescent="0.25">
      <c r="A1623" s="190"/>
      <c r="B1623" s="17" t="s">
        <v>249</v>
      </c>
      <c r="C1623" s="18">
        <v>0</v>
      </c>
    </row>
    <row r="1624" spans="1:3" ht="15" hidden="1" x14ac:dyDescent="0.25">
      <c r="A1624" s="190"/>
      <c r="B1624" s="17" t="s">
        <v>263</v>
      </c>
      <c r="C1624" s="18">
        <v>0</v>
      </c>
    </row>
    <row r="1625" spans="1:3" ht="15" hidden="1" x14ac:dyDescent="0.25">
      <c r="A1625" s="190"/>
      <c r="B1625" s="17" t="s">
        <v>274</v>
      </c>
      <c r="C1625" s="18">
        <v>0</v>
      </c>
    </row>
    <row r="1626" spans="1:3" ht="15" hidden="1" x14ac:dyDescent="0.25">
      <c r="A1626" s="190"/>
      <c r="B1626" s="17" t="s">
        <v>260</v>
      </c>
      <c r="C1626" s="18">
        <v>0</v>
      </c>
    </row>
    <row r="1627" spans="1:3" ht="15" hidden="1" x14ac:dyDescent="0.25">
      <c r="A1627" s="190"/>
      <c r="B1627" s="17" t="s">
        <v>72</v>
      </c>
      <c r="C1627" s="18">
        <v>0</v>
      </c>
    </row>
    <row r="1628" spans="1:3" ht="15" hidden="1" x14ac:dyDescent="0.25">
      <c r="A1628" s="189"/>
      <c r="B1628" s="17" t="s">
        <v>272</v>
      </c>
      <c r="C1628" s="18">
        <v>0</v>
      </c>
    </row>
    <row r="1629" spans="1:3" ht="15" hidden="1" x14ac:dyDescent="0.25">
      <c r="A1629" s="190"/>
      <c r="B1629" s="17" t="s">
        <v>253</v>
      </c>
      <c r="C1629" s="18">
        <v>0</v>
      </c>
    </row>
    <row r="1630" spans="1:3" ht="15" hidden="1" x14ac:dyDescent="0.25">
      <c r="A1630" s="190"/>
      <c r="B1630" s="17" t="s">
        <v>255</v>
      </c>
      <c r="C1630" s="18">
        <v>0</v>
      </c>
    </row>
    <row r="1631" spans="1:3" ht="15" hidden="1" x14ac:dyDescent="0.25">
      <c r="A1631" s="190"/>
      <c r="B1631" s="17" t="s">
        <v>264</v>
      </c>
      <c r="C1631" s="18">
        <v>0</v>
      </c>
    </row>
    <row r="1632" spans="1:3" ht="15" hidden="1" x14ac:dyDescent="0.25">
      <c r="A1632" s="190"/>
      <c r="B1632" s="17" t="s">
        <v>307</v>
      </c>
      <c r="C1632" s="18">
        <v>0</v>
      </c>
    </row>
    <row r="1633" spans="1:3" ht="15" hidden="1" x14ac:dyDescent="0.25">
      <c r="A1633" s="190"/>
      <c r="B1633" s="17" t="s">
        <v>319</v>
      </c>
      <c r="C1633" s="18">
        <v>0</v>
      </c>
    </row>
    <row r="1634" spans="1:3" ht="15" hidden="1" x14ac:dyDescent="0.25">
      <c r="A1634" s="189"/>
      <c r="B1634" s="17" t="s">
        <v>321</v>
      </c>
      <c r="C1634" s="18">
        <v>0</v>
      </c>
    </row>
    <row r="1635" spans="1:3" ht="15" hidden="1" x14ac:dyDescent="0.25">
      <c r="A1635" s="189"/>
      <c r="B1635" s="17" t="s">
        <v>323</v>
      </c>
      <c r="C1635" s="18">
        <v>0</v>
      </c>
    </row>
    <row r="1636" spans="1:3" ht="15" hidden="1" x14ac:dyDescent="0.25">
      <c r="A1636" s="190"/>
      <c r="B1636" s="17" t="s">
        <v>324</v>
      </c>
      <c r="C1636" s="18">
        <v>0</v>
      </c>
    </row>
    <row r="1637" spans="1:3" ht="15" hidden="1" x14ac:dyDescent="0.25">
      <c r="A1637" s="190"/>
      <c r="B1637" s="17" t="s">
        <v>318</v>
      </c>
      <c r="C1637" s="18">
        <v>0</v>
      </c>
    </row>
    <row r="1638" spans="1:3" ht="15" hidden="1" x14ac:dyDescent="0.25">
      <c r="A1638" s="190"/>
      <c r="B1638" s="17" t="s">
        <v>325</v>
      </c>
      <c r="C1638" s="18">
        <v>0</v>
      </c>
    </row>
    <row r="1639" spans="1:3" ht="15" hidden="1" x14ac:dyDescent="0.25">
      <c r="A1639" s="190"/>
      <c r="B1639" s="17" t="s">
        <v>331</v>
      </c>
      <c r="C1639" s="18">
        <v>0</v>
      </c>
    </row>
    <row r="1640" spans="1:3" ht="15" x14ac:dyDescent="0.25">
      <c r="A1640" s="190"/>
      <c r="B1640" s="17" t="s">
        <v>73</v>
      </c>
      <c r="C1640" s="18">
        <v>75</v>
      </c>
    </row>
    <row r="1641" spans="1:3" ht="15" hidden="1" x14ac:dyDescent="0.25">
      <c r="A1641" s="190"/>
      <c r="B1641" s="17" t="s">
        <v>344</v>
      </c>
      <c r="C1641" s="18">
        <v>0</v>
      </c>
    </row>
    <row r="1642" spans="1:3" ht="15" hidden="1" x14ac:dyDescent="0.25">
      <c r="A1642" s="190"/>
      <c r="B1642" s="17" t="s">
        <v>378</v>
      </c>
      <c r="C1642" s="18">
        <v>0</v>
      </c>
    </row>
    <row r="1643" spans="1:3" ht="15" hidden="1" x14ac:dyDescent="0.25">
      <c r="A1643" s="190"/>
      <c r="B1643" s="17" t="s">
        <v>389</v>
      </c>
      <c r="C1643" s="18">
        <v>0</v>
      </c>
    </row>
    <row r="1644" spans="1:3" ht="15" hidden="1" x14ac:dyDescent="0.25">
      <c r="A1644" s="190"/>
      <c r="B1644" s="17" t="s">
        <v>390</v>
      </c>
      <c r="C1644" s="18">
        <v>0</v>
      </c>
    </row>
    <row r="1645" spans="1:3" ht="15" hidden="1" x14ac:dyDescent="0.25">
      <c r="A1645" s="189"/>
      <c r="B1645" s="17" t="s">
        <v>419</v>
      </c>
      <c r="C1645" s="18">
        <v>0</v>
      </c>
    </row>
    <row r="1646" spans="1:3" ht="15" hidden="1" x14ac:dyDescent="0.25">
      <c r="A1646" s="189"/>
      <c r="B1646" s="17" t="s">
        <v>431</v>
      </c>
      <c r="C1646" s="18">
        <v>0</v>
      </c>
    </row>
    <row r="1647" spans="1:3" ht="15" hidden="1" x14ac:dyDescent="0.25">
      <c r="A1647" s="191"/>
      <c r="B1647" s="17" t="s">
        <v>432</v>
      </c>
      <c r="C1647" s="18">
        <v>0</v>
      </c>
    </row>
    <row r="1648" spans="1:3" ht="15" hidden="1" x14ac:dyDescent="0.25">
      <c r="A1648" s="191"/>
      <c r="B1648" s="17" t="s">
        <v>79</v>
      </c>
      <c r="C1648" s="18">
        <v>0</v>
      </c>
    </row>
    <row r="1649" spans="1:3" ht="15" hidden="1" x14ac:dyDescent="0.25">
      <c r="A1649" s="191">
        <v>6657</v>
      </c>
      <c r="B1649" s="17" t="s">
        <v>280</v>
      </c>
      <c r="C1649" s="18">
        <v>0</v>
      </c>
    </row>
    <row r="1650" spans="1:3" ht="15" hidden="1" x14ac:dyDescent="0.25">
      <c r="A1650" s="191"/>
      <c r="B1650" s="17" t="s">
        <v>276</v>
      </c>
      <c r="C1650" s="18">
        <v>0</v>
      </c>
    </row>
    <row r="1651" spans="1:3" ht="15" hidden="1" x14ac:dyDescent="0.25">
      <c r="A1651" s="191"/>
      <c r="B1651" s="17" t="s">
        <v>393</v>
      </c>
      <c r="C1651" s="18">
        <v>0</v>
      </c>
    </row>
    <row r="1652" spans="1:3" ht="15" hidden="1" x14ac:dyDescent="0.25">
      <c r="A1652" s="191">
        <v>6667</v>
      </c>
      <c r="B1652" s="17">
        <v>0</v>
      </c>
      <c r="C1652" s="18">
        <v>0</v>
      </c>
    </row>
    <row r="1653" spans="1:3" ht="15" hidden="1" x14ac:dyDescent="0.25">
      <c r="A1653" s="191"/>
      <c r="B1653" s="17" t="s">
        <v>278</v>
      </c>
      <c r="C1653" s="18">
        <v>0</v>
      </c>
    </row>
    <row r="1654" spans="1:3" ht="15" hidden="1" x14ac:dyDescent="0.25">
      <c r="A1654" s="191"/>
      <c r="B1654" s="17" t="s">
        <v>258</v>
      </c>
      <c r="C1654" s="18">
        <v>0</v>
      </c>
    </row>
    <row r="1655" spans="1:3" ht="15" hidden="1" x14ac:dyDescent="0.25">
      <c r="A1655" s="191"/>
      <c r="B1655" s="17" t="s">
        <v>318</v>
      </c>
      <c r="C1655" s="18">
        <v>0</v>
      </c>
    </row>
    <row r="1656" spans="1:3" ht="15" hidden="1" x14ac:dyDescent="0.25">
      <c r="A1656" s="191"/>
      <c r="B1656" s="17" t="s">
        <v>79</v>
      </c>
      <c r="C1656" s="18">
        <v>0</v>
      </c>
    </row>
    <row r="1657" spans="1:3" ht="15" hidden="1" x14ac:dyDescent="0.25">
      <c r="A1657" s="191">
        <v>6676</v>
      </c>
      <c r="B1657" s="17">
        <v>0</v>
      </c>
      <c r="C1657" s="18">
        <v>0</v>
      </c>
    </row>
    <row r="1658" spans="1:3" ht="15" hidden="1" x14ac:dyDescent="0.25">
      <c r="A1658" s="191"/>
      <c r="B1658" s="17" t="s">
        <v>72</v>
      </c>
      <c r="C1658" s="18">
        <v>0</v>
      </c>
    </row>
    <row r="1659" spans="1:3" ht="15" hidden="1" x14ac:dyDescent="0.25">
      <c r="A1659" s="191">
        <v>6677</v>
      </c>
      <c r="B1659" s="17" t="s">
        <v>72</v>
      </c>
      <c r="C1659" s="18">
        <v>0</v>
      </c>
    </row>
    <row r="1660" spans="1:3" ht="15" hidden="1" x14ac:dyDescent="0.25">
      <c r="A1660" s="59">
        <v>6682</v>
      </c>
      <c r="B1660" s="17" t="s">
        <v>278</v>
      </c>
      <c r="C1660" s="18">
        <v>0</v>
      </c>
    </row>
    <row r="1661" spans="1:3" ht="15" hidden="1" x14ac:dyDescent="0.25">
      <c r="A1661" s="190"/>
      <c r="B1661" s="17" t="s">
        <v>258</v>
      </c>
      <c r="C1661" s="18">
        <v>0</v>
      </c>
    </row>
    <row r="1662" spans="1:3" ht="15" hidden="1" x14ac:dyDescent="0.25">
      <c r="A1662" s="190"/>
      <c r="B1662" s="17" t="s">
        <v>318</v>
      </c>
      <c r="C1662" s="18">
        <v>0</v>
      </c>
    </row>
    <row r="1663" spans="1:3" ht="15" hidden="1" x14ac:dyDescent="0.25">
      <c r="A1663" s="190">
        <v>6683</v>
      </c>
      <c r="B1663" s="17" t="s">
        <v>294</v>
      </c>
      <c r="C1663" s="18">
        <v>0</v>
      </c>
    </row>
    <row r="1664" spans="1:3" ht="15" hidden="1" x14ac:dyDescent="0.25">
      <c r="A1664" s="190"/>
      <c r="B1664" s="17" t="s">
        <v>318</v>
      </c>
      <c r="C1664" s="18">
        <v>0</v>
      </c>
    </row>
    <row r="1665" spans="1:3" ht="15" hidden="1" x14ac:dyDescent="0.25">
      <c r="A1665" s="190">
        <v>6707</v>
      </c>
      <c r="B1665" s="17" t="s">
        <v>256</v>
      </c>
      <c r="C1665" s="18">
        <v>0</v>
      </c>
    </row>
    <row r="1666" spans="1:3" ht="15" hidden="1" x14ac:dyDescent="0.25">
      <c r="A1666" s="190">
        <v>6712</v>
      </c>
      <c r="B1666" s="17">
        <v>0</v>
      </c>
      <c r="C1666" s="18">
        <v>0</v>
      </c>
    </row>
    <row r="1667" spans="1:3" ht="15" hidden="1" x14ac:dyDescent="0.25">
      <c r="A1667" s="190"/>
      <c r="B1667" s="17" t="s">
        <v>304</v>
      </c>
      <c r="C1667" s="18">
        <v>0</v>
      </c>
    </row>
    <row r="1668" spans="1:3" ht="15" hidden="1" x14ac:dyDescent="0.25">
      <c r="A1668" s="190"/>
      <c r="B1668" s="17" t="s">
        <v>318</v>
      </c>
      <c r="C1668" s="18">
        <v>0</v>
      </c>
    </row>
    <row r="1669" spans="1:3" ht="15" hidden="1" x14ac:dyDescent="0.25">
      <c r="A1669" s="190">
        <v>6708</v>
      </c>
      <c r="B1669" s="17" t="s">
        <v>311</v>
      </c>
      <c r="C1669" s="18">
        <v>0</v>
      </c>
    </row>
    <row r="1670" spans="1:3" ht="15" hidden="1" x14ac:dyDescent="0.25">
      <c r="A1670" s="190"/>
      <c r="B1670" s="17" t="s">
        <v>248</v>
      </c>
      <c r="C1670" s="18">
        <v>0</v>
      </c>
    </row>
    <row r="1671" spans="1:3" ht="15" hidden="1" x14ac:dyDescent="0.25">
      <c r="A1671" s="190"/>
      <c r="B1671" s="17" t="s">
        <v>249</v>
      </c>
      <c r="C1671" s="18">
        <v>0</v>
      </c>
    </row>
    <row r="1672" spans="1:3" ht="15" hidden="1" x14ac:dyDescent="0.25">
      <c r="A1672" s="190"/>
      <c r="B1672" s="17" t="s">
        <v>319</v>
      </c>
      <c r="C1672" s="18">
        <v>0</v>
      </c>
    </row>
    <row r="1673" spans="1:3" ht="15" hidden="1" x14ac:dyDescent="0.25">
      <c r="A1673" s="190">
        <v>6705</v>
      </c>
      <c r="B1673" s="17">
        <v>0</v>
      </c>
      <c r="C1673" s="18">
        <v>0</v>
      </c>
    </row>
    <row r="1674" spans="1:3" ht="15" hidden="1" x14ac:dyDescent="0.25">
      <c r="A1674" s="190"/>
      <c r="B1674" s="17" t="s">
        <v>251</v>
      </c>
      <c r="C1674" s="18">
        <v>0</v>
      </c>
    </row>
    <row r="1675" spans="1:3" ht="15" hidden="1" x14ac:dyDescent="0.25">
      <c r="A1675" s="190"/>
      <c r="B1675" s="17" t="s">
        <v>256</v>
      </c>
      <c r="C1675" s="18">
        <v>0</v>
      </c>
    </row>
    <row r="1676" spans="1:3" ht="15" hidden="1" x14ac:dyDescent="0.25">
      <c r="A1676" s="190"/>
      <c r="B1676" s="17" t="s">
        <v>270</v>
      </c>
      <c r="C1676" s="18">
        <v>0</v>
      </c>
    </row>
    <row r="1677" spans="1:3" ht="15" hidden="1" x14ac:dyDescent="0.25">
      <c r="A1677" s="190"/>
      <c r="B1677" s="17" t="s">
        <v>245</v>
      </c>
      <c r="C1677" s="18">
        <v>0</v>
      </c>
    </row>
    <row r="1678" spans="1:3" ht="15" hidden="1" x14ac:dyDescent="0.25">
      <c r="A1678" s="190"/>
      <c r="B1678" s="17" t="s">
        <v>249</v>
      </c>
      <c r="C1678" s="18">
        <v>0</v>
      </c>
    </row>
    <row r="1679" spans="1:3" ht="15" hidden="1" x14ac:dyDescent="0.25">
      <c r="A1679" s="190"/>
      <c r="B1679" s="17" t="s">
        <v>273</v>
      </c>
      <c r="C1679" s="18">
        <v>0</v>
      </c>
    </row>
    <row r="1680" spans="1:3" ht="15" hidden="1" x14ac:dyDescent="0.25">
      <c r="A1680" s="189"/>
      <c r="B1680" s="17" t="s">
        <v>263</v>
      </c>
      <c r="C1680" s="18">
        <v>0</v>
      </c>
    </row>
    <row r="1681" spans="1:3" ht="15" hidden="1" x14ac:dyDescent="0.25">
      <c r="A1681" s="190"/>
      <c r="B1681" s="17" t="s">
        <v>264</v>
      </c>
      <c r="C1681" s="18">
        <v>0</v>
      </c>
    </row>
    <row r="1682" spans="1:3" ht="15" hidden="1" x14ac:dyDescent="0.25">
      <c r="A1682" s="190"/>
      <c r="B1682" s="17" t="s">
        <v>319</v>
      </c>
      <c r="C1682" s="18">
        <v>0</v>
      </c>
    </row>
    <row r="1683" spans="1:3" ht="15" hidden="1" x14ac:dyDescent="0.25">
      <c r="A1683" s="190"/>
      <c r="B1683" s="17" t="s">
        <v>318</v>
      </c>
      <c r="C1683" s="18">
        <v>0</v>
      </c>
    </row>
    <row r="1684" spans="1:3" ht="15" hidden="1" x14ac:dyDescent="0.25">
      <c r="A1684" s="190"/>
      <c r="B1684" s="17" t="s">
        <v>80</v>
      </c>
      <c r="C1684" s="18">
        <v>0</v>
      </c>
    </row>
    <row r="1685" spans="1:3" ht="15" hidden="1" x14ac:dyDescent="0.25">
      <c r="A1685" s="190">
        <v>6739</v>
      </c>
      <c r="B1685" s="17">
        <v>0</v>
      </c>
      <c r="C1685" s="18">
        <v>0</v>
      </c>
    </row>
    <row r="1686" spans="1:3" ht="15" hidden="1" x14ac:dyDescent="0.25">
      <c r="A1686" s="190"/>
      <c r="B1686" s="17" t="s">
        <v>304</v>
      </c>
      <c r="C1686" s="18">
        <v>0</v>
      </c>
    </row>
    <row r="1687" spans="1:3" ht="15" x14ac:dyDescent="0.25">
      <c r="A1687" s="190">
        <v>6756</v>
      </c>
      <c r="B1687" s="17" t="s">
        <v>318</v>
      </c>
      <c r="C1687" s="18">
        <v>1</v>
      </c>
    </row>
    <row r="1688" spans="1:3" ht="15" hidden="1" x14ac:dyDescent="0.25">
      <c r="A1688" s="190">
        <v>6448</v>
      </c>
      <c r="B1688" s="17" t="s">
        <v>247</v>
      </c>
      <c r="C1688" s="18">
        <v>0</v>
      </c>
    </row>
    <row r="1689" spans="1:3" ht="15" hidden="1" x14ac:dyDescent="0.25">
      <c r="A1689" s="189"/>
      <c r="B1689" s="17" t="s">
        <v>72</v>
      </c>
      <c r="C1689" s="18">
        <v>0</v>
      </c>
    </row>
    <row r="1690" spans="1:3" ht="15" hidden="1" x14ac:dyDescent="0.25">
      <c r="A1690" s="190"/>
      <c r="B1690" s="17" t="s">
        <v>436</v>
      </c>
      <c r="C1690" s="18">
        <v>0</v>
      </c>
    </row>
    <row r="1691" spans="1:3" ht="15" hidden="1" x14ac:dyDescent="0.25">
      <c r="A1691" s="190">
        <v>6747</v>
      </c>
      <c r="B1691" s="17" t="s">
        <v>247</v>
      </c>
      <c r="C1691" s="18">
        <v>0</v>
      </c>
    </row>
    <row r="1692" spans="1:3" ht="15" hidden="1" x14ac:dyDescent="0.25">
      <c r="A1692" s="190">
        <v>6748</v>
      </c>
      <c r="B1692" s="17">
        <v>0</v>
      </c>
      <c r="C1692" s="18">
        <v>0</v>
      </c>
    </row>
    <row r="1693" spans="1:3" ht="15" hidden="1" x14ac:dyDescent="0.25">
      <c r="A1693" s="189"/>
      <c r="B1693" s="17" t="s">
        <v>251</v>
      </c>
      <c r="C1693" s="18">
        <v>0</v>
      </c>
    </row>
    <row r="1694" spans="1:3" ht="15" hidden="1" x14ac:dyDescent="0.25">
      <c r="A1694" s="59"/>
      <c r="B1694" s="17" t="s">
        <v>256</v>
      </c>
      <c r="C1694" s="18">
        <v>0</v>
      </c>
    </row>
    <row r="1695" spans="1:3" ht="15" hidden="1" x14ac:dyDescent="0.25">
      <c r="A1695" s="189"/>
      <c r="B1695" s="17" t="s">
        <v>269</v>
      </c>
      <c r="C1695" s="18">
        <v>0</v>
      </c>
    </row>
    <row r="1696" spans="1:3" ht="15" hidden="1" x14ac:dyDescent="0.25">
      <c r="A1696" s="190"/>
      <c r="B1696" s="17" t="s">
        <v>245</v>
      </c>
      <c r="C1696" s="18">
        <v>0</v>
      </c>
    </row>
    <row r="1697" spans="1:3" ht="15" hidden="1" x14ac:dyDescent="0.25">
      <c r="A1697" s="189"/>
      <c r="B1697" s="17" t="s">
        <v>249</v>
      </c>
      <c r="C1697" s="18">
        <v>0</v>
      </c>
    </row>
    <row r="1698" spans="1:3" ht="15" hidden="1" x14ac:dyDescent="0.25">
      <c r="A1698" s="189"/>
      <c r="B1698" s="17" t="s">
        <v>264</v>
      </c>
      <c r="C1698" s="18">
        <v>0</v>
      </c>
    </row>
    <row r="1699" spans="1:3" ht="15" hidden="1" x14ac:dyDescent="0.25">
      <c r="A1699" s="189"/>
      <c r="B1699" s="17" t="s">
        <v>319</v>
      </c>
      <c r="C1699" s="18">
        <v>0</v>
      </c>
    </row>
    <row r="1700" spans="1:3" ht="15" hidden="1" x14ac:dyDescent="0.25">
      <c r="A1700" s="189"/>
      <c r="B1700" s="17" t="s">
        <v>318</v>
      </c>
      <c r="C1700" s="18">
        <v>0</v>
      </c>
    </row>
    <row r="1701" spans="1:3" ht="15" hidden="1" x14ac:dyDescent="0.25">
      <c r="A1701" s="189"/>
      <c r="B1701" s="17" t="s">
        <v>80</v>
      </c>
      <c r="C1701" s="18">
        <v>0</v>
      </c>
    </row>
    <row r="1702" spans="1:3" ht="15" hidden="1" x14ac:dyDescent="0.25">
      <c r="A1702" s="190">
        <v>6751</v>
      </c>
      <c r="B1702" s="17">
        <v>0</v>
      </c>
      <c r="C1702" s="18">
        <v>0</v>
      </c>
    </row>
    <row r="1703" spans="1:3" ht="15" hidden="1" x14ac:dyDescent="0.25">
      <c r="A1703" s="190"/>
      <c r="B1703" s="17" t="s">
        <v>72</v>
      </c>
      <c r="C1703" s="18">
        <v>0</v>
      </c>
    </row>
    <row r="1704" spans="1:3" ht="15" hidden="1" x14ac:dyDescent="0.25">
      <c r="A1704" s="190">
        <v>6755</v>
      </c>
      <c r="B1704" s="17" t="s">
        <v>319</v>
      </c>
      <c r="C1704" s="18">
        <v>0</v>
      </c>
    </row>
    <row r="1705" spans="1:3" ht="15" hidden="1" x14ac:dyDescent="0.25">
      <c r="A1705" s="190">
        <v>6743</v>
      </c>
      <c r="B1705" s="17" t="s">
        <v>72</v>
      </c>
      <c r="C1705" s="18">
        <v>0</v>
      </c>
    </row>
    <row r="1706" spans="1:3" ht="15" hidden="1" x14ac:dyDescent="0.25">
      <c r="A1706" s="190"/>
      <c r="B1706" s="17" t="s">
        <v>320</v>
      </c>
      <c r="C1706" s="18">
        <v>0</v>
      </c>
    </row>
    <row r="1707" spans="1:3" ht="15" hidden="1" x14ac:dyDescent="0.25">
      <c r="A1707" s="190">
        <v>6769</v>
      </c>
      <c r="B1707" s="17">
        <v>0</v>
      </c>
      <c r="C1707" s="18">
        <v>0</v>
      </c>
    </row>
    <row r="1708" spans="1:3" ht="15" hidden="1" x14ac:dyDescent="0.25">
      <c r="A1708" s="190"/>
      <c r="B1708" s="17" t="s">
        <v>278</v>
      </c>
      <c r="C1708" s="18">
        <v>0</v>
      </c>
    </row>
    <row r="1709" spans="1:3" ht="15" hidden="1" x14ac:dyDescent="0.25">
      <c r="A1709" s="190"/>
      <c r="B1709" s="17" t="s">
        <v>258</v>
      </c>
      <c r="C1709" s="18">
        <v>0</v>
      </c>
    </row>
    <row r="1710" spans="1:3" ht="15" hidden="1" x14ac:dyDescent="0.25">
      <c r="A1710" s="190"/>
      <c r="B1710" s="17" t="s">
        <v>263</v>
      </c>
      <c r="C1710" s="18">
        <v>0</v>
      </c>
    </row>
    <row r="1711" spans="1:3" ht="15" hidden="1" x14ac:dyDescent="0.25">
      <c r="A1711" s="190"/>
      <c r="B1711" s="17" t="s">
        <v>255</v>
      </c>
      <c r="C1711" s="18">
        <v>0</v>
      </c>
    </row>
    <row r="1712" spans="1:3" ht="15" hidden="1" x14ac:dyDescent="0.25">
      <c r="A1712" s="190"/>
      <c r="B1712" s="17" t="s">
        <v>319</v>
      </c>
      <c r="C1712" s="18">
        <v>0</v>
      </c>
    </row>
    <row r="1713" spans="1:3" ht="15" hidden="1" x14ac:dyDescent="0.25">
      <c r="A1713" s="190">
        <v>6776</v>
      </c>
      <c r="B1713" s="17">
        <v>0</v>
      </c>
      <c r="C1713" s="18">
        <v>0</v>
      </c>
    </row>
    <row r="1714" spans="1:3" ht="15" hidden="1" x14ac:dyDescent="0.25">
      <c r="A1714" s="190"/>
      <c r="B1714" s="17" t="s">
        <v>251</v>
      </c>
      <c r="C1714" s="18">
        <v>0</v>
      </c>
    </row>
    <row r="1715" spans="1:3" ht="15" hidden="1" x14ac:dyDescent="0.25">
      <c r="A1715" s="190"/>
      <c r="B1715" s="17" t="s">
        <v>269</v>
      </c>
      <c r="C1715" s="18">
        <v>0</v>
      </c>
    </row>
    <row r="1716" spans="1:3" ht="15" hidden="1" x14ac:dyDescent="0.25">
      <c r="A1716" s="190"/>
      <c r="B1716" s="17" t="s">
        <v>245</v>
      </c>
      <c r="C1716" s="18">
        <v>0</v>
      </c>
    </row>
    <row r="1717" spans="1:3" ht="15" hidden="1" x14ac:dyDescent="0.25">
      <c r="A1717" s="190"/>
      <c r="B1717" s="17" t="s">
        <v>249</v>
      </c>
      <c r="C1717" s="18">
        <v>0</v>
      </c>
    </row>
    <row r="1718" spans="1:3" ht="15" hidden="1" x14ac:dyDescent="0.25">
      <c r="A1718" s="190"/>
      <c r="B1718" s="17" t="s">
        <v>264</v>
      </c>
      <c r="C1718" s="18">
        <v>0</v>
      </c>
    </row>
    <row r="1719" spans="1:3" ht="15" hidden="1" x14ac:dyDescent="0.25">
      <c r="A1719" s="190"/>
      <c r="B1719" s="17" t="s">
        <v>319</v>
      </c>
      <c r="C1719" s="18">
        <v>0</v>
      </c>
    </row>
    <row r="1720" spans="1:3" ht="15" hidden="1" x14ac:dyDescent="0.25">
      <c r="A1720" s="190"/>
      <c r="B1720" s="17" t="s">
        <v>80</v>
      </c>
      <c r="C1720" s="18">
        <v>0</v>
      </c>
    </row>
    <row r="1721" spans="1:3" ht="15" hidden="1" x14ac:dyDescent="0.25">
      <c r="A1721" s="190">
        <v>6777</v>
      </c>
      <c r="B1721" s="17" t="s">
        <v>265</v>
      </c>
      <c r="C1721" s="18">
        <v>0</v>
      </c>
    </row>
    <row r="1722" spans="1:3" ht="15" hidden="1" x14ac:dyDescent="0.25">
      <c r="A1722" s="190">
        <v>6795</v>
      </c>
      <c r="B1722" s="17">
        <v>0</v>
      </c>
      <c r="C1722" s="18">
        <v>0</v>
      </c>
    </row>
    <row r="1723" spans="1:3" ht="15" hidden="1" x14ac:dyDescent="0.25">
      <c r="A1723" s="190"/>
      <c r="B1723" s="17" t="s">
        <v>269</v>
      </c>
      <c r="C1723" s="18">
        <v>0</v>
      </c>
    </row>
    <row r="1724" spans="1:3" ht="15" hidden="1" x14ac:dyDescent="0.25">
      <c r="A1724" s="190"/>
      <c r="B1724" s="17" t="s">
        <v>274</v>
      </c>
      <c r="C1724" s="18">
        <v>0</v>
      </c>
    </row>
    <row r="1725" spans="1:3" ht="15" hidden="1" x14ac:dyDescent="0.25">
      <c r="A1725" s="190"/>
      <c r="B1725" s="17" t="s">
        <v>260</v>
      </c>
      <c r="C1725" s="18">
        <v>0</v>
      </c>
    </row>
    <row r="1726" spans="1:3" ht="15" hidden="1" x14ac:dyDescent="0.25">
      <c r="A1726" s="190"/>
      <c r="B1726" s="17" t="s">
        <v>72</v>
      </c>
      <c r="C1726" s="18">
        <v>0</v>
      </c>
    </row>
    <row r="1727" spans="1:3" ht="15" hidden="1" x14ac:dyDescent="0.25">
      <c r="A1727" s="190"/>
      <c r="B1727" s="17" t="s">
        <v>272</v>
      </c>
      <c r="C1727" s="18">
        <v>0</v>
      </c>
    </row>
    <row r="1728" spans="1:3" ht="15" hidden="1" x14ac:dyDescent="0.25">
      <c r="A1728" s="190"/>
      <c r="B1728" s="17" t="s">
        <v>323</v>
      </c>
      <c r="C1728" s="18">
        <v>0</v>
      </c>
    </row>
    <row r="1729" spans="1:3" ht="15" hidden="1" x14ac:dyDescent="0.25">
      <c r="A1729" s="190"/>
      <c r="B1729" s="17" t="s">
        <v>324</v>
      </c>
      <c r="C1729" s="18">
        <v>0</v>
      </c>
    </row>
    <row r="1730" spans="1:3" ht="15" hidden="1" x14ac:dyDescent="0.25">
      <c r="A1730" s="190"/>
      <c r="B1730" s="17" t="s">
        <v>318</v>
      </c>
      <c r="C1730" s="18">
        <v>0</v>
      </c>
    </row>
    <row r="1731" spans="1:3" ht="15" hidden="1" x14ac:dyDescent="0.25">
      <c r="A1731" s="190"/>
      <c r="B1731" s="17" t="s">
        <v>80</v>
      </c>
      <c r="C1731" s="18">
        <v>0</v>
      </c>
    </row>
    <row r="1732" spans="1:3" ht="15" hidden="1" x14ac:dyDescent="0.25">
      <c r="A1732" s="190"/>
      <c r="B1732" s="17" t="s">
        <v>79</v>
      </c>
      <c r="C1732" s="18">
        <v>0</v>
      </c>
    </row>
    <row r="1733" spans="1:3" ht="15" hidden="1" x14ac:dyDescent="0.25">
      <c r="A1733" s="190">
        <v>6793</v>
      </c>
      <c r="B1733" s="17">
        <v>0</v>
      </c>
      <c r="C1733" s="18">
        <v>0</v>
      </c>
    </row>
    <row r="1734" spans="1:3" ht="15" hidden="1" x14ac:dyDescent="0.25">
      <c r="A1734" s="190"/>
      <c r="B1734" s="17" t="s">
        <v>72</v>
      </c>
      <c r="C1734" s="18">
        <v>0</v>
      </c>
    </row>
    <row r="1735" spans="1:3" ht="15" hidden="1" x14ac:dyDescent="0.25">
      <c r="A1735" s="190"/>
      <c r="B1735" s="17" t="s">
        <v>318</v>
      </c>
      <c r="C1735" s="18">
        <v>0</v>
      </c>
    </row>
    <row r="1736" spans="1:3" ht="15" hidden="1" x14ac:dyDescent="0.25">
      <c r="A1736" s="190">
        <v>6796</v>
      </c>
      <c r="B1736" s="17">
        <v>0</v>
      </c>
      <c r="C1736" s="18">
        <v>0</v>
      </c>
    </row>
    <row r="1737" spans="1:3" ht="15" hidden="1" x14ac:dyDescent="0.25">
      <c r="A1737" s="190">
        <v>6784</v>
      </c>
      <c r="B1737" s="17" t="s">
        <v>268</v>
      </c>
      <c r="C1737" s="18">
        <v>0</v>
      </c>
    </row>
    <row r="1738" spans="1:3" ht="15" hidden="1" x14ac:dyDescent="0.25">
      <c r="A1738" s="190"/>
      <c r="B1738" s="17" t="s">
        <v>318</v>
      </c>
      <c r="C1738" s="18">
        <v>0</v>
      </c>
    </row>
    <row r="1739" spans="1:3" ht="15" hidden="1" x14ac:dyDescent="0.25">
      <c r="A1739" s="189">
        <v>6799</v>
      </c>
      <c r="B1739" s="17" t="s">
        <v>264</v>
      </c>
      <c r="C1739" s="18">
        <v>0</v>
      </c>
    </row>
    <row r="1740" spans="1:3" ht="15" hidden="1" x14ac:dyDescent="0.25">
      <c r="A1740" s="190"/>
      <c r="B1740" s="17" t="s">
        <v>261</v>
      </c>
      <c r="C1740" s="18">
        <v>0</v>
      </c>
    </row>
    <row r="1741" spans="1:3" ht="15" hidden="1" x14ac:dyDescent="0.25">
      <c r="A1741" s="190" t="s">
        <v>439</v>
      </c>
      <c r="B1741" s="17">
        <v>0</v>
      </c>
      <c r="C1741" s="18">
        <v>0</v>
      </c>
    </row>
    <row r="1742" spans="1:3" ht="15" hidden="1" x14ac:dyDescent="0.25">
      <c r="A1742" s="190"/>
      <c r="B1742" s="17" t="s">
        <v>251</v>
      </c>
      <c r="C1742" s="18">
        <v>0</v>
      </c>
    </row>
    <row r="1743" spans="1:3" ht="15" hidden="1" x14ac:dyDescent="0.25">
      <c r="A1743" s="190"/>
      <c r="B1743" s="17" t="s">
        <v>246</v>
      </c>
      <c r="C1743" s="18">
        <v>0</v>
      </c>
    </row>
    <row r="1744" spans="1:3" ht="15" hidden="1" x14ac:dyDescent="0.25">
      <c r="A1744" s="190"/>
      <c r="B1744" s="17" t="s">
        <v>270</v>
      </c>
      <c r="C1744" s="18">
        <v>0</v>
      </c>
    </row>
    <row r="1745" spans="1:3" ht="15" hidden="1" x14ac:dyDescent="0.25">
      <c r="A1745" s="190"/>
      <c r="B1745" s="17" t="s">
        <v>245</v>
      </c>
      <c r="C1745" s="18">
        <v>0</v>
      </c>
    </row>
    <row r="1746" spans="1:3" ht="15" hidden="1" x14ac:dyDescent="0.25">
      <c r="A1746" s="190"/>
      <c r="B1746" s="17" t="s">
        <v>249</v>
      </c>
      <c r="C1746" s="18">
        <v>0</v>
      </c>
    </row>
    <row r="1747" spans="1:3" ht="15" hidden="1" x14ac:dyDescent="0.25">
      <c r="A1747" s="190"/>
      <c r="B1747" s="17" t="s">
        <v>264</v>
      </c>
      <c r="C1747" s="18">
        <v>0</v>
      </c>
    </row>
    <row r="1748" spans="1:3" ht="15" hidden="1" x14ac:dyDescent="0.25">
      <c r="A1748" s="190"/>
      <c r="B1748" s="17" t="s">
        <v>319</v>
      </c>
      <c r="C1748" s="18">
        <v>0</v>
      </c>
    </row>
    <row r="1749" spans="1:3" ht="15" hidden="1" x14ac:dyDescent="0.25">
      <c r="A1749" s="190"/>
      <c r="B1749" s="17" t="s">
        <v>80</v>
      </c>
      <c r="C1749" s="18">
        <v>0</v>
      </c>
    </row>
    <row r="1750" spans="1:3" ht="15" hidden="1" x14ac:dyDescent="0.25">
      <c r="A1750" s="190">
        <v>6910</v>
      </c>
      <c r="B1750" s="17" t="s">
        <v>79</v>
      </c>
      <c r="C1750" s="18">
        <v>0</v>
      </c>
    </row>
    <row r="1751" spans="1:3" ht="15" hidden="1" x14ac:dyDescent="0.25">
      <c r="A1751" s="190">
        <v>6892</v>
      </c>
      <c r="B1751" s="17" t="s">
        <v>79</v>
      </c>
      <c r="C1751" s="18">
        <v>0</v>
      </c>
    </row>
    <row r="1752" spans="1:3" ht="15" hidden="1" x14ac:dyDescent="0.25">
      <c r="A1752" s="190">
        <v>6891</v>
      </c>
      <c r="B1752" s="17" t="s">
        <v>79</v>
      </c>
      <c r="C1752" s="18">
        <v>0</v>
      </c>
    </row>
    <row r="1753" spans="1:3" ht="15" hidden="1" x14ac:dyDescent="0.25">
      <c r="A1753" s="190">
        <v>6834</v>
      </c>
      <c r="B1753" s="17">
        <v>0</v>
      </c>
      <c r="C1753" s="18">
        <v>0</v>
      </c>
    </row>
    <row r="1754" spans="1:3" ht="15" hidden="1" x14ac:dyDescent="0.25">
      <c r="A1754" s="189">
        <v>6837</v>
      </c>
      <c r="B1754" s="17">
        <v>0</v>
      </c>
      <c r="C1754" s="18">
        <v>0</v>
      </c>
    </row>
    <row r="1755" spans="1:3" ht="15" hidden="1" x14ac:dyDescent="0.25">
      <c r="A1755" s="190"/>
      <c r="B1755" s="17" t="s">
        <v>258</v>
      </c>
      <c r="C1755" s="18">
        <v>0</v>
      </c>
    </row>
    <row r="1756" spans="1:3" ht="15" hidden="1" x14ac:dyDescent="0.25">
      <c r="A1756" s="190"/>
      <c r="B1756" s="17" t="s">
        <v>292</v>
      </c>
      <c r="C1756" s="18">
        <v>0</v>
      </c>
    </row>
    <row r="1757" spans="1:3" ht="15" hidden="1" x14ac:dyDescent="0.25">
      <c r="A1757" s="190"/>
      <c r="B1757" s="17" t="s">
        <v>276</v>
      </c>
      <c r="C1757" s="18">
        <v>0</v>
      </c>
    </row>
    <row r="1758" spans="1:3" ht="15" hidden="1" x14ac:dyDescent="0.25">
      <c r="A1758" s="190"/>
      <c r="B1758" s="17" t="s">
        <v>72</v>
      </c>
      <c r="C1758" s="18">
        <v>0</v>
      </c>
    </row>
    <row r="1759" spans="1:3" ht="15" hidden="1" x14ac:dyDescent="0.25">
      <c r="A1759" s="190"/>
      <c r="B1759" s="17" t="s">
        <v>319</v>
      </c>
      <c r="C1759" s="18">
        <v>0</v>
      </c>
    </row>
    <row r="1760" spans="1:3" ht="15" hidden="1" x14ac:dyDescent="0.25">
      <c r="A1760" s="190"/>
      <c r="B1760" s="17" t="s">
        <v>318</v>
      </c>
      <c r="C1760" s="18">
        <v>0</v>
      </c>
    </row>
    <row r="1761" spans="1:3" ht="15" hidden="1" x14ac:dyDescent="0.25">
      <c r="A1761" s="190"/>
      <c r="B1761" s="17" t="s">
        <v>80</v>
      </c>
      <c r="C1761" s="18">
        <v>0</v>
      </c>
    </row>
    <row r="1762" spans="1:3" ht="15" hidden="1" x14ac:dyDescent="0.25">
      <c r="A1762" s="190"/>
      <c r="B1762" s="17" t="s">
        <v>419</v>
      </c>
      <c r="C1762" s="18">
        <v>0</v>
      </c>
    </row>
    <row r="1763" spans="1:3" ht="15" hidden="1" x14ac:dyDescent="0.25">
      <c r="A1763" s="190"/>
      <c r="B1763" s="17" t="s">
        <v>79</v>
      </c>
      <c r="C1763" s="18">
        <v>0</v>
      </c>
    </row>
    <row r="1764" spans="1:3" ht="15" hidden="1" x14ac:dyDescent="0.25">
      <c r="A1764" s="190">
        <v>6842</v>
      </c>
      <c r="B1764" s="17" t="s">
        <v>72</v>
      </c>
      <c r="C1764" s="18">
        <v>0</v>
      </c>
    </row>
    <row r="1765" spans="1:3" ht="15" hidden="1" x14ac:dyDescent="0.25">
      <c r="A1765" s="190">
        <v>6848</v>
      </c>
      <c r="B1765" s="17">
        <v>0</v>
      </c>
      <c r="C1765" s="18">
        <v>0</v>
      </c>
    </row>
    <row r="1766" spans="1:3" ht="15" hidden="1" x14ac:dyDescent="0.25">
      <c r="A1766" s="189"/>
      <c r="B1766" s="17" t="s">
        <v>265</v>
      </c>
      <c r="C1766" s="18">
        <v>0</v>
      </c>
    </row>
    <row r="1767" spans="1:3" ht="15" hidden="1" x14ac:dyDescent="0.25">
      <c r="A1767" s="190"/>
      <c r="B1767" s="17" t="s">
        <v>256</v>
      </c>
      <c r="C1767" s="18">
        <v>0</v>
      </c>
    </row>
    <row r="1768" spans="1:3" ht="15" hidden="1" x14ac:dyDescent="0.25">
      <c r="A1768" s="190"/>
      <c r="B1768" s="17" t="s">
        <v>276</v>
      </c>
      <c r="C1768" s="18">
        <v>0</v>
      </c>
    </row>
    <row r="1769" spans="1:3" ht="15" hidden="1" x14ac:dyDescent="0.25">
      <c r="A1769" s="190"/>
      <c r="B1769" s="17" t="s">
        <v>245</v>
      </c>
      <c r="C1769" s="18">
        <v>0</v>
      </c>
    </row>
    <row r="1770" spans="1:3" ht="15" hidden="1" x14ac:dyDescent="0.25">
      <c r="A1770" s="190"/>
      <c r="B1770" s="17" t="s">
        <v>249</v>
      </c>
      <c r="C1770" s="18">
        <v>0</v>
      </c>
    </row>
    <row r="1771" spans="1:3" ht="15" hidden="1" x14ac:dyDescent="0.25">
      <c r="A1771" s="190"/>
      <c r="B1771" s="17" t="s">
        <v>264</v>
      </c>
      <c r="C1771" s="18">
        <v>0</v>
      </c>
    </row>
    <row r="1772" spans="1:3" ht="15" hidden="1" x14ac:dyDescent="0.25">
      <c r="A1772" s="189"/>
      <c r="B1772" s="17" t="s">
        <v>319</v>
      </c>
      <c r="C1772" s="18">
        <v>0</v>
      </c>
    </row>
    <row r="1773" spans="1:3" ht="15" hidden="1" x14ac:dyDescent="0.25">
      <c r="A1773" s="189"/>
      <c r="B1773" s="17" t="s">
        <v>318</v>
      </c>
      <c r="C1773" s="18">
        <v>0</v>
      </c>
    </row>
    <row r="1774" spans="1:3" ht="15" hidden="1" x14ac:dyDescent="0.25">
      <c r="A1774" s="190"/>
      <c r="B1774" s="17" t="s">
        <v>80</v>
      </c>
      <c r="C1774" s="18">
        <v>0</v>
      </c>
    </row>
    <row r="1775" spans="1:3" ht="15" hidden="1" x14ac:dyDescent="0.25">
      <c r="A1775" s="190"/>
      <c r="B1775" s="17" t="s">
        <v>79</v>
      </c>
      <c r="C1775" s="18">
        <v>0</v>
      </c>
    </row>
    <row r="1776" spans="1:3" ht="15" hidden="1" x14ac:dyDescent="0.25">
      <c r="A1776" s="190">
        <v>6853</v>
      </c>
      <c r="B1776" s="17">
        <v>0</v>
      </c>
      <c r="C1776" s="18">
        <v>0</v>
      </c>
    </row>
    <row r="1777" spans="1:3" ht="15" hidden="1" x14ac:dyDescent="0.25">
      <c r="A1777" s="190">
        <v>6860</v>
      </c>
      <c r="B1777" s="17">
        <v>0</v>
      </c>
      <c r="C1777" s="18">
        <v>0</v>
      </c>
    </row>
    <row r="1778" spans="1:3" ht="15" hidden="1" x14ac:dyDescent="0.25">
      <c r="A1778" s="190"/>
      <c r="B1778" s="17" t="s">
        <v>279</v>
      </c>
      <c r="C1778" s="18">
        <v>0</v>
      </c>
    </row>
    <row r="1779" spans="1:3" ht="15" hidden="1" x14ac:dyDescent="0.25">
      <c r="A1779" s="190"/>
      <c r="B1779" s="17" t="s">
        <v>274</v>
      </c>
      <c r="C1779" s="18">
        <v>0</v>
      </c>
    </row>
    <row r="1780" spans="1:3" ht="15" hidden="1" x14ac:dyDescent="0.25">
      <c r="A1780" s="190"/>
      <c r="B1780" s="17" t="s">
        <v>260</v>
      </c>
      <c r="C1780" s="18">
        <v>0</v>
      </c>
    </row>
    <row r="1781" spans="1:3" ht="15" hidden="1" x14ac:dyDescent="0.25">
      <c r="A1781" s="189"/>
      <c r="B1781" s="17" t="s">
        <v>285</v>
      </c>
      <c r="C1781" s="18">
        <v>0</v>
      </c>
    </row>
    <row r="1782" spans="1:3" ht="15" hidden="1" x14ac:dyDescent="0.25">
      <c r="A1782" s="190"/>
      <c r="B1782" s="17" t="s">
        <v>272</v>
      </c>
      <c r="C1782" s="18">
        <v>0</v>
      </c>
    </row>
    <row r="1783" spans="1:3" ht="15" hidden="1" x14ac:dyDescent="0.25">
      <c r="A1783" s="190"/>
      <c r="B1783" s="17" t="s">
        <v>318</v>
      </c>
      <c r="C1783" s="18">
        <v>0</v>
      </c>
    </row>
    <row r="1784" spans="1:3" ht="15" hidden="1" x14ac:dyDescent="0.25">
      <c r="A1784" s="190">
        <v>6863</v>
      </c>
      <c r="B1784" s="17">
        <v>0</v>
      </c>
      <c r="C1784" s="18">
        <v>0</v>
      </c>
    </row>
    <row r="1785" spans="1:3" ht="15" hidden="1" x14ac:dyDescent="0.25">
      <c r="A1785" s="190"/>
      <c r="B1785" s="17" t="s">
        <v>257</v>
      </c>
      <c r="C1785" s="18">
        <v>0</v>
      </c>
    </row>
    <row r="1786" spans="1:3" ht="15" hidden="1" x14ac:dyDescent="0.25">
      <c r="A1786" s="190"/>
      <c r="B1786" s="17" t="s">
        <v>269</v>
      </c>
      <c r="C1786" s="18">
        <v>0</v>
      </c>
    </row>
    <row r="1787" spans="1:3" ht="15" hidden="1" x14ac:dyDescent="0.25">
      <c r="A1787" s="190"/>
      <c r="B1787" s="17" t="s">
        <v>270</v>
      </c>
      <c r="C1787" s="18">
        <v>0</v>
      </c>
    </row>
    <row r="1788" spans="1:3" ht="15" hidden="1" x14ac:dyDescent="0.25">
      <c r="A1788" s="190"/>
      <c r="B1788" s="17" t="s">
        <v>245</v>
      </c>
      <c r="C1788" s="18">
        <v>0</v>
      </c>
    </row>
    <row r="1789" spans="1:3" ht="15" hidden="1" x14ac:dyDescent="0.25">
      <c r="A1789" s="190"/>
      <c r="B1789" s="17" t="s">
        <v>248</v>
      </c>
      <c r="C1789" s="18">
        <v>0</v>
      </c>
    </row>
    <row r="1790" spans="1:3" ht="15" hidden="1" x14ac:dyDescent="0.25">
      <c r="A1790" s="190"/>
      <c r="B1790" s="17" t="s">
        <v>249</v>
      </c>
      <c r="C1790" s="18">
        <v>0</v>
      </c>
    </row>
    <row r="1791" spans="1:3" ht="15" x14ac:dyDescent="0.25">
      <c r="A1791" s="190"/>
      <c r="B1791" s="17" t="s">
        <v>316</v>
      </c>
      <c r="C1791" s="18">
        <v>2</v>
      </c>
    </row>
    <row r="1792" spans="1:3" ht="15" hidden="1" x14ac:dyDescent="0.25">
      <c r="A1792" s="190"/>
      <c r="B1792" s="17" t="s">
        <v>260</v>
      </c>
      <c r="C1792" s="18">
        <v>0</v>
      </c>
    </row>
    <row r="1793" spans="1:3" ht="15" hidden="1" x14ac:dyDescent="0.25">
      <c r="A1793" s="190"/>
      <c r="B1793" s="17" t="s">
        <v>272</v>
      </c>
      <c r="C1793" s="18">
        <v>0</v>
      </c>
    </row>
    <row r="1794" spans="1:3" ht="15" hidden="1" x14ac:dyDescent="0.25">
      <c r="A1794" s="189"/>
      <c r="B1794" s="17" t="s">
        <v>255</v>
      </c>
      <c r="C1794" s="18">
        <v>0</v>
      </c>
    </row>
    <row r="1795" spans="1:3" ht="15" hidden="1" x14ac:dyDescent="0.25">
      <c r="A1795" s="190"/>
      <c r="B1795" s="17" t="s">
        <v>264</v>
      </c>
      <c r="C1795" s="18">
        <v>0</v>
      </c>
    </row>
    <row r="1796" spans="1:3" ht="15" hidden="1" x14ac:dyDescent="0.25">
      <c r="A1796" s="190"/>
      <c r="B1796" s="17" t="s">
        <v>307</v>
      </c>
      <c r="C1796" s="18">
        <v>0</v>
      </c>
    </row>
    <row r="1797" spans="1:3" ht="15" hidden="1" x14ac:dyDescent="0.25">
      <c r="A1797" s="190"/>
      <c r="B1797" s="17" t="s">
        <v>319</v>
      </c>
      <c r="C1797" s="18">
        <v>0</v>
      </c>
    </row>
    <row r="1798" spans="1:3" ht="15" hidden="1" x14ac:dyDescent="0.25">
      <c r="A1798" s="190"/>
      <c r="B1798" s="17" t="s">
        <v>318</v>
      </c>
      <c r="C1798" s="18">
        <v>0</v>
      </c>
    </row>
    <row r="1799" spans="1:3" ht="15" hidden="1" x14ac:dyDescent="0.25">
      <c r="A1799" s="190"/>
      <c r="B1799" s="17" t="s">
        <v>80</v>
      </c>
      <c r="C1799" s="18">
        <v>0</v>
      </c>
    </row>
    <row r="1800" spans="1:3" ht="15" hidden="1" x14ac:dyDescent="0.25">
      <c r="A1800" s="190"/>
      <c r="B1800" s="17" t="s">
        <v>448</v>
      </c>
      <c r="C1800" s="18">
        <v>0</v>
      </c>
    </row>
    <row r="1801" spans="1:3" ht="15" hidden="1" x14ac:dyDescent="0.25">
      <c r="A1801" s="190"/>
      <c r="B1801" s="17" t="s">
        <v>79</v>
      </c>
      <c r="C1801" s="18">
        <v>0</v>
      </c>
    </row>
    <row r="1802" spans="1:3" ht="15" hidden="1" x14ac:dyDescent="0.25">
      <c r="A1802" s="190">
        <v>6858</v>
      </c>
      <c r="B1802" s="17">
        <v>0</v>
      </c>
      <c r="C1802" s="18">
        <v>0</v>
      </c>
    </row>
    <row r="1803" spans="1:3" ht="15" hidden="1" x14ac:dyDescent="0.25">
      <c r="A1803" s="190"/>
      <c r="B1803" s="17" t="s">
        <v>256</v>
      </c>
      <c r="C1803" s="18">
        <v>0</v>
      </c>
    </row>
    <row r="1804" spans="1:3" ht="15" hidden="1" x14ac:dyDescent="0.25">
      <c r="A1804" s="189"/>
      <c r="B1804" s="17" t="s">
        <v>245</v>
      </c>
      <c r="C1804" s="18">
        <v>0</v>
      </c>
    </row>
    <row r="1805" spans="1:3" ht="15" hidden="1" x14ac:dyDescent="0.25">
      <c r="A1805" s="190"/>
      <c r="B1805" s="17" t="s">
        <v>249</v>
      </c>
      <c r="C1805" s="18">
        <v>0</v>
      </c>
    </row>
    <row r="1806" spans="1:3" ht="15" hidden="1" x14ac:dyDescent="0.25">
      <c r="A1806" s="189"/>
      <c r="B1806" s="17" t="s">
        <v>273</v>
      </c>
      <c r="C1806" s="18">
        <v>0</v>
      </c>
    </row>
    <row r="1807" spans="1:3" ht="15" hidden="1" x14ac:dyDescent="0.25">
      <c r="A1807" s="189"/>
      <c r="B1807" s="17" t="s">
        <v>263</v>
      </c>
      <c r="C1807" s="18">
        <v>0</v>
      </c>
    </row>
    <row r="1808" spans="1:3" ht="15" hidden="1" x14ac:dyDescent="0.25">
      <c r="A1808" s="189"/>
      <c r="B1808" s="17" t="s">
        <v>260</v>
      </c>
      <c r="C1808" s="18">
        <v>0</v>
      </c>
    </row>
    <row r="1809" spans="1:3" ht="15" hidden="1" x14ac:dyDescent="0.25">
      <c r="A1809" s="190"/>
      <c r="B1809" s="17" t="s">
        <v>264</v>
      </c>
      <c r="C1809" s="18">
        <v>0</v>
      </c>
    </row>
    <row r="1810" spans="1:3" ht="15" hidden="1" x14ac:dyDescent="0.25">
      <c r="A1810" s="190"/>
      <c r="B1810" s="17" t="s">
        <v>319</v>
      </c>
      <c r="C1810" s="18">
        <v>0</v>
      </c>
    </row>
    <row r="1811" spans="1:3" ht="15" hidden="1" x14ac:dyDescent="0.25">
      <c r="A1811" s="189"/>
      <c r="B1811" s="17" t="s">
        <v>318</v>
      </c>
      <c r="C1811" s="18">
        <v>0</v>
      </c>
    </row>
    <row r="1812" spans="1:3" ht="15" hidden="1" x14ac:dyDescent="0.25">
      <c r="A1812" s="190"/>
      <c r="B1812" s="17" t="s">
        <v>80</v>
      </c>
      <c r="C1812" s="18">
        <v>0</v>
      </c>
    </row>
    <row r="1813" spans="1:3" ht="15" hidden="1" x14ac:dyDescent="0.25">
      <c r="A1813" s="190"/>
      <c r="B1813" s="17" t="s">
        <v>79</v>
      </c>
      <c r="C1813" s="18">
        <v>0</v>
      </c>
    </row>
    <row r="1814" spans="1:3" ht="15" hidden="1" x14ac:dyDescent="0.25">
      <c r="A1814" s="190">
        <v>6878</v>
      </c>
      <c r="B1814" s="17">
        <v>0</v>
      </c>
      <c r="C1814" s="18">
        <v>0</v>
      </c>
    </row>
    <row r="1815" spans="1:3" ht="15" hidden="1" x14ac:dyDescent="0.25">
      <c r="A1815" s="190">
        <v>6884</v>
      </c>
      <c r="B1815" s="17">
        <v>0</v>
      </c>
      <c r="C1815" s="18">
        <v>0</v>
      </c>
    </row>
    <row r="1816" spans="1:3" ht="15" hidden="1" x14ac:dyDescent="0.25">
      <c r="A1816" s="190"/>
      <c r="B1816" s="17" t="s">
        <v>269</v>
      </c>
      <c r="C1816" s="18">
        <v>0</v>
      </c>
    </row>
    <row r="1817" spans="1:3" ht="15" hidden="1" x14ac:dyDescent="0.25">
      <c r="A1817" s="190"/>
      <c r="B1817" s="17" t="s">
        <v>273</v>
      </c>
      <c r="C1817" s="18">
        <v>0</v>
      </c>
    </row>
    <row r="1818" spans="1:3" ht="15" hidden="1" x14ac:dyDescent="0.25">
      <c r="A1818" s="190"/>
      <c r="B1818" s="17" t="s">
        <v>260</v>
      </c>
      <c r="C1818" s="18">
        <v>0</v>
      </c>
    </row>
    <row r="1819" spans="1:3" ht="15" hidden="1" x14ac:dyDescent="0.25">
      <c r="A1819" s="190"/>
      <c r="B1819" s="17" t="s">
        <v>272</v>
      </c>
      <c r="C1819" s="18">
        <v>0</v>
      </c>
    </row>
    <row r="1820" spans="1:3" ht="15" hidden="1" x14ac:dyDescent="0.25">
      <c r="A1820" s="190">
        <v>6886</v>
      </c>
      <c r="B1820" s="17" t="s">
        <v>324</v>
      </c>
      <c r="C1820" s="18">
        <v>0</v>
      </c>
    </row>
    <row r="1821" spans="1:3" ht="15" hidden="1" x14ac:dyDescent="0.25">
      <c r="A1821" s="190"/>
      <c r="B1821" s="17" t="s">
        <v>388</v>
      </c>
      <c r="C1821" s="18">
        <v>0</v>
      </c>
    </row>
    <row r="1822" spans="1:3" ht="15" hidden="1" x14ac:dyDescent="0.25">
      <c r="A1822" s="189">
        <v>6888</v>
      </c>
      <c r="B1822" s="17" t="s">
        <v>276</v>
      </c>
      <c r="C1822" s="18">
        <v>0</v>
      </c>
    </row>
    <row r="1823" spans="1:3" ht="15" hidden="1" x14ac:dyDescent="0.25">
      <c r="A1823" s="189"/>
      <c r="B1823" s="17" t="s">
        <v>245</v>
      </c>
      <c r="C1823" s="18">
        <v>0</v>
      </c>
    </row>
    <row r="1824" spans="1:3" ht="15" hidden="1" x14ac:dyDescent="0.25">
      <c r="A1824" s="189"/>
      <c r="B1824" s="17" t="s">
        <v>249</v>
      </c>
      <c r="C1824" s="18">
        <v>0</v>
      </c>
    </row>
    <row r="1825" spans="1:3" ht="15" hidden="1" x14ac:dyDescent="0.25">
      <c r="A1825" s="190"/>
      <c r="B1825" s="17" t="s">
        <v>264</v>
      </c>
      <c r="C1825" s="18">
        <v>0</v>
      </c>
    </row>
    <row r="1826" spans="1:3" ht="15" hidden="1" x14ac:dyDescent="0.25">
      <c r="A1826" s="190">
        <v>6897</v>
      </c>
      <c r="B1826" s="17">
        <v>0</v>
      </c>
      <c r="C1826" s="18">
        <v>0</v>
      </c>
    </row>
    <row r="1827" spans="1:3" ht="15" hidden="1" x14ac:dyDescent="0.25">
      <c r="A1827" s="190">
        <v>6900</v>
      </c>
      <c r="B1827" s="17" t="s">
        <v>278</v>
      </c>
      <c r="C1827" s="18">
        <v>0</v>
      </c>
    </row>
    <row r="1828" spans="1:3" ht="15" hidden="1" x14ac:dyDescent="0.25">
      <c r="A1828" s="190">
        <v>6907</v>
      </c>
      <c r="B1828" s="17" t="s">
        <v>246</v>
      </c>
      <c r="C1828" s="18">
        <v>0</v>
      </c>
    </row>
    <row r="1829" spans="1:3" ht="15" hidden="1" x14ac:dyDescent="0.25">
      <c r="A1829" s="190"/>
      <c r="B1829" s="17" t="s">
        <v>248</v>
      </c>
      <c r="C1829" s="18">
        <v>0</v>
      </c>
    </row>
    <row r="1830" spans="1:3" ht="15" hidden="1" x14ac:dyDescent="0.25">
      <c r="A1830" s="190">
        <v>6889</v>
      </c>
      <c r="B1830" s="17" t="s">
        <v>298</v>
      </c>
      <c r="C1830" s="18">
        <v>0</v>
      </c>
    </row>
    <row r="1831" spans="1:3" ht="15" hidden="1" x14ac:dyDescent="0.25">
      <c r="A1831" s="189">
        <v>6909</v>
      </c>
      <c r="B1831" s="17" t="s">
        <v>257</v>
      </c>
      <c r="C1831" s="18">
        <v>0</v>
      </c>
    </row>
    <row r="1832" spans="1:3" ht="15" hidden="1" x14ac:dyDescent="0.25">
      <c r="A1832" s="189"/>
      <c r="B1832" s="17" t="s">
        <v>300</v>
      </c>
      <c r="C1832" s="18">
        <v>0</v>
      </c>
    </row>
    <row r="1833" spans="1:3" ht="15" hidden="1" x14ac:dyDescent="0.25">
      <c r="A1833" s="189"/>
      <c r="B1833" s="17" t="s">
        <v>288</v>
      </c>
      <c r="C1833" s="18">
        <v>0</v>
      </c>
    </row>
    <row r="1834" spans="1:3" ht="15" hidden="1" x14ac:dyDescent="0.25">
      <c r="A1834" s="189"/>
      <c r="B1834" s="17" t="s">
        <v>245</v>
      </c>
      <c r="C1834" s="18">
        <v>0</v>
      </c>
    </row>
    <row r="1835" spans="1:3" ht="15" hidden="1" x14ac:dyDescent="0.25">
      <c r="A1835" s="190"/>
      <c r="B1835" s="17" t="s">
        <v>249</v>
      </c>
      <c r="C1835" s="18">
        <v>0</v>
      </c>
    </row>
    <row r="1836" spans="1:3" ht="15" hidden="1" x14ac:dyDescent="0.25">
      <c r="A1836" s="190"/>
      <c r="B1836" s="17" t="s">
        <v>272</v>
      </c>
      <c r="C1836" s="18">
        <v>0</v>
      </c>
    </row>
    <row r="1837" spans="1:3" ht="15" hidden="1" x14ac:dyDescent="0.25">
      <c r="A1837" s="190"/>
      <c r="B1837" s="17" t="s">
        <v>264</v>
      </c>
      <c r="C1837" s="18">
        <v>0</v>
      </c>
    </row>
    <row r="1838" spans="1:3" ht="15" hidden="1" x14ac:dyDescent="0.25">
      <c r="A1838" s="189"/>
      <c r="B1838" s="17" t="s">
        <v>319</v>
      </c>
      <c r="C1838" s="18">
        <v>0</v>
      </c>
    </row>
    <row r="1839" spans="1:3" ht="15" hidden="1" x14ac:dyDescent="0.25">
      <c r="A1839" s="190"/>
      <c r="B1839" s="17" t="s">
        <v>318</v>
      </c>
      <c r="C1839" s="18">
        <v>0</v>
      </c>
    </row>
    <row r="1840" spans="1:3" ht="15" hidden="1" x14ac:dyDescent="0.25">
      <c r="A1840" s="190">
        <v>6916</v>
      </c>
      <c r="B1840" s="17" t="s">
        <v>245</v>
      </c>
      <c r="C1840" s="18">
        <v>0</v>
      </c>
    </row>
    <row r="1841" spans="1:3" ht="15" hidden="1" x14ac:dyDescent="0.25">
      <c r="A1841" s="190">
        <v>6925</v>
      </c>
      <c r="B1841" s="17">
        <v>0</v>
      </c>
      <c r="C1841" s="18">
        <v>0</v>
      </c>
    </row>
    <row r="1842" spans="1:3" ht="15" hidden="1" x14ac:dyDescent="0.25">
      <c r="A1842" s="190"/>
      <c r="B1842" s="17" t="s">
        <v>279</v>
      </c>
      <c r="C1842" s="18">
        <v>0</v>
      </c>
    </row>
    <row r="1843" spans="1:3" ht="15" hidden="1" x14ac:dyDescent="0.25">
      <c r="A1843" s="190"/>
      <c r="B1843" s="17" t="s">
        <v>274</v>
      </c>
      <c r="C1843" s="18">
        <v>0</v>
      </c>
    </row>
    <row r="1844" spans="1:3" ht="15" hidden="1" x14ac:dyDescent="0.25">
      <c r="A1844" s="190"/>
      <c r="B1844" s="17" t="s">
        <v>260</v>
      </c>
      <c r="C1844" s="18">
        <v>0</v>
      </c>
    </row>
    <row r="1845" spans="1:3" ht="15" hidden="1" x14ac:dyDescent="0.25">
      <c r="A1845" s="190"/>
      <c r="B1845" s="17" t="s">
        <v>285</v>
      </c>
      <c r="C1845" s="18">
        <v>0</v>
      </c>
    </row>
    <row r="1846" spans="1:3" ht="15" hidden="1" x14ac:dyDescent="0.25">
      <c r="A1846" s="190"/>
      <c r="B1846" s="17" t="s">
        <v>272</v>
      </c>
      <c r="C1846" s="18">
        <v>0</v>
      </c>
    </row>
    <row r="1847" spans="1:3" ht="15" hidden="1" x14ac:dyDescent="0.25">
      <c r="A1847" s="190"/>
      <c r="B1847" s="17" t="s">
        <v>318</v>
      </c>
      <c r="C1847" s="18">
        <v>0</v>
      </c>
    </row>
    <row r="1848" spans="1:3" ht="15" hidden="1" x14ac:dyDescent="0.25">
      <c r="A1848" s="190">
        <v>6929</v>
      </c>
      <c r="B1848" s="17" t="s">
        <v>257</v>
      </c>
      <c r="C1848" s="18">
        <v>0</v>
      </c>
    </row>
    <row r="1849" spans="1:3" ht="15" hidden="1" x14ac:dyDescent="0.25">
      <c r="A1849" s="190"/>
      <c r="B1849" s="17" t="s">
        <v>256</v>
      </c>
      <c r="C1849" s="18">
        <v>0</v>
      </c>
    </row>
    <row r="1850" spans="1:3" ht="15" hidden="1" x14ac:dyDescent="0.25">
      <c r="A1850" s="190"/>
      <c r="B1850" s="17" t="s">
        <v>311</v>
      </c>
      <c r="C1850" s="18">
        <v>0</v>
      </c>
    </row>
    <row r="1851" spans="1:3" ht="15" hidden="1" x14ac:dyDescent="0.25">
      <c r="A1851" s="190"/>
      <c r="B1851" s="17" t="s">
        <v>318</v>
      </c>
      <c r="C1851" s="18">
        <v>0</v>
      </c>
    </row>
    <row r="1852" spans="1:3" ht="15" hidden="1" x14ac:dyDescent="0.25">
      <c r="A1852" s="190">
        <v>6930</v>
      </c>
      <c r="B1852" s="17" t="s">
        <v>72</v>
      </c>
      <c r="C1852" s="18">
        <v>0</v>
      </c>
    </row>
    <row r="1853" spans="1:3" ht="15" hidden="1" x14ac:dyDescent="0.25">
      <c r="A1853" s="190">
        <v>6932</v>
      </c>
      <c r="B1853" s="17" t="s">
        <v>278</v>
      </c>
      <c r="C1853" s="18">
        <v>0</v>
      </c>
    </row>
    <row r="1854" spans="1:3" ht="15" hidden="1" x14ac:dyDescent="0.25">
      <c r="A1854" s="190"/>
      <c r="B1854" s="17" t="s">
        <v>258</v>
      </c>
      <c r="C1854" s="18">
        <v>0</v>
      </c>
    </row>
    <row r="1855" spans="1:3" ht="15" hidden="1" x14ac:dyDescent="0.25">
      <c r="A1855" s="190"/>
      <c r="B1855" s="17" t="s">
        <v>276</v>
      </c>
      <c r="C1855" s="18">
        <v>0</v>
      </c>
    </row>
    <row r="1856" spans="1:3" ht="15" hidden="1" x14ac:dyDescent="0.25">
      <c r="A1856" s="190"/>
      <c r="B1856" s="17" t="s">
        <v>318</v>
      </c>
      <c r="C1856" s="18">
        <v>0</v>
      </c>
    </row>
    <row r="1857" spans="1:3" ht="15" hidden="1" x14ac:dyDescent="0.25">
      <c r="A1857" s="190"/>
      <c r="B1857" s="17" t="s">
        <v>419</v>
      </c>
      <c r="C1857" s="18">
        <v>0</v>
      </c>
    </row>
    <row r="1858" spans="1:3" ht="15" x14ac:dyDescent="0.25">
      <c r="A1858" s="190">
        <v>6967</v>
      </c>
      <c r="B1858" s="17" t="s">
        <v>79</v>
      </c>
      <c r="C1858" s="18">
        <v>20</v>
      </c>
    </row>
    <row r="1859" spans="1:3" ht="15" hidden="1" x14ac:dyDescent="0.25">
      <c r="A1859" s="190">
        <v>6733</v>
      </c>
      <c r="B1859" s="17">
        <v>0</v>
      </c>
      <c r="C1859" s="18">
        <v>0</v>
      </c>
    </row>
    <row r="1860" spans="1:3" ht="15" hidden="1" x14ac:dyDescent="0.25">
      <c r="A1860" s="190"/>
      <c r="B1860" s="17" t="s">
        <v>258</v>
      </c>
      <c r="C1860" s="18">
        <v>0</v>
      </c>
    </row>
    <row r="1861" spans="1:3" ht="15" hidden="1" x14ac:dyDescent="0.25">
      <c r="A1861" s="190"/>
      <c r="B1861" s="17" t="s">
        <v>292</v>
      </c>
      <c r="C1861" s="18">
        <v>0</v>
      </c>
    </row>
    <row r="1862" spans="1:3" ht="15" hidden="1" x14ac:dyDescent="0.25">
      <c r="A1862" s="190"/>
      <c r="B1862" s="17" t="s">
        <v>72</v>
      </c>
      <c r="C1862" s="18">
        <v>0</v>
      </c>
    </row>
    <row r="1863" spans="1:3" ht="15" hidden="1" x14ac:dyDescent="0.25">
      <c r="A1863" s="190">
        <v>6941</v>
      </c>
      <c r="B1863" s="17" t="s">
        <v>72</v>
      </c>
      <c r="C1863" s="18">
        <v>0</v>
      </c>
    </row>
    <row r="1864" spans="1:3" ht="15" hidden="1" x14ac:dyDescent="0.25">
      <c r="A1864" s="189">
        <v>6950</v>
      </c>
      <c r="B1864" s="17">
        <v>0</v>
      </c>
      <c r="C1864" s="18">
        <v>0</v>
      </c>
    </row>
    <row r="1865" spans="1:3" ht="15" hidden="1" x14ac:dyDescent="0.25">
      <c r="A1865" s="191"/>
      <c r="B1865" s="17" t="s">
        <v>251</v>
      </c>
      <c r="C1865" s="18">
        <v>0</v>
      </c>
    </row>
    <row r="1866" spans="1:3" ht="15" hidden="1" x14ac:dyDescent="0.25">
      <c r="A1866" s="191"/>
      <c r="B1866" s="17" t="s">
        <v>269</v>
      </c>
      <c r="C1866" s="18">
        <v>0</v>
      </c>
    </row>
    <row r="1867" spans="1:3" ht="15" hidden="1" x14ac:dyDescent="0.25">
      <c r="A1867" s="191"/>
      <c r="B1867" s="17" t="s">
        <v>245</v>
      </c>
      <c r="C1867" s="18">
        <v>0</v>
      </c>
    </row>
    <row r="1868" spans="1:3" ht="15" hidden="1" x14ac:dyDescent="0.25">
      <c r="A1868" s="191"/>
      <c r="B1868" s="17" t="s">
        <v>249</v>
      </c>
      <c r="C1868" s="18">
        <v>0</v>
      </c>
    </row>
    <row r="1869" spans="1:3" ht="15" hidden="1" x14ac:dyDescent="0.25">
      <c r="A1869" s="191"/>
      <c r="B1869" s="17" t="s">
        <v>264</v>
      </c>
      <c r="C1869" s="18">
        <v>0</v>
      </c>
    </row>
    <row r="1870" spans="1:3" ht="15" hidden="1" x14ac:dyDescent="0.25">
      <c r="A1870" s="191"/>
      <c r="B1870" s="17" t="s">
        <v>319</v>
      </c>
      <c r="C1870" s="18">
        <v>0</v>
      </c>
    </row>
    <row r="1871" spans="1:3" ht="15" hidden="1" x14ac:dyDescent="0.25">
      <c r="A1871" s="191"/>
      <c r="B1871" s="17" t="s">
        <v>318</v>
      </c>
      <c r="C1871" s="18">
        <v>0</v>
      </c>
    </row>
    <row r="1872" spans="1:3" ht="15" hidden="1" x14ac:dyDescent="0.25">
      <c r="A1872" s="191"/>
      <c r="B1872" s="17" t="s">
        <v>80</v>
      </c>
      <c r="C1872" s="18">
        <v>0</v>
      </c>
    </row>
    <row r="1873" spans="1:3" ht="15" hidden="1" x14ac:dyDescent="0.25">
      <c r="A1873" s="59">
        <v>6951</v>
      </c>
      <c r="B1873" s="17">
        <v>0</v>
      </c>
      <c r="C1873" s="18">
        <v>0</v>
      </c>
    </row>
    <row r="1874" spans="1:3" ht="15" hidden="1" x14ac:dyDescent="0.25">
      <c r="A1874" s="189"/>
      <c r="B1874" s="17" t="s">
        <v>251</v>
      </c>
      <c r="C1874" s="18">
        <v>0</v>
      </c>
    </row>
    <row r="1875" spans="1:3" ht="15" hidden="1" x14ac:dyDescent="0.25">
      <c r="A1875" s="190"/>
      <c r="B1875" s="17" t="s">
        <v>256</v>
      </c>
      <c r="C1875" s="18">
        <v>0</v>
      </c>
    </row>
    <row r="1876" spans="1:3" ht="15" hidden="1" x14ac:dyDescent="0.25">
      <c r="A1876" s="190"/>
      <c r="B1876" s="17" t="s">
        <v>270</v>
      </c>
      <c r="C1876" s="18">
        <v>0</v>
      </c>
    </row>
    <row r="1877" spans="1:3" ht="15" hidden="1" x14ac:dyDescent="0.25">
      <c r="A1877" s="190"/>
      <c r="B1877" s="17" t="s">
        <v>245</v>
      </c>
      <c r="C1877" s="18">
        <v>0</v>
      </c>
    </row>
    <row r="1878" spans="1:3" ht="15" hidden="1" x14ac:dyDescent="0.25">
      <c r="A1878" s="190"/>
      <c r="B1878" s="17" t="s">
        <v>249</v>
      </c>
      <c r="C1878" s="18">
        <v>0</v>
      </c>
    </row>
    <row r="1879" spans="1:3" ht="15" hidden="1" x14ac:dyDescent="0.25">
      <c r="A1879" s="190"/>
      <c r="B1879" s="17" t="s">
        <v>264</v>
      </c>
      <c r="C1879" s="18">
        <v>0</v>
      </c>
    </row>
    <row r="1880" spans="1:3" ht="15" hidden="1" x14ac:dyDescent="0.25">
      <c r="A1880" s="190"/>
      <c r="B1880" s="17" t="s">
        <v>319</v>
      </c>
      <c r="C1880" s="18">
        <v>0</v>
      </c>
    </row>
    <row r="1881" spans="1:3" ht="15" hidden="1" x14ac:dyDescent="0.25">
      <c r="A1881" s="190"/>
      <c r="B1881" s="17" t="s">
        <v>318</v>
      </c>
      <c r="C1881" s="18">
        <v>0</v>
      </c>
    </row>
    <row r="1882" spans="1:3" ht="15" hidden="1" x14ac:dyDescent="0.25">
      <c r="A1882" s="189"/>
      <c r="B1882" s="17" t="s">
        <v>80</v>
      </c>
      <c r="C1882" s="18">
        <v>0</v>
      </c>
    </row>
    <row r="1883" spans="1:3" ht="15" x14ac:dyDescent="0.25">
      <c r="A1883" s="190">
        <v>6973</v>
      </c>
      <c r="B1883" s="17" t="s">
        <v>246</v>
      </c>
      <c r="C1883" s="18">
        <v>2</v>
      </c>
    </row>
    <row r="1884" spans="1:3" ht="15" hidden="1" x14ac:dyDescent="0.25">
      <c r="A1884" s="190">
        <v>6960</v>
      </c>
      <c r="B1884" s="17">
        <v>0</v>
      </c>
      <c r="C1884" s="18">
        <v>0</v>
      </c>
    </row>
    <row r="1885" spans="1:3" ht="15" hidden="1" x14ac:dyDescent="0.25">
      <c r="A1885" s="190"/>
      <c r="B1885" s="17" t="s">
        <v>269</v>
      </c>
      <c r="C1885" s="18">
        <v>0</v>
      </c>
    </row>
    <row r="1886" spans="1:3" ht="15" hidden="1" x14ac:dyDescent="0.25">
      <c r="A1886" s="190"/>
      <c r="B1886" s="17" t="s">
        <v>273</v>
      </c>
      <c r="C1886" s="18">
        <v>0</v>
      </c>
    </row>
    <row r="1887" spans="1:3" ht="15" hidden="1" x14ac:dyDescent="0.25">
      <c r="A1887" s="190"/>
      <c r="B1887" s="17" t="s">
        <v>260</v>
      </c>
      <c r="C1887" s="18">
        <v>0</v>
      </c>
    </row>
    <row r="1888" spans="1:3" ht="15" hidden="1" x14ac:dyDescent="0.25">
      <c r="A1888" s="190"/>
      <c r="B1888" s="17" t="s">
        <v>272</v>
      </c>
      <c r="C1888" s="18">
        <v>0</v>
      </c>
    </row>
    <row r="1889" spans="1:3" ht="15" x14ac:dyDescent="0.25">
      <c r="A1889" s="190">
        <v>6975</v>
      </c>
      <c r="B1889" s="17" t="s">
        <v>261</v>
      </c>
      <c r="C1889" s="18">
        <v>1</v>
      </c>
    </row>
    <row r="1890" spans="1:3" ht="15" hidden="1" x14ac:dyDescent="0.25">
      <c r="A1890" s="190">
        <v>6952</v>
      </c>
      <c r="B1890" s="17" t="s">
        <v>257</v>
      </c>
      <c r="C1890" s="18">
        <v>0</v>
      </c>
    </row>
    <row r="1891" spans="1:3" ht="15" hidden="1" x14ac:dyDescent="0.25">
      <c r="A1891" s="190"/>
      <c r="B1891" s="17" t="s">
        <v>258</v>
      </c>
      <c r="C1891" s="18">
        <v>0</v>
      </c>
    </row>
    <row r="1892" spans="1:3" ht="15" hidden="1" x14ac:dyDescent="0.25">
      <c r="A1892" s="189"/>
      <c r="B1892" s="17" t="s">
        <v>280</v>
      </c>
      <c r="C1892" s="18">
        <v>0</v>
      </c>
    </row>
    <row r="1893" spans="1:3" ht="15" hidden="1" x14ac:dyDescent="0.25">
      <c r="A1893" s="190"/>
      <c r="B1893" s="17" t="s">
        <v>266</v>
      </c>
      <c r="C1893" s="18">
        <v>0</v>
      </c>
    </row>
    <row r="1894" spans="1:3" ht="15" hidden="1" x14ac:dyDescent="0.25">
      <c r="A1894" s="190"/>
      <c r="B1894" s="17" t="s">
        <v>318</v>
      </c>
      <c r="C1894" s="18">
        <v>0</v>
      </c>
    </row>
    <row r="1895" spans="1:3" ht="15" hidden="1" x14ac:dyDescent="0.25">
      <c r="A1895" s="190"/>
      <c r="B1895" s="17" t="s">
        <v>261</v>
      </c>
      <c r="C1895" s="18">
        <v>0</v>
      </c>
    </row>
    <row r="1896" spans="1:3" ht="15" hidden="1" x14ac:dyDescent="0.25">
      <c r="A1896" s="190">
        <v>6983</v>
      </c>
      <c r="B1896" s="17" t="s">
        <v>430</v>
      </c>
      <c r="C1896" s="18">
        <v>0</v>
      </c>
    </row>
    <row r="1897" spans="1:3" ht="15" hidden="1" x14ac:dyDescent="0.25">
      <c r="A1897" s="190">
        <v>6979</v>
      </c>
      <c r="B1897" s="17">
        <v>0</v>
      </c>
      <c r="C1897" s="18">
        <v>0</v>
      </c>
    </row>
    <row r="1898" spans="1:3" ht="15" hidden="1" x14ac:dyDescent="0.25">
      <c r="A1898" s="190"/>
      <c r="B1898" s="17" t="s">
        <v>246</v>
      </c>
      <c r="C1898" s="18">
        <v>0</v>
      </c>
    </row>
    <row r="1899" spans="1:3" ht="15" hidden="1" x14ac:dyDescent="0.25">
      <c r="A1899" s="190"/>
      <c r="B1899" s="17" t="s">
        <v>247</v>
      </c>
      <c r="C1899" s="18">
        <v>0</v>
      </c>
    </row>
    <row r="1900" spans="1:3" ht="15" hidden="1" x14ac:dyDescent="0.25">
      <c r="A1900" s="190"/>
      <c r="B1900" s="17" t="s">
        <v>311</v>
      </c>
      <c r="C1900" s="18">
        <v>0</v>
      </c>
    </row>
    <row r="1901" spans="1:3" ht="15" hidden="1" x14ac:dyDescent="0.25">
      <c r="A1901" s="190"/>
      <c r="B1901" s="17" t="s">
        <v>245</v>
      </c>
      <c r="C1901" s="18">
        <v>0</v>
      </c>
    </row>
    <row r="1902" spans="1:3" ht="15" hidden="1" x14ac:dyDescent="0.25">
      <c r="A1902" s="190"/>
      <c r="B1902" s="17" t="s">
        <v>248</v>
      </c>
      <c r="C1902" s="18">
        <v>0</v>
      </c>
    </row>
    <row r="1903" spans="1:3" ht="15" hidden="1" x14ac:dyDescent="0.25">
      <c r="A1903" s="189"/>
      <c r="B1903" s="17" t="s">
        <v>249</v>
      </c>
      <c r="C1903" s="18">
        <v>0</v>
      </c>
    </row>
    <row r="1904" spans="1:3" ht="15" hidden="1" x14ac:dyDescent="0.25">
      <c r="A1904" s="191"/>
      <c r="B1904" s="17" t="s">
        <v>263</v>
      </c>
      <c r="C1904" s="18">
        <v>0</v>
      </c>
    </row>
    <row r="1905" spans="1:3" ht="15" hidden="1" x14ac:dyDescent="0.25">
      <c r="A1905" s="191"/>
      <c r="B1905" s="17" t="s">
        <v>254</v>
      </c>
      <c r="C1905" s="18">
        <v>0</v>
      </c>
    </row>
    <row r="1906" spans="1:3" ht="15" hidden="1" x14ac:dyDescent="0.25">
      <c r="A1906" s="191"/>
      <c r="B1906" s="17" t="s">
        <v>264</v>
      </c>
      <c r="C1906" s="18">
        <v>0</v>
      </c>
    </row>
    <row r="1907" spans="1:3" ht="15" hidden="1" x14ac:dyDescent="0.25">
      <c r="A1907" s="191"/>
      <c r="B1907" s="17" t="s">
        <v>319</v>
      </c>
      <c r="C1907" s="18">
        <v>0</v>
      </c>
    </row>
    <row r="1908" spans="1:3" ht="15" hidden="1" x14ac:dyDescent="0.25">
      <c r="A1908" s="191">
        <v>6993</v>
      </c>
      <c r="B1908" s="17" t="s">
        <v>318</v>
      </c>
      <c r="C1908" s="18">
        <v>0</v>
      </c>
    </row>
    <row r="1909" spans="1:3" ht="15" hidden="1" x14ac:dyDescent="0.25">
      <c r="A1909" s="191">
        <v>7010</v>
      </c>
      <c r="B1909" s="17" t="s">
        <v>248</v>
      </c>
      <c r="C1909" s="18">
        <v>0</v>
      </c>
    </row>
    <row r="1910" spans="1:3" ht="15" hidden="1" x14ac:dyDescent="0.25">
      <c r="A1910" s="191">
        <v>7015</v>
      </c>
      <c r="B1910" s="17" t="s">
        <v>274</v>
      </c>
      <c r="C1910" s="18">
        <v>0</v>
      </c>
    </row>
    <row r="1911" spans="1:3" ht="15" hidden="1" x14ac:dyDescent="0.25">
      <c r="A1911" s="191"/>
      <c r="B1911" s="17" t="s">
        <v>318</v>
      </c>
      <c r="C1911" s="18">
        <v>0</v>
      </c>
    </row>
    <row r="1912" spans="1:3" ht="15" hidden="1" x14ac:dyDescent="0.25">
      <c r="A1912" s="191">
        <v>6972</v>
      </c>
      <c r="B1912" s="17" t="s">
        <v>306</v>
      </c>
      <c r="C1912" s="18">
        <v>0</v>
      </c>
    </row>
    <row r="1913" spans="1:3" ht="15" hidden="1" x14ac:dyDescent="0.25">
      <c r="A1913" s="191"/>
      <c r="B1913" s="17" t="s">
        <v>72</v>
      </c>
      <c r="C1913" s="18">
        <v>0</v>
      </c>
    </row>
    <row r="1914" spans="1:3" ht="15" hidden="1" x14ac:dyDescent="0.25">
      <c r="A1914" s="59"/>
      <c r="B1914" s="17" t="s">
        <v>318</v>
      </c>
      <c r="C1914" s="18">
        <v>0</v>
      </c>
    </row>
    <row r="1915" spans="1:3" ht="15" hidden="1" x14ac:dyDescent="0.25">
      <c r="A1915" s="190">
        <v>7022</v>
      </c>
      <c r="B1915" s="17" t="s">
        <v>272</v>
      </c>
      <c r="C1915" s="18">
        <v>0</v>
      </c>
    </row>
    <row r="1916" spans="1:3" ht="15" hidden="1" x14ac:dyDescent="0.25">
      <c r="A1916" s="189">
        <v>7030</v>
      </c>
      <c r="B1916" s="17">
        <v>0</v>
      </c>
      <c r="C1916" s="18">
        <v>0</v>
      </c>
    </row>
    <row r="1917" spans="1:3" ht="15" hidden="1" x14ac:dyDescent="0.25">
      <c r="A1917" s="190"/>
      <c r="B1917" s="17" t="s">
        <v>251</v>
      </c>
      <c r="C1917" s="18">
        <v>0</v>
      </c>
    </row>
    <row r="1918" spans="1:3" ht="15" hidden="1" x14ac:dyDescent="0.25">
      <c r="A1918" s="190"/>
      <c r="B1918" s="17" t="s">
        <v>246</v>
      </c>
      <c r="C1918" s="18">
        <v>0</v>
      </c>
    </row>
    <row r="1919" spans="1:3" ht="15" hidden="1" x14ac:dyDescent="0.25">
      <c r="A1919" s="190"/>
      <c r="B1919" s="17" t="s">
        <v>269</v>
      </c>
      <c r="C1919" s="18">
        <v>0</v>
      </c>
    </row>
    <row r="1920" spans="1:3" ht="15" hidden="1" x14ac:dyDescent="0.25">
      <c r="A1920" s="190"/>
      <c r="B1920" s="17" t="s">
        <v>245</v>
      </c>
      <c r="C1920" s="18">
        <v>0</v>
      </c>
    </row>
    <row r="1921" spans="1:3" ht="15" hidden="1" x14ac:dyDescent="0.25">
      <c r="A1921" s="190"/>
      <c r="B1921" s="17" t="s">
        <v>249</v>
      </c>
      <c r="C1921" s="18">
        <v>0</v>
      </c>
    </row>
    <row r="1922" spans="1:3" ht="15" hidden="1" x14ac:dyDescent="0.25">
      <c r="A1922" s="190"/>
      <c r="B1922" s="17" t="s">
        <v>264</v>
      </c>
      <c r="C1922" s="18">
        <v>0</v>
      </c>
    </row>
    <row r="1923" spans="1:3" ht="15" hidden="1" x14ac:dyDescent="0.25">
      <c r="A1923" s="190"/>
      <c r="B1923" s="17" t="s">
        <v>319</v>
      </c>
      <c r="C1923" s="18">
        <v>0</v>
      </c>
    </row>
    <row r="1924" spans="1:3" ht="15" hidden="1" x14ac:dyDescent="0.25">
      <c r="A1924" s="190"/>
      <c r="B1924" s="17" t="s">
        <v>80</v>
      </c>
      <c r="C1924" s="18">
        <v>0</v>
      </c>
    </row>
    <row r="1925" spans="1:3" ht="15" hidden="1" x14ac:dyDescent="0.25">
      <c r="A1925" s="190"/>
      <c r="B1925" s="17" t="s">
        <v>79</v>
      </c>
      <c r="C1925" s="18">
        <v>0</v>
      </c>
    </row>
    <row r="1926" spans="1:3" ht="15" hidden="1" x14ac:dyDescent="0.25">
      <c r="A1926" s="189">
        <v>7034</v>
      </c>
      <c r="B1926" s="17" t="s">
        <v>304</v>
      </c>
      <c r="C1926" s="18">
        <v>0</v>
      </c>
    </row>
    <row r="1927" spans="1:3" ht="15" hidden="1" x14ac:dyDescent="0.25">
      <c r="A1927" s="190"/>
      <c r="B1927" s="17" t="s">
        <v>318</v>
      </c>
      <c r="C1927" s="18">
        <v>0</v>
      </c>
    </row>
    <row r="1928" spans="1:3" ht="15" hidden="1" x14ac:dyDescent="0.25">
      <c r="A1928" s="190">
        <v>7037</v>
      </c>
      <c r="B1928" s="17" t="s">
        <v>251</v>
      </c>
      <c r="C1928" s="18">
        <v>0</v>
      </c>
    </row>
    <row r="1929" spans="1:3" ht="15" hidden="1" x14ac:dyDescent="0.25">
      <c r="A1929" s="190"/>
      <c r="B1929" s="17" t="s">
        <v>291</v>
      </c>
      <c r="C1929" s="18">
        <v>0</v>
      </c>
    </row>
    <row r="1930" spans="1:3" ht="15" hidden="1" x14ac:dyDescent="0.25">
      <c r="A1930" s="190"/>
      <c r="B1930" s="17" t="s">
        <v>258</v>
      </c>
      <c r="C1930" s="18">
        <v>0</v>
      </c>
    </row>
    <row r="1931" spans="1:3" ht="15" hidden="1" x14ac:dyDescent="0.25">
      <c r="A1931" s="190"/>
      <c r="B1931" s="17" t="s">
        <v>256</v>
      </c>
      <c r="C1931" s="18">
        <v>0</v>
      </c>
    </row>
    <row r="1932" spans="1:3" ht="15" hidden="1" x14ac:dyDescent="0.25">
      <c r="A1932" s="190"/>
      <c r="B1932" s="17" t="s">
        <v>245</v>
      </c>
      <c r="C1932" s="18">
        <v>0</v>
      </c>
    </row>
    <row r="1933" spans="1:3" ht="15" hidden="1" x14ac:dyDescent="0.25">
      <c r="A1933" s="189"/>
      <c r="B1933" s="17" t="s">
        <v>249</v>
      </c>
      <c r="C1933" s="18">
        <v>0</v>
      </c>
    </row>
    <row r="1934" spans="1:3" ht="15" hidden="1" x14ac:dyDescent="0.25">
      <c r="A1934" s="190"/>
      <c r="B1934" s="17" t="s">
        <v>255</v>
      </c>
      <c r="C1934" s="18">
        <v>0</v>
      </c>
    </row>
    <row r="1935" spans="1:3" ht="15" hidden="1" x14ac:dyDescent="0.25">
      <c r="A1935" s="190"/>
      <c r="B1935" s="17" t="s">
        <v>264</v>
      </c>
      <c r="C1935" s="18">
        <v>0</v>
      </c>
    </row>
    <row r="1936" spans="1:3" ht="15" hidden="1" x14ac:dyDescent="0.25">
      <c r="A1936" s="190"/>
      <c r="B1936" s="17" t="s">
        <v>319</v>
      </c>
      <c r="C1936" s="18">
        <v>0</v>
      </c>
    </row>
    <row r="1937" spans="1:3" ht="15" hidden="1" x14ac:dyDescent="0.25">
      <c r="A1937" s="190"/>
      <c r="B1937" s="17" t="s">
        <v>318</v>
      </c>
      <c r="C1937" s="18">
        <v>0</v>
      </c>
    </row>
    <row r="1938" spans="1:3" ht="15" hidden="1" x14ac:dyDescent="0.25">
      <c r="A1938" s="190"/>
      <c r="B1938" s="17" t="s">
        <v>80</v>
      </c>
      <c r="C1938" s="18">
        <v>0</v>
      </c>
    </row>
    <row r="1939" spans="1:3" ht="15" hidden="1" x14ac:dyDescent="0.25">
      <c r="A1939" s="190"/>
      <c r="B1939" s="17" t="s">
        <v>79</v>
      </c>
      <c r="C1939" s="18">
        <v>0</v>
      </c>
    </row>
    <row r="1940" spans="1:3" ht="15" hidden="1" x14ac:dyDescent="0.25">
      <c r="A1940" s="189">
        <v>7092</v>
      </c>
      <c r="B1940" s="17" t="s">
        <v>307</v>
      </c>
      <c r="C1940" s="18">
        <v>0</v>
      </c>
    </row>
    <row r="1941" spans="1:3" ht="15" hidden="1" x14ac:dyDescent="0.25">
      <c r="A1941" s="190" t="s">
        <v>383</v>
      </c>
      <c r="B1941" s="17">
        <v>0</v>
      </c>
      <c r="C1941" s="18">
        <v>0</v>
      </c>
    </row>
    <row r="1942" spans="1:3" ht="15" hidden="1" x14ac:dyDescent="0.25">
      <c r="A1942" s="190"/>
      <c r="B1942" s="17" t="s">
        <v>257</v>
      </c>
      <c r="C1942" s="18">
        <v>0</v>
      </c>
    </row>
    <row r="1943" spans="1:3" ht="15" hidden="1" x14ac:dyDescent="0.25">
      <c r="A1943" s="190"/>
      <c r="B1943" s="17" t="s">
        <v>268</v>
      </c>
      <c r="C1943" s="18">
        <v>0</v>
      </c>
    </row>
    <row r="1944" spans="1:3" ht="15" hidden="1" x14ac:dyDescent="0.25">
      <c r="A1944" s="190"/>
      <c r="B1944" s="17" t="s">
        <v>270</v>
      </c>
      <c r="C1944" s="18">
        <v>0</v>
      </c>
    </row>
    <row r="1945" spans="1:3" ht="15" hidden="1" x14ac:dyDescent="0.25">
      <c r="A1945" s="190"/>
      <c r="B1945" s="17" t="s">
        <v>280</v>
      </c>
      <c r="C1945" s="18">
        <v>0</v>
      </c>
    </row>
    <row r="1946" spans="1:3" ht="15" hidden="1" x14ac:dyDescent="0.25">
      <c r="A1946" s="190"/>
      <c r="B1946" s="17" t="s">
        <v>299</v>
      </c>
      <c r="C1946" s="18">
        <v>0</v>
      </c>
    </row>
    <row r="1947" spans="1:3" ht="15" hidden="1" x14ac:dyDescent="0.25">
      <c r="A1947" s="189"/>
      <c r="B1947" s="17" t="s">
        <v>274</v>
      </c>
      <c r="C1947" s="18">
        <v>0</v>
      </c>
    </row>
    <row r="1948" spans="1:3" ht="15" hidden="1" x14ac:dyDescent="0.25">
      <c r="A1948" s="190"/>
      <c r="B1948" s="17" t="s">
        <v>260</v>
      </c>
      <c r="C1948" s="18">
        <v>0</v>
      </c>
    </row>
    <row r="1949" spans="1:3" ht="15" hidden="1" x14ac:dyDescent="0.25">
      <c r="A1949" s="190"/>
      <c r="B1949" s="17" t="s">
        <v>72</v>
      </c>
      <c r="C1949" s="18">
        <v>0</v>
      </c>
    </row>
    <row r="1950" spans="1:3" ht="15" hidden="1" x14ac:dyDescent="0.25">
      <c r="A1950" s="190"/>
      <c r="B1950" s="17" t="s">
        <v>255</v>
      </c>
      <c r="C1950" s="18">
        <v>0</v>
      </c>
    </row>
    <row r="1951" spans="1:3" ht="15" hidden="1" x14ac:dyDescent="0.25">
      <c r="A1951" s="190"/>
      <c r="B1951" s="17" t="s">
        <v>430</v>
      </c>
      <c r="C1951" s="18">
        <v>0</v>
      </c>
    </row>
    <row r="1952" spans="1:3" ht="15" hidden="1" x14ac:dyDescent="0.25">
      <c r="A1952" s="190"/>
      <c r="B1952" s="17" t="s">
        <v>79</v>
      </c>
      <c r="C1952" s="18">
        <v>0</v>
      </c>
    </row>
    <row r="1953" spans="1:3" ht="15" hidden="1" x14ac:dyDescent="0.25">
      <c r="A1953" s="190"/>
      <c r="B1953" s="17" t="s">
        <v>457</v>
      </c>
      <c r="C1953" s="18">
        <v>0</v>
      </c>
    </row>
    <row r="1954" spans="1:3" ht="15" hidden="1" x14ac:dyDescent="0.25">
      <c r="A1954" s="190">
        <v>7051</v>
      </c>
      <c r="B1954" s="17" t="s">
        <v>318</v>
      </c>
      <c r="C1954" s="18">
        <v>0</v>
      </c>
    </row>
    <row r="1955" spans="1:3" ht="15" hidden="1" x14ac:dyDescent="0.25">
      <c r="A1955" s="190"/>
      <c r="B1955" s="17" t="s">
        <v>413</v>
      </c>
      <c r="C1955" s="18">
        <v>0</v>
      </c>
    </row>
    <row r="1956" spans="1:3" ht="15" hidden="1" x14ac:dyDescent="0.25">
      <c r="A1956" s="190"/>
      <c r="B1956" s="17" t="s">
        <v>79</v>
      </c>
      <c r="C1956" s="18">
        <v>0</v>
      </c>
    </row>
    <row r="1957" spans="1:3" ht="15" hidden="1" x14ac:dyDescent="0.25">
      <c r="A1957" s="190">
        <v>7055</v>
      </c>
      <c r="B1957" s="17" t="s">
        <v>260</v>
      </c>
      <c r="C1957" s="18">
        <v>0</v>
      </c>
    </row>
    <row r="1958" spans="1:3" ht="15" hidden="1" x14ac:dyDescent="0.25">
      <c r="A1958" s="189">
        <v>7053</v>
      </c>
      <c r="B1958" s="17" t="s">
        <v>79</v>
      </c>
      <c r="C1958" s="18">
        <v>0</v>
      </c>
    </row>
    <row r="1959" spans="1:3" ht="15" hidden="1" x14ac:dyDescent="0.25">
      <c r="A1959" s="190">
        <v>7062</v>
      </c>
      <c r="B1959" s="17" t="s">
        <v>269</v>
      </c>
      <c r="C1959" s="18">
        <v>0</v>
      </c>
    </row>
    <row r="1960" spans="1:3" ht="15" x14ac:dyDescent="0.25">
      <c r="A1960" s="190">
        <v>6773</v>
      </c>
      <c r="B1960" s="17">
        <v>0</v>
      </c>
      <c r="C1960" s="18">
        <v>87</v>
      </c>
    </row>
    <row r="1961" spans="1:3" ht="15" x14ac:dyDescent="0.25">
      <c r="A1961" s="190"/>
      <c r="B1961" s="17" t="s">
        <v>251</v>
      </c>
      <c r="C1961" s="18">
        <v>20</v>
      </c>
    </row>
    <row r="1962" spans="1:3" ht="15" x14ac:dyDescent="0.25">
      <c r="A1962" s="190"/>
      <c r="B1962" s="17" t="s">
        <v>289</v>
      </c>
      <c r="C1962" s="18">
        <v>10</v>
      </c>
    </row>
    <row r="1963" spans="1:3" ht="15" x14ac:dyDescent="0.25">
      <c r="A1963" s="190"/>
      <c r="B1963" s="17" t="s">
        <v>265</v>
      </c>
      <c r="C1963" s="18">
        <v>20</v>
      </c>
    </row>
    <row r="1964" spans="1:3" ht="15" x14ac:dyDescent="0.25">
      <c r="A1964" s="190"/>
      <c r="B1964" s="17" t="s">
        <v>258</v>
      </c>
      <c r="C1964" s="18">
        <v>13</v>
      </c>
    </row>
    <row r="1965" spans="1:3" ht="15" x14ac:dyDescent="0.25">
      <c r="A1965" s="190"/>
      <c r="B1965" s="17" t="s">
        <v>256</v>
      </c>
      <c r="C1965" s="18">
        <v>60.000000000000007</v>
      </c>
    </row>
    <row r="1966" spans="1:3" ht="15" x14ac:dyDescent="0.25">
      <c r="A1966" s="190"/>
      <c r="B1966" s="17" t="s">
        <v>311</v>
      </c>
      <c r="C1966" s="18">
        <v>176</v>
      </c>
    </row>
    <row r="1967" spans="1:3" ht="15" x14ac:dyDescent="0.25">
      <c r="A1967" s="189"/>
      <c r="B1967" s="17" t="s">
        <v>275</v>
      </c>
      <c r="C1967" s="18">
        <v>6.0000000000000009</v>
      </c>
    </row>
    <row r="1968" spans="1:3" ht="15" x14ac:dyDescent="0.25">
      <c r="A1968" s="190"/>
      <c r="B1968" s="17" t="s">
        <v>262</v>
      </c>
      <c r="C1968" s="18">
        <v>6.0000000000000009</v>
      </c>
    </row>
    <row r="1969" spans="1:3" ht="15" x14ac:dyDescent="0.25">
      <c r="A1969" s="189"/>
      <c r="B1969" s="17" t="s">
        <v>280</v>
      </c>
      <c r="C1969" s="18">
        <v>24</v>
      </c>
    </row>
    <row r="1970" spans="1:3" ht="15" x14ac:dyDescent="0.25">
      <c r="A1970" s="190"/>
      <c r="B1970" s="17" t="s">
        <v>276</v>
      </c>
      <c r="C1970" s="18">
        <v>24</v>
      </c>
    </row>
    <row r="1971" spans="1:3" ht="15" x14ac:dyDescent="0.25">
      <c r="A1971" s="190"/>
      <c r="B1971" s="17" t="s">
        <v>245</v>
      </c>
      <c r="C1971" s="18">
        <v>98</v>
      </c>
    </row>
    <row r="1972" spans="1:3" ht="15" x14ac:dyDescent="0.25">
      <c r="A1972" s="190"/>
      <c r="B1972" s="17" t="s">
        <v>296</v>
      </c>
      <c r="C1972" s="18">
        <v>4</v>
      </c>
    </row>
    <row r="1973" spans="1:3" ht="15" x14ac:dyDescent="0.25">
      <c r="A1973" s="190"/>
      <c r="B1973" s="17" t="s">
        <v>248</v>
      </c>
      <c r="C1973" s="18">
        <v>60</v>
      </c>
    </row>
    <row r="1974" spans="1:3" ht="15" x14ac:dyDescent="0.25">
      <c r="A1974" s="190"/>
      <c r="B1974" s="17" t="s">
        <v>249</v>
      </c>
      <c r="C1974" s="18">
        <v>320</v>
      </c>
    </row>
    <row r="1975" spans="1:3" ht="15" x14ac:dyDescent="0.25">
      <c r="A1975" s="190"/>
      <c r="B1975" s="17" t="s">
        <v>263</v>
      </c>
      <c r="C1975" s="18">
        <v>12</v>
      </c>
    </row>
    <row r="1976" spans="1:3" ht="15" x14ac:dyDescent="0.25">
      <c r="A1976" s="190"/>
      <c r="B1976" s="17" t="s">
        <v>308</v>
      </c>
      <c r="C1976" s="18">
        <v>12</v>
      </c>
    </row>
    <row r="1977" spans="1:3" ht="15" x14ac:dyDescent="0.25">
      <c r="A1977" s="190"/>
      <c r="B1977" s="17" t="s">
        <v>282</v>
      </c>
      <c r="C1977" s="18">
        <v>36</v>
      </c>
    </row>
    <row r="1978" spans="1:3" ht="15" x14ac:dyDescent="0.25">
      <c r="A1978" s="190"/>
      <c r="B1978" s="17" t="s">
        <v>72</v>
      </c>
      <c r="C1978" s="18">
        <v>7.0000000000000009</v>
      </c>
    </row>
    <row r="1979" spans="1:3" ht="15" x14ac:dyDescent="0.25">
      <c r="A1979" s="190"/>
      <c r="B1979" s="17" t="s">
        <v>285</v>
      </c>
      <c r="C1979" s="18">
        <v>6</v>
      </c>
    </row>
    <row r="1980" spans="1:3" ht="15" x14ac:dyDescent="0.25">
      <c r="A1980" s="190"/>
      <c r="B1980" s="17" t="s">
        <v>272</v>
      </c>
      <c r="C1980" s="18">
        <v>14</v>
      </c>
    </row>
    <row r="1981" spans="1:3" ht="15" x14ac:dyDescent="0.25">
      <c r="A1981" s="190"/>
      <c r="B1981" s="17" t="s">
        <v>253</v>
      </c>
      <c r="C1981" s="18">
        <v>35</v>
      </c>
    </row>
    <row r="1982" spans="1:3" ht="15" x14ac:dyDescent="0.25">
      <c r="A1982" s="190"/>
      <c r="B1982" s="17" t="s">
        <v>264</v>
      </c>
      <c r="C1982" s="18">
        <v>324</v>
      </c>
    </row>
    <row r="1983" spans="1:3" ht="15" x14ac:dyDescent="0.25">
      <c r="A1983" s="189"/>
      <c r="B1983" s="17" t="s">
        <v>307</v>
      </c>
      <c r="C1983" s="18">
        <v>6</v>
      </c>
    </row>
    <row r="1984" spans="1:3" ht="15" x14ac:dyDescent="0.25">
      <c r="A1984" s="191"/>
      <c r="B1984" s="17" t="s">
        <v>319</v>
      </c>
      <c r="C1984" s="18">
        <v>48</v>
      </c>
    </row>
    <row r="1985" spans="1:3" ht="15" x14ac:dyDescent="0.25">
      <c r="A1985" s="191"/>
      <c r="B1985" s="17" t="s">
        <v>323</v>
      </c>
      <c r="C1985" s="18">
        <v>3</v>
      </c>
    </row>
    <row r="1986" spans="1:3" ht="15" x14ac:dyDescent="0.25">
      <c r="A1986" s="191"/>
      <c r="B1986" s="17" t="s">
        <v>324</v>
      </c>
      <c r="C1986" s="18">
        <v>8</v>
      </c>
    </row>
    <row r="1987" spans="1:3" ht="15" x14ac:dyDescent="0.25">
      <c r="A1987" s="191"/>
      <c r="B1987" s="17" t="s">
        <v>318</v>
      </c>
      <c r="C1987" s="18">
        <v>120</v>
      </c>
    </row>
    <row r="1988" spans="1:3" ht="15" x14ac:dyDescent="0.25">
      <c r="A1988" s="191"/>
      <c r="B1988" s="17" t="s">
        <v>328</v>
      </c>
      <c r="C1988" s="18">
        <v>8</v>
      </c>
    </row>
    <row r="1989" spans="1:3" ht="15" x14ac:dyDescent="0.25">
      <c r="A1989" s="191"/>
      <c r="B1989" s="17" t="s">
        <v>73</v>
      </c>
      <c r="C1989" s="18">
        <v>34</v>
      </c>
    </row>
    <row r="1990" spans="1:3" ht="15" x14ac:dyDescent="0.25">
      <c r="A1990" s="191"/>
      <c r="B1990" s="17" t="s">
        <v>344</v>
      </c>
      <c r="C1990" s="18">
        <v>11</v>
      </c>
    </row>
    <row r="1991" spans="1:3" ht="15" x14ac:dyDescent="0.25">
      <c r="A1991" s="191"/>
      <c r="B1991" s="17" t="s">
        <v>261</v>
      </c>
      <c r="C1991" s="18">
        <v>5</v>
      </c>
    </row>
    <row r="1992" spans="1:3" ht="15" x14ac:dyDescent="0.25">
      <c r="A1992" s="191"/>
      <c r="B1992" s="17" t="s">
        <v>419</v>
      </c>
      <c r="C1992" s="18">
        <v>20</v>
      </c>
    </row>
    <row r="1993" spans="1:3" ht="15" hidden="1" x14ac:dyDescent="0.25">
      <c r="A1993" s="191">
        <v>6649</v>
      </c>
      <c r="B1993" s="17">
        <v>0</v>
      </c>
      <c r="C1993" s="18">
        <v>0</v>
      </c>
    </row>
    <row r="1994" spans="1:3" ht="15" hidden="1" x14ac:dyDescent="0.25">
      <c r="A1994" s="191"/>
      <c r="B1994" s="17" t="s">
        <v>257</v>
      </c>
      <c r="C1994" s="18">
        <v>0</v>
      </c>
    </row>
    <row r="1995" spans="1:3" ht="15" hidden="1" x14ac:dyDescent="0.25">
      <c r="A1995" s="191"/>
      <c r="B1995" s="17" t="s">
        <v>278</v>
      </c>
      <c r="C1995" s="18">
        <v>0</v>
      </c>
    </row>
    <row r="1996" spans="1:3" ht="15" hidden="1" x14ac:dyDescent="0.25">
      <c r="A1996" s="191"/>
      <c r="B1996" s="17" t="s">
        <v>289</v>
      </c>
      <c r="C1996" s="18">
        <v>0</v>
      </c>
    </row>
    <row r="1997" spans="1:3" ht="15" hidden="1" x14ac:dyDescent="0.25">
      <c r="A1997" s="191"/>
      <c r="B1997" s="17" t="s">
        <v>265</v>
      </c>
      <c r="C1997" s="18">
        <v>0</v>
      </c>
    </row>
    <row r="1998" spans="1:3" ht="15" hidden="1" x14ac:dyDescent="0.25">
      <c r="A1998" s="191"/>
      <c r="B1998" s="17" t="s">
        <v>279</v>
      </c>
      <c r="C1998" s="18">
        <v>0</v>
      </c>
    </row>
    <row r="1999" spans="1:3" ht="15" hidden="1" x14ac:dyDescent="0.25">
      <c r="A1999" s="191"/>
      <c r="B1999" s="17" t="s">
        <v>250</v>
      </c>
      <c r="C1999" s="18">
        <v>0</v>
      </c>
    </row>
    <row r="2000" spans="1:3" ht="15" hidden="1" x14ac:dyDescent="0.25">
      <c r="A2000" s="191"/>
      <c r="B2000" s="17" t="s">
        <v>258</v>
      </c>
      <c r="C2000" s="18">
        <v>0</v>
      </c>
    </row>
    <row r="2001" spans="1:3" ht="15" hidden="1" x14ac:dyDescent="0.25">
      <c r="A2001" s="191"/>
      <c r="B2001" s="17" t="s">
        <v>311</v>
      </c>
      <c r="C2001" s="18">
        <v>0</v>
      </c>
    </row>
    <row r="2002" spans="1:3" ht="15" hidden="1" x14ac:dyDescent="0.25">
      <c r="A2002" s="191"/>
      <c r="B2002" s="17" t="s">
        <v>269</v>
      </c>
      <c r="C2002" s="18">
        <v>0</v>
      </c>
    </row>
    <row r="2003" spans="1:3" ht="15" hidden="1" x14ac:dyDescent="0.25">
      <c r="A2003" s="191"/>
      <c r="B2003" s="17" t="s">
        <v>283</v>
      </c>
      <c r="C2003" s="18">
        <v>0</v>
      </c>
    </row>
    <row r="2004" spans="1:3" ht="15" hidden="1" x14ac:dyDescent="0.25">
      <c r="A2004" s="191"/>
      <c r="B2004" s="17" t="s">
        <v>295</v>
      </c>
      <c r="C2004" s="18">
        <v>0</v>
      </c>
    </row>
    <row r="2005" spans="1:3" ht="15" hidden="1" x14ac:dyDescent="0.25">
      <c r="A2005" s="191"/>
      <c r="B2005" s="17" t="s">
        <v>262</v>
      </c>
      <c r="C2005" s="18">
        <v>0</v>
      </c>
    </row>
    <row r="2006" spans="1:3" ht="15" hidden="1" x14ac:dyDescent="0.25">
      <c r="A2006" s="191"/>
      <c r="B2006" s="17" t="s">
        <v>276</v>
      </c>
      <c r="C2006" s="18">
        <v>0</v>
      </c>
    </row>
    <row r="2007" spans="1:3" ht="15" hidden="1" x14ac:dyDescent="0.25">
      <c r="A2007" s="191"/>
      <c r="B2007" s="17" t="s">
        <v>294</v>
      </c>
      <c r="C2007" s="18">
        <v>0</v>
      </c>
    </row>
    <row r="2008" spans="1:3" ht="15" hidden="1" x14ac:dyDescent="0.25">
      <c r="A2008" s="191"/>
      <c r="B2008" s="17" t="s">
        <v>245</v>
      </c>
      <c r="C2008" s="18">
        <v>0</v>
      </c>
    </row>
    <row r="2009" spans="1:3" ht="15" hidden="1" x14ac:dyDescent="0.25">
      <c r="A2009" s="191"/>
      <c r="B2009" s="17" t="s">
        <v>296</v>
      </c>
      <c r="C2009" s="18">
        <v>0</v>
      </c>
    </row>
    <row r="2010" spans="1:3" ht="15" hidden="1" x14ac:dyDescent="0.25">
      <c r="A2010" s="191"/>
      <c r="B2010" s="17" t="s">
        <v>248</v>
      </c>
      <c r="C2010" s="18">
        <v>0</v>
      </c>
    </row>
    <row r="2011" spans="1:3" ht="15" hidden="1" x14ac:dyDescent="0.25">
      <c r="A2011" s="191"/>
      <c r="B2011" s="17" t="s">
        <v>249</v>
      </c>
      <c r="C2011" s="18">
        <v>0</v>
      </c>
    </row>
    <row r="2012" spans="1:3" ht="15" hidden="1" x14ac:dyDescent="0.25">
      <c r="A2012" s="191"/>
      <c r="B2012" s="17" t="s">
        <v>263</v>
      </c>
      <c r="C2012" s="18">
        <v>0</v>
      </c>
    </row>
    <row r="2013" spans="1:3" ht="15" hidden="1" x14ac:dyDescent="0.25">
      <c r="A2013" s="191"/>
      <c r="B2013" s="17" t="s">
        <v>274</v>
      </c>
      <c r="C2013" s="18">
        <v>0</v>
      </c>
    </row>
    <row r="2014" spans="1:3" ht="15" hidden="1" x14ac:dyDescent="0.25">
      <c r="A2014" s="191"/>
      <c r="B2014" s="17" t="s">
        <v>281</v>
      </c>
      <c r="C2014" s="18">
        <v>0</v>
      </c>
    </row>
    <row r="2015" spans="1:3" ht="15" hidden="1" x14ac:dyDescent="0.25">
      <c r="A2015" s="191"/>
      <c r="B2015" s="17" t="s">
        <v>260</v>
      </c>
      <c r="C2015" s="18">
        <v>0</v>
      </c>
    </row>
    <row r="2016" spans="1:3" ht="15" hidden="1" x14ac:dyDescent="0.25">
      <c r="A2016" s="191"/>
      <c r="B2016" s="17" t="s">
        <v>293</v>
      </c>
      <c r="C2016" s="18">
        <v>0</v>
      </c>
    </row>
    <row r="2017" spans="1:3" ht="15" hidden="1" x14ac:dyDescent="0.25">
      <c r="A2017" s="59"/>
      <c r="B2017" s="17" t="s">
        <v>72</v>
      </c>
      <c r="C2017" s="18">
        <v>0</v>
      </c>
    </row>
    <row r="2018" spans="1:3" ht="15" hidden="1" x14ac:dyDescent="0.25">
      <c r="A2018" s="189"/>
      <c r="B2018" s="17" t="s">
        <v>253</v>
      </c>
      <c r="C2018" s="18">
        <v>0</v>
      </c>
    </row>
    <row r="2019" spans="1:3" ht="15" hidden="1" x14ac:dyDescent="0.25">
      <c r="A2019" s="189"/>
      <c r="B2019" s="17" t="s">
        <v>255</v>
      </c>
      <c r="C2019" s="18">
        <v>0</v>
      </c>
    </row>
    <row r="2020" spans="1:3" ht="15" hidden="1" x14ac:dyDescent="0.25">
      <c r="A2020" s="189"/>
      <c r="B2020" s="17" t="s">
        <v>264</v>
      </c>
      <c r="C2020" s="18">
        <v>0</v>
      </c>
    </row>
    <row r="2021" spans="1:3" ht="15" hidden="1" x14ac:dyDescent="0.25">
      <c r="A2021" s="190"/>
      <c r="B2021" s="17" t="s">
        <v>319</v>
      </c>
      <c r="C2021" s="18">
        <v>0</v>
      </c>
    </row>
    <row r="2022" spans="1:3" ht="15" hidden="1" x14ac:dyDescent="0.25">
      <c r="A2022" s="190"/>
      <c r="B2022" s="17" t="s">
        <v>318</v>
      </c>
      <c r="C2022" s="18">
        <v>0</v>
      </c>
    </row>
    <row r="2023" spans="1:3" ht="15" hidden="1" x14ac:dyDescent="0.25">
      <c r="A2023" s="189"/>
      <c r="B2023" s="17" t="s">
        <v>378</v>
      </c>
      <c r="C2023" s="18">
        <v>0</v>
      </c>
    </row>
    <row r="2024" spans="1:3" ht="15" hidden="1" x14ac:dyDescent="0.25">
      <c r="A2024" s="189"/>
      <c r="B2024" s="17" t="s">
        <v>419</v>
      </c>
      <c r="C2024" s="18">
        <v>0</v>
      </c>
    </row>
    <row r="2025" spans="1:3" ht="15" hidden="1" x14ac:dyDescent="0.25">
      <c r="A2025" s="190">
        <v>7021</v>
      </c>
      <c r="B2025" s="17">
        <v>0</v>
      </c>
      <c r="C2025" s="18">
        <v>0</v>
      </c>
    </row>
    <row r="2026" spans="1:3" ht="15" hidden="1" x14ac:dyDescent="0.25">
      <c r="A2026" s="190"/>
      <c r="B2026" s="17" t="s">
        <v>258</v>
      </c>
      <c r="C2026" s="18">
        <v>0</v>
      </c>
    </row>
    <row r="2027" spans="1:3" ht="15" hidden="1" x14ac:dyDescent="0.25">
      <c r="A2027" s="190"/>
      <c r="B2027" s="17" t="s">
        <v>298</v>
      </c>
      <c r="C2027" s="18">
        <v>0</v>
      </c>
    </row>
    <row r="2028" spans="1:3" ht="15" hidden="1" x14ac:dyDescent="0.25">
      <c r="A2028" s="189"/>
      <c r="B2028" s="17" t="s">
        <v>266</v>
      </c>
      <c r="C2028" s="18">
        <v>0</v>
      </c>
    </row>
    <row r="2029" spans="1:3" ht="15" hidden="1" x14ac:dyDescent="0.25">
      <c r="A2029" s="191"/>
      <c r="B2029" s="17" t="s">
        <v>318</v>
      </c>
      <c r="C2029" s="18">
        <v>0</v>
      </c>
    </row>
    <row r="2030" spans="1:3" ht="15" hidden="1" x14ac:dyDescent="0.25">
      <c r="A2030" s="189"/>
      <c r="B2030" s="17" t="s">
        <v>261</v>
      </c>
      <c r="C2030" s="18">
        <v>0</v>
      </c>
    </row>
    <row r="2031" spans="1:3" ht="15" hidden="1" x14ac:dyDescent="0.25">
      <c r="A2031" s="190"/>
      <c r="B2031" s="17" t="s">
        <v>391</v>
      </c>
      <c r="C2031" s="18">
        <v>0</v>
      </c>
    </row>
    <row r="2032" spans="1:3" ht="15" hidden="1" x14ac:dyDescent="0.25">
      <c r="A2032" s="190">
        <v>7088</v>
      </c>
      <c r="B2032" s="17" t="s">
        <v>391</v>
      </c>
      <c r="C2032" s="18">
        <v>0</v>
      </c>
    </row>
    <row r="2033" spans="1:3" ht="15" hidden="1" x14ac:dyDescent="0.25">
      <c r="A2033" s="190">
        <v>6997</v>
      </c>
      <c r="B2033" s="17" t="s">
        <v>318</v>
      </c>
      <c r="C2033" s="18">
        <v>0</v>
      </c>
    </row>
    <row r="2034" spans="1:3" ht="15" hidden="1" x14ac:dyDescent="0.25">
      <c r="A2034" s="190">
        <v>7049</v>
      </c>
      <c r="B2034" s="17" t="s">
        <v>260</v>
      </c>
      <c r="C2034" s="18">
        <v>0</v>
      </c>
    </row>
    <row r="2035" spans="1:3" ht="15" hidden="1" x14ac:dyDescent="0.25">
      <c r="A2035" s="190"/>
      <c r="B2035" s="17" t="s">
        <v>264</v>
      </c>
      <c r="C2035" s="18">
        <v>0</v>
      </c>
    </row>
    <row r="2036" spans="1:3" ht="15" hidden="1" x14ac:dyDescent="0.25">
      <c r="A2036" s="190">
        <v>7096</v>
      </c>
      <c r="B2036" s="17">
        <v>0</v>
      </c>
      <c r="C2036" s="18">
        <v>0</v>
      </c>
    </row>
    <row r="2037" spans="1:3" ht="15" hidden="1" x14ac:dyDescent="0.25">
      <c r="A2037" s="190"/>
      <c r="B2037" s="17" t="s">
        <v>80</v>
      </c>
      <c r="C2037" s="18">
        <v>0</v>
      </c>
    </row>
    <row r="2038" spans="1:3" ht="15" hidden="1" x14ac:dyDescent="0.25">
      <c r="A2038" s="190">
        <v>7136</v>
      </c>
      <c r="B2038" s="17" t="s">
        <v>72</v>
      </c>
      <c r="C2038" s="18">
        <v>0</v>
      </c>
    </row>
    <row r="2039" spans="1:3" ht="15" hidden="1" x14ac:dyDescent="0.25">
      <c r="A2039" s="190">
        <v>7117</v>
      </c>
      <c r="B2039" s="17">
        <v>0</v>
      </c>
      <c r="C2039" s="18">
        <v>0</v>
      </c>
    </row>
    <row r="2040" spans="1:3" ht="15" hidden="1" x14ac:dyDescent="0.25">
      <c r="A2040" s="190"/>
      <c r="B2040" s="17" t="s">
        <v>258</v>
      </c>
      <c r="C2040" s="18">
        <v>0</v>
      </c>
    </row>
    <row r="2041" spans="1:3" ht="15" hidden="1" x14ac:dyDescent="0.25">
      <c r="A2041" s="189"/>
      <c r="B2041" s="17" t="s">
        <v>256</v>
      </c>
      <c r="C2041" s="18">
        <v>0</v>
      </c>
    </row>
    <row r="2042" spans="1:3" ht="15" hidden="1" x14ac:dyDescent="0.25">
      <c r="A2042" s="189"/>
      <c r="B2042" s="17" t="s">
        <v>300</v>
      </c>
      <c r="C2042" s="18">
        <v>0</v>
      </c>
    </row>
    <row r="2043" spans="1:3" ht="15" hidden="1" x14ac:dyDescent="0.25">
      <c r="A2043" s="189"/>
      <c r="B2043" s="17" t="s">
        <v>245</v>
      </c>
      <c r="C2043" s="18">
        <v>0</v>
      </c>
    </row>
    <row r="2044" spans="1:3" ht="15" hidden="1" x14ac:dyDescent="0.25">
      <c r="A2044" s="189"/>
      <c r="B2044" s="17" t="s">
        <v>248</v>
      </c>
      <c r="C2044" s="18">
        <v>0</v>
      </c>
    </row>
    <row r="2045" spans="1:3" ht="15" hidden="1" x14ac:dyDescent="0.25">
      <c r="A2045" s="190"/>
      <c r="B2045" s="17" t="s">
        <v>249</v>
      </c>
      <c r="C2045" s="18">
        <v>0</v>
      </c>
    </row>
    <row r="2046" spans="1:3" ht="15" hidden="1" x14ac:dyDescent="0.25">
      <c r="A2046" s="190"/>
      <c r="B2046" s="17" t="s">
        <v>264</v>
      </c>
      <c r="C2046" s="18">
        <v>0</v>
      </c>
    </row>
    <row r="2047" spans="1:3" ht="15" hidden="1" x14ac:dyDescent="0.25">
      <c r="A2047" s="190"/>
      <c r="B2047" s="17" t="s">
        <v>319</v>
      </c>
      <c r="C2047" s="18">
        <v>0</v>
      </c>
    </row>
    <row r="2048" spans="1:3" ht="15" hidden="1" x14ac:dyDescent="0.25">
      <c r="A2048" s="190"/>
      <c r="B2048" s="17" t="s">
        <v>318</v>
      </c>
      <c r="C2048" s="18">
        <v>0</v>
      </c>
    </row>
    <row r="2049" spans="1:3" ht="15" hidden="1" x14ac:dyDescent="0.25">
      <c r="A2049" s="190"/>
      <c r="B2049" s="17" t="s">
        <v>80</v>
      </c>
      <c r="C2049" s="18">
        <v>0</v>
      </c>
    </row>
    <row r="2050" spans="1:3" ht="15" hidden="1" x14ac:dyDescent="0.25">
      <c r="A2050" s="189">
        <v>7110</v>
      </c>
      <c r="B2050" s="17" t="s">
        <v>247</v>
      </c>
      <c r="C2050" s="18">
        <v>0</v>
      </c>
    </row>
    <row r="2051" spans="1:3" ht="15" hidden="1" x14ac:dyDescent="0.25">
      <c r="A2051" s="189"/>
      <c r="B2051" s="17" t="s">
        <v>282</v>
      </c>
      <c r="C2051" s="18">
        <v>0</v>
      </c>
    </row>
    <row r="2052" spans="1:3" ht="15" x14ac:dyDescent="0.25">
      <c r="A2052" s="190">
        <v>7114</v>
      </c>
      <c r="B2052" s="17">
        <v>0</v>
      </c>
      <c r="C2052" s="18">
        <v>1408</v>
      </c>
    </row>
    <row r="2053" spans="1:3" ht="15" hidden="1" x14ac:dyDescent="0.25">
      <c r="A2053" s="189"/>
      <c r="B2053" s="17" t="s">
        <v>251</v>
      </c>
      <c r="C2053" s="18">
        <v>0</v>
      </c>
    </row>
    <row r="2054" spans="1:3" ht="15" hidden="1" x14ac:dyDescent="0.25">
      <c r="A2054" s="189"/>
      <c r="B2054" s="17" t="s">
        <v>265</v>
      </c>
      <c r="C2054" s="18">
        <v>0</v>
      </c>
    </row>
    <row r="2055" spans="1:3" ht="15" hidden="1" x14ac:dyDescent="0.25">
      <c r="A2055" s="190"/>
      <c r="B2055" s="17" t="s">
        <v>267</v>
      </c>
      <c r="C2055" s="18">
        <v>0</v>
      </c>
    </row>
    <row r="2056" spans="1:3" ht="15" hidden="1" x14ac:dyDescent="0.25">
      <c r="A2056" s="190"/>
      <c r="B2056" s="17" t="s">
        <v>247</v>
      </c>
      <c r="C2056" s="18">
        <v>0</v>
      </c>
    </row>
    <row r="2057" spans="1:3" ht="15" hidden="1" x14ac:dyDescent="0.25">
      <c r="A2057" s="190"/>
      <c r="B2057" s="17" t="s">
        <v>258</v>
      </c>
      <c r="C2057" s="18">
        <v>0</v>
      </c>
    </row>
    <row r="2058" spans="1:3" ht="15" hidden="1" x14ac:dyDescent="0.25">
      <c r="A2058" s="190"/>
      <c r="B2058" s="17" t="s">
        <v>256</v>
      </c>
      <c r="C2058" s="18">
        <v>0</v>
      </c>
    </row>
    <row r="2059" spans="1:3" ht="15" hidden="1" x14ac:dyDescent="0.25">
      <c r="A2059" s="190"/>
      <c r="B2059" s="17" t="s">
        <v>304</v>
      </c>
      <c r="C2059" s="18">
        <v>0</v>
      </c>
    </row>
    <row r="2060" spans="1:3" ht="15" hidden="1" x14ac:dyDescent="0.25">
      <c r="A2060" s="190"/>
      <c r="B2060" s="17" t="s">
        <v>269</v>
      </c>
      <c r="C2060" s="18">
        <v>0</v>
      </c>
    </row>
    <row r="2061" spans="1:3" ht="15" hidden="1" x14ac:dyDescent="0.25">
      <c r="A2061" s="190"/>
      <c r="B2061" s="17" t="s">
        <v>245</v>
      </c>
      <c r="C2061" s="18">
        <v>0</v>
      </c>
    </row>
    <row r="2062" spans="1:3" ht="15" hidden="1" x14ac:dyDescent="0.25">
      <c r="A2062" s="190"/>
      <c r="B2062" s="17" t="s">
        <v>248</v>
      </c>
      <c r="C2062" s="18">
        <v>0</v>
      </c>
    </row>
    <row r="2063" spans="1:3" ht="15" hidden="1" x14ac:dyDescent="0.25">
      <c r="A2063" s="190"/>
      <c r="B2063" s="17" t="s">
        <v>249</v>
      </c>
      <c r="C2063" s="18">
        <v>0</v>
      </c>
    </row>
    <row r="2064" spans="1:3" ht="15" hidden="1" x14ac:dyDescent="0.25">
      <c r="A2064" s="190"/>
      <c r="B2064" s="17" t="s">
        <v>273</v>
      </c>
      <c r="C2064" s="18">
        <v>0</v>
      </c>
    </row>
    <row r="2065" spans="1:3" ht="15" hidden="1" x14ac:dyDescent="0.25">
      <c r="A2065" s="189"/>
      <c r="B2065" s="17" t="s">
        <v>263</v>
      </c>
      <c r="C2065" s="18">
        <v>0</v>
      </c>
    </row>
    <row r="2066" spans="1:3" ht="15" hidden="1" x14ac:dyDescent="0.25">
      <c r="A2066" s="190"/>
      <c r="B2066" s="17" t="s">
        <v>274</v>
      </c>
      <c r="C2066" s="18">
        <v>0</v>
      </c>
    </row>
    <row r="2067" spans="1:3" ht="15" hidden="1" x14ac:dyDescent="0.25">
      <c r="A2067" s="190"/>
      <c r="B2067" s="17" t="s">
        <v>260</v>
      </c>
      <c r="C2067" s="18">
        <v>0</v>
      </c>
    </row>
    <row r="2068" spans="1:3" ht="15" hidden="1" x14ac:dyDescent="0.25">
      <c r="A2068" s="189"/>
      <c r="B2068" s="17" t="s">
        <v>272</v>
      </c>
      <c r="C2068" s="18">
        <v>0</v>
      </c>
    </row>
    <row r="2069" spans="1:3" ht="15" hidden="1" x14ac:dyDescent="0.25">
      <c r="A2069" s="190"/>
      <c r="B2069" s="17" t="s">
        <v>253</v>
      </c>
      <c r="C2069" s="18">
        <v>0</v>
      </c>
    </row>
    <row r="2070" spans="1:3" ht="15" hidden="1" x14ac:dyDescent="0.25">
      <c r="A2070" s="190"/>
      <c r="B2070" s="17" t="s">
        <v>255</v>
      </c>
      <c r="C2070" s="18">
        <v>0</v>
      </c>
    </row>
    <row r="2071" spans="1:3" ht="15" hidden="1" x14ac:dyDescent="0.25">
      <c r="A2071" s="189"/>
      <c r="B2071" s="17" t="s">
        <v>264</v>
      </c>
      <c r="C2071" s="18">
        <v>0</v>
      </c>
    </row>
    <row r="2072" spans="1:3" ht="15" hidden="1" x14ac:dyDescent="0.25">
      <c r="A2072" s="189"/>
      <c r="B2072" s="17" t="s">
        <v>307</v>
      </c>
      <c r="C2072" s="18">
        <v>0</v>
      </c>
    </row>
    <row r="2073" spans="1:3" ht="15" hidden="1" x14ac:dyDescent="0.25">
      <c r="A2073" s="190"/>
      <c r="B2073" s="17" t="s">
        <v>319</v>
      </c>
      <c r="C2073" s="18">
        <v>0</v>
      </c>
    </row>
    <row r="2074" spans="1:3" ht="15" hidden="1" x14ac:dyDescent="0.25">
      <c r="A2074" s="190"/>
      <c r="B2074" s="17" t="s">
        <v>318</v>
      </c>
      <c r="C2074" s="18">
        <v>0</v>
      </c>
    </row>
    <row r="2075" spans="1:3" ht="15" hidden="1" x14ac:dyDescent="0.25">
      <c r="A2075" s="190"/>
      <c r="B2075" s="17" t="s">
        <v>80</v>
      </c>
      <c r="C2075" s="18">
        <v>0</v>
      </c>
    </row>
    <row r="2076" spans="1:3" ht="15" hidden="1" x14ac:dyDescent="0.25">
      <c r="A2076" s="190"/>
      <c r="B2076" s="17" t="s">
        <v>328</v>
      </c>
      <c r="C2076" s="18">
        <v>0</v>
      </c>
    </row>
    <row r="2077" spans="1:3" ht="15" hidden="1" x14ac:dyDescent="0.25">
      <c r="A2077" s="190"/>
      <c r="B2077" s="17" t="s">
        <v>261</v>
      </c>
      <c r="C2077" s="18">
        <v>0</v>
      </c>
    </row>
    <row r="2078" spans="1:3" ht="15" hidden="1" x14ac:dyDescent="0.25">
      <c r="A2078" s="190"/>
      <c r="B2078" s="17" t="s">
        <v>442</v>
      </c>
      <c r="C2078" s="18">
        <v>0</v>
      </c>
    </row>
    <row r="2079" spans="1:3" ht="15" x14ac:dyDescent="0.25">
      <c r="A2079" s="190"/>
      <c r="B2079" s="17" t="s">
        <v>79</v>
      </c>
      <c r="C2079" s="18">
        <v>18</v>
      </c>
    </row>
    <row r="2080" spans="1:3" ht="15" hidden="1" x14ac:dyDescent="0.25">
      <c r="A2080" s="190">
        <v>7147</v>
      </c>
      <c r="B2080" s="17">
        <v>0</v>
      </c>
      <c r="C2080" s="18">
        <v>0</v>
      </c>
    </row>
    <row r="2081" spans="1:3" ht="15" hidden="1" x14ac:dyDescent="0.25">
      <c r="A2081" s="190">
        <v>7162</v>
      </c>
      <c r="B2081" s="17" t="s">
        <v>245</v>
      </c>
      <c r="C2081" s="18">
        <v>0</v>
      </c>
    </row>
    <row r="2082" spans="1:3" ht="15" hidden="1" x14ac:dyDescent="0.25">
      <c r="A2082" s="190"/>
      <c r="B2082" s="17" t="s">
        <v>319</v>
      </c>
      <c r="C2082" s="18">
        <v>0</v>
      </c>
    </row>
    <row r="2083" spans="1:3" ht="15" hidden="1" x14ac:dyDescent="0.25">
      <c r="A2083" s="190">
        <v>7167</v>
      </c>
      <c r="B2083" s="17">
        <v>0</v>
      </c>
      <c r="C2083" s="18">
        <v>0</v>
      </c>
    </row>
    <row r="2084" spans="1:3" ht="15" hidden="1" x14ac:dyDescent="0.25">
      <c r="A2084" s="190"/>
      <c r="B2084" s="17" t="s">
        <v>304</v>
      </c>
      <c r="C2084" s="18">
        <v>0</v>
      </c>
    </row>
    <row r="2085" spans="1:3" ht="15" hidden="1" x14ac:dyDescent="0.25">
      <c r="A2085" s="190"/>
      <c r="B2085" s="17" t="s">
        <v>318</v>
      </c>
      <c r="C2085" s="18">
        <v>0</v>
      </c>
    </row>
    <row r="2086" spans="1:3" ht="15" hidden="1" x14ac:dyDescent="0.25">
      <c r="A2086" s="190">
        <v>7170</v>
      </c>
      <c r="B2086" s="17">
        <v>0</v>
      </c>
      <c r="C2086" s="18">
        <v>0</v>
      </c>
    </row>
    <row r="2087" spans="1:3" ht="15" hidden="1" x14ac:dyDescent="0.25">
      <c r="A2087" s="190"/>
      <c r="B2087" s="17" t="s">
        <v>80</v>
      </c>
      <c r="C2087" s="18">
        <v>0</v>
      </c>
    </row>
    <row r="2088" spans="1:3" ht="15" hidden="1" x14ac:dyDescent="0.25">
      <c r="A2088" s="190">
        <v>7173</v>
      </c>
      <c r="B2088" s="17">
        <v>0</v>
      </c>
      <c r="C2088" s="18">
        <v>0</v>
      </c>
    </row>
    <row r="2089" spans="1:3" ht="15" hidden="1" x14ac:dyDescent="0.25">
      <c r="A2089" s="190"/>
      <c r="B2089" s="17" t="s">
        <v>291</v>
      </c>
      <c r="C2089" s="18">
        <v>0</v>
      </c>
    </row>
    <row r="2090" spans="1:3" ht="15" hidden="1" x14ac:dyDescent="0.25">
      <c r="A2090" s="190"/>
      <c r="B2090" s="17" t="s">
        <v>245</v>
      </c>
      <c r="C2090" s="18">
        <v>0</v>
      </c>
    </row>
    <row r="2091" spans="1:3" ht="15" hidden="1" x14ac:dyDescent="0.25">
      <c r="A2091" s="190"/>
      <c r="B2091" s="17" t="s">
        <v>248</v>
      </c>
      <c r="C2091" s="18">
        <v>0</v>
      </c>
    </row>
    <row r="2092" spans="1:3" ht="15" hidden="1" x14ac:dyDescent="0.25">
      <c r="A2092" s="190"/>
      <c r="B2092" s="17" t="s">
        <v>264</v>
      </c>
      <c r="C2092" s="18">
        <v>0</v>
      </c>
    </row>
    <row r="2093" spans="1:3" ht="15" hidden="1" x14ac:dyDescent="0.25">
      <c r="A2093" s="190"/>
      <c r="B2093" s="17" t="s">
        <v>319</v>
      </c>
      <c r="C2093" s="18">
        <v>0</v>
      </c>
    </row>
    <row r="2094" spans="1:3" ht="15" hidden="1" x14ac:dyDescent="0.25">
      <c r="A2094" s="190">
        <v>7176</v>
      </c>
      <c r="B2094" s="17">
        <v>0</v>
      </c>
      <c r="C2094" s="18">
        <v>0</v>
      </c>
    </row>
    <row r="2095" spans="1:3" ht="15" hidden="1" x14ac:dyDescent="0.25">
      <c r="A2095" s="190">
        <v>7186</v>
      </c>
      <c r="B2095" s="17">
        <v>0</v>
      </c>
      <c r="C2095" s="18">
        <v>0</v>
      </c>
    </row>
    <row r="2096" spans="1:3" ht="15" hidden="1" x14ac:dyDescent="0.25">
      <c r="A2096" s="190"/>
      <c r="B2096" s="17" t="s">
        <v>255</v>
      </c>
      <c r="C2096" s="18">
        <v>0</v>
      </c>
    </row>
    <row r="2097" spans="1:3" ht="15" hidden="1" x14ac:dyDescent="0.25">
      <c r="A2097" s="190"/>
      <c r="B2097" s="17" t="s">
        <v>307</v>
      </c>
      <c r="C2097" s="18">
        <v>0</v>
      </c>
    </row>
    <row r="2098" spans="1:3" ht="15" hidden="1" x14ac:dyDescent="0.25">
      <c r="A2098" s="190">
        <v>7195</v>
      </c>
      <c r="B2098" s="17">
        <v>0</v>
      </c>
      <c r="C2098" s="18">
        <v>0</v>
      </c>
    </row>
    <row r="2099" spans="1:3" ht="15" hidden="1" x14ac:dyDescent="0.25">
      <c r="A2099" s="190">
        <v>7202</v>
      </c>
      <c r="B2099" s="17">
        <v>0</v>
      </c>
      <c r="C2099" s="18">
        <v>0</v>
      </c>
    </row>
    <row r="2100" spans="1:3" ht="15" hidden="1" x14ac:dyDescent="0.25">
      <c r="A2100" s="189"/>
      <c r="B2100" s="17" t="s">
        <v>258</v>
      </c>
      <c r="C2100" s="18">
        <v>0</v>
      </c>
    </row>
    <row r="2101" spans="1:3" ht="15" hidden="1" x14ac:dyDescent="0.25">
      <c r="A2101" s="191"/>
      <c r="B2101" s="17" t="s">
        <v>256</v>
      </c>
      <c r="C2101" s="18">
        <v>0</v>
      </c>
    </row>
    <row r="2102" spans="1:3" ht="15" hidden="1" x14ac:dyDescent="0.25">
      <c r="A2102" s="191"/>
      <c r="B2102" s="17" t="s">
        <v>288</v>
      </c>
      <c r="C2102" s="18">
        <v>0</v>
      </c>
    </row>
    <row r="2103" spans="1:3" ht="15" hidden="1" x14ac:dyDescent="0.25">
      <c r="A2103" s="191"/>
      <c r="B2103" s="17" t="s">
        <v>245</v>
      </c>
      <c r="C2103" s="18">
        <v>0</v>
      </c>
    </row>
    <row r="2104" spans="1:3" ht="15" hidden="1" x14ac:dyDescent="0.25">
      <c r="A2104" s="191"/>
      <c r="B2104" s="17" t="s">
        <v>248</v>
      </c>
      <c r="C2104" s="18">
        <v>0</v>
      </c>
    </row>
    <row r="2105" spans="1:3" ht="15" hidden="1" x14ac:dyDescent="0.25">
      <c r="A2105" s="191"/>
      <c r="B2105" s="17" t="s">
        <v>249</v>
      </c>
      <c r="C2105" s="18">
        <v>0</v>
      </c>
    </row>
    <row r="2106" spans="1:3" ht="15" hidden="1" x14ac:dyDescent="0.25">
      <c r="A2106" s="191"/>
      <c r="B2106" s="17" t="s">
        <v>264</v>
      </c>
      <c r="C2106" s="18">
        <v>0</v>
      </c>
    </row>
    <row r="2107" spans="1:3" ht="15" hidden="1" x14ac:dyDescent="0.25">
      <c r="A2107" s="191"/>
      <c r="B2107" s="17" t="s">
        <v>319</v>
      </c>
      <c r="C2107" s="18">
        <v>0</v>
      </c>
    </row>
    <row r="2108" spans="1:3" ht="15" hidden="1" x14ac:dyDescent="0.25">
      <c r="A2108" s="191"/>
      <c r="B2108" s="17" t="s">
        <v>318</v>
      </c>
      <c r="C2108" s="18">
        <v>0</v>
      </c>
    </row>
    <row r="2109" spans="1:3" ht="15" hidden="1" x14ac:dyDescent="0.25">
      <c r="A2109" s="191"/>
      <c r="B2109" s="17" t="s">
        <v>80</v>
      </c>
      <c r="C2109" s="18">
        <v>0</v>
      </c>
    </row>
    <row r="2110" spans="1:3" ht="15" hidden="1" x14ac:dyDescent="0.25">
      <c r="A2110" s="191"/>
      <c r="B2110" s="17" t="s">
        <v>79</v>
      </c>
      <c r="C2110" s="18">
        <v>0</v>
      </c>
    </row>
    <row r="2111" spans="1:3" ht="15" hidden="1" x14ac:dyDescent="0.25">
      <c r="A2111" s="191">
        <v>7074</v>
      </c>
      <c r="B2111" s="17" t="s">
        <v>249</v>
      </c>
      <c r="C2111" s="18">
        <v>0</v>
      </c>
    </row>
    <row r="2112" spans="1:3" ht="15" hidden="1" x14ac:dyDescent="0.25">
      <c r="A2112" s="191"/>
      <c r="B2112" s="17" t="s">
        <v>263</v>
      </c>
      <c r="C2112" s="18">
        <v>0</v>
      </c>
    </row>
    <row r="2113" spans="1:3" ht="15" hidden="1" x14ac:dyDescent="0.25">
      <c r="A2113" s="191"/>
      <c r="B2113" s="17" t="s">
        <v>344</v>
      </c>
      <c r="C2113" s="18">
        <v>0</v>
      </c>
    </row>
    <row r="2114" spans="1:3" ht="15" hidden="1" x14ac:dyDescent="0.25">
      <c r="A2114" s="59" t="s">
        <v>446</v>
      </c>
      <c r="B2114" s="17">
        <v>0</v>
      </c>
      <c r="C2114" s="18">
        <v>0</v>
      </c>
    </row>
    <row r="2115" spans="1:3" ht="15" hidden="1" x14ac:dyDescent="0.25">
      <c r="A2115" s="190"/>
      <c r="B2115" s="17" t="s">
        <v>257</v>
      </c>
      <c r="C2115" s="18">
        <v>0</v>
      </c>
    </row>
    <row r="2116" spans="1:3" ht="15" hidden="1" x14ac:dyDescent="0.25">
      <c r="A2116" s="190"/>
      <c r="B2116" s="17" t="s">
        <v>278</v>
      </c>
      <c r="C2116" s="18">
        <v>0</v>
      </c>
    </row>
    <row r="2117" spans="1:3" ht="15" hidden="1" x14ac:dyDescent="0.25">
      <c r="A2117" s="190"/>
      <c r="B2117" s="17" t="s">
        <v>290</v>
      </c>
      <c r="C2117" s="18">
        <v>0</v>
      </c>
    </row>
    <row r="2118" spans="1:3" ht="15" hidden="1" x14ac:dyDescent="0.25">
      <c r="A2118" s="190"/>
      <c r="B2118" s="17" t="s">
        <v>287</v>
      </c>
      <c r="C2118" s="18">
        <v>0</v>
      </c>
    </row>
    <row r="2119" spans="1:3" ht="15" hidden="1" x14ac:dyDescent="0.25">
      <c r="A2119" s="190"/>
      <c r="B2119" s="17" t="s">
        <v>268</v>
      </c>
      <c r="C2119" s="18">
        <v>0</v>
      </c>
    </row>
    <row r="2120" spans="1:3" ht="15" hidden="1" x14ac:dyDescent="0.25">
      <c r="A2120" s="190"/>
      <c r="B2120" s="17" t="s">
        <v>269</v>
      </c>
      <c r="C2120" s="18">
        <v>0</v>
      </c>
    </row>
    <row r="2121" spans="1:3" ht="15" hidden="1" x14ac:dyDescent="0.25">
      <c r="A2121" s="190"/>
      <c r="B2121" s="17" t="s">
        <v>305</v>
      </c>
      <c r="C2121" s="18">
        <v>0</v>
      </c>
    </row>
    <row r="2122" spans="1:3" ht="15" hidden="1" x14ac:dyDescent="0.25">
      <c r="A2122" s="189"/>
      <c r="B2122" s="17" t="s">
        <v>270</v>
      </c>
      <c r="C2122" s="18">
        <v>0</v>
      </c>
    </row>
    <row r="2123" spans="1:3" ht="15" hidden="1" x14ac:dyDescent="0.25">
      <c r="A2123" s="190"/>
      <c r="B2123" s="17" t="s">
        <v>283</v>
      </c>
      <c r="C2123" s="18">
        <v>0</v>
      </c>
    </row>
    <row r="2124" spans="1:3" ht="15" hidden="1" x14ac:dyDescent="0.25">
      <c r="A2124" s="189"/>
      <c r="B2124" s="17" t="s">
        <v>271</v>
      </c>
      <c r="C2124" s="18">
        <v>0</v>
      </c>
    </row>
    <row r="2125" spans="1:3" ht="15" hidden="1" x14ac:dyDescent="0.25">
      <c r="A2125" s="190"/>
      <c r="B2125" s="17" t="s">
        <v>310</v>
      </c>
      <c r="C2125" s="18">
        <v>0</v>
      </c>
    </row>
    <row r="2126" spans="1:3" ht="15" x14ac:dyDescent="0.25">
      <c r="A2126" s="189"/>
      <c r="B2126" s="17" t="s">
        <v>262</v>
      </c>
      <c r="C2126" s="18">
        <v>125</v>
      </c>
    </row>
    <row r="2127" spans="1:3" ht="15" hidden="1" x14ac:dyDescent="0.25">
      <c r="A2127" s="189"/>
      <c r="B2127" s="17" t="s">
        <v>277</v>
      </c>
      <c r="C2127" s="18">
        <v>0</v>
      </c>
    </row>
    <row r="2128" spans="1:3" ht="15" hidden="1" x14ac:dyDescent="0.25">
      <c r="A2128" s="190"/>
      <c r="B2128" s="17" t="s">
        <v>259</v>
      </c>
      <c r="C2128" s="18">
        <v>0</v>
      </c>
    </row>
    <row r="2129" spans="1:3" ht="15" x14ac:dyDescent="0.25">
      <c r="A2129" s="190"/>
      <c r="B2129" s="17" t="s">
        <v>294</v>
      </c>
      <c r="C2129" s="18">
        <v>25</v>
      </c>
    </row>
    <row r="2130" spans="1:3" ht="15" x14ac:dyDescent="0.25">
      <c r="A2130" s="190"/>
      <c r="B2130" s="17" t="s">
        <v>300</v>
      </c>
      <c r="C2130" s="18">
        <v>21</v>
      </c>
    </row>
    <row r="2131" spans="1:3" ht="15" x14ac:dyDescent="0.25">
      <c r="A2131" s="190"/>
      <c r="B2131" s="17" t="s">
        <v>288</v>
      </c>
      <c r="C2131" s="18">
        <v>18</v>
      </c>
    </row>
    <row r="2132" spans="1:3" ht="15" hidden="1" x14ac:dyDescent="0.25">
      <c r="A2132" s="190"/>
      <c r="B2132" s="17" t="s">
        <v>301</v>
      </c>
      <c r="C2132" s="18">
        <v>0</v>
      </c>
    </row>
    <row r="2133" spans="1:3" ht="15" x14ac:dyDescent="0.25">
      <c r="A2133" s="190"/>
      <c r="B2133" s="17" t="s">
        <v>274</v>
      </c>
      <c r="C2133" s="18">
        <v>20</v>
      </c>
    </row>
    <row r="2134" spans="1:3" ht="15" hidden="1" x14ac:dyDescent="0.25">
      <c r="A2134" s="190"/>
      <c r="B2134" s="17" t="s">
        <v>281</v>
      </c>
      <c r="C2134" s="18">
        <v>0</v>
      </c>
    </row>
    <row r="2135" spans="1:3" ht="15" hidden="1" x14ac:dyDescent="0.25">
      <c r="A2135" s="189"/>
      <c r="B2135" s="17" t="s">
        <v>308</v>
      </c>
      <c r="C2135" s="18">
        <v>0</v>
      </c>
    </row>
    <row r="2136" spans="1:3" ht="15" hidden="1" x14ac:dyDescent="0.25">
      <c r="A2136" s="190"/>
      <c r="B2136" s="17" t="s">
        <v>282</v>
      </c>
      <c r="C2136" s="18">
        <v>0</v>
      </c>
    </row>
    <row r="2137" spans="1:3" ht="15" hidden="1" x14ac:dyDescent="0.25">
      <c r="A2137" s="190"/>
      <c r="B2137" s="17" t="s">
        <v>260</v>
      </c>
      <c r="C2137" s="18">
        <v>0</v>
      </c>
    </row>
    <row r="2138" spans="1:3" ht="15" hidden="1" x14ac:dyDescent="0.25">
      <c r="A2138" s="189"/>
      <c r="B2138" s="17" t="s">
        <v>293</v>
      </c>
      <c r="C2138" s="18">
        <v>0</v>
      </c>
    </row>
    <row r="2139" spans="1:3" ht="15" hidden="1" x14ac:dyDescent="0.25">
      <c r="A2139" s="190"/>
      <c r="B2139" s="17" t="s">
        <v>72</v>
      </c>
      <c r="C2139" s="18">
        <v>0</v>
      </c>
    </row>
    <row r="2140" spans="1:3" ht="15" hidden="1" x14ac:dyDescent="0.25">
      <c r="A2140" s="190"/>
      <c r="B2140" s="17" t="s">
        <v>255</v>
      </c>
      <c r="C2140" s="18">
        <v>0</v>
      </c>
    </row>
    <row r="2141" spans="1:3" ht="15" hidden="1" x14ac:dyDescent="0.25">
      <c r="A2141" s="190"/>
      <c r="B2141" s="17" t="s">
        <v>307</v>
      </c>
      <c r="C2141" s="18">
        <v>0</v>
      </c>
    </row>
    <row r="2142" spans="1:3" ht="15" hidden="1" x14ac:dyDescent="0.25">
      <c r="A2142" s="190"/>
      <c r="B2142" s="17" t="s">
        <v>309</v>
      </c>
      <c r="C2142" s="18">
        <v>0</v>
      </c>
    </row>
    <row r="2143" spans="1:3" ht="15" x14ac:dyDescent="0.25">
      <c r="A2143" s="190"/>
      <c r="B2143" s="17" t="s">
        <v>320</v>
      </c>
      <c r="C2143" s="18">
        <v>5</v>
      </c>
    </row>
    <row r="2144" spans="1:3" ht="15" x14ac:dyDescent="0.25">
      <c r="A2144" s="190"/>
      <c r="B2144" s="17" t="s">
        <v>344</v>
      </c>
      <c r="C2144" s="18">
        <v>35</v>
      </c>
    </row>
    <row r="2145" spans="1:3" ht="15" x14ac:dyDescent="0.25">
      <c r="A2145" s="190"/>
      <c r="B2145" s="17" t="s">
        <v>361</v>
      </c>
      <c r="C2145" s="18">
        <v>25</v>
      </c>
    </row>
    <row r="2146" spans="1:3" ht="15" hidden="1" x14ac:dyDescent="0.25">
      <c r="A2146" s="190"/>
      <c r="B2146" s="17" t="s">
        <v>419</v>
      </c>
      <c r="C2146" s="18">
        <v>0</v>
      </c>
    </row>
    <row r="2147" spans="1:3" ht="15" hidden="1" x14ac:dyDescent="0.25">
      <c r="A2147" s="190" t="s">
        <v>443</v>
      </c>
      <c r="B2147" s="17">
        <v>0</v>
      </c>
      <c r="C2147" s="18">
        <v>0</v>
      </c>
    </row>
    <row r="2148" spans="1:3" ht="15" hidden="1" x14ac:dyDescent="0.25">
      <c r="A2148" s="190"/>
      <c r="B2148" s="17" t="s">
        <v>246</v>
      </c>
      <c r="C2148" s="18">
        <v>0</v>
      </c>
    </row>
    <row r="2149" spans="1:3" ht="15" hidden="1" x14ac:dyDescent="0.25">
      <c r="A2149" s="190"/>
      <c r="B2149" s="17" t="s">
        <v>291</v>
      </c>
      <c r="C2149" s="18">
        <v>0</v>
      </c>
    </row>
    <row r="2150" spans="1:3" ht="15" hidden="1" x14ac:dyDescent="0.25">
      <c r="A2150" s="190"/>
      <c r="B2150" s="17" t="s">
        <v>311</v>
      </c>
      <c r="C2150" s="18">
        <v>0</v>
      </c>
    </row>
    <row r="2151" spans="1:3" ht="15" hidden="1" x14ac:dyDescent="0.25">
      <c r="A2151" s="189"/>
      <c r="B2151" s="17" t="s">
        <v>245</v>
      </c>
      <c r="C2151" s="18">
        <v>0</v>
      </c>
    </row>
    <row r="2152" spans="1:3" ht="15" hidden="1" x14ac:dyDescent="0.25">
      <c r="A2152" s="190"/>
      <c r="B2152" s="17" t="s">
        <v>248</v>
      </c>
      <c r="C2152" s="18">
        <v>0</v>
      </c>
    </row>
    <row r="2153" spans="1:3" ht="15" hidden="1" x14ac:dyDescent="0.25">
      <c r="A2153" s="190"/>
      <c r="B2153" s="17" t="s">
        <v>249</v>
      </c>
      <c r="C2153" s="18">
        <v>0</v>
      </c>
    </row>
    <row r="2154" spans="1:3" ht="15" hidden="1" x14ac:dyDescent="0.25">
      <c r="A2154" s="190"/>
      <c r="B2154" s="17" t="s">
        <v>263</v>
      </c>
      <c r="C2154" s="18">
        <v>0</v>
      </c>
    </row>
    <row r="2155" spans="1:3" ht="15" hidden="1" x14ac:dyDescent="0.25">
      <c r="A2155" s="190"/>
      <c r="B2155" s="17" t="s">
        <v>264</v>
      </c>
      <c r="C2155" s="18">
        <v>0</v>
      </c>
    </row>
    <row r="2156" spans="1:3" ht="15" hidden="1" x14ac:dyDescent="0.25">
      <c r="A2156" s="190"/>
      <c r="B2156" s="17" t="s">
        <v>319</v>
      </c>
      <c r="C2156" s="18">
        <v>0</v>
      </c>
    </row>
    <row r="2157" spans="1:3" ht="15" hidden="1" x14ac:dyDescent="0.25">
      <c r="A2157" s="190"/>
      <c r="B2157" s="17" t="s">
        <v>320</v>
      </c>
      <c r="C2157" s="18">
        <v>0</v>
      </c>
    </row>
    <row r="2158" spans="1:3" ht="15" hidden="1" x14ac:dyDescent="0.25">
      <c r="A2158" s="190"/>
      <c r="B2158" s="17" t="s">
        <v>80</v>
      </c>
      <c r="C2158" s="18">
        <v>0</v>
      </c>
    </row>
    <row r="2159" spans="1:3" ht="15" hidden="1" x14ac:dyDescent="0.25">
      <c r="A2159" s="189"/>
      <c r="B2159" s="17" t="s">
        <v>328</v>
      </c>
      <c r="C2159" s="18">
        <v>0</v>
      </c>
    </row>
    <row r="2160" spans="1:3" ht="15" hidden="1" x14ac:dyDescent="0.25">
      <c r="A2160" s="190"/>
      <c r="B2160" s="17" t="s">
        <v>329</v>
      </c>
      <c r="C2160" s="18">
        <v>0</v>
      </c>
    </row>
    <row r="2161" spans="1:3" ht="15" hidden="1" x14ac:dyDescent="0.25">
      <c r="A2161" s="190"/>
      <c r="B2161" s="17" t="s">
        <v>419</v>
      </c>
      <c r="C2161" s="18">
        <v>0</v>
      </c>
    </row>
    <row r="2162" spans="1:3" ht="15" hidden="1" x14ac:dyDescent="0.25">
      <c r="A2162" s="190"/>
      <c r="B2162" s="17" t="s">
        <v>420</v>
      </c>
      <c r="C2162" s="18">
        <v>0</v>
      </c>
    </row>
    <row r="2163" spans="1:3" ht="15" hidden="1" x14ac:dyDescent="0.25">
      <c r="A2163" s="190"/>
      <c r="B2163" s="17" t="s">
        <v>79</v>
      </c>
      <c r="C2163" s="18">
        <v>0</v>
      </c>
    </row>
    <row r="2164" spans="1:3" ht="15" hidden="1" x14ac:dyDescent="0.25">
      <c r="A2164" s="190" t="s">
        <v>444</v>
      </c>
      <c r="B2164" s="17">
        <v>0</v>
      </c>
      <c r="C2164" s="18">
        <v>0</v>
      </c>
    </row>
    <row r="2165" spans="1:3" ht="15" hidden="1" x14ac:dyDescent="0.25">
      <c r="A2165" s="190"/>
      <c r="B2165" s="17" t="s">
        <v>251</v>
      </c>
      <c r="C2165" s="18">
        <v>0</v>
      </c>
    </row>
    <row r="2166" spans="1:3" ht="15" hidden="1" x14ac:dyDescent="0.25">
      <c r="A2166" s="190"/>
      <c r="B2166" s="17" t="s">
        <v>245</v>
      </c>
      <c r="C2166" s="18">
        <v>0</v>
      </c>
    </row>
    <row r="2167" spans="1:3" ht="15" hidden="1" x14ac:dyDescent="0.25">
      <c r="A2167" s="189"/>
      <c r="B2167" s="17" t="s">
        <v>263</v>
      </c>
      <c r="C2167" s="18">
        <v>0</v>
      </c>
    </row>
    <row r="2168" spans="1:3" ht="15" hidden="1" x14ac:dyDescent="0.25">
      <c r="A2168" s="189"/>
      <c r="B2168" s="17" t="s">
        <v>72</v>
      </c>
      <c r="C2168" s="18">
        <v>0</v>
      </c>
    </row>
    <row r="2169" spans="1:3" ht="15" hidden="1" x14ac:dyDescent="0.25">
      <c r="A2169" s="190"/>
      <c r="B2169" s="17" t="s">
        <v>320</v>
      </c>
      <c r="C2169" s="18">
        <v>0</v>
      </c>
    </row>
    <row r="2170" spans="1:3" ht="15" hidden="1" x14ac:dyDescent="0.25">
      <c r="A2170" s="189"/>
      <c r="B2170" s="17" t="s">
        <v>321</v>
      </c>
      <c r="C2170" s="18">
        <v>0</v>
      </c>
    </row>
    <row r="2171" spans="1:3" ht="15" hidden="1" x14ac:dyDescent="0.25">
      <c r="A2171" s="189"/>
      <c r="B2171" s="17" t="s">
        <v>328</v>
      </c>
      <c r="C2171" s="18">
        <v>0</v>
      </c>
    </row>
    <row r="2172" spans="1:3" ht="15" hidden="1" x14ac:dyDescent="0.25">
      <c r="A2172" s="190"/>
      <c r="B2172" s="17" t="s">
        <v>329</v>
      </c>
      <c r="C2172" s="18">
        <v>0</v>
      </c>
    </row>
    <row r="2173" spans="1:3" ht="15" hidden="1" x14ac:dyDescent="0.25">
      <c r="A2173" s="190" t="s">
        <v>445</v>
      </c>
      <c r="B2173" s="17">
        <v>0</v>
      </c>
      <c r="C2173" s="18">
        <v>0</v>
      </c>
    </row>
    <row r="2174" spans="1:3" ht="15" hidden="1" x14ac:dyDescent="0.25">
      <c r="A2174" s="189"/>
      <c r="B2174" s="17" t="s">
        <v>251</v>
      </c>
      <c r="C2174" s="18">
        <v>0</v>
      </c>
    </row>
    <row r="2175" spans="1:3" ht="15" hidden="1" x14ac:dyDescent="0.25">
      <c r="A2175" s="190"/>
      <c r="B2175" s="17" t="s">
        <v>246</v>
      </c>
      <c r="C2175" s="18">
        <v>0</v>
      </c>
    </row>
    <row r="2176" spans="1:3" ht="15" hidden="1" x14ac:dyDescent="0.25">
      <c r="A2176" s="190"/>
      <c r="B2176" s="17" t="s">
        <v>250</v>
      </c>
      <c r="C2176" s="18">
        <v>0</v>
      </c>
    </row>
    <row r="2177" spans="1:3" ht="15" hidden="1" x14ac:dyDescent="0.25">
      <c r="A2177" s="189"/>
      <c r="B2177" s="17" t="s">
        <v>247</v>
      </c>
      <c r="C2177" s="18">
        <v>0</v>
      </c>
    </row>
    <row r="2178" spans="1:3" ht="15" hidden="1" x14ac:dyDescent="0.25">
      <c r="A2178" s="190"/>
      <c r="B2178" s="17" t="s">
        <v>291</v>
      </c>
      <c r="C2178" s="18">
        <v>0</v>
      </c>
    </row>
    <row r="2179" spans="1:3" ht="15" hidden="1" x14ac:dyDescent="0.25">
      <c r="A2179" s="189"/>
      <c r="B2179" s="17" t="s">
        <v>311</v>
      </c>
      <c r="C2179" s="18">
        <v>0</v>
      </c>
    </row>
    <row r="2180" spans="1:3" ht="15" hidden="1" x14ac:dyDescent="0.25">
      <c r="A2180" s="190"/>
      <c r="B2180" s="17" t="s">
        <v>245</v>
      </c>
      <c r="C2180" s="18">
        <v>0</v>
      </c>
    </row>
    <row r="2181" spans="1:3" ht="15" hidden="1" x14ac:dyDescent="0.25">
      <c r="A2181" s="190"/>
      <c r="B2181" s="17" t="s">
        <v>249</v>
      </c>
      <c r="C2181" s="18">
        <v>0</v>
      </c>
    </row>
    <row r="2182" spans="1:3" ht="15" hidden="1" x14ac:dyDescent="0.25">
      <c r="A2182" s="190"/>
      <c r="B2182" s="17" t="s">
        <v>263</v>
      </c>
      <c r="C2182" s="18">
        <v>0</v>
      </c>
    </row>
    <row r="2183" spans="1:3" ht="15" hidden="1" x14ac:dyDescent="0.25">
      <c r="A2183" s="190"/>
      <c r="B2183" s="17" t="s">
        <v>72</v>
      </c>
      <c r="C2183" s="18">
        <v>0</v>
      </c>
    </row>
    <row r="2184" spans="1:3" ht="15" hidden="1" x14ac:dyDescent="0.25">
      <c r="A2184" s="190"/>
      <c r="B2184" s="17" t="s">
        <v>264</v>
      </c>
      <c r="C2184" s="18">
        <v>0</v>
      </c>
    </row>
    <row r="2185" spans="1:3" ht="15" hidden="1" x14ac:dyDescent="0.25">
      <c r="A2185" s="190"/>
      <c r="B2185" s="17" t="s">
        <v>319</v>
      </c>
      <c r="C2185" s="18">
        <v>0</v>
      </c>
    </row>
    <row r="2186" spans="1:3" ht="15" hidden="1" x14ac:dyDescent="0.25">
      <c r="A2186" s="190"/>
      <c r="B2186" s="17" t="s">
        <v>320</v>
      </c>
      <c r="C2186" s="18">
        <v>0</v>
      </c>
    </row>
    <row r="2187" spans="1:3" ht="15" hidden="1" x14ac:dyDescent="0.25">
      <c r="A2187" s="190"/>
      <c r="B2187" s="17" t="s">
        <v>321</v>
      </c>
      <c r="C2187" s="18">
        <v>0</v>
      </c>
    </row>
    <row r="2188" spans="1:3" ht="15" hidden="1" x14ac:dyDescent="0.25">
      <c r="A2188" s="189"/>
      <c r="B2188" s="17" t="s">
        <v>322</v>
      </c>
      <c r="C2188" s="18">
        <v>0</v>
      </c>
    </row>
    <row r="2189" spans="1:3" ht="15" hidden="1" x14ac:dyDescent="0.25">
      <c r="A2189" s="189"/>
      <c r="B2189" s="17" t="s">
        <v>326</v>
      </c>
      <c r="C2189" s="18">
        <v>0</v>
      </c>
    </row>
    <row r="2190" spans="1:3" ht="15" hidden="1" x14ac:dyDescent="0.25">
      <c r="A2190" s="190"/>
      <c r="B2190" s="17" t="s">
        <v>329</v>
      </c>
      <c r="C2190" s="18">
        <v>0</v>
      </c>
    </row>
    <row r="2191" spans="1:3" ht="15" hidden="1" x14ac:dyDescent="0.25">
      <c r="A2191" s="189"/>
      <c r="B2191" s="17" t="s">
        <v>378</v>
      </c>
      <c r="C2191" s="18">
        <v>0</v>
      </c>
    </row>
    <row r="2192" spans="1:3" ht="15" hidden="1" x14ac:dyDescent="0.25">
      <c r="A2192" s="189">
        <v>7216</v>
      </c>
      <c r="B2192" s="17">
        <v>0</v>
      </c>
      <c r="C2192" s="18">
        <v>0</v>
      </c>
    </row>
    <row r="2193" spans="1:3" ht="15" hidden="1" x14ac:dyDescent="0.25">
      <c r="A2193" s="189"/>
      <c r="B2193" s="17" t="s">
        <v>265</v>
      </c>
      <c r="C2193" s="18">
        <v>0</v>
      </c>
    </row>
    <row r="2194" spans="1:3" ht="15" hidden="1" x14ac:dyDescent="0.25">
      <c r="A2194" s="189"/>
      <c r="B2194" s="17" t="s">
        <v>247</v>
      </c>
      <c r="C2194" s="18">
        <v>0</v>
      </c>
    </row>
    <row r="2195" spans="1:3" ht="15" hidden="1" x14ac:dyDescent="0.25">
      <c r="A2195" s="189"/>
      <c r="B2195" s="17" t="s">
        <v>256</v>
      </c>
      <c r="C2195" s="18">
        <v>0</v>
      </c>
    </row>
    <row r="2196" spans="1:3" ht="15" hidden="1" x14ac:dyDescent="0.25">
      <c r="A2196" s="191"/>
      <c r="B2196" s="17" t="s">
        <v>269</v>
      </c>
      <c r="C2196" s="18">
        <v>0</v>
      </c>
    </row>
    <row r="2197" spans="1:3" ht="15" hidden="1" x14ac:dyDescent="0.25">
      <c r="A2197" s="191"/>
      <c r="B2197" s="17" t="s">
        <v>276</v>
      </c>
      <c r="C2197" s="18">
        <v>0</v>
      </c>
    </row>
    <row r="2198" spans="1:3" ht="15" hidden="1" x14ac:dyDescent="0.25">
      <c r="A2198" s="191"/>
      <c r="B2198" s="17" t="s">
        <v>245</v>
      </c>
      <c r="C2198" s="18">
        <v>0</v>
      </c>
    </row>
    <row r="2199" spans="1:3" ht="15" hidden="1" x14ac:dyDescent="0.25">
      <c r="A2199" s="191"/>
      <c r="B2199" s="17" t="s">
        <v>249</v>
      </c>
      <c r="C2199" s="18">
        <v>0</v>
      </c>
    </row>
    <row r="2200" spans="1:3" ht="15" hidden="1" x14ac:dyDescent="0.25">
      <c r="A2200" s="191"/>
      <c r="B2200" s="17" t="s">
        <v>273</v>
      </c>
      <c r="C2200" s="18">
        <v>0</v>
      </c>
    </row>
    <row r="2201" spans="1:3" ht="15" hidden="1" x14ac:dyDescent="0.25">
      <c r="A2201" s="191"/>
      <c r="B2201" s="17" t="s">
        <v>264</v>
      </c>
      <c r="C2201" s="18">
        <v>0</v>
      </c>
    </row>
    <row r="2202" spans="1:3" ht="15" hidden="1" x14ac:dyDescent="0.25">
      <c r="A2202" s="191"/>
      <c r="B2202" s="17" t="s">
        <v>318</v>
      </c>
      <c r="C2202" s="18">
        <v>0</v>
      </c>
    </row>
    <row r="2203" spans="1:3" ht="15" hidden="1" x14ac:dyDescent="0.25">
      <c r="A2203" s="191"/>
      <c r="B2203" s="17" t="s">
        <v>80</v>
      </c>
      <c r="C2203" s="18">
        <v>0</v>
      </c>
    </row>
    <row r="2204" spans="1:3" ht="15" hidden="1" x14ac:dyDescent="0.25">
      <c r="A2204" s="191"/>
      <c r="B2204" s="17" t="s">
        <v>79</v>
      </c>
      <c r="C2204" s="18">
        <v>0</v>
      </c>
    </row>
    <row r="2205" spans="1:3" ht="15" hidden="1" x14ac:dyDescent="0.25">
      <c r="A2205" s="191">
        <v>7218</v>
      </c>
      <c r="B2205" s="17">
        <v>0</v>
      </c>
      <c r="C2205" s="18">
        <v>0</v>
      </c>
    </row>
    <row r="2206" spans="1:3" ht="15" hidden="1" x14ac:dyDescent="0.25">
      <c r="A2206" s="191"/>
      <c r="B2206" s="17" t="s">
        <v>251</v>
      </c>
      <c r="C2206" s="18">
        <v>0</v>
      </c>
    </row>
    <row r="2207" spans="1:3" ht="15" hidden="1" x14ac:dyDescent="0.25">
      <c r="A2207" s="191"/>
      <c r="B2207" s="17" t="s">
        <v>256</v>
      </c>
      <c r="C2207" s="18">
        <v>0</v>
      </c>
    </row>
    <row r="2208" spans="1:3" ht="15" hidden="1" x14ac:dyDescent="0.25">
      <c r="A2208" s="191"/>
      <c r="B2208" s="17" t="s">
        <v>269</v>
      </c>
      <c r="C2208" s="18">
        <v>0</v>
      </c>
    </row>
    <row r="2209" spans="1:3" ht="15" hidden="1" x14ac:dyDescent="0.25">
      <c r="A2209" s="191"/>
      <c r="B2209" s="17" t="s">
        <v>245</v>
      </c>
      <c r="C2209" s="18">
        <v>0</v>
      </c>
    </row>
    <row r="2210" spans="1:3" ht="15" hidden="1" x14ac:dyDescent="0.25">
      <c r="A2210" s="191"/>
      <c r="B2210" s="17" t="s">
        <v>249</v>
      </c>
      <c r="C2210" s="18">
        <v>0</v>
      </c>
    </row>
    <row r="2211" spans="1:3" ht="15" hidden="1" x14ac:dyDescent="0.25">
      <c r="A2211" s="191"/>
      <c r="B2211" s="17" t="s">
        <v>264</v>
      </c>
      <c r="C2211" s="18">
        <v>0</v>
      </c>
    </row>
    <row r="2212" spans="1:3" ht="15" hidden="1" x14ac:dyDescent="0.25">
      <c r="A2212" s="191"/>
      <c r="B2212" s="17" t="s">
        <v>319</v>
      </c>
      <c r="C2212" s="18">
        <v>0</v>
      </c>
    </row>
    <row r="2213" spans="1:3" ht="15" hidden="1" x14ac:dyDescent="0.25">
      <c r="A2213" s="191"/>
      <c r="B2213" s="17" t="s">
        <v>318</v>
      </c>
      <c r="C2213" s="18">
        <v>0</v>
      </c>
    </row>
    <row r="2214" spans="1:3" ht="15" hidden="1" x14ac:dyDescent="0.25">
      <c r="A2214" s="191"/>
      <c r="B2214" s="17" t="s">
        <v>80</v>
      </c>
      <c r="C2214" s="18">
        <v>0</v>
      </c>
    </row>
    <row r="2215" spans="1:3" ht="15" hidden="1" x14ac:dyDescent="0.25">
      <c r="A2215" s="191"/>
      <c r="B2215" s="17" t="s">
        <v>79</v>
      </c>
      <c r="C2215" s="18">
        <v>0</v>
      </c>
    </row>
    <row r="2216" spans="1:3" ht="15" hidden="1" x14ac:dyDescent="0.25">
      <c r="A2216" s="191">
        <v>7220</v>
      </c>
      <c r="B2216" s="17">
        <v>0</v>
      </c>
      <c r="C2216" s="18">
        <v>0</v>
      </c>
    </row>
    <row r="2217" spans="1:3" ht="15" hidden="1" x14ac:dyDescent="0.25">
      <c r="A2217" s="191">
        <v>7228</v>
      </c>
      <c r="B2217" s="17" t="s">
        <v>312</v>
      </c>
      <c r="C2217" s="18">
        <v>0</v>
      </c>
    </row>
    <row r="2218" spans="1:3" ht="15" hidden="1" x14ac:dyDescent="0.25">
      <c r="A2218" s="191"/>
      <c r="B2218" s="17" t="s">
        <v>314</v>
      </c>
      <c r="C2218" s="18">
        <v>0</v>
      </c>
    </row>
    <row r="2219" spans="1:3" ht="15" hidden="1" x14ac:dyDescent="0.25">
      <c r="A2219" s="191"/>
      <c r="B2219" s="17" t="s">
        <v>315</v>
      </c>
      <c r="C2219" s="18">
        <v>0</v>
      </c>
    </row>
    <row r="2220" spans="1:3" ht="15" hidden="1" x14ac:dyDescent="0.25">
      <c r="A2220" s="59"/>
      <c r="B2220" s="17" t="s">
        <v>447</v>
      </c>
      <c r="C2220" s="18">
        <v>0</v>
      </c>
    </row>
    <row r="2221" spans="1:3" ht="15" hidden="1" x14ac:dyDescent="0.25">
      <c r="A2221" s="190">
        <v>7226</v>
      </c>
      <c r="B2221" s="17" t="s">
        <v>260</v>
      </c>
      <c r="C2221" s="18">
        <v>0</v>
      </c>
    </row>
    <row r="2222" spans="1:3" ht="15" hidden="1" x14ac:dyDescent="0.25">
      <c r="A2222" s="190"/>
      <c r="B2222" s="17" t="s">
        <v>318</v>
      </c>
      <c r="C2222" s="18">
        <v>0</v>
      </c>
    </row>
    <row r="2223" spans="1:3" ht="15" hidden="1" x14ac:dyDescent="0.25">
      <c r="A2223" s="190">
        <v>7242</v>
      </c>
      <c r="B2223" s="17" t="s">
        <v>247</v>
      </c>
      <c r="C2223" s="18">
        <v>0</v>
      </c>
    </row>
    <row r="2224" spans="1:3" ht="15" hidden="1" x14ac:dyDescent="0.25">
      <c r="A2224" s="190"/>
      <c r="B2224" s="17" t="s">
        <v>319</v>
      </c>
      <c r="C2224" s="18">
        <v>0</v>
      </c>
    </row>
    <row r="2225" spans="1:3" ht="15" hidden="1" x14ac:dyDescent="0.25">
      <c r="A2225" s="190"/>
      <c r="B2225" s="17" t="s">
        <v>78</v>
      </c>
      <c r="C2225" s="18">
        <v>0</v>
      </c>
    </row>
    <row r="2226" spans="1:3" ht="15" hidden="1" x14ac:dyDescent="0.25">
      <c r="A2226" s="190"/>
      <c r="B2226" s="17" t="s">
        <v>79</v>
      </c>
      <c r="C2226" s="18">
        <v>0</v>
      </c>
    </row>
    <row r="2227" spans="1:3" ht="15" hidden="1" x14ac:dyDescent="0.25">
      <c r="A2227" s="190">
        <v>7253</v>
      </c>
      <c r="B2227" s="17" t="s">
        <v>72</v>
      </c>
      <c r="C2227" s="18">
        <v>0</v>
      </c>
    </row>
    <row r="2228" spans="1:3" ht="15" hidden="1" x14ac:dyDescent="0.25">
      <c r="A2228" s="190">
        <v>7255</v>
      </c>
      <c r="B2228" s="17" t="s">
        <v>458</v>
      </c>
      <c r="C2228" s="18">
        <v>0</v>
      </c>
    </row>
    <row r="2229" spans="1:3" ht="15" hidden="1" x14ac:dyDescent="0.25">
      <c r="A2229" s="190">
        <v>7254</v>
      </c>
      <c r="B2229" s="17" t="s">
        <v>278</v>
      </c>
      <c r="C2229" s="18">
        <v>0</v>
      </c>
    </row>
    <row r="2230" spans="1:3" ht="15" hidden="1" x14ac:dyDescent="0.25">
      <c r="A2230" s="190"/>
      <c r="B2230" s="17" t="s">
        <v>262</v>
      </c>
      <c r="C2230" s="18">
        <v>0</v>
      </c>
    </row>
    <row r="2231" spans="1:3" ht="15" hidden="1" x14ac:dyDescent="0.25">
      <c r="A2231" s="189"/>
      <c r="B2231" s="17" t="s">
        <v>276</v>
      </c>
      <c r="C2231" s="18">
        <v>0</v>
      </c>
    </row>
    <row r="2232" spans="1:3" ht="15" hidden="1" x14ac:dyDescent="0.25">
      <c r="A2232" s="190"/>
      <c r="B2232" s="17" t="s">
        <v>274</v>
      </c>
      <c r="C2232" s="18">
        <v>0</v>
      </c>
    </row>
    <row r="2233" spans="1:3" ht="15" hidden="1" x14ac:dyDescent="0.25">
      <c r="A2233" s="190"/>
      <c r="B2233" s="17" t="s">
        <v>281</v>
      </c>
      <c r="C2233" s="18">
        <v>0</v>
      </c>
    </row>
    <row r="2234" spans="1:3" ht="15" hidden="1" x14ac:dyDescent="0.25">
      <c r="A2234" s="190"/>
      <c r="B2234" s="17" t="s">
        <v>260</v>
      </c>
      <c r="C2234" s="18">
        <v>0</v>
      </c>
    </row>
    <row r="2235" spans="1:3" ht="15" hidden="1" x14ac:dyDescent="0.25">
      <c r="A2235" s="190"/>
      <c r="B2235" s="17" t="s">
        <v>293</v>
      </c>
      <c r="C2235" s="18">
        <v>0</v>
      </c>
    </row>
    <row r="2236" spans="1:3" ht="15" hidden="1" x14ac:dyDescent="0.25">
      <c r="A2236" s="190"/>
      <c r="B2236" s="17" t="s">
        <v>253</v>
      </c>
      <c r="C2236" s="18">
        <v>0</v>
      </c>
    </row>
    <row r="2237" spans="1:3" ht="15" hidden="1" x14ac:dyDescent="0.25">
      <c r="A2237" s="190">
        <v>7247</v>
      </c>
      <c r="B2237" s="17">
        <v>0</v>
      </c>
      <c r="C2237" s="18">
        <v>0</v>
      </c>
    </row>
    <row r="2238" spans="1:3" ht="15" hidden="1" x14ac:dyDescent="0.25">
      <c r="A2238" s="190"/>
      <c r="B2238" s="17" t="s">
        <v>274</v>
      </c>
      <c r="C2238" s="18">
        <v>0</v>
      </c>
    </row>
    <row r="2239" spans="1:3" ht="15" hidden="1" x14ac:dyDescent="0.25">
      <c r="A2239" s="190"/>
      <c r="B2239" s="17" t="s">
        <v>260</v>
      </c>
      <c r="C2239" s="18">
        <v>0</v>
      </c>
    </row>
    <row r="2240" spans="1:3" ht="15" hidden="1" x14ac:dyDescent="0.25">
      <c r="A2240" s="189"/>
      <c r="B2240" s="17" t="s">
        <v>318</v>
      </c>
      <c r="C2240" s="18">
        <v>0</v>
      </c>
    </row>
    <row r="2241" spans="1:3" ht="15" hidden="1" x14ac:dyDescent="0.25">
      <c r="A2241" s="190">
        <v>7259</v>
      </c>
      <c r="B2241" s="17" t="s">
        <v>263</v>
      </c>
      <c r="C2241" s="18">
        <v>0</v>
      </c>
    </row>
    <row r="2242" spans="1:3" ht="15" hidden="1" x14ac:dyDescent="0.25">
      <c r="A2242" s="190"/>
      <c r="B2242" s="17" t="s">
        <v>260</v>
      </c>
      <c r="C2242" s="18">
        <v>0</v>
      </c>
    </row>
    <row r="2243" spans="1:3" ht="15" hidden="1" x14ac:dyDescent="0.25">
      <c r="A2243" s="190">
        <v>7273</v>
      </c>
      <c r="B2243" s="17">
        <v>0</v>
      </c>
      <c r="C2243" s="18">
        <v>0</v>
      </c>
    </row>
    <row r="2244" spans="1:3" ht="15" hidden="1" x14ac:dyDescent="0.25">
      <c r="A2244" s="190"/>
      <c r="B2244" s="17" t="s">
        <v>291</v>
      </c>
      <c r="C2244" s="18">
        <v>0</v>
      </c>
    </row>
    <row r="2245" spans="1:3" ht="15" hidden="1" x14ac:dyDescent="0.25">
      <c r="A2245" s="190"/>
      <c r="B2245" s="17" t="s">
        <v>258</v>
      </c>
      <c r="C2245" s="18">
        <v>0</v>
      </c>
    </row>
    <row r="2246" spans="1:3" ht="15" hidden="1" x14ac:dyDescent="0.25">
      <c r="A2246" s="190"/>
      <c r="B2246" s="17" t="s">
        <v>245</v>
      </c>
      <c r="C2246" s="18">
        <v>0</v>
      </c>
    </row>
    <row r="2247" spans="1:3" ht="15" hidden="1" x14ac:dyDescent="0.25">
      <c r="A2247" s="190"/>
      <c r="B2247" s="17" t="s">
        <v>248</v>
      </c>
      <c r="C2247" s="18">
        <v>0</v>
      </c>
    </row>
    <row r="2248" spans="1:3" ht="15" hidden="1" x14ac:dyDescent="0.25">
      <c r="A2248" s="190"/>
      <c r="B2248" s="17" t="s">
        <v>249</v>
      </c>
      <c r="C2248" s="18">
        <v>0</v>
      </c>
    </row>
    <row r="2249" spans="1:3" ht="15" hidden="1" x14ac:dyDescent="0.25">
      <c r="A2249" s="190"/>
      <c r="B2249" s="17" t="s">
        <v>255</v>
      </c>
      <c r="C2249" s="18">
        <v>0</v>
      </c>
    </row>
    <row r="2250" spans="1:3" ht="15" hidden="1" x14ac:dyDescent="0.25">
      <c r="A2250" s="190"/>
      <c r="B2250" s="17" t="s">
        <v>264</v>
      </c>
      <c r="C2250" s="18">
        <v>0</v>
      </c>
    </row>
    <row r="2251" spans="1:3" ht="15" hidden="1" x14ac:dyDescent="0.25">
      <c r="A2251" s="190"/>
      <c r="B2251" s="17" t="s">
        <v>319</v>
      </c>
      <c r="C2251" s="18">
        <v>0</v>
      </c>
    </row>
    <row r="2252" spans="1:3" ht="15" hidden="1" x14ac:dyDescent="0.25">
      <c r="A2252" s="189"/>
      <c r="B2252" s="17" t="s">
        <v>318</v>
      </c>
      <c r="C2252" s="18">
        <v>0</v>
      </c>
    </row>
    <row r="2253" spans="1:3" ht="15" hidden="1" x14ac:dyDescent="0.25">
      <c r="A2253" s="191"/>
      <c r="B2253" s="17" t="s">
        <v>80</v>
      </c>
      <c r="C2253" s="18">
        <v>0</v>
      </c>
    </row>
    <row r="2254" spans="1:3" ht="15" hidden="1" x14ac:dyDescent="0.25">
      <c r="A2254" s="191"/>
      <c r="B2254" s="17" t="s">
        <v>79</v>
      </c>
      <c r="C2254" s="18">
        <v>0</v>
      </c>
    </row>
    <row r="2255" spans="1:3" ht="15" hidden="1" x14ac:dyDescent="0.25">
      <c r="A2255" s="191">
        <v>7277</v>
      </c>
      <c r="B2255" s="17">
        <v>0</v>
      </c>
      <c r="C2255" s="18">
        <v>0</v>
      </c>
    </row>
    <row r="2256" spans="1:3" ht="15" hidden="1" x14ac:dyDescent="0.25">
      <c r="A2256" s="191"/>
      <c r="B2256" s="17" t="s">
        <v>251</v>
      </c>
      <c r="C2256" s="18">
        <v>0</v>
      </c>
    </row>
    <row r="2257" spans="1:3" ht="15" hidden="1" x14ac:dyDescent="0.25">
      <c r="A2257" s="191"/>
      <c r="B2257" s="17" t="s">
        <v>256</v>
      </c>
      <c r="C2257" s="18">
        <v>0</v>
      </c>
    </row>
    <row r="2258" spans="1:3" ht="15" hidden="1" x14ac:dyDescent="0.25">
      <c r="A2258" s="191"/>
      <c r="B2258" s="17" t="s">
        <v>270</v>
      </c>
      <c r="C2258" s="18">
        <v>0</v>
      </c>
    </row>
    <row r="2259" spans="1:3" ht="15" hidden="1" x14ac:dyDescent="0.25">
      <c r="A2259" s="191"/>
      <c r="B2259" s="17" t="s">
        <v>245</v>
      </c>
      <c r="C2259" s="18">
        <v>0</v>
      </c>
    </row>
    <row r="2260" spans="1:3" ht="15" hidden="1" x14ac:dyDescent="0.25">
      <c r="A2260" s="191"/>
      <c r="B2260" s="17" t="s">
        <v>249</v>
      </c>
      <c r="C2260" s="18">
        <v>0</v>
      </c>
    </row>
    <row r="2261" spans="1:3" ht="15" hidden="1" x14ac:dyDescent="0.25">
      <c r="A2261" s="191"/>
      <c r="B2261" s="17" t="s">
        <v>264</v>
      </c>
      <c r="C2261" s="18">
        <v>0</v>
      </c>
    </row>
    <row r="2262" spans="1:3" ht="15" hidden="1" x14ac:dyDescent="0.25">
      <c r="A2262" s="191"/>
      <c r="B2262" s="17" t="s">
        <v>319</v>
      </c>
      <c r="C2262" s="18">
        <v>0</v>
      </c>
    </row>
    <row r="2263" spans="1:3" ht="15" hidden="1" x14ac:dyDescent="0.25">
      <c r="A2263" s="191"/>
      <c r="B2263" s="17" t="s">
        <v>318</v>
      </c>
      <c r="C2263" s="18">
        <v>0</v>
      </c>
    </row>
    <row r="2264" spans="1:3" ht="15" hidden="1" x14ac:dyDescent="0.25">
      <c r="A2264" s="191"/>
      <c r="B2264" s="17" t="s">
        <v>80</v>
      </c>
      <c r="C2264" s="18">
        <v>0</v>
      </c>
    </row>
    <row r="2265" spans="1:3" ht="15" hidden="1" x14ac:dyDescent="0.25">
      <c r="A2265" s="191"/>
      <c r="B2265" s="17" t="s">
        <v>79</v>
      </c>
      <c r="C2265" s="18">
        <v>0</v>
      </c>
    </row>
    <row r="2266" spans="1:3" ht="15" hidden="1" x14ac:dyDescent="0.25">
      <c r="A2266" s="191">
        <v>7275</v>
      </c>
      <c r="B2266" s="17">
        <v>0</v>
      </c>
      <c r="C2266" s="18">
        <v>0</v>
      </c>
    </row>
    <row r="2267" spans="1:3" ht="15" hidden="1" x14ac:dyDescent="0.25">
      <c r="A2267" s="191"/>
      <c r="B2267" s="17" t="s">
        <v>251</v>
      </c>
      <c r="C2267" s="18">
        <v>0</v>
      </c>
    </row>
    <row r="2268" spans="1:3" ht="15" hidden="1" x14ac:dyDescent="0.25">
      <c r="A2268" s="191"/>
      <c r="B2268" s="17" t="s">
        <v>256</v>
      </c>
      <c r="C2268" s="18">
        <v>0</v>
      </c>
    </row>
    <row r="2269" spans="1:3" ht="15" hidden="1" x14ac:dyDescent="0.25">
      <c r="A2269" s="59"/>
      <c r="B2269" s="17" t="s">
        <v>270</v>
      </c>
      <c r="C2269" s="18">
        <v>0</v>
      </c>
    </row>
    <row r="2270" spans="1:3" ht="15" hidden="1" x14ac:dyDescent="0.25">
      <c r="A2270" s="190"/>
      <c r="B2270" s="17" t="s">
        <v>245</v>
      </c>
      <c r="C2270" s="18">
        <v>0</v>
      </c>
    </row>
    <row r="2271" spans="1:3" ht="15" hidden="1" x14ac:dyDescent="0.25">
      <c r="A2271" s="190"/>
      <c r="B2271" s="17" t="s">
        <v>249</v>
      </c>
      <c r="C2271" s="18">
        <v>0</v>
      </c>
    </row>
    <row r="2272" spans="1:3" ht="15" hidden="1" x14ac:dyDescent="0.25">
      <c r="A2272" s="190"/>
      <c r="B2272" s="17" t="s">
        <v>264</v>
      </c>
      <c r="C2272" s="18">
        <v>0</v>
      </c>
    </row>
    <row r="2273" spans="1:3" ht="15" hidden="1" x14ac:dyDescent="0.25">
      <c r="A2273" s="190"/>
      <c r="B2273" s="17" t="s">
        <v>319</v>
      </c>
      <c r="C2273" s="18">
        <v>0</v>
      </c>
    </row>
    <row r="2274" spans="1:3" ht="15" hidden="1" x14ac:dyDescent="0.25">
      <c r="A2274" s="190"/>
      <c r="B2274" s="17" t="s">
        <v>318</v>
      </c>
      <c r="C2274" s="18">
        <v>0</v>
      </c>
    </row>
    <row r="2275" spans="1:3" ht="15" hidden="1" x14ac:dyDescent="0.25">
      <c r="A2275" s="190"/>
      <c r="B2275" s="17" t="s">
        <v>80</v>
      </c>
      <c r="C2275" s="18">
        <v>0</v>
      </c>
    </row>
    <row r="2276" spans="1:3" ht="15" hidden="1" x14ac:dyDescent="0.25">
      <c r="A2276" s="190"/>
      <c r="B2276" s="17" t="s">
        <v>79</v>
      </c>
      <c r="C2276" s="18">
        <v>0</v>
      </c>
    </row>
    <row r="2277" spans="1:3" ht="15" hidden="1" x14ac:dyDescent="0.25">
      <c r="A2277" s="190">
        <v>7280</v>
      </c>
      <c r="B2277" s="17" t="s">
        <v>72</v>
      </c>
      <c r="C2277" s="18">
        <v>0</v>
      </c>
    </row>
    <row r="2278" spans="1:3" ht="15" hidden="1" x14ac:dyDescent="0.25">
      <c r="A2278" s="190">
        <v>7281</v>
      </c>
      <c r="B2278" s="17">
        <v>0</v>
      </c>
      <c r="C2278" s="18">
        <v>0</v>
      </c>
    </row>
    <row r="2279" spans="1:3" ht="15" hidden="1" x14ac:dyDescent="0.25">
      <c r="A2279" s="190">
        <v>7286</v>
      </c>
      <c r="B2279" s="17">
        <v>0</v>
      </c>
      <c r="C2279" s="18">
        <v>0</v>
      </c>
    </row>
    <row r="2280" spans="1:3" ht="15" hidden="1" x14ac:dyDescent="0.25">
      <c r="A2280" s="189"/>
      <c r="B2280" s="17" t="s">
        <v>251</v>
      </c>
      <c r="C2280" s="18">
        <v>0</v>
      </c>
    </row>
    <row r="2281" spans="1:3" ht="15" hidden="1" x14ac:dyDescent="0.25">
      <c r="A2281" s="190"/>
      <c r="B2281" s="17" t="s">
        <v>256</v>
      </c>
      <c r="C2281" s="18">
        <v>0</v>
      </c>
    </row>
    <row r="2282" spans="1:3" ht="15" hidden="1" x14ac:dyDescent="0.25">
      <c r="A2282" s="190"/>
      <c r="B2282" s="17" t="s">
        <v>270</v>
      </c>
      <c r="C2282" s="18">
        <v>0</v>
      </c>
    </row>
    <row r="2283" spans="1:3" ht="15" hidden="1" x14ac:dyDescent="0.25">
      <c r="A2283" s="190"/>
      <c r="B2283" s="17" t="s">
        <v>245</v>
      </c>
      <c r="C2283" s="18">
        <v>0</v>
      </c>
    </row>
    <row r="2284" spans="1:3" ht="15" hidden="1" x14ac:dyDescent="0.25">
      <c r="A2284" s="190"/>
      <c r="B2284" s="17" t="s">
        <v>249</v>
      </c>
      <c r="C2284" s="18">
        <v>0</v>
      </c>
    </row>
    <row r="2285" spans="1:3" ht="15" hidden="1" x14ac:dyDescent="0.25">
      <c r="A2285" s="190"/>
      <c r="B2285" s="17" t="s">
        <v>264</v>
      </c>
      <c r="C2285" s="18">
        <v>0</v>
      </c>
    </row>
    <row r="2286" spans="1:3" ht="15" hidden="1" x14ac:dyDescent="0.25">
      <c r="A2286" s="190"/>
      <c r="B2286" s="17" t="s">
        <v>319</v>
      </c>
      <c r="C2286" s="18">
        <v>0</v>
      </c>
    </row>
    <row r="2287" spans="1:3" ht="15" hidden="1" x14ac:dyDescent="0.25">
      <c r="A2287" s="189"/>
      <c r="B2287" s="17" t="s">
        <v>318</v>
      </c>
      <c r="C2287" s="18">
        <v>0</v>
      </c>
    </row>
    <row r="2288" spans="1:3" ht="15" hidden="1" x14ac:dyDescent="0.25">
      <c r="A2288" s="190"/>
      <c r="B2288" s="17" t="s">
        <v>80</v>
      </c>
      <c r="C2288" s="18">
        <v>0</v>
      </c>
    </row>
    <row r="2289" spans="1:3" ht="15" hidden="1" x14ac:dyDescent="0.25">
      <c r="A2289" s="190"/>
      <c r="B2289" s="17" t="s">
        <v>79</v>
      </c>
      <c r="C2289" s="18">
        <v>0</v>
      </c>
    </row>
    <row r="2290" spans="1:3" ht="15" hidden="1" x14ac:dyDescent="0.25">
      <c r="A2290" s="189">
        <v>7289</v>
      </c>
      <c r="B2290" s="17">
        <v>0</v>
      </c>
      <c r="C2290" s="18">
        <v>0</v>
      </c>
    </row>
    <row r="2291" spans="1:3" ht="15" hidden="1" x14ac:dyDescent="0.25">
      <c r="A2291" s="189">
        <v>7292</v>
      </c>
      <c r="B2291" s="17">
        <v>0</v>
      </c>
      <c r="C2291" s="18">
        <v>0</v>
      </c>
    </row>
    <row r="2292" spans="1:3" ht="15" hidden="1" x14ac:dyDescent="0.25">
      <c r="A2292" s="189"/>
      <c r="B2292" s="17" t="s">
        <v>318</v>
      </c>
      <c r="C2292" s="18">
        <v>0</v>
      </c>
    </row>
    <row r="2293" spans="1:3" ht="15" hidden="1" x14ac:dyDescent="0.25">
      <c r="A2293" s="189">
        <v>7293</v>
      </c>
      <c r="B2293" s="17">
        <v>0</v>
      </c>
      <c r="C2293" s="18">
        <v>0</v>
      </c>
    </row>
    <row r="2294" spans="1:3" ht="15" hidden="1" x14ac:dyDescent="0.25">
      <c r="A2294" s="189">
        <v>7296</v>
      </c>
      <c r="B2294" s="17">
        <v>0</v>
      </c>
      <c r="C2294" s="18">
        <v>0</v>
      </c>
    </row>
    <row r="2295" spans="1:3" ht="15" hidden="1" x14ac:dyDescent="0.25">
      <c r="A2295" s="191">
        <v>7300</v>
      </c>
      <c r="B2295" s="17" t="s">
        <v>265</v>
      </c>
      <c r="C2295" s="18">
        <v>0</v>
      </c>
    </row>
    <row r="2296" spans="1:3" ht="15" hidden="1" x14ac:dyDescent="0.25">
      <c r="A2296" s="191" t="s">
        <v>438</v>
      </c>
      <c r="B2296" s="17">
        <v>0</v>
      </c>
      <c r="C2296" s="18">
        <v>0</v>
      </c>
    </row>
    <row r="2297" spans="1:3" ht="15" hidden="1" x14ac:dyDescent="0.25">
      <c r="A2297" s="191"/>
      <c r="B2297" s="17" t="s">
        <v>269</v>
      </c>
      <c r="C2297" s="18">
        <v>0</v>
      </c>
    </row>
    <row r="2298" spans="1:3" ht="15" hidden="1" x14ac:dyDescent="0.25">
      <c r="A2298" s="191"/>
      <c r="B2298" s="17" t="s">
        <v>280</v>
      </c>
      <c r="C2298" s="18">
        <v>0</v>
      </c>
    </row>
    <row r="2299" spans="1:3" ht="15" hidden="1" x14ac:dyDescent="0.25">
      <c r="A2299" s="191"/>
      <c r="B2299" s="17" t="s">
        <v>299</v>
      </c>
      <c r="C2299" s="18">
        <v>0</v>
      </c>
    </row>
    <row r="2300" spans="1:3" ht="15" hidden="1" x14ac:dyDescent="0.25">
      <c r="A2300" s="191"/>
      <c r="B2300" s="17" t="s">
        <v>300</v>
      </c>
      <c r="C2300" s="18">
        <v>0</v>
      </c>
    </row>
    <row r="2301" spans="1:3" ht="15" hidden="1" x14ac:dyDescent="0.25">
      <c r="A2301" s="191"/>
      <c r="B2301" s="17" t="s">
        <v>272</v>
      </c>
      <c r="C2301" s="18">
        <v>0</v>
      </c>
    </row>
    <row r="2302" spans="1:3" ht="15" hidden="1" x14ac:dyDescent="0.25">
      <c r="A2302" s="191"/>
      <c r="B2302" s="17" t="s">
        <v>255</v>
      </c>
      <c r="C2302" s="18">
        <v>0</v>
      </c>
    </row>
    <row r="2303" spans="1:3" ht="15" hidden="1" x14ac:dyDescent="0.25">
      <c r="A2303" s="191"/>
      <c r="B2303" s="17" t="s">
        <v>318</v>
      </c>
      <c r="C2303" s="18">
        <v>0</v>
      </c>
    </row>
    <row r="2304" spans="1:3" ht="15" hidden="1" x14ac:dyDescent="0.25">
      <c r="A2304" s="191"/>
      <c r="B2304" s="17" t="s">
        <v>79</v>
      </c>
      <c r="C2304" s="18">
        <v>0</v>
      </c>
    </row>
    <row r="2305" spans="1:3" ht="15" hidden="1" x14ac:dyDescent="0.25">
      <c r="A2305" s="191"/>
      <c r="B2305" s="17" t="s">
        <v>457</v>
      </c>
      <c r="C2305" s="18">
        <v>0</v>
      </c>
    </row>
    <row r="2306" spans="1:3" ht="15" hidden="1" x14ac:dyDescent="0.25">
      <c r="A2306" s="191">
        <v>7307</v>
      </c>
      <c r="B2306" s="17">
        <v>0</v>
      </c>
      <c r="C2306" s="18">
        <v>0</v>
      </c>
    </row>
    <row r="2307" spans="1:3" ht="15" hidden="1" x14ac:dyDescent="0.25">
      <c r="A2307" s="191"/>
      <c r="B2307" s="17" t="s">
        <v>258</v>
      </c>
      <c r="C2307" s="18">
        <v>0</v>
      </c>
    </row>
    <row r="2308" spans="1:3" ht="15" hidden="1" x14ac:dyDescent="0.25">
      <c r="A2308" s="191"/>
      <c r="B2308" s="17" t="s">
        <v>288</v>
      </c>
      <c r="C2308" s="18">
        <v>0</v>
      </c>
    </row>
    <row r="2309" spans="1:3" ht="15" hidden="1" x14ac:dyDescent="0.25">
      <c r="A2309" s="191"/>
      <c r="B2309" s="17" t="s">
        <v>282</v>
      </c>
      <c r="C2309" s="18">
        <v>0</v>
      </c>
    </row>
    <row r="2310" spans="1:3" ht="15" hidden="1" x14ac:dyDescent="0.25">
      <c r="A2310" s="191"/>
      <c r="B2310" s="17" t="s">
        <v>318</v>
      </c>
      <c r="C2310" s="18">
        <v>0</v>
      </c>
    </row>
    <row r="2311" spans="1:3" ht="15" hidden="1" x14ac:dyDescent="0.25">
      <c r="A2311" s="191">
        <v>7311</v>
      </c>
      <c r="B2311" s="17">
        <v>0</v>
      </c>
      <c r="C2311" s="18">
        <v>0</v>
      </c>
    </row>
    <row r="2312" spans="1:3" ht="15" hidden="1" x14ac:dyDescent="0.25">
      <c r="A2312" s="191"/>
      <c r="B2312" s="17" t="s">
        <v>261</v>
      </c>
      <c r="C2312" s="18">
        <v>0</v>
      </c>
    </row>
    <row r="2313" spans="1:3" ht="15" hidden="1" x14ac:dyDescent="0.25">
      <c r="A2313" s="191">
        <v>7207</v>
      </c>
      <c r="B2313" s="17" t="s">
        <v>279</v>
      </c>
      <c r="C2313" s="18">
        <v>0</v>
      </c>
    </row>
    <row r="2314" spans="1:3" ht="15" hidden="1" x14ac:dyDescent="0.25">
      <c r="A2314" s="191"/>
      <c r="B2314" s="17" t="s">
        <v>256</v>
      </c>
      <c r="C2314" s="18">
        <v>0</v>
      </c>
    </row>
    <row r="2315" spans="1:3" ht="15" hidden="1" x14ac:dyDescent="0.25">
      <c r="A2315" s="191"/>
      <c r="B2315" s="17" t="s">
        <v>272</v>
      </c>
      <c r="C2315" s="18">
        <v>0</v>
      </c>
    </row>
    <row r="2316" spans="1:3" ht="15" hidden="1" x14ac:dyDescent="0.25">
      <c r="A2316" s="191"/>
      <c r="B2316" s="17" t="s">
        <v>318</v>
      </c>
      <c r="C2316" s="18">
        <v>0</v>
      </c>
    </row>
    <row r="2317" spans="1:3" ht="15" hidden="1" x14ac:dyDescent="0.25">
      <c r="A2317" s="191">
        <v>7319</v>
      </c>
      <c r="B2317" s="17">
        <v>0</v>
      </c>
      <c r="C2317" s="18">
        <v>0</v>
      </c>
    </row>
    <row r="2318" spans="1:3" ht="15" hidden="1" x14ac:dyDescent="0.25">
      <c r="A2318" s="191"/>
      <c r="B2318" s="17" t="s">
        <v>257</v>
      </c>
      <c r="C2318" s="18">
        <v>0</v>
      </c>
    </row>
    <row r="2319" spans="1:3" ht="15" hidden="1" x14ac:dyDescent="0.25">
      <c r="A2319" s="59"/>
      <c r="B2319" s="17" t="s">
        <v>304</v>
      </c>
      <c r="C2319" s="18">
        <v>0</v>
      </c>
    </row>
    <row r="2320" spans="1:3" ht="15" hidden="1" x14ac:dyDescent="0.25">
      <c r="A2320" s="189"/>
      <c r="B2320" s="17" t="s">
        <v>269</v>
      </c>
      <c r="C2320" s="18">
        <v>0</v>
      </c>
    </row>
    <row r="2321" spans="1:3" ht="15" hidden="1" x14ac:dyDescent="0.25">
      <c r="A2321" s="190"/>
      <c r="B2321" s="17" t="s">
        <v>299</v>
      </c>
      <c r="C2321" s="18">
        <v>0</v>
      </c>
    </row>
    <row r="2322" spans="1:3" ht="15" hidden="1" x14ac:dyDescent="0.25">
      <c r="A2322" s="190"/>
      <c r="B2322" s="17" t="s">
        <v>245</v>
      </c>
      <c r="C2322" s="18">
        <v>0</v>
      </c>
    </row>
    <row r="2323" spans="1:3" ht="15" hidden="1" x14ac:dyDescent="0.25">
      <c r="A2323" s="190"/>
      <c r="B2323" s="17" t="s">
        <v>249</v>
      </c>
      <c r="C2323" s="18">
        <v>0</v>
      </c>
    </row>
    <row r="2324" spans="1:3" ht="15" hidden="1" x14ac:dyDescent="0.25">
      <c r="A2324" s="190"/>
      <c r="B2324" s="17" t="s">
        <v>274</v>
      </c>
      <c r="C2324" s="18">
        <v>0</v>
      </c>
    </row>
    <row r="2325" spans="1:3" ht="15" hidden="1" x14ac:dyDescent="0.25">
      <c r="A2325" s="190"/>
      <c r="B2325" s="17" t="s">
        <v>260</v>
      </c>
      <c r="C2325" s="18">
        <v>0</v>
      </c>
    </row>
    <row r="2326" spans="1:3" ht="15" hidden="1" x14ac:dyDescent="0.25">
      <c r="A2326" s="190"/>
      <c r="B2326" s="17" t="s">
        <v>285</v>
      </c>
      <c r="C2326" s="18">
        <v>0</v>
      </c>
    </row>
    <row r="2327" spans="1:3" ht="15" hidden="1" x14ac:dyDescent="0.25">
      <c r="A2327" s="190"/>
      <c r="B2327" s="17" t="s">
        <v>264</v>
      </c>
      <c r="C2327" s="18">
        <v>0</v>
      </c>
    </row>
    <row r="2328" spans="1:3" ht="15" hidden="1" x14ac:dyDescent="0.25">
      <c r="A2328" s="190"/>
      <c r="B2328" s="17" t="s">
        <v>319</v>
      </c>
      <c r="C2328" s="18">
        <v>0</v>
      </c>
    </row>
    <row r="2329" spans="1:3" ht="15" hidden="1" x14ac:dyDescent="0.25">
      <c r="A2329" s="190"/>
      <c r="B2329" s="17" t="s">
        <v>318</v>
      </c>
      <c r="C2329" s="18">
        <v>0</v>
      </c>
    </row>
    <row r="2330" spans="1:3" ht="15" hidden="1" x14ac:dyDescent="0.25">
      <c r="A2330" s="189">
        <v>7323</v>
      </c>
      <c r="B2330" s="17">
        <v>0</v>
      </c>
      <c r="C2330" s="18">
        <v>0</v>
      </c>
    </row>
    <row r="2331" spans="1:3" ht="15" hidden="1" x14ac:dyDescent="0.25">
      <c r="A2331" s="190">
        <v>7350</v>
      </c>
      <c r="B2331" s="17">
        <v>0</v>
      </c>
      <c r="C2331" s="18">
        <v>0</v>
      </c>
    </row>
    <row r="2332" spans="1:3" ht="15" hidden="1" x14ac:dyDescent="0.25">
      <c r="A2332" s="190"/>
      <c r="B2332" s="17" t="s">
        <v>251</v>
      </c>
      <c r="C2332" s="18">
        <v>0</v>
      </c>
    </row>
    <row r="2333" spans="1:3" ht="15" hidden="1" x14ac:dyDescent="0.25">
      <c r="A2333" s="190"/>
      <c r="B2333" s="17" t="s">
        <v>262</v>
      </c>
      <c r="C2333" s="18">
        <v>0</v>
      </c>
    </row>
    <row r="2334" spans="1:3" ht="15" hidden="1" x14ac:dyDescent="0.25">
      <c r="A2334" s="190"/>
      <c r="B2334" s="17" t="s">
        <v>245</v>
      </c>
      <c r="C2334" s="18">
        <v>0</v>
      </c>
    </row>
    <row r="2335" spans="1:3" ht="15" hidden="1" x14ac:dyDescent="0.25">
      <c r="A2335" s="190"/>
      <c r="B2335" s="17" t="s">
        <v>249</v>
      </c>
      <c r="C2335" s="18">
        <v>0</v>
      </c>
    </row>
    <row r="2336" spans="1:3" ht="15" hidden="1" x14ac:dyDescent="0.25">
      <c r="A2336" s="190"/>
      <c r="B2336" s="17" t="s">
        <v>264</v>
      </c>
      <c r="C2336" s="18">
        <v>0</v>
      </c>
    </row>
    <row r="2337" spans="1:3" ht="15" hidden="1" x14ac:dyDescent="0.25">
      <c r="A2337" s="190"/>
      <c r="B2337" s="17" t="s">
        <v>319</v>
      </c>
      <c r="C2337" s="18">
        <v>0</v>
      </c>
    </row>
    <row r="2338" spans="1:3" ht="15" hidden="1" x14ac:dyDescent="0.25">
      <c r="A2338" s="190"/>
      <c r="B2338" s="17" t="s">
        <v>318</v>
      </c>
      <c r="C2338" s="18">
        <v>0</v>
      </c>
    </row>
    <row r="2339" spans="1:3" ht="15" hidden="1" x14ac:dyDescent="0.25">
      <c r="A2339" s="190"/>
      <c r="B2339" s="17" t="s">
        <v>80</v>
      </c>
      <c r="C2339" s="18">
        <v>0</v>
      </c>
    </row>
    <row r="2340" spans="1:3" ht="15" hidden="1" x14ac:dyDescent="0.25">
      <c r="A2340" s="189"/>
      <c r="B2340" s="17" t="s">
        <v>79</v>
      </c>
      <c r="C2340" s="18">
        <v>0</v>
      </c>
    </row>
    <row r="2341" spans="1:3" ht="15" hidden="1" x14ac:dyDescent="0.25">
      <c r="A2341" s="190">
        <v>6936</v>
      </c>
      <c r="B2341" s="17">
        <v>0</v>
      </c>
      <c r="C2341" s="18">
        <v>0</v>
      </c>
    </row>
    <row r="2342" spans="1:3" ht="15" hidden="1" x14ac:dyDescent="0.25">
      <c r="A2342" s="190"/>
      <c r="B2342" s="17" t="s">
        <v>258</v>
      </c>
      <c r="C2342" s="18">
        <v>0</v>
      </c>
    </row>
    <row r="2343" spans="1:3" ht="15" hidden="1" x14ac:dyDescent="0.25">
      <c r="A2343" s="190"/>
      <c r="B2343" s="17" t="s">
        <v>72</v>
      </c>
      <c r="C2343" s="18">
        <v>0</v>
      </c>
    </row>
    <row r="2344" spans="1:3" ht="15" hidden="1" x14ac:dyDescent="0.25">
      <c r="A2344" s="190"/>
      <c r="B2344" s="17" t="s">
        <v>318</v>
      </c>
      <c r="C2344" s="18">
        <v>0</v>
      </c>
    </row>
    <row r="2345" spans="1:3" ht="15" hidden="1" x14ac:dyDescent="0.25">
      <c r="A2345" s="190">
        <v>7368</v>
      </c>
      <c r="B2345" s="17">
        <v>0</v>
      </c>
      <c r="C2345" s="18">
        <v>0</v>
      </c>
    </row>
    <row r="2346" spans="1:3" ht="15" hidden="1" x14ac:dyDescent="0.25">
      <c r="A2346" s="190">
        <v>7365</v>
      </c>
      <c r="B2346" s="17" t="s">
        <v>306</v>
      </c>
      <c r="C2346" s="18">
        <v>0</v>
      </c>
    </row>
    <row r="2347" spans="1:3" ht="15" hidden="1" x14ac:dyDescent="0.25">
      <c r="A2347" s="190">
        <v>7370</v>
      </c>
      <c r="B2347" s="17" t="s">
        <v>253</v>
      </c>
      <c r="C2347" s="18">
        <v>0</v>
      </c>
    </row>
    <row r="2348" spans="1:3" ht="15" hidden="1" x14ac:dyDescent="0.25">
      <c r="A2348" s="189">
        <v>7373</v>
      </c>
      <c r="B2348" s="17" t="s">
        <v>247</v>
      </c>
      <c r="C2348" s="18">
        <v>0</v>
      </c>
    </row>
    <row r="2349" spans="1:3" ht="15" hidden="1" x14ac:dyDescent="0.25">
      <c r="A2349" s="191">
        <v>7393</v>
      </c>
      <c r="B2349" s="17">
        <v>0</v>
      </c>
      <c r="C2349" s="18">
        <v>0</v>
      </c>
    </row>
    <row r="2350" spans="1:3" ht="15" hidden="1" x14ac:dyDescent="0.25">
      <c r="A2350" s="191"/>
      <c r="B2350" s="17" t="s">
        <v>72</v>
      </c>
      <c r="C2350" s="18">
        <v>0</v>
      </c>
    </row>
    <row r="2351" spans="1:3" ht="15" hidden="1" x14ac:dyDescent="0.25">
      <c r="A2351" s="191">
        <v>7407</v>
      </c>
      <c r="B2351" s="17">
        <v>0</v>
      </c>
      <c r="C2351" s="18">
        <v>0</v>
      </c>
    </row>
    <row r="2352" spans="1:3" ht="15" hidden="1" x14ac:dyDescent="0.25">
      <c r="A2352" s="191">
        <v>7411</v>
      </c>
      <c r="B2352" s="17" t="s">
        <v>309</v>
      </c>
      <c r="C2352" s="18">
        <v>0</v>
      </c>
    </row>
    <row r="2353" spans="1:3" ht="15" hidden="1" x14ac:dyDescent="0.25">
      <c r="A2353" s="191"/>
      <c r="B2353" s="17" t="s">
        <v>318</v>
      </c>
      <c r="C2353" s="18">
        <v>0</v>
      </c>
    </row>
    <row r="2354" spans="1:3" ht="15" x14ac:dyDescent="0.25">
      <c r="A2354" s="191"/>
      <c r="B2354" s="17" t="s">
        <v>449</v>
      </c>
      <c r="C2354" s="18">
        <v>1</v>
      </c>
    </row>
    <row r="2355" spans="1:3" ht="15" hidden="1" x14ac:dyDescent="0.25">
      <c r="A2355" s="191">
        <v>7409</v>
      </c>
      <c r="B2355" s="17" t="s">
        <v>306</v>
      </c>
      <c r="C2355" s="18">
        <v>0</v>
      </c>
    </row>
    <row r="2356" spans="1:3" ht="15" hidden="1" x14ac:dyDescent="0.25">
      <c r="A2356" s="191">
        <v>7426</v>
      </c>
      <c r="B2356" s="17">
        <v>0</v>
      </c>
      <c r="C2356" s="18">
        <v>0</v>
      </c>
    </row>
    <row r="2357" spans="1:3" ht="15" hidden="1" x14ac:dyDescent="0.25">
      <c r="A2357" s="191"/>
      <c r="B2357" s="17" t="s">
        <v>257</v>
      </c>
      <c r="C2357" s="18">
        <v>0</v>
      </c>
    </row>
    <row r="2358" spans="1:3" ht="15" hidden="1" x14ac:dyDescent="0.25">
      <c r="A2358" s="191"/>
      <c r="B2358" s="17" t="s">
        <v>278</v>
      </c>
      <c r="C2358" s="18">
        <v>0</v>
      </c>
    </row>
    <row r="2359" spans="1:3" ht="15" hidden="1" x14ac:dyDescent="0.25">
      <c r="A2359" s="191"/>
      <c r="B2359" s="17" t="s">
        <v>246</v>
      </c>
      <c r="C2359" s="18">
        <v>0</v>
      </c>
    </row>
    <row r="2360" spans="1:3" ht="15" hidden="1" x14ac:dyDescent="0.25">
      <c r="A2360" s="191"/>
      <c r="B2360" s="17" t="s">
        <v>289</v>
      </c>
      <c r="C2360" s="18">
        <v>0</v>
      </c>
    </row>
    <row r="2361" spans="1:3" ht="15" hidden="1" x14ac:dyDescent="0.25">
      <c r="A2361" s="191"/>
      <c r="B2361" s="17" t="s">
        <v>267</v>
      </c>
      <c r="C2361" s="18">
        <v>0</v>
      </c>
    </row>
    <row r="2362" spans="1:3" ht="15" hidden="1" x14ac:dyDescent="0.25">
      <c r="A2362" s="191"/>
      <c r="B2362" s="17" t="s">
        <v>311</v>
      </c>
      <c r="C2362" s="18">
        <v>0</v>
      </c>
    </row>
    <row r="2363" spans="1:3" ht="15" hidden="1" x14ac:dyDescent="0.25">
      <c r="A2363" s="191"/>
      <c r="B2363" s="17" t="s">
        <v>269</v>
      </c>
      <c r="C2363" s="18">
        <v>0</v>
      </c>
    </row>
    <row r="2364" spans="1:3" ht="15" hidden="1" x14ac:dyDescent="0.25">
      <c r="A2364" s="59"/>
      <c r="B2364" s="17" t="s">
        <v>275</v>
      </c>
      <c r="C2364" s="18">
        <v>0</v>
      </c>
    </row>
    <row r="2365" spans="1:3" ht="15" hidden="1" x14ac:dyDescent="0.25">
      <c r="A2365" s="190"/>
      <c r="B2365" s="17" t="s">
        <v>262</v>
      </c>
      <c r="C2365" s="18">
        <v>0</v>
      </c>
    </row>
    <row r="2366" spans="1:3" ht="15" hidden="1" x14ac:dyDescent="0.25">
      <c r="A2366" s="190"/>
      <c r="B2366" s="17" t="s">
        <v>276</v>
      </c>
      <c r="C2366" s="18">
        <v>0</v>
      </c>
    </row>
    <row r="2367" spans="1:3" ht="15" x14ac:dyDescent="0.25">
      <c r="A2367" s="190"/>
      <c r="B2367" s="17" t="s">
        <v>245</v>
      </c>
      <c r="C2367" s="18">
        <v>1</v>
      </c>
    </row>
    <row r="2368" spans="1:3" ht="15" hidden="1" x14ac:dyDescent="0.25">
      <c r="A2368" s="190"/>
      <c r="B2368" s="17" t="s">
        <v>249</v>
      </c>
      <c r="C2368" s="18">
        <v>0</v>
      </c>
    </row>
    <row r="2369" spans="1:3" ht="15" hidden="1" x14ac:dyDescent="0.25">
      <c r="A2369" s="190"/>
      <c r="B2369" s="17" t="s">
        <v>274</v>
      </c>
      <c r="C2369" s="18">
        <v>0</v>
      </c>
    </row>
    <row r="2370" spans="1:3" ht="15" hidden="1" x14ac:dyDescent="0.25">
      <c r="A2370" s="190"/>
      <c r="B2370" s="17" t="s">
        <v>260</v>
      </c>
      <c r="C2370" s="18">
        <v>0</v>
      </c>
    </row>
    <row r="2371" spans="1:3" ht="15" hidden="1" x14ac:dyDescent="0.25">
      <c r="A2371" s="190"/>
      <c r="B2371" s="17" t="s">
        <v>293</v>
      </c>
      <c r="C2371" s="18">
        <v>0</v>
      </c>
    </row>
    <row r="2372" spans="1:3" ht="15" hidden="1" x14ac:dyDescent="0.25">
      <c r="A2372" s="190"/>
      <c r="B2372" s="17" t="s">
        <v>72</v>
      </c>
      <c r="C2372" s="18">
        <v>0</v>
      </c>
    </row>
    <row r="2373" spans="1:3" ht="15" hidden="1" x14ac:dyDescent="0.25">
      <c r="A2373" s="190"/>
      <c r="B2373" s="17" t="s">
        <v>255</v>
      </c>
      <c r="C2373" s="18">
        <v>0</v>
      </c>
    </row>
    <row r="2374" spans="1:3" ht="15" hidden="1" x14ac:dyDescent="0.25">
      <c r="A2374" s="189"/>
      <c r="B2374" s="17" t="s">
        <v>318</v>
      </c>
      <c r="C2374" s="18">
        <v>0</v>
      </c>
    </row>
    <row r="2375" spans="1:3" ht="15" hidden="1" x14ac:dyDescent="0.25">
      <c r="A2375" s="189">
        <v>7352</v>
      </c>
      <c r="B2375" s="17" t="s">
        <v>257</v>
      </c>
      <c r="C2375" s="18">
        <v>0</v>
      </c>
    </row>
    <row r="2376" spans="1:3" ht="15" hidden="1" x14ac:dyDescent="0.25">
      <c r="A2376" s="189"/>
      <c r="B2376" s="17" t="s">
        <v>278</v>
      </c>
      <c r="C2376" s="18">
        <v>0</v>
      </c>
    </row>
    <row r="2377" spans="1:3" ht="15" hidden="1" x14ac:dyDescent="0.25">
      <c r="A2377" s="190"/>
      <c r="B2377" s="17" t="s">
        <v>258</v>
      </c>
      <c r="C2377" s="18">
        <v>0</v>
      </c>
    </row>
    <row r="2378" spans="1:3" ht="15" hidden="1" x14ac:dyDescent="0.25">
      <c r="A2378" s="190"/>
      <c r="B2378" s="17" t="s">
        <v>298</v>
      </c>
      <c r="C2378" s="18">
        <v>0</v>
      </c>
    </row>
    <row r="2379" spans="1:3" ht="15" hidden="1" x14ac:dyDescent="0.25">
      <c r="A2379" s="190"/>
      <c r="B2379" s="17" t="s">
        <v>280</v>
      </c>
      <c r="C2379" s="18">
        <v>0</v>
      </c>
    </row>
    <row r="2380" spans="1:3" ht="15" hidden="1" x14ac:dyDescent="0.25">
      <c r="A2380" s="190"/>
      <c r="B2380" s="17" t="s">
        <v>299</v>
      </c>
      <c r="C2380" s="18">
        <v>0</v>
      </c>
    </row>
    <row r="2381" spans="1:3" ht="15" hidden="1" x14ac:dyDescent="0.25">
      <c r="A2381" s="189"/>
      <c r="B2381" s="17" t="s">
        <v>245</v>
      </c>
      <c r="C2381" s="18">
        <v>0</v>
      </c>
    </row>
    <row r="2382" spans="1:3" ht="15" hidden="1" x14ac:dyDescent="0.25">
      <c r="A2382" s="191"/>
      <c r="B2382" s="17" t="s">
        <v>266</v>
      </c>
      <c r="C2382" s="18">
        <v>0</v>
      </c>
    </row>
    <row r="2383" spans="1:3" ht="15" hidden="1" x14ac:dyDescent="0.25">
      <c r="A2383" s="191"/>
      <c r="B2383" s="17" t="s">
        <v>318</v>
      </c>
      <c r="C2383" s="18">
        <v>0</v>
      </c>
    </row>
    <row r="2384" spans="1:3" ht="15" hidden="1" x14ac:dyDescent="0.25">
      <c r="A2384" s="191">
        <v>7389</v>
      </c>
      <c r="B2384" s="17" t="s">
        <v>72</v>
      </c>
      <c r="C2384" s="18">
        <v>0</v>
      </c>
    </row>
    <row r="2385" spans="1:3" ht="15" hidden="1" x14ac:dyDescent="0.25">
      <c r="A2385" s="191">
        <v>6542</v>
      </c>
      <c r="B2385" s="17">
        <v>0</v>
      </c>
      <c r="C2385" s="18">
        <v>0</v>
      </c>
    </row>
    <row r="2386" spans="1:3" ht="15" hidden="1" x14ac:dyDescent="0.25">
      <c r="A2386" s="191"/>
      <c r="B2386" s="17" t="s">
        <v>247</v>
      </c>
      <c r="C2386" s="18">
        <v>0</v>
      </c>
    </row>
    <row r="2387" spans="1:3" ht="15" hidden="1" x14ac:dyDescent="0.25">
      <c r="A2387" s="191"/>
      <c r="B2387" s="17" t="s">
        <v>256</v>
      </c>
      <c r="C2387" s="18">
        <v>0</v>
      </c>
    </row>
    <row r="2388" spans="1:3" ht="15" hidden="1" x14ac:dyDescent="0.25">
      <c r="A2388" s="191"/>
      <c r="B2388" s="17" t="s">
        <v>283</v>
      </c>
      <c r="C2388" s="18">
        <v>0</v>
      </c>
    </row>
    <row r="2389" spans="1:3" ht="15" hidden="1" x14ac:dyDescent="0.25">
      <c r="A2389" s="191"/>
      <c r="B2389" s="17" t="s">
        <v>245</v>
      </c>
      <c r="C2389" s="18">
        <v>0</v>
      </c>
    </row>
    <row r="2390" spans="1:3" ht="15" hidden="1" x14ac:dyDescent="0.25">
      <c r="A2390" s="59"/>
      <c r="B2390" s="17" t="s">
        <v>248</v>
      </c>
      <c r="C2390" s="18">
        <v>0</v>
      </c>
    </row>
    <row r="2391" spans="1:3" ht="15" hidden="1" x14ac:dyDescent="0.25">
      <c r="A2391" s="191"/>
      <c r="B2391" s="17" t="s">
        <v>249</v>
      </c>
      <c r="C2391" s="18">
        <v>0</v>
      </c>
    </row>
    <row r="2392" spans="1:3" ht="15" hidden="1" x14ac:dyDescent="0.25">
      <c r="A2392" s="191"/>
      <c r="B2392" s="17" t="s">
        <v>264</v>
      </c>
      <c r="C2392" s="18">
        <v>0</v>
      </c>
    </row>
    <row r="2393" spans="1:3" ht="15" hidden="1" x14ac:dyDescent="0.25">
      <c r="A2393" s="191"/>
      <c r="B2393" s="17" t="s">
        <v>319</v>
      </c>
      <c r="C2393" s="18">
        <v>0</v>
      </c>
    </row>
    <row r="2394" spans="1:3" ht="15" hidden="1" x14ac:dyDescent="0.25">
      <c r="A2394" s="191"/>
      <c r="B2394" s="17" t="s">
        <v>318</v>
      </c>
      <c r="C2394" s="18">
        <v>0</v>
      </c>
    </row>
    <row r="2395" spans="1:3" ht="15" hidden="1" x14ac:dyDescent="0.25">
      <c r="A2395" s="191"/>
      <c r="B2395" s="17" t="s">
        <v>78</v>
      </c>
      <c r="C2395" s="18">
        <v>0</v>
      </c>
    </row>
    <row r="2396" spans="1:3" ht="15" hidden="1" x14ac:dyDescent="0.25">
      <c r="A2396" s="191"/>
      <c r="B2396" s="17" t="s">
        <v>390</v>
      </c>
      <c r="C2396" s="18">
        <v>0</v>
      </c>
    </row>
    <row r="2397" spans="1:3" ht="15" hidden="1" x14ac:dyDescent="0.25">
      <c r="A2397" s="191">
        <v>7436</v>
      </c>
      <c r="B2397" s="17" t="s">
        <v>318</v>
      </c>
      <c r="C2397" s="18">
        <v>0</v>
      </c>
    </row>
    <row r="2398" spans="1:3" ht="15" hidden="1" x14ac:dyDescent="0.25">
      <c r="A2398" s="59"/>
      <c r="B2398" s="17" t="s">
        <v>394</v>
      </c>
      <c r="C2398" s="18">
        <v>0</v>
      </c>
    </row>
    <row r="2399" spans="1:3" ht="15" hidden="1" x14ac:dyDescent="0.25">
      <c r="A2399" s="191">
        <v>7482</v>
      </c>
      <c r="B2399" s="17" t="s">
        <v>319</v>
      </c>
      <c r="C2399" s="18">
        <v>0</v>
      </c>
    </row>
    <row r="2400" spans="1:3" ht="15" hidden="1" x14ac:dyDescent="0.25">
      <c r="A2400" s="191">
        <v>7485</v>
      </c>
      <c r="B2400" s="17">
        <v>0</v>
      </c>
      <c r="C2400" s="18">
        <v>0</v>
      </c>
    </row>
    <row r="2401" spans="1:3" ht="15" hidden="1" x14ac:dyDescent="0.25">
      <c r="A2401" s="191"/>
      <c r="B2401" s="17" t="s">
        <v>251</v>
      </c>
      <c r="C2401" s="18">
        <v>0</v>
      </c>
    </row>
    <row r="2402" spans="1:3" ht="15" hidden="1" x14ac:dyDescent="0.25">
      <c r="A2402" s="191"/>
      <c r="B2402" s="17" t="s">
        <v>256</v>
      </c>
      <c r="C2402" s="18">
        <v>0</v>
      </c>
    </row>
    <row r="2403" spans="1:3" ht="15" hidden="1" x14ac:dyDescent="0.25">
      <c r="A2403" s="191"/>
      <c r="B2403" s="17" t="s">
        <v>270</v>
      </c>
      <c r="C2403" s="18">
        <v>0</v>
      </c>
    </row>
    <row r="2404" spans="1:3" ht="15" hidden="1" x14ac:dyDescent="0.25">
      <c r="A2404" s="191"/>
      <c r="B2404" s="17" t="s">
        <v>245</v>
      </c>
      <c r="C2404" s="18">
        <v>0</v>
      </c>
    </row>
    <row r="2405" spans="1:3" ht="15" hidden="1" x14ac:dyDescent="0.25">
      <c r="A2405" s="59"/>
      <c r="B2405" s="17" t="s">
        <v>249</v>
      </c>
      <c r="C2405" s="18">
        <v>0</v>
      </c>
    </row>
    <row r="2406" spans="1:3" ht="15" hidden="1" x14ac:dyDescent="0.25">
      <c r="A2406" s="191"/>
      <c r="B2406" s="17" t="s">
        <v>264</v>
      </c>
      <c r="C2406" s="18">
        <v>0</v>
      </c>
    </row>
    <row r="2407" spans="1:3" ht="15" hidden="1" x14ac:dyDescent="0.25">
      <c r="A2407" s="190"/>
      <c r="B2407" s="17" t="s">
        <v>319</v>
      </c>
      <c r="C2407" s="18">
        <v>0</v>
      </c>
    </row>
    <row r="2408" spans="1:3" ht="15" hidden="1" x14ac:dyDescent="0.25">
      <c r="A2408" s="189"/>
      <c r="B2408" s="17" t="s">
        <v>318</v>
      </c>
      <c r="C2408" s="18">
        <v>0</v>
      </c>
    </row>
    <row r="2409" spans="1:3" ht="15" hidden="1" x14ac:dyDescent="0.25">
      <c r="A2409" s="189"/>
      <c r="B2409" s="17" t="s">
        <v>80</v>
      </c>
      <c r="C2409" s="18">
        <v>0</v>
      </c>
    </row>
    <row r="2410" spans="1:3" ht="15" hidden="1" x14ac:dyDescent="0.25">
      <c r="A2410" s="191"/>
      <c r="B2410" s="17" t="s">
        <v>79</v>
      </c>
      <c r="C2410" s="18">
        <v>0</v>
      </c>
    </row>
    <row r="2411" spans="1:3" ht="15" hidden="1" x14ac:dyDescent="0.25">
      <c r="A2411" s="191">
        <v>7486</v>
      </c>
      <c r="B2411" s="17">
        <v>0</v>
      </c>
      <c r="C2411" s="18">
        <v>0</v>
      </c>
    </row>
    <row r="2412" spans="1:3" ht="15" hidden="1" x14ac:dyDescent="0.25">
      <c r="A2412" s="191"/>
      <c r="B2412" s="17" t="s">
        <v>251</v>
      </c>
      <c r="C2412" s="18">
        <v>0</v>
      </c>
    </row>
    <row r="2413" spans="1:3" ht="15" hidden="1" x14ac:dyDescent="0.25">
      <c r="A2413" s="191"/>
      <c r="B2413" s="17" t="s">
        <v>246</v>
      </c>
      <c r="C2413" s="18">
        <v>0</v>
      </c>
    </row>
    <row r="2414" spans="1:3" ht="15" hidden="1" x14ac:dyDescent="0.25">
      <c r="A2414" s="191"/>
      <c r="B2414" s="17" t="s">
        <v>256</v>
      </c>
      <c r="C2414" s="18">
        <v>0</v>
      </c>
    </row>
    <row r="2415" spans="1:3" ht="15" hidden="1" x14ac:dyDescent="0.25">
      <c r="A2415" s="191"/>
      <c r="B2415" s="17" t="s">
        <v>245</v>
      </c>
      <c r="C2415" s="18">
        <v>0</v>
      </c>
    </row>
    <row r="2416" spans="1:3" ht="15" hidden="1" x14ac:dyDescent="0.25">
      <c r="A2416" s="191"/>
      <c r="B2416" s="17" t="s">
        <v>249</v>
      </c>
      <c r="C2416" s="18">
        <v>0</v>
      </c>
    </row>
    <row r="2417" spans="1:3" ht="15" hidden="1" x14ac:dyDescent="0.25">
      <c r="A2417" s="191"/>
      <c r="B2417" s="17" t="s">
        <v>260</v>
      </c>
      <c r="C2417" s="18">
        <v>0</v>
      </c>
    </row>
    <row r="2418" spans="1:3" ht="15" hidden="1" x14ac:dyDescent="0.25">
      <c r="A2418" s="59"/>
      <c r="B2418" s="17" t="s">
        <v>264</v>
      </c>
      <c r="C2418" s="18">
        <v>0</v>
      </c>
    </row>
    <row r="2419" spans="1:3" ht="15" hidden="1" x14ac:dyDescent="0.25">
      <c r="A2419" s="190"/>
      <c r="B2419" s="17" t="s">
        <v>319</v>
      </c>
      <c r="C2419" s="18">
        <v>0</v>
      </c>
    </row>
    <row r="2420" spans="1:3" ht="15" hidden="1" x14ac:dyDescent="0.25">
      <c r="A2420" s="189"/>
      <c r="B2420" s="17" t="s">
        <v>318</v>
      </c>
      <c r="C2420" s="18">
        <v>0</v>
      </c>
    </row>
    <row r="2421" spans="1:3" ht="15" hidden="1" x14ac:dyDescent="0.25">
      <c r="A2421" s="59"/>
      <c r="B2421" s="17" t="s">
        <v>80</v>
      </c>
      <c r="C2421" s="18">
        <v>0</v>
      </c>
    </row>
    <row r="2422" spans="1:3" ht="15" hidden="1" x14ac:dyDescent="0.25">
      <c r="A2422" s="191"/>
      <c r="B2422" s="17" t="s">
        <v>79</v>
      </c>
      <c r="C2422" s="18">
        <v>0</v>
      </c>
    </row>
    <row r="2423" spans="1:3" ht="15" hidden="1" x14ac:dyDescent="0.25">
      <c r="A2423" s="191">
        <v>7488</v>
      </c>
      <c r="B2423" s="17">
        <v>0</v>
      </c>
      <c r="C2423" s="18">
        <v>0</v>
      </c>
    </row>
    <row r="2424" spans="1:3" ht="15" hidden="1" x14ac:dyDescent="0.25">
      <c r="A2424" s="191"/>
      <c r="B2424" s="17" t="s">
        <v>251</v>
      </c>
      <c r="C2424" s="18">
        <v>0</v>
      </c>
    </row>
    <row r="2425" spans="1:3" ht="15" hidden="1" x14ac:dyDescent="0.25">
      <c r="A2425" s="191"/>
      <c r="B2425" s="17" t="s">
        <v>256</v>
      </c>
      <c r="C2425" s="18">
        <v>0</v>
      </c>
    </row>
    <row r="2426" spans="1:3" ht="15" hidden="1" x14ac:dyDescent="0.25">
      <c r="A2426" s="191"/>
      <c r="B2426" s="17" t="s">
        <v>270</v>
      </c>
      <c r="C2426" s="18">
        <v>0</v>
      </c>
    </row>
    <row r="2427" spans="1:3" ht="15" hidden="1" x14ac:dyDescent="0.25">
      <c r="A2427" s="191"/>
      <c r="B2427" s="17" t="s">
        <v>245</v>
      </c>
      <c r="C2427" s="18">
        <v>0</v>
      </c>
    </row>
    <row r="2428" spans="1:3" ht="15" hidden="1" x14ac:dyDescent="0.25">
      <c r="A2428" s="59"/>
      <c r="B2428" s="17" t="s">
        <v>249</v>
      </c>
      <c r="C2428" s="18">
        <v>0</v>
      </c>
    </row>
    <row r="2429" spans="1:3" ht="15" hidden="1" x14ac:dyDescent="0.25">
      <c r="A2429" s="189"/>
      <c r="B2429" s="17" t="s">
        <v>264</v>
      </c>
      <c r="C2429" s="18">
        <v>0</v>
      </c>
    </row>
    <row r="2430" spans="1:3" ht="15" hidden="1" x14ac:dyDescent="0.25">
      <c r="A2430" s="189"/>
      <c r="B2430" s="17" t="s">
        <v>319</v>
      </c>
      <c r="C2430" s="18">
        <v>0</v>
      </c>
    </row>
    <row r="2431" spans="1:3" ht="15" hidden="1" x14ac:dyDescent="0.25">
      <c r="A2431" s="59"/>
      <c r="B2431" s="17" t="s">
        <v>318</v>
      </c>
      <c r="C2431" s="18">
        <v>0</v>
      </c>
    </row>
    <row r="2432" spans="1:3" ht="15" hidden="1" x14ac:dyDescent="0.25">
      <c r="A2432" s="191"/>
      <c r="B2432" s="17" t="s">
        <v>80</v>
      </c>
      <c r="C2432" s="18">
        <v>0</v>
      </c>
    </row>
    <row r="2433" spans="1:3" ht="15" hidden="1" x14ac:dyDescent="0.25">
      <c r="A2433" s="191"/>
      <c r="B2433" s="17" t="s">
        <v>79</v>
      </c>
      <c r="C2433" s="18">
        <v>0</v>
      </c>
    </row>
    <row r="2434" spans="1:3" ht="15" hidden="1" x14ac:dyDescent="0.25">
      <c r="A2434" s="191">
        <v>7495</v>
      </c>
      <c r="B2434" s="17">
        <v>0</v>
      </c>
      <c r="C2434" s="18">
        <v>0</v>
      </c>
    </row>
    <row r="2435" spans="1:3" ht="15" hidden="1" x14ac:dyDescent="0.25">
      <c r="A2435" s="191"/>
      <c r="B2435" s="17" t="s">
        <v>246</v>
      </c>
      <c r="C2435" s="18">
        <v>0</v>
      </c>
    </row>
    <row r="2436" spans="1:3" ht="15" hidden="1" x14ac:dyDescent="0.25">
      <c r="A2436" s="191"/>
      <c r="B2436" s="17" t="s">
        <v>265</v>
      </c>
      <c r="C2436" s="18">
        <v>0</v>
      </c>
    </row>
    <row r="2437" spans="1:3" ht="15" hidden="1" x14ac:dyDescent="0.25">
      <c r="A2437" s="191"/>
      <c r="B2437" s="17" t="s">
        <v>256</v>
      </c>
      <c r="C2437" s="18">
        <v>0</v>
      </c>
    </row>
    <row r="2438" spans="1:3" ht="15" hidden="1" x14ac:dyDescent="0.25">
      <c r="A2438" s="191"/>
      <c r="B2438" s="17" t="s">
        <v>270</v>
      </c>
      <c r="C2438" s="18">
        <v>0</v>
      </c>
    </row>
    <row r="2439" spans="1:3" ht="15" hidden="1" x14ac:dyDescent="0.25">
      <c r="A2439" s="191"/>
      <c r="B2439" s="17" t="s">
        <v>264</v>
      </c>
      <c r="C2439" s="18">
        <v>0</v>
      </c>
    </row>
    <row r="2440" spans="1:3" ht="15" hidden="1" x14ac:dyDescent="0.25">
      <c r="A2440" s="191"/>
      <c r="B2440" s="17" t="s">
        <v>318</v>
      </c>
      <c r="C2440" s="18">
        <v>0</v>
      </c>
    </row>
    <row r="2441" spans="1:3" ht="15" hidden="1" x14ac:dyDescent="0.25">
      <c r="A2441" s="59"/>
      <c r="B2441" s="17" t="s">
        <v>80</v>
      </c>
      <c r="C2441" s="18">
        <v>0</v>
      </c>
    </row>
    <row r="2442" spans="1:3" ht="15" hidden="1" x14ac:dyDescent="0.25">
      <c r="A2442" s="190">
        <v>7491</v>
      </c>
      <c r="B2442" s="17">
        <v>0</v>
      </c>
      <c r="C2442" s="18">
        <v>0</v>
      </c>
    </row>
    <row r="2443" spans="1:3" ht="15" hidden="1" x14ac:dyDescent="0.25">
      <c r="A2443" s="190"/>
      <c r="B2443" s="17" t="s">
        <v>251</v>
      </c>
      <c r="C2443" s="18">
        <v>0</v>
      </c>
    </row>
    <row r="2444" spans="1:3" ht="15" hidden="1" x14ac:dyDescent="0.25">
      <c r="A2444" s="190"/>
      <c r="B2444" s="17" t="s">
        <v>246</v>
      </c>
      <c r="C2444" s="18">
        <v>0</v>
      </c>
    </row>
    <row r="2445" spans="1:3" ht="15" hidden="1" x14ac:dyDescent="0.25">
      <c r="A2445" s="190"/>
      <c r="B2445" s="17" t="s">
        <v>289</v>
      </c>
      <c r="C2445" s="18">
        <v>0</v>
      </c>
    </row>
    <row r="2446" spans="1:3" ht="15" hidden="1" x14ac:dyDescent="0.25">
      <c r="A2446" s="190"/>
      <c r="B2446" s="17" t="s">
        <v>267</v>
      </c>
      <c r="C2446" s="18">
        <v>0</v>
      </c>
    </row>
    <row r="2447" spans="1:3" ht="15" hidden="1" x14ac:dyDescent="0.25">
      <c r="A2447" s="189"/>
      <c r="B2447" s="17" t="s">
        <v>250</v>
      </c>
      <c r="C2447" s="18">
        <v>0</v>
      </c>
    </row>
    <row r="2448" spans="1:3" ht="15" hidden="1" x14ac:dyDescent="0.25">
      <c r="A2448" s="189"/>
      <c r="B2448" s="17" t="s">
        <v>291</v>
      </c>
      <c r="C2448" s="18">
        <v>0</v>
      </c>
    </row>
    <row r="2449" spans="1:3" ht="15" hidden="1" x14ac:dyDescent="0.25">
      <c r="A2449" s="191"/>
      <c r="B2449" s="17" t="s">
        <v>258</v>
      </c>
      <c r="C2449" s="18">
        <v>0</v>
      </c>
    </row>
    <row r="2450" spans="1:3" ht="15" hidden="1" x14ac:dyDescent="0.25">
      <c r="A2450" s="191"/>
      <c r="B2450" s="17" t="s">
        <v>287</v>
      </c>
      <c r="C2450" s="18">
        <v>0</v>
      </c>
    </row>
    <row r="2451" spans="1:3" ht="15" hidden="1" x14ac:dyDescent="0.25">
      <c r="A2451" s="191"/>
      <c r="B2451" s="17" t="s">
        <v>256</v>
      </c>
      <c r="C2451" s="18">
        <v>0</v>
      </c>
    </row>
    <row r="2452" spans="1:3" ht="15" hidden="1" x14ac:dyDescent="0.25">
      <c r="A2452" s="191"/>
      <c r="B2452" s="17" t="s">
        <v>245</v>
      </c>
      <c r="C2452" s="18">
        <v>0</v>
      </c>
    </row>
    <row r="2453" spans="1:3" ht="15" hidden="1" x14ac:dyDescent="0.25">
      <c r="A2453" s="191"/>
      <c r="B2453" s="17" t="s">
        <v>248</v>
      </c>
      <c r="C2453" s="18">
        <v>0</v>
      </c>
    </row>
    <row r="2454" spans="1:3" ht="15" hidden="1" x14ac:dyDescent="0.25">
      <c r="A2454" s="191"/>
      <c r="B2454" s="17" t="s">
        <v>249</v>
      </c>
      <c r="C2454" s="18">
        <v>0</v>
      </c>
    </row>
    <row r="2455" spans="1:3" ht="15" hidden="1" x14ac:dyDescent="0.25">
      <c r="A2455" s="191"/>
      <c r="B2455" s="17" t="s">
        <v>273</v>
      </c>
      <c r="C2455" s="18">
        <v>0</v>
      </c>
    </row>
    <row r="2456" spans="1:3" ht="15" hidden="1" x14ac:dyDescent="0.25">
      <c r="A2456" s="191"/>
      <c r="B2456" s="17" t="s">
        <v>263</v>
      </c>
      <c r="C2456" s="18">
        <v>0</v>
      </c>
    </row>
    <row r="2457" spans="1:3" ht="15" hidden="1" x14ac:dyDescent="0.25">
      <c r="A2457" s="59"/>
      <c r="B2457" s="17" t="s">
        <v>274</v>
      </c>
      <c r="C2457" s="18">
        <v>0</v>
      </c>
    </row>
    <row r="2458" spans="1:3" ht="15" hidden="1" x14ac:dyDescent="0.25">
      <c r="A2458" s="189"/>
      <c r="B2458" s="17" t="s">
        <v>260</v>
      </c>
      <c r="C2458" s="18">
        <v>0</v>
      </c>
    </row>
    <row r="2459" spans="1:3" ht="15" hidden="1" x14ac:dyDescent="0.25">
      <c r="A2459" s="59"/>
      <c r="B2459" s="17" t="s">
        <v>72</v>
      </c>
      <c r="C2459" s="18">
        <v>0</v>
      </c>
    </row>
    <row r="2460" spans="1:3" ht="15" hidden="1" x14ac:dyDescent="0.25">
      <c r="A2460" s="191"/>
      <c r="B2460" s="17" t="s">
        <v>264</v>
      </c>
      <c r="C2460" s="18">
        <v>0</v>
      </c>
    </row>
    <row r="2461" spans="1:3" ht="15" hidden="1" x14ac:dyDescent="0.25">
      <c r="A2461" s="191"/>
      <c r="B2461" s="17" t="s">
        <v>307</v>
      </c>
      <c r="C2461" s="18">
        <v>0</v>
      </c>
    </row>
    <row r="2462" spans="1:3" ht="15" hidden="1" x14ac:dyDescent="0.25">
      <c r="A2462" s="191"/>
      <c r="B2462" s="17" t="s">
        <v>319</v>
      </c>
      <c r="C2462" s="18">
        <v>0</v>
      </c>
    </row>
    <row r="2463" spans="1:3" ht="15" hidden="1" x14ac:dyDescent="0.25">
      <c r="A2463" s="191"/>
      <c r="B2463" s="17" t="s">
        <v>318</v>
      </c>
      <c r="C2463" s="18">
        <v>0</v>
      </c>
    </row>
    <row r="2464" spans="1:3" ht="15" hidden="1" x14ac:dyDescent="0.25">
      <c r="A2464" s="191"/>
      <c r="B2464" s="17" t="s">
        <v>80</v>
      </c>
      <c r="C2464" s="18">
        <v>0</v>
      </c>
    </row>
    <row r="2465" spans="1:3" ht="15" hidden="1" x14ac:dyDescent="0.25">
      <c r="A2465" s="191"/>
      <c r="B2465" s="17" t="s">
        <v>328</v>
      </c>
      <c r="C2465" s="18">
        <v>0</v>
      </c>
    </row>
    <row r="2466" spans="1:3" ht="15" hidden="1" x14ac:dyDescent="0.25">
      <c r="A2466" s="191"/>
      <c r="B2466" s="17" t="s">
        <v>442</v>
      </c>
      <c r="C2466" s="18">
        <v>0</v>
      </c>
    </row>
    <row r="2467" spans="1:3" ht="15" hidden="1" x14ac:dyDescent="0.25">
      <c r="A2467" s="191"/>
      <c r="B2467" s="17" t="s">
        <v>79</v>
      </c>
      <c r="C2467" s="18">
        <v>0</v>
      </c>
    </row>
    <row r="2468" spans="1:3" ht="15" hidden="1" x14ac:dyDescent="0.25">
      <c r="A2468" s="191">
        <v>7330</v>
      </c>
      <c r="B2468" s="17">
        <v>0</v>
      </c>
      <c r="C2468" s="18">
        <v>0</v>
      </c>
    </row>
    <row r="2469" spans="1:3" ht="15" hidden="1" x14ac:dyDescent="0.25">
      <c r="A2469" s="191">
        <v>7508</v>
      </c>
      <c r="B2469" s="17">
        <v>0</v>
      </c>
      <c r="C2469" s="18">
        <v>0</v>
      </c>
    </row>
    <row r="2470" spans="1:3" ht="15" hidden="1" x14ac:dyDescent="0.25">
      <c r="A2470" s="191"/>
      <c r="B2470" s="17" t="s">
        <v>251</v>
      </c>
      <c r="C2470" s="18">
        <v>0</v>
      </c>
    </row>
    <row r="2471" spans="1:3" ht="15" hidden="1" x14ac:dyDescent="0.25">
      <c r="A2471" s="191"/>
      <c r="B2471" s="17" t="s">
        <v>246</v>
      </c>
      <c r="C2471" s="18">
        <v>0</v>
      </c>
    </row>
    <row r="2472" spans="1:3" ht="15" hidden="1" x14ac:dyDescent="0.25">
      <c r="A2472" s="191"/>
      <c r="B2472" s="17" t="s">
        <v>270</v>
      </c>
      <c r="C2472" s="18">
        <v>0</v>
      </c>
    </row>
    <row r="2473" spans="1:3" ht="15" hidden="1" x14ac:dyDescent="0.25">
      <c r="A2473" s="59"/>
      <c r="B2473" s="17" t="s">
        <v>245</v>
      </c>
      <c r="C2473" s="18">
        <v>0</v>
      </c>
    </row>
    <row r="2474" spans="1:3" ht="15" hidden="1" x14ac:dyDescent="0.25">
      <c r="A2474" s="189"/>
      <c r="B2474" s="17" t="s">
        <v>249</v>
      </c>
      <c r="C2474" s="18">
        <v>0</v>
      </c>
    </row>
    <row r="2475" spans="1:3" ht="15" hidden="1" x14ac:dyDescent="0.25">
      <c r="A2475" s="59"/>
      <c r="B2475" s="17" t="s">
        <v>264</v>
      </c>
      <c r="C2475" s="18">
        <v>0</v>
      </c>
    </row>
    <row r="2476" spans="1:3" ht="15" hidden="1" x14ac:dyDescent="0.25">
      <c r="A2476" s="191"/>
      <c r="B2476" s="17" t="s">
        <v>319</v>
      </c>
      <c r="C2476" s="18">
        <v>0</v>
      </c>
    </row>
    <row r="2477" spans="1:3" ht="15" hidden="1" x14ac:dyDescent="0.25">
      <c r="A2477" s="191"/>
      <c r="B2477" s="17" t="s">
        <v>80</v>
      </c>
      <c r="C2477" s="18">
        <v>0</v>
      </c>
    </row>
    <row r="2478" spans="1:3" ht="15" hidden="1" x14ac:dyDescent="0.25">
      <c r="A2478" s="191"/>
      <c r="B2478" s="17" t="s">
        <v>79</v>
      </c>
      <c r="C2478" s="18">
        <v>0</v>
      </c>
    </row>
    <row r="2479" spans="1:3" ht="15" hidden="1" x14ac:dyDescent="0.25">
      <c r="A2479" s="191">
        <v>7509</v>
      </c>
      <c r="B2479" s="17">
        <v>0</v>
      </c>
      <c r="C2479" s="18">
        <v>0</v>
      </c>
    </row>
    <row r="2480" spans="1:3" ht="15" hidden="1" x14ac:dyDescent="0.25">
      <c r="A2480" s="191"/>
      <c r="B2480" s="17" t="s">
        <v>72</v>
      </c>
      <c r="C2480" s="18">
        <v>0</v>
      </c>
    </row>
    <row r="2481" spans="1:3" ht="15" hidden="1" x14ac:dyDescent="0.25">
      <c r="A2481" s="191"/>
      <c r="B2481" s="17" t="s">
        <v>318</v>
      </c>
      <c r="C2481" s="18">
        <v>0</v>
      </c>
    </row>
    <row r="2482" spans="1:3" ht="15" hidden="1" x14ac:dyDescent="0.25">
      <c r="A2482" s="191">
        <v>7516</v>
      </c>
      <c r="B2482" s="17" t="s">
        <v>299</v>
      </c>
      <c r="C2482" s="18">
        <v>0</v>
      </c>
    </row>
    <row r="2483" spans="1:3" ht="15" hidden="1" x14ac:dyDescent="0.25">
      <c r="A2483" s="191">
        <v>7517</v>
      </c>
      <c r="B2483" s="17">
        <v>0</v>
      </c>
      <c r="C2483" s="18">
        <v>0</v>
      </c>
    </row>
    <row r="2484" spans="1:3" ht="15" hidden="1" x14ac:dyDescent="0.25">
      <c r="A2484" s="59"/>
      <c r="B2484" s="17" t="s">
        <v>257</v>
      </c>
      <c r="C2484" s="18">
        <v>0</v>
      </c>
    </row>
    <row r="2485" spans="1:3" ht="15" hidden="1" x14ac:dyDescent="0.25">
      <c r="A2485" s="190"/>
      <c r="B2485" s="17" t="s">
        <v>258</v>
      </c>
      <c r="C2485" s="18">
        <v>0</v>
      </c>
    </row>
    <row r="2486" spans="1:3" ht="15" hidden="1" x14ac:dyDescent="0.25">
      <c r="A2486" s="190">
        <v>7187</v>
      </c>
      <c r="B2486" s="17" t="s">
        <v>280</v>
      </c>
      <c r="C2486" s="18">
        <v>0</v>
      </c>
    </row>
    <row r="2487" spans="1:3" ht="15" hidden="1" x14ac:dyDescent="0.25">
      <c r="A2487" s="189">
        <v>7427</v>
      </c>
      <c r="B2487" s="17" t="s">
        <v>260</v>
      </c>
      <c r="C2487" s="18">
        <v>0</v>
      </c>
    </row>
    <row r="2488" spans="1:3" ht="15" hidden="1" x14ac:dyDescent="0.25">
      <c r="A2488" s="191">
        <v>7458</v>
      </c>
      <c r="B2488" s="17">
        <v>0</v>
      </c>
      <c r="C2488" s="18">
        <v>0</v>
      </c>
    </row>
    <row r="2489" spans="1:3" ht="15" hidden="1" x14ac:dyDescent="0.25">
      <c r="A2489" s="191"/>
      <c r="B2489" s="17" t="s">
        <v>250</v>
      </c>
      <c r="C2489" s="18">
        <v>0</v>
      </c>
    </row>
    <row r="2490" spans="1:3" ht="15" hidden="1" x14ac:dyDescent="0.25">
      <c r="A2490" s="191"/>
      <c r="B2490" s="17" t="s">
        <v>270</v>
      </c>
      <c r="C2490" s="18">
        <v>0</v>
      </c>
    </row>
    <row r="2491" spans="1:3" ht="15" hidden="1" x14ac:dyDescent="0.25">
      <c r="A2491" s="191"/>
      <c r="B2491" s="17" t="s">
        <v>245</v>
      </c>
      <c r="C2491" s="18">
        <v>0</v>
      </c>
    </row>
    <row r="2492" spans="1:3" ht="15" hidden="1" x14ac:dyDescent="0.25">
      <c r="A2492" s="191"/>
      <c r="B2492" s="17" t="s">
        <v>318</v>
      </c>
      <c r="C2492" s="18">
        <v>0</v>
      </c>
    </row>
    <row r="2493" spans="1:3" ht="15" hidden="1" x14ac:dyDescent="0.25">
      <c r="A2493" s="191"/>
      <c r="B2493" s="17" t="s">
        <v>80</v>
      </c>
      <c r="C2493" s="18">
        <v>0</v>
      </c>
    </row>
    <row r="2494" spans="1:3" ht="15" hidden="1" x14ac:dyDescent="0.25">
      <c r="A2494" s="191"/>
      <c r="B2494" s="17" t="s">
        <v>79</v>
      </c>
      <c r="C2494" s="18">
        <v>0</v>
      </c>
    </row>
    <row r="2495" spans="1:3" ht="15" hidden="1" x14ac:dyDescent="0.25">
      <c r="A2495" s="191">
        <v>7397</v>
      </c>
      <c r="B2495" s="17" t="s">
        <v>272</v>
      </c>
      <c r="C2495" s="18">
        <v>0</v>
      </c>
    </row>
    <row r="2496" spans="1:3" ht="15" hidden="1" x14ac:dyDescent="0.25">
      <c r="A2496" s="191"/>
      <c r="B2496" s="17" t="s">
        <v>318</v>
      </c>
      <c r="C2496" s="18">
        <v>0</v>
      </c>
    </row>
    <row r="2497" spans="1:3" ht="15" hidden="1" x14ac:dyDescent="0.25">
      <c r="A2497" s="59"/>
      <c r="B2497" s="17" t="s">
        <v>261</v>
      </c>
      <c r="C2497" s="18">
        <v>0</v>
      </c>
    </row>
    <row r="2498" spans="1:3" ht="15" hidden="1" x14ac:dyDescent="0.25">
      <c r="A2498" s="191">
        <v>7559</v>
      </c>
      <c r="B2498" s="17" t="s">
        <v>274</v>
      </c>
      <c r="C2498" s="18">
        <v>0</v>
      </c>
    </row>
    <row r="2499" spans="1:3" ht="15" hidden="1" x14ac:dyDescent="0.25">
      <c r="A2499" s="59"/>
      <c r="B2499" s="17" t="s">
        <v>255</v>
      </c>
      <c r="C2499" s="18">
        <v>0</v>
      </c>
    </row>
    <row r="2500" spans="1:3" ht="15" hidden="1" x14ac:dyDescent="0.25">
      <c r="A2500" s="191">
        <v>7560</v>
      </c>
      <c r="B2500" s="17" t="s">
        <v>318</v>
      </c>
      <c r="C2500" s="18">
        <v>0</v>
      </c>
    </row>
    <row r="2501" spans="1:3" ht="15" hidden="1" x14ac:dyDescent="0.25">
      <c r="A2501" s="191">
        <v>7561</v>
      </c>
      <c r="B2501" s="17">
        <v>0</v>
      </c>
      <c r="C2501" s="18">
        <v>0</v>
      </c>
    </row>
    <row r="2502" spans="1:3" ht="15" hidden="1" x14ac:dyDescent="0.25">
      <c r="A2502" s="191"/>
      <c r="B2502" s="17" t="s">
        <v>251</v>
      </c>
      <c r="C2502" s="18">
        <v>0</v>
      </c>
    </row>
    <row r="2503" spans="1:3" ht="15" hidden="1" x14ac:dyDescent="0.25">
      <c r="A2503" s="191"/>
      <c r="B2503" s="17" t="s">
        <v>246</v>
      </c>
      <c r="C2503" s="18">
        <v>0</v>
      </c>
    </row>
    <row r="2504" spans="1:3" ht="15" hidden="1" x14ac:dyDescent="0.25">
      <c r="A2504" s="191"/>
      <c r="B2504" s="17" t="s">
        <v>270</v>
      </c>
      <c r="C2504" s="18">
        <v>0</v>
      </c>
    </row>
    <row r="2505" spans="1:3" ht="15" hidden="1" x14ac:dyDescent="0.25">
      <c r="A2505" s="191"/>
      <c r="B2505" s="17" t="s">
        <v>245</v>
      </c>
      <c r="C2505" s="18">
        <v>0</v>
      </c>
    </row>
    <row r="2506" spans="1:3" ht="15" hidden="1" x14ac:dyDescent="0.25">
      <c r="A2506" s="191"/>
      <c r="B2506" s="17" t="s">
        <v>249</v>
      </c>
      <c r="C2506" s="18">
        <v>0</v>
      </c>
    </row>
    <row r="2507" spans="1:3" ht="15" hidden="1" x14ac:dyDescent="0.25">
      <c r="A2507" s="59"/>
      <c r="B2507" s="17" t="s">
        <v>264</v>
      </c>
      <c r="C2507" s="18">
        <v>0</v>
      </c>
    </row>
    <row r="2508" spans="1:3" ht="15" hidden="1" x14ac:dyDescent="0.25">
      <c r="A2508" s="191"/>
      <c r="B2508" s="17" t="s">
        <v>319</v>
      </c>
      <c r="C2508" s="18">
        <v>0</v>
      </c>
    </row>
    <row r="2509" spans="1:3" ht="15" hidden="1" x14ac:dyDescent="0.25">
      <c r="A2509" s="191"/>
      <c r="B2509" s="17" t="s">
        <v>80</v>
      </c>
      <c r="C2509" s="18">
        <v>0</v>
      </c>
    </row>
    <row r="2510" spans="1:3" ht="15" hidden="1" x14ac:dyDescent="0.25">
      <c r="A2510" s="191"/>
      <c r="B2510" s="17" t="s">
        <v>79</v>
      </c>
      <c r="C2510" s="18">
        <v>0</v>
      </c>
    </row>
    <row r="2511" spans="1:3" ht="15" hidden="1" x14ac:dyDescent="0.25">
      <c r="A2511" s="191">
        <v>7565</v>
      </c>
      <c r="B2511" s="17" t="s">
        <v>257</v>
      </c>
      <c r="C2511" s="18">
        <v>0</v>
      </c>
    </row>
    <row r="2512" spans="1:3" ht="15" hidden="1" x14ac:dyDescent="0.25">
      <c r="A2512" s="191"/>
      <c r="B2512" s="17" t="s">
        <v>278</v>
      </c>
      <c r="C2512" s="18">
        <v>0</v>
      </c>
    </row>
    <row r="2513" spans="1:3" ht="15" hidden="1" x14ac:dyDescent="0.25">
      <c r="A2513" s="191"/>
      <c r="B2513" s="17" t="s">
        <v>246</v>
      </c>
      <c r="C2513" s="18">
        <v>0</v>
      </c>
    </row>
    <row r="2514" spans="1:3" ht="15" hidden="1" x14ac:dyDescent="0.25">
      <c r="A2514" s="191"/>
      <c r="B2514" s="17" t="s">
        <v>291</v>
      </c>
      <c r="C2514" s="18">
        <v>0</v>
      </c>
    </row>
    <row r="2515" spans="1:3" ht="15" hidden="1" x14ac:dyDescent="0.25">
      <c r="A2515" s="59"/>
      <c r="B2515" s="17" t="s">
        <v>262</v>
      </c>
      <c r="C2515" s="18">
        <v>0</v>
      </c>
    </row>
    <row r="2516" spans="1:3" ht="15" hidden="1" x14ac:dyDescent="0.25">
      <c r="A2516" s="59"/>
      <c r="B2516" s="17" t="s">
        <v>299</v>
      </c>
      <c r="C2516" s="18">
        <v>0</v>
      </c>
    </row>
    <row r="2517" spans="1:3" ht="15" hidden="1" x14ac:dyDescent="0.25">
      <c r="A2517" s="190"/>
      <c r="B2517" s="17" t="s">
        <v>294</v>
      </c>
      <c r="C2517" s="18">
        <v>0</v>
      </c>
    </row>
    <row r="2518" spans="1:3" ht="15" hidden="1" x14ac:dyDescent="0.25">
      <c r="A2518" s="190"/>
      <c r="B2518" s="17" t="s">
        <v>245</v>
      </c>
      <c r="C2518" s="18">
        <v>0</v>
      </c>
    </row>
    <row r="2519" spans="1:3" ht="15" hidden="1" x14ac:dyDescent="0.25">
      <c r="A2519" s="190"/>
      <c r="B2519" s="17" t="s">
        <v>249</v>
      </c>
      <c r="C2519" s="18">
        <v>0</v>
      </c>
    </row>
    <row r="2520" spans="1:3" ht="15" hidden="1" x14ac:dyDescent="0.25">
      <c r="A2520" s="190"/>
      <c r="B2520" s="17" t="s">
        <v>260</v>
      </c>
      <c r="C2520" s="18">
        <v>0</v>
      </c>
    </row>
    <row r="2521" spans="1:3" ht="15" hidden="1" x14ac:dyDescent="0.25">
      <c r="A2521" s="190"/>
      <c r="B2521" s="17" t="s">
        <v>264</v>
      </c>
      <c r="C2521" s="18">
        <v>0</v>
      </c>
    </row>
    <row r="2522" spans="1:3" ht="15" hidden="1" x14ac:dyDescent="0.25">
      <c r="A2522" s="190">
        <v>7569</v>
      </c>
      <c r="B2522" s="17">
        <v>0</v>
      </c>
      <c r="C2522" s="18">
        <v>0</v>
      </c>
    </row>
    <row r="2523" spans="1:3" ht="15" hidden="1" x14ac:dyDescent="0.25">
      <c r="A2523" s="190">
        <v>7572</v>
      </c>
      <c r="B2523" s="17">
        <v>0</v>
      </c>
      <c r="C2523" s="18">
        <v>0</v>
      </c>
    </row>
    <row r="2524" spans="1:3" ht="15" hidden="1" x14ac:dyDescent="0.25">
      <c r="A2524" s="190"/>
      <c r="B2524" s="17" t="s">
        <v>251</v>
      </c>
      <c r="C2524" s="18">
        <v>0</v>
      </c>
    </row>
    <row r="2525" spans="1:3" ht="15" hidden="1" x14ac:dyDescent="0.25">
      <c r="A2525" s="189"/>
      <c r="B2525" s="17" t="s">
        <v>258</v>
      </c>
      <c r="C2525" s="18">
        <v>0</v>
      </c>
    </row>
    <row r="2526" spans="1:3" ht="15" hidden="1" x14ac:dyDescent="0.25">
      <c r="A2526" s="190"/>
      <c r="B2526" s="17" t="s">
        <v>245</v>
      </c>
      <c r="C2526" s="18">
        <v>0</v>
      </c>
    </row>
    <row r="2527" spans="1:3" ht="15" hidden="1" x14ac:dyDescent="0.25">
      <c r="A2527" s="190"/>
      <c r="B2527" s="17" t="s">
        <v>249</v>
      </c>
      <c r="C2527" s="18">
        <v>0</v>
      </c>
    </row>
    <row r="2528" spans="1:3" ht="15" hidden="1" x14ac:dyDescent="0.25">
      <c r="A2528" s="190"/>
      <c r="B2528" s="17" t="s">
        <v>255</v>
      </c>
      <c r="C2528" s="18">
        <v>0</v>
      </c>
    </row>
    <row r="2529" spans="1:3" ht="15" hidden="1" x14ac:dyDescent="0.25">
      <c r="A2529" s="189"/>
      <c r="B2529" s="17" t="s">
        <v>264</v>
      </c>
      <c r="C2529" s="18">
        <v>0</v>
      </c>
    </row>
    <row r="2530" spans="1:3" ht="15" hidden="1" x14ac:dyDescent="0.25">
      <c r="A2530" s="190"/>
      <c r="B2530" s="17" t="s">
        <v>319</v>
      </c>
      <c r="C2530" s="18">
        <v>0</v>
      </c>
    </row>
    <row r="2531" spans="1:3" ht="15" hidden="1" x14ac:dyDescent="0.25">
      <c r="A2531" s="189"/>
      <c r="B2531" s="17" t="s">
        <v>318</v>
      </c>
      <c r="C2531" s="18">
        <v>0</v>
      </c>
    </row>
    <row r="2532" spans="1:3" ht="15" hidden="1" x14ac:dyDescent="0.25">
      <c r="A2532" s="190"/>
      <c r="B2532" s="17" t="s">
        <v>80</v>
      </c>
      <c r="C2532" s="18">
        <v>0</v>
      </c>
    </row>
    <row r="2533" spans="1:3" ht="15" hidden="1" x14ac:dyDescent="0.25">
      <c r="A2533" s="190"/>
      <c r="B2533" s="17" t="s">
        <v>79</v>
      </c>
      <c r="C2533" s="18">
        <v>0</v>
      </c>
    </row>
    <row r="2534" spans="1:3" ht="15" hidden="1" x14ac:dyDescent="0.25">
      <c r="A2534" s="190">
        <v>7574</v>
      </c>
      <c r="B2534" s="17">
        <v>0</v>
      </c>
      <c r="C2534" s="18">
        <v>0</v>
      </c>
    </row>
    <row r="2535" spans="1:3" ht="15" hidden="1" x14ac:dyDescent="0.25">
      <c r="A2535" s="190">
        <v>7581</v>
      </c>
      <c r="B2535" s="17">
        <v>0</v>
      </c>
      <c r="C2535" s="18">
        <v>0</v>
      </c>
    </row>
    <row r="2536" spans="1:3" ht="15" hidden="1" x14ac:dyDescent="0.25">
      <c r="A2536" s="190"/>
      <c r="B2536" s="17" t="s">
        <v>251</v>
      </c>
      <c r="C2536" s="18">
        <v>0</v>
      </c>
    </row>
    <row r="2537" spans="1:3" ht="15" hidden="1" x14ac:dyDescent="0.25">
      <c r="A2537" s="190"/>
      <c r="B2537" s="17" t="s">
        <v>256</v>
      </c>
      <c r="C2537" s="18">
        <v>0</v>
      </c>
    </row>
    <row r="2538" spans="1:3" ht="15" hidden="1" x14ac:dyDescent="0.25">
      <c r="A2538" s="190"/>
      <c r="B2538" s="17" t="s">
        <v>270</v>
      </c>
      <c r="C2538" s="18">
        <v>0</v>
      </c>
    </row>
    <row r="2539" spans="1:3" ht="15" hidden="1" x14ac:dyDescent="0.25">
      <c r="A2539" s="190"/>
      <c r="B2539" s="17" t="s">
        <v>245</v>
      </c>
      <c r="C2539" s="18">
        <v>0</v>
      </c>
    </row>
    <row r="2540" spans="1:3" ht="15" hidden="1" x14ac:dyDescent="0.25">
      <c r="A2540" s="190"/>
      <c r="B2540" s="17" t="s">
        <v>249</v>
      </c>
      <c r="C2540" s="18">
        <v>0</v>
      </c>
    </row>
    <row r="2541" spans="1:3" ht="15" hidden="1" x14ac:dyDescent="0.25">
      <c r="A2541" s="190"/>
      <c r="B2541" s="17" t="s">
        <v>264</v>
      </c>
      <c r="C2541" s="18">
        <v>0</v>
      </c>
    </row>
    <row r="2542" spans="1:3" ht="15" hidden="1" x14ac:dyDescent="0.25">
      <c r="A2542" s="190"/>
      <c r="B2542" s="17" t="s">
        <v>319</v>
      </c>
      <c r="C2542" s="18">
        <v>0</v>
      </c>
    </row>
    <row r="2543" spans="1:3" ht="15" hidden="1" x14ac:dyDescent="0.25">
      <c r="A2543" s="190"/>
      <c r="B2543" s="17" t="s">
        <v>318</v>
      </c>
      <c r="C2543" s="18">
        <v>0</v>
      </c>
    </row>
    <row r="2544" spans="1:3" ht="15" hidden="1" x14ac:dyDescent="0.25">
      <c r="A2544" s="190"/>
      <c r="B2544" s="17" t="s">
        <v>80</v>
      </c>
      <c r="C2544" s="18">
        <v>0</v>
      </c>
    </row>
    <row r="2545" spans="1:3" ht="15" hidden="1" x14ac:dyDescent="0.25">
      <c r="A2545" s="190"/>
      <c r="B2545" s="17" t="s">
        <v>79</v>
      </c>
      <c r="C2545" s="18">
        <v>0</v>
      </c>
    </row>
    <row r="2546" spans="1:3" ht="15" hidden="1" x14ac:dyDescent="0.25">
      <c r="A2546" s="189">
        <v>7584</v>
      </c>
      <c r="B2546" s="17" t="s">
        <v>318</v>
      </c>
      <c r="C2546" s="18">
        <v>0</v>
      </c>
    </row>
    <row r="2547" spans="1:3" ht="15" hidden="1" x14ac:dyDescent="0.25">
      <c r="A2547" s="191">
        <v>7507</v>
      </c>
      <c r="B2547" s="17" t="s">
        <v>269</v>
      </c>
      <c r="C2547" s="18">
        <v>0</v>
      </c>
    </row>
    <row r="2548" spans="1:3" ht="15" hidden="1" x14ac:dyDescent="0.25">
      <c r="A2548" s="190"/>
      <c r="B2548" s="17" t="s">
        <v>260</v>
      </c>
      <c r="C2548" s="18">
        <v>0</v>
      </c>
    </row>
    <row r="2549" spans="1:3" ht="15" hidden="1" x14ac:dyDescent="0.25">
      <c r="A2549" s="190">
        <v>7579</v>
      </c>
      <c r="B2549" s="17" t="s">
        <v>72</v>
      </c>
      <c r="C2549" s="18">
        <v>0</v>
      </c>
    </row>
    <row r="2550" spans="1:3" ht="15" hidden="1" x14ac:dyDescent="0.25">
      <c r="A2550" s="190">
        <v>7583</v>
      </c>
      <c r="B2550" s="17" t="s">
        <v>274</v>
      </c>
      <c r="C2550" s="18">
        <v>0</v>
      </c>
    </row>
    <row r="2551" spans="1:3" ht="15" hidden="1" x14ac:dyDescent="0.25">
      <c r="A2551" s="190">
        <v>7627</v>
      </c>
      <c r="B2551" s="17">
        <v>0</v>
      </c>
      <c r="C2551" s="18">
        <v>0</v>
      </c>
    </row>
    <row r="2552" spans="1:3" ht="15" hidden="1" x14ac:dyDescent="0.25">
      <c r="A2552" s="190"/>
      <c r="B2552" s="17" t="s">
        <v>251</v>
      </c>
      <c r="C2552" s="18">
        <v>0</v>
      </c>
    </row>
    <row r="2553" spans="1:3" ht="15" hidden="1" x14ac:dyDescent="0.25">
      <c r="A2553" s="190"/>
      <c r="B2553" s="17" t="s">
        <v>256</v>
      </c>
      <c r="C2553" s="18">
        <v>0</v>
      </c>
    </row>
    <row r="2554" spans="1:3" ht="15" hidden="1" x14ac:dyDescent="0.25">
      <c r="A2554" s="190"/>
      <c r="B2554" s="17" t="s">
        <v>245</v>
      </c>
      <c r="C2554" s="18">
        <v>0</v>
      </c>
    </row>
    <row r="2555" spans="1:3" ht="15" hidden="1" x14ac:dyDescent="0.25">
      <c r="A2555" s="189"/>
      <c r="B2555" s="17" t="s">
        <v>249</v>
      </c>
      <c r="C2555" s="18">
        <v>0</v>
      </c>
    </row>
    <row r="2556" spans="1:3" ht="15" hidden="1" x14ac:dyDescent="0.25">
      <c r="A2556" s="190"/>
      <c r="B2556" s="17" t="s">
        <v>260</v>
      </c>
      <c r="C2556" s="18">
        <v>0</v>
      </c>
    </row>
    <row r="2557" spans="1:3" ht="15" hidden="1" x14ac:dyDescent="0.25">
      <c r="A2557" s="190"/>
      <c r="B2557" s="17" t="s">
        <v>264</v>
      </c>
      <c r="C2557" s="18">
        <v>0</v>
      </c>
    </row>
    <row r="2558" spans="1:3" ht="15" hidden="1" x14ac:dyDescent="0.25">
      <c r="A2558" s="190"/>
      <c r="B2558" s="17" t="s">
        <v>319</v>
      </c>
      <c r="C2558" s="18">
        <v>0</v>
      </c>
    </row>
    <row r="2559" spans="1:3" ht="15" hidden="1" x14ac:dyDescent="0.25">
      <c r="A2559" s="190"/>
      <c r="B2559" s="17" t="s">
        <v>318</v>
      </c>
      <c r="C2559" s="18">
        <v>0</v>
      </c>
    </row>
    <row r="2560" spans="1:3" ht="15" hidden="1" x14ac:dyDescent="0.25">
      <c r="A2560" s="190"/>
      <c r="B2560" s="17" t="s">
        <v>80</v>
      </c>
      <c r="C2560" s="18">
        <v>0</v>
      </c>
    </row>
    <row r="2561" spans="1:3" ht="15" hidden="1" x14ac:dyDescent="0.25">
      <c r="A2561" s="190"/>
      <c r="B2561" s="17" t="s">
        <v>79</v>
      </c>
      <c r="C2561" s="18">
        <v>0</v>
      </c>
    </row>
    <row r="2562" spans="1:3" ht="15" hidden="1" x14ac:dyDescent="0.25">
      <c r="A2562" s="190">
        <v>7628</v>
      </c>
      <c r="B2562" s="17">
        <v>0</v>
      </c>
      <c r="C2562" s="18">
        <v>0</v>
      </c>
    </row>
    <row r="2563" spans="1:3" ht="15" hidden="1" x14ac:dyDescent="0.25">
      <c r="A2563" s="190"/>
      <c r="B2563" s="17" t="s">
        <v>251</v>
      </c>
      <c r="C2563" s="18">
        <v>0</v>
      </c>
    </row>
    <row r="2564" spans="1:3" ht="15" hidden="1" x14ac:dyDescent="0.25">
      <c r="A2564" s="190"/>
      <c r="B2564" s="17" t="s">
        <v>270</v>
      </c>
      <c r="C2564" s="18">
        <v>0</v>
      </c>
    </row>
    <row r="2565" spans="1:3" ht="15" hidden="1" x14ac:dyDescent="0.25">
      <c r="A2565" s="190"/>
      <c r="B2565" s="17" t="s">
        <v>245</v>
      </c>
      <c r="C2565" s="18">
        <v>0</v>
      </c>
    </row>
    <row r="2566" spans="1:3" ht="15" hidden="1" x14ac:dyDescent="0.25">
      <c r="A2566" s="190"/>
      <c r="B2566" s="17" t="s">
        <v>249</v>
      </c>
      <c r="C2566" s="18">
        <v>0</v>
      </c>
    </row>
    <row r="2567" spans="1:3" ht="15" hidden="1" x14ac:dyDescent="0.25">
      <c r="A2567" s="190"/>
      <c r="B2567" s="17" t="s">
        <v>264</v>
      </c>
      <c r="C2567" s="18">
        <v>0</v>
      </c>
    </row>
    <row r="2568" spans="1:3" ht="15" hidden="1" x14ac:dyDescent="0.25">
      <c r="A2568" s="190"/>
      <c r="B2568" s="17" t="s">
        <v>319</v>
      </c>
      <c r="C2568" s="18">
        <v>0</v>
      </c>
    </row>
    <row r="2569" spans="1:3" ht="15" hidden="1" x14ac:dyDescent="0.25">
      <c r="A2569" s="189"/>
      <c r="B2569" s="17" t="s">
        <v>80</v>
      </c>
      <c r="C2569" s="18">
        <v>0</v>
      </c>
    </row>
    <row r="2570" spans="1:3" ht="15" hidden="1" x14ac:dyDescent="0.25">
      <c r="A2570" s="190"/>
      <c r="B2570" s="17" t="s">
        <v>79</v>
      </c>
      <c r="C2570" s="18">
        <v>0</v>
      </c>
    </row>
    <row r="2571" spans="1:3" ht="15" hidden="1" x14ac:dyDescent="0.25">
      <c r="A2571" s="190">
        <v>7634</v>
      </c>
      <c r="B2571" s="17">
        <v>0</v>
      </c>
      <c r="C2571" s="18">
        <v>0</v>
      </c>
    </row>
    <row r="2572" spans="1:3" ht="15" hidden="1" x14ac:dyDescent="0.25">
      <c r="A2572" s="190"/>
      <c r="B2572" s="17" t="s">
        <v>318</v>
      </c>
      <c r="C2572" s="18">
        <v>0</v>
      </c>
    </row>
    <row r="2573" spans="1:3" ht="15" hidden="1" x14ac:dyDescent="0.25">
      <c r="A2573" s="190"/>
      <c r="B2573" s="17" t="s">
        <v>79</v>
      </c>
      <c r="C2573" s="18">
        <v>0</v>
      </c>
    </row>
    <row r="2574" spans="1:3" ht="15" hidden="1" x14ac:dyDescent="0.25">
      <c r="A2574" s="190">
        <v>7625</v>
      </c>
      <c r="B2574" s="17" t="s">
        <v>247</v>
      </c>
      <c r="C2574" s="18">
        <v>0</v>
      </c>
    </row>
    <row r="2575" spans="1:3" ht="15" hidden="1" x14ac:dyDescent="0.25">
      <c r="A2575" s="191"/>
      <c r="B2575" s="17" t="s">
        <v>283</v>
      </c>
      <c r="C2575" s="18">
        <v>0</v>
      </c>
    </row>
    <row r="2576" spans="1:3" ht="15" hidden="1" x14ac:dyDescent="0.25">
      <c r="A2576" s="190"/>
      <c r="B2576" s="17" t="s">
        <v>318</v>
      </c>
      <c r="C2576" s="18">
        <v>0</v>
      </c>
    </row>
    <row r="2577" spans="1:3" ht="15" hidden="1" x14ac:dyDescent="0.25">
      <c r="A2577" s="190">
        <v>7649</v>
      </c>
      <c r="B2577" s="17" t="s">
        <v>72</v>
      </c>
      <c r="C2577" s="18">
        <v>0</v>
      </c>
    </row>
    <row r="2578" spans="1:3" ht="15" hidden="1" x14ac:dyDescent="0.25">
      <c r="A2578" s="189">
        <v>7621</v>
      </c>
      <c r="B2578" s="17" t="s">
        <v>318</v>
      </c>
      <c r="C2578" s="18">
        <v>0</v>
      </c>
    </row>
    <row r="2579" spans="1:3" hidden="1" x14ac:dyDescent="0.2">
      <c r="B2579" s="17" t="s">
        <v>454</v>
      </c>
      <c r="C2579" s="18">
        <v>0</v>
      </c>
    </row>
    <row r="2580" spans="1:3" hidden="1" x14ac:dyDescent="0.2">
      <c r="A2580" s="18">
        <v>7576</v>
      </c>
      <c r="B2580" s="17" t="s">
        <v>304</v>
      </c>
      <c r="C2580" s="18">
        <v>0</v>
      </c>
    </row>
    <row r="2581" spans="1:3" hidden="1" x14ac:dyDescent="0.2">
      <c r="A2581" s="18">
        <v>7669</v>
      </c>
      <c r="B2581" s="17">
        <v>0</v>
      </c>
      <c r="C2581" s="18">
        <v>0</v>
      </c>
    </row>
    <row r="2582" spans="1:3" hidden="1" x14ac:dyDescent="0.2">
      <c r="A2582" s="18">
        <v>7671</v>
      </c>
      <c r="B2582" s="17">
        <v>0</v>
      </c>
      <c r="C2582" s="18">
        <v>0</v>
      </c>
    </row>
    <row r="2583" spans="1:3" hidden="1" x14ac:dyDescent="0.2">
      <c r="B2583" s="17" t="s">
        <v>79</v>
      </c>
      <c r="C2583" s="18">
        <v>0</v>
      </c>
    </row>
    <row r="2584" spans="1:3" hidden="1" x14ac:dyDescent="0.2">
      <c r="A2584" s="18">
        <v>7518</v>
      </c>
      <c r="B2584" s="17">
        <v>0</v>
      </c>
      <c r="C2584" s="18">
        <v>0</v>
      </c>
    </row>
    <row r="2585" spans="1:3" hidden="1" x14ac:dyDescent="0.2">
      <c r="A2585" s="18">
        <v>7684</v>
      </c>
      <c r="B2585" s="17" t="s">
        <v>318</v>
      </c>
      <c r="C2585" s="18">
        <v>0</v>
      </c>
    </row>
    <row r="2586" spans="1:3" hidden="1" x14ac:dyDescent="0.2">
      <c r="B2586" s="17" t="s">
        <v>455</v>
      </c>
      <c r="C2586" s="18">
        <v>0</v>
      </c>
    </row>
    <row r="2587" spans="1:3" hidden="1" x14ac:dyDescent="0.2">
      <c r="A2587" s="18">
        <v>7652</v>
      </c>
      <c r="B2587" s="17">
        <v>0</v>
      </c>
      <c r="C2587" s="18">
        <v>0</v>
      </c>
    </row>
    <row r="2588" spans="1:3" hidden="1" x14ac:dyDescent="0.2">
      <c r="B2588" s="17" t="s">
        <v>256</v>
      </c>
      <c r="C2588" s="18">
        <v>0</v>
      </c>
    </row>
    <row r="2589" spans="1:3" hidden="1" x14ac:dyDescent="0.2">
      <c r="B2589" s="17" t="s">
        <v>270</v>
      </c>
      <c r="C2589" s="18">
        <v>0</v>
      </c>
    </row>
    <row r="2590" spans="1:3" hidden="1" x14ac:dyDescent="0.2">
      <c r="B2590" s="17" t="s">
        <v>245</v>
      </c>
      <c r="C2590" s="18">
        <v>0</v>
      </c>
    </row>
    <row r="2591" spans="1:3" hidden="1" x14ac:dyDescent="0.2">
      <c r="B2591" s="17" t="s">
        <v>249</v>
      </c>
      <c r="C2591" s="18">
        <v>0</v>
      </c>
    </row>
    <row r="2592" spans="1:3" hidden="1" x14ac:dyDescent="0.2">
      <c r="B2592" s="17" t="s">
        <v>264</v>
      </c>
      <c r="C2592" s="18">
        <v>0</v>
      </c>
    </row>
    <row r="2593" spans="1:3" hidden="1" x14ac:dyDescent="0.2">
      <c r="B2593" s="17" t="s">
        <v>319</v>
      </c>
      <c r="C2593" s="18">
        <v>0</v>
      </c>
    </row>
    <row r="2594" spans="1:3" hidden="1" x14ac:dyDescent="0.2">
      <c r="B2594" s="17" t="s">
        <v>318</v>
      </c>
      <c r="C2594" s="18">
        <v>0</v>
      </c>
    </row>
    <row r="2595" spans="1:3" hidden="1" x14ac:dyDescent="0.2">
      <c r="B2595" s="17" t="s">
        <v>80</v>
      </c>
      <c r="C2595" s="18">
        <v>0</v>
      </c>
    </row>
    <row r="2596" spans="1:3" hidden="1" x14ac:dyDescent="0.2">
      <c r="B2596" s="17" t="s">
        <v>79</v>
      </c>
      <c r="C2596" s="18">
        <v>0</v>
      </c>
    </row>
    <row r="2597" spans="1:3" hidden="1" x14ac:dyDescent="0.2">
      <c r="A2597" s="18" t="s">
        <v>452</v>
      </c>
      <c r="B2597" s="17">
        <v>0</v>
      </c>
      <c r="C2597" s="18">
        <v>0</v>
      </c>
    </row>
    <row r="2598" spans="1:3" hidden="1" x14ac:dyDescent="0.2">
      <c r="B2598" s="17" t="s">
        <v>257</v>
      </c>
      <c r="C2598" s="18">
        <v>0</v>
      </c>
    </row>
    <row r="2599" spans="1:3" hidden="1" x14ac:dyDescent="0.2">
      <c r="B2599" s="17" t="s">
        <v>278</v>
      </c>
      <c r="C2599" s="18">
        <v>0</v>
      </c>
    </row>
    <row r="2600" spans="1:3" hidden="1" x14ac:dyDescent="0.2">
      <c r="B2600" s="17" t="s">
        <v>246</v>
      </c>
      <c r="C2600" s="18">
        <v>0</v>
      </c>
    </row>
    <row r="2601" spans="1:3" hidden="1" x14ac:dyDescent="0.2">
      <c r="B2601" s="17" t="s">
        <v>289</v>
      </c>
      <c r="C2601" s="18">
        <v>0</v>
      </c>
    </row>
    <row r="2602" spans="1:3" hidden="1" x14ac:dyDescent="0.2">
      <c r="B2602" s="17" t="s">
        <v>250</v>
      </c>
      <c r="C2602" s="18">
        <v>0</v>
      </c>
    </row>
    <row r="2603" spans="1:3" hidden="1" x14ac:dyDescent="0.2">
      <c r="B2603" s="17" t="s">
        <v>258</v>
      </c>
      <c r="C2603" s="18">
        <v>0</v>
      </c>
    </row>
    <row r="2604" spans="1:3" hidden="1" x14ac:dyDescent="0.2">
      <c r="B2604" s="17" t="s">
        <v>256</v>
      </c>
      <c r="C2604" s="18">
        <v>0</v>
      </c>
    </row>
    <row r="2605" spans="1:3" hidden="1" x14ac:dyDescent="0.2">
      <c r="B2605" s="17" t="s">
        <v>305</v>
      </c>
      <c r="C2605" s="18">
        <v>0</v>
      </c>
    </row>
    <row r="2606" spans="1:3" hidden="1" x14ac:dyDescent="0.2">
      <c r="B2606" s="17" t="s">
        <v>245</v>
      </c>
      <c r="C2606" s="18">
        <v>0</v>
      </c>
    </row>
    <row r="2607" spans="1:3" hidden="1" x14ac:dyDescent="0.2">
      <c r="B2607" s="17" t="s">
        <v>249</v>
      </c>
      <c r="C2607" s="18">
        <v>0</v>
      </c>
    </row>
    <row r="2608" spans="1:3" hidden="1" x14ac:dyDescent="0.2">
      <c r="B2608" s="17" t="s">
        <v>263</v>
      </c>
      <c r="C2608" s="18">
        <v>0</v>
      </c>
    </row>
    <row r="2609" spans="2:3" hidden="1" x14ac:dyDescent="0.2">
      <c r="B2609" s="17" t="s">
        <v>281</v>
      </c>
      <c r="C2609" s="18">
        <v>0</v>
      </c>
    </row>
    <row r="2610" spans="2:3" hidden="1" x14ac:dyDescent="0.2">
      <c r="B2610" s="17" t="s">
        <v>293</v>
      </c>
      <c r="C2610" s="18">
        <v>0</v>
      </c>
    </row>
    <row r="2611" spans="2:3" hidden="1" x14ac:dyDescent="0.2">
      <c r="B2611" s="17" t="s">
        <v>72</v>
      </c>
      <c r="C2611" s="18">
        <v>0</v>
      </c>
    </row>
    <row r="2612" spans="2:3" hidden="1" x14ac:dyDescent="0.2">
      <c r="B2612" s="17" t="s">
        <v>264</v>
      </c>
      <c r="C2612" s="18">
        <v>0</v>
      </c>
    </row>
    <row r="2613" spans="2:3" hidden="1" x14ac:dyDescent="0.2">
      <c r="B2613" s="17" t="s">
        <v>307</v>
      </c>
      <c r="C2613" s="18">
        <v>0</v>
      </c>
    </row>
    <row r="2614" spans="2:3" hidden="1" x14ac:dyDescent="0.2">
      <c r="B2614" s="17" t="s">
        <v>319</v>
      </c>
      <c r="C2614" s="18">
        <v>0</v>
      </c>
    </row>
    <row r="2615" spans="2:3" hidden="1" x14ac:dyDescent="0.2">
      <c r="B2615" s="17" t="s">
        <v>321</v>
      </c>
      <c r="C2615" s="18">
        <v>0</v>
      </c>
    </row>
    <row r="2616" spans="2:3" hidden="1" x14ac:dyDescent="0.2">
      <c r="B2616" s="17" t="s">
        <v>322</v>
      </c>
      <c r="C2616" s="18">
        <v>0</v>
      </c>
    </row>
    <row r="2617" spans="2:3" hidden="1" x14ac:dyDescent="0.2">
      <c r="B2617" s="17" t="s">
        <v>318</v>
      </c>
      <c r="C2617" s="18">
        <v>0</v>
      </c>
    </row>
    <row r="2618" spans="2:3" hidden="1" x14ac:dyDescent="0.2">
      <c r="B2618" s="17" t="s">
        <v>325</v>
      </c>
      <c r="C2618" s="18">
        <v>0</v>
      </c>
    </row>
    <row r="2619" spans="2:3" hidden="1" x14ac:dyDescent="0.2">
      <c r="B2619" s="17" t="s">
        <v>326</v>
      </c>
      <c r="C2619" s="18">
        <v>0</v>
      </c>
    </row>
    <row r="2620" spans="2:3" hidden="1" x14ac:dyDescent="0.2">
      <c r="B2620" s="17" t="s">
        <v>328</v>
      </c>
      <c r="C2620" s="18">
        <v>0</v>
      </c>
    </row>
    <row r="2621" spans="2:3" hidden="1" x14ac:dyDescent="0.2">
      <c r="B2621" s="17" t="s">
        <v>329</v>
      </c>
      <c r="C2621" s="18">
        <v>0</v>
      </c>
    </row>
    <row r="2622" spans="2:3" hidden="1" x14ac:dyDescent="0.2">
      <c r="B2622" s="17" t="s">
        <v>73</v>
      </c>
      <c r="C2622" s="18">
        <v>0</v>
      </c>
    </row>
    <row r="2623" spans="2:3" hidden="1" x14ac:dyDescent="0.2">
      <c r="B2623" s="17" t="s">
        <v>344</v>
      </c>
      <c r="C2623" s="18">
        <v>0</v>
      </c>
    </row>
    <row r="2624" spans="2:3" hidden="1" x14ac:dyDescent="0.2">
      <c r="B2624" s="17" t="s">
        <v>361</v>
      </c>
      <c r="C2624" s="18">
        <v>0</v>
      </c>
    </row>
    <row r="2625" spans="1:3" hidden="1" x14ac:dyDescent="0.2">
      <c r="B2625" s="17" t="s">
        <v>419</v>
      </c>
      <c r="C2625" s="18">
        <v>0</v>
      </c>
    </row>
    <row r="2626" spans="1:3" hidden="1" x14ac:dyDescent="0.2">
      <c r="B2626" s="17" t="s">
        <v>79</v>
      </c>
      <c r="C2626" s="18">
        <v>0</v>
      </c>
    </row>
    <row r="2627" spans="1:3" hidden="1" x14ac:dyDescent="0.2">
      <c r="B2627" s="17" t="s">
        <v>457</v>
      </c>
      <c r="C2627" s="18">
        <v>0</v>
      </c>
    </row>
    <row r="2628" spans="1:3" hidden="1" x14ac:dyDescent="0.2">
      <c r="B2628" s="17" t="s">
        <v>458</v>
      </c>
      <c r="C2628" s="18">
        <v>0</v>
      </c>
    </row>
    <row r="2629" spans="1:3" hidden="1" x14ac:dyDescent="0.2">
      <c r="B2629" s="17" t="s">
        <v>77</v>
      </c>
      <c r="C2629" s="18">
        <v>0</v>
      </c>
    </row>
    <row r="2630" spans="1:3" hidden="1" x14ac:dyDescent="0.2">
      <c r="B2630" s="17" t="s">
        <v>464</v>
      </c>
      <c r="C2630" s="18">
        <v>0</v>
      </c>
    </row>
    <row r="2631" spans="1:3" hidden="1" x14ac:dyDescent="0.2">
      <c r="A2631" s="18">
        <v>7697</v>
      </c>
      <c r="B2631" s="17">
        <v>0</v>
      </c>
      <c r="C2631" s="18">
        <v>0</v>
      </c>
    </row>
    <row r="2632" spans="1:3" hidden="1" x14ac:dyDescent="0.2">
      <c r="B2632" s="17" t="s">
        <v>246</v>
      </c>
      <c r="C2632" s="18">
        <v>0</v>
      </c>
    </row>
    <row r="2633" spans="1:3" hidden="1" x14ac:dyDescent="0.2">
      <c r="B2633" s="17" t="s">
        <v>80</v>
      </c>
      <c r="C2633" s="18">
        <v>0</v>
      </c>
    </row>
    <row r="2634" spans="1:3" hidden="1" x14ac:dyDescent="0.2">
      <c r="A2634" s="18">
        <v>7703</v>
      </c>
      <c r="B2634" s="17">
        <v>0</v>
      </c>
      <c r="C2634" s="18">
        <v>0</v>
      </c>
    </row>
    <row r="2635" spans="1:3" hidden="1" x14ac:dyDescent="0.2">
      <c r="A2635" s="18">
        <v>7716</v>
      </c>
      <c r="B2635" s="17">
        <v>0</v>
      </c>
      <c r="C2635" s="18">
        <v>0</v>
      </c>
    </row>
    <row r="2636" spans="1:3" hidden="1" x14ac:dyDescent="0.2">
      <c r="A2636" s="18">
        <v>7717</v>
      </c>
      <c r="B2636" s="17">
        <v>0</v>
      </c>
      <c r="C2636" s="18">
        <v>0</v>
      </c>
    </row>
    <row r="2637" spans="1:3" hidden="1" x14ac:dyDescent="0.2">
      <c r="A2637" s="18">
        <v>7724</v>
      </c>
      <c r="B2637" s="17" t="s">
        <v>283</v>
      </c>
      <c r="C2637" s="18">
        <v>0</v>
      </c>
    </row>
    <row r="2638" spans="1:3" hidden="1" x14ac:dyDescent="0.2">
      <c r="B2638" s="17" t="s">
        <v>274</v>
      </c>
      <c r="C2638" s="18">
        <v>0</v>
      </c>
    </row>
    <row r="2639" spans="1:3" hidden="1" x14ac:dyDescent="0.2">
      <c r="B2639" s="17" t="s">
        <v>281</v>
      </c>
      <c r="C2639" s="18">
        <v>0</v>
      </c>
    </row>
    <row r="2640" spans="1:3" hidden="1" x14ac:dyDescent="0.2">
      <c r="A2640" s="18">
        <v>7730</v>
      </c>
      <c r="B2640" s="17">
        <v>0</v>
      </c>
      <c r="C2640" s="18">
        <v>0</v>
      </c>
    </row>
    <row r="2641" spans="1:3" hidden="1" x14ac:dyDescent="0.2">
      <c r="B2641" s="17" t="s">
        <v>275</v>
      </c>
      <c r="C2641" s="18">
        <v>0</v>
      </c>
    </row>
    <row r="2642" spans="1:3" hidden="1" x14ac:dyDescent="0.2">
      <c r="B2642" s="17" t="s">
        <v>262</v>
      </c>
      <c r="C2642" s="18">
        <v>0</v>
      </c>
    </row>
    <row r="2643" spans="1:3" hidden="1" x14ac:dyDescent="0.2">
      <c r="B2643" s="17" t="s">
        <v>288</v>
      </c>
      <c r="C2643" s="18">
        <v>0</v>
      </c>
    </row>
    <row r="2644" spans="1:3" hidden="1" x14ac:dyDescent="0.2">
      <c r="B2644" s="17" t="s">
        <v>319</v>
      </c>
      <c r="C2644" s="18">
        <v>0</v>
      </c>
    </row>
    <row r="2645" spans="1:3" hidden="1" x14ac:dyDescent="0.2">
      <c r="B2645" s="17" t="s">
        <v>261</v>
      </c>
      <c r="C2645" s="18">
        <v>0</v>
      </c>
    </row>
    <row r="2646" spans="1:3" hidden="1" x14ac:dyDescent="0.2">
      <c r="B2646" s="17" t="s">
        <v>79</v>
      </c>
      <c r="C2646" s="18">
        <v>0</v>
      </c>
    </row>
    <row r="2647" spans="1:3" hidden="1" x14ac:dyDescent="0.2">
      <c r="B2647" s="17" t="s">
        <v>455</v>
      </c>
      <c r="C2647" s="18">
        <v>0</v>
      </c>
    </row>
    <row r="2648" spans="1:3" hidden="1" x14ac:dyDescent="0.2">
      <c r="A2648" s="18">
        <v>7738</v>
      </c>
      <c r="B2648" s="17" t="s">
        <v>274</v>
      </c>
      <c r="C2648" s="18">
        <v>0</v>
      </c>
    </row>
    <row r="2649" spans="1:3" hidden="1" x14ac:dyDescent="0.2">
      <c r="B2649" s="17" t="s">
        <v>318</v>
      </c>
      <c r="C2649" s="18">
        <v>0</v>
      </c>
    </row>
    <row r="2650" spans="1:3" hidden="1" x14ac:dyDescent="0.2">
      <c r="B2650" s="17" t="s">
        <v>79</v>
      </c>
      <c r="C2650" s="18">
        <v>0</v>
      </c>
    </row>
    <row r="2651" spans="1:3" hidden="1" x14ac:dyDescent="0.2">
      <c r="A2651" s="18">
        <v>7740</v>
      </c>
      <c r="B2651" s="17">
        <v>0</v>
      </c>
      <c r="C2651" s="18">
        <v>0</v>
      </c>
    </row>
    <row r="2652" spans="1:3" hidden="1" x14ac:dyDescent="0.2">
      <c r="B2652" s="17" t="s">
        <v>269</v>
      </c>
      <c r="C2652" s="18">
        <v>0</v>
      </c>
    </row>
    <row r="2653" spans="1:3" hidden="1" x14ac:dyDescent="0.2">
      <c r="B2653" s="17" t="s">
        <v>72</v>
      </c>
      <c r="C2653" s="18">
        <v>0</v>
      </c>
    </row>
    <row r="2654" spans="1:3" hidden="1" x14ac:dyDescent="0.2">
      <c r="A2654" s="18">
        <v>7743</v>
      </c>
      <c r="B2654" s="17" t="s">
        <v>72</v>
      </c>
      <c r="C2654" s="18">
        <v>0</v>
      </c>
    </row>
    <row r="2655" spans="1:3" hidden="1" x14ac:dyDescent="0.2">
      <c r="A2655" s="18">
        <v>7749</v>
      </c>
      <c r="B2655" s="17">
        <v>0</v>
      </c>
      <c r="C2655" s="18">
        <v>0</v>
      </c>
    </row>
    <row r="2656" spans="1:3" hidden="1" x14ac:dyDescent="0.2">
      <c r="B2656" s="17" t="s">
        <v>258</v>
      </c>
      <c r="C2656" s="18">
        <v>0</v>
      </c>
    </row>
    <row r="2657" spans="1:3" hidden="1" x14ac:dyDescent="0.2">
      <c r="B2657" s="17" t="s">
        <v>256</v>
      </c>
      <c r="C2657" s="18">
        <v>0</v>
      </c>
    </row>
    <row r="2658" spans="1:3" hidden="1" x14ac:dyDescent="0.2">
      <c r="B2658" s="17" t="s">
        <v>245</v>
      </c>
      <c r="C2658" s="18">
        <v>0</v>
      </c>
    </row>
    <row r="2659" spans="1:3" hidden="1" x14ac:dyDescent="0.2">
      <c r="B2659" s="17" t="s">
        <v>249</v>
      </c>
      <c r="C2659" s="18">
        <v>0</v>
      </c>
    </row>
    <row r="2660" spans="1:3" hidden="1" x14ac:dyDescent="0.2">
      <c r="B2660" s="17" t="s">
        <v>255</v>
      </c>
      <c r="C2660" s="18">
        <v>0</v>
      </c>
    </row>
    <row r="2661" spans="1:3" hidden="1" x14ac:dyDescent="0.2">
      <c r="B2661" s="17" t="s">
        <v>264</v>
      </c>
      <c r="C2661" s="18">
        <v>0</v>
      </c>
    </row>
    <row r="2662" spans="1:3" hidden="1" x14ac:dyDescent="0.2">
      <c r="B2662" s="17" t="s">
        <v>319</v>
      </c>
      <c r="C2662" s="18">
        <v>0</v>
      </c>
    </row>
    <row r="2663" spans="1:3" hidden="1" x14ac:dyDescent="0.2">
      <c r="B2663" s="17" t="s">
        <v>318</v>
      </c>
      <c r="C2663" s="18">
        <v>0</v>
      </c>
    </row>
    <row r="2664" spans="1:3" hidden="1" x14ac:dyDescent="0.2">
      <c r="B2664" s="17" t="s">
        <v>80</v>
      </c>
      <c r="C2664" s="18">
        <v>0</v>
      </c>
    </row>
    <row r="2665" spans="1:3" hidden="1" x14ac:dyDescent="0.2">
      <c r="B2665" s="17" t="s">
        <v>79</v>
      </c>
      <c r="C2665" s="18">
        <v>0</v>
      </c>
    </row>
    <row r="2666" spans="1:3" hidden="1" x14ac:dyDescent="0.2">
      <c r="A2666" s="18">
        <v>7751</v>
      </c>
      <c r="B2666" s="17">
        <v>0</v>
      </c>
      <c r="C2666" s="18">
        <v>0</v>
      </c>
    </row>
    <row r="2667" spans="1:3" hidden="1" x14ac:dyDescent="0.2">
      <c r="B2667" s="17" t="s">
        <v>251</v>
      </c>
      <c r="C2667" s="18">
        <v>0</v>
      </c>
    </row>
    <row r="2668" spans="1:3" hidden="1" x14ac:dyDescent="0.2">
      <c r="B2668" s="17" t="s">
        <v>246</v>
      </c>
      <c r="C2668" s="18">
        <v>0</v>
      </c>
    </row>
    <row r="2669" spans="1:3" hidden="1" x14ac:dyDescent="0.2">
      <c r="B2669" s="17" t="s">
        <v>256</v>
      </c>
      <c r="C2669" s="18">
        <v>0</v>
      </c>
    </row>
    <row r="2670" spans="1:3" hidden="1" x14ac:dyDescent="0.2">
      <c r="B2670" s="17" t="s">
        <v>270</v>
      </c>
      <c r="C2670" s="18">
        <v>0</v>
      </c>
    </row>
    <row r="2671" spans="1:3" hidden="1" x14ac:dyDescent="0.2">
      <c r="B2671" s="17" t="s">
        <v>245</v>
      </c>
      <c r="C2671" s="18">
        <v>0</v>
      </c>
    </row>
    <row r="2672" spans="1:3" hidden="1" x14ac:dyDescent="0.2">
      <c r="B2672" s="17" t="s">
        <v>249</v>
      </c>
      <c r="C2672" s="18">
        <v>0</v>
      </c>
    </row>
    <row r="2673" spans="1:3" hidden="1" x14ac:dyDescent="0.2">
      <c r="B2673" s="17" t="s">
        <v>264</v>
      </c>
      <c r="C2673" s="18">
        <v>0</v>
      </c>
    </row>
    <row r="2674" spans="1:3" hidden="1" x14ac:dyDescent="0.2">
      <c r="B2674" s="17" t="s">
        <v>319</v>
      </c>
      <c r="C2674" s="18">
        <v>0</v>
      </c>
    </row>
    <row r="2675" spans="1:3" hidden="1" x14ac:dyDescent="0.2">
      <c r="B2675" s="17" t="s">
        <v>318</v>
      </c>
      <c r="C2675" s="18">
        <v>0</v>
      </c>
    </row>
    <row r="2676" spans="1:3" hidden="1" x14ac:dyDescent="0.2">
      <c r="B2676" s="17" t="s">
        <v>80</v>
      </c>
      <c r="C2676" s="18">
        <v>0</v>
      </c>
    </row>
    <row r="2677" spans="1:3" hidden="1" x14ac:dyDescent="0.2">
      <c r="B2677" s="17" t="s">
        <v>79</v>
      </c>
      <c r="C2677" s="18">
        <v>0</v>
      </c>
    </row>
    <row r="2678" spans="1:3" x14ac:dyDescent="0.2">
      <c r="A2678" s="18">
        <v>7728</v>
      </c>
      <c r="B2678" s="17">
        <v>0</v>
      </c>
      <c r="C2678" s="18">
        <v>152</v>
      </c>
    </row>
    <row r="2679" spans="1:3" x14ac:dyDescent="0.2">
      <c r="B2679" s="17" t="s">
        <v>250</v>
      </c>
      <c r="C2679" s="18">
        <v>50.000000000000007</v>
      </c>
    </row>
    <row r="2680" spans="1:3" x14ac:dyDescent="0.2">
      <c r="B2680" s="17" t="s">
        <v>300</v>
      </c>
      <c r="C2680" s="18">
        <v>4</v>
      </c>
    </row>
    <row r="2681" spans="1:3" x14ac:dyDescent="0.2">
      <c r="B2681" s="17" t="s">
        <v>245</v>
      </c>
      <c r="C2681" s="18">
        <v>2</v>
      </c>
    </row>
    <row r="2682" spans="1:3" x14ac:dyDescent="0.2">
      <c r="B2682" s="17" t="s">
        <v>249</v>
      </c>
      <c r="C2682" s="18">
        <v>15</v>
      </c>
    </row>
    <row r="2683" spans="1:3" x14ac:dyDescent="0.2">
      <c r="B2683" s="17" t="s">
        <v>273</v>
      </c>
      <c r="C2683" s="18">
        <v>1</v>
      </c>
    </row>
    <row r="2684" spans="1:3" x14ac:dyDescent="0.2">
      <c r="B2684" s="17" t="s">
        <v>263</v>
      </c>
      <c r="C2684" s="18">
        <v>1</v>
      </c>
    </row>
    <row r="2685" spans="1:3" x14ac:dyDescent="0.2">
      <c r="B2685" s="17" t="s">
        <v>72</v>
      </c>
      <c r="C2685" s="18">
        <v>1</v>
      </c>
    </row>
    <row r="2686" spans="1:3" x14ac:dyDescent="0.2">
      <c r="B2686" s="17" t="s">
        <v>266</v>
      </c>
      <c r="C2686" s="18">
        <v>9</v>
      </c>
    </row>
    <row r="2687" spans="1:3" x14ac:dyDescent="0.2">
      <c r="B2687" s="17" t="s">
        <v>264</v>
      </c>
      <c r="C2687" s="18">
        <v>15</v>
      </c>
    </row>
    <row r="2688" spans="1:3" x14ac:dyDescent="0.2">
      <c r="B2688" s="17" t="s">
        <v>319</v>
      </c>
      <c r="C2688" s="18">
        <v>1</v>
      </c>
    </row>
    <row r="2689" spans="1:3" x14ac:dyDescent="0.2">
      <c r="B2689" s="17" t="s">
        <v>320</v>
      </c>
      <c r="C2689" s="18">
        <v>2</v>
      </c>
    </row>
    <row r="2690" spans="1:3" x14ac:dyDescent="0.2">
      <c r="B2690" s="17" t="s">
        <v>318</v>
      </c>
      <c r="C2690" s="18">
        <v>25</v>
      </c>
    </row>
    <row r="2691" spans="1:3" x14ac:dyDescent="0.2">
      <c r="B2691" s="17" t="s">
        <v>80</v>
      </c>
      <c r="C2691" s="18">
        <v>15</v>
      </c>
    </row>
    <row r="2692" spans="1:3" x14ac:dyDescent="0.2">
      <c r="B2692" s="17" t="s">
        <v>328</v>
      </c>
      <c r="C2692" s="18">
        <v>1</v>
      </c>
    </row>
    <row r="2693" spans="1:3" x14ac:dyDescent="0.2">
      <c r="B2693" s="17" t="s">
        <v>78</v>
      </c>
      <c r="C2693" s="18">
        <v>258</v>
      </c>
    </row>
    <row r="2694" spans="1:3" x14ac:dyDescent="0.2">
      <c r="B2694" s="17" t="s">
        <v>79</v>
      </c>
      <c r="C2694" s="18">
        <v>2</v>
      </c>
    </row>
    <row r="2695" spans="1:3" hidden="1" x14ac:dyDescent="0.2">
      <c r="A2695" s="18">
        <v>7758</v>
      </c>
      <c r="B2695" s="17" t="s">
        <v>72</v>
      </c>
      <c r="C2695" s="18">
        <v>0</v>
      </c>
    </row>
    <row r="2696" spans="1:3" hidden="1" x14ac:dyDescent="0.2">
      <c r="A2696" s="18">
        <v>7767</v>
      </c>
      <c r="B2696" s="17" t="s">
        <v>318</v>
      </c>
      <c r="C2696" s="18">
        <v>0</v>
      </c>
    </row>
    <row r="2697" spans="1:3" hidden="1" x14ac:dyDescent="0.2">
      <c r="A2697" s="18">
        <v>7776</v>
      </c>
      <c r="B2697" s="17">
        <v>0</v>
      </c>
      <c r="C2697" s="18">
        <v>0</v>
      </c>
    </row>
    <row r="2698" spans="1:3" hidden="1" x14ac:dyDescent="0.2">
      <c r="B2698" s="17" t="s">
        <v>257</v>
      </c>
      <c r="C2698" s="18">
        <v>0</v>
      </c>
    </row>
    <row r="2699" spans="1:3" hidden="1" x14ac:dyDescent="0.2">
      <c r="B2699" s="17" t="s">
        <v>258</v>
      </c>
      <c r="C2699" s="18">
        <v>0</v>
      </c>
    </row>
    <row r="2700" spans="1:3" hidden="1" x14ac:dyDescent="0.2">
      <c r="B2700" s="17" t="s">
        <v>256</v>
      </c>
      <c r="C2700" s="18">
        <v>0</v>
      </c>
    </row>
    <row r="2701" spans="1:3" hidden="1" x14ac:dyDescent="0.2">
      <c r="B2701" s="17" t="s">
        <v>299</v>
      </c>
      <c r="C2701" s="18">
        <v>0</v>
      </c>
    </row>
    <row r="2702" spans="1:3" hidden="1" x14ac:dyDescent="0.2">
      <c r="B2702" s="17" t="s">
        <v>266</v>
      </c>
      <c r="C2702" s="18">
        <v>0</v>
      </c>
    </row>
    <row r="2703" spans="1:3" hidden="1" x14ac:dyDescent="0.2">
      <c r="B2703" s="17" t="s">
        <v>318</v>
      </c>
      <c r="C2703" s="18">
        <v>0</v>
      </c>
    </row>
    <row r="2704" spans="1:3" hidden="1" x14ac:dyDescent="0.2">
      <c r="A2704" s="18">
        <v>7800</v>
      </c>
      <c r="B2704" s="17">
        <v>0</v>
      </c>
      <c r="C2704" s="18">
        <v>0</v>
      </c>
    </row>
    <row r="2705" spans="1:3" hidden="1" x14ac:dyDescent="0.2">
      <c r="B2705" s="17" t="s">
        <v>251</v>
      </c>
      <c r="C2705" s="18">
        <v>0</v>
      </c>
    </row>
    <row r="2706" spans="1:3" hidden="1" x14ac:dyDescent="0.2">
      <c r="B2706" s="17" t="s">
        <v>246</v>
      </c>
      <c r="C2706" s="18">
        <v>0</v>
      </c>
    </row>
    <row r="2707" spans="1:3" hidden="1" x14ac:dyDescent="0.2">
      <c r="B2707" s="17" t="s">
        <v>258</v>
      </c>
      <c r="C2707" s="18">
        <v>0</v>
      </c>
    </row>
    <row r="2708" spans="1:3" hidden="1" x14ac:dyDescent="0.2">
      <c r="B2708" s="17" t="s">
        <v>256</v>
      </c>
      <c r="C2708" s="18">
        <v>0</v>
      </c>
    </row>
    <row r="2709" spans="1:3" hidden="1" x14ac:dyDescent="0.2">
      <c r="B2709" s="17" t="s">
        <v>288</v>
      </c>
      <c r="C2709" s="18">
        <v>0</v>
      </c>
    </row>
    <row r="2710" spans="1:3" hidden="1" x14ac:dyDescent="0.2">
      <c r="B2710" s="17" t="s">
        <v>245</v>
      </c>
      <c r="C2710" s="18">
        <v>0</v>
      </c>
    </row>
    <row r="2711" spans="1:3" hidden="1" x14ac:dyDescent="0.2">
      <c r="B2711" s="17" t="s">
        <v>249</v>
      </c>
      <c r="C2711" s="18">
        <v>0</v>
      </c>
    </row>
    <row r="2712" spans="1:3" hidden="1" x14ac:dyDescent="0.2">
      <c r="B2712" s="17" t="s">
        <v>264</v>
      </c>
      <c r="C2712" s="18">
        <v>0</v>
      </c>
    </row>
    <row r="2713" spans="1:3" hidden="1" x14ac:dyDescent="0.2">
      <c r="B2713" s="17" t="s">
        <v>319</v>
      </c>
      <c r="C2713" s="18">
        <v>0</v>
      </c>
    </row>
    <row r="2714" spans="1:3" hidden="1" x14ac:dyDescent="0.2">
      <c r="B2714" s="17" t="s">
        <v>318</v>
      </c>
      <c r="C2714" s="18">
        <v>0</v>
      </c>
    </row>
    <row r="2715" spans="1:3" hidden="1" x14ac:dyDescent="0.2">
      <c r="B2715" s="17" t="s">
        <v>80</v>
      </c>
      <c r="C2715" s="18">
        <v>0</v>
      </c>
    </row>
    <row r="2716" spans="1:3" hidden="1" x14ac:dyDescent="0.2">
      <c r="B2716" s="17" t="s">
        <v>79</v>
      </c>
      <c r="C2716" s="18">
        <v>0</v>
      </c>
    </row>
    <row r="2717" spans="1:3" hidden="1" x14ac:dyDescent="0.2">
      <c r="A2717" s="18" t="s">
        <v>461</v>
      </c>
      <c r="B2717" s="17">
        <v>0</v>
      </c>
      <c r="C2717" s="18">
        <v>0</v>
      </c>
    </row>
    <row r="2718" spans="1:3" hidden="1" x14ac:dyDescent="0.2">
      <c r="B2718" s="17" t="s">
        <v>291</v>
      </c>
      <c r="C2718" s="18">
        <v>0</v>
      </c>
    </row>
    <row r="2719" spans="1:3" hidden="1" x14ac:dyDescent="0.2">
      <c r="B2719" s="17" t="s">
        <v>258</v>
      </c>
      <c r="C2719" s="18">
        <v>0</v>
      </c>
    </row>
    <row r="2720" spans="1:3" hidden="1" x14ac:dyDescent="0.2">
      <c r="B2720" s="17" t="s">
        <v>256</v>
      </c>
      <c r="C2720" s="18">
        <v>0</v>
      </c>
    </row>
    <row r="2721" spans="1:3" hidden="1" x14ac:dyDescent="0.2">
      <c r="B2721" s="17" t="s">
        <v>262</v>
      </c>
      <c r="C2721" s="18">
        <v>0</v>
      </c>
    </row>
    <row r="2722" spans="1:3" hidden="1" x14ac:dyDescent="0.2">
      <c r="B2722" s="17" t="s">
        <v>288</v>
      </c>
      <c r="C2722" s="18">
        <v>0</v>
      </c>
    </row>
    <row r="2723" spans="1:3" hidden="1" x14ac:dyDescent="0.2">
      <c r="B2723" s="17" t="s">
        <v>245</v>
      </c>
      <c r="C2723" s="18">
        <v>0</v>
      </c>
    </row>
    <row r="2724" spans="1:3" hidden="1" x14ac:dyDescent="0.2">
      <c r="B2724" s="17" t="s">
        <v>248</v>
      </c>
      <c r="C2724" s="18">
        <v>0</v>
      </c>
    </row>
    <row r="2725" spans="1:3" hidden="1" x14ac:dyDescent="0.2">
      <c r="B2725" s="17" t="s">
        <v>249</v>
      </c>
      <c r="C2725" s="18">
        <v>0</v>
      </c>
    </row>
    <row r="2726" spans="1:3" hidden="1" x14ac:dyDescent="0.2">
      <c r="B2726" s="17" t="s">
        <v>282</v>
      </c>
      <c r="C2726" s="18">
        <v>0</v>
      </c>
    </row>
    <row r="2727" spans="1:3" hidden="1" x14ac:dyDescent="0.2">
      <c r="B2727" s="17" t="s">
        <v>72</v>
      </c>
      <c r="C2727" s="18">
        <v>0</v>
      </c>
    </row>
    <row r="2728" spans="1:3" hidden="1" x14ac:dyDescent="0.2">
      <c r="B2728" s="17" t="s">
        <v>264</v>
      </c>
      <c r="C2728" s="18">
        <v>0</v>
      </c>
    </row>
    <row r="2729" spans="1:3" hidden="1" x14ac:dyDescent="0.2">
      <c r="B2729" s="17" t="s">
        <v>319</v>
      </c>
      <c r="C2729" s="18">
        <v>0</v>
      </c>
    </row>
    <row r="2730" spans="1:3" hidden="1" x14ac:dyDescent="0.2">
      <c r="B2730" s="17" t="s">
        <v>318</v>
      </c>
      <c r="C2730" s="18">
        <v>0</v>
      </c>
    </row>
    <row r="2731" spans="1:3" hidden="1" x14ac:dyDescent="0.2">
      <c r="B2731" s="17" t="s">
        <v>80</v>
      </c>
      <c r="C2731" s="18">
        <v>0</v>
      </c>
    </row>
    <row r="2732" spans="1:3" hidden="1" x14ac:dyDescent="0.2">
      <c r="B2732" s="17" t="s">
        <v>79</v>
      </c>
      <c r="C2732" s="18">
        <v>0</v>
      </c>
    </row>
    <row r="2733" spans="1:3" hidden="1" x14ac:dyDescent="0.2">
      <c r="B2733" s="17" t="s">
        <v>458</v>
      </c>
      <c r="C2733" s="18">
        <v>0</v>
      </c>
    </row>
    <row r="2734" spans="1:3" hidden="1" x14ac:dyDescent="0.2">
      <c r="A2734" s="18" t="s">
        <v>460</v>
      </c>
      <c r="B2734" s="17">
        <v>0</v>
      </c>
      <c r="C2734" s="18">
        <v>0</v>
      </c>
    </row>
    <row r="2735" spans="1:3" hidden="1" x14ac:dyDescent="0.2">
      <c r="B2735" s="17" t="s">
        <v>258</v>
      </c>
      <c r="C2735" s="18">
        <v>0</v>
      </c>
    </row>
    <row r="2736" spans="1:3" hidden="1" x14ac:dyDescent="0.2">
      <c r="B2736" s="17" t="s">
        <v>256</v>
      </c>
      <c r="C2736" s="18">
        <v>0</v>
      </c>
    </row>
    <row r="2737" spans="1:3" hidden="1" x14ac:dyDescent="0.2">
      <c r="B2737" s="17" t="s">
        <v>245</v>
      </c>
      <c r="C2737" s="18">
        <v>0</v>
      </c>
    </row>
    <row r="2738" spans="1:3" hidden="1" x14ac:dyDescent="0.2">
      <c r="B2738" s="17" t="s">
        <v>248</v>
      </c>
      <c r="C2738" s="18">
        <v>0</v>
      </c>
    </row>
    <row r="2739" spans="1:3" hidden="1" x14ac:dyDescent="0.2">
      <c r="B2739" s="17" t="s">
        <v>249</v>
      </c>
      <c r="C2739" s="18">
        <v>0</v>
      </c>
    </row>
    <row r="2740" spans="1:3" hidden="1" x14ac:dyDescent="0.2">
      <c r="B2740" s="17" t="s">
        <v>255</v>
      </c>
      <c r="C2740" s="18">
        <v>0</v>
      </c>
    </row>
    <row r="2741" spans="1:3" hidden="1" x14ac:dyDescent="0.2">
      <c r="B2741" s="17" t="s">
        <v>264</v>
      </c>
      <c r="C2741" s="18">
        <v>0</v>
      </c>
    </row>
    <row r="2742" spans="1:3" hidden="1" x14ac:dyDescent="0.2">
      <c r="B2742" s="17" t="s">
        <v>319</v>
      </c>
      <c r="C2742" s="18">
        <v>0</v>
      </c>
    </row>
    <row r="2743" spans="1:3" hidden="1" x14ac:dyDescent="0.2">
      <c r="B2743" s="17" t="s">
        <v>318</v>
      </c>
      <c r="C2743" s="18">
        <v>0</v>
      </c>
    </row>
    <row r="2744" spans="1:3" hidden="1" x14ac:dyDescent="0.2">
      <c r="B2744" s="17" t="s">
        <v>80</v>
      </c>
      <c r="C2744" s="18">
        <v>0</v>
      </c>
    </row>
    <row r="2745" spans="1:3" hidden="1" x14ac:dyDescent="0.2">
      <c r="B2745" s="17" t="s">
        <v>79</v>
      </c>
      <c r="C2745" s="18">
        <v>0</v>
      </c>
    </row>
    <row r="2746" spans="1:3" hidden="1" x14ac:dyDescent="0.2">
      <c r="A2746" s="18">
        <v>7809</v>
      </c>
      <c r="B2746" s="17">
        <v>0</v>
      </c>
      <c r="C2746" s="18">
        <v>0</v>
      </c>
    </row>
    <row r="2747" spans="1:3" hidden="1" x14ac:dyDescent="0.2">
      <c r="B2747" s="17" t="s">
        <v>251</v>
      </c>
      <c r="C2747" s="18">
        <v>0</v>
      </c>
    </row>
    <row r="2748" spans="1:3" hidden="1" x14ac:dyDescent="0.2">
      <c r="B2748" s="17" t="s">
        <v>256</v>
      </c>
      <c r="C2748" s="18">
        <v>0</v>
      </c>
    </row>
    <row r="2749" spans="1:3" hidden="1" x14ac:dyDescent="0.2">
      <c r="B2749" s="17" t="s">
        <v>270</v>
      </c>
      <c r="C2749" s="18">
        <v>0</v>
      </c>
    </row>
    <row r="2750" spans="1:3" hidden="1" x14ac:dyDescent="0.2">
      <c r="B2750" s="17" t="s">
        <v>245</v>
      </c>
      <c r="C2750" s="18">
        <v>0</v>
      </c>
    </row>
    <row r="2751" spans="1:3" hidden="1" x14ac:dyDescent="0.2">
      <c r="B2751" s="17" t="s">
        <v>249</v>
      </c>
      <c r="C2751" s="18">
        <v>0</v>
      </c>
    </row>
    <row r="2752" spans="1:3" hidden="1" x14ac:dyDescent="0.2">
      <c r="B2752" s="17" t="s">
        <v>264</v>
      </c>
      <c r="C2752" s="18">
        <v>0</v>
      </c>
    </row>
    <row r="2753" spans="1:3" hidden="1" x14ac:dyDescent="0.2">
      <c r="B2753" s="17" t="s">
        <v>319</v>
      </c>
      <c r="C2753" s="18">
        <v>0</v>
      </c>
    </row>
    <row r="2754" spans="1:3" hidden="1" x14ac:dyDescent="0.2">
      <c r="B2754" s="17" t="s">
        <v>318</v>
      </c>
      <c r="C2754" s="18">
        <v>0</v>
      </c>
    </row>
    <row r="2755" spans="1:3" hidden="1" x14ac:dyDescent="0.2">
      <c r="B2755" s="17" t="s">
        <v>80</v>
      </c>
      <c r="C2755" s="18">
        <v>0</v>
      </c>
    </row>
    <row r="2756" spans="1:3" hidden="1" x14ac:dyDescent="0.2">
      <c r="B2756" s="17" t="s">
        <v>79</v>
      </c>
      <c r="C2756" s="18">
        <v>0</v>
      </c>
    </row>
    <row r="2757" spans="1:3" hidden="1" x14ac:dyDescent="0.2">
      <c r="A2757" s="18">
        <v>7752</v>
      </c>
      <c r="B2757" s="17" t="s">
        <v>269</v>
      </c>
      <c r="C2757" s="18">
        <v>0</v>
      </c>
    </row>
    <row r="2758" spans="1:3" hidden="1" x14ac:dyDescent="0.2">
      <c r="B2758" s="17" t="s">
        <v>260</v>
      </c>
      <c r="C2758" s="18">
        <v>0</v>
      </c>
    </row>
    <row r="2759" spans="1:3" hidden="1" x14ac:dyDescent="0.2">
      <c r="B2759" s="17" t="s">
        <v>264</v>
      </c>
      <c r="C2759" s="18">
        <v>0</v>
      </c>
    </row>
    <row r="2760" spans="1:3" hidden="1" x14ac:dyDescent="0.2">
      <c r="B2760" s="17" t="s">
        <v>318</v>
      </c>
      <c r="C2760" s="18">
        <v>0</v>
      </c>
    </row>
    <row r="2761" spans="1:3" hidden="1" x14ac:dyDescent="0.2">
      <c r="B2761" s="17" t="s">
        <v>455</v>
      </c>
      <c r="C2761" s="18">
        <v>0</v>
      </c>
    </row>
    <row r="2762" spans="1:3" hidden="1" x14ac:dyDescent="0.2">
      <c r="A2762" s="18">
        <v>7606</v>
      </c>
      <c r="B2762" s="17">
        <v>0</v>
      </c>
      <c r="C2762" s="18">
        <v>0</v>
      </c>
    </row>
    <row r="2763" spans="1:3" hidden="1" x14ac:dyDescent="0.2">
      <c r="B2763" s="17" t="s">
        <v>318</v>
      </c>
      <c r="C2763" s="18">
        <v>0</v>
      </c>
    </row>
    <row r="2764" spans="1:3" x14ac:dyDescent="0.2">
      <c r="A2764" s="18">
        <v>7829</v>
      </c>
      <c r="B2764" s="17">
        <v>0</v>
      </c>
      <c r="C2764" s="18">
        <v>2265</v>
      </c>
    </row>
    <row r="2765" spans="1:3" x14ac:dyDescent="0.2">
      <c r="B2765" s="17" t="s">
        <v>267</v>
      </c>
      <c r="C2765" s="18">
        <v>4</v>
      </c>
    </row>
    <row r="2766" spans="1:3" x14ac:dyDescent="0.2">
      <c r="B2766" s="17" t="s">
        <v>290</v>
      </c>
      <c r="C2766" s="18">
        <v>1</v>
      </c>
    </row>
    <row r="2767" spans="1:3" x14ac:dyDescent="0.2">
      <c r="B2767" s="17" t="s">
        <v>250</v>
      </c>
      <c r="C2767" s="18">
        <v>120</v>
      </c>
    </row>
    <row r="2768" spans="1:3" x14ac:dyDescent="0.2">
      <c r="B2768" s="17" t="s">
        <v>268</v>
      </c>
      <c r="C2768" s="18">
        <v>5</v>
      </c>
    </row>
    <row r="2769" spans="2:3" x14ac:dyDescent="0.2">
      <c r="B2769" s="17" t="s">
        <v>280</v>
      </c>
      <c r="C2769" s="18">
        <v>17</v>
      </c>
    </row>
    <row r="2770" spans="2:3" x14ac:dyDescent="0.2">
      <c r="B2770" s="17" t="s">
        <v>276</v>
      </c>
      <c r="C2770" s="18">
        <v>5</v>
      </c>
    </row>
    <row r="2771" spans="2:3" x14ac:dyDescent="0.2">
      <c r="B2771" s="17" t="s">
        <v>299</v>
      </c>
      <c r="C2771" s="18">
        <v>12</v>
      </c>
    </row>
    <row r="2772" spans="2:3" x14ac:dyDescent="0.2">
      <c r="B2772" s="17" t="s">
        <v>300</v>
      </c>
      <c r="C2772" s="18">
        <v>14</v>
      </c>
    </row>
    <row r="2773" spans="2:3" x14ac:dyDescent="0.2">
      <c r="B2773" s="17" t="s">
        <v>245</v>
      </c>
      <c r="C2773" s="18">
        <v>100</v>
      </c>
    </row>
    <row r="2774" spans="2:3" x14ac:dyDescent="0.2">
      <c r="B2774" s="17" t="s">
        <v>248</v>
      </c>
      <c r="C2774" s="18">
        <v>35</v>
      </c>
    </row>
    <row r="2775" spans="2:3" x14ac:dyDescent="0.2">
      <c r="B2775" s="17" t="s">
        <v>249</v>
      </c>
      <c r="C2775" s="18">
        <v>150</v>
      </c>
    </row>
    <row r="2776" spans="2:3" x14ac:dyDescent="0.2">
      <c r="B2776" s="17" t="s">
        <v>274</v>
      </c>
      <c r="C2776" s="18">
        <v>37</v>
      </c>
    </row>
    <row r="2777" spans="2:3" x14ac:dyDescent="0.2">
      <c r="B2777" s="17" t="s">
        <v>282</v>
      </c>
      <c r="C2777" s="18">
        <v>10</v>
      </c>
    </row>
    <row r="2778" spans="2:3" x14ac:dyDescent="0.2">
      <c r="B2778" s="17" t="s">
        <v>72</v>
      </c>
      <c r="C2778" s="18">
        <v>43</v>
      </c>
    </row>
    <row r="2779" spans="2:3" x14ac:dyDescent="0.2">
      <c r="B2779" s="17" t="s">
        <v>272</v>
      </c>
      <c r="C2779" s="18">
        <v>35</v>
      </c>
    </row>
    <row r="2780" spans="2:3" x14ac:dyDescent="0.2">
      <c r="B2780" s="17" t="s">
        <v>255</v>
      </c>
      <c r="C2780" s="18">
        <v>5</v>
      </c>
    </row>
    <row r="2781" spans="2:3" x14ac:dyDescent="0.2">
      <c r="B2781" s="17" t="s">
        <v>264</v>
      </c>
      <c r="C2781" s="18">
        <v>200</v>
      </c>
    </row>
    <row r="2782" spans="2:3" x14ac:dyDescent="0.2">
      <c r="B2782" s="17" t="s">
        <v>318</v>
      </c>
      <c r="C2782" s="18">
        <v>292</v>
      </c>
    </row>
    <row r="2783" spans="2:3" x14ac:dyDescent="0.2">
      <c r="B2783" s="17" t="s">
        <v>73</v>
      </c>
      <c r="C2783" s="18">
        <v>5</v>
      </c>
    </row>
    <row r="2784" spans="2:3" x14ac:dyDescent="0.2">
      <c r="B2784" s="17" t="s">
        <v>344</v>
      </c>
      <c r="C2784" s="18">
        <v>2</v>
      </c>
    </row>
    <row r="2785" spans="1:3" x14ac:dyDescent="0.2">
      <c r="B2785" s="17" t="s">
        <v>261</v>
      </c>
      <c r="C2785" s="18">
        <v>15</v>
      </c>
    </row>
    <row r="2786" spans="1:3" x14ac:dyDescent="0.2">
      <c r="B2786" s="17" t="s">
        <v>391</v>
      </c>
      <c r="C2786" s="18">
        <v>4</v>
      </c>
    </row>
    <row r="2787" spans="1:3" x14ac:dyDescent="0.2">
      <c r="B2787" s="17" t="s">
        <v>462</v>
      </c>
      <c r="C2787" s="18">
        <v>40</v>
      </c>
    </row>
    <row r="2788" spans="1:3" hidden="1" x14ac:dyDescent="0.2">
      <c r="A2788" s="18">
        <v>7779</v>
      </c>
      <c r="B2788" s="17">
        <v>0</v>
      </c>
      <c r="C2788" s="18">
        <v>0</v>
      </c>
    </row>
    <row r="2789" spans="1:3" hidden="1" x14ac:dyDescent="0.2">
      <c r="B2789" s="17" t="s">
        <v>258</v>
      </c>
      <c r="C2789" s="18">
        <v>0</v>
      </c>
    </row>
    <row r="2790" spans="1:3" hidden="1" x14ac:dyDescent="0.2">
      <c r="B2790" s="17" t="s">
        <v>256</v>
      </c>
      <c r="C2790" s="18">
        <v>0</v>
      </c>
    </row>
    <row r="2791" spans="1:3" hidden="1" x14ac:dyDescent="0.2">
      <c r="B2791" s="17" t="s">
        <v>276</v>
      </c>
      <c r="C2791" s="18">
        <v>0</v>
      </c>
    </row>
    <row r="2792" spans="1:3" hidden="1" x14ac:dyDescent="0.2">
      <c r="B2792" s="17" t="s">
        <v>245</v>
      </c>
      <c r="C2792" s="18">
        <v>0</v>
      </c>
    </row>
    <row r="2793" spans="1:3" hidden="1" x14ac:dyDescent="0.2">
      <c r="B2793" s="17" t="s">
        <v>249</v>
      </c>
      <c r="C2793" s="18">
        <v>0</v>
      </c>
    </row>
    <row r="2794" spans="1:3" hidden="1" x14ac:dyDescent="0.2">
      <c r="B2794" s="17" t="s">
        <v>264</v>
      </c>
      <c r="C2794" s="18">
        <v>0</v>
      </c>
    </row>
    <row r="2795" spans="1:3" hidden="1" x14ac:dyDescent="0.2">
      <c r="B2795" s="17" t="s">
        <v>319</v>
      </c>
      <c r="C2795" s="18">
        <v>0</v>
      </c>
    </row>
    <row r="2796" spans="1:3" hidden="1" x14ac:dyDescent="0.2">
      <c r="B2796" s="17" t="s">
        <v>318</v>
      </c>
      <c r="C2796" s="18">
        <v>0</v>
      </c>
    </row>
    <row r="2797" spans="1:3" hidden="1" x14ac:dyDescent="0.2">
      <c r="B2797" s="17" t="s">
        <v>80</v>
      </c>
      <c r="C2797" s="18">
        <v>0</v>
      </c>
    </row>
    <row r="2798" spans="1:3" hidden="1" x14ac:dyDescent="0.2">
      <c r="A2798" s="18">
        <v>7811</v>
      </c>
      <c r="B2798" s="17" t="s">
        <v>255</v>
      </c>
      <c r="C2798" s="18">
        <v>0</v>
      </c>
    </row>
    <row r="2799" spans="1:3" x14ac:dyDescent="0.2">
      <c r="A2799" s="18">
        <v>7806</v>
      </c>
      <c r="B2799" s="17" t="s">
        <v>419</v>
      </c>
      <c r="C2799" s="18">
        <v>4</v>
      </c>
    </row>
    <row r="2800" spans="1:3" hidden="1" x14ac:dyDescent="0.2">
      <c r="A2800" s="18">
        <v>7842</v>
      </c>
      <c r="B2800" s="17">
        <v>0</v>
      </c>
      <c r="C2800" s="18">
        <v>0</v>
      </c>
    </row>
    <row r="2801" spans="1:3" hidden="1" x14ac:dyDescent="0.2">
      <c r="B2801" s="17" t="s">
        <v>256</v>
      </c>
      <c r="C2801" s="18">
        <v>0</v>
      </c>
    </row>
    <row r="2802" spans="1:3" hidden="1" x14ac:dyDescent="0.2">
      <c r="B2802" s="17" t="s">
        <v>259</v>
      </c>
      <c r="C2802" s="18">
        <v>0</v>
      </c>
    </row>
    <row r="2803" spans="1:3" hidden="1" x14ac:dyDescent="0.2">
      <c r="B2803" s="17" t="s">
        <v>318</v>
      </c>
      <c r="C2803" s="18">
        <v>0</v>
      </c>
    </row>
    <row r="2804" spans="1:3" hidden="1" x14ac:dyDescent="0.2">
      <c r="B2804" s="17" t="s">
        <v>80</v>
      </c>
      <c r="C2804" s="18">
        <v>0</v>
      </c>
    </row>
    <row r="2805" spans="1:3" hidden="1" x14ac:dyDescent="0.2">
      <c r="A2805" s="18">
        <v>7840</v>
      </c>
      <c r="B2805" s="17">
        <v>0</v>
      </c>
      <c r="C2805" s="18">
        <v>0</v>
      </c>
    </row>
    <row r="2806" spans="1:3" hidden="1" x14ac:dyDescent="0.2">
      <c r="A2806" s="18">
        <v>7862</v>
      </c>
      <c r="B2806" s="17" t="s">
        <v>72</v>
      </c>
      <c r="C2806" s="18">
        <v>0</v>
      </c>
    </row>
    <row r="2807" spans="1:3" hidden="1" x14ac:dyDescent="0.2">
      <c r="A2807" s="18">
        <v>7858</v>
      </c>
      <c r="B2807" s="17">
        <v>0</v>
      </c>
      <c r="C2807" s="18">
        <v>0</v>
      </c>
    </row>
    <row r="2808" spans="1:3" hidden="1" x14ac:dyDescent="0.2">
      <c r="B2808" s="17" t="s">
        <v>256</v>
      </c>
      <c r="C2808" s="18">
        <v>0</v>
      </c>
    </row>
    <row r="2809" spans="1:3" hidden="1" x14ac:dyDescent="0.2">
      <c r="B2809" s="17" t="s">
        <v>260</v>
      </c>
      <c r="C2809" s="18">
        <v>0</v>
      </c>
    </row>
    <row r="2810" spans="1:3" hidden="1" x14ac:dyDescent="0.2">
      <c r="B2810" s="17" t="s">
        <v>318</v>
      </c>
      <c r="C2810" s="18">
        <v>0</v>
      </c>
    </row>
    <row r="2811" spans="1:3" hidden="1" x14ac:dyDescent="0.2">
      <c r="A2811" s="18">
        <v>7859</v>
      </c>
      <c r="B2811" s="17" t="s">
        <v>328</v>
      </c>
      <c r="C2811" s="18">
        <v>0</v>
      </c>
    </row>
    <row r="2812" spans="1:3" hidden="1" x14ac:dyDescent="0.2">
      <c r="A2812" s="18">
        <v>7879</v>
      </c>
      <c r="B2812" s="17" t="s">
        <v>274</v>
      </c>
      <c r="C2812" s="18">
        <v>0</v>
      </c>
    </row>
    <row r="2813" spans="1:3" hidden="1" x14ac:dyDescent="0.2">
      <c r="B2813" s="17" t="s">
        <v>272</v>
      </c>
      <c r="C2813" s="18">
        <v>0</v>
      </c>
    </row>
    <row r="2814" spans="1:3" hidden="1" x14ac:dyDescent="0.2">
      <c r="B2814" s="17" t="s">
        <v>318</v>
      </c>
      <c r="C2814" s="18">
        <v>0</v>
      </c>
    </row>
    <row r="2815" spans="1:3" hidden="1" x14ac:dyDescent="0.2">
      <c r="A2815" s="18">
        <v>7831</v>
      </c>
      <c r="B2815" s="17">
        <v>0</v>
      </c>
      <c r="C2815" s="18">
        <v>0</v>
      </c>
    </row>
    <row r="2816" spans="1:3" hidden="1" x14ac:dyDescent="0.2">
      <c r="A2816" s="18">
        <v>7884</v>
      </c>
      <c r="B2816" s="17">
        <v>0</v>
      </c>
      <c r="C2816" s="18">
        <v>0</v>
      </c>
    </row>
    <row r="2817" spans="1:3" hidden="1" x14ac:dyDescent="0.2">
      <c r="B2817" s="17" t="s">
        <v>256</v>
      </c>
      <c r="C2817" s="18">
        <v>0</v>
      </c>
    </row>
    <row r="2818" spans="1:3" hidden="1" x14ac:dyDescent="0.2">
      <c r="B2818" s="17" t="s">
        <v>260</v>
      </c>
      <c r="C2818" s="18">
        <v>0</v>
      </c>
    </row>
    <row r="2819" spans="1:3" hidden="1" x14ac:dyDescent="0.2">
      <c r="B2819" s="17" t="s">
        <v>318</v>
      </c>
      <c r="C2819" s="18">
        <v>0</v>
      </c>
    </row>
    <row r="2820" spans="1:3" hidden="1" x14ac:dyDescent="0.2">
      <c r="B2820" s="17" t="s">
        <v>80</v>
      </c>
      <c r="C2820" s="18">
        <v>0</v>
      </c>
    </row>
    <row r="2821" spans="1:3" hidden="1" x14ac:dyDescent="0.2">
      <c r="B2821" s="17" t="s">
        <v>79</v>
      </c>
      <c r="C2821" s="18">
        <v>0</v>
      </c>
    </row>
    <row r="2822" spans="1:3" hidden="1" x14ac:dyDescent="0.2">
      <c r="A2822" s="18">
        <v>7904</v>
      </c>
      <c r="B2822" s="17">
        <v>0</v>
      </c>
      <c r="C2822" s="18">
        <v>0</v>
      </c>
    </row>
    <row r="2823" spans="1:3" hidden="1" x14ac:dyDescent="0.2">
      <c r="B2823" s="17" t="s">
        <v>318</v>
      </c>
      <c r="C2823" s="18">
        <v>0</v>
      </c>
    </row>
    <row r="2824" spans="1:3" x14ac:dyDescent="0.2">
      <c r="A2824" s="18">
        <v>7899</v>
      </c>
      <c r="B2824" s="17" t="s">
        <v>72</v>
      </c>
      <c r="C2824" s="18">
        <v>327</v>
      </c>
    </row>
    <row r="2825" spans="1:3" hidden="1" x14ac:dyDescent="0.2">
      <c r="A2825" s="18">
        <v>7902</v>
      </c>
      <c r="B2825" s="17" t="s">
        <v>258</v>
      </c>
      <c r="C2825" s="18">
        <v>0</v>
      </c>
    </row>
    <row r="2826" spans="1:3" hidden="1" x14ac:dyDescent="0.2">
      <c r="A2826" s="18">
        <v>7911</v>
      </c>
      <c r="B2826" s="17">
        <v>0</v>
      </c>
      <c r="C2826" s="18">
        <v>0</v>
      </c>
    </row>
    <row r="2827" spans="1:3" hidden="1" x14ac:dyDescent="0.2">
      <c r="B2827" s="17" t="s">
        <v>294</v>
      </c>
      <c r="C2827" s="18">
        <v>0</v>
      </c>
    </row>
    <row r="2828" spans="1:3" hidden="1" x14ac:dyDescent="0.2">
      <c r="B2828" s="17" t="s">
        <v>72</v>
      </c>
      <c r="C2828" s="18">
        <v>0</v>
      </c>
    </row>
    <row r="2829" spans="1:3" hidden="1" x14ac:dyDescent="0.2">
      <c r="B2829" s="17" t="s">
        <v>272</v>
      </c>
      <c r="C2829" s="18">
        <v>0</v>
      </c>
    </row>
    <row r="2830" spans="1:3" hidden="1" x14ac:dyDescent="0.2">
      <c r="B2830" s="17" t="s">
        <v>318</v>
      </c>
      <c r="C2830" s="18">
        <v>0</v>
      </c>
    </row>
    <row r="2831" spans="1:3" hidden="1" x14ac:dyDescent="0.2">
      <c r="A2831" s="18">
        <v>7919</v>
      </c>
      <c r="B2831" s="17">
        <v>0</v>
      </c>
      <c r="C2831" s="18">
        <v>0</v>
      </c>
    </row>
    <row r="2832" spans="1:3" hidden="1" x14ac:dyDescent="0.2">
      <c r="B2832" s="17" t="s">
        <v>270</v>
      </c>
      <c r="C2832" s="18">
        <v>0</v>
      </c>
    </row>
    <row r="2833" spans="2:3" hidden="1" x14ac:dyDescent="0.2">
      <c r="B2833" s="17" t="s">
        <v>280</v>
      </c>
      <c r="C2833" s="18">
        <v>0</v>
      </c>
    </row>
    <row r="2834" spans="2:3" hidden="1" x14ac:dyDescent="0.2">
      <c r="B2834" s="17" t="s">
        <v>276</v>
      </c>
      <c r="C2834" s="18">
        <v>0</v>
      </c>
    </row>
    <row r="2835" spans="2:3" hidden="1" x14ac:dyDescent="0.2">
      <c r="B2835" s="17" t="s">
        <v>245</v>
      </c>
      <c r="C2835" s="18">
        <v>0</v>
      </c>
    </row>
    <row r="2836" spans="2:3" hidden="1" x14ac:dyDescent="0.2">
      <c r="B2836" s="17" t="s">
        <v>248</v>
      </c>
      <c r="C2836" s="18">
        <v>0</v>
      </c>
    </row>
    <row r="2837" spans="2:3" hidden="1" x14ac:dyDescent="0.2">
      <c r="B2837" s="17" t="s">
        <v>249</v>
      </c>
      <c r="C2837" s="18">
        <v>0</v>
      </c>
    </row>
    <row r="2838" spans="2:3" hidden="1" x14ac:dyDescent="0.2">
      <c r="B2838" s="17" t="s">
        <v>274</v>
      </c>
      <c r="C2838" s="18">
        <v>0</v>
      </c>
    </row>
    <row r="2839" spans="2:3" x14ac:dyDescent="0.2">
      <c r="B2839" s="17" t="s">
        <v>316</v>
      </c>
      <c r="C2839" s="18">
        <v>1</v>
      </c>
    </row>
    <row r="2840" spans="2:3" hidden="1" x14ac:dyDescent="0.2">
      <c r="B2840" s="17" t="s">
        <v>260</v>
      </c>
      <c r="C2840" s="18">
        <v>0</v>
      </c>
    </row>
    <row r="2841" spans="2:3" hidden="1" x14ac:dyDescent="0.2">
      <c r="B2841" s="17" t="s">
        <v>272</v>
      </c>
      <c r="C2841" s="18">
        <v>0</v>
      </c>
    </row>
    <row r="2842" spans="2:3" hidden="1" x14ac:dyDescent="0.2">
      <c r="B2842" s="17" t="s">
        <v>264</v>
      </c>
      <c r="C2842" s="18">
        <v>0</v>
      </c>
    </row>
    <row r="2843" spans="2:3" hidden="1" x14ac:dyDescent="0.2">
      <c r="B2843" s="17" t="s">
        <v>307</v>
      </c>
      <c r="C2843" s="18">
        <v>0</v>
      </c>
    </row>
    <row r="2844" spans="2:3" hidden="1" x14ac:dyDescent="0.2">
      <c r="B2844" s="17" t="s">
        <v>319</v>
      </c>
      <c r="C2844" s="18">
        <v>0</v>
      </c>
    </row>
    <row r="2845" spans="2:3" hidden="1" x14ac:dyDescent="0.2">
      <c r="B2845" s="17" t="s">
        <v>322</v>
      </c>
      <c r="C2845" s="18">
        <v>0</v>
      </c>
    </row>
    <row r="2846" spans="2:3" hidden="1" x14ac:dyDescent="0.2">
      <c r="B2846" s="17" t="s">
        <v>323</v>
      </c>
      <c r="C2846" s="18">
        <v>0</v>
      </c>
    </row>
    <row r="2847" spans="2:3" hidden="1" x14ac:dyDescent="0.2">
      <c r="B2847" s="17" t="s">
        <v>80</v>
      </c>
      <c r="C2847" s="18">
        <v>0</v>
      </c>
    </row>
    <row r="2848" spans="2:3" hidden="1" x14ac:dyDescent="0.2">
      <c r="B2848" s="17" t="s">
        <v>329</v>
      </c>
      <c r="C2848" s="18">
        <v>0</v>
      </c>
    </row>
    <row r="2849" spans="1:3" hidden="1" x14ac:dyDescent="0.2">
      <c r="B2849" s="17" t="s">
        <v>261</v>
      </c>
      <c r="C2849" s="18">
        <v>0</v>
      </c>
    </row>
    <row r="2850" spans="1:3" hidden="1" x14ac:dyDescent="0.2">
      <c r="B2850" s="17" t="s">
        <v>79</v>
      </c>
      <c r="C2850" s="18">
        <v>0</v>
      </c>
    </row>
    <row r="2851" spans="1:3" hidden="1" x14ac:dyDescent="0.2">
      <c r="A2851" s="18">
        <v>7933</v>
      </c>
      <c r="B2851" s="17" t="s">
        <v>318</v>
      </c>
      <c r="C2851" s="18">
        <v>0</v>
      </c>
    </row>
    <row r="2852" spans="1:3" hidden="1" x14ac:dyDescent="0.2">
      <c r="A2852" s="18">
        <v>7936</v>
      </c>
      <c r="B2852" s="17">
        <v>0</v>
      </c>
      <c r="C2852" s="18">
        <v>0</v>
      </c>
    </row>
    <row r="2853" spans="1:3" hidden="1" x14ac:dyDescent="0.2">
      <c r="B2853" s="17" t="s">
        <v>251</v>
      </c>
      <c r="C2853" s="18">
        <v>0</v>
      </c>
    </row>
    <row r="2854" spans="1:3" hidden="1" x14ac:dyDescent="0.2">
      <c r="B2854" s="17" t="s">
        <v>258</v>
      </c>
      <c r="C2854" s="18">
        <v>0</v>
      </c>
    </row>
    <row r="2855" spans="1:3" hidden="1" x14ac:dyDescent="0.2">
      <c r="B2855" s="17" t="s">
        <v>256</v>
      </c>
      <c r="C2855" s="18">
        <v>0</v>
      </c>
    </row>
    <row r="2856" spans="1:3" hidden="1" x14ac:dyDescent="0.2">
      <c r="B2856" s="17" t="s">
        <v>300</v>
      </c>
      <c r="C2856" s="18">
        <v>0</v>
      </c>
    </row>
    <row r="2857" spans="1:3" hidden="1" x14ac:dyDescent="0.2">
      <c r="B2857" s="17" t="s">
        <v>245</v>
      </c>
      <c r="C2857" s="18">
        <v>0</v>
      </c>
    </row>
    <row r="2858" spans="1:3" hidden="1" x14ac:dyDescent="0.2">
      <c r="B2858" s="17" t="s">
        <v>249</v>
      </c>
      <c r="C2858" s="18">
        <v>0</v>
      </c>
    </row>
    <row r="2859" spans="1:3" hidden="1" x14ac:dyDescent="0.2">
      <c r="B2859" s="17" t="s">
        <v>303</v>
      </c>
      <c r="C2859" s="18">
        <v>0</v>
      </c>
    </row>
    <row r="2860" spans="1:3" hidden="1" x14ac:dyDescent="0.2">
      <c r="B2860" s="17" t="s">
        <v>264</v>
      </c>
      <c r="C2860" s="18">
        <v>0</v>
      </c>
    </row>
    <row r="2861" spans="1:3" hidden="1" x14ac:dyDescent="0.2">
      <c r="B2861" s="17" t="s">
        <v>319</v>
      </c>
      <c r="C2861" s="18">
        <v>0</v>
      </c>
    </row>
    <row r="2862" spans="1:3" hidden="1" x14ac:dyDescent="0.2">
      <c r="B2862" s="17" t="s">
        <v>318</v>
      </c>
      <c r="C2862" s="18">
        <v>0</v>
      </c>
    </row>
    <row r="2863" spans="1:3" hidden="1" x14ac:dyDescent="0.2">
      <c r="B2863" s="17" t="s">
        <v>80</v>
      </c>
      <c r="C2863" s="18">
        <v>0</v>
      </c>
    </row>
    <row r="2864" spans="1:3" hidden="1" x14ac:dyDescent="0.2">
      <c r="B2864" s="17" t="s">
        <v>79</v>
      </c>
      <c r="C2864" s="18">
        <v>0</v>
      </c>
    </row>
    <row r="2865" spans="1:3" hidden="1" x14ac:dyDescent="0.2">
      <c r="A2865" s="18">
        <v>7943</v>
      </c>
      <c r="B2865" s="17">
        <v>0</v>
      </c>
      <c r="C2865" s="18">
        <v>0</v>
      </c>
    </row>
    <row r="2866" spans="1:3" hidden="1" x14ac:dyDescent="0.2">
      <c r="B2866" s="17" t="s">
        <v>257</v>
      </c>
      <c r="C2866" s="18">
        <v>0</v>
      </c>
    </row>
    <row r="2867" spans="1:3" hidden="1" x14ac:dyDescent="0.2">
      <c r="B2867" s="17" t="s">
        <v>267</v>
      </c>
      <c r="C2867" s="18">
        <v>0</v>
      </c>
    </row>
    <row r="2868" spans="1:3" hidden="1" x14ac:dyDescent="0.2">
      <c r="B2868" s="17" t="s">
        <v>258</v>
      </c>
      <c r="C2868" s="18">
        <v>0</v>
      </c>
    </row>
    <row r="2869" spans="1:3" hidden="1" x14ac:dyDescent="0.2">
      <c r="B2869" s="17" t="s">
        <v>268</v>
      </c>
      <c r="C2869" s="18">
        <v>0</v>
      </c>
    </row>
    <row r="2870" spans="1:3" hidden="1" x14ac:dyDescent="0.2">
      <c r="B2870" s="17" t="s">
        <v>274</v>
      </c>
      <c r="C2870" s="18">
        <v>0</v>
      </c>
    </row>
    <row r="2871" spans="1:3" hidden="1" x14ac:dyDescent="0.2">
      <c r="B2871" s="17" t="s">
        <v>79</v>
      </c>
      <c r="C2871" s="18">
        <v>0</v>
      </c>
    </row>
    <row r="2872" spans="1:3" hidden="1" x14ac:dyDescent="0.2">
      <c r="A2872" s="18">
        <v>7938</v>
      </c>
      <c r="B2872" s="17" t="s">
        <v>72</v>
      </c>
      <c r="C2872" s="18">
        <v>0</v>
      </c>
    </row>
    <row r="2873" spans="1:3" hidden="1" x14ac:dyDescent="0.2">
      <c r="A2873" s="18">
        <v>7945</v>
      </c>
      <c r="B2873" s="17" t="s">
        <v>72</v>
      </c>
      <c r="C2873" s="18">
        <v>0</v>
      </c>
    </row>
    <row r="2874" spans="1:3" hidden="1" x14ac:dyDescent="0.2">
      <c r="A2874" s="18">
        <v>7947</v>
      </c>
      <c r="B2874" s="17" t="s">
        <v>263</v>
      </c>
      <c r="C2874" s="18">
        <v>0</v>
      </c>
    </row>
    <row r="2875" spans="1:3" hidden="1" x14ac:dyDescent="0.2">
      <c r="B2875" s="17" t="s">
        <v>274</v>
      </c>
      <c r="C2875" s="18">
        <v>0</v>
      </c>
    </row>
    <row r="2876" spans="1:3" hidden="1" x14ac:dyDescent="0.2">
      <c r="B2876" s="17" t="s">
        <v>72</v>
      </c>
      <c r="C2876" s="18">
        <v>0</v>
      </c>
    </row>
    <row r="2877" spans="1:3" hidden="1" x14ac:dyDescent="0.2">
      <c r="B2877" s="17" t="s">
        <v>272</v>
      </c>
      <c r="C2877" s="18">
        <v>0</v>
      </c>
    </row>
    <row r="2878" spans="1:3" hidden="1" x14ac:dyDescent="0.2">
      <c r="B2878" s="17" t="s">
        <v>323</v>
      </c>
      <c r="C2878" s="18">
        <v>0</v>
      </c>
    </row>
    <row r="2879" spans="1:3" hidden="1" x14ac:dyDescent="0.2">
      <c r="B2879" s="17" t="s">
        <v>324</v>
      </c>
      <c r="C2879" s="18">
        <v>0</v>
      </c>
    </row>
    <row r="2880" spans="1:3" hidden="1" x14ac:dyDescent="0.2">
      <c r="B2880" s="17" t="s">
        <v>318</v>
      </c>
      <c r="C2880" s="18">
        <v>0</v>
      </c>
    </row>
    <row r="2881" spans="1:3" hidden="1" x14ac:dyDescent="0.2">
      <c r="B2881" s="17" t="s">
        <v>79</v>
      </c>
      <c r="C2881" s="18">
        <v>0</v>
      </c>
    </row>
    <row r="2882" spans="1:3" hidden="1" x14ac:dyDescent="0.2">
      <c r="A2882" s="18">
        <v>7949</v>
      </c>
      <c r="B2882" s="17" t="s">
        <v>72</v>
      </c>
      <c r="C2882" s="18">
        <v>0</v>
      </c>
    </row>
    <row r="2883" spans="1:3" hidden="1" x14ac:dyDescent="0.2">
      <c r="A2883" s="18">
        <v>7924</v>
      </c>
      <c r="B2883" s="17">
        <v>0</v>
      </c>
      <c r="C2883" s="18">
        <v>0</v>
      </c>
    </row>
    <row r="2884" spans="1:3" hidden="1" x14ac:dyDescent="0.2">
      <c r="A2884" s="18">
        <v>7967</v>
      </c>
      <c r="B2884" s="17" t="s">
        <v>318</v>
      </c>
      <c r="C2884" s="18">
        <v>0</v>
      </c>
    </row>
    <row r="2885" spans="1:3" hidden="1" x14ac:dyDescent="0.2">
      <c r="A2885" s="18">
        <v>7812</v>
      </c>
      <c r="B2885" s="17">
        <v>0</v>
      </c>
      <c r="C2885" s="18">
        <v>0</v>
      </c>
    </row>
    <row r="2886" spans="1:3" hidden="1" x14ac:dyDescent="0.2">
      <c r="A2886" s="18">
        <v>7813</v>
      </c>
      <c r="B2886" s="17" t="s">
        <v>245</v>
      </c>
      <c r="C2886" s="18">
        <v>0</v>
      </c>
    </row>
    <row r="2887" spans="1:3" hidden="1" x14ac:dyDescent="0.2">
      <c r="B2887" s="17" t="s">
        <v>249</v>
      </c>
      <c r="C2887" s="18">
        <v>0</v>
      </c>
    </row>
    <row r="2888" spans="1:3" hidden="1" x14ac:dyDescent="0.2">
      <c r="B2888" s="17" t="s">
        <v>260</v>
      </c>
      <c r="C2888" s="18">
        <v>0</v>
      </c>
    </row>
    <row r="2889" spans="1:3" hidden="1" x14ac:dyDescent="0.2">
      <c r="B2889" s="17" t="s">
        <v>319</v>
      </c>
      <c r="C2889" s="18">
        <v>0</v>
      </c>
    </row>
    <row r="2890" spans="1:3" hidden="1" x14ac:dyDescent="0.2">
      <c r="B2890" s="17" t="s">
        <v>318</v>
      </c>
      <c r="C2890" s="18">
        <v>0</v>
      </c>
    </row>
    <row r="2891" spans="1:3" x14ac:dyDescent="0.2">
      <c r="A2891" s="18" t="s">
        <v>466</v>
      </c>
      <c r="B2891" s="17" t="s">
        <v>323</v>
      </c>
      <c r="C2891" s="18">
        <v>1</v>
      </c>
    </row>
    <row r="2892" spans="1:3" x14ac:dyDescent="0.2">
      <c r="B2892" s="17" t="s">
        <v>318</v>
      </c>
      <c r="C2892" s="18">
        <v>2</v>
      </c>
    </row>
    <row r="2893" spans="1:3" x14ac:dyDescent="0.2">
      <c r="B2893" s="17" t="s">
        <v>73</v>
      </c>
      <c r="C2893" s="18">
        <v>3</v>
      </c>
    </row>
    <row r="2894" spans="1:3" hidden="1" x14ac:dyDescent="0.2">
      <c r="A2894" s="18">
        <v>7928</v>
      </c>
      <c r="B2894" s="17">
        <v>0</v>
      </c>
      <c r="C2894" s="18">
        <v>0</v>
      </c>
    </row>
    <row r="2895" spans="1:3" hidden="1" x14ac:dyDescent="0.2">
      <c r="B2895" s="17" t="s">
        <v>257</v>
      </c>
      <c r="C2895" s="18">
        <v>0</v>
      </c>
    </row>
    <row r="2896" spans="1:3" hidden="1" x14ac:dyDescent="0.2">
      <c r="B2896" s="17" t="s">
        <v>278</v>
      </c>
      <c r="C2896" s="18">
        <v>0</v>
      </c>
    </row>
    <row r="2897" spans="1:3" hidden="1" x14ac:dyDescent="0.2">
      <c r="B2897" s="17" t="s">
        <v>258</v>
      </c>
      <c r="C2897" s="18">
        <v>0</v>
      </c>
    </row>
    <row r="2898" spans="1:3" hidden="1" x14ac:dyDescent="0.2">
      <c r="B2898" s="17" t="s">
        <v>268</v>
      </c>
      <c r="C2898" s="18">
        <v>0</v>
      </c>
    </row>
    <row r="2899" spans="1:3" hidden="1" x14ac:dyDescent="0.2">
      <c r="B2899" s="17" t="s">
        <v>245</v>
      </c>
      <c r="C2899" s="18">
        <v>0</v>
      </c>
    </row>
    <row r="2900" spans="1:3" hidden="1" x14ac:dyDescent="0.2">
      <c r="B2900" s="17" t="s">
        <v>296</v>
      </c>
      <c r="C2900" s="18">
        <v>0</v>
      </c>
    </row>
    <row r="2901" spans="1:3" hidden="1" x14ac:dyDescent="0.2">
      <c r="B2901" s="17" t="s">
        <v>255</v>
      </c>
      <c r="C2901" s="18">
        <v>0</v>
      </c>
    </row>
    <row r="2902" spans="1:3" hidden="1" x14ac:dyDescent="0.2">
      <c r="B2902" s="17" t="s">
        <v>319</v>
      </c>
      <c r="C2902" s="18">
        <v>0</v>
      </c>
    </row>
    <row r="2903" spans="1:3" hidden="1" x14ac:dyDescent="0.2">
      <c r="B2903" s="17" t="s">
        <v>318</v>
      </c>
      <c r="C2903" s="18">
        <v>0</v>
      </c>
    </row>
    <row r="2904" spans="1:3" hidden="1" x14ac:dyDescent="0.2">
      <c r="B2904" s="17" t="s">
        <v>73</v>
      </c>
      <c r="C2904" s="18">
        <v>0</v>
      </c>
    </row>
    <row r="2905" spans="1:3" hidden="1" x14ac:dyDescent="0.2">
      <c r="B2905" s="17" t="s">
        <v>79</v>
      </c>
      <c r="C2905" s="18">
        <v>0</v>
      </c>
    </row>
    <row r="2906" spans="1:3" hidden="1" x14ac:dyDescent="0.2">
      <c r="A2906" s="18">
        <v>8002</v>
      </c>
      <c r="B2906" s="17" t="s">
        <v>245</v>
      </c>
      <c r="C2906" s="18">
        <v>0</v>
      </c>
    </row>
    <row r="2907" spans="1:3" hidden="1" x14ac:dyDescent="0.2">
      <c r="B2907" s="17" t="s">
        <v>72</v>
      </c>
      <c r="C2907" s="18">
        <v>0</v>
      </c>
    </row>
    <row r="2908" spans="1:3" hidden="1" x14ac:dyDescent="0.2">
      <c r="B2908" s="17" t="s">
        <v>309</v>
      </c>
      <c r="C2908" s="18">
        <v>0</v>
      </c>
    </row>
    <row r="2909" spans="1:3" hidden="1" x14ac:dyDescent="0.2">
      <c r="B2909" s="17" t="s">
        <v>322</v>
      </c>
      <c r="C2909" s="18">
        <v>0</v>
      </c>
    </row>
    <row r="2910" spans="1:3" hidden="1" x14ac:dyDescent="0.2">
      <c r="B2910" s="17" t="s">
        <v>467</v>
      </c>
      <c r="C2910" s="18">
        <v>0</v>
      </c>
    </row>
    <row r="2911" spans="1:3" hidden="1" x14ac:dyDescent="0.2">
      <c r="A2911" s="18">
        <v>8010</v>
      </c>
      <c r="B2911" s="17">
        <v>0</v>
      </c>
      <c r="C2911" s="18">
        <v>0</v>
      </c>
    </row>
    <row r="2912" spans="1:3" hidden="1" x14ac:dyDescent="0.2">
      <c r="B2912" s="17" t="s">
        <v>258</v>
      </c>
      <c r="C2912" s="18">
        <v>0</v>
      </c>
    </row>
    <row r="2913" spans="1:3" hidden="1" x14ac:dyDescent="0.2">
      <c r="B2913" s="17" t="s">
        <v>275</v>
      </c>
      <c r="C2913" s="18">
        <v>0</v>
      </c>
    </row>
    <row r="2914" spans="1:3" hidden="1" x14ac:dyDescent="0.2">
      <c r="B2914" s="17" t="s">
        <v>276</v>
      </c>
      <c r="C2914" s="18">
        <v>0</v>
      </c>
    </row>
    <row r="2915" spans="1:3" hidden="1" x14ac:dyDescent="0.2">
      <c r="B2915" s="17" t="s">
        <v>288</v>
      </c>
      <c r="C2915" s="18">
        <v>0</v>
      </c>
    </row>
    <row r="2916" spans="1:3" hidden="1" x14ac:dyDescent="0.2">
      <c r="B2916" s="17" t="s">
        <v>318</v>
      </c>
      <c r="C2916" s="18">
        <v>0</v>
      </c>
    </row>
    <row r="2917" spans="1:3" hidden="1" x14ac:dyDescent="0.2">
      <c r="B2917" s="17" t="s">
        <v>80</v>
      </c>
      <c r="C2917" s="18">
        <v>0</v>
      </c>
    </row>
    <row r="2918" spans="1:3" hidden="1" x14ac:dyDescent="0.2">
      <c r="B2918" s="17" t="s">
        <v>419</v>
      </c>
      <c r="C2918" s="18">
        <v>0</v>
      </c>
    </row>
    <row r="2919" spans="1:3" hidden="1" x14ac:dyDescent="0.2">
      <c r="A2919" s="18">
        <v>7974</v>
      </c>
      <c r="B2919" s="17">
        <v>0</v>
      </c>
      <c r="C2919" s="18">
        <v>0</v>
      </c>
    </row>
    <row r="2920" spans="1:3" hidden="1" x14ac:dyDescent="0.2">
      <c r="B2920" s="17" t="s">
        <v>304</v>
      </c>
      <c r="C2920" s="18">
        <v>0</v>
      </c>
    </row>
    <row r="2921" spans="1:3" hidden="1" x14ac:dyDescent="0.2">
      <c r="A2921" s="18">
        <v>8027</v>
      </c>
      <c r="B2921" s="17" t="s">
        <v>318</v>
      </c>
      <c r="C2921" s="18">
        <v>0</v>
      </c>
    </row>
    <row r="2922" spans="1:3" hidden="1" x14ac:dyDescent="0.2">
      <c r="A2922" s="18">
        <v>8049</v>
      </c>
      <c r="B2922" s="17" t="s">
        <v>267</v>
      </c>
      <c r="C2922" s="18">
        <v>0</v>
      </c>
    </row>
    <row r="2923" spans="1:3" hidden="1" x14ac:dyDescent="0.2">
      <c r="B2923" s="17" t="s">
        <v>280</v>
      </c>
      <c r="C2923" s="18">
        <v>0</v>
      </c>
    </row>
    <row r="2924" spans="1:3" hidden="1" x14ac:dyDescent="0.2">
      <c r="B2924" s="17" t="s">
        <v>281</v>
      </c>
      <c r="C2924" s="18">
        <v>0</v>
      </c>
    </row>
    <row r="2925" spans="1:3" hidden="1" x14ac:dyDescent="0.2">
      <c r="B2925" s="17" t="s">
        <v>260</v>
      </c>
      <c r="C2925" s="18">
        <v>0</v>
      </c>
    </row>
    <row r="2926" spans="1:3" hidden="1" x14ac:dyDescent="0.2">
      <c r="B2926" s="17" t="s">
        <v>285</v>
      </c>
      <c r="C2926" s="18">
        <v>0</v>
      </c>
    </row>
    <row r="2927" spans="1:3" hidden="1" x14ac:dyDescent="0.2">
      <c r="B2927" s="17" t="s">
        <v>318</v>
      </c>
      <c r="C2927" s="18">
        <v>0</v>
      </c>
    </row>
    <row r="2928" spans="1:3" hidden="1" x14ac:dyDescent="0.2">
      <c r="B2928" s="17" t="s">
        <v>393</v>
      </c>
      <c r="C2928" s="18">
        <v>0</v>
      </c>
    </row>
    <row r="2929" spans="1:3" hidden="1" x14ac:dyDescent="0.2">
      <c r="A2929" s="18">
        <v>8050</v>
      </c>
      <c r="B2929" s="17">
        <v>0</v>
      </c>
      <c r="C2929" s="18">
        <v>0</v>
      </c>
    </row>
    <row r="2930" spans="1:3" hidden="1" x14ac:dyDescent="0.2">
      <c r="B2930" s="17" t="s">
        <v>72</v>
      </c>
      <c r="C2930" s="18">
        <v>0</v>
      </c>
    </row>
    <row r="2931" spans="1:3" hidden="1" x14ac:dyDescent="0.2">
      <c r="B2931" s="17" t="s">
        <v>318</v>
      </c>
      <c r="C2931" s="18">
        <v>0</v>
      </c>
    </row>
    <row r="2932" spans="1:3" hidden="1" x14ac:dyDescent="0.2">
      <c r="A2932" s="18">
        <v>8047</v>
      </c>
      <c r="B2932" s="17">
        <v>0</v>
      </c>
      <c r="C2932" s="18">
        <v>0</v>
      </c>
    </row>
    <row r="2933" spans="1:3" hidden="1" x14ac:dyDescent="0.2">
      <c r="B2933" s="17" t="s">
        <v>250</v>
      </c>
      <c r="C2933" s="18">
        <v>0</v>
      </c>
    </row>
    <row r="2934" spans="1:3" hidden="1" x14ac:dyDescent="0.2">
      <c r="B2934" s="17" t="s">
        <v>304</v>
      </c>
      <c r="C2934" s="18">
        <v>0</v>
      </c>
    </row>
    <row r="2935" spans="1:3" hidden="1" x14ac:dyDescent="0.2">
      <c r="B2935" s="17" t="s">
        <v>245</v>
      </c>
      <c r="C2935" s="18">
        <v>0</v>
      </c>
    </row>
    <row r="2936" spans="1:3" hidden="1" x14ac:dyDescent="0.2">
      <c r="B2936" s="17" t="s">
        <v>273</v>
      </c>
      <c r="C2936" s="18">
        <v>0</v>
      </c>
    </row>
    <row r="2937" spans="1:3" hidden="1" x14ac:dyDescent="0.2">
      <c r="B2937" s="17" t="s">
        <v>263</v>
      </c>
      <c r="C2937" s="18">
        <v>0</v>
      </c>
    </row>
    <row r="2938" spans="1:3" hidden="1" x14ac:dyDescent="0.2">
      <c r="B2938" s="17" t="s">
        <v>274</v>
      </c>
      <c r="C2938" s="18">
        <v>0</v>
      </c>
    </row>
    <row r="2939" spans="1:3" hidden="1" x14ac:dyDescent="0.2">
      <c r="B2939" s="17" t="s">
        <v>260</v>
      </c>
      <c r="C2939" s="18">
        <v>0</v>
      </c>
    </row>
    <row r="2940" spans="1:3" hidden="1" x14ac:dyDescent="0.2">
      <c r="B2940" s="17" t="s">
        <v>72</v>
      </c>
      <c r="C2940" s="18">
        <v>0</v>
      </c>
    </row>
    <row r="2941" spans="1:3" hidden="1" x14ac:dyDescent="0.2">
      <c r="B2941" s="17" t="s">
        <v>272</v>
      </c>
      <c r="C2941" s="18">
        <v>0</v>
      </c>
    </row>
    <row r="2942" spans="1:3" hidden="1" x14ac:dyDescent="0.2">
      <c r="B2942" s="17" t="s">
        <v>264</v>
      </c>
      <c r="C2942" s="18">
        <v>0</v>
      </c>
    </row>
    <row r="2943" spans="1:3" hidden="1" x14ac:dyDescent="0.2">
      <c r="B2943" s="17" t="s">
        <v>319</v>
      </c>
      <c r="C2943" s="18">
        <v>0</v>
      </c>
    </row>
    <row r="2944" spans="1:3" hidden="1" x14ac:dyDescent="0.2">
      <c r="B2944" s="17" t="s">
        <v>324</v>
      </c>
      <c r="C2944" s="18">
        <v>0</v>
      </c>
    </row>
    <row r="2945" spans="1:3" hidden="1" x14ac:dyDescent="0.2">
      <c r="B2945" s="17" t="s">
        <v>318</v>
      </c>
      <c r="C2945" s="18">
        <v>0</v>
      </c>
    </row>
    <row r="2946" spans="1:3" hidden="1" x14ac:dyDescent="0.2">
      <c r="B2946" s="17" t="s">
        <v>325</v>
      </c>
      <c r="C2946" s="18">
        <v>0</v>
      </c>
    </row>
    <row r="2947" spans="1:3" hidden="1" x14ac:dyDescent="0.2">
      <c r="B2947" s="17" t="s">
        <v>79</v>
      </c>
      <c r="C2947" s="18">
        <v>0</v>
      </c>
    </row>
    <row r="2948" spans="1:3" hidden="1" x14ac:dyDescent="0.2">
      <c r="A2948" s="18">
        <v>8056</v>
      </c>
      <c r="B2948" s="17">
        <v>0</v>
      </c>
      <c r="C2948" s="18">
        <v>0</v>
      </c>
    </row>
    <row r="2949" spans="1:3" hidden="1" x14ac:dyDescent="0.2">
      <c r="B2949" s="17" t="s">
        <v>257</v>
      </c>
      <c r="C2949" s="18">
        <v>0</v>
      </c>
    </row>
    <row r="2950" spans="1:3" hidden="1" x14ac:dyDescent="0.2">
      <c r="B2950" s="17" t="s">
        <v>304</v>
      </c>
      <c r="C2950" s="18">
        <v>0</v>
      </c>
    </row>
    <row r="2951" spans="1:3" hidden="1" x14ac:dyDescent="0.2">
      <c r="B2951" s="17" t="s">
        <v>245</v>
      </c>
      <c r="C2951" s="18">
        <v>0</v>
      </c>
    </row>
    <row r="2952" spans="1:3" hidden="1" x14ac:dyDescent="0.2">
      <c r="B2952" s="17" t="s">
        <v>249</v>
      </c>
      <c r="C2952" s="18">
        <v>0</v>
      </c>
    </row>
    <row r="2953" spans="1:3" hidden="1" x14ac:dyDescent="0.2">
      <c r="B2953" s="17" t="s">
        <v>264</v>
      </c>
      <c r="C2953" s="18">
        <v>0</v>
      </c>
    </row>
    <row r="2954" spans="1:3" hidden="1" x14ac:dyDescent="0.2">
      <c r="B2954" s="17" t="s">
        <v>307</v>
      </c>
      <c r="C2954" s="18">
        <v>0</v>
      </c>
    </row>
    <row r="2955" spans="1:3" hidden="1" x14ac:dyDescent="0.2">
      <c r="B2955" s="17" t="s">
        <v>319</v>
      </c>
      <c r="C2955" s="18">
        <v>0</v>
      </c>
    </row>
    <row r="2956" spans="1:3" hidden="1" x14ac:dyDescent="0.2">
      <c r="B2956" s="17" t="s">
        <v>318</v>
      </c>
      <c r="C2956" s="18">
        <v>0</v>
      </c>
    </row>
    <row r="2957" spans="1:3" hidden="1" x14ac:dyDescent="0.2">
      <c r="A2957" s="18">
        <v>8073</v>
      </c>
      <c r="B2957" s="17">
        <v>0</v>
      </c>
      <c r="C2957" s="18">
        <v>0</v>
      </c>
    </row>
    <row r="2958" spans="1:3" hidden="1" x14ac:dyDescent="0.2">
      <c r="B2958" s="17" t="s">
        <v>251</v>
      </c>
      <c r="C2958" s="18">
        <v>0</v>
      </c>
    </row>
    <row r="2959" spans="1:3" hidden="1" x14ac:dyDescent="0.2">
      <c r="B2959" s="17" t="s">
        <v>249</v>
      </c>
      <c r="C2959" s="18">
        <v>0</v>
      </c>
    </row>
    <row r="2960" spans="1:3" hidden="1" x14ac:dyDescent="0.2">
      <c r="A2960" s="18">
        <v>8074</v>
      </c>
      <c r="B2960" s="17">
        <v>0</v>
      </c>
      <c r="C2960" s="18">
        <v>0</v>
      </c>
    </row>
    <row r="2961" spans="1:3" hidden="1" x14ac:dyDescent="0.2">
      <c r="B2961" s="17" t="s">
        <v>80</v>
      </c>
      <c r="C2961" s="18">
        <v>0</v>
      </c>
    </row>
    <row r="2962" spans="1:3" hidden="1" x14ac:dyDescent="0.2">
      <c r="A2962" s="18">
        <v>8075</v>
      </c>
      <c r="B2962" s="17">
        <v>0</v>
      </c>
      <c r="C2962" s="18">
        <v>0</v>
      </c>
    </row>
    <row r="2963" spans="1:3" hidden="1" x14ac:dyDescent="0.2">
      <c r="B2963" s="17" t="s">
        <v>270</v>
      </c>
      <c r="C2963" s="18">
        <v>0</v>
      </c>
    </row>
    <row r="2964" spans="1:3" hidden="1" x14ac:dyDescent="0.2">
      <c r="B2964" s="17" t="s">
        <v>72</v>
      </c>
      <c r="C2964" s="18">
        <v>0</v>
      </c>
    </row>
    <row r="2965" spans="1:3" hidden="1" x14ac:dyDescent="0.2">
      <c r="B2965" s="17" t="s">
        <v>318</v>
      </c>
      <c r="C2965" s="18">
        <v>0</v>
      </c>
    </row>
    <row r="2966" spans="1:3" hidden="1" x14ac:dyDescent="0.2">
      <c r="A2966" s="18">
        <v>8065</v>
      </c>
      <c r="B2966" s="17" t="s">
        <v>72</v>
      </c>
      <c r="C2966" s="18">
        <v>0</v>
      </c>
    </row>
    <row r="2967" spans="1:3" hidden="1" x14ac:dyDescent="0.2">
      <c r="A2967" s="18">
        <v>8084</v>
      </c>
      <c r="B2967" s="17">
        <v>0</v>
      </c>
      <c r="C2967" s="18">
        <v>0</v>
      </c>
    </row>
    <row r="2968" spans="1:3" hidden="1" x14ac:dyDescent="0.2">
      <c r="B2968" s="17" t="s">
        <v>246</v>
      </c>
      <c r="C2968" s="18">
        <v>0</v>
      </c>
    </row>
    <row r="2969" spans="1:3" hidden="1" x14ac:dyDescent="0.2">
      <c r="B2969" s="17" t="s">
        <v>247</v>
      </c>
      <c r="C2969" s="18">
        <v>0</v>
      </c>
    </row>
    <row r="2970" spans="1:3" hidden="1" x14ac:dyDescent="0.2">
      <c r="B2970" s="17" t="s">
        <v>311</v>
      </c>
      <c r="C2970" s="18">
        <v>0</v>
      </c>
    </row>
    <row r="2971" spans="1:3" hidden="1" x14ac:dyDescent="0.2">
      <c r="B2971" s="17" t="s">
        <v>245</v>
      </c>
      <c r="C2971" s="18">
        <v>0</v>
      </c>
    </row>
    <row r="2972" spans="1:3" hidden="1" x14ac:dyDescent="0.2">
      <c r="B2972" s="17" t="s">
        <v>248</v>
      </c>
      <c r="C2972" s="18">
        <v>0</v>
      </c>
    </row>
    <row r="2973" spans="1:3" hidden="1" x14ac:dyDescent="0.2">
      <c r="B2973" s="17" t="s">
        <v>249</v>
      </c>
      <c r="C2973" s="18">
        <v>0</v>
      </c>
    </row>
    <row r="2974" spans="1:3" hidden="1" x14ac:dyDescent="0.2">
      <c r="B2974" s="17" t="s">
        <v>263</v>
      </c>
      <c r="C2974" s="18">
        <v>0</v>
      </c>
    </row>
    <row r="2975" spans="1:3" hidden="1" x14ac:dyDescent="0.2">
      <c r="B2975" s="17" t="s">
        <v>254</v>
      </c>
      <c r="C2975" s="18">
        <v>0</v>
      </c>
    </row>
    <row r="2976" spans="1:3" hidden="1" x14ac:dyDescent="0.2">
      <c r="B2976" s="17" t="s">
        <v>264</v>
      </c>
      <c r="C2976" s="18">
        <v>0</v>
      </c>
    </row>
    <row r="2977" spans="1:3" hidden="1" x14ac:dyDescent="0.2">
      <c r="B2977" s="17" t="s">
        <v>319</v>
      </c>
      <c r="C2977" s="18">
        <v>0</v>
      </c>
    </row>
    <row r="2978" spans="1:3" hidden="1" x14ac:dyDescent="0.2">
      <c r="A2978" s="18">
        <v>8015</v>
      </c>
      <c r="B2978" s="17" t="s">
        <v>245</v>
      </c>
      <c r="C2978" s="18">
        <v>0</v>
      </c>
    </row>
    <row r="2979" spans="1:3" hidden="1" x14ac:dyDescent="0.2">
      <c r="B2979" s="17" t="s">
        <v>253</v>
      </c>
      <c r="C2979" s="18">
        <v>0</v>
      </c>
    </row>
    <row r="2980" spans="1:3" hidden="1" x14ac:dyDescent="0.2">
      <c r="A2980" s="18">
        <v>8093</v>
      </c>
      <c r="B2980" s="17">
        <v>0</v>
      </c>
      <c r="C2980" s="18">
        <v>0</v>
      </c>
    </row>
    <row r="2981" spans="1:3" hidden="1" x14ac:dyDescent="0.2">
      <c r="B2981" s="17" t="s">
        <v>251</v>
      </c>
      <c r="C2981" s="18">
        <v>0</v>
      </c>
    </row>
    <row r="2982" spans="1:3" hidden="1" x14ac:dyDescent="0.2">
      <c r="B2982" s="17" t="s">
        <v>246</v>
      </c>
      <c r="C2982" s="18">
        <v>0</v>
      </c>
    </row>
    <row r="2983" spans="1:3" hidden="1" x14ac:dyDescent="0.2">
      <c r="B2983" s="17" t="s">
        <v>291</v>
      </c>
      <c r="C2983" s="18">
        <v>0</v>
      </c>
    </row>
    <row r="2984" spans="1:3" hidden="1" x14ac:dyDescent="0.2">
      <c r="B2984" s="17" t="s">
        <v>256</v>
      </c>
      <c r="C2984" s="18">
        <v>0</v>
      </c>
    </row>
    <row r="2985" spans="1:3" hidden="1" x14ac:dyDescent="0.2">
      <c r="B2985" s="17" t="s">
        <v>270</v>
      </c>
      <c r="C2985" s="18">
        <v>0</v>
      </c>
    </row>
    <row r="2986" spans="1:3" hidden="1" x14ac:dyDescent="0.2">
      <c r="B2986" s="17" t="s">
        <v>245</v>
      </c>
      <c r="C2986" s="18">
        <v>0</v>
      </c>
    </row>
    <row r="2987" spans="1:3" hidden="1" x14ac:dyDescent="0.2">
      <c r="B2987" s="17" t="s">
        <v>249</v>
      </c>
      <c r="C2987" s="18">
        <v>0</v>
      </c>
    </row>
    <row r="2988" spans="1:3" hidden="1" x14ac:dyDescent="0.2">
      <c r="B2988" s="17" t="s">
        <v>303</v>
      </c>
      <c r="C2988" s="18">
        <v>0</v>
      </c>
    </row>
    <row r="2989" spans="1:3" hidden="1" x14ac:dyDescent="0.2">
      <c r="B2989" s="17" t="s">
        <v>264</v>
      </c>
      <c r="C2989" s="18">
        <v>0</v>
      </c>
    </row>
    <row r="2990" spans="1:3" hidden="1" x14ac:dyDescent="0.2">
      <c r="B2990" s="17" t="s">
        <v>319</v>
      </c>
      <c r="C2990" s="18">
        <v>0</v>
      </c>
    </row>
    <row r="2991" spans="1:3" hidden="1" x14ac:dyDescent="0.2">
      <c r="B2991" s="17" t="s">
        <v>318</v>
      </c>
      <c r="C2991" s="18">
        <v>0</v>
      </c>
    </row>
    <row r="2992" spans="1:3" hidden="1" x14ac:dyDescent="0.2">
      <c r="B2992" s="17" t="s">
        <v>80</v>
      </c>
      <c r="C2992" s="18">
        <v>0</v>
      </c>
    </row>
    <row r="2993" spans="1:3" hidden="1" x14ac:dyDescent="0.2">
      <c r="B2993" s="17" t="s">
        <v>79</v>
      </c>
      <c r="C2993" s="18">
        <v>0</v>
      </c>
    </row>
    <row r="2994" spans="1:3" hidden="1" x14ac:dyDescent="0.2">
      <c r="A2994" s="18">
        <v>8119</v>
      </c>
      <c r="B2994" s="17">
        <v>0</v>
      </c>
      <c r="C2994" s="18">
        <v>0</v>
      </c>
    </row>
    <row r="2995" spans="1:3" hidden="1" x14ac:dyDescent="0.2">
      <c r="B2995" s="17" t="s">
        <v>258</v>
      </c>
      <c r="C2995" s="18">
        <v>0</v>
      </c>
    </row>
    <row r="2996" spans="1:3" hidden="1" x14ac:dyDescent="0.2">
      <c r="B2996" s="17" t="s">
        <v>287</v>
      </c>
      <c r="C2996" s="18">
        <v>0</v>
      </c>
    </row>
    <row r="2997" spans="1:3" hidden="1" x14ac:dyDescent="0.2">
      <c r="B2997" s="17" t="s">
        <v>256</v>
      </c>
      <c r="C2997" s="18">
        <v>0</v>
      </c>
    </row>
    <row r="2998" spans="1:3" hidden="1" x14ac:dyDescent="0.2">
      <c r="B2998" s="17" t="s">
        <v>304</v>
      </c>
      <c r="C2998" s="18">
        <v>0</v>
      </c>
    </row>
    <row r="2999" spans="1:3" hidden="1" x14ac:dyDescent="0.2">
      <c r="B2999" s="17" t="s">
        <v>288</v>
      </c>
      <c r="C2999" s="18">
        <v>0</v>
      </c>
    </row>
    <row r="3000" spans="1:3" hidden="1" x14ac:dyDescent="0.2">
      <c r="B3000" s="17" t="s">
        <v>245</v>
      </c>
      <c r="C3000" s="18">
        <v>0</v>
      </c>
    </row>
    <row r="3001" spans="1:3" hidden="1" x14ac:dyDescent="0.2">
      <c r="B3001" s="17" t="s">
        <v>248</v>
      </c>
      <c r="C3001" s="18">
        <v>0</v>
      </c>
    </row>
    <row r="3002" spans="1:3" hidden="1" x14ac:dyDescent="0.2">
      <c r="B3002" s="17" t="s">
        <v>249</v>
      </c>
      <c r="C3002" s="18">
        <v>0</v>
      </c>
    </row>
    <row r="3003" spans="1:3" hidden="1" x14ac:dyDescent="0.2">
      <c r="B3003" s="17" t="s">
        <v>264</v>
      </c>
      <c r="C3003" s="18">
        <v>0</v>
      </c>
    </row>
    <row r="3004" spans="1:3" hidden="1" x14ac:dyDescent="0.2">
      <c r="B3004" s="17" t="s">
        <v>319</v>
      </c>
      <c r="C3004" s="18">
        <v>0</v>
      </c>
    </row>
    <row r="3005" spans="1:3" hidden="1" x14ac:dyDescent="0.2">
      <c r="B3005" s="17" t="s">
        <v>318</v>
      </c>
      <c r="C3005" s="18">
        <v>0</v>
      </c>
    </row>
    <row r="3006" spans="1:3" hidden="1" x14ac:dyDescent="0.2">
      <c r="B3006" s="17" t="s">
        <v>80</v>
      </c>
      <c r="C3006" s="18">
        <v>0</v>
      </c>
    </row>
    <row r="3007" spans="1:3" hidden="1" x14ac:dyDescent="0.2">
      <c r="B3007" s="17" t="s">
        <v>419</v>
      </c>
      <c r="C3007" s="18">
        <v>0</v>
      </c>
    </row>
    <row r="3008" spans="1:3" hidden="1" x14ac:dyDescent="0.2">
      <c r="B3008" s="17" t="s">
        <v>79</v>
      </c>
      <c r="C3008" s="18">
        <v>0</v>
      </c>
    </row>
    <row r="3009" spans="1:3" hidden="1" x14ac:dyDescent="0.2">
      <c r="A3009" s="18">
        <v>7976</v>
      </c>
      <c r="B3009" s="17" t="s">
        <v>298</v>
      </c>
      <c r="C3009" s="18">
        <v>0</v>
      </c>
    </row>
    <row r="3010" spans="1:3" hidden="1" x14ac:dyDescent="0.2">
      <c r="A3010" s="18">
        <v>8128</v>
      </c>
      <c r="B3010" s="17" t="s">
        <v>256</v>
      </c>
      <c r="C3010" s="18">
        <v>0</v>
      </c>
    </row>
    <row r="3011" spans="1:3" hidden="1" x14ac:dyDescent="0.2">
      <c r="B3011" s="17" t="s">
        <v>304</v>
      </c>
      <c r="C3011" s="18">
        <v>0</v>
      </c>
    </row>
    <row r="3012" spans="1:3" hidden="1" x14ac:dyDescent="0.2">
      <c r="B3012" s="17" t="s">
        <v>295</v>
      </c>
      <c r="C3012" s="18">
        <v>0</v>
      </c>
    </row>
    <row r="3013" spans="1:3" hidden="1" x14ac:dyDescent="0.2">
      <c r="B3013" s="17" t="s">
        <v>245</v>
      </c>
      <c r="C3013" s="18">
        <v>0</v>
      </c>
    </row>
    <row r="3014" spans="1:3" hidden="1" x14ac:dyDescent="0.2">
      <c r="B3014" s="17" t="s">
        <v>318</v>
      </c>
      <c r="C3014" s="18">
        <v>0</v>
      </c>
    </row>
    <row r="3015" spans="1:3" hidden="1" x14ac:dyDescent="0.2">
      <c r="A3015" s="18">
        <v>8130</v>
      </c>
      <c r="B3015" s="17">
        <v>0</v>
      </c>
      <c r="C3015" s="18">
        <v>0</v>
      </c>
    </row>
    <row r="3016" spans="1:3" hidden="1" x14ac:dyDescent="0.2">
      <c r="B3016" s="17" t="s">
        <v>318</v>
      </c>
      <c r="C3016" s="18">
        <v>0</v>
      </c>
    </row>
    <row r="3017" spans="1:3" hidden="1" x14ac:dyDescent="0.2">
      <c r="B3017" s="17" t="s">
        <v>79</v>
      </c>
      <c r="C3017" s="18">
        <v>0</v>
      </c>
    </row>
    <row r="3018" spans="1:3" x14ac:dyDescent="0.2">
      <c r="A3018" s="18">
        <v>8159</v>
      </c>
      <c r="B3018" s="17" t="s">
        <v>80</v>
      </c>
      <c r="C3018" s="18">
        <v>2</v>
      </c>
    </row>
    <row r="3019" spans="1:3" hidden="1" x14ac:dyDescent="0.2">
      <c r="A3019" s="18">
        <v>8172</v>
      </c>
      <c r="B3019" s="17">
        <v>0</v>
      </c>
      <c r="C3019" s="18">
        <v>0</v>
      </c>
    </row>
    <row r="3020" spans="1:3" hidden="1" x14ac:dyDescent="0.2">
      <c r="B3020" s="17" t="s">
        <v>257</v>
      </c>
      <c r="C3020" s="18">
        <v>0</v>
      </c>
    </row>
    <row r="3021" spans="1:3" hidden="1" x14ac:dyDescent="0.2">
      <c r="B3021" s="17" t="s">
        <v>251</v>
      </c>
      <c r="C3021" s="18">
        <v>0</v>
      </c>
    </row>
    <row r="3022" spans="1:3" hidden="1" x14ac:dyDescent="0.2">
      <c r="B3022" s="17" t="s">
        <v>258</v>
      </c>
      <c r="C3022" s="18">
        <v>0</v>
      </c>
    </row>
    <row r="3023" spans="1:3" hidden="1" x14ac:dyDescent="0.2">
      <c r="B3023" s="17" t="s">
        <v>256</v>
      </c>
      <c r="C3023" s="18">
        <v>0</v>
      </c>
    </row>
    <row r="3024" spans="1:3" hidden="1" x14ac:dyDescent="0.2">
      <c r="B3024" s="17" t="s">
        <v>275</v>
      </c>
      <c r="C3024" s="18">
        <v>0</v>
      </c>
    </row>
    <row r="3025" spans="1:3" hidden="1" x14ac:dyDescent="0.2">
      <c r="B3025" s="17" t="s">
        <v>245</v>
      </c>
      <c r="C3025" s="18">
        <v>0</v>
      </c>
    </row>
    <row r="3026" spans="1:3" hidden="1" x14ac:dyDescent="0.2">
      <c r="B3026" s="17" t="s">
        <v>249</v>
      </c>
      <c r="C3026" s="18">
        <v>0</v>
      </c>
    </row>
    <row r="3027" spans="1:3" hidden="1" x14ac:dyDescent="0.2">
      <c r="B3027" s="17" t="s">
        <v>264</v>
      </c>
      <c r="C3027" s="18">
        <v>0</v>
      </c>
    </row>
    <row r="3028" spans="1:3" hidden="1" x14ac:dyDescent="0.2">
      <c r="B3028" s="17" t="s">
        <v>319</v>
      </c>
      <c r="C3028" s="18">
        <v>0</v>
      </c>
    </row>
    <row r="3029" spans="1:3" hidden="1" x14ac:dyDescent="0.2">
      <c r="B3029" s="17" t="s">
        <v>318</v>
      </c>
      <c r="C3029" s="18">
        <v>0</v>
      </c>
    </row>
    <row r="3030" spans="1:3" hidden="1" x14ac:dyDescent="0.2">
      <c r="B3030" s="17" t="s">
        <v>80</v>
      </c>
      <c r="C3030" s="18">
        <v>0</v>
      </c>
    </row>
    <row r="3031" spans="1:3" hidden="1" x14ac:dyDescent="0.2">
      <c r="B3031" s="17" t="s">
        <v>79</v>
      </c>
      <c r="C3031" s="18">
        <v>0</v>
      </c>
    </row>
    <row r="3032" spans="1:3" hidden="1" x14ac:dyDescent="0.2">
      <c r="A3032" s="18">
        <v>8117</v>
      </c>
      <c r="B3032" s="17" t="s">
        <v>299</v>
      </c>
      <c r="C3032" s="18">
        <v>0</v>
      </c>
    </row>
    <row r="3033" spans="1:3" hidden="1" x14ac:dyDescent="0.2">
      <c r="B3033" s="17" t="s">
        <v>318</v>
      </c>
      <c r="C3033" s="18">
        <v>0</v>
      </c>
    </row>
    <row r="3034" spans="1:3" hidden="1" x14ac:dyDescent="0.2">
      <c r="A3034" s="18">
        <v>8200</v>
      </c>
      <c r="B3034" s="17" t="s">
        <v>308</v>
      </c>
      <c r="C3034" s="18">
        <v>0</v>
      </c>
    </row>
    <row r="3035" spans="1:3" hidden="1" x14ac:dyDescent="0.2">
      <c r="B3035" s="17" t="s">
        <v>282</v>
      </c>
      <c r="C3035" s="18">
        <v>0</v>
      </c>
    </row>
    <row r="3036" spans="1:3" hidden="1" x14ac:dyDescent="0.2">
      <c r="B3036" s="17" t="s">
        <v>73</v>
      </c>
      <c r="C3036" s="18">
        <v>0</v>
      </c>
    </row>
    <row r="3037" spans="1:3" hidden="1" x14ac:dyDescent="0.2">
      <c r="B3037" s="17" t="s">
        <v>455</v>
      </c>
      <c r="C3037" s="18">
        <v>0</v>
      </c>
    </row>
    <row r="3038" spans="1:3" hidden="1" x14ac:dyDescent="0.2">
      <c r="A3038" s="18">
        <v>8192</v>
      </c>
      <c r="B3038" s="17">
        <v>0</v>
      </c>
      <c r="C3038" s="18">
        <v>0</v>
      </c>
    </row>
    <row r="3039" spans="1:3" hidden="1" x14ac:dyDescent="0.2">
      <c r="A3039" s="18">
        <v>8217</v>
      </c>
      <c r="B3039" s="17" t="s">
        <v>246</v>
      </c>
      <c r="C3039" s="18">
        <v>0</v>
      </c>
    </row>
    <row r="3040" spans="1:3" hidden="1" x14ac:dyDescent="0.2">
      <c r="B3040" s="17" t="s">
        <v>289</v>
      </c>
      <c r="C3040" s="18">
        <v>0</v>
      </c>
    </row>
    <row r="3041" spans="2:3" hidden="1" x14ac:dyDescent="0.2">
      <c r="B3041" s="17" t="s">
        <v>265</v>
      </c>
      <c r="C3041" s="18">
        <v>0</v>
      </c>
    </row>
    <row r="3042" spans="2:3" hidden="1" x14ac:dyDescent="0.2">
      <c r="B3042" s="17" t="s">
        <v>250</v>
      </c>
      <c r="C3042" s="18">
        <v>0</v>
      </c>
    </row>
    <row r="3043" spans="2:3" hidden="1" x14ac:dyDescent="0.2">
      <c r="B3043" s="17" t="s">
        <v>247</v>
      </c>
      <c r="C3043" s="18">
        <v>0</v>
      </c>
    </row>
    <row r="3044" spans="2:3" hidden="1" x14ac:dyDescent="0.2">
      <c r="B3044" s="17" t="s">
        <v>291</v>
      </c>
      <c r="C3044" s="18">
        <v>0</v>
      </c>
    </row>
    <row r="3045" spans="2:3" x14ac:dyDescent="0.2">
      <c r="B3045" s="17" t="s">
        <v>311</v>
      </c>
      <c r="C3045" s="18">
        <v>60</v>
      </c>
    </row>
    <row r="3046" spans="2:3" hidden="1" x14ac:dyDescent="0.2">
      <c r="B3046" s="17" t="s">
        <v>245</v>
      </c>
      <c r="C3046" s="18">
        <v>0</v>
      </c>
    </row>
    <row r="3047" spans="2:3" hidden="1" x14ac:dyDescent="0.2">
      <c r="B3047" s="17" t="s">
        <v>248</v>
      </c>
      <c r="C3047" s="18">
        <v>0</v>
      </c>
    </row>
    <row r="3048" spans="2:3" hidden="1" x14ac:dyDescent="0.2">
      <c r="B3048" s="17" t="s">
        <v>249</v>
      </c>
      <c r="C3048" s="18">
        <v>0</v>
      </c>
    </row>
    <row r="3049" spans="2:3" hidden="1" x14ac:dyDescent="0.2">
      <c r="B3049" s="17" t="s">
        <v>263</v>
      </c>
      <c r="C3049" s="18">
        <v>0</v>
      </c>
    </row>
    <row r="3050" spans="2:3" hidden="1" x14ac:dyDescent="0.2">
      <c r="B3050" s="17" t="s">
        <v>72</v>
      </c>
      <c r="C3050" s="18">
        <v>0</v>
      </c>
    </row>
    <row r="3051" spans="2:3" hidden="1" x14ac:dyDescent="0.2">
      <c r="B3051" s="17" t="s">
        <v>253</v>
      </c>
      <c r="C3051" s="18">
        <v>0</v>
      </c>
    </row>
    <row r="3052" spans="2:3" hidden="1" x14ac:dyDescent="0.2">
      <c r="B3052" s="17" t="s">
        <v>264</v>
      </c>
      <c r="C3052" s="18">
        <v>0</v>
      </c>
    </row>
    <row r="3053" spans="2:3" hidden="1" x14ac:dyDescent="0.2">
      <c r="B3053" s="17" t="s">
        <v>319</v>
      </c>
      <c r="C3053" s="18">
        <v>0</v>
      </c>
    </row>
    <row r="3054" spans="2:3" hidden="1" x14ac:dyDescent="0.2">
      <c r="B3054" s="17" t="s">
        <v>320</v>
      </c>
      <c r="C3054" s="18">
        <v>0</v>
      </c>
    </row>
    <row r="3055" spans="2:3" hidden="1" x14ac:dyDescent="0.2">
      <c r="B3055" s="17" t="s">
        <v>321</v>
      </c>
      <c r="C3055" s="18">
        <v>0</v>
      </c>
    </row>
    <row r="3056" spans="2:3" hidden="1" x14ac:dyDescent="0.2">
      <c r="B3056" s="17" t="s">
        <v>322</v>
      </c>
      <c r="C3056" s="18">
        <v>0</v>
      </c>
    </row>
    <row r="3057" spans="1:3" hidden="1" x14ac:dyDescent="0.2">
      <c r="B3057" s="17" t="s">
        <v>80</v>
      </c>
      <c r="C3057" s="18">
        <v>0</v>
      </c>
    </row>
    <row r="3058" spans="1:3" hidden="1" x14ac:dyDescent="0.2">
      <c r="B3058" s="17" t="s">
        <v>331</v>
      </c>
      <c r="C3058" s="18">
        <v>0</v>
      </c>
    </row>
    <row r="3059" spans="1:3" hidden="1" x14ac:dyDescent="0.2">
      <c r="B3059" s="17" t="s">
        <v>378</v>
      </c>
      <c r="C3059" s="18">
        <v>0</v>
      </c>
    </row>
    <row r="3060" spans="1:3" hidden="1" x14ac:dyDescent="0.2">
      <c r="B3060" s="17" t="s">
        <v>419</v>
      </c>
      <c r="C3060" s="18">
        <v>0</v>
      </c>
    </row>
    <row r="3061" spans="1:3" hidden="1" x14ac:dyDescent="0.2">
      <c r="B3061" s="17" t="s">
        <v>458</v>
      </c>
      <c r="C3061" s="18">
        <v>0</v>
      </c>
    </row>
    <row r="3062" spans="1:3" hidden="1" x14ac:dyDescent="0.2">
      <c r="A3062" s="18">
        <v>8226</v>
      </c>
      <c r="B3062" s="17" t="s">
        <v>293</v>
      </c>
      <c r="C3062" s="18">
        <v>0</v>
      </c>
    </row>
    <row r="3063" spans="1:3" hidden="1" x14ac:dyDescent="0.2">
      <c r="A3063" s="18">
        <v>8183</v>
      </c>
      <c r="B3063" s="17">
        <v>0</v>
      </c>
      <c r="C3063" s="18">
        <v>0</v>
      </c>
    </row>
    <row r="3064" spans="1:3" hidden="1" x14ac:dyDescent="0.2">
      <c r="B3064" s="17" t="s">
        <v>272</v>
      </c>
      <c r="C3064" s="18">
        <v>0</v>
      </c>
    </row>
    <row r="3065" spans="1:3" hidden="1" x14ac:dyDescent="0.2">
      <c r="A3065" s="18">
        <v>8235</v>
      </c>
      <c r="B3065" s="17">
        <v>0</v>
      </c>
      <c r="C3065" s="18">
        <v>0</v>
      </c>
    </row>
    <row r="3066" spans="1:3" hidden="1" x14ac:dyDescent="0.2">
      <c r="B3066" s="17" t="s">
        <v>246</v>
      </c>
      <c r="C3066" s="18">
        <v>0</v>
      </c>
    </row>
    <row r="3067" spans="1:3" hidden="1" x14ac:dyDescent="0.2">
      <c r="B3067" s="17" t="s">
        <v>289</v>
      </c>
      <c r="C3067" s="18">
        <v>0</v>
      </c>
    </row>
    <row r="3068" spans="1:3" hidden="1" x14ac:dyDescent="0.2">
      <c r="B3068" s="17" t="s">
        <v>265</v>
      </c>
      <c r="C3068" s="18">
        <v>0</v>
      </c>
    </row>
    <row r="3069" spans="1:3" hidden="1" x14ac:dyDescent="0.2">
      <c r="B3069" s="17" t="s">
        <v>250</v>
      </c>
      <c r="C3069" s="18">
        <v>0</v>
      </c>
    </row>
    <row r="3070" spans="1:3" hidden="1" x14ac:dyDescent="0.2">
      <c r="B3070" s="17" t="s">
        <v>256</v>
      </c>
      <c r="C3070" s="18">
        <v>0</v>
      </c>
    </row>
    <row r="3071" spans="1:3" hidden="1" x14ac:dyDescent="0.2">
      <c r="B3071" s="17" t="s">
        <v>311</v>
      </c>
      <c r="C3071" s="18">
        <v>0</v>
      </c>
    </row>
    <row r="3072" spans="1:3" hidden="1" x14ac:dyDescent="0.2">
      <c r="B3072" s="17" t="s">
        <v>280</v>
      </c>
      <c r="C3072" s="18">
        <v>0</v>
      </c>
    </row>
    <row r="3073" spans="2:3" hidden="1" x14ac:dyDescent="0.2">
      <c r="B3073" s="17" t="s">
        <v>276</v>
      </c>
      <c r="C3073" s="18">
        <v>0</v>
      </c>
    </row>
    <row r="3074" spans="2:3" hidden="1" x14ac:dyDescent="0.2">
      <c r="B3074" s="17" t="s">
        <v>245</v>
      </c>
      <c r="C3074" s="18">
        <v>0</v>
      </c>
    </row>
    <row r="3075" spans="2:3" hidden="1" x14ac:dyDescent="0.2">
      <c r="B3075" s="17" t="s">
        <v>296</v>
      </c>
      <c r="C3075" s="18">
        <v>0</v>
      </c>
    </row>
    <row r="3076" spans="2:3" hidden="1" x14ac:dyDescent="0.2">
      <c r="B3076" s="17" t="s">
        <v>248</v>
      </c>
      <c r="C3076" s="18">
        <v>0</v>
      </c>
    </row>
    <row r="3077" spans="2:3" hidden="1" x14ac:dyDescent="0.2">
      <c r="B3077" s="17" t="s">
        <v>249</v>
      </c>
      <c r="C3077" s="18">
        <v>0</v>
      </c>
    </row>
    <row r="3078" spans="2:3" hidden="1" x14ac:dyDescent="0.2">
      <c r="B3078" s="17" t="s">
        <v>263</v>
      </c>
      <c r="C3078" s="18">
        <v>0</v>
      </c>
    </row>
    <row r="3079" spans="2:3" hidden="1" x14ac:dyDescent="0.2">
      <c r="B3079" s="17" t="s">
        <v>308</v>
      </c>
      <c r="C3079" s="18">
        <v>0</v>
      </c>
    </row>
    <row r="3080" spans="2:3" hidden="1" x14ac:dyDescent="0.2">
      <c r="B3080" s="17" t="s">
        <v>254</v>
      </c>
      <c r="C3080" s="18">
        <v>0</v>
      </c>
    </row>
    <row r="3081" spans="2:3" hidden="1" x14ac:dyDescent="0.2">
      <c r="B3081" s="17" t="s">
        <v>72</v>
      </c>
      <c r="C3081" s="18">
        <v>0</v>
      </c>
    </row>
    <row r="3082" spans="2:3" hidden="1" x14ac:dyDescent="0.2">
      <c r="B3082" s="17" t="s">
        <v>253</v>
      </c>
      <c r="C3082" s="18">
        <v>0</v>
      </c>
    </row>
    <row r="3083" spans="2:3" hidden="1" x14ac:dyDescent="0.2">
      <c r="B3083" s="17" t="s">
        <v>264</v>
      </c>
      <c r="C3083" s="18">
        <v>0</v>
      </c>
    </row>
    <row r="3084" spans="2:3" hidden="1" x14ac:dyDescent="0.2">
      <c r="B3084" s="17" t="s">
        <v>307</v>
      </c>
      <c r="C3084" s="18">
        <v>0</v>
      </c>
    </row>
    <row r="3085" spans="2:3" hidden="1" x14ac:dyDescent="0.2">
      <c r="B3085" s="17" t="s">
        <v>319</v>
      </c>
      <c r="C3085" s="18">
        <v>0</v>
      </c>
    </row>
    <row r="3086" spans="2:3" hidden="1" x14ac:dyDescent="0.2">
      <c r="B3086" s="17" t="s">
        <v>73</v>
      </c>
      <c r="C3086" s="18">
        <v>0</v>
      </c>
    </row>
    <row r="3087" spans="2:3" hidden="1" x14ac:dyDescent="0.2">
      <c r="B3087" s="17" t="s">
        <v>344</v>
      </c>
      <c r="C3087" s="18">
        <v>0</v>
      </c>
    </row>
    <row r="3088" spans="2:3" hidden="1" x14ac:dyDescent="0.2">
      <c r="B3088" s="17" t="s">
        <v>378</v>
      </c>
      <c r="C3088" s="18">
        <v>0</v>
      </c>
    </row>
    <row r="3089" spans="1:3" hidden="1" x14ac:dyDescent="0.2">
      <c r="B3089" s="17" t="s">
        <v>419</v>
      </c>
      <c r="C3089" s="18">
        <v>0</v>
      </c>
    </row>
    <row r="3090" spans="1:3" hidden="1" x14ac:dyDescent="0.2">
      <c r="B3090" s="17" t="s">
        <v>430</v>
      </c>
      <c r="C3090" s="18">
        <v>0</v>
      </c>
    </row>
    <row r="3091" spans="1:3" hidden="1" x14ac:dyDescent="0.2">
      <c r="B3091" s="17" t="s">
        <v>458</v>
      </c>
      <c r="C3091" s="18">
        <v>0</v>
      </c>
    </row>
    <row r="3092" spans="1:3" hidden="1" x14ac:dyDescent="0.2">
      <c r="B3092" s="17" t="s">
        <v>514</v>
      </c>
      <c r="C3092" s="18">
        <v>0</v>
      </c>
    </row>
    <row r="3093" spans="1:3" hidden="1" x14ac:dyDescent="0.2">
      <c r="A3093" s="18">
        <v>8244</v>
      </c>
      <c r="B3093" s="17">
        <v>0</v>
      </c>
      <c r="C3093" s="18">
        <v>0</v>
      </c>
    </row>
    <row r="3094" spans="1:3" hidden="1" x14ac:dyDescent="0.2">
      <c r="A3094" s="18">
        <v>8258</v>
      </c>
      <c r="B3094" s="17">
        <v>0</v>
      </c>
      <c r="C3094" s="18">
        <v>0</v>
      </c>
    </row>
    <row r="3095" spans="1:3" hidden="1" x14ac:dyDescent="0.2">
      <c r="A3095" s="18">
        <v>8260</v>
      </c>
      <c r="B3095" s="17" t="s">
        <v>79</v>
      </c>
      <c r="C3095" s="18">
        <v>0</v>
      </c>
    </row>
    <row r="3096" spans="1:3" hidden="1" x14ac:dyDescent="0.2">
      <c r="A3096" s="18">
        <v>8269</v>
      </c>
      <c r="B3096" s="17">
        <v>0</v>
      </c>
      <c r="C3096" s="18">
        <v>0</v>
      </c>
    </row>
    <row r="3097" spans="1:3" hidden="1" x14ac:dyDescent="0.2">
      <c r="B3097" s="17" t="s">
        <v>251</v>
      </c>
      <c r="C3097" s="18">
        <v>0</v>
      </c>
    </row>
    <row r="3098" spans="1:3" hidden="1" x14ac:dyDescent="0.2">
      <c r="B3098" s="17" t="s">
        <v>256</v>
      </c>
      <c r="C3098" s="18">
        <v>0</v>
      </c>
    </row>
    <row r="3099" spans="1:3" hidden="1" x14ac:dyDescent="0.2">
      <c r="B3099" s="17" t="s">
        <v>270</v>
      </c>
      <c r="C3099" s="18">
        <v>0</v>
      </c>
    </row>
    <row r="3100" spans="1:3" hidden="1" x14ac:dyDescent="0.2">
      <c r="B3100" s="17" t="s">
        <v>245</v>
      </c>
      <c r="C3100" s="18">
        <v>0</v>
      </c>
    </row>
    <row r="3101" spans="1:3" hidden="1" x14ac:dyDescent="0.2">
      <c r="B3101" s="17" t="s">
        <v>249</v>
      </c>
      <c r="C3101" s="18">
        <v>0</v>
      </c>
    </row>
    <row r="3102" spans="1:3" hidden="1" x14ac:dyDescent="0.2">
      <c r="B3102" s="17" t="s">
        <v>303</v>
      </c>
      <c r="C3102" s="18">
        <v>0</v>
      </c>
    </row>
    <row r="3103" spans="1:3" hidden="1" x14ac:dyDescent="0.2">
      <c r="B3103" s="17" t="s">
        <v>264</v>
      </c>
      <c r="C3103" s="18">
        <v>0</v>
      </c>
    </row>
    <row r="3104" spans="1:3" hidden="1" x14ac:dyDescent="0.2">
      <c r="B3104" s="17" t="s">
        <v>319</v>
      </c>
      <c r="C3104" s="18">
        <v>0</v>
      </c>
    </row>
    <row r="3105" spans="1:3" hidden="1" x14ac:dyDescent="0.2">
      <c r="B3105" s="17" t="s">
        <v>318</v>
      </c>
      <c r="C3105" s="18">
        <v>0</v>
      </c>
    </row>
    <row r="3106" spans="1:3" hidden="1" x14ac:dyDescent="0.2">
      <c r="B3106" s="17" t="s">
        <v>80</v>
      </c>
      <c r="C3106" s="18">
        <v>0</v>
      </c>
    </row>
    <row r="3107" spans="1:3" hidden="1" x14ac:dyDescent="0.2">
      <c r="B3107" s="17" t="s">
        <v>79</v>
      </c>
      <c r="C3107" s="18">
        <v>0</v>
      </c>
    </row>
    <row r="3108" spans="1:3" hidden="1" x14ac:dyDescent="0.2">
      <c r="A3108" s="18">
        <v>8282</v>
      </c>
      <c r="B3108" s="17">
        <v>0</v>
      </c>
      <c r="C3108" s="18">
        <v>0</v>
      </c>
    </row>
    <row r="3109" spans="1:3" hidden="1" x14ac:dyDescent="0.2">
      <c r="B3109" s="17" t="s">
        <v>294</v>
      </c>
      <c r="C3109" s="18">
        <v>0</v>
      </c>
    </row>
    <row r="3110" spans="1:3" hidden="1" x14ac:dyDescent="0.2">
      <c r="B3110" s="17" t="s">
        <v>288</v>
      </c>
      <c r="C3110" s="18">
        <v>0</v>
      </c>
    </row>
    <row r="3111" spans="1:3" hidden="1" x14ac:dyDescent="0.2">
      <c r="B3111" s="17" t="s">
        <v>245</v>
      </c>
      <c r="C3111" s="18">
        <v>0</v>
      </c>
    </row>
    <row r="3112" spans="1:3" hidden="1" x14ac:dyDescent="0.2">
      <c r="B3112" s="17" t="s">
        <v>260</v>
      </c>
      <c r="C3112" s="18">
        <v>0</v>
      </c>
    </row>
    <row r="3113" spans="1:3" hidden="1" x14ac:dyDescent="0.2">
      <c r="B3113" s="17" t="s">
        <v>255</v>
      </c>
      <c r="C3113" s="18">
        <v>0</v>
      </c>
    </row>
    <row r="3114" spans="1:3" hidden="1" x14ac:dyDescent="0.2">
      <c r="B3114" s="17" t="s">
        <v>264</v>
      </c>
      <c r="C3114" s="18">
        <v>0</v>
      </c>
    </row>
    <row r="3115" spans="1:3" hidden="1" x14ac:dyDescent="0.2">
      <c r="B3115" s="17" t="s">
        <v>319</v>
      </c>
      <c r="C3115" s="18">
        <v>0</v>
      </c>
    </row>
    <row r="3116" spans="1:3" hidden="1" x14ac:dyDescent="0.2">
      <c r="B3116" s="17" t="s">
        <v>79</v>
      </c>
      <c r="C3116" s="18">
        <v>0</v>
      </c>
    </row>
    <row r="3117" spans="1:3" hidden="1" x14ac:dyDescent="0.2">
      <c r="A3117" s="18">
        <v>8285</v>
      </c>
      <c r="B3117" s="17">
        <v>0</v>
      </c>
      <c r="C3117" s="18">
        <v>0</v>
      </c>
    </row>
    <row r="3118" spans="1:3" hidden="1" x14ac:dyDescent="0.2">
      <c r="B3118" s="17" t="s">
        <v>251</v>
      </c>
      <c r="C3118" s="18">
        <v>0</v>
      </c>
    </row>
    <row r="3119" spans="1:3" hidden="1" x14ac:dyDescent="0.2">
      <c r="B3119" s="17" t="s">
        <v>289</v>
      </c>
      <c r="C3119" s="18">
        <v>0</v>
      </c>
    </row>
    <row r="3120" spans="1:3" hidden="1" x14ac:dyDescent="0.2">
      <c r="B3120" s="17" t="s">
        <v>258</v>
      </c>
      <c r="C3120" s="18">
        <v>0</v>
      </c>
    </row>
    <row r="3121" spans="1:3" hidden="1" x14ac:dyDescent="0.2">
      <c r="B3121" s="17" t="s">
        <v>245</v>
      </c>
      <c r="C3121" s="18">
        <v>0</v>
      </c>
    </row>
    <row r="3122" spans="1:3" hidden="1" x14ac:dyDescent="0.2">
      <c r="B3122" s="17" t="s">
        <v>248</v>
      </c>
      <c r="C3122" s="18">
        <v>0</v>
      </c>
    </row>
    <row r="3123" spans="1:3" hidden="1" x14ac:dyDescent="0.2">
      <c r="B3123" s="17" t="s">
        <v>249</v>
      </c>
      <c r="C3123" s="18">
        <v>0</v>
      </c>
    </row>
    <row r="3124" spans="1:3" hidden="1" x14ac:dyDescent="0.2">
      <c r="B3124" s="17" t="s">
        <v>255</v>
      </c>
      <c r="C3124" s="18">
        <v>0</v>
      </c>
    </row>
    <row r="3125" spans="1:3" hidden="1" x14ac:dyDescent="0.2">
      <c r="B3125" s="17" t="s">
        <v>264</v>
      </c>
      <c r="C3125" s="18">
        <v>0</v>
      </c>
    </row>
    <row r="3126" spans="1:3" hidden="1" x14ac:dyDescent="0.2">
      <c r="B3126" s="17" t="s">
        <v>319</v>
      </c>
      <c r="C3126" s="18">
        <v>0</v>
      </c>
    </row>
    <row r="3127" spans="1:3" hidden="1" x14ac:dyDescent="0.2">
      <c r="B3127" s="17" t="s">
        <v>318</v>
      </c>
      <c r="C3127" s="18">
        <v>0</v>
      </c>
    </row>
    <row r="3128" spans="1:3" hidden="1" x14ac:dyDescent="0.2">
      <c r="B3128" s="17" t="s">
        <v>80</v>
      </c>
      <c r="C3128" s="18">
        <v>0</v>
      </c>
    </row>
    <row r="3129" spans="1:3" hidden="1" x14ac:dyDescent="0.2">
      <c r="B3129" s="17" t="s">
        <v>79</v>
      </c>
      <c r="C3129" s="18">
        <v>0</v>
      </c>
    </row>
    <row r="3130" spans="1:3" hidden="1" x14ac:dyDescent="0.2">
      <c r="A3130" s="18">
        <v>8309</v>
      </c>
      <c r="B3130" s="17">
        <v>0</v>
      </c>
      <c r="C3130" s="18">
        <v>0</v>
      </c>
    </row>
    <row r="3131" spans="1:3" hidden="1" x14ac:dyDescent="0.2">
      <c r="B3131" s="17" t="s">
        <v>251</v>
      </c>
      <c r="C3131" s="18">
        <v>0</v>
      </c>
    </row>
    <row r="3132" spans="1:3" hidden="1" x14ac:dyDescent="0.2">
      <c r="B3132" s="17" t="s">
        <v>246</v>
      </c>
      <c r="C3132" s="18">
        <v>0</v>
      </c>
    </row>
    <row r="3133" spans="1:3" hidden="1" x14ac:dyDescent="0.2">
      <c r="B3133" s="17" t="s">
        <v>289</v>
      </c>
      <c r="C3133" s="18">
        <v>0</v>
      </c>
    </row>
    <row r="3134" spans="1:3" hidden="1" x14ac:dyDescent="0.2">
      <c r="B3134" s="17" t="s">
        <v>256</v>
      </c>
      <c r="C3134" s="18">
        <v>0</v>
      </c>
    </row>
    <row r="3135" spans="1:3" hidden="1" x14ac:dyDescent="0.2">
      <c r="B3135" s="17" t="s">
        <v>262</v>
      </c>
      <c r="C3135" s="18">
        <v>0</v>
      </c>
    </row>
    <row r="3136" spans="1:3" hidden="1" x14ac:dyDescent="0.2">
      <c r="B3136" s="17" t="s">
        <v>245</v>
      </c>
      <c r="C3136" s="18">
        <v>0</v>
      </c>
    </row>
    <row r="3137" spans="1:3" hidden="1" x14ac:dyDescent="0.2">
      <c r="B3137" s="17" t="s">
        <v>249</v>
      </c>
      <c r="C3137" s="18">
        <v>0</v>
      </c>
    </row>
    <row r="3138" spans="1:3" hidden="1" x14ac:dyDescent="0.2">
      <c r="B3138" s="17" t="s">
        <v>264</v>
      </c>
      <c r="C3138" s="18">
        <v>0</v>
      </c>
    </row>
    <row r="3139" spans="1:3" hidden="1" x14ac:dyDescent="0.2">
      <c r="B3139" s="17" t="s">
        <v>319</v>
      </c>
      <c r="C3139" s="18">
        <v>0</v>
      </c>
    </row>
    <row r="3140" spans="1:3" hidden="1" x14ac:dyDescent="0.2">
      <c r="B3140" s="17" t="s">
        <v>318</v>
      </c>
      <c r="C3140" s="18">
        <v>0</v>
      </c>
    </row>
    <row r="3141" spans="1:3" hidden="1" x14ac:dyDescent="0.2">
      <c r="B3141" s="17" t="s">
        <v>80</v>
      </c>
      <c r="C3141" s="18">
        <v>0</v>
      </c>
    </row>
    <row r="3142" spans="1:3" hidden="1" x14ac:dyDescent="0.2">
      <c r="B3142" s="17" t="s">
        <v>79</v>
      </c>
      <c r="C3142" s="18">
        <v>0</v>
      </c>
    </row>
    <row r="3143" spans="1:3" hidden="1" x14ac:dyDescent="0.2">
      <c r="A3143" s="18">
        <v>8307</v>
      </c>
      <c r="B3143" s="17">
        <v>0</v>
      </c>
      <c r="C3143" s="18">
        <v>0</v>
      </c>
    </row>
    <row r="3144" spans="1:3" hidden="1" x14ac:dyDescent="0.2">
      <c r="B3144" s="17" t="s">
        <v>256</v>
      </c>
      <c r="C3144" s="18">
        <v>0</v>
      </c>
    </row>
    <row r="3145" spans="1:3" hidden="1" x14ac:dyDescent="0.2">
      <c r="B3145" s="17" t="s">
        <v>262</v>
      </c>
      <c r="C3145" s="18">
        <v>0</v>
      </c>
    </row>
    <row r="3146" spans="1:3" hidden="1" x14ac:dyDescent="0.2">
      <c r="B3146" s="17" t="s">
        <v>264</v>
      </c>
      <c r="C3146" s="18">
        <v>0</v>
      </c>
    </row>
    <row r="3147" spans="1:3" hidden="1" x14ac:dyDescent="0.2">
      <c r="B3147" s="17" t="s">
        <v>318</v>
      </c>
      <c r="C3147" s="18">
        <v>0</v>
      </c>
    </row>
    <row r="3148" spans="1:3" hidden="1" x14ac:dyDescent="0.2">
      <c r="B3148" s="17" t="s">
        <v>80</v>
      </c>
      <c r="C3148" s="18">
        <v>0</v>
      </c>
    </row>
    <row r="3149" spans="1:3" hidden="1" x14ac:dyDescent="0.2">
      <c r="B3149" s="17" t="s">
        <v>419</v>
      </c>
      <c r="C3149" s="18">
        <v>0</v>
      </c>
    </row>
    <row r="3150" spans="1:3" hidden="1" x14ac:dyDescent="0.2">
      <c r="A3150" s="18">
        <v>8314</v>
      </c>
      <c r="B3150" s="17">
        <v>0</v>
      </c>
      <c r="C3150" s="18">
        <v>0</v>
      </c>
    </row>
    <row r="3151" spans="1:3" hidden="1" x14ac:dyDescent="0.2">
      <c r="B3151" s="17" t="s">
        <v>245</v>
      </c>
      <c r="C3151" s="18">
        <v>0</v>
      </c>
    </row>
    <row r="3152" spans="1:3" hidden="1" x14ac:dyDescent="0.2">
      <c r="B3152" s="17" t="s">
        <v>263</v>
      </c>
      <c r="C3152" s="18">
        <v>0</v>
      </c>
    </row>
    <row r="3153" spans="1:3" hidden="1" x14ac:dyDescent="0.2">
      <c r="B3153" s="17" t="s">
        <v>72</v>
      </c>
      <c r="C3153" s="18">
        <v>0</v>
      </c>
    </row>
    <row r="3154" spans="1:3" hidden="1" x14ac:dyDescent="0.2">
      <c r="B3154" s="17" t="s">
        <v>458</v>
      </c>
      <c r="C3154" s="18">
        <v>0</v>
      </c>
    </row>
    <row r="3155" spans="1:3" hidden="1" x14ac:dyDescent="0.2">
      <c r="A3155" s="18">
        <v>7998</v>
      </c>
      <c r="B3155" s="17">
        <v>0</v>
      </c>
      <c r="C3155" s="18">
        <v>0</v>
      </c>
    </row>
    <row r="3156" spans="1:3" hidden="1" x14ac:dyDescent="0.2">
      <c r="B3156" s="17" t="s">
        <v>274</v>
      </c>
      <c r="C3156" s="18">
        <v>0</v>
      </c>
    </row>
    <row r="3157" spans="1:3" hidden="1" x14ac:dyDescent="0.2">
      <c r="B3157" s="17" t="s">
        <v>72</v>
      </c>
      <c r="C3157" s="18">
        <v>0</v>
      </c>
    </row>
    <row r="3158" spans="1:3" hidden="1" x14ac:dyDescent="0.2">
      <c r="B3158" s="17" t="s">
        <v>272</v>
      </c>
      <c r="C3158" s="18">
        <v>0</v>
      </c>
    </row>
    <row r="3159" spans="1:3" hidden="1" x14ac:dyDescent="0.2">
      <c r="B3159" s="17" t="s">
        <v>318</v>
      </c>
      <c r="C3159" s="18">
        <v>0</v>
      </c>
    </row>
    <row r="3160" spans="1:3" hidden="1" x14ac:dyDescent="0.2">
      <c r="A3160" s="18">
        <v>8059</v>
      </c>
      <c r="B3160" s="17" t="s">
        <v>269</v>
      </c>
      <c r="C3160" s="18">
        <v>0</v>
      </c>
    </row>
    <row r="3161" spans="1:3" hidden="1" x14ac:dyDescent="0.2">
      <c r="B3161" s="17" t="s">
        <v>260</v>
      </c>
      <c r="C3161" s="18">
        <v>0</v>
      </c>
    </row>
    <row r="3162" spans="1:3" hidden="1" x14ac:dyDescent="0.2">
      <c r="B3162" s="17" t="s">
        <v>79</v>
      </c>
      <c r="C3162" s="18">
        <v>0</v>
      </c>
    </row>
    <row r="3163" spans="1:3" hidden="1" x14ac:dyDescent="0.2">
      <c r="A3163" s="18">
        <v>8319</v>
      </c>
      <c r="B3163" s="17" t="s">
        <v>72</v>
      </c>
      <c r="C3163" s="18">
        <v>0</v>
      </c>
    </row>
    <row r="3164" spans="1:3" x14ac:dyDescent="0.2">
      <c r="A3164" s="18">
        <v>8294</v>
      </c>
      <c r="B3164" s="17">
        <v>0</v>
      </c>
      <c r="C3164" s="18">
        <v>2000</v>
      </c>
    </row>
    <row r="3165" spans="1:3" hidden="1" x14ac:dyDescent="0.2">
      <c r="B3165" s="17" t="s">
        <v>245</v>
      </c>
      <c r="C3165" s="18">
        <v>0</v>
      </c>
    </row>
    <row r="3166" spans="1:3" hidden="1" x14ac:dyDescent="0.2">
      <c r="B3166" s="17" t="s">
        <v>248</v>
      </c>
      <c r="C3166" s="18">
        <v>0</v>
      </c>
    </row>
    <row r="3167" spans="1:3" hidden="1" x14ac:dyDescent="0.2">
      <c r="B3167" s="17" t="s">
        <v>249</v>
      </c>
      <c r="C3167" s="18">
        <v>0</v>
      </c>
    </row>
    <row r="3168" spans="1:3" hidden="1" x14ac:dyDescent="0.2">
      <c r="B3168" s="17" t="s">
        <v>273</v>
      </c>
      <c r="C3168" s="18">
        <v>0</v>
      </c>
    </row>
    <row r="3169" spans="1:3" hidden="1" x14ac:dyDescent="0.2">
      <c r="B3169" s="17" t="s">
        <v>263</v>
      </c>
      <c r="C3169" s="18">
        <v>0</v>
      </c>
    </row>
    <row r="3170" spans="1:3" hidden="1" x14ac:dyDescent="0.2">
      <c r="B3170" s="17" t="s">
        <v>260</v>
      </c>
      <c r="C3170" s="18">
        <v>0</v>
      </c>
    </row>
    <row r="3171" spans="1:3" hidden="1" x14ac:dyDescent="0.2">
      <c r="B3171" s="17" t="s">
        <v>264</v>
      </c>
      <c r="C3171" s="18">
        <v>0</v>
      </c>
    </row>
    <row r="3172" spans="1:3" hidden="1" x14ac:dyDescent="0.2">
      <c r="B3172" s="17" t="s">
        <v>319</v>
      </c>
      <c r="C3172" s="18">
        <v>0</v>
      </c>
    </row>
    <row r="3173" spans="1:3" hidden="1" x14ac:dyDescent="0.2">
      <c r="B3173" s="17" t="s">
        <v>80</v>
      </c>
      <c r="C3173" s="18">
        <v>0</v>
      </c>
    </row>
    <row r="3174" spans="1:3" x14ac:dyDescent="0.2">
      <c r="B3174" s="17" t="s">
        <v>327</v>
      </c>
      <c r="C3174" s="18">
        <v>500</v>
      </c>
    </row>
    <row r="3175" spans="1:3" hidden="1" x14ac:dyDescent="0.2">
      <c r="B3175" s="17" t="s">
        <v>79</v>
      </c>
      <c r="C3175" s="18">
        <v>0</v>
      </c>
    </row>
    <row r="3176" spans="1:3" hidden="1" x14ac:dyDescent="0.2">
      <c r="A3176" s="18">
        <v>8325</v>
      </c>
      <c r="B3176" s="17">
        <v>0</v>
      </c>
      <c r="C3176" s="18">
        <v>0</v>
      </c>
    </row>
    <row r="3177" spans="1:3" hidden="1" x14ac:dyDescent="0.2">
      <c r="B3177" s="17" t="s">
        <v>255</v>
      </c>
      <c r="C3177" s="18">
        <v>0</v>
      </c>
    </row>
    <row r="3178" spans="1:3" hidden="1" x14ac:dyDescent="0.2">
      <c r="A3178" s="18">
        <v>8355</v>
      </c>
      <c r="B3178" s="17">
        <v>0</v>
      </c>
      <c r="C3178" s="18">
        <v>0</v>
      </c>
    </row>
    <row r="3179" spans="1:3" hidden="1" x14ac:dyDescent="0.2">
      <c r="A3179" s="18">
        <v>8336</v>
      </c>
      <c r="B3179" s="17">
        <v>0</v>
      </c>
      <c r="C3179" s="18">
        <v>0</v>
      </c>
    </row>
    <row r="3180" spans="1:3" hidden="1" x14ac:dyDescent="0.2">
      <c r="B3180" s="17" t="s">
        <v>251</v>
      </c>
      <c r="C3180" s="18">
        <v>0</v>
      </c>
    </row>
    <row r="3181" spans="1:3" hidden="1" x14ac:dyDescent="0.2">
      <c r="B3181" s="17" t="s">
        <v>270</v>
      </c>
      <c r="C3181" s="18">
        <v>0</v>
      </c>
    </row>
    <row r="3182" spans="1:3" hidden="1" x14ac:dyDescent="0.2">
      <c r="B3182" s="17" t="s">
        <v>245</v>
      </c>
      <c r="C3182" s="18">
        <v>0</v>
      </c>
    </row>
    <row r="3183" spans="1:3" hidden="1" x14ac:dyDescent="0.2">
      <c r="B3183" s="17" t="s">
        <v>249</v>
      </c>
      <c r="C3183" s="18">
        <v>0</v>
      </c>
    </row>
    <row r="3184" spans="1:3" hidden="1" x14ac:dyDescent="0.2">
      <c r="B3184" s="17" t="s">
        <v>264</v>
      </c>
      <c r="C3184" s="18">
        <v>0</v>
      </c>
    </row>
    <row r="3185" spans="1:3" hidden="1" x14ac:dyDescent="0.2">
      <c r="B3185" s="17" t="s">
        <v>319</v>
      </c>
      <c r="C3185" s="18">
        <v>0</v>
      </c>
    </row>
    <row r="3186" spans="1:3" hidden="1" x14ac:dyDescent="0.2">
      <c r="B3186" s="17" t="s">
        <v>80</v>
      </c>
      <c r="C3186" s="18">
        <v>0</v>
      </c>
    </row>
    <row r="3187" spans="1:3" hidden="1" x14ac:dyDescent="0.2">
      <c r="B3187" s="17" t="s">
        <v>79</v>
      </c>
      <c r="C3187" s="18">
        <v>0</v>
      </c>
    </row>
    <row r="3188" spans="1:3" hidden="1" x14ac:dyDescent="0.2">
      <c r="A3188" s="18">
        <v>8359</v>
      </c>
      <c r="B3188" s="17" t="s">
        <v>245</v>
      </c>
      <c r="C3188" s="18">
        <v>0</v>
      </c>
    </row>
    <row r="3189" spans="1:3" hidden="1" x14ac:dyDescent="0.2">
      <c r="B3189" s="17" t="s">
        <v>249</v>
      </c>
      <c r="C3189" s="18">
        <v>0</v>
      </c>
    </row>
    <row r="3190" spans="1:3" hidden="1" x14ac:dyDescent="0.2">
      <c r="B3190" s="17" t="s">
        <v>260</v>
      </c>
      <c r="C3190" s="18">
        <v>0</v>
      </c>
    </row>
    <row r="3191" spans="1:3" hidden="1" x14ac:dyDescent="0.2">
      <c r="B3191" s="17" t="s">
        <v>264</v>
      </c>
      <c r="C3191" s="18">
        <v>0</v>
      </c>
    </row>
    <row r="3192" spans="1:3" hidden="1" x14ac:dyDescent="0.2">
      <c r="B3192" s="17" t="s">
        <v>318</v>
      </c>
      <c r="C3192" s="18">
        <v>0</v>
      </c>
    </row>
    <row r="3193" spans="1:3" hidden="1" x14ac:dyDescent="0.2">
      <c r="A3193" s="18">
        <v>8369</v>
      </c>
      <c r="B3193" s="17" t="s">
        <v>256</v>
      </c>
      <c r="C3193" s="18">
        <v>0</v>
      </c>
    </row>
    <row r="3194" spans="1:3" hidden="1" x14ac:dyDescent="0.2">
      <c r="B3194" s="17" t="s">
        <v>272</v>
      </c>
      <c r="C3194" s="18">
        <v>0</v>
      </c>
    </row>
    <row r="3195" spans="1:3" hidden="1" x14ac:dyDescent="0.2">
      <c r="B3195" s="17" t="s">
        <v>261</v>
      </c>
      <c r="C3195" s="18">
        <v>0</v>
      </c>
    </row>
    <row r="3196" spans="1:3" hidden="1" x14ac:dyDescent="0.2">
      <c r="A3196" s="18">
        <v>8419</v>
      </c>
      <c r="B3196" s="17">
        <v>0</v>
      </c>
      <c r="C3196" s="18">
        <v>0</v>
      </c>
    </row>
    <row r="3197" spans="1:3" hidden="1" x14ac:dyDescent="0.2">
      <c r="B3197" s="17" t="s">
        <v>251</v>
      </c>
      <c r="C3197" s="18">
        <v>0</v>
      </c>
    </row>
    <row r="3198" spans="1:3" hidden="1" x14ac:dyDescent="0.2">
      <c r="B3198" s="17" t="s">
        <v>256</v>
      </c>
      <c r="C3198" s="18">
        <v>0</v>
      </c>
    </row>
    <row r="3199" spans="1:3" hidden="1" x14ac:dyDescent="0.2">
      <c r="B3199" s="17" t="s">
        <v>275</v>
      </c>
      <c r="C3199" s="18">
        <v>0</v>
      </c>
    </row>
    <row r="3200" spans="1:3" hidden="1" x14ac:dyDescent="0.2">
      <c r="B3200" s="17" t="s">
        <v>245</v>
      </c>
      <c r="C3200" s="18">
        <v>0</v>
      </c>
    </row>
    <row r="3201" spans="1:3" hidden="1" x14ac:dyDescent="0.2">
      <c r="B3201" s="17" t="s">
        <v>249</v>
      </c>
      <c r="C3201" s="18">
        <v>0</v>
      </c>
    </row>
    <row r="3202" spans="1:3" hidden="1" x14ac:dyDescent="0.2">
      <c r="B3202" s="17" t="s">
        <v>264</v>
      </c>
      <c r="C3202" s="18">
        <v>0</v>
      </c>
    </row>
    <row r="3203" spans="1:3" hidden="1" x14ac:dyDescent="0.2">
      <c r="B3203" s="17" t="s">
        <v>319</v>
      </c>
      <c r="C3203" s="18">
        <v>0</v>
      </c>
    </row>
    <row r="3204" spans="1:3" hidden="1" x14ac:dyDescent="0.2">
      <c r="B3204" s="17" t="s">
        <v>318</v>
      </c>
      <c r="C3204" s="18">
        <v>0</v>
      </c>
    </row>
    <row r="3205" spans="1:3" hidden="1" x14ac:dyDescent="0.2">
      <c r="B3205" s="17" t="s">
        <v>80</v>
      </c>
      <c r="C3205" s="18">
        <v>0</v>
      </c>
    </row>
    <row r="3206" spans="1:3" hidden="1" x14ac:dyDescent="0.2">
      <c r="B3206" s="17" t="s">
        <v>79</v>
      </c>
      <c r="C3206" s="18">
        <v>0</v>
      </c>
    </row>
    <row r="3207" spans="1:3" hidden="1" x14ac:dyDescent="0.2">
      <c r="A3207" s="18">
        <v>8425</v>
      </c>
      <c r="B3207" s="17">
        <v>0</v>
      </c>
      <c r="C3207" s="18">
        <v>0</v>
      </c>
    </row>
    <row r="3208" spans="1:3" hidden="1" x14ac:dyDescent="0.2">
      <c r="A3208" s="18">
        <v>8445</v>
      </c>
      <c r="B3208" s="17">
        <v>0</v>
      </c>
      <c r="C3208" s="18">
        <v>0</v>
      </c>
    </row>
    <row r="3209" spans="1:3" hidden="1" x14ac:dyDescent="0.2">
      <c r="B3209" s="17" t="s">
        <v>318</v>
      </c>
      <c r="C3209" s="18">
        <v>0</v>
      </c>
    </row>
    <row r="3210" spans="1:3" hidden="1" x14ac:dyDescent="0.2">
      <c r="A3210" s="18">
        <v>8434</v>
      </c>
      <c r="B3210" s="17">
        <v>0</v>
      </c>
      <c r="C3210" s="18">
        <v>0</v>
      </c>
    </row>
    <row r="3211" spans="1:3" hidden="1" x14ac:dyDescent="0.2">
      <c r="B3211" s="17" t="s">
        <v>251</v>
      </c>
      <c r="C3211" s="18">
        <v>0</v>
      </c>
    </row>
    <row r="3212" spans="1:3" hidden="1" x14ac:dyDescent="0.2">
      <c r="B3212" s="17" t="s">
        <v>256</v>
      </c>
      <c r="C3212" s="18">
        <v>0</v>
      </c>
    </row>
    <row r="3213" spans="1:3" hidden="1" x14ac:dyDescent="0.2">
      <c r="B3213" s="17" t="s">
        <v>270</v>
      </c>
      <c r="C3213" s="18">
        <v>0</v>
      </c>
    </row>
    <row r="3214" spans="1:3" hidden="1" x14ac:dyDescent="0.2">
      <c r="B3214" s="17" t="s">
        <v>245</v>
      </c>
      <c r="C3214" s="18">
        <v>0</v>
      </c>
    </row>
    <row r="3215" spans="1:3" hidden="1" x14ac:dyDescent="0.2">
      <c r="B3215" s="17" t="s">
        <v>249</v>
      </c>
      <c r="C3215" s="18">
        <v>0</v>
      </c>
    </row>
    <row r="3216" spans="1:3" hidden="1" x14ac:dyDescent="0.2">
      <c r="B3216" s="17" t="s">
        <v>303</v>
      </c>
      <c r="C3216" s="18">
        <v>0</v>
      </c>
    </row>
    <row r="3217" spans="1:3" hidden="1" x14ac:dyDescent="0.2">
      <c r="B3217" s="17" t="s">
        <v>264</v>
      </c>
      <c r="C3217" s="18">
        <v>0</v>
      </c>
    </row>
    <row r="3218" spans="1:3" hidden="1" x14ac:dyDescent="0.2">
      <c r="B3218" s="17" t="s">
        <v>319</v>
      </c>
      <c r="C3218" s="18">
        <v>0</v>
      </c>
    </row>
    <row r="3219" spans="1:3" hidden="1" x14ac:dyDescent="0.2">
      <c r="B3219" s="17" t="s">
        <v>318</v>
      </c>
      <c r="C3219" s="18">
        <v>0</v>
      </c>
    </row>
    <row r="3220" spans="1:3" hidden="1" x14ac:dyDescent="0.2">
      <c r="B3220" s="17" t="s">
        <v>80</v>
      </c>
      <c r="C3220" s="18">
        <v>0</v>
      </c>
    </row>
    <row r="3221" spans="1:3" hidden="1" x14ac:dyDescent="0.2">
      <c r="B3221" s="17" t="s">
        <v>79</v>
      </c>
      <c r="C3221" s="18">
        <v>0</v>
      </c>
    </row>
    <row r="3222" spans="1:3" hidden="1" x14ac:dyDescent="0.2">
      <c r="A3222" s="18">
        <v>8421</v>
      </c>
      <c r="B3222" s="17">
        <v>0</v>
      </c>
      <c r="C3222" s="18">
        <v>0</v>
      </c>
    </row>
    <row r="3223" spans="1:3" hidden="1" x14ac:dyDescent="0.2">
      <c r="B3223" s="17" t="s">
        <v>270</v>
      </c>
      <c r="C3223" s="18">
        <v>0</v>
      </c>
    </row>
    <row r="3224" spans="1:3" hidden="1" x14ac:dyDescent="0.2">
      <c r="B3224" s="17" t="s">
        <v>245</v>
      </c>
      <c r="C3224" s="18">
        <v>0</v>
      </c>
    </row>
    <row r="3225" spans="1:3" hidden="1" x14ac:dyDescent="0.2">
      <c r="B3225" s="17" t="s">
        <v>249</v>
      </c>
      <c r="C3225" s="18">
        <v>0</v>
      </c>
    </row>
    <row r="3226" spans="1:3" hidden="1" x14ac:dyDescent="0.2">
      <c r="B3226" s="17" t="s">
        <v>264</v>
      </c>
      <c r="C3226" s="18">
        <v>0</v>
      </c>
    </row>
    <row r="3227" spans="1:3" hidden="1" x14ac:dyDescent="0.2">
      <c r="B3227" s="17" t="s">
        <v>319</v>
      </c>
      <c r="C3227" s="18">
        <v>0</v>
      </c>
    </row>
    <row r="3228" spans="1:3" hidden="1" x14ac:dyDescent="0.2">
      <c r="B3228" s="17" t="s">
        <v>80</v>
      </c>
      <c r="C3228" s="18">
        <v>0</v>
      </c>
    </row>
    <row r="3229" spans="1:3" hidden="1" x14ac:dyDescent="0.2">
      <c r="B3229" s="17" t="s">
        <v>79</v>
      </c>
      <c r="C3229" s="18">
        <v>0</v>
      </c>
    </row>
    <row r="3230" spans="1:3" hidden="1" x14ac:dyDescent="0.2">
      <c r="A3230" s="18">
        <v>8447</v>
      </c>
      <c r="B3230" s="17" t="s">
        <v>251</v>
      </c>
      <c r="C3230" s="18">
        <v>0</v>
      </c>
    </row>
    <row r="3231" spans="1:3" hidden="1" x14ac:dyDescent="0.2">
      <c r="B3231" s="17" t="s">
        <v>247</v>
      </c>
      <c r="C3231" s="18">
        <v>0</v>
      </c>
    </row>
    <row r="3232" spans="1:3" hidden="1" x14ac:dyDescent="0.2">
      <c r="B3232" s="17" t="s">
        <v>72</v>
      </c>
      <c r="C3232" s="18">
        <v>0</v>
      </c>
    </row>
    <row r="3233" spans="1:3" hidden="1" x14ac:dyDescent="0.2">
      <c r="B3233" s="17" t="s">
        <v>261</v>
      </c>
      <c r="C3233" s="18">
        <v>0</v>
      </c>
    </row>
    <row r="3234" spans="1:3" hidden="1" x14ac:dyDescent="0.2">
      <c r="A3234" s="18">
        <v>8423</v>
      </c>
      <c r="B3234" s="17">
        <v>0</v>
      </c>
      <c r="C3234" s="18">
        <v>0</v>
      </c>
    </row>
    <row r="3235" spans="1:3" hidden="1" x14ac:dyDescent="0.2">
      <c r="B3235" s="17" t="s">
        <v>251</v>
      </c>
      <c r="C3235" s="18">
        <v>0</v>
      </c>
    </row>
    <row r="3236" spans="1:3" hidden="1" x14ac:dyDescent="0.2">
      <c r="B3236" s="17" t="s">
        <v>250</v>
      </c>
      <c r="C3236" s="18">
        <v>0</v>
      </c>
    </row>
    <row r="3237" spans="1:3" hidden="1" x14ac:dyDescent="0.2">
      <c r="B3237" s="17" t="s">
        <v>258</v>
      </c>
      <c r="C3237" s="18">
        <v>0</v>
      </c>
    </row>
    <row r="3238" spans="1:3" hidden="1" x14ac:dyDescent="0.2">
      <c r="B3238" s="17" t="s">
        <v>256</v>
      </c>
      <c r="C3238" s="18">
        <v>0</v>
      </c>
    </row>
    <row r="3239" spans="1:3" hidden="1" x14ac:dyDescent="0.2">
      <c r="B3239" s="17" t="s">
        <v>245</v>
      </c>
      <c r="C3239" s="18">
        <v>0</v>
      </c>
    </row>
    <row r="3240" spans="1:3" hidden="1" x14ac:dyDescent="0.2">
      <c r="B3240" s="17" t="s">
        <v>249</v>
      </c>
      <c r="C3240" s="18">
        <v>0</v>
      </c>
    </row>
    <row r="3241" spans="1:3" hidden="1" x14ac:dyDescent="0.2">
      <c r="B3241" s="17" t="s">
        <v>255</v>
      </c>
      <c r="C3241" s="18">
        <v>0</v>
      </c>
    </row>
    <row r="3242" spans="1:3" hidden="1" x14ac:dyDescent="0.2">
      <c r="B3242" s="17" t="s">
        <v>264</v>
      </c>
      <c r="C3242" s="18">
        <v>0</v>
      </c>
    </row>
    <row r="3243" spans="1:3" hidden="1" x14ac:dyDescent="0.2">
      <c r="B3243" s="17" t="s">
        <v>319</v>
      </c>
      <c r="C3243" s="18">
        <v>0</v>
      </c>
    </row>
    <row r="3244" spans="1:3" hidden="1" x14ac:dyDescent="0.2">
      <c r="B3244" s="17" t="s">
        <v>318</v>
      </c>
      <c r="C3244" s="18">
        <v>0</v>
      </c>
    </row>
    <row r="3245" spans="1:3" hidden="1" x14ac:dyDescent="0.2">
      <c r="B3245" s="17" t="s">
        <v>80</v>
      </c>
      <c r="C3245" s="18">
        <v>0</v>
      </c>
    </row>
    <row r="3246" spans="1:3" hidden="1" x14ac:dyDescent="0.2">
      <c r="B3246" s="17" t="s">
        <v>79</v>
      </c>
      <c r="C3246" s="18">
        <v>0</v>
      </c>
    </row>
    <row r="3247" spans="1:3" hidden="1" x14ac:dyDescent="0.2">
      <c r="A3247" s="18">
        <v>8417</v>
      </c>
      <c r="B3247" s="17">
        <v>0</v>
      </c>
      <c r="C3247" s="18">
        <v>0</v>
      </c>
    </row>
    <row r="3248" spans="1:3" hidden="1" x14ac:dyDescent="0.2">
      <c r="B3248" s="17" t="s">
        <v>251</v>
      </c>
      <c r="C3248" s="18">
        <v>0</v>
      </c>
    </row>
    <row r="3249" spans="1:3" hidden="1" x14ac:dyDescent="0.2">
      <c r="B3249" s="17" t="s">
        <v>270</v>
      </c>
      <c r="C3249" s="18">
        <v>0</v>
      </c>
    </row>
    <row r="3250" spans="1:3" hidden="1" x14ac:dyDescent="0.2">
      <c r="B3250" s="17" t="s">
        <v>245</v>
      </c>
      <c r="C3250" s="18">
        <v>0</v>
      </c>
    </row>
    <row r="3251" spans="1:3" hidden="1" x14ac:dyDescent="0.2">
      <c r="B3251" s="17" t="s">
        <v>249</v>
      </c>
      <c r="C3251" s="18">
        <v>0</v>
      </c>
    </row>
    <row r="3252" spans="1:3" hidden="1" x14ac:dyDescent="0.2">
      <c r="B3252" s="17" t="s">
        <v>264</v>
      </c>
      <c r="C3252" s="18">
        <v>0</v>
      </c>
    </row>
    <row r="3253" spans="1:3" hidden="1" x14ac:dyDescent="0.2">
      <c r="B3253" s="17" t="s">
        <v>319</v>
      </c>
      <c r="C3253" s="18">
        <v>0</v>
      </c>
    </row>
    <row r="3254" spans="1:3" hidden="1" x14ac:dyDescent="0.2">
      <c r="B3254" s="17" t="s">
        <v>318</v>
      </c>
      <c r="C3254" s="18">
        <v>0</v>
      </c>
    </row>
    <row r="3255" spans="1:3" hidden="1" x14ac:dyDescent="0.2">
      <c r="B3255" s="17" t="s">
        <v>80</v>
      </c>
      <c r="C3255" s="18">
        <v>0</v>
      </c>
    </row>
    <row r="3256" spans="1:3" hidden="1" x14ac:dyDescent="0.2">
      <c r="B3256" s="17" t="s">
        <v>79</v>
      </c>
      <c r="C3256" s="18">
        <v>0</v>
      </c>
    </row>
    <row r="3257" spans="1:3" hidden="1" x14ac:dyDescent="0.2">
      <c r="A3257" s="18">
        <v>8436</v>
      </c>
      <c r="B3257" s="17" t="s">
        <v>268</v>
      </c>
      <c r="C3257" s="18">
        <v>0</v>
      </c>
    </row>
    <row r="3258" spans="1:3" hidden="1" x14ac:dyDescent="0.2">
      <c r="A3258" s="18">
        <v>8459</v>
      </c>
      <c r="B3258" s="17">
        <v>0</v>
      </c>
      <c r="C3258" s="18">
        <v>0</v>
      </c>
    </row>
    <row r="3259" spans="1:3" hidden="1" x14ac:dyDescent="0.2">
      <c r="B3259" s="17" t="s">
        <v>80</v>
      </c>
      <c r="C3259" s="18">
        <v>0</v>
      </c>
    </row>
    <row r="3260" spans="1:3" hidden="1" x14ac:dyDescent="0.2">
      <c r="A3260" s="18">
        <v>8476</v>
      </c>
      <c r="B3260" s="17">
        <v>0</v>
      </c>
      <c r="C3260" s="18">
        <v>0</v>
      </c>
    </row>
    <row r="3261" spans="1:3" hidden="1" x14ac:dyDescent="0.2">
      <c r="B3261" s="17" t="s">
        <v>251</v>
      </c>
      <c r="C3261" s="18">
        <v>0</v>
      </c>
    </row>
    <row r="3262" spans="1:3" hidden="1" x14ac:dyDescent="0.2">
      <c r="B3262" s="17" t="s">
        <v>256</v>
      </c>
      <c r="C3262" s="18">
        <v>0</v>
      </c>
    </row>
    <row r="3263" spans="1:3" hidden="1" x14ac:dyDescent="0.2">
      <c r="B3263" s="17" t="s">
        <v>272</v>
      </c>
      <c r="C3263" s="18">
        <v>0</v>
      </c>
    </row>
    <row r="3264" spans="1:3" hidden="1" x14ac:dyDescent="0.2">
      <c r="A3264" s="18">
        <v>8428</v>
      </c>
      <c r="B3264" s="17" t="s">
        <v>304</v>
      </c>
      <c r="C3264" s="18">
        <v>0</v>
      </c>
    </row>
    <row r="3265" spans="1:3" hidden="1" x14ac:dyDescent="0.2">
      <c r="B3265" s="17" t="s">
        <v>249</v>
      </c>
      <c r="C3265" s="18">
        <v>0</v>
      </c>
    </row>
    <row r="3266" spans="1:3" hidden="1" x14ac:dyDescent="0.2">
      <c r="B3266" s="17" t="s">
        <v>274</v>
      </c>
      <c r="C3266" s="18">
        <v>0</v>
      </c>
    </row>
    <row r="3267" spans="1:3" hidden="1" x14ac:dyDescent="0.2">
      <c r="B3267" s="17" t="s">
        <v>260</v>
      </c>
      <c r="C3267" s="18">
        <v>0</v>
      </c>
    </row>
    <row r="3268" spans="1:3" hidden="1" x14ac:dyDescent="0.2">
      <c r="B3268" s="17" t="s">
        <v>264</v>
      </c>
      <c r="C3268" s="18">
        <v>0</v>
      </c>
    </row>
    <row r="3269" spans="1:3" hidden="1" x14ac:dyDescent="0.2">
      <c r="B3269" s="17" t="s">
        <v>318</v>
      </c>
      <c r="C3269" s="18">
        <v>0</v>
      </c>
    </row>
    <row r="3270" spans="1:3" hidden="1" x14ac:dyDescent="0.2">
      <c r="A3270" s="18">
        <v>8461</v>
      </c>
      <c r="B3270" s="17" t="s">
        <v>257</v>
      </c>
      <c r="C3270" s="18">
        <v>0</v>
      </c>
    </row>
    <row r="3271" spans="1:3" hidden="1" x14ac:dyDescent="0.2">
      <c r="B3271" s="17" t="s">
        <v>258</v>
      </c>
      <c r="C3271" s="18">
        <v>0</v>
      </c>
    </row>
    <row r="3272" spans="1:3" hidden="1" x14ac:dyDescent="0.2">
      <c r="B3272" s="17" t="s">
        <v>268</v>
      </c>
      <c r="C3272" s="18">
        <v>0</v>
      </c>
    </row>
    <row r="3273" spans="1:3" hidden="1" x14ac:dyDescent="0.2">
      <c r="B3273" s="17" t="s">
        <v>270</v>
      </c>
      <c r="C3273" s="18">
        <v>0</v>
      </c>
    </row>
    <row r="3274" spans="1:3" hidden="1" x14ac:dyDescent="0.2">
      <c r="B3274" s="17" t="s">
        <v>260</v>
      </c>
      <c r="C3274" s="18">
        <v>0</v>
      </c>
    </row>
    <row r="3275" spans="1:3" hidden="1" x14ac:dyDescent="0.2">
      <c r="B3275" s="17" t="s">
        <v>318</v>
      </c>
      <c r="C3275" s="18">
        <v>0</v>
      </c>
    </row>
    <row r="3276" spans="1:3" hidden="1" x14ac:dyDescent="0.2">
      <c r="A3276" s="18">
        <v>8517</v>
      </c>
      <c r="B3276" s="17">
        <v>0</v>
      </c>
      <c r="C3276" s="18">
        <v>0</v>
      </c>
    </row>
    <row r="3277" spans="1:3" hidden="1" x14ac:dyDescent="0.2">
      <c r="B3277" s="17" t="s">
        <v>80</v>
      </c>
      <c r="C3277" s="18">
        <v>0</v>
      </c>
    </row>
    <row r="3278" spans="1:3" hidden="1" x14ac:dyDescent="0.2">
      <c r="A3278" s="18">
        <v>8522</v>
      </c>
      <c r="B3278" s="17">
        <v>0</v>
      </c>
      <c r="C3278" s="18">
        <v>0</v>
      </c>
    </row>
    <row r="3279" spans="1:3" hidden="1" x14ac:dyDescent="0.2">
      <c r="B3279" s="17" t="s">
        <v>245</v>
      </c>
      <c r="C3279" s="18">
        <v>0</v>
      </c>
    </row>
    <row r="3280" spans="1:3" hidden="1" x14ac:dyDescent="0.2">
      <c r="B3280" s="17" t="s">
        <v>248</v>
      </c>
      <c r="C3280" s="18">
        <v>0</v>
      </c>
    </row>
    <row r="3281" spans="1:3" hidden="1" x14ac:dyDescent="0.2">
      <c r="B3281" s="17" t="s">
        <v>249</v>
      </c>
      <c r="C3281" s="18">
        <v>0</v>
      </c>
    </row>
    <row r="3282" spans="1:3" hidden="1" x14ac:dyDescent="0.2">
      <c r="B3282" s="17" t="s">
        <v>72</v>
      </c>
      <c r="C3282" s="18">
        <v>0</v>
      </c>
    </row>
    <row r="3283" spans="1:3" hidden="1" x14ac:dyDescent="0.2">
      <c r="B3283" s="17" t="s">
        <v>255</v>
      </c>
      <c r="C3283" s="18">
        <v>0</v>
      </c>
    </row>
    <row r="3284" spans="1:3" hidden="1" x14ac:dyDescent="0.2">
      <c r="B3284" s="17" t="s">
        <v>264</v>
      </c>
      <c r="C3284" s="18">
        <v>0</v>
      </c>
    </row>
    <row r="3285" spans="1:3" hidden="1" x14ac:dyDescent="0.2">
      <c r="B3285" s="17" t="s">
        <v>307</v>
      </c>
      <c r="C3285" s="18">
        <v>0</v>
      </c>
    </row>
    <row r="3286" spans="1:3" hidden="1" x14ac:dyDescent="0.2">
      <c r="B3286" s="17" t="s">
        <v>378</v>
      </c>
      <c r="C3286" s="18">
        <v>0</v>
      </c>
    </row>
    <row r="3287" spans="1:3" hidden="1" x14ac:dyDescent="0.2">
      <c r="A3287" s="18">
        <v>8525</v>
      </c>
      <c r="B3287" s="17" t="s">
        <v>258</v>
      </c>
      <c r="C3287" s="18">
        <v>0</v>
      </c>
    </row>
    <row r="3288" spans="1:3" hidden="1" x14ac:dyDescent="0.2">
      <c r="B3288" s="17" t="s">
        <v>318</v>
      </c>
      <c r="C3288" s="18">
        <v>0</v>
      </c>
    </row>
    <row r="3289" spans="1:3" hidden="1" x14ac:dyDescent="0.2">
      <c r="A3289" s="18">
        <v>8533</v>
      </c>
      <c r="B3289" s="17">
        <v>0</v>
      </c>
      <c r="C3289" s="18">
        <v>0</v>
      </c>
    </row>
    <row r="3290" spans="1:3" hidden="1" x14ac:dyDescent="0.2">
      <c r="B3290" s="17" t="s">
        <v>80</v>
      </c>
      <c r="C3290" s="18">
        <v>0</v>
      </c>
    </row>
    <row r="3291" spans="1:3" hidden="1" x14ac:dyDescent="0.2">
      <c r="A3291" s="18">
        <v>8534</v>
      </c>
      <c r="B3291" s="17" t="s">
        <v>72</v>
      </c>
      <c r="C3291" s="18">
        <v>0</v>
      </c>
    </row>
    <row r="3292" spans="1:3" hidden="1" x14ac:dyDescent="0.2">
      <c r="A3292" s="18">
        <v>8563</v>
      </c>
      <c r="B3292" s="17">
        <v>0</v>
      </c>
      <c r="C3292" s="18">
        <v>0</v>
      </c>
    </row>
    <row r="3293" spans="1:3" hidden="1" x14ac:dyDescent="0.2">
      <c r="B3293" s="17" t="s">
        <v>258</v>
      </c>
      <c r="C3293" s="18">
        <v>0</v>
      </c>
    </row>
    <row r="3294" spans="1:3" hidden="1" x14ac:dyDescent="0.2">
      <c r="B3294" s="17" t="s">
        <v>256</v>
      </c>
      <c r="C3294" s="18">
        <v>0</v>
      </c>
    </row>
    <row r="3295" spans="1:3" hidden="1" x14ac:dyDescent="0.2">
      <c r="B3295" s="17" t="s">
        <v>245</v>
      </c>
      <c r="C3295" s="18">
        <v>0</v>
      </c>
    </row>
    <row r="3296" spans="1:3" hidden="1" x14ac:dyDescent="0.2">
      <c r="B3296" s="17" t="s">
        <v>309</v>
      </c>
      <c r="C3296" s="18">
        <v>0</v>
      </c>
    </row>
    <row r="3297" spans="1:3" hidden="1" x14ac:dyDescent="0.2">
      <c r="B3297" s="17" t="s">
        <v>318</v>
      </c>
      <c r="C3297" s="18">
        <v>0</v>
      </c>
    </row>
    <row r="3298" spans="1:3" hidden="1" x14ac:dyDescent="0.2">
      <c r="A3298" s="18">
        <v>8477</v>
      </c>
      <c r="B3298" s="17">
        <v>0</v>
      </c>
      <c r="C3298" s="18">
        <v>0</v>
      </c>
    </row>
    <row r="3299" spans="1:3" hidden="1" x14ac:dyDescent="0.2">
      <c r="B3299" s="17" t="s">
        <v>257</v>
      </c>
      <c r="C3299" s="18">
        <v>0</v>
      </c>
    </row>
    <row r="3300" spans="1:3" hidden="1" x14ac:dyDescent="0.2">
      <c r="B3300" s="17" t="s">
        <v>279</v>
      </c>
      <c r="C3300" s="18">
        <v>0</v>
      </c>
    </row>
    <row r="3301" spans="1:3" hidden="1" x14ac:dyDescent="0.2">
      <c r="B3301" s="17" t="s">
        <v>267</v>
      </c>
      <c r="C3301" s="18">
        <v>0</v>
      </c>
    </row>
    <row r="3302" spans="1:3" hidden="1" x14ac:dyDescent="0.2">
      <c r="B3302" s="17" t="s">
        <v>247</v>
      </c>
      <c r="C3302" s="18">
        <v>0</v>
      </c>
    </row>
    <row r="3303" spans="1:3" hidden="1" x14ac:dyDescent="0.2">
      <c r="B3303" s="17" t="s">
        <v>258</v>
      </c>
      <c r="C3303" s="18">
        <v>0</v>
      </c>
    </row>
    <row r="3304" spans="1:3" hidden="1" x14ac:dyDescent="0.2">
      <c r="B3304" s="17" t="s">
        <v>268</v>
      </c>
      <c r="C3304" s="18">
        <v>0</v>
      </c>
    </row>
    <row r="3305" spans="1:3" hidden="1" x14ac:dyDescent="0.2">
      <c r="B3305" s="17" t="s">
        <v>311</v>
      </c>
      <c r="C3305" s="18">
        <v>0</v>
      </c>
    </row>
    <row r="3306" spans="1:3" hidden="1" x14ac:dyDescent="0.2">
      <c r="B3306" s="17" t="s">
        <v>270</v>
      </c>
      <c r="C3306" s="18">
        <v>0</v>
      </c>
    </row>
    <row r="3307" spans="1:3" hidden="1" x14ac:dyDescent="0.2">
      <c r="B3307" s="17" t="s">
        <v>280</v>
      </c>
      <c r="C3307" s="18">
        <v>0</v>
      </c>
    </row>
    <row r="3308" spans="1:3" hidden="1" x14ac:dyDescent="0.2">
      <c r="B3308" s="17" t="s">
        <v>276</v>
      </c>
      <c r="C3308" s="18">
        <v>0</v>
      </c>
    </row>
    <row r="3309" spans="1:3" hidden="1" x14ac:dyDescent="0.2">
      <c r="B3309" s="17" t="s">
        <v>299</v>
      </c>
      <c r="C3309" s="18">
        <v>0</v>
      </c>
    </row>
    <row r="3310" spans="1:3" hidden="1" x14ac:dyDescent="0.2">
      <c r="B3310" s="17" t="s">
        <v>300</v>
      </c>
      <c r="C3310" s="18">
        <v>0</v>
      </c>
    </row>
    <row r="3311" spans="1:3" hidden="1" x14ac:dyDescent="0.2">
      <c r="B3311" s="17" t="s">
        <v>245</v>
      </c>
      <c r="C3311" s="18">
        <v>0</v>
      </c>
    </row>
    <row r="3312" spans="1:3" hidden="1" x14ac:dyDescent="0.2">
      <c r="B3312" s="17" t="s">
        <v>248</v>
      </c>
      <c r="C3312" s="18">
        <v>0</v>
      </c>
    </row>
    <row r="3313" spans="1:3" hidden="1" x14ac:dyDescent="0.2">
      <c r="B3313" s="17" t="s">
        <v>249</v>
      </c>
      <c r="C3313" s="18">
        <v>0</v>
      </c>
    </row>
    <row r="3314" spans="1:3" hidden="1" x14ac:dyDescent="0.2">
      <c r="B3314" s="17" t="s">
        <v>263</v>
      </c>
      <c r="C3314" s="18">
        <v>0</v>
      </c>
    </row>
    <row r="3315" spans="1:3" hidden="1" x14ac:dyDescent="0.2">
      <c r="B3315" s="17" t="s">
        <v>274</v>
      </c>
      <c r="C3315" s="18">
        <v>0</v>
      </c>
    </row>
    <row r="3316" spans="1:3" hidden="1" x14ac:dyDescent="0.2">
      <c r="B3316" s="17" t="s">
        <v>72</v>
      </c>
      <c r="C3316" s="18">
        <v>0</v>
      </c>
    </row>
    <row r="3317" spans="1:3" hidden="1" x14ac:dyDescent="0.2">
      <c r="B3317" s="17" t="s">
        <v>272</v>
      </c>
      <c r="C3317" s="18">
        <v>0</v>
      </c>
    </row>
    <row r="3318" spans="1:3" hidden="1" x14ac:dyDescent="0.2">
      <c r="B3318" s="17" t="s">
        <v>264</v>
      </c>
      <c r="C3318" s="18">
        <v>0</v>
      </c>
    </row>
    <row r="3319" spans="1:3" hidden="1" x14ac:dyDescent="0.2">
      <c r="B3319" s="17" t="s">
        <v>319</v>
      </c>
      <c r="C3319" s="18">
        <v>0</v>
      </c>
    </row>
    <row r="3320" spans="1:3" hidden="1" x14ac:dyDescent="0.2">
      <c r="B3320" s="17" t="s">
        <v>323</v>
      </c>
      <c r="C3320" s="18">
        <v>0</v>
      </c>
    </row>
    <row r="3321" spans="1:3" hidden="1" x14ac:dyDescent="0.2">
      <c r="B3321" s="17" t="s">
        <v>318</v>
      </c>
      <c r="C3321" s="18">
        <v>0</v>
      </c>
    </row>
    <row r="3322" spans="1:3" hidden="1" x14ac:dyDescent="0.2">
      <c r="B3322" s="17" t="s">
        <v>80</v>
      </c>
      <c r="C3322" s="18">
        <v>0</v>
      </c>
    </row>
    <row r="3323" spans="1:3" hidden="1" x14ac:dyDescent="0.2">
      <c r="B3323" s="17" t="s">
        <v>73</v>
      </c>
      <c r="C3323" s="18">
        <v>0</v>
      </c>
    </row>
    <row r="3324" spans="1:3" hidden="1" x14ac:dyDescent="0.2">
      <c r="B3324" s="17" t="s">
        <v>261</v>
      </c>
      <c r="C3324" s="18">
        <v>0</v>
      </c>
    </row>
    <row r="3325" spans="1:3" hidden="1" x14ac:dyDescent="0.2">
      <c r="B3325" s="17" t="s">
        <v>419</v>
      </c>
      <c r="C3325" s="18">
        <v>0</v>
      </c>
    </row>
    <row r="3326" spans="1:3" hidden="1" x14ac:dyDescent="0.2">
      <c r="B3326" s="17" t="s">
        <v>448</v>
      </c>
      <c r="C3326" s="18">
        <v>0</v>
      </c>
    </row>
    <row r="3327" spans="1:3" hidden="1" x14ac:dyDescent="0.2">
      <c r="B3327" s="17" t="s">
        <v>516</v>
      </c>
      <c r="C3327" s="18">
        <v>0</v>
      </c>
    </row>
    <row r="3328" spans="1:3" hidden="1" x14ac:dyDescent="0.2">
      <c r="A3328" s="18">
        <v>8584</v>
      </c>
      <c r="B3328" s="17" t="s">
        <v>247</v>
      </c>
      <c r="C3328" s="18">
        <v>0</v>
      </c>
    </row>
    <row r="3329" spans="1:3" hidden="1" x14ac:dyDescent="0.2">
      <c r="A3329" s="18">
        <v>8527</v>
      </c>
      <c r="B3329" s="17" t="s">
        <v>257</v>
      </c>
      <c r="C3329" s="18">
        <v>0</v>
      </c>
    </row>
    <row r="3330" spans="1:3" hidden="1" x14ac:dyDescent="0.2">
      <c r="B3330" s="17" t="s">
        <v>278</v>
      </c>
      <c r="C3330" s="18">
        <v>0</v>
      </c>
    </row>
    <row r="3331" spans="1:3" hidden="1" x14ac:dyDescent="0.2">
      <c r="A3331" s="18">
        <v>8595</v>
      </c>
      <c r="B3331" s="17">
        <v>0</v>
      </c>
      <c r="C3331" s="18">
        <v>0</v>
      </c>
    </row>
    <row r="3332" spans="1:3" hidden="1" x14ac:dyDescent="0.2">
      <c r="B3332" s="17" t="s">
        <v>318</v>
      </c>
      <c r="C3332" s="18">
        <v>0</v>
      </c>
    </row>
    <row r="3333" spans="1:3" hidden="1" x14ac:dyDescent="0.2">
      <c r="A3333" s="18">
        <v>8610</v>
      </c>
      <c r="B3333" s="17" t="s">
        <v>419</v>
      </c>
      <c r="C3333" s="18">
        <v>0</v>
      </c>
    </row>
    <row r="3334" spans="1:3" hidden="1" x14ac:dyDescent="0.2">
      <c r="A3334" s="18">
        <v>8617</v>
      </c>
      <c r="B3334" s="17">
        <v>0</v>
      </c>
      <c r="C3334" s="18">
        <v>0</v>
      </c>
    </row>
    <row r="3335" spans="1:3" x14ac:dyDescent="0.2">
      <c r="A3335" s="18">
        <v>8618</v>
      </c>
      <c r="B3335" s="17" t="s">
        <v>245</v>
      </c>
      <c r="C3335" s="18">
        <v>50</v>
      </c>
    </row>
    <row r="3336" spans="1:3" hidden="1" x14ac:dyDescent="0.2">
      <c r="A3336" s="18">
        <v>8537</v>
      </c>
      <c r="B3336" s="17">
        <v>0</v>
      </c>
      <c r="C3336" s="18">
        <v>0</v>
      </c>
    </row>
    <row r="3337" spans="1:3" hidden="1" x14ac:dyDescent="0.2">
      <c r="B3337" s="17" t="s">
        <v>251</v>
      </c>
      <c r="C3337" s="18">
        <v>0</v>
      </c>
    </row>
    <row r="3338" spans="1:3" hidden="1" x14ac:dyDescent="0.2">
      <c r="B3338" s="17" t="s">
        <v>256</v>
      </c>
      <c r="C3338" s="18">
        <v>0</v>
      </c>
    </row>
    <row r="3339" spans="1:3" hidden="1" x14ac:dyDescent="0.2">
      <c r="B3339" s="17" t="s">
        <v>288</v>
      </c>
      <c r="C3339" s="18">
        <v>0</v>
      </c>
    </row>
    <row r="3340" spans="1:3" hidden="1" x14ac:dyDescent="0.2">
      <c r="B3340" s="17" t="s">
        <v>245</v>
      </c>
      <c r="C3340" s="18">
        <v>0</v>
      </c>
    </row>
    <row r="3341" spans="1:3" hidden="1" x14ac:dyDescent="0.2">
      <c r="B3341" s="17" t="s">
        <v>249</v>
      </c>
      <c r="C3341" s="18">
        <v>0</v>
      </c>
    </row>
    <row r="3342" spans="1:3" hidden="1" x14ac:dyDescent="0.2">
      <c r="B3342" s="17" t="s">
        <v>264</v>
      </c>
      <c r="C3342" s="18">
        <v>0</v>
      </c>
    </row>
    <row r="3343" spans="1:3" hidden="1" x14ac:dyDescent="0.2">
      <c r="B3343" s="17" t="s">
        <v>319</v>
      </c>
      <c r="C3343" s="18">
        <v>0</v>
      </c>
    </row>
    <row r="3344" spans="1:3" hidden="1" x14ac:dyDescent="0.2">
      <c r="B3344" s="17" t="s">
        <v>318</v>
      </c>
      <c r="C3344" s="18">
        <v>0</v>
      </c>
    </row>
    <row r="3345" spans="1:3" hidden="1" x14ac:dyDescent="0.2">
      <c r="B3345" s="17" t="s">
        <v>80</v>
      </c>
      <c r="C3345" s="18">
        <v>0</v>
      </c>
    </row>
    <row r="3346" spans="1:3" hidden="1" x14ac:dyDescent="0.2">
      <c r="B3346" s="17" t="s">
        <v>79</v>
      </c>
      <c r="C3346" s="18">
        <v>0</v>
      </c>
    </row>
    <row r="3347" spans="1:3" hidden="1" x14ac:dyDescent="0.2">
      <c r="A3347" s="18">
        <v>8632</v>
      </c>
      <c r="B3347" s="17" t="s">
        <v>265</v>
      </c>
      <c r="C3347" s="18">
        <v>0</v>
      </c>
    </row>
    <row r="3348" spans="1:3" hidden="1" x14ac:dyDescent="0.2">
      <c r="A3348" s="18">
        <v>8546</v>
      </c>
      <c r="B3348" s="17" t="s">
        <v>318</v>
      </c>
      <c r="C3348" s="18">
        <v>0</v>
      </c>
    </row>
    <row r="3349" spans="1:3" hidden="1" x14ac:dyDescent="0.2">
      <c r="A3349" s="18">
        <v>8643</v>
      </c>
      <c r="B3349" s="17" t="s">
        <v>304</v>
      </c>
      <c r="C3349" s="18">
        <v>0</v>
      </c>
    </row>
    <row r="3350" spans="1:3" hidden="1" x14ac:dyDescent="0.2">
      <c r="B3350" s="17" t="s">
        <v>294</v>
      </c>
      <c r="C3350" s="18">
        <v>0</v>
      </c>
    </row>
    <row r="3351" spans="1:3" hidden="1" x14ac:dyDescent="0.2">
      <c r="B3351" s="17" t="s">
        <v>245</v>
      </c>
      <c r="C3351" s="18">
        <v>0</v>
      </c>
    </row>
    <row r="3352" spans="1:3" hidden="1" x14ac:dyDescent="0.2">
      <c r="B3352" s="17" t="s">
        <v>249</v>
      </c>
      <c r="C3352" s="18">
        <v>0</v>
      </c>
    </row>
    <row r="3353" spans="1:3" hidden="1" x14ac:dyDescent="0.2">
      <c r="B3353" s="17" t="s">
        <v>264</v>
      </c>
      <c r="C3353" s="18">
        <v>0</v>
      </c>
    </row>
    <row r="3354" spans="1:3" hidden="1" x14ac:dyDescent="0.2">
      <c r="B3354" s="17" t="s">
        <v>319</v>
      </c>
      <c r="C3354" s="18">
        <v>0</v>
      </c>
    </row>
    <row r="3355" spans="1:3" hidden="1" x14ac:dyDescent="0.2">
      <c r="B3355" s="17" t="s">
        <v>318</v>
      </c>
      <c r="C3355" s="18">
        <v>0</v>
      </c>
    </row>
    <row r="3356" spans="1:3" hidden="1" x14ac:dyDescent="0.2">
      <c r="A3356" s="18">
        <v>8450</v>
      </c>
      <c r="B3356" s="17">
        <v>0</v>
      </c>
      <c r="C3356" s="18">
        <v>0</v>
      </c>
    </row>
    <row r="3357" spans="1:3" hidden="1" x14ac:dyDescent="0.2">
      <c r="B3357" s="17" t="s">
        <v>269</v>
      </c>
      <c r="C3357" s="18">
        <v>0</v>
      </c>
    </row>
    <row r="3358" spans="1:3" hidden="1" x14ac:dyDescent="0.2">
      <c r="B3358" s="17" t="s">
        <v>299</v>
      </c>
      <c r="C3358" s="18">
        <v>0</v>
      </c>
    </row>
    <row r="3359" spans="1:3" hidden="1" x14ac:dyDescent="0.2">
      <c r="B3359" s="17" t="s">
        <v>245</v>
      </c>
      <c r="C3359" s="18">
        <v>0</v>
      </c>
    </row>
    <row r="3360" spans="1:3" hidden="1" x14ac:dyDescent="0.2">
      <c r="B3360" s="17" t="s">
        <v>263</v>
      </c>
      <c r="C3360" s="18">
        <v>0</v>
      </c>
    </row>
    <row r="3361" spans="1:3" hidden="1" x14ac:dyDescent="0.2">
      <c r="B3361" s="17" t="s">
        <v>274</v>
      </c>
      <c r="C3361" s="18">
        <v>0</v>
      </c>
    </row>
    <row r="3362" spans="1:3" hidden="1" x14ac:dyDescent="0.2">
      <c r="B3362" s="17" t="s">
        <v>260</v>
      </c>
      <c r="C3362" s="18">
        <v>0</v>
      </c>
    </row>
    <row r="3363" spans="1:3" hidden="1" x14ac:dyDescent="0.2">
      <c r="B3363" s="17" t="s">
        <v>72</v>
      </c>
      <c r="C3363" s="18">
        <v>0</v>
      </c>
    </row>
    <row r="3364" spans="1:3" hidden="1" x14ac:dyDescent="0.2">
      <c r="B3364" s="17" t="s">
        <v>272</v>
      </c>
      <c r="C3364" s="18">
        <v>0</v>
      </c>
    </row>
    <row r="3365" spans="1:3" hidden="1" x14ac:dyDescent="0.2">
      <c r="B3365" s="17" t="s">
        <v>255</v>
      </c>
      <c r="C3365" s="18">
        <v>0</v>
      </c>
    </row>
    <row r="3366" spans="1:3" hidden="1" x14ac:dyDescent="0.2">
      <c r="B3366" s="17" t="s">
        <v>319</v>
      </c>
      <c r="C3366" s="18">
        <v>0</v>
      </c>
    </row>
    <row r="3367" spans="1:3" hidden="1" x14ac:dyDescent="0.2">
      <c r="B3367" s="17" t="s">
        <v>318</v>
      </c>
      <c r="C3367" s="18">
        <v>0</v>
      </c>
    </row>
    <row r="3368" spans="1:3" hidden="1" x14ac:dyDescent="0.2">
      <c r="B3368" s="17" t="s">
        <v>79</v>
      </c>
      <c r="C3368" s="18">
        <v>0</v>
      </c>
    </row>
    <row r="3369" spans="1:3" hidden="1" x14ac:dyDescent="0.2">
      <c r="A3369" s="18">
        <v>8655</v>
      </c>
      <c r="B3369" s="17">
        <v>0</v>
      </c>
      <c r="C3369" s="18">
        <v>0</v>
      </c>
    </row>
    <row r="3370" spans="1:3" hidden="1" x14ac:dyDescent="0.2">
      <c r="A3370" s="18">
        <v>8667</v>
      </c>
      <c r="B3370" s="17">
        <v>0</v>
      </c>
      <c r="C3370" s="18">
        <v>0</v>
      </c>
    </row>
    <row r="3371" spans="1:3" hidden="1" x14ac:dyDescent="0.2">
      <c r="B3371" s="17" t="s">
        <v>257</v>
      </c>
      <c r="C3371" s="18">
        <v>0</v>
      </c>
    </row>
    <row r="3372" spans="1:3" hidden="1" x14ac:dyDescent="0.2">
      <c r="B3372" s="17" t="s">
        <v>245</v>
      </c>
      <c r="C3372" s="18">
        <v>0</v>
      </c>
    </row>
    <row r="3373" spans="1:3" hidden="1" x14ac:dyDescent="0.2">
      <c r="B3373" s="17" t="s">
        <v>249</v>
      </c>
      <c r="C3373" s="18">
        <v>0</v>
      </c>
    </row>
    <row r="3374" spans="1:3" hidden="1" x14ac:dyDescent="0.2">
      <c r="B3374" s="17" t="s">
        <v>274</v>
      </c>
      <c r="C3374" s="18">
        <v>0</v>
      </c>
    </row>
    <row r="3375" spans="1:3" hidden="1" x14ac:dyDescent="0.2">
      <c r="B3375" s="17" t="s">
        <v>260</v>
      </c>
      <c r="C3375" s="18">
        <v>0</v>
      </c>
    </row>
    <row r="3376" spans="1:3" hidden="1" x14ac:dyDescent="0.2">
      <c r="B3376" s="17" t="s">
        <v>285</v>
      </c>
      <c r="C3376" s="18">
        <v>0</v>
      </c>
    </row>
    <row r="3377" spans="1:3" hidden="1" x14ac:dyDescent="0.2">
      <c r="B3377" s="17" t="s">
        <v>272</v>
      </c>
      <c r="C3377" s="18">
        <v>0</v>
      </c>
    </row>
    <row r="3378" spans="1:3" hidden="1" x14ac:dyDescent="0.2">
      <c r="B3378" s="17" t="s">
        <v>264</v>
      </c>
      <c r="C3378" s="18">
        <v>0</v>
      </c>
    </row>
    <row r="3379" spans="1:3" hidden="1" x14ac:dyDescent="0.2">
      <c r="B3379" s="17" t="s">
        <v>319</v>
      </c>
      <c r="C3379" s="18">
        <v>0</v>
      </c>
    </row>
    <row r="3380" spans="1:3" hidden="1" x14ac:dyDescent="0.2">
      <c r="B3380" s="17" t="s">
        <v>318</v>
      </c>
      <c r="C3380" s="18">
        <v>0</v>
      </c>
    </row>
    <row r="3381" spans="1:3" hidden="1" x14ac:dyDescent="0.2">
      <c r="A3381" s="18">
        <v>8645</v>
      </c>
      <c r="B3381" s="17" t="s">
        <v>274</v>
      </c>
      <c r="C3381" s="18">
        <v>0</v>
      </c>
    </row>
    <row r="3382" spans="1:3" hidden="1" x14ac:dyDescent="0.2">
      <c r="A3382" s="18">
        <v>8692</v>
      </c>
      <c r="B3382" s="17">
        <v>0</v>
      </c>
      <c r="C3382" s="18">
        <v>0</v>
      </c>
    </row>
    <row r="3383" spans="1:3" hidden="1" x14ac:dyDescent="0.2">
      <c r="B3383" s="17" t="s">
        <v>251</v>
      </c>
      <c r="C3383" s="18">
        <v>0</v>
      </c>
    </row>
    <row r="3384" spans="1:3" hidden="1" x14ac:dyDescent="0.2">
      <c r="B3384" s="17" t="s">
        <v>258</v>
      </c>
      <c r="C3384" s="18">
        <v>0</v>
      </c>
    </row>
    <row r="3385" spans="1:3" hidden="1" x14ac:dyDescent="0.2">
      <c r="B3385" s="17" t="s">
        <v>256</v>
      </c>
      <c r="C3385" s="18">
        <v>0</v>
      </c>
    </row>
    <row r="3386" spans="1:3" hidden="1" x14ac:dyDescent="0.2">
      <c r="B3386" s="17" t="s">
        <v>300</v>
      </c>
      <c r="C3386" s="18">
        <v>0</v>
      </c>
    </row>
    <row r="3387" spans="1:3" hidden="1" x14ac:dyDescent="0.2">
      <c r="B3387" s="17" t="s">
        <v>245</v>
      </c>
      <c r="C3387" s="18">
        <v>0</v>
      </c>
    </row>
    <row r="3388" spans="1:3" hidden="1" x14ac:dyDescent="0.2">
      <c r="B3388" s="17" t="s">
        <v>249</v>
      </c>
      <c r="C3388" s="18">
        <v>0</v>
      </c>
    </row>
    <row r="3389" spans="1:3" hidden="1" x14ac:dyDescent="0.2">
      <c r="B3389" s="17" t="s">
        <v>264</v>
      </c>
      <c r="C3389" s="18">
        <v>0</v>
      </c>
    </row>
    <row r="3390" spans="1:3" hidden="1" x14ac:dyDescent="0.2">
      <c r="B3390" s="17" t="s">
        <v>319</v>
      </c>
      <c r="C3390" s="18">
        <v>0</v>
      </c>
    </row>
    <row r="3391" spans="1:3" hidden="1" x14ac:dyDescent="0.2">
      <c r="B3391" s="17" t="s">
        <v>318</v>
      </c>
      <c r="C3391" s="18">
        <v>0</v>
      </c>
    </row>
    <row r="3392" spans="1:3" hidden="1" x14ac:dyDescent="0.2">
      <c r="B3392" s="17" t="s">
        <v>80</v>
      </c>
      <c r="C3392" s="18">
        <v>0</v>
      </c>
    </row>
    <row r="3393" spans="1:3" hidden="1" x14ac:dyDescent="0.2">
      <c r="B3393" s="17" t="s">
        <v>79</v>
      </c>
      <c r="C3393" s="18">
        <v>0</v>
      </c>
    </row>
    <row r="3394" spans="1:3" hidden="1" x14ac:dyDescent="0.2">
      <c r="A3394" s="18">
        <v>8720</v>
      </c>
      <c r="B3394" s="17">
        <v>0</v>
      </c>
      <c r="C3394" s="18">
        <v>0</v>
      </c>
    </row>
    <row r="3395" spans="1:3" hidden="1" x14ac:dyDescent="0.2">
      <c r="B3395" s="17" t="s">
        <v>251</v>
      </c>
      <c r="C3395" s="18">
        <v>0</v>
      </c>
    </row>
    <row r="3396" spans="1:3" hidden="1" x14ac:dyDescent="0.2">
      <c r="B3396" s="17" t="s">
        <v>256</v>
      </c>
      <c r="C3396" s="18">
        <v>0</v>
      </c>
    </row>
    <row r="3397" spans="1:3" hidden="1" x14ac:dyDescent="0.2">
      <c r="B3397" s="17" t="s">
        <v>311</v>
      </c>
      <c r="C3397" s="18">
        <v>0</v>
      </c>
    </row>
    <row r="3398" spans="1:3" hidden="1" x14ac:dyDescent="0.2">
      <c r="B3398" s="17" t="s">
        <v>245</v>
      </c>
      <c r="C3398" s="18">
        <v>0</v>
      </c>
    </row>
    <row r="3399" spans="1:3" hidden="1" x14ac:dyDescent="0.2">
      <c r="B3399" s="17" t="s">
        <v>249</v>
      </c>
      <c r="C3399" s="18">
        <v>0</v>
      </c>
    </row>
    <row r="3400" spans="1:3" hidden="1" x14ac:dyDescent="0.2">
      <c r="B3400" s="17" t="s">
        <v>260</v>
      </c>
      <c r="C3400" s="18">
        <v>0</v>
      </c>
    </row>
    <row r="3401" spans="1:3" hidden="1" x14ac:dyDescent="0.2">
      <c r="B3401" s="17" t="s">
        <v>264</v>
      </c>
      <c r="C3401" s="18">
        <v>0</v>
      </c>
    </row>
    <row r="3402" spans="1:3" hidden="1" x14ac:dyDescent="0.2">
      <c r="B3402" s="17" t="s">
        <v>319</v>
      </c>
      <c r="C3402" s="18">
        <v>0</v>
      </c>
    </row>
    <row r="3403" spans="1:3" hidden="1" x14ac:dyDescent="0.2">
      <c r="B3403" s="17" t="s">
        <v>318</v>
      </c>
      <c r="C3403" s="18">
        <v>0</v>
      </c>
    </row>
    <row r="3404" spans="1:3" hidden="1" x14ac:dyDescent="0.2">
      <c r="B3404" s="17" t="s">
        <v>80</v>
      </c>
      <c r="C3404" s="18">
        <v>0</v>
      </c>
    </row>
    <row r="3405" spans="1:3" hidden="1" x14ac:dyDescent="0.2">
      <c r="B3405" s="17" t="s">
        <v>79</v>
      </c>
      <c r="C3405" s="18">
        <v>0</v>
      </c>
    </row>
    <row r="3406" spans="1:3" hidden="1" x14ac:dyDescent="0.2">
      <c r="A3406" s="18">
        <v>8678</v>
      </c>
      <c r="B3406" s="17">
        <v>0</v>
      </c>
      <c r="C3406" s="18">
        <v>0</v>
      </c>
    </row>
    <row r="3407" spans="1:3" hidden="1" x14ac:dyDescent="0.2">
      <c r="A3407" s="18">
        <v>8722</v>
      </c>
      <c r="B3407" s="17">
        <v>0</v>
      </c>
      <c r="C3407" s="18">
        <v>0</v>
      </c>
    </row>
    <row r="3408" spans="1:3" hidden="1" x14ac:dyDescent="0.2">
      <c r="B3408" s="17" t="s">
        <v>80</v>
      </c>
      <c r="C3408" s="18">
        <v>0</v>
      </c>
    </row>
    <row r="3409" spans="1:3" hidden="1" x14ac:dyDescent="0.2">
      <c r="A3409" s="18">
        <v>8483</v>
      </c>
      <c r="B3409" s="17" t="s">
        <v>245</v>
      </c>
      <c r="C3409" s="18">
        <v>0</v>
      </c>
    </row>
    <row r="3410" spans="1:3" hidden="1" x14ac:dyDescent="0.2">
      <c r="B3410" s="17" t="s">
        <v>72</v>
      </c>
      <c r="C3410" s="18">
        <v>0</v>
      </c>
    </row>
    <row r="3411" spans="1:3" hidden="1" x14ac:dyDescent="0.2">
      <c r="A3411" s="18">
        <v>8727</v>
      </c>
      <c r="B3411" s="17" t="s">
        <v>257</v>
      </c>
      <c r="C3411" s="18">
        <v>0</v>
      </c>
    </row>
    <row r="3412" spans="1:3" hidden="1" x14ac:dyDescent="0.2">
      <c r="B3412" s="17" t="s">
        <v>267</v>
      </c>
      <c r="C3412" s="18">
        <v>0</v>
      </c>
    </row>
    <row r="3413" spans="1:3" hidden="1" x14ac:dyDescent="0.2">
      <c r="B3413" s="17" t="s">
        <v>304</v>
      </c>
      <c r="C3413" s="18">
        <v>0</v>
      </c>
    </row>
    <row r="3414" spans="1:3" hidden="1" x14ac:dyDescent="0.2">
      <c r="B3414" s="17" t="s">
        <v>274</v>
      </c>
      <c r="C3414" s="18">
        <v>0</v>
      </c>
    </row>
    <row r="3415" spans="1:3" hidden="1" x14ac:dyDescent="0.2">
      <c r="B3415" s="17" t="s">
        <v>285</v>
      </c>
      <c r="C3415" s="18">
        <v>0</v>
      </c>
    </row>
    <row r="3416" spans="1:3" hidden="1" x14ac:dyDescent="0.2">
      <c r="B3416" s="17" t="s">
        <v>272</v>
      </c>
      <c r="C3416" s="18">
        <v>0</v>
      </c>
    </row>
    <row r="3417" spans="1:3" hidden="1" x14ac:dyDescent="0.2">
      <c r="B3417" s="17" t="s">
        <v>318</v>
      </c>
      <c r="C3417" s="18">
        <v>0</v>
      </c>
    </row>
    <row r="3418" spans="1:3" hidden="1" x14ac:dyDescent="0.2">
      <c r="A3418" s="18">
        <v>8694</v>
      </c>
      <c r="B3418" s="17">
        <v>0</v>
      </c>
      <c r="C3418" s="18">
        <v>0</v>
      </c>
    </row>
    <row r="3419" spans="1:3" hidden="1" x14ac:dyDescent="0.2">
      <c r="B3419" s="17" t="s">
        <v>260</v>
      </c>
      <c r="C3419" s="18">
        <v>0</v>
      </c>
    </row>
    <row r="3420" spans="1:3" hidden="1" x14ac:dyDescent="0.2">
      <c r="B3420" s="17" t="s">
        <v>318</v>
      </c>
      <c r="C3420" s="18">
        <v>0</v>
      </c>
    </row>
    <row r="3421" spans="1:3" hidden="1" x14ac:dyDescent="0.2">
      <c r="A3421" s="18">
        <v>8735</v>
      </c>
      <c r="B3421" s="17">
        <v>0</v>
      </c>
      <c r="C3421" s="18">
        <v>0</v>
      </c>
    </row>
    <row r="3422" spans="1:3" hidden="1" x14ac:dyDescent="0.2">
      <c r="B3422" s="17" t="s">
        <v>251</v>
      </c>
      <c r="C3422" s="18">
        <v>0</v>
      </c>
    </row>
    <row r="3423" spans="1:3" hidden="1" x14ac:dyDescent="0.2">
      <c r="B3423" s="17" t="s">
        <v>256</v>
      </c>
      <c r="C3423" s="18">
        <v>0</v>
      </c>
    </row>
    <row r="3424" spans="1:3" hidden="1" x14ac:dyDescent="0.2">
      <c r="B3424" s="17" t="s">
        <v>270</v>
      </c>
      <c r="C3424" s="18">
        <v>0</v>
      </c>
    </row>
    <row r="3425" spans="1:3" hidden="1" x14ac:dyDescent="0.2">
      <c r="B3425" s="17" t="s">
        <v>245</v>
      </c>
      <c r="C3425" s="18">
        <v>0</v>
      </c>
    </row>
    <row r="3426" spans="1:3" hidden="1" x14ac:dyDescent="0.2">
      <c r="B3426" s="17" t="s">
        <v>249</v>
      </c>
      <c r="C3426" s="18">
        <v>0</v>
      </c>
    </row>
    <row r="3427" spans="1:3" hidden="1" x14ac:dyDescent="0.2">
      <c r="B3427" s="17" t="s">
        <v>264</v>
      </c>
      <c r="C3427" s="18">
        <v>0</v>
      </c>
    </row>
    <row r="3428" spans="1:3" hidden="1" x14ac:dyDescent="0.2">
      <c r="B3428" s="17" t="s">
        <v>319</v>
      </c>
      <c r="C3428" s="18">
        <v>0</v>
      </c>
    </row>
    <row r="3429" spans="1:3" hidden="1" x14ac:dyDescent="0.2">
      <c r="B3429" s="17" t="s">
        <v>318</v>
      </c>
      <c r="C3429" s="18">
        <v>0</v>
      </c>
    </row>
    <row r="3430" spans="1:3" hidden="1" x14ac:dyDescent="0.2">
      <c r="B3430" s="17" t="s">
        <v>80</v>
      </c>
      <c r="C3430" s="18">
        <v>0</v>
      </c>
    </row>
    <row r="3431" spans="1:3" hidden="1" x14ac:dyDescent="0.2">
      <c r="B3431" s="17" t="s">
        <v>79</v>
      </c>
      <c r="C3431" s="18">
        <v>0</v>
      </c>
    </row>
    <row r="3432" spans="1:3" hidden="1" x14ac:dyDescent="0.2">
      <c r="A3432" s="18">
        <v>8740</v>
      </c>
      <c r="B3432" s="17">
        <v>0</v>
      </c>
      <c r="C3432" s="18">
        <v>0</v>
      </c>
    </row>
    <row r="3433" spans="1:3" hidden="1" x14ac:dyDescent="0.2">
      <c r="B3433" s="17" t="s">
        <v>251</v>
      </c>
      <c r="C3433" s="18">
        <v>0</v>
      </c>
    </row>
    <row r="3434" spans="1:3" hidden="1" x14ac:dyDescent="0.2">
      <c r="B3434" s="17" t="s">
        <v>256</v>
      </c>
      <c r="C3434" s="18">
        <v>0</v>
      </c>
    </row>
    <row r="3435" spans="1:3" hidden="1" x14ac:dyDescent="0.2">
      <c r="B3435" s="17" t="s">
        <v>270</v>
      </c>
      <c r="C3435" s="18">
        <v>0</v>
      </c>
    </row>
    <row r="3436" spans="1:3" hidden="1" x14ac:dyDescent="0.2">
      <c r="B3436" s="17" t="s">
        <v>245</v>
      </c>
      <c r="C3436" s="18">
        <v>0</v>
      </c>
    </row>
    <row r="3437" spans="1:3" hidden="1" x14ac:dyDescent="0.2">
      <c r="B3437" s="17" t="s">
        <v>249</v>
      </c>
      <c r="C3437" s="18">
        <v>0</v>
      </c>
    </row>
    <row r="3438" spans="1:3" hidden="1" x14ac:dyDescent="0.2">
      <c r="B3438" s="17" t="s">
        <v>264</v>
      </c>
      <c r="C3438" s="18">
        <v>0</v>
      </c>
    </row>
    <row r="3439" spans="1:3" hidden="1" x14ac:dyDescent="0.2">
      <c r="B3439" s="17" t="s">
        <v>319</v>
      </c>
      <c r="C3439" s="18">
        <v>0</v>
      </c>
    </row>
    <row r="3440" spans="1:3" hidden="1" x14ac:dyDescent="0.2">
      <c r="B3440" s="17" t="s">
        <v>318</v>
      </c>
      <c r="C3440" s="18">
        <v>0</v>
      </c>
    </row>
    <row r="3441" spans="1:3" hidden="1" x14ac:dyDescent="0.2">
      <c r="B3441" s="17" t="s">
        <v>80</v>
      </c>
      <c r="C3441" s="18">
        <v>0</v>
      </c>
    </row>
    <row r="3442" spans="1:3" hidden="1" x14ac:dyDescent="0.2">
      <c r="B3442" s="17" t="s">
        <v>79</v>
      </c>
      <c r="C3442" s="18">
        <v>0</v>
      </c>
    </row>
    <row r="3443" spans="1:3" hidden="1" x14ac:dyDescent="0.2">
      <c r="A3443" s="18">
        <v>8303</v>
      </c>
      <c r="B3443" s="17">
        <v>0</v>
      </c>
      <c r="C3443" s="18">
        <v>0</v>
      </c>
    </row>
    <row r="3444" spans="1:3" hidden="1" x14ac:dyDescent="0.2">
      <c r="B3444" s="17" t="s">
        <v>305</v>
      </c>
      <c r="C3444" s="18">
        <v>0</v>
      </c>
    </row>
    <row r="3445" spans="1:3" hidden="1" x14ac:dyDescent="0.2">
      <c r="B3445" s="17" t="s">
        <v>245</v>
      </c>
      <c r="C3445" s="18">
        <v>0</v>
      </c>
    </row>
    <row r="3446" spans="1:3" hidden="1" x14ac:dyDescent="0.2">
      <c r="B3446" s="17" t="s">
        <v>248</v>
      </c>
      <c r="C3446" s="18">
        <v>0</v>
      </c>
    </row>
    <row r="3447" spans="1:3" hidden="1" x14ac:dyDescent="0.2">
      <c r="B3447" s="17" t="s">
        <v>249</v>
      </c>
      <c r="C3447" s="18">
        <v>0</v>
      </c>
    </row>
    <row r="3448" spans="1:3" hidden="1" x14ac:dyDescent="0.2">
      <c r="B3448" s="17" t="s">
        <v>264</v>
      </c>
      <c r="C3448" s="18">
        <v>0</v>
      </c>
    </row>
    <row r="3449" spans="1:3" hidden="1" x14ac:dyDescent="0.2">
      <c r="B3449" s="17" t="s">
        <v>319</v>
      </c>
      <c r="C3449" s="18">
        <v>0</v>
      </c>
    </row>
    <row r="3450" spans="1:3" hidden="1" x14ac:dyDescent="0.2">
      <c r="B3450" s="17" t="s">
        <v>318</v>
      </c>
      <c r="C3450" s="18">
        <v>0</v>
      </c>
    </row>
    <row r="3451" spans="1:3" hidden="1" x14ac:dyDescent="0.2">
      <c r="B3451" s="17" t="s">
        <v>80</v>
      </c>
      <c r="C3451" s="18">
        <v>0</v>
      </c>
    </row>
    <row r="3452" spans="1:3" hidden="1" x14ac:dyDescent="0.2">
      <c r="B3452" s="17" t="s">
        <v>79</v>
      </c>
      <c r="C3452" s="18">
        <v>0</v>
      </c>
    </row>
    <row r="3453" spans="1:3" hidden="1" x14ac:dyDescent="0.2">
      <c r="A3453" s="18">
        <v>8739</v>
      </c>
      <c r="B3453" s="17" t="s">
        <v>433</v>
      </c>
      <c r="C3453" s="18">
        <v>0</v>
      </c>
    </row>
    <row r="3454" spans="1:3" hidden="1" x14ac:dyDescent="0.2">
      <c r="A3454" s="18">
        <v>8806</v>
      </c>
      <c r="B3454" s="17">
        <v>0</v>
      </c>
      <c r="C3454" s="18">
        <v>0</v>
      </c>
    </row>
    <row r="3455" spans="1:3" hidden="1" x14ac:dyDescent="0.2">
      <c r="B3455" s="17" t="s">
        <v>258</v>
      </c>
      <c r="C3455" s="18">
        <v>0</v>
      </c>
    </row>
    <row r="3456" spans="1:3" hidden="1" x14ac:dyDescent="0.2">
      <c r="A3456" s="18">
        <v>8804</v>
      </c>
      <c r="B3456" s="17" t="s">
        <v>72</v>
      </c>
      <c r="C3456" s="18">
        <v>0</v>
      </c>
    </row>
    <row r="3457" spans="1:3" x14ac:dyDescent="0.2">
      <c r="A3457" s="18">
        <v>8802</v>
      </c>
      <c r="B3457" s="17">
        <v>0</v>
      </c>
      <c r="C3457" s="18">
        <v>3</v>
      </c>
    </row>
    <row r="3458" spans="1:3" x14ac:dyDescent="0.2">
      <c r="B3458" s="17" t="s">
        <v>258</v>
      </c>
      <c r="C3458" s="18">
        <v>7</v>
      </c>
    </row>
    <row r="3459" spans="1:3" x14ac:dyDescent="0.2">
      <c r="B3459" s="17" t="s">
        <v>256</v>
      </c>
      <c r="C3459" s="18">
        <v>1</v>
      </c>
    </row>
    <row r="3460" spans="1:3" x14ac:dyDescent="0.2">
      <c r="B3460" s="17" t="s">
        <v>311</v>
      </c>
      <c r="C3460" s="18">
        <v>10</v>
      </c>
    </row>
    <row r="3461" spans="1:3" x14ac:dyDescent="0.2">
      <c r="B3461" s="17" t="s">
        <v>280</v>
      </c>
      <c r="C3461" s="18">
        <v>1</v>
      </c>
    </row>
    <row r="3462" spans="1:3" x14ac:dyDescent="0.2">
      <c r="B3462" s="17" t="s">
        <v>245</v>
      </c>
      <c r="C3462" s="18">
        <v>1</v>
      </c>
    </row>
    <row r="3463" spans="1:3" x14ac:dyDescent="0.2">
      <c r="B3463" s="17" t="s">
        <v>248</v>
      </c>
      <c r="C3463" s="18">
        <v>1</v>
      </c>
    </row>
    <row r="3464" spans="1:3" x14ac:dyDescent="0.2">
      <c r="B3464" s="17" t="s">
        <v>249</v>
      </c>
      <c r="C3464" s="18">
        <v>1</v>
      </c>
    </row>
    <row r="3465" spans="1:3" x14ac:dyDescent="0.2">
      <c r="B3465" s="17" t="s">
        <v>255</v>
      </c>
      <c r="C3465" s="18">
        <v>3</v>
      </c>
    </row>
    <row r="3466" spans="1:3" x14ac:dyDescent="0.2">
      <c r="B3466" s="17" t="s">
        <v>264</v>
      </c>
      <c r="C3466" s="18">
        <v>1</v>
      </c>
    </row>
    <row r="3467" spans="1:3" x14ac:dyDescent="0.2">
      <c r="B3467" s="17" t="s">
        <v>319</v>
      </c>
      <c r="C3467" s="18">
        <v>1</v>
      </c>
    </row>
    <row r="3468" spans="1:3" x14ac:dyDescent="0.2">
      <c r="B3468" s="17" t="s">
        <v>318</v>
      </c>
      <c r="C3468" s="18">
        <v>11</v>
      </c>
    </row>
    <row r="3469" spans="1:3" x14ac:dyDescent="0.2">
      <c r="B3469" s="17" t="s">
        <v>80</v>
      </c>
      <c r="C3469" s="18">
        <v>2</v>
      </c>
    </row>
    <row r="3470" spans="1:3" x14ac:dyDescent="0.2">
      <c r="B3470" s="17" t="s">
        <v>344</v>
      </c>
      <c r="C3470" s="18">
        <v>1</v>
      </c>
    </row>
    <row r="3471" spans="1:3" x14ac:dyDescent="0.2">
      <c r="B3471" s="17" t="s">
        <v>419</v>
      </c>
      <c r="C3471" s="18">
        <v>1</v>
      </c>
    </row>
    <row r="3472" spans="1:3" x14ac:dyDescent="0.2">
      <c r="B3472" s="17" t="s">
        <v>79</v>
      </c>
      <c r="C3472" s="18">
        <v>36</v>
      </c>
    </row>
    <row r="3473" spans="1:3" hidden="1" x14ac:dyDescent="0.2">
      <c r="A3473" s="18">
        <v>8795</v>
      </c>
      <c r="B3473" s="17">
        <v>0</v>
      </c>
      <c r="C3473" s="18">
        <v>0</v>
      </c>
    </row>
    <row r="3474" spans="1:3" hidden="1" x14ac:dyDescent="0.2">
      <c r="B3474" s="17" t="s">
        <v>80</v>
      </c>
      <c r="C3474" s="18">
        <v>0</v>
      </c>
    </row>
    <row r="3475" spans="1:3" hidden="1" x14ac:dyDescent="0.2">
      <c r="A3475" s="18">
        <v>8788</v>
      </c>
      <c r="B3475" s="17">
        <v>0</v>
      </c>
      <c r="C3475" s="18">
        <v>0</v>
      </c>
    </row>
    <row r="3476" spans="1:3" hidden="1" x14ac:dyDescent="0.2">
      <c r="B3476" s="17" t="s">
        <v>251</v>
      </c>
      <c r="C3476" s="18">
        <v>0</v>
      </c>
    </row>
    <row r="3477" spans="1:3" hidden="1" x14ac:dyDescent="0.2">
      <c r="B3477" s="17" t="s">
        <v>256</v>
      </c>
      <c r="C3477" s="18">
        <v>0</v>
      </c>
    </row>
    <row r="3478" spans="1:3" hidden="1" x14ac:dyDescent="0.2">
      <c r="B3478" s="17" t="s">
        <v>245</v>
      </c>
      <c r="C3478" s="18">
        <v>0</v>
      </c>
    </row>
    <row r="3479" spans="1:3" hidden="1" x14ac:dyDescent="0.2">
      <c r="B3479" s="17" t="s">
        <v>249</v>
      </c>
      <c r="C3479" s="18">
        <v>0</v>
      </c>
    </row>
    <row r="3480" spans="1:3" hidden="1" x14ac:dyDescent="0.2">
      <c r="B3480" s="17" t="s">
        <v>260</v>
      </c>
      <c r="C3480" s="18">
        <v>0</v>
      </c>
    </row>
    <row r="3481" spans="1:3" hidden="1" x14ac:dyDescent="0.2">
      <c r="B3481" s="17" t="s">
        <v>264</v>
      </c>
      <c r="C3481" s="18">
        <v>0</v>
      </c>
    </row>
    <row r="3482" spans="1:3" hidden="1" x14ac:dyDescent="0.2">
      <c r="B3482" s="17" t="s">
        <v>319</v>
      </c>
      <c r="C3482" s="18">
        <v>0</v>
      </c>
    </row>
    <row r="3483" spans="1:3" hidden="1" x14ac:dyDescent="0.2">
      <c r="B3483" s="17" t="s">
        <v>318</v>
      </c>
      <c r="C3483" s="18">
        <v>0</v>
      </c>
    </row>
    <row r="3484" spans="1:3" hidden="1" x14ac:dyDescent="0.2">
      <c r="B3484" s="17" t="s">
        <v>80</v>
      </c>
      <c r="C3484" s="18">
        <v>0</v>
      </c>
    </row>
    <row r="3485" spans="1:3" hidden="1" x14ac:dyDescent="0.2">
      <c r="B3485" s="17" t="s">
        <v>79</v>
      </c>
      <c r="C3485" s="18">
        <v>0</v>
      </c>
    </row>
    <row r="3486" spans="1:3" hidden="1" x14ac:dyDescent="0.2">
      <c r="A3486" s="18">
        <v>8789</v>
      </c>
      <c r="B3486" s="17" t="s">
        <v>251</v>
      </c>
      <c r="C3486" s="18">
        <v>0</v>
      </c>
    </row>
    <row r="3487" spans="1:3" hidden="1" x14ac:dyDescent="0.2">
      <c r="B3487" s="17" t="s">
        <v>256</v>
      </c>
      <c r="C3487" s="18">
        <v>0</v>
      </c>
    </row>
    <row r="3488" spans="1:3" hidden="1" x14ac:dyDescent="0.2">
      <c r="B3488" s="17" t="s">
        <v>245</v>
      </c>
      <c r="C3488" s="18">
        <v>0</v>
      </c>
    </row>
    <row r="3489" spans="1:3" hidden="1" x14ac:dyDescent="0.2">
      <c r="B3489" s="17" t="s">
        <v>249</v>
      </c>
      <c r="C3489" s="18">
        <v>0</v>
      </c>
    </row>
    <row r="3490" spans="1:3" hidden="1" x14ac:dyDescent="0.2">
      <c r="B3490" s="17" t="s">
        <v>273</v>
      </c>
      <c r="C3490" s="18">
        <v>0</v>
      </c>
    </row>
    <row r="3491" spans="1:3" hidden="1" x14ac:dyDescent="0.2">
      <c r="B3491" s="17" t="s">
        <v>263</v>
      </c>
      <c r="C3491" s="18">
        <v>0</v>
      </c>
    </row>
    <row r="3492" spans="1:3" hidden="1" x14ac:dyDescent="0.2">
      <c r="B3492" s="17" t="s">
        <v>274</v>
      </c>
      <c r="C3492" s="18">
        <v>0</v>
      </c>
    </row>
    <row r="3493" spans="1:3" hidden="1" x14ac:dyDescent="0.2">
      <c r="B3493" s="17" t="s">
        <v>264</v>
      </c>
      <c r="C3493" s="18">
        <v>0</v>
      </c>
    </row>
    <row r="3494" spans="1:3" hidden="1" x14ac:dyDescent="0.2">
      <c r="B3494" s="17" t="s">
        <v>319</v>
      </c>
      <c r="C3494" s="18">
        <v>0</v>
      </c>
    </row>
    <row r="3495" spans="1:3" hidden="1" x14ac:dyDescent="0.2">
      <c r="B3495" s="17" t="s">
        <v>318</v>
      </c>
      <c r="C3495" s="18">
        <v>0</v>
      </c>
    </row>
    <row r="3496" spans="1:3" hidden="1" x14ac:dyDescent="0.2">
      <c r="B3496" s="17" t="s">
        <v>80</v>
      </c>
      <c r="C3496" s="18">
        <v>0</v>
      </c>
    </row>
    <row r="3497" spans="1:3" hidden="1" x14ac:dyDescent="0.2">
      <c r="B3497" s="17" t="s">
        <v>79</v>
      </c>
      <c r="C3497" s="18">
        <v>0</v>
      </c>
    </row>
    <row r="3498" spans="1:3" x14ac:dyDescent="0.2">
      <c r="A3498" s="18">
        <v>8765</v>
      </c>
      <c r="B3498" s="17">
        <v>0</v>
      </c>
      <c r="C3498" s="18">
        <v>199</v>
      </c>
    </row>
    <row r="3499" spans="1:3" x14ac:dyDescent="0.2">
      <c r="B3499" s="17" t="s">
        <v>247</v>
      </c>
      <c r="C3499" s="18">
        <v>10</v>
      </c>
    </row>
    <row r="3500" spans="1:3" x14ac:dyDescent="0.2">
      <c r="B3500" s="17" t="s">
        <v>298</v>
      </c>
      <c r="C3500" s="18">
        <v>1</v>
      </c>
    </row>
    <row r="3501" spans="1:3" x14ac:dyDescent="0.2">
      <c r="B3501" s="17" t="s">
        <v>311</v>
      </c>
      <c r="C3501" s="18">
        <v>32</v>
      </c>
    </row>
    <row r="3502" spans="1:3" x14ac:dyDescent="0.2">
      <c r="B3502" s="17" t="s">
        <v>270</v>
      </c>
      <c r="C3502" s="18">
        <v>3</v>
      </c>
    </row>
    <row r="3503" spans="1:3" x14ac:dyDescent="0.2">
      <c r="B3503" s="17" t="s">
        <v>276</v>
      </c>
      <c r="C3503" s="18">
        <v>7</v>
      </c>
    </row>
    <row r="3504" spans="1:3" x14ac:dyDescent="0.2">
      <c r="B3504" s="17" t="s">
        <v>245</v>
      </c>
      <c r="C3504" s="18">
        <v>53</v>
      </c>
    </row>
    <row r="3505" spans="1:3" x14ac:dyDescent="0.2">
      <c r="B3505" s="17" t="s">
        <v>248</v>
      </c>
      <c r="C3505" s="18">
        <v>14</v>
      </c>
    </row>
    <row r="3506" spans="1:3" x14ac:dyDescent="0.2">
      <c r="B3506" s="17" t="s">
        <v>249</v>
      </c>
      <c r="C3506" s="18">
        <v>17</v>
      </c>
    </row>
    <row r="3507" spans="1:3" x14ac:dyDescent="0.2">
      <c r="B3507" s="17" t="s">
        <v>274</v>
      </c>
      <c r="C3507" s="18">
        <v>11</v>
      </c>
    </row>
    <row r="3508" spans="1:3" x14ac:dyDescent="0.2">
      <c r="B3508" s="17" t="s">
        <v>260</v>
      </c>
      <c r="C3508" s="18">
        <v>24</v>
      </c>
    </row>
    <row r="3509" spans="1:3" x14ac:dyDescent="0.2">
      <c r="B3509" s="17" t="s">
        <v>72</v>
      </c>
      <c r="C3509" s="18">
        <v>30</v>
      </c>
    </row>
    <row r="3510" spans="1:3" x14ac:dyDescent="0.2">
      <c r="B3510" s="17" t="s">
        <v>272</v>
      </c>
      <c r="C3510" s="18">
        <v>23</v>
      </c>
    </row>
    <row r="3511" spans="1:3" x14ac:dyDescent="0.2">
      <c r="B3511" s="17" t="s">
        <v>264</v>
      </c>
      <c r="C3511" s="18">
        <v>51</v>
      </c>
    </row>
    <row r="3512" spans="1:3" x14ac:dyDescent="0.2">
      <c r="B3512" s="17" t="s">
        <v>307</v>
      </c>
      <c r="C3512" s="18">
        <v>2</v>
      </c>
    </row>
    <row r="3513" spans="1:3" x14ac:dyDescent="0.2">
      <c r="B3513" s="17" t="s">
        <v>319</v>
      </c>
      <c r="C3513" s="18">
        <v>53</v>
      </c>
    </row>
    <row r="3514" spans="1:3" x14ac:dyDescent="0.2">
      <c r="B3514" s="17" t="s">
        <v>320</v>
      </c>
      <c r="C3514" s="18">
        <v>4</v>
      </c>
    </row>
    <row r="3515" spans="1:3" x14ac:dyDescent="0.2">
      <c r="B3515" s="17" t="s">
        <v>318</v>
      </c>
      <c r="C3515" s="18">
        <v>9</v>
      </c>
    </row>
    <row r="3516" spans="1:3" x14ac:dyDescent="0.2">
      <c r="B3516" s="17" t="s">
        <v>80</v>
      </c>
      <c r="C3516" s="18">
        <v>17</v>
      </c>
    </row>
    <row r="3517" spans="1:3" x14ac:dyDescent="0.2">
      <c r="B3517" s="17" t="s">
        <v>448</v>
      </c>
      <c r="C3517" s="18">
        <v>4</v>
      </c>
    </row>
    <row r="3518" spans="1:3" x14ac:dyDescent="0.2">
      <c r="B3518" s="17" t="s">
        <v>79</v>
      </c>
      <c r="C3518" s="18">
        <v>101</v>
      </c>
    </row>
    <row r="3519" spans="1:3" hidden="1" x14ac:dyDescent="0.2">
      <c r="A3519" s="18">
        <v>8785</v>
      </c>
      <c r="B3519" s="17" t="s">
        <v>79</v>
      </c>
      <c r="C3519" s="18">
        <v>0</v>
      </c>
    </row>
    <row r="3520" spans="1:3" x14ac:dyDescent="0.2">
      <c r="A3520" s="18">
        <v>7391</v>
      </c>
      <c r="B3520" s="17">
        <v>0</v>
      </c>
      <c r="C3520" s="18">
        <v>3</v>
      </c>
    </row>
    <row r="3521" spans="1:3" x14ac:dyDescent="0.2">
      <c r="B3521" s="17" t="s">
        <v>300</v>
      </c>
      <c r="C3521" s="18">
        <v>5</v>
      </c>
    </row>
    <row r="3522" spans="1:3" x14ac:dyDescent="0.2">
      <c r="B3522" s="17" t="s">
        <v>266</v>
      </c>
      <c r="C3522" s="18">
        <v>5</v>
      </c>
    </row>
    <row r="3523" spans="1:3" x14ac:dyDescent="0.2">
      <c r="B3523" s="17" t="s">
        <v>318</v>
      </c>
      <c r="C3523" s="18">
        <v>11</v>
      </c>
    </row>
    <row r="3524" spans="1:3" x14ac:dyDescent="0.2">
      <c r="A3524" s="18">
        <v>8676</v>
      </c>
      <c r="B3524" s="17" t="s">
        <v>256</v>
      </c>
      <c r="C3524" s="18">
        <v>2</v>
      </c>
    </row>
    <row r="3525" spans="1:3" x14ac:dyDescent="0.2">
      <c r="B3525" s="17" t="s">
        <v>245</v>
      </c>
      <c r="C3525" s="18">
        <v>2</v>
      </c>
    </row>
    <row r="3526" spans="1:3" x14ac:dyDescent="0.2">
      <c r="B3526" s="17" t="s">
        <v>248</v>
      </c>
      <c r="C3526" s="18">
        <v>6</v>
      </c>
    </row>
    <row r="3527" spans="1:3" x14ac:dyDescent="0.2">
      <c r="B3527" s="17" t="s">
        <v>249</v>
      </c>
      <c r="C3527" s="18">
        <v>2</v>
      </c>
    </row>
    <row r="3528" spans="1:3" x14ac:dyDescent="0.2">
      <c r="B3528" s="17" t="s">
        <v>274</v>
      </c>
      <c r="C3528" s="18">
        <v>2</v>
      </c>
    </row>
    <row r="3529" spans="1:3" x14ac:dyDescent="0.2">
      <c r="B3529" s="17" t="s">
        <v>264</v>
      </c>
      <c r="C3529" s="18">
        <v>2</v>
      </c>
    </row>
    <row r="3530" spans="1:3" x14ac:dyDescent="0.2">
      <c r="B3530" s="17" t="s">
        <v>319</v>
      </c>
      <c r="C3530" s="18">
        <v>2</v>
      </c>
    </row>
    <row r="3531" spans="1:3" x14ac:dyDescent="0.2">
      <c r="B3531" s="17" t="s">
        <v>318</v>
      </c>
      <c r="C3531" s="18">
        <v>6</v>
      </c>
    </row>
    <row r="3532" spans="1:3" x14ac:dyDescent="0.2">
      <c r="B3532" s="17" t="s">
        <v>79</v>
      </c>
      <c r="C3532" s="18">
        <v>4</v>
      </c>
    </row>
    <row r="3533" spans="1:3" hidden="1" x14ac:dyDescent="0.2">
      <c r="A3533" s="18">
        <v>8817</v>
      </c>
      <c r="B3533" s="17">
        <v>0</v>
      </c>
      <c r="C3533" s="18">
        <v>0</v>
      </c>
    </row>
    <row r="3534" spans="1:3" hidden="1" x14ac:dyDescent="0.2">
      <c r="B3534" s="17" t="s">
        <v>251</v>
      </c>
      <c r="C3534" s="18">
        <v>0</v>
      </c>
    </row>
    <row r="3535" spans="1:3" hidden="1" x14ac:dyDescent="0.2">
      <c r="B3535" s="17" t="s">
        <v>258</v>
      </c>
      <c r="C3535" s="18">
        <v>0</v>
      </c>
    </row>
    <row r="3536" spans="1:3" hidden="1" x14ac:dyDescent="0.2">
      <c r="B3536" s="17" t="s">
        <v>245</v>
      </c>
      <c r="C3536" s="18">
        <v>0</v>
      </c>
    </row>
    <row r="3537" spans="1:3" hidden="1" x14ac:dyDescent="0.2">
      <c r="B3537" s="17" t="s">
        <v>249</v>
      </c>
      <c r="C3537" s="18">
        <v>0</v>
      </c>
    </row>
    <row r="3538" spans="1:3" hidden="1" x14ac:dyDescent="0.2">
      <c r="B3538" s="17" t="s">
        <v>255</v>
      </c>
      <c r="C3538" s="18">
        <v>0</v>
      </c>
    </row>
    <row r="3539" spans="1:3" hidden="1" x14ac:dyDescent="0.2">
      <c r="B3539" s="17" t="s">
        <v>264</v>
      </c>
      <c r="C3539" s="18">
        <v>0</v>
      </c>
    </row>
    <row r="3540" spans="1:3" hidden="1" x14ac:dyDescent="0.2">
      <c r="B3540" s="17" t="s">
        <v>319</v>
      </c>
      <c r="C3540" s="18">
        <v>0</v>
      </c>
    </row>
    <row r="3541" spans="1:3" hidden="1" x14ac:dyDescent="0.2">
      <c r="B3541" s="17" t="s">
        <v>318</v>
      </c>
      <c r="C3541" s="18">
        <v>0</v>
      </c>
    </row>
    <row r="3542" spans="1:3" hidden="1" x14ac:dyDescent="0.2">
      <c r="B3542" s="17" t="s">
        <v>80</v>
      </c>
      <c r="C3542" s="18">
        <v>0</v>
      </c>
    </row>
    <row r="3543" spans="1:3" hidden="1" x14ac:dyDescent="0.2">
      <c r="B3543" s="17" t="s">
        <v>79</v>
      </c>
      <c r="C3543" s="18">
        <v>0</v>
      </c>
    </row>
    <row r="3544" spans="1:3" hidden="1" x14ac:dyDescent="0.2">
      <c r="A3544" s="18">
        <v>8834</v>
      </c>
      <c r="B3544" s="17">
        <v>0</v>
      </c>
      <c r="C3544" s="18">
        <v>0</v>
      </c>
    </row>
    <row r="3545" spans="1:3" hidden="1" x14ac:dyDescent="0.2">
      <c r="B3545" s="17" t="s">
        <v>269</v>
      </c>
      <c r="C3545" s="18">
        <v>0</v>
      </c>
    </row>
    <row r="3546" spans="1:3" hidden="1" x14ac:dyDescent="0.2">
      <c r="B3546" s="17" t="s">
        <v>273</v>
      </c>
      <c r="C3546" s="18">
        <v>0</v>
      </c>
    </row>
    <row r="3547" spans="1:3" hidden="1" x14ac:dyDescent="0.2">
      <c r="B3547" s="17" t="s">
        <v>260</v>
      </c>
      <c r="C3547" s="18">
        <v>0</v>
      </c>
    </row>
    <row r="3548" spans="1:3" hidden="1" x14ac:dyDescent="0.2">
      <c r="B3548" s="17" t="s">
        <v>272</v>
      </c>
      <c r="C3548" s="18">
        <v>0</v>
      </c>
    </row>
    <row r="3549" spans="1:3" hidden="1" x14ac:dyDescent="0.2">
      <c r="B3549" s="17" t="s">
        <v>318</v>
      </c>
      <c r="C3549" s="18">
        <v>0</v>
      </c>
    </row>
    <row r="3550" spans="1:3" hidden="1" x14ac:dyDescent="0.2">
      <c r="A3550" s="18">
        <v>8828</v>
      </c>
      <c r="B3550" s="17" t="s">
        <v>72</v>
      </c>
      <c r="C3550" s="18">
        <v>0</v>
      </c>
    </row>
    <row r="3551" spans="1:3" hidden="1" x14ac:dyDescent="0.2">
      <c r="A3551" s="18">
        <v>8824</v>
      </c>
      <c r="B3551" s="17" t="s">
        <v>72</v>
      </c>
      <c r="C3551" s="18">
        <v>0</v>
      </c>
    </row>
    <row r="3552" spans="1:3" hidden="1" x14ac:dyDescent="0.2">
      <c r="A3552" s="18">
        <v>8750</v>
      </c>
      <c r="B3552" s="17">
        <v>0</v>
      </c>
      <c r="C3552" s="18">
        <v>0</v>
      </c>
    </row>
    <row r="3553" spans="1:3" hidden="1" x14ac:dyDescent="0.2">
      <c r="B3553" s="17" t="s">
        <v>318</v>
      </c>
      <c r="C3553" s="18">
        <v>0</v>
      </c>
    </row>
    <row r="3554" spans="1:3" x14ac:dyDescent="0.2">
      <c r="B3554" s="17" t="s">
        <v>73</v>
      </c>
      <c r="C3554" s="18">
        <v>20</v>
      </c>
    </row>
    <row r="3555" spans="1:3" hidden="1" x14ac:dyDescent="0.2">
      <c r="A3555" s="18">
        <v>8818</v>
      </c>
      <c r="B3555" s="17" t="s">
        <v>276</v>
      </c>
      <c r="C3555" s="18">
        <v>0</v>
      </c>
    </row>
    <row r="3556" spans="1:3" hidden="1" x14ac:dyDescent="0.2">
      <c r="A3556" s="18">
        <v>8859</v>
      </c>
      <c r="B3556" s="17">
        <v>0</v>
      </c>
      <c r="C3556" s="18">
        <v>0</v>
      </c>
    </row>
    <row r="3557" spans="1:3" hidden="1" x14ac:dyDescent="0.2">
      <c r="B3557" s="17" t="s">
        <v>251</v>
      </c>
      <c r="C3557" s="18">
        <v>0</v>
      </c>
    </row>
    <row r="3558" spans="1:3" hidden="1" x14ac:dyDescent="0.2">
      <c r="B3558" s="17" t="s">
        <v>270</v>
      </c>
      <c r="C3558" s="18">
        <v>0</v>
      </c>
    </row>
    <row r="3559" spans="1:3" hidden="1" x14ac:dyDescent="0.2">
      <c r="B3559" s="17" t="s">
        <v>245</v>
      </c>
      <c r="C3559" s="18">
        <v>0</v>
      </c>
    </row>
    <row r="3560" spans="1:3" hidden="1" x14ac:dyDescent="0.2">
      <c r="B3560" s="17" t="s">
        <v>249</v>
      </c>
      <c r="C3560" s="18">
        <v>0</v>
      </c>
    </row>
    <row r="3561" spans="1:3" hidden="1" x14ac:dyDescent="0.2">
      <c r="B3561" s="17" t="s">
        <v>264</v>
      </c>
      <c r="C3561" s="18">
        <v>0</v>
      </c>
    </row>
    <row r="3562" spans="1:3" hidden="1" x14ac:dyDescent="0.2">
      <c r="B3562" s="17" t="s">
        <v>319</v>
      </c>
      <c r="C3562" s="18">
        <v>0</v>
      </c>
    </row>
    <row r="3563" spans="1:3" hidden="1" x14ac:dyDescent="0.2">
      <c r="B3563" s="17" t="s">
        <v>80</v>
      </c>
      <c r="C3563" s="18">
        <v>0</v>
      </c>
    </row>
    <row r="3564" spans="1:3" hidden="1" x14ac:dyDescent="0.2">
      <c r="B3564" s="17" t="s">
        <v>79</v>
      </c>
      <c r="C3564" s="18">
        <v>0</v>
      </c>
    </row>
    <row r="3565" spans="1:3" hidden="1" x14ac:dyDescent="0.2">
      <c r="A3565" s="18">
        <v>8863</v>
      </c>
      <c r="B3565" s="17" t="s">
        <v>256</v>
      </c>
      <c r="C3565" s="18">
        <v>0</v>
      </c>
    </row>
    <row r="3566" spans="1:3" hidden="1" x14ac:dyDescent="0.2">
      <c r="B3566" s="17" t="s">
        <v>272</v>
      </c>
      <c r="C3566" s="18">
        <v>0</v>
      </c>
    </row>
    <row r="3567" spans="1:3" hidden="1" x14ac:dyDescent="0.2">
      <c r="B3567" s="17" t="s">
        <v>261</v>
      </c>
      <c r="C3567" s="18">
        <v>0</v>
      </c>
    </row>
    <row r="3568" spans="1:3" hidden="1" x14ac:dyDescent="0.2">
      <c r="A3568" s="18">
        <v>8862</v>
      </c>
      <c r="B3568" s="17">
        <v>0</v>
      </c>
      <c r="C3568" s="18">
        <v>0</v>
      </c>
    </row>
    <row r="3569" spans="1:3" hidden="1" x14ac:dyDescent="0.2">
      <c r="B3569" s="17" t="s">
        <v>251</v>
      </c>
      <c r="C3569" s="18">
        <v>0</v>
      </c>
    </row>
    <row r="3570" spans="1:3" hidden="1" x14ac:dyDescent="0.2">
      <c r="B3570" s="17" t="s">
        <v>270</v>
      </c>
      <c r="C3570" s="18">
        <v>0</v>
      </c>
    </row>
    <row r="3571" spans="1:3" hidden="1" x14ac:dyDescent="0.2">
      <c r="B3571" s="17" t="s">
        <v>245</v>
      </c>
      <c r="C3571" s="18">
        <v>0</v>
      </c>
    </row>
    <row r="3572" spans="1:3" hidden="1" x14ac:dyDescent="0.2">
      <c r="B3572" s="17" t="s">
        <v>249</v>
      </c>
      <c r="C3572" s="18">
        <v>0</v>
      </c>
    </row>
    <row r="3573" spans="1:3" hidden="1" x14ac:dyDescent="0.2">
      <c r="B3573" s="17" t="s">
        <v>264</v>
      </c>
      <c r="C3573" s="18">
        <v>0</v>
      </c>
    </row>
    <row r="3574" spans="1:3" hidden="1" x14ac:dyDescent="0.2">
      <c r="B3574" s="17" t="s">
        <v>319</v>
      </c>
      <c r="C3574" s="18">
        <v>0</v>
      </c>
    </row>
    <row r="3575" spans="1:3" hidden="1" x14ac:dyDescent="0.2">
      <c r="B3575" s="17" t="s">
        <v>80</v>
      </c>
      <c r="C3575" s="18">
        <v>0</v>
      </c>
    </row>
    <row r="3576" spans="1:3" hidden="1" x14ac:dyDescent="0.2">
      <c r="B3576" s="17" t="s">
        <v>79</v>
      </c>
      <c r="C3576" s="18">
        <v>0</v>
      </c>
    </row>
    <row r="3577" spans="1:3" hidden="1" x14ac:dyDescent="0.2">
      <c r="A3577" s="18">
        <v>8864</v>
      </c>
      <c r="B3577" s="17" t="s">
        <v>251</v>
      </c>
      <c r="C3577" s="18">
        <v>0</v>
      </c>
    </row>
    <row r="3578" spans="1:3" hidden="1" x14ac:dyDescent="0.2">
      <c r="B3578" s="17" t="s">
        <v>258</v>
      </c>
      <c r="C3578" s="18">
        <v>0</v>
      </c>
    </row>
    <row r="3579" spans="1:3" hidden="1" x14ac:dyDescent="0.2">
      <c r="B3579" s="17" t="s">
        <v>256</v>
      </c>
      <c r="C3579" s="18">
        <v>0</v>
      </c>
    </row>
    <row r="3580" spans="1:3" hidden="1" x14ac:dyDescent="0.2">
      <c r="B3580" s="17" t="s">
        <v>280</v>
      </c>
      <c r="C3580" s="18">
        <v>0</v>
      </c>
    </row>
    <row r="3581" spans="1:3" hidden="1" x14ac:dyDescent="0.2">
      <c r="B3581" s="17" t="s">
        <v>245</v>
      </c>
      <c r="C3581" s="18">
        <v>0</v>
      </c>
    </row>
    <row r="3582" spans="1:3" hidden="1" x14ac:dyDescent="0.2">
      <c r="B3582" s="17" t="s">
        <v>249</v>
      </c>
      <c r="C3582" s="18">
        <v>0</v>
      </c>
    </row>
    <row r="3583" spans="1:3" hidden="1" x14ac:dyDescent="0.2">
      <c r="B3583" s="17" t="s">
        <v>272</v>
      </c>
      <c r="C3583" s="18">
        <v>0</v>
      </c>
    </row>
    <row r="3584" spans="1:3" hidden="1" x14ac:dyDescent="0.2">
      <c r="B3584" s="17" t="s">
        <v>264</v>
      </c>
      <c r="C3584" s="18">
        <v>0</v>
      </c>
    </row>
    <row r="3585" spans="1:3" hidden="1" x14ac:dyDescent="0.2">
      <c r="B3585" s="17" t="s">
        <v>319</v>
      </c>
      <c r="C3585" s="18">
        <v>0</v>
      </c>
    </row>
    <row r="3586" spans="1:3" hidden="1" x14ac:dyDescent="0.2">
      <c r="B3586" s="17" t="s">
        <v>261</v>
      </c>
      <c r="C3586" s="18">
        <v>0</v>
      </c>
    </row>
    <row r="3587" spans="1:3" hidden="1" x14ac:dyDescent="0.2">
      <c r="B3587" s="17" t="s">
        <v>79</v>
      </c>
      <c r="C3587" s="18">
        <v>0</v>
      </c>
    </row>
    <row r="3588" spans="1:3" hidden="1" x14ac:dyDescent="0.2">
      <c r="A3588" s="18">
        <v>8861</v>
      </c>
      <c r="B3588" s="17">
        <v>0</v>
      </c>
      <c r="C3588" s="18">
        <v>0</v>
      </c>
    </row>
    <row r="3589" spans="1:3" hidden="1" x14ac:dyDescent="0.2">
      <c r="B3589" s="17" t="s">
        <v>269</v>
      </c>
      <c r="C3589" s="18">
        <v>0</v>
      </c>
    </row>
    <row r="3590" spans="1:3" hidden="1" x14ac:dyDescent="0.2">
      <c r="B3590" s="17" t="s">
        <v>274</v>
      </c>
      <c r="C3590" s="18">
        <v>0</v>
      </c>
    </row>
    <row r="3591" spans="1:3" hidden="1" x14ac:dyDescent="0.2">
      <c r="B3591" s="17" t="s">
        <v>260</v>
      </c>
      <c r="C3591" s="18">
        <v>0</v>
      </c>
    </row>
    <row r="3592" spans="1:3" hidden="1" x14ac:dyDescent="0.2">
      <c r="B3592" s="17" t="s">
        <v>72</v>
      </c>
      <c r="C3592" s="18">
        <v>0</v>
      </c>
    </row>
    <row r="3593" spans="1:3" hidden="1" x14ac:dyDescent="0.2">
      <c r="B3593" s="17" t="s">
        <v>272</v>
      </c>
      <c r="C3593" s="18">
        <v>0</v>
      </c>
    </row>
    <row r="3594" spans="1:3" hidden="1" x14ac:dyDescent="0.2">
      <c r="B3594" s="17" t="s">
        <v>264</v>
      </c>
      <c r="C3594" s="18">
        <v>0</v>
      </c>
    </row>
    <row r="3595" spans="1:3" hidden="1" x14ac:dyDescent="0.2">
      <c r="B3595" s="17" t="s">
        <v>319</v>
      </c>
      <c r="C3595" s="18">
        <v>0</v>
      </c>
    </row>
    <row r="3596" spans="1:3" hidden="1" x14ac:dyDescent="0.2">
      <c r="B3596" s="17" t="s">
        <v>324</v>
      </c>
      <c r="C3596" s="18">
        <v>0</v>
      </c>
    </row>
    <row r="3597" spans="1:3" hidden="1" x14ac:dyDescent="0.2">
      <c r="B3597" s="17" t="s">
        <v>318</v>
      </c>
      <c r="C3597" s="18">
        <v>0</v>
      </c>
    </row>
    <row r="3598" spans="1:3" hidden="1" x14ac:dyDescent="0.2">
      <c r="B3598" s="17" t="s">
        <v>79</v>
      </c>
      <c r="C3598" s="18">
        <v>0</v>
      </c>
    </row>
    <row r="3599" spans="1:3" hidden="1" x14ac:dyDescent="0.2">
      <c r="A3599" s="18">
        <v>8857</v>
      </c>
      <c r="B3599" s="17" t="s">
        <v>267</v>
      </c>
      <c r="C3599" s="18">
        <v>0</v>
      </c>
    </row>
    <row r="3600" spans="1:3" hidden="1" x14ac:dyDescent="0.2">
      <c r="A3600" s="18">
        <v>8888</v>
      </c>
      <c r="B3600" s="17">
        <v>0</v>
      </c>
      <c r="C3600" s="18">
        <v>0</v>
      </c>
    </row>
    <row r="3601" spans="1:3" hidden="1" x14ac:dyDescent="0.2">
      <c r="B3601" s="17" t="s">
        <v>251</v>
      </c>
      <c r="C3601" s="18">
        <v>0</v>
      </c>
    </row>
    <row r="3602" spans="1:3" hidden="1" x14ac:dyDescent="0.2">
      <c r="B3602" s="17" t="s">
        <v>270</v>
      </c>
      <c r="C3602" s="18">
        <v>0</v>
      </c>
    </row>
    <row r="3603" spans="1:3" hidden="1" x14ac:dyDescent="0.2">
      <c r="B3603" s="17" t="s">
        <v>245</v>
      </c>
      <c r="C3603" s="18">
        <v>0</v>
      </c>
    </row>
    <row r="3604" spans="1:3" hidden="1" x14ac:dyDescent="0.2">
      <c r="B3604" s="17" t="s">
        <v>249</v>
      </c>
      <c r="C3604" s="18">
        <v>0</v>
      </c>
    </row>
    <row r="3605" spans="1:3" hidden="1" x14ac:dyDescent="0.2">
      <c r="B3605" s="17" t="s">
        <v>264</v>
      </c>
      <c r="C3605" s="18">
        <v>0</v>
      </c>
    </row>
    <row r="3606" spans="1:3" hidden="1" x14ac:dyDescent="0.2">
      <c r="B3606" s="17" t="s">
        <v>319</v>
      </c>
      <c r="C3606" s="18">
        <v>0</v>
      </c>
    </row>
    <row r="3607" spans="1:3" hidden="1" x14ac:dyDescent="0.2">
      <c r="B3607" s="17" t="s">
        <v>318</v>
      </c>
      <c r="C3607" s="18">
        <v>0</v>
      </c>
    </row>
    <row r="3608" spans="1:3" hidden="1" x14ac:dyDescent="0.2">
      <c r="B3608" s="17" t="s">
        <v>80</v>
      </c>
      <c r="C3608" s="18">
        <v>0</v>
      </c>
    </row>
    <row r="3609" spans="1:3" hidden="1" x14ac:dyDescent="0.2">
      <c r="B3609" s="17" t="s">
        <v>79</v>
      </c>
      <c r="C3609" s="18">
        <v>0</v>
      </c>
    </row>
    <row r="3610" spans="1:3" hidden="1" x14ac:dyDescent="0.2">
      <c r="A3610" s="18">
        <v>8691</v>
      </c>
      <c r="B3610" s="17" t="s">
        <v>258</v>
      </c>
      <c r="C3610" s="18">
        <v>0</v>
      </c>
    </row>
    <row r="3611" spans="1:3" hidden="1" x14ac:dyDescent="0.2">
      <c r="B3611" s="17" t="s">
        <v>309</v>
      </c>
      <c r="C3611" s="18">
        <v>0</v>
      </c>
    </row>
    <row r="3612" spans="1:3" hidden="1" x14ac:dyDescent="0.2">
      <c r="B3612" s="17" t="s">
        <v>318</v>
      </c>
      <c r="C3612" s="18">
        <v>0</v>
      </c>
    </row>
    <row r="3613" spans="1:3" hidden="1" x14ac:dyDescent="0.2">
      <c r="A3613" s="18">
        <v>8878</v>
      </c>
      <c r="B3613" s="17" t="s">
        <v>258</v>
      </c>
      <c r="C3613" s="18">
        <v>0</v>
      </c>
    </row>
    <row r="3614" spans="1:3" hidden="1" x14ac:dyDescent="0.2">
      <c r="B3614" s="17" t="s">
        <v>256</v>
      </c>
      <c r="C3614" s="18">
        <v>0</v>
      </c>
    </row>
    <row r="3615" spans="1:3" hidden="1" x14ac:dyDescent="0.2">
      <c r="B3615" s="17" t="s">
        <v>276</v>
      </c>
      <c r="C3615" s="18">
        <v>0</v>
      </c>
    </row>
    <row r="3616" spans="1:3" hidden="1" x14ac:dyDescent="0.2">
      <c r="B3616" s="17" t="s">
        <v>318</v>
      </c>
      <c r="C3616" s="18">
        <v>0</v>
      </c>
    </row>
    <row r="3617" spans="1:3" hidden="1" x14ac:dyDescent="0.2">
      <c r="A3617" s="18">
        <v>8877</v>
      </c>
      <c r="B3617" s="17">
        <v>0</v>
      </c>
      <c r="C3617" s="18">
        <v>0</v>
      </c>
    </row>
    <row r="3618" spans="1:3" hidden="1" x14ac:dyDescent="0.2">
      <c r="B3618" s="17" t="s">
        <v>251</v>
      </c>
      <c r="C3618" s="18">
        <v>0</v>
      </c>
    </row>
    <row r="3619" spans="1:3" hidden="1" x14ac:dyDescent="0.2">
      <c r="B3619" s="17" t="s">
        <v>256</v>
      </c>
      <c r="C3619" s="18">
        <v>0</v>
      </c>
    </row>
    <row r="3620" spans="1:3" hidden="1" x14ac:dyDescent="0.2">
      <c r="B3620" s="17" t="s">
        <v>276</v>
      </c>
      <c r="C3620" s="18">
        <v>0</v>
      </c>
    </row>
    <row r="3621" spans="1:3" hidden="1" x14ac:dyDescent="0.2">
      <c r="B3621" s="17" t="s">
        <v>245</v>
      </c>
      <c r="C3621" s="18">
        <v>0</v>
      </c>
    </row>
    <row r="3622" spans="1:3" hidden="1" x14ac:dyDescent="0.2">
      <c r="B3622" s="17" t="s">
        <v>249</v>
      </c>
      <c r="C3622" s="18">
        <v>0</v>
      </c>
    </row>
    <row r="3623" spans="1:3" hidden="1" x14ac:dyDescent="0.2">
      <c r="B3623" s="17" t="s">
        <v>264</v>
      </c>
      <c r="C3623" s="18">
        <v>0</v>
      </c>
    </row>
    <row r="3624" spans="1:3" hidden="1" x14ac:dyDescent="0.2">
      <c r="B3624" s="17" t="s">
        <v>319</v>
      </c>
      <c r="C3624" s="18">
        <v>0</v>
      </c>
    </row>
    <row r="3625" spans="1:3" hidden="1" x14ac:dyDescent="0.2">
      <c r="B3625" s="17" t="s">
        <v>318</v>
      </c>
      <c r="C3625" s="18">
        <v>0</v>
      </c>
    </row>
    <row r="3626" spans="1:3" hidden="1" x14ac:dyDescent="0.2">
      <c r="B3626" s="17" t="s">
        <v>80</v>
      </c>
      <c r="C3626" s="18">
        <v>0</v>
      </c>
    </row>
    <row r="3627" spans="1:3" hidden="1" x14ac:dyDescent="0.2">
      <c r="B3627" s="17" t="s">
        <v>430</v>
      </c>
      <c r="C3627" s="18">
        <v>0</v>
      </c>
    </row>
    <row r="3628" spans="1:3" hidden="1" x14ac:dyDescent="0.2">
      <c r="B3628" s="17" t="s">
        <v>79</v>
      </c>
      <c r="C3628" s="18">
        <v>0</v>
      </c>
    </row>
    <row r="3629" spans="1:3" hidden="1" x14ac:dyDescent="0.2">
      <c r="B3629" s="17" t="s">
        <v>457</v>
      </c>
      <c r="C3629" s="18">
        <v>0</v>
      </c>
    </row>
    <row r="3630" spans="1:3" hidden="1" x14ac:dyDescent="0.2">
      <c r="A3630" s="18">
        <v>8876</v>
      </c>
      <c r="B3630" s="17" t="s">
        <v>318</v>
      </c>
      <c r="C3630" s="18">
        <v>0</v>
      </c>
    </row>
    <row r="3631" spans="1:3" hidden="1" x14ac:dyDescent="0.2">
      <c r="A3631" s="18">
        <v>8875</v>
      </c>
      <c r="B3631" s="17">
        <v>0</v>
      </c>
      <c r="C3631" s="18">
        <v>0</v>
      </c>
    </row>
    <row r="3632" spans="1:3" hidden="1" x14ac:dyDescent="0.2">
      <c r="B3632" s="17" t="s">
        <v>251</v>
      </c>
      <c r="C3632" s="18">
        <v>0</v>
      </c>
    </row>
    <row r="3633" spans="1:3" hidden="1" x14ac:dyDescent="0.2">
      <c r="B3633" s="17" t="s">
        <v>256</v>
      </c>
      <c r="C3633" s="18">
        <v>0</v>
      </c>
    </row>
    <row r="3634" spans="1:3" hidden="1" x14ac:dyDescent="0.2">
      <c r="B3634" s="17" t="s">
        <v>275</v>
      </c>
      <c r="C3634" s="18">
        <v>0</v>
      </c>
    </row>
    <row r="3635" spans="1:3" hidden="1" x14ac:dyDescent="0.2">
      <c r="B3635" s="17" t="s">
        <v>245</v>
      </c>
      <c r="C3635" s="18">
        <v>0</v>
      </c>
    </row>
    <row r="3636" spans="1:3" hidden="1" x14ac:dyDescent="0.2">
      <c r="B3636" s="17" t="s">
        <v>249</v>
      </c>
      <c r="C3636" s="18">
        <v>0</v>
      </c>
    </row>
    <row r="3637" spans="1:3" hidden="1" x14ac:dyDescent="0.2">
      <c r="B3637" s="17" t="s">
        <v>264</v>
      </c>
      <c r="C3637" s="18">
        <v>0</v>
      </c>
    </row>
    <row r="3638" spans="1:3" hidden="1" x14ac:dyDescent="0.2">
      <c r="B3638" s="17" t="s">
        <v>319</v>
      </c>
      <c r="C3638" s="18">
        <v>0</v>
      </c>
    </row>
    <row r="3639" spans="1:3" hidden="1" x14ac:dyDescent="0.2">
      <c r="B3639" s="17" t="s">
        <v>318</v>
      </c>
      <c r="C3639" s="18">
        <v>0</v>
      </c>
    </row>
    <row r="3640" spans="1:3" hidden="1" x14ac:dyDescent="0.2">
      <c r="B3640" s="17" t="s">
        <v>80</v>
      </c>
      <c r="C3640" s="18">
        <v>0</v>
      </c>
    </row>
    <row r="3641" spans="1:3" hidden="1" x14ac:dyDescent="0.2">
      <c r="B3641" s="17" t="s">
        <v>79</v>
      </c>
      <c r="C3641" s="18">
        <v>0</v>
      </c>
    </row>
    <row r="3642" spans="1:3" x14ac:dyDescent="0.2">
      <c r="A3642" s="18">
        <v>8102</v>
      </c>
      <c r="B3642" s="17">
        <v>0</v>
      </c>
      <c r="C3642" s="18">
        <v>340</v>
      </c>
    </row>
    <row r="3643" spans="1:3" x14ac:dyDescent="0.2">
      <c r="A3643" s="18">
        <v>8641</v>
      </c>
      <c r="B3643" s="17" t="s">
        <v>251</v>
      </c>
      <c r="C3643" s="18">
        <v>400</v>
      </c>
    </row>
    <row r="3644" spans="1:3" x14ac:dyDescent="0.2">
      <c r="B3644" s="17" t="s">
        <v>246</v>
      </c>
      <c r="C3644" s="18">
        <v>50</v>
      </c>
    </row>
    <row r="3645" spans="1:3" x14ac:dyDescent="0.2">
      <c r="B3645" s="17" t="s">
        <v>250</v>
      </c>
      <c r="C3645" s="18">
        <v>90</v>
      </c>
    </row>
    <row r="3646" spans="1:3" x14ac:dyDescent="0.2">
      <c r="B3646" s="17" t="s">
        <v>247</v>
      </c>
      <c r="C3646" s="18">
        <v>372</v>
      </c>
    </row>
    <row r="3647" spans="1:3" x14ac:dyDescent="0.2">
      <c r="B3647" s="17" t="s">
        <v>311</v>
      </c>
      <c r="C3647" s="18">
        <v>982</v>
      </c>
    </row>
    <row r="3648" spans="1:3" x14ac:dyDescent="0.2">
      <c r="B3648" s="17" t="s">
        <v>245</v>
      </c>
      <c r="C3648" s="18">
        <v>222</v>
      </c>
    </row>
    <row r="3649" spans="1:3" x14ac:dyDescent="0.2">
      <c r="B3649" s="17" t="s">
        <v>248</v>
      </c>
      <c r="C3649" s="18">
        <v>72</v>
      </c>
    </row>
    <row r="3650" spans="1:3" x14ac:dyDescent="0.2">
      <c r="B3650" s="17" t="s">
        <v>249</v>
      </c>
      <c r="C3650" s="18">
        <v>130</v>
      </c>
    </row>
    <row r="3651" spans="1:3" x14ac:dyDescent="0.2">
      <c r="B3651" s="17" t="s">
        <v>263</v>
      </c>
      <c r="C3651" s="18">
        <v>640</v>
      </c>
    </row>
    <row r="3652" spans="1:3" x14ac:dyDescent="0.2">
      <c r="B3652" s="17" t="s">
        <v>264</v>
      </c>
      <c r="C3652" s="18">
        <v>624</v>
      </c>
    </row>
    <row r="3653" spans="1:3" x14ac:dyDescent="0.2">
      <c r="B3653" s="17" t="s">
        <v>319</v>
      </c>
      <c r="C3653" s="18">
        <v>350</v>
      </c>
    </row>
    <row r="3654" spans="1:3" x14ac:dyDescent="0.2">
      <c r="B3654" s="17" t="s">
        <v>320</v>
      </c>
      <c r="C3654" s="18">
        <v>10</v>
      </c>
    </row>
    <row r="3655" spans="1:3" x14ac:dyDescent="0.2">
      <c r="B3655" s="17" t="s">
        <v>378</v>
      </c>
      <c r="C3655" s="18">
        <v>72</v>
      </c>
    </row>
    <row r="3656" spans="1:3" x14ac:dyDescent="0.2">
      <c r="B3656" s="17" t="s">
        <v>419</v>
      </c>
      <c r="C3656" s="18">
        <v>50</v>
      </c>
    </row>
    <row r="3657" spans="1:3" x14ac:dyDescent="0.2">
      <c r="B3657" s="17" t="s">
        <v>420</v>
      </c>
      <c r="C3657" s="18">
        <v>20</v>
      </c>
    </row>
    <row r="3658" spans="1:3" hidden="1" x14ac:dyDescent="0.2">
      <c r="A3658" s="18">
        <v>8792</v>
      </c>
      <c r="B3658" s="17" t="s">
        <v>304</v>
      </c>
      <c r="C3658" s="18">
        <v>0</v>
      </c>
    </row>
    <row r="3659" spans="1:3" hidden="1" x14ac:dyDescent="0.2">
      <c r="B3659" s="17" t="s">
        <v>318</v>
      </c>
      <c r="C3659" s="18">
        <v>0</v>
      </c>
    </row>
    <row r="3660" spans="1:3" hidden="1" x14ac:dyDescent="0.2">
      <c r="A3660" s="18">
        <v>8836</v>
      </c>
      <c r="B3660" s="17">
        <v>0</v>
      </c>
      <c r="C3660" s="18">
        <v>0</v>
      </c>
    </row>
    <row r="3661" spans="1:3" hidden="1" x14ac:dyDescent="0.2">
      <c r="A3661" s="18">
        <v>8383</v>
      </c>
      <c r="B3661" s="17">
        <v>0</v>
      </c>
      <c r="C3661" s="18">
        <v>0</v>
      </c>
    </row>
    <row r="3662" spans="1:3" hidden="1" x14ac:dyDescent="0.2">
      <c r="B3662" s="17" t="s">
        <v>257</v>
      </c>
      <c r="C3662" s="18">
        <v>0</v>
      </c>
    </row>
    <row r="3663" spans="1:3" hidden="1" x14ac:dyDescent="0.2">
      <c r="B3663" s="17" t="s">
        <v>258</v>
      </c>
      <c r="C3663" s="18">
        <v>0</v>
      </c>
    </row>
    <row r="3664" spans="1:3" hidden="1" x14ac:dyDescent="0.2">
      <c r="B3664" s="17" t="s">
        <v>268</v>
      </c>
      <c r="C3664" s="18">
        <v>0</v>
      </c>
    </row>
    <row r="3665" spans="1:3" hidden="1" x14ac:dyDescent="0.2">
      <c r="B3665" s="17" t="s">
        <v>72</v>
      </c>
      <c r="C3665" s="18">
        <v>0</v>
      </c>
    </row>
    <row r="3666" spans="1:3" hidden="1" x14ac:dyDescent="0.2">
      <c r="B3666" s="17" t="s">
        <v>318</v>
      </c>
      <c r="C3666" s="18">
        <v>0</v>
      </c>
    </row>
    <row r="3667" spans="1:3" hidden="1" x14ac:dyDescent="0.2">
      <c r="B3667" s="17" t="s">
        <v>79</v>
      </c>
      <c r="C3667" s="18">
        <v>0</v>
      </c>
    </row>
    <row r="3668" spans="1:3" x14ac:dyDescent="0.2">
      <c r="A3668" s="18">
        <v>8938</v>
      </c>
      <c r="B3668" s="17">
        <v>0</v>
      </c>
      <c r="C3668" s="18">
        <v>1157</v>
      </c>
    </row>
    <row r="3669" spans="1:3" x14ac:dyDescent="0.2">
      <c r="B3669" s="17" t="s">
        <v>278</v>
      </c>
      <c r="C3669" s="18">
        <v>2</v>
      </c>
    </row>
    <row r="3670" spans="1:3" x14ac:dyDescent="0.2">
      <c r="B3670" s="17" t="s">
        <v>306</v>
      </c>
      <c r="C3670" s="18">
        <v>30</v>
      </c>
    </row>
    <row r="3671" spans="1:3" x14ac:dyDescent="0.2">
      <c r="B3671" s="17" t="s">
        <v>256</v>
      </c>
      <c r="C3671" s="18">
        <v>1</v>
      </c>
    </row>
    <row r="3672" spans="1:3" x14ac:dyDescent="0.2">
      <c r="B3672" s="17" t="s">
        <v>268</v>
      </c>
      <c r="C3672" s="18">
        <v>1</v>
      </c>
    </row>
    <row r="3673" spans="1:3" x14ac:dyDescent="0.2">
      <c r="B3673" s="17" t="s">
        <v>276</v>
      </c>
      <c r="C3673" s="18">
        <v>3</v>
      </c>
    </row>
    <row r="3674" spans="1:3" x14ac:dyDescent="0.2">
      <c r="B3674" s="17" t="s">
        <v>245</v>
      </c>
      <c r="C3674" s="18">
        <v>4</v>
      </c>
    </row>
    <row r="3675" spans="1:3" x14ac:dyDescent="0.2">
      <c r="B3675" s="17" t="s">
        <v>248</v>
      </c>
      <c r="C3675" s="18">
        <v>2</v>
      </c>
    </row>
    <row r="3676" spans="1:3" x14ac:dyDescent="0.2">
      <c r="B3676" s="17" t="s">
        <v>249</v>
      </c>
      <c r="C3676" s="18">
        <v>10</v>
      </c>
    </row>
    <row r="3677" spans="1:3" x14ac:dyDescent="0.2">
      <c r="B3677" s="17" t="s">
        <v>273</v>
      </c>
      <c r="C3677" s="18">
        <v>2</v>
      </c>
    </row>
    <row r="3678" spans="1:3" x14ac:dyDescent="0.2">
      <c r="B3678" s="17" t="s">
        <v>263</v>
      </c>
      <c r="C3678" s="18">
        <v>2</v>
      </c>
    </row>
    <row r="3679" spans="1:3" x14ac:dyDescent="0.2">
      <c r="B3679" s="17" t="s">
        <v>274</v>
      </c>
      <c r="C3679" s="18">
        <v>2</v>
      </c>
    </row>
    <row r="3680" spans="1:3" x14ac:dyDescent="0.2">
      <c r="B3680" s="17" t="s">
        <v>72</v>
      </c>
      <c r="C3680" s="18">
        <v>20</v>
      </c>
    </row>
    <row r="3681" spans="1:3" x14ac:dyDescent="0.2">
      <c r="B3681" s="17" t="s">
        <v>255</v>
      </c>
      <c r="C3681" s="18">
        <v>3</v>
      </c>
    </row>
    <row r="3682" spans="1:3" x14ac:dyDescent="0.2">
      <c r="B3682" s="17" t="s">
        <v>264</v>
      </c>
      <c r="C3682" s="18">
        <v>2</v>
      </c>
    </row>
    <row r="3683" spans="1:3" x14ac:dyDescent="0.2">
      <c r="B3683" s="17" t="s">
        <v>307</v>
      </c>
      <c r="C3683" s="18">
        <v>3</v>
      </c>
    </row>
    <row r="3684" spans="1:3" x14ac:dyDescent="0.2">
      <c r="B3684" s="17" t="s">
        <v>319</v>
      </c>
      <c r="C3684" s="18">
        <v>2</v>
      </c>
    </row>
    <row r="3685" spans="1:3" x14ac:dyDescent="0.2">
      <c r="B3685" s="17" t="s">
        <v>318</v>
      </c>
      <c r="C3685" s="18">
        <v>20</v>
      </c>
    </row>
    <row r="3686" spans="1:3" x14ac:dyDescent="0.2">
      <c r="B3686" s="17" t="s">
        <v>80</v>
      </c>
      <c r="C3686" s="18">
        <v>2</v>
      </c>
    </row>
    <row r="3687" spans="1:3" x14ac:dyDescent="0.2">
      <c r="B3687" s="17" t="s">
        <v>328</v>
      </c>
      <c r="C3687" s="18">
        <v>3</v>
      </c>
    </row>
    <row r="3688" spans="1:3" x14ac:dyDescent="0.2">
      <c r="B3688" s="17" t="s">
        <v>78</v>
      </c>
      <c r="C3688" s="18">
        <v>200</v>
      </c>
    </row>
    <row r="3689" spans="1:3" x14ac:dyDescent="0.2">
      <c r="B3689" s="17" t="s">
        <v>344</v>
      </c>
      <c r="C3689" s="18">
        <v>3</v>
      </c>
    </row>
    <row r="3690" spans="1:3" x14ac:dyDescent="0.2">
      <c r="B3690" s="17" t="s">
        <v>79</v>
      </c>
      <c r="C3690" s="18">
        <v>49</v>
      </c>
    </row>
    <row r="3691" spans="1:3" hidden="1" x14ac:dyDescent="0.2">
      <c r="A3691" s="18">
        <v>8941</v>
      </c>
      <c r="B3691" s="17" t="s">
        <v>251</v>
      </c>
      <c r="C3691" s="18">
        <v>0</v>
      </c>
    </row>
    <row r="3692" spans="1:3" hidden="1" x14ac:dyDescent="0.2">
      <c r="A3692" s="18">
        <v>8945</v>
      </c>
      <c r="B3692" s="17">
        <v>0</v>
      </c>
      <c r="C3692" s="18">
        <v>0</v>
      </c>
    </row>
    <row r="3693" spans="1:3" hidden="1" x14ac:dyDescent="0.2">
      <c r="B3693" s="17" t="s">
        <v>246</v>
      </c>
      <c r="C3693" s="18">
        <v>0</v>
      </c>
    </row>
    <row r="3694" spans="1:3" hidden="1" x14ac:dyDescent="0.2">
      <c r="B3694" s="17" t="s">
        <v>289</v>
      </c>
      <c r="C3694" s="18">
        <v>0</v>
      </c>
    </row>
    <row r="3695" spans="1:3" hidden="1" x14ac:dyDescent="0.2">
      <c r="B3695" s="17" t="s">
        <v>245</v>
      </c>
      <c r="C3695" s="18">
        <v>0</v>
      </c>
    </row>
    <row r="3696" spans="1:3" hidden="1" x14ac:dyDescent="0.2">
      <c r="B3696" s="17" t="s">
        <v>248</v>
      </c>
      <c r="C3696" s="18">
        <v>0</v>
      </c>
    </row>
    <row r="3697" spans="1:3" hidden="1" x14ac:dyDescent="0.2">
      <c r="B3697" s="17" t="s">
        <v>249</v>
      </c>
      <c r="C3697" s="18">
        <v>0</v>
      </c>
    </row>
    <row r="3698" spans="1:3" hidden="1" x14ac:dyDescent="0.2">
      <c r="B3698" s="17" t="s">
        <v>253</v>
      </c>
      <c r="C3698" s="18">
        <v>0</v>
      </c>
    </row>
    <row r="3699" spans="1:3" hidden="1" x14ac:dyDescent="0.2">
      <c r="B3699" s="17" t="s">
        <v>319</v>
      </c>
      <c r="C3699" s="18">
        <v>0</v>
      </c>
    </row>
    <row r="3700" spans="1:3" hidden="1" x14ac:dyDescent="0.2">
      <c r="B3700" s="17" t="s">
        <v>79</v>
      </c>
      <c r="C3700" s="18">
        <v>0</v>
      </c>
    </row>
    <row r="3701" spans="1:3" hidden="1" x14ac:dyDescent="0.2">
      <c r="A3701" s="18">
        <v>8946</v>
      </c>
      <c r="B3701" s="17" t="s">
        <v>248</v>
      </c>
      <c r="C3701" s="18">
        <v>0</v>
      </c>
    </row>
    <row r="3702" spans="1:3" hidden="1" x14ac:dyDescent="0.2">
      <c r="A3702" s="18">
        <v>8948</v>
      </c>
      <c r="B3702" s="17" t="s">
        <v>256</v>
      </c>
      <c r="C3702" s="18">
        <v>0</v>
      </c>
    </row>
    <row r="3703" spans="1:3" hidden="1" x14ac:dyDescent="0.2">
      <c r="B3703" s="17" t="s">
        <v>272</v>
      </c>
      <c r="C3703" s="18">
        <v>0</v>
      </c>
    </row>
    <row r="3704" spans="1:3" hidden="1" x14ac:dyDescent="0.2">
      <c r="B3704" s="17" t="s">
        <v>261</v>
      </c>
      <c r="C3704" s="18">
        <v>0</v>
      </c>
    </row>
    <row r="3705" spans="1:3" x14ac:dyDescent="0.2">
      <c r="A3705" s="18">
        <v>8952</v>
      </c>
      <c r="B3705" s="17">
        <v>0</v>
      </c>
      <c r="C3705" s="18">
        <v>250</v>
      </c>
    </row>
    <row r="3706" spans="1:3" x14ac:dyDescent="0.2">
      <c r="B3706" s="17" t="s">
        <v>247</v>
      </c>
      <c r="C3706" s="18">
        <v>80</v>
      </c>
    </row>
    <row r="3707" spans="1:3" x14ac:dyDescent="0.2">
      <c r="B3707" s="17" t="s">
        <v>311</v>
      </c>
      <c r="C3707" s="18">
        <v>350</v>
      </c>
    </row>
    <row r="3708" spans="1:3" x14ac:dyDescent="0.2">
      <c r="B3708" s="17" t="s">
        <v>245</v>
      </c>
      <c r="C3708" s="18">
        <v>300</v>
      </c>
    </row>
    <row r="3709" spans="1:3" x14ac:dyDescent="0.2">
      <c r="B3709" s="17" t="s">
        <v>263</v>
      </c>
      <c r="C3709" s="18">
        <v>110</v>
      </c>
    </row>
    <row r="3710" spans="1:3" x14ac:dyDescent="0.2">
      <c r="B3710" s="17" t="s">
        <v>264</v>
      </c>
      <c r="C3710" s="18">
        <v>500</v>
      </c>
    </row>
    <row r="3711" spans="1:3" x14ac:dyDescent="0.2">
      <c r="B3711" s="17" t="s">
        <v>319</v>
      </c>
      <c r="C3711" s="18">
        <v>310</v>
      </c>
    </row>
    <row r="3712" spans="1:3" x14ac:dyDescent="0.2">
      <c r="B3712" s="17" t="s">
        <v>328</v>
      </c>
      <c r="C3712" s="18">
        <v>50</v>
      </c>
    </row>
    <row r="3713" spans="1:3" x14ac:dyDescent="0.2">
      <c r="B3713" s="17" t="s">
        <v>419</v>
      </c>
      <c r="C3713" s="18">
        <v>50</v>
      </c>
    </row>
    <row r="3714" spans="1:3" x14ac:dyDescent="0.2">
      <c r="B3714" s="17" t="s">
        <v>77</v>
      </c>
      <c r="C3714" s="18">
        <v>201</v>
      </c>
    </row>
    <row r="3715" spans="1:3" x14ac:dyDescent="0.2">
      <c r="B3715" s="17" t="s">
        <v>586</v>
      </c>
      <c r="C3715" s="18">
        <v>50</v>
      </c>
    </row>
    <row r="3716" spans="1:3" hidden="1" x14ac:dyDescent="0.2">
      <c r="A3716" s="18">
        <v>8954</v>
      </c>
      <c r="B3716" s="17" t="s">
        <v>72</v>
      </c>
      <c r="C3716" s="18">
        <v>0</v>
      </c>
    </row>
    <row r="3717" spans="1:3" hidden="1" x14ac:dyDescent="0.2">
      <c r="A3717" s="18">
        <v>8956</v>
      </c>
      <c r="B3717" s="17" t="s">
        <v>274</v>
      </c>
      <c r="C3717" s="18">
        <v>0</v>
      </c>
    </row>
    <row r="3718" spans="1:3" hidden="1" x14ac:dyDescent="0.2">
      <c r="B3718" s="17" t="s">
        <v>318</v>
      </c>
      <c r="C3718" s="18">
        <v>0</v>
      </c>
    </row>
    <row r="3719" spans="1:3" hidden="1" x14ac:dyDescent="0.2">
      <c r="A3719" s="18">
        <v>8812</v>
      </c>
      <c r="B3719" s="17" t="s">
        <v>268</v>
      </c>
      <c r="C3719" s="18">
        <v>0</v>
      </c>
    </row>
    <row r="3720" spans="1:3" hidden="1" x14ac:dyDescent="0.2">
      <c r="B3720" s="17" t="s">
        <v>282</v>
      </c>
      <c r="C3720" s="18">
        <v>0</v>
      </c>
    </row>
    <row r="3721" spans="1:3" hidden="1" x14ac:dyDescent="0.2">
      <c r="B3721" s="17" t="s">
        <v>293</v>
      </c>
      <c r="C3721" s="18">
        <v>0</v>
      </c>
    </row>
    <row r="3722" spans="1:3" hidden="1" x14ac:dyDescent="0.2">
      <c r="B3722" s="17" t="s">
        <v>318</v>
      </c>
      <c r="C3722" s="18">
        <v>0</v>
      </c>
    </row>
    <row r="3723" spans="1:3" hidden="1" x14ac:dyDescent="0.2">
      <c r="A3723" s="18">
        <v>8988</v>
      </c>
      <c r="B3723" s="17">
        <v>0</v>
      </c>
      <c r="C3723" s="18">
        <v>0</v>
      </c>
    </row>
    <row r="3724" spans="1:3" hidden="1" x14ac:dyDescent="0.2">
      <c r="B3724" s="17" t="s">
        <v>307</v>
      </c>
      <c r="C3724" s="18">
        <v>0</v>
      </c>
    </row>
    <row r="3725" spans="1:3" hidden="1" x14ac:dyDescent="0.2">
      <c r="A3725" s="18">
        <v>8995</v>
      </c>
      <c r="B3725" s="17" t="s">
        <v>256</v>
      </c>
      <c r="C3725" s="18">
        <v>0</v>
      </c>
    </row>
    <row r="3726" spans="1:3" hidden="1" x14ac:dyDescent="0.2">
      <c r="B3726" s="17" t="s">
        <v>299</v>
      </c>
      <c r="C3726" s="18">
        <v>0</v>
      </c>
    </row>
    <row r="3727" spans="1:3" hidden="1" x14ac:dyDescent="0.2">
      <c r="B3727" s="17" t="s">
        <v>318</v>
      </c>
      <c r="C3727" s="18">
        <v>0</v>
      </c>
    </row>
    <row r="3728" spans="1:3" x14ac:dyDescent="0.2">
      <c r="A3728" s="18">
        <v>9005</v>
      </c>
      <c r="B3728" s="17" t="s">
        <v>246</v>
      </c>
      <c r="C3728" s="18">
        <v>200</v>
      </c>
    </row>
    <row r="3729" spans="1:3" x14ac:dyDescent="0.2">
      <c r="B3729" s="17" t="s">
        <v>247</v>
      </c>
      <c r="C3729" s="18">
        <v>200</v>
      </c>
    </row>
    <row r="3730" spans="1:3" x14ac:dyDescent="0.2">
      <c r="B3730" s="17" t="s">
        <v>311</v>
      </c>
      <c r="C3730" s="18">
        <v>550</v>
      </c>
    </row>
    <row r="3731" spans="1:3" x14ac:dyDescent="0.2">
      <c r="B3731" s="17" t="s">
        <v>245</v>
      </c>
      <c r="C3731" s="18">
        <v>2000</v>
      </c>
    </row>
    <row r="3732" spans="1:3" x14ac:dyDescent="0.2">
      <c r="B3732" s="17" t="s">
        <v>248</v>
      </c>
      <c r="C3732" s="18">
        <v>500</v>
      </c>
    </row>
    <row r="3733" spans="1:3" x14ac:dyDescent="0.2">
      <c r="B3733" s="17" t="s">
        <v>249</v>
      </c>
      <c r="C3733" s="18">
        <v>2400</v>
      </c>
    </row>
    <row r="3734" spans="1:3" x14ac:dyDescent="0.2">
      <c r="B3734" s="17" t="s">
        <v>263</v>
      </c>
      <c r="C3734" s="18">
        <v>350</v>
      </c>
    </row>
    <row r="3735" spans="1:3" x14ac:dyDescent="0.2">
      <c r="B3735" s="17" t="s">
        <v>264</v>
      </c>
      <c r="C3735" s="18">
        <v>400</v>
      </c>
    </row>
    <row r="3736" spans="1:3" x14ac:dyDescent="0.2">
      <c r="B3736" s="17" t="s">
        <v>319</v>
      </c>
      <c r="C3736" s="18">
        <v>2000</v>
      </c>
    </row>
    <row r="3737" spans="1:3" hidden="1" x14ac:dyDescent="0.2">
      <c r="A3737" s="18">
        <v>9003</v>
      </c>
      <c r="B3737" s="17" t="s">
        <v>72</v>
      </c>
      <c r="C3737" s="18">
        <v>0</v>
      </c>
    </row>
    <row r="3738" spans="1:3" x14ac:dyDescent="0.2">
      <c r="A3738" s="18">
        <v>9015</v>
      </c>
      <c r="B3738" s="17">
        <v>0</v>
      </c>
      <c r="C3738" s="18">
        <v>2</v>
      </c>
    </row>
    <row r="3739" spans="1:3" x14ac:dyDescent="0.2">
      <c r="B3739" s="17" t="s">
        <v>251</v>
      </c>
      <c r="C3739" s="18">
        <v>1</v>
      </c>
    </row>
    <row r="3740" spans="1:3" x14ac:dyDescent="0.2">
      <c r="B3740" s="17" t="s">
        <v>287</v>
      </c>
      <c r="C3740" s="18">
        <v>1</v>
      </c>
    </row>
    <row r="3741" spans="1:3" x14ac:dyDescent="0.2">
      <c r="B3741" s="17" t="s">
        <v>245</v>
      </c>
      <c r="C3741" s="18">
        <v>1</v>
      </c>
    </row>
    <row r="3742" spans="1:3" x14ac:dyDescent="0.2">
      <c r="B3742" s="17" t="s">
        <v>249</v>
      </c>
      <c r="C3742" s="18">
        <v>1</v>
      </c>
    </row>
    <row r="3743" spans="1:3" x14ac:dyDescent="0.2">
      <c r="B3743" s="17" t="s">
        <v>264</v>
      </c>
      <c r="C3743" s="18">
        <v>1</v>
      </c>
    </row>
    <row r="3744" spans="1:3" x14ac:dyDescent="0.2">
      <c r="B3744" s="17" t="s">
        <v>319</v>
      </c>
      <c r="C3744" s="18">
        <v>1</v>
      </c>
    </row>
    <row r="3745" spans="1:3" x14ac:dyDescent="0.2">
      <c r="B3745" s="17" t="s">
        <v>318</v>
      </c>
      <c r="C3745" s="18">
        <v>2</v>
      </c>
    </row>
    <row r="3746" spans="1:3" x14ac:dyDescent="0.2">
      <c r="B3746" s="17" t="s">
        <v>80</v>
      </c>
      <c r="C3746" s="18">
        <v>1</v>
      </c>
    </row>
    <row r="3747" spans="1:3" x14ac:dyDescent="0.2">
      <c r="B3747" s="17" t="s">
        <v>79</v>
      </c>
      <c r="C3747" s="18">
        <v>1</v>
      </c>
    </row>
    <row r="3748" spans="1:3" hidden="1" x14ac:dyDescent="0.2">
      <c r="A3748" s="18">
        <v>9027</v>
      </c>
      <c r="B3748" s="17">
        <v>0</v>
      </c>
      <c r="C3748" s="18">
        <v>0</v>
      </c>
    </row>
    <row r="3749" spans="1:3" hidden="1" x14ac:dyDescent="0.2">
      <c r="B3749" s="17" t="s">
        <v>247</v>
      </c>
      <c r="C3749" s="18">
        <v>0</v>
      </c>
    </row>
    <row r="3750" spans="1:3" hidden="1" x14ac:dyDescent="0.2">
      <c r="B3750" s="17" t="s">
        <v>304</v>
      </c>
      <c r="C3750" s="18">
        <v>0</v>
      </c>
    </row>
    <row r="3751" spans="1:3" hidden="1" x14ac:dyDescent="0.2">
      <c r="B3751" s="17" t="s">
        <v>300</v>
      </c>
      <c r="C3751" s="18">
        <v>0</v>
      </c>
    </row>
    <row r="3752" spans="1:3" hidden="1" x14ac:dyDescent="0.2">
      <c r="B3752" s="17" t="s">
        <v>318</v>
      </c>
      <c r="C3752" s="18">
        <v>0</v>
      </c>
    </row>
    <row r="3753" spans="1:3" hidden="1" x14ac:dyDescent="0.2">
      <c r="B3753" s="17" t="s">
        <v>73</v>
      </c>
      <c r="C3753" s="18">
        <v>0</v>
      </c>
    </row>
    <row r="3754" spans="1:3" hidden="1" x14ac:dyDescent="0.2">
      <c r="A3754" s="18">
        <v>8964</v>
      </c>
      <c r="B3754" s="17" t="s">
        <v>306</v>
      </c>
      <c r="C3754" s="18">
        <v>0</v>
      </c>
    </row>
    <row r="3755" spans="1:3" hidden="1" x14ac:dyDescent="0.2">
      <c r="B3755" s="17" t="s">
        <v>247</v>
      </c>
      <c r="C3755" s="18">
        <v>0</v>
      </c>
    </row>
    <row r="3756" spans="1:3" hidden="1" x14ac:dyDescent="0.2">
      <c r="B3756" s="17" t="s">
        <v>258</v>
      </c>
      <c r="C3756" s="18">
        <v>0</v>
      </c>
    </row>
    <row r="3757" spans="1:3" hidden="1" x14ac:dyDescent="0.2">
      <c r="B3757" s="17" t="s">
        <v>276</v>
      </c>
      <c r="C3757" s="18">
        <v>0</v>
      </c>
    </row>
    <row r="3758" spans="1:3" x14ac:dyDescent="0.2">
      <c r="A3758" s="18">
        <v>9023</v>
      </c>
      <c r="B3758" s="17" t="s">
        <v>304</v>
      </c>
      <c r="C3758" s="18">
        <v>1</v>
      </c>
    </row>
    <row r="3759" spans="1:3" hidden="1" x14ac:dyDescent="0.2">
      <c r="A3759" s="18">
        <v>9035</v>
      </c>
      <c r="B3759" s="17">
        <v>0</v>
      </c>
      <c r="C3759" s="18">
        <v>0</v>
      </c>
    </row>
    <row r="3760" spans="1:3" hidden="1" x14ac:dyDescent="0.2">
      <c r="B3760" s="17" t="s">
        <v>283</v>
      </c>
      <c r="C3760" s="18">
        <v>0</v>
      </c>
    </row>
    <row r="3761" spans="1:3" hidden="1" x14ac:dyDescent="0.2">
      <c r="B3761" s="17" t="s">
        <v>318</v>
      </c>
      <c r="C3761" s="18">
        <v>0</v>
      </c>
    </row>
    <row r="3762" spans="1:3" x14ac:dyDescent="0.2">
      <c r="A3762" s="18">
        <v>9062</v>
      </c>
      <c r="B3762" s="17" t="s">
        <v>464</v>
      </c>
      <c r="C3762" s="18">
        <v>100</v>
      </c>
    </row>
    <row r="3763" spans="1:3" x14ac:dyDescent="0.2">
      <c r="B3763" s="17" t="s">
        <v>607</v>
      </c>
      <c r="C3763" s="18">
        <v>53</v>
      </c>
    </row>
    <row r="3764" spans="1:3" hidden="1" x14ac:dyDescent="0.2">
      <c r="A3764" s="18">
        <v>9064</v>
      </c>
      <c r="B3764" s="17" t="s">
        <v>258</v>
      </c>
      <c r="C3764" s="18">
        <v>0</v>
      </c>
    </row>
    <row r="3765" spans="1:3" x14ac:dyDescent="0.2">
      <c r="A3765" s="18">
        <v>9063</v>
      </c>
      <c r="B3765" s="17">
        <v>0</v>
      </c>
      <c r="C3765" s="18">
        <v>1</v>
      </c>
    </row>
    <row r="3766" spans="1:3" x14ac:dyDescent="0.2">
      <c r="B3766" s="17" t="s">
        <v>251</v>
      </c>
      <c r="C3766" s="18">
        <v>1</v>
      </c>
    </row>
    <row r="3767" spans="1:3" x14ac:dyDescent="0.2">
      <c r="B3767" s="17" t="s">
        <v>270</v>
      </c>
      <c r="C3767" s="18">
        <v>1</v>
      </c>
    </row>
    <row r="3768" spans="1:3" x14ac:dyDescent="0.2">
      <c r="B3768" s="17" t="s">
        <v>245</v>
      </c>
      <c r="C3768" s="18">
        <v>1</v>
      </c>
    </row>
    <row r="3769" spans="1:3" x14ac:dyDescent="0.2">
      <c r="B3769" s="17" t="s">
        <v>249</v>
      </c>
      <c r="C3769" s="18">
        <v>1</v>
      </c>
    </row>
    <row r="3770" spans="1:3" x14ac:dyDescent="0.2">
      <c r="B3770" s="17" t="s">
        <v>264</v>
      </c>
      <c r="C3770" s="18">
        <v>1</v>
      </c>
    </row>
    <row r="3771" spans="1:3" x14ac:dyDescent="0.2">
      <c r="B3771" s="17" t="s">
        <v>319</v>
      </c>
      <c r="C3771" s="18">
        <v>1</v>
      </c>
    </row>
    <row r="3772" spans="1:3" x14ac:dyDescent="0.2">
      <c r="B3772" s="17" t="s">
        <v>318</v>
      </c>
      <c r="C3772" s="18">
        <v>2</v>
      </c>
    </row>
    <row r="3773" spans="1:3" x14ac:dyDescent="0.2">
      <c r="B3773" s="17" t="s">
        <v>80</v>
      </c>
      <c r="C3773" s="18">
        <v>1</v>
      </c>
    </row>
    <row r="3774" spans="1:3" x14ac:dyDescent="0.2">
      <c r="B3774" s="17" t="s">
        <v>79</v>
      </c>
      <c r="C3774" s="18">
        <v>1</v>
      </c>
    </row>
    <row r="3775" spans="1:3" x14ac:dyDescent="0.2">
      <c r="A3775" s="18">
        <v>9065</v>
      </c>
      <c r="B3775" s="17" t="s">
        <v>72</v>
      </c>
      <c r="C3775" s="18">
        <v>1</v>
      </c>
    </row>
    <row r="3776" spans="1:3" hidden="1" x14ac:dyDescent="0.2">
      <c r="A3776" s="18">
        <v>9080</v>
      </c>
      <c r="B3776" s="17" t="s">
        <v>258</v>
      </c>
      <c r="C3776" s="18">
        <v>0</v>
      </c>
    </row>
    <row r="3777" spans="1:3" hidden="1" x14ac:dyDescent="0.2">
      <c r="B3777" s="17" t="s">
        <v>256</v>
      </c>
      <c r="C3777" s="18">
        <v>0</v>
      </c>
    </row>
    <row r="3778" spans="1:3" hidden="1" x14ac:dyDescent="0.2">
      <c r="B3778" s="17" t="s">
        <v>300</v>
      </c>
      <c r="C3778" s="18">
        <v>0</v>
      </c>
    </row>
    <row r="3779" spans="1:3" hidden="1" x14ac:dyDescent="0.2">
      <c r="B3779" s="17" t="s">
        <v>245</v>
      </c>
      <c r="C3779" s="18">
        <v>0</v>
      </c>
    </row>
    <row r="3780" spans="1:3" hidden="1" x14ac:dyDescent="0.2">
      <c r="B3780" s="17" t="s">
        <v>273</v>
      </c>
      <c r="C3780" s="18">
        <v>0</v>
      </c>
    </row>
    <row r="3781" spans="1:3" hidden="1" x14ac:dyDescent="0.2">
      <c r="B3781" s="17" t="s">
        <v>263</v>
      </c>
      <c r="C3781" s="18">
        <v>0</v>
      </c>
    </row>
    <row r="3782" spans="1:3" hidden="1" x14ac:dyDescent="0.2">
      <c r="B3782" s="17" t="s">
        <v>72</v>
      </c>
      <c r="C3782" s="18">
        <v>0</v>
      </c>
    </row>
    <row r="3783" spans="1:3" hidden="1" x14ac:dyDescent="0.2">
      <c r="B3783" s="17" t="s">
        <v>264</v>
      </c>
      <c r="C3783" s="18">
        <v>0</v>
      </c>
    </row>
    <row r="3784" spans="1:3" hidden="1" x14ac:dyDescent="0.2">
      <c r="B3784" s="17" t="s">
        <v>319</v>
      </c>
      <c r="C3784" s="18">
        <v>0</v>
      </c>
    </row>
    <row r="3785" spans="1:3" hidden="1" x14ac:dyDescent="0.2">
      <c r="B3785" s="17" t="s">
        <v>318</v>
      </c>
      <c r="C3785" s="18">
        <v>0</v>
      </c>
    </row>
    <row r="3786" spans="1:3" hidden="1" x14ac:dyDescent="0.2">
      <c r="B3786" s="17" t="s">
        <v>80</v>
      </c>
      <c r="C3786" s="18">
        <v>0</v>
      </c>
    </row>
    <row r="3787" spans="1:3" hidden="1" x14ac:dyDescent="0.2">
      <c r="A3787" s="18">
        <v>7626</v>
      </c>
      <c r="B3787" s="17">
        <v>0</v>
      </c>
      <c r="C3787" s="18">
        <v>0</v>
      </c>
    </row>
    <row r="3788" spans="1:3" hidden="1" x14ac:dyDescent="0.2">
      <c r="B3788" s="17" t="s">
        <v>245</v>
      </c>
      <c r="C3788" s="18">
        <v>0</v>
      </c>
    </row>
    <row r="3789" spans="1:3" hidden="1" x14ac:dyDescent="0.2">
      <c r="B3789" s="17" t="s">
        <v>272</v>
      </c>
      <c r="C3789" s="18">
        <v>0</v>
      </c>
    </row>
    <row r="3790" spans="1:3" hidden="1" x14ac:dyDescent="0.2">
      <c r="B3790" s="17" t="s">
        <v>319</v>
      </c>
      <c r="C3790" s="18">
        <v>0</v>
      </c>
    </row>
    <row r="3791" spans="1:3" hidden="1" x14ac:dyDescent="0.2">
      <c r="B3791" s="17" t="s">
        <v>318</v>
      </c>
      <c r="C3791" s="18">
        <v>0</v>
      </c>
    </row>
    <row r="3792" spans="1:3" hidden="1" x14ac:dyDescent="0.2">
      <c r="A3792" s="18">
        <v>7891</v>
      </c>
      <c r="B3792" s="17">
        <v>0</v>
      </c>
      <c r="C3792" s="18">
        <v>0</v>
      </c>
    </row>
    <row r="3793" spans="1:3" hidden="1" x14ac:dyDescent="0.2">
      <c r="B3793" s="17" t="s">
        <v>251</v>
      </c>
      <c r="C3793" s="18">
        <v>0</v>
      </c>
    </row>
    <row r="3794" spans="1:3" hidden="1" x14ac:dyDescent="0.2">
      <c r="B3794" s="17" t="s">
        <v>287</v>
      </c>
      <c r="C3794" s="18">
        <v>0</v>
      </c>
    </row>
    <row r="3795" spans="1:3" hidden="1" x14ac:dyDescent="0.2">
      <c r="B3795" s="17" t="s">
        <v>245</v>
      </c>
      <c r="C3795" s="18">
        <v>0</v>
      </c>
    </row>
    <row r="3796" spans="1:3" hidden="1" x14ac:dyDescent="0.2">
      <c r="B3796" s="17" t="s">
        <v>249</v>
      </c>
      <c r="C3796" s="18">
        <v>0</v>
      </c>
    </row>
    <row r="3797" spans="1:3" hidden="1" x14ac:dyDescent="0.2">
      <c r="B3797" s="17" t="s">
        <v>273</v>
      </c>
      <c r="C3797" s="18">
        <v>0</v>
      </c>
    </row>
    <row r="3798" spans="1:3" hidden="1" x14ac:dyDescent="0.2">
      <c r="B3798" s="17" t="s">
        <v>272</v>
      </c>
      <c r="C3798" s="18">
        <v>0</v>
      </c>
    </row>
    <row r="3799" spans="1:3" hidden="1" x14ac:dyDescent="0.2">
      <c r="B3799" s="17" t="s">
        <v>319</v>
      </c>
      <c r="C3799" s="18">
        <v>0</v>
      </c>
    </row>
    <row r="3800" spans="1:3" hidden="1" x14ac:dyDescent="0.2">
      <c r="B3800" s="17" t="s">
        <v>318</v>
      </c>
      <c r="C3800" s="18">
        <v>0</v>
      </c>
    </row>
    <row r="3801" spans="1:3" x14ac:dyDescent="0.2">
      <c r="A3801" s="18">
        <v>9116</v>
      </c>
      <c r="B3801" s="17">
        <v>0</v>
      </c>
      <c r="C3801" s="18">
        <v>1</v>
      </c>
    </row>
    <row r="3802" spans="1:3" x14ac:dyDescent="0.2">
      <c r="B3802" s="17" t="s">
        <v>251</v>
      </c>
      <c r="C3802" s="18">
        <v>2</v>
      </c>
    </row>
    <row r="3803" spans="1:3" x14ac:dyDescent="0.2">
      <c r="B3803" s="17" t="s">
        <v>245</v>
      </c>
      <c r="C3803" s="18">
        <v>1</v>
      </c>
    </row>
    <row r="3804" spans="1:3" x14ac:dyDescent="0.2">
      <c r="B3804" s="17" t="s">
        <v>248</v>
      </c>
      <c r="C3804" s="18">
        <v>1</v>
      </c>
    </row>
    <row r="3805" spans="1:3" x14ac:dyDescent="0.2">
      <c r="B3805" s="17" t="s">
        <v>249</v>
      </c>
      <c r="C3805" s="18">
        <v>1</v>
      </c>
    </row>
    <row r="3806" spans="1:3" x14ac:dyDescent="0.2">
      <c r="B3806" s="17" t="s">
        <v>260</v>
      </c>
      <c r="C3806" s="18">
        <v>1</v>
      </c>
    </row>
    <row r="3807" spans="1:3" x14ac:dyDescent="0.2">
      <c r="B3807" s="17" t="s">
        <v>264</v>
      </c>
      <c r="C3807" s="18">
        <v>1</v>
      </c>
    </row>
    <row r="3808" spans="1:3" x14ac:dyDescent="0.2">
      <c r="B3808" s="17" t="s">
        <v>319</v>
      </c>
      <c r="C3808" s="18">
        <v>1</v>
      </c>
    </row>
    <row r="3809" spans="1:3" x14ac:dyDescent="0.2">
      <c r="B3809" s="17" t="s">
        <v>318</v>
      </c>
      <c r="C3809" s="18">
        <v>2</v>
      </c>
    </row>
    <row r="3810" spans="1:3" x14ac:dyDescent="0.2">
      <c r="B3810" s="17" t="s">
        <v>80</v>
      </c>
      <c r="C3810" s="18">
        <v>1</v>
      </c>
    </row>
    <row r="3811" spans="1:3" x14ac:dyDescent="0.2">
      <c r="B3811" s="17" t="s">
        <v>79</v>
      </c>
      <c r="C3811" s="18">
        <v>2</v>
      </c>
    </row>
    <row r="3812" spans="1:3" x14ac:dyDescent="0.2">
      <c r="A3812" s="18">
        <v>9113</v>
      </c>
      <c r="B3812" s="17">
        <v>0</v>
      </c>
      <c r="C3812" s="18">
        <v>2</v>
      </c>
    </row>
    <row r="3813" spans="1:3" x14ac:dyDescent="0.2">
      <c r="B3813" s="17" t="s">
        <v>251</v>
      </c>
      <c r="C3813" s="18">
        <v>1</v>
      </c>
    </row>
    <row r="3814" spans="1:3" x14ac:dyDescent="0.2">
      <c r="B3814" s="17" t="s">
        <v>258</v>
      </c>
      <c r="C3814" s="18">
        <v>1</v>
      </c>
    </row>
    <row r="3815" spans="1:3" x14ac:dyDescent="0.2">
      <c r="B3815" s="17" t="s">
        <v>256</v>
      </c>
      <c r="C3815" s="18">
        <v>1</v>
      </c>
    </row>
    <row r="3816" spans="1:3" x14ac:dyDescent="0.2">
      <c r="B3816" s="17" t="s">
        <v>245</v>
      </c>
      <c r="C3816" s="18">
        <v>1</v>
      </c>
    </row>
    <row r="3817" spans="1:3" x14ac:dyDescent="0.2">
      <c r="B3817" s="17" t="s">
        <v>249</v>
      </c>
      <c r="C3817" s="18">
        <v>1</v>
      </c>
    </row>
    <row r="3818" spans="1:3" x14ac:dyDescent="0.2">
      <c r="B3818" s="17" t="s">
        <v>255</v>
      </c>
      <c r="C3818" s="18">
        <v>1</v>
      </c>
    </row>
    <row r="3819" spans="1:3" x14ac:dyDescent="0.2">
      <c r="B3819" s="17" t="s">
        <v>264</v>
      </c>
      <c r="C3819" s="18">
        <v>1</v>
      </c>
    </row>
    <row r="3820" spans="1:3" x14ac:dyDescent="0.2">
      <c r="B3820" s="17" t="s">
        <v>319</v>
      </c>
      <c r="C3820" s="18">
        <v>2</v>
      </c>
    </row>
    <row r="3821" spans="1:3" x14ac:dyDescent="0.2">
      <c r="B3821" s="17" t="s">
        <v>318</v>
      </c>
      <c r="C3821" s="18">
        <v>2</v>
      </c>
    </row>
    <row r="3822" spans="1:3" x14ac:dyDescent="0.2">
      <c r="B3822" s="17" t="s">
        <v>80</v>
      </c>
      <c r="C3822" s="18">
        <v>1</v>
      </c>
    </row>
    <row r="3823" spans="1:3" x14ac:dyDescent="0.2">
      <c r="B3823" s="17" t="s">
        <v>79</v>
      </c>
      <c r="C3823" s="18">
        <v>5</v>
      </c>
    </row>
    <row r="3824" spans="1:3" x14ac:dyDescent="0.2">
      <c r="A3824" s="18">
        <v>9122</v>
      </c>
      <c r="B3824" s="17">
        <v>0</v>
      </c>
      <c r="C3824" s="18">
        <v>20</v>
      </c>
    </row>
    <row r="3825" spans="2:3" x14ac:dyDescent="0.2">
      <c r="B3825" s="17" t="s">
        <v>250</v>
      </c>
      <c r="C3825" s="18">
        <v>2250</v>
      </c>
    </row>
    <row r="3826" spans="2:3" x14ac:dyDescent="0.2">
      <c r="B3826" s="17" t="s">
        <v>247</v>
      </c>
      <c r="C3826" s="18">
        <v>40</v>
      </c>
    </row>
    <row r="3827" spans="2:3" x14ac:dyDescent="0.2">
      <c r="B3827" s="17" t="s">
        <v>311</v>
      </c>
      <c r="C3827" s="18">
        <v>1296</v>
      </c>
    </row>
    <row r="3828" spans="2:3" x14ac:dyDescent="0.2">
      <c r="B3828" s="17" t="s">
        <v>245</v>
      </c>
      <c r="C3828" s="18">
        <v>98</v>
      </c>
    </row>
    <row r="3829" spans="2:3" x14ac:dyDescent="0.2">
      <c r="B3829" s="17" t="s">
        <v>248</v>
      </c>
      <c r="C3829" s="18">
        <v>120</v>
      </c>
    </row>
    <row r="3830" spans="2:3" x14ac:dyDescent="0.2">
      <c r="B3830" s="17" t="s">
        <v>284</v>
      </c>
      <c r="C3830" s="18">
        <v>10</v>
      </c>
    </row>
    <row r="3831" spans="2:3" x14ac:dyDescent="0.2">
      <c r="B3831" s="17" t="s">
        <v>249</v>
      </c>
      <c r="C3831" s="18">
        <v>30</v>
      </c>
    </row>
    <row r="3832" spans="2:3" x14ac:dyDescent="0.2">
      <c r="B3832" s="17" t="s">
        <v>72</v>
      </c>
      <c r="C3832" s="18">
        <v>20</v>
      </c>
    </row>
    <row r="3833" spans="2:3" x14ac:dyDescent="0.2">
      <c r="B3833" s="17" t="s">
        <v>264</v>
      </c>
      <c r="C3833" s="18">
        <v>186</v>
      </c>
    </row>
    <row r="3834" spans="2:3" x14ac:dyDescent="0.2">
      <c r="B3834" s="17" t="s">
        <v>319</v>
      </c>
      <c r="C3834" s="18">
        <v>70</v>
      </c>
    </row>
    <row r="3835" spans="2:3" x14ac:dyDescent="0.2">
      <c r="B3835" s="17" t="s">
        <v>320</v>
      </c>
      <c r="C3835" s="18">
        <v>84</v>
      </c>
    </row>
    <row r="3836" spans="2:3" x14ac:dyDescent="0.2">
      <c r="B3836" s="17" t="s">
        <v>321</v>
      </c>
      <c r="C3836" s="18">
        <v>14</v>
      </c>
    </row>
    <row r="3837" spans="2:3" x14ac:dyDescent="0.2">
      <c r="B3837" s="17" t="s">
        <v>322</v>
      </c>
      <c r="C3837" s="18">
        <v>2</v>
      </c>
    </row>
    <row r="3838" spans="2:3" x14ac:dyDescent="0.2">
      <c r="B3838" s="17" t="s">
        <v>324</v>
      </c>
      <c r="C3838" s="18">
        <v>62</v>
      </c>
    </row>
    <row r="3839" spans="2:3" x14ac:dyDescent="0.2">
      <c r="B3839" s="17" t="s">
        <v>79</v>
      </c>
      <c r="C3839" s="18">
        <v>560</v>
      </c>
    </row>
    <row r="3840" spans="2:3" x14ac:dyDescent="0.2">
      <c r="B3840" s="17" t="s">
        <v>467</v>
      </c>
      <c r="C3840" s="18">
        <v>7</v>
      </c>
    </row>
    <row r="3841" spans="1:3" x14ac:dyDescent="0.2">
      <c r="B3841" s="17" t="s">
        <v>608</v>
      </c>
      <c r="C3841" s="18">
        <v>20</v>
      </c>
    </row>
    <row r="3842" spans="1:3" x14ac:dyDescent="0.2">
      <c r="A3842" s="18">
        <v>9105</v>
      </c>
      <c r="B3842" s="17" t="s">
        <v>387</v>
      </c>
      <c r="C3842" s="18">
        <v>10</v>
      </c>
    </row>
    <row r="3843" spans="1:3" x14ac:dyDescent="0.2">
      <c r="A3843" s="18">
        <v>9117</v>
      </c>
      <c r="B3843" s="17" t="s">
        <v>322</v>
      </c>
      <c r="C3843" s="18">
        <v>40</v>
      </c>
    </row>
    <row r="3844" spans="1:3" x14ac:dyDescent="0.2">
      <c r="B3844" s="17" t="s">
        <v>80</v>
      </c>
      <c r="C3844" s="18">
        <v>2</v>
      </c>
    </row>
    <row r="3845" spans="1:3" x14ac:dyDescent="0.2">
      <c r="B3845" s="17" t="s">
        <v>419</v>
      </c>
      <c r="C3845" s="18">
        <v>540</v>
      </c>
    </row>
    <row r="3846" spans="1:3" hidden="1" x14ac:dyDescent="0.2">
      <c r="A3846" s="18">
        <v>8895</v>
      </c>
      <c r="B3846" s="17" t="s">
        <v>318</v>
      </c>
      <c r="C3846" s="18">
        <v>0</v>
      </c>
    </row>
    <row r="3847" spans="1:3" x14ac:dyDescent="0.2">
      <c r="A3847" s="18">
        <v>9143</v>
      </c>
      <c r="B3847" s="17">
        <v>0</v>
      </c>
      <c r="C3847" s="18">
        <v>4</v>
      </c>
    </row>
    <row r="3848" spans="1:3" x14ac:dyDescent="0.2">
      <c r="B3848" s="17" t="s">
        <v>258</v>
      </c>
      <c r="C3848" s="18">
        <v>1</v>
      </c>
    </row>
    <row r="3849" spans="1:3" x14ac:dyDescent="0.2">
      <c r="B3849" s="17" t="s">
        <v>256</v>
      </c>
      <c r="C3849" s="18">
        <v>6</v>
      </c>
    </row>
    <row r="3850" spans="1:3" x14ac:dyDescent="0.2">
      <c r="B3850" s="17" t="s">
        <v>263</v>
      </c>
      <c r="C3850" s="18">
        <v>14</v>
      </c>
    </row>
    <row r="3851" spans="1:3" x14ac:dyDescent="0.2">
      <c r="B3851" s="17" t="s">
        <v>274</v>
      </c>
      <c r="C3851" s="18">
        <v>1</v>
      </c>
    </row>
    <row r="3852" spans="1:3" x14ac:dyDescent="0.2">
      <c r="B3852" s="17" t="s">
        <v>260</v>
      </c>
      <c r="C3852" s="18">
        <v>5</v>
      </c>
    </row>
    <row r="3853" spans="1:3" x14ac:dyDescent="0.2">
      <c r="B3853" s="17" t="s">
        <v>72</v>
      </c>
      <c r="C3853" s="18">
        <v>2</v>
      </c>
    </row>
    <row r="3854" spans="1:3" x14ac:dyDescent="0.2">
      <c r="B3854" s="17" t="s">
        <v>255</v>
      </c>
      <c r="C3854" s="18">
        <v>4</v>
      </c>
    </row>
    <row r="3855" spans="1:3" x14ac:dyDescent="0.2">
      <c r="B3855" s="17" t="s">
        <v>321</v>
      </c>
      <c r="C3855" s="18">
        <v>2</v>
      </c>
    </row>
    <row r="3856" spans="1:3" x14ac:dyDescent="0.2">
      <c r="B3856" s="17" t="s">
        <v>318</v>
      </c>
      <c r="C3856" s="18">
        <v>14</v>
      </c>
    </row>
    <row r="3857" spans="1:3" x14ac:dyDescent="0.2">
      <c r="B3857" s="17" t="s">
        <v>80</v>
      </c>
      <c r="C3857" s="18">
        <v>3</v>
      </c>
    </row>
    <row r="3858" spans="1:3" x14ac:dyDescent="0.2">
      <c r="B3858" s="17" t="s">
        <v>325</v>
      </c>
      <c r="C3858" s="18">
        <v>2</v>
      </c>
    </row>
    <row r="3859" spans="1:3" x14ac:dyDescent="0.2">
      <c r="B3859" s="17" t="s">
        <v>328</v>
      </c>
      <c r="C3859" s="18">
        <v>2</v>
      </c>
    </row>
    <row r="3860" spans="1:3" x14ac:dyDescent="0.2">
      <c r="B3860" s="17" t="s">
        <v>391</v>
      </c>
      <c r="C3860" s="18">
        <v>1</v>
      </c>
    </row>
    <row r="3861" spans="1:3" x14ac:dyDescent="0.2">
      <c r="B3861" s="17" t="s">
        <v>419</v>
      </c>
      <c r="C3861" s="18">
        <v>20</v>
      </c>
    </row>
    <row r="3862" spans="1:3" x14ac:dyDescent="0.2">
      <c r="B3862" s="17" t="s">
        <v>430</v>
      </c>
      <c r="C3862" s="18">
        <v>1</v>
      </c>
    </row>
    <row r="3863" spans="1:3" x14ac:dyDescent="0.2">
      <c r="B3863" s="17" t="s">
        <v>79</v>
      </c>
      <c r="C3863" s="18">
        <v>60</v>
      </c>
    </row>
    <row r="3864" spans="1:3" x14ac:dyDescent="0.2">
      <c r="A3864" s="18">
        <v>9131</v>
      </c>
      <c r="B3864" s="17">
        <v>0</v>
      </c>
      <c r="C3864" s="18">
        <v>1</v>
      </c>
    </row>
    <row r="3865" spans="1:3" x14ac:dyDescent="0.2">
      <c r="B3865" s="17" t="s">
        <v>251</v>
      </c>
      <c r="C3865" s="18">
        <v>1</v>
      </c>
    </row>
    <row r="3866" spans="1:3" x14ac:dyDescent="0.2">
      <c r="B3866" s="17" t="s">
        <v>256</v>
      </c>
      <c r="C3866" s="18">
        <v>1</v>
      </c>
    </row>
    <row r="3867" spans="1:3" x14ac:dyDescent="0.2">
      <c r="B3867" s="17" t="s">
        <v>270</v>
      </c>
      <c r="C3867" s="18">
        <v>1</v>
      </c>
    </row>
    <row r="3868" spans="1:3" x14ac:dyDescent="0.2">
      <c r="B3868" s="17" t="s">
        <v>245</v>
      </c>
      <c r="C3868" s="18">
        <v>1</v>
      </c>
    </row>
    <row r="3869" spans="1:3" x14ac:dyDescent="0.2">
      <c r="B3869" s="17" t="s">
        <v>249</v>
      </c>
      <c r="C3869" s="18">
        <v>1</v>
      </c>
    </row>
    <row r="3870" spans="1:3" x14ac:dyDescent="0.2">
      <c r="B3870" s="17" t="s">
        <v>264</v>
      </c>
      <c r="C3870" s="18">
        <v>1</v>
      </c>
    </row>
    <row r="3871" spans="1:3" x14ac:dyDescent="0.2">
      <c r="B3871" s="17" t="s">
        <v>319</v>
      </c>
      <c r="C3871" s="18">
        <v>1</v>
      </c>
    </row>
    <row r="3872" spans="1:3" x14ac:dyDescent="0.2">
      <c r="B3872" s="17" t="s">
        <v>318</v>
      </c>
      <c r="C3872" s="18">
        <v>2</v>
      </c>
    </row>
    <row r="3873" spans="1:3" x14ac:dyDescent="0.2">
      <c r="B3873" s="17" t="s">
        <v>80</v>
      </c>
      <c r="C3873" s="18">
        <v>1</v>
      </c>
    </row>
    <row r="3874" spans="1:3" x14ac:dyDescent="0.2">
      <c r="B3874" s="17" t="s">
        <v>79</v>
      </c>
      <c r="C3874" s="18">
        <v>1</v>
      </c>
    </row>
    <row r="3875" spans="1:3" hidden="1" x14ac:dyDescent="0.2">
      <c r="A3875" s="18">
        <v>8843</v>
      </c>
      <c r="B3875" s="17" t="s">
        <v>78</v>
      </c>
      <c r="C3875" s="18">
        <v>0</v>
      </c>
    </row>
    <row r="3876" spans="1:3" hidden="1" x14ac:dyDescent="0.2">
      <c r="A3876" s="18">
        <v>9164</v>
      </c>
      <c r="B3876" s="17">
        <v>0</v>
      </c>
      <c r="C3876" s="18">
        <v>0</v>
      </c>
    </row>
    <row r="3877" spans="1:3" hidden="1" x14ac:dyDescent="0.2">
      <c r="B3877" s="17" t="s">
        <v>291</v>
      </c>
      <c r="C3877" s="18">
        <v>0</v>
      </c>
    </row>
    <row r="3878" spans="1:3" x14ac:dyDescent="0.2">
      <c r="B3878" s="17" t="s">
        <v>311</v>
      </c>
      <c r="C3878" s="18">
        <v>5000</v>
      </c>
    </row>
    <row r="3879" spans="1:3" hidden="1" x14ac:dyDescent="0.2">
      <c r="B3879" s="17" t="s">
        <v>269</v>
      </c>
      <c r="C3879" s="18">
        <v>0</v>
      </c>
    </row>
    <row r="3880" spans="1:3" x14ac:dyDescent="0.2">
      <c r="B3880" s="17" t="s">
        <v>248</v>
      </c>
      <c r="C3880" s="18">
        <v>400</v>
      </c>
    </row>
    <row r="3881" spans="1:3" x14ac:dyDescent="0.2">
      <c r="B3881" s="17" t="s">
        <v>249</v>
      </c>
      <c r="C3881" s="18">
        <v>1200</v>
      </c>
    </row>
    <row r="3882" spans="1:3" hidden="1" x14ac:dyDescent="0.2">
      <c r="B3882" s="17" t="s">
        <v>72</v>
      </c>
      <c r="C3882" s="18">
        <v>0</v>
      </c>
    </row>
    <row r="3883" spans="1:3" x14ac:dyDescent="0.2">
      <c r="B3883" s="17" t="s">
        <v>318</v>
      </c>
      <c r="C3883" s="18">
        <v>183</v>
      </c>
    </row>
    <row r="3884" spans="1:3" x14ac:dyDescent="0.2">
      <c r="B3884" s="17" t="s">
        <v>73</v>
      </c>
      <c r="C3884" s="18">
        <v>500</v>
      </c>
    </row>
    <row r="3885" spans="1:3" x14ac:dyDescent="0.2">
      <c r="B3885" s="17" t="s">
        <v>378</v>
      </c>
      <c r="C3885" s="18">
        <v>1000</v>
      </c>
    </row>
    <row r="3886" spans="1:3" x14ac:dyDescent="0.2">
      <c r="B3886" s="17" t="s">
        <v>419</v>
      </c>
      <c r="C3886" s="18">
        <v>700</v>
      </c>
    </row>
    <row r="3887" spans="1:3" hidden="1" x14ac:dyDescent="0.2">
      <c r="B3887" s="17" t="s">
        <v>79</v>
      </c>
      <c r="C3887" s="18">
        <v>0</v>
      </c>
    </row>
    <row r="3888" spans="1:3" x14ac:dyDescent="0.2">
      <c r="B3888" s="17" t="s">
        <v>458</v>
      </c>
      <c r="C3888" s="18">
        <v>260</v>
      </c>
    </row>
    <row r="3889" spans="1:3" x14ac:dyDescent="0.2">
      <c r="A3889" s="18">
        <v>9160</v>
      </c>
      <c r="B3889" s="17">
        <v>0</v>
      </c>
      <c r="C3889" s="18">
        <v>5</v>
      </c>
    </row>
    <row r="3890" spans="1:3" x14ac:dyDescent="0.2">
      <c r="B3890" s="17" t="s">
        <v>258</v>
      </c>
      <c r="C3890" s="18">
        <v>5</v>
      </c>
    </row>
    <row r="3891" spans="1:3" x14ac:dyDescent="0.2">
      <c r="B3891" s="17" t="s">
        <v>256</v>
      </c>
      <c r="C3891" s="18">
        <v>5</v>
      </c>
    </row>
    <row r="3892" spans="1:3" x14ac:dyDescent="0.2">
      <c r="B3892" s="17" t="s">
        <v>288</v>
      </c>
      <c r="C3892" s="18">
        <v>5</v>
      </c>
    </row>
    <row r="3893" spans="1:3" x14ac:dyDescent="0.2">
      <c r="B3893" s="17" t="s">
        <v>245</v>
      </c>
      <c r="C3893" s="18">
        <v>5</v>
      </c>
    </row>
    <row r="3894" spans="1:3" x14ac:dyDescent="0.2">
      <c r="B3894" s="17" t="s">
        <v>249</v>
      </c>
      <c r="C3894" s="18">
        <v>5</v>
      </c>
    </row>
    <row r="3895" spans="1:3" x14ac:dyDescent="0.2">
      <c r="B3895" s="17" t="s">
        <v>264</v>
      </c>
      <c r="C3895" s="18">
        <v>5</v>
      </c>
    </row>
    <row r="3896" spans="1:3" x14ac:dyDescent="0.2">
      <c r="B3896" s="17" t="s">
        <v>319</v>
      </c>
      <c r="C3896" s="18">
        <v>5</v>
      </c>
    </row>
    <row r="3897" spans="1:3" x14ac:dyDescent="0.2">
      <c r="B3897" s="17" t="s">
        <v>318</v>
      </c>
      <c r="C3897" s="18">
        <v>10</v>
      </c>
    </row>
    <row r="3898" spans="1:3" x14ac:dyDescent="0.2">
      <c r="B3898" s="17" t="s">
        <v>80</v>
      </c>
      <c r="C3898" s="18">
        <v>5</v>
      </c>
    </row>
    <row r="3899" spans="1:3" x14ac:dyDescent="0.2">
      <c r="B3899" s="17" t="s">
        <v>79</v>
      </c>
      <c r="C3899" s="18">
        <v>10</v>
      </c>
    </row>
    <row r="3900" spans="1:3" hidden="1" x14ac:dyDescent="0.2">
      <c r="A3900" s="18">
        <v>8869</v>
      </c>
      <c r="B3900" s="17" t="s">
        <v>304</v>
      </c>
      <c r="C3900" s="18">
        <v>0</v>
      </c>
    </row>
    <row r="3901" spans="1:3" hidden="1" x14ac:dyDescent="0.2">
      <c r="B3901" s="17" t="s">
        <v>249</v>
      </c>
      <c r="C3901" s="18">
        <v>0</v>
      </c>
    </row>
    <row r="3902" spans="1:3" hidden="1" x14ac:dyDescent="0.2">
      <c r="B3902" s="17" t="s">
        <v>264</v>
      </c>
      <c r="C3902" s="18">
        <v>0</v>
      </c>
    </row>
    <row r="3903" spans="1:3" hidden="1" x14ac:dyDescent="0.2">
      <c r="B3903" s="17" t="s">
        <v>318</v>
      </c>
      <c r="C3903" s="18">
        <v>0</v>
      </c>
    </row>
    <row r="3904" spans="1:3" hidden="1" x14ac:dyDescent="0.2">
      <c r="A3904" s="18">
        <v>8786</v>
      </c>
      <c r="B3904" s="17" t="s">
        <v>287</v>
      </c>
      <c r="C3904" s="18">
        <v>0</v>
      </c>
    </row>
    <row r="3905" spans="1:3" hidden="1" x14ac:dyDescent="0.2">
      <c r="B3905" s="17" t="s">
        <v>274</v>
      </c>
      <c r="C3905" s="18">
        <v>0</v>
      </c>
    </row>
    <row r="3906" spans="1:3" hidden="1" x14ac:dyDescent="0.2">
      <c r="B3906" s="17" t="s">
        <v>281</v>
      </c>
      <c r="C3906" s="18">
        <v>0</v>
      </c>
    </row>
    <row r="3907" spans="1:3" hidden="1" x14ac:dyDescent="0.2">
      <c r="B3907" s="17" t="s">
        <v>260</v>
      </c>
      <c r="C3907" s="18">
        <v>0</v>
      </c>
    </row>
    <row r="3908" spans="1:3" hidden="1" x14ac:dyDescent="0.2">
      <c r="B3908" s="17" t="s">
        <v>255</v>
      </c>
      <c r="C3908" s="18">
        <v>0</v>
      </c>
    </row>
    <row r="3909" spans="1:3" x14ac:dyDescent="0.2">
      <c r="A3909" s="18">
        <v>9158</v>
      </c>
      <c r="B3909" s="17">
        <v>0</v>
      </c>
      <c r="C3909" s="18">
        <v>1</v>
      </c>
    </row>
    <row r="3910" spans="1:3" x14ac:dyDescent="0.2">
      <c r="B3910" s="17" t="s">
        <v>258</v>
      </c>
      <c r="C3910" s="18">
        <v>1</v>
      </c>
    </row>
    <row r="3911" spans="1:3" x14ac:dyDescent="0.2">
      <c r="B3911" s="17" t="s">
        <v>280</v>
      </c>
      <c r="C3911" s="18">
        <v>1</v>
      </c>
    </row>
    <row r="3912" spans="1:3" x14ac:dyDescent="0.2">
      <c r="B3912" s="17" t="s">
        <v>80</v>
      </c>
      <c r="C3912" s="18">
        <v>1</v>
      </c>
    </row>
    <row r="3913" spans="1:3" x14ac:dyDescent="0.2">
      <c r="B3913" s="17" t="s">
        <v>79</v>
      </c>
      <c r="C3913" s="18">
        <v>2</v>
      </c>
    </row>
    <row r="3914" spans="1:3" hidden="1" x14ac:dyDescent="0.2">
      <c r="A3914" s="18">
        <v>9107</v>
      </c>
      <c r="B3914" s="17">
        <v>0</v>
      </c>
      <c r="C3914" s="18">
        <v>0</v>
      </c>
    </row>
    <row r="3915" spans="1:3" hidden="1" x14ac:dyDescent="0.2">
      <c r="A3915" s="18">
        <v>9152</v>
      </c>
      <c r="B3915" s="17">
        <v>0</v>
      </c>
      <c r="C3915" s="18">
        <v>0</v>
      </c>
    </row>
    <row r="3916" spans="1:3" x14ac:dyDescent="0.2">
      <c r="A3916" s="18">
        <v>9153</v>
      </c>
      <c r="B3916" s="17">
        <v>0</v>
      </c>
      <c r="C3916" s="18">
        <v>6</v>
      </c>
    </row>
    <row r="3917" spans="1:3" x14ac:dyDescent="0.2">
      <c r="B3917" s="17" t="s">
        <v>245</v>
      </c>
      <c r="C3917" s="18">
        <v>2</v>
      </c>
    </row>
    <row r="3918" spans="1:3" x14ac:dyDescent="0.2">
      <c r="B3918" s="17" t="s">
        <v>248</v>
      </c>
      <c r="C3918" s="18">
        <v>2</v>
      </c>
    </row>
    <row r="3919" spans="1:3" x14ac:dyDescent="0.2">
      <c r="B3919" s="17" t="s">
        <v>249</v>
      </c>
      <c r="C3919" s="18">
        <v>2</v>
      </c>
    </row>
    <row r="3920" spans="1:3" x14ac:dyDescent="0.2">
      <c r="B3920" s="17" t="s">
        <v>273</v>
      </c>
      <c r="C3920" s="18">
        <v>2</v>
      </c>
    </row>
    <row r="3921" spans="1:3" x14ac:dyDescent="0.2">
      <c r="B3921" s="17" t="s">
        <v>263</v>
      </c>
      <c r="C3921" s="18">
        <v>2</v>
      </c>
    </row>
    <row r="3922" spans="1:3" x14ac:dyDescent="0.2">
      <c r="B3922" s="17" t="s">
        <v>264</v>
      </c>
      <c r="C3922" s="18">
        <v>2</v>
      </c>
    </row>
    <row r="3923" spans="1:3" x14ac:dyDescent="0.2">
      <c r="B3923" s="17" t="s">
        <v>319</v>
      </c>
      <c r="C3923" s="18">
        <v>2</v>
      </c>
    </row>
    <row r="3924" spans="1:3" x14ac:dyDescent="0.2">
      <c r="B3924" s="17" t="s">
        <v>80</v>
      </c>
      <c r="C3924" s="18">
        <v>2</v>
      </c>
    </row>
    <row r="3925" spans="1:3" x14ac:dyDescent="0.2">
      <c r="B3925" s="17" t="s">
        <v>79</v>
      </c>
      <c r="C3925" s="18">
        <v>4</v>
      </c>
    </row>
    <row r="3926" spans="1:3" hidden="1" x14ac:dyDescent="0.2">
      <c r="A3926" s="18">
        <v>8766</v>
      </c>
      <c r="B3926" s="17">
        <v>0</v>
      </c>
      <c r="C3926" s="18">
        <v>0</v>
      </c>
    </row>
    <row r="3927" spans="1:3" hidden="1" x14ac:dyDescent="0.2">
      <c r="B3927" s="17" t="s">
        <v>249</v>
      </c>
      <c r="C3927" s="18">
        <v>0</v>
      </c>
    </row>
    <row r="3928" spans="1:3" hidden="1" x14ac:dyDescent="0.2">
      <c r="B3928" s="17" t="s">
        <v>274</v>
      </c>
      <c r="C3928" s="18">
        <v>0</v>
      </c>
    </row>
    <row r="3929" spans="1:3" hidden="1" x14ac:dyDescent="0.2">
      <c r="B3929" s="17" t="s">
        <v>272</v>
      </c>
      <c r="C3929" s="18">
        <v>0</v>
      </c>
    </row>
    <row r="3930" spans="1:3" hidden="1" x14ac:dyDescent="0.2">
      <c r="B3930" s="17" t="s">
        <v>264</v>
      </c>
      <c r="C3930" s="18">
        <v>0</v>
      </c>
    </row>
    <row r="3931" spans="1:3" hidden="1" x14ac:dyDescent="0.2">
      <c r="B3931" s="17" t="s">
        <v>318</v>
      </c>
      <c r="C3931" s="18">
        <v>0</v>
      </c>
    </row>
    <row r="3932" spans="1:3" x14ac:dyDescent="0.2">
      <c r="A3932" s="18">
        <v>9197</v>
      </c>
      <c r="B3932" s="17" t="s">
        <v>320</v>
      </c>
      <c r="C3932" s="18">
        <v>20</v>
      </c>
    </row>
    <row r="3933" spans="1:3" x14ac:dyDescent="0.2">
      <c r="B3933" s="17" t="s">
        <v>322</v>
      </c>
      <c r="C3933" s="18">
        <v>8</v>
      </c>
    </row>
    <row r="3934" spans="1:3" hidden="1" x14ac:dyDescent="0.2">
      <c r="A3934" s="18">
        <v>9169</v>
      </c>
      <c r="B3934" s="17" t="s">
        <v>79</v>
      </c>
      <c r="C3934" s="18">
        <v>0</v>
      </c>
    </row>
    <row r="3935" spans="1:3" hidden="1" x14ac:dyDescent="0.2">
      <c r="A3935" s="18">
        <v>8712</v>
      </c>
      <c r="B3935" s="17">
        <v>0</v>
      </c>
      <c r="C3935" s="18">
        <v>0</v>
      </c>
    </row>
    <row r="3936" spans="1:3" hidden="1" x14ac:dyDescent="0.2">
      <c r="B3936" s="17" t="s">
        <v>282</v>
      </c>
      <c r="C3936" s="18">
        <v>0</v>
      </c>
    </row>
    <row r="3937" spans="1:3" hidden="1" x14ac:dyDescent="0.2">
      <c r="B3937" s="17" t="s">
        <v>285</v>
      </c>
      <c r="C3937" s="18">
        <v>0</v>
      </c>
    </row>
    <row r="3938" spans="1:3" hidden="1" x14ac:dyDescent="0.2">
      <c r="B3938" s="17" t="s">
        <v>318</v>
      </c>
      <c r="C3938" s="18">
        <v>0</v>
      </c>
    </row>
    <row r="3939" spans="1:3" hidden="1" x14ac:dyDescent="0.2">
      <c r="B3939" s="17" t="s">
        <v>73</v>
      </c>
      <c r="C3939" s="18">
        <v>0</v>
      </c>
    </row>
    <row r="3940" spans="1:3" hidden="1" x14ac:dyDescent="0.2">
      <c r="B3940" s="17" t="s">
        <v>391</v>
      </c>
      <c r="C3940" s="18">
        <v>0</v>
      </c>
    </row>
    <row r="3941" spans="1:3" hidden="1" x14ac:dyDescent="0.2">
      <c r="A3941" s="18">
        <v>9146</v>
      </c>
      <c r="B3941" s="17">
        <v>0</v>
      </c>
      <c r="C3941" s="18">
        <v>0</v>
      </c>
    </row>
    <row r="3942" spans="1:3" hidden="1" x14ac:dyDescent="0.2">
      <c r="B3942" s="17" t="s">
        <v>257</v>
      </c>
      <c r="C3942" s="18">
        <v>0</v>
      </c>
    </row>
    <row r="3943" spans="1:3" hidden="1" x14ac:dyDescent="0.2">
      <c r="B3943" s="17" t="s">
        <v>279</v>
      </c>
      <c r="C3943" s="18">
        <v>0</v>
      </c>
    </row>
    <row r="3944" spans="1:3" hidden="1" x14ac:dyDescent="0.2">
      <c r="B3944" s="17" t="s">
        <v>318</v>
      </c>
      <c r="C3944" s="18">
        <v>0</v>
      </c>
    </row>
    <row r="3945" spans="1:3" hidden="1" x14ac:dyDescent="0.2">
      <c r="B3945" s="17" t="s">
        <v>431</v>
      </c>
      <c r="C3945" s="18">
        <v>0</v>
      </c>
    </row>
    <row r="3946" spans="1:3" x14ac:dyDescent="0.2">
      <c r="A3946" s="18">
        <v>9228</v>
      </c>
      <c r="B3946" s="17">
        <v>0</v>
      </c>
      <c r="C3946" s="18">
        <v>1</v>
      </c>
    </row>
    <row r="3947" spans="1:3" x14ac:dyDescent="0.2">
      <c r="B3947" s="17" t="s">
        <v>251</v>
      </c>
      <c r="C3947" s="18">
        <v>1</v>
      </c>
    </row>
    <row r="3948" spans="1:3" x14ac:dyDescent="0.2">
      <c r="B3948" s="17" t="s">
        <v>258</v>
      </c>
      <c r="C3948" s="18">
        <v>1</v>
      </c>
    </row>
    <row r="3949" spans="1:3" x14ac:dyDescent="0.2">
      <c r="B3949" s="17" t="s">
        <v>256</v>
      </c>
      <c r="C3949" s="18">
        <v>1</v>
      </c>
    </row>
    <row r="3950" spans="1:3" x14ac:dyDescent="0.2">
      <c r="B3950" s="17" t="s">
        <v>280</v>
      </c>
      <c r="C3950" s="18">
        <v>1</v>
      </c>
    </row>
    <row r="3951" spans="1:3" x14ac:dyDescent="0.2">
      <c r="B3951" s="17" t="s">
        <v>245</v>
      </c>
      <c r="C3951" s="18">
        <v>1</v>
      </c>
    </row>
    <row r="3952" spans="1:3" x14ac:dyDescent="0.2">
      <c r="B3952" s="17" t="s">
        <v>249</v>
      </c>
      <c r="C3952" s="18">
        <v>1</v>
      </c>
    </row>
    <row r="3953" spans="1:3" x14ac:dyDescent="0.2">
      <c r="B3953" s="17" t="s">
        <v>264</v>
      </c>
      <c r="C3953" s="18">
        <v>1</v>
      </c>
    </row>
    <row r="3954" spans="1:3" x14ac:dyDescent="0.2">
      <c r="B3954" s="17" t="s">
        <v>319</v>
      </c>
      <c r="C3954" s="18">
        <v>1</v>
      </c>
    </row>
    <row r="3955" spans="1:3" x14ac:dyDescent="0.2">
      <c r="B3955" s="17" t="s">
        <v>318</v>
      </c>
      <c r="C3955" s="18">
        <v>2</v>
      </c>
    </row>
    <row r="3956" spans="1:3" x14ac:dyDescent="0.2">
      <c r="B3956" s="17" t="s">
        <v>80</v>
      </c>
      <c r="C3956" s="18">
        <v>1</v>
      </c>
    </row>
    <row r="3957" spans="1:3" x14ac:dyDescent="0.2">
      <c r="B3957" s="17" t="s">
        <v>79</v>
      </c>
      <c r="C3957" s="18">
        <v>2</v>
      </c>
    </row>
    <row r="3958" spans="1:3" x14ac:dyDescent="0.2">
      <c r="A3958" s="18">
        <v>9247</v>
      </c>
      <c r="B3958" s="17">
        <v>0</v>
      </c>
      <c r="C3958" s="18">
        <v>1</v>
      </c>
    </row>
    <row r="3959" spans="1:3" x14ac:dyDescent="0.2">
      <c r="B3959" s="17" t="s">
        <v>251</v>
      </c>
      <c r="C3959" s="18">
        <v>1</v>
      </c>
    </row>
    <row r="3960" spans="1:3" x14ac:dyDescent="0.2">
      <c r="B3960" s="17" t="s">
        <v>291</v>
      </c>
      <c r="C3960" s="18">
        <v>1</v>
      </c>
    </row>
    <row r="3961" spans="1:3" x14ac:dyDescent="0.2">
      <c r="B3961" s="17" t="s">
        <v>256</v>
      </c>
      <c r="C3961" s="18">
        <v>1</v>
      </c>
    </row>
    <row r="3962" spans="1:3" x14ac:dyDescent="0.2">
      <c r="B3962" s="17" t="s">
        <v>288</v>
      </c>
      <c r="C3962" s="18">
        <v>1</v>
      </c>
    </row>
    <row r="3963" spans="1:3" x14ac:dyDescent="0.2">
      <c r="B3963" s="17" t="s">
        <v>245</v>
      </c>
      <c r="C3963" s="18">
        <v>1</v>
      </c>
    </row>
    <row r="3964" spans="1:3" x14ac:dyDescent="0.2">
      <c r="B3964" s="17" t="s">
        <v>248</v>
      </c>
      <c r="C3964" s="18">
        <v>1</v>
      </c>
    </row>
    <row r="3965" spans="1:3" x14ac:dyDescent="0.2">
      <c r="B3965" s="17" t="s">
        <v>249</v>
      </c>
      <c r="C3965" s="18">
        <v>1</v>
      </c>
    </row>
    <row r="3966" spans="1:3" x14ac:dyDescent="0.2">
      <c r="B3966" s="17" t="s">
        <v>264</v>
      </c>
      <c r="C3966" s="18">
        <v>1</v>
      </c>
    </row>
    <row r="3967" spans="1:3" x14ac:dyDescent="0.2">
      <c r="B3967" s="17" t="s">
        <v>319</v>
      </c>
      <c r="C3967" s="18">
        <v>1</v>
      </c>
    </row>
    <row r="3968" spans="1:3" x14ac:dyDescent="0.2">
      <c r="B3968" s="17" t="s">
        <v>318</v>
      </c>
      <c r="C3968" s="18">
        <v>2</v>
      </c>
    </row>
    <row r="3969" spans="1:3" x14ac:dyDescent="0.2">
      <c r="B3969" s="17" t="s">
        <v>80</v>
      </c>
      <c r="C3969" s="18">
        <v>1</v>
      </c>
    </row>
    <row r="3970" spans="1:3" x14ac:dyDescent="0.2">
      <c r="B3970" s="17" t="s">
        <v>79</v>
      </c>
      <c r="C3970" s="18">
        <v>1</v>
      </c>
    </row>
    <row r="3971" spans="1:3" x14ac:dyDescent="0.2">
      <c r="A3971" s="18">
        <v>9279</v>
      </c>
      <c r="B3971" s="17">
        <v>0</v>
      </c>
      <c r="C3971" s="18">
        <v>1</v>
      </c>
    </row>
    <row r="3972" spans="1:3" x14ac:dyDescent="0.2">
      <c r="B3972" s="17" t="s">
        <v>251</v>
      </c>
      <c r="C3972" s="18">
        <v>1</v>
      </c>
    </row>
    <row r="3973" spans="1:3" x14ac:dyDescent="0.2">
      <c r="B3973" s="17" t="s">
        <v>246</v>
      </c>
      <c r="C3973" s="18">
        <v>1</v>
      </c>
    </row>
    <row r="3974" spans="1:3" x14ac:dyDescent="0.2">
      <c r="B3974" s="17" t="s">
        <v>289</v>
      </c>
      <c r="C3974" s="18">
        <v>1</v>
      </c>
    </row>
    <row r="3975" spans="1:3" x14ac:dyDescent="0.2">
      <c r="B3975" s="17" t="s">
        <v>291</v>
      </c>
      <c r="C3975" s="18">
        <v>1</v>
      </c>
    </row>
    <row r="3976" spans="1:3" x14ac:dyDescent="0.2">
      <c r="B3976" s="17" t="s">
        <v>256</v>
      </c>
      <c r="C3976" s="18">
        <v>1</v>
      </c>
    </row>
    <row r="3977" spans="1:3" x14ac:dyDescent="0.2">
      <c r="B3977" s="17" t="s">
        <v>311</v>
      </c>
      <c r="C3977" s="18">
        <v>1</v>
      </c>
    </row>
    <row r="3978" spans="1:3" x14ac:dyDescent="0.2">
      <c r="B3978" s="17" t="s">
        <v>275</v>
      </c>
      <c r="C3978" s="18">
        <v>1</v>
      </c>
    </row>
    <row r="3979" spans="1:3" x14ac:dyDescent="0.2">
      <c r="B3979" s="17" t="s">
        <v>245</v>
      </c>
      <c r="C3979" s="18">
        <v>2</v>
      </c>
    </row>
    <row r="3980" spans="1:3" x14ac:dyDescent="0.2">
      <c r="B3980" s="17" t="s">
        <v>249</v>
      </c>
      <c r="C3980" s="18">
        <v>1</v>
      </c>
    </row>
    <row r="3981" spans="1:3" x14ac:dyDescent="0.2">
      <c r="B3981" s="17" t="s">
        <v>253</v>
      </c>
      <c r="C3981" s="18">
        <v>3</v>
      </c>
    </row>
    <row r="3982" spans="1:3" x14ac:dyDescent="0.2">
      <c r="B3982" s="17" t="s">
        <v>264</v>
      </c>
      <c r="C3982" s="18">
        <v>1</v>
      </c>
    </row>
    <row r="3983" spans="1:3" x14ac:dyDescent="0.2">
      <c r="B3983" s="17" t="s">
        <v>319</v>
      </c>
      <c r="C3983" s="18">
        <v>1</v>
      </c>
    </row>
    <row r="3984" spans="1:3" x14ac:dyDescent="0.2">
      <c r="B3984" s="17" t="s">
        <v>318</v>
      </c>
      <c r="C3984" s="18">
        <v>2</v>
      </c>
    </row>
    <row r="3985" spans="1:3" x14ac:dyDescent="0.2">
      <c r="B3985" s="17" t="s">
        <v>80</v>
      </c>
      <c r="C3985" s="18">
        <v>1</v>
      </c>
    </row>
    <row r="3986" spans="1:3" x14ac:dyDescent="0.2">
      <c r="B3986" s="17" t="s">
        <v>79</v>
      </c>
      <c r="C3986" s="18">
        <v>2</v>
      </c>
    </row>
    <row r="3987" spans="1:3" x14ac:dyDescent="0.2">
      <c r="A3987" s="18">
        <v>9288</v>
      </c>
      <c r="B3987" s="17" t="s">
        <v>246</v>
      </c>
      <c r="C3987" s="18">
        <v>252</v>
      </c>
    </row>
    <row r="3988" spans="1:3" x14ac:dyDescent="0.2">
      <c r="A3988" s="18">
        <v>9292</v>
      </c>
      <c r="B3988" s="17" t="s">
        <v>260</v>
      </c>
      <c r="C3988" s="18">
        <v>4</v>
      </c>
    </row>
    <row r="3989" spans="1:3" x14ac:dyDescent="0.2">
      <c r="B3989" s="17" t="s">
        <v>272</v>
      </c>
      <c r="C3989" s="18">
        <v>2</v>
      </c>
    </row>
    <row r="3990" spans="1:3" x14ac:dyDescent="0.2">
      <c r="B3990" s="17" t="s">
        <v>666</v>
      </c>
      <c r="C3990" s="18">
        <v>1</v>
      </c>
    </row>
    <row r="3991" spans="1:3" x14ac:dyDescent="0.2">
      <c r="A3991" s="18">
        <v>9296</v>
      </c>
      <c r="B3991" s="17">
        <v>0</v>
      </c>
      <c r="C3991" s="18">
        <v>1</v>
      </c>
    </row>
    <row r="3992" spans="1:3" x14ac:dyDescent="0.2">
      <c r="B3992" s="17" t="s">
        <v>258</v>
      </c>
      <c r="C3992" s="18">
        <v>1</v>
      </c>
    </row>
    <row r="3993" spans="1:3" x14ac:dyDescent="0.2">
      <c r="A3993" s="18">
        <v>9204</v>
      </c>
      <c r="B3993" s="17" t="s">
        <v>304</v>
      </c>
      <c r="C3993" s="18">
        <v>200</v>
      </c>
    </row>
    <row r="3994" spans="1:3" x14ac:dyDescent="0.2">
      <c r="A3994" s="18">
        <v>9303</v>
      </c>
      <c r="B3994" s="17">
        <v>0</v>
      </c>
      <c r="C3994" s="18">
        <v>40</v>
      </c>
    </row>
    <row r="3995" spans="1:3" x14ac:dyDescent="0.2">
      <c r="B3995" s="17" t="s">
        <v>79</v>
      </c>
      <c r="C3995" s="18">
        <v>30</v>
      </c>
    </row>
    <row r="3996" spans="1:3" x14ac:dyDescent="0.2">
      <c r="A3996" s="18">
        <v>9302</v>
      </c>
      <c r="B3996" s="17">
        <v>0</v>
      </c>
      <c r="C3996" s="18">
        <v>1</v>
      </c>
    </row>
    <row r="3997" spans="1:3" x14ac:dyDescent="0.2">
      <c r="B3997" s="17" t="s">
        <v>251</v>
      </c>
      <c r="C3997" s="18">
        <v>1</v>
      </c>
    </row>
    <row r="3998" spans="1:3" x14ac:dyDescent="0.2">
      <c r="B3998" s="17" t="s">
        <v>291</v>
      </c>
      <c r="C3998" s="18">
        <v>1</v>
      </c>
    </row>
    <row r="3999" spans="1:3" x14ac:dyDescent="0.2">
      <c r="B3999" s="17" t="s">
        <v>256</v>
      </c>
      <c r="C3999" s="18">
        <v>1</v>
      </c>
    </row>
    <row r="4000" spans="1:3" x14ac:dyDescent="0.2">
      <c r="B4000" s="17" t="s">
        <v>245</v>
      </c>
      <c r="C4000" s="18">
        <v>1</v>
      </c>
    </row>
    <row r="4001" spans="1:3" x14ac:dyDescent="0.2">
      <c r="B4001" s="17" t="s">
        <v>249</v>
      </c>
      <c r="C4001" s="18">
        <v>1</v>
      </c>
    </row>
    <row r="4002" spans="1:3" x14ac:dyDescent="0.2">
      <c r="B4002" s="17" t="s">
        <v>260</v>
      </c>
      <c r="C4002" s="18">
        <v>1</v>
      </c>
    </row>
    <row r="4003" spans="1:3" x14ac:dyDescent="0.2">
      <c r="B4003" s="17" t="s">
        <v>264</v>
      </c>
      <c r="C4003" s="18">
        <v>1</v>
      </c>
    </row>
    <row r="4004" spans="1:3" x14ac:dyDescent="0.2">
      <c r="B4004" s="17" t="s">
        <v>319</v>
      </c>
      <c r="C4004" s="18">
        <v>1</v>
      </c>
    </row>
    <row r="4005" spans="1:3" x14ac:dyDescent="0.2">
      <c r="B4005" s="17" t="s">
        <v>318</v>
      </c>
      <c r="C4005" s="18">
        <v>2</v>
      </c>
    </row>
    <row r="4006" spans="1:3" x14ac:dyDescent="0.2">
      <c r="B4006" s="17" t="s">
        <v>80</v>
      </c>
      <c r="C4006" s="18">
        <v>1</v>
      </c>
    </row>
    <row r="4007" spans="1:3" x14ac:dyDescent="0.2">
      <c r="B4007" s="17" t="s">
        <v>79</v>
      </c>
      <c r="C4007" s="18">
        <v>1</v>
      </c>
    </row>
    <row r="4008" spans="1:3" x14ac:dyDescent="0.2">
      <c r="A4008" s="18">
        <v>9309</v>
      </c>
      <c r="B4008" s="17" t="s">
        <v>268</v>
      </c>
      <c r="C4008" s="18">
        <v>1</v>
      </c>
    </row>
    <row r="4009" spans="1:3" x14ac:dyDescent="0.2">
      <c r="A4009" s="18">
        <v>9259</v>
      </c>
      <c r="B4009" s="17">
        <v>0</v>
      </c>
      <c r="C4009" s="18">
        <v>16</v>
      </c>
    </row>
    <row r="4010" spans="1:3" x14ac:dyDescent="0.2">
      <c r="B4010" s="17" t="s">
        <v>249</v>
      </c>
      <c r="C4010" s="18">
        <v>10</v>
      </c>
    </row>
    <row r="4011" spans="1:3" x14ac:dyDescent="0.2">
      <c r="B4011" s="17" t="s">
        <v>264</v>
      </c>
      <c r="C4011" s="18">
        <v>10</v>
      </c>
    </row>
    <row r="4012" spans="1:3" x14ac:dyDescent="0.2">
      <c r="A4012" s="18">
        <v>8814</v>
      </c>
      <c r="B4012" s="17">
        <v>0</v>
      </c>
      <c r="C4012" s="18">
        <v>2</v>
      </c>
    </row>
    <row r="4013" spans="1:3" x14ac:dyDescent="0.2">
      <c r="B4013" s="17" t="s">
        <v>80</v>
      </c>
      <c r="C4013" s="18">
        <v>2</v>
      </c>
    </row>
    <row r="4014" spans="1:3" x14ac:dyDescent="0.2">
      <c r="B4014" s="17" t="s">
        <v>419</v>
      </c>
      <c r="C4014" s="18">
        <v>2</v>
      </c>
    </row>
    <row r="4015" spans="1:3" hidden="1" x14ac:dyDescent="0.2"/>
    <row r="4016" spans="1:3" hidden="1" x14ac:dyDescent="0.2"/>
    <row r="4017" hidden="1" x14ac:dyDescent="0.2"/>
    <row r="4018" hidden="1" x14ac:dyDescent="0.2"/>
    <row r="4019" hidden="1" x14ac:dyDescent="0.2"/>
    <row r="4020" hidden="1" x14ac:dyDescent="0.2"/>
    <row r="4021" hidden="1" x14ac:dyDescent="0.2"/>
    <row r="4022" hidden="1" x14ac:dyDescent="0.2"/>
    <row r="4023" hidden="1" x14ac:dyDescent="0.2"/>
    <row r="4024" hidden="1" x14ac:dyDescent="0.2"/>
    <row r="4025" hidden="1" x14ac:dyDescent="0.2"/>
    <row r="4026" hidden="1" x14ac:dyDescent="0.2"/>
    <row r="4027" hidden="1" x14ac:dyDescent="0.2"/>
    <row r="4028" hidden="1" x14ac:dyDescent="0.2"/>
    <row r="4029" hidden="1" x14ac:dyDescent="0.2"/>
    <row r="4030" hidden="1" x14ac:dyDescent="0.2"/>
    <row r="4031" hidden="1" x14ac:dyDescent="0.2"/>
    <row r="4032" hidden="1" x14ac:dyDescent="0.2"/>
    <row r="4033" hidden="1" x14ac:dyDescent="0.2"/>
    <row r="4034" hidden="1" x14ac:dyDescent="0.2"/>
    <row r="4035" hidden="1" x14ac:dyDescent="0.2"/>
    <row r="4036" hidden="1" x14ac:dyDescent="0.2"/>
    <row r="4037" hidden="1" x14ac:dyDescent="0.2"/>
    <row r="4038" hidden="1" x14ac:dyDescent="0.2"/>
    <row r="4039" hidden="1" x14ac:dyDescent="0.2"/>
    <row r="4040" hidden="1" x14ac:dyDescent="0.2"/>
    <row r="4041" hidden="1" x14ac:dyDescent="0.2"/>
    <row r="4042" hidden="1" x14ac:dyDescent="0.2"/>
    <row r="4043" hidden="1" x14ac:dyDescent="0.2"/>
    <row r="4044" hidden="1" x14ac:dyDescent="0.2"/>
    <row r="4045" hidden="1" x14ac:dyDescent="0.2"/>
    <row r="4046" hidden="1" x14ac:dyDescent="0.2"/>
    <row r="4047" hidden="1" x14ac:dyDescent="0.2"/>
    <row r="4048" hidden="1" x14ac:dyDescent="0.2"/>
    <row r="4049" hidden="1" x14ac:dyDescent="0.2"/>
    <row r="4050" hidden="1" x14ac:dyDescent="0.2"/>
    <row r="4051" hidden="1" x14ac:dyDescent="0.2"/>
    <row r="4052" hidden="1" x14ac:dyDescent="0.2"/>
    <row r="4053" hidden="1" x14ac:dyDescent="0.2"/>
    <row r="4054" hidden="1" x14ac:dyDescent="0.2"/>
    <row r="4055" hidden="1" x14ac:dyDescent="0.2"/>
    <row r="4056" hidden="1" x14ac:dyDescent="0.2"/>
    <row r="4057" hidden="1" x14ac:dyDescent="0.2"/>
    <row r="4058" hidden="1" x14ac:dyDescent="0.2"/>
    <row r="4059" hidden="1" x14ac:dyDescent="0.2"/>
    <row r="4060" hidden="1" x14ac:dyDescent="0.2"/>
    <row r="4061" hidden="1" x14ac:dyDescent="0.2"/>
    <row r="4062" hidden="1" x14ac:dyDescent="0.2"/>
    <row r="4063" hidden="1" x14ac:dyDescent="0.2"/>
    <row r="4064" hidden="1" x14ac:dyDescent="0.2"/>
    <row r="4065" hidden="1" x14ac:dyDescent="0.2"/>
    <row r="4066" hidden="1" x14ac:dyDescent="0.2"/>
    <row r="4067" hidden="1" x14ac:dyDescent="0.2"/>
    <row r="4068" hidden="1" x14ac:dyDescent="0.2"/>
    <row r="4069" hidden="1" x14ac:dyDescent="0.2"/>
    <row r="4070" hidden="1" x14ac:dyDescent="0.2"/>
    <row r="4071" hidden="1" x14ac:dyDescent="0.2"/>
    <row r="4072" hidden="1" x14ac:dyDescent="0.2"/>
    <row r="4073" hidden="1" x14ac:dyDescent="0.2"/>
    <row r="4074" hidden="1" x14ac:dyDescent="0.2"/>
    <row r="4075" hidden="1" x14ac:dyDescent="0.2"/>
    <row r="4076" hidden="1" x14ac:dyDescent="0.2"/>
    <row r="4077" hidden="1" x14ac:dyDescent="0.2"/>
    <row r="4078" hidden="1" x14ac:dyDescent="0.2"/>
    <row r="4079" hidden="1" x14ac:dyDescent="0.2"/>
    <row r="4080" hidden="1" x14ac:dyDescent="0.2"/>
    <row r="4081" hidden="1" x14ac:dyDescent="0.2"/>
    <row r="4082" hidden="1" x14ac:dyDescent="0.2"/>
    <row r="4083" hidden="1" x14ac:dyDescent="0.2"/>
    <row r="4084" hidden="1" x14ac:dyDescent="0.2"/>
    <row r="4085" hidden="1" x14ac:dyDescent="0.2"/>
    <row r="4086" hidden="1" x14ac:dyDescent="0.2"/>
    <row r="4087" hidden="1" x14ac:dyDescent="0.2"/>
    <row r="4088" hidden="1" x14ac:dyDescent="0.2"/>
    <row r="4089" hidden="1" x14ac:dyDescent="0.2"/>
    <row r="4090" hidden="1" x14ac:dyDescent="0.2"/>
    <row r="4091" hidden="1" x14ac:dyDescent="0.2"/>
    <row r="4092" hidden="1" x14ac:dyDescent="0.2"/>
    <row r="4093" hidden="1" x14ac:dyDescent="0.2"/>
    <row r="4094" hidden="1" x14ac:dyDescent="0.2"/>
    <row r="4095" hidden="1" x14ac:dyDescent="0.2"/>
    <row r="4096" hidden="1" x14ac:dyDescent="0.2"/>
    <row r="4097" hidden="1" x14ac:dyDescent="0.2"/>
    <row r="4098" hidden="1" x14ac:dyDescent="0.2"/>
    <row r="4099" hidden="1" x14ac:dyDescent="0.2"/>
    <row r="4100" hidden="1" x14ac:dyDescent="0.2"/>
    <row r="4101" hidden="1" x14ac:dyDescent="0.2"/>
    <row r="4102" hidden="1" x14ac:dyDescent="0.2"/>
    <row r="4103" hidden="1" x14ac:dyDescent="0.2"/>
    <row r="4104" hidden="1" x14ac:dyDescent="0.2"/>
    <row r="4105" hidden="1" x14ac:dyDescent="0.2"/>
    <row r="4106" hidden="1" x14ac:dyDescent="0.2"/>
    <row r="4107" hidden="1" x14ac:dyDescent="0.2"/>
    <row r="4108" hidden="1" x14ac:dyDescent="0.2"/>
    <row r="4109" hidden="1" x14ac:dyDescent="0.2"/>
    <row r="4110" hidden="1" x14ac:dyDescent="0.2"/>
    <row r="4111" hidden="1" x14ac:dyDescent="0.2"/>
    <row r="4112" hidden="1" x14ac:dyDescent="0.2"/>
    <row r="4113" hidden="1" x14ac:dyDescent="0.2"/>
    <row r="4114" hidden="1" x14ac:dyDescent="0.2"/>
    <row r="4115" hidden="1" x14ac:dyDescent="0.2"/>
    <row r="4116" hidden="1" x14ac:dyDescent="0.2"/>
    <row r="4117" hidden="1" x14ac:dyDescent="0.2"/>
    <row r="4118" hidden="1" x14ac:dyDescent="0.2"/>
    <row r="4119" hidden="1" x14ac:dyDescent="0.2"/>
    <row r="4120" hidden="1" x14ac:dyDescent="0.2"/>
    <row r="4121" hidden="1" x14ac:dyDescent="0.2"/>
    <row r="4122" hidden="1" x14ac:dyDescent="0.2"/>
    <row r="4123" hidden="1" x14ac:dyDescent="0.2"/>
    <row r="4124" hidden="1" x14ac:dyDescent="0.2"/>
    <row r="4125" hidden="1" x14ac:dyDescent="0.2"/>
    <row r="4126" hidden="1" x14ac:dyDescent="0.2"/>
    <row r="4127" hidden="1" x14ac:dyDescent="0.2"/>
    <row r="4128" hidden="1" x14ac:dyDescent="0.2"/>
    <row r="4129" hidden="1" x14ac:dyDescent="0.2"/>
    <row r="4130" hidden="1" x14ac:dyDescent="0.2"/>
    <row r="4131" hidden="1" x14ac:dyDescent="0.2"/>
    <row r="4132" hidden="1" x14ac:dyDescent="0.2"/>
    <row r="4133" hidden="1" x14ac:dyDescent="0.2"/>
    <row r="4134" hidden="1" x14ac:dyDescent="0.2"/>
    <row r="4135" hidden="1" x14ac:dyDescent="0.2"/>
    <row r="4136" hidden="1" x14ac:dyDescent="0.2"/>
    <row r="4137" hidden="1" x14ac:dyDescent="0.2"/>
    <row r="4138" hidden="1" x14ac:dyDescent="0.2"/>
    <row r="4139" hidden="1" x14ac:dyDescent="0.2"/>
    <row r="4140" hidden="1" x14ac:dyDescent="0.2"/>
    <row r="4141" hidden="1" x14ac:dyDescent="0.2"/>
    <row r="4142" hidden="1" x14ac:dyDescent="0.2"/>
    <row r="4143" hidden="1" x14ac:dyDescent="0.2"/>
    <row r="4144" hidden="1" x14ac:dyDescent="0.2"/>
    <row r="4145" hidden="1" x14ac:dyDescent="0.2"/>
    <row r="4146" hidden="1" x14ac:dyDescent="0.2"/>
    <row r="4147" hidden="1" x14ac:dyDescent="0.2"/>
    <row r="4148" hidden="1" x14ac:dyDescent="0.2"/>
    <row r="4149" hidden="1" x14ac:dyDescent="0.2"/>
    <row r="4150" hidden="1" x14ac:dyDescent="0.2"/>
    <row r="4151" hidden="1" x14ac:dyDescent="0.2"/>
    <row r="4152" hidden="1" x14ac:dyDescent="0.2"/>
    <row r="4153" hidden="1" x14ac:dyDescent="0.2"/>
    <row r="4154" hidden="1" x14ac:dyDescent="0.2"/>
    <row r="4155" hidden="1" x14ac:dyDescent="0.2"/>
    <row r="4156" hidden="1" x14ac:dyDescent="0.2"/>
    <row r="4157" hidden="1" x14ac:dyDescent="0.2"/>
    <row r="4158" hidden="1" x14ac:dyDescent="0.2"/>
    <row r="4159" hidden="1" x14ac:dyDescent="0.2"/>
    <row r="4160" hidden="1" x14ac:dyDescent="0.2"/>
    <row r="4161" hidden="1" x14ac:dyDescent="0.2"/>
    <row r="4162" hidden="1" x14ac:dyDescent="0.2"/>
    <row r="4163" hidden="1" x14ac:dyDescent="0.2"/>
    <row r="4164" hidden="1" x14ac:dyDescent="0.2"/>
    <row r="4165" hidden="1" x14ac:dyDescent="0.2"/>
    <row r="4166" hidden="1" x14ac:dyDescent="0.2"/>
    <row r="4167" hidden="1" x14ac:dyDescent="0.2"/>
    <row r="4168" hidden="1" x14ac:dyDescent="0.2"/>
    <row r="4169" hidden="1" x14ac:dyDescent="0.2"/>
    <row r="4170" hidden="1" x14ac:dyDescent="0.2"/>
    <row r="4171" hidden="1" x14ac:dyDescent="0.2"/>
    <row r="4172" hidden="1" x14ac:dyDescent="0.2"/>
    <row r="4173" hidden="1" x14ac:dyDescent="0.2"/>
    <row r="4174" hidden="1" x14ac:dyDescent="0.2"/>
    <row r="4175" hidden="1" x14ac:dyDescent="0.2"/>
    <row r="4176" hidden="1" x14ac:dyDescent="0.2"/>
    <row r="4177" hidden="1" x14ac:dyDescent="0.2"/>
    <row r="4178" hidden="1" x14ac:dyDescent="0.2"/>
    <row r="4179" hidden="1" x14ac:dyDescent="0.2"/>
    <row r="4180" hidden="1" x14ac:dyDescent="0.2"/>
    <row r="4181" hidden="1" x14ac:dyDescent="0.2"/>
    <row r="4182" hidden="1" x14ac:dyDescent="0.2"/>
    <row r="4183" hidden="1" x14ac:dyDescent="0.2"/>
    <row r="4184" hidden="1" x14ac:dyDescent="0.2"/>
    <row r="4185" hidden="1" x14ac:dyDescent="0.2"/>
    <row r="4186" hidden="1" x14ac:dyDescent="0.2"/>
    <row r="4187" hidden="1" x14ac:dyDescent="0.2"/>
    <row r="4188" hidden="1" x14ac:dyDescent="0.2"/>
    <row r="4189" hidden="1" x14ac:dyDescent="0.2"/>
    <row r="4190" hidden="1" x14ac:dyDescent="0.2"/>
    <row r="4191" hidden="1" x14ac:dyDescent="0.2"/>
    <row r="4192" hidden="1" x14ac:dyDescent="0.2"/>
    <row r="4193" hidden="1" x14ac:dyDescent="0.2"/>
    <row r="4194" hidden="1" x14ac:dyDescent="0.2"/>
    <row r="4195" hidden="1" x14ac:dyDescent="0.2"/>
    <row r="4196" hidden="1" x14ac:dyDescent="0.2"/>
    <row r="4197" hidden="1" x14ac:dyDescent="0.2"/>
    <row r="4198" hidden="1" x14ac:dyDescent="0.2"/>
    <row r="4199" hidden="1" x14ac:dyDescent="0.2"/>
    <row r="4200" hidden="1" x14ac:dyDescent="0.2"/>
    <row r="4201" hidden="1" x14ac:dyDescent="0.2"/>
    <row r="4202" hidden="1" x14ac:dyDescent="0.2"/>
    <row r="4203" hidden="1" x14ac:dyDescent="0.2"/>
    <row r="4204" hidden="1" x14ac:dyDescent="0.2"/>
    <row r="4205" hidden="1" x14ac:dyDescent="0.2"/>
    <row r="4206" hidden="1" x14ac:dyDescent="0.2"/>
    <row r="4207" hidden="1" x14ac:dyDescent="0.2"/>
    <row r="4208" hidden="1" x14ac:dyDescent="0.2"/>
    <row r="4209" hidden="1" x14ac:dyDescent="0.2"/>
    <row r="4210" hidden="1" x14ac:dyDescent="0.2"/>
    <row r="4211" hidden="1" x14ac:dyDescent="0.2"/>
    <row r="4212" hidden="1" x14ac:dyDescent="0.2"/>
    <row r="4213" hidden="1" x14ac:dyDescent="0.2"/>
    <row r="4214" hidden="1" x14ac:dyDescent="0.2"/>
    <row r="4215" hidden="1" x14ac:dyDescent="0.2"/>
    <row r="4216" hidden="1" x14ac:dyDescent="0.2"/>
    <row r="4217" hidden="1" x14ac:dyDescent="0.2"/>
    <row r="4218" hidden="1" x14ac:dyDescent="0.2"/>
    <row r="4219" hidden="1" x14ac:dyDescent="0.2"/>
    <row r="4220" hidden="1" x14ac:dyDescent="0.2"/>
    <row r="4221" hidden="1" x14ac:dyDescent="0.2"/>
    <row r="4222" hidden="1" x14ac:dyDescent="0.2"/>
    <row r="4223" hidden="1" x14ac:dyDescent="0.2"/>
    <row r="4224" hidden="1" x14ac:dyDescent="0.2"/>
    <row r="4225" hidden="1" x14ac:dyDescent="0.2"/>
    <row r="4226" hidden="1" x14ac:dyDescent="0.2"/>
    <row r="4227" hidden="1" x14ac:dyDescent="0.2"/>
    <row r="4228" hidden="1" x14ac:dyDescent="0.2"/>
    <row r="4229" hidden="1" x14ac:dyDescent="0.2"/>
    <row r="4230" hidden="1" x14ac:dyDescent="0.2"/>
    <row r="4231" hidden="1" x14ac:dyDescent="0.2"/>
    <row r="4232" hidden="1" x14ac:dyDescent="0.2"/>
    <row r="4233" hidden="1" x14ac:dyDescent="0.2"/>
    <row r="4234" hidden="1" x14ac:dyDescent="0.2"/>
    <row r="4235" hidden="1" x14ac:dyDescent="0.2"/>
    <row r="4236" hidden="1" x14ac:dyDescent="0.2"/>
    <row r="4237" hidden="1" x14ac:dyDescent="0.2"/>
    <row r="4238" hidden="1" x14ac:dyDescent="0.2"/>
    <row r="4239" hidden="1" x14ac:dyDescent="0.2"/>
    <row r="4240" hidden="1" x14ac:dyDescent="0.2"/>
    <row r="4241" hidden="1" x14ac:dyDescent="0.2"/>
    <row r="4242" hidden="1" x14ac:dyDescent="0.2"/>
    <row r="4243" hidden="1" x14ac:dyDescent="0.2"/>
    <row r="4244" hidden="1" x14ac:dyDescent="0.2"/>
    <row r="4245" hidden="1" x14ac:dyDescent="0.2"/>
    <row r="4246" hidden="1" x14ac:dyDescent="0.2"/>
    <row r="4247" hidden="1" x14ac:dyDescent="0.2"/>
    <row r="4248" hidden="1" x14ac:dyDescent="0.2"/>
    <row r="4249" hidden="1" x14ac:dyDescent="0.2"/>
    <row r="4250" hidden="1" x14ac:dyDescent="0.2"/>
    <row r="4251" hidden="1" x14ac:dyDescent="0.2"/>
    <row r="4252" hidden="1" x14ac:dyDescent="0.2"/>
    <row r="4253" hidden="1" x14ac:dyDescent="0.2"/>
    <row r="4254" hidden="1" x14ac:dyDescent="0.2"/>
    <row r="4255" hidden="1" x14ac:dyDescent="0.2"/>
    <row r="4256" hidden="1" x14ac:dyDescent="0.2"/>
    <row r="4257" hidden="1" x14ac:dyDescent="0.2"/>
    <row r="4258" hidden="1" x14ac:dyDescent="0.2"/>
    <row r="4259" hidden="1" x14ac:dyDescent="0.2"/>
    <row r="4260" hidden="1" x14ac:dyDescent="0.2"/>
    <row r="4261" hidden="1" x14ac:dyDescent="0.2"/>
    <row r="4262" hidden="1" x14ac:dyDescent="0.2"/>
    <row r="4263" hidden="1" x14ac:dyDescent="0.2"/>
    <row r="4264" hidden="1" x14ac:dyDescent="0.2"/>
    <row r="4265" hidden="1" x14ac:dyDescent="0.2"/>
    <row r="4266" hidden="1" x14ac:dyDescent="0.2"/>
    <row r="4267" hidden="1" x14ac:dyDescent="0.2"/>
    <row r="4268" hidden="1" x14ac:dyDescent="0.2"/>
    <row r="4269" hidden="1" x14ac:dyDescent="0.2"/>
    <row r="4270" hidden="1" x14ac:dyDescent="0.2"/>
    <row r="4271" hidden="1" x14ac:dyDescent="0.2"/>
    <row r="4272" hidden="1" x14ac:dyDescent="0.2"/>
    <row r="4273" hidden="1" x14ac:dyDescent="0.2"/>
    <row r="4274" hidden="1" x14ac:dyDescent="0.2"/>
    <row r="4275" hidden="1" x14ac:dyDescent="0.2"/>
    <row r="4276" hidden="1" x14ac:dyDescent="0.2"/>
    <row r="4277" hidden="1" x14ac:dyDescent="0.2"/>
    <row r="4278" hidden="1" x14ac:dyDescent="0.2"/>
    <row r="4279" hidden="1" x14ac:dyDescent="0.2"/>
    <row r="4280" hidden="1" x14ac:dyDescent="0.2"/>
    <row r="4281" hidden="1" x14ac:dyDescent="0.2"/>
    <row r="4282" hidden="1" x14ac:dyDescent="0.2"/>
    <row r="4283" hidden="1" x14ac:dyDescent="0.2"/>
    <row r="4284" hidden="1" x14ac:dyDescent="0.2"/>
    <row r="4285" hidden="1" x14ac:dyDescent="0.2"/>
    <row r="4286" hidden="1" x14ac:dyDescent="0.2"/>
    <row r="4287" hidden="1" x14ac:dyDescent="0.2"/>
    <row r="4288" hidden="1" x14ac:dyDescent="0.2"/>
    <row r="4289" hidden="1" x14ac:dyDescent="0.2"/>
    <row r="4290" hidden="1" x14ac:dyDescent="0.2"/>
    <row r="4291" hidden="1" x14ac:dyDescent="0.2"/>
    <row r="4292" hidden="1" x14ac:dyDescent="0.2"/>
    <row r="4293" hidden="1" x14ac:dyDescent="0.2"/>
    <row r="4294" hidden="1" x14ac:dyDescent="0.2"/>
    <row r="4295" hidden="1" x14ac:dyDescent="0.2"/>
    <row r="4296" hidden="1" x14ac:dyDescent="0.2"/>
  </sheetData>
  <autoFilter ref="A2:C4296" xr:uid="{00000000-0009-0000-0000-000015000000}">
    <filterColumn colId="2">
      <filters>
        <filter val="1"/>
        <filter val="10"/>
        <filter val="100"/>
        <filter val="1000"/>
        <filter val="101"/>
        <filter val="11"/>
        <filter val="110"/>
        <filter val="1157"/>
        <filter val="12"/>
        <filter val="120"/>
        <filter val="1200"/>
        <filter val="125"/>
        <filter val="1296"/>
        <filter val="13"/>
        <filter val="130"/>
        <filter val="14"/>
        <filter val="1408"/>
        <filter val="15"/>
        <filter val="150"/>
        <filter val="152"/>
        <filter val="16"/>
        <filter val="17"/>
        <filter val="176"/>
        <filter val="18"/>
        <filter val="183"/>
        <filter val="184"/>
        <filter val="186"/>
        <filter val="199"/>
        <filter val="2"/>
        <filter val="20"/>
        <filter val="200"/>
        <filter val="2000"/>
        <filter val="201"/>
        <filter val="21"/>
        <filter val="222"/>
        <filter val="2250"/>
        <filter val="2265"/>
        <filter val="23"/>
        <filter val="24"/>
        <filter val="2400"/>
        <filter val="25"/>
        <filter val="250"/>
        <filter val="252"/>
        <filter val="258"/>
        <filter val="260"/>
        <filter val="27"/>
        <filter val="292"/>
        <filter val="3"/>
        <filter val="30"/>
        <filter val="300"/>
        <filter val="310"/>
        <filter val="32"/>
        <filter val="320"/>
        <filter val="324"/>
        <filter val="327"/>
        <filter val="34"/>
        <filter val="340"/>
        <filter val="35"/>
        <filter val="350"/>
        <filter val="36"/>
        <filter val="37"/>
        <filter val="372"/>
        <filter val="4"/>
        <filter val="40"/>
        <filter val="400"/>
        <filter val="43"/>
        <filter val="47"/>
        <filter val="48"/>
        <filter val="49"/>
        <filter val="5"/>
        <filter val="50"/>
        <filter val="500"/>
        <filter val="5000"/>
        <filter val="51"/>
        <filter val="53"/>
        <filter val="540"/>
        <filter val="55"/>
        <filter val="550"/>
        <filter val="560"/>
        <filter val="6"/>
        <filter val="60"/>
        <filter val="62"/>
        <filter val="624"/>
        <filter val="640"/>
        <filter val="7"/>
        <filter val="70"/>
        <filter val="700"/>
        <filter val="72"/>
        <filter val="75"/>
        <filter val="8"/>
        <filter val="80"/>
        <filter val="84"/>
        <filter val="87"/>
        <filter val="9"/>
        <filter val="90"/>
        <filter val="98"/>
        <filter val="982"/>
      </filters>
    </filterColumn>
  </autoFilter>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6"/>
  <dimension ref="A1:D29"/>
  <sheetViews>
    <sheetView showGridLines="0" zoomScale="112" zoomScaleNormal="112" workbookViewId="0">
      <selection activeCell="E19" sqref="E19"/>
    </sheetView>
  </sheetViews>
  <sheetFormatPr defaultColWidth="9.28515625" defaultRowHeight="15" x14ac:dyDescent="0.25"/>
  <cols>
    <col min="1" max="1" width="40.7109375" style="207" bestFit="1" customWidth="1"/>
    <col min="2" max="2" width="18.42578125" style="207" customWidth="1"/>
    <col min="3" max="3" width="76.5703125" style="207" bestFit="1" customWidth="1"/>
    <col min="4" max="4" width="65" style="207" hidden="1" customWidth="1"/>
    <col min="5" max="16384" width="9.28515625" style="207"/>
  </cols>
  <sheetData>
    <row r="1" spans="1:4" ht="21" x14ac:dyDescent="0.35">
      <c r="A1" s="206" t="s">
        <v>347</v>
      </c>
    </row>
    <row r="3" spans="1:4" s="209" customFormat="1" ht="30" x14ac:dyDescent="0.2">
      <c r="A3" s="208" t="s">
        <v>348</v>
      </c>
      <c r="B3" s="208" t="s">
        <v>349</v>
      </c>
      <c r="C3" s="208" t="s">
        <v>350</v>
      </c>
      <c r="D3" s="208" t="s">
        <v>40</v>
      </c>
    </row>
    <row r="4" spans="1:4" x14ac:dyDescent="0.25">
      <c r="A4" s="210" t="s">
        <v>351</v>
      </c>
      <c r="B4" s="211">
        <v>3</v>
      </c>
      <c r="C4" s="210" t="s">
        <v>352</v>
      </c>
      <c r="D4" s="210" t="s">
        <v>353</v>
      </c>
    </row>
    <row r="5" spans="1:4" x14ac:dyDescent="0.25">
      <c r="A5" s="210" t="s">
        <v>354</v>
      </c>
      <c r="B5" s="211">
        <v>5</v>
      </c>
      <c r="C5" s="210" t="s">
        <v>352</v>
      </c>
      <c r="D5" s="210" t="s">
        <v>355</v>
      </c>
    </row>
    <row r="6" spans="1:4" x14ac:dyDescent="0.25">
      <c r="A6" s="210" t="s">
        <v>356</v>
      </c>
      <c r="B6" s="211">
        <v>8</v>
      </c>
      <c r="C6" s="210" t="s">
        <v>357</v>
      </c>
      <c r="D6" s="210" t="s">
        <v>358</v>
      </c>
    </row>
    <row r="8" spans="1:4" x14ac:dyDescent="0.25">
      <c r="A8" s="212" t="s">
        <v>359</v>
      </c>
      <c r="B8" s="212"/>
      <c r="C8" s="212"/>
    </row>
    <row r="9" spans="1:4" x14ac:dyDescent="0.25">
      <c r="A9" s="212" t="s">
        <v>360</v>
      </c>
      <c r="B9" s="212"/>
      <c r="C9" s="212"/>
    </row>
    <row r="15" spans="1:4" x14ac:dyDescent="0.25">
      <c r="C15" s="207">
        <v>2</v>
      </c>
    </row>
    <row r="22" spans="3:3" x14ac:dyDescent="0.25">
      <c r="C22" s="207">
        <v>4</v>
      </c>
    </row>
    <row r="29" spans="3:3" x14ac:dyDescent="0.25">
      <c r="C29" s="207">
        <v>7</v>
      </c>
    </row>
  </sheetData>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N283"/>
  <sheetViews>
    <sheetView zoomScale="115" zoomScaleNormal="115" workbookViewId="0">
      <pane xSplit="13" ySplit="3" topLeftCell="P275" activePane="bottomRight" state="frozen"/>
      <selection pane="topRight" activeCell="N1" sqref="N1"/>
      <selection pane="bottomLeft" activeCell="A4" sqref="A4"/>
      <selection pane="bottomRight" activeCell="L285" sqref="L285"/>
    </sheetView>
  </sheetViews>
  <sheetFormatPr defaultColWidth="9.28515625" defaultRowHeight="15" x14ac:dyDescent="0.25"/>
  <cols>
    <col min="1" max="3" width="9.28515625" style="217"/>
    <col min="4" max="4" width="9.28515625" style="218"/>
    <col min="5" max="5" width="9.28515625" style="217"/>
    <col min="6" max="7" width="11.7109375" style="217" customWidth="1"/>
    <col min="8" max="10" width="13.28515625" style="217" customWidth="1"/>
    <col min="11" max="11" width="9.28515625" style="217"/>
    <col min="12" max="12" width="15.28515625" style="217" customWidth="1"/>
    <col min="13" max="16384" width="9.28515625" style="217"/>
  </cols>
  <sheetData>
    <row r="1" spans="1:13" x14ac:dyDescent="0.25">
      <c r="A1" s="216">
        <v>1</v>
      </c>
      <c r="B1" s="216">
        <v>2</v>
      </c>
      <c r="C1" s="216">
        <v>3</v>
      </c>
      <c r="D1" s="216">
        <v>4</v>
      </c>
      <c r="E1" s="216">
        <v>5</v>
      </c>
      <c r="F1" s="216">
        <v>6</v>
      </c>
      <c r="G1" s="216">
        <v>7</v>
      </c>
      <c r="H1" s="216">
        <v>8</v>
      </c>
      <c r="I1" s="216">
        <v>9</v>
      </c>
      <c r="J1" s="216">
        <v>10</v>
      </c>
    </row>
    <row r="2" spans="1:13" x14ac:dyDescent="0.25">
      <c r="F2" s="216">
        <v>85</v>
      </c>
      <c r="G2" s="216" t="s">
        <v>395</v>
      </c>
      <c r="H2" s="216" t="s">
        <v>395</v>
      </c>
      <c r="I2" s="216" t="s">
        <v>395</v>
      </c>
      <c r="J2" s="216" t="s">
        <v>396</v>
      </c>
    </row>
    <row r="3" spans="1:13" ht="60" x14ac:dyDescent="0.25">
      <c r="A3" s="398" t="s">
        <v>397</v>
      </c>
      <c r="B3" s="400" t="s">
        <v>398</v>
      </c>
      <c r="C3" s="401"/>
      <c r="D3" s="400" t="s">
        <v>399</v>
      </c>
      <c r="E3" s="401"/>
      <c r="F3" s="404" t="s">
        <v>400</v>
      </c>
      <c r="G3" s="219" t="s">
        <v>401</v>
      </c>
      <c r="H3" s="220" t="s">
        <v>402</v>
      </c>
      <c r="I3" s="221" t="s">
        <v>403</v>
      </c>
      <c r="J3" s="221" t="s">
        <v>403</v>
      </c>
      <c r="L3" s="222" t="s">
        <v>404</v>
      </c>
      <c r="M3" s="222" t="s">
        <v>405</v>
      </c>
    </row>
    <row r="4" spans="1:13" x14ac:dyDescent="0.25">
      <c r="A4" s="399"/>
      <c r="B4" s="402"/>
      <c r="C4" s="403"/>
      <c r="D4" s="402"/>
      <c r="E4" s="403"/>
      <c r="F4" s="405"/>
      <c r="G4" s="223" t="s">
        <v>395</v>
      </c>
      <c r="H4" s="224" t="s">
        <v>395</v>
      </c>
      <c r="I4" s="223" t="s">
        <v>395</v>
      </c>
      <c r="J4" s="223" t="s">
        <v>396</v>
      </c>
    </row>
    <row r="5" spans="1:13" x14ac:dyDescent="0.25">
      <c r="A5" s="225" t="s">
        <v>406</v>
      </c>
      <c r="B5" s="225" t="s">
        <v>407</v>
      </c>
      <c r="C5" s="225" t="s">
        <v>408</v>
      </c>
      <c r="D5" s="226">
        <f>+B5+C5</f>
        <v>1.7000000000000002</v>
      </c>
      <c r="E5" s="227">
        <v>2</v>
      </c>
      <c r="F5" s="227">
        <f>+D5*E5</f>
        <v>3.4000000000000004</v>
      </c>
      <c r="G5" s="228">
        <f>(F5/$F$18)*$G$18</f>
        <v>27.09375</v>
      </c>
      <c r="H5" s="229">
        <f>(40/60)*G5</f>
        <v>18.0625</v>
      </c>
      <c r="I5" s="230">
        <f>+G5+H5</f>
        <v>45.15625</v>
      </c>
      <c r="J5" s="230">
        <f t="shared" ref="J5:J68" si="0">+I5/9.5</f>
        <v>4.7532894736842106</v>
      </c>
    </row>
    <row r="6" spans="1:13" x14ac:dyDescent="0.25">
      <c r="A6" s="225" t="s">
        <v>409</v>
      </c>
      <c r="B6" s="225" t="s">
        <v>408</v>
      </c>
      <c r="C6" s="225" t="s">
        <v>410</v>
      </c>
      <c r="D6" s="226">
        <f t="shared" ref="D6:D17" si="1">+B6+C6</f>
        <v>2.1</v>
      </c>
      <c r="E6" s="227">
        <v>2</v>
      </c>
      <c r="F6" s="227">
        <f t="shared" ref="F6:F69" si="2">+D6*E6</f>
        <v>4.2</v>
      </c>
      <c r="G6" s="228">
        <f t="shared" ref="G6:G69" si="3">(F6/$F$18)*$G$18</f>
        <v>33.46875</v>
      </c>
      <c r="H6" s="229">
        <f t="shared" ref="H6:H69" si="4">(40/60)*G6</f>
        <v>22.3125</v>
      </c>
      <c r="I6" s="230">
        <f t="shared" ref="I6:I69" si="5">+G6+H6</f>
        <v>55.78125</v>
      </c>
      <c r="J6" s="230">
        <f t="shared" si="0"/>
        <v>5.8717105263157894</v>
      </c>
    </row>
    <row r="7" spans="1:13" x14ac:dyDescent="0.25">
      <c r="A7" s="227">
        <v>1010</v>
      </c>
      <c r="B7" s="227">
        <v>1</v>
      </c>
      <c r="C7" s="227">
        <v>1</v>
      </c>
      <c r="D7" s="226">
        <f t="shared" si="1"/>
        <v>2</v>
      </c>
      <c r="E7" s="227">
        <v>2</v>
      </c>
      <c r="F7" s="227">
        <f t="shared" si="2"/>
        <v>4</v>
      </c>
      <c r="G7" s="228">
        <f t="shared" si="3"/>
        <v>31.875</v>
      </c>
      <c r="H7" s="229">
        <f t="shared" si="4"/>
        <v>21.25</v>
      </c>
      <c r="I7" s="230">
        <f t="shared" si="5"/>
        <v>53.125</v>
      </c>
      <c r="J7" s="230">
        <f t="shared" si="0"/>
        <v>5.5921052631578947</v>
      </c>
    </row>
    <row r="8" spans="1:13" x14ac:dyDescent="0.25">
      <c r="A8" s="227">
        <v>1019</v>
      </c>
      <c r="B8" s="227">
        <v>1</v>
      </c>
      <c r="C8" s="227">
        <v>1.9</v>
      </c>
      <c r="D8" s="226">
        <f t="shared" si="1"/>
        <v>2.9</v>
      </c>
      <c r="E8" s="227">
        <v>2</v>
      </c>
      <c r="F8" s="227">
        <f t="shared" si="2"/>
        <v>5.8</v>
      </c>
      <c r="G8" s="228">
        <f t="shared" si="3"/>
        <v>46.218749999999993</v>
      </c>
      <c r="H8" s="229">
        <f t="shared" si="4"/>
        <v>30.812499999999993</v>
      </c>
      <c r="I8" s="230">
        <f t="shared" si="5"/>
        <v>77.031249999999986</v>
      </c>
      <c r="J8" s="230">
        <f t="shared" si="0"/>
        <v>8.1085526315789451</v>
      </c>
    </row>
    <row r="9" spans="1:13" x14ac:dyDescent="0.25">
      <c r="A9" s="227">
        <v>1013</v>
      </c>
      <c r="B9" s="227">
        <v>1</v>
      </c>
      <c r="C9" s="227">
        <v>1.3</v>
      </c>
      <c r="D9" s="226">
        <f t="shared" si="1"/>
        <v>2.2999999999999998</v>
      </c>
      <c r="E9" s="227">
        <v>2</v>
      </c>
      <c r="F9" s="227">
        <f t="shared" si="2"/>
        <v>4.5999999999999996</v>
      </c>
      <c r="G9" s="228">
        <f t="shared" si="3"/>
        <v>36.656249999999993</v>
      </c>
      <c r="H9" s="229">
        <f t="shared" si="4"/>
        <v>24.437499999999993</v>
      </c>
      <c r="I9" s="230">
        <f t="shared" si="5"/>
        <v>61.093749999999986</v>
      </c>
      <c r="J9" s="230">
        <f t="shared" si="0"/>
        <v>6.4309210526315779</v>
      </c>
    </row>
    <row r="10" spans="1:13" x14ac:dyDescent="0.25">
      <c r="A10" s="227">
        <v>1215</v>
      </c>
      <c r="B10" s="227">
        <v>1.2</v>
      </c>
      <c r="C10" s="227">
        <v>1.5</v>
      </c>
      <c r="D10" s="226">
        <f t="shared" si="1"/>
        <v>2.7</v>
      </c>
      <c r="E10" s="227">
        <v>2</v>
      </c>
      <c r="F10" s="227">
        <f t="shared" si="2"/>
        <v>5.4</v>
      </c>
      <c r="G10" s="228">
        <f t="shared" si="3"/>
        <v>43.03125</v>
      </c>
      <c r="H10" s="229">
        <f t="shared" si="4"/>
        <v>28.6875</v>
      </c>
      <c r="I10" s="230">
        <f t="shared" si="5"/>
        <v>71.71875</v>
      </c>
      <c r="J10" s="230">
        <f t="shared" si="0"/>
        <v>7.5493421052631575</v>
      </c>
    </row>
    <row r="11" spans="1:13" x14ac:dyDescent="0.25">
      <c r="A11" s="227">
        <v>1216</v>
      </c>
      <c r="B11" s="227">
        <v>1.2</v>
      </c>
      <c r="C11" s="227">
        <v>1.6</v>
      </c>
      <c r="D11" s="226">
        <f t="shared" si="1"/>
        <v>2.8</v>
      </c>
      <c r="E11" s="227">
        <v>2</v>
      </c>
      <c r="F11" s="227">
        <f t="shared" si="2"/>
        <v>5.6</v>
      </c>
      <c r="G11" s="228">
        <f t="shared" si="3"/>
        <v>44.624999999999993</v>
      </c>
      <c r="H11" s="229">
        <f t="shared" si="4"/>
        <v>29.749999999999993</v>
      </c>
      <c r="I11" s="230">
        <f t="shared" si="5"/>
        <v>74.374999999999986</v>
      </c>
      <c r="J11" s="230">
        <f t="shared" si="0"/>
        <v>7.8289473684210513</v>
      </c>
    </row>
    <row r="12" spans="1:13" x14ac:dyDescent="0.25">
      <c r="A12" s="227">
        <v>1311</v>
      </c>
      <c r="B12" s="227">
        <v>1.3</v>
      </c>
      <c r="C12" s="227">
        <v>1.1000000000000001</v>
      </c>
      <c r="D12" s="226">
        <f t="shared" si="1"/>
        <v>2.4000000000000004</v>
      </c>
      <c r="E12" s="227">
        <v>2</v>
      </c>
      <c r="F12" s="227">
        <f t="shared" si="2"/>
        <v>4.8000000000000007</v>
      </c>
      <c r="G12" s="228">
        <f t="shared" si="3"/>
        <v>38.250000000000007</v>
      </c>
      <c r="H12" s="229">
        <f t="shared" si="4"/>
        <v>25.500000000000004</v>
      </c>
      <c r="I12" s="230">
        <f t="shared" si="5"/>
        <v>63.750000000000014</v>
      </c>
      <c r="J12" s="230">
        <f t="shared" si="0"/>
        <v>6.7105263157894752</v>
      </c>
    </row>
    <row r="13" spans="1:13" x14ac:dyDescent="0.25">
      <c r="A13" s="227">
        <v>1414</v>
      </c>
      <c r="B13" s="227">
        <v>1.4</v>
      </c>
      <c r="C13" s="227">
        <v>1.4</v>
      </c>
      <c r="D13" s="226">
        <f t="shared" si="1"/>
        <v>2.8</v>
      </c>
      <c r="E13" s="227">
        <v>2</v>
      </c>
      <c r="F13" s="227">
        <f t="shared" si="2"/>
        <v>5.6</v>
      </c>
      <c r="G13" s="228">
        <f t="shared" si="3"/>
        <v>44.624999999999993</v>
      </c>
      <c r="H13" s="229">
        <f t="shared" si="4"/>
        <v>29.749999999999993</v>
      </c>
      <c r="I13" s="230">
        <f t="shared" si="5"/>
        <v>74.374999999999986</v>
      </c>
      <c r="J13" s="230">
        <f t="shared" si="0"/>
        <v>7.8289473684210513</v>
      </c>
    </row>
    <row r="14" spans="1:13" x14ac:dyDescent="0.25">
      <c r="A14" s="227">
        <v>1415</v>
      </c>
      <c r="B14" s="227">
        <v>1.4</v>
      </c>
      <c r="C14" s="227">
        <v>1.5</v>
      </c>
      <c r="D14" s="226">
        <f t="shared" si="1"/>
        <v>2.9</v>
      </c>
      <c r="E14" s="227">
        <v>2</v>
      </c>
      <c r="F14" s="227">
        <f>+D14*E14</f>
        <v>5.8</v>
      </c>
      <c r="G14" s="228">
        <f t="shared" si="3"/>
        <v>46.218749999999993</v>
      </c>
      <c r="H14" s="229">
        <f t="shared" si="4"/>
        <v>30.812499999999993</v>
      </c>
      <c r="I14" s="230">
        <f t="shared" si="5"/>
        <v>77.031249999999986</v>
      </c>
      <c r="J14" s="230">
        <f t="shared" si="0"/>
        <v>8.1085526315789451</v>
      </c>
    </row>
    <row r="15" spans="1:13" x14ac:dyDescent="0.25">
      <c r="A15" s="227">
        <v>1420</v>
      </c>
      <c r="B15" s="227">
        <v>1.4</v>
      </c>
      <c r="C15" s="227">
        <v>2</v>
      </c>
      <c r="D15" s="226">
        <f t="shared" si="1"/>
        <v>3.4</v>
      </c>
      <c r="E15" s="227">
        <v>2</v>
      </c>
      <c r="F15" s="227">
        <f t="shared" si="2"/>
        <v>6.8</v>
      </c>
      <c r="G15" s="228">
        <f t="shared" si="3"/>
        <v>54.1875</v>
      </c>
      <c r="H15" s="229">
        <f t="shared" si="4"/>
        <v>36.125</v>
      </c>
      <c r="I15" s="230">
        <f t="shared" si="5"/>
        <v>90.3125</v>
      </c>
      <c r="J15" s="230">
        <f t="shared" si="0"/>
        <v>9.5065789473684212</v>
      </c>
    </row>
    <row r="16" spans="1:13" x14ac:dyDescent="0.25">
      <c r="A16" s="227">
        <v>1319</v>
      </c>
      <c r="B16" s="227">
        <v>1.3</v>
      </c>
      <c r="C16" s="227">
        <v>1.9</v>
      </c>
      <c r="D16" s="226">
        <f t="shared" si="1"/>
        <v>3.2</v>
      </c>
      <c r="E16" s="227">
        <v>2</v>
      </c>
      <c r="F16" s="227">
        <f t="shared" si="2"/>
        <v>6.4</v>
      </c>
      <c r="G16" s="228">
        <f t="shared" si="3"/>
        <v>51</v>
      </c>
      <c r="H16" s="229">
        <f t="shared" si="4"/>
        <v>34</v>
      </c>
      <c r="I16" s="230">
        <f t="shared" si="5"/>
        <v>85</v>
      </c>
      <c r="J16" s="230">
        <f t="shared" si="0"/>
        <v>8.9473684210526319</v>
      </c>
    </row>
    <row r="17" spans="1:11" x14ac:dyDescent="0.25">
      <c r="A17" s="227">
        <v>1529</v>
      </c>
      <c r="B17" s="227">
        <v>1.5</v>
      </c>
      <c r="C17" s="227">
        <v>2.9</v>
      </c>
      <c r="D17" s="226">
        <f t="shared" si="1"/>
        <v>4.4000000000000004</v>
      </c>
      <c r="E17" s="227">
        <v>2</v>
      </c>
      <c r="F17" s="227">
        <f t="shared" si="2"/>
        <v>8.8000000000000007</v>
      </c>
      <c r="G17" s="228">
        <f t="shared" si="3"/>
        <v>70.125</v>
      </c>
      <c r="H17" s="229">
        <f t="shared" si="4"/>
        <v>46.75</v>
      </c>
      <c r="I17" s="230">
        <f t="shared" si="5"/>
        <v>116.875</v>
      </c>
      <c r="J17" s="230">
        <f t="shared" si="0"/>
        <v>12.302631578947368</v>
      </c>
    </row>
    <row r="18" spans="1:11" x14ac:dyDescent="0.25">
      <c r="A18" s="231">
        <v>1616</v>
      </c>
      <c r="B18" s="231">
        <v>1.6</v>
      </c>
      <c r="C18" s="231">
        <v>1.6</v>
      </c>
      <c r="D18" s="232">
        <f>+B18+C18</f>
        <v>3.2</v>
      </c>
      <c r="E18" s="231">
        <v>2</v>
      </c>
      <c r="F18" s="233">
        <f t="shared" si="2"/>
        <v>6.4</v>
      </c>
      <c r="G18" s="234">
        <f>+F2*0.6</f>
        <v>51</v>
      </c>
      <c r="H18" s="235">
        <f>(40/60)*G18</f>
        <v>34</v>
      </c>
      <c r="I18" s="236">
        <f>+G18+H18</f>
        <v>85</v>
      </c>
      <c r="J18" s="236">
        <f t="shared" si="0"/>
        <v>8.9473684210526319</v>
      </c>
      <c r="K18" s="217" t="s">
        <v>411</v>
      </c>
    </row>
    <row r="19" spans="1:11" x14ac:dyDescent="0.25">
      <c r="A19" s="237">
        <v>1620</v>
      </c>
      <c r="B19" s="237">
        <v>1.6</v>
      </c>
      <c r="C19" s="237">
        <v>2</v>
      </c>
      <c r="D19" s="226">
        <f t="shared" ref="D19:D82" si="6">+B19+C19</f>
        <v>3.6</v>
      </c>
      <c r="E19" s="237">
        <v>2</v>
      </c>
      <c r="F19" s="227">
        <f t="shared" si="2"/>
        <v>7.2</v>
      </c>
      <c r="G19" s="228">
        <f t="shared" si="3"/>
        <v>57.375</v>
      </c>
      <c r="H19" s="229">
        <f t="shared" si="4"/>
        <v>38.25</v>
      </c>
      <c r="I19" s="230">
        <f t="shared" si="5"/>
        <v>95.625</v>
      </c>
      <c r="J19" s="230">
        <f t="shared" si="0"/>
        <v>10.065789473684211</v>
      </c>
    </row>
    <row r="20" spans="1:11" x14ac:dyDescent="0.25">
      <c r="A20" s="237">
        <v>2020</v>
      </c>
      <c r="B20" s="237">
        <v>2</v>
      </c>
      <c r="C20" s="237">
        <v>2</v>
      </c>
      <c r="D20" s="226">
        <f t="shared" si="6"/>
        <v>4</v>
      </c>
      <c r="E20" s="237">
        <v>2</v>
      </c>
      <c r="F20" s="227">
        <f t="shared" si="2"/>
        <v>8</v>
      </c>
      <c r="G20" s="228">
        <f t="shared" si="3"/>
        <v>63.75</v>
      </c>
      <c r="H20" s="229">
        <f t="shared" si="4"/>
        <v>42.5</v>
      </c>
      <c r="I20" s="230">
        <f t="shared" si="5"/>
        <v>106.25</v>
      </c>
      <c r="J20" s="230">
        <f t="shared" si="0"/>
        <v>11.184210526315789</v>
      </c>
    </row>
    <row r="21" spans="1:11" x14ac:dyDescent="0.25">
      <c r="A21" s="227">
        <v>2023</v>
      </c>
      <c r="B21" s="227">
        <v>2</v>
      </c>
      <c r="C21" s="227">
        <v>2.2999999999999998</v>
      </c>
      <c r="D21" s="226">
        <f t="shared" si="6"/>
        <v>4.3</v>
      </c>
      <c r="E21" s="227">
        <v>2</v>
      </c>
      <c r="F21" s="227">
        <f t="shared" si="2"/>
        <v>8.6</v>
      </c>
      <c r="G21" s="228">
        <f t="shared" si="3"/>
        <v>68.531249999999986</v>
      </c>
      <c r="H21" s="229">
        <f t="shared" si="4"/>
        <v>45.687499999999986</v>
      </c>
      <c r="I21" s="230">
        <f t="shared" si="5"/>
        <v>114.21874999999997</v>
      </c>
      <c r="J21" s="230">
        <f t="shared" si="0"/>
        <v>12.023026315789471</v>
      </c>
    </row>
    <row r="22" spans="1:11" x14ac:dyDescent="0.25">
      <c r="A22" s="227">
        <v>2026</v>
      </c>
      <c r="B22" s="227">
        <v>2</v>
      </c>
      <c r="C22" s="227">
        <v>2.6</v>
      </c>
      <c r="D22" s="226">
        <f t="shared" si="6"/>
        <v>4.5999999999999996</v>
      </c>
      <c r="E22" s="227">
        <v>2</v>
      </c>
      <c r="F22" s="227">
        <f t="shared" si="2"/>
        <v>9.1999999999999993</v>
      </c>
      <c r="G22" s="228">
        <f t="shared" si="3"/>
        <v>73.312499999999986</v>
      </c>
      <c r="H22" s="229">
        <f t="shared" si="4"/>
        <v>48.874999999999986</v>
      </c>
      <c r="I22" s="230">
        <f t="shared" si="5"/>
        <v>122.18749999999997</v>
      </c>
      <c r="J22" s="230">
        <f t="shared" si="0"/>
        <v>12.861842105263156</v>
      </c>
    </row>
    <row r="23" spans="1:11" x14ac:dyDescent="0.25">
      <c r="A23" s="227">
        <v>2027</v>
      </c>
      <c r="B23" s="227">
        <v>2</v>
      </c>
      <c r="C23" s="227">
        <v>2.7</v>
      </c>
      <c r="D23" s="226">
        <f t="shared" si="6"/>
        <v>4.7</v>
      </c>
      <c r="E23" s="227">
        <v>2</v>
      </c>
      <c r="F23" s="227">
        <f t="shared" si="2"/>
        <v>9.4</v>
      </c>
      <c r="G23" s="228">
        <f t="shared" si="3"/>
        <v>74.90625</v>
      </c>
      <c r="H23" s="229">
        <f t="shared" si="4"/>
        <v>49.9375</v>
      </c>
      <c r="I23" s="230">
        <f t="shared" si="5"/>
        <v>124.84375</v>
      </c>
      <c r="J23" s="230">
        <f t="shared" si="0"/>
        <v>13.141447368421053</v>
      </c>
    </row>
    <row r="24" spans="1:11" x14ac:dyDescent="0.25">
      <c r="A24" s="227">
        <v>2029</v>
      </c>
      <c r="B24" s="227">
        <v>2</v>
      </c>
      <c r="C24" s="227">
        <v>2.9</v>
      </c>
      <c r="D24" s="226">
        <f t="shared" si="6"/>
        <v>4.9000000000000004</v>
      </c>
      <c r="E24" s="227">
        <v>2</v>
      </c>
      <c r="F24" s="227">
        <f t="shared" si="2"/>
        <v>9.8000000000000007</v>
      </c>
      <c r="G24" s="228">
        <f t="shared" si="3"/>
        <v>78.09375</v>
      </c>
      <c r="H24" s="229">
        <f t="shared" si="4"/>
        <v>52.0625</v>
      </c>
      <c r="I24" s="230">
        <f t="shared" si="5"/>
        <v>130.15625</v>
      </c>
      <c r="J24" s="230">
        <f t="shared" si="0"/>
        <v>13.700657894736842</v>
      </c>
    </row>
    <row r="25" spans="1:11" x14ac:dyDescent="0.25">
      <c r="A25" s="227">
        <v>809</v>
      </c>
      <c r="B25" s="227">
        <v>0.8</v>
      </c>
      <c r="C25" s="227">
        <v>0.9</v>
      </c>
      <c r="D25" s="226">
        <f t="shared" si="6"/>
        <v>1.7000000000000002</v>
      </c>
      <c r="E25" s="227">
        <v>2</v>
      </c>
      <c r="F25" s="227">
        <f t="shared" si="2"/>
        <v>3.4000000000000004</v>
      </c>
      <c r="G25" s="228">
        <f t="shared" si="3"/>
        <v>27.09375</v>
      </c>
      <c r="H25" s="229">
        <f t="shared" si="4"/>
        <v>18.0625</v>
      </c>
      <c r="I25" s="230">
        <f t="shared" si="5"/>
        <v>45.15625</v>
      </c>
      <c r="J25" s="230">
        <f t="shared" si="0"/>
        <v>4.7532894736842106</v>
      </c>
    </row>
    <row r="26" spans="1:11" x14ac:dyDescent="0.25">
      <c r="A26" s="227">
        <v>1010</v>
      </c>
      <c r="B26" s="227">
        <v>1</v>
      </c>
      <c r="C26" s="227">
        <v>1</v>
      </c>
      <c r="D26" s="226">
        <f t="shared" si="6"/>
        <v>2</v>
      </c>
      <c r="E26" s="227">
        <v>2</v>
      </c>
      <c r="F26" s="227">
        <f t="shared" si="2"/>
        <v>4</v>
      </c>
      <c r="G26" s="228">
        <f t="shared" si="3"/>
        <v>31.875</v>
      </c>
      <c r="H26" s="229">
        <f t="shared" si="4"/>
        <v>21.25</v>
      </c>
      <c r="I26" s="230">
        <f t="shared" si="5"/>
        <v>53.125</v>
      </c>
      <c r="J26" s="230">
        <f t="shared" si="0"/>
        <v>5.5921052631578947</v>
      </c>
    </row>
    <row r="27" spans="1:11" x14ac:dyDescent="0.25">
      <c r="A27" s="227">
        <v>2516</v>
      </c>
      <c r="B27" s="227">
        <v>2.5</v>
      </c>
      <c r="C27" s="227">
        <v>1.6</v>
      </c>
      <c r="D27" s="226">
        <f t="shared" si="6"/>
        <v>4.0999999999999996</v>
      </c>
      <c r="E27" s="227">
        <v>2</v>
      </c>
      <c r="F27" s="227">
        <f t="shared" si="2"/>
        <v>8.1999999999999993</v>
      </c>
      <c r="G27" s="228">
        <f t="shared" si="3"/>
        <v>65.343749999999986</v>
      </c>
      <c r="H27" s="229">
        <f t="shared" si="4"/>
        <v>43.562499999999986</v>
      </c>
      <c r="I27" s="230">
        <f t="shared" si="5"/>
        <v>108.90624999999997</v>
      </c>
      <c r="J27" s="230">
        <f t="shared" si="0"/>
        <v>11.463815789473681</v>
      </c>
    </row>
    <row r="28" spans="1:11" x14ac:dyDescent="0.25">
      <c r="A28" s="227">
        <v>3331</v>
      </c>
      <c r="B28" s="227">
        <v>3.3</v>
      </c>
      <c r="C28" s="227">
        <v>3.1</v>
      </c>
      <c r="D28" s="226">
        <f t="shared" si="6"/>
        <v>6.4</v>
      </c>
      <c r="E28" s="227">
        <v>2</v>
      </c>
      <c r="F28" s="227">
        <f t="shared" si="2"/>
        <v>12.8</v>
      </c>
      <c r="G28" s="228">
        <f t="shared" si="3"/>
        <v>102</v>
      </c>
      <c r="H28" s="229">
        <f t="shared" si="4"/>
        <v>68</v>
      </c>
      <c r="I28" s="230">
        <f t="shared" si="5"/>
        <v>170</v>
      </c>
      <c r="J28" s="230">
        <f t="shared" si="0"/>
        <v>17.894736842105264</v>
      </c>
    </row>
    <row r="29" spans="1:11" x14ac:dyDescent="0.25">
      <c r="A29" s="227">
        <v>3421</v>
      </c>
      <c r="B29" s="227">
        <v>3.4</v>
      </c>
      <c r="C29" s="227">
        <v>2.1</v>
      </c>
      <c r="D29" s="226">
        <f t="shared" si="6"/>
        <v>5.5</v>
      </c>
      <c r="E29" s="227">
        <v>2</v>
      </c>
      <c r="F29" s="227">
        <f t="shared" si="2"/>
        <v>11</v>
      </c>
      <c r="G29" s="228">
        <f t="shared" si="3"/>
        <v>87.65625</v>
      </c>
      <c r="H29" s="229">
        <f t="shared" si="4"/>
        <v>58.4375</v>
      </c>
      <c r="I29" s="230">
        <f t="shared" si="5"/>
        <v>146.09375</v>
      </c>
      <c r="J29" s="230">
        <f t="shared" si="0"/>
        <v>15.378289473684211</v>
      </c>
    </row>
    <row r="30" spans="1:11" x14ac:dyDescent="0.25">
      <c r="A30" s="227">
        <v>1312</v>
      </c>
      <c r="B30" s="227">
        <v>1.3</v>
      </c>
      <c r="C30" s="227">
        <v>1.2</v>
      </c>
      <c r="D30" s="226">
        <f t="shared" si="6"/>
        <v>2.5</v>
      </c>
      <c r="E30" s="227">
        <v>2</v>
      </c>
      <c r="F30" s="227">
        <f t="shared" si="2"/>
        <v>5</v>
      </c>
      <c r="G30" s="228">
        <f t="shared" si="3"/>
        <v>39.84375</v>
      </c>
      <c r="H30" s="229">
        <f t="shared" si="4"/>
        <v>26.5625</v>
      </c>
      <c r="I30" s="230">
        <f t="shared" si="5"/>
        <v>66.40625</v>
      </c>
      <c r="J30" s="230">
        <f t="shared" si="0"/>
        <v>6.9901315789473681</v>
      </c>
    </row>
    <row r="31" spans="1:11" x14ac:dyDescent="0.25">
      <c r="A31" s="227">
        <v>1220</v>
      </c>
      <c r="B31" s="227">
        <v>1.2</v>
      </c>
      <c r="C31" s="227">
        <v>2</v>
      </c>
      <c r="D31" s="226">
        <f t="shared" si="6"/>
        <v>3.2</v>
      </c>
      <c r="E31" s="227">
        <v>2</v>
      </c>
      <c r="F31" s="227">
        <f t="shared" si="2"/>
        <v>6.4</v>
      </c>
      <c r="G31" s="228">
        <f t="shared" si="3"/>
        <v>51</v>
      </c>
      <c r="H31" s="229">
        <f t="shared" si="4"/>
        <v>34</v>
      </c>
      <c r="I31" s="230">
        <f t="shared" si="5"/>
        <v>85</v>
      </c>
      <c r="J31" s="230">
        <f t="shared" si="0"/>
        <v>8.9473684210526319</v>
      </c>
    </row>
    <row r="32" spans="1:11" x14ac:dyDescent="0.25">
      <c r="A32" s="227">
        <v>2824</v>
      </c>
      <c r="B32" s="227">
        <v>2.8</v>
      </c>
      <c r="C32" s="227">
        <v>2.4</v>
      </c>
      <c r="D32" s="226">
        <f t="shared" si="6"/>
        <v>5.1999999999999993</v>
      </c>
      <c r="E32" s="227">
        <v>2</v>
      </c>
      <c r="F32" s="227">
        <f t="shared" si="2"/>
        <v>10.399999999999999</v>
      </c>
      <c r="G32" s="228">
        <f t="shared" si="3"/>
        <v>82.874999999999986</v>
      </c>
      <c r="H32" s="229">
        <f t="shared" si="4"/>
        <v>55.249999999999986</v>
      </c>
      <c r="I32" s="230">
        <f t="shared" si="5"/>
        <v>138.12499999999997</v>
      </c>
      <c r="J32" s="230">
        <f t="shared" si="0"/>
        <v>14.539473684210524</v>
      </c>
    </row>
    <row r="33" spans="1:14" x14ac:dyDescent="0.25">
      <c r="A33" s="227">
        <v>2329</v>
      </c>
      <c r="B33" s="227">
        <v>2.2999999999999998</v>
      </c>
      <c r="C33" s="227">
        <v>2.9</v>
      </c>
      <c r="D33" s="226">
        <f t="shared" si="6"/>
        <v>5.1999999999999993</v>
      </c>
      <c r="E33" s="227">
        <v>2</v>
      </c>
      <c r="F33" s="227">
        <f t="shared" si="2"/>
        <v>10.399999999999999</v>
      </c>
      <c r="G33" s="228">
        <f t="shared" si="3"/>
        <v>82.874999999999986</v>
      </c>
      <c r="H33" s="229">
        <f t="shared" si="4"/>
        <v>55.249999999999986</v>
      </c>
      <c r="I33" s="230">
        <f t="shared" si="5"/>
        <v>138.12499999999997</v>
      </c>
      <c r="J33" s="230">
        <f t="shared" si="0"/>
        <v>14.539473684210524</v>
      </c>
      <c r="M33" s="238"/>
    </row>
    <row r="34" spans="1:14" x14ac:dyDescent="0.25">
      <c r="A34" s="227">
        <v>1111</v>
      </c>
      <c r="B34" s="227">
        <v>1.1000000000000001</v>
      </c>
      <c r="C34" s="227">
        <v>1.1000000000000001</v>
      </c>
      <c r="D34" s="226">
        <f t="shared" si="6"/>
        <v>2.2000000000000002</v>
      </c>
      <c r="E34" s="227">
        <v>2</v>
      </c>
      <c r="F34" s="227">
        <f t="shared" si="2"/>
        <v>4.4000000000000004</v>
      </c>
      <c r="G34" s="228">
        <f t="shared" si="3"/>
        <v>35.0625</v>
      </c>
      <c r="H34" s="229">
        <f t="shared" si="4"/>
        <v>23.375</v>
      </c>
      <c r="I34" s="230">
        <f t="shared" si="5"/>
        <v>58.4375</v>
      </c>
      <c r="J34" s="230">
        <f t="shared" si="0"/>
        <v>6.1513157894736841</v>
      </c>
      <c r="M34" s="238"/>
    </row>
    <row r="35" spans="1:14" x14ac:dyDescent="0.25">
      <c r="A35" s="227">
        <v>1012</v>
      </c>
      <c r="B35" s="227">
        <v>1</v>
      </c>
      <c r="C35" s="227">
        <v>1.2</v>
      </c>
      <c r="D35" s="226">
        <f t="shared" si="6"/>
        <v>2.2000000000000002</v>
      </c>
      <c r="E35" s="227">
        <v>2</v>
      </c>
      <c r="F35" s="227">
        <f t="shared" si="2"/>
        <v>4.4000000000000004</v>
      </c>
      <c r="G35" s="228">
        <f t="shared" si="3"/>
        <v>35.0625</v>
      </c>
      <c r="H35" s="229">
        <f t="shared" si="4"/>
        <v>23.375</v>
      </c>
      <c r="I35" s="230">
        <f t="shared" si="5"/>
        <v>58.4375</v>
      </c>
      <c r="J35" s="230">
        <f t="shared" si="0"/>
        <v>6.1513157894736841</v>
      </c>
      <c r="M35" s="238"/>
    </row>
    <row r="36" spans="1:14" x14ac:dyDescent="0.25">
      <c r="A36" s="227">
        <v>1412</v>
      </c>
      <c r="B36" s="227">
        <v>1.4</v>
      </c>
      <c r="C36" s="227">
        <v>1.2</v>
      </c>
      <c r="D36" s="226">
        <f t="shared" si="6"/>
        <v>2.5999999999999996</v>
      </c>
      <c r="E36" s="227">
        <v>2</v>
      </c>
      <c r="F36" s="227">
        <f t="shared" si="2"/>
        <v>5.1999999999999993</v>
      </c>
      <c r="G36" s="228">
        <f t="shared" si="3"/>
        <v>41.437499999999993</v>
      </c>
      <c r="H36" s="229">
        <f t="shared" si="4"/>
        <v>27.624999999999993</v>
      </c>
      <c r="I36" s="230">
        <f t="shared" si="5"/>
        <v>69.062499999999986</v>
      </c>
      <c r="J36" s="230">
        <f t="shared" si="0"/>
        <v>7.2697368421052619</v>
      </c>
      <c r="M36" s="238"/>
      <c r="N36" s="238"/>
    </row>
    <row r="37" spans="1:14" x14ac:dyDescent="0.25">
      <c r="A37" s="227">
        <v>1513</v>
      </c>
      <c r="B37" s="227">
        <v>1.5</v>
      </c>
      <c r="C37" s="227">
        <v>1.3</v>
      </c>
      <c r="D37" s="226">
        <f t="shared" si="6"/>
        <v>2.8</v>
      </c>
      <c r="E37" s="227">
        <v>2</v>
      </c>
      <c r="F37" s="227">
        <f t="shared" si="2"/>
        <v>5.6</v>
      </c>
      <c r="G37" s="228">
        <f t="shared" si="3"/>
        <v>44.624999999999993</v>
      </c>
      <c r="H37" s="229">
        <f t="shared" si="4"/>
        <v>29.749999999999993</v>
      </c>
      <c r="I37" s="230">
        <f t="shared" si="5"/>
        <v>74.374999999999986</v>
      </c>
      <c r="J37" s="230">
        <f t="shared" si="0"/>
        <v>7.8289473684210513</v>
      </c>
      <c r="N37" s="238"/>
    </row>
    <row r="38" spans="1:14" x14ac:dyDescent="0.25">
      <c r="A38" s="227">
        <v>1512</v>
      </c>
      <c r="B38" s="227">
        <v>1.5</v>
      </c>
      <c r="C38" s="227">
        <v>1.2</v>
      </c>
      <c r="D38" s="226">
        <f t="shared" si="6"/>
        <v>2.7</v>
      </c>
      <c r="E38" s="227">
        <v>2</v>
      </c>
      <c r="F38" s="227">
        <f t="shared" si="2"/>
        <v>5.4</v>
      </c>
      <c r="G38" s="228">
        <f t="shared" si="3"/>
        <v>43.03125</v>
      </c>
      <c r="H38" s="229">
        <f t="shared" si="4"/>
        <v>28.6875</v>
      </c>
      <c r="I38" s="230">
        <f t="shared" si="5"/>
        <v>71.71875</v>
      </c>
      <c r="J38" s="230">
        <f t="shared" si="0"/>
        <v>7.5493421052631575</v>
      </c>
    </row>
    <row r="39" spans="1:14" x14ac:dyDescent="0.25">
      <c r="A39" s="227">
        <v>1018</v>
      </c>
      <c r="B39" s="227">
        <v>1</v>
      </c>
      <c r="C39" s="227">
        <v>1.8</v>
      </c>
      <c r="D39" s="226">
        <f t="shared" si="6"/>
        <v>2.8</v>
      </c>
      <c r="E39" s="227">
        <v>2</v>
      </c>
      <c r="F39" s="227">
        <f t="shared" si="2"/>
        <v>5.6</v>
      </c>
      <c r="G39" s="228">
        <f t="shared" si="3"/>
        <v>44.624999999999993</v>
      </c>
      <c r="H39" s="229">
        <f t="shared" si="4"/>
        <v>29.749999999999993</v>
      </c>
      <c r="I39" s="230">
        <f t="shared" si="5"/>
        <v>74.374999999999986</v>
      </c>
      <c r="J39" s="230">
        <f t="shared" si="0"/>
        <v>7.8289473684210513</v>
      </c>
    </row>
    <row r="40" spans="1:14" x14ac:dyDescent="0.25">
      <c r="A40" s="227">
        <v>1217</v>
      </c>
      <c r="B40" s="227">
        <v>1.2</v>
      </c>
      <c r="C40" s="227">
        <v>1.7</v>
      </c>
      <c r="D40" s="226">
        <f t="shared" si="6"/>
        <v>2.9</v>
      </c>
      <c r="E40" s="227">
        <v>2</v>
      </c>
      <c r="F40" s="227">
        <f t="shared" si="2"/>
        <v>5.8</v>
      </c>
      <c r="G40" s="228">
        <f t="shared" si="3"/>
        <v>46.218749999999993</v>
      </c>
      <c r="H40" s="229">
        <f t="shared" si="4"/>
        <v>30.812499999999993</v>
      </c>
      <c r="I40" s="230">
        <f t="shared" si="5"/>
        <v>77.031249999999986</v>
      </c>
      <c r="J40" s="230">
        <f t="shared" si="0"/>
        <v>8.1085526315789451</v>
      </c>
    </row>
    <row r="41" spans="1:14" x14ac:dyDescent="0.25">
      <c r="A41" s="227">
        <v>1416</v>
      </c>
      <c r="B41" s="227">
        <v>1.4</v>
      </c>
      <c r="C41" s="227">
        <v>1.6</v>
      </c>
      <c r="D41" s="226">
        <f t="shared" si="6"/>
        <v>3</v>
      </c>
      <c r="E41" s="227">
        <v>2</v>
      </c>
      <c r="F41" s="227">
        <f t="shared" si="2"/>
        <v>6</v>
      </c>
      <c r="G41" s="228">
        <f t="shared" si="3"/>
        <v>47.8125</v>
      </c>
      <c r="H41" s="229">
        <f t="shared" si="4"/>
        <v>31.875</v>
      </c>
      <c r="I41" s="230">
        <f t="shared" si="5"/>
        <v>79.6875</v>
      </c>
      <c r="J41" s="230">
        <f t="shared" si="0"/>
        <v>8.3881578947368425</v>
      </c>
    </row>
    <row r="42" spans="1:14" x14ac:dyDescent="0.25">
      <c r="A42" s="227">
        <v>1617</v>
      </c>
      <c r="B42" s="227">
        <v>1.6</v>
      </c>
      <c r="C42" s="227">
        <v>1.7</v>
      </c>
      <c r="D42" s="226">
        <f t="shared" si="6"/>
        <v>3.3</v>
      </c>
      <c r="E42" s="227">
        <v>2</v>
      </c>
      <c r="F42" s="227">
        <f t="shared" si="2"/>
        <v>6.6</v>
      </c>
      <c r="G42" s="228">
        <f t="shared" si="3"/>
        <v>52.593749999999986</v>
      </c>
      <c r="H42" s="229">
        <f t="shared" si="4"/>
        <v>35.062499999999986</v>
      </c>
      <c r="I42" s="230">
        <f t="shared" si="5"/>
        <v>87.656249999999972</v>
      </c>
      <c r="J42" s="230">
        <f t="shared" si="0"/>
        <v>9.2269736842105239</v>
      </c>
    </row>
    <row r="43" spans="1:14" x14ac:dyDescent="0.25">
      <c r="A43" s="227">
        <v>909</v>
      </c>
      <c r="B43" s="227">
        <v>0.9</v>
      </c>
      <c r="C43" s="227">
        <v>0.9</v>
      </c>
      <c r="D43" s="226">
        <f t="shared" si="6"/>
        <v>1.8</v>
      </c>
      <c r="E43" s="227">
        <v>2</v>
      </c>
      <c r="F43" s="227">
        <f t="shared" si="2"/>
        <v>3.6</v>
      </c>
      <c r="G43" s="228">
        <f t="shared" si="3"/>
        <v>28.6875</v>
      </c>
      <c r="H43" s="229">
        <f t="shared" si="4"/>
        <v>19.125</v>
      </c>
      <c r="I43" s="230">
        <f t="shared" si="5"/>
        <v>47.8125</v>
      </c>
      <c r="J43" s="230">
        <f t="shared" si="0"/>
        <v>5.0328947368421053</v>
      </c>
    </row>
    <row r="44" spans="1:14" x14ac:dyDescent="0.25">
      <c r="A44" s="227">
        <v>2016</v>
      </c>
      <c r="B44" s="227">
        <v>2</v>
      </c>
      <c r="C44" s="227">
        <v>1.6</v>
      </c>
      <c r="D44" s="226">
        <f t="shared" si="6"/>
        <v>3.6</v>
      </c>
      <c r="E44" s="227">
        <v>2</v>
      </c>
      <c r="F44" s="227">
        <f t="shared" si="2"/>
        <v>7.2</v>
      </c>
      <c r="G44" s="228">
        <f t="shared" si="3"/>
        <v>57.375</v>
      </c>
      <c r="H44" s="229">
        <f t="shared" si="4"/>
        <v>38.25</v>
      </c>
      <c r="I44" s="230">
        <f t="shared" si="5"/>
        <v>95.625</v>
      </c>
      <c r="J44" s="230">
        <f t="shared" si="0"/>
        <v>10.065789473684211</v>
      </c>
    </row>
    <row r="45" spans="1:14" x14ac:dyDescent="0.25">
      <c r="A45" s="227">
        <v>2132</v>
      </c>
      <c r="B45" s="227">
        <v>2.1</v>
      </c>
      <c r="C45" s="227">
        <v>3.2</v>
      </c>
      <c r="D45" s="226">
        <f t="shared" si="6"/>
        <v>5.3000000000000007</v>
      </c>
      <c r="E45" s="227">
        <v>2</v>
      </c>
      <c r="F45" s="227">
        <f t="shared" si="2"/>
        <v>10.600000000000001</v>
      </c>
      <c r="G45" s="228">
        <f t="shared" si="3"/>
        <v>84.468750000000014</v>
      </c>
      <c r="H45" s="229">
        <f t="shared" si="4"/>
        <v>56.312500000000007</v>
      </c>
      <c r="I45" s="230">
        <f t="shared" si="5"/>
        <v>140.78125000000003</v>
      </c>
      <c r="J45" s="230">
        <f t="shared" si="0"/>
        <v>14.819078947368425</v>
      </c>
    </row>
    <row r="46" spans="1:14" x14ac:dyDescent="0.25">
      <c r="A46" s="227">
        <v>3023</v>
      </c>
      <c r="B46" s="227">
        <v>3</v>
      </c>
      <c r="C46" s="227">
        <v>2.2999999999999998</v>
      </c>
      <c r="D46" s="226">
        <f t="shared" si="6"/>
        <v>5.3</v>
      </c>
      <c r="E46" s="227">
        <v>2</v>
      </c>
      <c r="F46" s="227">
        <f t="shared" si="2"/>
        <v>10.6</v>
      </c>
      <c r="G46" s="228">
        <f t="shared" si="3"/>
        <v>84.468749999999986</v>
      </c>
      <c r="H46" s="229">
        <f t="shared" si="4"/>
        <v>56.312499999999986</v>
      </c>
      <c r="I46" s="230">
        <f t="shared" si="5"/>
        <v>140.78124999999997</v>
      </c>
      <c r="J46" s="230">
        <f t="shared" si="0"/>
        <v>14.819078947368418</v>
      </c>
    </row>
    <row r="47" spans="1:14" x14ac:dyDescent="0.25">
      <c r="A47" s="227">
        <v>1212</v>
      </c>
      <c r="B47" s="227">
        <v>1.2</v>
      </c>
      <c r="C47" s="227">
        <v>1.2</v>
      </c>
      <c r="D47" s="226">
        <f t="shared" si="6"/>
        <v>2.4</v>
      </c>
      <c r="E47" s="227">
        <v>2</v>
      </c>
      <c r="F47" s="227">
        <f t="shared" si="2"/>
        <v>4.8</v>
      </c>
      <c r="G47" s="228">
        <f t="shared" si="3"/>
        <v>38.249999999999993</v>
      </c>
      <c r="H47" s="229">
        <f t="shared" si="4"/>
        <v>25.499999999999993</v>
      </c>
      <c r="I47" s="230">
        <f t="shared" si="5"/>
        <v>63.749999999999986</v>
      </c>
      <c r="J47" s="230">
        <f t="shared" si="0"/>
        <v>6.7105263157894726</v>
      </c>
    </row>
    <row r="48" spans="1:14" x14ac:dyDescent="0.25">
      <c r="A48" s="227">
        <v>1009</v>
      </c>
      <c r="B48" s="227">
        <v>1</v>
      </c>
      <c r="C48" s="227">
        <v>0.9</v>
      </c>
      <c r="D48" s="226">
        <f t="shared" si="6"/>
        <v>1.9</v>
      </c>
      <c r="E48" s="227">
        <v>2</v>
      </c>
      <c r="F48" s="227">
        <f t="shared" si="2"/>
        <v>3.8</v>
      </c>
      <c r="G48" s="228">
        <f t="shared" si="3"/>
        <v>30.281249999999993</v>
      </c>
      <c r="H48" s="229">
        <f t="shared" si="4"/>
        <v>20.187499999999993</v>
      </c>
      <c r="I48" s="230">
        <f t="shared" si="5"/>
        <v>50.468749999999986</v>
      </c>
      <c r="J48" s="230">
        <f t="shared" si="0"/>
        <v>5.3124999999999982</v>
      </c>
    </row>
    <row r="49" spans="1:10" x14ac:dyDescent="0.25">
      <c r="A49" s="227">
        <v>918</v>
      </c>
      <c r="B49" s="227">
        <v>0.9</v>
      </c>
      <c r="C49" s="227">
        <v>1.8</v>
      </c>
      <c r="D49" s="226">
        <f t="shared" si="6"/>
        <v>2.7</v>
      </c>
      <c r="E49" s="227">
        <v>2</v>
      </c>
      <c r="F49" s="227">
        <f t="shared" si="2"/>
        <v>5.4</v>
      </c>
      <c r="G49" s="228">
        <f t="shared" si="3"/>
        <v>43.03125</v>
      </c>
      <c r="H49" s="229">
        <f t="shared" si="4"/>
        <v>28.6875</v>
      </c>
      <c r="I49" s="230">
        <f t="shared" si="5"/>
        <v>71.71875</v>
      </c>
      <c r="J49" s="230">
        <f t="shared" si="0"/>
        <v>7.5493421052631575</v>
      </c>
    </row>
    <row r="50" spans="1:10" x14ac:dyDescent="0.25">
      <c r="A50" s="227">
        <v>2019</v>
      </c>
      <c r="B50" s="227">
        <v>2</v>
      </c>
      <c r="C50" s="227">
        <v>1.9</v>
      </c>
      <c r="D50" s="226">
        <f t="shared" si="6"/>
        <v>3.9</v>
      </c>
      <c r="E50" s="227">
        <v>2</v>
      </c>
      <c r="F50" s="227">
        <f t="shared" si="2"/>
        <v>7.8</v>
      </c>
      <c r="G50" s="228">
        <f t="shared" si="3"/>
        <v>62.15625</v>
      </c>
      <c r="H50" s="229">
        <f t="shared" si="4"/>
        <v>41.4375</v>
      </c>
      <c r="I50" s="230">
        <f t="shared" si="5"/>
        <v>103.59375</v>
      </c>
      <c r="J50" s="230">
        <f t="shared" si="0"/>
        <v>10.904605263157896</v>
      </c>
    </row>
    <row r="51" spans="1:10" x14ac:dyDescent="0.25">
      <c r="A51" s="227">
        <v>1812</v>
      </c>
      <c r="B51" s="227">
        <v>1.8</v>
      </c>
      <c r="C51" s="227">
        <v>1.2</v>
      </c>
      <c r="D51" s="226">
        <f t="shared" si="6"/>
        <v>3</v>
      </c>
      <c r="E51" s="227">
        <v>2</v>
      </c>
      <c r="F51" s="227">
        <f t="shared" si="2"/>
        <v>6</v>
      </c>
      <c r="G51" s="228">
        <f t="shared" si="3"/>
        <v>47.8125</v>
      </c>
      <c r="H51" s="229">
        <f t="shared" si="4"/>
        <v>31.875</v>
      </c>
      <c r="I51" s="230">
        <f t="shared" si="5"/>
        <v>79.6875</v>
      </c>
      <c r="J51" s="230">
        <f t="shared" si="0"/>
        <v>8.3881578947368425</v>
      </c>
    </row>
    <row r="52" spans="1:10" x14ac:dyDescent="0.25">
      <c r="A52" s="227">
        <v>1812</v>
      </c>
      <c r="B52" s="227">
        <v>1.8</v>
      </c>
      <c r="C52" s="227">
        <v>1.2</v>
      </c>
      <c r="D52" s="226">
        <f t="shared" si="6"/>
        <v>3</v>
      </c>
      <c r="E52" s="227">
        <v>2</v>
      </c>
      <c r="F52" s="227">
        <f t="shared" si="2"/>
        <v>6</v>
      </c>
      <c r="G52" s="228">
        <f t="shared" si="3"/>
        <v>47.8125</v>
      </c>
      <c r="H52" s="229">
        <f t="shared" si="4"/>
        <v>31.875</v>
      </c>
      <c r="I52" s="230">
        <f t="shared" si="5"/>
        <v>79.6875</v>
      </c>
      <c r="J52" s="230">
        <f t="shared" si="0"/>
        <v>8.3881578947368425</v>
      </c>
    </row>
    <row r="53" spans="1:10" x14ac:dyDescent="0.25">
      <c r="A53" s="227">
        <v>2421</v>
      </c>
      <c r="B53" s="227">
        <v>2.4</v>
      </c>
      <c r="C53" s="227">
        <v>2.1</v>
      </c>
      <c r="D53" s="226">
        <f t="shared" si="6"/>
        <v>4.5</v>
      </c>
      <c r="E53" s="227">
        <v>2</v>
      </c>
      <c r="F53" s="227">
        <f t="shared" si="2"/>
        <v>9</v>
      </c>
      <c r="G53" s="228">
        <f t="shared" si="3"/>
        <v>71.71875</v>
      </c>
      <c r="H53" s="229">
        <f t="shared" si="4"/>
        <v>47.8125</v>
      </c>
      <c r="I53" s="230">
        <f t="shared" si="5"/>
        <v>119.53125</v>
      </c>
      <c r="J53" s="230">
        <f t="shared" si="0"/>
        <v>12.582236842105264</v>
      </c>
    </row>
    <row r="54" spans="1:10" x14ac:dyDescent="0.25">
      <c r="A54" s="227">
        <v>2222</v>
      </c>
      <c r="B54" s="227">
        <v>2.2000000000000002</v>
      </c>
      <c r="C54" s="227">
        <v>2.2000000000000002</v>
      </c>
      <c r="D54" s="226">
        <f t="shared" si="6"/>
        <v>4.4000000000000004</v>
      </c>
      <c r="E54" s="227">
        <v>2</v>
      </c>
      <c r="F54" s="227">
        <f t="shared" si="2"/>
        <v>8.8000000000000007</v>
      </c>
      <c r="G54" s="228">
        <f t="shared" si="3"/>
        <v>70.125</v>
      </c>
      <c r="H54" s="229">
        <f t="shared" si="4"/>
        <v>46.75</v>
      </c>
      <c r="I54" s="230">
        <f t="shared" si="5"/>
        <v>116.875</v>
      </c>
      <c r="J54" s="230">
        <f t="shared" si="0"/>
        <v>12.302631578947368</v>
      </c>
    </row>
    <row r="55" spans="1:10" x14ac:dyDescent="0.25">
      <c r="A55" s="227">
        <v>3016</v>
      </c>
      <c r="B55" s="227">
        <v>3</v>
      </c>
      <c r="C55" s="227">
        <v>1.6</v>
      </c>
      <c r="D55" s="226">
        <f t="shared" si="6"/>
        <v>4.5999999999999996</v>
      </c>
      <c r="E55" s="227">
        <v>2</v>
      </c>
      <c r="F55" s="227">
        <f t="shared" si="2"/>
        <v>9.1999999999999993</v>
      </c>
      <c r="G55" s="228">
        <f t="shared" si="3"/>
        <v>73.312499999999986</v>
      </c>
      <c r="H55" s="229">
        <f t="shared" si="4"/>
        <v>48.874999999999986</v>
      </c>
      <c r="I55" s="230">
        <f t="shared" si="5"/>
        <v>122.18749999999997</v>
      </c>
      <c r="J55" s="230">
        <f t="shared" si="0"/>
        <v>12.861842105263156</v>
      </c>
    </row>
    <row r="56" spans="1:10" x14ac:dyDescent="0.25">
      <c r="A56" s="227">
        <v>2425</v>
      </c>
      <c r="B56" s="227">
        <v>2.4</v>
      </c>
      <c r="C56" s="227">
        <v>2.5</v>
      </c>
      <c r="D56" s="226">
        <f t="shared" si="6"/>
        <v>4.9000000000000004</v>
      </c>
      <c r="E56" s="227">
        <v>2</v>
      </c>
      <c r="F56" s="227">
        <f t="shared" si="2"/>
        <v>9.8000000000000007</v>
      </c>
      <c r="G56" s="228">
        <f t="shared" si="3"/>
        <v>78.09375</v>
      </c>
      <c r="H56" s="229">
        <f t="shared" si="4"/>
        <v>52.0625</v>
      </c>
      <c r="I56" s="230">
        <f t="shared" si="5"/>
        <v>130.15625</v>
      </c>
      <c r="J56" s="230">
        <f t="shared" si="0"/>
        <v>13.700657894736842</v>
      </c>
    </row>
    <row r="57" spans="1:10" x14ac:dyDescent="0.25">
      <c r="A57" s="227">
        <v>1527</v>
      </c>
      <c r="B57" s="227">
        <v>1.5</v>
      </c>
      <c r="C57" s="227">
        <v>2.7</v>
      </c>
      <c r="D57" s="226">
        <f t="shared" si="6"/>
        <v>4.2</v>
      </c>
      <c r="E57" s="227">
        <v>2</v>
      </c>
      <c r="F57" s="227">
        <f t="shared" si="2"/>
        <v>8.4</v>
      </c>
      <c r="G57" s="228">
        <f t="shared" si="3"/>
        <v>66.9375</v>
      </c>
      <c r="H57" s="229">
        <f t="shared" si="4"/>
        <v>44.625</v>
      </c>
      <c r="I57" s="230">
        <f t="shared" si="5"/>
        <v>111.5625</v>
      </c>
      <c r="J57" s="230">
        <f t="shared" si="0"/>
        <v>11.743421052631579</v>
      </c>
    </row>
    <row r="58" spans="1:10" x14ac:dyDescent="0.25">
      <c r="A58" s="227">
        <v>2526</v>
      </c>
      <c r="B58" s="227">
        <v>2.5</v>
      </c>
      <c r="C58" s="227">
        <v>2.6</v>
      </c>
      <c r="D58" s="226">
        <f t="shared" si="6"/>
        <v>5.0999999999999996</v>
      </c>
      <c r="E58" s="227">
        <v>2</v>
      </c>
      <c r="F58" s="227">
        <f t="shared" si="2"/>
        <v>10.199999999999999</v>
      </c>
      <c r="G58" s="228">
        <f t="shared" si="3"/>
        <v>81.281249999999986</v>
      </c>
      <c r="H58" s="229">
        <f t="shared" si="4"/>
        <v>54.187499999999986</v>
      </c>
      <c r="I58" s="230">
        <f t="shared" si="5"/>
        <v>135.46874999999997</v>
      </c>
      <c r="J58" s="230">
        <f t="shared" si="0"/>
        <v>14.259868421052628</v>
      </c>
    </row>
    <row r="59" spans="1:10" x14ac:dyDescent="0.25">
      <c r="A59" s="227">
        <v>1214</v>
      </c>
      <c r="B59" s="227">
        <v>1.2</v>
      </c>
      <c r="C59" s="227">
        <v>1.4</v>
      </c>
      <c r="D59" s="226">
        <f t="shared" si="6"/>
        <v>2.5999999999999996</v>
      </c>
      <c r="E59" s="227">
        <v>2</v>
      </c>
      <c r="F59" s="227">
        <f t="shared" si="2"/>
        <v>5.1999999999999993</v>
      </c>
      <c r="G59" s="228">
        <f t="shared" si="3"/>
        <v>41.437499999999993</v>
      </c>
      <c r="H59" s="229">
        <f t="shared" si="4"/>
        <v>27.624999999999993</v>
      </c>
      <c r="I59" s="230">
        <f t="shared" si="5"/>
        <v>69.062499999999986</v>
      </c>
      <c r="J59" s="230">
        <f t="shared" si="0"/>
        <v>7.2697368421052619</v>
      </c>
    </row>
    <row r="60" spans="1:10" x14ac:dyDescent="0.25">
      <c r="A60" s="227">
        <v>2217</v>
      </c>
      <c r="B60" s="227">
        <v>2.2000000000000002</v>
      </c>
      <c r="C60" s="227">
        <v>1.7</v>
      </c>
      <c r="D60" s="226">
        <f t="shared" si="6"/>
        <v>3.9000000000000004</v>
      </c>
      <c r="E60" s="227">
        <v>2</v>
      </c>
      <c r="F60" s="227">
        <f t="shared" si="2"/>
        <v>7.8000000000000007</v>
      </c>
      <c r="G60" s="228">
        <f t="shared" si="3"/>
        <v>62.15625</v>
      </c>
      <c r="H60" s="229">
        <f t="shared" si="4"/>
        <v>41.4375</v>
      </c>
      <c r="I60" s="230">
        <f t="shared" si="5"/>
        <v>103.59375</v>
      </c>
      <c r="J60" s="230">
        <f t="shared" si="0"/>
        <v>10.904605263157896</v>
      </c>
    </row>
    <row r="61" spans="1:10" x14ac:dyDescent="0.25">
      <c r="A61" s="227">
        <v>1320</v>
      </c>
      <c r="B61" s="227">
        <v>1.3</v>
      </c>
      <c r="C61" s="227">
        <v>1.2</v>
      </c>
      <c r="D61" s="226">
        <f t="shared" si="6"/>
        <v>2.5</v>
      </c>
      <c r="E61" s="227">
        <v>2</v>
      </c>
      <c r="F61" s="227">
        <f t="shared" si="2"/>
        <v>5</v>
      </c>
      <c r="G61" s="228">
        <f t="shared" si="3"/>
        <v>39.84375</v>
      </c>
      <c r="H61" s="229">
        <f t="shared" si="4"/>
        <v>26.5625</v>
      </c>
      <c r="I61" s="230">
        <f t="shared" si="5"/>
        <v>66.40625</v>
      </c>
      <c r="J61" s="230">
        <f t="shared" si="0"/>
        <v>6.9901315789473681</v>
      </c>
    </row>
    <row r="62" spans="1:10" x14ac:dyDescent="0.25">
      <c r="A62" s="227">
        <v>914</v>
      </c>
      <c r="B62" s="227">
        <v>0.9</v>
      </c>
      <c r="C62" s="227">
        <v>1.4</v>
      </c>
      <c r="D62" s="226">
        <f t="shared" si="6"/>
        <v>2.2999999999999998</v>
      </c>
      <c r="E62" s="227">
        <v>2</v>
      </c>
      <c r="F62" s="227">
        <f t="shared" si="2"/>
        <v>4.5999999999999996</v>
      </c>
      <c r="G62" s="228">
        <f t="shared" si="3"/>
        <v>36.656249999999993</v>
      </c>
      <c r="H62" s="229">
        <f t="shared" si="4"/>
        <v>24.437499999999993</v>
      </c>
      <c r="I62" s="230">
        <f t="shared" si="5"/>
        <v>61.093749999999986</v>
      </c>
      <c r="J62" s="230">
        <f t="shared" si="0"/>
        <v>6.4309210526315779</v>
      </c>
    </row>
    <row r="63" spans="1:10" x14ac:dyDescent="0.25">
      <c r="A63" s="227">
        <v>3721</v>
      </c>
      <c r="B63" s="227">
        <v>3.7</v>
      </c>
      <c r="C63" s="227">
        <v>2.1</v>
      </c>
      <c r="D63" s="226">
        <f t="shared" si="6"/>
        <v>5.8000000000000007</v>
      </c>
      <c r="E63" s="227">
        <v>2</v>
      </c>
      <c r="F63" s="227">
        <f t="shared" si="2"/>
        <v>11.600000000000001</v>
      </c>
      <c r="G63" s="228">
        <f t="shared" si="3"/>
        <v>92.437500000000014</v>
      </c>
      <c r="H63" s="229">
        <f t="shared" si="4"/>
        <v>61.625000000000007</v>
      </c>
      <c r="I63" s="230">
        <f t="shared" si="5"/>
        <v>154.06250000000003</v>
      </c>
      <c r="J63" s="230">
        <f t="shared" si="0"/>
        <v>16.217105263157897</v>
      </c>
    </row>
    <row r="64" spans="1:10" x14ac:dyDescent="0.25">
      <c r="A64" s="227">
        <v>3325</v>
      </c>
      <c r="B64" s="227">
        <v>3.3</v>
      </c>
      <c r="C64" s="227">
        <v>2.5</v>
      </c>
      <c r="D64" s="226">
        <f t="shared" si="6"/>
        <v>5.8</v>
      </c>
      <c r="E64" s="227">
        <v>2</v>
      </c>
      <c r="F64" s="227">
        <f t="shared" si="2"/>
        <v>11.6</v>
      </c>
      <c r="G64" s="228">
        <f t="shared" si="3"/>
        <v>92.437499999999986</v>
      </c>
      <c r="H64" s="229">
        <f t="shared" si="4"/>
        <v>61.624999999999986</v>
      </c>
      <c r="I64" s="230">
        <f t="shared" si="5"/>
        <v>154.06249999999997</v>
      </c>
      <c r="J64" s="230">
        <f t="shared" si="0"/>
        <v>16.21710526315789</v>
      </c>
    </row>
    <row r="65" spans="1:10" x14ac:dyDescent="0.25">
      <c r="A65" s="227">
        <v>1116</v>
      </c>
      <c r="B65" s="227">
        <v>1.1000000000000001</v>
      </c>
      <c r="C65" s="227">
        <v>1.6</v>
      </c>
      <c r="D65" s="226">
        <f t="shared" si="6"/>
        <v>2.7</v>
      </c>
      <c r="E65" s="227">
        <v>2</v>
      </c>
      <c r="F65" s="227">
        <f t="shared" si="2"/>
        <v>5.4</v>
      </c>
      <c r="G65" s="228">
        <f t="shared" si="3"/>
        <v>43.03125</v>
      </c>
      <c r="H65" s="229">
        <f t="shared" si="4"/>
        <v>28.6875</v>
      </c>
      <c r="I65" s="230">
        <f t="shared" si="5"/>
        <v>71.71875</v>
      </c>
      <c r="J65" s="230">
        <f t="shared" si="0"/>
        <v>7.5493421052631575</v>
      </c>
    </row>
    <row r="66" spans="1:10" x14ac:dyDescent="0.25">
      <c r="A66" s="227">
        <v>1719</v>
      </c>
      <c r="B66" s="227">
        <v>1.7</v>
      </c>
      <c r="C66" s="227">
        <v>1.9</v>
      </c>
      <c r="D66" s="226">
        <f t="shared" si="6"/>
        <v>3.5999999999999996</v>
      </c>
      <c r="E66" s="227">
        <v>2</v>
      </c>
      <c r="F66" s="227">
        <f t="shared" si="2"/>
        <v>7.1999999999999993</v>
      </c>
      <c r="G66" s="228">
        <f t="shared" si="3"/>
        <v>57.374999999999986</v>
      </c>
      <c r="H66" s="229">
        <f t="shared" si="4"/>
        <v>38.249999999999986</v>
      </c>
      <c r="I66" s="230">
        <f t="shared" si="5"/>
        <v>95.624999999999972</v>
      </c>
      <c r="J66" s="230">
        <f t="shared" si="0"/>
        <v>10.065789473684207</v>
      </c>
    </row>
    <row r="67" spans="1:10" x14ac:dyDescent="0.25">
      <c r="A67" s="227">
        <v>3020</v>
      </c>
      <c r="B67" s="227">
        <v>3</v>
      </c>
      <c r="C67" s="227">
        <v>2</v>
      </c>
      <c r="D67" s="226">
        <f t="shared" si="6"/>
        <v>5</v>
      </c>
      <c r="E67" s="227">
        <v>2</v>
      </c>
      <c r="F67" s="227">
        <f t="shared" si="2"/>
        <v>10</v>
      </c>
      <c r="G67" s="228">
        <f t="shared" si="3"/>
        <v>79.6875</v>
      </c>
      <c r="H67" s="229">
        <f t="shared" si="4"/>
        <v>53.125</v>
      </c>
      <c r="I67" s="230">
        <f t="shared" si="5"/>
        <v>132.8125</v>
      </c>
      <c r="J67" s="230">
        <f t="shared" si="0"/>
        <v>13.980263157894736</v>
      </c>
    </row>
    <row r="68" spans="1:10" x14ac:dyDescent="0.25">
      <c r="A68" s="227">
        <v>1011</v>
      </c>
      <c r="B68" s="227">
        <v>1</v>
      </c>
      <c r="C68" s="227">
        <v>1.1000000000000001</v>
      </c>
      <c r="D68" s="226">
        <f t="shared" si="6"/>
        <v>2.1</v>
      </c>
      <c r="E68" s="227">
        <v>2</v>
      </c>
      <c r="F68" s="227">
        <f t="shared" si="2"/>
        <v>4.2</v>
      </c>
      <c r="G68" s="228">
        <f t="shared" si="3"/>
        <v>33.46875</v>
      </c>
      <c r="H68" s="229">
        <f t="shared" si="4"/>
        <v>22.3125</v>
      </c>
      <c r="I68" s="230">
        <f t="shared" si="5"/>
        <v>55.78125</v>
      </c>
      <c r="J68" s="230">
        <f t="shared" si="0"/>
        <v>5.8717105263157894</v>
      </c>
    </row>
    <row r="69" spans="1:10" x14ac:dyDescent="0.25">
      <c r="A69" s="227">
        <v>1417</v>
      </c>
      <c r="B69" s="227">
        <v>1.4</v>
      </c>
      <c r="C69" s="227">
        <v>1.7</v>
      </c>
      <c r="D69" s="226">
        <f t="shared" si="6"/>
        <v>3.0999999999999996</v>
      </c>
      <c r="E69" s="227">
        <v>2</v>
      </c>
      <c r="F69" s="227">
        <f t="shared" si="2"/>
        <v>6.1999999999999993</v>
      </c>
      <c r="G69" s="228">
        <f t="shared" si="3"/>
        <v>49.406249999999993</v>
      </c>
      <c r="H69" s="229">
        <f t="shared" si="4"/>
        <v>32.937499999999993</v>
      </c>
      <c r="I69" s="230">
        <f t="shared" si="5"/>
        <v>82.343749999999986</v>
      </c>
      <c r="J69" s="230">
        <f t="shared" ref="J69:J120" si="7">+I69/9.5</f>
        <v>8.6677631578947345</v>
      </c>
    </row>
    <row r="70" spans="1:10" x14ac:dyDescent="0.25">
      <c r="A70" s="227">
        <v>1516</v>
      </c>
      <c r="B70" s="227">
        <v>1.5</v>
      </c>
      <c r="C70" s="227">
        <v>1.6</v>
      </c>
      <c r="D70" s="226">
        <f t="shared" si="6"/>
        <v>3.1</v>
      </c>
      <c r="E70" s="227">
        <v>2</v>
      </c>
      <c r="F70" s="227">
        <f t="shared" ref="F70:F120" si="8">+D70*E70</f>
        <v>6.2</v>
      </c>
      <c r="G70" s="228">
        <f t="shared" ref="G70:G120" si="9">(F70/$F$18)*$G$18</f>
        <v>49.40625</v>
      </c>
      <c r="H70" s="229">
        <f t="shared" ref="H70:H120" si="10">(40/60)*G70</f>
        <v>32.9375</v>
      </c>
      <c r="I70" s="230">
        <f t="shared" ref="I70:I120" si="11">+G70+H70</f>
        <v>82.34375</v>
      </c>
      <c r="J70" s="230">
        <f t="shared" si="7"/>
        <v>8.6677631578947363</v>
      </c>
    </row>
    <row r="71" spans="1:10" x14ac:dyDescent="0.25">
      <c r="A71" s="227">
        <v>2929</v>
      </c>
      <c r="B71" s="227">
        <v>2.9</v>
      </c>
      <c r="C71" s="227">
        <v>2.9</v>
      </c>
      <c r="D71" s="226">
        <f t="shared" si="6"/>
        <v>5.8</v>
      </c>
      <c r="E71" s="227">
        <v>2</v>
      </c>
      <c r="F71" s="227">
        <f t="shared" si="8"/>
        <v>11.6</v>
      </c>
      <c r="G71" s="228">
        <f t="shared" si="9"/>
        <v>92.437499999999986</v>
      </c>
      <c r="H71" s="229">
        <f t="shared" si="10"/>
        <v>61.624999999999986</v>
      </c>
      <c r="I71" s="230">
        <f t="shared" si="11"/>
        <v>154.06249999999997</v>
      </c>
      <c r="J71" s="230">
        <f t="shared" si="7"/>
        <v>16.21710526315789</v>
      </c>
    </row>
    <row r="72" spans="1:10" x14ac:dyDescent="0.25">
      <c r="A72" s="227">
        <v>2025</v>
      </c>
      <c r="B72" s="227">
        <v>2</v>
      </c>
      <c r="C72" s="227">
        <v>2.5</v>
      </c>
      <c r="D72" s="226">
        <f t="shared" si="6"/>
        <v>4.5</v>
      </c>
      <c r="E72" s="227">
        <v>2</v>
      </c>
      <c r="F72" s="227">
        <f t="shared" si="8"/>
        <v>9</v>
      </c>
      <c r="G72" s="228">
        <f t="shared" si="9"/>
        <v>71.71875</v>
      </c>
      <c r="H72" s="229">
        <f t="shared" si="10"/>
        <v>47.8125</v>
      </c>
      <c r="I72" s="230">
        <f t="shared" si="11"/>
        <v>119.53125</v>
      </c>
      <c r="J72" s="230">
        <f t="shared" si="7"/>
        <v>12.582236842105264</v>
      </c>
    </row>
    <row r="73" spans="1:10" x14ac:dyDescent="0.25">
      <c r="A73" s="239">
        <v>2311</v>
      </c>
      <c r="B73" s="227">
        <v>2.2999999999999998</v>
      </c>
      <c r="C73" s="227">
        <v>1.1000000000000001</v>
      </c>
      <c r="D73" s="226">
        <f t="shared" si="6"/>
        <v>3.4</v>
      </c>
      <c r="E73" s="227">
        <v>2</v>
      </c>
      <c r="F73" s="227">
        <f t="shared" si="8"/>
        <v>6.8</v>
      </c>
      <c r="G73" s="228">
        <f t="shared" si="9"/>
        <v>54.1875</v>
      </c>
      <c r="H73" s="229">
        <f t="shared" si="10"/>
        <v>36.125</v>
      </c>
      <c r="I73" s="230">
        <f t="shared" si="11"/>
        <v>90.3125</v>
      </c>
      <c r="J73" s="230">
        <f t="shared" si="7"/>
        <v>9.5065789473684212</v>
      </c>
    </row>
    <row r="74" spans="1:10" x14ac:dyDescent="0.25">
      <c r="A74" s="227">
        <v>1316</v>
      </c>
      <c r="B74" s="227">
        <v>1.3</v>
      </c>
      <c r="C74" s="227">
        <v>1.6</v>
      </c>
      <c r="D74" s="226">
        <f t="shared" si="6"/>
        <v>2.9000000000000004</v>
      </c>
      <c r="E74" s="227">
        <v>2</v>
      </c>
      <c r="F74" s="227">
        <f t="shared" si="8"/>
        <v>5.8000000000000007</v>
      </c>
      <c r="G74" s="228">
        <f t="shared" si="9"/>
        <v>46.218750000000007</v>
      </c>
      <c r="H74" s="229">
        <f t="shared" si="10"/>
        <v>30.812500000000004</v>
      </c>
      <c r="I74" s="230">
        <f t="shared" si="11"/>
        <v>77.031250000000014</v>
      </c>
      <c r="J74" s="230">
        <f t="shared" si="7"/>
        <v>8.1085526315789487</v>
      </c>
    </row>
    <row r="75" spans="1:10" x14ac:dyDescent="0.25">
      <c r="A75" s="227">
        <v>1614</v>
      </c>
      <c r="B75" s="227">
        <v>1.6</v>
      </c>
      <c r="C75" s="227">
        <v>1.4</v>
      </c>
      <c r="D75" s="226">
        <f t="shared" si="6"/>
        <v>3</v>
      </c>
      <c r="E75" s="227">
        <v>2</v>
      </c>
      <c r="F75" s="227">
        <f t="shared" si="8"/>
        <v>6</v>
      </c>
      <c r="G75" s="228">
        <f t="shared" si="9"/>
        <v>47.8125</v>
      </c>
      <c r="H75" s="229">
        <f t="shared" si="10"/>
        <v>31.875</v>
      </c>
      <c r="I75" s="230">
        <f t="shared" si="11"/>
        <v>79.6875</v>
      </c>
      <c r="J75" s="230">
        <f t="shared" si="7"/>
        <v>8.3881578947368425</v>
      </c>
    </row>
    <row r="76" spans="1:10" x14ac:dyDescent="0.25">
      <c r="A76" s="227">
        <v>2423</v>
      </c>
      <c r="B76" s="227">
        <v>2.4</v>
      </c>
      <c r="C76" s="227">
        <v>2.2999999999999998</v>
      </c>
      <c r="D76" s="226">
        <f t="shared" si="6"/>
        <v>4.6999999999999993</v>
      </c>
      <c r="E76" s="227">
        <v>2</v>
      </c>
      <c r="F76" s="227">
        <f t="shared" si="8"/>
        <v>9.3999999999999986</v>
      </c>
      <c r="G76" s="228">
        <f t="shared" si="9"/>
        <v>74.906249999999986</v>
      </c>
      <c r="H76" s="229">
        <f t="shared" si="10"/>
        <v>49.937499999999986</v>
      </c>
      <c r="I76" s="230">
        <f t="shared" si="11"/>
        <v>124.84374999999997</v>
      </c>
      <c r="J76" s="230">
        <f t="shared" si="7"/>
        <v>13.14144736842105</v>
      </c>
    </row>
    <row r="77" spans="1:10" x14ac:dyDescent="0.25">
      <c r="A77" s="227">
        <v>910</v>
      </c>
      <c r="B77" s="227">
        <v>0.9</v>
      </c>
      <c r="C77" s="227">
        <v>1</v>
      </c>
      <c r="D77" s="226">
        <f t="shared" si="6"/>
        <v>1.9</v>
      </c>
      <c r="E77" s="227">
        <v>2</v>
      </c>
      <c r="F77" s="227">
        <f t="shared" si="8"/>
        <v>3.8</v>
      </c>
      <c r="G77" s="228">
        <f t="shared" si="9"/>
        <v>30.281249999999993</v>
      </c>
      <c r="H77" s="229">
        <f t="shared" si="10"/>
        <v>20.187499999999993</v>
      </c>
      <c r="I77" s="230">
        <f t="shared" si="11"/>
        <v>50.468749999999986</v>
      </c>
      <c r="J77" s="230">
        <f t="shared" si="7"/>
        <v>5.3124999999999982</v>
      </c>
    </row>
    <row r="78" spans="1:10" x14ac:dyDescent="0.25">
      <c r="A78" s="227">
        <v>1221</v>
      </c>
      <c r="B78" s="227">
        <v>1.2</v>
      </c>
      <c r="C78" s="227">
        <v>2.1</v>
      </c>
      <c r="D78" s="226">
        <f t="shared" si="6"/>
        <v>3.3</v>
      </c>
      <c r="E78" s="227">
        <v>2</v>
      </c>
      <c r="F78" s="227">
        <f t="shared" si="8"/>
        <v>6.6</v>
      </c>
      <c r="G78" s="228">
        <f t="shared" si="9"/>
        <v>52.593749999999986</v>
      </c>
      <c r="H78" s="229">
        <f t="shared" si="10"/>
        <v>35.062499999999986</v>
      </c>
      <c r="I78" s="230">
        <f t="shared" si="11"/>
        <v>87.656249999999972</v>
      </c>
      <c r="J78" s="230">
        <f t="shared" si="7"/>
        <v>9.2269736842105239</v>
      </c>
    </row>
    <row r="79" spans="1:10" x14ac:dyDescent="0.25">
      <c r="A79" s="227">
        <v>1623</v>
      </c>
      <c r="B79" s="227">
        <v>1.6</v>
      </c>
      <c r="C79" s="227">
        <v>2.2999999999999998</v>
      </c>
      <c r="D79" s="226">
        <f t="shared" si="6"/>
        <v>3.9</v>
      </c>
      <c r="E79" s="227">
        <v>2</v>
      </c>
      <c r="F79" s="227">
        <f t="shared" si="8"/>
        <v>7.8</v>
      </c>
      <c r="G79" s="228">
        <f t="shared" si="9"/>
        <v>62.15625</v>
      </c>
      <c r="H79" s="229">
        <f t="shared" si="10"/>
        <v>41.4375</v>
      </c>
      <c r="I79" s="230">
        <f t="shared" si="11"/>
        <v>103.59375</v>
      </c>
      <c r="J79" s="230">
        <f t="shared" si="7"/>
        <v>10.904605263157896</v>
      </c>
    </row>
    <row r="80" spans="1:10" x14ac:dyDescent="0.25">
      <c r="A80" s="227">
        <v>2515</v>
      </c>
      <c r="B80" s="227">
        <v>2.5</v>
      </c>
      <c r="C80" s="227">
        <v>1.5</v>
      </c>
      <c r="D80" s="226">
        <f t="shared" si="6"/>
        <v>4</v>
      </c>
      <c r="E80" s="227">
        <v>2</v>
      </c>
      <c r="F80" s="227">
        <f t="shared" si="8"/>
        <v>8</v>
      </c>
      <c r="G80" s="228">
        <f t="shared" si="9"/>
        <v>63.75</v>
      </c>
      <c r="H80" s="229">
        <f t="shared" si="10"/>
        <v>42.5</v>
      </c>
      <c r="I80" s="230">
        <f t="shared" si="11"/>
        <v>106.25</v>
      </c>
      <c r="J80" s="230">
        <f t="shared" si="7"/>
        <v>11.184210526315789</v>
      </c>
    </row>
    <row r="81" spans="1:13" x14ac:dyDescent="0.25">
      <c r="A81" s="227">
        <v>2015</v>
      </c>
      <c r="B81" s="227">
        <v>2</v>
      </c>
      <c r="C81" s="227">
        <v>1.5</v>
      </c>
      <c r="D81" s="226">
        <f t="shared" si="6"/>
        <v>3.5</v>
      </c>
      <c r="E81" s="227">
        <v>2</v>
      </c>
      <c r="F81" s="227">
        <f t="shared" si="8"/>
        <v>7</v>
      </c>
      <c r="G81" s="228">
        <f t="shared" si="9"/>
        <v>55.78125</v>
      </c>
      <c r="H81" s="229">
        <f t="shared" si="10"/>
        <v>37.1875</v>
      </c>
      <c r="I81" s="230">
        <f t="shared" si="11"/>
        <v>92.96875</v>
      </c>
      <c r="J81" s="230">
        <f t="shared" si="7"/>
        <v>9.786184210526315</v>
      </c>
    </row>
    <row r="82" spans="1:13" x14ac:dyDescent="0.25">
      <c r="A82" s="227">
        <v>1219</v>
      </c>
      <c r="B82" s="227">
        <v>1.2</v>
      </c>
      <c r="C82" s="227">
        <v>1.9</v>
      </c>
      <c r="D82" s="226">
        <f t="shared" si="6"/>
        <v>3.0999999999999996</v>
      </c>
      <c r="E82" s="227">
        <v>2</v>
      </c>
      <c r="F82" s="227">
        <f t="shared" si="8"/>
        <v>6.1999999999999993</v>
      </c>
      <c r="G82" s="228">
        <f t="shared" si="9"/>
        <v>49.406249999999993</v>
      </c>
      <c r="H82" s="229">
        <f t="shared" si="10"/>
        <v>32.937499999999993</v>
      </c>
      <c r="I82" s="230">
        <f t="shared" si="11"/>
        <v>82.343749999999986</v>
      </c>
      <c r="J82" s="230">
        <f t="shared" si="7"/>
        <v>8.6677631578947345</v>
      </c>
    </row>
    <row r="83" spans="1:13" x14ac:dyDescent="0.25">
      <c r="A83" s="227">
        <v>1112</v>
      </c>
      <c r="B83" s="227">
        <v>1.1000000000000001</v>
      </c>
      <c r="C83" s="227">
        <v>1.2</v>
      </c>
      <c r="D83" s="226">
        <f t="shared" ref="D83:D120" si="12">+B83+C83</f>
        <v>2.2999999999999998</v>
      </c>
      <c r="E83" s="227">
        <v>2</v>
      </c>
      <c r="F83" s="227">
        <f t="shared" si="8"/>
        <v>4.5999999999999996</v>
      </c>
      <c r="G83" s="228">
        <f t="shared" si="9"/>
        <v>36.656249999999993</v>
      </c>
      <c r="H83" s="229">
        <f t="shared" si="10"/>
        <v>24.437499999999993</v>
      </c>
      <c r="I83" s="230">
        <f t="shared" si="11"/>
        <v>61.093749999999986</v>
      </c>
      <c r="J83" s="230">
        <f t="shared" si="7"/>
        <v>6.4309210526315779</v>
      </c>
    </row>
    <row r="84" spans="1:13" x14ac:dyDescent="0.25">
      <c r="A84" s="227">
        <v>1528</v>
      </c>
      <c r="B84" s="227">
        <v>1.5</v>
      </c>
      <c r="C84" s="227">
        <v>2.8</v>
      </c>
      <c r="D84" s="226">
        <f t="shared" si="12"/>
        <v>4.3</v>
      </c>
      <c r="E84" s="227">
        <v>2</v>
      </c>
      <c r="F84" s="227">
        <f t="shared" si="8"/>
        <v>8.6</v>
      </c>
      <c r="G84" s="228">
        <f t="shared" si="9"/>
        <v>68.531249999999986</v>
      </c>
      <c r="H84" s="229">
        <f t="shared" si="10"/>
        <v>45.687499999999986</v>
      </c>
      <c r="I84" s="230">
        <f t="shared" si="11"/>
        <v>114.21874999999997</v>
      </c>
      <c r="J84" s="230">
        <f t="shared" si="7"/>
        <v>12.023026315789471</v>
      </c>
    </row>
    <row r="85" spans="1:13" x14ac:dyDescent="0.25">
      <c r="A85" s="227">
        <v>2830</v>
      </c>
      <c r="B85" s="227">
        <v>2.8</v>
      </c>
      <c r="C85" s="227">
        <v>3</v>
      </c>
      <c r="D85" s="226">
        <f t="shared" si="12"/>
        <v>5.8</v>
      </c>
      <c r="E85" s="227">
        <v>2</v>
      </c>
      <c r="F85" s="227">
        <f t="shared" si="8"/>
        <v>11.6</v>
      </c>
      <c r="G85" s="228">
        <f t="shared" si="9"/>
        <v>92.437499999999986</v>
      </c>
      <c r="H85" s="229">
        <f t="shared" si="10"/>
        <v>61.624999999999986</v>
      </c>
      <c r="I85" s="230">
        <f t="shared" si="11"/>
        <v>154.06249999999997</v>
      </c>
      <c r="J85" s="230">
        <f t="shared" si="7"/>
        <v>16.21710526315789</v>
      </c>
    </row>
    <row r="86" spans="1:13" x14ac:dyDescent="0.25">
      <c r="A86" s="227">
        <v>1613</v>
      </c>
      <c r="B86" s="227">
        <v>1.6</v>
      </c>
      <c r="C86" s="227">
        <v>1.3</v>
      </c>
      <c r="D86" s="226">
        <f t="shared" si="12"/>
        <v>2.9000000000000004</v>
      </c>
      <c r="E86" s="227">
        <v>2</v>
      </c>
      <c r="F86" s="227">
        <f t="shared" si="8"/>
        <v>5.8000000000000007</v>
      </c>
      <c r="G86" s="228">
        <f t="shared" si="9"/>
        <v>46.218750000000007</v>
      </c>
      <c r="H86" s="229">
        <f t="shared" si="10"/>
        <v>30.812500000000004</v>
      </c>
      <c r="I86" s="230">
        <f t="shared" si="11"/>
        <v>77.031250000000014</v>
      </c>
      <c r="J86" s="230">
        <f t="shared" si="7"/>
        <v>8.1085526315789487</v>
      </c>
    </row>
    <row r="87" spans="1:13" x14ac:dyDescent="0.25">
      <c r="A87" s="227">
        <v>1113</v>
      </c>
      <c r="B87" s="227">
        <v>1.1000000000000001</v>
      </c>
      <c r="C87" s="227">
        <v>1.3</v>
      </c>
      <c r="D87" s="226">
        <f t="shared" si="12"/>
        <v>2.4000000000000004</v>
      </c>
      <c r="E87" s="227">
        <v>2</v>
      </c>
      <c r="F87" s="227">
        <f t="shared" si="8"/>
        <v>4.8000000000000007</v>
      </c>
      <c r="G87" s="228">
        <f t="shared" si="9"/>
        <v>38.250000000000007</v>
      </c>
      <c r="H87" s="229">
        <f t="shared" si="10"/>
        <v>25.500000000000004</v>
      </c>
      <c r="I87" s="230">
        <f t="shared" si="11"/>
        <v>63.750000000000014</v>
      </c>
      <c r="J87" s="230">
        <f t="shared" si="7"/>
        <v>6.7105263157894752</v>
      </c>
    </row>
    <row r="88" spans="1:13" x14ac:dyDescent="0.25">
      <c r="A88" s="227">
        <v>2224</v>
      </c>
      <c r="B88" s="227">
        <v>2.2000000000000002</v>
      </c>
      <c r="C88" s="227">
        <v>2.4</v>
      </c>
      <c r="D88" s="226">
        <f t="shared" si="12"/>
        <v>4.5999999999999996</v>
      </c>
      <c r="E88" s="227">
        <v>2</v>
      </c>
      <c r="F88" s="227">
        <f t="shared" si="8"/>
        <v>9.1999999999999993</v>
      </c>
      <c r="G88" s="228">
        <f t="shared" si="9"/>
        <v>73.312499999999986</v>
      </c>
      <c r="H88" s="229">
        <f t="shared" si="10"/>
        <v>48.874999999999986</v>
      </c>
      <c r="I88" s="230">
        <f t="shared" si="11"/>
        <v>122.18749999999997</v>
      </c>
      <c r="J88" s="230">
        <f t="shared" si="7"/>
        <v>12.861842105263156</v>
      </c>
    </row>
    <row r="89" spans="1:13" x14ac:dyDescent="0.25">
      <c r="A89" s="227">
        <v>2626</v>
      </c>
      <c r="B89" s="227">
        <v>2.6</v>
      </c>
      <c r="C89" s="227">
        <v>2.6</v>
      </c>
      <c r="D89" s="226">
        <f t="shared" si="12"/>
        <v>5.2</v>
      </c>
      <c r="E89" s="227">
        <v>2</v>
      </c>
      <c r="F89" s="227">
        <f t="shared" si="8"/>
        <v>10.4</v>
      </c>
      <c r="G89" s="228">
        <f t="shared" si="9"/>
        <v>82.875</v>
      </c>
      <c r="H89" s="229">
        <f t="shared" si="10"/>
        <v>55.25</v>
      </c>
      <c r="I89" s="230">
        <f t="shared" si="11"/>
        <v>138.125</v>
      </c>
      <c r="J89" s="230">
        <f t="shared" si="7"/>
        <v>14.539473684210526</v>
      </c>
    </row>
    <row r="90" spans="1:13" x14ac:dyDescent="0.25">
      <c r="A90" s="227">
        <v>1117</v>
      </c>
      <c r="B90" s="227">
        <v>1.1000000000000001</v>
      </c>
      <c r="C90" s="227">
        <v>1.7</v>
      </c>
      <c r="D90" s="226">
        <f t="shared" si="12"/>
        <v>2.8</v>
      </c>
      <c r="E90" s="227">
        <v>2</v>
      </c>
      <c r="F90" s="227">
        <f t="shared" si="8"/>
        <v>5.6</v>
      </c>
      <c r="G90" s="228">
        <f t="shared" si="9"/>
        <v>44.624999999999993</v>
      </c>
      <c r="H90" s="229">
        <f t="shared" si="10"/>
        <v>29.749999999999993</v>
      </c>
      <c r="I90" s="230">
        <f t="shared" si="11"/>
        <v>74.374999999999986</v>
      </c>
      <c r="J90" s="230">
        <f t="shared" si="7"/>
        <v>7.8289473684210513</v>
      </c>
    </row>
    <row r="91" spans="1:13" x14ac:dyDescent="0.25">
      <c r="A91" s="227">
        <v>1515</v>
      </c>
      <c r="B91" s="227">
        <v>1.5</v>
      </c>
      <c r="C91" s="227">
        <v>1.5</v>
      </c>
      <c r="D91" s="226">
        <f t="shared" si="12"/>
        <v>3</v>
      </c>
      <c r="E91" s="227">
        <v>2</v>
      </c>
      <c r="F91" s="227">
        <f t="shared" si="8"/>
        <v>6</v>
      </c>
      <c r="G91" s="228">
        <f t="shared" si="9"/>
        <v>47.8125</v>
      </c>
      <c r="H91" s="229">
        <f t="shared" si="10"/>
        <v>31.875</v>
      </c>
      <c r="I91" s="230">
        <f t="shared" si="11"/>
        <v>79.6875</v>
      </c>
      <c r="J91" s="230">
        <f t="shared" si="7"/>
        <v>8.3881578947368425</v>
      </c>
      <c r="L91" s="217">
        <v>270</v>
      </c>
      <c r="M91" s="217">
        <v>144</v>
      </c>
    </row>
    <row r="92" spans="1:13" x14ac:dyDescent="0.25">
      <c r="A92" s="227">
        <v>1731</v>
      </c>
      <c r="B92" s="227">
        <v>1.7</v>
      </c>
      <c r="C92" s="227">
        <v>3.1</v>
      </c>
      <c r="D92" s="226">
        <f t="shared" si="12"/>
        <v>4.8</v>
      </c>
      <c r="E92" s="227">
        <v>2</v>
      </c>
      <c r="F92" s="227">
        <f t="shared" si="8"/>
        <v>9.6</v>
      </c>
      <c r="G92" s="228">
        <f t="shared" si="9"/>
        <v>76.499999999999986</v>
      </c>
      <c r="H92" s="229">
        <f t="shared" si="10"/>
        <v>50.999999999999986</v>
      </c>
      <c r="I92" s="230">
        <f t="shared" si="11"/>
        <v>127.49999999999997</v>
      </c>
      <c r="J92" s="230">
        <f t="shared" si="7"/>
        <v>13.421052631578945</v>
      </c>
    </row>
    <row r="93" spans="1:13" x14ac:dyDescent="0.25">
      <c r="A93" s="227">
        <v>1814</v>
      </c>
      <c r="B93" s="227">
        <v>1.8</v>
      </c>
      <c r="C93" s="227">
        <v>1.4</v>
      </c>
      <c r="D93" s="226">
        <f t="shared" si="12"/>
        <v>3.2</v>
      </c>
      <c r="E93" s="227">
        <v>2</v>
      </c>
      <c r="F93" s="227">
        <f t="shared" si="8"/>
        <v>6.4</v>
      </c>
      <c r="G93" s="228">
        <f t="shared" si="9"/>
        <v>51</v>
      </c>
      <c r="H93" s="229">
        <f t="shared" si="10"/>
        <v>34</v>
      </c>
      <c r="I93" s="230">
        <f t="shared" si="11"/>
        <v>85</v>
      </c>
      <c r="J93" s="230">
        <f t="shared" si="7"/>
        <v>8.9473684210526319</v>
      </c>
    </row>
    <row r="94" spans="1:13" x14ac:dyDescent="0.25">
      <c r="A94" s="227">
        <v>1514</v>
      </c>
      <c r="B94" s="227">
        <v>1.5</v>
      </c>
      <c r="C94" s="227">
        <v>1.4</v>
      </c>
      <c r="D94" s="226">
        <f t="shared" si="12"/>
        <v>2.9</v>
      </c>
      <c r="E94" s="227">
        <v>2</v>
      </c>
      <c r="F94" s="227">
        <f t="shared" si="8"/>
        <v>5.8</v>
      </c>
      <c r="G94" s="228">
        <f t="shared" si="9"/>
        <v>46.218749999999993</v>
      </c>
      <c r="H94" s="229">
        <f t="shared" si="10"/>
        <v>30.812499999999993</v>
      </c>
      <c r="I94" s="230">
        <f t="shared" si="11"/>
        <v>77.031249999999986</v>
      </c>
      <c r="J94" s="230">
        <f t="shared" si="7"/>
        <v>8.1085526315789451</v>
      </c>
    </row>
    <row r="95" spans="1:13" x14ac:dyDescent="0.25">
      <c r="A95" s="227">
        <v>1612</v>
      </c>
      <c r="B95" s="227">
        <v>1.6</v>
      </c>
      <c r="C95" s="227">
        <v>1.2</v>
      </c>
      <c r="D95" s="226">
        <f t="shared" si="12"/>
        <v>2.8</v>
      </c>
      <c r="E95" s="227">
        <v>2</v>
      </c>
      <c r="F95" s="227">
        <f t="shared" si="8"/>
        <v>5.6</v>
      </c>
      <c r="G95" s="228">
        <f t="shared" si="9"/>
        <v>44.624999999999993</v>
      </c>
      <c r="H95" s="229">
        <f t="shared" si="10"/>
        <v>29.749999999999993</v>
      </c>
      <c r="I95" s="230">
        <f t="shared" si="11"/>
        <v>74.374999999999986</v>
      </c>
      <c r="J95" s="230">
        <f t="shared" si="7"/>
        <v>7.8289473684210513</v>
      </c>
    </row>
    <row r="96" spans="1:13" x14ac:dyDescent="0.25">
      <c r="A96" s="227">
        <v>1919</v>
      </c>
      <c r="B96" s="227">
        <v>1.9</v>
      </c>
      <c r="C96" s="227">
        <v>1.9</v>
      </c>
      <c r="D96" s="226">
        <f t="shared" si="12"/>
        <v>3.8</v>
      </c>
      <c r="E96" s="227">
        <v>2</v>
      </c>
      <c r="F96" s="227">
        <f t="shared" si="8"/>
        <v>7.6</v>
      </c>
      <c r="G96" s="228">
        <f t="shared" si="9"/>
        <v>60.562499999999986</v>
      </c>
      <c r="H96" s="229">
        <f t="shared" si="10"/>
        <v>40.374999999999986</v>
      </c>
      <c r="I96" s="230">
        <f t="shared" si="11"/>
        <v>100.93749999999997</v>
      </c>
      <c r="J96" s="230">
        <f t="shared" si="7"/>
        <v>10.624999999999996</v>
      </c>
    </row>
    <row r="97" spans="1:10" x14ac:dyDescent="0.25">
      <c r="A97" s="227">
        <v>1816</v>
      </c>
      <c r="B97" s="227">
        <v>1.8</v>
      </c>
      <c r="C97" s="227">
        <v>1.6</v>
      </c>
      <c r="D97" s="226">
        <f t="shared" si="12"/>
        <v>3.4000000000000004</v>
      </c>
      <c r="E97" s="227">
        <v>2</v>
      </c>
      <c r="F97" s="227">
        <f t="shared" si="8"/>
        <v>6.8000000000000007</v>
      </c>
      <c r="G97" s="228">
        <f t="shared" si="9"/>
        <v>54.1875</v>
      </c>
      <c r="H97" s="229">
        <f t="shared" si="10"/>
        <v>36.125</v>
      </c>
      <c r="I97" s="230">
        <f t="shared" si="11"/>
        <v>90.3125</v>
      </c>
      <c r="J97" s="230">
        <f t="shared" si="7"/>
        <v>9.5065789473684212</v>
      </c>
    </row>
    <row r="98" spans="1:10" x14ac:dyDescent="0.25">
      <c r="A98" s="227">
        <v>1511</v>
      </c>
      <c r="B98" s="227">
        <v>1.5</v>
      </c>
      <c r="C98" s="227">
        <v>1.1000000000000001</v>
      </c>
      <c r="D98" s="226">
        <f t="shared" si="12"/>
        <v>2.6</v>
      </c>
      <c r="E98" s="227">
        <v>2</v>
      </c>
      <c r="F98" s="227">
        <f t="shared" si="8"/>
        <v>5.2</v>
      </c>
      <c r="G98" s="228">
        <f t="shared" si="9"/>
        <v>41.4375</v>
      </c>
      <c r="H98" s="229">
        <f t="shared" si="10"/>
        <v>27.625</v>
      </c>
      <c r="I98" s="230">
        <f t="shared" si="11"/>
        <v>69.0625</v>
      </c>
      <c r="J98" s="230">
        <f t="shared" si="7"/>
        <v>7.2697368421052628</v>
      </c>
    </row>
    <row r="99" spans="1:10" x14ac:dyDescent="0.25">
      <c r="A99" s="227">
        <v>1422</v>
      </c>
      <c r="B99" s="227">
        <v>1.4</v>
      </c>
      <c r="C99" s="227">
        <v>2.2000000000000002</v>
      </c>
      <c r="D99" s="226">
        <f t="shared" si="12"/>
        <v>3.6</v>
      </c>
      <c r="E99" s="227">
        <v>2</v>
      </c>
      <c r="F99" s="227">
        <f t="shared" si="8"/>
        <v>7.2</v>
      </c>
      <c r="G99" s="228">
        <f t="shared" si="9"/>
        <v>57.375</v>
      </c>
      <c r="H99" s="229">
        <f t="shared" si="10"/>
        <v>38.25</v>
      </c>
      <c r="I99" s="230">
        <f t="shared" si="11"/>
        <v>95.625</v>
      </c>
      <c r="J99" s="230">
        <f t="shared" si="7"/>
        <v>10.065789473684211</v>
      </c>
    </row>
    <row r="100" spans="1:10" x14ac:dyDescent="0.25">
      <c r="A100" s="227">
        <v>2123</v>
      </c>
      <c r="B100" s="227">
        <v>2.1</v>
      </c>
      <c r="C100" s="227">
        <v>2.2999999999999998</v>
      </c>
      <c r="D100" s="226">
        <f t="shared" si="12"/>
        <v>4.4000000000000004</v>
      </c>
      <c r="E100" s="227">
        <v>2</v>
      </c>
      <c r="F100" s="227">
        <f t="shared" si="8"/>
        <v>8.8000000000000007</v>
      </c>
      <c r="G100" s="228">
        <f t="shared" si="9"/>
        <v>70.125</v>
      </c>
      <c r="H100" s="229">
        <f t="shared" si="10"/>
        <v>46.75</v>
      </c>
      <c r="I100" s="230">
        <f t="shared" si="11"/>
        <v>116.875</v>
      </c>
      <c r="J100" s="230">
        <f t="shared" si="7"/>
        <v>12.302631578947368</v>
      </c>
    </row>
    <row r="101" spans="1:10" x14ac:dyDescent="0.25">
      <c r="A101" s="227">
        <v>1733</v>
      </c>
      <c r="B101" s="227">
        <v>1.7</v>
      </c>
      <c r="C101" s="227">
        <v>3.3</v>
      </c>
      <c r="D101" s="226">
        <f t="shared" si="12"/>
        <v>5</v>
      </c>
      <c r="E101" s="227">
        <v>2</v>
      </c>
      <c r="F101" s="227">
        <f t="shared" si="8"/>
        <v>10</v>
      </c>
      <c r="G101" s="228">
        <f t="shared" si="9"/>
        <v>79.6875</v>
      </c>
      <c r="H101" s="229">
        <f t="shared" si="10"/>
        <v>53.125</v>
      </c>
      <c r="I101" s="230">
        <f t="shared" si="11"/>
        <v>132.8125</v>
      </c>
      <c r="J101" s="230">
        <f t="shared" si="7"/>
        <v>13.980263157894736</v>
      </c>
    </row>
    <row r="102" spans="1:10" x14ac:dyDescent="0.25">
      <c r="A102" s="227">
        <v>2544</v>
      </c>
      <c r="B102" s="227">
        <v>2.5</v>
      </c>
      <c r="C102" s="227">
        <v>4.4000000000000004</v>
      </c>
      <c r="D102" s="226">
        <f t="shared" si="12"/>
        <v>6.9</v>
      </c>
      <c r="E102" s="227">
        <v>2</v>
      </c>
      <c r="F102" s="227">
        <f t="shared" si="8"/>
        <v>13.8</v>
      </c>
      <c r="G102" s="228">
        <f t="shared" si="9"/>
        <v>109.96875</v>
      </c>
      <c r="H102" s="229">
        <f t="shared" si="10"/>
        <v>73.3125</v>
      </c>
      <c r="I102" s="230">
        <f t="shared" si="11"/>
        <v>183.28125</v>
      </c>
      <c r="J102" s="230">
        <f t="shared" si="7"/>
        <v>19.292763157894736</v>
      </c>
    </row>
    <row r="103" spans="1:10" x14ac:dyDescent="0.25">
      <c r="A103" s="227">
        <v>1222</v>
      </c>
      <c r="B103" s="227">
        <v>1.2</v>
      </c>
      <c r="C103" s="227">
        <v>2.2000000000000002</v>
      </c>
      <c r="D103" s="226">
        <f t="shared" si="12"/>
        <v>3.4000000000000004</v>
      </c>
      <c r="E103" s="227">
        <v>2</v>
      </c>
      <c r="F103" s="227">
        <f t="shared" si="8"/>
        <v>6.8000000000000007</v>
      </c>
      <c r="G103" s="228">
        <f t="shared" si="9"/>
        <v>54.1875</v>
      </c>
      <c r="H103" s="229">
        <f t="shared" si="10"/>
        <v>36.125</v>
      </c>
      <c r="I103" s="230">
        <f t="shared" si="11"/>
        <v>90.3125</v>
      </c>
      <c r="J103" s="230">
        <f t="shared" si="7"/>
        <v>9.5065789473684212</v>
      </c>
    </row>
    <row r="104" spans="1:10" x14ac:dyDescent="0.25">
      <c r="A104" s="227">
        <v>2343</v>
      </c>
      <c r="B104" s="227">
        <v>2.2999999999999998</v>
      </c>
      <c r="C104" s="227">
        <v>4.3</v>
      </c>
      <c r="D104" s="226">
        <f t="shared" si="12"/>
        <v>6.6</v>
      </c>
      <c r="E104" s="227">
        <v>2</v>
      </c>
      <c r="F104" s="227">
        <f t="shared" si="8"/>
        <v>13.2</v>
      </c>
      <c r="G104" s="228">
        <f t="shared" si="9"/>
        <v>105.18749999999997</v>
      </c>
      <c r="H104" s="229">
        <f t="shared" si="10"/>
        <v>70.124999999999972</v>
      </c>
      <c r="I104" s="230">
        <f t="shared" si="11"/>
        <v>175.31249999999994</v>
      </c>
      <c r="J104" s="230">
        <f t="shared" si="7"/>
        <v>18.453947368421048</v>
      </c>
    </row>
    <row r="105" spans="1:10" x14ac:dyDescent="0.25">
      <c r="A105" s="227">
        <v>3234</v>
      </c>
      <c r="B105" s="227">
        <v>3.2</v>
      </c>
      <c r="C105" s="227">
        <v>3.4</v>
      </c>
      <c r="D105" s="226">
        <f t="shared" si="12"/>
        <v>6.6</v>
      </c>
      <c r="E105" s="227">
        <v>2</v>
      </c>
      <c r="F105" s="227">
        <f t="shared" si="8"/>
        <v>13.2</v>
      </c>
      <c r="G105" s="228">
        <f t="shared" si="9"/>
        <v>105.18749999999997</v>
      </c>
      <c r="H105" s="229">
        <f t="shared" si="10"/>
        <v>70.124999999999972</v>
      </c>
      <c r="I105" s="230">
        <f t="shared" si="11"/>
        <v>175.31249999999994</v>
      </c>
      <c r="J105" s="230">
        <f t="shared" si="7"/>
        <v>18.453947368421048</v>
      </c>
    </row>
    <row r="106" spans="1:10" x14ac:dyDescent="0.25">
      <c r="A106" s="227">
        <v>1926</v>
      </c>
      <c r="B106" s="227">
        <v>1.9</v>
      </c>
      <c r="C106" s="227">
        <v>2.6</v>
      </c>
      <c r="D106" s="226">
        <f t="shared" si="12"/>
        <v>4.5</v>
      </c>
      <c r="E106" s="227">
        <v>2</v>
      </c>
      <c r="F106" s="227">
        <f t="shared" si="8"/>
        <v>9</v>
      </c>
      <c r="G106" s="228">
        <f t="shared" si="9"/>
        <v>71.71875</v>
      </c>
      <c r="H106" s="229">
        <f t="shared" si="10"/>
        <v>47.8125</v>
      </c>
      <c r="I106" s="230">
        <f t="shared" si="11"/>
        <v>119.53125</v>
      </c>
      <c r="J106" s="230">
        <f t="shared" si="7"/>
        <v>12.582236842105264</v>
      </c>
    </row>
    <row r="107" spans="1:10" x14ac:dyDescent="0.25">
      <c r="A107" s="227">
        <v>2320</v>
      </c>
      <c r="B107" s="227">
        <v>2.2999999999999998</v>
      </c>
      <c r="C107" s="227">
        <v>2</v>
      </c>
      <c r="D107" s="226">
        <f t="shared" si="12"/>
        <v>4.3</v>
      </c>
      <c r="E107" s="227">
        <v>2</v>
      </c>
      <c r="F107" s="227">
        <f t="shared" si="8"/>
        <v>8.6</v>
      </c>
      <c r="G107" s="228">
        <f t="shared" si="9"/>
        <v>68.531249999999986</v>
      </c>
      <c r="H107" s="229">
        <f t="shared" si="10"/>
        <v>45.687499999999986</v>
      </c>
      <c r="I107" s="230">
        <f t="shared" si="11"/>
        <v>114.21874999999997</v>
      </c>
      <c r="J107" s="230">
        <f t="shared" si="7"/>
        <v>12.023026315789471</v>
      </c>
    </row>
    <row r="108" spans="1:10" x14ac:dyDescent="0.25">
      <c r="A108" s="227">
        <v>1928</v>
      </c>
      <c r="B108" s="227">
        <v>1.9</v>
      </c>
      <c r="C108" s="227">
        <v>2.8</v>
      </c>
      <c r="D108" s="226">
        <f t="shared" si="12"/>
        <v>4.6999999999999993</v>
      </c>
      <c r="E108" s="227">
        <v>2</v>
      </c>
      <c r="F108" s="227">
        <f t="shared" si="8"/>
        <v>9.3999999999999986</v>
      </c>
      <c r="G108" s="228">
        <f t="shared" si="9"/>
        <v>74.906249999999986</v>
      </c>
      <c r="H108" s="229">
        <f t="shared" si="10"/>
        <v>49.937499999999986</v>
      </c>
      <c r="I108" s="230">
        <f t="shared" si="11"/>
        <v>124.84374999999997</v>
      </c>
      <c r="J108" s="230">
        <f t="shared" si="7"/>
        <v>13.14144736842105</v>
      </c>
    </row>
    <row r="109" spans="1:10" x14ac:dyDescent="0.25">
      <c r="A109" s="227">
        <v>2118</v>
      </c>
      <c r="B109" s="227">
        <v>2.1</v>
      </c>
      <c r="C109" s="227">
        <v>1.8</v>
      </c>
      <c r="D109" s="226">
        <f t="shared" si="12"/>
        <v>3.9000000000000004</v>
      </c>
      <c r="E109" s="227">
        <v>2</v>
      </c>
      <c r="F109" s="227">
        <f t="shared" si="8"/>
        <v>7.8000000000000007</v>
      </c>
      <c r="G109" s="228">
        <f t="shared" si="9"/>
        <v>62.15625</v>
      </c>
      <c r="H109" s="229">
        <f t="shared" si="10"/>
        <v>41.4375</v>
      </c>
      <c r="I109" s="230">
        <f t="shared" si="11"/>
        <v>103.59375</v>
      </c>
      <c r="J109" s="230">
        <f t="shared" si="7"/>
        <v>10.904605263157896</v>
      </c>
    </row>
    <row r="110" spans="1:10" x14ac:dyDescent="0.25">
      <c r="A110" s="227">
        <v>915</v>
      </c>
      <c r="B110" s="227">
        <v>0.9</v>
      </c>
      <c r="C110" s="227">
        <v>1.5</v>
      </c>
      <c r="D110" s="226">
        <f t="shared" si="12"/>
        <v>2.4</v>
      </c>
      <c r="E110" s="227">
        <v>2</v>
      </c>
      <c r="F110" s="227">
        <f t="shared" si="8"/>
        <v>4.8</v>
      </c>
      <c r="G110" s="228">
        <f t="shared" si="9"/>
        <v>38.249999999999993</v>
      </c>
      <c r="H110" s="229">
        <f t="shared" si="10"/>
        <v>25.499999999999993</v>
      </c>
      <c r="I110" s="230">
        <f t="shared" si="11"/>
        <v>63.749999999999986</v>
      </c>
      <c r="J110" s="230">
        <f t="shared" si="7"/>
        <v>6.7105263157894726</v>
      </c>
    </row>
    <row r="111" spans="1:10" x14ac:dyDescent="0.25">
      <c r="A111" s="227">
        <v>2420</v>
      </c>
      <c r="B111" s="227">
        <v>2.4</v>
      </c>
      <c r="C111" s="227">
        <v>2</v>
      </c>
      <c r="D111" s="226">
        <f t="shared" si="12"/>
        <v>4.4000000000000004</v>
      </c>
      <c r="E111" s="227">
        <v>2</v>
      </c>
      <c r="F111" s="227">
        <f t="shared" si="8"/>
        <v>8.8000000000000007</v>
      </c>
      <c r="G111" s="228">
        <f t="shared" si="9"/>
        <v>70.125</v>
      </c>
      <c r="H111" s="229">
        <f t="shared" si="10"/>
        <v>46.75</v>
      </c>
      <c r="I111" s="230">
        <f t="shared" si="11"/>
        <v>116.875</v>
      </c>
      <c r="J111" s="230">
        <f t="shared" si="7"/>
        <v>12.302631578947368</v>
      </c>
    </row>
    <row r="112" spans="1:10" x14ac:dyDescent="0.25">
      <c r="A112" s="227">
        <v>2012</v>
      </c>
      <c r="B112" s="227">
        <v>2</v>
      </c>
      <c r="C112" s="227">
        <v>1.2</v>
      </c>
      <c r="D112" s="226">
        <f t="shared" si="12"/>
        <v>3.2</v>
      </c>
      <c r="E112" s="227">
        <v>2</v>
      </c>
      <c r="F112" s="227">
        <f t="shared" si="8"/>
        <v>6.4</v>
      </c>
      <c r="G112" s="228">
        <f t="shared" si="9"/>
        <v>51</v>
      </c>
      <c r="H112" s="229">
        <f t="shared" si="10"/>
        <v>34</v>
      </c>
      <c r="I112" s="230">
        <f t="shared" si="11"/>
        <v>85</v>
      </c>
      <c r="J112" s="230">
        <f t="shared" si="7"/>
        <v>8.9473684210526319</v>
      </c>
    </row>
    <row r="113" spans="1:10" x14ac:dyDescent="0.25">
      <c r="A113" s="227">
        <v>2238</v>
      </c>
      <c r="B113" s="227">
        <v>2.2000000000000002</v>
      </c>
      <c r="C113" s="227">
        <v>3.8</v>
      </c>
      <c r="D113" s="226">
        <f t="shared" si="12"/>
        <v>6</v>
      </c>
      <c r="E113" s="227">
        <v>2</v>
      </c>
      <c r="F113" s="227">
        <f t="shared" si="8"/>
        <v>12</v>
      </c>
      <c r="G113" s="228">
        <f t="shared" si="9"/>
        <v>95.625</v>
      </c>
      <c r="H113" s="229">
        <f t="shared" si="10"/>
        <v>63.75</v>
      </c>
      <c r="I113" s="230">
        <f t="shared" si="11"/>
        <v>159.375</v>
      </c>
      <c r="J113" s="230">
        <f t="shared" si="7"/>
        <v>16.776315789473685</v>
      </c>
    </row>
    <row r="114" spans="1:10" x14ac:dyDescent="0.25">
      <c r="A114" s="227">
        <v>2630</v>
      </c>
      <c r="B114" s="227">
        <v>2.6</v>
      </c>
      <c r="C114" s="227">
        <v>3</v>
      </c>
      <c r="D114" s="226">
        <f t="shared" si="12"/>
        <v>5.6</v>
      </c>
      <c r="E114" s="227">
        <v>2</v>
      </c>
      <c r="F114" s="227">
        <f t="shared" si="8"/>
        <v>11.2</v>
      </c>
      <c r="G114" s="228">
        <f t="shared" si="9"/>
        <v>89.249999999999986</v>
      </c>
      <c r="H114" s="229">
        <f t="shared" si="10"/>
        <v>59.499999999999986</v>
      </c>
      <c r="I114" s="230">
        <f t="shared" si="11"/>
        <v>148.74999999999997</v>
      </c>
      <c r="J114" s="230">
        <f t="shared" si="7"/>
        <v>15.657894736842103</v>
      </c>
    </row>
    <row r="115" spans="1:10" x14ac:dyDescent="0.25">
      <c r="A115" s="227">
        <v>1411</v>
      </c>
      <c r="B115" s="227">
        <v>1.4</v>
      </c>
      <c r="C115" s="227">
        <v>1.1000000000000001</v>
      </c>
      <c r="D115" s="226">
        <f t="shared" si="12"/>
        <v>2.5</v>
      </c>
      <c r="E115" s="227">
        <v>2</v>
      </c>
      <c r="F115" s="227">
        <f t="shared" si="8"/>
        <v>5</v>
      </c>
      <c r="G115" s="228">
        <f t="shared" si="9"/>
        <v>39.84375</v>
      </c>
      <c r="H115" s="229">
        <f t="shared" si="10"/>
        <v>26.5625</v>
      </c>
      <c r="I115" s="230">
        <f t="shared" si="11"/>
        <v>66.40625</v>
      </c>
      <c r="J115" s="230">
        <f t="shared" si="7"/>
        <v>6.9901315789473681</v>
      </c>
    </row>
    <row r="116" spans="1:10" x14ac:dyDescent="0.25">
      <c r="A116" s="227">
        <v>1017</v>
      </c>
      <c r="B116" s="227">
        <v>1</v>
      </c>
      <c r="C116" s="227">
        <v>1.7</v>
      </c>
      <c r="D116" s="226">
        <f t="shared" si="12"/>
        <v>2.7</v>
      </c>
      <c r="E116" s="227">
        <v>2</v>
      </c>
      <c r="F116" s="227">
        <f t="shared" si="8"/>
        <v>5.4</v>
      </c>
      <c r="G116" s="228">
        <f t="shared" si="9"/>
        <v>43.03125</v>
      </c>
      <c r="H116" s="229">
        <f t="shared" si="10"/>
        <v>28.6875</v>
      </c>
      <c r="I116" s="230">
        <f t="shared" si="11"/>
        <v>71.71875</v>
      </c>
      <c r="J116" s="230">
        <f t="shared" si="7"/>
        <v>7.5493421052631575</v>
      </c>
    </row>
    <row r="117" spans="1:10" x14ac:dyDescent="0.25">
      <c r="A117" s="227">
        <v>1622</v>
      </c>
      <c r="B117" s="227">
        <v>1.6</v>
      </c>
      <c r="C117" s="227">
        <v>2.2000000000000002</v>
      </c>
      <c r="D117" s="226">
        <f t="shared" si="12"/>
        <v>3.8000000000000003</v>
      </c>
      <c r="E117" s="227">
        <v>2</v>
      </c>
      <c r="F117" s="227">
        <f t="shared" si="8"/>
        <v>7.6000000000000005</v>
      </c>
      <c r="G117" s="228">
        <f t="shared" si="9"/>
        <v>60.5625</v>
      </c>
      <c r="H117" s="229">
        <f t="shared" si="10"/>
        <v>40.375</v>
      </c>
      <c r="I117" s="230">
        <f t="shared" si="11"/>
        <v>100.9375</v>
      </c>
      <c r="J117" s="230">
        <f t="shared" si="7"/>
        <v>10.625</v>
      </c>
    </row>
    <row r="118" spans="1:10" x14ac:dyDescent="0.25">
      <c r="A118" s="227">
        <v>2322</v>
      </c>
      <c r="B118" s="227">
        <v>2.2999999999999998</v>
      </c>
      <c r="C118" s="227">
        <v>2.2000000000000002</v>
      </c>
      <c r="D118" s="226">
        <f t="shared" si="12"/>
        <v>4.5</v>
      </c>
      <c r="E118" s="227">
        <v>2</v>
      </c>
      <c r="F118" s="227">
        <f t="shared" si="8"/>
        <v>9</v>
      </c>
      <c r="G118" s="228">
        <f t="shared" si="9"/>
        <v>71.71875</v>
      </c>
      <c r="H118" s="229">
        <f t="shared" si="10"/>
        <v>47.8125</v>
      </c>
      <c r="I118" s="230">
        <f t="shared" si="11"/>
        <v>119.53125</v>
      </c>
      <c r="J118" s="230">
        <f t="shared" si="7"/>
        <v>12.582236842105264</v>
      </c>
    </row>
    <row r="119" spans="1:10" x14ac:dyDescent="0.25">
      <c r="A119" s="227">
        <v>1627</v>
      </c>
      <c r="B119" s="227">
        <v>1.6</v>
      </c>
      <c r="C119" s="227">
        <v>2.7</v>
      </c>
      <c r="D119" s="226">
        <f t="shared" si="12"/>
        <v>4.3000000000000007</v>
      </c>
      <c r="E119" s="227">
        <v>2</v>
      </c>
      <c r="F119" s="227">
        <f t="shared" si="8"/>
        <v>8.6000000000000014</v>
      </c>
      <c r="G119" s="228">
        <f t="shared" si="9"/>
        <v>68.531250000000014</v>
      </c>
      <c r="H119" s="229">
        <f t="shared" si="10"/>
        <v>45.687500000000007</v>
      </c>
      <c r="I119" s="230">
        <f t="shared" si="11"/>
        <v>114.21875000000003</v>
      </c>
      <c r="J119" s="230">
        <f t="shared" si="7"/>
        <v>12.023026315789476</v>
      </c>
    </row>
    <row r="120" spans="1:10" x14ac:dyDescent="0.25">
      <c r="A120" s="227">
        <v>2313</v>
      </c>
      <c r="B120" s="227">
        <v>2.2999999999999998</v>
      </c>
      <c r="C120" s="227">
        <v>1.3</v>
      </c>
      <c r="D120" s="226">
        <f t="shared" si="12"/>
        <v>3.5999999999999996</v>
      </c>
      <c r="E120" s="227">
        <v>2</v>
      </c>
      <c r="F120" s="227">
        <f t="shared" si="8"/>
        <v>7.1999999999999993</v>
      </c>
      <c r="G120" s="228">
        <f t="shared" si="9"/>
        <v>57.374999999999986</v>
      </c>
      <c r="H120" s="229">
        <f t="shared" si="10"/>
        <v>38.249999999999986</v>
      </c>
      <c r="I120" s="230">
        <f t="shared" si="11"/>
        <v>95.624999999999972</v>
      </c>
      <c r="J120" s="230">
        <f t="shared" si="7"/>
        <v>10.065789473684207</v>
      </c>
    </row>
    <row r="121" spans="1:10" x14ac:dyDescent="0.25">
      <c r="A121" s="227">
        <v>1015</v>
      </c>
      <c r="B121" s="227">
        <v>1</v>
      </c>
      <c r="C121" s="227">
        <v>1.5</v>
      </c>
      <c r="D121" s="226">
        <f>+B121+C121</f>
        <v>2.5</v>
      </c>
      <c r="E121" s="227">
        <v>2</v>
      </c>
      <c r="F121" s="227">
        <f>+D121*E121</f>
        <v>5</v>
      </c>
      <c r="G121" s="228">
        <f>(F121/$F$18)*$G$18</f>
        <v>39.84375</v>
      </c>
      <c r="H121" s="229">
        <f>(40/60)*G121</f>
        <v>26.5625</v>
      </c>
      <c r="I121" s="230">
        <f>+G121+H121</f>
        <v>66.40625</v>
      </c>
      <c r="J121" s="230">
        <f>+I121/9.5</f>
        <v>6.9901315789473681</v>
      </c>
    </row>
    <row r="122" spans="1:10" x14ac:dyDescent="0.25">
      <c r="A122" s="227">
        <v>1631</v>
      </c>
      <c r="B122" s="227">
        <v>1.6</v>
      </c>
      <c r="C122" s="227">
        <v>3.1</v>
      </c>
      <c r="D122" s="226">
        <f>+B122+C122</f>
        <v>4.7</v>
      </c>
      <c r="E122" s="227">
        <v>2</v>
      </c>
      <c r="F122" s="227">
        <f>+D122*E122</f>
        <v>9.4</v>
      </c>
      <c r="G122" s="228">
        <f>(F122/$F$18)*$G$18</f>
        <v>74.90625</v>
      </c>
      <c r="H122" s="229">
        <f>(40/60)*G122</f>
        <v>49.9375</v>
      </c>
      <c r="I122" s="230">
        <f>+G122+H122</f>
        <v>124.84375</v>
      </c>
      <c r="J122" s="230">
        <f>+I122/9.5</f>
        <v>13.141447368421053</v>
      </c>
    </row>
    <row r="123" spans="1:10" x14ac:dyDescent="0.25">
      <c r="A123" s="227">
        <v>1426</v>
      </c>
      <c r="B123" s="227">
        <v>1.4</v>
      </c>
      <c r="C123" s="227">
        <v>2.6</v>
      </c>
      <c r="D123" s="226">
        <f>+B123+C123</f>
        <v>4</v>
      </c>
      <c r="E123" s="227">
        <v>2</v>
      </c>
      <c r="F123" s="227">
        <f>+D123*E123</f>
        <v>8</v>
      </c>
      <c r="G123" s="228">
        <f>(F123/$F$18)*$G$18</f>
        <v>63.75</v>
      </c>
      <c r="H123" s="229">
        <f>(40/60)*G123</f>
        <v>42.5</v>
      </c>
      <c r="I123" s="230">
        <f>+G123+H123</f>
        <v>106.25</v>
      </c>
      <c r="J123" s="230">
        <f>+I123/9.5</f>
        <v>11.184210526315789</v>
      </c>
    </row>
    <row r="124" spans="1:10" x14ac:dyDescent="0.25">
      <c r="A124" s="227">
        <v>1525</v>
      </c>
      <c r="B124" s="227">
        <v>1.5</v>
      </c>
      <c r="C124" s="227">
        <v>2.5</v>
      </c>
      <c r="D124" s="226">
        <f>+B124+C124</f>
        <v>4</v>
      </c>
      <c r="E124" s="227">
        <v>2</v>
      </c>
      <c r="F124" s="227">
        <f>+D124*E124</f>
        <v>8</v>
      </c>
      <c r="G124" s="228">
        <f>(F124/$F$18)*$G$18</f>
        <v>63.75</v>
      </c>
      <c r="H124" s="229">
        <f>(40/60)*G124</f>
        <v>42.5</v>
      </c>
      <c r="I124" s="230">
        <f>+G124+H124</f>
        <v>106.25</v>
      </c>
      <c r="J124" s="230">
        <f>+I124/9.5</f>
        <v>11.184210526315789</v>
      </c>
    </row>
    <row r="125" spans="1:10" x14ac:dyDescent="0.25">
      <c r="A125" s="227">
        <v>2415</v>
      </c>
      <c r="B125" s="227">
        <v>2.4</v>
      </c>
      <c r="C125" s="227">
        <v>1.5</v>
      </c>
      <c r="D125" s="226">
        <f>+B125+C125</f>
        <v>3.9</v>
      </c>
      <c r="E125" s="227">
        <v>2</v>
      </c>
      <c r="F125" s="227">
        <f>+D125*E125</f>
        <v>7.8</v>
      </c>
      <c r="G125" s="228">
        <f>(F125/$F$18)*$G$18</f>
        <v>62.15625</v>
      </c>
      <c r="H125" s="229">
        <f>(40/60)*G125</f>
        <v>41.4375</v>
      </c>
      <c r="I125" s="230">
        <f>+G125+H125</f>
        <v>103.59375</v>
      </c>
      <c r="J125" s="230">
        <f>+I125/9.5</f>
        <v>10.904605263157896</v>
      </c>
    </row>
    <row r="126" spans="1:10" x14ac:dyDescent="0.25">
      <c r="A126" s="227">
        <v>2326</v>
      </c>
      <c r="B126" s="227">
        <v>2.2999999999999998</v>
      </c>
      <c r="C126" s="227">
        <v>2.6</v>
      </c>
      <c r="D126" s="226">
        <f t="shared" ref="D126:D151" si="13">+B126+C126</f>
        <v>4.9000000000000004</v>
      </c>
      <c r="E126" s="227">
        <v>2</v>
      </c>
      <c r="F126" s="227">
        <f t="shared" ref="F126:F151" si="14">+D126*E126</f>
        <v>9.8000000000000007</v>
      </c>
      <c r="G126" s="228">
        <f t="shared" ref="G126:G151" si="15">(F126/$F$18)*$G$18</f>
        <v>78.09375</v>
      </c>
      <c r="H126" s="229">
        <f t="shared" ref="H126:H151" si="16">(40/60)*G126</f>
        <v>52.0625</v>
      </c>
      <c r="I126" s="230">
        <f t="shared" ref="I126:I151" si="17">+G126+H126</f>
        <v>130.15625</v>
      </c>
      <c r="J126" s="230">
        <f t="shared" ref="J126:J151" si="18">+I126/9.5</f>
        <v>13.700657894736842</v>
      </c>
    </row>
    <row r="127" spans="1:10" x14ac:dyDescent="0.25">
      <c r="A127" s="227">
        <v>1118</v>
      </c>
      <c r="B127" s="227">
        <v>1.1000000000000001</v>
      </c>
      <c r="C127" s="227">
        <v>1.8</v>
      </c>
      <c r="D127" s="226">
        <f t="shared" si="13"/>
        <v>2.9000000000000004</v>
      </c>
      <c r="E127" s="227">
        <v>2</v>
      </c>
      <c r="F127" s="227">
        <f t="shared" si="14"/>
        <v>5.8000000000000007</v>
      </c>
      <c r="G127" s="228">
        <f t="shared" si="15"/>
        <v>46.218750000000007</v>
      </c>
      <c r="H127" s="229">
        <f t="shared" si="16"/>
        <v>30.812500000000004</v>
      </c>
      <c r="I127" s="230">
        <f t="shared" si="17"/>
        <v>77.031250000000014</v>
      </c>
      <c r="J127" s="230">
        <f t="shared" si="18"/>
        <v>8.1085526315789487</v>
      </c>
    </row>
    <row r="128" spans="1:10" x14ac:dyDescent="0.25">
      <c r="A128" s="227">
        <v>2119</v>
      </c>
      <c r="B128" s="227">
        <v>2.1</v>
      </c>
      <c r="C128" s="227">
        <v>1.9</v>
      </c>
      <c r="D128" s="226">
        <f t="shared" si="13"/>
        <v>4</v>
      </c>
      <c r="E128" s="227">
        <v>2</v>
      </c>
      <c r="F128" s="227">
        <f t="shared" si="14"/>
        <v>8</v>
      </c>
      <c r="G128" s="228">
        <f t="shared" si="15"/>
        <v>63.75</v>
      </c>
      <c r="H128" s="229">
        <f t="shared" si="16"/>
        <v>42.5</v>
      </c>
      <c r="I128" s="230">
        <f t="shared" si="17"/>
        <v>106.25</v>
      </c>
      <c r="J128" s="230">
        <f t="shared" si="18"/>
        <v>11.184210526315789</v>
      </c>
    </row>
    <row r="129" spans="1:10" x14ac:dyDescent="0.25">
      <c r="A129" s="227">
        <v>1314</v>
      </c>
      <c r="B129" s="227">
        <v>1.3</v>
      </c>
      <c r="C129" s="227">
        <v>1.4</v>
      </c>
      <c r="D129" s="226">
        <f t="shared" si="13"/>
        <v>2.7</v>
      </c>
      <c r="E129" s="227">
        <v>2</v>
      </c>
      <c r="F129" s="227">
        <f t="shared" si="14"/>
        <v>5.4</v>
      </c>
      <c r="G129" s="228">
        <f t="shared" si="15"/>
        <v>43.03125</v>
      </c>
      <c r="H129" s="229">
        <f t="shared" si="16"/>
        <v>28.6875</v>
      </c>
      <c r="I129" s="230">
        <f t="shared" si="17"/>
        <v>71.71875</v>
      </c>
      <c r="J129" s="230">
        <f t="shared" si="18"/>
        <v>7.5493421052631575</v>
      </c>
    </row>
    <row r="130" spans="1:10" x14ac:dyDescent="0.25">
      <c r="A130" s="227">
        <v>1520</v>
      </c>
      <c r="B130" s="227">
        <v>1.5</v>
      </c>
      <c r="C130" s="227">
        <v>2</v>
      </c>
      <c r="D130" s="226">
        <f t="shared" si="13"/>
        <v>3.5</v>
      </c>
      <c r="E130" s="227">
        <v>2</v>
      </c>
      <c r="F130" s="227">
        <f t="shared" si="14"/>
        <v>7</v>
      </c>
      <c r="G130" s="228">
        <f t="shared" si="15"/>
        <v>55.78125</v>
      </c>
      <c r="H130" s="229">
        <f t="shared" si="16"/>
        <v>37.1875</v>
      </c>
      <c r="I130" s="230">
        <f t="shared" si="17"/>
        <v>92.96875</v>
      </c>
      <c r="J130" s="230">
        <f t="shared" si="18"/>
        <v>9.786184210526315</v>
      </c>
    </row>
    <row r="131" spans="1:10" x14ac:dyDescent="0.25">
      <c r="A131" s="227">
        <v>1114</v>
      </c>
      <c r="B131" s="227">
        <v>1.1000000000000001</v>
      </c>
      <c r="C131" s="227">
        <v>1.4</v>
      </c>
      <c r="D131" s="226">
        <f t="shared" si="13"/>
        <v>2.5</v>
      </c>
      <c r="E131" s="227">
        <v>2</v>
      </c>
      <c r="F131" s="227">
        <f t="shared" si="14"/>
        <v>5</v>
      </c>
      <c r="G131" s="228">
        <f t="shared" si="15"/>
        <v>39.84375</v>
      </c>
      <c r="H131" s="229">
        <f t="shared" si="16"/>
        <v>26.5625</v>
      </c>
      <c r="I131" s="230">
        <f t="shared" si="17"/>
        <v>66.40625</v>
      </c>
      <c r="J131" s="230">
        <f t="shared" si="18"/>
        <v>6.9901315789473681</v>
      </c>
    </row>
    <row r="132" spans="1:10" x14ac:dyDescent="0.25">
      <c r="A132" s="227">
        <v>2318</v>
      </c>
      <c r="B132" s="227">
        <v>2.2999999999999998</v>
      </c>
      <c r="C132" s="227">
        <v>1.8</v>
      </c>
      <c r="D132" s="226">
        <f t="shared" si="13"/>
        <v>4.0999999999999996</v>
      </c>
      <c r="E132" s="227">
        <v>2</v>
      </c>
      <c r="F132" s="227">
        <f t="shared" si="14"/>
        <v>8.1999999999999993</v>
      </c>
      <c r="G132" s="228">
        <f t="shared" si="15"/>
        <v>65.343749999999986</v>
      </c>
      <c r="H132" s="229">
        <f t="shared" si="16"/>
        <v>43.562499999999986</v>
      </c>
      <c r="I132" s="230">
        <f t="shared" si="17"/>
        <v>108.90624999999997</v>
      </c>
      <c r="J132" s="230">
        <f t="shared" si="18"/>
        <v>11.463815789473681</v>
      </c>
    </row>
    <row r="133" spans="1:10" x14ac:dyDescent="0.25">
      <c r="A133" s="227">
        <v>2021</v>
      </c>
      <c r="B133" s="227">
        <v>2</v>
      </c>
      <c r="C133" s="227">
        <v>2.1</v>
      </c>
      <c r="D133" s="226">
        <f t="shared" si="13"/>
        <v>4.0999999999999996</v>
      </c>
      <c r="E133" s="227">
        <v>2</v>
      </c>
      <c r="F133" s="227">
        <f t="shared" si="14"/>
        <v>8.1999999999999993</v>
      </c>
      <c r="G133" s="228">
        <f t="shared" si="15"/>
        <v>65.343749999999986</v>
      </c>
      <c r="H133" s="229">
        <f t="shared" si="16"/>
        <v>43.562499999999986</v>
      </c>
      <c r="I133" s="230">
        <f t="shared" si="17"/>
        <v>108.90624999999997</v>
      </c>
      <c r="J133" s="230">
        <f t="shared" si="18"/>
        <v>11.463815789473681</v>
      </c>
    </row>
    <row r="134" spans="1:10" x14ac:dyDescent="0.25">
      <c r="A134" s="227">
        <v>2017</v>
      </c>
      <c r="B134" s="227">
        <v>2</v>
      </c>
      <c r="C134" s="227">
        <v>1.7</v>
      </c>
      <c r="D134" s="226">
        <f t="shared" si="13"/>
        <v>3.7</v>
      </c>
      <c r="E134" s="227">
        <v>2</v>
      </c>
      <c r="F134" s="227">
        <f t="shared" si="14"/>
        <v>7.4</v>
      </c>
      <c r="G134" s="228">
        <f t="shared" si="15"/>
        <v>58.96875</v>
      </c>
      <c r="H134" s="229">
        <f t="shared" si="16"/>
        <v>39.3125</v>
      </c>
      <c r="I134" s="230">
        <f t="shared" si="17"/>
        <v>98.28125</v>
      </c>
      <c r="J134" s="230">
        <f t="shared" si="18"/>
        <v>10.345394736842104</v>
      </c>
    </row>
    <row r="135" spans="1:10" x14ac:dyDescent="0.25">
      <c r="A135" s="227">
        <v>2317</v>
      </c>
      <c r="B135" s="227">
        <v>2.2999999999999998</v>
      </c>
      <c r="C135" s="227">
        <v>1.7</v>
      </c>
      <c r="D135" s="226">
        <f t="shared" si="13"/>
        <v>4</v>
      </c>
      <c r="E135" s="227">
        <v>2</v>
      </c>
      <c r="F135" s="227">
        <f t="shared" si="14"/>
        <v>8</v>
      </c>
      <c r="G135" s="228">
        <f t="shared" si="15"/>
        <v>63.75</v>
      </c>
      <c r="H135" s="229">
        <f t="shared" si="16"/>
        <v>42.5</v>
      </c>
      <c r="I135" s="230">
        <f t="shared" si="17"/>
        <v>106.25</v>
      </c>
      <c r="J135" s="230">
        <f t="shared" si="18"/>
        <v>11.184210526315789</v>
      </c>
    </row>
    <row r="136" spans="1:10" x14ac:dyDescent="0.25">
      <c r="A136" s="227">
        <v>2121</v>
      </c>
      <c r="B136" s="227">
        <v>2.1</v>
      </c>
      <c r="C136" s="227">
        <v>2.1</v>
      </c>
      <c r="D136" s="226">
        <f t="shared" si="13"/>
        <v>4.2</v>
      </c>
      <c r="E136" s="227">
        <v>2</v>
      </c>
      <c r="F136" s="227">
        <f t="shared" si="14"/>
        <v>8.4</v>
      </c>
      <c r="G136" s="228">
        <f t="shared" si="15"/>
        <v>66.9375</v>
      </c>
      <c r="H136" s="229">
        <f t="shared" si="16"/>
        <v>44.625</v>
      </c>
      <c r="I136" s="230">
        <f t="shared" si="17"/>
        <v>111.5625</v>
      </c>
      <c r="J136" s="230">
        <f t="shared" si="18"/>
        <v>11.743421052631579</v>
      </c>
    </row>
    <row r="137" spans="1:10" x14ac:dyDescent="0.25">
      <c r="A137" s="227">
        <v>1716</v>
      </c>
      <c r="B137" s="227">
        <v>1.7</v>
      </c>
      <c r="C137" s="227">
        <v>1.6</v>
      </c>
      <c r="D137" s="226">
        <f t="shared" si="13"/>
        <v>3.3</v>
      </c>
      <c r="E137" s="227">
        <v>2</v>
      </c>
      <c r="F137" s="227">
        <f t="shared" si="14"/>
        <v>6.6</v>
      </c>
      <c r="G137" s="228">
        <f t="shared" si="15"/>
        <v>52.593749999999986</v>
      </c>
      <c r="H137" s="229">
        <f t="shared" si="16"/>
        <v>35.062499999999986</v>
      </c>
      <c r="I137" s="230">
        <f t="shared" si="17"/>
        <v>87.656249999999972</v>
      </c>
      <c r="J137" s="230">
        <f t="shared" si="18"/>
        <v>9.2269736842105239</v>
      </c>
    </row>
    <row r="138" spans="1:10" x14ac:dyDescent="0.25">
      <c r="A138" s="227">
        <v>2114</v>
      </c>
      <c r="B138" s="227">
        <v>2.1</v>
      </c>
      <c r="C138" s="227">
        <v>1.4</v>
      </c>
      <c r="D138" s="226">
        <f t="shared" si="13"/>
        <v>3.5</v>
      </c>
      <c r="E138" s="227">
        <v>2</v>
      </c>
      <c r="F138" s="227">
        <f t="shared" si="14"/>
        <v>7</v>
      </c>
      <c r="G138" s="228">
        <f t="shared" si="15"/>
        <v>55.78125</v>
      </c>
      <c r="H138" s="229">
        <f t="shared" si="16"/>
        <v>37.1875</v>
      </c>
      <c r="I138" s="230">
        <f t="shared" si="17"/>
        <v>92.96875</v>
      </c>
      <c r="J138" s="230">
        <f t="shared" si="18"/>
        <v>9.786184210526315</v>
      </c>
    </row>
    <row r="139" spans="1:10" x14ac:dyDescent="0.25">
      <c r="A139" s="227">
        <v>1218</v>
      </c>
      <c r="B139" s="227">
        <v>1.2</v>
      </c>
      <c r="C139" s="227">
        <v>1.8</v>
      </c>
      <c r="D139" s="226">
        <f t="shared" si="13"/>
        <v>3</v>
      </c>
      <c r="E139" s="227">
        <v>2</v>
      </c>
      <c r="F139" s="227">
        <f t="shared" si="14"/>
        <v>6</v>
      </c>
      <c r="G139" s="228">
        <f t="shared" si="15"/>
        <v>47.8125</v>
      </c>
      <c r="H139" s="229">
        <f t="shared" si="16"/>
        <v>31.875</v>
      </c>
      <c r="I139" s="230">
        <f t="shared" si="17"/>
        <v>79.6875</v>
      </c>
      <c r="J139" s="230">
        <f t="shared" si="18"/>
        <v>8.3881578947368425</v>
      </c>
    </row>
    <row r="140" spans="1:10" x14ac:dyDescent="0.25">
      <c r="A140" s="227">
        <v>3932</v>
      </c>
      <c r="B140" s="227">
        <v>3.9</v>
      </c>
      <c r="C140" s="227">
        <v>3.2</v>
      </c>
      <c r="D140" s="226">
        <f t="shared" si="13"/>
        <v>7.1</v>
      </c>
      <c r="E140" s="227">
        <v>2</v>
      </c>
      <c r="F140" s="227">
        <f t="shared" si="14"/>
        <v>14.2</v>
      </c>
      <c r="G140" s="228">
        <f t="shared" si="15"/>
        <v>113.15624999999997</v>
      </c>
      <c r="H140" s="229">
        <f t="shared" si="16"/>
        <v>75.437499999999972</v>
      </c>
      <c r="I140" s="230">
        <f t="shared" si="17"/>
        <v>188.59374999999994</v>
      </c>
      <c r="J140" s="230">
        <f t="shared" si="18"/>
        <v>19.85197368421052</v>
      </c>
    </row>
    <row r="141" spans="1:10" x14ac:dyDescent="0.25">
      <c r="A141" s="227">
        <v>1715</v>
      </c>
      <c r="B141" s="227">
        <v>1.7</v>
      </c>
      <c r="C141" s="227">
        <v>1.5</v>
      </c>
      <c r="D141" s="226">
        <f t="shared" si="13"/>
        <v>3.2</v>
      </c>
      <c r="E141" s="227">
        <v>2</v>
      </c>
      <c r="F141" s="227">
        <f t="shared" si="14"/>
        <v>6.4</v>
      </c>
      <c r="G141" s="228">
        <f t="shared" si="15"/>
        <v>51</v>
      </c>
      <c r="H141" s="229">
        <f t="shared" si="16"/>
        <v>34</v>
      </c>
      <c r="I141" s="230">
        <f t="shared" si="17"/>
        <v>85</v>
      </c>
      <c r="J141" s="230">
        <f t="shared" si="18"/>
        <v>8.9473684210526319</v>
      </c>
    </row>
    <row r="142" spans="1:10" x14ac:dyDescent="0.25">
      <c r="A142" s="227">
        <v>1423</v>
      </c>
      <c r="B142" s="227">
        <v>1.4</v>
      </c>
      <c r="C142" s="227">
        <v>2.2999999999999998</v>
      </c>
      <c r="D142" s="226">
        <f t="shared" si="13"/>
        <v>3.6999999999999997</v>
      </c>
      <c r="E142" s="227">
        <v>2</v>
      </c>
      <c r="F142" s="227">
        <f t="shared" si="14"/>
        <v>7.3999999999999995</v>
      </c>
      <c r="G142" s="228">
        <f t="shared" si="15"/>
        <v>58.968749999999986</v>
      </c>
      <c r="H142" s="229">
        <f t="shared" si="16"/>
        <v>39.312499999999986</v>
      </c>
      <c r="I142" s="230">
        <f t="shared" si="17"/>
        <v>98.281249999999972</v>
      </c>
      <c r="J142" s="230">
        <f t="shared" si="18"/>
        <v>10.345394736842103</v>
      </c>
    </row>
    <row r="143" spans="1:10" x14ac:dyDescent="0.25">
      <c r="A143" s="227">
        <v>3025</v>
      </c>
      <c r="B143" s="227">
        <v>3.1</v>
      </c>
      <c r="C143" s="227">
        <v>2.5</v>
      </c>
      <c r="D143" s="226">
        <f t="shared" si="13"/>
        <v>5.6</v>
      </c>
      <c r="E143" s="227">
        <v>2</v>
      </c>
      <c r="F143" s="227">
        <f t="shared" si="14"/>
        <v>11.2</v>
      </c>
      <c r="G143" s="228">
        <f t="shared" si="15"/>
        <v>89.249999999999986</v>
      </c>
      <c r="H143" s="229">
        <f t="shared" si="16"/>
        <v>59.499999999999986</v>
      </c>
      <c r="I143" s="230">
        <f t="shared" si="17"/>
        <v>148.74999999999997</v>
      </c>
      <c r="J143" s="230">
        <f t="shared" si="18"/>
        <v>15.657894736842103</v>
      </c>
    </row>
    <row r="144" spans="1:10" x14ac:dyDescent="0.25">
      <c r="A144" s="227">
        <v>2319</v>
      </c>
      <c r="B144" s="227">
        <v>2.2999999999999998</v>
      </c>
      <c r="C144" s="227">
        <v>1.9</v>
      </c>
      <c r="D144" s="226">
        <f t="shared" si="13"/>
        <v>4.1999999999999993</v>
      </c>
      <c r="E144" s="227">
        <v>2</v>
      </c>
      <c r="F144" s="227">
        <f t="shared" si="14"/>
        <v>8.3999999999999986</v>
      </c>
      <c r="G144" s="228">
        <f t="shared" si="15"/>
        <v>66.937499999999986</v>
      </c>
      <c r="H144" s="229">
        <f t="shared" si="16"/>
        <v>44.624999999999986</v>
      </c>
      <c r="I144" s="230">
        <f t="shared" si="17"/>
        <v>111.56249999999997</v>
      </c>
      <c r="J144" s="230">
        <f t="shared" si="18"/>
        <v>11.743421052631575</v>
      </c>
    </row>
    <row r="145" spans="1:10" x14ac:dyDescent="0.25">
      <c r="A145" s="227">
        <v>1611</v>
      </c>
      <c r="B145" s="227">
        <v>1.3</v>
      </c>
      <c r="C145" s="227">
        <v>1.1000000000000001</v>
      </c>
      <c r="D145" s="226">
        <f t="shared" si="13"/>
        <v>2.4000000000000004</v>
      </c>
      <c r="E145" s="227">
        <v>2</v>
      </c>
      <c r="F145" s="227">
        <f t="shared" si="14"/>
        <v>4.8000000000000007</v>
      </c>
      <c r="G145" s="228">
        <f t="shared" si="15"/>
        <v>38.250000000000007</v>
      </c>
      <c r="H145" s="229">
        <f t="shared" si="16"/>
        <v>25.500000000000004</v>
      </c>
      <c r="I145" s="230">
        <f t="shared" si="17"/>
        <v>63.750000000000014</v>
      </c>
      <c r="J145" s="230">
        <f t="shared" si="18"/>
        <v>6.7105263157894752</v>
      </c>
    </row>
    <row r="146" spans="1:10" x14ac:dyDescent="0.25">
      <c r="A146" s="227">
        <v>3030</v>
      </c>
      <c r="B146" s="227">
        <v>3</v>
      </c>
      <c r="C146" s="227">
        <v>3</v>
      </c>
      <c r="D146" s="226">
        <f t="shared" si="13"/>
        <v>6</v>
      </c>
      <c r="E146" s="227">
        <v>2</v>
      </c>
      <c r="F146" s="227">
        <f t="shared" si="14"/>
        <v>12</v>
      </c>
      <c r="G146" s="228">
        <f t="shared" si="15"/>
        <v>95.625</v>
      </c>
      <c r="H146" s="229">
        <f t="shared" si="16"/>
        <v>63.75</v>
      </c>
      <c r="I146" s="230">
        <f t="shared" si="17"/>
        <v>159.375</v>
      </c>
      <c r="J146" s="230">
        <f t="shared" si="18"/>
        <v>16.776315789473685</v>
      </c>
    </row>
    <row r="147" spans="1:10" x14ac:dyDescent="0.25">
      <c r="A147" s="227">
        <v>1810</v>
      </c>
      <c r="B147" s="227">
        <v>1.8</v>
      </c>
      <c r="C147" s="227">
        <v>1</v>
      </c>
      <c r="D147" s="226">
        <f t="shared" si="13"/>
        <v>2.8</v>
      </c>
      <c r="E147" s="227">
        <v>2</v>
      </c>
      <c r="F147" s="227">
        <f t="shared" si="14"/>
        <v>5.6</v>
      </c>
      <c r="G147" s="228">
        <f t="shared" si="15"/>
        <v>44.624999999999993</v>
      </c>
      <c r="H147" s="229">
        <f t="shared" si="16"/>
        <v>29.749999999999993</v>
      </c>
      <c r="I147" s="230">
        <f t="shared" si="17"/>
        <v>74.374999999999986</v>
      </c>
      <c r="J147" s="230">
        <f t="shared" si="18"/>
        <v>7.8289473684210513</v>
      </c>
    </row>
    <row r="148" spans="1:10" x14ac:dyDescent="0.25">
      <c r="A148" s="227">
        <v>1824</v>
      </c>
      <c r="B148" s="227">
        <v>1.8</v>
      </c>
      <c r="C148" s="227">
        <v>2.4</v>
      </c>
      <c r="D148" s="226">
        <f t="shared" si="13"/>
        <v>4.2</v>
      </c>
      <c r="E148" s="227">
        <v>2</v>
      </c>
      <c r="F148" s="227">
        <f t="shared" si="14"/>
        <v>8.4</v>
      </c>
      <c r="G148" s="228">
        <f t="shared" si="15"/>
        <v>66.9375</v>
      </c>
      <c r="H148" s="229">
        <f t="shared" si="16"/>
        <v>44.625</v>
      </c>
      <c r="I148" s="230">
        <f t="shared" si="17"/>
        <v>111.5625</v>
      </c>
      <c r="J148" s="230">
        <f t="shared" si="18"/>
        <v>11.743421052631579</v>
      </c>
    </row>
    <row r="149" spans="1:10" x14ac:dyDescent="0.25">
      <c r="A149" s="227">
        <v>1628</v>
      </c>
      <c r="B149" s="227">
        <v>1.6</v>
      </c>
      <c r="C149" s="227">
        <v>2.8</v>
      </c>
      <c r="D149" s="226">
        <f t="shared" si="13"/>
        <v>4.4000000000000004</v>
      </c>
      <c r="E149" s="227">
        <v>2</v>
      </c>
      <c r="F149" s="227">
        <f t="shared" si="14"/>
        <v>8.8000000000000007</v>
      </c>
      <c r="G149" s="228">
        <f t="shared" si="15"/>
        <v>70.125</v>
      </c>
      <c r="H149" s="229">
        <f t="shared" si="16"/>
        <v>46.75</v>
      </c>
      <c r="I149" s="230">
        <f t="shared" si="17"/>
        <v>116.875</v>
      </c>
      <c r="J149" s="230">
        <f t="shared" si="18"/>
        <v>12.302631578947368</v>
      </c>
    </row>
    <row r="150" spans="1:10" x14ac:dyDescent="0.25">
      <c r="A150" s="227">
        <v>1720</v>
      </c>
      <c r="B150" s="227">
        <v>1.7</v>
      </c>
      <c r="C150" s="227">
        <v>2</v>
      </c>
      <c r="D150" s="226">
        <f t="shared" si="13"/>
        <v>3.7</v>
      </c>
      <c r="E150" s="227">
        <v>2</v>
      </c>
      <c r="F150" s="227">
        <f t="shared" si="14"/>
        <v>7.4</v>
      </c>
      <c r="G150" s="228">
        <f t="shared" si="15"/>
        <v>58.96875</v>
      </c>
      <c r="H150" s="229">
        <f t="shared" si="16"/>
        <v>39.3125</v>
      </c>
      <c r="I150" s="230">
        <f t="shared" si="17"/>
        <v>98.28125</v>
      </c>
      <c r="J150" s="230">
        <f t="shared" si="18"/>
        <v>10.345394736842104</v>
      </c>
    </row>
    <row r="151" spans="1:10" x14ac:dyDescent="0.25">
      <c r="A151" s="227">
        <v>2323</v>
      </c>
      <c r="B151" s="227">
        <v>2.2999999999999998</v>
      </c>
      <c r="C151" s="227">
        <v>2.2999999999999998</v>
      </c>
      <c r="D151" s="226">
        <f t="shared" si="13"/>
        <v>4.5999999999999996</v>
      </c>
      <c r="E151" s="227">
        <v>2</v>
      </c>
      <c r="F151" s="227">
        <f t="shared" si="14"/>
        <v>9.1999999999999993</v>
      </c>
      <c r="G151" s="228">
        <f t="shared" si="15"/>
        <v>73.312499999999986</v>
      </c>
      <c r="H151" s="229">
        <f t="shared" si="16"/>
        <v>48.874999999999986</v>
      </c>
      <c r="I151" s="230">
        <f t="shared" si="17"/>
        <v>122.18749999999997</v>
      </c>
      <c r="J151" s="230">
        <f t="shared" si="18"/>
        <v>12.861842105263156</v>
      </c>
    </row>
    <row r="152" spans="1:10" x14ac:dyDescent="0.25">
      <c r="A152" s="227">
        <v>2219</v>
      </c>
      <c r="B152" s="227">
        <v>2.2000000000000002</v>
      </c>
      <c r="C152" s="227">
        <v>1.9</v>
      </c>
      <c r="D152" s="226">
        <f>+B152+C152</f>
        <v>4.0999999999999996</v>
      </c>
      <c r="E152" s="227">
        <v>2</v>
      </c>
      <c r="F152" s="227">
        <f>+D152*E152</f>
        <v>8.1999999999999993</v>
      </c>
      <c r="G152" s="228">
        <f>(F152/$F$18)*$G$18</f>
        <v>65.343749999999986</v>
      </c>
      <c r="H152" s="229">
        <f>(40/60)*G152</f>
        <v>43.562499999999986</v>
      </c>
      <c r="I152" s="230">
        <f>+G152+H152</f>
        <v>108.90624999999997</v>
      </c>
      <c r="J152" s="230">
        <f>+I152/9.5</f>
        <v>11.463815789473681</v>
      </c>
    </row>
    <row r="153" spans="1:10" x14ac:dyDescent="0.25">
      <c r="A153" s="227">
        <v>2718</v>
      </c>
      <c r="B153" s="227">
        <v>2.7</v>
      </c>
      <c r="C153" s="227">
        <v>1.8</v>
      </c>
      <c r="D153" s="226">
        <f>+B153+C153</f>
        <v>4.5</v>
      </c>
      <c r="E153" s="227">
        <v>2</v>
      </c>
      <c r="F153" s="227">
        <f>+D153*E153</f>
        <v>9</v>
      </c>
      <c r="G153" s="228">
        <f>(F153/$F$18)*$G$18</f>
        <v>71.71875</v>
      </c>
      <c r="H153" s="229">
        <f>(40/60)*G153</f>
        <v>47.8125</v>
      </c>
      <c r="I153" s="230">
        <f>+G153+H153</f>
        <v>119.53125</v>
      </c>
      <c r="J153" s="230">
        <f>+I153/9.5</f>
        <v>12.582236842105264</v>
      </c>
    </row>
    <row r="154" spans="1:10" x14ac:dyDescent="0.25">
      <c r="A154" s="227">
        <v>2717</v>
      </c>
      <c r="B154" s="227">
        <v>2.7</v>
      </c>
      <c r="C154" s="227">
        <v>1.7</v>
      </c>
      <c r="D154" s="226">
        <f>+B154+C154</f>
        <v>4.4000000000000004</v>
      </c>
      <c r="E154" s="227">
        <v>2</v>
      </c>
      <c r="F154" s="227">
        <f>+D154*E154</f>
        <v>8.8000000000000007</v>
      </c>
      <c r="G154" s="228">
        <f>(F154/$F$18)*$G$18</f>
        <v>70.125</v>
      </c>
      <c r="H154" s="229">
        <f>(40/60)*G154</f>
        <v>46.75</v>
      </c>
      <c r="I154" s="230">
        <f>+G154+H154</f>
        <v>116.875</v>
      </c>
      <c r="J154" s="230">
        <f>+I154/9.5</f>
        <v>12.302631578947368</v>
      </c>
    </row>
    <row r="155" spans="1:10" x14ac:dyDescent="0.25">
      <c r="A155" s="227">
        <v>1315</v>
      </c>
      <c r="B155" s="227">
        <v>1.3</v>
      </c>
      <c r="C155" s="227">
        <v>1.5</v>
      </c>
      <c r="D155" s="226">
        <f>+B155+C155</f>
        <v>2.8</v>
      </c>
      <c r="E155" s="227">
        <v>2</v>
      </c>
      <c r="F155" s="227">
        <f>+D155*E155</f>
        <v>5.6</v>
      </c>
      <c r="G155" s="228">
        <f>(F155/$F$18)*$G$18</f>
        <v>44.624999999999993</v>
      </c>
      <c r="H155" s="229">
        <f>(40/60)*G155</f>
        <v>29.749999999999993</v>
      </c>
      <c r="I155" s="230">
        <f>+G155+H155</f>
        <v>74.374999999999986</v>
      </c>
      <c r="J155" s="230">
        <f>+I155/9.5</f>
        <v>7.8289473684210513</v>
      </c>
    </row>
    <row r="156" spans="1:10" x14ac:dyDescent="0.25">
      <c r="A156" s="227">
        <v>917</v>
      </c>
      <c r="B156" s="227">
        <v>0.9</v>
      </c>
      <c r="C156" s="227">
        <v>1.7</v>
      </c>
      <c r="D156" s="226">
        <f t="shared" ref="D156:D163" si="19">+B156+C156</f>
        <v>2.6</v>
      </c>
      <c r="E156" s="227">
        <v>2</v>
      </c>
      <c r="F156" s="227">
        <f t="shared" ref="F156:F163" si="20">+D156*E156</f>
        <v>5.2</v>
      </c>
      <c r="G156" s="228">
        <f t="shared" ref="G156:G163" si="21">(F156/$F$18)*$G$18</f>
        <v>41.4375</v>
      </c>
      <c r="H156" s="229">
        <f t="shared" ref="H156:H163" si="22">(40/60)*G156</f>
        <v>27.625</v>
      </c>
      <c r="I156" s="230">
        <f t="shared" ref="I156:I163" si="23">+G156+H156</f>
        <v>69.0625</v>
      </c>
      <c r="J156" s="230">
        <f t="shared" ref="J156:J163" si="24">+I156/9.5</f>
        <v>7.2697368421052628</v>
      </c>
    </row>
    <row r="157" spans="1:10" x14ac:dyDescent="0.25">
      <c r="A157" s="227">
        <v>2927</v>
      </c>
      <c r="B157" s="227">
        <v>2.9</v>
      </c>
      <c r="C157" s="227">
        <v>2.7</v>
      </c>
      <c r="D157" s="226">
        <f t="shared" si="19"/>
        <v>5.6</v>
      </c>
      <c r="E157" s="227">
        <v>2</v>
      </c>
      <c r="F157" s="227">
        <f t="shared" si="20"/>
        <v>11.2</v>
      </c>
      <c r="G157" s="228">
        <f t="shared" si="21"/>
        <v>89.249999999999986</v>
      </c>
      <c r="H157" s="229">
        <f t="shared" si="22"/>
        <v>59.499999999999986</v>
      </c>
      <c r="I157" s="230">
        <f t="shared" si="23"/>
        <v>148.74999999999997</v>
      </c>
      <c r="J157" s="230">
        <f t="shared" si="24"/>
        <v>15.657894736842103</v>
      </c>
    </row>
    <row r="158" spans="1:10" x14ac:dyDescent="0.25">
      <c r="A158" s="227">
        <v>1621</v>
      </c>
      <c r="B158" s="227">
        <v>1.6</v>
      </c>
      <c r="C158" s="227">
        <v>2.1</v>
      </c>
      <c r="D158" s="226">
        <f t="shared" si="19"/>
        <v>3.7</v>
      </c>
      <c r="E158" s="227">
        <v>2</v>
      </c>
      <c r="F158" s="227">
        <f t="shared" si="20"/>
        <v>7.4</v>
      </c>
      <c r="G158" s="228">
        <f t="shared" si="21"/>
        <v>58.96875</v>
      </c>
      <c r="H158" s="229">
        <f t="shared" si="22"/>
        <v>39.3125</v>
      </c>
      <c r="I158" s="230">
        <f t="shared" si="23"/>
        <v>98.28125</v>
      </c>
      <c r="J158" s="230">
        <f t="shared" si="24"/>
        <v>10.345394736842104</v>
      </c>
    </row>
    <row r="159" spans="1:10" x14ac:dyDescent="0.25">
      <c r="A159" s="227">
        <v>2527</v>
      </c>
      <c r="B159" s="227">
        <v>2.5</v>
      </c>
      <c r="C159" s="227">
        <v>2.7</v>
      </c>
      <c r="D159" s="226">
        <f t="shared" si="19"/>
        <v>5.2</v>
      </c>
      <c r="E159" s="227">
        <v>2</v>
      </c>
      <c r="F159" s="227">
        <f t="shared" si="20"/>
        <v>10.4</v>
      </c>
      <c r="G159" s="228">
        <f t="shared" si="21"/>
        <v>82.875</v>
      </c>
      <c r="H159" s="229">
        <f t="shared" si="22"/>
        <v>55.25</v>
      </c>
      <c r="I159" s="230">
        <f t="shared" si="23"/>
        <v>138.125</v>
      </c>
      <c r="J159" s="230">
        <f t="shared" si="24"/>
        <v>14.539473684210526</v>
      </c>
    </row>
    <row r="160" spans="1:10" x14ac:dyDescent="0.25">
      <c r="A160" s="227">
        <v>913</v>
      </c>
      <c r="B160" s="227">
        <v>0.9</v>
      </c>
      <c r="C160" s="227">
        <v>1.3</v>
      </c>
      <c r="D160" s="226">
        <f t="shared" si="19"/>
        <v>2.2000000000000002</v>
      </c>
      <c r="E160" s="227">
        <v>2</v>
      </c>
      <c r="F160" s="227">
        <f t="shared" si="20"/>
        <v>4.4000000000000004</v>
      </c>
      <c r="G160" s="228">
        <f t="shared" si="21"/>
        <v>35.0625</v>
      </c>
      <c r="H160" s="229">
        <f t="shared" si="22"/>
        <v>23.375</v>
      </c>
      <c r="I160" s="230">
        <f t="shared" si="23"/>
        <v>58.4375</v>
      </c>
      <c r="J160" s="230">
        <f t="shared" si="24"/>
        <v>6.1513157894736841</v>
      </c>
    </row>
    <row r="161" spans="1:10" x14ac:dyDescent="0.25">
      <c r="A161" s="227">
        <v>2028</v>
      </c>
      <c r="B161" s="227">
        <v>2</v>
      </c>
      <c r="C161" s="227">
        <v>2.8</v>
      </c>
      <c r="D161" s="226">
        <f t="shared" si="19"/>
        <v>4.8</v>
      </c>
      <c r="E161" s="227">
        <v>2</v>
      </c>
      <c r="F161" s="227">
        <f t="shared" si="20"/>
        <v>9.6</v>
      </c>
      <c r="G161" s="228">
        <f t="shared" si="21"/>
        <v>76.499999999999986</v>
      </c>
      <c r="H161" s="229">
        <f t="shared" si="22"/>
        <v>50.999999999999986</v>
      </c>
      <c r="I161" s="230">
        <f t="shared" si="23"/>
        <v>127.49999999999997</v>
      </c>
      <c r="J161" s="230">
        <f t="shared" si="24"/>
        <v>13.421052631578945</v>
      </c>
    </row>
    <row r="162" spans="1:10" x14ac:dyDescent="0.25">
      <c r="A162" s="227">
        <v>3226</v>
      </c>
      <c r="B162" s="227">
        <v>3.2</v>
      </c>
      <c r="C162" s="227">
        <v>2.6</v>
      </c>
      <c r="D162" s="226">
        <f t="shared" si="19"/>
        <v>5.8000000000000007</v>
      </c>
      <c r="E162" s="227">
        <v>2</v>
      </c>
      <c r="F162" s="227">
        <f t="shared" si="20"/>
        <v>11.600000000000001</v>
      </c>
      <c r="G162" s="228">
        <f t="shared" si="21"/>
        <v>92.437500000000014</v>
      </c>
      <c r="H162" s="229">
        <f t="shared" si="22"/>
        <v>61.625000000000007</v>
      </c>
      <c r="I162" s="230">
        <f t="shared" si="23"/>
        <v>154.06250000000003</v>
      </c>
      <c r="J162" s="230">
        <f t="shared" si="24"/>
        <v>16.217105263157897</v>
      </c>
    </row>
    <row r="163" spans="1:10" x14ac:dyDescent="0.25">
      <c r="A163" s="227">
        <v>2419</v>
      </c>
      <c r="B163" s="227">
        <v>2.4</v>
      </c>
      <c r="C163" s="227">
        <v>1.9</v>
      </c>
      <c r="D163" s="226">
        <f t="shared" si="19"/>
        <v>4.3</v>
      </c>
      <c r="E163" s="227">
        <v>2</v>
      </c>
      <c r="F163" s="227">
        <f t="shared" si="20"/>
        <v>8.6</v>
      </c>
      <c r="G163" s="228">
        <f t="shared" si="21"/>
        <v>68.531249999999986</v>
      </c>
      <c r="H163" s="229">
        <f t="shared" si="22"/>
        <v>45.687499999999986</v>
      </c>
      <c r="I163" s="230">
        <f t="shared" si="23"/>
        <v>114.21874999999997</v>
      </c>
      <c r="J163" s="230">
        <f t="shared" si="24"/>
        <v>12.023026315789471</v>
      </c>
    </row>
    <row r="164" spans="1:10" x14ac:dyDescent="0.25">
      <c r="A164" s="227">
        <v>1518</v>
      </c>
      <c r="B164" s="227">
        <v>1.5</v>
      </c>
      <c r="C164" s="227">
        <v>1.8</v>
      </c>
      <c r="D164" s="226">
        <f>+B164+C164</f>
        <v>3.3</v>
      </c>
      <c r="E164" s="227">
        <v>2</v>
      </c>
      <c r="F164" s="227">
        <f>+D164*E164</f>
        <v>6.6</v>
      </c>
      <c r="G164" s="228">
        <f>(F164/$F$18)*$G$18</f>
        <v>52.593749999999986</v>
      </c>
      <c r="H164" s="229">
        <f>(40/60)*G164</f>
        <v>35.062499999999986</v>
      </c>
      <c r="I164" s="230">
        <f>+G164+H164</f>
        <v>87.656249999999972</v>
      </c>
      <c r="J164" s="230">
        <f>+I164/9.5</f>
        <v>9.2269736842105239</v>
      </c>
    </row>
    <row r="165" spans="1:10" x14ac:dyDescent="0.25">
      <c r="A165" s="227">
        <v>2216</v>
      </c>
      <c r="B165" s="227">
        <v>2.2000000000000002</v>
      </c>
      <c r="C165" s="227">
        <v>1.6</v>
      </c>
      <c r="D165" s="226">
        <f t="shared" ref="D165:D182" si="25">+B165+C165</f>
        <v>3.8000000000000003</v>
      </c>
      <c r="E165" s="227">
        <v>2</v>
      </c>
      <c r="F165" s="227">
        <f t="shared" ref="F165:F182" si="26">+D165*E165</f>
        <v>7.6000000000000005</v>
      </c>
      <c r="G165" s="228">
        <f t="shared" ref="G165:G182" si="27">(F165/$F$18)*$G$18</f>
        <v>60.5625</v>
      </c>
      <c r="H165" s="229">
        <f t="shared" ref="H165:H182" si="28">(40/60)*G165</f>
        <v>40.375</v>
      </c>
      <c r="I165" s="230">
        <f t="shared" ref="I165:I182" si="29">+G165+H165</f>
        <v>100.9375</v>
      </c>
      <c r="J165" s="230">
        <f t="shared" ref="J165:J182" si="30">+I165/9.5</f>
        <v>10.625</v>
      </c>
    </row>
    <row r="166" spans="1:10" x14ac:dyDescent="0.25">
      <c r="A166" s="227">
        <v>2214</v>
      </c>
      <c r="B166" s="227">
        <v>2.2000000000000002</v>
      </c>
      <c r="C166" s="227">
        <v>1.4</v>
      </c>
      <c r="D166" s="226">
        <f t="shared" si="25"/>
        <v>3.6</v>
      </c>
      <c r="E166" s="227">
        <v>2</v>
      </c>
      <c r="F166" s="227">
        <f t="shared" si="26"/>
        <v>7.2</v>
      </c>
      <c r="G166" s="228">
        <f t="shared" si="27"/>
        <v>57.375</v>
      </c>
      <c r="H166" s="229">
        <f t="shared" si="28"/>
        <v>38.25</v>
      </c>
      <c r="I166" s="230">
        <f t="shared" si="29"/>
        <v>95.625</v>
      </c>
      <c r="J166" s="230">
        <f t="shared" si="30"/>
        <v>10.065789473684211</v>
      </c>
    </row>
    <row r="167" spans="1:10" x14ac:dyDescent="0.25">
      <c r="A167" s="227">
        <v>1722</v>
      </c>
      <c r="B167" s="227">
        <v>1.7</v>
      </c>
      <c r="C167" s="227">
        <v>2.2000000000000002</v>
      </c>
      <c r="D167" s="226">
        <f t="shared" si="25"/>
        <v>3.9000000000000004</v>
      </c>
      <c r="E167" s="227">
        <v>2</v>
      </c>
      <c r="F167" s="227">
        <f t="shared" si="26"/>
        <v>7.8000000000000007</v>
      </c>
      <c r="G167" s="228">
        <f t="shared" si="27"/>
        <v>62.15625</v>
      </c>
      <c r="H167" s="229">
        <f t="shared" si="28"/>
        <v>41.4375</v>
      </c>
      <c r="I167" s="230">
        <f t="shared" si="29"/>
        <v>103.59375</v>
      </c>
      <c r="J167" s="230">
        <f t="shared" si="30"/>
        <v>10.904605263157896</v>
      </c>
    </row>
    <row r="168" spans="1:10" x14ac:dyDescent="0.25">
      <c r="A168" s="227">
        <v>1313</v>
      </c>
      <c r="B168" s="227">
        <v>1.3</v>
      </c>
      <c r="C168" s="227">
        <v>1.3</v>
      </c>
      <c r="D168" s="226">
        <f t="shared" si="25"/>
        <v>2.6</v>
      </c>
      <c r="E168" s="227">
        <v>2</v>
      </c>
      <c r="F168" s="227">
        <f t="shared" si="26"/>
        <v>5.2</v>
      </c>
      <c r="G168" s="228">
        <f t="shared" si="27"/>
        <v>41.4375</v>
      </c>
      <c r="H168" s="229">
        <f t="shared" si="28"/>
        <v>27.625</v>
      </c>
      <c r="I168" s="230">
        <f t="shared" si="29"/>
        <v>69.0625</v>
      </c>
      <c r="J168" s="230">
        <f t="shared" si="30"/>
        <v>7.2697368421052628</v>
      </c>
    </row>
    <row r="169" spans="1:10" x14ac:dyDescent="0.25">
      <c r="A169" s="227">
        <v>1419</v>
      </c>
      <c r="B169" s="227">
        <v>1.4</v>
      </c>
      <c r="C169" s="227">
        <v>1.9</v>
      </c>
      <c r="D169" s="226">
        <f t="shared" si="25"/>
        <v>3.3</v>
      </c>
      <c r="E169" s="227">
        <v>2</v>
      </c>
      <c r="F169" s="227">
        <f t="shared" si="26"/>
        <v>6.6</v>
      </c>
      <c r="G169" s="228">
        <f t="shared" si="27"/>
        <v>52.593749999999986</v>
      </c>
      <c r="H169" s="229">
        <f t="shared" si="28"/>
        <v>35.062499999999986</v>
      </c>
      <c r="I169" s="230">
        <f t="shared" si="29"/>
        <v>87.656249999999972</v>
      </c>
      <c r="J169" s="230">
        <f t="shared" si="30"/>
        <v>9.2269736842105239</v>
      </c>
    </row>
    <row r="170" spans="1:10" x14ac:dyDescent="0.25">
      <c r="A170" s="227">
        <v>2136</v>
      </c>
      <c r="B170" s="227">
        <v>2.1</v>
      </c>
      <c r="C170" s="227">
        <v>3.6</v>
      </c>
      <c r="D170" s="226">
        <f t="shared" si="25"/>
        <v>5.7</v>
      </c>
      <c r="E170" s="227">
        <v>2</v>
      </c>
      <c r="F170" s="227">
        <f t="shared" si="26"/>
        <v>11.4</v>
      </c>
      <c r="G170" s="228">
        <f t="shared" si="27"/>
        <v>90.84375</v>
      </c>
      <c r="H170" s="229">
        <f t="shared" si="28"/>
        <v>60.5625</v>
      </c>
      <c r="I170" s="230">
        <f t="shared" si="29"/>
        <v>151.40625</v>
      </c>
      <c r="J170" s="230">
        <f t="shared" si="30"/>
        <v>15.9375</v>
      </c>
    </row>
    <row r="171" spans="1:10" x14ac:dyDescent="0.25">
      <c r="A171" s="227">
        <v>1825</v>
      </c>
      <c r="B171" s="227">
        <v>1.8</v>
      </c>
      <c r="C171" s="227">
        <v>2.5</v>
      </c>
      <c r="D171" s="226">
        <f t="shared" si="25"/>
        <v>4.3</v>
      </c>
      <c r="E171" s="227">
        <v>2</v>
      </c>
      <c r="F171" s="227">
        <f t="shared" si="26"/>
        <v>8.6</v>
      </c>
      <c r="G171" s="228">
        <f t="shared" si="27"/>
        <v>68.531249999999986</v>
      </c>
      <c r="H171" s="229">
        <f t="shared" si="28"/>
        <v>45.687499999999986</v>
      </c>
      <c r="I171" s="230">
        <f t="shared" si="29"/>
        <v>114.21874999999997</v>
      </c>
      <c r="J171" s="230">
        <f t="shared" si="30"/>
        <v>12.023026315789471</v>
      </c>
    </row>
    <row r="172" spans="1:10" x14ac:dyDescent="0.25">
      <c r="A172" s="227">
        <v>1821</v>
      </c>
      <c r="B172" s="227">
        <v>1.8</v>
      </c>
      <c r="C172" s="227">
        <v>2.1</v>
      </c>
      <c r="D172" s="226">
        <f t="shared" si="25"/>
        <v>3.9000000000000004</v>
      </c>
      <c r="E172" s="227">
        <v>2</v>
      </c>
      <c r="F172" s="227">
        <f t="shared" si="26"/>
        <v>7.8000000000000007</v>
      </c>
      <c r="G172" s="228">
        <f t="shared" si="27"/>
        <v>62.15625</v>
      </c>
      <c r="H172" s="229">
        <f t="shared" si="28"/>
        <v>41.4375</v>
      </c>
      <c r="I172" s="230">
        <f t="shared" si="29"/>
        <v>103.59375</v>
      </c>
      <c r="J172" s="230">
        <f t="shared" si="30"/>
        <v>10.904605263157896</v>
      </c>
    </row>
    <row r="173" spans="1:10" x14ac:dyDescent="0.25">
      <c r="A173" s="227">
        <v>1413</v>
      </c>
      <c r="B173" s="227">
        <v>1.4</v>
      </c>
      <c r="C173" s="227">
        <v>1.3</v>
      </c>
      <c r="D173" s="226">
        <f t="shared" si="25"/>
        <v>2.7</v>
      </c>
      <c r="E173" s="227">
        <v>2</v>
      </c>
      <c r="F173" s="227">
        <f t="shared" si="26"/>
        <v>5.4</v>
      </c>
      <c r="G173" s="228">
        <f t="shared" si="27"/>
        <v>43.03125</v>
      </c>
      <c r="H173" s="229">
        <f t="shared" si="28"/>
        <v>28.6875</v>
      </c>
      <c r="I173" s="230">
        <f t="shared" si="29"/>
        <v>71.71875</v>
      </c>
      <c r="J173" s="230">
        <f t="shared" si="30"/>
        <v>7.5493421052631575</v>
      </c>
    </row>
    <row r="174" spans="1:10" x14ac:dyDescent="0.25">
      <c r="A174" s="227">
        <v>2130</v>
      </c>
      <c r="B174" s="227">
        <v>2.1</v>
      </c>
      <c r="C174" s="227">
        <v>3</v>
      </c>
      <c r="D174" s="226">
        <f t="shared" si="25"/>
        <v>5.0999999999999996</v>
      </c>
      <c r="E174" s="227">
        <v>2</v>
      </c>
      <c r="F174" s="227">
        <f t="shared" si="26"/>
        <v>10.199999999999999</v>
      </c>
      <c r="G174" s="228">
        <f t="shared" si="27"/>
        <v>81.281249999999986</v>
      </c>
      <c r="H174" s="229">
        <f t="shared" si="28"/>
        <v>54.187499999999986</v>
      </c>
      <c r="I174" s="230">
        <f t="shared" si="29"/>
        <v>135.46874999999997</v>
      </c>
      <c r="J174" s="230">
        <f t="shared" si="30"/>
        <v>14.259868421052628</v>
      </c>
    </row>
    <row r="175" spans="1:10" x14ac:dyDescent="0.25">
      <c r="A175" s="227">
        <v>1625</v>
      </c>
      <c r="B175" s="227">
        <v>1.6</v>
      </c>
      <c r="C175" s="227">
        <v>2.5</v>
      </c>
      <c r="D175" s="226">
        <f t="shared" si="25"/>
        <v>4.0999999999999996</v>
      </c>
      <c r="E175" s="227">
        <v>2</v>
      </c>
      <c r="F175" s="227">
        <f t="shared" si="26"/>
        <v>8.1999999999999993</v>
      </c>
      <c r="G175" s="228">
        <f t="shared" si="27"/>
        <v>65.343749999999986</v>
      </c>
      <c r="H175" s="229">
        <f t="shared" si="28"/>
        <v>43.562499999999986</v>
      </c>
      <c r="I175" s="230">
        <f t="shared" si="29"/>
        <v>108.90624999999997</v>
      </c>
      <c r="J175" s="230">
        <f t="shared" si="30"/>
        <v>11.463815789473681</v>
      </c>
    </row>
    <row r="176" spans="1:10" x14ac:dyDescent="0.25">
      <c r="A176" s="227">
        <v>1923</v>
      </c>
      <c r="B176" s="227">
        <v>1.9</v>
      </c>
      <c r="C176" s="227">
        <v>2.2999999999999998</v>
      </c>
      <c r="D176" s="226">
        <f t="shared" si="25"/>
        <v>4.1999999999999993</v>
      </c>
      <c r="E176" s="227">
        <v>2</v>
      </c>
      <c r="F176" s="227">
        <f t="shared" si="26"/>
        <v>8.3999999999999986</v>
      </c>
      <c r="G176" s="228">
        <f t="shared" si="27"/>
        <v>66.937499999999986</v>
      </c>
      <c r="H176" s="229">
        <f t="shared" si="28"/>
        <v>44.624999999999986</v>
      </c>
      <c r="I176" s="230">
        <f t="shared" si="29"/>
        <v>111.56249999999997</v>
      </c>
      <c r="J176" s="230">
        <f t="shared" si="30"/>
        <v>11.743421052631575</v>
      </c>
    </row>
    <row r="177" spans="1:10" x14ac:dyDescent="0.25">
      <c r="A177" s="227">
        <v>2819</v>
      </c>
      <c r="B177" s="227">
        <v>2.8</v>
      </c>
      <c r="C177" s="227">
        <v>1.9</v>
      </c>
      <c r="D177" s="226">
        <f t="shared" si="25"/>
        <v>4.6999999999999993</v>
      </c>
      <c r="E177" s="227">
        <v>2</v>
      </c>
      <c r="F177" s="227">
        <f t="shared" si="26"/>
        <v>9.3999999999999986</v>
      </c>
      <c r="G177" s="228">
        <f t="shared" si="27"/>
        <v>74.906249999999986</v>
      </c>
      <c r="H177" s="229">
        <f t="shared" si="28"/>
        <v>49.937499999999986</v>
      </c>
      <c r="I177" s="230">
        <f t="shared" si="29"/>
        <v>124.84374999999997</v>
      </c>
      <c r="J177" s="230">
        <f t="shared" si="30"/>
        <v>13.14144736842105</v>
      </c>
    </row>
    <row r="178" spans="1:10" x14ac:dyDescent="0.25">
      <c r="A178" s="227">
        <v>2024</v>
      </c>
      <c r="B178" s="227">
        <v>2</v>
      </c>
      <c r="C178" s="227">
        <v>2.4</v>
      </c>
      <c r="D178" s="226">
        <f t="shared" si="25"/>
        <v>4.4000000000000004</v>
      </c>
      <c r="E178" s="227">
        <v>2</v>
      </c>
      <c r="F178" s="227">
        <f t="shared" si="26"/>
        <v>8.8000000000000007</v>
      </c>
      <c r="G178" s="228">
        <f t="shared" si="27"/>
        <v>70.125</v>
      </c>
      <c r="H178" s="229">
        <f t="shared" si="28"/>
        <v>46.75</v>
      </c>
      <c r="I178" s="230">
        <f t="shared" si="29"/>
        <v>116.875</v>
      </c>
      <c r="J178" s="230">
        <f t="shared" si="30"/>
        <v>12.302631578947368</v>
      </c>
    </row>
    <row r="179" spans="1:10" x14ac:dyDescent="0.25">
      <c r="A179" s="227">
        <v>1724</v>
      </c>
      <c r="B179" s="227">
        <v>1.7</v>
      </c>
      <c r="C179" s="227">
        <v>2.4</v>
      </c>
      <c r="D179" s="226">
        <f t="shared" si="25"/>
        <v>4.0999999999999996</v>
      </c>
      <c r="E179" s="227">
        <v>2</v>
      </c>
      <c r="F179" s="227">
        <f t="shared" si="26"/>
        <v>8.1999999999999993</v>
      </c>
      <c r="G179" s="228">
        <f t="shared" si="27"/>
        <v>65.343749999999986</v>
      </c>
      <c r="H179" s="229">
        <f t="shared" si="28"/>
        <v>43.562499999999986</v>
      </c>
      <c r="I179" s="230">
        <f t="shared" si="29"/>
        <v>108.90624999999997</v>
      </c>
      <c r="J179" s="230">
        <f t="shared" si="30"/>
        <v>11.463815789473681</v>
      </c>
    </row>
    <row r="180" spans="1:10" x14ac:dyDescent="0.25">
      <c r="A180" s="227">
        <v>1713</v>
      </c>
      <c r="B180" s="227">
        <v>1.7</v>
      </c>
      <c r="C180" s="227">
        <v>2.2999999999999998</v>
      </c>
      <c r="D180" s="226">
        <f t="shared" si="25"/>
        <v>4</v>
      </c>
      <c r="E180" s="227">
        <v>2</v>
      </c>
      <c r="F180" s="227">
        <f t="shared" si="26"/>
        <v>8</v>
      </c>
      <c r="G180" s="228">
        <f t="shared" si="27"/>
        <v>63.75</v>
      </c>
      <c r="H180" s="229">
        <f t="shared" si="28"/>
        <v>42.5</v>
      </c>
      <c r="I180" s="230">
        <f t="shared" si="29"/>
        <v>106.25</v>
      </c>
      <c r="J180" s="230">
        <f t="shared" si="30"/>
        <v>11.184210526315789</v>
      </c>
    </row>
    <row r="181" spans="1:10" x14ac:dyDescent="0.25">
      <c r="A181" s="227">
        <v>1619</v>
      </c>
      <c r="B181" s="227">
        <v>1.6</v>
      </c>
      <c r="C181" s="227">
        <v>1.9</v>
      </c>
      <c r="D181" s="226">
        <f t="shared" si="25"/>
        <v>3.5</v>
      </c>
      <c r="E181" s="227">
        <v>2</v>
      </c>
      <c r="F181" s="227">
        <f t="shared" si="26"/>
        <v>7</v>
      </c>
      <c r="G181" s="228">
        <f t="shared" si="27"/>
        <v>55.78125</v>
      </c>
      <c r="H181" s="229">
        <f t="shared" si="28"/>
        <v>37.1875</v>
      </c>
      <c r="I181" s="230">
        <f t="shared" si="29"/>
        <v>92.96875</v>
      </c>
      <c r="J181" s="230">
        <f t="shared" si="30"/>
        <v>9.786184210526315</v>
      </c>
    </row>
    <row r="182" spans="1:10" x14ac:dyDescent="0.25">
      <c r="A182" s="227">
        <v>1519</v>
      </c>
      <c r="B182" s="227">
        <v>1.5</v>
      </c>
      <c r="C182" s="227">
        <v>1.9</v>
      </c>
      <c r="D182" s="226">
        <f t="shared" si="25"/>
        <v>3.4</v>
      </c>
      <c r="E182" s="227">
        <v>2</v>
      </c>
      <c r="F182" s="227">
        <f t="shared" si="26"/>
        <v>6.8</v>
      </c>
      <c r="G182" s="228">
        <f t="shared" si="27"/>
        <v>54.1875</v>
      </c>
      <c r="H182" s="229">
        <f t="shared" si="28"/>
        <v>36.125</v>
      </c>
      <c r="I182" s="230">
        <f t="shared" si="29"/>
        <v>90.3125</v>
      </c>
      <c r="J182" s="230">
        <f t="shared" si="30"/>
        <v>9.5065789473684212</v>
      </c>
    </row>
    <row r="183" spans="1:10" x14ac:dyDescent="0.25">
      <c r="A183" s="227">
        <v>1813</v>
      </c>
      <c r="B183" s="227">
        <v>1.8</v>
      </c>
      <c r="C183" s="227">
        <v>1.3</v>
      </c>
      <c r="D183" s="226">
        <f>+B183+C183</f>
        <v>3.1</v>
      </c>
      <c r="E183" s="227">
        <v>2</v>
      </c>
      <c r="F183" s="227">
        <f>+D183*E183</f>
        <v>6.2</v>
      </c>
      <c r="G183" s="228">
        <f>(F183/$F$18)*$G$18</f>
        <v>49.40625</v>
      </c>
      <c r="H183" s="229">
        <f>(40/60)*G183</f>
        <v>32.9375</v>
      </c>
      <c r="I183" s="230">
        <f>+G183+H183</f>
        <v>82.34375</v>
      </c>
      <c r="J183" s="230">
        <f>+I183/9.5</f>
        <v>8.6677631578947363</v>
      </c>
    </row>
    <row r="184" spans="1:10" x14ac:dyDescent="0.25">
      <c r="A184" s="227">
        <v>2240</v>
      </c>
      <c r="B184" s="227">
        <v>2.2000000000000002</v>
      </c>
      <c r="C184" s="227">
        <v>4</v>
      </c>
      <c r="D184" s="226">
        <f t="shared" ref="D184:D247" si="31">+B184+C184</f>
        <v>6.2</v>
      </c>
      <c r="E184" s="227">
        <v>2</v>
      </c>
      <c r="F184" s="227">
        <f t="shared" ref="F184:F195" si="32">+D184*E184</f>
        <v>12.4</v>
      </c>
      <c r="G184" s="228">
        <f t="shared" ref="G184:G195" si="33">(F184/$F$18)*$G$18</f>
        <v>98.8125</v>
      </c>
      <c r="H184" s="229">
        <f t="shared" ref="H184:H195" si="34">(40/60)*G184</f>
        <v>65.875</v>
      </c>
      <c r="I184" s="230">
        <f t="shared" ref="I184:I195" si="35">+G184+H184</f>
        <v>164.6875</v>
      </c>
      <c r="J184" s="230">
        <f t="shared" ref="J184:J195" si="36">+I184/9.5</f>
        <v>17.335526315789473</v>
      </c>
    </row>
    <row r="185" spans="1:10" x14ac:dyDescent="0.25">
      <c r="A185" s="227">
        <v>1228</v>
      </c>
      <c r="B185" s="227">
        <v>1.2</v>
      </c>
      <c r="C185" s="227">
        <v>2.8</v>
      </c>
      <c r="D185" s="226">
        <f t="shared" si="31"/>
        <v>4</v>
      </c>
      <c r="E185" s="227">
        <v>2</v>
      </c>
      <c r="F185" s="227">
        <f t="shared" si="32"/>
        <v>8</v>
      </c>
      <c r="G185" s="228">
        <f t="shared" si="33"/>
        <v>63.75</v>
      </c>
      <c r="H185" s="229">
        <f t="shared" si="34"/>
        <v>42.5</v>
      </c>
      <c r="I185" s="230">
        <f t="shared" si="35"/>
        <v>106.25</v>
      </c>
      <c r="J185" s="230">
        <f t="shared" si="36"/>
        <v>11.184210526315789</v>
      </c>
    </row>
    <row r="186" spans="1:10" x14ac:dyDescent="0.25">
      <c r="A186" s="227">
        <v>1914</v>
      </c>
      <c r="B186" s="227">
        <v>1.9</v>
      </c>
      <c r="C186" s="227">
        <v>1.4</v>
      </c>
      <c r="D186" s="226">
        <f t="shared" si="31"/>
        <v>3.3</v>
      </c>
      <c r="E186" s="227">
        <v>2</v>
      </c>
      <c r="F186" s="227">
        <f t="shared" si="32"/>
        <v>6.6</v>
      </c>
      <c r="G186" s="228">
        <f t="shared" si="33"/>
        <v>52.593749999999986</v>
      </c>
      <c r="H186" s="229">
        <f t="shared" si="34"/>
        <v>35.062499999999986</v>
      </c>
      <c r="I186" s="230">
        <f t="shared" si="35"/>
        <v>87.656249999999972</v>
      </c>
      <c r="J186" s="230">
        <f t="shared" si="36"/>
        <v>9.2269736842105239</v>
      </c>
    </row>
    <row r="187" spans="1:10" x14ac:dyDescent="0.25">
      <c r="A187" s="227">
        <v>1321</v>
      </c>
      <c r="B187" s="227">
        <v>1.3</v>
      </c>
      <c r="C187" s="227">
        <v>2.1</v>
      </c>
      <c r="D187" s="226">
        <f t="shared" si="31"/>
        <v>3.4000000000000004</v>
      </c>
      <c r="E187" s="227">
        <v>2</v>
      </c>
      <c r="F187" s="227">
        <f t="shared" si="32"/>
        <v>6.8000000000000007</v>
      </c>
      <c r="G187" s="228">
        <f t="shared" si="33"/>
        <v>54.1875</v>
      </c>
      <c r="H187" s="229">
        <f t="shared" si="34"/>
        <v>36.125</v>
      </c>
      <c r="I187" s="230">
        <f t="shared" si="35"/>
        <v>90.3125</v>
      </c>
      <c r="J187" s="230">
        <f t="shared" si="36"/>
        <v>9.5065789473684212</v>
      </c>
    </row>
    <row r="188" spans="1:10" x14ac:dyDescent="0.25">
      <c r="A188" s="227">
        <v>1820</v>
      </c>
      <c r="B188" s="227">
        <v>1.8</v>
      </c>
      <c r="C188" s="227">
        <v>2</v>
      </c>
      <c r="D188" s="226">
        <f t="shared" si="31"/>
        <v>3.8</v>
      </c>
      <c r="E188" s="227">
        <v>2</v>
      </c>
      <c r="F188" s="227">
        <f t="shared" si="32"/>
        <v>7.6</v>
      </c>
      <c r="G188" s="228">
        <f t="shared" si="33"/>
        <v>60.562499999999986</v>
      </c>
      <c r="H188" s="229">
        <f t="shared" si="34"/>
        <v>40.374999999999986</v>
      </c>
      <c r="I188" s="230">
        <f t="shared" si="35"/>
        <v>100.93749999999997</v>
      </c>
      <c r="J188" s="230">
        <f t="shared" si="36"/>
        <v>10.624999999999996</v>
      </c>
    </row>
    <row r="189" spans="1:10" x14ac:dyDescent="0.25">
      <c r="A189" s="227">
        <v>1927</v>
      </c>
      <c r="B189" s="227">
        <v>1.9</v>
      </c>
      <c r="C189" s="227">
        <v>2.7</v>
      </c>
      <c r="D189" s="226">
        <f t="shared" si="31"/>
        <v>4.5999999999999996</v>
      </c>
      <c r="E189" s="227">
        <v>2</v>
      </c>
      <c r="F189" s="227">
        <f t="shared" si="32"/>
        <v>9.1999999999999993</v>
      </c>
      <c r="G189" s="228">
        <f t="shared" si="33"/>
        <v>73.312499999999986</v>
      </c>
      <c r="H189" s="229">
        <f t="shared" si="34"/>
        <v>48.874999999999986</v>
      </c>
      <c r="I189" s="230">
        <f t="shared" si="35"/>
        <v>122.18749999999997</v>
      </c>
      <c r="J189" s="230">
        <f t="shared" si="36"/>
        <v>12.861842105263156</v>
      </c>
    </row>
    <row r="190" spans="1:10" x14ac:dyDescent="0.25">
      <c r="A190" s="227">
        <v>2422</v>
      </c>
      <c r="B190" s="227">
        <v>2.4</v>
      </c>
      <c r="C190" s="227">
        <v>2.2000000000000002</v>
      </c>
      <c r="D190" s="226">
        <f t="shared" si="31"/>
        <v>4.5999999999999996</v>
      </c>
      <c r="E190" s="227">
        <v>2</v>
      </c>
      <c r="F190" s="227">
        <f t="shared" si="32"/>
        <v>9.1999999999999993</v>
      </c>
      <c r="G190" s="228">
        <f t="shared" si="33"/>
        <v>73.312499999999986</v>
      </c>
      <c r="H190" s="229">
        <f t="shared" si="34"/>
        <v>48.874999999999986</v>
      </c>
      <c r="I190" s="230">
        <f t="shared" si="35"/>
        <v>122.18749999999997</v>
      </c>
      <c r="J190" s="230">
        <f t="shared" si="36"/>
        <v>12.861842105263156</v>
      </c>
    </row>
    <row r="191" spans="1:10" x14ac:dyDescent="0.25">
      <c r="A191" s="227">
        <v>1322</v>
      </c>
      <c r="B191" s="227">
        <v>1.3</v>
      </c>
      <c r="C191" s="227">
        <v>2.2000000000000002</v>
      </c>
      <c r="D191" s="226">
        <f t="shared" si="31"/>
        <v>3.5</v>
      </c>
      <c r="E191" s="227">
        <v>2</v>
      </c>
      <c r="F191" s="227">
        <f t="shared" si="32"/>
        <v>7</v>
      </c>
      <c r="G191" s="228">
        <f t="shared" si="33"/>
        <v>55.78125</v>
      </c>
      <c r="H191" s="229">
        <f t="shared" si="34"/>
        <v>37.1875</v>
      </c>
      <c r="I191" s="230">
        <f t="shared" si="35"/>
        <v>92.96875</v>
      </c>
      <c r="J191" s="230">
        <f t="shared" si="36"/>
        <v>9.786184210526315</v>
      </c>
    </row>
    <row r="192" spans="1:10" x14ac:dyDescent="0.25">
      <c r="A192" s="227">
        <v>1327</v>
      </c>
      <c r="B192" s="227">
        <v>1.3</v>
      </c>
      <c r="C192" s="227">
        <v>2.7</v>
      </c>
      <c r="D192" s="226">
        <f t="shared" si="31"/>
        <v>4</v>
      </c>
      <c r="E192" s="227">
        <v>2</v>
      </c>
      <c r="F192" s="227">
        <f t="shared" si="32"/>
        <v>8</v>
      </c>
      <c r="G192" s="228">
        <f t="shared" si="33"/>
        <v>63.75</v>
      </c>
      <c r="H192" s="229">
        <f t="shared" si="34"/>
        <v>42.5</v>
      </c>
      <c r="I192" s="230">
        <f t="shared" si="35"/>
        <v>106.25</v>
      </c>
      <c r="J192" s="230">
        <f t="shared" si="36"/>
        <v>11.184210526315789</v>
      </c>
    </row>
    <row r="193" spans="1:10" x14ac:dyDescent="0.25">
      <c r="A193" s="227">
        <v>2236</v>
      </c>
      <c r="B193" s="227">
        <v>2.2000000000000002</v>
      </c>
      <c r="C193" s="227">
        <v>3.6</v>
      </c>
      <c r="D193" s="226">
        <f t="shared" si="31"/>
        <v>5.8000000000000007</v>
      </c>
      <c r="E193" s="227">
        <v>2</v>
      </c>
      <c r="F193" s="227">
        <f t="shared" si="32"/>
        <v>11.600000000000001</v>
      </c>
      <c r="G193" s="228">
        <f t="shared" si="33"/>
        <v>92.437500000000014</v>
      </c>
      <c r="H193" s="229">
        <f t="shared" si="34"/>
        <v>61.625000000000007</v>
      </c>
      <c r="I193" s="230">
        <f t="shared" si="35"/>
        <v>154.06250000000003</v>
      </c>
      <c r="J193" s="230">
        <f t="shared" si="36"/>
        <v>16.217105263157897</v>
      </c>
    </row>
    <row r="194" spans="1:10" x14ac:dyDescent="0.25">
      <c r="A194" s="227">
        <v>2145</v>
      </c>
      <c r="B194" s="227">
        <v>2.1</v>
      </c>
      <c r="C194" s="227">
        <v>4.5</v>
      </c>
      <c r="D194" s="226">
        <f t="shared" si="31"/>
        <v>6.6</v>
      </c>
      <c r="E194" s="227">
        <v>2</v>
      </c>
      <c r="F194" s="227">
        <f t="shared" si="32"/>
        <v>13.2</v>
      </c>
      <c r="G194" s="228">
        <f t="shared" si="33"/>
        <v>105.18749999999997</v>
      </c>
      <c r="H194" s="229">
        <f t="shared" si="34"/>
        <v>70.124999999999972</v>
      </c>
      <c r="I194" s="230">
        <f t="shared" si="35"/>
        <v>175.31249999999994</v>
      </c>
      <c r="J194" s="230">
        <f t="shared" si="36"/>
        <v>18.453947368421048</v>
      </c>
    </row>
    <row r="195" spans="1:10" x14ac:dyDescent="0.25">
      <c r="A195" s="227">
        <v>1624</v>
      </c>
      <c r="B195" s="227">
        <v>1.6</v>
      </c>
      <c r="C195" s="227">
        <v>2.4</v>
      </c>
      <c r="D195" s="226">
        <f t="shared" si="31"/>
        <v>4</v>
      </c>
      <c r="E195" s="227">
        <v>2</v>
      </c>
      <c r="F195" s="227">
        <f t="shared" si="32"/>
        <v>8</v>
      </c>
      <c r="G195" s="228">
        <f t="shared" si="33"/>
        <v>63.75</v>
      </c>
      <c r="H195" s="229">
        <f t="shared" si="34"/>
        <v>42.5</v>
      </c>
      <c r="I195" s="230">
        <f t="shared" si="35"/>
        <v>106.25</v>
      </c>
      <c r="J195" s="230">
        <f t="shared" si="36"/>
        <v>11.184210526315789</v>
      </c>
    </row>
    <row r="196" spans="1:10" x14ac:dyDescent="0.25">
      <c r="A196" s="227">
        <v>1324</v>
      </c>
      <c r="B196" s="227">
        <v>1.3</v>
      </c>
      <c r="C196" s="227">
        <v>2.4</v>
      </c>
      <c r="D196" s="226">
        <f t="shared" si="31"/>
        <v>3.7</v>
      </c>
      <c r="E196" s="227">
        <v>2</v>
      </c>
      <c r="F196" s="227">
        <f>+D196*E196</f>
        <v>7.4</v>
      </c>
      <c r="G196" s="228">
        <f>(F196/$F$18)*$G$18</f>
        <v>58.96875</v>
      </c>
      <c r="H196" s="229">
        <f>(40/60)*G196</f>
        <v>39.3125</v>
      </c>
      <c r="I196" s="230">
        <f>+G196+H196</f>
        <v>98.28125</v>
      </c>
      <c r="J196" s="230">
        <f>+I196/9.5</f>
        <v>10.345394736842104</v>
      </c>
    </row>
    <row r="197" spans="1:10" x14ac:dyDescent="0.25">
      <c r="A197" s="227">
        <v>2413</v>
      </c>
      <c r="B197" s="227">
        <v>2.4</v>
      </c>
      <c r="C197" s="227">
        <v>1.3</v>
      </c>
      <c r="D197" s="226">
        <f t="shared" si="31"/>
        <v>3.7</v>
      </c>
      <c r="E197" s="227">
        <v>2</v>
      </c>
      <c r="F197" s="227">
        <f t="shared" ref="F197:F260" si="37">+D197*E197</f>
        <v>7.4</v>
      </c>
      <c r="G197" s="228">
        <f t="shared" ref="G197:G260" si="38">(F197/$F$18)*$G$18</f>
        <v>58.96875</v>
      </c>
      <c r="H197" s="229">
        <f t="shared" ref="H197:H260" si="39">(40/60)*G197</f>
        <v>39.3125</v>
      </c>
      <c r="I197" s="230">
        <f t="shared" ref="I197:I260" si="40">+G197+H197</f>
        <v>98.28125</v>
      </c>
      <c r="J197" s="230">
        <f t="shared" ref="J197:J260" si="41">+I197/9.5</f>
        <v>10.345394736842104</v>
      </c>
    </row>
    <row r="198" spans="1:10" x14ac:dyDescent="0.25">
      <c r="A198" s="227">
        <v>917</v>
      </c>
      <c r="B198" s="227">
        <v>0.9</v>
      </c>
      <c r="C198" s="227">
        <v>1.7</v>
      </c>
      <c r="D198" s="226">
        <f t="shared" si="31"/>
        <v>2.6</v>
      </c>
      <c r="E198" s="227">
        <v>2</v>
      </c>
      <c r="F198" s="227">
        <f t="shared" si="37"/>
        <v>5.2</v>
      </c>
      <c r="G198" s="228">
        <f t="shared" si="38"/>
        <v>41.4375</v>
      </c>
      <c r="H198" s="229">
        <f t="shared" si="39"/>
        <v>27.625</v>
      </c>
      <c r="I198" s="230">
        <f t="shared" si="40"/>
        <v>69.0625</v>
      </c>
      <c r="J198" s="230">
        <f t="shared" si="41"/>
        <v>7.2697368421052628</v>
      </c>
    </row>
    <row r="199" spans="1:10" x14ac:dyDescent="0.25">
      <c r="A199" s="227">
        <v>2817</v>
      </c>
      <c r="B199" s="227">
        <v>2.8</v>
      </c>
      <c r="C199" s="227">
        <v>1.7</v>
      </c>
      <c r="D199" s="226">
        <f t="shared" si="31"/>
        <v>4.5</v>
      </c>
      <c r="E199" s="227">
        <v>2</v>
      </c>
      <c r="F199" s="227">
        <f t="shared" si="37"/>
        <v>9</v>
      </c>
      <c r="G199" s="228">
        <f t="shared" si="38"/>
        <v>71.71875</v>
      </c>
      <c r="H199" s="229">
        <f t="shared" si="39"/>
        <v>47.8125</v>
      </c>
      <c r="I199" s="230">
        <f t="shared" si="40"/>
        <v>119.53125</v>
      </c>
      <c r="J199" s="230">
        <f t="shared" si="41"/>
        <v>12.582236842105264</v>
      </c>
    </row>
    <row r="200" spans="1:10" x14ac:dyDescent="0.25">
      <c r="A200" s="227">
        <v>2225</v>
      </c>
      <c r="B200" s="227">
        <v>2.2000000000000002</v>
      </c>
      <c r="C200" s="227">
        <v>2.5</v>
      </c>
      <c r="D200" s="226">
        <f t="shared" si="31"/>
        <v>4.7</v>
      </c>
      <c r="E200" s="227">
        <v>2</v>
      </c>
      <c r="F200" s="227">
        <f t="shared" si="37"/>
        <v>9.4</v>
      </c>
      <c r="G200" s="228">
        <f t="shared" si="38"/>
        <v>74.90625</v>
      </c>
      <c r="H200" s="229">
        <f t="shared" si="39"/>
        <v>49.9375</v>
      </c>
      <c r="I200" s="230">
        <f t="shared" si="40"/>
        <v>124.84375</v>
      </c>
      <c r="J200" s="230">
        <f t="shared" si="41"/>
        <v>13.141447368421053</v>
      </c>
    </row>
    <row r="201" spans="1:10" x14ac:dyDescent="0.25">
      <c r="A201" s="227">
        <v>3528</v>
      </c>
      <c r="B201" s="227">
        <v>3.5</v>
      </c>
      <c r="C201" s="227">
        <v>2.8</v>
      </c>
      <c r="D201" s="226">
        <f t="shared" si="31"/>
        <v>6.3</v>
      </c>
      <c r="E201" s="227">
        <v>2</v>
      </c>
      <c r="F201" s="227">
        <f t="shared" si="37"/>
        <v>12.6</v>
      </c>
      <c r="G201" s="228">
        <f t="shared" si="38"/>
        <v>100.40624999999999</v>
      </c>
      <c r="H201" s="229">
        <f t="shared" si="39"/>
        <v>66.937499999999986</v>
      </c>
      <c r="I201" s="230">
        <f t="shared" si="40"/>
        <v>167.34374999999997</v>
      </c>
      <c r="J201" s="230">
        <f t="shared" si="41"/>
        <v>17.615131578947366</v>
      </c>
    </row>
    <row r="202" spans="1:10" x14ac:dyDescent="0.25">
      <c r="A202" s="227">
        <v>1917</v>
      </c>
      <c r="B202" s="227">
        <v>1.9</v>
      </c>
      <c r="C202" s="227">
        <v>1.7</v>
      </c>
      <c r="D202" s="226">
        <f t="shared" si="31"/>
        <v>3.5999999999999996</v>
      </c>
      <c r="E202" s="227">
        <v>2</v>
      </c>
      <c r="F202" s="227">
        <f t="shared" si="37"/>
        <v>7.1999999999999993</v>
      </c>
      <c r="G202" s="228">
        <f t="shared" si="38"/>
        <v>57.374999999999986</v>
      </c>
      <c r="H202" s="229">
        <f t="shared" si="39"/>
        <v>38.249999999999986</v>
      </c>
      <c r="I202" s="230">
        <f t="shared" si="40"/>
        <v>95.624999999999972</v>
      </c>
      <c r="J202" s="230">
        <f t="shared" si="41"/>
        <v>10.065789473684207</v>
      </c>
    </row>
    <row r="203" spans="1:10" x14ac:dyDescent="0.25">
      <c r="A203" s="227">
        <v>2113</v>
      </c>
      <c r="B203" s="227">
        <v>2.1</v>
      </c>
      <c r="C203" s="227">
        <v>1.3</v>
      </c>
      <c r="D203" s="226">
        <f t="shared" si="31"/>
        <v>3.4000000000000004</v>
      </c>
      <c r="E203" s="227">
        <v>2</v>
      </c>
      <c r="F203" s="227">
        <f t="shared" si="37"/>
        <v>6.8000000000000007</v>
      </c>
      <c r="G203" s="228">
        <f t="shared" si="38"/>
        <v>54.1875</v>
      </c>
      <c r="H203" s="229">
        <f t="shared" si="39"/>
        <v>36.125</v>
      </c>
      <c r="I203" s="230">
        <f t="shared" si="40"/>
        <v>90.3125</v>
      </c>
      <c r="J203" s="230">
        <f t="shared" si="41"/>
        <v>9.5065789473684212</v>
      </c>
    </row>
    <row r="204" spans="1:10" x14ac:dyDescent="0.25">
      <c r="A204" s="227">
        <v>1523</v>
      </c>
      <c r="B204" s="227">
        <v>1.5</v>
      </c>
      <c r="C204" s="227">
        <v>2.2999999999999998</v>
      </c>
      <c r="D204" s="226">
        <f t="shared" si="31"/>
        <v>3.8</v>
      </c>
      <c r="E204" s="227">
        <v>2</v>
      </c>
      <c r="F204" s="227">
        <f t="shared" si="37"/>
        <v>7.6</v>
      </c>
      <c r="G204" s="228">
        <f t="shared" si="38"/>
        <v>60.562499999999986</v>
      </c>
      <c r="H204" s="229">
        <f t="shared" si="39"/>
        <v>40.374999999999986</v>
      </c>
      <c r="I204" s="230">
        <f t="shared" si="40"/>
        <v>100.93749999999997</v>
      </c>
      <c r="J204" s="230">
        <f t="shared" si="41"/>
        <v>10.624999999999996</v>
      </c>
    </row>
    <row r="205" spans="1:10" x14ac:dyDescent="0.25">
      <c r="A205" s="227">
        <v>2627</v>
      </c>
      <c r="B205" s="227">
        <v>2.6</v>
      </c>
      <c r="C205" s="227">
        <v>2.7</v>
      </c>
      <c r="D205" s="226">
        <f t="shared" si="31"/>
        <v>5.3000000000000007</v>
      </c>
      <c r="E205" s="227">
        <v>2</v>
      </c>
      <c r="F205" s="227">
        <f t="shared" si="37"/>
        <v>10.600000000000001</v>
      </c>
      <c r="G205" s="228">
        <f t="shared" si="38"/>
        <v>84.468750000000014</v>
      </c>
      <c r="H205" s="229">
        <f t="shared" si="39"/>
        <v>56.312500000000007</v>
      </c>
      <c r="I205" s="230">
        <f t="shared" si="40"/>
        <v>140.78125000000003</v>
      </c>
      <c r="J205" s="230">
        <f t="shared" si="41"/>
        <v>14.819078947368425</v>
      </c>
    </row>
    <row r="206" spans="1:10" x14ac:dyDescent="0.25">
      <c r="A206" s="227">
        <v>2914</v>
      </c>
      <c r="B206" s="227">
        <v>2.9</v>
      </c>
      <c r="C206" s="227">
        <v>1.4</v>
      </c>
      <c r="D206" s="226">
        <f t="shared" si="31"/>
        <v>4.3</v>
      </c>
      <c r="E206" s="227">
        <v>2</v>
      </c>
      <c r="F206" s="227">
        <f t="shared" si="37"/>
        <v>8.6</v>
      </c>
      <c r="G206" s="228">
        <f t="shared" si="38"/>
        <v>68.531249999999986</v>
      </c>
      <c r="H206" s="229">
        <f t="shared" si="39"/>
        <v>45.687499999999986</v>
      </c>
      <c r="I206" s="230">
        <f t="shared" si="40"/>
        <v>114.21874999999997</v>
      </c>
      <c r="J206" s="230">
        <f t="shared" si="41"/>
        <v>12.023026315789471</v>
      </c>
    </row>
    <row r="207" spans="1:10" x14ac:dyDescent="0.25">
      <c r="A207" s="227">
        <v>1524</v>
      </c>
      <c r="B207" s="227">
        <v>1.5</v>
      </c>
      <c r="C207" s="227">
        <v>2.4</v>
      </c>
      <c r="D207" s="226">
        <f t="shared" si="31"/>
        <v>3.9</v>
      </c>
      <c r="E207" s="227">
        <v>2</v>
      </c>
      <c r="F207" s="227">
        <f t="shared" si="37"/>
        <v>7.8</v>
      </c>
      <c r="G207" s="228">
        <f t="shared" si="38"/>
        <v>62.15625</v>
      </c>
      <c r="H207" s="229">
        <f t="shared" si="39"/>
        <v>41.4375</v>
      </c>
      <c r="I207" s="230">
        <f t="shared" si="40"/>
        <v>103.59375</v>
      </c>
      <c r="J207" s="230">
        <f t="shared" si="41"/>
        <v>10.904605263157896</v>
      </c>
    </row>
    <row r="208" spans="1:10" x14ac:dyDescent="0.25">
      <c r="A208" s="227">
        <v>1125</v>
      </c>
      <c r="B208" s="227">
        <v>1.1000000000000001</v>
      </c>
      <c r="C208" s="227">
        <v>2.5</v>
      </c>
      <c r="D208" s="226">
        <f t="shared" si="31"/>
        <v>3.6</v>
      </c>
      <c r="E208" s="227">
        <v>2</v>
      </c>
      <c r="F208" s="227">
        <f t="shared" si="37"/>
        <v>7.2</v>
      </c>
      <c r="G208" s="228">
        <f t="shared" si="38"/>
        <v>57.375</v>
      </c>
      <c r="H208" s="229">
        <f t="shared" si="39"/>
        <v>38.25</v>
      </c>
      <c r="I208" s="230">
        <f t="shared" si="40"/>
        <v>95.625</v>
      </c>
      <c r="J208" s="230">
        <f t="shared" si="41"/>
        <v>10.065789473684211</v>
      </c>
    </row>
    <row r="209" spans="1:10" x14ac:dyDescent="0.25">
      <c r="A209" s="227">
        <v>1929</v>
      </c>
      <c r="B209" s="227">
        <v>1.9</v>
      </c>
      <c r="C209" s="227">
        <v>2.9</v>
      </c>
      <c r="D209" s="226">
        <f t="shared" si="31"/>
        <v>4.8</v>
      </c>
      <c r="E209" s="227">
        <v>2</v>
      </c>
      <c r="F209" s="227">
        <f t="shared" si="37"/>
        <v>9.6</v>
      </c>
      <c r="G209" s="228">
        <f t="shared" si="38"/>
        <v>76.499999999999986</v>
      </c>
      <c r="H209" s="229">
        <f t="shared" si="39"/>
        <v>50.999999999999986</v>
      </c>
      <c r="I209" s="230">
        <f t="shared" si="40"/>
        <v>127.49999999999997</v>
      </c>
      <c r="J209" s="230">
        <f t="shared" si="41"/>
        <v>13.421052631578945</v>
      </c>
    </row>
    <row r="210" spans="1:10" x14ac:dyDescent="0.25">
      <c r="A210" s="227">
        <v>1920</v>
      </c>
      <c r="B210" s="227">
        <v>1.9</v>
      </c>
      <c r="C210" s="227">
        <v>2</v>
      </c>
      <c r="D210" s="226">
        <f t="shared" si="31"/>
        <v>3.9</v>
      </c>
      <c r="E210" s="227">
        <v>2</v>
      </c>
      <c r="F210" s="227">
        <f t="shared" si="37"/>
        <v>7.8</v>
      </c>
      <c r="G210" s="228">
        <f t="shared" si="38"/>
        <v>62.15625</v>
      </c>
      <c r="H210" s="229">
        <f t="shared" si="39"/>
        <v>41.4375</v>
      </c>
      <c r="I210" s="230">
        <f t="shared" si="40"/>
        <v>103.59375</v>
      </c>
      <c r="J210" s="230">
        <f t="shared" si="41"/>
        <v>10.904605263157896</v>
      </c>
    </row>
    <row r="211" spans="1:10" x14ac:dyDescent="0.25">
      <c r="A211" s="227">
        <v>1115</v>
      </c>
      <c r="B211" s="227">
        <v>1.1000000000000001</v>
      </c>
      <c r="C211" s="227">
        <v>1.5</v>
      </c>
      <c r="D211" s="226">
        <f t="shared" si="31"/>
        <v>2.6</v>
      </c>
      <c r="E211" s="227">
        <v>2</v>
      </c>
      <c r="F211" s="227">
        <f t="shared" si="37"/>
        <v>5.2</v>
      </c>
      <c r="G211" s="228">
        <f t="shared" si="38"/>
        <v>41.4375</v>
      </c>
      <c r="H211" s="229">
        <f t="shared" si="39"/>
        <v>27.625</v>
      </c>
      <c r="I211" s="230">
        <f t="shared" si="40"/>
        <v>69.0625</v>
      </c>
      <c r="J211" s="230">
        <f t="shared" si="41"/>
        <v>7.2697368421052628</v>
      </c>
    </row>
    <row r="212" spans="1:10" x14ac:dyDescent="0.25">
      <c r="A212" s="227">
        <v>1717</v>
      </c>
      <c r="B212" s="227">
        <v>1.7</v>
      </c>
      <c r="C212" s="227">
        <v>1.7</v>
      </c>
      <c r="D212" s="226">
        <f t="shared" si="31"/>
        <v>3.4</v>
      </c>
      <c r="E212" s="227">
        <v>2</v>
      </c>
      <c r="F212" s="227">
        <f t="shared" si="37"/>
        <v>6.8</v>
      </c>
      <c r="G212" s="228">
        <f t="shared" si="38"/>
        <v>54.1875</v>
      </c>
      <c r="H212" s="229">
        <f t="shared" si="39"/>
        <v>36.125</v>
      </c>
      <c r="I212" s="230">
        <f t="shared" si="40"/>
        <v>90.3125</v>
      </c>
      <c r="J212" s="230">
        <f t="shared" si="41"/>
        <v>9.5065789473684212</v>
      </c>
    </row>
    <row r="213" spans="1:10" x14ac:dyDescent="0.25">
      <c r="A213" s="227">
        <v>1913</v>
      </c>
      <c r="B213" s="227">
        <v>1.9</v>
      </c>
      <c r="C213" s="227">
        <v>1.3</v>
      </c>
      <c r="D213" s="226">
        <f t="shared" si="31"/>
        <v>3.2</v>
      </c>
      <c r="E213" s="227">
        <v>2</v>
      </c>
      <c r="F213" s="227">
        <f t="shared" si="37"/>
        <v>6.4</v>
      </c>
      <c r="G213" s="228">
        <f t="shared" si="38"/>
        <v>51</v>
      </c>
      <c r="H213" s="229">
        <f t="shared" si="39"/>
        <v>34</v>
      </c>
      <c r="I213" s="230">
        <f t="shared" si="40"/>
        <v>85</v>
      </c>
      <c r="J213" s="230">
        <f t="shared" si="41"/>
        <v>8.9473684210526319</v>
      </c>
    </row>
    <row r="214" spans="1:10" x14ac:dyDescent="0.25">
      <c r="A214" s="227">
        <v>1737</v>
      </c>
      <c r="B214" s="227">
        <v>1.7</v>
      </c>
      <c r="C214" s="227">
        <v>3.7</v>
      </c>
      <c r="D214" s="226">
        <f t="shared" si="31"/>
        <v>5.4</v>
      </c>
      <c r="E214" s="227">
        <v>2</v>
      </c>
      <c r="F214" s="227">
        <f t="shared" si="37"/>
        <v>10.8</v>
      </c>
      <c r="G214" s="228">
        <f t="shared" si="38"/>
        <v>86.0625</v>
      </c>
      <c r="H214" s="229">
        <f t="shared" si="39"/>
        <v>57.375</v>
      </c>
      <c r="I214" s="230">
        <f t="shared" si="40"/>
        <v>143.4375</v>
      </c>
      <c r="J214" s="230">
        <f t="shared" si="41"/>
        <v>15.098684210526315</v>
      </c>
    </row>
    <row r="215" spans="1:10" x14ac:dyDescent="0.25">
      <c r="A215" s="227">
        <v>817</v>
      </c>
      <c r="B215" s="227">
        <v>0.8</v>
      </c>
      <c r="C215" s="227">
        <v>1.7</v>
      </c>
      <c r="D215" s="226">
        <f t="shared" si="31"/>
        <v>2.5</v>
      </c>
      <c r="E215" s="227">
        <v>2</v>
      </c>
      <c r="F215" s="227">
        <f t="shared" si="37"/>
        <v>5</v>
      </c>
      <c r="G215" s="228">
        <f t="shared" si="38"/>
        <v>39.84375</v>
      </c>
      <c r="H215" s="229">
        <f t="shared" si="39"/>
        <v>26.5625</v>
      </c>
      <c r="I215" s="230">
        <f t="shared" si="40"/>
        <v>66.40625</v>
      </c>
      <c r="J215" s="230">
        <f t="shared" si="41"/>
        <v>6.9901315789473681</v>
      </c>
    </row>
    <row r="216" spans="1:10" x14ac:dyDescent="0.25">
      <c r="A216" s="227">
        <v>2227</v>
      </c>
      <c r="B216" s="227">
        <v>2.2000000000000002</v>
      </c>
      <c r="C216" s="227">
        <v>2.7</v>
      </c>
      <c r="D216" s="226">
        <f t="shared" si="31"/>
        <v>4.9000000000000004</v>
      </c>
      <c r="E216" s="227">
        <v>2</v>
      </c>
      <c r="F216" s="227">
        <f t="shared" si="37"/>
        <v>9.8000000000000007</v>
      </c>
      <c r="G216" s="228">
        <f t="shared" si="38"/>
        <v>78.09375</v>
      </c>
      <c r="H216" s="229">
        <f t="shared" si="39"/>
        <v>52.0625</v>
      </c>
      <c r="I216" s="230">
        <f t="shared" si="40"/>
        <v>130.15625</v>
      </c>
      <c r="J216" s="230">
        <f t="shared" si="41"/>
        <v>13.700657894736842</v>
      </c>
    </row>
    <row r="217" spans="1:10" x14ac:dyDescent="0.25">
      <c r="A217" s="227">
        <v>2325</v>
      </c>
      <c r="B217" s="227">
        <v>2.2999999999999998</v>
      </c>
      <c r="C217" s="227">
        <v>2.5</v>
      </c>
      <c r="D217" s="226">
        <f t="shared" si="31"/>
        <v>4.8</v>
      </c>
      <c r="E217" s="227">
        <v>2</v>
      </c>
      <c r="F217" s="227">
        <f t="shared" si="37"/>
        <v>9.6</v>
      </c>
      <c r="G217" s="228">
        <f t="shared" si="38"/>
        <v>76.499999999999986</v>
      </c>
      <c r="H217" s="229">
        <f t="shared" si="39"/>
        <v>50.999999999999986</v>
      </c>
      <c r="I217" s="230">
        <f t="shared" si="40"/>
        <v>127.49999999999997</v>
      </c>
      <c r="J217" s="230">
        <f t="shared" si="41"/>
        <v>13.421052631578945</v>
      </c>
    </row>
    <row r="218" spans="1:10" x14ac:dyDescent="0.25">
      <c r="A218" s="227">
        <v>1823</v>
      </c>
      <c r="B218" s="227">
        <v>1.8</v>
      </c>
      <c r="C218" s="227">
        <v>2.2999999999999998</v>
      </c>
      <c r="D218" s="226">
        <f t="shared" si="31"/>
        <v>4.0999999999999996</v>
      </c>
      <c r="E218" s="227">
        <v>2</v>
      </c>
      <c r="F218" s="227">
        <f t="shared" si="37"/>
        <v>8.1999999999999993</v>
      </c>
      <c r="G218" s="228">
        <f t="shared" si="38"/>
        <v>65.343749999999986</v>
      </c>
      <c r="H218" s="229">
        <f t="shared" si="39"/>
        <v>43.562499999999986</v>
      </c>
      <c r="I218" s="230">
        <f t="shared" si="40"/>
        <v>108.90624999999997</v>
      </c>
      <c r="J218" s="230">
        <f t="shared" si="41"/>
        <v>11.463815789473681</v>
      </c>
    </row>
    <row r="219" spans="1:10" x14ac:dyDescent="0.25">
      <c r="A219" s="227">
        <v>1922</v>
      </c>
      <c r="B219" s="227">
        <v>1.9</v>
      </c>
      <c r="C219" s="227">
        <v>2.2000000000000002</v>
      </c>
      <c r="D219" s="226">
        <f t="shared" si="31"/>
        <v>4.0999999999999996</v>
      </c>
      <c r="E219" s="227">
        <v>2</v>
      </c>
      <c r="F219" s="227">
        <f t="shared" si="37"/>
        <v>8.1999999999999993</v>
      </c>
      <c r="G219" s="228">
        <f t="shared" si="38"/>
        <v>65.343749999999986</v>
      </c>
      <c r="H219" s="229">
        <f t="shared" si="39"/>
        <v>43.562499999999986</v>
      </c>
      <c r="I219" s="230">
        <f t="shared" si="40"/>
        <v>108.90624999999997</v>
      </c>
      <c r="J219" s="230">
        <f t="shared" si="41"/>
        <v>11.463815789473681</v>
      </c>
    </row>
    <row r="220" spans="1:10" x14ac:dyDescent="0.25">
      <c r="A220" s="227">
        <v>1521</v>
      </c>
      <c r="B220" s="227">
        <v>1.5</v>
      </c>
      <c r="C220" s="227">
        <v>2.1</v>
      </c>
      <c r="D220" s="226">
        <f t="shared" si="31"/>
        <v>3.6</v>
      </c>
      <c r="E220" s="227">
        <v>2</v>
      </c>
      <c r="F220" s="227">
        <f t="shared" si="37"/>
        <v>7.2</v>
      </c>
      <c r="G220" s="228">
        <f t="shared" si="38"/>
        <v>57.375</v>
      </c>
      <c r="H220" s="229">
        <f t="shared" si="39"/>
        <v>38.25</v>
      </c>
      <c r="I220" s="230">
        <f t="shared" si="40"/>
        <v>95.625</v>
      </c>
      <c r="J220" s="230">
        <f t="shared" si="41"/>
        <v>10.065789473684211</v>
      </c>
    </row>
    <row r="221" spans="1:10" x14ac:dyDescent="0.25">
      <c r="A221" s="227">
        <v>1429</v>
      </c>
      <c r="B221" s="227">
        <v>1.4</v>
      </c>
      <c r="C221" s="227">
        <v>2.9</v>
      </c>
      <c r="D221" s="226">
        <f t="shared" si="31"/>
        <v>4.3</v>
      </c>
      <c r="E221" s="227">
        <v>2</v>
      </c>
      <c r="F221" s="227">
        <f t="shared" si="37"/>
        <v>8.6</v>
      </c>
      <c r="G221" s="228">
        <f t="shared" si="38"/>
        <v>68.531249999999986</v>
      </c>
      <c r="H221" s="229">
        <f t="shared" si="39"/>
        <v>45.687499999999986</v>
      </c>
      <c r="I221" s="230">
        <f t="shared" si="40"/>
        <v>114.21874999999997</v>
      </c>
      <c r="J221" s="230">
        <f t="shared" si="41"/>
        <v>12.023026315789471</v>
      </c>
    </row>
    <row r="222" spans="1:10" x14ac:dyDescent="0.25">
      <c r="A222" s="227">
        <v>1430</v>
      </c>
      <c r="B222" s="227">
        <v>1.4</v>
      </c>
      <c r="C222" s="227">
        <v>3</v>
      </c>
      <c r="D222" s="226">
        <f t="shared" si="31"/>
        <v>4.4000000000000004</v>
      </c>
      <c r="E222" s="227">
        <v>2</v>
      </c>
      <c r="F222" s="227">
        <f t="shared" si="37"/>
        <v>8.8000000000000007</v>
      </c>
      <c r="G222" s="228">
        <f t="shared" si="38"/>
        <v>70.125</v>
      </c>
      <c r="H222" s="229">
        <f t="shared" si="39"/>
        <v>46.75</v>
      </c>
      <c r="I222" s="230">
        <f t="shared" si="40"/>
        <v>116.875</v>
      </c>
      <c r="J222" s="230">
        <f t="shared" si="41"/>
        <v>12.302631578947368</v>
      </c>
    </row>
    <row r="223" spans="1:10" x14ac:dyDescent="0.25">
      <c r="A223" s="227">
        <v>1121</v>
      </c>
      <c r="B223" s="227">
        <v>1.1000000000000001</v>
      </c>
      <c r="C223" s="227">
        <v>2.1</v>
      </c>
      <c r="D223" s="226">
        <f t="shared" si="31"/>
        <v>3.2</v>
      </c>
      <c r="E223" s="227">
        <v>2</v>
      </c>
      <c r="F223" s="227">
        <f t="shared" si="37"/>
        <v>6.4</v>
      </c>
      <c r="G223" s="228">
        <f t="shared" si="38"/>
        <v>51</v>
      </c>
      <c r="H223" s="229">
        <f t="shared" si="39"/>
        <v>34</v>
      </c>
      <c r="I223" s="230">
        <f t="shared" si="40"/>
        <v>85</v>
      </c>
      <c r="J223" s="230">
        <f t="shared" si="41"/>
        <v>8.9473684210526319</v>
      </c>
    </row>
    <row r="224" spans="1:10" x14ac:dyDescent="0.25">
      <c r="A224" s="227">
        <v>3247</v>
      </c>
      <c r="B224" s="227">
        <v>3.2</v>
      </c>
      <c r="C224" s="227">
        <v>4.7</v>
      </c>
      <c r="D224" s="226">
        <f t="shared" si="31"/>
        <v>7.9</v>
      </c>
      <c r="E224" s="227">
        <v>2</v>
      </c>
      <c r="F224" s="227">
        <f t="shared" si="37"/>
        <v>15.8</v>
      </c>
      <c r="G224" s="228">
        <f t="shared" si="38"/>
        <v>125.90625</v>
      </c>
      <c r="H224" s="229">
        <f t="shared" si="39"/>
        <v>83.9375</v>
      </c>
      <c r="I224" s="230">
        <f t="shared" si="40"/>
        <v>209.84375</v>
      </c>
      <c r="J224" s="230">
        <f t="shared" si="41"/>
        <v>22.088815789473685</v>
      </c>
    </row>
    <row r="225" spans="1:13" x14ac:dyDescent="0.25">
      <c r="A225" s="227">
        <v>1924</v>
      </c>
      <c r="B225" s="227">
        <v>1.9</v>
      </c>
      <c r="C225" s="227">
        <v>2.4</v>
      </c>
      <c r="D225" s="226">
        <f t="shared" si="31"/>
        <v>4.3</v>
      </c>
      <c r="E225" s="227">
        <v>2</v>
      </c>
      <c r="F225" s="227">
        <f t="shared" si="37"/>
        <v>8.6</v>
      </c>
      <c r="G225" s="228">
        <f t="shared" si="38"/>
        <v>68.531249999999986</v>
      </c>
      <c r="H225" s="229">
        <f t="shared" si="39"/>
        <v>45.687499999999986</v>
      </c>
      <c r="I225" s="230">
        <f t="shared" si="40"/>
        <v>114.21874999999997</v>
      </c>
      <c r="J225" s="230">
        <f t="shared" si="41"/>
        <v>12.023026315789471</v>
      </c>
    </row>
    <row r="226" spans="1:13" x14ac:dyDescent="0.25">
      <c r="A226" s="227">
        <v>2124</v>
      </c>
      <c r="B226" s="227">
        <v>2.1</v>
      </c>
      <c r="C226" s="227">
        <v>2.4</v>
      </c>
      <c r="D226" s="226">
        <f t="shared" si="31"/>
        <v>4.5</v>
      </c>
      <c r="E226" s="227">
        <v>2</v>
      </c>
      <c r="F226" s="227">
        <f t="shared" si="37"/>
        <v>9</v>
      </c>
      <c r="G226" s="228">
        <f t="shared" si="38"/>
        <v>71.71875</v>
      </c>
      <c r="H226" s="229">
        <f t="shared" si="39"/>
        <v>47.8125</v>
      </c>
      <c r="I226" s="230">
        <f t="shared" si="40"/>
        <v>119.53125</v>
      </c>
      <c r="J226" s="230">
        <f t="shared" si="41"/>
        <v>12.582236842105264</v>
      </c>
    </row>
    <row r="227" spans="1:13" x14ac:dyDescent="0.25">
      <c r="A227" s="227">
        <v>1325</v>
      </c>
      <c r="B227" s="227">
        <v>1.3</v>
      </c>
      <c r="C227" s="227">
        <v>2.5</v>
      </c>
      <c r="D227" s="226">
        <f t="shared" si="31"/>
        <v>3.8</v>
      </c>
      <c r="E227" s="227">
        <v>2</v>
      </c>
      <c r="F227" s="227">
        <f t="shared" si="37"/>
        <v>7.6</v>
      </c>
      <c r="G227" s="228">
        <f t="shared" si="38"/>
        <v>60.562499999999986</v>
      </c>
      <c r="H227" s="229">
        <f t="shared" si="39"/>
        <v>40.374999999999986</v>
      </c>
      <c r="I227" s="230">
        <f t="shared" si="40"/>
        <v>100.93749999999997</v>
      </c>
      <c r="J227" s="230">
        <f t="shared" si="41"/>
        <v>10.624999999999996</v>
      </c>
    </row>
    <row r="228" spans="1:13" x14ac:dyDescent="0.25">
      <c r="A228" s="227">
        <v>2321</v>
      </c>
      <c r="B228" s="227">
        <v>2.2999999999999998</v>
      </c>
      <c r="C228" s="227">
        <v>2.1</v>
      </c>
      <c r="D228" s="226">
        <f t="shared" si="31"/>
        <v>4.4000000000000004</v>
      </c>
      <c r="E228" s="227">
        <v>2</v>
      </c>
      <c r="F228" s="227">
        <f t="shared" si="37"/>
        <v>8.8000000000000007</v>
      </c>
      <c r="G228" s="228">
        <f t="shared" si="38"/>
        <v>70.125</v>
      </c>
      <c r="H228" s="229">
        <f t="shared" si="39"/>
        <v>46.75</v>
      </c>
      <c r="I228" s="230">
        <f t="shared" si="40"/>
        <v>116.875</v>
      </c>
      <c r="J228" s="230">
        <f t="shared" si="41"/>
        <v>12.302631578947368</v>
      </c>
    </row>
    <row r="229" spans="1:13" x14ac:dyDescent="0.25">
      <c r="A229" s="227">
        <v>3124</v>
      </c>
      <c r="B229" s="227">
        <v>3.1</v>
      </c>
      <c r="C229" s="227">
        <v>2.4</v>
      </c>
      <c r="D229" s="226">
        <f t="shared" si="31"/>
        <v>5.5</v>
      </c>
      <c r="E229" s="227">
        <v>2</v>
      </c>
      <c r="F229" s="227">
        <f t="shared" si="37"/>
        <v>11</v>
      </c>
      <c r="G229" s="228">
        <f t="shared" si="38"/>
        <v>87.65625</v>
      </c>
      <c r="H229" s="229">
        <f t="shared" si="39"/>
        <v>58.4375</v>
      </c>
      <c r="I229" s="230">
        <f t="shared" si="40"/>
        <v>146.09375</v>
      </c>
      <c r="J229" s="230">
        <f t="shared" si="41"/>
        <v>15.378289473684211</v>
      </c>
      <c r="L229" s="238">
        <f>+G229+G91</f>
        <v>135.46875</v>
      </c>
      <c r="M229" s="238">
        <f>+H229+H91</f>
        <v>90.3125</v>
      </c>
    </row>
    <row r="230" spans="1:13" x14ac:dyDescent="0.25">
      <c r="A230" s="227">
        <v>1409</v>
      </c>
      <c r="B230" s="227">
        <v>1.4</v>
      </c>
      <c r="C230" s="227">
        <v>0.9</v>
      </c>
      <c r="D230" s="226">
        <f t="shared" si="31"/>
        <v>2.2999999999999998</v>
      </c>
      <c r="E230" s="227">
        <v>2</v>
      </c>
      <c r="F230" s="227">
        <f t="shared" si="37"/>
        <v>4.5999999999999996</v>
      </c>
      <c r="G230" s="228">
        <f t="shared" si="38"/>
        <v>36.656249999999993</v>
      </c>
      <c r="H230" s="229">
        <f t="shared" si="39"/>
        <v>24.437499999999993</v>
      </c>
      <c r="I230" s="230">
        <f t="shared" si="40"/>
        <v>61.093749999999986</v>
      </c>
      <c r="J230" s="230">
        <f t="shared" si="41"/>
        <v>6.4309210526315779</v>
      </c>
    </row>
    <row r="231" spans="1:13" x14ac:dyDescent="0.25">
      <c r="A231" s="227">
        <v>2638</v>
      </c>
      <c r="B231" s="227">
        <v>2.6</v>
      </c>
      <c r="C231" s="227">
        <v>3.8</v>
      </c>
      <c r="D231" s="226">
        <f t="shared" si="31"/>
        <v>6.4</v>
      </c>
      <c r="E231" s="227">
        <v>2</v>
      </c>
      <c r="F231" s="227">
        <f t="shared" si="37"/>
        <v>12.8</v>
      </c>
      <c r="G231" s="228">
        <f t="shared" si="38"/>
        <v>102</v>
      </c>
      <c r="H231" s="229">
        <f t="shared" si="39"/>
        <v>68</v>
      </c>
      <c r="I231" s="230">
        <f t="shared" si="40"/>
        <v>170</v>
      </c>
      <c r="J231" s="230">
        <f t="shared" si="41"/>
        <v>17.894736842105264</v>
      </c>
    </row>
    <row r="232" spans="1:13" x14ac:dyDescent="0.25">
      <c r="A232" s="227">
        <v>1918</v>
      </c>
      <c r="B232" s="227">
        <v>1.9</v>
      </c>
      <c r="C232" s="227">
        <v>1.8</v>
      </c>
      <c r="D232" s="226">
        <f t="shared" si="31"/>
        <v>3.7</v>
      </c>
      <c r="E232" s="227">
        <v>2</v>
      </c>
      <c r="F232" s="227">
        <f t="shared" si="37"/>
        <v>7.4</v>
      </c>
      <c r="G232" s="228">
        <f t="shared" si="38"/>
        <v>58.96875</v>
      </c>
      <c r="H232" s="229">
        <f t="shared" si="39"/>
        <v>39.3125</v>
      </c>
      <c r="I232" s="230">
        <f t="shared" si="40"/>
        <v>98.28125</v>
      </c>
      <c r="J232" s="230">
        <f t="shared" si="41"/>
        <v>10.345394736842104</v>
      </c>
    </row>
    <row r="233" spans="1:13" x14ac:dyDescent="0.25">
      <c r="A233" s="227">
        <v>1912</v>
      </c>
      <c r="B233" s="227">
        <v>1.9</v>
      </c>
      <c r="C233" s="227">
        <v>1.2</v>
      </c>
      <c r="D233" s="226">
        <f t="shared" si="31"/>
        <v>3.0999999999999996</v>
      </c>
      <c r="E233" s="227">
        <v>2</v>
      </c>
      <c r="F233" s="227">
        <f t="shared" si="37"/>
        <v>6.1999999999999993</v>
      </c>
      <c r="G233" s="228">
        <f t="shared" si="38"/>
        <v>49.406249999999993</v>
      </c>
      <c r="H233" s="229">
        <f t="shared" si="39"/>
        <v>32.937499999999993</v>
      </c>
      <c r="I233" s="230">
        <f t="shared" si="40"/>
        <v>82.343749999999986</v>
      </c>
      <c r="J233" s="230">
        <f t="shared" si="41"/>
        <v>8.6677631578947345</v>
      </c>
    </row>
    <row r="234" spans="1:13" x14ac:dyDescent="0.25">
      <c r="A234" s="227">
        <v>1712</v>
      </c>
      <c r="B234" s="227">
        <v>1.7</v>
      </c>
      <c r="C234" s="227">
        <v>1.2</v>
      </c>
      <c r="D234" s="226">
        <f t="shared" si="31"/>
        <v>2.9</v>
      </c>
      <c r="E234" s="227">
        <v>2</v>
      </c>
      <c r="F234" s="227">
        <f t="shared" si="37"/>
        <v>5.8</v>
      </c>
      <c r="G234" s="228">
        <f t="shared" si="38"/>
        <v>46.218749999999993</v>
      </c>
      <c r="H234" s="229">
        <f t="shared" si="39"/>
        <v>30.812499999999993</v>
      </c>
      <c r="I234" s="230">
        <f t="shared" si="40"/>
        <v>77.031249999999986</v>
      </c>
      <c r="J234" s="230">
        <f t="shared" si="41"/>
        <v>8.1085526315789451</v>
      </c>
    </row>
    <row r="235" spans="1:13" x14ac:dyDescent="0.25">
      <c r="A235" s="227">
        <v>2315</v>
      </c>
      <c r="B235" s="227">
        <v>2.2999999999999998</v>
      </c>
      <c r="C235" s="227">
        <v>1.5</v>
      </c>
      <c r="D235" s="226">
        <f t="shared" si="31"/>
        <v>3.8</v>
      </c>
      <c r="E235" s="227">
        <v>2</v>
      </c>
      <c r="F235" s="227">
        <f t="shared" si="37"/>
        <v>7.6</v>
      </c>
      <c r="G235" s="228">
        <f t="shared" si="38"/>
        <v>60.562499999999986</v>
      </c>
      <c r="H235" s="229">
        <f t="shared" si="39"/>
        <v>40.374999999999986</v>
      </c>
      <c r="I235" s="230">
        <f t="shared" si="40"/>
        <v>100.93749999999997</v>
      </c>
      <c r="J235" s="230">
        <f t="shared" si="41"/>
        <v>10.624999999999996</v>
      </c>
    </row>
    <row r="236" spans="1:13" x14ac:dyDescent="0.25">
      <c r="A236" s="227">
        <v>2529</v>
      </c>
      <c r="B236" s="227">
        <v>2.5</v>
      </c>
      <c r="C236" s="227">
        <v>2.9</v>
      </c>
      <c r="D236" s="226">
        <f t="shared" si="31"/>
        <v>5.4</v>
      </c>
      <c r="E236" s="227">
        <v>2</v>
      </c>
      <c r="F236" s="227">
        <f t="shared" si="37"/>
        <v>10.8</v>
      </c>
      <c r="G236" s="228">
        <f t="shared" si="38"/>
        <v>86.0625</v>
      </c>
      <c r="H236" s="229">
        <f t="shared" si="39"/>
        <v>57.375</v>
      </c>
      <c r="I236" s="230">
        <f t="shared" si="40"/>
        <v>143.4375</v>
      </c>
      <c r="J236" s="230">
        <f t="shared" si="41"/>
        <v>15.098684210526315</v>
      </c>
    </row>
    <row r="237" spans="1:13" x14ac:dyDescent="0.25">
      <c r="A237" s="227">
        <v>1522</v>
      </c>
      <c r="B237" s="227">
        <v>1.5</v>
      </c>
      <c r="C237" s="227">
        <v>2.2000000000000002</v>
      </c>
      <c r="D237" s="226">
        <f t="shared" si="31"/>
        <v>3.7</v>
      </c>
      <c r="E237" s="227">
        <v>2</v>
      </c>
      <c r="F237" s="227">
        <f t="shared" si="37"/>
        <v>7.4</v>
      </c>
      <c r="G237" s="228">
        <f t="shared" si="38"/>
        <v>58.96875</v>
      </c>
      <c r="H237" s="229">
        <f t="shared" si="39"/>
        <v>39.3125</v>
      </c>
      <c r="I237" s="230">
        <f t="shared" si="40"/>
        <v>98.28125</v>
      </c>
      <c r="J237" s="230">
        <f t="shared" si="41"/>
        <v>10.345394736842104</v>
      </c>
    </row>
    <row r="238" spans="1:13" x14ac:dyDescent="0.25">
      <c r="A238" s="227">
        <v>1718</v>
      </c>
      <c r="B238" s="227">
        <v>1.7</v>
      </c>
      <c r="C238" s="227">
        <v>1.8</v>
      </c>
      <c r="D238" s="226">
        <f t="shared" si="31"/>
        <v>3.5</v>
      </c>
      <c r="E238" s="227">
        <v>2</v>
      </c>
      <c r="F238" s="227">
        <f t="shared" si="37"/>
        <v>7</v>
      </c>
      <c r="G238" s="228">
        <f t="shared" si="38"/>
        <v>55.78125</v>
      </c>
      <c r="H238" s="229">
        <f t="shared" si="39"/>
        <v>37.1875</v>
      </c>
      <c r="I238" s="230">
        <f t="shared" si="40"/>
        <v>92.96875</v>
      </c>
      <c r="J238" s="230">
        <f t="shared" si="41"/>
        <v>9.786184210526315</v>
      </c>
    </row>
    <row r="239" spans="1:13" x14ac:dyDescent="0.25">
      <c r="A239" s="227">
        <v>2743</v>
      </c>
      <c r="B239" s="227">
        <v>2.7</v>
      </c>
      <c r="C239" s="227">
        <v>4.3</v>
      </c>
      <c r="D239" s="226">
        <f t="shared" si="31"/>
        <v>7</v>
      </c>
      <c r="E239" s="227">
        <v>2</v>
      </c>
      <c r="F239" s="227">
        <f t="shared" si="37"/>
        <v>14</v>
      </c>
      <c r="G239" s="228">
        <f t="shared" si="38"/>
        <v>111.5625</v>
      </c>
      <c r="H239" s="229">
        <f t="shared" si="39"/>
        <v>74.375</v>
      </c>
      <c r="I239" s="230">
        <f t="shared" si="40"/>
        <v>185.9375</v>
      </c>
      <c r="J239" s="230">
        <f t="shared" si="41"/>
        <v>19.57236842105263</v>
      </c>
    </row>
    <row r="240" spans="1:13" x14ac:dyDescent="0.25">
      <c r="A240" s="227">
        <v>1942</v>
      </c>
      <c r="B240" s="227">
        <v>1.9</v>
      </c>
      <c r="C240" s="227">
        <v>4.2</v>
      </c>
      <c r="D240" s="226">
        <f t="shared" si="31"/>
        <v>6.1</v>
      </c>
      <c r="E240" s="227">
        <v>2</v>
      </c>
      <c r="F240" s="227">
        <f t="shared" si="37"/>
        <v>12.2</v>
      </c>
      <c r="G240" s="228">
        <f t="shared" si="38"/>
        <v>97.218749999999986</v>
      </c>
      <c r="H240" s="229">
        <f t="shared" si="39"/>
        <v>64.812499999999986</v>
      </c>
      <c r="I240" s="230">
        <f t="shared" si="40"/>
        <v>162.03124999999997</v>
      </c>
      <c r="J240" s="230">
        <f t="shared" si="41"/>
        <v>17.055921052631575</v>
      </c>
    </row>
    <row r="241" spans="1:10" x14ac:dyDescent="0.25">
      <c r="A241" s="227">
        <v>3830</v>
      </c>
      <c r="B241" s="227">
        <v>3.8</v>
      </c>
      <c r="C241" s="227">
        <v>3.3</v>
      </c>
      <c r="D241" s="226">
        <f t="shared" si="31"/>
        <v>7.1</v>
      </c>
      <c r="E241" s="227">
        <v>2</v>
      </c>
      <c r="F241" s="227">
        <f t="shared" si="37"/>
        <v>14.2</v>
      </c>
      <c r="G241" s="228">
        <f t="shared" si="38"/>
        <v>113.15624999999997</v>
      </c>
      <c r="H241" s="229">
        <f t="shared" si="39"/>
        <v>75.437499999999972</v>
      </c>
      <c r="I241" s="230">
        <f t="shared" si="40"/>
        <v>188.59374999999994</v>
      </c>
      <c r="J241" s="230">
        <f t="shared" si="41"/>
        <v>19.85197368421052</v>
      </c>
    </row>
    <row r="242" spans="1:10" x14ac:dyDescent="0.25">
      <c r="A242" s="227">
        <v>1818</v>
      </c>
      <c r="B242" s="227">
        <v>1.8</v>
      </c>
      <c r="C242" s="227">
        <v>1.8</v>
      </c>
      <c r="D242" s="226">
        <f t="shared" si="31"/>
        <v>3.6</v>
      </c>
      <c r="E242" s="227">
        <v>2</v>
      </c>
      <c r="F242" s="227">
        <f t="shared" si="37"/>
        <v>7.2</v>
      </c>
      <c r="G242" s="228">
        <f t="shared" si="38"/>
        <v>57.375</v>
      </c>
      <c r="H242" s="229">
        <f t="shared" si="39"/>
        <v>38.25</v>
      </c>
      <c r="I242" s="230">
        <f t="shared" si="40"/>
        <v>95.625</v>
      </c>
      <c r="J242" s="230">
        <f t="shared" si="41"/>
        <v>10.065789473684211</v>
      </c>
    </row>
    <row r="243" spans="1:10" x14ac:dyDescent="0.25">
      <c r="A243" s="227">
        <v>1921</v>
      </c>
      <c r="B243" s="227">
        <v>1.9</v>
      </c>
      <c r="C243" s="227">
        <v>2.1</v>
      </c>
      <c r="D243" s="226">
        <f t="shared" si="31"/>
        <v>4</v>
      </c>
      <c r="E243" s="227">
        <v>2</v>
      </c>
      <c r="F243" s="227">
        <f t="shared" si="37"/>
        <v>8</v>
      </c>
      <c r="G243" s="228">
        <f t="shared" si="38"/>
        <v>63.75</v>
      </c>
      <c r="H243" s="229">
        <f t="shared" si="39"/>
        <v>42.5</v>
      </c>
      <c r="I243" s="230">
        <f t="shared" si="40"/>
        <v>106.25</v>
      </c>
      <c r="J243" s="230">
        <f t="shared" si="41"/>
        <v>11.184210526315789</v>
      </c>
    </row>
    <row r="244" spans="1:10" x14ac:dyDescent="0.25">
      <c r="A244" s="227">
        <v>1434</v>
      </c>
      <c r="B244" s="227">
        <v>1.4</v>
      </c>
      <c r="C244" s="227">
        <v>3.4</v>
      </c>
      <c r="D244" s="226">
        <f t="shared" si="31"/>
        <v>4.8</v>
      </c>
      <c r="E244" s="227">
        <v>2</v>
      </c>
      <c r="F244" s="227">
        <f t="shared" si="37"/>
        <v>9.6</v>
      </c>
      <c r="G244" s="228">
        <f t="shared" si="38"/>
        <v>76.499999999999986</v>
      </c>
      <c r="H244" s="229">
        <f t="shared" si="39"/>
        <v>50.999999999999986</v>
      </c>
      <c r="I244" s="230">
        <f t="shared" si="40"/>
        <v>127.49999999999997</v>
      </c>
      <c r="J244" s="230">
        <f t="shared" si="41"/>
        <v>13.421052631578945</v>
      </c>
    </row>
    <row r="245" spans="1:10" x14ac:dyDescent="0.25">
      <c r="A245" s="227">
        <v>1209</v>
      </c>
      <c r="B245" s="227">
        <v>1.2</v>
      </c>
      <c r="C245" s="227">
        <v>0.9</v>
      </c>
      <c r="D245" s="226">
        <f t="shared" si="31"/>
        <v>2.1</v>
      </c>
      <c r="E245" s="227">
        <v>2</v>
      </c>
      <c r="F245" s="227">
        <f t="shared" si="37"/>
        <v>4.2</v>
      </c>
      <c r="G245" s="228">
        <f t="shared" si="38"/>
        <v>33.46875</v>
      </c>
      <c r="H245" s="229">
        <f t="shared" si="39"/>
        <v>22.3125</v>
      </c>
      <c r="I245" s="230">
        <f t="shared" si="40"/>
        <v>55.78125</v>
      </c>
      <c r="J245" s="230">
        <f t="shared" si="41"/>
        <v>5.8717105263157894</v>
      </c>
    </row>
    <row r="246" spans="1:10" x14ac:dyDescent="0.25">
      <c r="A246" s="227">
        <v>1317</v>
      </c>
      <c r="B246" s="227">
        <v>1.3</v>
      </c>
      <c r="C246" s="227">
        <v>1.7</v>
      </c>
      <c r="D246" s="226">
        <f t="shared" si="31"/>
        <v>3</v>
      </c>
      <c r="E246" s="227">
        <v>2</v>
      </c>
      <c r="F246" s="227">
        <f t="shared" si="37"/>
        <v>6</v>
      </c>
      <c r="G246" s="228">
        <f t="shared" si="38"/>
        <v>47.8125</v>
      </c>
      <c r="H246" s="229">
        <f t="shared" si="39"/>
        <v>31.875</v>
      </c>
      <c r="I246" s="230">
        <f t="shared" si="40"/>
        <v>79.6875</v>
      </c>
      <c r="J246" s="230">
        <f t="shared" si="41"/>
        <v>8.3881578947368425</v>
      </c>
    </row>
    <row r="247" spans="1:10" x14ac:dyDescent="0.25">
      <c r="A247" s="227">
        <v>2434</v>
      </c>
      <c r="B247" s="227">
        <v>2.4</v>
      </c>
      <c r="C247" s="227">
        <v>3.4</v>
      </c>
      <c r="D247" s="226">
        <f t="shared" si="31"/>
        <v>5.8</v>
      </c>
      <c r="E247" s="227">
        <v>2</v>
      </c>
      <c r="F247" s="227">
        <f t="shared" si="37"/>
        <v>11.6</v>
      </c>
      <c r="G247" s="228">
        <f t="shared" si="38"/>
        <v>92.437499999999986</v>
      </c>
      <c r="H247" s="229">
        <f t="shared" si="39"/>
        <v>61.624999999999986</v>
      </c>
      <c r="I247" s="230">
        <f t="shared" si="40"/>
        <v>154.06249999999997</v>
      </c>
      <c r="J247" s="230">
        <f t="shared" si="41"/>
        <v>16.21710526315789</v>
      </c>
    </row>
    <row r="248" spans="1:10" x14ac:dyDescent="0.25">
      <c r="A248" s="227">
        <v>1120</v>
      </c>
      <c r="B248" s="227">
        <v>1.1000000000000001</v>
      </c>
      <c r="C248" s="227">
        <v>2</v>
      </c>
      <c r="D248" s="226">
        <f t="shared" ref="D248:D283" si="42">+B248+C248</f>
        <v>3.1</v>
      </c>
      <c r="E248" s="227">
        <v>2</v>
      </c>
      <c r="F248" s="227">
        <f t="shared" si="37"/>
        <v>6.2</v>
      </c>
      <c r="G248" s="228">
        <f t="shared" si="38"/>
        <v>49.40625</v>
      </c>
      <c r="H248" s="229">
        <f t="shared" si="39"/>
        <v>32.9375</v>
      </c>
      <c r="I248" s="230">
        <f t="shared" si="40"/>
        <v>82.34375</v>
      </c>
      <c r="J248" s="230">
        <f t="shared" si="41"/>
        <v>8.6677631578947363</v>
      </c>
    </row>
    <row r="249" spans="1:10" x14ac:dyDescent="0.25">
      <c r="A249" s="227">
        <v>1936</v>
      </c>
      <c r="B249" s="227">
        <v>1.9</v>
      </c>
      <c r="C249" s="227">
        <v>3.6</v>
      </c>
      <c r="D249" s="226">
        <f t="shared" si="42"/>
        <v>5.5</v>
      </c>
      <c r="E249" s="227">
        <v>2</v>
      </c>
      <c r="F249" s="227">
        <f t="shared" si="37"/>
        <v>11</v>
      </c>
      <c r="G249" s="228">
        <f t="shared" si="38"/>
        <v>87.65625</v>
      </c>
      <c r="H249" s="229">
        <f t="shared" si="39"/>
        <v>58.4375</v>
      </c>
      <c r="I249" s="230">
        <f t="shared" si="40"/>
        <v>146.09375</v>
      </c>
      <c r="J249" s="230">
        <f t="shared" si="41"/>
        <v>15.378289473684211</v>
      </c>
    </row>
    <row r="250" spans="1:10" x14ac:dyDescent="0.25">
      <c r="A250" s="227">
        <v>6950</v>
      </c>
      <c r="B250" s="227">
        <v>6.9</v>
      </c>
      <c r="C250" s="227">
        <v>5</v>
      </c>
      <c r="D250" s="226">
        <f t="shared" si="42"/>
        <v>11.9</v>
      </c>
      <c r="E250" s="227">
        <v>2</v>
      </c>
      <c r="F250" s="227">
        <f t="shared" si="37"/>
        <v>23.8</v>
      </c>
      <c r="G250" s="228">
        <f t="shared" si="38"/>
        <v>189.65625</v>
      </c>
      <c r="H250" s="229">
        <f t="shared" si="39"/>
        <v>126.4375</v>
      </c>
      <c r="I250" s="230">
        <f t="shared" si="40"/>
        <v>316.09375</v>
      </c>
      <c r="J250" s="230">
        <f t="shared" si="41"/>
        <v>33.273026315789473</v>
      </c>
    </row>
    <row r="251" spans="1:10" x14ac:dyDescent="0.25">
      <c r="A251" s="227">
        <v>1721</v>
      </c>
      <c r="B251" s="227">
        <v>1.7</v>
      </c>
      <c r="C251" s="227">
        <v>2.1</v>
      </c>
      <c r="D251" s="226">
        <f t="shared" si="42"/>
        <v>3.8</v>
      </c>
      <c r="E251" s="227">
        <v>2</v>
      </c>
      <c r="F251" s="227">
        <f t="shared" si="37"/>
        <v>7.6</v>
      </c>
      <c r="G251" s="228">
        <f t="shared" si="38"/>
        <v>60.562499999999986</v>
      </c>
      <c r="H251" s="229">
        <f t="shared" si="39"/>
        <v>40.374999999999986</v>
      </c>
      <c r="I251" s="230">
        <f t="shared" si="40"/>
        <v>100.93749999999997</v>
      </c>
      <c r="J251" s="230">
        <f t="shared" si="41"/>
        <v>10.624999999999996</v>
      </c>
    </row>
    <row r="252" spans="1:10" x14ac:dyDescent="0.25">
      <c r="A252" s="227">
        <v>1618</v>
      </c>
      <c r="B252" s="227">
        <v>1.6</v>
      </c>
      <c r="C252" s="227">
        <v>1.8</v>
      </c>
      <c r="D252" s="226">
        <f t="shared" si="42"/>
        <v>3.4000000000000004</v>
      </c>
      <c r="E252" s="227">
        <v>2</v>
      </c>
      <c r="F252" s="227">
        <f t="shared" si="37"/>
        <v>6.8000000000000007</v>
      </c>
      <c r="G252" s="228">
        <f t="shared" si="38"/>
        <v>54.1875</v>
      </c>
      <c r="H252" s="229">
        <f t="shared" si="39"/>
        <v>36.125</v>
      </c>
      <c r="I252" s="230">
        <f t="shared" si="40"/>
        <v>90.3125</v>
      </c>
      <c r="J252" s="230">
        <f t="shared" si="41"/>
        <v>9.5065789473684212</v>
      </c>
    </row>
    <row r="253" spans="1:10" x14ac:dyDescent="0.25">
      <c r="A253" s="227">
        <v>2112</v>
      </c>
      <c r="B253" s="227">
        <v>2.1</v>
      </c>
      <c r="C253" s="227">
        <v>1.2</v>
      </c>
      <c r="D253" s="226">
        <f t="shared" si="42"/>
        <v>3.3</v>
      </c>
      <c r="E253" s="227">
        <v>2</v>
      </c>
      <c r="F253" s="227">
        <f t="shared" si="37"/>
        <v>6.6</v>
      </c>
      <c r="G253" s="228">
        <f t="shared" si="38"/>
        <v>52.593749999999986</v>
      </c>
      <c r="H253" s="229">
        <f t="shared" si="39"/>
        <v>35.062499999999986</v>
      </c>
      <c r="I253" s="230">
        <f t="shared" si="40"/>
        <v>87.656249999999972</v>
      </c>
      <c r="J253" s="230">
        <f t="shared" si="41"/>
        <v>9.2269736842105239</v>
      </c>
    </row>
    <row r="254" spans="1:10" x14ac:dyDescent="0.25">
      <c r="A254" s="227">
        <v>2823</v>
      </c>
      <c r="B254" s="227">
        <v>2.8</v>
      </c>
      <c r="C254" s="227">
        <v>2.2999999999999998</v>
      </c>
      <c r="D254" s="226">
        <f t="shared" si="42"/>
        <v>5.0999999999999996</v>
      </c>
      <c r="E254" s="227">
        <v>2</v>
      </c>
      <c r="F254" s="227">
        <f t="shared" si="37"/>
        <v>10.199999999999999</v>
      </c>
      <c r="G254" s="228">
        <f t="shared" si="38"/>
        <v>81.281249999999986</v>
      </c>
      <c r="H254" s="229">
        <f t="shared" si="39"/>
        <v>54.187499999999986</v>
      </c>
      <c r="I254" s="230">
        <f t="shared" si="40"/>
        <v>135.46874999999997</v>
      </c>
      <c r="J254" s="230">
        <f t="shared" si="41"/>
        <v>14.259868421052628</v>
      </c>
    </row>
    <row r="255" spans="1:10" x14ac:dyDescent="0.25">
      <c r="A255" s="227">
        <v>2246</v>
      </c>
      <c r="B255" s="227">
        <v>2.2000000000000002</v>
      </c>
      <c r="C255" s="227">
        <v>4.5999999999999996</v>
      </c>
      <c r="D255" s="226">
        <f t="shared" si="42"/>
        <v>6.8</v>
      </c>
      <c r="E255" s="227">
        <v>2</v>
      </c>
      <c r="F255" s="227">
        <f t="shared" si="37"/>
        <v>13.6</v>
      </c>
      <c r="G255" s="228">
        <f t="shared" si="38"/>
        <v>108.375</v>
      </c>
      <c r="H255" s="229">
        <f t="shared" si="39"/>
        <v>72.25</v>
      </c>
      <c r="I255" s="230">
        <f t="shared" si="40"/>
        <v>180.625</v>
      </c>
      <c r="J255" s="230">
        <f t="shared" si="41"/>
        <v>19.013157894736842</v>
      </c>
    </row>
    <row r="256" spans="1:10" x14ac:dyDescent="0.25">
      <c r="A256" s="227">
        <v>3260</v>
      </c>
      <c r="B256" s="227">
        <v>3.2</v>
      </c>
      <c r="C256" s="227">
        <v>6</v>
      </c>
      <c r="D256" s="226">
        <f t="shared" si="42"/>
        <v>9.1999999999999993</v>
      </c>
      <c r="E256" s="227">
        <v>2</v>
      </c>
      <c r="F256" s="227">
        <f t="shared" si="37"/>
        <v>18.399999999999999</v>
      </c>
      <c r="G256" s="228">
        <f t="shared" si="38"/>
        <v>146.62499999999997</v>
      </c>
      <c r="H256" s="229">
        <f t="shared" si="39"/>
        <v>97.749999999999972</v>
      </c>
      <c r="I256" s="230">
        <f t="shared" si="40"/>
        <v>244.37499999999994</v>
      </c>
      <c r="J256" s="230">
        <f t="shared" si="41"/>
        <v>25.723684210526311</v>
      </c>
    </row>
    <row r="257" spans="1:10" x14ac:dyDescent="0.25">
      <c r="A257" s="227">
        <v>1330</v>
      </c>
      <c r="B257" s="227">
        <v>1.3</v>
      </c>
      <c r="C257" s="227">
        <v>3</v>
      </c>
      <c r="D257" s="226">
        <f t="shared" si="42"/>
        <v>4.3</v>
      </c>
      <c r="E257" s="227">
        <v>2</v>
      </c>
      <c r="F257" s="227">
        <f t="shared" si="37"/>
        <v>8.6</v>
      </c>
      <c r="G257" s="228">
        <f t="shared" si="38"/>
        <v>68.531249999999986</v>
      </c>
      <c r="H257" s="229">
        <f t="shared" si="39"/>
        <v>45.687499999999986</v>
      </c>
      <c r="I257" s="230">
        <f t="shared" si="40"/>
        <v>114.21874999999997</v>
      </c>
      <c r="J257" s="230">
        <f t="shared" si="41"/>
        <v>12.023026315789471</v>
      </c>
    </row>
    <row r="258" spans="1:10" x14ac:dyDescent="0.25">
      <c r="A258" s="227">
        <v>2815</v>
      </c>
      <c r="B258" s="227">
        <v>2.8</v>
      </c>
      <c r="C258" s="227">
        <v>1.5</v>
      </c>
      <c r="D258" s="226">
        <f t="shared" si="42"/>
        <v>4.3</v>
      </c>
      <c r="E258" s="227">
        <v>2</v>
      </c>
      <c r="F258" s="227">
        <f t="shared" si="37"/>
        <v>8.6</v>
      </c>
      <c r="G258" s="228">
        <f t="shared" si="38"/>
        <v>68.531249999999986</v>
      </c>
      <c r="H258" s="229">
        <f t="shared" si="39"/>
        <v>45.687499999999986</v>
      </c>
      <c r="I258" s="230">
        <f t="shared" si="40"/>
        <v>114.21874999999997</v>
      </c>
      <c r="J258" s="230">
        <f t="shared" si="41"/>
        <v>12.023026315789471</v>
      </c>
    </row>
    <row r="259" spans="1:10" x14ac:dyDescent="0.25">
      <c r="A259" s="227">
        <v>3262</v>
      </c>
      <c r="B259" s="227">
        <v>3.2</v>
      </c>
      <c r="C259" s="227">
        <v>6.2</v>
      </c>
      <c r="D259" s="226">
        <f t="shared" si="42"/>
        <v>9.4</v>
      </c>
      <c r="E259" s="227">
        <v>2</v>
      </c>
      <c r="F259" s="227">
        <f t="shared" si="37"/>
        <v>18.8</v>
      </c>
      <c r="G259" s="228">
        <f t="shared" si="38"/>
        <v>149.8125</v>
      </c>
      <c r="H259" s="229">
        <f t="shared" si="39"/>
        <v>99.875</v>
      </c>
      <c r="I259" s="230">
        <f t="shared" si="40"/>
        <v>249.6875</v>
      </c>
      <c r="J259" s="230">
        <f t="shared" si="41"/>
        <v>26.282894736842106</v>
      </c>
    </row>
    <row r="260" spans="1:10" x14ac:dyDescent="0.25">
      <c r="A260" s="227">
        <v>1517</v>
      </c>
      <c r="B260" s="227">
        <v>1.5</v>
      </c>
      <c r="C260" s="227">
        <v>1.7</v>
      </c>
      <c r="D260" s="226">
        <f t="shared" si="42"/>
        <v>3.2</v>
      </c>
      <c r="E260" s="227">
        <v>2</v>
      </c>
      <c r="F260" s="227">
        <f t="shared" si="37"/>
        <v>6.4</v>
      </c>
      <c r="G260" s="228">
        <f t="shared" si="38"/>
        <v>51</v>
      </c>
      <c r="H260" s="229">
        <f t="shared" si="39"/>
        <v>34</v>
      </c>
      <c r="I260" s="230">
        <f t="shared" si="40"/>
        <v>85</v>
      </c>
      <c r="J260" s="230">
        <f t="shared" si="41"/>
        <v>8.9473684210526319</v>
      </c>
    </row>
    <row r="261" spans="1:10" x14ac:dyDescent="0.25">
      <c r="A261" s="227">
        <v>4722</v>
      </c>
      <c r="B261" s="227">
        <v>4.7</v>
      </c>
      <c r="C261" s="227">
        <v>2.2000000000000002</v>
      </c>
      <c r="D261" s="226">
        <f t="shared" si="42"/>
        <v>6.9</v>
      </c>
      <c r="E261" s="227">
        <v>2</v>
      </c>
      <c r="F261" s="227">
        <f t="shared" ref="F261:F283" si="43">+D261*E261</f>
        <v>13.8</v>
      </c>
      <c r="G261" s="228">
        <f t="shared" ref="G261:G283" si="44">(F261/$F$18)*$G$18</f>
        <v>109.96875</v>
      </c>
      <c r="H261" s="229">
        <f t="shared" ref="H261:H283" si="45">(40/60)*G261</f>
        <v>73.3125</v>
      </c>
      <c r="I261" s="230">
        <f t="shared" ref="I261:I283" si="46">+G261+H261</f>
        <v>183.28125</v>
      </c>
      <c r="J261" s="230">
        <f t="shared" ref="J261:J283" si="47">+I261/9.5</f>
        <v>19.292763157894736</v>
      </c>
    </row>
    <row r="262" spans="1:10" x14ac:dyDescent="0.25">
      <c r="A262" s="227">
        <v>1633</v>
      </c>
      <c r="B262" s="227">
        <v>1.6</v>
      </c>
      <c r="C262" s="227">
        <v>3.3</v>
      </c>
      <c r="D262" s="226">
        <f t="shared" si="42"/>
        <v>4.9000000000000004</v>
      </c>
      <c r="E262" s="227">
        <v>2</v>
      </c>
      <c r="F262" s="227">
        <f t="shared" si="43"/>
        <v>9.8000000000000007</v>
      </c>
      <c r="G262" s="228">
        <f t="shared" si="44"/>
        <v>78.09375</v>
      </c>
      <c r="H262" s="229">
        <f t="shared" si="45"/>
        <v>52.0625</v>
      </c>
      <c r="I262" s="230">
        <f t="shared" si="46"/>
        <v>130.15625</v>
      </c>
      <c r="J262" s="230">
        <f t="shared" si="47"/>
        <v>13.700657894736842</v>
      </c>
    </row>
    <row r="263" spans="1:10" x14ac:dyDescent="0.25">
      <c r="A263" s="227">
        <v>1723</v>
      </c>
      <c r="B263" s="227">
        <v>1.7</v>
      </c>
      <c r="C263" s="227">
        <v>2.2999999999999998</v>
      </c>
      <c r="D263" s="226">
        <f t="shared" si="42"/>
        <v>4</v>
      </c>
      <c r="E263" s="227">
        <v>2</v>
      </c>
      <c r="F263" s="227">
        <f t="shared" si="43"/>
        <v>8</v>
      </c>
      <c r="G263" s="228">
        <f t="shared" si="44"/>
        <v>63.75</v>
      </c>
      <c r="H263" s="229">
        <f t="shared" si="45"/>
        <v>42.5</v>
      </c>
      <c r="I263" s="230">
        <f t="shared" si="46"/>
        <v>106.25</v>
      </c>
      <c r="J263" s="230">
        <f t="shared" si="47"/>
        <v>11.184210526315789</v>
      </c>
    </row>
    <row r="264" spans="1:10" x14ac:dyDescent="0.25">
      <c r="A264" s="227">
        <v>2018</v>
      </c>
      <c r="B264" s="227">
        <v>2</v>
      </c>
      <c r="C264" s="227">
        <v>1.8</v>
      </c>
      <c r="D264" s="226">
        <f t="shared" si="42"/>
        <v>3.8</v>
      </c>
      <c r="E264" s="227">
        <v>2</v>
      </c>
      <c r="F264" s="227">
        <f t="shared" si="43"/>
        <v>7.6</v>
      </c>
      <c r="G264" s="228">
        <f t="shared" si="44"/>
        <v>60.562499999999986</v>
      </c>
      <c r="H264" s="229">
        <f t="shared" si="45"/>
        <v>40.374999999999986</v>
      </c>
      <c r="I264" s="230">
        <f t="shared" si="46"/>
        <v>100.93749999999997</v>
      </c>
      <c r="J264" s="230">
        <f t="shared" si="47"/>
        <v>10.624999999999996</v>
      </c>
    </row>
    <row r="265" spans="1:10" x14ac:dyDescent="0.25">
      <c r="A265" s="227">
        <v>1817</v>
      </c>
      <c r="B265" s="227">
        <v>1.8</v>
      </c>
      <c r="C265" s="227">
        <v>1.7</v>
      </c>
      <c r="D265" s="226">
        <f t="shared" si="42"/>
        <v>3.5</v>
      </c>
      <c r="E265" s="227">
        <v>2</v>
      </c>
      <c r="F265" s="227">
        <f t="shared" si="43"/>
        <v>7</v>
      </c>
      <c r="G265" s="228">
        <f t="shared" si="44"/>
        <v>55.78125</v>
      </c>
      <c r="H265" s="229">
        <f t="shared" si="45"/>
        <v>37.1875</v>
      </c>
      <c r="I265" s="230">
        <f t="shared" si="46"/>
        <v>92.96875</v>
      </c>
      <c r="J265" s="230">
        <f t="shared" si="47"/>
        <v>9.786184210526315</v>
      </c>
    </row>
    <row r="266" spans="1:10" x14ac:dyDescent="0.25">
      <c r="A266" s="227">
        <v>1838</v>
      </c>
      <c r="B266" s="227">
        <v>1.8</v>
      </c>
      <c r="C266" s="227">
        <v>3.8</v>
      </c>
      <c r="D266" s="226">
        <f t="shared" si="42"/>
        <v>5.6</v>
      </c>
      <c r="E266" s="227">
        <v>2</v>
      </c>
      <c r="F266" s="227">
        <f t="shared" si="43"/>
        <v>11.2</v>
      </c>
      <c r="G266" s="228">
        <f t="shared" si="44"/>
        <v>89.249999999999986</v>
      </c>
      <c r="H266" s="229">
        <f t="shared" si="45"/>
        <v>59.499999999999986</v>
      </c>
      <c r="I266" s="230">
        <f t="shared" si="46"/>
        <v>148.74999999999997</v>
      </c>
      <c r="J266" s="230">
        <f t="shared" si="47"/>
        <v>15.657894736842103</v>
      </c>
    </row>
    <row r="267" spans="1:10" x14ac:dyDescent="0.25">
      <c r="A267" s="227">
        <v>2426</v>
      </c>
      <c r="B267" s="227">
        <v>2.4</v>
      </c>
      <c r="C267" s="227">
        <v>2.6</v>
      </c>
      <c r="D267" s="226">
        <f t="shared" si="42"/>
        <v>5</v>
      </c>
      <c r="E267" s="227">
        <v>2</v>
      </c>
      <c r="F267" s="227">
        <f t="shared" si="43"/>
        <v>10</v>
      </c>
      <c r="G267" s="228">
        <f t="shared" si="44"/>
        <v>79.6875</v>
      </c>
      <c r="H267" s="229">
        <f t="shared" si="45"/>
        <v>53.125</v>
      </c>
      <c r="I267" s="230">
        <f t="shared" si="46"/>
        <v>132.8125</v>
      </c>
      <c r="J267" s="230">
        <f t="shared" si="47"/>
        <v>13.980263157894736</v>
      </c>
    </row>
    <row r="268" spans="1:10" x14ac:dyDescent="0.25">
      <c r="A268" s="227">
        <v>908</v>
      </c>
      <c r="B268" s="227">
        <v>0.9</v>
      </c>
      <c r="C268" s="227">
        <v>0.8</v>
      </c>
      <c r="D268" s="226">
        <f t="shared" si="42"/>
        <v>1.7000000000000002</v>
      </c>
      <c r="E268" s="227">
        <v>2</v>
      </c>
      <c r="F268" s="227">
        <f t="shared" si="43"/>
        <v>3.4000000000000004</v>
      </c>
      <c r="G268" s="228">
        <f t="shared" si="44"/>
        <v>27.09375</v>
      </c>
      <c r="H268" s="229">
        <f t="shared" si="45"/>
        <v>18.0625</v>
      </c>
      <c r="I268" s="230">
        <f t="shared" si="46"/>
        <v>45.15625</v>
      </c>
      <c r="J268" s="230">
        <f t="shared" si="47"/>
        <v>4.7532894736842106</v>
      </c>
    </row>
    <row r="269" spans="1:10" x14ac:dyDescent="0.25">
      <c r="A269" s="227">
        <v>1811</v>
      </c>
      <c r="B269" s="227">
        <v>1.8</v>
      </c>
      <c r="C269" s="227">
        <v>1.1000000000000001</v>
      </c>
      <c r="D269" s="226">
        <f t="shared" si="42"/>
        <v>2.9000000000000004</v>
      </c>
      <c r="E269" s="227">
        <v>2</v>
      </c>
      <c r="F269" s="227">
        <f t="shared" si="43"/>
        <v>5.8000000000000007</v>
      </c>
      <c r="G269" s="228">
        <f t="shared" si="44"/>
        <v>46.218750000000007</v>
      </c>
      <c r="H269" s="229">
        <f t="shared" si="45"/>
        <v>30.812500000000004</v>
      </c>
      <c r="I269" s="230">
        <f t="shared" si="46"/>
        <v>77.031250000000014</v>
      </c>
      <c r="J269" s="230">
        <f t="shared" si="47"/>
        <v>8.1085526315789487</v>
      </c>
    </row>
    <row r="270" spans="1:10" x14ac:dyDescent="0.25">
      <c r="A270" s="227">
        <v>2919</v>
      </c>
      <c r="B270" s="227">
        <v>2.9</v>
      </c>
      <c r="C270" s="227">
        <v>1.9</v>
      </c>
      <c r="D270" s="226">
        <f t="shared" si="42"/>
        <v>4.8</v>
      </c>
      <c r="E270" s="227">
        <v>2</v>
      </c>
      <c r="F270" s="227">
        <f t="shared" si="43"/>
        <v>9.6</v>
      </c>
      <c r="G270" s="228">
        <f t="shared" si="44"/>
        <v>76.499999999999986</v>
      </c>
      <c r="H270" s="229">
        <f t="shared" si="45"/>
        <v>50.999999999999986</v>
      </c>
      <c r="I270" s="230">
        <f t="shared" si="46"/>
        <v>127.49999999999997</v>
      </c>
      <c r="J270" s="230">
        <f t="shared" si="47"/>
        <v>13.421052631578945</v>
      </c>
    </row>
    <row r="271" spans="1:10" x14ac:dyDescent="0.25">
      <c r="A271" s="227">
        <v>2942</v>
      </c>
      <c r="B271" s="227">
        <v>2.9</v>
      </c>
      <c r="C271" s="227">
        <v>4.2</v>
      </c>
      <c r="D271" s="226">
        <f t="shared" si="42"/>
        <v>7.1</v>
      </c>
      <c r="E271" s="227">
        <v>2</v>
      </c>
      <c r="F271" s="227">
        <f t="shared" si="43"/>
        <v>14.2</v>
      </c>
      <c r="G271" s="228">
        <f t="shared" si="44"/>
        <v>113.15624999999997</v>
      </c>
      <c r="H271" s="229">
        <f t="shared" si="45"/>
        <v>75.437499999999972</v>
      </c>
      <c r="I271" s="230">
        <f t="shared" si="46"/>
        <v>188.59374999999994</v>
      </c>
      <c r="J271" s="230">
        <f t="shared" si="47"/>
        <v>19.85197368421052</v>
      </c>
    </row>
    <row r="272" spans="1:10" x14ac:dyDescent="0.25">
      <c r="A272" s="227"/>
      <c r="B272" s="227"/>
      <c r="C272" s="227"/>
      <c r="D272" s="226">
        <f t="shared" si="42"/>
        <v>0</v>
      </c>
      <c r="E272" s="227">
        <v>2</v>
      </c>
      <c r="F272" s="227">
        <f t="shared" si="43"/>
        <v>0</v>
      </c>
      <c r="G272" s="228">
        <f t="shared" si="44"/>
        <v>0</v>
      </c>
      <c r="H272" s="229">
        <f t="shared" si="45"/>
        <v>0</v>
      </c>
      <c r="I272" s="230">
        <f t="shared" si="46"/>
        <v>0</v>
      </c>
      <c r="J272" s="230">
        <f t="shared" si="47"/>
        <v>0</v>
      </c>
    </row>
    <row r="273" spans="1:10" x14ac:dyDescent="0.25">
      <c r="A273" s="227"/>
      <c r="B273" s="227"/>
      <c r="C273" s="227"/>
      <c r="D273" s="226">
        <f t="shared" si="42"/>
        <v>0</v>
      </c>
      <c r="E273" s="227">
        <v>2</v>
      </c>
      <c r="F273" s="227">
        <f t="shared" si="43"/>
        <v>0</v>
      </c>
      <c r="G273" s="228">
        <f t="shared" si="44"/>
        <v>0</v>
      </c>
      <c r="H273" s="229">
        <f t="shared" si="45"/>
        <v>0</v>
      </c>
      <c r="I273" s="230">
        <f t="shared" si="46"/>
        <v>0</v>
      </c>
      <c r="J273" s="230">
        <f t="shared" si="47"/>
        <v>0</v>
      </c>
    </row>
    <row r="274" spans="1:10" x14ac:dyDescent="0.25">
      <c r="A274" s="227"/>
      <c r="B274" s="227"/>
      <c r="C274" s="227"/>
      <c r="D274" s="226">
        <f t="shared" si="42"/>
        <v>0</v>
      </c>
      <c r="E274" s="227">
        <v>2</v>
      </c>
      <c r="F274" s="227">
        <f t="shared" si="43"/>
        <v>0</v>
      </c>
      <c r="G274" s="228">
        <f t="shared" si="44"/>
        <v>0</v>
      </c>
      <c r="H274" s="229">
        <f t="shared" si="45"/>
        <v>0</v>
      </c>
      <c r="I274" s="230">
        <f t="shared" si="46"/>
        <v>0</v>
      </c>
      <c r="J274" s="230">
        <f t="shared" si="47"/>
        <v>0</v>
      </c>
    </row>
    <row r="275" spans="1:10" x14ac:dyDescent="0.25">
      <c r="A275" s="227"/>
      <c r="B275" s="227"/>
      <c r="C275" s="227"/>
      <c r="D275" s="226">
        <f t="shared" si="42"/>
        <v>0</v>
      </c>
      <c r="E275" s="227">
        <v>2</v>
      </c>
      <c r="F275" s="227">
        <f t="shared" si="43"/>
        <v>0</v>
      </c>
      <c r="G275" s="228">
        <f t="shared" si="44"/>
        <v>0</v>
      </c>
      <c r="H275" s="229">
        <f t="shared" si="45"/>
        <v>0</v>
      </c>
      <c r="I275" s="230">
        <f t="shared" si="46"/>
        <v>0</v>
      </c>
      <c r="J275" s="230">
        <f t="shared" si="47"/>
        <v>0</v>
      </c>
    </row>
    <row r="276" spans="1:10" x14ac:dyDescent="0.25">
      <c r="A276" s="227"/>
      <c r="B276" s="227"/>
      <c r="C276" s="227"/>
      <c r="D276" s="226">
        <f t="shared" si="42"/>
        <v>0</v>
      </c>
      <c r="E276" s="227">
        <v>2</v>
      </c>
      <c r="F276" s="227">
        <f t="shared" si="43"/>
        <v>0</v>
      </c>
      <c r="G276" s="228">
        <f t="shared" si="44"/>
        <v>0</v>
      </c>
      <c r="H276" s="229">
        <f t="shared" si="45"/>
        <v>0</v>
      </c>
      <c r="I276" s="230">
        <f t="shared" si="46"/>
        <v>0</v>
      </c>
      <c r="J276" s="230">
        <f t="shared" si="47"/>
        <v>0</v>
      </c>
    </row>
    <row r="277" spans="1:10" x14ac:dyDescent="0.25">
      <c r="A277" s="227"/>
      <c r="B277" s="227"/>
      <c r="C277" s="227"/>
      <c r="D277" s="226">
        <f t="shared" si="42"/>
        <v>0</v>
      </c>
      <c r="E277" s="227">
        <v>2</v>
      </c>
      <c r="F277" s="227">
        <f t="shared" si="43"/>
        <v>0</v>
      </c>
      <c r="G277" s="228">
        <f t="shared" si="44"/>
        <v>0</v>
      </c>
      <c r="H277" s="229">
        <f t="shared" si="45"/>
        <v>0</v>
      </c>
      <c r="I277" s="230">
        <f t="shared" si="46"/>
        <v>0</v>
      </c>
      <c r="J277" s="230">
        <f t="shared" si="47"/>
        <v>0</v>
      </c>
    </row>
    <row r="278" spans="1:10" x14ac:dyDescent="0.25">
      <c r="A278" s="227"/>
      <c r="B278" s="227"/>
      <c r="C278" s="227"/>
      <c r="D278" s="226">
        <f t="shared" si="42"/>
        <v>0</v>
      </c>
      <c r="E278" s="227">
        <v>2</v>
      </c>
      <c r="F278" s="227">
        <f t="shared" si="43"/>
        <v>0</v>
      </c>
      <c r="G278" s="228">
        <f t="shared" si="44"/>
        <v>0</v>
      </c>
      <c r="H278" s="229">
        <f t="shared" si="45"/>
        <v>0</v>
      </c>
      <c r="I278" s="230">
        <f t="shared" si="46"/>
        <v>0</v>
      </c>
      <c r="J278" s="230">
        <f t="shared" si="47"/>
        <v>0</v>
      </c>
    </row>
    <row r="279" spans="1:10" x14ac:dyDescent="0.25">
      <c r="A279" s="227"/>
      <c r="B279" s="227"/>
      <c r="C279" s="227"/>
      <c r="D279" s="226">
        <f t="shared" si="42"/>
        <v>0</v>
      </c>
      <c r="E279" s="227">
        <v>2</v>
      </c>
      <c r="F279" s="227">
        <f t="shared" si="43"/>
        <v>0</v>
      </c>
      <c r="G279" s="228">
        <f t="shared" si="44"/>
        <v>0</v>
      </c>
      <c r="H279" s="229">
        <f t="shared" si="45"/>
        <v>0</v>
      </c>
      <c r="I279" s="230">
        <f t="shared" si="46"/>
        <v>0</v>
      </c>
      <c r="J279" s="230">
        <f t="shared" si="47"/>
        <v>0</v>
      </c>
    </row>
    <row r="280" spans="1:10" x14ac:dyDescent="0.25">
      <c r="A280" s="227"/>
      <c r="B280" s="227"/>
      <c r="C280" s="227"/>
      <c r="D280" s="226">
        <f t="shared" si="42"/>
        <v>0</v>
      </c>
      <c r="E280" s="227">
        <v>2</v>
      </c>
      <c r="F280" s="227">
        <f t="shared" si="43"/>
        <v>0</v>
      </c>
      <c r="G280" s="228">
        <f t="shared" si="44"/>
        <v>0</v>
      </c>
      <c r="H280" s="229">
        <f t="shared" si="45"/>
        <v>0</v>
      </c>
      <c r="I280" s="230">
        <f t="shared" si="46"/>
        <v>0</v>
      </c>
      <c r="J280" s="230">
        <f t="shared" si="47"/>
        <v>0</v>
      </c>
    </row>
    <row r="281" spans="1:10" x14ac:dyDescent="0.25">
      <c r="A281" s="227"/>
      <c r="B281" s="227"/>
      <c r="C281" s="227"/>
      <c r="D281" s="226">
        <f t="shared" si="42"/>
        <v>0</v>
      </c>
      <c r="E281" s="227">
        <v>2</v>
      </c>
      <c r="F281" s="227">
        <f t="shared" si="43"/>
        <v>0</v>
      </c>
      <c r="G281" s="228">
        <f t="shared" si="44"/>
        <v>0</v>
      </c>
      <c r="H281" s="229">
        <f t="shared" si="45"/>
        <v>0</v>
      </c>
      <c r="I281" s="230">
        <f t="shared" si="46"/>
        <v>0</v>
      </c>
      <c r="J281" s="230">
        <f t="shared" si="47"/>
        <v>0</v>
      </c>
    </row>
    <row r="282" spans="1:10" x14ac:dyDescent="0.25">
      <c r="A282" s="227"/>
      <c r="B282" s="227"/>
      <c r="C282" s="227"/>
      <c r="D282" s="226">
        <f t="shared" si="42"/>
        <v>0</v>
      </c>
      <c r="E282" s="227">
        <v>2</v>
      </c>
      <c r="F282" s="227">
        <f t="shared" si="43"/>
        <v>0</v>
      </c>
      <c r="G282" s="228">
        <f t="shared" si="44"/>
        <v>0</v>
      </c>
      <c r="H282" s="229">
        <f t="shared" si="45"/>
        <v>0</v>
      </c>
      <c r="I282" s="230">
        <f t="shared" si="46"/>
        <v>0</v>
      </c>
      <c r="J282" s="230">
        <f t="shared" si="47"/>
        <v>0</v>
      </c>
    </row>
    <row r="283" spans="1:10" x14ac:dyDescent="0.25">
      <c r="A283" s="227"/>
      <c r="B283" s="227"/>
      <c r="C283" s="227"/>
      <c r="D283" s="226">
        <f t="shared" si="42"/>
        <v>0</v>
      </c>
      <c r="E283" s="227">
        <v>2</v>
      </c>
      <c r="F283" s="227">
        <f t="shared" si="43"/>
        <v>0</v>
      </c>
      <c r="G283" s="228">
        <f t="shared" si="44"/>
        <v>0</v>
      </c>
      <c r="H283" s="229">
        <f t="shared" si="45"/>
        <v>0</v>
      </c>
      <c r="I283" s="230">
        <f t="shared" si="46"/>
        <v>0</v>
      </c>
      <c r="J283" s="230">
        <f t="shared" si="47"/>
        <v>0</v>
      </c>
    </row>
  </sheetData>
  <autoFilter ref="A4:L235" xr:uid="{00000000-0009-0000-0000-000021000000}">
    <filterColumn colId="1" showButton="0"/>
    <filterColumn colId="3" showButton="0"/>
  </autoFilter>
  <mergeCells count="4">
    <mergeCell ref="A3:A4"/>
    <mergeCell ref="B3:C4"/>
    <mergeCell ref="D3:E4"/>
    <mergeCell ref="F3:F4"/>
  </mergeCells>
  <pageMargins left="0" right="0" top="0" bottom="0" header="0" footer="0"/>
  <pageSetup scale="85"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26</vt:i4>
      </vt:variant>
      <vt:variant>
        <vt:lpstr>Named Ranges</vt:lpstr>
      </vt:variant>
      <vt:variant>
        <vt:i4>2</vt:i4>
      </vt:variant>
    </vt:vector>
  </HeadingPairs>
  <TitlesOfParts>
    <vt:vector size="28" baseType="lpstr">
      <vt:lpstr>Summary</vt:lpstr>
      <vt:lpstr>Wkly Shipped CBM &amp; LT</vt:lpstr>
      <vt:lpstr>SHIPMENTS</vt:lpstr>
      <vt:lpstr>Prod Load</vt:lpstr>
      <vt:lpstr>T&amp;D</vt:lpstr>
      <vt:lpstr>SP</vt:lpstr>
      <vt:lpstr>MS</vt:lpstr>
      <vt:lpstr>PA</vt:lpstr>
      <vt:lpstr>CUA</vt:lpstr>
      <vt:lpstr>EA</vt:lpstr>
      <vt:lpstr>HAP</vt:lpstr>
      <vt:lpstr>WWP1-AP</vt:lpstr>
      <vt:lpstr>WWP1-PPS</vt:lpstr>
      <vt:lpstr>MP2-DA</vt:lpstr>
      <vt:lpstr>DA</vt:lpstr>
      <vt:lpstr>DA-</vt:lpstr>
      <vt:lpstr>WWP2</vt:lpstr>
      <vt:lpstr>MP2-SFP2</vt:lpstr>
      <vt:lpstr>SFP2</vt:lpstr>
      <vt:lpstr>Manhours</vt:lpstr>
      <vt:lpstr>Wood</vt:lpstr>
      <vt:lpstr>Items</vt:lpstr>
      <vt:lpstr>load</vt:lpstr>
      <vt:lpstr>Items by model</vt:lpstr>
      <vt:lpstr>Leadtime add-on</vt:lpstr>
      <vt:lpstr>LT SR Computation</vt:lpstr>
      <vt:lpstr>SHIPMENTS!Print_Area</vt:lpstr>
      <vt:lpstr>SHIPMENTS!Print_Titles</vt:lpstr>
    </vt:vector>
  </TitlesOfParts>
  <Company>SAWO,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IVMendoza</dc:creator>
  <cp:lastModifiedBy>Jeremiah</cp:lastModifiedBy>
  <cp:lastPrinted>2026-10-12T00:42:35Z</cp:lastPrinted>
  <dcterms:created xsi:type="dcterms:W3CDTF">2013-12-16T05:08:45Z</dcterms:created>
  <dcterms:modified xsi:type="dcterms:W3CDTF">2026-10-19T06:49:20Z</dcterms:modified>
</cp:coreProperties>
</file>